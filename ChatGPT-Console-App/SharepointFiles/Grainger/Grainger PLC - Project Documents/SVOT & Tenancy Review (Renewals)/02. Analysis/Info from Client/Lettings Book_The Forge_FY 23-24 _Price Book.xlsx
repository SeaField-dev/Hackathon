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Info from Client/"/>
    </mc:Choice>
  </mc:AlternateContent>
  <xr:revisionPtr revIDLastSave="59" documentId="8_{9DE6E030-C82F-4AE0-A48E-13BB10E78E30}" xr6:coauthVersionLast="47" xr6:coauthVersionMax="47" xr10:uidLastSave="{F9BC4846-D59B-492E-888D-B4B9ADC59B93}"/>
  <bookViews>
    <workbookView xWindow="28680" yWindow="1335" windowWidth="29040" windowHeight="15720" tabRatio="740" activeTab="3" xr2:uid="{E5F06F45-4C18-4F66-9762-2A9FD82DCF6E}"/>
  </bookViews>
  <sheets>
    <sheet name="Cover" sheetId="1" r:id="rId1"/>
    <sheet name="1. Accomodation" sheetId="14" r:id="rId2"/>
    <sheet name="2. GRI Pricing Inputs" sheetId="11" r:id="rId3"/>
    <sheet name="3. GRI Pricing" sheetId="9" r:id="rId4"/>
    <sheet name="4. Valuation" sheetId="8" r:id="rId5"/>
    <sheet name="5a. Dashboard" sheetId="2" r:id="rId6"/>
    <sheet name="5b. Dashboard " sheetId="17" r:id="rId7"/>
    <sheet name="6. IC appendix" sheetId="13" r:id="rId8"/>
    <sheet name="7. Archive Pricing" sheetId="15" r:id="rId9"/>
  </sheets>
  <definedNames>
    <definedName name="_xlnm._FilterDatabase" localSheetId="1">'1. Accomodation'!$M$20:$V$620</definedName>
    <definedName name="_xlnm._FilterDatabase" localSheetId="3" hidden="1">'3. GRI Pricing'!$C$16:$BG$617</definedName>
    <definedName name="aspectpremium">'2. GRI Pricing Inputs'!$C$53:$E$55</definedName>
    <definedName name="balcony">'2. GRI Pricing Inputs'!$C$67:$E$69</definedName>
    <definedName name="baseprice">'2. GRI Pricing Inputs'!$C$15:$F$17</definedName>
    <definedName name="bathpremium">'2. GRI Pricing Inputs'!$C$21:$E$24</definedName>
    <definedName name="floorpremium">'2. GRI Pricing Inputs'!$C$45:$E$47</definedName>
    <definedName name="other">'2. GRI Pricing Inputs'!$O$32:$P$47</definedName>
    <definedName name="phasedrelease">'2. GRI Pricing Inputs'!$I$54</definedName>
    <definedName name="_xlnm.Print_Area" localSheetId="1">'1. Accomodation'!$B$2:$Z$621</definedName>
    <definedName name="_xlnm.Print_Area" localSheetId="2">'2. GRI Pricing Inputs'!$B$2:$AQ$121</definedName>
    <definedName name="_xlnm.Print_Area" localSheetId="3">'3. GRI Pricing'!$B$2:$AP$619</definedName>
    <definedName name="_xlnm.Print_Area" localSheetId="4">'4. Valuation'!$B$2:$AC$629</definedName>
    <definedName name="_xlnm.Print_Area" localSheetId="5">'5a. Dashboard'!$B$2:$L$38</definedName>
    <definedName name="_xlnm.Print_Area" localSheetId="6">'5b. Dashboard '!$B$2:$M$35</definedName>
    <definedName name="_xlnm.Print_Area" localSheetId="7">'6. IC appendix'!$B$2:$U$607</definedName>
    <definedName name="_xlnm.Print_Area" localSheetId="8">'7. Archive Pricing'!$A$1:$Q$607</definedName>
    <definedName name="_xlnm.Print_Area" localSheetId="0">Cover!$B$2:$P$41</definedName>
    <definedName name="sizepremium">'2. GRI Pricing Inputs'!$C$28:$E$31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J7" i="17" s="1"/>
  <c r="I36" i="2"/>
  <c r="AE10" i="8"/>
  <c r="D13" i="9" l="1"/>
  <c r="D16" i="2" s="1"/>
  <c r="I16" i="2" s="1"/>
  <c r="C27" i="8" l="1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26" i="8"/>
  <c r="D118" i="11"/>
  <c r="G7" i="17"/>
  <c r="V9" i="8" l="1"/>
  <c r="R9" i="8"/>
  <c r="L24" i="8"/>
  <c r="F8" i="2" s="1"/>
  <c r="G8" i="17" s="1"/>
  <c r="J8" i="17" s="1"/>
  <c r="I8" i="2"/>
  <c r="I21" i="2" s="1"/>
  <c r="I33" i="2" s="1"/>
  <c r="G9" i="8"/>
  <c r="G7" i="8"/>
  <c r="K3" i="2"/>
  <c r="E21" i="2" s="1"/>
  <c r="K33" i="2"/>
  <c r="K21" i="2"/>
  <c r="J21" i="2"/>
  <c r="J33" i="2" s="1"/>
  <c r="H21" i="2"/>
  <c r="H33" i="2" s="1"/>
  <c r="G21" i="2"/>
  <c r="G33" i="2" s="1"/>
  <c r="F7" i="2" l="1"/>
  <c r="F20" i="2" s="1"/>
  <c r="F32" i="2" s="1"/>
  <c r="J11" i="17"/>
  <c r="J14" i="17"/>
  <c r="J12" i="17"/>
  <c r="J9" i="17"/>
  <c r="J10" i="17"/>
  <c r="J13" i="17"/>
  <c r="K9" i="8"/>
  <c r="V24" i="8"/>
  <c r="C28" i="2"/>
  <c r="C14" i="2"/>
  <c r="C16" i="8"/>
  <c r="O16" i="8" s="1"/>
  <c r="H16" i="8"/>
  <c r="S16" i="8"/>
  <c r="C11" i="9"/>
  <c r="C27" i="2" s="1"/>
  <c r="I20" i="2"/>
  <c r="I32" i="2" s="1"/>
  <c r="E20" i="2"/>
  <c r="E32" i="2" s="1"/>
  <c r="D5" i="9"/>
  <c r="S18" i="8"/>
  <c r="H18" i="8"/>
  <c r="Y3" i="14"/>
  <c r="C18" i="9"/>
  <c r="B8" i="15" s="1"/>
  <c r="D18" i="9"/>
  <c r="C8" i="15" s="1"/>
  <c r="E18" i="9"/>
  <c r="D8" i="15" s="1"/>
  <c r="F18" i="9"/>
  <c r="M18" i="9" s="1"/>
  <c r="G18" i="9"/>
  <c r="H18" i="9"/>
  <c r="C19" i="9"/>
  <c r="B9" i="15" s="1"/>
  <c r="D19" i="9"/>
  <c r="E19" i="9"/>
  <c r="D9" i="15" s="1"/>
  <c r="F19" i="9"/>
  <c r="M19" i="9" s="1"/>
  <c r="G19" i="9"/>
  <c r="G9" i="13" s="1"/>
  <c r="H19" i="9"/>
  <c r="C20" i="9"/>
  <c r="B10" i="15" s="1"/>
  <c r="D20" i="9"/>
  <c r="D10" i="13" s="1"/>
  <c r="E20" i="9"/>
  <c r="F20" i="9"/>
  <c r="M20" i="9" s="1"/>
  <c r="G20" i="9"/>
  <c r="H20" i="9"/>
  <c r="C21" i="9"/>
  <c r="B11" i="15" s="1"/>
  <c r="D21" i="9"/>
  <c r="E21" i="9"/>
  <c r="F21" i="9"/>
  <c r="M21" i="9" s="1"/>
  <c r="G21" i="9"/>
  <c r="G11" i="13" s="1"/>
  <c r="H21" i="9"/>
  <c r="H11" i="13" s="1"/>
  <c r="C22" i="9"/>
  <c r="B12" i="15" s="1"/>
  <c r="D22" i="9"/>
  <c r="D12" i="13" s="1"/>
  <c r="E22" i="9"/>
  <c r="E12" i="13" s="1"/>
  <c r="F22" i="9"/>
  <c r="M22" i="9" s="1"/>
  <c r="G22" i="9"/>
  <c r="H22" i="9"/>
  <c r="H12" i="13" s="1"/>
  <c r="C23" i="9"/>
  <c r="D23" i="9"/>
  <c r="D13" i="13" s="1"/>
  <c r="E23" i="9"/>
  <c r="D13" i="15" s="1"/>
  <c r="F23" i="9"/>
  <c r="M23" i="9" s="1"/>
  <c r="G23" i="9"/>
  <c r="G13" i="13" s="1"/>
  <c r="H23" i="9"/>
  <c r="C24" i="9"/>
  <c r="B14" i="15" s="1"/>
  <c r="D24" i="9"/>
  <c r="D14" i="13" s="1"/>
  <c r="E24" i="9"/>
  <c r="F24" i="9"/>
  <c r="M24" i="9" s="1"/>
  <c r="G24" i="9"/>
  <c r="H24" i="9"/>
  <c r="C25" i="9"/>
  <c r="B15" i="15" s="1"/>
  <c r="D25" i="9"/>
  <c r="C15" i="15" s="1"/>
  <c r="E25" i="9"/>
  <c r="F25" i="9"/>
  <c r="M25" i="9" s="1"/>
  <c r="G25" i="9"/>
  <c r="G15" i="13" s="1"/>
  <c r="H25" i="9"/>
  <c r="C26" i="9"/>
  <c r="B16" i="15" s="1"/>
  <c r="D26" i="9"/>
  <c r="C16" i="15" s="1"/>
  <c r="E26" i="9"/>
  <c r="D16" i="15" s="1"/>
  <c r="F26" i="9"/>
  <c r="M26" i="9" s="1"/>
  <c r="G26" i="9"/>
  <c r="H26" i="9"/>
  <c r="H16" i="13" s="1"/>
  <c r="C27" i="9"/>
  <c r="D27" i="9"/>
  <c r="D17" i="13" s="1"/>
  <c r="E27" i="9"/>
  <c r="F27" i="9"/>
  <c r="M27" i="9" s="1"/>
  <c r="G27" i="9"/>
  <c r="G17" i="13" s="1"/>
  <c r="H27" i="9"/>
  <c r="C28" i="9"/>
  <c r="B18" i="15" s="1"/>
  <c r="D28" i="9"/>
  <c r="D18" i="13" s="1"/>
  <c r="E28" i="9"/>
  <c r="F28" i="9"/>
  <c r="M28" i="9" s="1"/>
  <c r="G28" i="9"/>
  <c r="H28" i="9"/>
  <c r="C29" i="9"/>
  <c r="B19" i="15" s="1"/>
  <c r="D29" i="9"/>
  <c r="E29" i="9"/>
  <c r="F29" i="9"/>
  <c r="M29" i="9" s="1"/>
  <c r="G29" i="9"/>
  <c r="G19" i="13" s="1"/>
  <c r="H29" i="9"/>
  <c r="C30" i="9"/>
  <c r="B20" i="15" s="1"/>
  <c r="D30" i="9"/>
  <c r="E30" i="9"/>
  <c r="E20" i="13" s="1"/>
  <c r="F30" i="9"/>
  <c r="M30" i="9" s="1"/>
  <c r="G30" i="9"/>
  <c r="H30" i="9"/>
  <c r="H20" i="13" s="1"/>
  <c r="C31" i="9"/>
  <c r="D31" i="9"/>
  <c r="D21" i="13" s="1"/>
  <c r="E31" i="9"/>
  <c r="D21" i="15" s="1"/>
  <c r="F31" i="9"/>
  <c r="M31" i="9" s="1"/>
  <c r="G31" i="9"/>
  <c r="G21" i="13" s="1"/>
  <c r="H31" i="9"/>
  <c r="C32" i="9"/>
  <c r="B22" i="15" s="1"/>
  <c r="D32" i="9"/>
  <c r="D22" i="13" s="1"/>
  <c r="E32" i="9"/>
  <c r="E22" i="13" s="1"/>
  <c r="F32" i="9"/>
  <c r="M32" i="9" s="1"/>
  <c r="G32" i="9"/>
  <c r="H32" i="9"/>
  <c r="C33" i="9"/>
  <c r="B23" i="15" s="1"/>
  <c r="D33" i="9"/>
  <c r="C23" i="15" s="1"/>
  <c r="E33" i="9"/>
  <c r="F33" i="9"/>
  <c r="M33" i="9" s="1"/>
  <c r="G33" i="9"/>
  <c r="G23" i="13" s="1"/>
  <c r="H33" i="9"/>
  <c r="C34" i="9"/>
  <c r="B24" i="15" s="1"/>
  <c r="D34" i="9"/>
  <c r="E34" i="9"/>
  <c r="D24" i="15" s="1"/>
  <c r="F34" i="9"/>
  <c r="M34" i="9" s="1"/>
  <c r="G34" i="9"/>
  <c r="H34" i="9"/>
  <c r="H24" i="13" s="1"/>
  <c r="C35" i="9"/>
  <c r="D35" i="9"/>
  <c r="D25" i="13" s="1"/>
  <c r="E35" i="9"/>
  <c r="D25" i="15" s="1"/>
  <c r="F35" i="9"/>
  <c r="M35" i="9" s="1"/>
  <c r="G35" i="9"/>
  <c r="G25" i="13" s="1"/>
  <c r="H35" i="9"/>
  <c r="C36" i="9"/>
  <c r="B26" i="15" s="1"/>
  <c r="D36" i="9"/>
  <c r="D26" i="13" s="1"/>
  <c r="E36" i="9"/>
  <c r="E26" i="13" s="1"/>
  <c r="F36" i="9"/>
  <c r="M36" i="9" s="1"/>
  <c r="G36" i="9"/>
  <c r="H36" i="9"/>
  <c r="C37" i="9"/>
  <c r="B27" i="15" s="1"/>
  <c r="D37" i="9"/>
  <c r="E37" i="9"/>
  <c r="F37" i="9"/>
  <c r="M37" i="9" s="1"/>
  <c r="G37" i="9"/>
  <c r="G27" i="13" s="1"/>
  <c r="H37" i="9"/>
  <c r="C38" i="9"/>
  <c r="B28" i="15" s="1"/>
  <c r="D38" i="9"/>
  <c r="E38" i="9"/>
  <c r="E28" i="13" s="1"/>
  <c r="F38" i="9"/>
  <c r="M38" i="9" s="1"/>
  <c r="G38" i="9"/>
  <c r="H38" i="9"/>
  <c r="H28" i="13" s="1"/>
  <c r="C39" i="9"/>
  <c r="D39" i="9"/>
  <c r="D29" i="13" s="1"/>
  <c r="E39" i="9"/>
  <c r="D29" i="15" s="1"/>
  <c r="F39" i="9"/>
  <c r="M39" i="9" s="1"/>
  <c r="G39" i="9"/>
  <c r="G29" i="13" s="1"/>
  <c r="H39" i="9"/>
  <c r="C40" i="9"/>
  <c r="B30" i="15" s="1"/>
  <c r="D40" i="9"/>
  <c r="C30" i="15" s="1"/>
  <c r="E40" i="9"/>
  <c r="F40" i="9"/>
  <c r="M40" i="9" s="1"/>
  <c r="G40" i="9"/>
  <c r="H40" i="9"/>
  <c r="C41" i="9"/>
  <c r="B31" i="15" s="1"/>
  <c r="D41" i="9"/>
  <c r="C31" i="15" s="1"/>
  <c r="E41" i="9"/>
  <c r="F41" i="9"/>
  <c r="M41" i="9" s="1"/>
  <c r="G41" i="9"/>
  <c r="G31" i="13" s="1"/>
  <c r="H41" i="9"/>
  <c r="C42" i="9"/>
  <c r="B32" i="15" s="1"/>
  <c r="D42" i="9"/>
  <c r="C32" i="15" s="1"/>
  <c r="E42" i="9"/>
  <c r="D32" i="15" s="1"/>
  <c r="F42" i="9"/>
  <c r="M42" i="9" s="1"/>
  <c r="G42" i="9"/>
  <c r="H42" i="9"/>
  <c r="H32" i="13" s="1"/>
  <c r="C43" i="9"/>
  <c r="D43" i="9"/>
  <c r="C33" i="15" s="1"/>
  <c r="E43" i="9"/>
  <c r="F43" i="9"/>
  <c r="M43" i="9" s="1"/>
  <c r="G43" i="9"/>
  <c r="G33" i="13" s="1"/>
  <c r="H43" i="9"/>
  <c r="C44" i="9"/>
  <c r="B34" i="15" s="1"/>
  <c r="D44" i="9"/>
  <c r="D34" i="13" s="1"/>
  <c r="E44" i="9"/>
  <c r="E34" i="13" s="1"/>
  <c r="F44" i="9"/>
  <c r="M44" i="9" s="1"/>
  <c r="G44" i="9"/>
  <c r="H44" i="9"/>
  <c r="C45" i="9"/>
  <c r="B35" i="15" s="1"/>
  <c r="D45" i="9"/>
  <c r="E45" i="9"/>
  <c r="F45" i="9"/>
  <c r="M45" i="9" s="1"/>
  <c r="G45" i="9"/>
  <c r="G35" i="13" s="1"/>
  <c r="H45" i="9"/>
  <c r="C46" i="9"/>
  <c r="B36" i="15" s="1"/>
  <c r="D46" i="9"/>
  <c r="E46" i="9"/>
  <c r="F46" i="9"/>
  <c r="M46" i="9" s="1"/>
  <c r="G46" i="9"/>
  <c r="H46" i="9"/>
  <c r="H36" i="13" s="1"/>
  <c r="C47" i="9"/>
  <c r="D47" i="9"/>
  <c r="C37" i="15" s="1"/>
  <c r="E47" i="9"/>
  <c r="D37" i="15" s="1"/>
  <c r="F47" i="9"/>
  <c r="M47" i="9" s="1"/>
  <c r="G47" i="9"/>
  <c r="H47" i="9"/>
  <c r="C48" i="9"/>
  <c r="B38" i="15" s="1"/>
  <c r="D48" i="9"/>
  <c r="C38" i="15" s="1"/>
  <c r="E48" i="9"/>
  <c r="F48" i="9"/>
  <c r="M48" i="9" s="1"/>
  <c r="G48" i="9"/>
  <c r="H48" i="9"/>
  <c r="C49" i="9"/>
  <c r="B39" i="15" s="1"/>
  <c r="D49" i="9"/>
  <c r="C39" i="15" s="1"/>
  <c r="E49" i="9"/>
  <c r="F49" i="9"/>
  <c r="M49" i="9" s="1"/>
  <c r="G49" i="9"/>
  <c r="G39" i="13" s="1"/>
  <c r="H49" i="9"/>
  <c r="C50" i="9"/>
  <c r="B40" i="15" s="1"/>
  <c r="D50" i="9"/>
  <c r="C40" i="15" s="1"/>
  <c r="E50" i="9"/>
  <c r="D40" i="15" s="1"/>
  <c r="F50" i="9"/>
  <c r="M50" i="9" s="1"/>
  <c r="G50" i="9"/>
  <c r="H50" i="9"/>
  <c r="C51" i="9"/>
  <c r="D51" i="9"/>
  <c r="C41" i="15" s="1"/>
  <c r="E51" i="9"/>
  <c r="F51" i="9"/>
  <c r="M51" i="9" s="1"/>
  <c r="G51" i="9"/>
  <c r="G41" i="13" s="1"/>
  <c r="H51" i="9"/>
  <c r="C52" i="9"/>
  <c r="B42" i="15" s="1"/>
  <c r="D52" i="9"/>
  <c r="C42" i="15" s="1"/>
  <c r="E52" i="9"/>
  <c r="E42" i="13" s="1"/>
  <c r="F52" i="9"/>
  <c r="M52" i="9" s="1"/>
  <c r="G52" i="9"/>
  <c r="H52" i="9"/>
  <c r="C53" i="9"/>
  <c r="B43" i="15" s="1"/>
  <c r="D53" i="9"/>
  <c r="E53" i="9"/>
  <c r="F53" i="9"/>
  <c r="G53" i="9"/>
  <c r="G43" i="13" s="1"/>
  <c r="H53" i="9"/>
  <c r="H43" i="13" s="1"/>
  <c r="C54" i="9"/>
  <c r="B44" i="15" s="1"/>
  <c r="D54" i="9"/>
  <c r="E54" i="9"/>
  <c r="D44" i="15" s="1"/>
  <c r="F54" i="9"/>
  <c r="M54" i="9" s="1"/>
  <c r="G54" i="9"/>
  <c r="H54" i="9"/>
  <c r="C55" i="9"/>
  <c r="D55" i="9"/>
  <c r="D45" i="13" s="1"/>
  <c r="E55" i="9"/>
  <c r="D45" i="15" s="1"/>
  <c r="F55" i="9"/>
  <c r="M55" i="9" s="1"/>
  <c r="G55" i="9"/>
  <c r="G45" i="13" s="1"/>
  <c r="H55" i="9"/>
  <c r="C56" i="9"/>
  <c r="B46" i="15" s="1"/>
  <c r="D56" i="9"/>
  <c r="E56" i="9"/>
  <c r="E46" i="13" s="1"/>
  <c r="F56" i="9"/>
  <c r="M56" i="9" s="1"/>
  <c r="G56" i="9"/>
  <c r="H56" i="9"/>
  <c r="C57" i="9"/>
  <c r="B47" i="15" s="1"/>
  <c r="D57" i="9"/>
  <c r="E57" i="9"/>
  <c r="F57" i="9"/>
  <c r="G57" i="9"/>
  <c r="H57" i="9"/>
  <c r="H47" i="13" s="1"/>
  <c r="C58" i="9"/>
  <c r="B48" i="15" s="1"/>
  <c r="D58" i="9"/>
  <c r="C48" i="15" s="1"/>
  <c r="E58" i="9"/>
  <c r="D48" i="15" s="1"/>
  <c r="F58" i="9"/>
  <c r="M58" i="9" s="1"/>
  <c r="G58" i="9"/>
  <c r="H58" i="9"/>
  <c r="H48" i="13" s="1"/>
  <c r="C59" i="9"/>
  <c r="B49" i="15" s="1"/>
  <c r="D59" i="9"/>
  <c r="C49" i="15" s="1"/>
  <c r="E59" i="9"/>
  <c r="F59" i="9"/>
  <c r="M59" i="9" s="1"/>
  <c r="G59" i="9"/>
  <c r="G49" i="13" s="1"/>
  <c r="H59" i="9"/>
  <c r="C60" i="9"/>
  <c r="B50" i="15" s="1"/>
  <c r="D60" i="9"/>
  <c r="E60" i="9"/>
  <c r="F60" i="9"/>
  <c r="M60" i="9" s="1"/>
  <c r="G60" i="9"/>
  <c r="H60" i="9"/>
  <c r="C61" i="9"/>
  <c r="B51" i="15" s="1"/>
  <c r="D61" i="9"/>
  <c r="E61" i="9"/>
  <c r="F61" i="9"/>
  <c r="G61" i="9"/>
  <c r="H61" i="9"/>
  <c r="H51" i="13" s="1"/>
  <c r="C62" i="9"/>
  <c r="B52" i="15" s="1"/>
  <c r="D62" i="9"/>
  <c r="C52" i="15" s="1"/>
  <c r="E62" i="9"/>
  <c r="E52" i="13" s="1"/>
  <c r="F62" i="9"/>
  <c r="M62" i="9" s="1"/>
  <c r="G62" i="9"/>
  <c r="H62" i="9"/>
  <c r="H52" i="13" s="1"/>
  <c r="C63" i="9"/>
  <c r="B53" i="15" s="1"/>
  <c r="D63" i="9"/>
  <c r="D53" i="13" s="1"/>
  <c r="E63" i="9"/>
  <c r="F63" i="9"/>
  <c r="M63" i="9" s="1"/>
  <c r="G63" i="9"/>
  <c r="G53" i="13" s="1"/>
  <c r="H63" i="9"/>
  <c r="C64" i="9"/>
  <c r="B54" i="15" s="1"/>
  <c r="D64" i="9"/>
  <c r="E64" i="9"/>
  <c r="F64" i="9"/>
  <c r="M64" i="9" s="1"/>
  <c r="G64" i="9"/>
  <c r="H64" i="9"/>
  <c r="C65" i="9"/>
  <c r="B55" i="15" s="1"/>
  <c r="D65" i="9"/>
  <c r="E65" i="9"/>
  <c r="F65" i="9"/>
  <c r="G65" i="9"/>
  <c r="H65" i="9"/>
  <c r="C66" i="9"/>
  <c r="B56" i="15" s="1"/>
  <c r="D66" i="9"/>
  <c r="E66" i="9"/>
  <c r="D56" i="15" s="1"/>
  <c r="F66" i="9"/>
  <c r="M66" i="9" s="1"/>
  <c r="G66" i="9"/>
  <c r="H66" i="9"/>
  <c r="H56" i="13" s="1"/>
  <c r="C67" i="9"/>
  <c r="B57" i="15" s="1"/>
  <c r="D67" i="9"/>
  <c r="C57" i="15" s="1"/>
  <c r="E67" i="9"/>
  <c r="D57" i="15" s="1"/>
  <c r="F67" i="9"/>
  <c r="M67" i="9" s="1"/>
  <c r="G67" i="9"/>
  <c r="G57" i="13" s="1"/>
  <c r="H67" i="9"/>
  <c r="C68" i="9"/>
  <c r="B58" i="15" s="1"/>
  <c r="D68" i="9"/>
  <c r="E68" i="9"/>
  <c r="F68" i="9"/>
  <c r="M68" i="9" s="1"/>
  <c r="G68" i="9"/>
  <c r="H68" i="9"/>
  <c r="C69" i="9"/>
  <c r="B59" i="15" s="1"/>
  <c r="D69" i="9"/>
  <c r="E69" i="9"/>
  <c r="F69" i="9"/>
  <c r="G69" i="9"/>
  <c r="H69" i="9"/>
  <c r="H59" i="13" s="1"/>
  <c r="C70" i="9"/>
  <c r="B60" i="15" s="1"/>
  <c r="D70" i="9"/>
  <c r="C60" i="15" s="1"/>
  <c r="E70" i="9"/>
  <c r="D60" i="15" s="1"/>
  <c r="F70" i="9"/>
  <c r="M70" i="9" s="1"/>
  <c r="G70" i="9"/>
  <c r="H70" i="9"/>
  <c r="H60" i="13" s="1"/>
  <c r="C71" i="9"/>
  <c r="B61" i="15" s="1"/>
  <c r="D71" i="9"/>
  <c r="C61" i="15" s="1"/>
  <c r="E71" i="9"/>
  <c r="F71" i="9"/>
  <c r="M71" i="9" s="1"/>
  <c r="G71" i="9"/>
  <c r="G61" i="13" s="1"/>
  <c r="H71" i="9"/>
  <c r="C72" i="9"/>
  <c r="B62" i="15" s="1"/>
  <c r="D72" i="9"/>
  <c r="E72" i="9"/>
  <c r="F72" i="9"/>
  <c r="M72" i="9" s="1"/>
  <c r="G72" i="9"/>
  <c r="H72" i="9"/>
  <c r="C73" i="9"/>
  <c r="B63" i="15" s="1"/>
  <c r="D73" i="9"/>
  <c r="E73" i="9"/>
  <c r="F73" i="9"/>
  <c r="G73" i="9"/>
  <c r="H73" i="9"/>
  <c r="H63" i="13" s="1"/>
  <c r="C74" i="9"/>
  <c r="B64" i="15" s="1"/>
  <c r="D74" i="9"/>
  <c r="E74" i="9"/>
  <c r="E64" i="13" s="1"/>
  <c r="F74" i="9"/>
  <c r="M74" i="9" s="1"/>
  <c r="G74" i="9"/>
  <c r="H74" i="9"/>
  <c r="H64" i="13" s="1"/>
  <c r="C75" i="9"/>
  <c r="B65" i="15" s="1"/>
  <c r="D75" i="9"/>
  <c r="D65" i="13" s="1"/>
  <c r="E75" i="9"/>
  <c r="D65" i="15" s="1"/>
  <c r="F75" i="9"/>
  <c r="M75" i="9" s="1"/>
  <c r="G75" i="9"/>
  <c r="G65" i="13" s="1"/>
  <c r="H75" i="9"/>
  <c r="C76" i="9"/>
  <c r="B66" i="15" s="1"/>
  <c r="D76" i="9"/>
  <c r="D66" i="13" s="1"/>
  <c r="E76" i="9"/>
  <c r="D66" i="15" s="1"/>
  <c r="F76" i="9"/>
  <c r="M76" i="9" s="1"/>
  <c r="G76" i="9"/>
  <c r="H76" i="9"/>
  <c r="H66" i="13" s="1"/>
  <c r="C77" i="9"/>
  <c r="B67" i="15" s="1"/>
  <c r="D77" i="9"/>
  <c r="C67" i="15" s="1"/>
  <c r="E77" i="9"/>
  <c r="F77" i="9"/>
  <c r="G77" i="9"/>
  <c r="H77" i="9"/>
  <c r="H67" i="13" s="1"/>
  <c r="C78" i="9"/>
  <c r="B68" i="15" s="1"/>
  <c r="D78" i="9"/>
  <c r="D68" i="13" s="1"/>
  <c r="E78" i="9"/>
  <c r="E68" i="13" s="1"/>
  <c r="F78" i="9"/>
  <c r="M78" i="9" s="1"/>
  <c r="G78" i="9"/>
  <c r="H78" i="9"/>
  <c r="H68" i="13" s="1"/>
  <c r="C79" i="9"/>
  <c r="B69" i="15" s="1"/>
  <c r="D79" i="9"/>
  <c r="E79" i="9"/>
  <c r="D69" i="15" s="1"/>
  <c r="F79" i="9"/>
  <c r="M79" i="9" s="1"/>
  <c r="G79" i="9"/>
  <c r="G69" i="13" s="1"/>
  <c r="H79" i="9"/>
  <c r="C80" i="9"/>
  <c r="B70" i="15" s="1"/>
  <c r="D80" i="9"/>
  <c r="D70" i="13" s="1"/>
  <c r="E80" i="9"/>
  <c r="D70" i="15" s="1"/>
  <c r="F80" i="9"/>
  <c r="M80" i="9" s="1"/>
  <c r="G80" i="9"/>
  <c r="H80" i="9"/>
  <c r="H70" i="13" s="1"/>
  <c r="C81" i="9"/>
  <c r="B71" i="15" s="1"/>
  <c r="D81" i="9"/>
  <c r="E81" i="9"/>
  <c r="F81" i="9"/>
  <c r="G81" i="9"/>
  <c r="H81" i="9"/>
  <c r="H71" i="13" s="1"/>
  <c r="C82" i="9"/>
  <c r="B72" i="15" s="1"/>
  <c r="D82" i="9"/>
  <c r="C72" i="15" s="1"/>
  <c r="E82" i="9"/>
  <c r="F82" i="9"/>
  <c r="M82" i="9" s="1"/>
  <c r="G82" i="9"/>
  <c r="H82" i="9"/>
  <c r="H72" i="13" s="1"/>
  <c r="C83" i="9"/>
  <c r="B73" i="15" s="1"/>
  <c r="D83" i="9"/>
  <c r="D73" i="13" s="1"/>
  <c r="E83" i="9"/>
  <c r="D73" i="15" s="1"/>
  <c r="F83" i="9"/>
  <c r="M83" i="9" s="1"/>
  <c r="G83" i="9"/>
  <c r="H83" i="9"/>
  <c r="C84" i="9"/>
  <c r="B74" i="15" s="1"/>
  <c r="D84" i="9"/>
  <c r="E84" i="9"/>
  <c r="F84" i="9"/>
  <c r="M84" i="9" s="1"/>
  <c r="G84" i="9"/>
  <c r="H84" i="9"/>
  <c r="C85" i="9"/>
  <c r="B75" i="15" s="1"/>
  <c r="D85" i="9"/>
  <c r="C75" i="15" s="1"/>
  <c r="E85" i="9"/>
  <c r="F85" i="9"/>
  <c r="G85" i="9"/>
  <c r="H85" i="9"/>
  <c r="H75" i="13" s="1"/>
  <c r="C86" i="9"/>
  <c r="B76" i="15" s="1"/>
  <c r="D86" i="9"/>
  <c r="D76" i="13" s="1"/>
  <c r="E86" i="9"/>
  <c r="E76" i="13" s="1"/>
  <c r="F86" i="9"/>
  <c r="M86" i="9" s="1"/>
  <c r="G86" i="9"/>
  <c r="H86" i="9"/>
  <c r="H76" i="13" s="1"/>
  <c r="C87" i="9"/>
  <c r="B77" i="15" s="1"/>
  <c r="D87" i="9"/>
  <c r="D77" i="13" s="1"/>
  <c r="E87" i="9"/>
  <c r="D77" i="15" s="1"/>
  <c r="F87" i="9"/>
  <c r="M87" i="9" s="1"/>
  <c r="G87" i="9"/>
  <c r="G77" i="13" s="1"/>
  <c r="H87" i="9"/>
  <c r="C88" i="9"/>
  <c r="D88" i="9"/>
  <c r="C78" i="15" s="1"/>
  <c r="E88" i="9"/>
  <c r="D78" i="15" s="1"/>
  <c r="F88" i="9"/>
  <c r="M88" i="9" s="1"/>
  <c r="G88" i="9"/>
  <c r="H88" i="9"/>
  <c r="H78" i="13" s="1"/>
  <c r="C89" i="9"/>
  <c r="B79" i="15" s="1"/>
  <c r="D89" i="9"/>
  <c r="E89" i="9"/>
  <c r="E79" i="13" s="1"/>
  <c r="F89" i="9"/>
  <c r="G89" i="9"/>
  <c r="H89" i="9"/>
  <c r="H79" i="13" s="1"/>
  <c r="C90" i="9"/>
  <c r="B80" i="15" s="1"/>
  <c r="D90" i="9"/>
  <c r="C80" i="15" s="1"/>
  <c r="E90" i="9"/>
  <c r="E80" i="13" s="1"/>
  <c r="F90" i="9"/>
  <c r="M90" i="9" s="1"/>
  <c r="G90" i="9"/>
  <c r="G80" i="13" s="1"/>
  <c r="H90" i="9"/>
  <c r="H80" i="13" s="1"/>
  <c r="C91" i="9"/>
  <c r="B81" i="15" s="1"/>
  <c r="D91" i="9"/>
  <c r="C81" i="15" s="1"/>
  <c r="E91" i="9"/>
  <c r="D81" i="15" s="1"/>
  <c r="F91" i="9"/>
  <c r="M91" i="9" s="1"/>
  <c r="G91" i="9"/>
  <c r="G81" i="13" s="1"/>
  <c r="H91" i="9"/>
  <c r="C92" i="9"/>
  <c r="D92" i="9"/>
  <c r="C82" i="15" s="1"/>
  <c r="E92" i="9"/>
  <c r="F92" i="9"/>
  <c r="M92" i="9" s="1"/>
  <c r="G92" i="9"/>
  <c r="H92" i="9"/>
  <c r="C93" i="9"/>
  <c r="B83" i="15" s="1"/>
  <c r="D93" i="9"/>
  <c r="C83" i="15" s="1"/>
  <c r="E93" i="9"/>
  <c r="E83" i="13" s="1"/>
  <c r="F93" i="9"/>
  <c r="G93" i="9"/>
  <c r="H93" i="9"/>
  <c r="H83" i="13" s="1"/>
  <c r="C94" i="9"/>
  <c r="B84" i="15" s="1"/>
  <c r="D94" i="9"/>
  <c r="E94" i="9"/>
  <c r="E84" i="13" s="1"/>
  <c r="F94" i="9"/>
  <c r="M94" i="9" s="1"/>
  <c r="G94" i="9"/>
  <c r="G84" i="13" s="1"/>
  <c r="H94" i="9"/>
  <c r="C95" i="9"/>
  <c r="B85" i="15" s="1"/>
  <c r="D95" i="9"/>
  <c r="D85" i="13" s="1"/>
  <c r="E95" i="9"/>
  <c r="F95" i="9"/>
  <c r="M95" i="9" s="1"/>
  <c r="G95" i="9"/>
  <c r="G85" i="13" s="1"/>
  <c r="H95" i="9"/>
  <c r="C96" i="9"/>
  <c r="B86" i="15" s="1"/>
  <c r="D96" i="9"/>
  <c r="D86" i="13" s="1"/>
  <c r="E96" i="9"/>
  <c r="F96" i="9"/>
  <c r="M96" i="9" s="1"/>
  <c r="G96" i="9"/>
  <c r="H96" i="9"/>
  <c r="H86" i="13" s="1"/>
  <c r="C97" i="9"/>
  <c r="B87" i="15" s="1"/>
  <c r="D97" i="9"/>
  <c r="C87" i="15" s="1"/>
  <c r="E97" i="9"/>
  <c r="F97" i="9"/>
  <c r="G97" i="9"/>
  <c r="H97" i="9"/>
  <c r="H87" i="13" s="1"/>
  <c r="C98" i="9"/>
  <c r="B88" i="15" s="1"/>
  <c r="D98" i="9"/>
  <c r="D88" i="13" s="1"/>
  <c r="E98" i="9"/>
  <c r="E88" i="13" s="1"/>
  <c r="F98" i="9"/>
  <c r="G98" i="9"/>
  <c r="H98" i="9"/>
  <c r="H88" i="13" s="1"/>
  <c r="C99" i="9"/>
  <c r="B89" i="15" s="1"/>
  <c r="D99" i="9"/>
  <c r="D89" i="13" s="1"/>
  <c r="E99" i="9"/>
  <c r="D89" i="15" s="1"/>
  <c r="F99" i="9"/>
  <c r="M99" i="9" s="1"/>
  <c r="G99" i="9"/>
  <c r="G89" i="13" s="1"/>
  <c r="H99" i="9"/>
  <c r="H89" i="13" s="1"/>
  <c r="C100" i="9"/>
  <c r="B90" i="15" s="1"/>
  <c r="D100" i="9"/>
  <c r="E100" i="9"/>
  <c r="D90" i="15" s="1"/>
  <c r="F100" i="9"/>
  <c r="M100" i="9" s="1"/>
  <c r="G100" i="9"/>
  <c r="H100" i="9"/>
  <c r="C101" i="9"/>
  <c r="B91" i="15" s="1"/>
  <c r="D101" i="9"/>
  <c r="C91" i="15" s="1"/>
  <c r="E101" i="9"/>
  <c r="F101" i="9"/>
  <c r="G101" i="9"/>
  <c r="H101" i="9"/>
  <c r="C102" i="9"/>
  <c r="B92" i="15" s="1"/>
  <c r="D102" i="9"/>
  <c r="D92" i="13" s="1"/>
  <c r="E102" i="9"/>
  <c r="E92" i="13" s="1"/>
  <c r="F102" i="9"/>
  <c r="M102" i="9" s="1"/>
  <c r="G102" i="9"/>
  <c r="H102" i="9"/>
  <c r="C103" i="9"/>
  <c r="B93" i="15" s="1"/>
  <c r="D103" i="9"/>
  <c r="D93" i="13" s="1"/>
  <c r="E103" i="9"/>
  <c r="F103" i="9"/>
  <c r="G103" i="9"/>
  <c r="G93" i="13" s="1"/>
  <c r="H103" i="9"/>
  <c r="C104" i="9"/>
  <c r="B94" i="15" s="1"/>
  <c r="D104" i="9"/>
  <c r="E104" i="9"/>
  <c r="F104" i="9"/>
  <c r="G104" i="9"/>
  <c r="H104" i="9"/>
  <c r="H94" i="13" s="1"/>
  <c r="C105" i="9"/>
  <c r="B95" i="15" s="1"/>
  <c r="D105" i="9"/>
  <c r="E105" i="9"/>
  <c r="F105" i="9"/>
  <c r="M105" i="9" s="1"/>
  <c r="G105" i="9"/>
  <c r="H105" i="9"/>
  <c r="H95" i="13" s="1"/>
  <c r="C106" i="9"/>
  <c r="B96" i="15" s="1"/>
  <c r="D106" i="9"/>
  <c r="D96" i="13" s="1"/>
  <c r="E106" i="9"/>
  <c r="E96" i="13" s="1"/>
  <c r="F106" i="9"/>
  <c r="M106" i="9" s="1"/>
  <c r="G106" i="9"/>
  <c r="H106" i="9"/>
  <c r="H96" i="13" s="1"/>
  <c r="C107" i="9"/>
  <c r="B97" i="15" s="1"/>
  <c r="D107" i="9"/>
  <c r="E107" i="9"/>
  <c r="F107" i="9"/>
  <c r="G107" i="9"/>
  <c r="G97" i="13" s="1"/>
  <c r="H107" i="9"/>
  <c r="C108" i="9"/>
  <c r="B98" i="15" s="1"/>
  <c r="D108" i="9"/>
  <c r="E108" i="9"/>
  <c r="F108" i="9"/>
  <c r="M108" i="9" s="1"/>
  <c r="G108" i="9"/>
  <c r="H108" i="9"/>
  <c r="H98" i="13" s="1"/>
  <c r="C109" i="9"/>
  <c r="B99" i="15" s="1"/>
  <c r="D109" i="9"/>
  <c r="C99" i="15" s="1"/>
  <c r="E109" i="9"/>
  <c r="D99" i="15" s="1"/>
  <c r="F109" i="9"/>
  <c r="G109" i="9"/>
  <c r="H109" i="9"/>
  <c r="C110" i="9"/>
  <c r="B100" i="15" s="1"/>
  <c r="D110" i="9"/>
  <c r="E110" i="9"/>
  <c r="E100" i="13" s="1"/>
  <c r="F110" i="9"/>
  <c r="M110" i="9" s="1"/>
  <c r="G110" i="9"/>
  <c r="H110" i="9"/>
  <c r="C111" i="9"/>
  <c r="B101" i="15" s="1"/>
  <c r="D111" i="9"/>
  <c r="E111" i="9"/>
  <c r="F111" i="9"/>
  <c r="G111" i="9"/>
  <c r="G101" i="13" s="1"/>
  <c r="H111" i="9"/>
  <c r="C112" i="9"/>
  <c r="D112" i="9"/>
  <c r="D102" i="13" s="1"/>
  <c r="E112" i="9"/>
  <c r="F112" i="9"/>
  <c r="G112" i="9"/>
  <c r="H112" i="9"/>
  <c r="H102" i="13" s="1"/>
  <c r="C113" i="9"/>
  <c r="B103" i="15" s="1"/>
  <c r="D113" i="9"/>
  <c r="E113" i="9"/>
  <c r="D103" i="15" s="1"/>
  <c r="F113" i="9"/>
  <c r="G113" i="9"/>
  <c r="H113" i="9"/>
  <c r="H103" i="13" s="1"/>
  <c r="C114" i="9"/>
  <c r="B104" i="15" s="1"/>
  <c r="D114" i="9"/>
  <c r="E114" i="9"/>
  <c r="E104" i="13" s="1"/>
  <c r="F114" i="9"/>
  <c r="M114" i="9" s="1"/>
  <c r="G114" i="9"/>
  <c r="H114" i="9"/>
  <c r="C115" i="9"/>
  <c r="B105" i="15" s="1"/>
  <c r="D115" i="9"/>
  <c r="D105" i="13" s="1"/>
  <c r="E115" i="9"/>
  <c r="F115" i="9"/>
  <c r="G115" i="9"/>
  <c r="G105" i="13" s="1"/>
  <c r="H115" i="9"/>
  <c r="C116" i="9"/>
  <c r="B106" i="15" s="1"/>
  <c r="D116" i="9"/>
  <c r="C106" i="15" s="1"/>
  <c r="E116" i="9"/>
  <c r="D106" i="15" s="1"/>
  <c r="F116" i="9"/>
  <c r="M116" i="9" s="1"/>
  <c r="G116" i="9"/>
  <c r="G106" i="13" s="1"/>
  <c r="H116" i="9"/>
  <c r="H106" i="13" s="1"/>
  <c r="C117" i="9"/>
  <c r="B107" i="15" s="1"/>
  <c r="D117" i="9"/>
  <c r="C107" i="15" s="1"/>
  <c r="E117" i="9"/>
  <c r="D107" i="15" s="1"/>
  <c r="F117" i="9"/>
  <c r="M117" i="9" s="1"/>
  <c r="G117" i="9"/>
  <c r="H117" i="9"/>
  <c r="C118" i="9"/>
  <c r="D118" i="9"/>
  <c r="C108" i="15" s="1"/>
  <c r="E118" i="9"/>
  <c r="D108" i="15" s="1"/>
  <c r="F118" i="9"/>
  <c r="M118" i="9" s="1"/>
  <c r="G118" i="9"/>
  <c r="H118" i="9"/>
  <c r="C119" i="9"/>
  <c r="D119" i="9"/>
  <c r="D109" i="13" s="1"/>
  <c r="E119" i="9"/>
  <c r="E109" i="13" s="1"/>
  <c r="F119" i="9"/>
  <c r="M119" i="9" s="1"/>
  <c r="G119" i="9"/>
  <c r="G109" i="13" s="1"/>
  <c r="H119" i="9"/>
  <c r="C120" i="9"/>
  <c r="B110" i="15" s="1"/>
  <c r="D120" i="9"/>
  <c r="D110" i="13" s="1"/>
  <c r="E120" i="9"/>
  <c r="F120" i="9"/>
  <c r="M120" i="9" s="1"/>
  <c r="G120" i="9"/>
  <c r="H120" i="9"/>
  <c r="H110" i="13" s="1"/>
  <c r="C121" i="9"/>
  <c r="D121" i="9"/>
  <c r="C111" i="15" s="1"/>
  <c r="E121" i="9"/>
  <c r="D111" i="15" s="1"/>
  <c r="F121" i="9"/>
  <c r="G121" i="9"/>
  <c r="H121" i="9"/>
  <c r="H111" i="13" s="1"/>
  <c r="C122" i="9"/>
  <c r="D122" i="9"/>
  <c r="C112" i="15" s="1"/>
  <c r="E122" i="9"/>
  <c r="E112" i="13" s="1"/>
  <c r="F122" i="9"/>
  <c r="M122" i="9" s="1"/>
  <c r="G122" i="9"/>
  <c r="H122" i="9"/>
  <c r="C123" i="9"/>
  <c r="D123" i="9"/>
  <c r="E123" i="9"/>
  <c r="E113" i="13" s="1"/>
  <c r="F123" i="9"/>
  <c r="M123" i="9" s="1"/>
  <c r="G123" i="9"/>
  <c r="H123" i="9"/>
  <c r="C124" i="9"/>
  <c r="B114" i="15" s="1"/>
  <c r="D124" i="9"/>
  <c r="C114" i="15" s="1"/>
  <c r="E124" i="9"/>
  <c r="F124" i="9"/>
  <c r="G124" i="9"/>
  <c r="H124" i="9"/>
  <c r="C125" i="9"/>
  <c r="B115" i="15" s="1"/>
  <c r="D125" i="9"/>
  <c r="E125" i="9"/>
  <c r="D115" i="15" s="1"/>
  <c r="F125" i="9"/>
  <c r="G125" i="9"/>
  <c r="H125" i="9"/>
  <c r="C126" i="9"/>
  <c r="D126" i="9"/>
  <c r="C116" i="15" s="1"/>
  <c r="E126" i="9"/>
  <c r="D116" i="15" s="1"/>
  <c r="F126" i="9"/>
  <c r="M126" i="9" s="1"/>
  <c r="G126" i="9"/>
  <c r="H126" i="9"/>
  <c r="H116" i="13" s="1"/>
  <c r="C127" i="9"/>
  <c r="B117" i="15" s="1"/>
  <c r="D127" i="9"/>
  <c r="C117" i="15" s="1"/>
  <c r="E127" i="9"/>
  <c r="E117" i="13" s="1"/>
  <c r="F127" i="9"/>
  <c r="M127" i="9" s="1"/>
  <c r="G127" i="9"/>
  <c r="G117" i="13" s="1"/>
  <c r="H127" i="9"/>
  <c r="C128" i="9"/>
  <c r="B118" i="15" s="1"/>
  <c r="D128" i="9"/>
  <c r="D118" i="13" s="1"/>
  <c r="E128" i="9"/>
  <c r="F128" i="9"/>
  <c r="G128" i="9"/>
  <c r="G118" i="13" s="1"/>
  <c r="H128" i="9"/>
  <c r="H118" i="13" s="1"/>
  <c r="C129" i="9"/>
  <c r="B119" i="15" s="1"/>
  <c r="D129" i="9"/>
  <c r="C119" i="15" s="1"/>
  <c r="E129" i="9"/>
  <c r="F129" i="9"/>
  <c r="G129" i="9"/>
  <c r="H129" i="9"/>
  <c r="H119" i="13" s="1"/>
  <c r="C130" i="9"/>
  <c r="D130" i="9"/>
  <c r="C120" i="15" s="1"/>
  <c r="E130" i="9"/>
  <c r="D120" i="15" s="1"/>
  <c r="F130" i="9"/>
  <c r="M130" i="9" s="1"/>
  <c r="G130" i="9"/>
  <c r="H130" i="9"/>
  <c r="H120" i="13" s="1"/>
  <c r="C131" i="9"/>
  <c r="B121" i="15" s="1"/>
  <c r="D131" i="9"/>
  <c r="C121" i="15" s="1"/>
  <c r="E131" i="9"/>
  <c r="E121" i="13" s="1"/>
  <c r="F131" i="9"/>
  <c r="M131" i="9" s="1"/>
  <c r="G131" i="9"/>
  <c r="G121" i="13" s="1"/>
  <c r="H131" i="9"/>
  <c r="C132" i="9"/>
  <c r="B122" i="15" s="1"/>
  <c r="D132" i="9"/>
  <c r="C122" i="15" s="1"/>
  <c r="E132" i="9"/>
  <c r="F132" i="9"/>
  <c r="G132" i="9"/>
  <c r="G122" i="13" s="1"/>
  <c r="H132" i="9"/>
  <c r="C133" i="9"/>
  <c r="B123" i="15" s="1"/>
  <c r="D133" i="9"/>
  <c r="E133" i="9"/>
  <c r="F133" i="9"/>
  <c r="M133" i="9" s="1"/>
  <c r="G133" i="9"/>
  <c r="H133" i="9"/>
  <c r="H123" i="13" s="1"/>
  <c r="C134" i="9"/>
  <c r="D134" i="9"/>
  <c r="C124" i="15" s="1"/>
  <c r="E134" i="9"/>
  <c r="E124" i="13" s="1"/>
  <c r="F134" i="9"/>
  <c r="M134" i="9" s="1"/>
  <c r="G134" i="9"/>
  <c r="H134" i="9"/>
  <c r="H124" i="13" s="1"/>
  <c r="C135" i="9"/>
  <c r="B125" i="15" s="1"/>
  <c r="D135" i="9"/>
  <c r="C125" i="15" s="1"/>
  <c r="E135" i="9"/>
  <c r="F135" i="9"/>
  <c r="M135" i="9" s="1"/>
  <c r="G135" i="9"/>
  <c r="G125" i="13" s="1"/>
  <c r="H135" i="9"/>
  <c r="C136" i="9"/>
  <c r="B126" i="15" s="1"/>
  <c r="D136" i="9"/>
  <c r="E136" i="9"/>
  <c r="F136" i="9"/>
  <c r="G136" i="9"/>
  <c r="G126" i="13" s="1"/>
  <c r="H136" i="9"/>
  <c r="C137" i="9"/>
  <c r="B127" i="15" s="1"/>
  <c r="D137" i="9"/>
  <c r="E137" i="9"/>
  <c r="F137" i="9"/>
  <c r="G137" i="9"/>
  <c r="H137" i="9"/>
  <c r="C138" i="9"/>
  <c r="D138" i="9"/>
  <c r="E138" i="9"/>
  <c r="D128" i="15" s="1"/>
  <c r="F138" i="9"/>
  <c r="M138" i="9" s="1"/>
  <c r="G138" i="9"/>
  <c r="H138" i="9"/>
  <c r="H128" i="13" s="1"/>
  <c r="C139" i="9"/>
  <c r="B129" i="15" s="1"/>
  <c r="D139" i="9"/>
  <c r="C129" i="15" s="1"/>
  <c r="E139" i="9"/>
  <c r="F139" i="9"/>
  <c r="M139" i="9" s="1"/>
  <c r="G139" i="9"/>
  <c r="G129" i="13" s="1"/>
  <c r="H139" i="9"/>
  <c r="C140" i="9"/>
  <c r="B130" i="15" s="1"/>
  <c r="D140" i="9"/>
  <c r="D130" i="13" s="1"/>
  <c r="E140" i="9"/>
  <c r="F140" i="9"/>
  <c r="G140" i="9"/>
  <c r="G130" i="13" s="1"/>
  <c r="H140" i="9"/>
  <c r="H130" i="13" s="1"/>
  <c r="C141" i="9"/>
  <c r="B131" i="15" s="1"/>
  <c r="D141" i="9"/>
  <c r="E141" i="9"/>
  <c r="D131" i="15" s="1"/>
  <c r="F141" i="9"/>
  <c r="G141" i="9"/>
  <c r="H141" i="9"/>
  <c r="H131" i="13" s="1"/>
  <c r="C142" i="9"/>
  <c r="D142" i="9"/>
  <c r="D132" i="13" s="1"/>
  <c r="E142" i="9"/>
  <c r="D132" i="15" s="1"/>
  <c r="F142" i="9"/>
  <c r="M142" i="9" s="1"/>
  <c r="G142" i="9"/>
  <c r="H142" i="9"/>
  <c r="H132" i="13" s="1"/>
  <c r="C143" i="9"/>
  <c r="B133" i="15" s="1"/>
  <c r="D143" i="9"/>
  <c r="E143" i="9"/>
  <c r="E133" i="13" s="1"/>
  <c r="F143" i="9"/>
  <c r="M143" i="9" s="1"/>
  <c r="G143" i="9"/>
  <c r="G133" i="13" s="1"/>
  <c r="H143" i="9"/>
  <c r="C144" i="9"/>
  <c r="B134" i="15" s="1"/>
  <c r="D144" i="9"/>
  <c r="C134" i="15" s="1"/>
  <c r="E144" i="9"/>
  <c r="F144" i="9"/>
  <c r="M144" i="9" s="1"/>
  <c r="G144" i="9"/>
  <c r="G134" i="13" s="1"/>
  <c r="H144" i="9"/>
  <c r="C145" i="9"/>
  <c r="B135" i="15" s="1"/>
  <c r="D145" i="9"/>
  <c r="E145" i="9"/>
  <c r="F145" i="9"/>
  <c r="G145" i="9"/>
  <c r="H145" i="9"/>
  <c r="C146" i="9"/>
  <c r="D146" i="9"/>
  <c r="C136" i="15" s="1"/>
  <c r="E146" i="9"/>
  <c r="D136" i="15" s="1"/>
  <c r="F146" i="9"/>
  <c r="M146" i="9" s="1"/>
  <c r="G146" i="9"/>
  <c r="H146" i="9"/>
  <c r="H136" i="13" s="1"/>
  <c r="C147" i="9"/>
  <c r="B137" i="15" s="1"/>
  <c r="D147" i="9"/>
  <c r="E147" i="9"/>
  <c r="E137" i="13" s="1"/>
  <c r="F147" i="9"/>
  <c r="M147" i="9" s="1"/>
  <c r="G147" i="9"/>
  <c r="G137" i="13" s="1"/>
  <c r="H147" i="9"/>
  <c r="C148" i="9"/>
  <c r="B138" i="15" s="1"/>
  <c r="D148" i="9"/>
  <c r="D138" i="13" s="1"/>
  <c r="E148" i="9"/>
  <c r="F148" i="9"/>
  <c r="G148" i="9"/>
  <c r="G138" i="13" s="1"/>
  <c r="H148" i="9"/>
  <c r="H138" i="13" s="1"/>
  <c r="C149" i="9"/>
  <c r="B139" i="15" s="1"/>
  <c r="D149" i="9"/>
  <c r="E149" i="9"/>
  <c r="F149" i="9"/>
  <c r="G149" i="9"/>
  <c r="H149" i="9"/>
  <c r="H139" i="13" s="1"/>
  <c r="C150" i="9"/>
  <c r="B140" i="15" s="1"/>
  <c r="D150" i="9"/>
  <c r="C140" i="15" s="1"/>
  <c r="E150" i="9"/>
  <c r="E140" i="13" s="1"/>
  <c r="F150" i="9"/>
  <c r="G150" i="9"/>
  <c r="H150" i="9"/>
  <c r="H140" i="13" s="1"/>
  <c r="C151" i="9"/>
  <c r="B141" i="15" s="1"/>
  <c r="D151" i="9"/>
  <c r="D141" i="13" s="1"/>
  <c r="E151" i="9"/>
  <c r="D141" i="15" s="1"/>
  <c r="F151" i="9"/>
  <c r="M151" i="9" s="1"/>
  <c r="G151" i="9"/>
  <c r="G141" i="13" s="1"/>
  <c r="H151" i="9"/>
  <c r="C152" i="9"/>
  <c r="B142" i="15" s="1"/>
  <c r="D152" i="9"/>
  <c r="D142" i="13" s="1"/>
  <c r="E152" i="9"/>
  <c r="E142" i="13" s="1"/>
  <c r="F152" i="9"/>
  <c r="M152" i="9" s="1"/>
  <c r="G152" i="9"/>
  <c r="H152" i="9"/>
  <c r="H142" i="13" s="1"/>
  <c r="C153" i="9"/>
  <c r="B143" i="15" s="1"/>
  <c r="D153" i="9"/>
  <c r="C143" i="15" s="1"/>
  <c r="E153" i="9"/>
  <c r="F153" i="9"/>
  <c r="G153" i="9"/>
  <c r="G143" i="13" s="1"/>
  <c r="H153" i="9"/>
  <c r="H143" i="13" s="1"/>
  <c r="C154" i="9"/>
  <c r="B144" i="15" s="1"/>
  <c r="D154" i="9"/>
  <c r="C144" i="15" s="1"/>
  <c r="E154" i="9"/>
  <c r="D144" i="15" s="1"/>
  <c r="F154" i="9"/>
  <c r="M154" i="9" s="1"/>
  <c r="G154" i="9"/>
  <c r="H154" i="9"/>
  <c r="H144" i="13" s="1"/>
  <c r="C155" i="9"/>
  <c r="D155" i="9"/>
  <c r="D145" i="13" s="1"/>
  <c r="E155" i="9"/>
  <c r="F155" i="9"/>
  <c r="M155" i="9" s="1"/>
  <c r="G155" i="9"/>
  <c r="G145" i="13" s="1"/>
  <c r="H155" i="9"/>
  <c r="C156" i="9"/>
  <c r="B146" i="15" s="1"/>
  <c r="D156" i="9"/>
  <c r="E156" i="9"/>
  <c r="E146" i="13" s="1"/>
  <c r="F156" i="9"/>
  <c r="G156" i="9"/>
  <c r="H156" i="9"/>
  <c r="H146" i="13" s="1"/>
  <c r="C157" i="9"/>
  <c r="B147" i="15" s="1"/>
  <c r="D157" i="9"/>
  <c r="E157" i="9"/>
  <c r="F157" i="9"/>
  <c r="G157" i="9"/>
  <c r="G147" i="13" s="1"/>
  <c r="H157" i="9"/>
  <c r="H147" i="13" s="1"/>
  <c r="C158" i="9"/>
  <c r="B148" i="15" s="1"/>
  <c r="D158" i="9"/>
  <c r="D148" i="13" s="1"/>
  <c r="E158" i="9"/>
  <c r="E148" i="13" s="1"/>
  <c r="F158" i="9"/>
  <c r="M158" i="9" s="1"/>
  <c r="G158" i="9"/>
  <c r="H158" i="9"/>
  <c r="H148" i="13" s="1"/>
  <c r="C159" i="9"/>
  <c r="D159" i="9"/>
  <c r="D149" i="13" s="1"/>
  <c r="E159" i="9"/>
  <c r="F159" i="9"/>
  <c r="M159" i="9" s="1"/>
  <c r="G159" i="9"/>
  <c r="G149" i="13" s="1"/>
  <c r="H159" i="9"/>
  <c r="C160" i="9"/>
  <c r="B150" i="15" s="1"/>
  <c r="D160" i="9"/>
  <c r="D150" i="13" s="1"/>
  <c r="E160" i="9"/>
  <c r="E150" i="13" s="1"/>
  <c r="F160" i="9"/>
  <c r="M160" i="9" s="1"/>
  <c r="G160" i="9"/>
  <c r="H160" i="9"/>
  <c r="C161" i="9"/>
  <c r="B151" i="15" s="1"/>
  <c r="D161" i="9"/>
  <c r="E161" i="9"/>
  <c r="F161" i="9"/>
  <c r="G161" i="9"/>
  <c r="G151" i="13" s="1"/>
  <c r="H161" i="9"/>
  <c r="H151" i="13" s="1"/>
  <c r="C162" i="9"/>
  <c r="B152" i="15" s="1"/>
  <c r="D162" i="9"/>
  <c r="C152" i="15" s="1"/>
  <c r="E162" i="9"/>
  <c r="D152" i="15" s="1"/>
  <c r="F162" i="9"/>
  <c r="M162" i="9" s="1"/>
  <c r="G162" i="9"/>
  <c r="H162" i="9"/>
  <c r="C163" i="9"/>
  <c r="D163" i="9"/>
  <c r="D153" i="13" s="1"/>
  <c r="E163" i="9"/>
  <c r="D153" i="15" s="1"/>
  <c r="F163" i="9"/>
  <c r="M163" i="9" s="1"/>
  <c r="G163" i="9"/>
  <c r="G153" i="13" s="1"/>
  <c r="H163" i="9"/>
  <c r="C164" i="9"/>
  <c r="B154" i="15" s="1"/>
  <c r="D164" i="9"/>
  <c r="E164" i="9"/>
  <c r="E154" i="13" s="1"/>
  <c r="F164" i="9"/>
  <c r="M164" i="9" s="1"/>
  <c r="G164" i="9"/>
  <c r="H164" i="9"/>
  <c r="H154" i="13" s="1"/>
  <c r="C165" i="9"/>
  <c r="B155" i="15" s="1"/>
  <c r="D165" i="9"/>
  <c r="E165" i="9"/>
  <c r="F165" i="9"/>
  <c r="G165" i="9"/>
  <c r="G155" i="13" s="1"/>
  <c r="H165" i="9"/>
  <c r="H155" i="13" s="1"/>
  <c r="C166" i="9"/>
  <c r="B156" i="15" s="1"/>
  <c r="D166" i="9"/>
  <c r="C156" i="15" s="1"/>
  <c r="E166" i="9"/>
  <c r="E156" i="13" s="1"/>
  <c r="F166" i="9"/>
  <c r="M166" i="9" s="1"/>
  <c r="G166" i="9"/>
  <c r="H166" i="9"/>
  <c r="H156" i="13" s="1"/>
  <c r="C167" i="9"/>
  <c r="D167" i="9"/>
  <c r="D157" i="13" s="1"/>
  <c r="E167" i="9"/>
  <c r="F167" i="9"/>
  <c r="M167" i="9" s="1"/>
  <c r="G167" i="9"/>
  <c r="G157" i="13" s="1"/>
  <c r="H167" i="9"/>
  <c r="C168" i="9"/>
  <c r="B158" i="15" s="1"/>
  <c r="D168" i="9"/>
  <c r="E168" i="9"/>
  <c r="E158" i="13" s="1"/>
  <c r="F168" i="9"/>
  <c r="G168" i="9"/>
  <c r="H168" i="9"/>
  <c r="C169" i="9"/>
  <c r="B159" i="15" s="1"/>
  <c r="D169" i="9"/>
  <c r="C159" i="15" s="1"/>
  <c r="E169" i="9"/>
  <c r="F169" i="9"/>
  <c r="G169" i="9"/>
  <c r="G159" i="13" s="1"/>
  <c r="H169" i="9"/>
  <c r="H159" i="13" s="1"/>
  <c r="C170" i="9"/>
  <c r="B160" i="15" s="1"/>
  <c r="D170" i="9"/>
  <c r="E170" i="9"/>
  <c r="D160" i="15" s="1"/>
  <c r="F170" i="9"/>
  <c r="M170" i="9" s="1"/>
  <c r="G170" i="9"/>
  <c r="H170" i="9"/>
  <c r="H160" i="13" s="1"/>
  <c r="C171" i="9"/>
  <c r="B161" i="15" s="1"/>
  <c r="D171" i="9"/>
  <c r="D161" i="13" s="1"/>
  <c r="E171" i="9"/>
  <c r="F171" i="9"/>
  <c r="M171" i="9" s="1"/>
  <c r="G171" i="9"/>
  <c r="G161" i="13" s="1"/>
  <c r="H171" i="9"/>
  <c r="C172" i="9"/>
  <c r="B162" i="15" s="1"/>
  <c r="D172" i="9"/>
  <c r="E172" i="9"/>
  <c r="D162" i="15" s="1"/>
  <c r="F172" i="9"/>
  <c r="G172" i="9"/>
  <c r="H172" i="9"/>
  <c r="H162" i="13" s="1"/>
  <c r="C173" i="9"/>
  <c r="B163" i="15" s="1"/>
  <c r="D173" i="9"/>
  <c r="E173" i="9"/>
  <c r="F173" i="9"/>
  <c r="G173" i="9"/>
  <c r="H173" i="9"/>
  <c r="H163" i="13" s="1"/>
  <c r="C174" i="9"/>
  <c r="B164" i="15" s="1"/>
  <c r="D174" i="9"/>
  <c r="C164" i="15" s="1"/>
  <c r="E174" i="9"/>
  <c r="E164" i="13" s="1"/>
  <c r="F174" i="9"/>
  <c r="M174" i="9" s="1"/>
  <c r="G174" i="9"/>
  <c r="H174" i="9"/>
  <c r="H164" i="13" s="1"/>
  <c r="C175" i="9"/>
  <c r="B165" i="15" s="1"/>
  <c r="D175" i="9"/>
  <c r="D165" i="13" s="1"/>
  <c r="E175" i="9"/>
  <c r="F175" i="9"/>
  <c r="G175" i="9"/>
  <c r="G165" i="13" s="1"/>
  <c r="H175" i="9"/>
  <c r="C176" i="9"/>
  <c r="B166" i="15" s="1"/>
  <c r="D176" i="9"/>
  <c r="E176" i="9"/>
  <c r="F176" i="9"/>
  <c r="M176" i="9" s="1"/>
  <c r="G176" i="9"/>
  <c r="H176" i="9"/>
  <c r="H166" i="13" s="1"/>
  <c r="C177" i="9"/>
  <c r="B167" i="15" s="1"/>
  <c r="D177" i="9"/>
  <c r="C167" i="15" s="1"/>
  <c r="E177" i="9"/>
  <c r="F177" i="9"/>
  <c r="G177" i="9"/>
  <c r="H177" i="9"/>
  <c r="C178" i="9"/>
  <c r="B168" i="15" s="1"/>
  <c r="D178" i="9"/>
  <c r="C168" i="15" s="1"/>
  <c r="E178" i="9"/>
  <c r="E168" i="13" s="1"/>
  <c r="F178" i="9"/>
  <c r="M178" i="9" s="1"/>
  <c r="G178" i="9"/>
  <c r="H178" i="9"/>
  <c r="H168" i="13" s="1"/>
  <c r="C179" i="9"/>
  <c r="B169" i="15" s="1"/>
  <c r="D179" i="9"/>
  <c r="D169" i="13" s="1"/>
  <c r="E179" i="9"/>
  <c r="D169" i="15" s="1"/>
  <c r="F179" i="9"/>
  <c r="M179" i="9" s="1"/>
  <c r="G179" i="9"/>
  <c r="G169" i="13" s="1"/>
  <c r="H179" i="9"/>
  <c r="C180" i="9"/>
  <c r="B170" i="15" s="1"/>
  <c r="D180" i="9"/>
  <c r="D170" i="13" s="1"/>
  <c r="E180" i="9"/>
  <c r="F180" i="9"/>
  <c r="G180" i="9"/>
  <c r="H180" i="9"/>
  <c r="H170" i="13" s="1"/>
  <c r="C181" i="9"/>
  <c r="B171" i="15" s="1"/>
  <c r="D181" i="9"/>
  <c r="E181" i="9"/>
  <c r="F181" i="9"/>
  <c r="G181" i="9"/>
  <c r="H181" i="9"/>
  <c r="H171" i="13" s="1"/>
  <c r="C182" i="9"/>
  <c r="B172" i="15" s="1"/>
  <c r="D182" i="9"/>
  <c r="D172" i="13" s="1"/>
  <c r="E182" i="9"/>
  <c r="E172" i="13" s="1"/>
  <c r="F182" i="9"/>
  <c r="G182" i="9"/>
  <c r="H182" i="9"/>
  <c r="H172" i="13" s="1"/>
  <c r="C183" i="9"/>
  <c r="B173" i="15" s="1"/>
  <c r="D183" i="9"/>
  <c r="E183" i="9"/>
  <c r="F183" i="9"/>
  <c r="M183" i="9" s="1"/>
  <c r="G183" i="9"/>
  <c r="G173" i="13" s="1"/>
  <c r="H183" i="9"/>
  <c r="C184" i="9"/>
  <c r="B174" i="15" s="1"/>
  <c r="D184" i="9"/>
  <c r="E184" i="9"/>
  <c r="F184" i="9"/>
  <c r="G184" i="9"/>
  <c r="H184" i="9"/>
  <c r="H174" i="13" s="1"/>
  <c r="C185" i="9"/>
  <c r="B175" i="15" s="1"/>
  <c r="D185" i="9"/>
  <c r="C175" i="15" s="1"/>
  <c r="E185" i="9"/>
  <c r="F185" i="9"/>
  <c r="G185" i="9"/>
  <c r="H185" i="9"/>
  <c r="H175" i="13" s="1"/>
  <c r="C186" i="9"/>
  <c r="B176" i="15" s="1"/>
  <c r="D186" i="9"/>
  <c r="C176" i="15" s="1"/>
  <c r="E186" i="9"/>
  <c r="D176" i="15" s="1"/>
  <c r="F186" i="9"/>
  <c r="G186" i="9"/>
  <c r="H186" i="9"/>
  <c r="H176" i="13" s="1"/>
  <c r="C187" i="9"/>
  <c r="B177" i="15" s="1"/>
  <c r="D187" i="9"/>
  <c r="D177" i="13" s="1"/>
  <c r="E187" i="9"/>
  <c r="D177" i="15" s="1"/>
  <c r="F187" i="9"/>
  <c r="M187" i="9" s="1"/>
  <c r="G187" i="9"/>
  <c r="G177" i="13" s="1"/>
  <c r="H187" i="9"/>
  <c r="C188" i="9"/>
  <c r="B178" i="15" s="1"/>
  <c r="D188" i="9"/>
  <c r="D178" i="13" s="1"/>
  <c r="E188" i="9"/>
  <c r="F188" i="9"/>
  <c r="G188" i="9"/>
  <c r="H188" i="9"/>
  <c r="H178" i="13" s="1"/>
  <c r="C189" i="9"/>
  <c r="B179" i="15" s="1"/>
  <c r="D189" i="9"/>
  <c r="E189" i="9"/>
  <c r="F189" i="9"/>
  <c r="G189" i="9"/>
  <c r="H189" i="9"/>
  <c r="H179" i="13" s="1"/>
  <c r="C190" i="9"/>
  <c r="D190" i="9"/>
  <c r="C180" i="15" s="1"/>
  <c r="E190" i="9"/>
  <c r="E180" i="13" s="1"/>
  <c r="F190" i="9"/>
  <c r="M190" i="9" s="1"/>
  <c r="G190" i="9"/>
  <c r="H190" i="9"/>
  <c r="H180" i="13" s="1"/>
  <c r="C191" i="9"/>
  <c r="B181" i="15" s="1"/>
  <c r="D191" i="9"/>
  <c r="C181" i="15" s="1"/>
  <c r="E191" i="9"/>
  <c r="D181" i="15" s="1"/>
  <c r="F191" i="9"/>
  <c r="M191" i="9" s="1"/>
  <c r="G191" i="9"/>
  <c r="G181" i="13" s="1"/>
  <c r="H191" i="9"/>
  <c r="C192" i="9"/>
  <c r="B182" i="15" s="1"/>
  <c r="D192" i="9"/>
  <c r="C182" i="15" s="1"/>
  <c r="E192" i="9"/>
  <c r="F192" i="9"/>
  <c r="G192" i="9"/>
  <c r="H192" i="9"/>
  <c r="H182" i="13" s="1"/>
  <c r="C193" i="9"/>
  <c r="B183" i="15" s="1"/>
  <c r="D193" i="9"/>
  <c r="C183" i="15" s="1"/>
  <c r="E193" i="9"/>
  <c r="F193" i="9"/>
  <c r="G193" i="9"/>
  <c r="H193" i="9"/>
  <c r="H183" i="13" s="1"/>
  <c r="C194" i="9"/>
  <c r="B184" i="15" s="1"/>
  <c r="D194" i="9"/>
  <c r="D184" i="13" s="1"/>
  <c r="E194" i="9"/>
  <c r="D184" i="15" s="1"/>
  <c r="F194" i="9"/>
  <c r="M194" i="9" s="1"/>
  <c r="G194" i="9"/>
  <c r="H194" i="9"/>
  <c r="H184" i="13" s="1"/>
  <c r="C195" i="9"/>
  <c r="B185" i="15" s="1"/>
  <c r="D195" i="9"/>
  <c r="E195" i="9"/>
  <c r="F195" i="9"/>
  <c r="M195" i="9" s="1"/>
  <c r="G195" i="9"/>
  <c r="G185" i="13" s="1"/>
  <c r="H195" i="9"/>
  <c r="C196" i="9"/>
  <c r="B186" i="15" s="1"/>
  <c r="D196" i="9"/>
  <c r="D186" i="13" s="1"/>
  <c r="E196" i="9"/>
  <c r="F196" i="9"/>
  <c r="G196" i="9"/>
  <c r="H196" i="9"/>
  <c r="H186" i="13" s="1"/>
  <c r="C197" i="9"/>
  <c r="B187" i="15" s="1"/>
  <c r="D197" i="9"/>
  <c r="E197" i="9"/>
  <c r="F197" i="9"/>
  <c r="G197" i="9"/>
  <c r="H197" i="9"/>
  <c r="H187" i="13" s="1"/>
  <c r="C198" i="9"/>
  <c r="B188" i="15" s="1"/>
  <c r="D198" i="9"/>
  <c r="C188" i="15" s="1"/>
  <c r="E198" i="9"/>
  <c r="E188" i="13" s="1"/>
  <c r="F198" i="9"/>
  <c r="G198" i="9"/>
  <c r="H198" i="9"/>
  <c r="H188" i="13" s="1"/>
  <c r="C199" i="9"/>
  <c r="B189" i="15" s="1"/>
  <c r="D199" i="9"/>
  <c r="E199" i="9"/>
  <c r="F199" i="9"/>
  <c r="M199" i="9" s="1"/>
  <c r="G199" i="9"/>
  <c r="G189" i="13" s="1"/>
  <c r="H199" i="9"/>
  <c r="C200" i="9"/>
  <c r="B190" i="15" s="1"/>
  <c r="D200" i="9"/>
  <c r="D190" i="13" s="1"/>
  <c r="E200" i="9"/>
  <c r="F200" i="9"/>
  <c r="G200" i="9"/>
  <c r="H200" i="9"/>
  <c r="H190" i="13" s="1"/>
  <c r="C201" i="9"/>
  <c r="B191" i="15" s="1"/>
  <c r="D201" i="9"/>
  <c r="C191" i="15" s="1"/>
  <c r="E201" i="9"/>
  <c r="F201" i="9"/>
  <c r="G201" i="9"/>
  <c r="H201" i="9"/>
  <c r="H191" i="13" s="1"/>
  <c r="C202" i="9"/>
  <c r="B192" i="15" s="1"/>
  <c r="D202" i="9"/>
  <c r="C192" i="15" s="1"/>
  <c r="E202" i="9"/>
  <c r="D192" i="15" s="1"/>
  <c r="F202" i="9"/>
  <c r="M202" i="9" s="1"/>
  <c r="G202" i="9"/>
  <c r="H202" i="9"/>
  <c r="H192" i="13" s="1"/>
  <c r="C203" i="9"/>
  <c r="B193" i="15" s="1"/>
  <c r="D203" i="9"/>
  <c r="E203" i="9"/>
  <c r="F203" i="9"/>
  <c r="M203" i="9" s="1"/>
  <c r="G203" i="9"/>
  <c r="G193" i="13" s="1"/>
  <c r="H203" i="9"/>
  <c r="C204" i="9"/>
  <c r="B194" i="15" s="1"/>
  <c r="D204" i="9"/>
  <c r="E204" i="9"/>
  <c r="F204" i="9"/>
  <c r="G204" i="9"/>
  <c r="H204" i="9"/>
  <c r="C205" i="9"/>
  <c r="B195" i="15" s="1"/>
  <c r="D205" i="9"/>
  <c r="E205" i="9"/>
  <c r="D195" i="15" s="1"/>
  <c r="F205" i="9"/>
  <c r="M205" i="9" s="1"/>
  <c r="G205" i="9"/>
  <c r="H205" i="9"/>
  <c r="H195" i="13" s="1"/>
  <c r="C206" i="9"/>
  <c r="B196" i="15" s="1"/>
  <c r="D206" i="9"/>
  <c r="E206" i="9"/>
  <c r="E196" i="13" s="1"/>
  <c r="F206" i="9"/>
  <c r="M206" i="9" s="1"/>
  <c r="G206" i="9"/>
  <c r="H206" i="9"/>
  <c r="H196" i="13" s="1"/>
  <c r="C207" i="9"/>
  <c r="B197" i="15" s="1"/>
  <c r="D207" i="9"/>
  <c r="C197" i="15" s="1"/>
  <c r="E207" i="9"/>
  <c r="D197" i="15" s="1"/>
  <c r="F207" i="9"/>
  <c r="M207" i="9" s="1"/>
  <c r="G207" i="9"/>
  <c r="G197" i="13" s="1"/>
  <c r="H207" i="9"/>
  <c r="C208" i="9"/>
  <c r="B198" i="15" s="1"/>
  <c r="D208" i="9"/>
  <c r="D198" i="13" s="1"/>
  <c r="E208" i="9"/>
  <c r="F208" i="9"/>
  <c r="M208" i="9" s="1"/>
  <c r="G208" i="9"/>
  <c r="H208" i="9"/>
  <c r="H198" i="13" s="1"/>
  <c r="C209" i="9"/>
  <c r="B199" i="15" s="1"/>
  <c r="D209" i="9"/>
  <c r="E209" i="9"/>
  <c r="F209" i="9"/>
  <c r="G209" i="9"/>
  <c r="H209" i="9"/>
  <c r="H199" i="13" s="1"/>
  <c r="C210" i="9"/>
  <c r="B200" i="15" s="1"/>
  <c r="D210" i="9"/>
  <c r="C200" i="15" s="1"/>
  <c r="E210" i="9"/>
  <c r="E200" i="13" s="1"/>
  <c r="F210" i="9"/>
  <c r="M210" i="9" s="1"/>
  <c r="G210" i="9"/>
  <c r="H210" i="9"/>
  <c r="H200" i="13" s="1"/>
  <c r="C211" i="9"/>
  <c r="B201" i="15" s="1"/>
  <c r="D211" i="9"/>
  <c r="D201" i="13" s="1"/>
  <c r="E211" i="9"/>
  <c r="F211" i="9"/>
  <c r="M211" i="9" s="1"/>
  <c r="G211" i="9"/>
  <c r="G201" i="13" s="1"/>
  <c r="H211" i="9"/>
  <c r="C212" i="9"/>
  <c r="B202" i="15" s="1"/>
  <c r="D212" i="9"/>
  <c r="D202" i="13" s="1"/>
  <c r="E212" i="9"/>
  <c r="F212" i="9"/>
  <c r="G212" i="9"/>
  <c r="H212" i="9"/>
  <c r="H202" i="13" s="1"/>
  <c r="C213" i="9"/>
  <c r="B203" i="15" s="1"/>
  <c r="D213" i="9"/>
  <c r="C203" i="15" s="1"/>
  <c r="E213" i="9"/>
  <c r="F213" i="9"/>
  <c r="M213" i="9" s="1"/>
  <c r="G213" i="9"/>
  <c r="H213" i="9"/>
  <c r="H203" i="13" s="1"/>
  <c r="C214" i="9"/>
  <c r="B204" i="15" s="1"/>
  <c r="D214" i="9"/>
  <c r="D204" i="13" s="1"/>
  <c r="E214" i="9"/>
  <c r="E204" i="13" s="1"/>
  <c r="F214" i="9"/>
  <c r="M214" i="9" s="1"/>
  <c r="G214" i="9"/>
  <c r="H214" i="9"/>
  <c r="H204" i="13" s="1"/>
  <c r="C215" i="9"/>
  <c r="B205" i="15" s="1"/>
  <c r="D215" i="9"/>
  <c r="E215" i="9"/>
  <c r="F215" i="9"/>
  <c r="M215" i="9" s="1"/>
  <c r="G215" i="9"/>
  <c r="G205" i="13" s="1"/>
  <c r="H215" i="9"/>
  <c r="C216" i="9"/>
  <c r="B206" i="15" s="1"/>
  <c r="D216" i="9"/>
  <c r="D206" i="13" s="1"/>
  <c r="E216" i="9"/>
  <c r="F216" i="9"/>
  <c r="M216" i="9" s="1"/>
  <c r="G216" i="9"/>
  <c r="H216" i="9"/>
  <c r="H206" i="13" s="1"/>
  <c r="C217" i="9"/>
  <c r="B207" i="15" s="1"/>
  <c r="D217" i="9"/>
  <c r="E217" i="9"/>
  <c r="D207" i="15" s="1"/>
  <c r="F217" i="9"/>
  <c r="M217" i="9" s="1"/>
  <c r="G217" i="9"/>
  <c r="H217" i="9"/>
  <c r="H207" i="13" s="1"/>
  <c r="C218" i="9"/>
  <c r="B208" i="15" s="1"/>
  <c r="D218" i="9"/>
  <c r="C208" i="15" s="1"/>
  <c r="E218" i="9"/>
  <c r="E208" i="13" s="1"/>
  <c r="F218" i="9"/>
  <c r="M218" i="9" s="1"/>
  <c r="G218" i="9"/>
  <c r="H218" i="9"/>
  <c r="H208" i="13" s="1"/>
  <c r="C219" i="9"/>
  <c r="B209" i="15" s="1"/>
  <c r="D219" i="9"/>
  <c r="D209" i="13" s="1"/>
  <c r="E219" i="9"/>
  <c r="F219" i="9"/>
  <c r="M219" i="9" s="1"/>
  <c r="G219" i="9"/>
  <c r="G209" i="13" s="1"/>
  <c r="H219" i="9"/>
  <c r="C220" i="9"/>
  <c r="B210" i="15" s="1"/>
  <c r="D220" i="9"/>
  <c r="D210" i="13" s="1"/>
  <c r="E220" i="9"/>
  <c r="D210" i="15" s="1"/>
  <c r="F220" i="9"/>
  <c r="G220" i="9"/>
  <c r="H220" i="9"/>
  <c r="H210" i="13" s="1"/>
  <c r="C221" i="9"/>
  <c r="B211" i="15" s="1"/>
  <c r="D221" i="9"/>
  <c r="E221" i="9"/>
  <c r="F221" i="9"/>
  <c r="M221" i="9" s="1"/>
  <c r="G221" i="9"/>
  <c r="H221" i="9"/>
  <c r="H211" i="13" s="1"/>
  <c r="C222" i="9"/>
  <c r="B212" i="15" s="1"/>
  <c r="D222" i="9"/>
  <c r="D212" i="13" s="1"/>
  <c r="E222" i="9"/>
  <c r="E212" i="13" s="1"/>
  <c r="F222" i="9"/>
  <c r="M222" i="9" s="1"/>
  <c r="G222" i="9"/>
  <c r="H222" i="9"/>
  <c r="H212" i="13" s="1"/>
  <c r="C223" i="9"/>
  <c r="B213" i="15" s="1"/>
  <c r="D223" i="9"/>
  <c r="D213" i="13" s="1"/>
  <c r="E223" i="9"/>
  <c r="F223" i="9"/>
  <c r="M223" i="9" s="1"/>
  <c r="G223" i="9"/>
  <c r="G213" i="13" s="1"/>
  <c r="H223" i="9"/>
  <c r="C224" i="9"/>
  <c r="B214" i="15" s="1"/>
  <c r="D224" i="9"/>
  <c r="D214" i="13" s="1"/>
  <c r="E224" i="9"/>
  <c r="F224" i="9"/>
  <c r="G224" i="9"/>
  <c r="H224" i="9"/>
  <c r="C225" i="9"/>
  <c r="B215" i="15" s="1"/>
  <c r="D225" i="9"/>
  <c r="E225" i="9"/>
  <c r="D215" i="15" s="1"/>
  <c r="F225" i="9"/>
  <c r="M225" i="9" s="1"/>
  <c r="G225" i="9"/>
  <c r="H225" i="9"/>
  <c r="H215" i="13" s="1"/>
  <c r="C226" i="9"/>
  <c r="B216" i="15" s="1"/>
  <c r="D226" i="9"/>
  <c r="C216" i="15" s="1"/>
  <c r="E226" i="9"/>
  <c r="E216" i="13" s="1"/>
  <c r="F226" i="9"/>
  <c r="M226" i="9" s="1"/>
  <c r="G226" i="9"/>
  <c r="H226" i="9"/>
  <c r="H216" i="13" s="1"/>
  <c r="C227" i="9"/>
  <c r="B217" i="15" s="1"/>
  <c r="D227" i="9"/>
  <c r="D217" i="13" s="1"/>
  <c r="E227" i="9"/>
  <c r="F227" i="9"/>
  <c r="M227" i="9" s="1"/>
  <c r="G227" i="9"/>
  <c r="G217" i="13" s="1"/>
  <c r="H227" i="9"/>
  <c r="H217" i="13" s="1"/>
  <c r="C228" i="9"/>
  <c r="B218" i="15" s="1"/>
  <c r="D228" i="9"/>
  <c r="D218" i="13" s="1"/>
  <c r="E228" i="9"/>
  <c r="D218" i="15" s="1"/>
  <c r="F228" i="9"/>
  <c r="G228" i="9"/>
  <c r="H228" i="9"/>
  <c r="H218" i="13" s="1"/>
  <c r="C229" i="9"/>
  <c r="B219" i="15" s="1"/>
  <c r="D229" i="9"/>
  <c r="D219" i="13" s="1"/>
  <c r="E229" i="9"/>
  <c r="F229" i="9"/>
  <c r="M229" i="9" s="1"/>
  <c r="G229" i="9"/>
  <c r="H229" i="9"/>
  <c r="H219" i="13" s="1"/>
  <c r="C230" i="9"/>
  <c r="B220" i="15" s="1"/>
  <c r="D230" i="9"/>
  <c r="D220" i="13" s="1"/>
  <c r="E230" i="9"/>
  <c r="E220" i="13" s="1"/>
  <c r="F230" i="9"/>
  <c r="M230" i="9" s="1"/>
  <c r="G230" i="9"/>
  <c r="H230" i="9"/>
  <c r="H220" i="13" s="1"/>
  <c r="C231" i="9"/>
  <c r="B221" i="15" s="1"/>
  <c r="D231" i="9"/>
  <c r="D221" i="13" s="1"/>
  <c r="E231" i="9"/>
  <c r="F231" i="9"/>
  <c r="M231" i="9" s="1"/>
  <c r="G231" i="9"/>
  <c r="G221" i="13" s="1"/>
  <c r="H231" i="9"/>
  <c r="H221" i="13" s="1"/>
  <c r="C232" i="9"/>
  <c r="D232" i="9"/>
  <c r="D222" i="13" s="1"/>
  <c r="E232" i="9"/>
  <c r="F232" i="9"/>
  <c r="M232" i="9" s="1"/>
  <c r="G232" i="9"/>
  <c r="H232" i="9"/>
  <c r="H222" i="13" s="1"/>
  <c r="C233" i="9"/>
  <c r="B223" i="15" s="1"/>
  <c r="D233" i="9"/>
  <c r="D223" i="13" s="1"/>
  <c r="E233" i="9"/>
  <c r="F233" i="9"/>
  <c r="M233" i="9" s="1"/>
  <c r="G233" i="9"/>
  <c r="H233" i="9"/>
  <c r="H223" i="13" s="1"/>
  <c r="C234" i="9"/>
  <c r="B224" i="15" s="1"/>
  <c r="D234" i="9"/>
  <c r="C224" i="15" s="1"/>
  <c r="E234" i="9"/>
  <c r="F234" i="9"/>
  <c r="M234" i="9" s="1"/>
  <c r="G234" i="9"/>
  <c r="G224" i="13" s="1"/>
  <c r="H234" i="9"/>
  <c r="H224" i="13" s="1"/>
  <c r="C235" i="9"/>
  <c r="B225" i="15" s="1"/>
  <c r="D235" i="9"/>
  <c r="D225" i="13" s="1"/>
  <c r="E235" i="9"/>
  <c r="F235" i="9"/>
  <c r="M235" i="9" s="1"/>
  <c r="G235" i="9"/>
  <c r="H235" i="9"/>
  <c r="H225" i="13" s="1"/>
  <c r="C236" i="9"/>
  <c r="D236" i="9"/>
  <c r="D226" i="13" s="1"/>
  <c r="E236" i="9"/>
  <c r="D226" i="15" s="1"/>
  <c r="F236" i="9"/>
  <c r="G236" i="9"/>
  <c r="H236" i="9"/>
  <c r="H226" i="13" s="1"/>
  <c r="C237" i="9"/>
  <c r="B227" i="15" s="1"/>
  <c r="D237" i="9"/>
  <c r="E237" i="9"/>
  <c r="F237" i="9"/>
  <c r="M237" i="9" s="1"/>
  <c r="G237" i="9"/>
  <c r="H237" i="9"/>
  <c r="H227" i="13" s="1"/>
  <c r="C238" i="9"/>
  <c r="B228" i="15" s="1"/>
  <c r="D238" i="9"/>
  <c r="D228" i="13" s="1"/>
  <c r="E238" i="9"/>
  <c r="E228" i="13" s="1"/>
  <c r="F238" i="9"/>
  <c r="M238" i="9" s="1"/>
  <c r="G238" i="9"/>
  <c r="G228" i="13" s="1"/>
  <c r="H238" i="9"/>
  <c r="H228" i="13" s="1"/>
  <c r="C239" i="9"/>
  <c r="B229" i="15" s="1"/>
  <c r="D239" i="9"/>
  <c r="D229" i="13" s="1"/>
  <c r="E239" i="9"/>
  <c r="F239" i="9"/>
  <c r="M239" i="9" s="1"/>
  <c r="G239" i="9"/>
  <c r="G229" i="13" s="1"/>
  <c r="H239" i="9"/>
  <c r="H229" i="13" s="1"/>
  <c r="C240" i="9"/>
  <c r="D240" i="9"/>
  <c r="D230" i="13" s="1"/>
  <c r="E240" i="9"/>
  <c r="F240" i="9"/>
  <c r="G240" i="9"/>
  <c r="H240" i="9"/>
  <c r="H230" i="13" s="1"/>
  <c r="C241" i="9"/>
  <c r="B231" i="15" s="1"/>
  <c r="D241" i="9"/>
  <c r="E241" i="9"/>
  <c r="F241" i="9"/>
  <c r="M241" i="9" s="1"/>
  <c r="G241" i="9"/>
  <c r="H241" i="9"/>
  <c r="H231" i="13" s="1"/>
  <c r="C242" i="9"/>
  <c r="B232" i="15" s="1"/>
  <c r="D242" i="9"/>
  <c r="C232" i="15" s="1"/>
  <c r="E242" i="9"/>
  <c r="E232" i="13" s="1"/>
  <c r="F242" i="9"/>
  <c r="M242" i="9" s="1"/>
  <c r="G242" i="9"/>
  <c r="G232" i="13" s="1"/>
  <c r="H242" i="9"/>
  <c r="H232" i="13" s="1"/>
  <c r="C243" i="9"/>
  <c r="B233" i="15" s="1"/>
  <c r="D243" i="9"/>
  <c r="C233" i="15" s="1"/>
  <c r="E243" i="9"/>
  <c r="F243" i="9"/>
  <c r="M243" i="9" s="1"/>
  <c r="G243" i="9"/>
  <c r="H243" i="9"/>
  <c r="H233" i="13" s="1"/>
  <c r="C244" i="9"/>
  <c r="B234" i="15" s="1"/>
  <c r="D244" i="9"/>
  <c r="E244" i="9"/>
  <c r="D234" i="15" s="1"/>
  <c r="F244" i="9"/>
  <c r="M244" i="9" s="1"/>
  <c r="G244" i="9"/>
  <c r="H244" i="9"/>
  <c r="H234" i="13" s="1"/>
  <c r="C245" i="9"/>
  <c r="B235" i="15" s="1"/>
  <c r="D245" i="9"/>
  <c r="D235" i="13" s="1"/>
  <c r="E245" i="9"/>
  <c r="D235" i="15" s="1"/>
  <c r="F245" i="9"/>
  <c r="M245" i="9" s="1"/>
  <c r="G245" i="9"/>
  <c r="H245" i="9"/>
  <c r="H235" i="13" s="1"/>
  <c r="C246" i="9"/>
  <c r="B236" i="15" s="1"/>
  <c r="D246" i="9"/>
  <c r="E246" i="9"/>
  <c r="E236" i="13" s="1"/>
  <c r="F246" i="9"/>
  <c r="M246" i="9" s="1"/>
  <c r="G246" i="9"/>
  <c r="H246" i="9"/>
  <c r="H236" i="13" s="1"/>
  <c r="C247" i="9"/>
  <c r="B237" i="15" s="1"/>
  <c r="D247" i="9"/>
  <c r="D237" i="13" s="1"/>
  <c r="E247" i="9"/>
  <c r="E237" i="13" s="1"/>
  <c r="F247" i="9"/>
  <c r="M247" i="9" s="1"/>
  <c r="G247" i="9"/>
  <c r="G237" i="13" s="1"/>
  <c r="H247" i="9"/>
  <c r="H237" i="13" s="1"/>
  <c r="C248" i="9"/>
  <c r="B238" i="15" s="1"/>
  <c r="D248" i="9"/>
  <c r="D238" i="13" s="1"/>
  <c r="E248" i="9"/>
  <c r="E238" i="13" s="1"/>
  <c r="F248" i="9"/>
  <c r="M248" i="9" s="1"/>
  <c r="G248" i="9"/>
  <c r="G238" i="13" s="1"/>
  <c r="H248" i="9"/>
  <c r="C249" i="9"/>
  <c r="D249" i="9"/>
  <c r="C239" i="15" s="1"/>
  <c r="E249" i="9"/>
  <c r="F249" i="9"/>
  <c r="M249" i="9" s="1"/>
  <c r="G249" i="9"/>
  <c r="G239" i="13" s="1"/>
  <c r="H249" i="9"/>
  <c r="H239" i="13" s="1"/>
  <c r="C250" i="9"/>
  <c r="B240" i="15" s="1"/>
  <c r="D250" i="9"/>
  <c r="C240" i="15" s="1"/>
  <c r="E250" i="9"/>
  <c r="E240" i="13" s="1"/>
  <c r="F250" i="9"/>
  <c r="M250" i="9" s="1"/>
  <c r="G250" i="9"/>
  <c r="H250" i="9"/>
  <c r="C251" i="9"/>
  <c r="B241" i="15" s="1"/>
  <c r="D251" i="9"/>
  <c r="D241" i="13" s="1"/>
  <c r="E251" i="9"/>
  <c r="E241" i="13" s="1"/>
  <c r="F251" i="9"/>
  <c r="M251" i="9" s="1"/>
  <c r="G251" i="9"/>
  <c r="G241" i="13" s="1"/>
  <c r="H251" i="9"/>
  <c r="C252" i="9"/>
  <c r="B242" i="15" s="1"/>
  <c r="D252" i="9"/>
  <c r="E252" i="9"/>
  <c r="D242" i="15" s="1"/>
  <c r="F252" i="9"/>
  <c r="G252" i="9"/>
  <c r="G242" i="13" s="1"/>
  <c r="H252" i="9"/>
  <c r="C253" i="9"/>
  <c r="D253" i="9"/>
  <c r="C243" i="15" s="1"/>
  <c r="E253" i="9"/>
  <c r="F253" i="9"/>
  <c r="G253" i="9"/>
  <c r="H253" i="9"/>
  <c r="H243" i="13" s="1"/>
  <c r="C254" i="9"/>
  <c r="B244" i="15" s="1"/>
  <c r="D254" i="9"/>
  <c r="E254" i="9"/>
  <c r="E244" i="13" s="1"/>
  <c r="F254" i="9"/>
  <c r="M254" i="9" s="1"/>
  <c r="G254" i="9"/>
  <c r="H254" i="9"/>
  <c r="H244" i="13" s="1"/>
  <c r="C255" i="9"/>
  <c r="B245" i="15" s="1"/>
  <c r="D255" i="9"/>
  <c r="D245" i="13" s="1"/>
  <c r="E255" i="9"/>
  <c r="E245" i="13" s="1"/>
  <c r="F255" i="9"/>
  <c r="M255" i="9" s="1"/>
  <c r="G255" i="9"/>
  <c r="G245" i="13" s="1"/>
  <c r="H255" i="9"/>
  <c r="C256" i="9"/>
  <c r="B246" i="15" s="1"/>
  <c r="D256" i="9"/>
  <c r="C246" i="15" s="1"/>
  <c r="E256" i="9"/>
  <c r="D246" i="15" s="1"/>
  <c r="F256" i="9"/>
  <c r="M256" i="9" s="1"/>
  <c r="G256" i="9"/>
  <c r="G246" i="13" s="1"/>
  <c r="H256" i="9"/>
  <c r="C257" i="9"/>
  <c r="D257" i="9"/>
  <c r="E257" i="9"/>
  <c r="D247" i="15" s="1"/>
  <c r="F257" i="9"/>
  <c r="M257" i="9" s="1"/>
  <c r="G257" i="9"/>
  <c r="H257" i="9"/>
  <c r="H247" i="13" s="1"/>
  <c r="C258" i="9"/>
  <c r="B248" i="15" s="1"/>
  <c r="D258" i="9"/>
  <c r="C248" i="15" s="1"/>
  <c r="E258" i="9"/>
  <c r="E248" i="13" s="1"/>
  <c r="F258" i="9"/>
  <c r="M258" i="9" s="1"/>
  <c r="G258" i="9"/>
  <c r="H258" i="9"/>
  <c r="H248" i="13" s="1"/>
  <c r="C259" i="9"/>
  <c r="B249" i="15" s="1"/>
  <c r="D259" i="9"/>
  <c r="D249" i="13" s="1"/>
  <c r="E259" i="9"/>
  <c r="E249" i="13" s="1"/>
  <c r="F259" i="9"/>
  <c r="M259" i="9" s="1"/>
  <c r="G259" i="9"/>
  <c r="G249" i="13" s="1"/>
  <c r="H259" i="9"/>
  <c r="C260" i="9"/>
  <c r="B250" i="15" s="1"/>
  <c r="D260" i="9"/>
  <c r="E260" i="9"/>
  <c r="D250" i="15" s="1"/>
  <c r="F260" i="9"/>
  <c r="G260" i="9"/>
  <c r="G250" i="13" s="1"/>
  <c r="H260" i="9"/>
  <c r="C261" i="9"/>
  <c r="D261" i="9"/>
  <c r="E261" i="9"/>
  <c r="D251" i="15" s="1"/>
  <c r="F261" i="9"/>
  <c r="G261" i="9"/>
  <c r="H261" i="9"/>
  <c r="H251" i="13" s="1"/>
  <c r="C262" i="9"/>
  <c r="B252" i="15" s="1"/>
  <c r="D262" i="9"/>
  <c r="C252" i="15" s="1"/>
  <c r="E262" i="9"/>
  <c r="E252" i="13" s="1"/>
  <c r="F262" i="9"/>
  <c r="M262" i="9" s="1"/>
  <c r="G262" i="9"/>
  <c r="H262" i="9"/>
  <c r="H252" i="13" s="1"/>
  <c r="C263" i="9"/>
  <c r="B253" i="15" s="1"/>
  <c r="D263" i="9"/>
  <c r="D253" i="13" s="1"/>
  <c r="E263" i="9"/>
  <c r="E253" i="13" s="1"/>
  <c r="F263" i="9"/>
  <c r="M263" i="9" s="1"/>
  <c r="G263" i="9"/>
  <c r="G253" i="13" s="1"/>
  <c r="H263" i="9"/>
  <c r="C264" i="9"/>
  <c r="B254" i="15" s="1"/>
  <c r="D264" i="9"/>
  <c r="D254" i="13" s="1"/>
  <c r="E264" i="9"/>
  <c r="F264" i="9"/>
  <c r="G264" i="9"/>
  <c r="G254" i="13" s="1"/>
  <c r="H264" i="9"/>
  <c r="H254" i="13" s="1"/>
  <c r="C265" i="9"/>
  <c r="B255" i="15" s="1"/>
  <c r="D265" i="9"/>
  <c r="D255" i="13" s="1"/>
  <c r="E265" i="9"/>
  <c r="F265" i="9"/>
  <c r="M265" i="9" s="1"/>
  <c r="G265" i="9"/>
  <c r="G255" i="13" s="1"/>
  <c r="H265" i="9"/>
  <c r="H255" i="13" s="1"/>
  <c r="C266" i="9"/>
  <c r="B256" i="15" s="1"/>
  <c r="D266" i="9"/>
  <c r="E266" i="9"/>
  <c r="F266" i="9"/>
  <c r="M266" i="9" s="1"/>
  <c r="G266" i="9"/>
  <c r="H266" i="9"/>
  <c r="H256" i="13" s="1"/>
  <c r="C267" i="9"/>
  <c r="B257" i="15" s="1"/>
  <c r="D267" i="9"/>
  <c r="D257" i="13" s="1"/>
  <c r="E267" i="9"/>
  <c r="E257" i="13" s="1"/>
  <c r="F267" i="9"/>
  <c r="M267" i="9" s="1"/>
  <c r="G267" i="9"/>
  <c r="H267" i="9"/>
  <c r="H257" i="13" s="1"/>
  <c r="C268" i="9"/>
  <c r="B258" i="15" s="1"/>
  <c r="D268" i="9"/>
  <c r="E268" i="9"/>
  <c r="D258" i="15" s="1"/>
  <c r="F268" i="9"/>
  <c r="G268" i="9"/>
  <c r="G258" i="13" s="1"/>
  <c r="H268" i="9"/>
  <c r="H258" i="13" s="1"/>
  <c r="C269" i="9"/>
  <c r="B259" i="15" s="1"/>
  <c r="D269" i="9"/>
  <c r="C259" i="15" s="1"/>
  <c r="E269" i="9"/>
  <c r="F269" i="9"/>
  <c r="G269" i="9"/>
  <c r="G259" i="13" s="1"/>
  <c r="H269" i="9"/>
  <c r="H259" i="13" s="1"/>
  <c r="C270" i="9"/>
  <c r="B260" i="15" s="1"/>
  <c r="D270" i="9"/>
  <c r="D260" i="13" s="1"/>
  <c r="E270" i="9"/>
  <c r="F270" i="9"/>
  <c r="M270" i="9" s="1"/>
  <c r="G270" i="9"/>
  <c r="H270" i="9"/>
  <c r="H260" i="13" s="1"/>
  <c r="C271" i="9"/>
  <c r="B261" i="15" s="1"/>
  <c r="D271" i="9"/>
  <c r="D261" i="13" s="1"/>
  <c r="E271" i="9"/>
  <c r="E261" i="13" s="1"/>
  <c r="F271" i="9"/>
  <c r="M271" i="9" s="1"/>
  <c r="G271" i="9"/>
  <c r="H271" i="9"/>
  <c r="C272" i="9"/>
  <c r="B262" i="15" s="1"/>
  <c r="D272" i="9"/>
  <c r="D262" i="13" s="1"/>
  <c r="E272" i="9"/>
  <c r="D262" i="15" s="1"/>
  <c r="F272" i="9"/>
  <c r="G272" i="9"/>
  <c r="G262" i="13" s="1"/>
  <c r="H272" i="9"/>
  <c r="H262" i="13" s="1"/>
  <c r="C273" i="9"/>
  <c r="B263" i="15" s="1"/>
  <c r="D273" i="9"/>
  <c r="D263" i="13" s="1"/>
  <c r="E273" i="9"/>
  <c r="F273" i="9"/>
  <c r="M273" i="9" s="1"/>
  <c r="G273" i="9"/>
  <c r="G263" i="13" s="1"/>
  <c r="H273" i="9"/>
  <c r="H263" i="13" s="1"/>
  <c r="C274" i="9"/>
  <c r="B264" i="15" s="1"/>
  <c r="D274" i="9"/>
  <c r="E274" i="9"/>
  <c r="E264" i="13" s="1"/>
  <c r="F274" i="9"/>
  <c r="M274" i="9" s="1"/>
  <c r="G274" i="9"/>
  <c r="H274" i="9"/>
  <c r="H264" i="13" s="1"/>
  <c r="C275" i="9"/>
  <c r="B265" i="15" s="1"/>
  <c r="D275" i="9"/>
  <c r="D265" i="13" s="1"/>
  <c r="E275" i="9"/>
  <c r="E265" i="13" s="1"/>
  <c r="F275" i="9"/>
  <c r="M275" i="9" s="1"/>
  <c r="G275" i="9"/>
  <c r="G265" i="13" s="1"/>
  <c r="H275" i="9"/>
  <c r="H265" i="13" s="1"/>
  <c r="C276" i="9"/>
  <c r="B266" i="15" s="1"/>
  <c r="D276" i="9"/>
  <c r="D266" i="13" s="1"/>
  <c r="E276" i="9"/>
  <c r="D266" i="15" s="1"/>
  <c r="F276" i="9"/>
  <c r="M276" i="9" s="1"/>
  <c r="G276" i="9"/>
  <c r="G266" i="13" s="1"/>
  <c r="H276" i="9"/>
  <c r="H266" i="13" s="1"/>
  <c r="C277" i="9"/>
  <c r="B267" i="15" s="1"/>
  <c r="D277" i="9"/>
  <c r="E277" i="9"/>
  <c r="F277" i="9"/>
  <c r="M277" i="9" s="1"/>
  <c r="G277" i="9"/>
  <c r="G267" i="13" s="1"/>
  <c r="H277" i="9"/>
  <c r="H267" i="13" s="1"/>
  <c r="C278" i="9"/>
  <c r="B268" i="15" s="1"/>
  <c r="D278" i="9"/>
  <c r="D268" i="13" s="1"/>
  <c r="E278" i="9"/>
  <c r="F278" i="9"/>
  <c r="M278" i="9" s="1"/>
  <c r="G278" i="9"/>
  <c r="H278" i="9"/>
  <c r="C279" i="9"/>
  <c r="B269" i="15" s="1"/>
  <c r="D279" i="9"/>
  <c r="E279" i="9"/>
  <c r="E269" i="13" s="1"/>
  <c r="F279" i="9"/>
  <c r="M279" i="9" s="1"/>
  <c r="G279" i="9"/>
  <c r="H279" i="9"/>
  <c r="H269" i="13" s="1"/>
  <c r="C280" i="9"/>
  <c r="B270" i="15" s="1"/>
  <c r="D280" i="9"/>
  <c r="E280" i="9"/>
  <c r="D270" i="15" s="1"/>
  <c r="F280" i="9"/>
  <c r="G280" i="9"/>
  <c r="G270" i="13" s="1"/>
  <c r="H280" i="9"/>
  <c r="H270" i="13" s="1"/>
  <c r="C281" i="9"/>
  <c r="B271" i="15" s="1"/>
  <c r="D281" i="9"/>
  <c r="E281" i="9"/>
  <c r="F281" i="9"/>
  <c r="M281" i="9" s="1"/>
  <c r="G281" i="9"/>
  <c r="H281" i="9"/>
  <c r="C282" i="9"/>
  <c r="B272" i="15" s="1"/>
  <c r="D282" i="9"/>
  <c r="E282" i="9"/>
  <c r="E272" i="13" s="1"/>
  <c r="F282" i="9"/>
  <c r="M282" i="9" s="1"/>
  <c r="G282" i="9"/>
  <c r="H282" i="9"/>
  <c r="C283" i="9"/>
  <c r="B273" i="15" s="1"/>
  <c r="D283" i="9"/>
  <c r="E283" i="9"/>
  <c r="E273" i="13" s="1"/>
  <c r="F283" i="9"/>
  <c r="M283" i="9" s="1"/>
  <c r="G283" i="9"/>
  <c r="G273" i="13" s="1"/>
  <c r="H283" i="9"/>
  <c r="C284" i="9"/>
  <c r="B274" i="15" s="1"/>
  <c r="D284" i="9"/>
  <c r="D274" i="13" s="1"/>
  <c r="E284" i="9"/>
  <c r="F284" i="9"/>
  <c r="G284" i="9"/>
  <c r="G274" i="13" s="1"/>
  <c r="H284" i="9"/>
  <c r="H274" i="13" s="1"/>
  <c r="C285" i="9"/>
  <c r="B275" i="15" s="1"/>
  <c r="D285" i="9"/>
  <c r="D275" i="13" s="1"/>
  <c r="E285" i="9"/>
  <c r="F285" i="9"/>
  <c r="G285" i="9"/>
  <c r="H285" i="9"/>
  <c r="H275" i="13" s="1"/>
  <c r="C286" i="9"/>
  <c r="B276" i="15" s="1"/>
  <c r="D286" i="9"/>
  <c r="D276" i="13" s="1"/>
  <c r="E286" i="9"/>
  <c r="E276" i="13" s="1"/>
  <c r="F286" i="9"/>
  <c r="M286" i="9" s="1"/>
  <c r="G286" i="9"/>
  <c r="H286" i="9"/>
  <c r="H276" i="13" s="1"/>
  <c r="C287" i="9"/>
  <c r="B277" i="15" s="1"/>
  <c r="D287" i="9"/>
  <c r="C277" i="15" s="1"/>
  <c r="E287" i="9"/>
  <c r="E277" i="13" s="1"/>
  <c r="F287" i="9"/>
  <c r="M287" i="9" s="1"/>
  <c r="G287" i="9"/>
  <c r="G277" i="13" s="1"/>
  <c r="H287" i="9"/>
  <c r="H277" i="13" s="1"/>
  <c r="C288" i="9"/>
  <c r="B278" i="15" s="1"/>
  <c r="D288" i="9"/>
  <c r="E288" i="9"/>
  <c r="D278" i="15" s="1"/>
  <c r="F288" i="9"/>
  <c r="G288" i="9"/>
  <c r="G278" i="13" s="1"/>
  <c r="H288" i="9"/>
  <c r="H278" i="13" s="1"/>
  <c r="C289" i="9"/>
  <c r="B279" i="15" s="1"/>
  <c r="D289" i="9"/>
  <c r="D279" i="13" s="1"/>
  <c r="E289" i="9"/>
  <c r="F289" i="9"/>
  <c r="G289" i="9"/>
  <c r="G279" i="13" s="1"/>
  <c r="H289" i="9"/>
  <c r="H279" i="13" s="1"/>
  <c r="C290" i="9"/>
  <c r="D290" i="9"/>
  <c r="C280" i="15" s="1"/>
  <c r="E290" i="9"/>
  <c r="E280" i="13" s="1"/>
  <c r="F290" i="9"/>
  <c r="M290" i="9" s="1"/>
  <c r="G290" i="9"/>
  <c r="H290" i="9"/>
  <c r="H280" i="13" s="1"/>
  <c r="C291" i="9"/>
  <c r="B281" i="15" s="1"/>
  <c r="D291" i="9"/>
  <c r="D281" i="13" s="1"/>
  <c r="E291" i="9"/>
  <c r="D281" i="15" s="1"/>
  <c r="F291" i="9"/>
  <c r="M291" i="9" s="1"/>
  <c r="G291" i="9"/>
  <c r="G281" i="13" s="1"/>
  <c r="H291" i="9"/>
  <c r="H281" i="13" s="1"/>
  <c r="C292" i="9"/>
  <c r="B282" i="15" s="1"/>
  <c r="D292" i="9"/>
  <c r="E292" i="9"/>
  <c r="D282" i="15" s="1"/>
  <c r="F292" i="9"/>
  <c r="M292" i="9" s="1"/>
  <c r="G292" i="9"/>
  <c r="G282" i="13" s="1"/>
  <c r="H292" i="9"/>
  <c r="C293" i="9"/>
  <c r="B283" i="15" s="1"/>
  <c r="D293" i="9"/>
  <c r="D283" i="13" s="1"/>
  <c r="E293" i="9"/>
  <c r="D283" i="15" s="1"/>
  <c r="F293" i="9"/>
  <c r="G293" i="9"/>
  <c r="H293" i="9"/>
  <c r="H283" i="13" s="1"/>
  <c r="C294" i="9"/>
  <c r="B284" i="15" s="1"/>
  <c r="D294" i="9"/>
  <c r="C284" i="15" s="1"/>
  <c r="E294" i="9"/>
  <c r="F294" i="9"/>
  <c r="M294" i="9" s="1"/>
  <c r="G294" i="9"/>
  <c r="H294" i="9"/>
  <c r="H284" i="13" s="1"/>
  <c r="C295" i="9"/>
  <c r="B285" i="15" s="1"/>
  <c r="D295" i="9"/>
  <c r="D285" i="13" s="1"/>
  <c r="E295" i="9"/>
  <c r="E285" i="13" s="1"/>
  <c r="F295" i="9"/>
  <c r="M295" i="9" s="1"/>
  <c r="G295" i="9"/>
  <c r="H295" i="9"/>
  <c r="C296" i="9"/>
  <c r="B286" i="15" s="1"/>
  <c r="D296" i="9"/>
  <c r="D286" i="13" s="1"/>
  <c r="E296" i="9"/>
  <c r="E286" i="13" s="1"/>
  <c r="F296" i="9"/>
  <c r="M296" i="9" s="1"/>
  <c r="G296" i="9"/>
  <c r="G286" i="13" s="1"/>
  <c r="H296" i="9"/>
  <c r="C297" i="9"/>
  <c r="B287" i="15" s="1"/>
  <c r="D297" i="9"/>
  <c r="E297" i="9"/>
  <c r="F297" i="9"/>
  <c r="M297" i="9" s="1"/>
  <c r="G297" i="9"/>
  <c r="G287" i="13" s="1"/>
  <c r="H297" i="9"/>
  <c r="H287" i="13" s="1"/>
  <c r="C298" i="9"/>
  <c r="B288" i="15" s="1"/>
  <c r="D298" i="9"/>
  <c r="C288" i="15" s="1"/>
  <c r="E298" i="9"/>
  <c r="E288" i="13" s="1"/>
  <c r="F298" i="9"/>
  <c r="M298" i="9" s="1"/>
  <c r="G298" i="9"/>
  <c r="H298" i="9"/>
  <c r="H288" i="13" s="1"/>
  <c r="C299" i="9"/>
  <c r="B289" i="15" s="1"/>
  <c r="D299" i="9"/>
  <c r="E299" i="9"/>
  <c r="E289" i="13" s="1"/>
  <c r="F299" i="9"/>
  <c r="M299" i="9" s="1"/>
  <c r="G299" i="9"/>
  <c r="G289" i="13" s="1"/>
  <c r="H299" i="9"/>
  <c r="H289" i="13" s="1"/>
  <c r="C300" i="9"/>
  <c r="B290" i="15" s="1"/>
  <c r="D300" i="9"/>
  <c r="D290" i="13" s="1"/>
  <c r="E300" i="9"/>
  <c r="F300" i="9"/>
  <c r="M300" i="9" s="1"/>
  <c r="G300" i="9"/>
  <c r="H300" i="9"/>
  <c r="H290" i="13" s="1"/>
  <c r="C301" i="9"/>
  <c r="B291" i="15" s="1"/>
  <c r="D301" i="9"/>
  <c r="D291" i="13" s="1"/>
  <c r="E301" i="9"/>
  <c r="E291" i="13" s="1"/>
  <c r="F301" i="9"/>
  <c r="M301" i="9" s="1"/>
  <c r="G301" i="9"/>
  <c r="H301" i="9"/>
  <c r="H291" i="13" s="1"/>
  <c r="C302" i="9"/>
  <c r="B292" i="15" s="1"/>
  <c r="D302" i="9"/>
  <c r="D292" i="13" s="1"/>
  <c r="E302" i="9"/>
  <c r="F302" i="9"/>
  <c r="M302" i="9" s="1"/>
  <c r="G302" i="9"/>
  <c r="G292" i="13" s="1"/>
  <c r="H302" i="9"/>
  <c r="H292" i="13" s="1"/>
  <c r="C303" i="9"/>
  <c r="B293" i="15" s="1"/>
  <c r="D303" i="9"/>
  <c r="D293" i="13" s="1"/>
  <c r="E303" i="9"/>
  <c r="F303" i="9"/>
  <c r="M303" i="9" s="1"/>
  <c r="G303" i="9"/>
  <c r="H303" i="9"/>
  <c r="H293" i="13" s="1"/>
  <c r="C304" i="9"/>
  <c r="B294" i="15" s="1"/>
  <c r="D304" i="9"/>
  <c r="E304" i="9"/>
  <c r="F304" i="9"/>
  <c r="G304" i="9"/>
  <c r="H304" i="9"/>
  <c r="H294" i="13" s="1"/>
  <c r="C305" i="9"/>
  <c r="B295" i="15" s="1"/>
  <c r="D305" i="9"/>
  <c r="D295" i="13" s="1"/>
  <c r="E305" i="9"/>
  <c r="E295" i="13" s="1"/>
  <c r="F305" i="9"/>
  <c r="M305" i="9" s="1"/>
  <c r="G305" i="9"/>
  <c r="H305" i="9"/>
  <c r="H295" i="13" s="1"/>
  <c r="C306" i="9"/>
  <c r="B296" i="15" s="1"/>
  <c r="D306" i="9"/>
  <c r="C296" i="15" s="1"/>
  <c r="E306" i="9"/>
  <c r="F306" i="9"/>
  <c r="M306" i="9" s="1"/>
  <c r="G306" i="9"/>
  <c r="G296" i="13" s="1"/>
  <c r="H306" i="9"/>
  <c r="H296" i="13" s="1"/>
  <c r="C307" i="9"/>
  <c r="B297" i="15" s="1"/>
  <c r="D307" i="9"/>
  <c r="D297" i="13" s="1"/>
  <c r="E307" i="9"/>
  <c r="D297" i="15" s="1"/>
  <c r="F307" i="9"/>
  <c r="M307" i="9" s="1"/>
  <c r="G307" i="9"/>
  <c r="H307" i="9"/>
  <c r="H297" i="13" s="1"/>
  <c r="C308" i="9"/>
  <c r="B298" i="15" s="1"/>
  <c r="D308" i="9"/>
  <c r="D298" i="13" s="1"/>
  <c r="E308" i="9"/>
  <c r="D298" i="15" s="1"/>
  <c r="F308" i="9"/>
  <c r="M308" i="9" s="1"/>
  <c r="G308" i="9"/>
  <c r="H308" i="9"/>
  <c r="H298" i="13" s="1"/>
  <c r="C309" i="9"/>
  <c r="B299" i="15" s="1"/>
  <c r="D309" i="9"/>
  <c r="D299" i="13" s="1"/>
  <c r="E309" i="9"/>
  <c r="D299" i="15" s="1"/>
  <c r="F309" i="9"/>
  <c r="G309" i="9"/>
  <c r="H309" i="9"/>
  <c r="H299" i="13" s="1"/>
  <c r="C310" i="9"/>
  <c r="B300" i="15" s="1"/>
  <c r="D310" i="9"/>
  <c r="D300" i="13" s="1"/>
  <c r="E310" i="9"/>
  <c r="F310" i="9"/>
  <c r="M310" i="9" s="1"/>
  <c r="G310" i="9"/>
  <c r="G300" i="13" s="1"/>
  <c r="H310" i="9"/>
  <c r="H300" i="13" s="1"/>
  <c r="C311" i="9"/>
  <c r="B301" i="15" s="1"/>
  <c r="D311" i="9"/>
  <c r="D301" i="13" s="1"/>
  <c r="E311" i="9"/>
  <c r="F311" i="9"/>
  <c r="M311" i="9" s="1"/>
  <c r="G311" i="9"/>
  <c r="H311" i="9"/>
  <c r="H301" i="13" s="1"/>
  <c r="C312" i="9"/>
  <c r="B302" i="15" s="1"/>
  <c r="D312" i="9"/>
  <c r="C302" i="15" s="1"/>
  <c r="E312" i="9"/>
  <c r="F312" i="9"/>
  <c r="M312" i="9" s="1"/>
  <c r="G312" i="9"/>
  <c r="H312" i="9"/>
  <c r="H302" i="13" s="1"/>
  <c r="C313" i="9"/>
  <c r="B303" i="15" s="1"/>
  <c r="D313" i="9"/>
  <c r="C303" i="15" s="1"/>
  <c r="E313" i="9"/>
  <c r="E303" i="13" s="1"/>
  <c r="F313" i="9"/>
  <c r="M313" i="9" s="1"/>
  <c r="G313" i="9"/>
  <c r="H313" i="9"/>
  <c r="H303" i="13" s="1"/>
  <c r="C314" i="9"/>
  <c r="B304" i="15" s="1"/>
  <c r="D314" i="9"/>
  <c r="C304" i="15" s="1"/>
  <c r="E314" i="9"/>
  <c r="F314" i="9"/>
  <c r="M314" i="9" s="1"/>
  <c r="G314" i="9"/>
  <c r="G304" i="13" s="1"/>
  <c r="H314" i="9"/>
  <c r="C315" i="9"/>
  <c r="B305" i="15" s="1"/>
  <c r="D315" i="9"/>
  <c r="D305" i="13" s="1"/>
  <c r="E315" i="9"/>
  <c r="F315" i="9"/>
  <c r="M315" i="9" s="1"/>
  <c r="G315" i="9"/>
  <c r="H315" i="9"/>
  <c r="H305" i="13" s="1"/>
  <c r="C316" i="9"/>
  <c r="B306" i="15" s="1"/>
  <c r="D316" i="9"/>
  <c r="E316" i="9"/>
  <c r="F316" i="9"/>
  <c r="M316" i="9" s="1"/>
  <c r="G316" i="9"/>
  <c r="H316" i="9"/>
  <c r="H306" i="13" s="1"/>
  <c r="C317" i="9"/>
  <c r="B307" i="15" s="1"/>
  <c r="D317" i="9"/>
  <c r="E317" i="9"/>
  <c r="D307" i="15" s="1"/>
  <c r="F317" i="9"/>
  <c r="M317" i="9" s="1"/>
  <c r="G317" i="9"/>
  <c r="H317" i="9"/>
  <c r="C318" i="9"/>
  <c r="B308" i="15" s="1"/>
  <c r="D318" i="9"/>
  <c r="E318" i="9"/>
  <c r="F318" i="9"/>
  <c r="M318" i="9" s="1"/>
  <c r="N318" i="9" s="1" a="1"/>
  <c r="N318" i="9" s="1"/>
  <c r="G318" i="9"/>
  <c r="H318" i="9"/>
  <c r="C319" i="9"/>
  <c r="B309" i="15" s="1"/>
  <c r="D319" i="9"/>
  <c r="D309" i="13" s="1"/>
  <c r="E319" i="9"/>
  <c r="D309" i="15" s="1"/>
  <c r="F319" i="9"/>
  <c r="M319" i="9" s="1"/>
  <c r="G319" i="9"/>
  <c r="H319" i="9"/>
  <c r="H309" i="13" s="1"/>
  <c r="C320" i="9"/>
  <c r="B310" i="15" s="1"/>
  <c r="D320" i="9"/>
  <c r="D310" i="13" s="1"/>
  <c r="E320" i="9"/>
  <c r="D310" i="15" s="1"/>
  <c r="F320" i="9"/>
  <c r="G320" i="9"/>
  <c r="H320" i="9"/>
  <c r="H310" i="13" s="1"/>
  <c r="C321" i="9"/>
  <c r="B311" i="15" s="1"/>
  <c r="D321" i="9"/>
  <c r="D311" i="13" s="1"/>
  <c r="E321" i="9"/>
  <c r="F321" i="9"/>
  <c r="G321" i="9"/>
  <c r="H321" i="9"/>
  <c r="H311" i="13" s="1"/>
  <c r="C322" i="9"/>
  <c r="B312" i="15" s="1"/>
  <c r="D322" i="9"/>
  <c r="E322" i="9"/>
  <c r="F322" i="9"/>
  <c r="G322" i="9"/>
  <c r="H322" i="9"/>
  <c r="H312" i="13" s="1"/>
  <c r="C323" i="9"/>
  <c r="D323" i="9"/>
  <c r="E323" i="9"/>
  <c r="F323" i="9"/>
  <c r="M323" i="9" s="1"/>
  <c r="G323" i="9"/>
  <c r="H323" i="9"/>
  <c r="H313" i="13" s="1"/>
  <c r="C324" i="9"/>
  <c r="B314" i="15" s="1"/>
  <c r="D324" i="9"/>
  <c r="D314" i="13" s="1"/>
  <c r="E324" i="9"/>
  <c r="F324" i="9"/>
  <c r="M324" i="9" s="1"/>
  <c r="G324" i="9"/>
  <c r="H324" i="9"/>
  <c r="C325" i="9"/>
  <c r="B315" i="15" s="1"/>
  <c r="D325" i="9"/>
  <c r="E325" i="9"/>
  <c r="D315" i="15" s="1"/>
  <c r="F325" i="9"/>
  <c r="M325" i="9" s="1"/>
  <c r="G325" i="9"/>
  <c r="G315" i="13" s="1"/>
  <c r="H325" i="9"/>
  <c r="H315" i="13" s="1"/>
  <c r="C326" i="9"/>
  <c r="B316" i="15" s="1"/>
  <c r="D326" i="9"/>
  <c r="D316" i="13" s="1"/>
  <c r="E326" i="9"/>
  <c r="F326" i="9"/>
  <c r="M326" i="9" s="1"/>
  <c r="G326" i="9"/>
  <c r="G316" i="13" s="1"/>
  <c r="H326" i="9"/>
  <c r="H316" i="13" s="1"/>
  <c r="C327" i="9"/>
  <c r="D327" i="9"/>
  <c r="C317" i="15" s="1"/>
  <c r="E327" i="9"/>
  <c r="F327" i="9"/>
  <c r="G327" i="9"/>
  <c r="H327" i="9"/>
  <c r="H317" i="13" s="1"/>
  <c r="C328" i="9"/>
  <c r="B318" i="15" s="1"/>
  <c r="D328" i="9"/>
  <c r="D318" i="13" s="1"/>
  <c r="E328" i="9"/>
  <c r="F328" i="9"/>
  <c r="M328" i="9" s="1"/>
  <c r="G328" i="9"/>
  <c r="H328" i="9"/>
  <c r="C329" i="9"/>
  <c r="B319" i="15" s="1"/>
  <c r="D329" i="9"/>
  <c r="E329" i="9"/>
  <c r="F329" i="9"/>
  <c r="M329" i="9" s="1"/>
  <c r="G329" i="9"/>
  <c r="G319" i="13" s="1"/>
  <c r="H329" i="9"/>
  <c r="H319" i="13" s="1"/>
  <c r="C330" i="9"/>
  <c r="B320" i="15" s="1"/>
  <c r="D330" i="9"/>
  <c r="D320" i="13" s="1"/>
  <c r="E330" i="9"/>
  <c r="D320" i="15" s="1"/>
  <c r="F330" i="9"/>
  <c r="G330" i="9"/>
  <c r="H330" i="9"/>
  <c r="C331" i="9"/>
  <c r="D331" i="9"/>
  <c r="D321" i="13" s="1"/>
  <c r="E331" i="9"/>
  <c r="F331" i="9"/>
  <c r="M331" i="9" s="1"/>
  <c r="G331" i="9"/>
  <c r="H331" i="9"/>
  <c r="H321" i="13" s="1"/>
  <c r="C332" i="9"/>
  <c r="B322" i="15" s="1"/>
  <c r="D332" i="9"/>
  <c r="C322" i="15" s="1"/>
  <c r="E332" i="9"/>
  <c r="F332" i="9"/>
  <c r="M332" i="9" s="1"/>
  <c r="G332" i="9"/>
  <c r="H332" i="9"/>
  <c r="C333" i="9"/>
  <c r="B323" i="15" s="1"/>
  <c r="D333" i="9"/>
  <c r="C323" i="15" s="1"/>
  <c r="E333" i="9"/>
  <c r="D323" i="15" s="1"/>
  <c r="F333" i="9"/>
  <c r="G333" i="9"/>
  <c r="G323" i="13" s="1"/>
  <c r="H333" i="9"/>
  <c r="H323" i="13" s="1"/>
  <c r="C334" i="9"/>
  <c r="B324" i="15" s="1"/>
  <c r="D334" i="9"/>
  <c r="D324" i="13" s="1"/>
  <c r="E334" i="9"/>
  <c r="F334" i="9"/>
  <c r="M334" i="9" s="1"/>
  <c r="N334" i="9" s="1" a="1"/>
  <c r="N334" i="9" s="1"/>
  <c r="G334" i="9"/>
  <c r="H334" i="9"/>
  <c r="H324" i="13" s="1"/>
  <c r="C335" i="9"/>
  <c r="D335" i="9"/>
  <c r="D325" i="13" s="1"/>
  <c r="E335" i="9"/>
  <c r="D325" i="15" s="1"/>
  <c r="F335" i="9"/>
  <c r="G335" i="9"/>
  <c r="H335" i="9"/>
  <c r="H325" i="13" s="1"/>
  <c r="C336" i="9"/>
  <c r="B326" i="15" s="1"/>
  <c r="D336" i="9"/>
  <c r="C326" i="15" s="1"/>
  <c r="E336" i="9"/>
  <c r="E326" i="13" s="1"/>
  <c r="F336" i="9"/>
  <c r="M336" i="9" s="1"/>
  <c r="G336" i="9"/>
  <c r="H336" i="9"/>
  <c r="H326" i="13" s="1"/>
  <c r="C337" i="9"/>
  <c r="B327" i="15" s="1"/>
  <c r="D337" i="9"/>
  <c r="C327" i="15" s="1"/>
  <c r="E337" i="9"/>
  <c r="E327" i="13" s="1"/>
  <c r="F337" i="9"/>
  <c r="M337" i="9" s="1"/>
  <c r="G337" i="9"/>
  <c r="G327" i="13" s="1"/>
  <c r="H337" i="9"/>
  <c r="H327" i="13" s="1"/>
  <c r="C338" i="9"/>
  <c r="B328" i="15" s="1"/>
  <c r="D338" i="9"/>
  <c r="D328" i="13" s="1"/>
  <c r="E338" i="9"/>
  <c r="D328" i="15" s="1"/>
  <c r="F338" i="9"/>
  <c r="M338" i="9" s="1"/>
  <c r="G338" i="9"/>
  <c r="G328" i="13" s="1"/>
  <c r="H338" i="9"/>
  <c r="H328" i="13" s="1"/>
  <c r="C339" i="9"/>
  <c r="D339" i="9"/>
  <c r="E339" i="9"/>
  <c r="F339" i="9"/>
  <c r="G339" i="9"/>
  <c r="H339" i="9"/>
  <c r="H329" i="13" s="1"/>
  <c r="C340" i="9"/>
  <c r="B330" i="15" s="1"/>
  <c r="D340" i="9"/>
  <c r="E340" i="9"/>
  <c r="E330" i="13" s="1"/>
  <c r="F340" i="9"/>
  <c r="G340" i="9"/>
  <c r="H340" i="9"/>
  <c r="H330" i="13" s="1"/>
  <c r="C341" i="9"/>
  <c r="B331" i="15" s="1"/>
  <c r="D341" i="9"/>
  <c r="D331" i="13" s="1"/>
  <c r="E341" i="9"/>
  <c r="D331" i="15" s="1"/>
  <c r="F341" i="9"/>
  <c r="M341" i="9" s="1"/>
  <c r="G341" i="9"/>
  <c r="G331" i="13" s="1"/>
  <c r="H341" i="9"/>
  <c r="H331" i="13" s="1"/>
  <c r="C342" i="9"/>
  <c r="B332" i="15" s="1"/>
  <c r="D342" i="9"/>
  <c r="D332" i="13" s="1"/>
  <c r="E342" i="9"/>
  <c r="F342" i="9"/>
  <c r="M342" i="9" s="1"/>
  <c r="G342" i="9"/>
  <c r="G332" i="13" s="1"/>
  <c r="H342" i="9"/>
  <c r="H332" i="13" s="1"/>
  <c r="C343" i="9"/>
  <c r="D343" i="9"/>
  <c r="C333" i="15" s="1"/>
  <c r="E343" i="9"/>
  <c r="F343" i="9"/>
  <c r="G343" i="9"/>
  <c r="H343" i="9"/>
  <c r="H333" i="13" s="1"/>
  <c r="C344" i="9"/>
  <c r="B334" i="15" s="1"/>
  <c r="D344" i="9"/>
  <c r="D334" i="13" s="1"/>
  <c r="E344" i="9"/>
  <c r="F344" i="9"/>
  <c r="M344" i="9" s="1"/>
  <c r="G344" i="9"/>
  <c r="H344" i="9"/>
  <c r="H334" i="13" s="1"/>
  <c r="C345" i="9"/>
  <c r="B335" i="15" s="1"/>
  <c r="D345" i="9"/>
  <c r="D335" i="13" s="1"/>
  <c r="E345" i="9"/>
  <c r="E335" i="13" s="1"/>
  <c r="F345" i="9"/>
  <c r="G345" i="9"/>
  <c r="G335" i="13" s="1"/>
  <c r="H345" i="9"/>
  <c r="H335" i="13" s="1"/>
  <c r="C346" i="9"/>
  <c r="B336" i="15" s="1"/>
  <c r="D346" i="9"/>
  <c r="E346" i="9"/>
  <c r="F346" i="9"/>
  <c r="M346" i="9" s="1"/>
  <c r="G346" i="9"/>
  <c r="G336" i="13" s="1"/>
  <c r="H346" i="9"/>
  <c r="H336" i="13" s="1"/>
  <c r="C347" i="9"/>
  <c r="B337" i="15" s="1"/>
  <c r="D347" i="9"/>
  <c r="C337" i="15" s="1"/>
  <c r="E347" i="9"/>
  <c r="D337" i="15" s="1"/>
  <c r="F347" i="9"/>
  <c r="M347" i="9" s="1"/>
  <c r="G347" i="9"/>
  <c r="H347" i="9"/>
  <c r="C348" i="9"/>
  <c r="B338" i="15" s="1"/>
  <c r="D348" i="9"/>
  <c r="D338" i="13" s="1"/>
  <c r="E348" i="9"/>
  <c r="D338" i="15" s="1"/>
  <c r="F348" i="9"/>
  <c r="M348" i="9" s="1"/>
  <c r="G348" i="9"/>
  <c r="H348" i="9"/>
  <c r="C349" i="9"/>
  <c r="B339" i="15" s="1"/>
  <c r="D349" i="9"/>
  <c r="D339" i="13" s="1"/>
  <c r="E349" i="9"/>
  <c r="F349" i="9"/>
  <c r="G349" i="9"/>
  <c r="H349" i="9"/>
  <c r="H339" i="13" s="1"/>
  <c r="C350" i="9"/>
  <c r="B340" i="15" s="1"/>
  <c r="D350" i="9"/>
  <c r="E350" i="9"/>
  <c r="F350" i="9"/>
  <c r="M350" i="9" s="1"/>
  <c r="G350" i="9"/>
  <c r="G340" i="13" s="1"/>
  <c r="H350" i="9"/>
  <c r="H340" i="13" s="1"/>
  <c r="C351" i="9"/>
  <c r="B341" i="15" s="1"/>
  <c r="D351" i="9"/>
  <c r="C341" i="15" s="1"/>
  <c r="E351" i="9"/>
  <c r="F351" i="9"/>
  <c r="G351" i="9"/>
  <c r="H351" i="9"/>
  <c r="H341" i="13" s="1"/>
  <c r="C352" i="9"/>
  <c r="B342" i="15" s="1"/>
  <c r="D352" i="9"/>
  <c r="D342" i="13" s="1"/>
  <c r="E352" i="9"/>
  <c r="F352" i="9"/>
  <c r="M352" i="9" s="1"/>
  <c r="G352" i="9"/>
  <c r="H352" i="9"/>
  <c r="C353" i="9"/>
  <c r="B343" i="15" s="1"/>
  <c r="D353" i="9"/>
  <c r="D343" i="13" s="1"/>
  <c r="E353" i="9"/>
  <c r="E343" i="13" s="1"/>
  <c r="F353" i="9"/>
  <c r="M353" i="9" s="1"/>
  <c r="G353" i="9"/>
  <c r="H353" i="9"/>
  <c r="H343" i="13" s="1"/>
  <c r="C354" i="9"/>
  <c r="B344" i="15" s="1"/>
  <c r="D354" i="9"/>
  <c r="E354" i="9"/>
  <c r="F354" i="9"/>
  <c r="M354" i="9" s="1"/>
  <c r="G354" i="9"/>
  <c r="G344" i="13" s="1"/>
  <c r="H354" i="9"/>
  <c r="H344" i="13" s="1"/>
  <c r="C355" i="9"/>
  <c r="B345" i="15" s="1"/>
  <c r="D355" i="9"/>
  <c r="D345" i="13" s="1"/>
  <c r="E355" i="9"/>
  <c r="F355" i="9"/>
  <c r="G355" i="9"/>
  <c r="H355" i="9"/>
  <c r="H345" i="13" s="1"/>
  <c r="C356" i="9"/>
  <c r="B346" i="15" s="1"/>
  <c r="D356" i="9"/>
  <c r="D346" i="13" s="1"/>
  <c r="E356" i="9"/>
  <c r="D346" i="15" s="1"/>
  <c r="F356" i="9"/>
  <c r="M356" i="9" s="1"/>
  <c r="G356" i="9"/>
  <c r="H356" i="9"/>
  <c r="H346" i="13" s="1"/>
  <c r="C357" i="9"/>
  <c r="B347" i="15" s="1"/>
  <c r="D357" i="9"/>
  <c r="D347" i="13" s="1"/>
  <c r="E357" i="9"/>
  <c r="E347" i="13" s="1"/>
  <c r="F357" i="9"/>
  <c r="G357" i="9"/>
  <c r="H357" i="9"/>
  <c r="H347" i="13" s="1"/>
  <c r="C358" i="9"/>
  <c r="B348" i="15" s="1"/>
  <c r="D358" i="9"/>
  <c r="D348" i="13" s="1"/>
  <c r="E358" i="9"/>
  <c r="F358" i="9"/>
  <c r="M358" i="9" s="1"/>
  <c r="G358" i="9"/>
  <c r="G348" i="13" s="1"/>
  <c r="H358" i="9"/>
  <c r="H348" i="13" s="1"/>
  <c r="C359" i="9"/>
  <c r="B349" i="15" s="1"/>
  <c r="D359" i="9"/>
  <c r="C349" i="15" s="1"/>
  <c r="E359" i="9"/>
  <c r="F359" i="9"/>
  <c r="G359" i="9"/>
  <c r="H359" i="9"/>
  <c r="H349" i="13" s="1"/>
  <c r="C360" i="9"/>
  <c r="D360" i="9"/>
  <c r="D350" i="13" s="1"/>
  <c r="E360" i="9"/>
  <c r="F360" i="9"/>
  <c r="M360" i="9" s="1"/>
  <c r="G360" i="9"/>
  <c r="H360" i="9"/>
  <c r="H350" i="13" s="1"/>
  <c r="C361" i="9"/>
  <c r="B351" i="15" s="1"/>
  <c r="D361" i="9"/>
  <c r="D351" i="13" s="1"/>
  <c r="E361" i="9"/>
  <c r="E351" i="13" s="1"/>
  <c r="F361" i="9"/>
  <c r="M361" i="9" s="1"/>
  <c r="G361" i="9"/>
  <c r="H361" i="9"/>
  <c r="H351" i="13" s="1"/>
  <c r="C362" i="9"/>
  <c r="B352" i="15" s="1"/>
  <c r="D362" i="9"/>
  <c r="D352" i="13" s="1"/>
  <c r="E362" i="9"/>
  <c r="F362" i="9"/>
  <c r="M362" i="9" s="1"/>
  <c r="G362" i="9"/>
  <c r="G352" i="13" s="1"/>
  <c r="H362" i="9"/>
  <c r="H352" i="13" s="1"/>
  <c r="C363" i="9"/>
  <c r="B353" i="15" s="1"/>
  <c r="D363" i="9"/>
  <c r="D353" i="13" s="1"/>
  <c r="E363" i="9"/>
  <c r="D353" i="15" s="1"/>
  <c r="F363" i="9"/>
  <c r="M363" i="9" s="1"/>
  <c r="G363" i="9"/>
  <c r="H363" i="9"/>
  <c r="H353" i="13" s="1"/>
  <c r="C364" i="9"/>
  <c r="B354" i="15" s="1"/>
  <c r="D364" i="9"/>
  <c r="D354" i="13" s="1"/>
  <c r="E364" i="9"/>
  <c r="D354" i="15" s="1"/>
  <c r="F364" i="9"/>
  <c r="M364" i="9" s="1"/>
  <c r="G364" i="9"/>
  <c r="H364" i="9"/>
  <c r="C365" i="9"/>
  <c r="B355" i="15" s="1"/>
  <c r="D365" i="9"/>
  <c r="D355" i="13" s="1"/>
  <c r="E365" i="9"/>
  <c r="F365" i="9"/>
  <c r="M365" i="9" s="1"/>
  <c r="G365" i="9"/>
  <c r="H365" i="9"/>
  <c r="H355" i="13" s="1"/>
  <c r="C366" i="9"/>
  <c r="B356" i="15" s="1"/>
  <c r="D366" i="9"/>
  <c r="D356" i="13" s="1"/>
  <c r="E366" i="9"/>
  <c r="F366" i="9"/>
  <c r="G366" i="9"/>
  <c r="G356" i="13" s="1"/>
  <c r="H366" i="9"/>
  <c r="H356" i="13" s="1"/>
  <c r="C367" i="9"/>
  <c r="B357" i="15" s="1"/>
  <c r="D367" i="9"/>
  <c r="D357" i="13" s="1"/>
  <c r="E367" i="9"/>
  <c r="F367" i="9"/>
  <c r="G367" i="9"/>
  <c r="H367" i="9"/>
  <c r="H357" i="13" s="1"/>
  <c r="C368" i="9"/>
  <c r="B358" i="15" s="1"/>
  <c r="D368" i="9"/>
  <c r="D358" i="13" s="1"/>
  <c r="E368" i="9"/>
  <c r="F368" i="9"/>
  <c r="G368" i="9"/>
  <c r="H368" i="9"/>
  <c r="H358" i="13" s="1"/>
  <c r="C369" i="9"/>
  <c r="B359" i="15" s="1"/>
  <c r="D369" i="9"/>
  <c r="D359" i="13" s="1"/>
  <c r="E369" i="9"/>
  <c r="F369" i="9"/>
  <c r="M369" i="9" s="1"/>
  <c r="G369" i="9"/>
  <c r="H369" i="9"/>
  <c r="H359" i="13" s="1"/>
  <c r="C370" i="9"/>
  <c r="B360" i="15" s="1"/>
  <c r="D370" i="9"/>
  <c r="D360" i="13" s="1"/>
  <c r="E370" i="9"/>
  <c r="F370" i="9"/>
  <c r="G370" i="9"/>
  <c r="H370" i="9"/>
  <c r="H360" i="13" s="1"/>
  <c r="C371" i="9"/>
  <c r="B361" i="15" s="1"/>
  <c r="D371" i="9"/>
  <c r="E371" i="9"/>
  <c r="D361" i="15" s="1"/>
  <c r="F371" i="9"/>
  <c r="G371" i="9"/>
  <c r="H371" i="9"/>
  <c r="H361" i="13" s="1"/>
  <c r="C372" i="9"/>
  <c r="B362" i="15" s="1"/>
  <c r="D372" i="9"/>
  <c r="D362" i="13" s="1"/>
  <c r="E372" i="9"/>
  <c r="F372" i="9"/>
  <c r="G372" i="9"/>
  <c r="H372" i="9"/>
  <c r="H362" i="13" s="1"/>
  <c r="C373" i="9"/>
  <c r="B363" i="15" s="1"/>
  <c r="D373" i="9"/>
  <c r="D363" i="13" s="1"/>
  <c r="E373" i="9"/>
  <c r="E363" i="13" s="1"/>
  <c r="F373" i="9"/>
  <c r="G373" i="9"/>
  <c r="H373" i="9"/>
  <c r="H363" i="13" s="1"/>
  <c r="C374" i="9"/>
  <c r="B364" i="15" s="1"/>
  <c r="D374" i="9"/>
  <c r="D364" i="13" s="1"/>
  <c r="E374" i="9"/>
  <c r="F374" i="9"/>
  <c r="G374" i="9"/>
  <c r="G364" i="13" s="1"/>
  <c r="H374" i="9"/>
  <c r="H364" i="13" s="1"/>
  <c r="C375" i="9"/>
  <c r="B365" i="15" s="1"/>
  <c r="D375" i="9"/>
  <c r="C365" i="15" s="1"/>
  <c r="E375" i="9"/>
  <c r="F375" i="9"/>
  <c r="M375" i="9" s="1"/>
  <c r="G375" i="9"/>
  <c r="H375" i="9"/>
  <c r="H365" i="13" s="1"/>
  <c r="C376" i="9"/>
  <c r="B366" i="15" s="1"/>
  <c r="D376" i="9"/>
  <c r="D366" i="13" s="1"/>
  <c r="E376" i="9"/>
  <c r="D366" i="15" s="1"/>
  <c r="F376" i="9"/>
  <c r="G376" i="9"/>
  <c r="H376" i="9"/>
  <c r="C377" i="9"/>
  <c r="B367" i="15" s="1"/>
  <c r="D377" i="9"/>
  <c r="E377" i="9"/>
  <c r="E367" i="13" s="1"/>
  <c r="F377" i="9"/>
  <c r="M377" i="9" s="1"/>
  <c r="G377" i="9"/>
  <c r="H377" i="9"/>
  <c r="C378" i="9"/>
  <c r="B368" i="15" s="1"/>
  <c r="D378" i="9"/>
  <c r="E378" i="9"/>
  <c r="F378" i="9"/>
  <c r="G378" i="9"/>
  <c r="G368" i="13" s="1"/>
  <c r="H378" i="9"/>
  <c r="H368" i="13" s="1"/>
  <c r="C379" i="9"/>
  <c r="B369" i="15" s="1"/>
  <c r="D379" i="9"/>
  <c r="E379" i="9"/>
  <c r="D369" i="15" s="1"/>
  <c r="F379" i="9"/>
  <c r="M379" i="9" s="1"/>
  <c r="G379" i="9"/>
  <c r="H379" i="9"/>
  <c r="H369" i="13" s="1"/>
  <c r="C380" i="9"/>
  <c r="B370" i="15" s="1"/>
  <c r="D380" i="9"/>
  <c r="C370" i="15" s="1"/>
  <c r="E380" i="9"/>
  <c r="F380" i="9"/>
  <c r="M380" i="9" s="1"/>
  <c r="G380" i="9"/>
  <c r="H380" i="9"/>
  <c r="H370" i="13" s="1"/>
  <c r="C381" i="9"/>
  <c r="B371" i="15" s="1"/>
  <c r="D381" i="9"/>
  <c r="D371" i="13" s="1"/>
  <c r="E381" i="9"/>
  <c r="E371" i="13" s="1"/>
  <c r="F381" i="9"/>
  <c r="M381" i="9" s="1"/>
  <c r="G381" i="9"/>
  <c r="H381" i="9"/>
  <c r="H371" i="13" s="1"/>
  <c r="C382" i="9"/>
  <c r="B372" i="15" s="1"/>
  <c r="D382" i="9"/>
  <c r="D372" i="13" s="1"/>
  <c r="E382" i="9"/>
  <c r="F382" i="9"/>
  <c r="G382" i="9"/>
  <c r="G372" i="13" s="1"/>
  <c r="H382" i="9"/>
  <c r="H372" i="13" s="1"/>
  <c r="C383" i="9"/>
  <c r="B373" i="15" s="1"/>
  <c r="D383" i="9"/>
  <c r="C373" i="15" s="1"/>
  <c r="E383" i="9"/>
  <c r="F383" i="9"/>
  <c r="M383" i="9" s="1"/>
  <c r="G383" i="9"/>
  <c r="H383" i="9"/>
  <c r="H373" i="13" s="1"/>
  <c r="C384" i="9"/>
  <c r="B374" i="15" s="1"/>
  <c r="D384" i="9"/>
  <c r="E384" i="9"/>
  <c r="F384" i="9"/>
  <c r="M384" i="9" s="1"/>
  <c r="G384" i="9"/>
  <c r="H384" i="9"/>
  <c r="H374" i="13" s="1"/>
  <c r="C385" i="9"/>
  <c r="B375" i="15" s="1"/>
  <c r="D385" i="9"/>
  <c r="E385" i="9"/>
  <c r="E375" i="13" s="1"/>
  <c r="F385" i="9"/>
  <c r="M385" i="9" s="1"/>
  <c r="G385" i="9"/>
  <c r="H385" i="9"/>
  <c r="H375" i="13" s="1"/>
  <c r="C386" i="9"/>
  <c r="B376" i="15" s="1"/>
  <c r="D386" i="9"/>
  <c r="D376" i="13" s="1"/>
  <c r="E386" i="9"/>
  <c r="F386" i="9"/>
  <c r="G386" i="9"/>
  <c r="G376" i="13" s="1"/>
  <c r="H386" i="9"/>
  <c r="H376" i="13" s="1"/>
  <c r="C387" i="9"/>
  <c r="B377" i="15" s="1"/>
  <c r="D387" i="9"/>
  <c r="D377" i="13" s="1"/>
  <c r="E387" i="9"/>
  <c r="D377" i="15" s="1"/>
  <c r="F387" i="9"/>
  <c r="G387" i="9"/>
  <c r="H387" i="9"/>
  <c r="H377" i="13" s="1"/>
  <c r="C388" i="9"/>
  <c r="B378" i="15" s="1"/>
  <c r="D388" i="9"/>
  <c r="C378" i="15" s="1"/>
  <c r="E388" i="9"/>
  <c r="D378" i="15" s="1"/>
  <c r="F388" i="9"/>
  <c r="M388" i="9" s="1"/>
  <c r="G388" i="9"/>
  <c r="H388" i="9"/>
  <c r="C389" i="9"/>
  <c r="B379" i="15" s="1"/>
  <c r="D389" i="9"/>
  <c r="E389" i="9"/>
  <c r="E379" i="13" s="1"/>
  <c r="F389" i="9"/>
  <c r="G389" i="9"/>
  <c r="H389" i="9"/>
  <c r="H379" i="13" s="1"/>
  <c r="C390" i="9"/>
  <c r="B380" i="15" s="1"/>
  <c r="D390" i="9"/>
  <c r="D380" i="13" s="1"/>
  <c r="E390" i="9"/>
  <c r="F390" i="9"/>
  <c r="G390" i="9"/>
  <c r="G380" i="13" s="1"/>
  <c r="H390" i="9"/>
  <c r="H380" i="13" s="1"/>
  <c r="C391" i="9"/>
  <c r="B381" i="15" s="1"/>
  <c r="D391" i="9"/>
  <c r="D381" i="13" s="1"/>
  <c r="E391" i="9"/>
  <c r="D381" i="15" s="1"/>
  <c r="F391" i="9"/>
  <c r="G391" i="9"/>
  <c r="H391" i="9"/>
  <c r="C392" i="9"/>
  <c r="B382" i="15" s="1"/>
  <c r="D392" i="9"/>
  <c r="C382" i="15" s="1"/>
  <c r="E392" i="9"/>
  <c r="D382" i="15" s="1"/>
  <c r="F392" i="9"/>
  <c r="M392" i="9" s="1"/>
  <c r="G392" i="9"/>
  <c r="H392" i="9"/>
  <c r="H382" i="13" s="1"/>
  <c r="C393" i="9"/>
  <c r="D393" i="9"/>
  <c r="C383" i="15" s="1"/>
  <c r="E393" i="9"/>
  <c r="E383" i="13" s="1"/>
  <c r="F393" i="9"/>
  <c r="G393" i="9"/>
  <c r="H393" i="9"/>
  <c r="H383" i="13" s="1"/>
  <c r="C394" i="9"/>
  <c r="B384" i="15" s="1"/>
  <c r="D394" i="9"/>
  <c r="E394" i="9"/>
  <c r="E384" i="13" s="1"/>
  <c r="F394" i="9"/>
  <c r="M394" i="9" s="1"/>
  <c r="G394" i="9"/>
  <c r="G384" i="13" s="1"/>
  <c r="H394" i="9"/>
  <c r="H384" i="13" s="1"/>
  <c r="C395" i="9"/>
  <c r="B385" i="15" s="1"/>
  <c r="D395" i="9"/>
  <c r="D385" i="13" s="1"/>
  <c r="E395" i="9"/>
  <c r="D385" i="15" s="1"/>
  <c r="F395" i="9"/>
  <c r="G395" i="9"/>
  <c r="G385" i="13" s="1"/>
  <c r="H395" i="9"/>
  <c r="H385" i="13" s="1"/>
  <c r="C396" i="9"/>
  <c r="B386" i="15" s="1"/>
  <c r="D396" i="9"/>
  <c r="C386" i="15" s="1"/>
  <c r="E396" i="9"/>
  <c r="D386" i="15" s="1"/>
  <c r="F396" i="9"/>
  <c r="G396" i="9"/>
  <c r="H396" i="9"/>
  <c r="H386" i="13" s="1"/>
  <c r="C397" i="9"/>
  <c r="D397" i="9"/>
  <c r="C387" i="15" s="1"/>
  <c r="E397" i="9"/>
  <c r="E387" i="13" s="1"/>
  <c r="F397" i="9"/>
  <c r="G397" i="9"/>
  <c r="H397" i="9"/>
  <c r="H387" i="13" s="1"/>
  <c r="C398" i="9"/>
  <c r="B388" i="15" s="1"/>
  <c r="D398" i="9"/>
  <c r="D388" i="13" s="1"/>
  <c r="E398" i="9"/>
  <c r="E388" i="13" s="1"/>
  <c r="F398" i="9"/>
  <c r="M398" i="9" s="1"/>
  <c r="G398" i="9"/>
  <c r="G388" i="13" s="1"/>
  <c r="H398" i="9"/>
  <c r="H388" i="13" s="1"/>
  <c r="C399" i="9"/>
  <c r="B389" i="15" s="1"/>
  <c r="D399" i="9"/>
  <c r="C389" i="15" s="1"/>
  <c r="E399" i="9"/>
  <c r="D389" i="15" s="1"/>
  <c r="F399" i="9"/>
  <c r="M399" i="9" s="1"/>
  <c r="G399" i="9"/>
  <c r="G389" i="13" s="1"/>
  <c r="H399" i="9"/>
  <c r="C400" i="9"/>
  <c r="B390" i="15" s="1"/>
  <c r="D400" i="9"/>
  <c r="E400" i="9"/>
  <c r="D390" i="15" s="1"/>
  <c r="F400" i="9"/>
  <c r="G400" i="9"/>
  <c r="H400" i="9"/>
  <c r="H390" i="13" s="1"/>
  <c r="C401" i="9"/>
  <c r="D401" i="9"/>
  <c r="D391" i="13" s="1"/>
  <c r="E401" i="9"/>
  <c r="E391" i="13" s="1"/>
  <c r="F401" i="9"/>
  <c r="M401" i="9" s="1"/>
  <c r="G401" i="9"/>
  <c r="H401" i="9"/>
  <c r="H391" i="13" s="1"/>
  <c r="C402" i="9"/>
  <c r="B392" i="15" s="1"/>
  <c r="D402" i="9"/>
  <c r="D392" i="13" s="1"/>
  <c r="E402" i="9"/>
  <c r="E392" i="13" s="1"/>
  <c r="F402" i="9"/>
  <c r="M402" i="9" s="1"/>
  <c r="G402" i="9"/>
  <c r="G392" i="13" s="1"/>
  <c r="H402" i="9"/>
  <c r="C403" i="9"/>
  <c r="B393" i="15" s="1"/>
  <c r="D403" i="9"/>
  <c r="C393" i="15" s="1"/>
  <c r="E403" i="9"/>
  <c r="D393" i="15" s="1"/>
  <c r="F403" i="9"/>
  <c r="M403" i="9" s="1"/>
  <c r="G403" i="9"/>
  <c r="G393" i="13" s="1"/>
  <c r="H403" i="9"/>
  <c r="C404" i="9"/>
  <c r="B394" i="15" s="1"/>
  <c r="D404" i="9"/>
  <c r="E404" i="9"/>
  <c r="F404" i="9"/>
  <c r="M404" i="9" s="1"/>
  <c r="G404" i="9"/>
  <c r="H404" i="9"/>
  <c r="H394" i="13" s="1"/>
  <c r="C405" i="9"/>
  <c r="D405" i="9"/>
  <c r="E405" i="9"/>
  <c r="F405" i="9"/>
  <c r="G405" i="9"/>
  <c r="H405" i="9"/>
  <c r="H395" i="13" s="1"/>
  <c r="C406" i="9"/>
  <c r="B396" i="15" s="1"/>
  <c r="D406" i="9"/>
  <c r="E406" i="9"/>
  <c r="E396" i="13" s="1"/>
  <c r="F406" i="9"/>
  <c r="M406" i="9" s="1"/>
  <c r="G406" i="9"/>
  <c r="G396" i="13" s="1"/>
  <c r="H406" i="9"/>
  <c r="H396" i="13" s="1"/>
  <c r="C407" i="9"/>
  <c r="B397" i="15" s="1"/>
  <c r="D407" i="9"/>
  <c r="D397" i="13" s="1"/>
  <c r="E407" i="9"/>
  <c r="D397" i="15" s="1"/>
  <c r="F407" i="9"/>
  <c r="G407" i="9"/>
  <c r="G397" i="13" s="1"/>
  <c r="H407" i="9"/>
  <c r="H397" i="13" s="1"/>
  <c r="C408" i="9"/>
  <c r="B398" i="15" s="1"/>
  <c r="D408" i="9"/>
  <c r="D398" i="13" s="1"/>
  <c r="E408" i="9"/>
  <c r="F408" i="9"/>
  <c r="M408" i="9" s="1"/>
  <c r="G408" i="9"/>
  <c r="H408" i="9"/>
  <c r="C409" i="9"/>
  <c r="D409" i="9"/>
  <c r="C399" i="15" s="1"/>
  <c r="E409" i="9"/>
  <c r="E399" i="13" s="1"/>
  <c r="F409" i="9"/>
  <c r="G409" i="9"/>
  <c r="H409" i="9"/>
  <c r="H399" i="13" s="1"/>
  <c r="C410" i="9"/>
  <c r="B400" i="15" s="1"/>
  <c r="D410" i="9"/>
  <c r="E410" i="9"/>
  <c r="E400" i="13" s="1"/>
  <c r="F410" i="9"/>
  <c r="M410" i="9" s="1"/>
  <c r="G410" i="9"/>
  <c r="G400" i="13" s="1"/>
  <c r="H410" i="9"/>
  <c r="H400" i="13" s="1"/>
  <c r="C411" i="9"/>
  <c r="B401" i="15" s="1"/>
  <c r="D411" i="9"/>
  <c r="E411" i="9"/>
  <c r="F411" i="9"/>
  <c r="M411" i="9" s="1"/>
  <c r="G411" i="9"/>
  <c r="G401" i="13" s="1"/>
  <c r="H411" i="9"/>
  <c r="C412" i="9"/>
  <c r="B402" i="15" s="1"/>
  <c r="D412" i="9"/>
  <c r="E412" i="9"/>
  <c r="F412" i="9"/>
  <c r="M412" i="9" s="1"/>
  <c r="G412" i="9"/>
  <c r="H412" i="9"/>
  <c r="C413" i="9"/>
  <c r="D413" i="9"/>
  <c r="C403" i="15" s="1"/>
  <c r="E413" i="9"/>
  <c r="E403" i="13" s="1"/>
  <c r="F413" i="9"/>
  <c r="M413" i="9" s="1"/>
  <c r="G413" i="9"/>
  <c r="H413" i="9"/>
  <c r="H403" i="13" s="1"/>
  <c r="C414" i="9"/>
  <c r="B404" i="15" s="1"/>
  <c r="D414" i="9"/>
  <c r="C404" i="15" s="1"/>
  <c r="E414" i="9"/>
  <c r="F414" i="9"/>
  <c r="M414" i="9" s="1"/>
  <c r="G414" i="9"/>
  <c r="G404" i="13" s="1"/>
  <c r="H414" i="9"/>
  <c r="H404" i="13" s="1"/>
  <c r="C415" i="9"/>
  <c r="B405" i="15" s="1"/>
  <c r="D415" i="9"/>
  <c r="E415" i="9"/>
  <c r="D405" i="15" s="1"/>
  <c r="F415" i="9"/>
  <c r="M415" i="9" s="1"/>
  <c r="G415" i="9"/>
  <c r="H415" i="9"/>
  <c r="H405" i="13" s="1"/>
  <c r="C416" i="9"/>
  <c r="B406" i="15" s="1"/>
  <c r="D416" i="9"/>
  <c r="D406" i="13" s="1"/>
  <c r="E416" i="9"/>
  <c r="F416" i="9"/>
  <c r="M416" i="9" s="1"/>
  <c r="G416" i="9"/>
  <c r="H416" i="9"/>
  <c r="H406" i="13" s="1"/>
  <c r="C417" i="9"/>
  <c r="D417" i="9"/>
  <c r="D407" i="13" s="1"/>
  <c r="E417" i="9"/>
  <c r="E407" i="13" s="1"/>
  <c r="F417" i="9"/>
  <c r="M417" i="9" s="1"/>
  <c r="G417" i="9"/>
  <c r="H417" i="9"/>
  <c r="H407" i="13" s="1"/>
  <c r="C418" i="9"/>
  <c r="B408" i="15" s="1"/>
  <c r="D418" i="9"/>
  <c r="E418" i="9"/>
  <c r="F418" i="9"/>
  <c r="M418" i="9" s="1"/>
  <c r="G418" i="9"/>
  <c r="G408" i="13" s="1"/>
  <c r="H418" i="9"/>
  <c r="H408" i="13" s="1"/>
  <c r="C419" i="9"/>
  <c r="B409" i="15" s="1"/>
  <c r="D419" i="9"/>
  <c r="C409" i="15" s="1"/>
  <c r="E419" i="9"/>
  <c r="F419" i="9"/>
  <c r="G419" i="9"/>
  <c r="H419" i="9"/>
  <c r="H409" i="13" s="1"/>
  <c r="C420" i="9"/>
  <c r="B410" i="15" s="1"/>
  <c r="D420" i="9"/>
  <c r="C410" i="15" s="1"/>
  <c r="E420" i="9"/>
  <c r="F420" i="9"/>
  <c r="M420" i="9" s="1"/>
  <c r="G420" i="9"/>
  <c r="H420" i="9"/>
  <c r="C421" i="9"/>
  <c r="D421" i="9"/>
  <c r="C411" i="15" s="1"/>
  <c r="E421" i="9"/>
  <c r="E411" i="13" s="1"/>
  <c r="F421" i="9"/>
  <c r="G421" i="9"/>
  <c r="H421" i="9"/>
  <c r="C422" i="9"/>
  <c r="B412" i="15" s="1"/>
  <c r="D422" i="9"/>
  <c r="E422" i="9"/>
  <c r="E412" i="13" s="1"/>
  <c r="F422" i="9"/>
  <c r="M422" i="9" s="1"/>
  <c r="G422" i="9"/>
  <c r="G412" i="13" s="1"/>
  <c r="H422" i="9"/>
  <c r="H412" i="13" s="1"/>
  <c r="C423" i="9"/>
  <c r="B413" i="15" s="1"/>
  <c r="D423" i="9"/>
  <c r="D413" i="13" s="1"/>
  <c r="E423" i="9"/>
  <c r="F423" i="9"/>
  <c r="G423" i="9"/>
  <c r="G413" i="13" s="1"/>
  <c r="H423" i="9"/>
  <c r="H413" i="13" s="1"/>
  <c r="C424" i="9"/>
  <c r="B414" i="15" s="1"/>
  <c r="D424" i="9"/>
  <c r="D414" i="13" s="1"/>
  <c r="E424" i="9"/>
  <c r="F424" i="9"/>
  <c r="M424" i="9" s="1"/>
  <c r="G424" i="9"/>
  <c r="H424" i="9"/>
  <c r="C425" i="9"/>
  <c r="D425" i="9"/>
  <c r="D415" i="13" s="1"/>
  <c r="E425" i="9"/>
  <c r="E415" i="13" s="1"/>
  <c r="F425" i="9"/>
  <c r="M425" i="9" s="1"/>
  <c r="G425" i="9"/>
  <c r="H425" i="9"/>
  <c r="H415" i="13" s="1"/>
  <c r="C426" i="9"/>
  <c r="B416" i="15" s="1"/>
  <c r="D426" i="9"/>
  <c r="C416" i="15" s="1"/>
  <c r="E426" i="9"/>
  <c r="F426" i="9"/>
  <c r="M426" i="9" s="1"/>
  <c r="G426" i="9"/>
  <c r="H426" i="9"/>
  <c r="H416" i="13" s="1"/>
  <c r="C427" i="9"/>
  <c r="B417" i="15" s="1"/>
  <c r="D427" i="9"/>
  <c r="C417" i="15" s="1"/>
  <c r="E427" i="9"/>
  <c r="F427" i="9"/>
  <c r="G427" i="9"/>
  <c r="G417" i="13" s="1"/>
  <c r="H427" i="9"/>
  <c r="H417" i="13" s="1"/>
  <c r="C428" i="9"/>
  <c r="B418" i="15" s="1"/>
  <c r="D428" i="9"/>
  <c r="C418" i="15" s="1"/>
  <c r="E428" i="9"/>
  <c r="F428" i="9"/>
  <c r="M428" i="9" s="1"/>
  <c r="G428" i="9"/>
  <c r="H428" i="9"/>
  <c r="C429" i="9"/>
  <c r="D429" i="9"/>
  <c r="D419" i="13" s="1"/>
  <c r="E429" i="9"/>
  <c r="E419" i="13" s="1"/>
  <c r="F429" i="9"/>
  <c r="M429" i="9" s="1"/>
  <c r="G429" i="9"/>
  <c r="H429" i="9"/>
  <c r="H419" i="13" s="1"/>
  <c r="C430" i="9"/>
  <c r="B420" i="15" s="1"/>
  <c r="D430" i="9"/>
  <c r="E430" i="9"/>
  <c r="F430" i="9"/>
  <c r="M430" i="9" s="1"/>
  <c r="G430" i="9"/>
  <c r="G420" i="13" s="1"/>
  <c r="H430" i="9"/>
  <c r="H420" i="13" s="1"/>
  <c r="C431" i="9"/>
  <c r="B421" i="15" s="1"/>
  <c r="D431" i="9"/>
  <c r="D421" i="13" s="1"/>
  <c r="E431" i="9"/>
  <c r="D421" i="15" s="1"/>
  <c r="F431" i="9"/>
  <c r="M431" i="9" s="1"/>
  <c r="G431" i="9"/>
  <c r="G421" i="13" s="1"/>
  <c r="H431" i="9"/>
  <c r="H421" i="13" s="1"/>
  <c r="C432" i="9"/>
  <c r="B422" i="15" s="1"/>
  <c r="D432" i="9"/>
  <c r="D422" i="13" s="1"/>
  <c r="E432" i="9"/>
  <c r="F432" i="9"/>
  <c r="M432" i="9" s="1"/>
  <c r="G432" i="9"/>
  <c r="H432" i="9"/>
  <c r="H422" i="13" s="1"/>
  <c r="C433" i="9"/>
  <c r="B423" i="15" s="1"/>
  <c r="D433" i="9"/>
  <c r="C423" i="15" s="1"/>
  <c r="E433" i="9"/>
  <c r="E423" i="13" s="1"/>
  <c r="F433" i="9"/>
  <c r="G433" i="9"/>
  <c r="H433" i="9"/>
  <c r="H423" i="13" s="1"/>
  <c r="C434" i="9"/>
  <c r="B424" i="15" s="1"/>
  <c r="D434" i="9"/>
  <c r="E434" i="9"/>
  <c r="D424" i="15" s="1"/>
  <c r="F434" i="9"/>
  <c r="M434" i="9" s="1"/>
  <c r="G434" i="9"/>
  <c r="G424" i="13" s="1"/>
  <c r="H434" i="9"/>
  <c r="H424" i="13" s="1"/>
  <c r="C435" i="9"/>
  <c r="B425" i="15" s="1"/>
  <c r="D435" i="9"/>
  <c r="C425" i="15" s="1"/>
  <c r="E435" i="9"/>
  <c r="F435" i="9"/>
  <c r="G435" i="9"/>
  <c r="H435" i="9"/>
  <c r="H425" i="13" s="1"/>
  <c r="C436" i="9"/>
  <c r="B426" i="15" s="1"/>
  <c r="D436" i="9"/>
  <c r="C426" i="15" s="1"/>
  <c r="E436" i="9"/>
  <c r="F436" i="9"/>
  <c r="M436" i="9" s="1"/>
  <c r="G436" i="9"/>
  <c r="H436" i="9"/>
  <c r="H426" i="13" s="1"/>
  <c r="C437" i="9"/>
  <c r="B427" i="15" s="1"/>
  <c r="D437" i="9"/>
  <c r="C427" i="15" s="1"/>
  <c r="E437" i="9"/>
  <c r="E427" i="13" s="1"/>
  <c r="F437" i="9"/>
  <c r="G437" i="9"/>
  <c r="H437" i="9"/>
  <c r="H427" i="13" s="1"/>
  <c r="C438" i="9"/>
  <c r="B428" i="15" s="1"/>
  <c r="D438" i="9"/>
  <c r="E438" i="9"/>
  <c r="D428" i="15" s="1"/>
  <c r="F438" i="9"/>
  <c r="M438" i="9" s="1"/>
  <c r="G438" i="9"/>
  <c r="G428" i="13" s="1"/>
  <c r="H438" i="9"/>
  <c r="H428" i="13" s="1"/>
  <c r="C439" i="9"/>
  <c r="B429" i="15" s="1"/>
  <c r="D439" i="9"/>
  <c r="D429" i="13" s="1"/>
  <c r="E439" i="9"/>
  <c r="D429" i="15" s="1"/>
  <c r="F439" i="9"/>
  <c r="G439" i="9"/>
  <c r="H439" i="9"/>
  <c r="H429" i="13" s="1"/>
  <c r="C440" i="9"/>
  <c r="B430" i="15" s="1"/>
  <c r="D440" i="9"/>
  <c r="D430" i="13" s="1"/>
  <c r="E440" i="9"/>
  <c r="E430" i="13" s="1"/>
  <c r="F440" i="9"/>
  <c r="M440" i="9" s="1"/>
  <c r="G440" i="9"/>
  <c r="H440" i="9"/>
  <c r="C441" i="9"/>
  <c r="B431" i="15" s="1"/>
  <c r="D441" i="9"/>
  <c r="C431" i="15" s="1"/>
  <c r="E441" i="9"/>
  <c r="F441" i="9"/>
  <c r="G441" i="9"/>
  <c r="H441" i="9"/>
  <c r="H431" i="13" s="1"/>
  <c r="C442" i="9"/>
  <c r="B432" i="15" s="1"/>
  <c r="D442" i="9"/>
  <c r="D432" i="13" s="1"/>
  <c r="E442" i="9"/>
  <c r="D432" i="15" s="1"/>
  <c r="F442" i="9"/>
  <c r="M442" i="9" s="1"/>
  <c r="G442" i="9"/>
  <c r="G432" i="13" s="1"/>
  <c r="H442" i="9"/>
  <c r="H432" i="13" s="1"/>
  <c r="C443" i="9"/>
  <c r="B433" i="15" s="1"/>
  <c r="D443" i="9"/>
  <c r="C433" i="15" s="1"/>
  <c r="E443" i="9"/>
  <c r="F443" i="9"/>
  <c r="G443" i="9"/>
  <c r="H443" i="9"/>
  <c r="H433" i="13" s="1"/>
  <c r="C444" i="9"/>
  <c r="B434" i="15" s="1"/>
  <c r="D444" i="9"/>
  <c r="D434" i="13" s="1"/>
  <c r="E444" i="9"/>
  <c r="F444" i="9"/>
  <c r="M444" i="9" s="1"/>
  <c r="G444" i="9"/>
  <c r="H444" i="9"/>
  <c r="C445" i="9"/>
  <c r="B435" i="15" s="1"/>
  <c r="D445" i="9"/>
  <c r="C435" i="15" s="1"/>
  <c r="E445" i="9"/>
  <c r="E435" i="13" s="1"/>
  <c r="F445" i="9"/>
  <c r="M445" i="9" s="1"/>
  <c r="G445" i="9"/>
  <c r="H445" i="9"/>
  <c r="H435" i="13" s="1"/>
  <c r="C446" i="9"/>
  <c r="B436" i="15" s="1"/>
  <c r="D446" i="9"/>
  <c r="E446" i="9"/>
  <c r="F446" i="9"/>
  <c r="M446" i="9" s="1"/>
  <c r="G446" i="9"/>
  <c r="G436" i="13" s="1"/>
  <c r="H446" i="9"/>
  <c r="H436" i="13" s="1"/>
  <c r="C447" i="9"/>
  <c r="B437" i="15" s="1"/>
  <c r="D447" i="9"/>
  <c r="C437" i="15" s="1"/>
  <c r="E447" i="9"/>
  <c r="F447" i="9"/>
  <c r="G447" i="9"/>
  <c r="H447" i="9"/>
  <c r="H437" i="13" s="1"/>
  <c r="C448" i="9"/>
  <c r="B438" i="15" s="1"/>
  <c r="D448" i="9"/>
  <c r="D438" i="13" s="1"/>
  <c r="E448" i="9"/>
  <c r="F448" i="9"/>
  <c r="M448" i="9" s="1"/>
  <c r="G448" i="9"/>
  <c r="H448" i="9"/>
  <c r="H438" i="13" s="1"/>
  <c r="C449" i="9"/>
  <c r="B439" i="15" s="1"/>
  <c r="D449" i="9"/>
  <c r="D439" i="13" s="1"/>
  <c r="E449" i="9"/>
  <c r="E439" i="13" s="1"/>
  <c r="F449" i="9"/>
  <c r="M449" i="9" s="1"/>
  <c r="G449" i="9"/>
  <c r="H449" i="9"/>
  <c r="H439" i="13" s="1"/>
  <c r="C450" i="9"/>
  <c r="B440" i="15" s="1"/>
  <c r="D450" i="9"/>
  <c r="D440" i="13" s="1"/>
  <c r="E450" i="9"/>
  <c r="F450" i="9"/>
  <c r="M450" i="9" s="1"/>
  <c r="G450" i="9"/>
  <c r="G440" i="13" s="1"/>
  <c r="H450" i="9"/>
  <c r="H440" i="13" s="1"/>
  <c r="C451" i="9"/>
  <c r="B441" i="15" s="1"/>
  <c r="D451" i="9"/>
  <c r="D441" i="13" s="1"/>
  <c r="E451" i="9"/>
  <c r="F451" i="9"/>
  <c r="G451" i="9"/>
  <c r="H451" i="9"/>
  <c r="H441" i="13" s="1"/>
  <c r="C452" i="9"/>
  <c r="B442" i="15" s="1"/>
  <c r="D452" i="9"/>
  <c r="D442" i="13" s="1"/>
  <c r="E452" i="9"/>
  <c r="F452" i="9"/>
  <c r="M452" i="9" s="1"/>
  <c r="G452" i="9"/>
  <c r="H452" i="9"/>
  <c r="H442" i="13" s="1"/>
  <c r="C453" i="9"/>
  <c r="B443" i="15" s="1"/>
  <c r="D453" i="9"/>
  <c r="E453" i="9"/>
  <c r="E443" i="13" s="1"/>
  <c r="F453" i="9"/>
  <c r="M453" i="9" s="1"/>
  <c r="G453" i="9"/>
  <c r="H453" i="9"/>
  <c r="H443" i="13" s="1"/>
  <c r="C454" i="9"/>
  <c r="B444" i="15" s="1"/>
  <c r="D454" i="9"/>
  <c r="E454" i="9"/>
  <c r="D444" i="15" s="1"/>
  <c r="F454" i="9"/>
  <c r="M454" i="9" s="1"/>
  <c r="G454" i="9"/>
  <c r="G444" i="13" s="1"/>
  <c r="H454" i="9"/>
  <c r="H444" i="13" s="1"/>
  <c r="C455" i="9"/>
  <c r="B445" i="15" s="1"/>
  <c r="D455" i="9"/>
  <c r="C445" i="15" s="1"/>
  <c r="E455" i="9"/>
  <c r="D445" i="15" s="1"/>
  <c r="F455" i="9"/>
  <c r="G455" i="9"/>
  <c r="H455" i="9"/>
  <c r="H445" i="13" s="1"/>
  <c r="C456" i="9"/>
  <c r="B446" i="15" s="1"/>
  <c r="D456" i="9"/>
  <c r="C446" i="15" s="1"/>
  <c r="E456" i="9"/>
  <c r="F456" i="9"/>
  <c r="M456" i="9" s="1"/>
  <c r="G456" i="9"/>
  <c r="H456" i="9"/>
  <c r="H446" i="13" s="1"/>
  <c r="C457" i="9"/>
  <c r="B447" i="15" s="1"/>
  <c r="D457" i="9"/>
  <c r="D447" i="13" s="1"/>
  <c r="E457" i="9"/>
  <c r="E447" i="13" s="1"/>
  <c r="F457" i="9"/>
  <c r="M457" i="9" s="1"/>
  <c r="G457" i="9"/>
  <c r="H457" i="9"/>
  <c r="H447" i="13" s="1"/>
  <c r="C458" i="9"/>
  <c r="B448" i="15" s="1"/>
  <c r="D458" i="9"/>
  <c r="D448" i="13" s="1"/>
  <c r="E458" i="9"/>
  <c r="F458" i="9"/>
  <c r="M458" i="9" s="1"/>
  <c r="G458" i="9"/>
  <c r="G448" i="13" s="1"/>
  <c r="H458" i="9"/>
  <c r="H448" i="13" s="1"/>
  <c r="C459" i="9"/>
  <c r="B449" i="15" s="1"/>
  <c r="D459" i="9"/>
  <c r="E459" i="9"/>
  <c r="D449" i="15" s="1"/>
  <c r="F459" i="9"/>
  <c r="G459" i="9"/>
  <c r="H459" i="9"/>
  <c r="H449" i="13" s="1"/>
  <c r="C460" i="9"/>
  <c r="B450" i="15" s="1"/>
  <c r="D460" i="9"/>
  <c r="D450" i="13" s="1"/>
  <c r="E460" i="9"/>
  <c r="F460" i="9"/>
  <c r="M460" i="9" s="1"/>
  <c r="G460" i="9"/>
  <c r="G450" i="13" s="1"/>
  <c r="H460" i="9"/>
  <c r="H450" i="13" s="1"/>
  <c r="C461" i="9"/>
  <c r="B451" i="15" s="1"/>
  <c r="D461" i="9"/>
  <c r="C451" i="15" s="1"/>
  <c r="E461" i="9"/>
  <c r="D451" i="15" s="1"/>
  <c r="F461" i="9"/>
  <c r="M461" i="9" s="1"/>
  <c r="G461" i="9"/>
  <c r="H461" i="9"/>
  <c r="H451" i="13" s="1"/>
  <c r="C462" i="9"/>
  <c r="D462" i="9"/>
  <c r="C452" i="15" s="1"/>
  <c r="E462" i="9"/>
  <c r="F462" i="9"/>
  <c r="M462" i="9" s="1"/>
  <c r="G462" i="9"/>
  <c r="G452" i="13" s="1"/>
  <c r="H462" i="9"/>
  <c r="H452" i="13" s="1"/>
  <c r="C463" i="9"/>
  <c r="B453" i="15" s="1"/>
  <c r="D463" i="9"/>
  <c r="D453" i="13" s="1"/>
  <c r="E463" i="9"/>
  <c r="E453" i="13" s="1"/>
  <c r="F463" i="9"/>
  <c r="M463" i="9" s="1"/>
  <c r="G463" i="9"/>
  <c r="H463" i="9"/>
  <c r="H453" i="13" s="1"/>
  <c r="C464" i="9"/>
  <c r="B454" i="15" s="1"/>
  <c r="D464" i="9"/>
  <c r="D454" i="13" s="1"/>
  <c r="E464" i="9"/>
  <c r="D454" i="15" s="1"/>
  <c r="F464" i="9"/>
  <c r="M464" i="9" s="1"/>
  <c r="G464" i="9"/>
  <c r="G454" i="13" s="1"/>
  <c r="H464" i="9"/>
  <c r="H454" i="13" s="1"/>
  <c r="C465" i="9"/>
  <c r="B455" i="15" s="1"/>
  <c r="D465" i="9"/>
  <c r="D455" i="13" s="1"/>
  <c r="E465" i="9"/>
  <c r="E455" i="13" s="1"/>
  <c r="F465" i="9"/>
  <c r="M465" i="9" s="1"/>
  <c r="G465" i="9"/>
  <c r="H465" i="9"/>
  <c r="H455" i="13" s="1"/>
  <c r="C466" i="9"/>
  <c r="D466" i="9"/>
  <c r="D456" i="13" s="1"/>
  <c r="E466" i="9"/>
  <c r="F466" i="9"/>
  <c r="G466" i="9"/>
  <c r="G456" i="13" s="1"/>
  <c r="H466" i="9"/>
  <c r="C467" i="9"/>
  <c r="B457" i="15" s="1"/>
  <c r="D467" i="9"/>
  <c r="D457" i="13" s="1"/>
  <c r="E467" i="9"/>
  <c r="E457" i="13" s="1"/>
  <c r="F467" i="9"/>
  <c r="M467" i="9" s="1"/>
  <c r="G467" i="9"/>
  <c r="H467" i="9"/>
  <c r="H457" i="13" s="1"/>
  <c r="C468" i="9"/>
  <c r="B458" i="15" s="1"/>
  <c r="D468" i="9"/>
  <c r="D458" i="13" s="1"/>
  <c r="E468" i="9"/>
  <c r="D458" i="15" s="1"/>
  <c r="F468" i="9"/>
  <c r="M468" i="9" s="1"/>
  <c r="G468" i="9"/>
  <c r="G458" i="13" s="1"/>
  <c r="H468" i="9"/>
  <c r="H458" i="13" s="1"/>
  <c r="C469" i="9"/>
  <c r="B459" i="15" s="1"/>
  <c r="D469" i="9"/>
  <c r="C459" i="15" s="1"/>
  <c r="E469" i="9"/>
  <c r="D459" i="15" s="1"/>
  <c r="F469" i="9"/>
  <c r="M469" i="9" s="1"/>
  <c r="G469" i="9"/>
  <c r="H469" i="9"/>
  <c r="H459" i="13" s="1"/>
  <c r="C470" i="9"/>
  <c r="D470" i="9"/>
  <c r="C460" i="15" s="1"/>
  <c r="E470" i="9"/>
  <c r="E460" i="13" s="1"/>
  <c r="F470" i="9"/>
  <c r="M470" i="9" s="1"/>
  <c r="G470" i="9"/>
  <c r="G460" i="13" s="1"/>
  <c r="H470" i="9"/>
  <c r="C471" i="9"/>
  <c r="B461" i="15" s="1"/>
  <c r="D471" i="9"/>
  <c r="D461" i="13" s="1"/>
  <c r="E471" i="9"/>
  <c r="E461" i="13" s="1"/>
  <c r="F471" i="9"/>
  <c r="M471" i="9" s="1"/>
  <c r="G471" i="9"/>
  <c r="H471" i="9"/>
  <c r="C472" i="9"/>
  <c r="B462" i="15" s="1"/>
  <c r="D472" i="9"/>
  <c r="E472" i="9"/>
  <c r="D462" i="15" s="1"/>
  <c r="F472" i="9"/>
  <c r="M472" i="9" s="1"/>
  <c r="G472" i="9"/>
  <c r="G462" i="13" s="1"/>
  <c r="H472" i="9"/>
  <c r="C473" i="9"/>
  <c r="B463" i="15" s="1"/>
  <c r="D473" i="9"/>
  <c r="D463" i="13" s="1"/>
  <c r="E473" i="9"/>
  <c r="E463" i="13" s="1"/>
  <c r="F473" i="9"/>
  <c r="M473" i="9" s="1"/>
  <c r="G473" i="9"/>
  <c r="H473" i="9"/>
  <c r="H463" i="13" s="1"/>
  <c r="C474" i="9"/>
  <c r="B464" i="15" s="1"/>
  <c r="D474" i="9"/>
  <c r="C464" i="15" s="1"/>
  <c r="E474" i="9"/>
  <c r="F474" i="9"/>
  <c r="M474" i="9" s="1"/>
  <c r="G474" i="9"/>
  <c r="H474" i="9"/>
  <c r="H464" i="13" s="1"/>
  <c r="C475" i="9"/>
  <c r="B465" i="15" s="1"/>
  <c r="D475" i="9"/>
  <c r="D465" i="13" s="1"/>
  <c r="E475" i="9"/>
  <c r="F475" i="9"/>
  <c r="M475" i="9" s="1"/>
  <c r="G475" i="9"/>
  <c r="H475" i="9"/>
  <c r="H465" i="13" s="1"/>
  <c r="C476" i="9"/>
  <c r="B466" i="15" s="1"/>
  <c r="D476" i="9"/>
  <c r="E476" i="9"/>
  <c r="F476" i="9"/>
  <c r="M476" i="9" s="1"/>
  <c r="G476" i="9"/>
  <c r="H476" i="9"/>
  <c r="H466" i="13" s="1"/>
  <c r="C477" i="9"/>
  <c r="B467" i="15" s="1"/>
  <c r="D477" i="9"/>
  <c r="D467" i="13" s="1"/>
  <c r="E477" i="9"/>
  <c r="D467" i="15" s="1"/>
  <c r="F477" i="9"/>
  <c r="M477" i="9" s="1"/>
  <c r="G477" i="9"/>
  <c r="H477" i="9"/>
  <c r="H467" i="13" s="1"/>
  <c r="C478" i="9"/>
  <c r="B468" i="15" s="1"/>
  <c r="D478" i="9"/>
  <c r="D468" i="13" s="1"/>
  <c r="E478" i="9"/>
  <c r="F478" i="9"/>
  <c r="M478" i="9" s="1"/>
  <c r="G478" i="9"/>
  <c r="G468" i="13" s="1"/>
  <c r="H478" i="9"/>
  <c r="C479" i="9"/>
  <c r="B469" i="15" s="1"/>
  <c r="D479" i="9"/>
  <c r="D469" i="13" s="1"/>
  <c r="E479" i="9"/>
  <c r="D469" i="15" s="1"/>
  <c r="F479" i="9"/>
  <c r="M479" i="9" s="1"/>
  <c r="G479" i="9"/>
  <c r="H479" i="9"/>
  <c r="H469" i="13" s="1"/>
  <c r="C480" i="9"/>
  <c r="B470" i="15" s="1"/>
  <c r="D480" i="9"/>
  <c r="D470" i="13" s="1"/>
  <c r="E480" i="9"/>
  <c r="D470" i="15" s="1"/>
  <c r="F480" i="9"/>
  <c r="G480" i="9"/>
  <c r="H480" i="9"/>
  <c r="H470" i="13" s="1"/>
  <c r="C481" i="9"/>
  <c r="B471" i="15" s="1"/>
  <c r="D481" i="9"/>
  <c r="D471" i="13" s="1"/>
  <c r="E481" i="9"/>
  <c r="E471" i="13" s="1"/>
  <c r="F481" i="9"/>
  <c r="G481" i="9"/>
  <c r="H481" i="9"/>
  <c r="H471" i="13" s="1"/>
  <c r="C482" i="9"/>
  <c r="B472" i="15" s="1"/>
  <c r="D482" i="9"/>
  <c r="D472" i="13" s="1"/>
  <c r="E482" i="9"/>
  <c r="F482" i="9"/>
  <c r="M482" i="9" s="1"/>
  <c r="G482" i="9"/>
  <c r="G472" i="13" s="1"/>
  <c r="H482" i="9"/>
  <c r="C483" i="9"/>
  <c r="D483" i="9"/>
  <c r="D473" i="13" s="1"/>
  <c r="E483" i="9"/>
  <c r="D473" i="15" s="1"/>
  <c r="F483" i="9"/>
  <c r="M483" i="9" s="1"/>
  <c r="G483" i="9"/>
  <c r="H483" i="9"/>
  <c r="H473" i="13" s="1"/>
  <c r="C484" i="9"/>
  <c r="B474" i="15" s="1"/>
  <c r="D484" i="9"/>
  <c r="E484" i="9"/>
  <c r="F484" i="9"/>
  <c r="M484" i="9" s="1"/>
  <c r="G484" i="9"/>
  <c r="H484" i="9"/>
  <c r="H474" i="13" s="1"/>
  <c r="C485" i="9"/>
  <c r="B475" i="15" s="1"/>
  <c r="D485" i="9"/>
  <c r="D475" i="13" s="1"/>
  <c r="E485" i="9"/>
  <c r="D475" i="15" s="1"/>
  <c r="F485" i="9"/>
  <c r="M485" i="9" s="1"/>
  <c r="G485" i="9"/>
  <c r="G475" i="13" s="1"/>
  <c r="H485" i="9"/>
  <c r="H475" i="13" s="1"/>
  <c r="C486" i="9"/>
  <c r="B476" i="15" s="1"/>
  <c r="D486" i="9"/>
  <c r="C476" i="15" s="1"/>
  <c r="E486" i="9"/>
  <c r="F486" i="9"/>
  <c r="M486" i="9" s="1"/>
  <c r="G486" i="9"/>
  <c r="G476" i="13" s="1"/>
  <c r="H486" i="9"/>
  <c r="C487" i="9"/>
  <c r="D487" i="9"/>
  <c r="C477" i="15" s="1"/>
  <c r="E487" i="9"/>
  <c r="D477" i="15" s="1"/>
  <c r="F487" i="9"/>
  <c r="G487" i="9"/>
  <c r="H487" i="9"/>
  <c r="H477" i="13" s="1"/>
  <c r="C488" i="9"/>
  <c r="B478" i="15" s="1"/>
  <c r="D488" i="9"/>
  <c r="D478" i="13" s="1"/>
  <c r="E488" i="9"/>
  <c r="E478" i="13" s="1"/>
  <c r="F488" i="9"/>
  <c r="M488" i="9" s="1"/>
  <c r="G488" i="9"/>
  <c r="H488" i="9"/>
  <c r="H478" i="13" s="1"/>
  <c r="C489" i="9"/>
  <c r="B479" i="15" s="1"/>
  <c r="D489" i="9"/>
  <c r="D479" i="13" s="1"/>
  <c r="E489" i="9"/>
  <c r="E479" i="13" s="1"/>
  <c r="F489" i="9"/>
  <c r="G489" i="9"/>
  <c r="G479" i="13" s="1"/>
  <c r="H489" i="9"/>
  <c r="H479" i="13" s="1"/>
  <c r="C490" i="9"/>
  <c r="B480" i="15" s="1"/>
  <c r="D490" i="9"/>
  <c r="E490" i="9"/>
  <c r="F490" i="9"/>
  <c r="M490" i="9" s="1"/>
  <c r="G490" i="9"/>
  <c r="G480" i="13" s="1"/>
  <c r="H490" i="9"/>
  <c r="C491" i="9"/>
  <c r="B481" i="15" s="1"/>
  <c r="D491" i="9"/>
  <c r="D481" i="13" s="1"/>
  <c r="E491" i="9"/>
  <c r="F491" i="9"/>
  <c r="M491" i="9" s="1"/>
  <c r="G491" i="9"/>
  <c r="H491" i="9"/>
  <c r="H481" i="13" s="1"/>
  <c r="C492" i="9"/>
  <c r="B482" i="15" s="1"/>
  <c r="D492" i="9"/>
  <c r="E492" i="9"/>
  <c r="F492" i="9"/>
  <c r="M492" i="9" s="1"/>
  <c r="G492" i="9"/>
  <c r="H492" i="9"/>
  <c r="H482" i="13" s="1"/>
  <c r="C493" i="9"/>
  <c r="B483" i="15" s="1"/>
  <c r="D493" i="9"/>
  <c r="D483" i="13" s="1"/>
  <c r="E493" i="9"/>
  <c r="D483" i="15" s="1"/>
  <c r="F493" i="9"/>
  <c r="G493" i="9"/>
  <c r="H493" i="9"/>
  <c r="H483" i="13" s="1"/>
  <c r="C494" i="9"/>
  <c r="B484" i="15" s="1"/>
  <c r="D494" i="9"/>
  <c r="D484" i="13" s="1"/>
  <c r="E494" i="9"/>
  <c r="F494" i="9"/>
  <c r="M494" i="9" s="1"/>
  <c r="G494" i="9"/>
  <c r="G484" i="13" s="1"/>
  <c r="H494" i="9"/>
  <c r="H484" i="13" s="1"/>
  <c r="C495" i="9"/>
  <c r="B485" i="15" s="1"/>
  <c r="D495" i="9"/>
  <c r="E495" i="9"/>
  <c r="F495" i="9"/>
  <c r="G495" i="9"/>
  <c r="H495" i="9"/>
  <c r="H485" i="13" s="1"/>
  <c r="C496" i="9"/>
  <c r="B486" i="15" s="1"/>
  <c r="D496" i="9"/>
  <c r="D486" i="13" s="1"/>
  <c r="E496" i="9"/>
  <c r="E486" i="13" s="1"/>
  <c r="F496" i="9"/>
  <c r="M496" i="9" s="1"/>
  <c r="G496" i="9"/>
  <c r="H496" i="9"/>
  <c r="H486" i="13" s="1"/>
  <c r="C497" i="9"/>
  <c r="B487" i="15" s="1"/>
  <c r="D497" i="9"/>
  <c r="C487" i="15" s="1"/>
  <c r="E497" i="9"/>
  <c r="E487" i="13" s="1"/>
  <c r="F497" i="9"/>
  <c r="M497" i="9" s="1"/>
  <c r="G497" i="9"/>
  <c r="H497" i="9"/>
  <c r="H487" i="13" s="1"/>
  <c r="C498" i="9"/>
  <c r="B488" i="15" s="1"/>
  <c r="D498" i="9"/>
  <c r="D488" i="13" s="1"/>
  <c r="E498" i="9"/>
  <c r="F498" i="9"/>
  <c r="M498" i="9" s="1"/>
  <c r="G498" i="9"/>
  <c r="G488" i="13" s="1"/>
  <c r="H498" i="9"/>
  <c r="H488" i="13" s="1"/>
  <c r="C499" i="9"/>
  <c r="B489" i="15" s="1"/>
  <c r="D499" i="9"/>
  <c r="D489" i="13" s="1"/>
  <c r="E499" i="9"/>
  <c r="D489" i="15" s="1"/>
  <c r="F499" i="9"/>
  <c r="G499" i="9"/>
  <c r="H499" i="9"/>
  <c r="H489" i="13" s="1"/>
  <c r="C500" i="9"/>
  <c r="B490" i="15" s="1"/>
  <c r="D500" i="9"/>
  <c r="E500" i="9"/>
  <c r="F500" i="9"/>
  <c r="M500" i="9" s="1"/>
  <c r="G500" i="9"/>
  <c r="H500" i="9"/>
  <c r="H490" i="13" s="1"/>
  <c r="C501" i="9"/>
  <c r="B491" i="15" s="1"/>
  <c r="D501" i="9"/>
  <c r="D491" i="13" s="1"/>
  <c r="E501" i="9"/>
  <c r="E491" i="13" s="1"/>
  <c r="F501" i="9"/>
  <c r="G501" i="9"/>
  <c r="H501" i="9"/>
  <c r="H491" i="13" s="1"/>
  <c r="C502" i="9"/>
  <c r="B492" i="15" s="1"/>
  <c r="D502" i="9"/>
  <c r="D492" i="13" s="1"/>
  <c r="E502" i="9"/>
  <c r="D492" i="15" s="1"/>
  <c r="F502" i="9"/>
  <c r="M502" i="9" s="1"/>
  <c r="G502" i="9"/>
  <c r="G492" i="13" s="1"/>
  <c r="H502" i="9"/>
  <c r="H492" i="13" s="1"/>
  <c r="C503" i="9"/>
  <c r="B493" i="15" s="1"/>
  <c r="D503" i="9"/>
  <c r="C493" i="15" s="1"/>
  <c r="E503" i="9"/>
  <c r="D493" i="15" s="1"/>
  <c r="F503" i="9"/>
  <c r="G503" i="9"/>
  <c r="H503" i="9"/>
  <c r="H493" i="13" s="1"/>
  <c r="C504" i="9"/>
  <c r="B494" i="15" s="1"/>
  <c r="D504" i="9"/>
  <c r="C494" i="15" s="1"/>
  <c r="E504" i="9"/>
  <c r="F504" i="9"/>
  <c r="M504" i="9" s="1"/>
  <c r="G504" i="9"/>
  <c r="H504" i="9"/>
  <c r="H494" i="13" s="1"/>
  <c r="C505" i="9"/>
  <c r="B495" i="15" s="1"/>
  <c r="D505" i="9"/>
  <c r="D495" i="13" s="1"/>
  <c r="E505" i="9"/>
  <c r="E495" i="13" s="1"/>
  <c r="F505" i="9"/>
  <c r="M505" i="9" s="1"/>
  <c r="G505" i="9"/>
  <c r="H505" i="9"/>
  <c r="H495" i="13" s="1"/>
  <c r="C506" i="9"/>
  <c r="B496" i="15" s="1"/>
  <c r="D506" i="9"/>
  <c r="D496" i="13" s="1"/>
  <c r="E506" i="9"/>
  <c r="F506" i="9"/>
  <c r="M506" i="9" s="1"/>
  <c r="G506" i="9"/>
  <c r="G496" i="13" s="1"/>
  <c r="H506" i="9"/>
  <c r="H496" i="13" s="1"/>
  <c r="C507" i="9"/>
  <c r="B497" i="15" s="1"/>
  <c r="D507" i="9"/>
  <c r="D497" i="13" s="1"/>
  <c r="E507" i="9"/>
  <c r="F507" i="9"/>
  <c r="M507" i="9" s="1"/>
  <c r="G507" i="9"/>
  <c r="H507" i="9"/>
  <c r="H497" i="13" s="1"/>
  <c r="C508" i="9"/>
  <c r="B498" i="15" s="1"/>
  <c r="D508" i="9"/>
  <c r="D498" i="13" s="1"/>
  <c r="E508" i="9"/>
  <c r="E498" i="13" s="1"/>
  <c r="F508" i="9"/>
  <c r="M508" i="9" s="1"/>
  <c r="G508" i="9"/>
  <c r="H508" i="9"/>
  <c r="H498" i="13" s="1"/>
  <c r="C509" i="9"/>
  <c r="B499" i="15" s="1"/>
  <c r="D509" i="9"/>
  <c r="D499" i="13" s="1"/>
  <c r="E509" i="9"/>
  <c r="F509" i="9"/>
  <c r="M509" i="9" s="1"/>
  <c r="G509" i="9"/>
  <c r="H509" i="9"/>
  <c r="C510" i="9"/>
  <c r="B500" i="15" s="1"/>
  <c r="D510" i="9"/>
  <c r="E510" i="9"/>
  <c r="D500" i="15" s="1"/>
  <c r="F510" i="9"/>
  <c r="M510" i="9" s="1"/>
  <c r="G510" i="9"/>
  <c r="G500" i="13" s="1"/>
  <c r="H510" i="9"/>
  <c r="H500" i="13" s="1"/>
  <c r="C511" i="9"/>
  <c r="B501" i="15" s="1"/>
  <c r="D511" i="9"/>
  <c r="D501" i="13" s="1"/>
  <c r="E511" i="9"/>
  <c r="D501" i="15" s="1"/>
  <c r="F511" i="9"/>
  <c r="G511" i="9"/>
  <c r="H511" i="9"/>
  <c r="H501" i="13" s="1"/>
  <c r="C512" i="9"/>
  <c r="B502" i="15" s="1"/>
  <c r="D512" i="9"/>
  <c r="D502" i="13" s="1"/>
  <c r="E512" i="9"/>
  <c r="F512" i="9"/>
  <c r="M512" i="9" s="1"/>
  <c r="G512" i="9"/>
  <c r="H512" i="9"/>
  <c r="H502" i="13" s="1"/>
  <c r="C513" i="9"/>
  <c r="B503" i="15" s="1"/>
  <c r="D513" i="9"/>
  <c r="D503" i="13" s="1"/>
  <c r="E513" i="9"/>
  <c r="E503" i="13" s="1"/>
  <c r="F513" i="9"/>
  <c r="M513" i="9" s="1"/>
  <c r="G513" i="9"/>
  <c r="H513" i="9"/>
  <c r="H503" i="13" s="1"/>
  <c r="C514" i="9"/>
  <c r="B504" i="15" s="1"/>
  <c r="D514" i="9"/>
  <c r="D504" i="13" s="1"/>
  <c r="E514" i="9"/>
  <c r="F514" i="9"/>
  <c r="M514" i="9" s="1"/>
  <c r="G514" i="9"/>
  <c r="G504" i="13" s="1"/>
  <c r="H514" i="9"/>
  <c r="H504" i="13" s="1"/>
  <c r="C515" i="9"/>
  <c r="B505" i="15" s="1"/>
  <c r="D515" i="9"/>
  <c r="E515" i="9"/>
  <c r="D505" i="15" s="1"/>
  <c r="F515" i="9"/>
  <c r="G515" i="9"/>
  <c r="H515" i="9"/>
  <c r="H505" i="13" s="1"/>
  <c r="C516" i="9"/>
  <c r="B506" i="15" s="1"/>
  <c r="D516" i="9"/>
  <c r="D506" i="13" s="1"/>
  <c r="E516" i="9"/>
  <c r="F516" i="9"/>
  <c r="M516" i="9" s="1"/>
  <c r="G516" i="9"/>
  <c r="G506" i="13" s="1"/>
  <c r="H516" i="9"/>
  <c r="H506" i="13" s="1"/>
  <c r="C517" i="9"/>
  <c r="B507" i="15" s="1"/>
  <c r="D517" i="9"/>
  <c r="D507" i="13" s="1"/>
  <c r="E517" i="9"/>
  <c r="E507" i="13" s="1"/>
  <c r="F517" i="9"/>
  <c r="M517" i="9" s="1"/>
  <c r="G517" i="9"/>
  <c r="H517" i="9"/>
  <c r="H507" i="13" s="1"/>
  <c r="C518" i="9"/>
  <c r="D518" i="9"/>
  <c r="E518" i="9"/>
  <c r="D508" i="15" s="1"/>
  <c r="F518" i="9"/>
  <c r="M518" i="9" s="1"/>
  <c r="G518" i="9"/>
  <c r="G508" i="13" s="1"/>
  <c r="H518" i="9"/>
  <c r="H508" i="13" s="1"/>
  <c r="C519" i="9"/>
  <c r="B509" i="15" s="1"/>
  <c r="D519" i="9"/>
  <c r="D509" i="13" s="1"/>
  <c r="E519" i="9"/>
  <c r="F519" i="9"/>
  <c r="M519" i="9" s="1"/>
  <c r="G519" i="9"/>
  <c r="H519" i="9"/>
  <c r="H509" i="13" s="1"/>
  <c r="C520" i="9"/>
  <c r="B510" i="15" s="1"/>
  <c r="D520" i="9"/>
  <c r="D510" i="13" s="1"/>
  <c r="E520" i="9"/>
  <c r="F520" i="9"/>
  <c r="M520" i="9" s="1"/>
  <c r="G520" i="9"/>
  <c r="G510" i="13" s="1"/>
  <c r="H520" i="9"/>
  <c r="C521" i="9"/>
  <c r="B511" i="15" s="1"/>
  <c r="D521" i="9"/>
  <c r="D511" i="13" s="1"/>
  <c r="E521" i="9"/>
  <c r="E511" i="13" s="1"/>
  <c r="F521" i="9"/>
  <c r="M521" i="9" s="1"/>
  <c r="G521" i="9"/>
  <c r="H521" i="9"/>
  <c r="H511" i="13" s="1"/>
  <c r="C522" i="9"/>
  <c r="D522" i="9"/>
  <c r="D512" i="13" s="1"/>
  <c r="E522" i="9"/>
  <c r="F522" i="9"/>
  <c r="M522" i="9" s="1"/>
  <c r="G522" i="9"/>
  <c r="H522" i="9"/>
  <c r="H512" i="13" s="1"/>
  <c r="C523" i="9"/>
  <c r="B513" i="15" s="1"/>
  <c r="D523" i="9"/>
  <c r="C513" i="15" s="1"/>
  <c r="E523" i="9"/>
  <c r="E513" i="13" s="1"/>
  <c r="F523" i="9"/>
  <c r="M523" i="9" s="1"/>
  <c r="G523" i="9"/>
  <c r="H523" i="9"/>
  <c r="H513" i="13" s="1"/>
  <c r="C524" i="9"/>
  <c r="B514" i="15" s="1"/>
  <c r="D524" i="9"/>
  <c r="E524" i="9"/>
  <c r="D514" i="15" s="1"/>
  <c r="F524" i="9"/>
  <c r="M524" i="9" s="1"/>
  <c r="G524" i="9"/>
  <c r="G514" i="13" s="1"/>
  <c r="H524" i="9"/>
  <c r="H514" i="13" s="1"/>
  <c r="C525" i="9"/>
  <c r="B515" i="15" s="1"/>
  <c r="D525" i="9"/>
  <c r="D515" i="13" s="1"/>
  <c r="E525" i="9"/>
  <c r="E515" i="13" s="1"/>
  <c r="F525" i="9"/>
  <c r="M525" i="9" s="1"/>
  <c r="G525" i="9"/>
  <c r="G515" i="13" s="1"/>
  <c r="H525" i="9"/>
  <c r="H515" i="13" s="1"/>
  <c r="C526" i="9"/>
  <c r="B516" i="15" s="1"/>
  <c r="D526" i="9"/>
  <c r="E526" i="9"/>
  <c r="F526" i="9"/>
  <c r="M526" i="9" s="1"/>
  <c r="G526" i="9"/>
  <c r="G516" i="13" s="1"/>
  <c r="H526" i="9"/>
  <c r="H516" i="13" s="1"/>
  <c r="C527" i="9"/>
  <c r="B517" i="15" s="1"/>
  <c r="D527" i="9"/>
  <c r="D517" i="13" s="1"/>
  <c r="E527" i="9"/>
  <c r="F527" i="9"/>
  <c r="M527" i="9" s="1"/>
  <c r="G527" i="9"/>
  <c r="H527" i="9"/>
  <c r="H517" i="13" s="1"/>
  <c r="C528" i="9"/>
  <c r="B518" i="15" s="1"/>
  <c r="D528" i="9"/>
  <c r="D518" i="13" s="1"/>
  <c r="E528" i="9"/>
  <c r="D518" i="15" s="1"/>
  <c r="F528" i="9"/>
  <c r="M528" i="9" s="1"/>
  <c r="G528" i="9"/>
  <c r="H528" i="9"/>
  <c r="H518" i="13" s="1"/>
  <c r="C529" i="9"/>
  <c r="B519" i="15" s="1"/>
  <c r="D529" i="9"/>
  <c r="D519" i="13" s="1"/>
  <c r="E529" i="9"/>
  <c r="E519" i="13" s="1"/>
  <c r="F529" i="9"/>
  <c r="M529" i="9" s="1"/>
  <c r="G529" i="9"/>
  <c r="G519" i="13" s="1"/>
  <c r="H529" i="9"/>
  <c r="H519" i="13" s="1"/>
  <c r="C530" i="9"/>
  <c r="B520" i="15" s="1"/>
  <c r="D530" i="9"/>
  <c r="E530" i="9"/>
  <c r="F530" i="9"/>
  <c r="M530" i="9" s="1"/>
  <c r="G530" i="9"/>
  <c r="G520" i="13" s="1"/>
  <c r="H530" i="9"/>
  <c r="C531" i="9"/>
  <c r="B521" i="15" s="1"/>
  <c r="D531" i="9"/>
  <c r="D521" i="13" s="1"/>
  <c r="E531" i="9"/>
  <c r="D521" i="15" s="1"/>
  <c r="F531" i="9"/>
  <c r="M531" i="9" s="1"/>
  <c r="G531" i="9"/>
  <c r="H531" i="9"/>
  <c r="H521" i="13" s="1"/>
  <c r="C532" i="9"/>
  <c r="B522" i="15" s="1"/>
  <c r="D532" i="9"/>
  <c r="C522" i="15" s="1"/>
  <c r="E532" i="9"/>
  <c r="F532" i="9"/>
  <c r="M532" i="9" s="1"/>
  <c r="G532" i="9"/>
  <c r="H532" i="9"/>
  <c r="H522" i="13" s="1"/>
  <c r="C533" i="9"/>
  <c r="B523" i="15" s="1"/>
  <c r="D533" i="9"/>
  <c r="D523" i="13" s="1"/>
  <c r="E533" i="9"/>
  <c r="E523" i="13" s="1"/>
  <c r="F533" i="9"/>
  <c r="M533" i="9" s="1"/>
  <c r="G533" i="9"/>
  <c r="G523" i="13" s="1"/>
  <c r="H533" i="9"/>
  <c r="H523" i="13" s="1"/>
  <c r="C534" i="9"/>
  <c r="B524" i="15" s="1"/>
  <c r="D534" i="9"/>
  <c r="C524" i="15" s="1"/>
  <c r="E534" i="9"/>
  <c r="D524" i="15" s="1"/>
  <c r="F534" i="9"/>
  <c r="M534" i="9" s="1"/>
  <c r="G534" i="9"/>
  <c r="G524" i="13" s="1"/>
  <c r="H534" i="9"/>
  <c r="H524" i="13" s="1"/>
  <c r="C535" i="9"/>
  <c r="B525" i="15" s="1"/>
  <c r="D535" i="9"/>
  <c r="C525" i="15" s="1"/>
  <c r="E535" i="9"/>
  <c r="D525" i="15" s="1"/>
  <c r="F535" i="9"/>
  <c r="M535" i="9" s="1"/>
  <c r="G535" i="9"/>
  <c r="H535" i="9"/>
  <c r="H525" i="13" s="1"/>
  <c r="C536" i="9"/>
  <c r="B526" i="15" s="1"/>
  <c r="D536" i="9"/>
  <c r="D526" i="13" s="1"/>
  <c r="E536" i="9"/>
  <c r="D526" i="15" s="1"/>
  <c r="F536" i="9"/>
  <c r="M536" i="9" s="1"/>
  <c r="G536" i="9"/>
  <c r="H536" i="9"/>
  <c r="H526" i="13" s="1"/>
  <c r="C537" i="9"/>
  <c r="B527" i="15" s="1"/>
  <c r="D537" i="9"/>
  <c r="D527" i="13" s="1"/>
  <c r="E537" i="9"/>
  <c r="E527" i="13" s="1"/>
  <c r="F537" i="9"/>
  <c r="G537" i="9"/>
  <c r="H537" i="9"/>
  <c r="H527" i="13" s="1"/>
  <c r="C538" i="9"/>
  <c r="B528" i="15" s="1"/>
  <c r="D538" i="9"/>
  <c r="D528" i="13" s="1"/>
  <c r="E538" i="9"/>
  <c r="F538" i="9"/>
  <c r="M538" i="9" s="1"/>
  <c r="N538" i="9" s="1" a="1"/>
  <c r="N538" i="9" s="1"/>
  <c r="G538" i="9"/>
  <c r="G528" i="13" s="1"/>
  <c r="H538" i="9"/>
  <c r="H528" i="13" s="1"/>
  <c r="C539" i="9"/>
  <c r="B529" i="15" s="1"/>
  <c r="D539" i="9"/>
  <c r="C529" i="15" s="1"/>
  <c r="E539" i="9"/>
  <c r="D529" i="15" s="1"/>
  <c r="F539" i="9"/>
  <c r="M539" i="9" s="1"/>
  <c r="G539" i="9"/>
  <c r="H539" i="9"/>
  <c r="H529" i="13" s="1"/>
  <c r="C540" i="9"/>
  <c r="B530" i="15" s="1"/>
  <c r="D540" i="9"/>
  <c r="E540" i="9"/>
  <c r="F540" i="9"/>
  <c r="M540" i="9" s="1"/>
  <c r="G540" i="9"/>
  <c r="H540" i="9"/>
  <c r="C541" i="9"/>
  <c r="B531" i="15" s="1"/>
  <c r="D541" i="9"/>
  <c r="C531" i="15" s="1"/>
  <c r="E541" i="9"/>
  <c r="F541" i="9"/>
  <c r="M541" i="9" s="1"/>
  <c r="G541" i="9"/>
  <c r="H541" i="9"/>
  <c r="H531" i="13" s="1"/>
  <c r="C542" i="9"/>
  <c r="B532" i="15" s="1"/>
  <c r="D542" i="9"/>
  <c r="C532" i="15" s="1"/>
  <c r="E542" i="9"/>
  <c r="D532" i="15" s="1"/>
  <c r="F542" i="9"/>
  <c r="M542" i="9" s="1"/>
  <c r="N542" i="9" s="1" a="1"/>
  <c r="N542" i="9" s="1"/>
  <c r="G542" i="9"/>
  <c r="H542" i="9"/>
  <c r="H532" i="13" s="1"/>
  <c r="C543" i="9"/>
  <c r="B533" i="15" s="1"/>
  <c r="D543" i="9"/>
  <c r="C533" i="15" s="1"/>
  <c r="E543" i="9"/>
  <c r="F543" i="9"/>
  <c r="M543" i="9" s="1"/>
  <c r="G543" i="9"/>
  <c r="H543" i="9"/>
  <c r="H533" i="13" s="1"/>
  <c r="C544" i="9"/>
  <c r="B534" i="15" s="1"/>
  <c r="D544" i="9"/>
  <c r="D534" i="13" s="1"/>
  <c r="E544" i="9"/>
  <c r="F544" i="9"/>
  <c r="M544" i="9" s="1"/>
  <c r="G544" i="9"/>
  <c r="H544" i="9"/>
  <c r="C545" i="9"/>
  <c r="B535" i="15" s="1"/>
  <c r="D545" i="9"/>
  <c r="D535" i="13" s="1"/>
  <c r="E545" i="9"/>
  <c r="E535" i="13" s="1"/>
  <c r="F545" i="9"/>
  <c r="M545" i="9" s="1"/>
  <c r="G545" i="9"/>
  <c r="H545" i="9"/>
  <c r="H535" i="13" s="1"/>
  <c r="C546" i="9"/>
  <c r="B536" i="15" s="1"/>
  <c r="D546" i="9"/>
  <c r="E546" i="9"/>
  <c r="F546" i="9"/>
  <c r="M546" i="9" s="1"/>
  <c r="N546" i="9" s="1" a="1"/>
  <c r="N546" i="9" s="1"/>
  <c r="G546" i="9"/>
  <c r="G536" i="13" s="1"/>
  <c r="H546" i="9"/>
  <c r="H536" i="13" s="1"/>
  <c r="C547" i="9"/>
  <c r="B537" i="15" s="1"/>
  <c r="D547" i="9"/>
  <c r="C537" i="15" s="1"/>
  <c r="E547" i="9"/>
  <c r="D537" i="15" s="1"/>
  <c r="F547" i="9"/>
  <c r="M547" i="9" s="1"/>
  <c r="G547" i="9"/>
  <c r="H547" i="9"/>
  <c r="H537" i="13" s="1"/>
  <c r="C548" i="9"/>
  <c r="B538" i="15" s="1"/>
  <c r="D548" i="9"/>
  <c r="E548" i="9"/>
  <c r="F548" i="9"/>
  <c r="M548" i="9" s="1"/>
  <c r="G548" i="9"/>
  <c r="H548" i="9"/>
  <c r="C549" i="9"/>
  <c r="B539" i="15" s="1"/>
  <c r="D549" i="9"/>
  <c r="C539" i="15" s="1"/>
  <c r="E549" i="9"/>
  <c r="E539" i="13" s="1"/>
  <c r="F549" i="9"/>
  <c r="M549" i="9" s="1"/>
  <c r="G549" i="9"/>
  <c r="H549" i="9"/>
  <c r="H539" i="13" s="1"/>
  <c r="C550" i="9"/>
  <c r="B540" i="15" s="1"/>
  <c r="D550" i="9"/>
  <c r="D540" i="13" s="1"/>
  <c r="E550" i="9"/>
  <c r="F550" i="9"/>
  <c r="M550" i="9" s="1"/>
  <c r="N550" i="9" s="1" a="1"/>
  <c r="N550" i="9" s="1"/>
  <c r="G550" i="9"/>
  <c r="G540" i="13" s="1"/>
  <c r="H550" i="9"/>
  <c r="H540" i="13" s="1"/>
  <c r="C551" i="9"/>
  <c r="B541" i="15" s="1"/>
  <c r="D551" i="9"/>
  <c r="D541" i="13" s="1"/>
  <c r="E551" i="9"/>
  <c r="F551" i="9"/>
  <c r="M551" i="9" s="1"/>
  <c r="G551" i="9"/>
  <c r="H551" i="9"/>
  <c r="H541" i="13" s="1"/>
  <c r="C552" i="9"/>
  <c r="B542" i="15" s="1"/>
  <c r="D552" i="9"/>
  <c r="D542" i="13" s="1"/>
  <c r="E552" i="9"/>
  <c r="F552" i="9"/>
  <c r="M552" i="9" s="1"/>
  <c r="G552" i="9"/>
  <c r="H552" i="9"/>
  <c r="H542" i="13" s="1"/>
  <c r="C553" i="9"/>
  <c r="B543" i="15" s="1"/>
  <c r="D553" i="9"/>
  <c r="D543" i="13" s="1"/>
  <c r="E553" i="9"/>
  <c r="E543" i="13" s="1"/>
  <c r="F553" i="9"/>
  <c r="M553" i="9" s="1"/>
  <c r="G553" i="9"/>
  <c r="H553" i="9"/>
  <c r="H543" i="13" s="1"/>
  <c r="C554" i="9"/>
  <c r="B544" i="15" s="1"/>
  <c r="D554" i="9"/>
  <c r="D544" i="13" s="1"/>
  <c r="E554" i="9"/>
  <c r="F554" i="9"/>
  <c r="M554" i="9" s="1"/>
  <c r="G554" i="9"/>
  <c r="G544" i="13" s="1"/>
  <c r="H554" i="9"/>
  <c r="H544" i="13" s="1"/>
  <c r="C555" i="9"/>
  <c r="B545" i="15" s="1"/>
  <c r="D555" i="9"/>
  <c r="E555" i="9"/>
  <c r="F555" i="9"/>
  <c r="M555" i="9" s="1"/>
  <c r="G555" i="9"/>
  <c r="H555" i="9"/>
  <c r="H545" i="13" s="1"/>
  <c r="C556" i="9"/>
  <c r="B546" i="15" s="1"/>
  <c r="D556" i="9"/>
  <c r="C546" i="15" s="1"/>
  <c r="E556" i="9"/>
  <c r="F556" i="9"/>
  <c r="M556" i="9" s="1"/>
  <c r="G556" i="9"/>
  <c r="H556" i="9"/>
  <c r="H546" i="13" s="1"/>
  <c r="C557" i="9"/>
  <c r="B547" i="15" s="1"/>
  <c r="D557" i="9"/>
  <c r="D547" i="13" s="1"/>
  <c r="E557" i="9"/>
  <c r="D547" i="15" s="1"/>
  <c r="F557" i="9"/>
  <c r="G557" i="9"/>
  <c r="H557" i="9"/>
  <c r="H547" i="13" s="1"/>
  <c r="C558" i="9"/>
  <c r="B548" i="15" s="1"/>
  <c r="D558" i="9"/>
  <c r="C548" i="15" s="1"/>
  <c r="E558" i="9"/>
  <c r="D548" i="15" s="1"/>
  <c r="F558" i="9"/>
  <c r="M558" i="9" s="1"/>
  <c r="G558" i="9"/>
  <c r="G548" i="13" s="1"/>
  <c r="H558" i="9"/>
  <c r="H548" i="13" s="1"/>
  <c r="C559" i="9"/>
  <c r="B549" i="15" s="1"/>
  <c r="D559" i="9"/>
  <c r="D549" i="13" s="1"/>
  <c r="E559" i="9"/>
  <c r="F559" i="9"/>
  <c r="M559" i="9" s="1"/>
  <c r="G559" i="9"/>
  <c r="H559" i="9"/>
  <c r="H549" i="13" s="1"/>
  <c r="C560" i="9"/>
  <c r="B550" i="15" s="1"/>
  <c r="D560" i="9"/>
  <c r="D550" i="13" s="1"/>
  <c r="E560" i="9"/>
  <c r="F560" i="9"/>
  <c r="M560" i="9" s="1"/>
  <c r="G560" i="9"/>
  <c r="H560" i="9"/>
  <c r="C561" i="9"/>
  <c r="B551" i="15" s="1"/>
  <c r="D561" i="9"/>
  <c r="D551" i="13" s="1"/>
  <c r="E561" i="9"/>
  <c r="E551" i="13" s="1"/>
  <c r="F561" i="9"/>
  <c r="M561" i="9" s="1"/>
  <c r="G561" i="9"/>
  <c r="H561" i="9"/>
  <c r="H551" i="13" s="1"/>
  <c r="C562" i="9"/>
  <c r="B552" i="15" s="1"/>
  <c r="D562" i="9"/>
  <c r="E562" i="9"/>
  <c r="E552" i="13" s="1"/>
  <c r="F562" i="9"/>
  <c r="M562" i="9" s="1"/>
  <c r="G562" i="9"/>
  <c r="H562" i="9"/>
  <c r="C563" i="9"/>
  <c r="B553" i="15" s="1"/>
  <c r="D563" i="9"/>
  <c r="D553" i="13" s="1"/>
  <c r="E563" i="9"/>
  <c r="D553" i="15" s="1"/>
  <c r="F563" i="9"/>
  <c r="M563" i="9" s="1"/>
  <c r="G563" i="9"/>
  <c r="G553" i="13" s="1"/>
  <c r="H563" i="9"/>
  <c r="H553" i="13" s="1"/>
  <c r="C564" i="9"/>
  <c r="B554" i="15" s="1"/>
  <c r="D564" i="9"/>
  <c r="C554" i="15" s="1"/>
  <c r="E564" i="9"/>
  <c r="D554" i="15" s="1"/>
  <c r="F564" i="9"/>
  <c r="M564" i="9" s="1"/>
  <c r="G564" i="9"/>
  <c r="H564" i="9"/>
  <c r="H554" i="13" s="1"/>
  <c r="C565" i="9"/>
  <c r="D565" i="9"/>
  <c r="D555" i="13" s="1"/>
  <c r="E565" i="9"/>
  <c r="E555" i="13" s="1"/>
  <c r="F565" i="9"/>
  <c r="M565" i="9" s="1"/>
  <c r="G565" i="9"/>
  <c r="H565" i="9"/>
  <c r="H555" i="13" s="1"/>
  <c r="C566" i="9"/>
  <c r="B556" i="15" s="1"/>
  <c r="D566" i="9"/>
  <c r="D556" i="13" s="1"/>
  <c r="E566" i="9"/>
  <c r="E556" i="13" s="1"/>
  <c r="F566" i="9"/>
  <c r="M566" i="9" s="1"/>
  <c r="G566" i="9"/>
  <c r="G556" i="13" s="1"/>
  <c r="H566" i="9"/>
  <c r="H556" i="13" s="1"/>
  <c r="C567" i="9"/>
  <c r="B557" i="15" s="1"/>
  <c r="D567" i="9"/>
  <c r="C557" i="15" s="1"/>
  <c r="E567" i="9"/>
  <c r="F567" i="9"/>
  <c r="M567" i="9" s="1"/>
  <c r="G567" i="9"/>
  <c r="G557" i="13" s="1"/>
  <c r="H567" i="9"/>
  <c r="H557" i="13" s="1"/>
  <c r="C568" i="9"/>
  <c r="B558" i="15" s="1"/>
  <c r="D568" i="9"/>
  <c r="D558" i="13" s="1"/>
  <c r="E568" i="9"/>
  <c r="F568" i="9"/>
  <c r="M568" i="9" s="1"/>
  <c r="G568" i="9"/>
  <c r="H568" i="9"/>
  <c r="H558" i="13" s="1"/>
  <c r="C569" i="9"/>
  <c r="D569" i="9"/>
  <c r="D559" i="13" s="1"/>
  <c r="E569" i="9"/>
  <c r="E559" i="13" s="1"/>
  <c r="F569" i="9"/>
  <c r="G569" i="9"/>
  <c r="H569" i="9"/>
  <c r="H559" i="13" s="1"/>
  <c r="C570" i="9"/>
  <c r="B560" i="15" s="1"/>
  <c r="D570" i="9"/>
  <c r="D560" i="13" s="1"/>
  <c r="E570" i="9"/>
  <c r="E560" i="13" s="1"/>
  <c r="F570" i="9"/>
  <c r="M570" i="9" s="1"/>
  <c r="G570" i="9"/>
  <c r="G560" i="13" s="1"/>
  <c r="H570" i="9"/>
  <c r="H560" i="13" s="1"/>
  <c r="C571" i="9"/>
  <c r="B561" i="15" s="1"/>
  <c r="D571" i="9"/>
  <c r="D561" i="13" s="1"/>
  <c r="E571" i="9"/>
  <c r="F571" i="9"/>
  <c r="M571" i="9" s="1"/>
  <c r="G571" i="9"/>
  <c r="G561" i="13" s="1"/>
  <c r="H571" i="9"/>
  <c r="H561" i="13" s="1"/>
  <c r="C572" i="9"/>
  <c r="B562" i="15" s="1"/>
  <c r="D572" i="9"/>
  <c r="D562" i="13" s="1"/>
  <c r="E572" i="9"/>
  <c r="F572" i="9"/>
  <c r="M572" i="9" s="1"/>
  <c r="G572" i="9"/>
  <c r="H572" i="9"/>
  <c r="H562" i="13" s="1"/>
  <c r="C573" i="9"/>
  <c r="D573" i="9"/>
  <c r="D563" i="13" s="1"/>
  <c r="E573" i="9"/>
  <c r="E563" i="13" s="1"/>
  <c r="F573" i="9"/>
  <c r="M573" i="9" s="1"/>
  <c r="G573" i="9"/>
  <c r="H573" i="9"/>
  <c r="H563" i="13" s="1"/>
  <c r="C574" i="9"/>
  <c r="B564" i="15" s="1"/>
  <c r="D574" i="9"/>
  <c r="E574" i="9"/>
  <c r="E564" i="13" s="1"/>
  <c r="F574" i="9"/>
  <c r="M574" i="9" s="1"/>
  <c r="G574" i="9"/>
  <c r="G564" i="13" s="1"/>
  <c r="H574" i="9"/>
  <c r="H564" i="13" s="1"/>
  <c r="C575" i="9"/>
  <c r="B565" i="15" s="1"/>
  <c r="D575" i="9"/>
  <c r="D565" i="13" s="1"/>
  <c r="E575" i="9"/>
  <c r="F575" i="9"/>
  <c r="M575" i="9" s="1"/>
  <c r="G575" i="9"/>
  <c r="G565" i="13" s="1"/>
  <c r="H575" i="9"/>
  <c r="H565" i="13" s="1"/>
  <c r="C576" i="9"/>
  <c r="B566" i="15" s="1"/>
  <c r="D576" i="9"/>
  <c r="D566" i="13" s="1"/>
  <c r="E576" i="9"/>
  <c r="F576" i="9"/>
  <c r="M576" i="9" s="1"/>
  <c r="G576" i="9"/>
  <c r="H576" i="9"/>
  <c r="C577" i="9"/>
  <c r="B567" i="15" s="1"/>
  <c r="D577" i="9"/>
  <c r="D567" i="13" s="1"/>
  <c r="E577" i="9"/>
  <c r="F577" i="9"/>
  <c r="G577" i="9"/>
  <c r="H577" i="9"/>
  <c r="H567" i="13" s="1"/>
  <c r="C578" i="9"/>
  <c r="B568" i="15" s="1"/>
  <c r="D578" i="9"/>
  <c r="D568" i="13" s="1"/>
  <c r="E578" i="9"/>
  <c r="E568" i="13" s="1"/>
  <c r="F578" i="9"/>
  <c r="M578" i="9" s="1"/>
  <c r="G578" i="9"/>
  <c r="H578" i="9"/>
  <c r="H568" i="13" s="1"/>
  <c r="C579" i="9"/>
  <c r="B569" i="15" s="1"/>
  <c r="D579" i="9"/>
  <c r="D569" i="13" s="1"/>
  <c r="E579" i="9"/>
  <c r="F579" i="9"/>
  <c r="M579" i="9" s="1"/>
  <c r="G579" i="9"/>
  <c r="G569" i="13" s="1"/>
  <c r="H579" i="9"/>
  <c r="C580" i="9"/>
  <c r="B570" i="15" s="1"/>
  <c r="D580" i="9"/>
  <c r="D570" i="13" s="1"/>
  <c r="E580" i="9"/>
  <c r="F580" i="9"/>
  <c r="G580" i="9"/>
  <c r="G570" i="13" s="1"/>
  <c r="H580" i="9"/>
  <c r="H570" i="13" s="1"/>
  <c r="C581" i="9"/>
  <c r="B571" i="15" s="1"/>
  <c r="D581" i="9"/>
  <c r="D571" i="13" s="1"/>
  <c r="E581" i="9"/>
  <c r="F581" i="9"/>
  <c r="M581" i="9" s="1"/>
  <c r="G581" i="9"/>
  <c r="H581" i="9"/>
  <c r="C582" i="9"/>
  <c r="D582" i="9"/>
  <c r="D572" i="13" s="1"/>
  <c r="E582" i="9"/>
  <c r="E572" i="13" s="1"/>
  <c r="F582" i="9"/>
  <c r="M582" i="9" s="1"/>
  <c r="G582" i="9"/>
  <c r="H582" i="9"/>
  <c r="H572" i="13" s="1"/>
  <c r="C583" i="9"/>
  <c r="B573" i="15" s="1"/>
  <c r="D583" i="9"/>
  <c r="D573" i="13" s="1"/>
  <c r="E583" i="9"/>
  <c r="F583" i="9"/>
  <c r="M583" i="9" s="1"/>
  <c r="G583" i="9"/>
  <c r="G573" i="13" s="1"/>
  <c r="H583" i="9"/>
  <c r="H573" i="13" s="1"/>
  <c r="C584" i="9"/>
  <c r="B574" i="15" s="1"/>
  <c r="D584" i="9"/>
  <c r="D574" i="13" s="1"/>
  <c r="E584" i="9"/>
  <c r="F584" i="9"/>
  <c r="G584" i="9"/>
  <c r="G574" i="13" s="1"/>
  <c r="H584" i="9"/>
  <c r="H574" i="13" s="1"/>
  <c r="C585" i="9"/>
  <c r="B575" i="15" s="1"/>
  <c r="D585" i="9"/>
  <c r="D575" i="13" s="1"/>
  <c r="E585" i="9"/>
  <c r="F585" i="9"/>
  <c r="M585" i="9" s="1"/>
  <c r="G585" i="9"/>
  <c r="H585" i="9"/>
  <c r="H575" i="13" s="1"/>
  <c r="C586" i="9"/>
  <c r="D586" i="9"/>
  <c r="D576" i="13" s="1"/>
  <c r="E586" i="9"/>
  <c r="E576" i="13" s="1"/>
  <c r="F586" i="9"/>
  <c r="M586" i="9" s="1"/>
  <c r="G586" i="9"/>
  <c r="H586" i="9"/>
  <c r="H576" i="13" s="1"/>
  <c r="C587" i="9"/>
  <c r="B577" i="15" s="1"/>
  <c r="D587" i="9"/>
  <c r="D577" i="13" s="1"/>
  <c r="E587" i="9"/>
  <c r="D577" i="15" s="1"/>
  <c r="F587" i="9"/>
  <c r="M587" i="9" s="1"/>
  <c r="G587" i="9"/>
  <c r="G577" i="13" s="1"/>
  <c r="H587" i="9"/>
  <c r="H577" i="13" s="1"/>
  <c r="C588" i="9"/>
  <c r="B578" i="15" s="1"/>
  <c r="D588" i="9"/>
  <c r="D578" i="13" s="1"/>
  <c r="E588" i="9"/>
  <c r="F588" i="9"/>
  <c r="G588" i="9"/>
  <c r="H588" i="9"/>
  <c r="H578" i="13" s="1"/>
  <c r="C589" i="9"/>
  <c r="B579" i="15" s="1"/>
  <c r="D589" i="9"/>
  <c r="D579" i="13" s="1"/>
  <c r="E589" i="9"/>
  <c r="D579" i="15" s="1"/>
  <c r="F589" i="9"/>
  <c r="M589" i="9" s="1"/>
  <c r="G589" i="9"/>
  <c r="H589" i="9"/>
  <c r="H579" i="13" s="1"/>
  <c r="C590" i="9"/>
  <c r="B580" i="15" s="1"/>
  <c r="D590" i="9"/>
  <c r="E590" i="9"/>
  <c r="D580" i="15" s="1"/>
  <c r="F590" i="9"/>
  <c r="G590" i="9"/>
  <c r="H590" i="9"/>
  <c r="H580" i="13" s="1"/>
  <c r="C591" i="9"/>
  <c r="B581" i="15" s="1"/>
  <c r="D591" i="9"/>
  <c r="E591" i="9"/>
  <c r="F591" i="9"/>
  <c r="M591" i="9" s="1"/>
  <c r="G591" i="9"/>
  <c r="G581" i="13" s="1"/>
  <c r="H591" i="9"/>
  <c r="C592" i="9"/>
  <c r="B582" i="15" s="1"/>
  <c r="D592" i="9"/>
  <c r="E592" i="9"/>
  <c r="F592" i="9"/>
  <c r="G592" i="9"/>
  <c r="H592" i="9"/>
  <c r="H582" i="13" s="1"/>
  <c r="C593" i="9"/>
  <c r="B583" i="15" s="1"/>
  <c r="D593" i="9"/>
  <c r="E593" i="9"/>
  <c r="F593" i="9"/>
  <c r="G593" i="9"/>
  <c r="G583" i="13" s="1"/>
  <c r="H593" i="9"/>
  <c r="H583" i="13" s="1"/>
  <c r="C594" i="9"/>
  <c r="B584" i="15" s="1"/>
  <c r="D594" i="9"/>
  <c r="D584" i="13" s="1"/>
  <c r="E594" i="9"/>
  <c r="E584" i="13" s="1"/>
  <c r="F594" i="9"/>
  <c r="M594" i="9" s="1"/>
  <c r="G594" i="9"/>
  <c r="H594" i="9"/>
  <c r="H584" i="13" s="1"/>
  <c r="C595" i="9"/>
  <c r="B585" i="15" s="1"/>
  <c r="D595" i="9"/>
  <c r="D585" i="13" s="1"/>
  <c r="E595" i="9"/>
  <c r="D585" i="15" s="1"/>
  <c r="F595" i="9"/>
  <c r="M595" i="9" s="1"/>
  <c r="G595" i="9"/>
  <c r="G585" i="13" s="1"/>
  <c r="H595" i="9"/>
  <c r="H585" i="13" s="1"/>
  <c r="C596" i="9"/>
  <c r="B586" i="15" s="1"/>
  <c r="D596" i="9"/>
  <c r="D586" i="13" s="1"/>
  <c r="E596" i="9"/>
  <c r="D586" i="15" s="1"/>
  <c r="F596" i="9"/>
  <c r="M596" i="9" s="1"/>
  <c r="G596" i="9"/>
  <c r="H596" i="9"/>
  <c r="H586" i="13" s="1"/>
  <c r="C597" i="9"/>
  <c r="B587" i="15" s="1"/>
  <c r="D597" i="9"/>
  <c r="D587" i="13" s="1"/>
  <c r="E597" i="9"/>
  <c r="D587" i="15" s="1"/>
  <c r="F597" i="9"/>
  <c r="M597" i="9" s="1"/>
  <c r="G597" i="9"/>
  <c r="H597" i="9"/>
  <c r="H587" i="13" s="1"/>
  <c r="C598" i="9"/>
  <c r="B588" i="15" s="1"/>
  <c r="D598" i="9"/>
  <c r="D588" i="13" s="1"/>
  <c r="E598" i="9"/>
  <c r="D588" i="15" s="1"/>
  <c r="F598" i="9"/>
  <c r="G598" i="9"/>
  <c r="H598" i="9"/>
  <c r="H588" i="13" s="1"/>
  <c r="C599" i="9"/>
  <c r="B589" i="15" s="1"/>
  <c r="D599" i="9"/>
  <c r="E599" i="9"/>
  <c r="F599" i="9"/>
  <c r="M599" i="9" s="1"/>
  <c r="G599" i="9"/>
  <c r="H599" i="9"/>
  <c r="H589" i="13" s="1"/>
  <c r="C600" i="9"/>
  <c r="B590" i="15" s="1"/>
  <c r="D600" i="9"/>
  <c r="E600" i="9"/>
  <c r="F600" i="9"/>
  <c r="G600" i="9"/>
  <c r="H600" i="9"/>
  <c r="H590" i="13" s="1"/>
  <c r="C601" i="9"/>
  <c r="B591" i="15" s="1"/>
  <c r="D601" i="9"/>
  <c r="D591" i="13" s="1"/>
  <c r="E601" i="9"/>
  <c r="F601" i="9"/>
  <c r="M601" i="9" s="1"/>
  <c r="G601" i="9"/>
  <c r="H601" i="9"/>
  <c r="H591" i="13" s="1"/>
  <c r="C602" i="9"/>
  <c r="B592" i="15" s="1"/>
  <c r="D602" i="9"/>
  <c r="D592" i="13" s="1"/>
  <c r="E602" i="9"/>
  <c r="E592" i="13" s="1"/>
  <c r="F602" i="9"/>
  <c r="G602" i="9"/>
  <c r="G592" i="13" s="1"/>
  <c r="H602" i="9"/>
  <c r="C603" i="9"/>
  <c r="B593" i="15" s="1"/>
  <c r="D603" i="9"/>
  <c r="D593" i="13" s="1"/>
  <c r="E603" i="9"/>
  <c r="D593" i="15" s="1"/>
  <c r="F603" i="9"/>
  <c r="M603" i="9" s="1"/>
  <c r="G603" i="9"/>
  <c r="H603" i="9"/>
  <c r="H593" i="13" s="1"/>
  <c r="C604" i="9"/>
  <c r="B594" i="15" s="1"/>
  <c r="D604" i="9"/>
  <c r="E604" i="9"/>
  <c r="D594" i="15" s="1"/>
  <c r="F604" i="9"/>
  <c r="M604" i="9" s="1"/>
  <c r="G604" i="9"/>
  <c r="G594" i="13" s="1"/>
  <c r="H604" i="9"/>
  <c r="H594" i="13" s="1"/>
  <c r="C605" i="9"/>
  <c r="D605" i="9"/>
  <c r="D595" i="13" s="1"/>
  <c r="E605" i="9"/>
  <c r="F605" i="9"/>
  <c r="M605" i="9" s="1"/>
  <c r="G605" i="9"/>
  <c r="H605" i="9"/>
  <c r="H595" i="13" s="1"/>
  <c r="C606" i="9"/>
  <c r="B596" i="15" s="1"/>
  <c r="D606" i="9"/>
  <c r="D596" i="13" s="1"/>
  <c r="E606" i="9"/>
  <c r="D596" i="15" s="1"/>
  <c r="F606" i="9"/>
  <c r="G606" i="9"/>
  <c r="H606" i="9"/>
  <c r="H596" i="13" s="1"/>
  <c r="C607" i="9"/>
  <c r="B597" i="15" s="1"/>
  <c r="D607" i="9"/>
  <c r="C597" i="15" s="1"/>
  <c r="E607" i="9"/>
  <c r="E597" i="13" s="1"/>
  <c r="F607" i="9"/>
  <c r="M607" i="9" s="1"/>
  <c r="G607" i="9"/>
  <c r="G597" i="13" s="1"/>
  <c r="H607" i="9"/>
  <c r="H597" i="13" s="1"/>
  <c r="C608" i="9"/>
  <c r="B598" i="15" s="1"/>
  <c r="D608" i="9"/>
  <c r="E608" i="9"/>
  <c r="F608" i="9"/>
  <c r="M608" i="9" s="1"/>
  <c r="G608" i="9"/>
  <c r="G598" i="13" s="1"/>
  <c r="H608" i="9"/>
  <c r="H598" i="13" s="1"/>
  <c r="C609" i="9"/>
  <c r="D609" i="9"/>
  <c r="E609" i="9"/>
  <c r="F609" i="9"/>
  <c r="M609" i="9" s="1"/>
  <c r="G609" i="9"/>
  <c r="H609" i="9"/>
  <c r="H599" i="13" s="1"/>
  <c r="C610" i="9"/>
  <c r="B600" i="15" s="1"/>
  <c r="D610" i="9"/>
  <c r="D600" i="13" s="1"/>
  <c r="E610" i="9"/>
  <c r="F610" i="9"/>
  <c r="M610" i="9" s="1"/>
  <c r="G610" i="9"/>
  <c r="H610" i="9"/>
  <c r="C611" i="9"/>
  <c r="B601" i="15" s="1"/>
  <c r="D611" i="9"/>
  <c r="D601" i="13" s="1"/>
  <c r="E611" i="9"/>
  <c r="D601" i="15" s="1"/>
  <c r="F611" i="9"/>
  <c r="M611" i="9" s="1"/>
  <c r="G611" i="9"/>
  <c r="G601" i="13" s="1"/>
  <c r="H611" i="9"/>
  <c r="C612" i="9"/>
  <c r="B602" i="15" s="1"/>
  <c r="D612" i="9"/>
  <c r="E612" i="9"/>
  <c r="E602" i="13" s="1"/>
  <c r="F612" i="9"/>
  <c r="M612" i="9" s="1"/>
  <c r="G612" i="9"/>
  <c r="G602" i="13" s="1"/>
  <c r="H612" i="9"/>
  <c r="C613" i="9"/>
  <c r="B603" i="15" s="1"/>
  <c r="D613" i="9"/>
  <c r="E613" i="9"/>
  <c r="D603" i="15" s="1"/>
  <c r="F613" i="9"/>
  <c r="M613" i="9" s="1"/>
  <c r="G613" i="9"/>
  <c r="G603" i="13" s="1"/>
  <c r="H613" i="9"/>
  <c r="H603" i="13" s="1"/>
  <c r="C614" i="9"/>
  <c r="D614" i="9"/>
  <c r="E614" i="9"/>
  <c r="D604" i="15" s="1"/>
  <c r="F614" i="9"/>
  <c r="M614" i="9" s="1"/>
  <c r="G614" i="9"/>
  <c r="G604" i="13" s="1"/>
  <c r="H614" i="9"/>
  <c r="C615" i="9"/>
  <c r="B605" i="15" s="1"/>
  <c r="D615" i="9"/>
  <c r="C605" i="15" s="1"/>
  <c r="E615" i="9"/>
  <c r="E605" i="13" s="1"/>
  <c r="F615" i="9"/>
  <c r="M615" i="9" s="1"/>
  <c r="G615" i="9"/>
  <c r="G605" i="13" s="1"/>
  <c r="H615" i="9"/>
  <c r="H605" i="13" s="1"/>
  <c r="C616" i="9"/>
  <c r="D616" i="9"/>
  <c r="C606" i="15" s="1"/>
  <c r="E616" i="9"/>
  <c r="E606" i="13" s="1"/>
  <c r="F616" i="9"/>
  <c r="M616" i="9" s="1"/>
  <c r="G616" i="9"/>
  <c r="G606" i="13" s="1"/>
  <c r="H616" i="9"/>
  <c r="C8" i="13"/>
  <c r="F8" i="13"/>
  <c r="G8" i="13"/>
  <c r="H8" i="13"/>
  <c r="T8" i="13"/>
  <c r="D9" i="13"/>
  <c r="E9" i="13"/>
  <c r="F9" i="13"/>
  <c r="H9" i="13"/>
  <c r="T9" i="13"/>
  <c r="C10" i="13"/>
  <c r="F10" i="13"/>
  <c r="G10" i="13"/>
  <c r="H10" i="13"/>
  <c r="T10" i="13"/>
  <c r="D11" i="13"/>
  <c r="E11" i="13"/>
  <c r="T11" i="13"/>
  <c r="C12" i="13"/>
  <c r="F12" i="13"/>
  <c r="G12" i="13"/>
  <c r="T12" i="13"/>
  <c r="E13" i="13"/>
  <c r="F13" i="13"/>
  <c r="H13" i="13"/>
  <c r="T13" i="13"/>
  <c r="C14" i="13"/>
  <c r="G14" i="13"/>
  <c r="H14" i="13"/>
  <c r="T14" i="13"/>
  <c r="D15" i="13"/>
  <c r="E15" i="13"/>
  <c r="F15" i="13"/>
  <c r="H15" i="13"/>
  <c r="T15" i="13"/>
  <c r="C16" i="13"/>
  <c r="D16" i="13"/>
  <c r="F16" i="13"/>
  <c r="G16" i="13"/>
  <c r="T16" i="13"/>
  <c r="E17" i="13"/>
  <c r="F17" i="13"/>
  <c r="H17" i="13"/>
  <c r="T17" i="13"/>
  <c r="C18" i="13"/>
  <c r="G18" i="13"/>
  <c r="H18" i="13"/>
  <c r="T18" i="13"/>
  <c r="D19" i="13"/>
  <c r="E19" i="13"/>
  <c r="F19" i="13"/>
  <c r="H19" i="13"/>
  <c r="T19" i="13"/>
  <c r="C20" i="13"/>
  <c r="D20" i="13"/>
  <c r="F20" i="13"/>
  <c r="G20" i="13"/>
  <c r="T20" i="13"/>
  <c r="E21" i="13"/>
  <c r="F21" i="13"/>
  <c r="H21" i="13"/>
  <c r="T21" i="13"/>
  <c r="C22" i="13"/>
  <c r="G22" i="13"/>
  <c r="H22" i="13"/>
  <c r="T22" i="13"/>
  <c r="D23" i="13"/>
  <c r="E23" i="13"/>
  <c r="F23" i="13"/>
  <c r="H23" i="13"/>
  <c r="T23" i="13"/>
  <c r="C24" i="13"/>
  <c r="D24" i="13"/>
  <c r="F24" i="13"/>
  <c r="G24" i="13"/>
  <c r="T24" i="13"/>
  <c r="E25" i="13"/>
  <c r="F25" i="13"/>
  <c r="H25" i="13"/>
  <c r="T25" i="13"/>
  <c r="C26" i="13"/>
  <c r="G26" i="13"/>
  <c r="H26" i="13"/>
  <c r="T26" i="13"/>
  <c r="D27" i="13"/>
  <c r="E27" i="13"/>
  <c r="F27" i="13"/>
  <c r="H27" i="13"/>
  <c r="T27" i="13"/>
  <c r="C28" i="13"/>
  <c r="D28" i="13"/>
  <c r="F28" i="13"/>
  <c r="G28" i="13"/>
  <c r="T28" i="13"/>
  <c r="E29" i="13"/>
  <c r="F29" i="13"/>
  <c r="H29" i="13"/>
  <c r="T29" i="13"/>
  <c r="C30" i="13"/>
  <c r="G30" i="13"/>
  <c r="H30" i="13"/>
  <c r="T30" i="13"/>
  <c r="D31" i="13"/>
  <c r="E31" i="13"/>
  <c r="F31" i="13"/>
  <c r="H31" i="13"/>
  <c r="T31" i="13"/>
  <c r="C32" i="13"/>
  <c r="D32" i="13"/>
  <c r="F32" i="13"/>
  <c r="G32" i="13"/>
  <c r="T32" i="13"/>
  <c r="E33" i="13"/>
  <c r="F33" i="13"/>
  <c r="H33" i="13"/>
  <c r="T33" i="13"/>
  <c r="C34" i="13"/>
  <c r="G34" i="13"/>
  <c r="H34" i="13"/>
  <c r="T34" i="13"/>
  <c r="C35" i="13"/>
  <c r="D35" i="13"/>
  <c r="E35" i="13"/>
  <c r="H35" i="13"/>
  <c r="T35" i="13"/>
  <c r="C36" i="13"/>
  <c r="D36" i="13"/>
  <c r="E36" i="13"/>
  <c r="F36" i="13"/>
  <c r="G36" i="13"/>
  <c r="T36" i="13"/>
  <c r="D37" i="13"/>
  <c r="E37" i="13"/>
  <c r="F37" i="13"/>
  <c r="G37" i="13"/>
  <c r="H37" i="13"/>
  <c r="T37" i="13"/>
  <c r="C38" i="13"/>
  <c r="D38" i="13"/>
  <c r="F38" i="13"/>
  <c r="G38" i="13"/>
  <c r="H38" i="13"/>
  <c r="T38" i="13"/>
  <c r="D39" i="13"/>
  <c r="E39" i="13"/>
  <c r="H39" i="13"/>
  <c r="T39" i="13"/>
  <c r="C40" i="13"/>
  <c r="D40" i="13"/>
  <c r="F40" i="13"/>
  <c r="G40" i="13"/>
  <c r="H40" i="13"/>
  <c r="T40" i="13"/>
  <c r="D41" i="13"/>
  <c r="E41" i="13"/>
  <c r="F41" i="13"/>
  <c r="H41" i="13"/>
  <c r="T41" i="13"/>
  <c r="C42" i="13"/>
  <c r="D42" i="13"/>
  <c r="G42" i="13"/>
  <c r="H42" i="13"/>
  <c r="T42" i="13"/>
  <c r="D43" i="13"/>
  <c r="E43" i="13"/>
  <c r="T43" i="13"/>
  <c r="C44" i="13"/>
  <c r="D44" i="13"/>
  <c r="F44" i="13"/>
  <c r="G44" i="13"/>
  <c r="H44" i="13"/>
  <c r="T44" i="13"/>
  <c r="E45" i="13"/>
  <c r="F45" i="13"/>
  <c r="H45" i="13"/>
  <c r="T45" i="13"/>
  <c r="C46" i="13"/>
  <c r="D46" i="13"/>
  <c r="F46" i="13"/>
  <c r="G46" i="13"/>
  <c r="H46" i="13"/>
  <c r="T46" i="13"/>
  <c r="D47" i="13"/>
  <c r="E47" i="13"/>
  <c r="G47" i="13"/>
  <c r="T47" i="13"/>
  <c r="C48" i="13"/>
  <c r="D48" i="13"/>
  <c r="F48" i="13"/>
  <c r="G48" i="13"/>
  <c r="T48" i="13"/>
  <c r="C49" i="13"/>
  <c r="E49" i="13"/>
  <c r="F49" i="13"/>
  <c r="H49" i="13"/>
  <c r="T49" i="13"/>
  <c r="C50" i="13"/>
  <c r="E50" i="13"/>
  <c r="F50" i="13"/>
  <c r="G50" i="13"/>
  <c r="H50" i="13"/>
  <c r="T50" i="13"/>
  <c r="D51" i="13"/>
  <c r="E51" i="13"/>
  <c r="G51" i="13"/>
  <c r="T51" i="13"/>
  <c r="C52" i="13"/>
  <c r="D52" i="13"/>
  <c r="F52" i="13"/>
  <c r="G52" i="13"/>
  <c r="T52" i="13"/>
  <c r="C53" i="13"/>
  <c r="E53" i="13"/>
  <c r="H53" i="13"/>
  <c r="T53" i="13"/>
  <c r="C54" i="13"/>
  <c r="E54" i="13"/>
  <c r="G54" i="13"/>
  <c r="H54" i="13"/>
  <c r="T54" i="13"/>
  <c r="D55" i="13"/>
  <c r="E55" i="13"/>
  <c r="G55" i="13"/>
  <c r="H55" i="13"/>
  <c r="T55" i="13"/>
  <c r="C56" i="13"/>
  <c r="D56" i="13"/>
  <c r="F56" i="13"/>
  <c r="G56" i="13"/>
  <c r="T56" i="13"/>
  <c r="C57" i="13"/>
  <c r="D57" i="13"/>
  <c r="E57" i="13"/>
  <c r="H57" i="13"/>
  <c r="T57" i="13"/>
  <c r="C58" i="13"/>
  <c r="E58" i="13"/>
  <c r="F58" i="13"/>
  <c r="G58" i="13"/>
  <c r="H58" i="13"/>
  <c r="T58" i="13"/>
  <c r="D59" i="13"/>
  <c r="E59" i="13"/>
  <c r="G59" i="13"/>
  <c r="T59" i="13"/>
  <c r="C60" i="13"/>
  <c r="D60" i="13"/>
  <c r="F60" i="13"/>
  <c r="G60" i="13"/>
  <c r="T60" i="13"/>
  <c r="C61" i="13"/>
  <c r="E61" i="13"/>
  <c r="H61" i="13"/>
  <c r="T61" i="13"/>
  <c r="C62" i="13"/>
  <c r="E62" i="13"/>
  <c r="G62" i="13"/>
  <c r="H62" i="13"/>
  <c r="T62" i="13"/>
  <c r="D63" i="13"/>
  <c r="E63" i="13"/>
  <c r="G63" i="13"/>
  <c r="T63" i="13"/>
  <c r="C64" i="13"/>
  <c r="D64" i="13"/>
  <c r="F64" i="13"/>
  <c r="G64" i="13"/>
  <c r="T64" i="13"/>
  <c r="C65" i="13"/>
  <c r="E65" i="13"/>
  <c r="H65" i="13"/>
  <c r="T65" i="13"/>
  <c r="C66" i="13"/>
  <c r="E66" i="13"/>
  <c r="F66" i="13"/>
  <c r="T66" i="13"/>
  <c r="D67" i="13"/>
  <c r="E67" i="13"/>
  <c r="G67" i="13"/>
  <c r="T67" i="13"/>
  <c r="C68" i="13"/>
  <c r="F68" i="13"/>
  <c r="G68" i="13"/>
  <c r="T68" i="13"/>
  <c r="C69" i="13"/>
  <c r="D69" i="13"/>
  <c r="E69" i="13"/>
  <c r="F69" i="13"/>
  <c r="H69" i="13"/>
  <c r="T69" i="13"/>
  <c r="C70" i="13"/>
  <c r="E70" i="13"/>
  <c r="G70" i="13"/>
  <c r="T70" i="13"/>
  <c r="C71" i="13"/>
  <c r="D71" i="13"/>
  <c r="E71" i="13"/>
  <c r="G71" i="13"/>
  <c r="T71" i="13"/>
  <c r="C72" i="13"/>
  <c r="D72" i="13"/>
  <c r="E72" i="13"/>
  <c r="F72" i="13"/>
  <c r="G72" i="13"/>
  <c r="T72" i="13"/>
  <c r="C73" i="13"/>
  <c r="E73" i="13"/>
  <c r="F73" i="13"/>
  <c r="G73" i="13"/>
  <c r="H73" i="13"/>
  <c r="T73" i="13"/>
  <c r="C74" i="13"/>
  <c r="E74" i="13"/>
  <c r="G74" i="13"/>
  <c r="H74" i="13"/>
  <c r="T74" i="13"/>
  <c r="E75" i="13"/>
  <c r="G75" i="13"/>
  <c r="T75" i="13"/>
  <c r="C76" i="13"/>
  <c r="G76" i="13"/>
  <c r="T76" i="13"/>
  <c r="C77" i="13"/>
  <c r="E77" i="13"/>
  <c r="H77" i="13"/>
  <c r="T77" i="13"/>
  <c r="E78" i="13"/>
  <c r="F78" i="13"/>
  <c r="G78" i="13"/>
  <c r="T78" i="13"/>
  <c r="D79" i="13"/>
  <c r="G79" i="13"/>
  <c r="T79" i="13"/>
  <c r="C80" i="13"/>
  <c r="F80" i="13"/>
  <c r="T80" i="13"/>
  <c r="C81" i="13"/>
  <c r="E81" i="13"/>
  <c r="F81" i="13"/>
  <c r="T81" i="13"/>
  <c r="D82" i="13"/>
  <c r="E82" i="13"/>
  <c r="G82" i="13"/>
  <c r="H82" i="13"/>
  <c r="T82" i="13"/>
  <c r="D83" i="13"/>
  <c r="G83" i="13"/>
  <c r="T83" i="13"/>
  <c r="C84" i="13"/>
  <c r="D84" i="13"/>
  <c r="F84" i="13"/>
  <c r="H84" i="13"/>
  <c r="T84" i="13"/>
  <c r="C85" i="13"/>
  <c r="E85" i="13"/>
  <c r="H85" i="13"/>
  <c r="T85" i="13"/>
  <c r="E86" i="13"/>
  <c r="F86" i="13"/>
  <c r="G86" i="13"/>
  <c r="T86" i="13"/>
  <c r="E87" i="13"/>
  <c r="G87" i="13"/>
  <c r="T87" i="13"/>
  <c r="C88" i="13"/>
  <c r="G88" i="13"/>
  <c r="T88" i="13"/>
  <c r="C89" i="13"/>
  <c r="T89" i="13"/>
  <c r="C90" i="13"/>
  <c r="E90" i="13"/>
  <c r="G90" i="13"/>
  <c r="H90" i="13"/>
  <c r="T90" i="13"/>
  <c r="D91" i="13"/>
  <c r="E91" i="13"/>
  <c r="G91" i="13"/>
  <c r="H91" i="13"/>
  <c r="T91" i="13"/>
  <c r="C92" i="13"/>
  <c r="F92" i="13"/>
  <c r="G92" i="13"/>
  <c r="H92" i="13"/>
  <c r="T92" i="13"/>
  <c r="E93" i="13"/>
  <c r="H93" i="13"/>
  <c r="T93" i="13"/>
  <c r="C94" i="13"/>
  <c r="E94" i="13"/>
  <c r="G94" i="13"/>
  <c r="T94" i="13"/>
  <c r="D95" i="13"/>
  <c r="E95" i="13"/>
  <c r="F95" i="13"/>
  <c r="G95" i="13"/>
  <c r="T95" i="13"/>
  <c r="C96" i="13"/>
  <c r="F96" i="13"/>
  <c r="G96" i="13"/>
  <c r="T96" i="13"/>
  <c r="C97" i="13"/>
  <c r="E97" i="13"/>
  <c r="H97" i="13"/>
  <c r="T97" i="13"/>
  <c r="C98" i="13"/>
  <c r="F98" i="13"/>
  <c r="G98" i="13"/>
  <c r="T98" i="13"/>
  <c r="D99" i="13"/>
  <c r="E99" i="13"/>
  <c r="G99" i="13"/>
  <c r="H99" i="13"/>
  <c r="T99" i="13"/>
  <c r="C100" i="13"/>
  <c r="F100" i="13"/>
  <c r="G100" i="13"/>
  <c r="H100" i="13"/>
  <c r="T100" i="13"/>
  <c r="C101" i="13"/>
  <c r="D101" i="13"/>
  <c r="E101" i="13"/>
  <c r="H101" i="13"/>
  <c r="T101" i="13"/>
  <c r="E102" i="13"/>
  <c r="G102" i="13"/>
  <c r="T102" i="13"/>
  <c r="D103" i="13"/>
  <c r="E103" i="13"/>
  <c r="G103" i="13"/>
  <c r="T103" i="13"/>
  <c r="C104" i="13"/>
  <c r="F104" i="13"/>
  <c r="G104" i="13"/>
  <c r="H104" i="13"/>
  <c r="T104" i="13"/>
  <c r="C105" i="13"/>
  <c r="E105" i="13"/>
  <c r="H105" i="13"/>
  <c r="T105" i="13"/>
  <c r="C106" i="13"/>
  <c r="D106" i="13"/>
  <c r="E106" i="13"/>
  <c r="F106" i="13"/>
  <c r="T106" i="13"/>
  <c r="D107" i="13"/>
  <c r="E107" i="13"/>
  <c r="F107" i="13"/>
  <c r="G107" i="13"/>
  <c r="H107" i="13"/>
  <c r="T107" i="13"/>
  <c r="F108" i="13"/>
  <c r="G108" i="13"/>
  <c r="H108" i="13"/>
  <c r="T108" i="13"/>
  <c r="F109" i="13"/>
  <c r="H109" i="13"/>
  <c r="T109" i="13"/>
  <c r="C110" i="13"/>
  <c r="E110" i="13"/>
  <c r="F110" i="13"/>
  <c r="T110" i="13"/>
  <c r="D111" i="13"/>
  <c r="E111" i="13"/>
  <c r="G111" i="13"/>
  <c r="T111" i="13"/>
  <c r="F112" i="13"/>
  <c r="H112" i="13"/>
  <c r="T112" i="13"/>
  <c r="F113" i="13"/>
  <c r="G113" i="13"/>
  <c r="H113" i="13"/>
  <c r="T113" i="13"/>
  <c r="C114" i="13"/>
  <c r="D114" i="13"/>
  <c r="E114" i="13"/>
  <c r="H114" i="13"/>
  <c r="T114" i="13"/>
  <c r="D115" i="13"/>
  <c r="E115" i="13"/>
  <c r="G115" i="13"/>
  <c r="H115" i="13"/>
  <c r="T115" i="13"/>
  <c r="D116" i="13"/>
  <c r="F116" i="13"/>
  <c r="G116" i="13"/>
  <c r="T116" i="13"/>
  <c r="C117" i="13"/>
  <c r="D117" i="13"/>
  <c r="H117" i="13"/>
  <c r="T117" i="13"/>
  <c r="C118" i="13"/>
  <c r="E118" i="13"/>
  <c r="T118" i="13"/>
  <c r="D119" i="13"/>
  <c r="E119" i="13"/>
  <c r="G119" i="13"/>
  <c r="T119" i="13"/>
  <c r="G120" i="13"/>
  <c r="T120" i="13"/>
  <c r="C121" i="13"/>
  <c r="D121" i="13"/>
  <c r="F121" i="13"/>
  <c r="H121" i="13"/>
  <c r="T121" i="13"/>
  <c r="C122" i="13"/>
  <c r="E122" i="13"/>
  <c r="T122" i="13"/>
  <c r="D123" i="13"/>
  <c r="E123" i="13"/>
  <c r="G123" i="13"/>
  <c r="T123" i="13"/>
  <c r="D124" i="13"/>
  <c r="F124" i="13"/>
  <c r="G124" i="13"/>
  <c r="T124" i="13"/>
  <c r="C125" i="13"/>
  <c r="D125" i="13"/>
  <c r="H125" i="13"/>
  <c r="T125" i="13"/>
  <c r="C126" i="13"/>
  <c r="D126" i="13"/>
  <c r="E126" i="13"/>
  <c r="H126" i="13"/>
  <c r="T126" i="13"/>
  <c r="D127" i="13"/>
  <c r="E127" i="13"/>
  <c r="G127" i="13"/>
  <c r="H127" i="13"/>
  <c r="T127" i="13"/>
  <c r="D128" i="13"/>
  <c r="F128" i="13"/>
  <c r="G128" i="13"/>
  <c r="T128" i="13"/>
  <c r="C129" i="13"/>
  <c r="H129" i="13"/>
  <c r="T129" i="13"/>
  <c r="C130" i="13"/>
  <c r="E130" i="13"/>
  <c r="T130" i="13"/>
  <c r="D131" i="13"/>
  <c r="E131" i="13"/>
  <c r="G131" i="13"/>
  <c r="T131" i="13"/>
  <c r="F132" i="13"/>
  <c r="G132" i="13"/>
  <c r="T132" i="13"/>
  <c r="C133" i="13"/>
  <c r="D133" i="13"/>
  <c r="H133" i="13"/>
  <c r="T133" i="13"/>
  <c r="C134" i="13"/>
  <c r="D134" i="13"/>
  <c r="E134" i="13"/>
  <c r="F134" i="13"/>
  <c r="H134" i="13"/>
  <c r="T134" i="13"/>
  <c r="D135" i="13"/>
  <c r="E135" i="13"/>
  <c r="G135" i="13"/>
  <c r="H135" i="13"/>
  <c r="T135" i="13"/>
  <c r="D136" i="13"/>
  <c r="F136" i="13"/>
  <c r="G136" i="13"/>
  <c r="T136" i="13"/>
  <c r="C137" i="13"/>
  <c r="F137" i="13"/>
  <c r="H137" i="13"/>
  <c r="T137" i="13"/>
  <c r="C138" i="13"/>
  <c r="E138" i="13"/>
  <c r="T138" i="13"/>
  <c r="D139" i="13"/>
  <c r="E139" i="13"/>
  <c r="G139" i="13"/>
  <c r="T139" i="13"/>
  <c r="C140" i="13"/>
  <c r="G140" i="13"/>
  <c r="T140" i="13"/>
  <c r="C141" i="13"/>
  <c r="E141" i="13"/>
  <c r="H141" i="13"/>
  <c r="T141" i="13"/>
  <c r="C142" i="13"/>
  <c r="F142" i="13"/>
  <c r="G142" i="13"/>
  <c r="T142" i="13"/>
  <c r="D143" i="13"/>
  <c r="E143" i="13"/>
  <c r="T143" i="13"/>
  <c r="C144" i="13"/>
  <c r="F144" i="13"/>
  <c r="G144" i="13"/>
  <c r="T144" i="13"/>
  <c r="E145" i="13"/>
  <c r="T145" i="13"/>
  <c r="C146" i="13"/>
  <c r="G146" i="13"/>
  <c r="T146" i="13"/>
  <c r="D147" i="13"/>
  <c r="E147" i="13"/>
  <c r="T147" i="13"/>
  <c r="C148" i="13"/>
  <c r="F148" i="13"/>
  <c r="G148" i="13"/>
  <c r="T148" i="13"/>
  <c r="H149" i="13"/>
  <c r="T149" i="13"/>
  <c r="C150" i="13"/>
  <c r="F150" i="13"/>
  <c r="G150" i="13"/>
  <c r="H150" i="13"/>
  <c r="T150" i="13"/>
  <c r="E151" i="13"/>
  <c r="T151" i="13"/>
  <c r="C152" i="13"/>
  <c r="F152" i="13"/>
  <c r="G152" i="13"/>
  <c r="T152" i="13"/>
  <c r="E153" i="13"/>
  <c r="H153" i="13"/>
  <c r="T153" i="13"/>
  <c r="C154" i="13"/>
  <c r="F154" i="13"/>
  <c r="G154" i="13"/>
  <c r="T154" i="13"/>
  <c r="D155" i="13"/>
  <c r="E155" i="13"/>
  <c r="T155" i="13"/>
  <c r="C156" i="13"/>
  <c r="F156" i="13"/>
  <c r="G156" i="13"/>
  <c r="T156" i="13"/>
  <c r="E157" i="13"/>
  <c r="H157" i="13"/>
  <c r="T157" i="13"/>
  <c r="C158" i="13"/>
  <c r="D158" i="13"/>
  <c r="G158" i="13"/>
  <c r="H158" i="13"/>
  <c r="T158" i="13"/>
  <c r="D159" i="13"/>
  <c r="E159" i="13"/>
  <c r="T159" i="13"/>
  <c r="C160" i="13"/>
  <c r="D160" i="13"/>
  <c r="F160" i="13"/>
  <c r="G160" i="13"/>
  <c r="T160" i="13"/>
  <c r="C161" i="13"/>
  <c r="E161" i="13"/>
  <c r="H161" i="13"/>
  <c r="T161" i="13"/>
  <c r="C162" i="13"/>
  <c r="E162" i="13"/>
  <c r="G162" i="13"/>
  <c r="T162" i="13"/>
  <c r="D163" i="13"/>
  <c r="E163" i="13"/>
  <c r="G163" i="13"/>
  <c r="T163" i="13"/>
  <c r="C164" i="13"/>
  <c r="F164" i="13"/>
  <c r="G164" i="13"/>
  <c r="T164" i="13"/>
  <c r="C165" i="13"/>
  <c r="E165" i="13"/>
  <c r="H165" i="13"/>
  <c r="T165" i="13"/>
  <c r="C166" i="13"/>
  <c r="E166" i="13"/>
  <c r="G166" i="13"/>
  <c r="T166" i="13"/>
  <c r="D167" i="13"/>
  <c r="E167" i="13"/>
  <c r="G167" i="13"/>
  <c r="H167" i="13"/>
  <c r="T167" i="13"/>
  <c r="C168" i="13"/>
  <c r="F168" i="13"/>
  <c r="G168" i="13"/>
  <c r="T168" i="13"/>
  <c r="C169" i="13"/>
  <c r="E169" i="13"/>
  <c r="H169" i="13"/>
  <c r="T169" i="13"/>
  <c r="C170" i="13"/>
  <c r="E170" i="13"/>
  <c r="G170" i="13"/>
  <c r="T170" i="13"/>
  <c r="D171" i="13"/>
  <c r="E171" i="13"/>
  <c r="G171" i="13"/>
  <c r="T171" i="13"/>
  <c r="C172" i="13"/>
  <c r="G172" i="13"/>
  <c r="T172" i="13"/>
  <c r="C173" i="13"/>
  <c r="E173" i="13"/>
  <c r="H173" i="13"/>
  <c r="T173" i="13"/>
  <c r="C174" i="13"/>
  <c r="E174" i="13"/>
  <c r="G174" i="13"/>
  <c r="T174" i="13"/>
  <c r="D175" i="13"/>
  <c r="E175" i="13"/>
  <c r="G175" i="13"/>
  <c r="T175" i="13"/>
  <c r="C176" i="13"/>
  <c r="G176" i="13"/>
  <c r="T176" i="13"/>
  <c r="C177" i="13"/>
  <c r="E177" i="13"/>
  <c r="H177" i="13"/>
  <c r="T177" i="13"/>
  <c r="C178" i="13"/>
  <c r="E178" i="13"/>
  <c r="G178" i="13"/>
  <c r="T178" i="13"/>
  <c r="D179" i="13"/>
  <c r="E179" i="13"/>
  <c r="T179" i="13"/>
  <c r="F180" i="13"/>
  <c r="G180" i="13"/>
  <c r="T180" i="13"/>
  <c r="C181" i="13"/>
  <c r="D181" i="13"/>
  <c r="E181" i="13"/>
  <c r="F181" i="13"/>
  <c r="H181" i="13"/>
  <c r="T181" i="13"/>
  <c r="C182" i="13"/>
  <c r="E182" i="13"/>
  <c r="G182" i="13"/>
  <c r="T182" i="13"/>
  <c r="D183" i="13"/>
  <c r="E183" i="13"/>
  <c r="G183" i="13"/>
  <c r="T183" i="13"/>
  <c r="C184" i="13"/>
  <c r="F184" i="13"/>
  <c r="G184" i="13"/>
  <c r="T184" i="13"/>
  <c r="C185" i="13"/>
  <c r="D185" i="13"/>
  <c r="E185" i="13"/>
  <c r="H185" i="13"/>
  <c r="T185" i="13"/>
  <c r="C186" i="13"/>
  <c r="E186" i="13"/>
  <c r="G186" i="13"/>
  <c r="T186" i="13"/>
  <c r="D187" i="13"/>
  <c r="E187" i="13"/>
  <c r="G187" i="13"/>
  <c r="T187" i="13"/>
  <c r="C188" i="13"/>
  <c r="G188" i="13"/>
  <c r="T188" i="13"/>
  <c r="C189" i="13"/>
  <c r="E189" i="13"/>
  <c r="H189" i="13"/>
  <c r="T189" i="13"/>
  <c r="C190" i="13"/>
  <c r="E190" i="13"/>
  <c r="G190" i="13"/>
  <c r="T190" i="13"/>
  <c r="D191" i="13"/>
  <c r="E191" i="13"/>
  <c r="T191" i="13"/>
  <c r="C192" i="13"/>
  <c r="F192" i="13"/>
  <c r="G192" i="13"/>
  <c r="T192" i="13"/>
  <c r="C193" i="13"/>
  <c r="E193" i="13"/>
  <c r="H193" i="13"/>
  <c r="T193" i="13"/>
  <c r="C194" i="13"/>
  <c r="E194" i="13"/>
  <c r="G194" i="13"/>
  <c r="H194" i="13"/>
  <c r="T194" i="13"/>
  <c r="D195" i="13"/>
  <c r="E195" i="13"/>
  <c r="G195" i="13"/>
  <c r="T195" i="13"/>
  <c r="C196" i="13"/>
  <c r="D196" i="13"/>
  <c r="F196" i="13"/>
  <c r="G196" i="13"/>
  <c r="T196" i="13"/>
  <c r="C197" i="13"/>
  <c r="E197" i="13"/>
  <c r="H197" i="13"/>
  <c r="T197" i="13"/>
  <c r="C198" i="13"/>
  <c r="E198" i="13"/>
  <c r="F198" i="13"/>
  <c r="G198" i="13"/>
  <c r="T198" i="13"/>
  <c r="C199" i="13"/>
  <c r="D199" i="13"/>
  <c r="E199" i="13"/>
  <c r="G199" i="13"/>
  <c r="T199" i="13"/>
  <c r="C200" i="13"/>
  <c r="D200" i="13"/>
  <c r="F200" i="13"/>
  <c r="G200" i="13"/>
  <c r="T200" i="13"/>
  <c r="C201" i="13"/>
  <c r="E201" i="13"/>
  <c r="H201" i="13"/>
  <c r="T201" i="13"/>
  <c r="C202" i="13"/>
  <c r="E202" i="13"/>
  <c r="G202" i="13"/>
  <c r="T202" i="13"/>
  <c r="D203" i="13"/>
  <c r="E203" i="13"/>
  <c r="G203" i="13"/>
  <c r="T203" i="13"/>
  <c r="C204" i="13"/>
  <c r="F204" i="13"/>
  <c r="G204" i="13"/>
  <c r="T204" i="13"/>
  <c r="C205" i="13"/>
  <c r="D205" i="13"/>
  <c r="E205" i="13"/>
  <c r="H205" i="13"/>
  <c r="T205" i="13"/>
  <c r="C206" i="13"/>
  <c r="E206" i="13"/>
  <c r="F206" i="13"/>
  <c r="G206" i="13"/>
  <c r="T206" i="13"/>
  <c r="D207" i="13"/>
  <c r="E207" i="13"/>
  <c r="G207" i="13"/>
  <c r="T207" i="13"/>
  <c r="C208" i="13"/>
  <c r="F208" i="13"/>
  <c r="G208" i="13"/>
  <c r="T208" i="13"/>
  <c r="C209" i="13"/>
  <c r="E209" i="13"/>
  <c r="H209" i="13"/>
  <c r="T209" i="13"/>
  <c r="C210" i="13"/>
  <c r="E210" i="13"/>
  <c r="G210" i="13"/>
  <c r="T210" i="13"/>
  <c r="D211" i="13"/>
  <c r="E211" i="13"/>
  <c r="G211" i="13"/>
  <c r="T211" i="13"/>
  <c r="C212" i="13"/>
  <c r="F212" i="13"/>
  <c r="G212" i="13"/>
  <c r="T212" i="13"/>
  <c r="C213" i="13"/>
  <c r="E213" i="13"/>
  <c r="H213" i="13"/>
  <c r="T213" i="13"/>
  <c r="C214" i="13"/>
  <c r="E214" i="13"/>
  <c r="G214" i="13"/>
  <c r="H214" i="13"/>
  <c r="T214" i="13"/>
  <c r="D215" i="13"/>
  <c r="E215" i="13"/>
  <c r="G215" i="13"/>
  <c r="T215" i="13"/>
  <c r="C216" i="13"/>
  <c r="F216" i="13"/>
  <c r="G216" i="13"/>
  <c r="T216" i="13"/>
  <c r="C217" i="13"/>
  <c r="E217" i="13"/>
  <c r="F217" i="13"/>
  <c r="T217" i="13"/>
  <c r="C218" i="13"/>
  <c r="E218" i="13"/>
  <c r="G218" i="13"/>
  <c r="T218" i="13"/>
  <c r="E219" i="13"/>
  <c r="G219" i="13"/>
  <c r="T219" i="13"/>
  <c r="C220" i="13"/>
  <c r="G220" i="13"/>
  <c r="T220" i="13"/>
  <c r="C221" i="13"/>
  <c r="E221" i="13"/>
  <c r="T221" i="13"/>
  <c r="E222" i="13"/>
  <c r="G222" i="13"/>
  <c r="T222" i="13"/>
  <c r="C223" i="13"/>
  <c r="G223" i="13"/>
  <c r="T223" i="13"/>
  <c r="C224" i="13"/>
  <c r="E224" i="13"/>
  <c r="F224" i="13"/>
  <c r="T224" i="13"/>
  <c r="C225" i="13"/>
  <c r="E225" i="13"/>
  <c r="G225" i="13"/>
  <c r="T225" i="13"/>
  <c r="E226" i="13"/>
  <c r="G226" i="13"/>
  <c r="T226" i="13"/>
  <c r="D227" i="13"/>
  <c r="G227" i="13"/>
  <c r="T227" i="13"/>
  <c r="C228" i="13"/>
  <c r="T228" i="13"/>
  <c r="C229" i="13"/>
  <c r="E229" i="13"/>
  <c r="T229" i="13"/>
  <c r="E230" i="13"/>
  <c r="G230" i="13"/>
  <c r="T230" i="13"/>
  <c r="D231" i="13"/>
  <c r="G231" i="13"/>
  <c r="T231" i="13"/>
  <c r="C232" i="13"/>
  <c r="T232" i="13"/>
  <c r="C233" i="13"/>
  <c r="E233" i="13"/>
  <c r="G233" i="13"/>
  <c r="T233" i="13"/>
  <c r="C234" i="13"/>
  <c r="E234" i="13"/>
  <c r="G234" i="13"/>
  <c r="T234" i="13"/>
  <c r="C235" i="13"/>
  <c r="E235" i="13"/>
  <c r="G235" i="13"/>
  <c r="T235" i="13"/>
  <c r="D236" i="13"/>
  <c r="G236" i="13"/>
  <c r="T236" i="13"/>
  <c r="C237" i="13"/>
  <c r="F237" i="13"/>
  <c r="T237" i="13"/>
  <c r="C238" i="13"/>
  <c r="H238" i="13"/>
  <c r="T238" i="13"/>
  <c r="D239" i="13"/>
  <c r="E239" i="13"/>
  <c r="F239" i="13"/>
  <c r="T239" i="13"/>
  <c r="F240" i="13"/>
  <c r="G240" i="13"/>
  <c r="H240" i="13"/>
  <c r="T240" i="13"/>
  <c r="H241" i="13"/>
  <c r="T241" i="13"/>
  <c r="C242" i="13"/>
  <c r="H242" i="13"/>
  <c r="T242" i="13"/>
  <c r="D243" i="13"/>
  <c r="E243" i="13"/>
  <c r="G243" i="13"/>
  <c r="T243" i="13"/>
  <c r="D244" i="13"/>
  <c r="G244" i="13"/>
  <c r="T244" i="13"/>
  <c r="C245" i="13"/>
  <c r="H245" i="13"/>
  <c r="T245" i="13"/>
  <c r="C246" i="13"/>
  <c r="H246" i="13"/>
  <c r="T246" i="13"/>
  <c r="D247" i="13"/>
  <c r="E247" i="13"/>
  <c r="G247" i="13"/>
  <c r="T247" i="13"/>
  <c r="F248" i="13"/>
  <c r="G248" i="13"/>
  <c r="T248" i="13"/>
  <c r="C249" i="13"/>
  <c r="H249" i="13"/>
  <c r="T249" i="13"/>
  <c r="C250" i="13"/>
  <c r="H250" i="13"/>
  <c r="T250" i="13"/>
  <c r="D251" i="13"/>
  <c r="E251" i="13"/>
  <c r="G251" i="13"/>
  <c r="T251" i="13"/>
  <c r="D252" i="13"/>
  <c r="G252" i="13"/>
  <c r="T252" i="13"/>
  <c r="C253" i="13"/>
  <c r="H253" i="13"/>
  <c r="T253" i="13"/>
  <c r="C254" i="13"/>
  <c r="E254" i="13"/>
  <c r="T254" i="13"/>
  <c r="E255" i="13"/>
  <c r="T255" i="13"/>
  <c r="E256" i="13"/>
  <c r="F256" i="13"/>
  <c r="G256" i="13"/>
  <c r="T256" i="13"/>
  <c r="F257" i="13"/>
  <c r="G257" i="13"/>
  <c r="T257" i="13"/>
  <c r="C258" i="13"/>
  <c r="D258" i="13"/>
  <c r="T258" i="13"/>
  <c r="E259" i="13"/>
  <c r="T259" i="13"/>
  <c r="E260" i="13"/>
  <c r="G260" i="13"/>
  <c r="T260" i="13"/>
  <c r="F261" i="13"/>
  <c r="G261" i="13"/>
  <c r="H261" i="13"/>
  <c r="T261" i="13"/>
  <c r="C262" i="13"/>
  <c r="T262" i="13"/>
  <c r="C263" i="13"/>
  <c r="E263" i="13"/>
  <c r="T263" i="13"/>
  <c r="G264" i="13"/>
  <c r="T264" i="13"/>
  <c r="F265" i="13"/>
  <c r="T265" i="13"/>
  <c r="C266" i="13"/>
  <c r="F266" i="13"/>
  <c r="T266" i="13"/>
  <c r="D267" i="13"/>
  <c r="E267" i="13"/>
  <c r="T267" i="13"/>
  <c r="E268" i="13"/>
  <c r="F268" i="13"/>
  <c r="G268" i="13"/>
  <c r="H268" i="13"/>
  <c r="T268" i="13"/>
  <c r="G269" i="13"/>
  <c r="T269" i="13"/>
  <c r="C270" i="13"/>
  <c r="D270" i="13"/>
  <c r="T270" i="13"/>
  <c r="C271" i="13"/>
  <c r="D271" i="13"/>
  <c r="E271" i="13"/>
  <c r="F271" i="13"/>
  <c r="G271" i="13"/>
  <c r="H271" i="13"/>
  <c r="T271" i="13"/>
  <c r="F272" i="13"/>
  <c r="G272" i="13"/>
  <c r="H272" i="13"/>
  <c r="T272" i="13"/>
  <c r="C273" i="13"/>
  <c r="H273" i="13"/>
  <c r="T273" i="13"/>
  <c r="C274" i="13"/>
  <c r="E274" i="13"/>
  <c r="T274" i="13"/>
  <c r="C275" i="13"/>
  <c r="E275" i="13"/>
  <c r="G275" i="13"/>
  <c r="T275" i="13"/>
  <c r="G276" i="13"/>
  <c r="T276" i="13"/>
  <c r="C277" i="13"/>
  <c r="D277" i="13"/>
  <c r="T277" i="13"/>
  <c r="C278" i="13"/>
  <c r="D278" i="13"/>
  <c r="E278" i="13"/>
  <c r="T278" i="13"/>
  <c r="E279" i="13"/>
  <c r="T279" i="13"/>
  <c r="D280" i="13"/>
  <c r="G280" i="13"/>
  <c r="T280" i="13"/>
  <c r="C281" i="13"/>
  <c r="F281" i="13"/>
  <c r="T281" i="13"/>
  <c r="C282" i="13"/>
  <c r="D282" i="13"/>
  <c r="E282" i="13"/>
  <c r="H282" i="13"/>
  <c r="T282" i="13"/>
  <c r="C283" i="13"/>
  <c r="E283" i="13"/>
  <c r="G283" i="13"/>
  <c r="T283" i="13"/>
  <c r="E284" i="13"/>
  <c r="G284" i="13"/>
  <c r="T284" i="13"/>
  <c r="F285" i="13"/>
  <c r="G285" i="13"/>
  <c r="H285" i="13"/>
  <c r="T285" i="13"/>
  <c r="C286" i="13"/>
  <c r="H286" i="13"/>
  <c r="T286" i="13"/>
  <c r="D287" i="13"/>
  <c r="E287" i="13"/>
  <c r="T287" i="13"/>
  <c r="F288" i="13"/>
  <c r="G288" i="13"/>
  <c r="T288" i="13"/>
  <c r="T289" i="13"/>
  <c r="E290" i="13"/>
  <c r="G290" i="13"/>
  <c r="T290" i="13"/>
  <c r="C291" i="13"/>
  <c r="G291" i="13"/>
  <c r="T291" i="13"/>
  <c r="C292" i="13"/>
  <c r="E292" i="13"/>
  <c r="T292" i="13"/>
  <c r="C293" i="13"/>
  <c r="E293" i="13"/>
  <c r="G293" i="13"/>
  <c r="T293" i="13"/>
  <c r="E294" i="13"/>
  <c r="G294" i="13"/>
  <c r="T294" i="13"/>
  <c r="C295" i="13"/>
  <c r="G295" i="13"/>
  <c r="T295" i="13"/>
  <c r="C296" i="13"/>
  <c r="E296" i="13"/>
  <c r="T296" i="13"/>
  <c r="C297" i="13"/>
  <c r="E297" i="13"/>
  <c r="F297" i="13"/>
  <c r="G297" i="13"/>
  <c r="T297" i="13"/>
  <c r="E298" i="13"/>
  <c r="G298" i="13"/>
  <c r="T298" i="13"/>
  <c r="C299" i="13"/>
  <c r="G299" i="13"/>
  <c r="T299" i="13"/>
  <c r="C300" i="13"/>
  <c r="E300" i="13"/>
  <c r="T300" i="13"/>
  <c r="C301" i="13"/>
  <c r="E301" i="13"/>
  <c r="G301" i="13"/>
  <c r="T301" i="13"/>
  <c r="E302" i="13"/>
  <c r="G302" i="13"/>
  <c r="T302" i="13"/>
  <c r="C303" i="13"/>
  <c r="F303" i="13"/>
  <c r="G303" i="13"/>
  <c r="T303" i="13"/>
  <c r="C304" i="13"/>
  <c r="D304" i="13"/>
  <c r="E304" i="13"/>
  <c r="H304" i="13"/>
  <c r="T304" i="13"/>
  <c r="C305" i="13"/>
  <c r="E305" i="13"/>
  <c r="F305" i="13"/>
  <c r="G305" i="13"/>
  <c r="T305" i="13"/>
  <c r="C306" i="13"/>
  <c r="D306" i="13"/>
  <c r="E306" i="13"/>
  <c r="G306" i="13"/>
  <c r="T306" i="13"/>
  <c r="C307" i="13"/>
  <c r="D307" i="13"/>
  <c r="E307" i="13"/>
  <c r="F307" i="13"/>
  <c r="G307" i="13"/>
  <c r="T307" i="13"/>
  <c r="C308" i="13"/>
  <c r="D308" i="13"/>
  <c r="E308" i="13"/>
  <c r="F308" i="13"/>
  <c r="G308" i="13"/>
  <c r="H308" i="13"/>
  <c r="T308" i="13"/>
  <c r="C309" i="13"/>
  <c r="G309" i="13"/>
  <c r="T309" i="13"/>
  <c r="C310" i="13"/>
  <c r="E310" i="13"/>
  <c r="G310" i="13"/>
  <c r="T310" i="13"/>
  <c r="C311" i="13"/>
  <c r="E311" i="13"/>
  <c r="G311" i="13"/>
  <c r="T311" i="13"/>
  <c r="C312" i="13"/>
  <c r="D312" i="13"/>
  <c r="E312" i="13"/>
  <c r="G312" i="13"/>
  <c r="T312" i="13"/>
  <c r="E313" i="13"/>
  <c r="G313" i="13"/>
  <c r="T313" i="13"/>
  <c r="G314" i="13"/>
  <c r="H314" i="13"/>
  <c r="T314" i="13"/>
  <c r="C315" i="13"/>
  <c r="T315" i="13"/>
  <c r="C316" i="13"/>
  <c r="E316" i="13"/>
  <c r="T316" i="13"/>
  <c r="G317" i="13"/>
  <c r="T317" i="13"/>
  <c r="C318" i="13"/>
  <c r="G318" i="13"/>
  <c r="H318" i="13"/>
  <c r="T318" i="13"/>
  <c r="C319" i="13"/>
  <c r="E319" i="13"/>
  <c r="F319" i="13"/>
  <c r="T319" i="13"/>
  <c r="C320" i="13"/>
  <c r="E320" i="13"/>
  <c r="G320" i="13"/>
  <c r="H320" i="13"/>
  <c r="T320" i="13"/>
  <c r="E321" i="13"/>
  <c r="G321" i="13"/>
  <c r="T321" i="13"/>
  <c r="C322" i="13"/>
  <c r="G322" i="13"/>
  <c r="H322" i="13"/>
  <c r="T322" i="13"/>
  <c r="C323" i="13"/>
  <c r="T323" i="13"/>
  <c r="C324" i="13"/>
  <c r="E324" i="13"/>
  <c r="T324" i="13"/>
  <c r="E325" i="13"/>
  <c r="G325" i="13"/>
  <c r="T325" i="13"/>
  <c r="G326" i="13"/>
  <c r="T326" i="13"/>
  <c r="T327" i="13"/>
  <c r="C328" i="13"/>
  <c r="E328" i="13"/>
  <c r="T328" i="13"/>
  <c r="E329" i="13"/>
  <c r="G329" i="13"/>
  <c r="T329" i="13"/>
  <c r="D330" i="13"/>
  <c r="G330" i="13"/>
  <c r="T330" i="13"/>
  <c r="C331" i="13"/>
  <c r="T331" i="13"/>
  <c r="C332" i="13"/>
  <c r="E332" i="13"/>
  <c r="T332" i="13"/>
  <c r="E333" i="13"/>
  <c r="G333" i="13"/>
  <c r="T333" i="13"/>
  <c r="G334" i="13"/>
  <c r="T334" i="13"/>
  <c r="C335" i="13"/>
  <c r="T335" i="13"/>
  <c r="C336" i="13"/>
  <c r="D336" i="13"/>
  <c r="E336" i="13"/>
  <c r="F336" i="13"/>
  <c r="T336" i="13"/>
  <c r="C337" i="13"/>
  <c r="E337" i="13"/>
  <c r="F337" i="13"/>
  <c r="G337" i="13"/>
  <c r="H337" i="13"/>
  <c r="T337" i="13"/>
  <c r="E338" i="13"/>
  <c r="G338" i="13"/>
  <c r="H338" i="13"/>
  <c r="T338" i="13"/>
  <c r="C339" i="13"/>
  <c r="E339" i="13"/>
  <c r="G339" i="13"/>
  <c r="T339" i="13"/>
  <c r="C340" i="13"/>
  <c r="D340" i="13"/>
  <c r="E340" i="13"/>
  <c r="T340" i="13"/>
  <c r="C341" i="13"/>
  <c r="E341" i="13"/>
  <c r="G341" i="13"/>
  <c r="T341" i="13"/>
  <c r="E342" i="13"/>
  <c r="G342" i="13"/>
  <c r="T342" i="13"/>
  <c r="C343" i="13"/>
  <c r="G343" i="13"/>
  <c r="T343" i="13"/>
  <c r="C344" i="13"/>
  <c r="D344" i="13"/>
  <c r="E344" i="13"/>
  <c r="T344" i="13"/>
  <c r="C345" i="13"/>
  <c r="E345" i="13"/>
  <c r="G345" i="13"/>
  <c r="T345" i="13"/>
  <c r="E346" i="13"/>
  <c r="G346" i="13"/>
  <c r="T346" i="13"/>
  <c r="C347" i="13"/>
  <c r="G347" i="13"/>
  <c r="T347" i="13"/>
  <c r="C348" i="13"/>
  <c r="E348" i="13"/>
  <c r="T348" i="13"/>
  <c r="C349" i="13"/>
  <c r="E349" i="13"/>
  <c r="G349" i="13"/>
  <c r="T349" i="13"/>
  <c r="E350" i="13"/>
  <c r="G350" i="13"/>
  <c r="T350" i="13"/>
  <c r="C351" i="13"/>
  <c r="G351" i="13"/>
  <c r="T351" i="13"/>
  <c r="C352" i="13"/>
  <c r="E352" i="13"/>
  <c r="T352" i="13"/>
  <c r="C353" i="13"/>
  <c r="E353" i="13"/>
  <c r="G353" i="13"/>
  <c r="T353" i="13"/>
  <c r="E354" i="13"/>
  <c r="G354" i="13"/>
  <c r="H354" i="13"/>
  <c r="T354" i="13"/>
  <c r="C355" i="13"/>
  <c r="E355" i="13"/>
  <c r="G355" i="13"/>
  <c r="T355" i="13"/>
  <c r="C356" i="13"/>
  <c r="E356" i="13"/>
  <c r="T356" i="13"/>
  <c r="C357" i="13"/>
  <c r="E357" i="13"/>
  <c r="G357" i="13"/>
  <c r="T357" i="13"/>
  <c r="C358" i="13"/>
  <c r="E358" i="13"/>
  <c r="G358" i="13"/>
  <c r="T358" i="13"/>
  <c r="C359" i="13"/>
  <c r="E359" i="13"/>
  <c r="G359" i="13"/>
  <c r="T359" i="13"/>
  <c r="C360" i="13"/>
  <c r="E360" i="13"/>
  <c r="G360" i="13"/>
  <c r="T360" i="13"/>
  <c r="C361" i="13"/>
  <c r="E361" i="13"/>
  <c r="G361" i="13"/>
  <c r="T361" i="13"/>
  <c r="G362" i="13"/>
  <c r="T362" i="13"/>
  <c r="C363" i="13"/>
  <c r="G363" i="13"/>
  <c r="T363" i="13"/>
  <c r="C364" i="13"/>
  <c r="E364" i="13"/>
  <c r="T364" i="13"/>
  <c r="C365" i="13"/>
  <c r="E365" i="13"/>
  <c r="G365" i="13"/>
  <c r="T365" i="13"/>
  <c r="E366" i="13"/>
  <c r="G366" i="13"/>
  <c r="H366" i="13"/>
  <c r="T366" i="13"/>
  <c r="C367" i="13"/>
  <c r="G367" i="13"/>
  <c r="T367" i="13"/>
  <c r="C368" i="13"/>
  <c r="D368" i="13"/>
  <c r="E368" i="13"/>
  <c r="T368" i="13"/>
  <c r="C369" i="13"/>
  <c r="E369" i="13"/>
  <c r="G369" i="13"/>
  <c r="T369" i="13"/>
  <c r="E370" i="13"/>
  <c r="T370" i="13"/>
  <c r="C371" i="13"/>
  <c r="G371" i="13"/>
  <c r="T371" i="13"/>
  <c r="C372" i="13"/>
  <c r="E372" i="13"/>
  <c r="T372" i="13"/>
  <c r="C373" i="13"/>
  <c r="E373" i="13"/>
  <c r="F373" i="13"/>
  <c r="G373" i="13"/>
  <c r="T373" i="13"/>
  <c r="E374" i="13"/>
  <c r="G374" i="13"/>
  <c r="T374" i="13"/>
  <c r="C375" i="13"/>
  <c r="G375" i="13"/>
  <c r="T375" i="13"/>
  <c r="C376" i="13"/>
  <c r="E376" i="13"/>
  <c r="T376" i="13"/>
  <c r="C377" i="13"/>
  <c r="G377" i="13"/>
  <c r="T377" i="13"/>
  <c r="E378" i="13"/>
  <c r="G378" i="13"/>
  <c r="T378" i="13"/>
  <c r="C379" i="13"/>
  <c r="G379" i="13"/>
  <c r="T379" i="13"/>
  <c r="C380" i="13"/>
  <c r="E380" i="13"/>
  <c r="T380" i="13"/>
  <c r="C381" i="13"/>
  <c r="E381" i="13"/>
  <c r="G381" i="13"/>
  <c r="T381" i="13"/>
  <c r="E382" i="13"/>
  <c r="G382" i="13"/>
  <c r="T382" i="13"/>
  <c r="G383" i="13"/>
  <c r="T383" i="13"/>
  <c r="C384" i="13"/>
  <c r="D384" i="13"/>
  <c r="T384" i="13"/>
  <c r="C385" i="13"/>
  <c r="E385" i="13"/>
  <c r="T385" i="13"/>
  <c r="E386" i="13"/>
  <c r="G386" i="13"/>
  <c r="T386" i="13"/>
  <c r="G387" i="13"/>
  <c r="T387" i="13"/>
  <c r="C388" i="13"/>
  <c r="T388" i="13"/>
  <c r="C389" i="13"/>
  <c r="E389" i="13"/>
  <c r="T389" i="13"/>
  <c r="E390" i="13"/>
  <c r="G390" i="13"/>
  <c r="T390" i="13"/>
  <c r="F391" i="13"/>
  <c r="G391" i="13"/>
  <c r="T391" i="13"/>
  <c r="C392" i="13"/>
  <c r="T392" i="13"/>
  <c r="C393" i="13"/>
  <c r="E393" i="13"/>
  <c r="H393" i="13"/>
  <c r="T393" i="13"/>
  <c r="D394" i="13"/>
  <c r="E394" i="13"/>
  <c r="G394" i="13"/>
  <c r="T394" i="13"/>
  <c r="D395" i="13"/>
  <c r="E395" i="13"/>
  <c r="G395" i="13"/>
  <c r="T395" i="13"/>
  <c r="C396" i="13"/>
  <c r="T396" i="13"/>
  <c r="C397" i="13"/>
  <c r="E397" i="13"/>
  <c r="T397" i="13"/>
  <c r="C398" i="13"/>
  <c r="E398" i="13"/>
  <c r="G398" i="13"/>
  <c r="H398" i="13"/>
  <c r="T398" i="13"/>
  <c r="G399" i="13"/>
  <c r="T399" i="13"/>
  <c r="C400" i="13"/>
  <c r="T400" i="13"/>
  <c r="C401" i="13"/>
  <c r="E401" i="13"/>
  <c r="F401" i="13"/>
  <c r="T401" i="13"/>
  <c r="E402" i="13"/>
  <c r="G402" i="13"/>
  <c r="H402" i="13"/>
  <c r="T402" i="13"/>
  <c r="G403" i="13"/>
  <c r="T403" i="13"/>
  <c r="C404" i="13"/>
  <c r="T404" i="13"/>
  <c r="C405" i="13"/>
  <c r="D405" i="13"/>
  <c r="E405" i="13"/>
  <c r="F405" i="13"/>
  <c r="G405" i="13"/>
  <c r="T405" i="13"/>
  <c r="E406" i="13"/>
  <c r="G406" i="13"/>
  <c r="T406" i="13"/>
  <c r="G407" i="13"/>
  <c r="T407" i="13"/>
  <c r="C408" i="13"/>
  <c r="D408" i="13"/>
  <c r="T408" i="13"/>
  <c r="C409" i="13"/>
  <c r="E409" i="13"/>
  <c r="G409" i="13"/>
  <c r="T409" i="13"/>
  <c r="E410" i="13"/>
  <c r="G410" i="13"/>
  <c r="H410" i="13"/>
  <c r="T410" i="13"/>
  <c r="G411" i="13"/>
  <c r="T411" i="13"/>
  <c r="C412" i="13"/>
  <c r="T412" i="13"/>
  <c r="E413" i="13"/>
  <c r="T413" i="13"/>
  <c r="E414" i="13"/>
  <c r="G414" i="13"/>
  <c r="H414" i="13"/>
  <c r="T414" i="13"/>
  <c r="T415" i="13"/>
  <c r="C416" i="13"/>
  <c r="D416" i="13"/>
  <c r="G416" i="13"/>
  <c r="T416" i="13"/>
  <c r="C417" i="13"/>
  <c r="E417" i="13"/>
  <c r="T417" i="13"/>
  <c r="C418" i="13"/>
  <c r="E418" i="13"/>
  <c r="G418" i="13"/>
  <c r="T418" i="13"/>
  <c r="G419" i="13"/>
  <c r="T419" i="13"/>
  <c r="C420" i="13"/>
  <c r="T420" i="13"/>
  <c r="C421" i="13"/>
  <c r="E421" i="13"/>
  <c r="T421" i="13"/>
  <c r="E422" i="13"/>
  <c r="G422" i="13"/>
  <c r="T422" i="13"/>
  <c r="C423" i="13"/>
  <c r="G423" i="13"/>
  <c r="T423" i="13"/>
  <c r="C424" i="13"/>
  <c r="E424" i="13"/>
  <c r="T424" i="13"/>
  <c r="C425" i="13"/>
  <c r="E425" i="13"/>
  <c r="G425" i="13"/>
  <c r="T425" i="13"/>
  <c r="E426" i="13"/>
  <c r="G426" i="13"/>
  <c r="T426" i="13"/>
  <c r="C427" i="13"/>
  <c r="G427" i="13"/>
  <c r="T427" i="13"/>
  <c r="C428" i="13"/>
  <c r="E428" i="13"/>
  <c r="T428" i="13"/>
  <c r="E429" i="13"/>
  <c r="G429" i="13"/>
  <c r="T429" i="13"/>
  <c r="C430" i="13"/>
  <c r="G430" i="13"/>
  <c r="H430" i="13"/>
  <c r="T430" i="13"/>
  <c r="C431" i="13"/>
  <c r="E431" i="13"/>
  <c r="G431" i="13"/>
  <c r="T431" i="13"/>
  <c r="C432" i="13"/>
  <c r="E432" i="13"/>
  <c r="T432" i="13"/>
  <c r="C433" i="13"/>
  <c r="E433" i="13"/>
  <c r="G433" i="13"/>
  <c r="T433" i="13"/>
  <c r="E434" i="13"/>
  <c r="G434" i="13"/>
  <c r="H434" i="13"/>
  <c r="T434" i="13"/>
  <c r="C435" i="13"/>
  <c r="G435" i="13"/>
  <c r="T435" i="13"/>
  <c r="C436" i="13"/>
  <c r="E436" i="13"/>
  <c r="T436" i="13"/>
  <c r="C437" i="13"/>
  <c r="E437" i="13"/>
  <c r="G437" i="13"/>
  <c r="T437" i="13"/>
  <c r="E438" i="13"/>
  <c r="G438" i="13"/>
  <c r="T438" i="13"/>
  <c r="C439" i="13"/>
  <c r="G439" i="13"/>
  <c r="T439" i="13"/>
  <c r="C440" i="13"/>
  <c r="E440" i="13"/>
  <c r="T440" i="13"/>
  <c r="C441" i="13"/>
  <c r="E441" i="13"/>
  <c r="G441" i="13"/>
  <c r="T441" i="13"/>
  <c r="E442" i="13"/>
  <c r="G442" i="13"/>
  <c r="T442" i="13"/>
  <c r="C443" i="13"/>
  <c r="G443" i="13"/>
  <c r="T443" i="13"/>
  <c r="C444" i="13"/>
  <c r="E444" i="13"/>
  <c r="T444" i="13"/>
  <c r="C445" i="13"/>
  <c r="E445" i="13"/>
  <c r="G445" i="13"/>
  <c r="T445" i="13"/>
  <c r="E446" i="13"/>
  <c r="G446" i="13"/>
  <c r="T446" i="13"/>
  <c r="C447" i="13"/>
  <c r="G447" i="13"/>
  <c r="T447" i="13"/>
  <c r="C448" i="13"/>
  <c r="E448" i="13"/>
  <c r="T448" i="13"/>
  <c r="C449" i="13"/>
  <c r="E449" i="13"/>
  <c r="G449" i="13"/>
  <c r="T449" i="13"/>
  <c r="E450" i="13"/>
  <c r="T450" i="13"/>
  <c r="C451" i="13"/>
  <c r="G451" i="13"/>
  <c r="T451" i="13"/>
  <c r="D452" i="13"/>
  <c r="E452" i="13"/>
  <c r="T452" i="13"/>
  <c r="C453" i="13"/>
  <c r="F453" i="13"/>
  <c r="G453" i="13"/>
  <c r="T453" i="13"/>
  <c r="E454" i="13"/>
  <c r="T454" i="13"/>
  <c r="C455" i="13"/>
  <c r="F455" i="13"/>
  <c r="G455" i="13"/>
  <c r="T455" i="13"/>
  <c r="E456" i="13"/>
  <c r="T456" i="13"/>
  <c r="C457" i="13"/>
  <c r="G457" i="13"/>
  <c r="T457" i="13"/>
  <c r="C458" i="13"/>
  <c r="E458" i="13"/>
  <c r="T458" i="13"/>
  <c r="C459" i="13"/>
  <c r="F459" i="13"/>
  <c r="G459" i="13"/>
  <c r="T459" i="13"/>
  <c r="H460" i="13"/>
  <c r="T460" i="13"/>
  <c r="C461" i="13"/>
  <c r="G461" i="13"/>
  <c r="H461" i="13"/>
  <c r="T461" i="13"/>
  <c r="D462" i="13"/>
  <c r="E462" i="13"/>
  <c r="H462" i="13"/>
  <c r="T462" i="13"/>
  <c r="C463" i="13"/>
  <c r="G463" i="13"/>
  <c r="T463" i="13"/>
  <c r="C464" i="13"/>
  <c r="D464" i="13"/>
  <c r="E464" i="13"/>
  <c r="T464" i="13"/>
  <c r="C465" i="13"/>
  <c r="F465" i="13"/>
  <c r="G465" i="13"/>
  <c r="T465" i="13"/>
  <c r="E466" i="13"/>
  <c r="G466" i="13"/>
  <c r="T466" i="13"/>
  <c r="C467" i="13"/>
  <c r="G467" i="13"/>
  <c r="T467" i="13"/>
  <c r="C468" i="13"/>
  <c r="E468" i="13"/>
  <c r="T468" i="13"/>
  <c r="C469" i="13"/>
  <c r="E469" i="13"/>
  <c r="G469" i="13"/>
  <c r="T469" i="13"/>
  <c r="E470" i="13"/>
  <c r="G470" i="13"/>
  <c r="T470" i="13"/>
  <c r="C471" i="13"/>
  <c r="G471" i="13"/>
  <c r="T471" i="13"/>
  <c r="C472" i="13"/>
  <c r="E472" i="13"/>
  <c r="H472" i="13"/>
  <c r="T472" i="13"/>
  <c r="E473" i="13"/>
  <c r="G473" i="13"/>
  <c r="T473" i="13"/>
  <c r="G474" i="13"/>
  <c r="T474" i="13"/>
  <c r="C475" i="13"/>
  <c r="T475" i="13"/>
  <c r="C476" i="13"/>
  <c r="D476" i="13"/>
  <c r="E476" i="13"/>
  <c r="H476" i="13"/>
  <c r="T476" i="13"/>
  <c r="E477" i="13"/>
  <c r="G477" i="13"/>
  <c r="T477" i="13"/>
  <c r="G478" i="13"/>
  <c r="T478" i="13"/>
  <c r="C479" i="13"/>
  <c r="T479" i="13"/>
  <c r="C480" i="13"/>
  <c r="D480" i="13"/>
  <c r="E480" i="13"/>
  <c r="H480" i="13"/>
  <c r="T480" i="13"/>
  <c r="C481" i="13"/>
  <c r="E481" i="13"/>
  <c r="F481" i="13"/>
  <c r="G481" i="13"/>
  <c r="T481" i="13"/>
  <c r="E482" i="13"/>
  <c r="G482" i="13"/>
  <c r="T482" i="13"/>
  <c r="C483" i="13"/>
  <c r="G483" i="13"/>
  <c r="T483" i="13"/>
  <c r="C484" i="13"/>
  <c r="E484" i="13"/>
  <c r="T484" i="13"/>
  <c r="C485" i="13"/>
  <c r="E485" i="13"/>
  <c r="G485" i="13"/>
  <c r="T485" i="13"/>
  <c r="G486" i="13"/>
  <c r="T486" i="13"/>
  <c r="C487" i="13"/>
  <c r="G487" i="13"/>
  <c r="T487" i="13"/>
  <c r="C488" i="13"/>
  <c r="E488" i="13"/>
  <c r="T488" i="13"/>
  <c r="C489" i="13"/>
  <c r="E489" i="13"/>
  <c r="G489" i="13"/>
  <c r="T489" i="13"/>
  <c r="E490" i="13"/>
  <c r="G490" i="13"/>
  <c r="T490" i="13"/>
  <c r="C491" i="13"/>
  <c r="T491" i="13"/>
  <c r="C492" i="13"/>
  <c r="E492" i="13"/>
  <c r="T492" i="13"/>
  <c r="C493" i="13"/>
  <c r="E493" i="13"/>
  <c r="G493" i="13"/>
  <c r="T493" i="13"/>
  <c r="D494" i="13"/>
  <c r="E494" i="13"/>
  <c r="G494" i="13"/>
  <c r="T494" i="13"/>
  <c r="C495" i="13"/>
  <c r="G495" i="13"/>
  <c r="T495" i="13"/>
  <c r="C496" i="13"/>
  <c r="E496" i="13"/>
  <c r="T496" i="13"/>
  <c r="C497" i="13"/>
  <c r="E497" i="13"/>
  <c r="G497" i="13"/>
  <c r="T497" i="13"/>
  <c r="G498" i="13"/>
  <c r="T498" i="13"/>
  <c r="C499" i="13"/>
  <c r="E499" i="13"/>
  <c r="T499" i="13"/>
  <c r="C500" i="13"/>
  <c r="E500" i="13"/>
  <c r="T500" i="13"/>
  <c r="C501" i="13"/>
  <c r="E501" i="13"/>
  <c r="G501" i="13"/>
  <c r="T501" i="13"/>
  <c r="C502" i="13"/>
  <c r="E502" i="13"/>
  <c r="G502" i="13"/>
  <c r="T502" i="13"/>
  <c r="G503" i="13"/>
  <c r="T503" i="13"/>
  <c r="E504" i="13"/>
  <c r="T504" i="13"/>
  <c r="C505" i="13"/>
  <c r="G505" i="13"/>
  <c r="T505" i="13"/>
  <c r="E506" i="13"/>
  <c r="T506" i="13"/>
  <c r="C507" i="13"/>
  <c r="G507" i="13"/>
  <c r="T507" i="13"/>
  <c r="E508" i="13"/>
  <c r="T508" i="13"/>
  <c r="C509" i="13"/>
  <c r="G509" i="13"/>
  <c r="T509" i="13"/>
  <c r="E510" i="13"/>
  <c r="H510" i="13"/>
  <c r="T510" i="13"/>
  <c r="C511" i="13"/>
  <c r="G511" i="13"/>
  <c r="T511" i="13"/>
  <c r="E512" i="13"/>
  <c r="G512" i="13"/>
  <c r="T512" i="13"/>
  <c r="C513" i="13"/>
  <c r="G513" i="13"/>
  <c r="T513" i="13"/>
  <c r="C514" i="13"/>
  <c r="E514" i="13"/>
  <c r="T514" i="13"/>
  <c r="C515" i="13"/>
  <c r="T515" i="13"/>
  <c r="C516" i="13"/>
  <c r="D516" i="13"/>
  <c r="E516" i="13"/>
  <c r="T516" i="13"/>
  <c r="E517" i="13"/>
  <c r="G517" i="13"/>
  <c r="T517" i="13"/>
  <c r="G518" i="13"/>
  <c r="T518" i="13"/>
  <c r="C519" i="13"/>
  <c r="T519" i="13"/>
  <c r="C520" i="13"/>
  <c r="D520" i="13"/>
  <c r="E520" i="13"/>
  <c r="H520" i="13"/>
  <c r="T520" i="13"/>
  <c r="C521" i="13"/>
  <c r="E521" i="13"/>
  <c r="F521" i="13"/>
  <c r="G521" i="13"/>
  <c r="T521" i="13"/>
  <c r="E522" i="13"/>
  <c r="G522" i="13"/>
  <c r="T522" i="13"/>
  <c r="C523" i="13"/>
  <c r="T523" i="13"/>
  <c r="C524" i="13"/>
  <c r="E524" i="13"/>
  <c r="T524" i="13"/>
  <c r="C525" i="13"/>
  <c r="E525" i="13"/>
  <c r="G525" i="13"/>
  <c r="T525" i="13"/>
  <c r="E526" i="13"/>
  <c r="G526" i="13"/>
  <c r="T526" i="13"/>
  <c r="C527" i="13"/>
  <c r="G527" i="13"/>
  <c r="T527" i="13"/>
  <c r="C528" i="13"/>
  <c r="E528" i="13"/>
  <c r="T528" i="13"/>
  <c r="C529" i="13"/>
  <c r="E529" i="13"/>
  <c r="G529" i="13"/>
  <c r="T529" i="13"/>
  <c r="C530" i="13"/>
  <c r="E530" i="13"/>
  <c r="G530" i="13"/>
  <c r="H530" i="13"/>
  <c r="T530" i="13"/>
  <c r="C531" i="13"/>
  <c r="E531" i="13"/>
  <c r="G531" i="13"/>
  <c r="T531" i="13"/>
  <c r="C532" i="13"/>
  <c r="E532" i="13"/>
  <c r="G532" i="13"/>
  <c r="T532" i="13"/>
  <c r="C533" i="13"/>
  <c r="E533" i="13"/>
  <c r="G533" i="13"/>
  <c r="T533" i="13"/>
  <c r="E534" i="13"/>
  <c r="F534" i="13"/>
  <c r="G534" i="13"/>
  <c r="H534" i="13"/>
  <c r="T534" i="13"/>
  <c r="C535" i="13"/>
  <c r="G535" i="13"/>
  <c r="T535" i="13"/>
  <c r="C536" i="13"/>
  <c r="D536" i="13"/>
  <c r="E536" i="13"/>
  <c r="T536" i="13"/>
  <c r="C537" i="13"/>
  <c r="E537" i="13"/>
  <c r="G537" i="13"/>
  <c r="T537" i="13"/>
  <c r="E538" i="13"/>
  <c r="F538" i="13"/>
  <c r="G538" i="13"/>
  <c r="H538" i="13"/>
  <c r="T538" i="13"/>
  <c r="C539" i="13"/>
  <c r="G539" i="13"/>
  <c r="T539" i="13"/>
  <c r="C540" i="13"/>
  <c r="E540" i="13"/>
  <c r="T540" i="13"/>
  <c r="C541" i="13"/>
  <c r="E541" i="13"/>
  <c r="G541" i="13"/>
  <c r="T541" i="13"/>
  <c r="E542" i="13"/>
  <c r="G542" i="13"/>
  <c r="T542" i="13"/>
  <c r="C543" i="13"/>
  <c r="G543" i="13"/>
  <c r="T543" i="13"/>
  <c r="C544" i="13"/>
  <c r="E544" i="13"/>
  <c r="T544" i="13"/>
  <c r="C545" i="13"/>
  <c r="E545" i="13"/>
  <c r="G545" i="13"/>
  <c r="T545" i="13"/>
  <c r="E546" i="13"/>
  <c r="G546" i="13"/>
  <c r="T546" i="13"/>
  <c r="C547" i="13"/>
  <c r="G547" i="13"/>
  <c r="T547" i="13"/>
  <c r="C548" i="13"/>
  <c r="E548" i="13"/>
  <c r="T548" i="13"/>
  <c r="C549" i="13"/>
  <c r="E549" i="13"/>
  <c r="G549" i="13"/>
  <c r="T549" i="13"/>
  <c r="E550" i="13"/>
  <c r="G550" i="13"/>
  <c r="H550" i="13"/>
  <c r="T550" i="13"/>
  <c r="C551" i="13"/>
  <c r="G551" i="13"/>
  <c r="T551" i="13"/>
  <c r="C552" i="13"/>
  <c r="D552" i="13"/>
  <c r="G552" i="13"/>
  <c r="H552" i="13"/>
  <c r="T552" i="13"/>
  <c r="C553" i="13"/>
  <c r="E553" i="13"/>
  <c r="T553" i="13"/>
  <c r="E554" i="13"/>
  <c r="G554" i="13"/>
  <c r="T554" i="13"/>
  <c r="G555" i="13"/>
  <c r="T555" i="13"/>
  <c r="C556" i="13"/>
  <c r="T556" i="13"/>
  <c r="C557" i="13"/>
  <c r="E557" i="13"/>
  <c r="F557" i="13"/>
  <c r="T557" i="13"/>
  <c r="E558" i="13"/>
  <c r="G558" i="13"/>
  <c r="T558" i="13"/>
  <c r="G559" i="13"/>
  <c r="T559" i="13"/>
  <c r="C560" i="13"/>
  <c r="T560" i="13"/>
  <c r="C561" i="13"/>
  <c r="E561" i="13"/>
  <c r="T561" i="13"/>
  <c r="E562" i="13"/>
  <c r="G562" i="13"/>
  <c r="T562" i="13"/>
  <c r="G563" i="13"/>
  <c r="T563" i="13"/>
  <c r="C564" i="13"/>
  <c r="D564" i="13"/>
  <c r="T564" i="13"/>
  <c r="C565" i="13"/>
  <c r="E565" i="13"/>
  <c r="F565" i="13"/>
  <c r="T565" i="13"/>
  <c r="E566" i="13"/>
  <c r="G566" i="13"/>
  <c r="H566" i="13"/>
  <c r="T566" i="13"/>
  <c r="E567" i="13"/>
  <c r="G567" i="13"/>
  <c r="T567" i="13"/>
  <c r="C568" i="13"/>
  <c r="G568" i="13"/>
  <c r="T568" i="13"/>
  <c r="C569" i="13"/>
  <c r="E569" i="13"/>
  <c r="H569" i="13"/>
  <c r="T569" i="13"/>
  <c r="C570" i="13"/>
  <c r="E570" i="13"/>
  <c r="T570" i="13"/>
  <c r="E571" i="13"/>
  <c r="F571" i="13"/>
  <c r="G571" i="13"/>
  <c r="H571" i="13"/>
  <c r="T571" i="13"/>
  <c r="G572" i="13"/>
  <c r="T572" i="13"/>
  <c r="C573" i="13"/>
  <c r="E573" i="13"/>
  <c r="T573" i="13"/>
  <c r="C574" i="13"/>
  <c r="E574" i="13"/>
  <c r="T574" i="13"/>
  <c r="E575" i="13"/>
  <c r="F575" i="13"/>
  <c r="G575" i="13"/>
  <c r="T575" i="13"/>
  <c r="G576" i="13"/>
  <c r="T576" i="13"/>
  <c r="C577" i="13"/>
  <c r="E577" i="13"/>
  <c r="F577" i="13"/>
  <c r="T577" i="13"/>
  <c r="C578" i="13"/>
  <c r="E578" i="13"/>
  <c r="G578" i="13"/>
  <c r="T578" i="13"/>
  <c r="E579" i="13"/>
  <c r="G579" i="13"/>
  <c r="T579" i="13"/>
  <c r="C580" i="13"/>
  <c r="D580" i="13"/>
  <c r="G580" i="13"/>
  <c r="T580" i="13"/>
  <c r="C581" i="13"/>
  <c r="E581" i="13"/>
  <c r="H581" i="13"/>
  <c r="T581" i="13"/>
  <c r="C582" i="13"/>
  <c r="E582" i="13"/>
  <c r="G582" i="13"/>
  <c r="T582" i="13"/>
  <c r="E583" i="13"/>
  <c r="T583" i="13"/>
  <c r="C584" i="13"/>
  <c r="G584" i="13"/>
  <c r="T584" i="13"/>
  <c r="C585" i="13"/>
  <c r="E585" i="13"/>
  <c r="T585" i="13"/>
  <c r="C586" i="13"/>
  <c r="E586" i="13"/>
  <c r="G586" i="13"/>
  <c r="T586" i="13"/>
  <c r="E587" i="13"/>
  <c r="G587" i="13"/>
  <c r="T587" i="13"/>
  <c r="C588" i="13"/>
  <c r="E588" i="13"/>
  <c r="G588" i="13"/>
  <c r="T588" i="13"/>
  <c r="C589" i="13"/>
  <c r="E589" i="13"/>
  <c r="G589" i="13"/>
  <c r="T589" i="13"/>
  <c r="C590" i="13"/>
  <c r="E590" i="13"/>
  <c r="G590" i="13"/>
  <c r="T590" i="13"/>
  <c r="E591" i="13"/>
  <c r="G591" i="13"/>
  <c r="T591" i="13"/>
  <c r="C592" i="13"/>
  <c r="H592" i="13"/>
  <c r="T592" i="13"/>
  <c r="C593" i="13"/>
  <c r="G593" i="13"/>
  <c r="T593" i="13"/>
  <c r="D594" i="13"/>
  <c r="E594" i="13"/>
  <c r="T594" i="13"/>
  <c r="E595" i="13"/>
  <c r="G595" i="13"/>
  <c r="T595" i="13"/>
  <c r="E596" i="13"/>
  <c r="G596" i="13"/>
  <c r="T596" i="13"/>
  <c r="C597" i="13"/>
  <c r="T597" i="13"/>
  <c r="C598" i="13"/>
  <c r="E598" i="13"/>
  <c r="T598" i="13"/>
  <c r="D599" i="13"/>
  <c r="E599" i="13"/>
  <c r="F599" i="13"/>
  <c r="G599" i="13"/>
  <c r="T599" i="13"/>
  <c r="E600" i="13"/>
  <c r="F600" i="13"/>
  <c r="G600" i="13"/>
  <c r="H600" i="13"/>
  <c r="T600" i="13"/>
  <c r="F601" i="13"/>
  <c r="H601" i="13"/>
  <c r="T601" i="13"/>
  <c r="C602" i="13"/>
  <c r="D602" i="13"/>
  <c r="H602" i="13"/>
  <c r="T602" i="13"/>
  <c r="D603" i="13"/>
  <c r="E603" i="13"/>
  <c r="F603" i="13"/>
  <c r="T603" i="13"/>
  <c r="D604" i="13"/>
  <c r="H604" i="13"/>
  <c r="T604" i="13"/>
  <c r="F605" i="13"/>
  <c r="T605" i="13"/>
  <c r="D606" i="13"/>
  <c r="H606" i="13"/>
  <c r="T606" i="13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D152" i="8"/>
  <c r="E152" i="8"/>
  <c r="D153" i="8"/>
  <c r="E153" i="8"/>
  <c r="D154" i="8"/>
  <c r="E154" i="8"/>
  <c r="D155" i="8"/>
  <c r="E155" i="8"/>
  <c r="D156" i="8"/>
  <c r="E156" i="8"/>
  <c r="D157" i="8"/>
  <c r="E157" i="8"/>
  <c r="D158" i="8"/>
  <c r="E158" i="8"/>
  <c r="D159" i="8"/>
  <c r="E159" i="8"/>
  <c r="D160" i="8"/>
  <c r="E160" i="8"/>
  <c r="D161" i="8"/>
  <c r="E161" i="8"/>
  <c r="D162" i="8"/>
  <c r="E162" i="8"/>
  <c r="D163" i="8"/>
  <c r="E163" i="8"/>
  <c r="D164" i="8"/>
  <c r="E164" i="8"/>
  <c r="D165" i="8"/>
  <c r="E165" i="8"/>
  <c r="D166" i="8"/>
  <c r="E166" i="8"/>
  <c r="D167" i="8"/>
  <c r="E167" i="8"/>
  <c r="D168" i="8"/>
  <c r="E168" i="8"/>
  <c r="D169" i="8"/>
  <c r="E169" i="8"/>
  <c r="D170" i="8"/>
  <c r="E170" i="8"/>
  <c r="D171" i="8"/>
  <c r="E171" i="8"/>
  <c r="D172" i="8"/>
  <c r="E172" i="8"/>
  <c r="D173" i="8"/>
  <c r="E173" i="8"/>
  <c r="D174" i="8"/>
  <c r="E174" i="8"/>
  <c r="D175" i="8"/>
  <c r="E175" i="8"/>
  <c r="D176" i="8"/>
  <c r="E176" i="8"/>
  <c r="D177" i="8"/>
  <c r="E177" i="8"/>
  <c r="D178" i="8"/>
  <c r="E178" i="8"/>
  <c r="D179" i="8"/>
  <c r="E179" i="8"/>
  <c r="D180" i="8"/>
  <c r="E180" i="8"/>
  <c r="D181" i="8"/>
  <c r="E181" i="8"/>
  <c r="D182" i="8"/>
  <c r="E182" i="8"/>
  <c r="D183" i="8"/>
  <c r="E183" i="8"/>
  <c r="D184" i="8"/>
  <c r="E184" i="8"/>
  <c r="D185" i="8"/>
  <c r="E185" i="8"/>
  <c r="D186" i="8"/>
  <c r="E186" i="8"/>
  <c r="D187" i="8"/>
  <c r="E187" i="8"/>
  <c r="D188" i="8"/>
  <c r="E188" i="8"/>
  <c r="D189" i="8"/>
  <c r="E189" i="8"/>
  <c r="D190" i="8"/>
  <c r="E190" i="8"/>
  <c r="D191" i="8"/>
  <c r="E191" i="8"/>
  <c r="D192" i="8"/>
  <c r="E192" i="8"/>
  <c r="D193" i="8"/>
  <c r="E193" i="8"/>
  <c r="D194" i="8"/>
  <c r="E194" i="8"/>
  <c r="D195" i="8"/>
  <c r="E195" i="8"/>
  <c r="D196" i="8"/>
  <c r="E196" i="8"/>
  <c r="D197" i="8"/>
  <c r="E197" i="8"/>
  <c r="D198" i="8"/>
  <c r="E198" i="8"/>
  <c r="D199" i="8"/>
  <c r="E199" i="8"/>
  <c r="D200" i="8"/>
  <c r="E200" i="8"/>
  <c r="D201" i="8"/>
  <c r="E201" i="8"/>
  <c r="D202" i="8"/>
  <c r="E202" i="8"/>
  <c r="D203" i="8"/>
  <c r="E203" i="8"/>
  <c r="D204" i="8"/>
  <c r="E204" i="8"/>
  <c r="D205" i="8"/>
  <c r="E205" i="8"/>
  <c r="D206" i="8"/>
  <c r="E206" i="8"/>
  <c r="D207" i="8"/>
  <c r="E207" i="8"/>
  <c r="D208" i="8"/>
  <c r="E208" i="8"/>
  <c r="D209" i="8"/>
  <c r="E209" i="8"/>
  <c r="D210" i="8"/>
  <c r="E210" i="8"/>
  <c r="D211" i="8"/>
  <c r="E211" i="8"/>
  <c r="D212" i="8"/>
  <c r="E212" i="8"/>
  <c r="D213" i="8"/>
  <c r="E213" i="8"/>
  <c r="D214" i="8"/>
  <c r="E214" i="8"/>
  <c r="D215" i="8"/>
  <c r="E215" i="8"/>
  <c r="D216" i="8"/>
  <c r="E216" i="8"/>
  <c r="D217" i="8"/>
  <c r="E217" i="8"/>
  <c r="D218" i="8"/>
  <c r="E218" i="8"/>
  <c r="D219" i="8"/>
  <c r="E219" i="8"/>
  <c r="D220" i="8"/>
  <c r="E220" i="8"/>
  <c r="D221" i="8"/>
  <c r="E221" i="8"/>
  <c r="D222" i="8"/>
  <c r="E222" i="8"/>
  <c r="D223" i="8"/>
  <c r="E223" i="8"/>
  <c r="D224" i="8"/>
  <c r="E224" i="8"/>
  <c r="D225" i="8"/>
  <c r="E225" i="8"/>
  <c r="D226" i="8"/>
  <c r="E226" i="8"/>
  <c r="D227" i="8"/>
  <c r="E227" i="8"/>
  <c r="D228" i="8"/>
  <c r="E228" i="8"/>
  <c r="D229" i="8"/>
  <c r="E229" i="8"/>
  <c r="D230" i="8"/>
  <c r="E230" i="8"/>
  <c r="D231" i="8"/>
  <c r="E231" i="8"/>
  <c r="D232" i="8"/>
  <c r="E232" i="8"/>
  <c r="D233" i="8"/>
  <c r="E233" i="8"/>
  <c r="D234" i="8"/>
  <c r="E234" i="8"/>
  <c r="D235" i="8"/>
  <c r="E235" i="8"/>
  <c r="D236" i="8"/>
  <c r="E236" i="8"/>
  <c r="D237" i="8"/>
  <c r="E237" i="8"/>
  <c r="D238" i="8"/>
  <c r="E238" i="8"/>
  <c r="D239" i="8"/>
  <c r="E239" i="8"/>
  <c r="D240" i="8"/>
  <c r="E240" i="8"/>
  <c r="D241" i="8"/>
  <c r="E241" i="8"/>
  <c r="D242" i="8"/>
  <c r="E242" i="8"/>
  <c r="D243" i="8"/>
  <c r="E243" i="8"/>
  <c r="D244" i="8"/>
  <c r="E244" i="8"/>
  <c r="D245" i="8"/>
  <c r="E245" i="8"/>
  <c r="D246" i="8"/>
  <c r="E246" i="8"/>
  <c r="D247" i="8"/>
  <c r="E247" i="8"/>
  <c r="D248" i="8"/>
  <c r="E248" i="8"/>
  <c r="D249" i="8"/>
  <c r="E249" i="8"/>
  <c r="D250" i="8"/>
  <c r="E250" i="8"/>
  <c r="D251" i="8"/>
  <c r="E251" i="8"/>
  <c r="D252" i="8"/>
  <c r="E252" i="8"/>
  <c r="D253" i="8"/>
  <c r="E253" i="8"/>
  <c r="D254" i="8"/>
  <c r="E254" i="8"/>
  <c r="D255" i="8"/>
  <c r="E255" i="8"/>
  <c r="D256" i="8"/>
  <c r="E256" i="8"/>
  <c r="D257" i="8"/>
  <c r="E257" i="8"/>
  <c r="D258" i="8"/>
  <c r="E258" i="8"/>
  <c r="D259" i="8"/>
  <c r="E259" i="8"/>
  <c r="D260" i="8"/>
  <c r="E260" i="8"/>
  <c r="D261" i="8"/>
  <c r="E261" i="8"/>
  <c r="D262" i="8"/>
  <c r="E262" i="8"/>
  <c r="D263" i="8"/>
  <c r="E263" i="8"/>
  <c r="D264" i="8"/>
  <c r="E264" i="8"/>
  <c r="D265" i="8"/>
  <c r="E265" i="8"/>
  <c r="D266" i="8"/>
  <c r="E266" i="8"/>
  <c r="D267" i="8"/>
  <c r="E267" i="8"/>
  <c r="D268" i="8"/>
  <c r="E268" i="8"/>
  <c r="D269" i="8"/>
  <c r="E269" i="8"/>
  <c r="D270" i="8"/>
  <c r="E270" i="8"/>
  <c r="D271" i="8"/>
  <c r="E271" i="8"/>
  <c r="D272" i="8"/>
  <c r="E272" i="8"/>
  <c r="D273" i="8"/>
  <c r="E273" i="8"/>
  <c r="D274" i="8"/>
  <c r="E274" i="8"/>
  <c r="D275" i="8"/>
  <c r="E275" i="8"/>
  <c r="D276" i="8"/>
  <c r="E276" i="8"/>
  <c r="D277" i="8"/>
  <c r="E277" i="8"/>
  <c r="D278" i="8"/>
  <c r="E278" i="8"/>
  <c r="D279" i="8"/>
  <c r="E279" i="8"/>
  <c r="D280" i="8"/>
  <c r="E280" i="8"/>
  <c r="D281" i="8"/>
  <c r="E281" i="8"/>
  <c r="D282" i="8"/>
  <c r="E282" i="8"/>
  <c r="D283" i="8"/>
  <c r="E283" i="8"/>
  <c r="D284" i="8"/>
  <c r="E284" i="8"/>
  <c r="D285" i="8"/>
  <c r="E285" i="8"/>
  <c r="D286" i="8"/>
  <c r="E286" i="8"/>
  <c r="D287" i="8"/>
  <c r="E287" i="8"/>
  <c r="D288" i="8"/>
  <c r="E288" i="8"/>
  <c r="D289" i="8"/>
  <c r="E289" i="8"/>
  <c r="D290" i="8"/>
  <c r="E290" i="8"/>
  <c r="D291" i="8"/>
  <c r="E291" i="8"/>
  <c r="D292" i="8"/>
  <c r="E292" i="8"/>
  <c r="D293" i="8"/>
  <c r="E293" i="8"/>
  <c r="D294" i="8"/>
  <c r="E294" i="8"/>
  <c r="D295" i="8"/>
  <c r="E295" i="8"/>
  <c r="D296" i="8"/>
  <c r="E296" i="8"/>
  <c r="D297" i="8"/>
  <c r="E297" i="8"/>
  <c r="D298" i="8"/>
  <c r="E298" i="8"/>
  <c r="D299" i="8"/>
  <c r="E299" i="8"/>
  <c r="D300" i="8"/>
  <c r="E300" i="8"/>
  <c r="D301" i="8"/>
  <c r="E301" i="8"/>
  <c r="D302" i="8"/>
  <c r="E302" i="8"/>
  <c r="D303" i="8"/>
  <c r="E303" i="8"/>
  <c r="D304" i="8"/>
  <c r="E304" i="8"/>
  <c r="D305" i="8"/>
  <c r="E305" i="8"/>
  <c r="D306" i="8"/>
  <c r="E306" i="8"/>
  <c r="D307" i="8"/>
  <c r="E307" i="8"/>
  <c r="D308" i="8"/>
  <c r="E308" i="8"/>
  <c r="D309" i="8"/>
  <c r="E309" i="8"/>
  <c r="D310" i="8"/>
  <c r="E310" i="8"/>
  <c r="D311" i="8"/>
  <c r="E311" i="8"/>
  <c r="D312" i="8"/>
  <c r="E312" i="8"/>
  <c r="D313" i="8"/>
  <c r="E313" i="8"/>
  <c r="D314" i="8"/>
  <c r="E314" i="8"/>
  <c r="D315" i="8"/>
  <c r="E315" i="8"/>
  <c r="D316" i="8"/>
  <c r="E316" i="8"/>
  <c r="D317" i="8"/>
  <c r="E317" i="8"/>
  <c r="D318" i="8"/>
  <c r="E318" i="8"/>
  <c r="D319" i="8"/>
  <c r="E319" i="8"/>
  <c r="D320" i="8"/>
  <c r="E320" i="8"/>
  <c r="D321" i="8"/>
  <c r="E321" i="8"/>
  <c r="D322" i="8"/>
  <c r="E322" i="8"/>
  <c r="D323" i="8"/>
  <c r="E323" i="8"/>
  <c r="D324" i="8"/>
  <c r="E324" i="8"/>
  <c r="D325" i="8"/>
  <c r="E325" i="8"/>
  <c r="D326" i="8"/>
  <c r="E326" i="8"/>
  <c r="D327" i="8"/>
  <c r="E327" i="8"/>
  <c r="D328" i="8"/>
  <c r="E328" i="8"/>
  <c r="D329" i="8"/>
  <c r="E329" i="8"/>
  <c r="D330" i="8"/>
  <c r="E330" i="8"/>
  <c r="D331" i="8"/>
  <c r="E331" i="8"/>
  <c r="D332" i="8"/>
  <c r="E332" i="8"/>
  <c r="D333" i="8"/>
  <c r="E333" i="8"/>
  <c r="D334" i="8"/>
  <c r="E334" i="8"/>
  <c r="D335" i="8"/>
  <c r="E335" i="8"/>
  <c r="D336" i="8"/>
  <c r="E336" i="8"/>
  <c r="D337" i="8"/>
  <c r="E337" i="8"/>
  <c r="D338" i="8"/>
  <c r="E338" i="8"/>
  <c r="D339" i="8"/>
  <c r="E339" i="8"/>
  <c r="D340" i="8"/>
  <c r="E340" i="8"/>
  <c r="D341" i="8"/>
  <c r="E341" i="8"/>
  <c r="D342" i="8"/>
  <c r="E342" i="8"/>
  <c r="D343" i="8"/>
  <c r="E343" i="8"/>
  <c r="D344" i="8"/>
  <c r="E344" i="8"/>
  <c r="D345" i="8"/>
  <c r="E345" i="8"/>
  <c r="D346" i="8"/>
  <c r="E346" i="8"/>
  <c r="D347" i="8"/>
  <c r="E347" i="8"/>
  <c r="D348" i="8"/>
  <c r="E348" i="8"/>
  <c r="D349" i="8"/>
  <c r="E349" i="8"/>
  <c r="D350" i="8"/>
  <c r="E350" i="8"/>
  <c r="D351" i="8"/>
  <c r="E351" i="8"/>
  <c r="D352" i="8"/>
  <c r="E352" i="8"/>
  <c r="D353" i="8"/>
  <c r="E353" i="8"/>
  <c r="D354" i="8"/>
  <c r="E354" i="8"/>
  <c r="D355" i="8"/>
  <c r="E355" i="8"/>
  <c r="D356" i="8"/>
  <c r="E356" i="8"/>
  <c r="D357" i="8"/>
  <c r="E357" i="8"/>
  <c r="D358" i="8"/>
  <c r="E358" i="8"/>
  <c r="D359" i="8"/>
  <c r="E359" i="8"/>
  <c r="D360" i="8"/>
  <c r="E360" i="8"/>
  <c r="D361" i="8"/>
  <c r="E361" i="8"/>
  <c r="D362" i="8"/>
  <c r="E362" i="8"/>
  <c r="D363" i="8"/>
  <c r="E363" i="8"/>
  <c r="D364" i="8"/>
  <c r="E364" i="8"/>
  <c r="D365" i="8"/>
  <c r="E365" i="8"/>
  <c r="D366" i="8"/>
  <c r="E366" i="8"/>
  <c r="D367" i="8"/>
  <c r="E367" i="8"/>
  <c r="D368" i="8"/>
  <c r="E368" i="8"/>
  <c r="D369" i="8"/>
  <c r="E369" i="8"/>
  <c r="D370" i="8"/>
  <c r="E370" i="8"/>
  <c r="D371" i="8"/>
  <c r="E371" i="8"/>
  <c r="D372" i="8"/>
  <c r="E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D380" i="8"/>
  <c r="E380" i="8"/>
  <c r="D381" i="8"/>
  <c r="E381" i="8"/>
  <c r="D382" i="8"/>
  <c r="E382" i="8"/>
  <c r="D383" i="8"/>
  <c r="E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D392" i="8"/>
  <c r="E392" i="8"/>
  <c r="D393" i="8"/>
  <c r="E393" i="8"/>
  <c r="D394" i="8"/>
  <c r="E394" i="8"/>
  <c r="D395" i="8"/>
  <c r="E395" i="8"/>
  <c r="D396" i="8"/>
  <c r="E396" i="8"/>
  <c r="D397" i="8"/>
  <c r="E397" i="8"/>
  <c r="D398" i="8"/>
  <c r="E398" i="8"/>
  <c r="D399" i="8"/>
  <c r="E399" i="8"/>
  <c r="D400" i="8"/>
  <c r="E400" i="8"/>
  <c r="D401" i="8"/>
  <c r="E401" i="8"/>
  <c r="D402" i="8"/>
  <c r="E402" i="8"/>
  <c r="D403" i="8"/>
  <c r="E403" i="8"/>
  <c r="D404" i="8"/>
  <c r="E404" i="8"/>
  <c r="D405" i="8"/>
  <c r="E405" i="8"/>
  <c r="D406" i="8"/>
  <c r="E406" i="8"/>
  <c r="D407" i="8"/>
  <c r="E407" i="8"/>
  <c r="D408" i="8"/>
  <c r="E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D421" i="8"/>
  <c r="E421" i="8"/>
  <c r="D422" i="8"/>
  <c r="E422" i="8"/>
  <c r="D423" i="8"/>
  <c r="E423" i="8"/>
  <c r="D424" i="8"/>
  <c r="E424" i="8"/>
  <c r="D425" i="8"/>
  <c r="E425" i="8"/>
  <c r="D426" i="8"/>
  <c r="E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D434" i="8"/>
  <c r="E434" i="8"/>
  <c r="D435" i="8"/>
  <c r="E435" i="8"/>
  <c r="D436" i="8"/>
  <c r="E436" i="8"/>
  <c r="D437" i="8"/>
  <c r="E437" i="8"/>
  <c r="D438" i="8"/>
  <c r="E438" i="8"/>
  <c r="D439" i="8"/>
  <c r="E439" i="8"/>
  <c r="D440" i="8"/>
  <c r="E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D447" i="8"/>
  <c r="E447" i="8"/>
  <c r="D448" i="8"/>
  <c r="E448" i="8"/>
  <c r="D449" i="8"/>
  <c r="E449" i="8"/>
  <c r="D450" i="8"/>
  <c r="E450" i="8"/>
  <c r="D451" i="8"/>
  <c r="E451" i="8"/>
  <c r="D452" i="8"/>
  <c r="E452" i="8"/>
  <c r="D453" i="8"/>
  <c r="E453" i="8"/>
  <c r="D454" i="8"/>
  <c r="E454" i="8"/>
  <c r="D455" i="8"/>
  <c r="E455" i="8"/>
  <c r="D456" i="8"/>
  <c r="E456" i="8"/>
  <c r="D457" i="8"/>
  <c r="E457" i="8"/>
  <c r="D458" i="8"/>
  <c r="E458" i="8"/>
  <c r="D459" i="8"/>
  <c r="E459" i="8"/>
  <c r="D460" i="8"/>
  <c r="E460" i="8"/>
  <c r="D461" i="8"/>
  <c r="E461" i="8"/>
  <c r="D462" i="8"/>
  <c r="E462" i="8"/>
  <c r="D463" i="8"/>
  <c r="E463" i="8"/>
  <c r="D464" i="8"/>
  <c r="E464" i="8"/>
  <c r="D465" i="8"/>
  <c r="E465" i="8"/>
  <c r="D466" i="8"/>
  <c r="E466" i="8"/>
  <c r="D467" i="8"/>
  <c r="E467" i="8"/>
  <c r="D468" i="8"/>
  <c r="E468" i="8"/>
  <c r="D469" i="8"/>
  <c r="E469" i="8"/>
  <c r="D470" i="8"/>
  <c r="E470" i="8"/>
  <c r="D471" i="8"/>
  <c r="E471" i="8"/>
  <c r="D472" i="8"/>
  <c r="E472" i="8"/>
  <c r="D473" i="8"/>
  <c r="E473" i="8"/>
  <c r="D474" i="8"/>
  <c r="E474" i="8"/>
  <c r="D475" i="8"/>
  <c r="E475" i="8"/>
  <c r="D476" i="8"/>
  <c r="E476" i="8"/>
  <c r="D477" i="8"/>
  <c r="E477" i="8"/>
  <c r="D478" i="8"/>
  <c r="E478" i="8"/>
  <c r="D479" i="8"/>
  <c r="E479" i="8"/>
  <c r="D480" i="8"/>
  <c r="E480" i="8"/>
  <c r="D481" i="8"/>
  <c r="E481" i="8"/>
  <c r="D482" i="8"/>
  <c r="E482" i="8"/>
  <c r="D483" i="8"/>
  <c r="E483" i="8"/>
  <c r="D484" i="8"/>
  <c r="E484" i="8"/>
  <c r="D485" i="8"/>
  <c r="E485" i="8"/>
  <c r="D486" i="8"/>
  <c r="E486" i="8"/>
  <c r="D487" i="8"/>
  <c r="E487" i="8"/>
  <c r="D488" i="8"/>
  <c r="E488" i="8"/>
  <c r="D489" i="8"/>
  <c r="E489" i="8"/>
  <c r="D490" i="8"/>
  <c r="E490" i="8"/>
  <c r="D491" i="8"/>
  <c r="E491" i="8"/>
  <c r="D492" i="8"/>
  <c r="E492" i="8"/>
  <c r="D493" i="8"/>
  <c r="E493" i="8"/>
  <c r="D494" i="8"/>
  <c r="E494" i="8"/>
  <c r="D495" i="8"/>
  <c r="E495" i="8"/>
  <c r="D496" i="8"/>
  <c r="E496" i="8"/>
  <c r="D497" i="8"/>
  <c r="E497" i="8"/>
  <c r="D498" i="8"/>
  <c r="E498" i="8"/>
  <c r="D499" i="8"/>
  <c r="E499" i="8"/>
  <c r="D500" i="8"/>
  <c r="E500" i="8"/>
  <c r="D501" i="8"/>
  <c r="E501" i="8"/>
  <c r="D502" i="8"/>
  <c r="E502" i="8"/>
  <c r="D503" i="8"/>
  <c r="E503" i="8"/>
  <c r="D504" i="8"/>
  <c r="E504" i="8"/>
  <c r="D505" i="8"/>
  <c r="E505" i="8"/>
  <c r="D506" i="8"/>
  <c r="E506" i="8"/>
  <c r="D507" i="8"/>
  <c r="E507" i="8"/>
  <c r="D508" i="8"/>
  <c r="E508" i="8"/>
  <c r="D509" i="8"/>
  <c r="E509" i="8"/>
  <c r="D510" i="8"/>
  <c r="E510" i="8"/>
  <c r="D511" i="8"/>
  <c r="E511" i="8"/>
  <c r="D512" i="8"/>
  <c r="E512" i="8"/>
  <c r="D513" i="8"/>
  <c r="E513" i="8"/>
  <c r="D514" i="8"/>
  <c r="E514" i="8"/>
  <c r="D515" i="8"/>
  <c r="E515" i="8"/>
  <c r="D516" i="8"/>
  <c r="E516" i="8"/>
  <c r="D517" i="8"/>
  <c r="E517" i="8"/>
  <c r="D518" i="8"/>
  <c r="E518" i="8"/>
  <c r="D519" i="8"/>
  <c r="E519" i="8"/>
  <c r="D520" i="8"/>
  <c r="E520" i="8"/>
  <c r="D521" i="8"/>
  <c r="E521" i="8"/>
  <c r="D522" i="8"/>
  <c r="E522" i="8"/>
  <c r="D523" i="8"/>
  <c r="E523" i="8"/>
  <c r="D524" i="8"/>
  <c r="E524" i="8"/>
  <c r="D525" i="8"/>
  <c r="E525" i="8"/>
  <c r="D526" i="8"/>
  <c r="E526" i="8"/>
  <c r="D527" i="8"/>
  <c r="E527" i="8"/>
  <c r="D528" i="8"/>
  <c r="E528" i="8"/>
  <c r="D529" i="8"/>
  <c r="E529" i="8"/>
  <c r="D530" i="8"/>
  <c r="E530" i="8"/>
  <c r="D531" i="8"/>
  <c r="E531" i="8"/>
  <c r="D532" i="8"/>
  <c r="E532" i="8"/>
  <c r="D533" i="8"/>
  <c r="E533" i="8"/>
  <c r="D534" i="8"/>
  <c r="E534" i="8"/>
  <c r="D535" i="8"/>
  <c r="E535" i="8"/>
  <c r="D536" i="8"/>
  <c r="E536" i="8"/>
  <c r="D537" i="8"/>
  <c r="E537" i="8"/>
  <c r="D538" i="8"/>
  <c r="E538" i="8"/>
  <c r="D539" i="8"/>
  <c r="E539" i="8"/>
  <c r="D540" i="8"/>
  <c r="E540" i="8"/>
  <c r="D541" i="8"/>
  <c r="E541" i="8"/>
  <c r="D542" i="8"/>
  <c r="E542" i="8"/>
  <c r="D543" i="8"/>
  <c r="E543" i="8"/>
  <c r="D544" i="8"/>
  <c r="E544" i="8"/>
  <c r="D545" i="8"/>
  <c r="E545" i="8"/>
  <c r="D546" i="8"/>
  <c r="E546" i="8"/>
  <c r="D547" i="8"/>
  <c r="E547" i="8"/>
  <c r="D548" i="8"/>
  <c r="E548" i="8"/>
  <c r="D549" i="8"/>
  <c r="E549" i="8"/>
  <c r="D550" i="8"/>
  <c r="E550" i="8"/>
  <c r="D551" i="8"/>
  <c r="E551" i="8"/>
  <c r="D552" i="8"/>
  <c r="E552" i="8"/>
  <c r="D553" i="8"/>
  <c r="E553" i="8"/>
  <c r="D554" i="8"/>
  <c r="E554" i="8"/>
  <c r="D555" i="8"/>
  <c r="E555" i="8"/>
  <c r="D556" i="8"/>
  <c r="E556" i="8"/>
  <c r="D557" i="8"/>
  <c r="E557" i="8"/>
  <c r="D558" i="8"/>
  <c r="E558" i="8"/>
  <c r="D559" i="8"/>
  <c r="E559" i="8"/>
  <c r="D560" i="8"/>
  <c r="E560" i="8"/>
  <c r="D561" i="8"/>
  <c r="E561" i="8"/>
  <c r="D562" i="8"/>
  <c r="E562" i="8"/>
  <c r="D563" i="8"/>
  <c r="E563" i="8"/>
  <c r="D564" i="8"/>
  <c r="E564" i="8"/>
  <c r="D565" i="8"/>
  <c r="E565" i="8"/>
  <c r="D566" i="8"/>
  <c r="E566" i="8"/>
  <c r="D567" i="8"/>
  <c r="E567" i="8"/>
  <c r="D568" i="8"/>
  <c r="E568" i="8"/>
  <c r="D569" i="8"/>
  <c r="E569" i="8"/>
  <c r="D570" i="8"/>
  <c r="E570" i="8"/>
  <c r="D571" i="8"/>
  <c r="E571" i="8"/>
  <c r="D572" i="8"/>
  <c r="E572" i="8"/>
  <c r="D573" i="8"/>
  <c r="E573" i="8"/>
  <c r="D574" i="8"/>
  <c r="E574" i="8"/>
  <c r="D575" i="8"/>
  <c r="E575" i="8"/>
  <c r="D576" i="8"/>
  <c r="E576" i="8"/>
  <c r="D577" i="8"/>
  <c r="E577" i="8"/>
  <c r="D578" i="8"/>
  <c r="E578" i="8"/>
  <c r="D579" i="8"/>
  <c r="E579" i="8"/>
  <c r="D580" i="8"/>
  <c r="E580" i="8"/>
  <c r="D581" i="8"/>
  <c r="E581" i="8"/>
  <c r="D582" i="8"/>
  <c r="E582" i="8"/>
  <c r="D583" i="8"/>
  <c r="E583" i="8"/>
  <c r="D584" i="8"/>
  <c r="E584" i="8"/>
  <c r="D585" i="8"/>
  <c r="E585" i="8"/>
  <c r="D586" i="8"/>
  <c r="E586" i="8"/>
  <c r="D587" i="8"/>
  <c r="E587" i="8"/>
  <c r="D588" i="8"/>
  <c r="E588" i="8"/>
  <c r="D589" i="8"/>
  <c r="E589" i="8"/>
  <c r="D590" i="8"/>
  <c r="E590" i="8"/>
  <c r="D591" i="8"/>
  <c r="E591" i="8"/>
  <c r="D592" i="8"/>
  <c r="E592" i="8"/>
  <c r="D593" i="8"/>
  <c r="E593" i="8"/>
  <c r="D594" i="8"/>
  <c r="E594" i="8"/>
  <c r="D595" i="8"/>
  <c r="E595" i="8"/>
  <c r="D596" i="8"/>
  <c r="E596" i="8"/>
  <c r="D597" i="8"/>
  <c r="E597" i="8"/>
  <c r="D598" i="8"/>
  <c r="E598" i="8"/>
  <c r="D599" i="8"/>
  <c r="E599" i="8"/>
  <c r="D600" i="8"/>
  <c r="E600" i="8"/>
  <c r="D601" i="8"/>
  <c r="E601" i="8"/>
  <c r="D602" i="8"/>
  <c r="E602" i="8"/>
  <c r="D603" i="8"/>
  <c r="E603" i="8"/>
  <c r="D604" i="8"/>
  <c r="E604" i="8"/>
  <c r="D605" i="8"/>
  <c r="E605" i="8"/>
  <c r="D606" i="8"/>
  <c r="E606" i="8"/>
  <c r="D607" i="8"/>
  <c r="E607" i="8"/>
  <c r="D608" i="8"/>
  <c r="E608" i="8"/>
  <c r="D609" i="8"/>
  <c r="E609" i="8"/>
  <c r="D610" i="8"/>
  <c r="E610" i="8"/>
  <c r="D611" i="8"/>
  <c r="E611" i="8"/>
  <c r="D612" i="8"/>
  <c r="E612" i="8"/>
  <c r="D613" i="8"/>
  <c r="E613" i="8"/>
  <c r="D614" i="8"/>
  <c r="E614" i="8"/>
  <c r="D615" i="8"/>
  <c r="E615" i="8"/>
  <c r="D616" i="8"/>
  <c r="E616" i="8"/>
  <c r="D617" i="8"/>
  <c r="E617" i="8"/>
  <c r="D618" i="8"/>
  <c r="E618" i="8"/>
  <c r="D619" i="8"/>
  <c r="E619" i="8"/>
  <c r="D620" i="8"/>
  <c r="E620" i="8"/>
  <c r="D621" i="8"/>
  <c r="E621" i="8"/>
  <c r="D622" i="8"/>
  <c r="E622" i="8"/>
  <c r="D623" i="8"/>
  <c r="E623" i="8"/>
  <c r="D624" i="8"/>
  <c r="E624" i="8"/>
  <c r="D625" i="8"/>
  <c r="E625" i="8"/>
  <c r="H125" i="14"/>
  <c r="I125" i="14"/>
  <c r="H126" i="14"/>
  <c r="I126" i="14"/>
  <c r="H127" i="14"/>
  <c r="I127" i="14"/>
  <c r="H128" i="14"/>
  <c r="I128" i="14"/>
  <c r="H129" i="14"/>
  <c r="I129" i="14"/>
  <c r="H130" i="14"/>
  <c r="I130" i="14"/>
  <c r="H131" i="14"/>
  <c r="I131" i="14"/>
  <c r="H132" i="14"/>
  <c r="I132" i="14"/>
  <c r="H133" i="14"/>
  <c r="I133" i="14"/>
  <c r="H134" i="14"/>
  <c r="I134" i="14"/>
  <c r="H135" i="14"/>
  <c r="I135" i="14"/>
  <c r="H136" i="14"/>
  <c r="I136" i="14"/>
  <c r="H137" i="14"/>
  <c r="I137" i="14"/>
  <c r="H138" i="14"/>
  <c r="I138" i="14"/>
  <c r="H139" i="14"/>
  <c r="I139" i="14"/>
  <c r="H140" i="14"/>
  <c r="I140" i="14"/>
  <c r="H141" i="14"/>
  <c r="I141" i="14"/>
  <c r="H142" i="14"/>
  <c r="I142" i="14"/>
  <c r="H143" i="14"/>
  <c r="I143" i="14"/>
  <c r="H144" i="14"/>
  <c r="I144" i="14"/>
  <c r="H145" i="14"/>
  <c r="I145" i="14"/>
  <c r="H146" i="14"/>
  <c r="I146" i="14"/>
  <c r="H147" i="14"/>
  <c r="I147" i="14"/>
  <c r="H148" i="14"/>
  <c r="I148" i="14"/>
  <c r="H149" i="14"/>
  <c r="I149" i="14"/>
  <c r="H150" i="14"/>
  <c r="I150" i="14"/>
  <c r="H151" i="14"/>
  <c r="I151" i="14"/>
  <c r="H152" i="14"/>
  <c r="I152" i="14"/>
  <c r="H153" i="14"/>
  <c r="I153" i="14"/>
  <c r="H154" i="14"/>
  <c r="I154" i="14"/>
  <c r="H155" i="14"/>
  <c r="I155" i="14"/>
  <c r="H156" i="14"/>
  <c r="I156" i="14"/>
  <c r="H157" i="14"/>
  <c r="I157" i="14"/>
  <c r="H158" i="14"/>
  <c r="I158" i="14"/>
  <c r="H159" i="14"/>
  <c r="I159" i="14"/>
  <c r="H160" i="14"/>
  <c r="I160" i="14"/>
  <c r="H161" i="14"/>
  <c r="I161" i="14"/>
  <c r="H162" i="14"/>
  <c r="I162" i="14"/>
  <c r="H163" i="14"/>
  <c r="I163" i="14"/>
  <c r="H164" i="14"/>
  <c r="I164" i="14"/>
  <c r="H165" i="14"/>
  <c r="I165" i="14"/>
  <c r="H166" i="14"/>
  <c r="I166" i="14"/>
  <c r="H167" i="14"/>
  <c r="I167" i="14"/>
  <c r="H168" i="14"/>
  <c r="I168" i="14"/>
  <c r="H169" i="14"/>
  <c r="I169" i="14"/>
  <c r="H170" i="14"/>
  <c r="I170" i="14"/>
  <c r="H171" i="14"/>
  <c r="I171" i="14"/>
  <c r="H172" i="14"/>
  <c r="I172" i="14"/>
  <c r="H173" i="14"/>
  <c r="I173" i="14"/>
  <c r="H174" i="14"/>
  <c r="I174" i="14"/>
  <c r="H175" i="14"/>
  <c r="I175" i="14"/>
  <c r="H176" i="14"/>
  <c r="I176" i="14"/>
  <c r="H177" i="14"/>
  <c r="I177" i="14"/>
  <c r="H178" i="14"/>
  <c r="I178" i="14"/>
  <c r="H179" i="14"/>
  <c r="I179" i="14"/>
  <c r="H180" i="14"/>
  <c r="I180" i="14"/>
  <c r="H181" i="14"/>
  <c r="I181" i="14"/>
  <c r="H182" i="14"/>
  <c r="I182" i="14"/>
  <c r="H183" i="14"/>
  <c r="I183" i="14"/>
  <c r="H184" i="14"/>
  <c r="I184" i="14"/>
  <c r="H185" i="14"/>
  <c r="I185" i="14"/>
  <c r="H186" i="14"/>
  <c r="I186" i="14"/>
  <c r="H187" i="14"/>
  <c r="I187" i="14"/>
  <c r="H188" i="14"/>
  <c r="I188" i="14"/>
  <c r="H189" i="14"/>
  <c r="I189" i="14"/>
  <c r="H190" i="14"/>
  <c r="I190" i="14"/>
  <c r="H191" i="14"/>
  <c r="I191" i="14"/>
  <c r="H192" i="14"/>
  <c r="I192" i="14"/>
  <c r="H193" i="14"/>
  <c r="I193" i="14"/>
  <c r="H194" i="14"/>
  <c r="I194" i="14"/>
  <c r="H195" i="14"/>
  <c r="I195" i="14"/>
  <c r="H196" i="14"/>
  <c r="I196" i="14"/>
  <c r="H197" i="14"/>
  <c r="I197" i="14"/>
  <c r="H198" i="14"/>
  <c r="I198" i="14"/>
  <c r="H199" i="14"/>
  <c r="I199" i="14"/>
  <c r="H200" i="14"/>
  <c r="I200" i="14"/>
  <c r="H201" i="14"/>
  <c r="I201" i="14"/>
  <c r="H202" i="14"/>
  <c r="I202" i="14"/>
  <c r="H203" i="14"/>
  <c r="I203" i="14"/>
  <c r="H204" i="14"/>
  <c r="I204" i="14"/>
  <c r="H205" i="14"/>
  <c r="I205" i="14"/>
  <c r="H206" i="14"/>
  <c r="I206" i="14"/>
  <c r="H207" i="14"/>
  <c r="I207" i="14"/>
  <c r="H208" i="14"/>
  <c r="I208" i="14"/>
  <c r="H209" i="14"/>
  <c r="I209" i="14"/>
  <c r="H210" i="14"/>
  <c r="I210" i="14"/>
  <c r="H211" i="14"/>
  <c r="I211" i="14"/>
  <c r="H212" i="14"/>
  <c r="I212" i="14"/>
  <c r="H213" i="14"/>
  <c r="I213" i="14"/>
  <c r="H214" i="14"/>
  <c r="I214" i="14"/>
  <c r="H215" i="14"/>
  <c r="I215" i="14"/>
  <c r="H216" i="14"/>
  <c r="I216" i="14"/>
  <c r="H217" i="14"/>
  <c r="I217" i="14"/>
  <c r="H218" i="14"/>
  <c r="I218" i="14"/>
  <c r="H219" i="14"/>
  <c r="I219" i="14"/>
  <c r="H220" i="14"/>
  <c r="I220" i="14"/>
  <c r="H221" i="14"/>
  <c r="I221" i="14"/>
  <c r="H222" i="14"/>
  <c r="I222" i="14"/>
  <c r="H223" i="14"/>
  <c r="I223" i="14"/>
  <c r="H224" i="14"/>
  <c r="I224" i="14"/>
  <c r="H225" i="14"/>
  <c r="I225" i="14"/>
  <c r="H226" i="14"/>
  <c r="I226" i="14"/>
  <c r="H227" i="14"/>
  <c r="I227" i="14"/>
  <c r="H228" i="14"/>
  <c r="I228" i="14"/>
  <c r="H229" i="14"/>
  <c r="I229" i="14"/>
  <c r="H230" i="14"/>
  <c r="I230" i="14"/>
  <c r="H231" i="14"/>
  <c r="I231" i="14"/>
  <c r="H232" i="14"/>
  <c r="I232" i="14"/>
  <c r="H233" i="14"/>
  <c r="I233" i="14"/>
  <c r="H234" i="14"/>
  <c r="I234" i="14"/>
  <c r="H235" i="14"/>
  <c r="I235" i="14"/>
  <c r="H236" i="14"/>
  <c r="I236" i="14"/>
  <c r="H237" i="14"/>
  <c r="I237" i="14"/>
  <c r="H238" i="14"/>
  <c r="I238" i="14"/>
  <c r="H239" i="14"/>
  <c r="I239" i="14"/>
  <c r="H240" i="14"/>
  <c r="I240" i="14"/>
  <c r="H241" i="14"/>
  <c r="I241" i="14"/>
  <c r="H242" i="14"/>
  <c r="I242" i="14"/>
  <c r="H243" i="14"/>
  <c r="I243" i="14"/>
  <c r="H244" i="14"/>
  <c r="I244" i="14"/>
  <c r="H245" i="14"/>
  <c r="I245" i="14"/>
  <c r="H246" i="14"/>
  <c r="I246" i="14"/>
  <c r="H247" i="14"/>
  <c r="I247" i="14"/>
  <c r="H248" i="14"/>
  <c r="I248" i="14"/>
  <c r="H249" i="14"/>
  <c r="I249" i="14"/>
  <c r="H250" i="14"/>
  <c r="I250" i="14"/>
  <c r="H251" i="14"/>
  <c r="I251" i="14"/>
  <c r="H252" i="14"/>
  <c r="I252" i="14"/>
  <c r="H253" i="14"/>
  <c r="I253" i="14"/>
  <c r="H254" i="14"/>
  <c r="I254" i="14"/>
  <c r="H255" i="14"/>
  <c r="I255" i="14"/>
  <c r="H256" i="14"/>
  <c r="I256" i="14"/>
  <c r="H257" i="14"/>
  <c r="I257" i="14"/>
  <c r="H258" i="14"/>
  <c r="I258" i="14"/>
  <c r="H259" i="14"/>
  <c r="I259" i="14"/>
  <c r="H260" i="14"/>
  <c r="I260" i="14"/>
  <c r="H261" i="14"/>
  <c r="I261" i="14"/>
  <c r="H262" i="14"/>
  <c r="I262" i="14"/>
  <c r="H263" i="14"/>
  <c r="I263" i="14"/>
  <c r="H264" i="14"/>
  <c r="I264" i="14"/>
  <c r="H265" i="14"/>
  <c r="I265" i="14"/>
  <c r="H266" i="14"/>
  <c r="I266" i="14"/>
  <c r="H267" i="14"/>
  <c r="I267" i="14"/>
  <c r="H268" i="14"/>
  <c r="I268" i="14"/>
  <c r="H269" i="14"/>
  <c r="I269" i="14"/>
  <c r="H270" i="14"/>
  <c r="I270" i="14"/>
  <c r="H271" i="14"/>
  <c r="I271" i="14"/>
  <c r="H272" i="14"/>
  <c r="I272" i="14"/>
  <c r="H273" i="14"/>
  <c r="I273" i="14"/>
  <c r="H274" i="14"/>
  <c r="I274" i="14"/>
  <c r="H275" i="14"/>
  <c r="I275" i="14"/>
  <c r="H276" i="14"/>
  <c r="I276" i="14"/>
  <c r="H277" i="14"/>
  <c r="I277" i="14"/>
  <c r="H278" i="14"/>
  <c r="I278" i="14"/>
  <c r="H279" i="14"/>
  <c r="I279" i="14"/>
  <c r="H280" i="14"/>
  <c r="I280" i="14"/>
  <c r="H281" i="14"/>
  <c r="I281" i="14"/>
  <c r="H282" i="14"/>
  <c r="I282" i="14"/>
  <c r="H283" i="14"/>
  <c r="I283" i="14"/>
  <c r="H284" i="14"/>
  <c r="I284" i="14"/>
  <c r="H285" i="14"/>
  <c r="I285" i="14"/>
  <c r="H286" i="14"/>
  <c r="I286" i="14"/>
  <c r="H287" i="14"/>
  <c r="I287" i="14"/>
  <c r="H288" i="14"/>
  <c r="I288" i="14"/>
  <c r="H289" i="14"/>
  <c r="I289" i="14"/>
  <c r="H290" i="14"/>
  <c r="I290" i="14"/>
  <c r="H291" i="14"/>
  <c r="I291" i="14"/>
  <c r="H292" i="14"/>
  <c r="I292" i="14"/>
  <c r="H293" i="14"/>
  <c r="I293" i="14"/>
  <c r="H294" i="14"/>
  <c r="I294" i="14"/>
  <c r="H295" i="14"/>
  <c r="I295" i="14"/>
  <c r="H296" i="14"/>
  <c r="I296" i="14"/>
  <c r="H297" i="14"/>
  <c r="I297" i="14"/>
  <c r="H298" i="14"/>
  <c r="I298" i="14"/>
  <c r="H299" i="14"/>
  <c r="I299" i="14"/>
  <c r="H300" i="14"/>
  <c r="I300" i="14"/>
  <c r="H301" i="14"/>
  <c r="I301" i="14"/>
  <c r="H302" i="14"/>
  <c r="I302" i="14"/>
  <c r="H303" i="14"/>
  <c r="I303" i="14"/>
  <c r="H304" i="14"/>
  <c r="I304" i="14"/>
  <c r="H305" i="14"/>
  <c r="I305" i="14"/>
  <c r="H306" i="14"/>
  <c r="I306" i="14"/>
  <c r="H307" i="14"/>
  <c r="I307" i="14"/>
  <c r="H308" i="14"/>
  <c r="I308" i="14"/>
  <c r="H309" i="14"/>
  <c r="I309" i="14"/>
  <c r="H310" i="14"/>
  <c r="I310" i="14"/>
  <c r="H311" i="14"/>
  <c r="I311" i="14"/>
  <c r="H312" i="14"/>
  <c r="I312" i="14"/>
  <c r="H313" i="14"/>
  <c r="I313" i="14"/>
  <c r="H314" i="14"/>
  <c r="I314" i="14"/>
  <c r="H315" i="14"/>
  <c r="I315" i="14"/>
  <c r="H316" i="14"/>
  <c r="I316" i="14"/>
  <c r="H317" i="14"/>
  <c r="I317" i="14"/>
  <c r="H318" i="14"/>
  <c r="I318" i="14"/>
  <c r="H319" i="14"/>
  <c r="I319" i="14"/>
  <c r="H320" i="14"/>
  <c r="I320" i="14"/>
  <c r="H321" i="14"/>
  <c r="I321" i="14"/>
  <c r="H322" i="14"/>
  <c r="I322" i="14"/>
  <c r="H323" i="14"/>
  <c r="I323" i="14"/>
  <c r="H324" i="14"/>
  <c r="I324" i="14"/>
  <c r="H325" i="14"/>
  <c r="I325" i="14"/>
  <c r="H326" i="14"/>
  <c r="I326" i="14"/>
  <c r="H327" i="14"/>
  <c r="I327" i="14"/>
  <c r="H328" i="14"/>
  <c r="I328" i="14"/>
  <c r="H329" i="14"/>
  <c r="I329" i="14"/>
  <c r="H330" i="14"/>
  <c r="I330" i="14"/>
  <c r="H331" i="14"/>
  <c r="I331" i="14"/>
  <c r="H332" i="14"/>
  <c r="I332" i="14"/>
  <c r="H333" i="14"/>
  <c r="I333" i="14"/>
  <c r="H334" i="14"/>
  <c r="I334" i="14"/>
  <c r="H335" i="14"/>
  <c r="I335" i="14"/>
  <c r="H336" i="14"/>
  <c r="I336" i="14"/>
  <c r="H337" i="14"/>
  <c r="I337" i="14"/>
  <c r="H338" i="14"/>
  <c r="I338" i="14"/>
  <c r="H339" i="14"/>
  <c r="I339" i="14"/>
  <c r="H340" i="14"/>
  <c r="I340" i="14"/>
  <c r="H341" i="14"/>
  <c r="I341" i="14"/>
  <c r="H342" i="14"/>
  <c r="I342" i="14"/>
  <c r="H343" i="14"/>
  <c r="I343" i="14"/>
  <c r="H344" i="14"/>
  <c r="I344" i="14"/>
  <c r="H345" i="14"/>
  <c r="I345" i="14"/>
  <c r="H346" i="14"/>
  <c r="I346" i="14"/>
  <c r="H347" i="14"/>
  <c r="I347" i="14"/>
  <c r="H348" i="14"/>
  <c r="I348" i="14"/>
  <c r="H349" i="14"/>
  <c r="I349" i="14"/>
  <c r="H350" i="14"/>
  <c r="I350" i="14"/>
  <c r="H351" i="14"/>
  <c r="I351" i="14"/>
  <c r="H352" i="14"/>
  <c r="I352" i="14"/>
  <c r="H353" i="14"/>
  <c r="I353" i="14"/>
  <c r="H354" i="14"/>
  <c r="I354" i="14"/>
  <c r="H355" i="14"/>
  <c r="I355" i="14"/>
  <c r="H356" i="14"/>
  <c r="I356" i="14"/>
  <c r="H357" i="14"/>
  <c r="I357" i="14"/>
  <c r="H358" i="14"/>
  <c r="I358" i="14"/>
  <c r="H359" i="14"/>
  <c r="I359" i="14"/>
  <c r="H360" i="14"/>
  <c r="I360" i="14"/>
  <c r="H361" i="14"/>
  <c r="I361" i="14"/>
  <c r="H362" i="14"/>
  <c r="I362" i="14"/>
  <c r="H363" i="14"/>
  <c r="I363" i="14"/>
  <c r="H364" i="14"/>
  <c r="I364" i="14"/>
  <c r="H365" i="14"/>
  <c r="I365" i="14"/>
  <c r="H366" i="14"/>
  <c r="I366" i="14"/>
  <c r="H367" i="14"/>
  <c r="I367" i="14"/>
  <c r="H368" i="14"/>
  <c r="I368" i="14"/>
  <c r="H369" i="14"/>
  <c r="I369" i="14"/>
  <c r="H370" i="14"/>
  <c r="I370" i="14"/>
  <c r="H371" i="14"/>
  <c r="I371" i="14"/>
  <c r="H372" i="14"/>
  <c r="I372" i="14"/>
  <c r="H373" i="14"/>
  <c r="I373" i="14"/>
  <c r="H374" i="14"/>
  <c r="I374" i="14"/>
  <c r="H375" i="14"/>
  <c r="I375" i="14"/>
  <c r="H376" i="14"/>
  <c r="I376" i="14"/>
  <c r="H377" i="14"/>
  <c r="I377" i="14"/>
  <c r="H378" i="14"/>
  <c r="I378" i="14"/>
  <c r="H379" i="14"/>
  <c r="I379" i="14"/>
  <c r="H380" i="14"/>
  <c r="I380" i="14"/>
  <c r="H381" i="14"/>
  <c r="I381" i="14"/>
  <c r="H382" i="14"/>
  <c r="I382" i="14"/>
  <c r="H383" i="14"/>
  <c r="I383" i="14"/>
  <c r="H384" i="14"/>
  <c r="I384" i="14"/>
  <c r="H385" i="14"/>
  <c r="I385" i="14"/>
  <c r="H386" i="14"/>
  <c r="I386" i="14"/>
  <c r="H387" i="14"/>
  <c r="I387" i="14"/>
  <c r="H388" i="14"/>
  <c r="I388" i="14"/>
  <c r="H389" i="14"/>
  <c r="I389" i="14"/>
  <c r="H390" i="14"/>
  <c r="I390" i="14"/>
  <c r="H391" i="14"/>
  <c r="I391" i="14"/>
  <c r="H392" i="14"/>
  <c r="I392" i="14"/>
  <c r="H393" i="14"/>
  <c r="I393" i="14"/>
  <c r="H394" i="14"/>
  <c r="I394" i="14"/>
  <c r="H395" i="14"/>
  <c r="I395" i="14"/>
  <c r="H396" i="14"/>
  <c r="I396" i="14"/>
  <c r="H397" i="14"/>
  <c r="I397" i="14"/>
  <c r="H398" i="14"/>
  <c r="I398" i="14"/>
  <c r="H399" i="14"/>
  <c r="I399" i="14"/>
  <c r="H400" i="14"/>
  <c r="I400" i="14"/>
  <c r="H401" i="14"/>
  <c r="I401" i="14"/>
  <c r="H402" i="14"/>
  <c r="I402" i="14"/>
  <c r="H403" i="14"/>
  <c r="I403" i="14"/>
  <c r="H404" i="14"/>
  <c r="I404" i="14"/>
  <c r="H405" i="14"/>
  <c r="I405" i="14"/>
  <c r="H406" i="14"/>
  <c r="I406" i="14"/>
  <c r="H407" i="14"/>
  <c r="I407" i="14"/>
  <c r="H408" i="14"/>
  <c r="I408" i="14"/>
  <c r="H409" i="14"/>
  <c r="I409" i="14"/>
  <c r="H410" i="14"/>
  <c r="I410" i="14"/>
  <c r="H411" i="14"/>
  <c r="I411" i="14"/>
  <c r="H412" i="14"/>
  <c r="I412" i="14"/>
  <c r="H413" i="14"/>
  <c r="I413" i="14"/>
  <c r="H414" i="14"/>
  <c r="I414" i="14"/>
  <c r="H415" i="14"/>
  <c r="I415" i="14"/>
  <c r="H416" i="14"/>
  <c r="I416" i="14"/>
  <c r="H417" i="14"/>
  <c r="I417" i="14"/>
  <c r="H418" i="14"/>
  <c r="I418" i="14"/>
  <c r="H419" i="14"/>
  <c r="I419" i="14"/>
  <c r="H420" i="14"/>
  <c r="I420" i="14"/>
  <c r="H421" i="14"/>
  <c r="I421" i="14"/>
  <c r="H422" i="14"/>
  <c r="I422" i="14"/>
  <c r="H423" i="14"/>
  <c r="I423" i="14"/>
  <c r="H424" i="14"/>
  <c r="I424" i="14"/>
  <c r="H425" i="14"/>
  <c r="I425" i="14"/>
  <c r="H426" i="14"/>
  <c r="I426" i="14"/>
  <c r="H427" i="14"/>
  <c r="I427" i="14"/>
  <c r="H428" i="14"/>
  <c r="I428" i="14"/>
  <c r="H429" i="14"/>
  <c r="I429" i="14"/>
  <c r="H430" i="14"/>
  <c r="I430" i="14"/>
  <c r="H431" i="14"/>
  <c r="I431" i="14"/>
  <c r="H432" i="14"/>
  <c r="I432" i="14"/>
  <c r="H433" i="14"/>
  <c r="I433" i="14"/>
  <c r="H434" i="14"/>
  <c r="I434" i="14"/>
  <c r="H435" i="14"/>
  <c r="I435" i="14"/>
  <c r="H436" i="14"/>
  <c r="I436" i="14"/>
  <c r="H437" i="14"/>
  <c r="I437" i="14"/>
  <c r="H438" i="14"/>
  <c r="I438" i="14"/>
  <c r="H439" i="14"/>
  <c r="I439" i="14"/>
  <c r="H440" i="14"/>
  <c r="I440" i="14"/>
  <c r="H441" i="14"/>
  <c r="I441" i="14"/>
  <c r="H442" i="14"/>
  <c r="I442" i="14"/>
  <c r="H443" i="14"/>
  <c r="I443" i="14"/>
  <c r="H444" i="14"/>
  <c r="I444" i="14"/>
  <c r="H445" i="14"/>
  <c r="I445" i="14"/>
  <c r="H446" i="14"/>
  <c r="I446" i="14"/>
  <c r="H447" i="14"/>
  <c r="I447" i="14"/>
  <c r="H448" i="14"/>
  <c r="I448" i="14"/>
  <c r="H449" i="14"/>
  <c r="I449" i="14"/>
  <c r="H450" i="14"/>
  <c r="I450" i="14"/>
  <c r="H451" i="14"/>
  <c r="I451" i="14"/>
  <c r="H452" i="14"/>
  <c r="I452" i="14"/>
  <c r="H453" i="14"/>
  <c r="I453" i="14"/>
  <c r="H454" i="14"/>
  <c r="I454" i="14"/>
  <c r="H455" i="14"/>
  <c r="I455" i="14"/>
  <c r="H456" i="14"/>
  <c r="I456" i="14"/>
  <c r="H457" i="14"/>
  <c r="I457" i="14"/>
  <c r="H458" i="14"/>
  <c r="I458" i="14"/>
  <c r="H459" i="14"/>
  <c r="I459" i="14"/>
  <c r="H460" i="14"/>
  <c r="I460" i="14"/>
  <c r="H461" i="14"/>
  <c r="I461" i="14"/>
  <c r="H462" i="14"/>
  <c r="I462" i="14"/>
  <c r="H463" i="14"/>
  <c r="I463" i="14"/>
  <c r="H464" i="14"/>
  <c r="I464" i="14"/>
  <c r="H465" i="14"/>
  <c r="I465" i="14"/>
  <c r="H466" i="14"/>
  <c r="I466" i="14"/>
  <c r="H467" i="14"/>
  <c r="I467" i="14"/>
  <c r="H468" i="14"/>
  <c r="I468" i="14"/>
  <c r="H469" i="14"/>
  <c r="I469" i="14"/>
  <c r="H470" i="14"/>
  <c r="I470" i="14"/>
  <c r="H471" i="14"/>
  <c r="I471" i="14"/>
  <c r="H472" i="14"/>
  <c r="I472" i="14"/>
  <c r="H473" i="14"/>
  <c r="I473" i="14"/>
  <c r="H474" i="14"/>
  <c r="I474" i="14"/>
  <c r="H475" i="14"/>
  <c r="I475" i="14"/>
  <c r="H476" i="14"/>
  <c r="I476" i="14"/>
  <c r="H477" i="14"/>
  <c r="I477" i="14"/>
  <c r="H478" i="14"/>
  <c r="I478" i="14"/>
  <c r="H479" i="14"/>
  <c r="I479" i="14"/>
  <c r="H480" i="14"/>
  <c r="I480" i="14"/>
  <c r="H481" i="14"/>
  <c r="I481" i="14"/>
  <c r="H482" i="14"/>
  <c r="I482" i="14"/>
  <c r="H483" i="14"/>
  <c r="I483" i="14"/>
  <c r="H484" i="14"/>
  <c r="I484" i="14"/>
  <c r="H485" i="14"/>
  <c r="I485" i="14"/>
  <c r="H486" i="14"/>
  <c r="I486" i="14"/>
  <c r="H487" i="14"/>
  <c r="I487" i="14"/>
  <c r="H488" i="14"/>
  <c r="I488" i="14"/>
  <c r="H489" i="14"/>
  <c r="I489" i="14"/>
  <c r="H490" i="14"/>
  <c r="I490" i="14"/>
  <c r="H491" i="14"/>
  <c r="I491" i="14"/>
  <c r="H492" i="14"/>
  <c r="I492" i="14"/>
  <c r="H493" i="14"/>
  <c r="I493" i="14"/>
  <c r="H494" i="14"/>
  <c r="I494" i="14"/>
  <c r="H495" i="14"/>
  <c r="I495" i="14"/>
  <c r="H496" i="14"/>
  <c r="I496" i="14"/>
  <c r="H497" i="14"/>
  <c r="I497" i="14"/>
  <c r="H498" i="14"/>
  <c r="I498" i="14"/>
  <c r="H499" i="14"/>
  <c r="I499" i="14"/>
  <c r="H500" i="14"/>
  <c r="I500" i="14"/>
  <c r="H501" i="14"/>
  <c r="I501" i="14"/>
  <c r="H502" i="14"/>
  <c r="I502" i="14"/>
  <c r="H503" i="14"/>
  <c r="I503" i="14"/>
  <c r="H504" i="14"/>
  <c r="I504" i="14"/>
  <c r="H505" i="14"/>
  <c r="I505" i="14"/>
  <c r="H506" i="14"/>
  <c r="I506" i="14"/>
  <c r="H507" i="14"/>
  <c r="I507" i="14"/>
  <c r="H508" i="14"/>
  <c r="I508" i="14"/>
  <c r="H509" i="14"/>
  <c r="I509" i="14"/>
  <c r="H510" i="14"/>
  <c r="I510" i="14"/>
  <c r="H511" i="14"/>
  <c r="I511" i="14"/>
  <c r="H512" i="14"/>
  <c r="I512" i="14"/>
  <c r="H513" i="14"/>
  <c r="I513" i="14"/>
  <c r="H514" i="14"/>
  <c r="I514" i="14"/>
  <c r="H515" i="14"/>
  <c r="I515" i="14"/>
  <c r="H516" i="14"/>
  <c r="I516" i="14"/>
  <c r="H517" i="14"/>
  <c r="I517" i="14"/>
  <c r="H518" i="14"/>
  <c r="I518" i="14"/>
  <c r="H519" i="14"/>
  <c r="I519" i="14"/>
  <c r="H520" i="14"/>
  <c r="I520" i="14"/>
  <c r="H521" i="14"/>
  <c r="I521" i="14"/>
  <c r="H522" i="14"/>
  <c r="I522" i="14"/>
  <c r="H523" i="14"/>
  <c r="I523" i="14"/>
  <c r="H524" i="14"/>
  <c r="I524" i="14"/>
  <c r="H525" i="14"/>
  <c r="I525" i="14"/>
  <c r="H526" i="14"/>
  <c r="I526" i="14"/>
  <c r="H527" i="14"/>
  <c r="I527" i="14"/>
  <c r="H528" i="14"/>
  <c r="I528" i="14"/>
  <c r="H529" i="14"/>
  <c r="I529" i="14"/>
  <c r="H530" i="14"/>
  <c r="I530" i="14"/>
  <c r="H531" i="14"/>
  <c r="I531" i="14"/>
  <c r="H532" i="14"/>
  <c r="I532" i="14"/>
  <c r="H533" i="14"/>
  <c r="I533" i="14"/>
  <c r="H534" i="14"/>
  <c r="I534" i="14"/>
  <c r="H535" i="14"/>
  <c r="I535" i="14"/>
  <c r="H536" i="14"/>
  <c r="I536" i="14"/>
  <c r="H537" i="14"/>
  <c r="I537" i="14"/>
  <c r="H538" i="14"/>
  <c r="I538" i="14"/>
  <c r="H539" i="14"/>
  <c r="I539" i="14"/>
  <c r="H540" i="14"/>
  <c r="I540" i="14"/>
  <c r="H541" i="14"/>
  <c r="I541" i="14"/>
  <c r="H542" i="14"/>
  <c r="I542" i="14"/>
  <c r="H543" i="14"/>
  <c r="I543" i="14"/>
  <c r="H544" i="14"/>
  <c r="I544" i="14"/>
  <c r="H545" i="14"/>
  <c r="I545" i="14"/>
  <c r="H546" i="14"/>
  <c r="I546" i="14"/>
  <c r="H547" i="14"/>
  <c r="I547" i="14"/>
  <c r="H548" i="14"/>
  <c r="I548" i="14"/>
  <c r="H549" i="14"/>
  <c r="I549" i="14"/>
  <c r="H550" i="14"/>
  <c r="I550" i="14"/>
  <c r="H551" i="14"/>
  <c r="I551" i="14"/>
  <c r="H552" i="14"/>
  <c r="I552" i="14"/>
  <c r="H553" i="14"/>
  <c r="I553" i="14"/>
  <c r="H554" i="14"/>
  <c r="I554" i="14"/>
  <c r="H555" i="14"/>
  <c r="I555" i="14"/>
  <c r="H556" i="14"/>
  <c r="I556" i="14"/>
  <c r="H557" i="14"/>
  <c r="I557" i="14"/>
  <c r="H558" i="14"/>
  <c r="I558" i="14"/>
  <c r="H559" i="14"/>
  <c r="I559" i="14"/>
  <c r="H560" i="14"/>
  <c r="I560" i="14"/>
  <c r="H561" i="14"/>
  <c r="I561" i="14"/>
  <c r="H562" i="14"/>
  <c r="I562" i="14"/>
  <c r="H563" i="14"/>
  <c r="I563" i="14"/>
  <c r="H564" i="14"/>
  <c r="I564" i="14"/>
  <c r="H565" i="14"/>
  <c r="I565" i="14"/>
  <c r="H566" i="14"/>
  <c r="I566" i="14"/>
  <c r="H567" i="14"/>
  <c r="I567" i="14"/>
  <c r="H568" i="14"/>
  <c r="I568" i="14"/>
  <c r="H569" i="14"/>
  <c r="I569" i="14"/>
  <c r="H570" i="14"/>
  <c r="I570" i="14"/>
  <c r="H571" i="14"/>
  <c r="I571" i="14"/>
  <c r="H572" i="14"/>
  <c r="I572" i="14"/>
  <c r="H573" i="14"/>
  <c r="I573" i="14"/>
  <c r="H574" i="14"/>
  <c r="I574" i="14"/>
  <c r="H575" i="14"/>
  <c r="I575" i="14"/>
  <c r="H576" i="14"/>
  <c r="I576" i="14"/>
  <c r="H577" i="14"/>
  <c r="I577" i="14"/>
  <c r="H578" i="14"/>
  <c r="I578" i="14"/>
  <c r="H579" i="14"/>
  <c r="I579" i="14"/>
  <c r="H580" i="14"/>
  <c r="I580" i="14"/>
  <c r="H581" i="14"/>
  <c r="I581" i="14"/>
  <c r="H582" i="14"/>
  <c r="I582" i="14"/>
  <c r="H583" i="14"/>
  <c r="I583" i="14"/>
  <c r="H584" i="14"/>
  <c r="I584" i="14"/>
  <c r="H585" i="14"/>
  <c r="I585" i="14"/>
  <c r="H586" i="14"/>
  <c r="I586" i="14"/>
  <c r="H587" i="14"/>
  <c r="I587" i="14"/>
  <c r="H588" i="14"/>
  <c r="I588" i="14"/>
  <c r="H589" i="14"/>
  <c r="I589" i="14"/>
  <c r="H590" i="14"/>
  <c r="I590" i="14"/>
  <c r="H591" i="14"/>
  <c r="I591" i="14"/>
  <c r="H592" i="14"/>
  <c r="I592" i="14"/>
  <c r="H593" i="14"/>
  <c r="I593" i="14"/>
  <c r="H594" i="14"/>
  <c r="I594" i="14"/>
  <c r="H595" i="14"/>
  <c r="I595" i="14"/>
  <c r="H596" i="14"/>
  <c r="I596" i="14"/>
  <c r="H597" i="14"/>
  <c r="I597" i="14"/>
  <c r="H598" i="14"/>
  <c r="I598" i="14"/>
  <c r="H599" i="14"/>
  <c r="I599" i="14"/>
  <c r="H600" i="14"/>
  <c r="I600" i="14"/>
  <c r="H601" i="14"/>
  <c r="I601" i="14"/>
  <c r="H602" i="14"/>
  <c r="I602" i="14"/>
  <c r="H603" i="14"/>
  <c r="I603" i="14"/>
  <c r="H604" i="14"/>
  <c r="I604" i="14"/>
  <c r="H605" i="14"/>
  <c r="I605" i="14"/>
  <c r="H606" i="14"/>
  <c r="I606" i="14"/>
  <c r="H607" i="14"/>
  <c r="I607" i="14"/>
  <c r="H608" i="14"/>
  <c r="I608" i="14"/>
  <c r="H609" i="14"/>
  <c r="I609" i="14"/>
  <c r="H610" i="14"/>
  <c r="I610" i="14"/>
  <c r="H611" i="14"/>
  <c r="I611" i="14"/>
  <c r="H612" i="14"/>
  <c r="I612" i="14"/>
  <c r="H613" i="14"/>
  <c r="I613" i="14"/>
  <c r="H614" i="14"/>
  <c r="I614" i="14"/>
  <c r="H615" i="14"/>
  <c r="I615" i="14"/>
  <c r="H616" i="14"/>
  <c r="I616" i="14"/>
  <c r="H617" i="14"/>
  <c r="I617" i="14"/>
  <c r="H618" i="14"/>
  <c r="I618" i="14"/>
  <c r="H619" i="14"/>
  <c r="I619" i="14"/>
  <c r="H620" i="14"/>
  <c r="I620" i="14"/>
  <c r="D18" i="8"/>
  <c r="F566" i="13" l="1"/>
  <c r="F314" i="13"/>
  <c r="D197" i="13"/>
  <c r="F595" i="13"/>
  <c r="D129" i="13"/>
  <c r="M600" i="9"/>
  <c r="N600" i="9" s="1" a="1"/>
  <c r="N600" i="9" s="1"/>
  <c r="F590" i="13"/>
  <c r="M340" i="9"/>
  <c r="N340" i="9" s="1" a="1"/>
  <c r="N340" i="9" s="1"/>
  <c r="F330" i="13"/>
  <c r="M252" i="9"/>
  <c r="F242" i="13"/>
  <c r="M240" i="9"/>
  <c r="N240" i="9" s="1" a="1"/>
  <c r="N240" i="9" s="1"/>
  <c r="F230" i="13"/>
  <c r="M236" i="9"/>
  <c r="N236" i="9" s="1" a="1"/>
  <c r="N236" i="9" s="1"/>
  <c r="F226" i="13"/>
  <c r="M228" i="9"/>
  <c r="N228" i="9" s="1" a="1"/>
  <c r="N228" i="9" s="1"/>
  <c r="F218" i="13"/>
  <c r="M224" i="9"/>
  <c r="F214" i="13"/>
  <c r="M220" i="9"/>
  <c r="N220" i="9" s="1" a="1"/>
  <c r="N220" i="9" s="1"/>
  <c r="F210" i="13"/>
  <c r="M212" i="9"/>
  <c r="N212" i="9" s="1" a="1"/>
  <c r="N212" i="9" s="1"/>
  <c r="F202" i="13"/>
  <c r="M204" i="9"/>
  <c r="N204" i="9" s="1" a="1"/>
  <c r="N204" i="9" s="1"/>
  <c r="F194" i="13"/>
  <c r="C193" i="15"/>
  <c r="D193" i="13"/>
  <c r="M200" i="9"/>
  <c r="F190" i="13"/>
  <c r="C189" i="15"/>
  <c r="D189" i="13"/>
  <c r="M196" i="9"/>
  <c r="N196" i="9" s="1" a="1"/>
  <c r="N196" i="9" s="1"/>
  <c r="F186" i="13"/>
  <c r="M192" i="9"/>
  <c r="F182" i="13"/>
  <c r="M188" i="9"/>
  <c r="N188" i="9" s="1" a="1"/>
  <c r="N188" i="9" s="1"/>
  <c r="F178" i="13"/>
  <c r="M184" i="9"/>
  <c r="N184" i="9" s="1" a="1"/>
  <c r="N184" i="9" s="1"/>
  <c r="F174" i="13"/>
  <c r="C173" i="15"/>
  <c r="D173" i="13"/>
  <c r="M180" i="9"/>
  <c r="F170" i="13"/>
  <c r="M172" i="9"/>
  <c r="F162" i="13"/>
  <c r="M168" i="9"/>
  <c r="N168" i="9" s="1" a="1"/>
  <c r="N168" i="9" s="1"/>
  <c r="F158" i="13"/>
  <c r="M156" i="9"/>
  <c r="N156" i="9" s="1" a="1"/>
  <c r="N156" i="9" s="1"/>
  <c r="F146" i="13"/>
  <c r="M148" i="9"/>
  <c r="F138" i="13"/>
  <c r="M140" i="9"/>
  <c r="N140" i="9" s="1" a="1"/>
  <c r="N140" i="9" s="1"/>
  <c r="F130" i="13"/>
  <c r="M136" i="9"/>
  <c r="N136" i="9" s="1" a="1"/>
  <c r="N136" i="9" s="1"/>
  <c r="F126" i="13"/>
  <c r="M132" i="9"/>
  <c r="N132" i="9" s="1" a="1"/>
  <c r="N132" i="9" s="1"/>
  <c r="F122" i="13"/>
  <c r="M128" i="9"/>
  <c r="F118" i="13"/>
  <c r="M124" i="9"/>
  <c r="F114" i="13"/>
  <c r="C113" i="15"/>
  <c r="D113" i="13"/>
  <c r="M112" i="9"/>
  <c r="N112" i="9" s="1" a="1"/>
  <c r="N112" i="9" s="1"/>
  <c r="F102" i="13"/>
  <c r="C97" i="15"/>
  <c r="D97" i="13"/>
  <c r="M104" i="9"/>
  <c r="N104" i="9" s="1" a="1"/>
  <c r="N104" i="9" s="1"/>
  <c r="F94" i="13"/>
  <c r="C589" i="15"/>
  <c r="D589" i="13"/>
  <c r="M592" i="9"/>
  <c r="N592" i="9" s="1" a="1"/>
  <c r="N592" i="9" s="1"/>
  <c r="F582" i="13"/>
  <c r="C545" i="15"/>
  <c r="D545" i="13"/>
  <c r="M372" i="9"/>
  <c r="N372" i="9" s="1" a="1"/>
  <c r="N372" i="9" s="1"/>
  <c r="F362" i="13"/>
  <c r="M284" i="9"/>
  <c r="N284" i="9" s="1" a="1"/>
  <c r="N284" i="9" s="1"/>
  <c r="F274" i="13"/>
  <c r="M280" i="9"/>
  <c r="N280" i="9" s="1" a="1"/>
  <c r="N280" i="9" s="1"/>
  <c r="F270" i="13"/>
  <c r="C269" i="15"/>
  <c r="D269" i="13"/>
  <c r="M272" i="9"/>
  <c r="F262" i="13"/>
  <c r="M268" i="9"/>
  <c r="N268" i="9" s="1" a="1"/>
  <c r="N268" i="9" s="1"/>
  <c r="F258" i="13"/>
  <c r="M264" i="9"/>
  <c r="N264" i="9" s="1" a="1"/>
  <c r="N264" i="9" s="1"/>
  <c r="F254" i="13"/>
  <c r="M260" i="9"/>
  <c r="N260" i="9" s="1" a="1"/>
  <c r="N260" i="9" s="1"/>
  <c r="F250" i="13"/>
  <c r="C603" i="13"/>
  <c r="D557" i="13"/>
  <c r="F530" i="13"/>
  <c r="M588" i="9"/>
  <c r="N588" i="9" s="1" a="1"/>
  <c r="N588" i="9" s="1"/>
  <c r="F578" i="13"/>
  <c r="M584" i="9"/>
  <c r="N584" i="9" s="1" a="1"/>
  <c r="N584" i="9" s="1"/>
  <c r="F574" i="13"/>
  <c r="M580" i="9"/>
  <c r="F570" i="13"/>
  <c r="F586" i="13"/>
  <c r="F318" i="13"/>
  <c r="C598" i="15"/>
  <c r="D598" i="13"/>
  <c r="N601" i="9" a="1"/>
  <c r="N601" i="9" s="1"/>
  <c r="M593" i="9"/>
  <c r="F583" i="13"/>
  <c r="C582" i="15"/>
  <c r="D582" i="13"/>
  <c r="M577" i="9"/>
  <c r="N577" i="9" s="1" a="1"/>
  <c r="N577" i="9" s="1"/>
  <c r="F567" i="13"/>
  <c r="M569" i="9"/>
  <c r="N569" i="9" s="1" a="1"/>
  <c r="N569" i="9" s="1"/>
  <c r="F559" i="13"/>
  <c r="M557" i="9"/>
  <c r="F547" i="13"/>
  <c r="M537" i="9"/>
  <c r="N537" i="9" s="1" a="1"/>
  <c r="N537" i="9" s="1"/>
  <c r="F527" i="13"/>
  <c r="C514" i="15"/>
  <c r="D514" i="13"/>
  <c r="E604" i="13"/>
  <c r="F594" i="13"/>
  <c r="F584" i="13"/>
  <c r="F166" i="13"/>
  <c r="B606" i="15"/>
  <c r="C606" i="13"/>
  <c r="M606" i="9"/>
  <c r="N606" i="9" s="1" a="1"/>
  <c r="N606" i="9" s="1"/>
  <c r="F596" i="13"/>
  <c r="M602" i="9"/>
  <c r="N602" i="9" s="1" a="1"/>
  <c r="N602" i="9" s="1"/>
  <c r="F592" i="13"/>
  <c r="M598" i="9"/>
  <c r="F588" i="13"/>
  <c r="C583" i="15"/>
  <c r="D583" i="13"/>
  <c r="M590" i="9"/>
  <c r="N590" i="9" s="1" a="1"/>
  <c r="N590" i="9" s="1"/>
  <c r="F580" i="13"/>
  <c r="F507" i="13"/>
  <c r="D460" i="13"/>
  <c r="D446" i="13"/>
  <c r="D431" i="13"/>
  <c r="F393" i="13"/>
  <c r="F365" i="13"/>
  <c r="F359" i="13"/>
  <c r="F309" i="13"/>
  <c r="F291" i="13"/>
  <c r="F284" i="13"/>
  <c r="F260" i="13"/>
  <c r="F252" i="13"/>
  <c r="F235" i="13"/>
  <c r="F231" i="13"/>
  <c r="F227" i="13"/>
  <c r="F54" i="13"/>
  <c r="F42" i="13"/>
  <c r="F30" i="13"/>
  <c r="F22" i="13"/>
  <c r="F14" i="13"/>
  <c r="AB11" i="9"/>
  <c r="F589" i="13"/>
  <c r="F509" i="13"/>
  <c r="F499" i="13"/>
  <c r="F457" i="13"/>
  <c r="F443" i="13"/>
  <c r="D426" i="13"/>
  <c r="F421" i="13"/>
  <c r="F419" i="13"/>
  <c r="F353" i="13"/>
  <c r="F316" i="13"/>
  <c r="D288" i="13"/>
  <c r="D284" i="13"/>
  <c r="F264" i="13"/>
  <c r="F255" i="13"/>
  <c r="D248" i="13"/>
  <c r="D246" i="13"/>
  <c r="F244" i="13"/>
  <c r="F215" i="13"/>
  <c r="F90" i="13"/>
  <c r="D81" i="13"/>
  <c r="D33" i="13"/>
  <c r="F513" i="13"/>
  <c r="F503" i="13"/>
  <c r="F484" i="13"/>
  <c r="D404" i="13"/>
  <c r="F389" i="13"/>
  <c r="D382" i="13"/>
  <c r="F351" i="13"/>
  <c r="D296" i="13"/>
  <c r="F273" i="13"/>
  <c r="F253" i="13"/>
  <c r="F249" i="13"/>
  <c r="D240" i="13"/>
  <c r="F236" i="13"/>
  <c r="F220" i="13"/>
  <c r="D122" i="13"/>
  <c r="F82" i="13"/>
  <c r="D61" i="13"/>
  <c r="D49" i="13"/>
  <c r="F34" i="13"/>
  <c r="F26" i="13"/>
  <c r="F18" i="13"/>
  <c r="F581" i="13"/>
  <c r="F545" i="13"/>
  <c r="F469" i="13"/>
  <c r="F467" i="13"/>
  <c r="F451" i="13"/>
  <c r="F435" i="13"/>
  <c r="D418" i="13"/>
  <c r="F321" i="13"/>
  <c r="F313" i="13"/>
  <c r="F293" i="13"/>
  <c r="F245" i="13"/>
  <c r="F241" i="13"/>
  <c r="F123" i="13"/>
  <c r="F74" i="13"/>
  <c r="F70" i="13"/>
  <c r="F62" i="13"/>
  <c r="F558" i="13"/>
  <c r="F536" i="13"/>
  <c r="C508" i="15"/>
  <c r="D508" i="13"/>
  <c r="M515" i="9"/>
  <c r="F505" i="13"/>
  <c r="M511" i="9"/>
  <c r="N511" i="9" s="1" a="1"/>
  <c r="N511" i="9" s="1"/>
  <c r="F501" i="13"/>
  <c r="C500" i="15"/>
  <c r="D500" i="13"/>
  <c r="M503" i="9"/>
  <c r="N503" i="9" s="1" a="1"/>
  <c r="N503" i="9" s="1"/>
  <c r="F493" i="13"/>
  <c r="M499" i="9"/>
  <c r="F489" i="13"/>
  <c r="M495" i="9"/>
  <c r="N495" i="9" s="1" a="1"/>
  <c r="N495" i="9" s="1"/>
  <c r="F485" i="13"/>
  <c r="M487" i="9"/>
  <c r="N487" i="9" s="1" a="1"/>
  <c r="N487" i="9" s="1"/>
  <c r="F477" i="13"/>
  <c r="M459" i="9"/>
  <c r="N459" i="9" s="1" a="1"/>
  <c r="N459" i="9" s="1"/>
  <c r="F449" i="13"/>
  <c r="C420" i="15"/>
  <c r="D420" i="13"/>
  <c r="M427" i="9"/>
  <c r="N427" i="9" s="1" a="1"/>
  <c r="N427" i="9" s="1"/>
  <c r="F417" i="13"/>
  <c r="M423" i="9"/>
  <c r="N423" i="9" s="1" a="1"/>
  <c r="N423" i="9" s="1"/>
  <c r="F413" i="13"/>
  <c r="C412" i="15"/>
  <c r="D412" i="13"/>
  <c r="M419" i="9"/>
  <c r="F409" i="13"/>
  <c r="C400" i="15"/>
  <c r="D400" i="13"/>
  <c r="M407" i="9"/>
  <c r="N407" i="9" s="1" a="1"/>
  <c r="N407" i="9" s="1"/>
  <c r="F397" i="13"/>
  <c r="C396" i="15"/>
  <c r="D396" i="13"/>
  <c r="M395" i="9"/>
  <c r="F385" i="13"/>
  <c r="M391" i="9"/>
  <c r="N391" i="9" s="1" a="1"/>
  <c r="N391" i="9" s="1"/>
  <c r="F381" i="13"/>
  <c r="M387" i="9"/>
  <c r="N387" i="9" s="1" a="1"/>
  <c r="N387" i="9" s="1"/>
  <c r="F377" i="13"/>
  <c r="M371" i="9"/>
  <c r="N371" i="9" s="1" a="1"/>
  <c r="N371" i="9" s="1"/>
  <c r="F361" i="13"/>
  <c r="M367" i="9"/>
  <c r="F357" i="13"/>
  <c r="M359" i="9"/>
  <c r="N359" i="9" s="1" a="1"/>
  <c r="N359" i="9" s="1"/>
  <c r="F349" i="13"/>
  <c r="M355" i="9"/>
  <c r="N355" i="9" s="1" a="1"/>
  <c r="N355" i="9" s="1"/>
  <c r="F345" i="13"/>
  <c r="M351" i="9"/>
  <c r="N351" i="9" s="1" a="1"/>
  <c r="N351" i="9" s="1"/>
  <c r="F341" i="13"/>
  <c r="M343" i="9"/>
  <c r="F333" i="13"/>
  <c r="M339" i="9"/>
  <c r="N339" i="9" s="1" a="1"/>
  <c r="N339" i="9" s="1"/>
  <c r="F329" i="13"/>
  <c r="M335" i="9"/>
  <c r="N335" i="9" s="1" a="1"/>
  <c r="N335" i="9" s="1"/>
  <c r="F325" i="13"/>
  <c r="M327" i="9"/>
  <c r="N327" i="9" s="1" a="1"/>
  <c r="N327" i="9" s="1"/>
  <c r="F317" i="13"/>
  <c r="F550" i="13"/>
  <c r="F563" i="13"/>
  <c r="F561" i="13"/>
  <c r="D546" i="13"/>
  <c r="F533" i="13"/>
  <c r="D532" i="13"/>
  <c r="F529" i="13"/>
  <c r="F526" i="13"/>
  <c r="F519" i="13"/>
  <c r="F517" i="13"/>
  <c r="F515" i="13"/>
  <c r="F464" i="13"/>
  <c r="F416" i="13"/>
  <c r="F407" i="13"/>
  <c r="F403" i="13"/>
  <c r="D365" i="13"/>
  <c r="D326" i="13"/>
  <c r="F295" i="13"/>
  <c r="F247" i="13"/>
  <c r="F223" i="13"/>
  <c r="C401" i="15"/>
  <c r="D401" i="13"/>
  <c r="M400" i="9"/>
  <c r="N400" i="9" s="1" a="1"/>
  <c r="N400" i="9" s="1"/>
  <c r="F390" i="13"/>
  <c r="M396" i="9"/>
  <c r="F386" i="13"/>
  <c r="C369" i="15"/>
  <c r="D369" i="13"/>
  <c r="M376" i="9"/>
  <c r="N376" i="9" s="1" a="1"/>
  <c r="N376" i="9" s="1"/>
  <c r="F366" i="13"/>
  <c r="M368" i="9"/>
  <c r="N368" i="9" s="1" a="1"/>
  <c r="N368" i="9" s="1"/>
  <c r="F358" i="13"/>
  <c r="C329" i="15"/>
  <c r="D329" i="13"/>
  <c r="C313" i="15"/>
  <c r="D313" i="13"/>
  <c r="M304" i="9"/>
  <c r="N304" i="9" s="1" a="1"/>
  <c r="N304" i="9" s="1"/>
  <c r="F294" i="13"/>
  <c r="M288" i="9"/>
  <c r="N288" i="9" s="1" a="1"/>
  <c r="N288" i="9" s="1"/>
  <c r="F278" i="13"/>
  <c r="C273" i="15"/>
  <c r="D273" i="13"/>
  <c r="F554" i="13"/>
  <c r="F551" i="13"/>
  <c r="F548" i="13"/>
  <c r="F542" i="13"/>
  <c r="F537" i="13"/>
  <c r="D533" i="13"/>
  <c r="D529" i="13"/>
  <c r="D524" i="13"/>
  <c r="F511" i="13"/>
  <c r="F428" i="13"/>
  <c r="F398" i="13"/>
  <c r="D378" i="13"/>
  <c r="D370" i="13"/>
  <c r="M501" i="9"/>
  <c r="F491" i="13"/>
  <c r="C474" i="15"/>
  <c r="D474" i="13"/>
  <c r="M481" i="9"/>
  <c r="N481" i="9" s="1" a="1"/>
  <c r="N481" i="9" s="1"/>
  <c r="F471" i="13"/>
  <c r="M441" i="9"/>
  <c r="N441" i="9" s="1" a="1"/>
  <c r="N441" i="9" s="1"/>
  <c r="F431" i="13"/>
  <c r="M437" i="9"/>
  <c r="F427" i="13"/>
  <c r="M433" i="9"/>
  <c r="N433" i="9" s="1" a="1"/>
  <c r="N433" i="9" s="1"/>
  <c r="F423" i="13"/>
  <c r="M421" i="9"/>
  <c r="N421" i="9" s="1" a="1"/>
  <c r="N421" i="9" s="1"/>
  <c r="F411" i="13"/>
  <c r="C402" i="15"/>
  <c r="D402" i="13"/>
  <c r="M409" i="9"/>
  <c r="F399" i="13"/>
  <c r="M405" i="9"/>
  <c r="N405" i="9" s="1" a="1"/>
  <c r="N405" i="9" s="1"/>
  <c r="F395" i="13"/>
  <c r="C390" i="15"/>
  <c r="D390" i="13"/>
  <c r="M397" i="9"/>
  <c r="N397" i="9" s="1" a="1"/>
  <c r="N397" i="9" s="1"/>
  <c r="F387" i="13"/>
  <c r="M393" i="9"/>
  <c r="F383" i="13"/>
  <c r="M389" i="9"/>
  <c r="N389" i="9" s="1" a="1"/>
  <c r="N389" i="9" s="1"/>
  <c r="F379" i="13"/>
  <c r="C374" i="15"/>
  <c r="D374" i="13"/>
  <c r="M373" i="9"/>
  <c r="N373" i="9" s="1" a="1"/>
  <c r="N373" i="9" s="1"/>
  <c r="F363" i="13"/>
  <c r="M357" i="9"/>
  <c r="N357" i="9" s="1" a="1"/>
  <c r="N357" i="9" s="1"/>
  <c r="F347" i="13"/>
  <c r="M345" i="9"/>
  <c r="F335" i="13"/>
  <c r="M333" i="9"/>
  <c r="N333" i="9" s="1" a="1"/>
  <c r="N333" i="9" s="1"/>
  <c r="F323" i="13"/>
  <c r="M321" i="9"/>
  <c r="N321" i="9" s="1" a="1"/>
  <c r="N321" i="9" s="1"/>
  <c r="F311" i="13"/>
  <c r="M309" i="9"/>
  <c r="F299" i="13"/>
  <c r="C294" i="15"/>
  <c r="D294" i="13"/>
  <c r="M293" i="9"/>
  <c r="F283" i="13"/>
  <c r="M289" i="9"/>
  <c r="N289" i="9" s="1" a="1"/>
  <c r="N289" i="9" s="1"/>
  <c r="F279" i="13"/>
  <c r="M285" i="9"/>
  <c r="N285" i="9" s="1" a="1"/>
  <c r="N285" i="9" s="1"/>
  <c r="F275" i="13"/>
  <c r="M269" i="9"/>
  <c r="N269" i="9" s="1" a="1"/>
  <c r="N269" i="9" s="1"/>
  <c r="F259" i="13"/>
  <c r="M261" i="9"/>
  <c r="N261" i="9" s="1" a="1"/>
  <c r="N261" i="9" s="1"/>
  <c r="F251" i="13"/>
  <c r="C250" i="15"/>
  <c r="D250" i="13"/>
  <c r="M253" i="9"/>
  <c r="F243" i="13"/>
  <c r="C242" i="15"/>
  <c r="D242" i="13"/>
  <c r="C234" i="15"/>
  <c r="D234" i="13"/>
  <c r="M209" i="9"/>
  <c r="N209" i="9" s="1" a="1"/>
  <c r="N209" i="9" s="1"/>
  <c r="F199" i="13"/>
  <c r="M169" i="9"/>
  <c r="F159" i="13"/>
  <c r="M165" i="9"/>
  <c r="F155" i="13"/>
  <c r="C154" i="15"/>
  <c r="D154" i="13"/>
  <c r="M161" i="9"/>
  <c r="N161" i="9" s="1" a="1"/>
  <c r="N161" i="9" s="1"/>
  <c r="F151" i="13"/>
  <c r="M157" i="9"/>
  <c r="F147" i="13"/>
  <c r="C146" i="15"/>
  <c r="D146" i="13"/>
  <c r="M153" i="9"/>
  <c r="N153" i="9" s="1" a="1"/>
  <c r="N153" i="9" s="1"/>
  <c r="F143" i="13"/>
  <c r="M149" i="9"/>
  <c r="N149" i="9" s="1" a="1"/>
  <c r="N149" i="9" s="1"/>
  <c r="F139" i="13"/>
  <c r="M145" i="9"/>
  <c r="N145" i="9" s="1" a="1"/>
  <c r="N145" i="9" s="1"/>
  <c r="F135" i="13"/>
  <c r="M141" i="9"/>
  <c r="N141" i="9" s="1" a="1"/>
  <c r="N141" i="9" s="1"/>
  <c r="F131" i="13"/>
  <c r="M137" i="9"/>
  <c r="N137" i="9" s="1" a="1"/>
  <c r="N137" i="9" s="1"/>
  <c r="F127" i="13"/>
  <c r="M129" i="9"/>
  <c r="N129" i="9" s="1" a="1"/>
  <c r="N129" i="9" s="1"/>
  <c r="F119" i="13"/>
  <c r="M125" i="9"/>
  <c r="N125" i="9" s="1" a="1"/>
  <c r="N125" i="9" s="1"/>
  <c r="F115" i="13"/>
  <c r="M121" i="9"/>
  <c r="F111" i="13"/>
  <c r="M109" i="9"/>
  <c r="N109" i="9" s="1" a="1"/>
  <c r="N109" i="9" s="1"/>
  <c r="F99" i="13"/>
  <c r="C98" i="15"/>
  <c r="D98" i="13"/>
  <c r="C94" i="15"/>
  <c r="D94" i="13"/>
  <c r="M101" i="9"/>
  <c r="N101" i="9" s="1" a="1"/>
  <c r="N101" i="9" s="1"/>
  <c r="F91" i="13"/>
  <c r="C90" i="15"/>
  <c r="D90" i="13"/>
  <c r="M97" i="9"/>
  <c r="N97" i="9" s="1" a="1"/>
  <c r="N97" i="9" s="1"/>
  <c r="F87" i="13"/>
  <c r="M93" i="9"/>
  <c r="F83" i="13"/>
  <c r="M89" i="9"/>
  <c r="N89" i="9" s="1" a="1"/>
  <c r="N89" i="9" s="1"/>
  <c r="F79" i="13"/>
  <c r="M53" i="9"/>
  <c r="N53" i="9" s="1" a="1"/>
  <c r="N53" i="9" s="1"/>
  <c r="F43" i="13"/>
  <c r="M489" i="9"/>
  <c r="N489" i="9" s="1" a="1"/>
  <c r="N489" i="9" s="1"/>
  <c r="F479" i="13"/>
  <c r="C466" i="15"/>
  <c r="D466" i="13"/>
  <c r="F562" i="13"/>
  <c r="D554" i="13"/>
  <c r="F549" i="13"/>
  <c r="D548" i="13"/>
  <c r="D537" i="13"/>
  <c r="F525" i="13"/>
  <c r="D522" i="13"/>
  <c r="F497" i="13"/>
  <c r="F430" i="13"/>
  <c r="F415" i="13"/>
  <c r="F375" i="13"/>
  <c r="F355" i="13"/>
  <c r="F327" i="13"/>
  <c r="F315" i="13"/>
  <c r="D302" i="13"/>
  <c r="F267" i="13"/>
  <c r="F263" i="13"/>
  <c r="M466" i="9"/>
  <c r="N466" i="9" s="1" a="1"/>
  <c r="N466" i="9" s="1"/>
  <c r="F456" i="13"/>
  <c r="C443" i="15"/>
  <c r="D443" i="13"/>
  <c r="M330" i="9"/>
  <c r="N330" i="9" s="1" a="1"/>
  <c r="N330" i="9" s="1"/>
  <c r="F320" i="13"/>
  <c r="C319" i="15"/>
  <c r="D319" i="13"/>
  <c r="C315" i="15"/>
  <c r="D315" i="13"/>
  <c r="M322" i="9"/>
  <c r="N322" i="9" s="1" a="1"/>
  <c r="N322" i="9" s="1"/>
  <c r="F312" i="13"/>
  <c r="F555" i="13"/>
  <c r="F553" i="13"/>
  <c r="F546" i="13"/>
  <c r="F541" i="13"/>
  <c r="F532" i="13"/>
  <c r="D531" i="13"/>
  <c r="D525" i="13"/>
  <c r="F523" i="13"/>
  <c r="F512" i="13"/>
  <c r="F495" i="13"/>
  <c r="F473" i="13"/>
  <c r="F463" i="13"/>
  <c r="F439" i="13"/>
  <c r="D410" i="13"/>
  <c r="D399" i="13"/>
  <c r="D386" i="13"/>
  <c r="F371" i="13"/>
  <c r="F367" i="13"/>
  <c r="F343" i="13"/>
  <c r="F331" i="13"/>
  <c r="D322" i="13"/>
  <c r="F287" i="13"/>
  <c r="F301" i="13"/>
  <c r="F276" i="13"/>
  <c r="F234" i="13"/>
  <c r="F289" i="13"/>
  <c r="F277" i="13"/>
  <c r="D30" i="13"/>
  <c r="N595" i="9" a="1"/>
  <c r="N595" i="9" s="1"/>
  <c r="F280" i="13"/>
  <c r="F269" i="13"/>
  <c r="D259" i="13"/>
  <c r="F246" i="13"/>
  <c r="F238" i="13"/>
  <c r="F39" i="13"/>
  <c r="F35" i="13"/>
  <c r="N244" i="9" a="1"/>
  <c r="N244" i="9" s="1"/>
  <c r="N108" i="9" a="1"/>
  <c r="N108" i="9" s="1"/>
  <c r="C434" i="13"/>
  <c r="C342" i="13"/>
  <c r="F604" i="13"/>
  <c r="E601" i="13"/>
  <c r="F560" i="13"/>
  <c r="F528" i="13"/>
  <c r="C526" i="13"/>
  <c r="C518" i="13"/>
  <c r="F500" i="13"/>
  <c r="C490" i="13"/>
  <c r="D487" i="13"/>
  <c r="E475" i="13"/>
  <c r="F472" i="13"/>
  <c r="F468" i="13"/>
  <c r="C450" i="13"/>
  <c r="D435" i="13"/>
  <c r="F432" i="13"/>
  <c r="C422" i="13"/>
  <c r="C406" i="13"/>
  <c r="C402" i="13"/>
  <c r="F396" i="13"/>
  <c r="C382" i="13"/>
  <c r="C370" i="13"/>
  <c r="F340" i="13"/>
  <c r="D323" i="13"/>
  <c r="F304" i="13"/>
  <c r="D303" i="13"/>
  <c r="E299" i="13"/>
  <c r="C298" i="13"/>
  <c r="F556" i="13"/>
  <c r="F552" i="13"/>
  <c r="F597" i="13"/>
  <c r="F564" i="13"/>
  <c r="C522" i="13"/>
  <c r="F516" i="13"/>
  <c r="C506" i="13"/>
  <c r="F488" i="13"/>
  <c r="D459" i="13"/>
  <c r="F436" i="13"/>
  <c r="F420" i="13"/>
  <c r="C410" i="13"/>
  <c r="F400" i="13"/>
  <c r="C386" i="13"/>
  <c r="C346" i="13"/>
  <c r="C326" i="13"/>
  <c r="F324" i="13"/>
  <c r="F300" i="13"/>
  <c r="N543" i="9" a="1"/>
  <c r="N543" i="9" s="1"/>
  <c r="E467" i="13"/>
  <c r="C302" i="13"/>
  <c r="F591" i="13"/>
  <c r="F579" i="13"/>
  <c r="C571" i="13"/>
  <c r="C567" i="13"/>
  <c r="F524" i="13"/>
  <c r="F504" i="13"/>
  <c r="C478" i="13"/>
  <c r="E451" i="13"/>
  <c r="F448" i="13"/>
  <c r="C426" i="13"/>
  <c r="D423" i="13"/>
  <c r="D403" i="13"/>
  <c r="C390" i="13"/>
  <c r="F388" i="13"/>
  <c r="D387" i="13"/>
  <c r="D383" i="13"/>
  <c r="F344" i="13"/>
  <c r="F296" i="13"/>
  <c r="C294" i="13"/>
  <c r="C474" i="13"/>
  <c r="C575" i="13"/>
  <c r="C542" i="13"/>
  <c r="C482" i="13"/>
  <c r="C454" i="13"/>
  <c r="D451" i="13"/>
  <c r="F424" i="13"/>
  <c r="D411" i="13"/>
  <c r="F408" i="13"/>
  <c r="F404" i="13"/>
  <c r="F384" i="13"/>
  <c r="C374" i="13"/>
  <c r="F348" i="13"/>
  <c r="C334" i="13"/>
  <c r="E331" i="13"/>
  <c r="C330" i="13"/>
  <c r="C290" i="13"/>
  <c r="C470" i="13"/>
  <c r="C446" i="13"/>
  <c r="C366" i="13"/>
  <c r="E323" i="13"/>
  <c r="F520" i="13"/>
  <c r="F492" i="13"/>
  <c r="F476" i="13"/>
  <c r="C594" i="13"/>
  <c r="F587" i="13"/>
  <c r="F573" i="13"/>
  <c r="F569" i="13"/>
  <c r="F544" i="13"/>
  <c r="C538" i="13"/>
  <c r="C510" i="13"/>
  <c r="C498" i="13"/>
  <c r="E483" i="13"/>
  <c r="C462" i="13"/>
  <c r="F460" i="13"/>
  <c r="F452" i="13"/>
  <c r="C442" i="13"/>
  <c r="D427" i="13"/>
  <c r="C414" i="13"/>
  <c r="F412" i="13"/>
  <c r="F332" i="13"/>
  <c r="D327" i="13"/>
  <c r="F292" i="13"/>
  <c r="N561" i="9" a="1"/>
  <c r="N561" i="9" s="1"/>
  <c r="F593" i="13"/>
  <c r="C587" i="13"/>
  <c r="C591" i="13"/>
  <c r="F540" i="13"/>
  <c r="D539" i="13"/>
  <c r="C534" i="13"/>
  <c r="F508" i="13"/>
  <c r="F496" i="13"/>
  <c r="C486" i="13"/>
  <c r="F480" i="13"/>
  <c r="F440" i="13"/>
  <c r="C394" i="13"/>
  <c r="F392" i="13"/>
  <c r="C378" i="13"/>
  <c r="C362" i="13"/>
  <c r="C354" i="13"/>
  <c r="F352" i="13"/>
  <c r="C338" i="13"/>
  <c r="F328" i="13"/>
  <c r="E315" i="13"/>
  <c r="C314" i="13"/>
  <c r="N553" i="9" a="1"/>
  <c r="N553" i="9" s="1"/>
  <c r="N521" i="9" a="1"/>
  <c r="N521" i="9" s="1"/>
  <c r="C287" i="13"/>
  <c r="C267" i="13"/>
  <c r="E250" i="13"/>
  <c r="F228" i="13"/>
  <c r="F201" i="13"/>
  <c r="F197" i="13"/>
  <c r="F173" i="13"/>
  <c r="F161" i="13"/>
  <c r="F149" i="13"/>
  <c r="D140" i="13"/>
  <c r="F125" i="13"/>
  <c r="F53" i="13"/>
  <c r="F225" i="13"/>
  <c r="D188" i="13"/>
  <c r="F185" i="13"/>
  <c r="D164" i="13"/>
  <c r="C288" i="13"/>
  <c r="C279" i="13"/>
  <c r="E262" i="13"/>
  <c r="C261" i="13"/>
  <c r="E258" i="13"/>
  <c r="C257" i="13"/>
  <c r="F232" i="13"/>
  <c r="F229" i="13"/>
  <c r="F205" i="13"/>
  <c r="D152" i="13"/>
  <c r="F141" i="13"/>
  <c r="F129" i="13"/>
  <c r="F117" i="13"/>
  <c r="F57" i="13"/>
  <c r="N277" i="9" a="1"/>
  <c r="N277" i="9" s="1"/>
  <c r="D224" i="13"/>
  <c r="F221" i="13"/>
  <c r="D176" i="13"/>
  <c r="C289" i="13"/>
  <c r="C284" i="13"/>
  <c r="E266" i="13"/>
  <c r="C265" i="13"/>
  <c r="C241" i="13"/>
  <c r="D232" i="13"/>
  <c r="D208" i="13"/>
  <c r="F189" i="13"/>
  <c r="F177" i="13"/>
  <c r="D144" i="13"/>
  <c r="D120" i="13"/>
  <c r="D108" i="13"/>
  <c r="C285" i="13"/>
  <c r="E281" i="13"/>
  <c r="E270" i="13"/>
  <c r="C269" i="13"/>
  <c r="E242" i="13"/>
  <c r="F222" i="13"/>
  <c r="F209" i="13"/>
  <c r="D168" i="13"/>
  <c r="F153" i="13"/>
  <c r="F145" i="13"/>
  <c r="F133" i="13"/>
  <c r="F77" i="13"/>
  <c r="F61" i="13"/>
  <c r="D192" i="13"/>
  <c r="F169" i="13"/>
  <c r="D156" i="13"/>
  <c r="N166" i="9" a="1"/>
  <c r="N166" i="9" s="1"/>
  <c r="N62" i="9" a="1"/>
  <c r="N62" i="9" s="1"/>
  <c r="C259" i="13"/>
  <c r="C255" i="13"/>
  <c r="E246" i="13"/>
  <c r="D233" i="13"/>
  <c r="D216" i="13"/>
  <c r="F213" i="13"/>
  <c r="F193" i="13"/>
  <c r="D180" i="13"/>
  <c r="F157" i="13"/>
  <c r="D112" i="13"/>
  <c r="F89" i="13"/>
  <c r="D80" i="13"/>
  <c r="F65" i="13"/>
  <c r="E518" i="13"/>
  <c r="F394" i="13"/>
  <c r="F378" i="13"/>
  <c r="F370" i="13"/>
  <c r="C256" i="13"/>
  <c r="C67" i="13"/>
  <c r="C63" i="13"/>
  <c r="E32" i="13"/>
  <c r="C31" i="13"/>
  <c r="N562" i="9" a="1"/>
  <c r="N562" i="9" s="1"/>
  <c r="F568" i="13"/>
  <c r="F585" i="13"/>
  <c r="C583" i="13"/>
  <c r="F510" i="13"/>
  <c r="F350" i="13"/>
  <c r="D349" i="13"/>
  <c r="F306" i="13"/>
  <c r="F290" i="13"/>
  <c r="E192" i="13"/>
  <c r="C179" i="13"/>
  <c r="E176" i="13"/>
  <c r="C175" i="13"/>
  <c r="C171" i="13"/>
  <c r="C79" i="13"/>
  <c r="E60" i="13"/>
  <c r="C59" i="13"/>
  <c r="C27" i="13"/>
  <c r="C550" i="13"/>
  <c r="F514" i="13"/>
  <c r="F502" i="13"/>
  <c r="C219" i="13"/>
  <c r="C562" i="13"/>
  <c r="E547" i="13"/>
  <c r="C546" i="13"/>
  <c r="F543" i="13"/>
  <c r="F506" i="13"/>
  <c r="F498" i="13"/>
  <c r="F494" i="13"/>
  <c r="D493" i="13"/>
  <c r="C268" i="13"/>
  <c r="C252" i="13"/>
  <c r="C215" i="13"/>
  <c r="E184" i="13"/>
  <c r="C183" i="13"/>
  <c r="C167" i="13"/>
  <c r="C163" i="13"/>
  <c r="E56" i="13"/>
  <c r="C55" i="13"/>
  <c r="E24" i="13"/>
  <c r="C23" i="13"/>
  <c r="D513" i="13"/>
  <c r="F382" i="13"/>
  <c r="D373" i="13"/>
  <c r="C272" i="13"/>
  <c r="E580" i="13"/>
  <c r="C579" i="13"/>
  <c r="F490" i="13"/>
  <c r="F482" i="13"/>
  <c r="F454" i="13"/>
  <c r="D437" i="13"/>
  <c r="F346" i="13"/>
  <c r="F302" i="13"/>
  <c r="F286" i="13"/>
  <c r="C248" i="13"/>
  <c r="C211" i="13"/>
  <c r="E160" i="13"/>
  <c r="C159" i="13"/>
  <c r="C151" i="13"/>
  <c r="C147" i="13"/>
  <c r="E144" i="13"/>
  <c r="C143" i="13"/>
  <c r="C139" i="13"/>
  <c r="E136" i="13"/>
  <c r="C135" i="13"/>
  <c r="C95" i="13"/>
  <c r="C91" i="13"/>
  <c r="C87" i="13"/>
  <c r="C51" i="13"/>
  <c r="C19" i="13"/>
  <c r="C11" i="13"/>
  <c r="E8" i="13"/>
  <c r="N402" i="9" a="1"/>
  <c r="N402" i="9" s="1"/>
  <c r="C566" i="13"/>
  <c r="F402" i="13"/>
  <c r="F374" i="13"/>
  <c r="F354" i="13"/>
  <c r="C195" i="13"/>
  <c r="F602" i="13"/>
  <c r="C600" i="13"/>
  <c r="F576" i="13"/>
  <c r="C558" i="13"/>
  <c r="F486" i="13"/>
  <c r="F458" i="13"/>
  <c r="F450" i="13"/>
  <c r="F446" i="13"/>
  <c r="D445" i="13"/>
  <c r="F442" i="13"/>
  <c r="F438" i="13"/>
  <c r="F410" i="13"/>
  <c r="F342" i="13"/>
  <c r="D341" i="13"/>
  <c r="C264" i="13"/>
  <c r="C244" i="13"/>
  <c r="C207" i="13"/>
  <c r="C155" i="13"/>
  <c r="E152" i="13"/>
  <c r="E132" i="13"/>
  <c r="C131" i="13"/>
  <c r="E108" i="13"/>
  <c r="C107" i="13"/>
  <c r="C103" i="13"/>
  <c r="C99" i="13"/>
  <c r="E48" i="13"/>
  <c r="C47" i="13"/>
  <c r="E16" i="13"/>
  <c r="C15" i="13"/>
  <c r="C517" i="13"/>
  <c r="C187" i="13"/>
  <c r="F606" i="13"/>
  <c r="C605" i="13"/>
  <c r="F598" i="13"/>
  <c r="D597" i="13"/>
  <c r="C596" i="13"/>
  <c r="F478" i="13"/>
  <c r="D477" i="13"/>
  <c r="F474" i="13"/>
  <c r="F434" i="13"/>
  <c r="D433" i="13"/>
  <c r="F426" i="13"/>
  <c r="D425" i="13"/>
  <c r="D409" i="13"/>
  <c r="F338" i="13"/>
  <c r="D337" i="13"/>
  <c r="F298" i="13"/>
  <c r="F282" i="13"/>
  <c r="C240" i="13"/>
  <c r="C231" i="13"/>
  <c r="C203" i="13"/>
  <c r="E128" i="13"/>
  <c r="C127" i="13"/>
  <c r="E120" i="13"/>
  <c r="C119" i="13"/>
  <c r="E44" i="13"/>
  <c r="C43" i="13"/>
  <c r="D393" i="13"/>
  <c r="C191" i="13"/>
  <c r="C601" i="13"/>
  <c r="E593" i="13"/>
  <c r="F572" i="13"/>
  <c r="C554" i="13"/>
  <c r="F466" i="13"/>
  <c r="F462" i="13"/>
  <c r="F422" i="13"/>
  <c r="F418" i="13"/>
  <c r="D417" i="13"/>
  <c r="F406" i="13"/>
  <c r="D389" i="13"/>
  <c r="F334" i="13"/>
  <c r="D333" i="13"/>
  <c r="F326" i="13"/>
  <c r="F322" i="13"/>
  <c r="D317" i="13"/>
  <c r="C276" i="13"/>
  <c r="C260" i="13"/>
  <c r="C236" i="13"/>
  <c r="F233" i="13"/>
  <c r="C227" i="13"/>
  <c r="C123" i="13"/>
  <c r="E116" i="13"/>
  <c r="C115" i="13"/>
  <c r="C75" i="13"/>
  <c r="E40" i="13"/>
  <c r="C39" i="13"/>
  <c r="F11" i="13"/>
  <c r="D8" i="13"/>
  <c r="N18" i="9" a="1"/>
  <c r="N18" i="9" s="1"/>
  <c r="B132" i="15"/>
  <c r="C132" i="13"/>
  <c r="D125" i="15"/>
  <c r="E125" i="13"/>
  <c r="B120" i="15"/>
  <c r="C120" i="13"/>
  <c r="B116" i="15"/>
  <c r="C116" i="13"/>
  <c r="B112" i="15"/>
  <c r="C112" i="13"/>
  <c r="C104" i="15"/>
  <c r="D104" i="13"/>
  <c r="M81" i="9"/>
  <c r="N81" i="9" s="1" a="1"/>
  <c r="N81" i="9" s="1"/>
  <c r="F71" i="13"/>
  <c r="M57" i="9"/>
  <c r="N57" i="9" s="1" a="1"/>
  <c r="N57" i="9" s="1"/>
  <c r="F47" i="13"/>
  <c r="C530" i="15"/>
  <c r="D530" i="13"/>
  <c r="F211" i="13"/>
  <c r="F195" i="13"/>
  <c r="D182" i="13"/>
  <c r="B599" i="15"/>
  <c r="C599" i="13"/>
  <c r="B595" i="15"/>
  <c r="C595" i="13"/>
  <c r="C490" i="15"/>
  <c r="D490" i="13"/>
  <c r="M493" i="9"/>
  <c r="N493" i="9" s="1" a="1"/>
  <c r="N493" i="9" s="1"/>
  <c r="F483" i="13"/>
  <c r="C482" i="15"/>
  <c r="D482" i="13"/>
  <c r="B477" i="15"/>
  <c r="C477" i="13"/>
  <c r="D474" i="15"/>
  <c r="E474" i="13"/>
  <c r="B473" i="15"/>
  <c r="C473" i="13"/>
  <c r="M480" i="9"/>
  <c r="N480" i="9" s="1" a="1"/>
  <c r="N480" i="9" s="1"/>
  <c r="F470" i="13"/>
  <c r="D465" i="15"/>
  <c r="E465" i="13"/>
  <c r="B460" i="15"/>
  <c r="C460" i="13"/>
  <c r="B456" i="15"/>
  <c r="C456" i="13"/>
  <c r="B452" i="15"/>
  <c r="C452" i="13"/>
  <c r="B45" i="15"/>
  <c r="C45" i="13"/>
  <c r="B41" i="15"/>
  <c r="C41" i="13"/>
  <c r="D38" i="15"/>
  <c r="E38" i="13"/>
  <c r="B37" i="15"/>
  <c r="C37" i="13"/>
  <c r="B33" i="15"/>
  <c r="C33" i="13"/>
  <c r="D30" i="15"/>
  <c r="E30" i="13"/>
  <c r="B29" i="15"/>
  <c r="C29" i="13"/>
  <c r="B25" i="15"/>
  <c r="C25" i="13"/>
  <c r="B21" i="15"/>
  <c r="C21" i="13"/>
  <c r="D18" i="15"/>
  <c r="E18" i="13"/>
  <c r="B17" i="15"/>
  <c r="C17" i="13"/>
  <c r="D14" i="15"/>
  <c r="E14" i="13"/>
  <c r="B13" i="15"/>
  <c r="C13" i="13"/>
  <c r="D10" i="15"/>
  <c r="E10" i="13"/>
  <c r="B124" i="15"/>
  <c r="C124" i="13"/>
  <c r="B108" i="15"/>
  <c r="C108" i="13"/>
  <c r="M73" i="9"/>
  <c r="N73" i="9" s="1" a="1"/>
  <c r="N73" i="9" s="1"/>
  <c r="F63" i="13"/>
  <c r="C58" i="15"/>
  <c r="D58" i="13"/>
  <c r="C194" i="15"/>
  <c r="D194" i="13"/>
  <c r="M197" i="9"/>
  <c r="N197" i="9" s="1" a="1"/>
  <c r="N197" i="9" s="1"/>
  <c r="F187" i="13"/>
  <c r="M181" i="9"/>
  <c r="N181" i="9" s="1" a="1"/>
  <c r="N181" i="9" s="1"/>
  <c r="F171" i="13"/>
  <c r="C166" i="15"/>
  <c r="D166" i="13"/>
  <c r="B157" i="15"/>
  <c r="C157" i="13"/>
  <c r="B149" i="15"/>
  <c r="C149" i="13"/>
  <c r="B145" i="15"/>
  <c r="C145" i="13"/>
  <c r="F531" i="13"/>
  <c r="B251" i="15"/>
  <c r="C251" i="13"/>
  <c r="B247" i="15"/>
  <c r="C247" i="13"/>
  <c r="B243" i="15"/>
  <c r="C243" i="13"/>
  <c r="B239" i="15"/>
  <c r="C239" i="13"/>
  <c r="D231" i="15"/>
  <c r="E231" i="13"/>
  <c r="B230" i="15"/>
  <c r="C230" i="13"/>
  <c r="D227" i="15"/>
  <c r="E227" i="13"/>
  <c r="B226" i="15"/>
  <c r="C226" i="13"/>
  <c r="D223" i="15"/>
  <c r="E223" i="13"/>
  <c r="B222" i="15"/>
  <c r="C222" i="13"/>
  <c r="B604" i="15"/>
  <c r="C604" i="13"/>
  <c r="M115" i="9"/>
  <c r="N115" i="9" s="1" a="1"/>
  <c r="N115" i="9" s="1"/>
  <c r="F105" i="13"/>
  <c r="M111" i="9"/>
  <c r="N111" i="9" s="1" a="1"/>
  <c r="N111" i="9" s="1"/>
  <c r="F101" i="13"/>
  <c r="B78" i="15"/>
  <c r="C78" i="13"/>
  <c r="M77" i="9"/>
  <c r="N77" i="9" s="1" a="1"/>
  <c r="N77" i="9" s="1"/>
  <c r="F67" i="13"/>
  <c r="D87" i="13"/>
  <c r="M185" i="9"/>
  <c r="N185" i="9" s="1" a="1"/>
  <c r="N185" i="9" s="1"/>
  <c r="F175" i="13"/>
  <c r="C174" i="15"/>
  <c r="D174" i="13"/>
  <c r="M177" i="9"/>
  <c r="N177" i="9" s="1" a="1"/>
  <c r="N177" i="9" s="1"/>
  <c r="F167" i="13"/>
  <c r="C162" i="15"/>
  <c r="D162" i="13"/>
  <c r="F518" i="13"/>
  <c r="F219" i="13"/>
  <c r="F203" i="13"/>
  <c r="B563" i="15"/>
  <c r="C563" i="13"/>
  <c r="B559" i="15"/>
  <c r="C559" i="13"/>
  <c r="B555" i="15"/>
  <c r="C555" i="13"/>
  <c r="C272" i="15"/>
  <c r="D272" i="13"/>
  <c r="C264" i="15"/>
  <c r="D264" i="13"/>
  <c r="C256" i="15"/>
  <c r="D256" i="13"/>
  <c r="B512" i="15"/>
  <c r="C512" i="13"/>
  <c r="B508" i="15"/>
  <c r="C508" i="13"/>
  <c r="B128" i="15"/>
  <c r="C128" i="13"/>
  <c r="B82" i="15"/>
  <c r="C82" i="13"/>
  <c r="M85" i="9"/>
  <c r="N85" i="9" s="1" a="1"/>
  <c r="N85" i="9" s="1"/>
  <c r="F75" i="13"/>
  <c r="C62" i="15"/>
  <c r="D62" i="13"/>
  <c r="M69" i="9"/>
  <c r="N69" i="9" s="1" a="1"/>
  <c r="N69" i="9" s="1"/>
  <c r="F59" i="13"/>
  <c r="M65" i="9"/>
  <c r="N65" i="9" s="1" a="1"/>
  <c r="N65" i="9" s="1"/>
  <c r="F55" i="13"/>
  <c r="C50" i="15"/>
  <c r="D50" i="13"/>
  <c r="M189" i="9"/>
  <c r="N189" i="9" s="1" a="1"/>
  <c r="N189" i="9" s="1"/>
  <c r="F179" i="13"/>
  <c r="M173" i="9"/>
  <c r="N173" i="9" s="1" a="1"/>
  <c r="N173" i="9" s="1"/>
  <c r="F163" i="13"/>
  <c r="F535" i="13"/>
  <c r="C581" i="15"/>
  <c r="D581" i="13"/>
  <c r="B576" i="15"/>
  <c r="C576" i="13"/>
  <c r="B572" i="15"/>
  <c r="C572" i="13"/>
  <c r="N458" i="9" a="1"/>
  <c r="N458" i="9" s="1"/>
  <c r="M320" i="9"/>
  <c r="N320" i="9" s="1" a="1"/>
  <c r="N320" i="9" s="1"/>
  <c r="F310" i="13"/>
  <c r="C289" i="15"/>
  <c r="D289" i="13"/>
  <c r="B280" i="15"/>
  <c r="C280" i="13"/>
  <c r="D509" i="15"/>
  <c r="E509" i="13"/>
  <c r="B136" i="15"/>
  <c r="C136" i="13"/>
  <c r="D129" i="15"/>
  <c r="E129" i="13"/>
  <c r="M103" i="9"/>
  <c r="N103" i="9" s="1" a="1"/>
  <c r="N103" i="9" s="1"/>
  <c r="F93" i="13"/>
  <c r="M98" i="9"/>
  <c r="N98" i="9" s="1" a="1"/>
  <c r="N98" i="9" s="1"/>
  <c r="F88" i="13"/>
  <c r="F522" i="13"/>
  <c r="F207" i="13"/>
  <c r="C590" i="15"/>
  <c r="D590" i="13"/>
  <c r="M349" i="9"/>
  <c r="N349" i="9" s="1" a="1"/>
  <c r="N349" i="9" s="1"/>
  <c r="F339" i="13"/>
  <c r="D334" i="15"/>
  <c r="E334" i="13"/>
  <c r="B333" i="15"/>
  <c r="C333" i="13"/>
  <c r="B329" i="15"/>
  <c r="C329" i="13"/>
  <c r="B325" i="15"/>
  <c r="C325" i="13"/>
  <c r="D322" i="15"/>
  <c r="E322" i="13"/>
  <c r="B321" i="15"/>
  <c r="C321" i="13"/>
  <c r="D318" i="15"/>
  <c r="E318" i="13"/>
  <c r="B317" i="15"/>
  <c r="C317" i="13"/>
  <c r="D314" i="15"/>
  <c r="E314" i="13"/>
  <c r="B313" i="15"/>
  <c r="C313" i="13"/>
  <c r="M107" i="9"/>
  <c r="N107" i="9" s="1" a="1"/>
  <c r="N107" i="9" s="1"/>
  <c r="F97" i="13"/>
  <c r="C74" i="15"/>
  <c r="D74" i="13"/>
  <c r="C54" i="15"/>
  <c r="D54" i="13"/>
  <c r="M61" i="9"/>
  <c r="N61" i="9" s="1" a="1"/>
  <c r="N61" i="9" s="1"/>
  <c r="F51" i="13"/>
  <c r="C86" i="13"/>
  <c r="C538" i="15"/>
  <c r="D538" i="13"/>
  <c r="M201" i="9"/>
  <c r="N201" i="9" s="1" a="1"/>
  <c r="N201" i="9" s="1"/>
  <c r="F191" i="13"/>
  <c r="M193" i="9"/>
  <c r="N193" i="9" s="1" a="1"/>
  <c r="N193" i="9" s="1"/>
  <c r="F183" i="13"/>
  <c r="F539" i="13"/>
  <c r="M455" i="9"/>
  <c r="N455" i="9" s="1" a="1"/>
  <c r="N455" i="9" s="1"/>
  <c r="F445" i="13"/>
  <c r="C444" i="15"/>
  <c r="D444" i="13"/>
  <c r="M451" i="9"/>
  <c r="N451" i="9" s="1" a="1"/>
  <c r="N451" i="9" s="1"/>
  <c r="F441" i="13"/>
  <c r="M447" i="9"/>
  <c r="N447" i="9" s="1" a="1"/>
  <c r="N447" i="9" s="1"/>
  <c r="F437" i="13"/>
  <c r="C436" i="15"/>
  <c r="D436" i="13"/>
  <c r="M443" i="9"/>
  <c r="N443" i="9" s="1" a="1"/>
  <c r="N443" i="9" s="1"/>
  <c r="F433" i="13"/>
  <c r="M439" i="9"/>
  <c r="N439" i="9" s="1" a="1"/>
  <c r="N439" i="9" s="1"/>
  <c r="F429" i="13"/>
  <c r="C428" i="15"/>
  <c r="D428" i="13"/>
  <c r="M435" i="9"/>
  <c r="N435" i="9" s="1" a="1"/>
  <c r="N435" i="9" s="1"/>
  <c r="F425" i="13"/>
  <c r="C424" i="15"/>
  <c r="D424" i="13"/>
  <c r="D420" i="15"/>
  <c r="E420" i="13"/>
  <c r="B419" i="15"/>
  <c r="C419" i="13"/>
  <c r="D416" i="15"/>
  <c r="E416" i="13"/>
  <c r="B415" i="15"/>
  <c r="C415" i="13"/>
  <c r="B411" i="15"/>
  <c r="C411" i="13"/>
  <c r="D408" i="15"/>
  <c r="E408" i="13"/>
  <c r="B407" i="15"/>
  <c r="C407" i="13"/>
  <c r="D404" i="15"/>
  <c r="E404" i="13"/>
  <c r="B403" i="15"/>
  <c r="C403" i="13"/>
  <c r="B399" i="15"/>
  <c r="C399" i="13"/>
  <c r="B395" i="15"/>
  <c r="C395" i="13"/>
  <c r="B391" i="15"/>
  <c r="C391" i="13"/>
  <c r="B387" i="15"/>
  <c r="C387" i="13"/>
  <c r="B383" i="15"/>
  <c r="C383" i="13"/>
  <c r="M390" i="9"/>
  <c r="N390" i="9" s="1" a="1"/>
  <c r="N390" i="9" s="1"/>
  <c r="F380" i="13"/>
  <c r="C379" i="15"/>
  <c r="D379" i="13"/>
  <c r="M386" i="9"/>
  <c r="N386" i="9" s="1" a="1"/>
  <c r="N386" i="9" s="1"/>
  <c r="F376" i="13"/>
  <c r="C375" i="15"/>
  <c r="D375" i="13"/>
  <c r="M382" i="9"/>
  <c r="N382" i="9" s="1" a="1"/>
  <c r="N382" i="9" s="1"/>
  <c r="F372" i="13"/>
  <c r="M378" i="9"/>
  <c r="N378" i="9" s="1" a="1"/>
  <c r="N378" i="9" s="1"/>
  <c r="F368" i="13"/>
  <c r="C367" i="15"/>
  <c r="D367" i="13"/>
  <c r="M374" i="9"/>
  <c r="N374" i="9" s="1" a="1"/>
  <c r="N374" i="9" s="1"/>
  <c r="F364" i="13"/>
  <c r="M370" i="9"/>
  <c r="N370" i="9" s="1" a="1"/>
  <c r="N370" i="9" s="1"/>
  <c r="F360" i="13"/>
  <c r="M366" i="9"/>
  <c r="N366" i="9" s="1" a="1"/>
  <c r="N366" i="9" s="1"/>
  <c r="F356" i="13"/>
  <c r="B350" i="15"/>
  <c r="C350" i="13"/>
  <c r="N593" i="9" a="1"/>
  <c r="N593" i="9" s="1"/>
  <c r="N45" i="9" a="1"/>
  <c r="N45" i="9" s="1"/>
  <c r="D605" i="13"/>
  <c r="N375" i="9" a="1"/>
  <c r="N375" i="9" s="1"/>
  <c r="N301" i="9" a="1"/>
  <c r="N301" i="9" s="1"/>
  <c r="N202" i="9" a="1"/>
  <c r="N202" i="9" s="1"/>
  <c r="N609" i="9" a="1"/>
  <c r="N609" i="9" s="1"/>
  <c r="N401" i="9" a="1"/>
  <c r="N401" i="9" s="1"/>
  <c r="C9" i="13"/>
  <c r="N587" i="9" a="1"/>
  <c r="N587" i="9" s="1"/>
  <c r="N60" i="9" a="1"/>
  <c r="N60" i="9" s="1"/>
  <c r="C559" i="15"/>
  <c r="C549" i="15"/>
  <c r="C521" i="15"/>
  <c r="C218" i="15"/>
  <c r="G191" i="13"/>
  <c r="M175" i="9"/>
  <c r="N175" i="9" s="1" a="1"/>
  <c r="N175" i="9" s="1"/>
  <c r="F165" i="13"/>
  <c r="C100" i="15"/>
  <c r="D100" i="13"/>
  <c r="D98" i="15"/>
  <c r="E98" i="13"/>
  <c r="D510" i="15"/>
  <c r="C325" i="15"/>
  <c r="B102" i="15"/>
  <c r="C102" i="13"/>
  <c r="D522" i="15"/>
  <c r="D517" i="15"/>
  <c r="C268" i="15"/>
  <c r="M186" i="9"/>
  <c r="N186" i="9" s="1" a="1"/>
  <c r="N186" i="9" s="1"/>
  <c r="F176" i="13"/>
  <c r="M182" i="9"/>
  <c r="N182" i="9" s="1" a="1"/>
  <c r="N182" i="9" s="1"/>
  <c r="F172" i="13"/>
  <c r="C137" i="15"/>
  <c r="D137" i="13"/>
  <c r="G114" i="13"/>
  <c r="B113" i="15"/>
  <c r="C113" i="13"/>
  <c r="B111" i="15"/>
  <c r="C111" i="13"/>
  <c r="G110" i="13"/>
  <c r="B109" i="15"/>
  <c r="C109" i="13"/>
  <c r="M113" i="9"/>
  <c r="N113" i="9" s="1" a="1"/>
  <c r="N113" i="9" s="1"/>
  <c r="F103" i="13"/>
  <c r="D602" i="15"/>
  <c r="B180" i="15"/>
  <c r="C180" i="13"/>
  <c r="G179" i="13"/>
  <c r="H145" i="13"/>
  <c r="M150" i="9"/>
  <c r="N150" i="9" s="1" a="1"/>
  <c r="N150" i="9" s="1"/>
  <c r="F140" i="13"/>
  <c r="N611" i="9" a="1"/>
  <c r="N611" i="9" s="1"/>
  <c r="N603" i="9" a="1"/>
  <c r="N603" i="9" s="1"/>
  <c r="D578" i="15"/>
  <c r="D572" i="15"/>
  <c r="D570" i="15"/>
  <c r="D561" i="15"/>
  <c r="D502" i="15"/>
  <c r="D326" i="15"/>
  <c r="D595" i="15"/>
  <c r="D149" i="15"/>
  <c r="E149" i="13"/>
  <c r="D562" i="15"/>
  <c r="N559" i="9" a="1"/>
  <c r="N559" i="9" s="1"/>
  <c r="D482" i="15"/>
  <c r="M198" i="9"/>
  <c r="N198" i="9" s="1" a="1"/>
  <c r="N198" i="9" s="1"/>
  <c r="F188" i="13"/>
  <c r="B153" i="15"/>
  <c r="C153" i="13"/>
  <c r="H152" i="13"/>
  <c r="C151" i="15"/>
  <c r="D151" i="13"/>
  <c r="D121" i="15"/>
  <c r="C540" i="15"/>
  <c r="C509" i="15"/>
  <c r="H122" i="13"/>
  <c r="N613" i="9" a="1"/>
  <c r="N613" i="9" s="1"/>
  <c r="N583" i="9" a="1"/>
  <c r="N583" i="9" s="1"/>
  <c r="N571" i="9" a="1"/>
  <c r="N571" i="9" s="1"/>
  <c r="N567" i="9" a="1"/>
  <c r="N567" i="9" s="1"/>
  <c r="N243" i="9" a="1"/>
  <c r="N243" i="9" s="1"/>
  <c r="N208" i="9" a="1"/>
  <c r="N208" i="9" s="1"/>
  <c r="N100" i="9" a="1"/>
  <c r="N100" i="9" s="1"/>
  <c r="N529" i="9" a="1"/>
  <c r="N529" i="9" s="1"/>
  <c r="N383" i="9" a="1"/>
  <c r="N383" i="9" s="1"/>
  <c r="N259" i="9" a="1"/>
  <c r="N259" i="9" s="1"/>
  <c r="N158" i="9" a="1"/>
  <c r="N158" i="9" s="1"/>
  <c r="N26" i="9" a="1"/>
  <c r="N26" i="9" s="1"/>
  <c r="D550" i="15"/>
  <c r="N615" i="9" a="1"/>
  <c r="N615" i="9" s="1"/>
  <c r="N585" i="9" a="1"/>
  <c r="N585" i="9" s="1"/>
  <c r="N557" i="9" a="1"/>
  <c r="N557" i="9" s="1"/>
  <c r="N510" i="9" a="1"/>
  <c r="N510" i="9" s="1"/>
  <c r="C93" i="13"/>
  <c r="E89" i="13"/>
  <c r="D78" i="13"/>
  <c r="N497" i="9" a="1"/>
  <c r="N497" i="9" s="1"/>
  <c r="N432" i="9" a="1"/>
  <c r="N432" i="9" s="1"/>
  <c r="N379" i="9" a="1"/>
  <c r="N379" i="9" s="1"/>
  <c r="N293" i="9" a="1"/>
  <c r="N293" i="9" s="1"/>
  <c r="N278" i="9" a="1"/>
  <c r="N278" i="9" s="1"/>
  <c r="N154" i="9" a="1"/>
  <c r="N154" i="9" s="1"/>
  <c r="D606" i="15"/>
  <c r="D605" i="15"/>
  <c r="C602" i="15"/>
  <c r="C600" i="15"/>
  <c r="C599" i="15"/>
  <c r="C596" i="15"/>
  <c r="C595" i="15"/>
  <c r="C568" i="15"/>
  <c r="C567" i="15"/>
  <c r="D563" i="15"/>
  <c r="C562" i="15"/>
  <c r="D557" i="15"/>
  <c r="D545" i="15"/>
  <c r="C544" i="15"/>
  <c r="D528" i="15"/>
  <c r="C516" i="15"/>
  <c r="D511" i="15"/>
  <c r="C385" i="15"/>
  <c r="C604" i="15"/>
  <c r="C603" i="15"/>
  <c r="C601" i="15"/>
  <c r="D569" i="15"/>
  <c r="C563" i="15"/>
  <c r="C553" i="15"/>
  <c r="D539" i="15"/>
  <c r="D534" i="15"/>
  <c r="D533" i="15"/>
  <c r="D512" i="15"/>
  <c r="D571" i="15"/>
  <c r="C570" i="15"/>
  <c r="C569" i="15"/>
  <c r="D564" i="15"/>
  <c r="D546" i="15"/>
  <c r="D535" i="15"/>
  <c r="C534" i="15"/>
  <c r="C517" i="15"/>
  <c r="C512" i="15"/>
  <c r="C571" i="15"/>
  <c r="C564" i="15"/>
  <c r="D558" i="15"/>
  <c r="D555" i="15"/>
  <c r="D541" i="15"/>
  <c r="D540" i="15"/>
  <c r="C535" i="15"/>
  <c r="D530" i="15"/>
  <c r="D481" i="15"/>
  <c r="D573" i="15"/>
  <c r="C572" i="15"/>
  <c r="N579" i="9" a="1"/>
  <c r="N579" i="9" s="1"/>
  <c r="D565" i="15"/>
  <c r="D560" i="15"/>
  <c r="D559" i="15"/>
  <c r="C555" i="15"/>
  <c r="C541" i="15"/>
  <c r="D536" i="15"/>
  <c r="D513" i="15"/>
  <c r="D592" i="15"/>
  <c r="N599" i="9" a="1"/>
  <c r="N599" i="9" s="1"/>
  <c r="N597" i="9" a="1"/>
  <c r="N597" i="9" s="1"/>
  <c r="D584" i="15"/>
  <c r="N591" i="9" a="1"/>
  <c r="N591" i="9" s="1"/>
  <c r="N589" i="9" a="1"/>
  <c r="N589" i="9" s="1"/>
  <c r="D576" i="15"/>
  <c r="D574" i="15"/>
  <c r="C573" i="15"/>
  <c r="C565" i="15"/>
  <c r="C560" i="15"/>
  <c r="D542" i="15"/>
  <c r="D531" i="15"/>
  <c r="N607" i="9" a="1"/>
  <c r="N607" i="9" s="1"/>
  <c r="N605" i="9" a="1"/>
  <c r="N605" i="9" s="1"/>
  <c r="C592" i="15"/>
  <c r="D591" i="15"/>
  <c r="D590" i="15"/>
  <c r="D589" i="15"/>
  <c r="C586" i="15"/>
  <c r="C584" i="15"/>
  <c r="D583" i="15"/>
  <c r="D582" i="15"/>
  <c r="D581" i="15"/>
  <c r="C578" i="15"/>
  <c r="C576" i="15"/>
  <c r="D575" i="15"/>
  <c r="C574" i="15"/>
  <c r="D566" i="15"/>
  <c r="D543" i="15"/>
  <c r="C542" i="15"/>
  <c r="C515" i="15"/>
  <c r="D600" i="15"/>
  <c r="D599" i="15"/>
  <c r="D598" i="15"/>
  <c r="D597" i="15"/>
  <c r="C594" i="15"/>
  <c r="C593" i="15"/>
  <c r="C591" i="15"/>
  <c r="C588" i="15"/>
  <c r="C587" i="15"/>
  <c r="C585" i="15"/>
  <c r="C580" i="15"/>
  <c r="C579" i="15"/>
  <c r="C577" i="15"/>
  <c r="C575" i="15"/>
  <c r="D567" i="15"/>
  <c r="C566" i="15"/>
  <c r="D556" i="15"/>
  <c r="D552" i="15"/>
  <c r="D544" i="15"/>
  <c r="C543" i="15"/>
  <c r="D538" i="15"/>
  <c r="D527" i="15"/>
  <c r="D516" i="15"/>
  <c r="C561" i="15"/>
  <c r="N568" i="9" a="1"/>
  <c r="N568" i="9" s="1"/>
  <c r="C558" i="15"/>
  <c r="C556" i="15"/>
  <c r="D549" i="15"/>
  <c r="N558" i="9" a="1"/>
  <c r="N558" i="9" s="1"/>
  <c r="N554" i="9" a="1"/>
  <c r="N554" i="9" s="1"/>
  <c r="C536" i="15"/>
  <c r="N545" i="9" a="1"/>
  <c r="N545" i="9" s="1"/>
  <c r="C528" i="15"/>
  <c r="C527" i="15"/>
  <c r="N535" i="9" a="1"/>
  <c r="N535" i="9" s="1"/>
  <c r="C511" i="15"/>
  <c r="N519" i="9" a="1"/>
  <c r="N519" i="9" s="1"/>
  <c r="N513" i="9" a="1"/>
  <c r="N513" i="9" s="1"/>
  <c r="N479" i="9" a="1"/>
  <c r="N479" i="9" s="1"/>
  <c r="C331" i="15"/>
  <c r="D82" i="15"/>
  <c r="C547" i="15"/>
  <c r="N549" i="9" a="1"/>
  <c r="N549" i="9" s="1"/>
  <c r="C526" i="15"/>
  <c r="N534" i="9" a="1"/>
  <c r="N534" i="9" s="1"/>
  <c r="D523" i="15"/>
  <c r="N530" i="9" a="1"/>
  <c r="N530" i="9" s="1"/>
  <c r="C510" i="15"/>
  <c r="N518" i="9" a="1"/>
  <c r="N518" i="9" s="1"/>
  <c r="D507" i="15"/>
  <c r="N498" i="9" a="1"/>
  <c r="N498" i="9" s="1"/>
  <c r="N456" i="9" a="1"/>
  <c r="N456" i="9" s="1"/>
  <c r="N409" i="9" a="1"/>
  <c r="N409" i="9" s="1"/>
  <c r="C381" i="15"/>
  <c r="D243" i="15"/>
  <c r="D551" i="15"/>
  <c r="C550" i="15"/>
  <c r="C523" i="15"/>
  <c r="D520" i="15"/>
  <c r="C507" i="15"/>
  <c r="N452" i="9" a="1"/>
  <c r="N452" i="9" s="1"/>
  <c r="D345" i="15"/>
  <c r="C300" i="15"/>
  <c r="D26" i="15"/>
  <c r="C551" i="15"/>
  <c r="C520" i="15"/>
  <c r="D519" i="15"/>
  <c r="C281" i="15"/>
  <c r="D74" i="15"/>
  <c r="C519" i="15"/>
  <c r="N527" i="9" a="1"/>
  <c r="N527" i="9" s="1"/>
  <c r="N486" i="9" a="1"/>
  <c r="N486" i="9" s="1"/>
  <c r="N457" i="9" a="1"/>
  <c r="N457" i="9" s="1"/>
  <c r="N434" i="9" a="1"/>
  <c r="N434" i="9" s="1"/>
  <c r="N395" i="9" a="1"/>
  <c r="N395" i="9" s="1"/>
  <c r="C309" i="15"/>
  <c r="C89" i="15"/>
  <c r="N581" i="9" a="1"/>
  <c r="N581" i="9" s="1"/>
  <c r="D568" i="15"/>
  <c r="N575" i="9" a="1"/>
  <c r="N575" i="9" s="1"/>
  <c r="N573" i="9" a="1"/>
  <c r="N573" i="9" s="1"/>
  <c r="N565" i="9" a="1"/>
  <c r="N565" i="9" s="1"/>
  <c r="C552" i="15"/>
  <c r="N551" i="9" a="1"/>
  <c r="N551" i="9" s="1"/>
  <c r="C518" i="15"/>
  <c r="N526" i="9" a="1"/>
  <c r="N526" i="9" s="1"/>
  <c r="D515" i="15"/>
  <c r="N522" i="9" a="1"/>
  <c r="N522" i="9" s="1"/>
  <c r="N462" i="9" a="1"/>
  <c r="N462" i="9" s="1"/>
  <c r="N408" i="9" a="1"/>
  <c r="N408" i="9" s="1"/>
  <c r="D294" i="15"/>
  <c r="D79" i="15"/>
  <c r="N381" i="9" a="1"/>
  <c r="N381" i="9" s="1"/>
  <c r="N365" i="9" a="1"/>
  <c r="N365" i="9" s="1"/>
  <c r="N363" i="9" a="1"/>
  <c r="N363" i="9" s="1"/>
  <c r="N347" i="9" a="1"/>
  <c r="N347" i="9" s="1"/>
  <c r="N90" i="9" a="1"/>
  <c r="N90" i="9" s="1"/>
  <c r="N56" i="9" a="1"/>
  <c r="N56" i="9" s="1"/>
  <c r="N30" i="9" a="1"/>
  <c r="N30" i="9" s="1"/>
  <c r="N120" i="9" a="1"/>
  <c r="N120" i="9" s="1"/>
  <c r="N117" i="9" a="1"/>
  <c r="N117" i="9" s="1"/>
  <c r="N50" i="9" a="1"/>
  <c r="N50" i="9" s="1"/>
  <c r="N43" i="9" a="1"/>
  <c r="N43" i="9" s="1"/>
  <c r="N362" i="9" a="1"/>
  <c r="N362" i="9" s="1"/>
  <c r="N214" i="9" a="1"/>
  <c r="N214" i="9" s="1"/>
  <c r="N211" i="9" a="1"/>
  <c r="N211" i="9" s="1"/>
  <c r="N200" i="9" a="1"/>
  <c r="N200" i="9" s="1"/>
  <c r="N94" i="9" a="1"/>
  <c r="N94" i="9" s="1"/>
  <c r="N91" i="9" a="1"/>
  <c r="N91" i="9" s="1"/>
  <c r="N86" i="9" a="1"/>
  <c r="N86" i="9" s="1"/>
  <c r="N58" i="9" a="1"/>
  <c r="N58" i="9" s="1"/>
  <c r="N44" i="9" a="1"/>
  <c r="N44" i="9" s="1"/>
  <c r="N319" i="9" a="1"/>
  <c r="N319" i="9" s="1"/>
  <c r="N255" i="9" a="1"/>
  <c r="N255" i="9" s="1"/>
  <c r="N190" i="9" a="1"/>
  <c r="N190" i="9" s="1"/>
  <c r="N99" i="9" a="1"/>
  <c r="N99" i="9" s="1"/>
  <c r="N70" i="9" a="1"/>
  <c r="N70" i="9" s="1"/>
  <c r="N51" i="9" a="1"/>
  <c r="N51" i="9" s="1"/>
  <c r="N21" i="9" a="1"/>
  <c r="N21" i="9" s="1"/>
  <c r="N524" i="9" a="1"/>
  <c r="N524" i="9" s="1"/>
  <c r="N398" i="9" a="1"/>
  <c r="N398" i="9" s="1"/>
  <c r="N616" i="9" a="1"/>
  <c r="N616" i="9" s="1"/>
  <c r="N608" i="9" a="1"/>
  <c r="N608" i="9" s="1"/>
  <c r="N576" i="9" a="1"/>
  <c r="N576" i="9" s="1"/>
  <c r="N531" i="9" a="1"/>
  <c r="N531" i="9" s="1"/>
  <c r="N539" i="9" a="1"/>
  <c r="N539" i="9" s="1"/>
  <c r="N523" i="9" a="1"/>
  <c r="N523" i="9" s="1"/>
  <c r="N547" i="9" a="1"/>
  <c r="N547" i="9" s="1"/>
  <c r="G499" i="13"/>
  <c r="C494" i="13"/>
  <c r="G464" i="13"/>
  <c r="G112" i="13"/>
  <c r="D443" i="15"/>
  <c r="N449" i="9" a="1"/>
  <c r="N449" i="9" s="1"/>
  <c r="D413" i="15"/>
  <c r="D362" i="15"/>
  <c r="D505" i="13"/>
  <c r="F487" i="13"/>
  <c r="F447" i="13"/>
  <c r="C413" i="13"/>
  <c r="H389" i="13"/>
  <c r="H381" i="13"/>
  <c r="G370" i="13"/>
  <c r="F85" i="13"/>
  <c r="F76" i="13"/>
  <c r="G66" i="13"/>
  <c r="C440" i="15"/>
  <c r="N450" i="9" a="1"/>
  <c r="N450" i="9" s="1"/>
  <c r="D431" i="15"/>
  <c r="N367" i="9" a="1"/>
  <c r="N367" i="9" s="1"/>
  <c r="C466" i="13"/>
  <c r="F461" i="13"/>
  <c r="H456" i="13"/>
  <c r="H401" i="13"/>
  <c r="H378" i="13"/>
  <c r="H367" i="13"/>
  <c r="H342" i="13"/>
  <c r="C461" i="15"/>
  <c r="N471" i="9" a="1"/>
  <c r="N471" i="9" s="1"/>
  <c r="D435" i="15"/>
  <c r="D396" i="15"/>
  <c r="D370" i="15"/>
  <c r="C160" i="15"/>
  <c r="D498" i="15"/>
  <c r="D317" i="15"/>
  <c r="E505" i="13"/>
  <c r="D400" i="15"/>
  <c r="C504" i="13"/>
  <c r="D449" i="13"/>
  <c r="G415" i="13"/>
  <c r="E362" i="13"/>
  <c r="E309" i="13"/>
  <c r="H307" i="13"/>
  <c r="F120" i="13"/>
  <c r="H81" i="13"/>
  <c r="D75" i="13"/>
  <c r="D436" i="15"/>
  <c r="C357" i="15"/>
  <c r="D286" i="15"/>
  <c r="C217" i="15"/>
  <c r="C439" i="15"/>
  <c r="C503" i="13"/>
  <c r="F475" i="13"/>
  <c r="E459" i="13"/>
  <c r="C429" i="13"/>
  <c r="F369" i="13"/>
  <c r="G324" i="13"/>
  <c r="E317" i="13"/>
  <c r="D437" i="15"/>
  <c r="C407" i="15"/>
  <c r="D291" i="15"/>
  <c r="D486" i="15"/>
  <c r="C485" i="15"/>
  <c r="H418" i="13"/>
  <c r="H499" i="13"/>
  <c r="G491" i="13"/>
  <c r="D485" i="13"/>
  <c r="H468" i="13"/>
  <c r="F444" i="13"/>
  <c r="C438" i="13"/>
  <c r="F414" i="13"/>
  <c r="H411" i="13"/>
  <c r="H392" i="13"/>
  <c r="E377" i="13"/>
  <c r="D361" i="13"/>
  <c r="C327" i="13"/>
  <c r="C83" i="13"/>
  <c r="N514" i="9" a="1"/>
  <c r="N514" i="9" s="1"/>
  <c r="C484" i="15"/>
  <c r="C408" i="15"/>
  <c r="N448" i="9" a="1"/>
  <c r="N448" i="9" s="1"/>
  <c r="N342" i="9" a="1"/>
  <c r="N342" i="9" s="1"/>
  <c r="D305" i="15"/>
  <c r="C276" i="15"/>
  <c r="D255" i="15"/>
  <c r="N238" i="9" a="1"/>
  <c r="N238" i="9" s="1"/>
  <c r="C196" i="15"/>
  <c r="D157" i="15"/>
  <c r="C148" i="15"/>
  <c r="D133" i="15"/>
  <c r="D96" i="15"/>
  <c r="D306" i="15"/>
  <c r="D274" i="15"/>
  <c r="C257" i="15"/>
  <c r="N267" i="9" a="1"/>
  <c r="N267" i="9" s="1"/>
  <c r="N247" i="9" a="1"/>
  <c r="N247" i="9" s="1"/>
  <c r="C209" i="15"/>
  <c r="D189" i="15"/>
  <c r="D161" i="15"/>
  <c r="D154" i="15"/>
  <c r="C115" i="15"/>
  <c r="D85" i="15"/>
  <c r="N343" i="9" a="1"/>
  <c r="N343" i="9" s="1"/>
  <c r="C301" i="15"/>
  <c r="D222" i="15"/>
  <c r="D219" i="15"/>
  <c r="C198" i="15"/>
  <c r="D173" i="15"/>
  <c r="D138" i="15"/>
  <c r="N416" i="9" a="1"/>
  <c r="N416" i="9" s="1"/>
  <c r="D311" i="15"/>
  <c r="D265" i="15"/>
  <c r="C258" i="15"/>
  <c r="D211" i="15"/>
  <c r="C210" i="15"/>
  <c r="D185" i="15"/>
  <c r="D146" i="15"/>
  <c r="D130" i="15"/>
  <c r="D86" i="15"/>
  <c r="C69" i="15"/>
  <c r="D275" i="15"/>
  <c r="D238" i="15"/>
  <c r="C199" i="15"/>
  <c r="N504" i="9" a="1"/>
  <c r="N504" i="9" s="1"/>
  <c r="N482" i="9" a="1"/>
  <c r="N482" i="9" s="1"/>
  <c r="N325" i="9" a="1"/>
  <c r="N325" i="9" s="1"/>
  <c r="D289" i="15"/>
  <c r="N286" i="9" a="1"/>
  <c r="N286" i="9" s="1"/>
  <c r="C226" i="15"/>
  <c r="N148" i="9" a="1"/>
  <c r="N148" i="9" s="1"/>
  <c r="C131" i="15"/>
  <c r="C73" i="15"/>
  <c r="N29" i="9" a="1"/>
  <c r="N29" i="9" s="1"/>
  <c r="N419" i="9" a="1"/>
  <c r="N419" i="9" s="1"/>
  <c r="N417" i="9" a="1"/>
  <c r="N417" i="9" s="1"/>
  <c r="N358" i="9" a="1"/>
  <c r="N358" i="9" s="1"/>
  <c r="N350" i="9" a="1"/>
  <c r="N350" i="9" s="1"/>
  <c r="C308" i="15"/>
  <c r="D290" i="15"/>
  <c r="D254" i="15"/>
  <c r="D239" i="15"/>
  <c r="D196" i="15"/>
  <c r="C132" i="15"/>
  <c r="N68" i="9" a="1"/>
  <c r="N68" i="9" s="1"/>
  <c r="D47" i="15"/>
  <c r="N178" i="9" a="1"/>
  <c r="N178" i="9" s="1"/>
  <c r="N174" i="9" a="1"/>
  <c r="N174" i="9" s="1"/>
  <c r="N119" i="9" a="1"/>
  <c r="N119" i="9" s="1"/>
  <c r="D46" i="15"/>
  <c r="D15" i="15"/>
  <c r="N310" i="9" a="1"/>
  <c r="N310" i="9" s="1"/>
  <c r="N246" i="9" a="1"/>
  <c r="N246" i="9" s="1"/>
  <c r="N133" i="9" a="1"/>
  <c r="N133" i="9" s="1"/>
  <c r="N116" i="9" a="1"/>
  <c r="N116" i="9" s="1"/>
  <c r="N311" i="9" a="1"/>
  <c r="N311" i="9" s="1"/>
  <c r="N142" i="9" a="1"/>
  <c r="N142" i="9" s="1"/>
  <c r="N126" i="9" a="1"/>
  <c r="N126" i="9" s="1"/>
  <c r="N83" i="9" a="1"/>
  <c r="N83" i="9" s="1"/>
  <c r="N258" i="9" a="1"/>
  <c r="N258" i="9" s="1"/>
  <c r="N254" i="9" a="1"/>
  <c r="N254" i="9" s="1"/>
  <c r="N227" i="9" a="1"/>
  <c r="N227" i="9" s="1"/>
  <c r="N219" i="9" a="1"/>
  <c r="N219" i="9" s="1"/>
  <c r="N213" i="9" a="1"/>
  <c r="N213" i="9" s="1"/>
  <c r="N170" i="9" a="1"/>
  <c r="N170" i="9" s="1"/>
  <c r="N157" i="9" a="1"/>
  <c r="N157" i="9" s="1"/>
  <c r="C481" i="15"/>
  <c r="C480" i="15"/>
  <c r="C467" i="15"/>
  <c r="C463" i="15"/>
  <c r="N473" i="9" a="1"/>
  <c r="N473" i="9" s="1"/>
  <c r="D452" i="15"/>
  <c r="D427" i="15"/>
  <c r="D410" i="15"/>
  <c r="D399" i="15"/>
  <c r="D491" i="15"/>
  <c r="D490" i="15"/>
  <c r="C471" i="15"/>
  <c r="C468" i="15"/>
  <c r="C432" i="15"/>
  <c r="C415" i="15"/>
  <c r="N425" i="9" a="1"/>
  <c r="N425" i="9" s="1"/>
  <c r="D376" i="15"/>
  <c r="C491" i="15"/>
  <c r="D485" i="15"/>
  <c r="C469" i="15"/>
  <c r="C453" i="15"/>
  <c r="C377" i="15"/>
  <c r="N506" i="9" a="1"/>
  <c r="N506" i="9" s="1"/>
  <c r="D495" i="15"/>
  <c r="D494" i="15"/>
  <c r="C492" i="15"/>
  <c r="C486" i="15"/>
  <c r="C472" i="15"/>
  <c r="N444" i="9" a="1"/>
  <c r="N444" i="9" s="1"/>
  <c r="D411" i="15"/>
  <c r="N315" i="9" a="1"/>
  <c r="N315" i="9" s="1"/>
  <c r="C305" i="15"/>
  <c r="D506" i="15"/>
  <c r="D496" i="15"/>
  <c r="C495" i="15"/>
  <c r="N505" i="9" a="1"/>
  <c r="N505" i="9" s="1"/>
  <c r="C465" i="15"/>
  <c r="D457" i="15"/>
  <c r="D450" i="15"/>
  <c r="D372" i="15"/>
  <c r="C334" i="15"/>
  <c r="D497" i="15"/>
  <c r="C496" i="15"/>
  <c r="D466" i="15"/>
  <c r="C434" i="15"/>
  <c r="D426" i="15"/>
  <c r="D412" i="15"/>
  <c r="D409" i="15"/>
  <c r="D374" i="15"/>
  <c r="D373" i="15"/>
  <c r="D503" i="15"/>
  <c r="N507" i="9" a="1"/>
  <c r="N507" i="9" s="1"/>
  <c r="C497" i="15"/>
  <c r="D478" i="15"/>
  <c r="D440" i="15"/>
  <c r="D375" i="15"/>
  <c r="C503" i="15"/>
  <c r="C502" i="15"/>
  <c r="C501" i="15"/>
  <c r="C479" i="15"/>
  <c r="C413" i="15"/>
  <c r="D398" i="15"/>
  <c r="N464" i="9" a="1"/>
  <c r="N464" i="9" s="1"/>
  <c r="C454" i="15"/>
  <c r="N463" i="9" a="1"/>
  <c r="N463" i="9" s="1"/>
  <c r="C441" i="15"/>
  <c r="D433" i="15"/>
  <c r="N442" i="9" a="1"/>
  <c r="N442" i="9" s="1"/>
  <c r="D414" i="15"/>
  <c r="D402" i="15"/>
  <c r="D388" i="15"/>
  <c r="D387" i="15"/>
  <c r="C380" i="15"/>
  <c r="D348" i="15"/>
  <c r="N356" i="9" a="1"/>
  <c r="N356" i="9" s="1"/>
  <c r="C346" i="15"/>
  <c r="D342" i="15"/>
  <c r="D333" i="15"/>
  <c r="D273" i="15"/>
  <c r="D259" i="15"/>
  <c r="C254" i="15"/>
  <c r="C178" i="15"/>
  <c r="D174" i="15"/>
  <c r="D360" i="15"/>
  <c r="N483" i="9" a="1"/>
  <c r="N483" i="9" s="1"/>
  <c r="C473" i="15"/>
  <c r="D472" i="15"/>
  <c r="D471" i="15"/>
  <c r="D464" i="15"/>
  <c r="D463" i="15"/>
  <c r="C458" i="15"/>
  <c r="D453" i="15"/>
  <c r="D434" i="15"/>
  <c r="D425" i="15"/>
  <c r="D415" i="15"/>
  <c r="C414" i="15"/>
  <c r="C405" i="15"/>
  <c r="C388" i="15"/>
  <c r="D371" i="15"/>
  <c r="C345" i="15"/>
  <c r="C344" i="15"/>
  <c r="N353" i="9" a="1"/>
  <c r="N353" i="9" s="1"/>
  <c r="C343" i="15"/>
  <c r="C342" i="15"/>
  <c r="C321" i="15"/>
  <c r="C292" i="15"/>
  <c r="C238" i="15"/>
  <c r="C260" i="15"/>
  <c r="D229" i="15"/>
  <c r="D214" i="15"/>
  <c r="N516" i="9" a="1"/>
  <c r="N516" i="9" s="1"/>
  <c r="C506" i="15"/>
  <c r="N488" i="9" a="1"/>
  <c r="N488" i="9" s="1"/>
  <c r="C478" i="15"/>
  <c r="N467" i="9" a="1"/>
  <c r="N467" i="9" s="1"/>
  <c r="C457" i="15"/>
  <c r="D456" i="15"/>
  <c r="C450" i="15"/>
  <c r="D430" i="15"/>
  <c r="N418" i="9" a="1"/>
  <c r="N418" i="9" s="1"/>
  <c r="C398" i="15"/>
  <c r="C376" i="15"/>
  <c r="D349" i="15"/>
  <c r="C310" i="15"/>
  <c r="C293" i="15"/>
  <c r="N303" i="9" a="1"/>
  <c r="N303" i="9" s="1"/>
  <c r="D267" i="15"/>
  <c r="D230" i="15"/>
  <c r="D484" i="15"/>
  <c r="C456" i="15"/>
  <c r="D455" i="15"/>
  <c r="C430" i="15"/>
  <c r="C429" i="15"/>
  <c r="D384" i="15"/>
  <c r="D383" i="15"/>
  <c r="D356" i="15"/>
  <c r="N364" i="9" a="1"/>
  <c r="N364" i="9" s="1"/>
  <c r="C354" i="15"/>
  <c r="D352" i="15"/>
  <c r="D350" i="15"/>
  <c r="D340" i="15"/>
  <c r="C278" i="15"/>
  <c r="C261" i="15"/>
  <c r="N271" i="9" a="1"/>
  <c r="N271" i="9" s="1"/>
  <c r="D194" i="15"/>
  <c r="D191" i="15"/>
  <c r="D113" i="15"/>
  <c r="C105" i="15"/>
  <c r="C88" i="15"/>
  <c r="C65" i="15"/>
  <c r="D504" i="15"/>
  <c r="D499" i="15"/>
  <c r="D476" i="15"/>
  <c r="C470" i="15"/>
  <c r="N472" i="9" a="1"/>
  <c r="N472" i="9" s="1"/>
  <c r="C462" i="15"/>
  <c r="N470" i="9" a="1"/>
  <c r="N470" i="9" s="1"/>
  <c r="C455" i="15"/>
  <c r="C449" i="15"/>
  <c r="D448" i="15"/>
  <c r="D447" i="15"/>
  <c r="D439" i="15"/>
  <c r="D438" i="15"/>
  <c r="D422" i="15"/>
  <c r="D407" i="15"/>
  <c r="C397" i="15"/>
  <c r="D395" i="15"/>
  <c r="D392" i="15"/>
  <c r="D391" i="15"/>
  <c r="C384" i="15"/>
  <c r="D368" i="15"/>
  <c r="D367" i="15"/>
  <c r="D364" i="15"/>
  <c r="C353" i="15"/>
  <c r="C352" i="15"/>
  <c r="N361" i="9" a="1"/>
  <c r="N361" i="9" s="1"/>
  <c r="C351" i="15"/>
  <c r="C350" i="15"/>
  <c r="D332" i="15"/>
  <c r="C328" i="15"/>
  <c r="D284" i="15"/>
  <c r="C251" i="15"/>
  <c r="C171" i="15"/>
  <c r="C170" i="15"/>
  <c r="D165" i="15"/>
  <c r="N515" i="9" a="1"/>
  <c r="N515" i="9" s="1"/>
  <c r="C505" i="15"/>
  <c r="C504" i="15"/>
  <c r="C499" i="15"/>
  <c r="N499" i="9" a="1"/>
  <c r="N499" i="9" s="1"/>
  <c r="C489" i="15"/>
  <c r="D488" i="15"/>
  <c r="D487" i="15"/>
  <c r="N494" i="9" a="1"/>
  <c r="N494" i="9" s="1"/>
  <c r="C483" i="15"/>
  <c r="N490" i="9" a="1"/>
  <c r="N490" i="9" s="1"/>
  <c r="N478" i="9" a="1"/>
  <c r="N478" i="9" s="1"/>
  <c r="D461" i="15"/>
  <c r="D460" i="15"/>
  <c r="N465" i="9" a="1"/>
  <c r="N465" i="9" s="1"/>
  <c r="C448" i="15"/>
  <c r="C447" i="15"/>
  <c r="D446" i="15"/>
  <c r="D442" i="15"/>
  <c r="C438" i="15"/>
  <c r="N440" i="9" a="1"/>
  <c r="N440" i="9" s="1"/>
  <c r="D423" i="15"/>
  <c r="C422" i="15"/>
  <c r="D419" i="15"/>
  <c r="D418" i="15"/>
  <c r="D417" i="15"/>
  <c r="N426" i="9" a="1"/>
  <c r="N426" i="9" s="1"/>
  <c r="D406" i="15"/>
  <c r="C395" i="15"/>
  <c r="D394" i="15"/>
  <c r="N403" i="9" a="1"/>
  <c r="N403" i="9" s="1"/>
  <c r="C392" i="15"/>
  <c r="C391" i="15"/>
  <c r="N399" i="9" a="1"/>
  <c r="N399" i="9" s="1"/>
  <c r="N394" i="9" a="1"/>
  <c r="N394" i="9" s="1"/>
  <c r="C368" i="15"/>
  <c r="C362" i="15"/>
  <c r="D359" i="15"/>
  <c r="D358" i="15"/>
  <c r="D357" i="15"/>
  <c r="D271" i="15"/>
  <c r="N508" i="9" a="1"/>
  <c r="N508" i="9" s="1"/>
  <c r="C498" i="15"/>
  <c r="N502" i="9" a="1"/>
  <c r="N502" i="9" s="1"/>
  <c r="N501" i="9" a="1"/>
  <c r="N501" i="9" s="1"/>
  <c r="C488" i="15"/>
  <c r="D480" i="15"/>
  <c r="D479" i="15"/>
  <c r="C475" i="15"/>
  <c r="D468" i="15"/>
  <c r="C442" i="15"/>
  <c r="D441" i="15"/>
  <c r="C421" i="15"/>
  <c r="N429" i="9" a="1"/>
  <c r="N429" i="9" s="1"/>
  <c r="C419" i="15"/>
  <c r="N424" i="9" a="1"/>
  <c r="N424" i="9" s="1"/>
  <c r="C406" i="15"/>
  <c r="D403" i="15"/>
  <c r="D401" i="15"/>
  <c r="N410" i="9" a="1"/>
  <c r="N410" i="9" s="1"/>
  <c r="C394" i="15"/>
  <c r="D380" i="15"/>
  <c r="C366" i="15"/>
  <c r="D365" i="15"/>
  <c r="C361" i="15"/>
  <c r="C360" i="15"/>
  <c r="N369" i="9" a="1"/>
  <c r="N369" i="9" s="1"/>
  <c r="C359" i="15"/>
  <c r="C358" i="15"/>
  <c r="N354" i="9" a="1"/>
  <c r="N354" i="9" s="1"/>
  <c r="D341" i="15"/>
  <c r="D302" i="15"/>
  <c r="C285" i="15"/>
  <c r="D272" i="15"/>
  <c r="C253" i="15"/>
  <c r="D321" i="15"/>
  <c r="C311" i="15"/>
  <c r="D304" i="15"/>
  <c r="N307" i="9" a="1"/>
  <c r="N307" i="9" s="1"/>
  <c r="C297" i="15"/>
  <c r="D293" i="15"/>
  <c r="D292" i="15"/>
  <c r="C286" i="15"/>
  <c r="D285" i="15"/>
  <c r="N294" i="9" a="1"/>
  <c r="N294" i="9" s="1"/>
  <c r="C274" i="15"/>
  <c r="D261" i="15"/>
  <c r="D260" i="15"/>
  <c r="D253" i="15"/>
  <c r="D252" i="15"/>
  <c r="C231" i="15"/>
  <c r="N239" i="9" a="1"/>
  <c r="N239" i="9" s="1"/>
  <c r="C213" i="15"/>
  <c r="C202" i="15"/>
  <c r="D190" i="15"/>
  <c r="D170" i="15"/>
  <c r="D104" i="15"/>
  <c r="D53" i="15"/>
  <c r="D319" i="15"/>
  <c r="D277" i="15"/>
  <c r="C271" i="15"/>
  <c r="C267" i="15"/>
  <c r="D249" i="15"/>
  <c r="D237" i="15"/>
  <c r="D236" i="15"/>
  <c r="C230" i="15"/>
  <c r="C229" i="15"/>
  <c r="D228" i="15"/>
  <c r="C214" i="15"/>
  <c r="D205" i="15"/>
  <c r="D204" i="15"/>
  <c r="C172" i="15"/>
  <c r="D145" i="15"/>
  <c r="D114" i="15"/>
  <c r="C92" i="15"/>
  <c r="N102" i="9" a="1"/>
  <c r="N102" i="9" s="1"/>
  <c r="D22" i="15"/>
  <c r="C12" i="15"/>
  <c r="N22" i="9" a="1"/>
  <c r="N22" i="9" s="1"/>
  <c r="C364" i="15"/>
  <c r="D363" i="15"/>
  <c r="C356" i="15"/>
  <c r="D355" i="15"/>
  <c r="C348" i="15"/>
  <c r="D347" i="15"/>
  <c r="C340" i="15"/>
  <c r="D339" i="15"/>
  <c r="C332" i="15"/>
  <c r="D324" i="15"/>
  <c r="C320" i="15"/>
  <c r="D301" i="15"/>
  <c r="D276" i="15"/>
  <c r="C266" i="15"/>
  <c r="N262" i="9" a="1"/>
  <c r="N262" i="9" s="1"/>
  <c r="C249" i="15"/>
  <c r="D248" i="15"/>
  <c r="C247" i="15"/>
  <c r="D245" i="15"/>
  <c r="D244" i="15"/>
  <c r="N252" i="9" a="1"/>
  <c r="N252" i="9" s="1"/>
  <c r="N251" i="9" a="1"/>
  <c r="N251" i="9" s="1"/>
  <c r="C237" i="15"/>
  <c r="C236" i="15"/>
  <c r="C228" i="15"/>
  <c r="D220" i="15"/>
  <c r="D216" i="15"/>
  <c r="C205" i="15"/>
  <c r="D199" i="15"/>
  <c r="D198" i="15"/>
  <c r="D137" i="15"/>
  <c r="D93" i="15"/>
  <c r="D83" i="15"/>
  <c r="D296" i="15"/>
  <c r="D379" i="15"/>
  <c r="C372" i="15"/>
  <c r="C371" i="15"/>
  <c r="C363" i="15"/>
  <c r="C355" i="15"/>
  <c r="C347" i="15"/>
  <c r="C339" i="15"/>
  <c r="C324" i="15"/>
  <c r="N328" i="9" a="1"/>
  <c r="N328" i="9" s="1"/>
  <c r="C318" i="15"/>
  <c r="N323" i="9" a="1"/>
  <c r="N323" i="9" s="1"/>
  <c r="D308" i="15"/>
  <c r="D300" i="15"/>
  <c r="C291" i="15"/>
  <c r="N287" i="9" a="1"/>
  <c r="N287" i="9" s="1"/>
  <c r="C270" i="15"/>
  <c r="D264" i="15"/>
  <c r="D263" i="15"/>
  <c r="D257" i="15"/>
  <c r="C245" i="15"/>
  <c r="C244" i="15"/>
  <c r="D241" i="15"/>
  <c r="N235" i="9" a="1"/>
  <c r="N235" i="9" s="1"/>
  <c r="D224" i="15"/>
  <c r="D221" i="15"/>
  <c r="C220" i="15"/>
  <c r="N230" i="9" a="1"/>
  <c r="N230" i="9" s="1"/>
  <c r="N229" i="9" a="1"/>
  <c r="N229" i="9" s="1"/>
  <c r="C219" i="15"/>
  <c r="D217" i="15"/>
  <c r="D206" i="15"/>
  <c r="N194" i="9" a="1"/>
  <c r="N194" i="9" s="1"/>
  <c r="D167" i="15"/>
  <c r="D155" i="15"/>
  <c r="D100" i="15"/>
  <c r="N346" i="9" a="1"/>
  <c r="N346" i="9" s="1"/>
  <c r="N345" i="9" a="1"/>
  <c r="N345" i="9" s="1"/>
  <c r="D330" i="15"/>
  <c r="D329" i="15"/>
  <c r="N326" i="9" a="1"/>
  <c r="N326" i="9" s="1"/>
  <c r="C314" i="15"/>
  <c r="D313" i="15"/>
  <c r="D312" i="15"/>
  <c r="C298" i="15"/>
  <c r="C290" i="15"/>
  <c r="D287" i="15"/>
  <c r="C283" i="15"/>
  <c r="D269" i="15"/>
  <c r="N275" i="9" a="1"/>
  <c r="N275" i="9" s="1"/>
  <c r="C265" i="15"/>
  <c r="C263" i="15"/>
  <c r="D256" i="15"/>
  <c r="C241" i="15"/>
  <c r="D240" i="15"/>
  <c r="N245" i="9" a="1"/>
  <c r="N245" i="9" s="1"/>
  <c r="C235" i="15"/>
  <c r="D225" i="15"/>
  <c r="C223" i="15"/>
  <c r="N232" i="9" a="1"/>
  <c r="N232" i="9" s="1"/>
  <c r="C222" i="15"/>
  <c r="C221" i="15"/>
  <c r="N231" i="9" a="1"/>
  <c r="N231" i="9" s="1"/>
  <c r="C206" i="15"/>
  <c r="D200" i="15"/>
  <c r="C161" i="15"/>
  <c r="D117" i="15"/>
  <c r="D94" i="15"/>
  <c r="N348" i="9" a="1"/>
  <c r="N348" i="9" s="1"/>
  <c r="C338" i="15"/>
  <c r="D336" i="15"/>
  <c r="D335" i="15"/>
  <c r="C330" i="15"/>
  <c r="N337" i="9" a="1"/>
  <c r="N337" i="9" s="1"/>
  <c r="D316" i="15"/>
  <c r="C312" i="15"/>
  <c r="C307" i="15"/>
  <c r="C306" i="15"/>
  <c r="C299" i="15"/>
  <c r="D295" i="15"/>
  <c r="D288" i="15"/>
  <c r="C287" i="15"/>
  <c r="C282" i="15"/>
  <c r="D279" i="15"/>
  <c r="D268" i="15"/>
  <c r="C225" i="15"/>
  <c r="D212" i="15"/>
  <c r="D208" i="15"/>
  <c r="D186" i="15"/>
  <c r="C185" i="15"/>
  <c r="C184" i="15"/>
  <c r="D118" i="15"/>
  <c r="D95" i="15"/>
  <c r="C85" i="15"/>
  <c r="C64" i="15"/>
  <c r="N74" i="9" a="1"/>
  <c r="N74" i="9" s="1"/>
  <c r="D351" i="15"/>
  <c r="D344" i="15"/>
  <c r="D343" i="15"/>
  <c r="C336" i="15"/>
  <c r="C335" i="15"/>
  <c r="D327" i="15"/>
  <c r="N331" i="9" a="1"/>
  <c r="N331" i="9" s="1"/>
  <c r="C316" i="15"/>
  <c r="N317" i="9" a="1"/>
  <c r="N317" i="9" s="1"/>
  <c r="D303" i="15"/>
  <c r="N309" i="9" a="1"/>
  <c r="N309" i="9" s="1"/>
  <c r="C295" i="15"/>
  <c r="N302" i="9" a="1"/>
  <c r="N302" i="9" s="1"/>
  <c r="N295" i="9" a="1"/>
  <c r="N295" i="9" s="1"/>
  <c r="D280" i="15"/>
  <c r="C279" i="15"/>
  <c r="C275" i="15"/>
  <c r="N279" i="9" a="1"/>
  <c r="N279" i="9" s="1"/>
  <c r="C262" i="15"/>
  <c r="N270" i="9" a="1"/>
  <c r="N270" i="9" s="1"/>
  <c r="N266" i="9" a="1"/>
  <c r="N266" i="9" s="1"/>
  <c r="C255" i="15"/>
  <c r="N263" i="9" a="1"/>
  <c r="N263" i="9" s="1"/>
  <c r="N250" i="9" a="1"/>
  <c r="N250" i="9" s="1"/>
  <c r="D233" i="15"/>
  <c r="D232" i="15"/>
  <c r="D213" i="15"/>
  <c r="C212" i="15"/>
  <c r="N222" i="9" a="1"/>
  <c r="N222" i="9" s="1"/>
  <c r="D209" i="15"/>
  <c r="D201" i="15"/>
  <c r="C177" i="15"/>
  <c r="C169" i="15"/>
  <c r="D168" i="15"/>
  <c r="D158" i="15"/>
  <c r="N167" i="9" a="1"/>
  <c r="N167" i="9" s="1"/>
  <c r="C157" i="15"/>
  <c r="D119" i="15"/>
  <c r="D112" i="15"/>
  <c r="D42" i="15"/>
  <c r="C165" i="15"/>
  <c r="D164" i="15"/>
  <c r="D163" i="15"/>
  <c r="D156" i="15"/>
  <c r="C155" i="15"/>
  <c r="C145" i="15"/>
  <c r="C118" i="15"/>
  <c r="N105" i="9" a="1"/>
  <c r="N105" i="9" s="1"/>
  <c r="C95" i="15"/>
  <c r="C93" i="15"/>
  <c r="D84" i="15"/>
  <c r="C56" i="15"/>
  <c r="C55" i="15"/>
  <c r="C53" i="15"/>
  <c r="D50" i="15"/>
  <c r="D43" i="15"/>
  <c r="D27" i="15"/>
  <c r="D23" i="15"/>
  <c r="C22" i="15"/>
  <c r="N23" i="9" a="1"/>
  <c r="N23" i="9" s="1"/>
  <c r="C13" i="15"/>
  <c r="N237" i="9" a="1"/>
  <c r="N237" i="9" s="1"/>
  <c r="C227" i="15"/>
  <c r="C204" i="15"/>
  <c r="D203" i="15"/>
  <c r="C201" i="15"/>
  <c r="C190" i="15"/>
  <c r="D188" i="15"/>
  <c r="D187" i="15"/>
  <c r="D180" i="15"/>
  <c r="D179" i="15"/>
  <c r="N180" i="9" a="1"/>
  <c r="N180" i="9" s="1"/>
  <c r="C163" i="15"/>
  <c r="C153" i="15"/>
  <c r="N162" i="9" a="1"/>
  <c r="N162" i="9" s="1"/>
  <c r="D150" i="15"/>
  <c r="D135" i="15"/>
  <c r="D134" i="15"/>
  <c r="N143" i="9" a="1"/>
  <c r="N143" i="9" s="1"/>
  <c r="C133" i="15"/>
  <c r="N138" i="9" a="1"/>
  <c r="N138" i="9" s="1"/>
  <c r="C128" i="15"/>
  <c r="D127" i="15"/>
  <c r="N128" i="9" a="1"/>
  <c r="N128" i="9" s="1"/>
  <c r="N127" i="9" a="1"/>
  <c r="N127" i="9" s="1"/>
  <c r="C110" i="15"/>
  <c r="D109" i="15"/>
  <c r="D91" i="15"/>
  <c r="C84" i="15"/>
  <c r="N87" i="9" a="1"/>
  <c r="N87" i="9" s="1"/>
  <c r="C77" i="15"/>
  <c r="D76" i="15"/>
  <c r="D75" i="15"/>
  <c r="N82" i="9" a="1"/>
  <c r="N82" i="9" s="1"/>
  <c r="C43" i="15"/>
  <c r="D33" i="15"/>
  <c r="C29" i="15"/>
  <c r="C28" i="15"/>
  <c r="C27" i="15"/>
  <c r="D175" i="15"/>
  <c r="N221" i="9" a="1"/>
  <c r="N221" i="9" s="1"/>
  <c r="C211" i="15"/>
  <c r="D193" i="15"/>
  <c r="C187" i="15"/>
  <c r="C179" i="15"/>
  <c r="D178" i="15"/>
  <c r="D151" i="15"/>
  <c r="C150" i="15"/>
  <c r="C142" i="15"/>
  <c r="C135" i="15"/>
  <c r="C127" i="15"/>
  <c r="D126" i="15"/>
  <c r="C109" i="15"/>
  <c r="C76" i="15"/>
  <c r="D72" i="15"/>
  <c r="D71" i="15"/>
  <c r="D61" i="15"/>
  <c r="C44" i="15"/>
  <c r="D34" i="15"/>
  <c r="C24" i="15"/>
  <c r="C126" i="15"/>
  <c r="D124" i="15"/>
  <c r="D123" i="15"/>
  <c r="C103" i="15"/>
  <c r="D102" i="15"/>
  <c r="D80" i="15"/>
  <c r="C71" i="15"/>
  <c r="D62" i="15"/>
  <c r="D51" i="15"/>
  <c r="C34" i="15"/>
  <c r="N37" i="9" a="1"/>
  <c r="N37" i="9" s="1"/>
  <c r="D143" i="15"/>
  <c r="C195" i="15"/>
  <c r="C186" i="15"/>
  <c r="D159" i="15"/>
  <c r="C158" i="15"/>
  <c r="D139" i="15"/>
  <c r="C123" i="15"/>
  <c r="D122" i="15"/>
  <c r="C102" i="15"/>
  <c r="D97" i="15"/>
  <c r="N80" i="9" a="1"/>
  <c r="N80" i="9" s="1"/>
  <c r="C70" i="15"/>
  <c r="D63" i="15"/>
  <c r="D17" i="15"/>
  <c r="D142" i="15"/>
  <c r="N159" i="9" a="1"/>
  <c r="N159" i="9" s="1"/>
  <c r="C149" i="15"/>
  <c r="D148" i="15"/>
  <c r="D147" i="15"/>
  <c r="N151" i="9" a="1"/>
  <c r="N151" i="9" s="1"/>
  <c r="C141" i="15"/>
  <c r="D140" i="15"/>
  <c r="C139" i="15"/>
  <c r="D101" i="15"/>
  <c r="C96" i="15"/>
  <c r="D87" i="15"/>
  <c r="C79" i="15"/>
  <c r="C68" i="15"/>
  <c r="C63" i="15"/>
  <c r="D49" i="15"/>
  <c r="D11" i="15"/>
  <c r="C215" i="15"/>
  <c r="N223" i="9" a="1"/>
  <c r="N223" i="9" s="1"/>
  <c r="C207" i="15"/>
  <c r="N215" i="9" a="1"/>
  <c r="N215" i="9" s="1"/>
  <c r="D202" i="15"/>
  <c r="D183" i="15"/>
  <c r="D182" i="15"/>
  <c r="D172" i="15"/>
  <c r="D171" i="15"/>
  <c r="D166" i="15"/>
  <c r="N165" i="9" a="1"/>
  <c r="N165" i="9" s="1"/>
  <c r="C147" i="15"/>
  <c r="C138" i="15"/>
  <c r="C130" i="15"/>
  <c r="N124" i="9" a="1"/>
  <c r="N124" i="9" s="1"/>
  <c r="D105" i="15"/>
  <c r="C101" i="15"/>
  <c r="D92" i="15"/>
  <c r="D88" i="15"/>
  <c r="C86" i="15"/>
  <c r="C66" i="15"/>
  <c r="D64" i="15"/>
  <c r="D52" i="15"/>
  <c r="D41" i="15"/>
  <c r="D12" i="15"/>
  <c r="D110" i="15"/>
  <c r="N27" i="9" a="1"/>
  <c r="N27" i="9" s="1"/>
  <c r="C17" i="15"/>
  <c r="C11" i="15"/>
  <c r="D39" i="15"/>
  <c r="C51" i="15"/>
  <c r="D20" i="15"/>
  <c r="N78" i="9" a="1"/>
  <c r="N78" i="9" s="1"/>
  <c r="N42" i="9" a="1"/>
  <c r="N42" i="9" s="1"/>
  <c r="N36" i="9" a="1"/>
  <c r="N36" i="9" s="1"/>
  <c r="C26" i="15"/>
  <c r="N31" i="9" a="1"/>
  <c r="N31" i="9" s="1"/>
  <c r="C21" i="15"/>
  <c r="C20" i="15"/>
  <c r="D19" i="15"/>
  <c r="N20" i="9" a="1"/>
  <c r="N20" i="9" s="1"/>
  <c r="C10" i="15"/>
  <c r="D31" i="15"/>
  <c r="D68" i="15"/>
  <c r="D67" i="15"/>
  <c r="D59" i="15"/>
  <c r="D58" i="15"/>
  <c r="C47" i="15"/>
  <c r="C46" i="15"/>
  <c r="D36" i="15"/>
  <c r="C19" i="15"/>
  <c r="C14" i="15"/>
  <c r="C9" i="15"/>
  <c r="C59" i="15"/>
  <c r="N66" i="9" a="1"/>
  <c r="N66" i="9" s="1"/>
  <c r="C36" i="15"/>
  <c r="D35" i="15"/>
  <c r="N38" i="9" a="1"/>
  <c r="N38" i="9" s="1"/>
  <c r="D55" i="15"/>
  <c r="N55" i="9" a="1"/>
  <c r="N55" i="9" s="1"/>
  <c r="C45" i="15"/>
  <c r="N54" i="9" a="1"/>
  <c r="N54" i="9" s="1"/>
  <c r="N46" i="9" a="1"/>
  <c r="N46" i="9" s="1"/>
  <c r="C35" i="15"/>
  <c r="D28" i="15"/>
  <c r="N35" i="9" a="1"/>
  <c r="N35" i="9" s="1"/>
  <c r="C25" i="15"/>
  <c r="N34" i="9" a="1"/>
  <c r="N34" i="9" s="1"/>
  <c r="N28" i="9" a="1"/>
  <c r="N28" i="9" s="1"/>
  <c r="C18" i="15"/>
  <c r="D54" i="15"/>
  <c r="N610" i="9" a="1"/>
  <c r="N610" i="9" s="1"/>
  <c r="N594" i="9" a="1"/>
  <c r="N594" i="9" s="1"/>
  <c r="N586" i="9" a="1"/>
  <c r="N586" i="9" s="1"/>
  <c r="N578" i="9" a="1"/>
  <c r="N578" i="9" s="1"/>
  <c r="N570" i="9" a="1"/>
  <c r="N570" i="9" s="1"/>
  <c r="N548" i="9" a="1"/>
  <c r="N548" i="9" s="1"/>
  <c r="N555" i="9" a="1"/>
  <c r="N555" i="9" s="1"/>
  <c r="N612" i="9" a="1"/>
  <c r="N612" i="9" s="1"/>
  <c r="N604" i="9" a="1"/>
  <c r="N604" i="9" s="1"/>
  <c r="N596" i="9" a="1"/>
  <c r="N596" i="9" s="1"/>
  <c r="N580" i="9" a="1"/>
  <c r="N580" i="9" s="1"/>
  <c r="N572" i="9" a="1"/>
  <c r="N572" i="9" s="1"/>
  <c r="N563" i="9" a="1"/>
  <c r="N563" i="9" s="1"/>
  <c r="N560" i="9" a="1"/>
  <c r="N560" i="9" s="1"/>
  <c r="N540" i="9" a="1"/>
  <c r="N540" i="9" s="1"/>
  <c r="N614" i="9" a="1"/>
  <c r="N614" i="9" s="1"/>
  <c r="N598" i="9" a="1"/>
  <c r="N598" i="9" s="1"/>
  <c r="N582" i="9" a="1"/>
  <c r="N582" i="9" s="1"/>
  <c r="N574" i="9" a="1"/>
  <c r="N574" i="9" s="1"/>
  <c r="N566" i="9" a="1"/>
  <c r="N566" i="9" s="1"/>
  <c r="N564" i="9" a="1"/>
  <c r="N564" i="9" s="1"/>
  <c r="N556" i="9" a="1"/>
  <c r="N556" i="9" s="1"/>
  <c r="N552" i="9" a="1"/>
  <c r="N552" i="9" s="1"/>
  <c r="N532" i="9" a="1"/>
  <c r="N532" i="9" s="1"/>
  <c r="N541" i="9" a="1"/>
  <c r="N541" i="9" s="1"/>
  <c r="N477" i="9" a="1"/>
  <c r="N477" i="9" s="1"/>
  <c r="N469" i="9" a="1"/>
  <c r="N469" i="9" s="1"/>
  <c r="N454" i="9" a="1"/>
  <c r="N454" i="9" s="1"/>
  <c r="N544" i="9" a="1"/>
  <c r="N544" i="9" s="1"/>
  <c r="N536" i="9" a="1"/>
  <c r="N536" i="9" s="1"/>
  <c r="N528" i="9" a="1"/>
  <c r="N528" i="9" s="1"/>
  <c r="N520" i="9" a="1"/>
  <c r="N520" i="9" s="1"/>
  <c r="N512" i="9" a="1"/>
  <c r="N512" i="9" s="1"/>
  <c r="N496" i="9" a="1"/>
  <c r="N496" i="9" s="1"/>
  <c r="N492" i="9" a="1"/>
  <c r="N492" i="9" s="1"/>
  <c r="N533" i="9" a="1"/>
  <c r="N533" i="9" s="1"/>
  <c r="N525" i="9" a="1"/>
  <c r="N525" i="9" s="1"/>
  <c r="N517" i="9" a="1"/>
  <c r="N517" i="9" s="1"/>
  <c r="N509" i="9" a="1"/>
  <c r="N509" i="9" s="1"/>
  <c r="N484" i="9" a="1"/>
  <c r="N484" i="9" s="1"/>
  <c r="N500" i="9" a="1"/>
  <c r="N500" i="9" s="1"/>
  <c r="N491" i="9" a="1"/>
  <c r="N491" i="9" s="1"/>
  <c r="N485" i="9" a="1"/>
  <c r="N485" i="9" s="1"/>
  <c r="N422" i="9" a="1"/>
  <c r="N422" i="9" s="1"/>
  <c r="N475" i="9" a="1"/>
  <c r="N475" i="9" s="1"/>
  <c r="N474" i="9" a="1"/>
  <c r="N474" i="9" s="1"/>
  <c r="N461" i="9" a="1"/>
  <c r="N461" i="9" s="1"/>
  <c r="N436" i="9" a="1"/>
  <c r="N436" i="9" s="1"/>
  <c r="N476" i="9" a="1"/>
  <c r="N476" i="9" s="1"/>
  <c r="N438" i="9" a="1"/>
  <c r="N438" i="9" s="1"/>
  <c r="N430" i="9" a="1"/>
  <c r="N430" i="9" s="1"/>
  <c r="N414" i="9" a="1"/>
  <c r="N414" i="9" s="1"/>
  <c r="N468" i="9" a="1"/>
  <c r="N468" i="9" s="1"/>
  <c r="N460" i="9" a="1"/>
  <c r="N460" i="9" s="1"/>
  <c r="N406" i="9" a="1"/>
  <c r="N406" i="9" s="1"/>
  <c r="N453" i="9" a="1"/>
  <c r="N453" i="9" s="1"/>
  <c r="N428" i="9" a="1"/>
  <c r="N428" i="9" s="1"/>
  <c r="N420" i="9" a="1"/>
  <c r="N420" i="9" s="1"/>
  <c r="N411" i="9" a="1"/>
  <c r="N411" i="9" s="1"/>
  <c r="N385" i="9" a="1"/>
  <c r="N385" i="9" s="1"/>
  <c r="N446" i="9" a="1"/>
  <c r="N446" i="9" s="1"/>
  <c r="N445" i="9" a="1"/>
  <c r="N445" i="9" s="1"/>
  <c r="N412" i="9" a="1"/>
  <c r="N412" i="9" s="1"/>
  <c r="N393" i="9" a="1"/>
  <c r="N393" i="9" s="1"/>
  <c r="N437" i="9" a="1"/>
  <c r="N437" i="9" s="1"/>
  <c r="N413" i="9" a="1"/>
  <c r="N413" i="9" s="1"/>
  <c r="N431" i="9" a="1"/>
  <c r="N431" i="9" s="1"/>
  <c r="N415" i="9" a="1"/>
  <c r="N415" i="9" s="1"/>
  <c r="N377" i="9" a="1"/>
  <c r="N377" i="9" s="1"/>
  <c r="N404" i="9" a="1"/>
  <c r="N404" i="9" s="1"/>
  <c r="N380" i="9" a="1"/>
  <c r="N380" i="9" s="1"/>
  <c r="N396" i="9" a="1"/>
  <c r="N396" i="9" s="1"/>
  <c r="N388" i="9" a="1"/>
  <c r="N388" i="9" s="1"/>
  <c r="N392" i="9" a="1"/>
  <c r="N392" i="9" s="1"/>
  <c r="N384" i="9" a="1"/>
  <c r="N384" i="9" s="1"/>
  <c r="N344" i="9" a="1"/>
  <c r="N344" i="9" s="1"/>
  <c r="N341" i="9" a="1"/>
  <c r="N341" i="9" s="1"/>
  <c r="N360" i="9" a="1"/>
  <c r="N360" i="9" s="1"/>
  <c r="N352" i="9" a="1"/>
  <c r="N352" i="9" s="1"/>
  <c r="N332" i="9" a="1"/>
  <c r="N332" i="9" s="1"/>
  <c r="N338" i="9" a="1"/>
  <c r="N338" i="9" s="1"/>
  <c r="N336" i="9" a="1"/>
  <c r="N336" i="9" s="1"/>
  <c r="N329" i="9" a="1"/>
  <c r="N329" i="9" s="1"/>
  <c r="N313" i="9" a="1"/>
  <c r="N313" i="9" s="1"/>
  <c r="N306" i="9" a="1"/>
  <c r="N306" i="9" s="1"/>
  <c r="N282" i="9" a="1"/>
  <c r="N282" i="9" s="1"/>
  <c r="N324" i="9" a="1"/>
  <c r="N324" i="9" s="1"/>
  <c r="N314" i="9" a="1"/>
  <c r="N314" i="9" s="1"/>
  <c r="N312" i="9" a="1"/>
  <c r="N312" i="9" s="1"/>
  <c r="N299" i="9" a="1"/>
  <c r="N299" i="9" s="1"/>
  <c r="N274" i="9" a="1"/>
  <c r="N274" i="9" s="1"/>
  <c r="N316" i="9" a="1"/>
  <c r="N316" i="9" s="1"/>
  <c r="N298" i="9" a="1"/>
  <c r="N298" i="9" s="1"/>
  <c r="N291" i="9" a="1"/>
  <c r="N291" i="9" s="1"/>
  <c r="N290" i="9" a="1"/>
  <c r="N290" i="9" s="1"/>
  <c r="N283" i="9" a="1"/>
  <c r="N283" i="9" s="1"/>
  <c r="N308" i="9" a="1"/>
  <c r="N308" i="9" s="1"/>
  <c r="N300" i="9" a="1"/>
  <c r="N300" i="9" s="1"/>
  <c r="N292" i="9" a="1"/>
  <c r="N292" i="9" s="1"/>
  <c r="N276" i="9" a="1"/>
  <c r="N276" i="9" s="1"/>
  <c r="N242" i="9" a="1"/>
  <c r="N242" i="9" s="1"/>
  <c r="N224" i="9" a="1"/>
  <c r="N224" i="9" s="1"/>
  <c r="N305" i="9" a="1"/>
  <c r="N305" i="9" s="1"/>
  <c r="N297" i="9" a="1"/>
  <c r="N297" i="9" s="1"/>
  <c r="N281" i="9" a="1"/>
  <c r="N281" i="9" s="1"/>
  <c r="N273" i="9" a="1"/>
  <c r="N273" i="9" s="1"/>
  <c r="N234" i="9" a="1"/>
  <c r="N234" i="9" s="1"/>
  <c r="N216" i="9" a="1"/>
  <c r="N216" i="9" s="1"/>
  <c r="N253" i="9" a="1"/>
  <c r="N253" i="9" s="1"/>
  <c r="N226" i="9" a="1"/>
  <c r="N226" i="9" s="1"/>
  <c r="N248" i="9" a="1"/>
  <c r="N248" i="9" s="1"/>
  <c r="N218" i="9" a="1"/>
  <c r="N218" i="9" s="1"/>
  <c r="N296" i="9" a="1"/>
  <c r="N296" i="9" s="1"/>
  <c r="N272" i="9" a="1"/>
  <c r="N272" i="9" s="1"/>
  <c r="N256" i="9" a="1"/>
  <c r="N256" i="9" s="1"/>
  <c r="N249" i="9" a="1"/>
  <c r="N249" i="9" s="1"/>
  <c r="N265" i="9" a="1"/>
  <c r="N265" i="9" s="1"/>
  <c r="N257" i="9" a="1"/>
  <c r="N257" i="9" s="1"/>
  <c r="N210" i="9" a="1"/>
  <c r="N210" i="9" s="1"/>
  <c r="N207" i="9" a="1"/>
  <c r="N207" i="9" s="1"/>
  <c r="N241" i="9" a="1"/>
  <c r="N241" i="9" s="1"/>
  <c r="N233" i="9" a="1"/>
  <c r="N233" i="9" s="1"/>
  <c r="N225" i="9" a="1"/>
  <c r="N225" i="9" s="1"/>
  <c r="N217" i="9" a="1"/>
  <c r="N217" i="9" s="1"/>
  <c r="N203" i="9" a="1"/>
  <c r="N203" i="9" s="1"/>
  <c r="N169" i="9" a="1"/>
  <c r="N169" i="9" s="1"/>
  <c r="N206" i="9" a="1"/>
  <c r="N206" i="9" s="1"/>
  <c r="N199" i="9" a="1"/>
  <c r="N199" i="9" s="1"/>
  <c r="N172" i="9" a="1"/>
  <c r="N172" i="9" s="1"/>
  <c r="N192" i="9" a="1"/>
  <c r="N192" i="9" s="1"/>
  <c r="N164" i="9" a="1"/>
  <c r="N164" i="9" s="1"/>
  <c r="N134" i="9" a="1"/>
  <c r="N134" i="9" s="1"/>
  <c r="N205" i="9" a="1"/>
  <c r="N205" i="9" s="1"/>
  <c r="N191" i="9" a="1"/>
  <c r="N191" i="9" s="1"/>
  <c r="N176" i="9" a="1"/>
  <c r="N176" i="9" s="1"/>
  <c r="N183" i="9" a="1"/>
  <c r="N183" i="9" s="1"/>
  <c r="N144" i="9" a="1"/>
  <c r="N144" i="9" s="1"/>
  <c r="N139" i="9" a="1"/>
  <c r="N139" i="9" s="1"/>
  <c r="N114" i="9" a="1"/>
  <c r="N114" i="9" s="1"/>
  <c r="N195" i="9" a="1"/>
  <c r="N195" i="9" s="1"/>
  <c r="N187" i="9" a="1"/>
  <c r="N187" i="9" s="1"/>
  <c r="N179" i="9" a="1"/>
  <c r="N179" i="9" s="1"/>
  <c r="N171" i="9" a="1"/>
  <c r="N171" i="9" s="1"/>
  <c r="N163" i="9" a="1"/>
  <c r="N163" i="9" s="1"/>
  <c r="N155" i="9" a="1"/>
  <c r="N155" i="9" s="1"/>
  <c r="N160" i="9" a="1"/>
  <c r="N160" i="9" s="1"/>
  <c r="N152" i="9" a="1"/>
  <c r="N152" i="9" s="1"/>
  <c r="N135" i="9" a="1"/>
  <c r="N135" i="9" s="1"/>
  <c r="N130" i="9" a="1"/>
  <c r="N130" i="9" s="1"/>
  <c r="N147" i="9" a="1"/>
  <c r="N147" i="9" s="1"/>
  <c r="N146" i="9" a="1"/>
  <c r="N146" i="9" s="1"/>
  <c r="N131" i="9" a="1"/>
  <c r="N131" i="9" s="1"/>
  <c r="N121" i="9" a="1"/>
  <c r="N121" i="9" s="1"/>
  <c r="N123" i="9" a="1"/>
  <c r="N123" i="9" s="1"/>
  <c r="N110" i="9" a="1"/>
  <c r="N110" i="9" s="1"/>
  <c r="N122" i="9" a="1"/>
  <c r="N122" i="9" s="1"/>
  <c r="N118" i="9" a="1"/>
  <c r="N118" i="9" s="1"/>
  <c r="N88" i="9" a="1"/>
  <c r="N88" i="9" s="1"/>
  <c r="N79" i="9" a="1"/>
  <c r="N79" i="9" s="1"/>
  <c r="N106" i="9" a="1"/>
  <c r="N106" i="9" s="1"/>
  <c r="N95" i="9" a="1"/>
  <c r="N95" i="9" s="1"/>
  <c r="N84" i="9" a="1"/>
  <c r="N84" i="9" s="1"/>
  <c r="N93" i="9" a="1"/>
  <c r="N93" i="9" s="1"/>
  <c r="N92" i="9" a="1"/>
  <c r="N92" i="9" s="1"/>
  <c r="N52" i="9" a="1"/>
  <c r="N52" i="9" s="1"/>
  <c r="N96" i="9" a="1"/>
  <c r="N96" i="9" s="1"/>
  <c r="N48" i="9" a="1"/>
  <c r="N48" i="9" s="1"/>
  <c r="N76" i="9" a="1"/>
  <c r="N76" i="9" s="1"/>
  <c r="N67" i="9" a="1"/>
  <c r="N67" i="9" s="1"/>
  <c r="N75" i="9" a="1"/>
  <c r="N75" i="9" s="1"/>
  <c r="N63" i="9" a="1"/>
  <c r="N63" i="9" s="1"/>
  <c r="N72" i="9" a="1"/>
  <c r="N72" i="9" s="1"/>
  <c r="N71" i="9" a="1"/>
  <c r="N71" i="9" s="1"/>
  <c r="N64" i="9" a="1"/>
  <c r="N64" i="9" s="1"/>
  <c r="N59" i="9" a="1"/>
  <c r="N59" i="9" s="1"/>
  <c r="N40" i="9" a="1"/>
  <c r="N40" i="9" s="1"/>
  <c r="N33" i="9" a="1"/>
  <c r="N33" i="9" s="1"/>
  <c r="N41" i="9" a="1"/>
  <c r="N41" i="9" s="1"/>
  <c r="N39" i="9" a="1"/>
  <c r="N39" i="9" s="1"/>
  <c r="N47" i="9" a="1"/>
  <c r="N47" i="9" s="1"/>
  <c r="N25" i="9" a="1"/>
  <c r="N25" i="9" s="1"/>
  <c r="N49" i="9" a="1"/>
  <c r="N49" i="9" s="1"/>
  <c r="N19" i="9" a="1"/>
  <c r="N19" i="9" s="1"/>
  <c r="N32" i="9" a="1"/>
  <c r="N32" i="9" s="1"/>
  <c r="N24" i="9" a="1"/>
  <c r="N24" i="9" s="1"/>
  <c r="N16" i="9"/>
  <c r="K24" i="8"/>
  <c r="X24" i="8"/>
  <c r="M24" i="8"/>
  <c r="P20" i="14"/>
  <c r="Q20" i="14"/>
  <c r="R20" i="14"/>
  <c r="S20" i="14"/>
  <c r="T20" i="14"/>
  <c r="U20" i="14"/>
  <c r="Y20" i="14"/>
  <c r="X20" i="14"/>
  <c r="W20" i="14"/>
  <c r="V20" i="14"/>
  <c r="M20" i="14" l="1"/>
  <c r="O20" i="14"/>
  <c r="T607" i="13" l="1"/>
  <c r="T6" i="13"/>
  <c r="T7" i="13"/>
  <c r="W16" i="9"/>
  <c r="V16" i="9"/>
  <c r="U16" i="9"/>
  <c r="T16" i="9"/>
  <c r="Q16" i="9"/>
  <c r="AI75" i="11"/>
  <c r="D10" i="8"/>
  <c r="C25" i="8" s="1"/>
  <c r="E10" i="8"/>
  <c r="E25" i="8" s="1"/>
  <c r="C10" i="8"/>
  <c r="S58" i="9" l="1"/>
  <c r="N48" i="13" s="1"/>
  <c r="S90" i="9"/>
  <c r="N80" i="13" s="1"/>
  <c r="S105" i="9"/>
  <c r="N95" i="13" s="1"/>
  <c r="S62" i="9"/>
  <c r="N52" i="13" s="1"/>
  <c r="S18" i="9"/>
  <c r="N8" i="13" s="1"/>
  <c r="S51" i="9"/>
  <c r="N41" i="13" s="1"/>
  <c r="S100" i="9"/>
  <c r="N90" i="13" s="1"/>
  <c r="S26" i="9"/>
  <c r="N16" i="13" s="1"/>
  <c r="S43" i="9"/>
  <c r="N33" i="13" s="1"/>
  <c r="S50" i="9"/>
  <c r="N40" i="13" s="1"/>
  <c r="S117" i="9"/>
  <c r="N107" i="13" s="1"/>
  <c r="S80" i="9"/>
  <c r="N70" i="13" s="1"/>
  <c r="S129" i="9"/>
  <c r="N119" i="13" s="1"/>
  <c r="S70" i="9"/>
  <c r="N60" i="13" s="1"/>
  <c r="S150" i="9"/>
  <c r="N140" i="13" s="1"/>
  <c r="S172" i="9"/>
  <c r="N162" i="13" s="1"/>
  <c r="S166" i="9"/>
  <c r="N156" i="13" s="1"/>
  <c r="S162" i="9"/>
  <c r="N152" i="13" s="1"/>
  <c r="S285" i="9"/>
  <c r="N275" i="13" s="1"/>
  <c r="S208" i="9"/>
  <c r="N198" i="13" s="1"/>
  <c r="S236" i="9"/>
  <c r="N226" i="13" s="1"/>
  <c r="S267" i="9"/>
  <c r="N257" i="13" s="1"/>
  <c r="S227" i="9"/>
  <c r="N217" i="13" s="1"/>
  <c r="S256" i="9"/>
  <c r="N246" i="13" s="1"/>
  <c r="S275" i="9"/>
  <c r="N265" i="13" s="1"/>
  <c r="S186" i="9"/>
  <c r="N176" i="13" s="1"/>
  <c r="S200" i="9"/>
  <c r="N190" i="13" s="1"/>
  <c r="S268" i="9"/>
  <c r="N258" i="13" s="1"/>
  <c r="S299" i="9"/>
  <c r="N289" i="13" s="1"/>
  <c r="S343" i="9"/>
  <c r="N333" i="13" s="1"/>
  <c r="S286" i="9"/>
  <c r="N276" i="13" s="1"/>
  <c r="S379" i="9"/>
  <c r="N369" i="13" s="1"/>
  <c r="S300" i="9"/>
  <c r="N290" i="13" s="1"/>
  <c r="S400" i="9"/>
  <c r="N390" i="13" s="1"/>
  <c r="S237" i="9"/>
  <c r="N227" i="13" s="1"/>
  <c r="S380" i="9"/>
  <c r="N370" i="13" s="1"/>
  <c r="S432" i="9"/>
  <c r="N422" i="13" s="1"/>
  <c r="S383" i="9"/>
  <c r="N373" i="13" s="1"/>
  <c r="S431" i="9"/>
  <c r="N421" i="13" s="1"/>
  <c r="S375" i="9"/>
  <c r="N365" i="13" s="1"/>
  <c r="S434" i="9"/>
  <c r="N424" i="13" s="1"/>
  <c r="S441" i="9"/>
  <c r="N431" i="13" s="1"/>
  <c r="S409" i="9"/>
  <c r="N399" i="13" s="1"/>
  <c r="S440" i="9"/>
  <c r="N430" i="13" s="1"/>
  <c r="S462" i="9"/>
  <c r="N452" i="13" s="1"/>
  <c r="S472" i="9"/>
  <c r="N462" i="13" s="1"/>
  <c r="S486" i="9"/>
  <c r="N476" i="13" s="1"/>
  <c r="S500" i="9"/>
  <c r="N490" i="13" s="1"/>
  <c r="S520" i="9"/>
  <c r="N510" i="13" s="1"/>
  <c r="S523" i="9"/>
  <c r="N513" i="13" s="1"/>
  <c r="S456" i="9"/>
  <c r="N446" i="13" s="1"/>
  <c r="S499" i="9"/>
  <c r="N489" i="13" s="1"/>
  <c r="S487" i="9"/>
  <c r="N477" i="13" s="1"/>
  <c r="S494" i="9"/>
  <c r="N484" i="13" s="1"/>
  <c r="S535" i="9"/>
  <c r="N525" i="13" s="1"/>
  <c r="S547" i="9"/>
  <c r="N537" i="13" s="1"/>
  <c r="S571" i="9"/>
  <c r="N561" i="13" s="1"/>
  <c r="S573" i="9"/>
  <c r="N563" i="13" s="1"/>
  <c r="S575" i="9"/>
  <c r="N565" i="13" s="1"/>
  <c r="S539" i="9"/>
  <c r="N529" i="13" s="1"/>
  <c r="S556" i="9"/>
  <c r="N546" i="13" s="1"/>
  <c r="S558" i="9"/>
  <c r="N548" i="13" s="1"/>
  <c r="S583" i="9"/>
  <c r="N573" i="13" s="1"/>
  <c r="S613" i="9"/>
  <c r="N603" i="13" s="1"/>
  <c r="S551" i="9"/>
  <c r="N541" i="13" s="1"/>
  <c r="S459" i="9"/>
  <c r="N449" i="13" s="1"/>
  <c r="S536" i="9"/>
  <c r="N526" i="13" s="1"/>
  <c r="S480" i="9"/>
  <c r="N470" i="13" s="1"/>
  <c r="S448" i="9"/>
  <c r="N438" i="13" s="1"/>
  <c r="S367" i="9"/>
  <c r="N357" i="13" s="1"/>
  <c r="S55" i="9"/>
  <c r="N45" i="13" s="1"/>
  <c r="S569" i="9"/>
  <c r="N559" i="13" s="1"/>
  <c r="S228" i="9"/>
  <c r="N218" i="13" s="1"/>
  <c r="S519" i="9"/>
  <c r="N509" i="13" s="1"/>
  <c r="S606" i="9"/>
  <c r="N596" i="13" s="1"/>
  <c r="S554" i="9"/>
  <c r="N544" i="13" s="1"/>
  <c r="S611" i="9"/>
  <c r="N601" i="13" s="1"/>
  <c r="S528" i="9"/>
  <c r="N518" i="13" s="1"/>
  <c r="S408" i="9"/>
  <c r="N398" i="13" s="1"/>
  <c r="S372" i="9"/>
  <c r="N362" i="13" s="1"/>
  <c r="S348" i="9"/>
  <c r="N338" i="13" s="1"/>
  <c r="S324" i="9"/>
  <c r="N314" i="13" s="1"/>
  <c r="S309" i="9"/>
  <c r="N299" i="13" s="1"/>
  <c r="S196" i="9"/>
  <c r="N186" i="13" s="1"/>
  <c r="S163" i="9"/>
  <c r="N153" i="13" s="1"/>
  <c r="S28" i="9"/>
  <c r="N18" i="13" s="1"/>
  <c r="S543" i="9"/>
  <c r="N533" i="13" s="1"/>
  <c r="S213" i="9"/>
  <c r="N203" i="13" s="1"/>
  <c r="S593" i="9"/>
  <c r="N583" i="13" s="1"/>
  <c r="S597" i="9"/>
  <c r="N587" i="13" s="1"/>
  <c r="S301" i="9"/>
  <c r="N291" i="13" s="1"/>
  <c r="S308" i="9"/>
  <c r="N298" i="13" s="1"/>
  <c r="S364" i="9"/>
  <c r="N354" i="13" s="1"/>
  <c r="S140" i="9"/>
  <c r="N130" i="13" s="1"/>
  <c r="S20" i="9"/>
  <c r="N10" i="13" s="1"/>
  <c r="S542" i="9"/>
  <c r="N532" i="13" s="1"/>
  <c r="S564" i="9"/>
  <c r="N554" i="13" s="1"/>
  <c r="S527" i="9"/>
  <c r="N517" i="13" s="1"/>
  <c r="S582" i="9"/>
  <c r="N572" i="13" s="1"/>
  <c r="S553" i="9"/>
  <c r="N543" i="13" s="1"/>
  <c r="S557" i="9"/>
  <c r="N547" i="13" s="1"/>
  <c r="S232" i="9"/>
  <c r="N222" i="13" s="1"/>
  <c r="S559" i="9"/>
  <c r="N549" i="13" s="1"/>
  <c r="S395" i="9"/>
  <c r="N385" i="13" s="1"/>
  <c r="S537" i="9"/>
  <c r="N527" i="13" s="1"/>
  <c r="S589" i="9"/>
  <c r="N579" i="13" s="1"/>
  <c r="S587" i="9"/>
  <c r="N577" i="13" s="1"/>
  <c r="S550" i="9"/>
  <c r="N540" i="13" s="1"/>
  <c r="S495" i="9"/>
  <c r="N485" i="13" s="1"/>
  <c r="S515" i="9"/>
  <c r="N505" i="13" s="1"/>
  <c r="S467" i="9"/>
  <c r="N457" i="13" s="1"/>
  <c r="S245" i="9"/>
  <c r="N235" i="13" s="1"/>
  <c r="S194" i="9"/>
  <c r="N184" i="13" s="1"/>
  <c r="S35" i="9"/>
  <c r="N25" i="13" s="1"/>
  <c r="S335" i="9"/>
  <c r="N325" i="13" s="1"/>
  <c r="S614" i="9"/>
  <c r="N604" i="13" s="1"/>
  <c r="S563" i="9"/>
  <c r="N553" i="13" s="1"/>
  <c r="S522" i="9"/>
  <c r="N512" i="13" s="1"/>
  <c r="S574" i="9"/>
  <c r="N564" i="13" s="1"/>
  <c r="S293" i="9"/>
  <c r="N283" i="13" s="1"/>
  <c r="S158" i="9"/>
  <c r="N148" i="13" s="1"/>
  <c r="S276" i="9"/>
  <c r="N266" i="13" s="1"/>
  <c r="S531" i="9"/>
  <c r="N521" i="13" s="1"/>
  <c r="S198" i="9"/>
  <c r="N188" i="13" s="1"/>
  <c r="S534" i="9"/>
  <c r="N524" i="13" s="1"/>
  <c r="S518" i="9"/>
  <c r="N508" i="13" s="1"/>
  <c r="S595" i="9"/>
  <c r="N585" i="13" s="1"/>
  <c r="S416" i="9"/>
  <c r="N406" i="13" s="1"/>
  <c r="S407" i="9"/>
  <c r="N397" i="13" s="1"/>
  <c r="S424" i="9"/>
  <c r="N414" i="13" s="1"/>
  <c r="S292" i="9"/>
  <c r="N282" i="13" s="1"/>
  <c r="S148" i="9"/>
  <c r="N138" i="13" s="1"/>
  <c r="S36" i="9"/>
  <c r="N26" i="13" s="1"/>
  <c r="S19" i="9"/>
  <c r="N9" i="13" s="1"/>
  <c r="S510" i="9"/>
  <c r="N500" i="13" s="1"/>
  <c r="S526" i="9"/>
  <c r="N516" i="13" s="1"/>
  <c r="S599" i="9"/>
  <c r="N589" i="13" s="1"/>
  <c r="S565" i="9"/>
  <c r="N555" i="13" s="1"/>
  <c r="S605" i="9"/>
  <c r="N595" i="13" s="1"/>
  <c r="S552" i="9"/>
  <c r="N542" i="13" s="1"/>
  <c r="S603" i="9"/>
  <c r="N593" i="13" s="1"/>
  <c r="S585" i="9"/>
  <c r="N575" i="13" s="1"/>
  <c r="S581" i="9"/>
  <c r="N571" i="13" s="1"/>
  <c r="S544" i="9"/>
  <c r="N534" i="13" s="1"/>
  <c r="S511" i="9"/>
  <c r="N501" i="13" s="1"/>
  <c r="S345" i="9"/>
  <c r="N335" i="13" s="1"/>
  <c r="S31" i="9"/>
  <c r="N21" i="13" s="1"/>
  <c r="S615" i="9"/>
  <c r="N605" i="13" s="1"/>
  <c r="S609" i="9"/>
  <c r="N599" i="13" s="1"/>
  <c r="S545" i="9"/>
  <c r="N535" i="13" s="1"/>
  <c r="S591" i="9"/>
  <c r="N581" i="13" s="1"/>
  <c r="S590" i="9"/>
  <c r="N580" i="13" s="1"/>
  <c r="S579" i="9"/>
  <c r="N569" i="13" s="1"/>
  <c r="S601" i="9"/>
  <c r="N591" i="13" s="1"/>
  <c r="S341" i="9"/>
  <c r="N331" i="13" s="1"/>
  <c r="S244" i="9"/>
  <c r="N234" i="13" s="1"/>
  <c r="S418" i="9"/>
  <c r="N408" i="13" s="1"/>
  <c r="S219" i="9"/>
  <c r="N209" i="13" s="1"/>
  <c r="S492" i="9"/>
  <c r="N482" i="13" s="1"/>
  <c r="S344" i="9"/>
  <c r="N334" i="13" s="1"/>
  <c r="S444" i="9"/>
  <c r="N434" i="13" s="1"/>
  <c r="S390" i="9"/>
  <c r="N380" i="13" s="1"/>
  <c r="S264" i="9"/>
  <c r="N254" i="13" s="1"/>
  <c r="S355" i="9"/>
  <c r="N345" i="13" s="1"/>
  <c r="S331" i="9"/>
  <c r="N321" i="13" s="1"/>
  <c r="S386" i="9"/>
  <c r="N376" i="13" s="1"/>
  <c r="S402" i="9"/>
  <c r="N392" i="13" s="1"/>
  <c r="S378" i="9"/>
  <c r="N368" i="13" s="1"/>
  <c r="S321" i="9"/>
  <c r="N311" i="13" s="1"/>
  <c r="S284" i="9"/>
  <c r="N274" i="13" s="1"/>
  <c r="S322" i="9"/>
  <c r="N312" i="13" s="1"/>
  <c r="S235" i="9"/>
  <c r="N225" i="13" s="1"/>
  <c r="S82" i="9"/>
  <c r="N72" i="13" s="1"/>
  <c r="S155" i="9"/>
  <c r="N145" i="13" s="1"/>
  <c r="S78" i="9"/>
  <c r="N68" i="13" s="1"/>
  <c r="S174" i="9"/>
  <c r="N164" i="13" s="1"/>
  <c r="S126" i="9"/>
  <c r="N116" i="13" s="1"/>
  <c r="S46" i="9"/>
  <c r="N36" i="13" s="1"/>
  <c r="S454" i="9"/>
  <c r="N444" i="13" s="1"/>
  <c r="S509" i="9"/>
  <c r="N499" i="13" s="1"/>
  <c r="S458" i="9"/>
  <c r="N448" i="13" s="1"/>
  <c r="S468" i="9"/>
  <c r="N458" i="13" s="1"/>
  <c r="S413" i="9"/>
  <c r="N403" i="13" s="1"/>
  <c r="S376" i="9"/>
  <c r="N366" i="13" s="1"/>
  <c r="S349" i="9"/>
  <c r="N339" i="13" s="1"/>
  <c r="S306" i="9"/>
  <c r="N296" i="13" s="1"/>
  <c r="S289" i="9"/>
  <c r="N279" i="13" s="1"/>
  <c r="S225" i="9"/>
  <c r="N215" i="13" s="1"/>
  <c r="S222" i="9"/>
  <c r="N212" i="13" s="1"/>
  <c r="S193" i="9"/>
  <c r="N183" i="13" s="1"/>
  <c r="S134" i="9"/>
  <c r="N124" i="13" s="1"/>
  <c r="S156" i="9"/>
  <c r="N146" i="13" s="1"/>
  <c r="S131" i="9"/>
  <c r="N121" i="13" s="1"/>
  <c r="S598" i="9"/>
  <c r="N588" i="13" s="1"/>
  <c r="S521" i="9"/>
  <c r="N511" i="13" s="1"/>
  <c r="S529" i="9"/>
  <c r="N519" i="13" s="1"/>
  <c r="S207" i="9"/>
  <c r="N197" i="13" s="1"/>
  <c r="S202" i="9"/>
  <c r="N192" i="13" s="1"/>
  <c r="S125" i="9"/>
  <c r="N115" i="13" s="1"/>
  <c r="S384" i="9"/>
  <c r="N374" i="13" s="1"/>
  <c r="S491" i="9"/>
  <c r="N481" i="13" s="1"/>
  <c r="S478" i="9"/>
  <c r="N468" i="13" s="1"/>
  <c r="S507" i="9"/>
  <c r="N497" i="13" s="1"/>
  <c r="S513" i="9"/>
  <c r="N503" i="13" s="1"/>
  <c r="S398" i="9"/>
  <c r="N388" i="13" s="1"/>
  <c r="S354" i="9"/>
  <c r="N344" i="13" s="1"/>
  <c r="S270" i="9"/>
  <c r="N260" i="13" s="1"/>
  <c r="S503" i="9"/>
  <c r="N493" i="13" s="1"/>
  <c r="S303" i="9"/>
  <c r="N293" i="13" s="1"/>
  <c r="S439" i="9"/>
  <c r="N429" i="13" s="1"/>
  <c r="S288" i="9"/>
  <c r="N278" i="13" s="1"/>
  <c r="S98" i="9"/>
  <c r="N88" i="13" s="1"/>
  <c r="S470" i="9"/>
  <c r="N460" i="13" s="1"/>
  <c r="S446" i="9"/>
  <c r="N436" i="13" s="1"/>
  <c r="S399" i="9"/>
  <c r="N389" i="13" s="1"/>
  <c r="S338" i="9"/>
  <c r="N328" i="13" s="1"/>
  <c r="S514" i="9"/>
  <c r="N504" i="13" s="1"/>
  <c r="S483" i="9"/>
  <c r="N473" i="13" s="1"/>
  <c r="S498" i="9"/>
  <c r="N488" i="13" s="1"/>
  <c r="S374" i="9"/>
  <c r="N364" i="13" s="1"/>
  <c r="S358" i="9"/>
  <c r="N348" i="13" s="1"/>
  <c r="S342" i="9"/>
  <c r="N332" i="13" s="1"/>
  <c r="S215" i="9"/>
  <c r="N205" i="13" s="1"/>
  <c r="S382" i="9"/>
  <c r="N372" i="13" s="1"/>
  <c r="S291" i="9"/>
  <c r="N281" i="13" s="1"/>
  <c r="S229" i="9"/>
  <c r="N219" i="13" s="1"/>
  <c r="S216" i="9"/>
  <c r="N206" i="13" s="1"/>
  <c r="S195" i="9"/>
  <c r="N185" i="13" s="1"/>
  <c r="S95" i="9"/>
  <c r="N85" i="13" s="1"/>
  <c r="S272" i="9"/>
  <c r="N262" i="13" s="1"/>
  <c r="S260" i="9"/>
  <c r="N250" i="13" s="1"/>
  <c r="S187" i="9"/>
  <c r="N177" i="13" s="1"/>
  <c r="S118" i="9"/>
  <c r="N108" i="13" s="1"/>
  <c r="S173" i="9"/>
  <c r="N163" i="13" s="1"/>
  <c r="S189" i="9"/>
  <c r="N179" i="13" s="1"/>
  <c r="S137" i="9"/>
  <c r="N127" i="13" s="1"/>
  <c r="S119" i="9"/>
  <c r="N109" i="13" s="1"/>
  <c r="S136" i="9"/>
  <c r="N126" i="13" s="1"/>
  <c r="S138" i="9"/>
  <c r="N128" i="13" s="1"/>
  <c r="S111" i="9"/>
  <c r="N101" i="13" s="1"/>
  <c r="S61" i="9"/>
  <c r="N51" i="13" s="1"/>
  <c r="S592" i="9"/>
  <c r="N582" i="13" s="1"/>
  <c r="S594" i="9"/>
  <c r="N584" i="13" s="1"/>
  <c r="S612" i="9"/>
  <c r="N602" i="13" s="1"/>
  <c r="S580" i="9"/>
  <c r="N570" i="13" s="1"/>
  <c r="S555" i="9"/>
  <c r="N545" i="13" s="1"/>
  <c r="S541" i="9"/>
  <c r="N531" i="13" s="1"/>
  <c r="S501" i="9"/>
  <c r="N491" i="13" s="1"/>
  <c r="S484" i="9"/>
  <c r="N474" i="13" s="1"/>
  <c r="S435" i="9"/>
  <c r="N425" i="13" s="1"/>
  <c r="S497" i="9"/>
  <c r="N487" i="13" s="1"/>
  <c r="S476" i="9"/>
  <c r="N466" i="13" s="1"/>
  <c r="S438" i="9"/>
  <c r="N428" i="13" s="1"/>
  <c r="S460" i="9"/>
  <c r="N450" i="13" s="1"/>
  <c r="S385" i="9"/>
  <c r="N375" i="13" s="1"/>
  <c r="S445" i="9"/>
  <c r="N435" i="13" s="1"/>
  <c r="S397" i="9"/>
  <c r="N387" i="13" s="1"/>
  <c r="S353" i="9"/>
  <c r="N343" i="13" s="1"/>
  <c r="S368" i="9"/>
  <c r="N358" i="13" s="1"/>
  <c r="S546" i="9"/>
  <c r="N536" i="13" s="1"/>
  <c r="S449" i="9"/>
  <c r="N439" i="13" s="1"/>
  <c r="S319" i="9"/>
  <c r="N309" i="13" s="1"/>
  <c r="S201" i="9"/>
  <c r="N191" i="13" s="1"/>
  <c r="S183" i="9"/>
  <c r="N173" i="13" s="1"/>
  <c r="S178" i="9"/>
  <c r="N168" i="13" s="1"/>
  <c r="S447" i="9"/>
  <c r="N437" i="13" s="1"/>
  <c r="S311" i="9"/>
  <c r="N301" i="13" s="1"/>
  <c r="S83" i="9"/>
  <c r="N73" i="13" s="1"/>
  <c r="S318" i="9"/>
  <c r="N308" i="13" s="1"/>
  <c r="S191" i="9"/>
  <c r="N181" i="13" s="1"/>
  <c r="S310" i="9"/>
  <c r="N300" i="13" s="1"/>
  <c r="S490" i="9"/>
  <c r="N480" i="13" s="1"/>
  <c r="S479" i="9"/>
  <c r="N469" i="13" s="1"/>
  <c r="S496" i="9"/>
  <c r="N486" i="13" s="1"/>
  <c r="S394" i="9"/>
  <c r="N384" i="13" s="1"/>
  <c r="S410" i="9"/>
  <c r="N400" i="13" s="1"/>
  <c r="S223" i="9"/>
  <c r="N213" i="13" s="1"/>
  <c r="S259" i="9"/>
  <c r="N249" i="13" s="1"/>
  <c r="S283" i="9"/>
  <c r="N273" i="13" s="1"/>
  <c r="S66" i="9"/>
  <c r="N56" i="13" s="1"/>
  <c r="S108" i="9"/>
  <c r="N98" i="13" s="1"/>
  <c r="S54" i="9"/>
  <c r="N44" i="13" s="1"/>
  <c r="S112" i="9"/>
  <c r="N102" i="13" s="1"/>
  <c r="S87" i="9"/>
  <c r="N77" i="13" s="1"/>
  <c r="S73" i="9"/>
  <c r="N63" i="13" s="1"/>
  <c r="S146" i="9"/>
  <c r="N136" i="13" s="1"/>
  <c r="S548" i="9"/>
  <c r="N538" i="13" s="1"/>
  <c r="S427" i="9"/>
  <c r="N417" i="13" s="1"/>
  <c r="S430" i="9"/>
  <c r="N420" i="13" s="1"/>
  <c r="S453" i="9"/>
  <c r="N443" i="13" s="1"/>
  <c r="S393" i="9"/>
  <c r="N383" i="13" s="1"/>
  <c r="S437" i="9"/>
  <c r="N427" i="13" s="1"/>
  <c r="S405" i="9"/>
  <c r="N395" i="13" s="1"/>
  <c r="S360" i="9"/>
  <c r="N350" i="13" s="1"/>
  <c r="S328" i="9"/>
  <c r="N318" i="13" s="1"/>
  <c r="S314" i="9"/>
  <c r="N304" i="13" s="1"/>
  <c r="S298" i="9"/>
  <c r="N288" i="13" s="1"/>
  <c r="S273" i="9"/>
  <c r="N263" i="13" s="1"/>
  <c r="S577" i="9"/>
  <c r="N567" i="13" s="1"/>
  <c r="S433" i="9"/>
  <c r="N423" i="13" s="1"/>
  <c r="S567" i="9"/>
  <c r="N557" i="13" s="1"/>
  <c r="S116" i="9"/>
  <c r="N106" i="13" s="1"/>
  <c r="S190" i="9"/>
  <c r="N180" i="13" s="1"/>
  <c r="S442" i="9"/>
  <c r="N432" i="13" s="1"/>
  <c r="S505" i="9"/>
  <c r="N495" i="13" s="1"/>
  <c r="S451" i="9"/>
  <c r="N441" i="13" s="1"/>
  <c r="S302" i="9"/>
  <c r="N292" i="13" s="1"/>
  <c r="S469" i="9"/>
  <c r="N459" i="13" s="1"/>
  <c r="S452" i="9"/>
  <c r="N442" i="13" s="1"/>
  <c r="S295" i="9"/>
  <c r="N285" i="13" s="1"/>
  <c r="S182" i="9"/>
  <c r="N172" i="13" s="1"/>
  <c r="S307" i="9"/>
  <c r="N297" i="13" s="1"/>
  <c r="S243" i="9"/>
  <c r="N233" i="13" s="1"/>
  <c r="S231" i="9"/>
  <c r="N221" i="13" s="1"/>
  <c r="S167" i="9"/>
  <c r="N157" i="13" s="1"/>
  <c r="S175" i="9"/>
  <c r="N165" i="13" s="1"/>
  <c r="S165" i="9"/>
  <c r="N155" i="13" s="1"/>
  <c r="S65" i="9"/>
  <c r="N55" i="13" s="1"/>
  <c r="S23" i="9"/>
  <c r="N13" i="13" s="1"/>
  <c r="S170" i="9"/>
  <c r="N160" i="13" s="1"/>
  <c r="S133" i="9"/>
  <c r="N123" i="13" s="1"/>
  <c r="S122" i="9"/>
  <c r="N112" i="13" s="1"/>
  <c r="S109" i="9"/>
  <c r="N99" i="13" s="1"/>
  <c r="S96" i="9"/>
  <c r="N86" i="13" s="1"/>
  <c r="S30" i="9"/>
  <c r="N20" i="13" s="1"/>
  <c r="S616" i="9"/>
  <c r="N606" i="13" s="1"/>
  <c r="S584" i="9"/>
  <c r="N574" i="13" s="1"/>
  <c r="S586" i="9"/>
  <c r="N576" i="13" s="1"/>
  <c r="S549" i="9"/>
  <c r="N539" i="13" s="1"/>
  <c r="S604" i="9"/>
  <c r="N594" i="13" s="1"/>
  <c r="S572" i="9"/>
  <c r="N562" i="13" s="1"/>
  <c r="S524" i="9"/>
  <c r="N514" i="13" s="1"/>
  <c r="S481" i="9"/>
  <c r="N471" i="13" s="1"/>
  <c r="S389" i="9"/>
  <c r="N379" i="13" s="1"/>
  <c r="S401" i="9"/>
  <c r="N391" i="13" s="1"/>
  <c r="S352" i="9"/>
  <c r="N342" i="13" s="1"/>
  <c r="S337" i="9"/>
  <c r="N327" i="13" s="1"/>
  <c r="S317" i="9"/>
  <c r="N307" i="13" s="1"/>
  <c r="S253" i="9"/>
  <c r="N243" i="13" s="1"/>
  <c r="S561" i="9"/>
  <c r="N551" i="13" s="1"/>
  <c r="S333" i="9"/>
  <c r="N323" i="13" s="1"/>
  <c r="S99" i="9"/>
  <c r="N89" i="13" s="1"/>
  <c r="S279" i="9"/>
  <c r="N269" i="13" s="1"/>
  <c r="S463" i="9"/>
  <c r="N453" i="13" s="1"/>
  <c r="S482" i="9"/>
  <c r="N472" i="13" s="1"/>
  <c r="S506" i="9"/>
  <c r="N496" i="13" s="1"/>
  <c r="S188" i="9"/>
  <c r="N178" i="13" s="1"/>
  <c r="S75" i="9"/>
  <c r="N65" i="13" s="1"/>
  <c r="S426" i="9"/>
  <c r="N416" i="13" s="1"/>
  <c r="S403" i="9"/>
  <c r="N393" i="13" s="1"/>
  <c r="S450" i="9"/>
  <c r="N440" i="13" s="1"/>
  <c r="S404" i="9"/>
  <c r="N394" i="13" s="1"/>
  <c r="S224" i="9"/>
  <c r="N214" i="13" s="1"/>
  <c r="S280" i="9"/>
  <c r="N270" i="13" s="1"/>
  <c r="S277" i="9"/>
  <c r="N267" i="13" s="1"/>
  <c r="S316" i="9"/>
  <c r="N306" i="13" s="1"/>
  <c r="S287" i="9"/>
  <c r="N277" i="13" s="1"/>
  <c r="S179" i="9"/>
  <c r="N169" i="13" s="1"/>
  <c r="S103" i="9"/>
  <c r="N93" i="13" s="1"/>
  <c r="S211" i="9"/>
  <c r="N201" i="13" s="1"/>
  <c r="S39" i="9"/>
  <c r="N29" i="13" s="1"/>
  <c r="S71" i="9"/>
  <c r="N61" i="13" s="1"/>
  <c r="S205" i="9"/>
  <c r="N195" i="13" s="1"/>
  <c r="S110" i="9"/>
  <c r="N100" i="13" s="1"/>
  <c r="S209" i="9"/>
  <c r="N199" i="13" s="1"/>
  <c r="S157" i="9"/>
  <c r="N147" i="13" s="1"/>
  <c r="S69" i="9"/>
  <c r="N59" i="13" s="1"/>
  <c r="S45" i="9"/>
  <c r="N35" i="13" s="1"/>
  <c r="S560" i="9"/>
  <c r="N550" i="13" s="1"/>
  <c r="S516" i="9"/>
  <c r="N506" i="13" s="1"/>
  <c r="S443" i="9"/>
  <c r="N433" i="13" s="1"/>
  <c r="S428" i="9"/>
  <c r="N418" i="13" s="1"/>
  <c r="S420" i="9"/>
  <c r="N410" i="13" s="1"/>
  <c r="S473" i="9"/>
  <c r="N463" i="13" s="1"/>
  <c r="S429" i="9"/>
  <c r="N419" i="13" s="1"/>
  <c r="S396" i="9"/>
  <c r="N386" i="13" s="1"/>
  <c r="S381" i="9"/>
  <c r="N371" i="13" s="1"/>
  <c r="S332" i="9"/>
  <c r="N322" i="13" s="1"/>
  <c r="S313" i="9"/>
  <c r="N303" i="13" s="1"/>
  <c r="S304" i="9"/>
  <c r="N294" i="13" s="1"/>
  <c r="S334" i="9"/>
  <c r="N324" i="13" s="1"/>
  <c r="S566" i="9"/>
  <c r="N556" i="13" s="1"/>
  <c r="S538" i="9"/>
  <c r="N528" i="13" s="1"/>
  <c r="S562" i="9"/>
  <c r="N552" i="13" s="1"/>
  <c r="S151" i="9"/>
  <c r="N141" i="13" s="1"/>
  <c r="S101" i="9"/>
  <c r="N91" i="13" s="1"/>
  <c r="S327" i="9"/>
  <c r="N317" i="13" s="1"/>
  <c r="S504" i="9"/>
  <c r="N494" i="13" s="1"/>
  <c r="S142" i="9"/>
  <c r="N132" i="13" s="1"/>
  <c r="S252" i="9"/>
  <c r="N242" i="13" s="1"/>
  <c r="S477" i="9"/>
  <c r="N467" i="13" s="1"/>
  <c r="S315" i="9"/>
  <c r="N305" i="13" s="1"/>
  <c r="S512" i="9"/>
  <c r="N502" i="13" s="1"/>
  <c r="S423" i="9"/>
  <c r="N413" i="13" s="1"/>
  <c r="S392" i="9"/>
  <c r="N382" i="13" s="1"/>
  <c r="S271" i="9"/>
  <c r="N261" i="13" s="1"/>
  <c r="S356" i="9"/>
  <c r="N346" i="13" s="1"/>
  <c r="S391" i="9"/>
  <c r="N381" i="13" s="1"/>
  <c r="S530" i="9"/>
  <c r="N520" i="13" s="1"/>
  <c r="S42" i="9"/>
  <c r="N32" i="13" s="1"/>
  <c r="S91" i="9"/>
  <c r="N81" i="13" s="1"/>
  <c r="S159" i="9"/>
  <c r="N149" i="13" s="1"/>
  <c r="S417" i="9"/>
  <c r="N407" i="13" s="1"/>
  <c r="S406" i="9"/>
  <c r="N396" i="13" s="1"/>
  <c r="S206" i="9"/>
  <c r="N196" i="13" s="1"/>
  <c r="S359" i="9"/>
  <c r="N349" i="13" s="1"/>
  <c r="S79" i="9"/>
  <c r="N69" i="13" s="1"/>
  <c r="S141" i="9"/>
  <c r="N131" i="13" s="1"/>
  <c r="S425" i="9"/>
  <c r="N415" i="13" s="1"/>
  <c r="S248" i="9"/>
  <c r="N238" i="13" s="1"/>
  <c r="S464" i="9"/>
  <c r="N454" i="13" s="1"/>
  <c r="S320" i="9"/>
  <c r="N310" i="13" s="1"/>
  <c r="S363" i="9"/>
  <c r="N353" i="13" s="1"/>
  <c r="S261" i="9"/>
  <c r="N251" i="13" s="1"/>
  <c r="S370" i="9"/>
  <c r="N360" i="13" s="1"/>
  <c r="S296" i="9"/>
  <c r="N286" i="13" s="1"/>
  <c r="S257" i="9"/>
  <c r="N247" i="13" s="1"/>
  <c r="S247" i="9"/>
  <c r="N237" i="13" s="1"/>
  <c r="S339" i="9"/>
  <c r="N329" i="13" s="1"/>
  <c r="S278" i="9"/>
  <c r="N268" i="13" s="1"/>
  <c r="S325" i="9"/>
  <c r="N315" i="13" s="1"/>
  <c r="S265" i="9"/>
  <c r="N255" i="13" s="1"/>
  <c r="S53" i="9"/>
  <c r="N43" i="13" s="1"/>
  <c r="S145" i="9"/>
  <c r="N135" i="13" s="1"/>
  <c r="S86" i="9"/>
  <c r="N76" i="13" s="1"/>
  <c r="S147" i="9"/>
  <c r="N137" i="13" s="1"/>
  <c r="S154" i="9"/>
  <c r="N144" i="13" s="1"/>
  <c r="S21" i="9"/>
  <c r="N11" i="13" s="1"/>
  <c r="S57" i="9"/>
  <c r="N47" i="13" s="1"/>
  <c r="S525" i="9"/>
  <c r="N515" i="13" s="1"/>
  <c r="S436" i="9"/>
  <c r="N426" i="13" s="1"/>
  <c r="S466" i="9"/>
  <c r="N456" i="13" s="1"/>
  <c r="S414" i="9"/>
  <c r="N404" i="13" s="1"/>
  <c r="S457" i="9"/>
  <c r="N447" i="13" s="1"/>
  <c r="S421" i="9"/>
  <c r="N411" i="13" s="1"/>
  <c r="S377" i="9"/>
  <c r="N367" i="13" s="1"/>
  <c r="S365" i="9"/>
  <c r="N355" i="13" s="1"/>
  <c r="S312" i="9"/>
  <c r="N302" i="13" s="1"/>
  <c r="S305" i="9"/>
  <c r="N295" i="13" s="1"/>
  <c r="S218" i="9"/>
  <c r="N208" i="13" s="1"/>
  <c r="S258" i="9"/>
  <c r="N248" i="13" s="1"/>
  <c r="S241" i="9"/>
  <c r="N231" i="13" s="1"/>
  <c r="S238" i="9"/>
  <c r="N228" i="13" s="1"/>
  <c r="S153" i="9"/>
  <c r="N143" i="13" s="1"/>
  <c r="S164" i="9"/>
  <c r="N154" i="13" s="1"/>
  <c r="S168" i="9"/>
  <c r="N158" i="13" s="1"/>
  <c r="S40" i="9"/>
  <c r="N30" i="13" s="1"/>
  <c r="S56" i="9"/>
  <c r="N46" i="13" s="1"/>
  <c r="S24" i="9"/>
  <c r="N14" i="13" s="1"/>
  <c r="S152" i="9"/>
  <c r="N142" i="13" s="1"/>
  <c r="S607" i="9"/>
  <c r="N597" i="13" s="1"/>
  <c r="S351" i="9"/>
  <c r="N341" i="13" s="1"/>
  <c r="S387" i="9"/>
  <c r="N377" i="13" s="1"/>
  <c r="S502" i="9"/>
  <c r="N492" i="13" s="1"/>
  <c r="S475" i="9"/>
  <c r="N465" i="13" s="1"/>
  <c r="S471" i="9"/>
  <c r="N461" i="13" s="1"/>
  <c r="S415" i="9"/>
  <c r="N405" i="13" s="1"/>
  <c r="S362" i="9"/>
  <c r="N352" i="13" s="1"/>
  <c r="S181" i="9"/>
  <c r="N171" i="13" s="1"/>
  <c r="S488" i="9"/>
  <c r="N478" i="13" s="1"/>
  <c r="S485" i="9"/>
  <c r="N475" i="13" s="1"/>
  <c r="S263" i="9"/>
  <c r="N253" i="13" s="1"/>
  <c r="S239" i="9"/>
  <c r="N229" i="13" s="1"/>
  <c r="S323" i="9"/>
  <c r="N313" i="13" s="1"/>
  <c r="S255" i="9"/>
  <c r="N245" i="13" s="1"/>
  <c r="S220" i="9"/>
  <c r="N210" i="13" s="1"/>
  <c r="S171" i="9"/>
  <c r="N161" i="13" s="1"/>
  <c r="S294" i="9"/>
  <c r="N284" i="13" s="1"/>
  <c r="S128" i="9"/>
  <c r="N118" i="13" s="1"/>
  <c r="S37" i="9"/>
  <c r="N27" i="13" s="1"/>
  <c r="S197" i="9"/>
  <c r="N187" i="13" s="1"/>
  <c r="S34" i="9"/>
  <c r="N24" i="13" s="1"/>
  <c r="S124" i="9"/>
  <c r="N114" i="13" s="1"/>
  <c r="S113" i="9"/>
  <c r="N103" i="13" s="1"/>
  <c r="S27" i="9"/>
  <c r="N17" i="13" s="1"/>
  <c r="S600" i="9"/>
  <c r="N590" i="13" s="1"/>
  <c r="S568" i="9"/>
  <c r="N558" i="13" s="1"/>
  <c r="S602" i="9"/>
  <c r="N592" i="13" s="1"/>
  <c r="S570" i="9"/>
  <c r="N560" i="13" s="1"/>
  <c r="S540" i="9"/>
  <c r="N530" i="13" s="1"/>
  <c r="S588" i="9"/>
  <c r="N578" i="13" s="1"/>
  <c r="S532" i="9"/>
  <c r="N522" i="13" s="1"/>
  <c r="S493" i="9"/>
  <c r="N483" i="13" s="1"/>
  <c r="S489" i="9"/>
  <c r="N479" i="13" s="1"/>
  <c r="S517" i="9"/>
  <c r="N507" i="13" s="1"/>
  <c r="S411" i="9"/>
  <c r="N401" i="13" s="1"/>
  <c r="S455" i="9"/>
  <c r="N445" i="13" s="1"/>
  <c r="S412" i="9"/>
  <c r="N402" i="13" s="1"/>
  <c r="S388" i="9"/>
  <c r="N378" i="13" s="1"/>
  <c r="S361" i="9"/>
  <c r="N351" i="13" s="1"/>
  <c r="S357" i="9"/>
  <c r="N347" i="13" s="1"/>
  <c r="S329" i="9"/>
  <c r="N319" i="13" s="1"/>
  <c r="S269" i="9"/>
  <c r="N259" i="13" s="1"/>
  <c r="S234" i="9"/>
  <c r="N224" i="13" s="1"/>
  <c r="S297" i="9"/>
  <c r="N287" i="13" s="1"/>
  <c r="S233" i="9"/>
  <c r="N223" i="13" s="1"/>
  <c r="S230" i="9"/>
  <c r="N220" i="13" s="1"/>
  <c r="S161" i="9"/>
  <c r="N151" i="13" s="1"/>
  <c r="S180" i="9"/>
  <c r="N170" i="13" s="1"/>
  <c r="S160" i="9"/>
  <c r="N150" i="13" s="1"/>
  <c r="S123" i="9"/>
  <c r="N113" i="13" s="1"/>
  <c r="S102" i="9"/>
  <c r="N92" i="13" s="1"/>
  <c r="S84" i="9"/>
  <c r="N74" i="13" s="1"/>
  <c r="S77" i="9"/>
  <c r="N67" i="13" s="1"/>
  <c r="S68" i="9"/>
  <c r="N58" i="13" s="1"/>
  <c r="S64" i="9"/>
  <c r="N54" i="13" s="1"/>
  <c r="S130" i="9"/>
  <c r="N120" i="13" s="1"/>
  <c r="S346" i="9"/>
  <c r="N336" i="13" s="1"/>
  <c r="S132" i="9"/>
  <c r="N122" i="13" s="1"/>
  <c r="S44" i="9"/>
  <c r="N34" i="13" s="1"/>
  <c r="S149" i="9"/>
  <c r="N139" i="13" s="1"/>
  <c r="S419" i="9"/>
  <c r="N409" i="13" s="1"/>
  <c r="S203" i="9"/>
  <c r="N193" i="13" s="1"/>
  <c r="S67" i="9"/>
  <c r="N57" i="13" s="1"/>
  <c r="S330" i="9"/>
  <c r="N320" i="13" s="1"/>
  <c r="S578" i="9"/>
  <c r="N568" i="13" s="1"/>
  <c r="S596" i="9"/>
  <c r="N586" i="13" s="1"/>
  <c r="S465" i="9"/>
  <c r="N455" i="13" s="1"/>
  <c r="S250" i="9"/>
  <c r="N240" i="13" s="1"/>
  <c r="S25" i="9"/>
  <c r="N15" i="13" s="1"/>
  <c r="S22" i="9"/>
  <c r="N12" i="13" s="1"/>
  <c r="S608" i="9"/>
  <c r="N598" i="13" s="1"/>
  <c r="S422" i="9"/>
  <c r="N412" i="13" s="1"/>
  <c r="S169" i="9"/>
  <c r="N159" i="13" s="1"/>
  <c r="S184" i="9"/>
  <c r="N174" i="13" s="1"/>
  <c r="S176" i="9"/>
  <c r="N166" i="13" s="1"/>
  <c r="S115" i="9"/>
  <c r="N105" i="13" s="1"/>
  <c r="S52" i="9"/>
  <c r="N42" i="13" s="1"/>
  <c r="S48" i="9"/>
  <c r="N38" i="13" s="1"/>
  <c r="S72" i="9"/>
  <c r="N62" i="13" s="1"/>
  <c r="S59" i="9"/>
  <c r="N49" i="13" s="1"/>
  <c r="S33" i="9"/>
  <c r="N23" i="13" s="1"/>
  <c r="S32" i="9"/>
  <c r="N22" i="13" s="1"/>
  <c r="S104" i="9"/>
  <c r="N94" i="13" s="1"/>
  <c r="S251" i="9"/>
  <c r="N241" i="13" s="1"/>
  <c r="S336" i="9"/>
  <c r="N326" i="13" s="1"/>
  <c r="S74" i="9"/>
  <c r="N64" i="13" s="1"/>
  <c r="S63" i="9"/>
  <c r="N53" i="13" s="1"/>
  <c r="S94" i="9"/>
  <c r="N84" i="13" s="1"/>
  <c r="S508" i="9"/>
  <c r="N498" i="13" s="1"/>
  <c r="S369" i="9"/>
  <c r="N359" i="13" s="1"/>
  <c r="S326" i="9"/>
  <c r="N316" i="13" s="1"/>
  <c r="S204" i="9"/>
  <c r="N194" i="13" s="1"/>
  <c r="S192" i="9"/>
  <c r="N182" i="13" s="1"/>
  <c r="S106" i="9"/>
  <c r="N96" i="13" s="1"/>
  <c r="S139" i="9"/>
  <c r="N129" i="13" s="1"/>
  <c r="S47" i="9"/>
  <c r="N37" i="13" s="1"/>
  <c r="S371" i="9"/>
  <c r="N361" i="13" s="1"/>
  <c r="S350" i="9"/>
  <c r="N340" i="13" s="1"/>
  <c r="S347" i="9"/>
  <c r="N337" i="13" s="1"/>
  <c r="S92" i="9"/>
  <c r="N82" i="13" s="1"/>
  <c r="S610" i="9"/>
  <c r="N600" i="13" s="1"/>
  <c r="S533" i="9"/>
  <c r="N523" i="13" s="1"/>
  <c r="S262" i="9"/>
  <c r="N252" i="13" s="1"/>
  <c r="S226" i="9"/>
  <c r="N216" i="13" s="1"/>
  <c r="S217" i="9"/>
  <c r="N207" i="13" s="1"/>
  <c r="S88" i="9"/>
  <c r="N78" i="13" s="1"/>
  <c r="S38" i="9"/>
  <c r="N28" i="13" s="1"/>
  <c r="S461" i="9"/>
  <c r="N451" i="13" s="1"/>
  <c r="S373" i="9"/>
  <c r="N363" i="13" s="1"/>
  <c r="S282" i="9"/>
  <c r="N272" i="13" s="1"/>
  <c r="S274" i="9"/>
  <c r="N264" i="13" s="1"/>
  <c r="S290" i="9"/>
  <c r="N280" i="13" s="1"/>
  <c r="S281" i="9"/>
  <c r="N271" i="13" s="1"/>
  <c r="S266" i="9"/>
  <c r="N256" i="13" s="1"/>
  <c r="S199" i="9"/>
  <c r="N189" i="13" s="1"/>
  <c r="S177" i="9"/>
  <c r="N167" i="13" s="1"/>
  <c r="S97" i="9"/>
  <c r="N87" i="13" s="1"/>
  <c r="S212" i="9"/>
  <c r="N202" i="13" s="1"/>
  <c r="S120" i="9"/>
  <c r="N110" i="13" s="1"/>
  <c r="S221" i="9"/>
  <c r="N211" i="13" s="1"/>
  <c r="S340" i="9"/>
  <c r="N330" i="13" s="1"/>
  <c r="S242" i="9"/>
  <c r="N232" i="13" s="1"/>
  <c r="S210" i="9"/>
  <c r="N200" i="13" s="1"/>
  <c r="S144" i="9"/>
  <c r="N134" i="13" s="1"/>
  <c r="S135" i="9"/>
  <c r="N125" i="13" s="1"/>
  <c r="S121" i="9"/>
  <c r="N111" i="13" s="1"/>
  <c r="S85" i="9"/>
  <c r="N75" i="13" s="1"/>
  <c r="S89" i="9"/>
  <c r="N79" i="13" s="1"/>
  <c r="S41" i="9"/>
  <c r="N31" i="13" s="1"/>
  <c r="S366" i="9"/>
  <c r="N356" i="13" s="1"/>
  <c r="S240" i="9"/>
  <c r="N230" i="13" s="1"/>
  <c r="S29" i="9"/>
  <c r="N19" i="13" s="1"/>
  <c r="S576" i="9"/>
  <c r="N566" i="13" s="1"/>
  <c r="S474" i="9"/>
  <c r="N464" i="13" s="1"/>
  <c r="S254" i="9"/>
  <c r="N244" i="13" s="1"/>
  <c r="S114" i="9"/>
  <c r="N104" i="13" s="1"/>
  <c r="S143" i="9"/>
  <c r="N133" i="13" s="1"/>
  <c r="S127" i="9"/>
  <c r="N117" i="13" s="1"/>
  <c r="S107" i="9"/>
  <c r="N97" i="13" s="1"/>
  <c r="S93" i="9"/>
  <c r="N83" i="13" s="1"/>
  <c r="S60" i="9"/>
  <c r="N50" i="13" s="1"/>
  <c r="S81" i="9"/>
  <c r="N71" i="13" s="1"/>
  <c r="S49" i="9"/>
  <c r="N39" i="13" s="1"/>
  <c r="S249" i="9"/>
  <c r="N239" i="13" s="1"/>
  <c r="S246" i="9"/>
  <c r="N236" i="13" s="1"/>
  <c r="S185" i="9"/>
  <c r="N175" i="13" s="1"/>
  <c r="S214" i="9"/>
  <c r="N204" i="13" s="1"/>
  <c r="S76" i="9"/>
  <c r="N66" i="13" s="1"/>
  <c r="Q27" i="9"/>
  <c r="O17" i="13" s="1"/>
  <c r="Q29" i="9"/>
  <c r="O19" i="13" s="1"/>
  <c r="Q31" i="9"/>
  <c r="O21" i="13" s="1"/>
  <c r="Q33" i="9"/>
  <c r="O23" i="13" s="1"/>
  <c r="Q47" i="9"/>
  <c r="O37" i="13" s="1"/>
  <c r="Q49" i="9"/>
  <c r="O39" i="13" s="1"/>
  <c r="Q60" i="9"/>
  <c r="O50" i="13" s="1"/>
  <c r="Q62" i="9"/>
  <c r="O52" i="13" s="1"/>
  <c r="Q73" i="9"/>
  <c r="O63" i="13" s="1"/>
  <c r="Q75" i="9"/>
  <c r="O65" i="13" s="1"/>
  <c r="Q77" i="9"/>
  <c r="O67" i="13" s="1"/>
  <c r="Q92" i="9"/>
  <c r="O82" i="13" s="1"/>
  <c r="Q18" i="9"/>
  <c r="O8" i="13" s="1"/>
  <c r="Q35" i="9"/>
  <c r="O25" i="13" s="1"/>
  <c r="Q44" i="9"/>
  <c r="O34" i="13" s="1"/>
  <c r="Q51" i="9"/>
  <c r="O41" i="13" s="1"/>
  <c r="Q64" i="9"/>
  <c r="O54" i="13" s="1"/>
  <c r="Q66" i="9"/>
  <c r="O56" i="13" s="1"/>
  <c r="Q79" i="9"/>
  <c r="O69" i="13" s="1"/>
  <c r="Q94" i="9"/>
  <c r="O84" i="13" s="1"/>
  <c r="Q96" i="9"/>
  <c r="O86" i="13" s="1"/>
  <c r="Q98" i="9"/>
  <c r="O88" i="13" s="1"/>
  <c r="Q100" i="9"/>
  <c r="O90" i="13" s="1"/>
  <c r="Q20" i="9"/>
  <c r="O10" i="13" s="1"/>
  <c r="Q22" i="9"/>
  <c r="O12" i="13" s="1"/>
  <c r="Q37" i="9"/>
  <c r="O27" i="13" s="1"/>
  <c r="Q39" i="9"/>
  <c r="O29" i="13" s="1"/>
  <c r="Q41" i="9"/>
  <c r="O31" i="13" s="1"/>
  <c r="Q53" i="9"/>
  <c r="O43" i="13" s="1"/>
  <c r="Q55" i="9"/>
  <c r="O45" i="13" s="1"/>
  <c r="Q68" i="9"/>
  <c r="O58" i="13" s="1"/>
  <c r="Q70" i="9"/>
  <c r="O60" i="13" s="1"/>
  <c r="Q81" i="9"/>
  <c r="O71" i="13" s="1"/>
  <c r="Q24" i="9"/>
  <c r="O14" i="13" s="1"/>
  <c r="Q26" i="9"/>
  <c r="O16" i="13" s="1"/>
  <c r="Q46" i="9"/>
  <c r="O36" i="13" s="1"/>
  <c r="Q57" i="9"/>
  <c r="O47" i="13" s="1"/>
  <c r="Q83" i="9"/>
  <c r="O73" i="13" s="1"/>
  <c r="Q85" i="9"/>
  <c r="O75" i="13" s="1"/>
  <c r="Q87" i="9"/>
  <c r="O77" i="13" s="1"/>
  <c r="Q89" i="9"/>
  <c r="O79" i="13" s="1"/>
  <c r="Q102" i="9"/>
  <c r="O92" i="13" s="1"/>
  <c r="Q104" i="9"/>
  <c r="O94" i="13" s="1"/>
  <c r="Q28" i="9"/>
  <c r="O18" i="13" s="1"/>
  <c r="Q30" i="9"/>
  <c r="O20" i="13" s="1"/>
  <c r="Q32" i="9"/>
  <c r="O22" i="13" s="1"/>
  <c r="Q34" i="9"/>
  <c r="O24" i="13" s="1"/>
  <c r="Q43" i="9"/>
  <c r="O33" i="13" s="1"/>
  <c r="Q48" i="9"/>
  <c r="O38" i="13" s="1"/>
  <c r="Q50" i="9"/>
  <c r="O40" i="13" s="1"/>
  <c r="Q59" i="9"/>
  <c r="O49" i="13" s="1"/>
  <c r="Q61" i="9"/>
  <c r="O51" i="13" s="1"/>
  <c r="Q36" i="9"/>
  <c r="O26" i="13" s="1"/>
  <c r="Q63" i="9"/>
  <c r="O53" i="13" s="1"/>
  <c r="Q65" i="9"/>
  <c r="O55" i="13" s="1"/>
  <c r="Q78" i="9"/>
  <c r="O68" i="13" s="1"/>
  <c r="Q80" i="9"/>
  <c r="O70" i="13" s="1"/>
  <c r="Q95" i="9"/>
  <c r="O85" i="13" s="1"/>
  <c r="Q19" i="9"/>
  <c r="O9" i="13" s="1"/>
  <c r="Q21" i="9"/>
  <c r="O11" i="13" s="1"/>
  <c r="Q38" i="9"/>
  <c r="O28" i="13" s="1"/>
  <c r="Q40" i="9"/>
  <c r="O30" i="13" s="1"/>
  <c r="Q45" i="9"/>
  <c r="O35" i="13" s="1"/>
  <c r="Q52" i="9"/>
  <c r="O42" i="13" s="1"/>
  <c r="Q54" i="9"/>
  <c r="O44" i="13" s="1"/>
  <c r="Q67" i="9"/>
  <c r="O57" i="13" s="1"/>
  <c r="Q69" i="9"/>
  <c r="O59" i="13" s="1"/>
  <c r="Q82" i="9"/>
  <c r="O72" i="13" s="1"/>
  <c r="Q23" i="9"/>
  <c r="O13" i="13" s="1"/>
  <c r="Q25" i="9"/>
  <c r="O15" i="13" s="1"/>
  <c r="Q74" i="9"/>
  <c r="O64" i="13" s="1"/>
  <c r="Q91" i="9"/>
  <c r="O81" i="13" s="1"/>
  <c r="Q99" i="9"/>
  <c r="O89" i="13" s="1"/>
  <c r="Q119" i="9"/>
  <c r="O109" i="13" s="1"/>
  <c r="Q121" i="9"/>
  <c r="O111" i="13" s="1"/>
  <c r="Q123" i="9"/>
  <c r="O113" i="13" s="1"/>
  <c r="Q134" i="9"/>
  <c r="O124" i="13" s="1"/>
  <c r="Q136" i="9"/>
  <c r="O126" i="13" s="1"/>
  <c r="Q149" i="9"/>
  <c r="O139" i="13" s="1"/>
  <c r="Q76" i="9"/>
  <c r="O66" i="13" s="1"/>
  <c r="Q93" i="9"/>
  <c r="O83" i="13" s="1"/>
  <c r="Q106" i="9"/>
  <c r="O96" i="13" s="1"/>
  <c r="Q108" i="9"/>
  <c r="O98" i="13" s="1"/>
  <c r="Q110" i="9"/>
  <c r="O100" i="13" s="1"/>
  <c r="Q112" i="9"/>
  <c r="O102" i="13" s="1"/>
  <c r="Q114" i="9"/>
  <c r="O104" i="13" s="1"/>
  <c r="Q125" i="9"/>
  <c r="O115" i="13" s="1"/>
  <c r="Q127" i="9"/>
  <c r="O117" i="13" s="1"/>
  <c r="Q129" i="9"/>
  <c r="O119" i="13" s="1"/>
  <c r="Q138" i="9"/>
  <c r="O128" i="13" s="1"/>
  <c r="Q56" i="9"/>
  <c r="O46" i="13" s="1"/>
  <c r="Q58" i="9"/>
  <c r="O48" i="13" s="1"/>
  <c r="Q103" i="9"/>
  <c r="O93" i="13" s="1"/>
  <c r="Q116" i="9"/>
  <c r="O106" i="13" s="1"/>
  <c r="Q131" i="9"/>
  <c r="O121" i="13" s="1"/>
  <c r="Q140" i="9"/>
  <c r="O130" i="13" s="1"/>
  <c r="Q146" i="9"/>
  <c r="O136" i="13" s="1"/>
  <c r="Q159" i="9"/>
  <c r="O149" i="13" s="1"/>
  <c r="Q84" i="9"/>
  <c r="O74" i="13" s="1"/>
  <c r="Q118" i="9"/>
  <c r="O108" i="13" s="1"/>
  <c r="Q120" i="9"/>
  <c r="O110" i="13" s="1"/>
  <c r="Q122" i="9"/>
  <c r="O112" i="13" s="1"/>
  <c r="Q124" i="9"/>
  <c r="O114" i="13" s="1"/>
  <c r="Q133" i="9"/>
  <c r="O123" i="13" s="1"/>
  <c r="Q86" i="9"/>
  <c r="O76" i="13" s="1"/>
  <c r="Q97" i="9"/>
  <c r="O87" i="13" s="1"/>
  <c r="Q101" i="9"/>
  <c r="O91" i="13" s="1"/>
  <c r="Q107" i="9"/>
  <c r="O97" i="13" s="1"/>
  <c r="Q109" i="9"/>
  <c r="O99" i="13" s="1"/>
  <c r="Q111" i="9"/>
  <c r="O101" i="13" s="1"/>
  <c r="Q113" i="9"/>
  <c r="O103" i="13" s="1"/>
  <c r="Q115" i="9"/>
  <c r="O105" i="13" s="1"/>
  <c r="Q126" i="9"/>
  <c r="O116" i="13" s="1"/>
  <c r="Q128" i="9"/>
  <c r="O118" i="13" s="1"/>
  <c r="Q42" i="9"/>
  <c r="O32" i="13" s="1"/>
  <c r="Q88" i="9"/>
  <c r="O78" i="13" s="1"/>
  <c r="Q105" i="9"/>
  <c r="O95" i="13" s="1"/>
  <c r="Q117" i="9"/>
  <c r="O107" i="13" s="1"/>
  <c r="Q130" i="9"/>
  <c r="O120" i="13" s="1"/>
  <c r="Q139" i="9"/>
  <c r="O129" i="13" s="1"/>
  <c r="Q141" i="9"/>
  <c r="O131" i="13" s="1"/>
  <c r="Q143" i="9"/>
  <c r="O133" i="13" s="1"/>
  <c r="Q145" i="9"/>
  <c r="O135" i="13" s="1"/>
  <c r="Q152" i="9"/>
  <c r="O142" i="13" s="1"/>
  <c r="Q154" i="9"/>
  <c r="O144" i="13" s="1"/>
  <c r="Q156" i="9"/>
  <c r="O146" i="13" s="1"/>
  <c r="Q71" i="9"/>
  <c r="O61" i="13" s="1"/>
  <c r="Q72" i="9"/>
  <c r="O62" i="13" s="1"/>
  <c r="Q90" i="9"/>
  <c r="O80" i="13" s="1"/>
  <c r="Q132" i="9"/>
  <c r="O122" i="13" s="1"/>
  <c r="Q147" i="9"/>
  <c r="O137" i="13" s="1"/>
  <c r="Q158" i="9"/>
  <c r="O148" i="13" s="1"/>
  <c r="Q160" i="9"/>
  <c r="O150" i="13" s="1"/>
  <c r="Q162" i="9"/>
  <c r="O152" i="13" s="1"/>
  <c r="Q173" i="9"/>
  <c r="O163" i="13" s="1"/>
  <c r="Q135" i="9"/>
  <c r="O125" i="13" s="1"/>
  <c r="Q148" i="9"/>
  <c r="O138" i="13" s="1"/>
  <c r="Q166" i="9"/>
  <c r="O156" i="13" s="1"/>
  <c r="Q168" i="9"/>
  <c r="O158" i="13" s="1"/>
  <c r="Q170" i="9"/>
  <c r="O160" i="13" s="1"/>
  <c r="Q177" i="9"/>
  <c r="O167" i="13" s="1"/>
  <c r="Q179" i="9"/>
  <c r="O169" i="13" s="1"/>
  <c r="Q187" i="9"/>
  <c r="O177" i="13" s="1"/>
  <c r="Q189" i="9"/>
  <c r="O179" i="13" s="1"/>
  <c r="Q191" i="9"/>
  <c r="O181" i="13" s="1"/>
  <c r="Q193" i="9"/>
  <c r="O183" i="13" s="1"/>
  <c r="Q144" i="9"/>
  <c r="O134" i="13" s="1"/>
  <c r="Q153" i="9"/>
  <c r="O143" i="13" s="1"/>
  <c r="Q157" i="9"/>
  <c r="O147" i="13" s="1"/>
  <c r="Q161" i="9"/>
  <c r="O151" i="13" s="1"/>
  <c r="Q164" i="9"/>
  <c r="O154" i="13" s="1"/>
  <c r="Q175" i="9"/>
  <c r="O165" i="13" s="1"/>
  <c r="Q195" i="9"/>
  <c r="O185" i="13" s="1"/>
  <c r="Q137" i="9"/>
  <c r="O127" i="13" s="1"/>
  <c r="Q184" i="9"/>
  <c r="O174" i="13" s="1"/>
  <c r="Q197" i="9"/>
  <c r="O187" i="13" s="1"/>
  <c r="Q199" i="9"/>
  <c r="O189" i="13" s="1"/>
  <c r="Q150" i="9"/>
  <c r="O140" i="13" s="1"/>
  <c r="Q182" i="9"/>
  <c r="O172" i="13" s="1"/>
  <c r="Q186" i="9"/>
  <c r="O176" i="13" s="1"/>
  <c r="Q201" i="9"/>
  <c r="O191" i="13" s="1"/>
  <c r="Q171" i="9"/>
  <c r="O161" i="13" s="1"/>
  <c r="Q142" i="9"/>
  <c r="O132" i="13" s="1"/>
  <c r="Q151" i="9"/>
  <c r="O141" i="13" s="1"/>
  <c r="Q174" i="9"/>
  <c r="O164" i="13" s="1"/>
  <c r="Q183" i="9"/>
  <c r="O173" i="13" s="1"/>
  <c r="Q185" i="9"/>
  <c r="O175" i="13" s="1"/>
  <c r="Q196" i="9"/>
  <c r="O186" i="13" s="1"/>
  <c r="Q198" i="9"/>
  <c r="O188" i="13" s="1"/>
  <c r="Q200" i="9"/>
  <c r="O190" i="13" s="1"/>
  <c r="Q217" i="9"/>
  <c r="O207" i="13" s="1"/>
  <c r="Q239" i="9"/>
  <c r="O229" i="13" s="1"/>
  <c r="Q241" i="9"/>
  <c r="O231" i="13" s="1"/>
  <c r="Q163" i="9"/>
  <c r="O153" i="13" s="1"/>
  <c r="Q172" i="9"/>
  <c r="O162" i="13" s="1"/>
  <c r="Q181" i="9"/>
  <c r="O171" i="13" s="1"/>
  <c r="Q202" i="9"/>
  <c r="O192" i="13" s="1"/>
  <c r="Q204" i="9"/>
  <c r="O194" i="13" s="1"/>
  <c r="Q206" i="9"/>
  <c r="O196" i="13" s="1"/>
  <c r="Q208" i="9"/>
  <c r="O198" i="13" s="1"/>
  <c r="Q219" i="9"/>
  <c r="O209" i="13" s="1"/>
  <c r="Q228" i="9"/>
  <c r="O218" i="13" s="1"/>
  <c r="Q203" i="9"/>
  <c r="O193" i="13" s="1"/>
  <c r="Q220" i="9"/>
  <c r="O210" i="13" s="1"/>
  <c r="Q223" i="9"/>
  <c r="O213" i="13" s="1"/>
  <c r="Q226" i="9"/>
  <c r="O216" i="13" s="1"/>
  <c r="Q229" i="9"/>
  <c r="O219" i="13" s="1"/>
  <c r="Q236" i="9"/>
  <c r="O226" i="13" s="1"/>
  <c r="Q246" i="9"/>
  <c r="O236" i="13" s="1"/>
  <c r="Q263" i="9"/>
  <c r="O253" i="13" s="1"/>
  <c r="Q265" i="9"/>
  <c r="O255" i="13" s="1"/>
  <c r="Q267" i="9"/>
  <c r="O257" i="13" s="1"/>
  <c r="Q280" i="9"/>
  <c r="O270" i="13" s="1"/>
  <c r="Q194" i="9"/>
  <c r="O184" i="13" s="1"/>
  <c r="Q214" i="9"/>
  <c r="O204" i="13" s="1"/>
  <c r="Q234" i="9"/>
  <c r="O224" i="13" s="1"/>
  <c r="Q238" i="9"/>
  <c r="O228" i="13" s="1"/>
  <c r="Q248" i="9"/>
  <c r="O238" i="13" s="1"/>
  <c r="Q250" i="9"/>
  <c r="O240" i="13" s="1"/>
  <c r="Q252" i="9"/>
  <c r="O242" i="13" s="1"/>
  <c r="Q254" i="9"/>
  <c r="O244" i="13" s="1"/>
  <c r="Q256" i="9"/>
  <c r="O246" i="13" s="1"/>
  <c r="Q287" i="9"/>
  <c r="O277" i="13" s="1"/>
  <c r="Q296" i="9"/>
  <c r="O286" i="13" s="1"/>
  <c r="Q211" i="9"/>
  <c r="O201" i="13" s="1"/>
  <c r="Q221" i="9"/>
  <c r="O211" i="13" s="1"/>
  <c r="Q227" i="9"/>
  <c r="O217" i="13" s="1"/>
  <c r="Q232" i="9"/>
  <c r="O222" i="13" s="1"/>
  <c r="Q258" i="9"/>
  <c r="O248" i="13" s="1"/>
  <c r="Q260" i="9"/>
  <c r="O250" i="13" s="1"/>
  <c r="Q269" i="9"/>
  <c r="O259" i="13" s="1"/>
  <c r="Q271" i="9"/>
  <c r="O261" i="13" s="1"/>
  <c r="Q273" i="9"/>
  <c r="O263" i="13" s="1"/>
  <c r="Q275" i="9"/>
  <c r="O265" i="13" s="1"/>
  <c r="Q282" i="9"/>
  <c r="O272" i="13" s="1"/>
  <c r="Q289" i="9"/>
  <c r="O279" i="13" s="1"/>
  <c r="Q300" i="9"/>
  <c r="O290" i="13" s="1"/>
  <c r="Q307" i="9"/>
  <c r="O297" i="13" s="1"/>
  <c r="Q176" i="9"/>
  <c r="O166" i="13" s="1"/>
  <c r="Q205" i="9"/>
  <c r="O195" i="13" s="1"/>
  <c r="Q218" i="9"/>
  <c r="O208" i="13" s="1"/>
  <c r="Q224" i="9"/>
  <c r="O214" i="13" s="1"/>
  <c r="Q230" i="9"/>
  <c r="O220" i="13" s="1"/>
  <c r="Q243" i="9"/>
  <c r="O233" i="13" s="1"/>
  <c r="Q277" i="9"/>
  <c r="O267" i="13" s="1"/>
  <c r="Q279" i="9"/>
  <c r="O269" i="13" s="1"/>
  <c r="Q284" i="9"/>
  <c r="O274" i="13" s="1"/>
  <c r="Q291" i="9"/>
  <c r="O281" i="13" s="1"/>
  <c r="Q155" i="9"/>
  <c r="O145" i="13" s="1"/>
  <c r="Q178" i="9"/>
  <c r="O168" i="13" s="1"/>
  <c r="Q180" i="9"/>
  <c r="O170" i="13" s="1"/>
  <c r="Q209" i="9"/>
  <c r="O199" i="13" s="1"/>
  <c r="Q212" i="9"/>
  <c r="O202" i="13" s="1"/>
  <c r="Q215" i="9"/>
  <c r="O205" i="13" s="1"/>
  <c r="Q245" i="9"/>
  <c r="O235" i="13" s="1"/>
  <c r="Q247" i="9"/>
  <c r="O237" i="13" s="1"/>
  <c r="Q262" i="9"/>
  <c r="O252" i="13" s="1"/>
  <c r="Q264" i="9"/>
  <c r="O254" i="13" s="1"/>
  <c r="Q266" i="9"/>
  <c r="O256" i="13" s="1"/>
  <c r="Q188" i="9"/>
  <c r="O178" i="13" s="1"/>
  <c r="Q222" i="9"/>
  <c r="O212" i="13" s="1"/>
  <c r="Q225" i="9"/>
  <c r="O215" i="13" s="1"/>
  <c r="Q235" i="9"/>
  <c r="O225" i="13" s="1"/>
  <c r="Q237" i="9"/>
  <c r="O227" i="13" s="1"/>
  <c r="Q249" i="9"/>
  <c r="O239" i="13" s="1"/>
  <c r="Q251" i="9"/>
  <c r="O241" i="13" s="1"/>
  <c r="Q253" i="9"/>
  <c r="O243" i="13" s="1"/>
  <c r="Q255" i="9"/>
  <c r="O245" i="13" s="1"/>
  <c r="Q268" i="9"/>
  <c r="O258" i="13" s="1"/>
  <c r="Q281" i="9"/>
  <c r="O271" i="13" s="1"/>
  <c r="Q288" i="9"/>
  <c r="O278" i="13" s="1"/>
  <c r="Q169" i="9"/>
  <c r="O159" i="13" s="1"/>
  <c r="Q190" i="9"/>
  <c r="O180" i="13" s="1"/>
  <c r="Q210" i="9"/>
  <c r="O200" i="13" s="1"/>
  <c r="Q216" i="9"/>
  <c r="O206" i="13" s="1"/>
  <c r="Q165" i="9"/>
  <c r="O155" i="13" s="1"/>
  <c r="Q167" i="9"/>
  <c r="O157" i="13" s="1"/>
  <c r="Q192" i="9"/>
  <c r="O182" i="13" s="1"/>
  <c r="Q207" i="9"/>
  <c r="O197" i="13" s="1"/>
  <c r="Q213" i="9"/>
  <c r="O203" i="13" s="1"/>
  <c r="Q231" i="9"/>
  <c r="O221" i="13" s="1"/>
  <c r="Q240" i="9"/>
  <c r="O230" i="13" s="1"/>
  <c r="Q242" i="9"/>
  <c r="O232" i="13" s="1"/>
  <c r="Q244" i="9"/>
  <c r="O234" i="13" s="1"/>
  <c r="Q276" i="9"/>
  <c r="O266" i="13" s="1"/>
  <c r="Q278" i="9"/>
  <c r="O268" i="13" s="1"/>
  <c r="Q283" i="9"/>
  <c r="O273" i="13" s="1"/>
  <c r="Q285" i="9"/>
  <c r="O275" i="13" s="1"/>
  <c r="Q290" i="9"/>
  <c r="O280" i="13" s="1"/>
  <c r="Q292" i="9"/>
  <c r="O282" i="13" s="1"/>
  <c r="Q314" i="9"/>
  <c r="O304" i="13" s="1"/>
  <c r="Q257" i="9"/>
  <c r="O247" i="13" s="1"/>
  <c r="Q259" i="9"/>
  <c r="O249" i="13" s="1"/>
  <c r="Q261" i="9"/>
  <c r="O251" i="13" s="1"/>
  <c r="Q286" i="9"/>
  <c r="O276" i="13" s="1"/>
  <c r="Q293" i="9"/>
  <c r="O283" i="13" s="1"/>
  <c r="Q325" i="9"/>
  <c r="O315" i="13" s="1"/>
  <c r="Q327" i="9"/>
  <c r="O317" i="13" s="1"/>
  <c r="Q329" i="9"/>
  <c r="O319" i="13" s="1"/>
  <c r="Q338" i="9"/>
  <c r="O328" i="13" s="1"/>
  <c r="Q349" i="9"/>
  <c r="O339" i="13" s="1"/>
  <c r="Q360" i="9"/>
  <c r="O350" i="13" s="1"/>
  <c r="Q362" i="9"/>
  <c r="O352" i="13" s="1"/>
  <c r="Q364" i="9"/>
  <c r="O354" i="13" s="1"/>
  <c r="Q366" i="9"/>
  <c r="O356" i="13" s="1"/>
  <c r="Q233" i="9"/>
  <c r="O223" i="13" s="1"/>
  <c r="Q297" i="9"/>
  <c r="O287" i="13" s="1"/>
  <c r="Q302" i="9"/>
  <c r="O292" i="13" s="1"/>
  <c r="Q316" i="9"/>
  <c r="O306" i="13" s="1"/>
  <c r="Q318" i="9"/>
  <c r="O308" i="13" s="1"/>
  <c r="Q331" i="9"/>
  <c r="O321" i="13" s="1"/>
  <c r="Q340" i="9"/>
  <c r="O330" i="13" s="1"/>
  <c r="Q351" i="9"/>
  <c r="O341" i="13" s="1"/>
  <c r="Q353" i="9"/>
  <c r="O343" i="13" s="1"/>
  <c r="Q355" i="9"/>
  <c r="O345" i="13" s="1"/>
  <c r="Q368" i="9"/>
  <c r="O358" i="13" s="1"/>
  <c r="Q305" i="9"/>
  <c r="O295" i="13" s="1"/>
  <c r="Q312" i="9"/>
  <c r="O302" i="13" s="1"/>
  <c r="Q320" i="9"/>
  <c r="O310" i="13" s="1"/>
  <c r="Q333" i="9"/>
  <c r="O323" i="13" s="1"/>
  <c r="Q335" i="9"/>
  <c r="O325" i="13" s="1"/>
  <c r="Q342" i="9"/>
  <c r="O332" i="13" s="1"/>
  <c r="Q381" i="9"/>
  <c r="O371" i="13" s="1"/>
  <c r="Q294" i="9"/>
  <c r="O284" i="13" s="1"/>
  <c r="Q310" i="9"/>
  <c r="O300" i="13" s="1"/>
  <c r="Q322" i="9"/>
  <c r="O312" i="13" s="1"/>
  <c r="Q337" i="9"/>
  <c r="O327" i="13" s="1"/>
  <c r="Q344" i="9"/>
  <c r="O334" i="13" s="1"/>
  <c r="Q346" i="9"/>
  <c r="O336" i="13" s="1"/>
  <c r="Q357" i="9"/>
  <c r="O347" i="13" s="1"/>
  <c r="Q370" i="9"/>
  <c r="O360" i="13" s="1"/>
  <c r="Q372" i="9"/>
  <c r="O362" i="13" s="1"/>
  <c r="Q374" i="9"/>
  <c r="O364" i="13" s="1"/>
  <c r="Q298" i="9"/>
  <c r="O288" i="13" s="1"/>
  <c r="Q303" i="9"/>
  <c r="O293" i="13" s="1"/>
  <c r="Q308" i="9"/>
  <c r="O298" i="13" s="1"/>
  <c r="Q324" i="9"/>
  <c r="O314" i="13" s="1"/>
  <c r="Q326" i="9"/>
  <c r="O316" i="13" s="1"/>
  <c r="Q328" i="9"/>
  <c r="O318" i="13" s="1"/>
  <c r="Q339" i="9"/>
  <c r="O329" i="13" s="1"/>
  <c r="Q348" i="9"/>
  <c r="O338" i="13" s="1"/>
  <c r="Q350" i="9"/>
  <c r="O340" i="13" s="1"/>
  <c r="Q359" i="9"/>
  <c r="O349" i="13" s="1"/>
  <c r="Q361" i="9"/>
  <c r="O351" i="13" s="1"/>
  <c r="Q295" i="9"/>
  <c r="O285" i="13" s="1"/>
  <c r="Q301" i="9"/>
  <c r="O291" i="13" s="1"/>
  <c r="Q306" i="9"/>
  <c r="O296" i="13" s="1"/>
  <c r="Q313" i="9"/>
  <c r="O303" i="13" s="1"/>
  <c r="Q315" i="9"/>
  <c r="O305" i="13" s="1"/>
  <c r="Q317" i="9"/>
  <c r="O307" i="13" s="1"/>
  <c r="Q330" i="9"/>
  <c r="O320" i="13" s="1"/>
  <c r="Q332" i="9"/>
  <c r="O322" i="13" s="1"/>
  <c r="Q352" i="9"/>
  <c r="O342" i="13" s="1"/>
  <c r="Q354" i="9"/>
  <c r="O344" i="13" s="1"/>
  <c r="Q270" i="9"/>
  <c r="O260" i="13" s="1"/>
  <c r="Q272" i="9"/>
  <c r="O262" i="13" s="1"/>
  <c r="Q274" i="9"/>
  <c r="O264" i="13" s="1"/>
  <c r="Q311" i="9"/>
  <c r="O301" i="13" s="1"/>
  <c r="Q319" i="9"/>
  <c r="O309" i="13" s="1"/>
  <c r="Q334" i="9"/>
  <c r="O324" i="13" s="1"/>
  <c r="Q341" i="9"/>
  <c r="O331" i="13" s="1"/>
  <c r="Q343" i="9"/>
  <c r="O333" i="13" s="1"/>
  <c r="Q356" i="9"/>
  <c r="O346" i="13" s="1"/>
  <c r="Q369" i="9"/>
  <c r="O359" i="13" s="1"/>
  <c r="Q382" i="9"/>
  <c r="O372" i="13" s="1"/>
  <c r="Q404" i="9"/>
  <c r="O394" i="13" s="1"/>
  <c r="Q406" i="9"/>
  <c r="O396" i="13" s="1"/>
  <c r="Q408" i="9"/>
  <c r="O398" i="13" s="1"/>
  <c r="Q415" i="9"/>
  <c r="O405" i="13" s="1"/>
  <c r="Q299" i="9"/>
  <c r="O289" i="13" s="1"/>
  <c r="Q304" i="9"/>
  <c r="O294" i="13" s="1"/>
  <c r="Q309" i="9"/>
  <c r="O299" i="13" s="1"/>
  <c r="Q321" i="9"/>
  <c r="O311" i="13" s="1"/>
  <c r="Q323" i="9"/>
  <c r="O313" i="13" s="1"/>
  <c r="Q336" i="9"/>
  <c r="O326" i="13" s="1"/>
  <c r="Q345" i="9"/>
  <c r="O335" i="13" s="1"/>
  <c r="Q347" i="9"/>
  <c r="O337" i="13" s="1"/>
  <c r="Q358" i="9"/>
  <c r="O348" i="13" s="1"/>
  <c r="Q371" i="9"/>
  <c r="O361" i="13" s="1"/>
  <c r="Q373" i="9"/>
  <c r="O363" i="13" s="1"/>
  <c r="Q375" i="9"/>
  <c r="O365" i="13" s="1"/>
  <c r="Q395" i="9"/>
  <c r="O385" i="13" s="1"/>
  <c r="Q417" i="9"/>
  <c r="O407" i="13" s="1"/>
  <c r="Q391" i="9"/>
  <c r="O381" i="13" s="1"/>
  <c r="Q396" i="9"/>
  <c r="O386" i="13" s="1"/>
  <c r="Q399" i="9"/>
  <c r="O389" i="13" s="1"/>
  <c r="Q407" i="9"/>
  <c r="O397" i="13" s="1"/>
  <c r="Q410" i="9"/>
  <c r="O400" i="13" s="1"/>
  <c r="Q427" i="9"/>
  <c r="O417" i="13" s="1"/>
  <c r="Q437" i="9"/>
  <c r="O427" i="13" s="1"/>
  <c r="Q444" i="9"/>
  <c r="O434" i="13" s="1"/>
  <c r="Q457" i="9"/>
  <c r="O447" i="13" s="1"/>
  <c r="Q464" i="9"/>
  <c r="O454" i="13" s="1"/>
  <c r="Q466" i="9"/>
  <c r="O456" i="13" s="1"/>
  <c r="Q479" i="9"/>
  <c r="O469" i="13" s="1"/>
  <c r="Q378" i="9"/>
  <c r="O368" i="13" s="1"/>
  <c r="Q384" i="9"/>
  <c r="O374" i="13" s="1"/>
  <c r="Q389" i="9"/>
  <c r="O379" i="13" s="1"/>
  <c r="Q394" i="9"/>
  <c r="O384" i="13" s="1"/>
  <c r="Q420" i="9"/>
  <c r="O410" i="13" s="1"/>
  <c r="Q425" i="9"/>
  <c r="O415" i="13" s="1"/>
  <c r="Q439" i="9"/>
  <c r="O429" i="13" s="1"/>
  <c r="Q459" i="9"/>
  <c r="O449" i="13" s="1"/>
  <c r="Q461" i="9"/>
  <c r="O451" i="13" s="1"/>
  <c r="Q468" i="9"/>
  <c r="O458" i="13" s="1"/>
  <c r="Q363" i="9"/>
  <c r="O353" i="13" s="1"/>
  <c r="Q365" i="9"/>
  <c r="O355" i="13" s="1"/>
  <c r="Q367" i="9"/>
  <c r="O357" i="13" s="1"/>
  <c r="Q392" i="9"/>
  <c r="O382" i="13" s="1"/>
  <c r="Q397" i="9"/>
  <c r="O387" i="13" s="1"/>
  <c r="Q413" i="9"/>
  <c r="O403" i="13" s="1"/>
  <c r="Q423" i="9"/>
  <c r="O413" i="13" s="1"/>
  <c r="Q441" i="9"/>
  <c r="O431" i="13" s="1"/>
  <c r="Q446" i="9"/>
  <c r="O436" i="13" s="1"/>
  <c r="Q448" i="9"/>
  <c r="O438" i="13" s="1"/>
  <c r="Q463" i="9"/>
  <c r="O453" i="13" s="1"/>
  <c r="Q379" i="9"/>
  <c r="O369" i="13" s="1"/>
  <c r="Q387" i="9"/>
  <c r="O377" i="13" s="1"/>
  <c r="Q390" i="9"/>
  <c r="O380" i="13" s="1"/>
  <c r="Q402" i="9"/>
  <c r="O392" i="13" s="1"/>
  <c r="Q405" i="9"/>
  <c r="O395" i="13" s="1"/>
  <c r="Q418" i="9"/>
  <c r="O408" i="13" s="1"/>
  <c r="Q421" i="9"/>
  <c r="O411" i="13" s="1"/>
  <c r="Q430" i="9"/>
  <c r="O420" i="13" s="1"/>
  <c r="Q432" i="9"/>
  <c r="O422" i="13" s="1"/>
  <c r="Q434" i="9"/>
  <c r="O424" i="13" s="1"/>
  <c r="Q436" i="9"/>
  <c r="O426" i="13" s="1"/>
  <c r="Q443" i="9"/>
  <c r="O433" i="13" s="1"/>
  <c r="Q376" i="9"/>
  <c r="O366" i="13" s="1"/>
  <c r="Q400" i="9"/>
  <c r="O390" i="13" s="1"/>
  <c r="Q411" i="9"/>
  <c r="O401" i="13" s="1"/>
  <c r="Q428" i="9"/>
  <c r="O418" i="13" s="1"/>
  <c r="Q438" i="9"/>
  <c r="O428" i="13" s="1"/>
  <c r="Q465" i="9"/>
  <c r="O455" i="13" s="1"/>
  <c r="Q377" i="9"/>
  <c r="O367" i="13" s="1"/>
  <c r="Q383" i="9"/>
  <c r="O373" i="13" s="1"/>
  <c r="Q393" i="9"/>
  <c r="O383" i="13" s="1"/>
  <c r="Q398" i="9"/>
  <c r="O388" i="13" s="1"/>
  <c r="Q403" i="9"/>
  <c r="O393" i="13" s="1"/>
  <c r="Q412" i="9"/>
  <c r="O402" i="13" s="1"/>
  <c r="Q424" i="9"/>
  <c r="O414" i="13" s="1"/>
  <c r="Q431" i="9"/>
  <c r="O421" i="13" s="1"/>
  <c r="Q447" i="9"/>
  <c r="O437" i="13" s="1"/>
  <c r="Q473" i="9"/>
  <c r="O463" i="13" s="1"/>
  <c r="Q484" i="9"/>
  <c r="O474" i="13" s="1"/>
  <c r="Q486" i="9"/>
  <c r="O476" i="13" s="1"/>
  <c r="Q495" i="9"/>
  <c r="O485" i="13" s="1"/>
  <c r="Q380" i="9"/>
  <c r="O370" i="13" s="1"/>
  <c r="Q386" i="9"/>
  <c r="O376" i="13" s="1"/>
  <c r="Q401" i="9"/>
  <c r="O391" i="13" s="1"/>
  <c r="Q422" i="9"/>
  <c r="O412" i="13" s="1"/>
  <c r="Q429" i="9"/>
  <c r="O419" i="13" s="1"/>
  <c r="Q433" i="9"/>
  <c r="O423" i="13" s="1"/>
  <c r="Q435" i="9"/>
  <c r="O425" i="13" s="1"/>
  <c r="Q442" i="9"/>
  <c r="O432" i="13" s="1"/>
  <c r="Q449" i="9"/>
  <c r="O439" i="13" s="1"/>
  <c r="Q451" i="9"/>
  <c r="O441" i="13" s="1"/>
  <c r="Q453" i="9"/>
  <c r="O443" i="13" s="1"/>
  <c r="Q455" i="9"/>
  <c r="O445" i="13" s="1"/>
  <c r="Q475" i="9"/>
  <c r="O465" i="13" s="1"/>
  <c r="Q477" i="9"/>
  <c r="O467" i="13" s="1"/>
  <c r="Q409" i="9"/>
  <c r="O399" i="13" s="1"/>
  <c r="Q426" i="9"/>
  <c r="O416" i="13" s="1"/>
  <c r="Q445" i="9"/>
  <c r="O435" i="13" s="1"/>
  <c r="Q452" i="9"/>
  <c r="O442" i="13" s="1"/>
  <c r="Q513" i="9"/>
  <c r="O503" i="13" s="1"/>
  <c r="Q515" i="9"/>
  <c r="O505" i="13" s="1"/>
  <c r="Q517" i="9"/>
  <c r="O507" i="13" s="1"/>
  <c r="Q529" i="9"/>
  <c r="O519" i="13" s="1"/>
  <c r="Q534" i="9"/>
  <c r="O524" i="13" s="1"/>
  <c r="Q454" i="9"/>
  <c r="O444" i="13" s="1"/>
  <c r="Q469" i="9"/>
  <c r="O459" i="13" s="1"/>
  <c r="Q497" i="9"/>
  <c r="O487" i="13" s="1"/>
  <c r="Q499" i="9"/>
  <c r="O489" i="13" s="1"/>
  <c r="Q504" i="9"/>
  <c r="O494" i="13" s="1"/>
  <c r="Q506" i="9"/>
  <c r="O496" i="13" s="1"/>
  <c r="Q508" i="9"/>
  <c r="O498" i="13" s="1"/>
  <c r="Q526" i="9"/>
  <c r="O516" i="13" s="1"/>
  <c r="Q531" i="9"/>
  <c r="O521" i="13" s="1"/>
  <c r="Q537" i="9"/>
  <c r="O527" i="13" s="1"/>
  <c r="Q540" i="9"/>
  <c r="O530" i="13" s="1"/>
  <c r="Q548" i="9"/>
  <c r="O538" i="13" s="1"/>
  <c r="Q440" i="9"/>
  <c r="O430" i="13" s="1"/>
  <c r="Q456" i="9"/>
  <c r="O446" i="13" s="1"/>
  <c r="Q470" i="9"/>
  <c r="O460" i="13" s="1"/>
  <c r="Q474" i="9"/>
  <c r="O464" i="13" s="1"/>
  <c r="Q482" i="9"/>
  <c r="O472" i="13" s="1"/>
  <c r="Q491" i="9"/>
  <c r="O481" i="13" s="1"/>
  <c r="Q493" i="9"/>
  <c r="O483" i="13" s="1"/>
  <c r="Q510" i="9"/>
  <c r="O500" i="13" s="1"/>
  <c r="Q519" i="9"/>
  <c r="O509" i="13" s="1"/>
  <c r="Q522" i="9"/>
  <c r="O512" i="13" s="1"/>
  <c r="Q542" i="9"/>
  <c r="O532" i="13" s="1"/>
  <c r="Q388" i="9"/>
  <c r="O378" i="13" s="1"/>
  <c r="Q419" i="9"/>
  <c r="O409" i="13" s="1"/>
  <c r="Q478" i="9"/>
  <c r="O468" i="13" s="1"/>
  <c r="Q480" i="9"/>
  <c r="O470" i="13" s="1"/>
  <c r="Q487" i="9"/>
  <c r="O477" i="13" s="1"/>
  <c r="Q489" i="9"/>
  <c r="O479" i="13" s="1"/>
  <c r="Q501" i="9"/>
  <c r="O491" i="13" s="1"/>
  <c r="Q512" i="9"/>
  <c r="O502" i="13" s="1"/>
  <c r="Q525" i="9"/>
  <c r="O515" i="13" s="1"/>
  <c r="Q528" i="9"/>
  <c r="O518" i="13" s="1"/>
  <c r="Q533" i="9"/>
  <c r="O523" i="13" s="1"/>
  <c r="Q536" i="9"/>
  <c r="O526" i="13" s="1"/>
  <c r="Q547" i="9"/>
  <c r="O537" i="13" s="1"/>
  <c r="Q552" i="9"/>
  <c r="O542" i="13" s="1"/>
  <c r="Q555" i="9"/>
  <c r="O545" i="13" s="1"/>
  <c r="Q560" i="9"/>
  <c r="O550" i="13" s="1"/>
  <c r="Q568" i="9"/>
  <c r="O558" i="13" s="1"/>
  <c r="Q385" i="9"/>
  <c r="O375" i="13" s="1"/>
  <c r="Q416" i="9"/>
  <c r="O406" i="13" s="1"/>
  <c r="Q458" i="9"/>
  <c r="O448" i="13" s="1"/>
  <c r="Q485" i="9"/>
  <c r="O475" i="13" s="1"/>
  <c r="Q514" i="9"/>
  <c r="O504" i="13" s="1"/>
  <c r="Q516" i="9"/>
  <c r="O506" i="13" s="1"/>
  <c r="Q530" i="9"/>
  <c r="O520" i="13" s="1"/>
  <c r="Q539" i="9"/>
  <c r="O529" i="13" s="1"/>
  <c r="Q544" i="9"/>
  <c r="O534" i="13" s="1"/>
  <c r="Q546" i="9"/>
  <c r="O536" i="13" s="1"/>
  <c r="Q414" i="9"/>
  <c r="O404" i="13" s="1"/>
  <c r="Q460" i="9"/>
  <c r="O450" i="13" s="1"/>
  <c r="Q471" i="9"/>
  <c r="O461" i="13" s="1"/>
  <c r="Q492" i="9"/>
  <c r="O482" i="13" s="1"/>
  <c r="Q494" i="9"/>
  <c r="O484" i="13" s="1"/>
  <c r="Q496" i="9"/>
  <c r="O486" i="13" s="1"/>
  <c r="Q498" i="9"/>
  <c r="O488" i="13" s="1"/>
  <c r="Q503" i="9"/>
  <c r="O493" i="13" s="1"/>
  <c r="Q505" i="9"/>
  <c r="O495" i="13" s="1"/>
  <c r="Q507" i="9"/>
  <c r="O497" i="13" s="1"/>
  <c r="Q509" i="9"/>
  <c r="O499" i="13" s="1"/>
  <c r="Q518" i="9"/>
  <c r="O508" i="13" s="1"/>
  <c r="Q527" i="9"/>
  <c r="O517" i="13" s="1"/>
  <c r="Q535" i="9"/>
  <c r="O525" i="13" s="1"/>
  <c r="Q538" i="9"/>
  <c r="O528" i="13" s="1"/>
  <c r="Q462" i="9"/>
  <c r="O452" i="13" s="1"/>
  <c r="Q472" i="9"/>
  <c r="O462" i="13" s="1"/>
  <c r="Q481" i="9"/>
  <c r="O471" i="13" s="1"/>
  <c r="Q483" i="9"/>
  <c r="O473" i="13" s="1"/>
  <c r="Q490" i="9"/>
  <c r="O480" i="13" s="1"/>
  <c r="Q500" i="9"/>
  <c r="O490" i="13" s="1"/>
  <c r="Q521" i="9"/>
  <c r="O511" i="13" s="1"/>
  <c r="Q524" i="9"/>
  <c r="O514" i="13" s="1"/>
  <c r="Q450" i="9"/>
  <c r="O440" i="13" s="1"/>
  <c r="Q467" i="9"/>
  <c r="O457" i="13" s="1"/>
  <c r="Q476" i="9"/>
  <c r="O466" i="13" s="1"/>
  <c r="Q488" i="9"/>
  <c r="O478" i="13" s="1"/>
  <c r="Q502" i="9"/>
  <c r="O492" i="13" s="1"/>
  <c r="Q511" i="9"/>
  <c r="O501" i="13" s="1"/>
  <c r="Q520" i="9"/>
  <c r="O510" i="13" s="1"/>
  <c r="Q523" i="9"/>
  <c r="O513" i="13" s="1"/>
  <c r="Q556" i="9"/>
  <c r="O546" i="13" s="1"/>
  <c r="Q559" i="9"/>
  <c r="O549" i="13" s="1"/>
  <c r="Q532" i="9"/>
  <c r="O522" i="13" s="1"/>
  <c r="Q562" i="9"/>
  <c r="O552" i="13" s="1"/>
  <c r="Q569" i="9"/>
  <c r="O559" i="13" s="1"/>
  <c r="Q571" i="9"/>
  <c r="O561" i="13" s="1"/>
  <c r="Q575" i="9"/>
  <c r="O565" i="13" s="1"/>
  <c r="Q584" i="9"/>
  <c r="O574" i="13" s="1"/>
  <c r="Q601" i="9"/>
  <c r="O591" i="13" s="1"/>
  <c r="Q609" i="9"/>
  <c r="O599" i="13" s="1"/>
  <c r="Q612" i="9"/>
  <c r="O602" i="13" s="1"/>
  <c r="Q615" i="9"/>
  <c r="O605" i="13" s="1"/>
  <c r="Q553" i="9"/>
  <c r="O543" i="13" s="1"/>
  <c r="Q577" i="9"/>
  <c r="O567" i="13" s="1"/>
  <c r="Q590" i="9"/>
  <c r="O580" i="13" s="1"/>
  <c r="Q594" i="9"/>
  <c r="O584" i="13" s="1"/>
  <c r="Q597" i="9"/>
  <c r="O587" i="13" s="1"/>
  <c r="Q604" i="9"/>
  <c r="O594" i="13" s="1"/>
  <c r="Q545" i="9"/>
  <c r="O535" i="13" s="1"/>
  <c r="Q551" i="9"/>
  <c r="O541" i="13" s="1"/>
  <c r="Q565" i="9"/>
  <c r="O555" i="13" s="1"/>
  <c r="Q567" i="9"/>
  <c r="O557" i="13" s="1"/>
  <c r="Q581" i="9"/>
  <c r="O571" i="13" s="1"/>
  <c r="Q587" i="9"/>
  <c r="O577" i="13" s="1"/>
  <c r="Q606" i="9"/>
  <c r="O596" i="13" s="1"/>
  <c r="Q541" i="9"/>
  <c r="O531" i="13" s="1"/>
  <c r="Q558" i="9"/>
  <c r="O548" i="13" s="1"/>
  <c r="Q561" i="9"/>
  <c r="O551" i="13" s="1"/>
  <c r="Q572" i="9"/>
  <c r="O562" i="13" s="1"/>
  <c r="Q574" i="9"/>
  <c r="O564" i="13" s="1"/>
  <c r="Q579" i="9"/>
  <c r="O569" i="13" s="1"/>
  <c r="Q583" i="9"/>
  <c r="O573" i="13" s="1"/>
  <c r="Q593" i="9"/>
  <c r="O583" i="13" s="1"/>
  <c r="Q600" i="9"/>
  <c r="O590" i="13" s="1"/>
  <c r="Q603" i="9"/>
  <c r="O593" i="13" s="1"/>
  <c r="Q608" i="9"/>
  <c r="O598" i="13" s="1"/>
  <c r="Q611" i="9"/>
  <c r="O601" i="13" s="1"/>
  <c r="Q614" i="9"/>
  <c r="O604" i="13" s="1"/>
  <c r="Q563" i="9"/>
  <c r="O553" i="13" s="1"/>
  <c r="Q570" i="9"/>
  <c r="O560" i="13" s="1"/>
  <c r="Q586" i="9"/>
  <c r="O576" i="13" s="1"/>
  <c r="Q589" i="9"/>
  <c r="O579" i="13" s="1"/>
  <c r="Q596" i="9"/>
  <c r="O586" i="13" s="1"/>
  <c r="Q613" i="9"/>
  <c r="O603" i="13" s="1"/>
  <c r="Q549" i="9"/>
  <c r="O539" i="13" s="1"/>
  <c r="Q554" i="9"/>
  <c r="O544" i="13" s="1"/>
  <c r="Q592" i="9"/>
  <c r="O582" i="13" s="1"/>
  <c r="Q599" i="9"/>
  <c r="O589" i="13" s="1"/>
  <c r="Q602" i="9"/>
  <c r="O592" i="13" s="1"/>
  <c r="Q605" i="9"/>
  <c r="O595" i="13" s="1"/>
  <c r="Q610" i="9"/>
  <c r="O600" i="13" s="1"/>
  <c r="Q557" i="9"/>
  <c r="O547" i="13" s="1"/>
  <c r="Q576" i="9"/>
  <c r="O566" i="13" s="1"/>
  <c r="Q578" i="9"/>
  <c r="O568" i="13" s="1"/>
  <c r="Q580" i="9"/>
  <c r="O570" i="13" s="1"/>
  <c r="Q585" i="9"/>
  <c r="O575" i="13" s="1"/>
  <c r="Q595" i="9"/>
  <c r="O585" i="13" s="1"/>
  <c r="Q607" i="9"/>
  <c r="O597" i="13" s="1"/>
  <c r="Q616" i="9"/>
  <c r="O606" i="13" s="1"/>
  <c r="Q543" i="9"/>
  <c r="O533" i="13" s="1"/>
  <c r="Q550" i="9"/>
  <c r="O540" i="13" s="1"/>
  <c r="Q564" i="9"/>
  <c r="O554" i="13" s="1"/>
  <c r="Q566" i="9"/>
  <c r="O556" i="13" s="1"/>
  <c r="Q573" i="9"/>
  <c r="O563" i="13" s="1"/>
  <c r="Q582" i="9"/>
  <c r="O572" i="13" s="1"/>
  <c r="Q588" i="9"/>
  <c r="O578" i="13" s="1"/>
  <c r="Q591" i="9"/>
  <c r="O581" i="13" s="1"/>
  <c r="Q598" i="9"/>
  <c r="O588" i="13" s="1"/>
  <c r="V36" i="9"/>
  <c r="R26" i="13" s="1"/>
  <c r="V43" i="9"/>
  <c r="R33" i="13" s="1"/>
  <c r="V50" i="9"/>
  <c r="R40" i="13" s="1"/>
  <c r="V63" i="9"/>
  <c r="R53" i="13" s="1"/>
  <c r="V65" i="9"/>
  <c r="R55" i="13" s="1"/>
  <c r="V78" i="9"/>
  <c r="R68" i="13" s="1"/>
  <c r="V19" i="9"/>
  <c r="R9" i="13" s="1"/>
  <c r="V21" i="9"/>
  <c r="R11" i="13" s="1"/>
  <c r="V38" i="9"/>
  <c r="R28" i="13" s="1"/>
  <c r="V40" i="9"/>
  <c r="R30" i="13" s="1"/>
  <c r="V45" i="9"/>
  <c r="R35" i="13" s="1"/>
  <c r="V52" i="9"/>
  <c r="R42" i="13" s="1"/>
  <c r="V54" i="9"/>
  <c r="R44" i="13" s="1"/>
  <c r="V67" i="9"/>
  <c r="R57" i="13" s="1"/>
  <c r="V69" i="9"/>
  <c r="R59" i="13" s="1"/>
  <c r="V80" i="9"/>
  <c r="R70" i="13" s="1"/>
  <c r="V82" i="9"/>
  <c r="R72" i="13" s="1"/>
  <c r="V101" i="9"/>
  <c r="R91" i="13" s="1"/>
  <c r="V23" i="9"/>
  <c r="R13" i="13" s="1"/>
  <c r="V25" i="9"/>
  <c r="R15" i="13" s="1"/>
  <c r="V42" i="9"/>
  <c r="R32" i="13" s="1"/>
  <c r="V56" i="9"/>
  <c r="R46" i="13" s="1"/>
  <c r="V71" i="9"/>
  <c r="R61" i="13" s="1"/>
  <c r="V84" i="9"/>
  <c r="R74" i="13" s="1"/>
  <c r="V86" i="9"/>
  <c r="R76" i="13" s="1"/>
  <c r="V88" i="9"/>
  <c r="R78" i="13" s="1"/>
  <c r="V103" i="9"/>
  <c r="R93" i="13" s="1"/>
  <c r="V27" i="9"/>
  <c r="R17" i="13" s="1"/>
  <c r="V29" i="9"/>
  <c r="R19" i="13" s="1"/>
  <c r="V31" i="9"/>
  <c r="R21" i="13" s="1"/>
  <c r="V33" i="9"/>
  <c r="R23" i="13" s="1"/>
  <c r="V47" i="9"/>
  <c r="R37" i="13" s="1"/>
  <c r="V49" i="9"/>
  <c r="R39" i="13" s="1"/>
  <c r="V58" i="9"/>
  <c r="R48" i="13" s="1"/>
  <c r="V60" i="9"/>
  <c r="R50" i="13" s="1"/>
  <c r="V73" i="9"/>
  <c r="R63" i="13" s="1"/>
  <c r="V75" i="9"/>
  <c r="R65" i="13" s="1"/>
  <c r="V77" i="9"/>
  <c r="R67" i="13" s="1"/>
  <c r="V90" i="9"/>
  <c r="R80" i="13" s="1"/>
  <c r="V92" i="9"/>
  <c r="R82" i="13" s="1"/>
  <c r="V35" i="9"/>
  <c r="R25" i="13" s="1"/>
  <c r="V44" i="9"/>
  <c r="R34" i="13" s="1"/>
  <c r="V62" i="9"/>
  <c r="R52" i="13" s="1"/>
  <c r="V64" i="9"/>
  <c r="R54" i="13" s="1"/>
  <c r="V66" i="9"/>
  <c r="R56" i="13" s="1"/>
  <c r="V18" i="9"/>
  <c r="R8" i="13" s="1"/>
  <c r="V20" i="9"/>
  <c r="R10" i="13" s="1"/>
  <c r="V22" i="9"/>
  <c r="R12" i="13" s="1"/>
  <c r="V37" i="9"/>
  <c r="R27" i="13" s="1"/>
  <c r="V39" i="9"/>
  <c r="R29" i="13" s="1"/>
  <c r="V41" i="9"/>
  <c r="R31" i="13" s="1"/>
  <c r="V51" i="9"/>
  <c r="R41" i="13" s="1"/>
  <c r="V53" i="9"/>
  <c r="R43" i="13" s="1"/>
  <c r="V55" i="9"/>
  <c r="R45" i="13" s="1"/>
  <c r="V68" i="9"/>
  <c r="R58" i="13" s="1"/>
  <c r="V81" i="9"/>
  <c r="R71" i="13" s="1"/>
  <c r="V24" i="9"/>
  <c r="R14" i="13" s="1"/>
  <c r="V46" i="9"/>
  <c r="R36" i="13" s="1"/>
  <c r="V57" i="9"/>
  <c r="R47" i="13" s="1"/>
  <c r="V70" i="9"/>
  <c r="R60" i="13" s="1"/>
  <c r="V83" i="9"/>
  <c r="R73" i="13" s="1"/>
  <c r="V85" i="9"/>
  <c r="R75" i="13" s="1"/>
  <c r="V87" i="9"/>
  <c r="R77" i="13" s="1"/>
  <c r="V89" i="9"/>
  <c r="R79" i="13" s="1"/>
  <c r="V26" i="9"/>
  <c r="R16" i="13" s="1"/>
  <c r="V28" i="9"/>
  <c r="R18" i="13" s="1"/>
  <c r="V72" i="9"/>
  <c r="R62" i="13" s="1"/>
  <c r="V105" i="9"/>
  <c r="R95" i="13" s="1"/>
  <c r="V109" i="9"/>
  <c r="R99" i="13" s="1"/>
  <c r="V111" i="9"/>
  <c r="R101" i="13" s="1"/>
  <c r="V113" i="9"/>
  <c r="R103" i="13" s="1"/>
  <c r="V115" i="9"/>
  <c r="R105" i="13" s="1"/>
  <c r="V126" i="9"/>
  <c r="R116" i="13" s="1"/>
  <c r="V128" i="9"/>
  <c r="R118" i="13" s="1"/>
  <c r="V137" i="9"/>
  <c r="R127" i="13" s="1"/>
  <c r="V150" i="9"/>
  <c r="R140" i="13" s="1"/>
  <c r="V61" i="9"/>
  <c r="R51" i="13" s="1"/>
  <c r="V74" i="9"/>
  <c r="R64" i="13" s="1"/>
  <c r="V91" i="9"/>
  <c r="R81" i="13" s="1"/>
  <c r="V102" i="9"/>
  <c r="R92" i="13" s="1"/>
  <c r="V130" i="9"/>
  <c r="R120" i="13" s="1"/>
  <c r="V34" i="9"/>
  <c r="R24" i="13" s="1"/>
  <c r="V59" i="9"/>
  <c r="R49" i="13" s="1"/>
  <c r="V76" i="9"/>
  <c r="R66" i="13" s="1"/>
  <c r="V93" i="9"/>
  <c r="R83" i="13" s="1"/>
  <c r="V117" i="9"/>
  <c r="R107" i="13" s="1"/>
  <c r="V132" i="9"/>
  <c r="R122" i="13" s="1"/>
  <c r="V32" i="9"/>
  <c r="R22" i="13" s="1"/>
  <c r="V79" i="9"/>
  <c r="R69" i="13" s="1"/>
  <c r="V99" i="9"/>
  <c r="R89" i="13" s="1"/>
  <c r="V119" i="9"/>
  <c r="R109" i="13" s="1"/>
  <c r="V121" i="9"/>
  <c r="R111" i="13" s="1"/>
  <c r="V123" i="9"/>
  <c r="R113" i="13" s="1"/>
  <c r="V134" i="9"/>
  <c r="R124" i="13" s="1"/>
  <c r="V136" i="9"/>
  <c r="R126" i="13" s="1"/>
  <c r="V149" i="9"/>
  <c r="R139" i="13" s="1"/>
  <c r="V30" i="9"/>
  <c r="R20" i="13" s="1"/>
  <c r="V94" i="9"/>
  <c r="R84" i="13" s="1"/>
  <c r="V100" i="9"/>
  <c r="R90" i="13" s="1"/>
  <c r="V106" i="9"/>
  <c r="R96" i="13" s="1"/>
  <c r="V108" i="9"/>
  <c r="R98" i="13" s="1"/>
  <c r="V110" i="9"/>
  <c r="R100" i="13" s="1"/>
  <c r="V112" i="9"/>
  <c r="R102" i="13" s="1"/>
  <c r="V114" i="9"/>
  <c r="R104" i="13" s="1"/>
  <c r="V125" i="9"/>
  <c r="R115" i="13" s="1"/>
  <c r="V127" i="9"/>
  <c r="R117" i="13" s="1"/>
  <c r="V48" i="9"/>
  <c r="R38" i="13" s="1"/>
  <c r="V95" i="9"/>
  <c r="R85" i="13" s="1"/>
  <c r="V96" i="9"/>
  <c r="R86" i="13" s="1"/>
  <c r="V104" i="9"/>
  <c r="R94" i="13" s="1"/>
  <c r="V116" i="9"/>
  <c r="R106" i="13" s="1"/>
  <c r="V146" i="9"/>
  <c r="R136" i="13" s="1"/>
  <c r="V159" i="9"/>
  <c r="R149" i="13" s="1"/>
  <c r="V161" i="9"/>
  <c r="R151" i="13" s="1"/>
  <c r="V97" i="9"/>
  <c r="R87" i="13" s="1"/>
  <c r="V98" i="9"/>
  <c r="R88" i="13" s="1"/>
  <c r="V107" i="9"/>
  <c r="R97" i="13" s="1"/>
  <c r="V118" i="9"/>
  <c r="R108" i="13" s="1"/>
  <c r="V120" i="9"/>
  <c r="R110" i="13" s="1"/>
  <c r="V122" i="9"/>
  <c r="R112" i="13" s="1"/>
  <c r="V124" i="9"/>
  <c r="R114" i="13" s="1"/>
  <c r="V133" i="9"/>
  <c r="R123" i="13" s="1"/>
  <c r="V135" i="9"/>
  <c r="R125" i="13" s="1"/>
  <c r="V148" i="9"/>
  <c r="R138" i="13" s="1"/>
  <c r="V163" i="9"/>
  <c r="R153" i="13" s="1"/>
  <c r="V165" i="9"/>
  <c r="R155" i="13" s="1"/>
  <c r="V176" i="9"/>
  <c r="R166" i="13" s="1"/>
  <c r="V142" i="9"/>
  <c r="R132" i="13" s="1"/>
  <c r="V143" i="9"/>
  <c r="R133" i="13" s="1"/>
  <c r="V151" i="9"/>
  <c r="R141" i="13" s="1"/>
  <c r="V152" i="9"/>
  <c r="R142" i="13" s="1"/>
  <c r="V156" i="9"/>
  <c r="R146" i="13" s="1"/>
  <c r="V160" i="9"/>
  <c r="R150" i="13" s="1"/>
  <c r="V131" i="9"/>
  <c r="R121" i="13" s="1"/>
  <c r="V174" i="9"/>
  <c r="R164" i="13" s="1"/>
  <c r="V183" i="9"/>
  <c r="R173" i="13" s="1"/>
  <c r="V185" i="9"/>
  <c r="R175" i="13" s="1"/>
  <c r="V196" i="9"/>
  <c r="R186" i="13" s="1"/>
  <c r="V198" i="9"/>
  <c r="R188" i="13" s="1"/>
  <c r="V129" i="9"/>
  <c r="R119" i="13" s="1"/>
  <c r="V138" i="9"/>
  <c r="R128" i="13" s="1"/>
  <c r="V181" i="9"/>
  <c r="R171" i="13" s="1"/>
  <c r="V200" i="9"/>
  <c r="R190" i="13" s="1"/>
  <c r="V202" i="9"/>
  <c r="R192" i="13" s="1"/>
  <c r="V204" i="9"/>
  <c r="R194" i="13" s="1"/>
  <c r="V206" i="9"/>
  <c r="R196" i="13" s="1"/>
  <c r="V219" i="9"/>
  <c r="R209" i="13" s="1"/>
  <c r="V144" i="9"/>
  <c r="R134" i="13" s="1"/>
  <c r="V145" i="9"/>
  <c r="R135" i="13" s="1"/>
  <c r="V153" i="9"/>
  <c r="R143" i="13" s="1"/>
  <c r="V157" i="9"/>
  <c r="R147" i="13" s="1"/>
  <c r="V168" i="9"/>
  <c r="R158" i="13" s="1"/>
  <c r="V170" i="9"/>
  <c r="R160" i="13" s="1"/>
  <c r="V172" i="9"/>
  <c r="R162" i="13" s="1"/>
  <c r="V177" i="9"/>
  <c r="R167" i="13" s="1"/>
  <c r="V179" i="9"/>
  <c r="R169" i="13" s="1"/>
  <c r="V187" i="9"/>
  <c r="R177" i="13" s="1"/>
  <c r="V189" i="9"/>
  <c r="R179" i="13" s="1"/>
  <c r="V191" i="9"/>
  <c r="R181" i="13" s="1"/>
  <c r="V193" i="9"/>
  <c r="R183" i="13" s="1"/>
  <c r="V139" i="9"/>
  <c r="R129" i="13" s="1"/>
  <c r="V154" i="9"/>
  <c r="R144" i="13" s="1"/>
  <c r="V164" i="9"/>
  <c r="R154" i="13" s="1"/>
  <c r="V166" i="9"/>
  <c r="R156" i="13" s="1"/>
  <c r="V175" i="9"/>
  <c r="R165" i="13" s="1"/>
  <c r="V140" i="9"/>
  <c r="R130" i="13" s="1"/>
  <c r="V141" i="9"/>
  <c r="R131" i="13" s="1"/>
  <c r="V162" i="9"/>
  <c r="R152" i="13" s="1"/>
  <c r="V171" i="9"/>
  <c r="R161" i="13" s="1"/>
  <c r="V180" i="9"/>
  <c r="R170" i="13" s="1"/>
  <c r="V201" i="9"/>
  <c r="R191" i="13" s="1"/>
  <c r="V203" i="9"/>
  <c r="R193" i="13" s="1"/>
  <c r="V205" i="9"/>
  <c r="R195" i="13" s="1"/>
  <c r="V207" i="9"/>
  <c r="R197" i="13" s="1"/>
  <c r="V218" i="9"/>
  <c r="R208" i="13" s="1"/>
  <c r="V229" i="9"/>
  <c r="R219" i="13" s="1"/>
  <c r="V147" i="9"/>
  <c r="R137" i="13" s="1"/>
  <c r="V155" i="9"/>
  <c r="R145" i="13" s="1"/>
  <c r="V167" i="9"/>
  <c r="R157" i="13" s="1"/>
  <c r="V169" i="9"/>
  <c r="R159" i="13" s="1"/>
  <c r="V178" i="9"/>
  <c r="R168" i="13" s="1"/>
  <c r="V186" i="9"/>
  <c r="R176" i="13" s="1"/>
  <c r="V188" i="9"/>
  <c r="R178" i="13" s="1"/>
  <c r="V190" i="9"/>
  <c r="R180" i="13" s="1"/>
  <c r="V192" i="9"/>
  <c r="R182" i="13" s="1"/>
  <c r="V209" i="9"/>
  <c r="R199" i="13" s="1"/>
  <c r="V220" i="9"/>
  <c r="R210" i="13" s="1"/>
  <c r="V222" i="9"/>
  <c r="R212" i="13" s="1"/>
  <c r="V210" i="9"/>
  <c r="R200" i="13" s="1"/>
  <c r="V213" i="9"/>
  <c r="R203" i="13" s="1"/>
  <c r="V216" i="9"/>
  <c r="R206" i="13" s="1"/>
  <c r="V233" i="9"/>
  <c r="R223" i="13" s="1"/>
  <c r="V237" i="9"/>
  <c r="R227" i="13" s="1"/>
  <c r="V249" i="9"/>
  <c r="R239" i="13" s="1"/>
  <c r="V251" i="9"/>
  <c r="R241" i="13" s="1"/>
  <c r="V253" i="9"/>
  <c r="R243" i="13" s="1"/>
  <c r="V255" i="9"/>
  <c r="R245" i="13" s="1"/>
  <c r="V281" i="9"/>
  <c r="R271" i="13" s="1"/>
  <c r="V226" i="9"/>
  <c r="R216" i="13" s="1"/>
  <c r="V231" i="9"/>
  <c r="R221" i="13" s="1"/>
  <c r="V257" i="9"/>
  <c r="R247" i="13" s="1"/>
  <c r="V259" i="9"/>
  <c r="R249" i="13" s="1"/>
  <c r="V261" i="9"/>
  <c r="R251" i="13" s="1"/>
  <c r="V268" i="9"/>
  <c r="R258" i="13" s="1"/>
  <c r="V270" i="9"/>
  <c r="R260" i="13" s="1"/>
  <c r="V272" i="9"/>
  <c r="R262" i="13" s="1"/>
  <c r="V274" i="9"/>
  <c r="R264" i="13" s="1"/>
  <c r="V158" i="9"/>
  <c r="R148" i="13" s="1"/>
  <c r="V194" i="9"/>
  <c r="R184" i="13" s="1"/>
  <c r="V195" i="9"/>
  <c r="R185" i="13" s="1"/>
  <c r="V223" i="9"/>
  <c r="R213" i="13" s="1"/>
  <c r="V240" i="9"/>
  <c r="R230" i="13" s="1"/>
  <c r="V242" i="9"/>
  <c r="R232" i="13" s="1"/>
  <c r="V244" i="9"/>
  <c r="R234" i="13" s="1"/>
  <c r="V276" i="9"/>
  <c r="R266" i="13" s="1"/>
  <c r="V278" i="9"/>
  <c r="R268" i="13" s="1"/>
  <c r="V283" i="9"/>
  <c r="R273" i="13" s="1"/>
  <c r="V290" i="9"/>
  <c r="R280" i="13" s="1"/>
  <c r="V292" i="9"/>
  <c r="R282" i="13" s="1"/>
  <c r="V208" i="9"/>
  <c r="R198" i="13" s="1"/>
  <c r="V211" i="9"/>
  <c r="R201" i="13" s="1"/>
  <c r="V214" i="9"/>
  <c r="R204" i="13" s="1"/>
  <c r="V217" i="9"/>
  <c r="R207" i="13" s="1"/>
  <c r="V246" i="9"/>
  <c r="R236" i="13" s="1"/>
  <c r="V263" i="9"/>
  <c r="R253" i="13" s="1"/>
  <c r="V265" i="9"/>
  <c r="R255" i="13" s="1"/>
  <c r="V280" i="9"/>
  <c r="R270" i="13" s="1"/>
  <c r="V285" i="9"/>
  <c r="R275" i="13" s="1"/>
  <c r="V294" i="9"/>
  <c r="R284" i="13" s="1"/>
  <c r="V173" i="9"/>
  <c r="R163" i="13" s="1"/>
  <c r="V221" i="9"/>
  <c r="R211" i="13" s="1"/>
  <c r="V224" i="9"/>
  <c r="R214" i="13" s="1"/>
  <c r="V234" i="9"/>
  <c r="R224" i="13" s="1"/>
  <c r="V236" i="9"/>
  <c r="R226" i="13" s="1"/>
  <c r="V238" i="9"/>
  <c r="R228" i="13" s="1"/>
  <c r="V241" i="9"/>
  <c r="R231" i="13" s="1"/>
  <c r="V248" i="9"/>
  <c r="R238" i="13" s="1"/>
  <c r="V250" i="9"/>
  <c r="R240" i="13" s="1"/>
  <c r="V252" i="9"/>
  <c r="R242" i="13" s="1"/>
  <c r="V254" i="9"/>
  <c r="R244" i="13" s="1"/>
  <c r="V267" i="9"/>
  <c r="R257" i="13" s="1"/>
  <c r="V182" i="9"/>
  <c r="R172" i="13" s="1"/>
  <c r="V184" i="9"/>
  <c r="R174" i="13" s="1"/>
  <c r="V197" i="9"/>
  <c r="R187" i="13" s="1"/>
  <c r="V215" i="9"/>
  <c r="R205" i="13" s="1"/>
  <c r="V227" i="9"/>
  <c r="R217" i="13" s="1"/>
  <c r="V232" i="9"/>
  <c r="R222" i="13" s="1"/>
  <c r="V256" i="9"/>
  <c r="R246" i="13" s="1"/>
  <c r="V258" i="9"/>
  <c r="R248" i="13" s="1"/>
  <c r="V260" i="9"/>
  <c r="R250" i="13" s="1"/>
  <c r="V269" i="9"/>
  <c r="R259" i="13" s="1"/>
  <c r="V271" i="9"/>
  <c r="R261" i="13" s="1"/>
  <c r="V273" i="9"/>
  <c r="R263" i="13" s="1"/>
  <c r="V282" i="9"/>
  <c r="R272" i="13" s="1"/>
  <c r="V289" i="9"/>
  <c r="R279" i="13" s="1"/>
  <c r="V199" i="9"/>
  <c r="R189" i="13" s="1"/>
  <c r="V212" i="9"/>
  <c r="R202" i="13" s="1"/>
  <c r="V225" i="9"/>
  <c r="R215" i="13" s="1"/>
  <c r="V228" i="9"/>
  <c r="R218" i="13" s="1"/>
  <c r="V235" i="9"/>
  <c r="R225" i="13" s="1"/>
  <c r="V245" i="9"/>
  <c r="R235" i="13" s="1"/>
  <c r="V247" i="9"/>
  <c r="R237" i="13" s="1"/>
  <c r="V262" i="9"/>
  <c r="R252" i="13" s="1"/>
  <c r="V264" i="9"/>
  <c r="R254" i="13" s="1"/>
  <c r="V266" i="9"/>
  <c r="R256" i="13" s="1"/>
  <c r="V293" i="9"/>
  <c r="R283" i="13" s="1"/>
  <c r="V291" i="9"/>
  <c r="R281" i="13" s="1"/>
  <c r="V296" i="9"/>
  <c r="R286" i="13" s="1"/>
  <c r="V313" i="9"/>
  <c r="R303" i="13" s="1"/>
  <c r="V315" i="9"/>
  <c r="R305" i="13" s="1"/>
  <c r="V317" i="9"/>
  <c r="R307" i="13" s="1"/>
  <c r="V330" i="9"/>
  <c r="R320" i="13" s="1"/>
  <c r="V332" i="9"/>
  <c r="R322" i="13" s="1"/>
  <c r="V352" i="9"/>
  <c r="R342" i="13" s="1"/>
  <c r="V354" i="9"/>
  <c r="R344" i="13" s="1"/>
  <c r="V304" i="9"/>
  <c r="R294" i="13" s="1"/>
  <c r="V311" i="9"/>
  <c r="R301" i="13" s="1"/>
  <c r="V319" i="9"/>
  <c r="R309" i="13" s="1"/>
  <c r="V334" i="9"/>
  <c r="R324" i="13" s="1"/>
  <c r="V341" i="9"/>
  <c r="R331" i="13" s="1"/>
  <c r="V356" i="9"/>
  <c r="R346" i="13" s="1"/>
  <c r="V230" i="9"/>
  <c r="R220" i="13" s="1"/>
  <c r="V286" i="9"/>
  <c r="R276" i="13" s="1"/>
  <c r="V287" i="9"/>
  <c r="R277" i="13" s="1"/>
  <c r="V299" i="9"/>
  <c r="R289" i="13" s="1"/>
  <c r="V309" i="9"/>
  <c r="R299" i="13" s="1"/>
  <c r="V321" i="9"/>
  <c r="R311" i="13" s="1"/>
  <c r="V323" i="9"/>
  <c r="R313" i="13" s="1"/>
  <c r="V336" i="9"/>
  <c r="R326" i="13" s="1"/>
  <c r="V343" i="9"/>
  <c r="R333" i="13" s="1"/>
  <c r="V345" i="9"/>
  <c r="R335" i="13" s="1"/>
  <c r="V347" i="9"/>
  <c r="R337" i="13" s="1"/>
  <c r="V358" i="9"/>
  <c r="R348" i="13" s="1"/>
  <c r="V371" i="9"/>
  <c r="R361" i="13" s="1"/>
  <c r="V373" i="9"/>
  <c r="R363" i="13" s="1"/>
  <c r="V288" i="9"/>
  <c r="R278" i="13" s="1"/>
  <c r="V297" i="9"/>
  <c r="R287" i="13" s="1"/>
  <c r="V302" i="9"/>
  <c r="R292" i="13" s="1"/>
  <c r="V307" i="9"/>
  <c r="R297" i="13" s="1"/>
  <c r="V325" i="9"/>
  <c r="R315" i="13" s="1"/>
  <c r="V327" i="9"/>
  <c r="R317" i="13" s="1"/>
  <c r="V329" i="9"/>
  <c r="R319" i="13" s="1"/>
  <c r="V338" i="9"/>
  <c r="R328" i="13" s="1"/>
  <c r="V349" i="9"/>
  <c r="R339" i="13" s="1"/>
  <c r="V360" i="9"/>
  <c r="R350" i="13" s="1"/>
  <c r="V362" i="9"/>
  <c r="R352" i="13" s="1"/>
  <c r="V364" i="9"/>
  <c r="R354" i="13" s="1"/>
  <c r="V366" i="9"/>
  <c r="R356" i="13" s="1"/>
  <c r="V279" i="9"/>
  <c r="R269" i="13" s="1"/>
  <c r="V305" i="9"/>
  <c r="R295" i="13" s="1"/>
  <c r="V312" i="9"/>
  <c r="R302" i="13" s="1"/>
  <c r="V314" i="9"/>
  <c r="R304" i="13" s="1"/>
  <c r="V316" i="9"/>
  <c r="R306" i="13" s="1"/>
  <c r="V318" i="9"/>
  <c r="R308" i="13" s="1"/>
  <c r="V331" i="9"/>
  <c r="R321" i="13" s="1"/>
  <c r="V340" i="9"/>
  <c r="R330" i="13" s="1"/>
  <c r="V351" i="9"/>
  <c r="R341" i="13" s="1"/>
  <c r="V353" i="9"/>
  <c r="R343" i="13" s="1"/>
  <c r="V355" i="9"/>
  <c r="R345" i="13" s="1"/>
  <c r="V243" i="9"/>
  <c r="R233" i="13" s="1"/>
  <c r="V277" i="9"/>
  <c r="R267" i="13" s="1"/>
  <c r="V300" i="9"/>
  <c r="R290" i="13" s="1"/>
  <c r="V310" i="9"/>
  <c r="R300" i="13" s="1"/>
  <c r="V320" i="9"/>
  <c r="R310" i="13" s="1"/>
  <c r="V333" i="9"/>
  <c r="R323" i="13" s="1"/>
  <c r="V335" i="9"/>
  <c r="R325" i="13" s="1"/>
  <c r="V342" i="9"/>
  <c r="R332" i="13" s="1"/>
  <c r="V239" i="9"/>
  <c r="R229" i="13" s="1"/>
  <c r="V275" i="9"/>
  <c r="R265" i="13" s="1"/>
  <c r="V298" i="9"/>
  <c r="R288" i="13" s="1"/>
  <c r="V303" i="9"/>
  <c r="R293" i="13" s="1"/>
  <c r="V308" i="9"/>
  <c r="R298" i="13" s="1"/>
  <c r="V322" i="9"/>
  <c r="R312" i="13" s="1"/>
  <c r="V337" i="9"/>
  <c r="R327" i="13" s="1"/>
  <c r="V344" i="9"/>
  <c r="R334" i="13" s="1"/>
  <c r="V346" i="9"/>
  <c r="R336" i="13" s="1"/>
  <c r="V357" i="9"/>
  <c r="R347" i="13" s="1"/>
  <c r="V370" i="9"/>
  <c r="R360" i="13" s="1"/>
  <c r="V372" i="9"/>
  <c r="R362" i="13" s="1"/>
  <c r="V374" i="9"/>
  <c r="R364" i="13" s="1"/>
  <c r="V409" i="9"/>
  <c r="R399" i="13" s="1"/>
  <c r="V416" i="9"/>
  <c r="R406" i="13" s="1"/>
  <c r="V284" i="9"/>
  <c r="R274" i="13" s="1"/>
  <c r="V295" i="9"/>
  <c r="R285" i="13" s="1"/>
  <c r="V301" i="9"/>
  <c r="R291" i="13" s="1"/>
  <c r="V306" i="9"/>
  <c r="R296" i="13" s="1"/>
  <c r="V324" i="9"/>
  <c r="R314" i="13" s="1"/>
  <c r="V326" i="9"/>
  <c r="R316" i="13" s="1"/>
  <c r="V328" i="9"/>
  <c r="R318" i="13" s="1"/>
  <c r="V339" i="9"/>
  <c r="R329" i="13" s="1"/>
  <c r="V348" i="9"/>
  <c r="R338" i="13" s="1"/>
  <c r="V350" i="9"/>
  <c r="R340" i="13" s="1"/>
  <c r="V359" i="9"/>
  <c r="R349" i="13" s="1"/>
  <c r="V361" i="9"/>
  <c r="R351" i="13" s="1"/>
  <c r="V363" i="9"/>
  <c r="R353" i="13" s="1"/>
  <c r="V365" i="9"/>
  <c r="R355" i="13" s="1"/>
  <c r="V367" i="9"/>
  <c r="R357" i="13" s="1"/>
  <c r="V376" i="9"/>
  <c r="R366" i="13" s="1"/>
  <c r="V378" i="9"/>
  <c r="R368" i="13" s="1"/>
  <c r="V383" i="9"/>
  <c r="R373" i="13" s="1"/>
  <c r="V385" i="9"/>
  <c r="R375" i="13" s="1"/>
  <c r="V387" i="9"/>
  <c r="R377" i="13" s="1"/>
  <c r="V389" i="9"/>
  <c r="R379" i="13" s="1"/>
  <c r="V396" i="9"/>
  <c r="R386" i="13" s="1"/>
  <c r="V398" i="9"/>
  <c r="R388" i="13" s="1"/>
  <c r="V411" i="9"/>
  <c r="R401" i="13" s="1"/>
  <c r="V413" i="9"/>
  <c r="R403" i="13" s="1"/>
  <c r="V418" i="9"/>
  <c r="R408" i="13" s="1"/>
  <c r="V420" i="9"/>
  <c r="R410" i="13" s="1"/>
  <c r="V422" i="9"/>
  <c r="R412" i="13" s="1"/>
  <c r="V424" i="9"/>
  <c r="R414" i="13" s="1"/>
  <c r="V426" i="9"/>
  <c r="R416" i="13" s="1"/>
  <c r="V428" i="9"/>
  <c r="R418" i="13" s="1"/>
  <c r="V430" i="9"/>
  <c r="R420" i="13" s="1"/>
  <c r="V377" i="9"/>
  <c r="R367" i="13" s="1"/>
  <c r="V388" i="9"/>
  <c r="R378" i="13" s="1"/>
  <c r="V414" i="9"/>
  <c r="R404" i="13" s="1"/>
  <c r="V419" i="9"/>
  <c r="R409" i="13" s="1"/>
  <c r="V445" i="9"/>
  <c r="R435" i="13" s="1"/>
  <c r="V458" i="9"/>
  <c r="R448" i="13" s="1"/>
  <c r="V460" i="9"/>
  <c r="R450" i="13" s="1"/>
  <c r="V467" i="9"/>
  <c r="R457" i="13" s="1"/>
  <c r="V469" i="9"/>
  <c r="R459" i="13" s="1"/>
  <c r="V471" i="9"/>
  <c r="R461" i="13" s="1"/>
  <c r="V380" i="9"/>
  <c r="R370" i="13" s="1"/>
  <c r="V391" i="9"/>
  <c r="R381" i="13" s="1"/>
  <c r="V403" i="9"/>
  <c r="R393" i="13" s="1"/>
  <c r="V412" i="9"/>
  <c r="R402" i="13" s="1"/>
  <c r="V417" i="9"/>
  <c r="R407" i="13" s="1"/>
  <c r="V440" i="9"/>
  <c r="R430" i="13" s="1"/>
  <c r="V447" i="9"/>
  <c r="R437" i="13" s="1"/>
  <c r="V462" i="9"/>
  <c r="R452" i="13" s="1"/>
  <c r="V386" i="9"/>
  <c r="R376" i="13" s="1"/>
  <c r="V401" i="9"/>
  <c r="R391" i="13" s="1"/>
  <c r="V404" i="9"/>
  <c r="R394" i="13" s="1"/>
  <c r="V429" i="9"/>
  <c r="R419" i="13" s="1"/>
  <c r="V431" i="9"/>
  <c r="R421" i="13" s="1"/>
  <c r="V433" i="9"/>
  <c r="R423" i="13" s="1"/>
  <c r="V435" i="9"/>
  <c r="R425" i="13" s="1"/>
  <c r="V442" i="9"/>
  <c r="R432" i="13" s="1"/>
  <c r="V449" i="9"/>
  <c r="R439" i="13" s="1"/>
  <c r="V451" i="9"/>
  <c r="R441" i="13" s="1"/>
  <c r="V453" i="9"/>
  <c r="R443" i="13" s="1"/>
  <c r="V455" i="9"/>
  <c r="R445" i="13" s="1"/>
  <c r="V368" i="9"/>
  <c r="R358" i="13" s="1"/>
  <c r="V375" i="9"/>
  <c r="R365" i="13" s="1"/>
  <c r="V381" i="9"/>
  <c r="R371" i="13" s="1"/>
  <c r="V399" i="9"/>
  <c r="R389" i="13" s="1"/>
  <c r="V407" i="9"/>
  <c r="R397" i="13" s="1"/>
  <c r="V410" i="9"/>
  <c r="R400" i="13" s="1"/>
  <c r="V415" i="9"/>
  <c r="R405" i="13" s="1"/>
  <c r="V427" i="9"/>
  <c r="R417" i="13" s="1"/>
  <c r="V437" i="9"/>
  <c r="R427" i="13" s="1"/>
  <c r="V444" i="9"/>
  <c r="R434" i="13" s="1"/>
  <c r="V369" i="9"/>
  <c r="R359" i="13" s="1"/>
  <c r="V382" i="9"/>
  <c r="R372" i="13" s="1"/>
  <c r="V384" i="9"/>
  <c r="R374" i="13" s="1"/>
  <c r="V394" i="9"/>
  <c r="R384" i="13" s="1"/>
  <c r="V402" i="9"/>
  <c r="R392" i="13" s="1"/>
  <c r="V408" i="9"/>
  <c r="R398" i="13" s="1"/>
  <c r="V425" i="9"/>
  <c r="R415" i="13" s="1"/>
  <c r="V439" i="9"/>
  <c r="R429" i="13" s="1"/>
  <c r="V459" i="9"/>
  <c r="R449" i="13" s="1"/>
  <c r="V461" i="9"/>
  <c r="R451" i="13" s="1"/>
  <c r="V468" i="9"/>
  <c r="R458" i="13" s="1"/>
  <c r="V470" i="9"/>
  <c r="R460" i="13" s="1"/>
  <c r="V379" i="9"/>
  <c r="R369" i="13" s="1"/>
  <c r="V390" i="9"/>
  <c r="R380" i="13" s="1"/>
  <c r="V395" i="9"/>
  <c r="R385" i="13" s="1"/>
  <c r="V400" i="9"/>
  <c r="R390" i="13" s="1"/>
  <c r="V405" i="9"/>
  <c r="R395" i="13" s="1"/>
  <c r="V421" i="9"/>
  <c r="R411" i="13" s="1"/>
  <c r="V432" i="9"/>
  <c r="R422" i="13" s="1"/>
  <c r="V434" i="9"/>
  <c r="R424" i="13" s="1"/>
  <c r="V436" i="9"/>
  <c r="R426" i="13" s="1"/>
  <c r="V441" i="9"/>
  <c r="R431" i="13" s="1"/>
  <c r="V443" i="9"/>
  <c r="R433" i="13" s="1"/>
  <c r="V450" i="9"/>
  <c r="R440" i="13" s="1"/>
  <c r="V452" i="9"/>
  <c r="R442" i="13" s="1"/>
  <c r="V454" i="9"/>
  <c r="R444" i="13" s="1"/>
  <c r="V476" i="9"/>
  <c r="R466" i="13" s="1"/>
  <c r="V478" i="9"/>
  <c r="R468" i="13" s="1"/>
  <c r="V393" i="9"/>
  <c r="R383" i="13" s="1"/>
  <c r="V406" i="9"/>
  <c r="R396" i="13" s="1"/>
  <c r="V438" i="9"/>
  <c r="R428" i="13" s="1"/>
  <c r="V456" i="9"/>
  <c r="R446" i="13" s="1"/>
  <c r="V465" i="9"/>
  <c r="R455" i="13" s="1"/>
  <c r="V446" i="9"/>
  <c r="R436" i="13" s="1"/>
  <c r="V492" i="9"/>
  <c r="R482" i="13" s="1"/>
  <c r="V496" i="9"/>
  <c r="R486" i="13" s="1"/>
  <c r="V498" i="9"/>
  <c r="R488" i="13" s="1"/>
  <c r="V503" i="9"/>
  <c r="R493" i="13" s="1"/>
  <c r="V505" i="9"/>
  <c r="R495" i="13" s="1"/>
  <c r="V507" i="9"/>
  <c r="R497" i="13" s="1"/>
  <c r="V509" i="9"/>
  <c r="R499" i="13" s="1"/>
  <c r="V518" i="9"/>
  <c r="R508" i="13" s="1"/>
  <c r="V527" i="9"/>
  <c r="R517" i="13" s="1"/>
  <c r="V392" i="9"/>
  <c r="R382" i="13" s="1"/>
  <c r="V423" i="9"/>
  <c r="R413" i="13" s="1"/>
  <c r="V472" i="9"/>
  <c r="R462" i="13" s="1"/>
  <c r="V473" i="9"/>
  <c r="R463" i="13" s="1"/>
  <c r="V479" i="9"/>
  <c r="R469" i="13" s="1"/>
  <c r="V481" i="9"/>
  <c r="R471" i="13" s="1"/>
  <c r="V483" i="9"/>
  <c r="R473" i="13" s="1"/>
  <c r="V490" i="9"/>
  <c r="R480" i="13" s="1"/>
  <c r="V494" i="9"/>
  <c r="R484" i="13" s="1"/>
  <c r="V521" i="9"/>
  <c r="R511" i="13" s="1"/>
  <c r="V524" i="9"/>
  <c r="R514" i="13" s="1"/>
  <c r="V532" i="9"/>
  <c r="R522" i="13" s="1"/>
  <c r="V535" i="9"/>
  <c r="R525" i="13" s="1"/>
  <c r="V477" i="9"/>
  <c r="R467" i="13" s="1"/>
  <c r="V486" i="9"/>
  <c r="R476" i="13" s="1"/>
  <c r="V488" i="9"/>
  <c r="R478" i="13" s="1"/>
  <c r="V500" i="9"/>
  <c r="R490" i="13" s="1"/>
  <c r="V502" i="9"/>
  <c r="R492" i="13" s="1"/>
  <c r="V511" i="9"/>
  <c r="R501" i="13" s="1"/>
  <c r="V457" i="9"/>
  <c r="R447" i="13" s="1"/>
  <c r="V484" i="9"/>
  <c r="R474" i="13" s="1"/>
  <c r="V495" i="9"/>
  <c r="R485" i="13" s="1"/>
  <c r="V513" i="9"/>
  <c r="R503" i="13" s="1"/>
  <c r="V515" i="9"/>
  <c r="R505" i="13" s="1"/>
  <c r="V517" i="9"/>
  <c r="R507" i="13" s="1"/>
  <c r="V520" i="9"/>
  <c r="R510" i="13" s="1"/>
  <c r="V523" i="9"/>
  <c r="R513" i="13" s="1"/>
  <c r="V529" i="9"/>
  <c r="R519" i="13" s="1"/>
  <c r="V534" i="9"/>
  <c r="R524" i="13" s="1"/>
  <c r="V543" i="9"/>
  <c r="R533" i="13" s="1"/>
  <c r="V545" i="9"/>
  <c r="R535" i="13" s="1"/>
  <c r="V556" i="9"/>
  <c r="R546" i="13" s="1"/>
  <c r="V561" i="9"/>
  <c r="R551" i="13" s="1"/>
  <c r="V564" i="9"/>
  <c r="R554" i="13" s="1"/>
  <c r="V569" i="9"/>
  <c r="R559" i="13" s="1"/>
  <c r="V482" i="9"/>
  <c r="R472" i="13" s="1"/>
  <c r="V491" i="9"/>
  <c r="R481" i="13" s="1"/>
  <c r="V493" i="9"/>
  <c r="R483" i="13" s="1"/>
  <c r="V497" i="9"/>
  <c r="R487" i="13" s="1"/>
  <c r="V504" i="9"/>
  <c r="R494" i="13" s="1"/>
  <c r="V506" i="9"/>
  <c r="R496" i="13" s="1"/>
  <c r="V508" i="9"/>
  <c r="R498" i="13" s="1"/>
  <c r="V526" i="9"/>
  <c r="R516" i="13" s="1"/>
  <c r="V531" i="9"/>
  <c r="R521" i="13" s="1"/>
  <c r="V537" i="9"/>
  <c r="R527" i="13" s="1"/>
  <c r="V540" i="9"/>
  <c r="R530" i="13" s="1"/>
  <c r="V474" i="9"/>
  <c r="R464" i="13" s="1"/>
  <c r="V480" i="9"/>
  <c r="R470" i="13" s="1"/>
  <c r="V489" i="9"/>
  <c r="R479" i="13" s="1"/>
  <c r="V499" i="9"/>
  <c r="R489" i="13" s="1"/>
  <c r="V510" i="9"/>
  <c r="R500" i="13" s="1"/>
  <c r="V519" i="9"/>
  <c r="R509" i="13" s="1"/>
  <c r="V522" i="9"/>
  <c r="R512" i="13" s="1"/>
  <c r="V397" i="9"/>
  <c r="R387" i="13" s="1"/>
  <c r="V475" i="9"/>
  <c r="R465" i="13" s="1"/>
  <c r="V487" i="9"/>
  <c r="R477" i="13" s="1"/>
  <c r="V501" i="9"/>
  <c r="R491" i="13" s="1"/>
  <c r="V512" i="9"/>
  <c r="R502" i="13" s="1"/>
  <c r="V448" i="9"/>
  <c r="R438" i="13" s="1"/>
  <c r="V463" i="9"/>
  <c r="R453" i="13" s="1"/>
  <c r="V464" i="9"/>
  <c r="R454" i="13" s="1"/>
  <c r="V466" i="9"/>
  <c r="R456" i="13" s="1"/>
  <c r="V485" i="9"/>
  <c r="R475" i="13" s="1"/>
  <c r="V514" i="9"/>
  <c r="R504" i="13" s="1"/>
  <c r="V516" i="9"/>
  <c r="R506" i="13" s="1"/>
  <c r="V530" i="9"/>
  <c r="R520" i="13" s="1"/>
  <c r="V544" i="9"/>
  <c r="R534" i="13" s="1"/>
  <c r="V546" i="9"/>
  <c r="R536" i="13" s="1"/>
  <c r="V547" i="9"/>
  <c r="R537" i="13" s="1"/>
  <c r="V557" i="9"/>
  <c r="R547" i="13" s="1"/>
  <c r="V563" i="9"/>
  <c r="R553" i="13" s="1"/>
  <c r="V565" i="9"/>
  <c r="R555" i="13" s="1"/>
  <c r="V579" i="9"/>
  <c r="R569" i="13" s="1"/>
  <c r="V552" i="9"/>
  <c r="R542" i="13" s="1"/>
  <c r="V559" i="9"/>
  <c r="R549" i="13" s="1"/>
  <c r="V568" i="9"/>
  <c r="R558" i="13" s="1"/>
  <c r="V576" i="9"/>
  <c r="R566" i="13" s="1"/>
  <c r="V578" i="9"/>
  <c r="R568" i="13" s="1"/>
  <c r="V592" i="9"/>
  <c r="R582" i="13" s="1"/>
  <c r="V599" i="9"/>
  <c r="R589" i="13" s="1"/>
  <c r="V602" i="9"/>
  <c r="R592" i="13" s="1"/>
  <c r="V605" i="9"/>
  <c r="R595" i="13" s="1"/>
  <c r="V610" i="9"/>
  <c r="R600" i="13" s="1"/>
  <c r="V613" i="9"/>
  <c r="R603" i="13" s="1"/>
  <c r="V528" i="9"/>
  <c r="R518" i="13" s="1"/>
  <c r="V533" i="9"/>
  <c r="R523" i="13" s="1"/>
  <c r="V536" i="9"/>
  <c r="R526" i="13" s="1"/>
  <c r="V550" i="9"/>
  <c r="R540" i="13" s="1"/>
  <c r="V566" i="9"/>
  <c r="R556" i="13" s="1"/>
  <c r="V580" i="9"/>
  <c r="R570" i="13" s="1"/>
  <c r="V585" i="9"/>
  <c r="R575" i="13" s="1"/>
  <c r="V595" i="9"/>
  <c r="R585" i="13" s="1"/>
  <c r="V525" i="9"/>
  <c r="R515" i="13" s="1"/>
  <c r="V538" i="9"/>
  <c r="R528" i="13" s="1"/>
  <c r="V560" i="9"/>
  <c r="R550" i="13" s="1"/>
  <c r="V562" i="9"/>
  <c r="R552" i="13" s="1"/>
  <c r="V573" i="9"/>
  <c r="R563" i="13" s="1"/>
  <c r="V582" i="9"/>
  <c r="R572" i="13" s="1"/>
  <c r="V588" i="9"/>
  <c r="R578" i="13" s="1"/>
  <c r="V591" i="9"/>
  <c r="R581" i="13" s="1"/>
  <c r="V598" i="9"/>
  <c r="R588" i="13" s="1"/>
  <c r="V539" i="9"/>
  <c r="R529" i="13" s="1"/>
  <c r="V553" i="9"/>
  <c r="R543" i="13" s="1"/>
  <c r="V555" i="9"/>
  <c r="R545" i="13" s="1"/>
  <c r="V571" i="9"/>
  <c r="R561" i="13" s="1"/>
  <c r="V575" i="9"/>
  <c r="R565" i="13" s="1"/>
  <c r="V584" i="9"/>
  <c r="R574" i="13" s="1"/>
  <c r="V601" i="9"/>
  <c r="R591" i="13" s="1"/>
  <c r="V609" i="9"/>
  <c r="R599" i="13" s="1"/>
  <c r="V612" i="9"/>
  <c r="R602" i="13" s="1"/>
  <c r="V615" i="9"/>
  <c r="R605" i="13" s="1"/>
  <c r="V548" i="9"/>
  <c r="R538" i="13" s="1"/>
  <c r="V551" i="9"/>
  <c r="R541" i="13" s="1"/>
  <c r="V567" i="9"/>
  <c r="R557" i="13" s="1"/>
  <c r="V577" i="9"/>
  <c r="R567" i="13" s="1"/>
  <c r="V590" i="9"/>
  <c r="R580" i="13" s="1"/>
  <c r="V594" i="9"/>
  <c r="R584" i="13" s="1"/>
  <c r="V597" i="9"/>
  <c r="R587" i="13" s="1"/>
  <c r="V604" i="9"/>
  <c r="R594" i="13" s="1"/>
  <c r="V541" i="9"/>
  <c r="R531" i="13" s="1"/>
  <c r="V542" i="9"/>
  <c r="R532" i="13" s="1"/>
  <c r="V581" i="9"/>
  <c r="R571" i="13" s="1"/>
  <c r="V587" i="9"/>
  <c r="R577" i="13" s="1"/>
  <c r="V606" i="9"/>
  <c r="R596" i="13" s="1"/>
  <c r="V558" i="9"/>
  <c r="R548" i="13" s="1"/>
  <c r="V570" i="9"/>
  <c r="R560" i="13" s="1"/>
  <c r="V572" i="9"/>
  <c r="R562" i="13" s="1"/>
  <c r="V574" i="9"/>
  <c r="R564" i="13" s="1"/>
  <c r="V593" i="9"/>
  <c r="R583" i="13" s="1"/>
  <c r="V600" i="9"/>
  <c r="R590" i="13" s="1"/>
  <c r="V603" i="9"/>
  <c r="R593" i="13" s="1"/>
  <c r="V608" i="9"/>
  <c r="R598" i="13" s="1"/>
  <c r="V611" i="9"/>
  <c r="R601" i="13" s="1"/>
  <c r="V614" i="9"/>
  <c r="R604" i="13" s="1"/>
  <c r="V549" i="9"/>
  <c r="R539" i="13" s="1"/>
  <c r="V554" i="9"/>
  <c r="R544" i="13" s="1"/>
  <c r="V583" i="9"/>
  <c r="R573" i="13" s="1"/>
  <c r="V586" i="9"/>
  <c r="R576" i="13" s="1"/>
  <c r="V589" i="9"/>
  <c r="R579" i="13" s="1"/>
  <c r="V596" i="9"/>
  <c r="R586" i="13" s="1"/>
  <c r="V607" i="9"/>
  <c r="R597" i="13" s="1"/>
  <c r="V616" i="9"/>
  <c r="R606" i="13" s="1"/>
  <c r="T19" i="9"/>
  <c r="P9" i="13" s="1"/>
  <c r="T21" i="9"/>
  <c r="P11" i="13" s="1"/>
  <c r="T38" i="9"/>
  <c r="P28" i="13" s="1"/>
  <c r="T40" i="9"/>
  <c r="P30" i="13" s="1"/>
  <c r="T45" i="9"/>
  <c r="P35" i="13" s="1"/>
  <c r="T52" i="9"/>
  <c r="P42" i="13" s="1"/>
  <c r="T54" i="9"/>
  <c r="P44" i="13" s="1"/>
  <c r="T67" i="9"/>
  <c r="P57" i="13" s="1"/>
  <c r="T69" i="9"/>
  <c r="P59" i="13" s="1"/>
  <c r="T80" i="9"/>
  <c r="P70" i="13" s="1"/>
  <c r="T82" i="9"/>
  <c r="P72" i="13" s="1"/>
  <c r="T23" i="9"/>
  <c r="P13" i="13" s="1"/>
  <c r="T25" i="9"/>
  <c r="P15" i="13" s="1"/>
  <c r="T42" i="9"/>
  <c r="P32" i="13" s="1"/>
  <c r="T56" i="9"/>
  <c r="P46" i="13" s="1"/>
  <c r="T71" i="9"/>
  <c r="P61" i="13" s="1"/>
  <c r="T84" i="9"/>
  <c r="P74" i="13" s="1"/>
  <c r="T86" i="9"/>
  <c r="P76" i="13" s="1"/>
  <c r="T88" i="9"/>
  <c r="P78" i="13" s="1"/>
  <c r="T103" i="9"/>
  <c r="P93" i="13" s="1"/>
  <c r="T27" i="9"/>
  <c r="P17" i="13" s="1"/>
  <c r="T29" i="9"/>
  <c r="P19" i="13" s="1"/>
  <c r="T31" i="9"/>
  <c r="P21" i="13" s="1"/>
  <c r="T33" i="9"/>
  <c r="P23" i="13" s="1"/>
  <c r="T47" i="9"/>
  <c r="P37" i="13" s="1"/>
  <c r="T49" i="9"/>
  <c r="P39" i="13" s="1"/>
  <c r="T58" i="9"/>
  <c r="P48" i="13" s="1"/>
  <c r="T60" i="9"/>
  <c r="P50" i="13" s="1"/>
  <c r="T73" i="9"/>
  <c r="P63" i="13" s="1"/>
  <c r="T75" i="9"/>
  <c r="P65" i="13" s="1"/>
  <c r="T77" i="9"/>
  <c r="P67" i="13" s="1"/>
  <c r="T90" i="9"/>
  <c r="P80" i="13" s="1"/>
  <c r="T92" i="9"/>
  <c r="P82" i="13" s="1"/>
  <c r="T105" i="9"/>
  <c r="P95" i="13" s="1"/>
  <c r="T35" i="9"/>
  <c r="P25" i="13" s="1"/>
  <c r="T44" i="9"/>
  <c r="P34" i="13" s="1"/>
  <c r="T62" i="9"/>
  <c r="P52" i="13" s="1"/>
  <c r="T64" i="9"/>
  <c r="P54" i="13" s="1"/>
  <c r="T66" i="9"/>
  <c r="P56" i="13" s="1"/>
  <c r="T79" i="9"/>
  <c r="P69" i="13" s="1"/>
  <c r="T94" i="9"/>
  <c r="P84" i="13" s="1"/>
  <c r="T96" i="9"/>
  <c r="P86" i="13" s="1"/>
  <c r="T98" i="9"/>
  <c r="P88" i="13" s="1"/>
  <c r="T18" i="9"/>
  <c r="P8" i="13" s="1"/>
  <c r="T20" i="9"/>
  <c r="P10" i="13" s="1"/>
  <c r="T22" i="9"/>
  <c r="P12" i="13" s="1"/>
  <c r="T37" i="9"/>
  <c r="P27" i="13" s="1"/>
  <c r="T39" i="9"/>
  <c r="P29" i="13" s="1"/>
  <c r="T41" i="9"/>
  <c r="P31" i="13" s="1"/>
  <c r="T51" i="9"/>
  <c r="P41" i="13" s="1"/>
  <c r="T53" i="9"/>
  <c r="P43" i="13" s="1"/>
  <c r="T55" i="9"/>
  <c r="P45" i="13" s="1"/>
  <c r="T24" i="9"/>
  <c r="P14" i="13" s="1"/>
  <c r="T46" i="9"/>
  <c r="P36" i="13" s="1"/>
  <c r="T57" i="9"/>
  <c r="P47" i="13" s="1"/>
  <c r="T70" i="9"/>
  <c r="P60" i="13" s="1"/>
  <c r="T83" i="9"/>
  <c r="P73" i="13" s="1"/>
  <c r="T85" i="9"/>
  <c r="P75" i="13" s="1"/>
  <c r="T87" i="9"/>
  <c r="P77" i="13" s="1"/>
  <c r="T89" i="9"/>
  <c r="P79" i="13" s="1"/>
  <c r="T26" i="9"/>
  <c r="P16" i="13" s="1"/>
  <c r="T28" i="9"/>
  <c r="P18" i="13" s="1"/>
  <c r="T30" i="9"/>
  <c r="P20" i="13" s="1"/>
  <c r="T32" i="9"/>
  <c r="P22" i="13" s="1"/>
  <c r="T34" i="9"/>
  <c r="P24" i="13" s="1"/>
  <c r="T48" i="9"/>
  <c r="P38" i="13" s="1"/>
  <c r="T59" i="9"/>
  <c r="P49" i="13" s="1"/>
  <c r="T61" i="9"/>
  <c r="P51" i="13" s="1"/>
  <c r="T72" i="9"/>
  <c r="P62" i="13" s="1"/>
  <c r="T74" i="9"/>
  <c r="P64" i="13" s="1"/>
  <c r="T76" i="9"/>
  <c r="P66" i="13" s="1"/>
  <c r="T91" i="9"/>
  <c r="P81" i="13" s="1"/>
  <c r="T93" i="9"/>
  <c r="P83" i="13" s="1"/>
  <c r="T63" i="9"/>
  <c r="P53" i="13" s="1"/>
  <c r="T102" i="9"/>
  <c r="P92" i="13" s="1"/>
  <c r="T130" i="9"/>
  <c r="P120" i="13" s="1"/>
  <c r="T139" i="9"/>
  <c r="P129" i="13" s="1"/>
  <c r="T141" i="9"/>
  <c r="P131" i="13" s="1"/>
  <c r="T143" i="9"/>
  <c r="P133" i="13" s="1"/>
  <c r="T145" i="9"/>
  <c r="P135" i="13" s="1"/>
  <c r="T152" i="9"/>
  <c r="P142" i="13" s="1"/>
  <c r="T36" i="9"/>
  <c r="P26" i="13" s="1"/>
  <c r="T117" i="9"/>
  <c r="P107" i="13" s="1"/>
  <c r="T132" i="9"/>
  <c r="P122" i="13" s="1"/>
  <c r="T99" i="9"/>
  <c r="P89" i="13" s="1"/>
  <c r="T119" i="9"/>
  <c r="P109" i="13" s="1"/>
  <c r="T121" i="9"/>
  <c r="P111" i="13" s="1"/>
  <c r="T123" i="9"/>
  <c r="P113" i="13" s="1"/>
  <c r="T134" i="9"/>
  <c r="P124" i="13" s="1"/>
  <c r="T136" i="9"/>
  <c r="P126" i="13" s="1"/>
  <c r="T78" i="9"/>
  <c r="P68" i="13" s="1"/>
  <c r="T81" i="9"/>
  <c r="P71" i="13" s="1"/>
  <c r="T100" i="9"/>
  <c r="P90" i="13" s="1"/>
  <c r="T106" i="9"/>
  <c r="P96" i="13" s="1"/>
  <c r="T108" i="9"/>
  <c r="P98" i="13" s="1"/>
  <c r="T110" i="9"/>
  <c r="P100" i="13" s="1"/>
  <c r="T112" i="9"/>
  <c r="P102" i="13" s="1"/>
  <c r="T114" i="9"/>
  <c r="P104" i="13" s="1"/>
  <c r="T125" i="9"/>
  <c r="P115" i="13" s="1"/>
  <c r="T127" i="9"/>
  <c r="P117" i="13" s="1"/>
  <c r="T138" i="9"/>
  <c r="P128" i="13" s="1"/>
  <c r="T50" i="9"/>
  <c r="P40" i="13" s="1"/>
  <c r="T95" i="9"/>
  <c r="P85" i="13" s="1"/>
  <c r="T104" i="9"/>
  <c r="P94" i="13" s="1"/>
  <c r="T116" i="9"/>
  <c r="P106" i="13" s="1"/>
  <c r="T129" i="9"/>
  <c r="P119" i="13" s="1"/>
  <c r="T131" i="9"/>
  <c r="P121" i="13" s="1"/>
  <c r="T43" i="9"/>
  <c r="P33" i="13" s="1"/>
  <c r="T68" i="9"/>
  <c r="P58" i="13" s="1"/>
  <c r="T97" i="9"/>
  <c r="P87" i="13" s="1"/>
  <c r="T107" i="9"/>
  <c r="P97" i="13" s="1"/>
  <c r="T118" i="9"/>
  <c r="P108" i="13" s="1"/>
  <c r="T120" i="9"/>
  <c r="P110" i="13" s="1"/>
  <c r="T122" i="9"/>
  <c r="P112" i="13" s="1"/>
  <c r="T124" i="9"/>
  <c r="P114" i="13" s="1"/>
  <c r="T133" i="9"/>
  <c r="P123" i="13" s="1"/>
  <c r="T135" i="9"/>
  <c r="P125" i="13" s="1"/>
  <c r="T148" i="9"/>
  <c r="P138" i="13" s="1"/>
  <c r="T163" i="9"/>
  <c r="P153" i="13" s="1"/>
  <c r="T65" i="9"/>
  <c r="P55" i="13" s="1"/>
  <c r="T101" i="9"/>
  <c r="P91" i="13" s="1"/>
  <c r="T109" i="9"/>
  <c r="P99" i="13" s="1"/>
  <c r="T111" i="9"/>
  <c r="P101" i="13" s="1"/>
  <c r="T113" i="9"/>
  <c r="P103" i="13" s="1"/>
  <c r="T115" i="9"/>
  <c r="P105" i="13" s="1"/>
  <c r="T126" i="9"/>
  <c r="P116" i="13" s="1"/>
  <c r="T128" i="9"/>
  <c r="P118" i="13" s="1"/>
  <c r="T137" i="9"/>
  <c r="P127" i="13" s="1"/>
  <c r="T150" i="9"/>
  <c r="P140" i="13" s="1"/>
  <c r="T167" i="9"/>
  <c r="P157" i="13" s="1"/>
  <c r="T178" i="9"/>
  <c r="P168" i="13" s="1"/>
  <c r="T180" i="9"/>
  <c r="P170" i="13" s="1"/>
  <c r="T182" i="9"/>
  <c r="P172" i="13" s="1"/>
  <c r="T174" i="9"/>
  <c r="P164" i="13" s="1"/>
  <c r="T183" i="9"/>
  <c r="P173" i="13" s="1"/>
  <c r="T185" i="9"/>
  <c r="P175" i="13" s="1"/>
  <c r="T181" i="9"/>
  <c r="P171" i="13" s="1"/>
  <c r="T200" i="9"/>
  <c r="P190" i="13" s="1"/>
  <c r="T202" i="9"/>
  <c r="P192" i="13" s="1"/>
  <c r="T204" i="9"/>
  <c r="P194" i="13" s="1"/>
  <c r="T144" i="9"/>
  <c r="P134" i="13" s="1"/>
  <c r="T149" i="9"/>
  <c r="P139" i="13" s="1"/>
  <c r="T153" i="9"/>
  <c r="P143" i="13" s="1"/>
  <c r="T157" i="9"/>
  <c r="P147" i="13" s="1"/>
  <c r="T168" i="9"/>
  <c r="P158" i="13" s="1"/>
  <c r="T170" i="9"/>
  <c r="P160" i="13" s="1"/>
  <c r="T172" i="9"/>
  <c r="P162" i="13" s="1"/>
  <c r="T177" i="9"/>
  <c r="P167" i="13" s="1"/>
  <c r="T179" i="9"/>
  <c r="P169" i="13" s="1"/>
  <c r="T187" i="9"/>
  <c r="P177" i="13" s="1"/>
  <c r="T189" i="9"/>
  <c r="P179" i="13" s="1"/>
  <c r="T191" i="9"/>
  <c r="P181" i="13" s="1"/>
  <c r="T193" i="9"/>
  <c r="P183" i="13" s="1"/>
  <c r="T208" i="9"/>
  <c r="P198" i="13" s="1"/>
  <c r="T210" i="9"/>
  <c r="P200" i="13" s="1"/>
  <c r="T221" i="9"/>
  <c r="P211" i="13" s="1"/>
  <c r="T154" i="9"/>
  <c r="P144" i="13" s="1"/>
  <c r="T161" i="9"/>
  <c r="P151" i="13" s="1"/>
  <c r="T164" i="9"/>
  <c r="P154" i="13" s="1"/>
  <c r="T166" i="9"/>
  <c r="P156" i="13" s="1"/>
  <c r="T175" i="9"/>
  <c r="P165" i="13" s="1"/>
  <c r="T195" i="9"/>
  <c r="P185" i="13" s="1"/>
  <c r="T140" i="9"/>
  <c r="P130" i="13" s="1"/>
  <c r="T158" i="9"/>
  <c r="P148" i="13" s="1"/>
  <c r="T173" i="9"/>
  <c r="P163" i="13" s="1"/>
  <c r="T146" i="9"/>
  <c r="P136" i="13" s="1"/>
  <c r="T147" i="9"/>
  <c r="P137" i="13" s="1"/>
  <c r="T155" i="9"/>
  <c r="P145" i="13" s="1"/>
  <c r="T159" i="9"/>
  <c r="P149" i="13" s="1"/>
  <c r="T169" i="9"/>
  <c r="P159" i="13" s="1"/>
  <c r="T186" i="9"/>
  <c r="P176" i="13" s="1"/>
  <c r="T188" i="9"/>
  <c r="P178" i="13" s="1"/>
  <c r="T190" i="9"/>
  <c r="P180" i="13" s="1"/>
  <c r="T192" i="9"/>
  <c r="P182" i="13" s="1"/>
  <c r="T209" i="9"/>
  <c r="P199" i="13" s="1"/>
  <c r="T220" i="9"/>
  <c r="P210" i="13" s="1"/>
  <c r="T222" i="9"/>
  <c r="P212" i="13" s="1"/>
  <c r="T231" i="9"/>
  <c r="P221" i="13" s="1"/>
  <c r="T233" i="9"/>
  <c r="P223" i="13" s="1"/>
  <c r="T235" i="9"/>
  <c r="P225" i="13" s="1"/>
  <c r="T142" i="9"/>
  <c r="P132" i="13" s="1"/>
  <c r="T151" i="9"/>
  <c r="P141" i="13" s="1"/>
  <c r="T156" i="9"/>
  <c r="P146" i="13" s="1"/>
  <c r="T160" i="9"/>
  <c r="P150" i="13" s="1"/>
  <c r="T165" i="9"/>
  <c r="P155" i="13" s="1"/>
  <c r="T176" i="9"/>
  <c r="P166" i="13" s="1"/>
  <c r="T194" i="9"/>
  <c r="P184" i="13" s="1"/>
  <c r="T211" i="9"/>
  <c r="P201" i="13" s="1"/>
  <c r="T213" i="9"/>
  <c r="P203" i="13" s="1"/>
  <c r="T215" i="9"/>
  <c r="P205" i="13" s="1"/>
  <c r="T224" i="9"/>
  <c r="P214" i="13" s="1"/>
  <c r="T226" i="9"/>
  <c r="P216" i="13" s="1"/>
  <c r="T162" i="9"/>
  <c r="P152" i="13" s="1"/>
  <c r="T257" i="9"/>
  <c r="P247" i="13" s="1"/>
  <c r="T259" i="9"/>
  <c r="P249" i="13" s="1"/>
  <c r="T261" i="9"/>
  <c r="P251" i="13" s="1"/>
  <c r="T268" i="9"/>
  <c r="P258" i="13" s="1"/>
  <c r="T270" i="9"/>
  <c r="P260" i="13" s="1"/>
  <c r="T272" i="9"/>
  <c r="P262" i="13" s="1"/>
  <c r="T274" i="9"/>
  <c r="P264" i="13" s="1"/>
  <c r="T207" i="9"/>
  <c r="P197" i="13" s="1"/>
  <c r="T223" i="9"/>
  <c r="P213" i="13" s="1"/>
  <c r="T240" i="9"/>
  <c r="P230" i="13" s="1"/>
  <c r="T242" i="9"/>
  <c r="P232" i="13" s="1"/>
  <c r="T244" i="9"/>
  <c r="P234" i="13" s="1"/>
  <c r="T276" i="9"/>
  <c r="P266" i="13" s="1"/>
  <c r="T278" i="9"/>
  <c r="P268" i="13" s="1"/>
  <c r="T283" i="9"/>
  <c r="P273" i="13" s="1"/>
  <c r="T290" i="9"/>
  <c r="P280" i="13" s="1"/>
  <c r="T292" i="9"/>
  <c r="P282" i="13" s="1"/>
  <c r="T203" i="9"/>
  <c r="P193" i="13" s="1"/>
  <c r="T214" i="9"/>
  <c r="P204" i="13" s="1"/>
  <c r="T217" i="9"/>
  <c r="P207" i="13" s="1"/>
  <c r="T229" i="9"/>
  <c r="P219" i="13" s="1"/>
  <c r="T246" i="9"/>
  <c r="P236" i="13" s="1"/>
  <c r="T263" i="9"/>
  <c r="P253" i="13" s="1"/>
  <c r="T265" i="9"/>
  <c r="P255" i="13" s="1"/>
  <c r="T280" i="9"/>
  <c r="P270" i="13" s="1"/>
  <c r="T285" i="9"/>
  <c r="P275" i="13" s="1"/>
  <c r="T294" i="9"/>
  <c r="P284" i="13" s="1"/>
  <c r="T301" i="9"/>
  <c r="P291" i="13" s="1"/>
  <c r="T234" i="9"/>
  <c r="P224" i="13" s="1"/>
  <c r="T236" i="9"/>
  <c r="P226" i="13" s="1"/>
  <c r="T238" i="9"/>
  <c r="P228" i="13" s="1"/>
  <c r="T241" i="9"/>
  <c r="P231" i="13" s="1"/>
  <c r="T248" i="9"/>
  <c r="P238" i="13" s="1"/>
  <c r="T250" i="9"/>
  <c r="P240" i="13" s="1"/>
  <c r="T252" i="9"/>
  <c r="P242" i="13" s="1"/>
  <c r="T254" i="9"/>
  <c r="P244" i="13" s="1"/>
  <c r="T267" i="9"/>
  <c r="P257" i="13" s="1"/>
  <c r="T287" i="9"/>
  <c r="P277" i="13" s="1"/>
  <c r="T184" i="9"/>
  <c r="P174" i="13" s="1"/>
  <c r="T196" i="9"/>
  <c r="P186" i="13" s="1"/>
  <c r="T197" i="9"/>
  <c r="P187" i="13" s="1"/>
  <c r="T227" i="9"/>
  <c r="P217" i="13" s="1"/>
  <c r="T232" i="9"/>
  <c r="P222" i="13" s="1"/>
  <c r="T256" i="9"/>
  <c r="P246" i="13" s="1"/>
  <c r="T258" i="9"/>
  <c r="P248" i="13" s="1"/>
  <c r="T260" i="9"/>
  <c r="P250" i="13" s="1"/>
  <c r="T269" i="9"/>
  <c r="P259" i="13" s="1"/>
  <c r="T271" i="9"/>
  <c r="P261" i="13" s="1"/>
  <c r="T273" i="9"/>
  <c r="P263" i="13" s="1"/>
  <c r="T171" i="9"/>
  <c r="P161" i="13" s="1"/>
  <c r="T198" i="9"/>
  <c r="P188" i="13" s="1"/>
  <c r="T199" i="9"/>
  <c r="P189" i="13" s="1"/>
  <c r="T205" i="9"/>
  <c r="P195" i="13" s="1"/>
  <c r="T212" i="9"/>
  <c r="P202" i="13" s="1"/>
  <c r="T218" i="9"/>
  <c r="P208" i="13" s="1"/>
  <c r="T230" i="9"/>
  <c r="P220" i="13" s="1"/>
  <c r="T239" i="9"/>
  <c r="P229" i="13" s="1"/>
  <c r="T243" i="9"/>
  <c r="P233" i="13" s="1"/>
  <c r="T275" i="9"/>
  <c r="P265" i="13" s="1"/>
  <c r="T277" i="9"/>
  <c r="P267" i="13" s="1"/>
  <c r="T279" i="9"/>
  <c r="P269" i="13" s="1"/>
  <c r="T284" i="9"/>
  <c r="P274" i="13" s="1"/>
  <c r="T206" i="9"/>
  <c r="P196" i="13" s="1"/>
  <c r="T219" i="9"/>
  <c r="P209" i="13" s="1"/>
  <c r="T201" i="9"/>
  <c r="P191" i="13" s="1"/>
  <c r="T216" i="9"/>
  <c r="P206" i="13" s="1"/>
  <c r="T237" i="9"/>
  <c r="P227" i="13" s="1"/>
  <c r="T249" i="9"/>
  <c r="P239" i="13" s="1"/>
  <c r="T251" i="9"/>
  <c r="P241" i="13" s="1"/>
  <c r="T253" i="9"/>
  <c r="P243" i="13" s="1"/>
  <c r="T255" i="9"/>
  <c r="P245" i="13" s="1"/>
  <c r="T281" i="9"/>
  <c r="P271" i="13" s="1"/>
  <c r="T286" i="9"/>
  <c r="P276" i="13" s="1"/>
  <c r="T288" i="9"/>
  <c r="P278" i="13" s="1"/>
  <c r="T295" i="9"/>
  <c r="P285" i="13" s="1"/>
  <c r="T297" i="9"/>
  <c r="P287" i="13" s="1"/>
  <c r="T302" i="9"/>
  <c r="P292" i="13" s="1"/>
  <c r="T304" i="9"/>
  <c r="P294" i="13" s="1"/>
  <c r="T306" i="9"/>
  <c r="P296" i="13" s="1"/>
  <c r="T264" i="9"/>
  <c r="P254" i="13" s="1"/>
  <c r="T311" i="9"/>
  <c r="P301" i="13" s="1"/>
  <c r="T319" i="9"/>
  <c r="P309" i="13" s="1"/>
  <c r="T334" i="9"/>
  <c r="P324" i="13" s="1"/>
  <c r="T341" i="9"/>
  <c r="P331" i="13" s="1"/>
  <c r="T356" i="9"/>
  <c r="P346" i="13" s="1"/>
  <c r="T262" i="9"/>
  <c r="P252" i="13" s="1"/>
  <c r="T299" i="9"/>
  <c r="P289" i="13" s="1"/>
  <c r="T309" i="9"/>
  <c r="P299" i="13" s="1"/>
  <c r="T321" i="9"/>
  <c r="P311" i="13" s="1"/>
  <c r="T323" i="9"/>
  <c r="P313" i="13" s="1"/>
  <c r="T336" i="9"/>
  <c r="P326" i="13" s="1"/>
  <c r="T343" i="9"/>
  <c r="P333" i="13" s="1"/>
  <c r="T345" i="9"/>
  <c r="P335" i="13" s="1"/>
  <c r="T347" i="9"/>
  <c r="P337" i="13" s="1"/>
  <c r="T358" i="9"/>
  <c r="P348" i="13" s="1"/>
  <c r="T228" i="9"/>
  <c r="P218" i="13" s="1"/>
  <c r="T293" i="9"/>
  <c r="P283" i="13" s="1"/>
  <c r="T307" i="9"/>
  <c r="P297" i="13" s="1"/>
  <c r="T325" i="9"/>
  <c r="P315" i="13" s="1"/>
  <c r="T327" i="9"/>
  <c r="P317" i="13" s="1"/>
  <c r="T329" i="9"/>
  <c r="P319" i="13" s="1"/>
  <c r="T338" i="9"/>
  <c r="P328" i="13" s="1"/>
  <c r="T349" i="9"/>
  <c r="P339" i="13" s="1"/>
  <c r="T360" i="9"/>
  <c r="P350" i="13" s="1"/>
  <c r="T362" i="9"/>
  <c r="P352" i="13" s="1"/>
  <c r="T364" i="9"/>
  <c r="P354" i="13" s="1"/>
  <c r="T366" i="9"/>
  <c r="P356" i="13" s="1"/>
  <c r="T375" i="9"/>
  <c r="P365" i="13" s="1"/>
  <c r="T377" i="9"/>
  <c r="P367" i="13" s="1"/>
  <c r="T305" i="9"/>
  <c r="P295" i="13" s="1"/>
  <c r="T312" i="9"/>
  <c r="P302" i="13" s="1"/>
  <c r="T314" i="9"/>
  <c r="P304" i="13" s="1"/>
  <c r="T316" i="9"/>
  <c r="P306" i="13" s="1"/>
  <c r="T318" i="9"/>
  <c r="P308" i="13" s="1"/>
  <c r="T331" i="9"/>
  <c r="P321" i="13" s="1"/>
  <c r="T340" i="9"/>
  <c r="P330" i="13" s="1"/>
  <c r="T351" i="9"/>
  <c r="P341" i="13" s="1"/>
  <c r="T353" i="9"/>
  <c r="P343" i="13" s="1"/>
  <c r="T355" i="9"/>
  <c r="P345" i="13" s="1"/>
  <c r="T368" i="9"/>
  <c r="P358" i="13" s="1"/>
  <c r="T225" i="9"/>
  <c r="P215" i="13" s="1"/>
  <c r="T247" i="9"/>
  <c r="P237" i="13" s="1"/>
  <c r="T289" i="9"/>
  <c r="P279" i="13" s="1"/>
  <c r="T300" i="9"/>
  <c r="P290" i="13" s="1"/>
  <c r="T310" i="9"/>
  <c r="P300" i="13" s="1"/>
  <c r="T320" i="9"/>
  <c r="P310" i="13" s="1"/>
  <c r="T333" i="9"/>
  <c r="P323" i="13" s="1"/>
  <c r="T335" i="9"/>
  <c r="P325" i="13" s="1"/>
  <c r="T342" i="9"/>
  <c r="P332" i="13" s="1"/>
  <c r="T245" i="9"/>
  <c r="P235" i="13" s="1"/>
  <c r="T282" i="9"/>
  <c r="P272" i="13" s="1"/>
  <c r="T298" i="9"/>
  <c r="P288" i="13" s="1"/>
  <c r="T303" i="9"/>
  <c r="P293" i="13" s="1"/>
  <c r="T308" i="9"/>
  <c r="P298" i="13" s="1"/>
  <c r="T322" i="9"/>
  <c r="P312" i="13" s="1"/>
  <c r="T337" i="9"/>
  <c r="P327" i="13" s="1"/>
  <c r="T344" i="9"/>
  <c r="P334" i="13" s="1"/>
  <c r="T346" i="9"/>
  <c r="P336" i="13" s="1"/>
  <c r="T357" i="9"/>
  <c r="P347" i="13" s="1"/>
  <c r="T324" i="9"/>
  <c r="P314" i="13" s="1"/>
  <c r="T326" i="9"/>
  <c r="P316" i="13" s="1"/>
  <c r="T328" i="9"/>
  <c r="P318" i="13" s="1"/>
  <c r="T339" i="9"/>
  <c r="P329" i="13" s="1"/>
  <c r="T348" i="9"/>
  <c r="P338" i="13" s="1"/>
  <c r="T350" i="9"/>
  <c r="P340" i="13" s="1"/>
  <c r="T359" i="9"/>
  <c r="P349" i="13" s="1"/>
  <c r="T361" i="9"/>
  <c r="P351" i="13" s="1"/>
  <c r="T363" i="9"/>
  <c r="P353" i="13" s="1"/>
  <c r="T365" i="9"/>
  <c r="P355" i="13" s="1"/>
  <c r="T367" i="9"/>
  <c r="P357" i="13" s="1"/>
  <c r="T376" i="9"/>
  <c r="P366" i="13" s="1"/>
  <c r="T378" i="9"/>
  <c r="P368" i="13" s="1"/>
  <c r="T383" i="9"/>
  <c r="P373" i="13" s="1"/>
  <c r="T385" i="9"/>
  <c r="P375" i="13" s="1"/>
  <c r="T387" i="9"/>
  <c r="P377" i="13" s="1"/>
  <c r="T389" i="9"/>
  <c r="P379" i="13" s="1"/>
  <c r="T396" i="9"/>
  <c r="P386" i="13" s="1"/>
  <c r="T398" i="9"/>
  <c r="P388" i="13" s="1"/>
  <c r="T411" i="9"/>
  <c r="P401" i="13" s="1"/>
  <c r="T413" i="9"/>
  <c r="P403" i="13" s="1"/>
  <c r="T418" i="9"/>
  <c r="P408" i="13" s="1"/>
  <c r="T420" i="9"/>
  <c r="P410" i="13" s="1"/>
  <c r="T266" i="9"/>
  <c r="P256" i="13" s="1"/>
  <c r="T291" i="9"/>
  <c r="P281" i="13" s="1"/>
  <c r="T296" i="9"/>
  <c r="P286" i="13" s="1"/>
  <c r="T313" i="9"/>
  <c r="P303" i="13" s="1"/>
  <c r="T315" i="9"/>
  <c r="P305" i="13" s="1"/>
  <c r="T317" i="9"/>
  <c r="P307" i="13" s="1"/>
  <c r="T330" i="9"/>
  <c r="P320" i="13" s="1"/>
  <c r="T332" i="9"/>
  <c r="P322" i="13" s="1"/>
  <c r="T352" i="9"/>
  <c r="P342" i="13" s="1"/>
  <c r="T354" i="9"/>
  <c r="P344" i="13" s="1"/>
  <c r="T391" i="9"/>
  <c r="P381" i="13" s="1"/>
  <c r="T393" i="9"/>
  <c r="P383" i="13" s="1"/>
  <c r="T400" i="9"/>
  <c r="P390" i="13" s="1"/>
  <c r="T402" i="9"/>
  <c r="P392" i="13" s="1"/>
  <c r="T373" i="9"/>
  <c r="P363" i="13" s="1"/>
  <c r="T380" i="9"/>
  <c r="P370" i="13" s="1"/>
  <c r="T403" i="9"/>
  <c r="P393" i="13" s="1"/>
  <c r="T409" i="9"/>
  <c r="P399" i="13" s="1"/>
  <c r="T412" i="9"/>
  <c r="P402" i="13" s="1"/>
  <c r="T417" i="9"/>
  <c r="P407" i="13" s="1"/>
  <c r="T424" i="9"/>
  <c r="P414" i="13" s="1"/>
  <c r="T440" i="9"/>
  <c r="P430" i="13" s="1"/>
  <c r="T447" i="9"/>
  <c r="P437" i="13" s="1"/>
  <c r="T462" i="9"/>
  <c r="P452" i="13" s="1"/>
  <c r="T473" i="9"/>
  <c r="P463" i="13" s="1"/>
  <c r="T374" i="9"/>
  <c r="P364" i="13" s="1"/>
  <c r="T386" i="9"/>
  <c r="P376" i="13" s="1"/>
  <c r="T401" i="9"/>
  <c r="P391" i="13" s="1"/>
  <c r="T404" i="9"/>
  <c r="P394" i="13" s="1"/>
  <c r="T422" i="9"/>
  <c r="P412" i="13" s="1"/>
  <c r="T429" i="9"/>
  <c r="P419" i="13" s="1"/>
  <c r="T431" i="9"/>
  <c r="P421" i="13" s="1"/>
  <c r="T433" i="9"/>
  <c r="P423" i="13" s="1"/>
  <c r="T435" i="9"/>
  <c r="P425" i="13" s="1"/>
  <c r="T442" i="9"/>
  <c r="P432" i="13" s="1"/>
  <c r="T449" i="9"/>
  <c r="P439" i="13" s="1"/>
  <c r="T451" i="9"/>
  <c r="P441" i="13" s="1"/>
  <c r="T453" i="9"/>
  <c r="P443" i="13" s="1"/>
  <c r="T455" i="9"/>
  <c r="P445" i="13" s="1"/>
  <c r="T381" i="9"/>
  <c r="P371" i="13" s="1"/>
  <c r="T399" i="9"/>
  <c r="P389" i="13" s="1"/>
  <c r="T407" i="9"/>
  <c r="P397" i="13" s="1"/>
  <c r="T410" i="9"/>
  <c r="P400" i="13" s="1"/>
  <c r="T415" i="9"/>
  <c r="P405" i="13" s="1"/>
  <c r="T427" i="9"/>
  <c r="P417" i="13" s="1"/>
  <c r="T437" i="9"/>
  <c r="P427" i="13" s="1"/>
  <c r="T444" i="9"/>
  <c r="P434" i="13" s="1"/>
  <c r="T457" i="9"/>
  <c r="P447" i="13" s="1"/>
  <c r="T464" i="9"/>
  <c r="P454" i="13" s="1"/>
  <c r="T466" i="9"/>
  <c r="P456" i="13" s="1"/>
  <c r="T369" i="9"/>
  <c r="P359" i="13" s="1"/>
  <c r="T382" i="9"/>
  <c r="P372" i="13" s="1"/>
  <c r="T384" i="9"/>
  <c r="P374" i="13" s="1"/>
  <c r="T394" i="9"/>
  <c r="P384" i="13" s="1"/>
  <c r="T408" i="9"/>
  <c r="P398" i="13" s="1"/>
  <c r="T425" i="9"/>
  <c r="P415" i="13" s="1"/>
  <c r="T439" i="9"/>
  <c r="P429" i="13" s="1"/>
  <c r="T392" i="9"/>
  <c r="P382" i="13" s="1"/>
  <c r="T397" i="9"/>
  <c r="P387" i="13" s="1"/>
  <c r="T423" i="9"/>
  <c r="P413" i="13" s="1"/>
  <c r="T446" i="9"/>
  <c r="P436" i="13" s="1"/>
  <c r="T448" i="9"/>
  <c r="P438" i="13" s="1"/>
  <c r="T463" i="9"/>
  <c r="P453" i="13" s="1"/>
  <c r="T472" i="9"/>
  <c r="P462" i="13" s="1"/>
  <c r="T370" i="9"/>
  <c r="P360" i="13" s="1"/>
  <c r="T379" i="9"/>
  <c r="P369" i="13" s="1"/>
  <c r="T371" i="9"/>
  <c r="P361" i="13" s="1"/>
  <c r="T406" i="9"/>
  <c r="P396" i="13" s="1"/>
  <c r="T428" i="9"/>
  <c r="P418" i="13" s="1"/>
  <c r="T438" i="9"/>
  <c r="P428" i="13" s="1"/>
  <c r="T456" i="9"/>
  <c r="P446" i="13" s="1"/>
  <c r="T465" i="9"/>
  <c r="P455" i="13" s="1"/>
  <c r="T487" i="9"/>
  <c r="P477" i="13" s="1"/>
  <c r="T489" i="9"/>
  <c r="P479" i="13" s="1"/>
  <c r="T491" i="9"/>
  <c r="P481" i="13" s="1"/>
  <c r="T372" i="9"/>
  <c r="P362" i="13" s="1"/>
  <c r="T388" i="9"/>
  <c r="P378" i="13" s="1"/>
  <c r="T414" i="9"/>
  <c r="P404" i="13" s="1"/>
  <c r="T416" i="9"/>
  <c r="P406" i="13" s="1"/>
  <c r="T419" i="9"/>
  <c r="P409" i="13" s="1"/>
  <c r="T426" i="9"/>
  <c r="P416" i="13" s="1"/>
  <c r="T445" i="9"/>
  <c r="P435" i="13" s="1"/>
  <c r="T458" i="9"/>
  <c r="P448" i="13" s="1"/>
  <c r="T460" i="9"/>
  <c r="P450" i="13" s="1"/>
  <c r="T467" i="9"/>
  <c r="P457" i="13" s="1"/>
  <c r="T469" i="9"/>
  <c r="P459" i="13" s="1"/>
  <c r="T471" i="9"/>
  <c r="P461" i="13" s="1"/>
  <c r="T450" i="9"/>
  <c r="P440" i="13" s="1"/>
  <c r="T468" i="9"/>
  <c r="P458" i="13" s="1"/>
  <c r="T479" i="9"/>
  <c r="P469" i="13" s="1"/>
  <c r="T481" i="9"/>
  <c r="P471" i="13" s="1"/>
  <c r="T483" i="9"/>
  <c r="P473" i="13" s="1"/>
  <c r="T490" i="9"/>
  <c r="P480" i="13" s="1"/>
  <c r="T494" i="9"/>
  <c r="P484" i="13" s="1"/>
  <c r="T521" i="9"/>
  <c r="P511" i="13" s="1"/>
  <c r="T524" i="9"/>
  <c r="P514" i="13" s="1"/>
  <c r="T532" i="9"/>
  <c r="P522" i="13" s="1"/>
  <c r="T443" i="9"/>
  <c r="P433" i="13" s="1"/>
  <c r="T452" i="9"/>
  <c r="P442" i="13" s="1"/>
  <c r="T476" i="9"/>
  <c r="P466" i="13" s="1"/>
  <c r="T477" i="9"/>
  <c r="P467" i="13" s="1"/>
  <c r="T486" i="9"/>
  <c r="P476" i="13" s="1"/>
  <c r="T488" i="9"/>
  <c r="P478" i="13" s="1"/>
  <c r="T500" i="9"/>
  <c r="P490" i="13" s="1"/>
  <c r="T502" i="9"/>
  <c r="P492" i="13" s="1"/>
  <c r="T511" i="9"/>
  <c r="P501" i="13" s="1"/>
  <c r="T390" i="9"/>
  <c r="P380" i="13" s="1"/>
  <c r="T405" i="9"/>
  <c r="P395" i="13" s="1"/>
  <c r="T421" i="9"/>
  <c r="P411" i="13" s="1"/>
  <c r="T441" i="9"/>
  <c r="P431" i="13" s="1"/>
  <c r="T454" i="9"/>
  <c r="P444" i="13" s="1"/>
  <c r="T484" i="9"/>
  <c r="P474" i="13" s="1"/>
  <c r="T495" i="9"/>
  <c r="P485" i="13" s="1"/>
  <c r="T513" i="9"/>
  <c r="P503" i="13" s="1"/>
  <c r="T515" i="9"/>
  <c r="P505" i="13" s="1"/>
  <c r="T517" i="9"/>
  <c r="P507" i="13" s="1"/>
  <c r="T520" i="9"/>
  <c r="P510" i="13" s="1"/>
  <c r="T523" i="9"/>
  <c r="P513" i="13" s="1"/>
  <c r="T529" i="9"/>
  <c r="P519" i="13" s="1"/>
  <c r="T534" i="9"/>
  <c r="P524" i="13" s="1"/>
  <c r="T436" i="9"/>
  <c r="P426" i="13" s="1"/>
  <c r="T482" i="9"/>
  <c r="P472" i="13" s="1"/>
  <c r="T493" i="9"/>
  <c r="P483" i="13" s="1"/>
  <c r="T497" i="9"/>
  <c r="P487" i="13" s="1"/>
  <c r="T504" i="9"/>
  <c r="P494" i="13" s="1"/>
  <c r="T506" i="9"/>
  <c r="P496" i="13" s="1"/>
  <c r="T508" i="9"/>
  <c r="P498" i="13" s="1"/>
  <c r="T526" i="9"/>
  <c r="P516" i="13" s="1"/>
  <c r="T531" i="9"/>
  <c r="P521" i="13" s="1"/>
  <c r="T537" i="9"/>
  <c r="P527" i="13" s="1"/>
  <c r="T540" i="9"/>
  <c r="P530" i="13" s="1"/>
  <c r="T548" i="9"/>
  <c r="P538" i="13" s="1"/>
  <c r="T553" i="9"/>
  <c r="P543" i="13" s="1"/>
  <c r="T434" i="9"/>
  <c r="P424" i="13" s="1"/>
  <c r="T459" i="9"/>
  <c r="P449" i="13" s="1"/>
  <c r="T470" i="9"/>
  <c r="P460" i="13" s="1"/>
  <c r="T474" i="9"/>
  <c r="P464" i="13" s="1"/>
  <c r="T480" i="9"/>
  <c r="P470" i="13" s="1"/>
  <c r="T499" i="9"/>
  <c r="P489" i="13" s="1"/>
  <c r="T510" i="9"/>
  <c r="P500" i="13" s="1"/>
  <c r="T519" i="9"/>
  <c r="P509" i="13" s="1"/>
  <c r="T522" i="9"/>
  <c r="P512" i="13" s="1"/>
  <c r="T542" i="9"/>
  <c r="P532" i="13" s="1"/>
  <c r="T432" i="9"/>
  <c r="P422" i="13" s="1"/>
  <c r="T461" i="9"/>
  <c r="P451" i="13" s="1"/>
  <c r="T475" i="9"/>
  <c r="P465" i="13" s="1"/>
  <c r="T478" i="9"/>
  <c r="P468" i="13" s="1"/>
  <c r="T501" i="9"/>
  <c r="P491" i="13" s="1"/>
  <c r="T512" i="9"/>
  <c r="P502" i="13" s="1"/>
  <c r="T525" i="9"/>
  <c r="P515" i="13" s="1"/>
  <c r="T528" i="9"/>
  <c r="P518" i="13" s="1"/>
  <c r="T533" i="9"/>
  <c r="P523" i="13" s="1"/>
  <c r="T536" i="9"/>
  <c r="P526" i="13" s="1"/>
  <c r="T430" i="9"/>
  <c r="P420" i="13" s="1"/>
  <c r="T485" i="9"/>
  <c r="P475" i="13" s="1"/>
  <c r="T514" i="9"/>
  <c r="P504" i="13" s="1"/>
  <c r="T516" i="9"/>
  <c r="P506" i="13" s="1"/>
  <c r="T395" i="9"/>
  <c r="P385" i="13" s="1"/>
  <c r="T492" i="9"/>
  <c r="P482" i="13" s="1"/>
  <c r="T496" i="9"/>
  <c r="P486" i="13" s="1"/>
  <c r="T498" i="9"/>
  <c r="P488" i="13" s="1"/>
  <c r="T503" i="9"/>
  <c r="P493" i="13" s="1"/>
  <c r="T505" i="9"/>
  <c r="P495" i="13" s="1"/>
  <c r="T507" i="9"/>
  <c r="P497" i="13" s="1"/>
  <c r="T509" i="9"/>
  <c r="P499" i="13" s="1"/>
  <c r="T518" i="9"/>
  <c r="P508" i="13" s="1"/>
  <c r="T527" i="9"/>
  <c r="P517" i="13" s="1"/>
  <c r="T538" i="9"/>
  <c r="P528" i="13" s="1"/>
  <c r="T539" i="9"/>
  <c r="P529" i="13" s="1"/>
  <c r="T541" i="9"/>
  <c r="P531" i="13" s="1"/>
  <c r="T549" i="9"/>
  <c r="P539" i="13" s="1"/>
  <c r="T570" i="9"/>
  <c r="P560" i="13" s="1"/>
  <c r="T573" i="9"/>
  <c r="P563" i="13" s="1"/>
  <c r="T576" i="9"/>
  <c r="P566" i="13" s="1"/>
  <c r="T530" i="9"/>
  <c r="P520" i="13" s="1"/>
  <c r="T543" i="9"/>
  <c r="P533" i="13" s="1"/>
  <c r="T550" i="9"/>
  <c r="P540" i="13" s="1"/>
  <c r="T557" i="9"/>
  <c r="P547" i="13" s="1"/>
  <c r="T566" i="9"/>
  <c r="P556" i="13" s="1"/>
  <c r="T580" i="9"/>
  <c r="P570" i="13" s="1"/>
  <c r="T585" i="9"/>
  <c r="P575" i="13" s="1"/>
  <c r="T595" i="9"/>
  <c r="P585" i="13" s="1"/>
  <c r="T607" i="9"/>
  <c r="P597" i="13" s="1"/>
  <c r="T616" i="9"/>
  <c r="P606" i="13" s="1"/>
  <c r="T535" i="9"/>
  <c r="P525" i="13" s="1"/>
  <c r="T544" i="9"/>
  <c r="P534" i="13" s="1"/>
  <c r="T547" i="9"/>
  <c r="P537" i="13" s="1"/>
  <c r="T560" i="9"/>
  <c r="P550" i="13" s="1"/>
  <c r="T562" i="9"/>
  <c r="P552" i="13" s="1"/>
  <c r="T564" i="9"/>
  <c r="P554" i="13" s="1"/>
  <c r="T582" i="9"/>
  <c r="P572" i="13" s="1"/>
  <c r="T588" i="9"/>
  <c r="P578" i="13" s="1"/>
  <c r="T591" i="9"/>
  <c r="P581" i="13" s="1"/>
  <c r="T598" i="9"/>
  <c r="P588" i="13" s="1"/>
  <c r="T555" i="9"/>
  <c r="P545" i="13" s="1"/>
  <c r="T569" i="9"/>
  <c r="P559" i="13" s="1"/>
  <c r="T571" i="9"/>
  <c r="P561" i="13" s="1"/>
  <c r="T575" i="9"/>
  <c r="P565" i="13" s="1"/>
  <c r="T584" i="9"/>
  <c r="P574" i="13" s="1"/>
  <c r="T601" i="9"/>
  <c r="P591" i="13" s="1"/>
  <c r="T609" i="9"/>
  <c r="P599" i="13" s="1"/>
  <c r="T612" i="9"/>
  <c r="P602" i="13" s="1"/>
  <c r="T615" i="9"/>
  <c r="P605" i="13" s="1"/>
  <c r="T545" i="9"/>
  <c r="P535" i="13" s="1"/>
  <c r="T551" i="9"/>
  <c r="P541" i="13" s="1"/>
  <c r="T567" i="9"/>
  <c r="P557" i="13" s="1"/>
  <c r="T577" i="9"/>
  <c r="P567" i="13" s="1"/>
  <c r="T590" i="9"/>
  <c r="P580" i="13" s="1"/>
  <c r="T594" i="9"/>
  <c r="P584" i="13" s="1"/>
  <c r="T597" i="9"/>
  <c r="P587" i="13" s="1"/>
  <c r="T604" i="9"/>
  <c r="P594" i="13" s="1"/>
  <c r="T546" i="9"/>
  <c r="P536" i="13" s="1"/>
  <c r="T565" i="9"/>
  <c r="P555" i="13" s="1"/>
  <c r="T581" i="9"/>
  <c r="P571" i="13" s="1"/>
  <c r="T587" i="9"/>
  <c r="P577" i="13" s="1"/>
  <c r="T606" i="9"/>
  <c r="P596" i="13" s="1"/>
  <c r="T556" i="9"/>
  <c r="P546" i="13" s="1"/>
  <c r="T558" i="9"/>
  <c r="P548" i="13" s="1"/>
  <c r="T561" i="9"/>
  <c r="P551" i="13" s="1"/>
  <c r="T572" i="9"/>
  <c r="P562" i="13" s="1"/>
  <c r="T574" i="9"/>
  <c r="P564" i="13" s="1"/>
  <c r="T579" i="9"/>
  <c r="P569" i="13" s="1"/>
  <c r="T593" i="9"/>
  <c r="P583" i="13" s="1"/>
  <c r="T600" i="9"/>
  <c r="P590" i="13" s="1"/>
  <c r="T603" i="9"/>
  <c r="P593" i="13" s="1"/>
  <c r="T608" i="9"/>
  <c r="P598" i="13" s="1"/>
  <c r="T611" i="9"/>
  <c r="P601" i="13" s="1"/>
  <c r="T614" i="9"/>
  <c r="P604" i="13" s="1"/>
  <c r="T554" i="9"/>
  <c r="P544" i="13" s="1"/>
  <c r="T563" i="9"/>
  <c r="P553" i="13" s="1"/>
  <c r="T583" i="9"/>
  <c r="P573" i="13" s="1"/>
  <c r="T586" i="9"/>
  <c r="P576" i="13" s="1"/>
  <c r="T589" i="9"/>
  <c r="P579" i="13" s="1"/>
  <c r="T596" i="9"/>
  <c r="P586" i="13" s="1"/>
  <c r="T552" i="9"/>
  <c r="P542" i="13" s="1"/>
  <c r="T559" i="9"/>
  <c r="P549" i="13" s="1"/>
  <c r="T568" i="9"/>
  <c r="P558" i="13" s="1"/>
  <c r="T578" i="9"/>
  <c r="P568" i="13" s="1"/>
  <c r="T592" i="9"/>
  <c r="P582" i="13" s="1"/>
  <c r="T599" i="9"/>
  <c r="P589" i="13" s="1"/>
  <c r="T602" i="9"/>
  <c r="P592" i="13" s="1"/>
  <c r="T605" i="9"/>
  <c r="P595" i="13" s="1"/>
  <c r="T610" i="9"/>
  <c r="P600" i="13" s="1"/>
  <c r="T613" i="9"/>
  <c r="P603" i="13" s="1"/>
  <c r="W26" i="9"/>
  <c r="S16" i="13" s="1"/>
  <c r="W28" i="9"/>
  <c r="S18" i="13" s="1"/>
  <c r="W30" i="9"/>
  <c r="S20" i="13" s="1"/>
  <c r="W32" i="9"/>
  <c r="S22" i="13" s="1"/>
  <c r="W34" i="9"/>
  <c r="S24" i="13" s="1"/>
  <c r="W48" i="9"/>
  <c r="S38" i="13" s="1"/>
  <c r="W59" i="9"/>
  <c r="S49" i="13" s="1"/>
  <c r="W61" i="9"/>
  <c r="S51" i="13" s="1"/>
  <c r="W72" i="9"/>
  <c r="S62" i="13" s="1"/>
  <c r="W74" i="9"/>
  <c r="S64" i="13" s="1"/>
  <c r="W76" i="9"/>
  <c r="S66" i="13" s="1"/>
  <c r="W91" i="9"/>
  <c r="S81" i="13" s="1"/>
  <c r="W36" i="9"/>
  <c r="S26" i="13" s="1"/>
  <c r="W43" i="9"/>
  <c r="S33" i="13" s="1"/>
  <c r="W50" i="9"/>
  <c r="S40" i="13" s="1"/>
  <c r="W63" i="9"/>
  <c r="S53" i="13" s="1"/>
  <c r="W65" i="9"/>
  <c r="S55" i="13" s="1"/>
  <c r="W78" i="9"/>
  <c r="S68" i="13" s="1"/>
  <c r="W95" i="9"/>
  <c r="S85" i="13" s="1"/>
  <c r="W97" i="9"/>
  <c r="S87" i="13" s="1"/>
  <c r="W99" i="9"/>
  <c r="S89" i="13" s="1"/>
  <c r="W19" i="9"/>
  <c r="S9" i="13" s="1"/>
  <c r="W21" i="9"/>
  <c r="S11" i="13" s="1"/>
  <c r="W38" i="9"/>
  <c r="S28" i="13" s="1"/>
  <c r="W40" i="9"/>
  <c r="S30" i="13" s="1"/>
  <c r="W45" i="9"/>
  <c r="S35" i="13" s="1"/>
  <c r="W52" i="9"/>
  <c r="S42" i="13" s="1"/>
  <c r="W54" i="9"/>
  <c r="S44" i="13" s="1"/>
  <c r="W67" i="9"/>
  <c r="S57" i="13" s="1"/>
  <c r="W69" i="9"/>
  <c r="S59" i="13" s="1"/>
  <c r="W80" i="9"/>
  <c r="S70" i="13" s="1"/>
  <c r="W82" i="9"/>
  <c r="S72" i="13" s="1"/>
  <c r="W101" i="9"/>
  <c r="S91" i="13" s="1"/>
  <c r="W23" i="9"/>
  <c r="S13" i="13" s="1"/>
  <c r="W25" i="9"/>
  <c r="S15" i="13" s="1"/>
  <c r="W42" i="9"/>
  <c r="S32" i="13" s="1"/>
  <c r="W56" i="9"/>
  <c r="S46" i="13" s="1"/>
  <c r="W71" i="9"/>
  <c r="S61" i="13" s="1"/>
  <c r="W84" i="9"/>
  <c r="S74" i="13" s="1"/>
  <c r="W86" i="9"/>
  <c r="S76" i="13" s="1"/>
  <c r="W88" i="9"/>
  <c r="S78" i="13" s="1"/>
  <c r="W103" i="9"/>
  <c r="S93" i="13" s="1"/>
  <c r="W27" i="9"/>
  <c r="S17" i="13" s="1"/>
  <c r="W29" i="9"/>
  <c r="S19" i="13" s="1"/>
  <c r="W31" i="9"/>
  <c r="S21" i="13" s="1"/>
  <c r="W33" i="9"/>
  <c r="S23" i="13" s="1"/>
  <c r="W47" i="9"/>
  <c r="S37" i="13" s="1"/>
  <c r="W49" i="9"/>
  <c r="S39" i="13" s="1"/>
  <c r="W58" i="9"/>
  <c r="S48" i="13" s="1"/>
  <c r="W60" i="9"/>
  <c r="S50" i="13" s="1"/>
  <c r="W35" i="9"/>
  <c r="S25" i="13" s="1"/>
  <c r="W44" i="9"/>
  <c r="S34" i="13" s="1"/>
  <c r="W62" i="9"/>
  <c r="S52" i="13" s="1"/>
  <c r="W64" i="9"/>
  <c r="S54" i="13" s="1"/>
  <c r="W66" i="9"/>
  <c r="S56" i="13" s="1"/>
  <c r="W79" i="9"/>
  <c r="S69" i="13" s="1"/>
  <c r="W94" i="9"/>
  <c r="S84" i="13" s="1"/>
  <c r="W96" i="9"/>
  <c r="S86" i="13" s="1"/>
  <c r="W18" i="9"/>
  <c r="S8" i="13" s="1"/>
  <c r="W20" i="9"/>
  <c r="S10" i="13" s="1"/>
  <c r="W22" i="9"/>
  <c r="S12" i="13" s="1"/>
  <c r="W37" i="9"/>
  <c r="S27" i="13" s="1"/>
  <c r="W39" i="9"/>
  <c r="S29" i="13" s="1"/>
  <c r="W41" i="9"/>
  <c r="S31" i="13" s="1"/>
  <c r="W51" i="9"/>
  <c r="S41" i="13" s="1"/>
  <c r="W53" i="9"/>
  <c r="S43" i="13" s="1"/>
  <c r="W55" i="9"/>
  <c r="S45" i="13" s="1"/>
  <c r="W68" i="9"/>
  <c r="S58" i="13" s="1"/>
  <c r="W81" i="9"/>
  <c r="S71" i="13" s="1"/>
  <c r="W24" i="9"/>
  <c r="S14" i="13" s="1"/>
  <c r="W73" i="9"/>
  <c r="S63" i="13" s="1"/>
  <c r="W90" i="9"/>
  <c r="S80" i="13" s="1"/>
  <c r="W98" i="9"/>
  <c r="S88" i="13" s="1"/>
  <c r="W107" i="9"/>
  <c r="S97" i="13" s="1"/>
  <c r="W118" i="9"/>
  <c r="S108" i="13" s="1"/>
  <c r="W120" i="9"/>
  <c r="S110" i="13" s="1"/>
  <c r="W122" i="9"/>
  <c r="S112" i="13" s="1"/>
  <c r="W124" i="9"/>
  <c r="S114" i="13" s="1"/>
  <c r="W133" i="9"/>
  <c r="S123" i="13" s="1"/>
  <c r="W135" i="9"/>
  <c r="S125" i="13" s="1"/>
  <c r="W148" i="9"/>
  <c r="S138" i="13" s="1"/>
  <c r="W75" i="9"/>
  <c r="S65" i="13" s="1"/>
  <c r="W92" i="9"/>
  <c r="S82" i="13" s="1"/>
  <c r="W105" i="9"/>
  <c r="S95" i="13" s="1"/>
  <c r="W109" i="9"/>
  <c r="S99" i="13" s="1"/>
  <c r="W111" i="9"/>
  <c r="S101" i="13" s="1"/>
  <c r="W113" i="9"/>
  <c r="S103" i="13" s="1"/>
  <c r="W115" i="9"/>
  <c r="S105" i="13" s="1"/>
  <c r="W126" i="9"/>
  <c r="S116" i="13" s="1"/>
  <c r="W128" i="9"/>
  <c r="S118" i="13" s="1"/>
  <c r="W137" i="9"/>
  <c r="S127" i="13" s="1"/>
  <c r="W57" i="9"/>
  <c r="S47" i="13" s="1"/>
  <c r="W77" i="9"/>
  <c r="S67" i="13" s="1"/>
  <c r="W102" i="9"/>
  <c r="S92" i="13" s="1"/>
  <c r="W130" i="9"/>
  <c r="S120" i="13" s="1"/>
  <c r="W139" i="9"/>
  <c r="S129" i="13" s="1"/>
  <c r="W93" i="9"/>
  <c r="S83" i="13" s="1"/>
  <c r="W117" i="9"/>
  <c r="S107" i="13" s="1"/>
  <c r="W132" i="9"/>
  <c r="S122" i="13" s="1"/>
  <c r="W147" i="9"/>
  <c r="S137" i="13" s="1"/>
  <c r="W158" i="9"/>
  <c r="S148" i="13" s="1"/>
  <c r="W83" i="9"/>
  <c r="S73" i="13" s="1"/>
  <c r="W119" i="9"/>
  <c r="S109" i="13" s="1"/>
  <c r="W121" i="9"/>
  <c r="S111" i="13" s="1"/>
  <c r="W123" i="9"/>
  <c r="S113" i="13" s="1"/>
  <c r="W46" i="9"/>
  <c r="S36" i="13" s="1"/>
  <c r="W85" i="9"/>
  <c r="S75" i="13" s="1"/>
  <c r="W100" i="9"/>
  <c r="S90" i="13" s="1"/>
  <c r="W106" i="9"/>
  <c r="S96" i="13" s="1"/>
  <c r="W108" i="9"/>
  <c r="S98" i="13" s="1"/>
  <c r="W110" i="9"/>
  <c r="S100" i="13" s="1"/>
  <c r="W112" i="9"/>
  <c r="S102" i="13" s="1"/>
  <c r="W114" i="9"/>
  <c r="S104" i="13" s="1"/>
  <c r="W125" i="9"/>
  <c r="S115" i="13" s="1"/>
  <c r="W127" i="9"/>
  <c r="S117" i="13" s="1"/>
  <c r="W87" i="9"/>
  <c r="S77" i="13" s="1"/>
  <c r="W104" i="9"/>
  <c r="S94" i="13" s="1"/>
  <c r="W116" i="9"/>
  <c r="S106" i="13" s="1"/>
  <c r="W129" i="9"/>
  <c r="S119" i="13" s="1"/>
  <c r="W131" i="9"/>
  <c r="S121" i="13" s="1"/>
  <c r="W140" i="9"/>
  <c r="S130" i="13" s="1"/>
  <c r="W142" i="9"/>
  <c r="S132" i="13" s="1"/>
  <c r="W144" i="9"/>
  <c r="S134" i="13" s="1"/>
  <c r="W151" i="9"/>
  <c r="S141" i="13" s="1"/>
  <c r="W153" i="9"/>
  <c r="S143" i="13" s="1"/>
  <c r="W155" i="9"/>
  <c r="S145" i="13" s="1"/>
  <c r="W157" i="9"/>
  <c r="S147" i="13" s="1"/>
  <c r="W70" i="9"/>
  <c r="S60" i="13" s="1"/>
  <c r="W89" i="9"/>
  <c r="S79" i="13" s="1"/>
  <c r="W146" i="9"/>
  <c r="S136" i="13" s="1"/>
  <c r="W159" i="9"/>
  <c r="S149" i="13" s="1"/>
  <c r="W161" i="9"/>
  <c r="S151" i="13" s="1"/>
  <c r="W172" i="9"/>
  <c r="S162" i="13" s="1"/>
  <c r="W174" i="9"/>
  <c r="S164" i="13" s="1"/>
  <c r="W134" i="9"/>
  <c r="S124" i="13" s="1"/>
  <c r="W165" i="9"/>
  <c r="S155" i="13" s="1"/>
  <c r="W167" i="9"/>
  <c r="S157" i="13" s="1"/>
  <c r="W169" i="9"/>
  <c r="S159" i="13" s="1"/>
  <c r="W176" i="9"/>
  <c r="S166" i="13" s="1"/>
  <c r="W178" i="9"/>
  <c r="S168" i="13" s="1"/>
  <c r="W186" i="9"/>
  <c r="S176" i="13" s="1"/>
  <c r="W188" i="9"/>
  <c r="S178" i="13" s="1"/>
  <c r="W190" i="9"/>
  <c r="S180" i="13" s="1"/>
  <c r="W192" i="9"/>
  <c r="S182" i="13" s="1"/>
  <c r="W136" i="9"/>
  <c r="S126" i="13" s="1"/>
  <c r="W143" i="9"/>
  <c r="S133" i="13" s="1"/>
  <c r="W152" i="9"/>
  <c r="S142" i="13" s="1"/>
  <c r="W156" i="9"/>
  <c r="S146" i="13" s="1"/>
  <c r="W160" i="9"/>
  <c r="S150" i="13" s="1"/>
  <c r="W163" i="9"/>
  <c r="S153" i="13" s="1"/>
  <c r="W194" i="9"/>
  <c r="S184" i="13" s="1"/>
  <c r="W183" i="9"/>
  <c r="S173" i="13" s="1"/>
  <c r="W185" i="9"/>
  <c r="S175" i="13" s="1"/>
  <c r="W196" i="9"/>
  <c r="S186" i="13" s="1"/>
  <c r="W198" i="9"/>
  <c r="S188" i="13" s="1"/>
  <c r="W217" i="9"/>
  <c r="S207" i="13" s="1"/>
  <c r="W138" i="9"/>
  <c r="S128" i="13" s="1"/>
  <c r="W149" i="9"/>
  <c r="S139" i="13" s="1"/>
  <c r="W181" i="9"/>
  <c r="S171" i="13" s="1"/>
  <c r="W200" i="9"/>
  <c r="S190" i="13" s="1"/>
  <c r="W145" i="9"/>
  <c r="S135" i="13" s="1"/>
  <c r="W168" i="9"/>
  <c r="S158" i="13" s="1"/>
  <c r="W170" i="9"/>
  <c r="S160" i="13" s="1"/>
  <c r="W141" i="9"/>
  <c r="S131" i="13" s="1"/>
  <c r="W173" i="9"/>
  <c r="S163" i="13" s="1"/>
  <c r="W182" i="9"/>
  <c r="S172" i="13" s="1"/>
  <c r="W184" i="9"/>
  <c r="S174" i="13" s="1"/>
  <c r="W197" i="9"/>
  <c r="S187" i="13" s="1"/>
  <c r="W199" i="9"/>
  <c r="S189" i="13" s="1"/>
  <c r="W227" i="9"/>
  <c r="S217" i="13" s="1"/>
  <c r="W238" i="9"/>
  <c r="S228" i="13" s="1"/>
  <c r="W240" i="9"/>
  <c r="S230" i="13" s="1"/>
  <c r="W162" i="9"/>
  <c r="S152" i="13" s="1"/>
  <c r="W171" i="9"/>
  <c r="S161" i="13" s="1"/>
  <c r="W180" i="9"/>
  <c r="S170" i="13" s="1"/>
  <c r="W201" i="9"/>
  <c r="S191" i="13" s="1"/>
  <c r="W203" i="9"/>
  <c r="S193" i="13" s="1"/>
  <c r="W205" i="9"/>
  <c r="S195" i="13" s="1"/>
  <c r="W207" i="9"/>
  <c r="S197" i="13" s="1"/>
  <c r="W218" i="9"/>
  <c r="S208" i="13" s="1"/>
  <c r="W229" i="9"/>
  <c r="S219" i="13" s="1"/>
  <c r="W193" i="9"/>
  <c r="S183" i="13" s="1"/>
  <c r="W202" i="9"/>
  <c r="S192" i="13" s="1"/>
  <c r="W225" i="9"/>
  <c r="S215" i="13" s="1"/>
  <c r="W228" i="9"/>
  <c r="S218" i="13" s="1"/>
  <c r="W235" i="9"/>
  <c r="S225" i="13" s="1"/>
  <c r="W245" i="9"/>
  <c r="S235" i="13" s="1"/>
  <c r="W247" i="9"/>
  <c r="S237" i="13" s="1"/>
  <c r="W262" i="9"/>
  <c r="S252" i="13" s="1"/>
  <c r="W264" i="9"/>
  <c r="S254" i="13" s="1"/>
  <c r="W266" i="9"/>
  <c r="S256" i="13" s="1"/>
  <c r="W210" i="9"/>
  <c r="S200" i="13" s="1"/>
  <c r="W213" i="9"/>
  <c r="S203" i="13" s="1"/>
  <c r="W216" i="9"/>
  <c r="S206" i="13" s="1"/>
  <c r="W233" i="9"/>
  <c r="S223" i="13" s="1"/>
  <c r="W237" i="9"/>
  <c r="S227" i="13" s="1"/>
  <c r="W249" i="9"/>
  <c r="S239" i="13" s="1"/>
  <c r="W251" i="9"/>
  <c r="S241" i="13" s="1"/>
  <c r="W253" i="9"/>
  <c r="S243" i="13" s="1"/>
  <c r="W255" i="9"/>
  <c r="S245" i="13" s="1"/>
  <c r="W281" i="9"/>
  <c r="S271" i="13" s="1"/>
  <c r="W286" i="9"/>
  <c r="S276" i="13" s="1"/>
  <c r="W288" i="9"/>
  <c r="S278" i="13" s="1"/>
  <c r="W295" i="9"/>
  <c r="S285" i="13" s="1"/>
  <c r="W220" i="9"/>
  <c r="S210" i="13" s="1"/>
  <c r="W226" i="9"/>
  <c r="S216" i="13" s="1"/>
  <c r="W231" i="9"/>
  <c r="S221" i="13" s="1"/>
  <c r="W257" i="9"/>
  <c r="S247" i="13" s="1"/>
  <c r="W259" i="9"/>
  <c r="S249" i="13" s="1"/>
  <c r="W261" i="9"/>
  <c r="S251" i="13" s="1"/>
  <c r="W268" i="9"/>
  <c r="S258" i="13" s="1"/>
  <c r="W270" i="9"/>
  <c r="S260" i="13" s="1"/>
  <c r="W272" i="9"/>
  <c r="S262" i="13" s="1"/>
  <c r="W274" i="9"/>
  <c r="S264" i="13" s="1"/>
  <c r="W299" i="9"/>
  <c r="S289" i="13" s="1"/>
  <c r="W175" i="9"/>
  <c r="S165" i="13" s="1"/>
  <c r="W177" i="9"/>
  <c r="S167" i="13" s="1"/>
  <c r="W195" i="9"/>
  <c r="S185" i="13" s="1"/>
  <c r="W204" i="9"/>
  <c r="S194" i="13" s="1"/>
  <c r="W223" i="9"/>
  <c r="S213" i="13" s="1"/>
  <c r="W242" i="9"/>
  <c r="S232" i="13" s="1"/>
  <c r="W244" i="9"/>
  <c r="S234" i="13" s="1"/>
  <c r="W276" i="9"/>
  <c r="S266" i="13" s="1"/>
  <c r="W278" i="9"/>
  <c r="S268" i="13" s="1"/>
  <c r="W283" i="9"/>
  <c r="S273" i="13" s="1"/>
  <c r="W290" i="9"/>
  <c r="S280" i="13" s="1"/>
  <c r="W292" i="9"/>
  <c r="S282" i="13" s="1"/>
  <c r="W154" i="9"/>
  <c r="S144" i="13" s="1"/>
  <c r="W179" i="9"/>
  <c r="S169" i="13" s="1"/>
  <c r="W208" i="9"/>
  <c r="S198" i="13" s="1"/>
  <c r="W211" i="9"/>
  <c r="S201" i="13" s="1"/>
  <c r="W214" i="9"/>
  <c r="S204" i="13" s="1"/>
  <c r="W246" i="9"/>
  <c r="S236" i="13" s="1"/>
  <c r="W263" i="9"/>
  <c r="S253" i="13" s="1"/>
  <c r="W265" i="9"/>
  <c r="S255" i="13" s="1"/>
  <c r="W187" i="9"/>
  <c r="S177" i="13" s="1"/>
  <c r="W221" i="9"/>
  <c r="S211" i="13" s="1"/>
  <c r="W224" i="9"/>
  <c r="S214" i="13" s="1"/>
  <c r="W234" i="9"/>
  <c r="S224" i="13" s="1"/>
  <c r="W236" i="9"/>
  <c r="S226" i="13" s="1"/>
  <c r="W241" i="9"/>
  <c r="S231" i="13" s="1"/>
  <c r="W248" i="9"/>
  <c r="S238" i="13" s="1"/>
  <c r="W250" i="9"/>
  <c r="S240" i="13" s="1"/>
  <c r="W252" i="9"/>
  <c r="S242" i="13" s="1"/>
  <c r="W254" i="9"/>
  <c r="S244" i="13" s="1"/>
  <c r="W267" i="9"/>
  <c r="S257" i="13" s="1"/>
  <c r="W287" i="9"/>
  <c r="S277" i="13" s="1"/>
  <c r="W150" i="9"/>
  <c r="S140" i="13" s="1"/>
  <c r="W189" i="9"/>
  <c r="S179" i="13" s="1"/>
  <c r="W209" i="9"/>
  <c r="S199" i="13" s="1"/>
  <c r="W215" i="9"/>
  <c r="S205" i="13" s="1"/>
  <c r="W164" i="9"/>
  <c r="S154" i="13" s="1"/>
  <c r="W166" i="9"/>
  <c r="S156" i="13" s="1"/>
  <c r="W191" i="9"/>
  <c r="S181" i="13" s="1"/>
  <c r="W206" i="9"/>
  <c r="S196" i="13" s="1"/>
  <c r="W212" i="9"/>
  <c r="S202" i="13" s="1"/>
  <c r="W219" i="9"/>
  <c r="S209" i="13" s="1"/>
  <c r="W222" i="9"/>
  <c r="S212" i="13" s="1"/>
  <c r="W230" i="9"/>
  <c r="S220" i="13" s="1"/>
  <c r="W239" i="9"/>
  <c r="S229" i="13" s="1"/>
  <c r="W243" i="9"/>
  <c r="S233" i="13" s="1"/>
  <c r="W275" i="9"/>
  <c r="S265" i="13" s="1"/>
  <c r="W277" i="9"/>
  <c r="S267" i="13" s="1"/>
  <c r="W279" i="9"/>
  <c r="S269" i="13" s="1"/>
  <c r="W284" i="9"/>
  <c r="S274" i="13" s="1"/>
  <c r="W291" i="9"/>
  <c r="S281" i="13" s="1"/>
  <c r="W300" i="9"/>
  <c r="S290" i="13" s="1"/>
  <c r="W256" i="9"/>
  <c r="S246" i="13" s="1"/>
  <c r="W258" i="9"/>
  <c r="S248" i="13" s="1"/>
  <c r="W260" i="9"/>
  <c r="S250" i="13" s="1"/>
  <c r="W285" i="9"/>
  <c r="S275" i="13" s="1"/>
  <c r="W301" i="9"/>
  <c r="S291" i="13" s="1"/>
  <c r="W306" i="9"/>
  <c r="S296" i="13" s="1"/>
  <c r="W324" i="9"/>
  <c r="S314" i="13" s="1"/>
  <c r="W326" i="9"/>
  <c r="S316" i="13" s="1"/>
  <c r="W328" i="9"/>
  <c r="S318" i="13" s="1"/>
  <c r="W339" i="9"/>
  <c r="S329" i="13" s="1"/>
  <c r="W348" i="9"/>
  <c r="S338" i="13" s="1"/>
  <c r="W350" i="9"/>
  <c r="S340" i="13" s="1"/>
  <c r="W359" i="9"/>
  <c r="S349" i="13" s="1"/>
  <c r="W361" i="9"/>
  <c r="S351" i="13" s="1"/>
  <c r="W363" i="9"/>
  <c r="S353" i="13" s="1"/>
  <c r="W365" i="9"/>
  <c r="S355" i="13" s="1"/>
  <c r="W367" i="9"/>
  <c r="S357" i="13" s="1"/>
  <c r="W232" i="9"/>
  <c r="S222" i="13" s="1"/>
  <c r="W296" i="9"/>
  <c r="S286" i="13" s="1"/>
  <c r="W313" i="9"/>
  <c r="S303" i="13" s="1"/>
  <c r="W315" i="9"/>
  <c r="S305" i="13" s="1"/>
  <c r="W317" i="9"/>
  <c r="S307" i="13" s="1"/>
  <c r="W330" i="9"/>
  <c r="S320" i="13" s="1"/>
  <c r="W332" i="9"/>
  <c r="S322" i="13" s="1"/>
  <c r="W352" i="9"/>
  <c r="S342" i="13" s="1"/>
  <c r="W354" i="9"/>
  <c r="S344" i="13" s="1"/>
  <c r="W304" i="9"/>
  <c r="S294" i="13" s="1"/>
  <c r="W311" i="9"/>
  <c r="S301" i="13" s="1"/>
  <c r="W319" i="9"/>
  <c r="S309" i="13" s="1"/>
  <c r="W334" i="9"/>
  <c r="S324" i="13" s="1"/>
  <c r="W341" i="9"/>
  <c r="S331" i="13" s="1"/>
  <c r="W356" i="9"/>
  <c r="S346" i="13" s="1"/>
  <c r="W369" i="9"/>
  <c r="S359" i="13" s="1"/>
  <c r="W380" i="9"/>
  <c r="S370" i="13" s="1"/>
  <c r="W293" i="9"/>
  <c r="S283" i="13" s="1"/>
  <c r="W309" i="9"/>
  <c r="S299" i="13" s="1"/>
  <c r="W321" i="9"/>
  <c r="S311" i="13" s="1"/>
  <c r="W323" i="9"/>
  <c r="S313" i="13" s="1"/>
  <c r="W336" i="9"/>
  <c r="S326" i="13" s="1"/>
  <c r="W343" i="9"/>
  <c r="S333" i="13" s="1"/>
  <c r="W345" i="9"/>
  <c r="S335" i="13" s="1"/>
  <c r="W347" i="9"/>
  <c r="S337" i="13" s="1"/>
  <c r="W358" i="9"/>
  <c r="S348" i="13" s="1"/>
  <c r="W371" i="9"/>
  <c r="S361" i="13" s="1"/>
  <c r="W373" i="9"/>
  <c r="S363" i="13" s="1"/>
  <c r="W280" i="9"/>
  <c r="S270" i="13" s="1"/>
  <c r="W294" i="9"/>
  <c r="S284" i="13" s="1"/>
  <c r="W297" i="9"/>
  <c r="S287" i="13" s="1"/>
  <c r="W302" i="9"/>
  <c r="S292" i="13" s="1"/>
  <c r="W307" i="9"/>
  <c r="S297" i="13" s="1"/>
  <c r="W325" i="9"/>
  <c r="S315" i="13" s="1"/>
  <c r="W327" i="9"/>
  <c r="S317" i="13" s="1"/>
  <c r="W329" i="9"/>
  <c r="S319" i="13" s="1"/>
  <c r="W338" i="9"/>
  <c r="S328" i="13" s="1"/>
  <c r="W349" i="9"/>
  <c r="S339" i="13" s="1"/>
  <c r="W360" i="9"/>
  <c r="S350" i="13" s="1"/>
  <c r="W289" i="9"/>
  <c r="S279" i="13" s="1"/>
  <c r="W305" i="9"/>
  <c r="S295" i="13" s="1"/>
  <c r="W312" i="9"/>
  <c r="S302" i="13" s="1"/>
  <c r="W314" i="9"/>
  <c r="S304" i="13" s="1"/>
  <c r="W316" i="9"/>
  <c r="S306" i="13" s="1"/>
  <c r="W318" i="9"/>
  <c r="S308" i="13" s="1"/>
  <c r="W331" i="9"/>
  <c r="S321" i="13" s="1"/>
  <c r="W340" i="9"/>
  <c r="S330" i="13" s="1"/>
  <c r="W351" i="9"/>
  <c r="S341" i="13" s="1"/>
  <c r="W353" i="9"/>
  <c r="S343" i="13" s="1"/>
  <c r="W355" i="9"/>
  <c r="S345" i="13" s="1"/>
  <c r="W368" i="9"/>
  <c r="S358" i="13" s="1"/>
  <c r="W269" i="9"/>
  <c r="S259" i="13" s="1"/>
  <c r="W271" i="9"/>
  <c r="S261" i="13" s="1"/>
  <c r="W273" i="9"/>
  <c r="S263" i="13" s="1"/>
  <c r="W282" i="9"/>
  <c r="S272" i="13" s="1"/>
  <c r="W310" i="9"/>
  <c r="S300" i="13" s="1"/>
  <c r="W320" i="9"/>
  <c r="S310" i="13" s="1"/>
  <c r="W333" i="9"/>
  <c r="S323" i="13" s="1"/>
  <c r="W335" i="9"/>
  <c r="S325" i="13" s="1"/>
  <c r="W342" i="9"/>
  <c r="S332" i="13" s="1"/>
  <c r="W381" i="9"/>
  <c r="S371" i="13" s="1"/>
  <c r="W394" i="9"/>
  <c r="S384" i="13" s="1"/>
  <c r="W403" i="9"/>
  <c r="S393" i="13" s="1"/>
  <c r="W405" i="9"/>
  <c r="S395" i="13" s="1"/>
  <c r="W407" i="9"/>
  <c r="S397" i="13" s="1"/>
  <c r="W298" i="9"/>
  <c r="S288" i="13" s="1"/>
  <c r="W303" i="9"/>
  <c r="S293" i="13" s="1"/>
  <c r="W308" i="9"/>
  <c r="S298" i="13" s="1"/>
  <c r="W322" i="9"/>
  <c r="S312" i="13" s="1"/>
  <c r="W337" i="9"/>
  <c r="S327" i="13" s="1"/>
  <c r="W344" i="9"/>
  <c r="S334" i="13" s="1"/>
  <c r="W346" i="9"/>
  <c r="S336" i="13" s="1"/>
  <c r="W357" i="9"/>
  <c r="S347" i="13" s="1"/>
  <c r="W370" i="9"/>
  <c r="S360" i="13" s="1"/>
  <c r="W372" i="9"/>
  <c r="S362" i="13" s="1"/>
  <c r="W374" i="9"/>
  <c r="S364" i="13" s="1"/>
  <c r="W409" i="9"/>
  <c r="S399" i="13" s="1"/>
  <c r="W416" i="9"/>
  <c r="S406" i="13" s="1"/>
  <c r="W393" i="9"/>
  <c r="S383" i="13" s="1"/>
  <c r="W398" i="9"/>
  <c r="S388" i="13" s="1"/>
  <c r="W406" i="9"/>
  <c r="S396" i="13" s="1"/>
  <c r="W426" i="9"/>
  <c r="S416" i="13" s="1"/>
  <c r="W438" i="9"/>
  <c r="S428" i="13" s="1"/>
  <c r="W456" i="9"/>
  <c r="S446" i="13" s="1"/>
  <c r="W465" i="9"/>
  <c r="S455" i="13" s="1"/>
  <c r="W377" i="9"/>
  <c r="S367" i="13" s="1"/>
  <c r="W383" i="9"/>
  <c r="S373" i="13" s="1"/>
  <c r="W388" i="9"/>
  <c r="S378" i="13" s="1"/>
  <c r="W414" i="9"/>
  <c r="S404" i="13" s="1"/>
  <c r="W419" i="9"/>
  <c r="S409" i="13" s="1"/>
  <c r="W424" i="9"/>
  <c r="S414" i="13" s="1"/>
  <c r="W445" i="9"/>
  <c r="S435" i="13" s="1"/>
  <c r="W458" i="9"/>
  <c r="S448" i="13" s="1"/>
  <c r="W460" i="9"/>
  <c r="S450" i="13" s="1"/>
  <c r="W467" i="9"/>
  <c r="S457" i="13" s="1"/>
  <c r="W362" i="9"/>
  <c r="S352" i="13" s="1"/>
  <c r="W364" i="9"/>
  <c r="S354" i="13" s="1"/>
  <c r="W366" i="9"/>
  <c r="S356" i="13" s="1"/>
  <c r="W391" i="9"/>
  <c r="S381" i="13" s="1"/>
  <c r="W396" i="9"/>
  <c r="S386" i="13" s="1"/>
  <c r="W412" i="9"/>
  <c r="S402" i="13" s="1"/>
  <c r="W417" i="9"/>
  <c r="S407" i="13" s="1"/>
  <c r="W422" i="9"/>
  <c r="S412" i="13" s="1"/>
  <c r="W440" i="9"/>
  <c r="S430" i="13" s="1"/>
  <c r="W447" i="9"/>
  <c r="S437" i="13" s="1"/>
  <c r="W462" i="9"/>
  <c r="S452" i="13" s="1"/>
  <c r="W378" i="9"/>
  <c r="S368" i="13" s="1"/>
  <c r="W386" i="9"/>
  <c r="S376" i="13" s="1"/>
  <c r="W389" i="9"/>
  <c r="S379" i="13" s="1"/>
  <c r="W401" i="9"/>
  <c r="S391" i="13" s="1"/>
  <c r="W404" i="9"/>
  <c r="S394" i="13" s="1"/>
  <c r="W420" i="9"/>
  <c r="S410" i="13" s="1"/>
  <c r="W429" i="9"/>
  <c r="S419" i="13" s="1"/>
  <c r="W431" i="9"/>
  <c r="S421" i="13" s="1"/>
  <c r="W433" i="9"/>
  <c r="S423" i="13" s="1"/>
  <c r="W435" i="9"/>
  <c r="S425" i="13" s="1"/>
  <c r="W442" i="9"/>
  <c r="S432" i="13" s="1"/>
  <c r="W375" i="9"/>
  <c r="S365" i="13" s="1"/>
  <c r="W399" i="9"/>
  <c r="S389" i="13" s="1"/>
  <c r="W410" i="9"/>
  <c r="S400" i="13" s="1"/>
  <c r="W413" i="9"/>
  <c r="S403" i="13" s="1"/>
  <c r="W415" i="9"/>
  <c r="S405" i="13" s="1"/>
  <c r="W427" i="9"/>
  <c r="S417" i="13" s="1"/>
  <c r="W437" i="9"/>
  <c r="S427" i="13" s="1"/>
  <c r="W444" i="9"/>
  <c r="S434" i="13" s="1"/>
  <c r="W457" i="9"/>
  <c r="S447" i="13" s="1"/>
  <c r="W464" i="9"/>
  <c r="S454" i="13" s="1"/>
  <c r="W466" i="9"/>
  <c r="S456" i="13" s="1"/>
  <c r="W382" i="9"/>
  <c r="S372" i="13" s="1"/>
  <c r="W376" i="9"/>
  <c r="S366" i="13" s="1"/>
  <c r="W392" i="9"/>
  <c r="S382" i="13" s="1"/>
  <c r="W397" i="9"/>
  <c r="S387" i="13" s="1"/>
  <c r="W411" i="9"/>
  <c r="S401" i="13" s="1"/>
  <c r="W423" i="9"/>
  <c r="S413" i="13" s="1"/>
  <c r="W430" i="9"/>
  <c r="S420" i="13" s="1"/>
  <c r="W446" i="9"/>
  <c r="S436" i="13" s="1"/>
  <c r="W448" i="9"/>
  <c r="S438" i="13" s="1"/>
  <c r="W463" i="9"/>
  <c r="S453" i="13" s="1"/>
  <c r="W472" i="9"/>
  <c r="S462" i="13" s="1"/>
  <c r="W474" i="9"/>
  <c r="S464" i="13" s="1"/>
  <c r="W483" i="9"/>
  <c r="S473" i="13" s="1"/>
  <c r="W485" i="9"/>
  <c r="S475" i="13" s="1"/>
  <c r="W494" i="9"/>
  <c r="S484" i="13" s="1"/>
  <c r="W379" i="9"/>
  <c r="S369" i="13" s="1"/>
  <c r="W385" i="9"/>
  <c r="S375" i="13" s="1"/>
  <c r="W390" i="9"/>
  <c r="S380" i="13" s="1"/>
  <c r="W395" i="9"/>
  <c r="S385" i="13" s="1"/>
  <c r="W400" i="9"/>
  <c r="S390" i="13" s="1"/>
  <c r="W421" i="9"/>
  <c r="S411" i="13" s="1"/>
  <c r="W428" i="9"/>
  <c r="S418" i="13" s="1"/>
  <c r="W432" i="9"/>
  <c r="S422" i="13" s="1"/>
  <c r="W434" i="9"/>
  <c r="S424" i="13" s="1"/>
  <c r="W436" i="9"/>
  <c r="S426" i="13" s="1"/>
  <c r="W441" i="9"/>
  <c r="S431" i="13" s="1"/>
  <c r="W443" i="9"/>
  <c r="S433" i="13" s="1"/>
  <c r="W450" i="9"/>
  <c r="S440" i="13" s="1"/>
  <c r="W452" i="9"/>
  <c r="S442" i="13" s="1"/>
  <c r="W454" i="9"/>
  <c r="S444" i="13" s="1"/>
  <c r="W476" i="9"/>
  <c r="S466" i="13" s="1"/>
  <c r="W408" i="9"/>
  <c r="S398" i="13" s="1"/>
  <c r="W425" i="9"/>
  <c r="S415" i="13" s="1"/>
  <c r="W451" i="9"/>
  <c r="S441" i="13" s="1"/>
  <c r="W514" i="9"/>
  <c r="S504" i="13" s="1"/>
  <c r="W516" i="9"/>
  <c r="S506" i="13" s="1"/>
  <c r="W530" i="9"/>
  <c r="S520" i="13" s="1"/>
  <c r="W453" i="9"/>
  <c r="S443" i="13" s="1"/>
  <c r="W468" i="9"/>
  <c r="S458" i="13" s="1"/>
  <c r="W492" i="9"/>
  <c r="S482" i="13" s="1"/>
  <c r="W496" i="9"/>
  <c r="S486" i="13" s="1"/>
  <c r="W498" i="9"/>
  <c r="S488" i="13" s="1"/>
  <c r="W503" i="9"/>
  <c r="S493" i="13" s="1"/>
  <c r="W505" i="9"/>
  <c r="S495" i="13" s="1"/>
  <c r="W507" i="9"/>
  <c r="S497" i="13" s="1"/>
  <c r="W509" i="9"/>
  <c r="S499" i="13" s="1"/>
  <c r="W518" i="9"/>
  <c r="S508" i="13" s="1"/>
  <c r="W527" i="9"/>
  <c r="S517" i="13" s="1"/>
  <c r="W538" i="9"/>
  <c r="S528" i="13" s="1"/>
  <c r="W539" i="9"/>
  <c r="S529" i="13" s="1"/>
  <c r="W541" i="9"/>
  <c r="S531" i="13" s="1"/>
  <c r="W549" i="9"/>
  <c r="S539" i="13" s="1"/>
  <c r="W439" i="9"/>
  <c r="S429" i="13" s="1"/>
  <c r="W455" i="9"/>
  <c r="S445" i="13" s="1"/>
  <c r="W469" i="9"/>
  <c r="S459" i="13" s="1"/>
  <c r="W473" i="9"/>
  <c r="S463" i="13" s="1"/>
  <c r="W479" i="9"/>
  <c r="S469" i="13" s="1"/>
  <c r="W481" i="9"/>
  <c r="S471" i="13" s="1"/>
  <c r="W490" i="9"/>
  <c r="S480" i="13" s="1"/>
  <c r="W521" i="9"/>
  <c r="S511" i="13" s="1"/>
  <c r="W524" i="9"/>
  <c r="S514" i="13" s="1"/>
  <c r="W532" i="9"/>
  <c r="S522" i="13" s="1"/>
  <c r="W535" i="9"/>
  <c r="S525" i="13" s="1"/>
  <c r="W387" i="9"/>
  <c r="S377" i="13" s="1"/>
  <c r="W402" i="9"/>
  <c r="S392" i="13" s="1"/>
  <c r="W418" i="9"/>
  <c r="S408" i="13" s="1"/>
  <c r="W477" i="9"/>
  <c r="S467" i="13" s="1"/>
  <c r="W486" i="9"/>
  <c r="S476" i="13" s="1"/>
  <c r="W488" i="9"/>
  <c r="S478" i="13" s="1"/>
  <c r="W500" i="9"/>
  <c r="S490" i="13" s="1"/>
  <c r="W502" i="9"/>
  <c r="S492" i="13" s="1"/>
  <c r="W511" i="9"/>
  <c r="S501" i="13" s="1"/>
  <c r="W559" i="9"/>
  <c r="S549" i="13" s="1"/>
  <c r="W384" i="9"/>
  <c r="S374" i="13" s="1"/>
  <c r="W484" i="9"/>
  <c r="S474" i="13" s="1"/>
  <c r="W495" i="9"/>
  <c r="S485" i="13" s="1"/>
  <c r="W513" i="9"/>
  <c r="S503" i="13" s="1"/>
  <c r="W515" i="9"/>
  <c r="S505" i="13" s="1"/>
  <c r="W517" i="9"/>
  <c r="S507" i="13" s="1"/>
  <c r="W520" i="9"/>
  <c r="S510" i="13" s="1"/>
  <c r="W523" i="9"/>
  <c r="S513" i="13" s="1"/>
  <c r="W529" i="9"/>
  <c r="S519" i="13" s="1"/>
  <c r="W534" i="9"/>
  <c r="S524" i="13" s="1"/>
  <c r="W543" i="9"/>
  <c r="S533" i="13" s="1"/>
  <c r="W545" i="9"/>
  <c r="S535" i="13" s="1"/>
  <c r="W459" i="9"/>
  <c r="S449" i="13" s="1"/>
  <c r="W470" i="9"/>
  <c r="S460" i="13" s="1"/>
  <c r="W482" i="9"/>
  <c r="S472" i="13" s="1"/>
  <c r="W491" i="9"/>
  <c r="S481" i="13" s="1"/>
  <c r="W493" i="9"/>
  <c r="S483" i="13" s="1"/>
  <c r="W497" i="9"/>
  <c r="S487" i="13" s="1"/>
  <c r="W504" i="9"/>
  <c r="S494" i="13" s="1"/>
  <c r="W506" i="9"/>
  <c r="S496" i="13" s="1"/>
  <c r="W508" i="9"/>
  <c r="S498" i="13" s="1"/>
  <c r="W526" i="9"/>
  <c r="S516" i="13" s="1"/>
  <c r="W531" i="9"/>
  <c r="S521" i="13" s="1"/>
  <c r="W537" i="9"/>
  <c r="S527" i="13" s="1"/>
  <c r="W461" i="9"/>
  <c r="S451" i="13" s="1"/>
  <c r="W471" i="9"/>
  <c r="S461" i="13" s="1"/>
  <c r="W478" i="9"/>
  <c r="S468" i="13" s="1"/>
  <c r="W480" i="9"/>
  <c r="S470" i="13" s="1"/>
  <c r="W489" i="9"/>
  <c r="S479" i="13" s="1"/>
  <c r="W499" i="9"/>
  <c r="S489" i="13" s="1"/>
  <c r="W510" i="9"/>
  <c r="S500" i="13" s="1"/>
  <c r="W519" i="9"/>
  <c r="S509" i="13" s="1"/>
  <c r="W522" i="9"/>
  <c r="S512" i="13" s="1"/>
  <c r="W449" i="9"/>
  <c r="S439" i="13" s="1"/>
  <c r="W475" i="9"/>
  <c r="S465" i="13" s="1"/>
  <c r="W487" i="9"/>
  <c r="S477" i="13" s="1"/>
  <c r="W501" i="9"/>
  <c r="S491" i="13" s="1"/>
  <c r="W512" i="9"/>
  <c r="S502" i="13" s="1"/>
  <c r="W525" i="9"/>
  <c r="S515" i="13" s="1"/>
  <c r="W528" i="9"/>
  <c r="S518" i="13" s="1"/>
  <c r="W533" i="9"/>
  <c r="S523" i="13" s="1"/>
  <c r="W536" i="9"/>
  <c r="S526" i="13" s="1"/>
  <c r="W552" i="9"/>
  <c r="S542" i="13" s="1"/>
  <c r="W555" i="9"/>
  <c r="S545" i="13" s="1"/>
  <c r="W558" i="9"/>
  <c r="S548" i="13" s="1"/>
  <c r="W560" i="9"/>
  <c r="S550" i="13" s="1"/>
  <c r="W568" i="9"/>
  <c r="S558" i="13" s="1"/>
  <c r="W571" i="9"/>
  <c r="S561" i="13" s="1"/>
  <c r="W554" i="9"/>
  <c r="S544" i="13" s="1"/>
  <c r="W583" i="9"/>
  <c r="S573" i="13" s="1"/>
  <c r="W586" i="9"/>
  <c r="S576" i="13" s="1"/>
  <c r="W589" i="9"/>
  <c r="S579" i="13" s="1"/>
  <c r="W596" i="9"/>
  <c r="S586" i="13" s="1"/>
  <c r="W557" i="9"/>
  <c r="S547" i="13" s="1"/>
  <c r="W576" i="9"/>
  <c r="S566" i="13" s="1"/>
  <c r="W578" i="9"/>
  <c r="S568" i="13" s="1"/>
  <c r="W592" i="9"/>
  <c r="S582" i="13" s="1"/>
  <c r="W599" i="9"/>
  <c r="S589" i="13" s="1"/>
  <c r="W602" i="9"/>
  <c r="S592" i="13" s="1"/>
  <c r="W544" i="9"/>
  <c r="S534" i="13" s="1"/>
  <c r="W547" i="9"/>
  <c r="S537" i="13" s="1"/>
  <c r="W550" i="9"/>
  <c r="S540" i="13" s="1"/>
  <c r="W564" i="9"/>
  <c r="S554" i="13" s="1"/>
  <c r="W566" i="9"/>
  <c r="S556" i="13" s="1"/>
  <c r="W580" i="9"/>
  <c r="S570" i="13" s="1"/>
  <c r="W585" i="9"/>
  <c r="S575" i="13" s="1"/>
  <c r="W595" i="9"/>
  <c r="S585" i="13" s="1"/>
  <c r="W607" i="9"/>
  <c r="S597" i="13" s="1"/>
  <c r="W616" i="9"/>
  <c r="S606" i="13" s="1"/>
  <c r="W540" i="9"/>
  <c r="S530" i="13" s="1"/>
  <c r="W562" i="9"/>
  <c r="S552" i="13" s="1"/>
  <c r="W569" i="9"/>
  <c r="S559" i="13" s="1"/>
  <c r="W573" i="9"/>
  <c r="S563" i="13" s="1"/>
  <c r="W582" i="9"/>
  <c r="S572" i="13" s="1"/>
  <c r="W588" i="9"/>
  <c r="S578" i="13" s="1"/>
  <c r="W591" i="9"/>
  <c r="S581" i="13" s="1"/>
  <c r="W598" i="9"/>
  <c r="S588" i="13" s="1"/>
  <c r="W553" i="9"/>
  <c r="S543" i="13" s="1"/>
  <c r="W575" i="9"/>
  <c r="S565" i="13" s="1"/>
  <c r="W584" i="9"/>
  <c r="S574" i="13" s="1"/>
  <c r="W601" i="9"/>
  <c r="S591" i="13" s="1"/>
  <c r="W609" i="9"/>
  <c r="S599" i="13" s="1"/>
  <c r="W612" i="9"/>
  <c r="S602" i="13" s="1"/>
  <c r="W615" i="9"/>
  <c r="S605" i="13" s="1"/>
  <c r="W546" i="9"/>
  <c r="S536" i="13" s="1"/>
  <c r="W548" i="9"/>
  <c r="S538" i="13" s="1"/>
  <c r="W551" i="9"/>
  <c r="S541" i="13" s="1"/>
  <c r="W565" i="9"/>
  <c r="S555" i="13" s="1"/>
  <c r="W567" i="9"/>
  <c r="S557" i="13" s="1"/>
  <c r="W577" i="9"/>
  <c r="S567" i="13" s="1"/>
  <c r="W590" i="9"/>
  <c r="S580" i="13" s="1"/>
  <c r="W594" i="9"/>
  <c r="S584" i="13" s="1"/>
  <c r="W597" i="9"/>
  <c r="S587" i="13" s="1"/>
  <c r="W604" i="9"/>
  <c r="S594" i="13" s="1"/>
  <c r="W542" i="9"/>
  <c r="S532" i="13" s="1"/>
  <c r="W556" i="9"/>
  <c r="S546" i="13" s="1"/>
  <c r="W561" i="9"/>
  <c r="S551" i="13" s="1"/>
  <c r="W579" i="9"/>
  <c r="S569" i="13" s="1"/>
  <c r="W581" i="9"/>
  <c r="S571" i="13" s="1"/>
  <c r="W587" i="9"/>
  <c r="S577" i="13" s="1"/>
  <c r="W606" i="9"/>
  <c r="S596" i="13" s="1"/>
  <c r="W563" i="9"/>
  <c r="S553" i="13" s="1"/>
  <c r="W570" i="9"/>
  <c r="S560" i="13" s="1"/>
  <c r="W572" i="9"/>
  <c r="S562" i="13" s="1"/>
  <c r="W574" i="9"/>
  <c r="S564" i="13" s="1"/>
  <c r="W593" i="9"/>
  <c r="S583" i="13" s="1"/>
  <c r="W600" i="9"/>
  <c r="S590" i="13" s="1"/>
  <c r="W603" i="9"/>
  <c r="S593" i="13" s="1"/>
  <c r="W608" i="9"/>
  <c r="S598" i="13" s="1"/>
  <c r="W611" i="9"/>
  <c r="S601" i="13" s="1"/>
  <c r="W614" i="9"/>
  <c r="S604" i="13" s="1"/>
  <c r="W605" i="9"/>
  <c r="S595" i="13" s="1"/>
  <c r="W610" i="9"/>
  <c r="S600" i="13" s="1"/>
  <c r="W613" i="9"/>
  <c r="S603" i="13" s="1"/>
  <c r="U19" i="9"/>
  <c r="U23" i="9"/>
  <c r="U30" i="9"/>
  <c r="U37" i="9"/>
  <c r="U47" i="9"/>
  <c r="U55" i="9"/>
  <c r="U61" i="9"/>
  <c r="U64" i="9"/>
  <c r="U88" i="9"/>
  <c r="U101" i="9"/>
  <c r="U105" i="9"/>
  <c r="U108" i="9"/>
  <c r="U115" i="9"/>
  <c r="U116" i="9"/>
  <c r="U120" i="9"/>
  <c r="U123" i="9"/>
  <c r="U128" i="9"/>
  <c r="U157" i="9"/>
  <c r="U165" i="9"/>
  <c r="U168" i="9"/>
  <c r="U172" i="9"/>
  <c r="U180" i="9"/>
  <c r="U191" i="9"/>
  <c r="U195" i="9"/>
  <c r="U204" i="9"/>
  <c r="U212" i="9"/>
  <c r="U221" i="9"/>
  <c r="U235" i="9"/>
  <c r="U243" i="9"/>
  <c r="U247" i="9"/>
  <c r="U268" i="9"/>
  <c r="U271" i="9"/>
  <c r="U278" i="9"/>
  <c r="U284" i="9"/>
  <c r="U302" i="9"/>
  <c r="U307" i="9"/>
  <c r="U315" i="9"/>
  <c r="U326" i="9"/>
  <c r="U337" i="9"/>
  <c r="U338" i="9"/>
  <c r="U346" i="9"/>
  <c r="U356" i="9"/>
  <c r="U362" i="9"/>
  <c r="U370" i="9"/>
  <c r="U385" i="9"/>
  <c r="U403" i="9"/>
  <c r="U418" i="9"/>
  <c r="U421" i="9"/>
  <c r="U428" i="9"/>
  <c r="U431" i="9"/>
  <c r="U435" i="9"/>
  <c r="U438" i="9"/>
  <c r="U461" i="9"/>
  <c r="U471" i="9"/>
  <c r="U474" i="9"/>
  <c r="U482" i="9"/>
  <c r="U489" i="9"/>
  <c r="U493" i="9"/>
  <c r="U497" i="9"/>
  <c r="U514" i="9"/>
  <c r="U519" i="9"/>
  <c r="U524" i="9"/>
  <c r="U525" i="9"/>
  <c r="U529" i="9"/>
  <c r="U530" i="9"/>
  <c r="U535" i="9"/>
  <c r="U542" i="9"/>
  <c r="U566" i="9"/>
  <c r="U573" i="9"/>
  <c r="U581" i="9"/>
  <c r="U587" i="9"/>
  <c r="U588" i="9"/>
  <c r="U595" i="9"/>
  <c r="U596" i="9"/>
  <c r="U22" i="9"/>
  <c r="U36" i="9"/>
  <c r="U40" i="9"/>
  <c r="U46" i="9"/>
  <c r="U51" i="9"/>
  <c r="U54" i="9"/>
  <c r="U58" i="9"/>
  <c r="U68" i="9"/>
  <c r="U71" i="9"/>
  <c r="U77" i="9"/>
  <c r="U84" i="9"/>
  <c r="U92" i="9"/>
  <c r="U96" i="9"/>
  <c r="U100" i="9"/>
  <c r="U112" i="9"/>
  <c r="U131" i="9"/>
  <c r="U135" i="9"/>
  <c r="U141" i="9"/>
  <c r="U144" i="9"/>
  <c r="U171" i="9"/>
  <c r="U175" i="9"/>
  <c r="U179" i="9"/>
  <c r="U188" i="9"/>
  <c r="U199" i="9"/>
  <c r="U220" i="9"/>
  <c r="U224" i="9"/>
  <c r="U242" i="9"/>
  <c r="U250" i="9"/>
  <c r="U257" i="9"/>
  <c r="U260" i="9"/>
  <c r="U274" i="9"/>
  <c r="U277" i="9"/>
  <c r="U287" i="9"/>
  <c r="U297" i="9"/>
  <c r="U306" i="9"/>
  <c r="U321" i="9"/>
  <c r="U327" i="9"/>
  <c r="U336" i="9"/>
  <c r="U342" i="9"/>
  <c r="U359" i="9"/>
  <c r="U369" i="9"/>
  <c r="U374" i="9"/>
  <c r="U377" i="9"/>
  <c r="U388" i="9"/>
  <c r="U396" i="9"/>
  <c r="U399" i="9"/>
  <c r="U402" i="9"/>
  <c r="U407" i="9"/>
  <c r="U411" i="9"/>
  <c r="U417" i="9"/>
  <c r="U425" i="9"/>
  <c r="U446" i="9"/>
  <c r="U451" i="9"/>
  <c r="U454" i="9"/>
  <c r="U457" i="9"/>
  <c r="U465" i="9"/>
  <c r="U477" i="9"/>
  <c r="U481" i="9"/>
  <c r="U485" i="9"/>
  <c r="U492" i="9"/>
  <c r="U505" i="9"/>
  <c r="U508" i="9"/>
  <c r="U550" i="9"/>
  <c r="U567" i="9"/>
  <c r="U574" i="9"/>
  <c r="U582" i="9"/>
  <c r="U589" i="9"/>
  <c r="U597" i="9"/>
  <c r="U603" i="9"/>
  <c r="U604" i="9"/>
  <c r="U611" i="9"/>
  <c r="U612" i="9"/>
  <c r="U26" i="9"/>
  <c r="U29" i="9"/>
  <c r="U67" i="9"/>
  <c r="U74" i="9"/>
  <c r="U80" i="9"/>
  <c r="U87" i="9"/>
  <c r="U104" i="9"/>
  <c r="U107" i="9"/>
  <c r="U122" i="9"/>
  <c r="U127" i="9"/>
  <c r="U140" i="9"/>
  <c r="U148" i="9"/>
  <c r="U152" i="9"/>
  <c r="U156" i="9"/>
  <c r="U160" i="9"/>
  <c r="U174" i="9"/>
  <c r="U183" i="9"/>
  <c r="U187" i="9"/>
  <c r="U194" i="9"/>
  <c r="U203" i="9"/>
  <c r="U208" i="9"/>
  <c r="U215" i="9"/>
  <c r="U228" i="9"/>
  <c r="U231" i="9"/>
  <c r="U234" i="9"/>
  <c r="U238" i="9"/>
  <c r="U241" i="9"/>
  <c r="U246" i="9"/>
  <c r="U253" i="9"/>
  <c r="U267" i="9"/>
  <c r="U291" i="9"/>
  <c r="U301" i="9"/>
  <c r="U305" i="9"/>
  <c r="U310" i="9"/>
  <c r="U317" i="9"/>
  <c r="U325" i="9"/>
  <c r="U330" i="9"/>
  <c r="U334" i="9"/>
  <c r="U335" i="9"/>
  <c r="U345" i="9"/>
  <c r="U349" i="9"/>
  <c r="U352" i="9"/>
  <c r="U355" i="9"/>
  <c r="U364" i="9"/>
  <c r="U368" i="9"/>
  <c r="U380" i="9"/>
  <c r="U391" i="9"/>
  <c r="U395" i="9"/>
  <c r="U406" i="9"/>
  <c r="U420" i="9"/>
  <c r="U430" i="9"/>
  <c r="U441" i="9"/>
  <c r="U445" i="9"/>
  <c r="U496" i="9"/>
  <c r="U500" i="9"/>
  <c r="U513" i="9"/>
  <c r="U520" i="9"/>
  <c r="U526" i="9"/>
  <c r="U536" i="9"/>
  <c r="U543" i="9"/>
  <c r="U551" i="9"/>
  <c r="U568" i="9"/>
  <c r="U575" i="9"/>
  <c r="U583" i="9"/>
  <c r="U590" i="9"/>
  <c r="U598" i="9"/>
  <c r="U605" i="9"/>
  <c r="U613" i="9"/>
  <c r="U18" i="9"/>
  <c r="U21" i="9"/>
  <c r="U35" i="9"/>
  <c r="U44" i="9"/>
  <c r="U45" i="9"/>
  <c r="U50" i="9"/>
  <c r="U53" i="9"/>
  <c r="U57" i="9"/>
  <c r="U60" i="9"/>
  <c r="U63" i="9"/>
  <c r="U66" i="9"/>
  <c r="U83" i="9"/>
  <c r="U91" i="9"/>
  <c r="U98" i="9"/>
  <c r="U99" i="9"/>
  <c r="U111" i="9"/>
  <c r="U114" i="9"/>
  <c r="U119" i="9"/>
  <c r="U130" i="9"/>
  <c r="U134" i="9"/>
  <c r="U139" i="9"/>
  <c r="U155" i="9"/>
  <c r="U164" i="9"/>
  <c r="U167" i="9"/>
  <c r="U178" i="9"/>
  <c r="U182" i="9"/>
  <c r="U190" i="9"/>
  <c r="U193" i="9"/>
  <c r="U211" i="9"/>
  <c r="U219" i="9"/>
  <c r="U227" i="9"/>
  <c r="U259" i="9"/>
  <c r="U270" i="9"/>
  <c r="U283" i="9"/>
  <c r="U290" i="9"/>
  <c r="U296" i="9"/>
  <c r="U300" i="9"/>
  <c r="U314" i="9"/>
  <c r="U320" i="9"/>
  <c r="U324" i="9"/>
  <c r="U358" i="9"/>
  <c r="U361" i="9"/>
  <c r="U367" i="9"/>
  <c r="U384" i="9"/>
  <c r="U390" i="9"/>
  <c r="U394" i="9"/>
  <c r="U416" i="9"/>
  <c r="U424" i="9"/>
  <c r="U427" i="9"/>
  <c r="U434" i="9"/>
  <c r="U437" i="9"/>
  <c r="U444" i="9"/>
  <c r="U450" i="9"/>
  <c r="U460" i="9"/>
  <c r="U470" i="9"/>
  <c r="U473" i="9"/>
  <c r="U488" i="9"/>
  <c r="U491" i="9"/>
  <c r="U504" i="9"/>
  <c r="U512" i="9"/>
  <c r="U531" i="9"/>
  <c r="U537" i="9"/>
  <c r="U538" i="9"/>
  <c r="U544" i="9"/>
  <c r="U545" i="9"/>
  <c r="U546" i="9"/>
  <c r="U552" i="9"/>
  <c r="U576" i="9"/>
  <c r="U584" i="9"/>
  <c r="U591" i="9"/>
  <c r="U599" i="9"/>
  <c r="U606" i="9"/>
  <c r="U614" i="9"/>
  <c r="U25" i="9"/>
  <c r="U34" i="9"/>
  <c r="U39" i="9"/>
  <c r="U70" i="9"/>
  <c r="U76" i="9"/>
  <c r="U79" i="9"/>
  <c r="U82" i="9"/>
  <c r="U86" i="9"/>
  <c r="U90" i="9"/>
  <c r="U95" i="9"/>
  <c r="U103" i="9"/>
  <c r="U126" i="9"/>
  <c r="U138" i="9"/>
  <c r="U143" i="9"/>
  <c r="U147" i="9"/>
  <c r="U151" i="9"/>
  <c r="U163" i="9"/>
  <c r="U170" i="9"/>
  <c r="U177" i="9"/>
  <c r="U185" i="9"/>
  <c r="U186" i="9"/>
  <c r="U198" i="9"/>
  <c r="U207" i="9"/>
  <c r="U210" i="9"/>
  <c r="U223" i="9"/>
  <c r="U233" i="9"/>
  <c r="U237" i="9"/>
  <c r="U240" i="9"/>
  <c r="U249" i="9"/>
  <c r="U252" i="9"/>
  <c r="U255" i="9"/>
  <c r="U256" i="9"/>
  <c r="U266" i="9"/>
  <c r="U273" i="9"/>
  <c r="U276" i="9"/>
  <c r="U282" i="9"/>
  <c r="U286" i="9"/>
  <c r="U289" i="9"/>
  <c r="U295" i="9"/>
  <c r="U304" i="9"/>
  <c r="U309" i="9"/>
  <c r="U313" i="9"/>
  <c r="U323" i="9"/>
  <c r="U329" i="9"/>
  <c r="U341" i="9"/>
  <c r="U344" i="9"/>
  <c r="U354" i="9"/>
  <c r="U373" i="9"/>
  <c r="U376" i="9"/>
  <c r="U379" i="9"/>
  <c r="U387" i="9"/>
  <c r="U398" i="9"/>
  <c r="U401" i="9"/>
  <c r="U405" i="9"/>
  <c r="U410" i="9"/>
  <c r="U414" i="9"/>
  <c r="U415" i="9"/>
  <c r="U440" i="9"/>
  <c r="U443" i="9"/>
  <c r="U453" i="9"/>
  <c r="U456" i="9"/>
  <c r="U463" i="9"/>
  <c r="U464" i="9"/>
  <c r="U476" i="9"/>
  <c r="U480" i="9"/>
  <c r="U484" i="9"/>
  <c r="U495" i="9"/>
  <c r="U499" i="9"/>
  <c r="U507" i="9"/>
  <c r="U516" i="9"/>
  <c r="U517" i="9"/>
  <c r="U521" i="9"/>
  <c r="U522" i="9"/>
  <c r="U527" i="9"/>
  <c r="U532" i="9"/>
  <c r="U533" i="9"/>
  <c r="U553" i="9"/>
  <c r="U569" i="9"/>
  <c r="U570" i="9"/>
  <c r="U592" i="9"/>
  <c r="U600" i="9"/>
  <c r="U607" i="9"/>
  <c r="U615" i="9"/>
  <c r="U20" i="9"/>
  <c r="U28" i="9"/>
  <c r="U33" i="9"/>
  <c r="U43" i="9"/>
  <c r="U49" i="9"/>
  <c r="U65" i="9"/>
  <c r="U73" i="9"/>
  <c r="U106" i="9"/>
  <c r="U109" i="9"/>
  <c r="U110" i="9"/>
  <c r="U118" i="9"/>
  <c r="U121" i="9"/>
  <c r="U133" i="9"/>
  <c r="U137" i="9"/>
  <c r="U146" i="9"/>
  <c r="U150" i="9"/>
  <c r="U154" i="9"/>
  <c r="U159" i="9"/>
  <c r="U173" i="9"/>
  <c r="U192" i="9"/>
  <c r="U197" i="9"/>
  <c r="U202" i="9"/>
  <c r="U206" i="9"/>
  <c r="U214" i="9"/>
  <c r="U218" i="9"/>
  <c r="U226" i="9"/>
  <c r="U230" i="9"/>
  <c r="U245" i="9"/>
  <c r="U264" i="9"/>
  <c r="U265" i="9"/>
  <c r="U281" i="9"/>
  <c r="U294" i="9"/>
  <c r="U299" i="9"/>
  <c r="U303" i="9"/>
  <c r="U308" i="9"/>
  <c r="U316" i="9"/>
  <c r="U332" i="9"/>
  <c r="U333" i="9"/>
  <c r="U340" i="9"/>
  <c r="U348" i="9"/>
  <c r="U351" i="9"/>
  <c r="U363" i="9"/>
  <c r="U366" i="9"/>
  <c r="U382" i="9"/>
  <c r="U383" i="9"/>
  <c r="U393" i="9"/>
  <c r="U413" i="9"/>
  <c r="U419" i="9"/>
  <c r="U423" i="9"/>
  <c r="U429" i="9"/>
  <c r="U433" i="9"/>
  <c r="U436" i="9"/>
  <c r="U449" i="9"/>
  <c r="U459" i="9"/>
  <c r="U468" i="9"/>
  <c r="U469" i="9"/>
  <c r="U479" i="9"/>
  <c r="U487" i="9"/>
  <c r="U490" i="9"/>
  <c r="U498" i="9"/>
  <c r="U503" i="9"/>
  <c r="U511" i="9"/>
  <c r="U539" i="9"/>
  <c r="U554" i="9"/>
  <c r="U555" i="9"/>
  <c r="U556" i="9"/>
  <c r="U557" i="9"/>
  <c r="U577" i="9"/>
  <c r="U578" i="9"/>
  <c r="U608" i="9"/>
  <c r="U616" i="9"/>
  <c r="U32" i="9"/>
  <c r="U38" i="9"/>
  <c r="U41" i="9"/>
  <c r="U42" i="9"/>
  <c r="U52" i="9"/>
  <c r="U56" i="9"/>
  <c r="U59" i="9"/>
  <c r="U62" i="9"/>
  <c r="U69" i="9"/>
  <c r="U89" i="9"/>
  <c r="U94" i="9"/>
  <c r="U97" i="9"/>
  <c r="U102" i="9"/>
  <c r="U113" i="9"/>
  <c r="U117" i="9"/>
  <c r="U125" i="9"/>
  <c r="U129" i="9"/>
  <c r="U136" i="9"/>
  <c r="U145" i="9"/>
  <c r="U162" i="9"/>
  <c r="U166" i="9"/>
  <c r="U169" i="9"/>
  <c r="U181" i="9"/>
  <c r="U189" i="9"/>
  <c r="U201" i="9"/>
  <c r="U217" i="9"/>
  <c r="U222" i="9"/>
  <c r="U236" i="9"/>
  <c r="U248" i="9"/>
  <c r="U251" i="9"/>
  <c r="U258" i="9"/>
  <c r="U263" i="9"/>
  <c r="U269" i="9"/>
  <c r="U280" i="9"/>
  <c r="U285" i="9"/>
  <c r="U288" i="9"/>
  <c r="U293" i="9"/>
  <c r="U298" i="9"/>
  <c r="U312" i="9"/>
  <c r="U319" i="9"/>
  <c r="U322" i="9"/>
  <c r="U339" i="9"/>
  <c r="U347" i="9"/>
  <c r="U357" i="9"/>
  <c r="U360" i="9"/>
  <c r="U372" i="9"/>
  <c r="U378" i="9"/>
  <c r="U386" i="9"/>
  <c r="U389" i="9"/>
  <c r="U404" i="9"/>
  <c r="U409" i="9"/>
  <c r="U426" i="9"/>
  <c r="U432" i="9"/>
  <c r="U439" i="9"/>
  <c r="U448" i="9"/>
  <c r="U455" i="9"/>
  <c r="U467" i="9"/>
  <c r="U472" i="9"/>
  <c r="U475" i="9"/>
  <c r="U478" i="9"/>
  <c r="U483" i="9"/>
  <c r="U494" i="9"/>
  <c r="U502" i="9"/>
  <c r="U509" i="9"/>
  <c r="U510" i="9"/>
  <c r="U515" i="9"/>
  <c r="U518" i="9"/>
  <c r="U528" i="9"/>
  <c r="U534" i="9"/>
  <c r="U540" i="9"/>
  <c r="U541" i="9"/>
  <c r="U547" i="9"/>
  <c r="U548" i="9"/>
  <c r="U561" i="9"/>
  <c r="U562" i="9"/>
  <c r="U585" i="9"/>
  <c r="U586" i="9"/>
  <c r="U593" i="9"/>
  <c r="U594" i="9"/>
  <c r="U132" i="9"/>
  <c r="U161" i="9"/>
  <c r="U196" i="9"/>
  <c r="U275" i="9"/>
  <c r="U328" i="9"/>
  <c r="U365" i="9"/>
  <c r="U375" i="9"/>
  <c r="U422" i="9"/>
  <c r="U458" i="9"/>
  <c r="U24" i="9"/>
  <c r="U78" i="9"/>
  <c r="U149" i="9"/>
  <c r="U205" i="9"/>
  <c r="U216" i="9"/>
  <c r="U225" i="9"/>
  <c r="U254" i="9"/>
  <c r="U292" i="9"/>
  <c r="U318" i="9"/>
  <c r="U392" i="9"/>
  <c r="U412" i="9"/>
  <c r="U447" i="9"/>
  <c r="U501" i="9"/>
  <c r="U158" i="9"/>
  <c r="U176" i="9"/>
  <c r="U244" i="9"/>
  <c r="U272" i="9"/>
  <c r="U466" i="9"/>
  <c r="U563" i="9"/>
  <c r="U564" i="9"/>
  <c r="U565" i="9"/>
  <c r="U75" i="9"/>
  <c r="U184" i="9"/>
  <c r="U213" i="9"/>
  <c r="U261" i="9"/>
  <c r="U262" i="9"/>
  <c r="U343" i="9"/>
  <c r="U353" i="9"/>
  <c r="U371" i="9"/>
  <c r="U381" i="9"/>
  <c r="U400" i="9"/>
  <c r="U601" i="9"/>
  <c r="U602" i="9"/>
  <c r="U31" i="9"/>
  <c r="U48" i="9"/>
  <c r="U85" i="9"/>
  <c r="U232" i="9"/>
  <c r="U408" i="9"/>
  <c r="U549" i="9"/>
  <c r="U558" i="9"/>
  <c r="U559" i="9"/>
  <c r="U560" i="9"/>
  <c r="U72" i="9"/>
  <c r="U93" i="9"/>
  <c r="U200" i="9"/>
  <c r="U279" i="9"/>
  <c r="U350" i="9"/>
  <c r="U397" i="9"/>
  <c r="U442" i="9"/>
  <c r="U452" i="9"/>
  <c r="U462" i="9"/>
  <c r="U506" i="9"/>
  <c r="U523" i="9"/>
  <c r="U571" i="9"/>
  <c r="U572" i="9"/>
  <c r="U609" i="9"/>
  <c r="U610" i="9"/>
  <c r="U153" i="9"/>
  <c r="U209" i="9"/>
  <c r="U229" i="9"/>
  <c r="U239" i="9"/>
  <c r="U331" i="9"/>
  <c r="U486" i="9"/>
  <c r="U81" i="9"/>
  <c r="U579" i="9"/>
  <c r="U580" i="9"/>
  <c r="U27" i="9"/>
  <c r="U142" i="9"/>
  <c r="U311" i="9"/>
  <c r="U124" i="9"/>
  <c r="D25" i="8"/>
  <c r="O6" i="13"/>
  <c r="S6" i="13"/>
  <c r="W17" i="9"/>
  <c r="S7" i="13" s="1"/>
  <c r="P6" i="13"/>
  <c r="U17" i="9"/>
  <c r="Q7" i="13" s="1"/>
  <c r="Q6" i="13"/>
  <c r="V17" i="9"/>
  <c r="R7" i="13" s="1"/>
  <c r="R6" i="13"/>
  <c r="Q17" i="9"/>
  <c r="O7" i="13" s="1"/>
  <c r="T17" i="9"/>
  <c r="E6" i="15"/>
  <c r="Q476" i="13" l="1"/>
  <c r="Q412" i="13"/>
  <c r="Q248" i="13"/>
  <c r="Q449" i="13"/>
  <c r="Q55" i="13"/>
  <c r="Q256" i="13"/>
  <c r="Q424" i="13"/>
  <c r="Q558" i="13"/>
  <c r="Q146" i="13"/>
  <c r="Q250" i="13"/>
  <c r="Q90" i="13"/>
  <c r="Q578" i="13"/>
  <c r="Q519" i="13"/>
  <c r="Q54" i="13"/>
  <c r="Q114" i="13"/>
  <c r="Q321" i="13"/>
  <c r="Q561" i="13"/>
  <c r="Q269" i="13"/>
  <c r="Q398" i="13"/>
  <c r="Q371" i="13"/>
  <c r="Q65" i="13"/>
  <c r="Q148" i="13"/>
  <c r="Q215" i="13"/>
  <c r="Q365" i="13"/>
  <c r="Q583" i="13"/>
  <c r="Q530" i="13"/>
  <c r="Q484" i="13"/>
  <c r="Q429" i="13"/>
  <c r="Q362" i="13"/>
  <c r="Q288" i="13"/>
  <c r="Q241" i="13"/>
  <c r="Q159" i="13"/>
  <c r="Q103" i="13"/>
  <c r="Q46" i="13"/>
  <c r="Q568" i="13"/>
  <c r="Q493" i="13"/>
  <c r="Q439" i="13"/>
  <c r="Q373" i="13"/>
  <c r="Q322" i="13"/>
  <c r="Q254" i="13"/>
  <c r="Q187" i="13"/>
  <c r="Q123" i="13"/>
  <c r="Q39" i="13"/>
  <c r="Q582" i="13"/>
  <c r="Q511" i="13"/>
  <c r="Q466" i="13"/>
  <c r="Q404" i="13"/>
  <c r="Q363" i="13"/>
  <c r="Q294" i="13"/>
  <c r="Q246" i="13"/>
  <c r="Q200" i="13"/>
  <c r="Q141" i="13"/>
  <c r="Q76" i="13"/>
  <c r="Q604" i="13"/>
  <c r="Q535" i="13"/>
  <c r="Q478" i="13"/>
  <c r="Q417" i="13"/>
  <c r="Q348" i="13"/>
  <c r="Q260" i="13"/>
  <c r="Q168" i="13"/>
  <c r="Q104" i="13"/>
  <c r="Q50" i="13"/>
  <c r="Q8" i="13"/>
  <c r="Q541" i="13"/>
  <c r="Q435" i="13"/>
  <c r="Q358" i="13"/>
  <c r="Q320" i="13"/>
  <c r="Q243" i="13"/>
  <c r="Q198" i="13"/>
  <c r="Q142" i="13"/>
  <c r="Q70" i="13"/>
  <c r="Q593" i="13"/>
  <c r="Q495" i="13"/>
  <c r="Q441" i="13"/>
  <c r="Q386" i="13"/>
  <c r="Q317" i="13"/>
  <c r="Q247" i="13"/>
  <c r="Q165" i="13"/>
  <c r="Q86" i="13"/>
  <c r="Q41" i="13"/>
  <c r="Q577" i="13"/>
  <c r="Q515" i="13"/>
  <c r="Q464" i="13"/>
  <c r="Q408" i="13"/>
  <c r="Q327" i="13"/>
  <c r="Q258" i="13"/>
  <c r="Q181" i="13"/>
  <c r="Q110" i="13"/>
  <c r="Q51" i="13"/>
  <c r="Q174" i="13"/>
  <c r="Q438" i="13"/>
  <c r="Q598" i="13"/>
  <c r="Q192" i="13"/>
  <c r="Q405" i="13"/>
  <c r="Q15" i="13"/>
  <c r="Q109" i="13"/>
  <c r="Q257" i="13"/>
  <c r="Q444" i="13"/>
  <c r="Q113" i="13"/>
  <c r="Q301" i="13"/>
  <c r="Q229" i="13"/>
  <c r="Q513" i="13"/>
  <c r="Q190" i="13"/>
  <c r="Q222" i="13"/>
  <c r="Q361" i="13"/>
  <c r="Q555" i="13"/>
  <c r="Q491" i="13"/>
  <c r="Q206" i="13"/>
  <c r="Q355" i="13"/>
  <c r="Q576" i="13"/>
  <c r="Q524" i="13"/>
  <c r="Q473" i="13"/>
  <c r="Q422" i="13"/>
  <c r="Q350" i="13"/>
  <c r="Q283" i="13"/>
  <c r="Q238" i="13"/>
  <c r="Q156" i="13"/>
  <c r="Q92" i="13"/>
  <c r="Q42" i="13"/>
  <c r="Q567" i="13"/>
  <c r="Q488" i="13"/>
  <c r="Q426" i="13"/>
  <c r="Q372" i="13"/>
  <c r="Q306" i="13"/>
  <c r="Q235" i="13"/>
  <c r="Q182" i="13"/>
  <c r="Q111" i="13"/>
  <c r="Q33" i="13"/>
  <c r="Q560" i="13"/>
  <c r="Q507" i="13"/>
  <c r="Q454" i="13"/>
  <c r="Q400" i="13"/>
  <c r="Q344" i="13"/>
  <c r="Q285" i="13"/>
  <c r="Q245" i="13"/>
  <c r="Q197" i="13"/>
  <c r="Q137" i="13"/>
  <c r="Q72" i="13"/>
  <c r="Q596" i="13"/>
  <c r="Q534" i="13"/>
  <c r="Q463" i="13"/>
  <c r="Q414" i="13"/>
  <c r="Q314" i="13"/>
  <c r="Q249" i="13"/>
  <c r="Q157" i="13"/>
  <c r="Q101" i="13"/>
  <c r="Q47" i="13"/>
  <c r="Q603" i="13"/>
  <c r="Q533" i="13"/>
  <c r="Q431" i="13"/>
  <c r="Q354" i="13"/>
  <c r="Q315" i="13"/>
  <c r="Q236" i="13"/>
  <c r="Q193" i="13"/>
  <c r="Q138" i="13"/>
  <c r="Q64" i="13"/>
  <c r="Q587" i="13"/>
  <c r="Q482" i="13"/>
  <c r="Q436" i="13"/>
  <c r="Q378" i="13"/>
  <c r="Q311" i="13"/>
  <c r="Q240" i="13"/>
  <c r="Q161" i="13"/>
  <c r="Q82" i="13"/>
  <c r="Q36" i="13"/>
  <c r="Q571" i="13"/>
  <c r="Q514" i="13"/>
  <c r="Q461" i="13"/>
  <c r="Q393" i="13"/>
  <c r="Q316" i="13"/>
  <c r="Q237" i="13"/>
  <c r="Q170" i="13"/>
  <c r="Q106" i="13"/>
  <c r="Q45" i="13"/>
  <c r="Q539" i="13"/>
  <c r="Q531" i="13"/>
  <c r="Q107" i="13"/>
  <c r="Q127" i="13"/>
  <c r="Q366" i="13"/>
  <c r="Q536" i="13"/>
  <c r="Q53" i="13"/>
  <c r="Q205" i="13"/>
  <c r="Q389" i="13"/>
  <c r="Q328" i="13"/>
  <c r="Q132" i="13"/>
  <c r="Q219" i="13"/>
  <c r="Q496" i="13"/>
  <c r="Q83" i="13"/>
  <c r="Q75" i="13"/>
  <c r="Q343" i="13"/>
  <c r="Q554" i="13"/>
  <c r="Q437" i="13"/>
  <c r="Q195" i="13"/>
  <c r="Q318" i="13"/>
  <c r="Q575" i="13"/>
  <c r="Q518" i="13"/>
  <c r="Q468" i="13"/>
  <c r="Q416" i="13"/>
  <c r="Q347" i="13"/>
  <c r="Q278" i="13"/>
  <c r="Q226" i="13"/>
  <c r="Q152" i="13"/>
  <c r="Q87" i="13"/>
  <c r="Q32" i="13"/>
  <c r="Q547" i="13"/>
  <c r="Q480" i="13"/>
  <c r="Q423" i="13"/>
  <c r="Q356" i="13"/>
  <c r="Q298" i="13"/>
  <c r="Q220" i="13"/>
  <c r="Q163" i="13"/>
  <c r="Q108" i="13"/>
  <c r="Q23" i="13"/>
  <c r="Q559" i="13"/>
  <c r="Q506" i="13"/>
  <c r="Q453" i="13"/>
  <c r="Q395" i="13"/>
  <c r="Q334" i="13"/>
  <c r="Q279" i="13"/>
  <c r="Q242" i="13"/>
  <c r="Q188" i="13"/>
  <c r="Q133" i="13"/>
  <c r="Q69" i="13"/>
  <c r="Q589" i="13"/>
  <c r="Q528" i="13"/>
  <c r="Q460" i="13"/>
  <c r="Q406" i="13"/>
  <c r="Q310" i="13"/>
  <c r="Q217" i="13"/>
  <c r="Q154" i="13"/>
  <c r="Q89" i="13"/>
  <c r="Q43" i="13"/>
  <c r="Q595" i="13"/>
  <c r="Q526" i="13"/>
  <c r="Q420" i="13"/>
  <c r="Q345" i="13"/>
  <c r="Q307" i="13"/>
  <c r="Q231" i="13"/>
  <c r="Q184" i="13"/>
  <c r="Q130" i="13"/>
  <c r="Q57" i="13"/>
  <c r="Q579" i="13"/>
  <c r="Q475" i="13"/>
  <c r="Q415" i="13"/>
  <c r="Q367" i="13"/>
  <c r="Q296" i="13"/>
  <c r="Q232" i="13"/>
  <c r="Q134" i="13"/>
  <c r="Q74" i="13"/>
  <c r="Q30" i="13"/>
  <c r="Q563" i="13"/>
  <c r="Q509" i="13"/>
  <c r="Q451" i="13"/>
  <c r="Q375" i="13"/>
  <c r="Q305" i="13"/>
  <c r="Q233" i="13"/>
  <c r="Q162" i="13"/>
  <c r="Q105" i="13"/>
  <c r="Q37" i="13"/>
  <c r="Q166" i="13"/>
  <c r="Q302" i="13"/>
  <c r="Q323" i="13"/>
  <c r="Q299" i="13"/>
  <c r="Q481" i="13"/>
  <c r="Q11" i="13"/>
  <c r="Q77" i="13"/>
  <c r="Q185" i="13"/>
  <c r="Q17" i="13"/>
  <c r="Q199" i="13"/>
  <c r="Q452" i="13"/>
  <c r="Q62" i="13"/>
  <c r="Q38" i="13"/>
  <c r="Q333" i="13"/>
  <c r="Q553" i="13"/>
  <c r="Q402" i="13"/>
  <c r="Q139" i="13"/>
  <c r="Q265" i="13"/>
  <c r="Q552" i="13"/>
  <c r="Q508" i="13"/>
  <c r="Q465" i="13"/>
  <c r="Q399" i="13"/>
  <c r="Q337" i="13"/>
  <c r="Q275" i="13"/>
  <c r="Q212" i="13"/>
  <c r="Q135" i="13"/>
  <c r="Q84" i="13"/>
  <c r="Q31" i="13"/>
  <c r="Q546" i="13"/>
  <c r="Q477" i="13"/>
  <c r="Q419" i="13"/>
  <c r="Q353" i="13"/>
  <c r="Q293" i="13"/>
  <c r="Q216" i="13"/>
  <c r="Q149" i="13"/>
  <c r="Q100" i="13"/>
  <c r="Q18" i="13"/>
  <c r="Q543" i="13"/>
  <c r="Q497" i="13"/>
  <c r="Q446" i="13"/>
  <c r="Q391" i="13"/>
  <c r="Q331" i="13"/>
  <c r="Q276" i="13"/>
  <c r="Q239" i="13"/>
  <c r="Q176" i="13"/>
  <c r="Q128" i="13"/>
  <c r="Q66" i="13"/>
  <c r="Q581" i="13"/>
  <c r="Q527" i="13"/>
  <c r="Q450" i="13"/>
  <c r="Q384" i="13"/>
  <c r="Q304" i="13"/>
  <c r="Q209" i="13"/>
  <c r="Q145" i="13"/>
  <c r="Q88" i="13"/>
  <c r="Q40" i="13"/>
  <c r="Q588" i="13"/>
  <c r="Q516" i="13"/>
  <c r="Q410" i="13"/>
  <c r="Q342" i="13"/>
  <c r="Q300" i="13"/>
  <c r="Q228" i="13"/>
  <c r="Q177" i="13"/>
  <c r="Q117" i="13"/>
  <c r="Q19" i="13"/>
  <c r="Q572" i="13"/>
  <c r="Q471" i="13"/>
  <c r="Q407" i="13"/>
  <c r="Q364" i="13"/>
  <c r="Q287" i="13"/>
  <c r="Q214" i="13"/>
  <c r="Q131" i="13"/>
  <c r="Q67" i="13"/>
  <c r="Q26" i="13"/>
  <c r="Q556" i="13"/>
  <c r="Q504" i="13"/>
  <c r="Q428" i="13"/>
  <c r="Q360" i="13"/>
  <c r="Q297" i="13"/>
  <c r="Q225" i="13"/>
  <c r="Q158" i="13"/>
  <c r="Q98" i="13"/>
  <c r="Q27" i="13"/>
  <c r="Q562" i="13"/>
  <c r="Q244" i="13"/>
  <c r="Q368" i="13"/>
  <c r="Q501" i="13"/>
  <c r="Q590" i="13"/>
  <c r="Q80" i="13"/>
  <c r="Q172" i="13"/>
  <c r="Q370" i="13"/>
  <c r="Q594" i="13"/>
  <c r="Q169" i="13"/>
  <c r="Q44" i="13"/>
  <c r="Q261" i="13"/>
  <c r="Q570" i="13"/>
  <c r="Q143" i="13"/>
  <c r="Q442" i="13"/>
  <c r="Q550" i="13"/>
  <c r="Q21" i="13"/>
  <c r="Q252" i="13"/>
  <c r="Q456" i="13"/>
  <c r="Q382" i="13"/>
  <c r="Q68" i="13"/>
  <c r="Q186" i="13"/>
  <c r="Q551" i="13"/>
  <c r="Q505" i="13"/>
  <c r="Q462" i="13"/>
  <c r="Q394" i="13"/>
  <c r="Q329" i="13"/>
  <c r="Q270" i="13"/>
  <c r="Q207" i="13"/>
  <c r="Q126" i="13"/>
  <c r="Q79" i="13"/>
  <c r="Q28" i="13"/>
  <c r="Q545" i="13"/>
  <c r="Q469" i="13"/>
  <c r="Q413" i="13"/>
  <c r="Q341" i="13"/>
  <c r="Q289" i="13"/>
  <c r="Q208" i="13"/>
  <c r="Q144" i="13"/>
  <c r="Q99" i="13"/>
  <c r="Q10" i="13"/>
  <c r="Q523" i="13"/>
  <c r="Q489" i="13"/>
  <c r="Q443" i="13"/>
  <c r="Q388" i="13"/>
  <c r="Q319" i="13"/>
  <c r="Q272" i="13"/>
  <c r="Q230" i="13"/>
  <c r="Q175" i="13"/>
  <c r="Q116" i="13"/>
  <c r="Q60" i="13"/>
  <c r="Q574" i="13"/>
  <c r="Q521" i="13"/>
  <c r="Q440" i="13"/>
  <c r="Q380" i="13"/>
  <c r="Q290" i="13"/>
  <c r="Q201" i="13"/>
  <c r="Q129" i="13"/>
  <c r="Q81" i="13"/>
  <c r="Q35" i="13"/>
  <c r="Q580" i="13"/>
  <c r="Q510" i="13"/>
  <c r="Q396" i="13"/>
  <c r="Q339" i="13"/>
  <c r="Q295" i="13"/>
  <c r="Q224" i="13"/>
  <c r="Q173" i="13"/>
  <c r="Q112" i="13"/>
  <c r="Q16" i="13"/>
  <c r="Q564" i="13"/>
  <c r="Q467" i="13"/>
  <c r="Q401" i="13"/>
  <c r="Q359" i="13"/>
  <c r="Q277" i="13"/>
  <c r="Q210" i="13"/>
  <c r="Q125" i="13"/>
  <c r="Q61" i="13"/>
  <c r="Q12" i="13"/>
  <c r="Q532" i="13"/>
  <c r="Q487" i="13"/>
  <c r="Q425" i="13"/>
  <c r="Q352" i="13"/>
  <c r="Q292" i="13"/>
  <c r="Q211" i="13"/>
  <c r="Q155" i="13"/>
  <c r="Q95" i="13"/>
  <c r="Q20" i="13"/>
  <c r="Q390" i="13"/>
  <c r="Q584" i="13"/>
  <c r="Q171" i="13"/>
  <c r="Q383" i="13"/>
  <c r="Q512" i="13"/>
  <c r="Q213" i="13"/>
  <c r="Q351" i="13"/>
  <c r="Q486" i="13"/>
  <c r="Q498" i="13"/>
  <c r="Q411" i="13"/>
  <c r="Q569" i="13"/>
  <c r="Q600" i="13"/>
  <c r="Q432" i="13"/>
  <c r="Q549" i="13"/>
  <c r="Q592" i="13"/>
  <c r="Q251" i="13"/>
  <c r="Q262" i="13"/>
  <c r="Q308" i="13"/>
  <c r="Q14" i="13"/>
  <c r="Q151" i="13"/>
  <c r="Q538" i="13"/>
  <c r="Q500" i="13"/>
  <c r="Q457" i="13"/>
  <c r="Q379" i="13"/>
  <c r="Q312" i="13"/>
  <c r="Q259" i="13"/>
  <c r="Q191" i="13"/>
  <c r="Q119" i="13"/>
  <c r="Q59" i="13"/>
  <c r="Q22" i="13"/>
  <c r="Q544" i="13"/>
  <c r="Q459" i="13"/>
  <c r="Q409" i="13"/>
  <c r="Q338" i="13"/>
  <c r="Q284" i="13"/>
  <c r="Q204" i="13"/>
  <c r="Q140" i="13"/>
  <c r="Q96" i="13"/>
  <c r="Q605" i="13"/>
  <c r="Q522" i="13"/>
  <c r="Q485" i="13"/>
  <c r="Q433" i="13"/>
  <c r="Q377" i="13"/>
  <c r="Q313" i="13"/>
  <c r="Q266" i="13"/>
  <c r="Q227" i="13"/>
  <c r="Q167" i="13"/>
  <c r="Q93" i="13"/>
  <c r="Q29" i="13"/>
  <c r="Q566" i="13"/>
  <c r="Q502" i="13"/>
  <c r="Q434" i="13"/>
  <c r="Q374" i="13"/>
  <c r="Q286" i="13"/>
  <c r="Q183" i="13"/>
  <c r="Q124" i="13"/>
  <c r="Q73" i="13"/>
  <c r="Q34" i="13"/>
  <c r="Q573" i="13"/>
  <c r="Q503" i="13"/>
  <c r="Q385" i="13"/>
  <c r="Q335" i="13"/>
  <c r="Q291" i="13"/>
  <c r="Q221" i="13"/>
  <c r="Q164" i="13"/>
  <c r="Q97" i="13"/>
  <c r="Q602" i="13"/>
  <c r="Q557" i="13"/>
  <c r="Q455" i="13"/>
  <c r="Q397" i="13"/>
  <c r="Q349" i="13"/>
  <c r="Q267" i="13"/>
  <c r="Q189" i="13"/>
  <c r="Q121" i="13"/>
  <c r="Q58" i="13"/>
  <c r="Q586" i="13"/>
  <c r="Q525" i="13"/>
  <c r="Q483" i="13"/>
  <c r="Q421" i="13"/>
  <c r="Q346" i="13"/>
  <c r="Q274" i="13"/>
  <c r="Q202" i="13"/>
  <c r="Q147" i="13"/>
  <c r="Q91" i="13"/>
  <c r="Q13" i="13"/>
  <c r="Q340" i="13"/>
  <c r="Q492" i="13"/>
  <c r="Q49" i="13"/>
  <c r="Q255" i="13"/>
  <c r="Q470" i="13"/>
  <c r="Q153" i="13"/>
  <c r="Q273" i="13"/>
  <c r="Q324" i="13"/>
  <c r="Q326" i="13"/>
  <c r="Q472" i="13"/>
  <c r="Q71" i="13"/>
  <c r="Q599" i="13"/>
  <c r="Q387" i="13"/>
  <c r="Q548" i="13"/>
  <c r="Q591" i="13"/>
  <c r="Q203" i="13"/>
  <c r="Q234" i="13"/>
  <c r="Q282" i="13"/>
  <c r="Q448" i="13"/>
  <c r="Q122" i="13"/>
  <c r="Q537" i="13"/>
  <c r="Q499" i="13"/>
  <c r="Q445" i="13"/>
  <c r="Q376" i="13"/>
  <c r="Q309" i="13"/>
  <c r="Q253" i="13"/>
  <c r="Q179" i="13"/>
  <c r="Q115" i="13"/>
  <c r="Q52" i="13"/>
  <c r="Q606" i="13"/>
  <c r="Q529" i="13"/>
  <c r="Q458" i="13"/>
  <c r="Q403" i="13"/>
  <c r="Q330" i="13"/>
  <c r="Q271" i="13"/>
  <c r="Q196" i="13"/>
  <c r="Q136" i="13"/>
  <c r="Q63" i="13"/>
  <c r="Q597" i="13"/>
  <c r="Q517" i="13"/>
  <c r="Q474" i="13"/>
  <c r="Q430" i="13"/>
  <c r="Q369" i="13"/>
  <c r="Q303" i="13"/>
  <c r="Q263" i="13"/>
  <c r="Q223" i="13"/>
  <c r="Q160" i="13"/>
  <c r="Q85" i="13"/>
  <c r="Q24" i="13"/>
  <c r="Q542" i="13"/>
  <c r="Q494" i="13"/>
  <c r="Q427" i="13"/>
  <c r="Q357" i="13"/>
  <c r="Q280" i="13"/>
  <c r="Q180" i="13"/>
  <c r="Q120" i="13"/>
  <c r="Q56" i="13"/>
  <c r="Q25" i="13"/>
  <c r="Q565" i="13"/>
  <c r="Q490" i="13"/>
  <c r="Q381" i="13"/>
  <c r="Q325" i="13"/>
  <c r="Q281" i="13"/>
  <c r="Q218" i="13"/>
  <c r="Q150" i="13"/>
  <c r="Q94" i="13"/>
  <c r="Q601" i="13"/>
  <c r="Q540" i="13"/>
  <c r="Q447" i="13"/>
  <c r="Q392" i="13"/>
  <c r="Q332" i="13"/>
  <c r="Q264" i="13"/>
  <c r="Q178" i="13"/>
  <c r="Q102" i="13"/>
  <c r="Q48" i="13"/>
  <c r="Q585" i="13"/>
  <c r="Q520" i="13"/>
  <c r="Q479" i="13"/>
  <c r="Q418" i="13"/>
  <c r="Q336" i="13"/>
  <c r="Q268" i="13"/>
  <c r="Q194" i="13"/>
  <c r="Q118" i="13"/>
  <c r="Q78" i="13"/>
  <c r="Q9" i="13"/>
  <c r="P7" i="13"/>
  <c r="C14" i="17"/>
  <c r="C15" i="17"/>
  <c r="AB12" i="9" l="1"/>
  <c r="AB13" i="9"/>
  <c r="AB5" i="9"/>
  <c r="F13" i="9"/>
  <c r="D15" i="17" s="1"/>
  <c r="C16" i="9"/>
  <c r="B6" i="15" s="1"/>
  <c r="D16" i="9"/>
  <c r="C6" i="15" s="1"/>
  <c r="E16" i="9"/>
  <c r="F16" i="9"/>
  <c r="G16" i="9"/>
  <c r="H16" i="9"/>
  <c r="S16" i="9"/>
  <c r="R16" i="9"/>
  <c r="P16" i="9"/>
  <c r="O16" i="9"/>
  <c r="L16" i="9"/>
  <c r="K16" i="9"/>
  <c r="Z22" i="8"/>
  <c r="O37" i="9" l="1"/>
  <c r="J27" i="13" s="1"/>
  <c r="O102" i="9"/>
  <c r="J92" i="13" s="1"/>
  <c r="O45" i="9"/>
  <c r="J35" i="13" s="1"/>
  <c r="O133" i="9"/>
  <c r="J123" i="13" s="1"/>
  <c r="O158" i="9"/>
  <c r="J148" i="13" s="1"/>
  <c r="O218" i="9"/>
  <c r="J208" i="13" s="1"/>
  <c r="O139" i="9"/>
  <c r="J129" i="13" s="1"/>
  <c r="O194" i="9"/>
  <c r="J184" i="13" s="1"/>
  <c r="O211" i="9"/>
  <c r="J201" i="13" s="1"/>
  <c r="O196" i="9"/>
  <c r="J186" i="13" s="1"/>
  <c r="O262" i="9"/>
  <c r="J252" i="13" s="1"/>
  <c r="O302" i="9"/>
  <c r="J292" i="13" s="1"/>
  <c r="O340" i="9"/>
  <c r="J330" i="13" s="1"/>
  <c r="O314" i="9"/>
  <c r="J304" i="13" s="1"/>
  <c r="O295" i="9"/>
  <c r="J285" i="13" s="1"/>
  <c r="O242" i="9"/>
  <c r="J232" i="13" s="1"/>
  <c r="O395" i="9"/>
  <c r="J385" i="13" s="1"/>
  <c r="O439" i="9"/>
  <c r="J429" i="13" s="1"/>
  <c r="O415" i="9"/>
  <c r="J405" i="13" s="1"/>
  <c r="O414" i="9"/>
  <c r="J404" i="13" s="1"/>
  <c r="O445" i="9"/>
  <c r="J435" i="13" s="1"/>
  <c r="O449" i="9"/>
  <c r="J439" i="13" s="1"/>
  <c r="O396" i="9"/>
  <c r="J386" i="13" s="1"/>
  <c r="O531" i="9"/>
  <c r="J521" i="13" s="1"/>
  <c r="O493" i="9"/>
  <c r="J483" i="13" s="1"/>
  <c r="O550" i="9"/>
  <c r="J540" i="13" s="1"/>
  <c r="O518" i="9"/>
  <c r="J508" i="13" s="1"/>
  <c r="O521" i="9"/>
  <c r="J511" i="13" s="1"/>
  <c r="O526" i="9"/>
  <c r="J516" i="13" s="1"/>
  <c r="O543" i="9"/>
  <c r="J533" i="13" s="1"/>
  <c r="O553" i="9"/>
  <c r="J543" i="13" s="1"/>
  <c r="O587" i="9"/>
  <c r="J577" i="13" s="1"/>
  <c r="O597" i="9"/>
  <c r="J587" i="13" s="1"/>
  <c r="O537" i="9"/>
  <c r="J527" i="13" s="1"/>
  <c r="O593" i="9"/>
  <c r="J583" i="13" s="1"/>
  <c r="O586" i="9"/>
  <c r="J576" i="13" s="1"/>
  <c r="O589" i="9"/>
  <c r="J579" i="13" s="1"/>
  <c r="O599" i="9"/>
  <c r="J589" i="13" s="1"/>
  <c r="O585" i="9"/>
  <c r="J575" i="13" s="1"/>
  <c r="O592" i="9"/>
  <c r="J582" i="13" s="1"/>
  <c r="O566" i="9"/>
  <c r="J556" i="13" s="1"/>
  <c r="O578" i="9"/>
  <c r="J568" i="13" s="1"/>
  <c r="O591" i="9"/>
  <c r="J581" i="13" s="1"/>
  <c r="O595" i="9"/>
  <c r="J585" i="13" s="1"/>
  <c r="O582" i="9"/>
  <c r="J572" i="13" s="1"/>
  <c r="O562" i="9"/>
  <c r="J552" i="13" s="1"/>
  <c r="O601" i="9"/>
  <c r="J591" i="13" s="1"/>
  <c r="O604" i="9"/>
  <c r="J594" i="13" s="1"/>
  <c r="O609" i="9"/>
  <c r="J599" i="13" s="1"/>
  <c r="O615" i="9"/>
  <c r="J605" i="13" s="1"/>
  <c r="O616" i="9"/>
  <c r="J606" i="13" s="1"/>
  <c r="O614" i="9"/>
  <c r="J604" i="13" s="1"/>
  <c r="O542" i="9"/>
  <c r="J532" i="13" s="1"/>
  <c r="O554" i="9"/>
  <c r="J544" i="13" s="1"/>
  <c r="O579" i="9"/>
  <c r="J569" i="13" s="1"/>
  <c r="O504" i="9"/>
  <c r="J494" i="13" s="1"/>
  <c r="O488" i="9"/>
  <c r="J478" i="13" s="1"/>
  <c r="O527" i="9"/>
  <c r="J517" i="13" s="1"/>
  <c r="O505" i="9"/>
  <c r="J495" i="13" s="1"/>
  <c r="O516" i="9"/>
  <c r="J506" i="13" s="1"/>
  <c r="O503" i="9"/>
  <c r="J493" i="13" s="1"/>
  <c r="O457" i="9"/>
  <c r="J447" i="13" s="1"/>
  <c r="O404" i="9"/>
  <c r="J394" i="13" s="1"/>
  <c r="O373" i="9"/>
  <c r="J363" i="13" s="1"/>
  <c r="O372" i="9"/>
  <c r="J362" i="13" s="1"/>
  <c r="O440" i="9"/>
  <c r="J430" i="13" s="1"/>
  <c r="O458" i="9"/>
  <c r="J448" i="13" s="1"/>
  <c r="O476" i="9"/>
  <c r="J466" i="13" s="1"/>
  <c r="O443" i="9"/>
  <c r="J433" i="13" s="1"/>
  <c r="O421" i="9"/>
  <c r="J411" i="13" s="1"/>
  <c r="O379" i="9"/>
  <c r="J369" i="13" s="1"/>
  <c r="O342" i="9"/>
  <c r="J332" i="13" s="1"/>
  <c r="O312" i="9"/>
  <c r="J302" i="13" s="1"/>
  <c r="O392" i="9"/>
  <c r="J382" i="13" s="1"/>
  <c r="O318" i="9"/>
  <c r="J308" i="13" s="1"/>
  <c r="O349" i="9"/>
  <c r="J339" i="13" s="1"/>
  <c r="O325" i="9"/>
  <c r="J315" i="13" s="1"/>
  <c r="O293" i="9"/>
  <c r="J283" i="13" s="1"/>
  <c r="O338" i="9"/>
  <c r="J328" i="13" s="1"/>
  <c r="O238" i="9"/>
  <c r="J228" i="13" s="1"/>
  <c r="O352" i="9"/>
  <c r="J342" i="13" s="1"/>
  <c r="O317" i="9"/>
  <c r="J307" i="13" s="1"/>
  <c r="O367" i="9"/>
  <c r="J357" i="13" s="1"/>
  <c r="O348" i="9"/>
  <c r="J338" i="13" s="1"/>
  <c r="O250" i="9"/>
  <c r="J240" i="13" s="1"/>
  <c r="O300" i="9"/>
  <c r="J290" i="13" s="1"/>
  <c r="O269" i="9"/>
  <c r="J259" i="13" s="1"/>
  <c r="O241" i="9"/>
  <c r="J231" i="13" s="1"/>
  <c r="O208" i="9"/>
  <c r="J198" i="13" s="1"/>
  <c r="O265" i="9"/>
  <c r="J255" i="13" s="1"/>
  <c r="O278" i="9"/>
  <c r="J268" i="13" s="1"/>
  <c r="O244" i="9"/>
  <c r="J234" i="13" s="1"/>
  <c r="O202" i="9"/>
  <c r="J192" i="13" s="1"/>
  <c r="O257" i="9"/>
  <c r="J247" i="13" s="1"/>
  <c r="O233" i="9"/>
  <c r="J223" i="13" s="1"/>
  <c r="O206" i="9"/>
  <c r="J196" i="13" s="1"/>
  <c r="O286" i="9"/>
  <c r="J276" i="13" s="1"/>
  <c r="O247" i="9"/>
  <c r="J237" i="13" s="1"/>
  <c r="O279" i="9"/>
  <c r="J269" i="13" s="1"/>
  <c r="O197" i="9"/>
  <c r="J187" i="13" s="1"/>
  <c r="O212" i="9"/>
  <c r="J202" i="13" s="1"/>
  <c r="O149" i="9"/>
  <c r="J139" i="13" s="1"/>
  <c r="O213" i="9"/>
  <c r="J203" i="13" s="1"/>
  <c r="O172" i="9"/>
  <c r="J162" i="13" s="1"/>
  <c r="O142" i="9"/>
  <c r="J132" i="13" s="1"/>
  <c r="O127" i="9"/>
  <c r="J117" i="13" s="1"/>
  <c r="O112" i="9"/>
  <c r="J102" i="13" s="1"/>
  <c r="O108" i="9"/>
  <c r="J98" i="13" s="1"/>
  <c r="O90" i="9"/>
  <c r="J80" i="13" s="1"/>
  <c r="O105" i="9"/>
  <c r="J95" i="13" s="1"/>
  <c r="O128" i="9"/>
  <c r="J118" i="13" s="1"/>
  <c r="O109" i="9"/>
  <c r="J99" i="13" s="1"/>
  <c r="O122" i="9"/>
  <c r="J112" i="13" s="1"/>
  <c r="O100" i="9"/>
  <c r="J90" i="13" s="1"/>
  <c r="O60" i="9"/>
  <c r="J50" i="13" s="1"/>
  <c r="O31" i="9"/>
  <c r="J21" i="13" s="1"/>
  <c r="O82" i="9"/>
  <c r="J72" i="13" s="1"/>
  <c r="O52" i="9"/>
  <c r="J42" i="13" s="1"/>
  <c r="O21" i="9"/>
  <c r="J11" i="13" s="1"/>
  <c r="O80" i="9"/>
  <c r="J70" i="13" s="1"/>
  <c r="O613" i="9"/>
  <c r="J603" i="13" s="1"/>
  <c r="O565" i="9"/>
  <c r="J555" i="13" s="1"/>
  <c r="O611" i="9"/>
  <c r="J601" i="13" s="1"/>
  <c r="O577" i="9"/>
  <c r="J567" i="13" s="1"/>
  <c r="O560" i="9"/>
  <c r="J550" i="13" s="1"/>
  <c r="O575" i="9"/>
  <c r="J565" i="13" s="1"/>
  <c r="O598" i="9"/>
  <c r="J588" i="13" s="1"/>
  <c r="O602" i="9"/>
  <c r="J592" i="13" s="1"/>
  <c r="O491" i="9"/>
  <c r="J481" i="13" s="1"/>
  <c r="O499" i="9"/>
  <c r="J489" i="13" s="1"/>
  <c r="O534" i="9"/>
  <c r="J524" i="13" s="1"/>
  <c r="O486" i="9"/>
  <c r="J476" i="13" s="1"/>
  <c r="O567" i="9"/>
  <c r="J557" i="13" s="1"/>
  <c r="O500" i="9"/>
  <c r="J490" i="13" s="1"/>
  <c r="O498" i="9"/>
  <c r="J488" i="13" s="1"/>
  <c r="O514" i="9"/>
  <c r="J504" i="13" s="1"/>
  <c r="O501" i="9"/>
  <c r="J491" i="13" s="1"/>
  <c r="O463" i="9"/>
  <c r="J453" i="13" s="1"/>
  <c r="O418" i="9"/>
  <c r="J408" i="13" s="1"/>
  <c r="O472" i="9"/>
  <c r="J462" i="13" s="1"/>
  <c r="O446" i="9"/>
  <c r="J436" i="13" s="1"/>
  <c r="O389" i="9"/>
  <c r="J379" i="13" s="1"/>
  <c r="O374" i="9"/>
  <c r="J364" i="13" s="1"/>
  <c r="O422" i="9"/>
  <c r="J412" i="13" s="1"/>
  <c r="O406" i="9"/>
  <c r="J396" i="13" s="1"/>
  <c r="O335" i="9"/>
  <c r="J325" i="13" s="1"/>
  <c r="O305" i="9"/>
  <c r="J295" i="13" s="1"/>
  <c r="O316" i="9"/>
  <c r="J306" i="13" s="1"/>
  <c r="O368" i="9"/>
  <c r="J358" i="13" s="1"/>
  <c r="O292" i="9"/>
  <c r="J282" i="13" s="1"/>
  <c r="O321" i="9"/>
  <c r="J311" i="13" s="1"/>
  <c r="O284" i="9"/>
  <c r="J274" i="13" s="1"/>
  <c r="O315" i="9"/>
  <c r="J305" i="13" s="1"/>
  <c r="O365" i="9"/>
  <c r="J355" i="13" s="1"/>
  <c r="O339" i="9"/>
  <c r="J329" i="13" s="1"/>
  <c r="O346" i="9"/>
  <c r="J336" i="13" s="1"/>
  <c r="O260" i="9"/>
  <c r="J250" i="13" s="1"/>
  <c r="O263" i="9"/>
  <c r="J253" i="13" s="1"/>
  <c r="O229" i="9"/>
  <c r="J219" i="13" s="1"/>
  <c r="O276" i="9"/>
  <c r="J266" i="13" s="1"/>
  <c r="O240" i="9"/>
  <c r="J230" i="13" s="1"/>
  <c r="O283" i="9"/>
  <c r="J273" i="13" s="1"/>
  <c r="O306" i="9"/>
  <c r="J296" i="13" s="1"/>
  <c r="O268" i="9"/>
  <c r="J258" i="13" s="1"/>
  <c r="O277" i="9"/>
  <c r="J267" i="13" s="1"/>
  <c r="O177" i="9"/>
  <c r="J167" i="13" s="1"/>
  <c r="O174" i="9"/>
  <c r="J164" i="13" s="1"/>
  <c r="O147" i="9"/>
  <c r="J137" i="13" s="1"/>
  <c r="O176" i="9"/>
  <c r="J166" i="13" s="1"/>
  <c r="O192" i="9"/>
  <c r="J182" i="13" s="1"/>
  <c r="O171" i="9"/>
  <c r="J161" i="13" s="1"/>
  <c r="O170" i="9"/>
  <c r="J160" i="13" s="1"/>
  <c r="O140" i="9"/>
  <c r="J130" i="13" s="1"/>
  <c r="O110" i="9"/>
  <c r="J100" i="13" s="1"/>
  <c r="O71" i="9"/>
  <c r="J61" i="13" s="1"/>
  <c r="O145" i="9"/>
  <c r="J135" i="13" s="1"/>
  <c r="O126" i="9"/>
  <c r="J116" i="13" s="1"/>
  <c r="O107" i="9"/>
  <c r="J97" i="13" s="1"/>
  <c r="O83" i="9"/>
  <c r="J73" i="13" s="1"/>
  <c r="O79" i="9"/>
  <c r="J69" i="13" s="1"/>
  <c r="O29" i="9"/>
  <c r="J19" i="13" s="1"/>
  <c r="O19" i="9"/>
  <c r="J9" i="13" s="1"/>
  <c r="O50" i="9"/>
  <c r="J40" i="13" s="1"/>
  <c r="O26" i="9"/>
  <c r="J16" i="13" s="1"/>
  <c r="O201" i="9"/>
  <c r="J191" i="13" s="1"/>
  <c r="O610" i="9"/>
  <c r="J600" i="13" s="1"/>
  <c r="O561" i="9"/>
  <c r="J551" i="13" s="1"/>
  <c r="O606" i="9"/>
  <c r="J596" i="13" s="1"/>
  <c r="O573" i="9"/>
  <c r="J563" i="13" s="1"/>
  <c r="O607" i="9"/>
  <c r="J597" i="13" s="1"/>
  <c r="O559" i="9"/>
  <c r="J549" i="13" s="1"/>
  <c r="O519" i="9"/>
  <c r="J509" i="13" s="1"/>
  <c r="O497" i="9"/>
  <c r="J487" i="13" s="1"/>
  <c r="O529" i="9"/>
  <c r="J519" i="13" s="1"/>
  <c r="O492" i="9"/>
  <c r="J482" i="13" s="1"/>
  <c r="O399" i="9"/>
  <c r="J389" i="13" s="1"/>
  <c r="O485" i="9"/>
  <c r="J475" i="13" s="1"/>
  <c r="O494" i="9"/>
  <c r="J484" i="13" s="1"/>
  <c r="O470" i="9"/>
  <c r="J460" i="13" s="1"/>
  <c r="O384" i="9"/>
  <c r="J374" i="13" s="1"/>
  <c r="O444" i="9"/>
  <c r="J434" i="13" s="1"/>
  <c r="O417" i="9"/>
  <c r="J407" i="13" s="1"/>
  <c r="O447" i="9"/>
  <c r="J437" i="13" s="1"/>
  <c r="O388" i="9"/>
  <c r="J378" i="13" s="1"/>
  <c r="O400" i="9"/>
  <c r="J390" i="13" s="1"/>
  <c r="O436" i="9"/>
  <c r="J426" i="13" s="1"/>
  <c r="O433" i="9"/>
  <c r="J423" i="13" s="1"/>
  <c r="O383" i="9"/>
  <c r="J373" i="13" s="1"/>
  <c r="O333" i="9"/>
  <c r="J323" i="13" s="1"/>
  <c r="O366" i="9"/>
  <c r="J356" i="13" s="1"/>
  <c r="O341" i="9"/>
  <c r="J331" i="13" s="1"/>
  <c r="O363" i="9"/>
  <c r="J353" i="13" s="1"/>
  <c r="O308" i="9"/>
  <c r="J298" i="13" s="1"/>
  <c r="O344" i="9"/>
  <c r="J334" i="13" s="1"/>
  <c r="O313" i="9"/>
  <c r="J303" i="13" s="1"/>
  <c r="O258" i="9"/>
  <c r="J248" i="13" s="1"/>
  <c r="O232" i="9"/>
  <c r="J222" i="13" s="1"/>
  <c r="O248" i="9"/>
  <c r="J238" i="13" s="1"/>
  <c r="O191" i="9"/>
  <c r="J181" i="13" s="1"/>
  <c r="O274" i="9"/>
  <c r="J264" i="13" s="1"/>
  <c r="O210" i="9"/>
  <c r="J200" i="13" s="1"/>
  <c r="O304" i="9"/>
  <c r="J294" i="13" s="1"/>
  <c r="O237" i="9"/>
  <c r="J227" i="13" s="1"/>
  <c r="O187" i="9"/>
  <c r="J177" i="13" s="1"/>
  <c r="O281" i="9"/>
  <c r="J271" i="13" s="1"/>
  <c r="O175" i="9"/>
  <c r="J165" i="13" s="1"/>
  <c r="O190" i="9"/>
  <c r="J180" i="13" s="1"/>
  <c r="O169" i="9"/>
  <c r="J159" i="13" s="1"/>
  <c r="O182" i="9"/>
  <c r="J172" i="13" s="1"/>
  <c r="O151" i="9"/>
  <c r="J141" i="13" s="1"/>
  <c r="O143" i="9"/>
  <c r="J133" i="13" s="1"/>
  <c r="O117" i="9"/>
  <c r="J107" i="13" s="1"/>
  <c r="O86" i="9"/>
  <c r="J76" i="13" s="1"/>
  <c r="O81" i="9"/>
  <c r="J71" i="13" s="1"/>
  <c r="O51" i="9"/>
  <c r="J41" i="13" s="1"/>
  <c r="O27" i="9"/>
  <c r="J17" i="13" s="1"/>
  <c r="O69" i="9"/>
  <c r="J59" i="13" s="1"/>
  <c r="O99" i="9"/>
  <c r="J89" i="13" s="1"/>
  <c r="O78" i="9"/>
  <c r="J68" i="13" s="1"/>
  <c r="O48" i="9"/>
  <c r="J38" i="13" s="1"/>
  <c r="O89" i="9"/>
  <c r="J79" i="13" s="1"/>
  <c r="O57" i="9"/>
  <c r="J47" i="13" s="1"/>
  <c r="O24" i="9"/>
  <c r="J14" i="13" s="1"/>
  <c r="O608" i="9"/>
  <c r="J598" i="13" s="1"/>
  <c r="O603" i="9"/>
  <c r="J593" i="13" s="1"/>
  <c r="O558" i="9"/>
  <c r="J548" i="13" s="1"/>
  <c r="O590" i="9"/>
  <c r="J580" i="13" s="1"/>
  <c r="O612" i="9"/>
  <c r="J602" i="13" s="1"/>
  <c r="O571" i="9"/>
  <c r="J561" i="13" s="1"/>
  <c r="O557" i="9"/>
  <c r="J547" i="13" s="1"/>
  <c r="O583" i="9"/>
  <c r="J573" i="13" s="1"/>
  <c r="O568" i="9"/>
  <c r="J558" i="13" s="1"/>
  <c r="O536" i="9"/>
  <c r="J526" i="13" s="1"/>
  <c r="O482" i="9"/>
  <c r="J472" i="13" s="1"/>
  <c r="O495" i="9"/>
  <c r="J485" i="13" s="1"/>
  <c r="O551" i="9"/>
  <c r="J541" i="13" s="1"/>
  <c r="O523" i="9"/>
  <c r="J513" i="13" s="1"/>
  <c r="O541" i="9"/>
  <c r="J531" i="13" s="1"/>
  <c r="O546" i="9"/>
  <c r="J536" i="13" s="1"/>
  <c r="O489" i="9"/>
  <c r="J479" i="13" s="1"/>
  <c r="O413" i="9"/>
  <c r="J403" i="13" s="1"/>
  <c r="O468" i="9"/>
  <c r="J458" i="13" s="1"/>
  <c r="O378" i="9"/>
  <c r="J368" i="13" s="1"/>
  <c r="O442" i="9"/>
  <c r="J432" i="13" s="1"/>
  <c r="O398" i="9"/>
  <c r="J388" i="13" s="1"/>
  <c r="O426" i="9"/>
  <c r="J416" i="13" s="1"/>
  <c r="O385" i="9"/>
  <c r="J375" i="13" s="1"/>
  <c r="O456" i="9"/>
  <c r="J446" i="13" s="1"/>
  <c r="O434" i="9"/>
  <c r="J424" i="13" s="1"/>
  <c r="O408" i="9"/>
  <c r="J398" i="13" s="1"/>
  <c r="O416" i="9"/>
  <c r="J406" i="13" s="1"/>
  <c r="O381" i="9"/>
  <c r="J371" i="13" s="1"/>
  <c r="O403" i="9"/>
  <c r="J393" i="13" s="1"/>
  <c r="O331" i="9"/>
  <c r="J321" i="13" s="1"/>
  <c r="O364" i="9"/>
  <c r="J354" i="13" s="1"/>
  <c r="O256" i="9"/>
  <c r="J246" i="13" s="1"/>
  <c r="O323" i="9"/>
  <c r="J313" i="13" s="1"/>
  <c r="O380" i="9"/>
  <c r="J370" i="13" s="1"/>
  <c r="O361" i="9"/>
  <c r="J351" i="13" s="1"/>
  <c r="O330" i="9"/>
  <c r="J320" i="13" s="1"/>
  <c r="O303" i="9"/>
  <c r="J293" i="13" s="1"/>
  <c r="O310" i="9"/>
  <c r="J300" i="13" s="1"/>
  <c r="O311" i="9"/>
  <c r="J301" i="13" s="1"/>
  <c r="O230" i="9"/>
  <c r="J220" i="13" s="1"/>
  <c r="O246" i="9"/>
  <c r="J236" i="13" s="1"/>
  <c r="O168" i="9"/>
  <c r="J158" i="13" s="1"/>
  <c r="O272" i="9"/>
  <c r="J262" i="13" s="1"/>
  <c r="O235" i="9"/>
  <c r="J225" i="13" s="1"/>
  <c r="O181" i="9"/>
  <c r="J171" i="13" s="1"/>
  <c r="O239" i="9"/>
  <c r="J229" i="13" s="1"/>
  <c r="O245" i="9"/>
  <c r="J235" i="13" s="1"/>
  <c r="O186" i="9"/>
  <c r="J176" i="13" s="1"/>
  <c r="O227" i="9"/>
  <c r="J217" i="13" s="1"/>
  <c r="O195" i="9"/>
  <c r="J185" i="13" s="1"/>
  <c r="O136" i="9"/>
  <c r="J126" i="13" s="1"/>
  <c r="O200" i="9"/>
  <c r="J190" i="13" s="1"/>
  <c r="O226" i="9"/>
  <c r="J216" i="13" s="1"/>
  <c r="O167" i="9"/>
  <c r="J157" i="13" s="1"/>
  <c r="O188" i="9"/>
  <c r="J178" i="13" s="1"/>
  <c r="O173" i="9"/>
  <c r="J163" i="13" s="1"/>
  <c r="O157" i="9"/>
  <c r="J147" i="13" s="1"/>
  <c r="O131" i="9"/>
  <c r="J121" i="13" s="1"/>
  <c r="O141" i="9"/>
  <c r="J131" i="13" s="1"/>
  <c r="O88" i="9"/>
  <c r="J78" i="13" s="1"/>
  <c r="O84" i="9"/>
  <c r="J74" i="13" s="1"/>
  <c r="O53" i="9"/>
  <c r="J43" i="13" s="1"/>
  <c r="O77" i="9"/>
  <c r="J67" i="13" s="1"/>
  <c r="O49" i="9"/>
  <c r="J39" i="13" s="1"/>
  <c r="O47" i="9"/>
  <c r="J37" i="13" s="1"/>
  <c r="O42" i="9"/>
  <c r="J32" i="13" s="1"/>
  <c r="O97" i="9"/>
  <c r="J87" i="13" s="1"/>
  <c r="O36" i="9"/>
  <c r="J26" i="13" s="1"/>
  <c r="O106" i="9"/>
  <c r="J96" i="13" s="1"/>
  <c r="O76" i="9"/>
  <c r="J66" i="13" s="1"/>
  <c r="O87" i="9"/>
  <c r="J77" i="13" s="1"/>
  <c r="O548" i="9"/>
  <c r="J538" i="13" s="1"/>
  <c r="O600" i="9"/>
  <c r="J590" i="13" s="1"/>
  <c r="O564" i="9"/>
  <c r="J554" i="13" s="1"/>
  <c r="O556" i="9"/>
  <c r="J546" i="13" s="1"/>
  <c r="O563" i="9"/>
  <c r="J553" i="13" s="1"/>
  <c r="O533" i="9"/>
  <c r="J523" i="13" s="1"/>
  <c r="O480" i="9"/>
  <c r="J470" i="13" s="1"/>
  <c r="O484" i="9"/>
  <c r="J474" i="13" s="1"/>
  <c r="O427" i="9"/>
  <c r="J417" i="13" s="1"/>
  <c r="O513" i="9"/>
  <c r="J503" i="13" s="1"/>
  <c r="O466" i="9"/>
  <c r="J456" i="13" s="1"/>
  <c r="O520" i="9"/>
  <c r="J510" i="13" s="1"/>
  <c r="O538" i="9"/>
  <c r="J528" i="13" s="1"/>
  <c r="O475" i="9"/>
  <c r="J465" i="13" s="1"/>
  <c r="O544" i="9"/>
  <c r="J534" i="13" s="1"/>
  <c r="O487" i="9"/>
  <c r="J477" i="13" s="1"/>
  <c r="O448" i="9"/>
  <c r="J438" i="13" s="1"/>
  <c r="O425" i="9"/>
  <c r="J415" i="13" s="1"/>
  <c r="O375" i="9"/>
  <c r="J365" i="13" s="1"/>
  <c r="O455" i="9"/>
  <c r="J445" i="13" s="1"/>
  <c r="O437" i="9"/>
  <c r="J427" i="13" s="1"/>
  <c r="O431" i="9"/>
  <c r="J421" i="13" s="1"/>
  <c r="O393" i="9"/>
  <c r="J383" i="13" s="1"/>
  <c r="O462" i="9"/>
  <c r="J452" i="13" s="1"/>
  <c r="O419" i="9"/>
  <c r="J409" i="13" s="1"/>
  <c r="O428" i="9"/>
  <c r="J418" i="13" s="1"/>
  <c r="O454" i="9"/>
  <c r="J444" i="13" s="1"/>
  <c r="O432" i="9"/>
  <c r="J422" i="13" s="1"/>
  <c r="O402" i="9"/>
  <c r="J392" i="13" s="1"/>
  <c r="O409" i="9"/>
  <c r="J399" i="13" s="1"/>
  <c r="O370" i="9"/>
  <c r="J360" i="13" s="1"/>
  <c r="O320" i="9"/>
  <c r="J310" i="13" s="1"/>
  <c r="O287" i="9"/>
  <c r="J277" i="13" s="1"/>
  <c r="O401" i="9"/>
  <c r="J391" i="13" s="1"/>
  <c r="O362" i="9"/>
  <c r="J352" i="13" s="1"/>
  <c r="O358" i="9"/>
  <c r="J348" i="13" s="1"/>
  <c r="O343" i="9"/>
  <c r="J333" i="13" s="1"/>
  <c r="O332" i="9"/>
  <c r="J322" i="13" s="1"/>
  <c r="O301" i="9"/>
  <c r="J291" i="13" s="1"/>
  <c r="O350" i="9"/>
  <c r="J340" i="13" s="1"/>
  <c r="O328" i="9"/>
  <c r="J318" i="13" s="1"/>
  <c r="O298" i="9"/>
  <c r="J288" i="13" s="1"/>
  <c r="O337" i="9"/>
  <c r="J327" i="13" s="1"/>
  <c r="O309" i="9"/>
  <c r="J299" i="13" s="1"/>
  <c r="O221" i="9"/>
  <c r="J211" i="13" s="1"/>
  <c r="O203" i="9"/>
  <c r="J193" i="13" s="1"/>
  <c r="O231" i="9"/>
  <c r="J221" i="13" s="1"/>
  <c r="O166" i="9"/>
  <c r="J156" i="13" s="1"/>
  <c r="O270" i="9"/>
  <c r="J260" i="13" s="1"/>
  <c r="O299" i="9"/>
  <c r="J289" i="13" s="1"/>
  <c r="O255" i="9"/>
  <c r="J245" i="13" s="1"/>
  <c r="O228" i="9"/>
  <c r="J218" i="13" s="1"/>
  <c r="O243" i="9"/>
  <c r="J233" i="13" s="1"/>
  <c r="O184" i="9"/>
  <c r="J174" i="13" s="1"/>
  <c r="O225" i="9"/>
  <c r="J215" i="13" s="1"/>
  <c r="O198" i="9"/>
  <c r="J188" i="13" s="1"/>
  <c r="O160" i="9"/>
  <c r="J150" i="13" s="1"/>
  <c r="O224" i="9"/>
  <c r="J214" i="13" s="1"/>
  <c r="O165" i="9"/>
  <c r="J155" i="13" s="1"/>
  <c r="O162" i="9"/>
  <c r="J152" i="13" s="1"/>
  <c r="O155" i="9"/>
  <c r="J145" i="13" s="1"/>
  <c r="O138" i="9"/>
  <c r="J128" i="13" s="1"/>
  <c r="O125" i="9"/>
  <c r="J115" i="13" s="1"/>
  <c r="O39" i="9"/>
  <c r="J29" i="13" s="1"/>
  <c r="O41" i="9"/>
  <c r="J31" i="13" s="1"/>
  <c r="O70" i="9"/>
  <c r="J60" i="13" s="1"/>
  <c r="O46" i="9"/>
  <c r="J36" i="13" s="1"/>
  <c r="O22" i="9"/>
  <c r="J12" i="13" s="1"/>
  <c r="O44" i="9"/>
  <c r="J34" i="13" s="1"/>
  <c r="O94" i="9"/>
  <c r="J84" i="13" s="1"/>
  <c r="O75" i="9"/>
  <c r="J65" i="13" s="1"/>
  <c r="O18" i="9"/>
  <c r="J8" i="13" s="1"/>
  <c r="O101" i="9"/>
  <c r="J91" i="13" s="1"/>
  <c r="O40" i="9"/>
  <c r="J30" i="13" s="1"/>
  <c r="O95" i="9"/>
  <c r="J85" i="13" s="1"/>
  <c r="O67" i="9"/>
  <c r="J57" i="13" s="1"/>
  <c r="O74" i="9"/>
  <c r="J64" i="13" s="1"/>
  <c r="O34" i="9"/>
  <c r="J24" i="13" s="1"/>
  <c r="O85" i="9"/>
  <c r="J75" i="13" s="1"/>
  <c r="O120" i="9"/>
  <c r="J110" i="13" s="1"/>
  <c r="O596" i="9"/>
  <c r="J586" i="13" s="1"/>
  <c r="O545" i="9"/>
  <c r="J535" i="13" s="1"/>
  <c r="O584" i="9"/>
  <c r="J574" i="13" s="1"/>
  <c r="O594" i="9"/>
  <c r="J584" i="13" s="1"/>
  <c r="O588" i="9"/>
  <c r="J578" i="13" s="1"/>
  <c r="O549" i="9"/>
  <c r="J539" i="13" s="1"/>
  <c r="O574" i="9"/>
  <c r="J564" i="13" s="1"/>
  <c r="O555" i="9"/>
  <c r="J545" i="13" s="1"/>
  <c r="O525" i="9"/>
  <c r="J515" i="13" s="1"/>
  <c r="O510" i="9"/>
  <c r="J500" i="13" s="1"/>
  <c r="O477" i="9"/>
  <c r="J467" i="13" s="1"/>
  <c r="O517" i="9"/>
  <c r="J507" i="13" s="1"/>
  <c r="O410" i="9"/>
  <c r="J400" i="13" s="1"/>
  <c r="O464" i="9"/>
  <c r="J454" i="13" s="1"/>
  <c r="O511" i="9"/>
  <c r="J501" i="13" s="1"/>
  <c r="O471" i="9"/>
  <c r="J461" i="13" s="1"/>
  <c r="O535" i="9"/>
  <c r="J525" i="13" s="1"/>
  <c r="O474" i="9"/>
  <c r="J464" i="13" s="1"/>
  <c r="O441" i="9"/>
  <c r="J431" i="13" s="1"/>
  <c r="O397" i="9"/>
  <c r="J387" i="13" s="1"/>
  <c r="O420" i="9"/>
  <c r="J410" i="13" s="1"/>
  <c r="O453" i="9"/>
  <c r="J443" i="13" s="1"/>
  <c r="O435" i="9"/>
  <c r="J425" i="13" s="1"/>
  <c r="O460" i="9"/>
  <c r="J450" i="13" s="1"/>
  <c r="O371" i="9"/>
  <c r="J361" i="13" s="1"/>
  <c r="O452" i="9"/>
  <c r="J442" i="13" s="1"/>
  <c r="O430" i="9"/>
  <c r="J420" i="13" s="1"/>
  <c r="O390" i="9"/>
  <c r="J380" i="13" s="1"/>
  <c r="O407" i="9"/>
  <c r="J397" i="13" s="1"/>
  <c r="O357" i="9"/>
  <c r="J347" i="13" s="1"/>
  <c r="O254" i="9"/>
  <c r="J244" i="13" s="1"/>
  <c r="O360" i="9"/>
  <c r="J350" i="13" s="1"/>
  <c r="O307" i="9"/>
  <c r="J297" i="13" s="1"/>
  <c r="O347" i="9"/>
  <c r="J337" i="13" s="1"/>
  <c r="O326" i="9"/>
  <c r="J316" i="13" s="1"/>
  <c r="O275" i="9"/>
  <c r="J265" i="13" s="1"/>
  <c r="O223" i="9"/>
  <c r="J213" i="13" s="1"/>
  <c r="O297" i="9"/>
  <c r="J287" i="13" s="1"/>
  <c r="O253" i="9"/>
  <c r="J243" i="13" s="1"/>
  <c r="O222" i="9"/>
  <c r="J212" i="13" s="1"/>
  <c r="O164" i="9"/>
  <c r="J154" i="13" s="1"/>
  <c r="O134" i="9"/>
  <c r="J124" i="13" s="1"/>
  <c r="O159" i="9"/>
  <c r="J149" i="13" s="1"/>
  <c r="O150" i="9"/>
  <c r="J140" i="13" s="1"/>
  <c r="O153" i="9"/>
  <c r="J143" i="13" s="1"/>
  <c r="O103" i="9"/>
  <c r="J93" i="13" s="1"/>
  <c r="O123" i="9"/>
  <c r="J113" i="13" s="1"/>
  <c r="O156" i="9"/>
  <c r="J146" i="13" s="1"/>
  <c r="O68" i="9"/>
  <c r="J58" i="13" s="1"/>
  <c r="O115" i="9"/>
  <c r="J105" i="13" s="1"/>
  <c r="O137" i="9"/>
  <c r="J127" i="13" s="1"/>
  <c r="O118" i="9"/>
  <c r="J108" i="13" s="1"/>
  <c r="O20" i="9"/>
  <c r="J10" i="13" s="1"/>
  <c r="O66" i="9"/>
  <c r="J56" i="13" s="1"/>
  <c r="O92" i="9"/>
  <c r="J82" i="13" s="1"/>
  <c r="O73" i="9"/>
  <c r="J63" i="13" s="1"/>
  <c r="O38" i="9"/>
  <c r="J28" i="13" s="1"/>
  <c r="O65" i="9"/>
  <c r="J55" i="13" s="1"/>
  <c r="O93" i="9"/>
  <c r="J83" i="13" s="1"/>
  <c r="O61" i="9"/>
  <c r="J51" i="13" s="1"/>
  <c r="O32" i="9"/>
  <c r="J22" i="13" s="1"/>
  <c r="O539" i="9"/>
  <c r="J529" i="13" s="1"/>
  <c r="O580" i="9"/>
  <c r="J570" i="13" s="1"/>
  <c r="O547" i="9"/>
  <c r="J537" i="13" s="1"/>
  <c r="O576" i="9"/>
  <c r="J566" i="13" s="1"/>
  <c r="O572" i="9"/>
  <c r="J562" i="13" s="1"/>
  <c r="O552" i="9"/>
  <c r="J542" i="13" s="1"/>
  <c r="O522" i="9"/>
  <c r="J512" i="13" s="1"/>
  <c r="O508" i="9"/>
  <c r="J498" i="13" s="1"/>
  <c r="O473" i="9"/>
  <c r="J463" i="13" s="1"/>
  <c r="O515" i="9"/>
  <c r="J505" i="13" s="1"/>
  <c r="O502" i="9"/>
  <c r="J492" i="13" s="1"/>
  <c r="O490" i="9"/>
  <c r="J480" i="13" s="1"/>
  <c r="O532" i="9"/>
  <c r="J522" i="13" s="1"/>
  <c r="O509" i="9"/>
  <c r="J499" i="13" s="1"/>
  <c r="O530" i="9"/>
  <c r="J520" i="13" s="1"/>
  <c r="O496" i="9"/>
  <c r="J486" i="13" s="1"/>
  <c r="O512" i="9"/>
  <c r="J502" i="13" s="1"/>
  <c r="O483" i="9"/>
  <c r="J473" i="13" s="1"/>
  <c r="O461" i="9"/>
  <c r="J451" i="13" s="1"/>
  <c r="O451" i="9"/>
  <c r="J441" i="13" s="1"/>
  <c r="O391" i="9"/>
  <c r="J381" i="13" s="1"/>
  <c r="O424" i="9"/>
  <c r="J414" i="13" s="1"/>
  <c r="O467" i="9"/>
  <c r="J457" i="13" s="1"/>
  <c r="O438" i="9"/>
  <c r="J428" i="13" s="1"/>
  <c r="O411" i="9"/>
  <c r="J401" i="13" s="1"/>
  <c r="O376" i="9"/>
  <c r="J366" i="13" s="1"/>
  <c r="O450" i="9"/>
  <c r="J440" i="13" s="1"/>
  <c r="O387" i="9"/>
  <c r="J377" i="13" s="1"/>
  <c r="O405" i="9"/>
  <c r="J395" i="13" s="1"/>
  <c r="O252" i="9"/>
  <c r="J242" i="13" s="1"/>
  <c r="O355" i="9"/>
  <c r="J345" i="13" s="1"/>
  <c r="O329" i="9"/>
  <c r="J319" i="13" s="1"/>
  <c r="O345" i="9"/>
  <c r="J335" i="13" s="1"/>
  <c r="O296" i="9"/>
  <c r="J286" i="13" s="1"/>
  <c r="O336" i="9"/>
  <c r="J326" i="13" s="1"/>
  <c r="O369" i="9"/>
  <c r="J359" i="13" s="1"/>
  <c r="O356" i="9"/>
  <c r="J346" i="13" s="1"/>
  <c r="O282" i="9"/>
  <c r="J272" i="13" s="1"/>
  <c r="O359" i="9"/>
  <c r="J349" i="13" s="1"/>
  <c r="O324" i="9"/>
  <c r="J314" i="13" s="1"/>
  <c r="O294" i="9"/>
  <c r="J284" i="13" s="1"/>
  <c r="O273" i="9"/>
  <c r="J263" i="13" s="1"/>
  <c r="O193" i="9"/>
  <c r="J183" i="13" s="1"/>
  <c r="O220" i="9"/>
  <c r="J210" i="13" s="1"/>
  <c r="O261" i="9"/>
  <c r="J251" i="13" s="1"/>
  <c r="O251" i="9"/>
  <c r="J241" i="13" s="1"/>
  <c r="O219" i="9"/>
  <c r="J209" i="13" s="1"/>
  <c r="O266" i="9"/>
  <c r="J256" i="13" s="1"/>
  <c r="O209" i="9"/>
  <c r="J199" i="13" s="1"/>
  <c r="O216" i="9"/>
  <c r="J206" i="13" s="1"/>
  <c r="O161" i="9"/>
  <c r="J151" i="13" s="1"/>
  <c r="O185" i="9"/>
  <c r="J175" i="13" s="1"/>
  <c r="O217" i="9"/>
  <c r="J207" i="13" s="1"/>
  <c r="O180" i="9"/>
  <c r="J170" i="13" s="1"/>
  <c r="O146" i="9"/>
  <c r="J136" i="13" s="1"/>
  <c r="O55" i="9"/>
  <c r="J45" i="13" s="1"/>
  <c r="O116" i="9"/>
  <c r="J106" i="13" s="1"/>
  <c r="O121" i="9"/>
  <c r="J111" i="13" s="1"/>
  <c r="O154" i="9"/>
  <c r="J144" i="13" s="1"/>
  <c r="O132" i="9"/>
  <c r="J122" i="13" s="1"/>
  <c r="O113" i="9"/>
  <c r="J103" i="13" s="1"/>
  <c r="O135" i="9"/>
  <c r="J125" i="13" s="1"/>
  <c r="O104" i="9"/>
  <c r="J94" i="13" s="1"/>
  <c r="O98" i="9"/>
  <c r="J88" i="13" s="1"/>
  <c r="O64" i="9"/>
  <c r="J54" i="13" s="1"/>
  <c r="O35" i="9"/>
  <c r="J25" i="13" s="1"/>
  <c r="O58" i="9"/>
  <c r="J48" i="13" s="1"/>
  <c r="O56" i="9"/>
  <c r="J46" i="13" s="1"/>
  <c r="O63" i="9"/>
  <c r="J53" i="13" s="1"/>
  <c r="O91" i="9"/>
  <c r="J81" i="13" s="1"/>
  <c r="O59" i="9"/>
  <c r="J49" i="13" s="1"/>
  <c r="O30" i="9"/>
  <c r="J20" i="13" s="1"/>
  <c r="O72" i="9"/>
  <c r="J62" i="13" s="1"/>
  <c r="O43" i="9"/>
  <c r="J33" i="13" s="1"/>
  <c r="O189" i="9"/>
  <c r="J179" i="13" s="1"/>
  <c r="O581" i="9"/>
  <c r="J571" i="13" s="1"/>
  <c r="O528" i="9"/>
  <c r="J518" i="13" s="1"/>
  <c r="O569" i="9"/>
  <c r="J559" i="13" s="1"/>
  <c r="O605" i="9"/>
  <c r="J595" i="13" s="1"/>
  <c r="O570" i="9"/>
  <c r="J560" i="13" s="1"/>
  <c r="O540" i="9"/>
  <c r="J530" i="13" s="1"/>
  <c r="O506" i="9"/>
  <c r="J496" i="13" s="1"/>
  <c r="O469" i="9"/>
  <c r="J459" i="13" s="1"/>
  <c r="O479" i="9"/>
  <c r="J469" i="13" s="1"/>
  <c r="O507" i="9"/>
  <c r="J497" i="13" s="1"/>
  <c r="O524" i="9"/>
  <c r="J514" i="13" s="1"/>
  <c r="O423" i="9"/>
  <c r="J413" i="13" s="1"/>
  <c r="O481" i="9"/>
  <c r="J471" i="13" s="1"/>
  <c r="O459" i="9"/>
  <c r="J449" i="13" s="1"/>
  <c r="O429" i="9"/>
  <c r="J419" i="13" s="1"/>
  <c r="O386" i="9"/>
  <c r="J376" i="13" s="1"/>
  <c r="O412" i="9"/>
  <c r="J402" i="13" s="1"/>
  <c r="O377" i="9"/>
  <c r="J367" i="13" s="1"/>
  <c r="O465" i="9"/>
  <c r="J455" i="13" s="1"/>
  <c r="O478" i="9"/>
  <c r="J468" i="13" s="1"/>
  <c r="O382" i="9"/>
  <c r="J372" i="13" s="1"/>
  <c r="O394" i="9"/>
  <c r="J384" i="13" s="1"/>
  <c r="O353" i="9"/>
  <c r="J343" i="13" s="1"/>
  <c r="O234" i="9"/>
  <c r="J224" i="13" s="1"/>
  <c r="O351" i="9"/>
  <c r="J341" i="13" s="1"/>
  <c r="O327" i="9"/>
  <c r="J317" i="13" s="1"/>
  <c r="O285" i="9"/>
  <c r="J275" i="13" s="1"/>
  <c r="O334" i="9"/>
  <c r="J324" i="13" s="1"/>
  <c r="O291" i="9"/>
  <c r="J281" i="13" s="1"/>
  <c r="O354" i="9"/>
  <c r="J344" i="13" s="1"/>
  <c r="O319" i="9"/>
  <c r="J309" i="13" s="1"/>
  <c r="O322" i="9"/>
  <c r="J312" i="13" s="1"/>
  <c r="O289" i="9"/>
  <c r="J279" i="13" s="1"/>
  <c r="O271" i="9"/>
  <c r="J261" i="13" s="1"/>
  <c r="O204" i="9"/>
  <c r="J194" i="13" s="1"/>
  <c r="O267" i="9"/>
  <c r="J257" i="13" s="1"/>
  <c r="O236" i="9"/>
  <c r="J226" i="13" s="1"/>
  <c r="O280" i="9"/>
  <c r="J270" i="13" s="1"/>
  <c r="O207" i="9"/>
  <c r="J197" i="13" s="1"/>
  <c r="O290" i="9"/>
  <c r="J280" i="13" s="1"/>
  <c r="O259" i="9"/>
  <c r="J249" i="13" s="1"/>
  <c r="O288" i="9"/>
  <c r="J278" i="13" s="1"/>
  <c r="O249" i="9"/>
  <c r="J239" i="13" s="1"/>
  <c r="O264" i="9"/>
  <c r="J254" i="13" s="1"/>
  <c r="O179" i="9"/>
  <c r="J169" i="13" s="1"/>
  <c r="O205" i="9"/>
  <c r="J195" i="13" s="1"/>
  <c r="O199" i="9"/>
  <c r="J189" i="13" s="1"/>
  <c r="O214" i="9"/>
  <c r="J204" i="13" s="1"/>
  <c r="O163" i="9"/>
  <c r="J153" i="13" s="1"/>
  <c r="O183" i="9"/>
  <c r="J173" i="13" s="1"/>
  <c r="O215" i="9"/>
  <c r="J205" i="13" s="1"/>
  <c r="O178" i="9"/>
  <c r="J168" i="13" s="1"/>
  <c r="O144" i="9"/>
  <c r="J134" i="13" s="1"/>
  <c r="O129" i="9"/>
  <c r="J119" i="13" s="1"/>
  <c r="O114" i="9"/>
  <c r="J104" i="13" s="1"/>
  <c r="O119" i="9"/>
  <c r="J109" i="13" s="1"/>
  <c r="O152" i="9"/>
  <c r="J142" i="13" s="1"/>
  <c r="O130" i="9"/>
  <c r="J120" i="13" s="1"/>
  <c r="O111" i="9"/>
  <c r="J101" i="13" s="1"/>
  <c r="O148" i="9"/>
  <c r="J138" i="13" s="1"/>
  <c r="O96" i="9"/>
  <c r="J86" i="13" s="1"/>
  <c r="O62" i="9"/>
  <c r="J52" i="13" s="1"/>
  <c r="O33" i="9"/>
  <c r="J23" i="13" s="1"/>
  <c r="O25" i="9"/>
  <c r="J15" i="13" s="1"/>
  <c r="O54" i="9"/>
  <c r="J44" i="13" s="1"/>
  <c r="O23" i="9"/>
  <c r="J13" i="13" s="1"/>
  <c r="O28" i="9"/>
  <c r="J18" i="13" s="1"/>
  <c r="O124" i="9"/>
  <c r="J114" i="13" s="1"/>
  <c r="L67" i="9"/>
  <c r="K57" i="13" s="1"/>
  <c r="L23" i="9"/>
  <c r="K13" i="13" s="1"/>
  <c r="L42" i="9"/>
  <c r="K32" i="13" s="1"/>
  <c r="L116" i="9"/>
  <c r="K106" i="13" s="1"/>
  <c r="L118" i="9"/>
  <c r="K108" i="13" s="1"/>
  <c r="L47" i="9"/>
  <c r="K37" i="13" s="1"/>
  <c r="L186" i="9"/>
  <c r="K176" i="13" s="1"/>
  <c r="L146" i="9"/>
  <c r="K136" i="13" s="1"/>
  <c r="L217" i="9"/>
  <c r="K207" i="13" s="1"/>
  <c r="L293" i="9"/>
  <c r="K283" i="13" s="1"/>
  <c r="L307" i="9"/>
  <c r="K297" i="13" s="1"/>
  <c r="L324" i="9"/>
  <c r="K314" i="13" s="1"/>
  <c r="L348" i="9"/>
  <c r="K338" i="13" s="1"/>
  <c r="L356" i="9"/>
  <c r="K346" i="13" s="1"/>
  <c r="L338" i="9"/>
  <c r="K328" i="13" s="1"/>
  <c r="L464" i="9"/>
  <c r="K454" i="13" s="1"/>
  <c r="L510" i="9"/>
  <c r="K500" i="13" s="1"/>
  <c r="L528" i="9"/>
  <c r="K518" i="13" s="1"/>
  <c r="L547" i="9"/>
  <c r="K537" i="13" s="1"/>
  <c r="L536" i="9"/>
  <c r="K526" i="13" s="1"/>
  <c r="L539" i="9"/>
  <c r="K529" i="13" s="1"/>
  <c r="L403" i="9"/>
  <c r="K393" i="13" s="1"/>
  <c r="L503" i="9"/>
  <c r="K493" i="13" s="1"/>
  <c r="L524" i="9"/>
  <c r="K514" i="13" s="1"/>
  <c r="L535" i="9"/>
  <c r="K525" i="13" s="1"/>
  <c r="L511" i="9"/>
  <c r="K501" i="13" s="1"/>
  <c r="L534" i="9"/>
  <c r="K524" i="13" s="1"/>
  <c r="L590" i="9"/>
  <c r="K580" i="13" s="1"/>
  <c r="L558" i="9"/>
  <c r="K548" i="13" s="1"/>
  <c r="L596" i="9"/>
  <c r="K586" i="13" s="1"/>
  <c r="L563" i="9"/>
  <c r="K553" i="13" s="1"/>
  <c r="L598" i="9"/>
  <c r="K588" i="13" s="1"/>
  <c r="L370" i="9"/>
  <c r="K360" i="13" s="1"/>
  <c r="L56" i="9"/>
  <c r="K46" i="13" s="1"/>
  <c r="L557" i="9"/>
  <c r="K547" i="13" s="1"/>
  <c r="L88" i="9"/>
  <c r="K78" i="13" s="1"/>
  <c r="L479" i="9"/>
  <c r="K469" i="13" s="1"/>
  <c r="L493" i="9"/>
  <c r="K483" i="13" s="1"/>
  <c r="L252" i="9"/>
  <c r="K242" i="13" s="1"/>
  <c r="L615" i="9"/>
  <c r="K605" i="13" s="1"/>
  <c r="L521" i="9"/>
  <c r="K511" i="13" s="1"/>
  <c r="L560" i="9"/>
  <c r="K550" i="13" s="1"/>
  <c r="L153" i="9"/>
  <c r="K143" i="13" s="1"/>
  <c r="L57" i="9"/>
  <c r="K47" i="13" s="1"/>
  <c r="L49" i="9"/>
  <c r="K39" i="13" s="1"/>
  <c r="L65" i="9"/>
  <c r="K55" i="13" s="1"/>
  <c r="L582" i="9"/>
  <c r="K572" i="13" s="1"/>
  <c r="L336" i="9"/>
  <c r="K326" i="13" s="1"/>
  <c r="L55" i="9"/>
  <c r="K45" i="13" s="1"/>
  <c r="L573" i="9"/>
  <c r="K563" i="13" s="1"/>
  <c r="L546" i="9"/>
  <c r="K536" i="13" s="1"/>
  <c r="L25" i="9"/>
  <c r="K15" i="13" s="1"/>
  <c r="L520" i="9"/>
  <c r="K510" i="13" s="1"/>
  <c r="L532" i="9"/>
  <c r="K522" i="13" s="1"/>
  <c r="L492" i="9"/>
  <c r="K482" i="13" s="1"/>
  <c r="L606" i="9"/>
  <c r="K596" i="13" s="1"/>
  <c r="L574" i="9"/>
  <c r="K564" i="13" s="1"/>
  <c r="L565" i="9"/>
  <c r="K555" i="13" s="1"/>
  <c r="L569" i="9"/>
  <c r="K559" i="13" s="1"/>
  <c r="L552" i="9"/>
  <c r="K542" i="13" s="1"/>
  <c r="L601" i="9"/>
  <c r="K591" i="13" s="1"/>
  <c r="L576" i="9"/>
  <c r="K566" i="13" s="1"/>
  <c r="L610" i="9"/>
  <c r="K600" i="13" s="1"/>
  <c r="L526" i="9"/>
  <c r="K516" i="13" s="1"/>
  <c r="L559" i="9"/>
  <c r="K549" i="13" s="1"/>
  <c r="L612" i="9"/>
  <c r="K602" i="13" s="1"/>
  <c r="L580" i="9"/>
  <c r="K570" i="13" s="1"/>
  <c r="L605" i="9"/>
  <c r="K595" i="13" s="1"/>
  <c r="L538" i="9"/>
  <c r="K528" i="13" s="1"/>
  <c r="L604" i="9"/>
  <c r="K594" i="13" s="1"/>
  <c r="L543" i="9"/>
  <c r="K533" i="13" s="1"/>
  <c r="L540" i="9"/>
  <c r="K530" i="13" s="1"/>
  <c r="L594" i="9"/>
  <c r="K584" i="13" s="1"/>
  <c r="L306" i="9"/>
  <c r="K296" i="13" s="1"/>
  <c r="L185" i="9"/>
  <c r="K175" i="13" s="1"/>
  <c r="L527" i="9"/>
  <c r="K517" i="13" s="1"/>
  <c r="L131" i="9"/>
  <c r="K121" i="13" s="1"/>
  <c r="L519" i="9"/>
  <c r="K509" i="13" s="1"/>
  <c r="L31" i="9"/>
  <c r="K21" i="13" s="1"/>
  <c r="L542" i="9"/>
  <c r="K532" i="13" s="1"/>
  <c r="L567" i="9"/>
  <c r="K557" i="13" s="1"/>
  <c r="L603" i="9"/>
  <c r="K593" i="13" s="1"/>
  <c r="L589" i="9"/>
  <c r="K579" i="13" s="1"/>
  <c r="L522" i="9"/>
  <c r="K512" i="13" s="1"/>
  <c r="L581" i="9"/>
  <c r="K571" i="13" s="1"/>
  <c r="L556" i="9"/>
  <c r="K546" i="13" s="1"/>
  <c r="L551" i="9"/>
  <c r="K541" i="13" s="1"/>
  <c r="L41" i="9"/>
  <c r="K31" i="13" s="1"/>
  <c r="L64" i="9"/>
  <c r="K54" i="13" s="1"/>
  <c r="L571" i="9"/>
  <c r="K561" i="13" s="1"/>
  <c r="L518" i="9"/>
  <c r="K508" i="13" s="1"/>
  <c r="L120" i="9"/>
  <c r="K110" i="13" s="1"/>
  <c r="L179" i="9"/>
  <c r="K169" i="13" s="1"/>
  <c r="L564" i="9"/>
  <c r="K554" i="13" s="1"/>
  <c r="L616" i="9"/>
  <c r="K606" i="13" s="1"/>
  <c r="L549" i="9"/>
  <c r="K539" i="13" s="1"/>
  <c r="L614" i="9"/>
  <c r="K604" i="13" s="1"/>
  <c r="L550" i="9"/>
  <c r="K540" i="13" s="1"/>
  <c r="L575" i="9"/>
  <c r="K565" i="13" s="1"/>
  <c r="L599" i="9"/>
  <c r="K589" i="13" s="1"/>
  <c r="L592" i="9"/>
  <c r="K582" i="13" s="1"/>
  <c r="L585" i="9"/>
  <c r="K575" i="13" s="1"/>
  <c r="L608" i="9"/>
  <c r="K598" i="13" s="1"/>
  <c r="L562" i="9"/>
  <c r="K552" i="13" s="1"/>
  <c r="L548" i="9"/>
  <c r="K538" i="13" s="1"/>
  <c r="L152" i="9"/>
  <c r="K142" i="13" s="1"/>
  <c r="L588" i="9"/>
  <c r="K578" i="13" s="1"/>
  <c r="L512" i="9"/>
  <c r="K502" i="13" s="1"/>
  <c r="L572" i="9"/>
  <c r="K562" i="13" s="1"/>
  <c r="L24" i="9"/>
  <c r="K14" i="13" s="1"/>
  <c r="L555" i="9"/>
  <c r="K545" i="13" s="1"/>
  <c r="L597" i="9"/>
  <c r="K587" i="13" s="1"/>
  <c r="L579" i="9"/>
  <c r="K569" i="13" s="1"/>
  <c r="L613" i="9"/>
  <c r="K603" i="13" s="1"/>
  <c r="L568" i="9"/>
  <c r="K558" i="13" s="1"/>
  <c r="L602" i="9"/>
  <c r="K592" i="13" s="1"/>
  <c r="L586" i="9"/>
  <c r="K576" i="13" s="1"/>
  <c r="L537" i="9"/>
  <c r="K527" i="13" s="1"/>
  <c r="L92" i="9"/>
  <c r="K82" i="13" s="1"/>
  <c r="L253" i="9"/>
  <c r="K243" i="13" s="1"/>
  <c r="L309" i="9"/>
  <c r="K299" i="13" s="1"/>
  <c r="L541" i="9"/>
  <c r="K531" i="13" s="1"/>
  <c r="L591" i="9"/>
  <c r="K581" i="13" s="1"/>
  <c r="L533" i="9"/>
  <c r="K523" i="13" s="1"/>
  <c r="L561" i="9"/>
  <c r="K551" i="13" s="1"/>
  <c r="L529" i="9"/>
  <c r="K519" i="13" s="1"/>
  <c r="L84" i="9"/>
  <c r="K74" i="13" s="1"/>
  <c r="L272" i="9"/>
  <c r="K262" i="13" s="1"/>
  <c r="L91" i="9"/>
  <c r="K81" i="13" s="1"/>
  <c r="L66" i="9"/>
  <c r="K56" i="13" s="1"/>
  <c r="L410" i="9"/>
  <c r="K400" i="13" s="1"/>
  <c r="L301" i="9"/>
  <c r="K291" i="13" s="1"/>
  <c r="L391" i="9"/>
  <c r="K381" i="13" s="1"/>
  <c r="L167" i="9"/>
  <c r="K157" i="13" s="1"/>
  <c r="L316" i="9"/>
  <c r="K306" i="13" s="1"/>
  <c r="L156" i="9"/>
  <c r="K146" i="13" s="1"/>
  <c r="L485" i="9"/>
  <c r="K475" i="13" s="1"/>
  <c r="L285" i="9"/>
  <c r="K275" i="13" s="1"/>
  <c r="L249" i="9"/>
  <c r="K239" i="13" s="1"/>
  <c r="L48" i="9"/>
  <c r="K38" i="13" s="1"/>
  <c r="L18" i="9"/>
  <c r="K8" i="13" s="1"/>
  <c r="L317" i="9"/>
  <c r="K307" i="13" s="1"/>
  <c r="L288" i="9"/>
  <c r="K278" i="13" s="1"/>
  <c r="L409" i="9"/>
  <c r="K399" i="13" s="1"/>
  <c r="L516" i="9"/>
  <c r="K506" i="13" s="1"/>
  <c r="L424" i="9"/>
  <c r="K414" i="13" s="1"/>
  <c r="L352" i="9"/>
  <c r="K342" i="13" s="1"/>
  <c r="L473" i="9"/>
  <c r="K463" i="13" s="1"/>
  <c r="L469" i="9"/>
  <c r="K459" i="13" s="1"/>
  <c r="L494" i="9"/>
  <c r="K484" i="13" s="1"/>
  <c r="L204" i="9"/>
  <c r="K194" i="13" s="1"/>
  <c r="L509" i="9"/>
  <c r="K499" i="13" s="1"/>
  <c r="L487" i="9"/>
  <c r="K477" i="13" s="1"/>
  <c r="L456" i="9"/>
  <c r="K446" i="13" s="1"/>
  <c r="L429" i="9"/>
  <c r="K419" i="13" s="1"/>
  <c r="L416" i="9"/>
  <c r="K406" i="13" s="1"/>
  <c r="L411" i="9"/>
  <c r="K401" i="13" s="1"/>
  <c r="L295" i="9"/>
  <c r="K285" i="13" s="1"/>
  <c r="L214" i="9"/>
  <c r="K204" i="13" s="1"/>
  <c r="L124" i="9"/>
  <c r="K114" i="13" s="1"/>
  <c r="L320" i="9"/>
  <c r="K310" i="13" s="1"/>
  <c r="L255" i="9"/>
  <c r="K245" i="13" s="1"/>
  <c r="L234" i="9"/>
  <c r="K224" i="13" s="1"/>
  <c r="L177" i="9"/>
  <c r="K167" i="13" s="1"/>
  <c r="L339" i="9"/>
  <c r="K329" i="13" s="1"/>
  <c r="L127" i="9"/>
  <c r="K117" i="13" s="1"/>
  <c r="L345" i="9"/>
  <c r="K335" i="13" s="1"/>
  <c r="L305" i="9"/>
  <c r="K295" i="13" s="1"/>
  <c r="L289" i="9"/>
  <c r="K279" i="13" s="1"/>
  <c r="L313" i="9"/>
  <c r="K303" i="13" s="1"/>
  <c r="L290" i="9"/>
  <c r="K280" i="13" s="1"/>
  <c r="L242" i="9"/>
  <c r="K232" i="13" s="1"/>
  <c r="L122" i="9"/>
  <c r="K112" i="13" s="1"/>
  <c r="L198" i="9"/>
  <c r="K188" i="13" s="1"/>
  <c r="L138" i="9"/>
  <c r="K128" i="13" s="1"/>
  <c r="L82" i="9"/>
  <c r="K72" i="13" s="1"/>
  <c r="L73" i="9"/>
  <c r="K63" i="13" s="1"/>
  <c r="L192" i="9"/>
  <c r="K182" i="13" s="1"/>
  <c r="L80" i="9"/>
  <c r="K70" i="13" s="1"/>
  <c r="L51" i="9"/>
  <c r="K41" i="13" s="1"/>
  <c r="L69" i="9"/>
  <c r="K59" i="13" s="1"/>
  <c r="L553" i="9"/>
  <c r="K543" i="13" s="1"/>
  <c r="L554" i="9"/>
  <c r="K544" i="13" s="1"/>
  <c r="L83" i="9"/>
  <c r="K73" i="13" s="1"/>
  <c r="L28" i="9"/>
  <c r="K18" i="13" s="1"/>
  <c r="L372" i="9"/>
  <c r="K362" i="13" s="1"/>
  <c r="L371" i="9"/>
  <c r="K361" i="13" s="1"/>
  <c r="L484" i="9"/>
  <c r="K474" i="13" s="1"/>
  <c r="L35" i="9"/>
  <c r="K25" i="13" s="1"/>
  <c r="L462" i="9"/>
  <c r="K452" i="13" s="1"/>
  <c r="L386" i="9"/>
  <c r="K376" i="13" s="1"/>
  <c r="L421" i="9"/>
  <c r="K411" i="13" s="1"/>
  <c r="L506" i="9"/>
  <c r="K496" i="13" s="1"/>
  <c r="L435" i="9"/>
  <c r="K425" i="13" s="1"/>
  <c r="L468" i="9"/>
  <c r="K458" i="13" s="1"/>
  <c r="L458" i="9"/>
  <c r="K448" i="13" s="1"/>
  <c r="L374" i="9"/>
  <c r="K364" i="13" s="1"/>
  <c r="L497" i="9"/>
  <c r="K487" i="13" s="1"/>
  <c r="L439" i="9"/>
  <c r="K429" i="13" s="1"/>
  <c r="L367" i="9"/>
  <c r="K357" i="13" s="1"/>
  <c r="L478" i="9"/>
  <c r="K468" i="13" s="1"/>
  <c r="L312" i="9"/>
  <c r="K302" i="13" s="1"/>
  <c r="L263" i="9"/>
  <c r="K253" i="13" s="1"/>
  <c r="L236" i="9"/>
  <c r="K226" i="13" s="1"/>
  <c r="L287" i="9"/>
  <c r="K277" i="13" s="1"/>
  <c r="L247" i="9"/>
  <c r="K237" i="13" s="1"/>
  <c r="L238" i="9"/>
  <c r="K228" i="13" s="1"/>
  <c r="L311" i="9"/>
  <c r="K301" i="13" s="1"/>
  <c r="L261" i="9"/>
  <c r="K251" i="13" s="1"/>
  <c r="L147" i="9"/>
  <c r="K137" i="13" s="1"/>
  <c r="L318" i="9"/>
  <c r="K308" i="13" s="1"/>
  <c r="L273" i="9"/>
  <c r="K263" i="13" s="1"/>
  <c r="L280" i="9"/>
  <c r="K270" i="13" s="1"/>
  <c r="L222" i="9"/>
  <c r="K212" i="13" s="1"/>
  <c r="L354" i="9"/>
  <c r="K344" i="13" s="1"/>
  <c r="L337" i="9"/>
  <c r="K327" i="13" s="1"/>
  <c r="L52" i="9"/>
  <c r="K42" i="13" s="1"/>
  <c r="L166" i="9"/>
  <c r="K156" i="13" s="1"/>
  <c r="L53" i="9"/>
  <c r="K43" i="13" s="1"/>
  <c r="L145" i="9"/>
  <c r="K135" i="13" s="1"/>
  <c r="L137" i="9"/>
  <c r="K127" i="13" s="1"/>
  <c r="L86" i="9"/>
  <c r="K76" i="13" s="1"/>
  <c r="L112" i="9"/>
  <c r="K102" i="13" s="1"/>
  <c r="L61" i="9"/>
  <c r="K51" i="13" s="1"/>
  <c r="L162" i="9"/>
  <c r="K152" i="13" s="1"/>
  <c r="L113" i="9"/>
  <c r="K103" i="13" s="1"/>
  <c r="L126" i="9"/>
  <c r="K116" i="13" s="1"/>
  <c r="L100" i="9"/>
  <c r="K90" i="13" s="1"/>
  <c r="L228" i="9"/>
  <c r="K218" i="13" s="1"/>
  <c r="L170" i="9"/>
  <c r="K160" i="13" s="1"/>
  <c r="L98" i="9"/>
  <c r="K88" i="13" s="1"/>
  <c r="L22" i="9"/>
  <c r="K12" i="13" s="1"/>
  <c r="L607" i="9"/>
  <c r="K597" i="13" s="1"/>
  <c r="L502" i="9"/>
  <c r="K492" i="13" s="1"/>
  <c r="L531" i="9"/>
  <c r="K521" i="13" s="1"/>
  <c r="L496" i="9"/>
  <c r="K486" i="13" s="1"/>
  <c r="L364" i="9"/>
  <c r="K354" i="13" s="1"/>
  <c r="L284" i="9"/>
  <c r="K274" i="13" s="1"/>
  <c r="L341" i="9"/>
  <c r="K331" i="13" s="1"/>
  <c r="L221" i="9"/>
  <c r="K211" i="13" s="1"/>
  <c r="L140" i="9"/>
  <c r="K130" i="13" s="1"/>
  <c r="L396" i="9"/>
  <c r="K386" i="13" s="1"/>
  <c r="L248" i="9"/>
  <c r="K238" i="13" s="1"/>
  <c r="L426" i="9"/>
  <c r="K416" i="13" s="1"/>
  <c r="L455" i="9"/>
  <c r="K445" i="13" s="1"/>
  <c r="L206" i="9"/>
  <c r="K196" i="13" s="1"/>
  <c r="L121" i="9"/>
  <c r="K111" i="13" s="1"/>
  <c r="L501" i="9"/>
  <c r="K491" i="13" s="1"/>
  <c r="L505" i="9"/>
  <c r="K495" i="13" s="1"/>
  <c r="L467" i="9"/>
  <c r="K457" i="13" s="1"/>
  <c r="L384" i="9"/>
  <c r="K374" i="13" s="1"/>
  <c r="L412" i="9"/>
  <c r="K402" i="13" s="1"/>
  <c r="L343" i="9"/>
  <c r="K333" i="13" s="1"/>
  <c r="L482" i="9"/>
  <c r="K472" i="13" s="1"/>
  <c r="L442" i="9"/>
  <c r="K432" i="13" s="1"/>
  <c r="L477" i="9"/>
  <c r="K467" i="13" s="1"/>
  <c r="L201" i="9"/>
  <c r="K191" i="13" s="1"/>
  <c r="L432" i="9"/>
  <c r="K422" i="13" s="1"/>
  <c r="L405" i="9"/>
  <c r="K395" i="13" s="1"/>
  <c r="L480" i="9"/>
  <c r="K470" i="13" s="1"/>
  <c r="L461" i="9"/>
  <c r="K451" i="13" s="1"/>
  <c r="L452" i="9"/>
  <c r="K442" i="13" s="1"/>
  <c r="L438" i="9"/>
  <c r="K428" i="13" s="1"/>
  <c r="L428" i="9"/>
  <c r="K418" i="13" s="1"/>
  <c r="L363" i="9"/>
  <c r="K353" i="13" s="1"/>
  <c r="L331" i="9"/>
  <c r="K321" i="13" s="1"/>
  <c r="L303" i="9"/>
  <c r="K293" i="13" s="1"/>
  <c r="L180" i="9"/>
  <c r="K170" i="13" s="1"/>
  <c r="L254" i="9"/>
  <c r="K244" i="13" s="1"/>
  <c r="L103" i="9"/>
  <c r="K93" i="13" s="1"/>
  <c r="L330" i="9"/>
  <c r="K320" i="13" s="1"/>
  <c r="L231" i="9"/>
  <c r="K221" i="13" s="1"/>
  <c r="L227" i="9"/>
  <c r="K217" i="13" s="1"/>
  <c r="L165" i="9"/>
  <c r="K155" i="13" s="1"/>
  <c r="L335" i="9"/>
  <c r="K325" i="13" s="1"/>
  <c r="L323" i="9"/>
  <c r="K313" i="13" s="1"/>
  <c r="L279" i="9"/>
  <c r="K269" i="13" s="1"/>
  <c r="L266" i="9"/>
  <c r="K256" i="13" s="1"/>
  <c r="L298" i="9"/>
  <c r="K288" i="13" s="1"/>
  <c r="L237" i="9"/>
  <c r="K227" i="13" s="1"/>
  <c r="L213" i="9"/>
  <c r="K203" i="13" s="1"/>
  <c r="L197" i="9"/>
  <c r="K187" i="13" s="1"/>
  <c r="L43" i="9"/>
  <c r="K33" i="13" s="1"/>
  <c r="L81" i="9"/>
  <c r="K71" i="13" s="1"/>
  <c r="L54" i="9"/>
  <c r="K44" i="13" s="1"/>
  <c r="L117" i="9"/>
  <c r="K107" i="13" s="1"/>
  <c r="L212" i="9"/>
  <c r="K202" i="13" s="1"/>
  <c r="L182" i="9"/>
  <c r="K172" i="13" s="1"/>
  <c r="L68" i="9"/>
  <c r="K58" i="13" s="1"/>
  <c r="L45" i="9"/>
  <c r="K35" i="13" s="1"/>
  <c r="L577" i="9"/>
  <c r="K567" i="13" s="1"/>
  <c r="L36" i="9"/>
  <c r="K26" i="13" s="1"/>
  <c r="L194" i="9"/>
  <c r="K184" i="13" s="1"/>
  <c r="L172" i="9"/>
  <c r="K162" i="13" s="1"/>
  <c r="L332" i="9"/>
  <c r="K322" i="13" s="1"/>
  <c r="L441" i="9"/>
  <c r="K431" i="13" s="1"/>
  <c r="L445" i="9"/>
  <c r="K435" i="13" s="1"/>
  <c r="L508" i="9"/>
  <c r="K498" i="13" s="1"/>
  <c r="L446" i="9"/>
  <c r="K436" i="13" s="1"/>
  <c r="L434" i="9"/>
  <c r="K424" i="13" s="1"/>
  <c r="L347" i="9"/>
  <c r="K337" i="13" s="1"/>
  <c r="L265" i="9"/>
  <c r="K255" i="13" s="1"/>
  <c r="L199" i="9"/>
  <c r="K189" i="13" s="1"/>
  <c r="L95" i="9"/>
  <c r="K85" i="13" s="1"/>
  <c r="L183" i="9"/>
  <c r="K173" i="13" s="1"/>
  <c r="L395" i="9"/>
  <c r="K385" i="13" s="1"/>
  <c r="L79" i="9"/>
  <c r="K69" i="13" s="1"/>
  <c r="L454" i="9"/>
  <c r="K444" i="13" s="1"/>
  <c r="L376" i="9"/>
  <c r="K366" i="13" s="1"/>
  <c r="L202" i="9"/>
  <c r="K192" i="13" s="1"/>
  <c r="L437" i="9"/>
  <c r="K427" i="13" s="1"/>
  <c r="L507" i="9"/>
  <c r="K497" i="13" s="1"/>
  <c r="L436" i="9"/>
  <c r="K426" i="13" s="1"/>
  <c r="L488" i="9"/>
  <c r="K478" i="13" s="1"/>
  <c r="L358" i="9"/>
  <c r="K348" i="13" s="1"/>
  <c r="L425" i="9"/>
  <c r="K415" i="13" s="1"/>
  <c r="L239" i="9"/>
  <c r="K229" i="13" s="1"/>
  <c r="L440" i="9"/>
  <c r="K430" i="13" s="1"/>
  <c r="L359" i="9"/>
  <c r="K349" i="13" s="1"/>
  <c r="L394" i="9"/>
  <c r="K384" i="13" s="1"/>
  <c r="L362" i="9"/>
  <c r="K352" i="13" s="1"/>
  <c r="L486" i="9"/>
  <c r="K476" i="13" s="1"/>
  <c r="L457" i="9"/>
  <c r="K447" i="13" s="1"/>
  <c r="L294" i="9"/>
  <c r="K284" i="13" s="1"/>
  <c r="L459" i="9"/>
  <c r="K449" i="13" s="1"/>
  <c r="L281" i="9"/>
  <c r="K271" i="13" s="1"/>
  <c r="L490" i="9"/>
  <c r="K480" i="13" s="1"/>
  <c r="L407" i="9"/>
  <c r="K397" i="13" s="1"/>
  <c r="L375" i="9"/>
  <c r="K365" i="13" s="1"/>
  <c r="L262" i="9"/>
  <c r="K252" i="13" s="1"/>
  <c r="L246" i="9"/>
  <c r="K236" i="13" s="1"/>
  <c r="L373" i="9"/>
  <c r="K363" i="13" s="1"/>
  <c r="L357" i="9"/>
  <c r="K347" i="13" s="1"/>
  <c r="L334" i="9"/>
  <c r="K324" i="13" s="1"/>
  <c r="L268" i="9"/>
  <c r="K258" i="13" s="1"/>
  <c r="L251" i="9"/>
  <c r="K241" i="13" s="1"/>
  <c r="L297" i="9"/>
  <c r="K287" i="13" s="1"/>
  <c r="L210" i="9"/>
  <c r="K200" i="13" s="1"/>
  <c r="L104" i="9"/>
  <c r="K94" i="13" s="1"/>
  <c r="L278" i="9"/>
  <c r="K268" i="13" s="1"/>
  <c r="L218" i="9"/>
  <c r="K208" i="13" s="1"/>
  <c r="L353" i="9"/>
  <c r="K343" i="13" s="1"/>
  <c r="L233" i="9"/>
  <c r="K223" i="13" s="1"/>
  <c r="L219" i="9"/>
  <c r="K209" i="13" s="1"/>
  <c r="L37" i="9"/>
  <c r="K27" i="13" s="1"/>
  <c r="L144" i="9"/>
  <c r="K134" i="13" s="1"/>
  <c r="L101" i="9"/>
  <c r="K91" i="13" s="1"/>
  <c r="L85" i="9"/>
  <c r="K75" i="13" s="1"/>
  <c r="L188" i="9"/>
  <c r="K178" i="13" s="1"/>
  <c r="L136" i="9"/>
  <c r="K126" i="13" s="1"/>
  <c r="L134" i="9"/>
  <c r="K124" i="13" s="1"/>
  <c r="L90" i="9"/>
  <c r="K80" i="13" s="1"/>
  <c r="L207" i="9"/>
  <c r="K197" i="13" s="1"/>
  <c r="L34" i="9"/>
  <c r="K24" i="13" s="1"/>
  <c r="L150" i="9"/>
  <c r="K140" i="13" s="1"/>
  <c r="L97" i="9"/>
  <c r="K87" i="13" s="1"/>
  <c r="L159" i="9"/>
  <c r="K149" i="13" s="1"/>
  <c r="L30" i="9"/>
  <c r="K20" i="13" s="1"/>
  <c r="L78" i="9"/>
  <c r="K68" i="13" s="1"/>
  <c r="L46" i="9"/>
  <c r="K36" i="13" s="1"/>
  <c r="L595" i="9"/>
  <c r="K585" i="13" s="1"/>
  <c r="L544" i="9"/>
  <c r="K534" i="13" s="1"/>
  <c r="L611" i="9"/>
  <c r="K601" i="13" s="1"/>
  <c r="L187" i="9"/>
  <c r="K177" i="13" s="1"/>
  <c r="L154" i="9"/>
  <c r="K144" i="13" s="1"/>
  <c r="L241" i="9"/>
  <c r="K231" i="13" s="1"/>
  <c r="L453" i="9"/>
  <c r="K443" i="13" s="1"/>
  <c r="L515" i="9"/>
  <c r="K505" i="13" s="1"/>
  <c r="L447" i="9"/>
  <c r="K437" i="13" s="1"/>
  <c r="L431" i="9"/>
  <c r="K421" i="13" s="1"/>
  <c r="L344" i="9"/>
  <c r="K334" i="13" s="1"/>
  <c r="L143" i="9"/>
  <c r="K133" i="13" s="1"/>
  <c r="L232" i="9"/>
  <c r="K222" i="13" s="1"/>
  <c r="L321" i="9"/>
  <c r="K311" i="13" s="1"/>
  <c r="L96" i="9"/>
  <c r="K86" i="13" s="1"/>
  <c r="L399" i="9"/>
  <c r="K389" i="13" s="1"/>
  <c r="L300" i="9"/>
  <c r="K290" i="13" s="1"/>
  <c r="L58" i="9"/>
  <c r="K48" i="13" s="1"/>
  <c r="L76" i="9"/>
  <c r="K66" i="13" s="1"/>
  <c r="L500" i="9"/>
  <c r="K490" i="13" s="1"/>
  <c r="L504" i="9"/>
  <c r="K494" i="13" s="1"/>
  <c r="L460" i="9"/>
  <c r="K450" i="13" s="1"/>
  <c r="L383" i="9"/>
  <c r="K373" i="13" s="1"/>
  <c r="L483" i="9"/>
  <c r="K473" i="13" s="1"/>
  <c r="L398" i="9"/>
  <c r="K388" i="13" s="1"/>
  <c r="L283" i="9"/>
  <c r="K273" i="13" s="1"/>
  <c r="L481" i="9"/>
  <c r="K471" i="13" s="1"/>
  <c r="L463" i="9"/>
  <c r="K453" i="13" s="1"/>
  <c r="L466" i="9"/>
  <c r="K456" i="13" s="1"/>
  <c r="L123" i="9"/>
  <c r="K113" i="13" s="1"/>
  <c r="L472" i="9"/>
  <c r="K462" i="13" s="1"/>
  <c r="L433" i="9"/>
  <c r="K423" i="13" s="1"/>
  <c r="L427" i="9"/>
  <c r="K417" i="13" s="1"/>
  <c r="L369" i="9"/>
  <c r="K359" i="13" s="1"/>
  <c r="L302" i="9"/>
  <c r="K292" i="13" s="1"/>
  <c r="L114" i="9"/>
  <c r="K104" i="13" s="1"/>
  <c r="L32" i="9"/>
  <c r="K22" i="13" s="1"/>
  <c r="L286" i="9"/>
  <c r="K276" i="13" s="1"/>
  <c r="L258" i="9"/>
  <c r="K248" i="13" s="1"/>
  <c r="L230" i="9"/>
  <c r="K220" i="13" s="1"/>
  <c r="L93" i="9"/>
  <c r="K83" i="13" s="1"/>
  <c r="L310" i="9"/>
  <c r="K300" i="13" s="1"/>
  <c r="L267" i="9"/>
  <c r="K257" i="13" s="1"/>
  <c r="L216" i="9"/>
  <c r="K206" i="13" s="1"/>
  <c r="L328" i="9"/>
  <c r="K318" i="13" s="1"/>
  <c r="L322" i="9"/>
  <c r="K312" i="13" s="1"/>
  <c r="L257" i="9"/>
  <c r="K247" i="13" s="1"/>
  <c r="L235" i="9"/>
  <c r="K225" i="13" s="1"/>
  <c r="L128" i="9"/>
  <c r="K118" i="13" s="1"/>
  <c r="L190" i="9"/>
  <c r="K180" i="13" s="1"/>
  <c r="L149" i="9"/>
  <c r="K139" i="13" s="1"/>
  <c r="L158" i="9"/>
  <c r="K148" i="13" s="1"/>
  <c r="L111" i="9"/>
  <c r="K101" i="13" s="1"/>
  <c r="L181" i="9"/>
  <c r="K171" i="13" s="1"/>
  <c r="L108" i="9"/>
  <c r="K98" i="13" s="1"/>
  <c r="L74" i="9"/>
  <c r="K64" i="13" s="1"/>
  <c r="L125" i="9"/>
  <c r="K115" i="13" s="1"/>
  <c r="L587" i="9"/>
  <c r="K577" i="13" s="1"/>
  <c r="L570" i="9"/>
  <c r="K560" i="13" s="1"/>
  <c r="L593" i="9"/>
  <c r="K583" i="13" s="1"/>
  <c r="L205" i="9"/>
  <c r="K195" i="13" s="1"/>
  <c r="L406" i="9"/>
  <c r="K396" i="13" s="1"/>
  <c r="L327" i="9"/>
  <c r="K317" i="13" s="1"/>
  <c r="L430" i="9"/>
  <c r="K420" i="13" s="1"/>
  <c r="L171" i="9"/>
  <c r="K161" i="13" s="1"/>
  <c r="L148" i="9"/>
  <c r="K138" i="13" s="1"/>
  <c r="L50" i="9"/>
  <c r="K40" i="13" s="1"/>
  <c r="L40" i="9"/>
  <c r="K30" i="13" s="1"/>
  <c r="L75" i="9"/>
  <c r="K65" i="13" s="1"/>
  <c r="L420" i="9"/>
  <c r="K410" i="13" s="1"/>
  <c r="L382" i="9"/>
  <c r="K372" i="13" s="1"/>
  <c r="L513" i="9"/>
  <c r="K503" i="13" s="1"/>
  <c r="L443" i="9"/>
  <c r="K433" i="13" s="1"/>
  <c r="L184" i="9"/>
  <c r="K174" i="13" s="1"/>
  <c r="L381" i="9"/>
  <c r="K371" i="13" s="1"/>
  <c r="L277" i="9"/>
  <c r="K267" i="13" s="1"/>
  <c r="L465" i="9"/>
  <c r="K455" i="13" s="1"/>
  <c r="L393" i="9"/>
  <c r="K383" i="13" s="1"/>
  <c r="L449" i="9"/>
  <c r="K439" i="13" s="1"/>
  <c r="L417" i="9"/>
  <c r="K407" i="13" s="1"/>
  <c r="L402" i="9"/>
  <c r="K392" i="13" s="1"/>
  <c r="L378" i="9"/>
  <c r="K368" i="13" s="1"/>
  <c r="L471" i="9"/>
  <c r="K461" i="13" s="1"/>
  <c r="L404" i="9"/>
  <c r="K394" i="13" s="1"/>
  <c r="L491" i="9"/>
  <c r="K481" i="13" s="1"/>
  <c r="L523" i="9"/>
  <c r="K513" i="13" s="1"/>
  <c r="L517" i="9"/>
  <c r="K507" i="13" s="1"/>
  <c r="L530" i="9"/>
  <c r="K520" i="13" s="1"/>
  <c r="L304" i="9"/>
  <c r="K294" i="13" s="1"/>
  <c r="L291" i="9"/>
  <c r="K281" i="13" s="1"/>
  <c r="L139" i="9"/>
  <c r="K129" i="13" s="1"/>
  <c r="L256" i="9"/>
  <c r="K246" i="13" s="1"/>
  <c r="L163" i="9"/>
  <c r="K153" i="13" s="1"/>
  <c r="L106" i="9"/>
  <c r="K96" i="13" s="1"/>
  <c r="L229" i="9"/>
  <c r="K219" i="13" s="1"/>
  <c r="L275" i="9"/>
  <c r="K265" i="13" s="1"/>
  <c r="L195" i="9"/>
  <c r="K185" i="13" s="1"/>
  <c r="L499" i="9"/>
  <c r="K489" i="13" s="1"/>
  <c r="L264" i="9"/>
  <c r="K254" i="13" s="1"/>
  <c r="L39" i="9"/>
  <c r="K29" i="13" s="1"/>
  <c r="L308" i="9"/>
  <c r="K298" i="13" s="1"/>
  <c r="L495" i="9"/>
  <c r="K485" i="13" s="1"/>
  <c r="L422" i="9"/>
  <c r="K412" i="13" s="1"/>
  <c r="L450" i="9"/>
  <c r="K440" i="13" s="1"/>
  <c r="L408" i="9"/>
  <c r="K398" i="13" s="1"/>
  <c r="L397" i="9"/>
  <c r="K387" i="13" s="1"/>
  <c r="L269" i="9"/>
  <c r="K259" i="13" s="1"/>
  <c r="L474" i="9"/>
  <c r="K464" i="13" s="1"/>
  <c r="L224" i="9"/>
  <c r="K214" i="13" s="1"/>
  <c r="L475" i="9"/>
  <c r="K465" i="13" s="1"/>
  <c r="L415" i="9"/>
  <c r="K405" i="13" s="1"/>
  <c r="L388" i="9"/>
  <c r="K378" i="13" s="1"/>
  <c r="L360" i="9"/>
  <c r="K350" i="13" s="1"/>
  <c r="L514" i="9"/>
  <c r="K504" i="13" s="1"/>
  <c r="L342" i="9"/>
  <c r="K332" i="13" s="1"/>
  <c r="L175" i="9"/>
  <c r="K165" i="13" s="1"/>
  <c r="L413" i="9"/>
  <c r="K403" i="13" s="1"/>
  <c r="L390" i="9"/>
  <c r="K380" i="13" s="1"/>
  <c r="L314" i="9"/>
  <c r="K304" i="13" s="1"/>
  <c r="L63" i="9"/>
  <c r="K53" i="13" s="1"/>
  <c r="L215" i="9"/>
  <c r="K205" i="13" s="1"/>
  <c r="L155" i="9"/>
  <c r="K145" i="13" s="1"/>
  <c r="L208" i="9"/>
  <c r="K198" i="13" s="1"/>
  <c r="L260" i="9"/>
  <c r="K250" i="13" s="1"/>
  <c r="L340" i="9"/>
  <c r="K330" i="13" s="1"/>
  <c r="L319" i="9"/>
  <c r="K309" i="13" s="1"/>
  <c r="L225" i="9"/>
  <c r="K215" i="13" s="1"/>
  <c r="L346" i="9"/>
  <c r="K336" i="13" s="1"/>
  <c r="L326" i="9"/>
  <c r="K316" i="13" s="1"/>
  <c r="L243" i="9"/>
  <c r="K233" i="13" s="1"/>
  <c r="L223" i="9"/>
  <c r="K213" i="13" s="1"/>
  <c r="L178" i="9"/>
  <c r="K168" i="13" s="1"/>
  <c r="L129" i="9"/>
  <c r="K119" i="13" s="1"/>
  <c r="L94" i="9"/>
  <c r="K84" i="13" s="1"/>
  <c r="L189" i="9"/>
  <c r="K179" i="13" s="1"/>
  <c r="L71" i="9"/>
  <c r="K61" i="13" s="1"/>
  <c r="L107" i="9"/>
  <c r="K97" i="13" s="1"/>
  <c r="L157" i="9"/>
  <c r="K147" i="13" s="1"/>
  <c r="L59" i="9"/>
  <c r="K49" i="13" s="1"/>
  <c r="L220" i="9"/>
  <c r="K210" i="13" s="1"/>
  <c r="L193" i="9"/>
  <c r="K183" i="13" s="1"/>
  <c r="L176" i="9"/>
  <c r="K166" i="13" s="1"/>
  <c r="L135" i="9"/>
  <c r="K125" i="13" s="1"/>
  <c r="L102" i="9"/>
  <c r="K92" i="13" s="1"/>
  <c r="L62" i="9"/>
  <c r="K52" i="13" s="1"/>
  <c r="L38" i="9"/>
  <c r="K28" i="13" s="1"/>
  <c r="L545" i="9"/>
  <c r="K535" i="13" s="1"/>
  <c r="L583" i="9"/>
  <c r="K573" i="13" s="1"/>
  <c r="L584" i="9"/>
  <c r="K574" i="13" s="1"/>
  <c r="L600" i="9"/>
  <c r="K590" i="13" s="1"/>
  <c r="L609" i="9"/>
  <c r="K599" i="13" s="1"/>
  <c r="L566" i="9"/>
  <c r="K556" i="13" s="1"/>
  <c r="L355" i="9"/>
  <c r="K345" i="13" s="1"/>
  <c r="L578" i="9"/>
  <c r="K568" i="13" s="1"/>
  <c r="L525" i="9"/>
  <c r="K515" i="13" s="1"/>
  <c r="L89" i="9"/>
  <c r="K79" i="13" s="1"/>
  <c r="L99" i="9"/>
  <c r="K89" i="13" s="1"/>
  <c r="L142" i="9"/>
  <c r="K132" i="13" s="1"/>
  <c r="L423" i="9"/>
  <c r="K413" i="13" s="1"/>
  <c r="L380" i="9"/>
  <c r="K370" i="13" s="1"/>
  <c r="L296" i="9"/>
  <c r="K286" i="13" s="1"/>
  <c r="L392" i="9"/>
  <c r="K382" i="13" s="1"/>
  <c r="L315" i="9"/>
  <c r="K305" i="13" s="1"/>
  <c r="L164" i="9"/>
  <c r="K154" i="13" s="1"/>
  <c r="L299" i="9"/>
  <c r="K289" i="13" s="1"/>
  <c r="L400" i="9"/>
  <c r="K390" i="13" s="1"/>
  <c r="L333" i="9"/>
  <c r="K323" i="13" s="1"/>
  <c r="L19" i="9"/>
  <c r="K9" i="13" s="1"/>
  <c r="L26" i="9"/>
  <c r="K16" i="13" s="1"/>
  <c r="L130" i="9"/>
  <c r="K120" i="13" s="1"/>
  <c r="L292" i="9"/>
  <c r="K282" i="13" s="1"/>
  <c r="L191" i="9"/>
  <c r="K181" i="13" s="1"/>
  <c r="L476" i="9"/>
  <c r="K466" i="13" s="1"/>
  <c r="L419" i="9"/>
  <c r="K409" i="13" s="1"/>
  <c r="L385" i="9"/>
  <c r="K375" i="13" s="1"/>
  <c r="L444" i="9"/>
  <c r="K434" i="13" s="1"/>
  <c r="L414" i="9"/>
  <c r="K404" i="13" s="1"/>
  <c r="L387" i="9"/>
  <c r="K377" i="13" s="1"/>
  <c r="L240" i="9"/>
  <c r="K230" i="13" s="1"/>
  <c r="L366" i="9"/>
  <c r="K356" i="13" s="1"/>
  <c r="L350" i="9"/>
  <c r="K340" i="13" s="1"/>
  <c r="L448" i="9"/>
  <c r="K438" i="13" s="1"/>
  <c r="L401" i="9"/>
  <c r="K391" i="13" s="1"/>
  <c r="L377" i="9"/>
  <c r="K367" i="13" s="1"/>
  <c r="L498" i="9"/>
  <c r="K488" i="13" s="1"/>
  <c r="L470" i="9"/>
  <c r="K460" i="13" s="1"/>
  <c r="L418" i="9"/>
  <c r="K408" i="13" s="1"/>
  <c r="L379" i="9"/>
  <c r="K369" i="13" s="1"/>
  <c r="L368" i="9"/>
  <c r="K358" i="13" s="1"/>
  <c r="L351" i="9"/>
  <c r="K341" i="13" s="1"/>
  <c r="L270" i="9"/>
  <c r="K260" i="13" s="1"/>
  <c r="L200" i="9"/>
  <c r="K190" i="13" s="1"/>
  <c r="L329" i="9"/>
  <c r="K319" i="13" s="1"/>
  <c r="L259" i="9"/>
  <c r="K249" i="13" s="1"/>
  <c r="L365" i="9"/>
  <c r="K355" i="13" s="1"/>
  <c r="L349" i="9"/>
  <c r="K339" i="13" s="1"/>
  <c r="L226" i="9"/>
  <c r="K216" i="13" s="1"/>
  <c r="L389" i="9"/>
  <c r="K379" i="13" s="1"/>
  <c r="L274" i="9"/>
  <c r="K264" i="13" s="1"/>
  <c r="L250" i="9"/>
  <c r="K240" i="13" s="1"/>
  <c r="L105" i="9"/>
  <c r="K95" i="13" s="1"/>
  <c r="L361" i="9"/>
  <c r="K351" i="13" s="1"/>
  <c r="L168" i="9"/>
  <c r="K158" i="13" s="1"/>
  <c r="L173" i="9"/>
  <c r="K163" i="13" s="1"/>
  <c r="L60" i="9"/>
  <c r="K50" i="13" s="1"/>
  <c r="L160" i="9"/>
  <c r="K150" i="13" s="1"/>
  <c r="L119" i="9"/>
  <c r="K109" i="13" s="1"/>
  <c r="L161" i="9"/>
  <c r="K151" i="13" s="1"/>
  <c r="L72" i="9"/>
  <c r="K62" i="13" s="1"/>
  <c r="L141" i="9"/>
  <c r="K131" i="13" s="1"/>
  <c r="L21" i="9"/>
  <c r="K11" i="13" s="1"/>
  <c r="L151" i="9"/>
  <c r="K141" i="13" s="1"/>
  <c r="L70" i="9"/>
  <c r="K60" i="13" s="1"/>
  <c r="L489" i="9"/>
  <c r="K479" i="13" s="1"/>
  <c r="L33" i="9"/>
  <c r="K23" i="13" s="1"/>
  <c r="L325" i="9"/>
  <c r="K315" i="13" s="1"/>
  <c r="L245" i="9"/>
  <c r="K235" i="13" s="1"/>
  <c r="L211" i="9"/>
  <c r="K201" i="13" s="1"/>
  <c r="L44" i="9"/>
  <c r="K34" i="13" s="1"/>
  <c r="L29" i="9"/>
  <c r="K19" i="13" s="1"/>
  <c r="L20" i="9"/>
  <c r="K10" i="13" s="1"/>
  <c r="L244" i="9"/>
  <c r="K234" i="13" s="1"/>
  <c r="L87" i="9"/>
  <c r="K77" i="13" s="1"/>
  <c r="L196" i="9"/>
  <c r="K186" i="13" s="1"/>
  <c r="L203" i="9"/>
  <c r="K193" i="13" s="1"/>
  <c r="L132" i="9"/>
  <c r="K122" i="13" s="1"/>
  <c r="L451" i="9"/>
  <c r="K441" i="13" s="1"/>
  <c r="L271" i="9"/>
  <c r="K261" i="13" s="1"/>
  <c r="L174" i="9"/>
  <c r="K164" i="13" s="1"/>
  <c r="L133" i="9"/>
  <c r="K123" i="13" s="1"/>
  <c r="L169" i="9"/>
  <c r="K159" i="13" s="1"/>
  <c r="L27" i="9"/>
  <c r="K17" i="13" s="1"/>
  <c r="L115" i="9"/>
  <c r="K105" i="13" s="1"/>
  <c r="L282" i="9"/>
  <c r="K272" i="13" s="1"/>
  <c r="L209" i="9"/>
  <c r="K199" i="13" s="1"/>
  <c r="L110" i="9"/>
  <c r="K100" i="13" s="1"/>
  <c r="L276" i="9"/>
  <c r="K266" i="13" s="1"/>
  <c r="L109" i="9"/>
  <c r="K99" i="13" s="1"/>
  <c r="L77" i="9"/>
  <c r="K67" i="13" s="1"/>
  <c r="P35" i="9"/>
  <c r="L25" i="13" s="1"/>
  <c r="P83" i="9"/>
  <c r="L73" i="13" s="1"/>
  <c r="P72" i="9"/>
  <c r="L62" i="13" s="1"/>
  <c r="P94" i="9"/>
  <c r="L84" i="13" s="1"/>
  <c r="P175" i="9"/>
  <c r="L165" i="13" s="1"/>
  <c r="P137" i="9"/>
  <c r="L127" i="13" s="1"/>
  <c r="P169" i="9"/>
  <c r="L159" i="13" s="1"/>
  <c r="P228" i="9"/>
  <c r="L218" i="13" s="1"/>
  <c r="P248" i="9"/>
  <c r="L238" i="13" s="1"/>
  <c r="P282" i="9"/>
  <c r="L272" i="13" s="1"/>
  <c r="P151" i="9"/>
  <c r="L141" i="13" s="1"/>
  <c r="P220" i="9"/>
  <c r="L210" i="13" s="1"/>
  <c r="P223" i="9"/>
  <c r="L213" i="13" s="1"/>
  <c r="P301" i="9"/>
  <c r="L291" i="13" s="1"/>
  <c r="P351" i="9"/>
  <c r="L341" i="13" s="1"/>
  <c r="P370" i="9"/>
  <c r="L360" i="13" s="1"/>
  <c r="P359" i="9"/>
  <c r="L349" i="13" s="1"/>
  <c r="P281" i="9"/>
  <c r="L271" i="13" s="1"/>
  <c r="P330" i="9"/>
  <c r="L320" i="13" s="1"/>
  <c r="P369" i="9"/>
  <c r="L359" i="13" s="1"/>
  <c r="P283" i="9"/>
  <c r="L273" i="13" s="1"/>
  <c r="P410" i="9"/>
  <c r="L400" i="13" s="1"/>
  <c r="P394" i="9"/>
  <c r="L384" i="13" s="1"/>
  <c r="P446" i="9"/>
  <c r="L436" i="13" s="1"/>
  <c r="P368" i="9"/>
  <c r="L358" i="13" s="1"/>
  <c r="P416" i="9"/>
  <c r="L406" i="13" s="1"/>
  <c r="P475" i="9"/>
  <c r="L465" i="13" s="1"/>
  <c r="P437" i="9"/>
  <c r="L427" i="13" s="1"/>
  <c r="P444" i="9"/>
  <c r="L434" i="13" s="1"/>
  <c r="P526" i="9"/>
  <c r="L516" i="13" s="1"/>
  <c r="P525" i="9"/>
  <c r="L515" i="13" s="1"/>
  <c r="P528" i="9"/>
  <c r="L518" i="13" s="1"/>
  <c r="P539" i="9"/>
  <c r="L529" i="13" s="1"/>
  <c r="P563" i="9"/>
  <c r="L553" i="13" s="1"/>
  <c r="P496" i="9"/>
  <c r="L486" i="13" s="1"/>
  <c r="P483" i="9"/>
  <c r="L473" i="13" s="1"/>
  <c r="P521" i="9"/>
  <c r="L511" i="13" s="1"/>
  <c r="P520" i="9"/>
  <c r="L510" i="13" s="1"/>
  <c r="P569" i="9"/>
  <c r="L559" i="13" s="1"/>
  <c r="P572" i="9"/>
  <c r="L562" i="13" s="1"/>
  <c r="P555" i="9"/>
  <c r="L545" i="13" s="1"/>
  <c r="P594" i="9"/>
  <c r="L584" i="13" s="1"/>
  <c r="P604" i="9"/>
  <c r="L594" i="13" s="1"/>
  <c r="P587" i="9"/>
  <c r="L577" i="13" s="1"/>
  <c r="P548" i="9"/>
  <c r="L538" i="13" s="1"/>
  <c r="P579" i="9"/>
  <c r="L569" i="13" s="1"/>
  <c r="P593" i="9"/>
  <c r="L583" i="13" s="1"/>
  <c r="P600" i="9"/>
  <c r="L590" i="13" s="1"/>
  <c r="P603" i="9"/>
  <c r="L593" i="13" s="1"/>
  <c r="P608" i="9"/>
  <c r="L598" i="13" s="1"/>
  <c r="P611" i="9"/>
  <c r="L601" i="13" s="1"/>
  <c r="P614" i="9"/>
  <c r="L604" i="13" s="1"/>
  <c r="P570" i="9"/>
  <c r="L560" i="13" s="1"/>
  <c r="P596" i="9"/>
  <c r="L586" i="13" s="1"/>
  <c r="P599" i="9"/>
  <c r="L589" i="13" s="1"/>
  <c r="P576" i="9"/>
  <c r="L566" i="13" s="1"/>
  <c r="P585" i="9"/>
  <c r="L575" i="13" s="1"/>
  <c r="P616" i="9"/>
  <c r="L606" i="13" s="1"/>
  <c r="P547" i="9"/>
  <c r="L537" i="13" s="1"/>
  <c r="P566" i="9"/>
  <c r="L556" i="13" s="1"/>
  <c r="P588" i="9"/>
  <c r="L578" i="13" s="1"/>
  <c r="P591" i="9"/>
  <c r="L581" i="13" s="1"/>
  <c r="P598" i="9"/>
  <c r="L588" i="13" s="1"/>
  <c r="P571" i="9"/>
  <c r="L561" i="13" s="1"/>
  <c r="P575" i="9"/>
  <c r="L565" i="13" s="1"/>
  <c r="P612" i="9"/>
  <c r="L602" i="13" s="1"/>
  <c r="P606" i="9"/>
  <c r="L596" i="13" s="1"/>
  <c r="P584" i="9"/>
  <c r="L574" i="13" s="1"/>
  <c r="P615" i="9"/>
  <c r="L605" i="13" s="1"/>
  <c r="P564" i="9"/>
  <c r="L554" i="13" s="1"/>
  <c r="P580" i="9"/>
  <c r="L570" i="13" s="1"/>
  <c r="P568" i="9"/>
  <c r="L558" i="13" s="1"/>
  <c r="P602" i="9"/>
  <c r="L592" i="13" s="1"/>
  <c r="P567" i="9"/>
  <c r="L557" i="13" s="1"/>
  <c r="P542" i="9"/>
  <c r="L532" i="13" s="1"/>
  <c r="P510" i="9"/>
  <c r="L500" i="13" s="1"/>
  <c r="P493" i="9"/>
  <c r="L483" i="13" s="1"/>
  <c r="P453" i="9"/>
  <c r="L443" i="13" s="1"/>
  <c r="P502" i="9"/>
  <c r="L492" i="13" s="1"/>
  <c r="P532" i="9"/>
  <c r="L522" i="13" s="1"/>
  <c r="P505" i="9"/>
  <c r="L495" i="13" s="1"/>
  <c r="P471" i="9"/>
  <c r="L461" i="13" s="1"/>
  <c r="P417" i="9"/>
  <c r="L407" i="13" s="1"/>
  <c r="P468" i="9"/>
  <c r="L458" i="13" s="1"/>
  <c r="P420" i="9"/>
  <c r="L410" i="13" s="1"/>
  <c r="P375" i="9"/>
  <c r="L365" i="13" s="1"/>
  <c r="P457" i="9"/>
  <c r="L447" i="13" s="1"/>
  <c r="P380" i="9"/>
  <c r="L370" i="13" s="1"/>
  <c r="P424" i="9"/>
  <c r="L414" i="13" s="1"/>
  <c r="P409" i="9"/>
  <c r="L399" i="13" s="1"/>
  <c r="P395" i="9"/>
  <c r="L385" i="13" s="1"/>
  <c r="P434" i="9"/>
  <c r="L424" i="13" s="1"/>
  <c r="P405" i="9"/>
  <c r="L395" i="13" s="1"/>
  <c r="P401" i="9"/>
  <c r="L391" i="13" s="1"/>
  <c r="P419" i="9"/>
  <c r="L409" i="13" s="1"/>
  <c r="P349" i="9"/>
  <c r="L339" i="13" s="1"/>
  <c r="P332" i="9"/>
  <c r="L322" i="13" s="1"/>
  <c r="P290" i="9"/>
  <c r="L280" i="13" s="1"/>
  <c r="P344" i="9"/>
  <c r="L334" i="13" s="1"/>
  <c r="P310" i="9"/>
  <c r="L300" i="13" s="1"/>
  <c r="P231" i="9"/>
  <c r="L221" i="13" s="1"/>
  <c r="P288" i="9"/>
  <c r="L278" i="13" s="1"/>
  <c r="P172" i="9"/>
  <c r="L162" i="13" s="1"/>
  <c r="P286" i="9"/>
  <c r="L276" i="13" s="1"/>
  <c r="P247" i="9"/>
  <c r="L237" i="13" s="1"/>
  <c r="P260" i="9"/>
  <c r="L250" i="13" s="1"/>
  <c r="P204" i="9"/>
  <c r="L194" i="13" s="1"/>
  <c r="P236" i="9"/>
  <c r="L226" i="13" s="1"/>
  <c r="P187" i="9"/>
  <c r="L177" i="13" s="1"/>
  <c r="P160" i="9"/>
  <c r="L150" i="13" s="1"/>
  <c r="P176" i="9"/>
  <c r="L166" i="13" s="1"/>
  <c r="P178" i="9"/>
  <c r="L168" i="13" s="1"/>
  <c r="P201" i="9"/>
  <c r="L191" i="13" s="1"/>
  <c r="P173" i="9"/>
  <c r="L163" i="13" s="1"/>
  <c r="P186" i="9"/>
  <c r="L176" i="13" s="1"/>
  <c r="P114" i="9"/>
  <c r="L104" i="13" s="1"/>
  <c r="P37" i="9"/>
  <c r="L27" i="13" s="1"/>
  <c r="P128" i="9"/>
  <c r="L118" i="13" s="1"/>
  <c r="P146" i="9"/>
  <c r="L136" i="13" s="1"/>
  <c r="P92" i="9"/>
  <c r="L82" i="13" s="1"/>
  <c r="P60" i="9"/>
  <c r="L50" i="13" s="1"/>
  <c r="P29" i="9"/>
  <c r="L19" i="13" s="1"/>
  <c r="P23" i="9"/>
  <c r="L13" i="13" s="1"/>
  <c r="P59" i="9"/>
  <c r="L49" i="13" s="1"/>
  <c r="P30" i="9"/>
  <c r="L20" i="13" s="1"/>
  <c r="P87" i="9"/>
  <c r="L77" i="13" s="1"/>
  <c r="P26" i="9"/>
  <c r="L16" i="13" s="1"/>
  <c r="P68" i="9"/>
  <c r="L58" i="13" s="1"/>
  <c r="P39" i="9"/>
  <c r="L29" i="13" s="1"/>
  <c r="P155" i="9"/>
  <c r="L145" i="13" s="1"/>
  <c r="P609" i="9"/>
  <c r="L599" i="13" s="1"/>
  <c r="P546" i="9"/>
  <c r="L536" i="13" s="1"/>
  <c r="P565" i="9"/>
  <c r="L555" i="13" s="1"/>
  <c r="P577" i="9"/>
  <c r="L567" i="13" s="1"/>
  <c r="P540" i="9"/>
  <c r="L530" i="13" s="1"/>
  <c r="P508" i="9"/>
  <c r="L498" i="13" s="1"/>
  <c r="P451" i="9"/>
  <c r="L441" i="13" s="1"/>
  <c r="P486" i="9"/>
  <c r="L476" i="13" s="1"/>
  <c r="P460" i="9"/>
  <c r="L450" i="13" s="1"/>
  <c r="P524" i="9"/>
  <c r="L514" i="13" s="1"/>
  <c r="P487" i="9"/>
  <c r="L477" i="13" s="1"/>
  <c r="P455" i="9"/>
  <c r="L445" i="13" s="1"/>
  <c r="P447" i="9"/>
  <c r="L437" i="13" s="1"/>
  <c r="P372" i="9"/>
  <c r="L362" i="13" s="1"/>
  <c r="P371" i="9"/>
  <c r="L361" i="13" s="1"/>
  <c r="P438" i="9"/>
  <c r="L428" i="13" s="1"/>
  <c r="P456" i="9"/>
  <c r="L446" i="13" s="1"/>
  <c r="P432" i="9"/>
  <c r="L422" i="13" s="1"/>
  <c r="P402" i="9"/>
  <c r="L392" i="13" s="1"/>
  <c r="P474" i="9"/>
  <c r="L464" i="13" s="1"/>
  <c r="P441" i="9"/>
  <c r="L431" i="13" s="1"/>
  <c r="P418" i="9"/>
  <c r="L408" i="13" s="1"/>
  <c r="P392" i="9"/>
  <c r="L382" i="13" s="1"/>
  <c r="P414" i="9"/>
  <c r="L404" i="13" s="1"/>
  <c r="P390" i="9"/>
  <c r="L380" i="13" s="1"/>
  <c r="P366" i="9"/>
  <c r="L356" i="13" s="1"/>
  <c r="P340" i="9"/>
  <c r="L330" i="13" s="1"/>
  <c r="P336" i="9"/>
  <c r="L326" i="13" s="1"/>
  <c r="P356" i="9"/>
  <c r="L346" i="13" s="1"/>
  <c r="P365" i="9"/>
  <c r="L355" i="13" s="1"/>
  <c r="P350" i="9"/>
  <c r="L340" i="13" s="1"/>
  <c r="P320" i="9"/>
  <c r="L310" i="13" s="1"/>
  <c r="P229" i="9"/>
  <c r="L219" i="13" s="1"/>
  <c r="P298" i="9"/>
  <c r="L288" i="13" s="1"/>
  <c r="P238" i="9"/>
  <c r="L228" i="13" s="1"/>
  <c r="P200" i="9"/>
  <c r="L190" i="13" s="1"/>
  <c r="P255" i="9"/>
  <c r="L245" i="13" s="1"/>
  <c r="P219" i="9"/>
  <c r="L209" i="13" s="1"/>
  <c r="P239" i="9"/>
  <c r="L229" i="13" s="1"/>
  <c r="P197" i="9"/>
  <c r="L187" i="13" s="1"/>
  <c r="P284" i="9"/>
  <c r="L274" i="13" s="1"/>
  <c r="P245" i="9"/>
  <c r="L235" i="13" s="1"/>
  <c r="P234" i="9"/>
  <c r="L224" i="13" s="1"/>
  <c r="P177" i="9"/>
  <c r="L167" i="13" s="1"/>
  <c r="P143" i="9"/>
  <c r="L133" i="13" s="1"/>
  <c r="P211" i="9"/>
  <c r="L201" i="13" s="1"/>
  <c r="P184" i="9"/>
  <c r="L174" i="13" s="1"/>
  <c r="P112" i="9"/>
  <c r="L102" i="13" s="1"/>
  <c r="P125" i="9"/>
  <c r="L115" i="13" s="1"/>
  <c r="P102" i="9"/>
  <c r="L92" i="13" s="1"/>
  <c r="P126" i="9"/>
  <c r="L116" i="13" s="1"/>
  <c r="P101" i="9"/>
  <c r="L91" i="13" s="1"/>
  <c r="P118" i="9"/>
  <c r="L108" i="13" s="1"/>
  <c r="P144" i="9"/>
  <c r="L134" i="13" s="1"/>
  <c r="P86" i="9"/>
  <c r="L76" i="13" s="1"/>
  <c r="P58" i="9"/>
  <c r="L48" i="13" s="1"/>
  <c r="P54" i="9"/>
  <c r="L44" i="13" s="1"/>
  <c r="P21" i="9"/>
  <c r="L11" i="13" s="1"/>
  <c r="P80" i="9"/>
  <c r="L70" i="13" s="1"/>
  <c r="P78" i="9"/>
  <c r="L68" i="13" s="1"/>
  <c r="P50" i="9"/>
  <c r="L40" i="13" s="1"/>
  <c r="P28" i="9"/>
  <c r="L18" i="13" s="1"/>
  <c r="P85" i="9"/>
  <c r="L75" i="13" s="1"/>
  <c r="P24" i="9"/>
  <c r="L14" i="13" s="1"/>
  <c r="P132" i="9"/>
  <c r="L122" i="13" s="1"/>
  <c r="P560" i="9"/>
  <c r="L550" i="13" s="1"/>
  <c r="P601" i="9"/>
  <c r="L591" i="13" s="1"/>
  <c r="P586" i="9"/>
  <c r="L576" i="13" s="1"/>
  <c r="P561" i="9"/>
  <c r="L551" i="13" s="1"/>
  <c r="P574" i="9"/>
  <c r="L564" i="13" s="1"/>
  <c r="P484" i="9"/>
  <c r="L474" i="13" s="1"/>
  <c r="P537" i="9"/>
  <c r="L527" i="13" s="1"/>
  <c r="P476" i="9"/>
  <c r="L466" i="13" s="1"/>
  <c r="P481" i="9"/>
  <c r="L471" i="13" s="1"/>
  <c r="P554" i="9"/>
  <c r="L544" i="13" s="1"/>
  <c r="P527" i="9"/>
  <c r="L517" i="13" s="1"/>
  <c r="P433" i="9"/>
  <c r="L423" i="13" s="1"/>
  <c r="P518" i="9"/>
  <c r="L508" i="13" s="1"/>
  <c r="P491" i="9"/>
  <c r="L481" i="13" s="1"/>
  <c r="P442" i="9"/>
  <c r="L432" i="13" s="1"/>
  <c r="P461" i="9"/>
  <c r="L451" i="13" s="1"/>
  <c r="P415" i="9"/>
  <c r="L405" i="13" s="1"/>
  <c r="P439" i="9"/>
  <c r="L429" i="13" s="1"/>
  <c r="P373" i="9"/>
  <c r="L363" i="13" s="1"/>
  <c r="P467" i="9"/>
  <c r="L457" i="13" s="1"/>
  <c r="P428" i="9"/>
  <c r="L418" i="13" s="1"/>
  <c r="P454" i="9"/>
  <c r="L444" i="13" s="1"/>
  <c r="P430" i="9"/>
  <c r="L420" i="13" s="1"/>
  <c r="P463" i="9"/>
  <c r="L453" i="13" s="1"/>
  <c r="P413" i="9"/>
  <c r="L403" i="13" s="1"/>
  <c r="P333" i="9"/>
  <c r="L323" i="13" s="1"/>
  <c r="P412" i="9"/>
  <c r="L402" i="13" s="1"/>
  <c r="P388" i="9"/>
  <c r="L378" i="13" s="1"/>
  <c r="P364" i="9"/>
  <c r="L354" i="13" s="1"/>
  <c r="P347" i="9"/>
  <c r="L337" i="13" s="1"/>
  <c r="P323" i="9"/>
  <c r="L313" i="13" s="1"/>
  <c r="P267" i="9"/>
  <c r="L257" i="13" s="1"/>
  <c r="P334" i="9"/>
  <c r="L324" i="13" s="1"/>
  <c r="P354" i="9"/>
  <c r="L344" i="13" s="1"/>
  <c r="P319" i="9"/>
  <c r="L309" i="13" s="1"/>
  <c r="P246" i="9"/>
  <c r="L236" i="13" s="1"/>
  <c r="P308" i="9"/>
  <c r="L298" i="13" s="1"/>
  <c r="P337" i="9"/>
  <c r="L327" i="13" s="1"/>
  <c r="P312" i="9"/>
  <c r="L302" i="13" s="1"/>
  <c r="P296" i="9"/>
  <c r="L286" i="13" s="1"/>
  <c r="P163" i="9"/>
  <c r="L153" i="13" s="1"/>
  <c r="P213" i="9"/>
  <c r="L203" i="13" s="1"/>
  <c r="P274" i="9"/>
  <c r="L264" i="13" s="1"/>
  <c r="P233" i="9"/>
  <c r="L223" i="13" s="1"/>
  <c r="P253" i="9"/>
  <c r="L243" i="13" s="1"/>
  <c r="P266" i="9"/>
  <c r="L256" i="13" s="1"/>
  <c r="P243" i="9"/>
  <c r="L233" i="13" s="1"/>
  <c r="P275" i="9"/>
  <c r="L265" i="13" s="1"/>
  <c r="P258" i="9"/>
  <c r="L248" i="13" s="1"/>
  <c r="P227" i="9"/>
  <c r="L217" i="13" s="1"/>
  <c r="P195" i="9"/>
  <c r="L185" i="13" s="1"/>
  <c r="P232" i="9"/>
  <c r="L222" i="13" s="1"/>
  <c r="P210" i="9"/>
  <c r="L200" i="13" s="1"/>
  <c r="P147" i="9"/>
  <c r="L137" i="13" s="1"/>
  <c r="P167" i="9"/>
  <c r="L157" i="13" s="1"/>
  <c r="P141" i="9"/>
  <c r="L131" i="13" s="1"/>
  <c r="P209" i="9"/>
  <c r="L199" i="13" s="1"/>
  <c r="P171" i="9"/>
  <c r="L161" i="13" s="1"/>
  <c r="P168" i="9"/>
  <c r="L158" i="13" s="1"/>
  <c r="P138" i="9"/>
  <c r="L128" i="13" s="1"/>
  <c r="P123" i="9"/>
  <c r="L113" i="13" s="1"/>
  <c r="P108" i="9"/>
  <c r="L98" i="13" s="1"/>
  <c r="P98" i="9"/>
  <c r="L88" i="13" s="1"/>
  <c r="P69" i="9"/>
  <c r="L59" i="13" s="1"/>
  <c r="P96" i="9"/>
  <c r="L86" i="13" s="1"/>
  <c r="P124" i="9"/>
  <c r="L114" i="13" s="1"/>
  <c r="P100" i="9"/>
  <c r="L90" i="13" s="1"/>
  <c r="P142" i="9"/>
  <c r="L132" i="13" s="1"/>
  <c r="P77" i="9"/>
  <c r="L67" i="13" s="1"/>
  <c r="P27" i="9"/>
  <c r="L17" i="13" s="1"/>
  <c r="P84" i="9"/>
  <c r="L74" i="13" s="1"/>
  <c r="P52" i="9"/>
  <c r="L42" i="13" s="1"/>
  <c r="P45" i="9"/>
  <c r="L35" i="13" s="1"/>
  <c r="P76" i="9"/>
  <c r="L66" i="13" s="1"/>
  <c r="P48" i="9"/>
  <c r="L38" i="13" s="1"/>
  <c r="P558" i="9"/>
  <c r="L548" i="13" s="1"/>
  <c r="P605" i="9"/>
  <c r="L595" i="13" s="1"/>
  <c r="P592" i="9"/>
  <c r="L582" i="13" s="1"/>
  <c r="P506" i="9"/>
  <c r="L496" i="13" s="1"/>
  <c r="P517" i="9"/>
  <c r="L507" i="13" s="1"/>
  <c r="P534" i="9"/>
  <c r="L524" i="13" s="1"/>
  <c r="P429" i="9"/>
  <c r="L419" i="13" s="1"/>
  <c r="P523" i="9"/>
  <c r="L513" i="13" s="1"/>
  <c r="P479" i="9"/>
  <c r="L469" i="13" s="1"/>
  <c r="P498" i="9"/>
  <c r="L488" i="13" s="1"/>
  <c r="P516" i="9"/>
  <c r="L506" i="13" s="1"/>
  <c r="P485" i="9"/>
  <c r="L475" i="13" s="1"/>
  <c r="P512" i="9"/>
  <c r="L502" i="13" s="1"/>
  <c r="P478" i="9"/>
  <c r="L468" i="13" s="1"/>
  <c r="P422" i="9"/>
  <c r="L412" i="13" s="1"/>
  <c r="P459" i="9"/>
  <c r="L449" i="13" s="1"/>
  <c r="P492" i="9"/>
  <c r="L482" i="13" s="1"/>
  <c r="P427" i="9"/>
  <c r="L417" i="13" s="1"/>
  <c r="P464" i="9"/>
  <c r="L454" i="13" s="1"/>
  <c r="P406" i="9"/>
  <c r="L396" i="13" s="1"/>
  <c r="P440" i="9"/>
  <c r="L430" i="13" s="1"/>
  <c r="P465" i="9"/>
  <c r="L455" i="13" s="1"/>
  <c r="P452" i="9"/>
  <c r="L442" i="13" s="1"/>
  <c r="P387" i="9"/>
  <c r="L377" i="13" s="1"/>
  <c r="P331" i="9"/>
  <c r="L321" i="13" s="1"/>
  <c r="P297" i="9"/>
  <c r="L287" i="13" s="1"/>
  <c r="P386" i="9"/>
  <c r="L376" i="13" s="1"/>
  <c r="P292" i="9"/>
  <c r="L282" i="13" s="1"/>
  <c r="P352" i="9"/>
  <c r="L342" i="13" s="1"/>
  <c r="P317" i="9"/>
  <c r="L307" i="13" s="1"/>
  <c r="P363" i="9"/>
  <c r="L353" i="13" s="1"/>
  <c r="P339" i="9"/>
  <c r="L329" i="13" s="1"/>
  <c r="P342" i="9"/>
  <c r="L332" i="13" s="1"/>
  <c r="P289" i="9"/>
  <c r="L279" i="13" s="1"/>
  <c r="P256" i="9"/>
  <c r="L246" i="13" s="1"/>
  <c r="P285" i="9"/>
  <c r="L275" i="13" s="1"/>
  <c r="P207" i="9"/>
  <c r="L197" i="13" s="1"/>
  <c r="P272" i="9"/>
  <c r="L262" i="13" s="1"/>
  <c r="P251" i="9"/>
  <c r="L241" i="13" s="1"/>
  <c r="P206" i="9"/>
  <c r="L196" i="13" s="1"/>
  <c r="P302" i="9"/>
  <c r="L292" i="13" s="1"/>
  <c r="P264" i="9"/>
  <c r="L254" i="13" s="1"/>
  <c r="P279" i="9"/>
  <c r="L269" i="13" s="1"/>
  <c r="P273" i="9"/>
  <c r="L263" i="13" s="1"/>
  <c r="P225" i="9"/>
  <c r="L215" i="13" s="1"/>
  <c r="P170" i="9"/>
  <c r="L160" i="13" s="1"/>
  <c r="P165" i="9"/>
  <c r="L155" i="13" s="1"/>
  <c r="P194" i="9"/>
  <c r="L184" i="13" s="1"/>
  <c r="P158" i="9"/>
  <c r="L148" i="13" s="1"/>
  <c r="P110" i="9"/>
  <c r="L100" i="13" s="1"/>
  <c r="P149" i="9"/>
  <c r="L139" i="13" s="1"/>
  <c r="P121" i="9"/>
  <c r="L111" i="13" s="1"/>
  <c r="P64" i="9"/>
  <c r="L54" i="13" s="1"/>
  <c r="P66" i="9"/>
  <c r="L56" i="13" s="1"/>
  <c r="P44" i="9"/>
  <c r="L34" i="13" s="1"/>
  <c r="P115" i="9"/>
  <c r="L105" i="13" s="1"/>
  <c r="P122" i="9"/>
  <c r="L112" i="13" s="1"/>
  <c r="P51" i="9"/>
  <c r="L41" i="13" s="1"/>
  <c r="P140" i="9"/>
  <c r="L130" i="13" s="1"/>
  <c r="P75" i="9"/>
  <c r="L65" i="13" s="1"/>
  <c r="P49" i="9"/>
  <c r="L39" i="13" s="1"/>
  <c r="P18" i="9"/>
  <c r="L8" i="13" s="1"/>
  <c r="P25" i="9"/>
  <c r="L15" i="13" s="1"/>
  <c r="P19" i="9"/>
  <c r="L9" i="13" s="1"/>
  <c r="P67" i="9"/>
  <c r="L57" i="13" s="1"/>
  <c r="P74" i="9"/>
  <c r="L64" i="13" s="1"/>
  <c r="P43" i="9"/>
  <c r="L33" i="13" s="1"/>
  <c r="P55" i="9"/>
  <c r="L45" i="13" s="1"/>
  <c r="P22" i="9"/>
  <c r="L12" i="13" s="1"/>
  <c r="P553" i="9"/>
  <c r="L543" i="13" s="1"/>
  <c r="P607" i="9"/>
  <c r="L597" i="13" s="1"/>
  <c r="P595" i="9"/>
  <c r="L585" i="13" s="1"/>
  <c r="P552" i="9"/>
  <c r="L542" i="13" s="1"/>
  <c r="P589" i="9"/>
  <c r="L579" i="13" s="1"/>
  <c r="P581" i="9"/>
  <c r="L571" i="13" s="1"/>
  <c r="P504" i="9"/>
  <c r="L494" i="13" s="1"/>
  <c r="P515" i="9"/>
  <c r="L505" i="13" s="1"/>
  <c r="P529" i="9"/>
  <c r="L519" i="13" s="1"/>
  <c r="P503" i="9"/>
  <c r="L493" i="13" s="1"/>
  <c r="P533" i="9"/>
  <c r="L523" i="13" s="1"/>
  <c r="P391" i="9"/>
  <c r="L381" i="13" s="1"/>
  <c r="P404" i="9"/>
  <c r="L394" i="13" s="1"/>
  <c r="P490" i="9"/>
  <c r="L480" i="13" s="1"/>
  <c r="P398" i="9"/>
  <c r="L388" i="13" s="1"/>
  <c r="P450" i="9"/>
  <c r="L440" i="13" s="1"/>
  <c r="P384" i="9"/>
  <c r="L374" i="13" s="1"/>
  <c r="P362" i="9"/>
  <c r="L352" i="13" s="1"/>
  <c r="P329" i="9"/>
  <c r="L319" i="13" s="1"/>
  <c r="P265" i="9"/>
  <c r="L255" i="13" s="1"/>
  <c r="P345" i="9"/>
  <c r="L335" i="13" s="1"/>
  <c r="P309" i="9"/>
  <c r="L299" i="13" s="1"/>
  <c r="P321" i="9"/>
  <c r="L311" i="13" s="1"/>
  <c r="P315" i="9"/>
  <c r="L305" i="13" s="1"/>
  <c r="P378" i="9"/>
  <c r="L368" i="13" s="1"/>
  <c r="P287" i="9"/>
  <c r="L277" i="13" s="1"/>
  <c r="P280" i="9"/>
  <c r="L270" i="13" s="1"/>
  <c r="P270" i="9"/>
  <c r="L260" i="13" s="1"/>
  <c r="P249" i="9"/>
  <c r="L239" i="13" s="1"/>
  <c r="P199" i="9"/>
  <c r="L189" i="13" s="1"/>
  <c r="P156" i="9"/>
  <c r="L146" i="13" s="1"/>
  <c r="P277" i="9"/>
  <c r="L267" i="13" s="1"/>
  <c r="P224" i="9"/>
  <c r="L214" i="13" s="1"/>
  <c r="P216" i="9"/>
  <c r="L206" i="13" s="1"/>
  <c r="P166" i="9"/>
  <c r="L156" i="13" s="1"/>
  <c r="P148" i="9"/>
  <c r="L138" i="13" s="1"/>
  <c r="P192" i="9"/>
  <c r="L182" i="13" s="1"/>
  <c r="P154" i="9"/>
  <c r="L144" i="13" s="1"/>
  <c r="P129" i="9"/>
  <c r="L119" i="13" s="1"/>
  <c r="P106" i="9"/>
  <c r="L96" i="13" s="1"/>
  <c r="P139" i="9"/>
  <c r="L129" i="13" s="1"/>
  <c r="P113" i="9"/>
  <c r="L103" i="13" s="1"/>
  <c r="P120" i="9"/>
  <c r="L110" i="13" s="1"/>
  <c r="P82" i="9"/>
  <c r="L72" i="13" s="1"/>
  <c r="P131" i="9"/>
  <c r="L121" i="13" s="1"/>
  <c r="P73" i="9"/>
  <c r="L63" i="13" s="1"/>
  <c r="P47" i="9"/>
  <c r="L37" i="13" s="1"/>
  <c r="P42" i="9"/>
  <c r="L32" i="13" s="1"/>
  <c r="P65" i="9"/>
  <c r="L55" i="13" s="1"/>
  <c r="P104" i="9"/>
  <c r="L94" i="13" s="1"/>
  <c r="P53" i="9"/>
  <c r="L43" i="13" s="1"/>
  <c r="P597" i="9"/>
  <c r="L587" i="13" s="1"/>
  <c r="P544" i="9"/>
  <c r="L534" i="13" s="1"/>
  <c r="P562" i="9"/>
  <c r="L552" i="13" s="1"/>
  <c r="P613" i="9"/>
  <c r="L603" i="13" s="1"/>
  <c r="P583" i="9"/>
  <c r="L573" i="13" s="1"/>
  <c r="P551" i="9"/>
  <c r="L541" i="13" s="1"/>
  <c r="P499" i="9"/>
  <c r="L489" i="13" s="1"/>
  <c r="P477" i="9"/>
  <c r="L467" i="13" s="1"/>
  <c r="P511" i="9"/>
  <c r="L501" i="13" s="1"/>
  <c r="P549" i="9"/>
  <c r="L539" i="13" s="1"/>
  <c r="P494" i="9"/>
  <c r="L484" i="13" s="1"/>
  <c r="P535" i="9"/>
  <c r="L525" i="13" s="1"/>
  <c r="P514" i="9"/>
  <c r="L504" i="13" s="1"/>
  <c r="P501" i="9"/>
  <c r="L491" i="13" s="1"/>
  <c r="P522" i="9"/>
  <c r="L512" i="13" s="1"/>
  <c r="P482" i="9"/>
  <c r="L472" i="13" s="1"/>
  <c r="P488" i="9"/>
  <c r="L478" i="13" s="1"/>
  <c r="P466" i="9"/>
  <c r="L456" i="13" s="1"/>
  <c r="P374" i="9"/>
  <c r="L364" i="13" s="1"/>
  <c r="P393" i="9"/>
  <c r="L383" i="13" s="1"/>
  <c r="P426" i="9"/>
  <c r="L416" i="13" s="1"/>
  <c r="P385" i="9"/>
  <c r="L375" i="13" s="1"/>
  <c r="P411" i="9"/>
  <c r="L401" i="13" s="1"/>
  <c r="P443" i="9"/>
  <c r="L433" i="13" s="1"/>
  <c r="P382" i="9"/>
  <c r="L372" i="13" s="1"/>
  <c r="P318" i="9"/>
  <c r="L308" i="13" s="1"/>
  <c r="P263" i="9"/>
  <c r="L253" i="13" s="1"/>
  <c r="P399" i="9"/>
  <c r="L389" i="13" s="1"/>
  <c r="P379" i="9"/>
  <c r="L369" i="13" s="1"/>
  <c r="P360" i="9"/>
  <c r="L350" i="13" s="1"/>
  <c r="P338" i="9"/>
  <c r="L328" i="13" s="1"/>
  <c r="P311" i="9"/>
  <c r="L301" i="13" s="1"/>
  <c r="P341" i="9"/>
  <c r="L331" i="13" s="1"/>
  <c r="P313" i="9"/>
  <c r="L303" i="13" s="1"/>
  <c r="P376" i="9"/>
  <c r="L366" i="13" s="1"/>
  <c r="P361" i="9"/>
  <c r="L351" i="13" s="1"/>
  <c r="P328" i="9"/>
  <c r="L318" i="13" s="1"/>
  <c r="P348" i="9"/>
  <c r="L338" i="13" s="1"/>
  <c r="P294" i="9"/>
  <c r="L284" i="13" s="1"/>
  <c r="P335" i="9"/>
  <c r="L325" i="13" s="1"/>
  <c r="P300" i="9"/>
  <c r="L290" i="13" s="1"/>
  <c r="P307" i="9"/>
  <c r="L297" i="13" s="1"/>
  <c r="P254" i="9"/>
  <c r="L244" i="13" s="1"/>
  <c r="P217" i="9"/>
  <c r="L207" i="13" s="1"/>
  <c r="P278" i="9"/>
  <c r="L268" i="13" s="1"/>
  <c r="P244" i="9"/>
  <c r="L234" i="13" s="1"/>
  <c r="P202" i="9"/>
  <c r="L192" i="13" s="1"/>
  <c r="P261" i="9"/>
  <c r="L251" i="13" s="1"/>
  <c r="P268" i="9"/>
  <c r="L258" i="13" s="1"/>
  <c r="P242" i="9"/>
  <c r="L232" i="13" s="1"/>
  <c r="P198" i="9"/>
  <c r="L188" i="13" s="1"/>
  <c r="P293" i="9"/>
  <c r="L283" i="13" s="1"/>
  <c r="P218" i="9"/>
  <c r="L208" i="13" s="1"/>
  <c r="P271" i="9"/>
  <c r="L261" i="13" s="1"/>
  <c r="P241" i="9"/>
  <c r="L231" i="13" s="1"/>
  <c r="P214" i="9"/>
  <c r="L204" i="13" s="1"/>
  <c r="P164" i="9"/>
  <c r="L154" i="13" s="1"/>
  <c r="P221" i="9"/>
  <c r="L211" i="13" s="1"/>
  <c r="P193" i="9"/>
  <c r="L183" i="13" s="1"/>
  <c r="P196" i="9"/>
  <c r="L186" i="13" s="1"/>
  <c r="P159" i="9"/>
  <c r="L149" i="13" s="1"/>
  <c r="P222" i="9"/>
  <c r="L212" i="13" s="1"/>
  <c r="P190" i="9"/>
  <c r="L180" i="13" s="1"/>
  <c r="P182" i="9"/>
  <c r="L172" i="13" s="1"/>
  <c r="P150" i="9"/>
  <c r="L140" i="13" s="1"/>
  <c r="P127" i="9"/>
  <c r="L117" i="13" s="1"/>
  <c r="P136" i="9"/>
  <c r="L126" i="13" s="1"/>
  <c r="P119" i="9"/>
  <c r="L109" i="13" s="1"/>
  <c r="P130" i="9"/>
  <c r="L120" i="13" s="1"/>
  <c r="P111" i="9"/>
  <c r="L101" i="13" s="1"/>
  <c r="P79" i="9"/>
  <c r="L69" i="13" s="1"/>
  <c r="P33" i="9"/>
  <c r="L23" i="13" s="1"/>
  <c r="P40" i="9"/>
  <c r="L30" i="13" s="1"/>
  <c r="P99" i="9"/>
  <c r="L89" i="13" s="1"/>
  <c r="P63" i="9"/>
  <c r="L53" i="13" s="1"/>
  <c r="P34" i="9"/>
  <c r="L24" i="13" s="1"/>
  <c r="P81" i="9"/>
  <c r="L71" i="13" s="1"/>
  <c r="P46" i="9"/>
  <c r="L36" i="13" s="1"/>
  <c r="P20" i="9"/>
  <c r="L10" i="13" s="1"/>
  <c r="P590" i="9"/>
  <c r="L580" i="13" s="1"/>
  <c r="P531" i="9"/>
  <c r="L521" i="13" s="1"/>
  <c r="P573" i="9"/>
  <c r="L563" i="13" s="1"/>
  <c r="P582" i="9"/>
  <c r="L572" i="13" s="1"/>
  <c r="P559" i="9"/>
  <c r="L549" i="13" s="1"/>
  <c r="P610" i="9"/>
  <c r="L600" i="13" s="1"/>
  <c r="P545" i="9"/>
  <c r="L535" i="13" s="1"/>
  <c r="P497" i="9"/>
  <c r="L487" i="13" s="1"/>
  <c r="P473" i="9"/>
  <c r="L463" i="13" s="1"/>
  <c r="P396" i="9"/>
  <c r="L386" i="13" s="1"/>
  <c r="P462" i="9"/>
  <c r="L452" i="13" s="1"/>
  <c r="P541" i="9"/>
  <c r="L531" i="13" s="1"/>
  <c r="P509" i="9"/>
  <c r="L499" i="13" s="1"/>
  <c r="P480" i="9"/>
  <c r="L470" i="13" s="1"/>
  <c r="P472" i="9"/>
  <c r="L462" i="13" s="1"/>
  <c r="P425" i="9"/>
  <c r="L415" i="13" s="1"/>
  <c r="P389" i="9"/>
  <c r="L379" i="13" s="1"/>
  <c r="P431" i="9"/>
  <c r="L421" i="13" s="1"/>
  <c r="P383" i="9"/>
  <c r="L373" i="13" s="1"/>
  <c r="P458" i="9"/>
  <c r="L448" i="13" s="1"/>
  <c r="P355" i="9"/>
  <c r="L345" i="13" s="1"/>
  <c r="P316" i="9"/>
  <c r="L306" i="13" s="1"/>
  <c r="P397" i="9"/>
  <c r="L387" i="13" s="1"/>
  <c r="P327" i="9"/>
  <c r="L317" i="13" s="1"/>
  <c r="P358" i="9"/>
  <c r="L348" i="13" s="1"/>
  <c r="P304" i="9"/>
  <c r="L294" i="13" s="1"/>
  <c r="P306" i="9"/>
  <c r="L296" i="13" s="1"/>
  <c r="P326" i="9"/>
  <c r="L316" i="13" s="1"/>
  <c r="P346" i="9"/>
  <c r="L336" i="13" s="1"/>
  <c r="P324" i="9"/>
  <c r="L314" i="13" s="1"/>
  <c r="P305" i="9"/>
  <c r="L295" i="13" s="1"/>
  <c r="P252" i="9"/>
  <c r="L242" i="13" s="1"/>
  <c r="P208" i="9"/>
  <c r="L198" i="13" s="1"/>
  <c r="P276" i="9"/>
  <c r="L266" i="13" s="1"/>
  <c r="P240" i="9"/>
  <c r="L230" i="13" s="1"/>
  <c r="P259" i="9"/>
  <c r="L249" i="13" s="1"/>
  <c r="P237" i="9"/>
  <c r="L227" i="13" s="1"/>
  <c r="P185" i="9"/>
  <c r="L175" i="13" s="1"/>
  <c r="P295" i="9"/>
  <c r="L285" i="13" s="1"/>
  <c r="P269" i="9"/>
  <c r="L259" i="13" s="1"/>
  <c r="P230" i="9"/>
  <c r="L220" i="13" s="1"/>
  <c r="P212" i="9"/>
  <c r="L202" i="13" s="1"/>
  <c r="P161" i="9"/>
  <c r="L151" i="13" s="1"/>
  <c r="P191" i="9"/>
  <c r="L181" i="13" s="1"/>
  <c r="P174" i="9"/>
  <c r="L164" i="13" s="1"/>
  <c r="P188" i="9"/>
  <c r="L178" i="13" s="1"/>
  <c r="P205" i="9"/>
  <c r="L195" i="13" s="1"/>
  <c r="P181" i="9"/>
  <c r="L171" i="13" s="1"/>
  <c r="P134" i="9"/>
  <c r="L124" i="13" s="1"/>
  <c r="P117" i="9"/>
  <c r="L107" i="13" s="1"/>
  <c r="P109" i="9"/>
  <c r="L99" i="13" s="1"/>
  <c r="P153" i="9"/>
  <c r="L143" i="13" s="1"/>
  <c r="P31" i="9"/>
  <c r="L21" i="13" s="1"/>
  <c r="P90" i="9"/>
  <c r="L80" i="13" s="1"/>
  <c r="P71" i="9"/>
  <c r="L61" i="13" s="1"/>
  <c r="P38" i="9"/>
  <c r="L28" i="13" s="1"/>
  <c r="P97" i="9"/>
  <c r="L87" i="13" s="1"/>
  <c r="P36" i="9"/>
  <c r="L26" i="13" s="1"/>
  <c r="P93" i="9"/>
  <c r="L83" i="13" s="1"/>
  <c r="P32" i="9"/>
  <c r="L22" i="13" s="1"/>
  <c r="P536" i="9"/>
  <c r="L526" i="13" s="1"/>
  <c r="P557" i="9"/>
  <c r="L547" i="13" s="1"/>
  <c r="P578" i="9"/>
  <c r="L568" i="13" s="1"/>
  <c r="P556" i="9"/>
  <c r="L546" i="13" s="1"/>
  <c r="P550" i="9"/>
  <c r="L540" i="13" s="1"/>
  <c r="P519" i="9"/>
  <c r="L509" i="13" s="1"/>
  <c r="P495" i="9"/>
  <c r="L485" i="13" s="1"/>
  <c r="P469" i="9"/>
  <c r="L459" i="13" s="1"/>
  <c r="P513" i="9"/>
  <c r="L503" i="13" s="1"/>
  <c r="P543" i="9"/>
  <c r="L533" i="13" s="1"/>
  <c r="P500" i="9"/>
  <c r="L490" i="13" s="1"/>
  <c r="P538" i="9"/>
  <c r="L528" i="13" s="1"/>
  <c r="P507" i="9"/>
  <c r="L497" i="13" s="1"/>
  <c r="P530" i="9"/>
  <c r="L520" i="13" s="1"/>
  <c r="P435" i="9"/>
  <c r="L425" i="13" s="1"/>
  <c r="P489" i="9"/>
  <c r="L479" i="13" s="1"/>
  <c r="P470" i="9"/>
  <c r="L460" i="13" s="1"/>
  <c r="P381" i="9"/>
  <c r="L371" i="13" s="1"/>
  <c r="P407" i="9"/>
  <c r="L397" i="13" s="1"/>
  <c r="P449" i="9"/>
  <c r="L439" i="13" s="1"/>
  <c r="P445" i="9"/>
  <c r="L435" i="13" s="1"/>
  <c r="P400" i="9"/>
  <c r="L390" i="13" s="1"/>
  <c r="P436" i="9"/>
  <c r="L426" i="13" s="1"/>
  <c r="P408" i="9"/>
  <c r="L398" i="13" s="1"/>
  <c r="P448" i="9"/>
  <c r="L438" i="13" s="1"/>
  <c r="P423" i="9"/>
  <c r="L413" i="13" s="1"/>
  <c r="P403" i="9"/>
  <c r="L393" i="13" s="1"/>
  <c r="P353" i="9"/>
  <c r="L343" i="13" s="1"/>
  <c r="P314" i="9"/>
  <c r="L304" i="13" s="1"/>
  <c r="P421" i="9"/>
  <c r="L411" i="13" s="1"/>
  <c r="P377" i="9"/>
  <c r="L367" i="13" s="1"/>
  <c r="P325" i="9"/>
  <c r="L315" i="13" s="1"/>
  <c r="P299" i="9"/>
  <c r="L289" i="13" s="1"/>
  <c r="P343" i="9"/>
  <c r="L333" i="13" s="1"/>
  <c r="P367" i="9"/>
  <c r="L357" i="13" s="1"/>
  <c r="P226" i="9"/>
  <c r="L216" i="13" s="1"/>
  <c r="P322" i="9"/>
  <c r="L312" i="13" s="1"/>
  <c r="P357" i="9"/>
  <c r="L347" i="13" s="1"/>
  <c r="P303" i="9"/>
  <c r="L293" i="13" s="1"/>
  <c r="P250" i="9"/>
  <c r="L240" i="13" s="1"/>
  <c r="P257" i="9"/>
  <c r="L247" i="13" s="1"/>
  <c r="P235" i="9"/>
  <c r="L225" i="13" s="1"/>
  <c r="P183" i="9"/>
  <c r="L173" i="13" s="1"/>
  <c r="P215" i="9"/>
  <c r="L205" i="13" s="1"/>
  <c r="P291" i="9"/>
  <c r="L281" i="13" s="1"/>
  <c r="P262" i="9"/>
  <c r="L252" i="13" s="1"/>
  <c r="P157" i="9"/>
  <c r="L147" i="13" s="1"/>
  <c r="P189" i="9"/>
  <c r="L179" i="13" s="1"/>
  <c r="P152" i="9"/>
  <c r="L142" i="13" s="1"/>
  <c r="P180" i="9"/>
  <c r="L170" i="13" s="1"/>
  <c r="P203" i="9"/>
  <c r="L193" i="13" s="1"/>
  <c r="P145" i="9"/>
  <c r="L135" i="13" s="1"/>
  <c r="P179" i="9"/>
  <c r="L169" i="13" s="1"/>
  <c r="P116" i="9"/>
  <c r="L106" i="13" s="1"/>
  <c r="P105" i="9"/>
  <c r="L95" i="13" s="1"/>
  <c r="P107" i="9"/>
  <c r="L97" i="13" s="1"/>
  <c r="P135" i="9"/>
  <c r="L125" i="13" s="1"/>
  <c r="P133" i="9"/>
  <c r="L123" i="13" s="1"/>
  <c r="P103" i="9"/>
  <c r="L93" i="13" s="1"/>
  <c r="P62" i="9"/>
  <c r="L52" i="13" s="1"/>
  <c r="P88" i="9"/>
  <c r="L78" i="13" s="1"/>
  <c r="P56" i="9"/>
  <c r="L46" i="13" s="1"/>
  <c r="P95" i="9"/>
  <c r="L85" i="13" s="1"/>
  <c r="P91" i="9"/>
  <c r="L81" i="13" s="1"/>
  <c r="P61" i="9"/>
  <c r="L51" i="13" s="1"/>
  <c r="P89" i="9"/>
  <c r="L79" i="13" s="1"/>
  <c r="P57" i="9"/>
  <c r="L47" i="13" s="1"/>
  <c r="P70" i="9"/>
  <c r="L60" i="13" s="1"/>
  <c r="P41" i="9"/>
  <c r="L31" i="13" s="1"/>
  <c r="P162" i="9"/>
  <c r="L152" i="13" s="1"/>
  <c r="R23" i="9"/>
  <c r="M13" i="13" s="1"/>
  <c r="R25" i="9"/>
  <c r="M15" i="13" s="1"/>
  <c r="R42" i="9"/>
  <c r="M32" i="13" s="1"/>
  <c r="R56" i="9"/>
  <c r="M46" i="13" s="1"/>
  <c r="R58" i="9"/>
  <c r="M48" i="13" s="1"/>
  <c r="R71" i="9"/>
  <c r="M61" i="13" s="1"/>
  <c r="R84" i="9"/>
  <c r="M74" i="13" s="1"/>
  <c r="R86" i="9"/>
  <c r="M76" i="13" s="1"/>
  <c r="R88" i="9"/>
  <c r="M78" i="13" s="1"/>
  <c r="R90" i="9"/>
  <c r="M80" i="13" s="1"/>
  <c r="R27" i="9"/>
  <c r="M17" i="13" s="1"/>
  <c r="R29" i="9"/>
  <c r="M19" i="13" s="1"/>
  <c r="R31" i="9"/>
  <c r="M21" i="13" s="1"/>
  <c r="R33" i="9"/>
  <c r="M23" i="13" s="1"/>
  <c r="R47" i="9"/>
  <c r="M37" i="13" s="1"/>
  <c r="R49" i="9"/>
  <c r="M39" i="13" s="1"/>
  <c r="R60" i="9"/>
  <c r="M50" i="13" s="1"/>
  <c r="R62" i="9"/>
  <c r="M52" i="13" s="1"/>
  <c r="R73" i="9"/>
  <c r="M63" i="13" s="1"/>
  <c r="R75" i="9"/>
  <c r="M65" i="13" s="1"/>
  <c r="R77" i="9"/>
  <c r="M67" i="13" s="1"/>
  <c r="R92" i="9"/>
  <c r="M82" i="13" s="1"/>
  <c r="R107" i="9"/>
  <c r="M97" i="13" s="1"/>
  <c r="R18" i="9"/>
  <c r="M8" i="13" s="1"/>
  <c r="R35" i="9"/>
  <c r="M25" i="13" s="1"/>
  <c r="R44" i="9"/>
  <c r="M34" i="13" s="1"/>
  <c r="R51" i="9"/>
  <c r="M41" i="13" s="1"/>
  <c r="R64" i="9"/>
  <c r="M54" i="13" s="1"/>
  <c r="R66" i="9"/>
  <c r="M56" i="13" s="1"/>
  <c r="R79" i="9"/>
  <c r="M69" i="13" s="1"/>
  <c r="R94" i="9"/>
  <c r="M84" i="13" s="1"/>
  <c r="R96" i="9"/>
  <c r="M86" i="13" s="1"/>
  <c r="R98" i="9"/>
  <c r="M88" i="13" s="1"/>
  <c r="R100" i="9"/>
  <c r="M90" i="13" s="1"/>
  <c r="R20" i="9"/>
  <c r="M10" i="13" s="1"/>
  <c r="R22" i="9"/>
  <c r="M12" i="13" s="1"/>
  <c r="R37" i="9"/>
  <c r="M27" i="13" s="1"/>
  <c r="R39" i="9"/>
  <c r="M29" i="13" s="1"/>
  <c r="R41" i="9"/>
  <c r="M31" i="13" s="1"/>
  <c r="R53" i="9"/>
  <c r="M43" i="13" s="1"/>
  <c r="R55" i="9"/>
  <c r="M45" i="13" s="1"/>
  <c r="R68" i="9"/>
  <c r="M58" i="13" s="1"/>
  <c r="R70" i="9"/>
  <c r="M60" i="13" s="1"/>
  <c r="R81" i="9"/>
  <c r="M71" i="13" s="1"/>
  <c r="R24" i="9"/>
  <c r="M14" i="13" s="1"/>
  <c r="R26" i="9"/>
  <c r="M16" i="13" s="1"/>
  <c r="R46" i="9"/>
  <c r="M36" i="13" s="1"/>
  <c r="R57" i="9"/>
  <c r="M47" i="13" s="1"/>
  <c r="R28" i="9"/>
  <c r="M18" i="13" s="1"/>
  <c r="R30" i="9"/>
  <c r="M20" i="13" s="1"/>
  <c r="R32" i="9"/>
  <c r="M22" i="13" s="1"/>
  <c r="R34" i="9"/>
  <c r="M24" i="13" s="1"/>
  <c r="R43" i="9"/>
  <c r="M33" i="13" s="1"/>
  <c r="R48" i="9"/>
  <c r="M38" i="13" s="1"/>
  <c r="R50" i="9"/>
  <c r="M40" i="13" s="1"/>
  <c r="R59" i="9"/>
  <c r="M49" i="13" s="1"/>
  <c r="R61" i="9"/>
  <c r="M51" i="13" s="1"/>
  <c r="R72" i="9"/>
  <c r="M62" i="13" s="1"/>
  <c r="R74" i="9"/>
  <c r="M64" i="13" s="1"/>
  <c r="R76" i="9"/>
  <c r="M66" i="13" s="1"/>
  <c r="R91" i="9"/>
  <c r="M81" i="13" s="1"/>
  <c r="R93" i="9"/>
  <c r="M83" i="13" s="1"/>
  <c r="R36" i="9"/>
  <c r="M26" i="13" s="1"/>
  <c r="R63" i="9"/>
  <c r="M53" i="13" s="1"/>
  <c r="R65" i="9"/>
  <c r="M55" i="13" s="1"/>
  <c r="R78" i="9"/>
  <c r="M68" i="13" s="1"/>
  <c r="R80" i="9"/>
  <c r="M70" i="13" s="1"/>
  <c r="R95" i="9"/>
  <c r="M85" i="13" s="1"/>
  <c r="R97" i="9"/>
  <c r="M87" i="13" s="1"/>
  <c r="R19" i="9"/>
  <c r="M9" i="13" s="1"/>
  <c r="R21" i="9"/>
  <c r="M11" i="13" s="1"/>
  <c r="R38" i="9"/>
  <c r="M28" i="13" s="1"/>
  <c r="R132" i="9"/>
  <c r="M122" i="13" s="1"/>
  <c r="R147" i="9"/>
  <c r="M137" i="13" s="1"/>
  <c r="R99" i="9"/>
  <c r="M89" i="13" s="1"/>
  <c r="R119" i="9"/>
  <c r="M109" i="13" s="1"/>
  <c r="R121" i="9"/>
  <c r="M111" i="13" s="1"/>
  <c r="R123" i="9"/>
  <c r="M113" i="13" s="1"/>
  <c r="R134" i="9"/>
  <c r="M124" i="13" s="1"/>
  <c r="R136" i="9"/>
  <c r="M126" i="13" s="1"/>
  <c r="R54" i="9"/>
  <c r="M44" i="13" s="1"/>
  <c r="R106" i="9"/>
  <c r="M96" i="13" s="1"/>
  <c r="R108" i="9"/>
  <c r="M98" i="13" s="1"/>
  <c r="R110" i="9"/>
  <c r="M100" i="13" s="1"/>
  <c r="R112" i="9"/>
  <c r="M102" i="13" s="1"/>
  <c r="R114" i="9"/>
  <c r="M104" i="13" s="1"/>
  <c r="R125" i="9"/>
  <c r="M115" i="13" s="1"/>
  <c r="R127" i="9"/>
  <c r="M117" i="13" s="1"/>
  <c r="R129" i="9"/>
  <c r="M119" i="13" s="1"/>
  <c r="R138" i="9"/>
  <c r="M128" i="13" s="1"/>
  <c r="R52" i="9"/>
  <c r="M42" i="13" s="1"/>
  <c r="R82" i="9"/>
  <c r="M72" i="13" s="1"/>
  <c r="R83" i="9"/>
  <c r="M73" i="13" s="1"/>
  <c r="R103" i="9"/>
  <c r="M93" i="13" s="1"/>
  <c r="R104" i="9"/>
  <c r="M94" i="13" s="1"/>
  <c r="R116" i="9"/>
  <c r="M106" i="13" s="1"/>
  <c r="R131" i="9"/>
  <c r="M121" i="13" s="1"/>
  <c r="R140" i="9"/>
  <c r="M130" i="13" s="1"/>
  <c r="R142" i="9"/>
  <c r="M132" i="13" s="1"/>
  <c r="R144" i="9"/>
  <c r="M134" i="13" s="1"/>
  <c r="R151" i="9"/>
  <c r="M141" i="13" s="1"/>
  <c r="R153" i="9"/>
  <c r="M143" i="13" s="1"/>
  <c r="R155" i="9"/>
  <c r="M145" i="13" s="1"/>
  <c r="R157" i="9"/>
  <c r="M147" i="13" s="1"/>
  <c r="R85" i="9"/>
  <c r="M75" i="13" s="1"/>
  <c r="R45" i="9"/>
  <c r="M35" i="13" s="1"/>
  <c r="R87" i="9"/>
  <c r="M77" i="13" s="1"/>
  <c r="R118" i="9"/>
  <c r="M108" i="13" s="1"/>
  <c r="R120" i="9"/>
  <c r="M110" i="13" s="1"/>
  <c r="R122" i="9"/>
  <c r="M112" i="13" s="1"/>
  <c r="R124" i="9"/>
  <c r="M114" i="13" s="1"/>
  <c r="R67" i="9"/>
  <c r="M57" i="13" s="1"/>
  <c r="R69" i="9"/>
  <c r="M59" i="13" s="1"/>
  <c r="R89" i="9"/>
  <c r="M79" i="13" s="1"/>
  <c r="R101" i="9"/>
  <c r="M91" i="13" s="1"/>
  <c r="R109" i="9"/>
  <c r="M99" i="13" s="1"/>
  <c r="R111" i="9"/>
  <c r="M101" i="13" s="1"/>
  <c r="R113" i="9"/>
  <c r="M103" i="13" s="1"/>
  <c r="R115" i="9"/>
  <c r="M105" i="13" s="1"/>
  <c r="R126" i="9"/>
  <c r="M116" i="13" s="1"/>
  <c r="R128" i="9"/>
  <c r="M118" i="13" s="1"/>
  <c r="R137" i="9"/>
  <c r="M127" i="13" s="1"/>
  <c r="R40" i="9"/>
  <c r="M30" i="13" s="1"/>
  <c r="R102" i="9"/>
  <c r="M92" i="13" s="1"/>
  <c r="R105" i="9"/>
  <c r="M95" i="13" s="1"/>
  <c r="R117" i="9"/>
  <c r="M107" i="13" s="1"/>
  <c r="R130" i="9"/>
  <c r="M120" i="13" s="1"/>
  <c r="R139" i="9"/>
  <c r="M129" i="13" s="1"/>
  <c r="R141" i="9"/>
  <c r="M131" i="13" s="1"/>
  <c r="R143" i="9"/>
  <c r="M133" i="13" s="1"/>
  <c r="R145" i="9"/>
  <c r="M135" i="13" s="1"/>
  <c r="R152" i="9"/>
  <c r="M142" i="13" s="1"/>
  <c r="R154" i="9"/>
  <c r="M144" i="13" s="1"/>
  <c r="R156" i="9"/>
  <c r="M146" i="13" s="1"/>
  <c r="R169" i="9"/>
  <c r="M159" i="13" s="1"/>
  <c r="R171" i="9"/>
  <c r="M161" i="13" s="1"/>
  <c r="R133" i="9"/>
  <c r="M123" i="13" s="1"/>
  <c r="R163" i="9"/>
  <c r="M153" i="13" s="1"/>
  <c r="R172" i="9"/>
  <c r="M162" i="13" s="1"/>
  <c r="R181" i="9"/>
  <c r="M171" i="13" s="1"/>
  <c r="R135" i="9"/>
  <c r="M125" i="13" s="1"/>
  <c r="R148" i="9"/>
  <c r="M138" i="13" s="1"/>
  <c r="R149" i="9"/>
  <c r="M139" i="13" s="1"/>
  <c r="R166" i="9"/>
  <c r="M156" i="13" s="1"/>
  <c r="R168" i="9"/>
  <c r="M158" i="13" s="1"/>
  <c r="R170" i="9"/>
  <c r="M160" i="13" s="1"/>
  <c r="R177" i="9"/>
  <c r="M167" i="13" s="1"/>
  <c r="R179" i="9"/>
  <c r="M169" i="13" s="1"/>
  <c r="R187" i="9"/>
  <c r="M177" i="13" s="1"/>
  <c r="R189" i="9"/>
  <c r="M179" i="13" s="1"/>
  <c r="R191" i="9"/>
  <c r="M181" i="13" s="1"/>
  <c r="R193" i="9"/>
  <c r="M183" i="13" s="1"/>
  <c r="R161" i="9"/>
  <c r="M151" i="13" s="1"/>
  <c r="R164" i="9"/>
  <c r="M154" i="13" s="1"/>
  <c r="R175" i="9"/>
  <c r="M165" i="13" s="1"/>
  <c r="R195" i="9"/>
  <c r="M185" i="13" s="1"/>
  <c r="R212" i="9"/>
  <c r="M202" i="13" s="1"/>
  <c r="R214" i="9"/>
  <c r="M204" i="13" s="1"/>
  <c r="R216" i="9"/>
  <c r="M206" i="13" s="1"/>
  <c r="R223" i="9"/>
  <c r="M213" i="13" s="1"/>
  <c r="R225" i="9"/>
  <c r="M215" i="13" s="1"/>
  <c r="R227" i="9"/>
  <c r="M217" i="13" s="1"/>
  <c r="R158" i="9"/>
  <c r="M148" i="13" s="1"/>
  <c r="R162" i="9"/>
  <c r="M152" i="13" s="1"/>
  <c r="R173" i="9"/>
  <c r="M163" i="13" s="1"/>
  <c r="R184" i="9"/>
  <c r="M174" i="13" s="1"/>
  <c r="R197" i="9"/>
  <c r="M187" i="13" s="1"/>
  <c r="R199" i="9"/>
  <c r="M189" i="13" s="1"/>
  <c r="R150" i="9"/>
  <c r="M140" i="13" s="1"/>
  <c r="R146" i="9"/>
  <c r="M136" i="13" s="1"/>
  <c r="R160" i="9"/>
  <c r="M150" i="13" s="1"/>
  <c r="R165" i="9"/>
  <c r="M155" i="13" s="1"/>
  <c r="R167" i="9"/>
  <c r="M157" i="13" s="1"/>
  <c r="R176" i="9"/>
  <c r="M166" i="13" s="1"/>
  <c r="R178" i="9"/>
  <c r="M168" i="13" s="1"/>
  <c r="R194" i="9"/>
  <c r="M184" i="13" s="1"/>
  <c r="R211" i="9"/>
  <c r="M201" i="13" s="1"/>
  <c r="R213" i="9"/>
  <c r="M203" i="13" s="1"/>
  <c r="R215" i="9"/>
  <c r="M205" i="13" s="1"/>
  <c r="R224" i="9"/>
  <c r="M214" i="13" s="1"/>
  <c r="R226" i="9"/>
  <c r="M216" i="13" s="1"/>
  <c r="R237" i="9"/>
  <c r="M227" i="13" s="1"/>
  <c r="R174" i="9"/>
  <c r="M164" i="13" s="1"/>
  <c r="R183" i="9"/>
  <c r="M173" i="13" s="1"/>
  <c r="R185" i="9"/>
  <c r="M175" i="13" s="1"/>
  <c r="R196" i="9"/>
  <c r="M186" i="13" s="1"/>
  <c r="R198" i="9"/>
  <c r="M188" i="13" s="1"/>
  <c r="R200" i="9"/>
  <c r="M190" i="13" s="1"/>
  <c r="R217" i="9"/>
  <c r="M207" i="13" s="1"/>
  <c r="R192" i="9"/>
  <c r="M182" i="13" s="1"/>
  <c r="R207" i="9"/>
  <c r="M197" i="13" s="1"/>
  <c r="R231" i="9"/>
  <c r="M221" i="13" s="1"/>
  <c r="R240" i="9"/>
  <c r="M230" i="13" s="1"/>
  <c r="R242" i="9"/>
  <c r="M232" i="13" s="1"/>
  <c r="R244" i="9"/>
  <c r="M234" i="13" s="1"/>
  <c r="R276" i="9"/>
  <c r="M266" i="13" s="1"/>
  <c r="R278" i="9"/>
  <c r="M268" i="13" s="1"/>
  <c r="R283" i="9"/>
  <c r="M273" i="13" s="1"/>
  <c r="R203" i="9"/>
  <c r="M193" i="13" s="1"/>
  <c r="R208" i="9"/>
  <c r="M198" i="13" s="1"/>
  <c r="R220" i="9"/>
  <c r="M210" i="13" s="1"/>
  <c r="R229" i="9"/>
  <c r="M219" i="13" s="1"/>
  <c r="R236" i="9"/>
  <c r="M226" i="13" s="1"/>
  <c r="R246" i="9"/>
  <c r="M236" i="13" s="1"/>
  <c r="R263" i="9"/>
  <c r="M253" i="13" s="1"/>
  <c r="R265" i="9"/>
  <c r="M255" i="13" s="1"/>
  <c r="R267" i="9"/>
  <c r="M257" i="13" s="1"/>
  <c r="R280" i="9"/>
  <c r="M270" i="13" s="1"/>
  <c r="R294" i="9"/>
  <c r="M284" i="13" s="1"/>
  <c r="R159" i="9"/>
  <c r="M149" i="13" s="1"/>
  <c r="R204" i="9"/>
  <c r="M194" i="13" s="1"/>
  <c r="R234" i="9"/>
  <c r="M224" i="13" s="1"/>
  <c r="R238" i="9"/>
  <c r="M228" i="13" s="1"/>
  <c r="R241" i="9"/>
  <c r="M231" i="13" s="1"/>
  <c r="R248" i="9"/>
  <c r="M238" i="13" s="1"/>
  <c r="R250" i="9"/>
  <c r="M240" i="13" s="1"/>
  <c r="R252" i="9"/>
  <c r="M242" i="13" s="1"/>
  <c r="R254" i="9"/>
  <c r="M244" i="13" s="1"/>
  <c r="R256" i="9"/>
  <c r="M246" i="13" s="1"/>
  <c r="R287" i="9"/>
  <c r="M277" i="13" s="1"/>
  <c r="R296" i="9"/>
  <c r="M286" i="13" s="1"/>
  <c r="R298" i="9"/>
  <c r="M288" i="13" s="1"/>
  <c r="R303" i="9"/>
  <c r="M293" i="13" s="1"/>
  <c r="R305" i="9"/>
  <c r="M295" i="13" s="1"/>
  <c r="R221" i="9"/>
  <c r="M211" i="13" s="1"/>
  <c r="R232" i="9"/>
  <c r="M222" i="13" s="1"/>
  <c r="R258" i="9"/>
  <c r="M248" i="13" s="1"/>
  <c r="R260" i="9"/>
  <c r="M250" i="13" s="1"/>
  <c r="R269" i="9"/>
  <c r="M259" i="13" s="1"/>
  <c r="R271" i="9"/>
  <c r="M261" i="13" s="1"/>
  <c r="R273" i="9"/>
  <c r="M263" i="13" s="1"/>
  <c r="R275" i="9"/>
  <c r="M265" i="13" s="1"/>
  <c r="R282" i="9"/>
  <c r="M272" i="13" s="1"/>
  <c r="R289" i="9"/>
  <c r="M279" i="13" s="1"/>
  <c r="R182" i="9"/>
  <c r="M172" i="13" s="1"/>
  <c r="R186" i="9"/>
  <c r="M176" i="13" s="1"/>
  <c r="R205" i="9"/>
  <c r="M195" i="13" s="1"/>
  <c r="R218" i="9"/>
  <c r="M208" i="13" s="1"/>
  <c r="R230" i="9"/>
  <c r="M220" i="13" s="1"/>
  <c r="R239" i="9"/>
  <c r="M229" i="13" s="1"/>
  <c r="R243" i="9"/>
  <c r="M233" i="13" s="1"/>
  <c r="R277" i="9"/>
  <c r="M267" i="13" s="1"/>
  <c r="R279" i="9"/>
  <c r="M269" i="13" s="1"/>
  <c r="R180" i="9"/>
  <c r="M170" i="13" s="1"/>
  <c r="R206" i="9"/>
  <c r="M196" i="13" s="1"/>
  <c r="R209" i="9"/>
  <c r="M199" i="13" s="1"/>
  <c r="R219" i="9"/>
  <c r="M209" i="13" s="1"/>
  <c r="R228" i="9"/>
  <c r="M218" i="13" s="1"/>
  <c r="R245" i="9"/>
  <c r="M235" i="13" s="1"/>
  <c r="R247" i="9"/>
  <c r="M237" i="13" s="1"/>
  <c r="R262" i="9"/>
  <c r="M252" i="13" s="1"/>
  <c r="R264" i="9"/>
  <c r="M254" i="13" s="1"/>
  <c r="R266" i="9"/>
  <c r="M256" i="13" s="1"/>
  <c r="R286" i="9"/>
  <c r="M276" i="13" s="1"/>
  <c r="R188" i="9"/>
  <c r="M178" i="13" s="1"/>
  <c r="R201" i="9"/>
  <c r="M191" i="13" s="1"/>
  <c r="R190" i="9"/>
  <c r="M180" i="13" s="1"/>
  <c r="R202" i="9"/>
  <c r="M192" i="13" s="1"/>
  <c r="R210" i="9"/>
  <c r="M200" i="13" s="1"/>
  <c r="R233" i="9"/>
  <c r="M223" i="13" s="1"/>
  <c r="R257" i="9"/>
  <c r="M247" i="13" s="1"/>
  <c r="R259" i="9"/>
  <c r="M249" i="13" s="1"/>
  <c r="R261" i="9"/>
  <c r="M251" i="13" s="1"/>
  <c r="R270" i="9"/>
  <c r="M260" i="13" s="1"/>
  <c r="R272" i="9"/>
  <c r="M262" i="13" s="1"/>
  <c r="R274" i="9"/>
  <c r="M264" i="13" s="1"/>
  <c r="R308" i="9"/>
  <c r="M298" i="13" s="1"/>
  <c r="R310" i="9"/>
  <c r="M300" i="13" s="1"/>
  <c r="R312" i="9"/>
  <c r="M302" i="13" s="1"/>
  <c r="R235" i="9"/>
  <c r="M225" i="13" s="1"/>
  <c r="R255" i="9"/>
  <c r="M245" i="13" s="1"/>
  <c r="R292" i="9"/>
  <c r="M282" i="13" s="1"/>
  <c r="R299" i="9"/>
  <c r="M289" i="13" s="1"/>
  <c r="R304" i="9"/>
  <c r="M294" i="13" s="1"/>
  <c r="R309" i="9"/>
  <c r="M299" i="13" s="1"/>
  <c r="R321" i="9"/>
  <c r="M311" i="13" s="1"/>
  <c r="R323" i="9"/>
  <c r="M313" i="13" s="1"/>
  <c r="R336" i="9"/>
  <c r="M326" i="13" s="1"/>
  <c r="R345" i="9"/>
  <c r="M335" i="13" s="1"/>
  <c r="R347" i="9"/>
  <c r="M337" i="13" s="1"/>
  <c r="R358" i="9"/>
  <c r="M348" i="13" s="1"/>
  <c r="R253" i="9"/>
  <c r="M243" i="13" s="1"/>
  <c r="R293" i="9"/>
  <c r="M283" i="13" s="1"/>
  <c r="R307" i="9"/>
  <c r="M297" i="13" s="1"/>
  <c r="R325" i="9"/>
  <c r="M315" i="13" s="1"/>
  <c r="R327" i="9"/>
  <c r="M317" i="13" s="1"/>
  <c r="R329" i="9"/>
  <c r="M319" i="13" s="1"/>
  <c r="R338" i="9"/>
  <c r="M328" i="13" s="1"/>
  <c r="R349" i="9"/>
  <c r="M339" i="13" s="1"/>
  <c r="R360" i="9"/>
  <c r="M350" i="13" s="1"/>
  <c r="R362" i="9"/>
  <c r="M352" i="13" s="1"/>
  <c r="R364" i="9"/>
  <c r="M354" i="13" s="1"/>
  <c r="R366" i="9"/>
  <c r="M356" i="13" s="1"/>
  <c r="R251" i="9"/>
  <c r="M241" i="13" s="1"/>
  <c r="R288" i="9"/>
  <c r="M278" i="13" s="1"/>
  <c r="R297" i="9"/>
  <c r="M287" i="13" s="1"/>
  <c r="R300" i="9"/>
  <c r="M290" i="13" s="1"/>
  <c r="R302" i="9"/>
  <c r="M292" i="13" s="1"/>
  <c r="R314" i="9"/>
  <c r="M304" i="13" s="1"/>
  <c r="R316" i="9"/>
  <c r="M306" i="13" s="1"/>
  <c r="R318" i="9"/>
  <c r="M308" i="13" s="1"/>
  <c r="R331" i="9"/>
  <c r="M321" i="13" s="1"/>
  <c r="R340" i="9"/>
  <c r="M330" i="13" s="1"/>
  <c r="R351" i="9"/>
  <c r="M341" i="13" s="1"/>
  <c r="R353" i="9"/>
  <c r="M343" i="13" s="1"/>
  <c r="R355" i="9"/>
  <c r="M345" i="13" s="1"/>
  <c r="R368" i="9"/>
  <c r="M358" i="13" s="1"/>
  <c r="R249" i="9"/>
  <c r="M239" i="13" s="1"/>
  <c r="R320" i="9"/>
  <c r="M310" i="13" s="1"/>
  <c r="R333" i="9"/>
  <c r="M323" i="13" s="1"/>
  <c r="R335" i="9"/>
  <c r="M325" i="13" s="1"/>
  <c r="R342" i="9"/>
  <c r="M332" i="13" s="1"/>
  <c r="R322" i="9"/>
  <c r="M312" i="13" s="1"/>
  <c r="R337" i="9"/>
  <c r="M327" i="13" s="1"/>
  <c r="R344" i="9"/>
  <c r="M334" i="13" s="1"/>
  <c r="R346" i="9"/>
  <c r="M336" i="13" s="1"/>
  <c r="R357" i="9"/>
  <c r="M347" i="13" s="1"/>
  <c r="R281" i="9"/>
  <c r="M271" i="13" s="1"/>
  <c r="R324" i="9"/>
  <c r="M314" i="13" s="1"/>
  <c r="R326" i="9"/>
  <c r="M316" i="13" s="1"/>
  <c r="R328" i="9"/>
  <c r="M318" i="13" s="1"/>
  <c r="R339" i="9"/>
  <c r="M329" i="13" s="1"/>
  <c r="R348" i="9"/>
  <c r="M338" i="13" s="1"/>
  <c r="R350" i="9"/>
  <c r="M340" i="13" s="1"/>
  <c r="R359" i="9"/>
  <c r="M349" i="13" s="1"/>
  <c r="R361" i="9"/>
  <c r="M351" i="13" s="1"/>
  <c r="R363" i="9"/>
  <c r="M353" i="13" s="1"/>
  <c r="R365" i="9"/>
  <c r="M355" i="13" s="1"/>
  <c r="R367" i="9"/>
  <c r="M357" i="13" s="1"/>
  <c r="R222" i="9"/>
  <c r="M212" i="13" s="1"/>
  <c r="R268" i="9"/>
  <c r="M258" i="13" s="1"/>
  <c r="R284" i="9"/>
  <c r="M274" i="13" s="1"/>
  <c r="R290" i="9"/>
  <c r="M280" i="13" s="1"/>
  <c r="R291" i="9"/>
  <c r="M281" i="13" s="1"/>
  <c r="R295" i="9"/>
  <c r="M285" i="13" s="1"/>
  <c r="R301" i="9"/>
  <c r="M291" i="13" s="1"/>
  <c r="R306" i="9"/>
  <c r="M296" i="13" s="1"/>
  <c r="R313" i="9"/>
  <c r="M303" i="13" s="1"/>
  <c r="R315" i="9"/>
  <c r="M305" i="13" s="1"/>
  <c r="R317" i="9"/>
  <c r="M307" i="13" s="1"/>
  <c r="R330" i="9"/>
  <c r="M320" i="13" s="1"/>
  <c r="R332" i="9"/>
  <c r="M322" i="13" s="1"/>
  <c r="R352" i="9"/>
  <c r="M342" i="13" s="1"/>
  <c r="R354" i="9"/>
  <c r="M344" i="13" s="1"/>
  <c r="R380" i="9"/>
  <c r="M370" i="13" s="1"/>
  <c r="R391" i="9"/>
  <c r="M381" i="13" s="1"/>
  <c r="R393" i="9"/>
  <c r="M383" i="13" s="1"/>
  <c r="R402" i="9"/>
  <c r="M392" i="13" s="1"/>
  <c r="R285" i="9"/>
  <c r="M275" i="13" s="1"/>
  <c r="R311" i="9"/>
  <c r="M301" i="13" s="1"/>
  <c r="R319" i="9"/>
  <c r="M309" i="13" s="1"/>
  <c r="R334" i="9"/>
  <c r="M324" i="13" s="1"/>
  <c r="R341" i="9"/>
  <c r="M331" i="13" s="1"/>
  <c r="R343" i="9"/>
  <c r="M333" i="13" s="1"/>
  <c r="R356" i="9"/>
  <c r="M346" i="13" s="1"/>
  <c r="R369" i="9"/>
  <c r="M359" i="13" s="1"/>
  <c r="R382" i="9"/>
  <c r="M372" i="13" s="1"/>
  <c r="R404" i="9"/>
  <c r="M394" i="13" s="1"/>
  <c r="R406" i="9"/>
  <c r="M396" i="13" s="1"/>
  <c r="R408" i="9"/>
  <c r="M398" i="13" s="1"/>
  <c r="R415" i="9"/>
  <c r="M405" i="13" s="1"/>
  <c r="R434" i="9"/>
  <c r="M424" i="13" s="1"/>
  <c r="R374" i="9"/>
  <c r="M364" i="13" s="1"/>
  <c r="R386" i="9"/>
  <c r="M376" i="13" s="1"/>
  <c r="R401" i="9"/>
  <c r="M391" i="13" s="1"/>
  <c r="R422" i="9"/>
  <c r="M412" i="13" s="1"/>
  <c r="R429" i="9"/>
  <c r="M419" i="13" s="1"/>
  <c r="R433" i="9"/>
  <c r="M423" i="13" s="1"/>
  <c r="R435" i="9"/>
  <c r="M425" i="13" s="1"/>
  <c r="R442" i="9"/>
  <c r="M432" i="13" s="1"/>
  <c r="R449" i="9"/>
  <c r="M439" i="13" s="1"/>
  <c r="R451" i="9"/>
  <c r="M441" i="13" s="1"/>
  <c r="R453" i="9"/>
  <c r="M443" i="13" s="1"/>
  <c r="R455" i="9"/>
  <c r="M445" i="13" s="1"/>
  <c r="R475" i="9"/>
  <c r="M465" i="13" s="1"/>
  <c r="R477" i="9"/>
  <c r="M467" i="13" s="1"/>
  <c r="R375" i="9"/>
  <c r="M365" i="13" s="1"/>
  <c r="R381" i="9"/>
  <c r="M371" i="13" s="1"/>
  <c r="R396" i="9"/>
  <c r="M386" i="13" s="1"/>
  <c r="R399" i="9"/>
  <c r="M389" i="13" s="1"/>
  <c r="R407" i="9"/>
  <c r="M397" i="13" s="1"/>
  <c r="R410" i="9"/>
  <c r="M400" i="13" s="1"/>
  <c r="R427" i="9"/>
  <c r="M417" i="13" s="1"/>
  <c r="R437" i="9"/>
  <c r="M427" i="13" s="1"/>
  <c r="R444" i="9"/>
  <c r="M434" i="13" s="1"/>
  <c r="R457" i="9"/>
  <c r="M447" i="13" s="1"/>
  <c r="R464" i="9"/>
  <c r="M454" i="13" s="1"/>
  <c r="R466" i="9"/>
  <c r="M456" i="13" s="1"/>
  <c r="R378" i="9"/>
  <c r="M368" i="13" s="1"/>
  <c r="R384" i="9"/>
  <c r="M374" i="13" s="1"/>
  <c r="R389" i="9"/>
  <c r="M379" i="13" s="1"/>
  <c r="R394" i="9"/>
  <c r="M384" i="13" s="1"/>
  <c r="R420" i="9"/>
  <c r="M410" i="13" s="1"/>
  <c r="R425" i="9"/>
  <c r="M415" i="13" s="1"/>
  <c r="R439" i="9"/>
  <c r="M429" i="13" s="1"/>
  <c r="R459" i="9"/>
  <c r="M449" i="13" s="1"/>
  <c r="R461" i="9"/>
  <c r="M451" i="13" s="1"/>
  <c r="R392" i="9"/>
  <c r="M382" i="13" s="1"/>
  <c r="R397" i="9"/>
  <c r="M387" i="13" s="1"/>
  <c r="R413" i="9"/>
  <c r="M403" i="13" s="1"/>
  <c r="R423" i="9"/>
  <c r="M413" i="13" s="1"/>
  <c r="R441" i="9"/>
  <c r="M431" i="13" s="1"/>
  <c r="R446" i="9"/>
  <c r="M436" i="13" s="1"/>
  <c r="R448" i="9"/>
  <c r="M438" i="13" s="1"/>
  <c r="R370" i="9"/>
  <c r="M360" i="13" s="1"/>
  <c r="R379" i="9"/>
  <c r="M369" i="13" s="1"/>
  <c r="R387" i="9"/>
  <c r="M377" i="13" s="1"/>
  <c r="R390" i="9"/>
  <c r="M380" i="13" s="1"/>
  <c r="R395" i="9"/>
  <c r="M385" i="13" s="1"/>
  <c r="R405" i="9"/>
  <c r="M395" i="13" s="1"/>
  <c r="R418" i="9"/>
  <c r="M408" i="13" s="1"/>
  <c r="R421" i="9"/>
  <c r="M411" i="13" s="1"/>
  <c r="R430" i="9"/>
  <c r="M420" i="13" s="1"/>
  <c r="R432" i="9"/>
  <c r="M422" i="13" s="1"/>
  <c r="R436" i="9"/>
  <c r="M426" i="13" s="1"/>
  <c r="R443" i="9"/>
  <c r="M433" i="13" s="1"/>
  <c r="R450" i="9"/>
  <c r="M440" i="13" s="1"/>
  <c r="R452" i="9"/>
  <c r="M442" i="13" s="1"/>
  <c r="R454" i="9"/>
  <c r="M444" i="13" s="1"/>
  <c r="R456" i="9"/>
  <c r="M446" i="13" s="1"/>
  <c r="R371" i="9"/>
  <c r="M361" i="13" s="1"/>
  <c r="R376" i="9"/>
  <c r="M366" i="13" s="1"/>
  <c r="R372" i="9"/>
  <c r="M362" i="13" s="1"/>
  <c r="R385" i="9"/>
  <c r="M375" i="13" s="1"/>
  <c r="R388" i="9"/>
  <c r="M378" i="13" s="1"/>
  <c r="R409" i="9"/>
  <c r="M399" i="13" s="1"/>
  <c r="R414" i="9"/>
  <c r="M404" i="13" s="1"/>
  <c r="R416" i="9"/>
  <c r="M406" i="13" s="1"/>
  <c r="R419" i="9"/>
  <c r="M409" i="13" s="1"/>
  <c r="R426" i="9"/>
  <c r="M416" i="13" s="1"/>
  <c r="R440" i="9"/>
  <c r="M430" i="13" s="1"/>
  <c r="R445" i="9"/>
  <c r="M435" i="13" s="1"/>
  <c r="R458" i="9"/>
  <c r="M448" i="13" s="1"/>
  <c r="R460" i="9"/>
  <c r="M450" i="13" s="1"/>
  <c r="R462" i="9"/>
  <c r="M452" i="13" s="1"/>
  <c r="R467" i="9"/>
  <c r="M457" i="13" s="1"/>
  <c r="R469" i="9"/>
  <c r="M459" i="13" s="1"/>
  <c r="R471" i="9"/>
  <c r="M461" i="13" s="1"/>
  <c r="R480" i="9"/>
  <c r="M470" i="13" s="1"/>
  <c r="R482" i="9"/>
  <c r="M472" i="13" s="1"/>
  <c r="R493" i="9"/>
  <c r="M483" i="13" s="1"/>
  <c r="R373" i="9"/>
  <c r="M363" i="13" s="1"/>
  <c r="R377" i="9"/>
  <c r="M367" i="13" s="1"/>
  <c r="R383" i="9"/>
  <c r="M373" i="13" s="1"/>
  <c r="R398" i="9"/>
  <c r="M388" i="13" s="1"/>
  <c r="R403" i="9"/>
  <c r="M393" i="13" s="1"/>
  <c r="R412" i="9"/>
  <c r="M402" i="13" s="1"/>
  <c r="R417" i="9"/>
  <c r="M407" i="13" s="1"/>
  <c r="R424" i="9"/>
  <c r="M414" i="13" s="1"/>
  <c r="R431" i="9"/>
  <c r="M421" i="13" s="1"/>
  <c r="R447" i="9"/>
  <c r="M437" i="13" s="1"/>
  <c r="R473" i="9"/>
  <c r="M463" i="13" s="1"/>
  <c r="R476" i="9"/>
  <c r="M466" i="13" s="1"/>
  <c r="R488" i="9"/>
  <c r="M478" i="13" s="1"/>
  <c r="R502" i="9"/>
  <c r="M492" i="13" s="1"/>
  <c r="R511" i="9"/>
  <c r="M501" i="13" s="1"/>
  <c r="R520" i="9"/>
  <c r="M510" i="13" s="1"/>
  <c r="R523" i="9"/>
  <c r="M513" i="13" s="1"/>
  <c r="R484" i="9"/>
  <c r="M474" i="13" s="1"/>
  <c r="R495" i="9"/>
  <c r="M485" i="13" s="1"/>
  <c r="R513" i="9"/>
  <c r="M503" i="13" s="1"/>
  <c r="R515" i="9"/>
  <c r="M505" i="13" s="1"/>
  <c r="R517" i="9"/>
  <c r="M507" i="13" s="1"/>
  <c r="R529" i="9"/>
  <c r="M519" i="13" s="1"/>
  <c r="R534" i="9"/>
  <c r="M524" i="13" s="1"/>
  <c r="R543" i="9"/>
  <c r="M533" i="13" s="1"/>
  <c r="R545" i="9"/>
  <c r="M535" i="13" s="1"/>
  <c r="R438" i="9"/>
  <c r="M428" i="13" s="1"/>
  <c r="R497" i="9"/>
  <c r="M487" i="13" s="1"/>
  <c r="R499" i="9"/>
  <c r="M489" i="13" s="1"/>
  <c r="R504" i="9"/>
  <c r="M494" i="13" s="1"/>
  <c r="R506" i="9"/>
  <c r="M496" i="13" s="1"/>
  <c r="R508" i="9"/>
  <c r="M498" i="13" s="1"/>
  <c r="R526" i="9"/>
  <c r="M516" i="13" s="1"/>
  <c r="R531" i="9"/>
  <c r="M521" i="13" s="1"/>
  <c r="R537" i="9"/>
  <c r="M527" i="13" s="1"/>
  <c r="R540" i="9"/>
  <c r="M530" i="13" s="1"/>
  <c r="R470" i="9"/>
  <c r="M460" i="13" s="1"/>
  <c r="R474" i="9"/>
  <c r="M464" i="13" s="1"/>
  <c r="R491" i="9"/>
  <c r="M481" i="13" s="1"/>
  <c r="R510" i="9"/>
  <c r="M500" i="13" s="1"/>
  <c r="R519" i="9"/>
  <c r="M509" i="13" s="1"/>
  <c r="R522" i="9"/>
  <c r="M512" i="13" s="1"/>
  <c r="R542" i="9"/>
  <c r="M532" i="13" s="1"/>
  <c r="R550" i="9"/>
  <c r="M540" i="13" s="1"/>
  <c r="R558" i="9"/>
  <c r="M548" i="13" s="1"/>
  <c r="R566" i="9"/>
  <c r="M556" i="13" s="1"/>
  <c r="R571" i="9"/>
  <c r="M561" i="13" s="1"/>
  <c r="R400" i="9"/>
  <c r="M390" i="13" s="1"/>
  <c r="R478" i="9"/>
  <c r="M468" i="13" s="1"/>
  <c r="R487" i="9"/>
  <c r="M477" i="13" s="1"/>
  <c r="R489" i="9"/>
  <c r="M479" i="13" s="1"/>
  <c r="R501" i="9"/>
  <c r="M491" i="13" s="1"/>
  <c r="R512" i="9"/>
  <c r="M502" i="13" s="1"/>
  <c r="R525" i="9"/>
  <c r="M515" i="13" s="1"/>
  <c r="R528" i="9"/>
  <c r="M518" i="13" s="1"/>
  <c r="R533" i="9"/>
  <c r="M523" i="13" s="1"/>
  <c r="R536" i="9"/>
  <c r="M526" i="13" s="1"/>
  <c r="R485" i="9"/>
  <c r="M475" i="13" s="1"/>
  <c r="R514" i="9"/>
  <c r="M504" i="13" s="1"/>
  <c r="R516" i="9"/>
  <c r="M506" i="13" s="1"/>
  <c r="R530" i="9"/>
  <c r="M520" i="13" s="1"/>
  <c r="R539" i="9"/>
  <c r="M529" i="13" s="1"/>
  <c r="R463" i="9"/>
  <c r="M453" i="13" s="1"/>
  <c r="R492" i="9"/>
  <c r="M482" i="13" s="1"/>
  <c r="R494" i="9"/>
  <c r="M484" i="13" s="1"/>
  <c r="R496" i="9"/>
  <c r="M486" i="13" s="1"/>
  <c r="R498" i="9"/>
  <c r="M488" i="13" s="1"/>
  <c r="R503" i="9"/>
  <c r="M493" i="13" s="1"/>
  <c r="R505" i="9"/>
  <c r="M495" i="13" s="1"/>
  <c r="R507" i="9"/>
  <c r="M497" i="13" s="1"/>
  <c r="R509" i="9"/>
  <c r="M499" i="13" s="1"/>
  <c r="R518" i="9"/>
  <c r="M508" i="13" s="1"/>
  <c r="R411" i="9"/>
  <c r="M401" i="13" s="1"/>
  <c r="R428" i="9"/>
  <c r="M418" i="13" s="1"/>
  <c r="R465" i="9"/>
  <c r="M455" i="13" s="1"/>
  <c r="R468" i="9"/>
  <c r="M458" i="13" s="1"/>
  <c r="R472" i="9"/>
  <c r="M462" i="13" s="1"/>
  <c r="R479" i="9"/>
  <c r="M469" i="13" s="1"/>
  <c r="R481" i="9"/>
  <c r="M471" i="13" s="1"/>
  <c r="R483" i="9"/>
  <c r="M473" i="13" s="1"/>
  <c r="R486" i="9"/>
  <c r="M476" i="13" s="1"/>
  <c r="R490" i="9"/>
  <c r="M480" i="13" s="1"/>
  <c r="R500" i="9"/>
  <c r="M490" i="13" s="1"/>
  <c r="R521" i="9"/>
  <c r="M511" i="13" s="1"/>
  <c r="R524" i="9"/>
  <c r="M514" i="13" s="1"/>
  <c r="R532" i="9"/>
  <c r="M522" i="13" s="1"/>
  <c r="R551" i="9"/>
  <c r="M541" i="13" s="1"/>
  <c r="R554" i="9"/>
  <c r="M544" i="13" s="1"/>
  <c r="R562" i="9"/>
  <c r="M552" i="13" s="1"/>
  <c r="R567" i="9"/>
  <c r="M557" i="13" s="1"/>
  <c r="R575" i="9"/>
  <c r="M565" i="13" s="1"/>
  <c r="R578" i="9"/>
  <c r="M568" i="13" s="1"/>
  <c r="R535" i="9"/>
  <c r="M525" i="13" s="1"/>
  <c r="R544" i="9"/>
  <c r="M534" i="13" s="1"/>
  <c r="R560" i="9"/>
  <c r="M550" i="13" s="1"/>
  <c r="R564" i="9"/>
  <c r="M554" i="13" s="1"/>
  <c r="R573" i="9"/>
  <c r="M563" i="13" s="1"/>
  <c r="R582" i="9"/>
  <c r="M572" i="13" s="1"/>
  <c r="R588" i="9"/>
  <c r="M578" i="13" s="1"/>
  <c r="R591" i="9"/>
  <c r="M581" i="13" s="1"/>
  <c r="R598" i="9"/>
  <c r="M588" i="13" s="1"/>
  <c r="R527" i="9"/>
  <c r="M517" i="13" s="1"/>
  <c r="R538" i="9"/>
  <c r="M528" i="13" s="1"/>
  <c r="R555" i="9"/>
  <c r="M545" i="13" s="1"/>
  <c r="R569" i="9"/>
  <c r="M559" i="13" s="1"/>
  <c r="R584" i="9"/>
  <c r="M574" i="13" s="1"/>
  <c r="R601" i="9"/>
  <c r="M591" i="13" s="1"/>
  <c r="R553" i="9"/>
  <c r="M543" i="13" s="1"/>
  <c r="R577" i="9"/>
  <c r="M567" i="13" s="1"/>
  <c r="R590" i="9"/>
  <c r="M580" i="13" s="1"/>
  <c r="R594" i="9"/>
  <c r="M584" i="13" s="1"/>
  <c r="R597" i="9"/>
  <c r="M587" i="13" s="1"/>
  <c r="R604" i="9"/>
  <c r="M594" i="13" s="1"/>
  <c r="R546" i="9"/>
  <c r="M536" i="13" s="1"/>
  <c r="R548" i="9"/>
  <c r="M538" i="13" s="1"/>
  <c r="R556" i="9"/>
  <c r="M546" i="13" s="1"/>
  <c r="R565" i="9"/>
  <c r="M555" i="13" s="1"/>
  <c r="R581" i="9"/>
  <c r="M571" i="13" s="1"/>
  <c r="R587" i="9"/>
  <c r="M577" i="13" s="1"/>
  <c r="R606" i="9"/>
  <c r="M596" i="13" s="1"/>
  <c r="R541" i="9"/>
  <c r="M531" i="13" s="1"/>
  <c r="R561" i="9"/>
  <c r="M551" i="13" s="1"/>
  <c r="R572" i="9"/>
  <c r="M562" i="13" s="1"/>
  <c r="R574" i="9"/>
  <c r="M564" i="13" s="1"/>
  <c r="R579" i="9"/>
  <c r="M569" i="13" s="1"/>
  <c r="R583" i="9"/>
  <c r="M573" i="13" s="1"/>
  <c r="R593" i="9"/>
  <c r="M583" i="13" s="1"/>
  <c r="R600" i="9"/>
  <c r="M590" i="13" s="1"/>
  <c r="R603" i="9"/>
  <c r="M593" i="13" s="1"/>
  <c r="R608" i="9"/>
  <c r="M598" i="13" s="1"/>
  <c r="R611" i="9"/>
  <c r="M601" i="13" s="1"/>
  <c r="R614" i="9"/>
  <c r="M604" i="13" s="1"/>
  <c r="R563" i="9"/>
  <c r="M553" i="13" s="1"/>
  <c r="R570" i="9"/>
  <c r="M560" i="13" s="1"/>
  <c r="R586" i="9"/>
  <c r="M576" i="13" s="1"/>
  <c r="R589" i="9"/>
  <c r="M579" i="13" s="1"/>
  <c r="R596" i="9"/>
  <c r="M586" i="13" s="1"/>
  <c r="R613" i="9"/>
  <c r="M603" i="13" s="1"/>
  <c r="R549" i="9"/>
  <c r="M539" i="13" s="1"/>
  <c r="R552" i="9"/>
  <c r="M542" i="13" s="1"/>
  <c r="R559" i="9"/>
  <c r="M549" i="13" s="1"/>
  <c r="R568" i="9"/>
  <c r="M558" i="13" s="1"/>
  <c r="R592" i="9"/>
  <c r="M582" i="13" s="1"/>
  <c r="R599" i="9"/>
  <c r="M589" i="13" s="1"/>
  <c r="R602" i="9"/>
  <c r="M592" i="13" s="1"/>
  <c r="R605" i="9"/>
  <c r="M595" i="13" s="1"/>
  <c r="R610" i="9"/>
  <c r="M600" i="13" s="1"/>
  <c r="R547" i="9"/>
  <c r="M537" i="13" s="1"/>
  <c r="R557" i="9"/>
  <c r="M547" i="13" s="1"/>
  <c r="R576" i="9"/>
  <c r="M566" i="13" s="1"/>
  <c r="R580" i="9"/>
  <c r="M570" i="13" s="1"/>
  <c r="R585" i="9"/>
  <c r="M575" i="13" s="1"/>
  <c r="R595" i="9"/>
  <c r="M585" i="13" s="1"/>
  <c r="R607" i="9"/>
  <c r="M597" i="13" s="1"/>
  <c r="R616" i="9"/>
  <c r="M606" i="13" s="1"/>
  <c r="R609" i="9"/>
  <c r="M599" i="13" s="1"/>
  <c r="R612" i="9"/>
  <c r="M602" i="13" s="1"/>
  <c r="R615" i="9"/>
  <c r="M605" i="13" s="1"/>
  <c r="K18" i="8"/>
  <c r="G15" i="17" s="1"/>
  <c r="R17" i="9"/>
  <c r="D6" i="15"/>
  <c r="E16" i="2" l="1"/>
  <c r="D35" i="2"/>
  <c r="G13" i="9"/>
  <c r="Q18" i="8" l="1"/>
  <c r="P18" i="8"/>
  <c r="E35" i="2"/>
  <c r="AJ90" i="11"/>
  <c r="C8" i="2"/>
  <c r="C18" i="8" l="1"/>
  <c r="N14" i="14" l="1"/>
  <c r="N10" i="14"/>
  <c r="N11" i="14"/>
  <c r="N9" i="14"/>
  <c r="E11" i="8" s="1"/>
  <c r="E16" i="8" l="1"/>
  <c r="E11" i="9"/>
  <c r="D27" i="2" s="1"/>
  <c r="I27" i="2" s="1"/>
  <c r="E8" i="9"/>
  <c r="E13" i="8"/>
  <c r="E7" i="9"/>
  <c r="E12" i="8"/>
  <c r="E6" i="9"/>
  <c r="I15" i="11"/>
  <c r="N13" i="14"/>
  <c r="H15" i="11"/>
  <c r="N12" i="14"/>
  <c r="M12" i="14"/>
  <c r="M10" i="14"/>
  <c r="M9" i="14"/>
  <c r="M13" i="14"/>
  <c r="J15" i="11" s="1"/>
  <c r="M11" i="14"/>
  <c r="M14" i="14"/>
  <c r="D16" i="8" l="1"/>
  <c r="P16" i="8" s="1"/>
  <c r="D11" i="9"/>
  <c r="D14" i="2" s="1"/>
  <c r="E9" i="9"/>
  <c r="D25" i="2" s="1"/>
  <c r="I25" i="2" s="1"/>
  <c r="E14" i="8"/>
  <c r="E10" i="9"/>
  <c r="D26" i="2" s="1"/>
  <c r="I26" i="2" s="1"/>
  <c r="E15" i="8"/>
  <c r="Q16" i="8"/>
  <c r="T16" i="8"/>
  <c r="I16" i="8"/>
  <c r="J30" i="11"/>
  <c r="D6" i="13"/>
  <c r="E6" i="13"/>
  <c r="F6" i="13"/>
  <c r="G6" i="13"/>
  <c r="H6" i="13"/>
  <c r="I6" i="13"/>
  <c r="J6" i="13"/>
  <c r="K6" i="13"/>
  <c r="L6" i="13"/>
  <c r="M6" i="13"/>
  <c r="N6" i="13"/>
  <c r="U6" i="13"/>
  <c r="H17" i="9"/>
  <c r="P17" i="9" s="1"/>
  <c r="G17" i="9"/>
  <c r="O17" i="9" s="1"/>
  <c r="F17" i="9"/>
  <c r="M17" i="9" s="1"/>
  <c r="E17" i="9"/>
  <c r="L17" i="9" s="1"/>
  <c r="D17" i="9"/>
  <c r="C17" i="9"/>
  <c r="D24" i="2"/>
  <c r="I24" i="2" s="1"/>
  <c r="D23" i="2"/>
  <c r="I23" i="2" s="1"/>
  <c r="F15" i="11"/>
  <c r="G15" i="11"/>
  <c r="E15" i="11"/>
  <c r="C7" i="9"/>
  <c r="C10" i="17" s="1"/>
  <c r="C8" i="9"/>
  <c r="C11" i="17" s="1"/>
  <c r="C9" i="9"/>
  <c r="C12" i="17" s="1"/>
  <c r="C10" i="9"/>
  <c r="C6" i="9"/>
  <c r="E26" i="8"/>
  <c r="D26" i="8"/>
  <c r="C12" i="8"/>
  <c r="C13" i="8"/>
  <c r="C14" i="8"/>
  <c r="C15" i="8"/>
  <c r="C11" i="8"/>
  <c r="C26" i="2" l="1"/>
  <c r="C13" i="2"/>
  <c r="K125" i="9"/>
  <c r="K336" i="9"/>
  <c r="K542" i="9"/>
  <c r="K616" i="9"/>
  <c r="K488" i="9"/>
  <c r="K611" i="9"/>
  <c r="K433" i="9"/>
  <c r="K499" i="9"/>
  <c r="K612" i="9"/>
  <c r="K588" i="9"/>
  <c r="K615" i="9"/>
  <c r="K374" i="9"/>
  <c r="K610" i="9"/>
  <c r="K452" i="9"/>
  <c r="K510" i="9"/>
  <c r="K382" i="9"/>
  <c r="K579" i="9"/>
  <c r="K202" i="9"/>
  <c r="K387" i="9"/>
  <c r="K334" i="9"/>
  <c r="K53" i="9"/>
  <c r="K162" i="9"/>
  <c r="K541" i="9"/>
  <c r="K455" i="9"/>
  <c r="K249" i="9"/>
  <c r="K310" i="9"/>
  <c r="K219" i="9"/>
  <c r="K445" i="9"/>
  <c r="K37" i="9"/>
  <c r="K393" i="9"/>
  <c r="K596" i="9"/>
  <c r="K236" i="9"/>
  <c r="K98" i="9"/>
  <c r="K95" i="9"/>
  <c r="K225" i="9"/>
  <c r="K446" i="9"/>
  <c r="K586" i="9"/>
  <c r="K501" i="9"/>
  <c r="K509" i="9"/>
  <c r="K283" i="9"/>
  <c r="K44" i="9"/>
  <c r="K443" i="9"/>
  <c r="K265" i="9"/>
  <c r="K528" i="9"/>
  <c r="K50" i="9"/>
  <c r="K416" i="9"/>
  <c r="K267" i="9"/>
  <c r="K73" i="9"/>
  <c r="K419" i="9"/>
  <c r="K99" i="9"/>
  <c r="K481" i="9"/>
  <c r="K448" i="9"/>
  <c r="K487" i="9"/>
  <c r="K241" i="9"/>
  <c r="K200" i="9"/>
  <c r="K564" i="9"/>
  <c r="K364" i="9"/>
  <c r="K156" i="9"/>
  <c r="K47" i="9"/>
  <c r="K79" i="9"/>
  <c r="K248" i="9"/>
  <c r="K325" i="9"/>
  <c r="K128" i="9"/>
  <c r="K217" i="9"/>
  <c r="K396" i="9"/>
  <c r="K131" i="9"/>
  <c r="K25" i="9"/>
  <c r="K155" i="9"/>
  <c r="K293" i="9"/>
  <c r="K118" i="9"/>
  <c r="K104" i="9"/>
  <c r="K258" i="9"/>
  <c r="K277" i="9"/>
  <c r="K71" i="9"/>
  <c r="K176" i="9"/>
  <c r="K78" i="9"/>
  <c r="K418" i="9"/>
  <c r="K480" i="9"/>
  <c r="K547" i="9"/>
  <c r="K366" i="9"/>
  <c r="K521" i="9"/>
  <c r="K593" i="9"/>
  <c r="K513" i="9"/>
  <c r="K605" i="9"/>
  <c r="K604" i="9"/>
  <c r="K535" i="9"/>
  <c r="K386" i="9"/>
  <c r="K578" i="9"/>
  <c r="K370" i="9"/>
  <c r="K613" i="9"/>
  <c r="K45" i="9"/>
  <c r="K544" i="9"/>
  <c r="K450" i="9"/>
  <c r="K502" i="9"/>
  <c r="K294" i="9"/>
  <c r="K124" i="9"/>
  <c r="K136" i="9"/>
  <c r="K508" i="9"/>
  <c r="K397" i="9"/>
  <c r="K210" i="9"/>
  <c r="K534" i="9"/>
  <c r="K208" i="9"/>
  <c r="K410" i="9"/>
  <c r="K160" i="9"/>
  <c r="K388" i="9"/>
  <c r="K557" i="9"/>
  <c r="K379" i="9"/>
  <c r="K338" i="9"/>
  <c r="K289" i="9"/>
  <c r="K51" i="9"/>
  <c r="K389" i="9"/>
  <c r="K520" i="9"/>
  <c r="K496" i="9"/>
  <c r="K434" i="9"/>
  <c r="K330" i="9"/>
  <c r="K190" i="9"/>
  <c r="K414" i="9"/>
  <c r="K207" i="9"/>
  <c r="K347" i="9"/>
  <c r="K166" i="9"/>
  <c r="K295" i="9"/>
  <c r="K231" i="9"/>
  <c r="K140" i="9"/>
  <c r="K439" i="9"/>
  <c r="K327" i="9"/>
  <c r="K463" i="9"/>
  <c r="K395" i="9"/>
  <c r="K35" i="9"/>
  <c r="K276" i="9"/>
  <c r="K165" i="9"/>
  <c r="K532" i="9"/>
  <c r="K332" i="9"/>
  <c r="K143" i="9"/>
  <c r="K107" i="9"/>
  <c r="K486" i="9"/>
  <c r="K460" i="9"/>
  <c r="K308" i="9"/>
  <c r="K66" i="9"/>
  <c r="K133" i="9"/>
  <c r="K369" i="9"/>
  <c r="K110" i="9"/>
  <c r="K115" i="9"/>
  <c r="K205" i="9"/>
  <c r="K81" i="9"/>
  <c r="K55" i="9"/>
  <c r="K97" i="9"/>
  <c r="K164" i="9"/>
  <c r="K373" i="9"/>
  <c r="K40" i="9"/>
  <c r="K52" i="9"/>
  <c r="K132" i="9"/>
  <c r="K467" i="9"/>
  <c r="K503" i="9"/>
  <c r="K568" i="9"/>
  <c r="K321" i="9"/>
  <c r="K371" i="9"/>
  <c r="K607" i="9"/>
  <c r="K404" i="9"/>
  <c r="K572" i="9"/>
  <c r="K590" i="9"/>
  <c r="K591" i="9"/>
  <c r="K362" i="9"/>
  <c r="K417" i="9"/>
  <c r="K378" i="9"/>
  <c r="K599" i="9"/>
  <c r="K30" i="9"/>
  <c r="K575" i="9"/>
  <c r="K471" i="9"/>
  <c r="K475" i="9"/>
  <c r="K351" i="9"/>
  <c r="K65" i="9"/>
  <c r="K148" i="9"/>
  <c r="K492" i="9"/>
  <c r="K384" i="9"/>
  <c r="K229" i="9"/>
  <c r="K201" i="9"/>
  <c r="K437" i="9"/>
  <c r="K181" i="9"/>
  <c r="K91" i="9"/>
  <c r="K361" i="9"/>
  <c r="K413" i="9"/>
  <c r="K444" i="9"/>
  <c r="K401" i="9"/>
  <c r="K252" i="9"/>
  <c r="K19" i="9"/>
  <c r="K400" i="9"/>
  <c r="K530" i="9"/>
  <c r="K512" i="9"/>
  <c r="K284" i="9"/>
  <c r="K194" i="9"/>
  <c r="K86" i="9"/>
  <c r="K451" i="9"/>
  <c r="K169" i="9"/>
  <c r="K116" i="9"/>
  <c r="K442" i="9"/>
  <c r="K223" i="9"/>
  <c r="K167" i="9"/>
  <c r="K117" i="9"/>
  <c r="K372" i="9"/>
  <c r="K339" i="9"/>
  <c r="K424" i="9"/>
  <c r="K291" i="9"/>
  <c r="K473" i="9"/>
  <c r="K301" i="9"/>
  <c r="K129" i="9"/>
  <c r="K524" i="9"/>
  <c r="K329" i="9"/>
  <c r="K123" i="9"/>
  <c r="K573" i="9"/>
  <c r="K150" i="9"/>
  <c r="K440" i="9"/>
  <c r="K287" i="9"/>
  <c r="K38" i="9"/>
  <c r="K27" i="9"/>
  <c r="K306" i="9"/>
  <c r="K59" i="9"/>
  <c r="K224" i="9"/>
  <c r="K221" i="9"/>
  <c r="K61" i="9"/>
  <c r="K206" i="9"/>
  <c r="K96" i="9"/>
  <c r="K114" i="9"/>
  <c r="K240" i="9"/>
  <c r="K377" i="9"/>
  <c r="K33" i="9"/>
  <c r="K178" i="9"/>
  <c r="K383" i="9"/>
  <c r="K479" i="9"/>
  <c r="K543" i="9"/>
  <c r="K149" i="9"/>
  <c r="K394" i="9"/>
  <c r="K545" i="9"/>
  <c r="K111" i="9"/>
  <c r="K554" i="9"/>
  <c r="K429" i="9"/>
  <c r="K527" i="9"/>
  <c r="K255" i="9"/>
  <c r="K328" i="9"/>
  <c r="K247" i="9"/>
  <c r="K522" i="9"/>
  <c r="K278" i="9"/>
  <c r="K462" i="9"/>
  <c r="K268" i="9"/>
  <c r="K506" i="9"/>
  <c r="K324" i="9"/>
  <c r="K34" i="9"/>
  <c r="K112" i="9"/>
  <c r="K484" i="9"/>
  <c r="K356" i="9"/>
  <c r="K203" i="9"/>
  <c r="K42" i="9"/>
  <c r="K456" i="9"/>
  <c r="K263" i="9"/>
  <c r="K126" i="9"/>
  <c r="K314" i="9"/>
  <c r="K560" i="9"/>
  <c r="K188" i="9"/>
  <c r="K368" i="9"/>
  <c r="K179" i="9"/>
  <c r="K549" i="9"/>
  <c r="K348" i="9"/>
  <c r="K449" i="9"/>
  <c r="K423" i="9"/>
  <c r="K281" i="9"/>
  <c r="K305" i="9"/>
  <c r="K113" i="9"/>
  <c r="K402" i="9"/>
  <c r="K602" i="9"/>
  <c r="K495" i="9"/>
  <c r="K302" i="9"/>
  <c r="K182" i="9"/>
  <c r="K23" i="9"/>
  <c r="K62" i="9"/>
  <c r="K282" i="9"/>
  <c r="K256" i="9"/>
  <c r="K352" i="9"/>
  <c r="K459" i="9"/>
  <c r="K482" i="9"/>
  <c r="K239" i="9"/>
  <c r="K39" i="9"/>
  <c r="K454" i="9"/>
  <c r="K320" i="9"/>
  <c r="K84" i="9"/>
  <c r="K584" i="9"/>
  <c r="K425" i="9"/>
  <c r="K441" i="9"/>
  <c r="K235" i="9"/>
  <c r="K197" i="9"/>
  <c r="K516" i="9"/>
  <c r="K304" i="9"/>
  <c r="K49" i="9"/>
  <c r="K342" i="9"/>
  <c r="K204" i="9"/>
  <c r="K380" i="9"/>
  <c r="K80" i="9"/>
  <c r="K63" i="9"/>
  <c r="K88" i="9"/>
  <c r="K392" i="9"/>
  <c r="K218" i="9"/>
  <c r="K18" i="9"/>
  <c r="K280" i="9"/>
  <c r="K464" i="9"/>
  <c r="K523" i="9"/>
  <c r="K562" i="9"/>
  <c r="K151" i="9"/>
  <c r="K173" i="9"/>
  <c r="K546" i="9"/>
  <c r="K57" i="9"/>
  <c r="K592" i="9"/>
  <c r="K363" i="9"/>
  <c r="K597" i="9"/>
  <c r="K272" i="9"/>
  <c r="K138" i="9"/>
  <c r="K296" i="9"/>
  <c r="K574" i="9"/>
  <c r="K421" i="9"/>
  <c r="K608" i="9"/>
  <c r="K399" i="9"/>
  <c r="K412" i="9"/>
  <c r="K273" i="9"/>
  <c r="K196" i="9"/>
  <c r="K100" i="9"/>
  <c r="K435" i="9"/>
  <c r="K269" i="9"/>
  <c r="K192" i="9"/>
  <c r="K170" i="9"/>
  <c r="K318" i="9"/>
  <c r="K357" i="9"/>
  <c r="K76" i="9"/>
  <c r="K563" i="9"/>
  <c r="K518" i="9"/>
  <c r="K468" i="9"/>
  <c r="K238" i="9"/>
  <c r="K213" i="9"/>
  <c r="K552" i="9"/>
  <c r="K337" i="9"/>
  <c r="K409" i="9"/>
  <c r="K466" i="9"/>
  <c r="K215" i="9"/>
  <c r="K251" i="9"/>
  <c r="K141" i="9"/>
  <c r="K353" i="9"/>
  <c r="K525" i="9"/>
  <c r="K69" i="9"/>
  <c r="K398" i="9"/>
  <c r="K230" i="9"/>
  <c r="K163" i="9"/>
  <c r="K555" i="9"/>
  <c r="K316" i="9"/>
  <c r="K514" i="9"/>
  <c r="K483" i="9"/>
  <c r="K515" i="9"/>
  <c r="K315" i="9"/>
  <c r="K359" i="9"/>
  <c r="K198" i="9"/>
  <c r="K489" i="9"/>
  <c r="K234" i="9"/>
  <c r="K77" i="9"/>
  <c r="K589" i="9"/>
  <c r="K491" i="9"/>
  <c r="K431" i="9"/>
  <c r="K195" i="9"/>
  <c r="K168" i="9"/>
  <c r="K436" i="9"/>
  <c r="K237" i="9"/>
  <c r="K36" i="9"/>
  <c r="K438" i="9"/>
  <c r="K172" i="9"/>
  <c r="K340" i="9"/>
  <c r="K28" i="9"/>
  <c r="K121" i="9"/>
  <c r="K93" i="9"/>
  <c r="K212" i="9"/>
  <c r="K250" i="9"/>
  <c r="K46" i="9"/>
  <c r="K333" i="9"/>
  <c r="K391" i="9"/>
  <c r="K529" i="9"/>
  <c r="K614" i="9"/>
  <c r="K87" i="9"/>
  <c r="K259" i="9"/>
  <c r="K601" i="9"/>
  <c r="K559" i="9"/>
  <c r="K606" i="9"/>
  <c r="K346" i="9"/>
  <c r="K587" i="9"/>
  <c r="K120" i="9"/>
  <c r="K94" i="9"/>
  <c r="K157" i="9"/>
  <c r="K585" i="9"/>
  <c r="K577" i="9"/>
  <c r="K565" i="9"/>
  <c r="K135" i="9"/>
  <c r="K407" i="9"/>
  <c r="K275" i="9"/>
  <c r="K142" i="9"/>
  <c r="K56" i="9"/>
  <c r="K497" i="9"/>
  <c r="K274" i="9"/>
  <c r="K177" i="9"/>
  <c r="K227" i="9"/>
  <c r="K344" i="9"/>
  <c r="K254" i="9"/>
  <c r="K548" i="9"/>
  <c r="K580" i="9"/>
  <c r="K31" i="9"/>
  <c r="K270" i="9"/>
  <c r="K232" i="9"/>
  <c r="K191" i="9"/>
  <c r="K477" i="9"/>
  <c r="K253" i="9"/>
  <c r="K70" i="9"/>
  <c r="K288" i="9"/>
  <c r="K381" i="9"/>
  <c r="K152" i="9"/>
  <c r="K29" i="9"/>
  <c r="K313" i="9"/>
  <c r="K595" i="9"/>
  <c r="K220" i="9"/>
  <c r="K355" i="9"/>
  <c r="K343" i="9"/>
  <c r="K103" i="9"/>
  <c r="K469" i="9"/>
  <c r="K570" i="9"/>
  <c r="K159" i="9"/>
  <c r="K354" i="9"/>
  <c r="K494" i="9"/>
  <c r="K271" i="9"/>
  <c r="K233" i="9"/>
  <c r="K109" i="9"/>
  <c r="K505" i="9"/>
  <c r="K245" i="9"/>
  <c r="K68" i="9"/>
  <c r="K561" i="9"/>
  <c r="K478" i="9"/>
  <c r="K22" i="9"/>
  <c r="K345" i="9"/>
  <c r="K146" i="9"/>
  <c r="K498" i="9"/>
  <c r="K193" i="9"/>
  <c r="K171" i="9"/>
  <c r="K298" i="9"/>
  <c r="K92" i="9"/>
  <c r="K226" i="9"/>
  <c r="K228" i="9"/>
  <c r="K326" i="9"/>
  <c r="K60" i="9"/>
  <c r="K153" i="9"/>
  <c r="K127" i="9"/>
  <c r="K43" i="9"/>
  <c r="K319" i="9"/>
  <c r="K519" i="9"/>
  <c r="K537" i="9"/>
  <c r="K566" i="9"/>
  <c r="K569" i="9"/>
  <c r="K211" i="9"/>
  <c r="K538" i="9"/>
  <c r="K186" i="9"/>
  <c r="K581" i="9"/>
  <c r="K322" i="9"/>
  <c r="K576" i="9"/>
  <c r="K21" i="9"/>
  <c r="K335" i="9"/>
  <c r="K531" i="9"/>
  <c r="K405" i="9"/>
  <c r="K526" i="9"/>
  <c r="K517" i="9"/>
  <c r="K174" i="9"/>
  <c r="K376" i="9"/>
  <c r="K222" i="9"/>
  <c r="K119" i="9"/>
  <c r="K24" i="9"/>
  <c r="K476" i="9"/>
  <c r="K290" i="9"/>
  <c r="K102" i="9"/>
  <c r="K375" i="9"/>
  <c r="K264" i="9"/>
  <c r="K350" i="9"/>
  <c r="K427" i="9"/>
  <c r="K582" i="9"/>
  <c r="K183" i="9"/>
  <c r="K408" i="9"/>
  <c r="K216" i="9"/>
  <c r="K154" i="9"/>
  <c r="K485" i="9"/>
  <c r="K600" i="9"/>
  <c r="K299" i="9"/>
  <c r="K360" i="9"/>
  <c r="K349" i="9"/>
  <c r="K105" i="9"/>
  <c r="K500" i="9"/>
  <c r="K242" i="9"/>
  <c r="K553" i="9"/>
  <c r="K209" i="9"/>
  <c r="K493" i="9"/>
  <c r="K297" i="9"/>
  <c r="K189" i="9"/>
  <c r="K474" i="9"/>
  <c r="K603" i="9"/>
  <c r="K367" i="9"/>
  <c r="K75" i="9"/>
  <c r="K470" i="9"/>
  <c r="K457" i="9"/>
  <c r="K309" i="9"/>
  <c r="K90" i="9"/>
  <c r="K406" i="9"/>
  <c r="K199" i="9"/>
  <c r="K67" i="9"/>
  <c r="K279" i="9"/>
  <c r="K511" i="9"/>
  <c r="K365" i="9"/>
  <c r="K187" i="9"/>
  <c r="K106" i="9"/>
  <c r="K430" i="9"/>
  <c r="K134" i="9"/>
  <c r="K285" i="9"/>
  <c r="K184" i="9"/>
  <c r="K145" i="9"/>
  <c r="K257" i="9"/>
  <c r="K147" i="9"/>
  <c r="K89" i="9"/>
  <c r="K20" i="9"/>
  <c r="K185" i="9"/>
  <c r="K122" i="9"/>
  <c r="K108" i="9"/>
  <c r="K341" i="9"/>
  <c r="K539" i="9"/>
  <c r="K558" i="9"/>
  <c r="K390" i="9"/>
  <c r="K260" i="9"/>
  <c r="K323" i="9"/>
  <c r="K507" i="9"/>
  <c r="K567" i="9"/>
  <c r="K594" i="9"/>
  <c r="K307" i="9"/>
  <c r="K598" i="9"/>
  <c r="K403" i="9"/>
  <c r="K504" i="9"/>
  <c r="K550" i="9"/>
  <c r="K472" i="9"/>
  <c r="K609" i="9"/>
  <c r="K243" i="9"/>
  <c r="K490" i="9"/>
  <c r="K246" i="9"/>
  <c r="K214" i="9"/>
  <c r="K101" i="9"/>
  <c r="K556" i="9"/>
  <c r="K385" i="9"/>
  <c r="K262" i="9"/>
  <c r="K571" i="9"/>
  <c r="K286" i="9"/>
  <c r="K331" i="9"/>
  <c r="K300" i="9"/>
  <c r="K453" i="9"/>
  <c r="K583" i="9"/>
  <c r="K158" i="9"/>
  <c r="K303" i="9"/>
  <c r="K317" i="9"/>
  <c r="K137" i="9"/>
  <c r="K447" i="9"/>
  <c r="K551" i="9"/>
  <c r="K58" i="9"/>
  <c r="K180" i="9"/>
  <c r="K312" i="9"/>
  <c r="K54" i="9"/>
  <c r="K422" i="9"/>
  <c r="K266" i="9"/>
  <c r="K533" i="9"/>
  <c r="K426" i="9"/>
  <c r="K458" i="9"/>
  <c r="K74" i="9"/>
  <c r="K83" i="9"/>
  <c r="K461" i="9"/>
  <c r="K536" i="9"/>
  <c r="K26" i="9"/>
  <c r="K465" i="9"/>
  <c r="K311" i="9"/>
  <c r="K432" i="9"/>
  <c r="K292" i="9"/>
  <c r="K540" i="9"/>
  <c r="K411" i="9"/>
  <c r="K161" i="9"/>
  <c r="K64" i="9"/>
  <c r="K244" i="9"/>
  <c r="K415" i="9"/>
  <c r="K358" i="9"/>
  <c r="K32" i="9"/>
  <c r="K82" i="9"/>
  <c r="K420" i="9"/>
  <c r="K130" i="9"/>
  <c r="K175" i="9"/>
  <c r="K72" i="9"/>
  <c r="K85" i="9"/>
  <c r="K139" i="9"/>
  <c r="K428" i="9"/>
  <c r="K261" i="9"/>
  <c r="K41" i="9"/>
  <c r="K144" i="9"/>
  <c r="K48" i="9"/>
  <c r="C7" i="15"/>
  <c r="C13" i="17"/>
  <c r="B7" i="15"/>
  <c r="C621" i="9"/>
  <c r="H126" i="8"/>
  <c r="L126" i="8" s="1"/>
  <c r="K126" i="8" s="1"/>
  <c r="M126" i="8" s="1"/>
  <c r="H133" i="8"/>
  <c r="L133" i="8" s="1"/>
  <c r="K133" i="8" s="1"/>
  <c r="M133" i="8" s="1"/>
  <c r="H175" i="8"/>
  <c r="L175" i="8" s="1"/>
  <c r="K175" i="8" s="1"/>
  <c r="M175" i="8" s="1"/>
  <c r="H195" i="8"/>
  <c r="L195" i="8" s="1"/>
  <c r="K195" i="8" s="1"/>
  <c r="M195" i="8" s="1"/>
  <c r="H121" i="8"/>
  <c r="L121" i="8" s="1"/>
  <c r="K121" i="8" s="1"/>
  <c r="M121" i="8" s="1"/>
  <c r="H129" i="8"/>
  <c r="L129" i="8" s="1"/>
  <c r="K129" i="8" s="1"/>
  <c r="M129" i="8" s="1"/>
  <c r="H137" i="8"/>
  <c r="L137" i="8" s="1"/>
  <c r="K137" i="8" s="1"/>
  <c r="M137" i="8" s="1"/>
  <c r="H88" i="8"/>
  <c r="L88" i="8" s="1"/>
  <c r="K88" i="8" s="1"/>
  <c r="M88" i="8" s="1"/>
  <c r="H92" i="8"/>
  <c r="L92" i="8" s="1"/>
  <c r="K92" i="8" s="1"/>
  <c r="M92" i="8" s="1"/>
  <c r="H154" i="8"/>
  <c r="L154" i="8" s="1"/>
  <c r="K154" i="8" s="1"/>
  <c r="M154" i="8" s="1"/>
  <c r="H108" i="8"/>
  <c r="L108" i="8" s="1"/>
  <c r="K108" i="8" s="1"/>
  <c r="M108" i="8" s="1"/>
  <c r="H112" i="8"/>
  <c r="L112" i="8" s="1"/>
  <c r="K112" i="8" s="1"/>
  <c r="M112" i="8" s="1"/>
  <c r="H130" i="8"/>
  <c r="L130" i="8" s="1"/>
  <c r="K130" i="8" s="1"/>
  <c r="M130" i="8" s="1"/>
  <c r="H138" i="8"/>
  <c r="L138" i="8" s="1"/>
  <c r="K138" i="8" s="1"/>
  <c r="M138" i="8" s="1"/>
  <c r="H167" i="8"/>
  <c r="L167" i="8" s="1"/>
  <c r="K167" i="8" s="1"/>
  <c r="M167" i="8" s="1"/>
  <c r="H170" i="8"/>
  <c r="L170" i="8" s="1"/>
  <c r="K170" i="8" s="1"/>
  <c r="M170" i="8" s="1"/>
  <c r="H183" i="8"/>
  <c r="L183" i="8" s="1"/>
  <c r="K183" i="8" s="1"/>
  <c r="M183" i="8" s="1"/>
  <c r="H198" i="8"/>
  <c r="L198" i="8" s="1"/>
  <c r="K198" i="8" s="1"/>
  <c r="M198" i="8" s="1"/>
  <c r="H128" i="8"/>
  <c r="L128" i="8" s="1"/>
  <c r="K128" i="8" s="1"/>
  <c r="M128" i="8" s="1"/>
  <c r="H142" i="8"/>
  <c r="L142" i="8" s="1"/>
  <c r="K142" i="8" s="1"/>
  <c r="M142" i="8" s="1"/>
  <c r="H163" i="8"/>
  <c r="L163" i="8" s="1"/>
  <c r="K163" i="8" s="1"/>
  <c r="M163" i="8" s="1"/>
  <c r="H116" i="8"/>
  <c r="L116" i="8" s="1"/>
  <c r="K116" i="8" s="1"/>
  <c r="M116" i="8" s="1"/>
  <c r="H146" i="8"/>
  <c r="L146" i="8" s="1"/>
  <c r="K146" i="8" s="1"/>
  <c r="M146" i="8" s="1"/>
  <c r="H166" i="8"/>
  <c r="L166" i="8" s="1"/>
  <c r="K166" i="8" s="1"/>
  <c r="M166" i="8" s="1"/>
  <c r="H169" i="8"/>
  <c r="L169" i="8" s="1"/>
  <c r="K169" i="8" s="1"/>
  <c r="M169" i="8" s="1"/>
  <c r="H114" i="8"/>
  <c r="L114" i="8" s="1"/>
  <c r="K114" i="8" s="1"/>
  <c r="M114" i="8" s="1"/>
  <c r="H150" i="8"/>
  <c r="L150" i="8" s="1"/>
  <c r="K150" i="8" s="1"/>
  <c r="M150" i="8" s="1"/>
  <c r="H158" i="8"/>
  <c r="L158" i="8" s="1"/>
  <c r="K158" i="8" s="1"/>
  <c r="M158" i="8" s="1"/>
  <c r="H187" i="8"/>
  <c r="L187" i="8" s="1"/>
  <c r="K187" i="8" s="1"/>
  <c r="M187" i="8" s="1"/>
  <c r="H171" i="8"/>
  <c r="L171" i="8" s="1"/>
  <c r="K171" i="8" s="1"/>
  <c r="M171" i="8" s="1"/>
  <c r="H173" i="8"/>
  <c r="L173" i="8" s="1"/>
  <c r="K173" i="8" s="1"/>
  <c r="M173" i="8" s="1"/>
  <c r="H191" i="8"/>
  <c r="L191" i="8" s="1"/>
  <c r="K191" i="8" s="1"/>
  <c r="M191" i="8" s="1"/>
  <c r="H216" i="8"/>
  <c r="L216" i="8" s="1"/>
  <c r="K216" i="8" s="1"/>
  <c r="M216" i="8" s="1"/>
  <c r="H229" i="8"/>
  <c r="L229" i="8" s="1"/>
  <c r="K229" i="8" s="1"/>
  <c r="M229" i="8" s="1"/>
  <c r="H249" i="8"/>
  <c r="L249" i="8" s="1"/>
  <c r="K249" i="8" s="1"/>
  <c r="M249" i="8" s="1"/>
  <c r="H257" i="8"/>
  <c r="L257" i="8" s="1"/>
  <c r="K257" i="8" s="1"/>
  <c r="M257" i="8" s="1"/>
  <c r="H269" i="8"/>
  <c r="L269" i="8" s="1"/>
  <c r="K269" i="8" s="1"/>
  <c r="M269" i="8" s="1"/>
  <c r="H275" i="8"/>
  <c r="L275" i="8" s="1"/>
  <c r="K275" i="8" s="1"/>
  <c r="M275" i="8" s="1"/>
  <c r="H162" i="8"/>
  <c r="L162" i="8" s="1"/>
  <c r="K162" i="8" s="1"/>
  <c r="M162" i="8" s="1"/>
  <c r="H202" i="8"/>
  <c r="L202" i="8" s="1"/>
  <c r="K202" i="8" s="1"/>
  <c r="M202" i="8" s="1"/>
  <c r="H217" i="8"/>
  <c r="L217" i="8" s="1"/>
  <c r="K217" i="8" s="1"/>
  <c r="M217" i="8" s="1"/>
  <c r="H263" i="8"/>
  <c r="L263" i="8" s="1"/>
  <c r="K263" i="8" s="1"/>
  <c r="M263" i="8" s="1"/>
  <c r="H305" i="8"/>
  <c r="L305" i="8" s="1"/>
  <c r="K305" i="8" s="1"/>
  <c r="M305" i="8" s="1"/>
  <c r="H321" i="8"/>
  <c r="L321" i="8" s="1"/>
  <c r="K321" i="8" s="1"/>
  <c r="M321" i="8" s="1"/>
  <c r="H179" i="8"/>
  <c r="L179" i="8" s="1"/>
  <c r="K179" i="8" s="1"/>
  <c r="M179" i="8" s="1"/>
  <c r="H237" i="8"/>
  <c r="L237" i="8" s="1"/>
  <c r="K237" i="8" s="1"/>
  <c r="M237" i="8" s="1"/>
  <c r="H247" i="8"/>
  <c r="L247" i="8" s="1"/>
  <c r="K247" i="8" s="1"/>
  <c r="M247" i="8" s="1"/>
  <c r="H255" i="8"/>
  <c r="L255" i="8" s="1"/>
  <c r="K255" i="8" s="1"/>
  <c r="M255" i="8" s="1"/>
  <c r="H273" i="8"/>
  <c r="L273" i="8" s="1"/>
  <c r="K273" i="8" s="1"/>
  <c r="M273" i="8" s="1"/>
  <c r="H298" i="8"/>
  <c r="L298" i="8" s="1"/>
  <c r="K298" i="8" s="1"/>
  <c r="M298" i="8" s="1"/>
  <c r="H301" i="8"/>
  <c r="L301" i="8" s="1"/>
  <c r="K301" i="8" s="1"/>
  <c r="M301" i="8" s="1"/>
  <c r="H307" i="8"/>
  <c r="L307" i="8" s="1"/>
  <c r="K307" i="8" s="1"/>
  <c r="M307" i="8" s="1"/>
  <c r="H106" i="8"/>
  <c r="L106" i="8" s="1"/>
  <c r="K106" i="8" s="1"/>
  <c r="M106" i="8" s="1"/>
  <c r="H220" i="8"/>
  <c r="L220" i="8" s="1"/>
  <c r="K220" i="8" s="1"/>
  <c r="M220" i="8" s="1"/>
  <c r="H261" i="8"/>
  <c r="L261" i="8" s="1"/>
  <c r="K261" i="8" s="1"/>
  <c r="M261" i="8" s="1"/>
  <c r="H279" i="8"/>
  <c r="L279" i="8" s="1"/>
  <c r="K279" i="8" s="1"/>
  <c r="M279" i="8" s="1"/>
  <c r="H285" i="8"/>
  <c r="L285" i="8" s="1"/>
  <c r="K285" i="8" s="1"/>
  <c r="M285" i="8" s="1"/>
  <c r="H289" i="8"/>
  <c r="L289" i="8" s="1"/>
  <c r="K289" i="8" s="1"/>
  <c r="M289" i="8" s="1"/>
  <c r="H299" i="8"/>
  <c r="L299" i="8" s="1"/>
  <c r="K299" i="8" s="1"/>
  <c r="M299" i="8" s="1"/>
  <c r="H317" i="8"/>
  <c r="L317" i="8" s="1"/>
  <c r="K317" i="8" s="1"/>
  <c r="M317" i="8" s="1"/>
  <c r="H325" i="8"/>
  <c r="L325" i="8" s="1"/>
  <c r="K325" i="8" s="1"/>
  <c r="M325" i="8" s="1"/>
  <c r="H174" i="8"/>
  <c r="L174" i="8" s="1"/>
  <c r="K174" i="8" s="1"/>
  <c r="M174" i="8" s="1"/>
  <c r="H225" i="8"/>
  <c r="L225" i="8" s="1"/>
  <c r="K225" i="8" s="1"/>
  <c r="M225" i="8" s="1"/>
  <c r="H267" i="8"/>
  <c r="L267" i="8" s="1"/>
  <c r="K267" i="8" s="1"/>
  <c r="M267" i="8" s="1"/>
  <c r="H286" i="8"/>
  <c r="L286" i="8" s="1"/>
  <c r="K286" i="8" s="1"/>
  <c r="M286" i="8" s="1"/>
  <c r="H308" i="8"/>
  <c r="L308" i="8" s="1"/>
  <c r="K308" i="8" s="1"/>
  <c r="M308" i="8" s="1"/>
  <c r="H199" i="8"/>
  <c r="L199" i="8" s="1"/>
  <c r="K199" i="8" s="1"/>
  <c r="M199" i="8" s="1"/>
  <c r="H224" i="8"/>
  <c r="L224" i="8" s="1"/>
  <c r="K224" i="8" s="1"/>
  <c r="M224" i="8" s="1"/>
  <c r="H242" i="8"/>
  <c r="L242" i="8" s="1"/>
  <c r="K242" i="8" s="1"/>
  <c r="M242" i="8" s="1"/>
  <c r="H244" i="8"/>
  <c r="L244" i="8" s="1"/>
  <c r="K244" i="8" s="1"/>
  <c r="M244" i="8" s="1"/>
  <c r="H245" i="8"/>
  <c r="L245" i="8" s="1"/>
  <c r="K245" i="8" s="1"/>
  <c r="M245" i="8" s="1"/>
  <c r="H253" i="8"/>
  <c r="L253" i="8" s="1"/>
  <c r="K253" i="8" s="1"/>
  <c r="M253" i="8" s="1"/>
  <c r="H271" i="8"/>
  <c r="L271" i="8" s="1"/>
  <c r="K271" i="8" s="1"/>
  <c r="M271" i="8" s="1"/>
  <c r="H277" i="8"/>
  <c r="L277" i="8" s="1"/>
  <c r="K277" i="8" s="1"/>
  <c r="M277" i="8" s="1"/>
  <c r="H283" i="8"/>
  <c r="L283" i="8" s="1"/>
  <c r="K283" i="8" s="1"/>
  <c r="M283" i="8" s="1"/>
  <c r="H287" i="8"/>
  <c r="L287" i="8" s="1"/>
  <c r="K287" i="8" s="1"/>
  <c r="M287" i="8" s="1"/>
  <c r="H306" i="8"/>
  <c r="L306" i="8" s="1"/>
  <c r="K306" i="8" s="1"/>
  <c r="M306" i="8" s="1"/>
  <c r="H210" i="8"/>
  <c r="L210" i="8" s="1"/>
  <c r="K210" i="8" s="1"/>
  <c r="M210" i="8" s="1"/>
  <c r="H221" i="8"/>
  <c r="L221" i="8" s="1"/>
  <c r="K221" i="8" s="1"/>
  <c r="M221" i="8" s="1"/>
  <c r="H251" i="8"/>
  <c r="L251" i="8" s="1"/>
  <c r="K251" i="8" s="1"/>
  <c r="M251" i="8" s="1"/>
  <c r="H259" i="8"/>
  <c r="L259" i="8" s="1"/>
  <c r="K259" i="8" s="1"/>
  <c r="M259" i="8" s="1"/>
  <c r="H296" i="8"/>
  <c r="L296" i="8" s="1"/>
  <c r="K296" i="8" s="1"/>
  <c r="M296" i="8" s="1"/>
  <c r="H297" i="8"/>
  <c r="L297" i="8" s="1"/>
  <c r="K297" i="8" s="1"/>
  <c r="M297" i="8" s="1"/>
  <c r="H309" i="8"/>
  <c r="L309" i="8" s="1"/>
  <c r="K309" i="8" s="1"/>
  <c r="M309" i="8" s="1"/>
  <c r="H311" i="8"/>
  <c r="L311" i="8" s="1"/>
  <c r="K311" i="8" s="1"/>
  <c r="M311" i="8" s="1"/>
  <c r="H313" i="8"/>
  <c r="L313" i="8" s="1"/>
  <c r="K313" i="8" s="1"/>
  <c r="M313" i="8" s="1"/>
  <c r="H293" i="8"/>
  <c r="L293" i="8" s="1"/>
  <c r="K293" i="8" s="1"/>
  <c r="M293" i="8" s="1"/>
  <c r="H333" i="8"/>
  <c r="L333" i="8" s="1"/>
  <c r="K333" i="8" s="1"/>
  <c r="M333" i="8" s="1"/>
  <c r="H408" i="8"/>
  <c r="L408" i="8" s="1"/>
  <c r="K408" i="8" s="1"/>
  <c r="M408" i="8" s="1"/>
  <c r="H444" i="8"/>
  <c r="L444" i="8" s="1"/>
  <c r="K444" i="8" s="1"/>
  <c r="M444" i="8" s="1"/>
  <c r="H310" i="8"/>
  <c r="L310" i="8" s="1"/>
  <c r="K310" i="8" s="1"/>
  <c r="M310" i="8" s="1"/>
  <c r="H328" i="8"/>
  <c r="L328" i="8" s="1"/>
  <c r="K328" i="8" s="1"/>
  <c r="M328" i="8" s="1"/>
  <c r="H336" i="8"/>
  <c r="L336" i="8" s="1"/>
  <c r="K336" i="8" s="1"/>
  <c r="M336" i="8" s="1"/>
  <c r="H340" i="8"/>
  <c r="L340" i="8" s="1"/>
  <c r="K340" i="8" s="1"/>
  <c r="M340" i="8" s="1"/>
  <c r="H428" i="8"/>
  <c r="L428" i="8" s="1"/>
  <c r="K428" i="8" s="1"/>
  <c r="M428" i="8" s="1"/>
  <c r="H404" i="8"/>
  <c r="L404" i="8" s="1"/>
  <c r="K404" i="8" s="1"/>
  <c r="M404" i="8" s="1"/>
  <c r="H436" i="8"/>
  <c r="L436" i="8" s="1"/>
  <c r="K436" i="8" s="1"/>
  <c r="M436" i="8" s="1"/>
  <c r="H125" i="8"/>
  <c r="L125" i="8" s="1"/>
  <c r="K125" i="8" s="1"/>
  <c r="M125" i="8" s="1"/>
  <c r="H396" i="8"/>
  <c r="L396" i="8" s="1"/>
  <c r="K396" i="8" s="1"/>
  <c r="M396" i="8" s="1"/>
  <c r="H400" i="8"/>
  <c r="L400" i="8" s="1"/>
  <c r="K400" i="8" s="1"/>
  <c r="M400" i="8" s="1"/>
  <c r="H233" i="8"/>
  <c r="L233" i="8" s="1"/>
  <c r="K233" i="8" s="1"/>
  <c r="M233" i="8" s="1"/>
  <c r="H265" i="8"/>
  <c r="L265" i="8" s="1"/>
  <c r="K265" i="8" s="1"/>
  <c r="M265" i="8" s="1"/>
  <c r="H281" i="8"/>
  <c r="L281" i="8" s="1"/>
  <c r="K281" i="8" s="1"/>
  <c r="M281" i="8" s="1"/>
  <c r="H329" i="8"/>
  <c r="L329" i="8" s="1"/>
  <c r="K329" i="8" s="1"/>
  <c r="M329" i="8" s="1"/>
  <c r="H394" i="8"/>
  <c r="L394" i="8" s="1"/>
  <c r="K394" i="8" s="1"/>
  <c r="M394" i="8" s="1"/>
  <c r="H412" i="8"/>
  <c r="L412" i="8" s="1"/>
  <c r="K412" i="8" s="1"/>
  <c r="M412" i="8" s="1"/>
  <c r="H420" i="8"/>
  <c r="L420" i="8" s="1"/>
  <c r="K420" i="8" s="1"/>
  <c r="M420" i="8" s="1"/>
  <c r="H471" i="8"/>
  <c r="L471" i="8" s="1"/>
  <c r="K471" i="8" s="1"/>
  <c r="M471" i="8" s="1"/>
  <c r="H494" i="8"/>
  <c r="L494" i="8" s="1"/>
  <c r="K494" i="8" s="1"/>
  <c r="M494" i="8" s="1"/>
  <c r="H495" i="8"/>
  <c r="L495" i="8" s="1"/>
  <c r="K495" i="8" s="1"/>
  <c r="M495" i="8" s="1"/>
  <c r="H544" i="8"/>
  <c r="L544" i="8" s="1"/>
  <c r="K544" i="8" s="1"/>
  <c r="M544" i="8" s="1"/>
  <c r="H547" i="8"/>
  <c r="L547" i="8" s="1"/>
  <c r="K547" i="8" s="1"/>
  <c r="M547" i="8" s="1"/>
  <c r="H555" i="8"/>
  <c r="L555" i="8" s="1"/>
  <c r="K555" i="8" s="1"/>
  <c r="M555" i="8" s="1"/>
  <c r="H562" i="8"/>
  <c r="L562" i="8" s="1"/>
  <c r="K562" i="8" s="1"/>
  <c r="M562" i="8" s="1"/>
  <c r="H580" i="8"/>
  <c r="L580" i="8" s="1"/>
  <c r="K580" i="8" s="1"/>
  <c r="M580" i="8" s="1"/>
  <c r="H505" i="8"/>
  <c r="L505" i="8" s="1"/>
  <c r="K505" i="8" s="1"/>
  <c r="M505" i="8" s="1"/>
  <c r="H506" i="8"/>
  <c r="L506" i="8" s="1"/>
  <c r="K506" i="8" s="1"/>
  <c r="M506" i="8" s="1"/>
  <c r="H563" i="8"/>
  <c r="L563" i="8" s="1"/>
  <c r="K563" i="8" s="1"/>
  <c r="M563" i="8" s="1"/>
  <c r="H499" i="8"/>
  <c r="L499" i="8" s="1"/>
  <c r="K499" i="8" s="1"/>
  <c r="M499" i="8" s="1"/>
  <c r="H515" i="8"/>
  <c r="L515" i="8" s="1"/>
  <c r="K515" i="8" s="1"/>
  <c r="M515" i="8" s="1"/>
  <c r="H523" i="8"/>
  <c r="L523" i="8" s="1"/>
  <c r="K523" i="8" s="1"/>
  <c r="M523" i="8" s="1"/>
  <c r="H571" i="8"/>
  <c r="L571" i="8" s="1"/>
  <c r="K571" i="8" s="1"/>
  <c r="M571" i="8" s="1"/>
  <c r="H475" i="8"/>
  <c r="L475" i="8" s="1"/>
  <c r="K475" i="8" s="1"/>
  <c r="M475" i="8" s="1"/>
  <c r="H491" i="8"/>
  <c r="L491" i="8" s="1"/>
  <c r="K491" i="8" s="1"/>
  <c r="M491" i="8" s="1"/>
  <c r="H502" i="8"/>
  <c r="L502" i="8" s="1"/>
  <c r="K502" i="8" s="1"/>
  <c r="M502" i="8" s="1"/>
  <c r="H509" i="8"/>
  <c r="L509" i="8" s="1"/>
  <c r="K509" i="8" s="1"/>
  <c r="M509" i="8" s="1"/>
  <c r="H452" i="8"/>
  <c r="L452" i="8" s="1"/>
  <c r="K452" i="8" s="1"/>
  <c r="M452" i="8" s="1"/>
  <c r="H479" i="8"/>
  <c r="L479" i="8" s="1"/>
  <c r="K479" i="8" s="1"/>
  <c r="M479" i="8" s="1"/>
  <c r="H519" i="8"/>
  <c r="L519" i="8" s="1"/>
  <c r="K519" i="8" s="1"/>
  <c r="M519" i="8" s="1"/>
  <c r="H559" i="8"/>
  <c r="L559" i="8" s="1"/>
  <c r="K559" i="8" s="1"/>
  <c r="M559" i="8" s="1"/>
  <c r="H575" i="8"/>
  <c r="L575" i="8" s="1"/>
  <c r="K575" i="8" s="1"/>
  <c r="M575" i="8" s="1"/>
  <c r="H344" i="8"/>
  <c r="L344" i="8" s="1"/>
  <c r="K344" i="8" s="1"/>
  <c r="M344" i="8" s="1"/>
  <c r="H503" i="8"/>
  <c r="L503" i="8" s="1"/>
  <c r="K503" i="8" s="1"/>
  <c r="M503" i="8" s="1"/>
  <c r="H527" i="8"/>
  <c r="L527" i="8" s="1"/>
  <c r="K527" i="8" s="1"/>
  <c r="M527" i="8" s="1"/>
  <c r="H535" i="8"/>
  <c r="L535" i="8" s="1"/>
  <c r="K535" i="8" s="1"/>
  <c r="M535" i="8" s="1"/>
  <c r="H536" i="8"/>
  <c r="L536" i="8" s="1"/>
  <c r="K536" i="8" s="1"/>
  <c r="M536" i="8" s="1"/>
  <c r="H584" i="8"/>
  <c r="L584" i="8" s="1"/>
  <c r="K584" i="8" s="1"/>
  <c r="M584" i="8" s="1"/>
  <c r="H463" i="8"/>
  <c r="L463" i="8" s="1"/>
  <c r="K463" i="8" s="1"/>
  <c r="M463" i="8" s="1"/>
  <c r="H483" i="8"/>
  <c r="L483" i="8" s="1"/>
  <c r="K483" i="8" s="1"/>
  <c r="M483" i="8" s="1"/>
  <c r="H528" i="8"/>
  <c r="L528" i="8" s="1"/>
  <c r="K528" i="8" s="1"/>
  <c r="M528" i="8" s="1"/>
  <c r="H543" i="8"/>
  <c r="L543" i="8" s="1"/>
  <c r="K543" i="8" s="1"/>
  <c r="M543" i="8" s="1"/>
  <c r="H546" i="8"/>
  <c r="L546" i="8" s="1"/>
  <c r="K546" i="8" s="1"/>
  <c r="M546" i="8" s="1"/>
  <c r="H579" i="8"/>
  <c r="L579" i="8" s="1"/>
  <c r="K579" i="8" s="1"/>
  <c r="M579" i="8" s="1"/>
  <c r="H416" i="8"/>
  <c r="L416" i="8" s="1"/>
  <c r="K416" i="8" s="1"/>
  <c r="M416" i="8" s="1"/>
  <c r="H608" i="8"/>
  <c r="L608" i="8" s="1"/>
  <c r="K608" i="8" s="1"/>
  <c r="M608" i="8" s="1"/>
  <c r="H622" i="8"/>
  <c r="L622" i="8" s="1"/>
  <c r="K622" i="8" s="1"/>
  <c r="M622" i="8" s="1"/>
  <c r="H601" i="8"/>
  <c r="L601" i="8" s="1"/>
  <c r="K601" i="8" s="1"/>
  <c r="M601" i="8" s="1"/>
  <c r="H605" i="8"/>
  <c r="L605" i="8" s="1"/>
  <c r="K605" i="8" s="1"/>
  <c r="M605" i="8" s="1"/>
  <c r="H623" i="8"/>
  <c r="L623" i="8" s="1"/>
  <c r="K623" i="8" s="1"/>
  <c r="M623" i="8" s="1"/>
  <c r="H324" i="8"/>
  <c r="L324" i="8" s="1"/>
  <c r="K324" i="8" s="1"/>
  <c r="M324" i="8" s="1"/>
  <c r="H600" i="8"/>
  <c r="L600" i="8" s="1"/>
  <c r="K600" i="8" s="1"/>
  <c r="M600" i="8" s="1"/>
  <c r="H615" i="8"/>
  <c r="L615" i="8" s="1"/>
  <c r="K615" i="8" s="1"/>
  <c r="M615" i="8" s="1"/>
  <c r="H618" i="8"/>
  <c r="L618" i="8" s="1"/>
  <c r="K618" i="8" s="1"/>
  <c r="M618" i="8" s="1"/>
  <c r="H560" i="8"/>
  <c r="L560" i="8" s="1"/>
  <c r="K560" i="8" s="1"/>
  <c r="M560" i="8" s="1"/>
  <c r="H596" i="8"/>
  <c r="L596" i="8" s="1"/>
  <c r="K596" i="8" s="1"/>
  <c r="M596" i="8" s="1"/>
  <c r="H597" i="8"/>
  <c r="L597" i="8" s="1"/>
  <c r="K597" i="8" s="1"/>
  <c r="M597" i="8" s="1"/>
  <c r="H607" i="8"/>
  <c r="L607" i="8" s="1"/>
  <c r="K607" i="8" s="1"/>
  <c r="M607" i="8" s="1"/>
  <c r="H616" i="8"/>
  <c r="L616" i="8" s="1"/>
  <c r="K616" i="8" s="1"/>
  <c r="M616" i="8" s="1"/>
  <c r="H467" i="8"/>
  <c r="L467" i="8" s="1"/>
  <c r="K467" i="8" s="1"/>
  <c r="M467" i="8" s="1"/>
  <c r="H589" i="8"/>
  <c r="L589" i="8" s="1"/>
  <c r="K589" i="8" s="1"/>
  <c r="M589" i="8" s="1"/>
  <c r="H613" i="8"/>
  <c r="L613" i="8" s="1"/>
  <c r="K613" i="8" s="1"/>
  <c r="M613" i="8" s="1"/>
  <c r="H585" i="8"/>
  <c r="L585" i="8" s="1"/>
  <c r="K585" i="8" s="1"/>
  <c r="M585" i="8" s="1"/>
  <c r="H595" i="8"/>
  <c r="L595" i="8" s="1"/>
  <c r="K595" i="8" s="1"/>
  <c r="M595" i="8" s="1"/>
  <c r="H603" i="8"/>
  <c r="L603" i="8" s="1"/>
  <c r="K603" i="8" s="1"/>
  <c r="M603" i="8" s="1"/>
  <c r="H619" i="8"/>
  <c r="L619" i="8" s="1"/>
  <c r="K619" i="8" s="1"/>
  <c r="M619" i="8" s="1"/>
  <c r="H609" i="8"/>
  <c r="L609" i="8" s="1"/>
  <c r="K609" i="8" s="1"/>
  <c r="M609" i="8" s="1"/>
  <c r="H487" i="8"/>
  <c r="L487" i="8" s="1"/>
  <c r="K487" i="8" s="1"/>
  <c r="M487" i="8" s="1"/>
  <c r="H593" i="8"/>
  <c r="L593" i="8" s="1"/>
  <c r="K593" i="8" s="1"/>
  <c r="M593" i="8" s="1"/>
  <c r="H617" i="8"/>
  <c r="L617" i="8" s="1"/>
  <c r="K617" i="8" s="1"/>
  <c r="M617" i="8" s="1"/>
  <c r="H583" i="8"/>
  <c r="L583" i="8" s="1"/>
  <c r="K583" i="8" s="1"/>
  <c r="M583" i="8" s="1"/>
  <c r="H610" i="8"/>
  <c r="L610" i="8" s="1"/>
  <c r="K610" i="8" s="1"/>
  <c r="M610" i="8" s="1"/>
  <c r="H590" i="8"/>
  <c r="L590" i="8" s="1"/>
  <c r="K590" i="8" s="1"/>
  <c r="M590" i="8" s="1"/>
  <c r="H488" i="8"/>
  <c r="L488" i="8" s="1"/>
  <c r="K488" i="8" s="1"/>
  <c r="M488" i="8" s="1"/>
  <c r="H377" i="8"/>
  <c r="L377" i="8" s="1"/>
  <c r="K377" i="8" s="1"/>
  <c r="M377" i="8" s="1"/>
  <c r="H464" i="8"/>
  <c r="L464" i="8" s="1"/>
  <c r="K464" i="8" s="1"/>
  <c r="M464" i="8" s="1"/>
  <c r="H393" i="8"/>
  <c r="L393" i="8" s="1"/>
  <c r="K393" i="8" s="1"/>
  <c r="M393" i="8" s="1"/>
  <c r="H353" i="8"/>
  <c r="L353" i="8" s="1"/>
  <c r="K353" i="8" s="1"/>
  <c r="M353" i="8" s="1"/>
  <c r="H421" i="8"/>
  <c r="L421" i="8" s="1"/>
  <c r="K421" i="8" s="1"/>
  <c r="M421" i="8" s="1"/>
  <c r="H397" i="8"/>
  <c r="L397" i="8" s="1"/>
  <c r="K397" i="8" s="1"/>
  <c r="M397" i="8" s="1"/>
  <c r="H312" i="8"/>
  <c r="L312" i="8" s="1"/>
  <c r="K312" i="8" s="1"/>
  <c r="M312" i="8" s="1"/>
  <c r="H115" i="8"/>
  <c r="L115" i="8" s="1"/>
  <c r="K115" i="8" s="1"/>
  <c r="M115" i="8" s="1"/>
  <c r="H107" i="8"/>
  <c r="L107" i="8" s="1"/>
  <c r="K107" i="8" s="1"/>
  <c r="M107" i="8" s="1"/>
  <c r="H190" i="8"/>
  <c r="L190" i="8" s="1"/>
  <c r="K190" i="8" s="1"/>
  <c r="M190" i="8" s="1"/>
  <c r="H132" i="8"/>
  <c r="L132" i="8" s="1"/>
  <c r="K132" i="8" s="1"/>
  <c r="M132" i="8" s="1"/>
  <c r="H541" i="8"/>
  <c r="L541" i="8" s="1"/>
  <c r="K541" i="8" s="1"/>
  <c r="M541" i="8" s="1"/>
  <c r="H586" i="8"/>
  <c r="L586" i="8" s="1"/>
  <c r="K586" i="8" s="1"/>
  <c r="M586" i="8" s="1"/>
  <c r="H429" i="8"/>
  <c r="L429" i="8" s="1"/>
  <c r="K429" i="8" s="1"/>
  <c r="M429" i="8" s="1"/>
  <c r="H504" i="8"/>
  <c r="L504" i="8" s="1"/>
  <c r="K504" i="8" s="1"/>
  <c r="M504" i="8" s="1"/>
  <c r="H537" i="8"/>
  <c r="L537" i="8" s="1"/>
  <c r="K537" i="8" s="1"/>
  <c r="M537" i="8" s="1"/>
  <c r="H417" i="8"/>
  <c r="L417" i="8" s="1"/>
  <c r="K417" i="8" s="1"/>
  <c r="M417" i="8" s="1"/>
  <c r="H516" i="8"/>
  <c r="L516" i="8" s="1"/>
  <c r="K516" i="8" s="1"/>
  <c r="M516" i="8" s="1"/>
  <c r="H234" i="8"/>
  <c r="L234" i="8" s="1"/>
  <c r="K234" i="8" s="1"/>
  <c r="M234" i="8" s="1"/>
  <c r="H382" i="8"/>
  <c r="L382" i="8" s="1"/>
  <c r="K382" i="8" s="1"/>
  <c r="M382" i="8" s="1"/>
  <c r="H222" i="8"/>
  <c r="L222" i="8" s="1"/>
  <c r="K222" i="8" s="1"/>
  <c r="M222" i="8" s="1"/>
  <c r="H385" i="8"/>
  <c r="L385" i="8" s="1"/>
  <c r="K385" i="8" s="1"/>
  <c r="M385" i="8" s="1"/>
  <c r="H230" i="8"/>
  <c r="L230" i="8" s="1"/>
  <c r="K230" i="8" s="1"/>
  <c r="M230" i="8" s="1"/>
  <c r="H203" i="8"/>
  <c r="L203" i="8" s="1"/>
  <c r="K203" i="8" s="1"/>
  <c r="M203" i="8" s="1"/>
  <c r="H304" i="8"/>
  <c r="L304" i="8" s="1"/>
  <c r="K304" i="8" s="1"/>
  <c r="M304" i="8" s="1"/>
  <c r="H239" i="8"/>
  <c r="L239" i="8" s="1"/>
  <c r="K239" i="8" s="1"/>
  <c r="M239" i="8" s="1"/>
  <c r="H300" i="8"/>
  <c r="L300" i="8" s="1"/>
  <c r="K300" i="8" s="1"/>
  <c r="M300" i="8" s="1"/>
  <c r="H79" i="8"/>
  <c r="L79" i="8" s="1"/>
  <c r="K79" i="8" s="1"/>
  <c r="M79" i="8" s="1"/>
  <c r="H93" i="8"/>
  <c r="L93" i="8" s="1"/>
  <c r="K93" i="8" s="1"/>
  <c r="M93" i="8" s="1"/>
  <c r="H101" i="8"/>
  <c r="L101" i="8" s="1"/>
  <c r="K101" i="8" s="1"/>
  <c r="M101" i="8" s="1"/>
  <c r="H122" i="8"/>
  <c r="L122" i="8" s="1"/>
  <c r="K122" i="8" s="1"/>
  <c r="M122" i="8" s="1"/>
  <c r="H111" i="8"/>
  <c r="L111" i="8" s="1"/>
  <c r="K111" i="8" s="1"/>
  <c r="M111" i="8" s="1"/>
  <c r="H611" i="8"/>
  <c r="L611" i="8" s="1"/>
  <c r="K611" i="8" s="1"/>
  <c r="M611" i="8" s="1"/>
  <c r="H507" i="8"/>
  <c r="L507" i="8" s="1"/>
  <c r="K507" i="8" s="1"/>
  <c r="M507" i="8" s="1"/>
  <c r="H565" i="8"/>
  <c r="L565" i="8" s="1"/>
  <c r="K565" i="8" s="1"/>
  <c r="M565" i="8" s="1"/>
  <c r="H568" i="8"/>
  <c r="L568" i="8" s="1"/>
  <c r="K568" i="8" s="1"/>
  <c r="M568" i="8" s="1"/>
  <c r="H573" i="8"/>
  <c r="L573" i="8" s="1"/>
  <c r="K573" i="8" s="1"/>
  <c r="M573" i="8" s="1"/>
  <c r="H606" i="8"/>
  <c r="L606" i="8" s="1"/>
  <c r="K606" i="8" s="1"/>
  <c r="M606" i="8" s="1"/>
  <c r="H572" i="8"/>
  <c r="L572" i="8" s="1"/>
  <c r="K572" i="8" s="1"/>
  <c r="M572" i="8" s="1"/>
  <c r="H346" i="8"/>
  <c r="L346" i="8" s="1"/>
  <c r="K346" i="8" s="1"/>
  <c r="M346" i="8" s="1"/>
  <c r="H354" i="8"/>
  <c r="L354" i="8" s="1"/>
  <c r="K354" i="8" s="1"/>
  <c r="M354" i="8" s="1"/>
  <c r="H508" i="8"/>
  <c r="L508" i="8" s="1"/>
  <c r="K508" i="8" s="1"/>
  <c r="M508" i="8" s="1"/>
  <c r="H557" i="8"/>
  <c r="L557" i="8" s="1"/>
  <c r="K557" i="8" s="1"/>
  <c r="M557" i="8" s="1"/>
  <c r="H433" i="8"/>
  <c r="L433" i="8" s="1"/>
  <c r="K433" i="8" s="1"/>
  <c r="M433" i="8" s="1"/>
  <c r="H96" i="8"/>
  <c r="L96" i="8" s="1"/>
  <c r="K96" i="8" s="1"/>
  <c r="M96" i="8" s="1"/>
  <c r="H413" i="8"/>
  <c r="L413" i="8" s="1"/>
  <c r="K413" i="8" s="1"/>
  <c r="M413" i="8" s="1"/>
  <c r="H451" i="8"/>
  <c r="L451" i="8" s="1"/>
  <c r="K451" i="8" s="1"/>
  <c r="M451" i="8" s="1"/>
  <c r="H361" i="8"/>
  <c r="L361" i="8" s="1"/>
  <c r="K361" i="8" s="1"/>
  <c r="M361" i="8" s="1"/>
  <c r="H184" i="8"/>
  <c r="L184" i="8" s="1"/>
  <c r="K184" i="8" s="1"/>
  <c r="M184" i="8" s="1"/>
  <c r="H228" i="8"/>
  <c r="L228" i="8" s="1"/>
  <c r="K228" i="8" s="1"/>
  <c r="M228" i="8" s="1"/>
  <c r="H196" i="8"/>
  <c r="L196" i="8" s="1"/>
  <c r="K196" i="8" s="1"/>
  <c r="M196" i="8" s="1"/>
  <c r="H89" i="8"/>
  <c r="L89" i="8" s="1"/>
  <c r="K89" i="8" s="1"/>
  <c r="M89" i="8" s="1"/>
  <c r="H33" i="8"/>
  <c r="L33" i="8" s="1"/>
  <c r="K33" i="8" s="1"/>
  <c r="M33" i="8" s="1"/>
  <c r="H614" i="8"/>
  <c r="L614" i="8" s="1"/>
  <c r="K614" i="8" s="1"/>
  <c r="M614" i="8" s="1"/>
  <c r="H548" i="8"/>
  <c r="L548" i="8" s="1"/>
  <c r="K548" i="8" s="1"/>
  <c r="M548" i="8" s="1"/>
  <c r="H556" i="8"/>
  <c r="L556" i="8" s="1"/>
  <c r="K556" i="8" s="1"/>
  <c r="M556" i="8" s="1"/>
  <c r="H549" i="8"/>
  <c r="L549" i="8" s="1"/>
  <c r="K549" i="8" s="1"/>
  <c r="M549" i="8" s="1"/>
  <c r="H480" i="8"/>
  <c r="L480" i="8" s="1"/>
  <c r="K480" i="8" s="1"/>
  <c r="M480" i="8" s="1"/>
  <c r="H500" i="8"/>
  <c r="L500" i="8" s="1"/>
  <c r="K500" i="8" s="1"/>
  <c r="M500" i="8" s="1"/>
  <c r="H342" i="8"/>
  <c r="L342" i="8" s="1"/>
  <c r="K342" i="8" s="1"/>
  <c r="M342" i="8" s="1"/>
  <c r="H431" i="8"/>
  <c r="L431" i="8" s="1"/>
  <c r="K431" i="8" s="1"/>
  <c r="M431" i="8" s="1"/>
  <c r="H441" i="8"/>
  <c r="L441" i="8" s="1"/>
  <c r="K441" i="8" s="1"/>
  <c r="M441" i="8" s="1"/>
  <c r="H366" i="8"/>
  <c r="L366" i="8" s="1"/>
  <c r="K366" i="8" s="1"/>
  <c r="M366" i="8" s="1"/>
  <c r="H350" i="8"/>
  <c r="L350" i="8" s="1"/>
  <c r="K350" i="8" s="1"/>
  <c r="M350" i="8" s="1"/>
  <c r="H437" i="8"/>
  <c r="L437" i="8" s="1"/>
  <c r="K437" i="8" s="1"/>
  <c r="M437" i="8" s="1"/>
  <c r="H208" i="8"/>
  <c r="L208" i="8" s="1"/>
  <c r="K208" i="8" s="1"/>
  <c r="M208" i="8" s="1"/>
  <c r="H243" i="8"/>
  <c r="L243" i="8" s="1"/>
  <c r="K243" i="8" s="1"/>
  <c r="M243" i="8" s="1"/>
  <c r="H188" i="8"/>
  <c r="L188" i="8" s="1"/>
  <c r="K188" i="8" s="1"/>
  <c r="M188" i="8" s="1"/>
  <c r="H75" i="8"/>
  <c r="L75" i="8" s="1"/>
  <c r="K75" i="8" s="1"/>
  <c r="M75" i="8" s="1"/>
  <c r="H85" i="8"/>
  <c r="L85" i="8" s="1"/>
  <c r="K85" i="8" s="1"/>
  <c r="M85" i="8" s="1"/>
  <c r="H192" i="8"/>
  <c r="L192" i="8" s="1"/>
  <c r="K192" i="8" s="1"/>
  <c r="M192" i="8" s="1"/>
  <c r="H564" i="8"/>
  <c r="L564" i="8" s="1"/>
  <c r="K564" i="8" s="1"/>
  <c r="M564" i="8" s="1"/>
  <c r="H472" i="8"/>
  <c r="L472" i="8" s="1"/>
  <c r="K472" i="8" s="1"/>
  <c r="M472" i="8" s="1"/>
  <c r="H612" i="8"/>
  <c r="L612" i="8" s="1"/>
  <c r="K612" i="8" s="1"/>
  <c r="M612" i="8" s="1"/>
  <c r="H468" i="8"/>
  <c r="L468" i="8" s="1"/>
  <c r="K468" i="8" s="1"/>
  <c r="M468" i="8" s="1"/>
  <c r="H545" i="8"/>
  <c r="L545" i="8" s="1"/>
  <c r="K545" i="8" s="1"/>
  <c r="M545" i="8" s="1"/>
  <c r="H439" i="8"/>
  <c r="L439" i="8" s="1"/>
  <c r="K439" i="8" s="1"/>
  <c r="M439" i="8" s="1"/>
  <c r="H492" i="8"/>
  <c r="L492" i="8" s="1"/>
  <c r="K492" i="8" s="1"/>
  <c r="M492" i="8" s="1"/>
  <c r="H378" i="8"/>
  <c r="L378" i="8" s="1"/>
  <c r="K378" i="8" s="1"/>
  <c r="M378" i="8" s="1"/>
  <c r="H390" i="8"/>
  <c r="L390" i="8" s="1"/>
  <c r="K390" i="8" s="1"/>
  <c r="M390" i="8" s="1"/>
  <c r="H435" i="8"/>
  <c r="L435" i="8" s="1"/>
  <c r="K435" i="8" s="1"/>
  <c r="M435" i="8" s="1"/>
  <c r="H226" i="8"/>
  <c r="L226" i="8" s="1"/>
  <c r="K226" i="8" s="1"/>
  <c r="M226" i="8" s="1"/>
  <c r="H200" i="8"/>
  <c r="L200" i="8" s="1"/>
  <c r="K200" i="8" s="1"/>
  <c r="M200" i="8" s="1"/>
  <c r="H621" i="8"/>
  <c r="L621" i="8" s="1"/>
  <c r="K621" i="8" s="1"/>
  <c r="M621" i="8" s="1"/>
  <c r="H570" i="8"/>
  <c r="L570" i="8" s="1"/>
  <c r="K570" i="8" s="1"/>
  <c r="M570" i="8" s="1"/>
  <c r="H554" i="8"/>
  <c r="L554" i="8" s="1"/>
  <c r="K554" i="8" s="1"/>
  <c r="M554" i="8" s="1"/>
  <c r="H561" i="8"/>
  <c r="L561" i="8" s="1"/>
  <c r="K561" i="8" s="1"/>
  <c r="M561" i="8" s="1"/>
  <c r="H604" i="8"/>
  <c r="L604" i="8" s="1"/>
  <c r="K604" i="8" s="1"/>
  <c r="M604" i="8" s="1"/>
  <c r="H587" i="8"/>
  <c r="L587" i="8" s="1"/>
  <c r="K587" i="8" s="1"/>
  <c r="M587" i="8" s="1"/>
  <c r="H602" i="8"/>
  <c r="L602" i="8" s="1"/>
  <c r="K602" i="8" s="1"/>
  <c r="M602" i="8" s="1"/>
  <c r="H395" i="8"/>
  <c r="L395" i="8" s="1"/>
  <c r="K395" i="8" s="1"/>
  <c r="M395" i="8" s="1"/>
  <c r="H476" i="8"/>
  <c r="L476" i="8" s="1"/>
  <c r="K476" i="8" s="1"/>
  <c r="M476" i="8" s="1"/>
  <c r="H370" i="8"/>
  <c r="L370" i="8" s="1"/>
  <c r="K370" i="8" s="1"/>
  <c r="M370" i="8" s="1"/>
  <c r="H349" i="8"/>
  <c r="L349" i="8" s="1"/>
  <c r="K349" i="8" s="1"/>
  <c r="M349" i="8" s="1"/>
  <c r="H425" i="8"/>
  <c r="L425" i="8" s="1"/>
  <c r="K425" i="8" s="1"/>
  <c r="M425" i="8" s="1"/>
  <c r="H374" i="8"/>
  <c r="L374" i="8" s="1"/>
  <c r="K374" i="8" s="1"/>
  <c r="M374" i="8" s="1"/>
  <c r="H105" i="8"/>
  <c r="L105" i="8" s="1"/>
  <c r="K105" i="8" s="1"/>
  <c r="M105" i="8" s="1"/>
  <c r="H181" i="8"/>
  <c r="L181" i="8" s="1"/>
  <c r="K181" i="8" s="1"/>
  <c r="M181" i="8" s="1"/>
  <c r="H625" i="8"/>
  <c r="L625" i="8" s="1"/>
  <c r="K625" i="8" s="1"/>
  <c r="M625" i="8" s="1"/>
  <c r="H624" i="8"/>
  <c r="L624" i="8" s="1"/>
  <c r="K624" i="8" s="1"/>
  <c r="M624" i="8" s="1"/>
  <c r="H581" i="8"/>
  <c r="L581" i="8" s="1"/>
  <c r="K581" i="8" s="1"/>
  <c r="M581" i="8" s="1"/>
  <c r="H598" i="8"/>
  <c r="L598" i="8" s="1"/>
  <c r="K598" i="8" s="1"/>
  <c r="M598" i="8" s="1"/>
  <c r="H533" i="8"/>
  <c r="L533" i="8" s="1"/>
  <c r="K533" i="8" s="1"/>
  <c r="M533" i="8" s="1"/>
  <c r="H455" i="8"/>
  <c r="L455" i="8" s="1"/>
  <c r="K455" i="8" s="1"/>
  <c r="M455" i="8" s="1"/>
  <c r="H484" i="8"/>
  <c r="L484" i="8" s="1"/>
  <c r="K484" i="8" s="1"/>
  <c r="M484" i="8" s="1"/>
  <c r="H453" i="8"/>
  <c r="L453" i="8" s="1"/>
  <c r="K453" i="8" s="1"/>
  <c r="M453" i="8" s="1"/>
  <c r="H447" i="8"/>
  <c r="L447" i="8" s="1"/>
  <c r="K447" i="8" s="1"/>
  <c r="M447" i="8" s="1"/>
  <c r="H423" i="8"/>
  <c r="L423" i="8" s="1"/>
  <c r="K423" i="8" s="1"/>
  <c r="M423" i="8" s="1"/>
  <c r="H341" i="8"/>
  <c r="L341" i="8" s="1"/>
  <c r="K341" i="8" s="1"/>
  <c r="M341" i="8" s="1"/>
  <c r="H419" i="8"/>
  <c r="L419" i="8" s="1"/>
  <c r="K419" i="8" s="1"/>
  <c r="M419" i="8" s="1"/>
  <c r="H177" i="8"/>
  <c r="L177" i="8" s="1"/>
  <c r="K177" i="8" s="1"/>
  <c r="M177" i="8" s="1"/>
  <c r="H144" i="8"/>
  <c r="L144" i="8" s="1"/>
  <c r="K144" i="8" s="1"/>
  <c r="M144" i="8" s="1"/>
  <c r="H29" i="8"/>
  <c r="L29" i="8" s="1"/>
  <c r="K29" i="8" s="1"/>
  <c r="M29" i="8" s="1"/>
  <c r="H620" i="8"/>
  <c r="L620" i="8" s="1"/>
  <c r="K620" i="8" s="1"/>
  <c r="M620" i="8" s="1"/>
  <c r="H567" i="8"/>
  <c r="L567" i="8" s="1"/>
  <c r="K567" i="8" s="1"/>
  <c r="M567" i="8" s="1"/>
  <c r="H566" i="8"/>
  <c r="L566" i="8" s="1"/>
  <c r="K566" i="8" s="1"/>
  <c r="M566" i="8" s="1"/>
  <c r="H530" i="8"/>
  <c r="L530" i="8" s="1"/>
  <c r="K530" i="8" s="1"/>
  <c r="M530" i="8" s="1"/>
  <c r="H591" i="8"/>
  <c r="L591" i="8" s="1"/>
  <c r="K591" i="8" s="1"/>
  <c r="M591" i="8" s="1"/>
  <c r="H552" i="8"/>
  <c r="L552" i="8" s="1"/>
  <c r="K552" i="8" s="1"/>
  <c r="M552" i="8" s="1"/>
  <c r="H558" i="8"/>
  <c r="L558" i="8" s="1"/>
  <c r="K558" i="8" s="1"/>
  <c r="M558" i="8" s="1"/>
  <c r="H588" i="8"/>
  <c r="L588" i="8" s="1"/>
  <c r="K588" i="8" s="1"/>
  <c r="M588" i="8" s="1"/>
  <c r="H594" i="8"/>
  <c r="L594" i="8" s="1"/>
  <c r="K594" i="8" s="1"/>
  <c r="M594" i="8" s="1"/>
  <c r="H525" i="8"/>
  <c r="L525" i="8" s="1"/>
  <c r="K525" i="8" s="1"/>
  <c r="M525" i="8" s="1"/>
  <c r="H445" i="8"/>
  <c r="L445" i="8" s="1"/>
  <c r="K445" i="8" s="1"/>
  <c r="M445" i="8" s="1"/>
  <c r="H529" i="8"/>
  <c r="L529" i="8" s="1"/>
  <c r="K529" i="8" s="1"/>
  <c r="M529" i="8" s="1"/>
  <c r="H427" i="8"/>
  <c r="L427" i="8" s="1"/>
  <c r="K427" i="8" s="1"/>
  <c r="M427" i="8" s="1"/>
  <c r="H369" i="8"/>
  <c r="L369" i="8" s="1"/>
  <c r="K369" i="8" s="1"/>
  <c r="M369" i="8" s="1"/>
  <c r="H358" i="8"/>
  <c r="L358" i="8" s="1"/>
  <c r="K358" i="8" s="1"/>
  <c r="M358" i="8" s="1"/>
  <c r="H443" i="8"/>
  <c r="L443" i="8" s="1"/>
  <c r="K443" i="8" s="1"/>
  <c r="M443" i="8" s="1"/>
  <c r="H337" i="8"/>
  <c r="L337" i="8" s="1"/>
  <c r="K337" i="8" s="1"/>
  <c r="M337" i="8" s="1"/>
  <c r="H362" i="8"/>
  <c r="L362" i="8" s="1"/>
  <c r="K362" i="8" s="1"/>
  <c r="M362" i="8" s="1"/>
  <c r="H386" i="8"/>
  <c r="L386" i="8" s="1"/>
  <c r="K386" i="8" s="1"/>
  <c r="M386" i="8" s="1"/>
  <c r="H236" i="8"/>
  <c r="L236" i="8" s="1"/>
  <c r="K236" i="8" s="1"/>
  <c r="M236" i="8" s="1"/>
  <c r="H204" i="8"/>
  <c r="L204" i="8" s="1"/>
  <c r="K204" i="8" s="1"/>
  <c r="M204" i="8" s="1"/>
  <c r="H97" i="8"/>
  <c r="L97" i="8" s="1"/>
  <c r="K97" i="8" s="1"/>
  <c r="M97" i="8" s="1"/>
  <c r="H520" i="8"/>
  <c r="L520" i="8" s="1"/>
  <c r="K520" i="8" s="1"/>
  <c r="M520" i="8" s="1"/>
  <c r="H577" i="8"/>
  <c r="L577" i="8" s="1"/>
  <c r="K577" i="8" s="1"/>
  <c r="M577" i="8" s="1"/>
  <c r="H599" i="8"/>
  <c r="L599" i="8" s="1"/>
  <c r="K599" i="8" s="1"/>
  <c r="M599" i="8" s="1"/>
  <c r="H542" i="8"/>
  <c r="L542" i="8" s="1"/>
  <c r="K542" i="8" s="1"/>
  <c r="M542" i="8" s="1"/>
  <c r="H518" i="8"/>
  <c r="L518" i="8" s="1"/>
  <c r="K518" i="8" s="1"/>
  <c r="M518" i="8" s="1"/>
  <c r="H524" i="8"/>
  <c r="L524" i="8" s="1"/>
  <c r="K524" i="8" s="1"/>
  <c r="M524" i="8" s="1"/>
  <c r="H461" i="8"/>
  <c r="L461" i="8" s="1"/>
  <c r="K461" i="8" s="1"/>
  <c r="M461" i="8" s="1"/>
  <c r="H497" i="8"/>
  <c r="L497" i="8" s="1"/>
  <c r="K497" i="8" s="1"/>
  <c r="M497" i="8" s="1"/>
  <c r="H486" i="8"/>
  <c r="L486" i="8" s="1"/>
  <c r="K486" i="8" s="1"/>
  <c r="M486" i="8" s="1"/>
  <c r="H478" i="8"/>
  <c r="L478" i="8" s="1"/>
  <c r="K478" i="8" s="1"/>
  <c r="M478" i="8" s="1"/>
  <c r="H470" i="8"/>
  <c r="L470" i="8" s="1"/>
  <c r="K470" i="8" s="1"/>
  <c r="M470" i="8" s="1"/>
  <c r="H438" i="8"/>
  <c r="L438" i="8" s="1"/>
  <c r="K438" i="8" s="1"/>
  <c r="M438" i="8" s="1"/>
  <c r="H440" i="8"/>
  <c r="L440" i="8" s="1"/>
  <c r="K440" i="8" s="1"/>
  <c r="M440" i="8" s="1"/>
  <c r="H538" i="8"/>
  <c r="L538" i="8" s="1"/>
  <c r="K538" i="8" s="1"/>
  <c r="M538" i="8" s="1"/>
  <c r="H517" i="8"/>
  <c r="L517" i="8" s="1"/>
  <c r="K517" i="8" s="1"/>
  <c r="M517" i="8" s="1"/>
  <c r="H592" i="8"/>
  <c r="L592" i="8" s="1"/>
  <c r="K592" i="8" s="1"/>
  <c r="M592" i="8" s="1"/>
  <c r="H513" i="8"/>
  <c r="L513" i="8" s="1"/>
  <c r="K513" i="8" s="1"/>
  <c r="M513" i="8" s="1"/>
  <c r="H426" i="8"/>
  <c r="L426" i="8" s="1"/>
  <c r="K426" i="8" s="1"/>
  <c r="M426" i="8" s="1"/>
  <c r="H418" i="8"/>
  <c r="L418" i="8" s="1"/>
  <c r="K418" i="8" s="1"/>
  <c r="M418" i="8" s="1"/>
  <c r="H450" i="8"/>
  <c r="L450" i="8" s="1"/>
  <c r="K450" i="8" s="1"/>
  <c r="M450" i="8" s="1"/>
  <c r="H411" i="8"/>
  <c r="L411" i="8" s="1"/>
  <c r="K411" i="8" s="1"/>
  <c r="M411" i="8" s="1"/>
  <c r="H403" i="8"/>
  <c r="L403" i="8" s="1"/>
  <c r="K403" i="8" s="1"/>
  <c r="M403" i="8" s="1"/>
  <c r="H415" i="8"/>
  <c r="L415" i="8" s="1"/>
  <c r="K415" i="8" s="1"/>
  <c r="M415" i="8" s="1"/>
  <c r="H410" i="8"/>
  <c r="L410" i="8" s="1"/>
  <c r="K410" i="8" s="1"/>
  <c r="M410" i="8" s="1"/>
  <c r="H332" i="8"/>
  <c r="L332" i="8" s="1"/>
  <c r="K332" i="8" s="1"/>
  <c r="M332" i="8" s="1"/>
  <c r="H375" i="8"/>
  <c r="L375" i="8" s="1"/>
  <c r="K375" i="8" s="1"/>
  <c r="M375" i="8" s="1"/>
  <c r="H582" i="8"/>
  <c r="L582" i="8" s="1"/>
  <c r="K582" i="8" s="1"/>
  <c r="M582" i="8" s="1"/>
  <c r="H514" i="8"/>
  <c r="L514" i="8" s="1"/>
  <c r="K514" i="8" s="1"/>
  <c r="M514" i="8" s="1"/>
  <c r="H534" i="8"/>
  <c r="L534" i="8" s="1"/>
  <c r="K534" i="8" s="1"/>
  <c r="M534" i="8" s="1"/>
  <c r="H540" i="8"/>
  <c r="L540" i="8" s="1"/>
  <c r="K540" i="8" s="1"/>
  <c r="M540" i="8" s="1"/>
  <c r="H550" i="8"/>
  <c r="L550" i="8" s="1"/>
  <c r="K550" i="8" s="1"/>
  <c r="M550" i="8" s="1"/>
  <c r="H414" i="8"/>
  <c r="L414" i="8" s="1"/>
  <c r="K414" i="8" s="1"/>
  <c r="M414" i="8" s="1"/>
  <c r="H489" i="8"/>
  <c r="L489" i="8" s="1"/>
  <c r="K489" i="8" s="1"/>
  <c r="M489" i="8" s="1"/>
  <c r="H481" i="8"/>
  <c r="L481" i="8" s="1"/>
  <c r="K481" i="8" s="1"/>
  <c r="M481" i="8" s="1"/>
  <c r="H473" i="8"/>
  <c r="L473" i="8" s="1"/>
  <c r="K473" i="8" s="1"/>
  <c r="M473" i="8" s="1"/>
  <c r="H465" i="8"/>
  <c r="L465" i="8" s="1"/>
  <c r="K465" i="8" s="1"/>
  <c r="M465" i="8" s="1"/>
  <c r="H409" i="8"/>
  <c r="L409" i="8" s="1"/>
  <c r="K409" i="8" s="1"/>
  <c r="M409" i="8" s="1"/>
  <c r="H430" i="8"/>
  <c r="L430" i="8" s="1"/>
  <c r="K430" i="8" s="1"/>
  <c r="M430" i="8" s="1"/>
  <c r="H432" i="8"/>
  <c r="L432" i="8" s="1"/>
  <c r="K432" i="8" s="1"/>
  <c r="M432" i="8" s="1"/>
  <c r="H553" i="8"/>
  <c r="L553" i="8" s="1"/>
  <c r="K553" i="8" s="1"/>
  <c r="M553" i="8" s="1"/>
  <c r="H539" i="8"/>
  <c r="L539" i="8" s="1"/>
  <c r="K539" i="8" s="1"/>
  <c r="M539" i="8" s="1"/>
  <c r="H434" i="8"/>
  <c r="L434" i="8" s="1"/>
  <c r="K434" i="8" s="1"/>
  <c r="M434" i="8" s="1"/>
  <c r="H398" i="8"/>
  <c r="L398" i="8" s="1"/>
  <c r="K398" i="8" s="1"/>
  <c r="M398" i="8" s="1"/>
  <c r="H405" i="8"/>
  <c r="L405" i="8" s="1"/>
  <c r="K405" i="8" s="1"/>
  <c r="M405" i="8" s="1"/>
  <c r="H388" i="8"/>
  <c r="L388" i="8" s="1"/>
  <c r="K388" i="8" s="1"/>
  <c r="M388" i="8" s="1"/>
  <c r="H367" i="8"/>
  <c r="L367" i="8" s="1"/>
  <c r="K367" i="8" s="1"/>
  <c r="M367" i="8" s="1"/>
  <c r="H372" i="8"/>
  <c r="L372" i="8" s="1"/>
  <c r="K372" i="8" s="1"/>
  <c r="M372" i="8" s="1"/>
  <c r="H356" i="8"/>
  <c r="L356" i="8" s="1"/>
  <c r="K356" i="8" s="1"/>
  <c r="M356" i="8" s="1"/>
  <c r="H379" i="8"/>
  <c r="L379" i="8" s="1"/>
  <c r="K379" i="8" s="1"/>
  <c r="M379" i="8" s="1"/>
  <c r="H376" i="8"/>
  <c r="L376" i="8" s="1"/>
  <c r="K376" i="8" s="1"/>
  <c r="M376" i="8" s="1"/>
  <c r="H578" i="8"/>
  <c r="L578" i="8" s="1"/>
  <c r="K578" i="8" s="1"/>
  <c r="M578" i="8" s="1"/>
  <c r="H493" i="8"/>
  <c r="L493" i="8" s="1"/>
  <c r="K493" i="8" s="1"/>
  <c r="M493" i="8" s="1"/>
  <c r="H526" i="8"/>
  <c r="L526" i="8" s="1"/>
  <c r="K526" i="8" s="1"/>
  <c r="M526" i="8" s="1"/>
  <c r="H498" i="8"/>
  <c r="L498" i="8" s="1"/>
  <c r="K498" i="8" s="1"/>
  <c r="M498" i="8" s="1"/>
  <c r="H510" i="8"/>
  <c r="L510" i="8" s="1"/>
  <c r="K510" i="8" s="1"/>
  <c r="M510" i="8" s="1"/>
  <c r="H522" i="8"/>
  <c r="L522" i="8" s="1"/>
  <c r="K522" i="8" s="1"/>
  <c r="M522" i="8" s="1"/>
  <c r="H459" i="8"/>
  <c r="L459" i="8" s="1"/>
  <c r="K459" i="8" s="1"/>
  <c r="M459" i="8" s="1"/>
  <c r="H458" i="8"/>
  <c r="L458" i="8" s="1"/>
  <c r="K458" i="8" s="1"/>
  <c r="M458" i="8" s="1"/>
  <c r="H401" i="8"/>
  <c r="L401" i="8" s="1"/>
  <c r="K401" i="8" s="1"/>
  <c r="M401" i="8" s="1"/>
  <c r="H501" i="8"/>
  <c r="L501" i="8" s="1"/>
  <c r="K501" i="8" s="1"/>
  <c r="M501" i="8" s="1"/>
  <c r="H490" i="8"/>
  <c r="L490" i="8" s="1"/>
  <c r="K490" i="8" s="1"/>
  <c r="M490" i="8" s="1"/>
  <c r="H482" i="8"/>
  <c r="L482" i="8" s="1"/>
  <c r="K482" i="8" s="1"/>
  <c r="M482" i="8" s="1"/>
  <c r="H474" i="8"/>
  <c r="L474" i="8" s="1"/>
  <c r="K474" i="8" s="1"/>
  <c r="M474" i="8" s="1"/>
  <c r="H466" i="8"/>
  <c r="L466" i="8" s="1"/>
  <c r="K466" i="8" s="1"/>
  <c r="M466" i="8" s="1"/>
  <c r="H462" i="8"/>
  <c r="L462" i="8" s="1"/>
  <c r="K462" i="8" s="1"/>
  <c r="M462" i="8" s="1"/>
  <c r="H422" i="8"/>
  <c r="L422" i="8" s="1"/>
  <c r="K422" i="8" s="1"/>
  <c r="M422" i="8" s="1"/>
  <c r="H424" i="8"/>
  <c r="L424" i="8" s="1"/>
  <c r="K424" i="8" s="1"/>
  <c r="M424" i="8" s="1"/>
  <c r="H380" i="8"/>
  <c r="L380" i="8" s="1"/>
  <c r="K380" i="8" s="1"/>
  <c r="M380" i="8" s="1"/>
  <c r="H406" i="8"/>
  <c r="L406" i="8" s="1"/>
  <c r="K406" i="8" s="1"/>
  <c r="M406" i="8" s="1"/>
  <c r="H399" i="8"/>
  <c r="L399" i="8" s="1"/>
  <c r="K399" i="8" s="1"/>
  <c r="M399" i="8" s="1"/>
  <c r="H291" i="8"/>
  <c r="L291" i="8" s="1"/>
  <c r="K291" i="8" s="1"/>
  <c r="M291" i="8" s="1"/>
  <c r="H551" i="8"/>
  <c r="L551" i="8" s="1"/>
  <c r="K551" i="8" s="1"/>
  <c r="M551" i="8" s="1"/>
  <c r="H576" i="8"/>
  <c r="L576" i="8" s="1"/>
  <c r="K576" i="8" s="1"/>
  <c r="M576" i="8" s="1"/>
  <c r="H532" i="8"/>
  <c r="L532" i="8" s="1"/>
  <c r="K532" i="8" s="1"/>
  <c r="M532" i="8" s="1"/>
  <c r="H456" i="8"/>
  <c r="L456" i="8" s="1"/>
  <c r="K456" i="8" s="1"/>
  <c r="M456" i="8" s="1"/>
  <c r="H449" i="8"/>
  <c r="L449" i="8" s="1"/>
  <c r="K449" i="8" s="1"/>
  <c r="M449" i="8" s="1"/>
  <c r="H454" i="8"/>
  <c r="L454" i="8" s="1"/>
  <c r="K454" i="8" s="1"/>
  <c r="M454" i="8" s="1"/>
  <c r="H407" i="8"/>
  <c r="L407" i="8" s="1"/>
  <c r="K407" i="8" s="1"/>
  <c r="M407" i="8" s="1"/>
  <c r="H320" i="8"/>
  <c r="L320" i="8" s="1"/>
  <c r="K320" i="8" s="1"/>
  <c r="M320" i="8" s="1"/>
  <c r="H391" i="8"/>
  <c r="L391" i="8" s="1"/>
  <c r="K391" i="8" s="1"/>
  <c r="M391" i="8" s="1"/>
  <c r="H359" i="8"/>
  <c r="L359" i="8" s="1"/>
  <c r="K359" i="8" s="1"/>
  <c r="M359" i="8" s="1"/>
  <c r="H569" i="8"/>
  <c r="L569" i="8" s="1"/>
  <c r="K569" i="8" s="1"/>
  <c r="M569" i="8" s="1"/>
  <c r="H521" i="8"/>
  <c r="L521" i="8" s="1"/>
  <c r="K521" i="8" s="1"/>
  <c r="M521" i="8" s="1"/>
  <c r="H460" i="8"/>
  <c r="L460" i="8" s="1"/>
  <c r="K460" i="8" s="1"/>
  <c r="M460" i="8" s="1"/>
  <c r="H531" i="8"/>
  <c r="L531" i="8" s="1"/>
  <c r="K531" i="8" s="1"/>
  <c r="M531" i="8" s="1"/>
  <c r="H496" i="8"/>
  <c r="L496" i="8" s="1"/>
  <c r="K496" i="8" s="1"/>
  <c r="M496" i="8" s="1"/>
  <c r="H512" i="8"/>
  <c r="L512" i="8" s="1"/>
  <c r="K512" i="8" s="1"/>
  <c r="M512" i="8" s="1"/>
  <c r="H485" i="8"/>
  <c r="L485" i="8" s="1"/>
  <c r="K485" i="8" s="1"/>
  <c r="M485" i="8" s="1"/>
  <c r="H477" i="8"/>
  <c r="L477" i="8" s="1"/>
  <c r="K477" i="8" s="1"/>
  <c r="M477" i="8" s="1"/>
  <c r="H469" i="8"/>
  <c r="L469" i="8" s="1"/>
  <c r="K469" i="8" s="1"/>
  <c r="M469" i="8" s="1"/>
  <c r="H446" i="8"/>
  <c r="L446" i="8" s="1"/>
  <c r="K446" i="8" s="1"/>
  <c r="M446" i="8" s="1"/>
  <c r="H448" i="8"/>
  <c r="L448" i="8" s="1"/>
  <c r="K448" i="8" s="1"/>
  <c r="M448" i="8" s="1"/>
  <c r="H389" i="8"/>
  <c r="L389" i="8" s="1"/>
  <c r="K389" i="8" s="1"/>
  <c r="M389" i="8" s="1"/>
  <c r="H365" i="8"/>
  <c r="L365" i="8" s="1"/>
  <c r="K365" i="8" s="1"/>
  <c r="M365" i="8" s="1"/>
  <c r="H511" i="8"/>
  <c r="L511" i="8" s="1"/>
  <c r="K511" i="8" s="1"/>
  <c r="M511" i="8" s="1"/>
  <c r="H574" i="8"/>
  <c r="L574" i="8" s="1"/>
  <c r="K574" i="8" s="1"/>
  <c r="M574" i="8" s="1"/>
  <c r="H457" i="8"/>
  <c r="L457" i="8" s="1"/>
  <c r="K457" i="8" s="1"/>
  <c r="M457" i="8" s="1"/>
  <c r="H442" i="8"/>
  <c r="L442" i="8" s="1"/>
  <c r="K442" i="8" s="1"/>
  <c r="M442" i="8" s="1"/>
  <c r="H381" i="8"/>
  <c r="L381" i="8" s="1"/>
  <c r="K381" i="8" s="1"/>
  <c r="M381" i="8" s="1"/>
  <c r="H402" i="8"/>
  <c r="L402" i="8" s="1"/>
  <c r="K402" i="8" s="1"/>
  <c r="M402" i="8" s="1"/>
  <c r="H383" i="8"/>
  <c r="L383" i="8" s="1"/>
  <c r="K383" i="8" s="1"/>
  <c r="M383" i="8" s="1"/>
  <c r="H351" i="8"/>
  <c r="L351" i="8" s="1"/>
  <c r="K351" i="8" s="1"/>
  <c r="M351" i="8" s="1"/>
  <c r="H364" i="8"/>
  <c r="L364" i="8" s="1"/>
  <c r="K364" i="8" s="1"/>
  <c r="M364" i="8" s="1"/>
  <c r="H363" i="8"/>
  <c r="L363" i="8" s="1"/>
  <c r="K363" i="8" s="1"/>
  <c r="M363" i="8" s="1"/>
  <c r="H392" i="8"/>
  <c r="L392" i="8" s="1"/>
  <c r="K392" i="8" s="1"/>
  <c r="M392" i="8" s="1"/>
  <c r="H348" i="8"/>
  <c r="L348" i="8" s="1"/>
  <c r="K348" i="8" s="1"/>
  <c r="M348" i="8" s="1"/>
  <c r="H270" i="8"/>
  <c r="L270" i="8" s="1"/>
  <c r="K270" i="8" s="1"/>
  <c r="M270" i="8" s="1"/>
  <c r="H360" i="8"/>
  <c r="L360" i="8" s="1"/>
  <c r="K360" i="8" s="1"/>
  <c r="M360" i="8" s="1"/>
  <c r="H266" i="8"/>
  <c r="L266" i="8" s="1"/>
  <c r="K266" i="8" s="1"/>
  <c r="M266" i="8" s="1"/>
  <c r="H343" i="8"/>
  <c r="L343" i="8" s="1"/>
  <c r="K343" i="8" s="1"/>
  <c r="M343" i="8" s="1"/>
  <c r="H295" i="8"/>
  <c r="L295" i="8" s="1"/>
  <c r="K295" i="8" s="1"/>
  <c r="M295" i="8" s="1"/>
  <c r="H334" i="8"/>
  <c r="L334" i="8" s="1"/>
  <c r="K334" i="8" s="1"/>
  <c r="M334" i="8" s="1"/>
  <c r="H252" i="8"/>
  <c r="L252" i="8" s="1"/>
  <c r="K252" i="8" s="1"/>
  <c r="M252" i="8" s="1"/>
  <c r="H238" i="8"/>
  <c r="L238" i="8" s="1"/>
  <c r="K238" i="8" s="1"/>
  <c r="M238" i="8" s="1"/>
  <c r="H209" i="8"/>
  <c r="L209" i="8" s="1"/>
  <c r="K209" i="8" s="1"/>
  <c r="M209" i="8" s="1"/>
  <c r="H212" i="8"/>
  <c r="L212" i="8" s="1"/>
  <c r="K212" i="8" s="1"/>
  <c r="M212" i="8" s="1"/>
  <c r="H193" i="8"/>
  <c r="L193" i="8" s="1"/>
  <c r="K193" i="8" s="1"/>
  <c r="M193" i="8" s="1"/>
  <c r="H109" i="8"/>
  <c r="L109" i="8" s="1"/>
  <c r="K109" i="8" s="1"/>
  <c r="M109" i="8" s="1"/>
  <c r="H37" i="8"/>
  <c r="L37" i="8" s="1"/>
  <c r="K37" i="8" s="1"/>
  <c r="M37" i="8" s="1"/>
  <c r="H90" i="8"/>
  <c r="L90" i="8" s="1"/>
  <c r="K90" i="8" s="1"/>
  <c r="M90" i="8" s="1"/>
  <c r="H98" i="8"/>
  <c r="L98" i="8" s="1"/>
  <c r="K98" i="8" s="1"/>
  <c r="M98" i="8" s="1"/>
  <c r="H99" i="8"/>
  <c r="L99" i="8" s="1"/>
  <c r="K99" i="8" s="1"/>
  <c r="M99" i="8" s="1"/>
  <c r="H84" i="8"/>
  <c r="L84" i="8" s="1"/>
  <c r="K84" i="8" s="1"/>
  <c r="M84" i="8" s="1"/>
  <c r="H68" i="8"/>
  <c r="L68" i="8" s="1"/>
  <c r="K68" i="8" s="1"/>
  <c r="M68" i="8" s="1"/>
  <c r="H60" i="8"/>
  <c r="L60" i="8" s="1"/>
  <c r="K60" i="8" s="1"/>
  <c r="M60" i="8" s="1"/>
  <c r="H52" i="8"/>
  <c r="L52" i="8" s="1"/>
  <c r="K52" i="8" s="1"/>
  <c r="M52" i="8" s="1"/>
  <c r="H76" i="8"/>
  <c r="L76" i="8" s="1"/>
  <c r="K76" i="8" s="1"/>
  <c r="M76" i="8" s="1"/>
  <c r="H67" i="8"/>
  <c r="L67" i="8" s="1"/>
  <c r="K67" i="8" s="1"/>
  <c r="M67" i="8" s="1"/>
  <c r="H59" i="8"/>
  <c r="L59" i="8" s="1"/>
  <c r="K59" i="8" s="1"/>
  <c r="M59" i="8" s="1"/>
  <c r="H41" i="8"/>
  <c r="L41" i="8" s="1"/>
  <c r="K41" i="8" s="1"/>
  <c r="M41" i="8" s="1"/>
  <c r="H32" i="8"/>
  <c r="L32" i="8" s="1"/>
  <c r="K32" i="8" s="1"/>
  <c r="M32" i="8" s="1"/>
  <c r="H113" i="8"/>
  <c r="L113" i="8" s="1"/>
  <c r="K113" i="8" s="1"/>
  <c r="M113" i="8" s="1"/>
  <c r="H54" i="8"/>
  <c r="L54" i="8" s="1"/>
  <c r="K54" i="8" s="1"/>
  <c r="M54" i="8" s="1"/>
  <c r="H278" i="8"/>
  <c r="L278" i="8" s="1"/>
  <c r="K278" i="8" s="1"/>
  <c r="M278" i="8" s="1"/>
  <c r="H254" i="8"/>
  <c r="L254" i="8" s="1"/>
  <c r="K254" i="8" s="1"/>
  <c r="M254" i="8" s="1"/>
  <c r="H339" i="8"/>
  <c r="L339" i="8" s="1"/>
  <c r="K339" i="8" s="1"/>
  <c r="M339" i="8" s="1"/>
  <c r="H294" i="8"/>
  <c r="L294" i="8" s="1"/>
  <c r="K294" i="8" s="1"/>
  <c r="M294" i="8" s="1"/>
  <c r="H330" i="8"/>
  <c r="L330" i="8" s="1"/>
  <c r="K330" i="8" s="1"/>
  <c r="M330" i="8" s="1"/>
  <c r="H201" i="8"/>
  <c r="L201" i="8" s="1"/>
  <c r="K201" i="8" s="1"/>
  <c r="M201" i="8" s="1"/>
  <c r="H248" i="8"/>
  <c r="L248" i="8" s="1"/>
  <c r="K248" i="8" s="1"/>
  <c r="M248" i="8" s="1"/>
  <c r="H235" i="8"/>
  <c r="L235" i="8" s="1"/>
  <c r="K235" i="8" s="1"/>
  <c r="M235" i="8" s="1"/>
  <c r="H178" i="8"/>
  <c r="L178" i="8" s="1"/>
  <c r="K178" i="8" s="1"/>
  <c r="M178" i="8" s="1"/>
  <c r="H180" i="8"/>
  <c r="L180" i="8" s="1"/>
  <c r="K180" i="8" s="1"/>
  <c r="M180" i="8" s="1"/>
  <c r="H194" i="8"/>
  <c r="L194" i="8" s="1"/>
  <c r="K194" i="8" s="1"/>
  <c r="M194" i="8" s="1"/>
  <c r="H147" i="8"/>
  <c r="L147" i="8" s="1"/>
  <c r="K147" i="8" s="1"/>
  <c r="M147" i="8" s="1"/>
  <c r="H119" i="8"/>
  <c r="L119" i="8" s="1"/>
  <c r="K119" i="8" s="1"/>
  <c r="M119" i="8" s="1"/>
  <c r="H95" i="8"/>
  <c r="L95" i="8" s="1"/>
  <c r="K95" i="8" s="1"/>
  <c r="M95" i="8" s="1"/>
  <c r="H148" i="8"/>
  <c r="L148" i="8" s="1"/>
  <c r="K148" i="8" s="1"/>
  <c r="M148" i="8" s="1"/>
  <c r="H102" i="8"/>
  <c r="L102" i="8" s="1"/>
  <c r="K102" i="8" s="1"/>
  <c r="M102" i="8" s="1"/>
  <c r="H49" i="8"/>
  <c r="L49" i="8" s="1"/>
  <c r="K49" i="8" s="1"/>
  <c r="M49" i="8" s="1"/>
  <c r="H73" i="8"/>
  <c r="L73" i="8" s="1"/>
  <c r="K73" i="8" s="1"/>
  <c r="M73" i="8" s="1"/>
  <c r="H65" i="8"/>
  <c r="L65" i="8" s="1"/>
  <c r="K65" i="8" s="1"/>
  <c r="M65" i="8" s="1"/>
  <c r="H57" i="8"/>
  <c r="L57" i="8" s="1"/>
  <c r="K57" i="8" s="1"/>
  <c r="M57" i="8" s="1"/>
  <c r="H27" i="8"/>
  <c r="L27" i="8" s="1"/>
  <c r="K27" i="8" s="1"/>
  <c r="M27" i="8" s="1"/>
  <c r="H80" i="8"/>
  <c r="L80" i="8" s="1"/>
  <c r="K80" i="8" s="1"/>
  <c r="M80" i="8" s="1"/>
  <c r="H38" i="8"/>
  <c r="L38" i="8" s="1"/>
  <c r="K38" i="8" s="1"/>
  <c r="M38" i="8" s="1"/>
  <c r="H373" i="8"/>
  <c r="L373" i="8" s="1"/>
  <c r="K373" i="8" s="1"/>
  <c r="M373" i="8" s="1"/>
  <c r="H387" i="8"/>
  <c r="L387" i="8" s="1"/>
  <c r="K387" i="8" s="1"/>
  <c r="M387" i="8" s="1"/>
  <c r="H290" i="8"/>
  <c r="L290" i="8" s="1"/>
  <c r="K290" i="8" s="1"/>
  <c r="M290" i="8" s="1"/>
  <c r="H384" i="8"/>
  <c r="L384" i="8" s="1"/>
  <c r="K384" i="8" s="1"/>
  <c r="M384" i="8" s="1"/>
  <c r="H352" i="8"/>
  <c r="L352" i="8" s="1"/>
  <c r="K352" i="8" s="1"/>
  <c r="M352" i="8" s="1"/>
  <c r="H316" i="8"/>
  <c r="L316" i="8" s="1"/>
  <c r="K316" i="8" s="1"/>
  <c r="M316" i="8" s="1"/>
  <c r="H274" i="8"/>
  <c r="L274" i="8" s="1"/>
  <c r="K274" i="8" s="1"/>
  <c r="M274" i="8" s="1"/>
  <c r="H335" i="8"/>
  <c r="L335" i="8" s="1"/>
  <c r="K335" i="8" s="1"/>
  <c r="M335" i="8" s="1"/>
  <c r="H288" i="8"/>
  <c r="L288" i="8" s="1"/>
  <c r="K288" i="8" s="1"/>
  <c r="M288" i="8" s="1"/>
  <c r="H326" i="8"/>
  <c r="L326" i="8" s="1"/>
  <c r="K326" i="8" s="1"/>
  <c r="M326" i="8" s="1"/>
  <c r="H272" i="8"/>
  <c r="L272" i="8" s="1"/>
  <c r="K272" i="8" s="1"/>
  <c r="M272" i="8" s="1"/>
  <c r="H214" i="8"/>
  <c r="L214" i="8" s="1"/>
  <c r="K214" i="8" s="1"/>
  <c r="M214" i="8" s="1"/>
  <c r="H182" i="8"/>
  <c r="L182" i="8" s="1"/>
  <c r="K182" i="8" s="1"/>
  <c r="M182" i="8" s="1"/>
  <c r="H211" i="8"/>
  <c r="L211" i="8" s="1"/>
  <c r="K211" i="8" s="1"/>
  <c r="M211" i="8" s="1"/>
  <c r="H207" i="8"/>
  <c r="L207" i="8" s="1"/>
  <c r="K207" i="8" s="1"/>
  <c r="M207" i="8" s="1"/>
  <c r="H205" i="8"/>
  <c r="L205" i="8" s="1"/>
  <c r="K205" i="8" s="1"/>
  <c r="M205" i="8" s="1"/>
  <c r="H159" i="8"/>
  <c r="L159" i="8" s="1"/>
  <c r="K159" i="8" s="1"/>
  <c r="M159" i="8" s="1"/>
  <c r="H149" i="8"/>
  <c r="L149" i="8" s="1"/>
  <c r="K149" i="8" s="1"/>
  <c r="M149" i="8" s="1"/>
  <c r="H172" i="8"/>
  <c r="L172" i="8" s="1"/>
  <c r="K172" i="8" s="1"/>
  <c r="M172" i="8" s="1"/>
  <c r="H161" i="8"/>
  <c r="L161" i="8" s="1"/>
  <c r="K161" i="8" s="1"/>
  <c r="M161" i="8" s="1"/>
  <c r="H123" i="8"/>
  <c r="L123" i="8" s="1"/>
  <c r="K123" i="8" s="1"/>
  <c r="M123" i="8" s="1"/>
  <c r="H140" i="8"/>
  <c r="L140" i="8" s="1"/>
  <c r="K140" i="8" s="1"/>
  <c r="M140" i="8" s="1"/>
  <c r="H78" i="8"/>
  <c r="L78" i="8" s="1"/>
  <c r="K78" i="8" s="1"/>
  <c r="M78" i="8" s="1"/>
  <c r="H94" i="8"/>
  <c r="L94" i="8" s="1"/>
  <c r="K94" i="8" s="1"/>
  <c r="M94" i="8" s="1"/>
  <c r="H110" i="8"/>
  <c r="L110" i="8" s="1"/>
  <c r="K110" i="8" s="1"/>
  <c r="M110" i="8" s="1"/>
  <c r="H40" i="8"/>
  <c r="L40" i="8" s="1"/>
  <c r="K40" i="8" s="1"/>
  <c r="M40" i="8" s="1"/>
  <c r="H66" i="8"/>
  <c r="L66" i="8" s="1"/>
  <c r="K66" i="8" s="1"/>
  <c r="M66" i="8" s="1"/>
  <c r="H58" i="8"/>
  <c r="L58" i="8" s="1"/>
  <c r="K58" i="8" s="1"/>
  <c r="M58" i="8" s="1"/>
  <c r="H34" i="8"/>
  <c r="L34" i="8" s="1"/>
  <c r="K34" i="8" s="1"/>
  <c r="M34" i="8" s="1"/>
  <c r="H28" i="8"/>
  <c r="L28" i="8" s="1"/>
  <c r="K28" i="8" s="1"/>
  <c r="M28" i="8" s="1"/>
  <c r="H30" i="8"/>
  <c r="L30" i="8" s="1"/>
  <c r="K30" i="8" s="1"/>
  <c r="M30" i="8" s="1"/>
  <c r="H69" i="8"/>
  <c r="L69" i="8" s="1"/>
  <c r="K69" i="8" s="1"/>
  <c r="M69" i="8" s="1"/>
  <c r="H43" i="8"/>
  <c r="L43" i="8" s="1"/>
  <c r="K43" i="8" s="1"/>
  <c r="M43" i="8" s="1"/>
  <c r="H62" i="8"/>
  <c r="L62" i="8" s="1"/>
  <c r="K62" i="8" s="1"/>
  <c r="M62" i="8" s="1"/>
  <c r="H357" i="8"/>
  <c r="L357" i="8" s="1"/>
  <c r="K357" i="8" s="1"/>
  <c r="M357" i="8" s="1"/>
  <c r="H331" i="8"/>
  <c r="L331" i="8" s="1"/>
  <c r="K331" i="8" s="1"/>
  <c r="M331" i="8" s="1"/>
  <c r="H232" i="8"/>
  <c r="L232" i="8" s="1"/>
  <c r="K232" i="8" s="1"/>
  <c r="M232" i="8" s="1"/>
  <c r="H322" i="8"/>
  <c r="L322" i="8" s="1"/>
  <c r="K322" i="8" s="1"/>
  <c r="M322" i="8" s="1"/>
  <c r="H262" i="8"/>
  <c r="L262" i="8" s="1"/>
  <c r="K262" i="8" s="1"/>
  <c r="M262" i="8" s="1"/>
  <c r="H241" i="8"/>
  <c r="L241" i="8" s="1"/>
  <c r="K241" i="8" s="1"/>
  <c r="M241" i="8" s="1"/>
  <c r="H215" i="8"/>
  <c r="L215" i="8" s="1"/>
  <c r="K215" i="8" s="1"/>
  <c r="M215" i="8" s="1"/>
  <c r="H168" i="8"/>
  <c r="L168" i="8" s="1"/>
  <c r="K168" i="8" s="1"/>
  <c r="M168" i="8" s="1"/>
  <c r="H120" i="8"/>
  <c r="L120" i="8" s="1"/>
  <c r="K120" i="8" s="1"/>
  <c r="M120" i="8" s="1"/>
  <c r="H206" i="8"/>
  <c r="L206" i="8" s="1"/>
  <c r="K206" i="8" s="1"/>
  <c r="M206" i="8" s="1"/>
  <c r="H189" i="8"/>
  <c r="L189" i="8" s="1"/>
  <c r="K189" i="8" s="1"/>
  <c r="M189" i="8" s="1"/>
  <c r="H156" i="8"/>
  <c r="L156" i="8" s="1"/>
  <c r="K156" i="8" s="1"/>
  <c r="M156" i="8" s="1"/>
  <c r="H165" i="8"/>
  <c r="L165" i="8" s="1"/>
  <c r="K165" i="8" s="1"/>
  <c r="M165" i="8" s="1"/>
  <c r="H157" i="8"/>
  <c r="L157" i="8" s="1"/>
  <c r="K157" i="8" s="1"/>
  <c r="M157" i="8" s="1"/>
  <c r="H139" i="8"/>
  <c r="L139" i="8" s="1"/>
  <c r="K139" i="8" s="1"/>
  <c r="M139" i="8" s="1"/>
  <c r="H81" i="8"/>
  <c r="L81" i="8" s="1"/>
  <c r="K81" i="8" s="1"/>
  <c r="M81" i="8" s="1"/>
  <c r="H86" i="8"/>
  <c r="L86" i="8" s="1"/>
  <c r="K86" i="8" s="1"/>
  <c r="M86" i="8" s="1"/>
  <c r="H83" i="8"/>
  <c r="L83" i="8" s="1"/>
  <c r="K83" i="8" s="1"/>
  <c r="M83" i="8" s="1"/>
  <c r="H91" i="8"/>
  <c r="L91" i="8" s="1"/>
  <c r="K91" i="8" s="1"/>
  <c r="M91" i="8" s="1"/>
  <c r="H82" i="8"/>
  <c r="L82" i="8" s="1"/>
  <c r="K82" i="8" s="1"/>
  <c r="M82" i="8" s="1"/>
  <c r="H42" i="8"/>
  <c r="L42" i="8" s="1"/>
  <c r="K42" i="8" s="1"/>
  <c r="M42" i="8" s="1"/>
  <c r="H51" i="8"/>
  <c r="L51" i="8" s="1"/>
  <c r="K51" i="8" s="1"/>
  <c r="M51" i="8" s="1"/>
  <c r="H44" i="8"/>
  <c r="L44" i="8" s="1"/>
  <c r="K44" i="8" s="1"/>
  <c r="M44" i="8" s="1"/>
  <c r="H135" i="8"/>
  <c r="L135" i="8" s="1"/>
  <c r="K135" i="8" s="1"/>
  <c r="M135" i="8" s="1"/>
  <c r="H53" i="8"/>
  <c r="L53" i="8" s="1"/>
  <c r="K53" i="8" s="1"/>
  <c r="M53" i="8" s="1"/>
  <c r="H131" i="8"/>
  <c r="L131" i="8" s="1"/>
  <c r="K131" i="8" s="1"/>
  <c r="M131" i="8" s="1"/>
  <c r="H39" i="8"/>
  <c r="L39" i="8" s="1"/>
  <c r="K39" i="8" s="1"/>
  <c r="M39" i="8" s="1"/>
  <c r="H371" i="8"/>
  <c r="L371" i="8" s="1"/>
  <c r="K371" i="8" s="1"/>
  <c r="M371" i="8" s="1"/>
  <c r="H303" i="8"/>
  <c r="L303" i="8" s="1"/>
  <c r="K303" i="8" s="1"/>
  <c r="M303" i="8" s="1"/>
  <c r="H327" i="8"/>
  <c r="L327" i="8" s="1"/>
  <c r="K327" i="8" s="1"/>
  <c r="M327" i="8" s="1"/>
  <c r="H318" i="8"/>
  <c r="L318" i="8" s="1"/>
  <c r="K318" i="8" s="1"/>
  <c r="M318" i="8" s="1"/>
  <c r="H213" i="8"/>
  <c r="L213" i="8" s="1"/>
  <c r="K213" i="8" s="1"/>
  <c r="M213" i="8" s="1"/>
  <c r="H197" i="8"/>
  <c r="L197" i="8" s="1"/>
  <c r="K197" i="8" s="1"/>
  <c r="M197" i="8" s="1"/>
  <c r="H160" i="8"/>
  <c r="L160" i="8" s="1"/>
  <c r="K160" i="8" s="1"/>
  <c r="M160" i="8" s="1"/>
  <c r="H164" i="8"/>
  <c r="L164" i="8" s="1"/>
  <c r="K164" i="8" s="1"/>
  <c r="M164" i="8" s="1"/>
  <c r="H141" i="8"/>
  <c r="L141" i="8" s="1"/>
  <c r="K141" i="8" s="1"/>
  <c r="M141" i="8" s="1"/>
  <c r="H100" i="8"/>
  <c r="L100" i="8" s="1"/>
  <c r="K100" i="8" s="1"/>
  <c r="M100" i="8" s="1"/>
  <c r="H103" i="8"/>
  <c r="L103" i="8" s="1"/>
  <c r="K103" i="8" s="1"/>
  <c r="M103" i="8" s="1"/>
  <c r="H50" i="8"/>
  <c r="L50" i="8" s="1"/>
  <c r="K50" i="8" s="1"/>
  <c r="M50" i="8" s="1"/>
  <c r="H74" i="8"/>
  <c r="L74" i="8" s="1"/>
  <c r="K74" i="8" s="1"/>
  <c r="M74" i="8" s="1"/>
  <c r="H87" i="8"/>
  <c r="L87" i="8" s="1"/>
  <c r="K87" i="8" s="1"/>
  <c r="M87" i="8" s="1"/>
  <c r="H72" i="8"/>
  <c r="L72" i="8" s="1"/>
  <c r="K72" i="8" s="1"/>
  <c r="M72" i="8" s="1"/>
  <c r="H64" i="8"/>
  <c r="L64" i="8" s="1"/>
  <c r="K64" i="8" s="1"/>
  <c r="M64" i="8" s="1"/>
  <c r="H56" i="8"/>
  <c r="L56" i="8" s="1"/>
  <c r="K56" i="8" s="1"/>
  <c r="M56" i="8" s="1"/>
  <c r="H45" i="8"/>
  <c r="L45" i="8" s="1"/>
  <c r="K45" i="8" s="1"/>
  <c r="M45" i="8" s="1"/>
  <c r="H71" i="8"/>
  <c r="L71" i="8" s="1"/>
  <c r="K71" i="8" s="1"/>
  <c r="M71" i="8" s="1"/>
  <c r="H63" i="8"/>
  <c r="L63" i="8" s="1"/>
  <c r="K63" i="8" s="1"/>
  <c r="M63" i="8" s="1"/>
  <c r="H55" i="8"/>
  <c r="L55" i="8" s="1"/>
  <c r="K55" i="8" s="1"/>
  <c r="M55" i="8" s="1"/>
  <c r="H47" i="8"/>
  <c r="L47" i="8" s="1"/>
  <c r="K47" i="8" s="1"/>
  <c r="M47" i="8" s="1"/>
  <c r="H127" i="8"/>
  <c r="L127" i="8" s="1"/>
  <c r="K127" i="8" s="1"/>
  <c r="M127" i="8" s="1"/>
  <c r="H77" i="8"/>
  <c r="L77" i="8" s="1"/>
  <c r="K77" i="8" s="1"/>
  <c r="M77" i="8" s="1"/>
  <c r="H61" i="8"/>
  <c r="L61" i="8" s="1"/>
  <c r="K61" i="8" s="1"/>
  <c r="M61" i="8" s="1"/>
  <c r="H70" i="8"/>
  <c r="L70" i="8" s="1"/>
  <c r="K70" i="8" s="1"/>
  <c r="M70" i="8" s="1"/>
  <c r="H302" i="8"/>
  <c r="L302" i="8" s="1"/>
  <c r="K302" i="8" s="1"/>
  <c r="M302" i="8" s="1"/>
  <c r="H282" i="8"/>
  <c r="L282" i="8" s="1"/>
  <c r="K282" i="8" s="1"/>
  <c r="M282" i="8" s="1"/>
  <c r="H260" i="8"/>
  <c r="L260" i="8" s="1"/>
  <c r="K260" i="8" s="1"/>
  <c r="M260" i="8" s="1"/>
  <c r="H323" i="8"/>
  <c r="L323" i="8" s="1"/>
  <c r="K323" i="8" s="1"/>
  <c r="M323" i="8" s="1"/>
  <c r="H314" i="8"/>
  <c r="L314" i="8" s="1"/>
  <c r="K314" i="8" s="1"/>
  <c r="M314" i="8" s="1"/>
  <c r="H276" i="8"/>
  <c r="L276" i="8" s="1"/>
  <c r="K276" i="8" s="1"/>
  <c r="M276" i="8" s="1"/>
  <c r="H218" i="8"/>
  <c r="L218" i="8" s="1"/>
  <c r="K218" i="8" s="1"/>
  <c r="M218" i="8" s="1"/>
  <c r="H186" i="8"/>
  <c r="L186" i="8" s="1"/>
  <c r="K186" i="8" s="1"/>
  <c r="M186" i="8" s="1"/>
  <c r="H145" i="8"/>
  <c r="L145" i="8" s="1"/>
  <c r="K145" i="8" s="1"/>
  <c r="M145" i="8" s="1"/>
  <c r="H185" i="8"/>
  <c r="L185" i="8" s="1"/>
  <c r="K185" i="8" s="1"/>
  <c r="M185" i="8" s="1"/>
  <c r="H151" i="8"/>
  <c r="L151" i="8" s="1"/>
  <c r="K151" i="8" s="1"/>
  <c r="M151" i="8" s="1"/>
  <c r="H153" i="8"/>
  <c r="L153" i="8" s="1"/>
  <c r="K153" i="8" s="1"/>
  <c r="M153" i="8" s="1"/>
  <c r="H134" i="8"/>
  <c r="L134" i="8" s="1"/>
  <c r="K134" i="8" s="1"/>
  <c r="M134" i="8" s="1"/>
  <c r="H104" i="8"/>
  <c r="L104" i="8" s="1"/>
  <c r="K104" i="8" s="1"/>
  <c r="M104" i="8" s="1"/>
  <c r="H280" i="8"/>
  <c r="L280" i="8" s="1"/>
  <c r="K280" i="8" s="1"/>
  <c r="M280" i="8" s="1"/>
  <c r="H368" i="8"/>
  <c r="L368" i="8" s="1"/>
  <c r="K368" i="8" s="1"/>
  <c r="M368" i="8" s="1"/>
  <c r="H347" i="8"/>
  <c r="L347" i="8" s="1"/>
  <c r="K347" i="8" s="1"/>
  <c r="M347" i="8" s="1"/>
  <c r="H246" i="8"/>
  <c r="L246" i="8" s="1"/>
  <c r="K246" i="8" s="1"/>
  <c r="M246" i="8" s="1"/>
  <c r="H319" i="8"/>
  <c r="L319" i="8" s="1"/>
  <c r="K319" i="8" s="1"/>
  <c r="M319" i="8" s="1"/>
  <c r="H268" i="8"/>
  <c r="L268" i="8" s="1"/>
  <c r="K268" i="8" s="1"/>
  <c r="M268" i="8" s="1"/>
  <c r="H284" i="8"/>
  <c r="L284" i="8" s="1"/>
  <c r="K284" i="8" s="1"/>
  <c r="M284" i="8" s="1"/>
  <c r="H240" i="8"/>
  <c r="L240" i="8" s="1"/>
  <c r="K240" i="8" s="1"/>
  <c r="M240" i="8" s="1"/>
  <c r="H227" i="8"/>
  <c r="L227" i="8" s="1"/>
  <c r="K227" i="8" s="1"/>
  <c r="M227" i="8" s="1"/>
  <c r="H219" i="8"/>
  <c r="L219" i="8" s="1"/>
  <c r="K219" i="8" s="1"/>
  <c r="M219" i="8" s="1"/>
  <c r="H231" i="8"/>
  <c r="L231" i="8" s="1"/>
  <c r="K231" i="8" s="1"/>
  <c r="M231" i="8" s="1"/>
  <c r="H223" i="8"/>
  <c r="L223" i="8" s="1"/>
  <c r="K223" i="8" s="1"/>
  <c r="M223" i="8" s="1"/>
  <c r="H155" i="8"/>
  <c r="L155" i="8" s="1"/>
  <c r="K155" i="8" s="1"/>
  <c r="M155" i="8" s="1"/>
  <c r="H143" i="8"/>
  <c r="L143" i="8" s="1"/>
  <c r="K143" i="8" s="1"/>
  <c r="M143" i="8" s="1"/>
  <c r="H118" i="8"/>
  <c r="L118" i="8" s="1"/>
  <c r="K118" i="8" s="1"/>
  <c r="M118" i="8" s="1"/>
  <c r="H292" i="8"/>
  <c r="L292" i="8" s="1"/>
  <c r="K292" i="8" s="1"/>
  <c r="M292" i="8" s="1"/>
  <c r="H355" i="8"/>
  <c r="L355" i="8" s="1"/>
  <c r="K355" i="8" s="1"/>
  <c r="M355" i="8" s="1"/>
  <c r="H345" i="8"/>
  <c r="L345" i="8" s="1"/>
  <c r="K345" i="8" s="1"/>
  <c r="M345" i="8" s="1"/>
  <c r="H315" i="8"/>
  <c r="L315" i="8" s="1"/>
  <c r="K315" i="8" s="1"/>
  <c r="M315" i="8" s="1"/>
  <c r="H264" i="8"/>
  <c r="L264" i="8" s="1"/>
  <c r="K264" i="8" s="1"/>
  <c r="M264" i="8" s="1"/>
  <c r="H338" i="8"/>
  <c r="L338" i="8" s="1"/>
  <c r="K338" i="8" s="1"/>
  <c r="M338" i="8" s="1"/>
  <c r="H258" i="8"/>
  <c r="L258" i="8" s="1"/>
  <c r="K258" i="8" s="1"/>
  <c r="M258" i="8" s="1"/>
  <c r="H250" i="8"/>
  <c r="L250" i="8" s="1"/>
  <c r="K250" i="8" s="1"/>
  <c r="M250" i="8" s="1"/>
  <c r="H256" i="8"/>
  <c r="L256" i="8" s="1"/>
  <c r="K256" i="8" s="1"/>
  <c r="M256" i="8" s="1"/>
  <c r="H176" i="8"/>
  <c r="L176" i="8" s="1"/>
  <c r="K176" i="8" s="1"/>
  <c r="M176" i="8" s="1"/>
  <c r="H152" i="8"/>
  <c r="L152" i="8" s="1"/>
  <c r="K152" i="8" s="1"/>
  <c r="M152" i="8" s="1"/>
  <c r="H136" i="8"/>
  <c r="L136" i="8" s="1"/>
  <c r="K136" i="8" s="1"/>
  <c r="M136" i="8" s="1"/>
  <c r="H117" i="8"/>
  <c r="L117" i="8" s="1"/>
  <c r="K117" i="8" s="1"/>
  <c r="M117" i="8" s="1"/>
  <c r="H124" i="8"/>
  <c r="L124" i="8" s="1"/>
  <c r="K124" i="8" s="1"/>
  <c r="M124" i="8" s="1"/>
  <c r="H46" i="8"/>
  <c r="L46" i="8" s="1"/>
  <c r="K46" i="8" s="1"/>
  <c r="M46" i="8" s="1"/>
  <c r="H48" i="8"/>
  <c r="L48" i="8" s="1"/>
  <c r="K48" i="8" s="1"/>
  <c r="M48" i="8" s="1"/>
  <c r="H35" i="8"/>
  <c r="L35" i="8" s="1"/>
  <c r="K35" i="8" s="1"/>
  <c r="M35" i="8" s="1"/>
  <c r="H31" i="8"/>
  <c r="L31" i="8" s="1"/>
  <c r="K31" i="8" s="1"/>
  <c r="M31" i="8" s="1"/>
  <c r="H36" i="8"/>
  <c r="L36" i="8" s="1"/>
  <c r="K36" i="8" s="1"/>
  <c r="M36" i="8" s="1"/>
  <c r="N17" i="9" a="1"/>
  <c r="N17" i="9" s="1"/>
  <c r="H26" i="8"/>
  <c r="AC12" i="9"/>
  <c r="S17" i="9"/>
  <c r="N7" i="13" s="1"/>
  <c r="E30" i="11"/>
  <c r="K17" i="9"/>
  <c r="C9" i="17"/>
  <c r="C33" i="2"/>
  <c r="C21" i="2"/>
  <c r="D7" i="15"/>
  <c r="AB8" i="9"/>
  <c r="AB7" i="9"/>
  <c r="AF12" i="9"/>
  <c r="AN12" i="9"/>
  <c r="AJ13" i="9"/>
  <c r="AG12" i="9"/>
  <c r="AO12" i="9"/>
  <c r="AK13" i="9"/>
  <c r="AH12" i="9"/>
  <c r="AD13" i="9"/>
  <c r="AL13" i="9"/>
  <c r="AI13" i="9"/>
  <c r="AI12" i="9"/>
  <c r="AE13" i="9"/>
  <c r="AM13" i="9"/>
  <c r="AN13" i="9"/>
  <c r="AJ12" i="9"/>
  <c r="AF13" i="9"/>
  <c r="AM12" i="9"/>
  <c r="AC13" i="9"/>
  <c r="AK12" i="9"/>
  <c r="AG13" i="9"/>
  <c r="AO13" i="9"/>
  <c r="AD12" i="9"/>
  <c r="AL12" i="9"/>
  <c r="AH13" i="9"/>
  <c r="AE12" i="9"/>
  <c r="AB6" i="9"/>
  <c r="AB10" i="9"/>
  <c r="AB9" i="9"/>
  <c r="C42" i="2"/>
  <c r="C45" i="2"/>
  <c r="C41" i="2"/>
  <c r="C44" i="2"/>
  <c r="C43" i="2"/>
  <c r="C7" i="13"/>
  <c r="C12" i="2"/>
  <c r="C25" i="2"/>
  <c r="C10" i="2"/>
  <c r="C23" i="2"/>
  <c r="C22" i="2"/>
  <c r="C9" i="2"/>
  <c r="C11" i="2"/>
  <c r="C24" i="2"/>
  <c r="M15" i="14"/>
  <c r="N15" i="14" s="1"/>
  <c r="E7" i="13"/>
  <c r="H7" i="13"/>
  <c r="M7" i="13"/>
  <c r="F7" i="13"/>
  <c r="G7" i="13"/>
  <c r="D7" i="13"/>
  <c r="D14" i="8"/>
  <c r="D7" i="9"/>
  <c r="D13" i="8"/>
  <c r="D22" i="2"/>
  <c r="I22" i="2" s="1"/>
  <c r="D11" i="8"/>
  <c r="D12" i="8"/>
  <c r="D10" i="9"/>
  <c r="D13" i="2" s="1"/>
  <c r="D9" i="9"/>
  <c r="D15" i="8"/>
  <c r="D6" i="9"/>
  <c r="D8" i="9"/>
  <c r="I134" i="13" l="1"/>
  <c r="Y144" i="9"/>
  <c r="I120" i="13"/>
  <c r="Y130" i="9"/>
  <c r="I151" i="13"/>
  <c r="Y161" i="9"/>
  <c r="I526" i="13"/>
  <c r="Y536" i="9"/>
  <c r="I412" i="13"/>
  <c r="Y422" i="9"/>
  <c r="I307" i="13"/>
  <c r="Y317" i="9"/>
  <c r="I561" i="13"/>
  <c r="Y571" i="9"/>
  <c r="I233" i="13"/>
  <c r="Y243" i="9"/>
  <c r="I584" i="13"/>
  <c r="Y594" i="9"/>
  <c r="I331" i="13"/>
  <c r="Y341" i="9"/>
  <c r="I135" i="13"/>
  <c r="Y145" i="9"/>
  <c r="I501" i="13"/>
  <c r="Y511" i="9"/>
  <c r="I460" i="13"/>
  <c r="Y470" i="9"/>
  <c r="I199" i="13"/>
  <c r="Y209" i="9"/>
  <c r="I590" i="13"/>
  <c r="Y600" i="9"/>
  <c r="I340" i="13"/>
  <c r="Y350" i="9"/>
  <c r="I212" i="13"/>
  <c r="Y222" i="9"/>
  <c r="I11" i="13"/>
  <c r="Y21" i="9"/>
  <c r="I556" i="13"/>
  <c r="Y566" i="9"/>
  <c r="I316" i="13"/>
  <c r="Y326" i="9"/>
  <c r="I136" i="13"/>
  <c r="Y146" i="9"/>
  <c r="I99" i="13"/>
  <c r="Y109" i="9"/>
  <c r="I93" i="13"/>
  <c r="Y103" i="9"/>
  <c r="I371" i="13"/>
  <c r="Y381" i="9"/>
  <c r="I21" i="13"/>
  <c r="Y31" i="9"/>
  <c r="I487" i="13"/>
  <c r="Y497" i="9"/>
  <c r="I575" i="13"/>
  <c r="Y585" i="9"/>
  <c r="I591" i="13"/>
  <c r="Y601" i="9"/>
  <c r="I240" i="13"/>
  <c r="Y250" i="9"/>
  <c r="I26" i="13"/>
  <c r="Y36" i="9"/>
  <c r="I67" i="13"/>
  <c r="Y77" i="9"/>
  <c r="I504" i="13"/>
  <c r="Y514" i="9"/>
  <c r="I343" i="13"/>
  <c r="Y353" i="9"/>
  <c r="I203" i="13"/>
  <c r="Y213" i="9"/>
  <c r="I160" i="13"/>
  <c r="Y170" i="9"/>
  <c r="I389" i="13"/>
  <c r="Y399" i="9"/>
  <c r="I353" i="13"/>
  <c r="Y363" i="9"/>
  <c r="I454" i="13"/>
  <c r="Y464" i="9"/>
  <c r="I370" i="13"/>
  <c r="Y380" i="9"/>
  <c r="I431" i="13"/>
  <c r="Y441" i="9"/>
  <c r="I472" i="13"/>
  <c r="Y482" i="9"/>
  <c r="I292" i="13"/>
  <c r="Y302" i="9"/>
  <c r="I439" i="13"/>
  <c r="Y449" i="9"/>
  <c r="I116" i="13"/>
  <c r="Y126" i="9"/>
  <c r="I24" i="13"/>
  <c r="Y34" i="9"/>
  <c r="I318" i="13"/>
  <c r="Y328" i="9"/>
  <c r="I139" i="13"/>
  <c r="Y149" i="9"/>
  <c r="I104" i="13"/>
  <c r="Y114" i="9"/>
  <c r="I17" i="13"/>
  <c r="Y27" i="9"/>
  <c r="I514" i="13"/>
  <c r="Y524" i="9"/>
  <c r="I107" i="13"/>
  <c r="Y117" i="9"/>
  <c r="I184" i="13"/>
  <c r="Y194" i="9"/>
  <c r="I434" i="13"/>
  <c r="Y444" i="9"/>
  <c r="I374" i="13"/>
  <c r="Y384" i="9"/>
  <c r="I20" i="13"/>
  <c r="Y30" i="9"/>
  <c r="I394" i="13"/>
  <c r="Y404" i="9"/>
  <c r="I42" i="13"/>
  <c r="Y52" i="9"/>
  <c r="I105" i="13"/>
  <c r="Y115" i="9"/>
  <c r="I97" i="13"/>
  <c r="Y107" i="9"/>
  <c r="I453" i="13"/>
  <c r="Y463" i="9"/>
  <c r="I197" i="13"/>
  <c r="Y207" i="9"/>
  <c r="I41" i="13"/>
  <c r="Y51" i="9"/>
  <c r="I198" i="13"/>
  <c r="Y208" i="9"/>
  <c r="I492" i="13"/>
  <c r="Y502" i="9"/>
  <c r="I525" i="13"/>
  <c r="Y535" i="9"/>
  <c r="I470" i="13"/>
  <c r="Y480" i="9"/>
  <c r="I108" i="13"/>
  <c r="Y118" i="9"/>
  <c r="I315" i="13"/>
  <c r="Y325" i="9"/>
  <c r="I231" i="13"/>
  <c r="Y241" i="9"/>
  <c r="I406" i="13"/>
  <c r="Y416" i="9"/>
  <c r="I491" i="13"/>
  <c r="Y501" i="9"/>
  <c r="I383" i="13"/>
  <c r="Y393" i="9"/>
  <c r="I152" i="13"/>
  <c r="Y162" i="9"/>
  <c r="I442" i="13"/>
  <c r="Y452" i="9"/>
  <c r="I601" i="13"/>
  <c r="Y611" i="9"/>
  <c r="I31" i="13"/>
  <c r="Y41" i="9"/>
  <c r="I410" i="13"/>
  <c r="Y420" i="9"/>
  <c r="I401" i="13"/>
  <c r="Y411" i="9"/>
  <c r="I451" i="13"/>
  <c r="Y461" i="9"/>
  <c r="I44" i="13"/>
  <c r="Y54" i="9"/>
  <c r="I293" i="13"/>
  <c r="Y303" i="9"/>
  <c r="I252" i="13"/>
  <c r="Y262" i="9"/>
  <c r="I599" i="13"/>
  <c r="Y609" i="9"/>
  <c r="I557" i="13"/>
  <c r="Y567" i="9"/>
  <c r="I98" i="13"/>
  <c r="Y108" i="9"/>
  <c r="I174" i="13"/>
  <c r="Y184" i="9"/>
  <c r="I269" i="13"/>
  <c r="Y279" i="9"/>
  <c r="I65" i="13"/>
  <c r="Y75" i="9"/>
  <c r="I543" i="13"/>
  <c r="Y553" i="9"/>
  <c r="I475" i="13"/>
  <c r="Y485" i="9"/>
  <c r="I254" i="13"/>
  <c r="Y264" i="9"/>
  <c r="I366" i="13"/>
  <c r="Y376" i="9"/>
  <c r="I566" i="13"/>
  <c r="Y576" i="9"/>
  <c r="I527" i="13"/>
  <c r="Y537" i="9"/>
  <c r="I218" i="13"/>
  <c r="Y228" i="9"/>
  <c r="I335" i="13"/>
  <c r="Y345" i="9"/>
  <c r="I223" i="13"/>
  <c r="Y233" i="9"/>
  <c r="I333" i="13"/>
  <c r="Y343" i="9"/>
  <c r="I278" i="13"/>
  <c r="Y288" i="9"/>
  <c r="I570" i="13"/>
  <c r="Y580" i="9"/>
  <c r="I46" i="13"/>
  <c r="Y56" i="9"/>
  <c r="I147" i="13"/>
  <c r="Y157" i="9"/>
  <c r="I249" i="13"/>
  <c r="Y259" i="9"/>
  <c r="I202" i="13"/>
  <c r="Y212" i="9"/>
  <c r="I227" i="13"/>
  <c r="Y237" i="9"/>
  <c r="I224" i="13"/>
  <c r="Y234" i="9"/>
  <c r="I306" i="13"/>
  <c r="Y316" i="9"/>
  <c r="I131" i="13"/>
  <c r="Y141" i="9"/>
  <c r="I228" i="13"/>
  <c r="Y238" i="9"/>
  <c r="I182" i="13"/>
  <c r="Y192" i="9"/>
  <c r="I598" i="13"/>
  <c r="Y608" i="9"/>
  <c r="I582" i="13"/>
  <c r="Y592" i="9"/>
  <c r="I270" i="13"/>
  <c r="Y280" i="9"/>
  <c r="I194" i="13"/>
  <c r="Y204" i="9"/>
  <c r="I415" i="13"/>
  <c r="Y425" i="9"/>
  <c r="I449" i="13"/>
  <c r="Y459" i="9"/>
  <c r="I485" i="13"/>
  <c r="Y495" i="9"/>
  <c r="I338" i="13"/>
  <c r="Y348" i="9"/>
  <c r="I253" i="13"/>
  <c r="Y263" i="9"/>
  <c r="I314" i="13"/>
  <c r="Y324" i="9"/>
  <c r="I245" i="13"/>
  <c r="Y255" i="9"/>
  <c r="I533" i="13"/>
  <c r="Y543" i="9"/>
  <c r="I86" i="13"/>
  <c r="Y96" i="9"/>
  <c r="I28" i="13"/>
  <c r="Y38" i="9"/>
  <c r="I119" i="13"/>
  <c r="Y129" i="9"/>
  <c r="I157" i="13"/>
  <c r="Y167" i="9"/>
  <c r="I274" i="13"/>
  <c r="Y284" i="9"/>
  <c r="I403" i="13"/>
  <c r="Y413" i="9"/>
  <c r="I482" i="13"/>
  <c r="Y492" i="9"/>
  <c r="I589" i="13"/>
  <c r="Y599" i="9"/>
  <c r="I597" i="13"/>
  <c r="Y607" i="9"/>
  <c r="I30" i="13"/>
  <c r="Y40" i="9"/>
  <c r="I100" i="13"/>
  <c r="Y110" i="9"/>
  <c r="I133" i="13"/>
  <c r="Y143" i="9"/>
  <c r="I317" i="13"/>
  <c r="Y327" i="9"/>
  <c r="I404" i="13"/>
  <c r="Y414" i="9"/>
  <c r="I279" i="13"/>
  <c r="Y289" i="9"/>
  <c r="I524" i="13"/>
  <c r="Y534" i="9"/>
  <c r="I440" i="13"/>
  <c r="Y450" i="9"/>
  <c r="I594" i="13"/>
  <c r="Y604" i="9"/>
  <c r="I408" i="13"/>
  <c r="Y418" i="9"/>
  <c r="I283" i="13"/>
  <c r="Y293" i="9"/>
  <c r="I238" i="13"/>
  <c r="Y248" i="9"/>
  <c r="I477" i="13"/>
  <c r="Y487" i="9"/>
  <c r="I40" i="13"/>
  <c r="Y50" i="9"/>
  <c r="I576" i="13"/>
  <c r="Y586" i="9"/>
  <c r="I27" i="13"/>
  <c r="Y37" i="9"/>
  <c r="I43" i="13"/>
  <c r="Y53" i="9"/>
  <c r="I600" i="13"/>
  <c r="Y610" i="9"/>
  <c r="I478" i="13"/>
  <c r="Y488" i="9"/>
  <c r="I251" i="13"/>
  <c r="Y261" i="9"/>
  <c r="I72" i="13"/>
  <c r="Y82" i="9"/>
  <c r="I530" i="13"/>
  <c r="Y540" i="9"/>
  <c r="I73" i="13"/>
  <c r="Y83" i="9"/>
  <c r="I302" i="13"/>
  <c r="Y312" i="9"/>
  <c r="I148" i="13"/>
  <c r="Y158" i="9"/>
  <c r="I375" i="13"/>
  <c r="Y385" i="9"/>
  <c r="I462" i="13"/>
  <c r="Y472" i="9"/>
  <c r="I497" i="13"/>
  <c r="Y507" i="9"/>
  <c r="I112" i="13"/>
  <c r="Y122" i="9"/>
  <c r="I275" i="13"/>
  <c r="Y285" i="9"/>
  <c r="I57" i="13"/>
  <c r="Y67" i="9"/>
  <c r="I357" i="13"/>
  <c r="Y367" i="9"/>
  <c r="I232" i="13"/>
  <c r="Y242" i="9"/>
  <c r="I144" i="13"/>
  <c r="Y154" i="9"/>
  <c r="I365" i="13"/>
  <c r="Y375" i="9"/>
  <c r="I164" i="13"/>
  <c r="Y174" i="9"/>
  <c r="I312" i="13"/>
  <c r="Y322" i="9"/>
  <c r="I509" i="13"/>
  <c r="Y519" i="9"/>
  <c r="I216" i="13"/>
  <c r="Y226" i="9"/>
  <c r="I12" i="13"/>
  <c r="Y22" i="9"/>
  <c r="I261" i="13"/>
  <c r="Y271" i="9"/>
  <c r="I345" i="13"/>
  <c r="Y355" i="9"/>
  <c r="I60" i="13"/>
  <c r="Y70" i="9"/>
  <c r="I538" i="13"/>
  <c r="Y548" i="9"/>
  <c r="I132" i="13"/>
  <c r="Y142" i="9"/>
  <c r="I84" i="13"/>
  <c r="Y94" i="9"/>
  <c r="I77" i="13"/>
  <c r="Y87" i="9"/>
  <c r="I83" i="13"/>
  <c r="Y93" i="9"/>
  <c r="I426" i="13"/>
  <c r="Y436" i="9"/>
  <c r="I479" i="13"/>
  <c r="Y489" i="9"/>
  <c r="I545" i="13"/>
  <c r="Y555" i="9"/>
  <c r="I241" i="13"/>
  <c r="Y251" i="9"/>
  <c r="I458" i="13"/>
  <c r="Y468" i="9"/>
  <c r="I259" i="13"/>
  <c r="Y269" i="9"/>
  <c r="I411" i="13"/>
  <c r="Y421" i="9"/>
  <c r="I47" i="13"/>
  <c r="Y57" i="9"/>
  <c r="I8" i="13"/>
  <c r="Y18" i="9"/>
  <c r="I332" i="13"/>
  <c r="Y342" i="9"/>
  <c r="I574" i="13"/>
  <c r="Y584" i="9"/>
  <c r="I342" i="13"/>
  <c r="Y352" i="9"/>
  <c r="I592" i="13"/>
  <c r="Y602" i="9"/>
  <c r="I539" i="13"/>
  <c r="Y549" i="9"/>
  <c r="I446" i="13"/>
  <c r="Y456" i="9"/>
  <c r="I496" i="13"/>
  <c r="Y506" i="9"/>
  <c r="I517" i="13"/>
  <c r="Y527" i="9"/>
  <c r="I469" i="13"/>
  <c r="Y479" i="9"/>
  <c r="I196" i="13"/>
  <c r="Y206" i="9"/>
  <c r="I277" i="13"/>
  <c r="Y287" i="9"/>
  <c r="I291" i="13"/>
  <c r="Y301" i="9"/>
  <c r="I213" i="13"/>
  <c r="Y223" i="9"/>
  <c r="I502" i="13"/>
  <c r="Y512" i="9"/>
  <c r="I351" i="13"/>
  <c r="Y361" i="9"/>
  <c r="I138" i="13"/>
  <c r="Y148" i="9"/>
  <c r="I368" i="13"/>
  <c r="Y378" i="9"/>
  <c r="I361" i="13"/>
  <c r="Y371" i="9"/>
  <c r="I363" i="13"/>
  <c r="Y373" i="9"/>
  <c r="I359" i="13"/>
  <c r="Y369" i="9"/>
  <c r="I322" i="13"/>
  <c r="Y332" i="9"/>
  <c r="I429" i="13"/>
  <c r="Y439" i="9"/>
  <c r="I180" i="13"/>
  <c r="Y190" i="9"/>
  <c r="I328" i="13"/>
  <c r="Y338" i="9"/>
  <c r="I200" i="13"/>
  <c r="Y210" i="9"/>
  <c r="I534" i="13"/>
  <c r="Y544" i="9"/>
  <c r="I595" i="13"/>
  <c r="Y605" i="9"/>
  <c r="I68" i="13"/>
  <c r="Y78" i="9"/>
  <c r="I145" i="13"/>
  <c r="Y155" i="9"/>
  <c r="I69" i="13"/>
  <c r="Y79" i="9"/>
  <c r="I438" i="13"/>
  <c r="Y448" i="9"/>
  <c r="I518" i="13"/>
  <c r="Y528" i="9"/>
  <c r="I436" i="13"/>
  <c r="Y446" i="9"/>
  <c r="I435" i="13"/>
  <c r="Y445" i="9"/>
  <c r="I324" i="13"/>
  <c r="Y334" i="9"/>
  <c r="I364" i="13"/>
  <c r="Y374" i="9"/>
  <c r="I606" i="13"/>
  <c r="Y616" i="9"/>
  <c r="I418" i="13"/>
  <c r="Y428" i="9"/>
  <c r="I22" i="13"/>
  <c r="Y32" i="9"/>
  <c r="I282" i="13"/>
  <c r="Y292" i="9"/>
  <c r="I64" i="13"/>
  <c r="Y74" i="9"/>
  <c r="I170" i="13"/>
  <c r="Y180" i="9"/>
  <c r="I573" i="13"/>
  <c r="Y583" i="9"/>
  <c r="I546" i="13"/>
  <c r="Y556" i="9"/>
  <c r="I540" i="13"/>
  <c r="Y550" i="9"/>
  <c r="I313" i="13"/>
  <c r="Y323" i="9"/>
  <c r="I175" i="13"/>
  <c r="Y185" i="9"/>
  <c r="I124" i="13"/>
  <c r="Y134" i="9"/>
  <c r="I189" i="13"/>
  <c r="Y199" i="9"/>
  <c r="I593" i="13"/>
  <c r="Y603" i="9"/>
  <c r="I490" i="13"/>
  <c r="Y500" i="9"/>
  <c r="I206" i="13"/>
  <c r="Y216" i="9"/>
  <c r="I92" i="13"/>
  <c r="Y102" i="9"/>
  <c r="I507" i="13"/>
  <c r="Y517" i="9"/>
  <c r="I571" i="13"/>
  <c r="Y581" i="9"/>
  <c r="I309" i="13"/>
  <c r="Y319" i="9"/>
  <c r="I82" i="13"/>
  <c r="Y92" i="9"/>
  <c r="I468" i="13"/>
  <c r="Y478" i="9"/>
  <c r="I484" i="13"/>
  <c r="Y494" i="9"/>
  <c r="I210" i="13"/>
  <c r="Y220" i="9"/>
  <c r="I243" i="13"/>
  <c r="Y253" i="9"/>
  <c r="I244" i="13"/>
  <c r="Y254" i="9"/>
  <c r="I265" i="13"/>
  <c r="Y275" i="9"/>
  <c r="I110" i="13"/>
  <c r="Y120" i="9"/>
  <c r="I604" i="13"/>
  <c r="Y614" i="9"/>
  <c r="I111" i="13"/>
  <c r="Y121" i="9"/>
  <c r="I158" i="13"/>
  <c r="Y168" i="9"/>
  <c r="I188" i="13"/>
  <c r="Y198" i="9"/>
  <c r="I153" i="13"/>
  <c r="Y163" i="9"/>
  <c r="I205" i="13"/>
  <c r="Y215" i="9"/>
  <c r="I508" i="13"/>
  <c r="Y518" i="9"/>
  <c r="I425" i="13"/>
  <c r="Y435" i="9"/>
  <c r="I564" i="13"/>
  <c r="Y574" i="9"/>
  <c r="I536" i="13"/>
  <c r="Y546" i="9"/>
  <c r="I208" i="13"/>
  <c r="Y218" i="9"/>
  <c r="I39" i="13"/>
  <c r="Y49" i="9"/>
  <c r="I74" i="13"/>
  <c r="Y84" i="9"/>
  <c r="I246" i="13"/>
  <c r="Y256" i="9"/>
  <c r="I392" i="13"/>
  <c r="Y402" i="9"/>
  <c r="I169" i="13"/>
  <c r="Y179" i="9"/>
  <c r="Y42" i="9"/>
  <c r="I32" i="13"/>
  <c r="I258" i="13"/>
  <c r="Y268" i="9"/>
  <c r="I419" i="13"/>
  <c r="Y429" i="9"/>
  <c r="I373" i="13"/>
  <c r="Y383" i="9"/>
  <c r="I51" i="13"/>
  <c r="Y61" i="9"/>
  <c r="I430" i="13"/>
  <c r="Y440" i="9"/>
  <c r="I463" i="13"/>
  <c r="Y473" i="9"/>
  <c r="I432" i="13"/>
  <c r="Y442" i="9"/>
  <c r="I520" i="13"/>
  <c r="Y530" i="9"/>
  <c r="I81" i="13"/>
  <c r="Y91" i="9"/>
  <c r="I55" i="13"/>
  <c r="Y65" i="9"/>
  <c r="I407" i="13"/>
  <c r="Y417" i="9"/>
  <c r="I311" i="13"/>
  <c r="Y321" i="9"/>
  <c r="I154" i="13"/>
  <c r="Y164" i="9"/>
  <c r="I123" i="13"/>
  <c r="Y133" i="9"/>
  <c r="I522" i="13"/>
  <c r="Y532" i="9"/>
  <c r="I130" i="13"/>
  <c r="Y140" i="9"/>
  <c r="I320" i="13"/>
  <c r="Y330" i="9"/>
  <c r="I369" i="13"/>
  <c r="Y379" i="9"/>
  <c r="I387" i="13"/>
  <c r="Y397" i="9"/>
  <c r="I35" i="13"/>
  <c r="Y45" i="9"/>
  <c r="I503" i="13"/>
  <c r="Y513" i="9"/>
  <c r="I166" i="13"/>
  <c r="Y176" i="9"/>
  <c r="I15" i="13"/>
  <c r="Y25" i="9"/>
  <c r="I37" i="13"/>
  <c r="Y47" i="9"/>
  <c r="I471" i="13"/>
  <c r="Y481" i="9"/>
  <c r="I255" i="13"/>
  <c r="Y265" i="9"/>
  <c r="I215" i="13"/>
  <c r="Y225" i="9"/>
  <c r="I209" i="13"/>
  <c r="Y219" i="9"/>
  <c r="I377" i="13"/>
  <c r="Y387" i="9"/>
  <c r="I605" i="13"/>
  <c r="Y615" i="9"/>
  <c r="I532" i="13"/>
  <c r="Y542" i="9"/>
  <c r="I129" i="13"/>
  <c r="Y139" i="9"/>
  <c r="I348" i="13"/>
  <c r="Y358" i="9"/>
  <c r="I422" i="13"/>
  <c r="Y432" i="9"/>
  <c r="I448" i="13"/>
  <c r="Y458" i="9"/>
  <c r="I48" i="13"/>
  <c r="Y58" i="9"/>
  <c r="I443" i="13"/>
  <c r="Y453" i="9"/>
  <c r="I91" i="13"/>
  <c r="Y101" i="9"/>
  <c r="I494" i="13"/>
  <c r="Y504" i="9"/>
  <c r="I250" i="13"/>
  <c r="Y260" i="9"/>
  <c r="I10" i="13"/>
  <c r="Y20" i="9"/>
  <c r="I420" i="13"/>
  <c r="Y430" i="9"/>
  <c r="I396" i="13"/>
  <c r="Y406" i="9"/>
  <c r="I464" i="13"/>
  <c r="Y474" i="9"/>
  <c r="I95" i="13"/>
  <c r="Y105" i="9"/>
  <c r="I398" i="13"/>
  <c r="Y408" i="9"/>
  <c r="I280" i="13"/>
  <c r="Y290" i="9"/>
  <c r="I516" i="13"/>
  <c r="Y526" i="9"/>
  <c r="I176" i="13"/>
  <c r="Y186" i="9"/>
  <c r="I33" i="13"/>
  <c r="Y43" i="9"/>
  <c r="I288" i="13"/>
  <c r="Y298" i="9"/>
  <c r="I551" i="13"/>
  <c r="Y561" i="9"/>
  <c r="I344" i="13"/>
  <c r="Y354" i="9"/>
  <c r="I585" i="13"/>
  <c r="Y595" i="9"/>
  <c r="I467" i="13"/>
  <c r="Y477" i="9"/>
  <c r="I334" i="13"/>
  <c r="Y344" i="9"/>
  <c r="I397" i="13"/>
  <c r="Y407" i="9"/>
  <c r="I577" i="13"/>
  <c r="Y587" i="9"/>
  <c r="I519" i="13"/>
  <c r="Y529" i="9"/>
  <c r="I18" i="13"/>
  <c r="Y28" i="9"/>
  <c r="I185" i="13"/>
  <c r="Y195" i="9"/>
  <c r="I349" i="13"/>
  <c r="Y359" i="9"/>
  <c r="I220" i="13"/>
  <c r="Y230" i="9"/>
  <c r="I456" i="13"/>
  <c r="Y466" i="9"/>
  <c r="I553" i="13"/>
  <c r="Y563" i="9"/>
  <c r="I90" i="13"/>
  <c r="Y100" i="9"/>
  <c r="I286" i="13"/>
  <c r="Y296" i="9"/>
  <c r="I163" i="13"/>
  <c r="Y173" i="9"/>
  <c r="I382" i="13"/>
  <c r="Y392" i="9"/>
  <c r="I294" i="13"/>
  <c r="Y304" i="9"/>
  <c r="I310" i="13"/>
  <c r="Y320" i="9"/>
  <c r="I272" i="13"/>
  <c r="Y282" i="9"/>
  <c r="I103" i="13"/>
  <c r="Y113" i="9"/>
  <c r="I358" i="13"/>
  <c r="Y368" i="9"/>
  <c r="Y203" i="9"/>
  <c r="I193" i="13"/>
  <c r="I452" i="13"/>
  <c r="Y462" i="9"/>
  <c r="I544" i="13"/>
  <c r="Y554" i="9"/>
  <c r="I168" i="13"/>
  <c r="Y178" i="9"/>
  <c r="I211" i="13"/>
  <c r="Y221" i="9"/>
  <c r="I140" i="13"/>
  <c r="Y150" i="9"/>
  <c r="I281" i="13"/>
  <c r="Y291" i="9"/>
  <c r="I106" i="13"/>
  <c r="Y116" i="9"/>
  <c r="I390" i="13"/>
  <c r="Y400" i="9"/>
  <c r="I171" i="13"/>
  <c r="Y181" i="9"/>
  <c r="I341" i="13"/>
  <c r="Y351" i="9"/>
  <c r="I352" i="13"/>
  <c r="Y362" i="9"/>
  <c r="I558" i="13"/>
  <c r="Y568" i="9"/>
  <c r="I87" i="13"/>
  <c r="Y97" i="9"/>
  <c r="I56" i="13"/>
  <c r="Y66" i="9"/>
  <c r="I155" i="13"/>
  <c r="Y165" i="9"/>
  <c r="I221" i="13"/>
  <c r="Y231" i="9"/>
  <c r="I424" i="13"/>
  <c r="Y434" i="9"/>
  <c r="I547" i="13"/>
  <c r="Y557" i="9"/>
  <c r="I498" i="13"/>
  <c r="Y508" i="9"/>
  <c r="I603" i="13"/>
  <c r="Y613" i="9"/>
  <c r="I583" i="13"/>
  <c r="Y593" i="9"/>
  <c r="I61" i="13"/>
  <c r="Y71" i="9"/>
  <c r="I121" i="13"/>
  <c r="Y131" i="9"/>
  <c r="I146" i="13"/>
  <c r="Y156" i="9"/>
  <c r="I89" i="13"/>
  <c r="Y99" i="9"/>
  <c r="I433" i="13"/>
  <c r="Y443" i="9"/>
  <c r="I85" i="13"/>
  <c r="Y95" i="9"/>
  <c r="I300" i="13"/>
  <c r="Y310" i="9"/>
  <c r="I192" i="13"/>
  <c r="Y202" i="9"/>
  <c r="I578" i="13"/>
  <c r="Y588" i="9"/>
  <c r="I326" i="13"/>
  <c r="Y336" i="9"/>
  <c r="I75" i="13"/>
  <c r="Y85" i="9"/>
  <c r="I405" i="13"/>
  <c r="Y415" i="9"/>
  <c r="I301" i="13"/>
  <c r="Y311" i="9"/>
  <c r="I416" i="13"/>
  <c r="Y426" i="9"/>
  <c r="I541" i="13"/>
  <c r="Y551" i="9"/>
  <c r="I290" i="13"/>
  <c r="Y300" i="9"/>
  <c r="I204" i="13"/>
  <c r="Y214" i="9"/>
  <c r="I393" i="13"/>
  <c r="Y403" i="9"/>
  <c r="I380" i="13"/>
  <c r="Y390" i="9"/>
  <c r="I79" i="13"/>
  <c r="Y89" i="9"/>
  <c r="I96" i="13"/>
  <c r="Y106" i="9"/>
  <c r="I80" i="13"/>
  <c r="Y90" i="9"/>
  <c r="I179" i="13"/>
  <c r="Y189" i="9"/>
  <c r="I339" i="13"/>
  <c r="Y349" i="9"/>
  <c r="I173" i="13"/>
  <c r="Y183" i="9"/>
  <c r="I466" i="13"/>
  <c r="Y476" i="9"/>
  <c r="I395" i="13"/>
  <c r="Y405" i="9"/>
  <c r="I528" i="13"/>
  <c r="Y538" i="9"/>
  <c r="I117" i="13"/>
  <c r="Y127" i="9"/>
  <c r="I161" i="13"/>
  <c r="Y171" i="9"/>
  <c r="I58" i="13"/>
  <c r="Y68" i="9"/>
  <c r="I149" i="13"/>
  <c r="Y159" i="9"/>
  <c r="I303" i="13"/>
  <c r="Y313" i="9"/>
  <c r="I181" i="13"/>
  <c r="Y191" i="9"/>
  <c r="I217" i="13"/>
  <c r="Y227" i="9"/>
  <c r="I125" i="13"/>
  <c r="Y135" i="9"/>
  <c r="I336" i="13"/>
  <c r="Y346" i="9"/>
  <c r="I381" i="13"/>
  <c r="Y391" i="9"/>
  <c r="I330" i="13"/>
  <c r="Y340" i="9"/>
  <c r="I421" i="13"/>
  <c r="Y431" i="9"/>
  <c r="I305" i="13"/>
  <c r="Y315" i="9"/>
  <c r="I388" i="13"/>
  <c r="Y398" i="9"/>
  <c r="I399" i="13"/>
  <c r="Y409" i="9"/>
  <c r="I66" i="13"/>
  <c r="Y76" i="9"/>
  <c r="I186" i="13"/>
  <c r="Y196" i="9"/>
  <c r="I128" i="13"/>
  <c r="Y138" i="9"/>
  <c r="I141" i="13"/>
  <c r="Y151" i="9"/>
  <c r="I78" i="13"/>
  <c r="Y88" i="9"/>
  <c r="I506" i="13"/>
  <c r="Y516" i="9"/>
  <c r="I444" i="13"/>
  <c r="Y454" i="9"/>
  <c r="I52" i="13"/>
  <c r="Y62" i="9"/>
  <c r="I295" i="13"/>
  <c r="Y305" i="9"/>
  <c r="I178" i="13"/>
  <c r="Y188" i="9"/>
  <c r="I346" i="13"/>
  <c r="Y356" i="9"/>
  <c r="I268" i="13"/>
  <c r="Y278" i="9"/>
  <c r="I101" i="13"/>
  <c r="Y111" i="9"/>
  <c r="I23" i="13"/>
  <c r="Y33" i="9"/>
  <c r="I214" i="13"/>
  <c r="Y224" i="9"/>
  <c r="I563" i="13"/>
  <c r="Y573" i="9"/>
  <c r="I414" i="13"/>
  <c r="Y424" i="9"/>
  <c r="I159" i="13"/>
  <c r="Y169" i="9"/>
  <c r="I9" i="13"/>
  <c r="Y19" i="9"/>
  <c r="I427" i="13"/>
  <c r="Y437" i="9"/>
  <c r="I465" i="13"/>
  <c r="Y475" i="9"/>
  <c r="I581" i="13"/>
  <c r="Y591" i="9"/>
  <c r="I493" i="13"/>
  <c r="Y503" i="9"/>
  <c r="I45" i="13"/>
  <c r="Y55" i="9"/>
  <c r="I298" i="13"/>
  <c r="Y308" i="9"/>
  <c r="I266" i="13"/>
  <c r="Y276" i="9"/>
  <c r="I285" i="13"/>
  <c r="Y295" i="9"/>
  <c r="I486" i="13"/>
  <c r="Y496" i="9"/>
  <c r="I378" i="13"/>
  <c r="Y388" i="9"/>
  <c r="I126" i="13"/>
  <c r="Y136" i="9"/>
  <c r="I360" i="13"/>
  <c r="Y370" i="9"/>
  <c r="I511" i="13"/>
  <c r="Y521" i="9"/>
  <c r="I267" i="13"/>
  <c r="Y277" i="9"/>
  <c r="I386" i="13"/>
  <c r="Y396" i="9"/>
  <c r="I354" i="13"/>
  <c r="Y364" i="9"/>
  <c r="I409" i="13"/>
  <c r="Y419" i="9"/>
  <c r="I34" i="13"/>
  <c r="Y44" i="9"/>
  <c r="I88" i="13"/>
  <c r="Y98" i="9"/>
  <c r="I239" i="13"/>
  <c r="Y249" i="9"/>
  <c r="I569" i="13"/>
  <c r="Y579" i="9"/>
  <c r="I602" i="13"/>
  <c r="Y612" i="9"/>
  <c r="I115" i="13"/>
  <c r="Y125" i="9"/>
  <c r="I62" i="13"/>
  <c r="Y72" i="9"/>
  <c r="I234" i="13"/>
  <c r="Y244" i="9"/>
  <c r="I455" i="13"/>
  <c r="Y465" i="9"/>
  <c r="I523" i="13"/>
  <c r="Y533" i="9"/>
  <c r="I437" i="13"/>
  <c r="Y447" i="9"/>
  <c r="I321" i="13"/>
  <c r="Y331" i="9"/>
  <c r="I236" i="13"/>
  <c r="Y246" i="9"/>
  <c r="I588" i="13"/>
  <c r="Y598" i="9"/>
  <c r="I548" i="13"/>
  <c r="Y558" i="9"/>
  <c r="I137" i="13"/>
  <c r="Y147" i="9"/>
  <c r="I177" i="13"/>
  <c r="Y187" i="9"/>
  <c r="I299" i="13"/>
  <c r="Y309" i="9"/>
  <c r="I287" i="13"/>
  <c r="Y297" i="9"/>
  <c r="I350" i="13"/>
  <c r="Y360" i="9"/>
  <c r="I572" i="13"/>
  <c r="Y582" i="9"/>
  <c r="I14" i="13"/>
  <c r="Y24" i="9"/>
  <c r="I521" i="13"/>
  <c r="Y531" i="9"/>
  <c r="I201" i="13"/>
  <c r="Y211" i="9"/>
  <c r="I143" i="13"/>
  <c r="Y153" i="9"/>
  <c r="I183" i="13"/>
  <c r="Y193" i="9"/>
  <c r="I235" i="13"/>
  <c r="Y245" i="9"/>
  <c r="I560" i="13"/>
  <c r="Y570" i="9"/>
  <c r="I19" i="13"/>
  <c r="Y29" i="9"/>
  <c r="I222" i="13"/>
  <c r="Y232" i="9"/>
  <c r="I167" i="13"/>
  <c r="Y177" i="9"/>
  <c r="I555" i="13"/>
  <c r="Y565" i="9"/>
  <c r="I596" i="13"/>
  <c r="Y606" i="9"/>
  <c r="I323" i="13"/>
  <c r="Y333" i="9"/>
  <c r="I162" i="13"/>
  <c r="Y172" i="9"/>
  <c r="I481" i="13"/>
  <c r="Y491" i="9"/>
  <c r="I505" i="13"/>
  <c r="Y515" i="9"/>
  <c r="I59" i="13"/>
  <c r="Y69" i="9"/>
  <c r="I327" i="13"/>
  <c r="Y337" i="9"/>
  <c r="I347" i="13"/>
  <c r="Y357" i="9"/>
  <c r="I263" i="13"/>
  <c r="Y273" i="9"/>
  <c r="I262" i="13"/>
  <c r="Y272" i="9"/>
  <c r="I552" i="13"/>
  <c r="Y562" i="9"/>
  <c r="I53" i="13"/>
  <c r="Y63" i="9"/>
  <c r="I187" i="13"/>
  <c r="Y197" i="9"/>
  <c r="I29" i="13"/>
  <c r="Y39" i="9"/>
  <c r="I13" i="13"/>
  <c r="Y23" i="9"/>
  <c r="I271" i="13"/>
  <c r="Y281" i="9"/>
  <c r="I550" i="13"/>
  <c r="Y560" i="9"/>
  <c r="I474" i="13"/>
  <c r="Y484" i="9"/>
  <c r="I512" i="13"/>
  <c r="Y522" i="9"/>
  <c r="I535" i="13"/>
  <c r="Y545" i="9"/>
  <c r="I367" i="13"/>
  <c r="Y377" i="9"/>
  <c r="I49" i="13"/>
  <c r="Y59" i="9"/>
  <c r="I113" i="13"/>
  <c r="Y123" i="9"/>
  <c r="I329" i="13"/>
  <c r="Y339" i="9"/>
  <c r="I441" i="13"/>
  <c r="Y451" i="9"/>
  <c r="I242" i="13"/>
  <c r="Y252" i="9"/>
  <c r="I191" i="13"/>
  <c r="Y201" i="9"/>
  <c r="I461" i="13"/>
  <c r="Y471" i="9"/>
  <c r="I580" i="13"/>
  <c r="Y590" i="9"/>
  <c r="I457" i="13"/>
  <c r="Y467" i="9"/>
  <c r="I71" i="13"/>
  <c r="Y81" i="9"/>
  <c r="I450" i="13"/>
  <c r="Y460" i="9"/>
  <c r="I25" i="13"/>
  <c r="Y35" i="9"/>
  <c r="I156" i="13"/>
  <c r="Y166" i="9"/>
  <c r="I510" i="13"/>
  <c r="Y520" i="9"/>
  <c r="I150" i="13"/>
  <c r="Y160" i="9"/>
  <c r="I114" i="13"/>
  <c r="Y124" i="9"/>
  <c r="I568" i="13"/>
  <c r="Y578" i="9"/>
  <c r="I356" i="13"/>
  <c r="Y366" i="9"/>
  <c r="I248" i="13"/>
  <c r="Y258" i="9"/>
  <c r="I207" i="13"/>
  <c r="Y217" i="9"/>
  <c r="I554" i="13"/>
  <c r="Y564" i="9"/>
  <c r="I63" i="13"/>
  <c r="Y73" i="9"/>
  <c r="I273" i="13"/>
  <c r="Y283" i="9"/>
  <c r="I226" i="13"/>
  <c r="Y236" i="9"/>
  <c r="I445" i="13"/>
  <c r="Y455" i="9"/>
  <c r="I372" i="13"/>
  <c r="Y382" i="9"/>
  <c r="I489" i="13"/>
  <c r="Y499" i="9"/>
  <c r="I38" i="13"/>
  <c r="Y48" i="9"/>
  <c r="I165" i="13"/>
  <c r="Y175" i="9"/>
  <c r="I54" i="13"/>
  <c r="Y64" i="9"/>
  <c r="I16" i="13"/>
  <c r="Y26" i="9"/>
  <c r="I256" i="13"/>
  <c r="Y266" i="9"/>
  <c r="I127" i="13"/>
  <c r="Y137" i="9"/>
  <c r="I276" i="13"/>
  <c r="Y286" i="9"/>
  <c r="I480" i="13"/>
  <c r="Y490" i="9"/>
  <c r="I297" i="13"/>
  <c r="Y307" i="9"/>
  <c r="I529" i="13"/>
  <c r="Y539" i="9"/>
  <c r="I247" i="13"/>
  <c r="Y257" i="9"/>
  <c r="I355" i="13"/>
  <c r="Y365" i="9"/>
  <c r="I447" i="13"/>
  <c r="Y457" i="9"/>
  <c r="I483" i="13"/>
  <c r="Y493" i="9"/>
  <c r="I289" i="13"/>
  <c r="Y299" i="9"/>
  <c r="I417" i="13"/>
  <c r="Y427" i="9"/>
  <c r="I109" i="13"/>
  <c r="Y119" i="9"/>
  <c r="I325" i="13"/>
  <c r="Y335" i="9"/>
  <c r="I559" i="13"/>
  <c r="Y569" i="9"/>
  <c r="I50" i="13"/>
  <c r="Y60" i="9"/>
  <c r="I488" i="13"/>
  <c r="Y498" i="9"/>
  <c r="I495" i="13"/>
  <c r="Y505" i="9"/>
  <c r="I459" i="13"/>
  <c r="Y469" i="9"/>
  <c r="I142" i="13"/>
  <c r="Y152" i="9"/>
  <c r="I260" i="13"/>
  <c r="Y270" i="9"/>
  <c r="I264" i="13"/>
  <c r="Y274" i="9"/>
  <c r="I567" i="13"/>
  <c r="Y577" i="9"/>
  <c r="I549" i="13"/>
  <c r="Y559" i="9"/>
  <c r="I36" i="13"/>
  <c r="Y46" i="9"/>
  <c r="I428" i="13"/>
  <c r="Y438" i="9"/>
  <c r="I579" i="13"/>
  <c r="Y589" i="9"/>
  <c r="I473" i="13"/>
  <c r="Y483" i="9"/>
  <c r="I515" i="13"/>
  <c r="Y525" i="9"/>
  <c r="I542" i="13"/>
  <c r="Y552" i="9"/>
  <c r="I308" i="13"/>
  <c r="Y318" i="9"/>
  <c r="I402" i="13"/>
  <c r="Y412" i="9"/>
  <c r="I587" i="13"/>
  <c r="Y597" i="9"/>
  <c r="I513" i="13"/>
  <c r="Y523" i="9"/>
  <c r="I70" i="13"/>
  <c r="Y80" i="9"/>
  <c r="I225" i="13"/>
  <c r="Y235" i="9"/>
  <c r="I229" i="13"/>
  <c r="Y239" i="9"/>
  <c r="I172" i="13"/>
  <c r="Y182" i="9"/>
  <c r="I413" i="13"/>
  <c r="Y423" i="9"/>
  <c r="I304" i="13"/>
  <c r="Y314" i="9"/>
  <c r="I102" i="13"/>
  <c r="Y112" i="9"/>
  <c r="I237" i="13"/>
  <c r="Y247" i="9"/>
  <c r="I384" i="13"/>
  <c r="Y394" i="9"/>
  <c r="I230" i="13"/>
  <c r="Y240" i="9"/>
  <c r="I296" i="13"/>
  <c r="Y306" i="9"/>
  <c r="I319" i="13"/>
  <c r="Y329" i="9"/>
  <c r="I362" i="13"/>
  <c r="Y372" i="9"/>
  <c r="I76" i="13"/>
  <c r="Y86" i="9"/>
  <c r="I391" i="13"/>
  <c r="Y401" i="9"/>
  <c r="I219" i="13"/>
  <c r="Y229" i="9"/>
  <c r="I565" i="13"/>
  <c r="Y575" i="9"/>
  <c r="I562" i="13"/>
  <c r="Y572" i="9"/>
  <c r="I122" i="13"/>
  <c r="Y132" i="9"/>
  <c r="I195" i="13"/>
  <c r="Y205" i="9"/>
  <c r="I476" i="13"/>
  <c r="Y486" i="9"/>
  <c r="I385" i="13"/>
  <c r="Y395" i="9"/>
  <c r="I337" i="13"/>
  <c r="Y347" i="9"/>
  <c r="I379" i="13"/>
  <c r="Y389" i="9"/>
  <c r="I400" i="13"/>
  <c r="Y410" i="9"/>
  <c r="I284" i="13"/>
  <c r="Y294" i="9"/>
  <c r="I376" i="13"/>
  <c r="Y386" i="9"/>
  <c r="I537" i="13"/>
  <c r="Y547" i="9"/>
  <c r="I94" i="13"/>
  <c r="Y104" i="9"/>
  <c r="I118" i="13"/>
  <c r="Y128" i="9"/>
  <c r="I190" i="13"/>
  <c r="Y200" i="9"/>
  <c r="I257" i="13"/>
  <c r="Y267" i="9"/>
  <c r="I499" i="13"/>
  <c r="Y509" i="9"/>
  <c r="I586" i="13"/>
  <c r="Y596" i="9"/>
  <c r="I531" i="13"/>
  <c r="Y541" i="9"/>
  <c r="I500" i="13"/>
  <c r="Y510" i="9"/>
  <c r="I423" i="13"/>
  <c r="Y433" i="9"/>
  <c r="E17" i="8"/>
  <c r="E12" i="9"/>
  <c r="D28" i="2" s="1"/>
  <c r="Y17" i="9"/>
  <c r="D12" i="2"/>
  <c r="E44" i="2"/>
  <c r="E45" i="2"/>
  <c r="D11" i="2"/>
  <c r="E43" i="2"/>
  <c r="D10" i="2"/>
  <c r="E42" i="2"/>
  <c r="D9" i="2"/>
  <c r="E41" i="2"/>
  <c r="E33" i="2"/>
  <c r="E8" i="2"/>
  <c r="D8" i="17" s="1"/>
  <c r="F21" i="2"/>
  <c r="F33" i="2" s="1"/>
  <c r="D12" i="9"/>
  <c r="D17" i="8"/>
  <c r="U586" i="13" l="1"/>
  <c r="E586" i="15"/>
  <c r="AA605" i="8"/>
  <c r="Z605" i="8" s="1"/>
  <c r="AB605" i="8" s="1"/>
  <c r="AA323" i="8"/>
  <c r="Z323" i="8" s="1"/>
  <c r="AB323" i="8" s="1"/>
  <c r="U304" i="13"/>
  <c r="E304" i="15"/>
  <c r="E480" i="15"/>
  <c r="U480" i="13"/>
  <c r="AA499" i="8"/>
  <c r="Z499" i="8" s="1"/>
  <c r="AB499" i="8" s="1"/>
  <c r="E450" i="15"/>
  <c r="U450" i="13"/>
  <c r="AA469" i="8"/>
  <c r="Z469" i="8" s="1"/>
  <c r="AB469" i="8" s="1"/>
  <c r="E481" i="15"/>
  <c r="AA500" i="8"/>
  <c r="Z500" i="8" s="1"/>
  <c r="AB500" i="8" s="1"/>
  <c r="U481" i="13"/>
  <c r="E569" i="15"/>
  <c r="AA588" i="8"/>
  <c r="Z588" i="8" s="1"/>
  <c r="AB588" i="8" s="1"/>
  <c r="U569" i="13"/>
  <c r="E563" i="15"/>
  <c r="U563" i="13"/>
  <c r="AA582" i="8"/>
  <c r="Z582" i="8" s="1"/>
  <c r="AB582" i="8" s="1"/>
  <c r="U380" i="13"/>
  <c r="E380" i="15"/>
  <c r="AA399" i="8"/>
  <c r="Z399" i="8" s="1"/>
  <c r="AB399" i="8" s="1"/>
  <c r="E221" i="15"/>
  <c r="U221" i="13"/>
  <c r="AA240" i="8"/>
  <c r="Z240" i="8" s="1"/>
  <c r="AB240" i="8" s="1"/>
  <c r="U519" i="13"/>
  <c r="E519" i="15"/>
  <c r="AA538" i="8"/>
  <c r="Z538" i="8" s="1"/>
  <c r="AB538" i="8" s="1"/>
  <c r="E15" i="15"/>
  <c r="U15" i="13"/>
  <c r="AA34" i="8"/>
  <c r="Z34" i="8" s="1"/>
  <c r="AB34" i="8" s="1"/>
  <c r="E432" i="15"/>
  <c r="AA451" i="8"/>
  <c r="Z451" i="8" s="1"/>
  <c r="AB451" i="8" s="1"/>
  <c r="U432" i="13"/>
  <c r="AA129" i="8"/>
  <c r="Z129" i="8" s="1"/>
  <c r="AB129" i="8" s="1"/>
  <c r="U110" i="13"/>
  <c r="E110" i="15"/>
  <c r="E124" i="15"/>
  <c r="U124" i="13"/>
  <c r="AA143" i="8"/>
  <c r="Z143" i="8" s="1"/>
  <c r="AB143" i="8" s="1"/>
  <c r="E364" i="15"/>
  <c r="AA383" i="8"/>
  <c r="Z383" i="8" s="1"/>
  <c r="AB383" i="8" s="1"/>
  <c r="U364" i="13"/>
  <c r="E518" i="15"/>
  <c r="U518" i="13"/>
  <c r="AA537" i="8"/>
  <c r="Z537" i="8" s="1"/>
  <c r="AB537" i="8" s="1"/>
  <c r="E68" i="15"/>
  <c r="U68" i="13"/>
  <c r="AA87" i="8"/>
  <c r="Z87" i="8" s="1"/>
  <c r="AB87" i="8" s="1"/>
  <c r="AA347" i="8"/>
  <c r="Z347" i="8" s="1"/>
  <c r="AB347" i="8" s="1"/>
  <c r="U328" i="13"/>
  <c r="E328" i="15"/>
  <c r="E359" i="15"/>
  <c r="U359" i="13"/>
  <c r="AA378" i="8"/>
  <c r="Z378" i="8" s="1"/>
  <c r="AB378" i="8" s="1"/>
  <c r="U138" i="13"/>
  <c r="AA157" i="8"/>
  <c r="Z157" i="8" s="1"/>
  <c r="AB157" i="8" s="1"/>
  <c r="E138" i="15"/>
  <c r="E592" i="15"/>
  <c r="U592" i="13"/>
  <c r="AA611" i="8"/>
  <c r="Z611" i="8" s="1"/>
  <c r="AB611" i="8" s="1"/>
  <c r="E426" i="15"/>
  <c r="AA445" i="8"/>
  <c r="Z445" i="8" s="1"/>
  <c r="AB445" i="8" s="1"/>
  <c r="U426" i="13"/>
  <c r="AA151" i="8"/>
  <c r="Z151" i="8" s="1"/>
  <c r="AB151" i="8" s="1"/>
  <c r="U132" i="13"/>
  <c r="E132" i="15"/>
  <c r="E261" i="15"/>
  <c r="AA280" i="8"/>
  <c r="Z280" i="8" s="1"/>
  <c r="AB280" i="8" s="1"/>
  <c r="U261" i="13"/>
  <c r="AA131" i="8"/>
  <c r="Z131" i="8" s="1"/>
  <c r="AB131" i="8" s="1"/>
  <c r="U112" i="13"/>
  <c r="E112" i="15"/>
  <c r="U148" i="13"/>
  <c r="E148" i="15"/>
  <c r="AA167" i="8"/>
  <c r="Z167" i="8" s="1"/>
  <c r="AB167" i="8" s="1"/>
  <c r="E72" i="15"/>
  <c r="U72" i="13"/>
  <c r="AA91" i="8"/>
  <c r="Z91" i="8" s="1"/>
  <c r="AB91" i="8" s="1"/>
  <c r="AA62" i="8"/>
  <c r="Z62" i="8" s="1"/>
  <c r="AB62" i="8" s="1"/>
  <c r="U43" i="13"/>
  <c r="E43" i="15"/>
  <c r="U477" i="13"/>
  <c r="AA496" i="8"/>
  <c r="Z496" i="8" s="1"/>
  <c r="AB496" i="8" s="1"/>
  <c r="E477" i="15"/>
  <c r="E594" i="15"/>
  <c r="U594" i="13"/>
  <c r="AA613" i="8"/>
  <c r="Z613" i="8" s="1"/>
  <c r="AB613" i="8" s="1"/>
  <c r="E404" i="15"/>
  <c r="AA423" i="8"/>
  <c r="Z423" i="8" s="1"/>
  <c r="AB423" i="8" s="1"/>
  <c r="U404" i="13"/>
  <c r="E30" i="15"/>
  <c r="U30" i="13"/>
  <c r="AA49" i="8"/>
  <c r="Z49" i="8" s="1"/>
  <c r="AB49" i="8" s="1"/>
  <c r="E403" i="15"/>
  <c r="U403" i="13"/>
  <c r="AA422" i="8"/>
  <c r="Z422" i="8" s="1"/>
  <c r="AB422" i="8" s="1"/>
  <c r="U28" i="13"/>
  <c r="E28" i="15"/>
  <c r="AA47" i="8"/>
  <c r="Z47" i="8" s="1"/>
  <c r="AB47" i="8" s="1"/>
  <c r="E314" i="15"/>
  <c r="AA333" i="8"/>
  <c r="Z333" i="8" s="1"/>
  <c r="AB333" i="8" s="1"/>
  <c r="U314" i="13"/>
  <c r="E449" i="15"/>
  <c r="U449" i="13"/>
  <c r="AA468" i="8"/>
  <c r="Z468" i="8" s="1"/>
  <c r="AB468" i="8" s="1"/>
  <c r="E582" i="15"/>
  <c r="U582" i="13"/>
  <c r="AA601" i="8"/>
  <c r="Z601" i="8" s="1"/>
  <c r="AB601" i="8" s="1"/>
  <c r="E131" i="15"/>
  <c r="AA150" i="8"/>
  <c r="Z150" i="8" s="1"/>
  <c r="AB150" i="8" s="1"/>
  <c r="U131" i="13"/>
  <c r="E202" i="15"/>
  <c r="U202" i="13"/>
  <c r="AA221" i="8"/>
  <c r="Z221" i="8" s="1"/>
  <c r="AB221" i="8" s="1"/>
  <c r="E570" i="15"/>
  <c r="U570" i="13"/>
  <c r="AA589" i="8"/>
  <c r="Z589" i="8" s="1"/>
  <c r="AB589" i="8" s="1"/>
  <c r="E335" i="15"/>
  <c r="AA354" i="8"/>
  <c r="Z354" i="8" s="1"/>
  <c r="AB354" i="8" s="1"/>
  <c r="U335" i="13"/>
  <c r="E366" i="15"/>
  <c r="AA385" i="8"/>
  <c r="Z385" i="8" s="1"/>
  <c r="AB385" i="8" s="1"/>
  <c r="U366" i="13"/>
  <c r="E65" i="15"/>
  <c r="U65" i="13"/>
  <c r="AA84" i="8"/>
  <c r="Z84" i="8" s="1"/>
  <c r="AB84" i="8" s="1"/>
  <c r="AA576" i="8"/>
  <c r="Z576" i="8" s="1"/>
  <c r="AB576" i="8" s="1"/>
  <c r="U557" i="13"/>
  <c r="E557" i="15"/>
  <c r="E44" i="15"/>
  <c r="AA63" i="8"/>
  <c r="Z63" i="8" s="1"/>
  <c r="AB63" i="8" s="1"/>
  <c r="U44" i="13"/>
  <c r="U31" i="13"/>
  <c r="E31" i="15"/>
  <c r="AA50" i="8"/>
  <c r="Z50" i="8" s="1"/>
  <c r="AB50" i="8" s="1"/>
  <c r="E383" i="15"/>
  <c r="U383" i="13"/>
  <c r="AA402" i="8"/>
  <c r="Z402" i="8" s="1"/>
  <c r="AB402" i="8" s="1"/>
  <c r="U315" i="13"/>
  <c r="AA334" i="8"/>
  <c r="Z334" i="8" s="1"/>
  <c r="AB334" i="8" s="1"/>
  <c r="E315" i="15"/>
  <c r="U492" i="13"/>
  <c r="AA511" i="8"/>
  <c r="Z511" i="8" s="1"/>
  <c r="AB511" i="8" s="1"/>
  <c r="E492" i="15"/>
  <c r="E453" i="15"/>
  <c r="AA472" i="8"/>
  <c r="Z472" i="8" s="1"/>
  <c r="AB472" i="8" s="1"/>
  <c r="U453" i="13"/>
  <c r="AA413" i="8"/>
  <c r="Z413" i="8" s="1"/>
  <c r="AB413" i="8" s="1"/>
  <c r="U394" i="13"/>
  <c r="E394" i="15"/>
  <c r="U184" i="13"/>
  <c r="E184" i="15"/>
  <c r="AA203" i="8"/>
  <c r="Z203" i="8" s="1"/>
  <c r="AB203" i="8" s="1"/>
  <c r="E104" i="15"/>
  <c r="AA123" i="8"/>
  <c r="Z123" i="8" s="1"/>
  <c r="AB123" i="8" s="1"/>
  <c r="U104" i="13"/>
  <c r="E116" i="15"/>
  <c r="AA135" i="8"/>
  <c r="Z135" i="8" s="1"/>
  <c r="AB135" i="8" s="1"/>
  <c r="U116" i="13"/>
  <c r="E431" i="15"/>
  <c r="AA450" i="8"/>
  <c r="Z450" i="8" s="1"/>
  <c r="AB450" i="8" s="1"/>
  <c r="U431" i="13"/>
  <c r="U389" i="13"/>
  <c r="E389" i="15"/>
  <c r="AA408" i="8"/>
  <c r="Z408" i="8" s="1"/>
  <c r="AB408" i="8" s="1"/>
  <c r="E504" i="15"/>
  <c r="AA523" i="8"/>
  <c r="Z523" i="8" s="1"/>
  <c r="AB523" i="8" s="1"/>
  <c r="U504" i="13"/>
  <c r="E591" i="15"/>
  <c r="U591" i="13"/>
  <c r="AA610" i="8"/>
  <c r="Z610" i="8" s="1"/>
  <c r="AB610" i="8" s="1"/>
  <c r="E371" i="15"/>
  <c r="AA390" i="8"/>
  <c r="Z390" i="8" s="1"/>
  <c r="AB390" i="8" s="1"/>
  <c r="U371" i="13"/>
  <c r="U316" i="13"/>
  <c r="E316" i="15"/>
  <c r="AA335" i="8"/>
  <c r="Z335" i="8" s="1"/>
  <c r="AB335" i="8" s="1"/>
  <c r="E340" i="15"/>
  <c r="AA359" i="8"/>
  <c r="Z359" i="8" s="1"/>
  <c r="AB359" i="8" s="1"/>
  <c r="U340" i="13"/>
  <c r="E501" i="15"/>
  <c r="U501" i="13"/>
  <c r="AA520" i="8"/>
  <c r="Z520" i="8" s="1"/>
  <c r="AB520" i="8" s="1"/>
  <c r="E233" i="15"/>
  <c r="AA252" i="8"/>
  <c r="Z252" i="8" s="1"/>
  <c r="AB252" i="8" s="1"/>
  <c r="U233" i="13"/>
  <c r="E526" i="15"/>
  <c r="AA545" i="8"/>
  <c r="Z545" i="8" s="1"/>
  <c r="AB545" i="8" s="1"/>
  <c r="U526" i="13"/>
  <c r="E193" i="15"/>
  <c r="AA212" i="8"/>
  <c r="Z212" i="8" s="1"/>
  <c r="AB212" i="8" s="1"/>
  <c r="U193" i="13"/>
  <c r="AA303" i="8"/>
  <c r="Z303" i="8" s="1"/>
  <c r="AB303" i="8" s="1"/>
  <c r="U284" i="13"/>
  <c r="E284" i="15"/>
  <c r="E225" i="15"/>
  <c r="U225" i="13"/>
  <c r="AA244" i="8"/>
  <c r="Z244" i="8" s="1"/>
  <c r="AB244" i="8" s="1"/>
  <c r="E417" i="15"/>
  <c r="AA436" i="8"/>
  <c r="Z436" i="8" s="1"/>
  <c r="AB436" i="8" s="1"/>
  <c r="U417" i="13"/>
  <c r="E248" i="15"/>
  <c r="U248" i="13"/>
  <c r="AA267" i="8"/>
  <c r="Z267" i="8" s="1"/>
  <c r="AB267" i="8" s="1"/>
  <c r="E271" i="15"/>
  <c r="U271" i="13"/>
  <c r="AA290" i="8"/>
  <c r="Z290" i="8" s="1"/>
  <c r="AB290" i="8" s="1"/>
  <c r="E350" i="15"/>
  <c r="AA369" i="8"/>
  <c r="Z369" i="8" s="1"/>
  <c r="AB369" i="8" s="1"/>
  <c r="U350" i="13"/>
  <c r="E511" i="15"/>
  <c r="U511" i="13"/>
  <c r="AA530" i="8"/>
  <c r="Z530" i="8" s="1"/>
  <c r="AB530" i="8" s="1"/>
  <c r="E399" i="15"/>
  <c r="U399" i="13"/>
  <c r="AA418" i="8"/>
  <c r="Z418" i="8" s="1"/>
  <c r="AB418" i="8" s="1"/>
  <c r="E179" i="15"/>
  <c r="U179" i="13"/>
  <c r="AA198" i="8"/>
  <c r="Z198" i="8" s="1"/>
  <c r="AB198" i="8" s="1"/>
  <c r="E603" i="15"/>
  <c r="U603" i="13"/>
  <c r="AA622" i="8"/>
  <c r="Z622" i="8" s="1"/>
  <c r="AB622" i="8" s="1"/>
  <c r="U286" i="13"/>
  <c r="AA305" i="8"/>
  <c r="Z305" i="8" s="1"/>
  <c r="AB305" i="8" s="1"/>
  <c r="E286" i="15"/>
  <c r="E396" i="15"/>
  <c r="U396" i="13"/>
  <c r="AA415" i="8"/>
  <c r="Z415" i="8" s="1"/>
  <c r="AB415" i="8" s="1"/>
  <c r="E522" i="15"/>
  <c r="AA541" i="8"/>
  <c r="Z541" i="8" s="1"/>
  <c r="AB541" i="8" s="1"/>
  <c r="U522" i="13"/>
  <c r="E425" i="15"/>
  <c r="AA444" i="8"/>
  <c r="Z444" i="8" s="1"/>
  <c r="AB444" i="8" s="1"/>
  <c r="U425" i="13"/>
  <c r="E282" i="15"/>
  <c r="U282" i="13"/>
  <c r="AA301" i="8"/>
  <c r="Z301" i="8" s="1"/>
  <c r="AB301" i="8" s="1"/>
  <c r="AA251" i="8"/>
  <c r="Z251" i="8" s="1"/>
  <c r="AB251" i="8" s="1"/>
  <c r="U232" i="13"/>
  <c r="E232" i="15"/>
  <c r="AA442" i="8"/>
  <c r="Z442" i="8" s="1"/>
  <c r="AB442" i="8" s="1"/>
  <c r="E423" i="15"/>
  <c r="U423" i="13"/>
  <c r="U94" i="13"/>
  <c r="E94" i="15"/>
  <c r="AA113" i="8"/>
  <c r="Z113" i="8" s="1"/>
  <c r="AB113" i="8" s="1"/>
  <c r="AA495" i="8"/>
  <c r="Z495" i="8" s="1"/>
  <c r="AB495" i="8" s="1"/>
  <c r="U476" i="13"/>
  <c r="E476" i="15"/>
  <c r="E362" i="15"/>
  <c r="U362" i="13"/>
  <c r="AA381" i="8"/>
  <c r="Z381" i="8" s="1"/>
  <c r="AB381" i="8" s="1"/>
  <c r="E413" i="15"/>
  <c r="AA432" i="8"/>
  <c r="Z432" i="8" s="1"/>
  <c r="AB432" i="8" s="1"/>
  <c r="U413" i="13"/>
  <c r="E308" i="15"/>
  <c r="U308" i="13"/>
  <c r="AA327" i="8"/>
  <c r="Z327" i="8" s="1"/>
  <c r="AB327" i="8" s="1"/>
  <c r="U567" i="13"/>
  <c r="AA586" i="8"/>
  <c r="Z586" i="8" s="1"/>
  <c r="AB586" i="8" s="1"/>
  <c r="E567" i="15"/>
  <c r="U559" i="13"/>
  <c r="AA578" i="8"/>
  <c r="Z578" i="8" s="1"/>
  <c r="AB578" i="8" s="1"/>
  <c r="E559" i="15"/>
  <c r="U247" i="13"/>
  <c r="AA266" i="8"/>
  <c r="Z266" i="8" s="1"/>
  <c r="AB266" i="8" s="1"/>
  <c r="E247" i="15"/>
  <c r="AA73" i="8"/>
  <c r="Z73" i="8" s="1"/>
  <c r="AB73" i="8" s="1"/>
  <c r="E54" i="15"/>
  <c r="U54" i="13"/>
  <c r="E63" i="15"/>
  <c r="AA82" i="8"/>
  <c r="Z82" i="8" s="1"/>
  <c r="AB82" i="8" s="1"/>
  <c r="U63" i="13"/>
  <c r="E510" i="15"/>
  <c r="AA529" i="8"/>
  <c r="Z529" i="8" s="1"/>
  <c r="AB529" i="8" s="1"/>
  <c r="U510" i="13"/>
  <c r="U191" i="13"/>
  <c r="E191" i="15"/>
  <c r="AA210" i="8"/>
  <c r="Z210" i="8" s="1"/>
  <c r="AB210" i="8" s="1"/>
  <c r="E512" i="15"/>
  <c r="U512" i="13"/>
  <c r="AA531" i="8"/>
  <c r="Z531" i="8" s="1"/>
  <c r="AB531" i="8" s="1"/>
  <c r="E552" i="15"/>
  <c r="AA571" i="8"/>
  <c r="Z571" i="8" s="1"/>
  <c r="AB571" i="8" s="1"/>
  <c r="U552" i="13"/>
  <c r="E162" i="15"/>
  <c r="U162" i="13"/>
  <c r="AA181" i="8"/>
  <c r="Z181" i="8" s="1"/>
  <c r="AB181" i="8" s="1"/>
  <c r="E235" i="15"/>
  <c r="U235" i="13"/>
  <c r="AA254" i="8"/>
  <c r="Z254" i="8" s="1"/>
  <c r="AB254" i="8" s="1"/>
  <c r="E287" i="15"/>
  <c r="U287" i="13"/>
  <c r="AA306" i="8"/>
  <c r="Z306" i="8" s="1"/>
  <c r="AB306" i="8" s="1"/>
  <c r="E437" i="15"/>
  <c r="AA456" i="8"/>
  <c r="Z456" i="8" s="1"/>
  <c r="AB456" i="8" s="1"/>
  <c r="U437" i="13"/>
  <c r="E239" i="15"/>
  <c r="AA258" i="8"/>
  <c r="Z258" i="8" s="1"/>
  <c r="AB258" i="8" s="1"/>
  <c r="U239" i="13"/>
  <c r="U360" i="13"/>
  <c r="AA379" i="8"/>
  <c r="Z379" i="8" s="1"/>
  <c r="AB379" i="8" s="1"/>
  <c r="E360" i="15"/>
  <c r="E493" i="15"/>
  <c r="U493" i="13"/>
  <c r="AA512" i="8"/>
  <c r="Z512" i="8" s="1"/>
  <c r="AB512" i="8" s="1"/>
  <c r="E214" i="15"/>
  <c r="AA233" i="8"/>
  <c r="Z233" i="8" s="1"/>
  <c r="AB233" i="8" s="1"/>
  <c r="U214" i="13"/>
  <c r="E444" i="15"/>
  <c r="AA463" i="8"/>
  <c r="Z463" i="8" s="1"/>
  <c r="AB463" i="8" s="1"/>
  <c r="U444" i="13"/>
  <c r="U388" i="13"/>
  <c r="AA407" i="8"/>
  <c r="Z407" i="8" s="1"/>
  <c r="AB407" i="8" s="1"/>
  <c r="E388" i="15"/>
  <c r="U181" i="13"/>
  <c r="E181" i="15"/>
  <c r="AA200" i="8"/>
  <c r="Z200" i="8" s="1"/>
  <c r="AB200" i="8" s="1"/>
  <c r="U466" i="13"/>
  <c r="E466" i="15"/>
  <c r="AA485" i="8"/>
  <c r="Z485" i="8" s="1"/>
  <c r="AB485" i="8" s="1"/>
  <c r="U393" i="13"/>
  <c r="AA412" i="8"/>
  <c r="Z412" i="8" s="1"/>
  <c r="AB412" i="8" s="1"/>
  <c r="E393" i="15"/>
  <c r="U326" i="13"/>
  <c r="AA345" i="8"/>
  <c r="Z345" i="8" s="1"/>
  <c r="AB345" i="8" s="1"/>
  <c r="E326" i="15"/>
  <c r="E121" i="15"/>
  <c r="AA140" i="8"/>
  <c r="Z140" i="8" s="1"/>
  <c r="AB140" i="8" s="1"/>
  <c r="U121" i="13"/>
  <c r="E155" i="15"/>
  <c r="U155" i="13"/>
  <c r="AA174" i="8"/>
  <c r="Z174" i="8" s="1"/>
  <c r="AB174" i="8" s="1"/>
  <c r="E106" i="15"/>
  <c r="U106" i="13"/>
  <c r="AA125" i="8"/>
  <c r="Z125" i="8" s="1"/>
  <c r="AB125" i="8" s="1"/>
  <c r="U294" i="13"/>
  <c r="AA313" i="8"/>
  <c r="Z313" i="8" s="1"/>
  <c r="AB313" i="8" s="1"/>
  <c r="E294" i="15"/>
  <c r="U349" i="13"/>
  <c r="AA368" i="8"/>
  <c r="Z368" i="8" s="1"/>
  <c r="AB368" i="8" s="1"/>
  <c r="E349" i="15"/>
  <c r="E585" i="15"/>
  <c r="AA604" i="8"/>
  <c r="Z604" i="8" s="1"/>
  <c r="AB604" i="8" s="1"/>
  <c r="U585" i="13"/>
  <c r="AA417" i="8"/>
  <c r="Z417" i="8" s="1"/>
  <c r="AB417" i="8" s="1"/>
  <c r="E398" i="15"/>
  <c r="U398" i="13"/>
  <c r="E91" i="15"/>
  <c r="U91" i="13"/>
  <c r="AA110" i="8"/>
  <c r="Z110" i="8" s="1"/>
  <c r="AB110" i="8" s="1"/>
  <c r="AA624" i="8"/>
  <c r="Z624" i="8" s="1"/>
  <c r="AB624" i="8" s="1"/>
  <c r="E605" i="15"/>
  <c r="U605" i="13"/>
  <c r="E166" i="15"/>
  <c r="U166" i="13"/>
  <c r="AA185" i="8"/>
  <c r="Z185" i="8" s="1"/>
  <c r="AB185" i="8" s="1"/>
  <c r="AA142" i="8"/>
  <c r="Z142" i="8" s="1"/>
  <c r="AB142" i="8" s="1"/>
  <c r="U123" i="13"/>
  <c r="E123" i="15"/>
  <c r="E55" i="15"/>
  <c r="U55" i="13"/>
  <c r="AA74" i="8"/>
  <c r="Z74" i="8" s="1"/>
  <c r="AB74" i="8" s="1"/>
  <c r="AA482" i="8"/>
  <c r="Z482" i="8" s="1"/>
  <c r="AB482" i="8" s="1"/>
  <c r="E463" i="15"/>
  <c r="U463" i="13"/>
  <c r="U419" i="13"/>
  <c r="E419" i="15"/>
  <c r="AA438" i="8"/>
  <c r="Z438" i="8" s="1"/>
  <c r="AB438" i="8" s="1"/>
  <c r="E392" i="15"/>
  <c r="AA411" i="8"/>
  <c r="Z411" i="8" s="1"/>
  <c r="AB411" i="8" s="1"/>
  <c r="U392" i="13"/>
  <c r="E208" i="15"/>
  <c r="U208" i="13"/>
  <c r="AA227" i="8"/>
  <c r="Z227" i="8" s="1"/>
  <c r="AB227" i="8" s="1"/>
  <c r="E158" i="15"/>
  <c r="AA177" i="8"/>
  <c r="Z177" i="8" s="1"/>
  <c r="AB177" i="8" s="1"/>
  <c r="U158" i="13"/>
  <c r="E265" i="15"/>
  <c r="AA284" i="8"/>
  <c r="Z284" i="8" s="1"/>
  <c r="AB284" i="8" s="1"/>
  <c r="U265" i="13"/>
  <c r="E484" i="15"/>
  <c r="U484" i="13"/>
  <c r="AA503" i="8"/>
  <c r="Z503" i="8" s="1"/>
  <c r="AB503" i="8" s="1"/>
  <c r="E571" i="15"/>
  <c r="U571" i="13"/>
  <c r="AA590" i="8"/>
  <c r="Z590" i="8" s="1"/>
  <c r="AB590" i="8" s="1"/>
  <c r="E490" i="15"/>
  <c r="U490" i="13"/>
  <c r="AA509" i="8"/>
  <c r="Z509" i="8" s="1"/>
  <c r="AB509" i="8" s="1"/>
  <c r="E175" i="15"/>
  <c r="U175" i="13"/>
  <c r="AA194" i="8"/>
  <c r="Z194" i="8" s="1"/>
  <c r="AB194" i="8" s="1"/>
  <c r="E573" i="15"/>
  <c r="U573" i="13"/>
  <c r="AA592" i="8"/>
  <c r="Z592" i="8" s="1"/>
  <c r="AB592" i="8" s="1"/>
  <c r="U22" i="13"/>
  <c r="E22" i="15"/>
  <c r="AA41" i="8"/>
  <c r="Z41" i="8" s="1"/>
  <c r="AB41" i="8" s="1"/>
  <c r="E324" i="15"/>
  <c r="U324" i="13"/>
  <c r="AA343" i="8"/>
  <c r="Z343" i="8" s="1"/>
  <c r="AB343" i="8" s="1"/>
  <c r="U438" i="13"/>
  <c r="E438" i="15"/>
  <c r="AA457" i="8"/>
  <c r="Z457" i="8" s="1"/>
  <c r="AB457" i="8" s="1"/>
  <c r="U595" i="13"/>
  <c r="AA614" i="8"/>
  <c r="Z614" i="8" s="1"/>
  <c r="AB614" i="8" s="1"/>
  <c r="E595" i="15"/>
  <c r="AA199" i="8"/>
  <c r="Z199" i="8" s="1"/>
  <c r="AB199" i="8" s="1"/>
  <c r="U180" i="13"/>
  <c r="E180" i="15"/>
  <c r="E363" i="15"/>
  <c r="AA382" i="8"/>
  <c r="Z382" i="8" s="1"/>
  <c r="AB382" i="8" s="1"/>
  <c r="U363" i="13"/>
  <c r="E351" i="15"/>
  <c r="AA370" i="8"/>
  <c r="Z370" i="8" s="1"/>
  <c r="AB370" i="8" s="1"/>
  <c r="U351" i="13"/>
  <c r="E277" i="15"/>
  <c r="AA296" i="8"/>
  <c r="Z296" i="8" s="1"/>
  <c r="AB296" i="8" s="1"/>
  <c r="U277" i="13"/>
  <c r="E496" i="15"/>
  <c r="U496" i="13"/>
  <c r="AA515" i="8"/>
  <c r="Z515" i="8" s="1"/>
  <c r="AB515" i="8" s="1"/>
  <c r="E342" i="15"/>
  <c r="AA361" i="8"/>
  <c r="Z361" i="8" s="1"/>
  <c r="AB361" i="8" s="1"/>
  <c r="U342" i="13"/>
  <c r="E47" i="15"/>
  <c r="AA66" i="8"/>
  <c r="Z66" i="8" s="1"/>
  <c r="AB66" i="8" s="1"/>
  <c r="U47" i="13"/>
  <c r="E241" i="15"/>
  <c r="U241" i="13"/>
  <c r="AA260" i="8"/>
  <c r="Z260" i="8" s="1"/>
  <c r="AB260" i="8" s="1"/>
  <c r="E83" i="15"/>
  <c r="U83" i="13"/>
  <c r="AA102" i="8"/>
  <c r="Z102" i="8" s="1"/>
  <c r="AB102" i="8" s="1"/>
  <c r="E538" i="15"/>
  <c r="U538" i="13"/>
  <c r="AA557" i="8"/>
  <c r="Z557" i="8" s="1"/>
  <c r="AB557" i="8" s="1"/>
  <c r="E12" i="15"/>
  <c r="U12" i="13"/>
  <c r="AA31" i="8"/>
  <c r="Z31" i="8" s="1"/>
  <c r="AB31" i="8" s="1"/>
  <c r="U164" i="13"/>
  <c r="E164" i="15"/>
  <c r="AA183" i="8"/>
  <c r="Z183" i="8" s="1"/>
  <c r="AB183" i="8" s="1"/>
  <c r="E357" i="15"/>
  <c r="AA376" i="8"/>
  <c r="Z376" i="8" s="1"/>
  <c r="AB376" i="8" s="1"/>
  <c r="U357" i="13"/>
  <c r="E497" i="15"/>
  <c r="U497" i="13"/>
  <c r="AA516" i="8"/>
  <c r="Z516" i="8" s="1"/>
  <c r="AB516" i="8" s="1"/>
  <c r="AA321" i="8"/>
  <c r="Z321" i="8" s="1"/>
  <c r="AB321" i="8" s="1"/>
  <c r="E302" i="15"/>
  <c r="U302" i="13"/>
  <c r="E251" i="15"/>
  <c r="AA270" i="8"/>
  <c r="Z270" i="8" s="1"/>
  <c r="AB270" i="8" s="1"/>
  <c r="U251" i="13"/>
  <c r="E27" i="15"/>
  <c r="U27" i="13"/>
  <c r="AA46" i="8"/>
  <c r="Z46" i="8" s="1"/>
  <c r="AB46" i="8" s="1"/>
  <c r="AA257" i="8"/>
  <c r="Z257" i="8" s="1"/>
  <c r="AB257" i="8" s="1"/>
  <c r="E238" i="15"/>
  <c r="U238" i="13"/>
  <c r="E440" i="15"/>
  <c r="U440" i="13"/>
  <c r="AA459" i="8"/>
  <c r="Z459" i="8" s="1"/>
  <c r="AB459" i="8" s="1"/>
  <c r="AA336" i="8"/>
  <c r="Z336" i="8" s="1"/>
  <c r="AB336" i="8" s="1"/>
  <c r="U317" i="13"/>
  <c r="E317" i="15"/>
  <c r="E597" i="15"/>
  <c r="AA616" i="8"/>
  <c r="Z616" i="8" s="1"/>
  <c r="AB616" i="8" s="1"/>
  <c r="U597" i="13"/>
  <c r="E274" i="15"/>
  <c r="U274" i="13"/>
  <c r="AA293" i="8"/>
  <c r="Z293" i="8" s="1"/>
  <c r="AB293" i="8" s="1"/>
  <c r="U86" i="13"/>
  <c r="E86" i="15"/>
  <c r="AA105" i="8"/>
  <c r="Z105" i="8" s="1"/>
  <c r="AB105" i="8" s="1"/>
  <c r="E253" i="15"/>
  <c r="U253" i="13"/>
  <c r="AA272" i="8"/>
  <c r="Z272" i="8" s="1"/>
  <c r="AB272" i="8" s="1"/>
  <c r="U415" i="13"/>
  <c r="AA434" i="8"/>
  <c r="Z434" i="8" s="1"/>
  <c r="AB434" i="8" s="1"/>
  <c r="E415" i="15"/>
  <c r="E598" i="15"/>
  <c r="U598" i="13"/>
  <c r="AA617" i="8"/>
  <c r="Z617" i="8" s="1"/>
  <c r="AB617" i="8" s="1"/>
  <c r="E306" i="15"/>
  <c r="U306" i="13"/>
  <c r="AA325" i="8"/>
  <c r="Z325" i="8" s="1"/>
  <c r="AB325" i="8" s="1"/>
  <c r="E249" i="15"/>
  <c r="AA268" i="8"/>
  <c r="Z268" i="8" s="1"/>
  <c r="AB268" i="8" s="1"/>
  <c r="U249" i="13"/>
  <c r="U278" i="13"/>
  <c r="AA297" i="8"/>
  <c r="Z297" i="8" s="1"/>
  <c r="AB297" i="8" s="1"/>
  <c r="E278" i="15"/>
  <c r="AA237" i="8"/>
  <c r="Z237" i="8" s="1"/>
  <c r="AB237" i="8" s="1"/>
  <c r="U218" i="13"/>
  <c r="E218" i="15"/>
  <c r="E254" i="15"/>
  <c r="AA273" i="8"/>
  <c r="Z273" i="8" s="1"/>
  <c r="AB273" i="8" s="1"/>
  <c r="U254" i="13"/>
  <c r="E269" i="15"/>
  <c r="AA288" i="8"/>
  <c r="Z288" i="8" s="1"/>
  <c r="AB288" i="8" s="1"/>
  <c r="U269" i="13"/>
  <c r="E599" i="15"/>
  <c r="U599" i="13"/>
  <c r="AA618" i="8"/>
  <c r="Z618" i="8" s="1"/>
  <c r="AB618" i="8" s="1"/>
  <c r="E451" i="15"/>
  <c r="U451" i="13"/>
  <c r="AA470" i="8"/>
  <c r="Z470" i="8" s="1"/>
  <c r="AB470" i="8" s="1"/>
  <c r="E601" i="15"/>
  <c r="U601" i="13"/>
  <c r="AA620" i="8"/>
  <c r="Z620" i="8" s="1"/>
  <c r="AB620" i="8" s="1"/>
  <c r="E491" i="15"/>
  <c r="U491" i="13"/>
  <c r="AA510" i="8"/>
  <c r="Z510" i="8" s="1"/>
  <c r="AB510" i="8" s="1"/>
  <c r="E108" i="15"/>
  <c r="U108" i="13"/>
  <c r="AA127" i="8"/>
  <c r="Z127" i="8" s="1"/>
  <c r="AB127" i="8" s="1"/>
  <c r="U198" i="13"/>
  <c r="AA217" i="8"/>
  <c r="Z217" i="8" s="1"/>
  <c r="AB217" i="8" s="1"/>
  <c r="E198" i="15"/>
  <c r="E97" i="15"/>
  <c r="U97" i="13"/>
  <c r="AA116" i="8"/>
  <c r="Z116" i="8" s="1"/>
  <c r="AB116" i="8" s="1"/>
  <c r="U20" i="13"/>
  <c r="AA39" i="8"/>
  <c r="Z39" i="8" s="1"/>
  <c r="AB39" i="8" s="1"/>
  <c r="E20" i="15"/>
  <c r="E107" i="15"/>
  <c r="AA126" i="8"/>
  <c r="Z126" i="8" s="1"/>
  <c r="AB126" i="8" s="1"/>
  <c r="U107" i="13"/>
  <c r="U139" i="13"/>
  <c r="AA158" i="8"/>
  <c r="Z158" i="8" s="1"/>
  <c r="AB158" i="8" s="1"/>
  <c r="E139" i="15"/>
  <c r="E439" i="15"/>
  <c r="AA458" i="8"/>
  <c r="Z458" i="8" s="1"/>
  <c r="AB458" i="8" s="1"/>
  <c r="U439" i="13"/>
  <c r="E370" i="15"/>
  <c r="U370" i="13"/>
  <c r="AA389" i="8"/>
  <c r="Z389" i="8" s="1"/>
  <c r="AB389" i="8" s="1"/>
  <c r="E160" i="15"/>
  <c r="U160" i="13"/>
  <c r="AA179" i="8"/>
  <c r="Z179" i="8" s="1"/>
  <c r="AB179" i="8" s="1"/>
  <c r="E67" i="15"/>
  <c r="U67" i="13"/>
  <c r="AA86" i="8"/>
  <c r="Z86" i="8" s="1"/>
  <c r="AB86" i="8" s="1"/>
  <c r="U575" i="13"/>
  <c r="AA594" i="8"/>
  <c r="Z594" i="8" s="1"/>
  <c r="AB594" i="8" s="1"/>
  <c r="E575" i="15"/>
  <c r="E93" i="15"/>
  <c r="AA112" i="8"/>
  <c r="Z112" i="8" s="1"/>
  <c r="AB112" i="8" s="1"/>
  <c r="U93" i="13"/>
  <c r="E556" i="15"/>
  <c r="U556" i="13"/>
  <c r="AA575" i="8"/>
  <c r="Z575" i="8" s="1"/>
  <c r="AB575" i="8" s="1"/>
  <c r="E590" i="15"/>
  <c r="U590" i="13"/>
  <c r="AA609" i="8"/>
  <c r="Z609" i="8" s="1"/>
  <c r="AB609" i="8" s="1"/>
  <c r="E135" i="15"/>
  <c r="U135" i="13"/>
  <c r="AA154" i="8"/>
  <c r="Z154" i="8" s="1"/>
  <c r="AB154" i="8" s="1"/>
  <c r="AA580" i="8"/>
  <c r="Z580" i="8" s="1"/>
  <c r="AB580" i="8" s="1"/>
  <c r="E561" i="15"/>
  <c r="U561" i="13"/>
  <c r="E151" i="15"/>
  <c r="U151" i="13"/>
  <c r="AA170" i="8"/>
  <c r="Z170" i="8" s="1"/>
  <c r="AB170" i="8" s="1"/>
  <c r="E118" i="15"/>
  <c r="U118" i="13"/>
  <c r="AA137" i="8"/>
  <c r="Z137" i="8" s="1"/>
  <c r="AB137" i="8" s="1"/>
  <c r="E402" i="15"/>
  <c r="U402" i="13"/>
  <c r="AA421" i="8"/>
  <c r="Z421" i="8" s="1"/>
  <c r="AB421" i="8" s="1"/>
  <c r="E355" i="15"/>
  <c r="U355" i="13"/>
  <c r="AA374" i="8"/>
  <c r="Z374" i="8" s="1"/>
  <c r="AB374" i="8" s="1"/>
  <c r="E461" i="15"/>
  <c r="AA480" i="8"/>
  <c r="Z480" i="8" s="1"/>
  <c r="AB480" i="8" s="1"/>
  <c r="U461" i="13"/>
  <c r="U555" i="13"/>
  <c r="E555" i="15"/>
  <c r="AA574" i="8"/>
  <c r="Z574" i="8" s="1"/>
  <c r="AB574" i="8" s="1"/>
  <c r="U486" i="13"/>
  <c r="AA505" i="8"/>
  <c r="Z505" i="8" s="1"/>
  <c r="AB505" i="8" s="1"/>
  <c r="E486" i="15"/>
  <c r="E330" i="15"/>
  <c r="U330" i="13"/>
  <c r="AA349" i="8"/>
  <c r="Z349" i="8" s="1"/>
  <c r="AB349" i="8" s="1"/>
  <c r="U541" i="13"/>
  <c r="AA560" i="8"/>
  <c r="Z560" i="8" s="1"/>
  <c r="AB560" i="8" s="1"/>
  <c r="E541" i="15"/>
  <c r="E558" i="15"/>
  <c r="AA577" i="8"/>
  <c r="Z577" i="8" s="1"/>
  <c r="AB577" i="8" s="1"/>
  <c r="U558" i="13"/>
  <c r="E467" i="15"/>
  <c r="U467" i="13"/>
  <c r="AA486" i="8"/>
  <c r="Z486" i="8" s="1"/>
  <c r="AB486" i="8" s="1"/>
  <c r="E532" i="15"/>
  <c r="U532" i="13"/>
  <c r="AA551" i="8"/>
  <c r="Z551" i="8" s="1"/>
  <c r="AB551" i="8" s="1"/>
  <c r="AA426" i="8"/>
  <c r="Z426" i="8" s="1"/>
  <c r="AB426" i="8" s="1"/>
  <c r="U407" i="13"/>
  <c r="E407" i="15"/>
  <c r="E188" i="15"/>
  <c r="U188" i="13"/>
  <c r="AA207" i="8"/>
  <c r="Z207" i="8" s="1"/>
  <c r="AB207" i="8" s="1"/>
  <c r="E546" i="15"/>
  <c r="AA565" i="8"/>
  <c r="Z565" i="8" s="1"/>
  <c r="AB565" i="8" s="1"/>
  <c r="U546" i="13"/>
  <c r="E312" i="15"/>
  <c r="AA331" i="8"/>
  <c r="Z331" i="8" s="1"/>
  <c r="AB331" i="8" s="1"/>
  <c r="U312" i="13"/>
  <c r="AA518" i="8"/>
  <c r="Z518" i="8" s="1"/>
  <c r="AB518" i="8" s="1"/>
  <c r="E499" i="15"/>
  <c r="U499" i="13"/>
  <c r="AA419" i="8"/>
  <c r="Z419" i="8" s="1"/>
  <c r="AB419" i="8" s="1"/>
  <c r="U400" i="13"/>
  <c r="E400" i="15"/>
  <c r="E565" i="15"/>
  <c r="U565" i="13"/>
  <c r="AA584" i="8"/>
  <c r="Z584" i="8" s="1"/>
  <c r="AB584" i="8" s="1"/>
  <c r="E384" i="15"/>
  <c r="AA403" i="8"/>
  <c r="Z403" i="8" s="1"/>
  <c r="AB403" i="8" s="1"/>
  <c r="U384" i="13"/>
  <c r="E70" i="15"/>
  <c r="U70" i="13"/>
  <c r="AA89" i="8"/>
  <c r="Z89" i="8" s="1"/>
  <c r="AB89" i="8" s="1"/>
  <c r="E579" i="15"/>
  <c r="AA598" i="8"/>
  <c r="Z598" i="8" s="1"/>
  <c r="AB598" i="8" s="1"/>
  <c r="U579" i="13"/>
  <c r="E459" i="15"/>
  <c r="U459" i="13"/>
  <c r="AA478" i="8"/>
  <c r="Z478" i="8" s="1"/>
  <c r="AB478" i="8" s="1"/>
  <c r="U289" i="13"/>
  <c r="AA308" i="8"/>
  <c r="Z308" i="8" s="1"/>
  <c r="AB308" i="8" s="1"/>
  <c r="E289" i="15"/>
  <c r="AA295" i="8"/>
  <c r="Z295" i="8" s="1"/>
  <c r="AB295" i="8" s="1"/>
  <c r="U276" i="13"/>
  <c r="E276" i="15"/>
  <c r="E372" i="15"/>
  <c r="AA391" i="8"/>
  <c r="Z391" i="8" s="1"/>
  <c r="AB391" i="8" s="1"/>
  <c r="U372" i="13"/>
  <c r="E356" i="15"/>
  <c r="AA375" i="8"/>
  <c r="Z375" i="8" s="1"/>
  <c r="AB375" i="8" s="1"/>
  <c r="U356" i="13"/>
  <c r="E71" i="15"/>
  <c r="U71" i="13"/>
  <c r="AA90" i="8"/>
  <c r="Z90" i="8" s="1"/>
  <c r="AB90" i="8" s="1"/>
  <c r="E113" i="15"/>
  <c r="U113" i="13"/>
  <c r="AA132" i="8"/>
  <c r="Z132" i="8" s="1"/>
  <c r="AB132" i="8" s="1"/>
  <c r="U13" i="13"/>
  <c r="E13" i="15"/>
  <c r="AA32" i="8"/>
  <c r="Z32" i="8" s="1"/>
  <c r="AB32" i="8" s="1"/>
  <c r="U327" i="13"/>
  <c r="AA346" i="8"/>
  <c r="Z346" i="8" s="1"/>
  <c r="AB346" i="8" s="1"/>
  <c r="E327" i="15"/>
  <c r="E167" i="15"/>
  <c r="U167" i="13"/>
  <c r="AA186" i="8"/>
  <c r="Z186" i="8" s="1"/>
  <c r="AB186" i="8" s="1"/>
  <c r="E521" i="15"/>
  <c r="U521" i="13"/>
  <c r="AA540" i="8"/>
  <c r="Z540" i="8" s="1"/>
  <c r="AB540" i="8" s="1"/>
  <c r="U548" i="13"/>
  <c r="AA567" i="8"/>
  <c r="Z567" i="8" s="1"/>
  <c r="AB567" i="8" s="1"/>
  <c r="E548" i="15"/>
  <c r="E62" i="15"/>
  <c r="AA81" i="8"/>
  <c r="Z81" i="8" s="1"/>
  <c r="AB81" i="8" s="1"/>
  <c r="U62" i="13"/>
  <c r="E354" i="15"/>
  <c r="AA373" i="8"/>
  <c r="Z373" i="8" s="1"/>
  <c r="AB373" i="8" s="1"/>
  <c r="U354" i="13"/>
  <c r="E285" i="15"/>
  <c r="AA304" i="8"/>
  <c r="Z304" i="8" s="1"/>
  <c r="AB304" i="8" s="1"/>
  <c r="U285" i="13"/>
  <c r="E9" i="15"/>
  <c r="AA28" i="8"/>
  <c r="Z28" i="8" s="1"/>
  <c r="AB28" i="8" s="1"/>
  <c r="U9" i="13"/>
  <c r="E346" i="15"/>
  <c r="U346" i="13"/>
  <c r="AA365" i="8"/>
  <c r="Z365" i="8" s="1"/>
  <c r="AB365" i="8" s="1"/>
  <c r="U128" i="13"/>
  <c r="AA147" i="8"/>
  <c r="Z147" i="8" s="1"/>
  <c r="AB147" i="8" s="1"/>
  <c r="E128" i="15"/>
  <c r="E381" i="15"/>
  <c r="U381" i="13"/>
  <c r="AA400" i="8"/>
  <c r="Z400" i="8" s="1"/>
  <c r="AB400" i="8" s="1"/>
  <c r="E161" i="15"/>
  <c r="U161" i="13"/>
  <c r="AA180" i="8"/>
  <c r="Z180" i="8" s="1"/>
  <c r="AB180" i="8" s="1"/>
  <c r="AA99" i="8"/>
  <c r="Z99" i="8" s="1"/>
  <c r="AB99" i="8" s="1"/>
  <c r="E80" i="15"/>
  <c r="U80" i="13"/>
  <c r="E416" i="15"/>
  <c r="AA435" i="8"/>
  <c r="Z435" i="8" s="1"/>
  <c r="AB435" i="8" s="1"/>
  <c r="U416" i="13"/>
  <c r="AA104" i="8"/>
  <c r="Z104" i="8" s="1"/>
  <c r="AB104" i="8" s="1"/>
  <c r="E85" i="15"/>
  <c r="U85" i="13"/>
  <c r="E498" i="15"/>
  <c r="U498" i="13"/>
  <c r="AA517" i="8"/>
  <c r="Z517" i="8" s="1"/>
  <c r="AB517" i="8" s="1"/>
  <c r="AA371" i="8"/>
  <c r="Z371" i="8" s="1"/>
  <c r="AB371" i="8" s="1"/>
  <c r="U352" i="13"/>
  <c r="E352" i="15"/>
  <c r="U168" i="13"/>
  <c r="AA187" i="8"/>
  <c r="Z187" i="8" s="1"/>
  <c r="AB187" i="8" s="1"/>
  <c r="E168" i="15"/>
  <c r="U358" i="13"/>
  <c r="AA377" i="8"/>
  <c r="Z377" i="8" s="1"/>
  <c r="AB377" i="8" s="1"/>
  <c r="E358" i="15"/>
  <c r="E90" i="15"/>
  <c r="U90" i="13"/>
  <c r="AA109" i="8"/>
  <c r="Z109" i="8" s="1"/>
  <c r="AB109" i="8" s="1"/>
  <c r="AA596" i="8"/>
  <c r="Z596" i="8" s="1"/>
  <c r="AB596" i="8" s="1"/>
  <c r="U577" i="13"/>
  <c r="E577" i="15"/>
  <c r="U33" i="13"/>
  <c r="E33" i="15"/>
  <c r="AA52" i="8"/>
  <c r="Z52" i="8" s="1"/>
  <c r="AB52" i="8" s="1"/>
  <c r="AA439" i="8"/>
  <c r="Z439" i="8" s="1"/>
  <c r="AB439" i="8" s="1"/>
  <c r="E420" i="15"/>
  <c r="U420" i="13"/>
  <c r="U422" i="13"/>
  <c r="E422" i="15"/>
  <c r="AA441" i="8"/>
  <c r="Z441" i="8" s="1"/>
  <c r="AB441" i="8" s="1"/>
  <c r="E255" i="15"/>
  <c r="AA274" i="8"/>
  <c r="Z274" i="8" s="1"/>
  <c r="AB274" i="8" s="1"/>
  <c r="U255" i="13"/>
  <c r="E369" i="15"/>
  <c r="U369" i="13"/>
  <c r="AA388" i="8"/>
  <c r="Z388" i="8" s="1"/>
  <c r="AB388" i="8" s="1"/>
  <c r="E508" i="15"/>
  <c r="U508" i="13"/>
  <c r="AA527" i="8"/>
  <c r="Z527" i="8" s="1"/>
  <c r="AB527" i="8" s="1"/>
  <c r="AA581" i="8"/>
  <c r="Z581" i="8" s="1"/>
  <c r="AB581" i="8" s="1"/>
  <c r="E562" i="15"/>
  <c r="U562" i="13"/>
  <c r="E549" i="15"/>
  <c r="U549" i="13"/>
  <c r="AA568" i="8"/>
  <c r="Z568" i="8" s="1"/>
  <c r="AB568" i="8" s="1"/>
  <c r="E489" i="15"/>
  <c r="U489" i="13"/>
  <c r="AA508" i="8"/>
  <c r="Z508" i="8" s="1"/>
  <c r="AB508" i="8" s="1"/>
  <c r="U535" i="13"/>
  <c r="AA554" i="8"/>
  <c r="Z554" i="8" s="1"/>
  <c r="AB554" i="8" s="1"/>
  <c r="E535" i="15"/>
  <c r="E201" i="15"/>
  <c r="AA220" i="8"/>
  <c r="Z220" i="8" s="1"/>
  <c r="AB220" i="8" s="1"/>
  <c r="U201" i="13"/>
  <c r="E409" i="15"/>
  <c r="AA428" i="8"/>
  <c r="Z428" i="8" s="1"/>
  <c r="AB428" i="8" s="1"/>
  <c r="U409" i="13"/>
  <c r="U52" i="13"/>
  <c r="E52" i="15"/>
  <c r="AA71" i="8"/>
  <c r="Z71" i="8" s="1"/>
  <c r="AB71" i="8" s="1"/>
  <c r="AA236" i="8"/>
  <c r="Z236" i="8" s="1"/>
  <c r="AB236" i="8" s="1"/>
  <c r="E217" i="15"/>
  <c r="U217" i="13"/>
  <c r="U300" i="13"/>
  <c r="AA319" i="8"/>
  <c r="Z319" i="8" s="1"/>
  <c r="AB319" i="8" s="1"/>
  <c r="E300" i="15"/>
  <c r="E211" i="15"/>
  <c r="U211" i="13"/>
  <c r="AA230" i="8"/>
  <c r="Z230" i="8" s="1"/>
  <c r="AB230" i="8" s="1"/>
  <c r="E220" i="15"/>
  <c r="U220" i="13"/>
  <c r="AA239" i="8"/>
  <c r="Z239" i="8" s="1"/>
  <c r="AB239" i="8" s="1"/>
  <c r="E280" i="15"/>
  <c r="AA299" i="8"/>
  <c r="Z299" i="8" s="1"/>
  <c r="AB299" i="8" s="1"/>
  <c r="U280" i="13"/>
  <c r="E387" i="15"/>
  <c r="AA406" i="8"/>
  <c r="Z406" i="8" s="1"/>
  <c r="AB406" i="8" s="1"/>
  <c r="U387" i="13"/>
  <c r="E39" i="15"/>
  <c r="AA58" i="8"/>
  <c r="Z58" i="8" s="1"/>
  <c r="AB58" i="8" s="1"/>
  <c r="U39" i="13"/>
  <c r="E206" i="15"/>
  <c r="U206" i="13"/>
  <c r="AA225" i="8"/>
  <c r="Z225" i="8" s="1"/>
  <c r="AB225" i="8" s="1"/>
  <c r="AA536" i="8"/>
  <c r="Z536" i="8" s="1"/>
  <c r="AB536" i="8" s="1"/>
  <c r="E517" i="15"/>
  <c r="U517" i="13"/>
  <c r="E257" i="15"/>
  <c r="U257" i="13"/>
  <c r="AA276" i="8"/>
  <c r="Z276" i="8" s="1"/>
  <c r="AB276" i="8" s="1"/>
  <c r="U537" i="13"/>
  <c r="E537" i="15"/>
  <c r="AA556" i="8"/>
  <c r="Z556" i="8" s="1"/>
  <c r="AB556" i="8" s="1"/>
  <c r="E195" i="15"/>
  <c r="U195" i="13"/>
  <c r="AA214" i="8"/>
  <c r="Z214" i="8" s="1"/>
  <c r="AB214" i="8" s="1"/>
  <c r="E319" i="15"/>
  <c r="U319" i="13"/>
  <c r="AA338" i="8"/>
  <c r="Z338" i="8" s="1"/>
  <c r="AB338" i="8" s="1"/>
  <c r="E172" i="15"/>
  <c r="U172" i="13"/>
  <c r="AA191" i="8"/>
  <c r="Z191" i="8" s="1"/>
  <c r="AB191" i="8" s="1"/>
  <c r="AA561" i="8"/>
  <c r="Z561" i="8" s="1"/>
  <c r="AB561" i="8" s="1"/>
  <c r="E542" i="15"/>
  <c r="U542" i="13"/>
  <c r="E264" i="15"/>
  <c r="U264" i="13"/>
  <c r="AA283" i="8"/>
  <c r="Z283" i="8" s="1"/>
  <c r="AB283" i="8" s="1"/>
  <c r="E325" i="15"/>
  <c r="AA344" i="8"/>
  <c r="Z344" i="8" s="1"/>
  <c r="AB344" i="8" s="1"/>
  <c r="U325" i="13"/>
  <c r="E529" i="15"/>
  <c r="U529" i="13"/>
  <c r="AA548" i="8"/>
  <c r="Z548" i="8" s="1"/>
  <c r="AB548" i="8" s="1"/>
  <c r="E165" i="15"/>
  <c r="U165" i="13"/>
  <c r="AA184" i="8"/>
  <c r="Z184" i="8" s="1"/>
  <c r="AB184" i="8" s="1"/>
  <c r="E445" i="15"/>
  <c r="AA464" i="8"/>
  <c r="Z464" i="8" s="1"/>
  <c r="AB464" i="8" s="1"/>
  <c r="U445" i="13"/>
  <c r="E568" i="15"/>
  <c r="U568" i="13"/>
  <c r="AA587" i="8"/>
  <c r="Z587" i="8" s="1"/>
  <c r="AB587" i="8" s="1"/>
  <c r="E457" i="15"/>
  <c r="U457" i="13"/>
  <c r="AA476" i="8"/>
  <c r="Z476" i="8" s="1"/>
  <c r="AB476" i="8" s="1"/>
  <c r="E49" i="15"/>
  <c r="U49" i="13"/>
  <c r="AA68" i="8"/>
  <c r="Z68" i="8" s="1"/>
  <c r="AB68" i="8" s="1"/>
  <c r="E29" i="15"/>
  <c r="U29" i="13"/>
  <c r="AA48" i="8"/>
  <c r="Z48" i="8" s="1"/>
  <c r="AB48" i="8" s="1"/>
  <c r="E59" i="15"/>
  <c r="AA78" i="8"/>
  <c r="Z78" i="8" s="1"/>
  <c r="AB78" i="8" s="1"/>
  <c r="U59" i="13"/>
  <c r="E222" i="15"/>
  <c r="AA241" i="8"/>
  <c r="Z241" i="8" s="1"/>
  <c r="AB241" i="8" s="1"/>
  <c r="U222" i="13"/>
  <c r="E14" i="15"/>
  <c r="AA33" i="8"/>
  <c r="Z33" i="8" s="1"/>
  <c r="AB33" i="8" s="1"/>
  <c r="U14" i="13"/>
  <c r="E588" i="15"/>
  <c r="U588" i="13"/>
  <c r="AA607" i="8"/>
  <c r="Z607" i="8" s="1"/>
  <c r="AB607" i="8" s="1"/>
  <c r="U115" i="13"/>
  <c r="AA134" i="8"/>
  <c r="Z134" i="8" s="1"/>
  <c r="AB134" i="8" s="1"/>
  <c r="E115" i="15"/>
  <c r="E386" i="15"/>
  <c r="U386" i="13"/>
  <c r="AA405" i="8"/>
  <c r="Z405" i="8" s="1"/>
  <c r="AB405" i="8" s="1"/>
  <c r="E266" i="15"/>
  <c r="U266" i="13"/>
  <c r="AA285" i="8"/>
  <c r="Z285" i="8" s="1"/>
  <c r="AB285" i="8" s="1"/>
  <c r="E159" i="15"/>
  <c r="AA178" i="8"/>
  <c r="Z178" i="8" s="1"/>
  <c r="AB178" i="8" s="1"/>
  <c r="U159" i="13"/>
  <c r="E178" i="15"/>
  <c r="AA197" i="8"/>
  <c r="Z197" i="8" s="1"/>
  <c r="AB197" i="8" s="1"/>
  <c r="U178" i="13"/>
  <c r="E186" i="15"/>
  <c r="AA205" i="8"/>
  <c r="Z205" i="8" s="1"/>
  <c r="AB205" i="8" s="1"/>
  <c r="U186" i="13"/>
  <c r="E303" i="15"/>
  <c r="U303" i="13"/>
  <c r="AA322" i="8"/>
  <c r="Z322" i="8" s="1"/>
  <c r="AB322" i="8" s="1"/>
  <c r="E173" i="15"/>
  <c r="U173" i="13"/>
  <c r="AA192" i="8"/>
  <c r="Z192" i="8" s="1"/>
  <c r="AB192" i="8" s="1"/>
  <c r="E204" i="15"/>
  <c r="U204" i="13"/>
  <c r="AA223" i="8"/>
  <c r="Z223" i="8" s="1"/>
  <c r="AB223" i="8" s="1"/>
  <c r="E578" i="15"/>
  <c r="U578" i="13"/>
  <c r="AA597" i="8"/>
  <c r="Z597" i="8" s="1"/>
  <c r="AB597" i="8" s="1"/>
  <c r="E61" i="15"/>
  <c r="AA80" i="8"/>
  <c r="Z80" i="8" s="1"/>
  <c r="AB80" i="8" s="1"/>
  <c r="U61" i="13"/>
  <c r="E56" i="15"/>
  <c r="U56" i="13"/>
  <c r="AA75" i="8"/>
  <c r="Z75" i="8" s="1"/>
  <c r="AB75" i="8" s="1"/>
  <c r="AA300" i="8"/>
  <c r="Z300" i="8" s="1"/>
  <c r="AB300" i="8" s="1"/>
  <c r="E281" i="15"/>
  <c r="U281" i="13"/>
  <c r="E103" i="15"/>
  <c r="AA122" i="8"/>
  <c r="Z122" i="8" s="1"/>
  <c r="AB122" i="8" s="1"/>
  <c r="U103" i="13"/>
  <c r="E553" i="15"/>
  <c r="AA572" i="8"/>
  <c r="Z572" i="8" s="1"/>
  <c r="AB572" i="8" s="1"/>
  <c r="U553" i="13"/>
  <c r="E397" i="15"/>
  <c r="AA416" i="8"/>
  <c r="Z416" i="8" s="1"/>
  <c r="AB416" i="8" s="1"/>
  <c r="U397" i="13"/>
  <c r="E176" i="15"/>
  <c r="U176" i="13"/>
  <c r="AA195" i="8"/>
  <c r="Z195" i="8" s="1"/>
  <c r="AB195" i="8" s="1"/>
  <c r="AA114" i="8"/>
  <c r="Z114" i="8" s="1"/>
  <c r="AB114" i="8" s="1"/>
  <c r="U95" i="13"/>
  <c r="E95" i="15"/>
  <c r="E443" i="15"/>
  <c r="U443" i="13"/>
  <c r="AA462" i="8"/>
  <c r="Z462" i="8" s="1"/>
  <c r="AB462" i="8" s="1"/>
  <c r="AA396" i="8"/>
  <c r="Z396" i="8" s="1"/>
  <c r="AB396" i="8" s="1"/>
  <c r="E377" i="15"/>
  <c r="U377" i="13"/>
  <c r="AA522" i="8"/>
  <c r="Z522" i="8" s="1"/>
  <c r="AB522" i="8" s="1"/>
  <c r="U503" i="13"/>
  <c r="E503" i="15"/>
  <c r="AA173" i="8"/>
  <c r="Z173" i="8" s="1"/>
  <c r="AB173" i="8" s="1"/>
  <c r="U154" i="13"/>
  <c r="E154" i="15"/>
  <c r="AA449" i="8"/>
  <c r="Z449" i="8" s="1"/>
  <c r="AB449" i="8" s="1"/>
  <c r="E430" i="15"/>
  <c r="U430" i="13"/>
  <c r="U258" i="13"/>
  <c r="E258" i="15"/>
  <c r="AA277" i="8"/>
  <c r="Z277" i="8" s="1"/>
  <c r="AB277" i="8" s="1"/>
  <c r="E536" i="15"/>
  <c r="U536" i="13"/>
  <c r="AA555" i="8"/>
  <c r="Z555" i="8" s="1"/>
  <c r="AB555" i="8" s="1"/>
  <c r="E205" i="15"/>
  <c r="AA224" i="8"/>
  <c r="Z224" i="8" s="1"/>
  <c r="AB224" i="8" s="1"/>
  <c r="U205" i="13"/>
  <c r="E111" i="15"/>
  <c r="AA130" i="8"/>
  <c r="Z130" i="8" s="1"/>
  <c r="AB130" i="8" s="1"/>
  <c r="U111" i="13"/>
  <c r="E244" i="15"/>
  <c r="U244" i="13"/>
  <c r="AA263" i="8"/>
  <c r="Z263" i="8" s="1"/>
  <c r="AB263" i="8" s="1"/>
  <c r="E468" i="15"/>
  <c r="U468" i="13"/>
  <c r="AA487" i="8"/>
  <c r="Z487" i="8" s="1"/>
  <c r="AB487" i="8" s="1"/>
  <c r="E507" i="15"/>
  <c r="AA526" i="8"/>
  <c r="Z526" i="8" s="1"/>
  <c r="AB526" i="8" s="1"/>
  <c r="U507" i="13"/>
  <c r="E593" i="15"/>
  <c r="AA612" i="8"/>
  <c r="Z612" i="8" s="1"/>
  <c r="AB612" i="8" s="1"/>
  <c r="U593" i="13"/>
  <c r="E313" i="15"/>
  <c r="AA332" i="8"/>
  <c r="Z332" i="8" s="1"/>
  <c r="AB332" i="8" s="1"/>
  <c r="U313" i="13"/>
  <c r="E170" i="15"/>
  <c r="U170" i="13"/>
  <c r="AA189" i="8"/>
  <c r="Z189" i="8" s="1"/>
  <c r="AB189" i="8" s="1"/>
  <c r="E435" i="15"/>
  <c r="U435" i="13"/>
  <c r="AA454" i="8"/>
  <c r="Z454" i="8" s="1"/>
  <c r="AB454" i="8" s="1"/>
  <c r="U69" i="13"/>
  <c r="E69" i="15"/>
  <c r="AA88" i="8"/>
  <c r="Z88" i="8" s="1"/>
  <c r="AB88" i="8" s="1"/>
  <c r="E534" i="15"/>
  <c r="U534" i="13"/>
  <c r="AA553" i="8"/>
  <c r="Z553" i="8" s="1"/>
  <c r="AB553" i="8" s="1"/>
  <c r="AA448" i="8"/>
  <c r="Z448" i="8" s="1"/>
  <c r="AB448" i="8" s="1"/>
  <c r="E429" i="15"/>
  <c r="U429" i="13"/>
  <c r="U361" i="13"/>
  <c r="AA380" i="8"/>
  <c r="Z380" i="8" s="1"/>
  <c r="AB380" i="8" s="1"/>
  <c r="E361" i="15"/>
  <c r="U502" i="13"/>
  <c r="E502" i="15"/>
  <c r="AA521" i="8"/>
  <c r="Z521" i="8" s="1"/>
  <c r="AB521" i="8" s="1"/>
  <c r="E196" i="15"/>
  <c r="U196" i="13"/>
  <c r="AA215" i="8"/>
  <c r="Z215" i="8" s="1"/>
  <c r="AB215" i="8" s="1"/>
  <c r="E446" i="15"/>
  <c r="U446" i="13"/>
  <c r="AA465" i="8"/>
  <c r="Z465" i="8" s="1"/>
  <c r="AB465" i="8" s="1"/>
  <c r="E574" i="15"/>
  <c r="U574" i="13"/>
  <c r="AA593" i="8"/>
  <c r="Z593" i="8" s="1"/>
  <c r="AB593" i="8" s="1"/>
  <c r="U411" i="13"/>
  <c r="E411" i="15"/>
  <c r="AA430" i="8"/>
  <c r="Z430" i="8" s="1"/>
  <c r="AB430" i="8" s="1"/>
  <c r="E545" i="15"/>
  <c r="AA564" i="8"/>
  <c r="Z564" i="8" s="1"/>
  <c r="AB564" i="8" s="1"/>
  <c r="U545" i="13"/>
  <c r="E77" i="15"/>
  <c r="U77" i="13"/>
  <c r="AA96" i="8"/>
  <c r="Z96" i="8" s="1"/>
  <c r="AB96" i="8" s="1"/>
  <c r="E60" i="15"/>
  <c r="AA79" i="8"/>
  <c r="Z79" i="8" s="1"/>
  <c r="AB79" i="8" s="1"/>
  <c r="U60" i="13"/>
  <c r="E216" i="15"/>
  <c r="U216" i="13"/>
  <c r="AA235" i="8"/>
  <c r="Z235" i="8" s="1"/>
  <c r="AB235" i="8" s="1"/>
  <c r="E365" i="15"/>
  <c r="U365" i="13"/>
  <c r="AA384" i="8"/>
  <c r="Z384" i="8" s="1"/>
  <c r="AB384" i="8" s="1"/>
  <c r="E57" i="15"/>
  <c r="U57" i="13"/>
  <c r="AA76" i="8"/>
  <c r="Z76" i="8" s="1"/>
  <c r="AB76" i="8" s="1"/>
  <c r="E462" i="15"/>
  <c r="AA481" i="8"/>
  <c r="Z481" i="8" s="1"/>
  <c r="AB481" i="8" s="1"/>
  <c r="U462" i="13"/>
  <c r="E73" i="15"/>
  <c r="U73" i="13"/>
  <c r="AA92" i="8"/>
  <c r="Z92" i="8" s="1"/>
  <c r="AB92" i="8" s="1"/>
  <c r="U478" i="13"/>
  <c r="AA497" i="8"/>
  <c r="Z497" i="8" s="1"/>
  <c r="AB497" i="8" s="1"/>
  <c r="E478" i="15"/>
  <c r="E576" i="15"/>
  <c r="AA595" i="8"/>
  <c r="Z595" i="8" s="1"/>
  <c r="AB595" i="8" s="1"/>
  <c r="U576" i="13"/>
  <c r="E283" i="15"/>
  <c r="U283" i="13"/>
  <c r="AA302" i="8"/>
  <c r="Z302" i="8" s="1"/>
  <c r="AB302" i="8" s="1"/>
  <c r="E524" i="15"/>
  <c r="AA543" i="8"/>
  <c r="Z543" i="8" s="1"/>
  <c r="AB543" i="8" s="1"/>
  <c r="U524" i="13"/>
  <c r="E133" i="15"/>
  <c r="U133" i="13"/>
  <c r="AA152" i="8"/>
  <c r="Z152" i="8" s="1"/>
  <c r="AB152" i="8" s="1"/>
  <c r="E589" i="15"/>
  <c r="AA608" i="8"/>
  <c r="Z608" i="8" s="1"/>
  <c r="AB608" i="8" s="1"/>
  <c r="U589" i="13"/>
  <c r="E157" i="15"/>
  <c r="U157" i="13"/>
  <c r="AA176" i="8"/>
  <c r="Z176" i="8" s="1"/>
  <c r="AB176" i="8" s="1"/>
  <c r="E533" i="15"/>
  <c r="AA552" i="8"/>
  <c r="Z552" i="8" s="1"/>
  <c r="AB552" i="8" s="1"/>
  <c r="U533" i="13"/>
  <c r="AA357" i="8"/>
  <c r="Z357" i="8" s="1"/>
  <c r="AB357" i="8" s="1"/>
  <c r="E338" i="15"/>
  <c r="U338" i="13"/>
  <c r="E194" i="15"/>
  <c r="U194" i="13"/>
  <c r="AA213" i="8"/>
  <c r="Z213" i="8" s="1"/>
  <c r="AB213" i="8" s="1"/>
  <c r="E182" i="15"/>
  <c r="U182" i="13"/>
  <c r="AA201" i="8"/>
  <c r="Z201" i="8" s="1"/>
  <c r="AB201" i="8" s="1"/>
  <c r="E224" i="15"/>
  <c r="AA243" i="8"/>
  <c r="Z243" i="8" s="1"/>
  <c r="AB243" i="8" s="1"/>
  <c r="U224" i="13"/>
  <c r="U147" i="13"/>
  <c r="E147" i="15"/>
  <c r="AA166" i="8"/>
  <c r="Z166" i="8" s="1"/>
  <c r="AB166" i="8" s="1"/>
  <c r="E333" i="15"/>
  <c r="U333" i="13"/>
  <c r="AA352" i="8"/>
  <c r="Z352" i="8" s="1"/>
  <c r="AB352" i="8" s="1"/>
  <c r="E527" i="15"/>
  <c r="AA546" i="8"/>
  <c r="Z546" i="8" s="1"/>
  <c r="AB546" i="8" s="1"/>
  <c r="U527" i="13"/>
  <c r="U475" i="13"/>
  <c r="AA494" i="8"/>
  <c r="Z494" i="8" s="1"/>
  <c r="AB494" i="8" s="1"/>
  <c r="E475" i="15"/>
  <c r="AA193" i="8"/>
  <c r="Z193" i="8" s="1"/>
  <c r="AB193" i="8" s="1"/>
  <c r="U174" i="13"/>
  <c r="E174" i="15"/>
  <c r="E252" i="15"/>
  <c r="U252" i="13"/>
  <c r="AA271" i="8"/>
  <c r="Z271" i="8" s="1"/>
  <c r="AB271" i="8" s="1"/>
  <c r="E401" i="15"/>
  <c r="U401" i="13"/>
  <c r="AA420" i="8"/>
  <c r="Z420" i="8" s="1"/>
  <c r="AB420" i="8" s="1"/>
  <c r="E442" i="15"/>
  <c r="AA461" i="8"/>
  <c r="Z461" i="8" s="1"/>
  <c r="AB461" i="8" s="1"/>
  <c r="U442" i="13"/>
  <c r="E406" i="15"/>
  <c r="AA425" i="8"/>
  <c r="Z425" i="8" s="1"/>
  <c r="AB425" i="8" s="1"/>
  <c r="U406" i="13"/>
  <c r="AA489" i="8"/>
  <c r="Z489" i="8" s="1"/>
  <c r="AB489" i="8" s="1"/>
  <c r="E470" i="15"/>
  <c r="U470" i="13"/>
  <c r="E41" i="15"/>
  <c r="U41" i="13"/>
  <c r="AA60" i="8"/>
  <c r="Z60" i="8" s="1"/>
  <c r="AB60" i="8" s="1"/>
  <c r="E105" i="15"/>
  <c r="AA124" i="8"/>
  <c r="Z124" i="8" s="1"/>
  <c r="AB124" i="8" s="1"/>
  <c r="U105" i="13"/>
  <c r="E374" i="15"/>
  <c r="AA393" i="8"/>
  <c r="Z393" i="8" s="1"/>
  <c r="AB393" i="8" s="1"/>
  <c r="U374" i="13"/>
  <c r="E514" i="15"/>
  <c r="AA533" i="8"/>
  <c r="Z533" i="8" s="1"/>
  <c r="AB533" i="8" s="1"/>
  <c r="U514" i="13"/>
  <c r="E318" i="15"/>
  <c r="U318" i="13"/>
  <c r="AA337" i="8"/>
  <c r="Z337" i="8" s="1"/>
  <c r="AB337" i="8" s="1"/>
  <c r="AA311" i="8"/>
  <c r="Z311" i="8" s="1"/>
  <c r="AB311" i="8" s="1"/>
  <c r="U292" i="13"/>
  <c r="E292" i="15"/>
  <c r="AA473" i="8"/>
  <c r="Z473" i="8" s="1"/>
  <c r="AB473" i="8" s="1"/>
  <c r="U454" i="13"/>
  <c r="E454" i="15"/>
  <c r="E203" i="15"/>
  <c r="AA222" i="8"/>
  <c r="Z222" i="8" s="1"/>
  <c r="AB222" i="8" s="1"/>
  <c r="U203" i="13"/>
  <c r="E26" i="15"/>
  <c r="U26" i="13"/>
  <c r="AA45" i="8"/>
  <c r="Z45" i="8" s="1"/>
  <c r="AB45" i="8" s="1"/>
  <c r="E487" i="15"/>
  <c r="U487" i="13"/>
  <c r="AA506" i="8"/>
  <c r="Z506" i="8" s="1"/>
  <c r="AB506" i="8" s="1"/>
  <c r="E99" i="15"/>
  <c r="AA118" i="8"/>
  <c r="Z118" i="8" s="1"/>
  <c r="AB118" i="8" s="1"/>
  <c r="U99" i="13"/>
  <c r="U11" i="13"/>
  <c r="AA30" i="8"/>
  <c r="Z30" i="8" s="1"/>
  <c r="AB30" i="8" s="1"/>
  <c r="E11" i="15"/>
  <c r="AA218" i="8"/>
  <c r="Z218" i="8" s="1"/>
  <c r="AB218" i="8" s="1"/>
  <c r="E199" i="15"/>
  <c r="U199" i="13"/>
  <c r="E331" i="15"/>
  <c r="AA350" i="8"/>
  <c r="Z350" i="8" s="1"/>
  <c r="AB350" i="8" s="1"/>
  <c r="U331" i="13"/>
  <c r="AA326" i="8"/>
  <c r="Z326" i="8" s="1"/>
  <c r="AB326" i="8" s="1"/>
  <c r="E307" i="15"/>
  <c r="U307" i="13"/>
  <c r="E120" i="15"/>
  <c r="U120" i="13"/>
  <c r="AA139" i="8"/>
  <c r="Z139" i="8" s="1"/>
  <c r="AB139" i="8" s="1"/>
  <c r="U230" i="13"/>
  <c r="E230" i="15"/>
  <c r="AA249" i="8"/>
  <c r="Z249" i="8" s="1"/>
  <c r="AB249" i="8" s="1"/>
  <c r="AA69" i="8"/>
  <c r="Z69" i="8" s="1"/>
  <c r="AB69" i="8" s="1"/>
  <c r="E50" i="15"/>
  <c r="U50" i="13"/>
  <c r="U150" i="13"/>
  <c r="E150" i="15"/>
  <c r="AA169" i="8"/>
  <c r="Z169" i="8" s="1"/>
  <c r="AB169" i="8" s="1"/>
  <c r="E347" i="15"/>
  <c r="AA366" i="8"/>
  <c r="Z366" i="8" s="1"/>
  <c r="AB366" i="8" s="1"/>
  <c r="U347" i="13"/>
  <c r="E321" i="15"/>
  <c r="AA340" i="8"/>
  <c r="Z340" i="8" s="1"/>
  <c r="AB340" i="8" s="1"/>
  <c r="U321" i="13"/>
  <c r="E45" i="15"/>
  <c r="U45" i="13"/>
  <c r="AA64" i="8"/>
  <c r="Z64" i="8" s="1"/>
  <c r="AB64" i="8" s="1"/>
  <c r="E141" i="15"/>
  <c r="U141" i="13"/>
  <c r="AA160" i="8"/>
  <c r="Z160" i="8" s="1"/>
  <c r="AB160" i="8" s="1"/>
  <c r="E58" i="15"/>
  <c r="AA77" i="8"/>
  <c r="Z77" i="8" s="1"/>
  <c r="AB77" i="8" s="1"/>
  <c r="U58" i="13"/>
  <c r="E146" i="15"/>
  <c r="U146" i="13"/>
  <c r="AA165" i="8"/>
  <c r="Z165" i="8" s="1"/>
  <c r="AB165" i="8" s="1"/>
  <c r="E310" i="15"/>
  <c r="U310" i="13"/>
  <c r="AA329" i="8"/>
  <c r="Z329" i="8" s="1"/>
  <c r="AB329" i="8" s="1"/>
  <c r="E448" i="15"/>
  <c r="U448" i="13"/>
  <c r="AA467" i="8"/>
  <c r="Z467" i="8" s="1"/>
  <c r="AB467" i="8" s="1"/>
  <c r="E169" i="15"/>
  <c r="AA188" i="8"/>
  <c r="Z188" i="8" s="1"/>
  <c r="AB188" i="8" s="1"/>
  <c r="U169" i="13"/>
  <c r="E309" i="15"/>
  <c r="U309" i="13"/>
  <c r="AA328" i="8"/>
  <c r="Z328" i="8" s="1"/>
  <c r="AB328" i="8" s="1"/>
  <c r="U291" i="13"/>
  <c r="AA310" i="8"/>
  <c r="Z310" i="8" s="1"/>
  <c r="AB310" i="8" s="1"/>
  <c r="E291" i="15"/>
  <c r="E500" i="15"/>
  <c r="U500" i="13"/>
  <c r="AA519" i="8"/>
  <c r="Z519" i="8" s="1"/>
  <c r="AB519" i="8" s="1"/>
  <c r="E379" i="15"/>
  <c r="U379" i="13"/>
  <c r="AA398" i="8"/>
  <c r="Z398" i="8" s="1"/>
  <c r="AB398" i="8" s="1"/>
  <c r="E219" i="15"/>
  <c r="U219" i="13"/>
  <c r="AA238" i="8"/>
  <c r="Z238" i="8" s="1"/>
  <c r="AB238" i="8" s="1"/>
  <c r="E237" i="15"/>
  <c r="AA256" i="8"/>
  <c r="Z256" i="8" s="1"/>
  <c r="AB256" i="8" s="1"/>
  <c r="U237" i="13"/>
  <c r="E513" i="15"/>
  <c r="U513" i="13"/>
  <c r="AA532" i="8"/>
  <c r="Z532" i="8" s="1"/>
  <c r="AB532" i="8" s="1"/>
  <c r="U428" i="13"/>
  <c r="E428" i="15"/>
  <c r="AA447" i="8"/>
  <c r="Z447" i="8" s="1"/>
  <c r="AB447" i="8" s="1"/>
  <c r="E495" i="15"/>
  <c r="U495" i="13"/>
  <c r="AA514" i="8"/>
  <c r="Z514" i="8" s="1"/>
  <c r="AB514" i="8" s="1"/>
  <c r="E483" i="15"/>
  <c r="U483" i="13"/>
  <c r="AA502" i="8"/>
  <c r="Z502" i="8" s="1"/>
  <c r="AB502" i="8" s="1"/>
  <c r="AA146" i="8"/>
  <c r="Z146" i="8" s="1"/>
  <c r="AB146" i="8" s="1"/>
  <c r="E127" i="15"/>
  <c r="U127" i="13"/>
  <c r="U554" i="13"/>
  <c r="E554" i="15"/>
  <c r="AA573" i="8"/>
  <c r="Z573" i="8" s="1"/>
  <c r="AB573" i="8" s="1"/>
  <c r="AA175" i="8"/>
  <c r="Z175" i="8" s="1"/>
  <c r="AB175" i="8" s="1"/>
  <c r="U156" i="13"/>
  <c r="E156" i="15"/>
  <c r="E242" i="15"/>
  <c r="AA261" i="8"/>
  <c r="Z261" i="8" s="1"/>
  <c r="AB261" i="8" s="1"/>
  <c r="U242" i="13"/>
  <c r="E474" i="15"/>
  <c r="U474" i="13"/>
  <c r="AA493" i="8"/>
  <c r="Z493" i="8" s="1"/>
  <c r="AB493" i="8" s="1"/>
  <c r="E262" i="15"/>
  <c r="U262" i="13"/>
  <c r="AA281" i="8"/>
  <c r="Z281" i="8" s="1"/>
  <c r="AB281" i="8" s="1"/>
  <c r="AA342" i="8"/>
  <c r="Z342" i="8" s="1"/>
  <c r="AB342" i="8" s="1"/>
  <c r="U323" i="13"/>
  <c r="E323" i="15"/>
  <c r="E183" i="15"/>
  <c r="AA202" i="8"/>
  <c r="Z202" i="8" s="1"/>
  <c r="AB202" i="8" s="1"/>
  <c r="U183" i="13"/>
  <c r="E299" i="15"/>
  <c r="AA318" i="8"/>
  <c r="Z318" i="8" s="1"/>
  <c r="AB318" i="8" s="1"/>
  <c r="U299" i="13"/>
  <c r="E523" i="15"/>
  <c r="AA542" i="8"/>
  <c r="Z542" i="8" s="1"/>
  <c r="AB542" i="8" s="1"/>
  <c r="U523" i="13"/>
  <c r="U88" i="13"/>
  <c r="AA107" i="8"/>
  <c r="Z107" i="8" s="1"/>
  <c r="AB107" i="8" s="1"/>
  <c r="E88" i="15"/>
  <c r="E126" i="15"/>
  <c r="AA145" i="8"/>
  <c r="Z145" i="8" s="1"/>
  <c r="AB145" i="8" s="1"/>
  <c r="U126" i="13"/>
  <c r="E581" i="15"/>
  <c r="U581" i="13"/>
  <c r="AA600" i="8"/>
  <c r="Z600" i="8" s="1"/>
  <c r="AB600" i="8" s="1"/>
  <c r="E23" i="15"/>
  <c r="U23" i="13"/>
  <c r="AA42" i="8"/>
  <c r="Z42" i="8" s="1"/>
  <c r="AB42" i="8" s="1"/>
  <c r="E506" i="15"/>
  <c r="AA525" i="8"/>
  <c r="Z525" i="8" s="1"/>
  <c r="AB525" i="8" s="1"/>
  <c r="U506" i="13"/>
  <c r="E305" i="15"/>
  <c r="AA324" i="8"/>
  <c r="Z324" i="8" s="1"/>
  <c r="AB324" i="8" s="1"/>
  <c r="U305" i="13"/>
  <c r="E336" i="15"/>
  <c r="U336" i="13"/>
  <c r="AA355" i="8"/>
  <c r="Z355" i="8" s="1"/>
  <c r="AB355" i="8" s="1"/>
  <c r="E117" i="15"/>
  <c r="U117" i="13"/>
  <c r="AA136" i="8"/>
  <c r="Z136" i="8" s="1"/>
  <c r="AB136" i="8" s="1"/>
  <c r="E96" i="15"/>
  <c r="AA115" i="8"/>
  <c r="Z115" i="8" s="1"/>
  <c r="AB115" i="8" s="1"/>
  <c r="U96" i="13"/>
  <c r="E301" i="15"/>
  <c r="AA320" i="8"/>
  <c r="Z320" i="8" s="1"/>
  <c r="AB320" i="8" s="1"/>
  <c r="U301" i="13"/>
  <c r="E433" i="15"/>
  <c r="AA452" i="8"/>
  <c r="Z452" i="8" s="1"/>
  <c r="AB452" i="8" s="1"/>
  <c r="U433" i="13"/>
  <c r="E547" i="15"/>
  <c r="AA566" i="8"/>
  <c r="Z566" i="8" s="1"/>
  <c r="AB566" i="8" s="1"/>
  <c r="U547" i="13"/>
  <c r="E341" i="15"/>
  <c r="AA360" i="8"/>
  <c r="Z360" i="8" s="1"/>
  <c r="AB360" i="8" s="1"/>
  <c r="U341" i="13"/>
  <c r="E544" i="15"/>
  <c r="U544" i="13"/>
  <c r="AA563" i="8"/>
  <c r="Z563" i="8" s="1"/>
  <c r="AB563" i="8" s="1"/>
  <c r="E382" i="15"/>
  <c r="U382" i="13"/>
  <c r="AA401" i="8"/>
  <c r="Z401" i="8" s="1"/>
  <c r="AB401" i="8" s="1"/>
  <c r="E185" i="15"/>
  <c r="U185" i="13"/>
  <c r="AA204" i="8"/>
  <c r="Z204" i="8" s="1"/>
  <c r="AB204" i="8" s="1"/>
  <c r="U344" i="13"/>
  <c r="E344" i="15"/>
  <c r="AA363" i="8"/>
  <c r="Z363" i="8" s="1"/>
  <c r="AB363" i="8" s="1"/>
  <c r="E10" i="15"/>
  <c r="U10" i="13"/>
  <c r="AA29" i="8"/>
  <c r="Z29" i="8" s="1"/>
  <c r="AB29" i="8" s="1"/>
  <c r="E348" i="15"/>
  <c r="U348" i="13"/>
  <c r="AA367" i="8"/>
  <c r="Z367" i="8" s="1"/>
  <c r="AB367" i="8" s="1"/>
  <c r="E471" i="15"/>
  <c r="U471" i="13"/>
  <c r="AA490" i="8"/>
  <c r="Z490" i="8" s="1"/>
  <c r="AB490" i="8" s="1"/>
  <c r="E320" i="15"/>
  <c r="AA339" i="8"/>
  <c r="Z339" i="8" s="1"/>
  <c r="AB339" i="8" s="1"/>
  <c r="U320" i="13"/>
  <c r="U81" i="13"/>
  <c r="AA100" i="8"/>
  <c r="Z100" i="8" s="1"/>
  <c r="AB100" i="8" s="1"/>
  <c r="E81" i="15"/>
  <c r="E246" i="15"/>
  <c r="AA265" i="8"/>
  <c r="Z265" i="8" s="1"/>
  <c r="AB265" i="8" s="1"/>
  <c r="U246" i="13"/>
  <c r="E418" i="15"/>
  <c r="U418" i="13"/>
  <c r="AA437" i="8"/>
  <c r="Z437" i="8" s="1"/>
  <c r="AB437" i="8" s="1"/>
  <c r="AA95" i="8"/>
  <c r="Z95" i="8" s="1"/>
  <c r="AB95" i="8" s="1"/>
  <c r="E76" i="15"/>
  <c r="U76" i="13"/>
  <c r="AA161" i="8"/>
  <c r="Z161" i="8" s="1"/>
  <c r="AB161" i="8" s="1"/>
  <c r="U142" i="13"/>
  <c r="E142" i="15"/>
  <c r="E273" i="15"/>
  <c r="AA292" i="8"/>
  <c r="Z292" i="8" s="1"/>
  <c r="AB292" i="8" s="1"/>
  <c r="U273" i="13"/>
  <c r="E53" i="15"/>
  <c r="U53" i="13"/>
  <c r="AA72" i="8"/>
  <c r="Z72" i="8" s="1"/>
  <c r="AB72" i="8" s="1"/>
  <c r="E137" i="15"/>
  <c r="AA156" i="8"/>
  <c r="Z156" i="8" s="1"/>
  <c r="AB156" i="8" s="1"/>
  <c r="U137" i="13"/>
  <c r="E268" i="15"/>
  <c r="U268" i="13"/>
  <c r="AA287" i="8"/>
  <c r="Z287" i="8" s="1"/>
  <c r="AB287" i="8" s="1"/>
  <c r="E75" i="15"/>
  <c r="U75" i="13"/>
  <c r="AA94" i="8"/>
  <c r="Z94" i="8" s="1"/>
  <c r="AB94" i="8" s="1"/>
  <c r="E494" i="15"/>
  <c r="U494" i="13"/>
  <c r="AA513" i="8"/>
  <c r="Z513" i="8" s="1"/>
  <c r="AB513" i="8" s="1"/>
  <c r="AA477" i="8"/>
  <c r="Z477" i="8" s="1"/>
  <c r="AB477" i="8" s="1"/>
  <c r="E458" i="15"/>
  <c r="U458" i="13"/>
  <c r="E531" i="15"/>
  <c r="AA550" i="8"/>
  <c r="Z550" i="8" s="1"/>
  <c r="AB550" i="8" s="1"/>
  <c r="U531" i="13"/>
  <c r="E376" i="15"/>
  <c r="U376" i="13"/>
  <c r="AA395" i="8"/>
  <c r="Z395" i="8" s="1"/>
  <c r="AB395" i="8" s="1"/>
  <c r="E122" i="15"/>
  <c r="U122" i="13"/>
  <c r="AA141" i="8"/>
  <c r="Z141" i="8" s="1"/>
  <c r="AB141" i="8" s="1"/>
  <c r="E296" i="15"/>
  <c r="U296" i="13"/>
  <c r="AA315" i="8"/>
  <c r="Z315" i="8" s="1"/>
  <c r="AB315" i="8" s="1"/>
  <c r="E229" i="15"/>
  <c r="U229" i="13"/>
  <c r="AA248" i="8"/>
  <c r="Z248" i="8" s="1"/>
  <c r="AB248" i="8" s="1"/>
  <c r="E515" i="15"/>
  <c r="AA534" i="8"/>
  <c r="Z534" i="8" s="1"/>
  <c r="AB534" i="8" s="1"/>
  <c r="U515" i="13"/>
  <c r="U36" i="13"/>
  <c r="AA55" i="8"/>
  <c r="Z55" i="8" s="1"/>
  <c r="AB55" i="8" s="1"/>
  <c r="E36" i="15"/>
  <c r="AA507" i="8"/>
  <c r="Z507" i="8" s="1"/>
  <c r="AB507" i="8" s="1"/>
  <c r="E488" i="15"/>
  <c r="U488" i="13"/>
  <c r="E447" i="15"/>
  <c r="AA466" i="8"/>
  <c r="Z466" i="8" s="1"/>
  <c r="AB466" i="8" s="1"/>
  <c r="U447" i="13"/>
  <c r="E256" i="15"/>
  <c r="U256" i="13"/>
  <c r="AA275" i="8"/>
  <c r="Z275" i="8" s="1"/>
  <c r="AB275" i="8" s="1"/>
  <c r="E226" i="15"/>
  <c r="U226" i="13"/>
  <c r="AA245" i="8"/>
  <c r="Z245" i="8" s="1"/>
  <c r="AB245" i="8" s="1"/>
  <c r="E114" i="15"/>
  <c r="AA133" i="8"/>
  <c r="Z133" i="8" s="1"/>
  <c r="AB133" i="8" s="1"/>
  <c r="U114" i="13"/>
  <c r="E580" i="15"/>
  <c r="AA599" i="8"/>
  <c r="Z599" i="8" s="1"/>
  <c r="AB599" i="8" s="1"/>
  <c r="U580" i="13"/>
  <c r="U367" i="13"/>
  <c r="E367" i="15"/>
  <c r="AA386" i="8"/>
  <c r="Z386" i="8" s="1"/>
  <c r="AB386" i="8" s="1"/>
  <c r="E263" i="15"/>
  <c r="U263" i="13"/>
  <c r="AA282" i="8"/>
  <c r="Z282" i="8" s="1"/>
  <c r="AB282" i="8" s="1"/>
  <c r="E596" i="15"/>
  <c r="U596" i="13"/>
  <c r="AA615" i="8"/>
  <c r="Z615" i="8" s="1"/>
  <c r="AB615" i="8" s="1"/>
  <c r="E143" i="15"/>
  <c r="AA162" i="8"/>
  <c r="Z162" i="8" s="1"/>
  <c r="AB162" i="8" s="1"/>
  <c r="U143" i="13"/>
  <c r="U177" i="13"/>
  <c r="E177" i="15"/>
  <c r="AA196" i="8"/>
  <c r="Z196" i="8" s="1"/>
  <c r="AB196" i="8" s="1"/>
  <c r="AA621" i="8"/>
  <c r="Z621" i="8" s="1"/>
  <c r="AB621" i="8" s="1"/>
  <c r="E602" i="15"/>
  <c r="U602" i="13"/>
  <c r="E267" i="15"/>
  <c r="U267" i="13"/>
  <c r="AA286" i="8"/>
  <c r="Z286" i="8" s="1"/>
  <c r="AB286" i="8" s="1"/>
  <c r="AA317" i="8"/>
  <c r="Z317" i="8" s="1"/>
  <c r="AB317" i="8" s="1"/>
  <c r="E298" i="15"/>
  <c r="U298" i="13"/>
  <c r="AA433" i="8"/>
  <c r="Z433" i="8" s="1"/>
  <c r="AB433" i="8" s="1"/>
  <c r="E414" i="15"/>
  <c r="U414" i="13"/>
  <c r="E295" i="15"/>
  <c r="AA314" i="8"/>
  <c r="Z314" i="8" s="1"/>
  <c r="AB314" i="8" s="1"/>
  <c r="U295" i="13"/>
  <c r="E66" i="15"/>
  <c r="U66" i="13"/>
  <c r="AA85" i="8"/>
  <c r="Z85" i="8" s="1"/>
  <c r="AB85" i="8" s="1"/>
  <c r="AA168" i="8"/>
  <c r="Z168" i="8" s="1"/>
  <c r="AB168" i="8" s="1"/>
  <c r="E149" i="15"/>
  <c r="U149" i="13"/>
  <c r="E339" i="15"/>
  <c r="U339" i="13"/>
  <c r="AA358" i="8"/>
  <c r="Z358" i="8" s="1"/>
  <c r="AB358" i="8" s="1"/>
  <c r="E290" i="15"/>
  <c r="U290" i="13"/>
  <c r="AA309" i="8"/>
  <c r="Z309" i="8" s="1"/>
  <c r="AB309" i="8" s="1"/>
  <c r="F11" i="9"/>
  <c r="F9" i="9"/>
  <c r="F10" i="9"/>
  <c r="E13" i="2" s="1"/>
  <c r="E192" i="15"/>
  <c r="AA211" i="8"/>
  <c r="Z211" i="8" s="1"/>
  <c r="AB211" i="8" s="1"/>
  <c r="U192" i="13"/>
  <c r="E583" i="15"/>
  <c r="AA602" i="8"/>
  <c r="Z602" i="8" s="1"/>
  <c r="AB602" i="8" s="1"/>
  <c r="U583" i="13"/>
  <c r="U87" i="13"/>
  <c r="AA106" i="8"/>
  <c r="Z106" i="8" s="1"/>
  <c r="AB106" i="8" s="1"/>
  <c r="E87" i="15"/>
  <c r="U140" i="13"/>
  <c r="AA159" i="8"/>
  <c r="Z159" i="8" s="1"/>
  <c r="AB159" i="8" s="1"/>
  <c r="E140" i="15"/>
  <c r="E272" i="15"/>
  <c r="U272" i="13"/>
  <c r="AA291" i="8"/>
  <c r="Z291" i="8" s="1"/>
  <c r="AB291" i="8" s="1"/>
  <c r="E456" i="15"/>
  <c r="U456" i="13"/>
  <c r="AA475" i="8"/>
  <c r="Z475" i="8" s="1"/>
  <c r="AB475" i="8" s="1"/>
  <c r="E334" i="15"/>
  <c r="AA353" i="8"/>
  <c r="Z353" i="8" s="1"/>
  <c r="AB353" i="8" s="1"/>
  <c r="U334" i="13"/>
  <c r="E464" i="15"/>
  <c r="AA483" i="8"/>
  <c r="Z483" i="8" s="1"/>
  <c r="AB483" i="8" s="1"/>
  <c r="U464" i="13"/>
  <c r="E129" i="15"/>
  <c r="AA148" i="8"/>
  <c r="Z148" i="8" s="1"/>
  <c r="AB148" i="8" s="1"/>
  <c r="U129" i="13"/>
  <c r="U37" i="13"/>
  <c r="AA56" i="8"/>
  <c r="Z56" i="8" s="1"/>
  <c r="AB56" i="8" s="1"/>
  <c r="E37" i="15"/>
  <c r="E130" i="15"/>
  <c r="AA149" i="8"/>
  <c r="Z149" i="8" s="1"/>
  <c r="AB149" i="8" s="1"/>
  <c r="U130" i="13"/>
  <c r="U520" i="13"/>
  <c r="AA539" i="8"/>
  <c r="Z539" i="8" s="1"/>
  <c r="AB539" i="8" s="1"/>
  <c r="E520" i="15"/>
  <c r="U74" i="13"/>
  <c r="AA93" i="8"/>
  <c r="Z93" i="8" s="1"/>
  <c r="AB93" i="8" s="1"/>
  <c r="E74" i="15"/>
  <c r="AA172" i="8"/>
  <c r="Z172" i="8" s="1"/>
  <c r="AB172" i="8" s="1"/>
  <c r="U153" i="13"/>
  <c r="E153" i="15"/>
  <c r="E243" i="15"/>
  <c r="U243" i="13"/>
  <c r="AA262" i="8"/>
  <c r="Z262" i="8" s="1"/>
  <c r="AB262" i="8" s="1"/>
  <c r="E82" i="15"/>
  <c r="AA101" i="8"/>
  <c r="Z101" i="8" s="1"/>
  <c r="AB101" i="8" s="1"/>
  <c r="U82" i="13"/>
  <c r="AA111" i="8"/>
  <c r="Z111" i="8" s="1"/>
  <c r="AB111" i="8" s="1"/>
  <c r="E92" i="15"/>
  <c r="U92" i="13"/>
  <c r="AA208" i="8"/>
  <c r="Z208" i="8" s="1"/>
  <c r="AB208" i="8" s="1"/>
  <c r="E189" i="15"/>
  <c r="U189" i="13"/>
  <c r="E540" i="15"/>
  <c r="AA559" i="8"/>
  <c r="Z559" i="8" s="1"/>
  <c r="AB559" i="8" s="1"/>
  <c r="U540" i="13"/>
  <c r="E64" i="15"/>
  <c r="U64" i="13"/>
  <c r="AA83" i="8"/>
  <c r="Z83" i="8" s="1"/>
  <c r="AB83" i="8" s="1"/>
  <c r="U606" i="13"/>
  <c r="E606" i="15"/>
  <c r="AA625" i="8"/>
  <c r="Z625" i="8" s="1"/>
  <c r="AB625" i="8" s="1"/>
  <c r="E436" i="15"/>
  <c r="AA455" i="8"/>
  <c r="Z455" i="8" s="1"/>
  <c r="AB455" i="8" s="1"/>
  <c r="U436" i="13"/>
  <c r="U145" i="13"/>
  <c r="AA164" i="8"/>
  <c r="Z164" i="8" s="1"/>
  <c r="AB164" i="8" s="1"/>
  <c r="E145" i="15"/>
  <c r="E200" i="15"/>
  <c r="U200" i="13"/>
  <c r="AA219" i="8"/>
  <c r="Z219" i="8" s="1"/>
  <c r="AB219" i="8" s="1"/>
  <c r="E368" i="15"/>
  <c r="AA387" i="8"/>
  <c r="Z387" i="8" s="1"/>
  <c r="AB387" i="8" s="1"/>
  <c r="U368" i="13"/>
  <c r="U213" i="13"/>
  <c r="E213" i="15"/>
  <c r="AA232" i="8"/>
  <c r="Z232" i="8" s="1"/>
  <c r="AB232" i="8" s="1"/>
  <c r="E469" i="15"/>
  <c r="AA488" i="8"/>
  <c r="Z488" i="8" s="1"/>
  <c r="AB488" i="8" s="1"/>
  <c r="U469" i="13"/>
  <c r="AA558" i="8"/>
  <c r="Z558" i="8" s="1"/>
  <c r="AB558" i="8" s="1"/>
  <c r="U539" i="13"/>
  <c r="E539" i="15"/>
  <c r="E332" i="15"/>
  <c r="AA351" i="8"/>
  <c r="Z351" i="8" s="1"/>
  <c r="AB351" i="8" s="1"/>
  <c r="U332" i="13"/>
  <c r="E259" i="15"/>
  <c r="AA278" i="8"/>
  <c r="Z278" i="8" s="1"/>
  <c r="AB278" i="8" s="1"/>
  <c r="U259" i="13"/>
  <c r="U479" i="13"/>
  <c r="AA498" i="8"/>
  <c r="Z498" i="8" s="1"/>
  <c r="AB498" i="8" s="1"/>
  <c r="E479" i="15"/>
  <c r="E84" i="15"/>
  <c r="U84" i="13"/>
  <c r="AA103" i="8"/>
  <c r="Z103" i="8" s="1"/>
  <c r="AB103" i="8" s="1"/>
  <c r="E345" i="15"/>
  <c r="AA364" i="8"/>
  <c r="Z364" i="8" s="1"/>
  <c r="AB364" i="8" s="1"/>
  <c r="U345" i="13"/>
  <c r="E509" i="15"/>
  <c r="U509" i="13"/>
  <c r="AA528" i="8"/>
  <c r="Z528" i="8" s="1"/>
  <c r="AB528" i="8" s="1"/>
  <c r="E144" i="15"/>
  <c r="U144" i="13"/>
  <c r="AA163" i="8"/>
  <c r="Z163" i="8" s="1"/>
  <c r="AB163" i="8" s="1"/>
  <c r="E275" i="15"/>
  <c r="U275" i="13"/>
  <c r="AA294" i="8"/>
  <c r="Z294" i="8" s="1"/>
  <c r="AB294" i="8" s="1"/>
  <c r="AA394" i="8"/>
  <c r="Z394" i="8" s="1"/>
  <c r="AB394" i="8" s="1"/>
  <c r="E375" i="15"/>
  <c r="U375" i="13"/>
  <c r="U530" i="13"/>
  <c r="AA549" i="8"/>
  <c r="Z549" i="8" s="1"/>
  <c r="AB549" i="8" s="1"/>
  <c r="E530" i="15"/>
  <c r="E600" i="15"/>
  <c r="AA619" i="8"/>
  <c r="Z619" i="8" s="1"/>
  <c r="AB619" i="8" s="1"/>
  <c r="U600" i="13"/>
  <c r="E40" i="15"/>
  <c r="AA59" i="8"/>
  <c r="Z59" i="8" s="1"/>
  <c r="AB59" i="8" s="1"/>
  <c r="U40" i="13"/>
  <c r="E408" i="15"/>
  <c r="AA427" i="8"/>
  <c r="Z427" i="8" s="1"/>
  <c r="AB427" i="8" s="1"/>
  <c r="U408" i="13"/>
  <c r="E279" i="15"/>
  <c r="U279" i="13"/>
  <c r="AA298" i="8"/>
  <c r="Z298" i="8" s="1"/>
  <c r="AB298" i="8" s="1"/>
  <c r="E100" i="15"/>
  <c r="U100" i="13"/>
  <c r="AA119" i="8"/>
  <c r="Z119" i="8" s="1"/>
  <c r="AB119" i="8" s="1"/>
  <c r="E482" i="15"/>
  <c r="U482" i="13"/>
  <c r="AA501" i="8"/>
  <c r="Z501" i="8" s="1"/>
  <c r="AB501" i="8" s="1"/>
  <c r="E119" i="15"/>
  <c r="AA138" i="8"/>
  <c r="Z138" i="8" s="1"/>
  <c r="AB138" i="8" s="1"/>
  <c r="U119" i="13"/>
  <c r="E245" i="15"/>
  <c r="AA264" i="8"/>
  <c r="Z264" i="8" s="1"/>
  <c r="AB264" i="8" s="1"/>
  <c r="U245" i="13"/>
  <c r="E485" i="15"/>
  <c r="U485" i="13"/>
  <c r="AA504" i="8"/>
  <c r="Z504" i="8" s="1"/>
  <c r="AB504" i="8" s="1"/>
  <c r="U270" i="13"/>
  <c r="E270" i="15"/>
  <c r="AA289" i="8"/>
  <c r="Z289" i="8" s="1"/>
  <c r="AB289" i="8" s="1"/>
  <c r="U228" i="13"/>
  <c r="E228" i="15"/>
  <c r="AA247" i="8"/>
  <c r="Z247" i="8" s="1"/>
  <c r="AB247" i="8" s="1"/>
  <c r="AA246" i="8"/>
  <c r="Z246" i="8" s="1"/>
  <c r="AB246" i="8" s="1"/>
  <c r="E227" i="15"/>
  <c r="U227" i="13"/>
  <c r="E46" i="15"/>
  <c r="U46" i="13"/>
  <c r="AA65" i="8"/>
  <c r="Z65" i="8" s="1"/>
  <c r="AB65" i="8" s="1"/>
  <c r="E223" i="15"/>
  <c r="AA242" i="8"/>
  <c r="Z242" i="8" s="1"/>
  <c r="AB242" i="8" s="1"/>
  <c r="U223" i="13"/>
  <c r="U566" i="13"/>
  <c r="AA585" i="8"/>
  <c r="Z585" i="8" s="1"/>
  <c r="AB585" i="8" s="1"/>
  <c r="E566" i="15"/>
  <c r="AA562" i="8"/>
  <c r="Z562" i="8" s="1"/>
  <c r="AB562" i="8" s="1"/>
  <c r="E543" i="15"/>
  <c r="U543" i="13"/>
  <c r="E98" i="15"/>
  <c r="AA117" i="8"/>
  <c r="Z117" i="8" s="1"/>
  <c r="AB117" i="8" s="1"/>
  <c r="U98" i="13"/>
  <c r="E293" i="15"/>
  <c r="U293" i="13"/>
  <c r="AA312" i="8"/>
  <c r="Z312" i="8" s="1"/>
  <c r="AB312" i="8" s="1"/>
  <c r="E410" i="15"/>
  <c r="U410" i="13"/>
  <c r="AA429" i="8"/>
  <c r="Z429" i="8" s="1"/>
  <c r="AB429" i="8" s="1"/>
  <c r="E152" i="15"/>
  <c r="U152" i="13"/>
  <c r="AA171" i="8"/>
  <c r="Z171" i="8" s="1"/>
  <c r="AB171" i="8" s="1"/>
  <c r="AA250" i="8"/>
  <c r="Z250" i="8" s="1"/>
  <c r="AB250" i="8" s="1"/>
  <c r="U231" i="13"/>
  <c r="E231" i="15"/>
  <c r="AA544" i="8"/>
  <c r="Z544" i="8" s="1"/>
  <c r="AB544" i="8" s="1"/>
  <c r="U525" i="13"/>
  <c r="E525" i="15"/>
  <c r="U197" i="13"/>
  <c r="E197" i="15"/>
  <c r="AA216" i="8"/>
  <c r="Z216" i="8" s="1"/>
  <c r="AB216" i="8" s="1"/>
  <c r="E42" i="15"/>
  <c r="U42" i="13"/>
  <c r="AA61" i="8"/>
  <c r="Z61" i="8" s="1"/>
  <c r="AB61" i="8" s="1"/>
  <c r="E434" i="15"/>
  <c r="U434" i="13"/>
  <c r="AA453" i="8"/>
  <c r="Z453" i="8" s="1"/>
  <c r="AB453" i="8" s="1"/>
  <c r="AA36" i="8"/>
  <c r="Z36" i="8" s="1"/>
  <c r="AB36" i="8" s="1"/>
  <c r="E17" i="15"/>
  <c r="U17" i="13"/>
  <c r="AA43" i="8"/>
  <c r="Z43" i="8" s="1"/>
  <c r="AB43" i="8" s="1"/>
  <c r="U24" i="13"/>
  <c r="E24" i="15"/>
  <c r="AA491" i="8"/>
  <c r="Z491" i="8" s="1"/>
  <c r="AB491" i="8" s="1"/>
  <c r="E472" i="15"/>
  <c r="U472" i="13"/>
  <c r="AA372" i="8"/>
  <c r="Z372" i="8" s="1"/>
  <c r="AB372" i="8" s="1"/>
  <c r="E353" i="15"/>
  <c r="U353" i="13"/>
  <c r="AA362" i="8"/>
  <c r="Z362" i="8" s="1"/>
  <c r="AB362" i="8" s="1"/>
  <c r="E343" i="15"/>
  <c r="U343" i="13"/>
  <c r="AA259" i="8"/>
  <c r="Z259" i="8" s="1"/>
  <c r="AB259" i="8" s="1"/>
  <c r="E240" i="15"/>
  <c r="U240" i="13"/>
  <c r="E21" i="15"/>
  <c r="AA40" i="8"/>
  <c r="Z40" i="8" s="1"/>
  <c r="AB40" i="8" s="1"/>
  <c r="U21" i="13"/>
  <c r="E136" i="15"/>
  <c r="AA155" i="8"/>
  <c r="Z155" i="8" s="1"/>
  <c r="AB155" i="8" s="1"/>
  <c r="U136" i="13"/>
  <c r="E212" i="15"/>
  <c r="AA231" i="8"/>
  <c r="Z231" i="8" s="1"/>
  <c r="AB231" i="8" s="1"/>
  <c r="U212" i="13"/>
  <c r="AA479" i="8"/>
  <c r="Z479" i="8" s="1"/>
  <c r="AB479" i="8" s="1"/>
  <c r="E460" i="15"/>
  <c r="U460" i="13"/>
  <c r="E584" i="15"/>
  <c r="AA603" i="8"/>
  <c r="Z603" i="8" s="1"/>
  <c r="AB603" i="8" s="1"/>
  <c r="U584" i="13"/>
  <c r="AA431" i="8"/>
  <c r="Z431" i="8" s="1"/>
  <c r="AB431" i="8" s="1"/>
  <c r="U412" i="13"/>
  <c r="E412" i="15"/>
  <c r="E134" i="15"/>
  <c r="AA153" i="8"/>
  <c r="Z153" i="8" s="1"/>
  <c r="AB153" i="8" s="1"/>
  <c r="U134" i="13"/>
  <c r="E385" i="15"/>
  <c r="AA404" i="8"/>
  <c r="Z404" i="8" s="1"/>
  <c r="AB404" i="8" s="1"/>
  <c r="U385" i="13"/>
  <c r="E473" i="15"/>
  <c r="U473" i="13"/>
  <c r="AA492" i="8"/>
  <c r="Z492" i="8" s="1"/>
  <c r="AB492" i="8" s="1"/>
  <c r="E16" i="15"/>
  <c r="AA35" i="8"/>
  <c r="Z35" i="8" s="1"/>
  <c r="AB35" i="8" s="1"/>
  <c r="U16" i="13"/>
  <c r="U329" i="13"/>
  <c r="E329" i="15"/>
  <c r="AA348" i="8"/>
  <c r="Z348" i="8" s="1"/>
  <c r="AB348" i="8" s="1"/>
  <c r="E560" i="15"/>
  <c r="AA579" i="8"/>
  <c r="Z579" i="8" s="1"/>
  <c r="AB579" i="8" s="1"/>
  <c r="U560" i="13"/>
  <c r="E234" i="15"/>
  <c r="AA253" i="8"/>
  <c r="Z253" i="8" s="1"/>
  <c r="AB253" i="8" s="1"/>
  <c r="U234" i="13"/>
  <c r="U427" i="13"/>
  <c r="E427" i="15"/>
  <c r="AA446" i="8"/>
  <c r="Z446" i="8" s="1"/>
  <c r="AB446" i="8" s="1"/>
  <c r="E395" i="15"/>
  <c r="U395" i="13"/>
  <c r="AA414" i="8"/>
  <c r="Z414" i="8" s="1"/>
  <c r="AB414" i="8" s="1"/>
  <c r="E390" i="15"/>
  <c r="U390" i="13"/>
  <c r="AA409" i="8"/>
  <c r="Z409" i="8" s="1"/>
  <c r="AB409" i="8" s="1"/>
  <c r="E288" i="15"/>
  <c r="AA307" i="8"/>
  <c r="Z307" i="8" s="1"/>
  <c r="AB307" i="8" s="1"/>
  <c r="U288" i="13"/>
  <c r="E215" i="15"/>
  <c r="AA234" i="8"/>
  <c r="Z234" i="8" s="1"/>
  <c r="AB234" i="8" s="1"/>
  <c r="U215" i="13"/>
  <c r="E373" i="15"/>
  <c r="AA392" i="8"/>
  <c r="Z392" i="8" s="1"/>
  <c r="AB392" i="8" s="1"/>
  <c r="U373" i="13"/>
  <c r="E210" i="15"/>
  <c r="U210" i="13"/>
  <c r="AA229" i="8"/>
  <c r="Z229" i="8" s="1"/>
  <c r="AB229" i="8" s="1"/>
  <c r="E8" i="15"/>
  <c r="AA27" i="8"/>
  <c r="Z27" i="8" s="1"/>
  <c r="AB27" i="8" s="1"/>
  <c r="U8" i="13"/>
  <c r="E190" i="15"/>
  <c r="AA209" i="8"/>
  <c r="Z209" i="8" s="1"/>
  <c r="AB209" i="8" s="1"/>
  <c r="U190" i="13"/>
  <c r="E337" i="15"/>
  <c r="AA356" i="8"/>
  <c r="Z356" i="8" s="1"/>
  <c r="AB356" i="8" s="1"/>
  <c r="U337" i="13"/>
  <c r="E391" i="15"/>
  <c r="U391" i="13"/>
  <c r="AA410" i="8"/>
  <c r="Z410" i="8" s="1"/>
  <c r="AB410" i="8" s="1"/>
  <c r="U102" i="13"/>
  <c r="AA121" i="8"/>
  <c r="Z121" i="8" s="1"/>
  <c r="AB121" i="8" s="1"/>
  <c r="E102" i="15"/>
  <c r="U587" i="13"/>
  <c r="AA606" i="8"/>
  <c r="Z606" i="8" s="1"/>
  <c r="AB606" i="8" s="1"/>
  <c r="E587" i="15"/>
  <c r="E260" i="15"/>
  <c r="U260" i="13"/>
  <c r="AA279" i="8"/>
  <c r="Z279" i="8" s="1"/>
  <c r="AB279" i="8" s="1"/>
  <c r="E109" i="15"/>
  <c r="AA128" i="8"/>
  <c r="Z128" i="8" s="1"/>
  <c r="AB128" i="8" s="1"/>
  <c r="U109" i="13"/>
  <c r="U297" i="13"/>
  <c r="AA316" i="8"/>
  <c r="Z316" i="8" s="1"/>
  <c r="AB316" i="8" s="1"/>
  <c r="E297" i="15"/>
  <c r="E38" i="15"/>
  <c r="AA57" i="8"/>
  <c r="Z57" i="8" s="1"/>
  <c r="AB57" i="8" s="1"/>
  <c r="U38" i="13"/>
  <c r="E207" i="15"/>
  <c r="U207" i="13"/>
  <c r="AA226" i="8"/>
  <c r="Z226" i="8" s="1"/>
  <c r="AB226" i="8" s="1"/>
  <c r="E25" i="15"/>
  <c r="U25" i="13"/>
  <c r="AA44" i="8"/>
  <c r="Z44" i="8" s="1"/>
  <c r="AB44" i="8" s="1"/>
  <c r="E441" i="15"/>
  <c r="AA460" i="8"/>
  <c r="Z460" i="8" s="1"/>
  <c r="AB460" i="8" s="1"/>
  <c r="U441" i="13"/>
  <c r="E550" i="15"/>
  <c r="U550" i="13"/>
  <c r="AA569" i="8"/>
  <c r="Z569" i="8" s="1"/>
  <c r="AB569" i="8" s="1"/>
  <c r="U187" i="13"/>
  <c r="AA206" i="8"/>
  <c r="Z206" i="8" s="1"/>
  <c r="AB206" i="8" s="1"/>
  <c r="E187" i="15"/>
  <c r="E505" i="15"/>
  <c r="U505" i="13"/>
  <c r="AA524" i="8"/>
  <c r="Z524" i="8" s="1"/>
  <c r="AB524" i="8" s="1"/>
  <c r="E19" i="15"/>
  <c r="U19" i="13"/>
  <c r="AA38" i="8"/>
  <c r="Z38" i="8" s="1"/>
  <c r="AB38" i="8" s="1"/>
  <c r="AA591" i="8"/>
  <c r="Z591" i="8" s="1"/>
  <c r="AB591" i="8" s="1"/>
  <c r="E572" i="15"/>
  <c r="U572" i="13"/>
  <c r="E236" i="15"/>
  <c r="U236" i="13"/>
  <c r="AA255" i="8"/>
  <c r="Z255" i="8" s="1"/>
  <c r="AB255" i="8" s="1"/>
  <c r="U455" i="13"/>
  <c r="AA474" i="8"/>
  <c r="Z474" i="8" s="1"/>
  <c r="AB474" i="8" s="1"/>
  <c r="E455" i="15"/>
  <c r="U34" i="13"/>
  <c r="AA53" i="8"/>
  <c r="Z53" i="8" s="1"/>
  <c r="AB53" i="8" s="1"/>
  <c r="E34" i="15"/>
  <c r="E378" i="15"/>
  <c r="AA397" i="8"/>
  <c r="Z397" i="8" s="1"/>
  <c r="AB397" i="8" s="1"/>
  <c r="U378" i="13"/>
  <c r="AA484" i="8"/>
  <c r="Z484" i="8" s="1"/>
  <c r="AB484" i="8" s="1"/>
  <c r="U465" i="13"/>
  <c r="E465" i="15"/>
  <c r="AA120" i="8"/>
  <c r="Z120" i="8" s="1"/>
  <c r="AB120" i="8" s="1"/>
  <c r="U101" i="13"/>
  <c r="E101" i="15"/>
  <c r="U78" i="13"/>
  <c r="AA97" i="8"/>
  <c r="Z97" i="8" s="1"/>
  <c r="AB97" i="8" s="1"/>
  <c r="E78" i="15"/>
  <c r="E421" i="15"/>
  <c r="AA440" i="8"/>
  <c r="Z440" i="8" s="1"/>
  <c r="AB440" i="8" s="1"/>
  <c r="U421" i="13"/>
  <c r="E125" i="15"/>
  <c r="U125" i="13"/>
  <c r="AA144" i="8"/>
  <c r="Z144" i="8" s="1"/>
  <c r="AB144" i="8" s="1"/>
  <c r="E528" i="15"/>
  <c r="U528" i="13"/>
  <c r="AA547" i="8"/>
  <c r="Z547" i="8" s="1"/>
  <c r="AB547" i="8" s="1"/>
  <c r="E79" i="15"/>
  <c r="U79" i="13"/>
  <c r="AA98" i="8"/>
  <c r="Z98" i="8" s="1"/>
  <c r="AB98" i="8" s="1"/>
  <c r="E405" i="15"/>
  <c r="U405" i="13"/>
  <c r="AA424" i="8"/>
  <c r="Z424" i="8" s="1"/>
  <c r="AB424" i="8" s="1"/>
  <c r="E89" i="15"/>
  <c r="AA108" i="8"/>
  <c r="Z108" i="8" s="1"/>
  <c r="AB108" i="8" s="1"/>
  <c r="U89" i="13"/>
  <c r="U424" i="13"/>
  <c r="E424" i="15"/>
  <c r="AA443" i="8"/>
  <c r="Z443" i="8" s="1"/>
  <c r="AB443" i="8" s="1"/>
  <c r="E171" i="15"/>
  <c r="AA190" i="8"/>
  <c r="Z190" i="8" s="1"/>
  <c r="AB190" i="8" s="1"/>
  <c r="U171" i="13"/>
  <c r="E452" i="15"/>
  <c r="U452" i="13"/>
  <c r="AA471" i="8"/>
  <c r="Z471" i="8" s="1"/>
  <c r="AB471" i="8" s="1"/>
  <c r="AA182" i="8"/>
  <c r="Z182" i="8" s="1"/>
  <c r="AB182" i="8" s="1"/>
  <c r="E163" i="15"/>
  <c r="U163" i="13"/>
  <c r="E18" i="15"/>
  <c r="AA37" i="8"/>
  <c r="Z37" i="8" s="1"/>
  <c r="AB37" i="8" s="1"/>
  <c r="U18" i="13"/>
  <c r="E551" i="15"/>
  <c r="U551" i="13"/>
  <c r="AA570" i="8"/>
  <c r="Z570" i="8" s="1"/>
  <c r="AB570" i="8" s="1"/>
  <c r="E516" i="15"/>
  <c r="U516" i="13"/>
  <c r="AA535" i="8"/>
  <c r="Z535" i="8" s="1"/>
  <c r="AB535" i="8" s="1"/>
  <c r="AA269" i="8"/>
  <c r="Z269" i="8" s="1"/>
  <c r="AB269" i="8" s="1"/>
  <c r="U250" i="13"/>
  <c r="E250" i="15"/>
  <c r="U48" i="13"/>
  <c r="AA67" i="8"/>
  <c r="Z67" i="8" s="1"/>
  <c r="AB67" i="8" s="1"/>
  <c r="E48" i="15"/>
  <c r="AA228" i="8"/>
  <c r="Z228" i="8" s="1"/>
  <c r="AB228" i="8" s="1"/>
  <c r="U209" i="13"/>
  <c r="E209" i="15"/>
  <c r="E35" i="15"/>
  <c r="AA54" i="8"/>
  <c r="Z54" i="8" s="1"/>
  <c r="AB54" i="8" s="1"/>
  <c r="U35" i="13"/>
  <c r="E311" i="15"/>
  <c r="U311" i="13"/>
  <c r="AA330" i="8"/>
  <c r="Z330" i="8" s="1"/>
  <c r="AB330" i="8" s="1"/>
  <c r="E51" i="15"/>
  <c r="U51" i="13"/>
  <c r="AA70" i="8"/>
  <c r="Z70" i="8" s="1"/>
  <c r="AB70" i="8" s="1"/>
  <c r="E564" i="15"/>
  <c r="AA583" i="8"/>
  <c r="Z583" i="8" s="1"/>
  <c r="AB583" i="8" s="1"/>
  <c r="U564" i="13"/>
  <c r="E604" i="15"/>
  <c r="AA623" i="8"/>
  <c r="Z623" i="8" s="1"/>
  <c r="AB623" i="8" s="1"/>
  <c r="U604" i="13"/>
  <c r="E322" i="15"/>
  <c r="AA341" i="8"/>
  <c r="Z341" i="8" s="1"/>
  <c r="AB341" i="8" s="1"/>
  <c r="U322" i="13"/>
  <c r="E32" i="15"/>
  <c r="U32" i="13"/>
  <c r="AA51" i="8"/>
  <c r="Z51" i="8" s="1"/>
  <c r="AB51" i="8" s="1"/>
  <c r="K8" i="17"/>
  <c r="E8" i="17"/>
  <c r="H8" i="17"/>
  <c r="D15" i="2"/>
  <c r="E46" i="2"/>
  <c r="L8" i="17" l="1"/>
  <c r="K11" i="17"/>
  <c r="K14" i="17"/>
  <c r="K12" i="17"/>
  <c r="K9" i="17"/>
  <c r="K10" i="17"/>
  <c r="K13" i="17"/>
  <c r="D34" i="2"/>
  <c r="I15" i="2"/>
  <c r="E14" i="2"/>
  <c r="G11" i="9"/>
  <c r="H11" i="9" s="1"/>
  <c r="E27" i="2" s="1"/>
  <c r="I8" i="17"/>
  <c r="H15" i="17"/>
  <c r="F8" i="17"/>
  <c r="E15" i="17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C6" i="13"/>
  <c r="O15" i="8"/>
  <c r="O14" i="8"/>
  <c r="O13" i="8"/>
  <c r="O12" i="8"/>
  <c r="O11" i="8"/>
  <c r="I15" i="17" l="1"/>
  <c r="I28" i="2"/>
  <c r="J15" i="17"/>
  <c r="L15" i="17"/>
  <c r="K15" i="17"/>
  <c r="L13" i="17"/>
  <c r="L11" i="17"/>
  <c r="L14" i="17"/>
  <c r="L9" i="17"/>
  <c r="L12" i="17"/>
  <c r="L10" i="17"/>
  <c r="F15" i="17"/>
  <c r="S27" i="8"/>
  <c r="W27" i="8" s="1"/>
  <c r="V27" i="8" s="1"/>
  <c r="X27" i="8" s="1"/>
  <c r="S142" i="8"/>
  <c r="W142" i="8" s="1"/>
  <c r="V142" i="8" s="1"/>
  <c r="X142" i="8" s="1"/>
  <c r="S125" i="8"/>
  <c r="W125" i="8" s="1"/>
  <c r="V125" i="8" s="1"/>
  <c r="X125" i="8" s="1"/>
  <c r="S140" i="8"/>
  <c r="W140" i="8" s="1"/>
  <c r="V140" i="8" s="1"/>
  <c r="X140" i="8" s="1"/>
  <c r="S146" i="8"/>
  <c r="W146" i="8" s="1"/>
  <c r="V146" i="8" s="1"/>
  <c r="X146" i="8" s="1"/>
  <c r="S166" i="8"/>
  <c r="W166" i="8" s="1"/>
  <c r="V166" i="8" s="1"/>
  <c r="X166" i="8" s="1"/>
  <c r="S174" i="8"/>
  <c r="W174" i="8" s="1"/>
  <c r="V174" i="8" s="1"/>
  <c r="X174" i="8" s="1"/>
  <c r="S200" i="8"/>
  <c r="W200" i="8" s="1"/>
  <c r="V200" i="8" s="1"/>
  <c r="X200" i="8" s="1"/>
  <c r="S85" i="8"/>
  <c r="W85" i="8" s="1"/>
  <c r="V85" i="8" s="1"/>
  <c r="X85" i="8" s="1"/>
  <c r="S89" i="8"/>
  <c r="W89" i="8" s="1"/>
  <c r="V89" i="8" s="1"/>
  <c r="X89" i="8" s="1"/>
  <c r="S118" i="8"/>
  <c r="W118" i="8" s="1"/>
  <c r="V118" i="8" s="1"/>
  <c r="X118" i="8" s="1"/>
  <c r="S93" i="8"/>
  <c r="W93" i="8" s="1"/>
  <c r="V93" i="8" s="1"/>
  <c r="X93" i="8" s="1"/>
  <c r="S107" i="8"/>
  <c r="W107" i="8" s="1"/>
  <c r="V107" i="8" s="1"/>
  <c r="X107" i="8" s="1"/>
  <c r="S123" i="8"/>
  <c r="W123" i="8" s="1"/>
  <c r="V123" i="8" s="1"/>
  <c r="X123" i="8" s="1"/>
  <c r="S126" i="8"/>
  <c r="W126" i="8" s="1"/>
  <c r="V126" i="8" s="1"/>
  <c r="X126" i="8" s="1"/>
  <c r="S150" i="8"/>
  <c r="W150" i="8" s="1"/>
  <c r="V150" i="8" s="1"/>
  <c r="X150" i="8" s="1"/>
  <c r="S156" i="8"/>
  <c r="W156" i="8" s="1"/>
  <c r="V156" i="8" s="1"/>
  <c r="X156" i="8" s="1"/>
  <c r="S158" i="8"/>
  <c r="W158" i="8" s="1"/>
  <c r="V158" i="8" s="1"/>
  <c r="X158" i="8" s="1"/>
  <c r="S176" i="8"/>
  <c r="W176" i="8" s="1"/>
  <c r="V176" i="8" s="1"/>
  <c r="X176" i="8" s="1"/>
  <c r="S187" i="8"/>
  <c r="W187" i="8" s="1"/>
  <c r="V187" i="8" s="1"/>
  <c r="X187" i="8" s="1"/>
  <c r="S188" i="8"/>
  <c r="W188" i="8" s="1"/>
  <c r="V188" i="8" s="1"/>
  <c r="X188" i="8" s="1"/>
  <c r="S195" i="8"/>
  <c r="W195" i="8" s="1"/>
  <c r="V195" i="8" s="1"/>
  <c r="X195" i="8" s="1"/>
  <c r="S79" i="8"/>
  <c r="W79" i="8" s="1"/>
  <c r="V79" i="8" s="1"/>
  <c r="X79" i="8" s="1"/>
  <c r="S129" i="8"/>
  <c r="W129" i="8" s="1"/>
  <c r="V129" i="8" s="1"/>
  <c r="X129" i="8" s="1"/>
  <c r="S131" i="8"/>
  <c r="W131" i="8" s="1"/>
  <c r="V131" i="8" s="1"/>
  <c r="X131" i="8" s="1"/>
  <c r="S133" i="8"/>
  <c r="W133" i="8" s="1"/>
  <c r="V133" i="8" s="1"/>
  <c r="X133" i="8" s="1"/>
  <c r="S137" i="8"/>
  <c r="W137" i="8" s="1"/>
  <c r="V137" i="8" s="1"/>
  <c r="X137" i="8" s="1"/>
  <c r="S139" i="8"/>
  <c r="W139" i="8" s="1"/>
  <c r="V139" i="8" s="1"/>
  <c r="X139" i="8" s="1"/>
  <c r="S144" i="8"/>
  <c r="W144" i="8" s="1"/>
  <c r="V144" i="8" s="1"/>
  <c r="X144" i="8" s="1"/>
  <c r="S164" i="8"/>
  <c r="W164" i="8" s="1"/>
  <c r="V164" i="8" s="1"/>
  <c r="X164" i="8" s="1"/>
  <c r="S115" i="8"/>
  <c r="W115" i="8" s="1"/>
  <c r="V115" i="8" s="1"/>
  <c r="X115" i="8" s="1"/>
  <c r="S117" i="8"/>
  <c r="W117" i="8" s="1"/>
  <c r="V117" i="8" s="1"/>
  <c r="X117" i="8" s="1"/>
  <c r="S122" i="8"/>
  <c r="W122" i="8" s="1"/>
  <c r="V122" i="8" s="1"/>
  <c r="X122" i="8" s="1"/>
  <c r="S130" i="8"/>
  <c r="W130" i="8" s="1"/>
  <c r="V130" i="8" s="1"/>
  <c r="X130" i="8" s="1"/>
  <c r="S179" i="8"/>
  <c r="W179" i="8" s="1"/>
  <c r="V179" i="8" s="1"/>
  <c r="X179" i="8" s="1"/>
  <c r="S191" i="8"/>
  <c r="W191" i="8" s="1"/>
  <c r="V191" i="8" s="1"/>
  <c r="X191" i="8" s="1"/>
  <c r="S101" i="8"/>
  <c r="W101" i="8" s="1"/>
  <c r="V101" i="8" s="1"/>
  <c r="X101" i="8" s="1"/>
  <c r="S119" i="8"/>
  <c r="W119" i="8" s="1"/>
  <c r="V119" i="8" s="1"/>
  <c r="X119" i="8" s="1"/>
  <c r="S183" i="8"/>
  <c r="W183" i="8" s="1"/>
  <c r="V183" i="8" s="1"/>
  <c r="X183" i="8" s="1"/>
  <c r="S184" i="8"/>
  <c r="W184" i="8" s="1"/>
  <c r="V184" i="8" s="1"/>
  <c r="X184" i="8" s="1"/>
  <c r="S225" i="8"/>
  <c r="W225" i="8" s="1"/>
  <c r="V225" i="8" s="1"/>
  <c r="X225" i="8" s="1"/>
  <c r="S226" i="8"/>
  <c r="W226" i="8" s="1"/>
  <c r="V226" i="8" s="1"/>
  <c r="X226" i="8" s="1"/>
  <c r="S241" i="8"/>
  <c r="W241" i="8" s="1"/>
  <c r="V241" i="8" s="1"/>
  <c r="X241" i="8" s="1"/>
  <c r="S242" i="8"/>
  <c r="W242" i="8" s="1"/>
  <c r="V242" i="8" s="1"/>
  <c r="X242" i="8" s="1"/>
  <c r="S243" i="8"/>
  <c r="W243" i="8" s="1"/>
  <c r="V243" i="8" s="1"/>
  <c r="X243" i="8" s="1"/>
  <c r="S271" i="8"/>
  <c r="W271" i="8" s="1"/>
  <c r="V271" i="8" s="1"/>
  <c r="X271" i="8" s="1"/>
  <c r="S287" i="8"/>
  <c r="W287" i="8" s="1"/>
  <c r="V287" i="8" s="1"/>
  <c r="X287" i="8" s="1"/>
  <c r="S295" i="8"/>
  <c r="W295" i="8" s="1"/>
  <c r="V295" i="8" s="1"/>
  <c r="X295" i="8" s="1"/>
  <c r="S296" i="8"/>
  <c r="W296" i="8" s="1"/>
  <c r="V296" i="8" s="1"/>
  <c r="X296" i="8" s="1"/>
  <c r="S308" i="8"/>
  <c r="W308" i="8" s="1"/>
  <c r="V308" i="8" s="1"/>
  <c r="X308" i="8" s="1"/>
  <c r="S310" i="8"/>
  <c r="W310" i="8" s="1"/>
  <c r="V310" i="8" s="1"/>
  <c r="X310" i="8" s="1"/>
  <c r="S312" i="8"/>
  <c r="W312" i="8" s="1"/>
  <c r="V312" i="8" s="1"/>
  <c r="X312" i="8" s="1"/>
  <c r="S180" i="8"/>
  <c r="W180" i="8" s="1"/>
  <c r="V180" i="8" s="1"/>
  <c r="X180" i="8" s="1"/>
  <c r="S208" i="8"/>
  <c r="W208" i="8" s="1"/>
  <c r="V208" i="8" s="1"/>
  <c r="X208" i="8" s="1"/>
  <c r="S235" i="8"/>
  <c r="W235" i="8" s="1"/>
  <c r="V235" i="8" s="1"/>
  <c r="X235" i="8" s="1"/>
  <c r="S245" i="8"/>
  <c r="W245" i="8" s="1"/>
  <c r="V245" i="8" s="1"/>
  <c r="X245" i="8" s="1"/>
  <c r="S251" i="8"/>
  <c r="W251" i="8" s="1"/>
  <c r="V251" i="8" s="1"/>
  <c r="X251" i="8" s="1"/>
  <c r="S253" i="8"/>
  <c r="W253" i="8" s="1"/>
  <c r="V253" i="8" s="1"/>
  <c r="X253" i="8" s="1"/>
  <c r="S259" i="8"/>
  <c r="W259" i="8" s="1"/>
  <c r="V259" i="8" s="1"/>
  <c r="X259" i="8" s="1"/>
  <c r="S277" i="8"/>
  <c r="W277" i="8" s="1"/>
  <c r="V277" i="8" s="1"/>
  <c r="X277" i="8" s="1"/>
  <c r="S283" i="8"/>
  <c r="W283" i="8" s="1"/>
  <c r="V283" i="8" s="1"/>
  <c r="X283" i="8" s="1"/>
  <c r="S306" i="8"/>
  <c r="W306" i="8" s="1"/>
  <c r="V306" i="8" s="1"/>
  <c r="X306" i="8" s="1"/>
  <c r="S309" i="8"/>
  <c r="W309" i="8" s="1"/>
  <c r="V309" i="8" s="1"/>
  <c r="X309" i="8" s="1"/>
  <c r="S313" i="8"/>
  <c r="W313" i="8" s="1"/>
  <c r="V313" i="8" s="1"/>
  <c r="X313" i="8" s="1"/>
  <c r="S314" i="8"/>
  <c r="W314" i="8" s="1"/>
  <c r="V314" i="8" s="1"/>
  <c r="X314" i="8" s="1"/>
  <c r="S121" i="8"/>
  <c r="W121" i="8" s="1"/>
  <c r="V121" i="8" s="1"/>
  <c r="X121" i="8" s="1"/>
  <c r="S162" i="8"/>
  <c r="W162" i="8" s="1"/>
  <c r="V162" i="8" s="1"/>
  <c r="X162" i="8" s="1"/>
  <c r="S175" i="8"/>
  <c r="W175" i="8" s="1"/>
  <c r="V175" i="8" s="1"/>
  <c r="X175" i="8" s="1"/>
  <c r="S204" i="8"/>
  <c r="W204" i="8" s="1"/>
  <c r="V204" i="8" s="1"/>
  <c r="X204" i="8" s="1"/>
  <c r="S221" i="8"/>
  <c r="W221" i="8" s="1"/>
  <c r="V221" i="8" s="1"/>
  <c r="X221" i="8" s="1"/>
  <c r="S230" i="8"/>
  <c r="W230" i="8" s="1"/>
  <c r="V230" i="8" s="1"/>
  <c r="X230" i="8" s="1"/>
  <c r="S294" i="8"/>
  <c r="W294" i="8" s="1"/>
  <c r="V294" i="8" s="1"/>
  <c r="X294" i="8" s="1"/>
  <c r="S318" i="8"/>
  <c r="W318" i="8" s="1"/>
  <c r="V318" i="8" s="1"/>
  <c r="X318" i="8" s="1"/>
  <c r="S207" i="8"/>
  <c r="W207" i="8" s="1"/>
  <c r="V207" i="8" s="1"/>
  <c r="X207" i="8" s="1"/>
  <c r="S229" i="8"/>
  <c r="W229" i="8" s="1"/>
  <c r="V229" i="8" s="1"/>
  <c r="X229" i="8" s="1"/>
  <c r="S265" i="8"/>
  <c r="W265" i="8" s="1"/>
  <c r="V265" i="8" s="1"/>
  <c r="X265" i="8" s="1"/>
  <c r="S275" i="8"/>
  <c r="W275" i="8" s="1"/>
  <c r="V275" i="8" s="1"/>
  <c r="X275" i="8" s="1"/>
  <c r="S281" i="8"/>
  <c r="W281" i="8" s="1"/>
  <c r="V281" i="8" s="1"/>
  <c r="X281" i="8" s="1"/>
  <c r="S293" i="8"/>
  <c r="W293" i="8" s="1"/>
  <c r="V293" i="8" s="1"/>
  <c r="X293" i="8" s="1"/>
  <c r="S302" i="8"/>
  <c r="W302" i="8" s="1"/>
  <c r="V302" i="8" s="1"/>
  <c r="X302" i="8" s="1"/>
  <c r="S97" i="8"/>
  <c r="W97" i="8" s="1"/>
  <c r="V97" i="8" s="1"/>
  <c r="X97" i="8" s="1"/>
  <c r="S170" i="8"/>
  <c r="W170" i="8" s="1"/>
  <c r="V170" i="8" s="1"/>
  <c r="X170" i="8" s="1"/>
  <c r="S213" i="8"/>
  <c r="W213" i="8" s="1"/>
  <c r="V213" i="8" s="1"/>
  <c r="X213" i="8" s="1"/>
  <c r="S217" i="8"/>
  <c r="W217" i="8" s="1"/>
  <c r="V217" i="8" s="1"/>
  <c r="X217" i="8" s="1"/>
  <c r="S222" i="8"/>
  <c r="W222" i="8" s="1"/>
  <c r="V222" i="8" s="1"/>
  <c r="X222" i="8" s="1"/>
  <c r="S233" i="8"/>
  <c r="W233" i="8" s="1"/>
  <c r="V233" i="8" s="1"/>
  <c r="X233" i="8" s="1"/>
  <c r="S249" i="8"/>
  <c r="W249" i="8" s="1"/>
  <c r="V249" i="8" s="1"/>
  <c r="X249" i="8" s="1"/>
  <c r="S257" i="8"/>
  <c r="W257" i="8" s="1"/>
  <c r="V257" i="8" s="1"/>
  <c r="X257" i="8" s="1"/>
  <c r="S263" i="8"/>
  <c r="W263" i="8" s="1"/>
  <c r="V263" i="8" s="1"/>
  <c r="X263" i="8" s="1"/>
  <c r="S269" i="8"/>
  <c r="W269" i="8" s="1"/>
  <c r="V269" i="8" s="1"/>
  <c r="X269" i="8" s="1"/>
  <c r="S297" i="8"/>
  <c r="W297" i="8" s="1"/>
  <c r="V297" i="8" s="1"/>
  <c r="X297" i="8" s="1"/>
  <c r="S304" i="8"/>
  <c r="W304" i="8" s="1"/>
  <c r="V304" i="8" s="1"/>
  <c r="X304" i="8" s="1"/>
  <c r="S305" i="8"/>
  <c r="W305" i="8" s="1"/>
  <c r="V305" i="8" s="1"/>
  <c r="X305" i="8" s="1"/>
  <c r="S154" i="8"/>
  <c r="W154" i="8" s="1"/>
  <c r="V154" i="8" s="1"/>
  <c r="X154" i="8" s="1"/>
  <c r="S239" i="8"/>
  <c r="W239" i="8" s="1"/>
  <c r="V239" i="8" s="1"/>
  <c r="X239" i="8" s="1"/>
  <c r="S247" i="8"/>
  <c r="W247" i="8" s="1"/>
  <c r="V247" i="8" s="1"/>
  <c r="X247" i="8" s="1"/>
  <c r="S255" i="8"/>
  <c r="W255" i="8" s="1"/>
  <c r="V255" i="8" s="1"/>
  <c r="X255" i="8" s="1"/>
  <c r="S298" i="8"/>
  <c r="W298" i="8" s="1"/>
  <c r="V298" i="8" s="1"/>
  <c r="X298" i="8" s="1"/>
  <c r="S299" i="8"/>
  <c r="W299" i="8" s="1"/>
  <c r="V299" i="8" s="1"/>
  <c r="X299" i="8" s="1"/>
  <c r="S300" i="8"/>
  <c r="W300" i="8" s="1"/>
  <c r="V300" i="8" s="1"/>
  <c r="X300" i="8" s="1"/>
  <c r="S199" i="8"/>
  <c r="W199" i="8" s="1"/>
  <c r="V199" i="8" s="1"/>
  <c r="X199" i="8" s="1"/>
  <c r="S237" i="8"/>
  <c r="W237" i="8" s="1"/>
  <c r="V237" i="8" s="1"/>
  <c r="X237" i="8" s="1"/>
  <c r="S273" i="8"/>
  <c r="W273" i="8" s="1"/>
  <c r="V273" i="8" s="1"/>
  <c r="X273" i="8" s="1"/>
  <c r="S279" i="8"/>
  <c r="W279" i="8" s="1"/>
  <c r="V279" i="8" s="1"/>
  <c r="X279" i="8" s="1"/>
  <c r="S285" i="8"/>
  <c r="W285" i="8" s="1"/>
  <c r="V285" i="8" s="1"/>
  <c r="X285" i="8" s="1"/>
  <c r="S301" i="8"/>
  <c r="W301" i="8" s="1"/>
  <c r="V301" i="8" s="1"/>
  <c r="X301" i="8" s="1"/>
  <c r="S307" i="8"/>
  <c r="W307" i="8" s="1"/>
  <c r="V307" i="8" s="1"/>
  <c r="X307" i="8" s="1"/>
  <c r="S238" i="8"/>
  <c r="W238" i="8" s="1"/>
  <c r="V238" i="8" s="1"/>
  <c r="X238" i="8" s="1"/>
  <c r="S286" i="8"/>
  <c r="W286" i="8" s="1"/>
  <c r="V286" i="8" s="1"/>
  <c r="X286" i="8" s="1"/>
  <c r="S329" i="8"/>
  <c r="W329" i="8" s="1"/>
  <c r="V329" i="8" s="1"/>
  <c r="X329" i="8" s="1"/>
  <c r="S349" i="8"/>
  <c r="W349" i="8" s="1"/>
  <c r="V349" i="8" s="1"/>
  <c r="X349" i="8" s="1"/>
  <c r="S362" i="8"/>
  <c r="W362" i="8" s="1"/>
  <c r="V362" i="8" s="1"/>
  <c r="X362" i="8" s="1"/>
  <c r="S366" i="8"/>
  <c r="W366" i="8" s="1"/>
  <c r="V366" i="8" s="1"/>
  <c r="X366" i="8" s="1"/>
  <c r="S433" i="8"/>
  <c r="W433" i="8" s="1"/>
  <c r="V433" i="8" s="1"/>
  <c r="X433" i="8" s="1"/>
  <c r="S261" i="8"/>
  <c r="W261" i="8" s="1"/>
  <c r="V261" i="8" s="1"/>
  <c r="X261" i="8" s="1"/>
  <c r="S394" i="8"/>
  <c r="W394" i="8" s="1"/>
  <c r="V394" i="8" s="1"/>
  <c r="X394" i="8" s="1"/>
  <c r="S415" i="8"/>
  <c r="W415" i="8" s="1"/>
  <c r="V415" i="8" s="1"/>
  <c r="X415" i="8" s="1"/>
  <c r="S417" i="8"/>
  <c r="W417" i="8" s="1"/>
  <c r="V417" i="8" s="1"/>
  <c r="X417" i="8" s="1"/>
  <c r="S334" i="8"/>
  <c r="W334" i="8" s="1"/>
  <c r="V334" i="8" s="1"/>
  <c r="X334" i="8" s="1"/>
  <c r="S212" i="8"/>
  <c r="W212" i="8" s="1"/>
  <c r="V212" i="8" s="1"/>
  <c r="X212" i="8" s="1"/>
  <c r="S289" i="8"/>
  <c r="W289" i="8" s="1"/>
  <c r="V289" i="8" s="1"/>
  <c r="X289" i="8" s="1"/>
  <c r="S322" i="8"/>
  <c r="W322" i="8" s="1"/>
  <c r="V322" i="8" s="1"/>
  <c r="X322" i="8" s="1"/>
  <c r="S333" i="8"/>
  <c r="W333" i="8" s="1"/>
  <c r="V333" i="8" s="1"/>
  <c r="X333" i="8" s="1"/>
  <c r="S338" i="8"/>
  <c r="W338" i="8" s="1"/>
  <c r="V338" i="8" s="1"/>
  <c r="X338" i="8" s="1"/>
  <c r="S346" i="8"/>
  <c r="W346" i="8" s="1"/>
  <c r="V346" i="8" s="1"/>
  <c r="X346" i="8" s="1"/>
  <c r="S358" i="8"/>
  <c r="W358" i="8" s="1"/>
  <c r="V358" i="8" s="1"/>
  <c r="X358" i="8" s="1"/>
  <c r="S378" i="8"/>
  <c r="W378" i="8" s="1"/>
  <c r="V378" i="8" s="1"/>
  <c r="X378" i="8" s="1"/>
  <c r="S382" i="8"/>
  <c r="W382" i="8" s="1"/>
  <c r="V382" i="8" s="1"/>
  <c r="X382" i="8" s="1"/>
  <c r="S395" i="8"/>
  <c r="W395" i="8" s="1"/>
  <c r="V395" i="8" s="1"/>
  <c r="X395" i="8" s="1"/>
  <c r="S421" i="8"/>
  <c r="W421" i="8" s="1"/>
  <c r="V421" i="8" s="1"/>
  <c r="X421" i="8" s="1"/>
  <c r="S431" i="8"/>
  <c r="W431" i="8" s="1"/>
  <c r="V431" i="8" s="1"/>
  <c r="X431" i="8" s="1"/>
  <c r="S439" i="8"/>
  <c r="W439" i="8" s="1"/>
  <c r="V439" i="8" s="1"/>
  <c r="X439" i="8" s="1"/>
  <c r="S449" i="8"/>
  <c r="W449" i="8" s="1"/>
  <c r="V449" i="8" s="1"/>
  <c r="X449" i="8" s="1"/>
  <c r="S354" i="8"/>
  <c r="W354" i="8" s="1"/>
  <c r="V354" i="8" s="1"/>
  <c r="X354" i="8" s="1"/>
  <c r="S425" i="8"/>
  <c r="W425" i="8" s="1"/>
  <c r="V425" i="8" s="1"/>
  <c r="X425" i="8" s="1"/>
  <c r="S445" i="8"/>
  <c r="W445" i="8" s="1"/>
  <c r="V445" i="8" s="1"/>
  <c r="X445" i="8" s="1"/>
  <c r="S459" i="8"/>
  <c r="W459" i="8" s="1"/>
  <c r="V459" i="8" s="1"/>
  <c r="X459" i="8" s="1"/>
  <c r="S267" i="8"/>
  <c r="W267" i="8" s="1"/>
  <c r="V267" i="8" s="1"/>
  <c r="X267" i="8" s="1"/>
  <c r="S303" i="8"/>
  <c r="W303" i="8" s="1"/>
  <c r="V303" i="8" s="1"/>
  <c r="X303" i="8" s="1"/>
  <c r="S311" i="8"/>
  <c r="W311" i="8" s="1"/>
  <c r="V311" i="8" s="1"/>
  <c r="X311" i="8" s="1"/>
  <c r="S326" i="8"/>
  <c r="W326" i="8" s="1"/>
  <c r="V326" i="8" s="1"/>
  <c r="X326" i="8" s="1"/>
  <c r="S342" i="8"/>
  <c r="W342" i="8" s="1"/>
  <c r="V342" i="8" s="1"/>
  <c r="X342" i="8" s="1"/>
  <c r="S374" i="8"/>
  <c r="W374" i="8" s="1"/>
  <c r="V374" i="8" s="1"/>
  <c r="X374" i="8" s="1"/>
  <c r="S390" i="8"/>
  <c r="W390" i="8" s="1"/>
  <c r="V390" i="8" s="1"/>
  <c r="X390" i="8" s="1"/>
  <c r="S429" i="8"/>
  <c r="W429" i="8" s="1"/>
  <c r="V429" i="8" s="1"/>
  <c r="X429" i="8" s="1"/>
  <c r="S437" i="8"/>
  <c r="W437" i="8" s="1"/>
  <c r="V437" i="8" s="1"/>
  <c r="X437" i="8" s="1"/>
  <c r="S492" i="8"/>
  <c r="W492" i="8" s="1"/>
  <c r="V492" i="8" s="1"/>
  <c r="X492" i="8" s="1"/>
  <c r="S503" i="8"/>
  <c r="W503" i="8" s="1"/>
  <c r="V503" i="8" s="1"/>
  <c r="X503" i="8" s="1"/>
  <c r="S521" i="8"/>
  <c r="W521" i="8" s="1"/>
  <c r="V521" i="8" s="1"/>
  <c r="X521" i="8" s="1"/>
  <c r="S549" i="8"/>
  <c r="W549" i="8" s="1"/>
  <c r="V549" i="8" s="1"/>
  <c r="X549" i="8" s="1"/>
  <c r="S553" i="8"/>
  <c r="W553" i="8" s="1"/>
  <c r="V553" i="8" s="1"/>
  <c r="X553" i="8" s="1"/>
  <c r="S567" i="8"/>
  <c r="W567" i="8" s="1"/>
  <c r="V567" i="8" s="1"/>
  <c r="X567" i="8" s="1"/>
  <c r="S568" i="8"/>
  <c r="W568" i="8" s="1"/>
  <c r="V568" i="8" s="1"/>
  <c r="X568" i="8" s="1"/>
  <c r="S575" i="8"/>
  <c r="W575" i="8" s="1"/>
  <c r="V575" i="8" s="1"/>
  <c r="X575" i="8" s="1"/>
  <c r="S463" i="8"/>
  <c r="W463" i="8" s="1"/>
  <c r="V463" i="8" s="1"/>
  <c r="X463" i="8" s="1"/>
  <c r="S480" i="8"/>
  <c r="W480" i="8" s="1"/>
  <c r="V480" i="8" s="1"/>
  <c r="X480" i="8" s="1"/>
  <c r="S483" i="8"/>
  <c r="W483" i="8" s="1"/>
  <c r="V483" i="8" s="1"/>
  <c r="X483" i="8" s="1"/>
  <c r="S510" i="8"/>
  <c r="W510" i="8" s="1"/>
  <c r="V510" i="8" s="1"/>
  <c r="X510" i="8" s="1"/>
  <c r="S537" i="8"/>
  <c r="W537" i="8" s="1"/>
  <c r="V537" i="8" s="1"/>
  <c r="X537" i="8" s="1"/>
  <c r="S545" i="8"/>
  <c r="W545" i="8" s="1"/>
  <c r="V545" i="8" s="1"/>
  <c r="X545" i="8" s="1"/>
  <c r="S579" i="8"/>
  <c r="W579" i="8" s="1"/>
  <c r="V579" i="8" s="1"/>
  <c r="X579" i="8" s="1"/>
  <c r="S580" i="8"/>
  <c r="W580" i="8" s="1"/>
  <c r="V580" i="8" s="1"/>
  <c r="X580" i="8" s="1"/>
  <c r="S397" i="8"/>
  <c r="W397" i="8" s="1"/>
  <c r="V397" i="8" s="1"/>
  <c r="X397" i="8" s="1"/>
  <c r="S455" i="8"/>
  <c r="W455" i="8" s="1"/>
  <c r="V455" i="8" s="1"/>
  <c r="X455" i="8" s="1"/>
  <c r="S458" i="8"/>
  <c r="W458" i="8" s="1"/>
  <c r="V458" i="8" s="1"/>
  <c r="X458" i="8" s="1"/>
  <c r="S464" i="8"/>
  <c r="W464" i="8" s="1"/>
  <c r="V464" i="8" s="1"/>
  <c r="X464" i="8" s="1"/>
  <c r="S467" i="8"/>
  <c r="W467" i="8" s="1"/>
  <c r="V467" i="8" s="1"/>
  <c r="X467" i="8" s="1"/>
  <c r="S484" i="8"/>
  <c r="W484" i="8" s="1"/>
  <c r="V484" i="8" s="1"/>
  <c r="X484" i="8" s="1"/>
  <c r="S487" i="8"/>
  <c r="W487" i="8" s="1"/>
  <c r="V487" i="8" s="1"/>
  <c r="X487" i="8" s="1"/>
  <c r="S504" i="8"/>
  <c r="W504" i="8" s="1"/>
  <c r="V504" i="8" s="1"/>
  <c r="X504" i="8" s="1"/>
  <c r="S543" i="8"/>
  <c r="W543" i="8" s="1"/>
  <c r="V543" i="8" s="1"/>
  <c r="X543" i="8" s="1"/>
  <c r="S544" i="8"/>
  <c r="W544" i="8" s="1"/>
  <c r="V544" i="8" s="1"/>
  <c r="X544" i="8" s="1"/>
  <c r="S548" i="8"/>
  <c r="W548" i="8" s="1"/>
  <c r="V548" i="8" s="1"/>
  <c r="X548" i="8" s="1"/>
  <c r="S325" i="8"/>
  <c r="W325" i="8" s="1"/>
  <c r="V325" i="8" s="1"/>
  <c r="X325" i="8" s="1"/>
  <c r="S386" i="8"/>
  <c r="W386" i="8" s="1"/>
  <c r="V386" i="8" s="1"/>
  <c r="X386" i="8" s="1"/>
  <c r="S457" i="8"/>
  <c r="W457" i="8" s="1"/>
  <c r="V457" i="8" s="1"/>
  <c r="X457" i="8" s="1"/>
  <c r="S468" i="8"/>
  <c r="W468" i="8" s="1"/>
  <c r="V468" i="8" s="1"/>
  <c r="X468" i="8" s="1"/>
  <c r="S471" i="8"/>
  <c r="W471" i="8" s="1"/>
  <c r="V471" i="8" s="1"/>
  <c r="X471" i="8" s="1"/>
  <c r="S506" i="8"/>
  <c r="W506" i="8" s="1"/>
  <c r="V506" i="8" s="1"/>
  <c r="X506" i="8" s="1"/>
  <c r="S529" i="8"/>
  <c r="W529" i="8" s="1"/>
  <c r="V529" i="8" s="1"/>
  <c r="X529" i="8" s="1"/>
  <c r="S547" i="8"/>
  <c r="W547" i="8" s="1"/>
  <c r="V547" i="8" s="1"/>
  <c r="X547" i="8" s="1"/>
  <c r="S552" i="8"/>
  <c r="W552" i="8" s="1"/>
  <c r="V552" i="8" s="1"/>
  <c r="X552" i="8" s="1"/>
  <c r="S555" i="8"/>
  <c r="W555" i="8" s="1"/>
  <c r="V555" i="8" s="1"/>
  <c r="X555" i="8" s="1"/>
  <c r="S572" i="8"/>
  <c r="W572" i="8" s="1"/>
  <c r="V572" i="8" s="1"/>
  <c r="X572" i="8" s="1"/>
  <c r="S330" i="8"/>
  <c r="W330" i="8" s="1"/>
  <c r="V330" i="8" s="1"/>
  <c r="X330" i="8" s="1"/>
  <c r="S413" i="8"/>
  <c r="W413" i="8" s="1"/>
  <c r="V413" i="8" s="1"/>
  <c r="X413" i="8" s="1"/>
  <c r="S423" i="8"/>
  <c r="W423" i="8" s="1"/>
  <c r="V423" i="8" s="1"/>
  <c r="X423" i="8" s="1"/>
  <c r="S441" i="8"/>
  <c r="W441" i="8" s="1"/>
  <c r="V441" i="8" s="1"/>
  <c r="X441" i="8" s="1"/>
  <c r="S447" i="8"/>
  <c r="W447" i="8" s="1"/>
  <c r="V447" i="8" s="1"/>
  <c r="X447" i="8" s="1"/>
  <c r="S472" i="8"/>
  <c r="W472" i="8" s="1"/>
  <c r="V472" i="8" s="1"/>
  <c r="X472" i="8" s="1"/>
  <c r="S488" i="8"/>
  <c r="W488" i="8" s="1"/>
  <c r="V488" i="8" s="1"/>
  <c r="X488" i="8" s="1"/>
  <c r="S495" i="8"/>
  <c r="W495" i="8" s="1"/>
  <c r="V495" i="8" s="1"/>
  <c r="X495" i="8" s="1"/>
  <c r="S563" i="8"/>
  <c r="W563" i="8" s="1"/>
  <c r="V563" i="8" s="1"/>
  <c r="X563" i="8" s="1"/>
  <c r="S564" i="8"/>
  <c r="W564" i="8" s="1"/>
  <c r="V564" i="8" s="1"/>
  <c r="X564" i="8" s="1"/>
  <c r="S571" i="8"/>
  <c r="W571" i="8" s="1"/>
  <c r="V571" i="8" s="1"/>
  <c r="X571" i="8" s="1"/>
  <c r="S370" i="8"/>
  <c r="W370" i="8" s="1"/>
  <c r="V370" i="8" s="1"/>
  <c r="X370" i="8" s="1"/>
  <c r="S508" i="8"/>
  <c r="W508" i="8" s="1"/>
  <c r="V508" i="8" s="1"/>
  <c r="X508" i="8" s="1"/>
  <c r="S551" i="8"/>
  <c r="W551" i="8" s="1"/>
  <c r="V551" i="8" s="1"/>
  <c r="X551" i="8" s="1"/>
  <c r="S556" i="8"/>
  <c r="W556" i="8" s="1"/>
  <c r="V556" i="8" s="1"/>
  <c r="X556" i="8" s="1"/>
  <c r="S557" i="8"/>
  <c r="W557" i="8" s="1"/>
  <c r="V557" i="8" s="1"/>
  <c r="X557" i="8" s="1"/>
  <c r="S573" i="8"/>
  <c r="W573" i="8" s="1"/>
  <c r="V573" i="8" s="1"/>
  <c r="X573" i="8" s="1"/>
  <c r="S577" i="8"/>
  <c r="W577" i="8" s="1"/>
  <c r="V577" i="8" s="1"/>
  <c r="X577" i="8" s="1"/>
  <c r="S350" i="8"/>
  <c r="W350" i="8" s="1"/>
  <c r="V350" i="8" s="1"/>
  <c r="X350" i="8" s="1"/>
  <c r="S453" i="8"/>
  <c r="W453" i="8" s="1"/>
  <c r="V453" i="8" s="1"/>
  <c r="X453" i="8" s="1"/>
  <c r="S475" i="8"/>
  <c r="W475" i="8" s="1"/>
  <c r="V475" i="8" s="1"/>
  <c r="X475" i="8" s="1"/>
  <c r="S491" i="8"/>
  <c r="W491" i="8" s="1"/>
  <c r="V491" i="8" s="1"/>
  <c r="X491" i="8" s="1"/>
  <c r="S499" i="8"/>
  <c r="W499" i="8" s="1"/>
  <c r="V499" i="8" s="1"/>
  <c r="X499" i="8" s="1"/>
  <c r="S500" i="8"/>
  <c r="W500" i="8" s="1"/>
  <c r="V500" i="8" s="1"/>
  <c r="X500" i="8" s="1"/>
  <c r="S516" i="8"/>
  <c r="W516" i="8" s="1"/>
  <c r="V516" i="8" s="1"/>
  <c r="X516" i="8" s="1"/>
  <c r="S576" i="8"/>
  <c r="W576" i="8" s="1"/>
  <c r="V576" i="8" s="1"/>
  <c r="X576" i="8" s="1"/>
  <c r="S598" i="8"/>
  <c r="W598" i="8" s="1"/>
  <c r="V598" i="8" s="1"/>
  <c r="X598" i="8" s="1"/>
  <c r="S619" i="8"/>
  <c r="W619" i="8" s="1"/>
  <c r="V619" i="8" s="1"/>
  <c r="X619" i="8" s="1"/>
  <c r="S589" i="8"/>
  <c r="W589" i="8" s="1"/>
  <c r="V589" i="8" s="1"/>
  <c r="X589" i="8" s="1"/>
  <c r="S613" i="8"/>
  <c r="W613" i="8" s="1"/>
  <c r="V613" i="8" s="1"/>
  <c r="X613" i="8" s="1"/>
  <c r="S479" i="8"/>
  <c r="W479" i="8" s="1"/>
  <c r="V479" i="8" s="1"/>
  <c r="X479" i="8" s="1"/>
  <c r="S585" i="8"/>
  <c r="W585" i="8" s="1"/>
  <c r="V585" i="8" s="1"/>
  <c r="X585" i="8" s="1"/>
  <c r="S593" i="8"/>
  <c r="W593" i="8" s="1"/>
  <c r="V593" i="8" s="1"/>
  <c r="X593" i="8" s="1"/>
  <c r="S617" i="8"/>
  <c r="W617" i="8" s="1"/>
  <c r="V617" i="8" s="1"/>
  <c r="X617" i="8" s="1"/>
  <c r="S559" i="8"/>
  <c r="W559" i="8" s="1"/>
  <c r="V559" i="8" s="1"/>
  <c r="X559" i="8" s="1"/>
  <c r="S616" i="8"/>
  <c r="W616" i="8" s="1"/>
  <c r="V616" i="8" s="1"/>
  <c r="X616" i="8" s="1"/>
  <c r="S582" i="8"/>
  <c r="W582" i="8" s="1"/>
  <c r="V582" i="8" s="1"/>
  <c r="X582" i="8" s="1"/>
  <c r="S590" i="8"/>
  <c r="W590" i="8" s="1"/>
  <c r="V590" i="8" s="1"/>
  <c r="X590" i="8" s="1"/>
  <c r="S609" i="8"/>
  <c r="W609" i="8" s="1"/>
  <c r="V609" i="8" s="1"/>
  <c r="X609" i="8" s="1"/>
  <c r="S594" i="8"/>
  <c r="W594" i="8" s="1"/>
  <c r="V594" i="8" s="1"/>
  <c r="X594" i="8" s="1"/>
  <c r="S601" i="8"/>
  <c r="W601" i="8" s="1"/>
  <c r="V601" i="8" s="1"/>
  <c r="X601" i="8" s="1"/>
  <c r="S604" i="8"/>
  <c r="W604" i="8" s="1"/>
  <c r="V604" i="8" s="1"/>
  <c r="X604" i="8" s="1"/>
  <c r="S606" i="8"/>
  <c r="W606" i="8" s="1"/>
  <c r="V606" i="8" s="1"/>
  <c r="X606" i="8" s="1"/>
  <c r="S618" i="8"/>
  <c r="W618" i="8" s="1"/>
  <c r="V618" i="8" s="1"/>
  <c r="X618" i="8" s="1"/>
  <c r="S623" i="8"/>
  <c r="W623" i="8" s="1"/>
  <c r="V623" i="8" s="1"/>
  <c r="X623" i="8" s="1"/>
  <c r="S602" i="8"/>
  <c r="W602" i="8" s="1"/>
  <c r="V602" i="8" s="1"/>
  <c r="X602" i="8" s="1"/>
  <c r="S610" i="8"/>
  <c r="W610" i="8" s="1"/>
  <c r="V610" i="8" s="1"/>
  <c r="X610" i="8" s="1"/>
  <c r="S615" i="8"/>
  <c r="W615" i="8" s="1"/>
  <c r="V615" i="8" s="1"/>
  <c r="X615" i="8" s="1"/>
  <c r="S476" i="8"/>
  <c r="W476" i="8" s="1"/>
  <c r="V476" i="8" s="1"/>
  <c r="X476" i="8" s="1"/>
  <c r="S502" i="8"/>
  <c r="W502" i="8" s="1"/>
  <c r="V502" i="8" s="1"/>
  <c r="X502" i="8" s="1"/>
  <c r="S584" i="8"/>
  <c r="W584" i="8" s="1"/>
  <c r="V584" i="8" s="1"/>
  <c r="X584" i="8" s="1"/>
  <c r="S605" i="8"/>
  <c r="W605" i="8" s="1"/>
  <c r="V605" i="8" s="1"/>
  <c r="X605" i="8" s="1"/>
  <c r="S612" i="8"/>
  <c r="W612" i="8" s="1"/>
  <c r="V612" i="8" s="1"/>
  <c r="X612" i="8" s="1"/>
  <c r="S597" i="8"/>
  <c r="W597" i="8" s="1"/>
  <c r="V597" i="8" s="1"/>
  <c r="X597" i="8" s="1"/>
  <c r="S528" i="8"/>
  <c r="W528" i="8" s="1"/>
  <c r="V528" i="8" s="1"/>
  <c r="X528" i="8" s="1"/>
  <c r="S444" i="8"/>
  <c r="W444" i="8" s="1"/>
  <c r="V444" i="8" s="1"/>
  <c r="X444" i="8" s="1"/>
  <c r="S519" i="8"/>
  <c r="W519" i="8" s="1"/>
  <c r="V519" i="8" s="1"/>
  <c r="X519" i="8" s="1"/>
  <c r="S404" i="8"/>
  <c r="W404" i="8" s="1"/>
  <c r="V404" i="8" s="1"/>
  <c r="X404" i="8" s="1"/>
  <c r="S392" i="8"/>
  <c r="W392" i="8" s="1"/>
  <c r="V392" i="8" s="1"/>
  <c r="X392" i="8" s="1"/>
  <c r="S412" i="8"/>
  <c r="W412" i="8" s="1"/>
  <c r="V412" i="8" s="1"/>
  <c r="X412" i="8" s="1"/>
  <c r="S357" i="8"/>
  <c r="W357" i="8" s="1"/>
  <c r="V357" i="8" s="1"/>
  <c r="X357" i="8" s="1"/>
  <c r="S316" i="8"/>
  <c r="W316" i="8" s="1"/>
  <c r="V316" i="8" s="1"/>
  <c r="X316" i="8" s="1"/>
  <c r="S292" i="8"/>
  <c r="W292" i="8" s="1"/>
  <c r="V292" i="8" s="1"/>
  <c r="X292" i="8" s="1"/>
  <c r="S114" i="8"/>
  <c r="W114" i="8" s="1"/>
  <c r="V114" i="8" s="1"/>
  <c r="X114" i="8" s="1"/>
  <c r="S35" i="8"/>
  <c r="W35" i="8" s="1"/>
  <c r="V35" i="8" s="1"/>
  <c r="X35" i="8" s="1"/>
  <c r="S116" i="8"/>
  <c r="W116" i="8" s="1"/>
  <c r="V116" i="8" s="1"/>
  <c r="X116" i="8" s="1"/>
  <c r="S515" i="8"/>
  <c r="W515" i="8" s="1"/>
  <c r="V515" i="8" s="1"/>
  <c r="X515" i="8" s="1"/>
  <c r="S440" i="8"/>
  <c r="W440" i="8" s="1"/>
  <c r="V440" i="8" s="1"/>
  <c r="X440" i="8" s="1"/>
  <c r="S356" i="8"/>
  <c r="W356" i="8" s="1"/>
  <c r="V356" i="8" s="1"/>
  <c r="X356" i="8" s="1"/>
  <c r="S531" i="8"/>
  <c r="W531" i="8" s="1"/>
  <c r="V531" i="8" s="1"/>
  <c r="X531" i="8" s="1"/>
  <c r="S339" i="8"/>
  <c r="W339" i="8" s="1"/>
  <c r="V339" i="8" s="1"/>
  <c r="X339" i="8" s="1"/>
  <c r="S416" i="8"/>
  <c r="W416" i="8" s="1"/>
  <c r="V416" i="8" s="1"/>
  <c r="X416" i="8" s="1"/>
  <c r="S438" i="8"/>
  <c r="W438" i="8" s="1"/>
  <c r="V438" i="8" s="1"/>
  <c r="X438" i="8" s="1"/>
  <c r="S368" i="8"/>
  <c r="W368" i="8" s="1"/>
  <c r="V368" i="8" s="1"/>
  <c r="X368" i="8" s="1"/>
  <c r="S202" i="8"/>
  <c r="W202" i="8" s="1"/>
  <c r="V202" i="8" s="1"/>
  <c r="X202" i="8" s="1"/>
  <c r="S32" i="8"/>
  <c r="W32" i="8" s="1"/>
  <c r="V32" i="8" s="1"/>
  <c r="X32" i="8" s="1"/>
  <c r="S36" i="8"/>
  <c r="W36" i="8" s="1"/>
  <c r="V36" i="8" s="1"/>
  <c r="X36" i="8" s="1"/>
  <c r="S554" i="8"/>
  <c r="W554" i="8" s="1"/>
  <c r="V554" i="8" s="1"/>
  <c r="X554" i="8" s="1"/>
  <c r="S599" i="8"/>
  <c r="W599" i="8" s="1"/>
  <c r="V599" i="8" s="1"/>
  <c r="X599" i="8" s="1"/>
  <c r="S587" i="8"/>
  <c r="W587" i="8" s="1"/>
  <c r="V587" i="8" s="1"/>
  <c r="X587" i="8" s="1"/>
  <c r="S581" i="8"/>
  <c r="W581" i="8" s="1"/>
  <c r="V581" i="8" s="1"/>
  <c r="X581" i="8" s="1"/>
  <c r="S596" i="8"/>
  <c r="W596" i="8" s="1"/>
  <c r="V596" i="8" s="1"/>
  <c r="X596" i="8" s="1"/>
  <c r="S514" i="8"/>
  <c r="W514" i="8" s="1"/>
  <c r="V514" i="8" s="1"/>
  <c r="X514" i="8" s="1"/>
  <c r="S408" i="8"/>
  <c r="W408" i="8" s="1"/>
  <c r="V408" i="8" s="1"/>
  <c r="X408" i="8" s="1"/>
  <c r="S523" i="8"/>
  <c r="W523" i="8" s="1"/>
  <c r="V523" i="8" s="1"/>
  <c r="X523" i="8" s="1"/>
  <c r="S505" i="8"/>
  <c r="W505" i="8" s="1"/>
  <c r="V505" i="8" s="1"/>
  <c r="X505" i="8" s="1"/>
  <c r="S335" i="8"/>
  <c r="W335" i="8" s="1"/>
  <c r="V335" i="8" s="1"/>
  <c r="X335" i="8" s="1"/>
  <c r="S536" i="8"/>
  <c r="W536" i="8" s="1"/>
  <c r="V536" i="8" s="1"/>
  <c r="X536" i="8" s="1"/>
  <c r="S384" i="8"/>
  <c r="W384" i="8" s="1"/>
  <c r="V384" i="8" s="1"/>
  <c r="X384" i="8" s="1"/>
  <c r="S430" i="8"/>
  <c r="W430" i="8" s="1"/>
  <c r="V430" i="8" s="1"/>
  <c r="X430" i="8" s="1"/>
  <c r="S216" i="8"/>
  <c r="W216" i="8" s="1"/>
  <c r="V216" i="8" s="1"/>
  <c r="X216" i="8" s="1"/>
  <c r="S163" i="8"/>
  <c r="W163" i="8" s="1"/>
  <c r="V163" i="8" s="1"/>
  <c r="X163" i="8" s="1"/>
  <c r="S244" i="8"/>
  <c r="W244" i="8" s="1"/>
  <c r="V244" i="8" s="1"/>
  <c r="X244" i="8" s="1"/>
  <c r="S82" i="8"/>
  <c r="W82" i="8" s="1"/>
  <c r="V82" i="8" s="1"/>
  <c r="X82" i="8" s="1"/>
  <c r="S106" i="8"/>
  <c r="W106" i="8" s="1"/>
  <c r="V106" i="8" s="1"/>
  <c r="X106" i="8" s="1"/>
  <c r="S112" i="8"/>
  <c r="W112" i="8" s="1"/>
  <c r="V112" i="8" s="1"/>
  <c r="X112" i="8" s="1"/>
  <c r="S560" i="8"/>
  <c r="W560" i="8" s="1"/>
  <c r="V560" i="8" s="1"/>
  <c r="X560" i="8" s="1"/>
  <c r="S535" i="8"/>
  <c r="W535" i="8" s="1"/>
  <c r="V535" i="8" s="1"/>
  <c r="X535" i="8" s="1"/>
  <c r="S376" i="8"/>
  <c r="W376" i="8" s="1"/>
  <c r="V376" i="8" s="1"/>
  <c r="X376" i="8" s="1"/>
  <c r="S400" i="8"/>
  <c r="W400" i="8" s="1"/>
  <c r="V400" i="8" s="1"/>
  <c r="X400" i="8" s="1"/>
  <c r="S327" i="8"/>
  <c r="W327" i="8" s="1"/>
  <c r="V327" i="8" s="1"/>
  <c r="X327" i="8" s="1"/>
  <c r="S220" i="8"/>
  <c r="W220" i="8" s="1"/>
  <c r="V220" i="8" s="1"/>
  <c r="X220" i="8" s="1"/>
  <c r="S39" i="8"/>
  <c r="W39" i="8" s="1"/>
  <c r="V39" i="8" s="1"/>
  <c r="X39" i="8" s="1"/>
  <c r="S108" i="8"/>
  <c r="W108" i="8" s="1"/>
  <c r="V108" i="8" s="1"/>
  <c r="X108" i="8" s="1"/>
  <c r="S591" i="8"/>
  <c r="W591" i="8" s="1"/>
  <c r="V591" i="8" s="1"/>
  <c r="X591" i="8" s="1"/>
  <c r="S592" i="8"/>
  <c r="W592" i="8" s="1"/>
  <c r="V592" i="8" s="1"/>
  <c r="X592" i="8" s="1"/>
  <c r="S507" i="8"/>
  <c r="W507" i="8" s="1"/>
  <c r="V507" i="8" s="1"/>
  <c r="X507" i="8" s="1"/>
  <c r="S595" i="8"/>
  <c r="W595" i="8" s="1"/>
  <c r="V595" i="8" s="1"/>
  <c r="X595" i="8" s="1"/>
  <c r="S608" i="8"/>
  <c r="W608" i="8" s="1"/>
  <c r="V608" i="8" s="1"/>
  <c r="X608" i="8" s="1"/>
  <c r="S550" i="8"/>
  <c r="W550" i="8" s="1"/>
  <c r="V550" i="8" s="1"/>
  <c r="X550" i="8" s="1"/>
  <c r="S527" i="8"/>
  <c r="W527" i="8" s="1"/>
  <c r="V527" i="8" s="1"/>
  <c r="X527" i="8" s="1"/>
  <c r="S574" i="8"/>
  <c r="W574" i="8" s="1"/>
  <c r="V574" i="8" s="1"/>
  <c r="X574" i="8" s="1"/>
  <c r="S428" i="8"/>
  <c r="W428" i="8" s="1"/>
  <c r="V428" i="8" s="1"/>
  <c r="X428" i="8" s="1"/>
  <c r="S372" i="8"/>
  <c r="W372" i="8" s="1"/>
  <c r="V372" i="8" s="1"/>
  <c r="X372" i="8" s="1"/>
  <c r="S454" i="8"/>
  <c r="W454" i="8" s="1"/>
  <c r="V454" i="8" s="1"/>
  <c r="X454" i="8" s="1"/>
  <c r="S343" i="8"/>
  <c r="W343" i="8" s="1"/>
  <c r="V343" i="8" s="1"/>
  <c r="X343" i="8" s="1"/>
  <c r="S319" i="8"/>
  <c r="W319" i="8" s="1"/>
  <c r="V319" i="8" s="1"/>
  <c r="X319" i="8" s="1"/>
  <c r="S323" i="8"/>
  <c r="W323" i="8" s="1"/>
  <c r="V323" i="8" s="1"/>
  <c r="X323" i="8" s="1"/>
  <c r="S47" i="8"/>
  <c r="W47" i="8" s="1"/>
  <c r="V47" i="8" s="1"/>
  <c r="X47" i="8" s="1"/>
  <c r="S256" i="8"/>
  <c r="W256" i="8" s="1"/>
  <c r="V256" i="8" s="1"/>
  <c r="X256" i="8" s="1"/>
  <c r="S31" i="8"/>
  <c r="W31" i="8" s="1"/>
  <c r="V31" i="8" s="1"/>
  <c r="X31" i="8" s="1"/>
  <c r="S159" i="8"/>
  <c r="W159" i="8" s="1"/>
  <c r="V159" i="8" s="1"/>
  <c r="X159" i="8" s="1"/>
  <c r="S167" i="8"/>
  <c r="W167" i="8" s="1"/>
  <c r="V167" i="8" s="1"/>
  <c r="X167" i="8" s="1"/>
  <c r="S624" i="8"/>
  <c r="W624" i="8" s="1"/>
  <c r="V624" i="8" s="1"/>
  <c r="X624" i="8" s="1"/>
  <c r="S586" i="8"/>
  <c r="W586" i="8" s="1"/>
  <c r="V586" i="8" s="1"/>
  <c r="X586" i="8" s="1"/>
  <c r="S517" i="8"/>
  <c r="W517" i="8" s="1"/>
  <c r="V517" i="8" s="1"/>
  <c r="X517" i="8" s="1"/>
  <c r="S583" i="8"/>
  <c r="W583" i="8" s="1"/>
  <c r="V583" i="8" s="1"/>
  <c r="X583" i="8" s="1"/>
  <c r="S607" i="8"/>
  <c r="W607" i="8" s="1"/>
  <c r="V607" i="8" s="1"/>
  <c r="X607" i="8" s="1"/>
  <c r="S614" i="8"/>
  <c r="W614" i="8" s="1"/>
  <c r="V614" i="8" s="1"/>
  <c r="X614" i="8" s="1"/>
  <c r="S539" i="8"/>
  <c r="W539" i="8" s="1"/>
  <c r="V539" i="8" s="1"/>
  <c r="X539" i="8" s="1"/>
  <c r="S462" i="8"/>
  <c r="W462" i="8" s="1"/>
  <c r="V462" i="8" s="1"/>
  <c r="X462" i="8" s="1"/>
  <c r="S546" i="8"/>
  <c r="W546" i="8" s="1"/>
  <c r="V546" i="8" s="1"/>
  <c r="X546" i="8" s="1"/>
  <c r="S422" i="8"/>
  <c r="W422" i="8" s="1"/>
  <c r="V422" i="8" s="1"/>
  <c r="X422" i="8" s="1"/>
  <c r="S448" i="8"/>
  <c r="W448" i="8" s="1"/>
  <c r="V448" i="8" s="1"/>
  <c r="X448" i="8" s="1"/>
  <c r="S424" i="8"/>
  <c r="W424" i="8" s="1"/>
  <c r="V424" i="8" s="1"/>
  <c r="X424" i="8" s="1"/>
  <c r="S360" i="8"/>
  <c r="W360" i="8" s="1"/>
  <c r="V360" i="8" s="1"/>
  <c r="X360" i="8" s="1"/>
  <c r="S331" i="8"/>
  <c r="W331" i="8" s="1"/>
  <c r="V331" i="8" s="1"/>
  <c r="X331" i="8" s="1"/>
  <c r="S252" i="8"/>
  <c r="W252" i="8" s="1"/>
  <c r="V252" i="8" s="1"/>
  <c r="X252" i="8" s="1"/>
  <c r="S315" i="8"/>
  <c r="W315" i="8" s="1"/>
  <c r="V315" i="8" s="1"/>
  <c r="X315" i="8" s="1"/>
  <c r="S206" i="8"/>
  <c r="W206" i="8" s="1"/>
  <c r="V206" i="8" s="1"/>
  <c r="X206" i="8" s="1"/>
  <c r="S248" i="8"/>
  <c r="W248" i="8" s="1"/>
  <c r="V248" i="8" s="1"/>
  <c r="X248" i="8" s="1"/>
  <c r="S51" i="8"/>
  <c r="W51" i="8" s="1"/>
  <c r="V51" i="8" s="1"/>
  <c r="X51" i="8" s="1"/>
  <c r="S155" i="8"/>
  <c r="W155" i="8" s="1"/>
  <c r="V155" i="8" s="1"/>
  <c r="X155" i="8" s="1"/>
  <c r="S620" i="8"/>
  <c r="W620" i="8" s="1"/>
  <c r="V620" i="8" s="1"/>
  <c r="X620" i="8" s="1"/>
  <c r="S566" i="8"/>
  <c r="W566" i="8" s="1"/>
  <c r="V566" i="8" s="1"/>
  <c r="X566" i="8" s="1"/>
  <c r="S622" i="8"/>
  <c r="W622" i="8" s="1"/>
  <c r="V622" i="8" s="1"/>
  <c r="X622" i="8" s="1"/>
  <c r="S352" i="8"/>
  <c r="W352" i="8" s="1"/>
  <c r="V352" i="8" s="1"/>
  <c r="X352" i="8" s="1"/>
  <c r="S446" i="8"/>
  <c r="W446" i="8" s="1"/>
  <c r="V446" i="8" s="1"/>
  <c r="X446" i="8" s="1"/>
  <c r="S558" i="8"/>
  <c r="W558" i="8" s="1"/>
  <c r="V558" i="8" s="1"/>
  <c r="X558" i="8" s="1"/>
  <c r="S436" i="8"/>
  <c r="W436" i="8" s="1"/>
  <c r="V436" i="8" s="1"/>
  <c r="X436" i="8" s="1"/>
  <c r="S365" i="8"/>
  <c r="W365" i="8" s="1"/>
  <c r="V365" i="8" s="1"/>
  <c r="X365" i="8" s="1"/>
  <c r="S364" i="8"/>
  <c r="W364" i="8" s="1"/>
  <c r="V364" i="8" s="1"/>
  <c r="X364" i="8" s="1"/>
  <c r="S396" i="8"/>
  <c r="W396" i="8" s="1"/>
  <c r="V396" i="8" s="1"/>
  <c r="X396" i="8" s="1"/>
  <c r="S290" i="8"/>
  <c r="W290" i="8" s="1"/>
  <c r="V290" i="8" s="1"/>
  <c r="X290" i="8" s="1"/>
  <c r="S240" i="8"/>
  <c r="W240" i="8" s="1"/>
  <c r="V240" i="8" s="1"/>
  <c r="X240" i="8" s="1"/>
  <c r="S28" i="8"/>
  <c r="W28" i="8" s="1"/>
  <c r="V28" i="8" s="1"/>
  <c r="X28" i="8" s="1"/>
  <c r="S43" i="8"/>
  <c r="W43" i="8" s="1"/>
  <c r="V43" i="8" s="1"/>
  <c r="X43" i="8" s="1"/>
  <c r="S148" i="8"/>
  <c r="W148" i="8" s="1"/>
  <c r="V148" i="8" s="1"/>
  <c r="X148" i="8" s="1"/>
  <c r="S104" i="8"/>
  <c r="W104" i="8" s="1"/>
  <c r="V104" i="8" s="1"/>
  <c r="X104" i="8" s="1"/>
  <c r="S611" i="8"/>
  <c r="W611" i="8" s="1"/>
  <c r="V611" i="8" s="1"/>
  <c r="X611" i="8" s="1"/>
  <c r="S621" i="8"/>
  <c r="W621" i="8" s="1"/>
  <c r="V621" i="8" s="1"/>
  <c r="X621" i="8" s="1"/>
  <c r="S600" i="8"/>
  <c r="W600" i="8" s="1"/>
  <c r="V600" i="8" s="1"/>
  <c r="X600" i="8" s="1"/>
  <c r="S561" i="8"/>
  <c r="W561" i="8" s="1"/>
  <c r="V561" i="8" s="1"/>
  <c r="X561" i="8" s="1"/>
  <c r="S524" i="8"/>
  <c r="W524" i="8" s="1"/>
  <c r="V524" i="8" s="1"/>
  <c r="X524" i="8" s="1"/>
  <c r="S509" i="8"/>
  <c r="W509" i="8" s="1"/>
  <c r="V509" i="8" s="1"/>
  <c r="X509" i="8" s="1"/>
  <c r="S493" i="8"/>
  <c r="W493" i="8" s="1"/>
  <c r="V493" i="8" s="1"/>
  <c r="X493" i="8" s="1"/>
  <c r="S452" i="8"/>
  <c r="W452" i="8" s="1"/>
  <c r="V452" i="8" s="1"/>
  <c r="X452" i="8" s="1"/>
  <c r="S432" i="8"/>
  <c r="W432" i="8" s="1"/>
  <c r="V432" i="8" s="1"/>
  <c r="X432" i="8" s="1"/>
  <c r="S420" i="8"/>
  <c r="W420" i="8" s="1"/>
  <c r="V420" i="8" s="1"/>
  <c r="X420" i="8" s="1"/>
  <c r="S110" i="8"/>
  <c r="W110" i="8" s="1"/>
  <c r="V110" i="8" s="1"/>
  <c r="X110" i="8" s="1"/>
  <c r="S138" i="8"/>
  <c r="W138" i="8" s="1"/>
  <c r="V138" i="8" s="1"/>
  <c r="X138" i="8" s="1"/>
  <c r="S625" i="8"/>
  <c r="W625" i="8" s="1"/>
  <c r="V625" i="8" s="1"/>
  <c r="X625" i="8" s="1"/>
  <c r="S538" i="8"/>
  <c r="W538" i="8" s="1"/>
  <c r="V538" i="8" s="1"/>
  <c r="X538" i="8" s="1"/>
  <c r="S565" i="8"/>
  <c r="W565" i="8" s="1"/>
  <c r="V565" i="8" s="1"/>
  <c r="X565" i="8" s="1"/>
  <c r="S541" i="8"/>
  <c r="W541" i="8" s="1"/>
  <c r="V541" i="8" s="1"/>
  <c r="X541" i="8" s="1"/>
  <c r="S401" i="8"/>
  <c r="W401" i="8" s="1"/>
  <c r="V401" i="8" s="1"/>
  <c r="X401" i="8" s="1"/>
  <c r="S443" i="8"/>
  <c r="W443" i="8" s="1"/>
  <c r="V443" i="8" s="1"/>
  <c r="X443" i="8" s="1"/>
  <c r="S427" i="8"/>
  <c r="W427" i="8" s="1"/>
  <c r="V427" i="8" s="1"/>
  <c r="X427" i="8" s="1"/>
  <c r="S388" i="8"/>
  <c r="W388" i="8" s="1"/>
  <c r="V388" i="8" s="1"/>
  <c r="X388" i="8" s="1"/>
  <c r="S530" i="8"/>
  <c r="W530" i="8" s="1"/>
  <c r="V530" i="8" s="1"/>
  <c r="X530" i="8" s="1"/>
  <c r="S520" i="8"/>
  <c r="W520" i="8" s="1"/>
  <c r="V520" i="8" s="1"/>
  <c r="X520" i="8" s="1"/>
  <c r="S562" i="8"/>
  <c r="W562" i="8" s="1"/>
  <c r="V562" i="8" s="1"/>
  <c r="X562" i="8" s="1"/>
  <c r="S534" i="8"/>
  <c r="W534" i="8" s="1"/>
  <c r="V534" i="8" s="1"/>
  <c r="X534" i="8" s="1"/>
  <c r="S511" i="8"/>
  <c r="W511" i="8" s="1"/>
  <c r="V511" i="8" s="1"/>
  <c r="X511" i="8" s="1"/>
  <c r="S522" i="8"/>
  <c r="W522" i="8" s="1"/>
  <c r="V522" i="8" s="1"/>
  <c r="X522" i="8" s="1"/>
  <c r="S496" i="8"/>
  <c r="W496" i="8" s="1"/>
  <c r="V496" i="8" s="1"/>
  <c r="X496" i="8" s="1"/>
  <c r="S434" i="8"/>
  <c r="W434" i="8" s="1"/>
  <c r="V434" i="8" s="1"/>
  <c r="X434" i="8" s="1"/>
  <c r="S489" i="8"/>
  <c r="W489" i="8" s="1"/>
  <c r="V489" i="8" s="1"/>
  <c r="X489" i="8" s="1"/>
  <c r="S481" i="8"/>
  <c r="W481" i="8" s="1"/>
  <c r="V481" i="8" s="1"/>
  <c r="X481" i="8" s="1"/>
  <c r="S473" i="8"/>
  <c r="W473" i="8" s="1"/>
  <c r="V473" i="8" s="1"/>
  <c r="X473" i="8" s="1"/>
  <c r="S465" i="8"/>
  <c r="W465" i="8" s="1"/>
  <c r="V465" i="8" s="1"/>
  <c r="X465" i="8" s="1"/>
  <c r="S490" i="8"/>
  <c r="W490" i="8" s="1"/>
  <c r="V490" i="8" s="1"/>
  <c r="X490" i="8" s="1"/>
  <c r="S482" i="8"/>
  <c r="W482" i="8" s="1"/>
  <c r="V482" i="8" s="1"/>
  <c r="X482" i="8" s="1"/>
  <c r="S474" i="8"/>
  <c r="W474" i="8" s="1"/>
  <c r="V474" i="8" s="1"/>
  <c r="X474" i="8" s="1"/>
  <c r="S466" i="8"/>
  <c r="W466" i="8" s="1"/>
  <c r="V466" i="8" s="1"/>
  <c r="X466" i="8" s="1"/>
  <c r="S380" i="8"/>
  <c r="W380" i="8" s="1"/>
  <c r="V380" i="8" s="1"/>
  <c r="X380" i="8" s="1"/>
  <c r="S399" i="8"/>
  <c r="W399" i="8" s="1"/>
  <c r="V399" i="8" s="1"/>
  <c r="X399" i="8" s="1"/>
  <c r="S377" i="8"/>
  <c r="W377" i="8" s="1"/>
  <c r="V377" i="8" s="1"/>
  <c r="X377" i="8" s="1"/>
  <c r="S540" i="8"/>
  <c r="W540" i="8" s="1"/>
  <c r="V540" i="8" s="1"/>
  <c r="X540" i="8" s="1"/>
  <c r="S498" i="8"/>
  <c r="W498" i="8" s="1"/>
  <c r="V498" i="8" s="1"/>
  <c r="X498" i="8" s="1"/>
  <c r="S460" i="8"/>
  <c r="W460" i="8" s="1"/>
  <c r="V460" i="8" s="1"/>
  <c r="X460" i="8" s="1"/>
  <c r="S398" i="8"/>
  <c r="W398" i="8" s="1"/>
  <c r="V398" i="8" s="1"/>
  <c r="X398" i="8" s="1"/>
  <c r="S494" i="8"/>
  <c r="W494" i="8" s="1"/>
  <c r="V494" i="8" s="1"/>
  <c r="X494" i="8" s="1"/>
  <c r="S407" i="8"/>
  <c r="W407" i="8" s="1"/>
  <c r="V407" i="8" s="1"/>
  <c r="X407" i="8" s="1"/>
  <c r="S320" i="8"/>
  <c r="W320" i="8" s="1"/>
  <c r="V320" i="8" s="1"/>
  <c r="X320" i="8" s="1"/>
  <c r="S367" i="8"/>
  <c r="W367" i="8" s="1"/>
  <c r="V367" i="8" s="1"/>
  <c r="X367" i="8" s="1"/>
  <c r="S340" i="8"/>
  <c r="W340" i="8" s="1"/>
  <c r="V340" i="8" s="1"/>
  <c r="X340" i="8" s="1"/>
  <c r="S512" i="8"/>
  <c r="W512" i="8" s="1"/>
  <c r="V512" i="8" s="1"/>
  <c r="X512" i="8" s="1"/>
  <c r="S526" i="8"/>
  <c r="W526" i="8" s="1"/>
  <c r="V526" i="8" s="1"/>
  <c r="X526" i="8" s="1"/>
  <c r="S456" i="8"/>
  <c r="W456" i="8" s="1"/>
  <c r="V456" i="8" s="1"/>
  <c r="X456" i="8" s="1"/>
  <c r="S501" i="8"/>
  <c r="W501" i="8" s="1"/>
  <c r="V501" i="8" s="1"/>
  <c r="X501" i="8" s="1"/>
  <c r="S411" i="8"/>
  <c r="W411" i="8" s="1"/>
  <c r="V411" i="8" s="1"/>
  <c r="X411" i="8" s="1"/>
  <c r="S406" i="8"/>
  <c r="W406" i="8" s="1"/>
  <c r="V406" i="8" s="1"/>
  <c r="X406" i="8" s="1"/>
  <c r="S344" i="8"/>
  <c r="W344" i="8" s="1"/>
  <c r="V344" i="8" s="1"/>
  <c r="X344" i="8" s="1"/>
  <c r="S570" i="8"/>
  <c r="W570" i="8" s="1"/>
  <c r="V570" i="8" s="1"/>
  <c r="X570" i="8" s="1"/>
  <c r="S532" i="8"/>
  <c r="W532" i="8" s="1"/>
  <c r="V532" i="8" s="1"/>
  <c r="X532" i="8" s="1"/>
  <c r="S533" i="8"/>
  <c r="W533" i="8" s="1"/>
  <c r="V533" i="8" s="1"/>
  <c r="X533" i="8" s="1"/>
  <c r="S451" i="8"/>
  <c r="W451" i="8" s="1"/>
  <c r="V451" i="8" s="1"/>
  <c r="X451" i="8" s="1"/>
  <c r="S435" i="8"/>
  <c r="W435" i="8" s="1"/>
  <c r="V435" i="8" s="1"/>
  <c r="X435" i="8" s="1"/>
  <c r="S419" i="8"/>
  <c r="W419" i="8" s="1"/>
  <c r="V419" i="8" s="1"/>
  <c r="X419" i="8" s="1"/>
  <c r="S389" i="8"/>
  <c r="W389" i="8" s="1"/>
  <c r="V389" i="8" s="1"/>
  <c r="X389" i="8" s="1"/>
  <c r="S391" i="8"/>
  <c r="W391" i="8" s="1"/>
  <c r="V391" i="8" s="1"/>
  <c r="X391" i="8" s="1"/>
  <c r="S359" i="8"/>
  <c r="W359" i="8" s="1"/>
  <c r="V359" i="8" s="1"/>
  <c r="X359" i="8" s="1"/>
  <c r="S369" i="8"/>
  <c r="W369" i="8" s="1"/>
  <c r="V369" i="8" s="1"/>
  <c r="X369" i="8" s="1"/>
  <c r="S353" i="8"/>
  <c r="W353" i="8" s="1"/>
  <c r="V353" i="8" s="1"/>
  <c r="X353" i="8" s="1"/>
  <c r="S371" i="8"/>
  <c r="W371" i="8" s="1"/>
  <c r="V371" i="8" s="1"/>
  <c r="X371" i="8" s="1"/>
  <c r="S578" i="8"/>
  <c r="W578" i="8" s="1"/>
  <c r="V578" i="8" s="1"/>
  <c r="X578" i="8" s="1"/>
  <c r="S518" i="8"/>
  <c r="W518" i="8" s="1"/>
  <c r="V518" i="8" s="1"/>
  <c r="X518" i="8" s="1"/>
  <c r="S461" i="8"/>
  <c r="W461" i="8" s="1"/>
  <c r="V461" i="8" s="1"/>
  <c r="X461" i="8" s="1"/>
  <c r="S485" i="8"/>
  <c r="W485" i="8" s="1"/>
  <c r="V485" i="8" s="1"/>
  <c r="X485" i="8" s="1"/>
  <c r="S477" i="8"/>
  <c r="W477" i="8" s="1"/>
  <c r="V477" i="8" s="1"/>
  <c r="X477" i="8" s="1"/>
  <c r="S469" i="8"/>
  <c r="W469" i="8" s="1"/>
  <c r="V469" i="8" s="1"/>
  <c r="X469" i="8" s="1"/>
  <c r="S442" i="8"/>
  <c r="W442" i="8" s="1"/>
  <c r="V442" i="8" s="1"/>
  <c r="X442" i="8" s="1"/>
  <c r="S486" i="8"/>
  <c r="W486" i="8" s="1"/>
  <c r="V486" i="8" s="1"/>
  <c r="X486" i="8" s="1"/>
  <c r="S478" i="8"/>
  <c r="W478" i="8" s="1"/>
  <c r="V478" i="8" s="1"/>
  <c r="X478" i="8" s="1"/>
  <c r="S470" i="8"/>
  <c r="W470" i="8" s="1"/>
  <c r="V470" i="8" s="1"/>
  <c r="X470" i="8" s="1"/>
  <c r="S381" i="8"/>
  <c r="W381" i="8" s="1"/>
  <c r="V381" i="8" s="1"/>
  <c r="X381" i="8" s="1"/>
  <c r="S336" i="8"/>
  <c r="W336" i="8" s="1"/>
  <c r="V336" i="8" s="1"/>
  <c r="X336" i="8" s="1"/>
  <c r="S603" i="8"/>
  <c r="W603" i="8" s="1"/>
  <c r="V603" i="8" s="1"/>
  <c r="X603" i="8" s="1"/>
  <c r="S569" i="8"/>
  <c r="W569" i="8" s="1"/>
  <c r="V569" i="8" s="1"/>
  <c r="X569" i="8" s="1"/>
  <c r="S409" i="8"/>
  <c r="W409" i="8" s="1"/>
  <c r="V409" i="8" s="1"/>
  <c r="X409" i="8" s="1"/>
  <c r="S403" i="8"/>
  <c r="W403" i="8" s="1"/>
  <c r="V403" i="8" s="1"/>
  <c r="X403" i="8" s="1"/>
  <c r="S373" i="8"/>
  <c r="W373" i="8" s="1"/>
  <c r="V373" i="8" s="1"/>
  <c r="X373" i="8" s="1"/>
  <c r="S402" i="8"/>
  <c r="W402" i="8" s="1"/>
  <c r="V402" i="8" s="1"/>
  <c r="X402" i="8" s="1"/>
  <c r="S332" i="8"/>
  <c r="W332" i="8" s="1"/>
  <c r="V332" i="8" s="1"/>
  <c r="X332" i="8" s="1"/>
  <c r="S383" i="8"/>
  <c r="W383" i="8" s="1"/>
  <c r="V383" i="8" s="1"/>
  <c r="X383" i="8" s="1"/>
  <c r="S351" i="8"/>
  <c r="W351" i="8" s="1"/>
  <c r="V351" i="8" s="1"/>
  <c r="X351" i="8" s="1"/>
  <c r="S348" i="8"/>
  <c r="W348" i="8" s="1"/>
  <c r="V348" i="8" s="1"/>
  <c r="X348" i="8" s="1"/>
  <c r="S588" i="8"/>
  <c r="W588" i="8" s="1"/>
  <c r="V588" i="8" s="1"/>
  <c r="X588" i="8" s="1"/>
  <c r="S525" i="8"/>
  <c r="W525" i="8" s="1"/>
  <c r="V525" i="8" s="1"/>
  <c r="X525" i="8" s="1"/>
  <c r="S542" i="8"/>
  <c r="W542" i="8" s="1"/>
  <c r="V542" i="8" s="1"/>
  <c r="X542" i="8" s="1"/>
  <c r="S513" i="8"/>
  <c r="W513" i="8" s="1"/>
  <c r="V513" i="8" s="1"/>
  <c r="X513" i="8" s="1"/>
  <c r="S414" i="8"/>
  <c r="W414" i="8" s="1"/>
  <c r="V414" i="8" s="1"/>
  <c r="X414" i="8" s="1"/>
  <c r="S426" i="8"/>
  <c r="W426" i="8" s="1"/>
  <c r="V426" i="8" s="1"/>
  <c r="X426" i="8" s="1"/>
  <c r="S418" i="8"/>
  <c r="W418" i="8" s="1"/>
  <c r="V418" i="8" s="1"/>
  <c r="X418" i="8" s="1"/>
  <c r="S497" i="8"/>
  <c r="W497" i="8" s="1"/>
  <c r="V497" i="8" s="1"/>
  <c r="X497" i="8" s="1"/>
  <c r="S405" i="8"/>
  <c r="W405" i="8" s="1"/>
  <c r="V405" i="8" s="1"/>
  <c r="X405" i="8" s="1"/>
  <c r="S450" i="8"/>
  <c r="W450" i="8" s="1"/>
  <c r="V450" i="8" s="1"/>
  <c r="X450" i="8" s="1"/>
  <c r="S385" i="8"/>
  <c r="W385" i="8" s="1"/>
  <c r="V385" i="8" s="1"/>
  <c r="X385" i="8" s="1"/>
  <c r="S345" i="8"/>
  <c r="W345" i="8" s="1"/>
  <c r="V345" i="8" s="1"/>
  <c r="X345" i="8" s="1"/>
  <c r="S337" i="8"/>
  <c r="W337" i="8" s="1"/>
  <c r="V337" i="8" s="1"/>
  <c r="X337" i="8" s="1"/>
  <c r="S375" i="8"/>
  <c r="W375" i="8" s="1"/>
  <c r="V375" i="8" s="1"/>
  <c r="X375" i="8" s="1"/>
  <c r="S324" i="8"/>
  <c r="W324" i="8" s="1"/>
  <c r="V324" i="8" s="1"/>
  <c r="X324" i="8" s="1"/>
  <c r="S321" i="8"/>
  <c r="W321" i="8" s="1"/>
  <c r="V321" i="8" s="1"/>
  <c r="X321" i="8" s="1"/>
  <c r="S232" i="8"/>
  <c r="W232" i="8" s="1"/>
  <c r="V232" i="8" s="1"/>
  <c r="X232" i="8" s="1"/>
  <c r="S288" i="8"/>
  <c r="W288" i="8" s="1"/>
  <c r="V288" i="8" s="1"/>
  <c r="X288" i="8" s="1"/>
  <c r="S262" i="8"/>
  <c r="W262" i="8" s="1"/>
  <c r="V262" i="8" s="1"/>
  <c r="X262" i="8" s="1"/>
  <c r="S215" i="8"/>
  <c r="W215" i="8" s="1"/>
  <c r="V215" i="8" s="1"/>
  <c r="X215" i="8" s="1"/>
  <c r="S224" i="8"/>
  <c r="W224" i="8" s="1"/>
  <c r="V224" i="8" s="1"/>
  <c r="X224" i="8" s="1"/>
  <c r="S214" i="8"/>
  <c r="W214" i="8" s="1"/>
  <c r="V214" i="8" s="1"/>
  <c r="X214" i="8" s="1"/>
  <c r="S228" i="8"/>
  <c r="W228" i="8" s="1"/>
  <c r="V228" i="8" s="1"/>
  <c r="X228" i="8" s="1"/>
  <c r="S218" i="8"/>
  <c r="W218" i="8" s="1"/>
  <c r="V218" i="8" s="1"/>
  <c r="X218" i="8" s="1"/>
  <c r="S120" i="8"/>
  <c r="W120" i="8" s="1"/>
  <c r="V120" i="8" s="1"/>
  <c r="X120" i="8" s="1"/>
  <c r="S160" i="8"/>
  <c r="W160" i="8" s="1"/>
  <c r="V160" i="8" s="1"/>
  <c r="X160" i="8" s="1"/>
  <c r="S196" i="8"/>
  <c r="W196" i="8" s="1"/>
  <c r="V196" i="8" s="1"/>
  <c r="X196" i="8" s="1"/>
  <c r="S165" i="8"/>
  <c r="W165" i="8" s="1"/>
  <c r="V165" i="8" s="1"/>
  <c r="X165" i="8" s="1"/>
  <c r="S157" i="8"/>
  <c r="W157" i="8" s="1"/>
  <c r="V157" i="8" s="1"/>
  <c r="X157" i="8" s="1"/>
  <c r="S173" i="8"/>
  <c r="W173" i="8" s="1"/>
  <c r="V173" i="8" s="1"/>
  <c r="X173" i="8" s="1"/>
  <c r="S95" i="8"/>
  <c r="W95" i="8" s="1"/>
  <c r="V95" i="8" s="1"/>
  <c r="X95" i="8" s="1"/>
  <c r="S127" i="8"/>
  <c r="W127" i="8" s="1"/>
  <c r="V127" i="8" s="1"/>
  <c r="X127" i="8" s="1"/>
  <c r="S135" i="8"/>
  <c r="W135" i="8" s="1"/>
  <c r="V135" i="8" s="1"/>
  <c r="X135" i="8" s="1"/>
  <c r="S96" i="8"/>
  <c r="W96" i="8" s="1"/>
  <c r="V96" i="8" s="1"/>
  <c r="X96" i="8" s="1"/>
  <c r="S105" i="8"/>
  <c r="W105" i="8" s="1"/>
  <c r="V105" i="8" s="1"/>
  <c r="X105" i="8" s="1"/>
  <c r="S75" i="8"/>
  <c r="W75" i="8" s="1"/>
  <c r="V75" i="8" s="1"/>
  <c r="X75" i="8" s="1"/>
  <c r="S42" i="8"/>
  <c r="W42" i="8" s="1"/>
  <c r="V42" i="8" s="1"/>
  <c r="X42" i="8" s="1"/>
  <c r="S54" i="8"/>
  <c r="W54" i="8" s="1"/>
  <c r="V54" i="8" s="1"/>
  <c r="X54" i="8" s="1"/>
  <c r="S69" i="8"/>
  <c r="W69" i="8" s="1"/>
  <c r="V69" i="8" s="1"/>
  <c r="X69" i="8" s="1"/>
  <c r="S361" i="8"/>
  <c r="W361" i="8" s="1"/>
  <c r="V361" i="8" s="1"/>
  <c r="X361" i="8" s="1"/>
  <c r="S387" i="8"/>
  <c r="W387" i="8" s="1"/>
  <c r="V387" i="8" s="1"/>
  <c r="X387" i="8" s="1"/>
  <c r="S341" i="8"/>
  <c r="W341" i="8" s="1"/>
  <c r="V341" i="8" s="1"/>
  <c r="X341" i="8" s="1"/>
  <c r="S317" i="8"/>
  <c r="W317" i="8" s="1"/>
  <c r="V317" i="8" s="1"/>
  <c r="X317" i="8" s="1"/>
  <c r="S282" i="8"/>
  <c r="W282" i="8" s="1"/>
  <c r="V282" i="8" s="1"/>
  <c r="X282" i="8" s="1"/>
  <c r="S209" i="8"/>
  <c r="W209" i="8" s="1"/>
  <c r="V209" i="8" s="1"/>
  <c r="X209" i="8" s="1"/>
  <c r="S192" i="8"/>
  <c r="W192" i="8" s="1"/>
  <c r="V192" i="8" s="1"/>
  <c r="X192" i="8" s="1"/>
  <c r="S141" i="8"/>
  <c r="W141" i="8" s="1"/>
  <c r="V141" i="8" s="1"/>
  <c r="X141" i="8" s="1"/>
  <c r="S50" i="8"/>
  <c r="W50" i="8" s="1"/>
  <c r="V50" i="8" s="1"/>
  <c r="X50" i="8" s="1"/>
  <c r="S78" i="8"/>
  <c r="W78" i="8" s="1"/>
  <c r="V78" i="8" s="1"/>
  <c r="X78" i="8" s="1"/>
  <c r="S90" i="8"/>
  <c r="W90" i="8" s="1"/>
  <c r="V90" i="8" s="1"/>
  <c r="X90" i="8" s="1"/>
  <c r="S98" i="8"/>
  <c r="W98" i="8" s="1"/>
  <c r="V98" i="8" s="1"/>
  <c r="X98" i="8" s="1"/>
  <c r="S40" i="8"/>
  <c r="W40" i="8" s="1"/>
  <c r="V40" i="8" s="1"/>
  <c r="X40" i="8" s="1"/>
  <c r="S66" i="8"/>
  <c r="W66" i="8" s="1"/>
  <c r="V66" i="8" s="1"/>
  <c r="X66" i="8" s="1"/>
  <c r="S58" i="8"/>
  <c r="W58" i="8" s="1"/>
  <c r="V58" i="8" s="1"/>
  <c r="X58" i="8" s="1"/>
  <c r="S70" i="8"/>
  <c r="W70" i="8" s="1"/>
  <c r="V70" i="8" s="1"/>
  <c r="X70" i="8" s="1"/>
  <c r="S45" i="8"/>
  <c r="W45" i="8" s="1"/>
  <c r="V45" i="8" s="1"/>
  <c r="X45" i="8" s="1"/>
  <c r="S260" i="8"/>
  <c r="W260" i="8" s="1"/>
  <c r="V260" i="8" s="1"/>
  <c r="X260" i="8" s="1"/>
  <c r="S276" i="8"/>
  <c r="W276" i="8" s="1"/>
  <c r="V276" i="8" s="1"/>
  <c r="X276" i="8" s="1"/>
  <c r="S201" i="8"/>
  <c r="W201" i="8" s="1"/>
  <c r="V201" i="8" s="1"/>
  <c r="X201" i="8" s="1"/>
  <c r="S234" i="8"/>
  <c r="W234" i="8" s="1"/>
  <c r="V234" i="8" s="1"/>
  <c r="X234" i="8" s="1"/>
  <c r="S236" i="8"/>
  <c r="W236" i="8" s="1"/>
  <c r="V236" i="8" s="1"/>
  <c r="X236" i="8" s="1"/>
  <c r="S186" i="8"/>
  <c r="W186" i="8" s="1"/>
  <c r="V186" i="8" s="1"/>
  <c r="X186" i="8" s="1"/>
  <c r="S145" i="8"/>
  <c r="W145" i="8" s="1"/>
  <c r="V145" i="8" s="1"/>
  <c r="X145" i="8" s="1"/>
  <c r="S193" i="8"/>
  <c r="W193" i="8" s="1"/>
  <c r="V193" i="8" s="1"/>
  <c r="X193" i="8" s="1"/>
  <c r="S169" i="8"/>
  <c r="W169" i="8" s="1"/>
  <c r="V169" i="8" s="1"/>
  <c r="X169" i="8" s="1"/>
  <c r="S171" i="8"/>
  <c r="W171" i="8" s="1"/>
  <c r="V171" i="8" s="1"/>
  <c r="X171" i="8" s="1"/>
  <c r="S153" i="8"/>
  <c r="W153" i="8" s="1"/>
  <c r="V153" i="8" s="1"/>
  <c r="X153" i="8" s="1"/>
  <c r="S100" i="8"/>
  <c r="W100" i="8" s="1"/>
  <c r="V100" i="8" s="1"/>
  <c r="X100" i="8" s="1"/>
  <c r="S74" i="8"/>
  <c r="W74" i="8" s="1"/>
  <c r="V74" i="8" s="1"/>
  <c r="X74" i="8" s="1"/>
  <c r="S37" i="8"/>
  <c r="W37" i="8" s="1"/>
  <c r="V37" i="8" s="1"/>
  <c r="X37" i="8" s="1"/>
  <c r="S88" i="8"/>
  <c r="W88" i="8" s="1"/>
  <c r="V88" i="8" s="1"/>
  <c r="X88" i="8" s="1"/>
  <c r="S102" i="8"/>
  <c r="W102" i="8" s="1"/>
  <c r="V102" i="8" s="1"/>
  <c r="X102" i="8" s="1"/>
  <c r="S91" i="8"/>
  <c r="W91" i="8" s="1"/>
  <c r="V91" i="8" s="1"/>
  <c r="X91" i="8" s="1"/>
  <c r="S30" i="8"/>
  <c r="W30" i="8" s="1"/>
  <c r="V30" i="8" s="1"/>
  <c r="S73" i="8"/>
  <c r="W73" i="8" s="1"/>
  <c r="V73" i="8" s="1"/>
  <c r="X73" i="8" s="1"/>
  <c r="S65" i="8"/>
  <c r="W65" i="8" s="1"/>
  <c r="V65" i="8" s="1"/>
  <c r="X65" i="8" s="1"/>
  <c r="S57" i="8"/>
  <c r="W57" i="8" s="1"/>
  <c r="V57" i="8" s="1"/>
  <c r="X57" i="8" s="1"/>
  <c r="S41" i="8"/>
  <c r="W41" i="8" s="1"/>
  <c r="V41" i="8" s="1"/>
  <c r="X41" i="8" s="1"/>
  <c r="S84" i="8"/>
  <c r="W84" i="8" s="1"/>
  <c r="V84" i="8" s="1"/>
  <c r="X84" i="8" s="1"/>
  <c r="S48" i="8"/>
  <c r="W48" i="8" s="1"/>
  <c r="V48" i="8" s="1"/>
  <c r="X48" i="8" s="1"/>
  <c r="S410" i="8"/>
  <c r="W410" i="8" s="1"/>
  <c r="V410" i="8" s="1"/>
  <c r="X410" i="8" s="1"/>
  <c r="S328" i="8"/>
  <c r="W328" i="8" s="1"/>
  <c r="V328" i="8" s="1"/>
  <c r="X328" i="8" s="1"/>
  <c r="S379" i="8"/>
  <c r="W379" i="8" s="1"/>
  <c r="V379" i="8" s="1"/>
  <c r="X379" i="8" s="1"/>
  <c r="S246" i="8"/>
  <c r="W246" i="8" s="1"/>
  <c r="V246" i="8" s="1"/>
  <c r="X246" i="8" s="1"/>
  <c r="S268" i="8"/>
  <c r="W268" i="8" s="1"/>
  <c r="V268" i="8" s="1"/>
  <c r="X268" i="8" s="1"/>
  <c r="S284" i="8"/>
  <c r="W284" i="8" s="1"/>
  <c r="V284" i="8" s="1"/>
  <c r="X284" i="8" s="1"/>
  <c r="S219" i="8"/>
  <c r="W219" i="8" s="1"/>
  <c r="V219" i="8" s="1"/>
  <c r="X219" i="8" s="1"/>
  <c r="S205" i="8"/>
  <c r="W205" i="8" s="1"/>
  <c r="V205" i="8" s="1"/>
  <c r="X205" i="8" s="1"/>
  <c r="S190" i="8"/>
  <c r="W190" i="8" s="1"/>
  <c r="V190" i="8" s="1"/>
  <c r="X190" i="8" s="1"/>
  <c r="S143" i="8"/>
  <c r="W143" i="8" s="1"/>
  <c r="V143" i="8" s="1"/>
  <c r="X143" i="8" s="1"/>
  <c r="S103" i="8"/>
  <c r="W103" i="8" s="1"/>
  <c r="V103" i="8" s="1"/>
  <c r="X103" i="8" s="1"/>
  <c r="S94" i="8"/>
  <c r="W94" i="8" s="1"/>
  <c r="V94" i="8" s="1"/>
  <c r="X94" i="8" s="1"/>
  <c r="S87" i="8"/>
  <c r="W87" i="8" s="1"/>
  <c r="V87" i="8" s="1"/>
  <c r="X87" i="8" s="1"/>
  <c r="S72" i="8"/>
  <c r="W72" i="8" s="1"/>
  <c r="V72" i="8" s="1"/>
  <c r="X72" i="8" s="1"/>
  <c r="S64" i="8"/>
  <c r="W64" i="8" s="1"/>
  <c r="V64" i="8" s="1"/>
  <c r="X64" i="8" s="1"/>
  <c r="S56" i="8"/>
  <c r="W56" i="8" s="1"/>
  <c r="V56" i="8" s="1"/>
  <c r="X56" i="8" s="1"/>
  <c r="S49" i="8"/>
  <c r="W49" i="8" s="1"/>
  <c r="V49" i="8" s="1"/>
  <c r="X49" i="8" s="1"/>
  <c r="S71" i="8"/>
  <c r="W71" i="8" s="1"/>
  <c r="V71" i="8" s="1"/>
  <c r="X71" i="8" s="1"/>
  <c r="S63" i="8"/>
  <c r="W63" i="8" s="1"/>
  <c r="V63" i="8" s="1"/>
  <c r="X63" i="8" s="1"/>
  <c r="S55" i="8"/>
  <c r="W55" i="8" s="1"/>
  <c r="V55" i="8" s="1"/>
  <c r="X55" i="8" s="1"/>
  <c r="S38" i="8"/>
  <c r="W38" i="8" s="1"/>
  <c r="V38" i="8" s="1"/>
  <c r="X38" i="8" s="1"/>
  <c r="S44" i="8"/>
  <c r="W44" i="8" s="1"/>
  <c r="V44" i="8" s="1"/>
  <c r="X44" i="8" s="1"/>
  <c r="S111" i="8"/>
  <c r="W111" i="8" s="1"/>
  <c r="V111" i="8" s="1"/>
  <c r="X111" i="8" s="1"/>
  <c r="S77" i="8"/>
  <c r="W77" i="8" s="1"/>
  <c r="V77" i="8" s="1"/>
  <c r="X77" i="8" s="1"/>
  <c r="S61" i="8"/>
  <c r="W61" i="8" s="1"/>
  <c r="V61" i="8" s="1"/>
  <c r="X61" i="8" s="1"/>
  <c r="S280" i="8"/>
  <c r="W280" i="8" s="1"/>
  <c r="V280" i="8" s="1"/>
  <c r="X280" i="8" s="1"/>
  <c r="S291" i="8"/>
  <c r="W291" i="8" s="1"/>
  <c r="V291" i="8" s="1"/>
  <c r="X291" i="8" s="1"/>
  <c r="S264" i="8"/>
  <c r="W264" i="8" s="1"/>
  <c r="V264" i="8" s="1"/>
  <c r="X264" i="8" s="1"/>
  <c r="S258" i="8"/>
  <c r="W258" i="8" s="1"/>
  <c r="V258" i="8" s="1"/>
  <c r="X258" i="8" s="1"/>
  <c r="S250" i="8"/>
  <c r="W250" i="8" s="1"/>
  <c r="V250" i="8" s="1"/>
  <c r="X250" i="8" s="1"/>
  <c r="S203" i="8"/>
  <c r="W203" i="8" s="1"/>
  <c r="V203" i="8" s="1"/>
  <c r="X203" i="8" s="1"/>
  <c r="S151" i="8"/>
  <c r="W151" i="8" s="1"/>
  <c r="V151" i="8" s="1"/>
  <c r="X151" i="8" s="1"/>
  <c r="S136" i="8"/>
  <c r="W136" i="8" s="1"/>
  <c r="V136" i="8" s="1"/>
  <c r="X136" i="8" s="1"/>
  <c r="S109" i="8"/>
  <c r="W109" i="8" s="1"/>
  <c r="V109" i="8" s="1"/>
  <c r="X109" i="8" s="1"/>
  <c r="S124" i="8"/>
  <c r="W124" i="8" s="1"/>
  <c r="V124" i="8" s="1"/>
  <c r="X124" i="8" s="1"/>
  <c r="S81" i="8"/>
  <c r="W81" i="8" s="1"/>
  <c r="V81" i="8" s="1"/>
  <c r="X81" i="8" s="1"/>
  <c r="S86" i="8"/>
  <c r="W86" i="8" s="1"/>
  <c r="V86" i="8" s="1"/>
  <c r="X86" i="8" s="1"/>
  <c r="S92" i="8"/>
  <c r="W92" i="8" s="1"/>
  <c r="V92" i="8" s="1"/>
  <c r="X92" i="8" s="1"/>
  <c r="S83" i="8"/>
  <c r="W83" i="8" s="1"/>
  <c r="V83" i="8" s="1"/>
  <c r="X83" i="8" s="1"/>
  <c r="S46" i="8"/>
  <c r="W46" i="8" s="1"/>
  <c r="V46" i="8" s="1"/>
  <c r="X46" i="8" s="1"/>
  <c r="S80" i="8"/>
  <c r="W80" i="8" s="1"/>
  <c r="V80" i="8" s="1"/>
  <c r="X80" i="8" s="1"/>
  <c r="S172" i="8"/>
  <c r="W172" i="8" s="1"/>
  <c r="V172" i="8" s="1"/>
  <c r="X172" i="8" s="1"/>
  <c r="S393" i="8"/>
  <c r="W393" i="8" s="1"/>
  <c r="V393" i="8" s="1"/>
  <c r="X393" i="8" s="1"/>
  <c r="S363" i="8"/>
  <c r="W363" i="8" s="1"/>
  <c r="V363" i="8" s="1"/>
  <c r="X363" i="8" s="1"/>
  <c r="S347" i="8"/>
  <c r="W347" i="8" s="1"/>
  <c r="V347" i="8" s="1"/>
  <c r="X347" i="8" s="1"/>
  <c r="S266" i="8"/>
  <c r="W266" i="8" s="1"/>
  <c r="V266" i="8" s="1"/>
  <c r="X266" i="8" s="1"/>
  <c r="S270" i="8"/>
  <c r="W270" i="8" s="1"/>
  <c r="V270" i="8" s="1"/>
  <c r="X270" i="8" s="1"/>
  <c r="S227" i="8"/>
  <c r="W227" i="8" s="1"/>
  <c r="V227" i="8" s="1"/>
  <c r="X227" i="8" s="1"/>
  <c r="S210" i="8"/>
  <c r="W210" i="8" s="1"/>
  <c r="V210" i="8" s="1"/>
  <c r="X210" i="8" s="1"/>
  <c r="S231" i="8"/>
  <c r="W231" i="8" s="1"/>
  <c r="V231" i="8" s="1"/>
  <c r="X231" i="8" s="1"/>
  <c r="S223" i="8"/>
  <c r="W223" i="8" s="1"/>
  <c r="V223" i="8" s="1"/>
  <c r="X223" i="8" s="1"/>
  <c r="S189" i="8"/>
  <c r="W189" i="8" s="1"/>
  <c r="V189" i="8" s="1"/>
  <c r="X189" i="8" s="1"/>
  <c r="S181" i="8"/>
  <c r="W181" i="8" s="1"/>
  <c r="V181" i="8" s="1"/>
  <c r="X181" i="8" s="1"/>
  <c r="S132" i="8"/>
  <c r="W132" i="8" s="1"/>
  <c r="V132" i="8" s="1"/>
  <c r="X132" i="8" s="1"/>
  <c r="S62" i="8"/>
  <c r="W62" i="8" s="1"/>
  <c r="V62" i="8" s="1"/>
  <c r="X62" i="8" s="1"/>
  <c r="S53" i="8"/>
  <c r="W53" i="8" s="1"/>
  <c r="V53" i="8" s="1"/>
  <c r="X53" i="8" s="1"/>
  <c r="S355" i="8"/>
  <c r="W355" i="8" s="1"/>
  <c r="V355" i="8" s="1"/>
  <c r="X355" i="8" s="1"/>
  <c r="S278" i="8"/>
  <c r="W278" i="8" s="1"/>
  <c r="V278" i="8" s="1"/>
  <c r="X278" i="8" s="1"/>
  <c r="S254" i="8"/>
  <c r="W254" i="8" s="1"/>
  <c r="V254" i="8" s="1"/>
  <c r="X254" i="8" s="1"/>
  <c r="S197" i="8"/>
  <c r="W197" i="8" s="1"/>
  <c r="V197" i="8" s="1"/>
  <c r="X197" i="8" s="1"/>
  <c r="S178" i="8"/>
  <c r="W178" i="8" s="1"/>
  <c r="V178" i="8" s="1"/>
  <c r="X178" i="8" s="1"/>
  <c r="S198" i="8"/>
  <c r="W198" i="8" s="1"/>
  <c r="V198" i="8" s="1"/>
  <c r="X198" i="8" s="1"/>
  <c r="S177" i="8"/>
  <c r="W177" i="8" s="1"/>
  <c r="V177" i="8" s="1"/>
  <c r="X177" i="8" s="1"/>
  <c r="S152" i="8"/>
  <c r="W152" i="8" s="1"/>
  <c r="V152" i="8" s="1"/>
  <c r="X152" i="8" s="1"/>
  <c r="S147" i="8"/>
  <c r="W147" i="8" s="1"/>
  <c r="V147" i="8" s="1"/>
  <c r="X147" i="8" s="1"/>
  <c r="S274" i="8"/>
  <c r="W274" i="8" s="1"/>
  <c r="V274" i="8" s="1"/>
  <c r="X274" i="8" s="1"/>
  <c r="S272" i="8"/>
  <c r="W272" i="8" s="1"/>
  <c r="V272" i="8" s="1"/>
  <c r="X272" i="8" s="1"/>
  <c r="S182" i="8"/>
  <c r="W182" i="8" s="1"/>
  <c r="V182" i="8" s="1"/>
  <c r="X182" i="8" s="1"/>
  <c r="S211" i="8"/>
  <c r="W211" i="8" s="1"/>
  <c r="V211" i="8" s="1"/>
  <c r="X211" i="8" s="1"/>
  <c r="S194" i="8"/>
  <c r="W194" i="8" s="1"/>
  <c r="V194" i="8" s="1"/>
  <c r="X194" i="8" s="1"/>
  <c r="S168" i="8"/>
  <c r="W168" i="8" s="1"/>
  <c r="V168" i="8" s="1"/>
  <c r="X168" i="8" s="1"/>
  <c r="S185" i="8"/>
  <c r="W185" i="8" s="1"/>
  <c r="V185" i="8" s="1"/>
  <c r="X185" i="8" s="1"/>
  <c r="S149" i="8"/>
  <c r="W149" i="8" s="1"/>
  <c r="V149" i="8" s="1"/>
  <c r="X149" i="8" s="1"/>
  <c r="S161" i="8"/>
  <c r="W161" i="8" s="1"/>
  <c r="V161" i="8" s="1"/>
  <c r="X161" i="8" s="1"/>
  <c r="S113" i="8"/>
  <c r="W113" i="8" s="1"/>
  <c r="V113" i="8" s="1"/>
  <c r="X113" i="8" s="1"/>
  <c r="S134" i="8"/>
  <c r="W134" i="8" s="1"/>
  <c r="V134" i="8" s="1"/>
  <c r="X134" i="8" s="1"/>
  <c r="S128" i="8"/>
  <c r="W128" i="8" s="1"/>
  <c r="V128" i="8" s="1"/>
  <c r="X128" i="8" s="1"/>
  <c r="S99" i="8"/>
  <c r="W99" i="8" s="1"/>
  <c r="V99" i="8" s="1"/>
  <c r="X99" i="8" s="1"/>
  <c r="S68" i="8"/>
  <c r="W68" i="8" s="1"/>
  <c r="V68" i="8" s="1"/>
  <c r="X68" i="8" s="1"/>
  <c r="S60" i="8"/>
  <c r="W60" i="8" s="1"/>
  <c r="V60" i="8" s="1"/>
  <c r="X60" i="8" s="1"/>
  <c r="S52" i="8"/>
  <c r="W52" i="8" s="1"/>
  <c r="V52" i="8" s="1"/>
  <c r="X52" i="8" s="1"/>
  <c r="S76" i="8"/>
  <c r="W76" i="8" s="1"/>
  <c r="V76" i="8" s="1"/>
  <c r="X76" i="8" s="1"/>
  <c r="S67" i="8"/>
  <c r="W67" i="8" s="1"/>
  <c r="V67" i="8" s="1"/>
  <c r="X67" i="8" s="1"/>
  <c r="S59" i="8"/>
  <c r="W59" i="8" s="1"/>
  <c r="V59" i="8" s="1"/>
  <c r="X59" i="8" s="1"/>
  <c r="S34" i="8"/>
  <c r="W34" i="8" s="1"/>
  <c r="V34" i="8" s="1"/>
  <c r="X34" i="8" s="1"/>
  <c r="S33" i="8"/>
  <c r="W33" i="8" s="1"/>
  <c r="V33" i="8" s="1"/>
  <c r="X33" i="8" s="1"/>
  <c r="S29" i="8"/>
  <c r="W29" i="8" s="1"/>
  <c r="V29" i="8" s="1"/>
  <c r="X29" i="8" s="1"/>
  <c r="G30" i="11"/>
  <c r="H30" i="11"/>
  <c r="I30" i="11"/>
  <c r="S26" i="8"/>
  <c r="F30" i="11"/>
  <c r="X30" i="8" l="1"/>
  <c r="S13" i="8"/>
  <c r="S14" i="8"/>
  <c r="S15" i="8"/>
  <c r="V22" i="8"/>
  <c r="R22" i="8"/>
  <c r="R317" i="8" l="1"/>
  <c r="R348" i="8"/>
  <c r="R415" i="8"/>
  <c r="R323" i="8"/>
  <c r="R333" i="8"/>
  <c r="R378" i="8"/>
  <c r="R381" i="8"/>
  <c r="R342" i="8"/>
  <c r="R343" i="8"/>
  <c r="R463" i="8"/>
  <c r="R537" i="8"/>
  <c r="R363" i="8"/>
  <c r="R578" i="8"/>
  <c r="R488" i="8"/>
  <c r="R541" i="8"/>
  <c r="R573" i="8"/>
  <c r="R501" i="8"/>
  <c r="R558" i="8"/>
  <c r="R523" i="8"/>
  <c r="R609" i="8"/>
  <c r="R601" i="8"/>
  <c r="R387" i="8"/>
  <c r="R597" i="8"/>
  <c r="R600" i="8"/>
  <c r="R454" i="8"/>
  <c r="R453" i="8"/>
  <c r="R481" i="8"/>
  <c r="R356" i="8"/>
  <c r="R486" i="8"/>
  <c r="R588" i="8"/>
  <c r="R405" i="8"/>
  <c r="R438" i="8"/>
  <c r="R580" i="8"/>
  <c r="R443" i="8"/>
  <c r="R368" i="8"/>
  <c r="R383" i="8"/>
  <c r="R375" i="8"/>
  <c r="R360" i="8"/>
  <c r="R420" i="8"/>
  <c r="R324" i="8"/>
  <c r="R382" i="8"/>
  <c r="R339" i="8"/>
  <c r="R344" i="8"/>
  <c r="R397" i="8"/>
  <c r="R480" i="8"/>
  <c r="R546" i="8"/>
  <c r="R448" i="8"/>
  <c r="R484" i="8"/>
  <c r="R468" i="8"/>
  <c r="R547" i="8"/>
  <c r="R495" i="8"/>
  <c r="R508" i="8"/>
  <c r="R362" i="8"/>
  <c r="R476" i="8"/>
  <c r="R617" i="8"/>
  <c r="R604" i="8"/>
  <c r="R429" i="8"/>
  <c r="R620" i="8"/>
  <c r="R403" i="8"/>
  <c r="R603" i="8"/>
  <c r="R559" i="8"/>
  <c r="R621" i="8"/>
  <c r="R512" i="8"/>
  <c r="R538" i="8"/>
  <c r="R608" i="8"/>
  <c r="R551" i="8"/>
  <c r="R490" i="8"/>
  <c r="R540" i="8"/>
  <c r="R430" i="8"/>
  <c r="R332" i="8"/>
  <c r="R450" i="8"/>
  <c r="R478" i="8"/>
  <c r="R445" i="8"/>
  <c r="R531" i="8"/>
  <c r="R469" i="8"/>
  <c r="R602" i="8"/>
  <c r="R401" i="8"/>
  <c r="R437" i="8"/>
  <c r="R352" i="8"/>
  <c r="R384" i="8"/>
  <c r="R309" i="8"/>
  <c r="R318" i="8"/>
  <c r="R334" i="8"/>
  <c r="R338" i="8"/>
  <c r="R395" i="8"/>
  <c r="R370" i="8"/>
  <c r="R350" i="8"/>
  <c r="R406" i="8"/>
  <c r="R483" i="8"/>
  <c r="R455" i="8"/>
  <c r="R487" i="8"/>
  <c r="R471" i="8"/>
  <c r="R396" i="8"/>
  <c r="R496" i="8"/>
  <c r="R554" i="8"/>
  <c r="R514" i="8"/>
  <c r="R574" i="8"/>
  <c r="R479" i="8"/>
  <c r="R456" i="8"/>
  <c r="R598" i="8"/>
  <c r="R606" i="8"/>
  <c r="R584" i="8"/>
  <c r="R569" i="8"/>
  <c r="R581" i="8"/>
  <c r="R399" i="8"/>
  <c r="R482" i="8"/>
  <c r="R457" i="8"/>
  <c r="R511" i="8"/>
  <c r="R425" i="8"/>
  <c r="R470" i="8"/>
  <c r="R532" i="8"/>
  <c r="R417" i="8"/>
  <c r="R542" i="8"/>
  <c r="R385" i="8"/>
  <c r="R336" i="8"/>
  <c r="R340" i="8"/>
  <c r="R376" i="8"/>
  <c r="R365" i="8"/>
  <c r="R440" i="8"/>
  <c r="R355" i="8"/>
  <c r="R346" i="8"/>
  <c r="R421" i="8"/>
  <c r="R354" i="8"/>
  <c r="R407" i="8"/>
  <c r="R410" i="8"/>
  <c r="R361" i="8"/>
  <c r="R423" i="8"/>
  <c r="R462" i="8"/>
  <c r="R504" i="8"/>
  <c r="R390" i="8"/>
  <c r="R552" i="8"/>
  <c r="R404" i="8"/>
  <c r="R505" i="8"/>
  <c r="R556" i="8"/>
  <c r="R374" i="8"/>
  <c r="R516" i="8"/>
  <c r="R519" i="8"/>
  <c r="R503" i="8"/>
  <c r="R599" i="8"/>
  <c r="R544" i="8"/>
  <c r="R474" i="8"/>
  <c r="R359" i="8"/>
  <c r="R414" i="8"/>
  <c r="R427" i="8"/>
  <c r="R461" i="8"/>
  <c r="R500" i="8"/>
  <c r="R451" i="8"/>
  <c r="R521" i="8"/>
  <c r="R413" i="8"/>
  <c r="R311" i="8"/>
  <c r="R351" i="8"/>
  <c r="R393" i="8"/>
  <c r="R372" i="8"/>
  <c r="R367" i="8"/>
  <c r="R447" i="8"/>
  <c r="R377" i="8"/>
  <c r="R347" i="8"/>
  <c r="R431" i="8"/>
  <c r="R357" i="8"/>
  <c r="R408" i="8"/>
  <c r="R315" i="8"/>
  <c r="R319" i="8"/>
  <c r="R373" i="8"/>
  <c r="R424" i="8"/>
  <c r="R555" i="8"/>
  <c r="R563" i="8"/>
  <c r="R557" i="8"/>
  <c r="R400" i="8"/>
  <c r="R522" i="8"/>
  <c r="R550" i="8"/>
  <c r="R513" i="8"/>
  <c r="R567" i="8"/>
  <c r="R622" i="8"/>
  <c r="R613" i="8"/>
  <c r="R549" i="8"/>
  <c r="R498" i="8"/>
  <c r="R517" i="8"/>
  <c r="R561" i="8"/>
  <c r="R611" i="8"/>
  <c r="R466" i="8"/>
  <c r="R460" i="8"/>
  <c r="R433" i="8"/>
  <c r="R485" i="8"/>
  <c r="R625" i="8"/>
  <c r="R426" i="8"/>
  <c r="R548" i="8"/>
  <c r="R477" i="8"/>
  <c r="R545" i="8"/>
  <c r="R509" i="8"/>
  <c r="R391" i="8"/>
  <c r="R465" i="8"/>
  <c r="R312" i="8"/>
  <c r="R313" i="8"/>
  <c r="R321" i="8"/>
  <c r="R379" i="8"/>
  <c r="R353" i="8"/>
  <c r="R432" i="8"/>
  <c r="R327" i="8"/>
  <c r="R416" i="8"/>
  <c r="R436" i="8"/>
  <c r="R325" i="8"/>
  <c r="R510" i="8"/>
  <c r="R464" i="8"/>
  <c r="R528" i="8"/>
  <c r="R562" i="8"/>
  <c r="R525" i="8"/>
  <c r="R571" i="8"/>
  <c r="R475" i="8"/>
  <c r="R366" i="8"/>
  <c r="R568" i="8"/>
  <c r="R619" i="8"/>
  <c r="R553" i="8"/>
  <c r="R623" i="8"/>
  <c r="R610" i="8"/>
  <c r="R605" i="8"/>
  <c r="R589" i="8"/>
  <c r="R616" i="8"/>
  <c r="R592" i="8"/>
  <c r="R530" i="8"/>
  <c r="R524" i="8"/>
  <c r="R586" i="8"/>
  <c r="R502" i="8"/>
  <c r="R507" i="8"/>
  <c r="R566" i="8"/>
  <c r="R534" i="8"/>
  <c r="R442" i="8"/>
  <c r="R435" i="8"/>
  <c r="R564" i="8"/>
  <c r="R607" i="8"/>
  <c r="R518" i="8"/>
  <c r="R473" i="8"/>
  <c r="R398" i="8"/>
  <c r="R419" i="8"/>
  <c r="R527" i="8"/>
  <c r="R364" i="8"/>
  <c r="R314" i="8"/>
  <c r="R394" i="8"/>
  <c r="R411" i="8"/>
  <c r="R322" i="8"/>
  <c r="R358" i="8"/>
  <c r="R439" i="8"/>
  <c r="R369" i="8"/>
  <c r="R337" i="8"/>
  <c r="R330" i="8"/>
  <c r="R386" i="8"/>
  <c r="R467" i="8"/>
  <c r="R529" i="8"/>
  <c r="R572" i="8"/>
  <c r="R491" i="8"/>
  <c r="R452" i="8"/>
  <c r="R515" i="8"/>
  <c r="R585" i="8"/>
  <c r="R587" i="8"/>
  <c r="R624" i="8"/>
  <c r="R615" i="8"/>
  <c r="R595" i="8"/>
  <c r="R570" i="8"/>
  <c r="R493" i="8"/>
  <c r="R618" i="8"/>
  <c r="R565" i="8"/>
  <c r="R575" i="8"/>
  <c r="R583" i="8"/>
  <c r="R497" i="8"/>
  <c r="R614" i="8"/>
  <c r="R489" i="8"/>
  <c r="R388" i="8"/>
  <c r="R560" i="8"/>
  <c r="R418" i="8"/>
  <c r="R446" i="8"/>
  <c r="R526" i="8"/>
  <c r="R434" i="8"/>
  <c r="R409" i="8"/>
  <c r="R576" i="8"/>
  <c r="R459" i="8"/>
  <c r="R392" i="8"/>
  <c r="R441" i="8"/>
  <c r="R310" i="8"/>
  <c r="R316" i="8"/>
  <c r="R402" i="8"/>
  <c r="R412" i="8"/>
  <c r="R328" i="8"/>
  <c r="R371" i="8"/>
  <c r="R444" i="8"/>
  <c r="R335" i="8"/>
  <c r="R428" i="8"/>
  <c r="R326" i="8"/>
  <c r="R341" i="8"/>
  <c r="R331" i="8"/>
  <c r="R389" i="8"/>
  <c r="R329" i="8"/>
  <c r="R536" i="8"/>
  <c r="R579" i="8"/>
  <c r="R472" i="8"/>
  <c r="R533" i="8"/>
  <c r="R582" i="8"/>
  <c r="R499" i="8"/>
  <c r="R593" i="8"/>
  <c r="R492" i="8"/>
  <c r="R590" i="8"/>
  <c r="R591" i="8"/>
  <c r="R612" i="8"/>
  <c r="R596" i="8"/>
  <c r="R506" i="8"/>
  <c r="R520" i="8"/>
  <c r="R543" i="8"/>
  <c r="R449" i="8"/>
  <c r="R577" i="8"/>
  <c r="R494" i="8"/>
  <c r="R380" i="8"/>
  <c r="R539" i="8"/>
  <c r="R422" i="8"/>
  <c r="R535" i="8"/>
  <c r="R594" i="8"/>
  <c r="R458" i="8"/>
  <c r="R320" i="8"/>
  <c r="R345" i="8"/>
  <c r="R349" i="8"/>
  <c r="R125" i="8"/>
  <c r="R93" i="8"/>
  <c r="R275" i="8"/>
  <c r="R261" i="8"/>
  <c r="R205" i="8"/>
  <c r="R291" i="8"/>
  <c r="R164" i="8"/>
  <c r="R289" i="8"/>
  <c r="R61" i="8"/>
  <c r="R171" i="8"/>
  <c r="R185" i="8"/>
  <c r="R247" i="8"/>
  <c r="R299" i="8"/>
  <c r="R219" i="8"/>
  <c r="R77" i="8"/>
  <c r="R109" i="8"/>
  <c r="R157" i="8"/>
  <c r="R300" i="8"/>
  <c r="R143" i="8"/>
  <c r="R150" i="8"/>
  <c r="R233" i="8"/>
  <c r="R178" i="8"/>
  <c r="R192" i="8"/>
  <c r="R45" i="8"/>
  <c r="R308" i="8"/>
  <c r="R28" i="8"/>
  <c r="R31" i="8"/>
  <c r="V18" i="8"/>
  <c r="S12" i="8"/>
  <c r="S11" i="8"/>
  <c r="R39" i="8" l="1"/>
  <c r="R87" i="8"/>
  <c r="R288" i="8"/>
  <c r="R246" i="8"/>
  <c r="R74" i="8"/>
  <c r="R159" i="8"/>
  <c r="R204" i="8"/>
  <c r="R132" i="8"/>
  <c r="R218" i="8"/>
  <c r="R213" i="8"/>
  <c r="R301" i="8"/>
  <c r="R55" i="8"/>
  <c r="R71" i="8"/>
  <c r="R199" i="8"/>
  <c r="R79" i="8"/>
  <c r="R133" i="8"/>
  <c r="R138" i="8"/>
  <c r="R293" i="8"/>
  <c r="R298" i="8"/>
  <c r="R307" i="8"/>
  <c r="R198" i="8"/>
  <c r="R241" i="8"/>
  <c r="R302" i="8"/>
  <c r="R236" i="8"/>
  <c r="R119" i="8"/>
  <c r="R37" i="8"/>
  <c r="R117" i="8"/>
  <c r="R42" i="8"/>
  <c r="R282" i="8"/>
  <c r="R278" i="8"/>
  <c r="R95" i="8"/>
  <c r="R197" i="8"/>
  <c r="R222" i="8"/>
  <c r="R47" i="8"/>
  <c r="R139" i="8"/>
  <c r="R180" i="8"/>
  <c r="R111" i="8"/>
  <c r="R187" i="8"/>
  <c r="R283" i="8"/>
  <c r="R269" i="8"/>
  <c r="R226" i="8"/>
  <c r="R254" i="8"/>
  <c r="R292" i="8"/>
  <c r="R166" i="8"/>
  <c r="R240" i="8"/>
  <c r="R255" i="8"/>
  <c r="R227" i="8"/>
  <c r="R212" i="8"/>
  <c r="R122" i="8"/>
  <c r="R38" i="8"/>
  <c r="R63" i="8"/>
  <c r="R69" i="8"/>
  <c r="R173" i="8"/>
  <c r="R85" i="8"/>
  <c r="R208" i="8"/>
  <c r="R250" i="8"/>
  <c r="R264" i="8"/>
  <c r="R194" i="8"/>
  <c r="R101" i="8"/>
  <c r="R70" i="8"/>
  <c r="R53" i="8"/>
  <c r="R90" i="8"/>
  <c r="R86" i="8"/>
  <c r="R152" i="8"/>
  <c r="R260" i="8"/>
  <c r="R134" i="8"/>
  <c r="R118" i="8"/>
  <c r="R58" i="8"/>
  <c r="R268" i="8"/>
  <c r="R106" i="8"/>
  <c r="R54" i="8"/>
  <c r="R232" i="8"/>
  <c r="R274" i="8"/>
  <c r="R145" i="8"/>
  <c r="R103" i="8"/>
  <c r="R102" i="8"/>
  <c r="R200" i="8"/>
  <c r="R124" i="8"/>
  <c r="R181" i="8"/>
  <c r="R131" i="8"/>
  <c r="R162" i="8"/>
  <c r="R44" i="8"/>
  <c r="R259" i="8"/>
  <c r="R306" i="8"/>
  <c r="R191" i="8"/>
  <c r="R216" i="8"/>
  <c r="R211" i="8"/>
  <c r="R256" i="8"/>
  <c r="R297" i="8"/>
  <c r="R76" i="8"/>
  <c r="R169" i="8"/>
  <c r="R295" i="8"/>
  <c r="R60" i="8"/>
  <c r="R96" i="8"/>
  <c r="R56" i="8"/>
  <c r="R59" i="8"/>
  <c r="R201" i="8"/>
  <c r="R135" i="8"/>
  <c r="R189" i="8"/>
  <c r="R107" i="8"/>
  <c r="R46" i="8"/>
  <c r="R33" i="8"/>
  <c r="R91" i="8"/>
  <c r="R167" i="8"/>
  <c r="R51" i="8"/>
  <c r="R235" i="8"/>
  <c r="R258" i="8"/>
  <c r="R281" i="8"/>
  <c r="R257" i="8"/>
  <c r="R83" i="8"/>
  <c r="R267" i="8"/>
  <c r="R231" i="8"/>
  <c r="R130" i="8"/>
  <c r="R40" i="8"/>
  <c r="R65" i="8"/>
  <c r="R172" i="8"/>
  <c r="R182" i="8"/>
  <c r="R78" i="8"/>
  <c r="R165" i="8"/>
  <c r="R223" i="8"/>
  <c r="R160" i="8"/>
  <c r="R34" i="8"/>
  <c r="R175" i="8"/>
  <c r="R97" i="8"/>
  <c r="R170" i="8"/>
  <c r="R193" i="8"/>
  <c r="R277" i="8"/>
  <c r="R221" i="8"/>
  <c r="R217" i="8"/>
  <c r="R263" i="8"/>
  <c r="R305" i="8"/>
  <c r="R272" i="8"/>
  <c r="R271" i="8"/>
  <c r="R242" i="8"/>
  <c r="R280" i="8"/>
  <c r="R128" i="8"/>
  <c r="R92" i="8"/>
  <c r="R68" i="8"/>
  <c r="R168" i="8"/>
  <c r="R149" i="8"/>
  <c r="R88" i="8"/>
  <c r="R146" i="8"/>
  <c r="R123" i="8"/>
  <c r="R137" i="8"/>
  <c r="R99" i="8"/>
  <c r="R108" i="8"/>
  <c r="R148" i="8"/>
  <c r="R116" i="8"/>
  <c r="R230" i="8"/>
  <c r="R229" i="8"/>
  <c r="R228" i="8"/>
  <c r="R188" i="8"/>
  <c r="R273" i="8"/>
  <c r="R176" i="8"/>
  <c r="R224" i="8"/>
  <c r="R244" i="8"/>
  <c r="R81" i="8"/>
  <c r="R214" i="8"/>
  <c r="R270" i="8"/>
  <c r="R210" i="8"/>
  <c r="R52" i="8"/>
  <c r="R66" i="8"/>
  <c r="R147" i="8"/>
  <c r="R48" i="8"/>
  <c r="R126" i="8"/>
  <c r="R104" i="8"/>
  <c r="R153" i="8"/>
  <c r="R190" i="8"/>
  <c r="R196" i="8"/>
  <c r="R279" i="8"/>
  <c r="R225" i="8"/>
  <c r="R243" i="8"/>
  <c r="R238" i="8"/>
  <c r="R276" i="8"/>
  <c r="R67" i="8"/>
  <c r="R35" i="8"/>
  <c r="R82" i="8"/>
  <c r="R84" i="8"/>
  <c r="R144" i="8"/>
  <c r="R112" i="8"/>
  <c r="R154" i="8"/>
  <c r="R141" i="8"/>
  <c r="R195" i="8"/>
  <c r="R245" i="8"/>
  <c r="R294" i="8"/>
  <c r="R206" i="8"/>
  <c r="R220" i="8"/>
  <c r="R285" i="8"/>
  <c r="R284" i="8"/>
  <c r="R183" i="8"/>
  <c r="R252" i="8"/>
  <c r="R287" i="8"/>
  <c r="R41" i="8"/>
  <c r="R127" i="8"/>
  <c r="R57" i="8"/>
  <c r="R234" i="8"/>
  <c r="R203" i="8"/>
  <c r="R140" i="8"/>
  <c r="R98" i="8"/>
  <c r="R120" i="8"/>
  <c r="R113" i="8"/>
  <c r="R151" i="8"/>
  <c r="R62" i="8"/>
  <c r="R184" i="8"/>
  <c r="R64" i="8"/>
  <c r="R73" i="8"/>
  <c r="R156" i="8"/>
  <c r="R115" i="8"/>
  <c r="R36" i="8"/>
  <c r="R155" i="8"/>
  <c r="R32" i="8"/>
  <c r="R142" i="8"/>
  <c r="R251" i="8"/>
  <c r="R179" i="8"/>
  <c r="R248" i="8"/>
  <c r="R237" i="8"/>
  <c r="R296" i="8"/>
  <c r="R262" i="8"/>
  <c r="R266" i="8"/>
  <c r="R114" i="8"/>
  <c r="R75" i="8"/>
  <c r="R100" i="8"/>
  <c r="R290" i="8"/>
  <c r="R239" i="8"/>
  <c r="R186" i="8"/>
  <c r="R105" i="8"/>
  <c r="R163" i="8"/>
  <c r="R202" i="8"/>
  <c r="R110" i="8"/>
  <c r="R304" i="8"/>
  <c r="R49" i="8"/>
  <c r="R174" i="8"/>
  <c r="R89" i="8"/>
  <c r="R177" i="8"/>
  <c r="R158" i="8"/>
  <c r="R129" i="8"/>
  <c r="R121" i="8"/>
  <c r="R161" i="8"/>
  <c r="R43" i="8"/>
  <c r="R253" i="8"/>
  <c r="R207" i="8"/>
  <c r="R265" i="8"/>
  <c r="R249" i="8"/>
  <c r="R215" i="8"/>
  <c r="R286" i="8"/>
  <c r="R209" i="8"/>
  <c r="R136" i="8"/>
  <c r="R94" i="8"/>
  <c r="R72" i="8"/>
  <c r="R80" i="8"/>
  <c r="R50" i="8"/>
  <c r="R303" i="8"/>
  <c r="R26" i="8"/>
  <c r="R29" i="8"/>
  <c r="R27" i="8"/>
  <c r="R30" i="8"/>
  <c r="Z18" i="8"/>
  <c r="AA18" i="8" s="1"/>
  <c r="L18" i="8"/>
  <c r="F16" i="2"/>
  <c r="W18" i="8"/>
  <c r="J35" i="2" s="1"/>
  <c r="K35" i="2" s="1"/>
  <c r="J16" i="2"/>
  <c r="K16" i="2" s="1"/>
  <c r="H17" i="8"/>
  <c r="H15" i="8"/>
  <c r="H14" i="8"/>
  <c r="H13" i="8"/>
  <c r="H12" i="8"/>
  <c r="H11" i="8"/>
  <c r="G22" i="8"/>
  <c r="G319" i="8" l="1"/>
  <c r="G382" i="8"/>
  <c r="G369" i="8"/>
  <c r="G386" i="8"/>
  <c r="G374" i="8"/>
  <c r="G361" i="8"/>
  <c r="G421" i="8"/>
  <c r="G563" i="8"/>
  <c r="G472" i="8"/>
  <c r="G523" i="8"/>
  <c r="G447" i="8"/>
  <c r="G557" i="8"/>
  <c r="G354" i="8"/>
  <c r="G500" i="8"/>
  <c r="G393" i="8"/>
  <c r="G467" i="8"/>
  <c r="G605" i="8"/>
  <c r="G610" i="8"/>
  <c r="G497" i="8"/>
  <c r="G603" i="8"/>
  <c r="G609" i="8"/>
  <c r="G330" i="8"/>
  <c r="G625" i="8"/>
  <c r="G578" i="8"/>
  <c r="G567" i="8"/>
  <c r="G402" i="8"/>
  <c r="G532" i="8"/>
  <c r="G314" i="8"/>
  <c r="G460" i="8"/>
  <c r="G552" i="8"/>
  <c r="G328" i="8"/>
  <c r="G508" i="8"/>
  <c r="G380" i="8"/>
  <c r="G539" i="8"/>
  <c r="G449" i="8"/>
  <c r="G373" i="8"/>
  <c r="G367" i="8"/>
  <c r="G391" i="8"/>
  <c r="G336" i="8"/>
  <c r="G392" i="8"/>
  <c r="G404" i="8"/>
  <c r="G396" i="8"/>
  <c r="G390" i="8"/>
  <c r="G385" i="8"/>
  <c r="G377" i="8"/>
  <c r="G505" i="8"/>
  <c r="G565" i="8"/>
  <c r="G473" i="8"/>
  <c r="G525" i="8"/>
  <c r="G475" i="8"/>
  <c r="G516" i="8"/>
  <c r="G444" i="8"/>
  <c r="G503" i="8"/>
  <c r="G427" i="8"/>
  <c r="G537" i="8"/>
  <c r="G480" i="8"/>
  <c r="G615" i="8"/>
  <c r="G602" i="8"/>
  <c r="G617" i="8"/>
  <c r="G544" i="8"/>
  <c r="G570" i="8"/>
  <c r="G318" i="8"/>
  <c r="G596" i="8"/>
  <c r="G355" i="8"/>
  <c r="G616" i="8"/>
  <c r="G513" i="8"/>
  <c r="G621" i="8"/>
  <c r="G535" i="8"/>
  <c r="G409" i="8"/>
  <c r="G553" i="8"/>
  <c r="G417" i="8"/>
  <c r="G568" i="8"/>
  <c r="G486" i="8"/>
  <c r="G611" i="8"/>
  <c r="G359" i="8"/>
  <c r="G329" i="8"/>
  <c r="G433" i="8"/>
  <c r="G321" i="8"/>
  <c r="G335" i="8"/>
  <c r="G397" i="8"/>
  <c r="G378" i="8"/>
  <c r="G424" i="8"/>
  <c r="G542" i="8"/>
  <c r="G572" i="8"/>
  <c r="G488" i="8"/>
  <c r="G533" i="8"/>
  <c r="G491" i="8"/>
  <c r="G453" i="8"/>
  <c r="G519" i="8"/>
  <c r="G443" i="8"/>
  <c r="G579" i="8"/>
  <c r="G481" i="8"/>
  <c r="G550" i="8"/>
  <c r="G618" i="8"/>
  <c r="G580" i="8"/>
  <c r="G464" i="8"/>
  <c r="G619" i="8"/>
  <c r="G620" i="8"/>
  <c r="G371" i="8"/>
  <c r="G607" i="8"/>
  <c r="G379" i="8"/>
  <c r="G322" i="8"/>
  <c r="G554" i="8"/>
  <c r="G599" i="8"/>
  <c r="G526" i="8"/>
  <c r="G545" i="8"/>
  <c r="G517" i="8"/>
  <c r="G388" i="8"/>
  <c r="G506" i="8"/>
  <c r="G407" i="8"/>
  <c r="G531" i="8"/>
  <c r="G423" i="8"/>
  <c r="G511" i="8"/>
  <c r="G478" i="8"/>
  <c r="G507" i="8"/>
  <c r="G411" i="8"/>
  <c r="G317" i="8"/>
  <c r="G310" i="8"/>
  <c r="G309" i="8"/>
  <c r="G347" i="8"/>
  <c r="G428" i="8"/>
  <c r="G429" i="8"/>
  <c r="G435" i="8"/>
  <c r="G400" i="8"/>
  <c r="G455" i="8"/>
  <c r="G489" i="8"/>
  <c r="G541" i="8"/>
  <c r="G558" i="8"/>
  <c r="G476" i="8"/>
  <c r="G463" i="8"/>
  <c r="G560" i="8"/>
  <c r="G623" i="8"/>
  <c r="G589" i="8"/>
  <c r="G471" i="8"/>
  <c r="G420" i="8"/>
  <c r="G485" i="8"/>
  <c r="G510" i="8"/>
  <c r="G538" i="8"/>
  <c r="G569" i="8"/>
  <c r="G576" i="8"/>
  <c r="G614" i="8"/>
  <c r="G450" i="8"/>
  <c r="G559" i="8"/>
  <c r="G462" i="8"/>
  <c r="G608" i="8"/>
  <c r="G522" i="8"/>
  <c r="G448" i="8"/>
  <c r="G498" i="8"/>
  <c r="G320" i="8"/>
  <c r="G456" i="8"/>
  <c r="G398" i="8"/>
  <c r="G389" i="8"/>
  <c r="G461" i="8"/>
  <c r="G470" i="8"/>
  <c r="G566" i="8"/>
  <c r="G403" i="8"/>
  <c r="G325" i="8"/>
  <c r="G357" i="8"/>
  <c r="G313" i="8"/>
  <c r="G353" i="8"/>
  <c r="G431" i="8"/>
  <c r="G339" i="8"/>
  <c r="G432" i="8"/>
  <c r="G331" i="8"/>
  <c r="G419" i="8"/>
  <c r="G468" i="8"/>
  <c r="G384" i="8"/>
  <c r="G499" i="8"/>
  <c r="G548" i="8"/>
  <c r="G502" i="8"/>
  <c r="G479" i="8"/>
  <c r="G564" i="8"/>
  <c r="G477" i="8"/>
  <c r="G483" i="8"/>
  <c r="G395" i="8"/>
  <c r="G487" i="8"/>
  <c r="G521" i="8"/>
  <c r="G624" i="8"/>
  <c r="G549" i="8"/>
  <c r="G547" i="8"/>
  <c r="G540" i="8"/>
  <c r="G338" i="8"/>
  <c r="G334" i="8"/>
  <c r="G406" i="8"/>
  <c r="G534" i="8"/>
  <c r="G543" i="8"/>
  <c r="G606" i="8"/>
  <c r="G546" i="8"/>
  <c r="G426" i="8"/>
  <c r="G598" i="8"/>
  <c r="G490" i="8"/>
  <c r="G425" i="8"/>
  <c r="G454" i="8"/>
  <c r="G333" i="8"/>
  <c r="G365" i="8"/>
  <c r="G441" i="8"/>
  <c r="G575" i="8"/>
  <c r="G446" i="8"/>
  <c r="G332" i="8"/>
  <c r="G315" i="8"/>
  <c r="G358" i="8"/>
  <c r="G439" i="8"/>
  <c r="G436" i="8"/>
  <c r="G437" i="8"/>
  <c r="G343" i="8"/>
  <c r="G452" i="8"/>
  <c r="G413" i="8"/>
  <c r="G469" i="8"/>
  <c r="G394" i="8"/>
  <c r="G509" i="8"/>
  <c r="G574" i="8"/>
  <c r="G451" i="8"/>
  <c r="G504" i="8"/>
  <c r="G587" i="8"/>
  <c r="G562" i="8"/>
  <c r="G412" i="8"/>
  <c r="G585" i="8"/>
  <c r="G590" i="8"/>
  <c r="G622" i="8"/>
  <c r="G586" i="8"/>
  <c r="G326" i="8"/>
  <c r="G600" i="8"/>
  <c r="G528" i="8"/>
  <c r="G584" i="8"/>
  <c r="G410" i="8"/>
  <c r="G612" i="8"/>
  <c r="G514" i="8"/>
  <c r="G457" i="8"/>
  <c r="G414" i="8"/>
  <c r="G434" i="8"/>
  <c r="G482" i="8"/>
  <c r="G399" i="8"/>
  <c r="G438" i="8"/>
  <c r="G372" i="8"/>
  <c r="G555" i="8"/>
  <c r="G341" i="8"/>
  <c r="G401" i="8"/>
  <c r="G527" i="8"/>
  <c r="G430" i="8"/>
  <c r="G356" i="8"/>
  <c r="G337" i="8"/>
  <c r="G316" i="8"/>
  <c r="G349" i="8"/>
  <c r="G323" i="8"/>
  <c r="G370" i="8"/>
  <c r="G342" i="8"/>
  <c r="G327" i="8"/>
  <c r="G344" i="8"/>
  <c r="G416" i="8"/>
  <c r="G556" i="8"/>
  <c r="G408" i="8"/>
  <c r="G573" i="8"/>
  <c r="G501" i="8"/>
  <c r="G577" i="8"/>
  <c r="G492" i="8"/>
  <c r="G346" i="8"/>
  <c r="G459" i="8"/>
  <c r="G465" i="8"/>
  <c r="G582" i="8"/>
  <c r="G484" i="8"/>
  <c r="G593" i="8"/>
  <c r="G387" i="8"/>
  <c r="G551" i="8"/>
  <c r="G363" i="8"/>
  <c r="G524" i="8"/>
  <c r="G530" i="8"/>
  <c r="G418" i="8"/>
  <c r="G474" i="8"/>
  <c r="G592" i="8"/>
  <c r="G422" i="8"/>
  <c r="G405" i="8"/>
  <c r="G604" i="8"/>
  <c r="G518" i="8"/>
  <c r="G496" i="8"/>
  <c r="G415" i="8"/>
  <c r="G345" i="8"/>
  <c r="G340" i="8"/>
  <c r="G383" i="8"/>
  <c r="G364" i="8"/>
  <c r="G376" i="8"/>
  <c r="G445" i="8"/>
  <c r="G352" i="8"/>
  <c r="G368" i="8"/>
  <c r="G362" i="8"/>
  <c r="G350" i="8"/>
  <c r="G458" i="8"/>
  <c r="G515" i="8"/>
  <c r="G360" i="8"/>
  <c r="G348" i="8"/>
  <c r="G493" i="8"/>
  <c r="G366" i="8"/>
  <c r="G529" i="8"/>
  <c r="G601" i="8"/>
  <c r="G597" i="8"/>
  <c r="G495" i="8"/>
  <c r="G613" i="8"/>
  <c r="G595" i="8"/>
  <c r="G594" i="8"/>
  <c r="G581" i="8"/>
  <c r="G591" i="8"/>
  <c r="G520" i="8"/>
  <c r="G561" i="8"/>
  <c r="G588" i="8"/>
  <c r="G536" i="8"/>
  <c r="G466" i="8"/>
  <c r="G571" i="8"/>
  <c r="G494" i="8"/>
  <c r="G440" i="8"/>
  <c r="G583" i="8"/>
  <c r="G442" i="8"/>
  <c r="G381" i="8"/>
  <c r="G512" i="8"/>
  <c r="G324" i="8"/>
  <c r="G311" i="8"/>
  <c r="G351" i="8"/>
  <c r="G375" i="8"/>
  <c r="G312" i="8"/>
  <c r="F35" i="2"/>
  <c r="G35" i="2" s="1"/>
  <c r="H35" i="2" s="1"/>
  <c r="G16" i="2"/>
  <c r="H16" i="2" s="1"/>
  <c r="K7" i="13"/>
  <c r="Q14" i="8"/>
  <c r="Q13" i="8"/>
  <c r="Q12" i="8"/>
  <c r="Q11" i="8"/>
  <c r="Q15" i="8"/>
  <c r="AC16" i="9"/>
  <c r="I7" i="13"/>
  <c r="L7" i="13"/>
  <c r="J7" i="13"/>
  <c r="K22" i="8"/>
  <c r="AC602" i="9" l="1"/>
  <c r="AC409" i="9"/>
  <c r="AC442" i="9"/>
  <c r="AC556" i="9"/>
  <c r="AC281" i="9"/>
  <c r="AC486" i="9"/>
  <c r="AC337" i="9"/>
  <c r="AC224" i="9"/>
  <c r="AC165" i="9"/>
  <c r="AC432" i="9"/>
  <c r="AC528" i="9"/>
  <c r="AC531" i="9"/>
  <c r="AC391" i="9"/>
  <c r="AC304" i="9"/>
  <c r="AC460" i="9"/>
  <c r="AC148" i="9"/>
  <c r="AC335" i="9"/>
  <c r="AC396" i="9"/>
  <c r="AC588" i="9"/>
  <c r="AC387" i="9"/>
  <c r="AC340" i="9"/>
  <c r="AC383" i="9"/>
  <c r="AC205" i="9"/>
  <c r="AC276" i="9"/>
  <c r="AC557" i="9"/>
  <c r="AC453" i="9"/>
  <c r="AC419" i="9"/>
  <c r="AC577" i="9"/>
  <c r="AC578" i="9"/>
  <c r="AC132" i="9"/>
  <c r="AC124" i="9"/>
  <c r="AC339" i="9"/>
  <c r="AC369" i="9"/>
  <c r="AC505" i="9"/>
  <c r="AC401" i="9"/>
  <c r="AC217" i="9"/>
  <c r="AC153" i="9"/>
  <c r="AC271" i="9"/>
  <c r="AC604" i="9"/>
  <c r="AC141" i="9"/>
  <c r="AC41" i="9"/>
  <c r="AC126" i="9"/>
  <c r="AC511" i="9"/>
  <c r="AC275" i="9"/>
  <c r="AC352" i="9"/>
  <c r="AC450" i="9"/>
  <c r="AC316" i="9"/>
  <c r="AC611" i="9"/>
  <c r="AC380" i="9"/>
  <c r="AC571" i="9"/>
  <c r="AC500" i="9"/>
  <c r="AC22" i="9"/>
  <c r="AC254" i="9"/>
  <c r="AC83" i="9"/>
  <c r="AC234" i="9"/>
  <c r="AC452" i="9"/>
  <c r="AC464" i="9"/>
  <c r="AC317" i="9"/>
  <c r="AC121" i="9"/>
  <c r="AC512" i="9"/>
  <c r="AC472" i="9"/>
  <c r="AC424" i="9"/>
  <c r="AC181" i="9"/>
  <c r="AC45" i="9"/>
  <c r="AC199" i="9"/>
  <c r="AC223" i="9"/>
  <c r="AC519" i="9"/>
  <c r="AC289" i="9"/>
  <c r="AC237" i="9"/>
  <c r="AC162" i="9"/>
  <c r="AC482" i="9"/>
  <c r="AC594" i="9"/>
  <c r="AC88" i="9"/>
  <c r="AC97" i="9"/>
  <c r="AC47" i="9"/>
  <c r="AC283" i="9"/>
  <c r="AC458" i="9"/>
  <c r="AC98" i="9"/>
  <c r="AC499" i="9"/>
  <c r="AC128" i="9"/>
  <c r="AC189" i="9"/>
  <c r="AC179" i="9"/>
  <c r="AC292" i="9"/>
  <c r="AC244" i="9"/>
  <c r="AC80" i="9"/>
  <c r="AC177" i="9"/>
  <c r="AC454" i="9"/>
  <c r="AC116" i="9"/>
  <c r="AC615" i="9"/>
  <c r="AC433" i="9"/>
  <c r="AC558" i="9"/>
  <c r="AC171" i="9"/>
  <c r="AC587" i="9"/>
  <c r="AC491" i="9"/>
  <c r="AC104" i="9"/>
  <c r="AC137" i="9"/>
  <c r="AC169" i="9"/>
  <c r="AC71" i="9"/>
  <c r="AC596" i="9"/>
  <c r="AC85" i="9"/>
  <c r="AC49" i="9"/>
  <c r="AC438" i="9"/>
  <c r="AC33" i="9"/>
  <c r="AC351" i="9"/>
  <c r="AC358" i="9"/>
  <c r="AC62" i="9"/>
  <c r="AC382" i="9"/>
  <c r="AC252" i="9"/>
  <c r="AC306" i="9"/>
  <c r="AC590" i="9"/>
  <c r="AC570" i="9"/>
  <c r="AC509" i="9"/>
  <c r="AC539" i="9"/>
  <c r="AC112" i="9"/>
  <c r="AC35" i="9"/>
  <c r="AC582" i="9"/>
  <c r="AC322" i="9"/>
  <c r="AC414" i="9"/>
  <c r="AC212" i="9"/>
  <c r="AC393" i="9"/>
  <c r="AC441" i="9"/>
  <c r="AC243" i="9"/>
  <c r="AC581" i="9"/>
  <c r="AC251" i="9"/>
  <c r="AC327" i="9"/>
  <c r="AC259" i="9"/>
  <c r="AC501" i="9"/>
  <c r="AC170" i="9"/>
  <c r="AC161" i="9"/>
  <c r="AC583" i="9"/>
  <c r="AC367" i="9"/>
  <c r="AC603" i="9"/>
  <c r="AC586" i="9"/>
  <c r="AC157" i="9"/>
  <c r="AC416" i="9"/>
  <c r="AC213" i="9"/>
  <c r="AC130" i="9"/>
  <c r="AC478" i="9"/>
  <c r="AC206" i="9"/>
  <c r="AC488" i="9"/>
  <c r="AC305" i="9"/>
  <c r="AC173" i="9"/>
  <c r="AC321" i="9"/>
  <c r="AC550" i="9"/>
  <c r="AC479" i="9"/>
  <c r="AC154" i="9"/>
  <c r="AC110" i="9"/>
  <c r="AC56" i="9"/>
  <c r="AC241" i="9"/>
  <c r="AC363" i="9"/>
  <c r="AC422" i="9"/>
  <c r="AC431" i="9"/>
  <c r="AC150" i="9"/>
  <c r="AC140" i="9"/>
  <c r="AC503" i="9"/>
  <c r="AC131" i="9"/>
  <c r="AC296" i="9"/>
  <c r="AC138" i="9"/>
  <c r="AC490" i="9"/>
  <c r="AC214" i="9"/>
  <c r="AC510" i="9"/>
  <c r="AC211" i="9"/>
  <c r="AC48" i="9"/>
  <c r="AC347" i="9"/>
  <c r="AC54" i="9"/>
  <c r="AC235" i="9"/>
  <c r="AC156" i="9"/>
  <c r="AC435" i="9"/>
  <c r="AC374" i="9"/>
  <c r="AC573" i="9"/>
  <c r="AC299" i="9"/>
  <c r="AC245" i="9"/>
  <c r="AC398" i="9"/>
  <c r="AC368" i="9"/>
  <c r="AC314" i="9"/>
  <c r="AC589" i="9"/>
  <c r="AC72" i="9"/>
  <c r="AC90" i="9"/>
  <c r="AC43" i="9"/>
  <c r="AC360" i="9"/>
  <c r="AC423" i="9"/>
  <c r="AC166" i="9"/>
  <c r="AC188" i="9"/>
  <c r="AC66" i="9"/>
  <c r="AC240" i="9"/>
  <c r="AC231" i="9"/>
  <c r="AC120" i="9"/>
  <c r="AC455" i="9"/>
  <c r="AC516" i="9"/>
  <c r="AC554" i="9"/>
  <c r="AC294" i="9"/>
  <c r="AC551" i="9"/>
  <c r="AC547" i="9"/>
  <c r="AC39" i="9"/>
  <c r="AC239" i="9"/>
  <c r="AC560" i="9"/>
  <c r="AC579" i="9"/>
  <c r="AC372" i="9"/>
  <c r="AC564" i="9"/>
  <c r="AC597" i="9"/>
  <c r="AC451" i="9"/>
  <c r="AC187" i="9"/>
  <c r="AC242" i="9"/>
  <c r="AC40" i="9"/>
  <c r="AC580" i="9"/>
  <c r="AC325" i="9"/>
  <c r="AC399" i="9"/>
  <c r="AC536" i="9"/>
  <c r="AC185" i="9"/>
  <c r="AC548" i="9"/>
  <c r="AC607" i="9"/>
  <c r="AC288" i="9"/>
  <c r="AC208" i="9"/>
  <c r="AC77" i="9"/>
  <c r="AC379" i="9"/>
  <c r="AC334" i="9"/>
  <c r="AC261" i="9"/>
  <c r="AC428" i="9"/>
  <c r="AC534" i="9"/>
  <c r="AC343" i="9"/>
  <c r="AC480" i="9"/>
  <c r="AC36" i="9"/>
  <c r="AC481" i="9"/>
  <c r="AC517" i="9"/>
  <c r="AC584" i="9"/>
  <c r="AC293" i="9"/>
  <c r="AC76" i="9"/>
  <c r="AC28" i="9"/>
  <c r="AC61" i="9"/>
  <c r="AC74" i="9"/>
  <c r="AC549" i="9"/>
  <c r="AC285" i="9"/>
  <c r="AC492" i="9"/>
  <c r="AC233" i="9"/>
  <c r="AC535" i="9"/>
  <c r="AC353" i="9"/>
  <c r="AC144" i="9"/>
  <c r="AC159" i="9"/>
  <c r="AC462" i="9"/>
  <c r="AC530" i="9"/>
  <c r="AC365" i="9"/>
  <c r="AC221" i="9"/>
  <c r="AC198" i="9"/>
  <c r="AC527" i="9"/>
  <c r="AC227" i="9"/>
  <c r="AC286" i="9"/>
  <c r="AC297" i="9"/>
  <c r="AC191" i="9"/>
  <c r="AC100" i="9"/>
  <c r="AC26" i="9"/>
  <c r="AC64" i="9"/>
  <c r="AC364" i="9"/>
  <c r="AC426" i="9"/>
  <c r="AC101" i="9"/>
  <c r="AC496" i="9"/>
  <c r="AC569" i="9"/>
  <c r="AC59" i="9"/>
  <c r="AC196" i="9"/>
  <c r="AC291" i="9"/>
  <c r="AC60" i="9"/>
  <c r="AC320" i="9"/>
  <c r="AC78" i="9"/>
  <c r="AC484" i="9"/>
  <c r="AC346" i="9"/>
  <c r="AC563" i="9"/>
  <c r="AC412" i="9"/>
  <c r="AC568" i="9"/>
  <c r="AC329" i="9"/>
  <c r="AC69" i="9"/>
  <c r="AC525" i="9"/>
  <c r="AC606" i="9"/>
  <c r="AC278" i="9"/>
  <c r="AC469" i="9"/>
  <c r="AC467" i="9"/>
  <c r="AC46" i="9"/>
  <c r="AC377" i="9"/>
  <c r="AC246" i="9"/>
  <c r="AC122" i="9"/>
  <c r="AC413" i="9"/>
  <c r="AC345" i="9"/>
  <c r="AC502" i="9"/>
  <c r="AC514" i="9"/>
  <c r="AC176" i="9"/>
  <c r="AC32" i="9"/>
  <c r="AC174" i="9"/>
  <c r="AC284" i="9"/>
  <c r="AC228" i="9"/>
  <c r="AC107" i="9"/>
  <c r="AC585" i="9"/>
  <c r="AC65" i="9"/>
  <c r="AC190" i="9"/>
  <c r="AC118" i="9"/>
  <c r="AC79" i="9"/>
  <c r="AC599" i="9"/>
  <c r="AC537" i="9"/>
  <c r="AC51" i="9"/>
  <c r="AC497" i="9"/>
  <c r="AC330" i="9"/>
  <c r="AC323" i="9"/>
  <c r="AC421" i="9"/>
  <c r="AC143" i="9"/>
  <c r="AC135" i="9"/>
  <c r="AC344" i="9"/>
  <c r="AC574" i="9"/>
  <c r="AC616" i="9"/>
  <c r="AC342" i="9"/>
  <c r="AC385" i="9"/>
  <c r="AC129" i="9"/>
  <c r="AC576" i="9"/>
  <c r="AC207" i="9"/>
  <c r="AC250" i="9"/>
  <c r="AC612" i="9"/>
  <c r="AC349" i="9"/>
  <c r="AC282" i="9"/>
  <c r="AC84" i="9"/>
  <c r="AC338" i="9"/>
  <c r="AC430" i="9"/>
  <c r="AC172" i="9"/>
  <c r="AC178" i="9"/>
  <c r="AC523" i="9"/>
  <c r="AC417" i="9"/>
  <c r="AC443" i="9"/>
  <c r="AC394" i="9"/>
  <c r="AC552" i="9"/>
  <c r="AC29" i="9"/>
  <c r="AC471" i="9"/>
  <c r="AC477" i="9"/>
  <c r="AC220" i="9"/>
  <c r="AC203" i="9"/>
  <c r="AC310" i="9"/>
  <c r="AC520" i="9"/>
  <c r="AC447" i="9"/>
  <c r="AC476" i="9"/>
  <c r="AC359" i="9"/>
  <c r="AC63" i="9"/>
  <c r="AC201" i="9"/>
  <c r="AC295" i="9"/>
  <c r="AC95" i="9"/>
  <c r="AC265" i="9"/>
  <c r="AC151" i="9"/>
  <c r="AC73" i="9"/>
  <c r="AC272" i="9"/>
  <c r="AC315" i="9"/>
  <c r="AC113" i="9"/>
  <c r="AC160" i="9"/>
  <c r="AC298" i="9"/>
  <c r="AC410" i="9"/>
  <c r="AC232" i="9"/>
  <c r="AC127" i="9"/>
  <c r="AC195" i="9"/>
  <c r="AC427" i="9"/>
  <c r="AC504" i="9"/>
  <c r="AC182" i="9"/>
  <c r="AC24" i="9"/>
  <c r="AC270" i="9"/>
  <c r="AC465" i="9"/>
  <c r="AC405" i="9"/>
  <c r="AC366" i="9"/>
  <c r="AC333" i="9"/>
  <c r="AC498" i="9"/>
  <c r="AC197" i="9"/>
  <c r="AC18" i="9"/>
  <c r="AC158" i="9"/>
  <c r="AC38" i="9"/>
  <c r="AC376" i="9"/>
  <c r="AC463" i="9"/>
  <c r="AC601" i="9"/>
  <c r="AC133" i="9"/>
  <c r="AC448" i="9"/>
  <c r="AC507" i="9"/>
  <c r="AC96" i="9"/>
  <c r="AC264" i="9"/>
  <c r="AC30" i="9"/>
  <c r="AC103" i="9"/>
  <c r="AC429" i="9"/>
  <c r="AC361" i="9"/>
  <c r="AC513" i="9"/>
  <c r="AC371" i="9"/>
  <c r="AC167" i="9"/>
  <c r="AC485" i="9"/>
  <c r="AC115" i="9"/>
  <c r="AC109" i="9"/>
  <c r="AC164" i="9"/>
  <c r="AC180" i="9"/>
  <c r="AC555" i="9"/>
  <c r="AC543" i="9"/>
  <c r="AC538" i="9"/>
  <c r="AC526" i="9"/>
  <c r="AC614" i="9"/>
  <c r="AC446" i="9"/>
  <c r="AC269" i="9"/>
  <c r="AC540" i="9"/>
  <c r="AC255" i="9"/>
  <c r="AC553" i="9"/>
  <c r="AC52" i="9"/>
  <c r="AC31" i="9"/>
  <c r="AC277" i="9"/>
  <c r="AC89" i="9"/>
  <c r="AC466" i="9"/>
  <c r="AC163" i="9"/>
  <c r="AC134" i="9"/>
  <c r="AC533" i="9"/>
  <c r="AC20" i="9"/>
  <c r="AC397" i="9"/>
  <c r="AC487" i="9"/>
  <c r="AC565" i="9"/>
  <c r="AC290" i="9"/>
  <c r="AC319" i="9"/>
  <c r="AC86" i="9"/>
  <c r="AC230" i="9"/>
  <c r="AC81" i="9"/>
  <c r="AC249" i="9"/>
  <c r="AC403" i="9"/>
  <c r="AC595" i="9"/>
  <c r="AC521" i="9"/>
  <c r="AC522" i="9"/>
  <c r="AC19" i="9"/>
  <c r="AC508" i="9"/>
  <c r="AC395" i="9"/>
  <c r="AC390" i="9"/>
  <c r="AC267" i="9"/>
  <c r="AC193" i="9"/>
  <c r="AC313" i="9"/>
  <c r="AC392" i="9"/>
  <c r="AC357" i="9"/>
  <c r="AC406" i="9"/>
  <c r="AC318" i="9"/>
  <c r="AC598" i="9"/>
  <c r="AC106" i="9"/>
  <c r="AC354" i="9"/>
  <c r="AC258" i="9"/>
  <c r="AC301" i="9"/>
  <c r="AC274" i="9"/>
  <c r="AC591" i="9"/>
  <c r="AC119" i="9"/>
  <c r="AC572" i="9"/>
  <c r="AC613" i="9"/>
  <c r="AC389" i="9"/>
  <c r="AC136" i="9"/>
  <c r="AC457" i="9"/>
  <c r="AC273" i="9"/>
  <c r="AC468" i="9"/>
  <c r="AC82" i="9"/>
  <c r="AC324" i="9"/>
  <c r="AC75" i="9"/>
  <c r="AC404" i="9"/>
  <c r="AC381" i="9"/>
  <c r="AC473" i="9"/>
  <c r="AC605" i="9"/>
  <c r="AC312" i="9"/>
  <c r="AC263" i="9"/>
  <c r="AC279" i="9"/>
  <c r="AC117" i="9"/>
  <c r="AC566" i="9"/>
  <c r="AC218" i="9"/>
  <c r="AC506" i="9"/>
  <c r="AC91" i="9"/>
  <c r="AC456" i="9"/>
  <c r="AC348" i="9"/>
  <c r="AC184" i="9"/>
  <c r="AC524" i="9"/>
  <c r="AC21" i="9"/>
  <c r="AC440" i="9"/>
  <c r="AC445" i="9"/>
  <c r="AC70" i="9"/>
  <c r="AC384" i="9"/>
  <c r="AC300" i="9"/>
  <c r="AC260" i="9"/>
  <c r="AC253" i="9"/>
  <c r="AC210" i="9"/>
  <c r="AC489" i="9"/>
  <c r="AC610" i="9"/>
  <c r="AC495" i="9"/>
  <c r="AC108" i="9"/>
  <c r="AC444" i="9"/>
  <c r="AC146" i="9"/>
  <c r="AC388" i="9"/>
  <c r="AC415" i="9"/>
  <c r="AC561" i="9"/>
  <c r="AC155" i="9"/>
  <c r="AC532" i="9"/>
  <c r="AC437" i="9"/>
  <c r="AC386" i="9"/>
  <c r="AC236" i="9"/>
  <c r="AC147" i="9"/>
  <c r="AC542" i="9"/>
  <c r="AC216" i="9"/>
  <c r="AC152" i="9"/>
  <c r="AC25" i="9"/>
  <c r="AC123" i="9"/>
  <c r="AC370" i="9"/>
  <c r="AC336" i="9"/>
  <c r="AC408" i="9"/>
  <c r="AC68" i="9"/>
  <c r="AC562" i="9"/>
  <c r="AC356" i="9"/>
  <c r="AC362" i="9"/>
  <c r="AC483" i="9"/>
  <c r="AC400" i="9"/>
  <c r="AC229" i="9"/>
  <c r="AC309" i="9"/>
  <c r="AC183" i="9"/>
  <c r="AC407" i="9"/>
  <c r="AC331" i="9"/>
  <c r="AC225" i="9"/>
  <c r="AC257" i="9"/>
  <c r="AC125" i="9"/>
  <c r="AC311" i="9"/>
  <c r="AC186" i="9"/>
  <c r="AC545" i="9"/>
  <c r="AC575" i="9"/>
  <c r="AC493" i="9"/>
  <c r="AC200" i="9"/>
  <c r="AC307" i="9"/>
  <c r="AC559" i="9"/>
  <c r="AC529" i="9"/>
  <c r="AC247" i="9"/>
  <c r="AC541" i="9"/>
  <c r="AC266" i="9"/>
  <c r="AC515" i="9"/>
  <c r="AC436" i="9"/>
  <c r="AC53" i="9"/>
  <c r="AC459" i="9"/>
  <c r="AC567" i="9"/>
  <c r="AC194" i="9"/>
  <c r="AC326" i="9"/>
  <c r="AC402" i="9"/>
  <c r="AC373" i="9"/>
  <c r="AC37" i="9"/>
  <c r="AC425" i="9"/>
  <c r="AC609" i="9"/>
  <c r="AC149" i="9"/>
  <c r="AC600" i="9"/>
  <c r="AC168" i="9"/>
  <c r="AC57" i="9"/>
  <c r="AC268" i="9"/>
  <c r="AC87" i="9"/>
  <c r="AC204" i="9"/>
  <c r="AC262" i="9"/>
  <c r="AC328" i="9"/>
  <c r="AC209" i="9"/>
  <c r="AC256" i="9"/>
  <c r="AC544" i="9"/>
  <c r="AC226" i="9"/>
  <c r="AC44" i="9"/>
  <c r="AC202" i="9"/>
  <c r="AC58" i="9"/>
  <c r="AC92" i="9"/>
  <c r="AC332" i="9"/>
  <c r="AC94" i="9"/>
  <c r="AC50" i="9"/>
  <c r="AC280" i="9"/>
  <c r="AC303" i="9"/>
  <c r="AC27" i="9"/>
  <c r="AC222" i="9"/>
  <c r="AC475" i="9"/>
  <c r="AC99" i="9"/>
  <c r="AC474" i="9"/>
  <c r="AC42" i="9"/>
  <c r="AC55" i="9"/>
  <c r="AC105" i="9"/>
  <c r="AC175" i="9"/>
  <c r="AC142" i="9"/>
  <c r="AC23" i="9"/>
  <c r="AC461" i="9"/>
  <c r="AC411" i="9"/>
  <c r="AC219" i="9"/>
  <c r="AC470" i="9"/>
  <c r="AC592" i="9"/>
  <c r="AC449" i="9"/>
  <c r="AC302" i="9"/>
  <c r="AC102" i="9"/>
  <c r="AC111" i="9"/>
  <c r="AC34" i="9"/>
  <c r="AC114" i="9"/>
  <c r="AC145" i="9"/>
  <c r="AC341" i="9"/>
  <c r="AC378" i="9"/>
  <c r="AC434" i="9"/>
  <c r="AC350" i="9"/>
  <c r="AC494" i="9"/>
  <c r="AC215" i="9"/>
  <c r="AC355" i="9"/>
  <c r="AC139" i="9"/>
  <c r="AC593" i="9"/>
  <c r="AC518" i="9"/>
  <c r="AC93" i="9"/>
  <c r="AC439" i="9"/>
  <c r="AC418" i="9"/>
  <c r="AC287" i="9"/>
  <c r="AC546" i="9"/>
  <c r="AC375" i="9"/>
  <c r="AC238" i="9"/>
  <c r="AC608" i="9"/>
  <c r="AC248" i="9"/>
  <c r="AC67" i="9"/>
  <c r="AC308" i="9"/>
  <c r="AC420" i="9"/>
  <c r="AC192" i="9"/>
  <c r="AC17" i="9"/>
  <c r="AC5" i="9"/>
  <c r="R627" i="8"/>
  <c r="AD16" i="9"/>
  <c r="AD5" i="9" s="1"/>
  <c r="AD200" i="9" l="1"/>
  <c r="AD601" i="9"/>
  <c r="AD225" i="9"/>
  <c r="AD142" i="9"/>
  <c r="AD593" i="9"/>
  <c r="AD105" i="9"/>
  <c r="AD44" i="9"/>
  <c r="AD436" i="9"/>
  <c r="AD355" i="9"/>
  <c r="AD219" i="9"/>
  <c r="AD544" i="9"/>
  <c r="AD402" i="9"/>
  <c r="AD575" i="9"/>
  <c r="AD93" i="9"/>
  <c r="AD238" i="9"/>
  <c r="AD341" i="9"/>
  <c r="AD303" i="9"/>
  <c r="AD87" i="9"/>
  <c r="AD192" i="9"/>
  <c r="AD114" i="9"/>
  <c r="AD50" i="9"/>
  <c r="AD57" i="9"/>
  <c r="AD266" i="9"/>
  <c r="AD407" i="9"/>
  <c r="AD248" i="9"/>
  <c r="AD592" i="9"/>
  <c r="AD37" i="9"/>
  <c r="AD546" i="9"/>
  <c r="AD42" i="9"/>
  <c r="AD67" i="9"/>
  <c r="AD439" i="9"/>
  <c r="AD434" i="9"/>
  <c r="AD222" i="9"/>
  <c r="AD262" i="9"/>
  <c r="AD459" i="9"/>
  <c r="AD125" i="9"/>
  <c r="AD370" i="9"/>
  <c r="AD444" i="9"/>
  <c r="AD263" i="9"/>
  <c r="AD119" i="9"/>
  <c r="AD395" i="9"/>
  <c r="AD20" i="9"/>
  <c r="AD302" i="9"/>
  <c r="AD58" i="9"/>
  <c r="AD609" i="9"/>
  <c r="AD559" i="9"/>
  <c r="AD400" i="9"/>
  <c r="AD386" i="9"/>
  <c r="AD300" i="9"/>
  <c r="AD348" i="9"/>
  <c r="AD82" i="9"/>
  <c r="AD318" i="9"/>
  <c r="AD81" i="9"/>
  <c r="AD52" i="9"/>
  <c r="AD25" i="9"/>
  <c r="AD495" i="9"/>
  <c r="AD70" i="9"/>
  <c r="AD605" i="9"/>
  <c r="AD274" i="9"/>
  <c r="AD19" i="9"/>
  <c r="AD134" i="9"/>
  <c r="AD555" i="9"/>
  <c r="AD448" i="9"/>
  <c r="AD160" i="9"/>
  <c r="AD497" i="9"/>
  <c r="AD375" i="9"/>
  <c r="AD139" i="9"/>
  <c r="AD145" i="9"/>
  <c r="AD470" i="9"/>
  <c r="AD55" i="9"/>
  <c r="AD280" i="9"/>
  <c r="AD226" i="9"/>
  <c r="AD268" i="9"/>
  <c r="AD373" i="9"/>
  <c r="AD515" i="9"/>
  <c r="AD493" i="9"/>
  <c r="AD331" i="9"/>
  <c r="AD356" i="9"/>
  <c r="AD152" i="9"/>
  <c r="AD155" i="9"/>
  <c r="AD610" i="9"/>
  <c r="AD445" i="9"/>
  <c r="AD506" i="9"/>
  <c r="AD473" i="9"/>
  <c r="AD457" i="9"/>
  <c r="AD301" i="9"/>
  <c r="AD392" i="9"/>
  <c r="AD522" i="9"/>
  <c r="AD319" i="9"/>
  <c r="AD163" i="9"/>
  <c r="AD540" i="9"/>
  <c r="AD180" i="9"/>
  <c r="AD361" i="9"/>
  <c r="AD133" i="9"/>
  <c r="AD498" i="9"/>
  <c r="AD504" i="9"/>
  <c r="AD113" i="9"/>
  <c r="AD201" i="9"/>
  <c r="AD220" i="9"/>
  <c r="AD523" i="9"/>
  <c r="AD612" i="9"/>
  <c r="AD574" i="9"/>
  <c r="AD51" i="9"/>
  <c r="AD107" i="9"/>
  <c r="AD345" i="9"/>
  <c r="AD278" i="9"/>
  <c r="AD346" i="9"/>
  <c r="AD569" i="9"/>
  <c r="AD191" i="9"/>
  <c r="AD530" i="9"/>
  <c r="AD285" i="9"/>
  <c r="AD517" i="9"/>
  <c r="AD334" i="9"/>
  <c r="AD536" i="9"/>
  <c r="AD597" i="9"/>
  <c r="AD551" i="9"/>
  <c r="AD66" i="9"/>
  <c r="AD589" i="9"/>
  <c r="AD435" i="9"/>
  <c r="AD214" i="9"/>
  <c r="AD431" i="9"/>
  <c r="AD550" i="9"/>
  <c r="AD213" i="9"/>
  <c r="AD170" i="9"/>
  <c r="AD393" i="9"/>
  <c r="AD509" i="9"/>
  <c r="AD351" i="9"/>
  <c r="AD137" i="9"/>
  <c r="AD116" i="9"/>
  <c r="AD128" i="9"/>
  <c r="AD594" i="9"/>
  <c r="AD45" i="9"/>
  <c r="AD452" i="9"/>
  <c r="AD611" i="9"/>
  <c r="AD141" i="9"/>
  <c r="AD339" i="9"/>
  <c r="AD276" i="9"/>
  <c r="AD148" i="9"/>
  <c r="AD224" i="9"/>
  <c r="AD562" i="9"/>
  <c r="AD561" i="9"/>
  <c r="AD440" i="9"/>
  <c r="AD136" i="9"/>
  <c r="AD313" i="9"/>
  <c r="AD290" i="9"/>
  <c r="AD269" i="9"/>
  <c r="AD429" i="9"/>
  <c r="AD333" i="9"/>
  <c r="AD315" i="9"/>
  <c r="AD63" i="9"/>
  <c r="AD250" i="9"/>
  <c r="AD344" i="9"/>
  <c r="AD537" i="9"/>
  <c r="AD228" i="9"/>
  <c r="AD413" i="9"/>
  <c r="AD606" i="9"/>
  <c r="AD484" i="9"/>
  <c r="AD496" i="9"/>
  <c r="AD297" i="9"/>
  <c r="AD462" i="9"/>
  <c r="AD549" i="9"/>
  <c r="AD481" i="9"/>
  <c r="AD379" i="9"/>
  <c r="AD399" i="9"/>
  <c r="AD564" i="9"/>
  <c r="AD294" i="9"/>
  <c r="AD188" i="9"/>
  <c r="AD314" i="9"/>
  <c r="AD156" i="9"/>
  <c r="AD490" i="9"/>
  <c r="AD422" i="9"/>
  <c r="AD321" i="9"/>
  <c r="AD416" i="9"/>
  <c r="AD501" i="9"/>
  <c r="AD212" i="9"/>
  <c r="AD570" i="9"/>
  <c r="AD33" i="9"/>
  <c r="AD104" i="9"/>
  <c r="AD454" i="9"/>
  <c r="AD499" i="9"/>
  <c r="AD482" i="9"/>
  <c r="AD181" i="9"/>
  <c r="AD234" i="9"/>
  <c r="AD316" i="9"/>
  <c r="AD604" i="9"/>
  <c r="AD124" i="9"/>
  <c r="AD205" i="9"/>
  <c r="AD460" i="9"/>
  <c r="AD337" i="9"/>
  <c r="AD216" i="9"/>
  <c r="AD489" i="9"/>
  <c r="AD218" i="9"/>
  <c r="AD381" i="9"/>
  <c r="AD258" i="9"/>
  <c r="AD521" i="9"/>
  <c r="AD466" i="9"/>
  <c r="AD164" i="9"/>
  <c r="AD477" i="9"/>
  <c r="AD287" i="9"/>
  <c r="AD411" i="9"/>
  <c r="AD94" i="9"/>
  <c r="AD256" i="9"/>
  <c r="AD168" i="9"/>
  <c r="AD326" i="9"/>
  <c r="AD541" i="9"/>
  <c r="AD545" i="9"/>
  <c r="AD183" i="9"/>
  <c r="AD68" i="9"/>
  <c r="AD542" i="9"/>
  <c r="AD415" i="9"/>
  <c r="AD210" i="9"/>
  <c r="AD21" i="9"/>
  <c r="AD566" i="9"/>
  <c r="AD404" i="9"/>
  <c r="AD389" i="9"/>
  <c r="AD354" i="9"/>
  <c r="AD193" i="9"/>
  <c r="AD595" i="9"/>
  <c r="AD565" i="9"/>
  <c r="AD89" i="9"/>
  <c r="AD446" i="9"/>
  <c r="AD109" i="9"/>
  <c r="AD103" i="9"/>
  <c r="AD463" i="9"/>
  <c r="AD366" i="9"/>
  <c r="AD195" i="9"/>
  <c r="AD272" i="9"/>
  <c r="AD359" i="9"/>
  <c r="AD471" i="9"/>
  <c r="AD172" i="9"/>
  <c r="AD207" i="9"/>
  <c r="AD135" i="9"/>
  <c r="AD599" i="9"/>
  <c r="AD284" i="9"/>
  <c r="AD122" i="9"/>
  <c r="AD525" i="9"/>
  <c r="AD78" i="9"/>
  <c r="AD101" i="9"/>
  <c r="AD286" i="9"/>
  <c r="AD159" i="9"/>
  <c r="AD74" i="9"/>
  <c r="AD36" i="9"/>
  <c r="AD77" i="9"/>
  <c r="AD325" i="9"/>
  <c r="AD372" i="9"/>
  <c r="AD554" i="9"/>
  <c r="AD166" i="9"/>
  <c r="AD368" i="9"/>
  <c r="AD235" i="9"/>
  <c r="AD138" i="9"/>
  <c r="AD363" i="9"/>
  <c r="AD173" i="9"/>
  <c r="AD157" i="9"/>
  <c r="AD259" i="9"/>
  <c r="AD414" i="9"/>
  <c r="AD590" i="9"/>
  <c r="AD438" i="9"/>
  <c r="AD491" i="9"/>
  <c r="AD177" i="9"/>
  <c r="AD98" i="9"/>
  <c r="AD162" i="9"/>
  <c r="AD424" i="9"/>
  <c r="AD83" i="9"/>
  <c r="AD450" i="9"/>
  <c r="AD271" i="9"/>
  <c r="AD132" i="9"/>
  <c r="AD383" i="9"/>
  <c r="AD304" i="9"/>
  <c r="AD486" i="9"/>
  <c r="AD427" i="9"/>
  <c r="AD178" i="9"/>
  <c r="AD420" i="9"/>
  <c r="AD215" i="9"/>
  <c r="AD34" i="9"/>
  <c r="AD474" i="9"/>
  <c r="AD308" i="9"/>
  <c r="AD418" i="9"/>
  <c r="AD494" i="9"/>
  <c r="AD111" i="9"/>
  <c r="AD461" i="9"/>
  <c r="AD99" i="9"/>
  <c r="AD332" i="9"/>
  <c r="AD209" i="9"/>
  <c r="AD600" i="9"/>
  <c r="AD194" i="9"/>
  <c r="AD247" i="9"/>
  <c r="AD186" i="9"/>
  <c r="AD309" i="9"/>
  <c r="AD408" i="9"/>
  <c r="AD147" i="9"/>
  <c r="AD388" i="9"/>
  <c r="AD253" i="9"/>
  <c r="AD524" i="9"/>
  <c r="AD117" i="9"/>
  <c r="AD75" i="9"/>
  <c r="AD613" i="9"/>
  <c r="AD106" i="9"/>
  <c r="AD267" i="9"/>
  <c r="AD403" i="9"/>
  <c r="AD487" i="9"/>
  <c r="AD277" i="9"/>
  <c r="AD614" i="9"/>
  <c r="AD115" i="9"/>
  <c r="AD30" i="9"/>
  <c r="AD376" i="9"/>
  <c r="AD405" i="9"/>
  <c r="AD127" i="9"/>
  <c r="AD73" i="9"/>
  <c r="AD476" i="9"/>
  <c r="AD29" i="9"/>
  <c r="AD430" i="9"/>
  <c r="AD576" i="9"/>
  <c r="AD143" i="9"/>
  <c r="AD79" i="9"/>
  <c r="AD174" i="9"/>
  <c r="AD246" i="9"/>
  <c r="AD69" i="9"/>
  <c r="AD320" i="9"/>
  <c r="AD426" i="9"/>
  <c r="AD227" i="9"/>
  <c r="AD144" i="9"/>
  <c r="AD61" i="9"/>
  <c r="AD480" i="9"/>
  <c r="AD208" i="9"/>
  <c r="AD580" i="9"/>
  <c r="AD579" i="9"/>
  <c r="AD516" i="9"/>
  <c r="AD423" i="9"/>
  <c r="AD398" i="9"/>
  <c r="AD54" i="9"/>
  <c r="AD296" i="9"/>
  <c r="AD241" i="9"/>
  <c r="AD305" i="9"/>
  <c r="AD586" i="9"/>
  <c r="AD327" i="9"/>
  <c r="AD322" i="9"/>
  <c r="AD306" i="9"/>
  <c r="AD49" i="9"/>
  <c r="AD587" i="9"/>
  <c r="AD80" i="9"/>
  <c r="AD458" i="9"/>
  <c r="AD237" i="9"/>
  <c r="AD472" i="9"/>
  <c r="AD254" i="9"/>
  <c r="AD352" i="9"/>
  <c r="AD153" i="9"/>
  <c r="AD578" i="9"/>
  <c r="AD340" i="9"/>
  <c r="AD391" i="9"/>
  <c r="AD281" i="9"/>
  <c r="AD350" i="9"/>
  <c r="AD102" i="9"/>
  <c r="AD23" i="9"/>
  <c r="AD475" i="9"/>
  <c r="AD92" i="9"/>
  <c r="AD328" i="9"/>
  <c r="AD149" i="9"/>
  <c r="AD567" i="9"/>
  <c r="AD529" i="9"/>
  <c r="AD311" i="9"/>
  <c r="AD229" i="9"/>
  <c r="AD336" i="9"/>
  <c r="AD236" i="9"/>
  <c r="AD146" i="9"/>
  <c r="AD260" i="9"/>
  <c r="AD184" i="9"/>
  <c r="AD279" i="9"/>
  <c r="AD324" i="9"/>
  <c r="AD572" i="9"/>
  <c r="AD598" i="9"/>
  <c r="AD390" i="9"/>
  <c r="AD249" i="9"/>
  <c r="AD397" i="9"/>
  <c r="AD31" i="9"/>
  <c r="AD526" i="9"/>
  <c r="AD485" i="9"/>
  <c r="AD264" i="9"/>
  <c r="AD38" i="9"/>
  <c r="AD465" i="9"/>
  <c r="AD232" i="9"/>
  <c r="AD151" i="9"/>
  <c r="AD447" i="9"/>
  <c r="AD552" i="9"/>
  <c r="AD338" i="9"/>
  <c r="AD129" i="9"/>
  <c r="AD421" i="9"/>
  <c r="AD118" i="9"/>
  <c r="AD32" i="9"/>
  <c r="AD377" i="9"/>
  <c r="AD329" i="9"/>
  <c r="AD60" i="9"/>
  <c r="AD364" i="9"/>
  <c r="AD527" i="9"/>
  <c r="AD353" i="9"/>
  <c r="AD28" i="9"/>
  <c r="AD343" i="9"/>
  <c r="AD288" i="9"/>
  <c r="AD40" i="9"/>
  <c r="AD560" i="9"/>
  <c r="AD455" i="9"/>
  <c r="AD360" i="9"/>
  <c r="AD245" i="9"/>
  <c r="AD347" i="9"/>
  <c r="AD131" i="9"/>
  <c r="AD56" i="9"/>
  <c r="AD488" i="9"/>
  <c r="AD603" i="9"/>
  <c r="AD251" i="9"/>
  <c r="AD582" i="9"/>
  <c r="AD252" i="9"/>
  <c r="AD85" i="9"/>
  <c r="AD171" i="9"/>
  <c r="AD244" i="9"/>
  <c r="AD283" i="9"/>
  <c r="AD289" i="9"/>
  <c r="AD512" i="9"/>
  <c r="AD22" i="9"/>
  <c r="AD275" i="9"/>
  <c r="AD217" i="9"/>
  <c r="AD577" i="9"/>
  <c r="AD387" i="9"/>
  <c r="AD531" i="9"/>
  <c r="AD556" i="9"/>
  <c r="AD385" i="9"/>
  <c r="AD323" i="9"/>
  <c r="AD190" i="9"/>
  <c r="AD176" i="9"/>
  <c r="AD46" i="9"/>
  <c r="AD568" i="9"/>
  <c r="AD291" i="9"/>
  <c r="AD64" i="9"/>
  <c r="AD198" i="9"/>
  <c r="AD535" i="9"/>
  <c r="AD76" i="9"/>
  <c r="AD534" i="9"/>
  <c r="AD607" i="9"/>
  <c r="AD242" i="9"/>
  <c r="AD239" i="9"/>
  <c r="AD120" i="9"/>
  <c r="AD43" i="9"/>
  <c r="AD299" i="9"/>
  <c r="AD48" i="9"/>
  <c r="AD503" i="9"/>
  <c r="AD110" i="9"/>
  <c r="AD206" i="9"/>
  <c r="AD367" i="9"/>
  <c r="AD581" i="9"/>
  <c r="AD35" i="9"/>
  <c r="AD382" i="9"/>
  <c r="AD596" i="9"/>
  <c r="AD558" i="9"/>
  <c r="AD292" i="9"/>
  <c r="AD47" i="9"/>
  <c r="AD519" i="9"/>
  <c r="AD121" i="9"/>
  <c r="AD500" i="9"/>
  <c r="AD511" i="9"/>
  <c r="AD401" i="9"/>
  <c r="AD419" i="9"/>
  <c r="AD588" i="9"/>
  <c r="AD528" i="9"/>
  <c r="AD442" i="9"/>
  <c r="AD538" i="9"/>
  <c r="AD167" i="9"/>
  <c r="AD96" i="9"/>
  <c r="AD158" i="9"/>
  <c r="AD270" i="9"/>
  <c r="AD410" i="9"/>
  <c r="AD265" i="9"/>
  <c r="AD520" i="9"/>
  <c r="AD394" i="9"/>
  <c r="AD84" i="9"/>
  <c r="AD608" i="9"/>
  <c r="AD518" i="9"/>
  <c r="AD378" i="9"/>
  <c r="AD449" i="9"/>
  <c r="AD175" i="9"/>
  <c r="AD27" i="9"/>
  <c r="AD202" i="9"/>
  <c r="AD204" i="9"/>
  <c r="AD425" i="9"/>
  <c r="AD53" i="9"/>
  <c r="AD307" i="9"/>
  <c r="AD257" i="9"/>
  <c r="AD483" i="9"/>
  <c r="AD123" i="9"/>
  <c r="AD437" i="9"/>
  <c r="AD108" i="9"/>
  <c r="AD384" i="9"/>
  <c r="AD456" i="9"/>
  <c r="AD312" i="9"/>
  <c r="AD468" i="9"/>
  <c r="AD591" i="9"/>
  <c r="AD406" i="9"/>
  <c r="AD508" i="9"/>
  <c r="AD230" i="9"/>
  <c r="AD533" i="9"/>
  <c r="AD553" i="9"/>
  <c r="AD543" i="9"/>
  <c r="AD371" i="9"/>
  <c r="AD507" i="9"/>
  <c r="AD18" i="9"/>
  <c r="AD24" i="9"/>
  <c r="AD298" i="9"/>
  <c r="AD95" i="9"/>
  <c r="AD310" i="9"/>
  <c r="AD443" i="9"/>
  <c r="AD282" i="9"/>
  <c r="AD342" i="9"/>
  <c r="AD330" i="9"/>
  <c r="AD65" i="9"/>
  <c r="AD514" i="9"/>
  <c r="AD467" i="9"/>
  <c r="AD412" i="9"/>
  <c r="AD196" i="9"/>
  <c r="AD26" i="9"/>
  <c r="AD221" i="9"/>
  <c r="AD233" i="9"/>
  <c r="AD293" i="9"/>
  <c r="AD428" i="9"/>
  <c r="AD548" i="9"/>
  <c r="AD187" i="9"/>
  <c r="AD39" i="9"/>
  <c r="AD231" i="9"/>
  <c r="AD90" i="9"/>
  <c r="AD573" i="9"/>
  <c r="AD211" i="9"/>
  <c r="AD140" i="9"/>
  <c r="AD154" i="9"/>
  <c r="AD478" i="9"/>
  <c r="AD583" i="9"/>
  <c r="AD243" i="9"/>
  <c r="AD112" i="9"/>
  <c r="AD62" i="9"/>
  <c r="AD71" i="9"/>
  <c r="AD433" i="9"/>
  <c r="AD179" i="9"/>
  <c r="AD97" i="9"/>
  <c r="AD223" i="9"/>
  <c r="AD317" i="9"/>
  <c r="AD571" i="9"/>
  <c r="AD126" i="9"/>
  <c r="AD505" i="9"/>
  <c r="AD453" i="9"/>
  <c r="AD396" i="9"/>
  <c r="AD432" i="9"/>
  <c r="AD409" i="9"/>
  <c r="AD362" i="9"/>
  <c r="AD532" i="9"/>
  <c r="AD91" i="9"/>
  <c r="AD273" i="9"/>
  <c r="AD357" i="9"/>
  <c r="AD86" i="9"/>
  <c r="AD255" i="9"/>
  <c r="AD513" i="9"/>
  <c r="AD197" i="9"/>
  <c r="AD182" i="9"/>
  <c r="AD295" i="9"/>
  <c r="AD203" i="9"/>
  <c r="AD417" i="9"/>
  <c r="AD349" i="9"/>
  <c r="AD616" i="9"/>
  <c r="AD585" i="9"/>
  <c r="AD502" i="9"/>
  <c r="AD469" i="9"/>
  <c r="AD563" i="9"/>
  <c r="AD59" i="9"/>
  <c r="AD100" i="9"/>
  <c r="AD365" i="9"/>
  <c r="AD492" i="9"/>
  <c r="AD584" i="9"/>
  <c r="AD261" i="9"/>
  <c r="AD185" i="9"/>
  <c r="AD451" i="9"/>
  <c r="AD547" i="9"/>
  <c r="AD240" i="9"/>
  <c r="AD72" i="9"/>
  <c r="AD374" i="9"/>
  <c r="AD510" i="9"/>
  <c r="AD150" i="9"/>
  <c r="AD479" i="9"/>
  <c r="AD130" i="9"/>
  <c r="AD161" i="9"/>
  <c r="AD441" i="9"/>
  <c r="AD539" i="9"/>
  <c r="AD358" i="9"/>
  <c r="AD169" i="9"/>
  <c r="AD615" i="9"/>
  <c r="AD189" i="9"/>
  <c r="AD88" i="9"/>
  <c r="AD199" i="9"/>
  <c r="AD464" i="9"/>
  <c r="AD380" i="9"/>
  <c r="AD41" i="9"/>
  <c r="AD369" i="9"/>
  <c r="AD557" i="9"/>
  <c r="AD335" i="9"/>
  <c r="AD165" i="9"/>
  <c r="AD602" i="9"/>
  <c r="AC11" i="9"/>
  <c r="F6" i="9"/>
  <c r="D9" i="17" s="1"/>
  <c r="F8" i="9"/>
  <c r="D11" i="17" s="1"/>
  <c r="E11" i="17" s="1"/>
  <c r="F11" i="17" s="1"/>
  <c r="F7" i="9"/>
  <c r="D10" i="17" s="1"/>
  <c r="E10" i="17" s="1"/>
  <c r="F10" i="17" s="1"/>
  <c r="Y617" i="9"/>
  <c r="U607" i="13" s="1"/>
  <c r="E7" i="15"/>
  <c r="AA26" i="8"/>
  <c r="Z26" i="8" s="1"/>
  <c r="AB26" i="8" s="1"/>
  <c r="D12" i="17"/>
  <c r="D13" i="17"/>
  <c r="U7" i="13"/>
  <c r="AE16" i="9"/>
  <c r="AE5" i="9" s="1"/>
  <c r="P13" i="8"/>
  <c r="P12" i="8"/>
  <c r="P15" i="8"/>
  <c r="P14" i="8"/>
  <c r="P11" i="8"/>
  <c r="T14" i="8"/>
  <c r="I14" i="8"/>
  <c r="T12" i="8"/>
  <c r="I12" i="8"/>
  <c r="T15" i="8"/>
  <c r="I15" i="8"/>
  <c r="T11" i="8"/>
  <c r="I11" i="8"/>
  <c r="W26" i="8"/>
  <c r="V26" i="8" s="1"/>
  <c r="AE380" i="9" l="1"/>
  <c r="AE539" i="9"/>
  <c r="AE72" i="9"/>
  <c r="AE365" i="9"/>
  <c r="AE349" i="9"/>
  <c r="AE86" i="9"/>
  <c r="AE396" i="9"/>
  <c r="AE179" i="9"/>
  <c r="AE154" i="9"/>
  <c r="AE548" i="9"/>
  <c r="AE300" i="9"/>
  <c r="AE395" i="9"/>
  <c r="AE222" i="9"/>
  <c r="AE248" i="9"/>
  <c r="AE464" i="9"/>
  <c r="AE100" i="9"/>
  <c r="AE417" i="9"/>
  <c r="AE357" i="9"/>
  <c r="AE453" i="9"/>
  <c r="AE433" i="9"/>
  <c r="AE140" i="9"/>
  <c r="AE428" i="9"/>
  <c r="AE514" i="9"/>
  <c r="AE298" i="9"/>
  <c r="AE230" i="9"/>
  <c r="AE108" i="9"/>
  <c r="AE204" i="9"/>
  <c r="AE84" i="9"/>
  <c r="AE167" i="9"/>
  <c r="AE500" i="9"/>
  <c r="AE35" i="9"/>
  <c r="AE43" i="9"/>
  <c r="AE198" i="9"/>
  <c r="AE385" i="9"/>
  <c r="AE512" i="9"/>
  <c r="AE251" i="9"/>
  <c r="AE455" i="9"/>
  <c r="AE364" i="9"/>
  <c r="AE338" i="9"/>
  <c r="AE485" i="9"/>
  <c r="AE324" i="9"/>
  <c r="AE311" i="9"/>
  <c r="AE102" i="9"/>
  <c r="AE254" i="9"/>
  <c r="AE322" i="9"/>
  <c r="AE423" i="9"/>
  <c r="AE227" i="9"/>
  <c r="AE576" i="9"/>
  <c r="AE30" i="9"/>
  <c r="AE613" i="9"/>
  <c r="AE309" i="9"/>
  <c r="AE461" i="9"/>
  <c r="AE420" i="9"/>
  <c r="AE450" i="9"/>
  <c r="AE590" i="9"/>
  <c r="AE368" i="9"/>
  <c r="AE159" i="9"/>
  <c r="AE135" i="9"/>
  <c r="AE463" i="9"/>
  <c r="AE354" i="9"/>
  <c r="AE68" i="9"/>
  <c r="AE411" i="9"/>
  <c r="AE218" i="9"/>
  <c r="AE316" i="9"/>
  <c r="AE570" i="9"/>
  <c r="AE314" i="9"/>
  <c r="AE462" i="9"/>
  <c r="AE344" i="9"/>
  <c r="AE313" i="9"/>
  <c r="AE339" i="9"/>
  <c r="AE137" i="9"/>
  <c r="AE214" i="9"/>
  <c r="AE517" i="9"/>
  <c r="AE107" i="9"/>
  <c r="AE504" i="9"/>
  <c r="AE522" i="9"/>
  <c r="AE155" i="9"/>
  <c r="AE226" i="9"/>
  <c r="AE160" i="9"/>
  <c r="AE495" i="9"/>
  <c r="AE240" i="9"/>
  <c r="AE602" i="9"/>
  <c r="AE199" i="9"/>
  <c r="AE161" i="9"/>
  <c r="AE547" i="9"/>
  <c r="AE59" i="9"/>
  <c r="AE203" i="9"/>
  <c r="AE273" i="9"/>
  <c r="AE505" i="9"/>
  <c r="AE71" i="9"/>
  <c r="AE211" i="9"/>
  <c r="AE293" i="9"/>
  <c r="AE65" i="9"/>
  <c r="AE24" i="9"/>
  <c r="AE508" i="9"/>
  <c r="AE437" i="9"/>
  <c r="AE202" i="9"/>
  <c r="AE394" i="9"/>
  <c r="AE441" i="9"/>
  <c r="AE165" i="9"/>
  <c r="AE88" i="9"/>
  <c r="AE130" i="9"/>
  <c r="AE451" i="9"/>
  <c r="AE563" i="9"/>
  <c r="AE295" i="9"/>
  <c r="AE91" i="9"/>
  <c r="AE126" i="9"/>
  <c r="AE62" i="9"/>
  <c r="AE573" i="9"/>
  <c r="AE233" i="9"/>
  <c r="AE330" i="9"/>
  <c r="AE18" i="9"/>
  <c r="AE406" i="9"/>
  <c r="AE123" i="9"/>
  <c r="AE27" i="9"/>
  <c r="AE520" i="9"/>
  <c r="AE442" i="9"/>
  <c r="AE519" i="9"/>
  <c r="AE335" i="9"/>
  <c r="AE189" i="9"/>
  <c r="AE479" i="9"/>
  <c r="AE185" i="9"/>
  <c r="AE469" i="9"/>
  <c r="AE182" i="9"/>
  <c r="AE532" i="9"/>
  <c r="AE571" i="9"/>
  <c r="AE112" i="9"/>
  <c r="AE90" i="9"/>
  <c r="AE221" i="9"/>
  <c r="AE557" i="9"/>
  <c r="AE615" i="9"/>
  <c r="AE150" i="9"/>
  <c r="AE261" i="9"/>
  <c r="AE502" i="9"/>
  <c r="AE197" i="9"/>
  <c r="AE362" i="9"/>
  <c r="AE317" i="9"/>
  <c r="AE243" i="9"/>
  <c r="AE231" i="9"/>
  <c r="AE26" i="9"/>
  <c r="AE282" i="9"/>
  <c r="AE371" i="9"/>
  <c r="AE468" i="9"/>
  <c r="AE257" i="9"/>
  <c r="AE449" i="9"/>
  <c r="AE410" i="9"/>
  <c r="AE588" i="9"/>
  <c r="AE292" i="9"/>
  <c r="AE110" i="9"/>
  <c r="AE607" i="9"/>
  <c r="AE46" i="9"/>
  <c r="AE577" i="9"/>
  <c r="AE171" i="9"/>
  <c r="AE131" i="9"/>
  <c r="AE343" i="9"/>
  <c r="AE32" i="9"/>
  <c r="AE232" i="9"/>
  <c r="AE249" i="9"/>
  <c r="AE146" i="9"/>
  <c r="AE328" i="9"/>
  <c r="AE340" i="9"/>
  <c r="AE80" i="9"/>
  <c r="AE241" i="9"/>
  <c r="AE208" i="9"/>
  <c r="AE246" i="9"/>
  <c r="AE73" i="9"/>
  <c r="AE487" i="9"/>
  <c r="AE253" i="9"/>
  <c r="AE600" i="9"/>
  <c r="AE308" i="9"/>
  <c r="AE304" i="9"/>
  <c r="AE369" i="9"/>
  <c r="AE169" i="9"/>
  <c r="AE510" i="9"/>
  <c r="AE584" i="9"/>
  <c r="AE585" i="9"/>
  <c r="AE513" i="9"/>
  <c r="AE409" i="9"/>
  <c r="AE223" i="9"/>
  <c r="AE583" i="9"/>
  <c r="AE39" i="9"/>
  <c r="AE196" i="9"/>
  <c r="AE443" i="9"/>
  <c r="AE543" i="9"/>
  <c r="AE312" i="9"/>
  <c r="AE87" i="9"/>
  <c r="AE219" i="9"/>
  <c r="AE538" i="9"/>
  <c r="AE121" i="9"/>
  <c r="AE581" i="9"/>
  <c r="AE120" i="9"/>
  <c r="AE64" i="9"/>
  <c r="AE556" i="9"/>
  <c r="AE289" i="9"/>
  <c r="AE603" i="9"/>
  <c r="AE560" i="9"/>
  <c r="AE60" i="9"/>
  <c r="AE552" i="9"/>
  <c r="AE526" i="9"/>
  <c r="AE279" i="9"/>
  <c r="AE529" i="9"/>
  <c r="AE350" i="9"/>
  <c r="AE472" i="9"/>
  <c r="AE327" i="9"/>
  <c r="AE516" i="9"/>
  <c r="AE426" i="9"/>
  <c r="AE430" i="9"/>
  <c r="AE115" i="9"/>
  <c r="AE75" i="9"/>
  <c r="AE186" i="9"/>
  <c r="AE111" i="9"/>
  <c r="AE178" i="9"/>
  <c r="AE83" i="9"/>
  <c r="AE414" i="9"/>
  <c r="AE166" i="9"/>
  <c r="AE286" i="9"/>
  <c r="AE207" i="9"/>
  <c r="AE103" i="9"/>
  <c r="AE389" i="9"/>
  <c r="AE183" i="9"/>
  <c r="AE287" i="9"/>
  <c r="AE489" i="9"/>
  <c r="AE234" i="9"/>
  <c r="AE212" i="9"/>
  <c r="AE188" i="9"/>
  <c r="AE297" i="9"/>
  <c r="AE250" i="9"/>
  <c r="AE136" i="9"/>
  <c r="AE141" i="9"/>
  <c r="AE351" i="9"/>
  <c r="AE435" i="9"/>
  <c r="AE285" i="9"/>
  <c r="AE51" i="9"/>
  <c r="AE498" i="9"/>
  <c r="AE392" i="9"/>
  <c r="AE152" i="9"/>
  <c r="AE280" i="9"/>
  <c r="AE448" i="9"/>
  <c r="AE25" i="9"/>
  <c r="AE386" i="9"/>
  <c r="AE119" i="9"/>
  <c r="AE434" i="9"/>
  <c r="AE601" i="9"/>
  <c r="AE303" i="9"/>
  <c r="AE355" i="9"/>
  <c r="AE367" i="9"/>
  <c r="AE239" i="9"/>
  <c r="AE291" i="9"/>
  <c r="AE531" i="9"/>
  <c r="AE283" i="9"/>
  <c r="AE488" i="9"/>
  <c r="AE40" i="9"/>
  <c r="AE329" i="9"/>
  <c r="AE447" i="9"/>
  <c r="AE31" i="9"/>
  <c r="AE184" i="9"/>
  <c r="AE567" i="9"/>
  <c r="AE281" i="9"/>
  <c r="AE237" i="9"/>
  <c r="AE586" i="9"/>
  <c r="AE579" i="9"/>
  <c r="AE320" i="9"/>
  <c r="AE29" i="9"/>
  <c r="AE614" i="9"/>
  <c r="AE117" i="9"/>
  <c r="AE247" i="9"/>
  <c r="AE494" i="9"/>
  <c r="AE427" i="9"/>
  <c r="AE424" i="9"/>
  <c r="AE259" i="9"/>
  <c r="AE554" i="9"/>
  <c r="AE101" i="9"/>
  <c r="AE172" i="9"/>
  <c r="AE109" i="9"/>
  <c r="AE404" i="9"/>
  <c r="AE545" i="9"/>
  <c r="AE477" i="9"/>
  <c r="AE216" i="9"/>
  <c r="AE181" i="9"/>
  <c r="AE501" i="9"/>
  <c r="AE294" i="9"/>
  <c r="AE496" i="9"/>
  <c r="AE63" i="9"/>
  <c r="AE440" i="9"/>
  <c r="AE611" i="9"/>
  <c r="AE509" i="9"/>
  <c r="AE589" i="9"/>
  <c r="AE530" i="9"/>
  <c r="AE574" i="9"/>
  <c r="AE133" i="9"/>
  <c r="AE301" i="9"/>
  <c r="AE356" i="9"/>
  <c r="AE55" i="9"/>
  <c r="AE555" i="9"/>
  <c r="AE200" i="9"/>
  <c r="AE400" i="9"/>
  <c r="AE263" i="9"/>
  <c r="AE439" i="9"/>
  <c r="AE407" i="9"/>
  <c r="AE341" i="9"/>
  <c r="AE436" i="9"/>
  <c r="AE342" i="9"/>
  <c r="AE507" i="9"/>
  <c r="AE591" i="9"/>
  <c r="AE483" i="9"/>
  <c r="AE175" i="9"/>
  <c r="AE265" i="9"/>
  <c r="AE528" i="9"/>
  <c r="AE47" i="9"/>
  <c r="AE206" i="9"/>
  <c r="AE242" i="9"/>
  <c r="AE568" i="9"/>
  <c r="AE387" i="9"/>
  <c r="AE244" i="9"/>
  <c r="AE56" i="9"/>
  <c r="AE288" i="9"/>
  <c r="AE377" i="9"/>
  <c r="AE151" i="9"/>
  <c r="AE397" i="9"/>
  <c r="AE260" i="9"/>
  <c r="AE149" i="9"/>
  <c r="AE391" i="9"/>
  <c r="AE458" i="9"/>
  <c r="AE305" i="9"/>
  <c r="AE580" i="9"/>
  <c r="AE69" i="9"/>
  <c r="AE476" i="9"/>
  <c r="AE277" i="9"/>
  <c r="AE524" i="9"/>
  <c r="AE194" i="9"/>
  <c r="AE418" i="9"/>
  <c r="AE486" i="9"/>
  <c r="AE162" i="9"/>
  <c r="AE157" i="9"/>
  <c r="AE372" i="9"/>
  <c r="AE78" i="9"/>
  <c r="AE471" i="9"/>
  <c r="AE446" i="9"/>
  <c r="AE566" i="9"/>
  <c r="AE541" i="9"/>
  <c r="AE164" i="9"/>
  <c r="AE337" i="9"/>
  <c r="AE482" i="9"/>
  <c r="AE416" i="9"/>
  <c r="AE564" i="9"/>
  <c r="AE484" i="9"/>
  <c r="AE315" i="9"/>
  <c r="AE561" i="9"/>
  <c r="AE452" i="9"/>
  <c r="AE393" i="9"/>
  <c r="AE66" i="9"/>
  <c r="AE191" i="9"/>
  <c r="AE612" i="9"/>
  <c r="AE361" i="9"/>
  <c r="AE457" i="9"/>
  <c r="AE331" i="9"/>
  <c r="AE470" i="9"/>
  <c r="AE134" i="9"/>
  <c r="AE52" i="9"/>
  <c r="AE559" i="9"/>
  <c r="AE444" i="9"/>
  <c r="AE67" i="9"/>
  <c r="AE266" i="9"/>
  <c r="AE238" i="9"/>
  <c r="AE44" i="9"/>
  <c r="AE98" i="9"/>
  <c r="AE173" i="9"/>
  <c r="AE325" i="9"/>
  <c r="AE525" i="9"/>
  <c r="AE359" i="9"/>
  <c r="AE89" i="9"/>
  <c r="AE21" i="9"/>
  <c r="AE326" i="9"/>
  <c r="AE466" i="9"/>
  <c r="AE460" i="9"/>
  <c r="AE499" i="9"/>
  <c r="AE321" i="9"/>
  <c r="AE399" i="9"/>
  <c r="AE606" i="9"/>
  <c r="AE333" i="9"/>
  <c r="AE562" i="9"/>
  <c r="AE45" i="9"/>
  <c r="AE170" i="9"/>
  <c r="AE551" i="9"/>
  <c r="AE569" i="9"/>
  <c r="AE523" i="9"/>
  <c r="AE180" i="9"/>
  <c r="AE473" i="9"/>
  <c r="AE493" i="9"/>
  <c r="AE145" i="9"/>
  <c r="AE19" i="9"/>
  <c r="AE81" i="9"/>
  <c r="AE609" i="9"/>
  <c r="AE370" i="9"/>
  <c r="AE42" i="9"/>
  <c r="AE57" i="9"/>
  <c r="AE93" i="9"/>
  <c r="AE105" i="9"/>
  <c r="AE307" i="9"/>
  <c r="AE378" i="9"/>
  <c r="AE270" i="9"/>
  <c r="AE419" i="9"/>
  <c r="AE558" i="9"/>
  <c r="AE503" i="9"/>
  <c r="AE534" i="9"/>
  <c r="AE176" i="9"/>
  <c r="AE217" i="9"/>
  <c r="AE85" i="9"/>
  <c r="AE347" i="9"/>
  <c r="AE28" i="9"/>
  <c r="AE118" i="9"/>
  <c r="AE465" i="9"/>
  <c r="AE390" i="9"/>
  <c r="AE236" i="9"/>
  <c r="AE92" i="9"/>
  <c r="AE578" i="9"/>
  <c r="AE587" i="9"/>
  <c r="AE296" i="9"/>
  <c r="AE480" i="9"/>
  <c r="AE174" i="9"/>
  <c r="AE127" i="9"/>
  <c r="AE403" i="9"/>
  <c r="AE388" i="9"/>
  <c r="AE209" i="9"/>
  <c r="AE474" i="9"/>
  <c r="AE383" i="9"/>
  <c r="AE177" i="9"/>
  <c r="AE363" i="9"/>
  <c r="AE77" i="9"/>
  <c r="AE122" i="9"/>
  <c r="AE272" i="9"/>
  <c r="AE565" i="9"/>
  <c r="AE210" i="9"/>
  <c r="AE168" i="9"/>
  <c r="AE521" i="9"/>
  <c r="AE205" i="9"/>
  <c r="AE454" i="9"/>
  <c r="AE422" i="9"/>
  <c r="AE379" i="9"/>
  <c r="AE413" i="9"/>
  <c r="AE429" i="9"/>
  <c r="AE224" i="9"/>
  <c r="AE594" i="9"/>
  <c r="AE213" i="9"/>
  <c r="AE597" i="9"/>
  <c r="AE346" i="9"/>
  <c r="AE220" i="9"/>
  <c r="AE540" i="9"/>
  <c r="AE506" i="9"/>
  <c r="AE515" i="9"/>
  <c r="AE139" i="9"/>
  <c r="AE274" i="9"/>
  <c r="AE318" i="9"/>
  <c r="AE58" i="9"/>
  <c r="AE125" i="9"/>
  <c r="AE546" i="9"/>
  <c r="AE50" i="9"/>
  <c r="AE575" i="9"/>
  <c r="AE593" i="9"/>
  <c r="AE41" i="9"/>
  <c r="AE358" i="9"/>
  <c r="AE374" i="9"/>
  <c r="AE492" i="9"/>
  <c r="AE616" i="9"/>
  <c r="AE255" i="9"/>
  <c r="AE432" i="9"/>
  <c r="AE97" i="9"/>
  <c r="AE478" i="9"/>
  <c r="AE187" i="9"/>
  <c r="AE412" i="9"/>
  <c r="AE310" i="9"/>
  <c r="AE553" i="9"/>
  <c r="AE456" i="9"/>
  <c r="AE53" i="9"/>
  <c r="AE518" i="9"/>
  <c r="AE158" i="9"/>
  <c r="AE401" i="9"/>
  <c r="AE596" i="9"/>
  <c r="AE48" i="9"/>
  <c r="AE76" i="9"/>
  <c r="AE190" i="9"/>
  <c r="AE275" i="9"/>
  <c r="AE252" i="9"/>
  <c r="AE245" i="9"/>
  <c r="AE353" i="9"/>
  <c r="AE421" i="9"/>
  <c r="AE38" i="9"/>
  <c r="AE598" i="9"/>
  <c r="AE336" i="9"/>
  <c r="AE475" i="9"/>
  <c r="AE153" i="9"/>
  <c r="AE49" i="9"/>
  <c r="AE54" i="9"/>
  <c r="AE61" i="9"/>
  <c r="AE79" i="9"/>
  <c r="AE405" i="9"/>
  <c r="AE267" i="9"/>
  <c r="AE147" i="9"/>
  <c r="AE332" i="9"/>
  <c r="AE34" i="9"/>
  <c r="AE132" i="9"/>
  <c r="AE491" i="9"/>
  <c r="AE138" i="9"/>
  <c r="AE36" i="9"/>
  <c r="AE284" i="9"/>
  <c r="AE195" i="9"/>
  <c r="AE595" i="9"/>
  <c r="AE415" i="9"/>
  <c r="AE256" i="9"/>
  <c r="AE258" i="9"/>
  <c r="AE124" i="9"/>
  <c r="AE104" i="9"/>
  <c r="AE490" i="9"/>
  <c r="AE481" i="9"/>
  <c r="AE228" i="9"/>
  <c r="AE269" i="9"/>
  <c r="AE148" i="9"/>
  <c r="AE128" i="9"/>
  <c r="AE550" i="9"/>
  <c r="AE536" i="9"/>
  <c r="AE278" i="9"/>
  <c r="AE201" i="9"/>
  <c r="AE163" i="9"/>
  <c r="AE445" i="9"/>
  <c r="AE373" i="9"/>
  <c r="AE375" i="9"/>
  <c r="AE605" i="9"/>
  <c r="AE82" i="9"/>
  <c r="AE302" i="9"/>
  <c r="AE459" i="9"/>
  <c r="AE37" i="9"/>
  <c r="AE114" i="9"/>
  <c r="AE402" i="9"/>
  <c r="AE142" i="9"/>
  <c r="AE467" i="9"/>
  <c r="AE95" i="9"/>
  <c r="AE533" i="9"/>
  <c r="AE384" i="9"/>
  <c r="AE425" i="9"/>
  <c r="AE608" i="9"/>
  <c r="AE96" i="9"/>
  <c r="AE511" i="9"/>
  <c r="AE382" i="9"/>
  <c r="AE299" i="9"/>
  <c r="AE535" i="9"/>
  <c r="AE323" i="9"/>
  <c r="AE22" i="9"/>
  <c r="AE582" i="9"/>
  <c r="AE360" i="9"/>
  <c r="AE527" i="9"/>
  <c r="AE129" i="9"/>
  <c r="AE264" i="9"/>
  <c r="AE572" i="9"/>
  <c r="AE229" i="9"/>
  <c r="AE23" i="9"/>
  <c r="AE352" i="9"/>
  <c r="AE306" i="9"/>
  <c r="AE398" i="9"/>
  <c r="AE144" i="9"/>
  <c r="AE143" i="9"/>
  <c r="AE376" i="9"/>
  <c r="AE106" i="9"/>
  <c r="AE408" i="9"/>
  <c r="AE99" i="9"/>
  <c r="AE215" i="9"/>
  <c r="AE271" i="9"/>
  <c r="AE438" i="9"/>
  <c r="AE235" i="9"/>
  <c r="AE74" i="9"/>
  <c r="AE599" i="9"/>
  <c r="AE366" i="9"/>
  <c r="AE193" i="9"/>
  <c r="AE542" i="9"/>
  <c r="AE94" i="9"/>
  <c r="AE381" i="9"/>
  <c r="AE604" i="9"/>
  <c r="AE33" i="9"/>
  <c r="AE156" i="9"/>
  <c r="AE549" i="9"/>
  <c r="AE537" i="9"/>
  <c r="AE290" i="9"/>
  <c r="AE276" i="9"/>
  <c r="AE116" i="9"/>
  <c r="AE431" i="9"/>
  <c r="AE334" i="9"/>
  <c r="AE345" i="9"/>
  <c r="AE113" i="9"/>
  <c r="AE319" i="9"/>
  <c r="AE610" i="9"/>
  <c r="AE268" i="9"/>
  <c r="AE497" i="9"/>
  <c r="AE70" i="9"/>
  <c r="AE348" i="9"/>
  <c r="AE20" i="9"/>
  <c r="AE262" i="9"/>
  <c r="AE592" i="9"/>
  <c r="AE192" i="9"/>
  <c r="AE544" i="9"/>
  <c r="AE225" i="9"/>
  <c r="I393" i="8"/>
  <c r="I314" i="8"/>
  <c r="I376" i="8"/>
  <c r="I430" i="8"/>
  <c r="I390" i="8"/>
  <c r="I309" i="8"/>
  <c r="I412" i="8"/>
  <c r="I534" i="8"/>
  <c r="I495" i="8"/>
  <c r="I572" i="8"/>
  <c r="I472" i="8"/>
  <c r="I421" i="8"/>
  <c r="I491" i="8"/>
  <c r="I516" i="8"/>
  <c r="I385" i="8"/>
  <c r="I535" i="8"/>
  <c r="I602" i="8"/>
  <c r="I596" i="8"/>
  <c r="I480" i="8"/>
  <c r="I613" i="8"/>
  <c r="I585" i="8"/>
  <c r="I518" i="8"/>
  <c r="I486" i="8"/>
  <c r="I591" i="8"/>
  <c r="I482" i="8"/>
  <c r="I317" i="8"/>
  <c r="I573" i="8"/>
  <c r="I496" i="8"/>
  <c r="I442" i="8"/>
  <c r="I423" i="8"/>
  <c r="I531" i="8"/>
  <c r="I465" i="8"/>
  <c r="I356" i="8"/>
  <c r="I380" i="8"/>
  <c r="I336" i="8"/>
  <c r="I389" i="8"/>
  <c r="I387" i="8"/>
  <c r="I322" i="8"/>
  <c r="I347" i="8"/>
  <c r="I392" i="8"/>
  <c r="I445" i="8"/>
  <c r="I386" i="8"/>
  <c r="I436" i="8"/>
  <c r="I319" i="8"/>
  <c r="I484" i="8"/>
  <c r="I471" i="8"/>
  <c r="I544" i="8"/>
  <c r="I488" i="8"/>
  <c r="I508" i="8"/>
  <c r="I522" i="8"/>
  <c r="I479" i="8"/>
  <c r="I443" i="8"/>
  <c r="I623" i="8"/>
  <c r="I529" i="8"/>
  <c r="I617" i="8"/>
  <c r="I310" i="8"/>
  <c r="I624" i="8"/>
  <c r="I470" i="8"/>
  <c r="I321" i="8"/>
  <c r="I520" i="8"/>
  <c r="I414" i="8"/>
  <c r="I440" i="8"/>
  <c r="I552" i="8"/>
  <c r="I532" i="8"/>
  <c r="I413" i="8"/>
  <c r="I582" i="8"/>
  <c r="I549" i="8"/>
  <c r="I599" i="8"/>
  <c r="I509" i="8"/>
  <c r="I434" i="8"/>
  <c r="I409" i="8"/>
  <c r="I388" i="8"/>
  <c r="I355" i="8"/>
  <c r="I406" i="8"/>
  <c r="I580" i="8"/>
  <c r="I401" i="8"/>
  <c r="I447" i="8"/>
  <c r="I540" i="8"/>
  <c r="I449" i="8"/>
  <c r="I348" i="8"/>
  <c r="I359" i="8"/>
  <c r="I382" i="8"/>
  <c r="I476" i="8"/>
  <c r="I463" i="8"/>
  <c r="I543" i="8"/>
  <c r="I478" i="8"/>
  <c r="I625" i="8"/>
  <c r="I512" i="8"/>
  <c r="I576" i="8"/>
  <c r="I328" i="8"/>
  <c r="I433" i="8"/>
  <c r="I460" i="8"/>
  <c r="I334" i="8"/>
  <c r="I411" i="8"/>
  <c r="I437" i="8"/>
  <c r="I351" i="8"/>
  <c r="I330" i="8"/>
  <c r="I349" i="8"/>
  <c r="I487" i="8"/>
  <c r="I547" i="8"/>
  <c r="I525" i="8"/>
  <c r="I454" i="8"/>
  <c r="I453" i="8"/>
  <c r="I558" i="8"/>
  <c r="I503" i="8"/>
  <c r="I528" i="8"/>
  <c r="I545" i="8"/>
  <c r="I593" i="8"/>
  <c r="I569" i="8"/>
  <c r="I490" i="8"/>
  <c r="I620" i="8"/>
  <c r="I578" i="8"/>
  <c r="I507" i="8"/>
  <c r="I457" i="8"/>
  <c r="I424" i="8"/>
  <c r="I513" i="8"/>
  <c r="I441" i="8"/>
  <c r="I607" i="8"/>
  <c r="I398" i="8"/>
  <c r="I553" i="8"/>
  <c r="I459" i="8"/>
  <c r="I431" i="8"/>
  <c r="I417" i="8"/>
  <c r="I316" i="8"/>
  <c r="I405" i="8"/>
  <c r="I521" i="8"/>
  <c r="I444" i="8"/>
  <c r="I435" i="8"/>
  <c r="I415" i="8"/>
  <c r="I350" i="8"/>
  <c r="I536" i="8"/>
  <c r="I474" i="8"/>
  <c r="I371" i="8"/>
  <c r="I456" i="8"/>
  <c r="I364" i="8"/>
  <c r="I326" i="8"/>
  <c r="I346" i="8"/>
  <c r="I377" i="8"/>
  <c r="I416" i="8"/>
  <c r="I353" i="8"/>
  <c r="I408" i="8"/>
  <c r="I335" i="8"/>
  <c r="I391" i="8"/>
  <c r="I438" i="8"/>
  <c r="I403" i="8"/>
  <c r="I331" i="8"/>
  <c r="I360" i="8"/>
  <c r="I462" i="8"/>
  <c r="I367" i="8"/>
  <c r="I533" i="8"/>
  <c r="I515" i="8"/>
  <c r="I475" i="8"/>
  <c r="I501" i="8"/>
  <c r="I492" i="8"/>
  <c r="I559" i="8"/>
  <c r="I546" i="8"/>
  <c r="I601" i="8"/>
  <c r="I483" i="8"/>
  <c r="I584" i="8"/>
  <c r="I618" i="8"/>
  <c r="I614" i="8"/>
  <c r="I589" i="8"/>
  <c r="I570" i="8"/>
  <c r="I551" i="8"/>
  <c r="I595" i="8"/>
  <c r="I566" i="8"/>
  <c r="I539" i="8"/>
  <c r="I538" i="8"/>
  <c r="I561" i="8"/>
  <c r="I450" i="8"/>
  <c r="I555" i="8"/>
  <c r="I604" i="8"/>
  <c r="I493" i="8"/>
  <c r="I458" i="8"/>
  <c r="I448" i="8"/>
  <c r="I399" i="8"/>
  <c r="I363" i="8"/>
  <c r="I594" i="8"/>
  <c r="I469" i="8"/>
  <c r="I395" i="8"/>
  <c r="I313" i="8"/>
  <c r="I608" i="8"/>
  <c r="I379" i="8"/>
  <c r="I327" i="8"/>
  <c r="I422" i="8"/>
  <c r="I358" i="8"/>
  <c r="I339" i="8"/>
  <c r="I407" i="8"/>
  <c r="I345" i="8"/>
  <c r="I362" i="8"/>
  <c r="I343" i="8"/>
  <c r="I366" i="8"/>
  <c r="I464" i="8"/>
  <c r="I556" i="8"/>
  <c r="I394" i="8"/>
  <c r="I541" i="8"/>
  <c r="I502" i="8"/>
  <c r="I574" i="8"/>
  <c r="I500" i="8"/>
  <c r="I575" i="8"/>
  <c r="I527" i="8"/>
  <c r="I577" i="8"/>
  <c r="I579" i="8"/>
  <c r="I622" i="8"/>
  <c r="I590" i="8"/>
  <c r="I361" i="8"/>
  <c r="I616" i="8"/>
  <c r="I451" i="8"/>
  <c r="I615" i="8"/>
  <c r="I586" i="8"/>
  <c r="I564" i="8"/>
  <c r="I603" i="8"/>
  <c r="I583" i="8"/>
  <c r="I497" i="8"/>
  <c r="I373" i="8"/>
  <c r="I426" i="8"/>
  <c r="I410" i="8"/>
  <c r="I489" i="8"/>
  <c r="I340" i="8"/>
  <c r="I592" i="8"/>
  <c r="I498" i="8"/>
  <c r="I432" i="8"/>
  <c r="I485" i="8"/>
  <c r="I332" i="8"/>
  <c r="I337" i="8"/>
  <c r="I323" i="8"/>
  <c r="I369" i="8"/>
  <c r="I420" i="8"/>
  <c r="I468" i="8"/>
  <c r="I609" i="8"/>
  <c r="I597" i="8"/>
  <c r="I565" i="8"/>
  <c r="I315" i="8"/>
  <c r="I383" i="8"/>
  <c r="I427" i="8"/>
  <c r="I338" i="8"/>
  <c r="I342" i="8"/>
  <c r="I428" i="8"/>
  <c r="I374" i="8"/>
  <c r="I467" i="8"/>
  <c r="I560" i="8"/>
  <c r="I397" i="8"/>
  <c r="I562" i="8"/>
  <c r="I419" i="8"/>
  <c r="I505" i="8"/>
  <c r="I378" i="8"/>
  <c r="I446" i="8"/>
  <c r="I568" i="8"/>
  <c r="I605" i="8"/>
  <c r="I619" i="8"/>
  <c r="I537" i="8"/>
  <c r="I311" i="8"/>
  <c r="I621" i="8"/>
  <c r="I600" i="8"/>
  <c r="I329" i="8"/>
  <c r="I581" i="8"/>
  <c r="I550" i="8"/>
  <c r="I530" i="8"/>
  <c r="I557" i="8"/>
  <c r="I418" i="8"/>
  <c r="I455" i="8"/>
  <c r="I481" i="8"/>
  <c r="I341" i="8"/>
  <c r="I571" i="8"/>
  <c r="I587" i="8"/>
  <c r="I524" i="8"/>
  <c r="I477" i="8"/>
  <c r="I344" i="8"/>
  <c r="I357" i="8"/>
  <c r="I402" i="8"/>
  <c r="I333" i="8"/>
  <c r="I354" i="8"/>
  <c r="I312" i="8"/>
  <c r="I370" i="8"/>
  <c r="I352" i="8"/>
  <c r="I429" i="8"/>
  <c r="I368" i="8"/>
  <c r="I404" i="8"/>
  <c r="I384" i="8"/>
  <c r="I526" i="8"/>
  <c r="I494" i="8"/>
  <c r="I506" i="8"/>
  <c r="I563" i="8"/>
  <c r="I499" i="8"/>
  <c r="I523" i="8"/>
  <c r="I400" i="8"/>
  <c r="I514" i="8"/>
  <c r="I452" i="8"/>
  <c r="I519" i="8"/>
  <c r="I610" i="8"/>
  <c r="I588" i="8"/>
  <c r="I504" i="8"/>
  <c r="I325" i="8"/>
  <c r="I517" i="8"/>
  <c r="I466" i="8"/>
  <c r="I511" i="8"/>
  <c r="I611" i="8"/>
  <c r="I381" i="8"/>
  <c r="I548" i="8"/>
  <c r="I439" i="8"/>
  <c r="I473" i="8"/>
  <c r="I372" i="8"/>
  <c r="I612" i="8"/>
  <c r="I598" i="8"/>
  <c r="I510" i="8"/>
  <c r="I425" i="8"/>
  <c r="I318" i="8"/>
  <c r="I375" i="8"/>
  <c r="I396" i="8"/>
  <c r="I542" i="8"/>
  <c r="I554" i="8"/>
  <c r="I567" i="8"/>
  <c r="I461" i="8"/>
  <c r="I606" i="8"/>
  <c r="I320" i="8"/>
  <c r="I365" i="8"/>
  <c r="I324" i="8"/>
  <c r="T372" i="8"/>
  <c r="T452" i="8"/>
  <c r="T393" i="8"/>
  <c r="T433" i="8"/>
  <c r="T323" i="8"/>
  <c r="T355" i="8"/>
  <c r="T392" i="8"/>
  <c r="T353" i="8"/>
  <c r="T346" i="8"/>
  <c r="T378" i="8"/>
  <c r="T421" i="8"/>
  <c r="T343" i="8"/>
  <c r="T542" i="8"/>
  <c r="T471" i="8"/>
  <c r="T525" i="8"/>
  <c r="T563" i="8"/>
  <c r="T374" i="8"/>
  <c r="T581" i="8"/>
  <c r="T585" i="8"/>
  <c r="T605" i="8"/>
  <c r="T607" i="8"/>
  <c r="T606" i="8"/>
  <c r="T604" i="8"/>
  <c r="T584" i="8"/>
  <c r="T496" i="8"/>
  <c r="T621" i="8"/>
  <c r="T552" i="8"/>
  <c r="T401" i="8"/>
  <c r="T345" i="8"/>
  <c r="T522" i="8"/>
  <c r="T459" i="8"/>
  <c r="T546" i="8"/>
  <c r="T434" i="8"/>
  <c r="T456" i="8"/>
  <c r="T566" i="8"/>
  <c r="T478" i="8"/>
  <c r="T341" i="8"/>
  <c r="T328" i="8"/>
  <c r="T312" i="8"/>
  <c r="T311" i="8"/>
  <c r="T418" i="8"/>
  <c r="T457" i="8"/>
  <c r="T359" i="8"/>
  <c r="T440" i="8"/>
  <c r="T394" i="8"/>
  <c r="T381" i="8"/>
  <c r="T449" i="8"/>
  <c r="T363" i="8"/>
  <c r="T387" i="8"/>
  <c r="T476" i="8"/>
  <c r="T513" i="8"/>
  <c r="T550" i="8"/>
  <c r="T539" i="8"/>
  <c r="T351" i="8"/>
  <c r="T463" i="8"/>
  <c r="T579" i="8"/>
  <c r="T548" i="8"/>
  <c r="T529" i="8"/>
  <c r="T488" i="8"/>
  <c r="T389" i="8"/>
  <c r="T551" i="8"/>
  <c r="T437" i="8"/>
  <c r="T594" i="8"/>
  <c r="T595" i="8"/>
  <c r="T475" i="8"/>
  <c r="T609" i="8"/>
  <c r="T491" i="8"/>
  <c r="T500" i="8"/>
  <c r="T615" i="8"/>
  <c r="T592" i="8"/>
  <c r="T625" i="8"/>
  <c r="T569" i="8"/>
  <c r="T611" i="8"/>
  <c r="T477" i="8"/>
  <c r="T473" i="8"/>
  <c r="T502" i="8"/>
  <c r="T490" i="8"/>
  <c r="T560" i="8"/>
  <c r="T333" i="8"/>
  <c r="T518" i="8"/>
  <c r="T470" i="8"/>
  <c r="T349" i="8"/>
  <c r="T329" i="8"/>
  <c r="T336" i="8"/>
  <c r="T319" i="8"/>
  <c r="T386" i="8"/>
  <c r="T362" i="8"/>
  <c r="T443" i="8"/>
  <c r="T432" i="8"/>
  <c r="T357" i="8"/>
  <c r="T382" i="8"/>
  <c r="T428" i="8"/>
  <c r="T367" i="8"/>
  <c r="T479" i="8"/>
  <c r="T519" i="8"/>
  <c r="T373" i="8"/>
  <c r="T526" i="8"/>
  <c r="T384" i="8"/>
  <c r="T580" i="8"/>
  <c r="T419" i="8"/>
  <c r="T484" i="8"/>
  <c r="T531" i="8"/>
  <c r="T524" i="8"/>
  <c r="T435" i="8"/>
  <c r="T556" i="8"/>
  <c r="T597" i="8"/>
  <c r="T603" i="8"/>
  <c r="T598" i="8"/>
  <c r="T499" i="8"/>
  <c r="T516" i="8"/>
  <c r="T453" i="8"/>
  <c r="T599" i="8"/>
  <c r="T616" i="8"/>
  <c r="T520" i="8"/>
  <c r="T562" i="8"/>
  <c r="T405" i="8"/>
  <c r="T415" i="8"/>
  <c r="T514" i="8"/>
  <c r="T596" i="8"/>
  <c r="T482" i="8"/>
  <c r="T458" i="8"/>
  <c r="T586" i="8"/>
  <c r="T324" i="8"/>
  <c r="T322" i="8"/>
  <c r="T318" i="8"/>
  <c r="T423" i="8"/>
  <c r="T365" i="8"/>
  <c r="T376" i="8"/>
  <c r="T412" i="8"/>
  <c r="T327" i="8"/>
  <c r="T358" i="8"/>
  <c r="T391" i="8"/>
  <c r="T430" i="8"/>
  <c r="T370" i="8"/>
  <c r="T559" i="8"/>
  <c r="T424" i="8"/>
  <c r="T527" i="8"/>
  <c r="T549" i="8"/>
  <c r="T510" i="8"/>
  <c r="T455" i="8"/>
  <c r="T487" i="8"/>
  <c r="T533" i="8"/>
  <c r="T495" i="8"/>
  <c r="T540" i="8"/>
  <c r="T446" i="8"/>
  <c r="T557" i="8"/>
  <c r="T593" i="8"/>
  <c r="T590" i="8"/>
  <c r="T614" i="8"/>
  <c r="T602" i="8"/>
  <c r="T578" i="8"/>
  <c r="T577" i="8"/>
  <c r="T600" i="8"/>
  <c r="T521" i="8"/>
  <c r="T469" i="8"/>
  <c r="T474" i="8"/>
  <c r="T494" i="8"/>
  <c r="T489" i="8"/>
  <c r="T545" i="8"/>
  <c r="T481" i="8"/>
  <c r="T317" i="8"/>
  <c r="T309" i="8"/>
  <c r="T350" i="8"/>
  <c r="T397" i="8"/>
  <c r="T366" i="8"/>
  <c r="T377" i="8"/>
  <c r="T417" i="8"/>
  <c r="T364" i="8"/>
  <c r="T444" i="8"/>
  <c r="T335" i="8"/>
  <c r="T368" i="8"/>
  <c r="T395" i="8"/>
  <c r="T431" i="8"/>
  <c r="T342" i="8"/>
  <c r="T396" i="8"/>
  <c r="T530" i="8"/>
  <c r="T445" i="8"/>
  <c r="T567" i="8"/>
  <c r="T512" i="8"/>
  <c r="T532" i="8"/>
  <c r="T505" i="8"/>
  <c r="T541" i="8"/>
  <c r="T572" i="8"/>
  <c r="T425" i="8"/>
  <c r="T582" i="8"/>
  <c r="T501" i="8"/>
  <c r="T558" i="8"/>
  <c r="T613" i="8"/>
  <c r="T619" i="8"/>
  <c r="T591" i="8"/>
  <c r="T523" i="8"/>
  <c r="T442" i="8"/>
  <c r="T538" i="8"/>
  <c r="T498" i="8"/>
  <c r="T576" i="8"/>
  <c r="T507" i="8"/>
  <c r="T561" i="8"/>
  <c r="T511" i="8"/>
  <c r="T466" i="8"/>
  <c r="T399" i="8"/>
  <c r="T588" i="8"/>
  <c r="T493" i="8"/>
  <c r="T485" i="8"/>
  <c r="T565" i="8"/>
  <c r="T326" i="8"/>
  <c r="T321" i="8"/>
  <c r="T313" i="8"/>
  <c r="T400" i="8"/>
  <c r="T338" i="8"/>
  <c r="T369" i="8"/>
  <c r="T408" i="8"/>
  <c r="T331" i="8"/>
  <c r="T534" i="8"/>
  <c r="T575" i="8"/>
  <c r="T436" i="8"/>
  <c r="T528" i="8"/>
  <c r="T360" i="8"/>
  <c r="T464" i="8"/>
  <c r="T506" i="8"/>
  <c r="T547" i="8"/>
  <c r="T441" i="8"/>
  <c r="T344" i="8"/>
  <c r="T508" i="8"/>
  <c r="T573" i="8"/>
  <c r="T617" i="8"/>
  <c r="T587" i="8"/>
  <c r="T622" i="8"/>
  <c r="T601" i="8"/>
  <c r="T618" i="8"/>
  <c r="T571" i="8"/>
  <c r="T583" i="8"/>
  <c r="T554" i="8"/>
  <c r="T411" i="8"/>
  <c r="T492" i="8"/>
  <c r="T332" i="8"/>
  <c r="T461" i="8"/>
  <c r="T340" i="8"/>
  <c r="T314" i="8"/>
  <c r="T310" i="8"/>
  <c r="T379" i="8"/>
  <c r="T420" i="8"/>
  <c r="T427" i="8"/>
  <c r="T347" i="8"/>
  <c r="T371" i="8"/>
  <c r="T339" i="8"/>
  <c r="T438" i="8"/>
  <c r="T380" i="8"/>
  <c r="T404" i="8"/>
  <c r="T361" i="8"/>
  <c r="T497" i="8"/>
  <c r="T535" i="8"/>
  <c r="T448" i="8"/>
  <c r="T480" i="8"/>
  <c r="T467" i="8"/>
  <c r="T454" i="8"/>
  <c r="T354" i="8"/>
  <c r="T447" i="8"/>
  <c r="T574" i="8"/>
  <c r="T623" i="8"/>
  <c r="T610" i="8"/>
  <c r="T553" i="8"/>
  <c r="T450" i="8"/>
  <c r="T403" i="8"/>
  <c r="T612" i="8"/>
  <c r="T460" i="8"/>
  <c r="T465" i="8"/>
  <c r="T407" i="8"/>
  <c r="T568" i="8"/>
  <c r="T348" i="8"/>
  <c r="T544" i="8"/>
  <c r="T398" i="8"/>
  <c r="T409" i="8"/>
  <c r="T330" i="8"/>
  <c r="T325" i="8"/>
  <c r="T337" i="8"/>
  <c r="T402" i="8"/>
  <c r="T413" i="8"/>
  <c r="T451" i="8"/>
  <c r="T383" i="8"/>
  <c r="T422" i="8"/>
  <c r="T388" i="8"/>
  <c r="T352" i="8"/>
  <c r="T426" i="8"/>
  <c r="T375" i="8"/>
  <c r="T416" i="8"/>
  <c r="T439" i="8"/>
  <c r="T315" i="8"/>
  <c r="T385" i="8"/>
  <c r="T429" i="8"/>
  <c r="T503" i="8"/>
  <c r="T536" i="8"/>
  <c r="T483" i="8"/>
  <c r="T537" i="8"/>
  <c r="T390" i="8"/>
  <c r="T504" i="8"/>
  <c r="T543" i="8"/>
  <c r="T468" i="8"/>
  <c r="T509" i="8"/>
  <c r="T356" i="8"/>
  <c r="T472" i="8"/>
  <c r="T589" i="8"/>
  <c r="T620" i="8"/>
  <c r="T515" i="8"/>
  <c r="T624" i="8"/>
  <c r="T555" i="8"/>
  <c r="T564" i="8"/>
  <c r="T608" i="8"/>
  <c r="T462" i="8"/>
  <c r="T517" i="8"/>
  <c r="T414" i="8"/>
  <c r="T320" i="8"/>
  <c r="T410" i="8"/>
  <c r="T570" i="8"/>
  <c r="T486" i="8"/>
  <c r="T406" i="8"/>
  <c r="T334" i="8"/>
  <c r="T316" i="8"/>
  <c r="AD11" i="9"/>
  <c r="T303" i="8"/>
  <c r="T281" i="8"/>
  <c r="T305" i="8"/>
  <c r="T273" i="8"/>
  <c r="T277" i="8"/>
  <c r="T279" i="8"/>
  <c r="T248" i="8"/>
  <c r="T262" i="8"/>
  <c r="T244" i="8"/>
  <c r="T245" i="8"/>
  <c r="T249" i="8"/>
  <c r="T285" i="8"/>
  <c r="T271" i="8"/>
  <c r="T251" i="8"/>
  <c r="T297" i="8"/>
  <c r="T258" i="8"/>
  <c r="T296" i="8"/>
  <c r="T243" i="8"/>
  <c r="T253" i="8"/>
  <c r="T257" i="8"/>
  <c r="T294" i="8"/>
  <c r="T286" i="8"/>
  <c r="T284" i="8"/>
  <c r="T266" i="8"/>
  <c r="T256" i="8"/>
  <c r="T304" i="8"/>
  <c r="T259" i="8"/>
  <c r="T265" i="8"/>
  <c r="T263" i="8"/>
  <c r="T242" i="8"/>
  <c r="T290" i="8"/>
  <c r="T276" i="8"/>
  <c r="T270" i="8"/>
  <c r="T252" i="8"/>
  <c r="T267" i="8"/>
  <c r="T287" i="8"/>
  <c r="T306" i="8"/>
  <c r="T280" i="8"/>
  <c r="T272" i="8"/>
  <c r="T295" i="8"/>
  <c r="T255" i="8"/>
  <c r="T282" i="8"/>
  <c r="T302" i="8"/>
  <c r="T278" i="8"/>
  <c r="T260" i="8"/>
  <c r="T293" i="8"/>
  <c r="T307" i="8"/>
  <c r="T254" i="8"/>
  <c r="T274" i="8"/>
  <c r="T283" i="8"/>
  <c r="T298" i="8"/>
  <c r="T301" i="8"/>
  <c r="T292" i="8"/>
  <c r="T268" i="8"/>
  <c r="T264" i="8"/>
  <c r="T288" i="8"/>
  <c r="T246" i="8"/>
  <c r="T250" i="8"/>
  <c r="T269" i="8"/>
  <c r="I264" i="8"/>
  <c r="I298" i="8"/>
  <c r="I254" i="8"/>
  <c r="I246" i="8"/>
  <c r="I269" i="8"/>
  <c r="I268" i="8"/>
  <c r="I278" i="8"/>
  <c r="I293" i="8"/>
  <c r="I301" i="8"/>
  <c r="I302" i="8"/>
  <c r="I307" i="8"/>
  <c r="I260" i="8"/>
  <c r="I250" i="8"/>
  <c r="I274" i="8"/>
  <c r="I288" i="8"/>
  <c r="I255" i="8"/>
  <c r="I282" i="8"/>
  <c r="I283" i="8"/>
  <c r="I292" i="8"/>
  <c r="I276" i="8"/>
  <c r="I305" i="8"/>
  <c r="I262" i="8"/>
  <c r="I253" i="8"/>
  <c r="I297" i="8"/>
  <c r="I279" i="8"/>
  <c r="I296" i="8"/>
  <c r="I290" i="8"/>
  <c r="I304" i="8"/>
  <c r="I257" i="8"/>
  <c r="I259" i="8"/>
  <c r="I281" i="8"/>
  <c r="I306" i="8"/>
  <c r="I251" i="8"/>
  <c r="I258" i="8"/>
  <c r="I271" i="8"/>
  <c r="I270" i="8"/>
  <c r="I242" i="8"/>
  <c r="I273" i="8"/>
  <c r="I243" i="8"/>
  <c r="I277" i="8"/>
  <c r="I263" i="8"/>
  <c r="I280" i="8"/>
  <c r="I249" i="8"/>
  <c r="I286" i="8"/>
  <c r="I244" i="8"/>
  <c r="I267" i="8"/>
  <c r="I265" i="8"/>
  <c r="I248" i="8"/>
  <c r="I285" i="8"/>
  <c r="I245" i="8"/>
  <c r="I303" i="8"/>
  <c r="I295" i="8"/>
  <c r="I287" i="8"/>
  <c r="I256" i="8"/>
  <c r="I252" i="8"/>
  <c r="I284" i="8"/>
  <c r="I272" i="8"/>
  <c r="I266" i="8"/>
  <c r="I294" i="8"/>
  <c r="I133" i="8"/>
  <c r="I67" i="8"/>
  <c r="I149" i="8"/>
  <c r="I191" i="8"/>
  <c r="I161" i="8"/>
  <c r="I134" i="8"/>
  <c r="I138" i="8"/>
  <c r="I59" i="8"/>
  <c r="I106" i="8"/>
  <c r="I32" i="8"/>
  <c r="I51" i="8"/>
  <c r="I35" i="8"/>
  <c r="I224" i="8"/>
  <c r="I128" i="8"/>
  <c r="I184" i="8"/>
  <c r="I104" i="8"/>
  <c r="I182" i="8"/>
  <c r="I181" i="8"/>
  <c r="I112" i="8"/>
  <c r="I91" i="8"/>
  <c r="I200" i="8"/>
  <c r="I210" i="8"/>
  <c r="I223" i="8"/>
  <c r="I94" i="8"/>
  <c r="I154" i="8"/>
  <c r="I73" i="8"/>
  <c r="I140" i="8"/>
  <c r="I68" i="8"/>
  <c r="I203" i="8"/>
  <c r="I60" i="8"/>
  <c r="I90" i="8"/>
  <c r="I54" i="8"/>
  <c r="I74" i="8"/>
  <c r="I111" i="8"/>
  <c r="I162" i="8"/>
  <c r="I69" i="8"/>
  <c r="I116" i="8"/>
  <c r="I225" i="8"/>
  <c r="I183" i="8"/>
  <c r="I147" i="8"/>
  <c r="I236" i="8"/>
  <c r="I95" i="8"/>
  <c r="I52" i="8"/>
  <c r="I211" i="8"/>
  <c r="I169" i="8"/>
  <c r="I232" i="8"/>
  <c r="I139" i="8"/>
  <c r="I160" i="8"/>
  <c r="I81" i="8"/>
  <c r="I213" i="8"/>
  <c r="I44" i="8"/>
  <c r="I49" i="8"/>
  <c r="I172" i="8"/>
  <c r="I40" i="8"/>
  <c r="I132" i="8"/>
  <c r="I170" i="8"/>
  <c r="I83" i="8"/>
  <c r="I117" i="8"/>
  <c r="I235" i="8"/>
  <c r="I156" i="8"/>
  <c r="I62" i="8"/>
  <c r="I43" i="8"/>
  <c r="I71" i="8"/>
  <c r="I27" i="8"/>
  <c r="I82" i="8"/>
  <c r="I47" i="8"/>
  <c r="I39" i="8"/>
  <c r="I137" i="8"/>
  <c r="I153" i="8"/>
  <c r="I204" i="8"/>
  <c r="I220" i="8"/>
  <c r="I198" i="8"/>
  <c r="I72" i="8"/>
  <c r="I135" i="8"/>
  <c r="I209" i="8"/>
  <c r="I33" i="8"/>
  <c r="I197" i="8"/>
  <c r="I155" i="8"/>
  <c r="I103" i="8"/>
  <c r="I131" i="8"/>
  <c r="I127" i="8"/>
  <c r="I234" i="8"/>
  <c r="I96" i="8"/>
  <c r="I231" i="8"/>
  <c r="I126" i="8"/>
  <c r="I175" i="8"/>
  <c r="I46" i="8"/>
  <c r="I179" i="8"/>
  <c r="I89" i="8"/>
  <c r="I206" i="8"/>
  <c r="I221" i="8"/>
  <c r="I148" i="8"/>
  <c r="I105" i="8"/>
  <c r="I34" i="8"/>
  <c r="I177" i="8"/>
  <c r="I87" i="8"/>
  <c r="I88" i="8"/>
  <c r="I110" i="8"/>
  <c r="I65" i="8"/>
  <c r="I176" i="8"/>
  <c r="I115" i="8"/>
  <c r="I159" i="8"/>
  <c r="I199" i="8"/>
  <c r="I222" i="8"/>
  <c r="I38" i="8"/>
  <c r="I212" i="8"/>
  <c r="I193" i="8"/>
  <c r="I113" i="8"/>
  <c r="I37" i="8"/>
  <c r="I50" i="8"/>
  <c r="I66" i="8"/>
  <c r="I201" i="8"/>
  <c r="I30" i="8"/>
  <c r="I194" i="8"/>
  <c r="I118" i="8"/>
  <c r="I84" i="8"/>
  <c r="I214" i="8"/>
  <c r="T32" i="8"/>
  <c r="T184" i="8"/>
  <c r="T193" i="8"/>
  <c r="T135" i="8"/>
  <c r="T65" i="8"/>
  <c r="T89" i="8"/>
  <c r="T110" i="8"/>
  <c r="T162" i="8"/>
  <c r="T214" i="8"/>
  <c r="T191" i="8"/>
  <c r="T81" i="8"/>
  <c r="T212" i="8"/>
  <c r="T161" i="8"/>
  <c r="T46" i="8"/>
  <c r="T40" i="8"/>
  <c r="T74" i="8"/>
  <c r="T38" i="8"/>
  <c r="T94" i="8"/>
  <c r="T160" i="8"/>
  <c r="T153" i="8"/>
  <c r="T34" i="8"/>
  <c r="T169" i="8"/>
  <c r="T90" i="8"/>
  <c r="T199" i="8"/>
  <c r="T33" i="8"/>
  <c r="T170" i="8"/>
  <c r="T148" i="8"/>
  <c r="T200" i="8"/>
  <c r="T204" i="8"/>
  <c r="T59" i="8"/>
  <c r="T84" i="8"/>
  <c r="T194" i="8"/>
  <c r="T155" i="8"/>
  <c r="T82" i="8"/>
  <c r="T72" i="8"/>
  <c r="T231" i="8"/>
  <c r="T37" i="8"/>
  <c r="T43" i="8"/>
  <c r="T116" i="8"/>
  <c r="T131" i="8"/>
  <c r="T175" i="8"/>
  <c r="T235" i="8"/>
  <c r="T234" i="8"/>
  <c r="T206" i="8"/>
  <c r="T198" i="8"/>
  <c r="T104" i="8"/>
  <c r="T96" i="8"/>
  <c r="T54" i="8"/>
  <c r="T213" i="8"/>
  <c r="T50" i="8"/>
  <c r="T220" i="8"/>
  <c r="T73" i="8"/>
  <c r="T68" i="8"/>
  <c r="T211" i="8"/>
  <c r="T132" i="8"/>
  <c r="T27" i="8"/>
  <c r="T44" i="8"/>
  <c r="T112" i="8"/>
  <c r="T133" i="8"/>
  <c r="T115" i="8"/>
  <c r="T126" i="8"/>
  <c r="T232" i="8"/>
  <c r="T224" i="8"/>
  <c r="T60" i="8"/>
  <c r="T128" i="8"/>
  <c r="T51" i="8"/>
  <c r="T105" i="8"/>
  <c r="T134" i="8"/>
  <c r="T47" i="8"/>
  <c r="T118" i="8"/>
  <c r="T39" i="8"/>
  <c r="T137" i="8"/>
  <c r="T71" i="8"/>
  <c r="T138" i="8"/>
  <c r="T111" i="8"/>
  <c r="T127" i="8"/>
  <c r="T106" i="8"/>
  <c r="T203" i="8"/>
  <c r="T140" i="8"/>
  <c r="T67" i="8"/>
  <c r="T156" i="8"/>
  <c r="T223" i="8"/>
  <c r="T87" i="8"/>
  <c r="T222" i="8"/>
  <c r="T210" i="8"/>
  <c r="T197" i="8"/>
  <c r="T103" i="8"/>
  <c r="T49" i="8"/>
  <c r="T176" i="8"/>
  <c r="T52" i="8"/>
  <c r="T35" i="8"/>
  <c r="T154" i="8"/>
  <c r="T209" i="8"/>
  <c r="T177" i="8"/>
  <c r="T179" i="8"/>
  <c r="T181" i="8"/>
  <c r="T159" i="8"/>
  <c r="T183" i="8"/>
  <c r="T113" i="8"/>
  <c r="T139" i="8"/>
  <c r="T69" i="8"/>
  <c r="T91" i="8"/>
  <c r="T225" i="8"/>
  <c r="T221" i="8"/>
  <c r="T172" i="8"/>
  <c r="T147" i="8"/>
  <c r="T182" i="8"/>
  <c r="T149" i="8"/>
  <c r="T83" i="8"/>
  <c r="T117" i="8"/>
  <c r="T236" i="8"/>
  <c r="T88" i="8"/>
  <c r="T30" i="8"/>
  <c r="T201" i="8"/>
  <c r="T95" i="8"/>
  <c r="T66" i="8"/>
  <c r="T62" i="8"/>
  <c r="I107" i="8"/>
  <c r="I121" i="8"/>
  <c r="I92" i="8"/>
  <c r="I130" i="8"/>
  <c r="I48" i="8"/>
  <c r="I114" i="8"/>
  <c r="I129" i="8"/>
  <c r="I151" i="8"/>
  <c r="I97" i="8"/>
  <c r="I237" i="8"/>
  <c r="I141" i="8"/>
  <c r="I190" i="8"/>
  <c r="I86" i="8"/>
  <c r="I215" i="8"/>
  <c r="I53" i="8"/>
  <c r="I158" i="8"/>
  <c r="I99" i="8"/>
  <c r="I36" i="8"/>
  <c r="I173" i="8"/>
  <c r="I229" i="8"/>
  <c r="I226" i="8"/>
  <c r="I196" i="8"/>
  <c r="I122" i="8"/>
  <c r="I64" i="8"/>
  <c r="I100" i="8"/>
  <c r="I80" i="8"/>
  <c r="I123" i="8"/>
  <c r="I124" i="8"/>
  <c r="I195" i="8"/>
  <c r="I102" i="8"/>
  <c r="I167" i="8"/>
  <c r="I174" i="8"/>
  <c r="I166" i="8"/>
  <c r="I101" i="8"/>
  <c r="I188" i="8"/>
  <c r="I240" i="8"/>
  <c r="I145" i="8"/>
  <c r="I63" i="8"/>
  <c r="I108" i="8"/>
  <c r="I146" i="8"/>
  <c r="I165" i="8"/>
  <c r="I152" i="8"/>
  <c r="I163" i="8"/>
  <c r="I78" i="8"/>
  <c r="I202" i="8"/>
  <c r="I218" i="8"/>
  <c r="I55" i="8"/>
  <c r="I57" i="8"/>
  <c r="I85" i="8"/>
  <c r="I119" i="8"/>
  <c r="I79" i="8"/>
  <c r="I58" i="8"/>
  <c r="I189" i="8"/>
  <c r="I187" i="8"/>
  <c r="I207" i="8"/>
  <c r="I136" i="8"/>
  <c r="I168" i="8"/>
  <c r="I144" i="8"/>
  <c r="I42" i="8"/>
  <c r="I180" i="8"/>
  <c r="I41" i="8"/>
  <c r="I70" i="8"/>
  <c r="I75" i="8"/>
  <c r="I56" i="8"/>
  <c r="T80" i="8"/>
  <c r="T53" i="8"/>
  <c r="T63" i="8"/>
  <c r="T99" i="8"/>
  <c r="T129" i="8"/>
  <c r="T130" i="8"/>
  <c r="T187" i="8"/>
  <c r="T58" i="8"/>
  <c r="T79" i="8"/>
  <c r="T101" i="8"/>
  <c r="T122" i="8"/>
  <c r="T141" i="8"/>
  <c r="T207" i="8"/>
  <c r="T180" i="8"/>
  <c r="T215" i="8"/>
  <c r="T70" i="8"/>
  <c r="T152" i="8"/>
  <c r="T202" i="8"/>
  <c r="T107" i="8"/>
  <c r="T167" i="8"/>
  <c r="T195" i="8"/>
  <c r="T36" i="8"/>
  <c r="T218" i="8"/>
  <c r="T189" i="8"/>
  <c r="T145" i="8"/>
  <c r="T86" i="8"/>
  <c r="T78" i="8"/>
  <c r="T190" i="8"/>
  <c r="T163" i="8"/>
  <c r="T119" i="8"/>
  <c r="T121" i="8"/>
  <c r="T240" i="8"/>
  <c r="T237" i="8"/>
  <c r="T42" i="8"/>
  <c r="T151" i="8"/>
  <c r="T136" i="8"/>
  <c r="T100" i="8"/>
  <c r="T57" i="8"/>
  <c r="T188" i="8"/>
  <c r="T55" i="8"/>
  <c r="T123" i="8"/>
  <c r="T41" i="8"/>
  <c r="T56" i="8"/>
  <c r="T165" i="8"/>
  <c r="T102" i="8"/>
  <c r="T114" i="8"/>
  <c r="T144" i="8"/>
  <c r="T92" i="8"/>
  <c r="T75" i="8"/>
  <c r="T173" i="8"/>
  <c r="T146" i="8"/>
  <c r="T158" i="8"/>
  <c r="T97" i="8"/>
  <c r="T166" i="8"/>
  <c r="T108" i="8"/>
  <c r="T229" i="8"/>
  <c r="T174" i="8"/>
  <c r="T64" i="8"/>
  <c r="T168" i="8"/>
  <c r="T196" i="8"/>
  <c r="T124" i="8"/>
  <c r="T48" i="8"/>
  <c r="T85" i="8"/>
  <c r="T226" i="8"/>
  <c r="I26" i="8"/>
  <c r="T26" i="8"/>
  <c r="AC6" i="9"/>
  <c r="AC8" i="9"/>
  <c r="AC7" i="9"/>
  <c r="AD17" i="9"/>
  <c r="E13" i="17"/>
  <c r="E9" i="17"/>
  <c r="F9" i="17" s="1"/>
  <c r="E12" i="17"/>
  <c r="AC9" i="9"/>
  <c r="AC10" i="9"/>
  <c r="X26" i="8"/>
  <c r="G12" i="9"/>
  <c r="E34" i="2"/>
  <c r="E36" i="2" s="1"/>
  <c r="E11" i="2"/>
  <c r="F43" i="2" s="1"/>
  <c r="G43" i="2" s="1"/>
  <c r="F45" i="2"/>
  <c r="G45" i="2" s="1"/>
  <c r="E12" i="2"/>
  <c r="F44" i="2" s="1"/>
  <c r="G44" i="2" s="1"/>
  <c r="AF16" i="9"/>
  <c r="P17" i="8"/>
  <c r="AF240" i="9" l="1"/>
  <c r="AF197" i="9"/>
  <c r="AF249" i="9"/>
  <c r="AF233" i="9"/>
  <c r="AF130" i="9"/>
  <c r="AF182" i="9"/>
  <c r="AF354" i="9"/>
  <c r="AF433" i="9"/>
  <c r="AF365" i="9"/>
  <c r="AF601" i="9"/>
  <c r="AF392" i="9"/>
  <c r="AF250" i="9"/>
  <c r="AF389" i="9"/>
  <c r="AF111" i="9"/>
  <c r="AF472" i="9"/>
  <c r="AF603" i="9"/>
  <c r="AF394" i="9"/>
  <c r="AF613" i="9"/>
  <c r="AF459" i="9"/>
  <c r="AF201" i="9"/>
  <c r="AF481" i="9"/>
  <c r="AF195" i="9"/>
  <c r="AF147" i="9"/>
  <c r="AF475" i="9"/>
  <c r="AF275" i="9"/>
  <c r="AF53" i="9"/>
  <c r="AF432" i="9"/>
  <c r="AF232" i="9"/>
  <c r="AF615" i="9"/>
  <c r="AF309" i="9"/>
  <c r="AF70" i="9"/>
  <c r="AF431" i="9"/>
  <c r="AF604" i="9"/>
  <c r="AF235" i="9"/>
  <c r="AF143" i="9"/>
  <c r="AF264" i="9"/>
  <c r="AF299" i="9"/>
  <c r="AF95" i="9"/>
  <c r="AF261" i="9"/>
  <c r="AF222" i="9"/>
  <c r="AF514" i="9"/>
  <c r="AF253" i="9"/>
  <c r="AF559" i="9"/>
  <c r="AF191" i="9"/>
  <c r="AF416" i="9"/>
  <c r="AF78" i="9"/>
  <c r="AF277" i="9"/>
  <c r="AF260" i="9"/>
  <c r="AF568" i="9"/>
  <c r="AF591" i="9"/>
  <c r="AF35" i="9"/>
  <c r="AF370" i="9"/>
  <c r="AF523" i="9"/>
  <c r="AF399" i="9"/>
  <c r="AF359" i="9"/>
  <c r="AF71" i="9"/>
  <c r="AF125" i="9"/>
  <c r="AF220" i="9"/>
  <c r="AF379" i="9"/>
  <c r="AF272" i="9"/>
  <c r="AF388" i="9"/>
  <c r="AF92" i="9"/>
  <c r="AF217" i="9"/>
  <c r="AF307" i="9"/>
  <c r="AF602" i="9"/>
  <c r="AF443" i="9"/>
  <c r="AF343" i="9"/>
  <c r="AF436" i="9"/>
  <c r="AF55" i="9"/>
  <c r="AF611" i="9"/>
  <c r="AF477" i="9"/>
  <c r="AF424" i="9"/>
  <c r="AF579" i="9"/>
  <c r="AF329" i="9"/>
  <c r="AF519" i="9"/>
  <c r="AF225" i="9"/>
  <c r="AF497" i="9"/>
  <c r="AF116" i="9"/>
  <c r="AF381" i="9"/>
  <c r="AF438" i="9"/>
  <c r="AF144" i="9"/>
  <c r="AF129" i="9"/>
  <c r="AF382" i="9"/>
  <c r="AF467" i="9"/>
  <c r="AF72" i="9"/>
  <c r="AF302" i="9"/>
  <c r="AF278" i="9"/>
  <c r="AF490" i="9"/>
  <c r="AF284" i="9"/>
  <c r="AF267" i="9"/>
  <c r="AF336" i="9"/>
  <c r="AF190" i="9"/>
  <c r="AF456" i="9"/>
  <c r="AF255" i="9"/>
  <c r="AF39" i="9"/>
  <c r="AF131" i="9"/>
  <c r="AF557" i="9"/>
  <c r="AF58" i="9"/>
  <c r="AF346" i="9"/>
  <c r="AF422" i="9"/>
  <c r="AF122" i="9"/>
  <c r="AF403" i="9"/>
  <c r="AF236" i="9"/>
  <c r="AF176" i="9"/>
  <c r="AF312" i="9"/>
  <c r="AF577" i="9"/>
  <c r="AF155" i="9"/>
  <c r="AF609" i="9"/>
  <c r="AF569" i="9"/>
  <c r="AF321" i="9"/>
  <c r="AF525" i="9"/>
  <c r="AF487" i="9"/>
  <c r="AF32" i="9"/>
  <c r="AF150" i="9"/>
  <c r="AF52" i="9"/>
  <c r="AF66" i="9"/>
  <c r="AF482" i="9"/>
  <c r="AF372" i="9"/>
  <c r="AF476" i="9"/>
  <c r="AF397" i="9"/>
  <c r="AF242" i="9"/>
  <c r="AF507" i="9"/>
  <c r="AF469" i="9"/>
  <c r="AF165" i="9"/>
  <c r="AF341" i="9"/>
  <c r="AF356" i="9"/>
  <c r="AF440" i="9"/>
  <c r="AF545" i="9"/>
  <c r="AF427" i="9"/>
  <c r="AF586" i="9"/>
  <c r="AF40" i="9"/>
  <c r="AF442" i="9"/>
  <c r="AF573" i="9"/>
  <c r="AF300" i="9"/>
  <c r="AF434" i="9"/>
  <c r="AF498" i="9"/>
  <c r="AF297" i="9"/>
  <c r="AF103" i="9"/>
  <c r="AF186" i="9"/>
  <c r="AF350" i="9"/>
  <c r="AF289" i="9"/>
  <c r="AF202" i="9"/>
  <c r="AF505" i="9"/>
  <c r="AF248" i="9"/>
  <c r="AF463" i="9"/>
  <c r="AF30" i="9"/>
  <c r="AF417" i="9"/>
  <c r="AF230" i="9"/>
  <c r="AF441" i="9"/>
  <c r="AF576" i="9"/>
  <c r="AF544" i="9"/>
  <c r="AF268" i="9"/>
  <c r="AF276" i="9"/>
  <c r="AF94" i="9"/>
  <c r="AF271" i="9"/>
  <c r="AF398" i="9"/>
  <c r="AF527" i="9"/>
  <c r="AF511" i="9"/>
  <c r="AF548" i="9"/>
  <c r="AF539" i="9"/>
  <c r="AF82" i="9"/>
  <c r="AF536" i="9"/>
  <c r="AF104" i="9"/>
  <c r="AF36" i="9"/>
  <c r="AF405" i="9"/>
  <c r="AF598" i="9"/>
  <c r="AF76" i="9"/>
  <c r="AF553" i="9"/>
  <c r="AF616" i="9"/>
  <c r="AF223" i="9"/>
  <c r="AF46" i="9"/>
  <c r="AF522" i="9"/>
  <c r="AF318" i="9"/>
  <c r="AF597" i="9"/>
  <c r="AF454" i="9"/>
  <c r="AF77" i="9"/>
  <c r="AF127" i="9"/>
  <c r="AF390" i="9"/>
  <c r="AF534" i="9"/>
  <c r="AF196" i="9"/>
  <c r="AF110" i="9"/>
  <c r="AF462" i="9"/>
  <c r="AF81" i="9"/>
  <c r="AF551" i="9"/>
  <c r="AF499" i="9"/>
  <c r="AF325" i="9"/>
  <c r="AF73" i="9"/>
  <c r="AF171" i="9"/>
  <c r="AF160" i="9"/>
  <c r="AF134" i="9"/>
  <c r="AF393" i="9"/>
  <c r="AF337" i="9"/>
  <c r="AF157" i="9"/>
  <c r="AF69" i="9"/>
  <c r="AF151" i="9"/>
  <c r="AF206" i="9"/>
  <c r="AF342" i="9"/>
  <c r="AF185" i="9"/>
  <c r="AF87" i="9"/>
  <c r="AF407" i="9"/>
  <c r="AF301" i="9"/>
  <c r="AF63" i="9"/>
  <c r="AF404" i="9"/>
  <c r="AF494" i="9"/>
  <c r="AF237" i="9"/>
  <c r="AF488" i="9"/>
  <c r="AF520" i="9"/>
  <c r="AF62" i="9"/>
  <c r="AF504" i="9"/>
  <c r="AF119" i="9"/>
  <c r="AF51" i="9"/>
  <c r="AF188" i="9"/>
  <c r="AF207" i="9"/>
  <c r="AF75" i="9"/>
  <c r="AF529" i="9"/>
  <c r="AF556" i="9"/>
  <c r="AF437" i="9"/>
  <c r="AF273" i="9"/>
  <c r="AF395" i="9"/>
  <c r="AF135" i="9"/>
  <c r="AF102" i="9"/>
  <c r="AF423" i="9"/>
  <c r="AF453" i="9"/>
  <c r="AF254" i="9"/>
  <c r="AF311" i="9"/>
  <c r="AF192" i="9"/>
  <c r="AF610" i="9"/>
  <c r="AF290" i="9"/>
  <c r="AF542" i="9"/>
  <c r="AF215" i="9"/>
  <c r="AF306" i="9"/>
  <c r="AF360" i="9"/>
  <c r="AF96" i="9"/>
  <c r="AF154" i="9"/>
  <c r="AF380" i="9"/>
  <c r="AF605" i="9"/>
  <c r="AF550" i="9"/>
  <c r="AF124" i="9"/>
  <c r="AF138" i="9"/>
  <c r="AF79" i="9"/>
  <c r="AF38" i="9"/>
  <c r="AF48" i="9"/>
  <c r="AF310" i="9"/>
  <c r="AF492" i="9"/>
  <c r="AF409" i="9"/>
  <c r="AF292" i="9"/>
  <c r="AF570" i="9"/>
  <c r="AF274" i="9"/>
  <c r="AF213" i="9"/>
  <c r="AF205" i="9"/>
  <c r="AF363" i="9"/>
  <c r="AF174" i="9"/>
  <c r="AF465" i="9"/>
  <c r="AF503" i="9"/>
  <c r="AF583" i="9"/>
  <c r="AF410" i="9"/>
  <c r="AF218" i="9"/>
  <c r="AF19" i="9"/>
  <c r="AF170" i="9"/>
  <c r="AF460" i="9"/>
  <c r="AF173" i="9"/>
  <c r="AF246" i="9"/>
  <c r="AF607" i="9"/>
  <c r="AF44" i="9"/>
  <c r="AF470" i="9"/>
  <c r="AF452" i="9"/>
  <c r="AF164" i="9"/>
  <c r="AF162" i="9"/>
  <c r="AF580" i="9"/>
  <c r="AF377" i="9"/>
  <c r="AF47" i="9"/>
  <c r="AF221" i="9"/>
  <c r="AF479" i="9"/>
  <c r="AF495" i="9"/>
  <c r="AF439" i="9"/>
  <c r="AF133" i="9"/>
  <c r="AF496" i="9"/>
  <c r="AF109" i="9"/>
  <c r="AF247" i="9"/>
  <c r="AF281" i="9"/>
  <c r="AF283" i="9"/>
  <c r="AF27" i="9"/>
  <c r="AF126" i="9"/>
  <c r="AF137" i="9"/>
  <c r="AF386" i="9"/>
  <c r="AF285" i="9"/>
  <c r="AF212" i="9"/>
  <c r="AF286" i="9"/>
  <c r="AF115" i="9"/>
  <c r="AF279" i="9"/>
  <c r="AF64" i="9"/>
  <c r="AF508" i="9"/>
  <c r="AF203" i="9"/>
  <c r="AF226" i="9"/>
  <c r="AF159" i="9"/>
  <c r="AF485" i="9"/>
  <c r="AF455" i="9"/>
  <c r="AF464" i="9"/>
  <c r="AF251" i="9"/>
  <c r="AF338" i="9"/>
  <c r="AF592" i="9"/>
  <c r="AF319" i="9"/>
  <c r="AF537" i="9"/>
  <c r="AF193" i="9"/>
  <c r="AF99" i="9"/>
  <c r="AF352" i="9"/>
  <c r="AF582" i="9"/>
  <c r="AF608" i="9"/>
  <c r="AF179" i="9"/>
  <c r="AF142" i="9"/>
  <c r="AF375" i="9"/>
  <c r="AF128" i="9"/>
  <c r="AF258" i="9"/>
  <c r="AF491" i="9"/>
  <c r="AF61" i="9"/>
  <c r="AF421" i="9"/>
  <c r="AF596" i="9"/>
  <c r="AF412" i="9"/>
  <c r="AF374" i="9"/>
  <c r="AF585" i="9"/>
  <c r="AF449" i="9"/>
  <c r="AF593" i="9"/>
  <c r="AF139" i="9"/>
  <c r="AF594" i="9"/>
  <c r="AF521" i="9"/>
  <c r="AF177" i="9"/>
  <c r="AF480" i="9"/>
  <c r="AF118" i="9"/>
  <c r="AF558" i="9"/>
  <c r="AF513" i="9"/>
  <c r="AF468" i="9"/>
  <c r="AF105" i="9"/>
  <c r="AF145" i="9"/>
  <c r="AF45" i="9"/>
  <c r="AF466" i="9"/>
  <c r="AF98" i="9"/>
  <c r="AF208" i="9"/>
  <c r="AF588" i="9"/>
  <c r="AF238" i="9"/>
  <c r="AF331" i="9"/>
  <c r="AF561" i="9"/>
  <c r="AF541" i="9"/>
  <c r="AF486" i="9"/>
  <c r="AF305" i="9"/>
  <c r="AF288" i="9"/>
  <c r="AF528" i="9"/>
  <c r="AF90" i="9"/>
  <c r="AF189" i="9"/>
  <c r="AF107" i="9"/>
  <c r="AF263" i="9"/>
  <c r="AF574" i="9"/>
  <c r="AF294" i="9"/>
  <c r="AF172" i="9"/>
  <c r="AF117" i="9"/>
  <c r="AF567" i="9"/>
  <c r="AF531" i="9"/>
  <c r="AF123" i="9"/>
  <c r="AF295" i="9"/>
  <c r="AF314" i="9"/>
  <c r="AF25" i="9"/>
  <c r="AF435" i="9"/>
  <c r="AF234" i="9"/>
  <c r="AF166" i="9"/>
  <c r="AF430" i="9"/>
  <c r="AF526" i="9"/>
  <c r="AF120" i="9"/>
  <c r="AF24" i="9"/>
  <c r="AF59" i="9"/>
  <c r="AF517" i="9"/>
  <c r="AF368" i="9"/>
  <c r="AF385" i="9"/>
  <c r="AF84" i="9"/>
  <c r="AF322" i="9"/>
  <c r="AF500" i="9"/>
  <c r="AF198" i="9"/>
  <c r="AF262" i="9"/>
  <c r="AF113" i="9"/>
  <c r="AF549" i="9"/>
  <c r="AF366" i="9"/>
  <c r="AF408" i="9"/>
  <c r="AF23" i="9"/>
  <c r="AF22" i="9"/>
  <c r="AF425" i="9"/>
  <c r="AF396" i="9"/>
  <c r="AF402" i="9"/>
  <c r="AF373" i="9"/>
  <c r="AF148" i="9"/>
  <c r="AF256" i="9"/>
  <c r="AF132" i="9"/>
  <c r="AF54" i="9"/>
  <c r="AF353" i="9"/>
  <c r="AF401" i="9"/>
  <c r="AF187" i="9"/>
  <c r="AF358" i="9"/>
  <c r="AF510" i="9"/>
  <c r="AF371" i="9"/>
  <c r="AF575" i="9"/>
  <c r="AF515" i="9"/>
  <c r="AF224" i="9"/>
  <c r="AF168" i="9"/>
  <c r="AF383" i="9"/>
  <c r="AF296" i="9"/>
  <c r="AF28" i="9"/>
  <c r="AF419" i="9"/>
  <c r="AF584" i="9"/>
  <c r="AF26" i="9"/>
  <c r="AF93" i="9"/>
  <c r="AF493" i="9"/>
  <c r="AF562" i="9"/>
  <c r="AF326" i="9"/>
  <c r="AF304" i="9"/>
  <c r="AF241" i="9"/>
  <c r="AF257" i="9"/>
  <c r="AF266" i="9"/>
  <c r="AF457" i="9"/>
  <c r="AF315" i="9"/>
  <c r="AF566" i="9"/>
  <c r="AF418" i="9"/>
  <c r="AF458" i="9"/>
  <c r="AF56" i="9"/>
  <c r="AF265" i="9"/>
  <c r="AF112" i="9"/>
  <c r="AF335" i="9"/>
  <c r="AF214" i="9"/>
  <c r="AF400" i="9"/>
  <c r="AF530" i="9"/>
  <c r="AF501" i="9"/>
  <c r="AF101" i="9"/>
  <c r="AF614" i="9"/>
  <c r="AF184" i="9"/>
  <c r="AF291" i="9"/>
  <c r="AF406" i="9"/>
  <c r="AF451" i="9"/>
  <c r="AF411" i="9"/>
  <c r="AF448" i="9"/>
  <c r="AF351" i="9"/>
  <c r="AF489" i="9"/>
  <c r="AF414" i="9"/>
  <c r="AF426" i="9"/>
  <c r="AF552" i="9"/>
  <c r="AF581" i="9"/>
  <c r="AF65" i="9"/>
  <c r="AF547" i="9"/>
  <c r="AF313" i="9"/>
  <c r="AF590" i="9"/>
  <c r="AF227" i="9"/>
  <c r="AF428" i="9"/>
  <c r="AF364" i="9"/>
  <c r="AF298" i="9"/>
  <c r="AF204" i="9"/>
  <c r="AF20" i="9"/>
  <c r="AF345" i="9"/>
  <c r="AF156" i="9"/>
  <c r="AF599" i="9"/>
  <c r="AF106" i="9"/>
  <c r="AF229" i="9"/>
  <c r="AF323" i="9"/>
  <c r="AF384" i="9"/>
  <c r="AF86" i="9"/>
  <c r="AF114" i="9"/>
  <c r="AF445" i="9"/>
  <c r="AF269" i="9"/>
  <c r="AF415" i="9"/>
  <c r="AF34" i="9"/>
  <c r="AF49" i="9"/>
  <c r="AF245" i="9"/>
  <c r="AF158" i="9"/>
  <c r="AF478" i="9"/>
  <c r="AF41" i="9"/>
  <c r="AF369" i="9"/>
  <c r="AF231" i="9"/>
  <c r="AF50" i="9"/>
  <c r="AF506" i="9"/>
  <c r="AF429" i="9"/>
  <c r="AF210" i="9"/>
  <c r="AF474" i="9"/>
  <c r="AF587" i="9"/>
  <c r="AF347" i="9"/>
  <c r="AF270" i="9"/>
  <c r="AF169" i="9"/>
  <c r="AF317" i="9"/>
  <c r="AF57" i="9"/>
  <c r="AF473" i="9"/>
  <c r="AF333" i="9"/>
  <c r="AF21" i="9"/>
  <c r="AF308" i="9"/>
  <c r="AF80" i="9"/>
  <c r="AF282" i="9"/>
  <c r="AF67" i="9"/>
  <c r="AF361" i="9"/>
  <c r="AF484" i="9"/>
  <c r="AF446" i="9"/>
  <c r="AF194" i="9"/>
  <c r="AF391" i="9"/>
  <c r="AF244" i="9"/>
  <c r="AF175" i="9"/>
  <c r="AF571" i="9"/>
  <c r="AF91" i="9"/>
  <c r="AF344" i="9"/>
  <c r="AF200" i="9"/>
  <c r="AF589" i="9"/>
  <c r="AF181" i="9"/>
  <c r="AF554" i="9"/>
  <c r="AF29" i="9"/>
  <c r="AF31" i="9"/>
  <c r="AF239" i="9"/>
  <c r="AF18" i="9"/>
  <c r="AF88" i="9"/>
  <c r="AF355" i="9"/>
  <c r="AF280" i="9"/>
  <c r="AF141" i="9"/>
  <c r="AF287" i="9"/>
  <c r="AF83" i="9"/>
  <c r="AF516" i="9"/>
  <c r="AF60" i="9"/>
  <c r="AF121" i="9"/>
  <c r="AF293" i="9"/>
  <c r="AF161" i="9"/>
  <c r="AF339" i="9"/>
  <c r="AF420" i="9"/>
  <c r="AF512" i="9"/>
  <c r="AF100" i="9"/>
  <c r="AF43" i="9"/>
  <c r="AF357" i="9"/>
  <c r="AF140" i="9"/>
  <c r="AF348" i="9"/>
  <c r="AF334" i="9"/>
  <c r="AF33" i="9"/>
  <c r="AF74" i="9"/>
  <c r="AF376" i="9"/>
  <c r="AF572" i="9"/>
  <c r="AF535" i="9"/>
  <c r="AF533" i="9"/>
  <c r="AF349" i="9"/>
  <c r="AF37" i="9"/>
  <c r="AF163" i="9"/>
  <c r="AF228" i="9"/>
  <c r="AF595" i="9"/>
  <c r="AF332" i="9"/>
  <c r="AF153" i="9"/>
  <c r="AF252" i="9"/>
  <c r="AF518" i="9"/>
  <c r="AF97" i="9"/>
  <c r="AF543" i="9"/>
  <c r="AF340" i="9"/>
  <c r="AF362" i="9"/>
  <c r="AF546" i="9"/>
  <c r="AF540" i="9"/>
  <c r="AF413" i="9"/>
  <c r="AF565" i="9"/>
  <c r="AF209" i="9"/>
  <c r="AF578" i="9"/>
  <c r="AF85" i="9"/>
  <c r="AF378" i="9"/>
  <c r="AF146" i="9"/>
  <c r="AF502" i="9"/>
  <c r="AF42" i="9"/>
  <c r="AF180" i="9"/>
  <c r="AF606" i="9"/>
  <c r="AF89" i="9"/>
  <c r="AF600" i="9"/>
  <c r="AF328" i="9"/>
  <c r="AF243" i="9"/>
  <c r="AF444" i="9"/>
  <c r="AF612" i="9"/>
  <c r="AF564" i="9"/>
  <c r="AF471" i="9"/>
  <c r="AF524" i="9"/>
  <c r="AF149" i="9"/>
  <c r="AF387" i="9"/>
  <c r="AF483" i="9"/>
  <c r="AF532" i="9"/>
  <c r="AF563" i="9"/>
  <c r="AF316" i="9"/>
  <c r="AF555" i="9"/>
  <c r="AF509" i="9"/>
  <c r="AF216" i="9"/>
  <c r="AF259" i="9"/>
  <c r="AF320" i="9"/>
  <c r="AF447" i="9"/>
  <c r="AF367" i="9"/>
  <c r="AF330" i="9"/>
  <c r="AF219" i="9"/>
  <c r="AF303" i="9"/>
  <c r="AF152" i="9"/>
  <c r="AF136" i="9"/>
  <c r="AF183" i="9"/>
  <c r="AF178" i="9"/>
  <c r="AF327" i="9"/>
  <c r="AF560" i="9"/>
  <c r="AF538" i="9"/>
  <c r="AF211" i="9"/>
  <c r="AF199" i="9"/>
  <c r="AF68" i="9"/>
  <c r="AF461" i="9"/>
  <c r="AF167" i="9"/>
  <c r="AF324" i="9"/>
  <c r="AF108" i="9"/>
  <c r="AF450" i="9"/>
  <c r="AE11" i="9"/>
  <c r="AD6" i="9"/>
  <c r="AD7" i="9"/>
  <c r="AD8" i="9"/>
  <c r="AD10" i="9"/>
  <c r="AD9" i="9"/>
  <c r="AE17" i="9"/>
  <c r="AE617" i="9" s="1"/>
  <c r="Z627" i="8"/>
  <c r="AA17" i="8" s="1"/>
  <c r="Z17" i="8" s="1"/>
  <c r="F12" i="17"/>
  <c r="F13" i="17"/>
  <c r="AG16" i="9"/>
  <c r="AF5" i="9"/>
  <c r="V627" i="8"/>
  <c r="W17" i="8" s="1"/>
  <c r="H12" i="9"/>
  <c r="E28" i="2" s="1"/>
  <c r="F12" i="9"/>
  <c r="D14" i="17" s="1"/>
  <c r="G9" i="9"/>
  <c r="H9" i="9" s="1"/>
  <c r="E25" i="2" s="1"/>
  <c r="G8" i="9"/>
  <c r="H8" i="9" s="1"/>
  <c r="E24" i="2" s="1"/>
  <c r="G10" i="9"/>
  <c r="H10" i="9" s="1"/>
  <c r="E26" i="2" s="1"/>
  <c r="G7" i="9"/>
  <c r="H7" i="9" s="1"/>
  <c r="E23" i="2" s="1"/>
  <c r="E10" i="2"/>
  <c r="F42" i="2" s="1"/>
  <c r="G42" i="2" s="1"/>
  <c r="G6" i="9"/>
  <c r="H6" i="9" s="1"/>
  <c r="E22" i="2" s="1"/>
  <c r="E9" i="2"/>
  <c r="F41" i="2" s="1"/>
  <c r="Q17" i="8"/>
  <c r="AG216" i="9" l="1"/>
  <c r="AG149" i="9"/>
  <c r="AG85" i="9"/>
  <c r="AG340" i="9"/>
  <c r="AG228" i="9"/>
  <c r="AG74" i="9"/>
  <c r="AG43" i="9"/>
  <c r="AG60" i="9"/>
  <c r="AG18" i="9"/>
  <c r="AG344" i="9"/>
  <c r="AG484" i="9"/>
  <c r="AG473" i="9"/>
  <c r="AG210" i="9"/>
  <c r="AG240" i="9"/>
  <c r="AG220" i="9"/>
  <c r="AG472" i="9"/>
  <c r="AG579" i="9"/>
  <c r="AG475" i="9"/>
  <c r="AG235" i="9"/>
  <c r="AG191" i="9"/>
  <c r="AG604" i="9"/>
  <c r="AG111" i="9"/>
  <c r="AG370" i="9"/>
  <c r="AG379" i="9"/>
  <c r="AG443" i="9"/>
  <c r="AG329" i="9"/>
  <c r="AG275" i="9"/>
  <c r="AG264" i="9"/>
  <c r="AG416" i="9"/>
  <c r="AG299" i="9"/>
  <c r="AG514" i="9"/>
  <c r="AG523" i="9"/>
  <c r="AG272" i="9"/>
  <c r="AG343" i="9"/>
  <c r="AG519" i="9"/>
  <c r="AG53" i="9"/>
  <c r="AG95" i="9"/>
  <c r="AG78" i="9"/>
  <c r="AG365" i="9"/>
  <c r="AG35" i="9"/>
  <c r="AG399" i="9"/>
  <c r="AG388" i="9"/>
  <c r="AG436" i="9"/>
  <c r="AG459" i="9"/>
  <c r="AG432" i="9"/>
  <c r="AG261" i="9"/>
  <c r="AG277" i="9"/>
  <c r="AG249" i="9"/>
  <c r="AG603" i="9"/>
  <c r="AG433" i="9"/>
  <c r="AG359" i="9"/>
  <c r="AG92" i="9"/>
  <c r="AG55" i="9"/>
  <c r="AG201" i="9"/>
  <c r="AG232" i="9"/>
  <c r="AG222" i="9"/>
  <c r="AG260" i="9"/>
  <c r="AG197" i="9"/>
  <c r="AG394" i="9"/>
  <c r="AG613" i="9"/>
  <c r="AG182" i="9"/>
  <c r="AG217" i="9"/>
  <c r="AG611" i="9"/>
  <c r="AG481" i="9"/>
  <c r="AG615" i="9"/>
  <c r="AG143" i="9"/>
  <c r="AG568" i="9"/>
  <c r="AG601" i="9"/>
  <c r="AG71" i="9"/>
  <c r="AG389" i="9"/>
  <c r="AG307" i="9"/>
  <c r="AG477" i="9"/>
  <c r="AG195" i="9"/>
  <c r="AG233" i="9"/>
  <c r="AG253" i="9"/>
  <c r="AG591" i="9"/>
  <c r="AG392" i="9"/>
  <c r="AG125" i="9"/>
  <c r="AG130" i="9"/>
  <c r="AG424" i="9"/>
  <c r="AG147" i="9"/>
  <c r="AG431" i="9"/>
  <c r="AG559" i="9"/>
  <c r="AG70" i="9"/>
  <c r="AG250" i="9"/>
  <c r="AG354" i="9"/>
  <c r="AG199" i="9"/>
  <c r="AG600" i="9"/>
  <c r="AG152" i="9"/>
  <c r="AG450" i="9"/>
  <c r="AG538" i="9"/>
  <c r="AG219" i="9"/>
  <c r="AG555" i="9"/>
  <c r="AG471" i="9"/>
  <c r="AG606" i="9"/>
  <c r="AG209" i="9"/>
  <c r="AG97" i="9"/>
  <c r="AG37" i="9"/>
  <c r="AG334" i="9"/>
  <c r="AG512" i="9"/>
  <c r="AG309" i="9"/>
  <c r="AG602" i="9"/>
  <c r="AG211" i="9"/>
  <c r="AG303" i="9"/>
  <c r="AG509" i="9"/>
  <c r="AG524" i="9"/>
  <c r="AG89" i="9"/>
  <c r="AG578" i="9"/>
  <c r="AG543" i="9"/>
  <c r="AG163" i="9"/>
  <c r="AG33" i="9"/>
  <c r="AG100" i="9"/>
  <c r="AG516" i="9"/>
  <c r="AG239" i="9"/>
  <c r="AG91" i="9"/>
  <c r="AG361" i="9"/>
  <c r="AG57" i="9"/>
  <c r="AG429" i="9"/>
  <c r="AG245" i="9"/>
  <c r="AG384" i="9"/>
  <c r="AG204" i="9"/>
  <c r="AG65" i="9"/>
  <c r="AG411" i="9"/>
  <c r="AG530" i="9"/>
  <c r="AG418" i="9"/>
  <c r="AG326" i="9"/>
  <c r="AG296" i="9"/>
  <c r="AG358" i="9"/>
  <c r="AG373" i="9"/>
  <c r="AG549" i="9"/>
  <c r="AG368" i="9"/>
  <c r="AG234" i="9"/>
  <c r="AG117" i="9"/>
  <c r="AG528" i="9"/>
  <c r="AG588" i="9"/>
  <c r="AG513" i="9"/>
  <c r="AG593" i="9"/>
  <c r="AG491" i="9"/>
  <c r="AG352" i="9"/>
  <c r="AG464" i="9"/>
  <c r="AG279" i="9"/>
  <c r="AG27" i="9"/>
  <c r="AG495" i="9"/>
  <c r="AG452" i="9"/>
  <c r="AG19" i="9"/>
  <c r="AG205" i="9"/>
  <c r="AG48" i="9"/>
  <c r="AG154" i="9"/>
  <c r="AG192" i="9"/>
  <c r="AG273" i="9"/>
  <c r="AG119" i="9"/>
  <c r="AG63" i="9"/>
  <c r="AG69" i="9"/>
  <c r="AG325" i="9"/>
  <c r="AG390" i="9"/>
  <c r="AG223" i="9"/>
  <c r="AG536" i="9"/>
  <c r="AG94" i="9"/>
  <c r="AG30" i="9"/>
  <c r="AG103" i="9"/>
  <c r="AG586" i="9"/>
  <c r="AG507" i="9"/>
  <c r="AG150" i="9"/>
  <c r="AG577" i="9"/>
  <c r="AG58" i="9"/>
  <c r="AG267" i="9"/>
  <c r="AG129" i="9"/>
  <c r="AG31" i="9"/>
  <c r="AG67" i="9"/>
  <c r="AG49" i="9"/>
  <c r="AG298" i="9"/>
  <c r="AG400" i="9"/>
  <c r="AG562" i="9"/>
  <c r="AG187" i="9"/>
  <c r="AG402" i="9"/>
  <c r="AG113" i="9"/>
  <c r="AG517" i="9"/>
  <c r="AG172" i="9"/>
  <c r="AG288" i="9"/>
  <c r="AG208" i="9"/>
  <c r="AG558" i="9"/>
  <c r="AG449" i="9"/>
  <c r="AG258" i="9"/>
  <c r="AG99" i="9"/>
  <c r="AG455" i="9"/>
  <c r="AG115" i="9"/>
  <c r="AG283" i="9"/>
  <c r="AG479" i="9"/>
  <c r="AG470" i="9"/>
  <c r="AG218" i="9"/>
  <c r="AG213" i="9"/>
  <c r="AG38" i="9"/>
  <c r="AG96" i="9"/>
  <c r="AG311" i="9"/>
  <c r="AG437" i="9"/>
  <c r="AG504" i="9"/>
  <c r="AG301" i="9"/>
  <c r="AG157" i="9"/>
  <c r="AG499" i="9"/>
  <c r="AG127" i="9"/>
  <c r="AG616" i="9"/>
  <c r="AG82" i="9"/>
  <c r="AG276" i="9"/>
  <c r="AG463" i="9"/>
  <c r="AG297" i="9"/>
  <c r="AG427" i="9"/>
  <c r="AG242" i="9"/>
  <c r="AG32" i="9"/>
  <c r="AG312" i="9"/>
  <c r="AG557" i="9"/>
  <c r="AG284" i="9"/>
  <c r="AG144" i="9"/>
  <c r="AG83" i="9"/>
  <c r="AG571" i="9"/>
  <c r="AG317" i="9"/>
  <c r="AG506" i="9"/>
  <c r="AG323" i="9"/>
  <c r="AG581" i="9"/>
  <c r="AG451" i="9"/>
  <c r="AG566" i="9"/>
  <c r="AG383" i="9"/>
  <c r="AG435" i="9"/>
  <c r="AG108" i="9"/>
  <c r="AG560" i="9"/>
  <c r="AG330" i="9"/>
  <c r="AG316" i="9"/>
  <c r="AG564" i="9"/>
  <c r="AG180" i="9"/>
  <c r="AG565" i="9"/>
  <c r="AG518" i="9"/>
  <c r="AG349" i="9"/>
  <c r="AG348" i="9"/>
  <c r="AG420" i="9"/>
  <c r="AG287" i="9"/>
  <c r="AG29" i="9"/>
  <c r="AG175" i="9"/>
  <c r="AG282" i="9"/>
  <c r="AG169" i="9"/>
  <c r="AG50" i="9"/>
  <c r="AG34" i="9"/>
  <c r="AG229" i="9"/>
  <c r="AG364" i="9"/>
  <c r="AG552" i="9"/>
  <c r="AG406" i="9"/>
  <c r="AG214" i="9"/>
  <c r="AG315" i="9"/>
  <c r="AG493" i="9"/>
  <c r="AG168" i="9"/>
  <c r="AG401" i="9"/>
  <c r="AG396" i="9"/>
  <c r="AG262" i="9"/>
  <c r="AG59" i="9"/>
  <c r="AG25" i="9"/>
  <c r="AG294" i="9"/>
  <c r="AG305" i="9"/>
  <c r="AG98" i="9"/>
  <c r="AG118" i="9"/>
  <c r="AG585" i="9"/>
  <c r="AG128" i="9"/>
  <c r="AG193" i="9"/>
  <c r="AG485" i="9"/>
  <c r="AG286" i="9"/>
  <c r="AG281" i="9"/>
  <c r="AG221" i="9"/>
  <c r="AG44" i="9"/>
  <c r="AG410" i="9"/>
  <c r="AG274" i="9"/>
  <c r="AG79" i="9"/>
  <c r="AG360" i="9"/>
  <c r="AG254" i="9"/>
  <c r="AG556" i="9"/>
  <c r="AG62" i="9"/>
  <c r="AG407" i="9"/>
  <c r="AG337" i="9"/>
  <c r="AG551" i="9"/>
  <c r="AG77" i="9"/>
  <c r="AG553" i="9"/>
  <c r="AG539" i="9"/>
  <c r="AG268" i="9"/>
  <c r="AG248" i="9"/>
  <c r="AG498" i="9"/>
  <c r="AG545" i="9"/>
  <c r="AG397" i="9"/>
  <c r="AG487" i="9"/>
  <c r="AG176" i="9"/>
  <c r="AG131" i="9"/>
  <c r="AG490" i="9"/>
  <c r="AG438" i="9"/>
  <c r="AG324" i="9"/>
  <c r="AG327" i="9"/>
  <c r="AG367" i="9"/>
  <c r="AG563" i="9"/>
  <c r="AG612" i="9"/>
  <c r="AG42" i="9"/>
  <c r="AG413" i="9"/>
  <c r="AG252" i="9"/>
  <c r="AG533" i="9"/>
  <c r="AG339" i="9"/>
  <c r="AG141" i="9"/>
  <c r="AG554" i="9"/>
  <c r="AG244" i="9"/>
  <c r="AG80" i="9"/>
  <c r="AG270" i="9"/>
  <c r="AG231" i="9"/>
  <c r="AG415" i="9"/>
  <c r="AG106" i="9"/>
  <c r="AG428" i="9"/>
  <c r="AG426" i="9"/>
  <c r="AG291" i="9"/>
  <c r="AG335" i="9"/>
  <c r="AG457" i="9"/>
  <c r="AG93" i="9"/>
  <c r="AG224" i="9"/>
  <c r="AG353" i="9"/>
  <c r="AG425" i="9"/>
  <c r="AG198" i="9"/>
  <c r="AG24" i="9"/>
  <c r="AG314" i="9"/>
  <c r="AG574" i="9"/>
  <c r="AG486" i="9"/>
  <c r="AG466" i="9"/>
  <c r="AG480" i="9"/>
  <c r="AG374" i="9"/>
  <c r="AG375" i="9"/>
  <c r="AG537" i="9"/>
  <c r="AG159" i="9"/>
  <c r="AG212" i="9"/>
  <c r="AG247" i="9"/>
  <c r="AG47" i="9"/>
  <c r="AG607" i="9"/>
  <c r="AG583" i="9"/>
  <c r="AG570" i="9"/>
  <c r="AG138" i="9"/>
  <c r="AG306" i="9"/>
  <c r="AG453" i="9"/>
  <c r="AG529" i="9"/>
  <c r="AG520" i="9"/>
  <c r="AG87" i="9"/>
  <c r="AG393" i="9"/>
  <c r="AG81" i="9"/>
  <c r="AG454" i="9"/>
  <c r="AG76" i="9"/>
  <c r="AG548" i="9"/>
  <c r="AG544" i="9"/>
  <c r="AG505" i="9"/>
  <c r="AG434" i="9"/>
  <c r="AG440" i="9"/>
  <c r="AG476" i="9"/>
  <c r="AG525" i="9"/>
  <c r="AG236" i="9"/>
  <c r="AG39" i="9"/>
  <c r="AG278" i="9"/>
  <c r="AG381" i="9"/>
  <c r="AG167" i="9"/>
  <c r="AG178" i="9"/>
  <c r="AG447" i="9"/>
  <c r="AG532" i="9"/>
  <c r="AG444" i="9"/>
  <c r="AG502" i="9"/>
  <c r="AG540" i="9"/>
  <c r="AG153" i="9"/>
  <c r="AG535" i="9"/>
  <c r="AG161" i="9"/>
  <c r="AG280" i="9"/>
  <c r="AG181" i="9"/>
  <c r="AG391" i="9"/>
  <c r="AG308" i="9"/>
  <c r="AG347" i="9"/>
  <c r="AG369" i="9"/>
  <c r="AG269" i="9"/>
  <c r="AG599" i="9"/>
  <c r="AG227" i="9"/>
  <c r="AG414" i="9"/>
  <c r="AG184" i="9"/>
  <c r="AG112" i="9"/>
  <c r="AG266" i="9"/>
  <c r="AG26" i="9"/>
  <c r="AG515" i="9"/>
  <c r="AG54" i="9"/>
  <c r="AG22" i="9"/>
  <c r="AG500" i="9"/>
  <c r="AG120" i="9"/>
  <c r="AG295" i="9"/>
  <c r="AG263" i="9"/>
  <c r="AG541" i="9"/>
  <c r="AG45" i="9"/>
  <c r="AG177" i="9"/>
  <c r="AG412" i="9"/>
  <c r="AG142" i="9"/>
  <c r="AG319" i="9"/>
  <c r="AG226" i="9"/>
  <c r="AG285" i="9"/>
  <c r="AG109" i="9"/>
  <c r="AG377" i="9"/>
  <c r="AG246" i="9"/>
  <c r="AG503" i="9"/>
  <c r="AG292" i="9"/>
  <c r="AG124" i="9"/>
  <c r="AG215" i="9"/>
  <c r="AG423" i="9"/>
  <c r="AG75" i="9"/>
  <c r="AG488" i="9"/>
  <c r="AG185" i="9"/>
  <c r="AG134" i="9"/>
  <c r="AG462" i="9"/>
  <c r="AG597" i="9"/>
  <c r="AG598" i="9"/>
  <c r="AG511" i="9"/>
  <c r="AG576" i="9"/>
  <c r="AG202" i="9"/>
  <c r="AG300" i="9"/>
  <c r="AG356" i="9"/>
  <c r="AG372" i="9"/>
  <c r="AG321" i="9"/>
  <c r="AG403" i="9"/>
  <c r="AG255" i="9"/>
  <c r="AG302" i="9"/>
  <c r="AG116" i="9"/>
  <c r="AG461" i="9"/>
  <c r="AG183" i="9"/>
  <c r="AG320" i="9"/>
  <c r="AG483" i="9"/>
  <c r="AG243" i="9"/>
  <c r="AG146" i="9"/>
  <c r="AG546" i="9"/>
  <c r="AG332" i="9"/>
  <c r="AG572" i="9"/>
  <c r="AG140" i="9"/>
  <c r="AG293" i="9"/>
  <c r="AG355" i="9"/>
  <c r="AG589" i="9"/>
  <c r="AG194" i="9"/>
  <c r="AG21" i="9"/>
  <c r="AG587" i="9"/>
  <c r="AG41" i="9"/>
  <c r="AG445" i="9"/>
  <c r="AG156" i="9"/>
  <c r="AG590" i="9"/>
  <c r="AG489" i="9"/>
  <c r="AG614" i="9"/>
  <c r="AG265" i="9"/>
  <c r="AG257" i="9"/>
  <c r="AG584" i="9"/>
  <c r="AG575" i="9"/>
  <c r="AG132" i="9"/>
  <c r="AG23" i="9"/>
  <c r="AG322" i="9"/>
  <c r="AG526" i="9"/>
  <c r="AG123" i="9"/>
  <c r="AG107" i="9"/>
  <c r="AG561" i="9"/>
  <c r="AG145" i="9"/>
  <c r="AG521" i="9"/>
  <c r="AG596" i="9"/>
  <c r="AG179" i="9"/>
  <c r="AG592" i="9"/>
  <c r="AG203" i="9"/>
  <c r="AG386" i="9"/>
  <c r="AG496" i="9"/>
  <c r="AG580" i="9"/>
  <c r="AG173" i="9"/>
  <c r="AG465" i="9"/>
  <c r="AG409" i="9"/>
  <c r="AG550" i="9"/>
  <c r="AG542" i="9"/>
  <c r="AG102" i="9"/>
  <c r="AG207" i="9"/>
  <c r="AG237" i="9"/>
  <c r="AG342" i="9"/>
  <c r="AG160" i="9"/>
  <c r="AG110" i="9"/>
  <c r="AG318" i="9"/>
  <c r="AG405" i="9"/>
  <c r="AG527" i="9"/>
  <c r="AG441" i="9"/>
  <c r="AG289" i="9"/>
  <c r="AG573" i="9"/>
  <c r="AG341" i="9"/>
  <c r="AG482" i="9"/>
  <c r="AG569" i="9"/>
  <c r="AG122" i="9"/>
  <c r="AG456" i="9"/>
  <c r="AG72" i="9"/>
  <c r="AG497" i="9"/>
  <c r="AG68" i="9"/>
  <c r="AG136" i="9"/>
  <c r="AG259" i="9"/>
  <c r="AG387" i="9"/>
  <c r="AG328" i="9"/>
  <c r="AG378" i="9"/>
  <c r="AG362" i="9"/>
  <c r="AG595" i="9"/>
  <c r="AG376" i="9"/>
  <c r="AG357" i="9"/>
  <c r="AG121" i="9"/>
  <c r="AG88" i="9"/>
  <c r="AG200" i="9"/>
  <c r="AG446" i="9"/>
  <c r="AG333" i="9"/>
  <c r="AG474" i="9"/>
  <c r="AG478" i="9"/>
  <c r="AG114" i="9"/>
  <c r="AG345" i="9"/>
  <c r="AG313" i="9"/>
  <c r="AG351" i="9"/>
  <c r="AG101" i="9"/>
  <c r="AG56" i="9"/>
  <c r="AG241" i="9"/>
  <c r="AG419" i="9"/>
  <c r="AG371" i="9"/>
  <c r="AG256" i="9"/>
  <c r="AG408" i="9"/>
  <c r="AG84" i="9"/>
  <c r="AG430" i="9"/>
  <c r="AG531" i="9"/>
  <c r="AG189" i="9"/>
  <c r="AG331" i="9"/>
  <c r="AG105" i="9"/>
  <c r="AG594" i="9"/>
  <c r="AG421" i="9"/>
  <c r="AG608" i="9"/>
  <c r="AG338" i="9"/>
  <c r="AG508" i="9"/>
  <c r="AG137" i="9"/>
  <c r="AG133" i="9"/>
  <c r="AG162" i="9"/>
  <c r="AG460" i="9"/>
  <c r="AG174" i="9"/>
  <c r="AG492" i="9"/>
  <c r="AG605" i="9"/>
  <c r="AG290" i="9"/>
  <c r="AG135" i="9"/>
  <c r="AG188" i="9"/>
  <c r="AG494" i="9"/>
  <c r="AG206" i="9"/>
  <c r="AG171" i="9"/>
  <c r="AG196" i="9"/>
  <c r="AG522" i="9"/>
  <c r="AG36" i="9"/>
  <c r="AG398" i="9"/>
  <c r="AG230" i="9"/>
  <c r="AG350" i="9"/>
  <c r="AG442" i="9"/>
  <c r="AG165" i="9"/>
  <c r="AG66" i="9"/>
  <c r="AG609" i="9"/>
  <c r="AG422" i="9"/>
  <c r="AG190" i="9"/>
  <c r="AG467" i="9"/>
  <c r="AG225" i="9"/>
  <c r="AG158" i="9"/>
  <c r="AG86" i="9"/>
  <c r="AG20" i="9"/>
  <c r="AG547" i="9"/>
  <c r="AG448" i="9"/>
  <c r="AG501" i="9"/>
  <c r="AG458" i="9"/>
  <c r="AG304" i="9"/>
  <c r="AG28" i="9"/>
  <c r="AG510" i="9"/>
  <c r="AG148" i="9"/>
  <c r="AG366" i="9"/>
  <c r="AG385" i="9"/>
  <c r="AG166" i="9"/>
  <c r="AG567" i="9"/>
  <c r="AG90" i="9"/>
  <c r="AG238" i="9"/>
  <c r="AG468" i="9"/>
  <c r="AG139" i="9"/>
  <c r="AG61" i="9"/>
  <c r="AG582" i="9"/>
  <c r="AG251" i="9"/>
  <c r="AG64" i="9"/>
  <c r="AG126" i="9"/>
  <c r="AG439" i="9"/>
  <c r="AG164" i="9"/>
  <c r="AG170" i="9"/>
  <c r="AG363" i="9"/>
  <c r="AG310" i="9"/>
  <c r="AG380" i="9"/>
  <c r="AG610" i="9"/>
  <c r="AG395" i="9"/>
  <c r="AG51" i="9"/>
  <c r="AG404" i="9"/>
  <c r="AG151" i="9"/>
  <c r="AG73" i="9"/>
  <c r="AG534" i="9"/>
  <c r="AG46" i="9"/>
  <c r="AG104" i="9"/>
  <c r="AG271" i="9"/>
  <c r="AG417" i="9"/>
  <c r="AG186" i="9"/>
  <c r="AG40" i="9"/>
  <c r="AG469" i="9"/>
  <c r="AG52" i="9"/>
  <c r="AG155" i="9"/>
  <c r="AG346" i="9"/>
  <c r="AG336" i="9"/>
  <c r="AG382" i="9"/>
  <c r="AF11" i="9"/>
  <c r="AE8" i="9"/>
  <c r="AE6" i="9"/>
  <c r="AE7" i="9"/>
  <c r="AE9" i="9"/>
  <c r="AE10" i="9"/>
  <c r="AF17" i="9"/>
  <c r="AF617" i="9" s="1"/>
  <c r="E14" i="17"/>
  <c r="AH16" i="9"/>
  <c r="AG5" i="9"/>
  <c r="G41" i="2"/>
  <c r="G46" i="2" s="1"/>
  <c r="G47" i="2" s="1"/>
  <c r="J36" i="2"/>
  <c r="K36" i="2" s="1"/>
  <c r="AH186" i="9" l="1"/>
  <c r="AH404" i="9"/>
  <c r="AH164" i="9"/>
  <c r="AH468" i="9"/>
  <c r="AH510" i="9"/>
  <c r="AH86" i="9"/>
  <c r="AH165" i="9"/>
  <c r="AH171" i="9"/>
  <c r="AH174" i="9"/>
  <c r="AH421" i="9"/>
  <c r="AH408" i="9"/>
  <c r="AH313" i="9"/>
  <c r="AH88" i="9"/>
  <c r="AH387" i="9"/>
  <c r="AH569" i="9"/>
  <c r="AH318" i="9"/>
  <c r="AH550" i="9"/>
  <c r="AH592" i="9"/>
  <c r="AH526" i="9"/>
  <c r="AH614" i="9"/>
  <c r="AH194" i="9"/>
  <c r="AH146" i="9"/>
  <c r="AH255" i="9"/>
  <c r="AH511" i="9"/>
  <c r="AH423" i="9"/>
  <c r="AH285" i="9"/>
  <c r="AH263" i="9"/>
  <c r="AH266" i="9"/>
  <c r="AH347" i="9"/>
  <c r="AH540" i="9"/>
  <c r="AH278" i="9"/>
  <c r="AH544" i="9"/>
  <c r="AH529" i="9"/>
  <c r="AH247" i="9"/>
  <c r="AH486" i="9"/>
  <c r="AH93" i="9"/>
  <c r="AH231" i="9"/>
  <c r="AH252" i="9"/>
  <c r="AH438" i="9"/>
  <c r="AH248" i="9"/>
  <c r="AH62" i="9"/>
  <c r="AH221" i="9"/>
  <c r="AH98" i="9"/>
  <c r="AH168" i="9"/>
  <c r="AH34" i="9"/>
  <c r="AH348" i="9"/>
  <c r="AH560" i="9"/>
  <c r="AH506" i="9"/>
  <c r="AH32" i="9"/>
  <c r="AH127" i="9"/>
  <c r="AH38" i="9"/>
  <c r="AH99" i="9"/>
  <c r="AH113" i="9"/>
  <c r="AH31" i="9"/>
  <c r="AH103" i="9"/>
  <c r="AH63" i="9"/>
  <c r="AH452" i="9"/>
  <c r="AH513" i="9"/>
  <c r="AH358" i="9"/>
  <c r="AH384" i="9"/>
  <c r="AH100" i="9"/>
  <c r="AH303" i="9"/>
  <c r="AH209" i="9"/>
  <c r="AH600" i="9"/>
  <c r="AH424" i="9"/>
  <c r="AH477" i="9"/>
  <c r="AH481" i="9"/>
  <c r="AH222" i="9"/>
  <c r="AH249" i="9"/>
  <c r="AH35" i="9"/>
  <c r="AH523" i="9"/>
  <c r="AH379" i="9"/>
  <c r="AH472" i="9"/>
  <c r="AH60" i="9"/>
  <c r="AH382" i="9"/>
  <c r="AH417" i="9"/>
  <c r="AH51" i="9"/>
  <c r="AH439" i="9"/>
  <c r="AH238" i="9"/>
  <c r="AH28" i="9"/>
  <c r="AH158" i="9"/>
  <c r="AH442" i="9"/>
  <c r="AH206" i="9"/>
  <c r="AH460" i="9"/>
  <c r="AH594" i="9"/>
  <c r="AH256" i="9"/>
  <c r="AH345" i="9"/>
  <c r="AH121" i="9"/>
  <c r="AH259" i="9"/>
  <c r="AH482" i="9"/>
  <c r="AH110" i="9"/>
  <c r="AH409" i="9"/>
  <c r="AH179" i="9"/>
  <c r="AH322" i="9"/>
  <c r="AH489" i="9"/>
  <c r="AH589" i="9"/>
  <c r="AH243" i="9"/>
  <c r="AH403" i="9"/>
  <c r="AH598" i="9"/>
  <c r="AH215" i="9"/>
  <c r="AH226" i="9"/>
  <c r="AH295" i="9"/>
  <c r="AH112" i="9"/>
  <c r="AH308" i="9"/>
  <c r="AH502" i="9"/>
  <c r="AH39" i="9"/>
  <c r="AH548" i="9"/>
  <c r="AH453" i="9"/>
  <c r="AH212" i="9"/>
  <c r="AH574" i="9"/>
  <c r="AH457" i="9"/>
  <c r="AH270" i="9"/>
  <c r="AH413" i="9"/>
  <c r="AH490" i="9"/>
  <c r="AH268" i="9"/>
  <c r="AH556" i="9"/>
  <c r="AH281" i="9"/>
  <c r="AH305" i="9"/>
  <c r="AH493" i="9"/>
  <c r="AH50" i="9"/>
  <c r="AH349" i="9"/>
  <c r="AH108" i="9"/>
  <c r="AH317" i="9"/>
  <c r="AH242" i="9"/>
  <c r="AH499" i="9"/>
  <c r="AH213" i="9"/>
  <c r="AH258" i="9"/>
  <c r="AH402" i="9"/>
  <c r="AH129" i="9"/>
  <c r="AH30" i="9"/>
  <c r="AH119" i="9"/>
  <c r="AH495" i="9"/>
  <c r="AH588" i="9"/>
  <c r="AH296" i="9"/>
  <c r="AH245" i="9"/>
  <c r="AH33" i="9"/>
  <c r="AH211" i="9"/>
  <c r="AH606" i="9"/>
  <c r="AH199" i="9"/>
  <c r="AH130" i="9"/>
  <c r="AH307" i="9"/>
  <c r="AH611" i="9"/>
  <c r="AH232" i="9"/>
  <c r="AH277" i="9"/>
  <c r="AH365" i="9"/>
  <c r="AH514" i="9"/>
  <c r="AH370" i="9"/>
  <c r="AH220" i="9"/>
  <c r="AH43" i="9"/>
  <c r="AH336" i="9"/>
  <c r="AH271" i="9"/>
  <c r="AH395" i="9"/>
  <c r="AH126" i="9"/>
  <c r="AH90" i="9"/>
  <c r="AH304" i="9"/>
  <c r="AH225" i="9"/>
  <c r="AH350" i="9"/>
  <c r="AH494" i="9"/>
  <c r="AH162" i="9"/>
  <c r="AH105" i="9"/>
  <c r="AH371" i="9"/>
  <c r="AH114" i="9"/>
  <c r="AH357" i="9"/>
  <c r="AH136" i="9"/>
  <c r="AH341" i="9"/>
  <c r="AH160" i="9"/>
  <c r="AH465" i="9"/>
  <c r="AH596" i="9"/>
  <c r="AH23" i="9"/>
  <c r="AH590" i="9"/>
  <c r="AH355" i="9"/>
  <c r="AH483" i="9"/>
  <c r="AH321" i="9"/>
  <c r="AH597" i="9"/>
  <c r="AH124" i="9"/>
  <c r="AH319" i="9"/>
  <c r="AH120" i="9"/>
  <c r="AH184" i="9"/>
  <c r="AH391" i="9"/>
  <c r="AH444" i="9"/>
  <c r="AH236" i="9"/>
  <c r="AH76" i="9"/>
  <c r="AH306" i="9"/>
  <c r="AH159" i="9"/>
  <c r="AH314" i="9"/>
  <c r="AH335" i="9"/>
  <c r="AH80" i="9"/>
  <c r="AH42" i="9"/>
  <c r="AH131" i="9"/>
  <c r="AH539" i="9"/>
  <c r="AH254" i="9"/>
  <c r="AH286" i="9"/>
  <c r="AH294" i="9"/>
  <c r="AH315" i="9"/>
  <c r="AH169" i="9"/>
  <c r="AH518" i="9"/>
  <c r="AH435" i="9"/>
  <c r="AH571" i="9"/>
  <c r="AH427" i="9"/>
  <c r="AH157" i="9"/>
  <c r="AH218" i="9"/>
  <c r="AH449" i="9"/>
  <c r="AH187" i="9"/>
  <c r="AH267" i="9"/>
  <c r="AH94" i="9"/>
  <c r="AH273" i="9"/>
  <c r="AH27" i="9"/>
  <c r="AH528" i="9"/>
  <c r="AH326" i="9"/>
  <c r="AH429" i="9"/>
  <c r="AH163" i="9"/>
  <c r="AH602" i="9"/>
  <c r="AH471" i="9"/>
  <c r="AH354" i="9"/>
  <c r="AH125" i="9"/>
  <c r="AH389" i="9"/>
  <c r="AH217" i="9"/>
  <c r="AH201" i="9"/>
  <c r="AH261" i="9"/>
  <c r="AH78" i="9"/>
  <c r="AH299" i="9"/>
  <c r="AH111" i="9"/>
  <c r="AH240" i="9"/>
  <c r="AH74" i="9"/>
  <c r="AH346" i="9"/>
  <c r="AH104" i="9"/>
  <c r="AH610" i="9"/>
  <c r="AH64" i="9"/>
  <c r="AH567" i="9"/>
  <c r="AH458" i="9"/>
  <c r="AH467" i="9"/>
  <c r="AH230" i="9"/>
  <c r="AH188" i="9"/>
  <c r="AH133" i="9"/>
  <c r="AH331" i="9"/>
  <c r="AH419" i="9"/>
  <c r="AH478" i="9"/>
  <c r="AH376" i="9"/>
  <c r="AH68" i="9"/>
  <c r="AH573" i="9"/>
  <c r="AH342" i="9"/>
  <c r="AH173" i="9"/>
  <c r="AH521" i="9"/>
  <c r="AH132" i="9"/>
  <c r="AH156" i="9"/>
  <c r="AH293" i="9"/>
  <c r="AH320" i="9"/>
  <c r="AH372" i="9"/>
  <c r="AH462" i="9"/>
  <c r="AH292" i="9"/>
  <c r="AH142" i="9"/>
  <c r="AH500" i="9"/>
  <c r="AH414" i="9"/>
  <c r="AH181" i="9"/>
  <c r="AH532" i="9"/>
  <c r="AH525" i="9"/>
  <c r="AH454" i="9"/>
  <c r="AH138" i="9"/>
  <c r="AH537" i="9"/>
  <c r="AH24" i="9"/>
  <c r="AH291" i="9"/>
  <c r="AH244" i="9"/>
  <c r="AH612" i="9"/>
  <c r="AH176" i="9"/>
  <c r="AH553" i="9"/>
  <c r="AH360" i="9"/>
  <c r="AH485" i="9"/>
  <c r="AH25" i="9"/>
  <c r="AH214" i="9"/>
  <c r="AH282" i="9"/>
  <c r="AH565" i="9"/>
  <c r="AH383" i="9"/>
  <c r="AH83" i="9"/>
  <c r="AH297" i="9"/>
  <c r="AH301" i="9"/>
  <c r="AH470" i="9"/>
  <c r="AH558" i="9"/>
  <c r="AH562" i="9"/>
  <c r="AH58" i="9"/>
  <c r="AH536" i="9"/>
  <c r="AH192" i="9"/>
  <c r="AH279" i="9"/>
  <c r="AH117" i="9"/>
  <c r="AH418" i="9"/>
  <c r="AH57" i="9"/>
  <c r="AH543" i="9"/>
  <c r="AH309" i="9"/>
  <c r="AH555" i="9"/>
  <c r="AH250" i="9"/>
  <c r="AH392" i="9"/>
  <c r="AH71" i="9"/>
  <c r="AH182" i="9"/>
  <c r="AH55" i="9"/>
  <c r="AH432" i="9"/>
  <c r="AH95" i="9"/>
  <c r="AH416" i="9"/>
  <c r="AH604" i="9"/>
  <c r="AH210" i="9"/>
  <c r="AH228" i="9"/>
  <c r="AH155" i="9"/>
  <c r="AH46" i="9"/>
  <c r="AH380" i="9"/>
  <c r="AH251" i="9"/>
  <c r="AH166" i="9"/>
  <c r="AH501" i="9"/>
  <c r="AH190" i="9"/>
  <c r="AH398" i="9"/>
  <c r="AH135" i="9"/>
  <c r="AH137" i="9"/>
  <c r="AH189" i="9"/>
  <c r="AH241" i="9"/>
  <c r="AH474" i="9"/>
  <c r="AH595" i="9"/>
  <c r="AH497" i="9"/>
  <c r="AH289" i="9"/>
  <c r="AH237" i="9"/>
  <c r="AH580" i="9"/>
  <c r="AH145" i="9"/>
  <c r="AH575" i="9"/>
  <c r="AH445" i="9"/>
  <c r="AH140" i="9"/>
  <c r="AH183" i="9"/>
  <c r="AH356" i="9"/>
  <c r="AH134" i="9"/>
  <c r="AH503" i="9"/>
  <c r="AH412" i="9"/>
  <c r="AH22" i="9"/>
  <c r="AH227" i="9"/>
  <c r="AH280" i="9"/>
  <c r="AH447" i="9"/>
  <c r="AH476" i="9"/>
  <c r="AH81" i="9"/>
  <c r="AH570" i="9"/>
  <c r="AH375" i="9"/>
  <c r="AH198" i="9"/>
  <c r="AH426" i="9"/>
  <c r="AH554" i="9"/>
  <c r="AH563" i="9"/>
  <c r="AH487" i="9"/>
  <c r="AH77" i="9"/>
  <c r="AH79" i="9"/>
  <c r="AH193" i="9"/>
  <c r="AH59" i="9"/>
  <c r="AH406" i="9"/>
  <c r="AH175" i="9"/>
  <c r="AH180" i="9"/>
  <c r="AH566" i="9"/>
  <c r="AH144" i="9"/>
  <c r="AH463" i="9"/>
  <c r="AH504" i="9"/>
  <c r="AH479" i="9"/>
  <c r="AH208" i="9"/>
  <c r="AH400" i="9"/>
  <c r="AH577" i="9"/>
  <c r="AH223" i="9"/>
  <c r="AH154" i="9"/>
  <c r="AH464" i="9"/>
  <c r="AH234" i="9"/>
  <c r="AH530" i="9"/>
  <c r="AH361" i="9"/>
  <c r="AH578" i="9"/>
  <c r="AH512" i="9"/>
  <c r="AH219" i="9"/>
  <c r="AH70" i="9"/>
  <c r="AH591" i="9"/>
  <c r="AH601" i="9"/>
  <c r="AH613" i="9"/>
  <c r="AH92" i="9"/>
  <c r="AH459" i="9"/>
  <c r="AH53" i="9"/>
  <c r="AH264" i="9"/>
  <c r="AH191" i="9"/>
  <c r="AH473" i="9"/>
  <c r="AH340" i="9"/>
  <c r="AH52" i="9"/>
  <c r="AH534" i="9"/>
  <c r="AH310" i="9"/>
  <c r="AH582" i="9"/>
  <c r="AH385" i="9"/>
  <c r="AH448" i="9"/>
  <c r="AH422" i="9"/>
  <c r="AH36" i="9"/>
  <c r="AH290" i="9"/>
  <c r="AH508" i="9"/>
  <c r="AH531" i="9"/>
  <c r="AH56" i="9"/>
  <c r="AH333" i="9"/>
  <c r="AH362" i="9"/>
  <c r="AH72" i="9"/>
  <c r="AH441" i="9"/>
  <c r="AH207" i="9"/>
  <c r="AH496" i="9"/>
  <c r="AH561" i="9"/>
  <c r="AH584" i="9"/>
  <c r="AH41" i="9"/>
  <c r="AH572" i="9"/>
  <c r="AH461" i="9"/>
  <c r="AH300" i="9"/>
  <c r="AH185" i="9"/>
  <c r="AH246" i="9"/>
  <c r="AH177" i="9"/>
  <c r="AH54" i="9"/>
  <c r="AH599" i="9"/>
  <c r="AH161" i="9"/>
  <c r="AH178" i="9"/>
  <c r="AH440" i="9"/>
  <c r="AH393" i="9"/>
  <c r="AH583" i="9"/>
  <c r="AH374" i="9"/>
  <c r="AH425" i="9"/>
  <c r="AH428" i="9"/>
  <c r="AH141" i="9"/>
  <c r="AH367" i="9"/>
  <c r="AH397" i="9"/>
  <c r="AH551" i="9"/>
  <c r="AH274" i="9"/>
  <c r="AH128" i="9"/>
  <c r="AH262" i="9"/>
  <c r="AH552" i="9"/>
  <c r="AH29" i="9"/>
  <c r="AH564" i="9"/>
  <c r="AH451" i="9"/>
  <c r="AH284" i="9"/>
  <c r="AH276" i="9"/>
  <c r="AH437" i="9"/>
  <c r="AH283" i="9"/>
  <c r="AH288" i="9"/>
  <c r="AH298" i="9"/>
  <c r="AH150" i="9"/>
  <c r="AH390" i="9"/>
  <c r="AH48" i="9"/>
  <c r="AH352" i="9"/>
  <c r="AH368" i="9"/>
  <c r="AH411" i="9"/>
  <c r="AH91" i="9"/>
  <c r="AH89" i="9"/>
  <c r="AH334" i="9"/>
  <c r="AH538" i="9"/>
  <c r="AH559" i="9"/>
  <c r="AH253" i="9"/>
  <c r="AH568" i="9"/>
  <c r="AH394" i="9"/>
  <c r="AH359" i="9"/>
  <c r="AH436" i="9"/>
  <c r="AH519" i="9"/>
  <c r="AH275" i="9"/>
  <c r="AH235" i="9"/>
  <c r="AH484" i="9"/>
  <c r="AH85" i="9"/>
  <c r="AH469" i="9"/>
  <c r="AH73" i="9"/>
  <c r="AH363" i="9"/>
  <c r="AH61" i="9"/>
  <c r="AH366" i="9"/>
  <c r="AH547" i="9"/>
  <c r="AH609" i="9"/>
  <c r="AH522" i="9"/>
  <c r="AH605" i="9"/>
  <c r="AH338" i="9"/>
  <c r="AH430" i="9"/>
  <c r="AH101" i="9"/>
  <c r="AH446" i="9"/>
  <c r="AH378" i="9"/>
  <c r="AH456" i="9"/>
  <c r="AH527" i="9"/>
  <c r="AH102" i="9"/>
  <c r="AH386" i="9"/>
  <c r="AH107" i="9"/>
  <c r="AH257" i="9"/>
  <c r="AH587" i="9"/>
  <c r="AH332" i="9"/>
  <c r="AH116" i="9"/>
  <c r="AH202" i="9"/>
  <c r="AH488" i="9"/>
  <c r="AH377" i="9"/>
  <c r="AH45" i="9"/>
  <c r="AH515" i="9"/>
  <c r="AH269" i="9"/>
  <c r="AH535" i="9"/>
  <c r="AH167" i="9"/>
  <c r="AH434" i="9"/>
  <c r="AH87" i="9"/>
  <c r="AH607" i="9"/>
  <c r="AH480" i="9"/>
  <c r="AH353" i="9"/>
  <c r="AH106" i="9"/>
  <c r="AH339" i="9"/>
  <c r="AH327" i="9"/>
  <c r="AH545" i="9"/>
  <c r="AH337" i="9"/>
  <c r="AH410" i="9"/>
  <c r="AH585" i="9"/>
  <c r="AH396" i="9"/>
  <c r="AH364" i="9"/>
  <c r="AH287" i="9"/>
  <c r="AH316" i="9"/>
  <c r="AH581" i="9"/>
  <c r="AH557" i="9"/>
  <c r="AH82" i="9"/>
  <c r="AH311" i="9"/>
  <c r="AH115" i="9"/>
  <c r="AH172" i="9"/>
  <c r="AH49" i="9"/>
  <c r="AH507" i="9"/>
  <c r="AH325" i="9"/>
  <c r="AH205" i="9"/>
  <c r="AH491" i="9"/>
  <c r="AH549" i="9"/>
  <c r="AH65" i="9"/>
  <c r="AH239" i="9"/>
  <c r="AH524" i="9"/>
  <c r="AH37" i="9"/>
  <c r="AH450" i="9"/>
  <c r="AH431" i="9"/>
  <c r="AH233" i="9"/>
  <c r="AH143" i="9"/>
  <c r="AH197" i="9"/>
  <c r="AH433" i="9"/>
  <c r="AH388" i="9"/>
  <c r="AH343" i="9"/>
  <c r="AH329" i="9"/>
  <c r="AH475" i="9"/>
  <c r="AH344" i="9"/>
  <c r="AH149" i="9"/>
  <c r="AH40" i="9"/>
  <c r="AH151" i="9"/>
  <c r="AH170" i="9"/>
  <c r="AH139" i="9"/>
  <c r="AH148" i="9"/>
  <c r="AH20" i="9"/>
  <c r="AH66" i="9"/>
  <c r="AH196" i="9"/>
  <c r="AH492" i="9"/>
  <c r="AH608" i="9"/>
  <c r="AH84" i="9"/>
  <c r="AH351" i="9"/>
  <c r="AH200" i="9"/>
  <c r="AH328" i="9"/>
  <c r="AH122" i="9"/>
  <c r="AH405" i="9"/>
  <c r="AH542" i="9"/>
  <c r="AH203" i="9"/>
  <c r="AH123" i="9"/>
  <c r="AH265" i="9"/>
  <c r="AH21" i="9"/>
  <c r="AH546" i="9"/>
  <c r="AH302" i="9"/>
  <c r="AH576" i="9"/>
  <c r="AH75" i="9"/>
  <c r="AH109" i="9"/>
  <c r="AH541" i="9"/>
  <c r="AH26" i="9"/>
  <c r="AH369" i="9"/>
  <c r="AH153" i="9"/>
  <c r="AH381" i="9"/>
  <c r="AH505" i="9"/>
  <c r="AH520" i="9"/>
  <c r="AH47" i="9"/>
  <c r="AH466" i="9"/>
  <c r="AH224" i="9"/>
  <c r="AH415" i="9"/>
  <c r="AH533" i="9"/>
  <c r="AH324" i="9"/>
  <c r="AH498" i="9"/>
  <c r="AH407" i="9"/>
  <c r="AH44" i="9"/>
  <c r="AH118" i="9"/>
  <c r="AH401" i="9"/>
  <c r="AH229" i="9"/>
  <c r="AH420" i="9"/>
  <c r="AH330" i="9"/>
  <c r="AH323" i="9"/>
  <c r="AH312" i="9"/>
  <c r="AH616" i="9"/>
  <c r="AH96" i="9"/>
  <c r="AH455" i="9"/>
  <c r="AH517" i="9"/>
  <c r="AH67" i="9"/>
  <c r="AH586" i="9"/>
  <c r="AH69" i="9"/>
  <c r="AH19" i="9"/>
  <c r="AH593" i="9"/>
  <c r="AH373" i="9"/>
  <c r="AH204" i="9"/>
  <c r="AH516" i="9"/>
  <c r="AH509" i="9"/>
  <c r="AH97" i="9"/>
  <c r="AH152" i="9"/>
  <c r="AH147" i="9"/>
  <c r="AH195" i="9"/>
  <c r="AH615" i="9"/>
  <c r="AH260" i="9"/>
  <c r="AH603" i="9"/>
  <c r="AH399" i="9"/>
  <c r="AH272" i="9"/>
  <c r="AH443" i="9"/>
  <c r="AH579" i="9"/>
  <c r="AH18" i="9"/>
  <c r="AH216" i="9"/>
  <c r="AG11" i="9"/>
  <c r="AF8" i="9"/>
  <c r="AF6" i="9"/>
  <c r="AF7" i="9"/>
  <c r="AG17" i="9"/>
  <c r="AF10" i="9"/>
  <c r="AF9" i="9"/>
  <c r="F14" i="17"/>
  <c r="AI16" i="9"/>
  <c r="AH5" i="9"/>
  <c r="L26" i="8"/>
  <c r="AI197" i="9" l="1"/>
  <c r="AI115" i="9"/>
  <c r="AI353" i="9"/>
  <c r="AI257" i="9"/>
  <c r="AI61" i="9"/>
  <c r="AI334" i="9"/>
  <c r="AI564" i="9"/>
  <c r="AI19" i="9"/>
  <c r="AI407" i="9"/>
  <c r="AI75" i="9"/>
  <c r="AI542" i="9"/>
  <c r="AI492" i="9"/>
  <c r="AI40" i="9"/>
  <c r="AI65" i="9"/>
  <c r="AI396" i="9"/>
  <c r="AI515" i="9"/>
  <c r="AI101" i="9"/>
  <c r="AI519" i="9"/>
  <c r="AI150" i="9"/>
  <c r="AI367" i="9"/>
  <c r="AI147" i="9"/>
  <c r="AI312" i="9"/>
  <c r="AI579" i="9"/>
  <c r="AI520" i="9"/>
  <c r="AI603" i="9"/>
  <c r="AI516" i="9"/>
  <c r="AI517" i="9"/>
  <c r="AI229" i="9"/>
  <c r="AI415" i="9"/>
  <c r="AI369" i="9"/>
  <c r="AI21" i="9"/>
  <c r="AI200" i="9"/>
  <c r="AI148" i="9"/>
  <c r="AI329" i="9"/>
  <c r="AI450" i="9"/>
  <c r="AI325" i="9"/>
  <c r="AI581" i="9"/>
  <c r="AI545" i="9"/>
  <c r="AI434" i="9"/>
  <c r="AI202" i="9"/>
  <c r="AI527" i="9"/>
  <c r="AI522" i="9"/>
  <c r="AI85" i="9"/>
  <c r="AI568" i="9"/>
  <c r="AI368" i="9"/>
  <c r="AI437" i="9"/>
  <c r="AI128" i="9"/>
  <c r="AI374" i="9"/>
  <c r="AI260" i="9"/>
  <c r="AI204" i="9"/>
  <c r="AI455" i="9"/>
  <c r="AI401" i="9"/>
  <c r="AI224" i="9"/>
  <c r="AI26" i="9"/>
  <c r="AI265" i="9"/>
  <c r="AI351" i="9"/>
  <c r="AI139" i="9"/>
  <c r="AI343" i="9"/>
  <c r="AI37" i="9"/>
  <c r="AI507" i="9"/>
  <c r="AI316" i="9"/>
  <c r="AI327" i="9"/>
  <c r="AI167" i="9"/>
  <c r="AI116" i="9"/>
  <c r="AI456" i="9"/>
  <c r="AI609" i="9"/>
  <c r="AI484" i="9"/>
  <c r="AI253" i="9"/>
  <c r="AI352" i="9"/>
  <c r="AI276" i="9"/>
  <c r="AI274" i="9"/>
  <c r="AI583" i="9"/>
  <c r="AI246" i="9"/>
  <c r="AI496" i="9"/>
  <c r="AI508" i="9"/>
  <c r="AI534" i="9"/>
  <c r="AI92" i="9"/>
  <c r="AI361" i="9"/>
  <c r="AI208" i="9"/>
  <c r="AI406" i="9"/>
  <c r="AI426" i="9"/>
  <c r="AI227" i="9"/>
  <c r="AI445" i="9"/>
  <c r="AI474" i="9"/>
  <c r="AI166" i="9"/>
  <c r="AI416" i="9"/>
  <c r="AI555" i="9"/>
  <c r="AI536" i="9"/>
  <c r="AI383" i="9"/>
  <c r="AI176" i="9"/>
  <c r="AI525" i="9"/>
  <c r="AI372" i="9"/>
  <c r="AI573" i="9"/>
  <c r="AI230" i="9"/>
  <c r="AI74" i="9"/>
  <c r="AI389" i="9"/>
  <c r="AI528" i="9"/>
  <c r="AI157" i="9"/>
  <c r="AI286" i="9"/>
  <c r="AI159" i="9"/>
  <c r="AI319" i="9"/>
  <c r="AI596" i="9"/>
  <c r="AI105" i="9"/>
  <c r="AI395" i="9"/>
  <c r="AI277" i="9"/>
  <c r="AI33" i="9"/>
  <c r="AI402" i="9"/>
  <c r="AI50" i="9"/>
  <c r="AI270" i="9"/>
  <c r="AI308" i="9"/>
  <c r="AI589" i="9"/>
  <c r="AI121" i="9"/>
  <c r="AI28" i="9"/>
  <c r="AI379" i="9"/>
  <c r="AI600" i="9"/>
  <c r="AI63" i="9"/>
  <c r="AI506" i="9"/>
  <c r="AI248" i="9"/>
  <c r="AI544" i="9"/>
  <c r="AI511" i="9"/>
  <c r="AI318" i="9"/>
  <c r="AI171" i="9"/>
  <c r="AI216" i="9"/>
  <c r="AI615" i="9"/>
  <c r="AI373" i="9"/>
  <c r="AI96" i="9"/>
  <c r="AI118" i="9"/>
  <c r="AI466" i="9"/>
  <c r="AI541" i="9"/>
  <c r="AI123" i="9"/>
  <c r="AI84" i="9"/>
  <c r="AI170" i="9"/>
  <c r="AI388" i="9"/>
  <c r="AI524" i="9"/>
  <c r="AI49" i="9"/>
  <c r="AI287" i="9"/>
  <c r="AI339" i="9"/>
  <c r="AI535" i="9"/>
  <c r="AI332" i="9"/>
  <c r="AI378" i="9"/>
  <c r="AI547" i="9"/>
  <c r="AI235" i="9"/>
  <c r="AI559" i="9"/>
  <c r="AI48" i="9"/>
  <c r="AI284" i="9"/>
  <c r="AI551" i="9"/>
  <c r="AI393" i="9"/>
  <c r="AI185" i="9"/>
  <c r="AI207" i="9"/>
  <c r="AI290" i="9"/>
  <c r="AI52" i="9"/>
  <c r="AI613" i="9"/>
  <c r="AI530" i="9"/>
  <c r="AI479" i="9"/>
  <c r="AI59" i="9"/>
  <c r="AI198" i="9"/>
  <c r="AI22" i="9"/>
  <c r="AI575" i="9"/>
  <c r="AI241" i="9"/>
  <c r="AI251" i="9"/>
  <c r="AI95" i="9"/>
  <c r="AI309" i="9"/>
  <c r="AI58" i="9"/>
  <c r="AI565" i="9"/>
  <c r="AI612" i="9"/>
  <c r="AI532" i="9"/>
  <c r="AI320" i="9"/>
  <c r="AI68" i="9"/>
  <c r="AI467" i="9"/>
  <c r="AI240" i="9"/>
  <c r="AI125" i="9"/>
  <c r="AI27" i="9"/>
  <c r="AI427" i="9"/>
  <c r="AI254" i="9"/>
  <c r="AI306" i="9"/>
  <c r="AI124" i="9"/>
  <c r="AI465" i="9"/>
  <c r="AI162" i="9"/>
  <c r="AI271" i="9"/>
  <c r="AI232" i="9"/>
  <c r="AI245" i="9"/>
  <c r="AI258" i="9"/>
  <c r="AI493" i="9"/>
  <c r="AI457" i="9"/>
  <c r="AI112" i="9"/>
  <c r="AI489" i="9"/>
  <c r="AI345" i="9"/>
  <c r="AI238" i="9"/>
  <c r="AI523" i="9"/>
  <c r="AI209" i="9"/>
  <c r="AI103" i="9"/>
  <c r="AI560" i="9"/>
  <c r="AI438" i="9"/>
  <c r="AI278" i="9"/>
  <c r="AI255" i="9"/>
  <c r="AI569" i="9"/>
  <c r="AI165" i="9"/>
  <c r="AI18" i="9"/>
  <c r="AI195" i="9"/>
  <c r="AI593" i="9"/>
  <c r="AI616" i="9"/>
  <c r="AI44" i="9"/>
  <c r="AI47" i="9"/>
  <c r="AI109" i="9"/>
  <c r="AI203" i="9"/>
  <c r="AI608" i="9"/>
  <c r="AI151" i="9"/>
  <c r="AI433" i="9"/>
  <c r="AI239" i="9"/>
  <c r="AI172" i="9"/>
  <c r="AI364" i="9"/>
  <c r="AI106" i="9"/>
  <c r="AI269" i="9"/>
  <c r="AI587" i="9"/>
  <c r="AI446" i="9"/>
  <c r="AI366" i="9"/>
  <c r="AI275" i="9"/>
  <c r="AI538" i="9"/>
  <c r="AI390" i="9"/>
  <c r="AI451" i="9"/>
  <c r="AI397" i="9"/>
  <c r="AI440" i="9"/>
  <c r="AI300" i="9"/>
  <c r="AI441" i="9"/>
  <c r="AI36" i="9"/>
  <c r="AI340" i="9"/>
  <c r="AI601" i="9"/>
  <c r="AI234" i="9"/>
  <c r="AI504" i="9"/>
  <c r="AI193" i="9"/>
  <c r="AI375" i="9"/>
  <c r="AI412" i="9"/>
  <c r="AI145" i="9"/>
  <c r="AI189" i="9"/>
  <c r="AI380" i="9"/>
  <c r="AI432" i="9"/>
  <c r="AI543" i="9"/>
  <c r="AI562" i="9"/>
  <c r="AI282" i="9"/>
  <c r="AI244" i="9"/>
  <c r="AI181" i="9"/>
  <c r="AI293" i="9"/>
  <c r="AI376" i="9"/>
  <c r="AI458" i="9"/>
  <c r="AI111" i="9"/>
  <c r="AI354" i="9"/>
  <c r="AI273" i="9"/>
  <c r="AI571" i="9"/>
  <c r="AI539" i="9"/>
  <c r="AI76" i="9"/>
  <c r="AI597" i="9"/>
  <c r="AI160" i="9"/>
  <c r="AI494" i="9"/>
  <c r="AI336" i="9"/>
  <c r="AI611" i="9"/>
  <c r="AI296" i="9"/>
  <c r="AI213" i="9"/>
  <c r="AI305" i="9"/>
  <c r="AI574" i="9"/>
  <c r="AI295" i="9"/>
  <c r="AI322" i="9"/>
  <c r="AI256" i="9"/>
  <c r="AI439" i="9"/>
  <c r="AI35" i="9"/>
  <c r="AI303" i="9"/>
  <c r="AI31" i="9"/>
  <c r="AI348" i="9"/>
  <c r="AI252" i="9"/>
  <c r="AI540" i="9"/>
  <c r="AI146" i="9"/>
  <c r="AI387" i="9"/>
  <c r="AI86" i="9"/>
  <c r="AI461" i="9"/>
  <c r="AI72" i="9"/>
  <c r="AI422" i="9"/>
  <c r="AI473" i="9"/>
  <c r="AI591" i="9"/>
  <c r="AI463" i="9"/>
  <c r="AI79" i="9"/>
  <c r="AI570" i="9"/>
  <c r="AI503" i="9"/>
  <c r="AI580" i="9"/>
  <c r="AI137" i="9"/>
  <c r="AI46" i="9"/>
  <c r="AI55" i="9"/>
  <c r="AI57" i="9"/>
  <c r="AI558" i="9"/>
  <c r="AI214" i="9"/>
  <c r="AI291" i="9"/>
  <c r="AI414" i="9"/>
  <c r="AI156" i="9"/>
  <c r="AI478" i="9"/>
  <c r="AI567" i="9"/>
  <c r="AI299" i="9"/>
  <c r="AI471" i="9"/>
  <c r="AI94" i="9"/>
  <c r="AI435" i="9"/>
  <c r="AI131" i="9"/>
  <c r="AI236" i="9"/>
  <c r="AI321" i="9"/>
  <c r="AI341" i="9"/>
  <c r="AI350" i="9"/>
  <c r="AI43" i="9"/>
  <c r="AI307" i="9"/>
  <c r="AI588" i="9"/>
  <c r="AI499" i="9"/>
  <c r="AI281" i="9"/>
  <c r="AI212" i="9"/>
  <c r="AI226" i="9"/>
  <c r="AI179" i="9"/>
  <c r="AI594" i="9"/>
  <c r="AI51" i="9"/>
  <c r="AI249" i="9"/>
  <c r="AI100" i="9"/>
  <c r="AI113" i="9"/>
  <c r="AI34" i="9"/>
  <c r="AI231" i="9"/>
  <c r="AI347" i="9"/>
  <c r="AI194" i="9"/>
  <c r="AI88" i="9"/>
  <c r="AI510" i="9"/>
  <c r="AI178" i="9"/>
  <c r="AI464" i="9"/>
  <c r="AI443" i="9"/>
  <c r="AI152" i="9"/>
  <c r="AI69" i="9"/>
  <c r="AI323" i="9"/>
  <c r="AI498" i="9"/>
  <c r="AI505" i="9"/>
  <c r="AI576" i="9"/>
  <c r="AI405" i="9"/>
  <c r="AI196" i="9"/>
  <c r="AI149" i="9"/>
  <c r="AI143" i="9"/>
  <c r="AI549" i="9"/>
  <c r="AI311" i="9"/>
  <c r="AI585" i="9"/>
  <c r="AI480" i="9"/>
  <c r="AI45" i="9"/>
  <c r="AI107" i="9"/>
  <c r="AI430" i="9"/>
  <c r="AI363" i="9"/>
  <c r="AI436" i="9"/>
  <c r="AI89" i="9"/>
  <c r="AI298" i="9"/>
  <c r="AI29" i="9"/>
  <c r="AI141" i="9"/>
  <c r="AI161" i="9"/>
  <c r="AI572" i="9"/>
  <c r="AI362" i="9"/>
  <c r="AI448" i="9"/>
  <c r="AI191" i="9"/>
  <c r="AI70" i="9"/>
  <c r="AI154" i="9"/>
  <c r="AI144" i="9"/>
  <c r="AI77" i="9"/>
  <c r="AI81" i="9"/>
  <c r="AI134" i="9"/>
  <c r="AI237" i="9"/>
  <c r="AI135" i="9"/>
  <c r="AI155" i="9"/>
  <c r="AI182" i="9"/>
  <c r="AI418" i="9"/>
  <c r="AI470" i="9"/>
  <c r="AI25" i="9"/>
  <c r="AI24" i="9"/>
  <c r="AI500" i="9"/>
  <c r="AI132" i="9"/>
  <c r="AI419" i="9"/>
  <c r="AI64" i="9"/>
  <c r="AI78" i="9"/>
  <c r="AI602" i="9"/>
  <c r="AI267" i="9"/>
  <c r="AI518" i="9"/>
  <c r="AI42" i="9"/>
  <c r="AI444" i="9"/>
  <c r="AI483" i="9"/>
  <c r="AI136" i="9"/>
  <c r="AI225" i="9"/>
  <c r="AI220" i="9"/>
  <c r="AI130" i="9"/>
  <c r="AI495" i="9"/>
  <c r="AI242" i="9"/>
  <c r="AI556" i="9"/>
  <c r="AI453" i="9"/>
  <c r="AI215" i="9"/>
  <c r="AI409" i="9"/>
  <c r="AI460" i="9"/>
  <c r="AI417" i="9"/>
  <c r="AI222" i="9"/>
  <c r="AI384" i="9"/>
  <c r="AI99" i="9"/>
  <c r="AI168" i="9"/>
  <c r="AI93" i="9"/>
  <c r="AI266" i="9"/>
  <c r="AI614" i="9"/>
  <c r="AI313" i="9"/>
  <c r="AI468" i="9"/>
  <c r="AI272" i="9"/>
  <c r="AI97" i="9"/>
  <c r="AI586" i="9"/>
  <c r="AI330" i="9"/>
  <c r="AI324" i="9"/>
  <c r="AI381" i="9"/>
  <c r="AI302" i="9"/>
  <c r="AI122" i="9"/>
  <c r="AI66" i="9"/>
  <c r="AI344" i="9"/>
  <c r="AI233" i="9"/>
  <c r="AI491" i="9"/>
  <c r="AI82" i="9"/>
  <c r="AI410" i="9"/>
  <c r="AI607" i="9"/>
  <c r="AI377" i="9"/>
  <c r="AI386" i="9"/>
  <c r="AI338" i="9"/>
  <c r="AI73" i="9"/>
  <c r="AI359" i="9"/>
  <c r="AI91" i="9"/>
  <c r="AI288" i="9"/>
  <c r="AI552" i="9"/>
  <c r="AI428" i="9"/>
  <c r="AI599" i="9"/>
  <c r="AI41" i="9"/>
  <c r="AI333" i="9"/>
  <c r="AI385" i="9"/>
  <c r="AI264" i="9"/>
  <c r="AI219" i="9"/>
  <c r="AI223" i="9"/>
  <c r="AI566" i="9"/>
  <c r="AI487" i="9"/>
  <c r="AI476" i="9"/>
  <c r="AI356" i="9"/>
  <c r="AI289" i="9"/>
  <c r="AI398" i="9"/>
  <c r="AI228" i="9"/>
  <c r="AI71" i="9"/>
  <c r="AI117" i="9"/>
  <c r="AI301" i="9"/>
  <c r="AI485" i="9"/>
  <c r="AI537" i="9"/>
  <c r="AI142" i="9"/>
  <c r="AI521" i="9"/>
  <c r="AI331" i="9"/>
  <c r="AI610" i="9"/>
  <c r="AI261" i="9"/>
  <c r="AI163" i="9"/>
  <c r="AI187" i="9"/>
  <c r="AI169" i="9"/>
  <c r="AI80" i="9"/>
  <c r="AI391" i="9"/>
  <c r="AI355" i="9"/>
  <c r="AI357" i="9"/>
  <c r="AI304" i="9"/>
  <c r="AI370" i="9"/>
  <c r="AI199" i="9"/>
  <c r="AI119" i="9"/>
  <c r="AI317" i="9"/>
  <c r="AI268" i="9"/>
  <c r="AI548" i="9"/>
  <c r="AI598" i="9"/>
  <c r="AI110" i="9"/>
  <c r="AI206" i="9"/>
  <c r="AI382" i="9"/>
  <c r="AI481" i="9"/>
  <c r="AI358" i="9"/>
  <c r="AI38" i="9"/>
  <c r="AI98" i="9"/>
  <c r="AI486" i="9"/>
  <c r="AI263" i="9"/>
  <c r="AI526" i="9"/>
  <c r="AI408" i="9"/>
  <c r="AI164" i="9"/>
  <c r="AI399" i="9"/>
  <c r="AI509" i="9"/>
  <c r="AI67" i="9"/>
  <c r="AI420" i="9"/>
  <c r="AI533" i="9"/>
  <c r="AI153" i="9"/>
  <c r="AI546" i="9"/>
  <c r="AI328" i="9"/>
  <c r="AI20" i="9"/>
  <c r="AI475" i="9"/>
  <c r="AI431" i="9"/>
  <c r="AI205" i="9"/>
  <c r="AI557" i="9"/>
  <c r="AI337" i="9"/>
  <c r="AI87" i="9"/>
  <c r="AI488" i="9"/>
  <c r="AI102" i="9"/>
  <c r="AI605" i="9"/>
  <c r="AI469" i="9"/>
  <c r="AI394" i="9"/>
  <c r="AI411" i="9"/>
  <c r="AI283" i="9"/>
  <c r="AI262" i="9"/>
  <c r="AI425" i="9"/>
  <c r="AI54" i="9"/>
  <c r="AI584" i="9"/>
  <c r="AI56" i="9"/>
  <c r="AI582" i="9"/>
  <c r="AI53" i="9"/>
  <c r="AI512" i="9"/>
  <c r="AI577" i="9"/>
  <c r="AI180" i="9"/>
  <c r="AI563" i="9"/>
  <c r="AI447" i="9"/>
  <c r="AI183" i="9"/>
  <c r="AI497" i="9"/>
  <c r="AI190" i="9"/>
  <c r="AI210" i="9"/>
  <c r="AI392" i="9"/>
  <c r="AI279" i="9"/>
  <c r="AI297" i="9"/>
  <c r="AI360" i="9"/>
  <c r="AI138" i="9"/>
  <c r="AI292" i="9"/>
  <c r="AI173" i="9"/>
  <c r="AI133" i="9"/>
  <c r="AI104" i="9"/>
  <c r="AI201" i="9"/>
  <c r="AI429" i="9"/>
  <c r="AI449" i="9"/>
  <c r="AI315" i="9"/>
  <c r="AI335" i="9"/>
  <c r="AI184" i="9"/>
  <c r="AI590" i="9"/>
  <c r="AI114" i="9"/>
  <c r="AI90" i="9"/>
  <c r="AI514" i="9"/>
  <c r="AI606" i="9"/>
  <c r="AI30" i="9"/>
  <c r="AI108" i="9"/>
  <c r="AI490" i="9"/>
  <c r="AI39" i="9"/>
  <c r="AI403" i="9"/>
  <c r="AI482" i="9"/>
  <c r="AI442" i="9"/>
  <c r="AI60" i="9"/>
  <c r="AI477" i="9"/>
  <c r="AI513" i="9"/>
  <c r="AI127" i="9"/>
  <c r="AI221" i="9"/>
  <c r="AI247" i="9"/>
  <c r="AI285" i="9"/>
  <c r="AI592" i="9"/>
  <c r="AI421" i="9"/>
  <c r="AI404" i="9"/>
  <c r="AI177" i="9"/>
  <c r="AI561" i="9"/>
  <c r="AI531" i="9"/>
  <c r="AI310" i="9"/>
  <c r="AI459" i="9"/>
  <c r="AI578" i="9"/>
  <c r="AI400" i="9"/>
  <c r="AI175" i="9"/>
  <c r="AI554" i="9"/>
  <c r="AI280" i="9"/>
  <c r="AI140" i="9"/>
  <c r="AI595" i="9"/>
  <c r="AI501" i="9"/>
  <c r="AI604" i="9"/>
  <c r="AI250" i="9"/>
  <c r="AI192" i="9"/>
  <c r="AI83" i="9"/>
  <c r="AI553" i="9"/>
  <c r="AI454" i="9"/>
  <c r="AI462" i="9"/>
  <c r="AI342" i="9"/>
  <c r="AI188" i="9"/>
  <c r="AI346" i="9"/>
  <c r="AI217" i="9"/>
  <c r="AI326" i="9"/>
  <c r="AI218" i="9"/>
  <c r="AI294" i="9"/>
  <c r="AI314" i="9"/>
  <c r="AI120" i="9"/>
  <c r="AI23" i="9"/>
  <c r="AI371" i="9"/>
  <c r="AI126" i="9"/>
  <c r="AI365" i="9"/>
  <c r="AI211" i="9"/>
  <c r="AI129" i="9"/>
  <c r="AI349" i="9"/>
  <c r="AI413" i="9"/>
  <c r="AI502" i="9"/>
  <c r="AI243" i="9"/>
  <c r="AI259" i="9"/>
  <c r="AI158" i="9"/>
  <c r="AI472" i="9"/>
  <c r="AI424" i="9"/>
  <c r="AI452" i="9"/>
  <c r="AI32" i="9"/>
  <c r="AI62" i="9"/>
  <c r="AI529" i="9"/>
  <c r="AI423" i="9"/>
  <c r="AI550" i="9"/>
  <c r="AI174" i="9"/>
  <c r="AI186" i="9"/>
  <c r="AG6" i="9"/>
  <c r="AG617" i="9"/>
  <c r="AH17" i="9"/>
  <c r="AH6" i="9" s="1"/>
  <c r="AH11" i="9"/>
  <c r="AG8" i="9"/>
  <c r="AH8" i="9"/>
  <c r="AG7" i="9"/>
  <c r="AG9" i="9"/>
  <c r="AG10" i="9"/>
  <c r="AJ16" i="9"/>
  <c r="AJ516" i="9" s="1"/>
  <c r="AI5" i="9"/>
  <c r="G627" i="8"/>
  <c r="AH10" i="9"/>
  <c r="AH9" i="9"/>
  <c r="T13" i="8"/>
  <c r="I13" i="8"/>
  <c r="K26" i="8"/>
  <c r="AJ174" i="9" l="1"/>
  <c r="AJ472" i="9"/>
  <c r="AJ211" i="9"/>
  <c r="AJ218" i="9"/>
  <c r="AJ423" i="9"/>
  <c r="AJ259" i="9"/>
  <c r="AJ126" i="9"/>
  <c r="AJ85" i="9"/>
  <c r="AJ529" i="9"/>
  <c r="AJ243" i="9"/>
  <c r="AJ371" i="9"/>
  <c r="AJ434" i="9"/>
  <c r="AJ517" i="9"/>
  <c r="AJ513" i="9"/>
  <c r="AJ108" i="9"/>
  <c r="AJ335" i="9"/>
  <c r="AJ292" i="9"/>
  <c r="AJ497" i="9"/>
  <c r="AJ582" i="9"/>
  <c r="AJ394" i="9"/>
  <c r="AJ205" i="9"/>
  <c r="AJ420" i="9"/>
  <c r="AJ486" i="9"/>
  <c r="AJ598" i="9"/>
  <c r="AJ357" i="9"/>
  <c r="AJ610" i="9"/>
  <c r="AJ71" i="9"/>
  <c r="AJ223" i="9"/>
  <c r="AJ552" i="9"/>
  <c r="AJ607" i="9"/>
  <c r="AJ302" i="9"/>
  <c r="AJ313" i="9"/>
  <c r="AJ417" i="9"/>
  <c r="AJ32" i="9"/>
  <c r="AJ413" i="9"/>
  <c r="AJ120" i="9"/>
  <c r="AJ342" i="9"/>
  <c r="AJ501" i="9"/>
  <c r="AJ459" i="9"/>
  <c r="AJ452" i="9"/>
  <c r="AJ349" i="9"/>
  <c r="AJ314" i="9"/>
  <c r="AJ421" i="9"/>
  <c r="AJ60" i="9"/>
  <c r="AJ606" i="9"/>
  <c r="AJ449" i="9"/>
  <c r="AJ360" i="9"/>
  <c r="AJ447" i="9"/>
  <c r="AJ584" i="9"/>
  <c r="AJ605" i="9"/>
  <c r="AJ475" i="9"/>
  <c r="AJ509" i="9"/>
  <c r="AJ38" i="9"/>
  <c r="AJ268" i="9"/>
  <c r="AJ391" i="9"/>
  <c r="AJ521" i="9"/>
  <c r="AJ398" i="9"/>
  <c r="AJ264" i="9"/>
  <c r="AJ91" i="9"/>
  <c r="AJ82" i="9"/>
  <c r="AJ324" i="9"/>
  <c r="AJ266" i="9"/>
  <c r="AJ409" i="9"/>
  <c r="AJ186" i="9"/>
  <c r="AJ424" i="9"/>
  <c r="AJ129" i="9"/>
  <c r="AJ294" i="9"/>
  <c r="AJ454" i="9"/>
  <c r="AJ140" i="9"/>
  <c r="AJ531" i="9"/>
  <c r="AJ462" i="9"/>
  <c r="AJ595" i="9"/>
  <c r="AJ310" i="9"/>
  <c r="AJ527" i="9"/>
  <c r="AJ404" i="9"/>
  <c r="AJ477" i="9"/>
  <c r="AJ30" i="9"/>
  <c r="AJ315" i="9"/>
  <c r="AJ138" i="9"/>
  <c r="AJ183" i="9"/>
  <c r="AJ56" i="9"/>
  <c r="AJ469" i="9"/>
  <c r="AJ431" i="9"/>
  <c r="AJ67" i="9"/>
  <c r="AJ98" i="9"/>
  <c r="AJ548" i="9"/>
  <c r="AJ355" i="9"/>
  <c r="AJ331" i="9"/>
  <c r="AJ228" i="9"/>
  <c r="AJ219" i="9"/>
  <c r="AJ288" i="9"/>
  <c r="AJ410" i="9"/>
  <c r="AJ381" i="9"/>
  <c r="AJ614" i="9"/>
  <c r="AJ460" i="9"/>
  <c r="AJ220" i="9"/>
  <c r="AJ602" i="9"/>
  <c r="AJ470" i="9"/>
  <c r="AJ77" i="9"/>
  <c r="AJ161" i="9"/>
  <c r="AJ107" i="9"/>
  <c r="AJ196" i="9"/>
  <c r="AJ443" i="9"/>
  <c r="AJ396" i="9"/>
  <c r="AJ88" i="9"/>
  <c r="AJ51" i="9"/>
  <c r="AJ307" i="9"/>
  <c r="AJ94" i="9"/>
  <c r="AJ214" i="9"/>
  <c r="AJ570" i="9"/>
  <c r="AJ367" i="9"/>
  <c r="AJ520" i="9"/>
  <c r="AJ31" i="9"/>
  <c r="AJ305" i="9"/>
  <c r="AJ76" i="9"/>
  <c r="AJ293" i="9"/>
  <c r="AJ189" i="9"/>
  <c r="AJ340" i="9"/>
  <c r="AJ538" i="9"/>
  <c r="AJ172" i="9"/>
  <c r="AJ44" i="9"/>
  <c r="AJ278" i="9"/>
  <c r="AJ489" i="9"/>
  <c r="AJ162" i="9"/>
  <c r="AJ240" i="9"/>
  <c r="AJ309" i="9"/>
  <c r="AJ479" i="9"/>
  <c r="AJ551" i="9"/>
  <c r="AJ535" i="9"/>
  <c r="AJ123" i="9"/>
  <c r="AJ128" i="9"/>
  <c r="AJ369" i="9"/>
  <c r="AJ63" i="9"/>
  <c r="AJ50" i="9"/>
  <c r="AJ159" i="9"/>
  <c r="AJ372" i="9"/>
  <c r="AJ474" i="9"/>
  <c r="AJ534" i="9"/>
  <c r="AJ253" i="9"/>
  <c r="AJ507" i="9"/>
  <c r="AJ401" i="9"/>
  <c r="AJ225" i="9"/>
  <c r="AJ78" i="9"/>
  <c r="AJ418" i="9"/>
  <c r="AJ144" i="9"/>
  <c r="AJ141" i="9"/>
  <c r="AJ45" i="9"/>
  <c r="AJ405" i="9"/>
  <c r="AJ464" i="9"/>
  <c r="AJ65" i="9"/>
  <c r="AJ194" i="9"/>
  <c r="AJ594" i="9"/>
  <c r="AJ43" i="9"/>
  <c r="AJ471" i="9"/>
  <c r="AJ558" i="9"/>
  <c r="AJ79" i="9"/>
  <c r="AJ150" i="9"/>
  <c r="AJ312" i="9"/>
  <c r="AJ303" i="9"/>
  <c r="AJ213" i="9"/>
  <c r="AJ539" i="9"/>
  <c r="AJ181" i="9"/>
  <c r="AJ145" i="9"/>
  <c r="AJ36" i="9"/>
  <c r="AJ275" i="9"/>
  <c r="AJ239" i="9"/>
  <c r="AJ616" i="9"/>
  <c r="AJ438" i="9"/>
  <c r="AJ112" i="9"/>
  <c r="AJ465" i="9"/>
  <c r="AJ467" i="9"/>
  <c r="AJ95" i="9"/>
  <c r="AJ530" i="9"/>
  <c r="AJ284" i="9"/>
  <c r="AJ339" i="9"/>
  <c r="AJ541" i="9"/>
  <c r="AJ568" i="9"/>
  <c r="AJ229" i="9"/>
  <c r="AJ600" i="9"/>
  <c r="AJ402" i="9"/>
  <c r="AJ286" i="9"/>
  <c r="AJ525" i="9"/>
  <c r="AJ445" i="9"/>
  <c r="AJ508" i="9"/>
  <c r="AJ484" i="9"/>
  <c r="AJ37" i="9"/>
  <c r="AJ455" i="9"/>
  <c r="AJ553" i="9"/>
  <c r="AJ280" i="9"/>
  <c r="AJ561" i="9"/>
  <c r="AJ581" i="9"/>
  <c r="AJ592" i="9"/>
  <c r="AJ442" i="9"/>
  <c r="AJ514" i="9"/>
  <c r="AJ429" i="9"/>
  <c r="AJ297" i="9"/>
  <c r="AJ563" i="9"/>
  <c r="AJ54" i="9"/>
  <c r="AJ102" i="9"/>
  <c r="AJ20" i="9"/>
  <c r="AJ399" i="9"/>
  <c r="AJ358" i="9"/>
  <c r="AJ317" i="9"/>
  <c r="AJ80" i="9"/>
  <c r="AJ142" i="9"/>
  <c r="AJ289" i="9"/>
  <c r="AJ385" i="9"/>
  <c r="AJ359" i="9"/>
  <c r="AJ491" i="9"/>
  <c r="AJ330" i="9"/>
  <c r="AJ93" i="9"/>
  <c r="AJ215" i="9"/>
  <c r="AJ136" i="9"/>
  <c r="AJ64" i="9"/>
  <c r="AJ182" i="9"/>
  <c r="AJ154" i="9"/>
  <c r="AJ29" i="9"/>
  <c r="AJ480" i="9"/>
  <c r="AJ576" i="9"/>
  <c r="AJ178" i="9"/>
  <c r="AJ40" i="9"/>
  <c r="AJ347" i="9"/>
  <c r="AJ179" i="9"/>
  <c r="AJ350" i="9"/>
  <c r="AJ299" i="9"/>
  <c r="AJ57" i="9"/>
  <c r="AJ463" i="9"/>
  <c r="AJ519" i="9"/>
  <c r="AJ86" i="9"/>
  <c r="AJ35" i="9"/>
  <c r="AJ296" i="9"/>
  <c r="AJ571" i="9"/>
  <c r="AJ244" i="9"/>
  <c r="AJ412" i="9"/>
  <c r="AJ441" i="9"/>
  <c r="AJ366" i="9"/>
  <c r="AJ433" i="9"/>
  <c r="AJ593" i="9"/>
  <c r="AJ560" i="9"/>
  <c r="AJ457" i="9"/>
  <c r="AJ124" i="9"/>
  <c r="AJ68" i="9"/>
  <c r="AJ251" i="9"/>
  <c r="AJ613" i="9"/>
  <c r="AJ48" i="9"/>
  <c r="AJ287" i="9"/>
  <c r="AJ466" i="9"/>
  <c r="AJ522" i="9"/>
  <c r="AJ171" i="9"/>
  <c r="AJ379" i="9"/>
  <c r="AJ33" i="9"/>
  <c r="AJ157" i="9"/>
  <c r="AJ176" i="9"/>
  <c r="AJ227" i="9"/>
  <c r="AJ496" i="9"/>
  <c r="AJ609" i="9"/>
  <c r="AJ343" i="9"/>
  <c r="AJ204" i="9"/>
  <c r="AJ550" i="9"/>
  <c r="AJ158" i="9"/>
  <c r="AJ365" i="9"/>
  <c r="AJ326" i="9"/>
  <c r="AJ83" i="9"/>
  <c r="AJ554" i="9"/>
  <c r="AJ177" i="9"/>
  <c r="AJ450" i="9"/>
  <c r="AJ285" i="9"/>
  <c r="AJ482" i="9"/>
  <c r="AJ90" i="9"/>
  <c r="AJ201" i="9"/>
  <c r="AJ279" i="9"/>
  <c r="AJ180" i="9"/>
  <c r="AJ425" i="9"/>
  <c r="AJ488" i="9"/>
  <c r="AJ328" i="9"/>
  <c r="AJ164" i="9"/>
  <c r="AJ481" i="9"/>
  <c r="AJ119" i="9"/>
  <c r="AJ169" i="9"/>
  <c r="AJ537" i="9"/>
  <c r="AJ356" i="9"/>
  <c r="AJ333" i="9"/>
  <c r="AJ73" i="9"/>
  <c r="AJ233" i="9"/>
  <c r="AJ586" i="9"/>
  <c r="AJ168" i="9"/>
  <c r="AJ453" i="9"/>
  <c r="AJ483" i="9"/>
  <c r="AJ419" i="9"/>
  <c r="AJ155" i="9"/>
  <c r="AJ70" i="9"/>
  <c r="AJ298" i="9"/>
  <c r="AJ585" i="9"/>
  <c r="AJ505" i="9"/>
  <c r="AJ564" i="9"/>
  <c r="AJ542" i="9"/>
  <c r="AJ231" i="9"/>
  <c r="AJ226" i="9"/>
  <c r="AJ341" i="9"/>
  <c r="AJ567" i="9"/>
  <c r="AJ55" i="9"/>
  <c r="AJ591" i="9"/>
  <c r="AJ257" i="9"/>
  <c r="AJ387" i="9"/>
  <c r="AJ439" i="9"/>
  <c r="AJ611" i="9"/>
  <c r="AJ273" i="9"/>
  <c r="AJ282" i="9"/>
  <c r="AJ375" i="9"/>
  <c r="AJ300" i="9"/>
  <c r="AJ446" i="9"/>
  <c r="AJ151" i="9"/>
  <c r="AJ195" i="9"/>
  <c r="AJ103" i="9"/>
  <c r="AJ493" i="9"/>
  <c r="AJ306" i="9"/>
  <c r="AJ320" i="9"/>
  <c r="AJ241" i="9"/>
  <c r="AJ52" i="9"/>
  <c r="AJ559" i="9"/>
  <c r="AJ49" i="9"/>
  <c r="AJ118" i="9"/>
  <c r="AJ202" i="9"/>
  <c r="AJ318" i="9"/>
  <c r="AJ28" i="9"/>
  <c r="AJ277" i="9"/>
  <c r="AJ528" i="9"/>
  <c r="AJ383" i="9"/>
  <c r="AJ426" i="9"/>
  <c r="AJ246" i="9"/>
  <c r="AJ456" i="9"/>
  <c r="AJ139" i="9"/>
  <c r="AJ260" i="9"/>
  <c r="AJ217" i="9"/>
  <c r="AJ192" i="9"/>
  <c r="AJ175" i="9"/>
  <c r="AJ374" i="9"/>
  <c r="AJ148" i="9"/>
  <c r="AJ247" i="9"/>
  <c r="AJ403" i="9"/>
  <c r="AJ114" i="9"/>
  <c r="AJ104" i="9"/>
  <c r="AJ392" i="9"/>
  <c r="AJ577" i="9"/>
  <c r="AJ262" i="9"/>
  <c r="AJ87" i="9"/>
  <c r="AJ546" i="9"/>
  <c r="AJ408" i="9"/>
  <c r="AJ382" i="9"/>
  <c r="AJ199" i="9"/>
  <c r="AJ187" i="9"/>
  <c r="AJ485" i="9"/>
  <c r="AJ476" i="9"/>
  <c r="AJ41" i="9"/>
  <c r="AJ338" i="9"/>
  <c r="AJ344" i="9"/>
  <c r="AJ97" i="9"/>
  <c r="AJ99" i="9"/>
  <c r="AJ556" i="9"/>
  <c r="AJ444" i="9"/>
  <c r="AJ132" i="9"/>
  <c r="AJ135" i="9"/>
  <c r="AJ191" i="9"/>
  <c r="AJ89" i="9"/>
  <c r="AJ311" i="9"/>
  <c r="AJ498" i="9"/>
  <c r="AJ334" i="9"/>
  <c r="AJ75" i="9"/>
  <c r="AJ34" i="9"/>
  <c r="AJ212" i="9"/>
  <c r="AJ321" i="9"/>
  <c r="AJ478" i="9"/>
  <c r="AJ46" i="9"/>
  <c r="AJ473" i="9"/>
  <c r="AJ353" i="9"/>
  <c r="AJ146" i="9"/>
  <c r="AJ256" i="9"/>
  <c r="AJ336" i="9"/>
  <c r="AJ354" i="9"/>
  <c r="AJ562" i="9"/>
  <c r="AJ193" i="9"/>
  <c r="AJ440" i="9"/>
  <c r="AJ587" i="9"/>
  <c r="AJ608" i="9"/>
  <c r="AJ18" i="9"/>
  <c r="AJ209" i="9"/>
  <c r="AJ258" i="9"/>
  <c r="AJ254" i="9"/>
  <c r="AJ532" i="9"/>
  <c r="AJ575" i="9"/>
  <c r="AJ290" i="9"/>
  <c r="AJ235" i="9"/>
  <c r="AJ524" i="9"/>
  <c r="AJ96" i="9"/>
  <c r="AJ545" i="9"/>
  <c r="AJ511" i="9"/>
  <c r="AJ121" i="9"/>
  <c r="AJ395" i="9"/>
  <c r="AJ389" i="9"/>
  <c r="AJ536" i="9"/>
  <c r="AJ406" i="9"/>
  <c r="AJ583" i="9"/>
  <c r="AJ116" i="9"/>
  <c r="AJ351" i="9"/>
  <c r="AJ603" i="9"/>
  <c r="AJ346" i="9"/>
  <c r="AJ250" i="9"/>
  <c r="AJ400" i="9"/>
  <c r="AJ437" i="9"/>
  <c r="AJ21" i="9"/>
  <c r="AJ221" i="9"/>
  <c r="AJ39" i="9"/>
  <c r="AJ590" i="9"/>
  <c r="AJ133" i="9"/>
  <c r="AJ210" i="9"/>
  <c r="AJ512" i="9"/>
  <c r="AJ283" i="9"/>
  <c r="AJ337" i="9"/>
  <c r="AJ153" i="9"/>
  <c r="AJ526" i="9"/>
  <c r="AJ206" i="9"/>
  <c r="AJ370" i="9"/>
  <c r="AJ163" i="9"/>
  <c r="AJ301" i="9"/>
  <c r="AJ487" i="9"/>
  <c r="AJ599" i="9"/>
  <c r="AJ386" i="9"/>
  <c r="AJ66" i="9"/>
  <c r="AJ272" i="9"/>
  <c r="AJ384" i="9"/>
  <c r="AJ242" i="9"/>
  <c r="AJ42" i="9"/>
  <c r="AJ500" i="9"/>
  <c r="AJ237" i="9"/>
  <c r="AJ448" i="9"/>
  <c r="AJ436" i="9"/>
  <c r="AJ549" i="9"/>
  <c r="AJ323" i="9"/>
  <c r="AJ61" i="9"/>
  <c r="AJ407" i="9"/>
  <c r="AJ113" i="9"/>
  <c r="AJ281" i="9"/>
  <c r="AJ236" i="9"/>
  <c r="AJ156" i="9"/>
  <c r="AJ137" i="9"/>
  <c r="AJ422" i="9"/>
  <c r="AJ115" i="9"/>
  <c r="AJ540" i="9"/>
  <c r="AJ322" i="9"/>
  <c r="AJ494" i="9"/>
  <c r="AJ111" i="9"/>
  <c r="AJ543" i="9"/>
  <c r="AJ504" i="9"/>
  <c r="AJ397" i="9"/>
  <c r="AJ269" i="9"/>
  <c r="AJ203" i="9"/>
  <c r="AJ165" i="9"/>
  <c r="AJ523" i="9"/>
  <c r="AJ245" i="9"/>
  <c r="AJ427" i="9"/>
  <c r="AJ612" i="9"/>
  <c r="AJ22" i="9"/>
  <c r="AJ207" i="9"/>
  <c r="AJ547" i="9"/>
  <c r="AJ388" i="9"/>
  <c r="AJ373" i="9"/>
  <c r="AJ325" i="9"/>
  <c r="AJ544" i="9"/>
  <c r="AJ589" i="9"/>
  <c r="AJ105" i="9"/>
  <c r="AJ74" i="9"/>
  <c r="AJ555" i="9"/>
  <c r="AJ208" i="9"/>
  <c r="AJ274" i="9"/>
  <c r="AJ167" i="9"/>
  <c r="AJ265" i="9"/>
  <c r="AJ579" i="9"/>
  <c r="AJ62" i="9"/>
  <c r="AJ502" i="9"/>
  <c r="AJ23" i="9"/>
  <c r="AJ188" i="9"/>
  <c r="AJ604" i="9"/>
  <c r="AJ578" i="9"/>
  <c r="AJ368" i="9"/>
  <c r="AJ415" i="9"/>
  <c r="AJ127" i="9"/>
  <c r="AJ490" i="9"/>
  <c r="AJ184" i="9"/>
  <c r="AJ173" i="9"/>
  <c r="AJ190" i="9"/>
  <c r="AJ53" i="9"/>
  <c r="AJ411" i="9"/>
  <c r="AJ557" i="9"/>
  <c r="AJ533" i="9"/>
  <c r="AJ263" i="9"/>
  <c r="AJ110" i="9"/>
  <c r="AJ304" i="9"/>
  <c r="AJ261" i="9"/>
  <c r="AJ117" i="9"/>
  <c r="AJ566" i="9"/>
  <c r="AJ428" i="9"/>
  <c r="AJ377" i="9"/>
  <c r="AJ122" i="9"/>
  <c r="AJ468" i="9"/>
  <c r="AJ222" i="9"/>
  <c r="AJ495" i="9"/>
  <c r="AJ518" i="9"/>
  <c r="AJ24" i="9"/>
  <c r="AJ134" i="9"/>
  <c r="AJ362" i="9"/>
  <c r="AJ363" i="9"/>
  <c r="AJ143" i="9"/>
  <c r="AJ69" i="9"/>
  <c r="AJ101" i="9"/>
  <c r="AJ19" i="9"/>
  <c r="AJ100" i="9"/>
  <c r="AJ499" i="9"/>
  <c r="AJ131" i="9"/>
  <c r="AJ414" i="9"/>
  <c r="AJ580" i="9"/>
  <c r="AJ72" i="9"/>
  <c r="AJ197" i="9"/>
  <c r="AJ252" i="9"/>
  <c r="AJ295" i="9"/>
  <c r="AJ160" i="9"/>
  <c r="AJ458" i="9"/>
  <c r="AJ432" i="9"/>
  <c r="AJ234" i="9"/>
  <c r="AJ451" i="9"/>
  <c r="AJ106" i="9"/>
  <c r="AJ109" i="9"/>
  <c r="AJ569" i="9"/>
  <c r="AJ238" i="9"/>
  <c r="AJ232" i="9"/>
  <c r="AJ27" i="9"/>
  <c r="AJ565" i="9"/>
  <c r="AJ198" i="9"/>
  <c r="AJ185" i="9"/>
  <c r="AJ378" i="9"/>
  <c r="AJ170" i="9"/>
  <c r="AJ615" i="9"/>
  <c r="AJ329" i="9"/>
  <c r="AJ248" i="9"/>
  <c r="AJ308" i="9"/>
  <c r="AJ596" i="9"/>
  <c r="AJ230" i="9"/>
  <c r="AJ416" i="9"/>
  <c r="AJ361" i="9"/>
  <c r="AJ276" i="9"/>
  <c r="AJ327" i="9"/>
  <c r="AJ26" i="9"/>
  <c r="AJ147" i="9"/>
  <c r="AJ130" i="9"/>
  <c r="AJ267" i="9"/>
  <c r="AJ25" i="9"/>
  <c r="AJ81" i="9"/>
  <c r="AJ572" i="9"/>
  <c r="AJ430" i="9"/>
  <c r="AJ149" i="9"/>
  <c r="AJ152" i="9"/>
  <c r="AJ515" i="9"/>
  <c r="AJ510" i="9"/>
  <c r="AJ249" i="9"/>
  <c r="AJ588" i="9"/>
  <c r="AJ435" i="9"/>
  <c r="AJ291" i="9"/>
  <c r="AJ503" i="9"/>
  <c r="AJ461" i="9"/>
  <c r="AJ492" i="9"/>
  <c r="AJ348" i="9"/>
  <c r="AJ574" i="9"/>
  <c r="AJ597" i="9"/>
  <c r="AJ376" i="9"/>
  <c r="AJ380" i="9"/>
  <c r="AJ601" i="9"/>
  <c r="AJ390" i="9"/>
  <c r="AJ364" i="9"/>
  <c r="AJ47" i="9"/>
  <c r="AJ255" i="9"/>
  <c r="AJ345" i="9"/>
  <c r="AJ271" i="9"/>
  <c r="AJ125" i="9"/>
  <c r="AJ58" i="9"/>
  <c r="AJ59" i="9"/>
  <c r="AJ393" i="9"/>
  <c r="AJ332" i="9"/>
  <c r="AJ84" i="9"/>
  <c r="AJ216" i="9"/>
  <c r="AJ200" i="9"/>
  <c r="AJ506" i="9"/>
  <c r="AJ270" i="9"/>
  <c r="AJ319" i="9"/>
  <c r="AJ573" i="9"/>
  <c r="AJ166" i="9"/>
  <c r="AJ92" i="9"/>
  <c r="AJ352" i="9"/>
  <c r="AJ316" i="9"/>
  <c r="AJ224" i="9"/>
  <c r="AI17" i="9"/>
  <c r="AI6" i="9" s="1"/>
  <c r="AH617" i="9"/>
  <c r="AI11" i="9"/>
  <c r="I289" i="8"/>
  <c r="I308" i="8"/>
  <c r="I299" i="8"/>
  <c r="I275" i="8"/>
  <c r="I291" i="8"/>
  <c r="I247" i="8"/>
  <c r="I300" i="8"/>
  <c r="I261" i="8"/>
  <c r="I192" i="8"/>
  <c r="I171" i="8"/>
  <c r="I178" i="8"/>
  <c r="I143" i="8"/>
  <c r="I185" i="8"/>
  <c r="I233" i="8"/>
  <c r="I125" i="8"/>
  <c r="I157" i="8"/>
  <c r="I61" i="8"/>
  <c r="I29" i="8"/>
  <c r="I93" i="8"/>
  <c r="I77" i="8"/>
  <c r="I45" i="8"/>
  <c r="I150" i="8"/>
  <c r="I205" i="8"/>
  <c r="I109" i="8"/>
  <c r="T275" i="8"/>
  <c r="T308" i="8"/>
  <c r="T289" i="8"/>
  <c r="T299" i="8"/>
  <c r="T291" i="8"/>
  <c r="T261" i="8"/>
  <c r="T300" i="8"/>
  <c r="T247" i="8"/>
  <c r="T109" i="8"/>
  <c r="T157" i="8"/>
  <c r="T178" i="8"/>
  <c r="T150" i="8"/>
  <c r="T77" i="8"/>
  <c r="T171" i="8"/>
  <c r="T125" i="8"/>
  <c r="T192" i="8"/>
  <c r="T61" i="8"/>
  <c r="T93" i="8"/>
  <c r="T233" i="8"/>
  <c r="T185" i="8"/>
  <c r="T29" i="8"/>
  <c r="T45" i="8"/>
  <c r="T205" i="8"/>
  <c r="T143" i="8"/>
  <c r="I31" i="8"/>
  <c r="I28" i="8"/>
  <c r="T31" i="8"/>
  <c r="T28" i="8"/>
  <c r="I142" i="8"/>
  <c r="I238" i="8"/>
  <c r="I208" i="8"/>
  <c r="I228" i="8"/>
  <c r="I239" i="8"/>
  <c r="I76" i="8"/>
  <c r="I186" i="8"/>
  <c r="I227" i="8"/>
  <c r="I98" i="8"/>
  <c r="I219" i="8"/>
  <c r="I217" i="8"/>
  <c r="I164" i="8"/>
  <c r="I230" i="8"/>
  <c r="I216" i="8"/>
  <c r="I241" i="8"/>
  <c r="I120" i="8"/>
  <c r="T239" i="8"/>
  <c r="T216" i="8"/>
  <c r="T120" i="8"/>
  <c r="T186" i="8"/>
  <c r="T142" i="8"/>
  <c r="T217" i="8"/>
  <c r="T227" i="8"/>
  <c r="T219" i="8"/>
  <c r="T238" i="8"/>
  <c r="T208" i="8"/>
  <c r="T76" i="8"/>
  <c r="T228" i="8"/>
  <c r="T241" i="8"/>
  <c r="T164" i="8"/>
  <c r="T230" i="8"/>
  <c r="T98" i="8"/>
  <c r="AI8" i="9"/>
  <c r="AH7" i="9"/>
  <c r="AK16" i="9"/>
  <c r="AK516" i="9" s="1"/>
  <c r="AJ5" i="9"/>
  <c r="K627" i="8"/>
  <c r="AI10" i="9"/>
  <c r="AI9" i="9"/>
  <c r="I17" i="8"/>
  <c r="X17" i="8"/>
  <c r="M26" i="8"/>
  <c r="K16" i="8" l="1"/>
  <c r="F14" i="2" s="1"/>
  <c r="G14" i="2" s="1"/>
  <c r="H14" i="2" s="1"/>
  <c r="AK270" i="9"/>
  <c r="AK58" i="9"/>
  <c r="AK601" i="9"/>
  <c r="AK503" i="9"/>
  <c r="AK149" i="9"/>
  <c r="AK313" i="9"/>
  <c r="AK598" i="9"/>
  <c r="AK335" i="9"/>
  <c r="AK120" i="9"/>
  <c r="AK416" i="9"/>
  <c r="AK378" i="9"/>
  <c r="AK109" i="9"/>
  <c r="AK252" i="9"/>
  <c r="AK19" i="9"/>
  <c r="AK518" i="9"/>
  <c r="AK117" i="9"/>
  <c r="AK53" i="9"/>
  <c r="AK578" i="9"/>
  <c r="AK265" i="9"/>
  <c r="AK544" i="9"/>
  <c r="AK427" i="9"/>
  <c r="AK543" i="9"/>
  <c r="AK156" i="9"/>
  <c r="AK436" i="9"/>
  <c r="AK66" i="9"/>
  <c r="AK526" i="9"/>
  <c r="AK39" i="9"/>
  <c r="AK529" i="9"/>
  <c r="AK395" i="9"/>
  <c r="AK575" i="9"/>
  <c r="AK440" i="9"/>
  <c r="AK473" i="9"/>
  <c r="AK498" i="9"/>
  <c r="AK99" i="9"/>
  <c r="AK199" i="9"/>
  <c r="AK104" i="9"/>
  <c r="AK217" i="9"/>
  <c r="AK426" i="9"/>
  <c r="AK49" i="9"/>
  <c r="AK195" i="9"/>
  <c r="AK439" i="9"/>
  <c r="AK231" i="9"/>
  <c r="AK419" i="9"/>
  <c r="AK356" i="9"/>
  <c r="AK425" i="9"/>
  <c r="AK177" i="9"/>
  <c r="AK343" i="9"/>
  <c r="AK171" i="9"/>
  <c r="AK124" i="9"/>
  <c r="AK244" i="9"/>
  <c r="AK299" i="9"/>
  <c r="AK29" i="9"/>
  <c r="AK491" i="9"/>
  <c r="AK399" i="9"/>
  <c r="AK442" i="9"/>
  <c r="AK472" i="9"/>
  <c r="AK286" i="9"/>
  <c r="AK530" i="9"/>
  <c r="AK275" i="9"/>
  <c r="AK150" i="9"/>
  <c r="AK464" i="9"/>
  <c r="AK409" i="9"/>
  <c r="AK391" i="9"/>
  <c r="AK360" i="9"/>
  <c r="AK454" i="9"/>
  <c r="AK534" i="9"/>
  <c r="AK123" i="9"/>
  <c r="AK278" i="9"/>
  <c r="AK305" i="9"/>
  <c r="AK51" i="9"/>
  <c r="AK470" i="9"/>
  <c r="AK219" i="9"/>
  <c r="AK469" i="9"/>
  <c r="AK527" i="9"/>
  <c r="AK506" i="9"/>
  <c r="AK125" i="9"/>
  <c r="AK380" i="9"/>
  <c r="AK291" i="9"/>
  <c r="AK430" i="9"/>
  <c r="AK302" i="9"/>
  <c r="AK486" i="9"/>
  <c r="AK108" i="9"/>
  <c r="AK413" i="9"/>
  <c r="AK230" i="9"/>
  <c r="AK185" i="9"/>
  <c r="AK106" i="9"/>
  <c r="AK197" i="9"/>
  <c r="AK101" i="9"/>
  <c r="AK495" i="9"/>
  <c r="AK261" i="9"/>
  <c r="AK190" i="9"/>
  <c r="AK604" i="9"/>
  <c r="AK167" i="9"/>
  <c r="AK325" i="9"/>
  <c r="AK245" i="9"/>
  <c r="AK111" i="9"/>
  <c r="AK236" i="9"/>
  <c r="AK448" i="9"/>
  <c r="AK386" i="9"/>
  <c r="AK153" i="9"/>
  <c r="AK221" i="9"/>
  <c r="AK603" i="9"/>
  <c r="AK121" i="9"/>
  <c r="AK532" i="9"/>
  <c r="AK193" i="9"/>
  <c r="AK46" i="9"/>
  <c r="AK311" i="9"/>
  <c r="AK97" i="9"/>
  <c r="AK382" i="9"/>
  <c r="AK114" i="9"/>
  <c r="AK126" i="9"/>
  <c r="AK383" i="9"/>
  <c r="AK559" i="9"/>
  <c r="AK151" i="9"/>
  <c r="AK387" i="9"/>
  <c r="AK542" i="9"/>
  <c r="AK483" i="9"/>
  <c r="AK537" i="9"/>
  <c r="AK180" i="9"/>
  <c r="AK554" i="9"/>
  <c r="AK609" i="9"/>
  <c r="AK522" i="9"/>
  <c r="AK457" i="9"/>
  <c r="AK571" i="9"/>
  <c r="AK350" i="9"/>
  <c r="AK154" i="9"/>
  <c r="AK359" i="9"/>
  <c r="AK20" i="9"/>
  <c r="AK592" i="9"/>
  <c r="AK174" i="9"/>
  <c r="AK402" i="9"/>
  <c r="AK95" i="9"/>
  <c r="AK36" i="9"/>
  <c r="AK79" i="9"/>
  <c r="AK405" i="9"/>
  <c r="AK266" i="9"/>
  <c r="AK268" i="9"/>
  <c r="AK449" i="9"/>
  <c r="AK294" i="9"/>
  <c r="AK474" i="9"/>
  <c r="AK535" i="9"/>
  <c r="AK44" i="9"/>
  <c r="AK31" i="9"/>
  <c r="AK88" i="9"/>
  <c r="AK602" i="9"/>
  <c r="AK228" i="9"/>
  <c r="AK56" i="9"/>
  <c r="AK310" i="9"/>
  <c r="AK316" i="9"/>
  <c r="AK200" i="9"/>
  <c r="AK271" i="9"/>
  <c r="AK376" i="9"/>
  <c r="AK435" i="9"/>
  <c r="AK572" i="9"/>
  <c r="AK607" i="9"/>
  <c r="AK420" i="9"/>
  <c r="AK513" i="9"/>
  <c r="AK32" i="9"/>
  <c r="AK596" i="9"/>
  <c r="AK198" i="9"/>
  <c r="AK451" i="9"/>
  <c r="AK72" i="9"/>
  <c r="AK69" i="9"/>
  <c r="AK222" i="9"/>
  <c r="AK304" i="9"/>
  <c r="AK173" i="9"/>
  <c r="AK188" i="9"/>
  <c r="AK274" i="9"/>
  <c r="AK373" i="9"/>
  <c r="AK523" i="9"/>
  <c r="AK494" i="9"/>
  <c r="AK281" i="9"/>
  <c r="AK237" i="9"/>
  <c r="AK599" i="9"/>
  <c r="AK337" i="9"/>
  <c r="AK21" i="9"/>
  <c r="AK351" i="9"/>
  <c r="AK511" i="9"/>
  <c r="AK254" i="9"/>
  <c r="AK562" i="9"/>
  <c r="AK478" i="9"/>
  <c r="AK89" i="9"/>
  <c r="AK344" i="9"/>
  <c r="AK408" i="9"/>
  <c r="AK403" i="9"/>
  <c r="AK259" i="9"/>
  <c r="AK528" i="9"/>
  <c r="AK52" i="9"/>
  <c r="AK446" i="9"/>
  <c r="AK257" i="9"/>
  <c r="AK564" i="9"/>
  <c r="AK453" i="9"/>
  <c r="AK169" i="9"/>
  <c r="AK279" i="9"/>
  <c r="AK83" i="9"/>
  <c r="AK496" i="9"/>
  <c r="AK466" i="9"/>
  <c r="AK560" i="9"/>
  <c r="AK296" i="9"/>
  <c r="AK179" i="9"/>
  <c r="AK182" i="9"/>
  <c r="AK385" i="9"/>
  <c r="AK102" i="9"/>
  <c r="AK581" i="9"/>
  <c r="AK455" i="9"/>
  <c r="AK600" i="9"/>
  <c r="AK467" i="9"/>
  <c r="AK145" i="9"/>
  <c r="AK558" i="9"/>
  <c r="AK45" i="9"/>
  <c r="AK324" i="9"/>
  <c r="AK38" i="9"/>
  <c r="AK606" i="9"/>
  <c r="AK129" i="9"/>
  <c r="AK372" i="9"/>
  <c r="AK551" i="9"/>
  <c r="AK172" i="9"/>
  <c r="AK520" i="9"/>
  <c r="AK396" i="9"/>
  <c r="AK220" i="9"/>
  <c r="AK331" i="9"/>
  <c r="AK183" i="9"/>
  <c r="AK595" i="9"/>
  <c r="AK352" i="9"/>
  <c r="AK216" i="9"/>
  <c r="AK345" i="9"/>
  <c r="AK597" i="9"/>
  <c r="AK588" i="9"/>
  <c r="AK81" i="9"/>
  <c r="AK552" i="9"/>
  <c r="AK205" i="9"/>
  <c r="AK517" i="9"/>
  <c r="AK147" i="9"/>
  <c r="AK308" i="9"/>
  <c r="AK565" i="9"/>
  <c r="AK234" i="9"/>
  <c r="AK580" i="9"/>
  <c r="AK143" i="9"/>
  <c r="AK468" i="9"/>
  <c r="AK110" i="9"/>
  <c r="AK184" i="9"/>
  <c r="AK23" i="9"/>
  <c r="AK208" i="9"/>
  <c r="AK388" i="9"/>
  <c r="AK165" i="9"/>
  <c r="AK322" i="9"/>
  <c r="AK113" i="9"/>
  <c r="AK500" i="9"/>
  <c r="AK487" i="9"/>
  <c r="AK283" i="9"/>
  <c r="AK437" i="9"/>
  <c r="AK116" i="9"/>
  <c r="AK545" i="9"/>
  <c r="AK258" i="9"/>
  <c r="AK354" i="9"/>
  <c r="AK321" i="9"/>
  <c r="AK191" i="9"/>
  <c r="AK338" i="9"/>
  <c r="AK546" i="9"/>
  <c r="AK247" i="9"/>
  <c r="AK423" i="9"/>
  <c r="AK277" i="9"/>
  <c r="AK241" i="9"/>
  <c r="AK300" i="9"/>
  <c r="AK591" i="9"/>
  <c r="AK505" i="9"/>
  <c r="AK168" i="9"/>
  <c r="AK119" i="9"/>
  <c r="AK201" i="9"/>
  <c r="AK326" i="9"/>
  <c r="AK227" i="9"/>
  <c r="AK287" i="9"/>
  <c r="AK593" i="9"/>
  <c r="AK35" i="9"/>
  <c r="AK347" i="9"/>
  <c r="AK64" i="9"/>
  <c r="AK289" i="9"/>
  <c r="AK54" i="9"/>
  <c r="AK561" i="9"/>
  <c r="AK37" i="9"/>
  <c r="AK229" i="9"/>
  <c r="AK465" i="9"/>
  <c r="AK181" i="9"/>
  <c r="AK471" i="9"/>
  <c r="AK141" i="9"/>
  <c r="AK82" i="9"/>
  <c r="AK509" i="9"/>
  <c r="AK60" i="9"/>
  <c r="AK424" i="9"/>
  <c r="AK159" i="9"/>
  <c r="AK479" i="9"/>
  <c r="AK538" i="9"/>
  <c r="AK367" i="9"/>
  <c r="AK443" i="9"/>
  <c r="AK460" i="9"/>
  <c r="AK355" i="9"/>
  <c r="AK138" i="9"/>
  <c r="AK462" i="9"/>
  <c r="AK224" i="9"/>
  <c r="AK92" i="9"/>
  <c r="AK84" i="9"/>
  <c r="AK255" i="9"/>
  <c r="AK574" i="9"/>
  <c r="AK249" i="9"/>
  <c r="AK25" i="9"/>
  <c r="AK223" i="9"/>
  <c r="AK394" i="9"/>
  <c r="AK85" i="9"/>
  <c r="AK26" i="9"/>
  <c r="AK248" i="9"/>
  <c r="AK27" i="9"/>
  <c r="AK432" i="9"/>
  <c r="AK414" i="9"/>
  <c r="AK363" i="9"/>
  <c r="AK122" i="9"/>
  <c r="AK263" i="9"/>
  <c r="AK490" i="9"/>
  <c r="AK502" i="9"/>
  <c r="AK555" i="9"/>
  <c r="AK547" i="9"/>
  <c r="AK203" i="9"/>
  <c r="AK540" i="9"/>
  <c r="AK407" i="9"/>
  <c r="AK42" i="9"/>
  <c r="AK301" i="9"/>
  <c r="AK512" i="9"/>
  <c r="AK400" i="9"/>
  <c r="AK583" i="9"/>
  <c r="AK96" i="9"/>
  <c r="AK209" i="9"/>
  <c r="AK336" i="9"/>
  <c r="AK212" i="9"/>
  <c r="AK135" i="9"/>
  <c r="AK41" i="9"/>
  <c r="AK87" i="9"/>
  <c r="AK148" i="9"/>
  <c r="AK260" i="9"/>
  <c r="AK28" i="9"/>
  <c r="AK320" i="9"/>
  <c r="AK375" i="9"/>
  <c r="AK55" i="9"/>
  <c r="AK585" i="9"/>
  <c r="AK586" i="9"/>
  <c r="AK481" i="9"/>
  <c r="AK90" i="9"/>
  <c r="AK365" i="9"/>
  <c r="AK176" i="9"/>
  <c r="AK48" i="9"/>
  <c r="AK433" i="9"/>
  <c r="AK86" i="9"/>
  <c r="AK40" i="9"/>
  <c r="AK136" i="9"/>
  <c r="AK142" i="9"/>
  <c r="AK563" i="9"/>
  <c r="AK280" i="9"/>
  <c r="AK484" i="9"/>
  <c r="AK568" i="9"/>
  <c r="AK112" i="9"/>
  <c r="AK539" i="9"/>
  <c r="AK43" i="9"/>
  <c r="AK144" i="9"/>
  <c r="AK91" i="9"/>
  <c r="AK475" i="9"/>
  <c r="AK421" i="9"/>
  <c r="AK186" i="9"/>
  <c r="AK50" i="9"/>
  <c r="AK309" i="9"/>
  <c r="AK340" i="9"/>
  <c r="AK570" i="9"/>
  <c r="AK196" i="9"/>
  <c r="AK614" i="9"/>
  <c r="AK548" i="9"/>
  <c r="AK315" i="9"/>
  <c r="AK314" i="9"/>
  <c r="AK166" i="9"/>
  <c r="AK332" i="9"/>
  <c r="AK47" i="9"/>
  <c r="AK348" i="9"/>
  <c r="AK510" i="9"/>
  <c r="AK267" i="9"/>
  <c r="AK71" i="9"/>
  <c r="AK582" i="9"/>
  <c r="AK459" i="9"/>
  <c r="AK327" i="9"/>
  <c r="AK329" i="9"/>
  <c r="AK232" i="9"/>
  <c r="AK458" i="9"/>
  <c r="AK131" i="9"/>
  <c r="AK362" i="9"/>
  <c r="AK377" i="9"/>
  <c r="AK533" i="9"/>
  <c r="AK127" i="9"/>
  <c r="AK62" i="9"/>
  <c r="AK74" i="9"/>
  <c r="AK207" i="9"/>
  <c r="AK269" i="9"/>
  <c r="AK115" i="9"/>
  <c r="AK61" i="9"/>
  <c r="AK242" i="9"/>
  <c r="AK163" i="9"/>
  <c r="AK210" i="9"/>
  <c r="AK250" i="9"/>
  <c r="AK406" i="9"/>
  <c r="AK524" i="9"/>
  <c r="AK18" i="9"/>
  <c r="AK256" i="9"/>
  <c r="AK34" i="9"/>
  <c r="AK132" i="9"/>
  <c r="AK476" i="9"/>
  <c r="AK262" i="9"/>
  <c r="AK374" i="9"/>
  <c r="AK139" i="9"/>
  <c r="AK318" i="9"/>
  <c r="AK306" i="9"/>
  <c r="AK282" i="9"/>
  <c r="AK567" i="9"/>
  <c r="AK298" i="9"/>
  <c r="AK233" i="9"/>
  <c r="AK164" i="9"/>
  <c r="AK482" i="9"/>
  <c r="AK158" i="9"/>
  <c r="AK157" i="9"/>
  <c r="AK613" i="9"/>
  <c r="AK366" i="9"/>
  <c r="AK519" i="9"/>
  <c r="AK178" i="9"/>
  <c r="AK215" i="9"/>
  <c r="AK80" i="9"/>
  <c r="AK297" i="9"/>
  <c r="AK553" i="9"/>
  <c r="AK508" i="9"/>
  <c r="AK541" i="9"/>
  <c r="AK438" i="9"/>
  <c r="AK213" i="9"/>
  <c r="AK594" i="9"/>
  <c r="AK418" i="9"/>
  <c r="AK264" i="9"/>
  <c r="AK605" i="9"/>
  <c r="AK434" i="9"/>
  <c r="AK401" i="9"/>
  <c r="AK63" i="9"/>
  <c r="AK240" i="9"/>
  <c r="AK189" i="9"/>
  <c r="AK214" i="9"/>
  <c r="AK107" i="9"/>
  <c r="AK381" i="9"/>
  <c r="AK98" i="9"/>
  <c r="AK30" i="9"/>
  <c r="AK349" i="9"/>
  <c r="AK573" i="9"/>
  <c r="AK393" i="9"/>
  <c r="AK364" i="9"/>
  <c r="AK492" i="9"/>
  <c r="AK515" i="9"/>
  <c r="AK130" i="9"/>
  <c r="AK610" i="9"/>
  <c r="AK497" i="9"/>
  <c r="AK501" i="9"/>
  <c r="AK276" i="9"/>
  <c r="AK615" i="9"/>
  <c r="AK238" i="9"/>
  <c r="AK160" i="9"/>
  <c r="AK499" i="9"/>
  <c r="AK134" i="9"/>
  <c r="AK428" i="9"/>
  <c r="AK557" i="9"/>
  <c r="AK415" i="9"/>
  <c r="AK243" i="9"/>
  <c r="AK105" i="9"/>
  <c r="AK22" i="9"/>
  <c r="AK397" i="9"/>
  <c r="AK422" i="9"/>
  <c r="AK323" i="9"/>
  <c r="AK384" i="9"/>
  <c r="AK370" i="9"/>
  <c r="AK133" i="9"/>
  <c r="AK346" i="9"/>
  <c r="AK536" i="9"/>
  <c r="AK235" i="9"/>
  <c r="AK608" i="9"/>
  <c r="AK146" i="9"/>
  <c r="AK75" i="9"/>
  <c r="AK444" i="9"/>
  <c r="AK485" i="9"/>
  <c r="AK577" i="9"/>
  <c r="AK175" i="9"/>
  <c r="AK456" i="9"/>
  <c r="AK202" i="9"/>
  <c r="AK493" i="9"/>
  <c r="AK273" i="9"/>
  <c r="AK341" i="9"/>
  <c r="AK70" i="9"/>
  <c r="AK73" i="9"/>
  <c r="AK328" i="9"/>
  <c r="AK285" i="9"/>
  <c r="AK550" i="9"/>
  <c r="AK33" i="9"/>
  <c r="AK251" i="9"/>
  <c r="AK441" i="9"/>
  <c r="AK463" i="9"/>
  <c r="AK576" i="9"/>
  <c r="AK93" i="9"/>
  <c r="AK317" i="9"/>
  <c r="AK429" i="9"/>
  <c r="AK218" i="9"/>
  <c r="AK445" i="9"/>
  <c r="AK339" i="9"/>
  <c r="AK616" i="9"/>
  <c r="AK303" i="9"/>
  <c r="AK194" i="9"/>
  <c r="AK78" i="9"/>
  <c r="AK398" i="9"/>
  <c r="AK584" i="9"/>
  <c r="AK531" i="9"/>
  <c r="AK507" i="9"/>
  <c r="AK369" i="9"/>
  <c r="AK162" i="9"/>
  <c r="AK293" i="9"/>
  <c r="AK94" i="9"/>
  <c r="AK161" i="9"/>
  <c r="AK410" i="9"/>
  <c r="AK67" i="9"/>
  <c r="AK477" i="9"/>
  <c r="AK452" i="9"/>
  <c r="AK319" i="9"/>
  <c r="AK59" i="9"/>
  <c r="AK390" i="9"/>
  <c r="AK461" i="9"/>
  <c r="AK152" i="9"/>
  <c r="AK417" i="9"/>
  <c r="AK357" i="9"/>
  <c r="AK292" i="9"/>
  <c r="AK342" i="9"/>
  <c r="AK361" i="9"/>
  <c r="AK170" i="9"/>
  <c r="AK569" i="9"/>
  <c r="AK295" i="9"/>
  <c r="AK100" i="9"/>
  <c r="AK24" i="9"/>
  <c r="AK566" i="9"/>
  <c r="AK411" i="9"/>
  <c r="AK368" i="9"/>
  <c r="AK579" i="9"/>
  <c r="AK589" i="9"/>
  <c r="AK612" i="9"/>
  <c r="AK504" i="9"/>
  <c r="AK137" i="9"/>
  <c r="AK549" i="9"/>
  <c r="AK272" i="9"/>
  <c r="AK206" i="9"/>
  <c r="AK590" i="9"/>
  <c r="AK371" i="9"/>
  <c r="AK389" i="9"/>
  <c r="AK290" i="9"/>
  <c r="AK587" i="9"/>
  <c r="AK353" i="9"/>
  <c r="AK334" i="9"/>
  <c r="AK556" i="9"/>
  <c r="AK187" i="9"/>
  <c r="AK392" i="9"/>
  <c r="AK192" i="9"/>
  <c r="AK246" i="9"/>
  <c r="AK118" i="9"/>
  <c r="AK103" i="9"/>
  <c r="AK611" i="9"/>
  <c r="AK226" i="9"/>
  <c r="AK155" i="9"/>
  <c r="AK333" i="9"/>
  <c r="AK488" i="9"/>
  <c r="AK450" i="9"/>
  <c r="AK204" i="9"/>
  <c r="AK379" i="9"/>
  <c r="AK68" i="9"/>
  <c r="AK412" i="9"/>
  <c r="AK57" i="9"/>
  <c r="AK480" i="9"/>
  <c r="AK330" i="9"/>
  <c r="AK358" i="9"/>
  <c r="AK514" i="9"/>
  <c r="AK211" i="9"/>
  <c r="AK525" i="9"/>
  <c r="AK284" i="9"/>
  <c r="AK239" i="9"/>
  <c r="AK312" i="9"/>
  <c r="AK65" i="9"/>
  <c r="AK225" i="9"/>
  <c r="AK521" i="9"/>
  <c r="AK447" i="9"/>
  <c r="AK140" i="9"/>
  <c r="AK253" i="9"/>
  <c r="AK128" i="9"/>
  <c r="AK489" i="9"/>
  <c r="AK76" i="9"/>
  <c r="AK307" i="9"/>
  <c r="AK77" i="9"/>
  <c r="AK288" i="9"/>
  <c r="AK431" i="9"/>
  <c r="AK404" i="9"/>
  <c r="AJ17" i="9"/>
  <c r="AJ6" i="9" s="1"/>
  <c r="AI617" i="9"/>
  <c r="AJ11" i="9"/>
  <c r="L17" i="8"/>
  <c r="K17" i="8" s="1"/>
  <c r="G14" i="17" s="1"/>
  <c r="F34" i="2"/>
  <c r="F36" i="2" s="1"/>
  <c r="G36" i="2" s="1"/>
  <c r="H36" i="2" s="1"/>
  <c r="Z16" i="8"/>
  <c r="AA16" i="8" s="1"/>
  <c r="AB16" i="8" s="1"/>
  <c r="AJ8" i="9"/>
  <c r="AI7" i="9"/>
  <c r="Z12" i="8"/>
  <c r="AA12" i="8" s="1"/>
  <c r="AB12" i="8" s="1"/>
  <c r="Z11" i="8"/>
  <c r="AA11" i="8" s="1"/>
  <c r="AB11" i="8" s="1"/>
  <c r="Z13" i="8"/>
  <c r="AA13" i="8" s="1"/>
  <c r="AB13" i="8" s="1"/>
  <c r="Z14" i="8"/>
  <c r="AA14" i="8" s="1"/>
  <c r="AB14" i="8" s="1"/>
  <c r="Z15" i="8"/>
  <c r="AA15" i="8" s="1"/>
  <c r="AB15" i="8" s="1"/>
  <c r="K11" i="8"/>
  <c r="G9" i="17" s="1"/>
  <c r="K12" i="8"/>
  <c r="G10" i="17" s="1"/>
  <c r="K13" i="8"/>
  <c r="G11" i="17" s="1"/>
  <c r="V13" i="8"/>
  <c r="V12" i="8"/>
  <c r="K14" i="8"/>
  <c r="G12" i="17" s="1"/>
  <c r="K15" i="8"/>
  <c r="V11" i="8"/>
  <c r="AL16" i="9"/>
  <c r="AL516" i="9" s="1"/>
  <c r="AK5" i="9"/>
  <c r="AJ9" i="9"/>
  <c r="AJ10" i="9"/>
  <c r="L16" i="8" l="1"/>
  <c r="M16" i="8" s="1"/>
  <c r="F27" i="2" s="1"/>
  <c r="G27" i="2" s="1"/>
  <c r="H27" i="2" s="1"/>
  <c r="AL128" i="9"/>
  <c r="AL239" i="9"/>
  <c r="AL57" i="9"/>
  <c r="AL155" i="9"/>
  <c r="AL187" i="9"/>
  <c r="AL590" i="9"/>
  <c r="AL579" i="9"/>
  <c r="AL170" i="9"/>
  <c r="AL390" i="9"/>
  <c r="AL94" i="9"/>
  <c r="AL78" i="9"/>
  <c r="AL317" i="9"/>
  <c r="AL285" i="9"/>
  <c r="AL456" i="9"/>
  <c r="AL235" i="9"/>
  <c r="AL397" i="9"/>
  <c r="AL499" i="9"/>
  <c r="AL130" i="9"/>
  <c r="AL98" i="9"/>
  <c r="AL434" i="9"/>
  <c r="AL508" i="9"/>
  <c r="AL613" i="9"/>
  <c r="AL282" i="9"/>
  <c r="AL34" i="9"/>
  <c r="AL242" i="9"/>
  <c r="AL533" i="9"/>
  <c r="AL459" i="9"/>
  <c r="AL166" i="9"/>
  <c r="AL309" i="9"/>
  <c r="AL539" i="9"/>
  <c r="AL40" i="9"/>
  <c r="AL586" i="9"/>
  <c r="AL87" i="9"/>
  <c r="AL400" i="9"/>
  <c r="AL555" i="9"/>
  <c r="AL27" i="9"/>
  <c r="AL574" i="9"/>
  <c r="AL460" i="9"/>
  <c r="AL509" i="9"/>
  <c r="AL561" i="9"/>
  <c r="AL227" i="9"/>
  <c r="AL241" i="9"/>
  <c r="AL354" i="9"/>
  <c r="AL113" i="9"/>
  <c r="AL468" i="9"/>
  <c r="AL205" i="9"/>
  <c r="AL595" i="9"/>
  <c r="AL372" i="9"/>
  <c r="AL467" i="9"/>
  <c r="AL296" i="9"/>
  <c r="AL564" i="9"/>
  <c r="AL344" i="9"/>
  <c r="AL337" i="9"/>
  <c r="AL188" i="9"/>
  <c r="AL596" i="9"/>
  <c r="AL271" i="9"/>
  <c r="AL31" i="9"/>
  <c r="AL405" i="9"/>
  <c r="AL359" i="9"/>
  <c r="AL180" i="9"/>
  <c r="AL126" i="9"/>
  <c r="AL121" i="9"/>
  <c r="AL245" i="9"/>
  <c r="AL197" i="9"/>
  <c r="AL430" i="9"/>
  <c r="AL470" i="9"/>
  <c r="AL391" i="9"/>
  <c r="AL442" i="9"/>
  <c r="AL343" i="9"/>
  <c r="AL49" i="9"/>
  <c r="AL440" i="9"/>
  <c r="AL156" i="9"/>
  <c r="AL518" i="9"/>
  <c r="AL598" i="9"/>
  <c r="AL404" i="9"/>
  <c r="AL253" i="9"/>
  <c r="AL284" i="9"/>
  <c r="AL412" i="9"/>
  <c r="AL226" i="9"/>
  <c r="AL556" i="9"/>
  <c r="AL206" i="9"/>
  <c r="AL368" i="9"/>
  <c r="AL361" i="9"/>
  <c r="AL59" i="9"/>
  <c r="AL293" i="9"/>
  <c r="AL194" i="9"/>
  <c r="AL93" i="9"/>
  <c r="AL328" i="9"/>
  <c r="AL175" i="9"/>
  <c r="AL536" i="9"/>
  <c r="AL22" i="9"/>
  <c r="AL160" i="9"/>
  <c r="AL515" i="9"/>
  <c r="AL381" i="9"/>
  <c r="AL605" i="9"/>
  <c r="AL553" i="9"/>
  <c r="AL157" i="9"/>
  <c r="AL306" i="9"/>
  <c r="AL256" i="9"/>
  <c r="AL61" i="9"/>
  <c r="AL377" i="9"/>
  <c r="AL582" i="9"/>
  <c r="AL314" i="9"/>
  <c r="AL50" i="9"/>
  <c r="AL112" i="9"/>
  <c r="AL86" i="9"/>
  <c r="AL585" i="9"/>
  <c r="AL41" i="9"/>
  <c r="AL512" i="9"/>
  <c r="AL502" i="9"/>
  <c r="AL248" i="9"/>
  <c r="AL255" i="9"/>
  <c r="AL443" i="9"/>
  <c r="AL82" i="9"/>
  <c r="AL54" i="9"/>
  <c r="AL326" i="9"/>
  <c r="AL277" i="9"/>
  <c r="AL258" i="9"/>
  <c r="AL322" i="9"/>
  <c r="AL143" i="9"/>
  <c r="AL552" i="9"/>
  <c r="AL183" i="9"/>
  <c r="AL129" i="9"/>
  <c r="AL600" i="9"/>
  <c r="AL560" i="9"/>
  <c r="AL257" i="9"/>
  <c r="AL89" i="9"/>
  <c r="AL599" i="9"/>
  <c r="AL173" i="9"/>
  <c r="AL32" i="9"/>
  <c r="AL200" i="9"/>
  <c r="AL44" i="9"/>
  <c r="AL79" i="9"/>
  <c r="AL154" i="9"/>
  <c r="AL537" i="9"/>
  <c r="AL114" i="9"/>
  <c r="AL603" i="9"/>
  <c r="AL325" i="9"/>
  <c r="AL106" i="9"/>
  <c r="AL291" i="9"/>
  <c r="AL51" i="9"/>
  <c r="AL409" i="9"/>
  <c r="AL399" i="9"/>
  <c r="AL177" i="9"/>
  <c r="AL426" i="9"/>
  <c r="AL575" i="9"/>
  <c r="AL543" i="9"/>
  <c r="AL19" i="9"/>
  <c r="AL313" i="9"/>
  <c r="AL431" i="9"/>
  <c r="AL140" i="9"/>
  <c r="AL525" i="9"/>
  <c r="AL68" i="9"/>
  <c r="AL611" i="9"/>
  <c r="AL334" i="9"/>
  <c r="AL272" i="9"/>
  <c r="AL411" i="9"/>
  <c r="AL342" i="9"/>
  <c r="AL319" i="9"/>
  <c r="AL162" i="9"/>
  <c r="AL303" i="9"/>
  <c r="AL576" i="9"/>
  <c r="AL73" i="9"/>
  <c r="AL577" i="9"/>
  <c r="AL346" i="9"/>
  <c r="AL105" i="9"/>
  <c r="AL238" i="9"/>
  <c r="AL492" i="9"/>
  <c r="AL107" i="9"/>
  <c r="AL264" i="9"/>
  <c r="AL297" i="9"/>
  <c r="AL158" i="9"/>
  <c r="AL318" i="9"/>
  <c r="AL18" i="9"/>
  <c r="AL115" i="9"/>
  <c r="AL362" i="9"/>
  <c r="AL71" i="9"/>
  <c r="AL315" i="9"/>
  <c r="AL186" i="9"/>
  <c r="AL568" i="9"/>
  <c r="AL433" i="9"/>
  <c r="AL55" i="9"/>
  <c r="AL135" i="9"/>
  <c r="AL301" i="9"/>
  <c r="AL490" i="9"/>
  <c r="AL26" i="9"/>
  <c r="AL84" i="9"/>
  <c r="AL367" i="9"/>
  <c r="AL141" i="9"/>
  <c r="AL289" i="9"/>
  <c r="AL201" i="9"/>
  <c r="AL423" i="9"/>
  <c r="AL545" i="9"/>
  <c r="AL165" i="9"/>
  <c r="AL580" i="9"/>
  <c r="AL81" i="9"/>
  <c r="AL331" i="9"/>
  <c r="AL606" i="9"/>
  <c r="AL455" i="9"/>
  <c r="AL466" i="9"/>
  <c r="AL446" i="9"/>
  <c r="AL478" i="9"/>
  <c r="AL237" i="9"/>
  <c r="AL304" i="9"/>
  <c r="AL513" i="9"/>
  <c r="AL316" i="9"/>
  <c r="AL535" i="9"/>
  <c r="AL36" i="9"/>
  <c r="AL350" i="9"/>
  <c r="AL483" i="9"/>
  <c r="AL382" i="9"/>
  <c r="AL221" i="9"/>
  <c r="AL167" i="9"/>
  <c r="AL185" i="9"/>
  <c r="AL380" i="9"/>
  <c r="AL305" i="9"/>
  <c r="AL464" i="9"/>
  <c r="AL491" i="9"/>
  <c r="AL425" i="9"/>
  <c r="AL217" i="9"/>
  <c r="AL395" i="9"/>
  <c r="AL427" i="9"/>
  <c r="AL252" i="9"/>
  <c r="AL149" i="9"/>
  <c r="AL288" i="9"/>
  <c r="AL447" i="9"/>
  <c r="AL211" i="9"/>
  <c r="AL379" i="9"/>
  <c r="AL103" i="9"/>
  <c r="AL353" i="9"/>
  <c r="AL549" i="9"/>
  <c r="AL566" i="9"/>
  <c r="AL292" i="9"/>
  <c r="AL452" i="9"/>
  <c r="AL369" i="9"/>
  <c r="AL616" i="9"/>
  <c r="AL463" i="9"/>
  <c r="AL70" i="9"/>
  <c r="AL485" i="9"/>
  <c r="AL133" i="9"/>
  <c r="AL243" i="9"/>
  <c r="AL615" i="9"/>
  <c r="AL364" i="9"/>
  <c r="AL214" i="9"/>
  <c r="AL418" i="9"/>
  <c r="AL80" i="9"/>
  <c r="AL482" i="9"/>
  <c r="AL139" i="9"/>
  <c r="AL524" i="9"/>
  <c r="AL269" i="9"/>
  <c r="AL131" i="9"/>
  <c r="AL267" i="9"/>
  <c r="AL548" i="9"/>
  <c r="AL421" i="9"/>
  <c r="AL484" i="9"/>
  <c r="AL48" i="9"/>
  <c r="AL375" i="9"/>
  <c r="AL212" i="9"/>
  <c r="AL42" i="9"/>
  <c r="AL263" i="9"/>
  <c r="AL85" i="9"/>
  <c r="AL92" i="9"/>
  <c r="AL538" i="9"/>
  <c r="AL471" i="9"/>
  <c r="AL64" i="9"/>
  <c r="AL119" i="9"/>
  <c r="AL247" i="9"/>
  <c r="AL116" i="9"/>
  <c r="AL388" i="9"/>
  <c r="AL234" i="9"/>
  <c r="AL588" i="9"/>
  <c r="AL220" i="9"/>
  <c r="AL38" i="9"/>
  <c r="AL581" i="9"/>
  <c r="AL496" i="9"/>
  <c r="AL52" i="9"/>
  <c r="AL562" i="9"/>
  <c r="AL281" i="9"/>
  <c r="AL222" i="9"/>
  <c r="AL420" i="9"/>
  <c r="AL310" i="9"/>
  <c r="AL474" i="9"/>
  <c r="AL95" i="9"/>
  <c r="AL571" i="9"/>
  <c r="AL542" i="9"/>
  <c r="AL97" i="9"/>
  <c r="AL153" i="9"/>
  <c r="AL604" i="9"/>
  <c r="AL230" i="9"/>
  <c r="AL125" i="9"/>
  <c r="AL278" i="9"/>
  <c r="AL150" i="9"/>
  <c r="AL29" i="9"/>
  <c r="AL356" i="9"/>
  <c r="AL104" i="9"/>
  <c r="AL529" i="9"/>
  <c r="AL544" i="9"/>
  <c r="AL109" i="9"/>
  <c r="AL503" i="9"/>
  <c r="AL77" i="9"/>
  <c r="AL521" i="9"/>
  <c r="AL514" i="9"/>
  <c r="AL204" i="9"/>
  <c r="AL118" i="9"/>
  <c r="AL587" i="9"/>
  <c r="AL137" i="9"/>
  <c r="AL24" i="9"/>
  <c r="AL357" i="9"/>
  <c r="AL477" i="9"/>
  <c r="AL507" i="9"/>
  <c r="AL339" i="9"/>
  <c r="AL441" i="9"/>
  <c r="AL341" i="9"/>
  <c r="AL444" i="9"/>
  <c r="AL370" i="9"/>
  <c r="AL415" i="9"/>
  <c r="AL276" i="9"/>
  <c r="AL393" i="9"/>
  <c r="AL189" i="9"/>
  <c r="AL594" i="9"/>
  <c r="AL215" i="9"/>
  <c r="AL164" i="9"/>
  <c r="AL374" i="9"/>
  <c r="AL406" i="9"/>
  <c r="AL207" i="9"/>
  <c r="AL458" i="9"/>
  <c r="AL510" i="9"/>
  <c r="AL614" i="9"/>
  <c r="AL475" i="9"/>
  <c r="AL280" i="9"/>
  <c r="AL176" i="9"/>
  <c r="AL320" i="9"/>
  <c r="AL336" i="9"/>
  <c r="AL407" i="9"/>
  <c r="AL122" i="9"/>
  <c r="AL394" i="9"/>
  <c r="AL224" i="9"/>
  <c r="AL479" i="9"/>
  <c r="AL181" i="9"/>
  <c r="AL347" i="9"/>
  <c r="AL168" i="9"/>
  <c r="AL546" i="9"/>
  <c r="AL437" i="9"/>
  <c r="AL208" i="9"/>
  <c r="AL565" i="9"/>
  <c r="AL597" i="9"/>
  <c r="AL396" i="9"/>
  <c r="AL324" i="9"/>
  <c r="AL102" i="9"/>
  <c r="AL83" i="9"/>
  <c r="AL528" i="9"/>
  <c r="AL254" i="9"/>
  <c r="AL494" i="9"/>
  <c r="AL69" i="9"/>
  <c r="AL607" i="9"/>
  <c r="AL56" i="9"/>
  <c r="AL294" i="9"/>
  <c r="AL402" i="9"/>
  <c r="AL457" i="9"/>
  <c r="AL387" i="9"/>
  <c r="AL311" i="9"/>
  <c r="AL386" i="9"/>
  <c r="AL190" i="9"/>
  <c r="AL413" i="9"/>
  <c r="AL506" i="9"/>
  <c r="AL123" i="9"/>
  <c r="AL275" i="9"/>
  <c r="AL299" i="9"/>
  <c r="AL419" i="9"/>
  <c r="AL199" i="9"/>
  <c r="AL39" i="9"/>
  <c r="AL265" i="9"/>
  <c r="AL378" i="9"/>
  <c r="AL601" i="9"/>
  <c r="AL307" i="9"/>
  <c r="AL225" i="9"/>
  <c r="AL358" i="9"/>
  <c r="AL450" i="9"/>
  <c r="AL246" i="9"/>
  <c r="AL290" i="9"/>
  <c r="AL504" i="9"/>
  <c r="AL100" i="9"/>
  <c r="AL417" i="9"/>
  <c r="AL67" i="9"/>
  <c r="AL531" i="9"/>
  <c r="AL445" i="9"/>
  <c r="AL251" i="9"/>
  <c r="AL273" i="9"/>
  <c r="AL75" i="9"/>
  <c r="AL384" i="9"/>
  <c r="AL557" i="9"/>
  <c r="AL501" i="9"/>
  <c r="AL573" i="9"/>
  <c r="AL240" i="9"/>
  <c r="AL213" i="9"/>
  <c r="AL178" i="9"/>
  <c r="AL233" i="9"/>
  <c r="AL262" i="9"/>
  <c r="AL250" i="9"/>
  <c r="AL74" i="9"/>
  <c r="AL232" i="9"/>
  <c r="AL348" i="9"/>
  <c r="AL196" i="9"/>
  <c r="AL91" i="9"/>
  <c r="AL563" i="9"/>
  <c r="AL365" i="9"/>
  <c r="AL28" i="9"/>
  <c r="AL209" i="9"/>
  <c r="AL540" i="9"/>
  <c r="AL363" i="9"/>
  <c r="AL223" i="9"/>
  <c r="AL462" i="9"/>
  <c r="AL159" i="9"/>
  <c r="AL465" i="9"/>
  <c r="AL35" i="9"/>
  <c r="AL505" i="9"/>
  <c r="AL338" i="9"/>
  <c r="AL283" i="9"/>
  <c r="AL23" i="9"/>
  <c r="AL308" i="9"/>
  <c r="AL345" i="9"/>
  <c r="AL520" i="9"/>
  <c r="AL45" i="9"/>
  <c r="AL385" i="9"/>
  <c r="AL279" i="9"/>
  <c r="AL259" i="9"/>
  <c r="AL511" i="9"/>
  <c r="AL523" i="9"/>
  <c r="AL72" i="9"/>
  <c r="AL572" i="9"/>
  <c r="AL228" i="9"/>
  <c r="AL449" i="9"/>
  <c r="AL174" i="9"/>
  <c r="AL522" i="9"/>
  <c r="AL151" i="9"/>
  <c r="AL46" i="9"/>
  <c r="AL448" i="9"/>
  <c r="AL261" i="9"/>
  <c r="AL108" i="9"/>
  <c r="AL527" i="9"/>
  <c r="AL534" i="9"/>
  <c r="AL530" i="9"/>
  <c r="AL244" i="9"/>
  <c r="AL231" i="9"/>
  <c r="AL99" i="9"/>
  <c r="AL526" i="9"/>
  <c r="AL578" i="9"/>
  <c r="AL416" i="9"/>
  <c r="AL58" i="9"/>
  <c r="AL76" i="9"/>
  <c r="AL65" i="9"/>
  <c r="AL330" i="9"/>
  <c r="AL488" i="9"/>
  <c r="AL192" i="9"/>
  <c r="AL389" i="9"/>
  <c r="AL612" i="9"/>
  <c r="AL295" i="9"/>
  <c r="AL152" i="9"/>
  <c r="AL410" i="9"/>
  <c r="AL584" i="9"/>
  <c r="AL218" i="9"/>
  <c r="AL33" i="9"/>
  <c r="AL493" i="9"/>
  <c r="AL146" i="9"/>
  <c r="AL323" i="9"/>
  <c r="AL428" i="9"/>
  <c r="AL497" i="9"/>
  <c r="AL349" i="9"/>
  <c r="AL63" i="9"/>
  <c r="AL438" i="9"/>
  <c r="AL519" i="9"/>
  <c r="AL298" i="9"/>
  <c r="AL476" i="9"/>
  <c r="AL210" i="9"/>
  <c r="AL62" i="9"/>
  <c r="AL329" i="9"/>
  <c r="AL47" i="9"/>
  <c r="AL570" i="9"/>
  <c r="AL144" i="9"/>
  <c r="AL142" i="9"/>
  <c r="AL90" i="9"/>
  <c r="AL260" i="9"/>
  <c r="AL96" i="9"/>
  <c r="AL203" i="9"/>
  <c r="AL414" i="9"/>
  <c r="AL25" i="9"/>
  <c r="AL138" i="9"/>
  <c r="AL424" i="9"/>
  <c r="AL229" i="9"/>
  <c r="AL593" i="9"/>
  <c r="AL591" i="9"/>
  <c r="AL191" i="9"/>
  <c r="AL487" i="9"/>
  <c r="AL184" i="9"/>
  <c r="AL147" i="9"/>
  <c r="AL216" i="9"/>
  <c r="AL172" i="9"/>
  <c r="AL558" i="9"/>
  <c r="AL182" i="9"/>
  <c r="AL169" i="9"/>
  <c r="AL403" i="9"/>
  <c r="AL351" i="9"/>
  <c r="AL373" i="9"/>
  <c r="AL451" i="9"/>
  <c r="AL435" i="9"/>
  <c r="AL602" i="9"/>
  <c r="AL268" i="9"/>
  <c r="AL592" i="9"/>
  <c r="AL609" i="9"/>
  <c r="AL559" i="9"/>
  <c r="AL193" i="9"/>
  <c r="AL236" i="9"/>
  <c r="AL495" i="9"/>
  <c r="AL486" i="9"/>
  <c r="AL469" i="9"/>
  <c r="AL454" i="9"/>
  <c r="AL286" i="9"/>
  <c r="AL124" i="9"/>
  <c r="AL439" i="9"/>
  <c r="AL498" i="9"/>
  <c r="AL66" i="9"/>
  <c r="AL53" i="9"/>
  <c r="AL120" i="9"/>
  <c r="AL270" i="9"/>
  <c r="AL489" i="9"/>
  <c r="AL312" i="9"/>
  <c r="AL480" i="9"/>
  <c r="AL333" i="9"/>
  <c r="AL392" i="9"/>
  <c r="AL371" i="9"/>
  <c r="AL589" i="9"/>
  <c r="AL569" i="9"/>
  <c r="AL461" i="9"/>
  <c r="AL161" i="9"/>
  <c r="AL398" i="9"/>
  <c r="AL429" i="9"/>
  <c r="AL550" i="9"/>
  <c r="AL202" i="9"/>
  <c r="AL608" i="9"/>
  <c r="AL422" i="9"/>
  <c r="AL134" i="9"/>
  <c r="AL610" i="9"/>
  <c r="AL30" i="9"/>
  <c r="AL401" i="9"/>
  <c r="AL541" i="9"/>
  <c r="AL366" i="9"/>
  <c r="AL567" i="9"/>
  <c r="AL132" i="9"/>
  <c r="AL163" i="9"/>
  <c r="AL127" i="9"/>
  <c r="AL327" i="9"/>
  <c r="AL332" i="9"/>
  <c r="AL340" i="9"/>
  <c r="AL43" i="9"/>
  <c r="AL136" i="9"/>
  <c r="AL481" i="9"/>
  <c r="AL148" i="9"/>
  <c r="AL583" i="9"/>
  <c r="AL547" i="9"/>
  <c r="AL432" i="9"/>
  <c r="AL249" i="9"/>
  <c r="AL355" i="9"/>
  <c r="AL60" i="9"/>
  <c r="AL37" i="9"/>
  <c r="AL287" i="9"/>
  <c r="AL300" i="9"/>
  <c r="AL321" i="9"/>
  <c r="AL500" i="9"/>
  <c r="AL110" i="9"/>
  <c r="AL517" i="9"/>
  <c r="AL352" i="9"/>
  <c r="AL551" i="9"/>
  <c r="AL145" i="9"/>
  <c r="AL179" i="9"/>
  <c r="AL453" i="9"/>
  <c r="AL408" i="9"/>
  <c r="AL21" i="9"/>
  <c r="AL274" i="9"/>
  <c r="AL198" i="9"/>
  <c r="AL376" i="9"/>
  <c r="AL88" i="9"/>
  <c r="AL266" i="9"/>
  <c r="AL20" i="9"/>
  <c r="AL554" i="9"/>
  <c r="AL383" i="9"/>
  <c r="AL532" i="9"/>
  <c r="AL111" i="9"/>
  <c r="AL101" i="9"/>
  <c r="AL302" i="9"/>
  <c r="AL219" i="9"/>
  <c r="AL360" i="9"/>
  <c r="AL472" i="9"/>
  <c r="AL171" i="9"/>
  <c r="AL195" i="9"/>
  <c r="AL473" i="9"/>
  <c r="AL436" i="9"/>
  <c r="AL117" i="9"/>
  <c r="AL335" i="9"/>
  <c r="AK17" i="9"/>
  <c r="AK6" i="9" s="1"/>
  <c r="AJ617" i="9"/>
  <c r="AK11" i="9"/>
  <c r="V14" i="8"/>
  <c r="W14" i="8" s="1"/>
  <c r="X14" i="8" s="1"/>
  <c r="V15" i="8"/>
  <c r="J13" i="2" s="1"/>
  <c r="K13" i="2" s="1"/>
  <c r="H14" i="17"/>
  <c r="H11" i="17"/>
  <c r="H10" i="17"/>
  <c r="H12" i="17"/>
  <c r="H9" i="17"/>
  <c r="F13" i="2"/>
  <c r="G13" i="2" s="1"/>
  <c r="H13" i="2" s="1"/>
  <c r="G13" i="17"/>
  <c r="V16" i="8"/>
  <c r="AJ7" i="9"/>
  <c r="AK8" i="9"/>
  <c r="J11" i="2"/>
  <c r="K11" i="2" s="1"/>
  <c r="J12" i="2"/>
  <c r="K12" i="2" s="1"/>
  <c r="S17" i="8"/>
  <c r="F11" i="2"/>
  <c r="F12" i="2"/>
  <c r="J10" i="2"/>
  <c r="K10" i="2" s="1"/>
  <c r="F10" i="2"/>
  <c r="J9" i="2"/>
  <c r="K9" i="2" s="1"/>
  <c r="F9" i="2"/>
  <c r="AM16" i="9"/>
  <c r="AM516" i="9" s="1"/>
  <c r="AL5" i="9"/>
  <c r="AK9" i="9"/>
  <c r="AK10" i="9"/>
  <c r="L11" i="8"/>
  <c r="M11" i="8" s="1"/>
  <c r="W13" i="8"/>
  <c r="X13" i="8" s="1"/>
  <c r="W12" i="8"/>
  <c r="X12" i="8" s="1"/>
  <c r="L15" i="8"/>
  <c r="M15" i="8" s="1"/>
  <c r="F26" i="2" s="1"/>
  <c r="G26" i="2" s="1"/>
  <c r="H26" i="2" s="1"/>
  <c r="W11" i="8"/>
  <c r="X11" i="8" s="1"/>
  <c r="L14" i="8"/>
  <c r="M14" i="8" s="1"/>
  <c r="L13" i="8"/>
  <c r="M13" i="8" s="1"/>
  <c r="L12" i="8"/>
  <c r="M12" i="8" s="1"/>
  <c r="F15" i="2"/>
  <c r="M17" i="8"/>
  <c r="F28" i="2" s="1"/>
  <c r="G28" i="2" s="1"/>
  <c r="H28" i="2" s="1"/>
  <c r="AM360" i="9" l="1"/>
  <c r="AM20" i="9"/>
  <c r="AM453" i="9"/>
  <c r="AM321" i="9"/>
  <c r="AM547" i="9"/>
  <c r="AM327" i="9"/>
  <c r="AM30" i="9"/>
  <c r="AM398" i="9"/>
  <c r="AM480" i="9"/>
  <c r="AM439" i="9"/>
  <c r="AM193" i="9"/>
  <c r="AM373" i="9"/>
  <c r="AM147" i="9"/>
  <c r="AM138" i="9"/>
  <c r="AM144" i="9"/>
  <c r="AM519" i="9"/>
  <c r="AM493" i="9"/>
  <c r="AM389" i="9"/>
  <c r="AM578" i="9"/>
  <c r="AM108" i="9"/>
  <c r="AM228" i="9"/>
  <c r="AM45" i="9"/>
  <c r="AM35" i="9"/>
  <c r="AM28" i="9"/>
  <c r="AM250" i="9"/>
  <c r="AM557" i="9"/>
  <c r="AM417" i="9"/>
  <c r="AM307" i="9"/>
  <c r="AM275" i="9"/>
  <c r="AM457" i="9"/>
  <c r="AM528" i="9"/>
  <c r="AM437" i="9"/>
  <c r="AM122" i="9"/>
  <c r="AM510" i="9"/>
  <c r="AM189" i="9"/>
  <c r="AM339" i="9"/>
  <c r="AM204" i="9"/>
  <c r="AM104" i="9"/>
  <c r="AM153" i="9"/>
  <c r="AM222" i="9"/>
  <c r="AM588" i="9"/>
  <c r="AM538" i="9"/>
  <c r="AM484" i="9"/>
  <c r="AM482" i="9"/>
  <c r="AM485" i="9"/>
  <c r="AM549" i="9"/>
  <c r="AM252" i="9"/>
  <c r="AM380" i="9"/>
  <c r="AM535" i="9"/>
  <c r="AM455" i="9"/>
  <c r="AM201" i="9"/>
  <c r="AM135" i="9"/>
  <c r="AM115" i="9"/>
  <c r="AM238" i="9"/>
  <c r="AM319" i="9"/>
  <c r="AM140" i="9"/>
  <c r="AM399" i="9"/>
  <c r="AM537" i="9"/>
  <c r="AM89" i="9"/>
  <c r="AM322" i="9"/>
  <c r="AM248" i="9"/>
  <c r="AM314" i="9"/>
  <c r="AM605" i="9"/>
  <c r="AM93" i="9"/>
  <c r="AM226" i="9"/>
  <c r="AM440" i="9"/>
  <c r="AM245" i="9"/>
  <c r="AM596" i="9"/>
  <c r="AM595" i="9"/>
  <c r="AM509" i="9"/>
  <c r="AM40" i="9"/>
  <c r="AM282" i="9"/>
  <c r="AM235" i="9"/>
  <c r="AM579" i="9"/>
  <c r="AM335" i="9"/>
  <c r="AM219" i="9"/>
  <c r="AM266" i="9"/>
  <c r="AM179" i="9"/>
  <c r="AM300" i="9"/>
  <c r="AM583" i="9"/>
  <c r="AM127" i="9"/>
  <c r="AM610" i="9"/>
  <c r="AM161" i="9"/>
  <c r="AM312" i="9"/>
  <c r="AM124" i="9"/>
  <c r="AM559" i="9"/>
  <c r="AM351" i="9"/>
  <c r="AM184" i="9"/>
  <c r="AM25" i="9"/>
  <c r="AM570" i="9"/>
  <c r="AM438" i="9"/>
  <c r="AM33" i="9"/>
  <c r="AM192" i="9"/>
  <c r="AM526" i="9"/>
  <c r="AM261" i="9"/>
  <c r="AM572" i="9"/>
  <c r="AM520" i="9"/>
  <c r="AM465" i="9"/>
  <c r="AM365" i="9"/>
  <c r="AM262" i="9"/>
  <c r="AM384" i="9"/>
  <c r="AM100" i="9"/>
  <c r="AM601" i="9"/>
  <c r="AM123" i="9"/>
  <c r="AM402" i="9"/>
  <c r="AM83" i="9"/>
  <c r="AM546" i="9"/>
  <c r="AM407" i="9"/>
  <c r="AM458" i="9"/>
  <c r="AM393" i="9"/>
  <c r="AM507" i="9"/>
  <c r="AM514" i="9"/>
  <c r="AM356" i="9"/>
  <c r="AM97" i="9"/>
  <c r="AM281" i="9"/>
  <c r="AM234" i="9"/>
  <c r="AM92" i="9"/>
  <c r="AM421" i="9"/>
  <c r="AM80" i="9"/>
  <c r="AM70" i="9"/>
  <c r="AM353" i="9"/>
  <c r="AM427" i="9"/>
  <c r="AM185" i="9"/>
  <c r="AM316" i="9"/>
  <c r="AM606" i="9"/>
  <c r="AM289" i="9"/>
  <c r="AM55" i="9"/>
  <c r="AM18" i="9"/>
  <c r="AM105" i="9"/>
  <c r="AM342" i="9"/>
  <c r="AM431" i="9"/>
  <c r="AM409" i="9"/>
  <c r="AM154" i="9"/>
  <c r="AM257" i="9"/>
  <c r="AM258" i="9"/>
  <c r="AM502" i="9"/>
  <c r="AM582" i="9"/>
  <c r="AM381" i="9"/>
  <c r="AM194" i="9"/>
  <c r="AM412" i="9"/>
  <c r="AM49" i="9"/>
  <c r="AM121" i="9"/>
  <c r="AM188" i="9"/>
  <c r="AM205" i="9"/>
  <c r="AM460" i="9"/>
  <c r="AM539" i="9"/>
  <c r="AM613" i="9"/>
  <c r="AM456" i="9"/>
  <c r="AM590" i="9"/>
  <c r="AM117" i="9"/>
  <c r="AM302" i="9"/>
  <c r="AM88" i="9"/>
  <c r="AM145" i="9"/>
  <c r="AM287" i="9"/>
  <c r="AM148" i="9"/>
  <c r="AM163" i="9"/>
  <c r="AM134" i="9"/>
  <c r="AM461" i="9"/>
  <c r="AM489" i="9"/>
  <c r="AM286" i="9"/>
  <c r="AM609" i="9"/>
  <c r="AM403" i="9"/>
  <c r="AM487" i="9"/>
  <c r="AM414" i="9"/>
  <c r="AM47" i="9"/>
  <c r="AM63" i="9"/>
  <c r="AM218" i="9"/>
  <c r="AM488" i="9"/>
  <c r="AM99" i="9"/>
  <c r="AM448" i="9"/>
  <c r="AM72" i="9"/>
  <c r="AM345" i="9"/>
  <c r="AM159" i="9"/>
  <c r="AM563" i="9"/>
  <c r="AM233" i="9"/>
  <c r="AM75" i="9"/>
  <c r="AM504" i="9"/>
  <c r="AM378" i="9"/>
  <c r="AM506" i="9"/>
  <c r="AM294" i="9"/>
  <c r="AM102" i="9"/>
  <c r="AM168" i="9"/>
  <c r="AM336" i="9"/>
  <c r="AM207" i="9"/>
  <c r="AM276" i="9"/>
  <c r="AM477" i="9"/>
  <c r="AM521" i="9"/>
  <c r="AM29" i="9"/>
  <c r="AM542" i="9"/>
  <c r="AM562" i="9"/>
  <c r="AM388" i="9"/>
  <c r="AM85" i="9"/>
  <c r="AM548" i="9"/>
  <c r="AM418" i="9"/>
  <c r="AM463" i="9"/>
  <c r="AM103" i="9"/>
  <c r="AM395" i="9"/>
  <c r="AM167" i="9"/>
  <c r="AM513" i="9"/>
  <c r="AM331" i="9"/>
  <c r="AM141" i="9"/>
  <c r="AM433" i="9"/>
  <c r="AM318" i="9"/>
  <c r="AM346" i="9"/>
  <c r="AM411" i="9"/>
  <c r="AM313" i="9"/>
  <c r="AM51" i="9"/>
  <c r="AM79" i="9"/>
  <c r="AM560" i="9"/>
  <c r="AM277" i="9"/>
  <c r="AM512" i="9"/>
  <c r="AM377" i="9"/>
  <c r="AM515" i="9"/>
  <c r="AM293" i="9"/>
  <c r="AM284" i="9"/>
  <c r="AM343" i="9"/>
  <c r="AM126" i="9"/>
  <c r="AM337" i="9"/>
  <c r="AM468" i="9"/>
  <c r="AM574" i="9"/>
  <c r="AM309" i="9"/>
  <c r="AM508" i="9"/>
  <c r="AM285" i="9"/>
  <c r="AM187" i="9"/>
  <c r="AM436" i="9"/>
  <c r="AM101" i="9"/>
  <c r="AM376" i="9"/>
  <c r="AM551" i="9"/>
  <c r="AM37" i="9"/>
  <c r="AM481" i="9"/>
  <c r="AM132" i="9"/>
  <c r="AM422" i="9"/>
  <c r="AM569" i="9"/>
  <c r="AM270" i="9"/>
  <c r="AM454" i="9"/>
  <c r="AM592" i="9"/>
  <c r="AM169" i="9"/>
  <c r="AM191" i="9"/>
  <c r="AM203" i="9"/>
  <c r="AM329" i="9"/>
  <c r="AM349" i="9"/>
  <c r="AM584" i="9"/>
  <c r="AM330" i="9"/>
  <c r="AM231" i="9"/>
  <c r="AM46" i="9"/>
  <c r="AM523" i="9"/>
  <c r="AM308" i="9"/>
  <c r="AM462" i="9"/>
  <c r="AM91" i="9"/>
  <c r="AM178" i="9"/>
  <c r="AM273" i="9"/>
  <c r="AM290" i="9"/>
  <c r="AM265" i="9"/>
  <c r="AM413" i="9"/>
  <c r="AM56" i="9"/>
  <c r="AM324" i="9"/>
  <c r="AM347" i="9"/>
  <c r="AM320" i="9"/>
  <c r="AM406" i="9"/>
  <c r="AM415" i="9"/>
  <c r="AM357" i="9"/>
  <c r="AM77" i="9"/>
  <c r="AM150" i="9"/>
  <c r="AM571" i="9"/>
  <c r="AM52" i="9"/>
  <c r="AM116" i="9"/>
  <c r="AM263" i="9"/>
  <c r="AM267" i="9"/>
  <c r="AM214" i="9"/>
  <c r="AM616" i="9"/>
  <c r="AM379" i="9"/>
  <c r="AM217" i="9"/>
  <c r="AM221" i="9"/>
  <c r="AM304" i="9"/>
  <c r="AM81" i="9"/>
  <c r="AM367" i="9"/>
  <c r="AM568" i="9"/>
  <c r="AM158" i="9"/>
  <c r="AM577" i="9"/>
  <c r="AM272" i="9"/>
  <c r="AM19" i="9"/>
  <c r="AM291" i="9"/>
  <c r="AM44" i="9"/>
  <c r="AM600" i="9"/>
  <c r="AM326" i="9"/>
  <c r="AM41" i="9"/>
  <c r="AM61" i="9"/>
  <c r="AM160" i="9"/>
  <c r="AM59" i="9"/>
  <c r="AM253" i="9"/>
  <c r="AM442" i="9"/>
  <c r="AM180" i="9"/>
  <c r="AM344" i="9"/>
  <c r="AM113" i="9"/>
  <c r="AM27" i="9"/>
  <c r="AM166" i="9"/>
  <c r="AM434" i="9"/>
  <c r="AM317" i="9"/>
  <c r="AM155" i="9"/>
  <c r="AM473" i="9"/>
  <c r="AM111" i="9"/>
  <c r="AM198" i="9"/>
  <c r="AM352" i="9"/>
  <c r="AM60" i="9"/>
  <c r="AM136" i="9"/>
  <c r="AM567" i="9"/>
  <c r="AM608" i="9"/>
  <c r="AM589" i="9"/>
  <c r="AM120" i="9"/>
  <c r="AM469" i="9"/>
  <c r="AM268" i="9"/>
  <c r="AM182" i="9"/>
  <c r="AM591" i="9"/>
  <c r="AM96" i="9"/>
  <c r="AM62" i="9"/>
  <c r="AM497" i="9"/>
  <c r="AM410" i="9"/>
  <c r="AM65" i="9"/>
  <c r="AM244" i="9"/>
  <c r="AM151" i="9"/>
  <c r="AM511" i="9"/>
  <c r="AM23" i="9"/>
  <c r="AM223" i="9"/>
  <c r="AM196" i="9"/>
  <c r="AM213" i="9"/>
  <c r="AM251" i="9"/>
  <c r="AM246" i="9"/>
  <c r="AM39" i="9"/>
  <c r="AM190" i="9"/>
  <c r="AM607" i="9"/>
  <c r="AM396" i="9"/>
  <c r="AM181" i="9"/>
  <c r="AM176" i="9"/>
  <c r="AM374" i="9"/>
  <c r="AM370" i="9"/>
  <c r="AM24" i="9"/>
  <c r="AM503" i="9"/>
  <c r="AM278" i="9"/>
  <c r="AM95" i="9"/>
  <c r="AM496" i="9"/>
  <c r="AM247" i="9"/>
  <c r="AM42" i="9"/>
  <c r="AM131" i="9"/>
  <c r="AM364" i="9"/>
  <c r="AM369" i="9"/>
  <c r="AM211" i="9"/>
  <c r="AM425" i="9"/>
  <c r="AM382" i="9"/>
  <c r="AM237" i="9"/>
  <c r="AM580" i="9"/>
  <c r="AM84" i="9"/>
  <c r="AM186" i="9"/>
  <c r="AM297" i="9"/>
  <c r="AM73" i="9"/>
  <c r="AM334" i="9"/>
  <c r="AM543" i="9"/>
  <c r="AM106" i="9"/>
  <c r="AM200" i="9"/>
  <c r="AM129" i="9"/>
  <c r="AM54" i="9"/>
  <c r="AM585" i="9"/>
  <c r="AM256" i="9"/>
  <c r="AM22" i="9"/>
  <c r="AM361" i="9"/>
  <c r="AM404" i="9"/>
  <c r="AM391" i="9"/>
  <c r="AM359" i="9"/>
  <c r="AM564" i="9"/>
  <c r="AM354" i="9"/>
  <c r="AM555" i="9"/>
  <c r="AM459" i="9"/>
  <c r="AM98" i="9"/>
  <c r="AM78" i="9"/>
  <c r="AM57" i="9"/>
  <c r="AM195" i="9"/>
  <c r="AM532" i="9"/>
  <c r="AM274" i="9"/>
  <c r="AM517" i="9"/>
  <c r="AM355" i="9"/>
  <c r="AM43" i="9"/>
  <c r="AM366" i="9"/>
  <c r="AM202" i="9"/>
  <c r="AM371" i="9"/>
  <c r="AM53" i="9"/>
  <c r="AM486" i="9"/>
  <c r="AM602" i="9"/>
  <c r="AM558" i="9"/>
  <c r="AM593" i="9"/>
  <c r="AM260" i="9"/>
  <c r="AM210" i="9"/>
  <c r="AM428" i="9"/>
  <c r="AM152" i="9"/>
  <c r="AM76" i="9"/>
  <c r="AM530" i="9"/>
  <c r="AM522" i="9"/>
  <c r="AM259" i="9"/>
  <c r="AM283" i="9"/>
  <c r="AM363" i="9"/>
  <c r="AM348" i="9"/>
  <c r="AM240" i="9"/>
  <c r="AM445" i="9"/>
  <c r="AM450" i="9"/>
  <c r="AM199" i="9"/>
  <c r="AM386" i="9"/>
  <c r="AM69" i="9"/>
  <c r="AM597" i="9"/>
  <c r="AM479" i="9"/>
  <c r="AM280" i="9"/>
  <c r="AM164" i="9"/>
  <c r="AM444" i="9"/>
  <c r="AM137" i="9"/>
  <c r="AM109" i="9"/>
  <c r="AM125" i="9"/>
  <c r="AM474" i="9"/>
  <c r="AM581" i="9"/>
  <c r="AM119" i="9"/>
  <c r="AM212" i="9"/>
  <c r="AM269" i="9"/>
  <c r="AM615" i="9"/>
  <c r="AM452" i="9"/>
  <c r="AM447" i="9"/>
  <c r="AM491" i="9"/>
  <c r="AM483" i="9"/>
  <c r="AM478" i="9"/>
  <c r="AM165" i="9"/>
  <c r="AM26" i="9"/>
  <c r="AM315" i="9"/>
  <c r="AM264" i="9"/>
  <c r="AM576" i="9"/>
  <c r="AM611" i="9"/>
  <c r="AM575" i="9"/>
  <c r="AM325" i="9"/>
  <c r="AM32" i="9"/>
  <c r="AM183" i="9"/>
  <c r="AM82" i="9"/>
  <c r="AM86" i="9"/>
  <c r="AM306" i="9"/>
  <c r="AM536" i="9"/>
  <c r="AM368" i="9"/>
  <c r="AM598" i="9"/>
  <c r="AM470" i="9"/>
  <c r="AM405" i="9"/>
  <c r="AM296" i="9"/>
  <c r="AM241" i="9"/>
  <c r="AM400" i="9"/>
  <c r="AM533" i="9"/>
  <c r="AM130" i="9"/>
  <c r="AM94" i="9"/>
  <c r="AM239" i="9"/>
  <c r="AM171" i="9"/>
  <c r="AM383" i="9"/>
  <c r="AM21" i="9"/>
  <c r="AM110" i="9"/>
  <c r="AM249" i="9"/>
  <c r="AM340" i="9"/>
  <c r="AM541" i="9"/>
  <c r="AM550" i="9"/>
  <c r="AM392" i="9"/>
  <c r="AM66" i="9"/>
  <c r="AM495" i="9"/>
  <c r="AM435" i="9"/>
  <c r="AM172" i="9"/>
  <c r="AM229" i="9"/>
  <c r="AM90" i="9"/>
  <c r="AM476" i="9"/>
  <c r="AM323" i="9"/>
  <c r="AM295" i="9"/>
  <c r="AM58" i="9"/>
  <c r="AM534" i="9"/>
  <c r="AM174" i="9"/>
  <c r="AM279" i="9"/>
  <c r="AM338" i="9"/>
  <c r="AM540" i="9"/>
  <c r="AM232" i="9"/>
  <c r="AM573" i="9"/>
  <c r="AM531" i="9"/>
  <c r="AM358" i="9"/>
  <c r="AM419" i="9"/>
  <c r="AM311" i="9"/>
  <c r="AM494" i="9"/>
  <c r="AM565" i="9"/>
  <c r="AM224" i="9"/>
  <c r="AM475" i="9"/>
  <c r="AM215" i="9"/>
  <c r="AM341" i="9"/>
  <c r="AM587" i="9"/>
  <c r="AM544" i="9"/>
  <c r="AM230" i="9"/>
  <c r="AM310" i="9"/>
  <c r="AM38" i="9"/>
  <c r="AM64" i="9"/>
  <c r="AM375" i="9"/>
  <c r="AM524" i="9"/>
  <c r="AM243" i="9"/>
  <c r="AM292" i="9"/>
  <c r="AM288" i="9"/>
  <c r="AM464" i="9"/>
  <c r="AM350" i="9"/>
  <c r="AM446" i="9"/>
  <c r="AM545" i="9"/>
  <c r="AM490" i="9"/>
  <c r="AM71" i="9"/>
  <c r="AM107" i="9"/>
  <c r="AM303" i="9"/>
  <c r="AM68" i="9"/>
  <c r="AM426" i="9"/>
  <c r="AM603" i="9"/>
  <c r="AM173" i="9"/>
  <c r="AM552" i="9"/>
  <c r="AM443" i="9"/>
  <c r="AM112" i="9"/>
  <c r="AM157" i="9"/>
  <c r="AM175" i="9"/>
  <c r="AM206" i="9"/>
  <c r="AM518" i="9"/>
  <c r="AM430" i="9"/>
  <c r="AM31" i="9"/>
  <c r="AM467" i="9"/>
  <c r="AM227" i="9"/>
  <c r="AM87" i="9"/>
  <c r="AM242" i="9"/>
  <c r="AM499" i="9"/>
  <c r="AM390" i="9"/>
  <c r="AM128" i="9"/>
  <c r="AM472" i="9"/>
  <c r="AM554" i="9"/>
  <c r="AM408" i="9"/>
  <c r="AM500" i="9"/>
  <c r="AM432" i="9"/>
  <c r="AM332" i="9"/>
  <c r="AM401" i="9"/>
  <c r="AM429" i="9"/>
  <c r="AM333" i="9"/>
  <c r="AM498" i="9"/>
  <c r="AM236" i="9"/>
  <c r="AM451" i="9"/>
  <c r="AM216" i="9"/>
  <c r="AM424" i="9"/>
  <c r="AM142" i="9"/>
  <c r="AM298" i="9"/>
  <c r="AM146" i="9"/>
  <c r="AM612" i="9"/>
  <c r="AM416" i="9"/>
  <c r="AM527" i="9"/>
  <c r="AM449" i="9"/>
  <c r="AM385" i="9"/>
  <c r="AM505" i="9"/>
  <c r="AM209" i="9"/>
  <c r="AM74" i="9"/>
  <c r="AM501" i="9"/>
  <c r="AM67" i="9"/>
  <c r="AM225" i="9"/>
  <c r="AM299" i="9"/>
  <c r="AM387" i="9"/>
  <c r="AM254" i="9"/>
  <c r="AM208" i="9"/>
  <c r="AM394" i="9"/>
  <c r="AM614" i="9"/>
  <c r="AM594" i="9"/>
  <c r="AM441" i="9"/>
  <c r="AM118" i="9"/>
  <c r="AM529" i="9"/>
  <c r="AM604" i="9"/>
  <c r="AM420" i="9"/>
  <c r="AM220" i="9"/>
  <c r="AM471" i="9"/>
  <c r="AM48" i="9"/>
  <c r="AM139" i="9"/>
  <c r="AM133" i="9"/>
  <c r="AM566" i="9"/>
  <c r="AM149" i="9"/>
  <c r="AM305" i="9"/>
  <c r="AM36" i="9"/>
  <c r="AM466" i="9"/>
  <c r="AM423" i="9"/>
  <c r="AM301" i="9"/>
  <c r="AM362" i="9"/>
  <c r="AM492" i="9"/>
  <c r="AM162" i="9"/>
  <c r="AM525" i="9"/>
  <c r="AM177" i="9"/>
  <c r="AM114" i="9"/>
  <c r="AM599" i="9"/>
  <c r="AM143" i="9"/>
  <c r="AM255" i="9"/>
  <c r="AM50" i="9"/>
  <c r="AM553" i="9"/>
  <c r="AM328" i="9"/>
  <c r="AM556" i="9"/>
  <c r="AM156" i="9"/>
  <c r="AM197" i="9"/>
  <c r="AM271" i="9"/>
  <c r="AM372" i="9"/>
  <c r="AM561" i="9"/>
  <c r="AM586" i="9"/>
  <c r="AM34" i="9"/>
  <c r="AM397" i="9"/>
  <c r="AM170" i="9"/>
  <c r="AL17" i="9"/>
  <c r="AK617" i="9"/>
  <c r="AL11" i="9"/>
  <c r="W15" i="8"/>
  <c r="X15" i="8" s="1"/>
  <c r="J26" i="2" s="1"/>
  <c r="K26" i="2" s="1"/>
  <c r="I14" i="17"/>
  <c r="I12" i="17"/>
  <c r="I10" i="17"/>
  <c r="I11" i="17"/>
  <c r="I9" i="17"/>
  <c r="H13" i="17"/>
  <c r="W16" i="8"/>
  <c r="X16" i="8" s="1"/>
  <c r="J27" i="2" s="1"/>
  <c r="K27" i="2" s="1"/>
  <c r="J14" i="2"/>
  <c r="K14" i="2" s="1"/>
  <c r="AL7" i="9"/>
  <c r="AK7" i="9"/>
  <c r="AL8" i="9"/>
  <c r="G11" i="2"/>
  <c r="H11" i="2" s="1"/>
  <c r="T17" i="8"/>
  <c r="J28" i="2" s="1"/>
  <c r="K28" i="2" s="1"/>
  <c r="G10" i="2"/>
  <c r="H10" i="2" s="1"/>
  <c r="G9" i="2"/>
  <c r="H9" i="2" s="1"/>
  <c r="G12" i="2"/>
  <c r="H12" i="2" s="1"/>
  <c r="J23" i="2"/>
  <c r="K23" i="2" s="1"/>
  <c r="J24" i="2"/>
  <c r="K24" i="2" s="1"/>
  <c r="F23" i="2"/>
  <c r="G23" i="2" s="1"/>
  <c r="H23" i="2" s="1"/>
  <c r="F22" i="2"/>
  <c r="G22" i="2" s="1"/>
  <c r="F25" i="2"/>
  <c r="G25" i="2" s="1"/>
  <c r="H25" i="2" s="1"/>
  <c r="J25" i="2"/>
  <c r="K25" i="2" s="1"/>
  <c r="AN16" i="9"/>
  <c r="AN516" i="9" s="1"/>
  <c r="AM5" i="9"/>
  <c r="AL10" i="9"/>
  <c r="AL9" i="9"/>
  <c r="F24" i="2"/>
  <c r="V17" i="8"/>
  <c r="AN197" i="9" l="1"/>
  <c r="AN599" i="9"/>
  <c r="AN423" i="9"/>
  <c r="AN48" i="9"/>
  <c r="AN594" i="9"/>
  <c r="AN67" i="9"/>
  <c r="AN416" i="9"/>
  <c r="AN236" i="9"/>
  <c r="AN408" i="9"/>
  <c r="AN227" i="9"/>
  <c r="AN112" i="9"/>
  <c r="AN107" i="9"/>
  <c r="AN292" i="9"/>
  <c r="AN544" i="9"/>
  <c r="AN311" i="9"/>
  <c r="AN279" i="9"/>
  <c r="AN229" i="9"/>
  <c r="AN340" i="9"/>
  <c r="AN130" i="9"/>
  <c r="AN368" i="9"/>
  <c r="AN575" i="9"/>
  <c r="AN483" i="9"/>
  <c r="AN581" i="9"/>
  <c r="AN479" i="9"/>
  <c r="AN348" i="9"/>
  <c r="AN428" i="9"/>
  <c r="AN371" i="9"/>
  <c r="AN195" i="9"/>
  <c r="AN359" i="9"/>
  <c r="AN129" i="9"/>
  <c r="AN84" i="9"/>
  <c r="AN131" i="9"/>
  <c r="AN370" i="9"/>
  <c r="AN246" i="9"/>
  <c r="AN244" i="9"/>
  <c r="AN268" i="9"/>
  <c r="AN352" i="9"/>
  <c r="AN27" i="9"/>
  <c r="AN61" i="9"/>
  <c r="AN577" i="9"/>
  <c r="AN379" i="9"/>
  <c r="AN150" i="9"/>
  <c r="AN56" i="9"/>
  <c r="AN308" i="9"/>
  <c r="AN203" i="9"/>
  <c r="AN132" i="9"/>
  <c r="AN285" i="9"/>
  <c r="AN284" i="9"/>
  <c r="AN51" i="9"/>
  <c r="AN513" i="9"/>
  <c r="AN388" i="9"/>
  <c r="AN336" i="9"/>
  <c r="AN233" i="9"/>
  <c r="AN218" i="9"/>
  <c r="AN489" i="9"/>
  <c r="AN302" i="9"/>
  <c r="AN188" i="9"/>
  <c r="AN258" i="9"/>
  <c r="AN55" i="9"/>
  <c r="AN80" i="9"/>
  <c r="AN507" i="9"/>
  <c r="AN601" i="9"/>
  <c r="AN261" i="9"/>
  <c r="AN351" i="9"/>
  <c r="AN300" i="9"/>
  <c r="AN40" i="9"/>
  <c r="AN605" i="9"/>
  <c r="AN319" i="9"/>
  <c r="AN252" i="9"/>
  <c r="AN153" i="9"/>
  <c r="AN528" i="9"/>
  <c r="AN35" i="9"/>
  <c r="AN144" i="9"/>
  <c r="AN30" i="9"/>
  <c r="AN170" i="9"/>
  <c r="AN156" i="9"/>
  <c r="AN114" i="9"/>
  <c r="AN466" i="9"/>
  <c r="AN471" i="9"/>
  <c r="AN614" i="9"/>
  <c r="AN501" i="9"/>
  <c r="AN612" i="9"/>
  <c r="AN498" i="9"/>
  <c r="AN554" i="9"/>
  <c r="AN467" i="9"/>
  <c r="AN443" i="9"/>
  <c r="AN71" i="9"/>
  <c r="AN243" i="9"/>
  <c r="AN587" i="9"/>
  <c r="AN419" i="9"/>
  <c r="AN174" i="9"/>
  <c r="AN172" i="9"/>
  <c r="AN249" i="9"/>
  <c r="AN533" i="9"/>
  <c r="AN536" i="9"/>
  <c r="AN611" i="9"/>
  <c r="AN491" i="9"/>
  <c r="AN474" i="9"/>
  <c r="AN597" i="9"/>
  <c r="AN363" i="9"/>
  <c r="AN210" i="9"/>
  <c r="AN202" i="9"/>
  <c r="AN57" i="9"/>
  <c r="AN391" i="9"/>
  <c r="AN200" i="9"/>
  <c r="AN580" i="9"/>
  <c r="AN42" i="9"/>
  <c r="AN374" i="9"/>
  <c r="AN251" i="9"/>
  <c r="AN65" i="9"/>
  <c r="AN469" i="9"/>
  <c r="AN198" i="9"/>
  <c r="AN113" i="9"/>
  <c r="AN41" i="9"/>
  <c r="AN158" i="9"/>
  <c r="AN616" i="9"/>
  <c r="AN77" i="9"/>
  <c r="AN413" i="9"/>
  <c r="AN523" i="9"/>
  <c r="AN191" i="9"/>
  <c r="AN481" i="9"/>
  <c r="AN508" i="9"/>
  <c r="AN293" i="9"/>
  <c r="AN313" i="9"/>
  <c r="AN167" i="9"/>
  <c r="AN562" i="9"/>
  <c r="AN168" i="9"/>
  <c r="AN563" i="9"/>
  <c r="AN63" i="9"/>
  <c r="AN461" i="9"/>
  <c r="AN117" i="9"/>
  <c r="AN121" i="9"/>
  <c r="AN257" i="9"/>
  <c r="AN289" i="9"/>
  <c r="AN421" i="9"/>
  <c r="AN393" i="9"/>
  <c r="AN100" i="9"/>
  <c r="AN526" i="9"/>
  <c r="AN559" i="9"/>
  <c r="AN179" i="9"/>
  <c r="AN509" i="9"/>
  <c r="AN314" i="9"/>
  <c r="AN238" i="9"/>
  <c r="AN549" i="9"/>
  <c r="AN104" i="9"/>
  <c r="AN457" i="9"/>
  <c r="AN45" i="9"/>
  <c r="AN138" i="9"/>
  <c r="AN327" i="9"/>
  <c r="AN397" i="9"/>
  <c r="AN556" i="9"/>
  <c r="AN177" i="9"/>
  <c r="AN36" i="9"/>
  <c r="AN220" i="9"/>
  <c r="AN394" i="9"/>
  <c r="AN74" i="9"/>
  <c r="AN146" i="9"/>
  <c r="AN333" i="9"/>
  <c r="AN472" i="9"/>
  <c r="AN31" i="9"/>
  <c r="AN552" i="9"/>
  <c r="AN490" i="9"/>
  <c r="AN524" i="9"/>
  <c r="AN341" i="9"/>
  <c r="AN358" i="9"/>
  <c r="AN534" i="9"/>
  <c r="AN435" i="9"/>
  <c r="AN110" i="9"/>
  <c r="AN400" i="9"/>
  <c r="AN306" i="9"/>
  <c r="AN576" i="9"/>
  <c r="AN447" i="9"/>
  <c r="AN125" i="9"/>
  <c r="AN69" i="9"/>
  <c r="AN283" i="9"/>
  <c r="AN260" i="9"/>
  <c r="AN366" i="9"/>
  <c r="AN78" i="9"/>
  <c r="AN404" i="9"/>
  <c r="AN106" i="9"/>
  <c r="AN237" i="9"/>
  <c r="AN247" i="9"/>
  <c r="AN176" i="9"/>
  <c r="AN213" i="9"/>
  <c r="AN410" i="9"/>
  <c r="AN120" i="9"/>
  <c r="AN111" i="9"/>
  <c r="AN344" i="9"/>
  <c r="AN326" i="9"/>
  <c r="AN568" i="9"/>
  <c r="AN214" i="9"/>
  <c r="AN357" i="9"/>
  <c r="AN265" i="9"/>
  <c r="AN46" i="9"/>
  <c r="AN169" i="9"/>
  <c r="AN37" i="9"/>
  <c r="AN309" i="9"/>
  <c r="AN515" i="9"/>
  <c r="AN411" i="9"/>
  <c r="AN395" i="9"/>
  <c r="AN542" i="9"/>
  <c r="AN102" i="9"/>
  <c r="AN159" i="9"/>
  <c r="AN47" i="9"/>
  <c r="AN134" i="9"/>
  <c r="AN590" i="9"/>
  <c r="AN49" i="9"/>
  <c r="AN154" i="9"/>
  <c r="AN606" i="9"/>
  <c r="AN92" i="9"/>
  <c r="AN458" i="9"/>
  <c r="AN384" i="9"/>
  <c r="AN192" i="9"/>
  <c r="AN124" i="9"/>
  <c r="AN266" i="9"/>
  <c r="AN595" i="9"/>
  <c r="AN248" i="9"/>
  <c r="AN115" i="9"/>
  <c r="AN485" i="9"/>
  <c r="AN204" i="9"/>
  <c r="AN275" i="9"/>
  <c r="AN228" i="9"/>
  <c r="AN147" i="9"/>
  <c r="AN547" i="9"/>
  <c r="AN34" i="9"/>
  <c r="AN328" i="9"/>
  <c r="AN525" i="9"/>
  <c r="AN305" i="9"/>
  <c r="AN420" i="9"/>
  <c r="AN208" i="9"/>
  <c r="AN209" i="9"/>
  <c r="AN298" i="9"/>
  <c r="AN429" i="9"/>
  <c r="AN128" i="9"/>
  <c r="AN430" i="9"/>
  <c r="AN173" i="9"/>
  <c r="AN545" i="9"/>
  <c r="AN375" i="9"/>
  <c r="AN215" i="9"/>
  <c r="AN531" i="9"/>
  <c r="AN58" i="9"/>
  <c r="AN495" i="9"/>
  <c r="AN21" i="9"/>
  <c r="AN241" i="9"/>
  <c r="AN86" i="9"/>
  <c r="AN264" i="9"/>
  <c r="AN452" i="9"/>
  <c r="AN109" i="9"/>
  <c r="AN386" i="9"/>
  <c r="AN259" i="9"/>
  <c r="AN593" i="9"/>
  <c r="AN43" i="9"/>
  <c r="AN98" i="9"/>
  <c r="AN361" i="9"/>
  <c r="AN543" i="9"/>
  <c r="AN382" i="9"/>
  <c r="AN496" i="9"/>
  <c r="AN181" i="9"/>
  <c r="AN196" i="9"/>
  <c r="AN497" i="9"/>
  <c r="AN589" i="9"/>
  <c r="AN473" i="9"/>
  <c r="AN180" i="9"/>
  <c r="AN600" i="9"/>
  <c r="AN367" i="9"/>
  <c r="AN267" i="9"/>
  <c r="AN415" i="9"/>
  <c r="AN290" i="9"/>
  <c r="AN231" i="9"/>
  <c r="AN592" i="9"/>
  <c r="AN551" i="9"/>
  <c r="AN574" i="9"/>
  <c r="AN377" i="9"/>
  <c r="AN346" i="9"/>
  <c r="AN103" i="9"/>
  <c r="AN29" i="9"/>
  <c r="AN294" i="9"/>
  <c r="AN345" i="9"/>
  <c r="AN414" i="9"/>
  <c r="AN163" i="9"/>
  <c r="AN456" i="9"/>
  <c r="AN412" i="9"/>
  <c r="AN409" i="9"/>
  <c r="AN316" i="9"/>
  <c r="AN234" i="9"/>
  <c r="AN407" i="9"/>
  <c r="AN262" i="9"/>
  <c r="AN33" i="9"/>
  <c r="AN312" i="9"/>
  <c r="AN219" i="9"/>
  <c r="AN596" i="9"/>
  <c r="AN322" i="9"/>
  <c r="AN135" i="9"/>
  <c r="AN482" i="9"/>
  <c r="AN339" i="9"/>
  <c r="AN307" i="9"/>
  <c r="AN108" i="9"/>
  <c r="AN373" i="9"/>
  <c r="AN321" i="9"/>
  <c r="AN586" i="9"/>
  <c r="AN553" i="9"/>
  <c r="AN162" i="9"/>
  <c r="AN149" i="9"/>
  <c r="AN604" i="9"/>
  <c r="AN254" i="9"/>
  <c r="AN505" i="9"/>
  <c r="AN142" i="9"/>
  <c r="AN401" i="9"/>
  <c r="AN390" i="9"/>
  <c r="AN518" i="9"/>
  <c r="AN603" i="9"/>
  <c r="AN446" i="9"/>
  <c r="AN64" i="9"/>
  <c r="AN475" i="9"/>
  <c r="AN573" i="9"/>
  <c r="AN295" i="9"/>
  <c r="AN66" i="9"/>
  <c r="AN383" i="9"/>
  <c r="AN296" i="9"/>
  <c r="AN82" i="9"/>
  <c r="AN315" i="9"/>
  <c r="AN615" i="9"/>
  <c r="AN137" i="9"/>
  <c r="AN199" i="9"/>
  <c r="AN522" i="9"/>
  <c r="AN558" i="9"/>
  <c r="AN355" i="9"/>
  <c r="AN459" i="9"/>
  <c r="AN22" i="9"/>
  <c r="AN334" i="9"/>
  <c r="AN425" i="9"/>
  <c r="AN95" i="9"/>
  <c r="AN396" i="9"/>
  <c r="AN223" i="9"/>
  <c r="AN62" i="9"/>
  <c r="AN608" i="9"/>
  <c r="AN155" i="9"/>
  <c r="AN442" i="9"/>
  <c r="AN44" i="9"/>
  <c r="AN81" i="9"/>
  <c r="AN263" i="9"/>
  <c r="AN406" i="9"/>
  <c r="AN273" i="9"/>
  <c r="AN330" i="9"/>
  <c r="AN454" i="9"/>
  <c r="AN376" i="9"/>
  <c r="AN468" i="9"/>
  <c r="AN512" i="9"/>
  <c r="AN318" i="9"/>
  <c r="AN463" i="9"/>
  <c r="AN521" i="9"/>
  <c r="AN506" i="9"/>
  <c r="AN72" i="9"/>
  <c r="AN487" i="9"/>
  <c r="AN148" i="9"/>
  <c r="AN613" i="9"/>
  <c r="AN194" i="9"/>
  <c r="AN431" i="9"/>
  <c r="AN185" i="9"/>
  <c r="AN281" i="9"/>
  <c r="AN546" i="9"/>
  <c r="AN365" i="9"/>
  <c r="AN438" i="9"/>
  <c r="AN161" i="9"/>
  <c r="AN335" i="9"/>
  <c r="AN245" i="9"/>
  <c r="AN89" i="9"/>
  <c r="AN201" i="9"/>
  <c r="AN484" i="9"/>
  <c r="AN189" i="9"/>
  <c r="AN417" i="9"/>
  <c r="AN578" i="9"/>
  <c r="AN193" i="9"/>
  <c r="AN453" i="9"/>
  <c r="AN561" i="9"/>
  <c r="AN50" i="9"/>
  <c r="AN492" i="9"/>
  <c r="AN566" i="9"/>
  <c r="AN529" i="9"/>
  <c r="AN387" i="9"/>
  <c r="AN385" i="9"/>
  <c r="AN424" i="9"/>
  <c r="AN332" i="9"/>
  <c r="AN499" i="9"/>
  <c r="AN206" i="9"/>
  <c r="AN426" i="9"/>
  <c r="AN350" i="9"/>
  <c r="AN38" i="9"/>
  <c r="AN224" i="9"/>
  <c r="AN232" i="9"/>
  <c r="AN323" i="9"/>
  <c r="AN392" i="9"/>
  <c r="AN171" i="9"/>
  <c r="AN405" i="9"/>
  <c r="AN183" i="9"/>
  <c r="AN26" i="9"/>
  <c r="AN269" i="9"/>
  <c r="AN444" i="9"/>
  <c r="AN450" i="9"/>
  <c r="AN530" i="9"/>
  <c r="AN602" i="9"/>
  <c r="AN517" i="9"/>
  <c r="AN555" i="9"/>
  <c r="AN256" i="9"/>
  <c r="AN73" i="9"/>
  <c r="AN211" i="9"/>
  <c r="AN278" i="9"/>
  <c r="AN607" i="9"/>
  <c r="AN23" i="9"/>
  <c r="AN96" i="9"/>
  <c r="AN567" i="9"/>
  <c r="AN317" i="9"/>
  <c r="AN253" i="9"/>
  <c r="AN291" i="9"/>
  <c r="AN304" i="9"/>
  <c r="AN116" i="9"/>
  <c r="AN320" i="9"/>
  <c r="AN178" i="9"/>
  <c r="AN584" i="9"/>
  <c r="AN270" i="9"/>
  <c r="AN101" i="9"/>
  <c r="AN337" i="9"/>
  <c r="AN277" i="9"/>
  <c r="AN433" i="9"/>
  <c r="AN418" i="9"/>
  <c r="AN477" i="9"/>
  <c r="AN378" i="9"/>
  <c r="AN448" i="9"/>
  <c r="AN403" i="9"/>
  <c r="AN287" i="9"/>
  <c r="AN539" i="9"/>
  <c r="AN381" i="9"/>
  <c r="AN342" i="9"/>
  <c r="AN427" i="9"/>
  <c r="AN97" i="9"/>
  <c r="AN83" i="9"/>
  <c r="AN465" i="9"/>
  <c r="AN570" i="9"/>
  <c r="AN610" i="9"/>
  <c r="AN579" i="9"/>
  <c r="AN440" i="9"/>
  <c r="AN537" i="9"/>
  <c r="AN455" i="9"/>
  <c r="AN538" i="9"/>
  <c r="AN510" i="9"/>
  <c r="AN557" i="9"/>
  <c r="AN389" i="9"/>
  <c r="AN439" i="9"/>
  <c r="AN20" i="9"/>
  <c r="AN372" i="9"/>
  <c r="AN255" i="9"/>
  <c r="AN362" i="9"/>
  <c r="AN133" i="9"/>
  <c r="AN118" i="9"/>
  <c r="AN299" i="9"/>
  <c r="AN449" i="9"/>
  <c r="AN216" i="9"/>
  <c r="AN432" i="9"/>
  <c r="AN242" i="9"/>
  <c r="AN175" i="9"/>
  <c r="AN68" i="9"/>
  <c r="AN464" i="9"/>
  <c r="AN310" i="9"/>
  <c r="AN565" i="9"/>
  <c r="AN540" i="9"/>
  <c r="AN476" i="9"/>
  <c r="AN550" i="9"/>
  <c r="AN239" i="9"/>
  <c r="AN470" i="9"/>
  <c r="AN32" i="9"/>
  <c r="AN165" i="9"/>
  <c r="AN212" i="9"/>
  <c r="AN164" i="9"/>
  <c r="AN445" i="9"/>
  <c r="AN76" i="9"/>
  <c r="AN486" i="9"/>
  <c r="AN274" i="9"/>
  <c r="AN354" i="9"/>
  <c r="AN585" i="9"/>
  <c r="AN297" i="9"/>
  <c r="AN369" i="9"/>
  <c r="AN503" i="9"/>
  <c r="AN190" i="9"/>
  <c r="AN511" i="9"/>
  <c r="AN591" i="9"/>
  <c r="AN136" i="9"/>
  <c r="AN434" i="9"/>
  <c r="AN59" i="9"/>
  <c r="AN19" i="9"/>
  <c r="AN221" i="9"/>
  <c r="AN52" i="9"/>
  <c r="AN347" i="9"/>
  <c r="AN91" i="9"/>
  <c r="AN349" i="9"/>
  <c r="AN569" i="9"/>
  <c r="AN436" i="9"/>
  <c r="AN126" i="9"/>
  <c r="AN560" i="9"/>
  <c r="AN141" i="9"/>
  <c r="AN548" i="9"/>
  <c r="AN276" i="9"/>
  <c r="AN504" i="9"/>
  <c r="AN99" i="9"/>
  <c r="AN609" i="9"/>
  <c r="AN145" i="9"/>
  <c r="AN460" i="9"/>
  <c r="AN582" i="9"/>
  <c r="AN105" i="9"/>
  <c r="AN353" i="9"/>
  <c r="AN356" i="9"/>
  <c r="AN402" i="9"/>
  <c r="AN520" i="9"/>
  <c r="AN25" i="9"/>
  <c r="AN127" i="9"/>
  <c r="AN235" i="9"/>
  <c r="AN226" i="9"/>
  <c r="AN399" i="9"/>
  <c r="AN535" i="9"/>
  <c r="AN588" i="9"/>
  <c r="AN122" i="9"/>
  <c r="AN250" i="9"/>
  <c r="AN493" i="9"/>
  <c r="AN480" i="9"/>
  <c r="AN360" i="9"/>
  <c r="AN271" i="9"/>
  <c r="AN143" i="9"/>
  <c r="AN301" i="9"/>
  <c r="AN139" i="9"/>
  <c r="AN441" i="9"/>
  <c r="AN225" i="9"/>
  <c r="AN527" i="9"/>
  <c r="AN451" i="9"/>
  <c r="AN500" i="9"/>
  <c r="AN87" i="9"/>
  <c r="AN157" i="9"/>
  <c r="AN303" i="9"/>
  <c r="AN288" i="9"/>
  <c r="AN230" i="9"/>
  <c r="AN494" i="9"/>
  <c r="AN338" i="9"/>
  <c r="AN90" i="9"/>
  <c r="AN541" i="9"/>
  <c r="AN94" i="9"/>
  <c r="AN598" i="9"/>
  <c r="AN325" i="9"/>
  <c r="AN478" i="9"/>
  <c r="AN119" i="9"/>
  <c r="AN280" i="9"/>
  <c r="AN240" i="9"/>
  <c r="AN152" i="9"/>
  <c r="AN53" i="9"/>
  <c r="AN532" i="9"/>
  <c r="AN564" i="9"/>
  <c r="AN54" i="9"/>
  <c r="AN186" i="9"/>
  <c r="AN364" i="9"/>
  <c r="AN24" i="9"/>
  <c r="AN39" i="9"/>
  <c r="AN151" i="9"/>
  <c r="AN182" i="9"/>
  <c r="AN60" i="9"/>
  <c r="AN166" i="9"/>
  <c r="AN160" i="9"/>
  <c r="AN272" i="9"/>
  <c r="AN217" i="9"/>
  <c r="AN571" i="9"/>
  <c r="AN324" i="9"/>
  <c r="AN462" i="9"/>
  <c r="AN329" i="9"/>
  <c r="AN422" i="9"/>
  <c r="AN187" i="9"/>
  <c r="AN343" i="9"/>
  <c r="AN79" i="9"/>
  <c r="AN331" i="9"/>
  <c r="AN85" i="9"/>
  <c r="AN207" i="9"/>
  <c r="AN75" i="9"/>
  <c r="AN488" i="9"/>
  <c r="AN286" i="9"/>
  <c r="AN88" i="9"/>
  <c r="AN205" i="9"/>
  <c r="AN502" i="9"/>
  <c r="AN18" i="9"/>
  <c r="AN70" i="9"/>
  <c r="AN514" i="9"/>
  <c r="AN123" i="9"/>
  <c r="AN572" i="9"/>
  <c r="AN184" i="9"/>
  <c r="AN583" i="9"/>
  <c r="AN282" i="9"/>
  <c r="AN93" i="9"/>
  <c r="AN140" i="9"/>
  <c r="AN380" i="9"/>
  <c r="AN222" i="9"/>
  <c r="AN437" i="9"/>
  <c r="AN28" i="9"/>
  <c r="AN519" i="9"/>
  <c r="AN398" i="9"/>
  <c r="AM17" i="9"/>
  <c r="AM6" i="9" s="1"/>
  <c r="AL617" i="9"/>
  <c r="AM11" i="9"/>
  <c r="I13" i="17"/>
  <c r="AL6" i="9"/>
  <c r="AM7" i="9"/>
  <c r="AM8" i="9"/>
  <c r="AO16" i="9"/>
  <c r="AO5" i="9" s="1"/>
  <c r="AN5" i="9"/>
  <c r="AM10" i="9"/>
  <c r="AM9" i="9"/>
  <c r="J22" i="2"/>
  <c r="K22" i="2" s="1"/>
  <c r="H22" i="2" s="1"/>
  <c r="G24" i="2"/>
  <c r="H24" i="2" s="1"/>
  <c r="AO93" i="9" l="1"/>
  <c r="AO18" i="9"/>
  <c r="AO85" i="9"/>
  <c r="AO324" i="9"/>
  <c r="AO151" i="9"/>
  <c r="AO53" i="9"/>
  <c r="AO94" i="9"/>
  <c r="AO157" i="9"/>
  <c r="AO301" i="9"/>
  <c r="AO588" i="9"/>
  <c r="AO402" i="9"/>
  <c r="AO99" i="9"/>
  <c r="AO569" i="9"/>
  <c r="AO434" i="9"/>
  <c r="AO585" i="9"/>
  <c r="AO165" i="9"/>
  <c r="AO310" i="9"/>
  <c r="AO299" i="9"/>
  <c r="AO389" i="9"/>
  <c r="AO610" i="9"/>
  <c r="AO539" i="9"/>
  <c r="AO277" i="9"/>
  <c r="AO304" i="9"/>
  <c r="AO278" i="9"/>
  <c r="AO450" i="9"/>
  <c r="AO323" i="9"/>
  <c r="AO332" i="9"/>
  <c r="AO561" i="9"/>
  <c r="AO89" i="9"/>
  <c r="AO185" i="9"/>
  <c r="AO521" i="9"/>
  <c r="AO273" i="9"/>
  <c r="AO62" i="9"/>
  <c r="AO355" i="9"/>
  <c r="AO296" i="9"/>
  <c r="AO603" i="9"/>
  <c r="AO149" i="9"/>
  <c r="AO339" i="9"/>
  <c r="AO262" i="9"/>
  <c r="AO414" i="9"/>
  <c r="AO551" i="9"/>
  <c r="AO180" i="9"/>
  <c r="AO543" i="9"/>
  <c r="AO452" i="9"/>
  <c r="AO215" i="9"/>
  <c r="AO209" i="9"/>
  <c r="AO147" i="9"/>
  <c r="AO266" i="9"/>
  <c r="AO49" i="9"/>
  <c r="AO411" i="9"/>
  <c r="AO214" i="9"/>
  <c r="AO176" i="9"/>
  <c r="AO283" i="9"/>
  <c r="AO435" i="9"/>
  <c r="AO472" i="9"/>
  <c r="AO556" i="9"/>
  <c r="AO238" i="9"/>
  <c r="AO421" i="9"/>
  <c r="AO168" i="9"/>
  <c r="AO523" i="9"/>
  <c r="AO469" i="9"/>
  <c r="AO57" i="9"/>
  <c r="AO536" i="9"/>
  <c r="AO71" i="9"/>
  <c r="AO471" i="9"/>
  <c r="AO528" i="9"/>
  <c r="AO261" i="9"/>
  <c r="AO489" i="9"/>
  <c r="AO285" i="9"/>
  <c r="AO61" i="9"/>
  <c r="AO84" i="9"/>
  <c r="AO581" i="9"/>
  <c r="AO311" i="9"/>
  <c r="AO416" i="9"/>
  <c r="AO398" i="9"/>
  <c r="AO282" i="9"/>
  <c r="AO502" i="9"/>
  <c r="AO331" i="9"/>
  <c r="AO571" i="9"/>
  <c r="AO39" i="9"/>
  <c r="AO152" i="9"/>
  <c r="AO541" i="9"/>
  <c r="AO87" i="9"/>
  <c r="AO143" i="9"/>
  <c r="AO535" i="9"/>
  <c r="AO356" i="9"/>
  <c r="AO504" i="9"/>
  <c r="AO349" i="9"/>
  <c r="AO136" i="9"/>
  <c r="AO354" i="9"/>
  <c r="AO32" i="9"/>
  <c r="AO464" i="9"/>
  <c r="AO118" i="9"/>
  <c r="AO557" i="9"/>
  <c r="AO570" i="9"/>
  <c r="AO287" i="9"/>
  <c r="AO337" i="9"/>
  <c r="AO291" i="9"/>
  <c r="AO211" i="9"/>
  <c r="AO444" i="9"/>
  <c r="AO232" i="9"/>
  <c r="AO424" i="9"/>
  <c r="AO453" i="9"/>
  <c r="AO245" i="9"/>
  <c r="AO431" i="9"/>
  <c r="AO463" i="9"/>
  <c r="AO406" i="9"/>
  <c r="AO223" i="9"/>
  <c r="AO558" i="9"/>
  <c r="AO383" i="9"/>
  <c r="AO518" i="9"/>
  <c r="AO162" i="9"/>
  <c r="AO482" i="9"/>
  <c r="AO407" i="9"/>
  <c r="AO345" i="9"/>
  <c r="AO592" i="9"/>
  <c r="AO473" i="9"/>
  <c r="AO361" i="9"/>
  <c r="AO264" i="9"/>
  <c r="AO375" i="9"/>
  <c r="AO208" i="9"/>
  <c r="AO228" i="9"/>
  <c r="AO124" i="9"/>
  <c r="AO590" i="9"/>
  <c r="AO515" i="9"/>
  <c r="AO568" i="9"/>
  <c r="AO247" i="9"/>
  <c r="AO69" i="9"/>
  <c r="AO534" i="9"/>
  <c r="AO333" i="9"/>
  <c r="AO397" i="9"/>
  <c r="AO314" i="9"/>
  <c r="AO289" i="9"/>
  <c r="AO562" i="9"/>
  <c r="AO413" i="9"/>
  <c r="AO65" i="9"/>
  <c r="AO202" i="9"/>
  <c r="AO533" i="9"/>
  <c r="AO443" i="9"/>
  <c r="AO466" i="9"/>
  <c r="AO153" i="9"/>
  <c r="AO601" i="9"/>
  <c r="AO218" i="9"/>
  <c r="AO132" i="9"/>
  <c r="AO27" i="9"/>
  <c r="AO129" i="9"/>
  <c r="AO483" i="9"/>
  <c r="AO544" i="9"/>
  <c r="AO67" i="9"/>
  <c r="AO583" i="9"/>
  <c r="AO79" i="9"/>
  <c r="AO217" i="9"/>
  <c r="AO24" i="9"/>
  <c r="AO240" i="9"/>
  <c r="AO90" i="9"/>
  <c r="AO500" i="9"/>
  <c r="AO271" i="9"/>
  <c r="AO399" i="9"/>
  <c r="AO353" i="9"/>
  <c r="AO276" i="9"/>
  <c r="AO91" i="9"/>
  <c r="AO591" i="9"/>
  <c r="AO274" i="9"/>
  <c r="AO470" i="9"/>
  <c r="AO68" i="9"/>
  <c r="AO133" i="9"/>
  <c r="AO510" i="9"/>
  <c r="AO465" i="9"/>
  <c r="AO403" i="9"/>
  <c r="AO101" i="9"/>
  <c r="AO253" i="9"/>
  <c r="AO73" i="9"/>
  <c r="AO269" i="9"/>
  <c r="AO224" i="9"/>
  <c r="AO385" i="9"/>
  <c r="AO193" i="9"/>
  <c r="AO335" i="9"/>
  <c r="AO194" i="9"/>
  <c r="AO318" i="9"/>
  <c r="AO263" i="9"/>
  <c r="AO396" i="9"/>
  <c r="AO522" i="9"/>
  <c r="AO66" i="9"/>
  <c r="AO390" i="9"/>
  <c r="AO553" i="9"/>
  <c r="AO135" i="9"/>
  <c r="AO234" i="9"/>
  <c r="AO294" i="9"/>
  <c r="AO231" i="9"/>
  <c r="AO589" i="9"/>
  <c r="AO98" i="9"/>
  <c r="AO86" i="9"/>
  <c r="AO545" i="9"/>
  <c r="AO420" i="9"/>
  <c r="AO275" i="9"/>
  <c r="AO192" i="9"/>
  <c r="AO134" i="9"/>
  <c r="AO309" i="9"/>
  <c r="AO326" i="9"/>
  <c r="AO237" i="9"/>
  <c r="AO125" i="9"/>
  <c r="AO358" i="9"/>
  <c r="AO146" i="9"/>
  <c r="AO327" i="9"/>
  <c r="AO509" i="9"/>
  <c r="AO257" i="9"/>
  <c r="AO167" i="9"/>
  <c r="AO77" i="9"/>
  <c r="AO251" i="9"/>
  <c r="AO210" i="9"/>
  <c r="AO249" i="9"/>
  <c r="AO467" i="9"/>
  <c r="AO114" i="9"/>
  <c r="AO252" i="9"/>
  <c r="AO507" i="9"/>
  <c r="AO233" i="9"/>
  <c r="AO203" i="9"/>
  <c r="AO352" i="9"/>
  <c r="AO359" i="9"/>
  <c r="AO575" i="9"/>
  <c r="AO292" i="9"/>
  <c r="AO594" i="9"/>
  <c r="AO184" i="9"/>
  <c r="AO88" i="9"/>
  <c r="AO343" i="9"/>
  <c r="AO272" i="9"/>
  <c r="AO364" i="9"/>
  <c r="AO280" i="9"/>
  <c r="AO338" i="9"/>
  <c r="AO451" i="9"/>
  <c r="AO360" i="9"/>
  <c r="AO226" i="9"/>
  <c r="AO105" i="9"/>
  <c r="AO548" i="9"/>
  <c r="AO347" i="9"/>
  <c r="AO511" i="9"/>
  <c r="AO486" i="9"/>
  <c r="AO239" i="9"/>
  <c r="AO175" i="9"/>
  <c r="AO362" i="9"/>
  <c r="AO538" i="9"/>
  <c r="AO83" i="9"/>
  <c r="AO448" i="9"/>
  <c r="AO270" i="9"/>
  <c r="AO317" i="9"/>
  <c r="AO256" i="9"/>
  <c r="AO26" i="9"/>
  <c r="AO38" i="9"/>
  <c r="AO387" i="9"/>
  <c r="AO578" i="9"/>
  <c r="AO161" i="9"/>
  <c r="AO613" i="9"/>
  <c r="AO512" i="9"/>
  <c r="AO81" i="9"/>
  <c r="AO95" i="9"/>
  <c r="AO199" i="9"/>
  <c r="AO295" i="9"/>
  <c r="AO401" i="9"/>
  <c r="AO586" i="9"/>
  <c r="AO322" i="9"/>
  <c r="AO316" i="9"/>
  <c r="AO29" i="9"/>
  <c r="AO290" i="9"/>
  <c r="AO497" i="9"/>
  <c r="AO43" i="9"/>
  <c r="AO241" i="9"/>
  <c r="AO173" i="9"/>
  <c r="AO305" i="9"/>
  <c r="AO204" i="9"/>
  <c r="AO384" i="9"/>
  <c r="AO47" i="9"/>
  <c r="AO37" i="9"/>
  <c r="AO344" i="9"/>
  <c r="AO106" i="9"/>
  <c r="AO447" i="9"/>
  <c r="AO341" i="9"/>
  <c r="AO74" i="9"/>
  <c r="AO138" i="9"/>
  <c r="AO179" i="9"/>
  <c r="AO121" i="9"/>
  <c r="AO313" i="9"/>
  <c r="AO616" i="9"/>
  <c r="AO374" i="9"/>
  <c r="AO363" i="9"/>
  <c r="AO172" i="9"/>
  <c r="AO554" i="9"/>
  <c r="AO156" i="9"/>
  <c r="AO319" i="9"/>
  <c r="AO80" i="9"/>
  <c r="AO336" i="9"/>
  <c r="AO308" i="9"/>
  <c r="AO268" i="9"/>
  <c r="AO195" i="9"/>
  <c r="AO368" i="9"/>
  <c r="AO107" i="9"/>
  <c r="AO48" i="9"/>
  <c r="AO437" i="9"/>
  <c r="AO572" i="9"/>
  <c r="AO286" i="9"/>
  <c r="AO187" i="9"/>
  <c r="AO160" i="9"/>
  <c r="AO186" i="9"/>
  <c r="AO119" i="9"/>
  <c r="AO494" i="9"/>
  <c r="AO527" i="9"/>
  <c r="AO480" i="9"/>
  <c r="AO235" i="9"/>
  <c r="AO582" i="9"/>
  <c r="AO141" i="9"/>
  <c r="AO52" i="9"/>
  <c r="AO190" i="9"/>
  <c r="AO76" i="9"/>
  <c r="AO550" i="9"/>
  <c r="AO242" i="9"/>
  <c r="AO255" i="9"/>
  <c r="AO455" i="9"/>
  <c r="AO97" i="9"/>
  <c r="AO378" i="9"/>
  <c r="AO584" i="9"/>
  <c r="AO567" i="9"/>
  <c r="AO555" i="9"/>
  <c r="AO183" i="9"/>
  <c r="AO350" i="9"/>
  <c r="AO529" i="9"/>
  <c r="AO417" i="9"/>
  <c r="AO438" i="9"/>
  <c r="AO148" i="9"/>
  <c r="AO468" i="9"/>
  <c r="AO44" i="9"/>
  <c r="AO425" i="9"/>
  <c r="AO137" i="9"/>
  <c r="AO573" i="9"/>
  <c r="AO142" i="9"/>
  <c r="AO321" i="9"/>
  <c r="AO596" i="9"/>
  <c r="AO409" i="9"/>
  <c r="AO103" i="9"/>
  <c r="AO415" i="9"/>
  <c r="AO196" i="9"/>
  <c r="AO593" i="9"/>
  <c r="AO21" i="9"/>
  <c r="AO430" i="9"/>
  <c r="AO525" i="9"/>
  <c r="AO485" i="9"/>
  <c r="AO458" i="9"/>
  <c r="AO159" i="9"/>
  <c r="AO169" i="9"/>
  <c r="AO111" i="9"/>
  <c r="AO404" i="9"/>
  <c r="AO576" i="9"/>
  <c r="AO524" i="9"/>
  <c r="AO394" i="9"/>
  <c r="AO45" i="9"/>
  <c r="AO559" i="9"/>
  <c r="AO117" i="9"/>
  <c r="AO293" i="9"/>
  <c r="AO158" i="9"/>
  <c r="AO42" i="9"/>
  <c r="AO597" i="9"/>
  <c r="AO174" i="9"/>
  <c r="AO498" i="9"/>
  <c r="AO170" i="9"/>
  <c r="AO605" i="9"/>
  <c r="AO55" i="9"/>
  <c r="AO388" i="9"/>
  <c r="AO56" i="9"/>
  <c r="AO244" i="9"/>
  <c r="AO371" i="9"/>
  <c r="AO130" i="9"/>
  <c r="AO112" i="9"/>
  <c r="AO423" i="9"/>
  <c r="AO519" i="9"/>
  <c r="AO205" i="9"/>
  <c r="AO28" i="9"/>
  <c r="AO222" i="9"/>
  <c r="AO123" i="9"/>
  <c r="AO488" i="9"/>
  <c r="AO422" i="9"/>
  <c r="AO166" i="9"/>
  <c r="AO54" i="9"/>
  <c r="AO478" i="9"/>
  <c r="AO230" i="9"/>
  <c r="AO225" i="9"/>
  <c r="AO493" i="9"/>
  <c r="AO127" i="9"/>
  <c r="AO460" i="9"/>
  <c r="AO560" i="9"/>
  <c r="AO221" i="9"/>
  <c r="AO503" i="9"/>
  <c r="AO445" i="9"/>
  <c r="AO476" i="9"/>
  <c r="AO432" i="9"/>
  <c r="AO372" i="9"/>
  <c r="AO537" i="9"/>
  <c r="AO427" i="9"/>
  <c r="AO477" i="9"/>
  <c r="AO178" i="9"/>
  <c r="AO96" i="9"/>
  <c r="AO517" i="9"/>
  <c r="AO405" i="9"/>
  <c r="AO426" i="9"/>
  <c r="AO566" i="9"/>
  <c r="AO189" i="9"/>
  <c r="AO365" i="9"/>
  <c r="AO487" i="9"/>
  <c r="AO376" i="9"/>
  <c r="AO442" i="9"/>
  <c r="AO334" i="9"/>
  <c r="AO615" i="9"/>
  <c r="AO475" i="9"/>
  <c r="AO505" i="9"/>
  <c r="AO373" i="9"/>
  <c r="AO219" i="9"/>
  <c r="AO412" i="9"/>
  <c r="AO346" i="9"/>
  <c r="AO267" i="9"/>
  <c r="AO181" i="9"/>
  <c r="AO259" i="9"/>
  <c r="AO495" i="9"/>
  <c r="AO128" i="9"/>
  <c r="AO328" i="9"/>
  <c r="AO115" i="9"/>
  <c r="AO92" i="9"/>
  <c r="AO102" i="9"/>
  <c r="AO46" i="9"/>
  <c r="AO120" i="9"/>
  <c r="AO78" i="9"/>
  <c r="AO306" i="9"/>
  <c r="AO490" i="9"/>
  <c r="AO220" i="9"/>
  <c r="AO457" i="9"/>
  <c r="AO526" i="9"/>
  <c r="AO461" i="9"/>
  <c r="AO508" i="9"/>
  <c r="AO41" i="9"/>
  <c r="AO580" i="9"/>
  <c r="AO474" i="9"/>
  <c r="AO419" i="9"/>
  <c r="AO612" i="9"/>
  <c r="AO30" i="9"/>
  <c r="AO40" i="9"/>
  <c r="AO258" i="9"/>
  <c r="AO513" i="9"/>
  <c r="AO150" i="9"/>
  <c r="AO246" i="9"/>
  <c r="AO428" i="9"/>
  <c r="AO340" i="9"/>
  <c r="AO227" i="9"/>
  <c r="AO599" i="9"/>
  <c r="AO380" i="9"/>
  <c r="AO514" i="9"/>
  <c r="AO75" i="9"/>
  <c r="AO329" i="9"/>
  <c r="AO60" i="9"/>
  <c r="AO564" i="9"/>
  <c r="AO325" i="9"/>
  <c r="AO288" i="9"/>
  <c r="AO441" i="9"/>
  <c r="AO250" i="9"/>
  <c r="AO25" i="9"/>
  <c r="AO145" i="9"/>
  <c r="AO126" i="9"/>
  <c r="AO19" i="9"/>
  <c r="AO369" i="9"/>
  <c r="AO164" i="9"/>
  <c r="AO540" i="9"/>
  <c r="AO216" i="9"/>
  <c r="AO20" i="9"/>
  <c r="AO440" i="9"/>
  <c r="AO342" i="9"/>
  <c r="AO418" i="9"/>
  <c r="AO320" i="9"/>
  <c r="AO23" i="9"/>
  <c r="AO602" i="9"/>
  <c r="AO171" i="9"/>
  <c r="AO206" i="9"/>
  <c r="AO492" i="9"/>
  <c r="AO484" i="9"/>
  <c r="AO546" i="9"/>
  <c r="AO72" i="9"/>
  <c r="AO454" i="9"/>
  <c r="AO155" i="9"/>
  <c r="AO22" i="9"/>
  <c r="AO315" i="9"/>
  <c r="AO64" i="9"/>
  <c r="AO254" i="9"/>
  <c r="AO108" i="9"/>
  <c r="AO312" i="9"/>
  <c r="AO456" i="9"/>
  <c r="AO377" i="9"/>
  <c r="AO367" i="9"/>
  <c r="AO496" i="9"/>
  <c r="AO386" i="9"/>
  <c r="AO58" i="9"/>
  <c r="AO429" i="9"/>
  <c r="AO34" i="9"/>
  <c r="AO248" i="9"/>
  <c r="AO606" i="9"/>
  <c r="AO542" i="9"/>
  <c r="AO265" i="9"/>
  <c r="AO410" i="9"/>
  <c r="AO366" i="9"/>
  <c r="AO400" i="9"/>
  <c r="AO552" i="9"/>
  <c r="AO36" i="9"/>
  <c r="AO104" i="9"/>
  <c r="AO100" i="9"/>
  <c r="AO63" i="9"/>
  <c r="AO481" i="9"/>
  <c r="AO113" i="9"/>
  <c r="AO200" i="9"/>
  <c r="AO491" i="9"/>
  <c r="AO587" i="9"/>
  <c r="AO501" i="9"/>
  <c r="AO144" i="9"/>
  <c r="AO300" i="9"/>
  <c r="AO188" i="9"/>
  <c r="AO51" i="9"/>
  <c r="AO379" i="9"/>
  <c r="AO370" i="9"/>
  <c r="AO348" i="9"/>
  <c r="AO229" i="9"/>
  <c r="AO408" i="9"/>
  <c r="AO197" i="9"/>
  <c r="AO140" i="9"/>
  <c r="AO70" i="9"/>
  <c r="AO207" i="9"/>
  <c r="AO462" i="9"/>
  <c r="AO182" i="9"/>
  <c r="AO532" i="9"/>
  <c r="AO598" i="9"/>
  <c r="AO303" i="9"/>
  <c r="AO139" i="9"/>
  <c r="AO122" i="9"/>
  <c r="AO520" i="9"/>
  <c r="AO609" i="9"/>
  <c r="AO436" i="9"/>
  <c r="AO59" i="9"/>
  <c r="AO297" i="9"/>
  <c r="AO212" i="9"/>
  <c r="AO565" i="9"/>
  <c r="AO449" i="9"/>
  <c r="AO439" i="9"/>
  <c r="AO579" i="9"/>
  <c r="AO381" i="9"/>
  <c r="AO433" i="9"/>
  <c r="AO116" i="9"/>
  <c r="AO607" i="9"/>
  <c r="AO530" i="9"/>
  <c r="AO392" i="9"/>
  <c r="AO499" i="9"/>
  <c r="AO50" i="9"/>
  <c r="AO201" i="9"/>
  <c r="AO281" i="9"/>
  <c r="AO506" i="9"/>
  <c r="AO330" i="9"/>
  <c r="AO608" i="9"/>
  <c r="AO459" i="9"/>
  <c r="AO82" i="9"/>
  <c r="AO446" i="9"/>
  <c r="AO604" i="9"/>
  <c r="AO307" i="9"/>
  <c r="AO33" i="9"/>
  <c r="AO163" i="9"/>
  <c r="AO574" i="9"/>
  <c r="AO600" i="9"/>
  <c r="AO382" i="9"/>
  <c r="AO109" i="9"/>
  <c r="AO531" i="9"/>
  <c r="AO298" i="9"/>
  <c r="AO547" i="9"/>
  <c r="AO595" i="9"/>
  <c r="AO154" i="9"/>
  <c r="AO395" i="9"/>
  <c r="AO357" i="9"/>
  <c r="AO213" i="9"/>
  <c r="AO260" i="9"/>
  <c r="AO110" i="9"/>
  <c r="AO31" i="9"/>
  <c r="AO177" i="9"/>
  <c r="AO549" i="9"/>
  <c r="AO393" i="9"/>
  <c r="AO563" i="9"/>
  <c r="AO191" i="9"/>
  <c r="AO198" i="9"/>
  <c r="AO391" i="9"/>
  <c r="AO611" i="9"/>
  <c r="AO243" i="9"/>
  <c r="AO614" i="9"/>
  <c r="AO35" i="9"/>
  <c r="AO351" i="9"/>
  <c r="AO302" i="9"/>
  <c r="AO284" i="9"/>
  <c r="AO577" i="9"/>
  <c r="AO131" i="9"/>
  <c r="AO479" i="9"/>
  <c r="AO279" i="9"/>
  <c r="AO236" i="9"/>
  <c r="AO516" i="9"/>
  <c r="AN17" i="9"/>
  <c r="AN6" i="9" s="1"/>
  <c r="AM617" i="9"/>
  <c r="AN11" i="9"/>
  <c r="AN7" i="9"/>
  <c r="AN8" i="9"/>
  <c r="AN9" i="9"/>
  <c r="AN10" i="9"/>
  <c r="AC617" i="9"/>
  <c r="AO17" i="9" l="1"/>
  <c r="AO617" i="9" s="1"/>
  <c r="AN617" i="9"/>
  <c r="AO11" i="9"/>
  <c r="AO7" i="9"/>
  <c r="AO8" i="9"/>
  <c r="AO10" i="9"/>
  <c r="AO9" i="9"/>
  <c r="AD617" i="9"/>
  <c r="AO6" i="9" l="1"/>
  <c r="G34" i="2"/>
  <c r="H34" i="2" s="1"/>
  <c r="J34" i="2"/>
  <c r="K34" i="2" s="1"/>
  <c r="I5" i="14" l="1"/>
  <c r="I3" i="17" l="1"/>
  <c r="F3" i="2"/>
  <c r="U3" i="13"/>
  <c r="E15" i="2" l="1"/>
  <c r="F46" i="2" l="1"/>
  <c r="F47" i="2" s="1"/>
  <c r="G15" i="2"/>
  <c r="H15" i="2" s="1"/>
  <c r="J15" i="2"/>
  <c r="K15" i="2" s="1"/>
  <c r="AB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tc={3442A1CD-9EED-466C-96D6-1B71E8D20D4A}</author>
    <author>tc={B6F56A70-567E-4089-8AFF-A3A138D8A63D}</author>
    <author>tc={B296BEC4-A9F1-41B1-9283-DE4431329064}</author>
    <author>tc={324BF31B-CE34-4771-B7F7-E765A7781237}</author>
  </authors>
  <commentList>
    <comment ref="X128" authorId="0" shapeId="0" xr:uid="{3442A1CD-9EED-466C-96D6-1B71E8D20D4A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premium, only one unit so not using formula</t>
      </text>
    </comment>
    <comment ref="X192" authorId="1" shapeId="0" xr:uid="{B6F56A70-567E-4089-8AFF-A3A138D8A63D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premium, only one unit so not using formula</t>
      </text>
    </comment>
    <comment ref="X193" authorId="2" shapeId="0" xr:uid="{B296BEC4-A9F1-41B1-9283-DE4431329064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premium, only one unit so not using formula</t>
      </text>
    </comment>
    <comment ref="X205" authorId="3" shapeId="0" xr:uid="{324BF31B-CE34-4771-B7F7-E765A7781237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premium, only one unit so not using formula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tc={6E7C8065-553A-4239-9874-25AACDDC9FAC}</author>
  </authors>
  <commentList>
    <comment ref="F6" authorId="0" shapeId="0" xr:uid="{6E7C8065-553A-4239-9874-25AACDDC9FAC}">
      <text>
        <t>[Threaded comment]
Your version of Excel allows you to read this threaded comment; however, any edits to it will get removed if the file is opened in a newer version of Excel. Learn more: https://go.microsoft.com/fwlink/?linkid=870924
Comment:
    £20 increase due to growth demands.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<sst xmlns="http://schemas.openxmlformats.org/spreadsheetml/2006/main" count="4377" uniqueCount="529">
  <si>
    <t>BTR PRICING WORKBOOK</t>
  </si>
  <si>
    <t>ACQ</t>
  </si>
  <si>
    <t>CFT</t>
  </si>
  <si>
    <t>ONB</t>
  </si>
  <si>
    <t>AM</t>
  </si>
  <si>
    <t>LET</t>
  </si>
  <si>
    <t>Project:</t>
  </si>
  <si>
    <t>Project Team</t>
  </si>
  <si>
    <t>[Name]</t>
  </si>
  <si>
    <t>Pricing Date:</t>
  </si>
  <si>
    <t>Reviewer</t>
  </si>
  <si>
    <t>INSTRUCTIONS</t>
  </si>
  <si>
    <t>Key:</t>
  </si>
  <si>
    <t>Light blue = input</t>
  </si>
  <si>
    <t>White = calculation</t>
  </si>
  <si>
    <t>Tab</t>
  </si>
  <si>
    <t>Process</t>
  </si>
  <si>
    <t xml:space="preserve">1. Accomodation tab </t>
  </si>
  <si>
    <t xml:space="preserve">Input accomodation to be constructed, as per the Development agreement, in columns D-F (request final DA from the acquistions manager)  </t>
  </si>
  <si>
    <t>Update Qube for Qube location data (fund/portfolio/estate) as per BTR example provided (check with asset manager if unsure)</t>
  </si>
  <si>
    <t>Create Grainger schedule as required in the format provided (Col L-AA)</t>
  </si>
  <si>
    <t>Input Grainger required accomodation attributes (Col S-AA)</t>
  </si>
  <si>
    <t>2. GRI Pricing inputs</t>
  </si>
  <si>
    <t>Input premium values and growth inputs (Number 1-15)</t>
  </si>
  <si>
    <t xml:space="preserve">Describe methodology for each inputs </t>
  </si>
  <si>
    <t>3. GRI Pricing</t>
  </si>
  <si>
    <t>Review and sense check pricing framework unit by unit</t>
  </si>
  <si>
    <t>Add any manual adjustment and provide rationale for adjustments</t>
  </si>
  <si>
    <t>Review and sense check overall and average pricing</t>
  </si>
  <si>
    <t>4. CBRE ERV's</t>
  </si>
  <si>
    <t>CFT to provide i) approved underwritten rents ii) market ERV per the latest CBRE valuation</t>
  </si>
  <si>
    <t>Communication expected launch date to CFT in order to grow benchmarks to same point in time.</t>
  </si>
  <si>
    <r>
      <t xml:space="preserve">All rents must be </t>
    </r>
    <r>
      <rPr>
        <u/>
        <sz val="9"/>
        <rFont val="Arial"/>
        <family val="2"/>
        <scheme val="minor"/>
      </rPr>
      <t>compared at the same point in time, on a like for like basis</t>
    </r>
    <r>
      <rPr>
        <sz val="9"/>
        <rFont val="Arial"/>
        <family val="2"/>
        <scheme val="minor"/>
      </rPr>
      <t>.</t>
    </r>
  </si>
  <si>
    <t>If appraising the current market rent today, we must grow both the underwriting and CBRE from their respective points in time to today.</t>
  </si>
  <si>
    <r>
      <t>Grainger underwrite rental growth for each project and CBRE assume rental growth in their valuation (</t>
    </r>
    <r>
      <rPr>
        <u/>
        <sz val="9"/>
        <rFont val="Arial"/>
        <family val="2"/>
        <scheme val="minor"/>
      </rPr>
      <t>check growth % for each specific project</t>
    </r>
    <r>
      <rPr>
        <sz val="9"/>
        <rFont val="Arial"/>
        <family val="2"/>
        <scheme val="minor"/>
      </rPr>
      <t xml:space="preserve">). </t>
    </r>
  </si>
  <si>
    <t>5. Dashboard</t>
  </si>
  <si>
    <t>Review dashboard, ensure current pricing are in line as expected of the current view of the market</t>
  </si>
  <si>
    <t>Aim to launch at and outperform the higher of i) ‘grown underwritten ERV’ and ii) ‘CBRE Est. Forecast' ERV</t>
  </si>
  <si>
    <t>Append the table within leasing and marketing report</t>
  </si>
  <si>
    <t xml:space="preserve">6. IC Appendix </t>
  </si>
  <si>
    <t>Append the full master schedule within leasing and marketing report.</t>
  </si>
  <si>
    <t>7. Archive Pricing</t>
  </si>
  <si>
    <t>To allow tracking of previously approved prices for each unit.</t>
  </si>
  <si>
    <t>1. ACCOMODATION SCHEDULE</t>
  </si>
  <si>
    <t>Project</t>
  </si>
  <si>
    <t>Qube Location Data</t>
  </si>
  <si>
    <t>Grainger Accomodation</t>
  </si>
  <si>
    <t>Bedroom</t>
  </si>
  <si>
    <t>No. of Homes</t>
  </si>
  <si>
    <t>Qube Field</t>
  </si>
  <si>
    <t>Inputs</t>
  </si>
  <si>
    <t>Example</t>
  </si>
  <si>
    <t>Av. Size (sqft)</t>
  </si>
  <si>
    <t>Notes</t>
  </si>
  <si>
    <t xml:space="preserve">Fund </t>
  </si>
  <si>
    <t>BTR-Regions</t>
  </si>
  <si>
    <t>Portfolio</t>
  </si>
  <si>
    <t>Estate</t>
  </si>
  <si>
    <t>XXXX - Apartments</t>
  </si>
  <si>
    <t>XXXX - XXX Apts</t>
  </si>
  <si>
    <t>XXXX - Amenity</t>
  </si>
  <si>
    <t>XXXX - Commercial</t>
  </si>
  <si>
    <t xml:space="preserve">Total </t>
  </si>
  <si>
    <t>Car park</t>
  </si>
  <si>
    <t>XXXX - Car Parking</t>
  </si>
  <si>
    <t>DA ACCOMODATION</t>
  </si>
  <si>
    <t>Qube Property Location Inputs</t>
  </si>
  <si>
    <t>GRAINGER ACCOMODATION</t>
  </si>
  <si>
    <t>Plot Number</t>
  </si>
  <si>
    <t>Home type</t>
  </si>
  <si>
    <t>Size (sq.ft)</t>
  </si>
  <si>
    <t>Fund</t>
  </si>
  <si>
    <t>Block Name</t>
  </si>
  <si>
    <t>Door Number</t>
  </si>
  <si>
    <t>[Select]</t>
  </si>
  <si>
    <t>2. GRAINGER PRICING INPUTS</t>
  </si>
  <si>
    <t>METHODOLOGY</t>
  </si>
  <si>
    <t>0. Accomodation information</t>
  </si>
  <si>
    <t>Home Type</t>
  </si>
  <si>
    <t>Apartment</t>
  </si>
  <si>
    <t>1. Base price</t>
  </si>
  <si>
    <t>The base pricing for each bed type based on comparable evidence of the local market.</t>
  </si>
  <si>
    <t>Base Price 
(£pm)</t>
  </si>
  <si>
    <t>2. Bath premium</t>
  </si>
  <si>
    <t>The premium to the base pricing (assumes a standard X bed homes) to reflect either the discount for only have 1 bathroom or the premium for having two.</t>
  </si>
  <si>
    <t>Bath</t>
  </si>
  <si>
    <t>Bath Premium</t>
  </si>
  <si>
    <t>3. Size premium by range</t>
  </si>
  <si>
    <t>The premium to the base pricing (assumes a standard X bed homes) to reflect units which are above or below the standard size.</t>
  </si>
  <si>
    <t>1 Bed</t>
  </si>
  <si>
    <t>2 Bed</t>
  </si>
  <si>
    <t>3 Bed</t>
  </si>
  <si>
    <t>Average size (sqft)</t>
  </si>
  <si>
    <t xml:space="preserve">Size premium </t>
  </si>
  <si>
    <t>4. Floor premium</t>
  </si>
  <si>
    <t>A discount or premium to the base price is dependent on what floor the unit is located on (typical increments are between £5 - £20 per floor).</t>
  </si>
  <si>
    <t>Floor</t>
  </si>
  <si>
    <t>Floor premium</t>
  </si>
  <si>
    <t>5. Aspect premium</t>
  </si>
  <si>
    <t>The premium to the base pricing is dependent on which direction the unit is facing (for e.g. south being the best).</t>
  </si>
  <si>
    <t>Aspect</t>
  </si>
  <si>
    <t>North</t>
  </si>
  <si>
    <t>South</t>
  </si>
  <si>
    <t>West</t>
  </si>
  <si>
    <t>Aspect premium</t>
  </si>
  <si>
    <t>6. Storage premium</t>
  </si>
  <si>
    <t>The premium to the base pricing is dependent on the storage offered in the units.</t>
  </si>
  <si>
    <t>Storage</t>
  </si>
  <si>
    <t>Storage premium</t>
  </si>
  <si>
    <t>7. Balcony premium</t>
  </si>
  <si>
    <t>A premium to base to reflect if there is a balcony present. Price is further broken down as below.</t>
  </si>
  <si>
    <t>Balcony</t>
  </si>
  <si>
    <t>Yes</t>
  </si>
  <si>
    <t>No</t>
  </si>
  <si>
    <t>Balcony premium</t>
  </si>
  <si>
    <t>8. Amenity premium</t>
  </si>
  <si>
    <t>The premium to the base pricing is dependent on the amenity offered in the portfolio.</t>
  </si>
  <si>
    <t xml:space="preserve">Amenity </t>
  </si>
  <si>
    <t>Gym</t>
  </si>
  <si>
    <t>Dining</t>
  </si>
  <si>
    <t>Lounge</t>
  </si>
  <si>
    <t>Yoga</t>
  </si>
  <si>
    <t>Concierge</t>
  </si>
  <si>
    <t>Outdoor space</t>
  </si>
  <si>
    <t>Internet</t>
  </si>
  <si>
    <t>All</t>
  </si>
  <si>
    <t>Amenity premium</t>
  </si>
  <si>
    <t>9. Character #1</t>
  </si>
  <si>
    <t>The premium to the base pricing is dependent on the character of the building.</t>
  </si>
  <si>
    <t>Character</t>
  </si>
  <si>
    <t>10. Character #2</t>
  </si>
  <si>
    <t>11. Character #3</t>
  </si>
  <si>
    <t>12. Character #4</t>
  </si>
  <si>
    <t>[A-4]</t>
  </si>
  <si>
    <t>Character premium #4</t>
  </si>
  <si>
    <t>Rents are assumed to grow at the below rate per annum stipulated by Asset Manager.</t>
  </si>
  <si>
    <t>Per CBRE/ Budget assumption</t>
  </si>
  <si>
    <t>PRS</t>
  </si>
  <si>
    <t>Commercial</t>
  </si>
  <si>
    <t>Car Parking</t>
  </si>
  <si>
    <t>Business Plan Growth Rate</t>
  </si>
  <si>
    <t>Units</t>
  </si>
  <si>
    <t>Per CBRE</t>
  </si>
  <si>
    <t>Base price</t>
  </si>
  <si>
    <t>3. GRAINGER PRICING SCHEDULE</t>
  </si>
  <si>
    <t>Launch Rent (pcm)</t>
  </si>
  <si>
    <t>Launch Rent (pa)</t>
  </si>
  <si>
    <t>Launch Rent (psf)</t>
  </si>
  <si>
    <t>AVERAGE</t>
  </si>
  <si>
    <t>Accomodation Attributes</t>
  </si>
  <si>
    <t>GRI PRICING FRAMEWORK</t>
  </si>
  <si>
    <t>Monthly rent increase over 12 months (using Grainger growth rate)</t>
  </si>
  <si>
    <t>Area Range</t>
  </si>
  <si>
    <r>
      <t>Manual Adjustment (</t>
    </r>
    <r>
      <rPr>
        <b/>
        <u/>
        <sz val="9"/>
        <color theme="0"/>
        <rFont val="Arial"/>
        <family val="2"/>
        <scheme val="minor"/>
      </rPr>
      <t>must</t>
    </r>
    <r>
      <rPr>
        <b/>
        <sz val="9"/>
        <color theme="0"/>
        <rFont val="Arial"/>
        <family val="2"/>
        <scheme val="minor"/>
      </rPr>
      <t xml:space="preserve"> provide reason)</t>
    </r>
  </si>
  <si>
    <t>Total ERV</t>
  </si>
  <si>
    <t>Last Valuation Date</t>
  </si>
  <si>
    <t>Check dates as hardcoded</t>
  </si>
  <si>
    <t>LAUNCH RENTS (MONTH, YEAR)</t>
  </si>
  <si>
    <t>Monthly</t>
  </si>
  <si>
    <t>Annual</t>
  </si>
  <si>
    <t>£psf</t>
  </si>
  <si>
    <t>Unit Type</t>
  </si>
  <si>
    <t>Number of units</t>
  </si>
  <si>
    <t>RENT GROWTH WORKINGS</t>
  </si>
  <si>
    <t>Date From</t>
  </si>
  <si>
    <t>Date to:</t>
  </si>
  <si>
    <t>Growth (pa)</t>
  </si>
  <si>
    <t>5. DASHBOARD</t>
  </si>
  <si>
    <t>Grown to:</t>
  </si>
  <si>
    <t>Monthly Rental Analysis</t>
  </si>
  <si>
    <t>No. of units</t>
  </si>
  <si>
    <t>Variance</t>
  </si>
  <si>
    <t>RAG</t>
  </si>
  <si>
    <t>Total / Average</t>
  </si>
  <si>
    <t>Car Park</t>
  </si>
  <si>
    <t>Rent per unit sqft analysis</t>
  </si>
  <si>
    <t>Av. Area</t>
  </si>
  <si>
    <t>Proposed Rent Roll</t>
  </si>
  <si>
    <t>Totals*</t>
  </si>
  <si>
    <t>-</t>
  </si>
  <si>
    <t>*Total excludes any commercial space which is covered seperately</t>
  </si>
  <si>
    <t>Rent £pm</t>
  </si>
  <si>
    <t>Total Rent</t>
  </si>
  <si>
    <t>Half Yearly Rental Analysis</t>
  </si>
  <si>
    <t>Appendix 1 - Master schedule</t>
  </si>
  <si>
    <t>Accomodation</t>
  </si>
  <si>
    <t>GRI Pricing Framework</t>
  </si>
  <si>
    <t>Source:</t>
  </si>
  <si>
    <t>Update 1</t>
  </si>
  <si>
    <t>Update 2</t>
  </si>
  <si>
    <t>Update 3</t>
  </si>
  <si>
    <t>Update 4</t>
  </si>
  <si>
    <t>Update 5</t>
  </si>
  <si>
    <t>Update 6</t>
  </si>
  <si>
    <t>Insert date</t>
  </si>
  <si>
    <t>Current Pricing</t>
  </si>
  <si>
    <t>Update 7</t>
  </si>
  <si>
    <t>Update 8</t>
  </si>
  <si>
    <t>Update 9</t>
  </si>
  <si>
    <t>Update 10</t>
  </si>
  <si>
    <t>13. Growth rate</t>
  </si>
  <si>
    <t>14. Car Park</t>
  </si>
  <si>
    <t>Pricing Update Date</t>
  </si>
  <si>
    <t>Proposed Rent</t>
  </si>
  <si>
    <t>Budget Growth Rate</t>
  </si>
  <si>
    <t>4. ERV COMPARISON AGAINST VALUER</t>
  </si>
  <si>
    <t>Valuer</t>
  </si>
  <si>
    <t>Proposed Rent (pcm)</t>
  </si>
  <si>
    <t>Grainger</t>
  </si>
  <si>
    <t>The Forge, Newcastle</t>
  </si>
  <si>
    <t>The Forge</t>
  </si>
  <si>
    <t>The Forge - Apts</t>
  </si>
  <si>
    <t>101N</t>
  </si>
  <si>
    <t>Ground</t>
  </si>
  <si>
    <t>Courtyard</t>
  </si>
  <si>
    <t>External Access</t>
  </si>
  <si>
    <t>102N</t>
  </si>
  <si>
    <t>103N</t>
  </si>
  <si>
    <t>Normal</t>
  </si>
  <si>
    <t>104N</t>
  </si>
  <si>
    <t>Pottery Lane</t>
  </si>
  <si>
    <t>105N</t>
  </si>
  <si>
    <t>Forth Banks/Pottery Lane</t>
  </si>
  <si>
    <t>106N</t>
  </si>
  <si>
    <t>Forth Banks</t>
  </si>
  <si>
    <t>Adjustment - 15</t>
  </si>
  <si>
    <t>107N</t>
  </si>
  <si>
    <t>108N</t>
  </si>
  <si>
    <t>109N</t>
  </si>
  <si>
    <t>River - Partial</t>
  </si>
  <si>
    <t>110N</t>
  </si>
  <si>
    <t>Forth Banks - Partial</t>
  </si>
  <si>
    <t>111N</t>
  </si>
  <si>
    <t>Courtyard - dual</t>
  </si>
  <si>
    <t>112N</t>
  </si>
  <si>
    <t>113N</t>
  </si>
  <si>
    <t>114N</t>
  </si>
  <si>
    <t>Resticted - 25</t>
  </si>
  <si>
    <t>115N</t>
  </si>
  <si>
    <t>116N</t>
  </si>
  <si>
    <t>201N</t>
  </si>
  <si>
    <t>202N</t>
  </si>
  <si>
    <t>203N</t>
  </si>
  <si>
    <t>204N</t>
  </si>
  <si>
    <t>205N</t>
  </si>
  <si>
    <t>206N</t>
  </si>
  <si>
    <t>207N</t>
  </si>
  <si>
    <t>208N</t>
  </si>
  <si>
    <t>209N</t>
  </si>
  <si>
    <t>210N</t>
  </si>
  <si>
    <t>211N</t>
  </si>
  <si>
    <t>212N</t>
  </si>
  <si>
    <t>213N</t>
  </si>
  <si>
    <t>214N</t>
  </si>
  <si>
    <t>215N</t>
  </si>
  <si>
    <t>216N</t>
  </si>
  <si>
    <t>301N</t>
  </si>
  <si>
    <t>302N</t>
  </si>
  <si>
    <t>303N</t>
  </si>
  <si>
    <t>304N</t>
  </si>
  <si>
    <t>305N</t>
  </si>
  <si>
    <t>306N</t>
  </si>
  <si>
    <t>307N</t>
  </si>
  <si>
    <t>308N</t>
  </si>
  <si>
    <t>309N</t>
  </si>
  <si>
    <t>310N</t>
  </si>
  <si>
    <t>311N</t>
  </si>
  <si>
    <t>312N</t>
  </si>
  <si>
    <t>313N</t>
  </si>
  <si>
    <t>314N</t>
  </si>
  <si>
    <t>315N</t>
  </si>
  <si>
    <t>316N</t>
  </si>
  <si>
    <t>401N</t>
  </si>
  <si>
    <t>402N</t>
  </si>
  <si>
    <t>403N</t>
  </si>
  <si>
    <t>404N</t>
  </si>
  <si>
    <t>405N</t>
  </si>
  <si>
    <t>406N</t>
  </si>
  <si>
    <t>407N</t>
  </si>
  <si>
    <t>408N</t>
  </si>
  <si>
    <t>409N</t>
  </si>
  <si>
    <t>410N</t>
  </si>
  <si>
    <t>411N</t>
  </si>
  <si>
    <t>412N</t>
  </si>
  <si>
    <t>413N</t>
  </si>
  <si>
    <t>414N</t>
  </si>
  <si>
    <t>415N</t>
  </si>
  <si>
    <t>416N</t>
  </si>
  <si>
    <t>501N</t>
  </si>
  <si>
    <t>502N</t>
  </si>
  <si>
    <t>503N</t>
  </si>
  <si>
    <t>504N</t>
  </si>
  <si>
    <t>505N</t>
  </si>
  <si>
    <t>506N</t>
  </si>
  <si>
    <t>507N</t>
  </si>
  <si>
    <t>508N</t>
  </si>
  <si>
    <t>509N</t>
  </si>
  <si>
    <t>510N</t>
  </si>
  <si>
    <t>511N</t>
  </si>
  <si>
    <t>512N</t>
  </si>
  <si>
    <t>513N</t>
  </si>
  <si>
    <t>514N</t>
  </si>
  <si>
    <t>515N</t>
  </si>
  <si>
    <t>516N</t>
  </si>
  <si>
    <t>601N</t>
  </si>
  <si>
    <t>Small</t>
  </si>
  <si>
    <t>602N</t>
  </si>
  <si>
    <t>603N</t>
  </si>
  <si>
    <t>604N</t>
  </si>
  <si>
    <t>605N</t>
  </si>
  <si>
    <t>606N</t>
  </si>
  <si>
    <t>607N</t>
  </si>
  <si>
    <t>608N</t>
  </si>
  <si>
    <t>609N</t>
  </si>
  <si>
    <t>610N</t>
  </si>
  <si>
    <t>611N</t>
  </si>
  <si>
    <t>612N</t>
  </si>
  <si>
    <t>613N</t>
  </si>
  <si>
    <t>614N</t>
  </si>
  <si>
    <t>615N</t>
  </si>
  <si>
    <t>616N</t>
  </si>
  <si>
    <t>701N</t>
  </si>
  <si>
    <t>702N</t>
  </si>
  <si>
    <t>703N</t>
  </si>
  <si>
    <t>704N</t>
  </si>
  <si>
    <t>705N</t>
  </si>
  <si>
    <t>706N</t>
  </si>
  <si>
    <t>707N</t>
  </si>
  <si>
    <t>708N</t>
  </si>
  <si>
    <t>709N</t>
  </si>
  <si>
    <t>710N</t>
  </si>
  <si>
    <t>711N</t>
  </si>
  <si>
    <t>712N</t>
  </si>
  <si>
    <t>713N</t>
  </si>
  <si>
    <t>714N</t>
  </si>
  <si>
    <t>715N</t>
  </si>
  <si>
    <t>1S</t>
  </si>
  <si>
    <t>Restricted - 75</t>
  </si>
  <si>
    <t>2S</t>
  </si>
  <si>
    <t>3S</t>
  </si>
  <si>
    <t>101S</t>
  </si>
  <si>
    <t>Fence</t>
  </si>
  <si>
    <t>102S</t>
  </si>
  <si>
    <t>103S</t>
  </si>
  <si>
    <t>104S</t>
  </si>
  <si>
    <t>105S</t>
  </si>
  <si>
    <t>106S</t>
  </si>
  <si>
    <t>107S</t>
  </si>
  <si>
    <t>201S</t>
  </si>
  <si>
    <t>River- Trees</t>
  </si>
  <si>
    <t>202S</t>
  </si>
  <si>
    <t>203S</t>
  </si>
  <si>
    <t>204S</t>
  </si>
  <si>
    <t>205S</t>
  </si>
  <si>
    <t>206S</t>
  </si>
  <si>
    <t>207S</t>
  </si>
  <si>
    <t>301S</t>
  </si>
  <si>
    <t>302S</t>
  </si>
  <si>
    <t>303S</t>
  </si>
  <si>
    <t>304S</t>
  </si>
  <si>
    <t>305S</t>
  </si>
  <si>
    <t>306S</t>
  </si>
  <si>
    <t>307S</t>
  </si>
  <si>
    <t>401S</t>
  </si>
  <si>
    <t>River- Full</t>
  </si>
  <si>
    <t>402S</t>
  </si>
  <si>
    <t>403S</t>
  </si>
  <si>
    <t>404S</t>
  </si>
  <si>
    <t>405S</t>
  </si>
  <si>
    <t>406S</t>
  </si>
  <si>
    <t>407S</t>
  </si>
  <si>
    <t>501S</t>
  </si>
  <si>
    <t>502S</t>
  </si>
  <si>
    <t>503S</t>
  </si>
  <si>
    <t>504S</t>
  </si>
  <si>
    <t>505S</t>
  </si>
  <si>
    <t>506S</t>
  </si>
  <si>
    <t>507S</t>
  </si>
  <si>
    <t>601S</t>
  </si>
  <si>
    <t>602S</t>
  </si>
  <si>
    <t>603S</t>
  </si>
  <si>
    <t>604S</t>
  </si>
  <si>
    <t>605S</t>
  </si>
  <si>
    <t>606S</t>
  </si>
  <si>
    <t>607S</t>
  </si>
  <si>
    <t>701S</t>
  </si>
  <si>
    <t>Recessed - Solid</t>
  </si>
  <si>
    <t>Adjustment - 100</t>
  </si>
  <si>
    <t>702S</t>
  </si>
  <si>
    <t>703S</t>
  </si>
  <si>
    <t>704S</t>
  </si>
  <si>
    <t>Adjustment - 75</t>
  </si>
  <si>
    <t>705S</t>
  </si>
  <si>
    <t>Cityscape</t>
  </si>
  <si>
    <t>706S</t>
  </si>
  <si>
    <t>707S</t>
  </si>
  <si>
    <t>801S</t>
  </si>
  <si>
    <t>Recessed - Glass</t>
  </si>
  <si>
    <t>802S</t>
  </si>
  <si>
    <t>803S</t>
  </si>
  <si>
    <t>804S</t>
  </si>
  <si>
    <t>805S</t>
  </si>
  <si>
    <t>806S</t>
  </si>
  <si>
    <t>807S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</si>
  <si>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</si>
  <si>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</si>
  <si>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</si>
  <si>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</si>
  <si>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</si>
  <si>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</si>
  <si>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</si>
  <si>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</si>
  <si>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</si>
  <si>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</si>
  <si>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</si>
  <si>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101W</t>
  </si>
  <si>
    <t>102W</t>
  </si>
  <si>
    <t>103W</t>
  </si>
  <si>
    <t>104W</t>
  </si>
  <si>
    <t>Railway Bridge</t>
  </si>
  <si>
    <t>105W</t>
  </si>
  <si>
    <t>106W</t>
  </si>
  <si>
    <t>107W</t>
  </si>
  <si>
    <t>108W</t>
  </si>
  <si>
    <t>109W</t>
  </si>
  <si>
    <t>110W</t>
  </si>
  <si>
    <t>111W</t>
  </si>
  <si>
    <t>112W</t>
  </si>
  <si>
    <t>113W</t>
  </si>
  <si>
    <t>114W</t>
  </si>
  <si>
    <t>201W</t>
  </si>
  <si>
    <t>202W</t>
  </si>
  <si>
    <t>203W</t>
  </si>
  <si>
    <t>204W</t>
  </si>
  <si>
    <t>205W</t>
  </si>
  <si>
    <t>206W</t>
  </si>
  <si>
    <t>207W</t>
  </si>
  <si>
    <t>208W</t>
  </si>
  <si>
    <t>209W</t>
  </si>
  <si>
    <t>210W</t>
  </si>
  <si>
    <t>211W</t>
  </si>
  <si>
    <t>212W</t>
  </si>
  <si>
    <t>213W</t>
  </si>
  <si>
    <t>214W</t>
  </si>
  <si>
    <t>301W</t>
  </si>
  <si>
    <t>302W</t>
  </si>
  <si>
    <t>303W</t>
  </si>
  <si>
    <t>304W</t>
  </si>
  <si>
    <t>305W</t>
  </si>
  <si>
    <t>306W</t>
  </si>
  <si>
    <t>307W</t>
  </si>
  <si>
    <t>308W</t>
  </si>
  <si>
    <t>309W</t>
  </si>
  <si>
    <t>310W</t>
  </si>
  <si>
    <t>311W</t>
  </si>
  <si>
    <t>312W</t>
  </si>
  <si>
    <t>313W</t>
  </si>
  <si>
    <t>314W</t>
  </si>
  <si>
    <t>401W</t>
  </si>
  <si>
    <t>402W</t>
  </si>
  <si>
    <t>403W</t>
  </si>
  <si>
    <t>404W</t>
  </si>
  <si>
    <t>Railway Bridge - Mid</t>
  </si>
  <si>
    <t>405W</t>
  </si>
  <si>
    <t>406W</t>
  </si>
  <si>
    <t>407W</t>
  </si>
  <si>
    <t>408W</t>
  </si>
  <si>
    <t>409W</t>
  </si>
  <si>
    <t>410W</t>
  </si>
  <si>
    <t>River- Partial</t>
  </si>
  <si>
    <t>411W</t>
  </si>
  <si>
    <t>412W</t>
  </si>
  <si>
    <t>413W</t>
  </si>
  <si>
    <t>414W</t>
  </si>
  <si>
    <t>501W</t>
  </si>
  <si>
    <t>502W</t>
  </si>
  <si>
    <t>503W</t>
  </si>
  <si>
    <t>504W</t>
  </si>
  <si>
    <t>505W</t>
  </si>
  <si>
    <t>506W</t>
  </si>
  <si>
    <t>507W</t>
  </si>
  <si>
    <t>508W</t>
  </si>
  <si>
    <t>509W</t>
  </si>
  <si>
    <t>510W</t>
  </si>
  <si>
    <t>511W</t>
  </si>
  <si>
    <t>512W</t>
  </si>
  <si>
    <t>513W</t>
  </si>
  <si>
    <t>514W</t>
  </si>
  <si>
    <t>601W</t>
  </si>
  <si>
    <t>602W</t>
  </si>
  <si>
    <t>603W</t>
  </si>
  <si>
    <t>604W</t>
  </si>
  <si>
    <t>Railway Bridge - Higher</t>
  </si>
  <si>
    <t>605W</t>
  </si>
  <si>
    <t>606W</t>
  </si>
  <si>
    <t>607W</t>
  </si>
  <si>
    <t>608W</t>
  </si>
  <si>
    <t>609W</t>
  </si>
  <si>
    <t>610W</t>
  </si>
  <si>
    <t>611W</t>
  </si>
  <si>
    <t>612W</t>
  </si>
  <si>
    <t>613W</t>
  </si>
  <si>
    <t>614W</t>
  </si>
  <si>
    <t>701W</t>
  </si>
  <si>
    <t>702W</t>
  </si>
  <si>
    <t>703W</t>
  </si>
  <si>
    <t>704W</t>
  </si>
  <si>
    <t>705W</t>
  </si>
  <si>
    <t>706W</t>
  </si>
  <si>
    <t>707W</t>
  </si>
  <si>
    <t>708W</t>
  </si>
  <si>
    <t>709W</t>
  </si>
  <si>
    <t>801W</t>
  </si>
  <si>
    <t>802W</t>
  </si>
  <si>
    <t>803W</t>
  </si>
  <si>
    <t>804W</t>
  </si>
  <si>
    <t>805W</t>
  </si>
  <si>
    <t>806W</t>
  </si>
  <si>
    <t>807W</t>
  </si>
  <si>
    <t>808W</t>
  </si>
  <si>
    <t>809W</t>
  </si>
  <si>
    <t>River- full</t>
  </si>
  <si>
    <t>Open Storage</t>
  </si>
  <si>
    <t>Traditional Wardrobe</t>
  </si>
  <si>
    <t>Window Premium</t>
  </si>
  <si>
    <t>Restricted- 50</t>
  </si>
  <si>
    <t>Restricted Light</t>
  </si>
  <si>
    <t>CBRE</t>
  </si>
  <si>
    <t>Budget period: 12m up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</si>
</sst>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£&quot;#,##0;[Red]\-&quot;£&quot;#,##0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&quot;£&quot;#,##0"/>
    <numFmt numFmtId="168" formatCode="&quot;£&quot;#,##0.00"/>
    <numFmt numFmtId="169" formatCode="_-* #,##0_-;\-* #,##0_-;_-* &quot;-&quot;??_-;_-@_-"/>
    <numFmt numFmtId="170" formatCode="[$-809]dd\ mmmm\ yyyy;@"/>
    <numFmt numFmtId="171" formatCode="0.0%"/>
    <numFmt numFmtId="172" formatCode="_-&quot;£&quot;* #,##0_-;\-&quot;£&quot;* #,##0_-;_-&quot;£&quot;* &quot;-&quot;??_-;_-@_-"/>
    <numFmt numFmtId="173" formatCode="0\ &quot;sqft&quot;"/>
    <numFmt numFmtId="174" formatCode="_-&quot;£&quot;* #,##0.00_-;\-&quot;£&quot;* #,##0.00_-;_-&quot;£&quot;* &quot;-&quot;_-;_-@_-"/>
  </numFmts>
  <fonts count="4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9"/>
      <color rgb="FFFF0000"/>
      <name val="Arial"/>
      <family val="2"/>
      <scheme val="minor"/>
    </font>
    <font>
      <b/>
      <sz val="22"/>
      <color theme="3"/>
      <name val="Calibri"/>
      <family val="2"/>
    </font>
    <font>
      <b/>
      <sz val="9"/>
      <color theme="3"/>
      <name val="Arial"/>
      <family val="2"/>
      <scheme val="minor"/>
    </font>
    <font>
      <b/>
      <i/>
      <sz val="9"/>
      <name val="Arial"/>
      <family val="2"/>
      <scheme val="minor"/>
    </font>
    <font>
      <b/>
      <u/>
      <sz val="9"/>
      <color theme="0"/>
      <name val="Arial"/>
      <family val="2"/>
      <scheme val="minor"/>
    </font>
    <font>
      <sz val="9"/>
      <color rgb="FF0070C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0"/>
      <name val="Arial"/>
      <family val="2"/>
    </font>
    <font>
      <sz val="11"/>
      <color theme="0"/>
      <name val="Arial"/>
      <family val="2"/>
      <scheme val="minor"/>
    </font>
    <font>
      <i/>
      <sz val="9"/>
      <color theme="0"/>
      <name val="Arial"/>
      <family val="2"/>
      <scheme val="minor"/>
    </font>
    <font>
      <b/>
      <sz val="8"/>
      <name val="Arial"/>
      <family val="2"/>
      <scheme val="minor"/>
    </font>
    <font>
      <b/>
      <sz val="16"/>
      <name val="Arial"/>
      <family val="2"/>
      <scheme val="minor"/>
    </font>
    <font>
      <sz val="8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u/>
      <sz val="9"/>
      <name val="Arial"/>
      <family val="2"/>
      <scheme val="minor"/>
    </font>
    <font>
      <b/>
      <sz val="9"/>
      <color rgb="FF0070C0"/>
      <name val="Arial"/>
      <family val="2"/>
      <scheme val="minor"/>
    </font>
    <font>
      <b/>
      <sz val="9"/>
      <color theme="3"/>
      <name val="Calibri"/>
      <family val="2"/>
    </font>
    <font>
      <b/>
      <sz val="9"/>
      <color theme="1"/>
      <name val="Arial"/>
      <family val="2"/>
      <scheme val="minor"/>
    </font>
    <font>
      <i/>
      <sz val="9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b/>
      <sz val="14"/>
      <color theme="3"/>
      <name val="Calibri"/>
      <family val="2"/>
    </font>
    <font>
      <b/>
      <sz val="16"/>
      <color theme="3"/>
      <name val="Calibri"/>
      <family val="2"/>
    </font>
    <font>
      <b/>
      <sz val="16"/>
      <color theme="3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8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3A707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3F6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F3F3"/>
        <bgColor rgb="FF000000"/>
      </patternFill>
    </fill>
    <fill>
      <patternFill patternType="solid">
        <fgColor rgb="FFF2F2F2"/>
        <bgColor rgb="FF000000"/>
      </patternFill>
    </fill>
  </fills>
  <borders count="1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medium">
        <color theme="9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9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9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/>
      <bottom style="thick">
        <color auto="1"/>
      </bottom>
      <diagonal/>
    </border>
    <border>
      <left style="medium">
        <color theme="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thin">
        <color theme="5" tint="0.79998168889431442"/>
      </left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0" tint="-0.149967955565050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2" tint="-0.14999847407452621"/>
      </top>
      <bottom style="thin">
        <color theme="0" tint="-0.149967955565050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14999847407452621"/>
      </left>
      <right/>
      <top style="thin">
        <color theme="0" tint="-0.14996795556505021"/>
      </top>
      <bottom/>
      <diagonal/>
    </border>
    <border>
      <left/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2" tint="-0.149998474074526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0" tint="-0.149967955565050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/>
      <diagonal/>
    </border>
    <border>
      <left/>
      <right/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/>
      <top/>
      <bottom/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2" tint="-0.14999847407452621"/>
      </right>
      <top/>
      <bottom style="thin">
        <color theme="0" tint="-0.14996795556505021"/>
      </bottom>
      <diagonal/>
    </border>
    <border>
      <left style="medium">
        <color theme="9"/>
      </left>
      <right/>
      <top/>
      <bottom style="thin">
        <color theme="0" tint="-0.14996795556505021"/>
      </bottom>
      <diagonal/>
    </border>
    <border>
      <left/>
      <right/>
      <top style="medium">
        <color theme="0" tint="-0.1499984740745262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2" tint="-0.14999847407452621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1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1"/>
      </right>
      <top style="thin">
        <color rgb="FFD9D9D9"/>
      </top>
      <bottom style="thin">
        <color theme="0" tint="-0.14996795556505021"/>
      </bottom>
      <diagonal/>
    </border>
    <border>
      <left style="thin">
        <color theme="2" tint="-0.14999847407452621"/>
      </left>
      <right/>
      <top style="thin">
        <color rgb="FFD9D9D9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rgb="FFD9D9D9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85">
    <xf numFmtId="0" fontId="0" fillId="0" borderId="0" xfId="0"/>
    <xf numFmtId="0" fontId="2" fillId="0" borderId="0" xfId="0" applyFont="1"/>
    <xf numFmtId="0" fontId="10" fillId="0" borderId="0" xfId="0" applyFont="1"/>
    <xf numFmtId="0" fontId="4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5" fontId="16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168" fontId="8" fillId="0" borderId="10" xfId="0" applyNumberFormat="1" applyFont="1" applyBorder="1" applyAlignment="1">
      <alignment horizontal="center"/>
    </xf>
    <xf numFmtId="167" fontId="9" fillId="0" borderId="10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" fontId="13" fillId="0" borderId="26" xfId="0" applyNumberFormat="1" applyFont="1" applyBorder="1" applyAlignment="1">
      <alignment horizontal="center"/>
    </xf>
    <xf numFmtId="0" fontId="26" fillId="0" borderId="35" xfId="0" applyFont="1" applyBorder="1"/>
    <xf numFmtId="0" fontId="0" fillId="0" borderId="35" xfId="0" applyBorder="1"/>
    <xf numFmtId="0" fontId="26" fillId="0" borderId="35" xfId="0" applyFont="1" applyBorder="1" applyAlignment="1">
      <alignment horizontal="right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8" borderId="25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8" fillId="4" borderId="42" xfId="0" applyFont="1" applyFill="1" applyBorder="1" applyAlignment="1">
      <alignment horizontal="left" vertical="center"/>
    </xf>
    <xf numFmtId="0" fontId="28" fillId="4" borderId="43" xfId="0" applyFont="1" applyFill="1" applyBorder="1" applyAlignment="1">
      <alignment horizontal="left" vertical="center"/>
    </xf>
    <xf numFmtId="0" fontId="28" fillId="4" borderId="44" xfId="0" applyFont="1" applyFill="1" applyBorder="1" applyAlignment="1">
      <alignment horizontal="left" vertical="center"/>
    </xf>
    <xf numFmtId="0" fontId="28" fillId="4" borderId="32" xfId="0" applyFont="1" applyFill="1" applyBorder="1" applyAlignment="1">
      <alignment horizontal="left" vertical="center"/>
    </xf>
    <xf numFmtId="0" fontId="28" fillId="4" borderId="33" xfId="0" applyFont="1" applyFill="1" applyBorder="1" applyAlignment="1">
      <alignment horizontal="center" vertical="center"/>
    </xf>
    <xf numFmtId="0" fontId="9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top" wrapText="1"/>
    </xf>
    <xf numFmtId="0" fontId="8" fillId="0" borderId="45" xfId="0" applyFont="1" applyBorder="1" applyAlignment="1">
      <alignment vertical="top" wrapText="1"/>
    </xf>
    <xf numFmtId="0" fontId="8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2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/>
    <xf numFmtId="0" fontId="21" fillId="7" borderId="3" xfId="0" applyFont="1" applyFill="1" applyBorder="1" applyAlignment="1">
      <alignment horizontal="right"/>
    </xf>
    <xf numFmtId="0" fontId="8" fillId="0" borderId="1" xfId="0" applyFont="1" applyBorder="1"/>
    <xf numFmtId="0" fontId="21" fillId="0" borderId="3" xfId="0" applyFont="1" applyBorder="1" applyAlignment="1">
      <alignment horizontal="right"/>
    </xf>
    <xf numFmtId="0" fontId="7" fillId="4" borderId="0" xfId="0" applyFont="1" applyFill="1" applyAlignment="1">
      <alignment horizontal="left" vertical="center"/>
    </xf>
    <xf numFmtId="0" fontId="9" fillId="0" borderId="42" xfId="0" applyFont="1" applyBorder="1"/>
    <xf numFmtId="0" fontId="9" fillId="0" borderId="42" xfId="0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9" fillId="0" borderId="40" xfId="0" applyFont="1" applyBorder="1"/>
    <xf numFmtId="0" fontId="9" fillId="0" borderId="40" xfId="0" applyFont="1" applyBorder="1" applyAlignment="1">
      <alignment horizontal="center"/>
    </xf>
    <xf numFmtId="0" fontId="8" fillId="0" borderId="41" xfId="0" applyFont="1" applyBorder="1"/>
    <xf numFmtId="0" fontId="9" fillId="0" borderId="38" xfId="0" applyFont="1" applyBorder="1"/>
    <xf numFmtId="0" fontId="9" fillId="0" borderId="38" xfId="0" applyFont="1" applyBorder="1" applyAlignment="1">
      <alignment horizontal="center"/>
    </xf>
    <xf numFmtId="0" fontId="8" fillId="0" borderId="31" xfId="0" applyFont="1" applyBorder="1"/>
    <xf numFmtId="0" fontId="8" fillId="0" borderId="39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12" borderId="12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168" fontId="9" fillId="0" borderId="10" xfId="0" applyNumberFormat="1" applyFont="1" applyBorder="1" applyAlignment="1">
      <alignment horizontal="center"/>
    </xf>
    <xf numFmtId="169" fontId="9" fillId="0" borderId="0" xfId="1" applyNumberFormat="1" applyFont="1" applyBorder="1" applyAlignment="1" applyProtection="1">
      <alignment horizontal="center"/>
    </xf>
    <xf numFmtId="168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38" xfId="0" applyFont="1" applyBorder="1"/>
    <xf numFmtId="167" fontId="9" fillId="0" borderId="29" xfId="0" applyNumberFormat="1" applyFont="1" applyBorder="1" applyAlignment="1">
      <alignment horizontal="center"/>
    </xf>
    <xf numFmtId="167" fontId="9" fillId="14" borderId="30" xfId="0" applyNumberFormat="1" applyFont="1" applyFill="1" applyBorder="1" applyAlignment="1">
      <alignment horizontal="center"/>
    </xf>
    <xf numFmtId="167" fontId="9" fillId="0" borderId="28" xfId="0" applyNumberFormat="1" applyFont="1" applyBorder="1" applyAlignment="1">
      <alignment horizontal="center"/>
    </xf>
    <xf numFmtId="0" fontId="20" fillId="3" borderId="10" xfId="0" applyFont="1" applyFill="1" applyBorder="1" applyAlignment="1" applyProtection="1">
      <alignment horizontal="center"/>
      <protection locked="0"/>
    </xf>
    <xf numFmtId="0" fontId="23" fillId="0" borderId="0" xfId="0" applyFont="1" applyAlignment="1">
      <alignment vertical="center"/>
    </xf>
    <xf numFmtId="15" fontId="17" fillId="13" borderId="0" xfId="0" applyNumberFormat="1" applyFont="1" applyFill="1" applyAlignment="1">
      <alignment vertical="center"/>
    </xf>
    <xf numFmtId="0" fontId="2" fillId="13" borderId="0" xfId="0" applyFont="1" applyFill="1"/>
    <xf numFmtId="15" fontId="9" fillId="13" borderId="0" xfId="0" applyNumberFormat="1" applyFont="1" applyFill="1" applyAlignment="1">
      <alignment vertical="center"/>
    </xf>
    <xf numFmtId="167" fontId="8" fillId="0" borderId="4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7" fillId="12" borderId="10" xfId="0" applyFont="1" applyFill="1" applyBorder="1" applyAlignment="1">
      <alignment horizontal="center" wrapText="1"/>
    </xf>
    <xf numFmtId="168" fontId="8" fillId="0" borderId="4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71" fontId="8" fillId="0" borderId="5" xfId="2" applyNumberFormat="1" applyFont="1" applyBorder="1" applyAlignment="1">
      <alignment horizontal="center"/>
    </xf>
    <xf numFmtId="171" fontId="8" fillId="0" borderId="0" xfId="2" applyNumberFormat="1" applyFont="1" applyBorder="1" applyAlignment="1">
      <alignment horizontal="center"/>
    </xf>
    <xf numFmtId="171" fontId="9" fillId="0" borderId="2" xfId="2" applyNumberFormat="1" applyFont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171" fontId="8" fillId="0" borderId="2" xfId="2" applyNumberFormat="1" applyFont="1" applyBorder="1" applyAlignment="1">
      <alignment horizontal="center"/>
    </xf>
    <xf numFmtId="0" fontId="21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7" fillId="5" borderId="1" xfId="0" applyFont="1" applyFill="1" applyBorder="1" applyAlignment="1">
      <alignment horizontal="left" vertical="center" wrapText="1"/>
    </xf>
    <xf numFmtId="1" fontId="7" fillId="5" borderId="2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15" fontId="31" fillId="10" borderId="9" xfId="0" applyNumberFormat="1" applyFont="1" applyFill="1" applyBorder="1" applyAlignment="1">
      <alignment vertical="center"/>
    </xf>
    <xf numFmtId="167" fontId="20" fillId="3" borderId="1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8" fontId="9" fillId="17" borderId="10" xfId="0" applyNumberFormat="1" applyFont="1" applyFill="1" applyBorder="1" applyAlignment="1">
      <alignment horizontal="center"/>
    </xf>
    <xf numFmtId="167" fontId="8" fillId="0" borderId="52" xfId="0" applyNumberFormat="1" applyFont="1" applyBorder="1" applyAlignment="1">
      <alignment horizontal="center"/>
    </xf>
    <xf numFmtId="168" fontId="8" fillId="18" borderId="10" xfId="0" applyNumberFormat="1" applyFont="1" applyFill="1" applyBorder="1" applyAlignment="1">
      <alignment horizontal="center"/>
    </xf>
    <xf numFmtId="0" fontId="28" fillId="0" borderId="0" xfId="0" applyFont="1"/>
    <xf numFmtId="0" fontId="8" fillId="0" borderId="0" xfId="0" applyFont="1" applyAlignment="1">
      <alignment vertical="center"/>
    </xf>
    <xf numFmtId="17" fontId="7" fillId="16" borderId="52" xfId="0" applyNumberFormat="1" applyFont="1" applyFill="1" applyBorder="1" applyAlignment="1">
      <alignment horizontal="center"/>
    </xf>
    <xf numFmtId="0" fontId="7" fillId="16" borderId="53" xfId="0" applyFont="1" applyFill="1" applyBorder="1" applyAlignment="1">
      <alignment horizontal="center"/>
    </xf>
    <xf numFmtId="0" fontId="7" fillId="16" borderId="54" xfId="0" applyFont="1" applyFill="1" applyBorder="1" applyAlignment="1">
      <alignment horizontal="center"/>
    </xf>
    <xf numFmtId="17" fontId="7" fillId="8" borderId="52" xfId="0" applyNumberFormat="1" applyFont="1" applyFill="1" applyBorder="1" applyAlignment="1">
      <alignment horizontal="center"/>
    </xf>
    <xf numFmtId="0" fontId="7" fillId="8" borderId="53" xfId="0" applyFont="1" applyFill="1" applyBorder="1" applyAlignment="1">
      <alignment horizontal="center"/>
    </xf>
    <xf numFmtId="0" fontId="7" fillId="8" borderId="54" xfId="0" applyFont="1" applyFill="1" applyBorder="1" applyAlignment="1">
      <alignment horizontal="center"/>
    </xf>
    <xf numFmtId="169" fontId="8" fillId="0" borderId="6" xfId="1" applyNumberFormat="1" applyFont="1" applyBorder="1" applyAlignment="1">
      <alignment horizontal="center"/>
    </xf>
    <xf numFmtId="169" fontId="8" fillId="0" borderId="8" xfId="1" applyNumberFormat="1" applyFont="1" applyBorder="1" applyAlignment="1">
      <alignment horizontal="center"/>
    </xf>
    <xf numFmtId="169" fontId="8" fillId="0" borderId="3" xfId="1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8" fontId="8" fillId="0" borderId="6" xfId="1" applyNumberFormat="1" applyFont="1" applyBorder="1" applyAlignment="1">
      <alignment horizontal="center"/>
    </xf>
    <xf numFmtId="168" fontId="8" fillId="0" borderId="8" xfId="1" applyNumberFormat="1" applyFont="1" applyBorder="1" applyAlignment="1">
      <alignment horizontal="center"/>
    </xf>
    <xf numFmtId="168" fontId="8" fillId="0" borderId="3" xfId="1" applyNumberFormat="1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8" fillId="13" borderId="0" xfId="0" applyFont="1" applyFill="1"/>
    <xf numFmtId="15" fontId="17" fillId="13" borderId="0" xfId="0" applyNumberFormat="1" applyFont="1" applyFill="1" applyAlignment="1">
      <alignment horizontal="center" vertical="center"/>
    </xf>
    <xf numFmtId="0" fontId="31" fillId="10" borderId="9" xfId="0" applyFont="1" applyFill="1" applyBorder="1" applyAlignment="1">
      <alignment vertical="center"/>
    </xf>
    <xf numFmtId="0" fontId="31" fillId="10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1" fontId="8" fillId="0" borderId="49" xfId="1" applyNumberFormat="1" applyFont="1" applyBorder="1" applyAlignment="1" applyProtection="1">
      <alignment horizontal="center" vertical="center"/>
    </xf>
    <xf numFmtId="0" fontId="8" fillId="0" borderId="10" xfId="0" applyFont="1" applyBorder="1"/>
    <xf numFmtId="0" fontId="8" fillId="0" borderId="50" xfId="0" applyFont="1" applyBorder="1"/>
    <xf numFmtId="0" fontId="20" fillId="3" borderId="13" xfId="0" applyFont="1" applyFill="1" applyBorder="1" applyProtection="1">
      <protection locked="0"/>
    </xf>
    <xf numFmtId="0" fontId="28" fillId="2" borderId="10" xfId="0" applyFont="1" applyFill="1" applyBorder="1" applyAlignment="1">
      <alignment horizontal="center" vertical="top"/>
    </xf>
    <xf numFmtId="0" fontId="32" fillId="0" borderId="0" xfId="0" applyFont="1"/>
    <xf numFmtId="1" fontId="20" fillId="3" borderId="10" xfId="0" applyNumberFormat="1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left" vertical="center"/>
    </xf>
    <xf numFmtId="0" fontId="33" fillId="0" borderId="0" xfId="0" applyFont="1"/>
    <xf numFmtId="0" fontId="24" fillId="0" borderId="0" xfId="0" applyFont="1"/>
    <xf numFmtId="9" fontId="20" fillId="3" borderId="10" xfId="2" applyFont="1" applyFill="1" applyBorder="1" applyAlignment="1" applyProtection="1">
      <alignment horizontal="center"/>
      <protection locked="0"/>
    </xf>
    <xf numFmtId="1" fontId="8" fillId="13" borderId="10" xfId="0" applyNumberFormat="1" applyFont="1" applyFill="1" applyBorder="1" applyAlignment="1" applyProtection="1">
      <alignment horizontal="center"/>
      <protection locked="0"/>
    </xf>
    <xf numFmtId="15" fontId="17" fillId="10" borderId="9" xfId="0" applyNumberFormat="1" applyFont="1" applyFill="1" applyBorder="1" applyAlignment="1">
      <alignment vertical="center"/>
    </xf>
    <xf numFmtId="15" fontId="34" fillId="10" borderId="9" xfId="0" applyNumberFormat="1" applyFont="1" applyFill="1" applyBorder="1" applyAlignment="1">
      <alignment vertical="center"/>
    </xf>
    <xf numFmtId="15" fontId="35" fillId="10" borderId="9" xfId="0" applyNumberFormat="1" applyFont="1" applyFill="1" applyBorder="1" applyAlignment="1">
      <alignment vertical="center"/>
    </xf>
    <xf numFmtId="0" fontId="36" fillId="0" borderId="0" xfId="0" applyFont="1"/>
    <xf numFmtId="15" fontId="39" fillId="10" borderId="9" xfId="0" applyNumberFormat="1" applyFont="1" applyFill="1" applyBorder="1" applyAlignment="1">
      <alignment horizontal="left" vertical="center"/>
    </xf>
    <xf numFmtId="17" fontId="17" fillId="10" borderId="9" xfId="0" applyNumberFormat="1" applyFont="1" applyFill="1" applyBorder="1" applyAlignment="1">
      <alignment vertical="center"/>
    </xf>
    <xf numFmtId="17" fontId="17" fillId="10" borderId="9" xfId="0" applyNumberFormat="1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vertical="center"/>
    </xf>
    <xf numFmtId="15" fontId="38" fillId="10" borderId="9" xfId="0" applyNumberFormat="1" applyFont="1" applyFill="1" applyBorder="1" applyAlignment="1">
      <alignment vertical="center"/>
    </xf>
    <xf numFmtId="167" fontId="8" fillId="0" borderId="10" xfId="0" applyNumberFormat="1" applyFont="1" applyBorder="1" applyAlignment="1">
      <alignment horizontal="left"/>
    </xf>
    <xf numFmtId="170" fontId="20" fillId="3" borderId="1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15" fillId="0" borderId="0" xfId="0" applyFont="1" applyAlignment="1">
      <alignment horizontal="left"/>
    </xf>
    <xf numFmtId="17" fontId="7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15" fontId="34" fillId="10" borderId="0" xfId="0" applyNumberFormat="1" applyFont="1" applyFill="1" applyAlignment="1">
      <alignment vertical="center"/>
    </xf>
    <xf numFmtId="15" fontId="34" fillId="10" borderId="0" xfId="0" applyNumberFormat="1" applyFont="1" applyFill="1" applyAlignment="1">
      <alignment horizontal="right" vertical="center"/>
    </xf>
    <xf numFmtId="0" fontId="2" fillId="0" borderId="51" xfId="0" applyFont="1" applyBorder="1"/>
    <xf numFmtId="167" fontId="2" fillId="0" borderId="51" xfId="0" applyNumberFormat="1" applyFont="1" applyBorder="1"/>
    <xf numFmtId="172" fontId="2" fillId="0" borderId="51" xfId="3" applyNumberFormat="1" applyFont="1" applyBorder="1"/>
    <xf numFmtId="17" fontId="9" fillId="0" borderId="5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8" fillId="0" borderId="66" xfId="0" applyFont="1" applyBorder="1"/>
    <xf numFmtId="171" fontId="8" fillId="0" borderId="53" xfId="2" applyNumberFormat="1" applyFont="1" applyBorder="1" applyAlignment="1">
      <alignment horizontal="center"/>
    </xf>
    <xf numFmtId="169" fontId="8" fillId="0" borderId="54" xfId="1" applyNumberFormat="1" applyFont="1" applyBorder="1" applyAlignment="1">
      <alignment horizontal="center"/>
    </xf>
    <xf numFmtId="0" fontId="13" fillId="0" borderId="0" xfId="0" applyFont="1"/>
    <xf numFmtId="0" fontId="8" fillId="0" borderId="52" xfId="0" applyFont="1" applyBorder="1" applyAlignment="1">
      <alignment horizontal="center"/>
    </xf>
    <xf numFmtId="173" fontId="8" fillId="0" borderId="7" xfId="0" applyNumberFormat="1" applyFont="1" applyBorder="1" applyAlignment="1">
      <alignment horizontal="center"/>
    </xf>
    <xf numFmtId="173" fontId="9" fillId="0" borderId="1" xfId="0" applyNumberFormat="1" applyFont="1" applyBorder="1" applyAlignment="1">
      <alignment horizontal="center"/>
    </xf>
    <xf numFmtId="0" fontId="8" fillId="0" borderId="4" xfId="1" applyNumberFormat="1" applyFont="1" applyBorder="1" applyAlignment="1">
      <alignment horizontal="center"/>
    </xf>
    <xf numFmtId="0" fontId="8" fillId="0" borderId="7" xfId="1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7" fontId="7" fillId="2" borderId="53" xfId="0" applyNumberFormat="1" applyFont="1" applyFill="1" applyBorder="1" applyAlignment="1">
      <alignment horizontal="center" wrapText="1"/>
    </xf>
    <xf numFmtId="167" fontId="8" fillId="0" borderId="5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167" fontId="8" fillId="0" borderId="53" xfId="0" applyNumberFormat="1" applyFont="1" applyBorder="1" applyAlignment="1">
      <alignment horizontal="center"/>
    </xf>
    <xf numFmtId="168" fontId="8" fillId="0" borderId="6" xfId="0" applyNumberFormat="1" applyFont="1" applyBorder="1" applyAlignment="1">
      <alignment horizontal="center"/>
    </xf>
    <xf numFmtId="168" fontId="8" fillId="0" borderId="8" xfId="0" applyNumberFormat="1" applyFont="1" applyBorder="1" applyAlignment="1">
      <alignment horizontal="center"/>
    </xf>
    <xf numFmtId="168" fontId="8" fillId="0" borderId="3" xfId="0" applyNumberFormat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9" fontId="8" fillId="0" borderId="11" xfId="0" applyNumberFormat="1" applyFont="1" applyBorder="1"/>
    <xf numFmtId="169" fontId="8" fillId="0" borderId="12" xfId="0" applyNumberFormat="1" applyFont="1" applyBorder="1"/>
    <xf numFmtId="17" fontId="34" fillId="10" borderId="9" xfId="0" applyNumberFormat="1" applyFont="1" applyFill="1" applyBorder="1" applyAlignment="1">
      <alignment vertical="center"/>
    </xf>
    <xf numFmtId="167" fontId="20" fillId="3" borderId="75" xfId="0" applyNumberFormat="1" applyFont="1" applyFill="1" applyBorder="1" applyAlignment="1" applyProtection="1">
      <alignment vertical="center"/>
      <protection locked="0"/>
    </xf>
    <xf numFmtId="167" fontId="20" fillId="3" borderId="76" xfId="0" applyNumberFormat="1" applyFont="1" applyFill="1" applyBorder="1" applyAlignment="1" applyProtection="1">
      <alignment vertical="center"/>
      <protection locked="0"/>
    </xf>
    <xf numFmtId="167" fontId="20" fillId="3" borderId="77" xfId="0" applyNumberFormat="1" applyFont="1" applyFill="1" applyBorder="1" applyAlignment="1" applyProtection="1">
      <alignment vertical="center"/>
      <protection locked="0"/>
    </xf>
    <xf numFmtId="1" fontId="20" fillId="11" borderId="10" xfId="0" applyNumberFormat="1" applyFont="1" applyFill="1" applyBorder="1" applyAlignment="1" applyProtection="1">
      <alignment horizontal="center"/>
      <protection locked="0"/>
    </xf>
    <xf numFmtId="167" fontId="20" fillId="11" borderId="10" xfId="0" applyNumberFormat="1" applyFont="1" applyFill="1" applyBorder="1" applyAlignment="1" applyProtection="1">
      <alignment horizontal="center"/>
      <protection locked="0"/>
    </xf>
    <xf numFmtId="167" fontId="8" fillId="19" borderId="10" xfId="0" applyNumberFormat="1" applyFont="1" applyFill="1" applyBorder="1" applyAlignment="1">
      <alignment horizontal="center"/>
    </xf>
    <xf numFmtId="167" fontId="20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20" fillId="3" borderId="11" xfId="0" applyFont="1" applyFill="1" applyBorder="1" applyAlignment="1" applyProtection="1">
      <alignment horizontal="left"/>
      <protection locked="0"/>
    </xf>
    <xf numFmtId="0" fontId="20" fillId="3" borderId="12" xfId="0" applyFont="1" applyFill="1" applyBorder="1" applyAlignment="1" applyProtection="1">
      <alignment horizontal="left"/>
      <protection locked="0"/>
    </xf>
    <xf numFmtId="0" fontId="7" fillId="12" borderId="10" xfId="0" applyFont="1" applyFill="1" applyBorder="1" applyAlignment="1">
      <alignment horizontal="left" wrapText="1"/>
    </xf>
    <xf numFmtId="17" fontId="7" fillId="12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9" fontId="20" fillId="11" borderId="10" xfId="2" applyFont="1" applyFill="1" applyBorder="1" applyAlignment="1" applyProtection="1">
      <alignment horizontal="center"/>
      <protection locked="0"/>
    </xf>
    <xf numFmtId="0" fontId="28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10" xfId="0" applyFont="1" applyFill="1" applyBorder="1" applyAlignment="1" applyProtection="1">
      <alignment horizontal="center" wrapText="1"/>
      <protection locked="0"/>
    </xf>
    <xf numFmtId="1" fontId="20" fillId="3" borderId="10" xfId="0" applyNumberFormat="1" applyFont="1" applyFill="1" applyBorder="1" applyAlignment="1" applyProtection="1">
      <alignment horizontal="center" wrapText="1"/>
      <protection locked="0"/>
    </xf>
    <xf numFmtId="0" fontId="7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wrapText="1"/>
      <protection locked="0"/>
    </xf>
    <xf numFmtId="167" fontId="20" fillId="11" borderId="10" xfId="0" applyNumberFormat="1" applyFont="1" applyFill="1" applyBorder="1" applyAlignment="1" applyProtection="1">
      <alignment horizontal="center" wrapText="1"/>
      <protection locked="0"/>
    </xf>
    <xf numFmtId="0" fontId="7" fillId="2" borderId="36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7" fillId="12" borderId="37" xfId="0" applyFont="1" applyFill="1" applyBorder="1" applyAlignment="1">
      <alignment horizontal="center" vertical="center" wrapText="1"/>
    </xf>
    <xf numFmtId="0" fontId="7" fillId="12" borderId="36" xfId="0" applyFont="1" applyFill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 wrapText="1"/>
    </xf>
    <xf numFmtId="17" fontId="7" fillId="2" borderId="0" xfId="0" applyNumberFormat="1" applyFont="1" applyFill="1" applyAlignment="1">
      <alignment horizontal="center" vertical="center"/>
    </xf>
    <xf numFmtId="17" fontId="7" fillId="2" borderId="41" xfId="0" applyNumberFormat="1" applyFont="1" applyFill="1" applyBorder="1" applyAlignment="1">
      <alignment horizontal="center" vertical="center"/>
    </xf>
    <xf numFmtId="17" fontId="41" fillId="2" borderId="52" xfId="0" applyNumberFormat="1" applyFont="1" applyFill="1" applyBorder="1" applyAlignment="1" applyProtection="1">
      <alignment horizontal="center"/>
      <protection locked="0"/>
    </xf>
    <xf numFmtId="17" fontId="41" fillId="2" borderId="53" xfId="0" applyNumberFormat="1" applyFont="1" applyFill="1" applyBorder="1" applyAlignment="1" applyProtection="1">
      <alignment horizontal="center"/>
      <protection locked="0"/>
    </xf>
    <xf numFmtId="17" fontId="41" fillId="2" borderId="54" xfId="0" applyNumberFormat="1" applyFont="1" applyFill="1" applyBorder="1" applyAlignment="1" applyProtection="1">
      <alignment horizontal="center"/>
      <protection locked="0"/>
    </xf>
    <xf numFmtId="17" fontId="41" fillId="8" borderId="52" xfId="0" applyNumberFormat="1" applyFont="1" applyFill="1" applyBorder="1" applyAlignment="1" applyProtection="1">
      <alignment horizontal="center"/>
      <protection locked="0"/>
    </xf>
    <xf numFmtId="17" fontId="41" fillId="8" borderId="53" xfId="0" applyNumberFormat="1" applyFont="1" applyFill="1" applyBorder="1" applyAlignment="1" applyProtection="1">
      <alignment horizontal="center"/>
      <protection locked="0"/>
    </xf>
    <xf numFmtId="17" fontId="41" fillId="8" borderId="54" xfId="0" applyNumberFormat="1" applyFont="1" applyFill="1" applyBorder="1" applyAlignment="1" applyProtection="1">
      <alignment horizontal="center"/>
      <protection locked="0"/>
    </xf>
    <xf numFmtId="167" fontId="8" fillId="0" borderId="5" xfId="0" applyNumberFormat="1" applyFont="1" applyBorder="1" applyAlignment="1">
      <alignment horizontal="center" vertical="top" wrapText="1"/>
    </xf>
    <xf numFmtId="167" fontId="8" fillId="0" borderId="6" xfId="0" applyNumberFormat="1" applyFont="1" applyBorder="1" applyAlignment="1">
      <alignment horizontal="center" vertical="top" wrapText="1"/>
    </xf>
    <xf numFmtId="167" fontId="8" fillId="0" borderId="0" xfId="0" applyNumberFormat="1" applyFont="1" applyAlignment="1">
      <alignment horizontal="center" vertical="top" wrapText="1"/>
    </xf>
    <xf numFmtId="167" fontId="8" fillId="0" borderId="8" xfId="0" applyNumberFormat="1" applyFont="1" applyBorder="1" applyAlignment="1">
      <alignment horizontal="center" vertical="top" wrapText="1"/>
    </xf>
    <xf numFmtId="167" fontId="8" fillId="0" borderId="53" xfId="0" applyNumberFormat="1" applyFont="1" applyBorder="1" applyAlignment="1">
      <alignment horizontal="center" vertical="top" wrapText="1"/>
    </xf>
    <xf numFmtId="167" fontId="8" fillId="0" borderId="54" xfId="0" applyNumberFormat="1" applyFont="1" applyBorder="1" applyAlignment="1">
      <alignment horizontal="center" vertical="top" wrapText="1"/>
    </xf>
    <xf numFmtId="167" fontId="9" fillId="0" borderId="2" xfId="0" applyNumberFormat="1" applyFont="1" applyBorder="1" applyAlignment="1">
      <alignment horizontal="center" vertical="top" wrapText="1"/>
    </xf>
    <xf numFmtId="167" fontId="9" fillId="0" borderId="3" xfId="0" applyNumberFormat="1" applyFont="1" applyBorder="1" applyAlignment="1">
      <alignment horizontal="center" vertical="top" wrapText="1"/>
    </xf>
    <xf numFmtId="17" fontId="41" fillId="16" borderId="52" xfId="0" applyNumberFormat="1" applyFont="1" applyFill="1" applyBorder="1" applyAlignment="1" applyProtection="1">
      <alignment horizontal="center"/>
      <protection locked="0"/>
    </xf>
    <xf numFmtId="17" fontId="41" fillId="16" borderId="53" xfId="0" applyNumberFormat="1" applyFont="1" applyFill="1" applyBorder="1" applyAlignment="1" applyProtection="1">
      <alignment horizontal="center"/>
      <protection locked="0"/>
    </xf>
    <xf numFmtId="17" fontId="41" fillId="16" borderId="54" xfId="0" applyNumberFormat="1" applyFont="1" applyFill="1" applyBorder="1" applyAlignment="1" applyProtection="1">
      <alignment horizontal="center"/>
      <protection locked="0"/>
    </xf>
    <xf numFmtId="167" fontId="8" fillId="0" borderId="78" xfId="0" applyNumberFormat="1" applyFont="1" applyBorder="1" applyAlignment="1">
      <alignment horizontal="center" vertical="top" wrapText="1"/>
    </xf>
    <xf numFmtId="167" fontId="8" fillId="0" borderId="80" xfId="0" applyNumberFormat="1" applyFont="1" applyBorder="1" applyAlignment="1">
      <alignment horizontal="center" vertical="top" wrapText="1"/>
    </xf>
    <xf numFmtId="167" fontId="8" fillId="0" borderId="79" xfId="0" applyNumberFormat="1" applyFont="1" applyBorder="1" applyAlignment="1">
      <alignment horizontal="center" vertical="top" wrapText="1"/>
    </xf>
    <xf numFmtId="15" fontId="34" fillId="0" borderId="0" xfId="0" applyNumberFormat="1" applyFont="1" applyAlignment="1">
      <alignment vertical="center"/>
    </xf>
    <xf numFmtId="17" fontId="17" fillId="0" borderId="0" xfId="0" applyNumberFormat="1" applyFont="1" applyAlignment="1">
      <alignment vertical="center"/>
    </xf>
    <xf numFmtId="15" fontId="20" fillId="11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horizontal="center" vertical="center" wrapText="1"/>
    </xf>
    <xf numFmtId="167" fontId="8" fillId="0" borderId="10" xfId="0" applyNumberFormat="1" applyFont="1" applyBorder="1" applyAlignment="1">
      <alignment horizontal="center" vertical="center" wrapText="1"/>
    </xf>
    <xf numFmtId="17" fontId="3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7" fontId="34" fillId="10" borderId="9" xfId="0" applyNumberFormat="1" applyFont="1" applyFill="1" applyBorder="1" applyAlignment="1">
      <alignment horizontal="left" vertical="center"/>
    </xf>
    <xf numFmtId="167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167" fontId="7" fillId="13" borderId="10" xfId="0" applyNumberFormat="1" applyFont="1" applyFill="1" applyBorder="1" applyAlignment="1" applyProtection="1">
      <alignment horizontal="left"/>
      <protection locked="0"/>
    </xf>
    <xf numFmtId="167" fontId="20" fillId="13" borderId="12" xfId="0" applyNumberFormat="1" applyFont="1" applyFill="1" applyBorder="1" applyAlignment="1" applyProtection="1">
      <alignment horizontal="center"/>
      <protection locked="0"/>
    </xf>
    <xf numFmtId="167" fontId="20" fillId="13" borderId="0" xfId="0" applyNumberFormat="1" applyFont="1" applyFill="1" applyAlignment="1" applyProtection="1">
      <alignment vertical="center"/>
      <protection locked="0"/>
    </xf>
    <xf numFmtId="0" fontId="28" fillId="13" borderId="0" xfId="0" applyFont="1" applyFill="1"/>
    <xf numFmtId="0" fontId="28" fillId="0" borderId="0" xfId="0" applyFont="1" applyAlignment="1">
      <alignment vertical="center"/>
    </xf>
    <xf numFmtId="1" fontId="20" fillId="11" borderId="1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67" fontId="8" fillId="13" borderId="10" xfId="0" applyNumberFormat="1" applyFont="1" applyFill="1" applyBorder="1" applyAlignment="1">
      <alignment horizontal="center" vertical="center" wrapText="1"/>
    </xf>
    <xf numFmtId="167" fontId="9" fillId="20" borderId="10" xfId="0" applyNumberFormat="1" applyFont="1" applyFill="1" applyBorder="1" applyAlignment="1" applyProtection="1">
      <alignment horizontal="left"/>
      <protection locked="0"/>
    </xf>
    <xf numFmtId="167" fontId="8" fillId="20" borderId="10" xfId="0" applyNumberFormat="1" applyFont="1" applyFill="1" applyBorder="1" applyAlignment="1" applyProtection="1">
      <alignment horizontal="left"/>
      <protection locked="0"/>
    </xf>
    <xf numFmtId="165" fontId="8" fillId="0" borderId="26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165" fontId="20" fillId="11" borderId="10" xfId="0" applyNumberFormat="1" applyFont="1" applyFill="1" applyBorder="1" applyAlignment="1" applyProtection="1">
      <alignment horizontal="center"/>
      <protection locked="0"/>
    </xf>
    <xf numFmtId="165" fontId="8" fillId="14" borderId="27" xfId="0" applyNumberFormat="1" applyFont="1" applyFill="1" applyBorder="1" applyAlignment="1">
      <alignment horizontal="center"/>
    </xf>
    <xf numFmtId="165" fontId="8" fillId="0" borderId="0" xfId="0" applyNumberFormat="1" applyFont="1"/>
    <xf numFmtId="165" fontId="21" fillId="0" borderId="0" xfId="0" applyNumberFormat="1" applyFont="1" applyAlignment="1">
      <alignment horizontal="center"/>
    </xf>
    <xf numFmtId="165" fontId="21" fillId="0" borderId="0" xfId="0" applyNumberFormat="1" applyFont="1"/>
    <xf numFmtId="165" fontId="20" fillId="11" borderId="10" xfId="0" applyNumberFormat="1" applyFont="1" applyFill="1" applyBorder="1" applyAlignment="1" applyProtection="1">
      <alignment horizontal="center" vertical="center"/>
      <protection locked="0"/>
    </xf>
    <xf numFmtId="165" fontId="25" fillId="0" borderId="26" xfId="0" applyNumberFormat="1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165" fontId="25" fillId="14" borderId="27" xfId="0" applyNumberFormat="1" applyFont="1" applyFill="1" applyBorder="1" applyAlignment="1">
      <alignment horizontal="center"/>
    </xf>
    <xf numFmtId="0" fontId="8" fillId="3" borderId="10" xfId="0" applyFont="1" applyFill="1" applyBorder="1" applyAlignment="1" applyProtection="1">
      <alignment horizontal="center" wrapText="1"/>
      <protection locked="0"/>
    </xf>
    <xf numFmtId="0" fontId="8" fillId="11" borderId="10" xfId="0" applyFont="1" applyFill="1" applyBorder="1" applyAlignment="1" applyProtection="1">
      <alignment horizontal="center" wrapText="1"/>
      <protection locked="0"/>
    </xf>
    <xf numFmtId="15" fontId="34" fillId="10" borderId="9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 applyProtection="1">
      <alignment horizontal="center"/>
      <protection locked="0"/>
    </xf>
    <xf numFmtId="167" fontId="9" fillId="20" borderId="10" xfId="0" applyNumberFormat="1" applyFont="1" applyFill="1" applyBorder="1" applyAlignment="1" applyProtection="1">
      <alignment horizontal="center"/>
      <protection locked="0"/>
    </xf>
    <xf numFmtId="167" fontId="8" fillId="20" borderId="10" xfId="0" applyNumberFormat="1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7" fontId="7" fillId="13" borderId="12" xfId="0" applyNumberFormat="1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167" fontId="9" fillId="21" borderId="10" xfId="0" applyNumberFormat="1" applyFont="1" applyFill="1" applyBorder="1" applyAlignment="1" applyProtection="1">
      <alignment horizontal="left"/>
      <protection locked="0"/>
    </xf>
    <xf numFmtId="167" fontId="9" fillId="21" borderId="10" xfId="0" applyNumberFormat="1" applyFont="1" applyFill="1" applyBorder="1" applyAlignment="1" applyProtection="1">
      <alignment horizontal="center"/>
      <protection locked="0"/>
    </xf>
    <xf numFmtId="167" fontId="8" fillId="21" borderId="10" xfId="0" applyNumberFormat="1" applyFont="1" applyFill="1" applyBorder="1" applyAlignment="1" applyProtection="1">
      <alignment horizontal="left"/>
      <protection locked="0"/>
    </xf>
    <xf numFmtId="167" fontId="8" fillId="21" borderId="10" xfId="0" applyNumberFormat="1" applyFont="1" applyFill="1" applyBorder="1" applyAlignment="1" applyProtection="1">
      <alignment horizontal="center"/>
      <protection locked="0"/>
    </xf>
    <xf numFmtId="0" fontId="20" fillId="15" borderId="39" xfId="0" applyFont="1" applyFill="1" applyBorder="1" applyAlignment="1" applyProtection="1">
      <alignment horizontal="center" vertical="center" wrapText="1"/>
      <protection locked="0"/>
    </xf>
    <xf numFmtId="167" fontId="20" fillId="3" borderId="10" xfId="0" applyNumberFormat="1" applyFont="1" applyFill="1" applyBorder="1" applyAlignment="1" applyProtection="1">
      <alignment horizontal="left" vertical="center" wrapText="1"/>
      <protection locked="0"/>
    </xf>
    <xf numFmtId="17" fontId="7" fillId="12" borderId="40" xfId="0" applyNumberFormat="1" applyFont="1" applyFill="1" applyBorder="1" applyAlignment="1">
      <alignment horizontal="center" vertical="center"/>
    </xf>
    <xf numFmtId="17" fontId="7" fillId="12" borderId="0" xfId="0" applyNumberFormat="1" applyFont="1" applyFill="1" applyAlignment="1">
      <alignment horizontal="center" vertical="center"/>
    </xf>
    <xf numFmtId="167" fontId="8" fillId="0" borderId="10" xfId="0" applyNumberFormat="1" applyFont="1" applyBorder="1" applyAlignment="1">
      <alignment horizontal="left" vertical="center"/>
    </xf>
    <xf numFmtId="9" fontId="20" fillId="11" borderId="10" xfId="2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9" fontId="20" fillId="13" borderId="10" xfId="2" applyFont="1" applyFill="1" applyBorder="1" applyAlignment="1">
      <alignment horizontal="center"/>
    </xf>
    <xf numFmtId="167" fontId="9" fillId="20" borderId="10" xfId="0" applyNumberFormat="1" applyFont="1" applyFill="1" applyBorder="1" applyAlignment="1" applyProtection="1">
      <alignment horizontal="left" vertical="center" wrapText="1"/>
      <protection locked="0"/>
    </xf>
    <xf numFmtId="15" fontId="16" fillId="1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7" fontId="7" fillId="4" borderId="0" xfId="0" applyNumberFormat="1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165" fontId="8" fillId="0" borderId="10" xfId="0" applyNumberFormat="1" applyFont="1" applyBorder="1"/>
    <xf numFmtId="1" fontId="20" fillId="11" borderId="11" xfId="0" applyNumberFormat="1" applyFont="1" applyFill="1" applyBorder="1" applyAlignment="1" applyProtection="1">
      <alignment horizontal="center"/>
      <protection locked="0"/>
    </xf>
    <xf numFmtId="1" fontId="20" fillId="11" borderId="85" xfId="0" applyNumberFormat="1" applyFont="1" applyFill="1" applyBorder="1" applyAlignment="1" applyProtection="1">
      <alignment horizontal="center"/>
      <protection locked="0"/>
    </xf>
    <xf numFmtId="167" fontId="20" fillId="3" borderId="56" xfId="0" applyNumberFormat="1" applyFont="1" applyFill="1" applyBorder="1" applyAlignment="1" applyProtection="1">
      <alignment vertical="center" wrapText="1"/>
      <protection locked="0"/>
    </xf>
    <xf numFmtId="167" fontId="20" fillId="3" borderId="55" xfId="0" applyNumberFormat="1" applyFont="1" applyFill="1" applyBorder="1" applyAlignment="1" applyProtection="1">
      <alignment vertical="center" wrapText="1"/>
      <protection locked="0"/>
    </xf>
    <xf numFmtId="167" fontId="20" fillId="3" borderId="57" xfId="0" applyNumberFormat="1" applyFont="1" applyFill="1" applyBorder="1" applyAlignment="1" applyProtection="1">
      <alignment vertical="center" wrapText="1"/>
      <protection locked="0"/>
    </xf>
    <xf numFmtId="167" fontId="20" fillId="3" borderId="58" xfId="0" applyNumberFormat="1" applyFont="1" applyFill="1" applyBorder="1" applyAlignment="1" applyProtection="1">
      <alignment vertical="center" wrapText="1"/>
      <protection locked="0"/>
    </xf>
    <xf numFmtId="167" fontId="20" fillId="3" borderId="0" xfId="0" applyNumberFormat="1" applyFont="1" applyFill="1" applyAlignment="1" applyProtection="1">
      <alignment vertical="center" wrapText="1"/>
      <protection locked="0"/>
    </xf>
    <xf numFmtId="167" fontId="20" fillId="3" borderId="59" xfId="0" applyNumberFormat="1" applyFont="1" applyFill="1" applyBorder="1" applyAlignment="1" applyProtection="1">
      <alignment vertical="center" wrapText="1"/>
      <protection locked="0"/>
    </xf>
    <xf numFmtId="167" fontId="20" fillId="3" borderId="60" xfId="0" applyNumberFormat="1" applyFont="1" applyFill="1" applyBorder="1" applyAlignment="1" applyProtection="1">
      <alignment vertical="center" wrapText="1"/>
      <protection locked="0"/>
    </xf>
    <xf numFmtId="167" fontId="20" fillId="3" borderId="61" xfId="0" applyNumberFormat="1" applyFont="1" applyFill="1" applyBorder="1" applyAlignment="1" applyProtection="1">
      <alignment vertical="center" wrapText="1"/>
      <protection locked="0"/>
    </xf>
    <xf numFmtId="167" fontId="20" fillId="3" borderId="62" xfId="0" applyNumberFormat="1" applyFont="1" applyFill="1" applyBorder="1" applyAlignment="1" applyProtection="1">
      <alignment vertical="center" wrapText="1"/>
      <protection locked="0"/>
    </xf>
    <xf numFmtId="1" fontId="8" fillId="0" borderId="10" xfId="1" applyNumberFormat="1" applyFont="1" applyBorder="1" applyAlignment="1">
      <alignment horizontal="center"/>
    </xf>
    <xf numFmtId="0" fontId="7" fillId="12" borderId="102" xfId="0" applyFont="1" applyFill="1" applyBorder="1" applyAlignment="1">
      <alignment horizontal="center" vertical="center" wrapText="1"/>
    </xf>
    <xf numFmtId="0" fontId="9" fillId="0" borderId="103" xfId="0" applyFont="1" applyBorder="1"/>
    <xf numFmtId="0" fontId="7" fillId="22" borderId="81" xfId="0" applyFont="1" applyFill="1" applyBorder="1" applyAlignment="1">
      <alignment horizontal="center" vertical="center" wrapText="1"/>
    </xf>
    <xf numFmtId="0" fontId="8" fillId="0" borderId="22" xfId="0" quotePrefix="1" applyFont="1" applyBorder="1" applyAlignment="1">
      <alignment horizontal="center"/>
    </xf>
    <xf numFmtId="1" fontId="25" fillId="0" borderId="26" xfId="0" applyNumberFormat="1" applyFont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42" fillId="0" borderId="0" xfId="0" applyFont="1"/>
    <xf numFmtId="15" fontId="34" fillId="10" borderId="0" xfId="0" applyNumberFormat="1" applyFont="1" applyFill="1" applyAlignment="1">
      <alignment horizontal="center" vertical="center"/>
    </xf>
    <xf numFmtId="1" fontId="41" fillId="2" borderId="78" xfId="0" applyNumberFormat="1" applyFont="1" applyFill="1" applyBorder="1" applyAlignment="1" applyProtection="1">
      <alignment horizontal="center" vertical="center" wrapText="1"/>
      <protection locked="0"/>
    </xf>
    <xf numFmtId="1" fontId="41" fillId="2" borderId="79" xfId="0" applyNumberFormat="1" applyFont="1" applyFill="1" applyBorder="1" applyAlignment="1" applyProtection="1">
      <alignment horizontal="center" vertical="center" wrapText="1"/>
      <protection locked="0"/>
    </xf>
    <xf numFmtId="15" fontId="17" fillId="2" borderId="9" xfId="0" applyNumberFormat="1" applyFont="1" applyFill="1" applyBorder="1" applyAlignment="1">
      <alignment vertical="center"/>
    </xf>
    <xf numFmtId="1" fontId="8" fillId="6" borderId="49" xfId="1" applyNumberFormat="1" applyFont="1" applyFill="1" applyBorder="1" applyAlignment="1" applyProtection="1">
      <alignment horizontal="center" vertical="center"/>
    </xf>
    <xf numFmtId="1" fontId="8" fillId="6" borderId="10" xfId="0" applyNumberFormat="1" applyFont="1" applyFill="1" applyBorder="1" applyAlignment="1">
      <alignment horizontal="right"/>
    </xf>
    <xf numFmtId="1" fontId="8" fillId="0" borderId="49" xfId="1" applyNumberFormat="1" applyFont="1" applyFill="1" applyBorder="1" applyAlignment="1" applyProtection="1">
      <alignment horizontal="center" vertical="center"/>
    </xf>
    <xf numFmtId="1" fontId="9" fillId="0" borderId="49" xfId="1" applyNumberFormat="1" applyFont="1" applyFill="1" applyBorder="1" applyAlignment="1" applyProtection="1">
      <alignment horizontal="center" vertical="center"/>
    </xf>
    <xf numFmtId="165" fontId="20" fillId="3" borderId="10" xfId="0" applyNumberFormat="1" applyFont="1" applyFill="1" applyBorder="1" applyAlignment="1" applyProtection="1">
      <alignment horizontal="center"/>
      <protection locked="0"/>
    </xf>
    <xf numFmtId="165" fontId="30" fillId="3" borderId="10" xfId="0" applyNumberFormat="1" applyFont="1" applyFill="1" applyBorder="1" applyAlignment="1" applyProtection="1">
      <alignment horizontal="center"/>
      <protection locked="0"/>
    </xf>
    <xf numFmtId="165" fontId="8" fillId="0" borderId="4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21" fillId="0" borderId="0" xfId="0" applyNumberFormat="1" applyFont="1" applyAlignment="1">
      <alignment vertical="top"/>
    </xf>
    <xf numFmtId="165" fontId="8" fillId="0" borderId="7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17" borderId="10" xfId="0" applyNumberFormat="1" applyFont="1" applyFill="1" applyBorder="1" applyAlignment="1">
      <alignment horizontal="center"/>
    </xf>
    <xf numFmtId="15" fontId="34" fillId="10" borderId="0" xfId="0" applyNumberFormat="1" applyFont="1" applyFill="1" applyAlignment="1">
      <alignment horizontal="left" vertical="center"/>
    </xf>
    <xf numFmtId="170" fontId="20" fillId="3" borderId="10" xfId="0" applyNumberFormat="1" applyFont="1" applyFill="1" applyBorder="1" applyAlignment="1" applyProtection="1">
      <alignment horizontal="left" vertical="center"/>
      <protection locked="0"/>
    </xf>
    <xf numFmtId="167" fontId="9" fillId="0" borderId="51" xfId="0" applyNumberFormat="1" applyFont="1" applyBorder="1" applyAlignment="1">
      <alignment horizontal="center" vertical="top" wrapText="1"/>
    </xf>
    <xf numFmtId="170" fontId="20" fillId="3" borderId="10" xfId="0" applyNumberFormat="1" applyFont="1" applyFill="1" applyBorder="1" applyAlignment="1" applyProtection="1">
      <alignment horizontal="left"/>
      <protection locked="0"/>
    </xf>
    <xf numFmtId="174" fontId="8" fillId="0" borderId="10" xfId="0" applyNumberFormat="1" applyFont="1" applyBorder="1"/>
    <xf numFmtId="0" fontId="20" fillId="23" borderId="104" xfId="0" applyFont="1" applyFill="1" applyBorder="1" applyAlignment="1" applyProtection="1">
      <alignment horizontal="center"/>
      <protection locked="0"/>
    </xf>
    <xf numFmtId="0" fontId="20" fillId="23" borderId="104" xfId="0" applyFont="1" applyFill="1" applyBorder="1" applyProtection="1">
      <protection locked="0"/>
    </xf>
    <xf numFmtId="0" fontId="20" fillId="23" borderId="105" xfId="0" applyFont="1" applyFill="1" applyBorder="1" applyProtection="1">
      <protection locked="0"/>
    </xf>
    <xf numFmtId="0" fontId="8" fillId="23" borderId="104" xfId="0" applyFont="1" applyFill="1" applyBorder="1" applyAlignment="1" applyProtection="1">
      <alignment horizontal="center"/>
      <protection locked="0"/>
    </xf>
    <xf numFmtId="0" fontId="8" fillId="23" borderId="104" xfId="0" applyFont="1" applyFill="1" applyBorder="1" applyAlignment="1" applyProtection="1">
      <alignment horizontal="center" wrapText="1"/>
      <protection locked="0"/>
    </xf>
    <xf numFmtId="0" fontId="20" fillId="23" borderId="104" xfId="0" applyFont="1" applyFill="1" applyBorder="1" applyAlignment="1" applyProtection="1">
      <alignment horizontal="center" wrapText="1"/>
      <protection locked="0"/>
    </xf>
    <xf numFmtId="164" fontId="20" fillId="23" borderId="104" xfId="0" applyNumberFormat="1" applyFont="1" applyFill="1" applyBorder="1" applyAlignment="1" applyProtection="1">
      <alignment horizontal="center"/>
      <protection locked="0"/>
    </xf>
    <xf numFmtId="164" fontId="20" fillId="23" borderId="104" xfId="0" applyNumberFormat="1" applyFont="1" applyFill="1" applyBorder="1" applyAlignment="1" applyProtection="1">
      <alignment horizontal="center" wrapText="1"/>
      <protection locked="0"/>
    </xf>
    <xf numFmtId="0" fontId="20" fillId="23" borderId="106" xfId="0" applyFont="1" applyFill="1" applyBorder="1" applyAlignment="1" applyProtection="1">
      <alignment horizontal="center"/>
      <protection locked="0"/>
    </xf>
    <xf numFmtId="0" fontId="20" fillId="23" borderId="104" xfId="0" applyFont="1" applyFill="1" applyBorder="1" applyAlignment="1" applyProtection="1">
      <alignment horizontal="center" vertical="center" wrapText="1"/>
      <protection locked="0"/>
    </xf>
    <xf numFmtId="0" fontId="20" fillId="23" borderId="104" xfId="0" applyFont="1" applyFill="1" applyBorder="1" applyAlignment="1" applyProtection="1">
      <alignment horizontal="left" vertical="center" wrapText="1"/>
      <protection locked="0"/>
    </xf>
    <xf numFmtId="166" fontId="9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5" fontId="20" fillId="3" borderId="50" xfId="0" applyNumberFormat="1" applyFont="1" applyFill="1" applyBorder="1" applyAlignment="1" applyProtection="1">
      <alignment horizontal="center"/>
      <protection locked="0"/>
    </xf>
    <xf numFmtId="165" fontId="20" fillId="3" borderId="111" xfId="0" applyNumberFormat="1" applyFont="1" applyFill="1" applyBorder="1" applyAlignment="1" applyProtection="1">
      <alignment horizontal="center"/>
      <protection locked="0"/>
    </xf>
    <xf numFmtId="1" fontId="9" fillId="0" borderId="1" xfId="0" applyNumberFormat="1" applyFont="1" applyBorder="1" applyAlignment="1">
      <alignment horizontal="center"/>
    </xf>
    <xf numFmtId="164" fontId="20" fillId="3" borderId="10" xfId="0" applyNumberFormat="1" applyFont="1" applyFill="1" applyBorder="1" applyAlignment="1" applyProtection="1">
      <alignment horizontal="center"/>
      <protection locked="0"/>
    </xf>
    <xf numFmtId="0" fontId="30" fillId="15" borderId="38" xfId="0" applyFont="1" applyFill="1" applyBorder="1" applyAlignment="1" applyProtection="1">
      <alignment horizontal="right" vertical="center" wrapText="1"/>
      <protection locked="0"/>
    </xf>
    <xf numFmtId="0" fontId="30" fillId="15" borderId="39" xfId="0" applyFont="1" applyFill="1" applyBorder="1" applyAlignment="1" applyProtection="1">
      <alignment horizontal="right" vertical="center" wrapText="1"/>
      <protection locked="0"/>
    </xf>
    <xf numFmtId="14" fontId="30" fillId="15" borderId="32" xfId="0" applyNumberFormat="1" applyFont="1" applyFill="1" applyBorder="1" applyAlignment="1" applyProtection="1">
      <alignment horizontal="right" vertical="center" wrapText="1"/>
      <protection locked="0"/>
    </xf>
    <xf numFmtId="14" fontId="30" fillId="15" borderId="34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3" xfId="0" applyFont="1" applyBorder="1" applyAlignment="1">
      <alignment horizontal="left" vertical="center"/>
    </xf>
    <xf numFmtId="0" fontId="8" fillId="0" borderId="64" xfId="0" applyFont="1" applyBorder="1" applyAlignment="1">
      <alignment horizontal="left" vertical="center"/>
    </xf>
    <xf numFmtId="0" fontId="8" fillId="0" borderId="65" xfId="0" applyFont="1" applyBorder="1" applyAlignment="1">
      <alignment horizontal="left" vertical="center"/>
    </xf>
    <xf numFmtId="0" fontId="7" fillId="2" borderId="46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167" fontId="9" fillId="21" borderId="100" xfId="0" applyNumberFormat="1" applyFont="1" applyFill="1" applyBorder="1" applyAlignment="1" applyProtection="1">
      <alignment horizontal="left" vertical="center"/>
      <protection locked="0"/>
    </xf>
    <xf numFmtId="167" fontId="9" fillId="21" borderId="101" xfId="0" applyNumberFormat="1" applyFont="1" applyFill="1" applyBorder="1" applyAlignment="1" applyProtection="1">
      <alignment horizontal="left" vertical="center"/>
      <protection locked="0"/>
    </xf>
    <xf numFmtId="167" fontId="20" fillId="11" borderId="19" xfId="0" applyNumberFormat="1" applyFont="1" applyFill="1" applyBorder="1" applyAlignment="1" applyProtection="1">
      <alignment horizontal="center"/>
      <protection locked="0"/>
    </xf>
    <xf numFmtId="167" fontId="20" fillId="11" borderId="87" xfId="0" applyNumberFormat="1" applyFont="1" applyFill="1" applyBorder="1" applyAlignment="1" applyProtection="1">
      <alignment horizontal="center"/>
      <protection locked="0"/>
    </xf>
    <xf numFmtId="167" fontId="20" fillId="11" borderId="90" xfId="0" applyNumberFormat="1" applyFont="1" applyFill="1" applyBorder="1" applyAlignment="1" applyProtection="1">
      <alignment horizontal="center"/>
      <protection locked="0"/>
    </xf>
    <xf numFmtId="167" fontId="20" fillId="11" borderId="91" xfId="0" applyNumberFormat="1" applyFont="1" applyFill="1" applyBorder="1" applyAlignment="1" applyProtection="1">
      <alignment horizontal="center"/>
      <protection locked="0"/>
    </xf>
    <xf numFmtId="0" fontId="9" fillId="21" borderId="83" xfId="0" applyFont="1" applyFill="1" applyBorder="1" applyAlignment="1" applyProtection="1">
      <alignment horizontal="center" vertical="center"/>
      <protection locked="0"/>
    </xf>
    <xf numFmtId="0" fontId="9" fillId="21" borderId="84" xfId="0" applyFont="1" applyFill="1" applyBorder="1" applyAlignment="1" applyProtection="1">
      <alignment horizontal="center" vertical="center"/>
      <protection locked="0"/>
    </xf>
    <xf numFmtId="0" fontId="9" fillId="21" borderId="82" xfId="0" applyFont="1" applyFill="1" applyBorder="1" applyAlignment="1" applyProtection="1">
      <alignment horizontal="center" vertical="center"/>
      <protection locked="0"/>
    </xf>
    <xf numFmtId="167" fontId="20" fillId="11" borderId="21" xfId="0" applyNumberFormat="1" applyFont="1" applyFill="1" applyBorder="1" applyAlignment="1" applyProtection="1">
      <alignment horizontal="center"/>
      <protection locked="0"/>
    </xf>
    <xf numFmtId="167" fontId="20" fillId="11" borderId="89" xfId="0" applyNumberFormat="1" applyFont="1" applyFill="1" applyBorder="1" applyAlignment="1" applyProtection="1">
      <alignment horizontal="center"/>
      <protection locked="0"/>
    </xf>
    <xf numFmtId="167" fontId="20" fillId="11" borderId="86" xfId="0" applyNumberFormat="1" applyFont="1" applyFill="1" applyBorder="1" applyAlignment="1" applyProtection="1">
      <alignment horizontal="center"/>
      <protection locked="0"/>
    </xf>
    <xf numFmtId="167" fontId="20" fillId="11" borderId="110" xfId="0" applyNumberFormat="1" applyFont="1" applyFill="1" applyBorder="1" applyAlignment="1" applyProtection="1">
      <alignment horizontal="center"/>
      <protection locked="0"/>
    </xf>
    <xf numFmtId="167" fontId="20" fillId="11" borderId="109" xfId="0" applyNumberFormat="1" applyFont="1" applyFill="1" applyBorder="1" applyAlignment="1" applyProtection="1">
      <alignment horizontal="center"/>
      <protection locked="0"/>
    </xf>
    <xf numFmtId="167" fontId="20" fillId="11" borderId="88" xfId="0" applyNumberFormat="1" applyFont="1" applyFill="1" applyBorder="1" applyAlignment="1" applyProtection="1">
      <alignment horizontal="center"/>
      <protection locked="0"/>
    </xf>
    <xf numFmtId="167" fontId="20" fillId="11" borderId="112" xfId="0" applyNumberFormat="1" applyFont="1" applyFill="1" applyBorder="1" applyAlignment="1" applyProtection="1">
      <alignment horizontal="center"/>
      <protection locked="0"/>
    </xf>
    <xf numFmtId="167" fontId="20" fillId="11" borderId="11" xfId="0" applyNumberFormat="1" applyFont="1" applyFill="1" applyBorder="1" applyAlignment="1" applyProtection="1">
      <alignment horizontal="center"/>
      <protection locked="0"/>
    </xf>
    <xf numFmtId="167" fontId="20" fillId="11" borderId="13" xfId="0" applyNumberFormat="1" applyFont="1" applyFill="1" applyBorder="1" applyAlignment="1" applyProtection="1">
      <alignment horizontal="center"/>
      <protection locked="0"/>
    </xf>
    <xf numFmtId="0" fontId="9" fillId="24" borderId="107" xfId="0" applyFont="1" applyFill="1" applyBorder="1" applyAlignment="1" applyProtection="1">
      <alignment horizontal="center" vertical="center"/>
      <protection locked="0"/>
    </xf>
    <xf numFmtId="0" fontId="9" fillId="24" borderId="108" xfId="0" applyFont="1" applyFill="1" applyBorder="1" applyAlignment="1" applyProtection="1">
      <alignment horizontal="center" vertical="center"/>
      <protection locked="0"/>
    </xf>
    <xf numFmtId="167" fontId="20" fillId="3" borderId="5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0" xfId="0" applyNumberFormat="1" applyFont="1" applyFill="1" applyAlignment="1" applyProtection="1">
      <alignment horizontal="left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92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3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4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0" xfId="0" applyNumberFormat="1" applyFont="1" applyFill="1" applyAlignment="1" applyProtection="1">
      <alignment horizontal="center" vertical="center" wrapText="1"/>
      <protection locked="0"/>
    </xf>
    <xf numFmtId="167" fontId="20" fillId="3" borderId="9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99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6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5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7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0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1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62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70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1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2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3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4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5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6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77" xfId="0" applyNumberFormat="1" applyFont="1" applyFill="1" applyBorder="1" applyAlignment="1" applyProtection="1">
      <alignment horizontal="left" vertical="center" wrapText="1"/>
      <protection locked="0"/>
    </xf>
    <xf numFmtId="167" fontId="20" fillId="3" borderId="58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5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18" fillId="0" borderId="69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170" fontId="7" fillId="8" borderId="11" xfId="0" applyNumberFormat="1" applyFont="1" applyFill="1" applyBorder="1" applyAlignment="1" applyProtection="1">
      <alignment horizontal="center"/>
      <protection locked="0"/>
    </xf>
    <xf numFmtId="170" fontId="7" fillId="8" borderId="12" xfId="0" applyNumberFormat="1" applyFont="1" applyFill="1" applyBorder="1" applyAlignment="1" applyProtection="1">
      <alignment horizontal="center"/>
      <protection locked="0"/>
    </xf>
    <xf numFmtId="170" fontId="7" fillId="8" borderId="1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170" fontId="30" fillId="3" borderId="11" xfId="0" applyNumberFormat="1" applyFont="1" applyFill="1" applyBorder="1" applyAlignment="1" applyProtection="1">
      <alignment horizontal="center"/>
      <protection locked="0"/>
    </xf>
    <xf numFmtId="170" fontId="30" fillId="3" borderId="12" xfId="0" applyNumberFormat="1" applyFont="1" applyFill="1" applyBorder="1" applyAlignment="1" applyProtection="1">
      <alignment horizontal="center"/>
      <protection locked="0"/>
    </xf>
    <xf numFmtId="170" fontId="30" fillId="3" borderId="13" xfId="0" applyNumberFormat="1" applyFont="1" applyFill="1" applyBorder="1" applyAlignment="1" applyProtection="1">
      <alignment horizontal="center"/>
      <protection locked="0"/>
    </xf>
    <xf numFmtId="0" fontId="7" fillId="16" borderId="4" xfId="0" applyFont="1" applyFill="1" applyBorder="1" applyAlignment="1">
      <alignment horizontal="center"/>
    </xf>
    <xf numFmtId="0" fontId="7" fillId="16" borderId="5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17" fontId="7" fillId="8" borderId="4" xfId="0" applyNumberFormat="1" applyFont="1" applyFill="1" applyBorder="1" applyAlignment="1">
      <alignment horizontal="center"/>
    </xf>
    <xf numFmtId="17" fontId="7" fillId="8" borderId="5" xfId="0" applyNumberFormat="1" applyFont="1" applyFill="1" applyBorder="1" applyAlignment="1">
      <alignment horizontal="center"/>
    </xf>
    <xf numFmtId="17" fontId="7" fillId="8" borderId="6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" fontId="41" fillId="2" borderId="4" xfId="0" applyNumberFormat="1" applyFont="1" applyFill="1" applyBorder="1" applyAlignment="1" applyProtection="1">
      <alignment horizontal="center"/>
      <protection locked="0"/>
    </xf>
    <xf numFmtId="1" fontId="41" fillId="2" borderId="5" xfId="0" applyNumberFormat="1" applyFont="1" applyFill="1" applyBorder="1" applyAlignment="1" applyProtection="1">
      <alignment horizontal="center"/>
      <protection locked="0"/>
    </xf>
    <xf numFmtId="1" fontId="41" fillId="2" borderId="6" xfId="0" applyNumberFormat="1" applyFont="1" applyFill="1" applyBorder="1" applyAlignment="1" applyProtection="1">
      <alignment horizontal="center"/>
      <protection locked="0"/>
    </xf>
    <xf numFmtId="1" fontId="41" fillId="8" borderId="4" xfId="0" applyNumberFormat="1" applyFont="1" applyFill="1" applyBorder="1" applyAlignment="1" applyProtection="1">
      <alignment horizontal="center"/>
      <protection locked="0"/>
    </xf>
    <xf numFmtId="1" fontId="41" fillId="8" borderId="5" xfId="0" applyNumberFormat="1" applyFont="1" applyFill="1" applyBorder="1" applyAlignment="1" applyProtection="1">
      <alignment horizontal="center"/>
      <protection locked="0"/>
    </xf>
    <xf numFmtId="1" fontId="41" fillId="8" borderId="6" xfId="0" applyNumberFormat="1" applyFont="1" applyFill="1" applyBorder="1" applyAlignment="1" applyProtection="1">
      <alignment horizontal="center"/>
      <protection locked="0"/>
    </xf>
    <xf numFmtId="1" fontId="41" fillId="16" borderId="4" xfId="0" applyNumberFormat="1" applyFont="1" applyFill="1" applyBorder="1" applyAlignment="1" applyProtection="1">
      <alignment horizontal="center"/>
      <protection locked="0"/>
    </xf>
    <xf numFmtId="1" fontId="41" fillId="16" borderId="5" xfId="0" applyNumberFormat="1" applyFont="1" applyFill="1" applyBorder="1" applyAlignment="1" applyProtection="1">
      <alignment horizontal="center"/>
      <protection locked="0"/>
    </xf>
    <xf numFmtId="1" fontId="41" fillId="16" borderId="6" xfId="0" applyNumberFormat="1" applyFont="1" applyFill="1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8" fillId="2" borderId="0" xfId="0" applyFont="1" applyFill="1" applyAlignment="1">
      <alignment horizontal="left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6600"/>
      <color rgb="FFFFE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10</xdr:row>
      <xdr:rowOff>0</xdr:rowOff>
    </xdr:from>
    <xdr:to>
      <xdr:col>42</xdr:col>
      <xdr:colOff>16976</xdr:colOff>
      <xdr:row>62</xdr:row>
      <xdr:rowOff>112049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0F57B-6312-406A-8106-6DAB9B3D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2333" y="1693333"/>
          <a:ext cx="6419048" cy="80761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nathan Hyde" id="{4B74A629-8B98-4EE4-A4B5-C11B7EA77C50}" userId="S::JHyde@graingerplc.co.uk::bcbfc5cb-cf41-4550-8ccd-d1249d6824e4" providerId="AD"/>
  <person displayName="Jacob Smycz" id="{9C15B076-B44D-4287-8170-8453E849AC0D}" userId="S::JSmycz@graingerplc.co.uk::20313ce8-86d1-421c-af75-4750ba4a5ebf" providerId="AD"/>
</personList>
</file>

<file path=xl/theme/theme1.xml><?xml version="1.0" encoding="utf-8"?>
<a:theme xmlns:a="http://schemas.openxmlformats.org/drawingml/2006/main" name="Grainger">
  <a:themeElements>
    <a:clrScheme name="Grainger new">
      <a:dk1>
        <a:srgbClr val="FFFFFF"/>
      </a:dk1>
      <a:lt1>
        <a:srgbClr val="FFFFFF"/>
      </a:lt1>
      <a:dk2>
        <a:srgbClr val="FFFFFF"/>
      </a:dk2>
      <a:lt2>
        <a:srgbClr val="FFFFFF"/>
      </a:lt2>
      <a:accent1>
        <a:srgbClr val="3D4046"/>
      </a:accent1>
      <a:accent2>
        <a:srgbClr val="686869"/>
      </a:accent2>
      <a:accent3>
        <a:srgbClr val="8FC5C5"/>
      </a:accent3>
      <a:accent4>
        <a:srgbClr val="538989"/>
      </a:accent4>
      <a:accent5>
        <a:srgbClr val="174D4D"/>
      </a:accent5>
      <a:accent6>
        <a:srgbClr val="989A90"/>
      </a:accent6>
      <a:hlink>
        <a:srgbClr val="679D9D"/>
      </a:hlink>
      <a:folHlink>
        <a:srgbClr val="2B6161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  <a:ln w="38100">
          <a:noFill/>
        </a:ln>
      </a:spPr>
      <a:bodyPr vert="horz" lIns="91440" tIns="45720" rIns="91440" bIns="45720" rtlCol="0" anchor="ctr">
        <a:normAutofit/>
      </a:bodyPr>
      <a:lstStyle>
        <a:defPPr marL="108000" algn="l">
          <a:defRPr sz="3200" b="1" dirty="0">
            <a:solidFill>
              <a:srgbClr val="44AEAE"/>
            </a:solidFill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28" dT="2021-12-14T08:54:07.56" personId="{9C15B076-B44D-4287-8170-8453E849AC0D}" id="{3442A1CD-9EED-466C-96D6-1B71E8D20D4A}">
    <text>size premium, only one unit so not using formula</text>
  </threadedComment>
  <threadedComment ref="X192" dT="2021-12-14T08:54:14.00" personId="{9C15B076-B44D-4287-8170-8453E849AC0D}" id="{B6F56A70-567E-4089-8AFF-A3A138D8A63D}">
    <text>size premium, only one unit so not using formula</text>
  </threadedComment>
  <threadedComment ref="X193" dT="2021-12-14T08:54:17.86" personId="{9C15B076-B44D-4287-8170-8453E849AC0D}" id="{B296BEC4-A9F1-41B1-9283-DE4431329064}">
    <text>size premium, only one unit so not using formula</text>
  </threadedComment>
  <threadedComment ref="X205" dT="2021-12-14T08:54:23.29" personId="{9C15B076-B44D-4287-8170-8453E849AC0D}" id="{324BF31B-CE34-4771-B7F7-E765A7781237}">
    <text>size premium, only one unit so not using formula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3-10-26T09:12:54.03" personId="{4B74A629-8B98-4EE4-A4B5-C11B7EA77C50}" id="{6E7C8065-553A-4239-9874-25AACDDC9FAC}">
    <text>£20 increase due to growth demands.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9245-054C-4E3D-82B3-BBF19A7858CE}">
  <sheetPr codeName="Sheet1">
    <pageSetUpPr fitToPage="1"/>
  </sheetPr>
  <dimension ref="C3:X52"/>
  <sheetViews>
    <sheetView showGridLines="0" zoomScaleNormal="100" zoomScaleSheetLayoutView="100" workbookViewId="0">
      <selection activeCell="E36" sqref="E36:I37"/>
    </sheetView>
  </sheetViews>
  <sheetFormatPr defaultColWidth="8.625" defaultRowHeight="12" x14ac:dyDescent="0.2"/>
  <cols>
    <col min="1" max="2" width="2" style="30" customWidth="1"/>
    <col min="3" max="3" width="20.125" style="30" customWidth="1"/>
    <col min="4" max="4" width="3" style="31" customWidth="1"/>
    <col min="5" max="7" width="9.875" style="30" customWidth="1"/>
    <col min="8" max="8" width="11.375" style="30" customWidth="1"/>
    <col min="9" max="9" width="9.125" style="30" customWidth="1"/>
    <col min="10" max="10" width="12.875" style="30" customWidth="1"/>
    <col min="11" max="15" width="9.125" style="30" customWidth="1"/>
    <col min="16" max="16" width="2.875" style="30" customWidth="1"/>
    <col min="17" max="16384" width="8.625" style="30"/>
  </cols>
  <sheetData>
    <row r="3" spans="3:24" ht="18" x14ac:dyDescent="0.2">
      <c r="C3" s="151" t="s">
        <v>0</v>
      </c>
      <c r="D3" s="129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</row>
    <row r="4" spans="3:24" thickBot="1" x14ac:dyDescent="0.25"/>
    <row r="5" spans="3:24" thickBot="1" x14ac:dyDescent="0.25">
      <c r="C5" s="32"/>
      <c r="D5" s="33"/>
      <c r="E5" s="33"/>
      <c r="F5" s="34"/>
      <c r="J5" s="35"/>
      <c r="K5" s="36" t="s">
        <v>1</v>
      </c>
      <c r="L5" s="36" t="s">
        <v>2</v>
      </c>
      <c r="M5" s="36" t="s">
        <v>3</v>
      </c>
      <c r="N5" s="36" t="s">
        <v>4</v>
      </c>
      <c r="O5" s="36" t="s">
        <v>5</v>
      </c>
      <c r="R5" s="40"/>
      <c r="S5" s="40"/>
      <c r="T5" s="40"/>
      <c r="U5" s="40"/>
      <c r="V5" s="40"/>
      <c r="W5" s="40"/>
      <c r="X5" s="40"/>
    </row>
    <row r="6" spans="3:24" ht="12.6" customHeight="1" thickBot="1" x14ac:dyDescent="0.25">
      <c r="C6" s="37" t="s">
        <v>6</v>
      </c>
      <c r="D6" s="38"/>
      <c r="E6" s="377" t="s">
        <v>209</v>
      </c>
      <c r="F6" s="378"/>
      <c r="J6" s="39" t="s">
        <v>7</v>
      </c>
      <c r="K6" s="297" t="s">
        <v>8</v>
      </c>
      <c r="L6" s="297" t="s">
        <v>8</v>
      </c>
      <c r="M6" s="297" t="s">
        <v>8</v>
      </c>
      <c r="N6" s="297" t="s">
        <v>8</v>
      </c>
      <c r="O6" s="297" t="s">
        <v>8</v>
      </c>
      <c r="R6" s="40"/>
      <c r="S6" s="40"/>
      <c r="T6" s="40"/>
      <c r="U6" s="40"/>
      <c r="V6" s="40"/>
      <c r="W6" s="40"/>
      <c r="X6" s="40"/>
    </row>
    <row r="7" spans="3:24" ht="12.6" customHeight="1" thickBot="1" x14ac:dyDescent="0.25">
      <c r="C7" s="37" t="s">
        <v>9</v>
      </c>
      <c r="D7" s="38"/>
      <c r="E7" s="379">
        <v>44538</v>
      </c>
      <c r="F7" s="380"/>
      <c r="J7" s="39" t="s">
        <v>10</v>
      </c>
      <c r="K7" s="297" t="s">
        <v>8</v>
      </c>
      <c r="L7" s="297" t="s">
        <v>8</v>
      </c>
      <c r="M7" s="297" t="s">
        <v>8</v>
      </c>
      <c r="N7" s="297" t="s">
        <v>8</v>
      </c>
      <c r="O7" s="297" t="s">
        <v>8</v>
      </c>
      <c r="R7" s="40"/>
      <c r="S7" s="40"/>
      <c r="T7" s="40"/>
      <c r="U7" s="40"/>
      <c r="V7" s="40"/>
      <c r="W7" s="40"/>
      <c r="X7" s="40"/>
    </row>
    <row r="8" spans="3:24" ht="11.45" x14ac:dyDescent="0.2">
      <c r="C8" s="40"/>
      <c r="R8" s="40"/>
      <c r="S8" s="40"/>
      <c r="T8" s="40"/>
      <c r="U8" s="40"/>
      <c r="V8" s="40"/>
      <c r="W8" s="40"/>
      <c r="X8" s="40"/>
    </row>
    <row r="9" spans="3:24" s="40" customFormat="1" x14ac:dyDescent="0.2">
      <c r="C9" s="41" t="s">
        <v>11</v>
      </c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3:24" ht="11.45" x14ac:dyDescent="0.2">
      <c r="R10" s="40"/>
      <c r="S10" s="40"/>
      <c r="T10" s="40"/>
      <c r="U10" s="40"/>
      <c r="V10" s="40"/>
      <c r="W10" s="40"/>
      <c r="X10" s="40"/>
    </row>
    <row r="11" spans="3:24" ht="11.45" x14ac:dyDescent="0.2">
      <c r="C11" s="44" t="s">
        <v>12</v>
      </c>
      <c r="D11" s="45"/>
      <c r="E11" s="46" t="s">
        <v>13</v>
      </c>
      <c r="F11" s="47"/>
      <c r="G11" s="48" t="s">
        <v>14</v>
      </c>
      <c r="H11" s="49"/>
      <c r="R11" s="40"/>
      <c r="S11" s="40"/>
      <c r="T11" s="40"/>
      <c r="U11" s="40"/>
      <c r="V11" s="40"/>
      <c r="W11" s="40"/>
      <c r="X11" s="40"/>
    </row>
    <row r="12" spans="3:24" ht="11.45" x14ac:dyDescent="0.2">
      <c r="R12" s="40"/>
      <c r="S12" s="40"/>
      <c r="T12" s="40"/>
      <c r="U12" s="40"/>
      <c r="V12" s="40"/>
      <c r="W12" s="40"/>
      <c r="X12" s="40"/>
    </row>
    <row r="13" spans="3:24" ht="12.6" thickBot="1" x14ac:dyDescent="0.25">
      <c r="C13" s="41" t="s">
        <v>15</v>
      </c>
      <c r="D13" s="50" t="s">
        <v>16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R13" s="40"/>
      <c r="S13" s="40"/>
      <c r="T13" s="40"/>
      <c r="U13" s="40"/>
      <c r="V13" s="40"/>
      <c r="W13" s="40"/>
      <c r="X13" s="40"/>
    </row>
    <row r="14" spans="3:24" x14ac:dyDescent="0.25">
      <c r="C14" s="51" t="s">
        <v>17</v>
      </c>
      <c r="D14" s="52">
        <v>1</v>
      </c>
      <c r="E14" s="53" t="s">
        <v>18</v>
      </c>
      <c r="F14" s="53"/>
      <c r="G14" s="53"/>
      <c r="H14" s="53"/>
      <c r="I14" s="53"/>
      <c r="J14" s="53"/>
      <c r="K14" s="53"/>
      <c r="L14" s="53"/>
      <c r="M14" s="53"/>
      <c r="N14" s="53"/>
      <c r="O14" s="54"/>
      <c r="R14" s="40"/>
      <c r="S14" s="40"/>
      <c r="T14" s="40"/>
      <c r="U14" s="40"/>
      <c r="V14" s="40"/>
      <c r="W14" s="40"/>
      <c r="X14" s="40"/>
    </row>
    <row r="15" spans="3:24" x14ac:dyDescent="0.25">
      <c r="C15" s="55"/>
      <c r="D15" s="56">
        <v>2</v>
      </c>
      <c r="E15" s="40" t="s">
        <v>19</v>
      </c>
      <c r="F15" s="40"/>
      <c r="G15" s="40"/>
      <c r="H15" s="40"/>
      <c r="I15" s="40"/>
      <c r="J15" s="40"/>
      <c r="K15" s="40"/>
      <c r="L15" s="40"/>
      <c r="M15" s="40"/>
      <c r="N15" s="40"/>
      <c r="O15" s="57"/>
      <c r="R15" s="40"/>
      <c r="S15" s="40"/>
      <c r="T15" s="40"/>
      <c r="U15" s="40"/>
      <c r="V15" s="40"/>
      <c r="W15" s="40"/>
      <c r="X15" s="40"/>
    </row>
    <row r="16" spans="3:24" x14ac:dyDescent="0.25">
      <c r="C16" s="55"/>
      <c r="D16" s="56">
        <v>3</v>
      </c>
      <c r="E16" s="40" t="s">
        <v>20</v>
      </c>
      <c r="F16" s="40"/>
      <c r="G16" s="40"/>
      <c r="H16" s="40"/>
      <c r="I16" s="40"/>
      <c r="J16" s="40"/>
      <c r="K16" s="40"/>
      <c r="L16" s="40"/>
      <c r="M16" s="40"/>
      <c r="N16" s="40"/>
      <c r="O16" s="57"/>
      <c r="R16" s="40"/>
      <c r="S16" s="40"/>
      <c r="T16" s="40"/>
      <c r="U16" s="40"/>
      <c r="V16" s="40"/>
      <c r="W16" s="40"/>
      <c r="X16" s="40"/>
    </row>
    <row r="17" spans="3:24" x14ac:dyDescent="0.25">
      <c r="C17" s="55"/>
      <c r="D17" s="56">
        <v>4</v>
      </c>
      <c r="E17" s="40" t="s">
        <v>21</v>
      </c>
      <c r="F17" s="40"/>
      <c r="G17" s="40"/>
      <c r="H17" s="40"/>
      <c r="I17" s="40"/>
      <c r="J17" s="40"/>
      <c r="K17" s="40"/>
      <c r="L17" s="40"/>
      <c r="M17" s="40"/>
      <c r="N17" s="40"/>
      <c r="O17" s="57"/>
      <c r="R17" s="40"/>
      <c r="S17" s="40"/>
      <c r="T17" s="40"/>
      <c r="U17" s="40"/>
      <c r="V17" s="40"/>
      <c r="W17" s="40"/>
      <c r="X17" s="40"/>
    </row>
    <row r="18" spans="3:24" ht="12.6" thickBot="1" x14ac:dyDescent="0.3">
      <c r="C18" s="55"/>
      <c r="D18" s="56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57"/>
      <c r="R18" s="40"/>
      <c r="S18" s="40"/>
      <c r="T18" s="40"/>
      <c r="U18" s="40"/>
      <c r="V18" s="40"/>
      <c r="W18" s="40"/>
      <c r="X18" s="40"/>
    </row>
    <row r="19" spans="3:24" x14ac:dyDescent="0.25">
      <c r="C19" s="51" t="s">
        <v>22</v>
      </c>
      <c r="D19" s="52">
        <v>5</v>
      </c>
      <c r="E19" s="53" t="s">
        <v>23</v>
      </c>
      <c r="F19" s="53"/>
      <c r="G19" s="53"/>
      <c r="H19" s="53"/>
      <c r="I19" s="53"/>
      <c r="J19" s="53"/>
      <c r="K19" s="53"/>
      <c r="L19" s="53"/>
      <c r="M19" s="53"/>
      <c r="N19" s="53"/>
      <c r="O19" s="54"/>
      <c r="R19" s="40"/>
      <c r="S19" s="40"/>
      <c r="T19" s="40"/>
      <c r="U19" s="40"/>
      <c r="V19" s="40"/>
      <c r="W19" s="40"/>
      <c r="X19" s="40"/>
    </row>
    <row r="20" spans="3:24" x14ac:dyDescent="0.25">
      <c r="C20" s="55"/>
      <c r="D20" s="56">
        <v>6</v>
      </c>
      <c r="E20" s="40" t="s">
        <v>24</v>
      </c>
      <c r="F20" s="40"/>
      <c r="G20" s="40"/>
      <c r="H20" s="40"/>
      <c r="I20" s="40"/>
      <c r="J20" s="40"/>
      <c r="K20" s="40"/>
      <c r="L20" s="40"/>
      <c r="M20" s="40"/>
      <c r="N20" s="40"/>
      <c r="O20" s="57"/>
      <c r="R20" s="40"/>
      <c r="S20" s="40"/>
      <c r="T20" s="40"/>
      <c r="U20" s="40"/>
      <c r="V20" s="40"/>
      <c r="W20" s="40"/>
      <c r="X20" s="40"/>
    </row>
    <row r="21" spans="3:24" ht="12.6" thickBot="1" x14ac:dyDescent="0.3"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R21" s="40"/>
      <c r="S21" s="40"/>
      <c r="T21" s="40"/>
      <c r="U21" s="40"/>
      <c r="V21" s="40"/>
      <c r="W21" s="40"/>
      <c r="X21" s="40"/>
    </row>
    <row r="22" spans="3:24" x14ac:dyDescent="0.25">
      <c r="C22" s="51" t="s">
        <v>25</v>
      </c>
      <c r="D22" s="56">
        <v>7</v>
      </c>
      <c r="E22" s="53" t="s">
        <v>26</v>
      </c>
      <c r="F22" s="53"/>
      <c r="G22" s="53"/>
      <c r="H22" s="53"/>
      <c r="I22" s="53"/>
      <c r="J22" s="53"/>
      <c r="K22" s="53"/>
      <c r="L22" s="53"/>
      <c r="M22" s="53"/>
      <c r="N22" s="53"/>
      <c r="O22" s="54"/>
    </row>
    <row r="23" spans="3:24" x14ac:dyDescent="0.25">
      <c r="C23" s="55"/>
      <c r="D23" s="56">
        <v>8</v>
      </c>
      <c r="E23" s="40" t="s">
        <v>27</v>
      </c>
      <c r="F23" s="40"/>
      <c r="G23" s="40"/>
      <c r="H23" s="40"/>
      <c r="I23" s="40"/>
      <c r="J23" s="40"/>
      <c r="K23" s="40"/>
      <c r="L23" s="40"/>
      <c r="M23" s="40"/>
      <c r="N23" s="40"/>
      <c r="O23" s="57"/>
    </row>
    <row r="24" spans="3:24" x14ac:dyDescent="0.25">
      <c r="C24" s="55"/>
      <c r="D24" s="56">
        <v>9</v>
      </c>
      <c r="E24" s="40" t="s">
        <v>28</v>
      </c>
      <c r="F24" s="40"/>
      <c r="G24" s="40"/>
      <c r="H24" s="40"/>
      <c r="I24" s="40"/>
      <c r="J24" s="40"/>
      <c r="K24" s="40"/>
      <c r="L24" s="40"/>
      <c r="M24" s="40"/>
      <c r="N24" s="40"/>
      <c r="O24" s="57"/>
    </row>
    <row r="25" spans="3:24" ht="12.6" thickBot="1" x14ac:dyDescent="0.3">
      <c r="C25" s="58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</row>
    <row r="26" spans="3:24" x14ac:dyDescent="0.25">
      <c r="C26" s="55" t="s">
        <v>29</v>
      </c>
      <c r="D26" s="56">
        <v>10</v>
      </c>
      <c r="E26" s="40" t="s">
        <v>30</v>
      </c>
      <c r="F26" s="40"/>
      <c r="G26" s="40"/>
      <c r="H26" s="40"/>
      <c r="I26" s="40"/>
      <c r="J26" s="40"/>
      <c r="K26" s="40"/>
      <c r="L26" s="40"/>
      <c r="M26" s="40"/>
      <c r="N26" s="40"/>
      <c r="O26" s="57"/>
    </row>
    <row r="27" spans="3:24" x14ac:dyDescent="0.25">
      <c r="C27" s="55"/>
      <c r="D27" s="56">
        <v>11</v>
      </c>
      <c r="E27" s="40" t="s">
        <v>31</v>
      </c>
      <c r="F27" s="40"/>
      <c r="G27" s="40"/>
      <c r="H27" s="40"/>
      <c r="I27" s="40"/>
      <c r="J27" s="40"/>
      <c r="K27" s="40"/>
      <c r="L27" s="40"/>
      <c r="M27" s="40"/>
      <c r="N27" s="40"/>
      <c r="O27" s="57"/>
    </row>
    <row r="28" spans="3:24" x14ac:dyDescent="0.25">
      <c r="C28" s="55"/>
      <c r="D28" s="56">
        <v>12</v>
      </c>
      <c r="E28" s="40" t="s">
        <v>32</v>
      </c>
      <c r="F28" s="40"/>
      <c r="G28" s="40"/>
      <c r="H28" s="40"/>
      <c r="I28" s="40"/>
      <c r="J28" s="40"/>
      <c r="K28" s="40"/>
      <c r="L28" s="40"/>
      <c r="M28" s="40"/>
      <c r="N28" s="40"/>
      <c r="O28" s="57"/>
    </row>
    <row r="29" spans="3:24" x14ac:dyDescent="0.2">
      <c r="C29" s="55"/>
      <c r="D29" s="56">
        <v>13</v>
      </c>
      <c r="E29" s="40" t="s">
        <v>33</v>
      </c>
      <c r="F29" s="40"/>
      <c r="G29" s="40"/>
      <c r="H29" s="40"/>
      <c r="I29" s="40"/>
      <c r="J29" s="40"/>
      <c r="K29" s="40"/>
      <c r="L29" s="40"/>
      <c r="M29" s="40"/>
      <c r="N29" s="40"/>
      <c r="O29" s="57"/>
    </row>
    <row r="30" spans="3:24" x14ac:dyDescent="0.2">
      <c r="C30" s="55"/>
      <c r="D30" s="56">
        <v>14</v>
      </c>
      <c r="E30" s="40" t="s">
        <v>34</v>
      </c>
      <c r="F30" s="40"/>
      <c r="G30" s="40"/>
      <c r="H30" s="40"/>
      <c r="I30" s="40"/>
      <c r="J30" s="40"/>
      <c r="K30" s="40"/>
      <c r="L30" s="40"/>
      <c r="M30" s="40"/>
      <c r="N30" s="40"/>
      <c r="O30" s="57"/>
    </row>
    <row r="31" spans="3:24" ht="12.75" thickBot="1" x14ac:dyDescent="0.25">
      <c r="C31" s="55"/>
      <c r="D31" s="56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57"/>
    </row>
    <row r="32" spans="3:24" x14ac:dyDescent="0.2">
      <c r="C32" s="51" t="s">
        <v>35</v>
      </c>
      <c r="D32" s="52">
        <v>15</v>
      </c>
      <c r="E32" s="53" t="s">
        <v>36</v>
      </c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3:15" x14ac:dyDescent="0.2">
      <c r="C33" s="55"/>
      <c r="D33" s="56">
        <v>16</v>
      </c>
      <c r="E33" s="40" t="s">
        <v>37</v>
      </c>
      <c r="F33" s="40"/>
      <c r="G33" s="40"/>
      <c r="H33" s="40"/>
      <c r="I33" s="40"/>
      <c r="J33" s="40"/>
      <c r="K33" s="40"/>
      <c r="L33" s="40"/>
      <c r="M33" s="40"/>
      <c r="N33" s="40"/>
      <c r="O33" s="57"/>
    </row>
    <row r="34" spans="3:15" x14ac:dyDescent="0.2">
      <c r="C34" s="55"/>
      <c r="D34" s="56">
        <v>17</v>
      </c>
      <c r="E34" s="40" t="s">
        <v>38</v>
      </c>
      <c r="F34" s="40"/>
      <c r="G34" s="40"/>
      <c r="H34" s="40"/>
      <c r="I34" s="40"/>
      <c r="J34" s="40"/>
      <c r="K34" s="40"/>
      <c r="L34" s="40"/>
      <c r="M34" s="40"/>
      <c r="N34" s="40"/>
      <c r="O34" s="57"/>
    </row>
    <row r="35" spans="3:15" ht="12.75" thickBot="1" x14ac:dyDescent="0.25">
      <c r="C35" s="58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/>
    </row>
    <row r="36" spans="3:15" x14ac:dyDescent="0.2">
      <c r="C36" s="55" t="s">
        <v>39</v>
      </c>
      <c r="D36" s="56">
        <v>18</v>
      </c>
      <c r="E36" s="40" t="s">
        <v>40</v>
      </c>
      <c r="F36" s="40"/>
      <c r="G36" s="40"/>
      <c r="H36" s="40"/>
      <c r="I36" s="40"/>
      <c r="J36" s="40"/>
      <c r="K36" s="40"/>
      <c r="L36" s="40"/>
      <c r="M36" s="40"/>
      <c r="N36" s="40"/>
      <c r="O36" s="57"/>
    </row>
    <row r="37" spans="3:15" ht="12.75" thickBot="1" x14ac:dyDescent="0.25">
      <c r="C37" s="58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/>
    </row>
    <row r="38" spans="3:15" x14ac:dyDescent="0.2">
      <c r="C38" s="55" t="s">
        <v>41</v>
      </c>
      <c r="D38" s="56">
        <v>19</v>
      </c>
      <c r="E38" s="40" t="s">
        <v>42</v>
      </c>
      <c r="F38" s="40"/>
      <c r="G38" s="40"/>
      <c r="H38" s="40"/>
      <c r="I38" s="40"/>
      <c r="J38" s="40"/>
      <c r="K38" s="40"/>
      <c r="L38" s="40"/>
      <c r="M38" s="40"/>
      <c r="N38" s="40"/>
      <c r="O38" s="57"/>
    </row>
    <row r="39" spans="3:15" ht="12.75" thickBot="1" x14ac:dyDescent="0.25">
      <c r="C39" s="58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</row>
    <row r="40" spans="3:15" x14ac:dyDescent="0.2">
      <c r="C40" s="11"/>
      <c r="D40" s="12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3:15" x14ac:dyDescent="0.2">
      <c r="C41" s="40"/>
      <c r="D41" s="62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3:15" x14ac:dyDescent="0.2">
      <c r="C42" s="40"/>
      <c r="D42" s="62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3:15" x14ac:dyDescent="0.2">
      <c r="C43" s="40"/>
      <c r="D43" s="6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3:15" x14ac:dyDescent="0.2">
      <c r="C44" s="40"/>
      <c r="D44" s="62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3:15" x14ac:dyDescent="0.2">
      <c r="C45" s="40"/>
      <c r="D45" s="62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3:15" x14ac:dyDescent="0.2">
      <c r="C46" s="40"/>
      <c r="D46" s="62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3:15" x14ac:dyDescent="0.2">
      <c r="C47" s="40"/>
      <c r="D47" s="62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3:15" x14ac:dyDescent="0.2">
      <c r="C48" s="40"/>
      <c r="D48" s="62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3:15" x14ac:dyDescent="0.2">
      <c r="C49" s="40"/>
      <c r="D49" s="62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3:15" x14ac:dyDescent="0.2">
      <c r="C50" s="40"/>
      <c r="D50" s="62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3:15" x14ac:dyDescent="0.2">
      <c r="C51" s="40"/>
      <c r="D51" s="62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3:15" x14ac:dyDescent="0.2">
      <c r="C52" s="40"/>
      <c r="D52" s="62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</sheetData>
  <mergeCells count="2">
    <mergeCell ref="E6:F6"/>
    <mergeCell ref="E7:F7"/>
  </mergeCells>
  <dataValidations disablePrompts="1" count="1">
    <dataValidation type="list" allowBlank="1" showInputMessage="1" showErrorMessage="1" sqref="K5:O5" xr:uid="{49202564-8B14-46B5-B93D-8BA8B70F27E0}">
      <formula1>$S$5:$W$5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F715-F219-4A6B-977D-780B43CDD4D8}">
  <sheetPr codeName="Sheet2">
    <tabColor theme="6" tint="-0.499984740745262"/>
    <pageSetUpPr fitToPage="1"/>
  </sheetPr>
  <dimension ref="C3:AH620"/>
  <sheetViews>
    <sheetView showGridLines="0" zoomScale="80" zoomScaleNormal="80" zoomScaleSheetLayoutView="90" workbookViewId="0">
      <pane xSplit="6" ySplit="20" topLeftCell="G37" activePane="bottomRight" state="frozen"/>
      <selection pane="topRight" activeCell="G1" sqref="G1"/>
      <selection pane="bottomLeft" activeCell="A21" sqref="A21"/>
      <selection pane="bottomRight" activeCell="X58" sqref="L20:X58"/>
    </sheetView>
  </sheetViews>
  <sheetFormatPr defaultColWidth="9" defaultRowHeight="12" outlineLevelCol="1" x14ac:dyDescent="0.2"/>
  <cols>
    <col min="1" max="1" width="3.5" style="40" customWidth="1"/>
    <col min="2" max="2" width="2.5" style="40" customWidth="1"/>
    <col min="3" max="3" width="13.625" style="62" hidden="1" customWidth="1" outlineLevel="1"/>
    <col min="4" max="6" width="13.625" style="40" hidden="1" customWidth="1" outlineLevel="1"/>
    <col min="7" max="7" width="1.375" style="30" customWidth="1" collapsed="1"/>
    <col min="8" max="8" width="13.625" style="30" customWidth="1"/>
    <col min="9" max="9" width="15.375" style="30" bestFit="1" customWidth="1"/>
    <col min="10" max="10" width="15.625" style="30" customWidth="1"/>
    <col min="11" max="11" width="2" style="30" customWidth="1"/>
    <col min="12" max="15" width="10" style="40" customWidth="1"/>
    <col min="16" max="16" width="10" style="62" customWidth="1"/>
    <col min="17" max="25" width="10" style="40" customWidth="1"/>
    <col min="26" max="16384" width="9" style="40"/>
  </cols>
  <sheetData>
    <row r="3" spans="3:34" ht="36" customHeight="1" x14ac:dyDescent="0.2">
      <c r="C3" s="148"/>
      <c r="D3" s="144"/>
      <c r="E3" s="144"/>
      <c r="F3" s="144"/>
      <c r="G3" s="149"/>
      <c r="H3" s="148" t="s">
        <v>43</v>
      </c>
      <c r="I3" s="149"/>
      <c r="J3" s="149"/>
      <c r="K3" s="149"/>
      <c r="L3" s="149"/>
      <c r="M3" s="149"/>
      <c r="N3" s="149"/>
      <c r="O3" s="149"/>
      <c r="P3" s="150"/>
      <c r="Q3" s="149"/>
      <c r="R3" s="149"/>
      <c r="S3" s="149"/>
      <c r="T3" s="193"/>
      <c r="U3" s="193"/>
      <c r="V3" s="193"/>
      <c r="W3" s="193"/>
      <c r="X3" s="193"/>
      <c r="Y3" s="193">
        <f>'4. Valuation'!$D$6</f>
        <v>45199</v>
      </c>
      <c r="AB3" s="43"/>
      <c r="AC3" s="43"/>
      <c r="AD3" s="43"/>
      <c r="AE3" s="43"/>
      <c r="AF3" s="43"/>
      <c r="AG3" s="43"/>
      <c r="AH3" s="43"/>
    </row>
    <row r="4" spans="3:34" ht="7.5" customHeight="1" x14ac:dyDescent="0.2"/>
    <row r="5" spans="3:34" x14ac:dyDescent="0.25">
      <c r="H5" s="130" t="s">
        <v>44</v>
      </c>
      <c r="I5" s="384" t="str">
        <f>Cover!E6</f>
        <v>The Forge, Newcastle</v>
      </c>
      <c r="J5" s="385"/>
    </row>
    <row r="6" spans="3:34" ht="8.25" customHeight="1" x14ac:dyDescent="0.2">
      <c r="D6" s="62"/>
      <c r="E6" s="62"/>
    </row>
    <row r="7" spans="3:34" x14ac:dyDescent="0.25">
      <c r="C7" s="40"/>
      <c r="H7" s="389" t="s">
        <v>45</v>
      </c>
      <c r="I7" s="390"/>
      <c r="J7" s="391"/>
      <c r="L7" s="219" t="s">
        <v>46</v>
      </c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8" spans="3:34" s="111" customFormat="1" ht="24" x14ac:dyDescent="0.2">
      <c r="C8" s="40"/>
      <c r="D8" s="40"/>
      <c r="E8" s="40"/>
      <c r="F8" s="40"/>
      <c r="G8" s="215"/>
      <c r="H8" s="216" t="s">
        <v>49</v>
      </c>
      <c r="I8" s="216" t="s">
        <v>50</v>
      </c>
      <c r="J8" s="216" t="s">
        <v>51</v>
      </c>
      <c r="K8" s="215"/>
      <c r="L8" s="214" t="s">
        <v>47</v>
      </c>
      <c r="M8" s="214" t="s">
        <v>48</v>
      </c>
      <c r="N8" s="214" t="s">
        <v>52</v>
      </c>
      <c r="O8" s="217" t="s">
        <v>53</v>
      </c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 spans="3:34" ht="11.45" customHeight="1" x14ac:dyDescent="0.2">
      <c r="C9" s="40"/>
      <c r="H9" s="133" t="s">
        <v>54</v>
      </c>
      <c r="I9" s="361" t="s">
        <v>55</v>
      </c>
      <c r="J9" s="133"/>
      <c r="L9" s="360" t="s">
        <v>89</v>
      </c>
      <c r="M9" s="69">
        <f t="shared" ref="M9:M14" si="0">IFERROR(COUNTIF($P$21:$P$622,$L9),"-")</f>
        <v>78</v>
      </c>
      <c r="N9" s="339">
        <f t="shared" ref="N9:N14" si="1">IFERROR(AVERAGEIF($P$21:$P$622,$L9,$O$21:$O$622),"-")</f>
        <v>503.56410256410254</v>
      </c>
      <c r="O9" s="201"/>
      <c r="P9" s="202"/>
      <c r="Q9" s="202"/>
      <c r="R9" s="202"/>
      <c r="S9" s="202"/>
      <c r="T9" s="202"/>
      <c r="U9" s="202"/>
      <c r="V9" s="202"/>
      <c r="W9" s="202"/>
      <c r="X9" s="202"/>
      <c r="Y9" s="202"/>
    </row>
    <row r="10" spans="3:34" ht="11.45" customHeight="1" x14ac:dyDescent="0.2">
      <c r="C10" s="40"/>
      <c r="H10" s="134" t="s">
        <v>56</v>
      </c>
      <c r="I10" s="361" t="s">
        <v>210</v>
      </c>
      <c r="J10" s="133"/>
      <c r="L10" s="360" t="s">
        <v>90</v>
      </c>
      <c r="M10" s="69">
        <f t="shared" si="0"/>
        <v>179</v>
      </c>
      <c r="N10" s="132">
        <f t="shared" si="1"/>
        <v>652.34636871508383</v>
      </c>
      <c r="O10" s="201"/>
      <c r="P10" s="202"/>
      <c r="Q10" s="202"/>
      <c r="R10" s="202"/>
      <c r="S10" s="202"/>
      <c r="T10" s="202"/>
      <c r="U10" s="202"/>
      <c r="V10" s="202"/>
      <c r="W10" s="202"/>
      <c r="X10" s="202"/>
      <c r="Y10" s="202"/>
    </row>
    <row r="11" spans="3:34" x14ac:dyDescent="0.2">
      <c r="C11" s="40"/>
      <c r="H11" s="386" t="s">
        <v>57</v>
      </c>
      <c r="I11" s="362" t="s">
        <v>211</v>
      </c>
      <c r="J11" s="133" t="s">
        <v>58</v>
      </c>
      <c r="L11" s="360" t="s">
        <v>91</v>
      </c>
      <c r="M11" s="69">
        <f t="shared" si="0"/>
        <v>26</v>
      </c>
      <c r="N11" s="132">
        <f t="shared" si="1"/>
        <v>823.19230769230774</v>
      </c>
      <c r="O11" s="201"/>
      <c r="P11" s="202"/>
      <c r="Q11" s="202"/>
      <c r="R11" s="202"/>
      <c r="S11" s="202"/>
      <c r="T11" s="202"/>
      <c r="U11" s="202"/>
      <c r="V11" s="202"/>
      <c r="W11" s="202"/>
      <c r="X11" s="202"/>
      <c r="Y11" s="202"/>
    </row>
    <row r="12" spans="3:34" x14ac:dyDescent="0.2">
      <c r="C12" s="40"/>
      <c r="H12" s="387"/>
      <c r="I12" s="135"/>
      <c r="J12" s="133" t="s">
        <v>59</v>
      </c>
      <c r="L12" s="82"/>
      <c r="M12" s="69">
        <f t="shared" si="0"/>
        <v>0</v>
      </c>
      <c r="N12" s="339" t="str">
        <f t="shared" si="1"/>
        <v>-</v>
      </c>
      <c r="O12" s="201"/>
      <c r="P12" s="202"/>
      <c r="Q12" s="202"/>
      <c r="R12" s="202"/>
      <c r="S12" s="202"/>
      <c r="T12" s="202"/>
      <c r="U12" s="202"/>
      <c r="V12" s="202"/>
      <c r="W12" s="202"/>
      <c r="X12" s="202"/>
      <c r="Y12" s="202"/>
    </row>
    <row r="13" spans="3:34" x14ac:dyDescent="0.2">
      <c r="C13" s="40"/>
      <c r="H13" s="387"/>
      <c r="I13" s="135"/>
      <c r="J13" s="133" t="s">
        <v>60</v>
      </c>
      <c r="L13" s="82"/>
      <c r="M13" s="69">
        <f t="shared" si="0"/>
        <v>0</v>
      </c>
      <c r="N13" s="132" t="str">
        <f t="shared" si="1"/>
        <v>-</v>
      </c>
      <c r="O13" s="201"/>
      <c r="P13" s="202"/>
      <c r="Q13" s="202"/>
      <c r="R13" s="202"/>
      <c r="S13" s="202"/>
      <c r="T13" s="202"/>
      <c r="U13" s="202"/>
      <c r="V13" s="202"/>
      <c r="W13" s="202"/>
      <c r="X13" s="202"/>
      <c r="Y13" s="202"/>
    </row>
    <row r="14" spans="3:34" s="11" customFormat="1" x14ac:dyDescent="0.2">
      <c r="C14" s="40"/>
      <c r="D14" s="40"/>
      <c r="E14" s="40"/>
      <c r="F14" s="40"/>
      <c r="H14" s="387"/>
      <c r="I14" s="135"/>
      <c r="J14" s="133" t="s">
        <v>61</v>
      </c>
      <c r="L14" s="82"/>
      <c r="M14" s="69">
        <f t="shared" si="0"/>
        <v>0</v>
      </c>
      <c r="N14" s="132" t="str">
        <f t="shared" si="1"/>
        <v>-</v>
      </c>
      <c r="O14" s="201"/>
      <c r="P14" s="202"/>
      <c r="Q14" s="202"/>
      <c r="R14" s="202"/>
      <c r="S14" s="202"/>
      <c r="T14" s="202"/>
      <c r="U14" s="202"/>
      <c r="V14" s="202"/>
      <c r="W14" s="202"/>
      <c r="X14" s="202"/>
      <c r="Y14" s="202"/>
    </row>
    <row r="15" spans="3:34" s="11" customFormat="1" x14ac:dyDescent="0.2">
      <c r="C15" s="40"/>
      <c r="D15" s="40"/>
      <c r="E15" s="40"/>
      <c r="F15" s="40"/>
      <c r="H15" s="387"/>
      <c r="I15" s="135"/>
      <c r="J15" s="133"/>
      <c r="L15" s="71" t="s">
        <v>62</v>
      </c>
      <c r="M15" s="71">
        <f>SUM(M9:M13)</f>
        <v>283</v>
      </c>
      <c r="N15" s="340">
        <f>IFERROR(SUM(O21:O620)/M15,0)</f>
        <v>627.03533568904595</v>
      </c>
      <c r="O15" s="191"/>
      <c r="P15" s="192"/>
      <c r="Q15" s="192"/>
      <c r="R15" s="192"/>
      <c r="S15" s="192"/>
      <c r="T15" s="192"/>
      <c r="U15" s="192"/>
      <c r="V15" s="192"/>
      <c r="W15" s="192"/>
      <c r="X15" s="192"/>
      <c r="Y15" s="192"/>
    </row>
    <row r="16" spans="3:34" x14ac:dyDescent="0.2">
      <c r="C16" s="40"/>
      <c r="H16" s="388"/>
      <c r="I16" s="135"/>
      <c r="J16" s="133" t="s">
        <v>64</v>
      </c>
      <c r="L16" s="82" t="s">
        <v>174</v>
      </c>
      <c r="M16" s="82"/>
      <c r="N16" s="337"/>
      <c r="O16" s="201"/>
      <c r="P16" s="202"/>
      <c r="Q16" s="202"/>
      <c r="R16" s="202"/>
      <c r="S16" s="202"/>
      <c r="T16" s="202"/>
      <c r="U16" s="202"/>
      <c r="V16" s="202"/>
      <c r="W16" s="202"/>
      <c r="X16" s="202"/>
      <c r="Y16" s="202"/>
    </row>
    <row r="17" spans="3:28" ht="9" customHeight="1" x14ac:dyDescent="0.25">
      <c r="C17" s="40"/>
      <c r="AB17" s="11"/>
    </row>
    <row r="18" spans="3:28" ht="9" customHeight="1" x14ac:dyDescent="0.25">
      <c r="AB18" s="11"/>
    </row>
    <row r="19" spans="3:28" ht="18.75" customHeight="1" x14ac:dyDescent="0.25">
      <c r="C19" s="136"/>
      <c r="D19" s="381" t="s">
        <v>65</v>
      </c>
      <c r="E19" s="382"/>
      <c r="F19" s="382"/>
      <c r="G19" s="137"/>
      <c r="H19" s="381" t="s">
        <v>66</v>
      </c>
      <c r="I19" s="382"/>
      <c r="J19" s="383"/>
      <c r="K19" s="137"/>
      <c r="L19" s="221" t="s">
        <v>67</v>
      </c>
      <c r="M19" s="221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AB19" s="11"/>
    </row>
    <row r="20" spans="3:28" s="210" customFormat="1" ht="33.75" customHeight="1" x14ac:dyDescent="0.25">
      <c r="C20" s="208" t="s">
        <v>68</v>
      </c>
      <c r="D20" s="209" t="s">
        <v>69</v>
      </c>
      <c r="E20" s="208" t="s">
        <v>70</v>
      </c>
      <c r="F20" s="208" t="s">
        <v>47</v>
      </c>
      <c r="G20" s="75"/>
      <c r="H20" s="208" t="s">
        <v>71</v>
      </c>
      <c r="I20" s="208" t="s">
        <v>56</v>
      </c>
      <c r="J20" s="208" t="s">
        <v>57</v>
      </c>
      <c r="K20" s="75"/>
      <c r="L20" s="209" t="s">
        <v>72</v>
      </c>
      <c r="M20" s="209" t="str">
        <f>D20</f>
        <v>Home type</v>
      </c>
      <c r="N20" s="209" t="s">
        <v>73</v>
      </c>
      <c r="O20" s="209" t="str">
        <f>E20</f>
        <v>Size (sq.ft)</v>
      </c>
      <c r="P20" s="209" t="str">
        <f>'2. GRI Pricing Inputs'!C15</f>
        <v>Bedroom</v>
      </c>
      <c r="Q20" s="209" t="str">
        <f>'2. GRI Pricing Inputs'!C22</f>
        <v>Bath</v>
      </c>
      <c r="R20" s="209" t="str">
        <f>'2. GRI Pricing Inputs'!C45</f>
        <v>Floor</v>
      </c>
      <c r="S20" s="209" t="str">
        <f>'2. GRI Pricing Inputs'!C53</f>
        <v>Aspect</v>
      </c>
      <c r="T20" s="209" t="str">
        <f>'2. GRI Pricing Inputs'!C60</f>
        <v>Storage</v>
      </c>
      <c r="U20" s="209" t="str">
        <f>'2. GRI Pricing Inputs'!C67</f>
        <v>Balcony</v>
      </c>
      <c r="V20" s="209" t="str">
        <f>'2. GRI Pricing Inputs'!C83</f>
        <v>Window Premium</v>
      </c>
      <c r="W20" s="209" t="str">
        <f>'2. GRI Pricing Inputs'!C90</f>
        <v>Restricted Light</v>
      </c>
      <c r="X20" s="209">
        <f>'2. GRI Pricing Inputs'!C98</f>
        <v>0</v>
      </c>
      <c r="Y20" s="209" t="str">
        <f>'2. GRI Pricing Inputs'!C105</f>
        <v>Character premium #4</v>
      </c>
      <c r="AB20" s="211"/>
    </row>
    <row r="21" spans="3:28" ht="13.5" customHeight="1" x14ac:dyDescent="0.25">
      <c r="C21" s="82"/>
      <c r="D21" s="292" t="s">
        <v>74</v>
      </c>
      <c r="E21" s="138"/>
      <c r="F21" s="138"/>
      <c r="H21" s="69" t="str">
        <f>$I$9</f>
        <v>BTR-Regions</v>
      </c>
      <c r="I21" s="69" t="str">
        <f>$I$10</f>
        <v>The Forge</v>
      </c>
      <c r="J21" s="363" t="s">
        <v>211</v>
      </c>
      <c r="L21" s="364" t="s">
        <v>101</v>
      </c>
      <c r="M21" s="364" t="s">
        <v>79</v>
      </c>
      <c r="N21" s="365" t="s">
        <v>212</v>
      </c>
      <c r="O21" s="365">
        <v>484</v>
      </c>
      <c r="P21" s="364" t="s">
        <v>89</v>
      </c>
      <c r="Q21" s="364">
        <v>1</v>
      </c>
      <c r="R21" s="364" t="s">
        <v>213</v>
      </c>
      <c r="S21" s="364" t="s">
        <v>214</v>
      </c>
      <c r="T21" s="364" t="s">
        <v>74</v>
      </c>
      <c r="U21" s="364" t="s">
        <v>113</v>
      </c>
      <c r="V21" s="364" t="s">
        <v>215</v>
      </c>
      <c r="W21" s="364" t="s">
        <v>113</v>
      </c>
      <c r="X21" s="364" t="s">
        <v>113</v>
      </c>
      <c r="Y21" s="364" t="s">
        <v>133</v>
      </c>
      <c r="AB21" s="11"/>
    </row>
    <row r="22" spans="3:28" ht="13.5" customHeight="1" x14ac:dyDescent="0.25">
      <c r="C22" s="82"/>
      <c r="D22" s="292" t="s">
        <v>74</v>
      </c>
      <c r="E22" s="138"/>
      <c r="F22" s="138"/>
      <c r="H22" s="69" t="str">
        <f t="shared" ref="H22:H85" si="2">$I$9</f>
        <v>BTR-Regions</v>
      </c>
      <c r="I22" s="69" t="str">
        <f t="shared" ref="I22:I85" si="3">$I$10</f>
        <v>The Forge</v>
      </c>
      <c r="J22" s="363" t="s">
        <v>211</v>
      </c>
      <c r="L22" s="364" t="s">
        <v>101</v>
      </c>
      <c r="M22" s="364" t="s">
        <v>79</v>
      </c>
      <c r="N22" s="365" t="s">
        <v>216</v>
      </c>
      <c r="O22" s="365">
        <v>678</v>
      </c>
      <c r="P22" s="364" t="s">
        <v>90</v>
      </c>
      <c r="Q22" s="364">
        <v>2</v>
      </c>
      <c r="R22" s="364" t="s">
        <v>213</v>
      </c>
      <c r="S22" s="364" t="s">
        <v>214</v>
      </c>
      <c r="T22" s="364" t="s">
        <v>74</v>
      </c>
      <c r="U22" s="364" t="s">
        <v>113</v>
      </c>
      <c r="V22" s="364" t="s">
        <v>215</v>
      </c>
      <c r="W22" s="364" t="s">
        <v>113</v>
      </c>
      <c r="X22" s="364" t="s">
        <v>113</v>
      </c>
      <c r="Y22" s="364" t="s">
        <v>74</v>
      </c>
      <c r="AB22" s="11"/>
    </row>
    <row r="23" spans="3:28" ht="13.5" customHeight="1" x14ac:dyDescent="0.25">
      <c r="C23" s="82"/>
      <c r="D23" s="292" t="s">
        <v>74</v>
      </c>
      <c r="E23" s="138"/>
      <c r="F23" s="138"/>
      <c r="H23" s="69" t="str">
        <f t="shared" si="2"/>
        <v>BTR-Regions</v>
      </c>
      <c r="I23" s="69" t="str">
        <f t="shared" si="3"/>
        <v>The Forge</v>
      </c>
      <c r="J23" s="363" t="s">
        <v>211</v>
      </c>
      <c r="L23" s="364" t="s">
        <v>101</v>
      </c>
      <c r="M23" s="364" t="s">
        <v>79</v>
      </c>
      <c r="N23" s="365" t="s">
        <v>217</v>
      </c>
      <c r="O23" s="365">
        <v>657</v>
      </c>
      <c r="P23" s="364" t="s">
        <v>90</v>
      </c>
      <c r="Q23" s="364">
        <v>2</v>
      </c>
      <c r="R23" s="364" t="s">
        <v>213</v>
      </c>
      <c r="S23" s="364" t="s">
        <v>214</v>
      </c>
      <c r="T23" s="364" t="s">
        <v>74</v>
      </c>
      <c r="U23" s="364" t="s">
        <v>113</v>
      </c>
      <c r="V23" s="364" t="s">
        <v>218</v>
      </c>
      <c r="W23" s="364" t="s">
        <v>113</v>
      </c>
      <c r="X23" s="364" t="s">
        <v>113</v>
      </c>
      <c r="Y23" s="364" t="s">
        <v>74</v>
      </c>
      <c r="AB23" s="11"/>
    </row>
    <row r="24" spans="3:28" ht="13.5" customHeight="1" x14ac:dyDescent="0.25">
      <c r="C24" s="82"/>
      <c r="D24" s="292" t="s">
        <v>74</v>
      </c>
      <c r="E24" s="138"/>
      <c r="F24" s="138"/>
      <c r="H24" s="69" t="str">
        <f t="shared" si="2"/>
        <v>BTR-Regions</v>
      </c>
      <c r="I24" s="69" t="str">
        <f t="shared" si="3"/>
        <v>The Forge</v>
      </c>
      <c r="J24" s="363" t="s">
        <v>211</v>
      </c>
      <c r="L24" s="364" t="s">
        <v>101</v>
      </c>
      <c r="M24" s="364" t="s">
        <v>79</v>
      </c>
      <c r="N24" s="365" t="s">
        <v>219</v>
      </c>
      <c r="O24" s="365">
        <v>818</v>
      </c>
      <c r="P24" s="364" t="s">
        <v>91</v>
      </c>
      <c r="Q24" s="364">
        <v>2</v>
      </c>
      <c r="R24" s="364">
        <v>1</v>
      </c>
      <c r="S24" s="364" t="s">
        <v>220</v>
      </c>
      <c r="T24" s="364" t="s">
        <v>74</v>
      </c>
      <c r="U24" s="364" t="s">
        <v>113</v>
      </c>
      <c r="V24" s="364" t="s">
        <v>218</v>
      </c>
      <c r="W24" s="364" t="s">
        <v>113</v>
      </c>
      <c r="X24" s="364" t="s">
        <v>113</v>
      </c>
      <c r="Y24" s="364" t="s">
        <v>74</v>
      </c>
      <c r="AB24" s="11"/>
    </row>
    <row r="25" spans="3:28" ht="13.5" customHeight="1" x14ac:dyDescent="0.25">
      <c r="C25" s="82"/>
      <c r="D25" s="292" t="s">
        <v>74</v>
      </c>
      <c r="E25" s="138"/>
      <c r="F25" s="138"/>
      <c r="H25" s="69" t="str">
        <f t="shared" si="2"/>
        <v>BTR-Regions</v>
      </c>
      <c r="I25" s="69" t="str">
        <f t="shared" si="3"/>
        <v>The Forge</v>
      </c>
      <c r="J25" s="363" t="s">
        <v>211</v>
      </c>
      <c r="L25" s="364" t="s">
        <v>101</v>
      </c>
      <c r="M25" s="364" t="s">
        <v>79</v>
      </c>
      <c r="N25" s="365" t="s">
        <v>221</v>
      </c>
      <c r="O25" s="365">
        <v>667</v>
      </c>
      <c r="P25" s="364" t="s">
        <v>90</v>
      </c>
      <c r="Q25" s="364">
        <v>2</v>
      </c>
      <c r="R25" s="364">
        <v>1</v>
      </c>
      <c r="S25" s="364" t="s">
        <v>222</v>
      </c>
      <c r="T25" s="364" t="s">
        <v>74</v>
      </c>
      <c r="U25" s="364" t="s">
        <v>113</v>
      </c>
      <c r="V25" s="364" t="s">
        <v>218</v>
      </c>
      <c r="W25" s="364" t="s">
        <v>113</v>
      </c>
      <c r="X25" s="364" t="s">
        <v>113</v>
      </c>
      <c r="Y25" s="364" t="s">
        <v>74</v>
      </c>
      <c r="AB25" s="11"/>
    </row>
    <row r="26" spans="3:28" ht="13.5" customHeight="1" x14ac:dyDescent="0.25">
      <c r="C26" s="82"/>
      <c r="D26" s="292" t="s">
        <v>74</v>
      </c>
      <c r="E26" s="138"/>
      <c r="F26" s="138"/>
      <c r="H26" s="69" t="str">
        <f t="shared" si="2"/>
        <v>BTR-Regions</v>
      </c>
      <c r="I26" s="69" t="str">
        <f t="shared" si="3"/>
        <v>The Forge</v>
      </c>
      <c r="J26" s="363" t="s">
        <v>211</v>
      </c>
      <c r="L26" s="364" t="s">
        <v>101</v>
      </c>
      <c r="M26" s="364" t="s">
        <v>79</v>
      </c>
      <c r="N26" s="365" t="s">
        <v>223</v>
      </c>
      <c r="O26" s="365">
        <v>441</v>
      </c>
      <c r="P26" s="364" t="s">
        <v>89</v>
      </c>
      <c r="Q26" s="364">
        <v>1</v>
      </c>
      <c r="R26" s="364">
        <v>1</v>
      </c>
      <c r="S26" s="364" t="s">
        <v>224</v>
      </c>
      <c r="T26" s="364" t="s">
        <v>74</v>
      </c>
      <c r="U26" s="364" t="s">
        <v>113</v>
      </c>
      <c r="V26" s="364" t="s">
        <v>218</v>
      </c>
      <c r="W26" s="364" t="s">
        <v>113</v>
      </c>
      <c r="X26" s="364" t="s">
        <v>225</v>
      </c>
      <c r="Y26" s="364" t="s">
        <v>74</v>
      </c>
      <c r="AB26" s="11"/>
    </row>
    <row r="27" spans="3:28" ht="13.5" customHeight="1" x14ac:dyDescent="0.25">
      <c r="C27" s="82"/>
      <c r="D27" s="292" t="s">
        <v>74</v>
      </c>
      <c r="E27" s="138"/>
      <c r="F27" s="138"/>
      <c r="H27" s="69" t="str">
        <f t="shared" si="2"/>
        <v>BTR-Regions</v>
      </c>
      <c r="I27" s="69" t="str">
        <f t="shared" si="3"/>
        <v>The Forge</v>
      </c>
      <c r="J27" s="363" t="s">
        <v>211</v>
      </c>
      <c r="L27" s="364" t="s">
        <v>101</v>
      </c>
      <c r="M27" s="364" t="s">
        <v>79</v>
      </c>
      <c r="N27" s="365" t="s">
        <v>226</v>
      </c>
      <c r="O27" s="365">
        <v>624</v>
      </c>
      <c r="P27" s="364" t="s">
        <v>90</v>
      </c>
      <c r="Q27" s="364">
        <v>2</v>
      </c>
      <c r="R27" s="364">
        <v>1</v>
      </c>
      <c r="S27" s="364" t="s">
        <v>224</v>
      </c>
      <c r="T27" s="364" t="s">
        <v>74</v>
      </c>
      <c r="U27" s="364" t="s">
        <v>113</v>
      </c>
      <c r="V27" s="364" t="s">
        <v>218</v>
      </c>
      <c r="W27" s="364" t="s">
        <v>113</v>
      </c>
      <c r="X27" s="364" t="s">
        <v>113</v>
      </c>
      <c r="Y27" s="364" t="s">
        <v>74</v>
      </c>
      <c r="AB27" s="11"/>
    </row>
    <row r="28" spans="3:28" ht="13.5" customHeight="1" x14ac:dyDescent="0.25">
      <c r="C28" s="82"/>
      <c r="D28" s="292" t="s">
        <v>74</v>
      </c>
      <c r="E28" s="138"/>
      <c r="F28" s="138"/>
      <c r="H28" s="69" t="str">
        <f t="shared" si="2"/>
        <v>BTR-Regions</v>
      </c>
      <c r="I28" s="69" t="str">
        <f t="shared" si="3"/>
        <v>The Forge</v>
      </c>
      <c r="J28" s="363" t="s">
        <v>211</v>
      </c>
      <c r="L28" s="364" t="s">
        <v>101</v>
      </c>
      <c r="M28" s="364" t="s">
        <v>79</v>
      </c>
      <c r="N28" s="365" t="s">
        <v>227</v>
      </c>
      <c r="O28" s="365">
        <v>624</v>
      </c>
      <c r="P28" s="364" t="s">
        <v>90</v>
      </c>
      <c r="Q28" s="364">
        <v>2</v>
      </c>
      <c r="R28" s="364">
        <v>1</v>
      </c>
      <c r="S28" s="364" t="s">
        <v>224</v>
      </c>
      <c r="T28" s="364" t="s">
        <v>74</v>
      </c>
      <c r="U28" s="364" t="s">
        <v>113</v>
      </c>
      <c r="V28" s="364" t="s">
        <v>218</v>
      </c>
      <c r="W28" s="364" t="s">
        <v>113</v>
      </c>
      <c r="X28" s="364" t="s">
        <v>113</v>
      </c>
      <c r="Y28" s="364" t="s">
        <v>74</v>
      </c>
      <c r="AB28" s="11"/>
    </row>
    <row r="29" spans="3:28" ht="13.5" customHeight="1" x14ac:dyDescent="0.25">
      <c r="C29" s="82"/>
      <c r="D29" s="292" t="s">
        <v>74</v>
      </c>
      <c r="E29" s="138"/>
      <c r="F29" s="138"/>
      <c r="H29" s="69" t="str">
        <f t="shared" si="2"/>
        <v>BTR-Regions</v>
      </c>
      <c r="I29" s="69" t="str">
        <f t="shared" si="3"/>
        <v>The Forge</v>
      </c>
      <c r="J29" s="363" t="s">
        <v>211</v>
      </c>
      <c r="L29" s="364" t="s">
        <v>101</v>
      </c>
      <c r="M29" s="364" t="s">
        <v>79</v>
      </c>
      <c r="N29" s="365" t="s">
        <v>228</v>
      </c>
      <c r="O29" s="365">
        <v>657</v>
      </c>
      <c r="P29" s="364" t="s">
        <v>90</v>
      </c>
      <c r="Q29" s="364">
        <v>2</v>
      </c>
      <c r="R29" s="364">
        <v>1</v>
      </c>
      <c r="S29" s="364" t="s">
        <v>229</v>
      </c>
      <c r="T29" s="364" t="s">
        <v>74</v>
      </c>
      <c r="U29" s="364" t="s">
        <v>113</v>
      </c>
      <c r="V29" s="364" t="s">
        <v>218</v>
      </c>
      <c r="W29" s="364" t="s">
        <v>113</v>
      </c>
      <c r="X29" s="364" t="s">
        <v>113</v>
      </c>
      <c r="Y29" s="364" t="s">
        <v>74</v>
      </c>
      <c r="AB29" s="11"/>
    </row>
    <row r="30" spans="3:28" ht="13.5" customHeight="1" x14ac:dyDescent="0.25">
      <c r="C30" s="82"/>
      <c r="D30" s="292" t="s">
        <v>74</v>
      </c>
      <c r="E30" s="138"/>
      <c r="F30" s="138"/>
      <c r="H30" s="69" t="str">
        <f t="shared" si="2"/>
        <v>BTR-Regions</v>
      </c>
      <c r="I30" s="69" t="str">
        <f t="shared" si="3"/>
        <v>The Forge</v>
      </c>
      <c r="J30" s="363" t="s">
        <v>211</v>
      </c>
      <c r="L30" s="364" t="s">
        <v>101</v>
      </c>
      <c r="M30" s="364" t="s">
        <v>79</v>
      </c>
      <c r="N30" s="365" t="s">
        <v>230</v>
      </c>
      <c r="O30" s="365">
        <v>700</v>
      </c>
      <c r="P30" s="364" t="s">
        <v>90</v>
      </c>
      <c r="Q30" s="364">
        <v>2</v>
      </c>
      <c r="R30" s="364">
        <v>1</v>
      </c>
      <c r="S30" s="364" t="s">
        <v>231</v>
      </c>
      <c r="T30" s="364" t="s">
        <v>74</v>
      </c>
      <c r="U30" s="364" t="s">
        <v>113</v>
      </c>
      <c r="V30" s="364" t="s">
        <v>218</v>
      </c>
      <c r="W30" s="364" t="s">
        <v>113</v>
      </c>
      <c r="X30" s="364" t="s">
        <v>113</v>
      </c>
      <c r="Y30" s="364" t="s">
        <v>74</v>
      </c>
      <c r="AB30" s="11"/>
    </row>
    <row r="31" spans="3:28" ht="13.5" customHeight="1" x14ac:dyDescent="0.25">
      <c r="C31" s="82"/>
      <c r="D31" s="292" t="s">
        <v>74</v>
      </c>
      <c r="E31" s="138"/>
      <c r="F31" s="138"/>
      <c r="H31" s="69" t="str">
        <f t="shared" si="2"/>
        <v>BTR-Regions</v>
      </c>
      <c r="I31" s="69" t="str">
        <f t="shared" si="3"/>
        <v>The Forge</v>
      </c>
      <c r="J31" s="363" t="s">
        <v>211</v>
      </c>
      <c r="L31" s="364" t="s">
        <v>101</v>
      </c>
      <c r="M31" s="364" t="s">
        <v>79</v>
      </c>
      <c r="N31" s="365" t="s">
        <v>232</v>
      </c>
      <c r="O31" s="365">
        <v>689</v>
      </c>
      <c r="P31" s="364" t="s">
        <v>90</v>
      </c>
      <c r="Q31" s="364">
        <v>2</v>
      </c>
      <c r="R31" s="364">
        <v>1</v>
      </c>
      <c r="S31" s="364" t="s">
        <v>233</v>
      </c>
      <c r="T31" s="364" t="s">
        <v>74</v>
      </c>
      <c r="U31" s="364" t="s">
        <v>112</v>
      </c>
      <c r="V31" s="364" t="s">
        <v>218</v>
      </c>
      <c r="W31" s="364" t="s">
        <v>113</v>
      </c>
      <c r="X31" s="364" t="s">
        <v>113</v>
      </c>
      <c r="Y31" s="364" t="s">
        <v>74</v>
      </c>
      <c r="AB31" s="11"/>
    </row>
    <row r="32" spans="3:28" ht="13.5" customHeight="1" x14ac:dyDescent="0.25">
      <c r="C32" s="82"/>
      <c r="D32" s="292" t="s">
        <v>74</v>
      </c>
      <c r="E32" s="138"/>
      <c r="F32" s="138"/>
      <c r="H32" s="69" t="str">
        <f t="shared" si="2"/>
        <v>BTR-Regions</v>
      </c>
      <c r="I32" s="69" t="str">
        <f t="shared" si="3"/>
        <v>The Forge</v>
      </c>
      <c r="J32" s="363" t="s">
        <v>211</v>
      </c>
      <c r="L32" s="364" t="s">
        <v>101</v>
      </c>
      <c r="M32" s="364" t="s">
        <v>79</v>
      </c>
      <c r="N32" s="365" t="s">
        <v>234</v>
      </c>
      <c r="O32" s="365">
        <v>506</v>
      </c>
      <c r="P32" s="364" t="s">
        <v>89</v>
      </c>
      <c r="Q32" s="364">
        <v>1</v>
      </c>
      <c r="R32" s="364" t="s">
        <v>213</v>
      </c>
      <c r="S32" s="364" t="s">
        <v>214</v>
      </c>
      <c r="T32" s="364" t="s">
        <v>74</v>
      </c>
      <c r="U32" s="364" t="s">
        <v>113</v>
      </c>
      <c r="V32" s="364" t="s">
        <v>215</v>
      </c>
      <c r="W32" s="364" t="s">
        <v>113</v>
      </c>
      <c r="X32" s="364" t="s">
        <v>113</v>
      </c>
      <c r="Y32" s="364" t="s">
        <v>74</v>
      </c>
      <c r="AB32" s="11"/>
    </row>
    <row r="33" spans="3:28" ht="13.5" customHeight="1" x14ac:dyDescent="0.25">
      <c r="C33" s="82"/>
      <c r="D33" s="292" t="s">
        <v>74</v>
      </c>
      <c r="E33" s="138"/>
      <c r="F33" s="138"/>
      <c r="H33" s="69" t="str">
        <f t="shared" si="2"/>
        <v>BTR-Regions</v>
      </c>
      <c r="I33" s="69" t="str">
        <f t="shared" si="3"/>
        <v>The Forge</v>
      </c>
      <c r="J33" s="363" t="s">
        <v>211</v>
      </c>
      <c r="L33" s="364" t="s">
        <v>101</v>
      </c>
      <c r="M33" s="364" t="s">
        <v>79</v>
      </c>
      <c r="N33" s="365" t="s">
        <v>235</v>
      </c>
      <c r="O33" s="365">
        <v>538</v>
      </c>
      <c r="P33" s="364" t="s">
        <v>89</v>
      </c>
      <c r="Q33" s="364">
        <v>1</v>
      </c>
      <c r="R33" s="364" t="s">
        <v>213</v>
      </c>
      <c r="S33" s="364" t="s">
        <v>214</v>
      </c>
      <c r="T33" s="364" t="s">
        <v>74</v>
      </c>
      <c r="U33" s="364" t="s">
        <v>113</v>
      </c>
      <c r="V33" s="364" t="s">
        <v>215</v>
      </c>
      <c r="W33" s="364" t="s">
        <v>113</v>
      </c>
      <c r="X33" s="364" t="s">
        <v>113</v>
      </c>
      <c r="Y33" s="364" t="s">
        <v>74</v>
      </c>
      <c r="AB33" s="11"/>
    </row>
    <row r="34" spans="3:28" ht="13.5" customHeight="1" x14ac:dyDescent="0.25">
      <c r="C34" s="82"/>
      <c r="D34" s="292" t="s">
        <v>74</v>
      </c>
      <c r="E34" s="138"/>
      <c r="F34" s="138"/>
      <c r="H34" s="69" t="str">
        <f t="shared" si="2"/>
        <v>BTR-Regions</v>
      </c>
      <c r="I34" s="69" t="str">
        <f t="shared" si="3"/>
        <v>The Forge</v>
      </c>
      <c r="J34" s="363" t="s">
        <v>211</v>
      </c>
      <c r="L34" s="364" t="s">
        <v>101</v>
      </c>
      <c r="M34" s="364" t="s">
        <v>79</v>
      </c>
      <c r="N34" s="365" t="s">
        <v>236</v>
      </c>
      <c r="O34" s="365">
        <v>560</v>
      </c>
      <c r="P34" s="364" t="s">
        <v>89</v>
      </c>
      <c r="Q34" s="364">
        <v>1</v>
      </c>
      <c r="R34" s="364" t="s">
        <v>213</v>
      </c>
      <c r="S34" s="364" t="s">
        <v>214</v>
      </c>
      <c r="T34" s="364" t="s">
        <v>74</v>
      </c>
      <c r="U34" s="364" t="s">
        <v>113</v>
      </c>
      <c r="V34" s="364" t="s">
        <v>215</v>
      </c>
      <c r="W34" s="364" t="s">
        <v>237</v>
      </c>
      <c r="X34" s="364" t="s">
        <v>113</v>
      </c>
      <c r="Y34" s="364" t="s">
        <v>74</v>
      </c>
      <c r="AB34" s="11"/>
    </row>
    <row r="35" spans="3:28" ht="13.5" customHeight="1" x14ac:dyDescent="0.25">
      <c r="C35" s="82"/>
      <c r="D35" s="292" t="s">
        <v>74</v>
      </c>
      <c r="E35" s="138"/>
      <c r="F35" s="138"/>
      <c r="H35" s="69" t="str">
        <f t="shared" si="2"/>
        <v>BTR-Regions</v>
      </c>
      <c r="I35" s="69" t="str">
        <f t="shared" si="3"/>
        <v>The Forge</v>
      </c>
      <c r="J35" s="363" t="s">
        <v>211</v>
      </c>
      <c r="L35" s="364" t="s">
        <v>101</v>
      </c>
      <c r="M35" s="364" t="s">
        <v>79</v>
      </c>
      <c r="N35" s="365" t="s">
        <v>238</v>
      </c>
      <c r="O35" s="365">
        <v>624</v>
      </c>
      <c r="P35" s="364" t="s">
        <v>90</v>
      </c>
      <c r="Q35" s="364">
        <v>2</v>
      </c>
      <c r="R35" s="364" t="s">
        <v>213</v>
      </c>
      <c r="S35" s="364" t="s">
        <v>214</v>
      </c>
      <c r="T35" s="364" t="s">
        <v>74</v>
      </c>
      <c r="U35" s="364" t="s">
        <v>113</v>
      </c>
      <c r="V35" s="364" t="s">
        <v>215</v>
      </c>
      <c r="W35" s="364" t="s">
        <v>113</v>
      </c>
      <c r="X35" s="364" t="s">
        <v>113</v>
      </c>
      <c r="Y35" s="364" t="s">
        <v>74</v>
      </c>
      <c r="AB35" s="11"/>
    </row>
    <row r="36" spans="3:28" ht="13.5" customHeight="1" x14ac:dyDescent="0.25">
      <c r="C36" s="82"/>
      <c r="D36" s="292" t="s">
        <v>74</v>
      </c>
      <c r="E36" s="197"/>
      <c r="F36" s="138"/>
      <c r="H36" s="69" t="str">
        <f t="shared" si="2"/>
        <v>BTR-Regions</v>
      </c>
      <c r="I36" s="69" t="str">
        <f t="shared" si="3"/>
        <v>The Forge</v>
      </c>
      <c r="J36" s="363" t="s">
        <v>211</v>
      </c>
      <c r="L36" s="364" t="s">
        <v>101</v>
      </c>
      <c r="M36" s="364" t="s">
        <v>79</v>
      </c>
      <c r="N36" s="365" t="s">
        <v>239</v>
      </c>
      <c r="O36" s="365">
        <v>624</v>
      </c>
      <c r="P36" s="364" t="s">
        <v>90</v>
      </c>
      <c r="Q36" s="364">
        <v>2</v>
      </c>
      <c r="R36" s="364" t="s">
        <v>213</v>
      </c>
      <c r="S36" s="364" t="s">
        <v>214</v>
      </c>
      <c r="T36" s="364" t="s">
        <v>74</v>
      </c>
      <c r="U36" s="364" t="s">
        <v>113</v>
      </c>
      <c r="V36" s="364" t="s">
        <v>215</v>
      </c>
      <c r="W36" s="364" t="s">
        <v>113</v>
      </c>
      <c r="X36" s="364" t="s">
        <v>113</v>
      </c>
      <c r="Y36" s="364" t="s">
        <v>74</v>
      </c>
      <c r="AB36" s="11"/>
    </row>
    <row r="37" spans="3:28" ht="13.5" customHeight="1" x14ac:dyDescent="0.25">
      <c r="C37" s="82"/>
      <c r="D37" s="292" t="s">
        <v>74</v>
      </c>
      <c r="E37" s="138"/>
      <c r="F37" s="138"/>
      <c r="H37" s="69" t="str">
        <f t="shared" si="2"/>
        <v>BTR-Regions</v>
      </c>
      <c r="I37" s="69" t="str">
        <f t="shared" si="3"/>
        <v>The Forge</v>
      </c>
      <c r="J37" s="363" t="s">
        <v>211</v>
      </c>
      <c r="L37" s="364" t="s">
        <v>101</v>
      </c>
      <c r="M37" s="364" t="s">
        <v>79</v>
      </c>
      <c r="N37" s="365" t="s">
        <v>240</v>
      </c>
      <c r="O37" s="365">
        <v>484</v>
      </c>
      <c r="P37" s="364" t="s">
        <v>89</v>
      </c>
      <c r="Q37" s="364">
        <v>1</v>
      </c>
      <c r="R37" s="364">
        <v>2</v>
      </c>
      <c r="S37" s="364" t="s">
        <v>214</v>
      </c>
      <c r="T37" s="364" t="s">
        <v>74</v>
      </c>
      <c r="U37" s="364" t="s">
        <v>113</v>
      </c>
      <c r="V37" s="364" t="s">
        <v>218</v>
      </c>
      <c r="W37" s="364" t="s">
        <v>113</v>
      </c>
      <c r="X37" s="364" t="s">
        <v>113</v>
      </c>
      <c r="Y37" s="364" t="s">
        <v>74</v>
      </c>
      <c r="AB37" s="11"/>
    </row>
    <row r="38" spans="3:28" ht="13.5" customHeight="1" x14ac:dyDescent="0.25">
      <c r="C38" s="82"/>
      <c r="D38" s="292" t="s">
        <v>74</v>
      </c>
      <c r="E38" s="138"/>
      <c r="F38" s="138"/>
      <c r="H38" s="69" t="str">
        <f t="shared" si="2"/>
        <v>BTR-Regions</v>
      </c>
      <c r="I38" s="69" t="str">
        <f t="shared" si="3"/>
        <v>The Forge</v>
      </c>
      <c r="J38" s="363" t="s">
        <v>211</v>
      </c>
      <c r="L38" s="364" t="s">
        <v>101</v>
      </c>
      <c r="M38" s="364" t="s">
        <v>79</v>
      </c>
      <c r="N38" s="365" t="s">
        <v>241</v>
      </c>
      <c r="O38" s="365">
        <v>678</v>
      </c>
      <c r="P38" s="364" t="s">
        <v>90</v>
      </c>
      <c r="Q38" s="364">
        <v>2</v>
      </c>
      <c r="R38" s="364">
        <v>2</v>
      </c>
      <c r="S38" s="364" t="s">
        <v>214</v>
      </c>
      <c r="T38" s="364" t="s">
        <v>74</v>
      </c>
      <c r="U38" s="364" t="s">
        <v>113</v>
      </c>
      <c r="V38" s="364" t="s">
        <v>218</v>
      </c>
      <c r="W38" s="364" t="s">
        <v>113</v>
      </c>
      <c r="X38" s="364" t="s">
        <v>113</v>
      </c>
      <c r="Y38" s="364" t="s">
        <v>74</v>
      </c>
      <c r="AB38" s="11"/>
    </row>
    <row r="39" spans="3:28" ht="13.5" customHeight="1" x14ac:dyDescent="0.25">
      <c r="C39" s="82"/>
      <c r="D39" s="292" t="s">
        <v>74</v>
      </c>
      <c r="E39" s="138"/>
      <c r="F39" s="138"/>
      <c r="H39" s="69" t="str">
        <f t="shared" si="2"/>
        <v>BTR-Regions</v>
      </c>
      <c r="I39" s="69" t="str">
        <f t="shared" si="3"/>
        <v>The Forge</v>
      </c>
      <c r="J39" s="363" t="s">
        <v>211</v>
      </c>
      <c r="L39" s="364" t="s">
        <v>101</v>
      </c>
      <c r="M39" s="364" t="s">
        <v>79</v>
      </c>
      <c r="N39" s="365" t="s">
        <v>242</v>
      </c>
      <c r="O39" s="365">
        <v>657</v>
      </c>
      <c r="P39" s="364" t="s">
        <v>90</v>
      </c>
      <c r="Q39" s="364">
        <v>2</v>
      </c>
      <c r="R39" s="364">
        <v>2</v>
      </c>
      <c r="S39" s="364" t="s">
        <v>214</v>
      </c>
      <c r="T39" s="364" t="s">
        <v>74</v>
      </c>
      <c r="U39" s="364" t="s">
        <v>113</v>
      </c>
      <c r="V39" s="364" t="s">
        <v>218</v>
      </c>
      <c r="W39" s="364" t="s">
        <v>113</v>
      </c>
      <c r="X39" s="364" t="s">
        <v>113</v>
      </c>
      <c r="Y39" s="364" t="s">
        <v>74</v>
      </c>
      <c r="AB39" s="11"/>
    </row>
    <row r="40" spans="3:28" ht="13.5" customHeight="1" x14ac:dyDescent="0.25">
      <c r="C40" s="82"/>
      <c r="D40" s="292" t="s">
        <v>74</v>
      </c>
      <c r="E40" s="138"/>
      <c r="F40" s="138"/>
      <c r="H40" s="69" t="str">
        <f t="shared" si="2"/>
        <v>BTR-Regions</v>
      </c>
      <c r="I40" s="69" t="str">
        <f t="shared" si="3"/>
        <v>The Forge</v>
      </c>
      <c r="J40" s="363" t="s">
        <v>211</v>
      </c>
      <c r="L40" s="364" t="s">
        <v>101</v>
      </c>
      <c r="M40" s="364" t="s">
        <v>79</v>
      </c>
      <c r="N40" s="365" t="s">
        <v>243</v>
      </c>
      <c r="O40" s="365">
        <v>818</v>
      </c>
      <c r="P40" s="364" t="s">
        <v>91</v>
      </c>
      <c r="Q40" s="364">
        <v>2</v>
      </c>
      <c r="R40" s="364">
        <v>2</v>
      </c>
      <c r="S40" s="364" t="s">
        <v>220</v>
      </c>
      <c r="T40" s="364" t="s">
        <v>74</v>
      </c>
      <c r="U40" s="364" t="s">
        <v>113</v>
      </c>
      <c r="V40" s="364" t="s">
        <v>218</v>
      </c>
      <c r="W40" s="364" t="s">
        <v>113</v>
      </c>
      <c r="X40" s="364" t="s">
        <v>113</v>
      </c>
      <c r="Y40" s="364" t="s">
        <v>74</v>
      </c>
      <c r="AB40" s="11"/>
    </row>
    <row r="41" spans="3:28" ht="13.5" customHeight="1" x14ac:dyDescent="0.25">
      <c r="C41" s="82"/>
      <c r="D41" s="292" t="s">
        <v>74</v>
      </c>
      <c r="E41" s="138"/>
      <c r="F41" s="138"/>
      <c r="H41" s="69" t="str">
        <f t="shared" si="2"/>
        <v>BTR-Regions</v>
      </c>
      <c r="I41" s="69" t="str">
        <f t="shared" si="3"/>
        <v>The Forge</v>
      </c>
      <c r="J41" s="363" t="s">
        <v>211</v>
      </c>
      <c r="L41" s="364" t="s">
        <v>101</v>
      </c>
      <c r="M41" s="364" t="s">
        <v>79</v>
      </c>
      <c r="N41" s="365" t="s">
        <v>244</v>
      </c>
      <c r="O41" s="365">
        <v>667</v>
      </c>
      <c r="P41" s="364" t="s">
        <v>90</v>
      </c>
      <c r="Q41" s="364">
        <v>2</v>
      </c>
      <c r="R41" s="364">
        <v>2</v>
      </c>
      <c r="S41" s="364" t="s">
        <v>222</v>
      </c>
      <c r="T41" s="364" t="s">
        <v>74</v>
      </c>
      <c r="U41" s="364" t="s">
        <v>113</v>
      </c>
      <c r="V41" s="364" t="s">
        <v>218</v>
      </c>
      <c r="W41" s="364" t="s">
        <v>113</v>
      </c>
      <c r="X41" s="364" t="s">
        <v>113</v>
      </c>
      <c r="Y41" s="364" t="s">
        <v>74</v>
      </c>
      <c r="AB41" s="11"/>
    </row>
    <row r="42" spans="3:28" ht="13.5" customHeight="1" x14ac:dyDescent="0.25">
      <c r="C42" s="82"/>
      <c r="D42" s="292" t="s">
        <v>74</v>
      </c>
      <c r="E42" s="138"/>
      <c r="F42" s="138"/>
      <c r="H42" s="69" t="str">
        <f t="shared" si="2"/>
        <v>BTR-Regions</v>
      </c>
      <c r="I42" s="69" t="str">
        <f t="shared" si="3"/>
        <v>The Forge</v>
      </c>
      <c r="J42" s="363" t="s">
        <v>211</v>
      </c>
      <c r="L42" s="364" t="s">
        <v>101</v>
      </c>
      <c r="M42" s="364" t="s">
        <v>79</v>
      </c>
      <c r="N42" s="365" t="s">
        <v>245</v>
      </c>
      <c r="O42" s="365">
        <v>441</v>
      </c>
      <c r="P42" s="364" t="s">
        <v>89</v>
      </c>
      <c r="Q42" s="364">
        <v>1</v>
      </c>
      <c r="R42" s="364">
        <v>2</v>
      </c>
      <c r="S42" s="364" t="s">
        <v>224</v>
      </c>
      <c r="T42" s="364" t="s">
        <v>74</v>
      </c>
      <c r="U42" s="364" t="s">
        <v>113</v>
      </c>
      <c r="V42" s="364" t="s">
        <v>218</v>
      </c>
      <c r="W42" s="364" t="s">
        <v>113</v>
      </c>
      <c r="X42" s="364" t="s">
        <v>225</v>
      </c>
      <c r="Y42" s="364" t="s">
        <v>74</v>
      </c>
      <c r="AB42" s="11"/>
    </row>
    <row r="43" spans="3:28" ht="13.5" customHeight="1" x14ac:dyDescent="0.25">
      <c r="C43" s="82"/>
      <c r="D43" s="292" t="s">
        <v>74</v>
      </c>
      <c r="E43" s="138"/>
      <c r="F43" s="138"/>
      <c r="H43" s="69" t="str">
        <f t="shared" si="2"/>
        <v>BTR-Regions</v>
      </c>
      <c r="I43" s="69" t="str">
        <f t="shared" si="3"/>
        <v>The Forge</v>
      </c>
      <c r="J43" s="363" t="s">
        <v>211</v>
      </c>
      <c r="L43" s="364" t="s">
        <v>101</v>
      </c>
      <c r="M43" s="364" t="s">
        <v>79</v>
      </c>
      <c r="N43" s="365" t="s">
        <v>246</v>
      </c>
      <c r="O43" s="365">
        <v>624</v>
      </c>
      <c r="P43" s="364" t="s">
        <v>90</v>
      </c>
      <c r="Q43" s="364">
        <v>2</v>
      </c>
      <c r="R43" s="364">
        <v>2</v>
      </c>
      <c r="S43" s="364" t="s">
        <v>224</v>
      </c>
      <c r="T43" s="364" t="s">
        <v>74</v>
      </c>
      <c r="U43" s="364" t="s">
        <v>113</v>
      </c>
      <c r="V43" s="364" t="s">
        <v>218</v>
      </c>
      <c r="W43" s="364" t="s">
        <v>113</v>
      </c>
      <c r="X43" s="364" t="s">
        <v>113</v>
      </c>
      <c r="Y43" s="364" t="s">
        <v>74</v>
      </c>
      <c r="AB43" s="11"/>
    </row>
    <row r="44" spans="3:28" ht="13.5" customHeight="1" x14ac:dyDescent="0.25">
      <c r="C44" s="82"/>
      <c r="D44" s="292" t="s">
        <v>74</v>
      </c>
      <c r="E44" s="138"/>
      <c r="F44" s="138"/>
      <c r="H44" s="69" t="str">
        <f t="shared" si="2"/>
        <v>BTR-Regions</v>
      </c>
      <c r="I44" s="69" t="str">
        <f t="shared" si="3"/>
        <v>The Forge</v>
      </c>
      <c r="J44" s="363" t="s">
        <v>211</v>
      </c>
      <c r="L44" s="364" t="s">
        <v>101</v>
      </c>
      <c r="M44" s="364" t="s">
        <v>79</v>
      </c>
      <c r="N44" s="365" t="s">
        <v>247</v>
      </c>
      <c r="O44" s="365">
        <v>624</v>
      </c>
      <c r="P44" s="364" t="s">
        <v>90</v>
      </c>
      <c r="Q44" s="364">
        <v>2</v>
      </c>
      <c r="R44" s="364">
        <v>2</v>
      </c>
      <c r="S44" s="364" t="s">
        <v>224</v>
      </c>
      <c r="T44" s="364" t="s">
        <v>74</v>
      </c>
      <c r="U44" s="364" t="s">
        <v>113</v>
      </c>
      <c r="V44" s="364" t="s">
        <v>218</v>
      </c>
      <c r="W44" s="364" t="s">
        <v>113</v>
      </c>
      <c r="X44" s="364" t="s">
        <v>113</v>
      </c>
      <c r="Y44" s="364" t="s">
        <v>74</v>
      </c>
      <c r="AB44" s="11"/>
    </row>
    <row r="45" spans="3:28" ht="13.5" customHeight="1" x14ac:dyDescent="0.25">
      <c r="C45" s="82"/>
      <c r="D45" s="292" t="s">
        <v>74</v>
      </c>
      <c r="E45" s="138"/>
      <c r="F45" s="138"/>
      <c r="H45" s="69" t="str">
        <f t="shared" si="2"/>
        <v>BTR-Regions</v>
      </c>
      <c r="I45" s="69" t="str">
        <f t="shared" si="3"/>
        <v>The Forge</v>
      </c>
      <c r="J45" s="363" t="s">
        <v>211</v>
      </c>
      <c r="L45" s="364" t="s">
        <v>101</v>
      </c>
      <c r="M45" s="364" t="s">
        <v>79</v>
      </c>
      <c r="N45" s="365" t="s">
        <v>248</v>
      </c>
      <c r="O45" s="365">
        <v>657</v>
      </c>
      <c r="P45" s="364" t="s">
        <v>90</v>
      </c>
      <c r="Q45" s="364">
        <v>2</v>
      </c>
      <c r="R45" s="364">
        <v>2</v>
      </c>
      <c r="S45" s="364" t="s">
        <v>229</v>
      </c>
      <c r="T45" s="364" t="s">
        <v>74</v>
      </c>
      <c r="U45" s="364" t="s">
        <v>113</v>
      </c>
      <c r="V45" s="364" t="s">
        <v>218</v>
      </c>
      <c r="W45" s="364" t="s">
        <v>113</v>
      </c>
      <c r="X45" s="364" t="s">
        <v>113</v>
      </c>
      <c r="Y45" s="364" t="s">
        <v>74</v>
      </c>
      <c r="AB45" s="11"/>
    </row>
    <row r="46" spans="3:28" ht="13.5" customHeight="1" x14ac:dyDescent="0.25">
      <c r="C46" s="82"/>
      <c r="D46" s="292" t="s">
        <v>74</v>
      </c>
      <c r="E46" s="138"/>
      <c r="F46" s="138"/>
      <c r="H46" s="69" t="str">
        <f t="shared" si="2"/>
        <v>BTR-Regions</v>
      </c>
      <c r="I46" s="69" t="str">
        <f t="shared" si="3"/>
        <v>The Forge</v>
      </c>
      <c r="J46" s="363" t="s">
        <v>211</v>
      </c>
      <c r="L46" s="364" t="s">
        <v>101</v>
      </c>
      <c r="M46" s="364" t="s">
        <v>79</v>
      </c>
      <c r="N46" s="365" t="s">
        <v>249</v>
      </c>
      <c r="O46" s="365">
        <v>700</v>
      </c>
      <c r="P46" s="364" t="s">
        <v>90</v>
      </c>
      <c r="Q46" s="364">
        <v>2</v>
      </c>
      <c r="R46" s="364">
        <v>2</v>
      </c>
      <c r="S46" s="364" t="s">
        <v>231</v>
      </c>
      <c r="T46" s="364" t="s">
        <v>74</v>
      </c>
      <c r="U46" s="364" t="s">
        <v>113</v>
      </c>
      <c r="V46" s="364" t="s">
        <v>218</v>
      </c>
      <c r="W46" s="364" t="s">
        <v>113</v>
      </c>
      <c r="X46" s="364" t="s">
        <v>113</v>
      </c>
      <c r="Y46" s="364" t="s">
        <v>74</v>
      </c>
      <c r="AB46" s="11"/>
    </row>
    <row r="47" spans="3:28" ht="13.5" customHeight="1" x14ac:dyDescent="0.25">
      <c r="C47" s="82"/>
      <c r="D47" s="292" t="s">
        <v>74</v>
      </c>
      <c r="E47" s="138"/>
      <c r="F47" s="138"/>
      <c r="H47" s="69" t="str">
        <f t="shared" si="2"/>
        <v>BTR-Regions</v>
      </c>
      <c r="I47" s="69" t="str">
        <f t="shared" si="3"/>
        <v>The Forge</v>
      </c>
      <c r="J47" s="363" t="s">
        <v>211</v>
      </c>
      <c r="L47" s="364" t="s">
        <v>101</v>
      </c>
      <c r="M47" s="364" t="s">
        <v>79</v>
      </c>
      <c r="N47" s="365" t="s">
        <v>250</v>
      </c>
      <c r="O47" s="365">
        <v>689</v>
      </c>
      <c r="P47" s="364" t="s">
        <v>90</v>
      </c>
      <c r="Q47" s="364">
        <v>2</v>
      </c>
      <c r="R47" s="364">
        <v>2</v>
      </c>
      <c r="S47" s="364" t="s">
        <v>233</v>
      </c>
      <c r="T47" s="364" t="s">
        <v>74</v>
      </c>
      <c r="U47" s="364" t="s">
        <v>113</v>
      </c>
      <c r="V47" s="364" t="s">
        <v>218</v>
      </c>
      <c r="W47" s="364" t="s">
        <v>113</v>
      </c>
      <c r="X47" s="364" t="s">
        <v>113</v>
      </c>
      <c r="Y47" s="364" t="s">
        <v>74</v>
      </c>
      <c r="AB47" s="11"/>
    </row>
    <row r="48" spans="3:28" ht="13.5" customHeight="1" x14ac:dyDescent="0.25">
      <c r="C48" s="82"/>
      <c r="D48" s="292" t="s">
        <v>74</v>
      </c>
      <c r="E48" s="138"/>
      <c r="F48" s="138"/>
      <c r="H48" s="69" t="str">
        <f t="shared" si="2"/>
        <v>BTR-Regions</v>
      </c>
      <c r="I48" s="69" t="str">
        <f t="shared" si="3"/>
        <v>The Forge</v>
      </c>
      <c r="J48" s="363" t="s">
        <v>211</v>
      </c>
      <c r="L48" s="364" t="s">
        <v>101</v>
      </c>
      <c r="M48" s="364" t="s">
        <v>79</v>
      </c>
      <c r="N48" s="365" t="s">
        <v>251</v>
      </c>
      <c r="O48" s="365">
        <v>517</v>
      </c>
      <c r="P48" s="364" t="s">
        <v>89</v>
      </c>
      <c r="Q48" s="364">
        <v>1</v>
      </c>
      <c r="R48" s="364">
        <v>2</v>
      </c>
      <c r="S48" s="364" t="s">
        <v>233</v>
      </c>
      <c r="T48" s="364" t="s">
        <v>74</v>
      </c>
      <c r="U48" s="364" t="s">
        <v>113</v>
      </c>
      <c r="V48" s="364" t="s">
        <v>218</v>
      </c>
      <c r="W48" s="364" t="s">
        <v>113</v>
      </c>
      <c r="X48" s="364" t="s">
        <v>113</v>
      </c>
      <c r="Y48" s="364" t="s">
        <v>74</v>
      </c>
      <c r="AB48" s="11"/>
    </row>
    <row r="49" spans="3:28" ht="13.5" customHeight="1" x14ac:dyDescent="0.25">
      <c r="C49" s="82"/>
      <c r="D49" s="292" t="s">
        <v>74</v>
      </c>
      <c r="E49" s="138"/>
      <c r="F49" s="138"/>
      <c r="H49" s="69" t="str">
        <f t="shared" si="2"/>
        <v>BTR-Regions</v>
      </c>
      <c r="I49" s="69" t="str">
        <f t="shared" si="3"/>
        <v>The Forge</v>
      </c>
      <c r="J49" s="363" t="s">
        <v>211</v>
      </c>
      <c r="L49" s="364" t="s">
        <v>101</v>
      </c>
      <c r="M49" s="364" t="s">
        <v>79</v>
      </c>
      <c r="N49" s="365" t="s">
        <v>252</v>
      </c>
      <c r="O49" s="365">
        <v>538</v>
      </c>
      <c r="P49" s="364" t="s">
        <v>89</v>
      </c>
      <c r="Q49" s="364">
        <v>1</v>
      </c>
      <c r="R49" s="364">
        <v>2</v>
      </c>
      <c r="S49" s="364" t="s">
        <v>214</v>
      </c>
      <c r="T49" s="364" t="s">
        <v>74</v>
      </c>
      <c r="U49" s="364" t="s">
        <v>113</v>
      </c>
      <c r="V49" s="364" t="s">
        <v>218</v>
      </c>
      <c r="W49" s="364" t="s">
        <v>113</v>
      </c>
      <c r="X49" s="364" t="s">
        <v>113</v>
      </c>
      <c r="Y49" s="364" t="s">
        <v>74</v>
      </c>
      <c r="AB49" s="11"/>
    </row>
    <row r="50" spans="3:28" ht="13.5" customHeight="1" x14ac:dyDescent="0.25">
      <c r="C50" s="82"/>
      <c r="D50" s="292" t="s">
        <v>74</v>
      </c>
      <c r="E50" s="138"/>
      <c r="F50" s="138"/>
      <c r="H50" s="69" t="str">
        <f t="shared" si="2"/>
        <v>BTR-Regions</v>
      </c>
      <c r="I50" s="69" t="str">
        <f t="shared" si="3"/>
        <v>The Forge</v>
      </c>
      <c r="J50" s="363" t="s">
        <v>211</v>
      </c>
      <c r="L50" s="364" t="s">
        <v>101</v>
      </c>
      <c r="M50" s="364" t="s">
        <v>79</v>
      </c>
      <c r="N50" s="365" t="s">
        <v>253</v>
      </c>
      <c r="O50" s="365">
        <v>560</v>
      </c>
      <c r="P50" s="364" t="s">
        <v>89</v>
      </c>
      <c r="Q50" s="364">
        <v>1</v>
      </c>
      <c r="R50" s="364">
        <v>2</v>
      </c>
      <c r="S50" s="364" t="s">
        <v>214</v>
      </c>
      <c r="T50" s="364" t="s">
        <v>74</v>
      </c>
      <c r="U50" s="364" t="s">
        <v>113</v>
      </c>
      <c r="V50" s="364" t="s">
        <v>218</v>
      </c>
      <c r="W50" s="364" t="s">
        <v>237</v>
      </c>
      <c r="X50" s="364" t="s">
        <v>113</v>
      </c>
      <c r="Y50" s="364" t="s">
        <v>74</v>
      </c>
      <c r="AB50" s="11"/>
    </row>
    <row r="51" spans="3:28" ht="13.5" customHeight="1" x14ac:dyDescent="0.25">
      <c r="C51" s="82"/>
      <c r="D51" s="292" t="s">
        <v>74</v>
      </c>
      <c r="E51" s="138"/>
      <c r="F51" s="138"/>
      <c r="H51" s="69" t="str">
        <f t="shared" si="2"/>
        <v>BTR-Regions</v>
      </c>
      <c r="I51" s="69" t="str">
        <f t="shared" si="3"/>
        <v>The Forge</v>
      </c>
      <c r="J51" s="363" t="s">
        <v>211</v>
      </c>
      <c r="L51" s="364" t="s">
        <v>101</v>
      </c>
      <c r="M51" s="364" t="s">
        <v>79</v>
      </c>
      <c r="N51" s="365" t="s">
        <v>254</v>
      </c>
      <c r="O51" s="365">
        <v>624</v>
      </c>
      <c r="P51" s="364" t="s">
        <v>90</v>
      </c>
      <c r="Q51" s="364">
        <v>2</v>
      </c>
      <c r="R51" s="364">
        <v>2</v>
      </c>
      <c r="S51" s="364" t="s">
        <v>214</v>
      </c>
      <c r="T51" s="364" t="s">
        <v>74</v>
      </c>
      <c r="U51" s="364" t="s">
        <v>113</v>
      </c>
      <c r="V51" s="364" t="s">
        <v>218</v>
      </c>
      <c r="W51" s="364" t="s">
        <v>113</v>
      </c>
      <c r="X51" s="364" t="s">
        <v>113</v>
      </c>
      <c r="Y51" s="364" t="s">
        <v>74</v>
      </c>
      <c r="AB51" s="11"/>
    </row>
    <row r="52" spans="3:28" ht="13.5" customHeight="1" x14ac:dyDescent="0.25">
      <c r="C52" s="82"/>
      <c r="D52" s="292" t="s">
        <v>74</v>
      </c>
      <c r="E52" s="138"/>
      <c r="F52" s="138"/>
      <c r="H52" s="69" t="str">
        <f t="shared" si="2"/>
        <v>BTR-Regions</v>
      </c>
      <c r="I52" s="69" t="str">
        <f t="shared" si="3"/>
        <v>The Forge</v>
      </c>
      <c r="J52" s="363" t="s">
        <v>211</v>
      </c>
      <c r="L52" s="364" t="s">
        <v>101</v>
      </c>
      <c r="M52" s="364" t="s">
        <v>79</v>
      </c>
      <c r="N52" s="365" t="s">
        <v>255</v>
      </c>
      <c r="O52" s="365">
        <v>624</v>
      </c>
      <c r="P52" s="364" t="s">
        <v>90</v>
      </c>
      <c r="Q52" s="364">
        <v>2</v>
      </c>
      <c r="R52" s="364">
        <v>2</v>
      </c>
      <c r="S52" s="364" t="s">
        <v>214</v>
      </c>
      <c r="T52" s="364" t="s">
        <v>74</v>
      </c>
      <c r="U52" s="364" t="s">
        <v>113</v>
      </c>
      <c r="V52" s="364" t="s">
        <v>218</v>
      </c>
      <c r="W52" s="364" t="s">
        <v>113</v>
      </c>
      <c r="X52" s="364" t="s">
        <v>113</v>
      </c>
      <c r="Y52" s="364" t="s">
        <v>74</v>
      </c>
      <c r="AB52" s="11"/>
    </row>
    <row r="53" spans="3:28" ht="13.5" customHeight="1" x14ac:dyDescent="0.25">
      <c r="C53" s="82"/>
      <c r="D53" s="292" t="s">
        <v>74</v>
      </c>
      <c r="E53" s="138"/>
      <c r="F53" s="138"/>
      <c r="H53" s="69" t="str">
        <f t="shared" si="2"/>
        <v>BTR-Regions</v>
      </c>
      <c r="I53" s="69" t="str">
        <f t="shared" si="3"/>
        <v>The Forge</v>
      </c>
      <c r="J53" s="363" t="s">
        <v>211</v>
      </c>
      <c r="L53" s="364" t="s">
        <v>101</v>
      </c>
      <c r="M53" s="364" t="s">
        <v>79</v>
      </c>
      <c r="N53" s="365" t="s">
        <v>256</v>
      </c>
      <c r="O53" s="365">
        <v>484</v>
      </c>
      <c r="P53" s="364" t="s">
        <v>89</v>
      </c>
      <c r="Q53" s="364">
        <v>1</v>
      </c>
      <c r="R53" s="364">
        <v>3</v>
      </c>
      <c r="S53" s="364" t="s">
        <v>214</v>
      </c>
      <c r="T53" s="364" t="s">
        <v>74</v>
      </c>
      <c r="U53" s="364" t="s">
        <v>113</v>
      </c>
      <c r="V53" s="364" t="s">
        <v>218</v>
      </c>
      <c r="W53" s="364" t="s">
        <v>113</v>
      </c>
      <c r="X53" s="364" t="s">
        <v>113</v>
      </c>
      <c r="Y53" s="364" t="s">
        <v>74</v>
      </c>
      <c r="AB53" s="11"/>
    </row>
    <row r="54" spans="3:28" ht="13.5" customHeight="1" x14ac:dyDescent="0.25">
      <c r="C54" s="82"/>
      <c r="D54" s="292" t="s">
        <v>74</v>
      </c>
      <c r="E54" s="138"/>
      <c r="F54" s="138"/>
      <c r="H54" s="69" t="str">
        <f t="shared" si="2"/>
        <v>BTR-Regions</v>
      </c>
      <c r="I54" s="69" t="str">
        <f t="shared" si="3"/>
        <v>The Forge</v>
      </c>
      <c r="J54" s="363" t="s">
        <v>211</v>
      </c>
      <c r="L54" s="364" t="s">
        <v>101</v>
      </c>
      <c r="M54" s="364" t="s">
        <v>79</v>
      </c>
      <c r="N54" s="365" t="s">
        <v>257</v>
      </c>
      <c r="O54" s="365">
        <v>678</v>
      </c>
      <c r="P54" s="364" t="s">
        <v>90</v>
      </c>
      <c r="Q54" s="364">
        <v>2</v>
      </c>
      <c r="R54" s="364">
        <v>3</v>
      </c>
      <c r="S54" s="364" t="s">
        <v>214</v>
      </c>
      <c r="T54" s="364" t="s">
        <v>74</v>
      </c>
      <c r="U54" s="364" t="s">
        <v>113</v>
      </c>
      <c r="V54" s="364" t="s">
        <v>218</v>
      </c>
      <c r="W54" s="364" t="s">
        <v>113</v>
      </c>
      <c r="X54" s="364" t="s">
        <v>113</v>
      </c>
      <c r="Y54" s="364" t="s">
        <v>74</v>
      </c>
      <c r="AB54" s="11"/>
    </row>
    <row r="55" spans="3:28" ht="13.5" customHeight="1" x14ac:dyDescent="0.2">
      <c r="C55" s="82"/>
      <c r="D55" s="292" t="s">
        <v>74</v>
      </c>
      <c r="E55" s="138"/>
      <c r="F55" s="138"/>
      <c r="H55" s="69" t="str">
        <f t="shared" si="2"/>
        <v>BTR-Regions</v>
      </c>
      <c r="I55" s="69" t="str">
        <f t="shared" si="3"/>
        <v>The Forge</v>
      </c>
      <c r="J55" s="363" t="s">
        <v>211</v>
      </c>
      <c r="L55" s="364" t="s">
        <v>101</v>
      </c>
      <c r="M55" s="364" t="s">
        <v>79</v>
      </c>
      <c r="N55" s="365" t="s">
        <v>258</v>
      </c>
      <c r="O55" s="365">
        <v>657</v>
      </c>
      <c r="P55" s="364" t="s">
        <v>90</v>
      </c>
      <c r="Q55" s="364">
        <v>2</v>
      </c>
      <c r="R55" s="364">
        <v>3</v>
      </c>
      <c r="S55" s="364" t="s">
        <v>214</v>
      </c>
      <c r="T55" s="364" t="s">
        <v>74</v>
      </c>
      <c r="U55" s="364" t="s">
        <v>113</v>
      </c>
      <c r="V55" s="364" t="s">
        <v>218</v>
      </c>
      <c r="W55" s="364" t="s">
        <v>113</v>
      </c>
      <c r="X55" s="364" t="s">
        <v>113</v>
      </c>
      <c r="Y55" s="364" t="s">
        <v>74</v>
      </c>
    </row>
    <row r="56" spans="3:28" ht="13.5" customHeight="1" x14ac:dyDescent="0.2">
      <c r="C56" s="82"/>
      <c r="D56" s="292" t="s">
        <v>74</v>
      </c>
      <c r="E56" s="138"/>
      <c r="F56" s="138"/>
      <c r="H56" s="69" t="str">
        <f t="shared" si="2"/>
        <v>BTR-Regions</v>
      </c>
      <c r="I56" s="69" t="str">
        <f t="shared" si="3"/>
        <v>The Forge</v>
      </c>
      <c r="J56" s="363" t="s">
        <v>211</v>
      </c>
      <c r="L56" s="364" t="s">
        <v>101</v>
      </c>
      <c r="M56" s="364" t="s">
        <v>79</v>
      </c>
      <c r="N56" s="365" t="s">
        <v>259</v>
      </c>
      <c r="O56" s="365">
        <v>818</v>
      </c>
      <c r="P56" s="364" t="s">
        <v>91</v>
      </c>
      <c r="Q56" s="364">
        <v>2</v>
      </c>
      <c r="R56" s="364">
        <v>3</v>
      </c>
      <c r="S56" s="364" t="s">
        <v>220</v>
      </c>
      <c r="T56" s="364" t="s">
        <v>74</v>
      </c>
      <c r="U56" s="364" t="s">
        <v>113</v>
      </c>
      <c r="V56" s="364" t="s">
        <v>218</v>
      </c>
      <c r="W56" s="364" t="s">
        <v>113</v>
      </c>
      <c r="X56" s="364" t="s">
        <v>113</v>
      </c>
      <c r="Y56" s="364" t="s">
        <v>74</v>
      </c>
    </row>
    <row r="57" spans="3:28" ht="13.5" customHeight="1" x14ac:dyDescent="0.2">
      <c r="C57" s="82"/>
      <c r="D57" s="292" t="s">
        <v>74</v>
      </c>
      <c r="E57" s="138"/>
      <c r="F57" s="138"/>
      <c r="H57" s="69" t="str">
        <f t="shared" si="2"/>
        <v>BTR-Regions</v>
      </c>
      <c r="I57" s="69" t="str">
        <f t="shared" si="3"/>
        <v>The Forge</v>
      </c>
      <c r="J57" s="363" t="s">
        <v>211</v>
      </c>
      <c r="L57" s="364" t="s">
        <v>101</v>
      </c>
      <c r="M57" s="364" t="s">
        <v>79</v>
      </c>
      <c r="N57" s="365" t="s">
        <v>260</v>
      </c>
      <c r="O57" s="365">
        <v>667</v>
      </c>
      <c r="P57" s="364" t="s">
        <v>90</v>
      </c>
      <c r="Q57" s="364">
        <v>2</v>
      </c>
      <c r="R57" s="364">
        <v>3</v>
      </c>
      <c r="S57" s="364" t="s">
        <v>222</v>
      </c>
      <c r="T57" s="364" t="s">
        <v>74</v>
      </c>
      <c r="U57" s="364" t="s">
        <v>113</v>
      </c>
      <c r="V57" s="364" t="s">
        <v>218</v>
      </c>
      <c r="W57" s="364" t="s">
        <v>113</v>
      </c>
      <c r="X57" s="364" t="s">
        <v>113</v>
      </c>
      <c r="Y57" s="364" t="s">
        <v>74</v>
      </c>
    </row>
    <row r="58" spans="3:28" ht="13.5" customHeight="1" x14ac:dyDescent="0.2">
      <c r="C58" s="82"/>
      <c r="D58" s="292" t="s">
        <v>74</v>
      </c>
      <c r="E58" s="138"/>
      <c r="F58" s="138"/>
      <c r="H58" s="69" t="str">
        <f t="shared" si="2"/>
        <v>BTR-Regions</v>
      </c>
      <c r="I58" s="69" t="str">
        <f t="shared" si="3"/>
        <v>The Forge</v>
      </c>
      <c r="J58" s="363" t="s">
        <v>211</v>
      </c>
      <c r="L58" s="364" t="s">
        <v>101</v>
      </c>
      <c r="M58" s="364" t="s">
        <v>79</v>
      </c>
      <c r="N58" s="365" t="s">
        <v>261</v>
      </c>
      <c r="O58" s="365">
        <v>441</v>
      </c>
      <c r="P58" s="364" t="s">
        <v>89</v>
      </c>
      <c r="Q58" s="364">
        <v>1</v>
      </c>
      <c r="R58" s="364">
        <v>3</v>
      </c>
      <c r="S58" s="364" t="s">
        <v>224</v>
      </c>
      <c r="T58" s="364" t="s">
        <v>74</v>
      </c>
      <c r="U58" s="364" t="s">
        <v>113</v>
      </c>
      <c r="V58" s="364" t="s">
        <v>218</v>
      </c>
      <c r="W58" s="364" t="s">
        <v>113</v>
      </c>
      <c r="X58" s="364" t="s">
        <v>225</v>
      </c>
      <c r="Y58" s="364" t="s">
        <v>74</v>
      </c>
    </row>
    <row r="59" spans="3:28" ht="13.5" customHeight="1" x14ac:dyDescent="0.2">
      <c r="C59" s="82"/>
      <c r="D59" s="292" t="s">
        <v>74</v>
      </c>
      <c r="E59" s="138"/>
      <c r="F59" s="138"/>
      <c r="H59" s="69" t="str">
        <f t="shared" si="2"/>
        <v>BTR-Regions</v>
      </c>
      <c r="I59" s="69" t="str">
        <f t="shared" si="3"/>
        <v>The Forge</v>
      </c>
      <c r="J59" s="363" t="s">
        <v>211</v>
      </c>
      <c r="L59" s="364" t="s">
        <v>101</v>
      </c>
      <c r="M59" s="364" t="s">
        <v>79</v>
      </c>
      <c r="N59" s="365" t="s">
        <v>262</v>
      </c>
      <c r="O59" s="365">
        <v>624</v>
      </c>
      <c r="P59" s="364" t="s">
        <v>90</v>
      </c>
      <c r="Q59" s="364">
        <v>2</v>
      </c>
      <c r="R59" s="364">
        <v>3</v>
      </c>
      <c r="S59" s="364" t="s">
        <v>224</v>
      </c>
      <c r="T59" s="364" t="s">
        <v>74</v>
      </c>
      <c r="U59" s="364" t="s">
        <v>113</v>
      </c>
      <c r="V59" s="364" t="s">
        <v>218</v>
      </c>
      <c r="W59" s="364" t="s">
        <v>113</v>
      </c>
      <c r="X59" s="364" t="s">
        <v>113</v>
      </c>
      <c r="Y59" s="364" t="s">
        <v>74</v>
      </c>
    </row>
    <row r="60" spans="3:28" ht="13.5" customHeight="1" x14ac:dyDescent="0.2">
      <c r="C60" s="82"/>
      <c r="D60" s="292" t="s">
        <v>74</v>
      </c>
      <c r="E60" s="138"/>
      <c r="F60" s="138"/>
      <c r="H60" s="69" t="str">
        <f t="shared" si="2"/>
        <v>BTR-Regions</v>
      </c>
      <c r="I60" s="69" t="str">
        <f t="shared" si="3"/>
        <v>The Forge</v>
      </c>
      <c r="J60" s="363" t="s">
        <v>211</v>
      </c>
      <c r="L60" s="364" t="s">
        <v>101</v>
      </c>
      <c r="M60" s="364" t="s">
        <v>79</v>
      </c>
      <c r="N60" s="365" t="s">
        <v>263</v>
      </c>
      <c r="O60" s="365">
        <v>624</v>
      </c>
      <c r="P60" s="364" t="s">
        <v>90</v>
      </c>
      <c r="Q60" s="364">
        <v>2</v>
      </c>
      <c r="R60" s="364">
        <v>3</v>
      </c>
      <c r="S60" s="364" t="s">
        <v>224</v>
      </c>
      <c r="T60" s="364" t="s">
        <v>74</v>
      </c>
      <c r="U60" s="364" t="s">
        <v>113</v>
      </c>
      <c r="V60" s="364" t="s">
        <v>218</v>
      </c>
      <c r="W60" s="364" t="s">
        <v>113</v>
      </c>
      <c r="X60" s="364" t="s">
        <v>113</v>
      </c>
      <c r="Y60" s="364" t="s">
        <v>74</v>
      </c>
    </row>
    <row r="61" spans="3:28" ht="13.5" customHeight="1" x14ac:dyDescent="0.2">
      <c r="C61" s="82"/>
      <c r="D61" s="292" t="s">
        <v>74</v>
      </c>
      <c r="E61" s="138"/>
      <c r="F61" s="138"/>
      <c r="H61" s="69" t="str">
        <f t="shared" si="2"/>
        <v>BTR-Regions</v>
      </c>
      <c r="I61" s="69" t="str">
        <f t="shared" si="3"/>
        <v>The Forge</v>
      </c>
      <c r="J61" s="363" t="s">
        <v>211</v>
      </c>
      <c r="L61" s="364" t="s">
        <v>101</v>
      </c>
      <c r="M61" s="364" t="s">
        <v>79</v>
      </c>
      <c r="N61" s="365" t="s">
        <v>264</v>
      </c>
      <c r="O61" s="365">
        <v>657</v>
      </c>
      <c r="P61" s="364" t="s">
        <v>90</v>
      </c>
      <c r="Q61" s="364">
        <v>2</v>
      </c>
      <c r="R61" s="364">
        <v>3</v>
      </c>
      <c r="S61" s="364" t="s">
        <v>229</v>
      </c>
      <c r="T61" s="364" t="s">
        <v>74</v>
      </c>
      <c r="U61" s="364" t="s">
        <v>113</v>
      </c>
      <c r="V61" s="364" t="s">
        <v>218</v>
      </c>
      <c r="W61" s="364" t="s">
        <v>113</v>
      </c>
      <c r="X61" s="364" t="s">
        <v>113</v>
      </c>
      <c r="Y61" s="364" t="s">
        <v>74</v>
      </c>
    </row>
    <row r="62" spans="3:28" ht="13.5" customHeight="1" x14ac:dyDescent="0.2">
      <c r="C62" s="82"/>
      <c r="D62" s="292" t="s">
        <v>74</v>
      </c>
      <c r="E62" s="138"/>
      <c r="F62" s="138"/>
      <c r="H62" s="69" t="str">
        <f t="shared" si="2"/>
        <v>BTR-Regions</v>
      </c>
      <c r="I62" s="69" t="str">
        <f t="shared" si="3"/>
        <v>The Forge</v>
      </c>
      <c r="J62" s="363" t="s">
        <v>211</v>
      </c>
      <c r="L62" s="364" t="s">
        <v>101</v>
      </c>
      <c r="M62" s="364" t="s">
        <v>79</v>
      </c>
      <c r="N62" s="365" t="s">
        <v>265</v>
      </c>
      <c r="O62" s="365">
        <v>700</v>
      </c>
      <c r="P62" s="364" t="s">
        <v>90</v>
      </c>
      <c r="Q62" s="364">
        <v>2</v>
      </c>
      <c r="R62" s="364">
        <v>3</v>
      </c>
      <c r="S62" s="364" t="s">
        <v>231</v>
      </c>
      <c r="T62" s="364" t="s">
        <v>74</v>
      </c>
      <c r="U62" s="364" t="s">
        <v>113</v>
      </c>
      <c r="V62" s="364" t="s">
        <v>218</v>
      </c>
      <c r="W62" s="364" t="s">
        <v>113</v>
      </c>
      <c r="X62" s="364" t="s">
        <v>113</v>
      </c>
      <c r="Y62" s="364" t="s">
        <v>74</v>
      </c>
    </row>
    <row r="63" spans="3:28" ht="13.5" customHeight="1" x14ac:dyDescent="0.2">
      <c r="C63" s="82"/>
      <c r="D63" s="292" t="s">
        <v>74</v>
      </c>
      <c r="E63" s="138"/>
      <c r="F63" s="138"/>
      <c r="H63" s="69" t="str">
        <f t="shared" si="2"/>
        <v>BTR-Regions</v>
      </c>
      <c r="I63" s="69" t="str">
        <f t="shared" si="3"/>
        <v>The Forge</v>
      </c>
      <c r="J63" s="363" t="s">
        <v>211</v>
      </c>
      <c r="L63" s="364" t="s">
        <v>101</v>
      </c>
      <c r="M63" s="364" t="s">
        <v>79</v>
      </c>
      <c r="N63" s="365" t="s">
        <v>266</v>
      </c>
      <c r="O63" s="365">
        <v>689</v>
      </c>
      <c r="P63" s="364" t="s">
        <v>90</v>
      </c>
      <c r="Q63" s="364">
        <v>2</v>
      </c>
      <c r="R63" s="364">
        <v>3</v>
      </c>
      <c r="S63" s="364" t="s">
        <v>233</v>
      </c>
      <c r="T63" s="364" t="s">
        <v>74</v>
      </c>
      <c r="U63" s="364" t="s">
        <v>113</v>
      </c>
      <c r="V63" s="364" t="s">
        <v>218</v>
      </c>
      <c r="W63" s="364" t="s">
        <v>113</v>
      </c>
      <c r="X63" s="364" t="s">
        <v>113</v>
      </c>
      <c r="Y63" s="364" t="s">
        <v>74</v>
      </c>
    </row>
    <row r="64" spans="3:28" ht="13.5" customHeight="1" x14ac:dyDescent="0.2">
      <c r="C64" s="82"/>
      <c r="D64" s="292" t="s">
        <v>74</v>
      </c>
      <c r="E64" s="138"/>
      <c r="F64" s="138"/>
      <c r="H64" s="69" t="str">
        <f t="shared" si="2"/>
        <v>BTR-Regions</v>
      </c>
      <c r="I64" s="69" t="str">
        <f t="shared" si="3"/>
        <v>The Forge</v>
      </c>
      <c r="J64" s="363" t="s">
        <v>211</v>
      </c>
      <c r="L64" s="364" t="s">
        <v>101</v>
      </c>
      <c r="M64" s="364" t="s">
        <v>79</v>
      </c>
      <c r="N64" s="365" t="s">
        <v>267</v>
      </c>
      <c r="O64" s="365">
        <v>517</v>
      </c>
      <c r="P64" s="364" t="s">
        <v>89</v>
      </c>
      <c r="Q64" s="364">
        <v>1</v>
      </c>
      <c r="R64" s="364">
        <v>3</v>
      </c>
      <c r="S64" s="364" t="s">
        <v>233</v>
      </c>
      <c r="T64" s="364" t="s">
        <v>74</v>
      </c>
      <c r="U64" s="364" t="s">
        <v>113</v>
      </c>
      <c r="V64" s="364" t="s">
        <v>218</v>
      </c>
      <c r="W64" s="364" t="s">
        <v>113</v>
      </c>
      <c r="X64" s="364" t="s">
        <v>113</v>
      </c>
      <c r="Y64" s="364" t="s">
        <v>74</v>
      </c>
    </row>
    <row r="65" spans="3:25" ht="13.5" customHeight="1" x14ac:dyDescent="0.2">
      <c r="C65" s="82"/>
      <c r="D65" s="292" t="s">
        <v>74</v>
      </c>
      <c r="E65" s="138"/>
      <c r="F65" s="138"/>
      <c r="H65" s="69" t="str">
        <f t="shared" si="2"/>
        <v>BTR-Regions</v>
      </c>
      <c r="I65" s="69" t="str">
        <f t="shared" si="3"/>
        <v>The Forge</v>
      </c>
      <c r="J65" s="363" t="s">
        <v>211</v>
      </c>
      <c r="L65" s="364" t="s">
        <v>101</v>
      </c>
      <c r="M65" s="364" t="s">
        <v>79</v>
      </c>
      <c r="N65" s="365" t="s">
        <v>268</v>
      </c>
      <c r="O65" s="365">
        <v>538</v>
      </c>
      <c r="P65" s="364" t="s">
        <v>89</v>
      </c>
      <c r="Q65" s="364">
        <v>1</v>
      </c>
      <c r="R65" s="364">
        <v>3</v>
      </c>
      <c r="S65" s="364" t="s">
        <v>214</v>
      </c>
      <c r="T65" s="364" t="s">
        <v>74</v>
      </c>
      <c r="U65" s="364" t="s">
        <v>113</v>
      </c>
      <c r="V65" s="364" t="s">
        <v>218</v>
      </c>
      <c r="W65" s="364" t="s">
        <v>113</v>
      </c>
      <c r="X65" s="364" t="s">
        <v>113</v>
      </c>
      <c r="Y65" s="364" t="s">
        <v>74</v>
      </c>
    </row>
    <row r="66" spans="3:25" ht="13.5" customHeight="1" x14ac:dyDescent="0.2">
      <c r="C66" s="82"/>
      <c r="D66" s="292" t="s">
        <v>74</v>
      </c>
      <c r="E66" s="138"/>
      <c r="F66" s="138"/>
      <c r="H66" s="69" t="str">
        <f t="shared" si="2"/>
        <v>BTR-Regions</v>
      </c>
      <c r="I66" s="69" t="str">
        <f t="shared" si="3"/>
        <v>The Forge</v>
      </c>
      <c r="J66" s="363" t="s">
        <v>211</v>
      </c>
      <c r="L66" s="364" t="s">
        <v>101</v>
      </c>
      <c r="M66" s="364" t="s">
        <v>79</v>
      </c>
      <c r="N66" s="365" t="s">
        <v>269</v>
      </c>
      <c r="O66" s="365">
        <v>560</v>
      </c>
      <c r="P66" s="364" t="s">
        <v>89</v>
      </c>
      <c r="Q66" s="364">
        <v>1</v>
      </c>
      <c r="R66" s="364">
        <v>3</v>
      </c>
      <c r="S66" s="364" t="s">
        <v>214</v>
      </c>
      <c r="T66" s="364" t="s">
        <v>74</v>
      </c>
      <c r="U66" s="364" t="s">
        <v>113</v>
      </c>
      <c r="V66" s="364" t="s">
        <v>218</v>
      </c>
      <c r="W66" s="364" t="s">
        <v>237</v>
      </c>
      <c r="X66" s="364" t="s">
        <v>113</v>
      </c>
      <c r="Y66" s="364" t="s">
        <v>74</v>
      </c>
    </row>
    <row r="67" spans="3:25" ht="13.5" customHeight="1" x14ac:dyDescent="0.2">
      <c r="C67" s="82"/>
      <c r="D67" s="292" t="s">
        <v>74</v>
      </c>
      <c r="E67" s="138"/>
      <c r="F67" s="138"/>
      <c r="H67" s="69" t="str">
        <f t="shared" si="2"/>
        <v>BTR-Regions</v>
      </c>
      <c r="I67" s="69" t="str">
        <f t="shared" si="3"/>
        <v>The Forge</v>
      </c>
      <c r="J67" s="363" t="s">
        <v>211</v>
      </c>
      <c r="L67" s="364" t="s">
        <v>101</v>
      </c>
      <c r="M67" s="364" t="s">
        <v>79</v>
      </c>
      <c r="N67" s="365" t="s">
        <v>270</v>
      </c>
      <c r="O67" s="365">
        <v>624</v>
      </c>
      <c r="P67" s="364" t="s">
        <v>90</v>
      </c>
      <c r="Q67" s="364">
        <v>2</v>
      </c>
      <c r="R67" s="364">
        <v>3</v>
      </c>
      <c r="S67" s="364" t="s">
        <v>214</v>
      </c>
      <c r="T67" s="364" t="s">
        <v>74</v>
      </c>
      <c r="U67" s="364" t="s">
        <v>113</v>
      </c>
      <c r="V67" s="364" t="s">
        <v>218</v>
      </c>
      <c r="W67" s="364" t="s">
        <v>113</v>
      </c>
      <c r="X67" s="364" t="s">
        <v>113</v>
      </c>
      <c r="Y67" s="364" t="s">
        <v>74</v>
      </c>
    </row>
    <row r="68" spans="3:25" ht="13.5" customHeight="1" x14ac:dyDescent="0.2">
      <c r="C68" s="82"/>
      <c r="D68" s="292" t="s">
        <v>74</v>
      </c>
      <c r="E68" s="138"/>
      <c r="F68" s="138"/>
      <c r="H68" s="69" t="str">
        <f t="shared" si="2"/>
        <v>BTR-Regions</v>
      </c>
      <c r="I68" s="69" t="str">
        <f t="shared" si="3"/>
        <v>The Forge</v>
      </c>
      <c r="J68" s="363" t="s">
        <v>211</v>
      </c>
      <c r="L68" s="364" t="s">
        <v>101</v>
      </c>
      <c r="M68" s="364" t="s">
        <v>79</v>
      </c>
      <c r="N68" s="365" t="s">
        <v>271</v>
      </c>
      <c r="O68" s="365">
        <v>624</v>
      </c>
      <c r="P68" s="364" t="s">
        <v>90</v>
      </c>
      <c r="Q68" s="364">
        <v>2</v>
      </c>
      <c r="R68" s="364">
        <v>3</v>
      </c>
      <c r="S68" s="364" t="s">
        <v>214</v>
      </c>
      <c r="T68" s="364" t="s">
        <v>74</v>
      </c>
      <c r="U68" s="364" t="s">
        <v>113</v>
      </c>
      <c r="V68" s="364" t="s">
        <v>218</v>
      </c>
      <c r="W68" s="364" t="s">
        <v>113</v>
      </c>
      <c r="X68" s="364" t="s">
        <v>113</v>
      </c>
      <c r="Y68" s="364" t="s">
        <v>74</v>
      </c>
    </row>
    <row r="69" spans="3:25" ht="13.5" customHeight="1" x14ac:dyDescent="0.2">
      <c r="C69" s="82"/>
      <c r="D69" s="292" t="s">
        <v>74</v>
      </c>
      <c r="E69" s="138"/>
      <c r="F69" s="138"/>
      <c r="H69" s="69" t="str">
        <f t="shared" si="2"/>
        <v>BTR-Regions</v>
      </c>
      <c r="I69" s="69" t="str">
        <f t="shared" si="3"/>
        <v>The Forge</v>
      </c>
      <c r="J69" s="363" t="s">
        <v>211</v>
      </c>
      <c r="L69" s="364" t="s">
        <v>101</v>
      </c>
      <c r="M69" s="364" t="s">
        <v>79</v>
      </c>
      <c r="N69" s="365" t="s">
        <v>272</v>
      </c>
      <c r="O69" s="365">
        <v>484</v>
      </c>
      <c r="P69" s="364" t="s">
        <v>89</v>
      </c>
      <c r="Q69" s="364">
        <v>1</v>
      </c>
      <c r="R69" s="364">
        <v>4</v>
      </c>
      <c r="S69" s="364" t="s">
        <v>214</v>
      </c>
      <c r="T69" s="364" t="s">
        <v>74</v>
      </c>
      <c r="U69" s="364" t="s">
        <v>113</v>
      </c>
      <c r="V69" s="364" t="s">
        <v>74</v>
      </c>
      <c r="W69" s="364" t="s">
        <v>113</v>
      </c>
      <c r="X69" s="364" t="s">
        <v>113</v>
      </c>
      <c r="Y69" s="364" t="s">
        <v>74</v>
      </c>
    </row>
    <row r="70" spans="3:25" ht="13.5" customHeight="1" x14ac:dyDescent="0.2">
      <c r="C70" s="82"/>
      <c r="D70" s="292" t="s">
        <v>74</v>
      </c>
      <c r="E70" s="138"/>
      <c r="F70" s="138"/>
      <c r="H70" s="69" t="str">
        <f t="shared" si="2"/>
        <v>BTR-Regions</v>
      </c>
      <c r="I70" s="69" t="str">
        <f t="shared" si="3"/>
        <v>The Forge</v>
      </c>
      <c r="J70" s="363" t="s">
        <v>211</v>
      </c>
      <c r="L70" s="364" t="s">
        <v>101</v>
      </c>
      <c r="M70" s="364" t="s">
        <v>79</v>
      </c>
      <c r="N70" s="365" t="s">
        <v>273</v>
      </c>
      <c r="O70" s="365">
        <v>678</v>
      </c>
      <c r="P70" s="364" t="s">
        <v>90</v>
      </c>
      <c r="Q70" s="364">
        <v>2</v>
      </c>
      <c r="R70" s="364">
        <v>4</v>
      </c>
      <c r="S70" s="364" t="s">
        <v>214</v>
      </c>
      <c r="T70" s="364" t="s">
        <v>74</v>
      </c>
      <c r="U70" s="364" t="s">
        <v>113</v>
      </c>
      <c r="V70" s="364" t="s">
        <v>218</v>
      </c>
      <c r="W70" s="364" t="s">
        <v>113</v>
      </c>
      <c r="X70" s="364" t="s">
        <v>113</v>
      </c>
      <c r="Y70" s="364" t="s">
        <v>74</v>
      </c>
    </row>
    <row r="71" spans="3:25" ht="13.5" customHeight="1" x14ac:dyDescent="0.2">
      <c r="C71" s="82"/>
      <c r="D71" s="292" t="s">
        <v>74</v>
      </c>
      <c r="E71" s="138"/>
      <c r="F71" s="138"/>
      <c r="H71" s="69" t="str">
        <f t="shared" si="2"/>
        <v>BTR-Regions</v>
      </c>
      <c r="I71" s="69" t="str">
        <f t="shared" si="3"/>
        <v>The Forge</v>
      </c>
      <c r="J71" s="363" t="s">
        <v>211</v>
      </c>
      <c r="L71" s="364" t="s">
        <v>101</v>
      </c>
      <c r="M71" s="364" t="s">
        <v>79</v>
      </c>
      <c r="N71" s="365" t="s">
        <v>274</v>
      </c>
      <c r="O71" s="365">
        <v>657</v>
      </c>
      <c r="P71" s="364" t="s">
        <v>90</v>
      </c>
      <c r="Q71" s="364">
        <v>2</v>
      </c>
      <c r="R71" s="364">
        <v>4</v>
      </c>
      <c r="S71" s="364" t="s">
        <v>214</v>
      </c>
      <c r="T71" s="364" t="s">
        <v>74</v>
      </c>
      <c r="U71" s="364" t="s">
        <v>113</v>
      </c>
      <c r="V71" s="364" t="s">
        <v>218</v>
      </c>
      <c r="W71" s="364" t="s">
        <v>113</v>
      </c>
      <c r="X71" s="364" t="s">
        <v>113</v>
      </c>
      <c r="Y71" s="364" t="s">
        <v>74</v>
      </c>
    </row>
    <row r="72" spans="3:25" ht="13.5" customHeight="1" x14ac:dyDescent="0.2">
      <c r="C72" s="82"/>
      <c r="D72" s="292" t="s">
        <v>74</v>
      </c>
      <c r="E72" s="138"/>
      <c r="F72" s="138"/>
      <c r="H72" s="69" t="str">
        <f t="shared" si="2"/>
        <v>BTR-Regions</v>
      </c>
      <c r="I72" s="69" t="str">
        <f t="shared" si="3"/>
        <v>The Forge</v>
      </c>
      <c r="J72" s="363" t="s">
        <v>211</v>
      </c>
      <c r="L72" s="364" t="s">
        <v>101</v>
      </c>
      <c r="M72" s="364" t="s">
        <v>79</v>
      </c>
      <c r="N72" s="365" t="s">
        <v>275</v>
      </c>
      <c r="O72" s="365">
        <v>818</v>
      </c>
      <c r="P72" s="364" t="s">
        <v>91</v>
      </c>
      <c r="Q72" s="364">
        <v>2</v>
      </c>
      <c r="R72" s="364">
        <v>4</v>
      </c>
      <c r="S72" s="364" t="s">
        <v>220</v>
      </c>
      <c r="T72" s="364" t="s">
        <v>74</v>
      </c>
      <c r="U72" s="364" t="s">
        <v>113</v>
      </c>
      <c r="V72" s="364" t="s">
        <v>218</v>
      </c>
      <c r="W72" s="364" t="s">
        <v>113</v>
      </c>
      <c r="X72" s="364" t="s">
        <v>113</v>
      </c>
      <c r="Y72" s="364" t="s">
        <v>74</v>
      </c>
    </row>
    <row r="73" spans="3:25" ht="13.5" customHeight="1" x14ac:dyDescent="0.2">
      <c r="C73" s="82"/>
      <c r="D73" s="292" t="s">
        <v>74</v>
      </c>
      <c r="E73" s="138"/>
      <c r="F73" s="138"/>
      <c r="H73" s="69" t="str">
        <f t="shared" si="2"/>
        <v>BTR-Regions</v>
      </c>
      <c r="I73" s="69" t="str">
        <f t="shared" si="3"/>
        <v>The Forge</v>
      </c>
      <c r="J73" s="363" t="s">
        <v>211</v>
      </c>
      <c r="L73" s="364" t="s">
        <v>101</v>
      </c>
      <c r="M73" s="364" t="s">
        <v>79</v>
      </c>
      <c r="N73" s="365" t="s">
        <v>276</v>
      </c>
      <c r="O73" s="365">
        <v>667</v>
      </c>
      <c r="P73" s="364" t="s">
        <v>90</v>
      </c>
      <c r="Q73" s="364">
        <v>2</v>
      </c>
      <c r="R73" s="364">
        <v>4</v>
      </c>
      <c r="S73" s="364" t="s">
        <v>222</v>
      </c>
      <c r="T73" s="364" t="s">
        <v>74</v>
      </c>
      <c r="U73" s="364" t="s">
        <v>113</v>
      </c>
      <c r="V73" s="364" t="s">
        <v>218</v>
      </c>
      <c r="W73" s="364" t="s">
        <v>113</v>
      </c>
      <c r="X73" s="364" t="s">
        <v>113</v>
      </c>
      <c r="Y73" s="364" t="s">
        <v>74</v>
      </c>
    </row>
    <row r="74" spans="3:25" ht="13.5" customHeight="1" x14ac:dyDescent="0.2">
      <c r="C74" s="82"/>
      <c r="D74" s="292" t="s">
        <v>74</v>
      </c>
      <c r="E74" s="138"/>
      <c r="F74" s="138"/>
      <c r="H74" s="69" t="str">
        <f t="shared" si="2"/>
        <v>BTR-Regions</v>
      </c>
      <c r="I74" s="69" t="str">
        <f t="shared" si="3"/>
        <v>The Forge</v>
      </c>
      <c r="J74" s="363" t="s">
        <v>211</v>
      </c>
      <c r="L74" s="364" t="s">
        <v>101</v>
      </c>
      <c r="M74" s="364" t="s">
        <v>79</v>
      </c>
      <c r="N74" s="365" t="s">
        <v>277</v>
      </c>
      <c r="O74" s="365">
        <v>441</v>
      </c>
      <c r="P74" s="364" t="s">
        <v>89</v>
      </c>
      <c r="Q74" s="364">
        <v>1</v>
      </c>
      <c r="R74" s="364">
        <v>4</v>
      </c>
      <c r="S74" s="364" t="s">
        <v>224</v>
      </c>
      <c r="T74" s="364" t="s">
        <v>74</v>
      </c>
      <c r="U74" s="364" t="s">
        <v>113</v>
      </c>
      <c r="V74" s="364" t="s">
        <v>218</v>
      </c>
      <c r="W74" s="364" t="s">
        <v>113</v>
      </c>
      <c r="X74" s="364" t="s">
        <v>225</v>
      </c>
      <c r="Y74" s="364" t="s">
        <v>74</v>
      </c>
    </row>
    <row r="75" spans="3:25" ht="13.5" customHeight="1" x14ac:dyDescent="0.2">
      <c r="C75" s="82"/>
      <c r="D75" s="292" t="s">
        <v>74</v>
      </c>
      <c r="E75" s="138"/>
      <c r="F75" s="138"/>
      <c r="H75" s="69" t="str">
        <f t="shared" si="2"/>
        <v>BTR-Regions</v>
      </c>
      <c r="I75" s="69" t="str">
        <f t="shared" si="3"/>
        <v>The Forge</v>
      </c>
      <c r="J75" s="363" t="s">
        <v>211</v>
      </c>
      <c r="L75" s="364" t="s">
        <v>101</v>
      </c>
      <c r="M75" s="364" t="s">
        <v>79</v>
      </c>
      <c r="N75" s="365" t="s">
        <v>278</v>
      </c>
      <c r="O75" s="365">
        <v>624</v>
      </c>
      <c r="P75" s="364" t="s">
        <v>90</v>
      </c>
      <c r="Q75" s="364">
        <v>2</v>
      </c>
      <c r="R75" s="364">
        <v>4</v>
      </c>
      <c r="S75" s="364" t="s">
        <v>224</v>
      </c>
      <c r="T75" s="364" t="s">
        <v>74</v>
      </c>
      <c r="U75" s="364" t="s">
        <v>113</v>
      </c>
      <c r="V75" s="364" t="s">
        <v>218</v>
      </c>
      <c r="W75" s="364" t="s">
        <v>113</v>
      </c>
      <c r="X75" s="364" t="s">
        <v>113</v>
      </c>
      <c r="Y75" s="364" t="s">
        <v>74</v>
      </c>
    </row>
    <row r="76" spans="3:25" ht="13.5" customHeight="1" x14ac:dyDescent="0.2">
      <c r="C76" s="82"/>
      <c r="D76" s="292" t="s">
        <v>74</v>
      </c>
      <c r="E76" s="138"/>
      <c r="F76" s="138"/>
      <c r="H76" s="69" t="str">
        <f t="shared" si="2"/>
        <v>BTR-Regions</v>
      </c>
      <c r="I76" s="69" t="str">
        <f t="shared" si="3"/>
        <v>The Forge</v>
      </c>
      <c r="J76" s="363" t="s">
        <v>211</v>
      </c>
      <c r="L76" s="364" t="s">
        <v>101</v>
      </c>
      <c r="M76" s="364" t="s">
        <v>79</v>
      </c>
      <c r="N76" s="365" t="s">
        <v>279</v>
      </c>
      <c r="O76" s="365">
        <v>624</v>
      </c>
      <c r="P76" s="364" t="s">
        <v>90</v>
      </c>
      <c r="Q76" s="364">
        <v>2</v>
      </c>
      <c r="R76" s="364">
        <v>4</v>
      </c>
      <c r="S76" s="364" t="s">
        <v>224</v>
      </c>
      <c r="T76" s="364" t="s">
        <v>74</v>
      </c>
      <c r="U76" s="364" t="s">
        <v>113</v>
      </c>
      <c r="V76" s="364" t="s">
        <v>218</v>
      </c>
      <c r="W76" s="364" t="s">
        <v>113</v>
      </c>
      <c r="X76" s="364" t="s">
        <v>113</v>
      </c>
      <c r="Y76" s="364" t="s">
        <v>74</v>
      </c>
    </row>
    <row r="77" spans="3:25" ht="13.5" customHeight="1" x14ac:dyDescent="0.2">
      <c r="C77" s="82"/>
      <c r="D77" s="292" t="s">
        <v>74</v>
      </c>
      <c r="E77" s="138"/>
      <c r="F77" s="138"/>
      <c r="H77" s="69" t="str">
        <f t="shared" si="2"/>
        <v>BTR-Regions</v>
      </c>
      <c r="I77" s="69" t="str">
        <f t="shared" si="3"/>
        <v>The Forge</v>
      </c>
      <c r="J77" s="363" t="s">
        <v>211</v>
      </c>
      <c r="L77" s="364" t="s">
        <v>101</v>
      </c>
      <c r="M77" s="364" t="s">
        <v>79</v>
      </c>
      <c r="N77" s="365" t="s">
        <v>280</v>
      </c>
      <c r="O77" s="365">
        <v>657</v>
      </c>
      <c r="P77" s="364" t="s">
        <v>90</v>
      </c>
      <c r="Q77" s="364">
        <v>2</v>
      </c>
      <c r="R77" s="364">
        <v>4</v>
      </c>
      <c r="S77" s="364" t="s">
        <v>229</v>
      </c>
      <c r="T77" s="364" t="s">
        <v>74</v>
      </c>
      <c r="U77" s="364" t="s">
        <v>113</v>
      </c>
      <c r="V77" s="364" t="s">
        <v>218</v>
      </c>
      <c r="W77" s="364" t="s">
        <v>113</v>
      </c>
      <c r="X77" s="364" t="s">
        <v>113</v>
      </c>
      <c r="Y77" s="364" t="s">
        <v>74</v>
      </c>
    </row>
    <row r="78" spans="3:25" ht="13.5" customHeight="1" x14ac:dyDescent="0.2">
      <c r="C78" s="82"/>
      <c r="D78" s="292" t="s">
        <v>74</v>
      </c>
      <c r="E78" s="138"/>
      <c r="F78" s="138"/>
      <c r="H78" s="69" t="str">
        <f t="shared" si="2"/>
        <v>BTR-Regions</v>
      </c>
      <c r="I78" s="69" t="str">
        <f t="shared" si="3"/>
        <v>The Forge</v>
      </c>
      <c r="J78" s="363" t="s">
        <v>211</v>
      </c>
      <c r="L78" s="364" t="s">
        <v>101</v>
      </c>
      <c r="M78" s="364" t="s">
        <v>79</v>
      </c>
      <c r="N78" s="365" t="s">
        <v>281</v>
      </c>
      <c r="O78" s="365">
        <v>700</v>
      </c>
      <c r="P78" s="364" t="s">
        <v>90</v>
      </c>
      <c r="Q78" s="364">
        <v>2</v>
      </c>
      <c r="R78" s="364">
        <v>4</v>
      </c>
      <c r="S78" s="364" t="s">
        <v>231</v>
      </c>
      <c r="T78" s="364" t="s">
        <v>74</v>
      </c>
      <c r="U78" s="364" t="s">
        <v>113</v>
      </c>
      <c r="V78" s="364" t="s">
        <v>218</v>
      </c>
      <c r="W78" s="364" t="s">
        <v>113</v>
      </c>
      <c r="X78" s="364" t="s">
        <v>113</v>
      </c>
      <c r="Y78" s="364" t="s">
        <v>74</v>
      </c>
    </row>
    <row r="79" spans="3:25" ht="13.5" customHeight="1" x14ac:dyDescent="0.2">
      <c r="C79" s="82"/>
      <c r="D79" s="292" t="s">
        <v>74</v>
      </c>
      <c r="E79" s="138"/>
      <c r="F79" s="138"/>
      <c r="H79" s="69" t="str">
        <f t="shared" si="2"/>
        <v>BTR-Regions</v>
      </c>
      <c r="I79" s="69" t="str">
        <f t="shared" si="3"/>
        <v>The Forge</v>
      </c>
      <c r="J79" s="363" t="s">
        <v>211</v>
      </c>
      <c r="L79" s="364" t="s">
        <v>101</v>
      </c>
      <c r="M79" s="364" t="s">
        <v>79</v>
      </c>
      <c r="N79" s="365" t="s">
        <v>282</v>
      </c>
      <c r="O79" s="365">
        <v>689</v>
      </c>
      <c r="P79" s="364" t="s">
        <v>90</v>
      </c>
      <c r="Q79" s="364">
        <v>2</v>
      </c>
      <c r="R79" s="364">
        <v>4</v>
      </c>
      <c r="S79" s="364" t="s">
        <v>233</v>
      </c>
      <c r="T79" s="364" t="s">
        <v>74</v>
      </c>
      <c r="U79" s="364" t="s">
        <v>113</v>
      </c>
      <c r="V79" s="364" t="s">
        <v>218</v>
      </c>
      <c r="W79" s="364" t="s">
        <v>113</v>
      </c>
      <c r="X79" s="364" t="s">
        <v>113</v>
      </c>
      <c r="Y79" s="364" t="s">
        <v>74</v>
      </c>
    </row>
    <row r="80" spans="3:25" ht="13.5" customHeight="1" x14ac:dyDescent="0.2">
      <c r="C80" s="82"/>
      <c r="D80" s="292" t="s">
        <v>74</v>
      </c>
      <c r="E80" s="138"/>
      <c r="F80" s="138"/>
      <c r="H80" s="69" t="str">
        <f t="shared" si="2"/>
        <v>BTR-Regions</v>
      </c>
      <c r="I80" s="69" t="str">
        <f t="shared" si="3"/>
        <v>The Forge</v>
      </c>
      <c r="J80" s="363" t="s">
        <v>211</v>
      </c>
      <c r="L80" s="364" t="s">
        <v>101</v>
      </c>
      <c r="M80" s="364" t="s">
        <v>79</v>
      </c>
      <c r="N80" s="365" t="s">
        <v>283</v>
      </c>
      <c r="O80" s="365">
        <v>517</v>
      </c>
      <c r="P80" s="364" t="s">
        <v>89</v>
      </c>
      <c r="Q80" s="364">
        <v>1</v>
      </c>
      <c r="R80" s="364">
        <v>4</v>
      </c>
      <c r="S80" s="364" t="s">
        <v>233</v>
      </c>
      <c r="T80" s="364" t="s">
        <v>74</v>
      </c>
      <c r="U80" s="364" t="s">
        <v>113</v>
      </c>
      <c r="V80" s="364" t="s">
        <v>218</v>
      </c>
      <c r="W80" s="364" t="s">
        <v>113</v>
      </c>
      <c r="X80" s="364" t="s">
        <v>113</v>
      </c>
      <c r="Y80" s="364" t="s">
        <v>74</v>
      </c>
    </row>
    <row r="81" spans="3:25" ht="13.5" customHeight="1" x14ac:dyDescent="0.2">
      <c r="C81" s="82"/>
      <c r="D81" s="292" t="s">
        <v>74</v>
      </c>
      <c r="E81" s="138"/>
      <c r="F81" s="138"/>
      <c r="H81" s="69" t="str">
        <f t="shared" si="2"/>
        <v>BTR-Regions</v>
      </c>
      <c r="I81" s="69" t="str">
        <f t="shared" si="3"/>
        <v>The Forge</v>
      </c>
      <c r="J81" s="363" t="s">
        <v>211</v>
      </c>
      <c r="L81" s="364" t="s">
        <v>101</v>
      </c>
      <c r="M81" s="364" t="s">
        <v>79</v>
      </c>
      <c r="N81" s="365" t="s">
        <v>284</v>
      </c>
      <c r="O81" s="365">
        <v>538</v>
      </c>
      <c r="P81" s="364" t="s">
        <v>89</v>
      </c>
      <c r="Q81" s="364">
        <v>1</v>
      </c>
      <c r="R81" s="364">
        <v>4</v>
      </c>
      <c r="S81" s="364" t="s">
        <v>214</v>
      </c>
      <c r="T81" s="364" t="s">
        <v>74</v>
      </c>
      <c r="U81" s="364" t="s">
        <v>113</v>
      </c>
      <c r="V81" s="364" t="s">
        <v>218</v>
      </c>
      <c r="W81" s="364" t="s">
        <v>113</v>
      </c>
      <c r="X81" s="364" t="s">
        <v>113</v>
      </c>
      <c r="Y81" s="364" t="s">
        <v>74</v>
      </c>
    </row>
    <row r="82" spans="3:25" ht="13.5" customHeight="1" x14ac:dyDescent="0.2">
      <c r="C82" s="82"/>
      <c r="D82" s="292" t="s">
        <v>74</v>
      </c>
      <c r="E82" s="138"/>
      <c r="F82" s="138"/>
      <c r="H82" s="69" t="str">
        <f t="shared" si="2"/>
        <v>BTR-Regions</v>
      </c>
      <c r="I82" s="69" t="str">
        <f t="shared" si="3"/>
        <v>The Forge</v>
      </c>
      <c r="J82" s="363" t="s">
        <v>211</v>
      </c>
      <c r="L82" s="364" t="s">
        <v>101</v>
      </c>
      <c r="M82" s="364" t="s">
        <v>79</v>
      </c>
      <c r="N82" s="365" t="s">
        <v>285</v>
      </c>
      <c r="O82" s="365">
        <v>560</v>
      </c>
      <c r="P82" s="364" t="s">
        <v>89</v>
      </c>
      <c r="Q82" s="364">
        <v>1</v>
      </c>
      <c r="R82" s="364">
        <v>4</v>
      </c>
      <c r="S82" s="364" t="s">
        <v>214</v>
      </c>
      <c r="T82" s="364" t="s">
        <v>74</v>
      </c>
      <c r="U82" s="364" t="s">
        <v>113</v>
      </c>
      <c r="V82" s="364" t="s">
        <v>218</v>
      </c>
      <c r="W82" s="364" t="s">
        <v>237</v>
      </c>
      <c r="X82" s="364" t="s">
        <v>113</v>
      </c>
      <c r="Y82" s="364" t="s">
        <v>74</v>
      </c>
    </row>
    <row r="83" spans="3:25" ht="13.5" customHeight="1" x14ac:dyDescent="0.2">
      <c r="C83" s="82"/>
      <c r="D83" s="292" t="s">
        <v>74</v>
      </c>
      <c r="E83" s="138"/>
      <c r="F83" s="138"/>
      <c r="H83" s="69" t="str">
        <f t="shared" si="2"/>
        <v>BTR-Regions</v>
      </c>
      <c r="I83" s="69" t="str">
        <f t="shared" si="3"/>
        <v>The Forge</v>
      </c>
      <c r="J83" s="363" t="s">
        <v>211</v>
      </c>
      <c r="L83" s="364" t="s">
        <v>101</v>
      </c>
      <c r="M83" s="364" t="s">
        <v>79</v>
      </c>
      <c r="N83" s="365" t="s">
        <v>286</v>
      </c>
      <c r="O83" s="365">
        <v>624</v>
      </c>
      <c r="P83" s="364" t="s">
        <v>90</v>
      </c>
      <c r="Q83" s="364">
        <v>2</v>
      </c>
      <c r="R83" s="364">
        <v>4</v>
      </c>
      <c r="S83" s="364" t="s">
        <v>214</v>
      </c>
      <c r="T83" s="364" t="s">
        <v>74</v>
      </c>
      <c r="U83" s="364" t="s">
        <v>113</v>
      </c>
      <c r="V83" s="364" t="s">
        <v>218</v>
      </c>
      <c r="W83" s="364" t="s">
        <v>113</v>
      </c>
      <c r="X83" s="364" t="s">
        <v>113</v>
      </c>
      <c r="Y83" s="364" t="s">
        <v>74</v>
      </c>
    </row>
    <row r="84" spans="3:25" ht="13.5" customHeight="1" x14ac:dyDescent="0.2">
      <c r="C84" s="82"/>
      <c r="D84" s="292" t="s">
        <v>74</v>
      </c>
      <c r="E84" s="138"/>
      <c r="F84" s="138"/>
      <c r="H84" s="69" t="str">
        <f t="shared" si="2"/>
        <v>BTR-Regions</v>
      </c>
      <c r="I84" s="69" t="str">
        <f t="shared" si="3"/>
        <v>The Forge</v>
      </c>
      <c r="J84" s="363" t="s">
        <v>211</v>
      </c>
      <c r="L84" s="364" t="s">
        <v>101</v>
      </c>
      <c r="M84" s="364" t="s">
        <v>79</v>
      </c>
      <c r="N84" s="365" t="s">
        <v>287</v>
      </c>
      <c r="O84" s="365">
        <v>624</v>
      </c>
      <c r="P84" s="364" t="s">
        <v>90</v>
      </c>
      <c r="Q84" s="364">
        <v>2</v>
      </c>
      <c r="R84" s="364">
        <v>4</v>
      </c>
      <c r="S84" s="364" t="s">
        <v>214</v>
      </c>
      <c r="T84" s="364" t="s">
        <v>74</v>
      </c>
      <c r="U84" s="364" t="s">
        <v>113</v>
      </c>
      <c r="V84" s="364" t="s">
        <v>218</v>
      </c>
      <c r="W84" s="364" t="s">
        <v>113</v>
      </c>
      <c r="X84" s="364" t="s">
        <v>113</v>
      </c>
      <c r="Y84" s="364" t="s">
        <v>74</v>
      </c>
    </row>
    <row r="85" spans="3:25" ht="13.5" customHeight="1" x14ac:dyDescent="0.2">
      <c r="C85" s="82"/>
      <c r="D85" s="292" t="s">
        <v>74</v>
      </c>
      <c r="E85" s="138"/>
      <c r="F85" s="138"/>
      <c r="H85" s="69" t="str">
        <f t="shared" si="2"/>
        <v>BTR-Regions</v>
      </c>
      <c r="I85" s="69" t="str">
        <f t="shared" si="3"/>
        <v>The Forge</v>
      </c>
      <c r="J85" s="363" t="s">
        <v>211</v>
      </c>
      <c r="L85" s="364" t="s">
        <v>101</v>
      </c>
      <c r="M85" s="364" t="s">
        <v>79</v>
      </c>
      <c r="N85" s="365" t="s">
        <v>288</v>
      </c>
      <c r="O85" s="365">
        <v>484</v>
      </c>
      <c r="P85" s="364" t="s">
        <v>89</v>
      </c>
      <c r="Q85" s="364">
        <v>1</v>
      </c>
      <c r="R85" s="364">
        <v>5</v>
      </c>
      <c r="S85" s="364" t="s">
        <v>214</v>
      </c>
      <c r="T85" s="364" t="s">
        <v>74</v>
      </c>
      <c r="U85" s="364" t="s">
        <v>113</v>
      </c>
      <c r="V85" s="364" t="s">
        <v>218</v>
      </c>
      <c r="W85" s="364" t="s">
        <v>113</v>
      </c>
      <c r="X85" s="364" t="s">
        <v>113</v>
      </c>
      <c r="Y85" s="364" t="s">
        <v>74</v>
      </c>
    </row>
    <row r="86" spans="3:25" ht="13.5" customHeight="1" x14ac:dyDescent="0.2">
      <c r="C86" s="82"/>
      <c r="D86" s="292" t="s">
        <v>74</v>
      </c>
      <c r="E86" s="138"/>
      <c r="F86" s="138"/>
      <c r="H86" s="69" t="str">
        <f t="shared" ref="H86:H149" si="4">$I$9</f>
        <v>BTR-Regions</v>
      </c>
      <c r="I86" s="69" t="str">
        <f t="shared" ref="I86:I149" si="5">$I$10</f>
        <v>The Forge</v>
      </c>
      <c r="J86" s="363" t="s">
        <v>211</v>
      </c>
      <c r="L86" s="364" t="s">
        <v>101</v>
      </c>
      <c r="M86" s="364" t="s">
        <v>79</v>
      </c>
      <c r="N86" s="365" t="s">
        <v>289</v>
      </c>
      <c r="O86" s="365">
        <v>678</v>
      </c>
      <c r="P86" s="364" t="s">
        <v>90</v>
      </c>
      <c r="Q86" s="364">
        <v>2</v>
      </c>
      <c r="R86" s="364">
        <v>5</v>
      </c>
      <c r="S86" s="364" t="s">
        <v>214</v>
      </c>
      <c r="T86" s="364" t="s">
        <v>74</v>
      </c>
      <c r="U86" s="364" t="s">
        <v>113</v>
      </c>
      <c r="V86" s="364" t="s">
        <v>218</v>
      </c>
      <c r="W86" s="364" t="s">
        <v>113</v>
      </c>
      <c r="X86" s="364" t="s">
        <v>113</v>
      </c>
      <c r="Y86" s="364" t="s">
        <v>74</v>
      </c>
    </row>
    <row r="87" spans="3:25" ht="13.5" customHeight="1" x14ac:dyDescent="0.2">
      <c r="C87" s="82"/>
      <c r="D87" s="292" t="s">
        <v>74</v>
      </c>
      <c r="E87" s="138"/>
      <c r="F87" s="138"/>
      <c r="H87" s="69" t="str">
        <f t="shared" si="4"/>
        <v>BTR-Regions</v>
      </c>
      <c r="I87" s="69" t="str">
        <f t="shared" si="5"/>
        <v>The Forge</v>
      </c>
      <c r="J87" s="363" t="s">
        <v>211</v>
      </c>
      <c r="L87" s="364" t="s">
        <v>101</v>
      </c>
      <c r="M87" s="364" t="s">
        <v>79</v>
      </c>
      <c r="N87" s="365" t="s">
        <v>290</v>
      </c>
      <c r="O87" s="365">
        <v>657</v>
      </c>
      <c r="P87" s="364" t="s">
        <v>90</v>
      </c>
      <c r="Q87" s="364">
        <v>2</v>
      </c>
      <c r="R87" s="364">
        <v>5</v>
      </c>
      <c r="S87" s="364" t="s">
        <v>214</v>
      </c>
      <c r="T87" s="364" t="s">
        <v>74</v>
      </c>
      <c r="U87" s="364" t="s">
        <v>113</v>
      </c>
      <c r="V87" s="364" t="s">
        <v>218</v>
      </c>
      <c r="W87" s="364" t="s">
        <v>113</v>
      </c>
      <c r="X87" s="364" t="s">
        <v>113</v>
      </c>
      <c r="Y87" s="364" t="s">
        <v>74</v>
      </c>
    </row>
    <row r="88" spans="3:25" ht="13.5" customHeight="1" x14ac:dyDescent="0.2">
      <c r="C88" s="82"/>
      <c r="D88" s="292" t="s">
        <v>74</v>
      </c>
      <c r="E88" s="138"/>
      <c r="F88" s="138"/>
      <c r="H88" s="69" t="str">
        <f t="shared" si="4"/>
        <v>BTR-Regions</v>
      </c>
      <c r="I88" s="69" t="str">
        <f t="shared" si="5"/>
        <v>The Forge</v>
      </c>
      <c r="J88" s="363" t="s">
        <v>211</v>
      </c>
      <c r="L88" s="364" t="s">
        <v>101</v>
      </c>
      <c r="M88" s="364" t="s">
        <v>79</v>
      </c>
      <c r="N88" s="365" t="s">
        <v>291</v>
      </c>
      <c r="O88" s="365">
        <v>818</v>
      </c>
      <c r="P88" s="364" t="s">
        <v>91</v>
      </c>
      <c r="Q88" s="364">
        <v>2</v>
      </c>
      <c r="R88" s="364">
        <v>5</v>
      </c>
      <c r="S88" s="364" t="s">
        <v>220</v>
      </c>
      <c r="T88" s="364" t="s">
        <v>74</v>
      </c>
      <c r="U88" s="364" t="s">
        <v>113</v>
      </c>
      <c r="V88" s="364" t="s">
        <v>218</v>
      </c>
      <c r="W88" s="364" t="s">
        <v>113</v>
      </c>
      <c r="X88" s="364" t="s">
        <v>113</v>
      </c>
      <c r="Y88" s="364" t="s">
        <v>74</v>
      </c>
    </row>
    <row r="89" spans="3:25" ht="13.5" customHeight="1" x14ac:dyDescent="0.2">
      <c r="C89" s="82"/>
      <c r="D89" s="292" t="s">
        <v>74</v>
      </c>
      <c r="E89" s="138"/>
      <c r="F89" s="138"/>
      <c r="H89" s="69" t="str">
        <f t="shared" si="4"/>
        <v>BTR-Regions</v>
      </c>
      <c r="I89" s="69" t="str">
        <f t="shared" si="5"/>
        <v>The Forge</v>
      </c>
      <c r="J89" s="363" t="s">
        <v>211</v>
      </c>
      <c r="L89" s="364" t="s">
        <v>101</v>
      </c>
      <c r="M89" s="364" t="s">
        <v>79</v>
      </c>
      <c r="N89" s="365" t="s">
        <v>292</v>
      </c>
      <c r="O89" s="365">
        <v>667</v>
      </c>
      <c r="P89" s="364" t="s">
        <v>90</v>
      </c>
      <c r="Q89" s="364">
        <v>2</v>
      </c>
      <c r="R89" s="364">
        <v>5</v>
      </c>
      <c r="S89" s="364" t="s">
        <v>222</v>
      </c>
      <c r="T89" s="364" t="s">
        <v>74</v>
      </c>
      <c r="U89" s="364" t="s">
        <v>113</v>
      </c>
      <c r="V89" s="364" t="s">
        <v>218</v>
      </c>
      <c r="W89" s="364" t="s">
        <v>113</v>
      </c>
      <c r="X89" s="364" t="s">
        <v>113</v>
      </c>
      <c r="Y89" s="364" t="s">
        <v>74</v>
      </c>
    </row>
    <row r="90" spans="3:25" ht="13.5" customHeight="1" x14ac:dyDescent="0.2">
      <c r="C90" s="82"/>
      <c r="D90" s="292" t="s">
        <v>74</v>
      </c>
      <c r="E90" s="138"/>
      <c r="F90" s="138"/>
      <c r="H90" s="69" t="str">
        <f t="shared" si="4"/>
        <v>BTR-Regions</v>
      </c>
      <c r="I90" s="69" t="str">
        <f t="shared" si="5"/>
        <v>The Forge</v>
      </c>
      <c r="J90" s="363" t="s">
        <v>211</v>
      </c>
      <c r="L90" s="364" t="s">
        <v>101</v>
      </c>
      <c r="M90" s="364" t="s">
        <v>79</v>
      </c>
      <c r="N90" s="365" t="s">
        <v>293</v>
      </c>
      <c r="O90" s="365">
        <v>441</v>
      </c>
      <c r="P90" s="364" t="s">
        <v>89</v>
      </c>
      <c r="Q90" s="364">
        <v>1</v>
      </c>
      <c r="R90" s="364">
        <v>5</v>
      </c>
      <c r="S90" s="364" t="s">
        <v>224</v>
      </c>
      <c r="T90" s="364" t="s">
        <v>74</v>
      </c>
      <c r="U90" s="364" t="s">
        <v>113</v>
      </c>
      <c r="V90" s="364" t="s">
        <v>218</v>
      </c>
      <c r="W90" s="364" t="s">
        <v>113</v>
      </c>
      <c r="X90" s="364" t="s">
        <v>225</v>
      </c>
      <c r="Y90" s="364" t="s">
        <v>74</v>
      </c>
    </row>
    <row r="91" spans="3:25" ht="13.5" customHeight="1" x14ac:dyDescent="0.2">
      <c r="C91" s="82"/>
      <c r="D91" s="292" t="s">
        <v>74</v>
      </c>
      <c r="E91" s="138"/>
      <c r="F91" s="138"/>
      <c r="H91" s="69" t="str">
        <f t="shared" si="4"/>
        <v>BTR-Regions</v>
      </c>
      <c r="I91" s="69" t="str">
        <f t="shared" si="5"/>
        <v>The Forge</v>
      </c>
      <c r="J91" s="363" t="s">
        <v>211</v>
      </c>
      <c r="L91" s="364" t="s">
        <v>101</v>
      </c>
      <c r="M91" s="364" t="s">
        <v>79</v>
      </c>
      <c r="N91" s="365" t="s">
        <v>294</v>
      </c>
      <c r="O91" s="365">
        <v>624</v>
      </c>
      <c r="P91" s="364" t="s">
        <v>90</v>
      </c>
      <c r="Q91" s="364">
        <v>2</v>
      </c>
      <c r="R91" s="364">
        <v>5</v>
      </c>
      <c r="S91" s="364" t="s">
        <v>224</v>
      </c>
      <c r="T91" s="364" t="s">
        <v>74</v>
      </c>
      <c r="U91" s="364" t="s">
        <v>113</v>
      </c>
      <c r="V91" s="364" t="s">
        <v>218</v>
      </c>
      <c r="W91" s="364" t="s">
        <v>113</v>
      </c>
      <c r="X91" s="364" t="s">
        <v>113</v>
      </c>
      <c r="Y91" s="364" t="s">
        <v>74</v>
      </c>
    </row>
    <row r="92" spans="3:25" ht="13.5" customHeight="1" x14ac:dyDescent="0.2">
      <c r="C92" s="82"/>
      <c r="D92" s="292" t="s">
        <v>74</v>
      </c>
      <c r="E92" s="138"/>
      <c r="F92" s="138"/>
      <c r="H92" s="69" t="str">
        <f t="shared" si="4"/>
        <v>BTR-Regions</v>
      </c>
      <c r="I92" s="69" t="str">
        <f t="shared" si="5"/>
        <v>The Forge</v>
      </c>
      <c r="J92" s="363" t="s">
        <v>211</v>
      </c>
      <c r="L92" s="364" t="s">
        <v>101</v>
      </c>
      <c r="M92" s="364" t="s">
        <v>79</v>
      </c>
      <c r="N92" s="365" t="s">
        <v>295</v>
      </c>
      <c r="O92" s="365">
        <v>624</v>
      </c>
      <c r="P92" s="364" t="s">
        <v>90</v>
      </c>
      <c r="Q92" s="364">
        <v>2</v>
      </c>
      <c r="R92" s="364">
        <v>5</v>
      </c>
      <c r="S92" s="364" t="s">
        <v>224</v>
      </c>
      <c r="T92" s="364" t="s">
        <v>74</v>
      </c>
      <c r="U92" s="364" t="s">
        <v>113</v>
      </c>
      <c r="V92" s="364" t="s">
        <v>218</v>
      </c>
      <c r="W92" s="364" t="s">
        <v>113</v>
      </c>
      <c r="X92" s="364" t="s">
        <v>113</v>
      </c>
      <c r="Y92" s="364" t="s">
        <v>74</v>
      </c>
    </row>
    <row r="93" spans="3:25" ht="13.5" customHeight="1" x14ac:dyDescent="0.2">
      <c r="C93" s="82"/>
      <c r="D93" s="292" t="s">
        <v>74</v>
      </c>
      <c r="E93" s="138"/>
      <c r="F93" s="138"/>
      <c r="H93" s="69" t="str">
        <f t="shared" si="4"/>
        <v>BTR-Regions</v>
      </c>
      <c r="I93" s="69" t="str">
        <f t="shared" si="5"/>
        <v>The Forge</v>
      </c>
      <c r="J93" s="363" t="s">
        <v>211</v>
      </c>
      <c r="L93" s="364" t="s">
        <v>101</v>
      </c>
      <c r="M93" s="364" t="s">
        <v>79</v>
      </c>
      <c r="N93" s="365" t="s">
        <v>296</v>
      </c>
      <c r="O93" s="365">
        <v>657</v>
      </c>
      <c r="P93" s="364" t="s">
        <v>90</v>
      </c>
      <c r="Q93" s="364">
        <v>2</v>
      </c>
      <c r="R93" s="364">
        <v>5</v>
      </c>
      <c r="S93" s="364" t="s">
        <v>229</v>
      </c>
      <c r="T93" s="364" t="s">
        <v>74</v>
      </c>
      <c r="U93" s="364" t="s">
        <v>113</v>
      </c>
      <c r="V93" s="364" t="s">
        <v>218</v>
      </c>
      <c r="W93" s="364" t="s">
        <v>113</v>
      </c>
      <c r="X93" s="364" t="s">
        <v>113</v>
      </c>
      <c r="Y93" s="364" t="s">
        <v>74</v>
      </c>
    </row>
    <row r="94" spans="3:25" ht="13.5" customHeight="1" x14ac:dyDescent="0.2">
      <c r="C94" s="82"/>
      <c r="D94" s="292" t="s">
        <v>74</v>
      </c>
      <c r="E94" s="138"/>
      <c r="F94" s="138"/>
      <c r="H94" s="69" t="str">
        <f t="shared" si="4"/>
        <v>BTR-Regions</v>
      </c>
      <c r="I94" s="69" t="str">
        <f t="shared" si="5"/>
        <v>The Forge</v>
      </c>
      <c r="J94" s="363" t="s">
        <v>211</v>
      </c>
      <c r="L94" s="364" t="s">
        <v>101</v>
      </c>
      <c r="M94" s="364" t="s">
        <v>79</v>
      </c>
      <c r="N94" s="365" t="s">
        <v>297</v>
      </c>
      <c r="O94" s="365">
        <v>700</v>
      </c>
      <c r="P94" s="364" t="s">
        <v>90</v>
      </c>
      <c r="Q94" s="364">
        <v>2</v>
      </c>
      <c r="R94" s="364">
        <v>5</v>
      </c>
      <c r="S94" s="364" t="s">
        <v>231</v>
      </c>
      <c r="T94" s="364" t="s">
        <v>74</v>
      </c>
      <c r="U94" s="364" t="s">
        <v>113</v>
      </c>
      <c r="V94" s="364" t="s">
        <v>218</v>
      </c>
      <c r="W94" s="364" t="s">
        <v>113</v>
      </c>
      <c r="X94" s="364" t="s">
        <v>113</v>
      </c>
      <c r="Y94" s="364" t="s">
        <v>74</v>
      </c>
    </row>
    <row r="95" spans="3:25" ht="13.5" customHeight="1" x14ac:dyDescent="0.2">
      <c r="C95" s="82"/>
      <c r="D95" s="292" t="s">
        <v>74</v>
      </c>
      <c r="E95" s="138"/>
      <c r="F95" s="138"/>
      <c r="H95" s="69" t="str">
        <f t="shared" si="4"/>
        <v>BTR-Regions</v>
      </c>
      <c r="I95" s="69" t="str">
        <f t="shared" si="5"/>
        <v>The Forge</v>
      </c>
      <c r="J95" s="363" t="s">
        <v>211</v>
      </c>
      <c r="L95" s="364" t="s">
        <v>101</v>
      </c>
      <c r="M95" s="364" t="s">
        <v>79</v>
      </c>
      <c r="N95" s="365" t="s">
        <v>298</v>
      </c>
      <c r="O95" s="365">
        <v>689</v>
      </c>
      <c r="P95" s="364" t="s">
        <v>90</v>
      </c>
      <c r="Q95" s="364">
        <v>2</v>
      </c>
      <c r="R95" s="364">
        <v>5</v>
      </c>
      <c r="S95" s="364" t="s">
        <v>233</v>
      </c>
      <c r="T95" s="364" t="s">
        <v>74</v>
      </c>
      <c r="U95" s="364" t="s">
        <v>113</v>
      </c>
      <c r="V95" s="364" t="s">
        <v>218</v>
      </c>
      <c r="W95" s="364" t="s">
        <v>113</v>
      </c>
      <c r="X95" s="364" t="s">
        <v>113</v>
      </c>
      <c r="Y95" s="364" t="s">
        <v>74</v>
      </c>
    </row>
    <row r="96" spans="3:25" ht="13.5" customHeight="1" x14ac:dyDescent="0.2">
      <c r="C96" s="82"/>
      <c r="D96" s="292" t="s">
        <v>74</v>
      </c>
      <c r="E96" s="138"/>
      <c r="F96" s="138"/>
      <c r="H96" s="69" t="str">
        <f t="shared" si="4"/>
        <v>BTR-Regions</v>
      </c>
      <c r="I96" s="69" t="str">
        <f t="shared" si="5"/>
        <v>The Forge</v>
      </c>
      <c r="J96" s="363" t="s">
        <v>211</v>
      </c>
      <c r="L96" s="364" t="s">
        <v>101</v>
      </c>
      <c r="M96" s="364" t="s">
        <v>79</v>
      </c>
      <c r="N96" s="365" t="s">
        <v>299</v>
      </c>
      <c r="O96" s="365">
        <v>517</v>
      </c>
      <c r="P96" s="364" t="s">
        <v>89</v>
      </c>
      <c r="Q96" s="364">
        <v>1</v>
      </c>
      <c r="R96" s="364">
        <v>5</v>
      </c>
      <c r="S96" s="364" t="s">
        <v>233</v>
      </c>
      <c r="T96" s="364" t="s">
        <v>74</v>
      </c>
      <c r="U96" s="364" t="s">
        <v>113</v>
      </c>
      <c r="V96" s="364" t="s">
        <v>218</v>
      </c>
      <c r="W96" s="364" t="s">
        <v>113</v>
      </c>
      <c r="X96" s="364" t="s">
        <v>113</v>
      </c>
      <c r="Y96" s="364" t="s">
        <v>74</v>
      </c>
    </row>
    <row r="97" spans="3:25" ht="13.5" customHeight="1" x14ac:dyDescent="0.2">
      <c r="C97" s="82"/>
      <c r="D97" s="292" t="s">
        <v>74</v>
      </c>
      <c r="E97" s="138"/>
      <c r="F97" s="138"/>
      <c r="H97" s="69" t="str">
        <f t="shared" si="4"/>
        <v>BTR-Regions</v>
      </c>
      <c r="I97" s="69" t="str">
        <f t="shared" si="5"/>
        <v>The Forge</v>
      </c>
      <c r="J97" s="363" t="s">
        <v>211</v>
      </c>
      <c r="L97" s="364" t="s">
        <v>101</v>
      </c>
      <c r="M97" s="364" t="s">
        <v>79</v>
      </c>
      <c r="N97" s="365" t="s">
        <v>300</v>
      </c>
      <c r="O97" s="365">
        <v>538</v>
      </c>
      <c r="P97" s="364" t="s">
        <v>89</v>
      </c>
      <c r="Q97" s="364">
        <v>1</v>
      </c>
      <c r="R97" s="364">
        <v>5</v>
      </c>
      <c r="S97" s="364" t="s">
        <v>214</v>
      </c>
      <c r="T97" s="364" t="s">
        <v>74</v>
      </c>
      <c r="U97" s="364" t="s">
        <v>113</v>
      </c>
      <c r="V97" s="364" t="s">
        <v>218</v>
      </c>
      <c r="W97" s="364" t="s">
        <v>113</v>
      </c>
      <c r="X97" s="364" t="s">
        <v>113</v>
      </c>
      <c r="Y97" s="364" t="s">
        <v>74</v>
      </c>
    </row>
    <row r="98" spans="3:25" ht="13.5" customHeight="1" x14ac:dyDescent="0.2">
      <c r="C98" s="82"/>
      <c r="D98" s="292" t="s">
        <v>74</v>
      </c>
      <c r="E98" s="138"/>
      <c r="F98" s="138"/>
      <c r="H98" s="69" t="str">
        <f t="shared" si="4"/>
        <v>BTR-Regions</v>
      </c>
      <c r="I98" s="69" t="str">
        <f t="shared" si="5"/>
        <v>The Forge</v>
      </c>
      <c r="J98" s="363" t="s">
        <v>211</v>
      </c>
      <c r="L98" s="364" t="s">
        <v>101</v>
      </c>
      <c r="M98" s="364" t="s">
        <v>79</v>
      </c>
      <c r="N98" s="365" t="s">
        <v>301</v>
      </c>
      <c r="O98" s="365">
        <v>560</v>
      </c>
      <c r="P98" s="364" t="s">
        <v>89</v>
      </c>
      <c r="Q98" s="364">
        <v>1</v>
      </c>
      <c r="R98" s="364">
        <v>5</v>
      </c>
      <c r="S98" s="364" t="s">
        <v>214</v>
      </c>
      <c r="T98" s="364" t="s">
        <v>74</v>
      </c>
      <c r="U98" s="364" t="s">
        <v>113</v>
      </c>
      <c r="V98" s="364" t="s">
        <v>218</v>
      </c>
      <c r="W98" s="364" t="s">
        <v>237</v>
      </c>
      <c r="X98" s="364" t="s">
        <v>113</v>
      </c>
      <c r="Y98" s="364" t="s">
        <v>74</v>
      </c>
    </row>
    <row r="99" spans="3:25" ht="13.5" customHeight="1" x14ac:dyDescent="0.2">
      <c r="C99" s="82"/>
      <c r="D99" s="292" t="s">
        <v>74</v>
      </c>
      <c r="E99" s="138"/>
      <c r="F99" s="138"/>
      <c r="H99" s="69" t="str">
        <f t="shared" si="4"/>
        <v>BTR-Regions</v>
      </c>
      <c r="I99" s="69" t="str">
        <f t="shared" si="5"/>
        <v>The Forge</v>
      </c>
      <c r="J99" s="363" t="s">
        <v>211</v>
      </c>
      <c r="L99" s="364" t="s">
        <v>101</v>
      </c>
      <c r="M99" s="364" t="s">
        <v>79</v>
      </c>
      <c r="N99" s="365" t="s">
        <v>302</v>
      </c>
      <c r="O99" s="365">
        <v>624</v>
      </c>
      <c r="P99" s="364" t="s">
        <v>90</v>
      </c>
      <c r="Q99" s="364">
        <v>2</v>
      </c>
      <c r="R99" s="364">
        <v>5</v>
      </c>
      <c r="S99" s="364" t="s">
        <v>214</v>
      </c>
      <c r="T99" s="364" t="s">
        <v>74</v>
      </c>
      <c r="U99" s="364" t="s">
        <v>113</v>
      </c>
      <c r="V99" s="364" t="s">
        <v>218</v>
      </c>
      <c r="W99" s="364" t="s">
        <v>113</v>
      </c>
      <c r="X99" s="364" t="s">
        <v>113</v>
      </c>
      <c r="Y99" s="364" t="s">
        <v>74</v>
      </c>
    </row>
    <row r="100" spans="3:25" ht="13.5" customHeight="1" x14ac:dyDescent="0.2">
      <c r="C100" s="82"/>
      <c r="D100" s="292" t="s">
        <v>74</v>
      </c>
      <c r="E100" s="138"/>
      <c r="F100" s="138"/>
      <c r="H100" s="69" t="str">
        <f t="shared" si="4"/>
        <v>BTR-Regions</v>
      </c>
      <c r="I100" s="69" t="str">
        <f t="shared" si="5"/>
        <v>The Forge</v>
      </c>
      <c r="J100" s="363" t="s">
        <v>211</v>
      </c>
      <c r="L100" s="364" t="s">
        <v>101</v>
      </c>
      <c r="M100" s="364" t="s">
        <v>79</v>
      </c>
      <c r="N100" s="365" t="s">
        <v>303</v>
      </c>
      <c r="O100" s="365">
        <v>624</v>
      </c>
      <c r="P100" s="364" t="s">
        <v>90</v>
      </c>
      <c r="Q100" s="364">
        <v>2</v>
      </c>
      <c r="R100" s="364">
        <v>5</v>
      </c>
      <c r="S100" s="364" t="s">
        <v>214</v>
      </c>
      <c r="T100" s="364" t="s">
        <v>74</v>
      </c>
      <c r="U100" s="364" t="s">
        <v>113</v>
      </c>
      <c r="V100" s="364" t="s">
        <v>218</v>
      </c>
      <c r="W100" s="364" t="s">
        <v>113</v>
      </c>
      <c r="X100" s="364" t="s">
        <v>113</v>
      </c>
      <c r="Y100" s="364" t="s">
        <v>74</v>
      </c>
    </row>
    <row r="101" spans="3:25" ht="13.5" customHeight="1" x14ac:dyDescent="0.2">
      <c r="C101" s="82"/>
      <c r="D101" s="292" t="s">
        <v>74</v>
      </c>
      <c r="E101" s="138"/>
      <c r="F101" s="138"/>
      <c r="H101" s="69" t="str">
        <f t="shared" si="4"/>
        <v>BTR-Regions</v>
      </c>
      <c r="I101" s="69" t="str">
        <f t="shared" si="5"/>
        <v>The Forge</v>
      </c>
      <c r="J101" s="363" t="s">
        <v>211</v>
      </c>
      <c r="L101" s="364" t="s">
        <v>101</v>
      </c>
      <c r="M101" s="364" t="s">
        <v>79</v>
      </c>
      <c r="N101" s="365" t="s">
        <v>304</v>
      </c>
      <c r="O101" s="365">
        <v>495</v>
      </c>
      <c r="P101" s="364" t="s">
        <v>89</v>
      </c>
      <c r="Q101" s="364">
        <v>1</v>
      </c>
      <c r="R101" s="364">
        <v>6</v>
      </c>
      <c r="S101" s="364" t="s">
        <v>214</v>
      </c>
      <c r="T101" s="364" t="s">
        <v>74</v>
      </c>
      <c r="U101" s="364" t="s">
        <v>113</v>
      </c>
      <c r="V101" s="364" t="s">
        <v>305</v>
      </c>
      <c r="W101" s="364" t="s">
        <v>113</v>
      </c>
      <c r="X101" s="364" t="s">
        <v>113</v>
      </c>
      <c r="Y101" s="364" t="s">
        <v>74</v>
      </c>
    </row>
    <row r="102" spans="3:25" ht="13.5" customHeight="1" x14ac:dyDescent="0.2">
      <c r="C102" s="82"/>
      <c r="D102" s="292" t="s">
        <v>74</v>
      </c>
      <c r="E102" s="138"/>
      <c r="F102" s="138"/>
      <c r="H102" s="69" t="str">
        <f t="shared" si="4"/>
        <v>BTR-Regions</v>
      </c>
      <c r="I102" s="69" t="str">
        <f t="shared" si="5"/>
        <v>The Forge</v>
      </c>
      <c r="J102" s="363" t="s">
        <v>211</v>
      </c>
      <c r="L102" s="364" t="s">
        <v>101</v>
      </c>
      <c r="M102" s="364" t="s">
        <v>79</v>
      </c>
      <c r="N102" s="365" t="s">
        <v>306</v>
      </c>
      <c r="O102" s="365">
        <v>678</v>
      </c>
      <c r="P102" s="364" t="s">
        <v>90</v>
      </c>
      <c r="Q102" s="364">
        <v>2</v>
      </c>
      <c r="R102" s="364">
        <v>6</v>
      </c>
      <c r="S102" s="364" t="s">
        <v>214</v>
      </c>
      <c r="T102" s="364" t="s">
        <v>74</v>
      </c>
      <c r="U102" s="364" t="s">
        <v>113</v>
      </c>
      <c r="V102" s="364" t="s">
        <v>305</v>
      </c>
      <c r="W102" s="364" t="s">
        <v>113</v>
      </c>
      <c r="X102" s="364" t="s">
        <v>113</v>
      </c>
      <c r="Y102" s="364" t="s">
        <v>74</v>
      </c>
    </row>
    <row r="103" spans="3:25" ht="13.5" customHeight="1" x14ac:dyDescent="0.2">
      <c r="C103" s="82"/>
      <c r="D103" s="292" t="s">
        <v>74</v>
      </c>
      <c r="E103" s="138"/>
      <c r="F103" s="138"/>
      <c r="H103" s="69" t="str">
        <f t="shared" si="4"/>
        <v>BTR-Regions</v>
      </c>
      <c r="I103" s="69" t="str">
        <f t="shared" si="5"/>
        <v>The Forge</v>
      </c>
      <c r="J103" s="363" t="s">
        <v>211</v>
      </c>
      <c r="L103" s="364" t="s">
        <v>101</v>
      </c>
      <c r="M103" s="364" t="s">
        <v>79</v>
      </c>
      <c r="N103" s="365" t="s">
        <v>307</v>
      </c>
      <c r="O103" s="365">
        <v>657</v>
      </c>
      <c r="P103" s="364" t="s">
        <v>90</v>
      </c>
      <c r="Q103" s="364">
        <v>2</v>
      </c>
      <c r="R103" s="364">
        <v>6</v>
      </c>
      <c r="S103" s="364" t="s">
        <v>214</v>
      </c>
      <c r="T103" s="364" t="s">
        <v>74</v>
      </c>
      <c r="U103" s="364" t="s">
        <v>113</v>
      </c>
      <c r="V103" s="364" t="s">
        <v>305</v>
      </c>
      <c r="W103" s="364" t="s">
        <v>113</v>
      </c>
      <c r="X103" s="364" t="s">
        <v>113</v>
      </c>
      <c r="Y103" s="364" t="s">
        <v>74</v>
      </c>
    </row>
    <row r="104" spans="3:25" ht="13.5" customHeight="1" x14ac:dyDescent="0.2">
      <c r="C104" s="82"/>
      <c r="D104" s="292" t="s">
        <v>74</v>
      </c>
      <c r="E104" s="138"/>
      <c r="F104" s="138"/>
      <c r="H104" s="69" t="str">
        <f t="shared" si="4"/>
        <v>BTR-Regions</v>
      </c>
      <c r="I104" s="69" t="str">
        <f t="shared" si="5"/>
        <v>The Forge</v>
      </c>
      <c r="J104" s="363" t="s">
        <v>211</v>
      </c>
      <c r="L104" s="364" t="s">
        <v>101</v>
      </c>
      <c r="M104" s="364" t="s">
        <v>79</v>
      </c>
      <c r="N104" s="365" t="s">
        <v>308</v>
      </c>
      <c r="O104" s="365">
        <v>818</v>
      </c>
      <c r="P104" s="364" t="s">
        <v>91</v>
      </c>
      <c r="Q104" s="364">
        <v>2</v>
      </c>
      <c r="R104" s="364">
        <v>6</v>
      </c>
      <c r="S104" s="364" t="s">
        <v>220</v>
      </c>
      <c r="T104" s="364" t="s">
        <v>74</v>
      </c>
      <c r="U104" s="364" t="s">
        <v>113</v>
      </c>
      <c r="V104" s="364" t="s">
        <v>305</v>
      </c>
      <c r="W104" s="364" t="s">
        <v>113</v>
      </c>
      <c r="X104" s="364" t="s">
        <v>113</v>
      </c>
      <c r="Y104" s="364" t="s">
        <v>74</v>
      </c>
    </row>
    <row r="105" spans="3:25" ht="13.5" customHeight="1" x14ac:dyDescent="0.2">
      <c r="C105" s="82"/>
      <c r="D105" s="292" t="s">
        <v>74</v>
      </c>
      <c r="E105" s="138"/>
      <c r="F105" s="138"/>
      <c r="H105" s="69" t="str">
        <f t="shared" si="4"/>
        <v>BTR-Regions</v>
      </c>
      <c r="I105" s="69" t="str">
        <f t="shared" si="5"/>
        <v>The Forge</v>
      </c>
      <c r="J105" s="363" t="s">
        <v>211</v>
      </c>
      <c r="L105" s="364" t="s">
        <v>101</v>
      </c>
      <c r="M105" s="364" t="s">
        <v>79</v>
      </c>
      <c r="N105" s="365" t="s">
        <v>309</v>
      </c>
      <c r="O105" s="365">
        <v>667</v>
      </c>
      <c r="P105" s="364" t="s">
        <v>90</v>
      </c>
      <c r="Q105" s="364">
        <v>2</v>
      </c>
      <c r="R105" s="364">
        <v>6</v>
      </c>
      <c r="S105" s="364" t="s">
        <v>222</v>
      </c>
      <c r="T105" s="364" t="s">
        <v>74</v>
      </c>
      <c r="U105" s="364" t="s">
        <v>113</v>
      </c>
      <c r="V105" s="364" t="s">
        <v>305</v>
      </c>
      <c r="W105" s="364" t="s">
        <v>113</v>
      </c>
      <c r="X105" s="364" t="s">
        <v>113</v>
      </c>
      <c r="Y105" s="364" t="s">
        <v>74</v>
      </c>
    </row>
    <row r="106" spans="3:25" ht="13.5" customHeight="1" x14ac:dyDescent="0.2">
      <c r="C106" s="82"/>
      <c r="D106" s="292" t="s">
        <v>74</v>
      </c>
      <c r="E106" s="138"/>
      <c r="F106" s="138"/>
      <c r="H106" s="69" t="str">
        <f t="shared" si="4"/>
        <v>BTR-Regions</v>
      </c>
      <c r="I106" s="69" t="str">
        <f t="shared" si="5"/>
        <v>The Forge</v>
      </c>
      <c r="J106" s="363" t="s">
        <v>211</v>
      </c>
      <c r="L106" s="364" t="s">
        <v>101</v>
      </c>
      <c r="M106" s="364" t="s">
        <v>79</v>
      </c>
      <c r="N106" s="365" t="s">
        <v>310</v>
      </c>
      <c r="O106" s="365">
        <v>441</v>
      </c>
      <c r="P106" s="364" t="s">
        <v>89</v>
      </c>
      <c r="Q106" s="364">
        <v>1</v>
      </c>
      <c r="R106" s="364">
        <v>6</v>
      </c>
      <c r="S106" s="364" t="s">
        <v>224</v>
      </c>
      <c r="T106" s="364" t="s">
        <v>74</v>
      </c>
      <c r="U106" s="364" t="s">
        <v>113</v>
      </c>
      <c r="V106" s="364" t="s">
        <v>305</v>
      </c>
      <c r="W106" s="364" t="s">
        <v>113</v>
      </c>
      <c r="X106" s="364" t="s">
        <v>225</v>
      </c>
      <c r="Y106" s="364" t="s">
        <v>74</v>
      </c>
    </row>
    <row r="107" spans="3:25" ht="13.5" customHeight="1" x14ac:dyDescent="0.2">
      <c r="C107" s="82"/>
      <c r="D107" s="292" t="s">
        <v>74</v>
      </c>
      <c r="E107" s="138"/>
      <c r="F107" s="138"/>
      <c r="H107" s="69" t="str">
        <f t="shared" si="4"/>
        <v>BTR-Regions</v>
      </c>
      <c r="I107" s="69" t="str">
        <f t="shared" si="5"/>
        <v>The Forge</v>
      </c>
      <c r="J107" s="363" t="s">
        <v>211</v>
      </c>
      <c r="L107" s="364" t="s">
        <v>101</v>
      </c>
      <c r="M107" s="364" t="s">
        <v>79</v>
      </c>
      <c r="N107" s="365" t="s">
        <v>311</v>
      </c>
      <c r="O107" s="365">
        <v>624</v>
      </c>
      <c r="P107" s="364" t="s">
        <v>90</v>
      </c>
      <c r="Q107" s="364">
        <v>2</v>
      </c>
      <c r="R107" s="364">
        <v>6</v>
      </c>
      <c r="S107" s="364" t="s">
        <v>224</v>
      </c>
      <c r="T107" s="364" t="s">
        <v>74</v>
      </c>
      <c r="U107" s="364" t="s">
        <v>113</v>
      </c>
      <c r="V107" s="364" t="s">
        <v>305</v>
      </c>
      <c r="W107" s="364" t="s">
        <v>113</v>
      </c>
      <c r="X107" s="364" t="s">
        <v>113</v>
      </c>
      <c r="Y107" s="364" t="s">
        <v>74</v>
      </c>
    </row>
    <row r="108" spans="3:25" ht="13.5" customHeight="1" x14ac:dyDescent="0.2">
      <c r="C108" s="82"/>
      <c r="D108" s="292" t="s">
        <v>74</v>
      </c>
      <c r="E108" s="138"/>
      <c r="F108" s="138"/>
      <c r="H108" s="69" t="str">
        <f t="shared" si="4"/>
        <v>BTR-Regions</v>
      </c>
      <c r="I108" s="69" t="str">
        <f t="shared" si="5"/>
        <v>The Forge</v>
      </c>
      <c r="J108" s="363" t="s">
        <v>211</v>
      </c>
      <c r="L108" s="364" t="s">
        <v>101</v>
      </c>
      <c r="M108" s="364" t="s">
        <v>79</v>
      </c>
      <c r="N108" s="365" t="s">
        <v>312</v>
      </c>
      <c r="O108" s="365">
        <v>624</v>
      </c>
      <c r="P108" s="364" t="s">
        <v>90</v>
      </c>
      <c r="Q108" s="364">
        <v>2</v>
      </c>
      <c r="R108" s="364">
        <v>6</v>
      </c>
      <c r="S108" s="364" t="s">
        <v>224</v>
      </c>
      <c r="T108" s="364" t="s">
        <v>74</v>
      </c>
      <c r="U108" s="364" t="s">
        <v>113</v>
      </c>
      <c r="V108" s="364" t="s">
        <v>305</v>
      </c>
      <c r="W108" s="364" t="s">
        <v>113</v>
      </c>
      <c r="X108" s="364" t="s">
        <v>113</v>
      </c>
      <c r="Y108" s="364" t="s">
        <v>74</v>
      </c>
    </row>
    <row r="109" spans="3:25" ht="13.5" customHeight="1" x14ac:dyDescent="0.2">
      <c r="C109" s="82"/>
      <c r="D109" s="292" t="s">
        <v>74</v>
      </c>
      <c r="E109" s="138"/>
      <c r="F109" s="138"/>
      <c r="H109" s="69" t="str">
        <f t="shared" si="4"/>
        <v>BTR-Regions</v>
      </c>
      <c r="I109" s="69" t="str">
        <f t="shared" si="5"/>
        <v>The Forge</v>
      </c>
      <c r="J109" s="363" t="s">
        <v>211</v>
      </c>
      <c r="L109" s="364" t="s">
        <v>101</v>
      </c>
      <c r="M109" s="364" t="s">
        <v>79</v>
      </c>
      <c r="N109" s="365" t="s">
        <v>313</v>
      </c>
      <c r="O109" s="365">
        <v>657</v>
      </c>
      <c r="P109" s="364" t="s">
        <v>90</v>
      </c>
      <c r="Q109" s="364">
        <v>2</v>
      </c>
      <c r="R109" s="364">
        <v>6</v>
      </c>
      <c r="S109" s="364" t="s">
        <v>229</v>
      </c>
      <c r="T109" s="364" t="s">
        <v>74</v>
      </c>
      <c r="U109" s="364" t="s">
        <v>113</v>
      </c>
      <c r="V109" s="364" t="s">
        <v>305</v>
      </c>
      <c r="W109" s="364" t="s">
        <v>113</v>
      </c>
      <c r="X109" s="364" t="s">
        <v>113</v>
      </c>
      <c r="Y109" s="364" t="s">
        <v>74</v>
      </c>
    </row>
    <row r="110" spans="3:25" ht="13.5" customHeight="1" x14ac:dyDescent="0.2">
      <c r="C110" s="82"/>
      <c r="D110" s="292" t="s">
        <v>74</v>
      </c>
      <c r="E110" s="138"/>
      <c r="F110" s="138"/>
      <c r="H110" s="69" t="str">
        <f t="shared" si="4"/>
        <v>BTR-Regions</v>
      </c>
      <c r="I110" s="69" t="str">
        <f t="shared" si="5"/>
        <v>The Forge</v>
      </c>
      <c r="J110" s="363" t="s">
        <v>211</v>
      </c>
      <c r="L110" s="364" t="s">
        <v>101</v>
      </c>
      <c r="M110" s="364" t="s">
        <v>79</v>
      </c>
      <c r="N110" s="365" t="s">
        <v>314</v>
      </c>
      <c r="O110" s="365">
        <v>700</v>
      </c>
      <c r="P110" s="364" t="s">
        <v>90</v>
      </c>
      <c r="Q110" s="364">
        <v>2</v>
      </c>
      <c r="R110" s="364">
        <v>6</v>
      </c>
      <c r="S110" s="364" t="s">
        <v>231</v>
      </c>
      <c r="T110" s="364" t="s">
        <v>74</v>
      </c>
      <c r="U110" s="364" t="s">
        <v>113</v>
      </c>
      <c r="V110" s="364" t="s">
        <v>305</v>
      </c>
      <c r="W110" s="364" t="s">
        <v>113</v>
      </c>
      <c r="X110" s="364" t="s">
        <v>113</v>
      </c>
      <c r="Y110" s="364" t="s">
        <v>74</v>
      </c>
    </row>
    <row r="111" spans="3:25" ht="13.5" customHeight="1" x14ac:dyDescent="0.2">
      <c r="C111" s="82"/>
      <c r="D111" s="292" t="s">
        <v>74</v>
      </c>
      <c r="E111" s="138"/>
      <c r="F111" s="138"/>
      <c r="H111" s="69" t="str">
        <f t="shared" si="4"/>
        <v>BTR-Regions</v>
      </c>
      <c r="I111" s="69" t="str">
        <f t="shared" si="5"/>
        <v>The Forge</v>
      </c>
      <c r="J111" s="363" t="s">
        <v>211</v>
      </c>
      <c r="L111" s="364" t="s">
        <v>101</v>
      </c>
      <c r="M111" s="364" t="s">
        <v>79</v>
      </c>
      <c r="N111" s="365" t="s">
        <v>315</v>
      </c>
      <c r="O111" s="365">
        <v>689</v>
      </c>
      <c r="P111" s="364" t="s">
        <v>90</v>
      </c>
      <c r="Q111" s="364">
        <v>2</v>
      </c>
      <c r="R111" s="364">
        <v>6</v>
      </c>
      <c r="S111" s="364" t="s">
        <v>233</v>
      </c>
      <c r="T111" s="364" t="s">
        <v>74</v>
      </c>
      <c r="U111" s="364" t="s">
        <v>113</v>
      </c>
      <c r="V111" s="364" t="s">
        <v>305</v>
      </c>
      <c r="W111" s="364" t="s">
        <v>113</v>
      </c>
      <c r="X111" s="364" t="s">
        <v>113</v>
      </c>
      <c r="Y111" s="364" t="s">
        <v>74</v>
      </c>
    </row>
    <row r="112" spans="3:25" ht="13.5" customHeight="1" x14ac:dyDescent="0.2">
      <c r="C112" s="82"/>
      <c r="D112" s="292" t="s">
        <v>74</v>
      </c>
      <c r="E112" s="138"/>
      <c r="F112" s="138"/>
      <c r="H112" s="69" t="str">
        <f t="shared" si="4"/>
        <v>BTR-Regions</v>
      </c>
      <c r="I112" s="69" t="str">
        <f t="shared" si="5"/>
        <v>The Forge</v>
      </c>
      <c r="J112" s="363" t="s">
        <v>211</v>
      </c>
      <c r="L112" s="364" t="s">
        <v>101</v>
      </c>
      <c r="M112" s="364" t="s">
        <v>79</v>
      </c>
      <c r="N112" s="365" t="s">
        <v>316</v>
      </c>
      <c r="O112" s="365">
        <v>517</v>
      </c>
      <c r="P112" s="364" t="s">
        <v>89</v>
      </c>
      <c r="Q112" s="364">
        <v>1</v>
      </c>
      <c r="R112" s="364">
        <v>6</v>
      </c>
      <c r="S112" s="364" t="s">
        <v>233</v>
      </c>
      <c r="T112" s="364" t="s">
        <v>74</v>
      </c>
      <c r="U112" s="364" t="s">
        <v>113</v>
      </c>
      <c r="V112" s="364" t="s">
        <v>305</v>
      </c>
      <c r="W112" s="364" t="s">
        <v>113</v>
      </c>
      <c r="X112" s="364" t="s">
        <v>113</v>
      </c>
      <c r="Y112" s="364" t="s">
        <v>74</v>
      </c>
    </row>
    <row r="113" spans="3:25" ht="13.5" customHeight="1" x14ac:dyDescent="0.2">
      <c r="C113" s="82"/>
      <c r="D113" s="292" t="s">
        <v>74</v>
      </c>
      <c r="E113" s="138"/>
      <c r="F113" s="138"/>
      <c r="H113" s="69" t="str">
        <f t="shared" si="4"/>
        <v>BTR-Regions</v>
      </c>
      <c r="I113" s="69" t="str">
        <f t="shared" si="5"/>
        <v>The Forge</v>
      </c>
      <c r="J113" s="363" t="s">
        <v>211</v>
      </c>
      <c r="L113" s="364" t="s">
        <v>101</v>
      </c>
      <c r="M113" s="364" t="s">
        <v>79</v>
      </c>
      <c r="N113" s="365" t="s">
        <v>317</v>
      </c>
      <c r="O113" s="365">
        <v>549</v>
      </c>
      <c r="P113" s="364" t="s">
        <v>89</v>
      </c>
      <c r="Q113" s="364">
        <v>1</v>
      </c>
      <c r="R113" s="364">
        <v>6</v>
      </c>
      <c r="S113" s="364" t="s">
        <v>214</v>
      </c>
      <c r="T113" s="364" t="s">
        <v>74</v>
      </c>
      <c r="U113" s="364" t="s">
        <v>113</v>
      </c>
      <c r="V113" s="364" t="s">
        <v>305</v>
      </c>
      <c r="W113" s="364" t="s">
        <v>113</v>
      </c>
      <c r="X113" s="364" t="s">
        <v>113</v>
      </c>
      <c r="Y113" s="364" t="s">
        <v>74</v>
      </c>
    </row>
    <row r="114" spans="3:25" ht="13.5" customHeight="1" x14ac:dyDescent="0.2">
      <c r="C114" s="82"/>
      <c r="D114" s="292" t="s">
        <v>74</v>
      </c>
      <c r="E114" s="138"/>
      <c r="F114" s="138"/>
      <c r="H114" s="69" t="str">
        <f t="shared" si="4"/>
        <v>BTR-Regions</v>
      </c>
      <c r="I114" s="69" t="str">
        <f t="shared" si="5"/>
        <v>The Forge</v>
      </c>
      <c r="J114" s="363" t="s">
        <v>211</v>
      </c>
      <c r="L114" s="364" t="s">
        <v>101</v>
      </c>
      <c r="M114" s="364" t="s">
        <v>79</v>
      </c>
      <c r="N114" s="365" t="s">
        <v>318</v>
      </c>
      <c r="O114" s="365">
        <v>570</v>
      </c>
      <c r="P114" s="364" t="s">
        <v>89</v>
      </c>
      <c r="Q114" s="364">
        <v>1</v>
      </c>
      <c r="R114" s="364">
        <v>6</v>
      </c>
      <c r="S114" s="364" t="s">
        <v>214</v>
      </c>
      <c r="T114" s="364" t="s">
        <v>74</v>
      </c>
      <c r="U114" s="364" t="s">
        <v>113</v>
      </c>
      <c r="V114" s="364" t="s">
        <v>305</v>
      </c>
      <c r="W114" s="364" t="s">
        <v>237</v>
      </c>
      <c r="X114" s="364" t="s">
        <v>113</v>
      </c>
      <c r="Y114" s="364" t="s">
        <v>74</v>
      </c>
    </row>
    <row r="115" spans="3:25" ht="13.5" customHeight="1" x14ac:dyDescent="0.2">
      <c r="C115" s="82"/>
      <c r="D115" s="292" t="s">
        <v>74</v>
      </c>
      <c r="E115" s="138"/>
      <c r="F115" s="138"/>
      <c r="H115" s="69" t="str">
        <f t="shared" si="4"/>
        <v>BTR-Regions</v>
      </c>
      <c r="I115" s="69" t="str">
        <f t="shared" si="5"/>
        <v>The Forge</v>
      </c>
      <c r="J115" s="363" t="s">
        <v>211</v>
      </c>
      <c r="L115" s="364" t="s">
        <v>101</v>
      </c>
      <c r="M115" s="364" t="s">
        <v>79</v>
      </c>
      <c r="N115" s="365" t="s">
        <v>319</v>
      </c>
      <c r="O115" s="365">
        <v>624</v>
      </c>
      <c r="P115" s="364" t="s">
        <v>90</v>
      </c>
      <c r="Q115" s="364">
        <v>2</v>
      </c>
      <c r="R115" s="364">
        <v>6</v>
      </c>
      <c r="S115" s="364" t="s">
        <v>214</v>
      </c>
      <c r="T115" s="364" t="s">
        <v>74</v>
      </c>
      <c r="U115" s="364" t="s">
        <v>113</v>
      </c>
      <c r="V115" s="364" t="s">
        <v>305</v>
      </c>
      <c r="W115" s="364" t="s">
        <v>113</v>
      </c>
      <c r="X115" s="364" t="s">
        <v>113</v>
      </c>
      <c r="Y115" s="364" t="s">
        <v>74</v>
      </c>
    </row>
    <row r="116" spans="3:25" ht="13.5" customHeight="1" x14ac:dyDescent="0.2">
      <c r="C116" s="82"/>
      <c r="D116" s="292" t="s">
        <v>74</v>
      </c>
      <c r="E116" s="138"/>
      <c r="F116" s="138"/>
      <c r="H116" s="69" t="str">
        <f t="shared" si="4"/>
        <v>BTR-Regions</v>
      </c>
      <c r="I116" s="69" t="str">
        <f t="shared" si="5"/>
        <v>The Forge</v>
      </c>
      <c r="J116" s="363" t="s">
        <v>211</v>
      </c>
      <c r="L116" s="364" t="s">
        <v>101</v>
      </c>
      <c r="M116" s="364" t="s">
        <v>79</v>
      </c>
      <c r="N116" s="365" t="s">
        <v>320</v>
      </c>
      <c r="O116" s="365">
        <v>624</v>
      </c>
      <c r="P116" s="364" t="s">
        <v>90</v>
      </c>
      <c r="Q116" s="364">
        <v>2</v>
      </c>
      <c r="R116" s="364">
        <v>6</v>
      </c>
      <c r="S116" s="364" t="s">
        <v>214</v>
      </c>
      <c r="T116" s="364" t="s">
        <v>74</v>
      </c>
      <c r="U116" s="364" t="s">
        <v>113</v>
      </c>
      <c r="V116" s="364" t="s">
        <v>305</v>
      </c>
      <c r="W116" s="364" t="s">
        <v>113</v>
      </c>
      <c r="X116" s="364" t="s">
        <v>113</v>
      </c>
      <c r="Y116" s="364" t="s">
        <v>74</v>
      </c>
    </row>
    <row r="117" spans="3:25" ht="13.5" customHeight="1" x14ac:dyDescent="0.2">
      <c r="C117" s="82"/>
      <c r="D117" s="292" t="s">
        <v>74</v>
      </c>
      <c r="E117" s="138"/>
      <c r="F117" s="138"/>
      <c r="H117" s="69" t="str">
        <f t="shared" si="4"/>
        <v>BTR-Regions</v>
      </c>
      <c r="I117" s="69" t="str">
        <f t="shared" si="5"/>
        <v>The Forge</v>
      </c>
      <c r="J117" s="363" t="s">
        <v>211</v>
      </c>
      <c r="L117" s="364" t="s">
        <v>101</v>
      </c>
      <c r="M117" s="364" t="s">
        <v>79</v>
      </c>
      <c r="N117" s="365" t="s">
        <v>321</v>
      </c>
      <c r="O117" s="365">
        <v>495</v>
      </c>
      <c r="P117" s="364" t="s">
        <v>89</v>
      </c>
      <c r="Q117" s="364">
        <v>1</v>
      </c>
      <c r="R117" s="364">
        <v>7</v>
      </c>
      <c r="S117" s="364" t="s">
        <v>214</v>
      </c>
      <c r="T117" s="364" t="s">
        <v>74</v>
      </c>
      <c r="U117" s="364" t="s">
        <v>113</v>
      </c>
      <c r="V117" s="364" t="s">
        <v>218</v>
      </c>
      <c r="W117" s="364" t="s">
        <v>113</v>
      </c>
      <c r="X117" s="364" t="s">
        <v>113</v>
      </c>
      <c r="Y117" s="364" t="s">
        <v>74</v>
      </c>
    </row>
    <row r="118" spans="3:25" ht="13.5" customHeight="1" x14ac:dyDescent="0.2">
      <c r="C118" s="82"/>
      <c r="D118" s="292" t="s">
        <v>74</v>
      </c>
      <c r="E118" s="138"/>
      <c r="F118" s="138"/>
      <c r="H118" s="69" t="str">
        <f t="shared" si="4"/>
        <v>BTR-Regions</v>
      </c>
      <c r="I118" s="69" t="str">
        <f t="shared" si="5"/>
        <v>The Forge</v>
      </c>
      <c r="J118" s="363" t="s">
        <v>211</v>
      </c>
      <c r="L118" s="364" t="s">
        <v>101</v>
      </c>
      <c r="M118" s="364" t="s">
        <v>79</v>
      </c>
      <c r="N118" s="365" t="s">
        <v>322</v>
      </c>
      <c r="O118" s="365">
        <v>678</v>
      </c>
      <c r="P118" s="364" t="s">
        <v>90</v>
      </c>
      <c r="Q118" s="364">
        <v>2</v>
      </c>
      <c r="R118" s="364">
        <v>7</v>
      </c>
      <c r="S118" s="364" t="s">
        <v>214</v>
      </c>
      <c r="T118" s="364" t="s">
        <v>74</v>
      </c>
      <c r="U118" s="364" t="s">
        <v>113</v>
      </c>
      <c r="V118" s="364" t="s">
        <v>218</v>
      </c>
      <c r="W118" s="364" t="s">
        <v>113</v>
      </c>
      <c r="X118" s="364" t="s">
        <v>113</v>
      </c>
      <c r="Y118" s="364" t="s">
        <v>74</v>
      </c>
    </row>
    <row r="119" spans="3:25" ht="13.5" customHeight="1" x14ac:dyDescent="0.2">
      <c r="C119" s="82"/>
      <c r="D119" s="292" t="s">
        <v>74</v>
      </c>
      <c r="E119" s="138"/>
      <c r="F119" s="138"/>
      <c r="H119" s="69" t="str">
        <f t="shared" si="4"/>
        <v>BTR-Regions</v>
      </c>
      <c r="I119" s="69" t="str">
        <f t="shared" si="5"/>
        <v>The Forge</v>
      </c>
      <c r="J119" s="363" t="s">
        <v>211</v>
      </c>
      <c r="L119" s="364" t="s">
        <v>101</v>
      </c>
      <c r="M119" s="364" t="s">
        <v>79</v>
      </c>
      <c r="N119" s="365" t="s">
        <v>323</v>
      </c>
      <c r="O119" s="365">
        <v>657</v>
      </c>
      <c r="P119" s="364" t="s">
        <v>90</v>
      </c>
      <c r="Q119" s="364">
        <v>2</v>
      </c>
      <c r="R119" s="364">
        <v>7</v>
      </c>
      <c r="S119" s="364" t="s">
        <v>214</v>
      </c>
      <c r="T119" s="364" t="s">
        <v>74</v>
      </c>
      <c r="U119" s="364" t="s">
        <v>113</v>
      </c>
      <c r="V119" s="364" t="s">
        <v>218</v>
      </c>
      <c r="W119" s="364" t="s">
        <v>113</v>
      </c>
      <c r="X119" s="364" t="s">
        <v>113</v>
      </c>
      <c r="Y119" s="364" t="s">
        <v>74</v>
      </c>
    </row>
    <row r="120" spans="3:25" ht="13.5" customHeight="1" x14ac:dyDescent="0.2">
      <c r="C120" s="82"/>
      <c r="D120" s="292" t="s">
        <v>74</v>
      </c>
      <c r="E120" s="138"/>
      <c r="F120" s="138"/>
      <c r="H120" s="69" t="str">
        <f t="shared" si="4"/>
        <v>BTR-Regions</v>
      </c>
      <c r="I120" s="69" t="str">
        <f t="shared" si="5"/>
        <v>The Forge</v>
      </c>
      <c r="J120" s="363" t="s">
        <v>211</v>
      </c>
      <c r="L120" s="364" t="s">
        <v>101</v>
      </c>
      <c r="M120" s="364" t="s">
        <v>79</v>
      </c>
      <c r="N120" s="365" t="s">
        <v>324</v>
      </c>
      <c r="O120" s="365">
        <v>818</v>
      </c>
      <c r="P120" s="364" t="s">
        <v>91</v>
      </c>
      <c r="Q120" s="364">
        <v>2</v>
      </c>
      <c r="R120" s="364">
        <v>7</v>
      </c>
      <c r="S120" s="364" t="s">
        <v>220</v>
      </c>
      <c r="T120" s="364" t="s">
        <v>74</v>
      </c>
      <c r="U120" s="364" t="s">
        <v>113</v>
      </c>
      <c r="V120" s="364" t="s">
        <v>218</v>
      </c>
      <c r="W120" s="364" t="s">
        <v>113</v>
      </c>
      <c r="X120" s="364" t="s">
        <v>113</v>
      </c>
      <c r="Y120" s="364" t="s">
        <v>74</v>
      </c>
    </row>
    <row r="121" spans="3:25" ht="13.5" customHeight="1" x14ac:dyDescent="0.2">
      <c r="C121" s="82"/>
      <c r="D121" s="292" t="s">
        <v>74</v>
      </c>
      <c r="E121" s="138"/>
      <c r="F121" s="138"/>
      <c r="H121" s="69" t="str">
        <f t="shared" si="4"/>
        <v>BTR-Regions</v>
      </c>
      <c r="I121" s="69" t="str">
        <f t="shared" si="5"/>
        <v>The Forge</v>
      </c>
      <c r="J121" s="363" t="s">
        <v>211</v>
      </c>
      <c r="L121" s="364" t="s">
        <v>101</v>
      </c>
      <c r="M121" s="364" t="s">
        <v>79</v>
      </c>
      <c r="N121" s="365" t="s">
        <v>325</v>
      </c>
      <c r="O121" s="365">
        <v>646</v>
      </c>
      <c r="P121" s="364" t="s">
        <v>90</v>
      </c>
      <c r="Q121" s="364">
        <v>2</v>
      </c>
      <c r="R121" s="364">
        <v>7</v>
      </c>
      <c r="S121" s="364" t="s">
        <v>224</v>
      </c>
      <c r="T121" s="364" t="s">
        <v>74</v>
      </c>
      <c r="U121" s="364" t="s">
        <v>113</v>
      </c>
      <c r="V121" s="364" t="s">
        <v>218</v>
      </c>
      <c r="W121" s="364" t="s">
        <v>113</v>
      </c>
      <c r="X121" s="364" t="s">
        <v>113</v>
      </c>
      <c r="Y121" s="364" t="s">
        <v>74</v>
      </c>
    </row>
    <row r="122" spans="3:25" ht="13.5" customHeight="1" x14ac:dyDescent="0.2">
      <c r="C122" s="82"/>
      <c r="D122" s="292" t="s">
        <v>74</v>
      </c>
      <c r="E122" s="138"/>
      <c r="F122" s="138"/>
      <c r="H122" s="69" t="str">
        <f t="shared" si="4"/>
        <v>BTR-Regions</v>
      </c>
      <c r="I122" s="69" t="str">
        <f t="shared" si="5"/>
        <v>The Forge</v>
      </c>
      <c r="J122" s="363" t="s">
        <v>211</v>
      </c>
      <c r="L122" s="364" t="s">
        <v>101</v>
      </c>
      <c r="M122" s="364" t="s">
        <v>79</v>
      </c>
      <c r="N122" s="365" t="s">
        <v>326</v>
      </c>
      <c r="O122" s="365">
        <v>624</v>
      </c>
      <c r="P122" s="364" t="s">
        <v>90</v>
      </c>
      <c r="Q122" s="364">
        <v>2</v>
      </c>
      <c r="R122" s="364">
        <v>7</v>
      </c>
      <c r="S122" s="364" t="s">
        <v>224</v>
      </c>
      <c r="T122" s="364" t="s">
        <v>74</v>
      </c>
      <c r="U122" s="364" t="s">
        <v>113</v>
      </c>
      <c r="V122" s="364" t="s">
        <v>218</v>
      </c>
      <c r="W122" s="364" t="s">
        <v>113</v>
      </c>
      <c r="X122" s="364" t="s">
        <v>113</v>
      </c>
      <c r="Y122" s="364" t="s">
        <v>74</v>
      </c>
    </row>
    <row r="123" spans="3:25" ht="13.5" customHeight="1" x14ac:dyDescent="0.2">
      <c r="C123" s="82"/>
      <c r="D123" s="292" t="s">
        <v>74</v>
      </c>
      <c r="E123" s="138"/>
      <c r="F123" s="138"/>
      <c r="H123" s="69" t="str">
        <f t="shared" si="4"/>
        <v>BTR-Regions</v>
      </c>
      <c r="I123" s="69" t="str">
        <f t="shared" si="5"/>
        <v>The Forge</v>
      </c>
      <c r="J123" s="363" t="s">
        <v>211</v>
      </c>
      <c r="L123" s="364" t="s">
        <v>101</v>
      </c>
      <c r="M123" s="364" t="s">
        <v>79</v>
      </c>
      <c r="N123" s="365" t="s">
        <v>327</v>
      </c>
      <c r="O123" s="365">
        <v>624</v>
      </c>
      <c r="P123" s="364" t="s">
        <v>90</v>
      </c>
      <c r="Q123" s="364">
        <v>2</v>
      </c>
      <c r="R123" s="364">
        <v>7</v>
      </c>
      <c r="S123" s="364" t="s">
        <v>224</v>
      </c>
      <c r="T123" s="364" t="s">
        <v>74</v>
      </c>
      <c r="U123" s="364" t="s">
        <v>113</v>
      </c>
      <c r="V123" s="364" t="s">
        <v>218</v>
      </c>
      <c r="W123" s="364" t="s">
        <v>113</v>
      </c>
      <c r="X123" s="364" t="s">
        <v>113</v>
      </c>
      <c r="Y123" s="364" t="s">
        <v>74</v>
      </c>
    </row>
    <row r="124" spans="3:25" ht="13.5" customHeight="1" x14ac:dyDescent="0.2">
      <c r="C124" s="82"/>
      <c r="D124" s="292" t="s">
        <v>74</v>
      </c>
      <c r="E124" s="138"/>
      <c r="F124" s="138"/>
      <c r="H124" s="69" t="str">
        <f t="shared" si="4"/>
        <v>BTR-Regions</v>
      </c>
      <c r="I124" s="69" t="str">
        <f t="shared" si="5"/>
        <v>The Forge</v>
      </c>
      <c r="J124" s="363" t="s">
        <v>211</v>
      </c>
      <c r="L124" s="364" t="s">
        <v>101</v>
      </c>
      <c r="M124" s="364" t="s">
        <v>79</v>
      </c>
      <c r="N124" s="365" t="s">
        <v>328</v>
      </c>
      <c r="O124" s="365">
        <v>657</v>
      </c>
      <c r="P124" s="364" t="s">
        <v>90</v>
      </c>
      <c r="Q124" s="364">
        <v>2</v>
      </c>
      <c r="R124" s="364">
        <v>7</v>
      </c>
      <c r="S124" s="364" t="s">
        <v>229</v>
      </c>
      <c r="T124" s="364" t="s">
        <v>74</v>
      </c>
      <c r="U124" s="364" t="s">
        <v>113</v>
      </c>
      <c r="V124" s="364" t="s">
        <v>218</v>
      </c>
      <c r="W124" s="364" t="s">
        <v>113</v>
      </c>
      <c r="X124" s="364" t="s">
        <v>113</v>
      </c>
      <c r="Y124" s="364" t="s">
        <v>74</v>
      </c>
    </row>
    <row r="125" spans="3:25" ht="13.5" customHeight="1" x14ac:dyDescent="0.2">
      <c r="C125" s="82"/>
      <c r="D125" s="292" t="s">
        <v>74</v>
      </c>
      <c r="E125" s="138"/>
      <c r="F125" s="138"/>
      <c r="H125" s="69" t="str">
        <f t="shared" si="4"/>
        <v>BTR-Regions</v>
      </c>
      <c r="I125" s="69" t="str">
        <f t="shared" si="5"/>
        <v>The Forge</v>
      </c>
      <c r="J125" s="363" t="s">
        <v>211</v>
      </c>
      <c r="L125" s="364" t="s">
        <v>101</v>
      </c>
      <c r="M125" s="364" t="s">
        <v>79</v>
      </c>
      <c r="N125" s="365" t="s">
        <v>329</v>
      </c>
      <c r="O125" s="365">
        <v>700</v>
      </c>
      <c r="P125" s="364" t="s">
        <v>90</v>
      </c>
      <c r="Q125" s="364">
        <v>2</v>
      </c>
      <c r="R125" s="364">
        <v>7</v>
      </c>
      <c r="S125" s="364" t="s">
        <v>231</v>
      </c>
      <c r="T125" s="364" t="s">
        <v>74</v>
      </c>
      <c r="U125" s="364" t="s">
        <v>113</v>
      </c>
      <c r="V125" s="364" t="s">
        <v>218</v>
      </c>
      <c r="W125" s="364" t="s">
        <v>113</v>
      </c>
      <c r="X125" s="364" t="s">
        <v>113</v>
      </c>
      <c r="Y125" s="364" t="s">
        <v>74</v>
      </c>
    </row>
    <row r="126" spans="3:25" ht="13.5" customHeight="1" x14ac:dyDescent="0.2">
      <c r="C126" s="82"/>
      <c r="D126" s="292" t="s">
        <v>74</v>
      </c>
      <c r="E126" s="138"/>
      <c r="F126" s="138"/>
      <c r="H126" s="69" t="str">
        <f t="shared" si="4"/>
        <v>BTR-Regions</v>
      </c>
      <c r="I126" s="69" t="str">
        <f t="shared" si="5"/>
        <v>The Forge</v>
      </c>
      <c r="J126" s="363" t="s">
        <v>211</v>
      </c>
      <c r="L126" s="364" t="s">
        <v>101</v>
      </c>
      <c r="M126" s="364" t="s">
        <v>79</v>
      </c>
      <c r="N126" s="365" t="s">
        <v>330</v>
      </c>
      <c r="O126" s="365">
        <v>689</v>
      </c>
      <c r="P126" s="364" t="s">
        <v>90</v>
      </c>
      <c r="Q126" s="364">
        <v>2</v>
      </c>
      <c r="R126" s="364">
        <v>7</v>
      </c>
      <c r="S126" s="364" t="s">
        <v>233</v>
      </c>
      <c r="T126" s="364" t="s">
        <v>74</v>
      </c>
      <c r="U126" s="364" t="s">
        <v>113</v>
      </c>
      <c r="V126" s="364" t="s">
        <v>218</v>
      </c>
      <c r="W126" s="364" t="s">
        <v>113</v>
      </c>
      <c r="X126" s="364" t="s">
        <v>113</v>
      </c>
      <c r="Y126" s="364" t="s">
        <v>74</v>
      </c>
    </row>
    <row r="127" spans="3:25" ht="13.5" customHeight="1" x14ac:dyDescent="0.2">
      <c r="C127" s="82"/>
      <c r="D127" s="292" t="s">
        <v>74</v>
      </c>
      <c r="E127" s="138"/>
      <c r="F127" s="138"/>
      <c r="H127" s="69" t="str">
        <f t="shared" si="4"/>
        <v>BTR-Regions</v>
      </c>
      <c r="I127" s="69" t="str">
        <f t="shared" si="5"/>
        <v>The Forge</v>
      </c>
      <c r="J127" s="363" t="s">
        <v>211</v>
      </c>
      <c r="L127" s="364" t="s">
        <v>101</v>
      </c>
      <c r="M127" s="364" t="s">
        <v>79</v>
      </c>
      <c r="N127" s="365" t="s">
        <v>331</v>
      </c>
      <c r="O127" s="365">
        <v>506</v>
      </c>
      <c r="P127" s="364" t="s">
        <v>89</v>
      </c>
      <c r="Q127" s="364">
        <v>1</v>
      </c>
      <c r="R127" s="364">
        <v>7</v>
      </c>
      <c r="S127" s="364" t="s">
        <v>214</v>
      </c>
      <c r="T127" s="364" t="s">
        <v>74</v>
      </c>
      <c r="U127" s="364" t="s">
        <v>113</v>
      </c>
      <c r="V127" s="364" t="s">
        <v>218</v>
      </c>
      <c r="W127" s="364" t="s">
        <v>113</v>
      </c>
      <c r="X127" s="364" t="s">
        <v>113</v>
      </c>
      <c r="Y127" s="364" t="s">
        <v>74</v>
      </c>
    </row>
    <row r="128" spans="3:25" ht="13.5" customHeight="1" x14ac:dyDescent="0.2">
      <c r="C128" s="82"/>
      <c r="D128" s="292" t="s">
        <v>74</v>
      </c>
      <c r="E128" s="138"/>
      <c r="F128" s="138"/>
      <c r="H128" s="69" t="str">
        <f t="shared" si="4"/>
        <v>BTR-Regions</v>
      </c>
      <c r="I128" s="69" t="str">
        <f t="shared" si="5"/>
        <v>The Forge</v>
      </c>
      <c r="J128" s="363" t="s">
        <v>211</v>
      </c>
      <c r="L128" s="364" t="s">
        <v>101</v>
      </c>
      <c r="M128" s="364" t="s">
        <v>79</v>
      </c>
      <c r="N128" s="365" t="s">
        <v>332</v>
      </c>
      <c r="O128" s="365">
        <v>549</v>
      </c>
      <c r="P128" s="364" t="s">
        <v>89</v>
      </c>
      <c r="Q128" s="364">
        <v>1</v>
      </c>
      <c r="R128" s="364">
        <v>7</v>
      </c>
      <c r="S128" s="364" t="s">
        <v>214</v>
      </c>
      <c r="T128" s="364" t="s">
        <v>74</v>
      </c>
      <c r="U128" s="364" t="s">
        <v>113</v>
      </c>
      <c r="V128" s="364" t="s">
        <v>218</v>
      </c>
      <c r="W128" s="364" t="s">
        <v>113</v>
      </c>
      <c r="X128" s="364" t="s">
        <v>113</v>
      </c>
      <c r="Y128" s="364" t="s">
        <v>74</v>
      </c>
    </row>
    <row r="129" spans="3:25" ht="13.5" customHeight="1" x14ac:dyDescent="0.2">
      <c r="C129" s="82"/>
      <c r="D129" s="292" t="s">
        <v>74</v>
      </c>
      <c r="E129" s="138"/>
      <c r="F129" s="138"/>
      <c r="H129" s="69" t="str">
        <f t="shared" si="4"/>
        <v>BTR-Regions</v>
      </c>
      <c r="I129" s="69" t="str">
        <f t="shared" si="5"/>
        <v>The Forge</v>
      </c>
      <c r="J129" s="363" t="s">
        <v>211</v>
      </c>
      <c r="L129" s="364" t="s">
        <v>101</v>
      </c>
      <c r="M129" s="364" t="s">
        <v>79</v>
      </c>
      <c r="N129" s="365" t="s">
        <v>333</v>
      </c>
      <c r="O129" s="365">
        <v>570</v>
      </c>
      <c r="P129" s="364" t="s">
        <v>89</v>
      </c>
      <c r="Q129" s="364">
        <v>1</v>
      </c>
      <c r="R129" s="364">
        <v>7</v>
      </c>
      <c r="S129" s="364" t="s">
        <v>214</v>
      </c>
      <c r="T129" s="364" t="s">
        <v>74</v>
      </c>
      <c r="U129" s="364" t="s">
        <v>113</v>
      </c>
      <c r="V129" s="364" t="s">
        <v>218</v>
      </c>
      <c r="W129" s="364" t="s">
        <v>237</v>
      </c>
      <c r="X129" s="364" t="s">
        <v>113</v>
      </c>
      <c r="Y129" s="364" t="s">
        <v>74</v>
      </c>
    </row>
    <row r="130" spans="3:25" ht="13.5" customHeight="1" x14ac:dyDescent="0.2">
      <c r="C130" s="82"/>
      <c r="D130" s="292" t="s">
        <v>74</v>
      </c>
      <c r="E130" s="138"/>
      <c r="F130" s="138"/>
      <c r="H130" s="69" t="str">
        <f t="shared" si="4"/>
        <v>BTR-Regions</v>
      </c>
      <c r="I130" s="69" t="str">
        <f t="shared" si="5"/>
        <v>The Forge</v>
      </c>
      <c r="J130" s="363" t="s">
        <v>211</v>
      </c>
      <c r="L130" s="364" t="s">
        <v>101</v>
      </c>
      <c r="M130" s="364" t="s">
        <v>79</v>
      </c>
      <c r="N130" s="365" t="s">
        <v>334</v>
      </c>
      <c r="O130" s="365">
        <v>624</v>
      </c>
      <c r="P130" s="364" t="s">
        <v>90</v>
      </c>
      <c r="Q130" s="364">
        <v>2</v>
      </c>
      <c r="R130" s="364">
        <v>7</v>
      </c>
      <c r="S130" s="364" t="s">
        <v>214</v>
      </c>
      <c r="T130" s="364" t="s">
        <v>74</v>
      </c>
      <c r="U130" s="364" t="s">
        <v>113</v>
      </c>
      <c r="V130" s="364" t="s">
        <v>218</v>
      </c>
      <c r="W130" s="364" t="s">
        <v>113</v>
      </c>
      <c r="X130" s="364" t="s">
        <v>113</v>
      </c>
      <c r="Y130" s="364" t="s">
        <v>74</v>
      </c>
    </row>
    <row r="131" spans="3:25" ht="13.5" customHeight="1" x14ac:dyDescent="0.2">
      <c r="C131" s="82"/>
      <c r="D131" s="292" t="s">
        <v>74</v>
      </c>
      <c r="E131" s="138"/>
      <c r="F131" s="138"/>
      <c r="H131" s="69" t="str">
        <f t="shared" si="4"/>
        <v>BTR-Regions</v>
      </c>
      <c r="I131" s="69" t="str">
        <f t="shared" si="5"/>
        <v>The Forge</v>
      </c>
      <c r="J131" s="363" t="s">
        <v>211</v>
      </c>
      <c r="L131" s="364" t="s">
        <v>101</v>
      </c>
      <c r="M131" s="364" t="s">
        <v>79</v>
      </c>
      <c r="N131" s="365" t="s">
        <v>335</v>
      </c>
      <c r="O131" s="365">
        <v>624</v>
      </c>
      <c r="P131" s="364" t="s">
        <v>90</v>
      </c>
      <c r="Q131" s="364">
        <v>2</v>
      </c>
      <c r="R131" s="364">
        <v>7</v>
      </c>
      <c r="S131" s="364" t="s">
        <v>214</v>
      </c>
      <c r="T131" s="364" t="s">
        <v>74</v>
      </c>
      <c r="U131" s="364" t="s">
        <v>113</v>
      </c>
      <c r="V131" s="364" t="s">
        <v>218</v>
      </c>
      <c r="W131" s="364" t="s">
        <v>113</v>
      </c>
      <c r="X131" s="364" t="s">
        <v>113</v>
      </c>
      <c r="Y131" s="364" t="s">
        <v>74</v>
      </c>
    </row>
    <row r="132" spans="3:25" ht="13.5" customHeight="1" x14ac:dyDescent="0.2">
      <c r="C132" s="82"/>
      <c r="D132" s="292" t="s">
        <v>74</v>
      </c>
      <c r="E132" s="138"/>
      <c r="F132" s="138"/>
      <c r="H132" s="69" t="str">
        <f t="shared" si="4"/>
        <v>BTR-Regions</v>
      </c>
      <c r="I132" s="69" t="str">
        <f t="shared" si="5"/>
        <v>The Forge</v>
      </c>
      <c r="J132" s="363" t="s">
        <v>211</v>
      </c>
      <c r="L132" s="364" t="s">
        <v>102</v>
      </c>
      <c r="M132" s="364" t="s">
        <v>79</v>
      </c>
      <c r="N132" s="365" t="s">
        <v>336</v>
      </c>
      <c r="O132" s="365">
        <v>757</v>
      </c>
      <c r="P132" s="364" t="s">
        <v>90</v>
      </c>
      <c r="Q132" s="364">
        <v>2</v>
      </c>
      <c r="R132" s="364" t="s">
        <v>213</v>
      </c>
      <c r="S132" s="364" t="s">
        <v>214</v>
      </c>
      <c r="T132" s="364" t="s">
        <v>74</v>
      </c>
      <c r="U132" s="364" t="s">
        <v>113</v>
      </c>
      <c r="V132" s="364" t="s">
        <v>215</v>
      </c>
      <c r="W132" s="364" t="s">
        <v>337</v>
      </c>
      <c r="X132" s="364" t="s">
        <v>113</v>
      </c>
      <c r="Y132" s="364" t="s">
        <v>74</v>
      </c>
    </row>
    <row r="133" spans="3:25" ht="13.5" customHeight="1" x14ac:dyDescent="0.2">
      <c r="C133" s="82"/>
      <c r="D133" s="292" t="s">
        <v>74</v>
      </c>
      <c r="E133" s="138"/>
      <c r="F133" s="138"/>
      <c r="H133" s="69" t="str">
        <f t="shared" si="4"/>
        <v>BTR-Regions</v>
      </c>
      <c r="I133" s="69" t="str">
        <f t="shared" si="5"/>
        <v>The Forge</v>
      </c>
      <c r="J133" s="363" t="s">
        <v>211</v>
      </c>
      <c r="L133" s="364" t="s">
        <v>102</v>
      </c>
      <c r="M133" s="364" t="s">
        <v>79</v>
      </c>
      <c r="N133" s="365" t="s">
        <v>338</v>
      </c>
      <c r="O133" s="365">
        <v>553</v>
      </c>
      <c r="P133" s="364" t="s">
        <v>89</v>
      </c>
      <c r="Q133" s="364">
        <v>1</v>
      </c>
      <c r="R133" s="364" t="s">
        <v>213</v>
      </c>
      <c r="S133" s="364" t="s">
        <v>214</v>
      </c>
      <c r="T133" s="364" t="s">
        <v>74</v>
      </c>
      <c r="U133" s="364" t="s">
        <v>113</v>
      </c>
      <c r="V133" s="364" t="s">
        <v>215</v>
      </c>
      <c r="W133" s="364" t="s">
        <v>337</v>
      </c>
      <c r="X133" s="364" t="s">
        <v>113</v>
      </c>
      <c r="Y133" s="364" t="s">
        <v>74</v>
      </c>
    </row>
    <row r="134" spans="3:25" ht="13.5" customHeight="1" x14ac:dyDescent="0.2">
      <c r="C134" s="82"/>
      <c r="D134" s="292" t="s">
        <v>74</v>
      </c>
      <c r="E134" s="138"/>
      <c r="F134" s="138"/>
      <c r="H134" s="69" t="str">
        <f t="shared" si="4"/>
        <v>BTR-Regions</v>
      </c>
      <c r="I134" s="69" t="str">
        <f t="shared" si="5"/>
        <v>The Forge</v>
      </c>
      <c r="J134" s="363" t="s">
        <v>211</v>
      </c>
      <c r="L134" s="364" t="s">
        <v>102</v>
      </c>
      <c r="M134" s="364" t="s">
        <v>79</v>
      </c>
      <c r="N134" s="365" t="s">
        <v>339</v>
      </c>
      <c r="O134" s="365">
        <v>505</v>
      </c>
      <c r="P134" s="364" t="s">
        <v>89</v>
      </c>
      <c r="Q134" s="364">
        <v>1</v>
      </c>
      <c r="R134" s="364" t="s">
        <v>213</v>
      </c>
      <c r="S134" s="364" t="s">
        <v>214</v>
      </c>
      <c r="T134" s="364" t="s">
        <v>74</v>
      </c>
      <c r="U134" s="364" t="s">
        <v>113</v>
      </c>
      <c r="V134" s="364" t="s">
        <v>215</v>
      </c>
      <c r="W134" s="364" t="s">
        <v>337</v>
      </c>
      <c r="X134" s="364" t="s">
        <v>113</v>
      </c>
      <c r="Y134" s="364" t="s">
        <v>74</v>
      </c>
    </row>
    <row r="135" spans="3:25" ht="13.5" customHeight="1" x14ac:dyDescent="0.2">
      <c r="C135" s="82"/>
      <c r="D135" s="292" t="s">
        <v>74</v>
      </c>
      <c r="E135" s="138"/>
      <c r="F135" s="138"/>
      <c r="H135" s="69" t="str">
        <f t="shared" si="4"/>
        <v>BTR-Regions</v>
      </c>
      <c r="I135" s="69" t="str">
        <f t="shared" si="5"/>
        <v>The Forge</v>
      </c>
      <c r="J135" s="363" t="s">
        <v>211</v>
      </c>
      <c r="L135" s="364" t="s">
        <v>102</v>
      </c>
      <c r="M135" s="364" t="s">
        <v>79</v>
      </c>
      <c r="N135" s="365" t="s">
        <v>340</v>
      </c>
      <c r="O135" s="365">
        <v>624</v>
      </c>
      <c r="P135" s="364" t="s">
        <v>90</v>
      </c>
      <c r="Q135" s="364">
        <v>2</v>
      </c>
      <c r="R135" s="364" t="s">
        <v>213</v>
      </c>
      <c r="S135" s="364" t="s">
        <v>341</v>
      </c>
      <c r="T135" s="364" t="s">
        <v>74</v>
      </c>
      <c r="U135" s="364" t="s">
        <v>113</v>
      </c>
      <c r="V135" s="364" t="s">
        <v>215</v>
      </c>
      <c r="W135" s="364" t="s">
        <v>113</v>
      </c>
      <c r="X135" s="364" t="s">
        <v>113</v>
      </c>
      <c r="Y135" s="364" t="s">
        <v>74</v>
      </c>
    </row>
    <row r="136" spans="3:25" ht="13.5" customHeight="1" x14ac:dyDescent="0.2">
      <c r="C136" s="82"/>
      <c r="D136" s="292" t="s">
        <v>74</v>
      </c>
      <c r="E136" s="138"/>
      <c r="F136" s="138"/>
      <c r="H136" s="69" t="str">
        <f t="shared" si="4"/>
        <v>BTR-Regions</v>
      </c>
      <c r="I136" s="69" t="str">
        <f t="shared" si="5"/>
        <v>The Forge</v>
      </c>
      <c r="J136" s="363" t="s">
        <v>211</v>
      </c>
      <c r="L136" s="364" t="s">
        <v>102</v>
      </c>
      <c r="M136" s="364" t="s">
        <v>79</v>
      </c>
      <c r="N136" s="365" t="s">
        <v>342</v>
      </c>
      <c r="O136" s="365">
        <v>603</v>
      </c>
      <c r="P136" s="364" t="s">
        <v>90</v>
      </c>
      <c r="Q136" s="364">
        <v>2</v>
      </c>
      <c r="R136" s="364" t="s">
        <v>213</v>
      </c>
      <c r="S136" s="364" t="s">
        <v>341</v>
      </c>
      <c r="T136" s="364" t="s">
        <v>74</v>
      </c>
      <c r="U136" s="364" t="s">
        <v>113</v>
      </c>
      <c r="V136" s="364" t="s">
        <v>215</v>
      </c>
      <c r="W136" s="364" t="s">
        <v>113</v>
      </c>
      <c r="X136" s="364" t="s">
        <v>113</v>
      </c>
      <c r="Y136" s="364" t="s">
        <v>74</v>
      </c>
    </row>
    <row r="137" spans="3:25" ht="13.5" customHeight="1" x14ac:dyDescent="0.2">
      <c r="C137" s="82"/>
      <c r="D137" s="292" t="s">
        <v>74</v>
      </c>
      <c r="E137" s="138"/>
      <c r="F137" s="138"/>
      <c r="H137" s="69" t="str">
        <f t="shared" si="4"/>
        <v>BTR-Regions</v>
      </c>
      <c r="I137" s="69" t="str">
        <f t="shared" si="5"/>
        <v>The Forge</v>
      </c>
      <c r="J137" s="363" t="s">
        <v>211</v>
      </c>
      <c r="L137" s="364" t="s">
        <v>102</v>
      </c>
      <c r="M137" s="364" t="s">
        <v>79</v>
      </c>
      <c r="N137" s="365" t="s">
        <v>343</v>
      </c>
      <c r="O137" s="365">
        <v>614</v>
      </c>
      <c r="P137" s="364" t="s">
        <v>90</v>
      </c>
      <c r="Q137" s="364">
        <v>2</v>
      </c>
      <c r="R137" s="364" t="s">
        <v>213</v>
      </c>
      <c r="S137" s="364" t="s">
        <v>341</v>
      </c>
      <c r="T137" s="364" t="s">
        <v>74</v>
      </c>
      <c r="U137" s="364" t="s">
        <v>113</v>
      </c>
      <c r="V137" s="364" t="s">
        <v>215</v>
      </c>
      <c r="W137" s="364" t="s">
        <v>113</v>
      </c>
      <c r="X137" s="364" t="s">
        <v>113</v>
      </c>
      <c r="Y137" s="364" t="s">
        <v>74</v>
      </c>
    </row>
    <row r="138" spans="3:25" ht="13.5" customHeight="1" x14ac:dyDescent="0.2">
      <c r="C138" s="82"/>
      <c r="D138" s="292" t="s">
        <v>74</v>
      </c>
      <c r="E138" s="138"/>
      <c r="F138" s="138"/>
      <c r="H138" s="69" t="str">
        <f t="shared" si="4"/>
        <v>BTR-Regions</v>
      </c>
      <c r="I138" s="69" t="str">
        <f t="shared" si="5"/>
        <v>The Forge</v>
      </c>
      <c r="J138" s="363" t="s">
        <v>211</v>
      </c>
      <c r="L138" s="364" t="s">
        <v>102</v>
      </c>
      <c r="M138" s="364" t="s">
        <v>79</v>
      </c>
      <c r="N138" s="365" t="s">
        <v>344</v>
      </c>
      <c r="O138" s="365">
        <v>829</v>
      </c>
      <c r="P138" s="364" t="s">
        <v>91</v>
      </c>
      <c r="Q138" s="364">
        <v>3</v>
      </c>
      <c r="R138" s="364" t="s">
        <v>213</v>
      </c>
      <c r="S138" s="364" t="s">
        <v>341</v>
      </c>
      <c r="T138" s="364" t="s">
        <v>74</v>
      </c>
      <c r="U138" s="364" t="s">
        <v>113</v>
      </c>
      <c r="V138" s="364" t="s">
        <v>215</v>
      </c>
      <c r="W138" s="364" t="s">
        <v>113</v>
      </c>
      <c r="X138" s="364" t="s">
        <v>113</v>
      </c>
      <c r="Y138" s="364" t="s">
        <v>74</v>
      </c>
    </row>
    <row r="139" spans="3:25" ht="13.5" customHeight="1" x14ac:dyDescent="0.2">
      <c r="C139" s="82"/>
      <c r="D139" s="292" t="s">
        <v>74</v>
      </c>
      <c r="E139" s="138"/>
      <c r="F139" s="138"/>
      <c r="H139" s="69" t="str">
        <f t="shared" si="4"/>
        <v>BTR-Regions</v>
      </c>
      <c r="I139" s="69" t="str">
        <f t="shared" si="5"/>
        <v>The Forge</v>
      </c>
      <c r="J139" s="363" t="s">
        <v>211</v>
      </c>
      <c r="L139" s="364" t="s">
        <v>102</v>
      </c>
      <c r="M139" s="364" t="s">
        <v>79</v>
      </c>
      <c r="N139" s="365" t="s">
        <v>345</v>
      </c>
      <c r="O139" s="365">
        <v>689</v>
      </c>
      <c r="P139" s="364" t="s">
        <v>90</v>
      </c>
      <c r="Q139" s="364">
        <v>2</v>
      </c>
      <c r="R139" s="364">
        <v>1</v>
      </c>
      <c r="S139" s="364" t="s">
        <v>214</v>
      </c>
      <c r="T139" s="364" t="s">
        <v>74</v>
      </c>
      <c r="U139" s="364" t="s">
        <v>113</v>
      </c>
      <c r="V139" s="364" t="s">
        <v>218</v>
      </c>
      <c r="W139" s="364" t="s">
        <v>113</v>
      </c>
      <c r="X139" s="364" t="s">
        <v>113</v>
      </c>
      <c r="Y139" s="364" t="s">
        <v>74</v>
      </c>
    </row>
    <row r="140" spans="3:25" ht="13.5" customHeight="1" x14ac:dyDescent="0.2">
      <c r="C140" s="82"/>
      <c r="D140" s="292" t="s">
        <v>74</v>
      </c>
      <c r="E140" s="138"/>
      <c r="F140" s="138"/>
      <c r="H140" s="69" t="str">
        <f t="shared" si="4"/>
        <v>BTR-Regions</v>
      </c>
      <c r="I140" s="69" t="str">
        <f t="shared" si="5"/>
        <v>The Forge</v>
      </c>
      <c r="J140" s="363" t="s">
        <v>211</v>
      </c>
      <c r="L140" s="364" t="s">
        <v>102</v>
      </c>
      <c r="M140" s="364" t="s">
        <v>79</v>
      </c>
      <c r="N140" s="365" t="s">
        <v>346</v>
      </c>
      <c r="O140" s="365">
        <v>474</v>
      </c>
      <c r="P140" s="364" t="s">
        <v>89</v>
      </c>
      <c r="Q140" s="364">
        <v>1</v>
      </c>
      <c r="R140" s="364">
        <v>1</v>
      </c>
      <c r="S140" s="364" t="s">
        <v>214</v>
      </c>
      <c r="T140" s="364" t="s">
        <v>74</v>
      </c>
      <c r="U140" s="364" t="s">
        <v>113</v>
      </c>
      <c r="V140" s="364" t="s">
        <v>218</v>
      </c>
      <c r="W140" s="364" t="s">
        <v>113</v>
      </c>
      <c r="X140" s="364" t="s">
        <v>113</v>
      </c>
      <c r="Y140" s="364" t="s">
        <v>74</v>
      </c>
    </row>
    <row r="141" spans="3:25" ht="13.5" customHeight="1" x14ac:dyDescent="0.2">
      <c r="C141" s="82"/>
      <c r="D141" s="292" t="s">
        <v>74</v>
      </c>
      <c r="E141" s="138"/>
      <c r="F141" s="138"/>
      <c r="H141" s="69" t="str">
        <f t="shared" si="4"/>
        <v>BTR-Regions</v>
      </c>
      <c r="I141" s="69" t="str">
        <f t="shared" si="5"/>
        <v>The Forge</v>
      </c>
      <c r="J141" s="363" t="s">
        <v>211</v>
      </c>
      <c r="L141" s="364" t="s">
        <v>102</v>
      </c>
      <c r="M141" s="364" t="s">
        <v>79</v>
      </c>
      <c r="N141" s="365" t="s">
        <v>347</v>
      </c>
      <c r="O141" s="365">
        <v>624</v>
      </c>
      <c r="P141" s="364" t="s">
        <v>90</v>
      </c>
      <c r="Q141" s="364">
        <v>2</v>
      </c>
      <c r="R141" s="364">
        <v>1</v>
      </c>
      <c r="S141" s="364" t="s">
        <v>214</v>
      </c>
      <c r="T141" s="364" t="s">
        <v>74</v>
      </c>
      <c r="U141" s="364" t="s">
        <v>113</v>
      </c>
      <c r="V141" s="364" t="s">
        <v>218</v>
      </c>
      <c r="W141" s="364" t="s">
        <v>113</v>
      </c>
      <c r="X141" s="364" t="s">
        <v>113</v>
      </c>
      <c r="Y141" s="364" t="s">
        <v>74</v>
      </c>
    </row>
    <row r="142" spans="3:25" ht="13.5" customHeight="1" x14ac:dyDescent="0.2">
      <c r="C142" s="82"/>
      <c r="D142" s="292" t="s">
        <v>74</v>
      </c>
      <c r="E142" s="138"/>
      <c r="F142" s="138"/>
      <c r="H142" s="69" t="str">
        <f t="shared" si="4"/>
        <v>BTR-Regions</v>
      </c>
      <c r="I142" s="69" t="str">
        <f t="shared" si="5"/>
        <v>The Forge</v>
      </c>
      <c r="J142" s="363" t="s">
        <v>211</v>
      </c>
      <c r="L142" s="364" t="s">
        <v>102</v>
      </c>
      <c r="M142" s="364" t="s">
        <v>79</v>
      </c>
      <c r="N142" s="365" t="s">
        <v>348</v>
      </c>
      <c r="O142" s="365">
        <v>624</v>
      </c>
      <c r="P142" s="364" t="s">
        <v>90</v>
      </c>
      <c r="Q142" s="364">
        <v>2</v>
      </c>
      <c r="R142" s="364">
        <v>2</v>
      </c>
      <c r="S142" s="364" t="s">
        <v>349</v>
      </c>
      <c r="T142" s="364" t="s">
        <v>74</v>
      </c>
      <c r="U142" s="364" t="s">
        <v>112</v>
      </c>
      <c r="V142" s="364" t="s">
        <v>218</v>
      </c>
      <c r="W142" s="364" t="s">
        <v>113</v>
      </c>
      <c r="X142" s="364" t="s">
        <v>113</v>
      </c>
      <c r="Y142" s="364" t="s">
        <v>74</v>
      </c>
    </row>
    <row r="143" spans="3:25" ht="13.5" customHeight="1" x14ac:dyDescent="0.2">
      <c r="C143" s="82"/>
      <c r="D143" s="292" t="s">
        <v>74</v>
      </c>
      <c r="E143" s="138"/>
      <c r="F143" s="138"/>
      <c r="H143" s="69" t="str">
        <f t="shared" si="4"/>
        <v>BTR-Regions</v>
      </c>
      <c r="I143" s="69" t="str">
        <f t="shared" si="5"/>
        <v>The Forge</v>
      </c>
      <c r="J143" s="363" t="s">
        <v>211</v>
      </c>
      <c r="L143" s="364" t="s">
        <v>102</v>
      </c>
      <c r="M143" s="364" t="s">
        <v>79</v>
      </c>
      <c r="N143" s="365" t="s">
        <v>350</v>
      </c>
      <c r="O143" s="365">
        <v>603</v>
      </c>
      <c r="P143" s="364" t="s">
        <v>90</v>
      </c>
      <c r="Q143" s="364">
        <v>2</v>
      </c>
      <c r="R143" s="364">
        <v>2</v>
      </c>
      <c r="S143" s="364" t="s">
        <v>349</v>
      </c>
      <c r="T143" s="364" t="s">
        <v>74</v>
      </c>
      <c r="U143" s="364" t="s">
        <v>112</v>
      </c>
      <c r="V143" s="364" t="s">
        <v>218</v>
      </c>
      <c r="W143" s="364" t="s">
        <v>113</v>
      </c>
      <c r="X143" s="364" t="s">
        <v>113</v>
      </c>
      <c r="Y143" s="364" t="s">
        <v>74</v>
      </c>
    </row>
    <row r="144" spans="3:25" ht="13.5" customHeight="1" x14ac:dyDescent="0.2">
      <c r="C144" s="82"/>
      <c r="D144" s="292" t="s">
        <v>74</v>
      </c>
      <c r="E144" s="138"/>
      <c r="F144" s="138"/>
      <c r="H144" s="69" t="str">
        <f t="shared" si="4"/>
        <v>BTR-Regions</v>
      </c>
      <c r="I144" s="69" t="str">
        <f t="shared" si="5"/>
        <v>The Forge</v>
      </c>
      <c r="J144" s="363" t="s">
        <v>211</v>
      </c>
      <c r="L144" s="364" t="s">
        <v>102</v>
      </c>
      <c r="M144" s="364" t="s">
        <v>79</v>
      </c>
      <c r="N144" s="365" t="s">
        <v>351</v>
      </c>
      <c r="O144" s="365">
        <v>614</v>
      </c>
      <c r="P144" s="364" t="s">
        <v>90</v>
      </c>
      <c r="Q144" s="364">
        <v>2</v>
      </c>
      <c r="R144" s="364">
        <v>2</v>
      </c>
      <c r="S144" s="364" t="s">
        <v>349</v>
      </c>
      <c r="T144" s="364" t="s">
        <v>74</v>
      </c>
      <c r="U144" s="364" t="s">
        <v>112</v>
      </c>
      <c r="V144" s="364" t="s">
        <v>218</v>
      </c>
      <c r="W144" s="364" t="s">
        <v>113</v>
      </c>
      <c r="X144" s="364" t="s">
        <v>113</v>
      </c>
      <c r="Y144" s="364" t="s">
        <v>74</v>
      </c>
    </row>
    <row r="145" spans="3:25" ht="13.5" customHeight="1" x14ac:dyDescent="0.2">
      <c r="C145" s="82"/>
      <c r="D145" s="292" t="s">
        <v>74</v>
      </c>
      <c r="E145" s="138"/>
      <c r="F145" s="138"/>
      <c r="H145" s="69" t="str">
        <f t="shared" si="4"/>
        <v>BTR-Regions</v>
      </c>
      <c r="I145" s="69" t="str">
        <f t="shared" si="5"/>
        <v>The Forge</v>
      </c>
      <c r="J145" s="363" t="s">
        <v>211</v>
      </c>
      <c r="L145" s="364" t="s">
        <v>102</v>
      </c>
      <c r="M145" s="364" t="s">
        <v>79</v>
      </c>
      <c r="N145" s="365" t="s">
        <v>352</v>
      </c>
      <c r="O145" s="365">
        <v>829</v>
      </c>
      <c r="P145" s="364" t="s">
        <v>91</v>
      </c>
      <c r="Q145" s="364">
        <v>3</v>
      </c>
      <c r="R145" s="364">
        <v>2</v>
      </c>
      <c r="S145" s="364" t="s">
        <v>349</v>
      </c>
      <c r="T145" s="364" t="s">
        <v>74</v>
      </c>
      <c r="U145" s="364" t="s">
        <v>112</v>
      </c>
      <c r="V145" s="364" t="s">
        <v>218</v>
      </c>
      <c r="W145" s="364" t="s">
        <v>113</v>
      </c>
      <c r="X145" s="364" t="s">
        <v>113</v>
      </c>
      <c r="Y145" s="364" t="s">
        <v>74</v>
      </c>
    </row>
    <row r="146" spans="3:25" ht="13.5" customHeight="1" x14ac:dyDescent="0.2">
      <c r="C146" s="82"/>
      <c r="D146" s="292" t="s">
        <v>74</v>
      </c>
      <c r="E146" s="138"/>
      <c r="F146" s="138"/>
      <c r="H146" s="69" t="str">
        <f t="shared" si="4"/>
        <v>BTR-Regions</v>
      </c>
      <c r="I146" s="69" t="str">
        <f t="shared" si="5"/>
        <v>The Forge</v>
      </c>
      <c r="J146" s="363" t="s">
        <v>211</v>
      </c>
      <c r="L146" s="364" t="s">
        <v>102</v>
      </c>
      <c r="M146" s="364" t="s">
        <v>79</v>
      </c>
      <c r="N146" s="365" t="s">
        <v>353</v>
      </c>
      <c r="O146" s="365">
        <v>689</v>
      </c>
      <c r="P146" s="364" t="s">
        <v>90</v>
      </c>
      <c r="Q146" s="364">
        <v>2</v>
      </c>
      <c r="R146" s="364">
        <v>2</v>
      </c>
      <c r="S146" s="364" t="s">
        <v>214</v>
      </c>
      <c r="T146" s="364" t="s">
        <v>74</v>
      </c>
      <c r="U146" s="364" t="s">
        <v>113</v>
      </c>
      <c r="V146" s="364" t="s">
        <v>218</v>
      </c>
      <c r="W146" s="364" t="s">
        <v>113</v>
      </c>
      <c r="X146" s="364" t="s">
        <v>113</v>
      </c>
      <c r="Y146" s="364" t="s">
        <v>74</v>
      </c>
    </row>
    <row r="147" spans="3:25" ht="13.5" customHeight="1" x14ac:dyDescent="0.2">
      <c r="C147" s="82"/>
      <c r="D147" s="292" t="s">
        <v>74</v>
      </c>
      <c r="E147" s="138"/>
      <c r="F147" s="138"/>
      <c r="H147" s="69" t="str">
        <f t="shared" si="4"/>
        <v>BTR-Regions</v>
      </c>
      <c r="I147" s="69" t="str">
        <f t="shared" si="5"/>
        <v>The Forge</v>
      </c>
      <c r="J147" s="363" t="s">
        <v>211</v>
      </c>
      <c r="L147" s="364" t="s">
        <v>102</v>
      </c>
      <c r="M147" s="364" t="s">
        <v>79</v>
      </c>
      <c r="N147" s="365" t="s">
        <v>354</v>
      </c>
      <c r="O147" s="365">
        <v>474</v>
      </c>
      <c r="P147" s="364" t="s">
        <v>89</v>
      </c>
      <c r="Q147" s="364">
        <v>1</v>
      </c>
      <c r="R147" s="364">
        <v>2</v>
      </c>
      <c r="S147" s="364" t="s">
        <v>214</v>
      </c>
      <c r="T147" s="364" t="s">
        <v>74</v>
      </c>
      <c r="U147" s="364" t="s">
        <v>113</v>
      </c>
      <c r="V147" s="364" t="s">
        <v>218</v>
      </c>
      <c r="W147" s="364" t="s">
        <v>113</v>
      </c>
      <c r="X147" s="364" t="s">
        <v>113</v>
      </c>
      <c r="Y147" s="364" t="s">
        <v>74</v>
      </c>
    </row>
    <row r="148" spans="3:25" ht="13.5" customHeight="1" x14ac:dyDescent="0.2">
      <c r="C148" s="82"/>
      <c r="D148" s="292" t="s">
        <v>74</v>
      </c>
      <c r="E148" s="138"/>
      <c r="F148" s="138"/>
      <c r="H148" s="69" t="str">
        <f t="shared" si="4"/>
        <v>BTR-Regions</v>
      </c>
      <c r="I148" s="69" t="str">
        <f t="shared" si="5"/>
        <v>The Forge</v>
      </c>
      <c r="J148" s="363" t="s">
        <v>211</v>
      </c>
      <c r="L148" s="364" t="s">
        <v>102</v>
      </c>
      <c r="M148" s="364" t="s">
        <v>79</v>
      </c>
      <c r="N148" s="365" t="s">
        <v>355</v>
      </c>
      <c r="O148" s="365">
        <v>624</v>
      </c>
      <c r="P148" s="364" t="s">
        <v>90</v>
      </c>
      <c r="Q148" s="364">
        <v>2</v>
      </c>
      <c r="R148" s="364">
        <v>2</v>
      </c>
      <c r="S148" s="364" t="s">
        <v>214</v>
      </c>
      <c r="T148" s="364" t="s">
        <v>74</v>
      </c>
      <c r="U148" s="364" t="s">
        <v>113</v>
      </c>
      <c r="V148" s="364" t="s">
        <v>218</v>
      </c>
      <c r="W148" s="364" t="s">
        <v>113</v>
      </c>
      <c r="X148" s="364" t="s">
        <v>113</v>
      </c>
      <c r="Y148" s="364" t="s">
        <v>74</v>
      </c>
    </row>
    <row r="149" spans="3:25" ht="13.5" customHeight="1" x14ac:dyDescent="0.2">
      <c r="C149" s="82"/>
      <c r="D149" s="292" t="s">
        <v>74</v>
      </c>
      <c r="E149" s="138"/>
      <c r="F149" s="138"/>
      <c r="H149" s="69" t="str">
        <f t="shared" si="4"/>
        <v>BTR-Regions</v>
      </c>
      <c r="I149" s="69" t="str">
        <f t="shared" si="5"/>
        <v>The Forge</v>
      </c>
      <c r="J149" s="363" t="s">
        <v>211</v>
      </c>
      <c r="L149" s="364" t="s">
        <v>102</v>
      </c>
      <c r="M149" s="364" t="s">
        <v>79</v>
      </c>
      <c r="N149" s="365" t="s">
        <v>356</v>
      </c>
      <c r="O149" s="365">
        <v>624</v>
      </c>
      <c r="P149" s="364" t="s">
        <v>90</v>
      </c>
      <c r="Q149" s="364">
        <v>2</v>
      </c>
      <c r="R149" s="364">
        <v>3</v>
      </c>
      <c r="S149" s="364" t="s">
        <v>349</v>
      </c>
      <c r="T149" s="364" t="s">
        <v>74</v>
      </c>
      <c r="U149" s="364" t="s">
        <v>112</v>
      </c>
      <c r="V149" s="364" t="s">
        <v>218</v>
      </c>
      <c r="W149" s="364" t="s">
        <v>113</v>
      </c>
      <c r="X149" s="364" t="s">
        <v>113</v>
      </c>
      <c r="Y149" s="364" t="s">
        <v>74</v>
      </c>
    </row>
    <row r="150" spans="3:25" ht="13.5" customHeight="1" x14ac:dyDescent="0.2">
      <c r="C150" s="82"/>
      <c r="D150" s="292" t="s">
        <v>74</v>
      </c>
      <c r="E150" s="138"/>
      <c r="F150" s="138"/>
      <c r="H150" s="69" t="str">
        <f t="shared" ref="H150:H213" si="6">$I$9</f>
        <v>BTR-Regions</v>
      </c>
      <c r="I150" s="69" t="str">
        <f t="shared" ref="I150:I213" si="7">$I$10</f>
        <v>The Forge</v>
      </c>
      <c r="J150" s="363" t="s">
        <v>211</v>
      </c>
      <c r="L150" s="364" t="s">
        <v>102</v>
      </c>
      <c r="M150" s="364" t="s">
        <v>79</v>
      </c>
      <c r="N150" s="365" t="s">
        <v>357</v>
      </c>
      <c r="O150" s="365">
        <v>603</v>
      </c>
      <c r="P150" s="364" t="s">
        <v>90</v>
      </c>
      <c r="Q150" s="364">
        <v>2</v>
      </c>
      <c r="R150" s="364">
        <v>3</v>
      </c>
      <c r="S150" s="364" t="s">
        <v>349</v>
      </c>
      <c r="T150" s="364" t="s">
        <v>74</v>
      </c>
      <c r="U150" s="364" t="s">
        <v>112</v>
      </c>
      <c r="V150" s="364" t="s">
        <v>218</v>
      </c>
      <c r="W150" s="364" t="s">
        <v>113</v>
      </c>
      <c r="X150" s="364" t="s">
        <v>113</v>
      </c>
      <c r="Y150" s="364" t="s">
        <v>74</v>
      </c>
    </row>
    <row r="151" spans="3:25" ht="13.5" customHeight="1" x14ac:dyDescent="0.2">
      <c r="C151" s="82"/>
      <c r="D151" s="292" t="s">
        <v>74</v>
      </c>
      <c r="E151" s="138"/>
      <c r="F151" s="138"/>
      <c r="H151" s="69" t="str">
        <f t="shared" si="6"/>
        <v>BTR-Regions</v>
      </c>
      <c r="I151" s="69" t="str">
        <f t="shared" si="7"/>
        <v>The Forge</v>
      </c>
      <c r="J151" s="363" t="s">
        <v>211</v>
      </c>
      <c r="L151" s="364" t="s">
        <v>102</v>
      </c>
      <c r="M151" s="364" t="s">
        <v>79</v>
      </c>
      <c r="N151" s="365" t="s">
        <v>358</v>
      </c>
      <c r="O151" s="365">
        <v>614</v>
      </c>
      <c r="P151" s="364" t="s">
        <v>90</v>
      </c>
      <c r="Q151" s="364">
        <v>2</v>
      </c>
      <c r="R151" s="364">
        <v>3</v>
      </c>
      <c r="S151" s="364" t="s">
        <v>349</v>
      </c>
      <c r="T151" s="364" t="s">
        <v>74</v>
      </c>
      <c r="U151" s="364" t="s">
        <v>112</v>
      </c>
      <c r="V151" s="364" t="s">
        <v>218</v>
      </c>
      <c r="W151" s="364" t="s">
        <v>113</v>
      </c>
      <c r="X151" s="364" t="s">
        <v>113</v>
      </c>
      <c r="Y151" s="364" t="s">
        <v>74</v>
      </c>
    </row>
    <row r="152" spans="3:25" ht="13.5" customHeight="1" x14ac:dyDescent="0.2">
      <c r="C152" s="82"/>
      <c r="D152" s="292" t="s">
        <v>74</v>
      </c>
      <c r="E152" s="138"/>
      <c r="F152" s="138"/>
      <c r="H152" s="69" t="str">
        <f t="shared" si="6"/>
        <v>BTR-Regions</v>
      </c>
      <c r="I152" s="69" t="str">
        <f t="shared" si="7"/>
        <v>The Forge</v>
      </c>
      <c r="J152" s="363" t="s">
        <v>211</v>
      </c>
      <c r="L152" s="364" t="s">
        <v>102</v>
      </c>
      <c r="M152" s="364" t="s">
        <v>79</v>
      </c>
      <c r="N152" s="365" t="s">
        <v>359</v>
      </c>
      <c r="O152" s="365">
        <v>829</v>
      </c>
      <c r="P152" s="364" t="s">
        <v>91</v>
      </c>
      <c r="Q152" s="364">
        <v>3</v>
      </c>
      <c r="R152" s="364">
        <v>3</v>
      </c>
      <c r="S152" s="364" t="s">
        <v>349</v>
      </c>
      <c r="T152" s="364" t="s">
        <v>74</v>
      </c>
      <c r="U152" s="364" t="s">
        <v>112</v>
      </c>
      <c r="V152" s="364" t="s">
        <v>218</v>
      </c>
      <c r="W152" s="364" t="s">
        <v>113</v>
      </c>
      <c r="X152" s="364" t="s">
        <v>113</v>
      </c>
      <c r="Y152" s="364" t="s">
        <v>74</v>
      </c>
    </row>
    <row r="153" spans="3:25" ht="13.5" customHeight="1" x14ac:dyDescent="0.2">
      <c r="C153" s="82"/>
      <c r="D153" s="292" t="s">
        <v>74</v>
      </c>
      <c r="E153" s="138"/>
      <c r="F153" s="138"/>
      <c r="H153" s="69" t="str">
        <f t="shared" si="6"/>
        <v>BTR-Regions</v>
      </c>
      <c r="I153" s="69" t="str">
        <f t="shared" si="7"/>
        <v>The Forge</v>
      </c>
      <c r="J153" s="363" t="s">
        <v>211</v>
      </c>
      <c r="L153" s="364" t="s">
        <v>102</v>
      </c>
      <c r="M153" s="364" t="s">
        <v>79</v>
      </c>
      <c r="N153" s="365" t="s">
        <v>360</v>
      </c>
      <c r="O153" s="365">
        <v>689</v>
      </c>
      <c r="P153" s="364" t="s">
        <v>90</v>
      </c>
      <c r="Q153" s="364">
        <v>2</v>
      </c>
      <c r="R153" s="364">
        <v>3</v>
      </c>
      <c r="S153" s="364" t="s">
        <v>214</v>
      </c>
      <c r="T153" s="364" t="s">
        <v>74</v>
      </c>
      <c r="U153" s="364" t="s">
        <v>113</v>
      </c>
      <c r="V153" s="364" t="s">
        <v>218</v>
      </c>
      <c r="W153" s="364" t="s">
        <v>113</v>
      </c>
      <c r="X153" s="364" t="s">
        <v>113</v>
      </c>
      <c r="Y153" s="364" t="s">
        <v>74</v>
      </c>
    </row>
    <row r="154" spans="3:25" ht="13.5" customHeight="1" x14ac:dyDescent="0.2">
      <c r="C154" s="82"/>
      <c r="D154" s="292" t="s">
        <v>74</v>
      </c>
      <c r="E154" s="138"/>
      <c r="F154" s="138"/>
      <c r="H154" s="69" t="str">
        <f t="shared" si="6"/>
        <v>BTR-Regions</v>
      </c>
      <c r="I154" s="69" t="str">
        <f t="shared" si="7"/>
        <v>The Forge</v>
      </c>
      <c r="J154" s="363" t="s">
        <v>211</v>
      </c>
      <c r="L154" s="364" t="s">
        <v>102</v>
      </c>
      <c r="M154" s="364" t="s">
        <v>79</v>
      </c>
      <c r="N154" s="365" t="s">
        <v>361</v>
      </c>
      <c r="O154" s="365">
        <v>474</v>
      </c>
      <c r="P154" s="364" t="s">
        <v>89</v>
      </c>
      <c r="Q154" s="364">
        <v>1</v>
      </c>
      <c r="R154" s="364">
        <v>3</v>
      </c>
      <c r="S154" s="364" t="s">
        <v>214</v>
      </c>
      <c r="T154" s="364" t="s">
        <v>74</v>
      </c>
      <c r="U154" s="364" t="s">
        <v>113</v>
      </c>
      <c r="V154" s="364" t="s">
        <v>218</v>
      </c>
      <c r="W154" s="364" t="s">
        <v>113</v>
      </c>
      <c r="X154" s="364" t="s">
        <v>113</v>
      </c>
      <c r="Y154" s="364" t="s">
        <v>74</v>
      </c>
    </row>
    <row r="155" spans="3:25" ht="13.5" customHeight="1" x14ac:dyDescent="0.2">
      <c r="C155" s="82"/>
      <c r="D155" s="292" t="s">
        <v>74</v>
      </c>
      <c r="E155" s="138"/>
      <c r="F155" s="138"/>
      <c r="H155" s="69" t="str">
        <f t="shared" si="6"/>
        <v>BTR-Regions</v>
      </c>
      <c r="I155" s="69" t="str">
        <f t="shared" si="7"/>
        <v>The Forge</v>
      </c>
      <c r="J155" s="363" t="s">
        <v>211</v>
      </c>
      <c r="L155" s="364" t="s">
        <v>102</v>
      </c>
      <c r="M155" s="364" t="s">
        <v>79</v>
      </c>
      <c r="N155" s="365" t="s">
        <v>362</v>
      </c>
      <c r="O155" s="365">
        <v>624</v>
      </c>
      <c r="P155" s="364" t="s">
        <v>90</v>
      </c>
      <c r="Q155" s="364">
        <v>2</v>
      </c>
      <c r="R155" s="364">
        <v>3</v>
      </c>
      <c r="S155" s="364" t="s">
        <v>214</v>
      </c>
      <c r="T155" s="364" t="s">
        <v>74</v>
      </c>
      <c r="U155" s="364" t="s">
        <v>113</v>
      </c>
      <c r="V155" s="364" t="s">
        <v>218</v>
      </c>
      <c r="W155" s="364" t="s">
        <v>113</v>
      </c>
      <c r="X155" s="364" t="s">
        <v>113</v>
      </c>
      <c r="Y155" s="364" t="s">
        <v>74</v>
      </c>
    </row>
    <row r="156" spans="3:25" ht="13.5" customHeight="1" x14ac:dyDescent="0.2">
      <c r="C156" s="82"/>
      <c r="D156" s="292" t="s">
        <v>74</v>
      </c>
      <c r="E156" s="138"/>
      <c r="F156" s="138"/>
      <c r="H156" s="69" t="str">
        <f t="shared" si="6"/>
        <v>BTR-Regions</v>
      </c>
      <c r="I156" s="69" t="str">
        <f t="shared" si="7"/>
        <v>The Forge</v>
      </c>
      <c r="J156" s="363" t="s">
        <v>211</v>
      </c>
      <c r="L156" s="364" t="s">
        <v>102</v>
      </c>
      <c r="M156" s="364" t="s">
        <v>79</v>
      </c>
      <c r="N156" s="365" t="s">
        <v>363</v>
      </c>
      <c r="O156" s="365">
        <v>624</v>
      </c>
      <c r="P156" s="364" t="s">
        <v>90</v>
      </c>
      <c r="Q156" s="364">
        <v>2</v>
      </c>
      <c r="R156" s="364">
        <v>4</v>
      </c>
      <c r="S156" s="364" t="s">
        <v>364</v>
      </c>
      <c r="T156" s="364" t="s">
        <v>74</v>
      </c>
      <c r="U156" s="364" t="s">
        <v>112</v>
      </c>
      <c r="V156" s="364" t="s">
        <v>218</v>
      </c>
      <c r="W156" s="364" t="s">
        <v>113</v>
      </c>
      <c r="X156" s="364" t="s">
        <v>113</v>
      </c>
      <c r="Y156" s="364" t="s">
        <v>74</v>
      </c>
    </row>
    <row r="157" spans="3:25" ht="13.5" customHeight="1" x14ac:dyDescent="0.2">
      <c r="C157" s="82"/>
      <c r="D157" s="292" t="s">
        <v>74</v>
      </c>
      <c r="E157" s="138"/>
      <c r="F157" s="138"/>
      <c r="H157" s="69" t="str">
        <f t="shared" si="6"/>
        <v>BTR-Regions</v>
      </c>
      <c r="I157" s="69" t="str">
        <f t="shared" si="7"/>
        <v>The Forge</v>
      </c>
      <c r="J157" s="363" t="s">
        <v>211</v>
      </c>
      <c r="L157" s="364" t="s">
        <v>102</v>
      </c>
      <c r="M157" s="364" t="s">
        <v>79</v>
      </c>
      <c r="N157" s="365" t="s">
        <v>365</v>
      </c>
      <c r="O157" s="365">
        <v>603</v>
      </c>
      <c r="P157" s="364" t="s">
        <v>90</v>
      </c>
      <c r="Q157" s="364">
        <v>2</v>
      </c>
      <c r="R157" s="364">
        <v>4</v>
      </c>
      <c r="S157" s="364" t="s">
        <v>364</v>
      </c>
      <c r="T157" s="364" t="s">
        <v>74</v>
      </c>
      <c r="U157" s="364" t="s">
        <v>112</v>
      </c>
      <c r="V157" s="364" t="s">
        <v>218</v>
      </c>
      <c r="W157" s="364" t="s">
        <v>113</v>
      </c>
      <c r="X157" s="364" t="s">
        <v>113</v>
      </c>
      <c r="Y157" s="364" t="s">
        <v>74</v>
      </c>
    </row>
    <row r="158" spans="3:25" ht="13.5" customHeight="1" x14ac:dyDescent="0.2">
      <c r="C158" s="82"/>
      <c r="D158" s="292" t="s">
        <v>74</v>
      </c>
      <c r="E158" s="138"/>
      <c r="F158" s="138"/>
      <c r="H158" s="69" t="str">
        <f t="shared" si="6"/>
        <v>BTR-Regions</v>
      </c>
      <c r="I158" s="69" t="str">
        <f t="shared" si="7"/>
        <v>The Forge</v>
      </c>
      <c r="J158" s="363" t="s">
        <v>211</v>
      </c>
      <c r="L158" s="364" t="s">
        <v>102</v>
      </c>
      <c r="M158" s="364" t="s">
        <v>79</v>
      </c>
      <c r="N158" s="365" t="s">
        <v>366</v>
      </c>
      <c r="O158" s="365">
        <v>614</v>
      </c>
      <c r="P158" s="364" t="s">
        <v>90</v>
      </c>
      <c r="Q158" s="364">
        <v>2</v>
      </c>
      <c r="R158" s="364">
        <v>4</v>
      </c>
      <c r="S158" s="364" t="s">
        <v>364</v>
      </c>
      <c r="T158" s="364" t="s">
        <v>74</v>
      </c>
      <c r="U158" s="364" t="s">
        <v>112</v>
      </c>
      <c r="V158" s="364" t="s">
        <v>218</v>
      </c>
      <c r="W158" s="364" t="s">
        <v>113</v>
      </c>
      <c r="X158" s="364" t="s">
        <v>113</v>
      </c>
      <c r="Y158" s="364" t="s">
        <v>74</v>
      </c>
    </row>
    <row r="159" spans="3:25" ht="13.5" customHeight="1" x14ac:dyDescent="0.2">
      <c r="C159" s="82"/>
      <c r="D159" s="292" t="s">
        <v>74</v>
      </c>
      <c r="E159" s="138"/>
      <c r="F159" s="138"/>
      <c r="H159" s="69" t="str">
        <f t="shared" si="6"/>
        <v>BTR-Regions</v>
      </c>
      <c r="I159" s="69" t="str">
        <f t="shared" si="7"/>
        <v>The Forge</v>
      </c>
      <c r="J159" s="363" t="s">
        <v>211</v>
      </c>
      <c r="L159" s="364" t="s">
        <v>102</v>
      </c>
      <c r="M159" s="364" t="s">
        <v>79</v>
      </c>
      <c r="N159" s="365" t="s">
        <v>367</v>
      </c>
      <c r="O159" s="365">
        <v>829</v>
      </c>
      <c r="P159" s="364" t="s">
        <v>91</v>
      </c>
      <c r="Q159" s="364">
        <v>3</v>
      </c>
      <c r="R159" s="364">
        <v>4</v>
      </c>
      <c r="S159" s="364" t="s">
        <v>364</v>
      </c>
      <c r="T159" s="364" t="s">
        <v>74</v>
      </c>
      <c r="U159" s="364" t="s">
        <v>112</v>
      </c>
      <c r="V159" s="364" t="s">
        <v>218</v>
      </c>
      <c r="W159" s="364" t="s">
        <v>113</v>
      </c>
      <c r="X159" s="364" t="s">
        <v>113</v>
      </c>
      <c r="Y159" s="364" t="s">
        <v>74</v>
      </c>
    </row>
    <row r="160" spans="3:25" ht="13.5" customHeight="1" x14ac:dyDescent="0.2">
      <c r="C160" s="82"/>
      <c r="D160" s="292" t="s">
        <v>74</v>
      </c>
      <c r="E160" s="138"/>
      <c r="F160" s="138"/>
      <c r="H160" s="69" t="str">
        <f t="shared" si="6"/>
        <v>BTR-Regions</v>
      </c>
      <c r="I160" s="69" t="str">
        <f t="shared" si="7"/>
        <v>The Forge</v>
      </c>
      <c r="J160" s="363" t="s">
        <v>211</v>
      </c>
      <c r="L160" s="364" t="s">
        <v>102</v>
      </c>
      <c r="M160" s="364" t="s">
        <v>79</v>
      </c>
      <c r="N160" s="365" t="s">
        <v>368</v>
      </c>
      <c r="O160" s="365">
        <v>689</v>
      </c>
      <c r="P160" s="364" t="s">
        <v>90</v>
      </c>
      <c r="Q160" s="364">
        <v>2</v>
      </c>
      <c r="R160" s="364">
        <v>4</v>
      </c>
      <c r="S160" s="364" t="s">
        <v>214</v>
      </c>
      <c r="T160" s="364" t="s">
        <v>74</v>
      </c>
      <c r="U160" s="364" t="s">
        <v>113</v>
      </c>
      <c r="V160" s="364" t="s">
        <v>218</v>
      </c>
      <c r="W160" s="364" t="s">
        <v>113</v>
      </c>
      <c r="X160" s="364" t="s">
        <v>113</v>
      </c>
      <c r="Y160" s="364" t="s">
        <v>74</v>
      </c>
    </row>
    <row r="161" spans="3:25" ht="13.5" customHeight="1" x14ac:dyDescent="0.2">
      <c r="C161" s="82"/>
      <c r="D161" s="292" t="s">
        <v>74</v>
      </c>
      <c r="E161" s="138"/>
      <c r="F161" s="138"/>
      <c r="H161" s="69" t="str">
        <f t="shared" si="6"/>
        <v>BTR-Regions</v>
      </c>
      <c r="I161" s="69" t="str">
        <f t="shared" si="7"/>
        <v>The Forge</v>
      </c>
      <c r="J161" s="363" t="s">
        <v>211</v>
      </c>
      <c r="L161" s="364" t="s">
        <v>102</v>
      </c>
      <c r="M161" s="364" t="s">
        <v>79</v>
      </c>
      <c r="N161" s="365" t="s">
        <v>369</v>
      </c>
      <c r="O161" s="365">
        <v>474</v>
      </c>
      <c r="P161" s="364" t="s">
        <v>89</v>
      </c>
      <c r="Q161" s="364">
        <v>1</v>
      </c>
      <c r="R161" s="364">
        <v>4</v>
      </c>
      <c r="S161" s="364" t="s">
        <v>214</v>
      </c>
      <c r="T161" s="364" t="s">
        <v>74</v>
      </c>
      <c r="U161" s="364" t="s">
        <v>113</v>
      </c>
      <c r="V161" s="364" t="s">
        <v>218</v>
      </c>
      <c r="W161" s="364" t="s">
        <v>113</v>
      </c>
      <c r="X161" s="364" t="s">
        <v>113</v>
      </c>
      <c r="Y161" s="364" t="s">
        <v>74</v>
      </c>
    </row>
    <row r="162" spans="3:25" ht="13.5" customHeight="1" x14ac:dyDescent="0.2">
      <c r="C162" s="82"/>
      <c r="D162" s="292" t="s">
        <v>74</v>
      </c>
      <c r="E162" s="138"/>
      <c r="F162" s="138"/>
      <c r="H162" s="69" t="str">
        <f t="shared" si="6"/>
        <v>BTR-Regions</v>
      </c>
      <c r="I162" s="69" t="str">
        <f t="shared" si="7"/>
        <v>The Forge</v>
      </c>
      <c r="J162" s="363" t="s">
        <v>211</v>
      </c>
      <c r="L162" s="364" t="s">
        <v>102</v>
      </c>
      <c r="M162" s="364" t="s">
        <v>79</v>
      </c>
      <c r="N162" s="365" t="s">
        <v>370</v>
      </c>
      <c r="O162" s="365">
        <v>624</v>
      </c>
      <c r="P162" s="364" t="s">
        <v>90</v>
      </c>
      <c r="Q162" s="364">
        <v>2</v>
      </c>
      <c r="R162" s="364">
        <v>4</v>
      </c>
      <c r="S162" s="364" t="s">
        <v>214</v>
      </c>
      <c r="T162" s="364" t="s">
        <v>74</v>
      </c>
      <c r="U162" s="364" t="s">
        <v>113</v>
      </c>
      <c r="V162" s="364" t="s">
        <v>218</v>
      </c>
      <c r="W162" s="364" t="s">
        <v>113</v>
      </c>
      <c r="X162" s="364" t="s">
        <v>113</v>
      </c>
      <c r="Y162" s="364" t="s">
        <v>74</v>
      </c>
    </row>
    <row r="163" spans="3:25" ht="13.5" customHeight="1" x14ac:dyDescent="0.2">
      <c r="C163" s="82"/>
      <c r="D163" s="292" t="s">
        <v>74</v>
      </c>
      <c r="E163" s="138"/>
      <c r="F163" s="138"/>
      <c r="H163" s="69" t="str">
        <f t="shared" si="6"/>
        <v>BTR-Regions</v>
      </c>
      <c r="I163" s="69" t="str">
        <f t="shared" si="7"/>
        <v>The Forge</v>
      </c>
      <c r="J163" s="363" t="s">
        <v>211</v>
      </c>
      <c r="L163" s="364" t="s">
        <v>102</v>
      </c>
      <c r="M163" s="364" t="s">
        <v>79</v>
      </c>
      <c r="N163" s="365" t="s">
        <v>371</v>
      </c>
      <c r="O163" s="365">
        <v>624</v>
      </c>
      <c r="P163" s="364" t="s">
        <v>90</v>
      </c>
      <c r="Q163" s="364">
        <v>2</v>
      </c>
      <c r="R163" s="364">
        <v>5</v>
      </c>
      <c r="S163" s="364" t="s">
        <v>364</v>
      </c>
      <c r="T163" s="364" t="s">
        <v>74</v>
      </c>
      <c r="U163" s="364" t="s">
        <v>112</v>
      </c>
      <c r="V163" s="364" t="s">
        <v>218</v>
      </c>
      <c r="W163" s="364" t="s">
        <v>113</v>
      </c>
      <c r="X163" s="364" t="s">
        <v>113</v>
      </c>
      <c r="Y163" s="364" t="s">
        <v>74</v>
      </c>
    </row>
    <row r="164" spans="3:25" ht="13.5" customHeight="1" x14ac:dyDescent="0.2">
      <c r="C164" s="82"/>
      <c r="D164" s="292" t="s">
        <v>74</v>
      </c>
      <c r="E164" s="138"/>
      <c r="F164" s="138"/>
      <c r="H164" s="69" t="str">
        <f t="shared" si="6"/>
        <v>BTR-Regions</v>
      </c>
      <c r="I164" s="69" t="str">
        <f t="shared" si="7"/>
        <v>The Forge</v>
      </c>
      <c r="J164" s="363" t="s">
        <v>211</v>
      </c>
      <c r="L164" s="364" t="s">
        <v>102</v>
      </c>
      <c r="M164" s="364" t="s">
        <v>79</v>
      </c>
      <c r="N164" s="365" t="s">
        <v>372</v>
      </c>
      <c r="O164" s="365">
        <v>603</v>
      </c>
      <c r="P164" s="364" t="s">
        <v>90</v>
      </c>
      <c r="Q164" s="364">
        <v>2</v>
      </c>
      <c r="R164" s="364">
        <v>5</v>
      </c>
      <c r="S164" s="364" t="s">
        <v>364</v>
      </c>
      <c r="T164" s="364" t="s">
        <v>74</v>
      </c>
      <c r="U164" s="364" t="s">
        <v>112</v>
      </c>
      <c r="V164" s="364" t="s">
        <v>218</v>
      </c>
      <c r="W164" s="364" t="s">
        <v>113</v>
      </c>
      <c r="X164" s="364" t="s">
        <v>113</v>
      </c>
      <c r="Y164" s="364" t="s">
        <v>74</v>
      </c>
    </row>
    <row r="165" spans="3:25" ht="13.5" customHeight="1" x14ac:dyDescent="0.2">
      <c r="C165" s="82"/>
      <c r="D165" s="292" t="s">
        <v>74</v>
      </c>
      <c r="E165" s="138"/>
      <c r="F165" s="138"/>
      <c r="H165" s="69" t="str">
        <f t="shared" si="6"/>
        <v>BTR-Regions</v>
      </c>
      <c r="I165" s="69" t="str">
        <f t="shared" si="7"/>
        <v>The Forge</v>
      </c>
      <c r="J165" s="363" t="s">
        <v>211</v>
      </c>
      <c r="L165" s="364" t="s">
        <v>102</v>
      </c>
      <c r="M165" s="364" t="s">
        <v>79</v>
      </c>
      <c r="N165" s="365" t="s">
        <v>373</v>
      </c>
      <c r="O165" s="365">
        <v>614</v>
      </c>
      <c r="P165" s="364" t="s">
        <v>90</v>
      </c>
      <c r="Q165" s="364">
        <v>2</v>
      </c>
      <c r="R165" s="364">
        <v>5</v>
      </c>
      <c r="S165" s="364" t="s">
        <v>364</v>
      </c>
      <c r="T165" s="364" t="s">
        <v>74</v>
      </c>
      <c r="U165" s="364" t="s">
        <v>112</v>
      </c>
      <c r="V165" s="364" t="s">
        <v>218</v>
      </c>
      <c r="W165" s="364" t="s">
        <v>113</v>
      </c>
      <c r="X165" s="364" t="s">
        <v>113</v>
      </c>
      <c r="Y165" s="364" t="s">
        <v>74</v>
      </c>
    </row>
    <row r="166" spans="3:25" ht="13.5" customHeight="1" x14ac:dyDescent="0.2">
      <c r="C166" s="82"/>
      <c r="D166" s="292" t="s">
        <v>74</v>
      </c>
      <c r="E166" s="138"/>
      <c r="F166" s="138"/>
      <c r="H166" s="69" t="str">
        <f t="shared" si="6"/>
        <v>BTR-Regions</v>
      </c>
      <c r="I166" s="69" t="str">
        <f t="shared" si="7"/>
        <v>The Forge</v>
      </c>
      <c r="J166" s="363" t="s">
        <v>211</v>
      </c>
      <c r="L166" s="364" t="s">
        <v>102</v>
      </c>
      <c r="M166" s="364" t="s">
        <v>79</v>
      </c>
      <c r="N166" s="365" t="s">
        <v>374</v>
      </c>
      <c r="O166" s="365">
        <v>829</v>
      </c>
      <c r="P166" s="364" t="s">
        <v>91</v>
      </c>
      <c r="Q166" s="364">
        <v>3</v>
      </c>
      <c r="R166" s="364">
        <v>5</v>
      </c>
      <c r="S166" s="364" t="s">
        <v>364</v>
      </c>
      <c r="T166" s="364" t="s">
        <v>74</v>
      </c>
      <c r="U166" s="364" t="s">
        <v>112</v>
      </c>
      <c r="V166" s="364" t="s">
        <v>218</v>
      </c>
      <c r="W166" s="364" t="s">
        <v>113</v>
      </c>
      <c r="X166" s="364" t="s">
        <v>113</v>
      </c>
      <c r="Y166" s="364" t="s">
        <v>74</v>
      </c>
    </row>
    <row r="167" spans="3:25" ht="13.5" customHeight="1" x14ac:dyDescent="0.2">
      <c r="C167" s="82"/>
      <c r="D167" s="292" t="s">
        <v>74</v>
      </c>
      <c r="E167" s="138"/>
      <c r="F167" s="138"/>
      <c r="H167" s="69" t="str">
        <f t="shared" si="6"/>
        <v>BTR-Regions</v>
      </c>
      <c r="I167" s="69" t="str">
        <f t="shared" si="7"/>
        <v>The Forge</v>
      </c>
      <c r="J167" s="363" t="s">
        <v>211</v>
      </c>
      <c r="L167" s="364" t="s">
        <v>102</v>
      </c>
      <c r="M167" s="364" t="s">
        <v>79</v>
      </c>
      <c r="N167" s="365" t="s">
        <v>375</v>
      </c>
      <c r="O167" s="365">
        <v>689</v>
      </c>
      <c r="P167" s="364" t="s">
        <v>90</v>
      </c>
      <c r="Q167" s="364">
        <v>2</v>
      </c>
      <c r="R167" s="364">
        <v>5</v>
      </c>
      <c r="S167" s="364" t="s">
        <v>214</v>
      </c>
      <c r="T167" s="364" t="s">
        <v>74</v>
      </c>
      <c r="U167" s="364" t="s">
        <v>113</v>
      </c>
      <c r="V167" s="364" t="s">
        <v>218</v>
      </c>
      <c r="W167" s="364" t="s">
        <v>113</v>
      </c>
      <c r="X167" s="364" t="s">
        <v>113</v>
      </c>
      <c r="Y167" s="364" t="s">
        <v>74</v>
      </c>
    </row>
    <row r="168" spans="3:25" ht="13.5" customHeight="1" x14ac:dyDescent="0.2">
      <c r="C168" s="82"/>
      <c r="D168" s="292" t="s">
        <v>74</v>
      </c>
      <c r="E168" s="138"/>
      <c r="F168" s="138"/>
      <c r="H168" s="69" t="str">
        <f t="shared" si="6"/>
        <v>BTR-Regions</v>
      </c>
      <c r="I168" s="69" t="str">
        <f t="shared" si="7"/>
        <v>The Forge</v>
      </c>
      <c r="J168" s="363" t="s">
        <v>211</v>
      </c>
      <c r="L168" s="364" t="s">
        <v>102</v>
      </c>
      <c r="M168" s="364" t="s">
        <v>79</v>
      </c>
      <c r="N168" s="365" t="s">
        <v>376</v>
      </c>
      <c r="O168" s="365">
        <v>474</v>
      </c>
      <c r="P168" s="364" t="s">
        <v>89</v>
      </c>
      <c r="Q168" s="364">
        <v>1</v>
      </c>
      <c r="R168" s="364">
        <v>5</v>
      </c>
      <c r="S168" s="364" t="s">
        <v>214</v>
      </c>
      <c r="T168" s="364" t="s">
        <v>74</v>
      </c>
      <c r="U168" s="364" t="s">
        <v>113</v>
      </c>
      <c r="V168" s="364" t="s">
        <v>218</v>
      </c>
      <c r="W168" s="364" t="s">
        <v>113</v>
      </c>
      <c r="X168" s="364" t="s">
        <v>113</v>
      </c>
      <c r="Y168" s="364" t="s">
        <v>74</v>
      </c>
    </row>
    <row r="169" spans="3:25" ht="13.5" customHeight="1" x14ac:dyDescent="0.2">
      <c r="C169" s="82"/>
      <c r="D169" s="292" t="s">
        <v>74</v>
      </c>
      <c r="E169" s="138"/>
      <c r="F169" s="138"/>
      <c r="H169" s="69" t="str">
        <f t="shared" si="6"/>
        <v>BTR-Regions</v>
      </c>
      <c r="I169" s="69" t="str">
        <f t="shared" si="7"/>
        <v>The Forge</v>
      </c>
      <c r="J169" s="363" t="s">
        <v>211</v>
      </c>
      <c r="L169" s="364" t="s">
        <v>102</v>
      </c>
      <c r="M169" s="364" t="s">
        <v>79</v>
      </c>
      <c r="N169" s="365" t="s">
        <v>377</v>
      </c>
      <c r="O169" s="365">
        <v>624</v>
      </c>
      <c r="P169" s="364" t="s">
        <v>90</v>
      </c>
      <c r="Q169" s="364">
        <v>2</v>
      </c>
      <c r="R169" s="364">
        <v>5</v>
      </c>
      <c r="S169" s="364" t="s">
        <v>214</v>
      </c>
      <c r="T169" s="364" t="s">
        <v>74</v>
      </c>
      <c r="U169" s="364" t="s">
        <v>113</v>
      </c>
      <c r="V169" s="364" t="s">
        <v>218</v>
      </c>
      <c r="W169" s="364" t="s">
        <v>113</v>
      </c>
      <c r="X169" s="364" t="s">
        <v>113</v>
      </c>
      <c r="Y169" s="364" t="s">
        <v>74</v>
      </c>
    </row>
    <row r="170" spans="3:25" ht="13.5" customHeight="1" x14ac:dyDescent="0.2">
      <c r="C170" s="82"/>
      <c r="D170" s="292" t="s">
        <v>74</v>
      </c>
      <c r="E170" s="138"/>
      <c r="F170" s="138"/>
      <c r="H170" s="69" t="str">
        <f t="shared" si="6"/>
        <v>BTR-Regions</v>
      </c>
      <c r="I170" s="69" t="str">
        <f t="shared" si="7"/>
        <v>The Forge</v>
      </c>
      <c r="J170" s="363" t="s">
        <v>211</v>
      </c>
      <c r="L170" s="364" t="s">
        <v>102</v>
      </c>
      <c r="M170" s="364" t="s">
        <v>79</v>
      </c>
      <c r="N170" s="365" t="s">
        <v>378</v>
      </c>
      <c r="O170" s="365">
        <v>624</v>
      </c>
      <c r="P170" s="364" t="s">
        <v>90</v>
      </c>
      <c r="Q170" s="364">
        <v>2</v>
      </c>
      <c r="R170" s="364">
        <v>6</v>
      </c>
      <c r="S170" s="364" t="s">
        <v>364</v>
      </c>
      <c r="T170" s="364" t="s">
        <v>74</v>
      </c>
      <c r="U170" s="364" t="s">
        <v>112</v>
      </c>
      <c r="V170" s="364" t="s">
        <v>218</v>
      </c>
      <c r="W170" s="364" t="s">
        <v>113</v>
      </c>
      <c r="X170" s="364" t="s">
        <v>113</v>
      </c>
      <c r="Y170" s="364" t="s">
        <v>74</v>
      </c>
    </row>
    <row r="171" spans="3:25" ht="13.5" customHeight="1" x14ac:dyDescent="0.2">
      <c r="C171" s="82"/>
      <c r="D171" s="292" t="s">
        <v>74</v>
      </c>
      <c r="E171" s="138"/>
      <c r="F171" s="138"/>
      <c r="H171" s="69" t="str">
        <f t="shared" si="6"/>
        <v>BTR-Regions</v>
      </c>
      <c r="I171" s="69" t="str">
        <f t="shared" si="7"/>
        <v>The Forge</v>
      </c>
      <c r="J171" s="363" t="s">
        <v>211</v>
      </c>
      <c r="L171" s="364" t="s">
        <v>102</v>
      </c>
      <c r="M171" s="364" t="s">
        <v>79</v>
      </c>
      <c r="N171" s="365" t="s">
        <v>379</v>
      </c>
      <c r="O171" s="365">
        <v>603</v>
      </c>
      <c r="P171" s="364" t="s">
        <v>90</v>
      </c>
      <c r="Q171" s="364">
        <v>2</v>
      </c>
      <c r="R171" s="364">
        <v>6</v>
      </c>
      <c r="S171" s="364" t="s">
        <v>364</v>
      </c>
      <c r="T171" s="364" t="s">
        <v>74</v>
      </c>
      <c r="U171" s="364" t="s">
        <v>112</v>
      </c>
      <c r="V171" s="364" t="s">
        <v>218</v>
      </c>
      <c r="W171" s="364" t="s">
        <v>113</v>
      </c>
      <c r="X171" s="364" t="s">
        <v>113</v>
      </c>
      <c r="Y171" s="364" t="s">
        <v>74</v>
      </c>
    </row>
    <row r="172" spans="3:25" ht="13.5" customHeight="1" x14ac:dyDescent="0.2">
      <c r="C172" s="82"/>
      <c r="D172" s="292" t="s">
        <v>74</v>
      </c>
      <c r="E172" s="138"/>
      <c r="F172" s="138"/>
      <c r="H172" s="69" t="str">
        <f t="shared" si="6"/>
        <v>BTR-Regions</v>
      </c>
      <c r="I172" s="69" t="str">
        <f t="shared" si="7"/>
        <v>The Forge</v>
      </c>
      <c r="J172" s="363" t="s">
        <v>211</v>
      </c>
      <c r="L172" s="364" t="s">
        <v>102</v>
      </c>
      <c r="M172" s="364" t="s">
        <v>79</v>
      </c>
      <c r="N172" s="365" t="s">
        <v>380</v>
      </c>
      <c r="O172" s="365">
        <v>614</v>
      </c>
      <c r="P172" s="364" t="s">
        <v>90</v>
      </c>
      <c r="Q172" s="364">
        <v>2</v>
      </c>
      <c r="R172" s="364">
        <v>6</v>
      </c>
      <c r="S172" s="364" t="s">
        <v>364</v>
      </c>
      <c r="T172" s="364" t="s">
        <v>74</v>
      </c>
      <c r="U172" s="364" t="s">
        <v>112</v>
      </c>
      <c r="V172" s="364" t="s">
        <v>218</v>
      </c>
      <c r="W172" s="364" t="s">
        <v>113</v>
      </c>
      <c r="X172" s="364" t="s">
        <v>113</v>
      </c>
      <c r="Y172" s="364" t="s">
        <v>74</v>
      </c>
    </row>
    <row r="173" spans="3:25" ht="13.5" customHeight="1" x14ac:dyDescent="0.2">
      <c r="C173" s="82"/>
      <c r="D173" s="292" t="s">
        <v>74</v>
      </c>
      <c r="E173" s="138"/>
      <c r="F173" s="138"/>
      <c r="H173" s="69" t="str">
        <f t="shared" si="6"/>
        <v>BTR-Regions</v>
      </c>
      <c r="I173" s="69" t="str">
        <f t="shared" si="7"/>
        <v>The Forge</v>
      </c>
      <c r="J173" s="363" t="s">
        <v>211</v>
      </c>
      <c r="L173" s="364" t="s">
        <v>102</v>
      </c>
      <c r="M173" s="364" t="s">
        <v>79</v>
      </c>
      <c r="N173" s="365" t="s">
        <v>381</v>
      </c>
      <c r="O173" s="365">
        <v>829</v>
      </c>
      <c r="P173" s="364" t="s">
        <v>91</v>
      </c>
      <c r="Q173" s="364">
        <v>3</v>
      </c>
      <c r="R173" s="364">
        <v>6</v>
      </c>
      <c r="S173" s="364" t="s">
        <v>364</v>
      </c>
      <c r="T173" s="364" t="s">
        <v>74</v>
      </c>
      <c r="U173" s="364" t="s">
        <v>112</v>
      </c>
      <c r="V173" s="364" t="s">
        <v>218</v>
      </c>
      <c r="W173" s="364" t="s">
        <v>113</v>
      </c>
      <c r="X173" s="364" t="s">
        <v>113</v>
      </c>
      <c r="Y173" s="364" t="s">
        <v>74</v>
      </c>
    </row>
    <row r="174" spans="3:25" ht="13.5" customHeight="1" x14ac:dyDescent="0.2">
      <c r="C174" s="82"/>
      <c r="D174" s="292" t="s">
        <v>74</v>
      </c>
      <c r="E174" s="138"/>
      <c r="F174" s="138"/>
      <c r="H174" s="69" t="str">
        <f t="shared" si="6"/>
        <v>BTR-Regions</v>
      </c>
      <c r="I174" s="69" t="str">
        <f t="shared" si="7"/>
        <v>The Forge</v>
      </c>
      <c r="J174" s="363" t="s">
        <v>211</v>
      </c>
      <c r="L174" s="364" t="s">
        <v>102</v>
      </c>
      <c r="M174" s="364" t="s">
        <v>79</v>
      </c>
      <c r="N174" s="365" t="s">
        <v>382</v>
      </c>
      <c r="O174" s="365">
        <v>689</v>
      </c>
      <c r="P174" s="364" t="s">
        <v>90</v>
      </c>
      <c r="Q174" s="364">
        <v>2</v>
      </c>
      <c r="R174" s="364">
        <v>6</v>
      </c>
      <c r="S174" s="364" t="s">
        <v>214</v>
      </c>
      <c r="T174" s="364" t="s">
        <v>74</v>
      </c>
      <c r="U174" s="364" t="s">
        <v>113</v>
      </c>
      <c r="V174" s="364" t="s">
        <v>218</v>
      </c>
      <c r="W174" s="364" t="s">
        <v>113</v>
      </c>
      <c r="X174" s="364" t="s">
        <v>113</v>
      </c>
      <c r="Y174" s="364" t="s">
        <v>74</v>
      </c>
    </row>
    <row r="175" spans="3:25" ht="13.5" customHeight="1" x14ac:dyDescent="0.2">
      <c r="C175" s="82"/>
      <c r="D175" s="292" t="s">
        <v>74</v>
      </c>
      <c r="E175" s="138"/>
      <c r="F175" s="138"/>
      <c r="H175" s="69" t="str">
        <f t="shared" si="6"/>
        <v>BTR-Regions</v>
      </c>
      <c r="I175" s="69" t="str">
        <f t="shared" si="7"/>
        <v>The Forge</v>
      </c>
      <c r="J175" s="363" t="s">
        <v>211</v>
      </c>
      <c r="L175" s="364" t="s">
        <v>102</v>
      </c>
      <c r="M175" s="364" t="s">
        <v>79</v>
      </c>
      <c r="N175" s="365" t="s">
        <v>383</v>
      </c>
      <c r="O175" s="365">
        <v>474</v>
      </c>
      <c r="P175" s="364" t="s">
        <v>89</v>
      </c>
      <c r="Q175" s="364">
        <v>1</v>
      </c>
      <c r="R175" s="364">
        <v>6</v>
      </c>
      <c r="S175" s="364" t="s">
        <v>214</v>
      </c>
      <c r="T175" s="364" t="s">
        <v>74</v>
      </c>
      <c r="U175" s="364" t="s">
        <v>113</v>
      </c>
      <c r="V175" s="364" t="s">
        <v>218</v>
      </c>
      <c r="W175" s="364" t="s">
        <v>113</v>
      </c>
      <c r="X175" s="364" t="s">
        <v>113</v>
      </c>
      <c r="Y175" s="364" t="s">
        <v>74</v>
      </c>
    </row>
    <row r="176" spans="3:25" ht="13.5" customHeight="1" x14ac:dyDescent="0.2">
      <c r="C176" s="82"/>
      <c r="D176" s="292" t="s">
        <v>74</v>
      </c>
      <c r="E176" s="138"/>
      <c r="F176" s="138"/>
      <c r="H176" s="69" t="str">
        <f t="shared" si="6"/>
        <v>BTR-Regions</v>
      </c>
      <c r="I176" s="69" t="str">
        <f t="shared" si="7"/>
        <v>The Forge</v>
      </c>
      <c r="J176" s="363" t="s">
        <v>211</v>
      </c>
      <c r="L176" s="364" t="s">
        <v>102</v>
      </c>
      <c r="M176" s="364" t="s">
        <v>79</v>
      </c>
      <c r="N176" s="365" t="s">
        <v>384</v>
      </c>
      <c r="O176" s="365">
        <v>624</v>
      </c>
      <c r="P176" s="364" t="s">
        <v>90</v>
      </c>
      <c r="Q176" s="364">
        <v>2</v>
      </c>
      <c r="R176" s="364">
        <v>6</v>
      </c>
      <c r="S176" s="364" t="s">
        <v>214</v>
      </c>
      <c r="T176" s="364" t="s">
        <v>74</v>
      </c>
      <c r="U176" s="364" t="s">
        <v>113</v>
      </c>
      <c r="V176" s="364" t="s">
        <v>218</v>
      </c>
      <c r="W176" s="364" t="s">
        <v>113</v>
      </c>
      <c r="X176" s="364" t="s">
        <v>113</v>
      </c>
      <c r="Y176" s="364" t="s">
        <v>74</v>
      </c>
    </row>
    <row r="177" spans="3:25" ht="13.5" customHeight="1" x14ac:dyDescent="0.2">
      <c r="C177" s="82"/>
      <c r="D177" s="292" t="s">
        <v>74</v>
      </c>
      <c r="E177" s="138"/>
      <c r="F177" s="138"/>
      <c r="H177" s="69" t="str">
        <f t="shared" si="6"/>
        <v>BTR-Regions</v>
      </c>
      <c r="I177" s="69" t="str">
        <f t="shared" si="7"/>
        <v>The Forge</v>
      </c>
      <c r="J177" s="363" t="s">
        <v>211</v>
      </c>
      <c r="L177" s="364" t="s">
        <v>102</v>
      </c>
      <c r="M177" s="364" t="s">
        <v>79</v>
      </c>
      <c r="N177" s="365" t="s">
        <v>385</v>
      </c>
      <c r="O177" s="365">
        <v>538</v>
      </c>
      <c r="P177" s="364" t="s">
        <v>90</v>
      </c>
      <c r="Q177" s="364">
        <v>2</v>
      </c>
      <c r="R177" s="364">
        <v>7</v>
      </c>
      <c r="S177" s="364" t="s">
        <v>364</v>
      </c>
      <c r="T177" s="364" t="s">
        <v>74</v>
      </c>
      <c r="U177" s="364" t="s">
        <v>386</v>
      </c>
      <c r="V177" s="364" t="s">
        <v>305</v>
      </c>
      <c r="W177" s="364" t="s">
        <v>113</v>
      </c>
      <c r="X177" s="364" t="s">
        <v>387</v>
      </c>
      <c r="Y177" s="364" t="s">
        <v>74</v>
      </c>
    </row>
    <row r="178" spans="3:25" ht="13.5" customHeight="1" x14ac:dyDescent="0.2">
      <c r="C178" s="82"/>
      <c r="D178" s="292" t="s">
        <v>74</v>
      </c>
      <c r="E178" s="138"/>
      <c r="F178" s="138"/>
      <c r="H178" s="69" t="str">
        <f t="shared" si="6"/>
        <v>BTR-Regions</v>
      </c>
      <c r="I178" s="69" t="str">
        <f t="shared" si="7"/>
        <v>The Forge</v>
      </c>
      <c r="J178" s="363" t="s">
        <v>211</v>
      </c>
      <c r="L178" s="364" t="s">
        <v>102</v>
      </c>
      <c r="M178" s="364" t="s">
        <v>79</v>
      </c>
      <c r="N178" s="365" t="s">
        <v>388</v>
      </c>
      <c r="O178" s="365">
        <v>538</v>
      </c>
      <c r="P178" s="364" t="s">
        <v>90</v>
      </c>
      <c r="Q178" s="364">
        <v>2</v>
      </c>
      <c r="R178" s="364">
        <v>7</v>
      </c>
      <c r="S178" s="364" t="s">
        <v>364</v>
      </c>
      <c r="T178" s="364" t="s">
        <v>74</v>
      </c>
      <c r="U178" s="364" t="s">
        <v>386</v>
      </c>
      <c r="V178" s="364" t="s">
        <v>305</v>
      </c>
      <c r="W178" s="364" t="s">
        <v>113</v>
      </c>
      <c r="X178" s="364" t="s">
        <v>387</v>
      </c>
      <c r="Y178" s="364" t="s">
        <v>74</v>
      </c>
    </row>
    <row r="179" spans="3:25" ht="13.5" customHeight="1" x14ac:dyDescent="0.2">
      <c r="C179" s="82"/>
      <c r="D179" s="292" t="s">
        <v>74</v>
      </c>
      <c r="E179" s="138"/>
      <c r="F179" s="138"/>
      <c r="H179" s="69" t="str">
        <f t="shared" si="6"/>
        <v>BTR-Regions</v>
      </c>
      <c r="I179" s="69" t="str">
        <f t="shared" si="7"/>
        <v>The Forge</v>
      </c>
      <c r="J179" s="363" t="s">
        <v>211</v>
      </c>
      <c r="L179" s="364" t="s">
        <v>102</v>
      </c>
      <c r="M179" s="364" t="s">
        <v>79</v>
      </c>
      <c r="N179" s="365" t="s">
        <v>389</v>
      </c>
      <c r="O179" s="365">
        <v>549</v>
      </c>
      <c r="P179" s="364" t="s">
        <v>90</v>
      </c>
      <c r="Q179" s="364">
        <v>2</v>
      </c>
      <c r="R179" s="364">
        <v>7</v>
      </c>
      <c r="S179" s="364" t="s">
        <v>364</v>
      </c>
      <c r="T179" s="364" t="s">
        <v>74</v>
      </c>
      <c r="U179" s="364" t="s">
        <v>386</v>
      </c>
      <c r="V179" s="364" t="s">
        <v>305</v>
      </c>
      <c r="W179" s="364" t="s">
        <v>113</v>
      </c>
      <c r="X179" s="364" t="s">
        <v>387</v>
      </c>
      <c r="Y179" s="364" t="s">
        <v>74</v>
      </c>
    </row>
    <row r="180" spans="3:25" ht="13.5" customHeight="1" x14ac:dyDescent="0.2">
      <c r="C180" s="82"/>
      <c r="D180" s="292" t="s">
        <v>74</v>
      </c>
      <c r="E180" s="138"/>
      <c r="F180" s="138"/>
      <c r="H180" s="69" t="str">
        <f t="shared" si="6"/>
        <v>BTR-Regions</v>
      </c>
      <c r="I180" s="69" t="str">
        <f t="shared" si="7"/>
        <v>The Forge</v>
      </c>
      <c r="J180" s="363" t="s">
        <v>211</v>
      </c>
      <c r="L180" s="364" t="s">
        <v>102</v>
      </c>
      <c r="M180" s="364" t="s">
        <v>79</v>
      </c>
      <c r="N180" s="365" t="s">
        <v>390</v>
      </c>
      <c r="O180" s="365">
        <v>753</v>
      </c>
      <c r="P180" s="364" t="s">
        <v>91</v>
      </c>
      <c r="Q180" s="364">
        <v>3</v>
      </c>
      <c r="R180" s="364">
        <v>7</v>
      </c>
      <c r="S180" s="364" t="s">
        <v>364</v>
      </c>
      <c r="T180" s="364" t="s">
        <v>74</v>
      </c>
      <c r="U180" s="364" t="s">
        <v>386</v>
      </c>
      <c r="V180" s="364" t="s">
        <v>305</v>
      </c>
      <c r="W180" s="364" t="s">
        <v>113</v>
      </c>
      <c r="X180" s="364" t="s">
        <v>391</v>
      </c>
      <c r="Y180" s="364" t="s">
        <v>74</v>
      </c>
    </row>
    <row r="181" spans="3:25" ht="13.5" customHeight="1" x14ac:dyDescent="0.2">
      <c r="C181" s="82"/>
      <c r="D181" s="292" t="s">
        <v>74</v>
      </c>
      <c r="E181" s="138"/>
      <c r="F181" s="138"/>
      <c r="H181" s="69" t="str">
        <f t="shared" si="6"/>
        <v>BTR-Regions</v>
      </c>
      <c r="I181" s="69" t="str">
        <f t="shared" si="7"/>
        <v>The Forge</v>
      </c>
      <c r="J181" s="363" t="s">
        <v>211</v>
      </c>
      <c r="L181" s="364" t="s">
        <v>102</v>
      </c>
      <c r="M181" s="364" t="s">
        <v>79</v>
      </c>
      <c r="N181" s="365" t="s">
        <v>392</v>
      </c>
      <c r="O181" s="365">
        <v>689</v>
      </c>
      <c r="P181" s="364" t="s">
        <v>90</v>
      </c>
      <c r="Q181" s="364">
        <v>2</v>
      </c>
      <c r="R181" s="364">
        <v>7</v>
      </c>
      <c r="S181" s="364" t="s">
        <v>393</v>
      </c>
      <c r="T181" s="364" t="s">
        <v>74</v>
      </c>
      <c r="U181" s="364" t="s">
        <v>113</v>
      </c>
      <c r="V181" s="364" t="s">
        <v>305</v>
      </c>
      <c r="W181" s="364" t="s">
        <v>113</v>
      </c>
      <c r="X181" s="364" t="s">
        <v>113</v>
      </c>
      <c r="Y181" s="364" t="s">
        <v>74</v>
      </c>
    </row>
    <row r="182" spans="3:25" ht="13.5" customHeight="1" x14ac:dyDescent="0.2">
      <c r="C182" s="82"/>
      <c r="D182" s="292" t="s">
        <v>74</v>
      </c>
      <c r="E182" s="138"/>
      <c r="F182" s="138"/>
      <c r="H182" s="69" t="str">
        <f t="shared" si="6"/>
        <v>BTR-Regions</v>
      </c>
      <c r="I182" s="69" t="str">
        <f t="shared" si="7"/>
        <v>The Forge</v>
      </c>
      <c r="J182" s="363" t="s">
        <v>211</v>
      </c>
      <c r="L182" s="364" t="s">
        <v>102</v>
      </c>
      <c r="M182" s="364" t="s">
        <v>79</v>
      </c>
      <c r="N182" s="365" t="s">
        <v>394</v>
      </c>
      <c r="O182" s="365">
        <v>484</v>
      </c>
      <c r="P182" s="364" t="s">
        <v>89</v>
      </c>
      <c r="Q182" s="364">
        <v>1</v>
      </c>
      <c r="R182" s="364">
        <v>7</v>
      </c>
      <c r="S182" s="364" t="s">
        <v>393</v>
      </c>
      <c r="T182" s="364" t="s">
        <v>74</v>
      </c>
      <c r="U182" s="364" t="s">
        <v>113</v>
      </c>
      <c r="V182" s="364" t="s">
        <v>305</v>
      </c>
      <c r="W182" s="364" t="s">
        <v>113</v>
      </c>
      <c r="X182" s="364" t="s">
        <v>113</v>
      </c>
      <c r="Y182" s="364" t="s">
        <v>74</v>
      </c>
    </row>
    <row r="183" spans="3:25" ht="13.5" customHeight="1" x14ac:dyDescent="0.2">
      <c r="C183" s="82"/>
      <c r="D183" s="292" t="s">
        <v>74</v>
      </c>
      <c r="E183" s="138"/>
      <c r="F183" s="138"/>
      <c r="H183" s="69" t="str">
        <f t="shared" si="6"/>
        <v>BTR-Regions</v>
      </c>
      <c r="I183" s="69" t="str">
        <f t="shared" si="7"/>
        <v>The Forge</v>
      </c>
      <c r="J183" s="363" t="s">
        <v>211</v>
      </c>
      <c r="L183" s="364" t="s">
        <v>102</v>
      </c>
      <c r="M183" s="364" t="s">
        <v>79</v>
      </c>
      <c r="N183" s="365" t="s">
        <v>395</v>
      </c>
      <c r="O183" s="365">
        <v>624</v>
      </c>
      <c r="P183" s="364" t="s">
        <v>90</v>
      </c>
      <c r="Q183" s="364">
        <v>2</v>
      </c>
      <c r="R183" s="364">
        <v>7</v>
      </c>
      <c r="S183" s="364" t="s">
        <v>393</v>
      </c>
      <c r="T183" s="364" t="s">
        <v>74</v>
      </c>
      <c r="U183" s="364" t="s">
        <v>113</v>
      </c>
      <c r="V183" s="364" t="s">
        <v>305</v>
      </c>
      <c r="W183" s="364" t="s">
        <v>113</v>
      </c>
      <c r="X183" s="364" t="s">
        <v>113</v>
      </c>
      <c r="Y183" s="364" t="s">
        <v>74</v>
      </c>
    </row>
    <row r="184" spans="3:25" ht="13.5" customHeight="1" x14ac:dyDescent="0.2">
      <c r="C184" s="82"/>
      <c r="D184" s="292" t="s">
        <v>74</v>
      </c>
      <c r="E184" s="138"/>
      <c r="F184" s="138"/>
      <c r="H184" s="69" t="str">
        <f t="shared" si="6"/>
        <v>BTR-Regions</v>
      </c>
      <c r="I184" s="69" t="str">
        <f t="shared" si="7"/>
        <v>The Forge</v>
      </c>
      <c r="J184" s="363" t="s">
        <v>211</v>
      </c>
      <c r="L184" s="364" t="s">
        <v>102</v>
      </c>
      <c r="M184" s="364" t="s">
        <v>79</v>
      </c>
      <c r="N184" s="365" t="s">
        <v>396</v>
      </c>
      <c r="O184" s="365">
        <v>538</v>
      </c>
      <c r="P184" s="364" t="s">
        <v>90</v>
      </c>
      <c r="Q184" s="364">
        <v>2</v>
      </c>
      <c r="R184" s="364">
        <v>8</v>
      </c>
      <c r="S184" s="364" t="s">
        <v>364</v>
      </c>
      <c r="T184" s="364" t="s">
        <v>74</v>
      </c>
      <c r="U184" s="364" t="s">
        <v>397</v>
      </c>
      <c r="V184" s="364" t="s">
        <v>218</v>
      </c>
      <c r="W184" s="364" t="s">
        <v>113</v>
      </c>
      <c r="X184" s="364" t="s">
        <v>387</v>
      </c>
      <c r="Y184" s="364" t="s">
        <v>74</v>
      </c>
    </row>
    <row r="185" spans="3:25" ht="13.5" customHeight="1" x14ac:dyDescent="0.2">
      <c r="C185" s="82"/>
      <c r="D185" s="292" t="s">
        <v>74</v>
      </c>
      <c r="E185" s="138"/>
      <c r="F185" s="138"/>
      <c r="H185" s="69" t="str">
        <f t="shared" si="6"/>
        <v>BTR-Regions</v>
      </c>
      <c r="I185" s="69" t="str">
        <f t="shared" si="7"/>
        <v>The Forge</v>
      </c>
      <c r="J185" s="363" t="s">
        <v>211</v>
      </c>
      <c r="L185" s="364" t="s">
        <v>102</v>
      </c>
      <c r="M185" s="364" t="s">
        <v>79</v>
      </c>
      <c r="N185" s="365" t="s">
        <v>398</v>
      </c>
      <c r="O185" s="365">
        <v>538</v>
      </c>
      <c r="P185" s="364" t="s">
        <v>90</v>
      </c>
      <c r="Q185" s="364">
        <v>2</v>
      </c>
      <c r="R185" s="364">
        <v>8</v>
      </c>
      <c r="S185" s="364" t="s">
        <v>364</v>
      </c>
      <c r="T185" s="364" t="s">
        <v>74</v>
      </c>
      <c r="U185" s="364" t="s">
        <v>397</v>
      </c>
      <c r="V185" s="364" t="s">
        <v>218</v>
      </c>
      <c r="W185" s="364" t="s">
        <v>113</v>
      </c>
      <c r="X185" s="364" t="s">
        <v>387</v>
      </c>
      <c r="Y185" s="364" t="s">
        <v>74</v>
      </c>
    </row>
    <row r="186" spans="3:25" ht="13.5" customHeight="1" x14ac:dyDescent="0.2">
      <c r="C186" s="82"/>
      <c r="D186" s="292" t="s">
        <v>74</v>
      </c>
      <c r="E186" s="138"/>
      <c r="F186" s="138"/>
      <c r="H186" s="69" t="str">
        <f t="shared" si="6"/>
        <v>BTR-Regions</v>
      </c>
      <c r="I186" s="69" t="str">
        <f t="shared" si="7"/>
        <v>The Forge</v>
      </c>
      <c r="J186" s="363" t="s">
        <v>211</v>
      </c>
      <c r="L186" s="364" t="s">
        <v>102</v>
      </c>
      <c r="M186" s="364" t="s">
        <v>79</v>
      </c>
      <c r="N186" s="365" t="s">
        <v>399</v>
      </c>
      <c r="O186" s="365">
        <v>549</v>
      </c>
      <c r="P186" s="364" t="s">
        <v>90</v>
      </c>
      <c r="Q186" s="364">
        <v>2</v>
      </c>
      <c r="R186" s="364">
        <v>8</v>
      </c>
      <c r="S186" s="364" t="s">
        <v>364</v>
      </c>
      <c r="T186" s="364" t="s">
        <v>74</v>
      </c>
      <c r="U186" s="364" t="s">
        <v>397</v>
      </c>
      <c r="V186" s="364" t="s">
        <v>218</v>
      </c>
      <c r="W186" s="364" t="s">
        <v>113</v>
      </c>
      <c r="X186" s="364" t="s">
        <v>387</v>
      </c>
      <c r="Y186" s="364" t="s">
        <v>74</v>
      </c>
    </row>
    <row r="187" spans="3:25" ht="13.5" customHeight="1" x14ac:dyDescent="0.2">
      <c r="C187" s="82"/>
      <c r="D187" s="292" t="s">
        <v>74</v>
      </c>
      <c r="E187" s="138"/>
      <c r="F187" s="138"/>
      <c r="H187" s="69" t="str">
        <f t="shared" si="6"/>
        <v>BTR-Regions</v>
      </c>
      <c r="I187" s="69" t="str">
        <f t="shared" si="7"/>
        <v>The Forge</v>
      </c>
      <c r="J187" s="363" t="s">
        <v>211</v>
      </c>
      <c r="L187" s="364" t="s">
        <v>102</v>
      </c>
      <c r="M187" s="364" t="s">
        <v>79</v>
      </c>
      <c r="N187" s="365" t="s">
        <v>400</v>
      </c>
      <c r="O187" s="365">
        <v>753</v>
      </c>
      <c r="P187" s="364" t="s">
        <v>91</v>
      </c>
      <c r="Q187" s="364">
        <v>3</v>
      </c>
      <c r="R187" s="364">
        <v>8</v>
      </c>
      <c r="S187" s="364" t="s">
        <v>364</v>
      </c>
      <c r="T187" s="364" t="s">
        <v>74</v>
      </c>
      <c r="U187" s="364" t="s">
        <v>397</v>
      </c>
      <c r="V187" s="364" t="s">
        <v>218</v>
      </c>
      <c r="W187" s="364" t="s">
        <v>113</v>
      </c>
      <c r="X187" s="364" t="s">
        <v>391</v>
      </c>
      <c r="Y187" s="364" t="s">
        <v>74</v>
      </c>
    </row>
    <row r="188" spans="3:25" ht="13.5" customHeight="1" x14ac:dyDescent="0.2">
      <c r="C188" s="82"/>
      <c r="D188" s="292" t="s">
        <v>74</v>
      </c>
      <c r="E188" s="138"/>
      <c r="F188" s="138"/>
      <c r="H188" s="69" t="str">
        <f t="shared" si="6"/>
        <v>BTR-Regions</v>
      </c>
      <c r="I188" s="69" t="str">
        <f t="shared" si="7"/>
        <v>The Forge</v>
      </c>
      <c r="J188" s="363" t="s">
        <v>211</v>
      </c>
      <c r="L188" s="364" t="s">
        <v>102</v>
      </c>
      <c r="M188" s="364" t="s">
        <v>79</v>
      </c>
      <c r="N188" s="365" t="s">
        <v>401</v>
      </c>
      <c r="O188" s="365">
        <v>689</v>
      </c>
      <c r="P188" s="364" t="s">
        <v>90</v>
      </c>
      <c r="Q188" s="364">
        <v>2</v>
      </c>
      <c r="R188" s="364">
        <v>8</v>
      </c>
      <c r="S188" s="364" t="s">
        <v>393</v>
      </c>
      <c r="T188" s="364" t="s">
        <v>74</v>
      </c>
      <c r="U188" s="364" t="s">
        <v>113</v>
      </c>
      <c r="V188" s="364" t="s">
        <v>218</v>
      </c>
      <c r="W188" s="364" t="s">
        <v>113</v>
      </c>
      <c r="X188" s="364" t="s">
        <v>113</v>
      </c>
      <c r="Y188" s="364" t="s">
        <v>74</v>
      </c>
    </row>
    <row r="189" spans="3:25" ht="13.5" customHeight="1" x14ac:dyDescent="0.2">
      <c r="C189" s="82"/>
      <c r="D189" s="292" t="s">
        <v>74</v>
      </c>
      <c r="E189" s="138"/>
      <c r="F189" s="138"/>
      <c r="H189" s="69" t="str">
        <f t="shared" si="6"/>
        <v>BTR-Regions</v>
      </c>
      <c r="I189" s="69" t="str">
        <f t="shared" si="7"/>
        <v>The Forge</v>
      </c>
      <c r="J189" s="363" t="s">
        <v>211</v>
      </c>
      <c r="L189" s="364" t="s">
        <v>102</v>
      </c>
      <c r="M189" s="364" t="s">
        <v>79</v>
      </c>
      <c r="N189" s="365" t="s">
        <v>402</v>
      </c>
      <c r="O189" s="365">
        <v>484</v>
      </c>
      <c r="P189" s="364" t="s">
        <v>89</v>
      </c>
      <c r="Q189" s="364">
        <v>1</v>
      </c>
      <c r="R189" s="364">
        <v>8</v>
      </c>
      <c r="S189" s="364" t="s">
        <v>393</v>
      </c>
      <c r="T189" s="364" t="s">
        <v>74</v>
      </c>
      <c r="U189" s="364" t="s">
        <v>113</v>
      </c>
      <c r="V189" s="364" t="s">
        <v>218</v>
      </c>
      <c r="W189" s="364" t="s">
        <v>113</v>
      </c>
      <c r="X189" s="364" t="s">
        <v>113</v>
      </c>
      <c r="Y189" s="364" t="s">
        <v>74</v>
      </c>
    </row>
    <row r="190" spans="3:25" ht="13.5" customHeight="1" x14ac:dyDescent="0.2">
      <c r="C190" s="82"/>
      <c r="D190" s="292" t="s">
        <v>74</v>
      </c>
      <c r="E190" s="138"/>
      <c r="F190" s="138"/>
      <c r="H190" s="69" t="str">
        <f t="shared" si="6"/>
        <v>BTR-Regions</v>
      </c>
      <c r="I190" s="69" t="str">
        <f t="shared" si="7"/>
        <v>The Forge</v>
      </c>
      <c r="J190" s="363" t="s">
        <v>211</v>
      </c>
      <c r="L190" s="364" t="s">
        <v>102</v>
      </c>
      <c r="M190" s="364" t="s">
        <v>79</v>
      </c>
      <c r="N190" s="365" t="s">
        <v>403</v>
      </c>
      <c r="O190" s="365">
        <v>624</v>
      </c>
      <c r="P190" s="364" t="s">
        <v>90</v>
      </c>
      <c r="Q190" s="364">
        <v>2</v>
      </c>
      <c r="R190" s="364">
        <v>8</v>
      </c>
      <c r="S190" s="364" t="s">
        <v>393</v>
      </c>
      <c r="T190" s="364" t="s">
        <v>74</v>
      </c>
      <c r="U190" s="364" t="s">
        <v>113</v>
      </c>
      <c r="V190" s="364" t="s">
        <v>218</v>
      </c>
      <c r="W190" s="364" t="s">
        <v>113</v>
      </c>
      <c r="X190" s="364" t="s">
        <v>113</v>
      </c>
      <c r="Y190" s="364" t="s">
        <v>74</v>
      </c>
    </row>
    <row r="191" spans="3:25" ht="13.5" customHeight="1" x14ac:dyDescent="0.2">
      <c r="C191" s="82"/>
      <c r="D191" s="292" t="s">
        <v>74</v>
      </c>
      <c r="E191" s="138"/>
      <c r="F191" s="138"/>
      <c r="H191" s="69" t="str">
        <f t="shared" si="6"/>
        <v>BTR-Regions</v>
      </c>
      <c r="I191" s="69" t="str">
        <f t="shared" si="7"/>
        <v>The Forge</v>
      </c>
      <c r="J191" s="363" t="s">
        <v>211</v>
      </c>
      <c r="L191" s="364" t="s">
        <v>103</v>
      </c>
      <c r="M191" s="364" t="s">
        <v>79</v>
      </c>
      <c r="N191" s="365" t="s">
        <v>404</v>
      </c>
      <c r="O191" s="365">
        <v>689</v>
      </c>
      <c r="P191" s="364" t="s">
        <v>90</v>
      </c>
      <c r="Q191" s="364">
        <v>2</v>
      </c>
      <c r="R191" s="364" t="s">
        <v>213</v>
      </c>
      <c r="S191" s="364" t="s">
        <v>220</v>
      </c>
      <c r="T191" s="364" t="s">
        <v>74</v>
      </c>
      <c r="U191" s="364" t="s">
        <v>113</v>
      </c>
      <c r="V191" s="364" t="s">
        <v>218</v>
      </c>
      <c r="W191" s="364" t="s">
        <v>113</v>
      </c>
      <c r="X191" s="364" t="s">
        <v>113</v>
      </c>
      <c r="Y191" s="364" t="s">
        <v>74</v>
      </c>
    </row>
    <row r="192" spans="3:25" ht="13.5" customHeight="1" x14ac:dyDescent="0.2">
      <c r="C192" s="82"/>
      <c r="D192" s="292" t="s">
        <v>74</v>
      </c>
      <c r="E192" s="138"/>
      <c r="F192" s="138"/>
      <c r="H192" s="69" t="str">
        <f t="shared" si="6"/>
        <v>BTR-Regions</v>
      </c>
      <c r="I192" s="69" t="str">
        <f t="shared" si="7"/>
        <v>The Forge</v>
      </c>
      <c r="J192" s="363" t="s">
        <v>211</v>
      </c>
      <c r="L192" s="364" t="s">
        <v>103</v>
      </c>
      <c r="M192" s="364" t="s">
        <v>79</v>
      </c>
      <c r="N192" s="365" t="s">
        <v>405</v>
      </c>
      <c r="O192" s="365">
        <v>463</v>
      </c>
      <c r="P192" s="364" t="s">
        <v>89</v>
      </c>
      <c r="Q192" s="364">
        <v>1</v>
      </c>
      <c r="R192" s="364" t="s">
        <v>213</v>
      </c>
      <c r="S192" s="364" t="s">
        <v>214</v>
      </c>
      <c r="T192" s="364" t="s">
        <v>74</v>
      </c>
      <c r="U192" s="364" t="s">
        <v>113</v>
      </c>
      <c r="V192" s="364" t="s">
        <v>218</v>
      </c>
      <c r="W192" s="364" t="s">
        <v>237</v>
      </c>
      <c r="X192" s="364" t="s">
        <v>113</v>
      </c>
      <c r="Y192" s="364" t="s">
        <v>74</v>
      </c>
    </row>
    <row r="193" spans="3:25" ht="13.5" customHeight="1" x14ac:dyDescent="0.2">
      <c r="C193" s="82"/>
      <c r="D193" s="292" t="s">
        <v>74</v>
      </c>
      <c r="E193" s="138"/>
      <c r="F193" s="138"/>
      <c r="H193" s="69" t="str">
        <f t="shared" si="6"/>
        <v>BTR-Regions</v>
      </c>
      <c r="I193" s="69" t="str">
        <f t="shared" si="7"/>
        <v>The Forge</v>
      </c>
      <c r="J193" s="363" t="s">
        <v>211</v>
      </c>
      <c r="L193" s="364" t="s">
        <v>103</v>
      </c>
      <c r="M193" s="364" t="s">
        <v>79</v>
      </c>
      <c r="N193" s="365" t="s">
        <v>406</v>
      </c>
      <c r="O193" s="365">
        <v>549</v>
      </c>
      <c r="P193" s="364" t="s">
        <v>89</v>
      </c>
      <c r="Q193" s="364">
        <v>1</v>
      </c>
      <c r="R193" s="364" t="s">
        <v>213</v>
      </c>
      <c r="S193" s="364" t="s">
        <v>214</v>
      </c>
      <c r="T193" s="364" t="s">
        <v>74</v>
      </c>
      <c r="U193" s="364" t="s">
        <v>113</v>
      </c>
      <c r="V193" s="364" t="s">
        <v>218</v>
      </c>
      <c r="W193" s="364" t="s">
        <v>237</v>
      </c>
      <c r="X193" s="364" t="s">
        <v>113</v>
      </c>
      <c r="Y193" s="364" t="s">
        <v>74</v>
      </c>
    </row>
    <row r="194" spans="3:25" ht="13.5" customHeight="1" x14ac:dyDescent="0.2">
      <c r="C194" s="82"/>
      <c r="D194" s="292" t="s">
        <v>74</v>
      </c>
      <c r="E194" s="138"/>
      <c r="F194" s="138"/>
      <c r="H194" s="69" t="str">
        <f t="shared" si="6"/>
        <v>BTR-Regions</v>
      </c>
      <c r="I194" s="69" t="str">
        <f t="shared" si="7"/>
        <v>The Forge</v>
      </c>
      <c r="J194" s="363" t="s">
        <v>211</v>
      </c>
      <c r="L194" s="364" t="s">
        <v>103</v>
      </c>
      <c r="M194" s="364" t="s">
        <v>79</v>
      </c>
      <c r="N194" s="365" t="s">
        <v>407</v>
      </c>
      <c r="O194" s="365">
        <v>484</v>
      </c>
      <c r="P194" s="364" t="s">
        <v>89</v>
      </c>
      <c r="Q194" s="364">
        <v>1</v>
      </c>
      <c r="R194" s="364" t="s">
        <v>213</v>
      </c>
      <c r="S194" s="364" t="s">
        <v>341</v>
      </c>
      <c r="T194" s="364" t="s">
        <v>74</v>
      </c>
      <c r="U194" s="364" t="s">
        <v>113</v>
      </c>
      <c r="V194" s="364" t="s">
        <v>218</v>
      </c>
      <c r="W194" s="364" t="s">
        <v>113</v>
      </c>
      <c r="X194" s="364" t="s">
        <v>113</v>
      </c>
      <c r="Y194" s="364" t="s">
        <v>74</v>
      </c>
    </row>
    <row r="195" spans="3:25" ht="13.5" customHeight="1" x14ac:dyDescent="0.2">
      <c r="C195" s="82"/>
      <c r="D195" s="292" t="s">
        <v>74</v>
      </c>
      <c r="E195" s="138"/>
      <c r="F195" s="138"/>
      <c r="H195" s="69" t="str">
        <f t="shared" si="6"/>
        <v>BTR-Regions</v>
      </c>
      <c r="I195" s="69" t="str">
        <f t="shared" si="7"/>
        <v>The Forge</v>
      </c>
      <c r="J195" s="363" t="s">
        <v>211</v>
      </c>
      <c r="L195" s="364" t="s">
        <v>103</v>
      </c>
      <c r="M195" s="364" t="s">
        <v>79</v>
      </c>
      <c r="N195" s="365" t="s">
        <v>408</v>
      </c>
      <c r="O195" s="365">
        <v>678</v>
      </c>
      <c r="P195" s="364" t="s">
        <v>90</v>
      </c>
      <c r="Q195" s="364">
        <v>2</v>
      </c>
      <c r="R195" s="364" t="s">
        <v>213</v>
      </c>
      <c r="S195" s="364" t="s">
        <v>341</v>
      </c>
      <c r="T195" s="364" t="s">
        <v>74</v>
      </c>
      <c r="U195" s="364" t="s">
        <v>113</v>
      </c>
      <c r="V195" s="364" t="s">
        <v>215</v>
      </c>
      <c r="W195" s="364" t="s">
        <v>237</v>
      </c>
      <c r="X195" s="364" t="s">
        <v>113</v>
      </c>
      <c r="Y195" s="364" t="s">
        <v>74</v>
      </c>
    </row>
    <row r="196" spans="3:25" ht="13.5" customHeight="1" x14ac:dyDescent="0.2">
      <c r="C196" s="82"/>
      <c r="D196" s="292" t="s">
        <v>74</v>
      </c>
      <c r="E196" s="138"/>
      <c r="F196" s="138"/>
      <c r="H196" s="69" t="str">
        <f t="shared" si="6"/>
        <v>BTR-Regions</v>
      </c>
      <c r="I196" s="69" t="str">
        <f t="shared" si="7"/>
        <v>The Forge</v>
      </c>
      <c r="J196" s="363" t="s">
        <v>211</v>
      </c>
      <c r="L196" s="364" t="s">
        <v>103</v>
      </c>
      <c r="M196" s="364" t="s">
        <v>79</v>
      </c>
      <c r="N196" s="365" t="s">
        <v>409</v>
      </c>
      <c r="O196" s="365">
        <v>743</v>
      </c>
      <c r="P196" s="364" t="s">
        <v>90</v>
      </c>
      <c r="Q196" s="364">
        <v>2</v>
      </c>
      <c r="R196" s="364" t="s">
        <v>213</v>
      </c>
      <c r="S196" s="364" t="s">
        <v>214</v>
      </c>
      <c r="T196" s="364" t="s">
        <v>74</v>
      </c>
      <c r="U196" s="364" t="s">
        <v>113</v>
      </c>
      <c r="V196" s="364" t="s">
        <v>218</v>
      </c>
      <c r="W196" s="364" t="s">
        <v>113</v>
      </c>
      <c r="X196" s="364" t="s">
        <v>113</v>
      </c>
      <c r="Y196" s="364" t="s">
        <v>74</v>
      </c>
    </row>
    <row r="197" spans="3:25" ht="13.5" customHeight="1" x14ac:dyDescent="0.2">
      <c r="C197" s="82"/>
      <c r="D197" s="292" t="s">
        <v>74</v>
      </c>
      <c r="E197" s="138"/>
      <c r="F197" s="138"/>
      <c r="H197" s="69" t="str">
        <f t="shared" si="6"/>
        <v>BTR-Regions</v>
      </c>
      <c r="I197" s="69" t="str">
        <f t="shared" si="7"/>
        <v>The Forge</v>
      </c>
      <c r="J197" s="363" t="s">
        <v>211</v>
      </c>
      <c r="L197" s="364" t="s">
        <v>103</v>
      </c>
      <c r="M197" s="364" t="s">
        <v>79</v>
      </c>
      <c r="N197" s="365" t="s">
        <v>410</v>
      </c>
      <c r="O197" s="365">
        <v>710</v>
      </c>
      <c r="P197" s="364" t="s">
        <v>90</v>
      </c>
      <c r="Q197" s="364">
        <v>2</v>
      </c>
      <c r="R197" s="364" t="s">
        <v>213</v>
      </c>
      <c r="S197" s="364" t="s">
        <v>214</v>
      </c>
      <c r="T197" s="364" t="s">
        <v>74</v>
      </c>
      <c r="U197" s="364" t="s">
        <v>113</v>
      </c>
      <c r="V197" s="364" t="s">
        <v>215</v>
      </c>
      <c r="W197" s="364" t="s">
        <v>113</v>
      </c>
      <c r="X197" s="364" t="s">
        <v>113</v>
      </c>
      <c r="Y197" s="364" t="s">
        <v>74</v>
      </c>
    </row>
    <row r="198" spans="3:25" ht="13.5" customHeight="1" x14ac:dyDescent="0.2">
      <c r="C198" s="82"/>
      <c r="D198" s="292" t="s">
        <v>74</v>
      </c>
      <c r="E198" s="138"/>
      <c r="F198" s="138"/>
      <c r="H198" s="69" t="str">
        <f t="shared" si="6"/>
        <v>BTR-Regions</v>
      </c>
      <c r="I198" s="69" t="str">
        <f t="shared" si="7"/>
        <v>The Forge</v>
      </c>
      <c r="J198" s="363" t="s">
        <v>211</v>
      </c>
      <c r="L198" s="364" t="s">
        <v>103</v>
      </c>
      <c r="M198" s="364" t="s">
        <v>79</v>
      </c>
      <c r="N198" s="365" t="s">
        <v>411</v>
      </c>
      <c r="O198" s="365">
        <v>667</v>
      </c>
      <c r="P198" s="364" t="s">
        <v>90</v>
      </c>
      <c r="Q198" s="364">
        <v>2</v>
      </c>
      <c r="R198" s="364" t="s">
        <v>213</v>
      </c>
      <c r="S198" s="364" t="s">
        <v>214</v>
      </c>
      <c r="T198" s="364" t="s">
        <v>74</v>
      </c>
      <c r="U198" s="364" t="s">
        <v>113</v>
      </c>
      <c r="V198" s="364" t="s">
        <v>215</v>
      </c>
      <c r="W198" s="364" t="s">
        <v>113</v>
      </c>
      <c r="X198" s="364" t="s">
        <v>113</v>
      </c>
      <c r="Y198" s="364" t="s">
        <v>74</v>
      </c>
    </row>
    <row r="199" spans="3:25" ht="13.5" customHeight="1" x14ac:dyDescent="0.2">
      <c r="C199" s="82"/>
      <c r="D199" s="292" t="s">
        <v>74</v>
      </c>
      <c r="E199" s="138"/>
      <c r="F199" s="138"/>
      <c r="H199" s="69" t="str">
        <f t="shared" si="6"/>
        <v>BTR-Regions</v>
      </c>
      <c r="I199" s="69" t="str">
        <f t="shared" si="7"/>
        <v>The Forge</v>
      </c>
      <c r="J199" s="363" t="s">
        <v>211</v>
      </c>
      <c r="L199" s="364" t="s">
        <v>103</v>
      </c>
      <c r="M199" s="364" t="s">
        <v>79</v>
      </c>
      <c r="N199" s="365" t="s">
        <v>412</v>
      </c>
      <c r="O199" s="365">
        <v>463</v>
      </c>
      <c r="P199" s="364" t="s">
        <v>89</v>
      </c>
      <c r="Q199" s="364">
        <v>1</v>
      </c>
      <c r="R199" s="364" t="s">
        <v>213</v>
      </c>
      <c r="S199" s="364" t="s">
        <v>341</v>
      </c>
      <c r="T199" s="364" t="s">
        <v>74</v>
      </c>
      <c r="U199" s="364" t="s">
        <v>113</v>
      </c>
      <c r="V199" s="364" t="s">
        <v>215</v>
      </c>
      <c r="W199" s="364" t="s">
        <v>237</v>
      </c>
      <c r="X199" s="364" t="s">
        <v>113</v>
      </c>
      <c r="Y199" s="364" t="s">
        <v>74</v>
      </c>
    </row>
    <row r="200" spans="3:25" ht="13.5" customHeight="1" x14ac:dyDescent="0.2">
      <c r="C200" s="82"/>
      <c r="D200" s="292" t="s">
        <v>74</v>
      </c>
      <c r="E200" s="138"/>
      <c r="F200" s="138"/>
      <c r="H200" s="69" t="str">
        <f t="shared" si="6"/>
        <v>BTR-Regions</v>
      </c>
      <c r="I200" s="69" t="str">
        <f t="shared" si="7"/>
        <v>The Forge</v>
      </c>
      <c r="J200" s="363" t="s">
        <v>211</v>
      </c>
      <c r="L200" s="364" t="s">
        <v>103</v>
      </c>
      <c r="M200" s="364" t="s">
        <v>79</v>
      </c>
      <c r="N200" s="365" t="s">
        <v>413</v>
      </c>
      <c r="O200" s="365">
        <v>797</v>
      </c>
      <c r="P200" s="364" t="s">
        <v>91</v>
      </c>
      <c r="Q200" s="364">
        <v>2</v>
      </c>
      <c r="R200" s="364" t="s">
        <v>213</v>
      </c>
      <c r="S200" s="364" t="s">
        <v>341</v>
      </c>
      <c r="T200" s="364" t="s">
        <v>74</v>
      </c>
      <c r="U200" s="364" t="s">
        <v>113</v>
      </c>
      <c r="V200" s="364" t="s">
        <v>218</v>
      </c>
      <c r="W200" s="364" t="s">
        <v>237</v>
      </c>
      <c r="X200" s="364" t="s">
        <v>113</v>
      </c>
      <c r="Y200" s="364" t="s">
        <v>74</v>
      </c>
    </row>
    <row r="201" spans="3:25" ht="13.5" customHeight="1" x14ac:dyDescent="0.2">
      <c r="C201" s="82"/>
      <c r="D201" s="292" t="s">
        <v>74</v>
      </c>
      <c r="E201" s="138"/>
      <c r="F201" s="138"/>
      <c r="H201" s="69" t="str">
        <f t="shared" si="6"/>
        <v>BTR-Regions</v>
      </c>
      <c r="I201" s="69" t="str">
        <f t="shared" si="7"/>
        <v>The Forge</v>
      </c>
      <c r="J201" s="363" t="s">
        <v>211</v>
      </c>
      <c r="L201" s="364" t="s">
        <v>103</v>
      </c>
      <c r="M201" s="364" t="s">
        <v>79</v>
      </c>
      <c r="N201" s="365" t="s">
        <v>414</v>
      </c>
      <c r="O201" s="365">
        <v>635</v>
      </c>
      <c r="P201" s="364" t="s">
        <v>90</v>
      </c>
      <c r="Q201" s="364">
        <v>2</v>
      </c>
      <c r="R201" s="364" t="s">
        <v>213</v>
      </c>
      <c r="S201" s="364" t="s">
        <v>341</v>
      </c>
      <c r="T201" s="364" t="s">
        <v>74</v>
      </c>
      <c r="U201" s="364" t="s">
        <v>113</v>
      </c>
      <c r="V201" s="364" t="s">
        <v>218</v>
      </c>
      <c r="W201" s="364" t="s">
        <v>113</v>
      </c>
      <c r="X201" s="364" t="s">
        <v>113</v>
      </c>
      <c r="Y201" s="364" t="s">
        <v>74</v>
      </c>
    </row>
    <row r="202" spans="3:25" ht="13.5" customHeight="1" x14ac:dyDescent="0.2">
      <c r="C202" s="82"/>
      <c r="D202" s="292" t="s">
        <v>74</v>
      </c>
      <c r="E202" s="138"/>
      <c r="F202" s="138"/>
      <c r="H202" s="69" t="str">
        <f t="shared" si="6"/>
        <v>BTR-Regions</v>
      </c>
      <c r="I202" s="69" t="str">
        <f t="shared" si="7"/>
        <v>The Forge</v>
      </c>
      <c r="J202" s="363" t="s">
        <v>211</v>
      </c>
      <c r="L202" s="364" t="s">
        <v>103</v>
      </c>
      <c r="M202" s="364" t="s">
        <v>79</v>
      </c>
      <c r="N202" s="365" t="s">
        <v>415</v>
      </c>
      <c r="O202" s="365">
        <v>689</v>
      </c>
      <c r="P202" s="364" t="s">
        <v>90</v>
      </c>
      <c r="Q202" s="364">
        <v>2</v>
      </c>
      <c r="R202" s="364">
        <v>1</v>
      </c>
      <c r="S202" s="364" t="s">
        <v>220</v>
      </c>
      <c r="T202" s="364" t="s">
        <v>74</v>
      </c>
      <c r="U202" s="364" t="s">
        <v>113</v>
      </c>
      <c r="V202" s="364" t="s">
        <v>218</v>
      </c>
      <c r="W202" s="364" t="s">
        <v>113</v>
      </c>
      <c r="X202" s="364" t="s">
        <v>113</v>
      </c>
      <c r="Y202" s="364" t="s">
        <v>74</v>
      </c>
    </row>
    <row r="203" spans="3:25" ht="13.5" customHeight="1" x14ac:dyDescent="0.2">
      <c r="C203" s="82"/>
      <c r="D203" s="292" t="s">
        <v>74</v>
      </c>
      <c r="E203" s="138"/>
      <c r="F203" s="138"/>
      <c r="H203" s="69" t="str">
        <f t="shared" si="6"/>
        <v>BTR-Regions</v>
      </c>
      <c r="I203" s="69" t="str">
        <f t="shared" si="7"/>
        <v>The Forge</v>
      </c>
      <c r="J203" s="363" t="s">
        <v>211</v>
      </c>
      <c r="L203" s="364" t="s">
        <v>103</v>
      </c>
      <c r="M203" s="364" t="s">
        <v>79</v>
      </c>
      <c r="N203" s="365" t="s">
        <v>416</v>
      </c>
      <c r="O203" s="365">
        <v>495</v>
      </c>
      <c r="P203" s="364" t="s">
        <v>89</v>
      </c>
      <c r="Q203" s="364">
        <v>1</v>
      </c>
      <c r="R203" s="364">
        <v>1</v>
      </c>
      <c r="S203" s="364" t="s">
        <v>214</v>
      </c>
      <c r="T203" s="364" t="s">
        <v>74</v>
      </c>
      <c r="U203" s="364" t="s">
        <v>113</v>
      </c>
      <c r="V203" s="364" t="s">
        <v>218</v>
      </c>
      <c r="W203" s="364" t="s">
        <v>113</v>
      </c>
      <c r="X203" s="364" t="s">
        <v>113</v>
      </c>
      <c r="Y203" s="364" t="s">
        <v>74</v>
      </c>
    </row>
    <row r="204" spans="3:25" ht="13.5" customHeight="1" x14ac:dyDescent="0.2">
      <c r="C204" s="82"/>
      <c r="D204" s="292" t="s">
        <v>74</v>
      </c>
      <c r="E204" s="138"/>
      <c r="F204" s="138"/>
      <c r="H204" s="69" t="str">
        <f t="shared" si="6"/>
        <v>BTR-Regions</v>
      </c>
      <c r="I204" s="69" t="str">
        <f t="shared" si="7"/>
        <v>The Forge</v>
      </c>
      <c r="J204" s="363" t="s">
        <v>211</v>
      </c>
      <c r="L204" s="364" t="s">
        <v>103</v>
      </c>
      <c r="M204" s="364" t="s">
        <v>79</v>
      </c>
      <c r="N204" s="365" t="s">
        <v>417</v>
      </c>
      <c r="O204" s="365">
        <v>657</v>
      </c>
      <c r="P204" s="364" t="s">
        <v>90</v>
      </c>
      <c r="Q204" s="364">
        <v>2</v>
      </c>
      <c r="R204" s="364">
        <v>1</v>
      </c>
      <c r="S204" s="364" t="s">
        <v>214</v>
      </c>
      <c r="T204" s="364" t="s">
        <v>74</v>
      </c>
      <c r="U204" s="364" t="s">
        <v>113</v>
      </c>
      <c r="V204" s="364" t="s">
        <v>218</v>
      </c>
      <c r="W204" s="364" t="s">
        <v>113</v>
      </c>
      <c r="X204" s="364" t="s">
        <v>113</v>
      </c>
      <c r="Y204" s="364" t="s">
        <v>74</v>
      </c>
    </row>
    <row r="205" spans="3:25" ht="13.5" customHeight="1" x14ac:dyDescent="0.2">
      <c r="C205" s="82"/>
      <c r="D205" s="292" t="s">
        <v>74</v>
      </c>
      <c r="E205" s="138"/>
      <c r="F205" s="138"/>
      <c r="H205" s="69" t="str">
        <f t="shared" si="6"/>
        <v>BTR-Regions</v>
      </c>
      <c r="I205" s="69" t="str">
        <f t="shared" si="7"/>
        <v>The Forge</v>
      </c>
      <c r="J205" s="363" t="s">
        <v>211</v>
      </c>
      <c r="L205" s="364" t="s">
        <v>103</v>
      </c>
      <c r="M205" s="364" t="s">
        <v>79</v>
      </c>
      <c r="N205" s="365" t="s">
        <v>418</v>
      </c>
      <c r="O205" s="365">
        <v>657</v>
      </c>
      <c r="P205" s="364" t="s">
        <v>90</v>
      </c>
      <c r="Q205" s="364">
        <v>2</v>
      </c>
      <c r="R205" s="364">
        <v>1</v>
      </c>
      <c r="S205" s="364" t="s">
        <v>419</v>
      </c>
      <c r="T205" s="364" t="s">
        <v>74</v>
      </c>
      <c r="U205" s="364" t="s">
        <v>113</v>
      </c>
      <c r="V205" s="364" t="s">
        <v>218</v>
      </c>
      <c r="W205" s="364" t="s">
        <v>113</v>
      </c>
      <c r="X205" s="364" t="s">
        <v>113</v>
      </c>
      <c r="Y205" s="364" t="s">
        <v>74</v>
      </c>
    </row>
    <row r="206" spans="3:25" ht="13.5" customHeight="1" x14ac:dyDescent="0.2">
      <c r="C206" s="82"/>
      <c r="D206" s="292" t="s">
        <v>74</v>
      </c>
      <c r="E206" s="138"/>
      <c r="F206" s="138"/>
      <c r="H206" s="69" t="str">
        <f t="shared" si="6"/>
        <v>BTR-Regions</v>
      </c>
      <c r="I206" s="69" t="str">
        <f t="shared" si="7"/>
        <v>The Forge</v>
      </c>
      <c r="J206" s="363" t="s">
        <v>211</v>
      </c>
      <c r="L206" s="364" t="s">
        <v>103</v>
      </c>
      <c r="M206" s="364" t="s">
        <v>79</v>
      </c>
      <c r="N206" s="365" t="s">
        <v>420</v>
      </c>
      <c r="O206" s="365">
        <v>678</v>
      </c>
      <c r="P206" s="364" t="s">
        <v>90</v>
      </c>
      <c r="Q206" s="364">
        <v>2</v>
      </c>
      <c r="R206" s="364">
        <v>1</v>
      </c>
      <c r="S206" s="364" t="s">
        <v>419</v>
      </c>
      <c r="T206" s="364" t="s">
        <v>74</v>
      </c>
      <c r="U206" s="364" t="s">
        <v>113</v>
      </c>
      <c r="V206" s="364" t="s">
        <v>218</v>
      </c>
      <c r="W206" s="364" t="s">
        <v>113</v>
      </c>
      <c r="X206" s="364" t="s">
        <v>113</v>
      </c>
      <c r="Y206" s="364" t="s">
        <v>74</v>
      </c>
    </row>
    <row r="207" spans="3:25" ht="13.5" customHeight="1" x14ac:dyDescent="0.2">
      <c r="C207" s="82"/>
      <c r="D207" s="292" t="s">
        <v>74</v>
      </c>
      <c r="E207" s="138"/>
      <c r="F207" s="138"/>
      <c r="H207" s="69" t="str">
        <f t="shared" si="6"/>
        <v>BTR-Regions</v>
      </c>
      <c r="I207" s="69" t="str">
        <f t="shared" si="7"/>
        <v>The Forge</v>
      </c>
      <c r="J207" s="363" t="s">
        <v>211</v>
      </c>
      <c r="L207" s="364" t="s">
        <v>103</v>
      </c>
      <c r="M207" s="364" t="s">
        <v>79</v>
      </c>
      <c r="N207" s="365" t="s">
        <v>421</v>
      </c>
      <c r="O207" s="365">
        <v>506</v>
      </c>
      <c r="P207" s="364" t="s">
        <v>89</v>
      </c>
      <c r="Q207" s="364">
        <v>1</v>
      </c>
      <c r="R207" s="364">
        <v>1</v>
      </c>
      <c r="S207" s="364" t="s">
        <v>419</v>
      </c>
      <c r="T207" s="364" t="s">
        <v>74</v>
      </c>
      <c r="U207" s="364" t="s">
        <v>113</v>
      </c>
      <c r="V207" s="364" t="s">
        <v>218</v>
      </c>
      <c r="W207" s="364" t="s">
        <v>113</v>
      </c>
      <c r="X207" s="364" t="s">
        <v>113</v>
      </c>
      <c r="Y207" s="364" t="s">
        <v>74</v>
      </c>
    </row>
    <row r="208" spans="3:25" ht="13.5" customHeight="1" x14ac:dyDescent="0.2">
      <c r="C208" s="82"/>
      <c r="D208" s="292" t="s">
        <v>74</v>
      </c>
      <c r="E208" s="138"/>
      <c r="F208" s="138"/>
      <c r="H208" s="69" t="str">
        <f t="shared" si="6"/>
        <v>BTR-Regions</v>
      </c>
      <c r="I208" s="69" t="str">
        <f t="shared" si="7"/>
        <v>The Forge</v>
      </c>
      <c r="J208" s="363" t="s">
        <v>211</v>
      </c>
      <c r="L208" s="364" t="s">
        <v>103</v>
      </c>
      <c r="M208" s="364" t="s">
        <v>79</v>
      </c>
      <c r="N208" s="365" t="s">
        <v>422</v>
      </c>
      <c r="O208" s="365">
        <v>474</v>
      </c>
      <c r="P208" s="364" t="s">
        <v>89</v>
      </c>
      <c r="Q208" s="364">
        <v>1</v>
      </c>
      <c r="R208" s="364">
        <v>1</v>
      </c>
      <c r="S208" s="364" t="s">
        <v>220</v>
      </c>
      <c r="T208" s="364" t="s">
        <v>74</v>
      </c>
      <c r="U208" s="364" t="s">
        <v>113</v>
      </c>
      <c r="V208" s="364" t="s">
        <v>218</v>
      </c>
      <c r="W208" s="364" t="s">
        <v>113</v>
      </c>
      <c r="X208" s="364" t="s">
        <v>113</v>
      </c>
      <c r="Y208" s="364" t="s">
        <v>74</v>
      </c>
    </row>
    <row r="209" spans="3:25" ht="13.5" customHeight="1" x14ac:dyDescent="0.2">
      <c r="C209" s="82"/>
      <c r="D209" s="292" t="s">
        <v>74</v>
      </c>
      <c r="E209" s="138"/>
      <c r="F209" s="138"/>
      <c r="H209" s="69" t="str">
        <f t="shared" si="6"/>
        <v>BTR-Regions</v>
      </c>
      <c r="I209" s="69" t="str">
        <f t="shared" si="7"/>
        <v>The Forge</v>
      </c>
      <c r="J209" s="363" t="s">
        <v>211</v>
      </c>
      <c r="L209" s="364" t="s">
        <v>103</v>
      </c>
      <c r="M209" s="364" t="s">
        <v>79</v>
      </c>
      <c r="N209" s="365" t="s">
        <v>423</v>
      </c>
      <c r="O209" s="365">
        <v>775</v>
      </c>
      <c r="P209" s="364" t="s">
        <v>90</v>
      </c>
      <c r="Q209" s="364">
        <v>2</v>
      </c>
      <c r="R209" s="364">
        <v>1</v>
      </c>
      <c r="S209" s="364" t="s">
        <v>214</v>
      </c>
      <c r="T209" s="364" t="s">
        <v>74</v>
      </c>
      <c r="U209" s="364" t="s">
        <v>113</v>
      </c>
      <c r="V209" s="364" t="s">
        <v>218</v>
      </c>
      <c r="W209" s="364" t="s">
        <v>113</v>
      </c>
      <c r="X209" s="364" t="s">
        <v>113</v>
      </c>
      <c r="Y209" s="364" t="s">
        <v>74</v>
      </c>
    </row>
    <row r="210" spans="3:25" ht="13.5" customHeight="1" x14ac:dyDescent="0.2">
      <c r="C210" s="82"/>
      <c r="D210" s="292" t="s">
        <v>74</v>
      </c>
      <c r="E210" s="138"/>
      <c r="F210" s="138"/>
      <c r="H210" s="69" t="str">
        <f t="shared" si="6"/>
        <v>BTR-Regions</v>
      </c>
      <c r="I210" s="69" t="str">
        <f t="shared" si="7"/>
        <v>The Forge</v>
      </c>
      <c r="J210" s="363" t="s">
        <v>211</v>
      </c>
      <c r="L210" s="364" t="s">
        <v>103</v>
      </c>
      <c r="M210" s="364" t="s">
        <v>79</v>
      </c>
      <c r="N210" s="365" t="s">
        <v>424</v>
      </c>
      <c r="O210" s="365">
        <v>657</v>
      </c>
      <c r="P210" s="364" t="s">
        <v>90</v>
      </c>
      <c r="Q210" s="364">
        <v>2</v>
      </c>
      <c r="R210" s="364">
        <v>1</v>
      </c>
      <c r="S210" s="364" t="s">
        <v>214</v>
      </c>
      <c r="T210" s="364" t="s">
        <v>74</v>
      </c>
      <c r="U210" s="364" t="s">
        <v>113</v>
      </c>
      <c r="V210" s="364" t="s">
        <v>218</v>
      </c>
      <c r="W210" s="364" t="s">
        <v>113</v>
      </c>
      <c r="X210" s="364" t="s">
        <v>113</v>
      </c>
      <c r="Y210" s="364" t="s">
        <v>74</v>
      </c>
    </row>
    <row r="211" spans="3:25" ht="13.5" customHeight="1" x14ac:dyDescent="0.2">
      <c r="C211" s="82"/>
      <c r="D211" s="292" t="s">
        <v>74</v>
      </c>
      <c r="E211" s="138"/>
      <c r="F211" s="138"/>
      <c r="H211" s="69" t="str">
        <f t="shared" si="6"/>
        <v>BTR-Regions</v>
      </c>
      <c r="I211" s="69" t="str">
        <f t="shared" si="7"/>
        <v>The Forge</v>
      </c>
      <c r="J211" s="363" t="s">
        <v>211</v>
      </c>
      <c r="L211" s="364" t="s">
        <v>103</v>
      </c>
      <c r="M211" s="364" t="s">
        <v>79</v>
      </c>
      <c r="N211" s="365" t="s">
        <v>425</v>
      </c>
      <c r="O211" s="365">
        <v>689</v>
      </c>
      <c r="P211" s="364" t="s">
        <v>90</v>
      </c>
      <c r="Q211" s="364">
        <v>2</v>
      </c>
      <c r="R211" s="364">
        <v>1</v>
      </c>
      <c r="S211" s="364" t="s">
        <v>214</v>
      </c>
      <c r="T211" s="364" t="s">
        <v>74</v>
      </c>
      <c r="U211" s="364" t="s">
        <v>113</v>
      </c>
      <c r="V211" s="364" t="s">
        <v>218</v>
      </c>
      <c r="W211" s="364" t="s">
        <v>113</v>
      </c>
      <c r="X211" s="364" t="s">
        <v>113</v>
      </c>
      <c r="Y211" s="364" t="s">
        <v>74</v>
      </c>
    </row>
    <row r="212" spans="3:25" ht="13.5" customHeight="1" x14ac:dyDescent="0.2">
      <c r="C212" s="82"/>
      <c r="D212" s="292" t="s">
        <v>74</v>
      </c>
      <c r="E212" s="138"/>
      <c r="F212" s="138"/>
      <c r="H212" s="69" t="str">
        <f t="shared" si="6"/>
        <v>BTR-Regions</v>
      </c>
      <c r="I212" s="69" t="str">
        <f t="shared" si="7"/>
        <v>The Forge</v>
      </c>
      <c r="J212" s="363" t="s">
        <v>211</v>
      </c>
      <c r="L212" s="364" t="s">
        <v>103</v>
      </c>
      <c r="M212" s="364" t="s">
        <v>79</v>
      </c>
      <c r="N212" s="365" t="s">
        <v>426</v>
      </c>
      <c r="O212" s="365">
        <v>667</v>
      </c>
      <c r="P212" s="364" t="s">
        <v>90</v>
      </c>
      <c r="Q212" s="364">
        <v>2</v>
      </c>
      <c r="R212" s="364">
        <v>1</v>
      </c>
      <c r="S212" s="364" t="s">
        <v>214</v>
      </c>
      <c r="T212" s="364" t="s">
        <v>74</v>
      </c>
      <c r="U212" s="364" t="s">
        <v>113</v>
      </c>
      <c r="V212" s="364" t="s">
        <v>218</v>
      </c>
      <c r="W212" s="364" t="s">
        <v>113</v>
      </c>
      <c r="X212" s="364" t="s">
        <v>113</v>
      </c>
      <c r="Y212" s="364" t="s">
        <v>74</v>
      </c>
    </row>
    <row r="213" spans="3:25" ht="13.5" customHeight="1" x14ac:dyDescent="0.2">
      <c r="C213" s="82"/>
      <c r="D213" s="292" t="s">
        <v>74</v>
      </c>
      <c r="E213" s="138"/>
      <c r="F213" s="138"/>
      <c r="H213" s="69" t="str">
        <f t="shared" si="6"/>
        <v>BTR-Regions</v>
      </c>
      <c r="I213" s="69" t="str">
        <f t="shared" si="7"/>
        <v>The Forge</v>
      </c>
      <c r="J213" s="363" t="s">
        <v>211</v>
      </c>
      <c r="L213" s="364" t="s">
        <v>103</v>
      </c>
      <c r="M213" s="364" t="s">
        <v>79</v>
      </c>
      <c r="N213" s="365" t="s">
        <v>427</v>
      </c>
      <c r="O213" s="365">
        <v>527</v>
      </c>
      <c r="P213" s="364" t="s">
        <v>89</v>
      </c>
      <c r="Q213" s="364">
        <v>1</v>
      </c>
      <c r="R213" s="364">
        <v>1</v>
      </c>
      <c r="S213" s="364" t="s">
        <v>419</v>
      </c>
      <c r="T213" s="364" t="s">
        <v>74</v>
      </c>
      <c r="U213" s="364" t="s">
        <v>113</v>
      </c>
      <c r="V213" s="364" t="s">
        <v>218</v>
      </c>
      <c r="W213" s="364" t="s">
        <v>113</v>
      </c>
      <c r="X213" s="364" t="s">
        <v>113</v>
      </c>
      <c r="Y213" s="364" t="s">
        <v>74</v>
      </c>
    </row>
    <row r="214" spans="3:25" ht="13.5" customHeight="1" x14ac:dyDescent="0.2">
      <c r="C214" s="82"/>
      <c r="D214" s="292" t="s">
        <v>74</v>
      </c>
      <c r="E214" s="138"/>
      <c r="F214" s="138"/>
      <c r="H214" s="69" t="str">
        <f t="shared" ref="H214:H277" si="8">$I$9</f>
        <v>BTR-Regions</v>
      </c>
      <c r="I214" s="69" t="str">
        <f t="shared" ref="I214:I277" si="9">$I$10</f>
        <v>The Forge</v>
      </c>
      <c r="J214" s="363" t="s">
        <v>211</v>
      </c>
      <c r="L214" s="364" t="s">
        <v>103</v>
      </c>
      <c r="M214" s="364" t="s">
        <v>79</v>
      </c>
      <c r="N214" s="365" t="s">
        <v>428</v>
      </c>
      <c r="O214" s="365">
        <v>840</v>
      </c>
      <c r="P214" s="364" t="s">
        <v>91</v>
      </c>
      <c r="Q214" s="364">
        <v>2</v>
      </c>
      <c r="R214" s="364">
        <v>1</v>
      </c>
      <c r="S214" s="364" t="s">
        <v>419</v>
      </c>
      <c r="T214" s="364" t="s">
        <v>74</v>
      </c>
      <c r="U214" s="364" t="s">
        <v>113</v>
      </c>
      <c r="V214" s="364" t="s">
        <v>218</v>
      </c>
      <c r="W214" s="364" t="s">
        <v>113</v>
      </c>
      <c r="X214" s="364" t="s">
        <v>113</v>
      </c>
      <c r="Y214" s="364" t="s">
        <v>74</v>
      </c>
    </row>
    <row r="215" spans="3:25" ht="13.5" customHeight="1" x14ac:dyDescent="0.2">
      <c r="C215" s="82"/>
      <c r="D215" s="292" t="s">
        <v>74</v>
      </c>
      <c r="E215" s="138"/>
      <c r="F215" s="138"/>
      <c r="H215" s="69" t="str">
        <f t="shared" si="8"/>
        <v>BTR-Regions</v>
      </c>
      <c r="I215" s="69" t="str">
        <f t="shared" si="9"/>
        <v>The Forge</v>
      </c>
      <c r="J215" s="363" t="s">
        <v>211</v>
      </c>
      <c r="L215" s="364" t="s">
        <v>103</v>
      </c>
      <c r="M215" s="364" t="s">
        <v>79</v>
      </c>
      <c r="N215" s="365" t="s">
        <v>429</v>
      </c>
      <c r="O215" s="365">
        <v>614</v>
      </c>
      <c r="P215" s="364" t="s">
        <v>90</v>
      </c>
      <c r="Q215" s="364">
        <v>2</v>
      </c>
      <c r="R215" s="364">
        <v>1</v>
      </c>
      <c r="S215" s="364" t="s">
        <v>419</v>
      </c>
      <c r="T215" s="364" t="s">
        <v>74</v>
      </c>
      <c r="U215" s="364" t="s">
        <v>113</v>
      </c>
      <c r="V215" s="364" t="s">
        <v>218</v>
      </c>
      <c r="W215" s="364" t="s">
        <v>113</v>
      </c>
      <c r="X215" s="364" t="s">
        <v>113</v>
      </c>
      <c r="Y215" s="364" t="s">
        <v>74</v>
      </c>
    </row>
    <row r="216" spans="3:25" ht="13.5" customHeight="1" x14ac:dyDescent="0.2">
      <c r="C216" s="82"/>
      <c r="D216" s="292" t="s">
        <v>74</v>
      </c>
      <c r="E216" s="138"/>
      <c r="F216" s="138"/>
      <c r="H216" s="69" t="str">
        <f t="shared" si="8"/>
        <v>BTR-Regions</v>
      </c>
      <c r="I216" s="69" t="str">
        <f t="shared" si="9"/>
        <v>The Forge</v>
      </c>
      <c r="J216" s="363" t="s">
        <v>211</v>
      </c>
      <c r="L216" s="364" t="s">
        <v>103</v>
      </c>
      <c r="M216" s="364" t="s">
        <v>79</v>
      </c>
      <c r="N216" s="365" t="s">
        <v>430</v>
      </c>
      <c r="O216" s="365">
        <v>689</v>
      </c>
      <c r="P216" s="364" t="s">
        <v>90</v>
      </c>
      <c r="Q216" s="364">
        <v>2</v>
      </c>
      <c r="R216" s="364">
        <v>2</v>
      </c>
      <c r="S216" s="364" t="s">
        <v>220</v>
      </c>
      <c r="T216" s="364" t="s">
        <v>74</v>
      </c>
      <c r="U216" s="364" t="s">
        <v>113</v>
      </c>
      <c r="V216" s="364" t="s">
        <v>218</v>
      </c>
      <c r="W216" s="364" t="s">
        <v>113</v>
      </c>
      <c r="X216" s="364" t="s">
        <v>113</v>
      </c>
      <c r="Y216" s="364" t="s">
        <v>74</v>
      </c>
    </row>
    <row r="217" spans="3:25" ht="13.5" customHeight="1" x14ac:dyDescent="0.2">
      <c r="C217" s="82"/>
      <c r="D217" s="292" t="s">
        <v>74</v>
      </c>
      <c r="E217" s="138"/>
      <c r="F217" s="138"/>
      <c r="H217" s="69" t="str">
        <f t="shared" si="8"/>
        <v>BTR-Regions</v>
      </c>
      <c r="I217" s="69" t="str">
        <f t="shared" si="9"/>
        <v>The Forge</v>
      </c>
      <c r="J217" s="363" t="s">
        <v>211</v>
      </c>
      <c r="L217" s="364" t="s">
        <v>103</v>
      </c>
      <c r="M217" s="364" t="s">
        <v>79</v>
      </c>
      <c r="N217" s="365" t="s">
        <v>431</v>
      </c>
      <c r="O217" s="365">
        <v>495</v>
      </c>
      <c r="P217" s="364" t="s">
        <v>89</v>
      </c>
      <c r="Q217" s="364">
        <v>1</v>
      </c>
      <c r="R217" s="364">
        <v>2</v>
      </c>
      <c r="S217" s="364" t="s">
        <v>214</v>
      </c>
      <c r="T217" s="364" t="s">
        <v>74</v>
      </c>
      <c r="U217" s="364" t="s">
        <v>113</v>
      </c>
      <c r="V217" s="364" t="s">
        <v>218</v>
      </c>
      <c r="W217" s="364" t="s">
        <v>113</v>
      </c>
      <c r="X217" s="364" t="s">
        <v>113</v>
      </c>
      <c r="Y217" s="364" t="s">
        <v>74</v>
      </c>
    </row>
    <row r="218" spans="3:25" ht="13.5" customHeight="1" x14ac:dyDescent="0.2">
      <c r="C218" s="82"/>
      <c r="D218" s="292" t="s">
        <v>74</v>
      </c>
      <c r="E218" s="138"/>
      <c r="F218" s="138"/>
      <c r="H218" s="69" t="str">
        <f t="shared" si="8"/>
        <v>BTR-Regions</v>
      </c>
      <c r="I218" s="69" t="str">
        <f t="shared" si="9"/>
        <v>The Forge</v>
      </c>
      <c r="J218" s="363" t="s">
        <v>211</v>
      </c>
      <c r="L218" s="364" t="s">
        <v>103</v>
      </c>
      <c r="M218" s="364" t="s">
        <v>79</v>
      </c>
      <c r="N218" s="365" t="s">
        <v>432</v>
      </c>
      <c r="O218" s="365">
        <v>657</v>
      </c>
      <c r="P218" s="364" t="s">
        <v>90</v>
      </c>
      <c r="Q218" s="364">
        <v>2</v>
      </c>
      <c r="R218" s="364">
        <v>2</v>
      </c>
      <c r="S218" s="364" t="s">
        <v>214</v>
      </c>
      <c r="T218" s="364" t="s">
        <v>74</v>
      </c>
      <c r="U218" s="364" t="s">
        <v>113</v>
      </c>
      <c r="V218" s="364" t="s">
        <v>218</v>
      </c>
      <c r="W218" s="364" t="s">
        <v>113</v>
      </c>
      <c r="X218" s="364" t="s">
        <v>113</v>
      </c>
      <c r="Y218" s="364" t="s">
        <v>74</v>
      </c>
    </row>
    <row r="219" spans="3:25" ht="13.5" customHeight="1" x14ac:dyDescent="0.2">
      <c r="C219" s="82"/>
      <c r="D219" s="292" t="s">
        <v>74</v>
      </c>
      <c r="E219" s="138"/>
      <c r="F219" s="138"/>
      <c r="H219" s="69" t="str">
        <f t="shared" si="8"/>
        <v>BTR-Regions</v>
      </c>
      <c r="I219" s="69" t="str">
        <f t="shared" si="9"/>
        <v>The Forge</v>
      </c>
      <c r="J219" s="363" t="s">
        <v>211</v>
      </c>
      <c r="L219" s="364" t="s">
        <v>103</v>
      </c>
      <c r="M219" s="364" t="s">
        <v>79</v>
      </c>
      <c r="N219" s="365" t="s">
        <v>433</v>
      </c>
      <c r="O219" s="365">
        <v>657</v>
      </c>
      <c r="P219" s="364" t="s">
        <v>90</v>
      </c>
      <c r="Q219" s="364">
        <v>2</v>
      </c>
      <c r="R219" s="364">
        <v>2</v>
      </c>
      <c r="S219" s="364" t="s">
        <v>419</v>
      </c>
      <c r="T219" s="364" t="s">
        <v>74</v>
      </c>
      <c r="U219" s="364" t="s">
        <v>113</v>
      </c>
      <c r="V219" s="364" t="s">
        <v>218</v>
      </c>
      <c r="W219" s="364" t="s">
        <v>113</v>
      </c>
      <c r="X219" s="364" t="s">
        <v>113</v>
      </c>
      <c r="Y219" s="364" t="s">
        <v>74</v>
      </c>
    </row>
    <row r="220" spans="3:25" ht="13.5" customHeight="1" x14ac:dyDescent="0.2">
      <c r="C220" s="82"/>
      <c r="D220" s="292" t="s">
        <v>74</v>
      </c>
      <c r="E220" s="138"/>
      <c r="F220" s="138"/>
      <c r="H220" s="69" t="str">
        <f t="shared" si="8"/>
        <v>BTR-Regions</v>
      </c>
      <c r="I220" s="69" t="str">
        <f t="shared" si="9"/>
        <v>The Forge</v>
      </c>
      <c r="J220" s="363" t="s">
        <v>211</v>
      </c>
      <c r="L220" s="364" t="s">
        <v>103</v>
      </c>
      <c r="M220" s="364" t="s">
        <v>79</v>
      </c>
      <c r="N220" s="365" t="s">
        <v>434</v>
      </c>
      <c r="O220" s="365">
        <v>678</v>
      </c>
      <c r="P220" s="364" t="s">
        <v>90</v>
      </c>
      <c r="Q220" s="364">
        <v>2</v>
      </c>
      <c r="R220" s="364">
        <v>2</v>
      </c>
      <c r="S220" s="364" t="s">
        <v>419</v>
      </c>
      <c r="T220" s="364" t="s">
        <v>74</v>
      </c>
      <c r="U220" s="364" t="s">
        <v>113</v>
      </c>
      <c r="V220" s="364" t="s">
        <v>218</v>
      </c>
      <c r="W220" s="364" t="s">
        <v>113</v>
      </c>
      <c r="X220" s="364" t="s">
        <v>113</v>
      </c>
      <c r="Y220" s="364" t="s">
        <v>74</v>
      </c>
    </row>
    <row r="221" spans="3:25" ht="13.5" customHeight="1" x14ac:dyDescent="0.2">
      <c r="C221" s="82"/>
      <c r="D221" s="292" t="s">
        <v>74</v>
      </c>
      <c r="E221" s="138"/>
      <c r="F221" s="138"/>
      <c r="H221" s="69" t="str">
        <f t="shared" si="8"/>
        <v>BTR-Regions</v>
      </c>
      <c r="I221" s="69" t="str">
        <f t="shared" si="9"/>
        <v>The Forge</v>
      </c>
      <c r="J221" s="363" t="s">
        <v>211</v>
      </c>
      <c r="L221" s="364" t="s">
        <v>103</v>
      </c>
      <c r="M221" s="364" t="s">
        <v>79</v>
      </c>
      <c r="N221" s="365" t="s">
        <v>435</v>
      </c>
      <c r="O221" s="365">
        <v>506</v>
      </c>
      <c r="P221" s="364" t="s">
        <v>89</v>
      </c>
      <c r="Q221" s="364">
        <v>1</v>
      </c>
      <c r="R221" s="364">
        <v>2</v>
      </c>
      <c r="S221" s="364" t="s">
        <v>419</v>
      </c>
      <c r="T221" s="364" t="s">
        <v>74</v>
      </c>
      <c r="U221" s="364" t="s">
        <v>113</v>
      </c>
      <c r="V221" s="364" t="s">
        <v>218</v>
      </c>
      <c r="W221" s="364" t="s">
        <v>113</v>
      </c>
      <c r="X221" s="364" t="s">
        <v>113</v>
      </c>
      <c r="Y221" s="364" t="s">
        <v>74</v>
      </c>
    </row>
    <row r="222" spans="3:25" ht="13.5" customHeight="1" x14ac:dyDescent="0.2">
      <c r="C222" s="82"/>
      <c r="D222" s="292" t="s">
        <v>74</v>
      </c>
      <c r="E222" s="138"/>
      <c r="F222" s="138"/>
      <c r="H222" s="69" t="str">
        <f t="shared" si="8"/>
        <v>BTR-Regions</v>
      </c>
      <c r="I222" s="69" t="str">
        <f t="shared" si="9"/>
        <v>The Forge</v>
      </c>
      <c r="J222" s="363" t="s">
        <v>211</v>
      </c>
      <c r="L222" s="364" t="s">
        <v>103</v>
      </c>
      <c r="M222" s="364" t="s">
        <v>79</v>
      </c>
      <c r="N222" s="365" t="s">
        <v>436</v>
      </c>
      <c r="O222" s="365">
        <v>474</v>
      </c>
      <c r="P222" s="364" t="s">
        <v>89</v>
      </c>
      <c r="Q222" s="364">
        <v>1</v>
      </c>
      <c r="R222" s="364">
        <v>2</v>
      </c>
      <c r="S222" s="364" t="s">
        <v>220</v>
      </c>
      <c r="T222" s="364" t="s">
        <v>74</v>
      </c>
      <c r="U222" s="364" t="s">
        <v>113</v>
      </c>
      <c r="V222" s="364" t="s">
        <v>218</v>
      </c>
      <c r="W222" s="364" t="s">
        <v>113</v>
      </c>
      <c r="X222" s="364" t="s">
        <v>113</v>
      </c>
      <c r="Y222" s="364" t="s">
        <v>74</v>
      </c>
    </row>
    <row r="223" spans="3:25" ht="13.5" customHeight="1" x14ac:dyDescent="0.2">
      <c r="C223" s="82"/>
      <c r="D223" s="292" t="s">
        <v>74</v>
      </c>
      <c r="E223" s="138"/>
      <c r="F223" s="138"/>
      <c r="H223" s="69" t="str">
        <f t="shared" si="8"/>
        <v>BTR-Regions</v>
      </c>
      <c r="I223" s="69" t="str">
        <f t="shared" si="9"/>
        <v>The Forge</v>
      </c>
      <c r="J223" s="363" t="s">
        <v>211</v>
      </c>
      <c r="L223" s="364" t="s">
        <v>103</v>
      </c>
      <c r="M223" s="364" t="s">
        <v>79</v>
      </c>
      <c r="N223" s="365" t="s">
        <v>437</v>
      </c>
      <c r="O223" s="365">
        <v>667</v>
      </c>
      <c r="P223" s="364" t="s">
        <v>90</v>
      </c>
      <c r="Q223" s="364">
        <v>2</v>
      </c>
      <c r="R223" s="364">
        <v>2</v>
      </c>
      <c r="S223" s="364" t="s">
        <v>214</v>
      </c>
      <c r="T223" s="364" t="s">
        <v>74</v>
      </c>
      <c r="U223" s="364" t="s">
        <v>113</v>
      </c>
      <c r="V223" s="364" t="s">
        <v>218</v>
      </c>
      <c r="W223" s="364" t="s">
        <v>113</v>
      </c>
      <c r="X223" s="364" t="s">
        <v>113</v>
      </c>
      <c r="Y223" s="364" t="s">
        <v>74</v>
      </c>
    </row>
    <row r="224" spans="3:25" ht="13.5" customHeight="1" x14ac:dyDescent="0.2">
      <c r="C224" s="82"/>
      <c r="D224" s="292" t="s">
        <v>74</v>
      </c>
      <c r="E224" s="138"/>
      <c r="F224" s="138"/>
      <c r="H224" s="69" t="str">
        <f t="shared" si="8"/>
        <v>BTR-Regions</v>
      </c>
      <c r="I224" s="69" t="str">
        <f t="shared" si="9"/>
        <v>The Forge</v>
      </c>
      <c r="J224" s="363" t="s">
        <v>211</v>
      </c>
      <c r="L224" s="364" t="s">
        <v>103</v>
      </c>
      <c r="M224" s="364" t="s">
        <v>79</v>
      </c>
      <c r="N224" s="365" t="s">
        <v>438</v>
      </c>
      <c r="O224" s="365">
        <v>657</v>
      </c>
      <c r="P224" s="364" t="s">
        <v>90</v>
      </c>
      <c r="Q224" s="364">
        <v>2</v>
      </c>
      <c r="R224" s="364">
        <v>2</v>
      </c>
      <c r="S224" s="364" t="s">
        <v>214</v>
      </c>
      <c r="T224" s="364" t="s">
        <v>74</v>
      </c>
      <c r="U224" s="364" t="s">
        <v>113</v>
      </c>
      <c r="V224" s="364" t="s">
        <v>218</v>
      </c>
      <c r="W224" s="364" t="s">
        <v>113</v>
      </c>
      <c r="X224" s="364" t="s">
        <v>113</v>
      </c>
      <c r="Y224" s="364" t="s">
        <v>74</v>
      </c>
    </row>
    <row r="225" spans="3:25" ht="13.5" customHeight="1" x14ac:dyDescent="0.2">
      <c r="C225" s="82"/>
      <c r="D225" s="292" t="s">
        <v>74</v>
      </c>
      <c r="E225" s="138"/>
      <c r="F225" s="138"/>
      <c r="H225" s="69" t="str">
        <f t="shared" si="8"/>
        <v>BTR-Regions</v>
      </c>
      <c r="I225" s="69" t="str">
        <f t="shared" si="9"/>
        <v>The Forge</v>
      </c>
      <c r="J225" s="363" t="s">
        <v>211</v>
      </c>
      <c r="L225" s="364" t="s">
        <v>103</v>
      </c>
      <c r="M225" s="364" t="s">
        <v>79</v>
      </c>
      <c r="N225" s="365" t="s">
        <v>439</v>
      </c>
      <c r="O225" s="365">
        <v>689</v>
      </c>
      <c r="P225" s="364" t="s">
        <v>90</v>
      </c>
      <c r="Q225" s="364">
        <v>2</v>
      </c>
      <c r="R225" s="364">
        <v>2</v>
      </c>
      <c r="S225" s="364" t="s">
        <v>214</v>
      </c>
      <c r="T225" s="364" t="s">
        <v>74</v>
      </c>
      <c r="U225" s="364" t="s">
        <v>113</v>
      </c>
      <c r="V225" s="364" t="s">
        <v>218</v>
      </c>
      <c r="W225" s="364" t="s">
        <v>113</v>
      </c>
      <c r="X225" s="364" t="s">
        <v>113</v>
      </c>
      <c r="Y225" s="364" t="s">
        <v>74</v>
      </c>
    </row>
    <row r="226" spans="3:25" ht="13.5" customHeight="1" x14ac:dyDescent="0.2">
      <c r="C226" s="82"/>
      <c r="D226" s="292" t="s">
        <v>74</v>
      </c>
      <c r="E226" s="138"/>
      <c r="F226" s="138"/>
      <c r="H226" s="69" t="str">
        <f t="shared" si="8"/>
        <v>BTR-Regions</v>
      </c>
      <c r="I226" s="69" t="str">
        <f t="shared" si="9"/>
        <v>The Forge</v>
      </c>
      <c r="J226" s="363" t="s">
        <v>211</v>
      </c>
      <c r="L226" s="364" t="s">
        <v>103</v>
      </c>
      <c r="M226" s="364" t="s">
        <v>79</v>
      </c>
      <c r="N226" s="365" t="s">
        <v>440</v>
      </c>
      <c r="O226" s="365">
        <v>667</v>
      </c>
      <c r="P226" s="364" t="s">
        <v>90</v>
      </c>
      <c r="Q226" s="364">
        <v>2</v>
      </c>
      <c r="R226" s="364">
        <v>2</v>
      </c>
      <c r="S226" s="364" t="s">
        <v>214</v>
      </c>
      <c r="T226" s="364" t="s">
        <v>74</v>
      </c>
      <c r="U226" s="364" t="s">
        <v>113</v>
      </c>
      <c r="V226" s="364" t="s">
        <v>218</v>
      </c>
      <c r="W226" s="364" t="s">
        <v>113</v>
      </c>
      <c r="X226" s="364" t="s">
        <v>113</v>
      </c>
      <c r="Y226" s="364" t="s">
        <v>74</v>
      </c>
    </row>
    <row r="227" spans="3:25" ht="13.5" customHeight="1" x14ac:dyDescent="0.2">
      <c r="C227" s="82"/>
      <c r="D227" s="292" t="s">
        <v>74</v>
      </c>
      <c r="E227" s="138"/>
      <c r="F227" s="138"/>
      <c r="H227" s="69" t="str">
        <f t="shared" si="8"/>
        <v>BTR-Regions</v>
      </c>
      <c r="I227" s="69" t="str">
        <f t="shared" si="9"/>
        <v>The Forge</v>
      </c>
      <c r="J227" s="363" t="s">
        <v>211</v>
      </c>
      <c r="L227" s="364" t="s">
        <v>103</v>
      </c>
      <c r="M227" s="364" t="s">
        <v>79</v>
      </c>
      <c r="N227" s="365" t="s">
        <v>441</v>
      </c>
      <c r="O227" s="365">
        <v>527</v>
      </c>
      <c r="P227" s="364" t="s">
        <v>89</v>
      </c>
      <c r="Q227" s="364">
        <v>1</v>
      </c>
      <c r="R227" s="364">
        <v>2</v>
      </c>
      <c r="S227" s="364" t="s">
        <v>419</v>
      </c>
      <c r="T227" s="364" t="s">
        <v>74</v>
      </c>
      <c r="U227" s="364" t="s">
        <v>113</v>
      </c>
      <c r="V227" s="364" t="s">
        <v>218</v>
      </c>
      <c r="W227" s="364" t="s">
        <v>113</v>
      </c>
      <c r="X227" s="364" t="s">
        <v>113</v>
      </c>
      <c r="Y227" s="364" t="s">
        <v>74</v>
      </c>
    </row>
    <row r="228" spans="3:25" ht="13.5" customHeight="1" x14ac:dyDescent="0.2">
      <c r="C228" s="82"/>
      <c r="D228" s="292" t="s">
        <v>74</v>
      </c>
      <c r="E228" s="138"/>
      <c r="F228" s="138"/>
      <c r="H228" s="69" t="str">
        <f t="shared" si="8"/>
        <v>BTR-Regions</v>
      </c>
      <c r="I228" s="69" t="str">
        <f t="shared" si="9"/>
        <v>The Forge</v>
      </c>
      <c r="J228" s="363" t="s">
        <v>211</v>
      </c>
      <c r="L228" s="364" t="s">
        <v>103</v>
      </c>
      <c r="M228" s="364" t="s">
        <v>79</v>
      </c>
      <c r="N228" s="365" t="s">
        <v>442</v>
      </c>
      <c r="O228" s="365">
        <v>840</v>
      </c>
      <c r="P228" s="364" t="s">
        <v>91</v>
      </c>
      <c r="Q228" s="364">
        <v>2</v>
      </c>
      <c r="R228" s="364">
        <v>2</v>
      </c>
      <c r="S228" s="364" t="s">
        <v>419</v>
      </c>
      <c r="T228" s="364" t="s">
        <v>74</v>
      </c>
      <c r="U228" s="364" t="s">
        <v>113</v>
      </c>
      <c r="V228" s="364" t="s">
        <v>218</v>
      </c>
      <c r="W228" s="364" t="s">
        <v>113</v>
      </c>
      <c r="X228" s="364" t="s">
        <v>113</v>
      </c>
      <c r="Y228" s="364" t="s">
        <v>74</v>
      </c>
    </row>
    <row r="229" spans="3:25" ht="13.5" customHeight="1" x14ac:dyDescent="0.2">
      <c r="C229" s="82"/>
      <c r="D229" s="292" t="s">
        <v>74</v>
      </c>
      <c r="E229" s="138"/>
      <c r="F229" s="138"/>
      <c r="H229" s="69" t="str">
        <f t="shared" si="8"/>
        <v>BTR-Regions</v>
      </c>
      <c r="I229" s="69" t="str">
        <f t="shared" si="9"/>
        <v>The Forge</v>
      </c>
      <c r="J229" s="363" t="s">
        <v>211</v>
      </c>
      <c r="L229" s="364" t="s">
        <v>103</v>
      </c>
      <c r="M229" s="364" t="s">
        <v>79</v>
      </c>
      <c r="N229" s="365" t="s">
        <v>443</v>
      </c>
      <c r="O229" s="365">
        <v>624</v>
      </c>
      <c r="P229" s="364" t="s">
        <v>90</v>
      </c>
      <c r="Q229" s="364">
        <v>2</v>
      </c>
      <c r="R229" s="364">
        <v>2</v>
      </c>
      <c r="S229" s="364" t="s">
        <v>419</v>
      </c>
      <c r="T229" s="364" t="s">
        <v>74</v>
      </c>
      <c r="U229" s="364" t="s">
        <v>113</v>
      </c>
      <c r="V229" s="364" t="s">
        <v>218</v>
      </c>
      <c r="W229" s="364" t="s">
        <v>113</v>
      </c>
      <c r="X229" s="364" t="s">
        <v>113</v>
      </c>
      <c r="Y229" s="364" t="s">
        <v>74</v>
      </c>
    </row>
    <row r="230" spans="3:25" ht="13.5" customHeight="1" x14ac:dyDescent="0.2">
      <c r="C230" s="82"/>
      <c r="D230" s="292" t="s">
        <v>74</v>
      </c>
      <c r="E230" s="138"/>
      <c r="F230" s="138"/>
      <c r="H230" s="69" t="str">
        <f t="shared" si="8"/>
        <v>BTR-Regions</v>
      </c>
      <c r="I230" s="69" t="str">
        <f t="shared" si="9"/>
        <v>The Forge</v>
      </c>
      <c r="J230" s="363" t="s">
        <v>211</v>
      </c>
      <c r="L230" s="364" t="s">
        <v>103</v>
      </c>
      <c r="M230" s="364" t="s">
        <v>79</v>
      </c>
      <c r="N230" s="365" t="s">
        <v>444</v>
      </c>
      <c r="O230" s="365">
        <v>689</v>
      </c>
      <c r="P230" s="364" t="s">
        <v>90</v>
      </c>
      <c r="Q230" s="364">
        <v>2</v>
      </c>
      <c r="R230" s="364">
        <v>3</v>
      </c>
      <c r="S230" s="364" t="s">
        <v>220</v>
      </c>
      <c r="T230" s="364" t="s">
        <v>74</v>
      </c>
      <c r="U230" s="364" t="s">
        <v>113</v>
      </c>
      <c r="V230" s="364" t="s">
        <v>218</v>
      </c>
      <c r="W230" s="364" t="s">
        <v>113</v>
      </c>
      <c r="X230" s="364" t="s">
        <v>113</v>
      </c>
      <c r="Y230" s="364" t="s">
        <v>74</v>
      </c>
    </row>
    <row r="231" spans="3:25" ht="13.5" customHeight="1" x14ac:dyDescent="0.2">
      <c r="C231" s="82"/>
      <c r="D231" s="292" t="s">
        <v>74</v>
      </c>
      <c r="E231" s="138"/>
      <c r="F231" s="138"/>
      <c r="H231" s="69" t="str">
        <f t="shared" si="8"/>
        <v>BTR-Regions</v>
      </c>
      <c r="I231" s="69" t="str">
        <f t="shared" si="9"/>
        <v>The Forge</v>
      </c>
      <c r="J231" s="363" t="s">
        <v>211</v>
      </c>
      <c r="L231" s="364" t="s">
        <v>103</v>
      </c>
      <c r="M231" s="364" t="s">
        <v>79</v>
      </c>
      <c r="N231" s="365" t="s">
        <v>445</v>
      </c>
      <c r="O231" s="365">
        <v>495</v>
      </c>
      <c r="P231" s="364" t="s">
        <v>89</v>
      </c>
      <c r="Q231" s="364">
        <v>1</v>
      </c>
      <c r="R231" s="364">
        <v>3</v>
      </c>
      <c r="S231" s="364" t="s">
        <v>214</v>
      </c>
      <c r="T231" s="364" t="s">
        <v>74</v>
      </c>
      <c r="U231" s="364" t="s">
        <v>113</v>
      </c>
      <c r="V231" s="364" t="s">
        <v>218</v>
      </c>
      <c r="W231" s="364" t="s">
        <v>113</v>
      </c>
      <c r="X231" s="364" t="s">
        <v>113</v>
      </c>
      <c r="Y231" s="364" t="s">
        <v>74</v>
      </c>
    </row>
    <row r="232" spans="3:25" ht="13.5" customHeight="1" x14ac:dyDescent="0.2">
      <c r="C232" s="82"/>
      <c r="D232" s="292" t="s">
        <v>74</v>
      </c>
      <c r="E232" s="138"/>
      <c r="F232" s="138"/>
      <c r="H232" s="69" t="str">
        <f t="shared" si="8"/>
        <v>BTR-Regions</v>
      </c>
      <c r="I232" s="69" t="str">
        <f t="shared" si="9"/>
        <v>The Forge</v>
      </c>
      <c r="J232" s="363" t="s">
        <v>211</v>
      </c>
      <c r="L232" s="364" t="s">
        <v>103</v>
      </c>
      <c r="M232" s="364" t="s">
        <v>79</v>
      </c>
      <c r="N232" s="365" t="s">
        <v>446</v>
      </c>
      <c r="O232" s="365">
        <v>657</v>
      </c>
      <c r="P232" s="364" t="s">
        <v>90</v>
      </c>
      <c r="Q232" s="364">
        <v>2</v>
      </c>
      <c r="R232" s="364">
        <v>3</v>
      </c>
      <c r="S232" s="364" t="s">
        <v>214</v>
      </c>
      <c r="T232" s="364" t="s">
        <v>74</v>
      </c>
      <c r="U232" s="364" t="s">
        <v>113</v>
      </c>
      <c r="V232" s="364" t="s">
        <v>218</v>
      </c>
      <c r="W232" s="364" t="s">
        <v>113</v>
      </c>
      <c r="X232" s="364" t="s">
        <v>113</v>
      </c>
      <c r="Y232" s="364" t="s">
        <v>74</v>
      </c>
    </row>
    <row r="233" spans="3:25" ht="13.5" customHeight="1" x14ac:dyDescent="0.2">
      <c r="C233" s="82"/>
      <c r="D233" s="292" t="s">
        <v>74</v>
      </c>
      <c r="E233" s="138"/>
      <c r="F233" s="138"/>
      <c r="H233" s="69" t="str">
        <f t="shared" si="8"/>
        <v>BTR-Regions</v>
      </c>
      <c r="I233" s="69" t="str">
        <f t="shared" si="9"/>
        <v>The Forge</v>
      </c>
      <c r="J233" s="363" t="s">
        <v>211</v>
      </c>
      <c r="L233" s="364" t="s">
        <v>103</v>
      </c>
      <c r="M233" s="364" t="s">
        <v>79</v>
      </c>
      <c r="N233" s="365" t="s">
        <v>447</v>
      </c>
      <c r="O233" s="365">
        <v>657</v>
      </c>
      <c r="P233" s="364" t="s">
        <v>90</v>
      </c>
      <c r="Q233" s="364">
        <v>2</v>
      </c>
      <c r="R233" s="364">
        <v>3</v>
      </c>
      <c r="S233" s="364" t="s">
        <v>419</v>
      </c>
      <c r="T233" s="364" t="s">
        <v>74</v>
      </c>
      <c r="U233" s="364" t="s">
        <v>113</v>
      </c>
      <c r="V233" s="364" t="s">
        <v>218</v>
      </c>
      <c r="W233" s="364" t="s">
        <v>113</v>
      </c>
      <c r="X233" s="364" t="s">
        <v>113</v>
      </c>
      <c r="Y233" s="364" t="s">
        <v>74</v>
      </c>
    </row>
    <row r="234" spans="3:25" ht="13.5" customHeight="1" x14ac:dyDescent="0.2">
      <c r="C234" s="82"/>
      <c r="D234" s="292" t="s">
        <v>74</v>
      </c>
      <c r="E234" s="138"/>
      <c r="F234" s="138"/>
      <c r="H234" s="69" t="str">
        <f t="shared" si="8"/>
        <v>BTR-Regions</v>
      </c>
      <c r="I234" s="69" t="str">
        <f t="shared" si="9"/>
        <v>The Forge</v>
      </c>
      <c r="J234" s="363" t="s">
        <v>211</v>
      </c>
      <c r="L234" s="364" t="s">
        <v>103</v>
      </c>
      <c r="M234" s="364" t="s">
        <v>79</v>
      </c>
      <c r="N234" s="365" t="s">
        <v>448</v>
      </c>
      <c r="O234" s="365">
        <v>678</v>
      </c>
      <c r="P234" s="364" t="s">
        <v>90</v>
      </c>
      <c r="Q234" s="364">
        <v>2</v>
      </c>
      <c r="R234" s="364">
        <v>3</v>
      </c>
      <c r="S234" s="364" t="s">
        <v>419</v>
      </c>
      <c r="T234" s="364" t="s">
        <v>74</v>
      </c>
      <c r="U234" s="364" t="s">
        <v>113</v>
      </c>
      <c r="V234" s="364" t="s">
        <v>218</v>
      </c>
      <c r="W234" s="364" t="s">
        <v>113</v>
      </c>
      <c r="X234" s="364" t="s">
        <v>113</v>
      </c>
      <c r="Y234" s="364" t="s">
        <v>74</v>
      </c>
    </row>
    <row r="235" spans="3:25" ht="13.5" customHeight="1" x14ac:dyDescent="0.2">
      <c r="C235" s="82"/>
      <c r="D235" s="292" t="s">
        <v>74</v>
      </c>
      <c r="E235" s="138"/>
      <c r="F235" s="138"/>
      <c r="H235" s="69" t="str">
        <f t="shared" si="8"/>
        <v>BTR-Regions</v>
      </c>
      <c r="I235" s="69" t="str">
        <f t="shared" si="9"/>
        <v>The Forge</v>
      </c>
      <c r="J235" s="363" t="s">
        <v>211</v>
      </c>
      <c r="L235" s="364" t="s">
        <v>103</v>
      </c>
      <c r="M235" s="364" t="s">
        <v>79</v>
      </c>
      <c r="N235" s="365" t="s">
        <v>449</v>
      </c>
      <c r="O235" s="365">
        <v>506</v>
      </c>
      <c r="P235" s="364" t="s">
        <v>89</v>
      </c>
      <c r="Q235" s="364">
        <v>1</v>
      </c>
      <c r="R235" s="364">
        <v>3</v>
      </c>
      <c r="S235" s="364" t="s">
        <v>419</v>
      </c>
      <c r="T235" s="364" t="s">
        <v>74</v>
      </c>
      <c r="U235" s="364" t="s">
        <v>113</v>
      </c>
      <c r="V235" s="364" t="s">
        <v>218</v>
      </c>
      <c r="W235" s="364" t="s">
        <v>113</v>
      </c>
      <c r="X235" s="364" t="s">
        <v>113</v>
      </c>
      <c r="Y235" s="364" t="s">
        <v>74</v>
      </c>
    </row>
    <row r="236" spans="3:25" ht="13.5" customHeight="1" x14ac:dyDescent="0.2">
      <c r="C236" s="82"/>
      <c r="D236" s="292" t="s">
        <v>74</v>
      </c>
      <c r="E236" s="138"/>
      <c r="F236" s="138"/>
      <c r="H236" s="69" t="str">
        <f t="shared" si="8"/>
        <v>BTR-Regions</v>
      </c>
      <c r="I236" s="69" t="str">
        <f t="shared" si="9"/>
        <v>The Forge</v>
      </c>
      <c r="J236" s="363" t="s">
        <v>211</v>
      </c>
      <c r="L236" s="364" t="s">
        <v>103</v>
      </c>
      <c r="M236" s="364" t="s">
        <v>79</v>
      </c>
      <c r="N236" s="365" t="s">
        <v>450</v>
      </c>
      <c r="O236" s="365">
        <v>474</v>
      </c>
      <c r="P236" s="364" t="s">
        <v>89</v>
      </c>
      <c r="Q236" s="364">
        <v>1</v>
      </c>
      <c r="R236" s="364">
        <v>3</v>
      </c>
      <c r="S236" s="364" t="s">
        <v>220</v>
      </c>
      <c r="T236" s="364" t="s">
        <v>74</v>
      </c>
      <c r="U236" s="364" t="s">
        <v>113</v>
      </c>
      <c r="V236" s="364" t="s">
        <v>218</v>
      </c>
      <c r="W236" s="364" t="s">
        <v>113</v>
      </c>
      <c r="X236" s="364" t="s">
        <v>113</v>
      </c>
      <c r="Y236" s="364" t="s">
        <v>74</v>
      </c>
    </row>
    <row r="237" spans="3:25" ht="13.5" customHeight="1" x14ac:dyDescent="0.2">
      <c r="C237" s="82"/>
      <c r="D237" s="292" t="s">
        <v>74</v>
      </c>
      <c r="E237" s="138"/>
      <c r="F237" s="138"/>
      <c r="H237" s="69" t="str">
        <f t="shared" si="8"/>
        <v>BTR-Regions</v>
      </c>
      <c r="I237" s="69" t="str">
        <f t="shared" si="9"/>
        <v>The Forge</v>
      </c>
      <c r="J237" s="363" t="s">
        <v>211</v>
      </c>
      <c r="L237" s="364" t="s">
        <v>103</v>
      </c>
      <c r="M237" s="364" t="s">
        <v>79</v>
      </c>
      <c r="N237" s="365" t="s">
        <v>451</v>
      </c>
      <c r="O237" s="365">
        <v>667</v>
      </c>
      <c r="P237" s="364" t="s">
        <v>90</v>
      </c>
      <c r="Q237" s="364">
        <v>2</v>
      </c>
      <c r="R237" s="364">
        <v>3</v>
      </c>
      <c r="S237" s="364" t="s">
        <v>214</v>
      </c>
      <c r="T237" s="364" t="s">
        <v>74</v>
      </c>
      <c r="U237" s="364" t="s">
        <v>113</v>
      </c>
      <c r="V237" s="364" t="s">
        <v>218</v>
      </c>
      <c r="W237" s="364" t="s">
        <v>113</v>
      </c>
      <c r="X237" s="364" t="s">
        <v>113</v>
      </c>
      <c r="Y237" s="364" t="s">
        <v>74</v>
      </c>
    </row>
    <row r="238" spans="3:25" ht="13.5" customHeight="1" x14ac:dyDescent="0.2">
      <c r="C238" s="82"/>
      <c r="D238" s="292" t="s">
        <v>74</v>
      </c>
      <c r="E238" s="138"/>
      <c r="F238" s="138"/>
      <c r="H238" s="69" t="str">
        <f t="shared" si="8"/>
        <v>BTR-Regions</v>
      </c>
      <c r="I238" s="69" t="str">
        <f t="shared" si="9"/>
        <v>The Forge</v>
      </c>
      <c r="J238" s="363" t="s">
        <v>211</v>
      </c>
      <c r="L238" s="364" t="s">
        <v>103</v>
      </c>
      <c r="M238" s="364" t="s">
        <v>79</v>
      </c>
      <c r="N238" s="365" t="s">
        <v>452</v>
      </c>
      <c r="O238" s="365">
        <v>657</v>
      </c>
      <c r="P238" s="364" t="s">
        <v>90</v>
      </c>
      <c r="Q238" s="364">
        <v>2</v>
      </c>
      <c r="R238" s="364">
        <v>3</v>
      </c>
      <c r="S238" s="364" t="s">
        <v>214</v>
      </c>
      <c r="T238" s="364" t="s">
        <v>74</v>
      </c>
      <c r="U238" s="364" t="s">
        <v>113</v>
      </c>
      <c r="V238" s="364" t="s">
        <v>218</v>
      </c>
      <c r="W238" s="364" t="s">
        <v>113</v>
      </c>
      <c r="X238" s="364" t="s">
        <v>113</v>
      </c>
      <c r="Y238" s="364" t="s">
        <v>74</v>
      </c>
    </row>
    <row r="239" spans="3:25" ht="13.5" customHeight="1" x14ac:dyDescent="0.2">
      <c r="C239" s="82"/>
      <c r="D239" s="292" t="s">
        <v>74</v>
      </c>
      <c r="E239" s="138"/>
      <c r="F239" s="138"/>
      <c r="H239" s="69" t="str">
        <f t="shared" si="8"/>
        <v>BTR-Regions</v>
      </c>
      <c r="I239" s="69" t="str">
        <f t="shared" si="9"/>
        <v>The Forge</v>
      </c>
      <c r="J239" s="363" t="s">
        <v>211</v>
      </c>
      <c r="L239" s="364" t="s">
        <v>103</v>
      </c>
      <c r="M239" s="364" t="s">
        <v>79</v>
      </c>
      <c r="N239" s="365" t="s">
        <v>453</v>
      </c>
      <c r="O239" s="365">
        <v>689</v>
      </c>
      <c r="P239" s="364" t="s">
        <v>90</v>
      </c>
      <c r="Q239" s="364">
        <v>2</v>
      </c>
      <c r="R239" s="364">
        <v>3</v>
      </c>
      <c r="S239" s="364" t="s">
        <v>214</v>
      </c>
      <c r="T239" s="364" t="s">
        <v>74</v>
      </c>
      <c r="U239" s="364" t="s">
        <v>113</v>
      </c>
      <c r="V239" s="364" t="s">
        <v>218</v>
      </c>
      <c r="W239" s="364" t="s">
        <v>113</v>
      </c>
      <c r="X239" s="364" t="s">
        <v>113</v>
      </c>
      <c r="Y239" s="364" t="s">
        <v>74</v>
      </c>
    </row>
    <row r="240" spans="3:25" ht="13.5" customHeight="1" x14ac:dyDescent="0.2">
      <c r="C240" s="82"/>
      <c r="D240" s="292" t="s">
        <v>74</v>
      </c>
      <c r="E240" s="138"/>
      <c r="F240" s="138"/>
      <c r="H240" s="69" t="str">
        <f t="shared" si="8"/>
        <v>BTR-Regions</v>
      </c>
      <c r="I240" s="69" t="str">
        <f t="shared" si="9"/>
        <v>The Forge</v>
      </c>
      <c r="J240" s="363" t="s">
        <v>211</v>
      </c>
      <c r="L240" s="364" t="s">
        <v>103</v>
      </c>
      <c r="M240" s="364" t="s">
        <v>79</v>
      </c>
      <c r="N240" s="365" t="s">
        <v>454</v>
      </c>
      <c r="O240" s="365">
        <v>667</v>
      </c>
      <c r="P240" s="364" t="s">
        <v>90</v>
      </c>
      <c r="Q240" s="364">
        <v>2</v>
      </c>
      <c r="R240" s="364">
        <v>3</v>
      </c>
      <c r="S240" s="364" t="s">
        <v>214</v>
      </c>
      <c r="T240" s="364" t="s">
        <v>74</v>
      </c>
      <c r="U240" s="364" t="s">
        <v>113</v>
      </c>
      <c r="V240" s="364" t="s">
        <v>218</v>
      </c>
      <c r="W240" s="364" t="s">
        <v>113</v>
      </c>
      <c r="X240" s="364" t="s">
        <v>113</v>
      </c>
      <c r="Y240" s="364" t="s">
        <v>74</v>
      </c>
    </row>
    <row r="241" spans="3:25" ht="13.5" customHeight="1" x14ac:dyDescent="0.2">
      <c r="C241" s="82"/>
      <c r="D241" s="292" t="s">
        <v>74</v>
      </c>
      <c r="E241" s="138"/>
      <c r="F241" s="138"/>
      <c r="H241" s="69" t="str">
        <f t="shared" si="8"/>
        <v>BTR-Regions</v>
      </c>
      <c r="I241" s="69" t="str">
        <f t="shared" si="9"/>
        <v>The Forge</v>
      </c>
      <c r="J241" s="363" t="s">
        <v>211</v>
      </c>
      <c r="L241" s="364" t="s">
        <v>103</v>
      </c>
      <c r="M241" s="364" t="s">
        <v>79</v>
      </c>
      <c r="N241" s="365" t="s">
        <v>455</v>
      </c>
      <c r="O241" s="365">
        <v>527</v>
      </c>
      <c r="P241" s="364" t="s">
        <v>89</v>
      </c>
      <c r="Q241" s="364">
        <v>1</v>
      </c>
      <c r="R241" s="364">
        <v>3</v>
      </c>
      <c r="S241" s="364" t="s">
        <v>419</v>
      </c>
      <c r="T241" s="364" t="s">
        <v>74</v>
      </c>
      <c r="U241" s="364" t="s">
        <v>113</v>
      </c>
      <c r="V241" s="364" t="s">
        <v>218</v>
      </c>
      <c r="W241" s="364" t="s">
        <v>113</v>
      </c>
      <c r="X241" s="364" t="s">
        <v>113</v>
      </c>
      <c r="Y241" s="364" t="s">
        <v>74</v>
      </c>
    </row>
    <row r="242" spans="3:25" ht="13.5" customHeight="1" x14ac:dyDescent="0.2">
      <c r="C242" s="82"/>
      <c r="D242" s="292" t="s">
        <v>74</v>
      </c>
      <c r="E242" s="138"/>
      <c r="F242" s="138"/>
      <c r="H242" s="69" t="str">
        <f t="shared" si="8"/>
        <v>BTR-Regions</v>
      </c>
      <c r="I242" s="69" t="str">
        <f t="shared" si="9"/>
        <v>The Forge</v>
      </c>
      <c r="J242" s="363" t="s">
        <v>211</v>
      </c>
      <c r="L242" s="364" t="s">
        <v>103</v>
      </c>
      <c r="M242" s="364" t="s">
        <v>79</v>
      </c>
      <c r="N242" s="365" t="s">
        <v>456</v>
      </c>
      <c r="O242" s="365">
        <v>840</v>
      </c>
      <c r="P242" s="364" t="s">
        <v>91</v>
      </c>
      <c r="Q242" s="364">
        <v>2</v>
      </c>
      <c r="R242" s="364">
        <v>3</v>
      </c>
      <c r="S242" s="364" t="s">
        <v>419</v>
      </c>
      <c r="T242" s="364" t="s">
        <v>74</v>
      </c>
      <c r="U242" s="364" t="s">
        <v>113</v>
      </c>
      <c r="V242" s="364" t="s">
        <v>218</v>
      </c>
      <c r="W242" s="364" t="s">
        <v>113</v>
      </c>
      <c r="X242" s="364" t="s">
        <v>113</v>
      </c>
      <c r="Y242" s="364" t="s">
        <v>74</v>
      </c>
    </row>
    <row r="243" spans="3:25" ht="13.5" customHeight="1" x14ac:dyDescent="0.2">
      <c r="C243" s="82"/>
      <c r="D243" s="292" t="s">
        <v>74</v>
      </c>
      <c r="E243" s="138"/>
      <c r="F243" s="138"/>
      <c r="H243" s="69" t="str">
        <f t="shared" si="8"/>
        <v>BTR-Regions</v>
      </c>
      <c r="I243" s="69" t="str">
        <f t="shared" si="9"/>
        <v>The Forge</v>
      </c>
      <c r="J243" s="363" t="s">
        <v>211</v>
      </c>
      <c r="L243" s="364" t="s">
        <v>103</v>
      </c>
      <c r="M243" s="364" t="s">
        <v>79</v>
      </c>
      <c r="N243" s="365" t="s">
        <v>457</v>
      </c>
      <c r="O243" s="365">
        <v>624</v>
      </c>
      <c r="P243" s="364" t="s">
        <v>90</v>
      </c>
      <c r="Q243" s="364">
        <v>2</v>
      </c>
      <c r="R243" s="364">
        <v>3</v>
      </c>
      <c r="S243" s="364" t="s">
        <v>419</v>
      </c>
      <c r="T243" s="364" t="s">
        <v>74</v>
      </c>
      <c r="U243" s="364" t="s">
        <v>113</v>
      </c>
      <c r="V243" s="364" t="s">
        <v>218</v>
      </c>
      <c r="W243" s="364" t="s">
        <v>113</v>
      </c>
      <c r="X243" s="364" t="s">
        <v>113</v>
      </c>
      <c r="Y243" s="364" t="s">
        <v>74</v>
      </c>
    </row>
    <row r="244" spans="3:25" ht="13.5" customHeight="1" x14ac:dyDescent="0.2">
      <c r="C244" s="82"/>
      <c r="D244" s="292" t="s">
        <v>74</v>
      </c>
      <c r="E244" s="138"/>
      <c r="F244" s="138"/>
      <c r="H244" s="69" t="str">
        <f t="shared" si="8"/>
        <v>BTR-Regions</v>
      </c>
      <c r="I244" s="69" t="str">
        <f t="shared" si="9"/>
        <v>The Forge</v>
      </c>
      <c r="J244" s="363" t="s">
        <v>211</v>
      </c>
      <c r="L244" s="364" t="s">
        <v>103</v>
      </c>
      <c r="M244" s="364" t="s">
        <v>79</v>
      </c>
      <c r="N244" s="365" t="s">
        <v>458</v>
      </c>
      <c r="O244" s="365">
        <v>689</v>
      </c>
      <c r="P244" s="364" t="s">
        <v>90</v>
      </c>
      <c r="Q244" s="364">
        <v>2</v>
      </c>
      <c r="R244" s="364">
        <v>4</v>
      </c>
      <c r="S244" s="364" t="s">
        <v>220</v>
      </c>
      <c r="T244" s="364" t="s">
        <v>74</v>
      </c>
      <c r="U244" s="364" t="s">
        <v>113</v>
      </c>
      <c r="V244" s="364" t="s">
        <v>218</v>
      </c>
      <c r="W244" s="364" t="s">
        <v>113</v>
      </c>
      <c r="X244" s="364" t="s">
        <v>113</v>
      </c>
      <c r="Y244" s="364" t="s">
        <v>74</v>
      </c>
    </row>
    <row r="245" spans="3:25" ht="13.5" customHeight="1" x14ac:dyDescent="0.2">
      <c r="C245" s="82"/>
      <c r="D245" s="292" t="s">
        <v>74</v>
      </c>
      <c r="E245" s="138"/>
      <c r="F245" s="138"/>
      <c r="H245" s="69" t="str">
        <f t="shared" si="8"/>
        <v>BTR-Regions</v>
      </c>
      <c r="I245" s="69" t="str">
        <f t="shared" si="9"/>
        <v>The Forge</v>
      </c>
      <c r="J245" s="363" t="s">
        <v>211</v>
      </c>
      <c r="L245" s="364" t="s">
        <v>103</v>
      </c>
      <c r="M245" s="364" t="s">
        <v>79</v>
      </c>
      <c r="N245" s="365" t="s">
        <v>459</v>
      </c>
      <c r="O245" s="365">
        <v>495</v>
      </c>
      <c r="P245" s="364" t="s">
        <v>89</v>
      </c>
      <c r="Q245" s="364">
        <v>1</v>
      </c>
      <c r="R245" s="364">
        <v>4</v>
      </c>
      <c r="S245" s="364" t="s">
        <v>214</v>
      </c>
      <c r="T245" s="364" t="s">
        <v>74</v>
      </c>
      <c r="U245" s="364" t="s">
        <v>113</v>
      </c>
      <c r="V245" s="364" t="s">
        <v>218</v>
      </c>
      <c r="W245" s="364" t="s">
        <v>113</v>
      </c>
      <c r="X245" s="364" t="s">
        <v>113</v>
      </c>
      <c r="Y245" s="364" t="s">
        <v>74</v>
      </c>
    </row>
    <row r="246" spans="3:25" ht="13.5" customHeight="1" x14ac:dyDescent="0.2">
      <c r="C246" s="82"/>
      <c r="D246" s="292" t="s">
        <v>74</v>
      </c>
      <c r="E246" s="138"/>
      <c r="F246" s="138"/>
      <c r="H246" s="69" t="str">
        <f t="shared" si="8"/>
        <v>BTR-Regions</v>
      </c>
      <c r="I246" s="69" t="str">
        <f t="shared" si="9"/>
        <v>The Forge</v>
      </c>
      <c r="J246" s="363" t="s">
        <v>211</v>
      </c>
      <c r="L246" s="364" t="s">
        <v>103</v>
      </c>
      <c r="M246" s="364" t="s">
        <v>79</v>
      </c>
      <c r="N246" s="365" t="s">
        <v>460</v>
      </c>
      <c r="O246" s="365">
        <v>657</v>
      </c>
      <c r="P246" s="364" t="s">
        <v>90</v>
      </c>
      <c r="Q246" s="364">
        <v>2</v>
      </c>
      <c r="R246" s="364">
        <v>4</v>
      </c>
      <c r="S246" s="364" t="s">
        <v>214</v>
      </c>
      <c r="T246" s="364" t="s">
        <v>74</v>
      </c>
      <c r="U246" s="364" t="s">
        <v>113</v>
      </c>
      <c r="V246" s="364" t="s">
        <v>218</v>
      </c>
      <c r="W246" s="364" t="s">
        <v>113</v>
      </c>
      <c r="X246" s="364" t="s">
        <v>113</v>
      </c>
      <c r="Y246" s="364" t="s">
        <v>74</v>
      </c>
    </row>
    <row r="247" spans="3:25" ht="13.5" customHeight="1" x14ac:dyDescent="0.2">
      <c r="C247" s="82"/>
      <c r="D247" s="292" t="s">
        <v>74</v>
      </c>
      <c r="E247" s="138"/>
      <c r="F247" s="138"/>
      <c r="H247" s="69" t="str">
        <f t="shared" si="8"/>
        <v>BTR-Regions</v>
      </c>
      <c r="I247" s="69" t="str">
        <f t="shared" si="9"/>
        <v>The Forge</v>
      </c>
      <c r="J247" s="363" t="s">
        <v>211</v>
      </c>
      <c r="L247" s="364" t="s">
        <v>103</v>
      </c>
      <c r="M247" s="364" t="s">
        <v>79</v>
      </c>
      <c r="N247" s="365" t="s">
        <v>461</v>
      </c>
      <c r="O247" s="365">
        <v>657</v>
      </c>
      <c r="P247" s="364" t="s">
        <v>90</v>
      </c>
      <c r="Q247" s="364">
        <v>2</v>
      </c>
      <c r="R247" s="364">
        <v>4</v>
      </c>
      <c r="S247" s="364" t="s">
        <v>462</v>
      </c>
      <c r="T247" s="364" t="s">
        <v>74</v>
      </c>
      <c r="U247" s="364" t="s">
        <v>113</v>
      </c>
      <c r="V247" s="364" t="s">
        <v>218</v>
      </c>
      <c r="W247" s="364" t="s">
        <v>113</v>
      </c>
      <c r="X247" s="364" t="s">
        <v>113</v>
      </c>
      <c r="Y247" s="364" t="s">
        <v>74</v>
      </c>
    </row>
    <row r="248" spans="3:25" ht="13.5" customHeight="1" x14ac:dyDescent="0.2">
      <c r="C248" s="82"/>
      <c r="D248" s="292" t="s">
        <v>74</v>
      </c>
      <c r="E248" s="138"/>
      <c r="F248" s="138"/>
      <c r="H248" s="69" t="str">
        <f t="shared" si="8"/>
        <v>BTR-Regions</v>
      </c>
      <c r="I248" s="69" t="str">
        <f t="shared" si="9"/>
        <v>The Forge</v>
      </c>
      <c r="J248" s="363" t="s">
        <v>211</v>
      </c>
      <c r="L248" s="364" t="s">
        <v>103</v>
      </c>
      <c r="M248" s="364" t="s">
        <v>79</v>
      </c>
      <c r="N248" s="365" t="s">
        <v>463</v>
      </c>
      <c r="O248" s="365">
        <v>678</v>
      </c>
      <c r="P248" s="364" t="s">
        <v>90</v>
      </c>
      <c r="Q248" s="364">
        <v>2</v>
      </c>
      <c r="R248" s="364">
        <v>4</v>
      </c>
      <c r="S248" s="364" t="s">
        <v>462</v>
      </c>
      <c r="T248" s="364" t="s">
        <v>74</v>
      </c>
      <c r="U248" s="364" t="s">
        <v>113</v>
      </c>
      <c r="V248" s="364" t="s">
        <v>218</v>
      </c>
      <c r="W248" s="364" t="s">
        <v>113</v>
      </c>
      <c r="X248" s="364" t="s">
        <v>113</v>
      </c>
      <c r="Y248" s="364" t="s">
        <v>74</v>
      </c>
    </row>
    <row r="249" spans="3:25" ht="13.5" customHeight="1" x14ac:dyDescent="0.2">
      <c r="C249" s="82"/>
      <c r="D249" s="292" t="s">
        <v>74</v>
      </c>
      <c r="E249" s="138"/>
      <c r="F249" s="138"/>
      <c r="H249" s="69" t="str">
        <f t="shared" si="8"/>
        <v>BTR-Regions</v>
      </c>
      <c r="I249" s="69" t="str">
        <f t="shared" si="9"/>
        <v>The Forge</v>
      </c>
      <c r="J249" s="363" t="s">
        <v>211</v>
      </c>
      <c r="L249" s="364" t="s">
        <v>103</v>
      </c>
      <c r="M249" s="364" t="s">
        <v>79</v>
      </c>
      <c r="N249" s="365" t="s">
        <v>464</v>
      </c>
      <c r="O249" s="365">
        <v>506</v>
      </c>
      <c r="P249" s="364" t="s">
        <v>89</v>
      </c>
      <c r="Q249" s="364">
        <v>1</v>
      </c>
      <c r="R249" s="364">
        <v>4</v>
      </c>
      <c r="S249" s="364" t="s">
        <v>462</v>
      </c>
      <c r="T249" s="364" t="s">
        <v>74</v>
      </c>
      <c r="U249" s="364" t="s">
        <v>113</v>
      </c>
      <c r="V249" s="364" t="s">
        <v>218</v>
      </c>
      <c r="W249" s="364" t="s">
        <v>113</v>
      </c>
      <c r="X249" s="364" t="s">
        <v>113</v>
      </c>
      <c r="Y249" s="364" t="s">
        <v>74</v>
      </c>
    </row>
    <row r="250" spans="3:25" ht="13.5" customHeight="1" x14ac:dyDescent="0.2">
      <c r="C250" s="82"/>
      <c r="D250" s="292" t="s">
        <v>74</v>
      </c>
      <c r="E250" s="138"/>
      <c r="F250" s="138"/>
      <c r="H250" s="69" t="str">
        <f t="shared" si="8"/>
        <v>BTR-Regions</v>
      </c>
      <c r="I250" s="69" t="str">
        <f t="shared" si="9"/>
        <v>The Forge</v>
      </c>
      <c r="J250" s="363" t="s">
        <v>211</v>
      </c>
      <c r="L250" s="364" t="s">
        <v>103</v>
      </c>
      <c r="M250" s="364" t="s">
        <v>79</v>
      </c>
      <c r="N250" s="365" t="s">
        <v>465</v>
      </c>
      <c r="O250" s="365">
        <v>474</v>
      </c>
      <c r="P250" s="364" t="s">
        <v>89</v>
      </c>
      <c r="Q250" s="364">
        <v>1</v>
      </c>
      <c r="R250" s="364">
        <v>4</v>
      </c>
      <c r="S250" s="364" t="s">
        <v>220</v>
      </c>
      <c r="T250" s="364" t="s">
        <v>74</v>
      </c>
      <c r="U250" s="364" t="s">
        <v>113</v>
      </c>
      <c r="V250" s="364" t="s">
        <v>218</v>
      </c>
      <c r="W250" s="364" t="s">
        <v>113</v>
      </c>
      <c r="X250" s="364" t="s">
        <v>113</v>
      </c>
      <c r="Y250" s="364" t="s">
        <v>74</v>
      </c>
    </row>
    <row r="251" spans="3:25" ht="13.5" customHeight="1" x14ac:dyDescent="0.2">
      <c r="C251" s="82"/>
      <c r="D251" s="292" t="s">
        <v>74</v>
      </c>
      <c r="E251" s="138"/>
      <c r="F251" s="138"/>
      <c r="H251" s="69" t="str">
        <f t="shared" si="8"/>
        <v>BTR-Regions</v>
      </c>
      <c r="I251" s="69" t="str">
        <f t="shared" si="9"/>
        <v>The Forge</v>
      </c>
      <c r="J251" s="363" t="s">
        <v>211</v>
      </c>
      <c r="L251" s="364" t="s">
        <v>103</v>
      </c>
      <c r="M251" s="364" t="s">
        <v>79</v>
      </c>
      <c r="N251" s="365" t="s">
        <v>466</v>
      </c>
      <c r="O251" s="365">
        <v>667</v>
      </c>
      <c r="P251" s="364" t="s">
        <v>90</v>
      </c>
      <c r="Q251" s="364">
        <v>2</v>
      </c>
      <c r="R251" s="364">
        <v>4</v>
      </c>
      <c r="S251" s="364" t="s">
        <v>214</v>
      </c>
      <c r="T251" s="364" t="s">
        <v>74</v>
      </c>
      <c r="U251" s="364" t="s">
        <v>113</v>
      </c>
      <c r="V251" s="364" t="s">
        <v>218</v>
      </c>
      <c r="W251" s="364" t="s">
        <v>113</v>
      </c>
      <c r="X251" s="364" t="s">
        <v>113</v>
      </c>
      <c r="Y251" s="364" t="s">
        <v>74</v>
      </c>
    </row>
    <row r="252" spans="3:25" ht="13.5" customHeight="1" x14ac:dyDescent="0.2">
      <c r="C252" s="82"/>
      <c r="D252" s="292" t="s">
        <v>74</v>
      </c>
      <c r="E252" s="138"/>
      <c r="F252" s="138"/>
      <c r="H252" s="69" t="str">
        <f t="shared" si="8"/>
        <v>BTR-Regions</v>
      </c>
      <c r="I252" s="69" t="str">
        <f t="shared" si="9"/>
        <v>The Forge</v>
      </c>
      <c r="J252" s="363" t="s">
        <v>211</v>
      </c>
      <c r="L252" s="364" t="s">
        <v>103</v>
      </c>
      <c r="M252" s="364" t="s">
        <v>79</v>
      </c>
      <c r="N252" s="365" t="s">
        <v>467</v>
      </c>
      <c r="O252" s="365">
        <v>657</v>
      </c>
      <c r="P252" s="364" t="s">
        <v>90</v>
      </c>
      <c r="Q252" s="364">
        <v>2</v>
      </c>
      <c r="R252" s="364">
        <v>4</v>
      </c>
      <c r="S252" s="364" t="s">
        <v>214</v>
      </c>
      <c r="T252" s="364" t="s">
        <v>74</v>
      </c>
      <c r="U252" s="364" t="s">
        <v>113</v>
      </c>
      <c r="V252" s="364" t="s">
        <v>218</v>
      </c>
      <c r="W252" s="364" t="s">
        <v>113</v>
      </c>
      <c r="X252" s="364" t="s">
        <v>113</v>
      </c>
      <c r="Y252" s="364" t="s">
        <v>74</v>
      </c>
    </row>
    <row r="253" spans="3:25" ht="13.5" customHeight="1" x14ac:dyDescent="0.2">
      <c r="C253" s="82"/>
      <c r="D253" s="292" t="s">
        <v>74</v>
      </c>
      <c r="E253" s="138"/>
      <c r="F253" s="138"/>
      <c r="H253" s="69" t="str">
        <f t="shared" si="8"/>
        <v>BTR-Regions</v>
      </c>
      <c r="I253" s="69" t="str">
        <f t="shared" si="9"/>
        <v>The Forge</v>
      </c>
      <c r="J253" s="363" t="s">
        <v>211</v>
      </c>
      <c r="L253" s="364" t="s">
        <v>103</v>
      </c>
      <c r="M253" s="364" t="s">
        <v>79</v>
      </c>
      <c r="N253" s="365" t="s">
        <v>468</v>
      </c>
      <c r="O253" s="365">
        <v>689</v>
      </c>
      <c r="P253" s="364" t="s">
        <v>90</v>
      </c>
      <c r="Q253" s="364">
        <v>2</v>
      </c>
      <c r="R253" s="364">
        <v>4</v>
      </c>
      <c r="S253" s="364" t="s">
        <v>469</v>
      </c>
      <c r="T253" s="364" t="s">
        <v>74</v>
      </c>
      <c r="U253" s="364" t="s">
        <v>113</v>
      </c>
      <c r="V253" s="364" t="s">
        <v>218</v>
      </c>
      <c r="W253" s="364" t="s">
        <v>113</v>
      </c>
      <c r="X253" s="364" t="s">
        <v>113</v>
      </c>
      <c r="Y253" s="364" t="s">
        <v>74</v>
      </c>
    </row>
    <row r="254" spans="3:25" ht="13.5" customHeight="1" x14ac:dyDescent="0.2">
      <c r="C254" s="82"/>
      <c r="D254" s="292" t="s">
        <v>74</v>
      </c>
      <c r="E254" s="138"/>
      <c r="F254" s="138"/>
      <c r="H254" s="69" t="str">
        <f t="shared" si="8"/>
        <v>BTR-Regions</v>
      </c>
      <c r="I254" s="69" t="str">
        <f t="shared" si="9"/>
        <v>The Forge</v>
      </c>
      <c r="J254" s="363" t="s">
        <v>211</v>
      </c>
      <c r="L254" s="364" t="s">
        <v>103</v>
      </c>
      <c r="M254" s="364" t="s">
        <v>79</v>
      </c>
      <c r="N254" s="365" t="s">
        <v>470</v>
      </c>
      <c r="O254" s="365">
        <v>667</v>
      </c>
      <c r="P254" s="364" t="s">
        <v>90</v>
      </c>
      <c r="Q254" s="364">
        <v>2</v>
      </c>
      <c r="R254" s="364">
        <v>4</v>
      </c>
      <c r="S254" s="364" t="s">
        <v>214</v>
      </c>
      <c r="T254" s="364" t="s">
        <v>74</v>
      </c>
      <c r="U254" s="364" t="s">
        <v>113</v>
      </c>
      <c r="V254" s="364" t="s">
        <v>218</v>
      </c>
      <c r="W254" s="364" t="s">
        <v>113</v>
      </c>
      <c r="X254" s="364" t="s">
        <v>113</v>
      </c>
      <c r="Y254" s="364" t="s">
        <v>74</v>
      </c>
    </row>
    <row r="255" spans="3:25" ht="13.5" customHeight="1" x14ac:dyDescent="0.2">
      <c r="C255" s="82"/>
      <c r="D255" s="292" t="s">
        <v>74</v>
      </c>
      <c r="E255" s="138"/>
      <c r="F255" s="138"/>
      <c r="H255" s="69" t="str">
        <f t="shared" si="8"/>
        <v>BTR-Regions</v>
      </c>
      <c r="I255" s="69" t="str">
        <f t="shared" si="9"/>
        <v>The Forge</v>
      </c>
      <c r="J255" s="363" t="s">
        <v>211</v>
      </c>
      <c r="L255" s="364" t="s">
        <v>103</v>
      </c>
      <c r="M255" s="364" t="s">
        <v>79</v>
      </c>
      <c r="N255" s="365" t="s">
        <v>471</v>
      </c>
      <c r="O255" s="365">
        <v>527</v>
      </c>
      <c r="P255" s="364" t="s">
        <v>89</v>
      </c>
      <c r="Q255" s="364">
        <v>1</v>
      </c>
      <c r="R255" s="364">
        <v>4</v>
      </c>
      <c r="S255" s="364" t="s">
        <v>462</v>
      </c>
      <c r="T255" s="364" t="s">
        <v>74</v>
      </c>
      <c r="U255" s="364" t="s">
        <v>113</v>
      </c>
      <c r="V255" s="364" t="s">
        <v>218</v>
      </c>
      <c r="W255" s="364" t="s">
        <v>113</v>
      </c>
      <c r="X255" s="364" t="s">
        <v>113</v>
      </c>
      <c r="Y255" s="364" t="s">
        <v>74</v>
      </c>
    </row>
    <row r="256" spans="3:25" ht="13.5" customHeight="1" x14ac:dyDescent="0.2">
      <c r="C256" s="82"/>
      <c r="D256" s="292" t="s">
        <v>74</v>
      </c>
      <c r="E256" s="138"/>
      <c r="F256" s="138"/>
      <c r="H256" s="69" t="str">
        <f t="shared" si="8"/>
        <v>BTR-Regions</v>
      </c>
      <c r="I256" s="69" t="str">
        <f t="shared" si="9"/>
        <v>The Forge</v>
      </c>
      <c r="J256" s="363" t="s">
        <v>211</v>
      </c>
      <c r="L256" s="364" t="s">
        <v>103</v>
      </c>
      <c r="M256" s="364" t="s">
        <v>79</v>
      </c>
      <c r="N256" s="365" t="s">
        <v>472</v>
      </c>
      <c r="O256" s="365">
        <v>840</v>
      </c>
      <c r="P256" s="364" t="s">
        <v>91</v>
      </c>
      <c r="Q256" s="364">
        <v>2</v>
      </c>
      <c r="R256" s="364">
        <v>4</v>
      </c>
      <c r="S256" s="364" t="s">
        <v>462</v>
      </c>
      <c r="T256" s="364" t="s">
        <v>74</v>
      </c>
      <c r="U256" s="364" t="s">
        <v>113</v>
      </c>
      <c r="V256" s="364" t="s">
        <v>218</v>
      </c>
      <c r="W256" s="364" t="s">
        <v>113</v>
      </c>
      <c r="X256" s="364" t="s">
        <v>113</v>
      </c>
      <c r="Y256" s="364" t="s">
        <v>74</v>
      </c>
    </row>
    <row r="257" spans="3:25" ht="13.5" customHeight="1" x14ac:dyDescent="0.2">
      <c r="C257" s="82"/>
      <c r="D257" s="292" t="s">
        <v>74</v>
      </c>
      <c r="E257" s="138"/>
      <c r="F257" s="138"/>
      <c r="H257" s="69" t="str">
        <f t="shared" si="8"/>
        <v>BTR-Regions</v>
      </c>
      <c r="I257" s="69" t="str">
        <f t="shared" si="9"/>
        <v>The Forge</v>
      </c>
      <c r="J257" s="363" t="s">
        <v>211</v>
      </c>
      <c r="L257" s="364" t="s">
        <v>103</v>
      </c>
      <c r="M257" s="364" t="s">
        <v>79</v>
      </c>
      <c r="N257" s="365" t="s">
        <v>473</v>
      </c>
      <c r="O257" s="365">
        <v>624</v>
      </c>
      <c r="P257" s="364" t="s">
        <v>90</v>
      </c>
      <c r="Q257" s="364">
        <v>2</v>
      </c>
      <c r="R257" s="364">
        <v>4</v>
      </c>
      <c r="S257" s="364" t="s">
        <v>462</v>
      </c>
      <c r="T257" s="364" t="s">
        <v>74</v>
      </c>
      <c r="U257" s="364" t="s">
        <v>113</v>
      </c>
      <c r="V257" s="364" t="s">
        <v>218</v>
      </c>
      <c r="W257" s="364" t="s">
        <v>113</v>
      </c>
      <c r="X257" s="364" t="s">
        <v>113</v>
      </c>
      <c r="Y257" s="364" t="s">
        <v>74</v>
      </c>
    </row>
    <row r="258" spans="3:25" ht="13.5" customHeight="1" x14ac:dyDescent="0.2">
      <c r="C258" s="82"/>
      <c r="D258" s="292" t="s">
        <v>74</v>
      </c>
      <c r="E258" s="138"/>
      <c r="F258" s="138"/>
      <c r="H258" s="69" t="str">
        <f t="shared" si="8"/>
        <v>BTR-Regions</v>
      </c>
      <c r="I258" s="69" t="str">
        <f t="shared" si="9"/>
        <v>The Forge</v>
      </c>
      <c r="J258" s="363" t="s">
        <v>211</v>
      </c>
      <c r="L258" s="364" t="s">
        <v>103</v>
      </c>
      <c r="M258" s="364" t="s">
        <v>79</v>
      </c>
      <c r="N258" s="365" t="s">
        <v>474</v>
      </c>
      <c r="O258" s="365">
        <v>689</v>
      </c>
      <c r="P258" s="364" t="s">
        <v>90</v>
      </c>
      <c r="Q258" s="364">
        <v>2</v>
      </c>
      <c r="R258" s="364">
        <v>5</v>
      </c>
      <c r="S258" s="364" t="s">
        <v>220</v>
      </c>
      <c r="T258" s="364" t="s">
        <v>74</v>
      </c>
      <c r="U258" s="364" t="s">
        <v>113</v>
      </c>
      <c r="V258" s="364" t="s">
        <v>218</v>
      </c>
      <c r="W258" s="364" t="s">
        <v>113</v>
      </c>
      <c r="X258" s="364" t="s">
        <v>113</v>
      </c>
      <c r="Y258" s="364" t="s">
        <v>74</v>
      </c>
    </row>
    <row r="259" spans="3:25" ht="13.5" customHeight="1" x14ac:dyDescent="0.2">
      <c r="C259" s="82"/>
      <c r="D259" s="292" t="s">
        <v>74</v>
      </c>
      <c r="E259" s="138"/>
      <c r="F259" s="138"/>
      <c r="H259" s="69" t="str">
        <f t="shared" si="8"/>
        <v>BTR-Regions</v>
      </c>
      <c r="I259" s="69" t="str">
        <f t="shared" si="9"/>
        <v>The Forge</v>
      </c>
      <c r="J259" s="363" t="s">
        <v>211</v>
      </c>
      <c r="L259" s="364" t="s">
        <v>103</v>
      </c>
      <c r="M259" s="364" t="s">
        <v>79</v>
      </c>
      <c r="N259" s="365" t="s">
        <v>475</v>
      </c>
      <c r="O259" s="365">
        <v>495</v>
      </c>
      <c r="P259" s="364" t="s">
        <v>89</v>
      </c>
      <c r="Q259" s="364">
        <v>1</v>
      </c>
      <c r="R259" s="364">
        <v>5</v>
      </c>
      <c r="S259" s="364" t="s">
        <v>214</v>
      </c>
      <c r="T259" s="364" t="s">
        <v>74</v>
      </c>
      <c r="U259" s="364" t="s">
        <v>113</v>
      </c>
      <c r="V259" s="364" t="s">
        <v>218</v>
      </c>
      <c r="W259" s="364" t="s">
        <v>113</v>
      </c>
      <c r="X259" s="364" t="s">
        <v>113</v>
      </c>
      <c r="Y259" s="364" t="s">
        <v>74</v>
      </c>
    </row>
    <row r="260" spans="3:25" ht="13.5" customHeight="1" x14ac:dyDescent="0.2">
      <c r="C260" s="82"/>
      <c r="D260" s="292" t="s">
        <v>74</v>
      </c>
      <c r="E260" s="138"/>
      <c r="F260" s="138"/>
      <c r="H260" s="69" t="str">
        <f t="shared" si="8"/>
        <v>BTR-Regions</v>
      </c>
      <c r="I260" s="69" t="str">
        <f t="shared" si="9"/>
        <v>The Forge</v>
      </c>
      <c r="J260" s="363" t="s">
        <v>211</v>
      </c>
      <c r="L260" s="364" t="s">
        <v>103</v>
      </c>
      <c r="M260" s="364" t="s">
        <v>79</v>
      </c>
      <c r="N260" s="365" t="s">
        <v>476</v>
      </c>
      <c r="O260" s="365">
        <v>657</v>
      </c>
      <c r="P260" s="364" t="s">
        <v>90</v>
      </c>
      <c r="Q260" s="364">
        <v>2</v>
      </c>
      <c r="R260" s="364">
        <v>5</v>
      </c>
      <c r="S260" s="364" t="s">
        <v>214</v>
      </c>
      <c r="T260" s="364" t="s">
        <v>74</v>
      </c>
      <c r="U260" s="364" t="s">
        <v>113</v>
      </c>
      <c r="V260" s="364" t="s">
        <v>218</v>
      </c>
      <c r="W260" s="364" t="s">
        <v>113</v>
      </c>
      <c r="X260" s="364" t="s">
        <v>113</v>
      </c>
      <c r="Y260" s="364" t="s">
        <v>74</v>
      </c>
    </row>
    <row r="261" spans="3:25" ht="13.5" customHeight="1" x14ac:dyDescent="0.2">
      <c r="C261" s="82"/>
      <c r="D261" s="292" t="s">
        <v>74</v>
      </c>
      <c r="E261" s="138"/>
      <c r="F261" s="138"/>
      <c r="H261" s="69" t="str">
        <f t="shared" si="8"/>
        <v>BTR-Regions</v>
      </c>
      <c r="I261" s="69" t="str">
        <f t="shared" si="9"/>
        <v>The Forge</v>
      </c>
      <c r="J261" s="363" t="s">
        <v>211</v>
      </c>
      <c r="L261" s="364" t="s">
        <v>103</v>
      </c>
      <c r="M261" s="364" t="s">
        <v>79</v>
      </c>
      <c r="N261" s="365" t="s">
        <v>477</v>
      </c>
      <c r="O261" s="365">
        <v>657</v>
      </c>
      <c r="P261" s="364" t="s">
        <v>90</v>
      </c>
      <c r="Q261" s="364">
        <v>2</v>
      </c>
      <c r="R261" s="364">
        <v>5</v>
      </c>
      <c r="S261" s="364" t="s">
        <v>462</v>
      </c>
      <c r="T261" s="364" t="s">
        <v>74</v>
      </c>
      <c r="U261" s="364" t="s">
        <v>113</v>
      </c>
      <c r="V261" s="364" t="s">
        <v>218</v>
      </c>
      <c r="W261" s="364" t="s">
        <v>113</v>
      </c>
      <c r="X261" s="364" t="s">
        <v>113</v>
      </c>
      <c r="Y261" s="364" t="s">
        <v>74</v>
      </c>
    </row>
    <row r="262" spans="3:25" ht="13.5" customHeight="1" x14ac:dyDescent="0.2">
      <c r="C262" s="82"/>
      <c r="D262" s="292" t="s">
        <v>74</v>
      </c>
      <c r="E262" s="138"/>
      <c r="F262" s="138"/>
      <c r="H262" s="69" t="str">
        <f t="shared" si="8"/>
        <v>BTR-Regions</v>
      </c>
      <c r="I262" s="69" t="str">
        <f t="shared" si="9"/>
        <v>The Forge</v>
      </c>
      <c r="J262" s="363" t="s">
        <v>211</v>
      </c>
      <c r="L262" s="364" t="s">
        <v>103</v>
      </c>
      <c r="M262" s="364" t="s">
        <v>79</v>
      </c>
      <c r="N262" s="365" t="s">
        <v>478</v>
      </c>
      <c r="O262" s="365">
        <v>678</v>
      </c>
      <c r="P262" s="364" t="s">
        <v>90</v>
      </c>
      <c r="Q262" s="364">
        <v>2</v>
      </c>
      <c r="R262" s="364">
        <v>5</v>
      </c>
      <c r="S262" s="364" t="s">
        <v>462</v>
      </c>
      <c r="T262" s="364" t="s">
        <v>74</v>
      </c>
      <c r="U262" s="364" t="s">
        <v>113</v>
      </c>
      <c r="V262" s="364" t="s">
        <v>218</v>
      </c>
      <c r="W262" s="364" t="s">
        <v>113</v>
      </c>
      <c r="X262" s="364" t="s">
        <v>113</v>
      </c>
      <c r="Y262" s="364" t="s">
        <v>74</v>
      </c>
    </row>
    <row r="263" spans="3:25" ht="13.5" customHeight="1" x14ac:dyDescent="0.2">
      <c r="C263" s="82"/>
      <c r="D263" s="292" t="s">
        <v>74</v>
      </c>
      <c r="E263" s="138"/>
      <c r="F263" s="138"/>
      <c r="H263" s="69" t="str">
        <f t="shared" si="8"/>
        <v>BTR-Regions</v>
      </c>
      <c r="I263" s="69" t="str">
        <f t="shared" si="9"/>
        <v>The Forge</v>
      </c>
      <c r="J263" s="363" t="s">
        <v>211</v>
      </c>
      <c r="L263" s="364" t="s">
        <v>103</v>
      </c>
      <c r="M263" s="364" t="s">
        <v>79</v>
      </c>
      <c r="N263" s="365" t="s">
        <v>479</v>
      </c>
      <c r="O263" s="365">
        <v>506</v>
      </c>
      <c r="P263" s="364" t="s">
        <v>89</v>
      </c>
      <c r="Q263" s="364">
        <v>1</v>
      </c>
      <c r="R263" s="364">
        <v>5</v>
      </c>
      <c r="S263" s="364" t="s">
        <v>462</v>
      </c>
      <c r="T263" s="364" t="s">
        <v>74</v>
      </c>
      <c r="U263" s="364" t="s">
        <v>113</v>
      </c>
      <c r="V263" s="364" t="s">
        <v>218</v>
      </c>
      <c r="W263" s="364" t="s">
        <v>113</v>
      </c>
      <c r="X263" s="364" t="s">
        <v>113</v>
      </c>
      <c r="Y263" s="364" t="s">
        <v>74</v>
      </c>
    </row>
    <row r="264" spans="3:25" ht="13.5" customHeight="1" x14ac:dyDescent="0.2">
      <c r="C264" s="82"/>
      <c r="D264" s="292" t="s">
        <v>74</v>
      </c>
      <c r="E264" s="138"/>
      <c r="F264" s="138"/>
      <c r="H264" s="69" t="str">
        <f t="shared" si="8"/>
        <v>BTR-Regions</v>
      </c>
      <c r="I264" s="69" t="str">
        <f t="shared" si="9"/>
        <v>The Forge</v>
      </c>
      <c r="J264" s="363" t="s">
        <v>211</v>
      </c>
      <c r="L264" s="364" t="s">
        <v>103</v>
      </c>
      <c r="M264" s="364" t="s">
        <v>79</v>
      </c>
      <c r="N264" s="365" t="s">
        <v>480</v>
      </c>
      <c r="O264" s="365">
        <v>474</v>
      </c>
      <c r="P264" s="364" t="s">
        <v>89</v>
      </c>
      <c r="Q264" s="364">
        <v>1</v>
      </c>
      <c r="R264" s="364">
        <v>5</v>
      </c>
      <c r="S264" s="364" t="s">
        <v>220</v>
      </c>
      <c r="T264" s="364" t="s">
        <v>74</v>
      </c>
      <c r="U264" s="364" t="s">
        <v>113</v>
      </c>
      <c r="V264" s="364" t="s">
        <v>218</v>
      </c>
      <c r="W264" s="364" t="s">
        <v>113</v>
      </c>
      <c r="X264" s="364" t="s">
        <v>113</v>
      </c>
      <c r="Y264" s="364" t="s">
        <v>74</v>
      </c>
    </row>
    <row r="265" spans="3:25" ht="13.5" customHeight="1" x14ac:dyDescent="0.2">
      <c r="C265" s="82"/>
      <c r="D265" s="292" t="s">
        <v>74</v>
      </c>
      <c r="E265" s="138"/>
      <c r="F265" s="138"/>
      <c r="H265" s="69" t="str">
        <f t="shared" si="8"/>
        <v>BTR-Regions</v>
      </c>
      <c r="I265" s="69" t="str">
        <f t="shared" si="9"/>
        <v>The Forge</v>
      </c>
      <c r="J265" s="363" t="s">
        <v>211</v>
      </c>
      <c r="L265" s="364" t="s">
        <v>103</v>
      </c>
      <c r="M265" s="364" t="s">
        <v>79</v>
      </c>
      <c r="N265" s="365" t="s">
        <v>481</v>
      </c>
      <c r="O265" s="365">
        <v>667</v>
      </c>
      <c r="P265" s="364" t="s">
        <v>90</v>
      </c>
      <c r="Q265" s="364">
        <v>2</v>
      </c>
      <c r="R265" s="364">
        <v>5</v>
      </c>
      <c r="S265" s="364" t="s">
        <v>214</v>
      </c>
      <c r="T265" s="364" t="s">
        <v>74</v>
      </c>
      <c r="U265" s="364" t="s">
        <v>113</v>
      </c>
      <c r="V265" s="364" t="s">
        <v>218</v>
      </c>
      <c r="W265" s="364" t="s">
        <v>113</v>
      </c>
      <c r="X265" s="364" t="s">
        <v>113</v>
      </c>
      <c r="Y265" s="364" t="s">
        <v>74</v>
      </c>
    </row>
    <row r="266" spans="3:25" ht="13.5" customHeight="1" x14ac:dyDescent="0.2">
      <c r="C266" s="82"/>
      <c r="D266" s="292" t="s">
        <v>74</v>
      </c>
      <c r="E266" s="138"/>
      <c r="F266" s="138"/>
      <c r="H266" s="69" t="str">
        <f t="shared" si="8"/>
        <v>BTR-Regions</v>
      </c>
      <c r="I266" s="69" t="str">
        <f t="shared" si="9"/>
        <v>The Forge</v>
      </c>
      <c r="J266" s="363" t="s">
        <v>211</v>
      </c>
      <c r="L266" s="364" t="s">
        <v>103</v>
      </c>
      <c r="M266" s="364" t="s">
        <v>79</v>
      </c>
      <c r="N266" s="365" t="s">
        <v>482</v>
      </c>
      <c r="O266" s="365">
        <v>657</v>
      </c>
      <c r="P266" s="364" t="s">
        <v>90</v>
      </c>
      <c r="Q266" s="364">
        <v>2</v>
      </c>
      <c r="R266" s="364">
        <v>5</v>
      </c>
      <c r="S266" s="364" t="s">
        <v>214</v>
      </c>
      <c r="T266" s="364" t="s">
        <v>74</v>
      </c>
      <c r="U266" s="364" t="s">
        <v>113</v>
      </c>
      <c r="V266" s="364" t="s">
        <v>218</v>
      </c>
      <c r="W266" s="364" t="s">
        <v>113</v>
      </c>
      <c r="X266" s="364" t="s">
        <v>113</v>
      </c>
      <c r="Y266" s="364" t="s">
        <v>74</v>
      </c>
    </row>
    <row r="267" spans="3:25" ht="13.5" customHeight="1" x14ac:dyDescent="0.2">
      <c r="C267" s="82"/>
      <c r="D267" s="292" t="s">
        <v>74</v>
      </c>
      <c r="E267" s="138"/>
      <c r="F267" s="138"/>
      <c r="H267" s="69" t="str">
        <f t="shared" si="8"/>
        <v>BTR-Regions</v>
      </c>
      <c r="I267" s="69" t="str">
        <f t="shared" si="9"/>
        <v>The Forge</v>
      </c>
      <c r="J267" s="363" t="s">
        <v>211</v>
      </c>
      <c r="L267" s="364" t="s">
        <v>103</v>
      </c>
      <c r="M267" s="364" t="s">
        <v>79</v>
      </c>
      <c r="N267" s="365" t="s">
        <v>483</v>
      </c>
      <c r="O267" s="365">
        <v>689</v>
      </c>
      <c r="P267" s="364" t="s">
        <v>90</v>
      </c>
      <c r="Q267" s="364">
        <v>2</v>
      </c>
      <c r="R267" s="364">
        <v>5</v>
      </c>
      <c r="S267" s="364" t="s">
        <v>469</v>
      </c>
      <c r="T267" s="364" t="s">
        <v>74</v>
      </c>
      <c r="U267" s="364" t="s">
        <v>113</v>
      </c>
      <c r="V267" s="364" t="s">
        <v>218</v>
      </c>
      <c r="W267" s="364" t="s">
        <v>113</v>
      </c>
      <c r="X267" s="364" t="s">
        <v>113</v>
      </c>
      <c r="Y267" s="364" t="s">
        <v>74</v>
      </c>
    </row>
    <row r="268" spans="3:25" ht="13.5" customHeight="1" x14ac:dyDescent="0.2">
      <c r="C268" s="82"/>
      <c r="D268" s="292" t="s">
        <v>74</v>
      </c>
      <c r="E268" s="138"/>
      <c r="F268" s="138"/>
      <c r="H268" s="69" t="str">
        <f t="shared" si="8"/>
        <v>BTR-Regions</v>
      </c>
      <c r="I268" s="69" t="str">
        <f t="shared" si="9"/>
        <v>The Forge</v>
      </c>
      <c r="J268" s="363" t="s">
        <v>211</v>
      </c>
      <c r="L268" s="364" t="s">
        <v>103</v>
      </c>
      <c r="M268" s="364" t="s">
        <v>79</v>
      </c>
      <c r="N268" s="365" t="s">
        <v>484</v>
      </c>
      <c r="O268" s="365">
        <v>667</v>
      </c>
      <c r="P268" s="364" t="s">
        <v>90</v>
      </c>
      <c r="Q268" s="364">
        <v>2</v>
      </c>
      <c r="R268" s="364">
        <v>5</v>
      </c>
      <c r="S268" s="364" t="s">
        <v>214</v>
      </c>
      <c r="T268" s="364" t="s">
        <v>74</v>
      </c>
      <c r="U268" s="364" t="s">
        <v>113</v>
      </c>
      <c r="V268" s="364" t="s">
        <v>218</v>
      </c>
      <c r="W268" s="364" t="s">
        <v>113</v>
      </c>
      <c r="X268" s="364" t="s">
        <v>113</v>
      </c>
      <c r="Y268" s="364" t="s">
        <v>74</v>
      </c>
    </row>
    <row r="269" spans="3:25" ht="13.5" customHeight="1" x14ac:dyDescent="0.2">
      <c r="C269" s="82"/>
      <c r="D269" s="292" t="s">
        <v>74</v>
      </c>
      <c r="E269" s="138"/>
      <c r="F269" s="138"/>
      <c r="H269" s="69" t="str">
        <f t="shared" si="8"/>
        <v>BTR-Regions</v>
      </c>
      <c r="I269" s="69" t="str">
        <f t="shared" si="9"/>
        <v>The Forge</v>
      </c>
      <c r="J269" s="363" t="s">
        <v>211</v>
      </c>
      <c r="L269" s="364" t="s">
        <v>103</v>
      </c>
      <c r="M269" s="364" t="s">
        <v>79</v>
      </c>
      <c r="N269" s="365" t="s">
        <v>485</v>
      </c>
      <c r="O269" s="365">
        <v>527</v>
      </c>
      <c r="P269" s="364" t="s">
        <v>89</v>
      </c>
      <c r="Q269" s="364">
        <v>1</v>
      </c>
      <c r="R269" s="364">
        <v>5</v>
      </c>
      <c r="S269" s="364" t="s">
        <v>462</v>
      </c>
      <c r="T269" s="364" t="s">
        <v>74</v>
      </c>
      <c r="U269" s="364" t="s">
        <v>113</v>
      </c>
      <c r="V269" s="364" t="s">
        <v>218</v>
      </c>
      <c r="W269" s="364" t="s">
        <v>113</v>
      </c>
      <c r="X269" s="364" t="s">
        <v>113</v>
      </c>
      <c r="Y269" s="364" t="s">
        <v>74</v>
      </c>
    </row>
    <row r="270" spans="3:25" ht="13.5" customHeight="1" x14ac:dyDescent="0.2">
      <c r="C270" s="82"/>
      <c r="D270" s="292" t="s">
        <v>74</v>
      </c>
      <c r="E270" s="138"/>
      <c r="F270" s="138"/>
      <c r="H270" s="69" t="str">
        <f t="shared" si="8"/>
        <v>BTR-Regions</v>
      </c>
      <c r="I270" s="69" t="str">
        <f t="shared" si="9"/>
        <v>The Forge</v>
      </c>
      <c r="J270" s="363" t="s">
        <v>211</v>
      </c>
      <c r="L270" s="364" t="s">
        <v>103</v>
      </c>
      <c r="M270" s="364" t="s">
        <v>79</v>
      </c>
      <c r="N270" s="365" t="s">
        <v>486</v>
      </c>
      <c r="O270" s="365">
        <v>840</v>
      </c>
      <c r="P270" s="364" t="s">
        <v>91</v>
      </c>
      <c r="Q270" s="364">
        <v>2</v>
      </c>
      <c r="R270" s="364">
        <v>5</v>
      </c>
      <c r="S270" s="364" t="s">
        <v>462</v>
      </c>
      <c r="T270" s="364" t="s">
        <v>74</v>
      </c>
      <c r="U270" s="364" t="s">
        <v>113</v>
      </c>
      <c r="V270" s="364" t="s">
        <v>218</v>
      </c>
      <c r="W270" s="364" t="s">
        <v>113</v>
      </c>
      <c r="X270" s="364" t="s">
        <v>113</v>
      </c>
      <c r="Y270" s="364" t="s">
        <v>74</v>
      </c>
    </row>
    <row r="271" spans="3:25" ht="13.5" customHeight="1" x14ac:dyDescent="0.2">
      <c r="C271" s="82"/>
      <c r="D271" s="292" t="s">
        <v>74</v>
      </c>
      <c r="E271" s="138"/>
      <c r="F271" s="138"/>
      <c r="H271" s="69" t="str">
        <f t="shared" si="8"/>
        <v>BTR-Regions</v>
      </c>
      <c r="I271" s="69" t="str">
        <f t="shared" si="9"/>
        <v>The Forge</v>
      </c>
      <c r="J271" s="363" t="s">
        <v>211</v>
      </c>
      <c r="L271" s="364" t="s">
        <v>103</v>
      </c>
      <c r="M271" s="364" t="s">
        <v>79</v>
      </c>
      <c r="N271" s="365" t="s">
        <v>487</v>
      </c>
      <c r="O271" s="365">
        <v>624</v>
      </c>
      <c r="P271" s="364" t="s">
        <v>90</v>
      </c>
      <c r="Q271" s="364">
        <v>2</v>
      </c>
      <c r="R271" s="364">
        <v>5</v>
      </c>
      <c r="S271" s="364" t="s">
        <v>462</v>
      </c>
      <c r="T271" s="364" t="s">
        <v>74</v>
      </c>
      <c r="U271" s="364" t="s">
        <v>113</v>
      </c>
      <c r="V271" s="364" t="s">
        <v>218</v>
      </c>
      <c r="W271" s="364" t="s">
        <v>113</v>
      </c>
      <c r="X271" s="364" t="s">
        <v>113</v>
      </c>
      <c r="Y271" s="364" t="s">
        <v>74</v>
      </c>
    </row>
    <row r="272" spans="3:25" ht="13.5" customHeight="1" x14ac:dyDescent="0.2">
      <c r="C272" s="82"/>
      <c r="D272" s="292" t="s">
        <v>74</v>
      </c>
      <c r="E272" s="138"/>
      <c r="F272" s="138"/>
      <c r="H272" s="69" t="str">
        <f t="shared" si="8"/>
        <v>BTR-Regions</v>
      </c>
      <c r="I272" s="69" t="str">
        <f t="shared" si="9"/>
        <v>The Forge</v>
      </c>
      <c r="J272" s="363" t="s">
        <v>211</v>
      </c>
      <c r="L272" s="364" t="s">
        <v>103</v>
      </c>
      <c r="M272" s="364" t="s">
        <v>79</v>
      </c>
      <c r="N272" s="365" t="s">
        <v>488</v>
      </c>
      <c r="O272" s="365">
        <v>689</v>
      </c>
      <c r="P272" s="364" t="s">
        <v>90</v>
      </c>
      <c r="Q272" s="364">
        <v>2</v>
      </c>
      <c r="R272" s="364">
        <v>6</v>
      </c>
      <c r="S272" s="364" t="s">
        <v>220</v>
      </c>
      <c r="T272" s="364" t="s">
        <v>74</v>
      </c>
      <c r="U272" s="364" t="s">
        <v>113</v>
      </c>
      <c r="V272" s="364" t="s">
        <v>218</v>
      </c>
      <c r="W272" s="364" t="s">
        <v>113</v>
      </c>
      <c r="X272" s="364" t="s">
        <v>113</v>
      </c>
      <c r="Y272" s="364" t="s">
        <v>74</v>
      </c>
    </row>
    <row r="273" spans="3:25" ht="13.5" customHeight="1" x14ac:dyDescent="0.2">
      <c r="C273" s="82"/>
      <c r="D273" s="292" t="s">
        <v>74</v>
      </c>
      <c r="E273" s="138"/>
      <c r="F273" s="138"/>
      <c r="H273" s="69" t="str">
        <f t="shared" si="8"/>
        <v>BTR-Regions</v>
      </c>
      <c r="I273" s="69" t="str">
        <f t="shared" si="9"/>
        <v>The Forge</v>
      </c>
      <c r="J273" s="363" t="s">
        <v>211</v>
      </c>
      <c r="L273" s="364" t="s">
        <v>103</v>
      </c>
      <c r="M273" s="364" t="s">
        <v>79</v>
      </c>
      <c r="N273" s="365" t="s">
        <v>489</v>
      </c>
      <c r="O273" s="365">
        <v>495</v>
      </c>
      <c r="P273" s="364" t="s">
        <v>89</v>
      </c>
      <c r="Q273" s="364">
        <v>1</v>
      </c>
      <c r="R273" s="364">
        <v>6</v>
      </c>
      <c r="S273" s="364" t="s">
        <v>214</v>
      </c>
      <c r="T273" s="364" t="s">
        <v>74</v>
      </c>
      <c r="U273" s="364" t="s">
        <v>113</v>
      </c>
      <c r="V273" s="364" t="s">
        <v>218</v>
      </c>
      <c r="W273" s="364" t="s">
        <v>113</v>
      </c>
      <c r="X273" s="364" t="s">
        <v>113</v>
      </c>
      <c r="Y273" s="364" t="s">
        <v>74</v>
      </c>
    </row>
    <row r="274" spans="3:25" ht="13.5" customHeight="1" x14ac:dyDescent="0.2">
      <c r="C274" s="82"/>
      <c r="D274" s="292" t="s">
        <v>74</v>
      </c>
      <c r="E274" s="138"/>
      <c r="F274" s="138"/>
      <c r="H274" s="69" t="str">
        <f t="shared" si="8"/>
        <v>BTR-Regions</v>
      </c>
      <c r="I274" s="69" t="str">
        <f t="shared" si="9"/>
        <v>The Forge</v>
      </c>
      <c r="J274" s="363" t="s">
        <v>211</v>
      </c>
      <c r="L274" s="364" t="s">
        <v>103</v>
      </c>
      <c r="M274" s="364" t="s">
        <v>79</v>
      </c>
      <c r="N274" s="365" t="s">
        <v>490</v>
      </c>
      <c r="O274" s="365">
        <v>657</v>
      </c>
      <c r="P274" s="364" t="s">
        <v>90</v>
      </c>
      <c r="Q274" s="364">
        <v>2</v>
      </c>
      <c r="R274" s="364">
        <v>6</v>
      </c>
      <c r="S274" s="364" t="s">
        <v>214</v>
      </c>
      <c r="T274" s="364" t="s">
        <v>74</v>
      </c>
      <c r="U274" s="364" t="s">
        <v>113</v>
      </c>
      <c r="V274" s="364" t="s">
        <v>218</v>
      </c>
      <c r="W274" s="364" t="s">
        <v>113</v>
      </c>
      <c r="X274" s="364" t="s">
        <v>113</v>
      </c>
      <c r="Y274" s="364" t="s">
        <v>74</v>
      </c>
    </row>
    <row r="275" spans="3:25" ht="13.5" customHeight="1" x14ac:dyDescent="0.2">
      <c r="C275" s="82"/>
      <c r="D275" s="292" t="s">
        <v>74</v>
      </c>
      <c r="E275" s="138"/>
      <c r="F275" s="138"/>
      <c r="H275" s="69" t="str">
        <f t="shared" si="8"/>
        <v>BTR-Regions</v>
      </c>
      <c r="I275" s="69" t="str">
        <f t="shared" si="9"/>
        <v>The Forge</v>
      </c>
      <c r="J275" s="363" t="s">
        <v>211</v>
      </c>
      <c r="L275" s="364" t="s">
        <v>103</v>
      </c>
      <c r="M275" s="364" t="s">
        <v>79</v>
      </c>
      <c r="N275" s="365" t="s">
        <v>491</v>
      </c>
      <c r="O275" s="365">
        <v>657</v>
      </c>
      <c r="P275" s="364" t="s">
        <v>90</v>
      </c>
      <c r="Q275" s="364">
        <v>2</v>
      </c>
      <c r="R275" s="364">
        <v>6</v>
      </c>
      <c r="S275" s="364" t="s">
        <v>492</v>
      </c>
      <c r="T275" s="364" t="s">
        <v>74</v>
      </c>
      <c r="U275" s="364" t="s">
        <v>113</v>
      </c>
      <c r="V275" s="364" t="s">
        <v>218</v>
      </c>
      <c r="W275" s="364" t="s">
        <v>113</v>
      </c>
      <c r="X275" s="364" t="s">
        <v>113</v>
      </c>
      <c r="Y275" s="364" t="s">
        <v>74</v>
      </c>
    </row>
    <row r="276" spans="3:25" ht="13.5" customHeight="1" x14ac:dyDescent="0.2">
      <c r="C276" s="82"/>
      <c r="D276" s="292" t="s">
        <v>74</v>
      </c>
      <c r="E276" s="138"/>
      <c r="F276" s="138"/>
      <c r="H276" s="69" t="str">
        <f t="shared" si="8"/>
        <v>BTR-Regions</v>
      </c>
      <c r="I276" s="69" t="str">
        <f t="shared" si="9"/>
        <v>The Forge</v>
      </c>
      <c r="J276" s="363" t="s">
        <v>211</v>
      </c>
      <c r="L276" s="364" t="s">
        <v>103</v>
      </c>
      <c r="M276" s="364" t="s">
        <v>79</v>
      </c>
      <c r="N276" s="365" t="s">
        <v>493</v>
      </c>
      <c r="O276" s="365">
        <v>678</v>
      </c>
      <c r="P276" s="364" t="s">
        <v>90</v>
      </c>
      <c r="Q276" s="364">
        <v>2</v>
      </c>
      <c r="R276" s="364">
        <v>6</v>
      </c>
      <c r="S276" s="364" t="s">
        <v>492</v>
      </c>
      <c r="T276" s="364" t="s">
        <v>74</v>
      </c>
      <c r="U276" s="364" t="s">
        <v>113</v>
      </c>
      <c r="V276" s="364" t="s">
        <v>218</v>
      </c>
      <c r="W276" s="364" t="s">
        <v>113</v>
      </c>
      <c r="X276" s="364" t="s">
        <v>113</v>
      </c>
      <c r="Y276" s="364" t="s">
        <v>74</v>
      </c>
    </row>
    <row r="277" spans="3:25" ht="13.5" customHeight="1" x14ac:dyDescent="0.2">
      <c r="C277" s="82"/>
      <c r="D277" s="292" t="s">
        <v>74</v>
      </c>
      <c r="E277" s="138"/>
      <c r="F277" s="138"/>
      <c r="H277" s="69" t="str">
        <f t="shared" si="8"/>
        <v>BTR-Regions</v>
      </c>
      <c r="I277" s="69" t="str">
        <f t="shared" si="9"/>
        <v>The Forge</v>
      </c>
      <c r="J277" s="363" t="s">
        <v>211</v>
      </c>
      <c r="L277" s="364" t="s">
        <v>103</v>
      </c>
      <c r="M277" s="364" t="s">
        <v>79</v>
      </c>
      <c r="N277" s="365" t="s">
        <v>494</v>
      </c>
      <c r="O277" s="365">
        <v>506</v>
      </c>
      <c r="P277" s="364" t="s">
        <v>89</v>
      </c>
      <c r="Q277" s="364">
        <v>1</v>
      </c>
      <c r="R277" s="364">
        <v>6</v>
      </c>
      <c r="S277" s="364" t="s">
        <v>492</v>
      </c>
      <c r="T277" s="364" t="s">
        <v>74</v>
      </c>
      <c r="U277" s="364" t="s">
        <v>113</v>
      </c>
      <c r="V277" s="364" t="s">
        <v>218</v>
      </c>
      <c r="W277" s="364" t="s">
        <v>113</v>
      </c>
      <c r="X277" s="364" t="s">
        <v>113</v>
      </c>
      <c r="Y277" s="364" t="s">
        <v>74</v>
      </c>
    </row>
    <row r="278" spans="3:25" ht="13.5" customHeight="1" x14ac:dyDescent="0.2">
      <c r="C278" s="82"/>
      <c r="D278" s="292" t="s">
        <v>74</v>
      </c>
      <c r="E278" s="138"/>
      <c r="F278" s="138"/>
      <c r="H278" s="69" t="str">
        <f t="shared" ref="H278:H341" si="10">$I$9</f>
        <v>BTR-Regions</v>
      </c>
      <c r="I278" s="69" t="str">
        <f t="shared" ref="I278:I341" si="11">$I$10</f>
        <v>The Forge</v>
      </c>
      <c r="J278" s="363" t="s">
        <v>211</v>
      </c>
      <c r="L278" s="364" t="s">
        <v>103</v>
      </c>
      <c r="M278" s="364" t="s">
        <v>79</v>
      </c>
      <c r="N278" s="365" t="s">
        <v>495</v>
      </c>
      <c r="O278" s="365">
        <v>474</v>
      </c>
      <c r="P278" s="364" t="s">
        <v>89</v>
      </c>
      <c r="Q278" s="364">
        <v>1</v>
      </c>
      <c r="R278" s="364">
        <v>6</v>
      </c>
      <c r="S278" s="364" t="s">
        <v>220</v>
      </c>
      <c r="T278" s="364" t="s">
        <v>74</v>
      </c>
      <c r="U278" s="364" t="s">
        <v>113</v>
      </c>
      <c r="V278" s="364" t="s">
        <v>218</v>
      </c>
      <c r="W278" s="364" t="s">
        <v>113</v>
      </c>
      <c r="X278" s="364" t="s">
        <v>113</v>
      </c>
      <c r="Y278" s="364" t="s">
        <v>74</v>
      </c>
    </row>
    <row r="279" spans="3:25" ht="13.5" customHeight="1" x14ac:dyDescent="0.2">
      <c r="C279" s="82"/>
      <c r="D279" s="292" t="s">
        <v>74</v>
      </c>
      <c r="E279" s="138"/>
      <c r="F279" s="138"/>
      <c r="H279" s="69" t="str">
        <f t="shared" si="10"/>
        <v>BTR-Regions</v>
      </c>
      <c r="I279" s="69" t="str">
        <f t="shared" si="11"/>
        <v>The Forge</v>
      </c>
      <c r="J279" s="363" t="s">
        <v>211</v>
      </c>
      <c r="L279" s="364" t="s">
        <v>103</v>
      </c>
      <c r="M279" s="364" t="s">
        <v>79</v>
      </c>
      <c r="N279" s="365" t="s">
        <v>496</v>
      </c>
      <c r="O279" s="365">
        <v>667</v>
      </c>
      <c r="P279" s="364" t="s">
        <v>90</v>
      </c>
      <c r="Q279" s="364">
        <v>2</v>
      </c>
      <c r="R279" s="364">
        <v>6</v>
      </c>
      <c r="S279" s="364" t="s">
        <v>214</v>
      </c>
      <c r="T279" s="364" t="s">
        <v>74</v>
      </c>
      <c r="U279" s="364" t="s">
        <v>113</v>
      </c>
      <c r="V279" s="364" t="s">
        <v>218</v>
      </c>
      <c r="W279" s="364" t="s">
        <v>113</v>
      </c>
      <c r="X279" s="364" t="s">
        <v>113</v>
      </c>
      <c r="Y279" s="364" t="s">
        <v>74</v>
      </c>
    </row>
    <row r="280" spans="3:25" ht="13.5" customHeight="1" x14ac:dyDescent="0.2">
      <c r="C280" s="82"/>
      <c r="D280" s="292" t="s">
        <v>74</v>
      </c>
      <c r="E280" s="138"/>
      <c r="F280" s="138"/>
      <c r="H280" s="69" t="str">
        <f t="shared" si="10"/>
        <v>BTR-Regions</v>
      </c>
      <c r="I280" s="69" t="str">
        <f t="shared" si="11"/>
        <v>The Forge</v>
      </c>
      <c r="J280" s="363" t="s">
        <v>211</v>
      </c>
      <c r="L280" s="364" t="s">
        <v>103</v>
      </c>
      <c r="M280" s="364" t="s">
        <v>79</v>
      </c>
      <c r="N280" s="365" t="s">
        <v>497</v>
      </c>
      <c r="O280" s="365">
        <v>657</v>
      </c>
      <c r="P280" s="364" t="s">
        <v>90</v>
      </c>
      <c r="Q280" s="364">
        <v>2</v>
      </c>
      <c r="R280" s="364">
        <v>6</v>
      </c>
      <c r="S280" s="364" t="s">
        <v>214</v>
      </c>
      <c r="T280" s="364" t="s">
        <v>74</v>
      </c>
      <c r="U280" s="364" t="s">
        <v>113</v>
      </c>
      <c r="V280" s="364" t="s">
        <v>218</v>
      </c>
      <c r="W280" s="364" t="s">
        <v>113</v>
      </c>
      <c r="X280" s="364" t="s">
        <v>113</v>
      </c>
      <c r="Y280" s="364" t="s">
        <v>74</v>
      </c>
    </row>
    <row r="281" spans="3:25" ht="13.5" customHeight="1" x14ac:dyDescent="0.2">
      <c r="C281" s="82"/>
      <c r="D281" s="292" t="s">
        <v>74</v>
      </c>
      <c r="E281" s="138"/>
      <c r="F281" s="138"/>
      <c r="H281" s="69" t="str">
        <f t="shared" si="10"/>
        <v>BTR-Regions</v>
      </c>
      <c r="I281" s="69" t="str">
        <f t="shared" si="11"/>
        <v>The Forge</v>
      </c>
      <c r="J281" s="363" t="s">
        <v>211</v>
      </c>
      <c r="L281" s="364" t="s">
        <v>103</v>
      </c>
      <c r="M281" s="364" t="s">
        <v>79</v>
      </c>
      <c r="N281" s="365" t="s">
        <v>498</v>
      </c>
      <c r="O281" s="365">
        <v>689</v>
      </c>
      <c r="P281" s="364" t="s">
        <v>90</v>
      </c>
      <c r="Q281" s="364">
        <v>2</v>
      </c>
      <c r="R281" s="364">
        <v>6</v>
      </c>
      <c r="S281" s="364" t="s">
        <v>469</v>
      </c>
      <c r="T281" s="364" t="s">
        <v>74</v>
      </c>
      <c r="U281" s="364" t="s">
        <v>113</v>
      </c>
      <c r="V281" s="364" t="s">
        <v>218</v>
      </c>
      <c r="W281" s="364" t="s">
        <v>113</v>
      </c>
      <c r="X281" s="364" t="s">
        <v>113</v>
      </c>
      <c r="Y281" s="364" t="s">
        <v>74</v>
      </c>
    </row>
    <row r="282" spans="3:25" ht="13.5" customHeight="1" x14ac:dyDescent="0.2">
      <c r="C282" s="82"/>
      <c r="D282" s="292" t="s">
        <v>74</v>
      </c>
      <c r="E282" s="138"/>
      <c r="F282" s="138"/>
      <c r="H282" s="69" t="str">
        <f t="shared" si="10"/>
        <v>BTR-Regions</v>
      </c>
      <c r="I282" s="69" t="str">
        <f t="shared" si="11"/>
        <v>The Forge</v>
      </c>
      <c r="J282" s="363" t="s">
        <v>211</v>
      </c>
      <c r="L282" s="364" t="s">
        <v>103</v>
      </c>
      <c r="M282" s="364" t="s">
        <v>79</v>
      </c>
      <c r="N282" s="365" t="s">
        <v>499</v>
      </c>
      <c r="O282" s="365">
        <v>667</v>
      </c>
      <c r="P282" s="364" t="s">
        <v>90</v>
      </c>
      <c r="Q282" s="364">
        <v>2</v>
      </c>
      <c r="R282" s="364">
        <v>6</v>
      </c>
      <c r="S282" s="364" t="s">
        <v>214</v>
      </c>
      <c r="T282" s="364" t="s">
        <v>74</v>
      </c>
      <c r="U282" s="364" t="s">
        <v>113</v>
      </c>
      <c r="V282" s="364" t="s">
        <v>218</v>
      </c>
      <c r="W282" s="364" t="s">
        <v>113</v>
      </c>
      <c r="X282" s="364" t="s">
        <v>113</v>
      </c>
      <c r="Y282" s="364" t="s">
        <v>74</v>
      </c>
    </row>
    <row r="283" spans="3:25" ht="13.5" customHeight="1" x14ac:dyDescent="0.2">
      <c r="C283" s="82"/>
      <c r="D283" s="292" t="s">
        <v>74</v>
      </c>
      <c r="E283" s="138"/>
      <c r="F283" s="138"/>
      <c r="H283" s="69" t="str">
        <f t="shared" si="10"/>
        <v>BTR-Regions</v>
      </c>
      <c r="I283" s="69" t="str">
        <f t="shared" si="11"/>
        <v>The Forge</v>
      </c>
      <c r="J283" s="363" t="s">
        <v>211</v>
      </c>
      <c r="L283" s="364" t="s">
        <v>103</v>
      </c>
      <c r="M283" s="364" t="s">
        <v>79</v>
      </c>
      <c r="N283" s="365" t="s">
        <v>500</v>
      </c>
      <c r="O283" s="365">
        <v>527</v>
      </c>
      <c r="P283" s="364" t="s">
        <v>89</v>
      </c>
      <c r="Q283" s="364">
        <v>1</v>
      </c>
      <c r="R283" s="364">
        <v>6</v>
      </c>
      <c r="S283" s="364" t="s">
        <v>492</v>
      </c>
      <c r="T283" s="364" t="s">
        <v>74</v>
      </c>
      <c r="U283" s="364" t="s">
        <v>113</v>
      </c>
      <c r="V283" s="364" t="s">
        <v>218</v>
      </c>
      <c r="W283" s="364" t="s">
        <v>113</v>
      </c>
      <c r="X283" s="364" t="s">
        <v>113</v>
      </c>
      <c r="Y283" s="364" t="s">
        <v>74</v>
      </c>
    </row>
    <row r="284" spans="3:25" ht="13.5" customHeight="1" x14ac:dyDescent="0.2">
      <c r="C284" s="82"/>
      <c r="D284" s="292" t="s">
        <v>74</v>
      </c>
      <c r="E284" s="138"/>
      <c r="F284" s="138"/>
      <c r="H284" s="69" t="str">
        <f t="shared" si="10"/>
        <v>BTR-Regions</v>
      </c>
      <c r="I284" s="69" t="str">
        <f t="shared" si="11"/>
        <v>The Forge</v>
      </c>
      <c r="J284" s="363" t="s">
        <v>211</v>
      </c>
      <c r="L284" s="364" t="s">
        <v>103</v>
      </c>
      <c r="M284" s="364" t="s">
        <v>79</v>
      </c>
      <c r="N284" s="365" t="s">
        <v>501</v>
      </c>
      <c r="O284" s="365">
        <v>840</v>
      </c>
      <c r="P284" s="364" t="s">
        <v>91</v>
      </c>
      <c r="Q284" s="364">
        <v>2</v>
      </c>
      <c r="R284" s="364">
        <v>6</v>
      </c>
      <c r="S284" s="364" t="s">
        <v>492</v>
      </c>
      <c r="T284" s="364" t="s">
        <v>74</v>
      </c>
      <c r="U284" s="364" t="s">
        <v>113</v>
      </c>
      <c r="V284" s="364" t="s">
        <v>218</v>
      </c>
      <c r="W284" s="364" t="s">
        <v>113</v>
      </c>
      <c r="X284" s="364" t="s">
        <v>113</v>
      </c>
      <c r="Y284" s="364" t="s">
        <v>74</v>
      </c>
    </row>
    <row r="285" spans="3:25" ht="13.5" customHeight="1" x14ac:dyDescent="0.2">
      <c r="C285" s="82"/>
      <c r="D285" s="292" t="s">
        <v>74</v>
      </c>
      <c r="E285" s="138"/>
      <c r="F285" s="138"/>
      <c r="H285" s="69" t="str">
        <f t="shared" si="10"/>
        <v>BTR-Regions</v>
      </c>
      <c r="I285" s="69" t="str">
        <f t="shared" si="11"/>
        <v>The Forge</v>
      </c>
      <c r="J285" s="363" t="s">
        <v>211</v>
      </c>
      <c r="L285" s="364" t="s">
        <v>103</v>
      </c>
      <c r="M285" s="364" t="s">
        <v>79</v>
      </c>
      <c r="N285" s="365" t="s">
        <v>502</v>
      </c>
      <c r="O285" s="365">
        <v>624</v>
      </c>
      <c r="P285" s="364" t="s">
        <v>90</v>
      </c>
      <c r="Q285" s="364">
        <v>2</v>
      </c>
      <c r="R285" s="364">
        <v>6</v>
      </c>
      <c r="S285" s="364" t="s">
        <v>492</v>
      </c>
      <c r="T285" s="364" t="s">
        <v>74</v>
      </c>
      <c r="U285" s="364" t="s">
        <v>113</v>
      </c>
      <c r="V285" s="364" t="s">
        <v>218</v>
      </c>
      <c r="W285" s="364" t="s">
        <v>113</v>
      </c>
      <c r="X285" s="364" t="s">
        <v>113</v>
      </c>
      <c r="Y285" s="364" t="s">
        <v>74</v>
      </c>
    </row>
    <row r="286" spans="3:25" ht="13.5" customHeight="1" x14ac:dyDescent="0.2">
      <c r="C286" s="82"/>
      <c r="D286" s="292" t="s">
        <v>74</v>
      </c>
      <c r="E286" s="138"/>
      <c r="F286" s="138"/>
      <c r="H286" s="69" t="str">
        <f t="shared" si="10"/>
        <v>BTR-Regions</v>
      </c>
      <c r="I286" s="69" t="str">
        <f t="shared" si="11"/>
        <v>The Forge</v>
      </c>
      <c r="J286" s="363" t="s">
        <v>211</v>
      </c>
      <c r="L286" s="364" t="s">
        <v>103</v>
      </c>
      <c r="M286" s="364" t="s">
        <v>79</v>
      </c>
      <c r="N286" s="365" t="s">
        <v>503</v>
      </c>
      <c r="O286" s="365">
        <v>840</v>
      </c>
      <c r="P286" s="364" t="s">
        <v>91</v>
      </c>
      <c r="Q286" s="364">
        <v>2</v>
      </c>
      <c r="R286" s="364">
        <v>7</v>
      </c>
      <c r="S286" s="364" t="s">
        <v>492</v>
      </c>
      <c r="T286" s="364" t="s">
        <v>74</v>
      </c>
      <c r="U286" s="364" t="s">
        <v>113</v>
      </c>
      <c r="V286" s="364" t="s">
        <v>305</v>
      </c>
      <c r="W286" s="364" t="s">
        <v>113</v>
      </c>
      <c r="X286" s="364" t="s">
        <v>113</v>
      </c>
      <c r="Y286" s="364" t="s">
        <v>74</v>
      </c>
    </row>
    <row r="287" spans="3:25" ht="13.5" customHeight="1" x14ac:dyDescent="0.2">
      <c r="C287" s="82"/>
      <c r="D287" s="292" t="s">
        <v>74</v>
      </c>
      <c r="E287" s="138"/>
      <c r="F287" s="138"/>
      <c r="H287" s="69" t="str">
        <f t="shared" si="10"/>
        <v>BTR-Regions</v>
      </c>
      <c r="I287" s="69" t="str">
        <f t="shared" si="11"/>
        <v>The Forge</v>
      </c>
      <c r="J287" s="363" t="s">
        <v>211</v>
      </c>
      <c r="L287" s="364" t="s">
        <v>103</v>
      </c>
      <c r="M287" s="364" t="s">
        <v>79</v>
      </c>
      <c r="N287" s="365" t="s">
        <v>504</v>
      </c>
      <c r="O287" s="365">
        <v>495</v>
      </c>
      <c r="P287" s="364" t="s">
        <v>89</v>
      </c>
      <c r="Q287" s="364">
        <v>1</v>
      </c>
      <c r="R287" s="364">
        <v>7</v>
      </c>
      <c r="S287" s="364" t="s">
        <v>393</v>
      </c>
      <c r="T287" s="364" t="s">
        <v>74</v>
      </c>
      <c r="U287" s="364" t="s">
        <v>113</v>
      </c>
      <c r="V287" s="364" t="s">
        <v>305</v>
      </c>
      <c r="W287" s="364" t="s">
        <v>113</v>
      </c>
      <c r="X287" s="364" t="s">
        <v>113</v>
      </c>
      <c r="Y287" s="364" t="s">
        <v>74</v>
      </c>
    </row>
    <row r="288" spans="3:25" ht="13.5" customHeight="1" x14ac:dyDescent="0.2">
      <c r="C288" s="82"/>
      <c r="D288" s="292" t="s">
        <v>74</v>
      </c>
      <c r="E288" s="138"/>
      <c r="F288" s="138"/>
      <c r="H288" s="69" t="str">
        <f t="shared" si="10"/>
        <v>BTR-Regions</v>
      </c>
      <c r="I288" s="69" t="str">
        <f t="shared" si="11"/>
        <v>The Forge</v>
      </c>
      <c r="J288" s="363" t="s">
        <v>211</v>
      </c>
      <c r="L288" s="364" t="s">
        <v>103</v>
      </c>
      <c r="M288" s="364" t="s">
        <v>79</v>
      </c>
      <c r="N288" s="365" t="s">
        <v>505</v>
      </c>
      <c r="O288" s="365">
        <v>506</v>
      </c>
      <c r="P288" s="364" t="s">
        <v>89</v>
      </c>
      <c r="Q288" s="364">
        <v>1</v>
      </c>
      <c r="R288" s="364">
        <v>7</v>
      </c>
      <c r="S288" s="364" t="s">
        <v>492</v>
      </c>
      <c r="T288" s="364" t="s">
        <v>74</v>
      </c>
      <c r="U288" s="364" t="s">
        <v>113</v>
      </c>
      <c r="V288" s="364" t="s">
        <v>305</v>
      </c>
      <c r="W288" s="364" t="s">
        <v>113</v>
      </c>
      <c r="X288" s="364" t="s">
        <v>113</v>
      </c>
      <c r="Y288" s="364" t="s">
        <v>74</v>
      </c>
    </row>
    <row r="289" spans="3:25" ht="13.5" customHeight="1" x14ac:dyDescent="0.2">
      <c r="C289" s="82"/>
      <c r="D289" s="292" t="s">
        <v>74</v>
      </c>
      <c r="E289" s="138"/>
      <c r="F289" s="138"/>
      <c r="H289" s="69" t="str">
        <f t="shared" si="10"/>
        <v>BTR-Regions</v>
      </c>
      <c r="I289" s="69" t="str">
        <f t="shared" si="11"/>
        <v>The Forge</v>
      </c>
      <c r="J289" s="363" t="s">
        <v>211</v>
      </c>
      <c r="L289" s="364" t="s">
        <v>103</v>
      </c>
      <c r="M289" s="364" t="s">
        <v>79</v>
      </c>
      <c r="N289" s="365" t="s">
        <v>506</v>
      </c>
      <c r="O289" s="365">
        <v>624</v>
      </c>
      <c r="P289" s="364" t="s">
        <v>90</v>
      </c>
      <c r="Q289" s="364">
        <v>2</v>
      </c>
      <c r="R289" s="364">
        <v>7</v>
      </c>
      <c r="S289" s="364" t="s">
        <v>492</v>
      </c>
      <c r="T289" s="364" t="s">
        <v>74</v>
      </c>
      <c r="U289" s="364" t="s">
        <v>113</v>
      </c>
      <c r="V289" s="364" t="s">
        <v>305</v>
      </c>
      <c r="W289" s="364" t="s">
        <v>113</v>
      </c>
      <c r="X289" s="364" t="s">
        <v>113</v>
      </c>
      <c r="Y289" s="364" t="s">
        <v>74</v>
      </c>
    </row>
    <row r="290" spans="3:25" ht="13.5" customHeight="1" x14ac:dyDescent="0.2">
      <c r="C290" s="82"/>
      <c r="D290" s="292" t="s">
        <v>74</v>
      </c>
      <c r="E290" s="138"/>
      <c r="F290" s="138"/>
      <c r="H290" s="69" t="str">
        <f t="shared" si="10"/>
        <v>BTR-Regions</v>
      </c>
      <c r="I290" s="69" t="str">
        <f t="shared" si="11"/>
        <v>The Forge</v>
      </c>
      <c r="J290" s="363" t="s">
        <v>211</v>
      </c>
      <c r="L290" s="364" t="s">
        <v>103</v>
      </c>
      <c r="M290" s="364" t="s">
        <v>79</v>
      </c>
      <c r="N290" s="365" t="s">
        <v>507</v>
      </c>
      <c r="O290" s="365">
        <v>657</v>
      </c>
      <c r="P290" s="364" t="s">
        <v>90</v>
      </c>
      <c r="Q290" s="364">
        <v>2</v>
      </c>
      <c r="R290" s="364">
        <v>7</v>
      </c>
      <c r="S290" s="364" t="s">
        <v>469</v>
      </c>
      <c r="T290" s="364" t="s">
        <v>74</v>
      </c>
      <c r="U290" s="364" t="s">
        <v>113</v>
      </c>
      <c r="V290" s="364" t="s">
        <v>305</v>
      </c>
      <c r="W290" s="364" t="s">
        <v>113</v>
      </c>
      <c r="X290" s="364" t="s">
        <v>113</v>
      </c>
      <c r="Y290" s="364" t="s">
        <v>74</v>
      </c>
    </row>
    <row r="291" spans="3:25" ht="13.5" customHeight="1" x14ac:dyDescent="0.2">
      <c r="C291" s="82"/>
      <c r="D291" s="292" t="s">
        <v>74</v>
      </c>
      <c r="E291" s="138"/>
      <c r="F291" s="138"/>
      <c r="H291" s="69" t="str">
        <f t="shared" si="10"/>
        <v>BTR-Regions</v>
      </c>
      <c r="I291" s="69" t="str">
        <f t="shared" si="11"/>
        <v>The Forge</v>
      </c>
      <c r="J291" s="363" t="s">
        <v>211</v>
      </c>
      <c r="L291" s="364" t="s">
        <v>103</v>
      </c>
      <c r="M291" s="364" t="s">
        <v>79</v>
      </c>
      <c r="N291" s="365" t="s">
        <v>508</v>
      </c>
      <c r="O291" s="365">
        <v>689</v>
      </c>
      <c r="P291" s="364" t="s">
        <v>90</v>
      </c>
      <c r="Q291" s="364">
        <v>2</v>
      </c>
      <c r="R291" s="364">
        <v>7</v>
      </c>
      <c r="S291" s="364" t="s">
        <v>469</v>
      </c>
      <c r="T291" s="364" t="s">
        <v>74</v>
      </c>
      <c r="U291" s="364" t="s">
        <v>113</v>
      </c>
      <c r="V291" s="364" t="s">
        <v>305</v>
      </c>
      <c r="W291" s="364" t="s">
        <v>113</v>
      </c>
      <c r="X291" s="364" t="s">
        <v>113</v>
      </c>
      <c r="Y291" s="364" t="s">
        <v>74</v>
      </c>
    </row>
    <row r="292" spans="3:25" ht="13.5" customHeight="1" x14ac:dyDescent="0.2">
      <c r="C292" s="82"/>
      <c r="D292" s="292" t="s">
        <v>74</v>
      </c>
      <c r="E292" s="138"/>
      <c r="F292" s="138"/>
      <c r="H292" s="69" t="str">
        <f t="shared" si="10"/>
        <v>BTR-Regions</v>
      </c>
      <c r="I292" s="69" t="str">
        <f t="shared" si="11"/>
        <v>The Forge</v>
      </c>
      <c r="J292" s="363" t="s">
        <v>211</v>
      </c>
      <c r="L292" s="364" t="s">
        <v>103</v>
      </c>
      <c r="M292" s="364" t="s">
        <v>79</v>
      </c>
      <c r="N292" s="365" t="s">
        <v>509</v>
      </c>
      <c r="O292" s="365">
        <v>678</v>
      </c>
      <c r="P292" s="364" t="s">
        <v>90</v>
      </c>
      <c r="Q292" s="364">
        <v>2</v>
      </c>
      <c r="R292" s="364">
        <v>7</v>
      </c>
      <c r="S292" s="364" t="s">
        <v>492</v>
      </c>
      <c r="T292" s="364" t="s">
        <v>74</v>
      </c>
      <c r="U292" s="364" t="s">
        <v>113</v>
      </c>
      <c r="V292" s="364" t="s">
        <v>305</v>
      </c>
      <c r="W292" s="364" t="s">
        <v>113</v>
      </c>
      <c r="X292" s="364" t="s">
        <v>113</v>
      </c>
      <c r="Y292" s="364" t="s">
        <v>74</v>
      </c>
    </row>
    <row r="293" spans="3:25" ht="13.5" customHeight="1" x14ac:dyDescent="0.2">
      <c r="C293" s="82"/>
      <c r="D293" s="292" t="s">
        <v>74</v>
      </c>
      <c r="E293" s="138"/>
      <c r="F293" s="138"/>
      <c r="H293" s="69" t="str">
        <f t="shared" si="10"/>
        <v>BTR-Regions</v>
      </c>
      <c r="I293" s="69" t="str">
        <f t="shared" si="11"/>
        <v>The Forge</v>
      </c>
      <c r="J293" s="363" t="s">
        <v>211</v>
      </c>
      <c r="L293" s="364" t="s">
        <v>103</v>
      </c>
      <c r="M293" s="364" t="s">
        <v>79</v>
      </c>
      <c r="N293" s="365" t="s">
        <v>510</v>
      </c>
      <c r="O293" s="365">
        <v>527</v>
      </c>
      <c r="P293" s="364" t="s">
        <v>89</v>
      </c>
      <c r="Q293" s="364">
        <v>1</v>
      </c>
      <c r="R293" s="364">
        <v>7</v>
      </c>
      <c r="S293" s="364" t="s">
        <v>492</v>
      </c>
      <c r="T293" s="364" t="s">
        <v>74</v>
      </c>
      <c r="U293" s="364" t="s">
        <v>113</v>
      </c>
      <c r="V293" s="364" t="s">
        <v>305</v>
      </c>
      <c r="W293" s="364" t="s">
        <v>113</v>
      </c>
      <c r="X293" s="364" t="s">
        <v>113</v>
      </c>
      <c r="Y293" s="364" t="s">
        <v>74</v>
      </c>
    </row>
    <row r="294" spans="3:25" ht="13.5" customHeight="1" x14ac:dyDescent="0.2">
      <c r="C294" s="82"/>
      <c r="D294" s="292" t="s">
        <v>74</v>
      </c>
      <c r="E294" s="138"/>
      <c r="F294" s="138"/>
      <c r="H294" s="69" t="str">
        <f t="shared" si="10"/>
        <v>BTR-Regions</v>
      </c>
      <c r="I294" s="69" t="str">
        <f t="shared" si="11"/>
        <v>The Forge</v>
      </c>
      <c r="J294" s="363" t="s">
        <v>211</v>
      </c>
      <c r="L294" s="364" t="s">
        <v>103</v>
      </c>
      <c r="M294" s="364" t="s">
        <v>79</v>
      </c>
      <c r="N294" s="365" t="s">
        <v>511</v>
      </c>
      <c r="O294" s="365">
        <v>840</v>
      </c>
      <c r="P294" s="364" t="s">
        <v>91</v>
      </c>
      <c r="Q294" s="364">
        <v>2</v>
      </c>
      <c r="R294" s="364">
        <v>7</v>
      </c>
      <c r="S294" s="364" t="s">
        <v>492</v>
      </c>
      <c r="T294" s="364" t="s">
        <v>74</v>
      </c>
      <c r="U294" s="364" t="s">
        <v>113</v>
      </c>
      <c r="V294" s="364" t="s">
        <v>305</v>
      </c>
      <c r="W294" s="364" t="s">
        <v>113</v>
      </c>
      <c r="X294" s="364" t="s">
        <v>113</v>
      </c>
      <c r="Y294" s="364" t="s">
        <v>74</v>
      </c>
    </row>
    <row r="295" spans="3:25" ht="13.5" customHeight="1" x14ac:dyDescent="0.2">
      <c r="C295" s="82"/>
      <c r="D295" s="292" t="s">
        <v>74</v>
      </c>
      <c r="E295" s="138"/>
      <c r="F295" s="138"/>
      <c r="H295" s="69" t="str">
        <f t="shared" si="10"/>
        <v>BTR-Regions</v>
      </c>
      <c r="I295" s="69" t="str">
        <f t="shared" si="11"/>
        <v>The Forge</v>
      </c>
      <c r="J295" s="363" t="s">
        <v>211</v>
      </c>
      <c r="L295" s="364" t="s">
        <v>103</v>
      </c>
      <c r="M295" s="364" t="s">
        <v>79</v>
      </c>
      <c r="N295" s="365" t="s">
        <v>512</v>
      </c>
      <c r="O295" s="365">
        <v>840</v>
      </c>
      <c r="P295" s="364" t="s">
        <v>91</v>
      </c>
      <c r="Q295" s="364">
        <v>2</v>
      </c>
      <c r="R295" s="364">
        <v>8</v>
      </c>
      <c r="S295" s="364" t="s">
        <v>492</v>
      </c>
      <c r="T295" s="364" t="s">
        <v>74</v>
      </c>
      <c r="U295" s="364" t="s">
        <v>113</v>
      </c>
      <c r="V295" s="364" t="s">
        <v>218</v>
      </c>
      <c r="W295" s="364" t="s">
        <v>113</v>
      </c>
      <c r="X295" s="364" t="s">
        <v>113</v>
      </c>
      <c r="Y295" s="364" t="s">
        <v>74</v>
      </c>
    </row>
    <row r="296" spans="3:25" ht="13.5" customHeight="1" x14ac:dyDescent="0.2">
      <c r="C296" s="82"/>
      <c r="D296" s="292" t="s">
        <v>74</v>
      </c>
      <c r="E296" s="138"/>
      <c r="F296" s="138"/>
      <c r="H296" s="69" t="str">
        <f t="shared" si="10"/>
        <v>BTR-Regions</v>
      </c>
      <c r="I296" s="69" t="str">
        <f t="shared" si="11"/>
        <v>The Forge</v>
      </c>
      <c r="J296" s="363" t="s">
        <v>211</v>
      </c>
      <c r="L296" s="364" t="s">
        <v>103</v>
      </c>
      <c r="M296" s="364" t="s">
        <v>79</v>
      </c>
      <c r="N296" s="365" t="s">
        <v>513</v>
      </c>
      <c r="O296" s="365">
        <v>495</v>
      </c>
      <c r="P296" s="364" t="s">
        <v>89</v>
      </c>
      <c r="Q296" s="364">
        <v>1</v>
      </c>
      <c r="R296" s="364">
        <v>8</v>
      </c>
      <c r="S296" s="364" t="s">
        <v>393</v>
      </c>
      <c r="T296" s="364" t="s">
        <v>74</v>
      </c>
      <c r="U296" s="364" t="s">
        <v>113</v>
      </c>
      <c r="V296" s="364" t="s">
        <v>218</v>
      </c>
      <c r="W296" s="364" t="s">
        <v>113</v>
      </c>
      <c r="X296" s="364" t="s">
        <v>113</v>
      </c>
      <c r="Y296" s="364" t="s">
        <v>74</v>
      </c>
    </row>
    <row r="297" spans="3:25" ht="13.5" customHeight="1" x14ac:dyDescent="0.2">
      <c r="C297" s="82"/>
      <c r="D297" s="292" t="s">
        <v>74</v>
      </c>
      <c r="E297" s="138"/>
      <c r="F297" s="138"/>
      <c r="H297" s="69" t="str">
        <f t="shared" si="10"/>
        <v>BTR-Regions</v>
      </c>
      <c r="I297" s="69" t="str">
        <f t="shared" si="11"/>
        <v>The Forge</v>
      </c>
      <c r="J297" s="363" t="s">
        <v>211</v>
      </c>
      <c r="L297" s="364" t="s">
        <v>103</v>
      </c>
      <c r="M297" s="364" t="s">
        <v>79</v>
      </c>
      <c r="N297" s="365" t="s">
        <v>514</v>
      </c>
      <c r="O297" s="365">
        <v>506</v>
      </c>
      <c r="P297" s="364" t="s">
        <v>89</v>
      </c>
      <c r="Q297" s="364">
        <v>1</v>
      </c>
      <c r="R297" s="364">
        <v>8</v>
      </c>
      <c r="S297" s="364" t="s">
        <v>492</v>
      </c>
      <c r="T297" s="364" t="s">
        <v>74</v>
      </c>
      <c r="U297" s="364" t="s">
        <v>113</v>
      </c>
      <c r="V297" s="364" t="s">
        <v>218</v>
      </c>
      <c r="W297" s="364" t="s">
        <v>113</v>
      </c>
      <c r="X297" s="364" t="s">
        <v>113</v>
      </c>
      <c r="Y297" s="364" t="s">
        <v>74</v>
      </c>
    </row>
    <row r="298" spans="3:25" ht="13.5" customHeight="1" x14ac:dyDescent="0.2">
      <c r="C298" s="82"/>
      <c r="D298" s="292" t="s">
        <v>74</v>
      </c>
      <c r="E298" s="138"/>
      <c r="F298" s="138"/>
      <c r="H298" s="69" t="str">
        <f t="shared" si="10"/>
        <v>BTR-Regions</v>
      </c>
      <c r="I298" s="69" t="str">
        <f t="shared" si="11"/>
        <v>The Forge</v>
      </c>
      <c r="J298" s="363" t="s">
        <v>211</v>
      </c>
      <c r="L298" s="364" t="s">
        <v>103</v>
      </c>
      <c r="M298" s="364" t="s">
        <v>79</v>
      </c>
      <c r="N298" s="365" t="s">
        <v>515</v>
      </c>
      <c r="O298" s="365">
        <v>624</v>
      </c>
      <c r="P298" s="364" t="s">
        <v>90</v>
      </c>
      <c r="Q298" s="364">
        <v>2</v>
      </c>
      <c r="R298" s="364">
        <v>8</v>
      </c>
      <c r="S298" s="364" t="s">
        <v>492</v>
      </c>
      <c r="T298" s="364" t="s">
        <v>74</v>
      </c>
      <c r="U298" s="364" t="s">
        <v>113</v>
      </c>
      <c r="V298" s="364" t="s">
        <v>218</v>
      </c>
      <c r="W298" s="364" t="s">
        <v>113</v>
      </c>
      <c r="X298" s="364" t="s">
        <v>113</v>
      </c>
      <c r="Y298" s="364" t="s">
        <v>74</v>
      </c>
    </row>
    <row r="299" spans="3:25" ht="13.5" customHeight="1" x14ac:dyDescent="0.2">
      <c r="C299" s="82"/>
      <c r="D299" s="292" t="s">
        <v>74</v>
      </c>
      <c r="E299" s="138"/>
      <c r="F299" s="138"/>
      <c r="H299" s="69" t="str">
        <f t="shared" si="10"/>
        <v>BTR-Regions</v>
      </c>
      <c r="I299" s="69" t="str">
        <f t="shared" si="11"/>
        <v>The Forge</v>
      </c>
      <c r="J299" s="363" t="s">
        <v>211</v>
      </c>
      <c r="L299" s="364" t="s">
        <v>103</v>
      </c>
      <c r="M299" s="364" t="s">
        <v>79</v>
      </c>
      <c r="N299" s="365" t="s">
        <v>516</v>
      </c>
      <c r="O299" s="365">
        <v>657</v>
      </c>
      <c r="P299" s="364" t="s">
        <v>90</v>
      </c>
      <c r="Q299" s="364">
        <v>2</v>
      </c>
      <c r="R299" s="364">
        <v>8</v>
      </c>
      <c r="S299" s="364" t="s">
        <v>469</v>
      </c>
      <c r="T299" s="364" t="s">
        <v>74</v>
      </c>
      <c r="U299" s="364" t="s">
        <v>113</v>
      </c>
      <c r="V299" s="364" t="s">
        <v>218</v>
      </c>
      <c r="W299" s="364" t="s">
        <v>113</v>
      </c>
      <c r="X299" s="364" t="s">
        <v>113</v>
      </c>
      <c r="Y299" s="364" t="s">
        <v>74</v>
      </c>
    </row>
    <row r="300" spans="3:25" ht="13.5" customHeight="1" x14ac:dyDescent="0.2">
      <c r="C300" s="82"/>
      <c r="D300" s="292" t="s">
        <v>74</v>
      </c>
      <c r="E300" s="138"/>
      <c r="F300" s="138"/>
      <c r="H300" s="69" t="str">
        <f t="shared" si="10"/>
        <v>BTR-Regions</v>
      </c>
      <c r="I300" s="69" t="str">
        <f t="shared" si="11"/>
        <v>The Forge</v>
      </c>
      <c r="J300" s="363" t="s">
        <v>211</v>
      </c>
      <c r="L300" s="364" t="s">
        <v>103</v>
      </c>
      <c r="M300" s="364" t="s">
        <v>79</v>
      </c>
      <c r="N300" s="365" t="s">
        <v>517</v>
      </c>
      <c r="O300" s="365">
        <v>689</v>
      </c>
      <c r="P300" s="364" t="s">
        <v>90</v>
      </c>
      <c r="Q300" s="364">
        <v>2</v>
      </c>
      <c r="R300" s="364">
        <v>8</v>
      </c>
      <c r="S300" s="364" t="s">
        <v>469</v>
      </c>
      <c r="T300" s="364" t="s">
        <v>74</v>
      </c>
      <c r="U300" s="364" t="s">
        <v>113</v>
      </c>
      <c r="V300" s="364" t="s">
        <v>218</v>
      </c>
      <c r="W300" s="364" t="s">
        <v>113</v>
      </c>
      <c r="X300" s="364" t="s">
        <v>113</v>
      </c>
      <c r="Y300" s="364" t="s">
        <v>74</v>
      </c>
    </row>
    <row r="301" spans="3:25" ht="13.5" customHeight="1" x14ac:dyDescent="0.2">
      <c r="C301" s="82"/>
      <c r="D301" s="292" t="s">
        <v>74</v>
      </c>
      <c r="E301" s="138"/>
      <c r="F301" s="138"/>
      <c r="H301" s="69" t="str">
        <f t="shared" si="10"/>
        <v>BTR-Regions</v>
      </c>
      <c r="I301" s="69" t="str">
        <f t="shared" si="11"/>
        <v>The Forge</v>
      </c>
      <c r="J301" s="363" t="s">
        <v>211</v>
      </c>
      <c r="L301" s="364" t="s">
        <v>103</v>
      </c>
      <c r="M301" s="364" t="s">
        <v>79</v>
      </c>
      <c r="N301" s="365" t="s">
        <v>518</v>
      </c>
      <c r="O301" s="365">
        <v>678</v>
      </c>
      <c r="P301" s="364" t="s">
        <v>90</v>
      </c>
      <c r="Q301" s="364">
        <v>2</v>
      </c>
      <c r="R301" s="364">
        <v>8</v>
      </c>
      <c r="S301" s="364" t="s">
        <v>492</v>
      </c>
      <c r="T301" s="364" t="s">
        <v>74</v>
      </c>
      <c r="U301" s="364" t="s">
        <v>113</v>
      </c>
      <c r="V301" s="364" t="s">
        <v>218</v>
      </c>
      <c r="W301" s="364" t="s">
        <v>113</v>
      </c>
      <c r="X301" s="364" t="s">
        <v>113</v>
      </c>
      <c r="Y301" s="364" t="s">
        <v>74</v>
      </c>
    </row>
    <row r="302" spans="3:25" ht="13.5" customHeight="1" x14ac:dyDescent="0.2">
      <c r="C302" s="82"/>
      <c r="D302" s="292" t="s">
        <v>74</v>
      </c>
      <c r="E302" s="138"/>
      <c r="F302" s="138"/>
      <c r="H302" s="69" t="str">
        <f t="shared" si="10"/>
        <v>BTR-Regions</v>
      </c>
      <c r="I302" s="69" t="str">
        <f t="shared" si="11"/>
        <v>The Forge</v>
      </c>
      <c r="J302" s="363" t="s">
        <v>211</v>
      </c>
      <c r="L302" s="364" t="s">
        <v>103</v>
      </c>
      <c r="M302" s="364" t="s">
        <v>79</v>
      </c>
      <c r="N302" s="365" t="s">
        <v>519</v>
      </c>
      <c r="O302" s="365">
        <v>527</v>
      </c>
      <c r="P302" s="364" t="s">
        <v>89</v>
      </c>
      <c r="Q302" s="364">
        <v>1</v>
      </c>
      <c r="R302" s="364">
        <v>8</v>
      </c>
      <c r="S302" s="364" t="s">
        <v>492</v>
      </c>
      <c r="T302" s="364" t="s">
        <v>74</v>
      </c>
      <c r="U302" s="364" t="s">
        <v>113</v>
      </c>
      <c r="V302" s="364" t="s">
        <v>218</v>
      </c>
      <c r="W302" s="364" t="s">
        <v>113</v>
      </c>
      <c r="X302" s="364" t="s">
        <v>113</v>
      </c>
      <c r="Y302" s="364" t="s">
        <v>74</v>
      </c>
    </row>
    <row r="303" spans="3:25" ht="13.5" customHeight="1" x14ac:dyDescent="0.2">
      <c r="C303" s="82"/>
      <c r="D303" s="292" t="s">
        <v>74</v>
      </c>
      <c r="E303" s="138"/>
      <c r="F303" s="138"/>
      <c r="H303" s="69" t="str">
        <f t="shared" si="10"/>
        <v>BTR-Regions</v>
      </c>
      <c r="I303" s="69" t="str">
        <f t="shared" si="11"/>
        <v>The Forge</v>
      </c>
      <c r="J303" s="363" t="s">
        <v>211</v>
      </c>
      <c r="L303" s="364" t="s">
        <v>103</v>
      </c>
      <c r="M303" s="364" t="s">
        <v>79</v>
      </c>
      <c r="N303" s="365" t="s">
        <v>520</v>
      </c>
      <c r="O303" s="365">
        <v>840</v>
      </c>
      <c r="P303" s="364" t="s">
        <v>91</v>
      </c>
      <c r="Q303" s="364">
        <v>2</v>
      </c>
      <c r="R303" s="364">
        <v>8</v>
      </c>
      <c r="S303" s="364" t="s">
        <v>492</v>
      </c>
      <c r="T303" s="364" t="s">
        <v>74</v>
      </c>
      <c r="U303" s="364" t="s">
        <v>113</v>
      </c>
      <c r="V303" s="364" t="s">
        <v>218</v>
      </c>
      <c r="W303" s="364" t="s">
        <v>113</v>
      </c>
      <c r="X303" s="364" t="s">
        <v>113</v>
      </c>
      <c r="Y303" s="364" t="s">
        <v>74</v>
      </c>
    </row>
    <row r="304" spans="3:25" ht="13.5" customHeight="1" x14ac:dyDescent="0.2">
      <c r="C304" s="82"/>
      <c r="D304" s="292" t="s">
        <v>74</v>
      </c>
      <c r="E304" s="138"/>
      <c r="F304" s="138"/>
      <c r="H304" s="69" t="str">
        <f t="shared" si="10"/>
        <v>BTR-Regions</v>
      </c>
      <c r="I304" s="69" t="str">
        <f t="shared" si="11"/>
        <v>The Forge</v>
      </c>
      <c r="J304" s="292"/>
      <c r="L304" s="283"/>
      <c r="M304" s="283"/>
      <c r="N304" s="212"/>
      <c r="O304" s="213"/>
      <c r="P304" s="283"/>
      <c r="Q304" s="283"/>
      <c r="R304" s="283"/>
      <c r="S304" s="283"/>
      <c r="T304" s="284"/>
      <c r="U304" s="284"/>
      <c r="V304" s="283"/>
      <c r="W304" s="283"/>
      <c r="X304" s="283"/>
      <c r="Y304" s="283"/>
    </row>
    <row r="305" spans="3:25" ht="13.5" customHeight="1" x14ac:dyDescent="0.2">
      <c r="C305" s="82"/>
      <c r="D305" s="292" t="s">
        <v>74</v>
      </c>
      <c r="E305" s="138"/>
      <c r="F305" s="138"/>
      <c r="H305" s="69" t="str">
        <f t="shared" si="10"/>
        <v>BTR-Regions</v>
      </c>
      <c r="I305" s="69" t="str">
        <f t="shared" si="11"/>
        <v>The Forge</v>
      </c>
      <c r="J305" s="292"/>
      <c r="L305" s="283"/>
      <c r="M305" s="283"/>
      <c r="N305" s="212"/>
      <c r="O305" s="213"/>
      <c r="P305" s="283"/>
      <c r="Q305" s="283"/>
      <c r="R305" s="283"/>
      <c r="S305" s="283"/>
      <c r="T305" s="284"/>
      <c r="U305" s="284"/>
      <c r="V305" s="283"/>
      <c r="W305" s="283"/>
      <c r="X305" s="283"/>
      <c r="Y305" s="283"/>
    </row>
    <row r="306" spans="3:25" ht="13.5" customHeight="1" x14ac:dyDescent="0.2">
      <c r="C306" s="82"/>
      <c r="D306" s="292" t="s">
        <v>74</v>
      </c>
      <c r="E306" s="138"/>
      <c r="F306" s="138"/>
      <c r="H306" s="69" t="str">
        <f t="shared" si="10"/>
        <v>BTR-Regions</v>
      </c>
      <c r="I306" s="69" t="str">
        <f t="shared" si="11"/>
        <v>The Forge</v>
      </c>
      <c r="J306" s="292"/>
      <c r="L306" s="283"/>
      <c r="M306" s="283"/>
      <c r="N306" s="212"/>
      <c r="O306" s="213"/>
      <c r="P306" s="283"/>
      <c r="Q306" s="283"/>
      <c r="R306" s="283"/>
      <c r="S306" s="283"/>
      <c r="T306" s="284"/>
      <c r="U306" s="284"/>
      <c r="V306" s="283"/>
      <c r="W306" s="283"/>
      <c r="X306" s="283"/>
      <c r="Y306" s="283"/>
    </row>
    <row r="307" spans="3:25" ht="13.5" customHeight="1" x14ac:dyDescent="0.2">
      <c r="C307" s="82"/>
      <c r="D307" s="292" t="s">
        <v>74</v>
      </c>
      <c r="E307" s="138"/>
      <c r="F307" s="138"/>
      <c r="H307" s="69" t="str">
        <f t="shared" si="10"/>
        <v>BTR-Regions</v>
      </c>
      <c r="I307" s="69" t="str">
        <f t="shared" si="11"/>
        <v>The Forge</v>
      </c>
      <c r="J307" s="292"/>
      <c r="L307" s="283"/>
      <c r="M307" s="283"/>
      <c r="N307" s="212"/>
      <c r="O307" s="213"/>
      <c r="P307" s="283"/>
      <c r="Q307" s="283"/>
      <c r="R307" s="283"/>
      <c r="S307" s="283"/>
      <c r="T307" s="284"/>
      <c r="U307" s="284"/>
      <c r="V307" s="283"/>
      <c r="W307" s="283"/>
      <c r="X307" s="283"/>
      <c r="Y307" s="283"/>
    </row>
    <row r="308" spans="3:25" ht="13.5" customHeight="1" x14ac:dyDescent="0.2">
      <c r="C308" s="82"/>
      <c r="D308" s="292" t="s">
        <v>74</v>
      </c>
      <c r="E308" s="138"/>
      <c r="F308" s="138"/>
      <c r="H308" s="69" t="str">
        <f t="shared" si="10"/>
        <v>BTR-Regions</v>
      </c>
      <c r="I308" s="69" t="str">
        <f t="shared" si="11"/>
        <v>The Forge</v>
      </c>
      <c r="J308" s="292"/>
      <c r="L308" s="283"/>
      <c r="M308" s="283"/>
      <c r="N308" s="212"/>
      <c r="O308" s="213"/>
      <c r="P308" s="283"/>
      <c r="Q308" s="283"/>
      <c r="R308" s="283"/>
      <c r="S308" s="283"/>
      <c r="T308" s="284"/>
      <c r="U308" s="284"/>
      <c r="V308" s="283"/>
      <c r="W308" s="283"/>
      <c r="X308" s="283"/>
      <c r="Y308" s="283"/>
    </row>
    <row r="309" spans="3:25" ht="13.5" customHeight="1" x14ac:dyDescent="0.2">
      <c r="C309" s="82"/>
      <c r="D309" s="292" t="s">
        <v>74</v>
      </c>
      <c r="E309" s="138"/>
      <c r="F309" s="138"/>
      <c r="H309" s="69" t="str">
        <f t="shared" si="10"/>
        <v>BTR-Regions</v>
      </c>
      <c r="I309" s="69" t="str">
        <f t="shared" si="11"/>
        <v>The Forge</v>
      </c>
      <c r="J309" s="292"/>
      <c r="L309" s="283"/>
      <c r="M309" s="283"/>
      <c r="N309" s="212"/>
      <c r="O309" s="213"/>
      <c r="P309" s="283"/>
      <c r="Q309" s="283"/>
      <c r="R309" s="283"/>
      <c r="S309" s="283"/>
      <c r="T309" s="284"/>
      <c r="U309" s="284"/>
      <c r="V309" s="283"/>
      <c r="W309" s="283"/>
      <c r="X309" s="283"/>
      <c r="Y309" s="283"/>
    </row>
    <row r="310" spans="3:25" ht="13.5" customHeight="1" x14ac:dyDescent="0.2">
      <c r="C310" s="82"/>
      <c r="D310" s="292" t="s">
        <v>74</v>
      </c>
      <c r="E310" s="138"/>
      <c r="F310" s="138"/>
      <c r="H310" s="69" t="str">
        <f t="shared" si="10"/>
        <v>BTR-Regions</v>
      </c>
      <c r="I310" s="69" t="str">
        <f t="shared" si="11"/>
        <v>The Forge</v>
      </c>
      <c r="J310" s="292"/>
      <c r="L310" s="283"/>
      <c r="M310" s="283"/>
      <c r="N310" s="212"/>
      <c r="O310" s="213"/>
      <c r="P310" s="283"/>
      <c r="Q310" s="283"/>
      <c r="R310" s="283"/>
      <c r="S310" s="283"/>
      <c r="T310" s="284"/>
      <c r="U310" s="284"/>
      <c r="V310" s="283"/>
      <c r="W310" s="283"/>
      <c r="X310" s="283"/>
      <c r="Y310" s="283"/>
    </row>
    <row r="311" spans="3:25" ht="13.5" customHeight="1" x14ac:dyDescent="0.2">
      <c r="C311" s="82"/>
      <c r="D311" s="292" t="s">
        <v>74</v>
      </c>
      <c r="E311" s="138"/>
      <c r="F311" s="138"/>
      <c r="H311" s="69" t="str">
        <f t="shared" si="10"/>
        <v>BTR-Regions</v>
      </c>
      <c r="I311" s="69" t="str">
        <f t="shared" si="11"/>
        <v>The Forge</v>
      </c>
      <c r="J311" s="292"/>
      <c r="L311" s="283"/>
      <c r="M311" s="283"/>
      <c r="N311" s="212"/>
      <c r="O311" s="213"/>
      <c r="P311" s="283"/>
      <c r="Q311" s="283"/>
      <c r="R311" s="283"/>
      <c r="S311" s="283"/>
      <c r="T311" s="284"/>
      <c r="U311" s="284"/>
      <c r="V311" s="283"/>
      <c r="W311" s="283"/>
      <c r="X311" s="283"/>
      <c r="Y311" s="283"/>
    </row>
    <row r="312" spans="3:25" ht="13.5" customHeight="1" x14ac:dyDescent="0.2">
      <c r="C312" s="82"/>
      <c r="D312" s="292" t="s">
        <v>74</v>
      </c>
      <c r="E312" s="138"/>
      <c r="F312" s="138"/>
      <c r="H312" s="69" t="str">
        <f t="shared" si="10"/>
        <v>BTR-Regions</v>
      </c>
      <c r="I312" s="69" t="str">
        <f t="shared" si="11"/>
        <v>The Forge</v>
      </c>
      <c r="J312" s="292"/>
      <c r="L312" s="283"/>
      <c r="M312" s="283"/>
      <c r="N312" s="212"/>
      <c r="O312" s="213"/>
      <c r="P312" s="283"/>
      <c r="Q312" s="283"/>
      <c r="R312" s="283"/>
      <c r="S312" s="283"/>
      <c r="T312" s="284"/>
      <c r="U312" s="284"/>
      <c r="V312" s="283"/>
      <c r="W312" s="283"/>
      <c r="X312" s="283"/>
      <c r="Y312" s="283"/>
    </row>
    <row r="313" spans="3:25" ht="13.5" customHeight="1" x14ac:dyDescent="0.2">
      <c r="C313" s="82"/>
      <c r="D313" s="292" t="s">
        <v>74</v>
      </c>
      <c r="E313" s="138"/>
      <c r="F313" s="138"/>
      <c r="H313" s="69" t="str">
        <f t="shared" si="10"/>
        <v>BTR-Regions</v>
      </c>
      <c r="I313" s="69" t="str">
        <f t="shared" si="11"/>
        <v>The Forge</v>
      </c>
      <c r="J313" s="292"/>
      <c r="L313" s="283"/>
      <c r="M313" s="283"/>
      <c r="N313" s="212"/>
      <c r="O313" s="213"/>
      <c r="P313" s="283"/>
      <c r="Q313" s="283"/>
      <c r="R313" s="283"/>
      <c r="S313" s="283"/>
      <c r="T313" s="284"/>
      <c r="U313" s="284"/>
      <c r="V313" s="283"/>
      <c r="W313" s="283"/>
      <c r="X313" s="283"/>
      <c r="Y313" s="283"/>
    </row>
    <row r="314" spans="3:25" ht="13.5" customHeight="1" x14ac:dyDescent="0.2">
      <c r="C314" s="82"/>
      <c r="D314" s="292" t="s">
        <v>74</v>
      </c>
      <c r="E314" s="138"/>
      <c r="F314" s="138"/>
      <c r="H314" s="69" t="str">
        <f t="shared" si="10"/>
        <v>BTR-Regions</v>
      </c>
      <c r="I314" s="69" t="str">
        <f t="shared" si="11"/>
        <v>The Forge</v>
      </c>
      <c r="J314" s="292"/>
      <c r="L314" s="283"/>
      <c r="M314" s="283"/>
      <c r="N314" s="212"/>
      <c r="O314" s="213"/>
      <c r="P314" s="283"/>
      <c r="Q314" s="283"/>
      <c r="R314" s="283"/>
      <c r="S314" s="283"/>
      <c r="T314" s="284"/>
      <c r="U314" s="284"/>
      <c r="V314" s="283"/>
      <c r="W314" s="283"/>
      <c r="X314" s="283"/>
      <c r="Y314" s="283"/>
    </row>
    <row r="315" spans="3:25" ht="13.5" customHeight="1" x14ac:dyDescent="0.2">
      <c r="C315" s="82"/>
      <c r="D315" s="292" t="s">
        <v>74</v>
      </c>
      <c r="E315" s="138"/>
      <c r="F315" s="138"/>
      <c r="H315" s="69" t="str">
        <f t="shared" si="10"/>
        <v>BTR-Regions</v>
      </c>
      <c r="I315" s="69" t="str">
        <f t="shared" si="11"/>
        <v>The Forge</v>
      </c>
      <c r="J315" s="292"/>
      <c r="L315" s="283"/>
      <c r="M315" s="283"/>
      <c r="N315" s="212"/>
      <c r="O315" s="213"/>
      <c r="P315" s="283"/>
      <c r="Q315" s="283"/>
      <c r="R315" s="283"/>
      <c r="S315" s="283"/>
      <c r="T315" s="284"/>
      <c r="U315" s="284"/>
      <c r="V315" s="283"/>
      <c r="W315" s="283"/>
      <c r="X315" s="283"/>
      <c r="Y315" s="283"/>
    </row>
    <row r="316" spans="3:25" ht="13.5" customHeight="1" x14ac:dyDescent="0.2">
      <c r="C316" s="82"/>
      <c r="D316" s="292" t="s">
        <v>74</v>
      </c>
      <c r="E316" s="138"/>
      <c r="F316" s="138"/>
      <c r="H316" s="69" t="str">
        <f t="shared" si="10"/>
        <v>BTR-Regions</v>
      </c>
      <c r="I316" s="69" t="str">
        <f t="shared" si="11"/>
        <v>The Forge</v>
      </c>
      <c r="J316" s="292"/>
      <c r="L316" s="283"/>
      <c r="M316" s="283"/>
      <c r="N316" s="212"/>
      <c r="O316" s="213"/>
      <c r="P316" s="283"/>
      <c r="Q316" s="283"/>
      <c r="R316" s="283"/>
      <c r="S316" s="283"/>
      <c r="T316" s="284"/>
      <c r="U316" s="284"/>
      <c r="V316" s="283"/>
      <c r="W316" s="283"/>
      <c r="X316" s="283"/>
      <c r="Y316" s="283"/>
    </row>
    <row r="317" spans="3:25" ht="13.5" customHeight="1" x14ac:dyDescent="0.2">
      <c r="C317" s="82"/>
      <c r="D317" s="292" t="s">
        <v>74</v>
      </c>
      <c r="E317" s="138"/>
      <c r="F317" s="138"/>
      <c r="H317" s="69" t="str">
        <f t="shared" si="10"/>
        <v>BTR-Regions</v>
      </c>
      <c r="I317" s="69" t="str">
        <f t="shared" si="11"/>
        <v>The Forge</v>
      </c>
      <c r="J317" s="292"/>
      <c r="L317" s="283"/>
      <c r="M317" s="283"/>
      <c r="N317" s="212"/>
      <c r="O317" s="213"/>
      <c r="P317" s="283"/>
      <c r="Q317" s="283"/>
      <c r="R317" s="283"/>
      <c r="S317" s="283"/>
      <c r="T317" s="284"/>
      <c r="U317" s="284"/>
      <c r="V317" s="283"/>
      <c r="W317" s="283"/>
      <c r="X317" s="283"/>
      <c r="Y317" s="283"/>
    </row>
    <row r="318" spans="3:25" ht="13.5" customHeight="1" x14ac:dyDescent="0.2">
      <c r="C318" s="82"/>
      <c r="D318" s="292" t="s">
        <v>74</v>
      </c>
      <c r="E318" s="138"/>
      <c r="F318" s="138"/>
      <c r="H318" s="69" t="str">
        <f t="shared" si="10"/>
        <v>BTR-Regions</v>
      </c>
      <c r="I318" s="69" t="str">
        <f t="shared" si="11"/>
        <v>The Forge</v>
      </c>
      <c r="J318" s="292"/>
      <c r="L318" s="283"/>
      <c r="M318" s="283"/>
      <c r="N318" s="212"/>
      <c r="O318" s="213"/>
      <c r="P318" s="283"/>
      <c r="Q318" s="283"/>
      <c r="R318" s="283"/>
      <c r="S318" s="283"/>
      <c r="T318" s="284"/>
      <c r="U318" s="284"/>
      <c r="V318" s="283"/>
      <c r="W318" s="283"/>
      <c r="X318" s="283"/>
      <c r="Y318" s="283"/>
    </row>
    <row r="319" spans="3:25" ht="13.5" customHeight="1" x14ac:dyDescent="0.2">
      <c r="C319" s="82"/>
      <c r="D319" s="292" t="s">
        <v>74</v>
      </c>
      <c r="E319" s="138"/>
      <c r="F319" s="138"/>
      <c r="H319" s="69" t="str">
        <f t="shared" si="10"/>
        <v>BTR-Regions</v>
      </c>
      <c r="I319" s="69" t="str">
        <f t="shared" si="11"/>
        <v>The Forge</v>
      </c>
      <c r="J319" s="292"/>
      <c r="L319" s="283"/>
      <c r="M319" s="283"/>
      <c r="N319" s="212"/>
      <c r="O319" s="213"/>
      <c r="P319" s="283"/>
      <c r="Q319" s="283"/>
      <c r="R319" s="283"/>
      <c r="S319" s="283"/>
      <c r="T319" s="284"/>
      <c r="U319" s="284"/>
      <c r="V319" s="283"/>
      <c r="W319" s="283"/>
      <c r="X319" s="283"/>
      <c r="Y319" s="283"/>
    </row>
    <row r="320" spans="3:25" ht="13.5" customHeight="1" x14ac:dyDescent="0.2">
      <c r="C320" s="82"/>
      <c r="D320" s="292" t="s">
        <v>74</v>
      </c>
      <c r="E320" s="138"/>
      <c r="F320" s="138"/>
      <c r="H320" s="69" t="str">
        <f t="shared" si="10"/>
        <v>BTR-Regions</v>
      </c>
      <c r="I320" s="69" t="str">
        <f t="shared" si="11"/>
        <v>The Forge</v>
      </c>
      <c r="J320" s="292"/>
      <c r="L320" s="283"/>
      <c r="M320" s="283"/>
      <c r="N320" s="212"/>
      <c r="O320" s="213"/>
      <c r="P320" s="283"/>
      <c r="Q320" s="283"/>
      <c r="R320" s="283"/>
      <c r="S320" s="283"/>
      <c r="T320" s="284"/>
      <c r="U320" s="284"/>
      <c r="V320" s="283"/>
      <c r="W320" s="283"/>
      <c r="X320" s="283"/>
      <c r="Y320" s="283"/>
    </row>
    <row r="321" spans="3:25" ht="13.5" customHeight="1" x14ac:dyDescent="0.2">
      <c r="C321" s="82"/>
      <c r="D321" s="292" t="s">
        <v>74</v>
      </c>
      <c r="E321" s="138"/>
      <c r="F321" s="138"/>
      <c r="H321" s="69" t="str">
        <f t="shared" si="10"/>
        <v>BTR-Regions</v>
      </c>
      <c r="I321" s="69" t="str">
        <f t="shared" si="11"/>
        <v>The Forge</v>
      </c>
      <c r="J321" s="292"/>
      <c r="L321" s="283"/>
      <c r="M321" s="283"/>
      <c r="N321" s="212"/>
      <c r="O321" s="213"/>
      <c r="P321" s="283"/>
      <c r="Q321" s="283"/>
      <c r="R321" s="283"/>
      <c r="S321" s="283"/>
      <c r="T321" s="284"/>
      <c r="U321" s="284"/>
      <c r="V321" s="283"/>
      <c r="W321" s="283"/>
      <c r="X321" s="283"/>
      <c r="Y321" s="283"/>
    </row>
    <row r="322" spans="3:25" ht="13.5" customHeight="1" x14ac:dyDescent="0.2">
      <c r="C322" s="82"/>
      <c r="D322" s="292" t="s">
        <v>74</v>
      </c>
      <c r="E322" s="138"/>
      <c r="F322" s="138"/>
      <c r="H322" s="69" t="str">
        <f t="shared" si="10"/>
        <v>BTR-Regions</v>
      </c>
      <c r="I322" s="69" t="str">
        <f t="shared" si="11"/>
        <v>The Forge</v>
      </c>
      <c r="J322" s="292"/>
      <c r="L322" s="283"/>
      <c r="M322" s="283"/>
      <c r="N322" s="212"/>
      <c r="O322" s="213"/>
      <c r="P322" s="283"/>
      <c r="Q322" s="283"/>
      <c r="R322" s="283"/>
      <c r="S322" s="283"/>
      <c r="T322" s="284"/>
      <c r="U322" s="284"/>
      <c r="V322" s="283"/>
      <c r="W322" s="283"/>
      <c r="X322" s="283"/>
      <c r="Y322" s="283"/>
    </row>
    <row r="323" spans="3:25" ht="13.5" customHeight="1" x14ac:dyDescent="0.2">
      <c r="C323" s="82"/>
      <c r="D323" s="292" t="s">
        <v>74</v>
      </c>
      <c r="E323" s="138"/>
      <c r="F323" s="138"/>
      <c r="H323" s="69" t="str">
        <f t="shared" si="10"/>
        <v>BTR-Regions</v>
      </c>
      <c r="I323" s="69" t="str">
        <f t="shared" si="11"/>
        <v>The Forge</v>
      </c>
      <c r="J323" s="292"/>
      <c r="L323" s="283"/>
      <c r="M323" s="283"/>
      <c r="N323" s="212"/>
      <c r="O323" s="213"/>
      <c r="P323" s="283"/>
      <c r="Q323" s="283"/>
      <c r="R323" s="283"/>
      <c r="S323" s="283"/>
      <c r="T323" s="284"/>
      <c r="U323" s="284"/>
      <c r="V323" s="283"/>
      <c r="W323" s="283"/>
      <c r="X323" s="283"/>
      <c r="Y323" s="283"/>
    </row>
    <row r="324" spans="3:25" ht="13.5" customHeight="1" x14ac:dyDescent="0.2">
      <c r="C324" s="82"/>
      <c r="D324" s="292" t="s">
        <v>74</v>
      </c>
      <c r="E324" s="138"/>
      <c r="F324" s="138"/>
      <c r="H324" s="69" t="str">
        <f t="shared" si="10"/>
        <v>BTR-Regions</v>
      </c>
      <c r="I324" s="69" t="str">
        <f t="shared" si="11"/>
        <v>The Forge</v>
      </c>
      <c r="J324" s="292"/>
      <c r="L324" s="283"/>
      <c r="M324" s="283"/>
      <c r="N324" s="212"/>
      <c r="O324" s="213"/>
      <c r="P324" s="283"/>
      <c r="Q324" s="283"/>
      <c r="R324" s="283"/>
      <c r="S324" s="283"/>
      <c r="T324" s="284"/>
      <c r="U324" s="284"/>
      <c r="V324" s="283"/>
      <c r="W324" s="283"/>
      <c r="X324" s="283"/>
      <c r="Y324" s="283"/>
    </row>
    <row r="325" spans="3:25" ht="13.5" customHeight="1" x14ac:dyDescent="0.2">
      <c r="C325" s="82"/>
      <c r="D325" s="292" t="s">
        <v>74</v>
      </c>
      <c r="E325" s="138"/>
      <c r="F325" s="138"/>
      <c r="H325" s="69" t="str">
        <f t="shared" si="10"/>
        <v>BTR-Regions</v>
      </c>
      <c r="I325" s="69" t="str">
        <f t="shared" si="11"/>
        <v>The Forge</v>
      </c>
      <c r="J325" s="292"/>
      <c r="L325" s="283"/>
      <c r="M325" s="283"/>
      <c r="N325" s="212"/>
      <c r="O325" s="213"/>
      <c r="P325" s="283"/>
      <c r="Q325" s="283"/>
      <c r="R325" s="283"/>
      <c r="S325" s="283"/>
      <c r="T325" s="284"/>
      <c r="U325" s="284"/>
      <c r="V325" s="283"/>
      <c r="W325" s="283"/>
      <c r="X325" s="283"/>
      <c r="Y325" s="283"/>
    </row>
    <row r="326" spans="3:25" ht="13.5" customHeight="1" x14ac:dyDescent="0.2">
      <c r="C326" s="82"/>
      <c r="D326" s="292" t="s">
        <v>74</v>
      </c>
      <c r="E326" s="138"/>
      <c r="F326" s="138"/>
      <c r="H326" s="69" t="str">
        <f t="shared" si="10"/>
        <v>BTR-Regions</v>
      </c>
      <c r="I326" s="69" t="str">
        <f t="shared" si="11"/>
        <v>The Forge</v>
      </c>
      <c r="J326" s="292"/>
      <c r="L326" s="283"/>
      <c r="M326" s="283"/>
      <c r="N326" s="212"/>
      <c r="O326" s="213"/>
      <c r="P326" s="283"/>
      <c r="Q326" s="283"/>
      <c r="R326" s="283"/>
      <c r="S326" s="283"/>
      <c r="T326" s="284"/>
      <c r="U326" s="284"/>
      <c r="V326" s="283"/>
      <c r="W326" s="283"/>
      <c r="X326" s="283"/>
      <c r="Y326" s="283"/>
    </row>
    <row r="327" spans="3:25" ht="13.5" customHeight="1" x14ac:dyDescent="0.2">
      <c r="C327" s="82"/>
      <c r="D327" s="292" t="s">
        <v>74</v>
      </c>
      <c r="E327" s="138"/>
      <c r="F327" s="138"/>
      <c r="H327" s="69" t="str">
        <f t="shared" si="10"/>
        <v>BTR-Regions</v>
      </c>
      <c r="I327" s="69" t="str">
        <f t="shared" si="11"/>
        <v>The Forge</v>
      </c>
      <c r="J327" s="292"/>
      <c r="L327" s="283"/>
      <c r="M327" s="283"/>
      <c r="N327" s="212"/>
      <c r="O327" s="213"/>
      <c r="P327" s="283"/>
      <c r="Q327" s="283"/>
      <c r="R327" s="283"/>
      <c r="S327" s="283"/>
      <c r="T327" s="284"/>
      <c r="U327" s="284"/>
      <c r="V327" s="283"/>
      <c r="W327" s="283"/>
      <c r="X327" s="283"/>
      <c r="Y327" s="283"/>
    </row>
    <row r="328" spans="3:25" ht="13.5" customHeight="1" x14ac:dyDescent="0.2">
      <c r="C328" s="82"/>
      <c r="D328" s="292" t="s">
        <v>74</v>
      </c>
      <c r="E328" s="138"/>
      <c r="F328" s="138"/>
      <c r="H328" s="69" t="str">
        <f t="shared" si="10"/>
        <v>BTR-Regions</v>
      </c>
      <c r="I328" s="69" t="str">
        <f t="shared" si="11"/>
        <v>The Forge</v>
      </c>
      <c r="J328" s="292"/>
      <c r="L328" s="283"/>
      <c r="M328" s="283"/>
      <c r="N328" s="212"/>
      <c r="O328" s="213"/>
      <c r="P328" s="283"/>
      <c r="Q328" s="283"/>
      <c r="R328" s="283"/>
      <c r="S328" s="283"/>
      <c r="T328" s="284"/>
      <c r="U328" s="284"/>
      <c r="V328" s="283"/>
      <c r="W328" s="283"/>
      <c r="X328" s="283"/>
      <c r="Y328" s="283"/>
    </row>
    <row r="329" spans="3:25" ht="13.5" customHeight="1" x14ac:dyDescent="0.2">
      <c r="C329" s="82"/>
      <c r="D329" s="292" t="s">
        <v>74</v>
      </c>
      <c r="E329" s="138"/>
      <c r="F329" s="138"/>
      <c r="H329" s="69" t="str">
        <f t="shared" si="10"/>
        <v>BTR-Regions</v>
      </c>
      <c r="I329" s="69" t="str">
        <f t="shared" si="11"/>
        <v>The Forge</v>
      </c>
      <c r="J329" s="292"/>
      <c r="L329" s="283"/>
      <c r="M329" s="283"/>
      <c r="N329" s="212"/>
      <c r="O329" s="213"/>
      <c r="P329" s="283"/>
      <c r="Q329" s="283"/>
      <c r="R329" s="283"/>
      <c r="S329" s="283"/>
      <c r="T329" s="284"/>
      <c r="U329" s="284"/>
      <c r="V329" s="283"/>
      <c r="W329" s="283"/>
      <c r="X329" s="283"/>
      <c r="Y329" s="283"/>
    </row>
    <row r="330" spans="3:25" ht="13.5" customHeight="1" x14ac:dyDescent="0.2">
      <c r="C330" s="82"/>
      <c r="D330" s="292" t="s">
        <v>74</v>
      </c>
      <c r="E330" s="138"/>
      <c r="F330" s="138"/>
      <c r="H330" s="69" t="str">
        <f t="shared" si="10"/>
        <v>BTR-Regions</v>
      </c>
      <c r="I330" s="69" t="str">
        <f t="shared" si="11"/>
        <v>The Forge</v>
      </c>
      <c r="J330" s="292"/>
      <c r="L330" s="283"/>
      <c r="M330" s="283"/>
      <c r="N330" s="212"/>
      <c r="O330" s="213"/>
      <c r="P330" s="283"/>
      <c r="Q330" s="283"/>
      <c r="R330" s="283"/>
      <c r="S330" s="283"/>
      <c r="T330" s="284"/>
      <c r="U330" s="284"/>
      <c r="V330" s="283"/>
      <c r="W330" s="283"/>
      <c r="X330" s="283"/>
      <c r="Y330" s="283"/>
    </row>
    <row r="331" spans="3:25" ht="13.5" customHeight="1" x14ac:dyDescent="0.2">
      <c r="C331" s="82"/>
      <c r="D331" s="292" t="s">
        <v>74</v>
      </c>
      <c r="E331" s="138"/>
      <c r="F331" s="138"/>
      <c r="H331" s="69" t="str">
        <f t="shared" si="10"/>
        <v>BTR-Regions</v>
      </c>
      <c r="I331" s="69" t="str">
        <f t="shared" si="11"/>
        <v>The Forge</v>
      </c>
      <c r="J331" s="292"/>
      <c r="L331" s="283"/>
      <c r="M331" s="283"/>
      <c r="N331" s="212"/>
      <c r="O331" s="213"/>
      <c r="P331" s="283"/>
      <c r="Q331" s="283"/>
      <c r="R331" s="283"/>
      <c r="S331" s="283"/>
      <c r="T331" s="284"/>
      <c r="U331" s="284"/>
      <c r="V331" s="283"/>
      <c r="W331" s="283"/>
      <c r="X331" s="283"/>
      <c r="Y331" s="283"/>
    </row>
    <row r="332" spans="3:25" ht="13.5" customHeight="1" x14ac:dyDescent="0.2">
      <c r="C332" s="82"/>
      <c r="D332" s="292" t="s">
        <v>74</v>
      </c>
      <c r="E332" s="138"/>
      <c r="F332" s="138"/>
      <c r="H332" s="69" t="str">
        <f t="shared" si="10"/>
        <v>BTR-Regions</v>
      </c>
      <c r="I332" s="69" t="str">
        <f t="shared" si="11"/>
        <v>The Forge</v>
      </c>
      <c r="J332" s="292"/>
      <c r="L332" s="283"/>
      <c r="M332" s="283"/>
      <c r="N332" s="212"/>
      <c r="O332" s="213"/>
      <c r="P332" s="283"/>
      <c r="Q332" s="283"/>
      <c r="R332" s="283"/>
      <c r="S332" s="283"/>
      <c r="T332" s="284"/>
      <c r="U332" s="284"/>
      <c r="V332" s="283"/>
      <c r="W332" s="283"/>
      <c r="X332" s="283"/>
      <c r="Y332" s="283"/>
    </row>
    <row r="333" spans="3:25" ht="13.5" customHeight="1" x14ac:dyDescent="0.2">
      <c r="C333" s="82"/>
      <c r="D333" s="292" t="s">
        <v>74</v>
      </c>
      <c r="E333" s="138"/>
      <c r="F333" s="138"/>
      <c r="H333" s="69" t="str">
        <f t="shared" si="10"/>
        <v>BTR-Regions</v>
      </c>
      <c r="I333" s="69" t="str">
        <f t="shared" si="11"/>
        <v>The Forge</v>
      </c>
      <c r="J333" s="292"/>
      <c r="L333" s="283"/>
      <c r="M333" s="283"/>
      <c r="N333" s="212"/>
      <c r="O333" s="213"/>
      <c r="P333" s="283"/>
      <c r="Q333" s="283"/>
      <c r="R333" s="283"/>
      <c r="S333" s="283"/>
      <c r="T333" s="284"/>
      <c r="U333" s="284"/>
      <c r="V333" s="283"/>
      <c r="W333" s="283"/>
      <c r="X333" s="283"/>
      <c r="Y333" s="283"/>
    </row>
    <row r="334" spans="3:25" ht="13.5" customHeight="1" x14ac:dyDescent="0.2">
      <c r="C334" s="82"/>
      <c r="D334" s="292" t="s">
        <v>74</v>
      </c>
      <c r="E334" s="138"/>
      <c r="F334" s="138"/>
      <c r="H334" s="69" t="str">
        <f t="shared" si="10"/>
        <v>BTR-Regions</v>
      </c>
      <c r="I334" s="69" t="str">
        <f t="shared" si="11"/>
        <v>The Forge</v>
      </c>
      <c r="J334" s="292"/>
      <c r="L334" s="283"/>
      <c r="M334" s="283"/>
      <c r="N334" s="212"/>
      <c r="O334" s="213"/>
      <c r="P334" s="283"/>
      <c r="Q334" s="283"/>
      <c r="R334" s="283"/>
      <c r="S334" s="283"/>
      <c r="T334" s="284"/>
      <c r="U334" s="284"/>
      <c r="V334" s="283"/>
      <c r="W334" s="283"/>
      <c r="X334" s="283"/>
      <c r="Y334" s="283"/>
    </row>
    <row r="335" spans="3:25" ht="13.5" customHeight="1" x14ac:dyDescent="0.2">
      <c r="C335" s="82"/>
      <c r="D335" s="292" t="s">
        <v>74</v>
      </c>
      <c r="E335" s="138"/>
      <c r="F335" s="138"/>
      <c r="H335" s="69" t="str">
        <f t="shared" si="10"/>
        <v>BTR-Regions</v>
      </c>
      <c r="I335" s="69" t="str">
        <f t="shared" si="11"/>
        <v>The Forge</v>
      </c>
      <c r="J335" s="292"/>
      <c r="L335" s="283"/>
      <c r="M335" s="283"/>
      <c r="N335" s="212"/>
      <c r="O335" s="213"/>
      <c r="P335" s="283"/>
      <c r="Q335" s="283"/>
      <c r="R335" s="283"/>
      <c r="S335" s="283"/>
      <c r="T335" s="284"/>
      <c r="U335" s="284"/>
      <c r="V335" s="283"/>
      <c r="W335" s="283"/>
      <c r="X335" s="283"/>
      <c r="Y335" s="283"/>
    </row>
    <row r="336" spans="3:25" ht="13.5" customHeight="1" x14ac:dyDescent="0.2">
      <c r="C336" s="82"/>
      <c r="D336" s="292" t="s">
        <v>74</v>
      </c>
      <c r="E336" s="138"/>
      <c r="F336" s="138"/>
      <c r="H336" s="69" t="str">
        <f t="shared" si="10"/>
        <v>BTR-Regions</v>
      </c>
      <c r="I336" s="69" t="str">
        <f t="shared" si="11"/>
        <v>The Forge</v>
      </c>
      <c r="J336" s="292"/>
      <c r="L336" s="283"/>
      <c r="M336" s="283"/>
      <c r="N336" s="212"/>
      <c r="O336" s="213"/>
      <c r="P336" s="283"/>
      <c r="Q336" s="283"/>
      <c r="R336" s="283"/>
      <c r="S336" s="283"/>
      <c r="T336" s="284"/>
      <c r="U336" s="284"/>
      <c r="V336" s="283"/>
      <c r="W336" s="283"/>
      <c r="X336" s="283"/>
      <c r="Y336" s="283"/>
    </row>
    <row r="337" spans="3:25" ht="13.5" customHeight="1" x14ac:dyDescent="0.2">
      <c r="C337" s="82"/>
      <c r="D337" s="292" t="s">
        <v>74</v>
      </c>
      <c r="E337" s="138"/>
      <c r="F337" s="138"/>
      <c r="H337" s="69" t="str">
        <f t="shared" si="10"/>
        <v>BTR-Regions</v>
      </c>
      <c r="I337" s="69" t="str">
        <f t="shared" si="11"/>
        <v>The Forge</v>
      </c>
      <c r="J337" s="292"/>
      <c r="L337" s="283"/>
      <c r="M337" s="283"/>
      <c r="N337" s="212"/>
      <c r="O337" s="213"/>
      <c r="P337" s="283"/>
      <c r="Q337" s="283"/>
      <c r="R337" s="283"/>
      <c r="S337" s="283"/>
      <c r="T337" s="284"/>
      <c r="U337" s="284"/>
      <c r="V337" s="283"/>
      <c r="W337" s="283"/>
      <c r="X337" s="283"/>
      <c r="Y337" s="283"/>
    </row>
    <row r="338" spans="3:25" ht="13.5" customHeight="1" x14ac:dyDescent="0.2">
      <c r="C338" s="82"/>
      <c r="D338" s="292" t="s">
        <v>74</v>
      </c>
      <c r="E338" s="138"/>
      <c r="F338" s="138"/>
      <c r="H338" s="69" t="str">
        <f t="shared" si="10"/>
        <v>BTR-Regions</v>
      </c>
      <c r="I338" s="69" t="str">
        <f t="shared" si="11"/>
        <v>The Forge</v>
      </c>
      <c r="J338" s="292"/>
      <c r="L338" s="283"/>
      <c r="M338" s="283"/>
      <c r="N338" s="212"/>
      <c r="O338" s="213"/>
      <c r="P338" s="283"/>
      <c r="Q338" s="283"/>
      <c r="R338" s="283"/>
      <c r="S338" s="283"/>
      <c r="T338" s="284"/>
      <c r="U338" s="284"/>
      <c r="V338" s="283"/>
      <c r="W338" s="283"/>
      <c r="X338" s="283"/>
      <c r="Y338" s="283"/>
    </row>
    <row r="339" spans="3:25" ht="13.5" customHeight="1" x14ac:dyDescent="0.2">
      <c r="C339" s="82"/>
      <c r="D339" s="292" t="s">
        <v>74</v>
      </c>
      <c r="E339" s="138"/>
      <c r="F339" s="138"/>
      <c r="H339" s="69" t="str">
        <f t="shared" si="10"/>
        <v>BTR-Regions</v>
      </c>
      <c r="I339" s="69" t="str">
        <f t="shared" si="11"/>
        <v>The Forge</v>
      </c>
      <c r="J339" s="292"/>
      <c r="L339" s="283"/>
      <c r="M339" s="283"/>
      <c r="N339" s="212"/>
      <c r="O339" s="213"/>
      <c r="P339" s="283"/>
      <c r="Q339" s="283"/>
      <c r="R339" s="283"/>
      <c r="S339" s="283"/>
      <c r="T339" s="284"/>
      <c r="U339" s="284"/>
      <c r="V339" s="283"/>
      <c r="W339" s="283"/>
      <c r="X339" s="283"/>
      <c r="Y339" s="283"/>
    </row>
    <row r="340" spans="3:25" ht="13.5" customHeight="1" x14ac:dyDescent="0.2">
      <c r="C340" s="82"/>
      <c r="D340" s="292" t="s">
        <v>74</v>
      </c>
      <c r="E340" s="138"/>
      <c r="F340" s="138"/>
      <c r="H340" s="69" t="str">
        <f t="shared" si="10"/>
        <v>BTR-Regions</v>
      </c>
      <c r="I340" s="69" t="str">
        <f t="shared" si="11"/>
        <v>The Forge</v>
      </c>
      <c r="J340" s="292"/>
      <c r="L340" s="283"/>
      <c r="M340" s="283"/>
      <c r="N340" s="212"/>
      <c r="O340" s="213"/>
      <c r="P340" s="283"/>
      <c r="Q340" s="283"/>
      <c r="R340" s="283"/>
      <c r="S340" s="283"/>
      <c r="T340" s="284"/>
      <c r="U340" s="284"/>
      <c r="V340" s="283"/>
      <c r="W340" s="283"/>
      <c r="X340" s="283"/>
      <c r="Y340" s="283"/>
    </row>
    <row r="341" spans="3:25" ht="13.5" customHeight="1" x14ac:dyDescent="0.2">
      <c r="C341" s="82"/>
      <c r="D341" s="292" t="s">
        <v>74</v>
      </c>
      <c r="E341" s="138"/>
      <c r="F341" s="138"/>
      <c r="H341" s="69" t="str">
        <f t="shared" si="10"/>
        <v>BTR-Regions</v>
      </c>
      <c r="I341" s="69" t="str">
        <f t="shared" si="11"/>
        <v>The Forge</v>
      </c>
      <c r="J341" s="292"/>
      <c r="L341" s="283"/>
      <c r="M341" s="283"/>
      <c r="N341" s="212"/>
      <c r="O341" s="213"/>
      <c r="P341" s="283"/>
      <c r="Q341" s="283"/>
      <c r="R341" s="283"/>
      <c r="S341" s="283"/>
      <c r="T341" s="284"/>
      <c r="U341" s="284"/>
      <c r="V341" s="283"/>
      <c r="W341" s="283"/>
      <c r="X341" s="283"/>
      <c r="Y341" s="283"/>
    </row>
    <row r="342" spans="3:25" ht="13.5" customHeight="1" x14ac:dyDescent="0.2">
      <c r="C342" s="82"/>
      <c r="D342" s="292" t="s">
        <v>74</v>
      </c>
      <c r="E342" s="138"/>
      <c r="F342" s="138"/>
      <c r="H342" s="69" t="str">
        <f t="shared" ref="H342:H405" si="12">$I$9</f>
        <v>BTR-Regions</v>
      </c>
      <c r="I342" s="69" t="str">
        <f t="shared" ref="I342:I405" si="13">$I$10</f>
        <v>The Forge</v>
      </c>
      <c r="J342" s="292"/>
      <c r="L342" s="283"/>
      <c r="M342" s="283"/>
      <c r="N342" s="212"/>
      <c r="O342" s="213"/>
      <c r="P342" s="283"/>
      <c r="Q342" s="283"/>
      <c r="R342" s="283"/>
      <c r="S342" s="283"/>
      <c r="T342" s="284"/>
      <c r="U342" s="284"/>
      <c r="V342" s="283"/>
      <c r="W342" s="283"/>
      <c r="X342" s="283"/>
      <c r="Y342" s="283"/>
    </row>
    <row r="343" spans="3:25" ht="13.5" customHeight="1" x14ac:dyDescent="0.2">
      <c r="C343" s="82"/>
      <c r="D343" s="292" t="s">
        <v>74</v>
      </c>
      <c r="E343" s="138"/>
      <c r="F343" s="138"/>
      <c r="H343" s="69" t="str">
        <f t="shared" si="12"/>
        <v>BTR-Regions</v>
      </c>
      <c r="I343" s="69" t="str">
        <f t="shared" si="13"/>
        <v>The Forge</v>
      </c>
      <c r="J343" s="292"/>
      <c r="L343" s="283"/>
      <c r="M343" s="283"/>
      <c r="N343" s="212"/>
      <c r="O343" s="213"/>
      <c r="P343" s="283"/>
      <c r="Q343" s="283"/>
      <c r="R343" s="283"/>
      <c r="S343" s="283"/>
      <c r="T343" s="284"/>
      <c r="U343" s="284"/>
      <c r="V343" s="283"/>
      <c r="W343" s="283"/>
      <c r="X343" s="283"/>
      <c r="Y343" s="283"/>
    </row>
    <row r="344" spans="3:25" ht="13.5" customHeight="1" x14ac:dyDescent="0.2">
      <c r="C344" s="82"/>
      <c r="D344" s="292" t="s">
        <v>74</v>
      </c>
      <c r="E344" s="138"/>
      <c r="F344" s="138"/>
      <c r="H344" s="69" t="str">
        <f t="shared" si="12"/>
        <v>BTR-Regions</v>
      </c>
      <c r="I344" s="69" t="str">
        <f t="shared" si="13"/>
        <v>The Forge</v>
      </c>
      <c r="J344" s="292"/>
      <c r="L344" s="283"/>
      <c r="M344" s="283"/>
      <c r="N344" s="212"/>
      <c r="O344" s="213"/>
      <c r="P344" s="283"/>
      <c r="Q344" s="283"/>
      <c r="R344" s="283"/>
      <c r="S344" s="283"/>
      <c r="T344" s="284"/>
      <c r="U344" s="284"/>
      <c r="V344" s="283"/>
      <c r="W344" s="283"/>
      <c r="X344" s="283"/>
      <c r="Y344" s="283"/>
    </row>
    <row r="345" spans="3:25" ht="13.5" customHeight="1" x14ac:dyDescent="0.2">
      <c r="C345" s="82"/>
      <c r="D345" s="292" t="s">
        <v>74</v>
      </c>
      <c r="E345" s="138"/>
      <c r="F345" s="138"/>
      <c r="H345" s="69" t="str">
        <f t="shared" si="12"/>
        <v>BTR-Regions</v>
      </c>
      <c r="I345" s="69" t="str">
        <f t="shared" si="13"/>
        <v>The Forge</v>
      </c>
      <c r="J345" s="292"/>
      <c r="L345" s="283"/>
      <c r="M345" s="283"/>
      <c r="N345" s="212"/>
      <c r="O345" s="213"/>
      <c r="P345" s="283"/>
      <c r="Q345" s="283"/>
      <c r="R345" s="283"/>
      <c r="S345" s="283"/>
      <c r="T345" s="284"/>
      <c r="U345" s="284"/>
      <c r="V345" s="283"/>
      <c r="W345" s="283"/>
      <c r="X345" s="283"/>
      <c r="Y345" s="283"/>
    </row>
    <row r="346" spans="3:25" ht="13.5" customHeight="1" x14ac:dyDescent="0.2">
      <c r="C346" s="82"/>
      <c r="D346" s="292" t="s">
        <v>74</v>
      </c>
      <c r="E346" s="138"/>
      <c r="F346" s="138"/>
      <c r="H346" s="69" t="str">
        <f t="shared" si="12"/>
        <v>BTR-Regions</v>
      </c>
      <c r="I346" s="69" t="str">
        <f t="shared" si="13"/>
        <v>The Forge</v>
      </c>
      <c r="J346" s="292"/>
      <c r="L346" s="283"/>
      <c r="M346" s="283"/>
      <c r="N346" s="212"/>
      <c r="O346" s="213"/>
      <c r="P346" s="283"/>
      <c r="Q346" s="283"/>
      <c r="R346" s="283"/>
      <c r="S346" s="283"/>
      <c r="T346" s="284"/>
      <c r="U346" s="284"/>
      <c r="V346" s="283"/>
      <c r="W346" s="283"/>
      <c r="X346" s="283"/>
      <c r="Y346" s="283"/>
    </row>
    <row r="347" spans="3:25" ht="13.5" customHeight="1" x14ac:dyDescent="0.2">
      <c r="C347" s="82"/>
      <c r="D347" s="292" t="s">
        <v>74</v>
      </c>
      <c r="E347" s="138"/>
      <c r="F347" s="138"/>
      <c r="H347" s="69" t="str">
        <f t="shared" si="12"/>
        <v>BTR-Regions</v>
      </c>
      <c r="I347" s="69" t="str">
        <f t="shared" si="13"/>
        <v>The Forge</v>
      </c>
      <c r="J347" s="292"/>
      <c r="L347" s="283"/>
      <c r="M347" s="283"/>
      <c r="N347" s="212"/>
      <c r="O347" s="213"/>
      <c r="P347" s="283"/>
      <c r="Q347" s="283"/>
      <c r="R347" s="283"/>
      <c r="S347" s="283"/>
      <c r="T347" s="284"/>
      <c r="U347" s="284"/>
      <c r="V347" s="283"/>
      <c r="W347" s="283"/>
      <c r="X347" s="283"/>
      <c r="Y347" s="283"/>
    </row>
    <row r="348" spans="3:25" ht="13.5" customHeight="1" x14ac:dyDescent="0.2">
      <c r="C348" s="82"/>
      <c r="D348" s="292" t="s">
        <v>74</v>
      </c>
      <c r="E348" s="138"/>
      <c r="F348" s="138"/>
      <c r="H348" s="69" t="str">
        <f t="shared" si="12"/>
        <v>BTR-Regions</v>
      </c>
      <c r="I348" s="69" t="str">
        <f t="shared" si="13"/>
        <v>The Forge</v>
      </c>
      <c r="J348" s="292"/>
      <c r="L348" s="283"/>
      <c r="M348" s="283"/>
      <c r="N348" s="212"/>
      <c r="O348" s="213"/>
      <c r="P348" s="283"/>
      <c r="Q348" s="283"/>
      <c r="R348" s="283"/>
      <c r="S348" s="283"/>
      <c r="T348" s="284"/>
      <c r="U348" s="284"/>
      <c r="V348" s="283"/>
      <c r="W348" s="283"/>
      <c r="X348" s="283"/>
      <c r="Y348" s="283"/>
    </row>
    <row r="349" spans="3:25" ht="13.5" customHeight="1" x14ac:dyDescent="0.2">
      <c r="C349" s="82"/>
      <c r="D349" s="292" t="s">
        <v>74</v>
      </c>
      <c r="E349" s="138"/>
      <c r="F349" s="138"/>
      <c r="H349" s="69" t="str">
        <f t="shared" si="12"/>
        <v>BTR-Regions</v>
      </c>
      <c r="I349" s="69" t="str">
        <f t="shared" si="13"/>
        <v>The Forge</v>
      </c>
      <c r="J349" s="292"/>
      <c r="L349" s="283"/>
      <c r="M349" s="283"/>
      <c r="N349" s="212"/>
      <c r="O349" s="213"/>
      <c r="P349" s="283"/>
      <c r="Q349" s="283"/>
      <c r="R349" s="283"/>
      <c r="S349" s="283"/>
      <c r="T349" s="284"/>
      <c r="U349" s="284"/>
      <c r="V349" s="283"/>
      <c r="W349" s="283"/>
      <c r="X349" s="283"/>
      <c r="Y349" s="283"/>
    </row>
    <row r="350" spans="3:25" ht="13.5" customHeight="1" x14ac:dyDescent="0.2">
      <c r="C350" s="82"/>
      <c r="D350" s="292" t="s">
        <v>74</v>
      </c>
      <c r="E350" s="138"/>
      <c r="F350" s="138"/>
      <c r="H350" s="69" t="str">
        <f t="shared" si="12"/>
        <v>BTR-Regions</v>
      </c>
      <c r="I350" s="69" t="str">
        <f t="shared" si="13"/>
        <v>The Forge</v>
      </c>
      <c r="J350" s="292"/>
      <c r="L350" s="283"/>
      <c r="M350" s="283"/>
      <c r="N350" s="212"/>
      <c r="O350" s="213"/>
      <c r="P350" s="283"/>
      <c r="Q350" s="283"/>
      <c r="R350" s="283"/>
      <c r="S350" s="283"/>
      <c r="T350" s="284"/>
      <c r="U350" s="284"/>
      <c r="V350" s="283"/>
      <c r="W350" s="283"/>
      <c r="X350" s="283"/>
      <c r="Y350" s="283"/>
    </row>
    <row r="351" spans="3:25" ht="13.5" customHeight="1" x14ac:dyDescent="0.2">
      <c r="C351" s="82"/>
      <c r="D351" s="292" t="s">
        <v>74</v>
      </c>
      <c r="E351" s="138"/>
      <c r="F351" s="138"/>
      <c r="H351" s="69" t="str">
        <f t="shared" si="12"/>
        <v>BTR-Regions</v>
      </c>
      <c r="I351" s="69" t="str">
        <f t="shared" si="13"/>
        <v>The Forge</v>
      </c>
      <c r="J351" s="292"/>
      <c r="L351" s="283"/>
      <c r="M351" s="283"/>
      <c r="N351" s="212"/>
      <c r="O351" s="213"/>
      <c r="P351" s="283"/>
      <c r="Q351" s="283"/>
      <c r="R351" s="283"/>
      <c r="S351" s="283"/>
      <c r="T351" s="284"/>
      <c r="U351" s="284"/>
      <c r="V351" s="283"/>
      <c r="W351" s="283"/>
      <c r="X351" s="283"/>
      <c r="Y351" s="283"/>
    </row>
    <row r="352" spans="3:25" ht="13.5" customHeight="1" x14ac:dyDescent="0.2">
      <c r="C352" s="82"/>
      <c r="D352" s="292" t="s">
        <v>74</v>
      </c>
      <c r="E352" s="138"/>
      <c r="F352" s="138"/>
      <c r="H352" s="69" t="str">
        <f t="shared" si="12"/>
        <v>BTR-Regions</v>
      </c>
      <c r="I352" s="69" t="str">
        <f t="shared" si="13"/>
        <v>The Forge</v>
      </c>
      <c r="J352" s="292"/>
      <c r="L352" s="283"/>
      <c r="M352" s="283"/>
      <c r="N352" s="212"/>
      <c r="O352" s="213"/>
      <c r="P352" s="283"/>
      <c r="Q352" s="283"/>
      <c r="R352" s="283"/>
      <c r="S352" s="283"/>
      <c r="T352" s="284"/>
      <c r="U352" s="284"/>
      <c r="V352" s="283"/>
      <c r="W352" s="283"/>
      <c r="X352" s="283"/>
      <c r="Y352" s="283"/>
    </row>
    <row r="353" spans="3:25" ht="13.5" customHeight="1" x14ac:dyDescent="0.2">
      <c r="C353" s="82"/>
      <c r="D353" s="292" t="s">
        <v>74</v>
      </c>
      <c r="E353" s="138"/>
      <c r="F353" s="138"/>
      <c r="H353" s="69" t="str">
        <f t="shared" si="12"/>
        <v>BTR-Regions</v>
      </c>
      <c r="I353" s="69" t="str">
        <f t="shared" si="13"/>
        <v>The Forge</v>
      </c>
      <c r="J353" s="292"/>
      <c r="L353" s="283"/>
      <c r="M353" s="283"/>
      <c r="N353" s="212"/>
      <c r="O353" s="213"/>
      <c r="P353" s="283"/>
      <c r="Q353" s="283"/>
      <c r="R353" s="283"/>
      <c r="S353" s="283"/>
      <c r="T353" s="284"/>
      <c r="U353" s="284"/>
      <c r="V353" s="283"/>
      <c r="W353" s="283"/>
      <c r="X353" s="283"/>
      <c r="Y353" s="283"/>
    </row>
    <row r="354" spans="3:25" ht="13.5" customHeight="1" x14ac:dyDescent="0.2">
      <c r="C354" s="82"/>
      <c r="D354" s="292" t="s">
        <v>74</v>
      </c>
      <c r="E354" s="138"/>
      <c r="F354" s="138"/>
      <c r="H354" s="69" t="str">
        <f t="shared" si="12"/>
        <v>BTR-Regions</v>
      </c>
      <c r="I354" s="69" t="str">
        <f t="shared" si="13"/>
        <v>The Forge</v>
      </c>
      <c r="J354" s="292"/>
      <c r="L354" s="283"/>
      <c r="M354" s="283"/>
      <c r="N354" s="212"/>
      <c r="O354" s="213"/>
      <c r="P354" s="283"/>
      <c r="Q354" s="283"/>
      <c r="R354" s="283"/>
      <c r="S354" s="283"/>
      <c r="T354" s="284"/>
      <c r="U354" s="284"/>
      <c r="V354" s="283"/>
      <c r="W354" s="283"/>
      <c r="X354" s="283"/>
      <c r="Y354" s="283"/>
    </row>
    <row r="355" spans="3:25" ht="13.5" customHeight="1" x14ac:dyDescent="0.2">
      <c r="C355" s="82"/>
      <c r="D355" s="292" t="s">
        <v>74</v>
      </c>
      <c r="E355" s="138"/>
      <c r="F355" s="138"/>
      <c r="H355" s="69" t="str">
        <f t="shared" si="12"/>
        <v>BTR-Regions</v>
      </c>
      <c r="I355" s="69" t="str">
        <f t="shared" si="13"/>
        <v>The Forge</v>
      </c>
      <c r="J355" s="292"/>
      <c r="L355" s="283"/>
      <c r="M355" s="283"/>
      <c r="N355" s="212"/>
      <c r="O355" s="213"/>
      <c r="P355" s="283"/>
      <c r="Q355" s="283"/>
      <c r="R355" s="283"/>
      <c r="S355" s="283"/>
      <c r="T355" s="284"/>
      <c r="U355" s="284"/>
      <c r="V355" s="283"/>
      <c r="W355" s="283"/>
      <c r="X355" s="283"/>
      <c r="Y355" s="283"/>
    </row>
    <row r="356" spans="3:25" ht="13.5" customHeight="1" x14ac:dyDescent="0.2">
      <c r="C356" s="82"/>
      <c r="D356" s="292" t="s">
        <v>74</v>
      </c>
      <c r="E356" s="138"/>
      <c r="F356" s="138"/>
      <c r="H356" s="69" t="str">
        <f t="shared" si="12"/>
        <v>BTR-Regions</v>
      </c>
      <c r="I356" s="69" t="str">
        <f t="shared" si="13"/>
        <v>The Forge</v>
      </c>
      <c r="J356" s="292"/>
      <c r="L356" s="283"/>
      <c r="M356" s="283"/>
      <c r="N356" s="212"/>
      <c r="O356" s="213"/>
      <c r="P356" s="283"/>
      <c r="Q356" s="283"/>
      <c r="R356" s="283"/>
      <c r="S356" s="283"/>
      <c r="T356" s="284"/>
      <c r="U356" s="284"/>
      <c r="V356" s="283"/>
      <c r="W356" s="283"/>
      <c r="X356" s="283"/>
      <c r="Y356" s="283"/>
    </row>
    <row r="357" spans="3:25" ht="13.5" customHeight="1" x14ac:dyDescent="0.2">
      <c r="C357" s="82"/>
      <c r="D357" s="292" t="s">
        <v>74</v>
      </c>
      <c r="E357" s="138"/>
      <c r="F357" s="138"/>
      <c r="H357" s="69" t="str">
        <f t="shared" si="12"/>
        <v>BTR-Regions</v>
      </c>
      <c r="I357" s="69" t="str">
        <f t="shared" si="13"/>
        <v>The Forge</v>
      </c>
      <c r="J357" s="292"/>
      <c r="L357" s="283"/>
      <c r="M357" s="283"/>
      <c r="N357" s="212"/>
      <c r="O357" s="213"/>
      <c r="P357" s="283"/>
      <c r="Q357" s="283"/>
      <c r="R357" s="283"/>
      <c r="S357" s="283"/>
      <c r="T357" s="284"/>
      <c r="U357" s="284"/>
      <c r="V357" s="283"/>
      <c r="W357" s="283"/>
      <c r="X357" s="283"/>
      <c r="Y357" s="283"/>
    </row>
    <row r="358" spans="3:25" ht="13.5" customHeight="1" x14ac:dyDescent="0.2">
      <c r="C358" s="82"/>
      <c r="D358" s="292" t="s">
        <v>74</v>
      </c>
      <c r="E358" s="138"/>
      <c r="F358" s="138"/>
      <c r="H358" s="69" t="str">
        <f t="shared" si="12"/>
        <v>BTR-Regions</v>
      </c>
      <c r="I358" s="69" t="str">
        <f t="shared" si="13"/>
        <v>The Forge</v>
      </c>
      <c r="J358" s="292"/>
      <c r="L358" s="283"/>
      <c r="M358" s="283"/>
      <c r="N358" s="212"/>
      <c r="O358" s="213"/>
      <c r="P358" s="283"/>
      <c r="Q358" s="283"/>
      <c r="R358" s="283"/>
      <c r="S358" s="283"/>
      <c r="T358" s="284"/>
      <c r="U358" s="284"/>
      <c r="V358" s="283"/>
      <c r="W358" s="283"/>
      <c r="X358" s="283"/>
      <c r="Y358" s="283"/>
    </row>
    <row r="359" spans="3:25" ht="13.5" customHeight="1" x14ac:dyDescent="0.2">
      <c r="C359" s="82"/>
      <c r="D359" s="292" t="s">
        <v>74</v>
      </c>
      <c r="E359" s="138"/>
      <c r="F359" s="138"/>
      <c r="H359" s="69" t="str">
        <f t="shared" si="12"/>
        <v>BTR-Regions</v>
      </c>
      <c r="I359" s="69" t="str">
        <f t="shared" si="13"/>
        <v>The Forge</v>
      </c>
      <c r="J359" s="292"/>
      <c r="L359" s="283"/>
      <c r="M359" s="283"/>
      <c r="N359" s="212"/>
      <c r="O359" s="213"/>
      <c r="P359" s="283"/>
      <c r="Q359" s="283"/>
      <c r="R359" s="283"/>
      <c r="S359" s="283"/>
      <c r="T359" s="284"/>
      <c r="U359" s="284"/>
      <c r="V359" s="283"/>
      <c r="W359" s="283"/>
      <c r="X359" s="283"/>
      <c r="Y359" s="283"/>
    </row>
    <row r="360" spans="3:25" ht="13.5" customHeight="1" x14ac:dyDescent="0.2">
      <c r="C360" s="82"/>
      <c r="D360" s="292" t="s">
        <v>74</v>
      </c>
      <c r="E360" s="138"/>
      <c r="F360" s="138"/>
      <c r="H360" s="69" t="str">
        <f t="shared" si="12"/>
        <v>BTR-Regions</v>
      </c>
      <c r="I360" s="69" t="str">
        <f t="shared" si="13"/>
        <v>The Forge</v>
      </c>
      <c r="J360" s="292"/>
      <c r="L360" s="283"/>
      <c r="M360" s="283"/>
      <c r="N360" s="212"/>
      <c r="O360" s="213"/>
      <c r="P360" s="283"/>
      <c r="Q360" s="283"/>
      <c r="R360" s="283"/>
      <c r="S360" s="283"/>
      <c r="T360" s="284"/>
      <c r="U360" s="284"/>
      <c r="V360" s="283"/>
      <c r="W360" s="283"/>
      <c r="X360" s="283"/>
      <c r="Y360" s="283"/>
    </row>
    <row r="361" spans="3:25" ht="13.5" customHeight="1" x14ac:dyDescent="0.2">
      <c r="C361" s="82"/>
      <c r="D361" s="292" t="s">
        <v>74</v>
      </c>
      <c r="E361" s="138"/>
      <c r="F361" s="138"/>
      <c r="H361" s="69" t="str">
        <f t="shared" si="12"/>
        <v>BTR-Regions</v>
      </c>
      <c r="I361" s="69" t="str">
        <f t="shared" si="13"/>
        <v>The Forge</v>
      </c>
      <c r="J361" s="292"/>
      <c r="L361" s="283"/>
      <c r="M361" s="283"/>
      <c r="N361" s="212"/>
      <c r="O361" s="213"/>
      <c r="P361" s="283"/>
      <c r="Q361" s="283"/>
      <c r="R361" s="283"/>
      <c r="S361" s="283"/>
      <c r="T361" s="284"/>
      <c r="U361" s="284"/>
      <c r="V361" s="283"/>
      <c r="W361" s="283"/>
      <c r="X361" s="283"/>
      <c r="Y361" s="283"/>
    </row>
    <row r="362" spans="3:25" ht="13.5" customHeight="1" x14ac:dyDescent="0.2">
      <c r="C362" s="82"/>
      <c r="D362" s="292" t="s">
        <v>74</v>
      </c>
      <c r="E362" s="138"/>
      <c r="F362" s="138"/>
      <c r="H362" s="69" t="str">
        <f t="shared" si="12"/>
        <v>BTR-Regions</v>
      </c>
      <c r="I362" s="69" t="str">
        <f t="shared" si="13"/>
        <v>The Forge</v>
      </c>
      <c r="J362" s="292"/>
      <c r="L362" s="283"/>
      <c r="M362" s="283"/>
      <c r="N362" s="212"/>
      <c r="O362" s="213"/>
      <c r="P362" s="283"/>
      <c r="Q362" s="283"/>
      <c r="R362" s="283"/>
      <c r="S362" s="283"/>
      <c r="T362" s="284"/>
      <c r="U362" s="284"/>
      <c r="V362" s="283"/>
      <c r="W362" s="283"/>
      <c r="X362" s="283"/>
      <c r="Y362" s="283"/>
    </row>
    <row r="363" spans="3:25" ht="13.5" customHeight="1" x14ac:dyDescent="0.2">
      <c r="C363" s="82"/>
      <c r="D363" s="292" t="s">
        <v>74</v>
      </c>
      <c r="E363" s="138"/>
      <c r="F363" s="138"/>
      <c r="H363" s="69" t="str">
        <f t="shared" si="12"/>
        <v>BTR-Regions</v>
      </c>
      <c r="I363" s="69" t="str">
        <f t="shared" si="13"/>
        <v>The Forge</v>
      </c>
      <c r="J363" s="292"/>
      <c r="L363" s="283"/>
      <c r="M363" s="283"/>
      <c r="N363" s="212"/>
      <c r="O363" s="213"/>
      <c r="P363" s="283"/>
      <c r="Q363" s="283"/>
      <c r="R363" s="283"/>
      <c r="S363" s="283"/>
      <c r="T363" s="284"/>
      <c r="U363" s="284"/>
      <c r="V363" s="283"/>
      <c r="W363" s="283"/>
      <c r="X363" s="283"/>
      <c r="Y363" s="283"/>
    </row>
    <row r="364" spans="3:25" ht="13.5" customHeight="1" x14ac:dyDescent="0.2">
      <c r="C364" s="82"/>
      <c r="D364" s="292" t="s">
        <v>74</v>
      </c>
      <c r="E364" s="138"/>
      <c r="F364" s="138"/>
      <c r="H364" s="69" t="str">
        <f t="shared" si="12"/>
        <v>BTR-Regions</v>
      </c>
      <c r="I364" s="69" t="str">
        <f t="shared" si="13"/>
        <v>The Forge</v>
      </c>
      <c r="J364" s="292"/>
      <c r="L364" s="283"/>
      <c r="M364" s="283"/>
      <c r="N364" s="212"/>
      <c r="O364" s="213"/>
      <c r="P364" s="283"/>
      <c r="Q364" s="283"/>
      <c r="R364" s="283"/>
      <c r="S364" s="283"/>
      <c r="T364" s="284"/>
      <c r="U364" s="284"/>
      <c r="V364" s="283"/>
      <c r="W364" s="283"/>
      <c r="X364" s="283"/>
      <c r="Y364" s="283"/>
    </row>
    <row r="365" spans="3:25" ht="13.5" customHeight="1" x14ac:dyDescent="0.2">
      <c r="C365" s="82"/>
      <c r="D365" s="292" t="s">
        <v>74</v>
      </c>
      <c r="E365" s="138"/>
      <c r="F365" s="138"/>
      <c r="H365" s="69" t="str">
        <f t="shared" si="12"/>
        <v>BTR-Regions</v>
      </c>
      <c r="I365" s="69" t="str">
        <f t="shared" si="13"/>
        <v>The Forge</v>
      </c>
      <c r="J365" s="292"/>
      <c r="L365" s="283"/>
      <c r="M365" s="283"/>
      <c r="N365" s="212"/>
      <c r="O365" s="213"/>
      <c r="P365" s="283"/>
      <c r="Q365" s="283"/>
      <c r="R365" s="283"/>
      <c r="S365" s="283"/>
      <c r="T365" s="284"/>
      <c r="U365" s="284"/>
      <c r="V365" s="283"/>
      <c r="W365" s="283"/>
      <c r="X365" s="283"/>
      <c r="Y365" s="283"/>
    </row>
    <row r="366" spans="3:25" ht="13.5" customHeight="1" x14ac:dyDescent="0.2">
      <c r="C366" s="82"/>
      <c r="D366" s="292" t="s">
        <v>74</v>
      </c>
      <c r="E366" s="138"/>
      <c r="F366" s="138"/>
      <c r="H366" s="69" t="str">
        <f t="shared" si="12"/>
        <v>BTR-Regions</v>
      </c>
      <c r="I366" s="69" t="str">
        <f t="shared" si="13"/>
        <v>The Forge</v>
      </c>
      <c r="J366" s="292"/>
      <c r="L366" s="283"/>
      <c r="M366" s="283"/>
      <c r="N366" s="212"/>
      <c r="O366" s="213"/>
      <c r="P366" s="283"/>
      <c r="Q366" s="283"/>
      <c r="R366" s="283"/>
      <c r="S366" s="283"/>
      <c r="T366" s="284"/>
      <c r="U366" s="284"/>
      <c r="V366" s="283"/>
      <c r="W366" s="283"/>
      <c r="X366" s="283"/>
      <c r="Y366" s="283"/>
    </row>
    <row r="367" spans="3:25" ht="13.5" customHeight="1" x14ac:dyDescent="0.2">
      <c r="C367" s="82"/>
      <c r="D367" s="292" t="s">
        <v>74</v>
      </c>
      <c r="E367" s="138"/>
      <c r="F367" s="138"/>
      <c r="H367" s="69" t="str">
        <f t="shared" si="12"/>
        <v>BTR-Regions</v>
      </c>
      <c r="I367" s="69" t="str">
        <f t="shared" si="13"/>
        <v>The Forge</v>
      </c>
      <c r="J367" s="292"/>
      <c r="L367" s="283"/>
      <c r="M367" s="283"/>
      <c r="N367" s="212"/>
      <c r="O367" s="213"/>
      <c r="P367" s="283"/>
      <c r="Q367" s="283"/>
      <c r="R367" s="283"/>
      <c r="S367" s="283"/>
      <c r="T367" s="284"/>
      <c r="U367" s="284"/>
      <c r="V367" s="283"/>
      <c r="W367" s="283"/>
      <c r="X367" s="283"/>
      <c r="Y367" s="283"/>
    </row>
    <row r="368" spans="3:25" ht="13.5" customHeight="1" x14ac:dyDescent="0.2">
      <c r="C368" s="82"/>
      <c r="D368" s="292" t="s">
        <v>74</v>
      </c>
      <c r="E368" s="138"/>
      <c r="F368" s="138"/>
      <c r="H368" s="69" t="str">
        <f t="shared" si="12"/>
        <v>BTR-Regions</v>
      </c>
      <c r="I368" s="69" t="str">
        <f t="shared" si="13"/>
        <v>The Forge</v>
      </c>
      <c r="J368" s="292"/>
      <c r="L368" s="283"/>
      <c r="M368" s="283"/>
      <c r="N368" s="212"/>
      <c r="O368" s="213"/>
      <c r="P368" s="283"/>
      <c r="Q368" s="283"/>
      <c r="R368" s="283"/>
      <c r="S368" s="283"/>
      <c r="T368" s="284"/>
      <c r="U368" s="284"/>
      <c r="V368" s="283"/>
      <c r="W368" s="283"/>
      <c r="X368" s="283"/>
      <c r="Y368" s="283"/>
    </row>
    <row r="369" spans="3:25" ht="13.5" customHeight="1" x14ac:dyDescent="0.2">
      <c r="C369" s="82"/>
      <c r="D369" s="292" t="s">
        <v>74</v>
      </c>
      <c r="E369" s="138"/>
      <c r="F369" s="138"/>
      <c r="H369" s="69" t="str">
        <f t="shared" si="12"/>
        <v>BTR-Regions</v>
      </c>
      <c r="I369" s="69" t="str">
        <f t="shared" si="13"/>
        <v>The Forge</v>
      </c>
      <c r="J369" s="292"/>
      <c r="L369" s="283"/>
      <c r="M369" s="283"/>
      <c r="N369" s="212"/>
      <c r="O369" s="213"/>
      <c r="P369" s="283"/>
      <c r="Q369" s="283"/>
      <c r="R369" s="283"/>
      <c r="S369" s="283"/>
      <c r="T369" s="284"/>
      <c r="U369" s="284"/>
      <c r="V369" s="283"/>
      <c r="W369" s="283"/>
      <c r="X369" s="283"/>
      <c r="Y369" s="283"/>
    </row>
    <row r="370" spans="3:25" ht="13.5" customHeight="1" x14ac:dyDescent="0.2">
      <c r="C370" s="82"/>
      <c r="D370" s="292" t="s">
        <v>74</v>
      </c>
      <c r="E370" s="138"/>
      <c r="F370" s="138"/>
      <c r="H370" s="69" t="str">
        <f t="shared" si="12"/>
        <v>BTR-Regions</v>
      </c>
      <c r="I370" s="69" t="str">
        <f t="shared" si="13"/>
        <v>The Forge</v>
      </c>
      <c r="J370" s="292"/>
      <c r="L370" s="283"/>
      <c r="M370" s="283"/>
      <c r="N370" s="212"/>
      <c r="O370" s="213"/>
      <c r="P370" s="283"/>
      <c r="Q370" s="283"/>
      <c r="R370" s="283"/>
      <c r="S370" s="283"/>
      <c r="T370" s="284"/>
      <c r="U370" s="284"/>
      <c r="V370" s="283"/>
      <c r="W370" s="283"/>
      <c r="X370" s="283"/>
      <c r="Y370" s="283"/>
    </row>
    <row r="371" spans="3:25" ht="13.5" customHeight="1" x14ac:dyDescent="0.2">
      <c r="C371" s="82"/>
      <c r="D371" s="292" t="s">
        <v>74</v>
      </c>
      <c r="E371" s="138"/>
      <c r="F371" s="138"/>
      <c r="H371" s="69" t="str">
        <f t="shared" si="12"/>
        <v>BTR-Regions</v>
      </c>
      <c r="I371" s="69" t="str">
        <f t="shared" si="13"/>
        <v>The Forge</v>
      </c>
      <c r="J371" s="292"/>
      <c r="L371" s="283"/>
      <c r="M371" s="283"/>
      <c r="N371" s="212"/>
      <c r="O371" s="213"/>
      <c r="P371" s="283"/>
      <c r="Q371" s="283"/>
      <c r="R371" s="283"/>
      <c r="S371" s="283"/>
      <c r="T371" s="284"/>
      <c r="U371" s="284"/>
      <c r="V371" s="283"/>
      <c r="W371" s="283"/>
      <c r="X371" s="283"/>
      <c r="Y371" s="283"/>
    </row>
    <row r="372" spans="3:25" ht="13.5" customHeight="1" x14ac:dyDescent="0.2">
      <c r="C372" s="82"/>
      <c r="D372" s="292" t="s">
        <v>74</v>
      </c>
      <c r="E372" s="138"/>
      <c r="F372" s="138"/>
      <c r="H372" s="69" t="str">
        <f t="shared" si="12"/>
        <v>BTR-Regions</v>
      </c>
      <c r="I372" s="69" t="str">
        <f t="shared" si="13"/>
        <v>The Forge</v>
      </c>
      <c r="J372" s="292"/>
      <c r="L372" s="283"/>
      <c r="M372" s="283"/>
      <c r="N372" s="212"/>
      <c r="O372" s="213"/>
      <c r="P372" s="283"/>
      <c r="Q372" s="283"/>
      <c r="R372" s="283"/>
      <c r="S372" s="283"/>
      <c r="T372" s="284"/>
      <c r="U372" s="284"/>
      <c r="V372" s="283"/>
      <c r="W372" s="283"/>
      <c r="X372" s="283"/>
      <c r="Y372" s="283"/>
    </row>
    <row r="373" spans="3:25" ht="13.5" customHeight="1" x14ac:dyDescent="0.2">
      <c r="C373" s="82"/>
      <c r="D373" s="292" t="s">
        <v>74</v>
      </c>
      <c r="E373" s="138"/>
      <c r="F373" s="138"/>
      <c r="H373" s="69" t="str">
        <f t="shared" si="12"/>
        <v>BTR-Regions</v>
      </c>
      <c r="I373" s="69" t="str">
        <f t="shared" si="13"/>
        <v>The Forge</v>
      </c>
      <c r="J373" s="292"/>
      <c r="L373" s="283"/>
      <c r="M373" s="283"/>
      <c r="N373" s="212"/>
      <c r="O373" s="213"/>
      <c r="P373" s="283"/>
      <c r="Q373" s="283"/>
      <c r="R373" s="283"/>
      <c r="S373" s="283"/>
      <c r="T373" s="284"/>
      <c r="U373" s="284"/>
      <c r="V373" s="283"/>
      <c r="W373" s="283"/>
      <c r="X373" s="283"/>
      <c r="Y373" s="283"/>
    </row>
    <row r="374" spans="3:25" ht="13.5" customHeight="1" x14ac:dyDescent="0.2">
      <c r="C374" s="82"/>
      <c r="D374" s="292" t="s">
        <v>74</v>
      </c>
      <c r="E374" s="138"/>
      <c r="F374" s="138"/>
      <c r="H374" s="69" t="str">
        <f t="shared" si="12"/>
        <v>BTR-Regions</v>
      </c>
      <c r="I374" s="69" t="str">
        <f t="shared" si="13"/>
        <v>The Forge</v>
      </c>
      <c r="J374" s="292"/>
      <c r="L374" s="283"/>
      <c r="M374" s="283"/>
      <c r="N374" s="212"/>
      <c r="O374" s="213"/>
      <c r="P374" s="283"/>
      <c r="Q374" s="283"/>
      <c r="R374" s="283"/>
      <c r="S374" s="283"/>
      <c r="T374" s="284"/>
      <c r="U374" s="284"/>
      <c r="V374" s="283"/>
      <c r="W374" s="283"/>
      <c r="X374" s="283"/>
      <c r="Y374" s="283"/>
    </row>
    <row r="375" spans="3:25" ht="13.5" customHeight="1" x14ac:dyDescent="0.2">
      <c r="C375" s="82"/>
      <c r="D375" s="292" t="s">
        <v>74</v>
      </c>
      <c r="E375" s="138"/>
      <c r="F375" s="138"/>
      <c r="H375" s="69" t="str">
        <f t="shared" si="12"/>
        <v>BTR-Regions</v>
      </c>
      <c r="I375" s="69" t="str">
        <f t="shared" si="13"/>
        <v>The Forge</v>
      </c>
      <c r="J375" s="292"/>
      <c r="L375" s="283"/>
      <c r="M375" s="283"/>
      <c r="N375" s="212"/>
      <c r="O375" s="213"/>
      <c r="P375" s="283"/>
      <c r="Q375" s="283"/>
      <c r="R375" s="283"/>
      <c r="S375" s="283"/>
      <c r="T375" s="284"/>
      <c r="U375" s="284"/>
      <c r="V375" s="283"/>
      <c r="W375" s="283"/>
      <c r="X375" s="283"/>
      <c r="Y375" s="283"/>
    </row>
    <row r="376" spans="3:25" ht="13.5" customHeight="1" x14ac:dyDescent="0.2">
      <c r="C376" s="82"/>
      <c r="D376" s="292" t="s">
        <v>74</v>
      </c>
      <c r="E376" s="138"/>
      <c r="F376" s="138"/>
      <c r="H376" s="69" t="str">
        <f t="shared" si="12"/>
        <v>BTR-Regions</v>
      </c>
      <c r="I376" s="69" t="str">
        <f t="shared" si="13"/>
        <v>The Forge</v>
      </c>
      <c r="J376" s="292"/>
      <c r="L376" s="283"/>
      <c r="M376" s="283"/>
      <c r="N376" s="212"/>
      <c r="O376" s="213"/>
      <c r="P376" s="283"/>
      <c r="Q376" s="283"/>
      <c r="R376" s="283"/>
      <c r="S376" s="283"/>
      <c r="T376" s="284"/>
      <c r="U376" s="284"/>
      <c r="V376" s="283"/>
      <c r="W376" s="283"/>
      <c r="X376" s="283"/>
      <c r="Y376" s="283"/>
    </row>
    <row r="377" spans="3:25" ht="13.5" customHeight="1" x14ac:dyDescent="0.2">
      <c r="C377" s="82"/>
      <c r="D377" s="292" t="s">
        <v>74</v>
      </c>
      <c r="E377" s="138"/>
      <c r="F377" s="138"/>
      <c r="H377" s="69" t="str">
        <f t="shared" si="12"/>
        <v>BTR-Regions</v>
      </c>
      <c r="I377" s="69" t="str">
        <f t="shared" si="13"/>
        <v>The Forge</v>
      </c>
      <c r="J377" s="292"/>
      <c r="L377" s="283"/>
      <c r="M377" s="283"/>
      <c r="N377" s="212"/>
      <c r="O377" s="213"/>
      <c r="P377" s="283"/>
      <c r="Q377" s="283"/>
      <c r="R377" s="283"/>
      <c r="S377" s="283"/>
      <c r="T377" s="284"/>
      <c r="U377" s="284"/>
      <c r="V377" s="283"/>
      <c r="W377" s="283"/>
      <c r="X377" s="283"/>
      <c r="Y377" s="283"/>
    </row>
    <row r="378" spans="3:25" ht="13.5" customHeight="1" x14ac:dyDescent="0.2">
      <c r="C378" s="82"/>
      <c r="D378" s="292" t="s">
        <v>74</v>
      </c>
      <c r="E378" s="138"/>
      <c r="F378" s="138"/>
      <c r="H378" s="69" t="str">
        <f t="shared" si="12"/>
        <v>BTR-Regions</v>
      </c>
      <c r="I378" s="69" t="str">
        <f t="shared" si="13"/>
        <v>The Forge</v>
      </c>
      <c r="J378" s="292"/>
      <c r="L378" s="283"/>
      <c r="M378" s="283"/>
      <c r="N378" s="212"/>
      <c r="O378" s="213"/>
      <c r="P378" s="283"/>
      <c r="Q378" s="283"/>
      <c r="R378" s="283"/>
      <c r="S378" s="283"/>
      <c r="T378" s="284"/>
      <c r="U378" s="284"/>
      <c r="V378" s="283"/>
      <c r="W378" s="283"/>
      <c r="X378" s="283"/>
      <c r="Y378" s="283"/>
    </row>
    <row r="379" spans="3:25" ht="13.5" customHeight="1" x14ac:dyDescent="0.2">
      <c r="C379" s="82"/>
      <c r="D379" s="292" t="s">
        <v>74</v>
      </c>
      <c r="E379" s="138"/>
      <c r="F379" s="138"/>
      <c r="H379" s="69" t="str">
        <f t="shared" si="12"/>
        <v>BTR-Regions</v>
      </c>
      <c r="I379" s="69" t="str">
        <f t="shared" si="13"/>
        <v>The Forge</v>
      </c>
      <c r="J379" s="292"/>
      <c r="L379" s="283"/>
      <c r="M379" s="283"/>
      <c r="N379" s="212"/>
      <c r="O379" s="213"/>
      <c r="P379" s="283"/>
      <c r="Q379" s="283"/>
      <c r="R379" s="283"/>
      <c r="S379" s="283"/>
      <c r="T379" s="284"/>
      <c r="U379" s="284"/>
      <c r="V379" s="283"/>
      <c r="W379" s="283"/>
      <c r="X379" s="283"/>
      <c r="Y379" s="283"/>
    </row>
    <row r="380" spans="3:25" ht="13.5" customHeight="1" x14ac:dyDescent="0.2">
      <c r="C380" s="82"/>
      <c r="D380" s="292" t="s">
        <v>74</v>
      </c>
      <c r="E380" s="138"/>
      <c r="F380" s="138"/>
      <c r="H380" s="69" t="str">
        <f t="shared" si="12"/>
        <v>BTR-Regions</v>
      </c>
      <c r="I380" s="69" t="str">
        <f t="shared" si="13"/>
        <v>The Forge</v>
      </c>
      <c r="J380" s="292"/>
      <c r="L380" s="283"/>
      <c r="M380" s="283"/>
      <c r="N380" s="212"/>
      <c r="O380" s="213"/>
      <c r="P380" s="283"/>
      <c r="Q380" s="283"/>
      <c r="R380" s="283"/>
      <c r="S380" s="283"/>
      <c r="T380" s="284"/>
      <c r="U380" s="284"/>
      <c r="V380" s="283"/>
      <c r="W380" s="283"/>
      <c r="X380" s="283"/>
      <c r="Y380" s="283"/>
    </row>
    <row r="381" spans="3:25" ht="13.5" customHeight="1" x14ac:dyDescent="0.2">
      <c r="C381" s="82"/>
      <c r="D381" s="292" t="s">
        <v>74</v>
      </c>
      <c r="E381" s="138"/>
      <c r="F381" s="138"/>
      <c r="H381" s="69" t="str">
        <f t="shared" si="12"/>
        <v>BTR-Regions</v>
      </c>
      <c r="I381" s="69" t="str">
        <f t="shared" si="13"/>
        <v>The Forge</v>
      </c>
      <c r="J381" s="292"/>
      <c r="L381" s="283"/>
      <c r="M381" s="283"/>
      <c r="N381" s="212"/>
      <c r="O381" s="213"/>
      <c r="P381" s="283"/>
      <c r="Q381" s="283"/>
      <c r="R381" s="283"/>
      <c r="S381" s="283"/>
      <c r="T381" s="284"/>
      <c r="U381" s="284"/>
      <c r="V381" s="283"/>
      <c r="W381" s="283"/>
      <c r="X381" s="283"/>
      <c r="Y381" s="283"/>
    </row>
    <row r="382" spans="3:25" ht="13.5" customHeight="1" x14ac:dyDescent="0.2">
      <c r="C382" s="82"/>
      <c r="D382" s="292" t="s">
        <v>74</v>
      </c>
      <c r="E382" s="138"/>
      <c r="F382" s="138"/>
      <c r="H382" s="69" t="str">
        <f t="shared" si="12"/>
        <v>BTR-Regions</v>
      </c>
      <c r="I382" s="69" t="str">
        <f t="shared" si="13"/>
        <v>The Forge</v>
      </c>
      <c r="J382" s="292"/>
      <c r="L382" s="283"/>
      <c r="M382" s="283"/>
      <c r="N382" s="212"/>
      <c r="O382" s="213"/>
      <c r="P382" s="283"/>
      <c r="Q382" s="283"/>
      <c r="R382" s="283"/>
      <c r="S382" s="283"/>
      <c r="T382" s="284"/>
      <c r="U382" s="284"/>
      <c r="V382" s="283"/>
      <c r="W382" s="283"/>
      <c r="X382" s="283"/>
      <c r="Y382" s="283"/>
    </row>
    <row r="383" spans="3:25" ht="13.5" customHeight="1" x14ac:dyDescent="0.2">
      <c r="C383" s="82"/>
      <c r="D383" s="292" t="s">
        <v>74</v>
      </c>
      <c r="E383" s="138"/>
      <c r="F383" s="138"/>
      <c r="H383" s="69" t="str">
        <f t="shared" si="12"/>
        <v>BTR-Regions</v>
      </c>
      <c r="I383" s="69" t="str">
        <f t="shared" si="13"/>
        <v>The Forge</v>
      </c>
      <c r="J383" s="292"/>
      <c r="L383" s="283"/>
      <c r="M383" s="283"/>
      <c r="N383" s="212"/>
      <c r="O383" s="213"/>
      <c r="P383" s="283"/>
      <c r="Q383" s="283"/>
      <c r="R383" s="283"/>
      <c r="S383" s="283"/>
      <c r="T383" s="284"/>
      <c r="U383" s="284"/>
      <c r="V383" s="283"/>
      <c r="W383" s="283"/>
      <c r="X383" s="283"/>
      <c r="Y383" s="283"/>
    </row>
    <row r="384" spans="3:25" ht="13.5" customHeight="1" x14ac:dyDescent="0.2">
      <c r="C384" s="82"/>
      <c r="D384" s="292" t="s">
        <v>74</v>
      </c>
      <c r="E384" s="138"/>
      <c r="F384" s="138"/>
      <c r="H384" s="69" t="str">
        <f t="shared" si="12"/>
        <v>BTR-Regions</v>
      </c>
      <c r="I384" s="69" t="str">
        <f t="shared" si="13"/>
        <v>The Forge</v>
      </c>
      <c r="J384" s="292"/>
      <c r="L384" s="283"/>
      <c r="M384" s="283"/>
      <c r="N384" s="212"/>
      <c r="O384" s="213"/>
      <c r="P384" s="283"/>
      <c r="Q384" s="283"/>
      <c r="R384" s="283"/>
      <c r="S384" s="283"/>
      <c r="T384" s="284"/>
      <c r="U384" s="284"/>
      <c r="V384" s="283"/>
      <c r="W384" s="283"/>
      <c r="X384" s="283"/>
      <c r="Y384" s="283"/>
    </row>
    <row r="385" spans="3:25" ht="13.5" customHeight="1" x14ac:dyDescent="0.2">
      <c r="C385" s="82"/>
      <c r="D385" s="292" t="s">
        <v>74</v>
      </c>
      <c r="E385" s="138"/>
      <c r="F385" s="138"/>
      <c r="H385" s="69" t="str">
        <f t="shared" si="12"/>
        <v>BTR-Regions</v>
      </c>
      <c r="I385" s="69" t="str">
        <f t="shared" si="13"/>
        <v>The Forge</v>
      </c>
      <c r="J385" s="292"/>
      <c r="L385" s="283"/>
      <c r="M385" s="283"/>
      <c r="N385" s="212"/>
      <c r="O385" s="213"/>
      <c r="P385" s="283"/>
      <c r="Q385" s="283"/>
      <c r="R385" s="283"/>
      <c r="S385" s="283"/>
      <c r="T385" s="284"/>
      <c r="U385" s="284"/>
      <c r="V385" s="283"/>
      <c r="W385" s="283"/>
      <c r="X385" s="283"/>
      <c r="Y385" s="283"/>
    </row>
    <row r="386" spans="3:25" ht="13.5" customHeight="1" x14ac:dyDescent="0.2">
      <c r="C386" s="82"/>
      <c r="D386" s="292" t="s">
        <v>74</v>
      </c>
      <c r="E386" s="138"/>
      <c r="F386" s="138"/>
      <c r="H386" s="69" t="str">
        <f t="shared" si="12"/>
        <v>BTR-Regions</v>
      </c>
      <c r="I386" s="69" t="str">
        <f t="shared" si="13"/>
        <v>The Forge</v>
      </c>
      <c r="J386" s="292"/>
      <c r="L386" s="283"/>
      <c r="M386" s="283"/>
      <c r="N386" s="212"/>
      <c r="O386" s="213"/>
      <c r="P386" s="283"/>
      <c r="Q386" s="283"/>
      <c r="R386" s="283"/>
      <c r="S386" s="283"/>
      <c r="T386" s="284"/>
      <c r="U386" s="284"/>
      <c r="V386" s="283"/>
      <c r="W386" s="283"/>
      <c r="X386" s="283"/>
      <c r="Y386" s="283"/>
    </row>
    <row r="387" spans="3:25" ht="13.5" customHeight="1" x14ac:dyDescent="0.2">
      <c r="C387" s="82"/>
      <c r="D387" s="292" t="s">
        <v>74</v>
      </c>
      <c r="E387" s="138"/>
      <c r="F387" s="138"/>
      <c r="H387" s="69" t="str">
        <f t="shared" si="12"/>
        <v>BTR-Regions</v>
      </c>
      <c r="I387" s="69" t="str">
        <f t="shared" si="13"/>
        <v>The Forge</v>
      </c>
      <c r="J387" s="292"/>
      <c r="L387" s="283"/>
      <c r="M387" s="283"/>
      <c r="N387" s="212"/>
      <c r="O387" s="213"/>
      <c r="P387" s="283"/>
      <c r="Q387" s="283"/>
      <c r="R387" s="283"/>
      <c r="S387" s="283"/>
      <c r="T387" s="284"/>
      <c r="U387" s="284"/>
      <c r="V387" s="283"/>
      <c r="W387" s="283"/>
      <c r="X387" s="283"/>
      <c r="Y387" s="283"/>
    </row>
    <row r="388" spans="3:25" ht="13.5" customHeight="1" x14ac:dyDescent="0.2">
      <c r="C388" s="82"/>
      <c r="D388" s="292" t="s">
        <v>74</v>
      </c>
      <c r="E388" s="138"/>
      <c r="F388" s="138"/>
      <c r="H388" s="69" t="str">
        <f t="shared" si="12"/>
        <v>BTR-Regions</v>
      </c>
      <c r="I388" s="69" t="str">
        <f t="shared" si="13"/>
        <v>The Forge</v>
      </c>
      <c r="J388" s="292"/>
      <c r="L388" s="283"/>
      <c r="M388" s="283"/>
      <c r="N388" s="212"/>
      <c r="O388" s="213"/>
      <c r="P388" s="283"/>
      <c r="Q388" s="283"/>
      <c r="R388" s="283"/>
      <c r="S388" s="283"/>
      <c r="T388" s="284"/>
      <c r="U388" s="284"/>
      <c r="V388" s="283"/>
      <c r="W388" s="283"/>
      <c r="X388" s="283"/>
      <c r="Y388" s="283"/>
    </row>
    <row r="389" spans="3:25" ht="13.5" customHeight="1" x14ac:dyDescent="0.2">
      <c r="C389" s="82"/>
      <c r="D389" s="292" t="s">
        <v>74</v>
      </c>
      <c r="E389" s="138"/>
      <c r="F389" s="138"/>
      <c r="H389" s="69" t="str">
        <f t="shared" si="12"/>
        <v>BTR-Regions</v>
      </c>
      <c r="I389" s="69" t="str">
        <f t="shared" si="13"/>
        <v>The Forge</v>
      </c>
      <c r="J389" s="292"/>
      <c r="L389" s="283"/>
      <c r="M389" s="283"/>
      <c r="N389" s="212"/>
      <c r="O389" s="213"/>
      <c r="P389" s="283"/>
      <c r="Q389" s="283"/>
      <c r="R389" s="283"/>
      <c r="S389" s="283"/>
      <c r="T389" s="284"/>
      <c r="U389" s="284"/>
      <c r="V389" s="283"/>
      <c r="W389" s="283"/>
      <c r="X389" s="283"/>
      <c r="Y389" s="283"/>
    </row>
    <row r="390" spans="3:25" ht="13.5" customHeight="1" x14ac:dyDescent="0.2">
      <c r="C390" s="82"/>
      <c r="D390" s="292" t="s">
        <v>74</v>
      </c>
      <c r="E390" s="138"/>
      <c r="F390" s="138"/>
      <c r="H390" s="69" t="str">
        <f t="shared" si="12"/>
        <v>BTR-Regions</v>
      </c>
      <c r="I390" s="69" t="str">
        <f t="shared" si="13"/>
        <v>The Forge</v>
      </c>
      <c r="J390" s="292"/>
      <c r="L390" s="283"/>
      <c r="M390" s="283"/>
      <c r="N390" s="212"/>
      <c r="O390" s="213"/>
      <c r="P390" s="283"/>
      <c r="Q390" s="283"/>
      <c r="R390" s="283"/>
      <c r="S390" s="283"/>
      <c r="T390" s="284"/>
      <c r="U390" s="284"/>
      <c r="V390" s="283"/>
      <c r="W390" s="283"/>
      <c r="X390" s="283"/>
      <c r="Y390" s="283"/>
    </row>
    <row r="391" spans="3:25" ht="13.5" customHeight="1" x14ac:dyDescent="0.2">
      <c r="C391" s="82"/>
      <c r="D391" s="292" t="s">
        <v>74</v>
      </c>
      <c r="E391" s="138"/>
      <c r="F391" s="138"/>
      <c r="H391" s="69" t="str">
        <f t="shared" si="12"/>
        <v>BTR-Regions</v>
      </c>
      <c r="I391" s="69" t="str">
        <f t="shared" si="13"/>
        <v>The Forge</v>
      </c>
      <c r="J391" s="292"/>
      <c r="L391" s="283"/>
      <c r="M391" s="283"/>
      <c r="N391" s="212"/>
      <c r="O391" s="213"/>
      <c r="P391" s="283"/>
      <c r="Q391" s="283"/>
      <c r="R391" s="283"/>
      <c r="S391" s="283"/>
      <c r="T391" s="284"/>
      <c r="U391" s="284"/>
      <c r="V391" s="283"/>
      <c r="W391" s="283"/>
      <c r="X391" s="283"/>
      <c r="Y391" s="283"/>
    </row>
    <row r="392" spans="3:25" ht="13.5" customHeight="1" x14ac:dyDescent="0.2">
      <c r="C392" s="82"/>
      <c r="D392" s="292" t="s">
        <v>74</v>
      </c>
      <c r="E392" s="138"/>
      <c r="F392" s="138"/>
      <c r="H392" s="69" t="str">
        <f t="shared" si="12"/>
        <v>BTR-Regions</v>
      </c>
      <c r="I392" s="69" t="str">
        <f t="shared" si="13"/>
        <v>The Forge</v>
      </c>
      <c r="J392" s="292"/>
      <c r="L392" s="283"/>
      <c r="M392" s="283"/>
      <c r="N392" s="212"/>
      <c r="O392" s="213"/>
      <c r="P392" s="283"/>
      <c r="Q392" s="283"/>
      <c r="R392" s="283"/>
      <c r="S392" s="283"/>
      <c r="T392" s="284"/>
      <c r="U392" s="284"/>
      <c r="V392" s="283"/>
      <c r="W392" s="283"/>
      <c r="X392" s="283"/>
      <c r="Y392" s="283"/>
    </row>
    <row r="393" spans="3:25" ht="13.5" customHeight="1" x14ac:dyDescent="0.2">
      <c r="C393" s="82"/>
      <c r="D393" s="292" t="s">
        <v>74</v>
      </c>
      <c r="E393" s="138"/>
      <c r="F393" s="138"/>
      <c r="H393" s="69" t="str">
        <f t="shared" si="12"/>
        <v>BTR-Regions</v>
      </c>
      <c r="I393" s="69" t="str">
        <f t="shared" si="13"/>
        <v>The Forge</v>
      </c>
      <c r="J393" s="292"/>
      <c r="L393" s="283"/>
      <c r="M393" s="283"/>
      <c r="N393" s="212"/>
      <c r="O393" s="213"/>
      <c r="P393" s="283"/>
      <c r="Q393" s="283"/>
      <c r="R393" s="283"/>
      <c r="S393" s="283"/>
      <c r="T393" s="284"/>
      <c r="U393" s="284"/>
      <c r="V393" s="283"/>
      <c r="W393" s="283"/>
      <c r="X393" s="283"/>
      <c r="Y393" s="283"/>
    </row>
    <row r="394" spans="3:25" ht="13.5" customHeight="1" x14ac:dyDescent="0.2">
      <c r="C394" s="82"/>
      <c r="D394" s="292" t="s">
        <v>74</v>
      </c>
      <c r="E394" s="138"/>
      <c r="F394" s="138"/>
      <c r="H394" s="69" t="str">
        <f t="shared" si="12"/>
        <v>BTR-Regions</v>
      </c>
      <c r="I394" s="69" t="str">
        <f t="shared" si="13"/>
        <v>The Forge</v>
      </c>
      <c r="J394" s="292"/>
      <c r="L394" s="283"/>
      <c r="M394" s="283"/>
      <c r="N394" s="212"/>
      <c r="O394" s="213"/>
      <c r="P394" s="283"/>
      <c r="Q394" s="283"/>
      <c r="R394" s="283"/>
      <c r="S394" s="283"/>
      <c r="T394" s="284"/>
      <c r="U394" s="284"/>
      <c r="V394" s="283"/>
      <c r="W394" s="283"/>
      <c r="X394" s="283"/>
      <c r="Y394" s="283"/>
    </row>
    <row r="395" spans="3:25" ht="13.5" customHeight="1" x14ac:dyDescent="0.2">
      <c r="C395" s="82"/>
      <c r="D395" s="292" t="s">
        <v>74</v>
      </c>
      <c r="E395" s="138"/>
      <c r="F395" s="138"/>
      <c r="H395" s="69" t="str">
        <f t="shared" si="12"/>
        <v>BTR-Regions</v>
      </c>
      <c r="I395" s="69" t="str">
        <f t="shared" si="13"/>
        <v>The Forge</v>
      </c>
      <c r="J395" s="292"/>
      <c r="L395" s="283"/>
      <c r="M395" s="283"/>
      <c r="N395" s="212"/>
      <c r="O395" s="213"/>
      <c r="P395" s="283"/>
      <c r="Q395" s="283"/>
      <c r="R395" s="283"/>
      <c r="S395" s="283"/>
      <c r="T395" s="284"/>
      <c r="U395" s="284"/>
      <c r="V395" s="283"/>
      <c r="W395" s="283"/>
      <c r="X395" s="283"/>
      <c r="Y395" s="283"/>
    </row>
    <row r="396" spans="3:25" ht="13.5" customHeight="1" x14ac:dyDescent="0.2">
      <c r="C396" s="82"/>
      <c r="D396" s="292" t="s">
        <v>74</v>
      </c>
      <c r="E396" s="138"/>
      <c r="F396" s="138"/>
      <c r="H396" s="69" t="str">
        <f t="shared" si="12"/>
        <v>BTR-Regions</v>
      </c>
      <c r="I396" s="69" t="str">
        <f t="shared" si="13"/>
        <v>The Forge</v>
      </c>
      <c r="J396" s="292"/>
      <c r="L396" s="283"/>
      <c r="M396" s="283"/>
      <c r="N396" s="212"/>
      <c r="O396" s="213"/>
      <c r="P396" s="283"/>
      <c r="Q396" s="283"/>
      <c r="R396" s="283"/>
      <c r="S396" s="283"/>
      <c r="T396" s="284"/>
      <c r="U396" s="284"/>
      <c r="V396" s="283"/>
      <c r="W396" s="283"/>
      <c r="X396" s="283"/>
      <c r="Y396" s="283"/>
    </row>
    <row r="397" spans="3:25" ht="13.5" customHeight="1" x14ac:dyDescent="0.2">
      <c r="C397" s="82"/>
      <c r="D397" s="292" t="s">
        <v>74</v>
      </c>
      <c r="E397" s="138"/>
      <c r="F397" s="138"/>
      <c r="H397" s="69" t="str">
        <f t="shared" si="12"/>
        <v>BTR-Regions</v>
      </c>
      <c r="I397" s="69" t="str">
        <f t="shared" si="13"/>
        <v>The Forge</v>
      </c>
      <c r="J397" s="292"/>
      <c r="L397" s="283"/>
      <c r="M397" s="283"/>
      <c r="N397" s="212"/>
      <c r="O397" s="213"/>
      <c r="P397" s="283"/>
      <c r="Q397" s="283"/>
      <c r="R397" s="283"/>
      <c r="S397" s="283"/>
      <c r="T397" s="284"/>
      <c r="U397" s="284"/>
      <c r="V397" s="283"/>
      <c r="W397" s="283"/>
      <c r="X397" s="283"/>
      <c r="Y397" s="283"/>
    </row>
    <row r="398" spans="3:25" ht="13.5" customHeight="1" x14ac:dyDescent="0.2">
      <c r="C398" s="82"/>
      <c r="D398" s="292" t="s">
        <v>74</v>
      </c>
      <c r="E398" s="138"/>
      <c r="F398" s="138"/>
      <c r="H398" s="69" t="str">
        <f t="shared" si="12"/>
        <v>BTR-Regions</v>
      </c>
      <c r="I398" s="69" t="str">
        <f t="shared" si="13"/>
        <v>The Forge</v>
      </c>
      <c r="J398" s="292"/>
      <c r="L398" s="283"/>
      <c r="M398" s="283"/>
      <c r="N398" s="212"/>
      <c r="O398" s="213"/>
      <c r="P398" s="283"/>
      <c r="Q398" s="283"/>
      <c r="R398" s="283"/>
      <c r="S398" s="283"/>
      <c r="T398" s="284"/>
      <c r="U398" s="284"/>
      <c r="V398" s="283"/>
      <c r="W398" s="283"/>
      <c r="X398" s="283"/>
      <c r="Y398" s="283"/>
    </row>
    <row r="399" spans="3:25" ht="13.5" customHeight="1" x14ac:dyDescent="0.2">
      <c r="C399" s="82"/>
      <c r="D399" s="292" t="s">
        <v>74</v>
      </c>
      <c r="E399" s="138"/>
      <c r="F399" s="138"/>
      <c r="H399" s="69" t="str">
        <f t="shared" si="12"/>
        <v>BTR-Regions</v>
      </c>
      <c r="I399" s="69" t="str">
        <f t="shared" si="13"/>
        <v>The Forge</v>
      </c>
      <c r="J399" s="292"/>
      <c r="L399" s="283"/>
      <c r="M399" s="283"/>
      <c r="N399" s="212"/>
      <c r="O399" s="213"/>
      <c r="P399" s="283"/>
      <c r="Q399" s="283"/>
      <c r="R399" s="283"/>
      <c r="S399" s="283"/>
      <c r="T399" s="284"/>
      <c r="U399" s="284"/>
      <c r="V399" s="283"/>
      <c r="W399" s="283"/>
      <c r="X399" s="283"/>
      <c r="Y399" s="283"/>
    </row>
    <row r="400" spans="3:25" ht="13.5" customHeight="1" x14ac:dyDescent="0.2">
      <c r="C400" s="82"/>
      <c r="D400" s="292" t="s">
        <v>74</v>
      </c>
      <c r="E400" s="138"/>
      <c r="F400" s="138"/>
      <c r="H400" s="69" t="str">
        <f t="shared" si="12"/>
        <v>BTR-Regions</v>
      </c>
      <c r="I400" s="69" t="str">
        <f t="shared" si="13"/>
        <v>The Forge</v>
      </c>
      <c r="J400" s="292"/>
      <c r="L400" s="283"/>
      <c r="M400" s="283"/>
      <c r="N400" s="212"/>
      <c r="O400" s="213"/>
      <c r="P400" s="283"/>
      <c r="Q400" s="283"/>
      <c r="R400" s="283"/>
      <c r="S400" s="283"/>
      <c r="T400" s="284"/>
      <c r="U400" s="284"/>
      <c r="V400" s="283"/>
      <c r="W400" s="283"/>
      <c r="X400" s="283"/>
      <c r="Y400" s="283"/>
    </row>
    <row r="401" spans="3:25" ht="13.5" customHeight="1" x14ac:dyDescent="0.2">
      <c r="C401" s="82"/>
      <c r="D401" s="292" t="s">
        <v>74</v>
      </c>
      <c r="E401" s="138"/>
      <c r="F401" s="138"/>
      <c r="H401" s="69" t="str">
        <f t="shared" si="12"/>
        <v>BTR-Regions</v>
      </c>
      <c r="I401" s="69" t="str">
        <f t="shared" si="13"/>
        <v>The Forge</v>
      </c>
      <c r="J401" s="292"/>
      <c r="L401" s="283"/>
      <c r="M401" s="283"/>
      <c r="N401" s="212"/>
      <c r="O401" s="213"/>
      <c r="P401" s="283"/>
      <c r="Q401" s="283"/>
      <c r="R401" s="283"/>
      <c r="S401" s="283"/>
      <c r="T401" s="284"/>
      <c r="U401" s="284"/>
      <c r="V401" s="283"/>
      <c r="W401" s="283"/>
      <c r="X401" s="283"/>
      <c r="Y401" s="283"/>
    </row>
    <row r="402" spans="3:25" ht="13.5" customHeight="1" x14ac:dyDescent="0.2">
      <c r="C402" s="82"/>
      <c r="D402" s="292" t="s">
        <v>74</v>
      </c>
      <c r="E402" s="138"/>
      <c r="F402" s="138"/>
      <c r="H402" s="69" t="str">
        <f t="shared" si="12"/>
        <v>BTR-Regions</v>
      </c>
      <c r="I402" s="69" t="str">
        <f t="shared" si="13"/>
        <v>The Forge</v>
      </c>
      <c r="J402" s="292"/>
      <c r="L402" s="283"/>
      <c r="M402" s="283"/>
      <c r="N402" s="212"/>
      <c r="O402" s="213"/>
      <c r="P402" s="283"/>
      <c r="Q402" s="283"/>
      <c r="R402" s="283"/>
      <c r="S402" s="283"/>
      <c r="T402" s="284"/>
      <c r="U402" s="284"/>
      <c r="V402" s="283"/>
      <c r="W402" s="283"/>
      <c r="X402" s="283"/>
      <c r="Y402" s="283"/>
    </row>
    <row r="403" spans="3:25" ht="13.5" customHeight="1" x14ac:dyDescent="0.2">
      <c r="C403" s="82"/>
      <c r="D403" s="292" t="s">
        <v>74</v>
      </c>
      <c r="E403" s="138"/>
      <c r="F403" s="138"/>
      <c r="H403" s="69" t="str">
        <f t="shared" si="12"/>
        <v>BTR-Regions</v>
      </c>
      <c r="I403" s="69" t="str">
        <f t="shared" si="13"/>
        <v>The Forge</v>
      </c>
      <c r="J403" s="292"/>
      <c r="L403" s="283"/>
      <c r="M403" s="283"/>
      <c r="N403" s="212"/>
      <c r="O403" s="213"/>
      <c r="P403" s="283"/>
      <c r="Q403" s="283"/>
      <c r="R403" s="283"/>
      <c r="S403" s="283"/>
      <c r="T403" s="284"/>
      <c r="U403" s="284"/>
      <c r="V403" s="283"/>
      <c r="W403" s="283"/>
      <c r="X403" s="283"/>
      <c r="Y403" s="283"/>
    </row>
    <row r="404" spans="3:25" ht="13.5" customHeight="1" x14ac:dyDescent="0.2">
      <c r="C404" s="82"/>
      <c r="D404" s="292" t="s">
        <v>74</v>
      </c>
      <c r="E404" s="138"/>
      <c r="F404" s="138"/>
      <c r="H404" s="69" t="str">
        <f t="shared" si="12"/>
        <v>BTR-Regions</v>
      </c>
      <c r="I404" s="69" t="str">
        <f t="shared" si="13"/>
        <v>The Forge</v>
      </c>
      <c r="J404" s="292"/>
      <c r="L404" s="283"/>
      <c r="M404" s="283"/>
      <c r="N404" s="212"/>
      <c r="O404" s="213"/>
      <c r="P404" s="283"/>
      <c r="Q404" s="283"/>
      <c r="R404" s="283"/>
      <c r="S404" s="283"/>
      <c r="T404" s="284"/>
      <c r="U404" s="284"/>
      <c r="V404" s="283"/>
      <c r="W404" s="283"/>
      <c r="X404" s="283"/>
      <c r="Y404" s="283"/>
    </row>
    <row r="405" spans="3:25" ht="13.5" customHeight="1" x14ac:dyDescent="0.2">
      <c r="C405" s="82"/>
      <c r="D405" s="292" t="s">
        <v>74</v>
      </c>
      <c r="E405" s="138"/>
      <c r="F405" s="138"/>
      <c r="H405" s="69" t="str">
        <f t="shared" si="12"/>
        <v>BTR-Regions</v>
      </c>
      <c r="I405" s="69" t="str">
        <f t="shared" si="13"/>
        <v>The Forge</v>
      </c>
      <c r="J405" s="292"/>
      <c r="L405" s="283"/>
      <c r="M405" s="283"/>
      <c r="N405" s="212"/>
      <c r="O405" s="213"/>
      <c r="P405" s="283"/>
      <c r="Q405" s="283"/>
      <c r="R405" s="283"/>
      <c r="S405" s="283"/>
      <c r="T405" s="284"/>
      <c r="U405" s="284"/>
      <c r="V405" s="283"/>
      <c r="W405" s="283"/>
      <c r="X405" s="283"/>
      <c r="Y405" s="283"/>
    </row>
    <row r="406" spans="3:25" ht="13.5" customHeight="1" x14ac:dyDescent="0.2">
      <c r="C406" s="82"/>
      <c r="D406" s="292" t="s">
        <v>74</v>
      </c>
      <c r="E406" s="138"/>
      <c r="F406" s="138"/>
      <c r="H406" s="69" t="str">
        <f t="shared" ref="H406:H469" si="14">$I$9</f>
        <v>BTR-Regions</v>
      </c>
      <c r="I406" s="69" t="str">
        <f t="shared" ref="I406:I469" si="15">$I$10</f>
        <v>The Forge</v>
      </c>
      <c r="J406" s="292"/>
      <c r="L406" s="283"/>
      <c r="M406" s="283"/>
      <c r="N406" s="212"/>
      <c r="O406" s="213"/>
      <c r="P406" s="283"/>
      <c r="Q406" s="283"/>
      <c r="R406" s="283"/>
      <c r="S406" s="283"/>
      <c r="T406" s="284"/>
      <c r="U406" s="284"/>
      <c r="V406" s="283"/>
      <c r="W406" s="283"/>
      <c r="X406" s="283"/>
      <c r="Y406" s="283"/>
    </row>
    <row r="407" spans="3:25" ht="13.5" customHeight="1" x14ac:dyDescent="0.2">
      <c r="C407" s="82"/>
      <c r="D407" s="292" t="s">
        <v>74</v>
      </c>
      <c r="E407" s="138"/>
      <c r="F407" s="138"/>
      <c r="H407" s="69" t="str">
        <f t="shared" si="14"/>
        <v>BTR-Regions</v>
      </c>
      <c r="I407" s="69" t="str">
        <f t="shared" si="15"/>
        <v>The Forge</v>
      </c>
      <c r="J407" s="292"/>
      <c r="L407" s="283"/>
      <c r="M407" s="283"/>
      <c r="N407" s="212"/>
      <c r="O407" s="213"/>
      <c r="P407" s="283"/>
      <c r="Q407" s="283"/>
      <c r="R407" s="283"/>
      <c r="S407" s="283"/>
      <c r="T407" s="284"/>
      <c r="U407" s="284"/>
      <c r="V407" s="283"/>
      <c r="W407" s="283"/>
      <c r="X407" s="283"/>
      <c r="Y407" s="283"/>
    </row>
    <row r="408" spans="3:25" ht="13.5" customHeight="1" x14ac:dyDescent="0.2">
      <c r="C408" s="82"/>
      <c r="D408" s="292" t="s">
        <v>74</v>
      </c>
      <c r="E408" s="138"/>
      <c r="F408" s="138"/>
      <c r="H408" s="69" t="str">
        <f t="shared" si="14"/>
        <v>BTR-Regions</v>
      </c>
      <c r="I408" s="69" t="str">
        <f t="shared" si="15"/>
        <v>The Forge</v>
      </c>
      <c r="J408" s="292"/>
      <c r="L408" s="283"/>
      <c r="M408" s="283"/>
      <c r="N408" s="212"/>
      <c r="O408" s="213"/>
      <c r="P408" s="283"/>
      <c r="Q408" s="283"/>
      <c r="R408" s="283"/>
      <c r="S408" s="283"/>
      <c r="T408" s="284"/>
      <c r="U408" s="284"/>
      <c r="V408" s="283"/>
      <c r="W408" s="283"/>
      <c r="X408" s="283"/>
      <c r="Y408" s="283"/>
    </row>
    <row r="409" spans="3:25" ht="13.5" customHeight="1" x14ac:dyDescent="0.2">
      <c r="C409" s="82"/>
      <c r="D409" s="292" t="s">
        <v>74</v>
      </c>
      <c r="E409" s="138"/>
      <c r="F409" s="138"/>
      <c r="H409" s="69" t="str">
        <f t="shared" si="14"/>
        <v>BTR-Regions</v>
      </c>
      <c r="I409" s="69" t="str">
        <f t="shared" si="15"/>
        <v>The Forge</v>
      </c>
      <c r="J409" s="292"/>
      <c r="L409" s="283"/>
      <c r="M409" s="283"/>
      <c r="N409" s="212"/>
      <c r="O409" s="213"/>
      <c r="P409" s="283"/>
      <c r="Q409" s="283"/>
      <c r="R409" s="283"/>
      <c r="S409" s="283"/>
      <c r="T409" s="284"/>
      <c r="U409" s="284"/>
      <c r="V409" s="283"/>
      <c r="W409" s="283"/>
      <c r="X409" s="283"/>
      <c r="Y409" s="283"/>
    </row>
    <row r="410" spans="3:25" ht="13.5" customHeight="1" x14ac:dyDescent="0.2">
      <c r="C410" s="82"/>
      <c r="D410" s="292" t="s">
        <v>74</v>
      </c>
      <c r="E410" s="138"/>
      <c r="F410" s="138"/>
      <c r="H410" s="69" t="str">
        <f t="shared" si="14"/>
        <v>BTR-Regions</v>
      </c>
      <c r="I410" s="69" t="str">
        <f t="shared" si="15"/>
        <v>The Forge</v>
      </c>
      <c r="J410" s="292"/>
      <c r="L410" s="283"/>
      <c r="M410" s="283"/>
      <c r="N410" s="212"/>
      <c r="O410" s="213"/>
      <c r="P410" s="283"/>
      <c r="Q410" s="283"/>
      <c r="R410" s="283"/>
      <c r="S410" s="283"/>
      <c r="T410" s="284"/>
      <c r="U410" s="284"/>
      <c r="V410" s="283"/>
      <c r="W410" s="283"/>
      <c r="X410" s="283"/>
      <c r="Y410" s="283"/>
    </row>
    <row r="411" spans="3:25" ht="13.5" customHeight="1" x14ac:dyDescent="0.2">
      <c r="C411" s="82"/>
      <c r="D411" s="292" t="s">
        <v>74</v>
      </c>
      <c r="E411" s="138"/>
      <c r="F411" s="138"/>
      <c r="H411" s="69" t="str">
        <f t="shared" si="14"/>
        <v>BTR-Regions</v>
      </c>
      <c r="I411" s="69" t="str">
        <f t="shared" si="15"/>
        <v>The Forge</v>
      </c>
      <c r="J411" s="292"/>
      <c r="L411" s="283"/>
      <c r="M411" s="283"/>
      <c r="N411" s="212"/>
      <c r="O411" s="213"/>
      <c r="P411" s="283"/>
      <c r="Q411" s="283"/>
      <c r="R411" s="283"/>
      <c r="S411" s="283"/>
      <c r="T411" s="284"/>
      <c r="U411" s="284"/>
      <c r="V411" s="283"/>
      <c r="W411" s="283"/>
      <c r="X411" s="283"/>
      <c r="Y411" s="283"/>
    </row>
    <row r="412" spans="3:25" ht="13.5" customHeight="1" x14ac:dyDescent="0.2">
      <c r="C412" s="82"/>
      <c r="D412" s="292" t="s">
        <v>74</v>
      </c>
      <c r="E412" s="138"/>
      <c r="F412" s="138"/>
      <c r="H412" s="69" t="str">
        <f t="shared" si="14"/>
        <v>BTR-Regions</v>
      </c>
      <c r="I412" s="69" t="str">
        <f t="shared" si="15"/>
        <v>The Forge</v>
      </c>
      <c r="J412" s="292"/>
      <c r="L412" s="283"/>
      <c r="M412" s="283"/>
      <c r="N412" s="212"/>
      <c r="O412" s="213"/>
      <c r="P412" s="283"/>
      <c r="Q412" s="283"/>
      <c r="R412" s="283"/>
      <c r="S412" s="283"/>
      <c r="T412" s="284"/>
      <c r="U412" s="284"/>
      <c r="V412" s="283"/>
      <c r="W412" s="283"/>
      <c r="X412" s="283"/>
      <c r="Y412" s="283"/>
    </row>
    <row r="413" spans="3:25" ht="13.5" customHeight="1" x14ac:dyDescent="0.2">
      <c r="C413" s="82"/>
      <c r="D413" s="292" t="s">
        <v>74</v>
      </c>
      <c r="E413" s="138"/>
      <c r="F413" s="138"/>
      <c r="H413" s="69" t="str">
        <f t="shared" si="14"/>
        <v>BTR-Regions</v>
      </c>
      <c r="I413" s="69" t="str">
        <f t="shared" si="15"/>
        <v>The Forge</v>
      </c>
      <c r="J413" s="292"/>
      <c r="L413" s="283"/>
      <c r="M413" s="283"/>
      <c r="N413" s="212"/>
      <c r="O413" s="213"/>
      <c r="P413" s="283"/>
      <c r="Q413" s="283"/>
      <c r="R413" s="283"/>
      <c r="S413" s="283"/>
      <c r="T413" s="284"/>
      <c r="U413" s="284"/>
      <c r="V413" s="283"/>
      <c r="W413" s="283"/>
      <c r="X413" s="283"/>
      <c r="Y413" s="283"/>
    </row>
    <row r="414" spans="3:25" ht="13.5" customHeight="1" x14ac:dyDescent="0.2">
      <c r="C414" s="82"/>
      <c r="D414" s="292" t="s">
        <v>74</v>
      </c>
      <c r="E414" s="138"/>
      <c r="F414" s="138"/>
      <c r="H414" s="69" t="str">
        <f t="shared" si="14"/>
        <v>BTR-Regions</v>
      </c>
      <c r="I414" s="69" t="str">
        <f t="shared" si="15"/>
        <v>The Forge</v>
      </c>
      <c r="J414" s="292"/>
      <c r="L414" s="283"/>
      <c r="M414" s="283"/>
      <c r="N414" s="212"/>
      <c r="O414" s="213"/>
      <c r="P414" s="283"/>
      <c r="Q414" s="283"/>
      <c r="R414" s="283"/>
      <c r="S414" s="283"/>
      <c r="T414" s="284"/>
      <c r="U414" s="284"/>
      <c r="V414" s="283"/>
      <c r="W414" s="283"/>
      <c r="X414" s="283"/>
      <c r="Y414" s="283"/>
    </row>
    <row r="415" spans="3:25" ht="13.5" customHeight="1" x14ac:dyDescent="0.2">
      <c r="C415" s="82"/>
      <c r="D415" s="292" t="s">
        <v>74</v>
      </c>
      <c r="E415" s="138"/>
      <c r="F415" s="138"/>
      <c r="H415" s="69" t="str">
        <f t="shared" si="14"/>
        <v>BTR-Regions</v>
      </c>
      <c r="I415" s="69" t="str">
        <f t="shared" si="15"/>
        <v>The Forge</v>
      </c>
      <c r="J415" s="292"/>
      <c r="L415" s="283"/>
      <c r="M415" s="283"/>
      <c r="N415" s="212"/>
      <c r="O415" s="213"/>
      <c r="P415" s="283"/>
      <c r="Q415" s="283"/>
      <c r="R415" s="283"/>
      <c r="S415" s="283"/>
      <c r="T415" s="284"/>
      <c r="U415" s="284"/>
      <c r="V415" s="283"/>
      <c r="W415" s="283"/>
      <c r="X415" s="283"/>
      <c r="Y415" s="283"/>
    </row>
    <row r="416" spans="3:25" ht="13.5" customHeight="1" x14ac:dyDescent="0.2">
      <c r="C416" s="82"/>
      <c r="D416" s="292" t="s">
        <v>74</v>
      </c>
      <c r="E416" s="138"/>
      <c r="F416" s="138"/>
      <c r="H416" s="69" t="str">
        <f t="shared" si="14"/>
        <v>BTR-Regions</v>
      </c>
      <c r="I416" s="69" t="str">
        <f t="shared" si="15"/>
        <v>The Forge</v>
      </c>
      <c r="J416" s="292"/>
      <c r="L416" s="283"/>
      <c r="M416" s="283"/>
      <c r="N416" s="212"/>
      <c r="O416" s="213"/>
      <c r="P416" s="283"/>
      <c r="Q416" s="283"/>
      <c r="R416" s="283"/>
      <c r="S416" s="283"/>
      <c r="T416" s="284"/>
      <c r="U416" s="284"/>
      <c r="V416" s="283"/>
      <c r="W416" s="283"/>
      <c r="X416" s="283"/>
      <c r="Y416" s="283"/>
    </row>
    <row r="417" spans="3:25" ht="13.5" customHeight="1" x14ac:dyDescent="0.2">
      <c r="C417" s="82"/>
      <c r="D417" s="292" t="s">
        <v>74</v>
      </c>
      <c r="E417" s="138"/>
      <c r="F417" s="138"/>
      <c r="H417" s="69" t="str">
        <f t="shared" si="14"/>
        <v>BTR-Regions</v>
      </c>
      <c r="I417" s="69" t="str">
        <f t="shared" si="15"/>
        <v>The Forge</v>
      </c>
      <c r="J417" s="292"/>
      <c r="L417" s="283"/>
      <c r="M417" s="283"/>
      <c r="N417" s="212"/>
      <c r="O417" s="213"/>
      <c r="P417" s="283"/>
      <c r="Q417" s="283"/>
      <c r="R417" s="283"/>
      <c r="S417" s="283"/>
      <c r="T417" s="284"/>
      <c r="U417" s="284"/>
      <c r="V417" s="283"/>
      <c r="W417" s="283"/>
      <c r="X417" s="283"/>
      <c r="Y417" s="283"/>
    </row>
    <row r="418" spans="3:25" ht="13.5" customHeight="1" x14ac:dyDescent="0.2">
      <c r="C418" s="82"/>
      <c r="D418" s="292" t="s">
        <v>74</v>
      </c>
      <c r="E418" s="138"/>
      <c r="F418" s="138"/>
      <c r="H418" s="69" t="str">
        <f t="shared" si="14"/>
        <v>BTR-Regions</v>
      </c>
      <c r="I418" s="69" t="str">
        <f t="shared" si="15"/>
        <v>The Forge</v>
      </c>
      <c r="J418" s="292"/>
      <c r="L418" s="283"/>
      <c r="M418" s="283"/>
      <c r="N418" s="212"/>
      <c r="O418" s="213"/>
      <c r="P418" s="283"/>
      <c r="Q418" s="283"/>
      <c r="R418" s="283"/>
      <c r="S418" s="283"/>
      <c r="T418" s="284"/>
      <c r="U418" s="284"/>
      <c r="V418" s="283"/>
      <c r="W418" s="283"/>
      <c r="X418" s="283"/>
      <c r="Y418" s="283"/>
    </row>
    <row r="419" spans="3:25" ht="13.5" customHeight="1" x14ac:dyDescent="0.2">
      <c r="C419" s="82"/>
      <c r="D419" s="292" t="s">
        <v>74</v>
      </c>
      <c r="E419" s="138"/>
      <c r="F419" s="138"/>
      <c r="H419" s="69" t="str">
        <f t="shared" si="14"/>
        <v>BTR-Regions</v>
      </c>
      <c r="I419" s="69" t="str">
        <f t="shared" si="15"/>
        <v>The Forge</v>
      </c>
      <c r="J419" s="292"/>
      <c r="L419" s="283"/>
      <c r="M419" s="283"/>
      <c r="N419" s="212"/>
      <c r="O419" s="213"/>
      <c r="P419" s="283"/>
      <c r="Q419" s="283"/>
      <c r="R419" s="283"/>
      <c r="S419" s="283"/>
      <c r="T419" s="284"/>
      <c r="U419" s="284"/>
      <c r="V419" s="283"/>
      <c r="W419" s="283"/>
      <c r="X419" s="283"/>
      <c r="Y419" s="283"/>
    </row>
    <row r="420" spans="3:25" ht="13.5" customHeight="1" x14ac:dyDescent="0.2">
      <c r="C420" s="82"/>
      <c r="D420" s="292" t="s">
        <v>74</v>
      </c>
      <c r="E420" s="138"/>
      <c r="F420" s="138"/>
      <c r="H420" s="69" t="str">
        <f t="shared" si="14"/>
        <v>BTR-Regions</v>
      </c>
      <c r="I420" s="69" t="str">
        <f t="shared" si="15"/>
        <v>The Forge</v>
      </c>
      <c r="J420" s="292"/>
      <c r="L420" s="283"/>
      <c r="M420" s="283"/>
      <c r="N420" s="212"/>
      <c r="O420" s="213"/>
      <c r="P420" s="283"/>
      <c r="Q420" s="283"/>
      <c r="R420" s="283"/>
      <c r="S420" s="283"/>
      <c r="T420" s="284"/>
      <c r="U420" s="284"/>
      <c r="V420" s="283"/>
      <c r="W420" s="283"/>
      <c r="X420" s="283"/>
      <c r="Y420" s="283"/>
    </row>
    <row r="421" spans="3:25" ht="13.5" customHeight="1" x14ac:dyDescent="0.2">
      <c r="C421" s="82"/>
      <c r="D421" s="292" t="s">
        <v>74</v>
      </c>
      <c r="E421" s="138"/>
      <c r="F421" s="138"/>
      <c r="H421" s="69" t="str">
        <f t="shared" si="14"/>
        <v>BTR-Regions</v>
      </c>
      <c r="I421" s="69" t="str">
        <f t="shared" si="15"/>
        <v>The Forge</v>
      </c>
      <c r="J421" s="292"/>
      <c r="L421" s="283"/>
      <c r="M421" s="283"/>
      <c r="N421" s="212"/>
      <c r="O421" s="213"/>
      <c r="P421" s="283"/>
      <c r="Q421" s="283"/>
      <c r="R421" s="283"/>
      <c r="S421" s="283"/>
      <c r="T421" s="284"/>
      <c r="U421" s="284"/>
      <c r="V421" s="283"/>
      <c r="W421" s="283"/>
      <c r="X421" s="283"/>
      <c r="Y421" s="283"/>
    </row>
    <row r="422" spans="3:25" ht="13.5" customHeight="1" x14ac:dyDescent="0.2">
      <c r="C422" s="82"/>
      <c r="D422" s="292" t="s">
        <v>74</v>
      </c>
      <c r="E422" s="138"/>
      <c r="F422" s="138"/>
      <c r="H422" s="69" t="str">
        <f t="shared" si="14"/>
        <v>BTR-Regions</v>
      </c>
      <c r="I422" s="69" t="str">
        <f t="shared" si="15"/>
        <v>The Forge</v>
      </c>
      <c r="J422" s="292"/>
      <c r="L422" s="283"/>
      <c r="M422" s="283"/>
      <c r="N422" s="212"/>
      <c r="O422" s="213"/>
      <c r="P422" s="283"/>
      <c r="Q422" s="283"/>
      <c r="R422" s="283"/>
      <c r="S422" s="283"/>
      <c r="T422" s="284"/>
      <c r="U422" s="284"/>
      <c r="V422" s="283"/>
      <c r="W422" s="283"/>
      <c r="X422" s="283"/>
      <c r="Y422" s="283"/>
    </row>
    <row r="423" spans="3:25" ht="13.5" customHeight="1" x14ac:dyDescent="0.2">
      <c r="C423" s="82"/>
      <c r="D423" s="292" t="s">
        <v>74</v>
      </c>
      <c r="E423" s="138"/>
      <c r="F423" s="138"/>
      <c r="H423" s="69" t="str">
        <f t="shared" si="14"/>
        <v>BTR-Regions</v>
      </c>
      <c r="I423" s="69" t="str">
        <f t="shared" si="15"/>
        <v>The Forge</v>
      </c>
      <c r="J423" s="292"/>
      <c r="L423" s="283"/>
      <c r="M423" s="283"/>
      <c r="N423" s="212"/>
      <c r="O423" s="213"/>
      <c r="P423" s="283"/>
      <c r="Q423" s="283"/>
      <c r="R423" s="283"/>
      <c r="S423" s="283"/>
      <c r="T423" s="284"/>
      <c r="U423" s="284"/>
      <c r="V423" s="283"/>
      <c r="W423" s="283"/>
      <c r="X423" s="283"/>
      <c r="Y423" s="283"/>
    </row>
    <row r="424" spans="3:25" ht="13.5" customHeight="1" x14ac:dyDescent="0.2">
      <c r="C424" s="82"/>
      <c r="D424" s="292" t="s">
        <v>74</v>
      </c>
      <c r="E424" s="138"/>
      <c r="F424" s="138"/>
      <c r="H424" s="69" t="str">
        <f t="shared" si="14"/>
        <v>BTR-Regions</v>
      </c>
      <c r="I424" s="69" t="str">
        <f t="shared" si="15"/>
        <v>The Forge</v>
      </c>
      <c r="J424" s="292"/>
      <c r="L424" s="283"/>
      <c r="M424" s="283"/>
      <c r="N424" s="212"/>
      <c r="O424" s="213"/>
      <c r="P424" s="283"/>
      <c r="Q424" s="283"/>
      <c r="R424" s="283"/>
      <c r="S424" s="283"/>
      <c r="T424" s="284"/>
      <c r="U424" s="284"/>
      <c r="V424" s="283"/>
      <c r="W424" s="283"/>
      <c r="X424" s="283"/>
      <c r="Y424" s="283"/>
    </row>
    <row r="425" spans="3:25" ht="13.5" customHeight="1" x14ac:dyDescent="0.2">
      <c r="C425" s="82"/>
      <c r="D425" s="292" t="s">
        <v>74</v>
      </c>
      <c r="E425" s="138"/>
      <c r="F425" s="138"/>
      <c r="H425" s="69" t="str">
        <f t="shared" si="14"/>
        <v>BTR-Regions</v>
      </c>
      <c r="I425" s="69" t="str">
        <f t="shared" si="15"/>
        <v>The Forge</v>
      </c>
      <c r="J425" s="292"/>
      <c r="L425" s="283"/>
      <c r="M425" s="283"/>
      <c r="N425" s="212"/>
      <c r="O425" s="213"/>
      <c r="P425" s="283"/>
      <c r="Q425" s="283"/>
      <c r="R425" s="283"/>
      <c r="S425" s="283"/>
      <c r="T425" s="284"/>
      <c r="U425" s="284"/>
      <c r="V425" s="283"/>
      <c r="W425" s="283"/>
      <c r="X425" s="283"/>
      <c r="Y425" s="283"/>
    </row>
    <row r="426" spans="3:25" ht="13.5" customHeight="1" x14ac:dyDescent="0.2">
      <c r="C426" s="82"/>
      <c r="D426" s="292" t="s">
        <v>74</v>
      </c>
      <c r="E426" s="138"/>
      <c r="F426" s="138"/>
      <c r="H426" s="69" t="str">
        <f t="shared" si="14"/>
        <v>BTR-Regions</v>
      </c>
      <c r="I426" s="69" t="str">
        <f t="shared" si="15"/>
        <v>The Forge</v>
      </c>
      <c r="J426" s="292"/>
      <c r="L426" s="283"/>
      <c r="M426" s="283"/>
      <c r="N426" s="212"/>
      <c r="O426" s="213"/>
      <c r="P426" s="283"/>
      <c r="Q426" s="283"/>
      <c r="R426" s="283"/>
      <c r="S426" s="283"/>
      <c r="T426" s="284"/>
      <c r="U426" s="284"/>
      <c r="V426" s="283"/>
      <c r="W426" s="283"/>
      <c r="X426" s="283"/>
      <c r="Y426" s="283"/>
    </row>
    <row r="427" spans="3:25" ht="13.5" customHeight="1" x14ac:dyDescent="0.2">
      <c r="C427" s="82"/>
      <c r="D427" s="292" t="s">
        <v>74</v>
      </c>
      <c r="E427" s="138"/>
      <c r="F427" s="138"/>
      <c r="H427" s="69" t="str">
        <f t="shared" si="14"/>
        <v>BTR-Regions</v>
      </c>
      <c r="I427" s="69" t="str">
        <f t="shared" si="15"/>
        <v>The Forge</v>
      </c>
      <c r="J427" s="292"/>
      <c r="L427" s="283"/>
      <c r="M427" s="283"/>
      <c r="N427" s="212"/>
      <c r="O427" s="213"/>
      <c r="P427" s="283"/>
      <c r="Q427" s="283"/>
      <c r="R427" s="283"/>
      <c r="S427" s="283"/>
      <c r="T427" s="284"/>
      <c r="U427" s="284"/>
      <c r="V427" s="283"/>
      <c r="W427" s="283"/>
      <c r="X427" s="283"/>
      <c r="Y427" s="283"/>
    </row>
    <row r="428" spans="3:25" ht="13.5" customHeight="1" x14ac:dyDescent="0.2">
      <c r="C428" s="82"/>
      <c r="D428" s="292" t="s">
        <v>74</v>
      </c>
      <c r="E428" s="138"/>
      <c r="F428" s="138"/>
      <c r="H428" s="69" t="str">
        <f t="shared" si="14"/>
        <v>BTR-Regions</v>
      </c>
      <c r="I428" s="69" t="str">
        <f t="shared" si="15"/>
        <v>The Forge</v>
      </c>
      <c r="J428" s="292"/>
      <c r="L428" s="283"/>
      <c r="M428" s="283"/>
      <c r="N428" s="212"/>
      <c r="O428" s="213"/>
      <c r="P428" s="283"/>
      <c r="Q428" s="283"/>
      <c r="R428" s="283"/>
      <c r="S428" s="283"/>
      <c r="T428" s="284"/>
      <c r="U428" s="284"/>
      <c r="V428" s="283"/>
      <c r="W428" s="283"/>
      <c r="X428" s="283"/>
      <c r="Y428" s="283"/>
    </row>
    <row r="429" spans="3:25" ht="13.5" customHeight="1" x14ac:dyDescent="0.2">
      <c r="C429" s="82"/>
      <c r="D429" s="292" t="s">
        <v>74</v>
      </c>
      <c r="E429" s="138"/>
      <c r="F429" s="138"/>
      <c r="H429" s="69" t="str">
        <f t="shared" si="14"/>
        <v>BTR-Regions</v>
      </c>
      <c r="I429" s="69" t="str">
        <f t="shared" si="15"/>
        <v>The Forge</v>
      </c>
      <c r="J429" s="292"/>
      <c r="L429" s="283"/>
      <c r="M429" s="283"/>
      <c r="N429" s="212"/>
      <c r="O429" s="213"/>
      <c r="P429" s="283"/>
      <c r="Q429" s="283"/>
      <c r="R429" s="283"/>
      <c r="S429" s="283"/>
      <c r="T429" s="284"/>
      <c r="U429" s="284"/>
      <c r="V429" s="283"/>
      <c r="W429" s="283"/>
      <c r="X429" s="283"/>
      <c r="Y429" s="283"/>
    </row>
    <row r="430" spans="3:25" ht="13.5" customHeight="1" x14ac:dyDescent="0.2">
      <c r="C430" s="82"/>
      <c r="D430" s="292" t="s">
        <v>74</v>
      </c>
      <c r="E430" s="138"/>
      <c r="F430" s="138"/>
      <c r="H430" s="69" t="str">
        <f t="shared" si="14"/>
        <v>BTR-Regions</v>
      </c>
      <c r="I430" s="69" t="str">
        <f t="shared" si="15"/>
        <v>The Forge</v>
      </c>
      <c r="J430" s="292"/>
      <c r="L430" s="283"/>
      <c r="M430" s="283"/>
      <c r="N430" s="212"/>
      <c r="O430" s="213"/>
      <c r="P430" s="283"/>
      <c r="Q430" s="283"/>
      <c r="R430" s="283"/>
      <c r="S430" s="283"/>
      <c r="T430" s="284"/>
      <c r="U430" s="284"/>
      <c r="V430" s="283"/>
      <c r="W430" s="283"/>
      <c r="X430" s="283"/>
      <c r="Y430" s="283"/>
    </row>
    <row r="431" spans="3:25" ht="13.5" customHeight="1" x14ac:dyDescent="0.2">
      <c r="C431" s="82"/>
      <c r="D431" s="292" t="s">
        <v>74</v>
      </c>
      <c r="E431" s="138"/>
      <c r="F431" s="138"/>
      <c r="H431" s="69" t="str">
        <f t="shared" si="14"/>
        <v>BTR-Regions</v>
      </c>
      <c r="I431" s="69" t="str">
        <f t="shared" si="15"/>
        <v>The Forge</v>
      </c>
      <c r="J431" s="292"/>
      <c r="L431" s="283"/>
      <c r="M431" s="283"/>
      <c r="N431" s="212"/>
      <c r="O431" s="213"/>
      <c r="P431" s="283"/>
      <c r="Q431" s="283"/>
      <c r="R431" s="283"/>
      <c r="S431" s="283"/>
      <c r="T431" s="284"/>
      <c r="U431" s="284"/>
      <c r="V431" s="283"/>
      <c r="W431" s="283"/>
      <c r="X431" s="283"/>
      <c r="Y431" s="283"/>
    </row>
    <row r="432" spans="3:25" ht="13.5" customHeight="1" x14ac:dyDescent="0.2">
      <c r="C432" s="82"/>
      <c r="D432" s="292" t="s">
        <v>74</v>
      </c>
      <c r="E432" s="138"/>
      <c r="F432" s="138"/>
      <c r="H432" s="69" t="str">
        <f t="shared" si="14"/>
        <v>BTR-Regions</v>
      </c>
      <c r="I432" s="69" t="str">
        <f t="shared" si="15"/>
        <v>The Forge</v>
      </c>
      <c r="J432" s="292"/>
      <c r="L432" s="283"/>
      <c r="M432" s="283"/>
      <c r="N432" s="212"/>
      <c r="O432" s="213"/>
      <c r="P432" s="283"/>
      <c r="Q432" s="283"/>
      <c r="R432" s="283"/>
      <c r="S432" s="283"/>
      <c r="T432" s="284"/>
      <c r="U432" s="284"/>
      <c r="V432" s="283"/>
      <c r="W432" s="283"/>
      <c r="X432" s="283"/>
      <c r="Y432" s="283"/>
    </row>
    <row r="433" spans="3:25" ht="13.5" customHeight="1" x14ac:dyDescent="0.2">
      <c r="C433" s="82"/>
      <c r="D433" s="292" t="s">
        <v>74</v>
      </c>
      <c r="E433" s="138"/>
      <c r="F433" s="138"/>
      <c r="H433" s="69" t="str">
        <f t="shared" si="14"/>
        <v>BTR-Regions</v>
      </c>
      <c r="I433" s="69" t="str">
        <f t="shared" si="15"/>
        <v>The Forge</v>
      </c>
      <c r="J433" s="292"/>
      <c r="L433" s="283"/>
      <c r="M433" s="283"/>
      <c r="N433" s="212"/>
      <c r="O433" s="213"/>
      <c r="P433" s="283"/>
      <c r="Q433" s="283"/>
      <c r="R433" s="283"/>
      <c r="S433" s="283"/>
      <c r="T433" s="284"/>
      <c r="U433" s="284"/>
      <c r="V433" s="283"/>
      <c r="W433" s="283"/>
      <c r="X433" s="283"/>
      <c r="Y433" s="283"/>
    </row>
    <row r="434" spans="3:25" ht="13.5" customHeight="1" x14ac:dyDescent="0.2">
      <c r="C434" s="82"/>
      <c r="D434" s="292" t="s">
        <v>74</v>
      </c>
      <c r="E434" s="138"/>
      <c r="F434" s="138"/>
      <c r="H434" s="69" t="str">
        <f t="shared" si="14"/>
        <v>BTR-Regions</v>
      </c>
      <c r="I434" s="69" t="str">
        <f t="shared" si="15"/>
        <v>The Forge</v>
      </c>
      <c r="J434" s="292"/>
      <c r="L434" s="283"/>
      <c r="M434" s="283"/>
      <c r="N434" s="212"/>
      <c r="O434" s="213"/>
      <c r="P434" s="283"/>
      <c r="Q434" s="283"/>
      <c r="R434" s="283"/>
      <c r="S434" s="283"/>
      <c r="T434" s="284"/>
      <c r="U434" s="284"/>
      <c r="V434" s="283"/>
      <c r="W434" s="283"/>
      <c r="X434" s="283"/>
      <c r="Y434" s="283"/>
    </row>
    <row r="435" spans="3:25" ht="13.5" customHeight="1" x14ac:dyDescent="0.2">
      <c r="C435" s="82"/>
      <c r="D435" s="292" t="s">
        <v>74</v>
      </c>
      <c r="E435" s="138"/>
      <c r="F435" s="138"/>
      <c r="H435" s="69" t="str">
        <f t="shared" si="14"/>
        <v>BTR-Regions</v>
      </c>
      <c r="I435" s="69" t="str">
        <f t="shared" si="15"/>
        <v>The Forge</v>
      </c>
      <c r="J435" s="292"/>
      <c r="L435" s="283"/>
      <c r="M435" s="283"/>
      <c r="N435" s="212"/>
      <c r="O435" s="213"/>
      <c r="P435" s="283"/>
      <c r="Q435" s="283"/>
      <c r="R435" s="283"/>
      <c r="S435" s="283"/>
      <c r="T435" s="284"/>
      <c r="U435" s="284"/>
      <c r="V435" s="283"/>
      <c r="W435" s="283"/>
      <c r="X435" s="283"/>
      <c r="Y435" s="283"/>
    </row>
    <row r="436" spans="3:25" ht="13.5" customHeight="1" x14ac:dyDescent="0.2">
      <c r="C436" s="82"/>
      <c r="D436" s="292" t="s">
        <v>74</v>
      </c>
      <c r="E436" s="138"/>
      <c r="F436" s="138"/>
      <c r="H436" s="69" t="str">
        <f t="shared" si="14"/>
        <v>BTR-Regions</v>
      </c>
      <c r="I436" s="69" t="str">
        <f t="shared" si="15"/>
        <v>The Forge</v>
      </c>
      <c r="J436" s="292"/>
      <c r="L436" s="283"/>
      <c r="M436" s="283"/>
      <c r="N436" s="212"/>
      <c r="O436" s="213"/>
      <c r="P436" s="283"/>
      <c r="Q436" s="283"/>
      <c r="R436" s="283"/>
      <c r="S436" s="283"/>
      <c r="T436" s="284"/>
      <c r="U436" s="284"/>
      <c r="V436" s="283"/>
      <c r="W436" s="283"/>
      <c r="X436" s="283"/>
      <c r="Y436" s="283"/>
    </row>
    <row r="437" spans="3:25" ht="13.5" customHeight="1" x14ac:dyDescent="0.2">
      <c r="C437" s="82"/>
      <c r="D437" s="292" t="s">
        <v>74</v>
      </c>
      <c r="E437" s="138"/>
      <c r="F437" s="138"/>
      <c r="H437" s="69" t="str">
        <f t="shared" si="14"/>
        <v>BTR-Regions</v>
      </c>
      <c r="I437" s="69" t="str">
        <f t="shared" si="15"/>
        <v>The Forge</v>
      </c>
      <c r="J437" s="292"/>
      <c r="L437" s="283"/>
      <c r="M437" s="283"/>
      <c r="N437" s="212"/>
      <c r="O437" s="213"/>
      <c r="P437" s="283"/>
      <c r="Q437" s="283"/>
      <c r="R437" s="283"/>
      <c r="S437" s="283"/>
      <c r="T437" s="284"/>
      <c r="U437" s="284"/>
      <c r="V437" s="283"/>
      <c r="W437" s="283"/>
      <c r="X437" s="283"/>
      <c r="Y437" s="283"/>
    </row>
    <row r="438" spans="3:25" ht="13.5" customHeight="1" x14ac:dyDescent="0.2">
      <c r="C438" s="82"/>
      <c r="D438" s="292" t="s">
        <v>74</v>
      </c>
      <c r="E438" s="138"/>
      <c r="F438" s="138"/>
      <c r="H438" s="69" t="str">
        <f t="shared" si="14"/>
        <v>BTR-Regions</v>
      </c>
      <c r="I438" s="69" t="str">
        <f t="shared" si="15"/>
        <v>The Forge</v>
      </c>
      <c r="J438" s="292"/>
      <c r="L438" s="283"/>
      <c r="M438" s="283"/>
      <c r="N438" s="212"/>
      <c r="O438" s="213"/>
      <c r="P438" s="283"/>
      <c r="Q438" s="283"/>
      <c r="R438" s="283"/>
      <c r="S438" s="283"/>
      <c r="T438" s="284"/>
      <c r="U438" s="284"/>
      <c r="V438" s="283"/>
      <c r="W438" s="283"/>
      <c r="X438" s="283"/>
      <c r="Y438" s="283"/>
    </row>
    <row r="439" spans="3:25" ht="13.5" customHeight="1" x14ac:dyDescent="0.2">
      <c r="C439" s="82"/>
      <c r="D439" s="292" t="s">
        <v>74</v>
      </c>
      <c r="E439" s="138"/>
      <c r="F439" s="138"/>
      <c r="H439" s="69" t="str">
        <f t="shared" si="14"/>
        <v>BTR-Regions</v>
      </c>
      <c r="I439" s="69" t="str">
        <f t="shared" si="15"/>
        <v>The Forge</v>
      </c>
      <c r="J439" s="292"/>
      <c r="L439" s="283"/>
      <c r="M439" s="283"/>
      <c r="N439" s="212"/>
      <c r="O439" s="213"/>
      <c r="P439" s="283"/>
      <c r="Q439" s="283"/>
      <c r="R439" s="283"/>
      <c r="S439" s="283"/>
      <c r="T439" s="284"/>
      <c r="U439" s="284"/>
      <c r="V439" s="283"/>
      <c r="W439" s="283"/>
      <c r="X439" s="283"/>
      <c r="Y439" s="283"/>
    </row>
    <row r="440" spans="3:25" ht="13.5" customHeight="1" x14ac:dyDescent="0.2">
      <c r="C440" s="82"/>
      <c r="D440" s="292" t="s">
        <v>74</v>
      </c>
      <c r="E440" s="138"/>
      <c r="F440" s="138"/>
      <c r="H440" s="69" t="str">
        <f t="shared" si="14"/>
        <v>BTR-Regions</v>
      </c>
      <c r="I440" s="69" t="str">
        <f t="shared" si="15"/>
        <v>The Forge</v>
      </c>
      <c r="J440" s="292"/>
      <c r="L440" s="283"/>
      <c r="M440" s="283"/>
      <c r="N440" s="212"/>
      <c r="O440" s="213"/>
      <c r="P440" s="283"/>
      <c r="Q440" s="283"/>
      <c r="R440" s="283"/>
      <c r="S440" s="283"/>
      <c r="T440" s="284"/>
      <c r="U440" s="284"/>
      <c r="V440" s="283"/>
      <c r="W440" s="283"/>
      <c r="X440" s="283"/>
      <c r="Y440" s="283"/>
    </row>
    <row r="441" spans="3:25" ht="13.5" customHeight="1" x14ac:dyDescent="0.2">
      <c r="C441" s="82"/>
      <c r="D441" s="292" t="s">
        <v>74</v>
      </c>
      <c r="E441" s="138"/>
      <c r="F441" s="138"/>
      <c r="H441" s="69" t="str">
        <f t="shared" si="14"/>
        <v>BTR-Regions</v>
      </c>
      <c r="I441" s="69" t="str">
        <f t="shared" si="15"/>
        <v>The Forge</v>
      </c>
      <c r="J441" s="292"/>
      <c r="L441" s="283"/>
      <c r="M441" s="283"/>
      <c r="N441" s="212"/>
      <c r="O441" s="213"/>
      <c r="P441" s="283"/>
      <c r="Q441" s="283"/>
      <c r="R441" s="283"/>
      <c r="S441" s="283"/>
      <c r="T441" s="284"/>
      <c r="U441" s="284"/>
      <c r="V441" s="283"/>
      <c r="W441" s="283"/>
      <c r="X441" s="283"/>
      <c r="Y441" s="283"/>
    </row>
    <row r="442" spans="3:25" ht="13.5" customHeight="1" x14ac:dyDescent="0.2">
      <c r="C442" s="82"/>
      <c r="D442" s="292" t="s">
        <v>74</v>
      </c>
      <c r="E442" s="138"/>
      <c r="F442" s="138"/>
      <c r="H442" s="69" t="str">
        <f t="shared" si="14"/>
        <v>BTR-Regions</v>
      </c>
      <c r="I442" s="69" t="str">
        <f t="shared" si="15"/>
        <v>The Forge</v>
      </c>
      <c r="J442" s="292"/>
      <c r="L442" s="283"/>
      <c r="M442" s="283"/>
      <c r="N442" s="212"/>
      <c r="O442" s="213"/>
      <c r="P442" s="283"/>
      <c r="Q442" s="283"/>
      <c r="R442" s="283"/>
      <c r="S442" s="283"/>
      <c r="T442" s="284"/>
      <c r="U442" s="284"/>
      <c r="V442" s="283"/>
      <c r="W442" s="283"/>
      <c r="X442" s="283"/>
      <c r="Y442" s="283"/>
    </row>
    <row r="443" spans="3:25" ht="13.5" customHeight="1" x14ac:dyDescent="0.2">
      <c r="C443" s="82"/>
      <c r="D443" s="292" t="s">
        <v>74</v>
      </c>
      <c r="E443" s="138"/>
      <c r="F443" s="138"/>
      <c r="H443" s="69" t="str">
        <f t="shared" si="14"/>
        <v>BTR-Regions</v>
      </c>
      <c r="I443" s="69" t="str">
        <f t="shared" si="15"/>
        <v>The Forge</v>
      </c>
      <c r="J443" s="292"/>
      <c r="L443" s="283"/>
      <c r="M443" s="283"/>
      <c r="N443" s="212"/>
      <c r="O443" s="213"/>
      <c r="P443" s="283"/>
      <c r="Q443" s="283"/>
      <c r="R443" s="283"/>
      <c r="S443" s="283"/>
      <c r="T443" s="284"/>
      <c r="U443" s="284"/>
      <c r="V443" s="283"/>
      <c r="W443" s="283"/>
      <c r="X443" s="283"/>
      <c r="Y443" s="283"/>
    </row>
    <row r="444" spans="3:25" ht="13.5" customHeight="1" x14ac:dyDescent="0.2">
      <c r="C444" s="82"/>
      <c r="D444" s="292" t="s">
        <v>74</v>
      </c>
      <c r="E444" s="138"/>
      <c r="F444" s="138"/>
      <c r="H444" s="69" t="str">
        <f t="shared" si="14"/>
        <v>BTR-Regions</v>
      </c>
      <c r="I444" s="69" t="str">
        <f t="shared" si="15"/>
        <v>The Forge</v>
      </c>
      <c r="J444" s="292"/>
      <c r="L444" s="283"/>
      <c r="M444" s="283"/>
      <c r="N444" s="212"/>
      <c r="O444" s="213"/>
      <c r="P444" s="283"/>
      <c r="Q444" s="283"/>
      <c r="R444" s="283"/>
      <c r="S444" s="283"/>
      <c r="T444" s="284"/>
      <c r="U444" s="284"/>
      <c r="V444" s="283"/>
      <c r="W444" s="283"/>
      <c r="X444" s="283"/>
      <c r="Y444" s="283"/>
    </row>
    <row r="445" spans="3:25" ht="13.5" customHeight="1" x14ac:dyDescent="0.2">
      <c r="C445" s="82"/>
      <c r="D445" s="292" t="s">
        <v>74</v>
      </c>
      <c r="E445" s="138"/>
      <c r="F445" s="138"/>
      <c r="H445" s="69" t="str">
        <f t="shared" si="14"/>
        <v>BTR-Regions</v>
      </c>
      <c r="I445" s="69" t="str">
        <f t="shared" si="15"/>
        <v>The Forge</v>
      </c>
      <c r="J445" s="292"/>
      <c r="L445" s="283"/>
      <c r="M445" s="283"/>
      <c r="N445" s="212"/>
      <c r="O445" s="213"/>
      <c r="P445" s="283"/>
      <c r="Q445" s="283"/>
      <c r="R445" s="283"/>
      <c r="S445" s="283"/>
      <c r="T445" s="284"/>
      <c r="U445" s="284"/>
      <c r="V445" s="283"/>
      <c r="W445" s="283"/>
      <c r="X445" s="283"/>
      <c r="Y445" s="283"/>
    </row>
    <row r="446" spans="3:25" ht="13.5" customHeight="1" x14ac:dyDescent="0.2">
      <c r="C446" s="82"/>
      <c r="D446" s="292" t="s">
        <v>74</v>
      </c>
      <c r="E446" s="138"/>
      <c r="F446" s="138"/>
      <c r="H446" s="69" t="str">
        <f t="shared" si="14"/>
        <v>BTR-Regions</v>
      </c>
      <c r="I446" s="69" t="str">
        <f t="shared" si="15"/>
        <v>The Forge</v>
      </c>
      <c r="J446" s="292"/>
      <c r="L446" s="283"/>
      <c r="M446" s="283"/>
      <c r="N446" s="212"/>
      <c r="O446" s="213"/>
      <c r="P446" s="283"/>
      <c r="Q446" s="283"/>
      <c r="R446" s="283"/>
      <c r="S446" s="283"/>
      <c r="T446" s="284"/>
      <c r="U446" s="284"/>
      <c r="V446" s="283"/>
      <c r="W446" s="283"/>
      <c r="X446" s="283"/>
      <c r="Y446" s="283"/>
    </row>
    <row r="447" spans="3:25" ht="13.5" customHeight="1" x14ac:dyDescent="0.2">
      <c r="C447" s="82"/>
      <c r="D447" s="292" t="s">
        <v>74</v>
      </c>
      <c r="E447" s="138"/>
      <c r="F447" s="138"/>
      <c r="H447" s="69" t="str">
        <f t="shared" si="14"/>
        <v>BTR-Regions</v>
      </c>
      <c r="I447" s="69" t="str">
        <f t="shared" si="15"/>
        <v>The Forge</v>
      </c>
      <c r="J447" s="292"/>
      <c r="L447" s="283"/>
      <c r="M447" s="283"/>
      <c r="N447" s="212"/>
      <c r="O447" s="213"/>
      <c r="P447" s="283"/>
      <c r="Q447" s="283"/>
      <c r="R447" s="283"/>
      <c r="S447" s="283"/>
      <c r="T447" s="284"/>
      <c r="U447" s="284"/>
      <c r="V447" s="283"/>
      <c r="W447" s="283"/>
      <c r="X447" s="283"/>
      <c r="Y447" s="283"/>
    </row>
    <row r="448" spans="3:25" ht="13.5" customHeight="1" x14ac:dyDescent="0.2">
      <c r="C448" s="82"/>
      <c r="D448" s="292" t="s">
        <v>74</v>
      </c>
      <c r="E448" s="138"/>
      <c r="F448" s="138"/>
      <c r="H448" s="69" t="str">
        <f t="shared" si="14"/>
        <v>BTR-Regions</v>
      </c>
      <c r="I448" s="69" t="str">
        <f t="shared" si="15"/>
        <v>The Forge</v>
      </c>
      <c r="J448" s="292"/>
      <c r="L448" s="283"/>
      <c r="M448" s="283"/>
      <c r="N448" s="212"/>
      <c r="O448" s="213"/>
      <c r="P448" s="283"/>
      <c r="Q448" s="283"/>
      <c r="R448" s="283"/>
      <c r="S448" s="283"/>
      <c r="T448" s="284"/>
      <c r="U448" s="284"/>
      <c r="V448" s="283"/>
      <c r="W448" s="283"/>
      <c r="X448" s="283"/>
      <c r="Y448" s="283"/>
    </row>
    <row r="449" spans="3:25" ht="13.5" customHeight="1" x14ac:dyDescent="0.2">
      <c r="C449" s="82"/>
      <c r="D449" s="292" t="s">
        <v>74</v>
      </c>
      <c r="E449" s="138"/>
      <c r="F449" s="138"/>
      <c r="H449" s="69" t="str">
        <f t="shared" si="14"/>
        <v>BTR-Regions</v>
      </c>
      <c r="I449" s="69" t="str">
        <f t="shared" si="15"/>
        <v>The Forge</v>
      </c>
      <c r="J449" s="292"/>
      <c r="L449" s="283"/>
      <c r="M449" s="283"/>
      <c r="N449" s="212"/>
      <c r="O449" s="213"/>
      <c r="P449" s="283"/>
      <c r="Q449" s="283"/>
      <c r="R449" s="283"/>
      <c r="S449" s="283"/>
      <c r="T449" s="284"/>
      <c r="U449" s="284"/>
      <c r="V449" s="283"/>
      <c r="W449" s="283"/>
      <c r="X449" s="283"/>
      <c r="Y449" s="283"/>
    </row>
    <row r="450" spans="3:25" ht="13.5" customHeight="1" x14ac:dyDescent="0.2">
      <c r="C450" s="82"/>
      <c r="D450" s="292" t="s">
        <v>74</v>
      </c>
      <c r="E450" s="138"/>
      <c r="F450" s="138"/>
      <c r="H450" s="69" t="str">
        <f t="shared" si="14"/>
        <v>BTR-Regions</v>
      </c>
      <c r="I450" s="69" t="str">
        <f t="shared" si="15"/>
        <v>The Forge</v>
      </c>
      <c r="J450" s="292"/>
      <c r="L450" s="283"/>
      <c r="M450" s="283"/>
      <c r="N450" s="212"/>
      <c r="O450" s="213"/>
      <c r="P450" s="283"/>
      <c r="Q450" s="283"/>
      <c r="R450" s="283"/>
      <c r="S450" s="283"/>
      <c r="T450" s="284"/>
      <c r="U450" s="284"/>
      <c r="V450" s="283"/>
      <c r="W450" s="283"/>
      <c r="X450" s="283"/>
      <c r="Y450" s="283"/>
    </row>
    <row r="451" spans="3:25" ht="13.5" customHeight="1" x14ac:dyDescent="0.2">
      <c r="C451" s="82"/>
      <c r="D451" s="292" t="s">
        <v>74</v>
      </c>
      <c r="E451" s="138"/>
      <c r="F451" s="138"/>
      <c r="H451" s="69" t="str">
        <f t="shared" si="14"/>
        <v>BTR-Regions</v>
      </c>
      <c r="I451" s="69" t="str">
        <f t="shared" si="15"/>
        <v>The Forge</v>
      </c>
      <c r="J451" s="292"/>
      <c r="L451" s="283"/>
      <c r="M451" s="283"/>
      <c r="N451" s="212"/>
      <c r="O451" s="213"/>
      <c r="P451" s="283"/>
      <c r="Q451" s="283"/>
      <c r="R451" s="283"/>
      <c r="S451" s="283"/>
      <c r="T451" s="284"/>
      <c r="U451" s="284"/>
      <c r="V451" s="283"/>
      <c r="W451" s="283"/>
      <c r="X451" s="283"/>
      <c r="Y451" s="283"/>
    </row>
    <row r="452" spans="3:25" ht="13.5" customHeight="1" x14ac:dyDescent="0.2">
      <c r="C452" s="82"/>
      <c r="D452" s="292" t="s">
        <v>74</v>
      </c>
      <c r="E452" s="138"/>
      <c r="F452" s="138"/>
      <c r="H452" s="69" t="str">
        <f t="shared" si="14"/>
        <v>BTR-Regions</v>
      </c>
      <c r="I452" s="69" t="str">
        <f t="shared" si="15"/>
        <v>The Forge</v>
      </c>
      <c r="J452" s="292"/>
      <c r="L452" s="283"/>
      <c r="M452" s="283"/>
      <c r="N452" s="212"/>
      <c r="O452" s="213"/>
      <c r="P452" s="283"/>
      <c r="Q452" s="283"/>
      <c r="R452" s="283"/>
      <c r="S452" s="283"/>
      <c r="T452" s="284"/>
      <c r="U452" s="284"/>
      <c r="V452" s="283"/>
      <c r="W452" s="283"/>
      <c r="X452" s="283"/>
      <c r="Y452" s="283"/>
    </row>
    <row r="453" spans="3:25" ht="13.5" customHeight="1" x14ac:dyDescent="0.2">
      <c r="C453" s="82"/>
      <c r="D453" s="292" t="s">
        <v>74</v>
      </c>
      <c r="E453" s="138"/>
      <c r="F453" s="138"/>
      <c r="H453" s="69" t="str">
        <f t="shared" si="14"/>
        <v>BTR-Regions</v>
      </c>
      <c r="I453" s="69" t="str">
        <f t="shared" si="15"/>
        <v>The Forge</v>
      </c>
      <c r="J453" s="292"/>
      <c r="L453" s="283"/>
      <c r="M453" s="283"/>
      <c r="N453" s="212"/>
      <c r="O453" s="213"/>
      <c r="P453" s="283"/>
      <c r="Q453" s="283"/>
      <c r="R453" s="283"/>
      <c r="S453" s="283"/>
      <c r="T453" s="284"/>
      <c r="U453" s="284"/>
      <c r="V453" s="283"/>
      <c r="W453" s="283"/>
      <c r="X453" s="283"/>
      <c r="Y453" s="283"/>
    </row>
    <row r="454" spans="3:25" ht="13.5" customHeight="1" x14ac:dyDescent="0.2">
      <c r="C454" s="82"/>
      <c r="D454" s="292" t="s">
        <v>74</v>
      </c>
      <c r="E454" s="138"/>
      <c r="F454" s="138"/>
      <c r="H454" s="69" t="str">
        <f t="shared" si="14"/>
        <v>BTR-Regions</v>
      </c>
      <c r="I454" s="69" t="str">
        <f t="shared" si="15"/>
        <v>The Forge</v>
      </c>
      <c r="J454" s="292"/>
      <c r="L454" s="283"/>
      <c r="M454" s="283"/>
      <c r="N454" s="212"/>
      <c r="O454" s="213"/>
      <c r="P454" s="283"/>
      <c r="Q454" s="283"/>
      <c r="R454" s="283"/>
      <c r="S454" s="283"/>
      <c r="T454" s="284"/>
      <c r="U454" s="284"/>
      <c r="V454" s="283"/>
      <c r="W454" s="283"/>
      <c r="X454" s="283"/>
      <c r="Y454" s="283"/>
    </row>
    <row r="455" spans="3:25" ht="13.5" customHeight="1" x14ac:dyDescent="0.2">
      <c r="C455" s="82"/>
      <c r="D455" s="292" t="s">
        <v>74</v>
      </c>
      <c r="E455" s="138"/>
      <c r="F455" s="138"/>
      <c r="H455" s="69" t="str">
        <f t="shared" si="14"/>
        <v>BTR-Regions</v>
      </c>
      <c r="I455" s="69" t="str">
        <f t="shared" si="15"/>
        <v>The Forge</v>
      </c>
      <c r="J455" s="292"/>
      <c r="L455" s="283"/>
      <c r="M455" s="283"/>
      <c r="N455" s="212"/>
      <c r="O455" s="213"/>
      <c r="P455" s="283"/>
      <c r="Q455" s="283"/>
      <c r="R455" s="283"/>
      <c r="S455" s="283"/>
      <c r="T455" s="284"/>
      <c r="U455" s="284"/>
      <c r="V455" s="283"/>
      <c r="W455" s="283"/>
      <c r="X455" s="283"/>
      <c r="Y455" s="283"/>
    </row>
    <row r="456" spans="3:25" ht="13.5" customHeight="1" x14ac:dyDescent="0.2">
      <c r="C456" s="82"/>
      <c r="D456" s="292" t="s">
        <v>74</v>
      </c>
      <c r="E456" s="138"/>
      <c r="F456" s="138"/>
      <c r="H456" s="69" t="str">
        <f t="shared" si="14"/>
        <v>BTR-Regions</v>
      </c>
      <c r="I456" s="69" t="str">
        <f t="shared" si="15"/>
        <v>The Forge</v>
      </c>
      <c r="J456" s="292"/>
      <c r="L456" s="283"/>
      <c r="M456" s="283"/>
      <c r="N456" s="212"/>
      <c r="O456" s="213"/>
      <c r="P456" s="283"/>
      <c r="Q456" s="283"/>
      <c r="R456" s="283"/>
      <c r="S456" s="283"/>
      <c r="T456" s="284"/>
      <c r="U456" s="284"/>
      <c r="V456" s="283"/>
      <c r="W456" s="283"/>
      <c r="X456" s="283"/>
      <c r="Y456" s="283"/>
    </row>
    <row r="457" spans="3:25" ht="13.5" customHeight="1" x14ac:dyDescent="0.2">
      <c r="C457" s="82"/>
      <c r="D457" s="292" t="s">
        <v>74</v>
      </c>
      <c r="E457" s="138"/>
      <c r="F457" s="138"/>
      <c r="H457" s="69" t="str">
        <f t="shared" si="14"/>
        <v>BTR-Regions</v>
      </c>
      <c r="I457" s="69" t="str">
        <f t="shared" si="15"/>
        <v>The Forge</v>
      </c>
      <c r="J457" s="292"/>
      <c r="L457" s="283"/>
      <c r="M457" s="283"/>
      <c r="N457" s="212"/>
      <c r="O457" s="213"/>
      <c r="P457" s="283"/>
      <c r="Q457" s="283"/>
      <c r="R457" s="283"/>
      <c r="S457" s="283"/>
      <c r="T457" s="284"/>
      <c r="U457" s="284"/>
      <c r="V457" s="283"/>
      <c r="W457" s="283"/>
      <c r="X457" s="283"/>
      <c r="Y457" s="283"/>
    </row>
    <row r="458" spans="3:25" ht="13.5" customHeight="1" x14ac:dyDescent="0.2">
      <c r="C458" s="82"/>
      <c r="D458" s="292" t="s">
        <v>74</v>
      </c>
      <c r="E458" s="138"/>
      <c r="F458" s="138"/>
      <c r="H458" s="69" t="str">
        <f t="shared" si="14"/>
        <v>BTR-Regions</v>
      </c>
      <c r="I458" s="69" t="str">
        <f t="shared" si="15"/>
        <v>The Forge</v>
      </c>
      <c r="J458" s="292"/>
      <c r="L458" s="283"/>
      <c r="M458" s="283"/>
      <c r="N458" s="212"/>
      <c r="O458" s="213"/>
      <c r="P458" s="283"/>
      <c r="Q458" s="283"/>
      <c r="R458" s="283"/>
      <c r="S458" s="283"/>
      <c r="T458" s="284"/>
      <c r="U458" s="284"/>
      <c r="V458" s="283"/>
      <c r="W458" s="283"/>
      <c r="X458" s="283"/>
      <c r="Y458" s="283"/>
    </row>
    <row r="459" spans="3:25" ht="13.5" customHeight="1" x14ac:dyDescent="0.2">
      <c r="C459" s="82"/>
      <c r="D459" s="292" t="s">
        <v>74</v>
      </c>
      <c r="E459" s="138"/>
      <c r="F459" s="138"/>
      <c r="H459" s="69" t="str">
        <f t="shared" si="14"/>
        <v>BTR-Regions</v>
      </c>
      <c r="I459" s="69" t="str">
        <f t="shared" si="15"/>
        <v>The Forge</v>
      </c>
      <c r="J459" s="292"/>
      <c r="L459" s="283"/>
      <c r="M459" s="283"/>
      <c r="N459" s="212"/>
      <c r="O459" s="213"/>
      <c r="P459" s="283"/>
      <c r="Q459" s="283"/>
      <c r="R459" s="283"/>
      <c r="S459" s="283"/>
      <c r="T459" s="284"/>
      <c r="U459" s="284"/>
      <c r="V459" s="283"/>
      <c r="W459" s="283"/>
      <c r="X459" s="283"/>
      <c r="Y459" s="283"/>
    </row>
    <row r="460" spans="3:25" ht="13.5" customHeight="1" x14ac:dyDescent="0.2">
      <c r="C460" s="82"/>
      <c r="D460" s="292" t="s">
        <v>74</v>
      </c>
      <c r="E460" s="138"/>
      <c r="F460" s="138"/>
      <c r="H460" s="69" t="str">
        <f t="shared" si="14"/>
        <v>BTR-Regions</v>
      </c>
      <c r="I460" s="69" t="str">
        <f t="shared" si="15"/>
        <v>The Forge</v>
      </c>
      <c r="J460" s="292"/>
      <c r="L460" s="283"/>
      <c r="M460" s="283"/>
      <c r="N460" s="212"/>
      <c r="O460" s="213"/>
      <c r="P460" s="283"/>
      <c r="Q460" s="283"/>
      <c r="R460" s="283"/>
      <c r="S460" s="283"/>
      <c r="T460" s="284"/>
      <c r="U460" s="284"/>
      <c r="V460" s="283"/>
      <c r="W460" s="283"/>
      <c r="X460" s="283"/>
      <c r="Y460" s="283"/>
    </row>
    <row r="461" spans="3:25" ht="13.5" customHeight="1" x14ac:dyDescent="0.2">
      <c r="C461" s="82"/>
      <c r="D461" s="292" t="s">
        <v>74</v>
      </c>
      <c r="E461" s="138"/>
      <c r="F461" s="138"/>
      <c r="H461" s="69" t="str">
        <f t="shared" si="14"/>
        <v>BTR-Regions</v>
      </c>
      <c r="I461" s="69" t="str">
        <f t="shared" si="15"/>
        <v>The Forge</v>
      </c>
      <c r="J461" s="292"/>
      <c r="L461" s="283"/>
      <c r="M461" s="283"/>
      <c r="N461" s="212"/>
      <c r="O461" s="213"/>
      <c r="P461" s="283"/>
      <c r="Q461" s="283"/>
      <c r="R461" s="283"/>
      <c r="S461" s="283"/>
      <c r="T461" s="284"/>
      <c r="U461" s="284"/>
      <c r="V461" s="283"/>
      <c r="W461" s="283"/>
      <c r="X461" s="283"/>
      <c r="Y461" s="283"/>
    </row>
    <row r="462" spans="3:25" ht="13.5" customHeight="1" x14ac:dyDescent="0.2">
      <c r="C462" s="82"/>
      <c r="D462" s="292" t="s">
        <v>74</v>
      </c>
      <c r="E462" s="138"/>
      <c r="F462" s="138"/>
      <c r="H462" s="69" t="str">
        <f t="shared" si="14"/>
        <v>BTR-Regions</v>
      </c>
      <c r="I462" s="69" t="str">
        <f t="shared" si="15"/>
        <v>The Forge</v>
      </c>
      <c r="J462" s="292"/>
      <c r="L462" s="283"/>
      <c r="M462" s="283"/>
      <c r="N462" s="212"/>
      <c r="O462" s="213"/>
      <c r="P462" s="283"/>
      <c r="Q462" s="283"/>
      <c r="R462" s="283"/>
      <c r="S462" s="283"/>
      <c r="T462" s="284"/>
      <c r="U462" s="284"/>
      <c r="V462" s="283"/>
      <c r="W462" s="283"/>
      <c r="X462" s="283"/>
      <c r="Y462" s="283"/>
    </row>
    <row r="463" spans="3:25" ht="13.5" customHeight="1" x14ac:dyDescent="0.2">
      <c r="C463" s="82"/>
      <c r="D463" s="292" t="s">
        <v>74</v>
      </c>
      <c r="E463" s="138"/>
      <c r="F463" s="138"/>
      <c r="H463" s="69" t="str">
        <f t="shared" si="14"/>
        <v>BTR-Regions</v>
      </c>
      <c r="I463" s="69" t="str">
        <f t="shared" si="15"/>
        <v>The Forge</v>
      </c>
      <c r="J463" s="292"/>
      <c r="L463" s="283"/>
      <c r="M463" s="283"/>
      <c r="N463" s="212"/>
      <c r="O463" s="213"/>
      <c r="P463" s="283"/>
      <c r="Q463" s="283"/>
      <c r="R463" s="283"/>
      <c r="S463" s="283"/>
      <c r="T463" s="284"/>
      <c r="U463" s="284"/>
      <c r="V463" s="283"/>
      <c r="W463" s="283"/>
      <c r="X463" s="283"/>
      <c r="Y463" s="283"/>
    </row>
    <row r="464" spans="3:25" ht="13.5" customHeight="1" x14ac:dyDescent="0.2">
      <c r="C464" s="82"/>
      <c r="D464" s="292" t="s">
        <v>74</v>
      </c>
      <c r="E464" s="138"/>
      <c r="F464" s="138"/>
      <c r="H464" s="69" t="str">
        <f t="shared" si="14"/>
        <v>BTR-Regions</v>
      </c>
      <c r="I464" s="69" t="str">
        <f t="shared" si="15"/>
        <v>The Forge</v>
      </c>
      <c r="J464" s="292"/>
      <c r="L464" s="283"/>
      <c r="M464" s="283"/>
      <c r="N464" s="212"/>
      <c r="O464" s="213"/>
      <c r="P464" s="283"/>
      <c r="Q464" s="283"/>
      <c r="R464" s="283"/>
      <c r="S464" s="283"/>
      <c r="T464" s="284"/>
      <c r="U464" s="284"/>
      <c r="V464" s="283"/>
      <c r="W464" s="283"/>
      <c r="X464" s="283"/>
      <c r="Y464" s="283"/>
    </row>
    <row r="465" spans="3:25" ht="13.5" customHeight="1" x14ac:dyDescent="0.2">
      <c r="C465" s="82"/>
      <c r="D465" s="292" t="s">
        <v>74</v>
      </c>
      <c r="E465" s="138"/>
      <c r="F465" s="138"/>
      <c r="H465" s="69" t="str">
        <f t="shared" si="14"/>
        <v>BTR-Regions</v>
      </c>
      <c r="I465" s="69" t="str">
        <f t="shared" si="15"/>
        <v>The Forge</v>
      </c>
      <c r="J465" s="292"/>
      <c r="L465" s="283"/>
      <c r="M465" s="283"/>
      <c r="N465" s="212"/>
      <c r="O465" s="213"/>
      <c r="P465" s="283"/>
      <c r="Q465" s="283"/>
      <c r="R465" s="283"/>
      <c r="S465" s="283"/>
      <c r="T465" s="284"/>
      <c r="U465" s="284"/>
      <c r="V465" s="283"/>
      <c r="W465" s="283"/>
      <c r="X465" s="283"/>
      <c r="Y465" s="283"/>
    </row>
    <row r="466" spans="3:25" ht="13.5" customHeight="1" x14ac:dyDescent="0.2">
      <c r="C466" s="82"/>
      <c r="D466" s="292" t="s">
        <v>74</v>
      </c>
      <c r="E466" s="138"/>
      <c r="F466" s="138"/>
      <c r="H466" s="69" t="str">
        <f t="shared" si="14"/>
        <v>BTR-Regions</v>
      </c>
      <c r="I466" s="69" t="str">
        <f t="shared" si="15"/>
        <v>The Forge</v>
      </c>
      <c r="J466" s="292"/>
      <c r="L466" s="283"/>
      <c r="M466" s="283"/>
      <c r="N466" s="212"/>
      <c r="O466" s="213"/>
      <c r="P466" s="283"/>
      <c r="Q466" s="283"/>
      <c r="R466" s="283"/>
      <c r="S466" s="283"/>
      <c r="T466" s="284"/>
      <c r="U466" s="284"/>
      <c r="V466" s="283"/>
      <c r="W466" s="283"/>
      <c r="X466" s="283"/>
      <c r="Y466" s="283"/>
    </row>
    <row r="467" spans="3:25" ht="13.5" customHeight="1" x14ac:dyDescent="0.2">
      <c r="C467" s="82"/>
      <c r="D467" s="292" t="s">
        <v>74</v>
      </c>
      <c r="E467" s="138"/>
      <c r="F467" s="138"/>
      <c r="H467" s="69" t="str">
        <f t="shared" si="14"/>
        <v>BTR-Regions</v>
      </c>
      <c r="I467" s="69" t="str">
        <f t="shared" si="15"/>
        <v>The Forge</v>
      </c>
      <c r="J467" s="292"/>
      <c r="L467" s="283"/>
      <c r="M467" s="283"/>
      <c r="N467" s="212"/>
      <c r="O467" s="213"/>
      <c r="P467" s="283"/>
      <c r="Q467" s="283"/>
      <c r="R467" s="283"/>
      <c r="S467" s="283"/>
      <c r="T467" s="284"/>
      <c r="U467" s="284"/>
      <c r="V467" s="283"/>
      <c r="W467" s="283"/>
      <c r="X467" s="283"/>
      <c r="Y467" s="283"/>
    </row>
    <row r="468" spans="3:25" ht="13.5" customHeight="1" x14ac:dyDescent="0.2">
      <c r="C468" s="82"/>
      <c r="D468" s="292" t="s">
        <v>74</v>
      </c>
      <c r="E468" s="138"/>
      <c r="F468" s="138"/>
      <c r="H468" s="69" t="str">
        <f t="shared" si="14"/>
        <v>BTR-Regions</v>
      </c>
      <c r="I468" s="69" t="str">
        <f t="shared" si="15"/>
        <v>The Forge</v>
      </c>
      <c r="J468" s="292"/>
      <c r="L468" s="283"/>
      <c r="M468" s="283"/>
      <c r="N468" s="212"/>
      <c r="O468" s="213"/>
      <c r="P468" s="283"/>
      <c r="Q468" s="283"/>
      <c r="R468" s="283"/>
      <c r="S468" s="283"/>
      <c r="T468" s="284"/>
      <c r="U468" s="284"/>
      <c r="V468" s="283"/>
      <c r="W468" s="283"/>
      <c r="X468" s="283"/>
      <c r="Y468" s="283"/>
    </row>
    <row r="469" spans="3:25" ht="13.5" customHeight="1" x14ac:dyDescent="0.2">
      <c r="C469" s="82"/>
      <c r="D469" s="292" t="s">
        <v>74</v>
      </c>
      <c r="E469" s="138"/>
      <c r="F469" s="138"/>
      <c r="H469" s="69" t="str">
        <f t="shared" si="14"/>
        <v>BTR-Regions</v>
      </c>
      <c r="I469" s="69" t="str">
        <f t="shared" si="15"/>
        <v>The Forge</v>
      </c>
      <c r="J469" s="292"/>
      <c r="L469" s="283"/>
      <c r="M469" s="283"/>
      <c r="N469" s="212"/>
      <c r="O469" s="213"/>
      <c r="P469" s="283"/>
      <c r="Q469" s="283"/>
      <c r="R469" s="283"/>
      <c r="S469" s="283"/>
      <c r="T469" s="284"/>
      <c r="U469" s="284"/>
      <c r="V469" s="283"/>
      <c r="W469" s="283"/>
      <c r="X469" s="283"/>
      <c r="Y469" s="283"/>
    </row>
    <row r="470" spans="3:25" ht="13.5" customHeight="1" x14ac:dyDescent="0.2">
      <c r="C470" s="82"/>
      <c r="D470" s="292" t="s">
        <v>74</v>
      </c>
      <c r="E470" s="138"/>
      <c r="F470" s="138"/>
      <c r="H470" s="69" t="str">
        <f t="shared" ref="H470:H533" si="16">$I$9</f>
        <v>BTR-Regions</v>
      </c>
      <c r="I470" s="69" t="str">
        <f t="shared" ref="I470:I533" si="17">$I$10</f>
        <v>The Forge</v>
      </c>
      <c r="J470" s="292"/>
      <c r="L470" s="283"/>
      <c r="M470" s="283"/>
      <c r="N470" s="212"/>
      <c r="O470" s="213"/>
      <c r="P470" s="283"/>
      <c r="Q470" s="283"/>
      <c r="R470" s="283"/>
      <c r="S470" s="283"/>
      <c r="T470" s="284"/>
      <c r="U470" s="284"/>
      <c r="V470" s="283"/>
      <c r="W470" s="283"/>
      <c r="X470" s="283"/>
      <c r="Y470" s="283"/>
    </row>
    <row r="471" spans="3:25" ht="13.5" customHeight="1" x14ac:dyDescent="0.2">
      <c r="C471" s="82"/>
      <c r="D471" s="292" t="s">
        <v>74</v>
      </c>
      <c r="E471" s="138"/>
      <c r="F471" s="138"/>
      <c r="H471" s="69" t="str">
        <f t="shared" si="16"/>
        <v>BTR-Regions</v>
      </c>
      <c r="I471" s="69" t="str">
        <f t="shared" si="17"/>
        <v>The Forge</v>
      </c>
      <c r="J471" s="292"/>
      <c r="L471" s="283"/>
      <c r="M471" s="283"/>
      <c r="N471" s="212"/>
      <c r="O471" s="213"/>
      <c r="P471" s="283"/>
      <c r="Q471" s="283"/>
      <c r="R471" s="283"/>
      <c r="S471" s="283"/>
      <c r="T471" s="284"/>
      <c r="U471" s="284"/>
      <c r="V471" s="283"/>
      <c r="W471" s="283"/>
      <c r="X471" s="283"/>
      <c r="Y471" s="283"/>
    </row>
    <row r="472" spans="3:25" ht="13.5" customHeight="1" x14ac:dyDescent="0.2">
      <c r="C472" s="82"/>
      <c r="D472" s="292" t="s">
        <v>74</v>
      </c>
      <c r="E472" s="138"/>
      <c r="F472" s="138"/>
      <c r="H472" s="69" t="str">
        <f t="shared" si="16"/>
        <v>BTR-Regions</v>
      </c>
      <c r="I472" s="69" t="str">
        <f t="shared" si="17"/>
        <v>The Forge</v>
      </c>
      <c r="J472" s="292"/>
      <c r="L472" s="283"/>
      <c r="M472" s="283"/>
      <c r="N472" s="212"/>
      <c r="O472" s="213"/>
      <c r="P472" s="283"/>
      <c r="Q472" s="283"/>
      <c r="R472" s="283"/>
      <c r="S472" s="283"/>
      <c r="T472" s="284"/>
      <c r="U472" s="284"/>
      <c r="V472" s="283"/>
      <c r="W472" s="283"/>
      <c r="X472" s="283"/>
      <c r="Y472" s="283"/>
    </row>
    <row r="473" spans="3:25" ht="13.5" customHeight="1" x14ac:dyDescent="0.2">
      <c r="C473" s="82"/>
      <c r="D473" s="292" t="s">
        <v>74</v>
      </c>
      <c r="E473" s="138"/>
      <c r="F473" s="138"/>
      <c r="H473" s="69" t="str">
        <f t="shared" si="16"/>
        <v>BTR-Regions</v>
      </c>
      <c r="I473" s="69" t="str">
        <f t="shared" si="17"/>
        <v>The Forge</v>
      </c>
      <c r="J473" s="292"/>
      <c r="L473" s="283"/>
      <c r="M473" s="283"/>
      <c r="N473" s="212"/>
      <c r="O473" s="213"/>
      <c r="P473" s="283"/>
      <c r="Q473" s="283"/>
      <c r="R473" s="283"/>
      <c r="S473" s="283"/>
      <c r="T473" s="284"/>
      <c r="U473" s="284"/>
      <c r="V473" s="283"/>
      <c r="W473" s="283"/>
      <c r="X473" s="283"/>
      <c r="Y473" s="283"/>
    </row>
    <row r="474" spans="3:25" ht="13.5" customHeight="1" x14ac:dyDescent="0.2">
      <c r="C474" s="82"/>
      <c r="D474" s="292" t="s">
        <v>74</v>
      </c>
      <c r="E474" s="138"/>
      <c r="F474" s="138"/>
      <c r="H474" s="69" t="str">
        <f t="shared" si="16"/>
        <v>BTR-Regions</v>
      </c>
      <c r="I474" s="69" t="str">
        <f t="shared" si="17"/>
        <v>The Forge</v>
      </c>
      <c r="J474" s="292"/>
      <c r="L474" s="283"/>
      <c r="M474" s="283"/>
      <c r="N474" s="212"/>
      <c r="O474" s="213"/>
      <c r="P474" s="283"/>
      <c r="Q474" s="283"/>
      <c r="R474" s="283"/>
      <c r="S474" s="283"/>
      <c r="T474" s="284"/>
      <c r="U474" s="284"/>
      <c r="V474" s="283"/>
      <c r="W474" s="283"/>
      <c r="X474" s="283"/>
      <c r="Y474" s="283"/>
    </row>
    <row r="475" spans="3:25" ht="13.5" customHeight="1" x14ac:dyDescent="0.2">
      <c r="C475" s="82"/>
      <c r="D475" s="292" t="s">
        <v>74</v>
      </c>
      <c r="E475" s="138"/>
      <c r="F475" s="138"/>
      <c r="H475" s="69" t="str">
        <f t="shared" si="16"/>
        <v>BTR-Regions</v>
      </c>
      <c r="I475" s="69" t="str">
        <f t="shared" si="17"/>
        <v>The Forge</v>
      </c>
      <c r="J475" s="292"/>
      <c r="L475" s="283"/>
      <c r="M475" s="283"/>
      <c r="N475" s="212"/>
      <c r="O475" s="213"/>
      <c r="P475" s="283"/>
      <c r="Q475" s="283"/>
      <c r="R475" s="283"/>
      <c r="S475" s="283"/>
      <c r="T475" s="284"/>
      <c r="U475" s="284"/>
      <c r="V475" s="283"/>
      <c r="W475" s="283"/>
      <c r="X475" s="283"/>
      <c r="Y475" s="283"/>
    </row>
    <row r="476" spans="3:25" ht="13.5" customHeight="1" x14ac:dyDescent="0.2">
      <c r="C476" s="82"/>
      <c r="D476" s="292" t="s">
        <v>74</v>
      </c>
      <c r="E476" s="138"/>
      <c r="F476" s="138"/>
      <c r="H476" s="69" t="str">
        <f t="shared" si="16"/>
        <v>BTR-Regions</v>
      </c>
      <c r="I476" s="69" t="str">
        <f t="shared" si="17"/>
        <v>The Forge</v>
      </c>
      <c r="J476" s="292"/>
      <c r="L476" s="283"/>
      <c r="M476" s="283"/>
      <c r="N476" s="212"/>
      <c r="O476" s="213"/>
      <c r="P476" s="283"/>
      <c r="Q476" s="283"/>
      <c r="R476" s="283"/>
      <c r="S476" s="283"/>
      <c r="T476" s="284"/>
      <c r="U476" s="284"/>
      <c r="V476" s="283"/>
      <c r="W476" s="283"/>
      <c r="X476" s="283"/>
      <c r="Y476" s="283"/>
    </row>
    <row r="477" spans="3:25" ht="13.5" customHeight="1" x14ac:dyDescent="0.2">
      <c r="C477" s="82"/>
      <c r="D477" s="292" t="s">
        <v>74</v>
      </c>
      <c r="E477" s="138"/>
      <c r="F477" s="138"/>
      <c r="H477" s="69" t="str">
        <f t="shared" si="16"/>
        <v>BTR-Regions</v>
      </c>
      <c r="I477" s="69" t="str">
        <f t="shared" si="17"/>
        <v>The Forge</v>
      </c>
      <c r="J477" s="292"/>
      <c r="L477" s="283"/>
      <c r="M477" s="283"/>
      <c r="N477" s="212"/>
      <c r="O477" s="213"/>
      <c r="P477" s="283"/>
      <c r="Q477" s="283"/>
      <c r="R477" s="283"/>
      <c r="S477" s="283"/>
      <c r="T477" s="284"/>
      <c r="U477" s="284"/>
      <c r="V477" s="283"/>
      <c r="W477" s="283"/>
      <c r="X477" s="283"/>
      <c r="Y477" s="283"/>
    </row>
    <row r="478" spans="3:25" ht="13.5" customHeight="1" x14ac:dyDescent="0.2">
      <c r="C478" s="82"/>
      <c r="D478" s="292" t="s">
        <v>74</v>
      </c>
      <c r="E478" s="138"/>
      <c r="F478" s="138"/>
      <c r="H478" s="69" t="str">
        <f t="shared" si="16"/>
        <v>BTR-Regions</v>
      </c>
      <c r="I478" s="69" t="str">
        <f t="shared" si="17"/>
        <v>The Forge</v>
      </c>
      <c r="J478" s="292"/>
      <c r="L478" s="283"/>
      <c r="M478" s="283"/>
      <c r="N478" s="212"/>
      <c r="O478" s="213"/>
      <c r="P478" s="283"/>
      <c r="Q478" s="283"/>
      <c r="R478" s="283"/>
      <c r="S478" s="283"/>
      <c r="T478" s="284"/>
      <c r="U478" s="284"/>
      <c r="V478" s="283"/>
      <c r="W478" s="283"/>
      <c r="X478" s="283"/>
      <c r="Y478" s="283"/>
    </row>
    <row r="479" spans="3:25" ht="13.5" customHeight="1" x14ac:dyDescent="0.2">
      <c r="C479" s="82"/>
      <c r="D479" s="292" t="s">
        <v>74</v>
      </c>
      <c r="E479" s="138"/>
      <c r="F479" s="138"/>
      <c r="H479" s="69" t="str">
        <f t="shared" si="16"/>
        <v>BTR-Regions</v>
      </c>
      <c r="I479" s="69" t="str">
        <f t="shared" si="17"/>
        <v>The Forge</v>
      </c>
      <c r="J479" s="292"/>
      <c r="L479" s="283"/>
      <c r="M479" s="283"/>
      <c r="N479" s="212"/>
      <c r="O479" s="213"/>
      <c r="P479" s="283"/>
      <c r="Q479" s="283"/>
      <c r="R479" s="283"/>
      <c r="S479" s="283"/>
      <c r="T479" s="284"/>
      <c r="U479" s="284"/>
      <c r="V479" s="283"/>
      <c r="W479" s="283"/>
      <c r="X479" s="283"/>
      <c r="Y479" s="283"/>
    </row>
    <row r="480" spans="3:25" ht="13.5" customHeight="1" x14ac:dyDescent="0.2">
      <c r="C480" s="82"/>
      <c r="D480" s="292" t="s">
        <v>74</v>
      </c>
      <c r="E480" s="138"/>
      <c r="F480" s="138"/>
      <c r="H480" s="69" t="str">
        <f t="shared" si="16"/>
        <v>BTR-Regions</v>
      </c>
      <c r="I480" s="69" t="str">
        <f t="shared" si="17"/>
        <v>The Forge</v>
      </c>
      <c r="J480" s="292"/>
      <c r="L480" s="283"/>
      <c r="M480" s="283"/>
      <c r="N480" s="212"/>
      <c r="O480" s="213"/>
      <c r="P480" s="283"/>
      <c r="Q480" s="283"/>
      <c r="R480" s="283"/>
      <c r="S480" s="283"/>
      <c r="T480" s="284"/>
      <c r="U480" s="284"/>
      <c r="V480" s="283"/>
      <c r="W480" s="283"/>
      <c r="X480" s="283"/>
      <c r="Y480" s="283"/>
    </row>
    <row r="481" spans="3:25" ht="13.5" customHeight="1" x14ac:dyDescent="0.2">
      <c r="C481" s="82"/>
      <c r="D481" s="292" t="s">
        <v>74</v>
      </c>
      <c r="E481" s="138"/>
      <c r="F481" s="138"/>
      <c r="H481" s="69" t="str">
        <f t="shared" si="16"/>
        <v>BTR-Regions</v>
      </c>
      <c r="I481" s="69" t="str">
        <f t="shared" si="17"/>
        <v>The Forge</v>
      </c>
      <c r="J481" s="292"/>
      <c r="L481" s="283"/>
      <c r="M481" s="283"/>
      <c r="N481" s="212"/>
      <c r="O481" s="213"/>
      <c r="P481" s="283"/>
      <c r="Q481" s="283"/>
      <c r="R481" s="283"/>
      <c r="S481" s="283"/>
      <c r="T481" s="284"/>
      <c r="U481" s="284"/>
      <c r="V481" s="283"/>
      <c r="W481" s="283"/>
      <c r="X481" s="283"/>
      <c r="Y481" s="283"/>
    </row>
    <row r="482" spans="3:25" ht="13.5" customHeight="1" x14ac:dyDescent="0.2">
      <c r="C482" s="82"/>
      <c r="D482" s="292" t="s">
        <v>74</v>
      </c>
      <c r="E482" s="138"/>
      <c r="F482" s="138"/>
      <c r="H482" s="69" t="str">
        <f t="shared" si="16"/>
        <v>BTR-Regions</v>
      </c>
      <c r="I482" s="69" t="str">
        <f t="shared" si="17"/>
        <v>The Forge</v>
      </c>
      <c r="J482" s="292"/>
      <c r="L482" s="283"/>
      <c r="M482" s="283"/>
      <c r="N482" s="212"/>
      <c r="O482" s="213"/>
      <c r="P482" s="283"/>
      <c r="Q482" s="283"/>
      <c r="R482" s="283"/>
      <c r="S482" s="283"/>
      <c r="T482" s="284"/>
      <c r="U482" s="284"/>
      <c r="V482" s="283"/>
      <c r="W482" s="283"/>
      <c r="X482" s="283"/>
      <c r="Y482" s="283"/>
    </row>
    <row r="483" spans="3:25" ht="13.5" customHeight="1" x14ac:dyDescent="0.2">
      <c r="C483" s="82"/>
      <c r="D483" s="292" t="s">
        <v>74</v>
      </c>
      <c r="E483" s="138"/>
      <c r="F483" s="138"/>
      <c r="H483" s="69" t="str">
        <f t="shared" si="16"/>
        <v>BTR-Regions</v>
      </c>
      <c r="I483" s="69" t="str">
        <f t="shared" si="17"/>
        <v>The Forge</v>
      </c>
      <c r="J483" s="292"/>
      <c r="L483" s="283"/>
      <c r="M483" s="283"/>
      <c r="N483" s="212"/>
      <c r="O483" s="213"/>
      <c r="P483" s="283"/>
      <c r="Q483" s="283"/>
      <c r="R483" s="283"/>
      <c r="S483" s="283"/>
      <c r="T483" s="284"/>
      <c r="U483" s="284"/>
      <c r="V483" s="283"/>
      <c r="W483" s="283"/>
      <c r="X483" s="283"/>
      <c r="Y483" s="283"/>
    </row>
    <row r="484" spans="3:25" ht="13.5" customHeight="1" x14ac:dyDescent="0.2">
      <c r="C484" s="82"/>
      <c r="D484" s="292" t="s">
        <v>74</v>
      </c>
      <c r="E484" s="138"/>
      <c r="F484" s="138"/>
      <c r="H484" s="69" t="str">
        <f t="shared" si="16"/>
        <v>BTR-Regions</v>
      </c>
      <c r="I484" s="69" t="str">
        <f t="shared" si="17"/>
        <v>The Forge</v>
      </c>
      <c r="J484" s="292"/>
      <c r="L484" s="283"/>
      <c r="M484" s="283"/>
      <c r="N484" s="212"/>
      <c r="O484" s="213"/>
      <c r="P484" s="283"/>
      <c r="Q484" s="283"/>
      <c r="R484" s="283"/>
      <c r="S484" s="283"/>
      <c r="T484" s="284"/>
      <c r="U484" s="284"/>
      <c r="V484" s="283"/>
      <c r="W484" s="283"/>
      <c r="X484" s="283"/>
      <c r="Y484" s="283"/>
    </row>
    <row r="485" spans="3:25" ht="13.5" customHeight="1" x14ac:dyDescent="0.2">
      <c r="C485" s="82"/>
      <c r="D485" s="292" t="s">
        <v>74</v>
      </c>
      <c r="E485" s="138"/>
      <c r="F485" s="138"/>
      <c r="H485" s="69" t="str">
        <f t="shared" si="16"/>
        <v>BTR-Regions</v>
      </c>
      <c r="I485" s="69" t="str">
        <f t="shared" si="17"/>
        <v>The Forge</v>
      </c>
      <c r="J485" s="292"/>
      <c r="L485" s="283"/>
      <c r="M485" s="283"/>
      <c r="N485" s="212"/>
      <c r="O485" s="213"/>
      <c r="P485" s="283"/>
      <c r="Q485" s="283"/>
      <c r="R485" s="283"/>
      <c r="S485" s="283"/>
      <c r="T485" s="284"/>
      <c r="U485" s="284"/>
      <c r="V485" s="283"/>
      <c r="W485" s="283"/>
      <c r="X485" s="283"/>
      <c r="Y485" s="283"/>
    </row>
    <row r="486" spans="3:25" ht="13.5" customHeight="1" x14ac:dyDescent="0.2">
      <c r="C486" s="82"/>
      <c r="D486" s="292" t="s">
        <v>74</v>
      </c>
      <c r="E486" s="138"/>
      <c r="F486" s="138"/>
      <c r="H486" s="69" t="str">
        <f t="shared" si="16"/>
        <v>BTR-Regions</v>
      </c>
      <c r="I486" s="69" t="str">
        <f t="shared" si="17"/>
        <v>The Forge</v>
      </c>
      <c r="J486" s="292"/>
      <c r="L486" s="283"/>
      <c r="M486" s="283"/>
      <c r="N486" s="212"/>
      <c r="O486" s="213"/>
      <c r="P486" s="283"/>
      <c r="Q486" s="283"/>
      <c r="R486" s="283"/>
      <c r="S486" s="283"/>
      <c r="T486" s="284"/>
      <c r="U486" s="284"/>
      <c r="V486" s="283"/>
      <c r="W486" s="283"/>
      <c r="X486" s="283"/>
      <c r="Y486" s="283"/>
    </row>
    <row r="487" spans="3:25" ht="13.5" customHeight="1" x14ac:dyDescent="0.2">
      <c r="C487" s="82"/>
      <c r="D487" s="292" t="s">
        <v>74</v>
      </c>
      <c r="E487" s="138"/>
      <c r="F487" s="138"/>
      <c r="H487" s="69" t="str">
        <f t="shared" si="16"/>
        <v>BTR-Regions</v>
      </c>
      <c r="I487" s="69" t="str">
        <f t="shared" si="17"/>
        <v>The Forge</v>
      </c>
      <c r="J487" s="292"/>
      <c r="L487" s="283"/>
      <c r="M487" s="283"/>
      <c r="N487" s="212"/>
      <c r="O487" s="213"/>
      <c r="P487" s="283"/>
      <c r="Q487" s="283"/>
      <c r="R487" s="283"/>
      <c r="S487" s="283"/>
      <c r="T487" s="284"/>
      <c r="U487" s="284"/>
      <c r="V487" s="283"/>
      <c r="W487" s="283"/>
      <c r="X487" s="283"/>
      <c r="Y487" s="283"/>
    </row>
    <row r="488" spans="3:25" ht="13.5" customHeight="1" x14ac:dyDescent="0.2">
      <c r="C488" s="82"/>
      <c r="D488" s="292" t="s">
        <v>74</v>
      </c>
      <c r="E488" s="138"/>
      <c r="F488" s="138"/>
      <c r="H488" s="69" t="str">
        <f t="shared" si="16"/>
        <v>BTR-Regions</v>
      </c>
      <c r="I488" s="69" t="str">
        <f t="shared" si="17"/>
        <v>The Forge</v>
      </c>
      <c r="J488" s="292"/>
      <c r="L488" s="283"/>
      <c r="M488" s="283"/>
      <c r="N488" s="212"/>
      <c r="O488" s="213"/>
      <c r="P488" s="283"/>
      <c r="Q488" s="283"/>
      <c r="R488" s="283"/>
      <c r="S488" s="283"/>
      <c r="T488" s="284"/>
      <c r="U488" s="284"/>
      <c r="V488" s="283"/>
      <c r="W488" s="283"/>
      <c r="X488" s="283"/>
      <c r="Y488" s="283"/>
    </row>
    <row r="489" spans="3:25" ht="13.5" customHeight="1" x14ac:dyDescent="0.2">
      <c r="C489" s="82"/>
      <c r="D489" s="292" t="s">
        <v>74</v>
      </c>
      <c r="E489" s="138"/>
      <c r="F489" s="138"/>
      <c r="H489" s="69" t="str">
        <f t="shared" si="16"/>
        <v>BTR-Regions</v>
      </c>
      <c r="I489" s="69" t="str">
        <f t="shared" si="17"/>
        <v>The Forge</v>
      </c>
      <c r="J489" s="292"/>
      <c r="L489" s="283"/>
      <c r="M489" s="283"/>
      <c r="N489" s="212"/>
      <c r="O489" s="213"/>
      <c r="P489" s="283"/>
      <c r="Q489" s="283"/>
      <c r="R489" s="283"/>
      <c r="S489" s="283"/>
      <c r="T489" s="284"/>
      <c r="U489" s="284"/>
      <c r="V489" s="283"/>
      <c r="W489" s="283"/>
      <c r="X489" s="283"/>
      <c r="Y489" s="283"/>
    </row>
    <row r="490" spans="3:25" ht="13.5" customHeight="1" x14ac:dyDescent="0.2">
      <c r="C490" s="82"/>
      <c r="D490" s="292" t="s">
        <v>74</v>
      </c>
      <c r="E490" s="138"/>
      <c r="F490" s="138"/>
      <c r="H490" s="69" t="str">
        <f t="shared" si="16"/>
        <v>BTR-Regions</v>
      </c>
      <c r="I490" s="69" t="str">
        <f t="shared" si="17"/>
        <v>The Forge</v>
      </c>
      <c r="J490" s="292"/>
      <c r="L490" s="283"/>
      <c r="M490" s="283"/>
      <c r="N490" s="212"/>
      <c r="O490" s="213"/>
      <c r="P490" s="283"/>
      <c r="Q490" s="283"/>
      <c r="R490" s="283"/>
      <c r="S490" s="283"/>
      <c r="T490" s="284"/>
      <c r="U490" s="284"/>
      <c r="V490" s="283"/>
      <c r="W490" s="283"/>
      <c r="X490" s="283"/>
      <c r="Y490" s="283"/>
    </row>
    <row r="491" spans="3:25" ht="13.5" customHeight="1" x14ac:dyDescent="0.2">
      <c r="C491" s="82"/>
      <c r="D491" s="292" t="s">
        <v>74</v>
      </c>
      <c r="E491" s="138"/>
      <c r="F491" s="138"/>
      <c r="H491" s="69" t="str">
        <f t="shared" si="16"/>
        <v>BTR-Regions</v>
      </c>
      <c r="I491" s="69" t="str">
        <f t="shared" si="17"/>
        <v>The Forge</v>
      </c>
      <c r="J491" s="292"/>
      <c r="L491" s="283"/>
      <c r="M491" s="283"/>
      <c r="N491" s="212"/>
      <c r="O491" s="213"/>
      <c r="P491" s="283"/>
      <c r="Q491" s="283"/>
      <c r="R491" s="283"/>
      <c r="S491" s="283"/>
      <c r="T491" s="284"/>
      <c r="U491" s="284"/>
      <c r="V491" s="283"/>
      <c r="W491" s="283"/>
      <c r="X491" s="283"/>
      <c r="Y491" s="283"/>
    </row>
    <row r="492" spans="3:25" ht="13.5" customHeight="1" x14ac:dyDescent="0.2">
      <c r="C492" s="82"/>
      <c r="D492" s="292" t="s">
        <v>74</v>
      </c>
      <c r="E492" s="138"/>
      <c r="F492" s="138"/>
      <c r="H492" s="69" t="str">
        <f t="shared" si="16"/>
        <v>BTR-Regions</v>
      </c>
      <c r="I492" s="69" t="str">
        <f t="shared" si="17"/>
        <v>The Forge</v>
      </c>
      <c r="J492" s="292"/>
      <c r="L492" s="283"/>
      <c r="M492" s="283"/>
      <c r="N492" s="212"/>
      <c r="O492" s="213"/>
      <c r="P492" s="283"/>
      <c r="Q492" s="283"/>
      <c r="R492" s="283"/>
      <c r="S492" s="283"/>
      <c r="T492" s="284"/>
      <c r="U492" s="284"/>
      <c r="V492" s="283"/>
      <c r="W492" s="283"/>
      <c r="X492" s="283"/>
      <c r="Y492" s="283"/>
    </row>
    <row r="493" spans="3:25" ht="13.5" customHeight="1" x14ac:dyDescent="0.2">
      <c r="C493" s="82"/>
      <c r="D493" s="292" t="s">
        <v>74</v>
      </c>
      <c r="E493" s="138"/>
      <c r="F493" s="138"/>
      <c r="H493" s="69" t="str">
        <f t="shared" si="16"/>
        <v>BTR-Regions</v>
      </c>
      <c r="I493" s="69" t="str">
        <f t="shared" si="17"/>
        <v>The Forge</v>
      </c>
      <c r="J493" s="292"/>
      <c r="L493" s="283"/>
      <c r="M493" s="283"/>
      <c r="N493" s="212"/>
      <c r="O493" s="213"/>
      <c r="P493" s="283"/>
      <c r="Q493" s="283"/>
      <c r="R493" s="283"/>
      <c r="S493" s="283"/>
      <c r="T493" s="284"/>
      <c r="U493" s="284"/>
      <c r="V493" s="283"/>
      <c r="W493" s="283"/>
      <c r="X493" s="283"/>
      <c r="Y493" s="283"/>
    </row>
    <row r="494" spans="3:25" ht="13.5" customHeight="1" x14ac:dyDescent="0.2">
      <c r="C494" s="82"/>
      <c r="D494" s="292" t="s">
        <v>74</v>
      </c>
      <c r="E494" s="138"/>
      <c r="F494" s="138"/>
      <c r="H494" s="69" t="str">
        <f t="shared" si="16"/>
        <v>BTR-Regions</v>
      </c>
      <c r="I494" s="69" t="str">
        <f t="shared" si="17"/>
        <v>The Forge</v>
      </c>
      <c r="J494" s="292"/>
      <c r="L494" s="283"/>
      <c r="M494" s="283"/>
      <c r="N494" s="212"/>
      <c r="O494" s="213"/>
      <c r="P494" s="283"/>
      <c r="Q494" s="283"/>
      <c r="R494" s="283"/>
      <c r="S494" s="283"/>
      <c r="T494" s="284"/>
      <c r="U494" s="284"/>
      <c r="V494" s="283"/>
      <c r="W494" s="283"/>
      <c r="X494" s="283"/>
      <c r="Y494" s="283"/>
    </row>
    <row r="495" spans="3:25" ht="13.5" customHeight="1" x14ac:dyDescent="0.2">
      <c r="C495" s="82"/>
      <c r="D495" s="292" t="s">
        <v>74</v>
      </c>
      <c r="E495" s="138"/>
      <c r="F495" s="138"/>
      <c r="H495" s="69" t="str">
        <f t="shared" si="16"/>
        <v>BTR-Regions</v>
      </c>
      <c r="I495" s="69" t="str">
        <f t="shared" si="17"/>
        <v>The Forge</v>
      </c>
      <c r="J495" s="292"/>
      <c r="L495" s="283"/>
      <c r="M495" s="283"/>
      <c r="N495" s="212"/>
      <c r="O495" s="213"/>
      <c r="P495" s="283"/>
      <c r="Q495" s="283"/>
      <c r="R495" s="283"/>
      <c r="S495" s="283"/>
      <c r="T495" s="284"/>
      <c r="U495" s="284"/>
      <c r="V495" s="283"/>
      <c r="W495" s="283"/>
      <c r="X495" s="283"/>
      <c r="Y495" s="283"/>
    </row>
    <row r="496" spans="3:25" ht="13.5" customHeight="1" x14ac:dyDescent="0.2">
      <c r="C496" s="82"/>
      <c r="D496" s="292" t="s">
        <v>74</v>
      </c>
      <c r="E496" s="138"/>
      <c r="F496" s="138"/>
      <c r="H496" s="69" t="str">
        <f t="shared" si="16"/>
        <v>BTR-Regions</v>
      </c>
      <c r="I496" s="69" t="str">
        <f t="shared" si="17"/>
        <v>The Forge</v>
      </c>
      <c r="J496" s="292"/>
      <c r="L496" s="283"/>
      <c r="M496" s="283"/>
      <c r="N496" s="212"/>
      <c r="O496" s="213"/>
      <c r="P496" s="283"/>
      <c r="Q496" s="283"/>
      <c r="R496" s="283"/>
      <c r="S496" s="283"/>
      <c r="T496" s="284"/>
      <c r="U496" s="284"/>
      <c r="V496" s="283"/>
      <c r="W496" s="283"/>
      <c r="X496" s="283"/>
      <c r="Y496" s="283"/>
    </row>
    <row r="497" spans="3:25" ht="13.5" customHeight="1" x14ac:dyDescent="0.2">
      <c r="C497" s="82"/>
      <c r="D497" s="292" t="s">
        <v>74</v>
      </c>
      <c r="E497" s="138"/>
      <c r="F497" s="138"/>
      <c r="H497" s="69" t="str">
        <f t="shared" si="16"/>
        <v>BTR-Regions</v>
      </c>
      <c r="I497" s="69" t="str">
        <f t="shared" si="17"/>
        <v>The Forge</v>
      </c>
      <c r="J497" s="292"/>
      <c r="L497" s="283"/>
      <c r="M497" s="283"/>
      <c r="N497" s="212"/>
      <c r="O497" s="213"/>
      <c r="P497" s="283"/>
      <c r="Q497" s="283"/>
      <c r="R497" s="283"/>
      <c r="S497" s="283"/>
      <c r="T497" s="284"/>
      <c r="U497" s="284"/>
      <c r="V497" s="283"/>
      <c r="W497" s="283"/>
      <c r="X497" s="283"/>
      <c r="Y497" s="283"/>
    </row>
    <row r="498" spans="3:25" ht="13.5" customHeight="1" x14ac:dyDescent="0.2">
      <c r="C498" s="82"/>
      <c r="D498" s="292" t="s">
        <v>74</v>
      </c>
      <c r="E498" s="138"/>
      <c r="F498" s="138"/>
      <c r="H498" s="69" t="str">
        <f t="shared" si="16"/>
        <v>BTR-Regions</v>
      </c>
      <c r="I498" s="69" t="str">
        <f t="shared" si="17"/>
        <v>The Forge</v>
      </c>
      <c r="J498" s="292"/>
      <c r="L498" s="283"/>
      <c r="M498" s="283"/>
      <c r="N498" s="212"/>
      <c r="O498" s="213"/>
      <c r="P498" s="283"/>
      <c r="Q498" s="283"/>
      <c r="R498" s="283"/>
      <c r="S498" s="283"/>
      <c r="T498" s="284"/>
      <c r="U498" s="284"/>
      <c r="V498" s="283"/>
      <c r="W498" s="283"/>
      <c r="X498" s="283"/>
      <c r="Y498" s="283"/>
    </row>
    <row r="499" spans="3:25" ht="13.5" customHeight="1" x14ac:dyDescent="0.2">
      <c r="C499" s="82"/>
      <c r="D499" s="292" t="s">
        <v>74</v>
      </c>
      <c r="E499" s="138"/>
      <c r="F499" s="138"/>
      <c r="H499" s="69" t="str">
        <f t="shared" si="16"/>
        <v>BTR-Regions</v>
      </c>
      <c r="I499" s="69" t="str">
        <f t="shared" si="17"/>
        <v>The Forge</v>
      </c>
      <c r="J499" s="292"/>
      <c r="L499" s="283"/>
      <c r="M499" s="283"/>
      <c r="N499" s="212"/>
      <c r="O499" s="213"/>
      <c r="P499" s="283"/>
      <c r="Q499" s="283"/>
      <c r="R499" s="283"/>
      <c r="S499" s="283"/>
      <c r="T499" s="284"/>
      <c r="U499" s="284"/>
      <c r="V499" s="283"/>
      <c r="W499" s="283"/>
      <c r="X499" s="283"/>
      <c r="Y499" s="283"/>
    </row>
    <row r="500" spans="3:25" ht="13.5" customHeight="1" x14ac:dyDescent="0.2">
      <c r="C500" s="82"/>
      <c r="D500" s="292" t="s">
        <v>74</v>
      </c>
      <c r="E500" s="138"/>
      <c r="F500" s="138"/>
      <c r="H500" s="69" t="str">
        <f t="shared" si="16"/>
        <v>BTR-Regions</v>
      </c>
      <c r="I500" s="69" t="str">
        <f t="shared" si="17"/>
        <v>The Forge</v>
      </c>
      <c r="J500" s="292"/>
      <c r="L500" s="283"/>
      <c r="M500" s="283"/>
      <c r="N500" s="212"/>
      <c r="O500" s="213"/>
      <c r="P500" s="283"/>
      <c r="Q500" s="283"/>
      <c r="R500" s="283"/>
      <c r="S500" s="283"/>
      <c r="T500" s="284"/>
      <c r="U500" s="284"/>
      <c r="V500" s="283"/>
      <c r="W500" s="283"/>
      <c r="X500" s="283"/>
      <c r="Y500" s="283"/>
    </row>
    <row r="501" spans="3:25" ht="13.5" customHeight="1" x14ac:dyDescent="0.2">
      <c r="C501" s="82"/>
      <c r="D501" s="292" t="s">
        <v>74</v>
      </c>
      <c r="E501" s="138"/>
      <c r="F501" s="138"/>
      <c r="H501" s="69" t="str">
        <f t="shared" si="16"/>
        <v>BTR-Regions</v>
      </c>
      <c r="I501" s="69" t="str">
        <f t="shared" si="17"/>
        <v>The Forge</v>
      </c>
      <c r="J501" s="292"/>
      <c r="L501" s="283"/>
      <c r="M501" s="283"/>
      <c r="N501" s="212"/>
      <c r="O501" s="213"/>
      <c r="P501" s="283"/>
      <c r="Q501" s="283"/>
      <c r="R501" s="283"/>
      <c r="S501" s="283"/>
      <c r="T501" s="284"/>
      <c r="U501" s="284"/>
      <c r="V501" s="283"/>
      <c r="W501" s="283"/>
      <c r="X501" s="283"/>
      <c r="Y501" s="283"/>
    </row>
    <row r="502" spans="3:25" ht="13.5" customHeight="1" x14ac:dyDescent="0.2">
      <c r="C502" s="82"/>
      <c r="D502" s="292" t="s">
        <v>74</v>
      </c>
      <c r="E502" s="138"/>
      <c r="F502" s="138"/>
      <c r="H502" s="69" t="str">
        <f t="shared" si="16"/>
        <v>BTR-Regions</v>
      </c>
      <c r="I502" s="69" t="str">
        <f t="shared" si="17"/>
        <v>The Forge</v>
      </c>
      <c r="J502" s="292"/>
      <c r="L502" s="283"/>
      <c r="M502" s="283"/>
      <c r="N502" s="212"/>
      <c r="O502" s="213"/>
      <c r="P502" s="283"/>
      <c r="Q502" s="283"/>
      <c r="R502" s="283"/>
      <c r="S502" s="283"/>
      <c r="T502" s="284"/>
      <c r="U502" s="284"/>
      <c r="V502" s="283"/>
      <c r="W502" s="283"/>
      <c r="X502" s="283"/>
      <c r="Y502" s="283"/>
    </row>
    <row r="503" spans="3:25" ht="13.5" customHeight="1" x14ac:dyDescent="0.2">
      <c r="C503" s="82"/>
      <c r="D503" s="292" t="s">
        <v>74</v>
      </c>
      <c r="E503" s="138"/>
      <c r="F503" s="138"/>
      <c r="H503" s="69" t="str">
        <f t="shared" si="16"/>
        <v>BTR-Regions</v>
      </c>
      <c r="I503" s="69" t="str">
        <f t="shared" si="17"/>
        <v>The Forge</v>
      </c>
      <c r="J503" s="292"/>
      <c r="L503" s="283"/>
      <c r="M503" s="283"/>
      <c r="N503" s="212"/>
      <c r="O503" s="213"/>
      <c r="P503" s="283"/>
      <c r="Q503" s="283"/>
      <c r="R503" s="283"/>
      <c r="S503" s="283"/>
      <c r="T503" s="284"/>
      <c r="U503" s="284"/>
      <c r="V503" s="283"/>
      <c r="W503" s="283"/>
      <c r="X503" s="283"/>
      <c r="Y503" s="283"/>
    </row>
    <row r="504" spans="3:25" ht="13.5" customHeight="1" x14ac:dyDescent="0.2">
      <c r="C504" s="82"/>
      <c r="D504" s="292" t="s">
        <v>74</v>
      </c>
      <c r="E504" s="138"/>
      <c r="F504" s="138"/>
      <c r="H504" s="69" t="str">
        <f t="shared" si="16"/>
        <v>BTR-Regions</v>
      </c>
      <c r="I504" s="69" t="str">
        <f t="shared" si="17"/>
        <v>The Forge</v>
      </c>
      <c r="J504" s="292"/>
      <c r="L504" s="283"/>
      <c r="M504" s="283"/>
      <c r="N504" s="212"/>
      <c r="O504" s="213"/>
      <c r="P504" s="283"/>
      <c r="Q504" s="283"/>
      <c r="R504" s="283"/>
      <c r="S504" s="283"/>
      <c r="T504" s="284"/>
      <c r="U504" s="284"/>
      <c r="V504" s="283"/>
      <c r="W504" s="283"/>
      <c r="X504" s="283"/>
      <c r="Y504" s="283"/>
    </row>
    <row r="505" spans="3:25" ht="13.5" customHeight="1" x14ac:dyDescent="0.2">
      <c r="C505" s="82"/>
      <c r="D505" s="292" t="s">
        <v>74</v>
      </c>
      <c r="E505" s="138"/>
      <c r="F505" s="138"/>
      <c r="H505" s="69" t="str">
        <f t="shared" si="16"/>
        <v>BTR-Regions</v>
      </c>
      <c r="I505" s="69" t="str">
        <f t="shared" si="17"/>
        <v>The Forge</v>
      </c>
      <c r="J505" s="292"/>
      <c r="L505" s="283"/>
      <c r="M505" s="283"/>
      <c r="N505" s="212"/>
      <c r="O505" s="213"/>
      <c r="P505" s="283"/>
      <c r="Q505" s="283"/>
      <c r="R505" s="283"/>
      <c r="S505" s="283"/>
      <c r="T505" s="284"/>
      <c r="U505" s="284"/>
      <c r="V505" s="283"/>
      <c r="W505" s="283"/>
      <c r="X505" s="283"/>
      <c r="Y505" s="283"/>
    </row>
    <row r="506" spans="3:25" ht="13.5" customHeight="1" x14ac:dyDescent="0.2">
      <c r="C506" s="82"/>
      <c r="D506" s="292" t="s">
        <v>74</v>
      </c>
      <c r="E506" s="138"/>
      <c r="F506" s="138"/>
      <c r="H506" s="69" t="str">
        <f t="shared" si="16"/>
        <v>BTR-Regions</v>
      </c>
      <c r="I506" s="69" t="str">
        <f t="shared" si="17"/>
        <v>The Forge</v>
      </c>
      <c r="J506" s="292"/>
      <c r="L506" s="283"/>
      <c r="M506" s="283"/>
      <c r="N506" s="212"/>
      <c r="O506" s="213"/>
      <c r="P506" s="283"/>
      <c r="Q506" s="283"/>
      <c r="R506" s="283"/>
      <c r="S506" s="283"/>
      <c r="T506" s="284"/>
      <c r="U506" s="284"/>
      <c r="V506" s="283"/>
      <c r="W506" s="283"/>
      <c r="X506" s="283"/>
      <c r="Y506" s="283"/>
    </row>
    <row r="507" spans="3:25" ht="13.5" customHeight="1" x14ac:dyDescent="0.2">
      <c r="C507" s="82"/>
      <c r="D507" s="292" t="s">
        <v>74</v>
      </c>
      <c r="E507" s="138"/>
      <c r="F507" s="138"/>
      <c r="H507" s="69" t="str">
        <f t="shared" si="16"/>
        <v>BTR-Regions</v>
      </c>
      <c r="I507" s="69" t="str">
        <f t="shared" si="17"/>
        <v>The Forge</v>
      </c>
      <c r="J507" s="292"/>
      <c r="L507" s="283"/>
      <c r="M507" s="283"/>
      <c r="N507" s="212"/>
      <c r="O507" s="213"/>
      <c r="P507" s="283"/>
      <c r="Q507" s="283"/>
      <c r="R507" s="283"/>
      <c r="S507" s="283"/>
      <c r="T507" s="284"/>
      <c r="U507" s="284"/>
      <c r="V507" s="283"/>
      <c r="W507" s="283"/>
      <c r="X507" s="283"/>
      <c r="Y507" s="283"/>
    </row>
    <row r="508" spans="3:25" ht="13.5" customHeight="1" x14ac:dyDescent="0.2">
      <c r="C508" s="82"/>
      <c r="D508" s="292" t="s">
        <v>74</v>
      </c>
      <c r="E508" s="138"/>
      <c r="F508" s="138"/>
      <c r="H508" s="69" t="str">
        <f t="shared" si="16"/>
        <v>BTR-Regions</v>
      </c>
      <c r="I508" s="69" t="str">
        <f t="shared" si="17"/>
        <v>The Forge</v>
      </c>
      <c r="J508" s="292"/>
      <c r="L508" s="283"/>
      <c r="M508" s="283"/>
      <c r="N508" s="212"/>
      <c r="O508" s="213"/>
      <c r="P508" s="283"/>
      <c r="Q508" s="283"/>
      <c r="R508" s="283"/>
      <c r="S508" s="283"/>
      <c r="T508" s="284"/>
      <c r="U508" s="284"/>
      <c r="V508" s="283"/>
      <c r="W508" s="283"/>
      <c r="X508" s="283"/>
      <c r="Y508" s="283"/>
    </row>
    <row r="509" spans="3:25" ht="13.5" customHeight="1" x14ac:dyDescent="0.2">
      <c r="C509" s="82"/>
      <c r="D509" s="292" t="s">
        <v>74</v>
      </c>
      <c r="E509" s="138"/>
      <c r="F509" s="138"/>
      <c r="H509" s="69" t="str">
        <f t="shared" si="16"/>
        <v>BTR-Regions</v>
      </c>
      <c r="I509" s="69" t="str">
        <f t="shared" si="17"/>
        <v>The Forge</v>
      </c>
      <c r="J509" s="292"/>
      <c r="L509" s="283"/>
      <c r="M509" s="283"/>
      <c r="N509" s="212"/>
      <c r="O509" s="213"/>
      <c r="P509" s="283"/>
      <c r="Q509" s="283"/>
      <c r="R509" s="283"/>
      <c r="S509" s="283"/>
      <c r="T509" s="284"/>
      <c r="U509" s="284"/>
      <c r="V509" s="283"/>
      <c r="W509" s="283"/>
      <c r="X509" s="283"/>
      <c r="Y509" s="283"/>
    </row>
    <row r="510" spans="3:25" ht="13.5" customHeight="1" x14ac:dyDescent="0.2">
      <c r="C510" s="82"/>
      <c r="D510" s="292" t="s">
        <v>74</v>
      </c>
      <c r="E510" s="138"/>
      <c r="F510" s="138"/>
      <c r="H510" s="69" t="str">
        <f t="shared" si="16"/>
        <v>BTR-Regions</v>
      </c>
      <c r="I510" s="69" t="str">
        <f t="shared" si="17"/>
        <v>The Forge</v>
      </c>
      <c r="J510" s="292"/>
      <c r="L510" s="283"/>
      <c r="M510" s="283"/>
      <c r="N510" s="212"/>
      <c r="O510" s="213"/>
      <c r="P510" s="283"/>
      <c r="Q510" s="283"/>
      <c r="R510" s="283"/>
      <c r="S510" s="283"/>
      <c r="T510" s="284"/>
      <c r="U510" s="284"/>
      <c r="V510" s="283"/>
      <c r="W510" s="283"/>
      <c r="X510" s="283"/>
      <c r="Y510" s="283"/>
    </row>
    <row r="511" spans="3:25" ht="13.5" customHeight="1" x14ac:dyDescent="0.2">
      <c r="C511" s="82"/>
      <c r="D511" s="292" t="s">
        <v>74</v>
      </c>
      <c r="E511" s="138"/>
      <c r="F511" s="138"/>
      <c r="H511" s="69" t="str">
        <f t="shared" si="16"/>
        <v>BTR-Regions</v>
      </c>
      <c r="I511" s="69" t="str">
        <f t="shared" si="17"/>
        <v>The Forge</v>
      </c>
      <c r="J511" s="292"/>
      <c r="L511" s="283"/>
      <c r="M511" s="283"/>
      <c r="N511" s="212"/>
      <c r="O511" s="213"/>
      <c r="P511" s="283"/>
      <c r="Q511" s="283"/>
      <c r="R511" s="283"/>
      <c r="S511" s="283"/>
      <c r="T511" s="284"/>
      <c r="U511" s="284"/>
      <c r="V511" s="283"/>
      <c r="W511" s="283"/>
      <c r="X511" s="283"/>
      <c r="Y511" s="283"/>
    </row>
    <row r="512" spans="3:25" ht="13.5" customHeight="1" x14ac:dyDescent="0.2">
      <c r="C512" s="82"/>
      <c r="D512" s="292" t="s">
        <v>74</v>
      </c>
      <c r="E512" s="138"/>
      <c r="F512" s="138"/>
      <c r="H512" s="69" t="str">
        <f t="shared" si="16"/>
        <v>BTR-Regions</v>
      </c>
      <c r="I512" s="69" t="str">
        <f t="shared" si="17"/>
        <v>The Forge</v>
      </c>
      <c r="J512" s="292"/>
      <c r="L512" s="283"/>
      <c r="M512" s="283"/>
      <c r="N512" s="212"/>
      <c r="O512" s="213"/>
      <c r="P512" s="283"/>
      <c r="Q512" s="283"/>
      <c r="R512" s="283"/>
      <c r="S512" s="283"/>
      <c r="T512" s="284"/>
      <c r="U512" s="284"/>
      <c r="V512" s="283"/>
      <c r="W512" s="283"/>
      <c r="X512" s="283"/>
      <c r="Y512" s="283"/>
    </row>
    <row r="513" spans="3:25" ht="13.5" customHeight="1" x14ac:dyDescent="0.2">
      <c r="C513" s="82"/>
      <c r="D513" s="292" t="s">
        <v>74</v>
      </c>
      <c r="E513" s="138"/>
      <c r="F513" s="138"/>
      <c r="H513" s="69" t="str">
        <f t="shared" si="16"/>
        <v>BTR-Regions</v>
      </c>
      <c r="I513" s="69" t="str">
        <f t="shared" si="17"/>
        <v>The Forge</v>
      </c>
      <c r="J513" s="292"/>
      <c r="L513" s="283"/>
      <c r="M513" s="283"/>
      <c r="N513" s="212"/>
      <c r="O513" s="213"/>
      <c r="P513" s="283"/>
      <c r="Q513" s="283"/>
      <c r="R513" s="283"/>
      <c r="S513" s="283"/>
      <c r="T513" s="284"/>
      <c r="U513" s="284"/>
      <c r="V513" s="283"/>
      <c r="W513" s="283"/>
      <c r="X513" s="283"/>
      <c r="Y513" s="283"/>
    </row>
    <row r="514" spans="3:25" ht="13.5" customHeight="1" x14ac:dyDescent="0.2">
      <c r="C514" s="82"/>
      <c r="D514" s="292" t="s">
        <v>74</v>
      </c>
      <c r="E514" s="138"/>
      <c r="F514" s="138"/>
      <c r="H514" s="69" t="str">
        <f t="shared" si="16"/>
        <v>BTR-Regions</v>
      </c>
      <c r="I514" s="69" t="str">
        <f t="shared" si="17"/>
        <v>The Forge</v>
      </c>
      <c r="J514" s="292"/>
      <c r="L514" s="283"/>
      <c r="M514" s="283"/>
      <c r="N514" s="212"/>
      <c r="O514" s="213"/>
      <c r="P514" s="283"/>
      <c r="Q514" s="283"/>
      <c r="R514" s="283"/>
      <c r="S514" s="283"/>
      <c r="T514" s="284"/>
      <c r="U514" s="284"/>
      <c r="V514" s="283"/>
      <c r="W514" s="283"/>
      <c r="X514" s="283"/>
      <c r="Y514" s="283"/>
    </row>
    <row r="515" spans="3:25" ht="13.5" customHeight="1" x14ac:dyDescent="0.2">
      <c r="C515" s="82"/>
      <c r="D515" s="292" t="s">
        <v>74</v>
      </c>
      <c r="E515" s="138"/>
      <c r="F515" s="138"/>
      <c r="H515" s="69" t="str">
        <f t="shared" si="16"/>
        <v>BTR-Regions</v>
      </c>
      <c r="I515" s="69" t="str">
        <f t="shared" si="17"/>
        <v>The Forge</v>
      </c>
      <c r="J515" s="292"/>
      <c r="L515" s="283"/>
      <c r="M515" s="283"/>
      <c r="N515" s="212"/>
      <c r="O515" s="213"/>
      <c r="P515" s="283"/>
      <c r="Q515" s="283"/>
      <c r="R515" s="283"/>
      <c r="S515" s="283"/>
      <c r="T515" s="284"/>
      <c r="U515" s="284"/>
      <c r="V515" s="283"/>
      <c r="W515" s="283"/>
      <c r="X515" s="283"/>
      <c r="Y515" s="283"/>
    </row>
    <row r="516" spans="3:25" ht="13.5" customHeight="1" x14ac:dyDescent="0.2">
      <c r="C516" s="82"/>
      <c r="D516" s="292" t="s">
        <v>74</v>
      </c>
      <c r="E516" s="138"/>
      <c r="F516" s="138"/>
      <c r="H516" s="69" t="str">
        <f t="shared" si="16"/>
        <v>BTR-Regions</v>
      </c>
      <c r="I516" s="69" t="str">
        <f t="shared" si="17"/>
        <v>The Forge</v>
      </c>
      <c r="J516" s="292"/>
      <c r="L516" s="283"/>
      <c r="M516" s="283"/>
      <c r="N516" s="212"/>
      <c r="O516" s="213"/>
      <c r="P516" s="283"/>
      <c r="Q516" s="283"/>
      <c r="R516" s="283"/>
      <c r="S516" s="283"/>
      <c r="T516" s="284"/>
      <c r="U516" s="284"/>
      <c r="V516" s="283"/>
      <c r="W516" s="283"/>
      <c r="X516" s="283"/>
      <c r="Y516" s="283"/>
    </row>
    <row r="517" spans="3:25" ht="13.5" customHeight="1" x14ac:dyDescent="0.2">
      <c r="C517" s="82"/>
      <c r="D517" s="292" t="s">
        <v>74</v>
      </c>
      <c r="E517" s="138"/>
      <c r="F517" s="138"/>
      <c r="H517" s="69" t="str">
        <f t="shared" si="16"/>
        <v>BTR-Regions</v>
      </c>
      <c r="I517" s="69" t="str">
        <f t="shared" si="17"/>
        <v>The Forge</v>
      </c>
      <c r="J517" s="292"/>
      <c r="L517" s="283"/>
      <c r="M517" s="283"/>
      <c r="N517" s="212"/>
      <c r="O517" s="213"/>
      <c r="P517" s="283"/>
      <c r="Q517" s="283"/>
      <c r="R517" s="283"/>
      <c r="S517" s="283"/>
      <c r="T517" s="284"/>
      <c r="U517" s="284"/>
      <c r="V517" s="283"/>
      <c r="W517" s="283"/>
      <c r="X517" s="283"/>
      <c r="Y517" s="283"/>
    </row>
    <row r="518" spans="3:25" ht="13.5" customHeight="1" x14ac:dyDescent="0.2">
      <c r="C518" s="82"/>
      <c r="D518" s="292" t="s">
        <v>74</v>
      </c>
      <c r="E518" s="138"/>
      <c r="F518" s="138"/>
      <c r="H518" s="69" t="str">
        <f t="shared" si="16"/>
        <v>BTR-Regions</v>
      </c>
      <c r="I518" s="69" t="str">
        <f t="shared" si="17"/>
        <v>The Forge</v>
      </c>
      <c r="J518" s="292"/>
      <c r="L518" s="283"/>
      <c r="M518" s="283"/>
      <c r="N518" s="212"/>
      <c r="O518" s="213"/>
      <c r="P518" s="283"/>
      <c r="Q518" s="283"/>
      <c r="R518" s="283"/>
      <c r="S518" s="283"/>
      <c r="T518" s="284"/>
      <c r="U518" s="284"/>
      <c r="V518" s="283"/>
      <c r="W518" s="283"/>
      <c r="X518" s="283"/>
      <c r="Y518" s="283"/>
    </row>
    <row r="519" spans="3:25" ht="13.5" customHeight="1" x14ac:dyDescent="0.2">
      <c r="C519" s="82"/>
      <c r="D519" s="292" t="s">
        <v>74</v>
      </c>
      <c r="E519" s="138"/>
      <c r="F519" s="138"/>
      <c r="H519" s="69" t="str">
        <f t="shared" si="16"/>
        <v>BTR-Regions</v>
      </c>
      <c r="I519" s="69" t="str">
        <f t="shared" si="17"/>
        <v>The Forge</v>
      </c>
      <c r="J519" s="292"/>
      <c r="L519" s="283"/>
      <c r="M519" s="283"/>
      <c r="N519" s="212"/>
      <c r="O519" s="213"/>
      <c r="P519" s="283"/>
      <c r="Q519" s="283"/>
      <c r="R519" s="283"/>
      <c r="S519" s="283"/>
      <c r="T519" s="284"/>
      <c r="U519" s="284"/>
      <c r="V519" s="283"/>
      <c r="W519" s="283"/>
      <c r="X519" s="283"/>
      <c r="Y519" s="283"/>
    </row>
    <row r="520" spans="3:25" ht="13.5" customHeight="1" x14ac:dyDescent="0.2">
      <c r="C520" s="82"/>
      <c r="D520" s="292" t="s">
        <v>74</v>
      </c>
      <c r="E520" s="138"/>
      <c r="F520" s="138"/>
      <c r="H520" s="69" t="str">
        <f t="shared" si="16"/>
        <v>BTR-Regions</v>
      </c>
      <c r="I520" s="69" t="str">
        <f t="shared" si="17"/>
        <v>The Forge</v>
      </c>
      <c r="J520" s="292"/>
      <c r="L520" s="283"/>
      <c r="M520" s="283"/>
      <c r="N520" s="212"/>
      <c r="O520" s="213"/>
      <c r="P520" s="283"/>
      <c r="Q520" s="283"/>
      <c r="R520" s="283"/>
      <c r="S520" s="283"/>
      <c r="T520" s="284"/>
      <c r="U520" s="284"/>
      <c r="V520" s="283"/>
      <c r="W520" s="283"/>
      <c r="X520" s="283"/>
      <c r="Y520" s="283"/>
    </row>
    <row r="521" spans="3:25" ht="13.5" customHeight="1" x14ac:dyDescent="0.2">
      <c r="C521" s="82"/>
      <c r="D521" s="292" t="s">
        <v>74</v>
      </c>
      <c r="E521" s="138"/>
      <c r="F521" s="138"/>
      <c r="H521" s="69" t="str">
        <f t="shared" si="16"/>
        <v>BTR-Regions</v>
      </c>
      <c r="I521" s="69" t="str">
        <f t="shared" si="17"/>
        <v>The Forge</v>
      </c>
      <c r="J521" s="292"/>
      <c r="L521" s="283"/>
      <c r="M521" s="283"/>
      <c r="N521" s="212"/>
      <c r="O521" s="213"/>
      <c r="P521" s="283"/>
      <c r="Q521" s="283"/>
      <c r="R521" s="283"/>
      <c r="S521" s="283"/>
      <c r="T521" s="284"/>
      <c r="U521" s="284"/>
      <c r="V521" s="283"/>
      <c r="W521" s="283"/>
      <c r="X521" s="283"/>
      <c r="Y521" s="283"/>
    </row>
    <row r="522" spans="3:25" ht="13.5" customHeight="1" x14ac:dyDescent="0.2">
      <c r="C522" s="82"/>
      <c r="D522" s="292" t="s">
        <v>74</v>
      </c>
      <c r="E522" s="138"/>
      <c r="F522" s="138"/>
      <c r="H522" s="69" t="str">
        <f t="shared" si="16"/>
        <v>BTR-Regions</v>
      </c>
      <c r="I522" s="69" t="str">
        <f t="shared" si="17"/>
        <v>The Forge</v>
      </c>
      <c r="J522" s="292"/>
      <c r="L522" s="283"/>
      <c r="M522" s="283"/>
      <c r="N522" s="212"/>
      <c r="O522" s="213"/>
      <c r="P522" s="283"/>
      <c r="Q522" s="283"/>
      <c r="R522" s="283"/>
      <c r="S522" s="283"/>
      <c r="T522" s="284"/>
      <c r="U522" s="284"/>
      <c r="V522" s="283"/>
      <c r="W522" s="283"/>
      <c r="X522" s="283"/>
      <c r="Y522" s="283"/>
    </row>
    <row r="523" spans="3:25" ht="13.5" customHeight="1" x14ac:dyDescent="0.2">
      <c r="C523" s="82"/>
      <c r="D523" s="292" t="s">
        <v>74</v>
      </c>
      <c r="E523" s="138"/>
      <c r="F523" s="138"/>
      <c r="H523" s="69" t="str">
        <f t="shared" si="16"/>
        <v>BTR-Regions</v>
      </c>
      <c r="I523" s="69" t="str">
        <f t="shared" si="17"/>
        <v>The Forge</v>
      </c>
      <c r="J523" s="292"/>
      <c r="L523" s="283"/>
      <c r="M523" s="283"/>
      <c r="N523" s="212"/>
      <c r="O523" s="213"/>
      <c r="P523" s="283"/>
      <c r="Q523" s="283"/>
      <c r="R523" s="283"/>
      <c r="S523" s="283"/>
      <c r="T523" s="284"/>
      <c r="U523" s="284"/>
      <c r="V523" s="283"/>
      <c r="W523" s="283"/>
      <c r="X523" s="283"/>
      <c r="Y523" s="283"/>
    </row>
    <row r="524" spans="3:25" ht="13.5" customHeight="1" x14ac:dyDescent="0.2">
      <c r="C524" s="82"/>
      <c r="D524" s="292" t="s">
        <v>74</v>
      </c>
      <c r="E524" s="138"/>
      <c r="F524" s="138"/>
      <c r="H524" s="69" t="str">
        <f t="shared" si="16"/>
        <v>BTR-Regions</v>
      </c>
      <c r="I524" s="69" t="str">
        <f t="shared" si="17"/>
        <v>The Forge</v>
      </c>
      <c r="J524" s="292"/>
      <c r="L524" s="283"/>
      <c r="M524" s="283"/>
      <c r="N524" s="212"/>
      <c r="O524" s="213"/>
      <c r="P524" s="283"/>
      <c r="Q524" s="283"/>
      <c r="R524" s="283"/>
      <c r="S524" s="283"/>
      <c r="T524" s="284"/>
      <c r="U524" s="284"/>
      <c r="V524" s="283"/>
      <c r="W524" s="283"/>
      <c r="X524" s="283"/>
      <c r="Y524" s="283"/>
    </row>
    <row r="525" spans="3:25" ht="13.5" customHeight="1" x14ac:dyDescent="0.2">
      <c r="C525" s="82"/>
      <c r="D525" s="292" t="s">
        <v>74</v>
      </c>
      <c r="E525" s="138"/>
      <c r="F525" s="138"/>
      <c r="H525" s="69" t="str">
        <f t="shared" si="16"/>
        <v>BTR-Regions</v>
      </c>
      <c r="I525" s="69" t="str">
        <f t="shared" si="17"/>
        <v>The Forge</v>
      </c>
      <c r="J525" s="292"/>
      <c r="L525" s="283"/>
      <c r="M525" s="283"/>
      <c r="N525" s="212"/>
      <c r="O525" s="213"/>
      <c r="P525" s="283"/>
      <c r="Q525" s="283"/>
      <c r="R525" s="283"/>
      <c r="S525" s="283"/>
      <c r="T525" s="284"/>
      <c r="U525" s="284"/>
      <c r="V525" s="283"/>
      <c r="W525" s="283"/>
      <c r="X525" s="283"/>
      <c r="Y525" s="283"/>
    </row>
    <row r="526" spans="3:25" ht="13.5" customHeight="1" x14ac:dyDescent="0.2">
      <c r="C526" s="82"/>
      <c r="D526" s="292" t="s">
        <v>74</v>
      </c>
      <c r="E526" s="138"/>
      <c r="F526" s="138"/>
      <c r="H526" s="69" t="str">
        <f t="shared" si="16"/>
        <v>BTR-Regions</v>
      </c>
      <c r="I526" s="69" t="str">
        <f t="shared" si="17"/>
        <v>The Forge</v>
      </c>
      <c r="J526" s="292"/>
      <c r="L526" s="283"/>
      <c r="M526" s="283"/>
      <c r="N526" s="212"/>
      <c r="O526" s="213"/>
      <c r="P526" s="283"/>
      <c r="Q526" s="283"/>
      <c r="R526" s="283"/>
      <c r="S526" s="283"/>
      <c r="T526" s="284"/>
      <c r="U526" s="284"/>
      <c r="V526" s="283"/>
      <c r="W526" s="283"/>
      <c r="X526" s="283"/>
      <c r="Y526" s="283"/>
    </row>
    <row r="527" spans="3:25" ht="13.5" customHeight="1" x14ac:dyDescent="0.2">
      <c r="C527" s="82"/>
      <c r="D527" s="292" t="s">
        <v>74</v>
      </c>
      <c r="E527" s="138"/>
      <c r="F527" s="138"/>
      <c r="H527" s="69" t="str">
        <f t="shared" si="16"/>
        <v>BTR-Regions</v>
      </c>
      <c r="I527" s="69" t="str">
        <f t="shared" si="17"/>
        <v>The Forge</v>
      </c>
      <c r="J527" s="292"/>
      <c r="L527" s="283"/>
      <c r="M527" s="283"/>
      <c r="N527" s="212"/>
      <c r="O527" s="213"/>
      <c r="P527" s="283"/>
      <c r="Q527" s="283"/>
      <c r="R527" s="283"/>
      <c r="S527" s="283"/>
      <c r="T527" s="284"/>
      <c r="U527" s="284"/>
      <c r="V527" s="283"/>
      <c r="W527" s="283"/>
      <c r="X527" s="283"/>
      <c r="Y527" s="283"/>
    </row>
    <row r="528" spans="3:25" ht="13.5" customHeight="1" x14ac:dyDescent="0.2">
      <c r="C528" s="82"/>
      <c r="D528" s="292" t="s">
        <v>74</v>
      </c>
      <c r="E528" s="138"/>
      <c r="F528" s="138"/>
      <c r="H528" s="69" t="str">
        <f t="shared" si="16"/>
        <v>BTR-Regions</v>
      </c>
      <c r="I528" s="69" t="str">
        <f t="shared" si="17"/>
        <v>The Forge</v>
      </c>
      <c r="J528" s="292"/>
      <c r="L528" s="283"/>
      <c r="M528" s="283"/>
      <c r="N528" s="212"/>
      <c r="O528" s="213"/>
      <c r="P528" s="283"/>
      <c r="Q528" s="283"/>
      <c r="R528" s="283"/>
      <c r="S528" s="283"/>
      <c r="T528" s="284"/>
      <c r="U528" s="284"/>
      <c r="V528" s="283"/>
      <c r="W528" s="283"/>
      <c r="X528" s="283"/>
      <c r="Y528" s="283"/>
    </row>
    <row r="529" spans="3:25" ht="13.5" customHeight="1" x14ac:dyDescent="0.2">
      <c r="C529" s="82"/>
      <c r="D529" s="292" t="s">
        <v>74</v>
      </c>
      <c r="E529" s="138"/>
      <c r="F529" s="138"/>
      <c r="H529" s="69" t="str">
        <f t="shared" si="16"/>
        <v>BTR-Regions</v>
      </c>
      <c r="I529" s="69" t="str">
        <f t="shared" si="17"/>
        <v>The Forge</v>
      </c>
      <c r="J529" s="292"/>
      <c r="L529" s="283"/>
      <c r="M529" s="283"/>
      <c r="N529" s="212"/>
      <c r="O529" s="213"/>
      <c r="P529" s="283"/>
      <c r="Q529" s="283"/>
      <c r="R529" s="283"/>
      <c r="S529" s="283"/>
      <c r="T529" s="284"/>
      <c r="U529" s="284"/>
      <c r="V529" s="283"/>
      <c r="W529" s="283"/>
      <c r="X529" s="283"/>
      <c r="Y529" s="283"/>
    </row>
    <row r="530" spans="3:25" ht="13.5" customHeight="1" x14ac:dyDescent="0.2">
      <c r="C530" s="82"/>
      <c r="D530" s="292" t="s">
        <v>74</v>
      </c>
      <c r="E530" s="138"/>
      <c r="F530" s="138"/>
      <c r="H530" s="69" t="str">
        <f t="shared" si="16"/>
        <v>BTR-Regions</v>
      </c>
      <c r="I530" s="69" t="str">
        <f t="shared" si="17"/>
        <v>The Forge</v>
      </c>
      <c r="J530" s="292"/>
      <c r="L530" s="283"/>
      <c r="M530" s="283"/>
      <c r="N530" s="212"/>
      <c r="O530" s="213"/>
      <c r="P530" s="283"/>
      <c r="Q530" s="283"/>
      <c r="R530" s="283"/>
      <c r="S530" s="283"/>
      <c r="T530" s="284"/>
      <c r="U530" s="284"/>
      <c r="V530" s="283"/>
      <c r="W530" s="283"/>
      <c r="X530" s="283"/>
      <c r="Y530" s="283"/>
    </row>
    <row r="531" spans="3:25" ht="13.5" customHeight="1" x14ac:dyDescent="0.2">
      <c r="C531" s="82"/>
      <c r="D531" s="292" t="s">
        <v>74</v>
      </c>
      <c r="E531" s="138"/>
      <c r="F531" s="138"/>
      <c r="H531" s="69" t="str">
        <f t="shared" si="16"/>
        <v>BTR-Regions</v>
      </c>
      <c r="I531" s="69" t="str">
        <f t="shared" si="17"/>
        <v>The Forge</v>
      </c>
      <c r="J531" s="292"/>
      <c r="L531" s="283"/>
      <c r="M531" s="283"/>
      <c r="N531" s="212"/>
      <c r="O531" s="213"/>
      <c r="P531" s="283"/>
      <c r="Q531" s="283"/>
      <c r="R531" s="283"/>
      <c r="S531" s="283"/>
      <c r="T531" s="284"/>
      <c r="U531" s="284"/>
      <c r="V531" s="283"/>
      <c r="W531" s="283"/>
      <c r="X531" s="283"/>
      <c r="Y531" s="283"/>
    </row>
    <row r="532" spans="3:25" ht="13.5" customHeight="1" x14ac:dyDescent="0.2">
      <c r="C532" s="82"/>
      <c r="D532" s="292" t="s">
        <v>74</v>
      </c>
      <c r="E532" s="138"/>
      <c r="F532" s="138"/>
      <c r="H532" s="69" t="str">
        <f t="shared" si="16"/>
        <v>BTR-Regions</v>
      </c>
      <c r="I532" s="69" t="str">
        <f t="shared" si="17"/>
        <v>The Forge</v>
      </c>
      <c r="J532" s="292"/>
      <c r="L532" s="283"/>
      <c r="M532" s="283"/>
      <c r="N532" s="212"/>
      <c r="O532" s="213"/>
      <c r="P532" s="283"/>
      <c r="Q532" s="283"/>
      <c r="R532" s="283"/>
      <c r="S532" s="283"/>
      <c r="T532" s="284"/>
      <c r="U532" s="284"/>
      <c r="V532" s="283"/>
      <c r="W532" s="283"/>
      <c r="X532" s="283"/>
      <c r="Y532" s="283"/>
    </row>
    <row r="533" spans="3:25" ht="13.5" customHeight="1" x14ac:dyDescent="0.2">
      <c r="C533" s="82"/>
      <c r="D533" s="292" t="s">
        <v>74</v>
      </c>
      <c r="E533" s="138"/>
      <c r="F533" s="138"/>
      <c r="H533" s="69" t="str">
        <f t="shared" si="16"/>
        <v>BTR-Regions</v>
      </c>
      <c r="I533" s="69" t="str">
        <f t="shared" si="17"/>
        <v>The Forge</v>
      </c>
      <c r="J533" s="292"/>
      <c r="L533" s="283"/>
      <c r="M533" s="283"/>
      <c r="N533" s="212"/>
      <c r="O533" s="213"/>
      <c r="P533" s="283"/>
      <c r="Q533" s="283"/>
      <c r="R533" s="283"/>
      <c r="S533" s="283"/>
      <c r="T533" s="284"/>
      <c r="U533" s="284"/>
      <c r="V533" s="283"/>
      <c r="W533" s="283"/>
      <c r="X533" s="283"/>
      <c r="Y533" s="283"/>
    </row>
    <row r="534" spans="3:25" ht="13.5" customHeight="1" x14ac:dyDescent="0.2">
      <c r="C534" s="82"/>
      <c r="D534" s="292" t="s">
        <v>74</v>
      </c>
      <c r="E534" s="138"/>
      <c r="F534" s="138"/>
      <c r="H534" s="69" t="str">
        <f t="shared" ref="H534:H597" si="18">$I$9</f>
        <v>BTR-Regions</v>
      </c>
      <c r="I534" s="69" t="str">
        <f t="shared" ref="I534:I597" si="19">$I$10</f>
        <v>The Forge</v>
      </c>
      <c r="J534" s="292"/>
      <c r="L534" s="283"/>
      <c r="M534" s="283"/>
      <c r="N534" s="212"/>
      <c r="O534" s="213"/>
      <c r="P534" s="283"/>
      <c r="Q534" s="283"/>
      <c r="R534" s="283"/>
      <c r="S534" s="283"/>
      <c r="T534" s="284"/>
      <c r="U534" s="284"/>
      <c r="V534" s="283"/>
      <c r="W534" s="283"/>
      <c r="X534" s="283"/>
      <c r="Y534" s="283"/>
    </row>
    <row r="535" spans="3:25" ht="13.5" customHeight="1" x14ac:dyDescent="0.2">
      <c r="C535" s="82"/>
      <c r="D535" s="292" t="s">
        <v>74</v>
      </c>
      <c r="E535" s="138"/>
      <c r="F535" s="138"/>
      <c r="H535" s="69" t="str">
        <f t="shared" si="18"/>
        <v>BTR-Regions</v>
      </c>
      <c r="I535" s="69" t="str">
        <f t="shared" si="19"/>
        <v>The Forge</v>
      </c>
      <c r="J535" s="292"/>
      <c r="L535" s="283"/>
      <c r="M535" s="283"/>
      <c r="N535" s="212"/>
      <c r="O535" s="213"/>
      <c r="P535" s="283"/>
      <c r="Q535" s="283"/>
      <c r="R535" s="283"/>
      <c r="S535" s="283"/>
      <c r="T535" s="284"/>
      <c r="U535" s="284"/>
      <c r="V535" s="283"/>
      <c r="W535" s="283"/>
      <c r="X535" s="283"/>
      <c r="Y535" s="283"/>
    </row>
    <row r="536" spans="3:25" ht="13.5" customHeight="1" x14ac:dyDescent="0.2">
      <c r="C536" s="82"/>
      <c r="D536" s="292" t="s">
        <v>74</v>
      </c>
      <c r="E536" s="138"/>
      <c r="F536" s="138"/>
      <c r="H536" s="69" t="str">
        <f t="shared" si="18"/>
        <v>BTR-Regions</v>
      </c>
      <c r="I536" s="69" t="str">
        <f t="shared" si="19"/>
        <v>The Forge</v>
      </c>
      <c r="J536" s="292"/>
      <c r="L536" s="283"/>
      <c r="M536" s="283"/>
      <c r="N536" s="212"/>
      <c r="O536" s="213"/>
      <c r="P536" s="283"/>
      <c r="Q536" s="283"/>
      <c r="R536" s="283"/>
      <c r="S536" s="283"/>
      <c r="T536" s="284"/>
      <c r="U536" s="284"/>
      <c r="V536" s="283"/>
      <c r="W536" s="283"/>
      <c r="X536" s="283"/>
      <c r="Y536" s="283"/>
    </row>
    <row r="537" spans="3:25" ht="13.5" customHeight="1" x14ac:dyDescent="0.2">
      <c r="C537" s="82"/>
      <c r="D537" s="292" t="s">
        <v>74</v>
      </c>
      <c r="E537" s="138"/>
      <c r="F537" s="138"/>
      <c r="H537" s="69" t="str">
        <f t="shared" si="18"/>
        <v>BTR-Regions</v>
      </c>
      <c r="I537" s="69" t="str">
        <f t="shared" si="19"/>
        <v>The Forge</v>
      </c>
      <c r="J537" s="292"/>
      <c r="L537" s="283"/>
      <c r="M537" s="283"/>
      <c r="N537" s="212"/>
      <c r="O537" s="213"/>
      <c r="P537" s="283"/>
      <c r="Q537" s="283"/>
      <c r="R537" s="283"/>
      <c r="S537" s="283"/>
      <c r="T537" s="284"/>
      <c r="U537" s="284"/>
      <c r="V537" s="283"/>
      <c r="W537" s="283"/>
      <c r="X537" s="283"/>
      <c r="Y537" s="283"/>
    </row>
    <row r="538" spans="3:25" ht="13.5" customHeight="1" x14ac:dyDescent="0.2">
      <c r="C538" s="82"/>
      <c r="D538" s="292" t="s">
        <v>74</v>
      </c>
      <c r="E538" s="138"/>
      <c r="F538" s="138"/>
      <c r="H538" s="69" t="str">
        <f t="shared" si="18"/>
        <v>BTR-Regions</v>
      </c>
      <c r="I538" s="69" t="str">
        <f t="shared" si="19"/>
        <v>The Forge</v>
      </c>
      <c r="J538" s="292"/>
      <c r="L538" s="283"/>
      <c r="M538" s="283"/>
      <c r="N538" s="212"/>
      <c r="O538" s="213"/>
      <c r="P538" s="283"/>
      <c r="Q538" s="283"/>
      <c r="R538" s="283"/>
      <c r="S538" s="283"/>
      <c r="T538" s="284"/>
      <c r="U538" s="284"/>
      <c r="V538" s="283"/>
      <c r="W538" s="283"/>
      <c r="X538" s="283"/>
      <c r="Y538" s="283"/>
    </row>
    <row r="539" spans="3:25" ht="13.5" customHeight="1" x14ac:dyDescent="0.2">
      <c r="C539" s="82"/>
      <c r="D539" s="292" t="s">
        <v>74</v>
      </c>
      <c r="E539" s="138"/>
      <c r="F539" s="138"/>
      <c r="H539" s="69" t="str">
        <f t="shared" si="18"/>
        <v>BTR-Regions</v>
      </c>
      <c r="I539" s="69" t="str">
        <f t="shared" si="19"/>
        <v>The Forge</v>
      </c>
      <c r="J539" s="292"/>
      <c r="L539" s="283"/>
      <c r="M539" s="283"/>
      <c r="N539" s="212"/>
      <c r="O539" s="213"/>
      <c r="P539" s="283"/>
      <c r="Q539" s="283"/>
      <c r="R539" s="283"/>
      <c r="S539" s="283"/>
      <c r="T539" s="284"/>
      <c r="U539" s="284"/>
      <c r="V539" s="283"/>
      <c r="W539" s="283"/>
      <c r="X539" s="283"/>
      <c r="Y539" s="283"/>
    </row>
    <row r="540" spans="3:25" ht="13.5" customHeight="1" x14ac:dyDescent="0.2">
      <c r="C540" s="82"/>
      <c r="D540" s="292" t="s">
        <v>74</v>
      </c>
      <c r="E540" s="138"/>
      <c r="F540" s="138"/>
      <c r="H540" s="69" t="str">
        <f t="shared" si="18"/>
        <v>BTR-Regions</v>
      </c>
      <c r="I540" s="69" t="str">
        <f t="shared" si="19"/>
        <v>The Forge</v>
      </c>
      <c r="J540" s="292"/>
      <c r="L540" s="283"/>
      <c r="M540" s="283"/>
      <c r="N540" s="212"/>
      <c r="O540" s="213"/>
      <c r="P540" s="283"/>
      <c r="Q540" s="283"/>
      <c r="R540" s="283"/>
      <c r="S540" s="283"/>
      <c r="T540" s="284"/>
      <c r="U540" s="284"/>
      <c r="V540" s="283"/>
      <c r="W540" s="283"/>
      <c r="X540" s="283"/>
      <c r="Y540" s="283"/>
    </row>
    <row r="541" spans="3:25" ht="13.5" customHeight="1" x14ac:dyDescent="0.2">
      <c r="C541" s="82"/>
      <c r="D541" s="292" t="s">
        <v>74</v>
      </c>
      <c r="E541" s="138"/>
      <c r="F541" s="138"/>
      <c r="H541" s="69" t="str">
        <f t="shared" si="18"/>
        <v>BTR-Regions</v>
      </c>
      <c r="I541" s="69" t="str">
        <f t="shared" si="19"/>
        <v>The Forge</v>
      </c>
      <c r="J541" s="292"/>
      <c r="L541" s="283"/>
      <c r="M541" s="283"/>
      <c r="N541" s="212"/>
      <c r="O541" s="213"/>
      <c r="P541" s="283"/>
      <c r="Q541" s="283"/>
      <c r="R541" s="283"/>
      <c r="S541" s="283"/>
      <c r="T541" s="284"/>
      <c r="U541" s="284"/>
      <c r="V541" s="283"/>
      <c r="W541" s="283"/>
      <c r="X541" s="283"/>
      <c r="Y541" s="283"/>
    </row>
    <row r="542" spans="3:25" ht="13.5" customHeight="1" x14ac:dyDescent="0.2">
      <c r="C542" s="82"/>
      <c r="D542" s="292" t="s">
        <v>74</v>
      </c>
      <c r="E542" s="138"/>
      <c r="F542" s="138"/>
      <c r="H542" s="69" t="str">
        <f t="shared" si="18"/>
        <v>BTR-Regions</v>
      </c>
      <c r="I542" s="69" t="str">
        <f t="shared" si="19"/>
        <v>The Forge</v>
      </c>
      <c r="J542" s="292"/>
      <c r="L542" s="283"/>
      <c r="M542" s="283"/>
      <c r="N542" s="212"/>
      <c r="O542" s="213"/>
      <c r="P542" s="283"/>
      <c r="Q542" s="283"/>
      <c r="R542" s="283"/>
      <c r="S542" s="283"/>
      <c r="T542" s="284"/>
      <c r="U542" s="284"/>
      <c r="V542" s="283"/>
      <c r="W542" s="283"/>
      <c r="X542" s="283"/>
      <c r="Y542" s="283"/>
    </row>
    <row r="543" spans="3:25" ht="13.5" customHeight="1" x14ac:dyDescent="0.2">
      <c r="C543" s="82"/>
      <c r="D543" s="292" t="s">
        <v>74</v>
      </c>
      <c r="E543" s="138"/>
      <c r="F543" s="138"/>
      <c r="H543" s="69" t="str">
        <f t="shared" si="18"/>
        <v>BTR-Regions</v>
      </c>
      <c r="I543" s="69" t="str">
        <f t="shared" si="19"/>
        <v>The Forge</v>
      </c>
      <c r="J543" s="292"/>
      <c r="L543" s="283"/>
      <c r="M543" s="283"/>
      <c r="N543" s="212"/>
      <c r="O543" s="213"/>
      <c r="P543" s="283"/>
      <c r="Q543" s="283"/>
      <c r="R543" s="283"/>
      <c r="S543" s="283"/>
      <c r="T543" s="284"/>
      <c r="U543" s="284"/>
      <c r="V543" s="283"/>
      <c r="W543" s="283"/>
      <c r="X543" s="283"/>
      <c r="Y543" s="283"/>
    </row>
    <row r="544" spans="3:25" ht="13.5" customHeight="1" x14ac:dyDescent="0.2">
      <c r="C544" s="82"/>
      <c r="D544" s="292" t="s">
        <v>74</v>
      </c>
      <c r="E544" s="138"/>
      <c r="F544" s="138"/>
      <c r="H544" s="69" t="str">
        <f t="shared" si="18"/>
        <v>BTR-Regions</v>
      </c>
      <c r="I544" s="69" t="str">
        <f t="shared" si="19"/>
        <v>The Forge</v>
      </c>
      <c r="J544" s="292"/>
      <c r="L544" s="283"/>
      <c r="M544" s="283"/>
      <c r="N544" s="212"/>
      <c r="O544" s="213"/>
      <c r="P544" s="283"/>
      <c r="Q544" s="283"/>
      <c r="R544" s="283"/>
      <c r="S544" s="283"/>
      <c r="T544" s="284"/>
      <c r="U544" s="284"/>
      <c r="V544" s="283"/>
      <c r="W544" s="283"/>
      <c r="X544" s="283"/>
      <c r="Y544" s="283"/>
    </row>
    <row r="545" spans="3:25" ht="13.5" customHeight="1" x14ac:dyDescent="0.2">
      <c r="C545" s="82"/>
      <c r="D545" s="292" t="s">
        <v>74</v>
      </c>
      <c r="E545" s="138"/>
      <c r="F545" s="138"/>
      <c r="H545" s="69" t="str">
        <f t="shared" si="18"/>
        <v>BTR-Regions</v>
      </c>
      <c r="I545" s="69" t="str">
        <f t="shared" si="19"/>
        <v>The Forge</v>
      </c>
      <c r="J545" s="292"/>
      <c r="L545" s="283"/>
      <c r="M545" s="283"/>
      <c r="N545" s="212"/>
      <c r="O545" s="213"/>
      <c r="P545" s="283"/>
      <c r="Q545" s="283"/>
      <c r="R545" s="283"/>
      <c r="S545" s="283"/>
      <c r="T545" s="284"/>
      <c r="U545" s="284"/>
      <c r="V545" s="283"/>
      <c r="W545" s="283"/>
      <c r="X545" s="283"/>
      <c r="Y545" s="283"/>
    </row>
    <row r="546" spans="3:25" ht="13.5" customHeight="1" x14ac:dyDescent="0.2">
      <c r="C546" s="82"/>
      <c r="D546" s="292" t="s">
        <v>74</v>
      </c>
      <c r="E546" s="138"/>
      <c r="F546" s="138"/>
      <c r="H546" s="69" t="str">
        <f t="shared" si="18"/>
        <v>BTR-Regions</v>
      </c>
      <c r="I546" s="69" t="str">
        <f t="shared" si="19"/>
        <v>The Forge</v>
      </c>
      <c r="J546" s="292"/>
      <c r="L546" s="283"/>
      <c r="M546" s="283"/>
      <c r="N546" s="212"/>
      <c r="O546" s="213"/>
      <c r="P546" s="283"/>
      <c r="Q546" s="283"/>
      <c r="R546" s="283"/>
      <c r="S546" s="283"/>
      <c r="T546" s="284"/>
      <c r="U546" s="284"/>
      <c r="V546" s="283"/>
      <c r="W546" s="283"/>
      <c r="X546" s="283"/>
      <c r="Y546" s="283"/>
    </row>
    <row r="547" spans="3:25" ht="13.5" customHeight="1" x14ac:dyDescent="0.2">
      <c r="C547" s="82"/>
      <c r="D547" s="292" t="s">
        <v>74</v>
      </c>
      <c r="E547" s="138"/>
      <c r="F547" s="138"/>
      <c r="H547" s="69" t="str">
        <f t="shared" si="18"/>
        <v>BTR-Regions</v>
      </c>
      <c r="I547" s="69" t="str">
        <f t="shared" si="19"/>
        <v>The Forge</v>
      </c>
      <c r="J547" s="292"/>
      <c r="L547" s="283"/>
      <c r="M547" s="283"/>
      <c r="N547" s="212"/>
      <c r="O547" s="213"/>
      <c r="P547" s="283"/>
      <c r="Q547" s="283"/>
      <c r="R547" s="283"/>
      <c r="S547" s="283"/>
      <c r="T547" s="284"/>
      <c r="U547" s="284"/>
      <c r="V547" s="283"/>
      <c r="W547" s="283"/>
      <c r="X547" s="283"/>
      <c r="Y547" s="283"/>
    </row>
    <row r="548" spans="3:25" ht="13.5" customHeight="1" x14ac:dyDescent="0.2">
      <c r="C548" s="82"/>
      <c r="D548" s="292" t="s">
        <v>74</v>
      </c>
      <c r="E548" s="138"/>
      <c r="F548" s="138"/>
      <c r="H548" s="69" t="str">
        <f t="shared" si="18"/>
        <v>BTR-Regions</v>
      </c>
      <c r="I548" s="69" t="str">
        <f t="shared" si="19"/>
        <v>The Forge</v>
      </c>
      <c r="J548" s="292"/>
      <c r="L548" s="283"/>
      <c r="M548" s="283"/>
      <c r="N548" s="212"/>
      <c r="O548" s="213"/>
      <c r="P548" s="283"/>
      <c r="Q548" s="283"/>
      <c r="R548" s="283"/>
      <c r="S548" s="283"/>
      <c r="T548" s="284"/>
      <c r="U548" s="284"/>
      <c r="V548" s="283"/>
      <c r="W548" s="283"/>
      <c r="X548" s="283"/>
      <c r="Y548" s="283"/>
    </row>
    <row r="549" spans="3:25" ht="13.5" customHeight="1" x14ac:dyDescent="0.2">
      <c r="C549" s="82"/>
      <c r="D549" s="292" t="s">
        <v>74</v>
      </c>
      <c r="E549" s="138"/>
      <c r="F549" s="138"/>
      <c r="H549" s="69" t="str">
        <f t="shared" si="18"/>
        <v>BTR-Regions</v>
      </c>
      <c r="I549" s="69" t="str">
        <f t="shared" si="19"/>
        <v>The Forge</v>
      </c>
      <c r="J549" s="292"/>
      <c r="L549" s="283"/>
      <c r="M549" s="283"/>
      <c r="N549" s="212"/>
      <c r="O549" s="213"/>
      <c r="P549" s="283"/>
      <c r="Q549" s="283"/>
      <c r="R549" s="283"/>
      <c r="S549" s="283"/>
      <c r="T549" s="284"/>
      <c r="U549" s="284"/>
      <c r="V549" s="283"/>
      <c r="W549" s="283"/>
      <c r="X549" s="283"/>
      <c r="Y549" s="283"/>
    </row>
    <row r="550" spans="3:25" ht="13.5" customHeight="1" x14ac:dyDescent="0.2">
      <c r="C550" s="82"/>
      <c r="D550" s="292" t="s">
        <v>74</v>
      </c>
      <c r="E550" s="138"/>
      <c r="F550" s="138"/>
      <c r="H550" s="69" t="str">
        <f t="shared" si="18"/>
        <v>BTR-Regions</v>
      </c>
      <c r="I550" s="69" t="str">
        <f t="shared" si="19"/>
        <v>The Forge</v>
      </c>
      <c r="J550" s="292"/>
      <c r="L550" s="283"/>
      <c r="M550" s="283"/>
      <c r="N550" s="212"/>
      <c r="O550" s="213"/>
      <c r="P550" s="283"/>
      <c r="Q550" s="283"/>
      <c r="R550" s="283"/>
      <c r="S550" s="283"/>
      <c r="T550" s="284"/>
      <c r="U550" s="284"/>
      <c r="V550" s="283"/>
      <c r="W550" s="283"/>
      <c r="X550" s="283"/>
      <c r="Y550" s="283"/>
    </row>
    <row r="551" spans="3:25" ht="13.5" customHeight="1" x14ac:dyDescent="0.2">
      <c r="C551" s="82"/>
      <c r="D551" s="292" t="s">
        <v>74</v>
      </c>
      <c r="E551" s="138"/>
      <c r="F551" s="138"/>
      <c r="H551" s="69" t="str">
        <f t="shared" si="18"/>
        <v>BTR-Regions</v>
      </c>
      <c r="I551" s="69" t="str">
        <f t="shared" si="19"/>
        <v>The Forge</v>
      </c>
      <c r="J551" s="292"/>
      <c r="L551" s="283"/>
      <c r="M551" s="283"/>
      <c r="N551" s="212"/>
      <c r="O551" s="213"/>
      <c r="P551" s="283"/>
      <c r="Q551" s="283"/>
      <c r="R551" s="283"/>
      <c r="S551" s="283"/>
      <c r="T551" s="284"/>
      <c r="U551" s="284"/>
      <c r="V551" s="283"/>
      <c r="W551" s="283"/>
      <c r="X551" s="283"/>
      <c r="Y551" s="283"/>
    </row>
    <row r="552" spans="3:25" ht="13.5" customHeight="1" x14ac:dyDescent="0.2">
      <c r="C552" s="82"/>
      <c r="D552" s="292" t="s">
        <v>74</v>
      </c>
      <c r="E552" s="138"/>
      <c r="F552" s="138"/>
      <c r="H552" s="69" t="str">
        <f t="shared" si="18"/>
        <v>BTR-Regions</v>
      </c>
      <c r="I552" s="69" t="str">
        <f t="shared" si="19"/>
        <v>The Forge</v>
      </c>
      <c r="J552" s="292"/>
      <c r="L552" s="283"/>
      <c r="M552" s="283"/>
      <c r="N552" s="212"/>
      <c r="O552" s="213"/>
      <c r="P552" s="283"/>
      <c r="Q552" s="283"/>
      <c r="R552" s="283"/>
      <c r="S552" s="283"/>
      <c r="T552" s="284"/>
      <c r="U552" s="284"/>
      <c r="V552" s="283"/>
      <c r="W552" s="283"/>
      <c r="X552" s="283"/>
      <c r="Y552" s="283"/>
    </row>
    <row r="553" spans="3:25" ht="13.5" customHeight="1" x14ac:dyDescent="0.2">
      <c r="C553" s="82"/>
      <c r="D553" s="292" t="s">
        <v>74</v>
      </c>
      <c r="E553" s="138"/>
      <c r="F553" s="138"/>
      <c r="H553" s="69" t="str">
        <f t="shared" si="18"/>
        <v>BTR-Regions</v>
      </c>
      <c r="I553" s="69" t="str">
        <f t="shared" si="19"/>
        <v>The Forge</v>
      </c>
      <c r="J553" s="292"/>
      <c r="L553" s="283"/>
      <c r="M553" s="283"/>
      <c r="N553" s="212"/>
      <c r="O553" s="213"/>
      <c r="P553" s="283"/>
      <c r="Q553" s="283"/>
      <c r="R553" s="283"/>
      <c r="S553" s="283"/>
      <c r="T553" s="284"/>
      <c r="U553" s="284"/>
      <c r="V553" s="283"/>
      <c r="W553" s="283"/>
      <c r="X553" s="283"/>
      <c r="Y553" s="283"/>
    </row>
    <row r="554" spans="3:25" ht="13.5" customHeight="1" x14ac:dyDescent="0.2">
      <c r="C554" s="82"/>
      <c r="D554" s="292" t="s">
        <v>74</v>
      </c>
      <c r="E554" s="138"/>
      <c r="F554" s="138"/>
      <c r="H554" s="69" t="str">
        <f t="shared" si="18"/>
        <v>BTR-Regions</v>
      </c>
      <c r="I554" s="69" t="str">
        <f t="shared" si="19"/>
        <v>The Forge</v>
      </c>
      <c r="J554" s="292"/>
      <c r="L554" s="283"/>
      <c r="M554" s="283"/>
      <c r="N554" s="212"/>
      <c r="O554" s="213"/>
      <c r="P554" s="283"/>
      <c r="Q554" s="283"/>
      <c r="R554" s="283"/>
      <c r="S554" s="283"/>
      <c r="T554" s="284"/>
      <c r="U554" s="284"/>
      <c r="V554" s="283"/>
      <c r="W554" s="283"/>
      <c r="X554" s="283"/>
      <c r="Y554" s="283"/>
    </row>
    <row r="555" spans="3:25" ht="13.5" customHeight="1" x14ac:dyDescent="0.2">
      <c r="C555" s="82"/>
      <c r="D555" s="292" t="s">
        <v>74</v>
      </c>
      <c r="E555" s="138"/>
      <c r="F555" s="138"/>
      <c r="H555" s="69" t="str">
        <f t="shared" si="18"/>
        <v>BTR-Regions</v>
      </c>
      <c r="I555" s="69" t="str">
        <f t="shared" si="19"/>
        <v>The Forge</v>
      </c>
      <c r="J555" s="292"/>
      <c r="L555" s="283"/>
      <c r="M555" s="283"/>
      <c r="N555" s="212"/>
      <c r="O555" s="213"/>
      <c r="P555" s="283"/>
      <c r="Q555" s="283"/>
      <c r="R555" s="283"/>
      <c r="S555" s="283"/>
      <c r="T555" s="284"/>
      <c r="U555" s="284"/>
      <c r="V555" s="283"/>
      <c r="W555" s="283"/>
      <c r="X555" s="283"/>
      <c r="Y555" s="283"/>
    </row>
    <row r="556" spans="3:25" ht="13.5" customHeight="1" x14ac:dyDescent="0.2">
      <c r="C556" s="82"/>
      <c r="D556" s="292" t="s">
        <v>74</v>
      </c>
      <c r="E556" s="138"/>
      <c r="F556" s="138"/>
      <c r="H556" s="69" t="str">
        <f t="shared" si="18"/>
        <v>BTR-Regions</v>
      </c>
      <c r="I556" s="69" t="str">
        <f t="shared" si="19"/>
        <v>The Forge</v>
      </c>
      <c r="J556" s="292"/>
      <c r="L556" s="283"/>
      <c r="M556" s="283"/>
      <c r="N556" s="212"/>
      <c r="O556" s="213"/>
      <c r="P556" s="283"/>
      <c r="Q556" s="283"/>
      <c r="R556" s="283"/>
      <c r="S556" s="283"/>
      <c r="T556" s="284"/>
      <c r="U556" s="284"/>
      <c r="V556" s="283"/>
      <c r="W556" s="283"/>
      <c r="X556" s="283"/>
      <c r="Y556" s="283"/>
    </row>
    <row r="557" spans="3:25" ht="13.5" customHeight="1" x14ac:dyDescent="0.2">
      <c r="C557" s="82"/>
      <c r="D557" s="292" t="s">
        <v>74</v>
      </c>
      <c r="E557" s="138"/>
      <c r="F557" s="138"/>
      <c r="H557" s="69" t="str">
        <f t="shared" si="18"/>
        <v>BTR-Regions</v>
      </c>
      <c r="I557" s="69" t="str">
        <f t="shared" si="19"/>
        <v>The Forge</v>
      </c>
      <c r="J557" s="292"/>
      <c r="L557" s="283"/>
      <c r="M557" s="283"/>
      <c r="N557" s="212"/>
      <c r="O557" s="213"/>
      <c r="P557" s="283"/>
      <c r="Q557" s="283"/>
      <c r="R557" s="283"/>
      <c r="S557" s="283"/>
      <c r="T557" s="284"/>
      <c r="U557" s="284"/>
      <c r="V557" s="283"/>
      <c r="W557" s="283"/>
      <c r="X557" s="283"/>
      <c r="Y557" s="283"/>
    </row>
    <row r="558" spans="3:25" ht="13.5" customHeight="1" x14ac:dyDescent="0.2">
      <c r="C558" s="82"/>
      <c r="D558" s="292" t="s">
        <v>74</v>
      </c>
      <c r="E558" s="138"/>
      <c r="F558" s="138"/>
      <c r="H558" s="69" t="str">
        <f t="shared" si="18"/>
        <v>BTR-Regions</v>
      </c>
      <c r="I558" s="69" t="str">
        <f t="shared" si="19"/>
        <v>The Forge</v>
      </c>
      <c r="J558" s="292"/>
      <c r="L558" s="283"/>
      <c r="M558" s="283"/>
      <c r="N558" s="212"/>
      <c r="O558" s="213"/>
      <c r="P558" s="283"/>
      <c r="Q558" s="283"/>
      <c r="R558" s="283"/>
      <c r="S558" s="283"/>
      <c r="T558" s="284"/>
      <c r="U558" s="284"/>
      <c r="V558" s="283"/>
      <c r="W558" s="283"/>
      <c r="X558" s="283"/>
      <c r="Y558" s="283"/>
    </row>
    <row r="559" spans="3:25" ht="13.5" customHeight="1" x14ac:dyDescent="0.2">
      <c r="C559" s="82"/>
      <c r="D559" s="292" t="s">
        <v>74</v>
      </c>
      <c r="E559" s="138"/>
      <c r="F559" s="138"/>
      <c r="H559" s="69" t="str">
        <f t="shared" si="18"/>
        <v>BTR-Regions</v>
      </c>
      <c r="I559" s="69" t="str">
        <f t="shared" si="19"/>
        <v>The Forge</v>
      </c>
      <c r="J559" s="292"/>
      <c r="L559" s="283"/>
      <c r="M559" s="283"/>
      <c r="N559" s="212"/>
      <c r="O559" s="213"/>
      <c r="P559" s="283"/>
      <c r="Q559" s="283"/>
      <c r="R559" s="283"/>
      <c r="S559" s="283"/>
      <c r="T559" s="284"/>
      <c r="U559" s="284"/>
      <c r="V559" s="283"/>
      <c r="W559" s="283"/>
      <c r="X559" s="283"/>
      <c r="Y559" s="283"/>
    </row>
    <row r="560" spans="3:25" ht="13.5" customHeight="1" x14ac:dyDescent="0.2">
      <c r="C560" s="82"/>
      <c r="D560" s="292" t="s">
        <v>74</v>
      </c>
      <c r="E560" s="138"/>
      <c r="F560" s="138"/>
      <c r="H560" s="69" t="str">
        <f t="shared" si="18"/>
        <v>BTR-Regions</v>
      </c>
      <c r="I560" s="69" t="str">
        <f t="shared" si="19"/>
        <v>The Forge</v>
      </c>
      <c r="J560" s="292"/>
      <c r="L560" s="283"/>
      <c r="M560" s="283"/>
      <c r="N560" s="212"/>
      <c r="O560" s="213"/>
      <c r="P560" s="283"/>
      <c r="Q560" s="283"/>
      <c r="R560" s="283"/>
      <c r="S560" s="283"/>
      <c r="T560" s="284"/>
      <c r="U560" s="284"/>
      <c r="V560" s="283"/>
      <c r="W560" s="283"/>
      <c r="X560" s="283"/>
      <c r="Y560" s="283"/>
    </row>
    <row r="561" spans="3:25" ht="13.5" customHeight="1" x14ac:dyDescent="0.2">
      <c r="C561" s="82"/>
      <c r="D561" s="292" t="s">
        <v>74</v>
      </c>
      <c r="E561" s="138"/>
      <c r="F561" s="138"/>
      <c r="H561" s="69" t="str">
        <f t="shared" si="18"/>
        <v>BTR-Regions</v>
      </c>
      <c r="I561" s="69" t="str">
        <f t="shared" si="19"/>
        <v>The Forge</v>
      </c>
      <c r="J561" s="292"/>
      <c r="L561" s="283"/>
      <c r="M561" s="283"/>
      <c r="N561" s="212"/>
      <c r="O561" s="213"/>
      <c r="P561" s="283"/>
      <c r="Q561" s="283"/>
      <c r="R561" s="283"/>
      <c r="S561" s="283"/>
      <c r="T561" s="284"/>
      <c r="U561" s="284"/>
      <c r="V561" s="283"/>
      <c r="W561" s="283"/>
      <c r="X561" s="283"/>
      <c r="Y561" s="283"/>
    </row>
    <row r="562" spans="3:25" ht="13.5" customHeight="1" x14ac:dyDescent="0.2">
      <c r="C562" s="82"/>
      <c r="D562" s="292" t="s">
        <v>74</v>
      </c>
      <c r="E562" s="138"/>
      <c r="F562" s="138"/>
      <c r="H562" s="69" t="str">
        <f t="shared" si="18"/>
        <v>BTR-Regions</v>
      </c>
      <c r="I562" s="69" t="str">
        <f t="shared" si="19"/>
        <v>The Forge</v>
      </c>
      <c r="J562" s="292"/>
      <c r="L562" s="283"/>
      <c r="M562" s="283"/>
      <c r="N562" s="212"/>
      <c r="O562" s="213"/>
      <c r="P562" s="283"/>
      <c r="Q562" s="283"/>
      <c r="R562" s="283"/>
      <c r="S562" s="283"/>
      <c r="T562" s="284"/>
      <c r="U562" s="284"/>
      <c r="V562" s="283"/>
      <c r="W562" s="283"/>
      <c r="X562" s="283"/>
      <c r="Y562" s="283"/>
    </row>
    <row r="563" spans="3:25" ht="13.5" customHeight="1" x14ac:dyDescent="0.2">
      <c r="C563" s="82"/>
      <c r="D563" s="292" t="s">
        <v>74</v>
      </c>
      <c r="E563" s="138"/>
      <c r="F563" s="138"/>
      <c r="H563" s="69" t="str">
        <f t="shared" si="18"/>
        <v>BTR-Regions</v>
      </c>
      <c r="I563" s="69" t="str">
        <f t="shared" si="19"/>
        <v>The Forge</v>
      </c>
      <c r="J563" s="292"/>
      <c r="L563" s="283"/>
      <c r="M563" s="283"/>
      <c r="N563" s="212"/>
      <c r="O563" s="213"/>
      <c r="P563" s="283"/>
      <c r="Q563" s="283"/>
      <c r="R563" s="283"/>
      <c r="S563" s="283"/>
      <c r="T563" s="284"/>
      <c r="U563" s="284"/>
      <c r="V563" s="283"/>
      <c r="W563" s="283"/>
      <c r="X563" s="283"/>
      <c r="Y563" s="283"/>
    </row>
    <row r="564" spans="3:25" ht="13.5" customHeight="1" x14ac:dyDescent="0.2">
      <c r="C564" s="82"/>
      <c r="D564" s="292" t="s">
        <v>74</v>
      </c>
      <c r="E564" s="138"/>
      <c r="F564" s="138"/>
      <c r="H564" s="69" t="str">
        <f t="shared" si="18"/>
        <v>BTR-Regions</v>
      </c>
      <c r="I564" s="69" t="str">
        <f t="shared" si="19"/>
        <v>The Forge</v>
      </c>
      <c r="J564" s="292"/>
      <c r="L564" s="283"/>
      <c r="M564" s="283"/>
      <c r="N564" s="212"/>
      <c r="O564" s="213"/>
      <c r="P564" s="283"/>
      <c r="Q564" s="283"/>
      <c r="R564" s="283"/>
      <c r="S564" s="283"/>
      <c r="T564" s="284"/>
      <c r="U564" s="284"/>
      <c r="V564" s="283"/>
      <c r="W564" s="283"/>
      <c r="X564" s="283"/>
      <c r="Y564" s="283"/>
    </row>
    <row r="565" spans="3:25" ht="13.5" customHeight="1" x14ac:dyDescent="0.2">
      <c r="C565" s="82"/>
      <c r="D565" s="292" t="s">
        <v>74</v>
      </c>
      <c r="E565" s="138"/>
      <c r="F565" s="138"/>
      <c r="H565" s="69" t="str">
        <f t="shared" si="18"/>
        <v>BTR-Regions</v>
      </c>
      <c r="I565" s="69" t="str">
        <f t="shared" si="19"/>
        <v>The Forge</v>
      </c>
      <c r="J565" s="292"/>
      <c r="L565" s="283"/>
      <c r="M565" s="283"/>
      <c r="N565" s="212"/>
      <c r="O565" s="213"/>
      <c r="P565" s="283"/>
      <c r="Q565" s="283"/>
      <c r="R565" s="283"/>
      <c r="S565" s="283"/>
      <c r="T565" s="284"/>
      <c r="U565" s="284"/>
      <c r="V565" s="283"/>
      <c r="W565" s="283"/>
      <c r="X565" s="283"/>
      <c r="Y565" s="283"/>
    </row>
    <row r="566" spans="3:25" ht="13.5" customHeight="1" x14ac:dyDescent="0.2">
      <c r="C566" s="82"/>
      <c r="D566" s="292" t="s">
        <v>74</v>
      </c>
      <c r="E566" s="138"/>
      <c r="F566" s="138"/>
      <c r="H566" s="69" t="str">
        <f t="shared" si="18"/>
        <v>BTR-Regions</v>
      </c>
      <c r="I566" s="69" t="str">
        <f t="shared" si="19"/>
        <v>The Forge</v>
      </c>
      <c r="J566" s="292"/>
      <c r="L566" s="283"/>
      <c r="M566" s="283"/>
      <c r="N566" s="212"/>
      <c r="O566" s="213"/>
      <c r="P566" s="283"/>
      <c r="Q566" s="283"/>
      <c r="R566" s="283"/>
      <c r="S566" s="283"/>
      <c r="T566" s="284"/>
      <c r="U566" s="284"/>
      <c r="V566" s="283"/>
      <c r="W566" s="283"/>
      <c r="X566" s="283"/>
      <c r="Y566" s="283"/>
    </row>
    <row r="567" spans="3:25" ht="13.5" customHeight="1" x14ac:dyDescent="0.2">
      <c r="C567" s="82"/>
      <c r="D567" s="292" t="s">
        <v>74</v>
      </c>
      <c r="E567" s="138"/>
      <c r="F567" s="138"/>
      <c r="H567" s="69" t="str">
        <f t="shared" si="18"/>
        <v>BTR-Regions</v>
      </c>
      <c r="I567" s="69" t="str">
        <f t="shared" si="19"/>
        <v>The Forge</v>
      </c>
      <c r="J567" s="292"/>
      <c r="L567" s="283"/>
      <c r="M567" s="283"/>
      <c r="N567" s="212"/>
      <c r="O567" s="213"/>
      <c r="P567" s="283"/>
      <c r="Q567" s="283"/>
      <c r="R567" s="283"/>
      <c r="S567" s="283"/>
      <c r="T567" s="284"/>
      <c r="U567" s="284"/>
      <c r="V567" s="283"/>
      <c r="W567" s="283"/>
      <c r="X567" s="283"/>
      <c r="Y567" s="283"/>
    </row>
    <row r="568" spans="3:25" ht="13.5" customHeight="1" x14ac:dyDescent="0.2">
      <c r="C568" s="82"/>
      <c r="D568" s="292" t="s">
        <v>74</v>
      </c>
      <c r="E568" s="138"/>
      <c r="F568" s="138"/>
      <c r="H568" s="69" t="str">
        <f t="shared" si="18"/>
        <v>BTR-Regions</v>
      </c>
      <c r="I568" s="69" t="str">
        <f t="shared" si="19"/>
        <v>The Forge</v>
      </c>
      <c r="J568" s="292"/>
      <c r="L568" s="283"/>
      <c r="M568" s="283"/>
      <c r="N568" s="212"/>
      <c r="O568" s="213"/>
      <c r="P568" s="283"/>
      <c r="Q568" s="283"/>
      <c r="R568" s="283"/>
      <c r="S568" s="283"/>
      <c r="T568" s="284"/>
      <c r="U568" s="284"/>
      <c r="V568" s="283"/>
      <c r="W568" s="283"/>
      <c r="X568" s="283"/>
      <c r="Y568" s="283"/>
    </row>
    <row r="569" spans="3:25" ht="13.5" customHeight="1" x14ac:dyDescent="0.2">
      <c r="C569" s="82"/>
      <c r="D569" s="292" t="s">
        <v>74</v>
      </c>
      <c r="E569" s="138"/>
      <c r="F569" s="138"/>
      <c r="H569" s="69" t="str">
        <f t="shared" si="18"/>
        <v>BTR-Regions</v>
      </c>
      <c r="I569" s="69" t="str">
        <f t="shared" si="19"/>
        <v>The Forge</v>
      </c>
      <c r="J569" s="292"/>
      <c r="L569" s="283"/>
      <c r="M569" s="283"/>
      <c r="N569" s="212"/>
      <c r="O569" s="213"/>
      <c r="P569" s="283"/>
      <c r="Q569" s="283"/>
      <c r="R569" s="283"/>
      <c r="S569" s="283"/>
      <c r="T569" s="284"/>
      <c r="U569" s="284"/>
      <c r="V569" s="283"/>
      <c r="W569" s="283"/>
      <c r="X569" s="283"/>
      <c r="Y569" s="283"/>
    </row>
    <row r="570" spans="3:25" ht="13.5" customHeight="1" x14ac:dyDescent="0.2">
      <c r="C570" s="82"/>
      <c r="D570" s="292" t="s">
        <v>74</v>
      </c>
      <c r="E570" s="138"/>
      <c r="F570" s="138"/>
      <c r="H570" s="69" t="str">
        <f t="shared" si="18"/>
        <v>BTR-Regions</v>
      </c>
      <c r="I570" s="69" t="str">
        <f t="shared" si="19"/>
        <v>The Forge</v>
      </c>
      <c r="J570" s="292"/>
      <c r="L570" s="283"/>
      <c r="M570" s="283"/>
      <c r="N570" s="212"/>
      <c r="O570" s="213"/>
      <c r="P570" s="283"/>
      <c r="Q570" s="283"/>
      <c r="R570" s="283"/>
      <c r="S570" s="283"/>
      <c r="T570" s="284"/>
      <c r="U570" s="284"/>
      <c r="V570" s="283"/>
      <c r="W570" s="283"/>
      <c r="X570" s="283"/>
      <c r="Y570" s="283"/>
    </row>
    <row r="571" spans="3:25" ht="13.5" customHeight="1" x14ac:dyDescent="0.2">
      <c r="C571" s="82"/>
      <c r="D571" s="292" t="s">
        <v>74</v>
      </c>
      <c r="E571" s="138"/>
      <c r="F571" s="138"/>
      <c r="H571" s="69" t="str">
        <f t="shared" si="18"/>
        <v>BTR-Regions</v>
      </c>
      <c r="I571" s="69" t="str">
        <f t="shared" si="19"/>
        <v>The Forge</v>
      </c>
      <c r="J571" s="292"/>
      <c r="L571" s="283"/>
      <c r="M571" s="283"/>
      <c r="N571" s="212"/>
      <c r="O571" s="213"/>
      <c r="P571" s="283"/>
      <c r="Q571" s="283"/>
      <c r="R571" s="283"/>
      <c r="S571" s="283"/>
      <c r="T571" s="284"/>
      <c r="U571" s="284"/>
      <c r="V571" s="283"/>
      <c r="W571" s="283"/>
      <c r="X571" s="283"/>
      <c r="Y571" s="283"/>
    </row>
    <row r="572" spans="3:25" ht="13.5" customHeight="1" x14ac:dyDescent="0.2">
      <c r="C572" s="82"/>
      <c r="D572" s="292" t="s">
        <v>74</v>
      </c>
      <c r="E572" s="138"/>
      <c r="F572" s="138"/>
      <c r="H572" s="69" t="str">
        <f t="shared" si="18"/>
        <v>BTR-Regions</v>
      </c>
      <c r="I572" s="69" t="str">
        <f t="shared" si="19"/>
        <v>The Forge</v>
      </c>
      <c r="J572" s="292"/>
      <c r="L572" s="283"/>
      <c r="M572" s="283"/>
      <c r="N572" s="212"/>
      <c r="O572" s="213"/>
      <c r="P572" s="283"/>
      <c r="Q572" s="283"/>
      <c r="R572" s="283"/>
      <c r="S572" s="283"/>
      <c r="T572" s="284"/>
      <c r="U572" s="284"/>
      <c r="V572" s="283"/>
      <c r="W572" s="283"/>
      <c r="X572" s="283"/>
      <c r="Y572" s="283"/>
    </row>
    <row r="573" spans="3:25" ht="13.5" customHeight="1" x14ac:dyDescent="0.2">
      <c r="C573" s="82"/>
      <c r="D573" s="292" t="s">
        <v>74</v>
      </c>
      <c r="E573" s="138"/>
      <c r="F573" s="138"/>
      <c r="H573" s="69" t="str">
        <f t="shared" si="18"/>
        <v>BTR-Regions</v>
      </c>
      <c r="I573" s="69" t="str">
        <f t="shared" si="19"/>
        <v>The Forge</v>
      </c>
      <c r="J573" s="292"/>
      <c r="L573" s="283"/>
      <c r="M573" s="283"/>
      <c r="N573" s="212"/>
      <c r="O573" s="213"/>
      <c r="P573" s="283"/>
      <c r="Q573" s="283"/>
      <c r="R573" s="283"/>
      <c r="S573" s="283"/>
      <c r="T573" s="284"/>
      <c r="U573" s="284"/>
      <c r="V573" s="283"/>
      <c r="W573" s="283"/>
      <c r="X573" s="283"/>
      <c r="Y573" s="283"/>
    </row>
    <row r="574" spans="3:25" ht="13.5" customHeight="1" x14ac:dyDescent="0.2">
      <c r="C574" s="82"/>
      <c r="D574" s="292" t="s">
        <v>74</v>
      </c>
      <c r="E574" s="138"/>
      <c r="F574" s="138"/>
      <c r="H574" s="69" t="str">
        <f t="shared" si="18"/>
        <v>BTR-Regions</v>
      </c>
      <c r="I574" s="69" t="str">
        <f t="shared" si="19"/>
        <v>The Forge</v>
      </c>
      <c r="J574" s="292"/>
      <c r="L574" s="283"/>
      <c r="M574" s="283"/>
      <c r="N574" s="212"/>
      <c r="O574" s="213"/>
      <c r="P574" s="283"/>
      <c r="Q574" s="283"/>
      <c r="R574" s="283"/>
      <c r="S574" s="283"/>
      <c r="T574" s="284"/>
      <c r="U574" s="284"/>
      <c r="V574" s="283"/>
      <c r="W574" s="283"/>
      <c r="X574" s="283"/>
      <c r="Y574" s="283"/>
    </row>
    <row r="575" spans="3:25" ht="13.5" customHeight="1" x14ac:dyDescent="0.2">
      <c r="C575" s="82"/>
      <c r="D575" s="292" t="s">
        <v>74</v>
      </c>
      <c r="E575" s="138"/>
      <c r="F575" s="138"/>
      <c r="H575" s="69" t="str">
        <f t="shared" si="18"/>
        <v>BTR-Regions</v>
      </c>
      <c r="I575" s="69" t="str">
        <f t="shared" si="19"/>
        <v>The Forge</v>
      </c>
      <c r="J575" s="292"/>
      <c r="L575" s="283"/>
      <c r="M575" s="283"/>
      <c r="N575" s="212"/>
      <c r="O575" s="213"/>
      <c r="P575" s="283"/>
      <c r="Q575" s="283"/>
      <c r="R575" s="283"/>
      <c r="S575" s="283"/>
      <c r="T575" s="284"/>
      <c r="U575" s="284"/>
      <c r="V575" s="283"/>
      <c r="W575" s="283"/>
      <c r="X575" s="283"/>
      <c r="Y575" s="283"/>
    </row>
    <row r="576" spans="3:25" ht="13.5" customHeight="1" x14ac:dyDescent="0.2">
      <c r="C576" s="82"/>
      <c r="D576" s="292" t="s">
        <v>74</v>
      </c>
      <c r="E576" s="138"/>
      <c r="F576" s="138"/>
      <c r="H576" s="69" t="str">
        <f t="shared" si="18"/>
        <v>BTR-Regions</v>
      </c>
      <c r="I576" s="69" t="str">
        <f t="shared" si="19"/>
        <v>The Forge</v>
      </c>
      <c r="J576" s="292"/>
      <c r="L576" s="283"/>
      <c r="M576" s="283"/>
      <c r="N576" s="212"/>
      <c r="O576" s="213"/>
      <c r="P576" s="283"/>
      <c r="Q576" s="283"/>
      <c r="R576" s="283"/>
      <c r="S576" s="283"/>
      <c r="T576" s="284"/>
      <c r="U576" s="284"/>
      <c r="V576" s="283"/>
      <c r="W576" s="283"/>
      <c r="X576" s="283"/>
      <c r="Y576" s="283"/>
    </row>
    <row r="577" spans="3:25" ht="13.5" customHeight="1" x14ac:dyDescent="0.2">
      <c r="C577" s="82"/>
      <c r="D577" s="292" t="s">
        <v>74</v>
      </c>
      <c r="E577" s="138"/>
      <c r="F577" s="138"/>
      <c r="H577" s="69" t="str">
        <f t="shared" si="18"/>
        <v>BTR-Regions</v>
      </c>
      <c r="I577" s="69" t="str">
        <f t="shared" si="19"/>
        <v>The Forge</v>
      </c>
      <c r="J577" s="292"/>
      <c r="L577" s="283"/>
      <c r="M577" s="283"/>
      <c r="N577" s="212"/>
      <c r="O577" s="213"/>
      <c r="P577" s="283"/>
      <c r="Q577" s="283"/>
      <c r="R577" s="283"/>
      <c r="S577" s="283"/>
      <c r="T577" s="284"/>
      <c r="U577" s="284"/>
      <c r="V577" s="283"/>
      <c r="W577" s="283"/>
      <c r="X577" s="283"/>
      <c r="Y577" s="283"/>
    </row>
    <row r="578" spans="3:25" ht="13.5" customHeight="1" x14ac:dyDescent="0.2">
      <c r="C578" s="82"/>
      <c r="D578" s="292" t="s">
        <v>74</v>
      </c>
      <c r="E578" s="138"/>
      <c r="F578" s="138"/>
      <c r="H578" s="69" t="str">
        <f t="shared" si="18"/>
        <v>BTR-Regions</v>
      </c>
      <c r="I578" s="69" t="str">
        <f t="shared" si="19"/>
        <v>The Forge</v>
      </c>
      <c r="J578" s="292"/>
      <c r="L578" s="283"/>
      <c r="M578" s="283"/>
      <c r="N578" s="212"/>
      <c r="O578" s="213"/>
      <c r="P578" s="283"/>
      <c r="Q578" s="283"/>
      <c r="R578" s="283"/>
      <c r="S578" s="283"/>
      <c r="T578" s="284"/>
      <c r="U578" s="284"/>
      <c r="V578" s="283"/>
      <c r="W578" s="283"/>
      <c r="X578" s="283"/>
      <c r="Y578" s="283"/>
    </row>
    <row r="579" spans="3:25" ht="13.5" customHeight="1" x14ac:dyDescent="0.2">
      <c r="C579" s="82"/>
      <c r="D579" s="292" t="s">
        <v>74</v>
      </c>
      <c r="E579" s="138"/>
      <c r="F579" s="138"/>
      <c r="H579" s="69" t="str">
        <f t="shared" si="18"/>
        <v>BTR-Regions</v>
      </c>
      <c r="I579" s="69" t="str">
        <f t="shared" si="19"/>
        <v>The Forge</v>
      </c>
      <c r="J579" s="292"/>
      <c r="L579" s="283"/>
      <c r="M579" s="283"/>
      <c r="N579" s="212"/>
      <c r="O579" s="213"/>
      <c r="P579" s="283"/>
      <c r="Q579" s="283"/>
      <c r="R579" s="283"/>
      <c r="S579" s="283"/>
      <c r="T579" s="284"/>
      <c r="U579" s="284"/>
      <c r="V579" s="283"/>
      <c r="W579" s="283"/>
      <c r="X579" s="283"/>
      <c r="Y579" s="283"/>
    </row>
    <row r="580" spans="3:25" ht="13.5" customHeight="1" x14ac:dyDescent="0.2">
      <c r="C580" s="82"/>
      <c r="D580" s="292" t="s">
        <v>74</v>
      </c>
      <c r="E580" s="138"/>
      <c r="F580" s="138"/>
      <c r="H580" s="69" t="str">
        <f t="shared" si="18"/>
        <v>BTR-Regions</v>
      </c>
      <c r="I580" s="69" t="str">
        <f t="shared" si="19"/>
        <v>The Forge</v>
      </c>
      <c r="J580" s="292"/>
      <c r="L580" s="283"/>
      <c r="M580" s="283"/>
      <c r="N580" s="212"/>
      <c r="O580" s="213"/>
      <c r="P580" s="283"/>
      <c r="Q580" s="283"/>
      <c r="R580" s="283"/>
      <c r="S580" s="283"/>
      <c r="T580" s="284"/>
      <c r="U580" s="284"/>
      <c r="V580" s="283"/>
      <c r="W580" s="283"/>
      <c r="X580" s="283"/>
      <c r="Y580" s="283"/>
    </row>
    <row r="581" spans="3:25" ht="13.5" customHeight="1" x14ac:dyDescent="0.2">
      <c r="C581" s="82"/>
      <c r="D581" s="292" t="s">
        <v>74</v>
      </c>
      <c r="E581" s="138"/>
      <c r="F581" s="138"/>
      <c r="H581" s="69" t="str">
        <f t="shared" si="18"/>
        <v>BTR-Regions</v>
      </c>
      <c r="I581" s="69" t="str">
        <f t="shared" si="19"/>
        <v>The Forge</v>
      </c>
      <c r="J581" s="292"/>
      <c r="L581" s="283"/>
      <c r="M581" s="283"/>
      <c r="N581" s="212"/>
      <c r="O581" s="213"/>
      <c r="P581" s="283"/>
      <c r="Q581" s="283"/>
      <c r="R581" s="283"/>
      <c r="S581" s="283"/>
      <c r="T581" s="284"/>
      <c r="U581" s="284"/>
      <c r="V581" s="283"/>
      <c r="W581" s="283"/>
      <c r="X581" s="283"/>
      <c r="Y581" s="283"/>
    </row>
    <row r="582" spans="3:25" ht="13.5" customHeight="1" x14ac:dyDescent="0.2">
      <c r="C582" s="82"/>
      <c r="D582" s="292" t="s">
        <v>74</v>
      </c>
      <c r="E582" s="138"/>
      <c r="F582" s="138"/>
      <c r="H582" s="69" t="str">
        <f t="shared" si="18"/>
        <v>BTR-Regions</v>
      </c>
      <c r="I582" s="69" t="str">
        <f t="shared" si="19"/>
        <v>The Forge</v>
      </c>
      <c r="J582" s="292"/>
      <c r="L582" s="283"/>
      <c r="M582" s="283"/>
      <c r="N582" s="212"/>
      <c r="O582" s="213"/>
      <c r="P582" s="283"/>
      <c r="Q582" s="283"/>
      <c r="R582" s="283"/>
      <c r="S582" s="283"/>
      <c r="T582" s="284"/>
      <c r="U582" s="284"/>
      <c r="V582" s="283"/>
      <c r="W582" s="283"/>
      <c r="X582" s="283"/>
      <c r="Y582" s="283"/>
    </row>
    <row r="583" spans="3:25" ht="13.5" customHeight="1" x14ac:dyDescent="0.2">
      <c r="C583" s="82"/>
      <c r="D583" s="292" t="s">
        <v>74</v>
      </c>
      <c r="E583" s="138"/>
      <c r="F583" s="138"/>
      <c r="H583" s="69" t="str">
        <f t="shared" si="18"/>
        <v>BTR-Regions</v>
      </c>
      <c r="I583" s="69" t="str">
        <f t="shared" si="19"/>
        <v>The Forge</v>
      </c>
      <c r="J583" s="292"/>
      <c r="L583" s="283"/>
      <c r="M583" s="283"/>
      <c r="N583" s="212"/>
      <c r="O583" s="213"/>
      <c r="P583" s="283"/>
      <c r="Q583" s="283"/>
      <c r="R583" s="283"/>
      <c r="S583" s="283"/>
      <c r="T583" s="284"/>
      <c r="U583" s="284"/>
      <c r="V583" s="283"/>
      <c r="W583" s="283"/>
      <c r="X583" s="283"/>
      <c r="Y583" s="283"/>
    </row>
    <row r="584" spans="3:25" ht="13.5" customHeight="1" x14ac:dyDescent="0.2">
      <c r="C584" s="82"/>
      <c r="D584" s="292" t="s">
        <v>74</v>
      </c>
      <c r="E584" s="138"/>
      <c r="F584" s="138"/>
      <c r="H584" s="69" t="str">
        <f t="shared" si="18"/>
        <v>BTR-Regions</v>
      </c>
      <c r="I584" s="69" t="str">
        <f t="shared" si="19"/>
        <v>The Forge</v>
      </c>
      <c r="J584" s="292"/>
      <c r="L584" s="283"/>
      <c r="M584" s="283"/>
      <c r="N584" s="212"/>
      <c r="O584" s="213"/>
      <c r="P584" s="283"/>
      <c r="Q584" s="283"/>
      <c r="R584" s="283"/>
      <c r="S584" s="283"/>
      <c r="T584" s="284"/>
      <c r="U584" s="284"/>
      <c r="V584" s="283"/>
      <c r="W584" s="283"/>
      <c r="X584" s="283"/>
      <c r="Y584" s="283"/>
    </row>
    <row r="585" spans="3:25" ht="13.5" customHeight="1" x14ac:dyDescent="0.2">
      <c r="C585" s="82"/>
      <c r="D585" s="292" t="s">
        <v>74</v>
      </c>
      <c r="E585" s="138"/>
      <c r="F585" s="138"/>
      <c r="H585" s="69" t="str">
        <f t="shared" si="18"/>
        <v>BTR-Regions</v>
      </c>
      <c r="I585" s="69" t="str">
        <f t="shared" si="19"/>
        <v>The Forge</v>
      </c>
      <c r="J585" s="292"/>
      <c r="L585" s="283"/>
      <c r="M585" s="283"/>
      <c r="N585" s="212"/>
      <c r="O585" s="213"/>
      <c r="P585" s="283"/>
      <c r="Q585" s="283"/>
      <c r="R585" s="283"/>
      <c r="S585" s="283"/>
      <c r="T585" s="284"/>
      <c r="U585" s="284"/>
      <c r="V585" s="283"/>
      <c r="W585" s="283"/>
      <c r="X585" s="283"/>
      <c r="Y585" s="283"/>
    </row>
    <row r="586" spans="3:25" ht="13.5" customHeight="1" x14ac:dyDescent="0.2">
      <c r="C586" s="82"/>
      <c r="D586" s="292" t="s">
        <v>74</v>
      </c>
      <c r="E586" s="138"/>
      <c r="F586" s="138"/>
      <c r="H586" s="69" t="str">
        <f t="shared" si="18"/>
        <v>BTR-Regions</v>
      </c>
      <c r="I586" s="69" t="str">
        <f t="shared" si="19"/>
        <v>The Forge</v>
      </c>
      <c r="J586" s="292"/>
      <c r="L586" s="283"/>
      <c r="M586" s="283"/>
      <c r="N586" s="212"/>
      <c r="O586" s="213"/>
      <c r="P586" s="283"/>
      <c r="Q586" s="283"/>
      <c r="R586" s="283"/>
      <c r="S586" s="283"/>
      <c r="T586" s="284"/>
      <c r="U586" s="284"/>
      <c r="V586" s="283"/>
      <c r="W586" s="283"/>
      <c r="X586" s="283"/>
      <c r="Y586" s="283"/>
    </row>
    <row r="587" spans="3:25" ht="13.5" customHeight="1" x14ac:dyDescent="0.2">
      <c r="C587" s="82"/>
      <c r="D587" s="292" t="s">
        <v>74</v>
      </c>
      <c r="E587" s="138"/>
      <c r="F587" s="138"/>
      <c r="H587" s="69" t="str">
        <f t="shared" si="18"/>
        <v>BTR-Regions</v>
      </c>
      <c r="I587" s="69" t="str">
        <f t="shared" si="19"/>
        <v>The Forge</v>
      </c>
      <c r="J587" s="292"/>
      <c r="L587" s="283"/>
      <c r="M587" s="283"/>
      <c r="N587" s="212"/>
      <c r="O587" s="213"/>
      <c r="P587" s="283"/>
      <c r="Q587" s="283"/>
      <c r="R587" s="283"/>
      <c r="S587" s="283"/>
      <c r="T587" s="284"/>
      <c r="U587" s="284"/>
      <c r="V587" s="283"/>
      <c r="W587" s="283"/>
      <c r="X587" s="283"/>
      <c r="Y587" s="283"/>
    </row>
    <row r="588" spans="3:25" ht="13.5" customHeight="1" x14ac:dyDescent="0.2">
      <c r="C588" s="82"/>
      <c r="D588" s="292" t="s">
        <v>74</v>
      </c>
      <c r="E588" s="138"/>
      <c r="F588" s="138"/>
      <c r="H588" s="69" t="str">
        <f t="shared" si="18"/>
        <v>BTR-Regions</v>
      </c>
      <c r="I588" s="69" t="str">
        <f t="shared" si="19"/>
        <v>The Forge</v>
      </c>
      <c r="J588" s="292"/>
      <c r="L588" s="283"/>
      <c r="M588" s="283"/>
      <c r="N588" s="212"/>
      <c r="O588" s="213"/>
      <c r="P588" s="283"/>
      <c r="Q588" s="283"/>
      <c r="R588" s="283"/>
      <c r="S588" s="283"/>
      <c r="T588" s="284"/>
      <c r="U588" s="284"/>
      <c r="V588" s="283"/>
      <c r="W588" s="283"/>
      <c r="X588" s="283"/>
      <c r="Y588" s="283"/>
    </row>
    <row r="589" spans="3:25" ht="13.5" customHeight="1" x14ac:dyDescent="0.2">
      <c r="C589" s="82"/>
      <c r="D589" s="292" t="s">
        <v>74</v>
      </c>
      <c r="E589" s="138"/>
      <c r="F589" s="138"/>
      <c r="H589" s="69" t="str">
        <f t="shared" si="18"/>
        <v>BTR-Regions</v>
      </c>
      <c r="I589" s="69" t="str">
        <f t="shared" si="19"/>
        <v>The Forge</v>
      </c>
      <c r="J589" s="292"/>
      <c r="L589" s="283"/>
      <c r="M589" s="283"/>
      <c r="N589" s="212"/>
      <c r="O589" s="213"/>
      <c r="P589" s="283"/>
      <c r="Q589" s="283"/>
      <c r="R589" s="283"/>
      <c r="S589" s="283"/>
      <c r="T589" s="284"/>
      <c r="U589" s="284"/>
      <c r="V589" s="283"/>
      <c r="W589" s="283"/>
      <c r="X589" s="283"/>
      <c r="Y589" s="283"/>
    </row>
    <row r="590" spans="3:25" ht="13.5" customHeight="1" x14ac:dyDescent="0.2">
      <c r="C590" s="82"/>
      <c r="D590" s="292" t="s">
        <v>74</v>
      </c>
      <c r="E590" s="138"/>
      <c r="F590" s="138"/>
      <c r="H590" s="69" t="str">
        <f t="shared" si="18"/>
        <v>BTR-Regions</v>
      </c>
      <c r="I590" s="69" t="str">
        <f t="shared" si="19"/>
        <v>The Forge</v>
      </c>
      <c r="J590" s="292"/>
      <c r="L590" s="283"/>
      <c r="M590" s="283"/>
      <c r="N590" s="212"/>
      <c r="O590" s="213"/>
      <c r="P590" s="283"/>
      <c r="Q590" s="283"/>
      <c r="R590" s="283"/>
      <c r="S590" s="283"/>
      <c r="T590" s="284"/>
      <c r="U590" s="284"/>
      <c r="V590" s="283"/>
      <c r="W590" s="283"/>
      <c r="X590" s="283"/>
      <c r="Y590" s="283"/>
    </row>
    <row r="591" spans="3:25" ht="13.5" customHeight="1" x14ac:dyDescent="0.2">
      <c r="C591" s="82"/>
      <c r="D591" s="292" t="s">
        <v>74</v>
      </c>
      <c r="E591" s="138"/>
      <c r="F591" s="138"/>
      <c r="H591" s="69" t="str">
        <f t="shared" si="18"/>
        <v>BTR-Regions</v>
      </c>
      <c r="I591" s="69" t="str">
        <f t="shared" si="19"/>
        <v>The Forge</v>
      </c>
      <c r="J591" s="292"/>
      <c r="L591" s="283"/>
      <c r="M591" s="283"/>
      <c r="N591" s="212"/>
      <c r="O591" s="213"/>
      <c r="P591" s="283"/>
      <c r="Q591" s="283"/>
      <c r="R591" s="283"/>
      <c r="S591" s="283"/>
      <c r="T591" s="284"/>
      <c r="U591" s="284"/>
      <c r="V591" s="283"/>
      <c r="W591" s="283"/>
      <c r="X591" s="283"/>
      <c r="Y591" s="283"/>
    </row>
    <row r="592" spans="3:25" ht="13.5" customHeight="1" x14ac:dyDescent="0.2">
      <c r="C592" s="82"/>
      <c r="D592" s="292" t="s">
        <v>74</v>
      </c>
      <c r="E592" s="138"/>
      <c r="F592" s="138"/>
      <c r="H592" s="69" t="str">
        <f t="shared" si="18"/>
        <v>BTR-Regions</v>
      </c>
      <c r="I592" s="69" t="str">
        <f t="shared" si="19"/>
        <v>The Forge</v>
      </c>
      <c r="J592" s="292"/>
      <c r="L592" s="283"/>
      <c r="M592" s="283"/>
      <c r="N592" s="212"/>
      <c r="O592" s="213"/>
      <c r="P592" s="283"/>
      <c r="Q592" s="283"/>
      <c r="R592" s="283"/>
      <c r="S592" s="283"/>
      <c r="T592" s="284"/>
      <c r="U592" s="284"/>
      <c r="V592" s="283"/>
      <c r="W592" s="283"/>
      <c r="X592" s="283"/>
      <c r="Y592" s="283"/>
    </row>
    <row r="593" spans="3:25" ht="13.5" customHeight="1" x14ac:dyDescent="0.2">
      <c r="C593" s="82"/>
      <c r="D593" s="292" t="s">
        <v>74</v>
      </c>
      <c r="E593" s="138"/>
      <c r="F593" s="138"/>
      <c r="H593" s="69" t="str">
        <f t="shared" si="18"/>
        <v>BTR-Regions</v>
      </c>
      <c r="I593" s="69" t="str">
        <f t="shared" si="19"/>
        <v>The Forge</v>
      </c>
      <c r="J593" s="292"/>
      <c r="L593" s="283"/>
      <c r="M593" s="283"/>
      <c r="N593" s="212"/>
      <c r="O593" s="213"/>
      <c r="P593" s="283"/>
      <c r="Q593" s="283"/>
      <c r="R593" s="283"/>
      <c r="S593" s="283"/>
      <c r="T593" s="284"/>
      <c r="U593" s="284"/>
      <c r="V593" s="283"/>
      <c r="W593" s="283"/>
      <c r="X593" s="283"/>
      <c r="Y593" s="283"/>
    </row>
    <row r="594" spans="3:25" ht="13.5" customHeight="1" x14ac:dyDescent="0.2">
      <c r="C594" s="82"/>
      <c r="D594" s="292" t="s">
        <v>74</v>
      </c>
      <c r="E594" s="138"/>
      <c r="F594" s="138"/>
      <c r="H594" s="69" t="str">
        <f t="shared" si="18"/>
        <v>BTR-Regions</v>
      </c>
      <c r="I594" s="69" t="str">
        <f t="shared" si="19"/>
        <v>The Forge</v>
      </c>
      <c r="J594" s="292"/>
      <c r="L594" s="283"/>
      <c r="M594" s="283"/>
      <c r="N594" s="212"/>
      <c r="O594" s="213"/>
      <c r="P594" s="283"/>
      <c r="Q594" s="283"/>
      <c r="R594" s="283"/>
      <c r="S594" s="283"/>
      <c r="T594" s="284"/>
      <c r="U594" s="284"/>
      <c r="V594" s="283"/>
      <c r="W594" s="283"/>
      <c r="X594" s="283"/>
      <c r="Y594" s="283"/>
    </row>
    <row r="595" spans="3:25" ht="13.5" customHeight="1" x14ac:dyDescent="0.2">
      <c r="C595" s="82"/>
      <c r="D595" s="292" t="s">
        <v>74</v>
      </c>
      <c r="E595" s="138"/>
      <c r="F595" s="138"/>
      <c r="H595" s="69" t="str">
        <f t="shared" si="18"/>
        <v>BTR-Regions</v>
      </c>
      <c r="I595" s="69" t="str">
        <f t="shared" si="19"/>
        <v>The Forge</v>
      </c>
      <c r="J595" s="292"/>
      <c r="L595" s="283"/>
      <c r="M595" s="283"/>
      <c r="N595" s="212"/>
      <c r="O595" s="213"/>
      <c r="P595" s="283"/>
      <c r="Q595" s="283"/>
      <c r="R595" s="283"/>
      <c r="S595" s="283"/>
      <c r="T595" s="284"/>
      <c r="U595" s="284"/>
      <c r="V595" s="283"/>
      <c r="W595" s="283"/>
      <c r="X595" s="283"/>
      <c r="Y595" s="283"/>
    </row>
    <row r="596" spans="3:25" ht="13.5" customHeight="1" x14ac:dyDescent="0.2">
      <c r="C596" s="82"/>
      <c r="D596" s="292" t="s">
        <v>74</v>
      </c>
      <c r="E596" s="138"/>
      <c r="F596" s="138"/>
      <c r="H596" s="69" t="str">
        <f t="shared" si="18"/>
        <v>BTR-Regions</v>
      </c>
      <c r="I596" s="69" t="str">
        <f t="shared" si="19"/>
        <v>The Forge</v>
      </c>
      <c r="J596" s="292"/>
      <c r="L596" s="283"/>
      <c r="M596" s="283"/>
      <c r="N596" s="212"/>
      <c r="O596" s="213"/>
      <c r="P596" s="283"/>
      <c r="Q596" s="283"/>
      <c r="R596" s="283"/>
      <c r="S596" s="283"/>
      <c r="T596" s="284"/>
      <c r="U596" s="284"/>
      <c r="V596" s="283"/>
      <c r="W596" s="283"/>
      <c r="X596" s="283"/>
      <c r="Y596" s="283"/>
    </row>
    <row r="597" spans="3:25" ht="13.5" customHeight="1" x14ac:dyDescent="0.2">
      <c r="C597" s="82"/>
      <c r="D597" s="292" t="s">
        <v>74</v>
      </c>
      <c r="E597" s="138"/>
      <c r="F597" s="138"/>
      <c r="H597" s="69" t="str">
        <f t="shared" si="18"/>
        <v>BTR-Regions</v>
      </c>
      <c r="I597" s="69" t="str">
        <f t="shared" si="19"/>
        <v>The Forge</v>
      </c>
      <c r="J597" s="292"/>
      <c r="L597" s="283"/>
      <c r="M597" s="283"/>
      <c r="N597" s="212"/>
      <c r="O597" s="213"/>
      <c r="P597" s="283"/>
      <c r="Q597" s="283"/>
      <c r="R597" s="283"/>
      <c r="S597" s="283"/>
      <c r="T597" s="284"/>
      <c r="U597" s="284"/>
      <c r="V597" s="283"/>
      <c r="W597" s="283"/>
      <c r="X597" s="283"/>
      <c r="Y597" s="283"/>
    </row>
    <row r="598" spans="3:25" ht="13.5" customHeight="1" x14ac:dyDescent="0.2">
      <c r="C598" s="82"/>
      <c r="D598" s="292" t="s">
        <v>74</v>
      </c>
      <c r="E598" s="138"/>
      <c r="F598" s="138"/>
      <c r="H598" s="69" t="str">
        <f t="shared" ref="H598:H620" si="20">$I$9</f>
        <v>BTR-Regions</v>
      </c>
      <c r="I598" s="69" t="str">
        <f t="shared" ref="I598:I620" si="21">$I$10</f>
        <v>The Forge</v>
      </c>
      <c r="J598" s="292"/>
      <c r="L598" s="283"/>
      <c r="M598" s="283"/>
      <c r="N598" s="212"/>
      <c r="O598" s="213"/>
      <c r="P598" s="283"/>
      <c r="Q598" s="283"/>
      <c r="R598" s="283"/>
      <c r="S598" s="283"/>
      <c r="T598" s="284"/>
      <c r="U598" s="284"/>
      <c r="V598" s="283"/>
      <c r="W598" s="283"/>
      <c r="X598" s="283"/>
      <c r="Y598" s="283"/>
    </row>
    <row r="599" spans="3:25" ht="13.5" customHeight="1" x14ac:dyDescent="0.2">
      <c r="C599" s="82"/>
      <c r="D599" s="292" t="s">
        <v>74</v>
      </c>
      <c r="E599" s="138"/>
      <c r="F599" s="138"/>
      <c r="H599" s="69" t="str">
        <f t="shared" si="20"/>
        <v>BTR-Regions</v>
      </c>
      <c r="I599" s="69" t="str">
        <f t="shared" si="21"/>
        <v>The Forge</v>
      </c>
      <c r="J599" s="292"/>
      <c r="L599" s="283"/>
      <c r="M599" s="283"/>
      <c r="N599" s="212"/>
      <c r="O599" s="213"/>
      <c r="P599" s="283"/>
      <c r="Q599" s="283"/>
      <c r="R599" s="283"/>
      <c r="S599" s="283"/>
      <c r="T599" s="284"/>
      <c r="U599" s="284"/>
      <c r="V599" s="283"/>
      <c r="W599" s="283"/>
      <c r="X599" s="283"/>
      <c r="Y599" s="283"/>
    </row>
    <row r="600" spans="3:25" ht="13.5" customHeight="1" x14ac:dyDescent="0.2">
      <c r="C600" s="82"/>
      <c r="D600" s="292" t="s">
        <v>74</v>
      </c>
      <c r="E600" s="138"/>
      <c r="F600" s="138"/>
      <c r="H600" s="69" t="str">
        <f t="shared" si="20"/>
        <v>BTR-Regions</v>
      </c>
      <c r="I600" s="69" t="str">
        <f t="shared" si="21"/>
        <v>The Forge</v>
      </c>
      <c r="J600" s="292"/>
      <c r="L600" s="283"/>
      <c r="M600" s="283"/>
      <c r="N600" s="212"/>
      <c r="O600" s="213"/>
      <c r="P600" s="283"/>
      <c r="Q600" s="283"/>
      <c r="R600" s="283"/>
      <c r="S600" s="283"/>
      <c r="T600" s="284"/>
      <c r="U600" s="284"/>
      <c r="V600" s="283"/>
      <c r="W600" s="283"/>
      <c r="X600" s="283"/>
      <c r="Y600" s="283"/>
    </row>
    <row r="601" spans="3:25" ht="13.5" customHeight="1" x14ac:dyDescent="0.2">
      <c r="C601" s="82"/>
      <c r="D601" s="292" t="s">
        <v>74</v>
      </c>
      <c r="E601" s="138"/>
      <c r="F601" s="138"/>
      <c r="H601" s="69" t="str">
        <f t="shared" si="20"/>
        <v>BTR-Regions</v>
      </c>
      <c r="I601" s="69" t="str">
        <f t="shared" si="21"/>
        <v>The Forge</v>
      </c>
      <c r="J601" s="292"/>
      <c r="L601" s="283"/>
      <c r="M601" s="283"/>
      <c r="N601" s="212"/>
      <c r="O601" s="213"/>
      <c r="P601" s="283"/>
      <c r="Q601" s="283"/>
      <c r="R601" s="283"/>
      <c r="S601" s="283"/>
      <c r="T601" s="284"/>
      <c r="U601" s="284"/>
      <c r="V601" s="283"/>
      <c r="W601" s="283"/>
      <c r="X601" s="283"/>
      <c r="Y601" s="283"/>
    </row>
    <row r="602" spans="3:25" ht="13.5" customHeight="1" x14ac:dyDescent="0.2">
      <c r="C602" s="82"/>
      <c r="D602" s="292" t="s">
        <v>74</v>
      </c>
      <c r="E602" s="138"/>
      <c r="F602" s="138"/>
      <c r="H602" s="69" t="str">
        <f t="shared" si="20"/>
        <v>BTR-Regions</v>
      </c>
      <c r="I602" s="69" t="str">
        <f t="shared" si="21"/>
        <v>The Forge</v>
      </c>
      <c r="J602" s="292"/>
      <c r="L602" s="283"/>
      <c r="M602" s="283"/>
      <c r="N602" s="212"/>
      <c r="O602" s="213"/>
      <c r="P602" s="283"/>
      <c r="Q602" s="283"/>
      <c r="R602" s="283"/>
      <c r="S602" s="283"/>
      <c r="T602" s="284"/>
      <c r="U602" s="284"/>
      <c r="V602" s="283"/>
      <c r="W602" s="283"/>
      <c r="X602" s="283"/>
      <c r="Y602" s="283"/>
    </row>
    <row r="603" spans="3:25" ht="13.5" customHeight="1" x14ac:dyDescent="0.2">
      <c r="C603" s="82"/>
      <c r="D603" s="292" t="s">
        <v>74</v>
      </c>
      <c r="E603" s="138"/>
      <c r="F603" s="138"/>
      <c r="H603" s="69" t="str">
        <f t="shared" si="20"/>
        <v>BTR-Regions</v>
      </c>
      <c r="I603" s="69" t="str">
        <f t="shared" si="21"/>
        <v>The Forge</v>
      </c>
      <c r="J603" s="292"/>
      <c r="L603" s="283"/>
      <c r="M603" s="283"/>
      <c r="N603" s="212"/>
      <c r="O603" s="213"/>
      <c r="P603" s="283"/>
      <c r="Q603" s="283"/>
      <c r="R603" s="283"/>
      <c r="S603" s="283"/>
      <c r="T603" s="284"/>
      <c r="U603" s="284"/>
      <c r="V603" s="283"/>
      <c r="W603" s="283"/>
      <c r="X603" s="283"/>
      <c r="Y603" s="283"/>
    </row>
    <row r="604" spans="3:25" ht="13.5" customHeight="1" x14ac:dyDescent="0.2">
      <c r="C604" s="82"/>
      <c r="D604" s="292" t="s">
        <v>74</v>
      </c>
      <c r="E604" s="138"/>
      <c r="F604" s="138"/>
      <c r="H604" s="69" t="str">
        <f t="shared" si="20"/>
        <v>BTR-Regions</v>
      </c>
      <c r="I604" s="69" t="str">
        <f t="shared" si="21"/>
        <v>The Forge</v>
      </c>
      <c r="J604" s="292"/>
      <c r="L604" s="283"/>
      <c r="M604" s="283"/>
      <c r="N604" s="212"/>
      <c r="O604" s="213"/>
      <c r="P604" s="283"/>
      <c r="Q604" s="283"/>
      <c r="R604" s="283"/>
      <c r="S604" s="283"/>
      <c r="T604" s="284"/>
      <c r="U604" s="284"/>
      <c r="V604" s="283"/>
      <c r="W604" s="283"/>
      <c r="X604" s="283"/>
      <c r="Y604" s="283"/>
    </row>
    <row r="605" spans="3:25" ht="13.5" customHeight="1" x14ac:dyDescent="0.2">
      <c r="C605" s="82"/>
      <c r="D605" s="292" t="s">
        <v>74</v>
      </c>
      <c r="E605" s="138"/>
      <c r="F605" s="138"/>
      <c r="H605" s="69" t="str">
        <f t="shared" si="20"/>
        <v>BTR-Regions</v>
      </c>
      <c r="I605" s="69" t="str">
        <f t="shared" si="21"/>
        <v>The Forge</v>
      </c>
      <c r="J605" s="292"/>
      <c r="L605" s="283"/>
      <c r="M605" s="283"/>
      <c r="N605" s="212"/>
      <c r="O605" s="213"/>
      <c r="P605" s="283"/>
      <c r="Q605" s="283"/>
      <c r="R605" s="283"/>
      <c r="S605" s="283"/>
      <c r="T605" s="284"/>
      <c r="U605" s="284"/>
      <c r="V605" s="283"/>
      <c r="W605" s="283"/>
      <c r="X605" s="283"/>
      <c r="Y605" s="283"/>
    </row>
    <row r="606" spans="3:25" ht="13.5" customHeight="1" x14ac:dyDescent="0.2">
      <c r="C606" s="82"/>
      <c r="D606" s="292" t="s">
        <v>74</v>
      </c>
      <c r="E606" s="138"/>
      <c r="F606" s="138"/>
      <c r="H606" s="69" t="str">
        <f t="shared" si="20"/>
        <v>BTR-Regions</v>
      </c>
      <c r="I606" s="69" t="str">
        <f t="shared" si="21"/>
        <v>The Forge</v>
      </c>
      <c r="J606" s="292"/>
      <c r="L606" s="283"/>
      <c r="M606" s="283"/>
      <c r="N606" s="212"/>
      <c r="O606" s="213"/>
      <c r="P606" s="283"/>
      <c r="Q606" s="283"/>
      <c r="R606" s="283"/>
      <c r="S606" s="283"/>
      <c r="T606" s="284"/>
      <c r="U606" s="284"/>
      <c r="V606" s="283"/>
      <c r="W606" s="283"/>
      <c r="X606" s="283"/>
      <c r="Y606" s="283"/>
    </row>
    <row r="607" spans="3:25" ht="13.5" customHeight="1" x14ac:dyDescent="0.2">
      <c r="C607" s="82"/>
      <c r="D607" s="292" t="s">
        <v>74</v>
      </c>
      <c r="E607" s="138"/>
      <c r="F607" s="138"/>
      <c r="H607" s="69" t="str">
        <f t="shared" si="20"/>
        <v>BTR-Regions</v>
      </c>
      <c r="I607" s="69" t="str">
        <f t="shared" si="21"/>
        <v>The Forge</v>
      </c>
      <c r="J607" s="292"/>
      <c r="L607" s="283"/>
      <c r="M607" s="283"/>
      <c r="N607" s="212"/>
      <c r="O607" s="213"/>
      <c r="P607" s="283"/>
      <c r="Q607" s="283"/>
      <c r="R607" s="283"/>
      <c r="S607" s="283"/>
      <c r="T607" s="284"/>
      <c r="U607" s="284"/>
      <c r="V607" s="283"/>
      <c r="W607" s="283"/>
      <c r="X607" s="283"/>
      <c r="Y607" s="283"/>
    </row>
    <row r="608" spans="3:25" ht="13.5" customHeight="1" x14ac:dyDescent="0.2">
      <c r="C608" s="82"/>
      <c r="D608" s="292" t="s">
        <v>74</v>
      </c>
      <c r="E608" s="138"/>
      <c r="F608" s="138"/>
      <c r="H608" s="69" t="str">
        <f t="shared" si="20"/>
        <v>BTR-Regions</v>
      </c>
      <c r="I608" s="69" t="str">
        <f t="shared" si="21"/>
        <v>The Forge</v>
      </c>
      <c r="J608" s="292"/>
      <c r="L608" s="283"/>
      <c r="M608" s="283"/>
      <c r="N608" s="212"/>
      <c r="O608" s="213"/>
      <c r="P608" s="283"/>
      <c r="Q608" s="283"/>
      <c r="R608" s="283"/>
      <c r="S608" s="283"/>
      <c r="T608" s="284"/>
      <c r="U608" s="284"/>
      <c r="V608" s="283"/>
      <c r="W608" s="283"/>
      <c r="X608" s="283"/>
      <c r="Y608" s="283"/>
    </row>
    <row r="609" spans="3:25" ht="13.5" customHeight="1" x14ac:dyDescent="0.2">
      <c r="C609" s="82"/>
      <c r="D609" s="292" t="s">
        <v>74</v>
      </c>
      <c r="E609" s="138"/>
      <c r="F609" s="138"/>
      <c r="H609" s="69" t="str">
        <f t="shared" si="20"/>
        <v>BTR-Regions</v>
      </c>
      <c r="I609" s="69" t="str">
        <f t="shared" si="21"/>
        <v>The Forge</v>
      </c>
      <c r="J609" s="292"/>
      <c r="L609" s="283"/>
      <c r="M609" s="283"/>
      <c r="N609" s="212"/>
      <c r="O609" s="213"/>
      <c r="P609" s="283"/>
      <c r="Q609" s="283"/>
      <c r="R609" s="283"/>
      <c r="S609" s="283"/>
      <c r="T609" s="284"/>
      <c r="U609" s="284"/>
      <c r="V609" s="283"/>
      <c r="W609" s="283"/>
      <c r="X609" s="283"/>
      <c r="Y609" s="283"/>
    </row>
    <row r="610" spans="3:25" ht="13.5" customHeight="1" x14ac:dyDescent="0.2">
      <c r="C610" s="82"/>
      <c r="D610" s="292" t="s">
        <v>74</v>
      </c>
      <c r="E610" s="138"/>
      <c r="F610" s="138"/>
      <c r="H610" s="69" t="str">
        <f t="shared" si="20"/>
        <v>BTR-Regions</v>
      </c>
      <c r="I610" s="69" t="str">
        <f t="shared" si="21"/>
        <v>The Forge</v>
      </c>
      <c r="J610" s="292"/>
      <c r="L610" s="283"/>
      <c r="M610" s="283"/>
      <c r="N610" s="212"/>
      <c r="O610" s="213"/>
      <c r="P610" s="283"/>
      <c r="Q610" s="283"/>
      <c r="R610" s="283"/>
      <c r="S610" s="283"/>
      <c r="T610" s="284"/>
      <c r="U610" s="284"/>
      <c r="V610" s="283"/>
      <c r="W610" s="283"/>
      <c r="X610" s="283"/>
      <c r="Y610" s="283"/>
    </row>
    <row r="611" spans="3:25" ht="13.5" customHeight="1" x14ac:dyDescent="0.2">
      <c r="C611" s="82"/>
      <c r="D611" s="292" t="s">
        <v>74</v>
      </c>
      <c r="E611" s="138"/>
      <c r="F611" s="138"/>
      <c r="H611" s="69" t="str">
        <f t="shared" si="20"/>
        <v>BTR-Regions</v>
      </c>
      <c r="I611" s="69" t="str">
        <f t="shared" si="21"/>
        <v>The Forge</v>
      </c>
      <c r="J611" s="292"/>
      <c r="L611" s="283"/>
      <c r="M611" s="283"/>
      <c r="N611" s="212"/>
      <c r="O611" s="213"/>
      <c r="P611" s="283"/>
      <c r="Q611" s="283"/>
      <c r="R611" s="283"/>
      <c r="S611" s="283"/>
      <c r="T611" s="284"/>
      <c r="U611" s="284"/>
      <c r="V611" s="283"/>
      <c r="W611" s="283"/>
      <c r="X611" s="283"/>
      <c r="Y611" s="283"/>
    </row>
    <row r="612" spans="3:25" ht="13.5" customHeight="1" x14ac:dyDescent="0.2">
      <c r="C612" s="82"/>
      <c r="D612" s="292" t="s">
        <v>74</v>
      </c>
      <c r="E612" s="138"/>
      <c r="F612" s="138"/>
      <c r="H612" s="69" t="str">
        <f t="shared" si="20"/>
        <v>BTR-Regions</v>
      </c>
      <c r="I612" s="69" t="str">
        <f t="shared" si="21"/>
        <v>The Forge</v>
      </c>
      <c r="J612" s="292"/>
      <c r="L612" s="283"/>
      <c r="M612" s="283"/>
      <c r="N612" s="212"/>
      <c r="O612" s="213"/>
      <c r="P612" s="283"/>
      <c r="Q612" s="283"/>
      <c r="R612" s="283"/>
      <c r="S612" s="283"/>
      <c r="T612" s="284"/>
      <c r="U612" s="284"/>
      <c r="V612" s="283"/>
      <c r="W612" s="283"/>
      <c r="X612" s="283"/>
      <c r="Y612" s="283"/>
    </row>
    <row r="613" spans="3:25" ht="13.5" customHeight="1" x14ac:dyDescent="0.2">
      <c r="C613" s="82"/>
      <c r="D613" s="292" t="s">
        <v>74</v>
      </c>
      <c r="E613" s="138"/>
      <c r="F613" s="138"/>
      <c r="H613" s="69" t="str">
        <f t="shared" si="20"/>
        <v>BTR-Regions</v>
      </c>
      <c r="I613" s="69" t="str">
        <f t="shared" si="21"/>
        <v>The Forge</v>
      </c>
      <c r="J613" s="292"/>
      <c r="L613" s="283"/>
      <c r="M613" s="283"/>
      <c r="N613" s="212"/>
      <c r="O613" s="213"/>
      <c r="P613" s="283"/>
      <c r="Q613" s="283"/>
      <c r="R613" s="283"/>
      <c r="S613" s="283"/>
      <c r="T613" s="284"/>
      <c r="U613" s="284"/>
      <c r="V613" s="283"/>
      <c r="W613" s="283"/>
      <c r="X613" s="283"/>
      <c r="Y613" s="283"/>
    </row>
    <row r="614" spans="3:25" ht="13.5" customHeight="1" x14ac:dyDescent="0.2">
      <c r="C614" s="82"/>
      <c r="D614" s="292" t="s">
        <v>74</v>
      </c>
      <c r="E614" s="138"/>
      <c r="F614" s="138"/>
      <c r="H614" s="69" t="str">
        <f t="shared" si="20"/>
        <v>BTR-Regions</v>
      </c>
      <c r="I614" s="69" t="str">
        <f t="shared" si="21"/>
        <v>The Forge</v>
      </c>
      <c r="J614" s="292"/>
      <c r="L614" s="283"/>
      <c r="M614" s="283"/>
      <c r="N614" s="212"/>
      <c r="O614" s="213"/>
      <c r="P614" s="283"/>
      <c r="Q614" s="283"/>
      <c r="R614" s="283"/>
      <c r="S614" s="283"/>
      <c r="T614" s="284"/>
      <c r="U614" s="284"/>
      <c r="V614" s="283"/>
      <c r="W614" s="283"/>
      <c r="X614" s="283"/>
      <c r="Y614" s="283"/>
    </row>
    <row r="615" spans="3:25" ht="13.5" customHeight="1" x14ac:dyDescent="0.2">
      <c r="C615" s="82"/>
      <c r="D615" s="292" t="s">
        <v>74</v>
      </c>
      <c r="E615" s="138"/>
      <c r="F615" s="138"/>
      <c r="H615" s="69" t="str">
        <f t="shared" si="20"/>
        <v>BTR-Regions</v>
      </c>
      <c r="I615" s="69" t="str">
        <f t="shared" si="21"/>
        <v>The Forge</v>
      </c>
      <c r="J615" s="292"/>
      <c r="L615" s="283"/>
      <c r="M615" s="283"/>
      <c r="N615" s="212"/>
      <c r="O615" s="213"/>
      <c r="P615" s="283"/>
      <c r="Q615" s="283"/>
      <c r="R615" s="283"/>
      <c r="S615" s="283"/>
      <c r="T615" s="284"/>
      <c r="U615" s="284"/>
      <c r="V615" s="283"/>
      <c r="W615" s="283"/>
      <c r="X615" s="283"/>
      <c r="Y615" s="283"/>
    </row>
    <row r="616" spans="3:25" ht="13.5" customHeight="1" x14ac:dyDescent="0.2">
      <c r="C616" s="82"/>
      <c r="D616" s="292" t="s">
        <v>74</v>
      </c>
      <c r="E616" s="138"/>
      <c r="F616" s="138"/>
      <c r="H616" s="69" t="str">
        <f t="shared" si="20"/>
        <v>BTR-Regions</v>
      </c>
      <c r="I616" s="69" t="str">
        <f t="shared" si="21"/>
        <v>The Forge</v>
      </c>
      <c r="J616" s="292"/>
      <c r="L616" s="283"/>
      <c r="M616" s="283"/>
      <c r="N616" s="212"/>
      <c r="O616" s="213"/>
      <c r="P616" s="283"/>
      <c r="Q616" s="283"/>
      <c r="R616" s="283"/>
      <c r="S616" s="283"/>
      <c r="T616" s="284"/>
      <c r="U616" s="284"/>
      <c r="V616" s="283"/>
      <c r="W616" s="283"/>
      <c r="X616" s="283"/>
      <c r="Y616" s="283"/>
    </row>
    <row r="617" spans="3:25" ht="13.5" customHeight="1" x14ac:dyDescent="0.2">
      <c r="C617" s="82"/>
      <c r="D617" s="292" t="s">
        <v>74</v>
      </c>
      <c r="E617" s="138"/>
      <c r="F617" s="138"/>
      <c r="H617" s="69" t="str">
        <f t="shared" si="20"/>
        <v>BTR-Regions</v>
      </c>
      <c r="I617" s="69" t="str">
        <f t="shared" si="21"/>
        <v>The Forge</v>
      </c>
      <c r="J617" s="292"/>
      <c r="L617" s="283"/>
      <c r="M617" s="283"/>
      <c r="N617" s="212"/>
      <c r="O617" s="213"/>
      <c r="P617" s="283"/>
      <c r="Q617" s="283"/>
      <c r="R617" s="283"/>
      <c r="S617" s="283"/>
      <c r="T617" s="284"/>
      <c r="U617" s="284"/>
      <c r="V617" s="283"/>
      <c r="W617" s="283"/>
      <c r="X617" s="283"/>
      <c r="Y617" s="283"/>
    </row>
    <row r="618" spans="3:25" ht="13.5" customHeight="1" x14ac:dyDescent="0.2">
      <c r="C618" s="82"/>
      <c r="D618" s="292" t="s">
        <v>74</v>
      </c>
      <c r="E618" s="138"/>
      <c r="F618" s="138"/>
      <c r="H618" s="69" t="str">
        <f t="shared" si="20"/>
        <v>BTR-Regions</v>
      </c>
      <c r="I618" s="69" t="str">
        <f t="shared" si="21"/>
        <v>The Forge</v>
      </c>
      <c r="J618" s="292"/>
      <c r="L618" s="283"/>
      <c r="M618" s="283"/>
      <c r="N618" s="212"/>
      <c r="O618" s="213"/>
      <c r="P618" s="283"/>
      <c r="Q618" s="283"/>
      <c r="R618" s="283"/>
      <c r="S618" s="283"/>
      <c r="T618" s="284"/>
      <c r="U618" s="284"/>
      <c r="V618" s="283"/>
      <c r="W618" s="283"/>
      <c r="X618" s="283"/>
      <c r="Y618" s="283"/>
    </row>
    <row r="619" spans="3:25" ht="13.5" customHeight="1" x14ac:dyDescent="0.2">
      <c r="C619" s="82"/>
      <c r="D619" s="292" t="s">
        <v>74</v>
      </c>
      <c r="E619" s="138"/>
      <c r="F619" s="138"/>
      <c r="H619" s="69" t="str">
        <f t="shared" si="20"/>
        <v>BTR-Regions</v>
      </c>
      <c r="I619" s="69" t="str">
        <f t="shared" si="21"/>
        <v>The Forge</v>
      </c>
      <c r="J619" s="292"/>
      <c r="L619" s="283"/>
      <c r="M619" s="283"/>
      <c r="N619" s="212"/>
      <c r="O619" s="213"/>
      <c r="P619" s="283"/>
      <c r="Q619" s="283"/>
      <c r="R619" s="283"/>
      <c r="S619" s="283"/>
      <c r="T619" s="284"/>
      <c r="U619" s="284"/>
      <c r="V619" s="283"/>
      <c r="W619" s="283"/>
      <c r="X619" s="283"/>
      <c r="Y619" s="283"/>
    </row>
    <row r="620" spans="3:25" ht="13.5" customHeight="1" x14ac:dyDescent="0.2">
      <c r="C620" s="82"/>
      <c r="D620" s="292" t="s">
        <v>74</v>
      </c>
      <c r="E620" s="138"/>
      <c r="F620" s="138"/>
      <c r="H620" s="69" t="str">
        <f t="shared" si="20"/>
        <v>BTR-Regions</v>
      </c>
      <c r="I620" s="69" t="str">
        <f t="shared" si="21"/>
        <v>The Forge</v>
      </c>
      <c r="J620" s="292"/>
      <c r="L620" s="283"/>
      <c r="M620" s="283"/>
      <c r="N620" s="212"/>
      <c r="O620" s="213"/>
      <c r="P620" s="283"/>
      <c r="Q620" s="283"/>
      <c r="R620" s="283"/>
      <c r="S620" s="283"/>
      <c r="T620" s="284"/>
      <c r="U620" s="284"/>
      <c r="V620" s="283"/>
      <c r="W620" s="283"/>
      <c r="X620" s="283"/>
      <c r="Y620" s="283"/>
    </row>
  </sheetData>
  <sheetProtection algorithmName="SHA-512" hashValue="qN6uXRTB47tADk0TJ5k04ZlJvxH3tlJFjDl3lEfZRSVTU6qdYz6sPNEHUNNHwksdJPMUxqtfcMKtQy6xEXzULg==" saltValue="N5wm2dIsFK3/0+VEEbZgrg==" spinCount="100000" sheet="1" objects="1" scenarios="1"/>
  <autoFilter ref="M20:V620" xr:uid="{1BFEF715-F219-4A6B-977D-780B43CDD4D8}"/>
  <mergeCells count="5">
    <mergeCell ref="H19:J19"/>
    <mergeCell ref="D19:F19"/>
    <mergeCell ref="I5:J5"/>
    <mergeCell ref="H11:H16"/>
    <mergeCell ref="H7:J7"/>
  </mergeCells>
  <phoneticPr fontId="13" type="noConversion"/>
  <dataValidations count="1">
    <dataValidation type="list" allowBlank="1" showInputMessage="1" showErrorMessage="1" sqref="J23:J620" xr:uid="{E3CE03FB-32FB-4B66-AC1B-3689672E9432}">
      <formula1>$I$11:$I$15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4E2673A-A0AA-4F74-BC7F-CAC4F9280CB0}">
          <x14:formula1>
            <xm:f>'2. GRI Pricing Inputs'!$D$7:$G$7</xm:f>
          </x14:formula1>
          <xm:sqref>D21:D620 M304:M620</xm:sqref>
        </x14:dataValidation>
        <x14:dataValidation type="list" allowBlank="1" showInputMessage="1" showErrorMessage="1" xr:uid="{B1380402-2900-48FF-9C26-5A0E1C8586B8}">
          <x14:formula1>
            <xm:f>'2. GRI Pricing Inputs'!$D$9:$J$9</xm:f>
          </x14:formula1>
          <xm:sqref>L304:L620</xm:sqref>
        </x14:dataValidation>
        <x14:dataValidation type="list" allowBlank="1" showInputMessage="1" showErrorMessage="1" xr:uid="{AEF6E7FD-0F8E-443F-9651-1FD3B91E43C1}">
          <x14:formula1>
            <xm:f>'2. GRI Pricing Inputs'!$D$67:$AI$67</xm:f>
          </x14:formula1>
          <xm:sqref>U304:U620</xm:sqref>
        </x14:dataValidation>
        <x14:dataValidation type="list" allowBlank="1" showInputMessage="1" showErrorMessage="1" xr:uid="{D2DB877A-B843-4E39-98F8-6CFA8FB899CA}">
          <x14:formula1>
            <xm:f>'2. GRI Pricing Inputs'!$D$15:$AI$15</xm:f>
          </x14:formula1>
          <xm:sqref>P304:P620</xm:sqref>
        </x14:dataValidation>
        <x14:dataValidation type="list" allowBlank="1" showInputMessage="1" showErrorMessage="1" xr:uid="{5439E8C8-9A66-4BEB-B73F-B9DDF18BDAC8}">
          <x14:formula1>
            <xm:f>'2. GRI Pricing Inputs'!$D$22:$AI$22</xm:f>
          </x14:formula1>
          <xm:sqref>Q304:Q620</xm:sqref>
        </x14:dataValidation>
        <x14:dataValidation type="list" allowBlank="1" showInputMessage="1" showErrorMessage="1" xr:uid="{991E38A9-C530-4338-AC6A-00741F9EAADD}">
          <x14:formula1>
            <xm:f>'2. GRI Pricing Inputs'!$D$45:$AI$45</xm:f>
          </x14:formula1>
          <xm:sqref>R304:R620</xm:sqref>
        </x14:dataValidation>
        <x14:dataValidation type="list" allowBlank="1" showInputMessage="1" showErrorMessage="1" xr:uid="{16286618-5FB8-40A9-95DF-CB8E7B5476E8}">
          <x14:formula1>
            <xm:f>'2. GRI Pricing Inputs'!$D$53:$AI$53</xm:f>
          </x14:formula1>
          <xm:sqref>S304:S620</xm:sqref>
        </x14:dataValidation>
        <x14:dataValidation type="list" allowBlank="1" showInputMessage="1" showErrorMessage="1" xr:uid="{14CDABA6-AC1B-47DB-8318-FE7AF355E3C3}">
          <x14:formula1>
            <xm:f>'2. GRI Pricing Inputs'!$D$60:$AI$60</xm:f>
          </x14:formula1>
          <xm:sqref>T304:T620</xm:sqref>
        </x14:dataValidation>
        <x14:dataValidation type="list" allowBlank="1" showInputMessage="1" showErrorMessage="1" xr:uid="{B22E229A-995E-4155-B01F-540842351D29}">
          <x14:formula1>
            <xm:f>'2. GRI Pricing Inputs'!$D$82:$AI$82</xm:f>
          </x14:formula1>
          <xm:sqref>V304:V620</xm:sqref>
        </x14:dataValidation>
        <x14:dataValidation type="list" allowBlank="1" showInputMessage="1" showErrorMessage="1" xr:uid="{4D331FE2-9A23-446D-BFFD-7B35A03A1F62}">
          <x14:formula1>
            <xm:f>'2. GRI Pricing Inputs'!$D$89:$AI$89</xm:f>
          </x14:formula1>
          <xm:sqref>W304:W620</xm:sqref>
        </x14:dataValidation>
        <x14:dataValidation type="list" allowBlank="1" showInputMessage="1" showErrorMessage="1" xr:uid="{FDE92718-7B46-481A-981D-35C47C8EB51F}">
          <x14:formula1>
            <xm:f>'2. GRI Pricing Inputs'!$D$97:$AI$97</xm:f>
          </x14:formula1>
          <xm:sqref>X304:X620</xm:sqref>
        </x14:dataValidation>
        <x14:dataValidation type="list" allowBlank="1" showInputMessage="1" showErrorMessage="1" xr:uid="{79AED84D-4359-49EC-AF5A-52354735207C}">
          <x14:formula1>
            <xm:f>'2. GRI Pricing Inputs'!$D$104:$AI$104</xm:f>
          </x14:formula1>
          <xm:sqref>Y304:Y620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13E7-C3A8-435A-AD70-DDD0CC9F9B28}">
  <sheetPr codeName="Sheet3">
    <tabColor theme="7" tint="-0.249977111117893"/>
    <pageSetUpPr fitToPage="1"/>
  </sheetPr>
  <dimension ref="C2:AT509"/>
  <sheetViews>
    <sheetView showGridLines="0" topLeftCell="A81" zoomScaleNormal="100" zoomScaleSheetLayoutView="80" workbookViewId="0">
      <selection activeCell="E7" sqref="E7"/>
    </sheetView>
  </sheetViews>
  <sheetFormatPr defaultColWidth="8.625" defaultRowHeight="12" x14ac:dyDescent="0.2"/>
  <cols>
    <col min="1" max="1" width="3.125" style="40" customWidth="1"/>
    <col min="2" max="2" width="1.625" style="40" customWidth="1"/>
    <col min="3" max="3" width="23.875" style="40" customWidth="1"/>
    <col min="4" max="4" width="10.375" style="62" customWidth="1"/>
    <col min="5" max="20" width="10.5" style="40" bestFit="1" customWidth="1"/>
    <col min="21" max="34" width="10.5" style="40" customWidth="1"/>
    <col min="35" max="35" width="8.875" style="40" customWidth="1"/>
    <col min="36" max="36" width="6.125" style="40" bestFit="1" customWidth="1"/>
    <col min="37" max="37" width="2.125" style="40" customWidth="1"/>
    <col min="38" max="45" width="8.625" style="40"/>
    <col min="46" max="46" width="11.125" style="40" customWidth="1"/>
    <col min="47" max="16384" width="8.625" style="40"/>
  </cols>
  <sheetData>
    <row r="2" spans="3:46" ht="11.45" x14ac:dyDescent="0.2">
      <c r="AL2" s="110"/>
      <c r="AM2" s="110"/>
      <c r="AN2" s="110"/>
      <c r="AO2" s="110"/>
      <c r="AP2" s="110"/>
      <c r="AQ2" s="110"/>
    </row>
    <row r="3" spans="3:46" ht="17.45" x14ac:dyDescent="0.3">
      <c r="C3" s="145" t="s">
        <v>75</v>
      </c>
      <c r="D3" s="285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7"/>
      <c r="AK3" s="147"/>
      <c r="AL3" s="145" t="s">
        <v>76</v>
      </c>
      <c r="AM3" s="145"/>
      <c r="AN3" s="144"/>
      <c r="AO3" s="144"/>
      <c r="AP3" s="144"/>
      <c r="AQ3" s="110"/>
      <c r="AT3" s="144"/>
    </row>
    <row r="4" spans="3:46" ht="11.45" x14ac:dyDescent="0.2">
      <c r="AQ4" s="110"/>
    </row>
    <row r="5" spans="3:46" x14ac:dyDescent="0.25">
      <c r="C5" s="336" t="s">
        <v>77</v>
      </c>
      <c r="D5" s="286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L5" s="64"/>
      <c r="AM5" s="64"/>
      <c r="AN5" s="64"/>
      <c r="AO5" s="64"/>
      <c r="AP5" s="64"/>
      <c r="AQ5" s="110"/>
    </row>
    <row r="6" spans="3:46" ht="11.45" x14ac:dyDescent="0.2">
      <c r="AQ6" s="110"/>
    </row>
    <row r="7" spans="3:46" x14ac:dyDescent="0.25">
      <c r="C7" s="270" t="s">
        <v>78</v>
      </c>
      <c r="D7" s="287" t="s">
        <v>74</v>
      </c>
      <c r="E7" s="223" t="s">
        <v>79</v>
      </c>
      <c r="F7" s="223"/>
      <c r="G7" s="223"/>
      <c r="H7" s="223"/>
      <c r="I7" s="223"/>
      <c r="J7" s="223"/>
      <c r="AS7" s="110"/>
    </row>
    <row r="8" spans="3:46" ht="11.45" x14ac:dyDescent="0.2">
      <c r="D8" s="40"/>
      <c r="AQ8" s="110"/>
    </row>
    <row r="9" spans="3:46" x14ac:dyDescent="0.25">
      <c r="C9" s="270" t="s">
        <v>72</v>
      </c>
      <c r="D9" s="287" t="s">
        <v>74</v>
      </c>
      <c r="E9" s="365" t="s">
        <v>101</v>
      </c>
      <c r="F9" s="365" t="s">
        <v>102</v>
      </c>
      <c r="G9" s="365" t="s">
        <v>103</v>
      </c>
      <c r="H9" s="223"/>
      <c r="I9" s="223"/>
      <c r="J9" s="223"/>
      <c r="AQ9" s="110"/>
    </row>
    <row r="10" spans="3:46" ht="11.45" x14ac:dyDescent="0.2">
      <c r="D10" s="40"/>
      <c r="AQ10" s="110"/>
    </row>
    <row r="11" spans="3:46" x14ac:dyDescent="0.25">
      <c r="C11" s="336" t="s">
        <v>80</v>
      </c>
      <c r="D11" s="286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5"/>
      <c r="AL11" s="64"/>
      <c r="AM11" s="64"/>
      <c r="AN11" s="64"/>
      <c r="AO11" s="64"/>
      <c r="AP11" s="64"/>
      <c r="AQ11" s="110"/>
    </row>
    <row r="12" spans="3:46" ht="11.45" x14ac:dyDescent="0.2">
      <c r="AL12" s="139"/>
      <c r="AM12" s="139"/>
      <c r="AN12" s="139"/>
      <c r="AO12" s="139"/>
      <c r="AP12" s="139"/>
      <c r="AQ12" s="110"/>
    </row>
    <row r="13" spans="3:46" ht="12.75" thickBot="1" x14ac:dyDescent="0.25">
      <c r="C13" s="40" t="s">
        <v>81</v>
      </c>
      <c r="AL13" s="412"/>
      <c r="AM13" s="413"/>
      <c r="AN13" s="413"/>
      <c r="AO13" s="413"/>
      <c r="AP13" s="414"/>
      <c r="AQ13" s="110"/>
    </row>
    <row r="14" spans="3:46" x14ac:dyDescent="0.2">
      <c r="AL14" s="415"/>
      <c r="AM14" s="416"/>
      <c r="AN14" s="416"/>
      <c r="AO14" s="416"/>
      <c r="AP14" s="417"/>
      <c r="AQ14" s="110"/>
      <c r="AT14" s="326"/>
    </row>
    <row r="15" spans="3:46" x14ac:dyDescent="0.2">
      <c r="C15" s="293" t="s">
        <v>47</v>
      </c>
      <c r="D15" s="294" t="s">
        <v>74</v>
      </c>
      <c r="E15" s="69" t="str">
        <f>'1. Accomodation'!L9</f>
        <v>1 Bed</v>
      </c>
      <c r="F15" s="69" t="str">
        <f>'1. Accomodation'!L10</f>
        <v>2 Bed</v>
      </c>
      <c r="G15" s="69" t="str">
        <f>'1. Accomodation'!L11</f>
        <v>3 Bed</v>
      </c>
      <c r="H15" s="69">
        <f>'1. Accomodation'!L12</f>
        <v>0</v>
      </c>
      <c r="I15" s="69">
        <f>'1. Accomodation'!L13</f>
        <v>0</v>
      </c>
      <c r="J15" s="69">
        <f>'1. Accomodation'!M13</f>
        <v>0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L15" s="415"/>
      <c r="AM15" s="416"/>
      <c r="AN15" s="416"/>
      <c r="AO15" s="416"/>
      <c r="AP15" s="417"/>
      <c r="AQ15" s="110"/>
    </row>
    <row r="16" spans="3:46" x14ac:dyDescent="0.2">
      <c r="C16" s="295" t="s">
        <v>82</v>
      </c>
      <c r="D16" s="296"/>
      <c r="E16" s="366">
        <v>845</v>
      </c>
      <c r="F16" s="366">
        <v>1110</v>
      </c>
      <c r="G16" s="366">
        <v>1485</v>
      </c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L16" s="418"/>
      <c r="AM16" s="419"/>
      <c r="AN16" s="419"/>
      <c r="AO16" s="419"/>
      <c r="AP16" s="420"/>
      <c r="AQ16" s="110"/>
    </row>
    <row r="17" spans="3:43" ht="11.45" x14ac:dyDescent="0.2">
      <c r="AL17" s="139"/>
      <c r="AM17" s="139"/>
      <c r="AN17" s="139"/>
      <c r="AO17" s="139"/>
      <c r="AP17" s="139"/>
      <c r="AQ17" s="110"/>
    </row>
    <row r="18" spans="3:43" x14ac:dyDescent="0.25">
      <c r="C18" s="336" t="s">
        <v>83</v>
      </c>
      <c r="D18" s="28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4"/>
      <c r="AL18" s="64"/>
      <c r="AM18" s="64"/>
      <c r="AN18" s="64"/>
      <c r="AO18" s="64"/>
      <c r="AP18" s="64"/>
      <c r="AQ18" s="110"/>
    </row>
    <row r="19" spans="3:43" ht="11.45" x14ac:dyDescent="0.2">
      <c r="AL19" s="139"/>
      <c r="AM19" s="139"/>
      <c r="AN19" s="139"/>
      <c r="AO19" s="139"/>
      <c r="AP19" s="139"/>
      <c r="AQ19" s="110"/>
    </row>
    <row r="20" spans="3:43" ht="10.35" customHeight="1" x14ac:dyDescent="0.2">
      <c r="C20" s="40" t="s">
        <v>84</v>
      </c>
      <c r="AL20" s="412"/>
      <c r="AM20" s="413"/>
      <c r="AN20" s="413"/>
      <c r="AO20" s="413"/>
      <c r="AP20" s="414"/>
      <c r="AQ20" s="110"/>
    </row>
    <row r="21" spans="3:43" x14ac:dyDescent="0.2">
      <c r="AL21" s="415"/>
      <c r="AM21" s="416"/>
      <c r="AN21" s="416"/>
      <c r="AO21" s="416"/>
      <c r="AP21" s="417"/>
      <c r="AQ21" s="110"/>
    </row>
    <row r="22" spans="3:43" x14ac:dyDescent="0.2">
      <c r="C22" s="293" t="s">
        <v>85</v>
      </c>
      <c r="D22" s="294" t="s">
        <v>74</v>
      </c>
      <c r="E22" s="365">
        <v>1</v>
      </c>
      <c r="F22" s="365">
        <v>2</v>
      </c>
      <c r="G22" s="365">
        <v>3</v>
      </c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L22" s="415"/>
      <c r="AM22" s="416"/>
      <c r="AN22" s="416"/>
      <c r="AO22" s="416"/>
      <c r="AP22" s="417"/>
      <c r="AQ22" s="110"/>
    </row>
    <row r="23" spans="3:43" x14ac:dyDescent="0.2">
      <c r="C23" s="295" t="s">
        <v>86</v>
      </c>
      <c r="D23" s="296"/>
      <c r="E23" s="367">
        <v>0</v>
      </c>
      <c r="F23" s="367">
        <v>0</v>
      </c>
      <c r="G23" s="367">
        <v>0</v>
      </c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L23" s="418"/>
      <c r="AM23" s="419"/>
      <c r="AN23" s="419"/>
      <c r="AO23" s="419"/>
      <c r="AP23" s="420"/>
      <c r="AQ23" s="110"/>
    </row>
    <row r="24" spans="3:43" ht="11.45" x14ac:dyDescent="0.2">
      <c r="AQ24" s="110"/>
    </row>
    <row r="25" spans="3:43" x14ac:dyDescent="0.25">
      <c r="C25" s="336" t="s">
        <v>87</v>
      </c>
      <c r="D25" s="286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L25" s="64"/>
      <c r="AM25" s="64"/>
      <c r="AN25" s="64"/>
      <c r="AO25" s="64"/>
      <c r="AP25" s="64"/>
      <c r="AQ25" s="110"/>
    </row>
    <row r="26" spans="3:43" ht="11.45" x14ac:dyDescent="0.2">
      <c r="AL26" s="139"/>
      <c r="AM26" s="139"/>
      <c r="AN26" s="139"/>
      <c r="AO26" s="139"/>
      <c r="AP26" s="139"/>
      <c r="AQ26" s="110"/>
    </row>
    <row r="27" spans="3:43" x14ac:dyDescent="0.2">
      <c r="C27" s="40" t="s">
        <v>88</v>
      </c>
      <c r="AL27" s="421"/>
      <c r="AM27" s="422"/>
      <c r="AN27" s="422"/>
      <c r="AO27" s="422"/>
      <c r="AP27" s="423"/>
      <c r="AQ27" s="110"/>
    </row>
    <row r="28" spans="3:43" x14ac:dyDescent="0.2">
      <c r="AI28" s="140"/>
      <c r="AL28" s="424"/>
      <c r="AM28" s="425"/>
      <c r="AN28" s="425"/>
      <c r="AO28" s="425"/>
      <c r="AP28" s="426"/>
      <c r="AQ28" s="110"/>
    </row>
    <row r="29" spans="3:43" x14ac:dyDescent="0.2">
      <c r="C29" s="270" t="s">
        <v>47</v>
      </c>
      <c r="D29" s="287" t="s">
        <v>74</v>
      </c>
      <c r="E29" s="197" t="s">
        <v>89</v>
      </c>
      <c r="F29" s="197" t="s">
        <v>90</v>
      </c>
      <c r="G29" s="197" t="s">
        <v>91</v>
      </c>
      <c r="H29" s="197" t="s">
        <v>74</v>
      </c>
      <c r="I29" s="197" t="s">
        <v>74</v>
      </c>
      <c r="J29" s="197" t="s">
        <v>74</v>
      </c>
      <c r="K29" s="197" t="s">
        <v>74</v>
      </c>
      <c r="L29" s="197" t="s">
        <v>74</v>
      </c>
      <c r="M29" s="197" t="s">
        <v>74</v>
      </c>
      <c r="N29" s="197" t="s">
        <v>74</v>
      </c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L29" s="424"/>
      <c r="AM29" s="425"/>
      <c r="AN29" s="425"/>
      <c r="AO29" s="425"/>
      <c r="AP29" s="426"/>
      <c r="AQ29" s="110"/>
    </row>
    <row r="30" spans="3:43" x14ac:dyDescent="0.2">
      <c r="C30" s="271" t="s">
        <v>92</v>
      </c>
      <c r="D30" s="288"/>
      <c r="E30" s="324">
        <f>IFERROR(INDEX('1. Accomodation'!$F$9:$F$11,MATCH('2. GRI Pricing Inputs'!E$29,'1. Accomodation'!$D$9:$D$11,0)),0)</f>
        <v>0</v>
      </c>
      <c r="F30" s="324">
        <f>IFERROR(INDEX('1. Accomodation'!$F$9:$F$11,MATCH('2. GRI Pricing Inputs'!F$29,'1. Accomodation'!$D$9:$D$11,0)),0)</f>
        <v>0</v>
      </c>
      <c r="G30" s="324">
        <f>IFERROR(INDEX('1. Accomodation'!$F$9:$F$11,MATCH('2. GRI Pricing Inputs'!G$29,'1. Accomodation'!$D$9:$D$11,0)),0)</f>
        <v>0</v>
      </c>
      <c r="H30" s="324">
        <f>IFERROR(INDEX('1. Accomodation'!$F$9:$F$11,MATCH('2. GRI Pricing Inputs'!H$29,'1. Accomodation'!$D$9:$D$11,0)),0)</f>
        <v>0</v>
      </c>
      <c r="I30" s="324">
        <f>IFERROR(INDEX('1. Accomodation'!$F$9:$F$11,MATCH('2. GRI Pricing Inputs'!I$29,'1. Accomodation'!$D$9:$D$11,0)),0)</f>
        <v>0</v>
      </c>
      <c r="J30" s="324">
        <f>IFERROR(INDEX('1. Accomodation'!$F$9:$F$11,MATCH('2. GRI Pricing Inputs'!J$29,'1. Accomodation'!$D$9:$D$11,0)),0)</f>
        <v>0</v>
      </c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324"/>
      <c r="AH30" s="324"/>
      <c r="AI30" s="324"/>
      <c r="AL30" s="424"/>
      <c r="AM30" s="425"/>
      <c r="AN30" s="425"/>
      <c r="AO30" s="425"/>
      <c r="AP30" s="426"/>
      <c r="AQ30" s="110"/>
    </row>
    <row r="31" spans="3:43" x14ac:dyDescent="0.2">
      <c r="AI31" s="140"/>
      <c r="AL31" s="424"/>
      <c r="AM31" s="425"/>
      <c r="AN31" s="425"/>
      <c r="AO31" s="425"/>
      <c r="AP31" s="426"/>
      <c r="AQ31" s="110"/>
    </row>
    <row r="32" spans="3:43" ht="15.6" customHeight="1" x14ac:dyDescent="0.2">
      <c r="C32" s="392" t="s">
        <v>93</v>
      </c>
      <c r="D32" s="410">
        <v>1</v>
      </c>
      <c r="E32" s="411"/>
      <c r="F32" s="398">
        <v>2</v>
      </c>
      <c r="G32" s="400"/>
      <c r="H32" s="398">
        <v>3</v>
      </c>
      <c r="I32" s="400"/>
      <c r="J32" s="398">
        <v>4</v>
      </c>
      <c r="K32" s="400"/>
      <c r="L32" s="398">
        <v>5</v>
      </c>
      <c r="M32" s="400"/>
      <c r="N32" s="398">
        <v>6</v>
      </c>
      <c r="O32" s="400"/>
      <c r="P32" s="398">
        <v>7</v>
      </c>
      <c r="Q32" s="400"/>
      <c r="R32" s="398">
        <v>8</v>
      </c>
      <c r="S32" s="399"/>
      <c r="T32" s="398">
        <v>9</v>
      </c>
      <c r="U32" s="400"/>
      <c r="V32" s="398">
        <v>10</v>
      </c>
      <c r="W32" s="399"/>
      <c r="X32" s="398">
        <v>11</v>
      </c>
      <c r="Y32" s="400"/>
      <c r="Z32" s="398">
        <v>12</v>
      </c>
      <c r="AA32" s="400"/>
      <c r="AB32" s="398">
        <v>13</v>
      </c>
      <c r="AC32" s="399"/>
      <c r="AD32" s="398">
        <v>14</v>
      </c>
      <c r="AE32" s="400"/>
      <c r="AF32" s="398">
        <v>15</v>
      </c>
      <c r="AG32" s="399"/>
      <c r="AH32" s="398"/>
      <c r="AI32" s="399"/>
      <c r="AL32" s="424"/>
      <c r="AM32" s="425"/>
      <c r="AN32" s="425"/>
      <c r="AO32" s="425"/>
      <c r="AP32" s="426"/>
      <c r="AQ32" s="110"/>
    </row>
    <row r="33" spans="3:43" ht="12" customHeight="1" x14ac:dyDescent="0.2">
      <c r="C33" s="393"/>
      <c r="D33" s="360">
        <v>484</v>
      </c>
      <c r="E33" s="360">
        <v>484</v>
      </c>
      <c r="F33" s="360">
        <v>495</v>
      </c>
      <c r="G33" s="360">
        <v>506</v>
      </c>
      <c r="H33" s="360">
        <v>517</v>
      </c>
      <c r="I33" s="360">
        <v>527</v>
      </c>
      <c r="J33" s="360">
        <v>538</v>
      </c>
      <c r="K33" s="360">
        <v>553</v>
      </c>
      <c r="L33" s="360">
        <v>560</v>
      </c>
      <c r="M33" s="360">
        <v>570</v>
      </c>
      <c r="N33" s="360">
        <v>603</v>
      </c>
      <c r="O33" s="360">
        <v>614</v>
      </c>
      <c r="P33" s="360">
        <v>623</v>
      </c>
      <c r="Q33" s="360">
        <v>636</v>
      </c>
      <c r="R33" s="360">
        <v>646</v>
      </c>
      <c r="S33" s="360">
        <v>657</v>
      </c>
      <c r="T33" s="360">
        <v>667</v>
      </c>
      <c r="U33" s="360">
        <v>667</v>
      </c>
      <c r="V33" s="360">
        <v>678</v>
      </c>
      <c r="W33" s="360">
        <v>678</v>
      </c>
      <c r="X33" s="360">
        <v>689</v>
      </c>
      <c r="Y33" s="360">
        <v>689</v>
      </c>
      <c r="Z33" s="360">
        <v>700</v>
      </c>
      <c r="AA33" s="360">
        <v>701</v>
      </c>
      <c r="AB33" s="360">
        <v>818</v>
      </c>
      <c r="AC33" s="360">
        <v>818</v>
      </c>
      <c r="AD33" s="360">
        <v>829</v>
      </c>
      <c r="AE33" s="360">
        <v>829</v>
      </c>
      <c r="AF33" s="360">
        <v>840</v>
      </c>
      <c r="AG33" s="360">
        <v>840</v>
      </c>
      <c r="AH33" s="197"/>
      <c r="AI33" s="314"/>
      <c r="AL33" s="424"/>
      <c r="AM33" s="425"/>
      <c r="AN33" s="425"/>
      <c r="AO33" s="425"/>
      <c r="AP33" s="426"/>
      <c r="AQ33" s="110"/>
    </row>
    <row r="34" spans="3:43" x14ac:dyDescent="0.2">
      <c r="C34" s="368" t="s">
        <v>89</v>
      </c>
      <c r="D34" s="404">
        <v>10</v>
      </c>
      <c r="E34" s="405"/>
      <c r="F34" s="394">
        <v>15</v>
      </c>
      <c r="G34" s="401"/>
      <c r="H34" s="394">
        <v>20</v>
      </c>
      <c r="I34" s="401"/>
      <c r="J34" s="394">
        <v>25</v>
      </c>
      <c r="K34" s="401"/>
      <c r="L34" s="394">
        <v>35</v>
      </c>
      <c r="M34" s="401"/>
      <c r="N34" s="407"/>
      <c r="O34" s="405"/>
      <c r="P34" s="394"/>
      <c r="Q34" s="401"/>
      <c r="R34" s="394"/>
      <c r="S34" s="395"/>
      <c r="T34" s="394"/>
      <c r="U34" s="395"/>
      <c r="V34" s="394"/>
      <c r="W34" s="395"/>
      <c r="X34" s="394"/>
      <c r="Y34" s="395"/>
      <c r="Z34" s="394"/>
      <c r="AA34" s="395"/>
      <c r="AB34" s="394"/>
      <c r="AC34" s="395"/>
      <c r="AD34" s="394"/>
      <c r="AE34" s="395"/>
      <c r="AF34" s="394"/>
      <c r="AG34" s="395"/>
      <c r="AH34" s="394"/>
      <c r="AI34" s="395"/>
      <c r="AL34" s="424"/>
      <c r="AM34" s="425"/>
      <c r="AN34" s="425"/>
      <c r="AO34" s="425"/>
      <c r="AP34" s="426"/>
      <c r="AQ34" s="110"/>
    </row>
    <row r="35" spans="3:43" x14ac:dyDescent="0.2">
      <c r="C35" s="368" t="s">
        <v>90</v>
      </c>
      <c r="D35" s="403"/>
      <c r="E35" s="401"/>
      <c r="F35" s="394"/>
      <c r="G35" s="401"/>
      <c r="H35" s="394"/>
      <c r="I35" s="401"/>
      <c r="J35" s="394"/>
      <c r="K35" s="401"/>
      <c r="L35" s="394"/>
      <c r="M35" s="401"/>
      <c r="N35" s="408">
        <v>5</v>
      </c>
      <c r="O35" s="409"/>
      <c r="P35" s="394">
        <v>10</v>
      </c>
      <c r="Q35" s="401"/>
      <c r="R35" s="394">
        <v>20</v>
      </c>
      <c r="S35" s="395"/>
      <c r="T35" s="394">
        <v>30</v>
      </c>
      <c r="U35" s="395"/>
      <c r="V35" s="394">
        <v>40</v>
      </c>
      <c r="W35" s="395"/>
      <c r="X35" s="394">
        <v>65</v>
      </c>
      <c r="Y35" s="395"/>
      <c r="Z35" s="394">
        <v>70</v>
      </c>
      <c r="AA35" s="395"/>
      <c r="AB35" s="394"/>
      <c r="AC35" s="395"/>
      <c r="AD35" s="394"/>
      <c r="AE35" s="395"/>
      <c r="AF35" s="394"/>
      <c r="AG35" s="395"/>
      <c r="AH35" s="394"/>
      <c r="AI35" s="395"/>
      <c r="AL35" s="424"/>
      <c r="AM35" s="425"/>
      <c r="AN35" s="425"/>
      <c r="AO35" s="425"/>
      <c r="AP35" s="426"/>
      <c r="AQ35" s="110"/>
    </row>
    <row r="36" spans="3:43" x14ac:dyDescent="0.2">
      <c r="C36" s="368" t="s">
        <v>91</v>
      </c>
      <c r="D36" s="403"/>
      <c r="E36" s="401"/>
      <c r="F36" s="394"/>
      <c r="G36" s="401"/>
      <c r="H36" s="394"/>
      <c r="I36" s="401"/>
      <c r="J36" s="394"/>
      <c r="K36" s="401"/>
      <c r="L36" s="394"/>
      <c r="M36" s="401"/>
      <c r="N36" s="394"/>
      <c r="O36" s="401"/>
      <c r="P36" s="394"/>
      <c r="Q36" s="401"/>
      <c r="R36" s="394"/>
      <c r="S36" s="395"/>
      <c r="T36" s="394"/>
      <c r="U36" s="395"/>
      <c r="V36" s="394"/>
      <c r="W36" s="395"/>
      <c r="X36" s="394"/>
      <c r="Y36" s="395"/>
      <c r="Z36" s="394"/>
      <c r="AA36" s="395"/>
      <c r="AB36" s="394">
        <v>50</v>
      </c>
      <c r="AC36" s="395"/>
      <c r="AD36" s="394">
        <v>60</v>
      </c>
      <c r="AE36" s="395"/>
      <c r="AF36" s="394">
        <v>70</v>
      </c>
      <c r="AG36" s="395"/>
      <c r="AH36" s="394"/>
      <c r="AI36" s="395"/>
      <c r="AL36" s="424"/>
      <c r="AM36" s="425"/>
      <c r="AN36" s="425"/>
      <c r="AO36" s="425"/>
      <c r="AP36" s="426"/>
      <c r="AQ36" s="110"/>
    </row>
    <row r="37" spans="3:43" x14ac:dyDescent="0.2">
      <c r="C37" s="313" t="s">
        <v>74</v>
      </c>
      <c r="D37" s="403"/>
      <c r="E37" s="401"/>
      <c r="F37" s="394"/>
      <c r="G37" s="401"/>
      <c r="H37" s="394"/>
      <c r="I37" s="401"/>
      <c r="J37" s="394"/>
      <c r="K37" s="401"/>
      <c r="L37" s="394"/>
      <c r="M37" s="401"/>
      <c r="N37" s="394"/>
      <c r="O37" s="401"/>
      <c r="P37" s="394"/>
      <c r="Q37" s="401"/>
      <c r="R37" s="394"/>
      <c r="S37" s="395"/>
      <c r="T37" s="394"/>
      <c r="U37" s="395"/>
      <c r="V37" s="394"/>
      <c r="W37" s="395"/>
      <c r="X37" s="394"/>
      <c r="Y37" s="395"/>
      <c r="Z37" s="394"/>
      <c r="AA37" s="395"/>
      <c r="AB37" s="394"/>
      <c r="AC37" s="395"/>
      <c r="AD37" s="394"/>
      <c r="AE37" s="395"/>
      <c r="AF37" s="394"/>
      <c r="AG37" s="395"/>
      <c r="AH37" s="394"/>
      <c r="AI37" s="395"/>
      <c r="AL37" s="424"/>
      <c r="AM37" s="425"/>
      <c r="AN37" s="425"/>
      <c r="AO37" s="425"/>
      <c r="AP37" s="426"/>
      <c r="AQ37" s="110"/>
    </row>
    <row r="38" spans="3:43" x14ac:dyDescent="0.2">
      <c r="C38" s="313" t="s">
        <v>74</v>
      </c>
      <c r="D38" s="403"/>
      <c r="E38" s="401"/>
      <c r="F38" s="394"/>
      <c r="G38" s="401"/>
      <c r="H38" s="394"/>
      <c r="I38" s="401"/>
      <c r="J38" s="394"/>
      <c r="K38" s="401"/>
      <c r="L38" s="394"/>
      <c r="M38" s="401"/>
      <c r="N38" s="394"/>
      <c r="O38" s="401"/>
      <c r="P38" s="394"/>
      <c r="Q38" s="401"/>
      <c r="R38" s="394"/>
      <c r="S38" s="395"/>
      <c r="T38" s="394"/>
      <c r="U38" s="395"/>
      <c r="V38" s="394"/>
      <c r="W38" s="395"/>
      <c r="X38" s="394"/>
      <c r="Y38" s="395"/>
      <c r="Z38" s="394"/>
      <c r="AA38" s="395"/>
      <c r="AB38" s="394"/>
      <c r="AC38" s="395"/>
      <c r="AD38" s="394"/>
      <c r="AE38" s="395"/>
      <c r="AF38" s="394"/>
      <c r="AG38" s="395"/>
      <c r="AH38" s="394"/>
      <c r="AI38" s="395"/>
      <c r="AL38" s="424"/>
      <c r="AM38" s="425"/>
      <c r="AN38" s="425"/>
      <c r="AO38" s="425"/>
      <c r="AP38" s="426"/>
      <c r="AQ38" s="110"/>
    </row>
    <row r="39" spans="3:43" x14ac:dyDescent="0.2">
      <c r="C39" s="313" t="s">
        <v>74</v>
      </c>
      <c r="D39" s="406"/>
      <c r="E39" s="402"/>
      <c r="F39" s="396"/>
      <c r="G39" s="402"/>
      <c r="H39" s="396"/>
      <c r="I39" s="402"/>
      <c r="J39" s="396"/>
      <c r="K39" s="402"/>
      <c r="L39" s="396"/>
      <c r="M39" s="402"/>
      <c r="N39" s="396"/>
      <c r="O39" s="402"/>
      <c r="P39" s="396"/>
      <c r="Q39" s="402"/>
      <c r="R39" s="396"/>
      <c r="S39" s="397"/>
      <c r="T39" s="396"/>
      <c r="U39" s="397"/>
      <c r="V39" s="396"/>
      <c r="W39" s="397"/>
      <c r="X39" s="396"/>
      <c r="Y39" s="397"/>
      <c r="Z39" s="396"/>
      <c r="AA39" s="397"/>
      <c r="AB39" s="396"/>
      <c r="AC39" s="397"/>
      <c r="AD39" s="396"/>
      <c r="AE39" s="397"/>
      <c r="AF39" s="396"/>
      <c r="AG39" s="397"/>
      <c r="AH39" s="396"/>
      <c r="AI39" s="397"/>
      <c r="AL39" s="427"/>
      <c r="AM39" s="428"/>
      <c r="AN39" s="428"/>
      <c r="AO39" s="428"/>
      <c r="AP39" s="429"/>
      <c r="AQ39" s="110"/>
    </row>
    <row r="40" spans="3:43" ht="11.45" x14ac:dyDescent="0.2">
      <c r="AL40" s="139"/>
      <c r="AM40" s="139"/>
      <c r="AN40" s="139"/>
      <c r="AO40" s="139"/>
      <c r="AP40" s="139"/>
      <c r="AQ40" s="110"/>
    </row>
    <row r="41" spans="3:43" x14ac:dyDescent="0.25">
      <c r="C41" s="336" t="s">
        <v>94</v>
      </c>
      <c r="D41" s="286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L41" s="64"/>
      <c r="AM41" s="64"/>
      <c r="AN41" s="64"/>
      <c r="AO41" s="64"/>
      <c r="AP41" s="64"/>
      <c r="AQ41" s="110"/>
    </row>
    <row r="42" spans="3:43" ht="11.45" x14ac:dyDescent="0.2">
      <c r="AL42" s="139"/>
      <c r="AM42" s="139"/>
      <c r="AN42" s="139"/>
      <c r="AO42" s="139"/>
      <c r="AP42" s="139"/>
      <c r="AQ42" s="110"/>
    </row>
    <row r="43" spans="3:43" x14ac:dyDescent="0.2">
      <c r="C43" s="40" t="s">
        <v>95</v>
      </c>
      <c r="AL43" s="315"/>
      <c r="AM43" s="316"/>
      <c r="AN43" s="316"/>
      <c r="AO43" s="316"/>
      <c r="AP43" s="317"/>
      <c r="AQ43" s="110"/>
    </row>
    <row r="44" spans="3:43" ht="11.45" x14ac:dyDescent="0.2">
      <c r="AL44" s="318"/>
      <c r="AM44" s="319"/>
      <c r="AN44" s="319"/>
      <c r="AO44" s="319"/>
      <c r="AP44" s="320"/>
      <c r="AQ44" s="110"/>
    </row>
    <row r="45" spans="3:43" x14ac:dyDescent="0.25">
      <c r="C45" s="270" t="s">
        <v>96</v>
      </c>
      <c r="D45" s="287" t="s">
        <v>74</v>
      </c>
      <c r="E45" s="360" t="s">
        <v>213</v>
      </c>
      <c r="F45" s="360">
        <v>1</v>
      </c>
      <c r="G45" s="360">
        <v>2</v>
      </c>
      <c r="H45" s="360">
        <v>3</v>
      </c>
      <c r="I45" s="360">
        <v>4</v>
      </c>
      <c r="J45" s="360">
        <v>5</v>
      </c>
      <c r="K45" s="360">
        <v>6</v>
      </c>
      <c r="L45" s="360">
        <v>7</v>
      </c>
      <c r="M45" s="360">
        <v>8</v>
      </c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L45" s="318"/>
      <c r="AM45" s="319"/>
      <c r="AN45" s="319"/>
      <c r="AO45" s="319"/>
      <c r="AP45" s="320"/>
      <c r="AQ45" s="110"/>
    </row>
    <row r="46" spans="3:43" ht="11.45" customHeight="1" x14ac:dyDescent="0.2">
      <c r="C46" s="271" t="s">
        <v>97</v>
      </c>
      <c r="D46" s="296"/>
      <c r="E46" s="366">
        <v>0</v>
      </c>
      <c r="F46" s="366">
        <v>30</v>
      </c>
      <c r="G46" s="366">
        <v>40</v>
      </c>
      <c r="H46" s="366">
        <v>50</v>
      </c>
      <c r="I46" s="366">
        <v>70</v>
      </c>
      <c r="J46" s="366">
        <v>70</v>
      </c>
      <c r="K46" s="366">
        <v>80</v>
      </c>
      <c r="L46" s="366">
        <v>90</v>
      </c>
      <c r="M46" s="366">
        <v>100</v>
      </c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L46" s="321"/>
      <c r="AM46" s="322"/>
      <c r="AN46" s="322"/>
      <c r="AO46" s="322"/>
      <c r="AP46" s="323"/>
      <c r="AQ46" s="110"/>
    </row>
    <row r="47" spans="3:43" ht="11.45" x14ac:dyDescent="0.2">
      <c r="AL47" s="139"/>
      <c r="AM47" s="139"/>
      <c r="AN47" s="139"/>
      <c r="AO47" s="139"/>
      <c r="AP47" s="139"/>
      <c r="AQ47" s="110"/>
    </row>
    <row r="48" spans="3:43" ht="11.45" x14ac:dyDescent="0.2">
      <c r="AL48" s="139"/>
      <c r="AM48" s="139"/>
      <c r="AN48" s="139"/>
      <c r="AO48" s="139"/>
      <c r="AP48" s="139"/>
      <c r="AQ48" s="110"/>
    </row>
    <row r="49" spans="3:43" x14ac:dyDescent="0.25">
      <c r="C49" s="336" t="s">
        <v>98</v>
      </c>
      <c r="D49" s="289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L49" s="64"/>
      <c r="AM49" s="64"/>
      <c r="AN49" s="64"/>
      <c r="AO49" s="64"/>
      <c r="AP49" s="64"/>
      <c r="AQ49" s="110"/>
    </row>
    <row r="50" spans="3:43" ht="11.45" x14ac:dyDescent="0.2">
      <c r="AL50" s="139"/>
      <c r="AM50" s="139"/>
      <c r="AN50" s="139"/>
      <c r="AO50" s="139"/>
      <c r="AP50" s="139"/>
      <c r="AQ50" s="110"/>
    </row>
    <row r="51" spans="3:43" ht="11.45" x14ac:dyDescent="0.2">
      <c r="C51" s="40" t="s">
        <v>99</v>
      </c>
      <c r="AL51" s="436"/>
      <c r="AM51" s="437"/>
      <c r="AN51" s="437"/>
      <c r="AO51" s="437"/>
      <c r="AP51" s="438"/>
      <c r="AQ51" s="110"/>
    </row>
    <row r="52" spans="3:43" ht="11.45" x14ac:dyDescent="0.2">
      <c r="AL52" s="439"/>
      <c r="AM52" s="416"/>
      <c r="AN52" s="416"/>
      <c r="AO52" s="416"/>
      <c r="AP52" s="440"/>
      <c r="AQ52" s="110"/>
    </row>
    <row r="53" spans="3:43" s="267" customFormat="1" ht="23.1" customHeight="1" x14ac:dyDescent="0.25">
      <c r="C53" s="270" t="s">
        <v>100</v>
      </c>
      <c r="D53" s="287" t="s">
        <v>74</v>
      </c>
      <c r="E53" s="369" t="s">
        <v>341</v>
      </c>
      <c r="F53" s="369" t="s">
        <v>224</v>
      </c>
      <c r="G53" s="369" t="s">
        <v>222</v>
      </c>
      <c r="H53" s="369" t="s">
        <v>220</v>
      </c>
      <c r="I53" s="369" t="s">
        <v>419</v>
      </c>
      <c r="J53" s="369" t="s">
        <v>462</v>
      </c>
      <c r="K53" s="369" t="s">
        <v>214</v>
      </c>
      <c r="L53" s="369" t="s">
        <v>349</v>
      </c>
      <c r="M53" s="369" t="s">
        <v>492</v>
      </c>
      <c r="N53" s="369" t="s">
        <v>393</v>
      </c>
      <c r="O53" s="369" t="s">
        <v>231</v>
      </c>
      <c r="P53" s="369" t="s">
        <v>229</v>
      </c>
      <c r="Q53" s="369" t="s">
        <v>233</v>
      </c>
      <c r="R53" s="369" t="s">
        <v>521</v>
      </c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L53" s="439"/>
      <c r="AM53" s="416"/>
      <c r="AN53" s="416"/>
      <c r="AO53" s="416"/>
      <c r="AP53" s="440"/>
      <c r="AQ53" s="268"/>
    </row>
    <row r="54" spans="3:43" ht="11.45" customHeight="1" x14ac:dyDescent="0.2">
      <c r="C54" s="271" t="s">
        <v>104</v>
      </c>
      <c r="D54" s="288"/>
      <c r="E54" s="366">
        <v>0</v>
      </c>
      <c r="F54" s="366">
        <v>5</v>
      </c>
      <c r="G54" s="366">
        <v>10</v>
      </c>
      <c r="H54" s="366">
        <v>10</v>
      </c>
      <c r="I54" s="366">
        <v>10</v>
      </c>
      <c r="J54" s="366">
        <v>20</v>
      </c>
      <c r="K54" s="366">
        <v>25</v>
      </c>
      <c r="L54" s="366">
        <v>30</v>
      </c>
      <c r="M54" s="366">
        <v>30</v>
      </c>
      <c r="N54" s="366">
        <v>35</v>
      </c>
      <c r="O54" s="366">
        <v>40</v>
      </c>
      <c r="P54" s="366">
        <v>45</v>
      </c>
      <c r="Q54" s="366">
        <v>55</v>
      </c>
      <c r="R54" s="366">
        <v>60</v>
      </c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L54" s="441"/>
      <c r="AM54" s="442"/>
      <c r="AN54" s="442"/>
      <c r="AO54" s="442"/>
      <c r="AP54" s="443"/>
      <c r="AQ54" s="110"/>
    </row>
    <row r="55" spans="3:43" ht="11.45" x14ac:dyDescent="0.2">
      <c r="AL55" s="139"/>
      <c r="AM55" s="139"/>
      <c r="AN55" s="139"/>
      <c r="AO55" s="139"/>
      <c r="AP55" s="139"/>
      <c r="AQ55" s="110"/>
    </row>
    <row r="56" spans="3:43" x14ac:dyDescent="0.25">
      <c r="C56" s="336" t="s">
        <v>105</v>
      </c>
      <c r="D56" s="286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L56" s="64"/>
      <c r="AM56" s="64"/>
      <c r="AN56" s="64"/>
      <c r="AO56" s="64"/>
      <c r="AP56" s="64"/>
      <c r="AQ56" s="110"/>
    </row>
    <row r="57" spans="3:43" ht="11.45" x14ac:dyDescent="0.2">
      <c r="AL57" s="139"/>
      <c r="AM57" s="139"/>
      <c r="AN57" s="139"/>
      <c r="AO57" s="139"/>
      <c r="AP57" s="139"/>
      <c r="AQ57" s="110"/>
    </row>
    <row r="58" spans="3:43" ht="11.45" x14ac:dyDescent="0.2">
      <c r="C58" s="40" t="s">
        <v>106</v>
      </c>
      <c r="AL58" s="436"/>
      <c r="AM58" s="437"/>
      <c r="AN58" s="437"/>
      <c r="AO58" s="437"/>
      <c r="AP58" s="438"/>
      <c r="AQ58" s="110"/>
    </row>
    <row r="59" spans="3:43" ht="11.45" x14ac:dyDescent="0.2">
      <c r="C59" s="140"/>
      <c r="D59" s="290"/>
      <c r="AL59" s="439"/>
      <c r="AM59" s="416"/>
      <c r="AN59" s="416"/>
      <c r="AO59" s="416"/>
      <c r="AP59" s="440"/>
      <c r="AQ59" s="110"/>
    </row>
    <row r="60" spans="3:43" s="267" customFormat="1" ht="23.1" customHeight="1" x14ac:dyDescent="0.2">
      <c r="C60" s="270" t="s">
        <v>107</v>
      </c>
      <c r="D60" s="287" t="s">
        <v>74</v>
      </c>
      <c r="E60" s="369" t="s">
        <v>522</v>
      </c>
      <c r="F60" s="369" t="s">
        <v>523</v>
      </c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L60" s="439"/>
      <c r="AM60" s="416"/>
      <c r="AN60" s="416"/>
      <c r="AO60" s="416"/>
      <c r="AP60" s="440"/>
      <c r="AQ60" s="268"/>
    </row>
    <row r="61" spans="3:43" ht="11.45" customHeight="1" x14ac:dyDescent="0.2">
      <c r="C61" s="271" t="s">
        <v>108</v>
      </c>
      <c r="D61" s="288"/>
      <c r="E61" s="366">
        <v>5</v>
      </c>
      <c r="F61" s="366">
        <v>0</v>
      </c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L61" s="194"/>
      <c r="AM61" s="195"/>
      <c r="AN61" s="195"/>
      <c r="AO61" s="195"/>
      <c r="AP61" s="196"/>
      <c r="AQ61" s="110"/>
    </row>
    <row r="62" spans="3:43" s="126" customFormat="1" x14ac:dyDescent="0.2">
      <c r="C62" s="261"/>
      <c r="D62" s="291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L62" s="263"/>
      <c r="AM62" s="263"/>
      <c r="AN62" s="263"/>
      <c r="AO62" s="263"/>
      <c r="AP62" s="263"/>
      <c r="AQ62" s="264"/>
    </row>
    <row r="63" spans="3:43" x14ac:dyDescent="0.2">
      <c r="C63" s="336" t="s">
        <v>109</v>
      </c>
      <c r="D63" s="286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L63" s="64"/>
      <c r="AM63" s="64"/>
      <c r="AN63" s="64"/>
      <c r="AO63" s="64"/>
      <c r="AP63" s="64"/>
      <c r="AQ63" s="110"/>
    </row>
    <row r="64" spans="3:43" x14ac:dyDescent="0.2">
      <c r="AL64" s="139"/>
      <c r="AM64" s="139"/>
      <c r="AN64" s="139"/>
      <c r="AO64" s="139"/>
      <c r="AP64" s="139"/>
      <c r="AQ64" s="110"/>
    </row>
    <row r="65" spans="3:43" x14ac:dyDescent="0.2">
      <c r="C65" s="40" t="s">
        <v>110</v>
      </c>
      <c r="AL65" s="412"/>
      <c r="AM65" s="413"/>
      <c r="AN65" s="413"/>
      <c r="AO65" s="413"/>
      <c r="AP65" s="414"/>
      <c r="AQ65" s="110"/>
    </row>
    <row r="66" spans="3:43" x14ac:dyDescent="0.2">
      <c r="AL66" s="415"/>
      <c r="AM66" s="416"/>
      <c r="AN66" s="416"/>
      <c r="AO66" s="416"/>
      <c r="AP66" s="417"/>
      <c r="AQ66" s="110"/>
    </row>
    <row r="67" spans="3:43" s="267" customFormat="1" ht="29.1" customHeight="1" x14ac:dyDescent="0.2">
      <c r="C67" s="270" t="s">
        <v>111</v>
      </c>
      <c r="D67" s="287" t="s">
        <v>74</v>
      </c>
      <c r="E67" s="369" t="s">
        <v>112</v>
      </c>
      <c r="F67" s="369" t="s">
        <v>397</v>
      </c>
      <c r="G67" s="369" t="s">
        <v>386</v>
      </c>
      <c r="H67" s="369" t="s">
        <v>113</v>
      </c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L67" s="415"/>
      <c r="AM67" s="416"/>
      <c r="AN67" s="416"/>
      <c r="AO67" s="416"/>
      <c r="AP67" s="417"/>
      <c r="AQ67" s="268"/>
    </row>
    <row r="68" spans="3:43" x14ac:dyDescent="0.2">
      <c r="C68" s="271" t="s">
        <v>114</v>
      </c>
      <c r="D68" s="288"/>
      <c r="E68" s="366">
        <v>40</v>
      </c>
      <c r="F68" s="366">
        <v>20</v>
      </c>
      <c r="G68" s="366">
        <v>10</v>
      </c>
      <c r="H68" s="366">
        <v>0</v>
      </c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L68" s="418"/>
      <c r="AM68" s="419"/>
      <c r="AN68" s="419"/>
      <c r="AO68" s="419"/>
      <c r="AP68" s="420"/>
      <c r="AQ68" s="110"/>
    </row>
    <row r="69" spans="3:43" x14ac:dyDescent="0.2">
      <c r="AL69" s="139"/>
      <c r="AM69" s="139"/>
      <c r="AN69" s="139"/>
      <c r="AO69" s="139"/>
      <c r="AP69" s="139"/>
      <c r="AQ69" s="110"/>
    </row>
    <row r="70" spans="3:43" x14ac:dyDescent="0.2">
      <c r="C70" s="336" t="s">
        <v>115</v>
      </c>
      <c r="D70" s="286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L70" s="64"/>
      <c r="AM70" s="64"/>
      <c r="AN70" s="64"/>
      <c r="AO70" s="64"/>
      <c r="AP70" s="64"/>
      <c r="AQ70" s="110"/>
    </row>
    <row r="71" spans="3:43" x14ac:dyDescent="0.2">
      <c r="C71" s="140"/>
      <c r="D71" s="290"/>
      <c r="AL71" s="139"/>
      <c r="AM71" s="139"/>
      <c r="AN71" s="139"/>
      <c r="AO71" s="139"/>
      <c r="AP71" s="139"/>
      <c r="AQ71" s="110"/>
    </row>
    <row r="72" spans="3:43" x14ac:dyDescent="0.2">
      <c r="C72" s="40" t="s">
        <v>116</v>
      </c>
      <c r="AL72" s="436"/>
      <c r="AM72" s="437"/>
      <c r="AN72" s="437"/>
      <c r="AO72" s="437"/>
      <c r="AP72" s="438"/>
      <c r="AQ72" s="110"/>
    </row>
    <row r="73" spans="3:43" x14ac:dyDescent="0.2">
      <c r="C73" s="140"/>
      <c r="D73" s="290"/>
      <c r="AL73" s="439"/>
      <c r="AM73" s="416"/>
      <c r="AN73" s="416"/>
      <c r="AO73" s="416"/>
      <c r="AP73" s="440"/>
      <c r="AQ73" s="110"/>
    </row>
    <row r="74" spans="3:43" s="267" customFormat="1" ht="34.35" customHeight="1" x14ac:dyDescent="0.2">
      <c r="C74" s="270" t="s">
        <v>117</v>
      </c>
      <c r="D74" s="287" t="s">
        <v>74</v>
      </c>
      <c r="E74" s="369" t="s">
        <v>118</v>
      </c>
      <c r="F74" s="369" t="s">
        <v>119</v>
      </c>
      <c r="G74" s="369" t="s">
        <v>120</v>
      </c>
      <c r="H74" s="369" t="s">
        <v>121</v>
      </c>
      <c r="I74" s="369" t="s">
        <v>122</v>
      </c>
      <c r="J74" s="369" t="s">
        <v>123</v>
      </c>
      <c r="K74" s="369" t="s">
        <v>124</v>
      </c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69" t="s">
        <v>125</v>
      </c>
      <c r="AL74" s="439"/>
      <c r="AM74" s="416"/>
      <c r="AN74" s="416"/>
      <c r="AO74" s="416"/>
      <c r="AP74" s="440"/>
      <c r="AQ74" s="268"/>
    </row>
    <row r="75" spans="3:43" ht="12" customHeight="1" x14ac:dyDescent="0.2">
      <c r="C75" s="271" t="s">
        <v>126</v>
      </c>
      <c r="D75" s="288"/>
      <c r="E75" s="366">
        <v>15</v>
      </c>
      <c r="F75" s="366">
        <v>0</v>
      </c>
      <c r="G75" s="366">
        <v>15</v>
      </c>
      <c r="H75" s="366">
        <v>0</v>
      </c>
      <c r="I75" s="366">
        <v>15</v>
      </c>
      <c r="J75" s="366">
        <v>0</v>
      </c>
      <c r="K75" s="366">
        <v>25</v>
      </c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9">
        <f>SUM(E75:AH75)</f>
        <v>70</v>
      </c>
      <c r="AL75" s="194"/>
      <c r="AM75" s="195"/>
      <c r="AN75" s="195"/>
      <c r="AO75" s="195"/>
      <c r="AP75" s="196"/>
      <c r="AQ75" s="110"/>
    </row>
    <row r="76" spans="3:43" x14ac:dyDescent="0.2">
      <c r="AL76" s="139"/>
      <c r="AM76" s="139"/>
      <c r="AN76" s="139"/>
      <c r="AO76" s="139"/>
      <c r="AP76" s="139"/>
      <c r="AQ76" s="110"/>
    </row>
    <row r="77" spans="3:43" x14ac:dyDescent="0.2">
      <c r="AL77" s="139"/>
      <c r="AM77" s="139"/>
      <c r="AN77" s="139"/>
      <c r="AO77" s="139"/>
      <c r="AP77" s="139"/>
      <c r="AQ77" s="110"/>
    </row>
    <row r="78" spans="3:43" x14ac:dyDescent="0.2">
      <c r="C78" s="336" t="s">
        <v>127</v>
      </c>
      <c r="D78" s="286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L78" s="64"/>
      <c r="AM78" s="64"/>
      <c r="AN78" s="64"/>
      <c r="AO78" s="64"/>
      <c r="AP78" s="64"/>
      <c r="AQ78" s="110"/>
    </row>
    <row r="79" spans="3:43" x14ac:dyDescent="0.2">
      <c r="AL79" s="139"/>
      <c r="AM79" s="139"/>
      <c r="AN79" s="139"/>
      <c r="AO79" s="139"/>
      <c r="AP79" s="139"/>
      <c r="AQ79" s="110"/>
    </row>
    <row r="80" spans="3:43" x14ac:dyDescent="0.2">
      <c r="C80" s="40" t="s">
        <v>128</v>
      </c>
      <c r="AL80" s="412"/>
      <c r="AM80" s="413"/>
      <c r="AN80" s="413"/>
      <c r="AO80" s="413"/>
      <c r="AP80" s="414"/>
      <c r="AQ80" s="110"/>
    </row>
    <row r="81" spans="3:43" x14ac:dyDescent="0.2">
      <c r="AL81" s="415"/>
      <c r="AM81" s="416"/>
      <c r="AN81" s="416"/>
      <c r="AO81" s="416"/>
      <c r="AP81" s="417"/>
      <c r="AQ81" s="110"/>
    </row>
    <row r="82" spans="3:43" s="111" customFormat="1" ht="23.1" customHeight="1" x14ac:dyDescent="0.2">
      <c r="C82" s="270" t="s">
        <v>129</v>
      </c>
      <c r="D82" s="287" t="s">
        <v>74</v>
      </c>
      <c r="E82" s="369" t="s">
        <v>305</v>
      </c>
      <c r="F82" s="369" t="s">
        <v>215</v>
      </c>
      <c r="G82" s="369" t="s">
        <v>218</v>
      </c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L82" s="415"/>
      <c r="AM82" s="416"/>
      <c r="AN82" s="416"/>
      <c r="AO82" s="416"/>
      <c r="AP82" s="417"/>
      <c r="AQ82" s="265"/>
    </row>
    <row r="83" spans="3:43" x14ac:dyDescent="0.2">
      <c r="C83" s="370" t="s">
        <v>524</v>
      </c>
      <c r="D83" s="288"/>
      <c r="E83" s="366">
        <v>-50</v>
      </c>
      <c r="F83" s="366">
        <v>20</v>
      </c>
      <c r="G83" s="366">
        <v>0</v>
      </c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41"/>
      <c r="AL83" s="418"/>
      <c r="AM83" s="419"/>
      <c r="AN83" s="419"/>
      <c r="AO83" s="419"/>
      <c r="AP83" s="420"/>
      <c r="AQ83" s="110"/>
    </row>
    <row r="84" spans="3:43" x14ac:dyDescent="0.2">
      <c r="AL84" s="139"/>
      <c r="AM84" s="139"/>
      <c r="AN84" s="139"/>
      <c r="AO84" s="139"/>
      <c r="AP84" s="139"/>
      <c r="AQ84" s="110"/>
    </row>
    <row r="85" spans="3:43" x14ac:dyDescent="0.2">
      <c r="C85" s="336" t="s">
        <v>130</v>
      </c>
      <c r="D85" s="286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L85" s="64"/>
      <c r="AM85" s="64"/>
      <c r="AN85" s="64"/>
      <c r="AO85" s="64"/>
      <c r="AP85" s="64"/>
      <c r="AQ85" s="110"/>
    </row>
    <row r="86" spans="3:43" x14ac:dyDescent="0.2">
      <c r="AL86" s="139"/>
      <c r="AM86" s="139"/>
      <c r="AN86" s="139"/>
      <c r="AO86" s="139"/>
      <c r="AP86" s="139"/>
      <c r="AQ86" s="110"/>
    </row>
    <row r="87" spans="3:43" x14ac:dyDescent="0.2">
      <c r="C87" s="40" t="s">
        <v>128</v>
      </c>
      <c r="AL87" s="412"/>
      <c r="AM87" s="413"/>
      <c r="AN87" s="413"/>
      <c r="AO87" s="413"/>
      <c r="AP87" s="414"/>
      <c r="AQ87" s="110"/>
    </row>
    <row r="88" spans="3:43" x14ac:dyDescent="0.2">
      <c r="AL88" s="415"/>
      <c r="AM88" s="416"/>
      <c r="AN88" s="416"/>
      <c r="AO88" s="416"/>
      <c r="AP88" s="417"/>
      <c r="AQ88" s="110"/>
    </row>
    <row r="89" spans="3:43" s="111" customFormat="1" ht="25.35" customHeight="1" x14ac:dyDescent="0.2">
      <c r="C89" s="270" t="s">
        <v>129</v>
      </c>
      <c r="D89" s="287" t="s">
        <v>74</v>
      </c>
      <c r="E89" s="369" t="s">
        <v>237</v>
      </c>
      <c r="F89" s="369" t="s">
        <v>525</v>
      </c>
      <c r="G89" s="369" t="s">
        <v>337</v>
      </c>
      <c r="H89" s="369" t="s">
        <v>113</v>
      </c>
      <c r="I89" s="260"/>
      <c r="J89" s="260"/>
      <c r="K89" s="26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L89" s="415"/>
      <c r="AM89" s="416"/>
      <c r="AN89" s="416"/>
      <c r="AO89" s="416"/>
      <c r="AP89" s="417"/>
      <c r="AQ89" s="265"/>
    </row>
    <row r="90" spans="3:43" x14ac:dyDescent="0.2">
      <c r="C90" s="370" t="s">
        <v>526</v>
      </c>
      <c r="D90" s="288"/>
      <c r="E90" s="366">
        <v>-25</v>
      </c>
      <c r="F90" s="366">
        <v>-50</v>
      </c>
      <c r="G90" s="366">
        <v>-75</v>
      </c>
      <c r="H90" s="366">
        <v>0</v>
      </c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41" t="b">
        <f>SUM(E90:J90)='1. Accomodation'!E14</f>
        <v>0</v>
      </c>
      <c r="AL90" s="418"/>
      <c r="AM90" s="419"/>
      <c r="AN90" s="419"/>
      <c r="AO90" s="419"/>
      <c r="AP90" s="420"/>
      <c r="AQ90" s="110"/>
    </row>
    <row r="91" spans="3:43" x14ac:dyDescent="0.2">
      <c r="AL91" s="139"/>
      <c r="AM91" s="139"/>
      <c r="AN91" s="139"/>
      <c r="AO91" s="139"/>
      <c r="AP91" s="139"/>
      <c r="AQ91" s="110"/>
    </row>
    <row r="92" spans="3:43" x14ac:dyDescent="0.2">
      <c r="AL92" s="139"/>
      <c r="AM92" s="139"/>
      <c r="AN92" s="139"/>
      <c r="AO92" s="139"/>
      <c r="AP92" s="139"/>
      <c r="AQ92" s="110"/>
    </row>
    <row r="93" spans="3:43" x14ac:dyDescent="0.2">
      <c r="C93" s="336" t="s">
        <v>131</v>
      </c>
      <c r="D93" s="286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L93" s="64"/>
      <c r="AM93" s="64"/>
      <c r="AN93" s="64"/>
      <c r="AO93" s="64"/>
      <c r="AP93" s="64"/>
      <c r="AQ93" s="110"/>
    </row>
    <row r="94" spans="3:43" x14ac:dyDescent="0.2">
      <c r="AL94" s="139"/>
      <c r="AM94" s="139"/>
      <c r="AN94" s="139"/>
      <c r="AO94" s="139"/>
      <c r="AP94" s="139"/>
      <c r="AQ94" s="110"/>
    </row>
    <row r="95" spans="3:43" x14ac:dyDescent="0.2">
      <c r="C95" s="40" t="s">
        <v>128</v>
      </c>
      <c r="AL95" s="412"/>
      <c r="AM95" s="413"/>
      <c r="AN95" s="413"/>
      <c r="AO95" s="413"/>
      <c r="AP95" s="414"/>
      <c r="AQ95" s="110"/>
    </row>
    <row r="96" spans="3:43" x14ac:dyDescent="0.2">
      <c r="AL96" s="415"/>
      <c r="AM96" s="416"/>
      <c r="AN96" s="416"/>
      <c r="AO96" s="416"/>
      <c r="AP96" s="417"/>
      <c r="AQ96" s="110"/>
    </row>
    <row r="97" spans="3:43" s="111" customFormat="1" ht="23.1" customHeight="1" x14ac:dyDescent="0.2">
      <c r="C97" s="270" t="s">
        <v>129</v>
      </c>
      <c r="D97" s="287" t="s">
        <v>74</v>
      </c>
      <c r="E97" s="369"/>
      <c r="F97" s="369"/>
      <c r="G97" s="369"/>
      <c r="H97" s="369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0"/>
      <c r="AL97" s="415"/>
      <c r="AM97" s="416"/>
      <c r="AN97" s="416"/>
      <c r="AO97" s="416"/>
      <c r="AP97" s="417"/>
      <c r="AQ97" s="265"/>
    </row>
    <row r="98" spans="3:43" x14ac:dyDescent="0.2">
      <c r="C98" s="370"/>
      <c r="D98" s="288"/>
      <c r="E98" s="366"/>
      <c r="F98" s="366"/>
      <c r="G98" s="366"/>
      <c r="H98" s="366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41"/>
      <c r="AL98" s="418"/>
      <c r="AM98" s="419"/>
      <c r="AN98" s="419"/>
      <c r="AO98" s="419"/>
      <c r="AP98" s="420"/>
      <c r="AQ98" s="110"/>
    </row>
    <row r="99" spans="3:43" x14ac:dyDescent="0.2">
      <c r="AL99" s="139"/>
      <c r="AM99" s="139"/>
      <c r="AN99" s="139"/>
      <c r="AO99" s="139"/>
      <c r="AP99" s="139"/>
      <c r="AQ99" s="110"/>
    </row>
    <row r="100" spans="3:43" x14ac:dyDescent="0.2">
      <c r="C100" s="336" t="s">
        <v>132</v>
      </c>
      <c r="D100" s="286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L100" s="64"/>
      <c r="AM100" s="64"/>
      <c r="AN100" s="64"/>
      <c r="AO100" s="64"/>
      <c r="AP100" s="64"/>
      <c r="AQ100" s="110"/>
    </row>
    <row r="101" spans="3:43" x14ac:dyDescent="0.2">
      <c r="AL101" s="139"/>
      <c r="AM101" s="139"/>
      <c r="AN101" s="139"/>
      <c r="AO101" s="139"/>
      <c r="AP101" s="139"/>
      <c r="AQ101" s="110"/>
    </row>
    <row r="102" spans="3:43" x14ac:dyDescent="0.2">
      <c r="C102" s="40" t="s">
        <v>128</v>
      </c>
      <c r="AL102" s="412"/>
      <c r="AM102" s="413"/>
      <c r="AN102" s="413"/>
      <c r="AO102" s="413"/>
      <c r="AP102" s="414"/>
      <c r="AQ102" s="110"/>
    </row>
    <row r="103" spans="3:43" x14ac:dyDescent="0.2">
      <c r="AL103" s="415"/>
      <c r="AM103" s="416"/>
      <c r="AN103" s="416"/>
      <c r="AO103" s="416"/>
      <c r="AP103" s="417"/>
      <c r="AQ103" s="110"/>
    </row>
    <row r="104" spans="3:43" s="111" customFormat="1" ht="24.6" customHeight="1" x14ac:dyDescent="0.2">
      <c r="C104" s="270" t="s">
        <v>129</v>
      </c>
      <c r="D104" s="287" t="s">
        <v>74</v>
      </c>
      <c r="E104" s="260"/>
      <c r="F104" s="260"/>
      <c r="G104" s="260"/>
      <c r="H104" s="260"/>
      <c r="I104" s="260"/>
      <c r="J104" s="260"/>
      <c r="K104" s="26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L104" s="415"/>
      <c r="AM104" s="416"/>
      <c r="AN104" s="416"/>
      <c r="AO104" s="416"/>
      <c r="AP104" s="417"/>
      <c r="AQ104" s="265"/>
    </row>
    <row r="105" spans="3:43" x14ac:dyDescent="0.2">
      <c r="C105" s="298" t="s">
        <v>134</v>
      </c>
      <c r="D105" s="28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41"/>
      <c r="AL105" s="418"/>
      <c r="AM105" s="419"/>
      <c r="AN105" s="419"/>
      <c r="AO105" s="419"/>
      <c r="AP105" s="420"/>
      <c r="AQ105" s="110"/>
    </row>
    <row r="106" spans="3:43" x14ac:dyDescent="0.2">
      <c r="AL106" s="139"/>
      <c r="AM106" s="139"/>
      <c r="AN106" s="139"/>
      <c r="AO106" s="139"/>
      <c r="AP106" s="139"/>
      <c r="AQ106" s="110"/>
    </row>
    <row r="107" spans="3:43" x14ac:dyDescent="0.2">
      <c r="AL107" s="139"/>
      <c r="AM107" s="139"/>
      <c r="AN107" s="139"/>
      <c r="AO107" s="139"/>
      <c r="AP107" s="139"/>
      <c r="AQ107" s="110"/>
    </row>
    <row r="108" spans="3:43" x14ac:dyDescent="0.2">
      <c r="C108" s="336" t="s">
        <v>200</v>
      </c>
      <c r="D108" s="286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L108" s="64"/>
      <c r="AM108" s="64"/>
      <c r="AN108" s="64"/>
      <c r="AO108" s="64"/>
      <c r="AP108" s="64"/>
      <c r="AQ108" s="110"/>
    </row>
    <row r="109" spans="3:43" x14ac:dyDescent="0.2">
      <c r="AL109" s="139"/>
      <c r="AM109" s="139"/>
      <c r="AN109" s="139"/>
      <c r="AO109" s="139"/>
      <c r="AP109" s="139"/>
      <c r="AQ109" s="110"/>
    </row>
    <row r="110" spans="3:43" x14ac:dyDescent="0.2">
      <c r="C110" s="40" t="s">
        <v>135</v>
      </c>
      <c r="AL110" s="430" t="s">
        <v>136</v>
      </c>
      <c r="AM110" s="431"/>
      <c r="AN110" s="431"/>
      <c r="AO110" s="431"/>
      <c r="AP110" s="432"/>
      <c r="AQ110" s="110"/>
    </row>
    <row r="111" spans="3:43" x14ac:dyDescent="0.2">
      <c r="AL111" s="444"/>
      <c r="AM111" s="425"/>
      <c r="AN111" s="425"/>
      <c r="AO111" s="425"/>
      <c r="AP111" s="445"/>
      <c r="AQ111" s="110"/>
    </row>
    <row r="112" spans="3:43" x14ac:dyDescent="0.2">
      <c r="D112" s="40"/>
      <c r="AL112" s="444"/>
      <c r="AM112" s="425"/>
      <c r="AN112" s="425"/>
      <c r="AO112" s="425"/>
      <c r="AP112" s="445"/>
      <c r="AQ112" s="110"/>
    </row>
    <row r="113" spans="3:43" x14ac:dyDescent="0.2">
      <c r="D113" s="142" t="s">
        <v>137</v>
      </c>
      <c r="E113" s="142" t="s">
        <v>138</v>
      </c>
      <c r="F113" s="142" t="s">
        <v>139</v>
      </c>
      <c r="AL113" s="444"/>
      <c r="AM113" s="425"/>
      <c r="AN113" s="425"/>
      <c r="AO113" s="425"/>
      <c r="AP113" s="445"/>
      <c r="AQ113" s="110"/>
    </row>
    <row r="114" spans="3:43" x14ac:dyDescent="0.2">
      <c r="C114" s="271" t="s">
        <v>140</v>
      </c>
      <c r="D114" s="207">
        <v>0.04</v>
      </c>
      <c r="E114" s="207">
        <v>0.02</v>
      </c>
      <c r="F114" s="207">
        <v>0</v>
      </c>
      <c r="AL114" s="433"/>
      <c r="AM114" s="434"/>
      <c r="AN114" s="434"/>
      <c r="AO114" s="434"/>
      <c r="AP114" s="435"/>
      <c r="AQ114" s="110"/>
    </row>
    <row r="115" spans="3:43" x14ac:dyDescent="0.2">
      <c r="AL115" s="139"/>
      <c r="AM115" s="139"/>
      <c r="AN115" s="139"/>
      <c r="AO115" s="139"/>
      <c r="AP115" s="139"/>
      <c r="AQ115" s="110"/>
    </row>
    <row r="116" spans="3:43" x14ac:dyDescent="0.2">
      <c r="C116" s="336" t="s">
        <v>201</v>
      </c>
      <c r="D116" s="286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L116" s="64"/>
      <c r="AM116" s="64"/>
      <c r="AN116" s="64"/>
      <c r="AO116" s="64"/>
      <c r="AP116" s="64"/>
      <c r="AQ116" s="110"/>
    </row>
    <row r="117" spans="3:43" x14ac:dyDescent="0.2">
      <c r="AL117" s="139"/>
      <c r="AM117" s="139"/>
      <c r="AN117" s="139"/>
      <c r="AO117" s="139"/>
      <c r="AP117" s="139"/>
      <c r="AQ117" s="110"/>
    </row>
    <row r="118" spans="3:43" x14ac:dyDescent="0.2">
      <c r="C118" s="270" t="s">
        <v>141</v>
      </c>
      <c r="D118" s="143">
        <f>'1. Accomodation'!M16</f>
        <v>0</v>
      </c>
      <c r="AL118" s="430" t="s">
        <v>142</v>
      </c>
      <c r="AM118" s="431"/>
      <c r="AN118" s="431"/>
      <c r="AO118" s="431"/>
      <c r="AP118" s="432"/>
      <c r="AQ118" s="110"/>
    </row>
    <row r="119" spans="3:43" x14ac:dyDescent="0.2">
      <c r="C119" s="271" t="s">
        <v>143</v>
      </c>
      <c r="D119" s="104">
        <v>10</v>
      </c>
      <c r="AL119" s="433"/>
      <c r="AM119" s="434"/>
      <c r="AN119" s="434"/>
      <c r="AO119" s="434"/>
      <c r="AP119" s="435"/>
      <c r="AQ119" s="110"/>
    </row>
    <row r="120" spans="3:43" x14ac:dyDescent="0.2">
      <c r="AQ120" s="110"/>
    </row>
    <row r="121" spans="3:43" x14ac:dyDescent="0.2">
      <c r="AQ121" s="110"/>
    </row>
    <row r="122" spans="3:43" x14ac:dyDescent="0.2">
      <c r="AL122" s="139"/>
      <c r="AM122" s="139"/>
      <c r="AN122" s="139"/>
      <c r="AO122" s="139"/>
      <c r="AP122" s="139"/>
    </row>
    <row r="509" spans="46:46" ht="12.75" thickBot="1" x14ac:dyDescent="0.25">
      <c r="AT509" s="60"/>
    </row>
  </sheetData>
  <sheetProtection algorithmName="SHA-512" hashValue="GECYPYcI2nB5wfoCfocrUYtJFI1tLmo1xQX13jOE2QhMLVyYvU1odP9SCuaZBBMLs/LgG69GPwwUPO+of0C3Jw==" saltValue="24nUZjxwC3fD7bY9sbanrw==" spinCount="100000" sheet="1" objects="1" scenarios="1"/>
  <mergeCells count="133">
    <mergeCell ref="AL13:AP16"/>
    <mergeCell ref="AL20:AP23"/>
    <mergeCell ref="AL65:AP68"/>
    <mergeCell ref="AL27:AP39"/>
    <mergeCell ref="AL118:AP119"/>
    <mergeCell ref="AL51:AP51"/>
    <mergeCell ref="AL52:AP52"/>
    <mergeCell ref="AL53:AP53"/>
    <mergeCell ref="AL54:AP54"/>
    <mergeCell ref="AL72:AP72"/>
    <mergeCell ref="AL73:AP73"/>
    <mergeCell ref="AL58:AP58"/>
    <mergeCell ref="AL59:AP59"/>
    <mergeCell ref="AL60:AP60"/>
    <mergeCell ref="AL80:AP83"/>
    <mergeCell ref="AL87:AP90"/>
    <mergeCell ref="AL95:AP98"/>
    <mergeCell ref="AL102:AP105"/>
    <mergeCell ref="AL74:AP74"/>
    <mergeCell ref="AL110:AP114"/>
    <mergeCell ref="D39:E39"/>
    <mergeCell ref="F39:G39"/>
    <mergeCell ref="H39:I39"/>
    <mergeCell ref="J39:K39"/>
    <mergeCell ref="J36:K36"/>
    <mergeCell ref="L38:M38"/>
    <mergeCell ref="L39:M39"/>
    <mergeCell ref="N32:O32"/>
    <mergeCell ref="N34:O34"/>
    <mergeCell ref="N35:O35"/>
    <mergeCell ref="N36:O36"/>
    <mergeCell ref="N37:O37"/>
    <mergeCell ref="F34:G34"/>
    <mergeCell ref="F35:G35"/>
    <mergeCell ref="H34:I34"/>
    <mergeCell ref="H35:I35"/>
    <mergeCell ref="D32:E32"/>
    <mergeCell ref="F32:G32"/>
    <mergeCell ref="H32:I32"/>
    <mergeCell ref="J35:K35"/>
    <mergeCell ref="D36:E36"/>
    <mergeCell ref="F36:G36"/>
    <mergeCell ref="H36:I36"/>
    <mergeCell ref="D35:E35"/>
    <mergeCell ref="D37:E37"/>
    <mergeCell ref="F37:G37"/>
    <mergeCell ref="H37:I37"/>
    <mergeCell ref="J37:K37"/>
    <mergeCell ref="J32:K32"/>
    <mergeCell ref="D34:E34"/>
    <mergeCell ref="J34:K34"/>
    <mergeCell ref="D38:E38"/>
    <mergeCell ref="F38:G38"/>
    <mergeCell ref="H38:I38"/>
    <mergeCell ref="J38:K38"/>
    <mergeCell ref="N38:O38"/>
    <mergeCell ref="N39:O39"/>
    <mergeCell ref="L32:M32"/>
    <mergeCell ref="L34:M34"/>
    <mergeCell ref="L35:M35"/>
    <mergeCell ref="L36:M36"/>
    <mergeCell ref="L37:M37"/>
    <mergeCell ref="P38:Q38"/>
    <mergeCell ref="P39:Q39"/>
    <mergeCell ref="R32:S32"/>
    <mergeCell ref="R34:S34"/>
    <mergeCell ref="R35:S35"/>
    <mergeCell ref="R36:S36"/>
    <mergeCell ref="R37:S37"/>
    <mergeCell ref="R38:S38"/>
    <mergeCell ref="R39:S39"/>
    <mergeCell ref="P32:Q32"/>
    <mergeCell ref="P34:Q34"/>
    <mergeCell ref="P35:Q35"/>
    <mergeCell ref="P36:Q36"/>
    <mergeCell ref="P37:Q37"/>
    <mergeCell ref="T38:U38"/>
    <mergeCell ref="T39:U39"/>
    <mergeCell ref="V32:W32"/>
    <mergeCell ref="V34:W34"/>
    <mergeCell ref="V35:W35"/>
    <mergeCell ref="V36:W36"/>
    <mergeCell ref="V37:W37"/>
    <mergeCell ref="V38:W38"/>
    <mergeCell ref="V39:W39"/>
    <mergeCell ref="T32:U32"/>
    <mergeCell ref="T34:U34"/>
    <mergeCell ref="T35:U35"/>
    <mergeCell ref="T36:U36"/>
    <mergeCell ref="T37:U37"/>
    <mergeCell ref="AB32:AC32"/>
    <mergeCell ref="AB34:AC34"/>
    <mergeCell ref="AB35:AC35"/>
    <mergeCell ref="AB36:AC36"/>
    <mergeCell ref="AB37:AC37"/>
    <mergeCell ref="X38:Y38"/>
    <mergeCell ref="X39:Y39"/>
    <mergeCell ref="Z32:AA32"/>
    <mergeCell ref="Z34:AA34"/>
    <mergeCell ref="Z35:AA35"/>
    <mergeCell ref="Z36:AA36"/>
    <mergeCell ref="Z37:AA37"/>
    <mergeCell ref="Z38:AA38"/>
    <mergeCell ref="Z39:AA39"/>
    <mergeCell ref="X32:Y32"/>
    <mergeCell ref="X34:Y34"/>
    <mergeCell ref="X35:Y35"/>
    <mergeCell ref="X36:Y36"/>
    <mergeCell ref="X37:Y37"/>
    <mergeCell ref="C32:C33"/>
    <mergeCell ref="AF38:AG38"/>
    <mergeCell ref="AF39:AG39"/>
    <mergeCell ref="AH32:AI32"/>
    <mergeCell ref="AH34:AI34"/>
    <mergeCell ref="AH35:AI35"/>
    <mergeCell ref="AH36:AI36"/>
    <mergeCell ref="AH37:AI37"/>
    <mergeCell ref="AH38:AI38"/>
    <mergeCell ref="AH39:AI39"/>
    <mergeCell ref="AF32:AG32"/>
    <mergeCell ref="AF34:AG34"/>
    <mergeCell ref="AF35:AG35"/>
    <mergeCell ref="AF36:AG36"/>
    <mergeCell ref="AF37:AG37"/>
    <mergeCell ref="AB38:AC38"/>
    <mergeCell ref="AB39:AC39"/>
    <mergeCell ref="AD32:AE32"/>
    <mergeCell ref="AD34:AE34"/>
    <mergeCell ref="AD35:AE35"/>
    <mergeCell ref="AD36:AE36"/>
    <mergeCell ref="AD37:AE37"/>
    <mergeCell ref="AD38:AE38"/>
    <mergeCell ref="AD39:AE39"/>
  </mergeCells>
  <conditionalFormatting sqref="AJ83">
    <cfRule type="containsText" dxfId="3" priority="7" operator="containsText" text="FALSE">
      <formula>NOT(ISERROR(SEARCH("FALSE",AJ83)))</formula>
    </cfRule>
  </conditionalFormatting>
  <conditionalFormatting sqref="AJ90">
    <cfRule type="containsText" dxfId="2" priority="6" operator="containsText" text="FALSE">
      <formula>NOT(ISERROR(SEARCH("FALSE",AJ90)))</formula>
    </cfRule>
  </conditionalFormatting>
  <conditionalFormatting sqref="AJ98">
    <cfRule type="containsText" dxfId="1" priority="3" operator="containsText" text="FALSE">
      <formula>NOT(ISERROR(SEARCH("FALSE",AJ98)))</formula>
    </cfRule>
  </conditionalFormatting>
  <conditionalFormatting sqref="AJ105">
    <cfRule type="containsText" dxfId="0" priority="2" operator="containsText" text="FALSE">
      <formula>NOT(ISERROR(SEARCH("FALSE",AJ105)))</formula>
    </cfRule>
  </conditionalFormatting>
  <dataValidations count="1">
    <dataValidation type="list" allowBlank="1" showInputMessage="1" showErrorMessage="1" sqref="E29:AI29 C37:C39" xr:uid="{4EC805E7-995C-4A89-84E1-78566A4E556F}">
      <formula1>$D$15:$AI$15</formula1>
    </dataValidation>
  </dataValidations>
  <pageMargins left="0.70866141732283472" right="0.70866141732283472" top="0.74803149606299213" bottom="0.74803149606299213" header="0.31496062992125984" footer="0.31496062992125984"/>
  <pageSetup paperSize="9" scale="1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43A-CABE-44A3-8AFA-157B34DEA03A}">
  <sheetPr codeName="Sheet4">
    <tabColor theme="7" tint="-0.249977111117893"/>
    <pageSetUpPr fitToPage="1"/>
  </sheetPr>
  <dimension ref="C3:BF621"/>
  <sheetViews>
    <sheetView showGridLines="0" tabSelected="1" zoomScale="80" zoomScaleNormal="80" zoomScaleSheetLayoutView="80" workbookViewId="0">
      <pane xSplit="5" ySplit="16" topLeftCell="W62" activePane="bottomRight" state="frozen"/>
      <selection pane="topRight" activeCell="H1" sqref="H1"/>
      <selection pane="bottomLeft" activeCell="A14" sqref="A14"/>
      <selection pane="bottomRight" activeCell="AP68" sqref="AP68"/>
    </sheetView>
  </sheetViews>
  <sheetFormatPr defaultColWidth="12.625" defaultRowHeight="14.25" outlineLevelRow="1" outlineLevelCol="1" x14ac:dyDescent="0.2"/>
  <cols>
    <col min="1" max="1" width="5.125" style="40" customWidth="1"/>
    <col min="2" max="2" width="2.125" style="40" customWidth="1"/>
    <col min="3" max="8" width="12.625" style="40"/>
    <col min="9" max="9" width="2.625" style="40" customWidth="1"/>
    <col min="10" max="10" width="2.875" style="40" customWidth="1"/>
    <col min="11" max="11" width="12.625" style="40"/>
    <col min="12" max="12" width="11.125" style="40" customWidth="1"/>
    <col min="13" max="13" width="12.625" hidden="1" customWidth="1" outlineLevel="1"/>
    <col min="14" max="14" width="11.125" style="40" customWidth="1" collapsed="1"/>
    <col min="15" max="24" width="12.625" style="40"/>
    <col min="25" max="25" width="12.625" style="40" outlineLevel="1"/>
    <col min="26" max="26" width="3.125" style="40" customWidth="1" outlineLevel="1"/>
    <col min="27" max="27" width="2.125" style="40" customWidth="1"/>
    <col min="28" max="28" width="14.625" style="40" bestFit="1" customWidth="1"/>
    <col min="29" max="29" width="10.625" style="40" bestFit="1" customWidth="1"/>
    <col min="30" max="30" width="10.25" style="40" bestFit="1" customWidth="1"/>
    <col min="31" max="31" width="10.5" style="40" bestFit="1" customWidth="1"/>
    <col min="32" max="32" width="11" style="40" bestFit="1" customWidth="1"/>
    <col min="33" max="33" width="10" style="40" bestFit="1" customWidth="1"/>
    <col min="34" max="34" width="10.625" style="40" bestFit="1" customWidth="1"/>
    <col min="35" max="35" width="10.5" style="40" bestFit="1" customWidth="1"/>
    <col min="36" max="36" width="10.25" style="40" bestFit="1" customWidth="1"/>
    <col min="37" max="37" width="11" style="40" bestFit="1" customWidth="1"/>
    <col min="38" max="39" width="10.25" style="40" bestFit="1" customWidth="1"/>
    <col min="40" max="40" width="10.5" style="40" bestFit="1" customWidth="1"/>
    <col min="41" max="41" width="11" style="40" bestFit="1" customWidth="1"/>
    <col min="42" max="16384" width="12.625" style="40"/>
  </cols>
  <sheetData>
    <row r="3" spans="3:58" s="111" customFormat="1" ht="32.25" customHeight="1" x14ac:dyDescent="0.2">
      <c r="C3" s="145" t="s">
        <v>144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</row>
    <row r="5" spans="3:58" ht="24" x14ac:dyDescent="0.2">
      <c r="C5" s="68" t="s">
        <v>47</v>
      </c>
      <c r="D5" s="68" t="str">
        <f>'1. Accomodation'!N20</f>
        <v>Door Number</v>
      </c>
      <c r="E5" s="68" t="s">
        <v>52</v>
      </c>
      <c r="F5" s="90" t="s">
        <v>145</v>
      </c>
      <c r="G5" s="68" t="s">
        <v>146</v>
      </c>
      <c r="H5" s="68" t="s">
        <v>147</v>
      </c>
      <c r="AB5" s="203" t="str">
        <f t="shared" ref="AB5:AB13" si="0">C5</f>
        <v>Bedroom</v>
      </c>
      <c r="AC5" s="204">
        <f>AC16</f>
        <v>45230</v>
      </c>
      <c r="AD5" s="204">
        <f t="shared" ref="AD5:AO5" si="1">AD16</f>
        <v>45260</v>
      </c>
      <c r="AE5" s="204">
        <f t="shared" si="1"/>
        <v>45291</v>
      </c>
      <c r="AF5" s="204">
        <f t="shared" si="1"/>
        <v>45322</v>
      </c>
      <c r="AG5" s="204">
        <f t="shared" si="1"/>
        <v>45351</v>
      </c>
      <c r="AH5" s="204">
        <f t="shared" si="1"/>
        <v>45382</v>
      </c>
      <c r="AI5" s="204">
        <f t="shared" si="1"/>
        <v>45412</v>
      </c>
      <c r="AJ5" s="204">
        <f t="shared" si="1"/>
        <v>45443</v>
      </c>
      <c r="AK5" s="204">
        <f t="shared" si="1"/>
        <v>45473</v>
      </c>
      <c r="AL5" s="204">
        <f t="shared" si="1"/>
        <v>45504</v>
      </c>
      <c r="AM5" s="204">
        <f t="shared" si="1"/>
        <v>45535</v>
      </c>
      <c r="AN5" s="204">
        <f t="shared" si="1"/>
        <v>45565</v>
      </c>
      <c r="AO5" s="204">
        <f t="shared" si="1"/>
        <v>45596</v>
      </c>
    </row>
    <row r="6" spans="3:58" x14ac:dyDescent="0.2">
      <c r="C6" s="69" t="str">
        <f>'1. Accomodation'!L9</f>
        <v>1 Bed</v>
      </c>
      <c r="D6" s="69">
        <f>'1. Accomodation'!M9</f>
        <v>78</v>
      </c>
      <c r="E6" s="69">
        <f>'1. Accomodation'!N9</f>
        <v>503.56410256410254</v>
      </c>
      <c r="F6" s="15">
        <f t="shared" ref="F6:F11" si="2">IFERROR(AVERAGEIF($D$17:$D$616,$C6,$Y$17:$Y$616),0)</f>
        <v>999.80769230769226</v>
      </c>
      <c r="G6" s="15">
        <f t="shared" ref="G6:G11" si="3">F6*12</f>
        <v>11997.692307692307</v>
      </c>
      <c r="H6" s="18">
        <f t="shared" ref="H6:H11" si="4">IFERROR(G6/E6,0)</f>
        <v>23.825551199144559</v>
      </c>
      <c r="AB6" s="205" t="str">
        <f t="shared" si="0"/>
        <v>1 Bed</v>
      </c>
      <c r="AC6" s="15">
        <f t="shared" ref="AC6:AO13" si="5">IFERROR(AVERAGEIF($D$17:$D$616,$C6,AC$17:AC$616),0)</f>
        <v>1003.1436791095059</v>
      </c>
      <c r="AD6" s="15">
        <f t="shared" si="5"/>
        <v>1006.382651199493</v>
      </c>
      <c r="AE6" s="15">
        <f t="shared" si="5"/>
        <v>1009.7405761962765</v>
      </c>
      <c r="AF6" s="15">
        <f t="shared" si="5"/>
        <v>1013.1097053411735</v>
      </c>
      <c r="AG6" s="15">
        <f t="shared" si="5"/>
        <v>1016.271647623292</v>
      </c>
      <c r="AH6" s="15">
        <f t="shared" si="5"/>
        <v>1019.6625685269944</v>
      </c>
      <c r="AI6" s="15">
        <f t="shared" si="5"/>
        <v>1022.9548771657689</v>
      </c>
      <c r="AJ6" s="15">
        <f t="shared" si="5"/>
        <v>1026.3680975233754</v>
      </c>
      <c r="AK6" s="15">
        <f t="shared" si="5"/>
        <v>1029.6820571197541</v>
      </c>
      <c r="AL6" s="15">
        <f t="shared" si="5"/>
        <v>1033.1177235774578</v>
      </c>
      <c r="AM6" s="15">
        <f t="shared" si="5"/>
        <v>1036.564853577647</v>
      </c>
      <c r="AN6" s="15">
        <f t="shared" si="5"/>
        <v>1039.911736681353</v>
      </c>
      <c r="AO6" s="15">
        <f t="shared" si="5"/>
        <v>1043.3815357790297</v>
      </c>
      <c r="AP6" s="70"/>
    </row>
    <row r="7" spans="3:58" x14ac:dyDescent="0.2">
      <c r="C7" s="69" t="str">
        <f>'1. Accomodation'!L10</f>
        <v>2 Bed</v>
      </c>
      <c r="D7" s="69">
        <f>'1. Accomodation'!M10</f>
        <v>179</v>
      </c>
      <c r="E7" s="69">
        <f>'1. Accomodation'!N10</f>
        <v>652.34636871508383</v>
      </c>
      <c r="F7" s="15">
        <f t="shared" si="2"/>
        <v>1293.4357541899442</v>
      </c>
      <c r="G7" s="15">
        <f t="shared" si="3"/>
        <v>15521.229050279329</v>
      </c>
      <c r="H7" s="18">
        <f t="shared" si="4"/>
        <v>23.792926265307869</v>
      </c>
      <c r="AB7" s="205" t="str">
        <f t="shared" si="0"/>
        <v>2 Bed</v>
      </c>
      <c r="AC7" s="15">
        <f t="shared" si="5"/>
        <v>1297.7514687400205</v>
      </c>
      <c r="AD7" s="15">
        <f t="shared" si="5"/>
        <v>1301.941676857288</v>
      </c>
      <c r="AE7" s="15">
        <f t="shared" si="5"/>
        <v>1306.285772511025</v>
      </c>
      <c r="AF7" s="15">
        <f t="shared" si="5"/>
        <v>1310.6443627979588</v>
      </c>
      <c r="AG7" s="15">
        <f t="shared" si="5"/>
        <v>1314.7349186436916</v>
      </c>
      <c r="AH7" s="15">
        <f t="shared" si="5"/>
        <v>1319.121700592083</v>
      </c>
      <c r="AI7" s="15">
        <f t="shared" si="5"/>
        <v>1323.380909377913</v>
      </c>
      <c r="AJ7" s="15">
        <f t="shared" si="5"/>
        <v>1327.7965397850646</v>
      </c>
      <c r="AK7" s="15">
        <f t="shared" si="5"/>
        <v>1332.0837580800194</v>
      </c>
      <c r="AL7" s="15">
        <f t="shared" si="5"/>
        <v>1336.5284266598412</v>
      </c>
      <c r="AM7" s="15">
        <f t="shared" si="5"/>
        <v>1340.9879254473469</v>
      </c>
      <c r="AN7" s="15">
        <f t="shared" si="5"/>
        <v>1345.3177363747225</v>
      </c>
      <c r="AO7" s="15">
        <f t="shared" si="5"/>
        <v>1349.8065618231776</v>
      </c>
      <c r="AP7" s="70"/>
    </row>
    <row r="8" spans="3:58" outlineLevel="1" x14ac:dyDescent="0.2">
      <c r="C8" s="69" t="str">
        <f>'1. Accomodation'!L11</f>
        <v>3 Bed</v>
      </c>
      <c r="D8" s="69">
        <f>'1. Accomodation'!M11</f>
        <v>26</v>
      </c>
      <c r="E8" s="69">
        <f>'1. Accomodation'!N11</f>
        <v>823.19230769230774</v>
      </c>
      <c r="F8" s="15">
        <f t="shared" si="2"/>
        <v>1698.6538461538462</v>
      </c>
      <c r="G8" s="15">
        <f t="shared" si="3"/>
        <v>20383.846153846156</v>
      </c>
      <c r="H8" s="18">
        <f t="shared" si="4"/>
        <v>24.761949259449612</v>
      </c>
      <c r="AB8" s="205" t="str">
        <f t="shared" si="0"/>
        <v>3 Bed</v>
      </c>
      <c r="AC8" s="15">
        <f t="shared" si="5"/>
        <v>1704.3216229225354</v>
      </c>
      <c r="AD8" s="15">
        <f t="shared" si="5"/>
        <v>1709.8245735805201</v>
      </c>
      <c r="AE8" s="15">
        <f t="shared" si="5"/>
        <v>1715.5296229162741</v>
      </c>
      <c r="AF8" s="15">
        <f t="shared" si="5"/>
        <v>1721.253707882013</v>
      </c>
      <c r="AG8" s="15">
        <f t="shared" si="5"/>
        <v>1726.6257863928718</v>
      </c>
      <c r="AH8" s="15">
        <f t="shared" si="5"/>
        <v>1732.3868951334762</v>
      </c>
      <c r="AI8" s="15">
        <f t="shared" si="5"/>
        <v>1737.9804635516896</v>
      </c>
      <c r="AJ8" s="15">
        <f t="shared" si="5"/>
        <v>1743.7794586312691</v>
      </c>
      <c r="AK8" s="15">
        <f t="shared" si="5"/>
        <v>1749.4098116058447</v>
      </c>
      <c r="AL8" s="15">
        <f t="shared" si="5"/>
        <v>1755.246942173434</v>
      </c>
      <c r="AM8" s="15">
        <f t="shared" si="5"/>
        <v>1761.1035490770059</v>
      </c>
      <c r="AN8" s="15">
        <f t="shared" si="5"/>
        <v>1766.7898384509297</v>
      </c>
      <c r="AO8" s="15">
        <f t="shared" si="5"/>
        <v>1772.6849597107455</v>
      </c>
      <c r="AP8" s="70"/>
    </row>
    <row r="9" spans="3:58" outlineLevel="1" x14ac:dyDescent="0.2">
      <c r="C9" s="69">
        <f>'1. Accomodation'!L12</f>
        <v>0</v>
      </c>
      <c r="D9" s="69">
        <f>'1. Accomodation'!M12</f>
        <v>0</v>
      </c>
      <c r="E9" s="69" t="str">
        <f>'1. Accomodation'!N12</f>
        <v>-</v>
      </c>
      <c r="F9" s="15">
        <f t="shared" si="2"/>
        <v>0</v>
      </c>
      <c r="G9" s="15">
        <f t="shared" si="3"/>
        <v>0</v>
      </c>
      <c r="H9" s="18">
        <f t="shared" si="4"/>
        <v>0</v>
      </c>
      <c r="AB9" s="205">
        <f t="shared" si="0"/>
        <v>0</v>
      </c>
      <c r="AC9" s="15">
        <f t="shared" si="5"/>
        <v>0</v>
      </c>
      <c r="AD9" s="15">
        <f t="shared" si="5"/>
        <v>0</v>
      </c>
      <c r="AE9" s="15">
        <f t="shared" si="5"/>
        <v>0</v>
      </c>
      <c r="AF9" s="15">
        <f t="shared" si="5"/>
        <v>0</v>
      </c>
      <c r="AG9" s="15">
        <f t="shared" si="5"/>
        <v>0</v>
      </c>
      <c r="AH9" s="15">
        <f t="shared" si="5"/>
        <v>0</v>
      </c>
      <c r="AI9" s="15">
        <f t="shared" si="5"/>
        <v>0</v>
      </c>
      <c r="AJ9" s="15">
        <f t="shared" si="5"/>
        <v>0</v>
      </c>
      <c r="AK9" s="15">
        <f t="shared" si="5"/>
        <v>0</v>
      </c>
      <c r="AL9" s="15">
        <f t="shared" si="5"/>
        <v>0</v>
      </c>
      <c r="AM9" s="15">
        <f t="shared" si="5"/>
        <v>0</v>
      </c>
      <c r="AN9" s="15">
        <f t="shared" si="5"/>
        <v>0</v>
      </c>
      <c r="AO9" s="15">
        <f t="shared" si="5"/>
        <v>0</v>
      </c>
      <c r="AP9" s="70"/>
    </row>
    <row r="10" spans="3:58" outlineLevel="1" x14ac:dyDescent="0.2">
      <c r="C10" s="69">
        <f>'1. Accomodation'!L13</f>
        <v>0</v>
      </c>
      <c r="D10" s="69">
        <f>'1. Accomodation'!M13</f>
        <v>0</v>
      </c>
      <c r="E10" s="69" t="str">
        <f>'1. Accomodation'!N13</f>
        <v>-</v>
      </c>
      <c r="F10" s="15">
        <f t="shared" si="2"/>
        <v>0</v>
      </c>
      <c r="G10" s="15">
        <f t="shared" si="3"/>
        <v>0</v>
      </c>
      <c r="H10" s="18">
        <f t="shared" si="4"/>
        <v>0</v>
      </c>
      <c r="AB10" s="205">
        <f t="shared" si="0"/>
        <v>0</v>
      </c>
      <c r="AC10" s="15">
        <f t="shared" si="5"/>
        <v>0</v>
      </c>
      <c r="AD10" s="15">
        <f t="shared" si="5"/>
        <v>0</v>
      </c>
      <c r="AE10" s="15">
        <f t="shared" si="5"/>
        <v>0</v>
      </c>
      <c r="AF10" s="15">
        <f t="shared" si="5"/>
        <v>0</v>
      </c>
      <c r="AG10" s="15">
        <f t="shared" si="5"/>
        <v>0</v>
      </c>
      <c r="AH10" s="15">
        <f t="shared" si="5"/>
        <v>0</v>
      </c>
      <c r="AI10" s="15">
        <f t="shared" si="5"/>
        <v>0</v>
      </c>
      <c r="AJ10" s="15">
        <f t="shared" si="5"/>
        <v>0</v>
      </c>
      <c r="AK10" s="15">
        <f t="shared" si="5"/>
        <v>0</v>
      </c>
      <c r="AL10" s="15">
        <f t="shared" si="5"/>
        <v>0</v>
      </c>
      <c r="AM10" s="15">
        <f t="shared" si="5"/>
        <v>0</v>
      </c>
      <c r="AN10" s="15">
        <f t="shared" si="5"/>
        <v>0</v>
      </c>
      <c r="AO10" s="15">
        <f t="shared" si="5"/>
        <v>0</v>
      </c>
      <c r="AP10" s="70"/>
    </row>
    <row r="11" spans="3:58" outlineLevel="1" x14ac:dyDescent="0.2">
      <c r="C11" s="69">
        <f>'1. Accomodation'!L14</f>
        <v>0</v>
      </c>
      <c r="D11" s="69">
        <f>'1. Accomodation'!M14</f>
        <v>0</v>
      </c>
      <c r="E11" s="69" t="str">
        <f>'1. Accomodation'!N14</f>
        <v>-</v>
      </c>
      <c r="F11" s="15">
        <f t="shared" si="2"/>
        <v>0</v>
      </c>
      <c r="G11" s="15">
        <f t="shared" si="3"/>
        <v>0</v>
      </c>
      <c r="H11" s="18">
        <f t="shared" si="4"/>
        <v>0</v>
      </c>
      <c r="AB11" s="205">
        <f t="shared" si="0"/>
        <v>0</v>
      </c>
      <c r="AC11" s="15">
        <f t="shared" si="5"/>
        <v>0</v>
      </c>
      <c r="AD11" s="15">
        <f t="shared" si="5"/>
        <v>0</v>
      </c>
      <c r="AE11" s="15">
        <f t="shared" si="5"/>
        <v>0</v>
      </c>
      <c r="AF11" s="15">
        <f t="shared" si="5"/>
        <v>0</v>
      </c>
      <c r="AG11" s="15">
        <f t="shared" si="5"/>
        <v>0</v>
      </c>
      <c r="AH11" s="15">
        <f t="shared" si="5"/>
        <v>0</v>
      </c>
      <c r="AI11" s="15">
        <f t="shared" si="5"/>
        <v>0</v>
      </c>
      <c r="AJ11" s="15">
        <f t="shared" si="5"/>
        <v>0</v>
      </c>
      <c r="AK11" s="15">
        <f t="shared" si="5"/>
        <v>0</v>
      </c>
      <c r="AL11" s="15">
        <f t="shared" si="5"/>
        <v>0</v>
      </c>
      <c r="AM11" s="15">
        <f t="shared" si="5"/>
        <v>0</v>
      </c>
      <c r="AN11" s="15">
        <f t="shared" si="5"/>
        <v>0</v>
      </c>
      <c r="AO11" s="15">
        <f t="shared" si="5"/>
        <v>0</v>
      </c>
      <c r="AP11" s="70"/>
    </row>
    <row r="12" spans="3:58" x14ac:dyDescent="0.2">
      <c r="C12" s="71" t="s">
        <v>148</v>
      </c>
      <c r="D12" s="71">
        <f>'1. Accomodation'!M15</f>
        <v>283</v>
      </c>
      <c r="E12" s="106">
        <f>IFERROR('1. Accomodation'!N15,0)</f>
        <v>627.03533568904595</v>
      </c>
      <c r="F12" s="19">
        <f>IFERROR(G12/12,0)</f>
        <v>1249.7349823321554</v>
      </c>
      <c r="G12" s="19">
        <f>IFERROR(Y617/$D$12,0)</f>
        <v>14996.819787985865</v>
      </c>
      <c r="H12" s="72">
        <f>IFERROR(G12/$E$12,0)</f>
        <v>23.917024981544198</v>
      </c>
      <c r="AB12" s="206" t="str">
        <f t="shared" si="0"/>
        <v>AVERAGE</v>
      </c>
      <c r="AC12" s="19">
        <f t="shared" si="5"/>
        <v>0</v>
      </c>
      <c r="AD12" s="19">
        <f t="shared" si="5"/>
        <v>0</v>
      </c>
      <c r="AE12" s="19">
        <f t="shared" si="5"/>
        <v>0</v>
      </c>
      <c r="AF12" s="19">
        <f t="shared" si="5"/>
        <v>0</v>
      </c>
      <c r="AG12" s="19">
        <f t="shared" si="5"/>
        <v>0</v>
      </c>
      <c r="AH12" s="19">
        <f t="shared" si="5"/>
        <v>0</v>
      </c>
      <c r="AI12" s="19">
        <f t="shared" si="5"/>
        <v>0</v>
      </c>
      <c r="AJ12" s="19">
        <f t="shared" si="5"/>
        <v>0</v>
      </c>
      <c r="AK12" s="19">
        <f t="shared" si="5"/>
        <v>0</v>
      </c>
      <c r="AL12" s="19">
        <f t="shared" si="5"/>
        <v>0</v>
      </c>
      <c r="AM12" s="19">
        <f t="shared" si="5"/>
        <v>0</v>
      </c>
      <c r="AN12" s="19">
        <f t="shared" si="5"/>
        <v>0</v>
      </c>
      <c r="AO12" s="19">
        <f t="shared" si="5"/>
        <v>0</v>
      </c>
      <c r="AP12" s="70"/>
    </row>
    <row r="13" spans="3:58" x14ac:dyDescent="0.2">
      <c r="C13" s="69" t="s">
        <v>63</v>
      </c>
      <c r="D13" s="69">
        <f>'1. Accomodation'!M16</f>
        <v>0</v>
      </c>
      <c r="E13" s="338"/>
      <c r="F13" s="15">
        <f>'2. GRI Pricing Inputs'!D119</f>
        <v>10</v>
      </c>
      <c r="G13" s="15">
        <f>F13*12</f>
        <v>120</v>
      </c>
      <c r="H13" s="109"/>
      <c r="AB13" s="205" t="str">
        <f t="shared" si="0"/>
        <v>Car park</v>
      </c>
      <c r="AC13" s="15">
        <f t="shared" si="5"/>
        <v>0</v>
      </c>
      <c r="AD13" s="15">
        <f t="shared" si="5"/>
        <v>0</v>
      </c>
      <c r="AE13" s="15">
        <f t="shared" si="5"/>
        <v>0</v>
      </c>
      <c r="AF13" s="15">
        <f t="shared" si="5"/>
        <v>0</v>
      </c>
      <c r="AG13" s="15">
        <f t="shared" si="5"/>
        <v>0</v>
      </c>
      <c r="AH13" s="15">
        <f t="shared" si="5"/>
        <v>0</v>
      </c>
      <c r="AI13" s="15">
        <f t="shared" si="5"/>
        <v>0</v>
      </c>
      <c r="AJ13" s="15">
        <f t="shared" si="5"/>
        <v>0</v>
      </c>
      <c r="AK13" s="15">
        <f t="shared" si="5"/>
        <v>0</v>
      </c>
      <c r="AL13" s="15">
        <f t="shared" si="5"/>
        <v>0</v>
      </c>
      <c r="AM13" s="15">
        <f t="shared" si="5"/>
        <v>0</v>
      </c>
      <c r="AN13" s="15">
        <f t="shared" si="5"/>
        <v>0</v>
      </c>
      <c r="AO13" s="15">
        <f t="shared" si="5"/>
        <v>0</v>
      </c>
      <c r="AP13" s="70"/>
    </row>
    <row r="14" spans="3:58" ht="15" thickBot="1" x14ac:dyDescent="0.25">
      <c r="C14" s="12"/>
      <c r="D14" s="12"/>
      <c r="E14" s="73"/>
      <c r="F14" s="74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3:58" ht="14.45" customHeight="1" thickBot="1" x14ac:dyDescent="0.25">
      <c r="C15" s="446" t="s">
        <v>149</v>
      </c>
      <c r="D15" s="447"/>
      <c r="E15" s="447"/>
      <c r="F15" s="447"/>
      <c r="G15" s="447"/>
      <c r="H15" s="447"/>
      <c r="K15" s="446" t="s">
        <v>150</v>
      </c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50"/>
      <c r="AB15" s="154">
        <v>45199</v>
      </c>
      <c r="AC15" s="448" t="s">
        <v>151</v>
      </c>
      <c r="AD15" s="448"/>
      <c r="AE15" s="448"/>
      <c r="AF15" s="448"/>
      <c r="AG15" s="448"/>
      <c r="AH15" s="448"/>
      <c r="AI15" s="448"/>
      <c r="AJ15" s="448"/>
      <c r="AK15" s="448"/>
      <c r="AL15" s="448"/>
      <c r="AM15" s="448"/>
      <c r="AN15" s="448"/>
      <c r="AO15" s="449"/>
    </row>
    <row r="16" spans="3:58" s="75" customFormat="1" ht="48" x14ac:dyDescent="0.2">
      <c r="C16" s="225" t="str">
        <f>'1. Accomodation'!N20</f>
        <v>Door Number</v>
      </c>
      <c r="D16" s="226" t="str">
        <f>'1. Accomodation'!P20</f>
        <v>Bedroom</v>
      </c>
      <c r="E16" s="226" t="str">
        <f>'1. Accomodation'!Q20</f>
        <v>Bath</v>
      </c>
      <c r="F16" s="226" t="str">
        <f>'1. Accomodation'!O20</f>
        <v>Size (sq.ft)</v>
      </c>
      <c r="G16" s="227" t="str">
        <f>'1. Accomodation'!R20</f>
        <v>Floor</v>
      </c>
      <c r="H16" s="227" t="str">
        <f>'1. Accomodation'!S20</f>
        <v>Aspect</v>
      </c>
      <c r="I16" s="111"/>
      <c r="J16" s="111"/>
      <c r="K16" s="228" t="str">
        <f>'2. GRI Pricing Inputs'!C16</f>
        <v>Base Price 
(£pm)</v>
      </c>
      <c r="L16" s="325" t="str">
        <f>'2. GRI Pricing Inputs'!C23</f>
        <v>Bath Premium</v>
      </c>
      <c r="M16" s="327" t="s">
        <v>152</v>
      </c>
      <c r="N16" s="226" t="str">
        <f>'2. GRI Pricing Inputs'!C32</f>
        <v xml:space="preserve">Size premium </v>
      </c>
      <c r="O16" s="226" t="str">
        <f>'2. GRI Pricing Inputs'!C46</f>
        <v>Floor premium</v>
      </c>
      <c r="P16" s="226" t="str">
        <f>'2. GRI Pricing Inputs'!C54</f>
        <v>Aspect premium</v>
      </c>
      <c r="Q16" s="226" t="str">
        <f>'2. GRI Pricing Inputs'!C61</f>
        <v>Storage premium</v>
      </c>
      <c r="R16" s="226" t="str">
        <f>'2. GRI Pricing Inputs'!C68</f>
        <v>Balcony premium</v>
      </c>
      <c r="S16" s="226" t="str">
        <f>'2. GRI Pricing Inputs'!C75</f>
        <v>Amenity premium</v>
      </c>
      <c r="T16" s="226" t="str">
        <f>'2. GRI Pricing Inputs'!C83</f>
        <v>Window Premium</v>
      </c>
      <c r="U16" s="226" t="str">
        <f>'2. GRI Pricing Inputs'!C90</f>
        <v>Restricted Light</v>
      </c>
      <c r="V16" s="226">
        <f>'2. GRI Pricing Inputs'!C98</f>
        <v>0</v>
      </c>
      <c r="W16" s="226" t="str">
        <f>'2. GRI Pricing Inputs'!C105</f>
        <v>Character premium #4</v>
      </c>
      <c r="X16" s="226" t="s">
        <v>153</v>
      </c>
      <c r="Y16" s="229" t="s">
        <v>207</v>
      </c>
      <c r="Z16" s="111"/>
      <c r="AA16" s="111"/>
      <c r="AB16" s="111"/>
      <c r="AC16" s="299">
        <f>EOMONTH(AB15,1)</f>
        <v>45230</v>
      </c>
      <c r="AD16" s="300">
        <f>EOMONTH(AC16,1)</f>
        <v>45260</v>
      </c>
      <c r="AE16" s="230">
        <f t="shared" ref="AE16:AO16" si="6">EOMONTH(AD16,1)</f>
        <v>45291</v>
      </c>
      <c r="AF16" s="230">
        <f t="shared" si="6"/>
        <v>45322</v>
      </c>
      <c r="AG16" s="230">
        <f t="shared" si="6"/>
        <v>45351</v>
      </c>
      <c r="AH16" s="230">
        <f t="shared" si="6"/>
        <v>45382</v>
      </c>
      <c r="AI16" s="230">
        <f t="shared" si="6"/>
        <v>45412</v>
      </c>
      <c r="AJ16" s="230">
        <f t="shared" si="6"/>
        <v>45443</v>
      </c>
      <c r="AK16" s="230">
        <f t="shared" si="6"/>
        <v>45473</v>
      </c>
      <c r="AL16" s="230">
        <f t="shared" si="6"/>
        <v>45504</v>
      </c>
      <c r="AM16" s="230">
        <f t="shared" si="6"/>
        <v>45535</v>
      </c>
      <c r="AN16" s="230">
        <f t="shared" si="6"/>
        <v>45565</v>
      </c>
      <c r="AO16" s="231">
        <f t="shared" si="6"/>
        <v>45596</v>
      </c>
      <c r="AP16" s="111"/>
    </row>
    <row r="17" spans="3:41" ht="12" x14ac:dyDescent="0.2">
      <c r="C17" s="76" t="str">
        <f>'1. Accomodation'!N21</f>
        <v>101N</v>
      </c>
      <c r="D17" s="69" t="str">
        <f>'1. Accomodation'!P21</f>
        <v>1 Bed</v>
      </c>
      <c r="E17" s="69">
        <f>'1. Accomodation'!Q21</f>
        <v>1</v>
      </c>
      <c r="F17" s="77">
        <f>'1. Accomodation'!O21</f>
        <v>484</v>
      </c>
      <c r="G17" s="69" t="str">
        <f>'1. Accomodation'!R21</f>
        <v>Ground</v>
      </c>
      <c r="H17" s="69" t="str">
        <f>'1. Accomodation'!S21</f>
        <v>Courtyard</v>
      </c>
      <c r="I17" s="62"/>
      <c r="K17" s="272">
        <f>IFERROR(INDEX('2. GRI Pricing Inputs'!$C$15:$AI$16,MATCH($K$16,'2. GRI Pricing Inputs'!$C$15:$C$16,0),MATCH(D17,'2. GRI Pricing Inputs'!$C$15:$AI$15,0)),0)</f>
        <v>845</v>
      </c>
      <c r="L17" s="273">
        <f>IFERROR(INDEX('2. GRI Pricing Inputs'!$C$22:$AI$23,MATCH($L$16,'2. GRI Pricing Inputs'!$C$22:$C$23,0),MATCH(E17,'2. GRI Pricing Inputs'!$C$22:$AI$22,0)),0)</f>
        <v>0</v>
      </c>
      <c r="M17" s="328">
        <f>IF(AND('3. GRI Pricing'!$F17&gt;='2. GRI Pricing Inputs'!$D$33,'3. GRI Pricing'!$F17&lt;='2. GRI Pricing Inputs'!$E$33),'2. GRI Pricing Inputs'!$D$32,IF(AND('3. GRI Pricing'!$F17&gt;='2. GRI Pricing Inputs'!$F$33,'3. GRI Pricing'!$F17&lt;='2. GRI Pricing Inputs'!$G$33),'2. GRI Pricing Inputs'!$F$32,IF(AND('3. GRI Pricing'!$F17&gt;='2. GRI Pricing Inputs'!$H$33,'3. GRI Pricing'!$F17&lt;='2. GRI Pricing Inputs'!$I$33),'2. GRI Pricing Inputs'!$H$32,IF(AND('3. GRI Pricing'!$F17&gt;='2. GRI Pricing Inputs'!$J$33,'3. GRI Pricing'!$F17&lt;='2. GRI Pricing Inputs'!$K$33),'2. GRI Pricing Inputs'!$J$32,IF(AND('3. GRI Pricing'!$F17&gt;='2. GRI Pricing Inputs'!$L$33,'3. GRI Pricing'!$F17&lt;='2. GRI Pricing Inputs'!$M$33),'2. GRI Pricing Inputs'!$L$32,IF(AND('3. GRI Pricing'!$F17&gt;='2. GRI Pricing Inputs'!$N$33,'3. GRI Pricing'!$F17&lt;='2. GRI Pricing Inputs'!$O$33),'2. GRI Pricing Inputs'!$N$32,IF(AND('3. GRI Pricing'!$F17&gt;='2. GRI Pricing Inputs'!$P$33,'3. GRI Pricing'!$F17&lt;='2. GRI Pricing Inputs'!$Q$33),'2. GRI Pricing Inputs'!$P$32,IF(AND('3. GRI Pricing'!$F17&gt;='2. GRI Pricing Inputs'!$R$33,'3. GRI Pricing'!$F17&lt;='2. GRI Pricing Inputs'!$S$33),'2. GRI Pricing Inputs'!$R$32,IF(AND('3. GRI Pricing'!$F17&gt;='2. GRI Pricing Inputs'!$T$33,'3. GRI Pricing'!$F17&lt;='2. GRI Pricing Inputs'!$U$33),'2. GRI Pricing Inputs'!$T$32,IF(AND('3. GRI Pricing'!$F17&gt;='2. GRI Pricing Inputs'!$V$33,'3. GRI Pricing'!$F17&lt;='2. GRI Pricing Inputs'!$W$33),'2. GRI Pricing Inputs'!$V$32,IF(AND('3. GRI Pricing'!$F17&gt;='2. GRI Pricing Inputs'!$X$33,'3. GRI Pricing'!$F17&lt;='2. GRI Pricing Inputs'!$Y$33),'2. GRI Pricing Inputs'!$X$32,IF(AND('3. GRI Pricing'!$F17&gt;='2. GRI Pricing Inputs'!$Z$33,'3. GRI Pricing'!$F17&lt;='2. GRI Pricing Inputs'!$AA$33),'2. GRI Pricing Inputs'!$Z$32,IF(AND('3. GRI Pricing'!$F17&gt;='2. GRI Pricing Inputs'!$AB$33,'3. GRI Pricing'!$F17&lt;='2. GRI Pricing Inputs'!$AC$33),'2. GRI Pricing Inputs'!$AB$32,IF(AND('3. GRI Pricing'!$F17&gt;='2. GRI Pricing Inputs'!$AD$33,'3. GRI Pricing'!$F17&lt;='2. GRI Pricing Inputs'!$AE$33),'2. GRI Pricing Inputs'!$AD$32,IF(AND('3. GRI Pricing'!$F17&gt;='2. GRI Pricing Inputs'!$AF$33,'3. GRI Pricing'!$F17&lt;='2. GRI Pricing Inputs'!$AG$33),'2. GRI Pricing Inputs'!$AF$32,IF(AND('3. GRI Pricing'!$F17&gt;='2. GRI Pricing Inputs'!$AH$33,'3. GRI Pricing'!$F17&lt;='2. GRI Pricing Inputs'!$AI$33),'2. GRI Pricing Inputs'!$AH$32,0))))))))))))))))</f>
        <v>1</v>
      </c>
      <c r="N17" s="273" cm="1">
        <f t="array" ref="N17">IFERROR(INDEX('2. GRI Pricing Inputs'!$C$32:$AI$39,MATCH('3. GRI Pricing'!D17,'2. GRI Pricing Inputs'!$C$32:$C$39,0),(MATCH('3. GRI Pricing'!M17,'2. GRI Pricing Inputs'!$D$32:$AI$32,0)+1)),0)</f>
        <v>10</v>
      </c>
      <c r="O17" s="273">
        <f>IFERROR(INDEX('2. GRI Pricing Inputs'!$C$45:$AI$46,MATCH($O$16,'2. GRI Pricing Inputs'!$C$45:$C$46,0),MATCH(G17,'2. GRI Pricing Inputs'!$C$45:$AI$45,0)),0)</f>
        <v>0</v>
      </c>
      <c r="P17" s="273">
        <f>IFERROR(INDEX('2. GRI Pricing Inputs'!$C$53:$AI$54,MATCH('3. GRI Pricing'!$P$16,'2. GRI Pricing Inputs'!$C$53:$C$54,0),MATCH('3. GRI Pricing'!H17,'2. GRI Pricing Inputs'!$C$53:$AI$53,0)),0)</f>
        <v>25</v>
      </c>
      <c r="Q17" s="273">
        <f>IFERROR(INDEX('2. GRI Pricing Inputs'!$C$60:$AI$61,MATCH('3. GRI Pricing'!$Q$16,'2. GRI Pricing Inputs'!$C$60:$C$61,0),MATCH('1. Accomodation'!T21,'2. GRI Pricing Inputs'!$C$60:$AI$60,0)),0)</f>
        <v>0</v>
      </c>
      <c r="R17" s="273">
        <f>IFERROR(INDEX('2. GRI Pricing Inputs'!$C$67:$AI$68,MATCH('3. GRI Pricing'!$R$16,'2. GRI Pricing Inputs'!$C$67:$C$68,0),MATCH('1. Accomodation'!U21,'2. GRI Pricing Inputs'!$C$67:$AI$67,0)),0)</f>
        <v>0</v>
      </c>
      <c r="S17" s="273">
        <f>IF(D17=0,0,'2. GRI Pricing Inputs'!$AI$75)</f>
        <v>70</v>
      </c>
      <c r="T17" s="273">
        <f>IFERROR(INDEX('2. GRI Pricing Inputs'!$C$82:$AI$83,MATCH('3. GRI Pricing'!$T$16,'2. GRI Pricing Inputs'!$C$82:$C$83,0),MATCH('1. Accomodation'!V21,'2. GRI Pricing Inputs'!$C$82:$AI$82,0)),0)</f>
        <v>20</v>
      </c>
      <c r="U17" s="273">
        <f>IFERROR(INDEX('2. GRI Pricing Inputs'!$C$89:$AI$90,MATCH('3. GRI Pricing'!$U$16,'2. GRI Pricing Inputs'!$C$89:$C$90,0),MATCH('1. Accomodation'!W21,'2. GRI Pricing Inputs'!$C$89:$AI$89,0)),0)</f>
        <v>0</v>
      </c>
      <c r="V17" s="273">
        <f>IFERROR(INDEX('2. GRI Pricing Inputs'!$C$97:$AI$98,MATCH('3. GRI Pricing'!$V$16,'2. GRI Pricing Inputs'!$C$97:$C$98,0),MATCH('1. Accomodation'!X21,'2. GRI Pricing Inputs'!$C$97:$AI$97,0)),0)</f>
        <v>0</v>
      </c>
      <c r="W17" s="273">
        <f>IFERROR(INDEX('2. GRI Pricing Inputs'!$C$104:$AI$105,MATCH('3. GRI Pricing'!$W$16,'2. GRI Pricing Inputs'!$C$104:$C$105,0),MATCH('1. Accomodation'!Y21,'2. GRI Pricing Inputs'!$C$104:$AI$104,0)),0)</f>
        <v>0</v>
      </c>
      <c r="X17" s="274">
        <v>0</v>
      </c>
      <c r="Y17" s="275">
        <f>K17+L17+N17+O17+P17+Q17+R17+S17+T17+U17+V17+W17+X17</f>
        <v>970</v>
      </c>
      <c r="Z17" s="276"/>
      <c r="AA17" s="276"/>
      <c r="AB17" s="276"/>
      <c r="AC17" s="272">
        <f>Y17*(1+'2. GRI Pricing Inputs'!$D$114)^(($AC$16-$AB$15)/365)</f>
        <v>973.23652960729896</v>
      </c>
      <c r="AD17" s="273">
        <f>AC17*(1+'2. GRI Pricing Inputs'!$D$114)^((AD$16-AC$16)/365)</f>
        <v>976.378936843671</v>
      </c>
      <c r="AE17" s="273">
        <f>AD17*(1+'2. GRI Pricing Inputs'!$D$114)^((AE$16-AD$16)/365)</f>
        <v>979.63675059319428</v>
      </c>
      <c r="AF17" s="273">
        <f>AE17*(1+'2. GRI Pricing Inputs'!$D$114)^((AF$16-AE$16)/365)</f>
        <v>982.90543445679532</v>
      </c>
      <c r="AG17" s="273">
        <f>AF17*(1+'2. GRI Pricing Inputs'!$D$114)^((AG$16-AF$16)/365)</f>
        <v>985.97310840774855</v>
      </c>
      <c r="AH17" s="273">
        <f>AG17*(1+'2. GRI Pricing Inputs'!$D$114)^((AH$16-AG$16)/365)</f>
        <v>989.26293434317358</v>
      </c>
      <c r="AI17" s="273">
        <f>AH17*(1+'2. GRI Pricing Inputs'!$D$114)^((AI$16-AH$16)/365)</f>
        <v>992.45708798310011</v>
      </c>
      <c r="AJ17" s="273">
        <f>AI17*(1+'2. GRI Pricing Inputs'!$D$114)^((AJ$16-AI$16)/365)</f>
        <v>995.76854854931764</v>
      </c>
      <c r="AK17" s="273">
        <f>AJ17*(1+'2. GRI Pricing Inputs'!$D$114)^((AK$16-AJ$16)/365)</f>
        <v>998.983707657634</v>
      </c>
      <c r="AL17" s="273">
        <f>AK17*(1+'2. GRI Pricing Inputs'!$D$114)^((AL$16-AK$16)/365)</f>
        <v>1002.3169451288126</v>
      </c>
      <c r="AM17" s="273">
        <f>AL17*(1+'2. GRI Pricing Inputs'!$D$114)^((AM$16-AL$16)/365)</f>
        <v>1005.6613043750052</v>
      </c>
      <c r="AN17" s="273">
        <f>AM17*(1+'2. GRI Pricing Inputs'!$D$114)^((AN$16-AM$16)/365)</f>
        <v>1008.9084054281095</v>
      </c>
      <c r="AO17" s="273">
        <f>AN17*(1+'2. GRI Pricing Inputs'!$D$114)^((AO$16-AN$16)/365)</f>
        <v>1012.2747579283372</v>
      </c>
    </row>
    <row r="18" spans="3:41" ht="12" x14ac:dyDescent="0.2">
      <c r="C18" s="76" t="str">
        <f>'1. Accomodation'!N22</f>
        <v>102N</v>
      </c>
      <c r="D18" s="69" t="str">
        <f>'1. Accomodation'!P22</f>
        <v>2 Bed</v>
      </c>
      <c r="E18" s="69">
        <f>'1. Accomodation'!Q22</f>
        <v>2</v>
      </c>
      <c r="F18" s="77">
        <f>'1. Accomodation'!O22</f>
        <v>678</v>
      </c>
      <c r="G18" s="69" t="str">
        <f>'1. Accomodation'!R22</f>
        <v>Ground</v>
      </c>
      <c r="H18" s="69" t="str">
        <f>'1. Accomodation'!S22</f>
        <v>Courtyard</v>
      </c>
      <c r="I18" s="62"/>
      <c r="K18" s="272">
        <f>IFERROR(INDEX('2. GRI Pricing Inputs'!$C$15:$AI$16,MATCH($K$16,'2. GRI Pricing Inputs'!$C$15:$C$16,0),MATCH(D18,'2. GRI Pricing Inputs'!$C$15:$AI$15,0)),0)</f>
        <v>1110</v>
      </c>
      <c r="L18" s="273">
        <f>IFERROR(INDEX('2. GRI Pricing Inputs'!$C$22:$AI$23,MATCH($L$16,'2. GRI Pricing Inputs'!$C$22:$C$23,0),MATCH(E18,'2. GRI Pricing Inputs'!$C$22:$AI$22,0)),0)</f>
        <v>0</v>
      </c>
      <c r="M18" s="328">
        <f>IF(AND('3. GRI Pricing'!$F18&gt;='2. GRI Pricing Inputs'!$D$33,'3. GRI Pricing'!$F18&lt;='2. GRI Pricing Inputs'!$E$33),'2. GRI Pricing Inputs'!$D$32,IF(AND('3. GRI Pricing'!$F18&gt;='2. GRI Pricing Inputs'!$F$33,'3. GRI Pricing'!$F18&lt;='2. GRI Pricing Inputs'!$G$33),'2. GRI Pricing Inputs'!$F$32,IF(AND('3. GRI Pricing'!$F18&gt;='2. GRI Pricing Inputs'!$H$33,'3. GRI Pricing'!$F18&lt;='2. GRI Pricing Inputs'!$I$33),'2. GRI Pricing Inputs'!$H$32,IF(AND('3. GRI Pricing'!$F18&gt;='2. GRI Pricing Inputs'!$J$33,'3. GRI Pricing'!$F18&lt;='2. GRI Pricing Inputs'!$K$33),'2. GRI Pricing Inputs'!$J$32,IF(AND('3. GRI Pricing'!$F18&gt;='2. GRI Pricing Inputs'!$L$33,'3. GRI Pricing'!$F18&lt;='2. GRI Pricing Inputs'!$M$33),'2. GRI Pricing Inputs'!$L$32,IF(AND('3. GRI Pricing'!$F18&gt;='2. GRI Pricing Inputs'!$N$33,'3. GRI Pricing'!$F18&lt;='2. GRI Pricing Inputs'!$O$33),'2. GRI Pricing Inputs'!$N$32,IF(AND('3. GRI Pricing'!$F18&gt;='2. GRI Pricing Inputs'!$P$33,'3. GRI Pricing'!$F18&lt;='2. GRI Pricing Inputs'!$Q$33),'2. GRI Pricing Inputs'!$P$32,IF(AND('3. GRI Pricing'!$F18&gt;='2. GRI Pricing Inputs'!$R$33,'3. GRI Pricing'!$F18&lt;='2. GRI Pricing Inputs'!$S$33),'2. GRI Pricing Inputs'!$R$32,IF(AND('3. GRI Pricing'!$F18&gt;='2. GRI Pricing Inputs'!$T$33,'3. GRI Pricing'!$F18&lt;='2. GRI Pricing Inputs'!$U$33),'2. GRI Pricing Inputs'!$T$32,IF(AND('3. GRI Pricing'!$F18&gt;='2. GRI Pricing Inputs'!$V$33,'3. GRI Pricing'!$F18&lt;='2. GRI Pricing Inputs'!$W$33),'2. GRI Pricing Inputs'!$V$32,IF(AND('3. GRI Pricing'!$F18&gt;='2. GRI Pricing Inputs'!$X$33,'3. GRI Pricing'!$F18&lt;='2. GRI Pricing Inputs'!$Y$33),'2. GRI Pricing Inputs'!$X$32,IF(AND('3. GRI Pricing'!$F18&gt;='2. GRI Pricing Inputs'!$Z$33,'3. GRI Pricing'!$F18&lt;='2. GRI Pricing Inputs'!$AA$33),'2. GRI Pricing Inputs'!$Z$32,IF(AND('3. GRI Pricing'!$F18&gt;='2. GRI Pricing Inputs'!$AB$33,'3. GRI Pricing'!$F18&lt;='2. GRI Pricing Inputs'!$AC$33),'2. GRI Pricing Inputs'!$AB$32,IF(AND('3. GRI Pricing'!$F18&gt;='2. GRI Pricing Inputs'!$AD$33,'3. GRI Pricing'!$F18&lt;='2. GRI Pricing Inputs'!$AE$33),'2. GRI Pricing Inputs'!$AD$32,IF(AND('3. GRI Pricing'!$F18&gt;='2. GRI Pricing Inputs'!$AF$33,'3. GRI Pricing'!$F18&lt;='2. GRI Pricing Inputs'!$AG$33),'2. GRI Pricing Inputs'!$AF$32,IF(AND('3. GRI Pricing'!$F18&gt;='2. GRI Pricing Inputs'!$AH$33,'3. GRI Pricing'!$F18&lt;='2. GRI Pricing Inputs'!$AI$33),'2. GRI Pricing Inputs'!$AH$32,0))))))))))))))))</f>
        <v>10</v>
      </c>
      <c r="N18" s="273" cm="1">
        <f t="array" ref="N18">IFERROR(INDEX('2. GRI Pricing Inputs'!$C$32:$AI$39,MATCH('3. GRI Pricing'!D18,'2. GRI Pricing Inputs'!$C$32:$C$39,0),(MATCH('3. GRI Pricing'!M18,'2. GRI Pricing Inputs'!$D$32:$AI$32,0)+1)),0)</f>
        <v>40</v>
      </c>
      <c r="O18" s="273">
        <f>IFERROR(INDEX('2. GRI Pricing Inputs'!$C$45:$AI$46,MATCH($O$16,'2. GRI Pricing Inputs'!$C$45:$C$46,0),MATCH(G18,'2. GRI Pricing Inputs'!$C$45:$AI$45,0)),0)</f>
        <v>0</v>
      </c>
      <c r="P18" s="273">
        <f>IFERROR(INDEX('2. GRI Pricing Inputs'!$C$53:$AI$54,MATCH('3. GRI Pricing'!$P$16,'2. GRI Pricing Inputs'!$C$53:$C$54,0),MATCH('3. GRI Pricing'!H18,'2. GRI Pricing Inputs'!$C$53:$AI$53,0)),0)</f>
        <v>25</v>
      </c>
      <c r="Q18" s="273">
        <f>IFERROR(INDEX('2. GRI Pricing Inputs'!$C$60:$AI$61,MATCH('3. GRI Pricing'!$Q$16,'2. GRI Pricing Inputs'!$C$60:$C$61,0),MATCH('1. Accomodation'!T22,'2. GRI Pricing Inputs'!$C$60:$AI$60,0)),0)</f>
        <v>0</v>
      </c>
      <c r="R18" s="273">
        <f>IFERROR(INDEX('2. GRI Pricing Inputs'!$C$67:$AI$68,MATCH('3. GRI Pricing'!$R$16,'2. GRI Pricing Inputs'!$C$67:$C$68,0),MATCH('1. Accomodation'!U22,'2. GRI Pricing Inputs'!$C$67:$AI$67,0)),0)</f>
        <v>0</v>
      </c>
      <c r="S18" s="273">
        <f>IF(D18=0,0,'2. GRI Pricing Inputs'!$AI$75)</f>
        <v>70</v>
      </c>
      <c r="T18" s="273">
        <f>IFERROR(INDEX('2. GRI Pricing Inputs'!$C$82:$AI$83,MATCH('3. GRI Pricing'!$T$16,'2. GRI Pricing Inputs'!$C$82:$C$83,0),MATCH('1. Accomodation'!V22,'2. GRI Pricing Inputs'!$C$82:$AI$82,0)),0)</f>
        <v>20</v>
      </c>
      <c r="U18" s="273">
        <f>IFERROR(INDEX('2. GRI Pricing Inputs'!$C$89:$AI$90,MATCH('3. GRI Pricing'!$U$16,'2. GRI Pricing Inputs'!$C$89:$C$90,0),MATCH('1. Accomodation'!W22,'2. GRI Pricing Inputs'!$C$89:$AI$89,0)),0)</f>
        <v>0</v>
      </c>
      <c r="V18" s="273">
        <f>IFERROR(INDEX('2. GRI Pricing Inputs'!$C$97:$AI$98,MATCH('3. GRI Pricing'!$V$16,'2. GRI Pricing Inputs'!$C$97:$C$98,0),MATCH('1. Accomodation'!X22,'2. GRI Pricing Inputs'!$C$97:$AI$97,0)),0)</f>
        <v>0</v>
      </c>
      <c r="W18" s="273">
        <f>IFERROR(INDEX('2. GRI Pricing Inputs'!$C$104:$AI$105,MATCH('3. GRI Pricing'!$W$16,'2. GRI Pricing Inputs'!$C$104:$C$105,0),MATCH('1. Accomodation'!Y22,'2. GRI Pricing Inputs'!$C$104:$AI$104,0)),0)</f>
        <v>0</v>
      </c>
      <c r="X18" s="274">
        <v>0</v>
      </c>
      <c r="Y18" s="275">
        <f t="shared" ref="Y18:Y81" si="7">K18+L18+N18+O18+P18+Q18+R18+S18+T18+U18+V18+W18+X18</f>
        <v>1265</v>
      </c>
      <c r="Z18" s="276"/>
      <c r="AA18" s="276"/>
      <c r="AB18" s="276"/>
      <c r="AC18" s="272">
        <f>Y18*(1+'2. GRI Pricing Inputs'!$D$114)^(($AC$16-$AB$15)/365)</f>
        <v>1269.2208350033331</v>
      </c>
      <c r="AD18" s="273">
        <f>AC18*(1+'2. GRI Pricing Inputs'!$D$114)^((AD$16-AC$16)/365)</f>
        <v>1273.3189227909729</v>
      </c>
      <c r="AE18" s="273">
        <f>AD18*(1+'2. GRI Pricing Inputs'!$D$114)^((AE$16-AD$16)/365)</f>
        <v>1277.5675149488563</v>
      </c>
      <c r="AF18" s="273">
        <f>AE18*(1+'2. GRI Pricing Inputs'!$D$114)^((AF$16-AE$16)/365)</f>
        <v>1281.8302830802536</v>
      </c>
      <c r="AG18" s="273">
        <f>AF18*(1+'2. GRI Pricing Inputs'!$D$114)^((AG$16-AF$16)/365)</f>
        <v>1285.8309094183523</v>
      </c>
      <c r="AH18" s="273">
        <f>AG18*(1+'2. GRI Pricing Inputs'!$D$114)^((AH$16-AG$16)/365)</f>
        <v>1290.1212494269221</v>
      </c>
      <c r="AI18" s="273">
        <f>AH18*(1+'2. GRI Pricing Inputs'!$D$114)^((AI$16-AH$16)/365)</f>
        <v>1294.2868209264138</v>
      </c>
      <c r="AJ18" s="273">
        <f>AI18*(1+'2. GRI Pricing Inputs'!$D$114)^((AJ$16-AI$16)/365)</f>
        <v>1298.6053751699862</v>
      </c>
      <c r="AK18" s="273">
        <f>AJ18*(1+'2. GRI Pricing Inputs'!$D$114)^((AK$16-AJ$16)/365)</f>
        <v>1302.7983403988731</v>
      </c>
      <c r="AL18" s="273">
        <f>AK18*(1+'2. GRI Pricing Inputs'!$D$114)^((AL$16-AK$16)/365)</f>
        <v>1307.1452944205646</v>
      </c>
      <c r="AM18" s="273">
        <f>AL18*(1+'2. GRI Pricing Inputs'!$D$114)^((AM$16-AL$16)/365)</f>
        <v>1311.5067526127643</v>
      </c>
      <c r="AN18" s="273">
        <f>AM18*(1+'2. GRI Pricing Inputs'!$D$114)^((AN$16-AM$16)/365)</f>
        <v>1315.7413740892353</v>
      </c>
      <c r="AO18" s="273">
        <f>AN18*(1+'2. GRI Pricing Inputs'!$D$114)^((AO$16-AN$16)/365)</f>
        <v>1320.1315142055116</v>
      </c>
    </row>
    <row r="19" spans="3:41" ht="12" x14ac:dyDescent="0.2">
      <c r="C19" s="76" t="str">
        <f>'1. Accomodation'!N23</f>
        <v>103N</v>
      </c>
      <c r="D19" s="69" t="str">
        <f>'1. Accomodation'!P23</f>
        <v>2 Bed</v>
      </c>
      <c r="E19" s="69">
        <f>'1. Accomodation'!Q23</f>
        <v>2</v>
      </c>
      <c r="F19" s="77">
        <f>'1. Accomodation'!O23</f>
        <v>657</v>
      </c>
      <c r="G19" s="69" t="str">
        <f>'1. Accomodation'!R23</f>
        <v>Ground</v>
      </c>
      <c r="H19" s="69" t="str">
        <f>'1. Accomodation'!S23</f>
        <v>Courtyard</v>
      </c>
      <c r="I19" s="62"/>
      <c r="K19" s="272">
        <f>IFERROR(INDEX('2. GRI Pricing Inputs'!$C$15:$AI$16,MATCH($K$16,'2. GRI Pricing Inputs'!$C$15:$C$16,0),MATCH(D19,'2. GRI Pricing Inputs'!$C$15:$AI$15,0)),0)</f>
        <v>1110</v>
      </c>
      <c r="L19" s="273">
        <f>IFERROR(INDEX('2. GRI Pricing Inputs'!$C$22:$AI$23,MATCH($L$16,'2. GRI Pricing Inputs'!$C$22:$C$23,0),MATCH(E19,'2. GRI Pricing Inputs'!$C$22:$AI$22,0)),0)</f>
        <v>0</v>
      </c>
      <c r="M19" s="328">
        <f>IF(AND('3. GRI Pricing'!$F19&gt;='2. GRI Pricing Inputs'!$D$33,'3. GRI Pricing'!$F19&lt;='2. GRI Pricing Inputs'!$E$33),'2. GRI Pricing Inputs'!$D$32,IF(AND('3. GRI Pricing'!$F19&gt;='2. GRI Pricing Inputs'!$F$33,'3. GRI Pricing'!$F19&lt;='2. GRI Pricing Inputs'!$G$33),'2. GRI Pricing Inputs'!$F$32,IF(AND('3. GRI Pricing'!$F19&gt;='2. GRI Pricing Inputs'!$H$33,'3. GRI Pricing'!$F19&lt;='2. GRI Pricing Inputs'!$I$33),'2. GRI Pricing Inputs'!$H$32,IF(AND('3. GRI Pricing'!$F19&gt;='2. GRI Pricing Inputs'!$J$33,'3. GRI Pricing'!$F19&lt;='2. GRI Pricing Inputs'!$K$33),'2. GRI Pricing Inputs'!$J$32,IF(AND('3. GRI Pricing'!$F19&gt;='2. GRI Pricing Inputs'!$L$33,'3. GRI Pricing'!$F19&lt;='2. GRI Pricing Inputs'!$M$33),'2. GRI Pricing Inputs'!$L$32,IF(AND('3. GRI Pricing'!$F19&gt;='2. GRI Pricing Inputs'!$N$33,'3. GRI Pricing'!$F19&lt;='2. GRI Pricing Inputs'!$O$33),'2. GRI Pricing Inputs'!$N$32,IF(AND('3. GRI Pricing'!$F19&gt;='2. GRI Pricing Inputs'!$P$33,'3. GRI Pricing'!$F19&lt;='2. GRI Pricing Inputs'!$Q$33),'2. GRI Pricing Inputs'!$P$32,IF(AND('3. GRI Pricing'!$F19&gt;='2. GRI Pricing Inputs'!$R$33,'3. GRI Pricing'!$F19&lt;='2. GRI Pricing Inputs'!$S$33),'2. GRI Pricing Inputs'!$R$32,IF(AND('3. GRI Pricing'!$F19&gt;='2. GRI Pricing Inputs'!$T$33,'3. GRI Pricing'!$F19&lt;='2. GRI Pricing Inputs'!$U$33),'2. GRI Pricing Inputs'!$T$32,IF(AND('3. GRI Pricing'!$F19&gt;='2. GRI Pricing Inputs'!$V$33,'3. GRI Pricing'!$F19&lt;='2. GRI Pricing Inputs'!$W$33),'2. GRI Pricing Inputs'!$V$32,IF(AND('3. GRI Pricing'!$F19&gt;='2. GRI Pricing Inputs'!$X$33,'3. GRI Pricing'!$F19&lt;='2. GRI Pricing Inputs'!$Y$33),'2. GRI Pricing Inputs'!$X$32,IF(AND('3. GRI Pricing'!$F19&gt;='2. GRI Pricing Inputs'!$Z$33,'3. GRI Pricing'!$F19&lt;='2. GRI Pricing Inputs'!$AA$33),'2. GRI Pricing Inputs'!$Z$32,IF(AND('3. GRI Pricing'!$F19&gt;='2. GRI Pricing Inputs'!$AB$33,'3. GRI Pricing'!$F19&lt;='2. GRI Pricing Inputs'!$AC$33),'2. GRI Pricing Inputs'!$AB$32,IF(AND('3. GRI Pricing'!$F19&gt;='2. GRI Pricing Inputs'!$AD$33,'3. GRI Pricing'!$F19&lt;='2. GRI Pricing Inputs'!$AE$33),'2. GRI Pricing Inputs'!$AD$32,IF(AND('3. GRI Pricing'!$F19&gt;='2. GRI Pricing Inputs'!$AF$33,'3. GRI Pricing'!$F19&lt;='2. GRI Pricing Inputs'!$AG$33),'2. GRI Pricing Inputs'!$AF$32,IF(AND('3. GRI Pricing'!$F19&gt;='2. GRI Pricing Inputs'!$AH$33,'3. GRI Pricing'!$F19&lt;='2. GRI Pricing Inputs'!$AI$33),'2. GRI Pricing Inputs'!$AH$32,0))))))))))))))))</f>
        <v>8</v>
      </c>
      <c r="N19" s="273" cm="1">
        <f t="array" ref="N19">IFERROR(INDEX('2. GRI Pricing Inputs'!$C$32:$AI$39,MATCH('3. GRI Pricing'!D19,'2. GRI Pricing Inputs'!$C$32:$C$39,0),(MATCH('3. GRI Pricing'!M19,'2. GRI Pricing Inputs'!$D$32:$AI$32,0)+1)),0)</f>
        <v>20</v>
      </c>
      <c r="O19" s="273">
        <f>IFERROR(INDEX('2. GRI Pricing Inputs'!$C$45:$AI$46,MATCH($O$16,'2. GRI Pricing Inputs'!$C$45:$C$46,0),MATCH(G19,'2. GRI Pricing Inputs'!$C$45:$AI$45,0)),0)</f>
        <v>0</v>
      </c>
      <c r="P19" s="273">
        <f>IFERROR(INDEX('2. GRI Pricing Inputs'!$C$53:$AI$54,MATCH('3. GRI Pricing'!$P$16,'2. GRI Pricing Inputs'!$C$53:$C$54,0),MATCH('3. GRI Pricing'!H19,'2. GRI Pricing Inputs'!$C$53:$AI$53,0)),0)</f>
        <v>25</v>
      </c>
      <c r="Q19" s="273">
        <f>IFERROR(INDEX('2. GRI Pricing Inputs'!$C$60:$AI$61,MATCH('3. GRI Pricing'!$Q$16,'2. GRI Pricing Inputs'!$C$60:$C$61,0),MATCH('1. Accomodation'!T23,'2. GRI Pricing Inputs'!$C$60:$AI$60,0)),0)</f>
        <v>0</v>
      </c>
      <c r="R19" s="273">
        <f>IFERROR(INDEX('2. GRI Pricing Inputs'!$C$67:$AI$68,MATCH('3. GRI Pricing'!$R$16,'2. GRI Pricing Inputs'!$C$67:$C$68,0),MATCH('1. Accomodation'!U23,'2. GRI Pricing Inputs'!$C$67:$AI$67,0)),0)</f>
        <v>0</v>
      </c>
      <c r="S19" s="273">
        <f>IF(D19=0,0,'2. GRI Pricing Inputs'!$AI$75)</f>
        <v>70</v>
      </c>
      <c r="T19" s="273">
        <f>IFERROR(INDEX('2. GRI Pricing Inputs'!$C$82:$AI$83,MATCH('3. GRI Pricing'!$T$16,'2. GRI Pricing Inputs'!$C$82:$C$83,0),MATCH('1. Accomodation'!V23,'2. GRI Pricing Inputs'!$C$82:$AI$82,0)),0)</f>
        <v>0</v>
      </c>
      <c r="U19" s="273">
        <f>IFERROR(INDEX('2. GRI Pricing Inputs'!$C$89:$AI$90,MATCH('3. GRI Pricing'!$U$16,'2. GRI Pricing Inputs'!$C$89:$C$90,0),MATCH('1. Accomodation'!W23,'2. GRI Pricing Inputs'!$C$89:$AI$89,0)),0)</f>
        <v>0</v>
      </c>
      <c r="V19" s="273">
        <f>IFERROR(INDEX('2. GRI Pricing Inputs'!$C$97:$AI$98,MATCH('3. GRI Pricing'!$V$16,'2. GRI Pricing Inputs'!$C$97:$C$98,0),MATCH('1. Accomodation'!X23,'2. GRI Pricing Inputs'!$C$97:$AI$97,0)),0)</f>
        <v>0</v>
      </c>
      <c r="W19" s="273">
        <f>IFERROR(INDEX('2. GRI Pricing Inputs'!$C$104:$AI$105,MATCH('3. GRI Pricing'!$W$16,'2. GRI Pricing Inputs'!$C$104:$C$105,0),MATCH('1. Accomodation'!Y23,'2. GRI Pricing Inputs'!$C$104:$AI$104,0)),0)</f>
        <v>0</v>
      </c>
      <c r="X19" s="274">
        <v>0</v>
      </c>
      <c r="Y19" s="275">
        <f t="shared" si="7"/>
        <v>1225</v>
      </c>
      <c r="Z19" s="276"/>
      <c r="AA19" s="276"/>
      <c r="AB19" s="276"/>
      <c r="AC19" s="272">
        <f>Y19*(1+'2. GRI Pricing Inputs'!$D$114)^(($AC$16-$AB$15)/365)</f>
        <v>1229.0873698648879</v>
      </c>
      <c r="AD19" s="273">
        <f>AC19*(1+'2. GRI Pricing Inputs'!$D$114)^((AD$16-AC$16)/365)</f>
        <v>1233.055873848966</v>
      </c>
      <c r="AE19" s="273">
        <f>AD19*(1+'2. GRI Pricing Inputs'!$D$114)^((AE$16-AD$16)/365)</f>
        <v>1237.1701231718175</v>
      </c>
      <c r="AF19" s="273">
        <f>AE19*(1+'2. GRI Pricing Inputs'!$D$114)^((AF$16-AE$16)/365)</f>
        <v>1241.2981002160559</v>
      </c>
      <c r="AG19" s="273">
        <f>AF19*(1+'2. GRI Pricing Inputs'!$D$114)^((AG$16-AF$16)/365)</f>
        <v>1245.1722245355588</v>
      </c>
      <c r="AH19" s="273">
        <f>AG19*(1+'2. GRI Pricing Inputs'!$D$114)^((AH$16-AG$16)/365)</f>
        <v>1249.3269016189563</v>
      </c>
      <c r="AI19" s="273">
        <f>AH19*(1+'2. GRI Pricing Inputs'!$D$114)^((AI$16-AH$16)/365)</f>
        <v>1253.3607554425748</v>
      </c>
      <c r="AJ19" s="273">
        <f>AI19*(1+'2. GRI Pricing Inputs'!$D$114)^((AJ$16-AI$16)/365)</f>
        <v>1257.5427546112517</v>
      </c>
      <c r="AK19" s="273">
        <f>AJ19*(1+'2. GRI Pricing Inputs'!$D$114)^((AK$16-AJ$16)/365)</f>
        <v>1261.6031359593831</v>
      </c>
      <c r="AL19" s="273">
        <f>AK19*(1+'2. GRI Pricing Inputs'!$D$114)^((AL$16-AK$16)/365)</f>
        <v>1265.8126368894796</v>
      </c>
      <c r="AM19" s="273">
        <f>AL19*(1+'2. GRI Pricing Inputs'!$D$114)^((AM$16-AL$16)/365)</f>
        <v>1270.0361833601867</v>
      </c>
      <c r="AN19" s="273">
        <f>AM19*(1+'2. GRI Pricing Inputs'!$D$114)^((AN$16-AM$16)/365)</f>
        <v>1274.1369037623028</v>
      </c>
      <c r="AO19" s="273">
        <f>AN19*(1+'2. GRI Pricing Inputs'!$D$114)^((AO$16-AN$16)/365)</f>
        <v>1278.3882252187759</v>
      </c>
    </row>
    <row r="20" spans="3:41" ht="12" x14ac:dyDescent="0.2">
      <c r="C20" s="76" t="str">
        <f>'1. Accomodation'!N24</f>
        <v>104N</v>
      </c>
      <c r="D20" s="69" t="str">
        <f>'1. Accomodation'!P24</f>
        <v>3 Bed</v>
      </c>
      <c r="E20" s="69">
        <f>'1. Accomodation'!Q24</f>
        <v>2</v>
      </c>
      <c r="F20" s="77">
        <f>'1. Accomodation'!O24</f>
        <v>818</v>
      </c>
      <c r="G20" s="69">
        <f>'1. Accomodation'!R24</f>
        <v>1</v>
      </c>
      <c r="H20" s="69" t="str">
        <f>'1. Accomodation'!S24</f>
        <v>Pottery Lane</v>
      </c>
      <c r="I20" s="62"/>
      <c r="K20" s="272">
        <f>IFERROR(INDEX('2. GRI Pricing Inputs'!$C$15:$AI$16,MATCH($K$16,'2. GRI Pricing Inputs'!$C$15:$C$16,0),MATCH(D20,'2. GRI Pricing Inputs'!$C$15:$AI$15,0)),0)</f>
        <v>1485</v>
      </c>
      <c r="L20" s="273">
        <f>IFERROR(INDEX('2. GRI Pricing Inputs'!$C$22:$AI$23,MATCH($L$16,'2. GRI Pricing Inputs'!$C$22:$C$23,0),MATCH(E20,'2. GRI Pricing Inputs'!$C$22:$AI$22,0)),0)</f>
        <v>0</v>
      </c>
      <c r="M20" s="328">
        <f>IF(AND('3. GRI Pricing'!$F20&gt;='2. GRI Pricing Inputs'!$D$33,'3. GRI Pricing'!$F20&lt;='2. GRI Pricing Inputs'!$E$33),'2. GRI Pricing Inputs'!$D$32,IF(AND('3. GRI Pricing'!$F20&gt;='2. GRI Pricing Inputs'!$F$33,'3. GRI Pricing'!$F20&lt;='2. GRI Pricing Inputs'!$G$33),'2. GRI Pricing Inputs'!$F$32,IF(AND('3. GRI Pricing'!$F20&gt;='2. GRI Pricing Inputs'!$H$33,'3. GRI Pricing'!$F20&lt;='2. GRI Pricing Inputs'!$I$33),'2. GRI Pricing Inputs'!$H$32,IF(AND('3. GRI Pricing'!$F20&gt;='2. GRI Pricing Inputs'!$J$33,'3. GRI Pricing'!$F20&lt;='2. GRI Pricing Inputs'!$K$33),'2. GRI Pricing Inputs'!$J$32,IF(AND('3. GRI Pricing'!$F20&gt;='2. GRI Pricing Inputs'!$L$33,'3. GRI Pricing'!$F20&lt;='2. GRI Pricing Inputs'!$M$33),'2. GRI Pricing Inputs'!$L$32,IF(AND('3. GRI Pricing'!$F20&gt;='2. GRI Pricing Inputs'!$N$33,'3. GRI Pricing'!$F20&lt;='2. GRI Pricing Inputs'!$O$33),'2. GRI Pricing Inputs'!$N$32,IF(AND('3. GRI Pricing'!$F20&gt;='2. GRI Pricing Inputs'!$P$33,'3. GRI Pricing'!$F20&lt;='2. GRI Pricing Inputs'!$Q$33),'2. GRI Pricing Inputs'!$P$32,IF(AND('3. GRI Pricing'!$F20&gt;='2. GRI Pricing Inputs'!$R$33,'3. GRI Pricing'!$F20&lt;='2. GRI Pricing Inputs'!$S$33),'2. GRI Pricing Inputs'!$R$32,IF(AND('3. GRI Pricing'!$F20&gt;='2. GRI Pricing Inputs'!$T$33,'3. GRI Pricing'!$F20&lt;='2. GRI Pricing Inputs'!$U$33),'2. GRI Pricing Inputs'!$T$32,IF(AND('3. GRI Pricing'!$F20&gt;='2. GRI Pricing Inputs'!$V$33,'3. GRI Pricing'!$F20&lt;='2. GRI Pricing Inputs'!$W$33),'2. GRI Pricing Inputs'!$V$32,IF(AND('3. GRI Pricing'!$F20&gt;='2. GRI Pricing Inputs'!$X$33,'3. GRI Pricing'!$F20&lt;='2. GRI Pricing Inputs'!$Y$33),'2. GRI Pricing Inputs'!$X$32,IF(AND('3. GRI Pricing'!$F20&gt;='2. GRI Pricing Inputs'!$Z$33,'3. GRI Pricing'!$F20&lt;='2. GRI Pricing Inputs'!$AA$33),'2. GRI Pricing Inputs'!$Z$32,IF(AND('3. GRI Pricing'!$F20&gt;='2. GRI Pricing Inputs'!$AB$33,'3. GRI Pricing'!$F20&lt;='2. GRI Pricing Inputs'!$AC$33),'2. GRI Pricing Inputs'!$AB$32,IF(AND('3. GRI Pricing'!$F20&gt;='2. GRI Pricing Inputs'!$AD$33,'3. GRI Pricing'!$F20&lt;='2. GRI Pricing Inputs'!$AE$33),'2. GRI Pricing Inputs'!$AD$32,IF(AND('3. GRI Pricing'!$F20&gt;='2. GRI Pricing Inputs'!$AF$33,'3. GRI Pricing'!$F20&lt;='2. GRI Pricing Inputs'!$AG$33),'2. GRI Pricing Inputs'!$AF$32,IF(AND('3. GRI Pricing'!$F20&gt;='2. GRI Pricing Inputs'!$AH$33,'3. GRI Pricing'!$F20&lt;='2. GRI Pricing Inputs'!$AI$33),'2. GRI Pricing Inputs'!$AH$32,0))))))))))))))))</f>
        <v>13</v>
      </c>
      <c r="N20" s="273" cm="1">
        <f t="array" ref="N20">IFERROR(INDEX('2. GRI Pricing Inputs'!$C$32:$AI$39,MATCH('3. GRI Pricing'!D20,'2. GRI Pricing Inputs'!$C$32:$C$39,0),(MATCH('3. GRI Pricing'!M20,'2. GRI Pricing Inputs'!$D$32:$AI$32,0)+1)),0)</f>
        <v>50</v>
      </c>
      <c r="O20" s="273">
        <f>IFERROR(INDEX('2. GRI Pricing Inputs'!$C$45:$AI$46,MATCH($O$16,'2. GRI Pricing Inputs'!$C$45:$C$46,0),MATCH(G20,'2. GRI Pricing Inputs'!$C$45:$AI$45,0)),0)</f>
        <v>30</v>
      </c>
      <c r="P20" s="273">
        <f>IFERROR(INDEX('2. GRI Pricing Inputs'!$C$53:$AI$54,MATCH('3. GRI Pricing'!$P$16,'2. GRI Pricing Inputs'!$C$53:$C$54,0),MATCH('3. GRI Pricing'!H20,'2. GRI Pricing Inputs'!$C$53:$AI$53,0)),0)</f>
        <v>10</v>
      </c>
      <c r="Q20" s="273">
        <f>IFERROR(INDEX('2. GRI Pricing Inputs'!$C$60:$AI$61,MATCH('3. GRI Pricing'!$Q$16,'2. GRI Pricing Inputs'!$C$60:$C$61,0),MATCH('1. Accomodation'!T24,'2. GRI Pricing Inputs'!$C$60:$AI$60,0)),0)</f>
        <v>0</v>
      </c>
      <c r="R20" s="273">
        <f>IFERROR(INDEX('2. GRI Pricing Inputs'!$C$67:$AI$68,MATCH('3. GRI Pricing'!$R$16,'2. GRI Pricing Inputs'!$C$67:$C$68,0),MATCH('1. Accomodation'!U24,'2. GRI Pricing Inputs'!$C$67:$AI$67,0)),0)</f>
        <v>0</v>
      </c>
      <c r="S20" s="273">
        <f>IF(D20=0,0,'2. GRI Pricing Inputs'!$AI$75)</f>
        <v>70</v>
      </c>
      <c r="T20" s="273">
        <f>IFERROR(INDEX('2. GRI Pricing Inputs'!$C$82:$AI$83,MATCH('3. GRI Pricing'!$T$16,'2. GRI Pricing Inputs'!$C$82:$C$83,0),MATCH('1. Accomodation'!V24,'2. GRI Pricing Inputs'!$C$82:$AI$82,0)),0)</f>
        <v>0</v>
      </c>
      <c r="U20" s="273">
        <f>IFERROR(INDEX('2. GRI Pricing Inputs'!$C$89:$AI$90,MATCH('3. GRI Pricing'!$U$16,'2. GRI Pricing Inputs'!$C$89:$C$90,0),MATCH('1. Accomodation'!W24,'2. GRI Pricing Inputs'!$C$89:$AI$89,0)),0)</f>
        <v>0</v>
      </c>
      <c r="V20" s="273">
        <f>IFERROR(INDEX('2. GRI Pricing Inputs'!$C$97:$AI$98,MATCH('3. GRI Pricing'!$V$16,'2. GRI Pricing Inputs'!$C$97:$C$98,0),MATCH('1. Accomodation'!X24,'2. GRI Pricing Inputs'!$C$97:$AI$97,0)),0)</f>
        <v>0</v>
      </c>
      <c r="W20" s="273">
        <f>IFERROR(INDEX('2. GRI Pricing Inputs'!$C$104:$AI$105,MATCH('3. GRI Pricing'!$W$16,'2. GRI Pricing Inputs'!$C$104:$C$105,0),MATCH('1. Accomodation'!Y24,'2. GRI Pricing Inputs'!$C$104:$AI$104,0)),0)</f>
        <v>0</v>
      </c>
      <c r="X20" s="274">
        <v>0</v>
      </c>
      <c r="Y20" s="275">
        <f t="shared" si="7"/>
        <v>1645</v>
      </c>
      <c r="Z20" s="276"/>
      <c r="AA20" s="276"/>
      <c r="AB20" s="276"/>
      <c r="AC20" s="272">
        <f>Y20*(1+'2. GRI Pricing Inputs'!$D$114)^(($AC$16-$AB$15)/365)</f>
        <v>1650.4887538185637</v>
      </c>
      <c r="AD20" s="273">
        <f>AC20*(1+'2. GRI Pricing Inputs'!$D$114)^((AD$16-AC$16)/365)</f>
        <v>1655.8178877400401</v>
      </c>
      <c r="AE20" s="273">
        <f>AD20*(1+'2. GRI Pricing Inputs'!$D$114)^((AE$16-AD$16)/365)</f>
        <v>1661.3427368307264</v>
      </c>
      <c r="AF20" s="273">
        <f>AE20*(1+'2. GRI Pricing Inputs'!$D$114)^((AF$16-AE$16)/365)</f>
        <v>1666.8860202901321</v>
      </c>
      <c r="AG20" s="273">
        <f>AF20*(1+'2. GRI Pricing Inputs'!$D$114)^((AG$16-AF$16)/365)</f>
        <v>1672.088415804893</v>
      </c>
      <c r="AH20" s="273">
        <f>AG20*(1+'2. GRI Pricing Inputs'!$D$114)^((AH$16-AG$16)/365)</f>
        <v>1677.6675536025982</v>
      </c>
      <c r="AI20" s="273">
        <f>AH20*(1+'2. GRI Pricing Inputs'!$D$114)^((AI$16-AH$16)/365)</f>
        <v>1683.084443022886</v>
      </c>
      <c r="AJ20" s="273">
        <f>AI20*(1+'2. GRI Pricing Inputs'!$D$114)^((AJ$16-AI$16)/365)</f>
        <v>1688.7002704779663</v>
      </c>
      <c r="AK20" s="273">
        <f>AJ20*(1+'2. GRI Pricing Inputs'!$D$114)^((AK$16-AJ$16)/365)</f>
        <v>1694.1527825740286</v>
      </c>
      <c r="AL20" s="273">
        <f>AK20*(1+'2. GRI Pricing Inputs'!$D$114)^((AL$16-AK$16)/365)</f>
        <v>1699.8055409658728</v>
      </c>
      <c r="AM20" s="273">
        <f>AL20*(1+'2. GRI Pricing Inputs'!$D$114)^((AM$16-AL$16)/365)</f>
        <v>1705.477160512251</v>
      </c>
      <c r="AN20" s="273">
        <f>AM20*(1+'2. GRI Pricing Inputs'!$D$114)^((AN$16-AM$16)/365)</f>
        <v>1710.9838421950928</v>
      </c>
      <c r="AO20" s="273">
        <f>AN20*(1+'2. GRI Pricing Inputs'!$D$114)^((AO$16-AN$16)/365)</f>
        <v>1716.6927595794996</v>
      </c>
    </row>
    <row r="21" spans="3:41" ht="12" x14ac:dyDescent="0.2">
      <c r="C21" s="76" t="str">
        <f>'1. Accomodation'!N25</f>
        <v>105N</v>
      </c>
      <c r="D21" s="69" t="str">
        <f>'1. Accomodation'!P25</f>
        <v>2 Bed</v>
      </c>
      <c r="E21" s="69">
        <f>'1. Accomodation'!Q25</f>
        <v>2</v>
      </c>
      <c r="F21" s="77">
        <f>'1. Accomodation'!O25</f>
        <v>667</v>
      </c>
      <c r="G21" s="69">
        <f>'1. Accomodation'!R25</f>
        <v>1</v>
      </c>
      <c r="H21" s="69" t="str">
        <f>'1. Accomodation'!S25</f>
        <v>Forth Banks/Pottery Lane</v>
      </c>
      <c r="I21" s="62"/>
      <c r="K21" s="272">
        <f>IFERROR(INDEX('2. GRI Pricing Inputs'!$C$15:$AI$16,MATCH($K$16,'2. GRI Pricing Inputs'!$C$15:$C$16,0),MATCH(D21,'2. GRI Pricing Inputs'!$C$15:$AI$15,0)),0)</f>
        <v>1110</v>
      </c>
      <c r="L21" s="273">
        <f>IFERROR(INDEX('2. GRI Pricing Inputs'!$C$22:$AI$23,MATCH($L$16,'2. GRI Pricing Inputs'!$C$22:$C$23,0),MATCH(E21,'2. GRI Pricing Inputs'!$C$22:$AI$22,0)),0)</f>
        <v>0</v>
      </c>
      <c r="M21" s="328">
        <f>IF(AND('3. GRI Pricing'!$F21&gt;='2. GRI Pricing Inputs'!$D$33,'3. GRI Pricing'!$F21&lt;='2. GRI Pricing Inputs'!$E$33),'2. GRI Pricing Inputs'!$D$32,IF(AND('3. GRI Pricing'!$F21&gt;='2. GRI Pricing Inputs'!$F$33,'3. GRI Pricing'!$F21&lt;='2. GRI Pricing Inputs'!$G$33),'2. GRI Pricing Inputs'!$F$32,IF(AND('3. GRI Pricing'!$F21&gt;='2. GRI Pricing Inputs'!$H$33,'3. GRI Pricing'!$F21&lt;='2. GRI Pricing Inputs'!$I$33),'2. GRI Pricing Inputs'!$H$32,IF(AND('3. GRI Pricing'!$F21&gt;='2. GRI Pricing Inputs'!$J$33,'3. GRI Pricing'!$F21&lt;='2. GRI Pricing Inputs'!$K$33),'2. GRI Pricing Inputs'!$J$32,IF(AND('3. GRI Pricing'!$F21&gt;='2. GRI Pricing Inputs'!$L$33,'3. GRI Pricing'!$F21&lt;='2. GRI Pricing Inputs'!$M$33),'2. GRI Pricing Inputs'!$L$32,IF(AND('3. GRI Pricing'!$F21&gt;='2. GRI Pricing Inputs'!$N$33,'3. GRI Pricing'!$F21&lt;='2. GRI Pricing Inputs'!$O$33),'2. GRI Pricing Inputs'!$N$32,IF(AND('3. GRI Pricing'!$F21&gt;='2. GRI Pricing Inputs'!$P$33,'3. GRI Pricing'!$F21&lt;='2. GRI Pricing Inputs'!$Q$33),'2. GRI Pricing Inputs'!$P$32,IF(AND('3. GRI Pricing'!$F21&gt;='2. GRI Pricing Inputs'!$R$33,'3. GRI Pricing'!$F21&lt;='2. GRI Pricing Inputs'!$S$33),'2. GRI Pricing Inputs'!$R$32,IF(AND('3. GRI Pricing'!$F21&gt;='2. GRI Pricing Inputs'!$T$33,'3. GRI Pricing'!$F21&lt;='2. GRI Pricing Inputs'!$U$33),'2. GRI Pricing Inputs'!$T$32,IF(AND('3. GRI Pricing'!$F21&gt;='2. GRI Pricing Inputs'!$V$33,'3. GRI Pricing'!$F21&lt;='2. GRI Pricing Inputs'!$W$33),'2. GRI Pricing Inputs'!$V$32,IF(AND('3. GRI Pricing'!$F21&gt;='2. GRI Pricing Inputs'!$X$33,'3. GRI Pricing'!$F21&lt;='2. GRI Pricing Inputs'!$Y$33),'2. GRI Pricing Inputs'!$X$32,IF(AND('3. GRI Pricing'!$F21&gt;='2. GRI Pricing Inputs'!$Z$33,'3. GRI Pricing'!$F21&lt;='2. GRI Pricing Inputs'!$AA$33),'2. GRI Pricing Inputs'!$Z$32,IF(AND('3. GRI Pricing'!$F21&gt;='2. GRI Pricing Inputs'!$AB$33,'3. GRI Pricing'!$F21&lt;='2. GRI Pricing Inputs'!$AC$33),'2. GRI Pricing Inputs'!$AB$32,IF(AND('3. GRI Pricing'!$F21&gt;='2. GRI Pricing Inputs'!$AD$33,'3. GRI Pricing'!$F21&lt;='2. GRI Pricing Inputs'!$AE$33),'2. GRI Pricing Inputs'!$AD$32,IF(AND('3. GRI Pricing'!$F21&gt;='2. GRI Pricing Inputs'!$AF$33,'3. GRI Pricing'!$F21&lt;='2. GRI Pricing Inputs'!$AG$33),'2. GRI Pricing Inputs'!$AF$32,IF(AND('3. GRI Pricing'!$F21&gt;='2. GRI Pricing Inputs'!$AH$33,'3. GRI Pricing'!$F21&lt;='2. GRI Pricing Inputs'!$AI$33),'2. GRI Pricing Inputs'!$AH$32,0))))))))))))))))</f>
        <v>9</v>
      </c>
      <c r="N21" s="273" cm="1">
        <f t="array" ref="N21">IFERROR(INDEX('2. GRI Pricing Inputs'!$C$32:$AI$39,MATCH('3. GRI Pricing'!D21,'2. GRI Pricing Inputs'!$C$32:$C$39,0),(MATCH('3. GRI Pricing'!M21,'2. GRI Pricing Inputs'!$D$32:$AI$32,0)+1)),0)</f>
        <v>30</v>
      </c>
      <c r="O21" s="273">
        <f>IFERROR(INDEX('2. GRI Pricing Inputs'!$C$45:$AI$46,MATCH($O$16,'2. GRI Pricing Inputs'!$C$45:$C$46,0),MATCH(G21,'2. GRI Pricing Inputs'!$C$45:$AI$45,0)),0)</f>
        <v>30</v>
      </c>
      <c r="P21" s="273">
        <f>IFERROR(INDEX('2. GRI Pricing Inputs'!$C$53:$AI$54,MATCH('3. GRI Pricing'!$P$16,'2. GRI Pricing Inputs'!$C$53:$C$54,0),MATCH('3. GRI Pricing'!H21,'2. GRI Pricing Inputs'!$C$53:$AI$53,0)),0)</f>
        <v>10</v>
      </c>
      <c r="Q21" s="273">
        <f>IFERROR(INDEX('2. GRI Pricing Inputs'!$C$60:$AI$61,MATCH('3. GRI Pricing'!$Q$16,'2. GRI Pricing Inputs'!$C$60:$C$61,0),MATCH('1. Accomodation'!T25,'2. GRI Pricing Inputs'!$C$60:$AI$60,0)),0)</f>
        <v>0</v>
      </c>
      <c r="R21" s="273">
        <f>IFERROR(INDEX('2. GRI Pricing Inputs'!$C$67:$AI$68,MATCH('3. GRI Pricing'!$R$16,'2. GRI Pricing Inputs'!$C$67:$C$68,0),MATCH('1. Accomodation'!U25,'2. GRI Pricing Inputs'!$C$67:$AI$67,0)),0)</f>
        <v>0</v>
      </c>
      <c r="S21" s="273">
        <f>IF(D21=0,0,'2. GRI Pricing Inputs'!$AI$75)</f>
        <v>70</v>
      </c>
      <c r="T21" s="273">
        <f>IFERROR(INDEX('2. GRI Pricing Inputs'!$C$82:$AI$83,MATCH('3. GRI Pricing'!$T$16,'2. GRI Pricing Inputs'!$C$82:$C$83,0),MATCH('1. Accomodation'!V25,'2. GRI Pricing Inputs'!$C$82:$AI$82,0)),0)</f>
        <v>0</v>
      </c>
      <c r="U21" s="273">
        <f>IFERROR(INDEX('2. GRI Pricing Inputs'!$C$89:$AI$90,MATCH('3. GRI Pricing'!$U$16,'2. GRI Pricing Inputs'!$C$89:$C$90,0),MATCH('1. Accomodation'!W25,'2. GRI Pricing Inputs'!$C$89:$AI$89,0)),0)</f>
        <v>0</v>
      </c>
      <c r="V21" s="273">
        <f>IFERROR(INDEX('2. GRI Pricing Inputs'!$C$97:$AI$98,MATCH('3. GRI Pricing'!$V$16,'2. GRI Pricing Inputs'!$C$97:$C$98,0),MATCH('1. Accomodation'!X25,'2. GRI Pricing Inputs'!$C$97:$AI$97,0)),0)</f>
        <v>0</v>
      </c>
      <c r="W21" s="273">
        <f>IFERROR(INDEX('2. GRI Pricing Inputs'!$C$104:$AI$105,MATCH('3. GRI Pricing'!$W$16,'2. GRI Pricing Inputs'!$C$104:$C$105,0),MATCH('1. Accomodation'!Y25,'2. GRI Pricing Inputs'!$C$104:$AI$104,0)),0)</f>
        <v>0</v>
      </c>
      <c r="X21" s="274">
        <v>0</v>
      </c>
      <c r="Y21" s="275">
        <f t="shared" si="7"/>
        <v>1250</v>
      </c>
      <c r="Z21" s="276"/>
      <c r="AA21" s="276"/>
      <c r="AB21" s="276"/>
      <c r="AC21" s="272">
        <f>Y21*(1+'2. GRI Pricing Inputs'!$D$114)^(($AC$16-$AB$15)/365)</f>
        <v>1254.1707855764162</v>
      </c>
      <c r="AD21" s="273">
        <f>AC21*(1+'2. GRI Pricing Inputs'!$D$114)^((AD$16-AC$16)/365)</f>
        <v>1258.2202794377204</v>
      </c>
      <c r="AE21" s="273">
        <f>AD21*(1+'2. GRI Pricing Inputs'!$D$114)^((AE$16-AD$16)/365)</f>
        <v>1262.4184930324668</v>
      </c>
      <c r="AF21" s="273">
        <f>AE21*(1+'2. GRI Pricing Inputs'!$D$114)^((AF$16-AE$16)/365)</f>
        <v>1266.6307145061794</v>
      </c>
      <c r="AG21" s="273">
        <f>AF21*(1+'2. GRI Pricing Inputs'!$D$114)^((AG$16-AF$16)/365)</f>
        <v>1270.5839025873047</v>
      </c>
      <c r="AH21" s="273">
        <f>AG21*(1+'2. GRI Pricing Inputs'!$D$114)^((AH$16-AG$16)/365)</f>
        <v>1274.8233689989349</v>
      </c>
      <c r="AI21" s="273">
        <f>AH21*(1+'2. GRI Pricing Inputs'!$D$114)^((AI$16-AH$16)/365)</f>
        <v>1278.9395463699743</v>
      </c>
      <c r="AJ21" s="273">
        <f>AI21*(1+'2. GRI Pricing Inputs'!$D$114)^((AJ$16-AI$16)/365)</f>
        <v>1283.2068924604607</v>
      </c>
      <c r="AK21" s="273">
        <f>AJ21*(1+'2. GRI Pricing Inputs'!$D$114)^((AK$16-AJ$16)/365)</f>
        <v>1287.3501387340643</v>
      </c>
      <c r="AL21" s="273">
        <f>AK21*(1+'2. GRI Pricing Inputs'!$D$114)^((AL$16-AK$16)/365)</f>
        <v>1291.6455478464079</v>
      </c>
      <c r="AM21" s="273">
        <f>AL21*(1+'2. GRI Pricing Inputs'!$D$114)^((AM$16-AL$16)/365)</f>
        <v>1295.9552891430478</v>
      </c>
      <c r="AN21" s="273">
        <f>AM21*(1+'2. GRI Pricing Inputs'!$D$114)^((AN$16-AM$16)/365)</f>
        <v>1300.1396977166357</v>
      </c>
      <c r="AO21" s="273">
        <f>AN21*(1+'2. GRI Pricing Inputs'!$D$114)^((AO$16-AN$16)/365)</f>
        <v>1304.4777808354859</v>
      </c>
    </row>
    <row r="22" spans="3:41" ht="12" x14ac:dyDescent="0.2">
      <c r="C22" s="76" t="str">
        <f>'1. Accomodation'!N26</f>
        <v>106N</v>
      </c>
      <c r="D22" s="69" t="str">
        <f>'1. Accomodation'!P26</f>
        <v>1 Bed</v>
      </c>
      <c r="E22" s="69">
        <f>'1. Accomodation'!Q26</f>
        <v>1</v>
      </c>
      <c r="F22" s="77">
        <f>'1. Accomodation'!O26</f>
        <v>441</v>
      </c>
      <c r="G22" s="69">
        <f>'1. Accomodation'!R26</f>
        <v>1</v>
      </c>
      <c r="H22" s="69" t="str">
        <f>'1. Accomodation'!S26</f>
        <v>Forth Banks</v>
      </c>
      <c r="I22" s="62"/>
      <c r="K22" s="272">
        <f>IFERROR(INDEX('2. GRI Pricing Inputs'!$C$15:$AI$16,MATCH($K$16,'2. GRI Pricing Inputs'!$C$15:$C$16,0),MATCH(D22,'2. GRI Pricing Inputs'!$C$15:$AI$15,0)),0)</f>
        <v>845</v>
      </c>
      <c r="L22" s="273">
        <f>IFERROR(INDEX('2. GRI Pricing Inputs'!$C$22:$AI$23,MATCH($L$16,'2. GRI Pricing Inputs'!$C$22:$C$23,0),MATCH(E22,'2. GRI Pricing Inputs'!$C$22:$AI$22,0)),0)</f>
        <v>0</v>
      </c>
      <c r="M22" s="328">
        <f>IF(AND('3. GRI Pricing'!$F22&gt;='2. GRI Pricing Inputs'!$D$33,'3. GRI Pricing'!$F22&lt;='2. GRI Pricing Inputs'!$E$33),'2. GRI Pricing Inputs'!$D$32,IF(AND('3. GRI Pricing'!$F22&gt;='2. GRI Pricing Inputs'!$F$33,'3. GRI Pricing'!$F22&lt;='2. GRI Pricing Inputs'!$G$33),'2. GRI Pricing Inputs'!$F$32,IF(AND('3. GRI Pricing'!$F22&gt;='2. GRI Pricing Inputs'!$H$33,'3. GRI Pricing'!$F22&lt;='2. GRI Pricing Inputs'!$I$33),'2. GRI Pricing Inputs'!$H$32,IF(AND('3. GRI Pricing'!$F22&gt;='2. GRI Pricing Inputs'!$J$33,'3. GRI Pricing'!$F22&lt;='2. GRI Pricing Inputs'!$K$33),'2. GRI Pricing Inputs'!$J$32,IF(AND('3. GRI Pricing'!$F22&gt;='2. GRI Pricing Inputs'!$L$33,'3. GRI Pricing'!$F22&lt;='2. GRI Pricing Inputs'!$M$33),'2. GRI Pricing Inputs'!$L$32,IF(AND('3. GRI Pricing'!$F22&gt;='2. GRI Pricing Inputs'!$N$33,'3. GRI Pricing'!$F22&lt;='2. GRI Pricing Inputs'!$O$33),'2. GRI Pricing Inputs'!$N$32,IF(AND('3. GRI Pricing'!$F22&gt;='2. GRI Pricing Inputs'!$P$33,'3. GRI Pricing'!$F22&lt;='2. GRI Pricing Inputs'!$Q$33),'2. GRI Pricing Inputs'!$P$32,IF(AND('3. GRI Pricing'!$F22&gt;='2. GRI Pricing Inputs'!$R$33,'3. GRI Pricing'!$F22&lt;='2. GRI Pricing Inputs'!$S$33),'2. GRI Pricing Inputs'!$R$32,IF(AND('3. GRI Pricing'!$F22&gt;='2. GRI Pricing Inputs'!$T$33,'3. GRI Pricing'!$F22&lt;='2. GRI Pricing Inputs'!$U$33),'2. GRI Pricing Inputs'!$T$32,IF(AND('3. GRI Pricing'!$F22&gt;='2. GRI Pricing Inputs'!$V$33,'3. GRI Pricing'!$F22&lt;='2. GRI Pricing Inputs'!$W$33),'2. GRI Pricing Inputs'!$V$32,IF(AND('3. GRI Pricing'!$F22&gt;='2. GRI Pricing Inputs'!$X$33,'3. GRI Pricing'!$F22&lt;='2. GRI Pricing Inputs'!$Y$33),'2. GRI Pricing Inputs'!$X$32,IF(AND('3. GRI Pricing'!$F22&gt;='2. GRI Pricing Inputs'!$Z$33,'3. GRI Pricing'!$F22&lt;='2. GRI Pricing Inputs'!$AA$33),'2. GRI Pricing Inputs'!$Z$32,IF(AND('3. GRI Pricing'!$F22&gt;='2. GRI Pricing Inputs'!$AB$33,'3. GRI Pricing'!$F22&lt;='2. GRI Pricing Inputs'!$AC$33),'2. GRI Pricing Inputs'!$AB$32,IF(AND('3. GRI Pricing'!$F22&gt;='2. GRI Pricing Inputs'!$AD$33,'3. GRI Pricing'!$F22&lt;='2. GRI Pricing Inputs'!$AE$33),'2. GRI Pricing Inputs'!$AD$32,IF(AND('3. GRI Pricing'!$F22&gt;='2. GRI Pricing Inputs'!$AF$33,'3. GRI Pricing'!$F22&lt;='2. GRI Pricing Inputs'!$AG$33),'2. GRI Pricing Inputs'!$AF$32,IF(AND('3. GRI Pricing'!$F22&gt;='2. GRI Pricing Inputs'!$AH$33,'3. GRI Pricing'!$F22&lt;='2. GRI Pricing Inputs'!$AI$33),'2. GRI Pricing Inputs'!$AH$32,0))))))))))))))))</f>
        <v>0</v>
      </c>
      <c r="N22" s="273" cm="1">
        <f t="array" ref="N22">IFERROR(INDEX('2. GRI Pricing Inputs'!$C$32:$AI$39,MATCH('3. GRI Pricing'!D22,'2. GRI Pricing Inputs'!$C$32:$C$39,0),(MATCH('3. GRI Pricing'!M22,'2. GRI Pricing Inputs'!$D$32:$AI$32,0)+1)),0)</f>
        <v>0</v>
      </c>
      <c r="O22" s="273">
        <f>IFERROR(INDEX('2. GRI Pricing Inputs'!$C$45:$AI$46,MATCH($O$16,'2. GRI Pricing Inputs'!$C$45:$C$46,0),MATCH(G22,'2. GRI Pricing Inputs'!$C$45:$AI$45,0)),0)</f>
        <v>30</v>
      </c>
      <c r="P22" s="273">
        <f>IFERROR(INDEX('2. GRI Pricing Inputs'!$C$53:$AI$54,MATCH('3. GRI Pricing'!$P$16,'2. GRI Pricing Inputs'!$C$53:$C$54,0),MATCH('3. GRI Pricing'!H22,'2. GRI Pricing Inputs'!$C$53:$AI$53,0)),0)</f>
        <v>5</v>
      </c>
      <c r="Q22" s="273">
        <f>IFERROR(INDEX('2. GRI Pricing Inputs'!$C$60:$AI$61,MATCH('3. GRI Pricing'!$Q$16,'2. GRI Pricing Inputs'!$C$60:$C$61,0),MATCH('1. Accomodation'!T26,'2. GRI Pricing Inputs'!$C$60:$AI$60,0)),0)</f>
        <v>0</v>
      </c>
      <c r="R22" s="273">
        <f>IFERROR(INDEX('2. GRI Pricing Inputs'!$C$67:$AI$68,MATCH('3. GRI Pricing'!$R$16,'2. GRI Pricing Inputs'!$C$67:$C$68,0),MATCH('1. Accomodation'!U26,'2. GRI Pricing Inputs'!$C$67:$AI$67,0)),0)</f>
        <v>0</v>
      </c>
      <c r="S22" s="273">
        <f>IF(D22=0,0,'2. GRI Pricing Inputs'!$AI$75)</f>
        <v>70</v>
      </c>
      <c r="T22" s="273">
        <f>IFERROR(INDEX('2. GRI Pricing Inputs'!$C$82:$AI$83,MATCH('3. GRI Pricing'!$T$16,'2. GRI Pricing Inputs'!$C$82:$C$83,0),MATCH('1. Accomodation'!V26,'2. GRI Pricing Inputs'!$C$82:$AI$82,0)),0)</f>
        <v>0</v>
      </c>
      <c r="U22" s="273">
        <f>IFERROR(INDEX('2. GRI Pricing Inputs'!$C$89:$AI$90,MATCH('3. GRI Pricing'!$U$16,'2. GRI Pricing Inputs'!$C$89:$C$90,0),MATCH('1. Accomodation'!W26,'2. GRI Pricing Inputs'!$C$89:$AI$89,0)),0)</f>
        <v>0</v>
      </c>
      <c r="V22" s="273">
        <f>IFERROR(INDEX('2. GRI Pricing Inputs'!$C$97:$AI$98,MATCH('3. GRI Pricing'!$V$16,'2. GRI Pricing Inputs'!$C$97:$C$98,0),MATCH('1. Accomodation'!X26,'2. GRI Pricing Inputs'!$C$97:$AI$97,0)),0)</f>
        <v>0</v>
      </c>
      <c r="W22" s="273">
        <f>IFERROR(INDEX('2. GRI Pricing Inputs'!$C$104:$AI$105,MATCH('3. GRI Pricing'!$W$16,'2. GRI Pricing Inputs'!$C$104:$C$105,0),MATCH('1. Accomodation'!Y26,'2. GRI Pricing Inputs'!$C$104:$AI$104,0)),0)</f>
        <v>0</v>
      </c>
      <c r="X22" s="274">
        <v>0</v>
      </c>
      <c r="Y22" s="275">
        <f t="shared" si="7"/>
        <v>950</v>
      </c>
      <c r="Z22" s="276"/>
      <c r="AA22" s="276"/>
      <c r="AB22" s="276"/>
      <c r="AC22" s="272">
        <f>Y22*(1+'2. GRI Pricing Inputs'!$D$114)^(($AC$16-$AB$15)/365)</f>
        <v>953.16979703807624</v>
      </c>
      <c r="AD22" s="273">
        <f>AC22*(1+'2. GRI Pricing Inputs'!$D$114)^((AD$16-AC$16)/365)</f>
        <v>956.24741237266744</v>
      </c>
      <c r="AE22" s="273">
        <f>AD22*(1+'2. GRI Pricing Inputs'!$D$114)^((AE$16-AD$16)/365)</f>
        <v>959.43805470467476</v>
      </c>
      <c r="AF22" s="273">
        <f>AE22*(1+'2. GRI Pricing Inputs'!$D$114)^((AF$16-AE$16)/365)</f>
        <v>962.63934302469636</v>
      </c>
      <c r="AG22" s="273">
        <f>AF22*(1+'2. GRI Pricing Inputs'!$D$114)^((AG$16-AF$16)/365)</f>
        <v>965.64376596635157</v>
      </c>
      <c r="AH22" s="273">
        <f>AG22*(1+'2. GRI Pricing Inputs'!$D$114)^((AH$16-AG$16)/365)</f>
        <v>968.86576043919047</v>
      </c>
      <c r="AI22" s="273">
        <f>AH22*(1+'2. GRI Pricing Inputs'!$D$114)^((AI$16-AH$16)/365)</f>
        <v>971.99405524118038</v>
      </c>
      <c r="AJ22" s="273">
        <f>AI22*(1+'2. GRI Pricing Inputs'!$D$114)^((AJ$16-AI$16)/365)</f>
        <v>975.23723826995013</v>
      </c>
      <c r="AK22" s="273">
        <f>AJ22*(1+'2. GRI Pricing Inputs'!$D$114)^((AK$16-AJ$16)/365)</f>
        <v>978.38610543788877</v>
      </c>
      <c r="AL22" s="273">
        <f>AK22*(1+'2. GRI Pricing Inputs'!$D$114)^((AL$16-AK$16)/365)</f>
        <v>981.65061636326982</v>
      </c>
      <c r="AM22" s="273">
        <f>AL22*(1+'2. GRI Pricing Inputs'!$D$114)^((AM$16-AL$16)/365)</f>
        <v>984.92601974871616</v>
      </c>
      <c r="AN22" s="273">
        <f>AM22*(1+'2. GRI Pricing Inputs'!$D$114)^((AN$16-AM$16)/365)</f>
        <v>988.10617026464297</v>
      </c>
      <c r="AO22" s="273">
        <f>AN22*(1+'2. GRI Pricing Inputs'!$D$114)^((AO$16-AN$16)/365)</f>
        <v>991.40311343496899</v>
      </c>
    </row>
    <row r="23" spans="3:41" ht="12" x14ac:dyDescent="0.2">
      <c r="C23" s="76" t="str">
        <f>'1. Accomodation'!N27</f>
        <v>107N</v>
      </c>
      <c r="D23" s="69" t="str">
        <f>'1. Accomodation'!P27</f>
        <v>2 Bed</v>
      </c>
      <c r="E23" s="69">
        <f>'1. Accomodation'!Q27</f>
        <v>2</v>
      </c>
      <c r="F23" s="77">
        <f>'1. Accomodation'!O27</f>
        <v>624</v>
      </c>
      <c r="G23" s="69">
        <f>'1. Accomodation'!R27</f>
        <v>1</v>
      </c>
      <c r="H23" s="69" t="str">
        <f>'1. Accomodation'!S27</f>
        <v>Forth Banks</v>
      </c>
      <c r="I23" s="62"/>
      <c r="K23" s="272">
        <f>IFERROR(INDEX('2. GRI Pricing Inputs'!$C$15:$AI$16,MATCH($K$16,'2. GRI Pricing Inputs'!$C$15:$C$16,0),MATCH(D23,'2. GRI Pricing Inputs'!$C$15:$AI$15,0)),0)</f>
        <v>1110</v>
      </c>
      <c r="L23" s="273">
        <f>IFERROR(INDEX('2. GRI Pricing Inputs'!$C$22:$AI$23,MATCH($L$16,'2. GRI Pricing Inputs'!$C$22:$C$23,0),MATCH(E23,'2. GRI Pricing Inputs'!$C$22:$AI$22,0)),0)</f>
        <v>0</v>
      </c>
      <c r="M23" s="328">
        <f>IF(AND('3. GRI Pricing'!$F23&gt;='2. GRI Pricing Inputs'!$D$33,'3. GRI Pricing'!$F23&lt;='2. GRI Pricing Inputs'!$E$33),'2. GRI Pricing Inputs'!$D$32,IF(AND('3. GRI Pricing'!$F23&gt;='2. GRI Pricing Inputs'!$F$33,'3. GRI Pricing'!$F23&lt;='2. GRI Pricing Inputs'!$G$33),'2. GRI Pricing Inputs'!$F$32,IF(AND('3. GRI Pricing'!$F23&gt;='2. GRI Pricing Inputs'!$H$33,'3. GRI Pricing'!$F23&lt;='2. GRI Pricing Inputs'!$I$33),'2. GRI Pricing Inputs'!$H$32,IF(AND('3. GRI Pricing'!$F23&gt;='2. GRI Pricing Inputs'!$J$33,'3. GRI Pricing'!$F23&lt;='2. GRI Pricing Inputs'!$K$33),'2. GRI Pricing Inputs'!$J$32,IF(AND('3. GRI Pricing'!$F23&gt;='2. GRI Pricing Inputs'!$L$33,'3. GRI Pricing'!$F23&lt;='2. GRI Pricing Inputs'!$M$33),'2. GRI Pricing Inputs'!$L$32,IF(AND('3. GRI Pricing'!$F23&gt;='2. GRI Pricing Inputs'!$N$33,'3. GRI Pricing'!$F23&lt;='2. GRI Pricing Inputs'!$O$33),'2. GRI Pricing Inputs'!$N$32,IF(AND('3. GRI Pricing'!$F23&gt;='2. GRI Pricing Inputs'!$P$33,'3. GRI Pricing'!$F23&lt;='2. GRI Pricing Inputs'!$Q$33),'2. GRI Pricing Inputs'!$P$32,IF(AND('3. GRI Pricing'!$F23&gt;='2. GRI Pricing Inputs'!$R$33,'3. GRI Pricing'!$F23&lt;='2. GRI Pricing Inputs'!$S$33),'2. GRI Pricing Inputs'!$R$32,IF(AND('3. GRI Pricing'!$F23&gt;='2. GRI Pricing Inputs'!$T$33,'3. GRI Pricing'!$F23&lt;='2. GRI Pricing Inputs'!$U$33),'2. GRI Pricing Inputs'!$T$32,IF(AND('3. GRI Pricing'!$F23&gt;='2. GRI Pricing Inputs'!$V$33,'3. GRI Pricing'!$F23&lt;='2. GRI Pricing Inputs'!$W$33),'2. GRI Pricing Inputs'!$V$32,IF(AND('3. GRI Pricing'!$F23&gt;='2. GRI Pricing Inputs'!$X$33,'3. GRI Pricing'!$F23&lt;='2. GRI Pricing Inputs'!$Y$33),'2. GRI Pricing Inputs'!$X$32,IF(AND('3. GRI Pricing'!$F23&gt;='2. GRI Pricing Inputs'!$Z$33,'3. GRI Pricing'!$F23&lt;='2. GRI Pricing Inputs'!$AA$33),'2. GRI Pricing Inputs'!$Z$32,IF(AND('3. GRI Pricing'!$F23&gt;='2. GRI Pricing Inputs'!$AB$33,'3. GRI Pricing'!$F23&lt;='2. GRI Pricing Inputs'!$AC$33),'2. GRI Pricing Inputs'!$AB$32,IF(AND('3. GRI Pricing'!$F23&gt;='2. GRI Pricing Inputs'!$AD$33,'3. GRI Pricing'!$F23&lt;='2. GRI Pricing Inputs'!$AE$33),'2. GRI Pricing Inputs'!$AD$32,IF(AND('3. GRI Pricing'!$F23&gt;='2. GRI Pricing Inputs'!$AF$33,'3. GRI Pricing'!$F23&lt;='2. GRI Pricing Inputs'!$AG$33),'2. GRI Pricing Inputs'!$AF$32,IF(AND('3. GRI Pricing'!$F23&gt;='2. GRI Pricing Inputs'!$AH$33,'3. GRI Pricing'!$F23&lt;='2. GRI Pricing Inputs'!$AI$33),'2. GRI Pricing Inputs'!$AH$32,0))))))))))))))))</f>
        <v>7</v>
      </c>
      <c r="N23" s="273" cm="1">
        <f t="array" ref="N23">IFERROR(INDEX('2. GRI Pricing Inputs'!$C$32:$AI$39,MATCH('3. GRI Pricing'!D23,'2. GRI Pricing Inputs'!$C$32:$C$39,0),(MATCH('3. GRI Pricing'!M23,'2. GRI Pricing Inputs'!$D$32:$AI$32,0)+1)),0)</f>
        <v>10</v>
      </c>
      <c r="O23" s="273">
        <f>IFERROR(INDEX('2. GRI Pricing Inputs'!$C$45:$AI$46,MATCH($O$16,'2. GRI Pricing Inputs'!$C$45:$C$46,0),MATCH(G23,'2. GRI Pricing Inputs'!$C$45:$AI$45,0)),0)</f>
        <v>30</v>
      </c>
      <c r="P23" s="273">
        <f>IFERROR(INDEX('2. GRI Pricing Inputs'!$C$53:$AI$54,MATCH('3. GRI Pricing'!$P$16,'2. GRI Pricing Inputs'!$C$53:$C$54,0),MATCH('3. GRI Pricing'!H23,'2. GRI Pricing Inputs'!$C$53:$AI$53,0)),0)</f>
        <v>5</v>
      </c>
      <c r="Q23" s="273">
        <f>IFERROR(INDEX('2. GRI Pricing Inputs'!$C$60:$AI$61,MATCH('3. GRI Pricing'!$Q$16,'2. GRI Pricing Inputs'!$C$60:$C$61,0),MATCH('1. Accomodation'!T27,'2. GRI Pricing Inputs'!$C$60:$AI$60,0)),0)</f>
        <v>0</v>
      </c>
      <c r="R23" s="273">
        <f>IFERROR(INDEX('2. GRI Pricing Inputs'!$C$67:$AI$68,MATCH('3. GRI Pricing'!$R$16,'2. GRI Pricing Inputs'!$C$67:$C$68,0),MATCH('1. Accomodation'!U27,'2. GRI Pricing Inputs'!$C$67:$AI$67,0)),0)</f>
        <v>0</v>
      </c>
      <c r="S23" s="273">
        <f>IF(D23=0,0,'2. GRI Pricing Inputs'!$AI$75)</f>
        <v>70</v>
      </c>
      <c r="T23" s="273">
        <f>IFERROR(INDEX('2. GRI Pricing Inputs'!$C$82:$AI$83,MATCH('3. GRI Pricing'!$T$16,'2. GRI Pricing Inputs'!$C$82:$C$83,0),MATCH('1. Accomodation'!V27,'2. GRI Pricing Inputs'!$C$82:$AI$82,0)),0)</f>
        <v>0</v>
      </c>
      <c r="U23" s="273">
        <f>IFERROR(INDEX('2. GRI Pricing Inputs'!$C$89:$AI$90,MATCH('3. GRI Pricing'!$U$16,'2. GRI Pricing Inputs'!$C$89:$C$90,0),MATCH('1. Accomodation'!W27,'2. GRI Pricing Inputs'!$C$89:$AI$89,0)),0)</f>
        <v>0</v>
      </c>
      <c r="V23" s="273">
        <f>IFERROR(INDEX('2. GRI Pricing Inputs'!$C$97:$AI$98,MATCH('3. GRI Pricing'!$V$16,'2. GRI Pricing Inputs'!$C$97:$C$98,0),MATCH('1. Accomodation'!X27,'2. GRI Pricing Inputs'!$C$97:$AI$97,0)),0)</f>
        <v>0</v>
      </c>
      <c r="W23" s="273">
        <f>IFERROR(INDEX('2. GRI Pricing Inputs'!$C$104:$AI$105,MATCH('3. GRI Pricing'!$W$16,'2. GRI Pricing Inputs'!$C$104:$C$105,0),MATCH('1. Accomodation'!Y27,'2. GRI Pricing Inputs'!$C$104:$AI$104,0)),0)</f>
        <v>0</v>
      </c>
      <c r="X23" s="274">
        <v>0</v>
      </c>
      <c r="Y23" s="275">
        <f t="shared" si="7"/>
        <v>1225</v>
      </c>
      <c r="Z23" s="276"/>
      <c r="AA23" s="276"/>
      <c r="AB23" s="276"/>
      <c r="AC23" s="272">
        <f>Y23*(1+'2. GRI Pricing Inputs'!$D$114)^(($AC$16-$AB$15)/365)</f>
        <v>1229.0873698648879</v>
      </c>
      <c r="AD23" s="273">
        <f>AC23*(1+'2. GRI Pricing Inputs'!$D$114)^((AD$16-AC$16)/365)</f>
        <v>1233.055873848966</v>
      </c>
      <c r="AE23" s="273">
        <f>AD23*(1+'2. GRI Pricing Inputs'!$D$114)^((AE$16-AD$16)/365)</f>
        <v>1237.1701231718175</v>
      </c>
      <c r="AF23" s="273">
        <f>AE23*(1+'2. GRI Pricing Inputs'!$D$114)^((AF$16-AE$16)/365)</f>
        <v>1241.2981002160559</v>
      </c>
      <c r="AG23" s="273">
        <f>AF23*(1+'2. GRI Pricing Inputs'!$D$114)^((AG$16-AF$16)/365)</f>
        <v>1245.1722245355588</v>
      </c>
      <c r="AH23" s="273">
        <f>AG23*(1+'2. GRI Pricing Inputs'!$D$114)^((AH$16-AG$16)/365)</f>
        <v>1249.3269016189563</v>
      </c>
      <c r="AI23" s="273">
        <f>AH23*(1+'2. GRI Pricing Inputs'!$D$114)^((AI$16-AH$16)/365)</f>
        <v>1253.3607554425748</v>
      </c>
      <c r="AJ23" s="273">
        <f>AI23*(1+'2. GRI Pricing Inputs'!$D$114)^((AJ$16-AI$16)/365)</f>
        <v>1257.5427546112517</v>
      </c>
      <c r="AK23" s="273">
        <f>AJ23*(1+'2. GRI Pricing Inputs'!$D$114)^((AK$16-AJ$16)/365)</f>
        <v>1261.6031359593831</v>
      </c>
      <c r="AL23" s="273">
        <f>AK23*(1+'2. GRI Pricing Inputs'!$D$114)^((AL$16-AK$16)/365)</f>
        <v>1265.8126368894796</v>
      </c>
      <c r="AM23" s="273">
        <f>AL23*(1+'2. GRI Pricing Inputs'!$D$114)^((AM$16-AL$16)/365)</f>
        <v>1270.0361833601867</v>
      </c>
      <c r="AN23" s="273">
        <f>AM23*(1+'2. GRI Pricing Inputs'!$D$114)^((AN$16-AM$16)/365)</f>
        <v>1274.1369037623028</v>
      </c>
      <c r="AO23" s="273">
        <f>AN23*(1+'2. GRI Pricing Inputs'!$D$114)^((AO$16-AN$16)/365)</f>
        <v>1278.3882252187759</v>
      </c>
    </row>
    <row r="24" spans="3:41" ht="12" x14ac:dyDescent="0.2">
      <c r="C24" s="76" t="str">
        <f>'1. Accomodation'!N28</f>
        <v>108N</v>
      </c>
      <c r="D24" s="69" t="str">
        <f>'1. Accomodation'!P28</f>
        <v>2 Bed</v>
      </c>
      <c r="E24" s="69">
        <f>'1. Accomodation'!Q28</f>
        <v>2</v>
      </c>
      <c r="F24" s="77">
        <f>'1. Accomodation'!O28</f>
        <v>624</v>
      </c>
      <c r="G24" s="69">
        <f>'1. Accomodation'!R28</f>
        <v>1</v>
      </c>
      <c r="H24" s="69" t="str">
        <f>'1. Accomodation'!S28</f>
        <v>Forth Banks</v>
      </c>
      <c r="I24" s="62"/>
      <c r="K24" s="272">
        <f>IFERROR(INDEX('2. GRI Pricing Inputs'!$C$15:$AI$16,MATCH($K$16,'2. GRI Pricing Inputs'!$C$15:$C$16,0),MATCH(D24,'2. GRI Pricing Inputs'!$C$15:$AI$15,0)),0)</f>
        <v>1110</v>
      </c>
      <c r="L24" s="273">
        <f>IFERROR(INDEX('2. GRI Pricing Inputs'!$C$22:$AI$23,MATCH($L$16,'2. GRI Pricing Inputs'!$C$22:$C$23,0),MATCH(E24,'2. GRI Pricing Inputs'!$C$22:$AI$22,0)),0)</f>
        <v>0</v>
      </c>
      <c r="M24" s="328">
        <f>IF(AND('3. GRI Pricing'!$F24&gt;='2. GRI Pricing Inputs'!$D$33,'3. GRI Pricing'!$F24&lt;='2. GRI Pricing Inputs'!$E$33),'2. GRI Pricing Inputs'!$D$32,IF(AND('3. GRI Pricing'!$F24&gt;='2. GRI Pricing Inputs'!$F$33,'3. GRI Pricing'!$F24&lt;='2. GRI Pricing Inputs'!$G$33),'2. GRI Pricing Inputs'!$F$32,IF(AND('3. GRI Pricing'!$F24&gt;='2. GRI Pricing Inputs'!$H$33,'3. GRI Pricing'!$F24&lt;='2. GRI Pricing Inputs'!$I$33),'2. GRI Pricing Inputs'!$H$32,IF(AND('3. GRI Pricing'!$F24&gt;='2. GRI Pricing Inputs'!$J$33,'3. GRI Pricing'!$F24&lt;='2. GRI Pricing Inputs'!$K$33),'2. GRI Pricing Inputs'!$J$32,IF(AND('3. GRI Pricing'!$F24&gt;='2. GRI Pricing Inputs'!$L$33,'3. GRI Pricing'!$F24&lt;='2. GRI Pricing Inputs'!$M$33),'2. GRI Pricing Inputs'!$L$32,IF(AND('3. GRI Pricing'!$F24&gt;='2. GRI Pricing Inputs'!$N$33,'3. GRI Pricing'!$F24&lt;='2. GRI Pricing Inputs'!$O$33),'2. GRI Pricing Inputs'!$N$32,IF(AND('3. GRI Pricing'!$F24&gt;='2. GRI Pricing Inputs'!$P$33,'3. GRI Pricing'!$F24&lt;='2. GRI Pricing Inputs'!$Q$33),'2. GRI Pricing Inputs'!$P$32,IF(AND('3. GRI Pricing'!$F24&gt;='2. GRI Pricing Inputs'!$R$33,'3. GRI Pricing'!$F24&lt;='2. GRI Pricing Inputs'!$S$33),'2. GRI Pricing Inputs'!$R$32,IF(AND('3. GRI Pricing'!$F24&gt;='2. GRI Pricing Inputs'!$T$33,'3. GRI Pricing'!$F24&lt;='2. GRI Pricing Inputs'!$U$33),'2. GRI Pricing Inputs'!$T$32,IF(AND('3. GRI Pricing'!$F24&gt;='2. GRI Pricing Inputs'!$V$33,'3. GRI Pricing'!$F24&lt;='2. GRI Pricing Inputs'!$W$33),'2. GRI Pricing Inputs'!$V$32,IF(AND('3. GRI Pricing'!$F24&gt;='2. GRI Pricing Inputs'!$X$33,'3. GRI Pricing'!$F24&lt;='2. GRI Pricing Inputs'!$Y$33),'2. GRI Pricing Inputs'!$X$32,IF(AND('3. GRI Pricing'!$F24&gt;='2. GRI Pricing Inputs'!$Z$33,'3. GRI Pricing'!$F24&lt;='2. GRI Pricing Inputs'!$AA$33),'2. GRI Pricing Inputs'!$Z$32,IF(AND('3. GRI Pricing'!$F24&gt;='2. GRI Pricing Inputs'!$AB$33,'3. GRI Pricing'!$F24&lt;='2. GRI Pricing Inputs'!$AC$33),'2. GRI Pricing Inputs'!$AB$32,IF(AND('3. GRI Pricing'!$F24&gt;='2. GRI Pricing Inputs'!$AD$33,'3. GRI Pricing'!$F24&lt;='2. GRI Pricing Inputs'!$AE$33),'2. GRI Pricing Inputs'!$AD$32,IF(AND('3. GRI Pricing'!$F24&gt;='2. GRI Pricing Inputs'!$AF$33,'3. GRI Pricing'!$F24&lt;='2. GRI Pricing Inputs'!$AG$33),'2. GRI Pricing Inputs'!$AF$32,IF(AND('3. GRI Pricing'!$F24&gt;='2. GRI Pricing Inputs'!$AH$33,'3. GRI Pricing'!$F24&lt;='2. GRI Pricing Inputs'!$AI$33),'2. GRI Pricing Inputs'!$AH$32,0))))))))))))))))</f>
        <v>7</v>
      </c>
      <c r="N24" s="273" cm="1">
        <f t="array" ref="N24">IFERROR(INDEX('2. GRI Pricing Inputs'!$C$32:$AI$39,MATCH('3. GRI Pricing'!D24,'2. GRI Pricing Inputs'!$C$32:$C$39,0),(MATCH('3. GRI Pricing'!M24,'2. GRI Pricing Inputs'!$D$32:$AI$32,0)+1)),0)</f>
        <v>10</v>
      </c>
      <c r="O24" s="273">
        <f>IFERROR(INDEX('2. GRI Pricing Inputs'!$C$45:$AI$46,MATCH($O$16,'2. GRI Pricing Inputs'!$C$45:$C$46,0),MATCH(G24,'2. GRI Pricing Inputs'!$C$45:$AI$45,0)),0)</f>
        <v>30</v>
      </c>
      <c r="P24" s="273">
        <f>IFERROR(INDEX('2. GRI Pricing Inputs'!$C$53:$AI$54,MATCH('3. GRI Pricing'!$P$16,'2. GRI Pricing Inputs'!$C$53:$C$54,0),MATCH('3. GRI Pricing'!H24,'2. GRI Pricing Inputs'!$C$53:$AI$53,0)),0)</f>
        <v>5</v>
      </c>
      <c r="Q24" s="273">
        <f>IFERROR(INDEX('2. GRI Pricing Inputs'!$C$60:$AI$61,MATCH('3. GRI Pricing'!$Q$16,'2. GRI Pricing Inputs'!$C$60:$C$61,0),MATCH('1. Accomodation'!T28,'2. GRI Pricing Inputs'!$C$60:$AI$60,0)),0)</f>
        <v>0</v>
      </c>
      <c r="R24" s="273">
        <f>IFERROR(INDEX('2. GRI Pricing Inputs'!$C$67:$AI$68,MATCH('3. GRI Pricing'!$R$16,'2. GRI Pricing Inputs'!$C$67:$C$68,0),MATCH('1. Accomodation'!U28,'2. GRI Pricing Inputs'!$C$67:$AI$67,0)),0)</f>
        <v>0</v>
      </c>
      <c r="S24" s="273">
        <f>IF(D24=0,0,'2. GRI Pricing Inputs'!$AI$75)</f>
        <v>70</v>
      </c>
      <c r="T24" s="273">
        <f>IFERROR(INDEX('2. GRI Pricing Inputs'!$C$82:$AI$83,MATCH('3. GRI Pricing'!$T$16,'2. GRI Pricing Inputs'!$C$82:$C$83,0),MATCH('1. Accomodation'!V28,'2. GRI Pricing Inputs'!$C$82:$AI$82,0)),0)</f>
        <v>0</v>
      </c>
      <c r="U24" s="273">
        <f>IFERROR(INDEX('2. GRI Pricing Inputs'!$C$89:$AI$90,MATCH('3. GRI Pricing'!$U$16,'2. GRI Pricing Inputs'!$C$89:$C$90,0),MATCH('1. Accomodation'!W28,'2. GRI Pricing Inputs'!$C$89:$AI$89,0)),0)</f>
        <v>0</v>
      </c>
      <c r="V24" s="273">
        <f>IFERROR(INDEX('2. GRI Pricing Inputs'!$C$97:$AI$98,MATCH('3. GRI Pricing'!$V$16,'2. GRI Pricing Inputs'!$C$97:$C$98,0),MATCH('1. Accomodation'!X28,'2. GRI Pricing Inputs'!$C$97:$AI$97,0)),0)</f>
        <v>0</v>
      </c>
      <c r="W24" s="273">
        <f>IFERROR(INDEX('2. GRI Pricing Inputs'!$C$104:$AI$105,MATCH('3. GRI Pricing'!$W$16,'2. GRI Pricing Inputs'!$C$104:$C$105,0),MATCH('1. Accomodation'!Y28,'2. GRI Pricing Inputs'!$C$104:$AI$104,0)),0)</f>
        <v>0</v>
      </c>
      <c r="X24" s="274">
        <v>0</v>
      </c>
      <c r="Y24" s="275">
        <f t="shared" si="7"/>
        <v>1225</v>
      </c>
      <c r="Z24" s="276"/>
      <c r="AA24" s="276"/>
      <c r="AB24" s="276"/>
      <c r="AC24" s="272">
        <f>Y24*(1+'2. GRI Pricing Inputs'!$D$114)^(($AC$16-$AB$15)/365)</f>
        <v>1229.0873698648879</v>
      </c>
      <c r="AD24" s="273">
        <f>AC24*(1+'2. GRI Pricing Inputs'!$D$114)^((AD$16-AC$16)/365)</f>
        <v>1233.055873848966</v>
      </c>
      <c r="AE24" s="273">
        <f>AD24*(1+'2. GRI Pricing Inputs'!$D$114)^((AE$16-AD$16)/365)</f>
        <v>1237.1701231718175</v>
      </c>
      <c r="AF24" s="273">
        <f>AE24*(1+'2. GRI Pricing Inputs'!$D$114)^((AF$16-AE$16)/365)</f>
        <v>1241.2981002160559</v>
      </c>
      <c r="AG24" s="273">
        <f>AF24*(1+'2. GRI Pricing Inputs'!$D$114)^((AG$16-AF$16)/365)</f>
        <v>1245.1722245355588</v>
      </c>
      <c r="AH24" s="273">
        <f>AG24*(1+'2. GRI Pricing Inputs'!$D$114)^((AH$16-AG$16)/365)</f>
        <v>1249.3269016189563</v>
      </c>
      <c r="AI24" s="273">
        <f>AH24*(1+'2. GRI Pricing Inputs'!$D$114)^((AI$16-AH$16)/365)</f>
        <v>1253.3607554425748</v>
      </c>
      <c r="AJ24" s="273">
        <f>AI24*(1+'2. GRI Pricing Inputs'!$D$114)^((AJ$16-AI$16)/365)</f>
        <v>1257.5427546112517</v>
      </c>
      <c r="AK24" s="273">
        <f>AJ24*(1+'2. GRI Pricing Inputs'!$D$114)^((AK$16-AJ$16)/365)</f>
        <v>1261.6031359593831</v>
      </c>
      <c r="AL24" s="273">
        <f>AK24*(1+'2. GRI Pricing Inputs'!$D$114)^((AL$16-AK$16)/365)</f>
        <v>1265.8126368894796</v>
      </c>
      <c r="AM24" s="273">
        <f>AL24*(1+'2. GRI Pricing Inputs'!$D$114)^((AM$16-AL$16)/365)</f>
        <v>1270.0361833601867</v>
      </c>
      <c r="AN24" s="273">
        <f>AM24*(1+'2. GRI Pricing Inputs'!$D$114)^((AN$16-AM$16)/365)</f>
        <v>1274.1369037623028</v>
      </c>
      <c r="AO24" s="273">
        <f>AN24*(1+'2. GRI Pricing Inputs'!$D$114)^((AO$16-AN$16)/365)</f>
        <v>1278.3882252187759</v>
      </c>
    </row>
    <row r="25" spans="3:41" ht="12" x14ac:dyDescent="0.2">
      <c r="C25" s="76" t="str">
        <f>'1. Accomodation'!N29</f>
        <v>109N</v>
      </c>
      <c r="D25" s="69" t="str">
        <f>'1. Accomodation'!P29</f>
        <v>2 Bed</v>
      </c>
      <c r="E25" s="69">
        <f>'1. Accomodation'!Q29</f>
        <v>2</v>
      </c>
      <c r="F25" s="77">
        <f>'1. Accomodation'!O29</f>
        <v>657</v>
      </c>
      <c r="G25" s="69">
        <f>'1. Accomodation'!R29</f>
        <v>1</v>
      </c>
      <c r="H25" s="69" t="str">
        <f>'1. Accomodation'!S29</f>
        <v>River - Partial</v>
      </c>
      <c r="I25" s="62"/>
      <c r="K25" s="272">
        <f>IFERROR(INDEX('2. GRI Pricing Inputs'!$C$15:$AI$16,MATCH($K$16,'2. GRI Pricing Inputs'!$C$15:$C$16,0),MATCH(D25,'2. GRI Pricing Inputs'!$C$15:$AI$15,0)),0)</f>
        <v>1110</v>
      </c>
      <c r="L25" s="273">
        <f>IFERROR(INDEX('2. GRI Pricing Inputs'!$C$22:$AI$23,MATCH($L$16,'2. GRI Pricing Inputs'!$C$22:$C$23,0),MATCH(E25,'2. GRI Pricing Inputs'!$C$22:$AI$22,0)),0)</f>
        <v>0</v>
      </c>
      <c r="M25" s="328">
        <f>IF(AND('3. GRI Pricing'!$F25&gt;='2. GRI Pricing Inputs'!$D$33,'3. GRI Pricing'!$F25&lt;='2. GRI Pricing Inputs'!$E$33),'2. GRI Pricing Inputs'!$D$32,IF(AND('3. GRI Pricing'!$F25&gt;='2. GRI Pricing Inputs'!$F$33,'3. GRI Pricing'!$F25&lt;='2. GRI Pricing Inputs'!$G$33),'2. GRI Pricing Inputs'!$F$32,IF(AND('3. GRI Pricing'!$F25&gt;='2. GRI Pricing Inputs'!$H$33,'3. GRI Pricing'!$F25&lt;='2. GRI Pricing Inputs'!$I$33),'2. GRI Pricing Inputs'!$H$32,IF(AND('3. GRI Pricing'!$F25&gt;='2. GRI Pricing Inputs'!$J$33,'3. GRI Pricing'!$F25&lt;='2. GRI Pricing Inputs'!$K$33),'2. GRI Pricing Inputs'!$J$32,IF(AND('3. GRI Pricing'!$F25&gt;='2. GRI Pricing Inputs'!$L$33,'3. GRI Pricing'!$F25&lt;='2. GRI Pricing Inputs'!$M$33),'2. GRI Pricing Inputs'!$L$32,IF(AND('3. GRI Pricing'!$F25&gt;='2. GRI Pricing Inputs'!$N$33,'3. GRI Pricing'!$F25&lt;='2. GRI Pricing Inputs'!$O$33),'2. GRI Pricing Inputs'!$N$32,IF(AND('3. GRI Pricing'!$F25&gt;='2. GRI Pricing Inputs'!$P$33,'3. GRI Pricing'!$F25&lt;='2. GRI Pricing Inputs'!$Q$33),'2. GRI Pricing Inputs'!$P$32,IF(AND('3. GRI Pricing'!$F25&gt;='2. GRI Pricing Inputs'!$R$33,'3. GRI Pricing'!$F25&lt;='2. GRI Pricing Inputs'!$S$33),'2. GRI Pricing Inputs'!$R$32,IF(AND('3. GRI Pricing'!$F25&gt;='2. GRI Pricing Inputs'!$T$33,'3. GRI Pricing'!$F25&lt;='2. GRI Pricing Inputs'!$U$33),'2. GRI Pricing Inputs'!$T$32,IF(AND('3. GRI Pricing'!$F25&gt;='2. GRI Pricing Inputs'!$V$33,'3. GRI Pricing'!$F25&lt;='2. GRI Pricing Inputs'!$W$33),'2. GRI Pricing Inputs'!$V$32,IF(AND('3. GRI Pricing'!$F25&gt;='2. GRI Pricing Inputs'!$X$33,'3. GRI Pricing'!$F25&lt;='2. GRI Pricing Inputs'!$Y$33),'2. GRI Pricing Inputs'!$X$32,IF(AND('3. GRI Pricing'!$F25&gt;='2. GRI Pricing Inputs'!$Z$33,'3. GRI Pricing'!$F25&lt;='2. GRI Pricing Inputs'!$AA$33),'2. GRI Pricing Inputs'!$Z$32,IF(AND('3. GRI Pricing'!$F25&gt;='2. GRI Pricing Inputs'!$AB$33,'3. GRI Pricing'!$F25&lt;='2. GRI Pricing Inputs'!$AC$33),'2. GRI Pricing Inputs'!$AB$32,IF(AND('3. GRI Pricing'!$F25&gt;='2. GRI Pricing Inputs'!$AD$33,'3. GRI Pricing'!$F25&lt;='2. GRI Pricing Inputs'!$AE$33),'2. GRI Pricing Inputs'!$AD$32,IF(AND('3. GRI Pricing'!$F25&gt;='2. GRI Pricing Inputs'!$AF$33,'3. GRI Pricing'!$F25&lt;='2. GRI Pricing Inputs'!$AG$33),'2. GRI Pricing Inputs'!$AF$32,IF(AND('3. GRI Pricing'!$F25&gt;='2. GRI Pricing Inputs'!$AH$33,'3. GRI Pricing'!$F25&lt;='2. GRI Pricing Inputs'!$AI$33),'2. GRI Pricing Inputs'!$AH$32,0))))))))))))))))</f>
        <v>8</v>
      </c>
      <c r="N25" s="273" cm="1">
        <f t="array" ref="N25">IFERROR(INDEX('2. GRI Pricing Inputs'!$C$32:$AI$39,MATCH('3. GRI Pricing'!D25,'2. GRI Pricing Inputs'!$C$32:$C$39,0),(MATCH('3. GRI Pricing'!M25,'2. GRI Pricing Inputs'!$D$32:$AI$32,0)+1)),0)</f>
        <v>20</v>
      </c>
      <c r="O25" s="273">
        <f>IFERROR(INDEX('2. GRI Pricing Inputs'!$C$45:$AI$46,MATCH($O$16,'2. GRI Pricing Inputs'!$C$45:$C$46,0),MATCH(G25,'2. GRI Pricing Inputs'!$C$45:$AI$45,0)),0)</f>
        <v>30</v>
      </c>
      <c r="P25" s="273">
        <f>IFERROR(INDEX('2. GRI Pricing Inputs'!$C$53:$AI$54,MATCH('3. GRI Pricing'!$P$16,'2. GRI Pricing Inputs'!$C$53:$C$54,0),MATCH('3. GRI Pricing'!H25,'2. GRI Pricing Inputs'!$C$53:$AI$53,0)),0)</f>
        <v>45</v>
      </c>
      <c r="Q25" s="273">
        <f>IFERROR(INDEX('2. GRI Pricing Inputs'!$C$60:$AI$61,MATCH('3. GRI Pricing'!$Q$16,'2. GRI Pricing Inputs'!$C$60:$C$61,0),MATCH('1. Accomodation'!T29,'2. GRI Pricing Inputs'!$C$60:$AI$60,0)),0)</f>
        <v>0</v>
      </c>
      <c r="R25" s="273">
        <f>IFERROR(INDEX('2. GRI Pricing Inputs'!$C$67:$AI$68,MATCH('3. GRI Pricing'!$R$16,'2. GRI Pricing Inputs'!$C$67:$C$68,0),MATCH('1. Accomodation'!U29,'2. GRI Pricing Inputs'!$C$67:$AI$67,0)),0)</f>
        <v>0</v>
      </c>
      <c r="S25" s="273">
        <f>IF(D25=0,0,'2. GRI Pricing Inputs'!$AI$75)</f>
        <v>70</v>
      </c>
      <c r="T25" s="273">
        <f>IFERROR(INDEX('2. GRI Pricing Inputs'!$C$82:$AI$83,MATCH('3. GRI Pricing'!$T$16,'2. GRI Pricing Inputs'!$C$82:$C$83,0),MATCH('1. Accomodation'!V29,'2. GRI Pricing Inputs'!$C$82:$AI$82,0)),0)</f>
        <v>0</v>
      </c>
      <c r="U25" s="273">
        <f>IFERROR(INDEX('2. GRI Pricing Inputs'!$C$89:$AI$90,MATCH('3. GRI Pricing'!$U$16,'2. GRI Pricing Inputs'!$C$89:$C$90,0),MATCH('1. Accomodation'!W29,'2. GRI Pricing Inputs'!$C$89:$AI$89,0)),0)</f>
        <v>0</v>
      </c>
      <c r="V25" s="273">
        <f>IFERROR(INDEX('2. GRI Pricing Inputs'!$C$97:$AI$98,MATCH('3. GRI Pricing'!$V$16,'2. GRI Pricing Inputs'!$C$97:$C$98,0),MATCH('1. Accomodation'!X29,'2. GRI Pricing Inputs'!$C$97:$AI$97,0)),0)</f>
        <v>0</v>
      </c>
      <c r="W25" s="273">
        <f>IFERROR(INDEX('2. GRI Pricing Inputs'!$C$104:$AI$105,MATCH('3. GRI Pricing'!$W$16,'2. GRI Pricing Inputs'!$C$104:$C$105,0),MATCH('1. Accomodation'!Y29,'2. GRI Pricing Inputs'!$C$104:$AI$104,0)),0)</f>
        <v>0</v>
      </c>
      <c r="X25" s="274">
        <v>0</v>
      </c>
      <c r="Y25" s="275">
        <f t="shared" si="7"/>
        <v>1275</v>
      </c>
      <c r="Z25" s="276"/>
      <c r="AA25" s="276"/>
      <c r="AB25" s="276"/>
      <c r="AC25" s="272">
        <f>Y25*(1+'2. GRI Pricing Inputs'!$D$114)^(($AC$16-$AB$15)/365)</f>
        <v>1279.2542012879444</v>
      </c>
      <c r="AD25" s="273">
        <f>AC25*(1+'2. GRI Pricing Inputs'!$D$114)^((AD$16-AC$16)/365)</f>
        <v>1283.3846850264747</v>
      </c>
      <c r="AE25" s="273">
        <f>AD25*(1+'2. GRI Pricing Inputs'!$D$114)^((AE$16-AD$16)/365)</f>
        <v>1287.6668628931161</v>
      </c>
      <c r="AF25" s="273">
        <f>AE25*(1+'2. GRI Pricing Inputs'!$D$114)^((AF$16-AE$16)/365)</f>
        <v>1291.9633287963029</v>
      </c>
      <c r="AG25" s="273">
        <f>AF25*(1+'2. GRI Pricing Inputs'!$D$114)^((AG$16-AF$16)/365)</f>
        <v>1295.9955806390508</v>
      </c>
      <c r="AH25" s="273">
        <f>AG25*(1+'2. GRI Pricing Inputs'!$D$114)^((AH$16-AG$16)/365)</f>
        <v>1300.3198363789136</v>
      </c>
      <c r="AI25" s="273">
        <f>AH25*(1+'2. GRI Pricing Inputs'!$D$114)^((AI$16-AH$16)/365)</f>
        <v>1304.5183372973738</v>
      </c>
      <c r="AJ25" s="273">
        <f>AI25*(1+'2. GRI Pricing Inputs'!$D$114)^((AJ$16-AI$16)/365)</f>
        <v>1308.87103030967</v>
      </c>
      <c r="AK25" s="273">
        <f>AJ25*(1+'2. GRI Pricing Inputs'!$D$114)^((AK$16-AJ$16)/365)</f>
        <v>1313.0971415087456</v>
      </c>
      <c r="AL25" s="273">
        <f>AK25*(1+'2. GRI Pricing Inputs'!$D$114)^((AL$16-AK$16)/365)</f>
        <v>1317.478458803336</v>
      </c>
      <c r="AM25" s="273">
        <f>AL25*(1+'2. GRI Pricing Inputs'!$D$114)^((AM$16-AL$16)/365)</f>
        <v>1321.8743949259087</v>
      </c>
      <c r="AN25" s="273">
        <f>AM25*(1+'2. GRI Pricing Inputs'!$D$114)^((AN$16-AM$16)/365)</f>
        <v>1326.1424916709684</v>
      </c>
      <c r="AO25" s="273">
        <f>AN25*(1+'2. GRI Pricing Inputs'!$D$114)^((AO$16-AN$16)/365)</f>
        <v>1330.5673364521954</v>
      </c>
    </row>
    <row r="26" spans="3:41" ht="12" x14ac:dyDescent="0.2">
      <c r="C26" s="76" t="str">
        <f>'1. Accomodation'!N30</f>
        <v>110N</v>
      </c>
      <c r="D26" s="69" t="str">
        <f>'1. Accomodation'!P30</f>
        <v>2 Bed</v>
      </c>
      <c r="E26" s="69">
        <f>'1. Accomodation'!Q30</f>
        <v>2</v>
      </c>
      <c r="F26" s="77">
        <f>'1. Accomodation'!O30</f>
        <v>700</v>
      </c>
      <c r="G26" s="69">
        <f>'1. Accomodation'!R30</f>
        <v>1</v>
      </c>
      <c r="H26" s="69" t="str">
        <f>'1. Accomodation'!S30</f>
        <v>Forth Banks - Partial</v>
      </c>
      <c r="I26" s="62"/>
      <c r="K26" s="272">
        <f>IFERROR(INDEX('2. GRI Pricing Inputs'!$C$15:$AI$16,MATCH($K$16,'2. GRI Pricing Inputs'!$C$15:$C$16,0),MATCH(D26,'2. GRI Pricing Inputs'!$C$15:$AI$15,0)),0)</f>
        <v>1110</v>
      </c>
      <c r="L26" s="273">
        <f>IFERROR(INDEX('2. GRI Pricing Inputs'!$C$22:$AI$23,MATCH($L$16,'2. GRI Pricing Inputs'!$C$22:$C$23,0),MATCH(E26,'2. GRI Pricing Inputs'!$C$22:$AI$22,0)),0)</f>
        <v>0</v>
      </c>
      <c r="M26" s="328">
        <f>IF(AND('3. GRI Pricing'!$F26&gt;='2. GRI Pricing Inputs'!$D$33,'3. GRI Pricing'!$F26&lt;='2. GRI Pricing Inputs'!$E$33),'2. GRI Pricing Inputs'!$D$32,IF(AND('3. GRI Pricing'!$F26&gt;='2. GRI Pricing Inputs'!$F$33,'3. GRI Pricing'!$F26&lt;='2. GRI Pricing Inputs'!$G$33),'2. GRI Pricing Inputs'!$F$32,IF(AND('3. GRI Pricing'!$F26&gt;='2. GRI Pricing Inputs'!$H$33,'3. GRI Pricing'!$F26&lt;='2. GRI Pricing Inputs'!$I$33),'2. GRI Pricing Inputs'!$H$32,IF(AND('3. GRI Pricing'!$F26&gt;='2. GRI Pricing Inputs'!$J$33,'3. GRI Pricing'!$F26&lt;='2. GRI Pricing Inputs'!$K$33),'2. GRI Pricing Inputs'!$J$32,IF(AND('3. GRI Pricing'!$F26&gt;='2. GRI Pricing Inputs'!$L$33,'3. GRI Pricing'!$F26&lt;='2. GRI Pricing Inputs'!$M$33),'2. GRI Pricing Inputs'!$L$32,IF(AND('3. GRI Pricing'!$F26&gt;='2. GRI Pricing Inputs'!$N$33,'3. GRI Pricing'!$F26&lt;='2. GRI Pricing Inputs'!$O$33),'2. GRI Pricing Inputs'!$N$32,IF(AND('3. GRI Pricing'!$F26&gt;='2. GRI Pricing Inputs'!$P$33,'3. GRI Pricing'!$F26&lt;='2. GRI Pricing Inputs'!$Q$33),'2. GRI Pricing Inputs'!$P$32,IF(AND('3. GRI Pricing'!$F26&gt;='2. GRI Pricing Inputs'!$R$33,'3. GRI Pricing'!$F26&lt;='2. GRI Pricing Inputs'!$S$33),'2. GRI Pricing Inputs'!$R$32,IF(AND('3. GRI Pricing'!$F26&gt;='2. GRI Pricing Inputs'!$T$33,'3. GRI Pricing'!$F26&lt;='2. GRI Pricing Inputs'!$U$33),'2. GRI Pricing Inputs'!$T$32,IF(AND('3. GRI Pricing'!$F26&gt;='2. GRI Pricing Inputs'!$V$33,'3. GRI Pricing'!$F26&lt;='2. GRI Pricing Inputs'!$W$33),'2. GRI Pricing Inputs'!$V$32,IF(AND('3. GRI Pricing'!$F26&gt;='2. GRI Pricing Inputs'!$X$33,'3. GRI Pricing'!$F26&lt;='2. GRI Pricing Inputs'!$Y$33),'2. GRI Pricing Inputs'!$X$32,IF(AND('3. GRI Pricing'!$F26&gt;='2. GRI Pricing Inputs'!$Z$33,'3. GRI Pricing'!$F26&lt;='2. GRI Pricing Inputs'!$AA$33),'2. GRI Pricing Inputs'!$Z$32,IF(AND('3. GRI Pricing'!$F26&gt;='2. GRI Pricing Inputs'!$AB$33,'3. GRI Pricing'!$F26&lt;='2. GRI Pricing Inputs'!$AC$33),'2. GRI Pricing Inputs'!$AB$32,IF(AND('3. GRI Pricing'!$F26&gt;='2. GRI Pricing Inputs'!$AD$33,'3. GRI Pricing'!$F26&lt;='2. GRI Pricing Inputs'!$AE$33),'2. GRI Pricing Inputs'!$AD$32,IF(AND('3. GRI Pricing'!$F26&gt;='2. GRI Pricing Inputs'!$AF$33,'3. GRI Pricing'!$F26&lt;='2. GRI Pricing Inputs'!$AG$33),'2. GRI Pricing Inputs'!$AF$32,IF(AND('3. GRI Pricing'!$F26&gt;='2. GRI Pricing Inputs'!$AH$33,'3. GRI Pricing'!$F26&lt;='2. GRI Pricing Inputs'!$AI$33),'2. GRI Pricing Inputs'!$AH$32,0))))))))))))))))</f>
        <v>12</v>
      </c>
      <c r="N26" s="273" cm="1">
        <f t="array" ref="N26">IFERROR(INDEX('2. GRI Pricing Inputs'!$C$32:$AI$39,MATCH('3. GRI Pricing'!D26,'2. GRI Pricing Inputs'!$C$32:$C$39,0),(MATCH('3. GRI Pricing'!M26,'2. GRI Pricing Inputs'!$D$32:$AI$32,0)+1)),0)</f>
        <v>70</v>
      </c>
      <c r="O26" s="273">
        <f>IFERROR(INDEX('2. GRI Pricing Inputs'!$C$45:$AI$46,MATCH($O$16,'2. GRI Pricing Inputs'!$C$45:$C$46,0),MATCH(G26,'2. GRI Pricing Inputs'!$C$45:$AI$45,0)),0)</f>
        <v>30</v>
      </c>
      <c r="P26" s="273">
        <f>IFERROR(INDEX('2. GRI Pricing Inputs'!$C$53:$AI$54,MATCH('3. GRI Pricing'!$P$16,'2. GRI Pricing Inputs'!$C$53:$C$54,0),MATCH('3. GRI Pricing'!H26,'2. GRI Pricing Inputs'!$C$53:$AI$53,0)),0)</f>
        <v>40</v>
      </c>
      <c r="Q26" s="273">
        <f>IFERROR(INDEX('2. GRI Pricing Inputs'!$C$60:$AI$61,MATCH('3. GRI Pricing'!$Q$16,'2. GRI Pricing Inputs'!$C$60:$C$61,0),MATCH('1. Accomodation'!T30,'2. GRI Pricing Inputs'!$C$60:$AI$60,0)),0)</f>
        <v>0</v>
      </c>
      <c r="R26" s="273">
        <f>IFERROR(INDEX('2. GRI Pricing Inputs'!$C$67:$AI$68,MATCH('3. GRI Pricing'!$R$16,'2. GRI Pricing Inputs'!$C$67:$C$68,0),MATCH('1. Accomodation'!U30,'2. GRI Pricing Inputs'!$C$67:$AI$67,0)),0)</f>
        <v>0</v>
      </c>
      <c r="S26" s="273">
        <f>IF(D26=0,0,'2. GRI Pricing Inputs'!$AI$75)</f>
        <v>70</v>
      </c>
      <c r="T26" s="273">
        <f>IFERROR(INDEX('2. GRI Pricing Inputs'!$C$82:$AI$83,MATCH('3. GRI Pricing'!$T$16,'2. GRI Pricing Inputs'!$C$82:$C$83,0),MATCH('1. Accomodation'!V30,'2. GRI Pricing Inputs'!$C$82:$AI$82,0)),0)</f>
        <v>0</v>
      </c>
      <c r="U26" s="273">
        <f>IFERROR(INDEX('2. GRI Pricing Inputs'!$C$89:$AI$90,MATCH('3. GRI Pricing'!$U$16,'2. GRI Pricing Inputs'!$C$89:$C$90,0),MATCH('1. Accomodation'!W30,'2. GRI Pricing Inputs'!$C$89:$AI$89,0)),0)</f>
        <v>0</v>
      </c>
      <c r="V26" s="273">
        <f>IFERROR(INDEX('2. GRI Pricing Inputs'!$C$97:$AI$98,MATCH('3. GRI Pricing'!$V$16,'2. GRI Pricing Inputs'!$C$97:$C$98,0),MATCH('1. Accomodation'!X30,'2. GRI Pricing Inputs'!$C$97:$AI$97,0)),0)</f>
        <v>0</v>
      </c>
      <c r="W26" s="273">
        <f>IFERROR(INDEX('2. GRI Pricing Inputs'!$C$104:$AI$105,MATCH('3. GRI Pricing'!$W$16,'2. GRI Pricing Inputs'!$C$104:$C$105,0),MATCH('1. Accomodation'!Y30,'2. GRI Pricing Inputs'!$C$104:$AI$104,0)),0)</f>
        <v>0</v>
      </c>
      <c r="X26" s="274">
        <v>0</v>
      </c>
      <c r="Y26" s="275">
        <f t="shared" si="7"/>
        <v>1320</v>
      </c>
      <c r="Z26" s="276"/>
      <c r="AA26" s="276"/>
      <c r="AB26" s="276"/>
      <c r="AC26" s="272">
        <f>Y26*(1+'2. GRI Pricing Inputs'!$D$114)^(($AC$16-$AB$15)/365)</f>
        <v>1324.4043495686954</v>
      </c>
      <c r="AD26" s="273">
        <f>AC26*(1+'2. GRI Pricing Inputs'!$D$114)^((AD$16-AC$16)/365)</f>
        <v>1328.6806150862326</v>
      </c>
      <c r="AE26" s="273">
        <f>AD26*(1+'2. GRI Pricing Inputs'!$D$114)^((AE$16-AD$16)/365)</f>
        <v>1333.1139286422849</v>
      </c>
      <c r="AF26" s="273">
        <f>AE26*(1+'2. GRI Pricing Inputs'!$D$114)^((AF$16-AE$16)/365)</f>
        <v>1337.5620345185255</v>
      </c>
      <c r="AG26" s="273">
        <f>AF26*(1+'2. GRI Pricing Inputs'!$D$114)^((AG$16-AF$16)/365)</f>
        <v>1341.7366011321938</v>
      </c>
      <c r="AH26" s="273">
        <f>AG26*(1+'2. GRI Pricing Inputs'!$D$114)^((AH$16-AG$16)/365)</f>
        <v>1346.2134776628752</v>
      </c>
      <c r="AI26" s="273">
        <f>AH26*(1+'2. GRI Pricing Inputs'!$D$114)^((AI$16-AH$16)/365)</f>
        <v>1350.5601609666928</v>
      </c>
      <c r="AJ26" s="273">
        <f>AI26*(1+'2. GRI Pricing Inputs'!$D$114)^((AJ$16-AI$16)/365)</f>
        <v>1355.0664784382466</v>
      </c>
      <c r="AK26" s="273">
        <f>AJ26*(1+'2. GRI Pricing Inputs'!$D$114)^((AK$16-AJ$16)/365)</f>
        <v>1359.441746503172</v>
      </c>
      <c r="AL26" s="273">
        <f>AK26*(1+'2. GRI Pricing Inputs'!$D$114)^((AL$16-AK$16)/365)</f>
        <v>1363.9776985258068</v>
      </c>
      <c r="AM26" s="273">
        <f>AL26*(1+'2. GRI Pricing Inputs'!$D$114)^((AM$16-AL$16)/365)</f>
        <v>1368.5287853350585</v>
      </c>
      <c r="AN26" s="273">
        <f>AM26*(1+'2. GRI Pricing Inputs'!$D$114)^((AN$16-AM$16)/365)</f>
        <v>1372.9475207887674</v>
      </c>
      <c r="AO26" s="273">
        <f>AN26*(1+'2. GRI Pricing Inputs'!$D$114)^((AO$16-AN$16)/365)</f>
        <v>1377.5285365622731</v>
      </c>
    </row>
    <row r="27" spans="3:41" ht="12" x14ac:dyDescent="0.2">
      <c r="C27" s="76" t="str">
        <f>'1. Accomodation'!N31</f>
        <v>111N</v>
      </c>
      <c r="D27" s="69" t="str">
        <f>'1. Accomodation'!P31</f>
        <v>2 Bed</v>
      </c>
      <c r="E27" s="69">
        <f>'1. Accomodation'!Q31</f>
        <v>2</v>
      </c>
      <c r="F27" s="77">
        <f>'1. Accomodation'!O31</f>
        <v>689</v>
      </c>
      <c r="G27" s="69">
        <f>'1. Accomodation'!R31</f>
        <v>1</v>
      </c>
      <c r="H27" s="69" t="str">
        <f>'1. Accomodation'!S31</f>
        <v>Courtyard - dual</v>
      </c>
      <c r="I27" s="62"/>
      <c r="K27" s="272">
        <f>IFERROR(INDEX('2. GRI Pricing Inputs'!$C$15:$AI$16,MATCH($K$16,'2. GRI Pricing Inputs'!$C$15:$C$16,0),MATCH(D27,'2. GRI Pricing Inputs'!$C$15:$AI$15,0)),0)</f>
        <v>1110</v>
      </c>
      <c r="L27" s="273">
        <f>IFERROR(INDEX('2. GRI Pricing Inputs'!$C$22:$AI$23,MATCH($L$16,'2. GRI Pricing Inputs'!$C$22:$C$23,0),MATCH(E27,'2. GRI Pricing Inputs'!$C$22:$AI$22,0)),0)</f>
        <v>0</v>
      </c>
      <c r="M27" s="328">
        <f>IF(AND('3. GRI Pricing'!$F27&gt;='2. GRI Pricing Inputs'!$D$33,'3. GRI Pricing'!$F27&lt;='2. GRI Pricing Inputs'!$E$33),'2. GRI Pricing Inputs'!$D$32,IF(AND('3. GRI Pricing'!$F27&gt;='2. GRI Pricing Inputs'!$F$33,'3. GRI Pricing'!$F27&lt;='2. GRI Pricing Inputs'!$G$33),'2. GRI Pricing Inputs'!$F$32,IF(AND('3. GRI Pricing'!$F27&gt;='2. GRI Pricing Inputs'!$H$33,'3. GRI Pricing'!$F27&lt;='2. GRI Pricing Inputs'!$I$33),'2. GRI Pricing Inputs'!$H$32,IF(AND('3. GRI Pricing'!$F27&gt;='2. GRI Pricing Inputs'!$J$33,'3. GRI Pricing'!$F27&lt;='2. GRI Pricing Inputs'!$K$33),'2. GRI Pricing Inputs'!$J$32,IF(AND('3. GRI Pricing'!$F27&gt;='2. GRI Pricing Inputs'!$L$33,'3. GRI Pricing'!$F27&lt;='2. GRI Pricing Inputs'!$M$33),'2. GRI Pricing Inputs'!$L$32,IF(AND('3. GRI Pricing'!$F27&gt;='2. GRI Pricing Inputs'!$N$33,'3. GRI Pricing'!$F27&lt;='2. GRI Pricing Inputs'!$O$33),'2. GRI Pricing Inputs'!$N$32,IF(AND('3. GRI Pricing'!$F27&gt;='2. GRI Pricing Inputs'!$P$33,'3. GRI Pricing'!$F27&lt;='2. GRI Pricing Inputs'!$Q$33),'2. GRI Pricing Inputs'!$P$32,IF(AND('3. GRI Pricing'!$F27&gt;='2. GRI Pricing Inputs'!$R$33,'3. GRI Pricing'!$F27&lt;='2. GRI Pricing Inputs'!$S$33),'2. GRI Pricing Inputs'!$R$32,IF(AND('3. GRI Pricing'!$F27&gt;='2. GRI Pricing Inputs'!$T$33,'3. GRI Pricing'!$F27&lt;='2. GRI Pricing Inputs'!$U$33),'2. GRI Pricing Inputs'!$T$32,IF(AND('3. GRI Pricing'!$F27&gt;='2. GRI Pricing Inputs'!$V$33,'3. GRI Pricing'!$F27&lt;='2. GRI Pricing Inputs'!$W$33),'2. GRI Pricing Inputs'!$V$32,IF(AND('3. GRI Pricing'!$F27&gt;='2. GRI Pricing Inputs'!$X$33,'3. GRI Pricing'!$F27&lt;='2. GRI Pricing Inputs'!$Y$33),'2. GRI Pricing Inputs'!$X$32,IF(AND('3. GRI Pricing'!$F27&gt;='2. GRI Pricing Inputs'!$Z$33,'3. GRI Pricing'!$F27&lt;='2. GRI Pricing Inputs'!$AA$33),'2. GRI Pricing Inputs'!$Z$32,IF(AND('3. GRI Pricing'!$F27&gt;='2. GRI Pricing Inputs'!$AB$33,'3. GRI Pricing'!$F27&lt;='2. GRI Pricing Inputs'!$AC$33),'2. GRI Pricing Inputs'!$AB$32,IF(AND('3. GRI Pricing'!$F27&gt;='2. GRI Pricing Inputs'!$AD$33,'3. GRI Pricing'!$F27&lt;='2. GRI Pricing Inputs'!$AE$33),'2. GRI Pricing Inputs'!$AD$32,IF(AND('3. GRI Pricing'!$F27&gt;='2. GRI Pricing Inputs'!$AF$33,'3. GRI Pricing'!$F27&lt;='2. GRI Pricing Inputs'!$AG$33),'2. GRI Pricing Inputs'!$AF$32,IF(AND('3. GRI Pricing'!$F27&gt;='2. GRI Pricing Inputs'!$AH$33,'3. GRI Pricing'!$F27&lt;='2. GRI Pricing Inputs'!$AI$33),'2. GRI Pricing Inputs'!$AH$32,0))))))))))))))))</f>
        <v>11</v>
      </c>
      <c r="N27" s="273" cm="1">
        <f t="array" ref="N27">IFERROR(INDEX('2. GRI Pricing Inputs'!$C$32:$AI$39,MATCH('3. GRI Pricing'!D27,'2. GRI Pricing Inputs'!$C$32:$C$39,0),(MATCH('3. GRI Pricing'!M27,'2. GRI Pricing Inputs'!$D$32:$AI$32,0)+1)),0)</f>
        <v>65</v>
      </c>
      <c r="O27" s="273">
        <f>IFERROR(INDEX('2. GRI Pricing Inputs'!$C$45:$AI$46,MATCH($O$16,'2. GRI Pricing Inputs'!$C$45:$C$46,0),MATCH(G27,'2. GRI Pricing Inputs'!$C$45:$AI$45,0)),0)</f>
        <v>30</v>
      </c>
      <c r="P27" s="273">
        <f>IFERROR(INDEX('2. GRI Pricing Inputs'!$C$53:$AI$54,MATCH('3. GRI Pricing'!$P$16,'2. GRI Pricing Inputs'!$C$53:$C$54,0),MATCH('3. GRI Pricing'!H27,'2. GRI Pricing Inputs'!$C$53:$AI$53,0)),0)</f>
        <v>55</v>
      </c>
      <c r="Q27" s="273">
        <f>IFERROR(INDEX('2. GRI Pricing Inputs'!$C$60:$AI$61,MATCH('3. GRI Pricing'!$Q$16,'2. GRI Pricing Inputs'!$C$60:$C$61,0),MATCH('1. Accomodation'!T31,'2. GRI Pricing Inputs'!$C$60:$AI$60,0)),0)</f>
        <v>0</v>
      </c>
      <c r="R27" s="273">
        <f>IFERROR(INDEX('2. GRI Pricing Inputs'!$C$67:$AI$68,MATCH('3. GRI Pricing'!$R$16,'2. GRI Pricing Inputs'!$C$67:$C$68,0),MATCH('1. Accomodation'!U31,'2. GRI Pricing Inputs'!$C$67:$AI$67,0)),0)</f>
        <v>40</v>
      </c>
      <c r="S27" s="273">
        <f>IF(D27=0,0,'2. GRI Pricing Inputs'!$AI$75)</f>
        <v>70</v>
      </c>
      <c r="T27" s="273">
        <f>IFERROR(INDEX('2. GRI Pricing Inputs'!$C$82:$AI$83,MATCH('3. GRI Pricing'!$T$16,'2. GRI Pricing Inputs'!$C$82:$C$83,0),MATCH('1. Accomodation'!V31,'2. GRI Pricing Inputs'!$C$82:$AI$82,0)),0)</f>
        <v>0</v>
      </c>
      <c r="U27" s="273">
        <f>IFERROR(INDEX('2. GRI Pricing Inputs'!$C$89:$AI$90,MATCH('3. GRI Pricing'!$U$16,'2. GRI Pricing Inputs'!$C$89:$C$90,0),MATCH('1. Accomodation'!W31,'2. GRI Pricing Inputs'!$C$89:$AI$89,0)),0)</f>
        <v>0</v>
      </c>
      <c r="V27" s="273">
        <f>IFERROR(INDEX('2. GRI Pricing Inputs'!$C$97:$AI$98,MATCH('3. GRI Pricing'!$V$16,'2. GRI Pricing Inputs'!$C$97:$C$98,0),MATCH('1. Accomodation'!X31,'2. GRI Pricing Inputs'!$C$97:$AI$97,0)),0)</f>
        <v>0</v>
      </c>
      <c r="W27" s="273">
        <f>IFERROR(INDEX('2. GRI Pricing Inputs'!$C$104:$AI$105,MATCH('3. GRI Pricing'!$W$16,'2. GRI Pricing Inputs'!$C$104:$C$105,0),MATCH('1. Accomodation'!Y31,'2. GRI Pricing Inputs'!$C$104:$AI$104,0)),0)</f>
        <v>0</v>
      </c>
      <c r="X27" s="274">
        <v>0</v>
      </c>
      <c r="Y27" s="275">
        <f t="shared" si="7"/>
        <v>1370</v>
      </c>
      <c r="Z27" s="276"/>
      <c r="AA27" s="276"/>
      <c r="AB27" s="276"/>
      <c r="AC27" s="272">
        <f>Y27*(1+'2. GRI Pricing Inputs'!$D$114)^(($AC$16-$AB$15)/365)</f>
        <v>1374.571180991752</v>
      </c>
      <c r="AD27" s="273">
        <f>AC27*(1+'2. GRI Pricing Inputs'!$D$114)^((AD$16-AC$16)/365)</f>
        <v>1379.0094262637415</v>
      </c>
      <c r="AE27" s="273">
        <f>AD27*(1+'2. GRI Pricing Inputs'!$D$114)^((AE$16-AD$16)/365)</f>
        <v>1383.6106683635837</v>
      </c>
      <c r="AF27" s="273">
        <f>AE27*(1+'2. GRI Pricing Inputs'!$D$114)^((AF$16-AE$16)/365)</f>
        <v>1388.2272630987727</v>
      </c>
      <c r="AG27" s="273">
        <f>AF27*(1+'2. GRI Pricing Inputs'!$D$114)^((AG$16-AF$16)/365)</f>
        <v>1392.5599572356862</v>
      </c>
      <c r="AH27" s="273">
        <f>AG27*(1+'2. GRI Pricing Inputs'!$D$114)^((AH$16-AG$16)/365)</f>
        <v>1397.2064124228327</v>
      </c>
      <c r="AI27" s="273">
        <f>AH27*(1+'2. GRI Pricing Inputs'!$D$114)^((AI$16-AH$16)/365)</f>
        <v>1401.7177428214918</v>
      </c>
      <c r="AJ27" s="273">
        <f>AI27*(1+'2. GRI Pricing Inputs'!$D$114)^((AJ$16-AI$16)/365)</f>
        <v>1406.3947541366649</v>
      </c>
      <c r="AK27" s="273">
        <f>AJ27*(1+'2. GRI Pricing Inputs'!$D$114)^((AK$16-AJ$16)/365)</f>
        <v>1410.9357520525343</v>
      </c>
      <c r="AL27" s="273">
        <f>AK27*(1+'2. GRI Pricing Inputs'!$D$114)^((AL$16-AK$16)/365)</f>
        <v>1415.6435204396628</v>
      </c>
      <c r="AM27" s="273">
        <f>AL27*(1+'2. GRI Pricing Inputs'!$D$114)^((AM$16-AL$16)/365)</f>
        <v>1420.3669969007801</v>
      </c>
      <c r="AN27" s="273">
        <f>AM27*(1+'2. GRI Pricing Inputs'!$D$114)^((AN$16-AM$16)/365)</f>
        <v>1424.9531086974325</v>
      </c>
      <c r="AO27" s="273">
        <f>AN27*(1+'2. GRI Pricing Inputs'!$D$114)^((AO$16-AN$16)/365)</f>
        <v>1429.7076477956923</v>
      </c>
    </row>
    <row r="28" spans="3:41" ht="12" x14ac:dyDescent="0.2">
      <c r="C28" s="76" t="str">
        <f>'1. Accomodation'!N32</f>
        <v>112N</v>
      </c>
      <c r="D28" s="69" t="str">
        <f>'1. Accomodation'!P32</f>
        <v>1 Bed</v>
      </c>
      <c r="E28" s="69">
        <f>'1. Accomodation'!Q32</f>
        <v>1</v>
      </c>
      <c r="F28" s="77">
        <f>'1. Accomodation'!O32</f>
        <v>506</v>
      </c>
      <c r="G28" s="69" t="str">
        <f>'1. Accomodation'!R32</f>
        <v>Ground</v>
      </c>
      <c r="H28" s="69" t="str">
        <f>'1. Accomodation'!S32</f>
        <v>Courtyard</v>
      </c>
      <c r="I28" s="62"/>
      <c r="K28" s="272">
        <f>IFERROR(INDEX('2. GRI Pricing Inputs'!$C$15:$AI$16,MATCH($K$16,'2. GRI Pricing Inputs'!$C$15:$C$16,0),MATCH(D28,'2. GRI Pricing Inputs'!$C$15:$AI$15,0)),0)</f>
        <v>845</v>
      </c>
      <c r="L28" s="273">
        <f>IFERROR(INDEX('2. GRI Pricing Inputs'!$C$22:$AI$23,MATCH($L$16,'2. GRI Pricing Inputs'!$C$22:$C$23,0),MATCH(E28,'2. GRI Pricing Inputs'!$C$22:$AI$22,0)),0)</f>
        <v>0</v>
      </c>
      <c r="M28" s="328">
        <f>IF(AND('3. GRI Pricing'!$F28&gt;='2. GRI Pricing Inputs'!$D$33,'3. GRI Pricing'!$F28&lt;='2. GRI Pricing Inputs'!$E$33),'2. GRI Pricing Inputs'!$D$32,IF(AND('3. GRI Pricing'!$F28&gt;='2. GRI Pricing Inputs'!$F$33,'3. GRI Pricing'!$F28&lt;='2. GRI Pricing Inputs'!$G$33),'2. GRI Pricing Inputs'!$F$32,IF(AND('3. GRI Pricing'!$F28&gt;='2. GRI Pricing Inputs'!$H$33,'3. GRI Pricing'!$F28&lt;='2. GRI Pricing Inputs'!$I$33),'2. GRI Pricing Inputs'!$H$32,IF(AND('3. GRI Pricing'!$F28&gt;='2. GRI Pricing Inputs'!$J$33,'3. GRI Pricing'!$F28&lt;='2. GRI Pricing Inputs'!$K$33),'2. GRI Pricing Inputs'!$J$32,IF(AND('3. GRI Pricing'!$F28&gt;='2. GRI Pricing Inputs'!$L$33,'3. GRI Pricing'!$F28&lt;='2. GRI Pricing Inputs'!$M$33),'2. GRI Pricing Inputs'!$L$32,IF(AND('3. GRI Pricing'!$F28&gt;='2. GRI Pricing Inputs'!$N$33,'3. GRI Pricing'!$F28&lt;='2. GRI Pricing Inputs'!$O$33),'2. GRI Pricing Inputs'!$N$32,IF(AND('3. GRI Pricing'!$F28&gt;='2. GRI Pricing Inputs'!$P$33,'3. GRI Pricing'!$F28&lt;='2. GRI Pricing Inputs'!$Q$33),'2. GRI Pricing Inputs'!$P$32,IF(AND('3. GRI Pricing'!$F28&gt;='2. GRI Pricing Inputs'!$R$33,'3. GRI Pricing'!$F28&lt;='2. GRI Pricing Inputs'!$S$33),'2. GRI Pricing Inputs'!$R$32,IF(AND('3. GRI Pricing'!$F28&gt;='2. GRI Pricing Inputs'!$T$33,'3. GRI Pricing'!$F28&lt;='2. GRI Pricing Inputs'!$U$33),'2. GRI Pricing Inputs'!$T$32,IF(AND('3. GRI Pricing'!$F28&gt;='2. GRI Pricing Inputs'!$V$33,'3. GRI Pricing'!$F28&lt;='2. GRI Pricing Inputs'!$W$33),'2. GRI Pricing Inputs'!$V$32,IF(AND('3. GRI Pricing'!$F28&gt;='2. GRI Pricing Inputs'!$X$33,'3. GRI Pricing'!$F28&lt;='2. GRI Pricing Inputs'!$Y$33),'2. GRI Pricing Inputs'!$X$32,IF(AND('3. GRI Pricing'!$F28&gt;='2. GRI Pricing Inputs'!$Z$33,'3. GRI Pricing'!$F28&lt;='2. GRI Pricing Inputs'!$AA$33),'2. GRI Pricing Inputs'!$Z$32,IF(AND('3. GRI Pricing'!$F28&gt;='2. GRI Pricing Inputs'!$AB$33,'3. GRI Pricing'!$F28&lt;='2. GRI Pricing Inputs'!$AC$33),'2. GRI Pricing Inputs'!$AB$32,IF(AND('3. GRI Pricing'!$F28&gt;='2. GRI Pricing Inputs'!$AD$33,'3. GRI Pricing'!$F28&lt;='2. GRI Pricing Inputs'!$AE$33),'2. GRI Pricing Inputs'!$AD$32,IF(AND('3. GRI Pricing'!$F28&gt;='2. GRI Pricing Inputs'!$AF$33,'3. GRI Pricing'!$F28&lt;='2. GRI Pricing Inputs'!$AG$33),'2. GRI Pricing Inputs'!$AF$32,IF(AND('3. GRI Pricing'!$F28&gt;='2. GRI Pricing Inputs'!$AH$33,'3. GRI Pricing'!$F28&lt;='2. GRI Pricing Inputs'!$AI$33),'2. GRI Pricing Inputs'!$AH$32,0))))))))))))))))</f>
        <v>2</v>
      </c>
      <c r="N28" s="273" cm="1">
        <f t="array" ref="N28">IFERROR(INDEX('2. GRI Pricing Inputs'!$C$32:$AI$39,MATCH('3. GRI Pricing'!D28,'2. GRI Pricing Inputs'!$C$32:$C$39,0),(MATCH('3. GRI Pricing'!M28,'2. GRI Pricing Inputs'!$D$32:$AI$32,0)+1)),0)</f>
        <v>15</v>
      </c>
      <c r="O28" s="273">
        <f>IFERROR(INDEX('2. GRI Pricing Inputs'!$C$45:$AI$46,MATCH($O$16,'2. GRI Pricing Inputs'!$C$45:$C$46,0),MATCH(G28,'2. GRI Pricing Inputs'!$C$45:$AI$45,0)),0)</f>
        <v>0</v>
      </c>
      <c r="P28" s="273">
        <f>IFERROR(INDEX('2. GRI Pricing Inputs'!$C$53:$AI$54,MATCH('3. GRI Pricing'!$P$16,'2. GRI Pricing Inputs'!$C$53:$C$54,0),MATCH('3. GRI Pricing'!H28,'2. GRI Pricing Inputs'!$C$53:$AI$53,0)),0)</f>
        <v>25</v>
      </c>
      <c r="Q28" s="273">
        <f>IFERROR(INDEX('2. GRI Pricing Inputs'!$C$60:$AI$61,MATCH('3. GRI Pricing'!$Q$16,'2. GRI Pricing Inputs'!$C$60:$C$61,0),MATCH('1. Accomodation'!T32,'2. GRI Pricing Inputs'!$C$60:$AI$60,0)),0)</f>
        <v>0</v>
      </c>
      <c r="R28" s="273">
        <f>IFERROR(INDEX('2. GRI Pricing Inputs'!$C$67:$AI$68,MATCH('3. GRI Pricing'!$R$16,'2. GRI Pricing Inputs'!$C$67:$C$68,0),MATCH('1. Accomodation'!U32,'2. GRI Pricing Inputs'!$C$67:$AI$67,0)),0)</f>
        <v>0</v>
      </c>
      <c r="S28" s="273">
        <f>IF(D28=0,0,'2. GRI Pricing Inputs'!$AI$75)</f>
        <v>70</v>
      </c>
      <c r="T28" s="273">
        <f>IFERROR(INDEX('2. GRI Pricing Inputs'!$C$82:$AI$83,MATCH('3. GRI Pricing'!$T$16,'2. GRI Pricing Inputs'!$C$82:$C$83,0),MATCH('1. Accomodation'!V32,'2. GRI Pricing Inputs'!$C$82:$AI$82,0)),0)</f>
        <v>20</v>
      </c>
      <c r="U28" s="273">
        <f>IFERROR(INDEX('2. GRI Pricing Inputs'!$C$89:$AI$90,MATCH('3. GRI Pricing'!$U$16,'2. GRI Pricing Inputs'!$C$89:$C$90,0),MATCH('1. Accomodation'!W32,'2. GRI Pricing Inputs'!$C$89:$AI$89,0)),0)</f>
        <v>0</v>
      </c>
      <c r="V28" s="273">
        <f>IFERROR(INDEX('2. GRI Pricing Inputs'!$C$97:$AI$98,MATCH('3. GRI Pricing'!$V$16,'2. GRI Pricing Inputs'!$C$97:$C$98,0),MATCH('1. Accomodation'!X32,'2. GRI Pricing Inputs'!$C$97:$AI$97,0)),0)</f>
        <v>0</v>
      </c>
      <c r="W28" s="273">
        <f>IFERROR(INDEX('2. GRI Pricing Inputs'!$C$104:$AI$105,MATCH('3. GRI Pricing'!$W$16,'2. GRI Pricing Inputs'!$C$104:$C$105,0),MATCH('1. Accomodation'!Y32,'2. GRI Pricing Inputs'!$C$104:$AI$104,0)),0)</f>
        <v>0</v>
      </c>
      <c r="X28" s="274">
        <v>0</v>
      </c>
      <c r="Y28" s="275">
        <f t="shared" si="7"/>
        <v>975</v>
      </c>
      <c r="Z28" s="276"/>
      <c r="AA28" s="276"/>
      <c r="AB28" s="276"/>
      <c r="AC28" s="272">
        <f>Y28*(1+'2. GRI Pricing Inputs'!$D$114)^(($AC$16-$AB$15)/365)</f>
        <v>978.25321274960459</v>
      </c>
      <c r="AD28" s="273">
        <f>AC28*(1+'2. GRI Pricing Inputs'!$D$114)^((AD$16-AC$16)/365)</f>
        <v>981.41181796142189</v>
      </c>
      <c r="AE28" s="273">
        <f>AD28*(1+'2. GRI Pricing Inputs'!$D$114)^((AE$16-AD$16)/365)</f>
        <v>984.68642456532416</v>
      </c>
      <c r="AF28" s="273">
        <f>AE28*(1+'2. GRI Pricing Inputs'!$D$114)^((AF$16-AE$16)/365)</f>
        <v>987.97195731482009</v>
      </c>
      <c r="AG28" s="273">
        <f>AF28*(1+'2. GRI Pricing Inputs'!$D$114)^((AG$16-AF$16)/365)</f>
        <v>991.05544401809789</v>
      </c>
      <c r="AH28" s="273">
        <f>AG28*(1+'2. GRI Pricing Inputs'!$D$114)^((AH$16-AG$16)/365)</f>
        <v>994.36222781916945</v>
      </c>
      <c r="AI28" s="273">
        <f>AH28*(1+'2. GRI Pricing Inputs'!$D$114)^((AI$16-AH$16)/365)</f>
        <v>997.57284616858021</v>
      </c>
      <c r="AJ28" s="273">
        <f>AI28*(1+'2. GRI Pricing Inputs'!$D$114)^((AJ$16-AI$16)/365)</f>
        <v>1000.9013761191596</v>
      </c>
      <c r="AK28" s="273">
        <f>AJ28*(1+'2. GRI Pricing Inputs'!$D$114)^((AK$16-AJ$16)/365)</f>
        <v>1004.1331082125704</v>
      </c>
      <c r="AL28" s="273">
        <f>AK28*(1+'2. GRI Pricing Inputs'!$D$114)^((AL$16-AK$16)/365)</f>
        <v>1007.4835273201983</v>
      </c>
      <c r="AM28" s="273">
        <f>AL28*(1+'2. GRI Pricing Inputs'!$D$114)^((AM$16-AL$16)/365)</f>
        <v>1010.8451255315774</v>
      </c>
      <c r="AN28" s="273">
        <f>AM28*(1+'2. GRI Pricing Inputs'!$D$114)^((AN$16-AM$16)/365)</f>
        <v>1014.108964218976</v>
      </c>
      <c r="AO28" s="273">
        <f>AN28*(1+'2. GRI Pricing Inputs'!$D$114)^((AO$16-AN$16)/365)</f>
        <v>1017.4926690516791</v>
      </c>
    </row>
    <row r="29" spans="3:41" ht="12" x14ac:dyDescent="0.2">
      <c r="C29" s="76" t="str">
        <f>'1. Accomodation'!N33</f>
        <v>113N</v>
      </c>
      <c r="D29" s="69" t="str">
        <f>'1. Accomodation'!P33</f>
        <v>1 Bed</v>
      </c>
      <c r="E29" s="69">
        <f>'1. Accomodation'!Q33</f>
        <v>1</v>
      </c>
      <c r="F29" s="77">
        <f>'1. Accomodation'!O33</f>
        <v>538</v>
      </c>
      <c r="G29" s="69" t="str">
        <f>'1. Accomodation'!R33</f>
        <v>Ground</v>
      </c>
      <c r="H29" s="69" t="str">
        <f>'1. Accomodation'!S33</f>
        <v>Courtyard</v>
      </c>
      <c r="I29" s="62"/>
      <c r="K29" s="272">
        <f>IFERROR(INDEX('2. GRI Pricing Inputs'!$C$15:$AI$16,MATCH($K$16,'2. GRI Pricing Inputs'!$C$15:$C$16,0),MATCH(D29,'2. GRI Pricing Inputs'!$C$15:$AI$15,0)),0)</f>
        <v>845</v>
      </c>
      <c r="L29" s="273">
        <f>IFERROR(INDEX('2. GRI Pricing Inputs'!$C$22:$AI$23,MATCH($L$16,'2. GRI Pricing Inputs'!$C$22:$C$23,0),MATCH(E29,'2. GRI Pricing Inputs'!$C$22:$AI$22,0)),0)</f>
        <v>0</v>
      </c>
      <c r="M29" s="328">
        <f>IF(AND('3. GRI Pricing'!$F29&gt;='2. GRI Pricing Inputs'!$D$33,'3. GRI Pricing'!$F29&lt;='2. GRI Pricing Inputs'!$E$33),'2. GRI Pricing Inputs'!$D$32,IF(AND('3. GRI Pricing'!$F29&gt;='2. GRI Pricing Inputs'!$F$33,'3. GRI Pricing'!$F29&lt;='2. GRI Pricing Inputs'!$G$33),'2. GRI Pricing Inputs'!$F$32,IF(AND('3. GRI Pricing'!$F29&gt;='2. GRI Pricing Inputs'!$H$33,'3. GRI Pricing'!$F29&lt;='2. GRI Pricing Inputs'!$I$33),'2. GRI Pricing Inputs'!$H$32,IF(AND('3. GRI Pricing'!$F29&gt;='2. GRI Pricing Inputs'!$J$33,'3. GRI Pricing'!$F29&lt;='2. GRI Pricing Inputs'!$K$33),'2. GRI Pricing Inputs'!$J$32,IF(AND('3. GRI Pricing'!$F29&gt;='2. GRI Pricing Inputs'!$L$33,'3. GRI Pricing'!$F29&lt;='2. GRI Pricing Inputs'!$M$33),'2. GRI Pricing Inputs'!$L$32,IF(AND('3. GRI Pricing'!$F29&gt;='2. GRI Pricing Inputs'!$N$33,'3. GRI Pricing'!$F29&lt;='2. GRI Pricing Inputs'!$O$33),'2. GRI Pricing Inputs'!$N$32,IF(AND('3. GRI Pricing'!$F29&gt;='2. GRI Pricing Inputs'!$P$33,'3. GRI Pricing'!$F29&lt;='2. GRI Pricing Inputs'!$Q$33),'2. GRI Pricing Inputs'!$P$32,IF(AND('3. GRI Pricing'!$F29&gt;='2. GRI Pricing Inputs'!$R$33,'3. GRI Pricing'!$F29&lt;='2. GRI Pricing Inputs'!$S$33),'2. GRI Pricing Inputs'!$R$32,IF(AND('3. GRI Pricing'!$F29&gt;='2. GRI Pricing Inputs'!$T$33,'3. GRI Pricing'!$F29&lt;='2. GRI Pricing Inputs'!$U$33),'2. GRI Pricing Inputs'!$T$32,IF(AND('3. GRI Pricing'!$F29&gt;='2. GRI Pricing Inputs'!$V$33,'3. GRI Pricing'!$F29&lt;='2. GRI Pricing Inputs'!$W$33),'2. GRI Pricing Inputs'!$V$32,IF(AND('3. GRI Pricing'!$F29&gt;='2. GRI Pricing Inputs'!$X$33,'3. GRI Pricing'!$F29&lt;='2. GRI Pricing Inputs'!$Y$33),'2. GRI Pricing Inputs'!$X$32,IF(AND('3. GRI Pricing'!$F29&gt;='2. GRI Pricing Inputs'!$Z$33,'3. GRI Pricing'!$F29&lt;='2. GRI Pricing Inputs'!$AA$33),'2. GRI Pricing Inputs'!$Z$32,IF(AND('3. GRI Pricing'!$F29&gt;='2. GRI Pricing Inputs'!$AB$33,'3. GRI Pricing'!$F29&lt;='2. GRI Pricing Inputs'!$AC$33),'2. GRI Pricing Inputs'!$AB$32,IF(AND('3. GRI Pricing'!$F29&gt;='2. GRI Pricing Inputs'!$AD$33,'3. GRI Pricing'!$F29&lt;='2. GRI Pricing Inputs'!$AE$33),'2. GRI Pricing Inputs'!$AD$32,IF(AND('3. GRI Pricing'!$F29&gt;='2. GRI Pricing Inputs'!$AF$33,'3. GRI Pricing'!$F29&lt;='2. GRI Pricing Inputs'!$AG$33),'2. GRI Pricing Inputs'!$AF$32,IF(AND('3. GRI Pricing'!$F29&gt;='2. GRI Pricing Inputs'!$AH$33,'3. GRI Pricing'!$F29&lt;='2. GRI Pricing Inputs'!$AI$33),'2. GRI Pricing Inputs'!$AH$32,0))))))))))))))))</f>
        <v>4</v>
      </c>
      <c r="N29" s="273" cm="1">
        <f t="array" ref="N29">IFERROR(INDEX('2. GRI Pricing Inputs'!$C$32:$AI$39,MATCH('3. GRI Pricing'!D29,'2. GRI Pricing Inputs'!$C$32:$C$39,0),(MATCH('3. GRI Pricing'!M29,'2. GRI Pricing Inputs'!$D$32:$AI$32,0)+1)),0)</f>
        <v>25</v>
      </c>
      <c r="O29" s="273">
        <f>IFERROR(INDEX('2. GRI Pricing Inputs'!$C$45:$AI$46,MATCH($O$16,'2. GRI Pricing Inputs'!$C$45:$C$46,0),MATCH(G29,'2. GRI Pricing Inputs'!$C$45:$AI$45,0)),0)</f>
        <v>0</v>
      </c>
      <c r="P29" s="273">
        <f>IFERROR(INDEX('2. GRI Pricing Inputs'!$C$53:$AI$54,MATCH('3. GRI Pricing'!$P$16,'2. GRI Pricing Inputs'!$C$53:$C$54,0),MATCH('3. GRI Pricing'!H29,'2. GRI Pricing Inputs'!$C$53:$AI$53,0)),0)</f>
        <v>25</v>
      </c>
      <c r="Q29" s="273">
        <f>IFERROR(INDEX('2. GRI Pricing Inputs'!$C$60:$AI$61,MATCH('3. GRI Pricing'!$Q$16,'2. GRI Pricing Inputs'!$C$60:$C$61,0),MATCH('1. Accomodation'!T33,'2. GRI Pricing Inputs'!$C$60:$AI$60,0)),0)</f>
        <v>0</v>
      </c>
      <c r="R29" s="273">
        <f>IFERROR(INDEX('2. GRI Pricing Inputs'!$C$67:$AI$68,MATCH('3. GRI Pricing'!$R$16,'2. GRI Pricing Inputs'!$C$67:$C$68,0),MATCH('1. Accomodation'!U33,'2. GRI Pricing Inputs'!$C$67:$AI$67,0)),0)</f>
        <v>0</v>
      </c>
      <c r="S29" s="273">
        <f>IF(D29=0,0,'2. GRI Pricing Inputs'!$AI$75)</f>
        <v>70</v>
      </c>
      <c r="T29" s="273">
        <f>IFERROR(INDEX('2. GRI Pricing Inputs'!$C$82:$AI$83,MATCH('3. GRI Pricing'!$T$16,'2. GRI Pricing Inputs'!$C$82:$C$83,0),MATCH('1. Accomodation'!V33,'2. GRI Pricing Inputs'!$C$82:$AI$82,0)),0)</f>
        <v>20</v>
      </c>
      <c r="U29" s="273">
        <f>IFERROR(INDEX('2. GRI Pricing Inputs'!$C$89:$AI$90,MATCH('3. GRI Pricing'!$U$16,'2. GRI Pricing Inputs'!$C$89:$C$90,0),MATCH('1. Accomodation'!W33,'2. GRI Pricing Inputs'!$C$89:$AI$89,0)),0)</f>
        <v>0</v>
      </c>
      <c r="V29" s="273">
        <f>IFERROR(INDEX('2. GRI Pricing Inputs'!$C$97:$AI$98,MATCH('3. GRI Pricing'!$V$16,'2. GRI Pricing Inputs'!$C$97:$C$98,0),MATCH('1. Accomodation'!X33,'2. GRI Pricing Inputs'!$C$97:$AI$97,0)),0)</f>
        <v>0</v>
      </c>
      <c r="W29" s="273">
        <f>IFERROR(INDEX('2. GRI Pricing Inputs'!$C$104:$AI$105,MATCH('3. GRI Pricing'!$W$16,'2. GRI Pricing Inputs'!$C$104:$C$105,0),MATCH('1. Accomodation'!Y33,'2. GRI Pricing Inputs'!$C$104:$AI$104,0)),0)</f>
        <v>0</v>
      </c>
      <c r="X29" s="274">
        <v>0</v>
      </c>
      <c r="Y29" s="275">
        <f t="shared" si="7"/>
        <v>985</v>
      </c>
      <c r="Z29" s="276"/>
      <c r="AA29" s="276"/>
      <c r="AB29" s="276"/>
      <c r="AC29" s="272">
        <f>Y29*(1+'2. GRI Pricing Inputs'!$D$114)^(($AC$16-$AB$15)/365)</f>
        <v>988.28657903421595</v>
      </c>
      <c r="AD29" s="273">
        <f>AC29*(1+'2. GRI Pricing Inputs'!$D$114)^((AD$16-AC$16)/365)</f>
        <v>991.47758019692367</v>
      </c>
      <c r="AE29" s="273">
        <f>AD29*(1+'2. GRI Pricing Inputs'!$D$114)^((AE$16-AD$16)/365)</f>
        <v>994.78577250958392</v>
      </c>
      <c r="AF29" s="273">
        <f>AE29*(1+'2. GRI Pricing Inputs'!$D$114)^((AF$16-AE$16)/365)</f>
        <v>998.10500303086951</v>
      </c>
      <c r="AG29" s="273">
        <f>AF29*(1+'2. GRI Pricing Inputs'!$D$114)^((AG$16-AF$16)/365)</f>
        <v>1001.2201152387963</v>
      </c>
      <c r="AH29" s="273">
        <f>AG29*(1+'2. GRI Pricing Inputs'!$D$114)^((AH$16-AG$16)/365)</f>
        <v>1004.5608147711608</v>
      </c>
      <c r="AI29" s="273">
        <f>AH29*(1+'2. GRI Pricing Inputs'!$D$114)^((AI$16-AH$16)/365)</f>
        <v>1007.8043625395399</v>
      </c>
      <c r="AJ29" s="273">
        <f>AI29*(1+'2. GRI Pricing Inputs'!$D$114)^((AJ$16-AI$16)/365)</f>
        <v>1011.1670312588432</v>
      </c>
      <c r="AK29" s="273">
        <f>AJ29*(1+'2. GRI Pricing Inputs'!$D$114)^((AK$16-AJ$16)/365)</f>
        <v>1014.4319093224427</v>
      </c>
      <c r="AL29" s="273">
        <f>AK29*(1+'2. GRI Pricing Inputs'!$D$114)^((AL$16-AK$16)/365)</f>
        <v>1017.8166917029694</v>
      </c>
      <c r="AM29" s="273">
        <f>AL29*(1+'2. GRI Pricing Inputs'!$D$114)^((AM$16-AL$16)/365)</f>
        <v>1021.2127678447216</v>
      </c>
      <c r="AN29" s="273">
        <f>AM29*(1+'2. GRI Pricing Inputs'!$D$114)^((AN$16-AM$16)/365)</f>
        <v>1024.510081800709</v>
      </c>
      <c r="AO29" s="273">
        <f>AN29*(1+'2. GRI Pricing Inputs'!$D$114)^((AO$16-AN$16)/365)</f>
        <v>1027.9284912983628</v>
      </c>
    </row>
    <row r="30" spans="3:41" ht="12" x14ac:dyDescent="0.2">
      <c r="C30" s="76" t="str">
        <f>'1. Accomodation'!N34</f>
        <v>114N</v>
      </c>
      <c r="D30" s="69" t="str">
        <f>'1. Accomodation'!P34</f>
        <v>1 Bed</v>
      </c>
      <c r="E30" s="69">
        <f>'1. Accomodation'!Q34</f>
        <v>1</v>
      </c>
      <c r="F30" s="77">
        <f>'1. Accomodation'!O34</f>
        <v>560</v>
      </c>
      <c r="G30" s="69" t="str">
        <f>'1. Accomodation'!R34</f>
        <v>Ground</v>
      </c>
      <c r="H30" s="69" t="str">
        <f>'1. Accomodation'!S34</f>
        <v>Courtyard</v>
      </c>
      <c r="I30" s="62"/>
      <c r="K30" s="272">
        <f>IFERROR(INDEX('2. GRI Pricing Inputs'!$C$15:$AI$16,MATCH($K$16,'2. GRI Pricing Inputs'!$C$15:$C$16,0),MATCH(D30,'2. GRI Pricing Inputs'!$C$15:$AI$15,0)),0)</f>
        <v>845</v>
      </c>
      <c r="L30" s="273">
        <f>IFERROR(INDEX('2. GRI Pricing Inputs'!$C$22:$AI$23,MATCH($L$16,'2. GRI Pricing Inputs'!$C$22:$C$23,0),MATCH(E30,'2. GRI Pricing Inputs'!$C$22:$AI$22,0)),0)</f>
        <v>0</v>
      </c>
      <c r="M30" s="328">
        <f>IF(AND('3. GRI Pricing'!$F30&gt;='2. GRI Pricing Inputs'!$D$33,'3. GRI Pricing'!$F30&lt;='2. GRI Pricing Inputs'!$E$33),'2. GRI Pricing Inputs'!$D$32,IF(AND('3. GRI Pricing'!$F30&gt;='2. GRI Pricing Inputs'!$F$33,'3. GRI Pricing'!$F30&lt;='2. GRI Pricing Inputs'!$G$33),'2. GRI Pricing Inputs'!$F$32,IF(AND('3. GRI Pricing'!$F30&gt;='2. GRI Pricing Inputs'!$H$33,'3. GRI Pricing'!$F30&lt;='2. GRI Pricing Inputs'!$I$33),'2. GRI Pricing Inputs'!$H$32,IF(AND('3. GRI Pricing'!$F30&gt;='2. GRI Pricing Inputs'!$J$33,'3. GRI Pricing'!$F30&lt;='2. GRI Pricing Inputs'!$K$33),'2. GRI Pricing Inputs'!$J$32,IF(AND('3. GRI Pricing'!$F30&gt;='2. GRI Pricing Inputs'!$L$33,'3. GRI Pricing'!$F30&lt;='2. GRI Pricing Inputs'!$M$33),'2. GRI Pricing Inputs'!$L$32,IF(AND('3. GRI Pricing'!$F30&gt;='2. GRI Pricing Inputs'!$N$33,'3. GRI Pricing'!$F30&lt;='2. GRI Pricing Inputs'!$O$33),'2. GRI Pricing Inputs'!$N$32,IF(AND('3. GRI Pricing'!$F30&gt;='2. GRI Pricing Inputs'!$P$33,'3. GRI Pricing'!$F30&lt;='2. GRI Pricing Inputs'!$Q$33),'2. GRI Pricing Inputs'!$P$32,IF(AND('3. GRI Pricing'!$F30&gt;='2. GRI Pricing Inputs'!$R$33,'3. GRI Pricing'!$F30&lt;='2. GRI Pricing Inputs'!$S$33),'2. GRI Pricing Inputs'!$R$32,IF(AND('3. GRI Pricing'!$F30&gt;='2. GRI Pricing Inputs'!$T$33,'3. GRI Pricing'!$F30&lt;='2. GRI Pricing Inputs'!$U$33),'2. GRI Pricing Inputs'!$T$32,IF(AND('3. GRI Pricing'!$F30&gt;='2. GRI Pricing Inputs'!$V$33,'3. GRI Pricing'!$F30&lt;='2. GRI Pricing Inputs'!$W$33),'2. GRI Pricing Inputs'!$V$32,IF(AND('3. GRI Pricing'!$F30&gt;='2. GRI Pricing Inputs'!$X$33,'3. GRI Pricing'!$F30&lt;='2. GRI Pricing Inputs'!$Y$33),'2. GRI Pricing Inputs'!$X$32,IF(AND('3. GRI Pricing'!$F30&gt;='2. GRI Pricing Inputs'!$Z$33,'3. GRI Pricing'!$F30&lt;='2. GRI Pricing Inputs'!$AA$33),'2. GRI Pricing Inputs'!$Z$32,IF(AND('3. GRI Pricing'!$F30&gt;='2. GRI Pricing Inputs'!$AB$33,'3. GRI Pricing'!$F30&lt;='2. GRI Pricing Inputs'!$AC$33),'2. GRI Pricing Inputs'!$AB$32,IF(AND('3. GRI Pricing'!$F30&gt;='2. GRI Pricing Inputs'!$AD$33,'3. GRI Pricing'!$F30&lt;='2. GRI Pricing Inputs'!$AE$33),'2. GRI Pricing Inputs'!$AD$32,IF(AND('3. GRI Pricing'!$F30&gt;='2. GRI Pricing Inputs'!$AF$33,'3. GRI Pricing'!$F30&lt;='2. GRI Pricing Inputs'!$AG$33),'2. GRI Pricing Inputs'!$AF$32,IF(AND('3. GRI Pricing'!$F30&gt;='2. GRI Pricing Inputs'!$AH$33,'3. GRI Pricing'!$F30&lt;='2. GRI Pricing Inputs'!$AI$33),'2. GRI Pricing Inputs'!$AH$32,0))))))))))))))))</f>
        <v>5</v>
      </c>
      <c r="N30" s="273" cm="1">
        <f t="array" ref="N30">IFERROR(INDEX('2. GRI Pricing Inputs'!$C$32:$AI$39,MATCH('3. GRI Pricing'!D30,'2. GRI Pricing Inputs'!$C$32:$C$39,0),(MATCH('3. GRI Pricing'!M30,'2. GRI Pricing Inputs'!$D$32:$AI$32,0)+1)),0)</f>
        <v>35</v>
      </c>
      <c r="O30" s="273">
        <f>IFERROR(INDEX('2. GRI Pricing Inputs'!$C$45:$AI$46,MATCH($O$16,'2. GRI Pricing Inputs'!$C$45:$C$46,0),MATCH(G30,'2. GRI Pricing Inputs'!$C$45:$AI$45,0)),0)</f>
        <v>0</v>
      </c>
      <c r="P30" s="273">
        <f>IFERROR(INDEX('2. GRI Pricing Inputs'!$C$53:$AI$54,MATCH('3. GRI Pricing'!$P$16,'2. GRI Pricing Inputs'!$C$53:$C$54,0),MATCH('3. GRI Pricing'!H30,'2. GRI Pricing Inputs'!$C$53:$AI$53,0)),0)</f>
        <v>25</v>
      </c>
      <c r="Q30" s="273">
        <f>IFERROR(INDEX('2. GRI Pricing Inputs'!$C$60:$AI$61,MATCH('3. GRI Pricing'!$Q$16,'2. GRI Pricing Inputs'!$C$60:$C$61,0),MATCH('1. Accomodation'!T34,'2. GRI Pricing Inputs'!$C$60:$AI$60,0)),0)</f>
        <v>0</v>
      </c>
      <c r="R30" s="273">
        <f>IFERROR(INDEX('2. GRI Pricing Inputs'!$C$67:$AI$68,MATCH('3. GRI Pricing'!$R$16,'2. GRI Pricing Inputs'!$C$67:$C$68,0),MATCH('1. Accomodation'!U34,'2. GRI Pricing Inputs'!$C$67:$AI$67,0)),0)</f>
        <v>0</v>
      </c>
      <c r="S30" s="273">
        <f>IF(D30=0,0,'2. GRI Pricing Inputs'!$AI$75)</f>
        <v>70</v>
      </c>
      <c r="T30" s="273">
        <f>IFERROR(INDEX('2. GRI Pricing Inputs'!$C$82:$AI$83,MATCH('3. GRI Pricing'!$T$16,'2. GRI Pricing Inputs'!$C$82:$C$83,0),MATCH('1. Accomodation'!V34,'2. GRI Pricing Inputs'!$C$82:$AI$82,0)),0)</f>
        <v>20</v>
      </c>
      <c r="U30" s="273">
        <f>IFERROR(INDEX('2. GRI Pricing Inputs'!$C$89:$AI$90,MATCH('3. GRI Pricing'!$U$16,'2. GRI Pricing Inputs'!$C$89:$C$90,0),MATCH('1. Accomodation'!W34,'2. GRI Pricing Inputs'!$C$89:$AI$89,0)),0)</f>
        <v>-25</v>
      </c>
      <c r="V30" s="273">
        <f>IFERROR(INDEX('2. GRI Pricing Inputs'!$C$97:$AI$98,MATCH('3. GRI Pricing'!$V$16,'2. GRI Pricing Inputs'!$C$97:$C$98,0),MATCH('1. Accomodation'!X34,'2. GRI Pricing Inputs'!$C$97:$AI$97,0)),0)</f>
        <v>0</v>
      </c>
      <c r="W30" s="273">
        <f>IFERROR(INDEX('2. GRI Pricing Inputs'!$C$104:$AI$105,MATCH('3. GRI Pricing'!$W$16,'2. GRI Pricing Inputs'!$C$104:$C$105,0),MATCH('1. Accomodation'!Y34,'2. GRI Pricing Inputs'!$C$104:$AI$104,0)),0)</f>
        <v>0</v>
      </c>
      <c r="X30" s="274">
        <v>0</v>
      </c>
      <c r="Y30" s="275">
        <f t="shared" si="7"/>
        <v>970</v>
      </c>
      <c r="Z30" s="276"/>
      <c r="AA30" s="276"/>
      <c r="AB30" s="276"/>
      <c r="AC30" s="272">
        <f>Y30*(1+'2. GRI Pricing Inputs'!$D$114)^(($AC$16-$AB$15)/365)</f>
        <v>973.23652960729896</v>
      </c>
      <c r="AD30" s="273">
        <f>AC30*(1+'2. GRI Pricing Inputs'!$D$114)^((AD$16-AC$16)/365)</f>
        <v>976.378936843671</v>
      </c>
      <c r="AE30" s="273">
        <f>AD30*(1+'2. GRI Pricing Inputs'!$D$114)^((AE$16-AD$16)/365)</f>
        <v>979.63675059319428</v>
      </c>
      <c r="AF30" s="273">
        <f>AE30*(1+'2. GRI Pricing Inputs'!$D$114)^((AF$16-AE$16)/365)</f>
        <v>982.90543445679532</v>
      </c>
      <c r="AG30" s="273">
        <f>AF30*(1+'2. GRI Pricing Inputs'!$D$114)^((AG$16-AF$16)/365)</f>
        <v>985.97310840774855</v>
      </c>
      <c r="AH30" s="273">
        <f>AG30*(1+'2. GRI Pricing Inputs'!$D$114)^((AH$16-AG$16)/365)</f>
        <v>989.26293434317358</v>
      </c>
      <c r="AI30" s="273">
        <f>AH30*(1+'2. GRI Pricing Inputs'!$D$114)^((AI$16-AH$16)/365)</f>
        <v>992.45708798310011</v>
      </c>
      <c r="AJ30" s="273">
        <f>AI30*(1+'2. GRI Pricing Inputs'!$D$114)^((AJ$16-AI$16)/365)</f>
        <v>995.76854854931764</v>
      </c>
      <c r="AK30" s="273">
        <f>AJ30*(1+'2. GRI Pricing Inputs'!$D$114)^((AK$16-AJ$16)/365)</f>
        <v>998.983707657634</v>
      </c>
      <c r="AL30" s="273">
        <f>AK30*(1+'2. GRI Pricing Inputs'!$D$114)^((AL$16-AK$16)/365)</f>
        <v>1002.3169451288126</v>
      </c>
      <c r="AM30" s="273">
        <f>AL30*(1+'2. GRI Pricing Inputs'!$D$114)^((AM$16-AL$16)/365)</f>
        <v>1005.6613043750052</v>
      </c>
      <c r="AN30" s="273">
        <f>AM30*(1+'2. GRI Pricing Inputs'!$D$114)^((AN$16-AM$16)/365)</f>
        <v>1008.9084054281095</v>
      </c>
      <c r="AO30" s="273">
        <f>AN30*(1+'2. GRI Pricing Inputs'!$D$114)^((AO$16-AN$16)/365)</f>
        <v>1012.2747579283372</v>
      </c>
    </row>
    <row r="31" spans="3:41" ht="12" x14ac:dyDescent="0.2">
      <c r="C31" s="76" t="str">
        <f>'1. Accomodation'!N35</f>
        <v>115N</v>
      </c>
      <c r="D31" s="69" t="str">
        <f>'1. Accomodation'!P35</f>
        <v>2 Bed</v>
      </c>
      <c r="E31" s="69">
        <f>'1. Accomodation'!Q35</f>
        <v>2</v>
      </c>
      <c r="F31" s="77">
        <f>'1. Accomodation'!O35</f>
        <v>624</v>
      </c>
      <c r="G31" s="69" t="str">
        <f>'1. Accomodation'!R35</f>
        <v>Ground</v>
      </c>
      <c r="H31" s="69" t="str">
        <f>'1. Accomodation'!S35</f>
        <v>Courtyard</v>
      </c>
      <c r="I31" s="62"/>
      <c r="K31" s="272">
        <f>IFERROR(INDEX('2. GRI Pricing Inputs'!$C$15:$AI$16,MATCH($K$16,'2. GRI Pricing Inputs'!$C$15:$C$16,0),MATCH(D31,'2. GRI Pricing Inputs'!$C$15:$AI$15,0)),0)</f>
        <v>1110</v>
      </c>
      <c r="L31" s="273">
        <f>IFERROR(INDEX('2. GRI Pricing Inputs'!$C$22:$AI$23,MATCH($L$16,'2. GRI Pricing Inputs'!$C$22:$C$23,0),MATCH(E31,'2. GRI Pricing Inputs'!$C$22:$AI$22,0)),0)</f>
        <v>0</v>
      </c>
      <c r="M31" s="328">
        <f>IF(AND('3. GRI Pricing'!$F31&gt;='2. GRI Pricing Inputs'!$D$33,'3. GRI Pricing'!$F31&lt;='2. GRI Pricing Inputs'!$E$33),'2. GRI Pricing Inputs'!$D$32,IF(AND('3. GRI Pricing'!$F31&gt;='2. GRI Pricing Inputs'!$F$33,'3. GRI Pricing'!$F31&lt;='2. GRI Pricing Inputs'!$G$33),'2. GRI Pricing Inputs'!$F$32,IF(AND('3. GRI Pricing'!$F31&gt;='2. GRI Pricing Inputs'!$H$33,'3. GRI Pricing'!$F31&lt;='2. GRI Pricing Inputs'!$I$33),'2. GRI Pricing Inputs'!$H$32,IF(AND('3. GRI Pricing'!$F31&gt;='2. GRI Pricing Inputs'!$J$33,'3. GRI Pricing'!$F31&lt;='2. GRI Pricing Inputs'!$K$33),'2. GRI Pricing Inputs'!$J$32,IF(AND('3. GRI Pricing'!$F31&gt;='2. GRI Pricing Inputs'!$L$33,'3. GRI Pricing'!$F31&lt;='2. GRI Pricing Inputs'!$M$33),'2. GRI Pricing Inputs'!$L$32,IF(AND('3. GRI Pricing'!$F31&gt;='2. GRI Pricing Inputs'!$N$33,'3. GRI Pricing'!$F31&lt;='2. GRI Pricing Inputs'!$O$33),'2. GRI Pricing Inputs'!$N$32,IF(AND('3. GRI Pricing'!$F31&gt;='2. GRI Pricing Inputs'!$P$33,'3. GRI Pricing'!$F31&lt;='2. GRI Pricing Inputs'!$Q$33),'2. GRI Pricing Inputs'!$P$32,IF(AND('3. GRI Pricing'!$F31&gt;='2. GRI Pricing Inputs'!$R$33,'3. GRI Pricing'!$F31&lt;='2. GRI Pricing Inputs'!$S$33),'2. GRI Pricing Inputs'!$R$32,IF(AND('3. GRI Pricing'!$F31&gt;='2. GRI Pricing Inputs'!$T$33,'3. GRI Pricing'!$F31&lt;='2. GRI Pricing Inputs'!$U$33),'2. GRI Pricing Inputs'!$T$32,IF(AND('3. GRI Pricing'!$F31&gt;='2. GRI Pricing Inputs'!$V$33,'3. GRI Pricing'!$F31&lt;='2. GRI Pricing Inputs'!$W$33),'2. GRI Pricing Inputs'!$V$32,IF(AND('3. GRI Pricing'!$F31&gt;='2. GRI Pricing Inputs'!$X$33,'3. GRI Pricing'!$F31&lt;='2. GRI Pricing Inputs'!$Y$33),'2. GRI Pricing Inputs'!$X$32,IF(AND('3. GRI Pricing'!$F31&gt;='2. GRI Pricing Inputs'!$Z$33,'3. GRI Pricing'!$F31&lt;='2. GRI Pricing Inputs'!$AA$33),'2. GRI Pricing Inputs'!$Z$32,IF(AND('3. GRI Pricing'!$F31&gt;='2. GRI Pricing Inputs'!$AB$33,'3. GRI Pricing'!$F31&lt;='2. GRI Pricing Inputs'!$AC$33),'2. GRI Pricing Inputs'!$AB$32,IF(AND('3. GRI Pricing'!$F31&gt;='2. GRI Pricing Inputs'!$AD$33,'3. GRI Pricing'!$F31&lt;='2. GRI Pricing Inputs'!$AE$33),'2. GRI Pricing Inputs'!$AD$32,IF(AND('3. GRI Pricing'!$F31&gt;='2. GRI Pricing Inputs'!$AF$33,'3. GRI Pricing'!$F31&lt;='2. GRI Pricing Inputs'!$AG$33),'2. GRI Pricing Inputs'!$AF$32,IF(AND('3. GRI Pricing'!$F31&gt;='2. GRI Pricing Inputs'!$AH$33,'3. GRI Pricing'!$F31&lt;='2. GRI Pricing Inputs'!$AI$33),'2. GRI Pricing Inputs'!$AH$32,0))))))))))))))))</f>
        <v>7</v>
      </c>
      <c r="N31" s="273" cm="1">
        <f t="array" ref="N31">IFERROR(INDEX('2. GRI Pricing Inputs'!$C$32:$AI$39,MATCH('3. GRI Pricing'!D31,'2. GRI Pricing Inputs'!$C$32:$C$39,0),(MATCH('3. GRI Pricing'!M31,'2. GRI Pricing Inputs'!$D$32:$AI$32,0)+1)),0)</f>
        <v>10</v>
      </c>
      <c r="O31" s="273">
        <f>IFERROR(INDEX('2. GRI Pricing Inputs'!$C$45:$AI$46,MATCH($O$16,'2. GRI Pricing Inputs'!$C$45:$C$46,0),MATCH(G31,'2. GRI Pricing Inputs'!$C$45:$AI$45,0)),0)</f>
        <v>0</v>
      </c>
      <c r="P31" s="273">
        <f>IFERROR(INDEX('2. GRI Pricing Inputs'!$C$53:$AI$54,MATCH('3. GRI Pricing'!$P$16,'2. GRI Pricing Inputs'!$C$53:$C$54,0),MATCH('3. GRI Pricing'!H31,'2. GRI Pricing Inputs'!$C$53:$AI$53,0)),0)</f>
        <v>25</v>
      </c>
      <c r="Q31" s="273">
        <f>IFERROR(INDEX('2. GRI Pricing Inputs'!$C$60:$AI$61,MATCH('3. GRI Pricing'!$Q$16,'2. GRI Pricing Inputs'!$C$60:$C$61,0),MATCH('1. Accomodation'!T35,'2. GRI Pricing Inputs'!$C$60:$AI$60,0)),0)</f>
        <v>0</v>
      </c>
      <c r="R31" s="273">
        <f>IFERROR(INDEX('2. GRI Pricing Inputs'!$C$67:$AI$68,MATCH('3. GRI Pricing'!$R$16,'2. GRI Pricing Inputs'!$C$67:$C$68,0),MATCH('1. Accomodation'!U35,'2. GRI Pricing Inputs'!$C$67:$AI$67,0)),0)</f>
        <v>0</v>
      </c>
      <c r="S31" s="273">
        <f>IF(D31=0,0,'2. GRI Pricing Inputs'!$AI$75)</f>
        <v>70</v>
      </c>
      <c r="T31" s="273">
        <f>IFERROR(INDEX('2. GRI Pricing Inputs'!$C$82:$AI$83,MATCH('3. GRI Pricing'!$T$16,'2. GRI Pricing Inputs'!$C$82:$C$83,0),MATCH('1. Accomodation'!V35,'2. GRI Pricing Inputs'!$C$82:$AI$82,0)),0)</f>
        <v>20</v>
      </c>
      <c r="U31" s="273">
        <f>IFERROR(INDEX('2. GRI Pricing Inputs'!$C$89:$AI$90,MATCH('3. GRI Pricing'!$U$16,'2. GRI Pricing Inputs'!$C$89:$C$90,0),MATCH('1. Accomodation'!W35,'2. GRI Pricing Inputs'!$C$89:$AI$89,0)),0)</f>
        <v>0</v>
      </c>
      <c r="V31" s="273">
        <f>IFERROR(INDEX('2. GRI Pricing Inputs'!$C$97:$AI$98,MATCH('3. GRI Pricing'!$V$16,'2. GRI Pricing Inputs'!$C$97:$C$98,0),MATCH('1. Accomodation'!X35,'2. GRI Pricing Inputs'!$C$97:$AI$97,0)),0)</f>
        <v>0</v>
      </c>
      <c r="W31" s="273">
        <f>IFERROR(INDEX('2. GRI Pricing Inputs'!$C$104:$AI$105,MATCH('3. GRI Pricing'!$W$16,'2. GRI Pricing Inputs'!$C$104:$C$105,0),MATCH('1. Accomodation'!Y35,'2. GRI Pricing Inputs'!$C$104:$AI$104,0)),0)</f>
        <v>0</v>
      </c>
      <c r="X31" s="274">
        <v>0</v>
      </c>
      <c r="Y31" s="275">
        <f t="shared" si="7"/>
        <v>1235</v>
      </c>
      <c r="Z31" s="276"/>
      <c r="AA31" s="276"/>
      <c r="AB31" s="276"/>
      <c r="AC31" s="272">
        <f>Y31*(1+'2. GRI Pricing Inputs'!$D$114)^(($AC$16-$AB$15)/365)</f>
        <v>1239.1207361494992</v>
      </c>
      <c r="AD31" s="273">
        <f>AC31*(1+'2. GRI Pricing Inputs'!$D$114)^((AD$16-AC$16)/365)</f>
        <v>1243.1216360844678</v>
      </c>
      <c r="AE31" s="273">
        <f>AD31*(1+'2. GRI Pricing Inputs'!$D$114)^((AE$16-AD$16)/365)</f>
        <v>1247.2694711160773</v>
      </c>
      <c r="AF31" s="273">
        <f>AE31*(1+'2. GRI Pricing Inputs'!$D$114)^((AF$16-AE$16)/365)</f>
        <v>1251.4311459321054</v>
      </c>
      <c r="AG31" s="273">
        <f>AF31*(1+'2. GRI Pricing Inputs'!$D$114)^((AG$16-AF$16)/365)</f>
        <v>1255.3368957562573</v>
      </c>
      <c r="AH31" s="273">
        <f>AG31*(1+'2. GRI Pricing Inputs'!$D$114)^((AH$16-AG$16)/365)</f>
        <v>1259.5254885709478</v>
      </c>
      <c r="AI31" s="273">
        <f>AH31*(1+'2. GRI Pricing Inputs'!$D$114)^((AI$16-AH$16)/365)</f>
        <v>1263.5922718135348</v>
      </c>
      <c r="AJ31" s="273">
        <f>AI31*(1+'2. GRI Pricing Inputs'!$D$114)^((AJ$16-AI$16)/365)</f>
        <v>1267.8084097509354</v>
      </c>
      <c r="AK31" s="273">
        <f>AJ31*(1+'2. GRI Pricing Inputs'!$D$114)^((AK$16-AJ$16)/365)</f>
        <v>1271.9019370692556</v>
      </c>
      <c r="AL31" s="273">
        <f>AK31*(1+'2. GRI Pricing Inputs'!$D$114)^((AL$16-AK$16)/365)</f>
        <v>1276.145801272251</v>
      </c>
      <c r="AM31" s="273">
        <f>AL31*(1+'2. GRI Pricing Inputs'!$D$114)^((AM$16-AL$16)/365)</f>
        <v>1280.4038256733313</v>
      </c>
      <c r="AN31" s="273">
        <f>AM31*(1+'2. GRI Pricing Inputs'!$D$114)^((AN$16-AM$16)/365)</f>
        <v>1284.5380213440362</v>
      </c>
      <c r="AO31" s="273">
        <f>AN31*(1+'2. GRI Pricing Inputs'!$D$114)^((AO$16-AN$16)/365)</f>
        <v>1288.8240474654601</v>
      </c>
    </row>
    <row r="32" spans="3:41" ht="12" x14ac:dyDescent="0.2">
      <c r="C32" s="76" t="str">
        <f>'1. Accomodation'!N36</f>
        <v>116N</v>
      </c>
      <c r="D32" s="69" t="str">
        <f>'1. Accomodation'!P36</f>
        <v>2 Bed</v>
      </c>
      <c r="E32" s="69">
        <f>'1. Accomodation'!Q36</f>
        <v>2</v>
      </c>
      <c r="F32" s="77">
        <f>'1. Accomodation'!O36</f>
        <v>624</v>
      </c>
      <c r="G32" s="69" t="str">
        <f>'1. Accomodation'!R36</f>
        <v>Ground</v>
      </c>
      <c r="H32" s="69" t="str">
        <f>'1. Accomodation'!S36</f>
        <v>Courtyard</v>
      </c>
      <c r="I32" s="62"/>
      <c r="K32" s="272">
        <f>IFERROR(INDEX('2. GRI Pricing Inputs'!$C$15:$AI$16,MATCH($K$16,'2. GRI Pricing Inputs'!$C$15:$C$16,0),MATCH(D32,'2. GRI Pricing Inputs'!$C$15:$AI$15,0)),0)</f>
        <v>1110</v>
      </c>
      <c r="L32" s="273">
        <f>IFERROR(INDEX('2. GRI Pricing Inputs'!$C$22:$AI$23,MATCH($L$16,'2. GRI Pricing Inputs'!$C$22:$C$23,0),MATCH(E32,'2. GRI Pricing Inputs'!$C$22:$AI$22,0)),0)</f>
        <v>0</v>
      </c>
      <c r="M32" s="328">
        <f>IF(AND('3. GRI Pricing'!$F32&gt;='2. GRI Pricing Inputs'!$D$33,'3. GRI Pricing'!$F32&lt;='2. GRI Pricing Inputs'!$E$33),'2. GRI Pricing Inputs'!$D$32,IF(AND('3. GRI Pricing'!$F32&gt;='2. GRI Pricing Inputs'!$F$33,'3. GRI Pricing'!$F32&lt;='2. GRI Pricing Inputs'!$G$33),'2. GRI Pricing Inputs'!$F$32,IF(AND('3. GRI Pricing'!$F32&gt;='2. GRI Pricing Inputs'!$H$33,'3. GRI Pricing'!$F32&lt;='2. GRI Pricing Inputs'!$I$33),'2. GRI Pricing Inputs'!$H$32,IF(AND('3. GRI Pricing'!$F32&gt;='2. GRI Pricing Inputs'!$J$33,'3. GRI Pricing'!$F32&lt;='2. GRI Pricing Inputs'!$K$33),'2. GRI Pricing Inputs'!$J$32,IF(AND('3. GRI Pricing'!$F32&gt;='2. GRI Pricing Inputs'!$L$33,'3. GRI Pricing'!$F32&lt;='2. GRI Pricing Inputs'!$M$33),'2. GRI Pricing Inputs'!$L$32,IF(AND('3. GRI Pricing'!$F32&gt;='2. GRI Pricing Inputs'!$N$33,'3. GRI Pricing'!$F32&lt;='2. GRI Pricing Inputs'!$O$33),'2. GRI Pricing Inputs'!$N$32,IF(AND('3. GRI Pricing'!$F32&gt;='2. GRI Pricing Inputs'!$P$33,'3. GRI Pricing'!$F32&lt;='2. GRI Pricing Inputs'!$Q$33),'2. GRI Pricing Inputs'!$P$32,IF(AND('3. GRI Pricing'!$F32&gt;='2. GRI Pricing Inputs'!$R$33,'3. GRI Pricing'!$F32&lt;='2. GRI Pricing Inputs'!$S$33),'2. GRI Pricing Inputs'!$R$32,IF(AND('3. GRI Pricing'!$F32&gt;='2. GRI Pricing Inputs'!$T$33,'3. GRI Pricing'!$F32&lt;='2. GRI Pricing Inputs'!$U$33),'2. GRI Pricing Inputs'!$T$32,IF(AND('3. GRI Pricing'!$F32&gt;='2. GRI Pricing Inputs'!$V$33,'3. GRI Pricing'!$F32&lt;='2. GRI Pricing Inputs'!$W$33),'2. GRI Pricing Inputs'!$V$32,IF(AND('3. GRI Pricing'!$F32&gt;='2. GRI Pricing Inputs'!$X$33,'3. GRI Pricing'!$F32&lt;='2. GRI Pricing Inputs'!$Y$33),'2. GRI Pricing Inputs'!$X$32,IF(AND('3. GRI Pricing'!$F32&gt;='2. GRI Pricing Inputs'!$Z$33,'3. GRI Pricing'!$F32&lt;='2. GRI Pricing Inputs'!$AA$33),'2. GRI Pricing Inputs'!$Z$32,IF(AND('3. GRI Pricing'!$F32&gt;='2. GRI Pricing Inputs'!$AB$33,'3. GRI Pricing'!$F32&lt;='2. GRI Pricing Inputs'!$AC$33),'2. GRI Pricing Inputs'!$AB$32,IF(AND('3. GRI Pricing'!$F32&gt;='2. GRI Pricing Inputs'!$AD$33,'3. GRI Pricing'!$F32&lt;='2. GRI Pricing Inputs'!$AE$33),'2. GRI Pricing Inputs'!$AD$32,IF(AND('3. GRI Pricing'!$F32&gt;='2. GRI Pricing Inputs'!$AF$33,'3. GRI Pricing'!$F32&lt;='2. GRI Pricing Inputs'!$AG$33),'2. GRI Pricing Inputs'!$AF$32,IF(AND('3. GRI Pricing'!$F32&gt;='2. GRI Pricing Inputs'!$AH$33,'3. GRI Pricing'!$F32&lt;='2. GRI Pricing Inputs'!$AI$33),'2. GRI Pricing Inputs'!$AH$32,0))))))))))))))))</f>
        <v>7</v>
      </c>
      <c r="N32" s="273" cm="1">
        <f t="array" ref="N32">IFERROR(INDEX('2. GRI Pricing Inputs'!$C$32:$AI$39,MATCH('3. GRI Pricing'!D32,'2. GRI Pricing Inputs'!$C$32:$C$39,0),(MATCH('3. GRI Pricing'!M32,'2. GRI Pricing Inputs'!$D$32:$AI$32,0)+1)),0)</f>
        <v>10</v>
      </c>
      <c r="O32" s="273">
        <f>IFERROR(INDEX('2. GRI Pricing Inputs'!$C$45:$AI$46,MATCH($O$16,'2. GRI Pricing Inputs'!$C$45:$C$46,0),MATCH(G32,'2. GRI Pricing Inputs'!$C$45:$AI$45,0)),0)</f>
        <v>0</v>
      </c>
      <c r="P32" s="273">
        <f>IFERROR(INDEX('2. GRI Pricing Inputs'!$C$53:$AI$54,MATCH('3. GRI Pricing'!$P$16,'2. GRI Pricing Inputs'!$C$53:$C$54,0),MATCH('3. GRI Pricing'!H32,'2. GRI Pricing Inputs'!$C$53:$AI$53,0)),0)</f>
        <v>25</v>
      </c>
      <c r="Q32" s="273">
        <f>IFERROR(INDEX('2. GRI Pricing Inputs'!$C$60:$AI$61,MATCH('3. GRI Pricing'!$Q$16,'2. GRI Pricing Inputs'!$C$60:$C$61,0),MATCH('1. Accomodation'!T36,'2. GRI Pricing Inputs'!$C$60:$AI$60,0)),0)</f>
        <v>0</v>
      </c>
      <c r="R32" s="273">
        <f>IFERROR(INDEX('2. GRI Pricing Inputs'!$C$67:$AI$68,MATCH('3. GRI Pricing'!$R$16,'2. GRI Pricing Inputs'!$C$67:$C$68,0),MATCH('1. Accomodation'!U36,'2. GRI Pricing Inputs'!$C$67:$AI$67,0)),0)</f>
        <v>0</v>
      </c>
      <c r="S32" s="273">
        <f>IF(D32=0,0,'2. GRI Pricing Inputs'!$AI$75)</f>
        <v>70</v>
      </c>
      <c r="T32" s="273">
        <f>IFERROR(INDEX('2. GRI Pricing Inputs'!$C$82:$AI$83,MATCH('3. GRI Pricing'!$T$16,'2. GRI Pricing Inputs'!$C$82:$C$83,0),MATCH('1. Accomodation'!V36,'2. GRI Pricing Inputs'!$C$82:$AI$82,0)),0)</f>
        <v>20</v>
      </c>
      <c r="U32" s="273">
        <f>IFERROR(INDEX('2. GRI Pricing Inputs'!$C$89:$AI$90,MATCH('3. GRI Pricing'!$U$16,'2. GRI Pricing Inputs'!$C$89:$C$90,0),MATCH('1. Accomodation'!W36,'2. GRI Pricing Inputs'!$C$89:$AI$89,0)),0)</f>
        <v>0</v>
      </c>
      <c r="V32" s="273">
        <f>IFERROR(INDEX('2. GRI Pricing Inputs'!$C$97:$AI$98,MATCH('3. GRI Pricing'!$V$16,'2. GRI Pricing Inputs'!$C$97:$C$98,0),MATCH('1. Accomodation'!X36,'2. GRI Pricing Inputs'!$C$97:$AI$97,0)),0)</f>
        <v>0</v>
      </c>
      <c r="W32" s="273">
        <f>IFERROR(INDEX('2. GRI Pricing Inputs'!$C$104:$AI$105,MATCH('3. GRI Pricing'!$W$16,'2. GRI Pricing Inputs'!$C$104:$C$105,0),MATCH('1. Accomodation'!Y36,'2. GRI Pricing Inputs'!$C$104:$AI$104,0)),0)</f>
        <v>0</v>
      </c>
      <c r="X32" s="274">
        <v>0</v>
      </c>
      <c r="Y32" s="275">
        <f t="shared" si="7"/>
        <v>1235</v>
      </c>
      <c r="Z32" s="276"/>
      <c r="AA32" s="276"/>
      <c r="AB32" s="276"/>
      <c r="AC32" s="272">
        <f>Y32*(1+'2. GRI Pricing Inputs'!$D$114)^(($AC$16-$AB$15)/365)</f>
        <v>1239.1207361494992</v>
      </c>
      <c r="AD32" s="273">
        <f>AC32*(1+'2. GRI Pricing Inputs'!$D$114)^((AD$16-AC$16)/365)</f>
        <v>1243.1216360844678</v>
      </c>
      <c r="AE32" s="273">
        <f>AD32*(1+'2. GRI Pricing Inputs'!$D$114)^((AE$16-AD$16)/365)</f>
        <v>1247.2694711160773</v>
      </c>
      <c r="AF32" s="273">
        <f>AE32*(1+'2. GRI Pricing Inputs'!$D$114)^((AF$16-AE$16)/365)</f>
        <v>1251.4311459321054</v>
      </c>
      <c r="AG32" s="273">
        <f>AF32*(1+'2. GRI Pricing Inputs'!$D$114)^((AG$16-AF$16)/365)</f>
        <v>1255.3368957562573</v>
      </c>
      <c r="AH32" s="273">
        <f>AG32*(1+'2. GRI Pricing Inputs'!$D$114)^((AH$16-AG$16)/365)</f>
        <v>1259.5254885709478</v>
      </c>
      <c r="AI32" s="273">
        <f>AH32*(1+'2. GRI Pricing Inputs'!$D$114)^((AI$16-AH$16)/365)</f>
        <v>1263.5922718135348</v>
      </c>
      <c r="AJ32" s="273">
        <f>AI32*(1+'2. GRI Pricing Inputs'!$D$114)^((AJ$16-AI$16)/365)</f>
        <v>1267.8084097509354</v>
      </c>
      <c r="AK32" s="273">
        <f>AJ32*(1+'2. GRI Pricing Inputs'!$D$114)^((AK$16-AJ$16)/365)</f>
        <v>1271.9019370692556</v>
      </c>
      <c r="AL32" s="273">
        <f>AK32*(1+'2. GRI Pricing Inputs'!$D$114)^((AL$16-AK$16)/365)</f>
        <v>1276.145801272251</v>
      </c>
      <c r="AM32" s="273">
        <f>AL32*(1+'2. GRI Pricing Inputs'!$D$114)^((AM$16-AL$16)/365)</f>
        <v>1280.4038256733313</v>
      </c>
      <c r="AN32" s="273">
        <f>AM32*(1+'2. GRI Pricing Inputs'!$D$114)^((AN$16-AM$16)/365)</f>
        <v>1284.5380213440362</v>
      </c>
      <c r="AO32" s="273">
        <f>AN32*(1+'2. GRI Pricing Inputs'!$D$114)^((AO$16-AN$16)/365)</f>
        <v>1288.8240474654601</v>
      </c>
    </row>
    <row r="33" spans="3:41" ht="12" x14ac:dyDescent="0.2">
      <c r="C33" s="76" t="str">
        <f>'1. Accomodation'!N37</f>
        <v>201N</v>
      </c>
      <c r="D33" s="69" t="str">
        <f>'1. Accomodation'!P37</f>
        <v>1 Bed</v>
      </c>
      <c r="E33" s="69">
        <f>'1. Accomodation'!Q37</f>
        <v>1</v>
      </c>
      <c r="F33" s="77">
        <f>'1. Accomodation'!O37</f>
        <v>484</v>
      </c>
      <c r="G33" s="69">
        <f>'1. Accomodation'!R37</f>
        <v>2</v>
      </c>
      <c r="H33" s="69" t="str">
        <f>'1. Accomodation'!S37</f>
        <v>Courtyard</v>
      </c>
      <c r="I33" s="62"/>
      <c r="K33" s="272">
        <f>IFERROR(INDEX('2. GRI Pricing Inputs'!$C$15:$AI$16,MATCH($K$16,'2. GRI Pricing Inputs'!$C$15:$C$16,0),MATCH(D33,'2. GRI Pricing Inputs'!$C$15:$AI$15,0)),0)</f>
        <v>845</v>
      </c>
      <c r="L33" s="273">
        <f>IFERROR(INDEX('2. GRI Pricing Inputs'!$C$22:$AI$23,MATCH($L$16,'2. GRI Pricing Inputs'!$C$22:$C$23,0),MATCH(E33,'2. GRI Pricing Inputs'!$C$22:$AI$22,0)),0)</f>
        <v>0</v>
      </c>
      <c r="M33" s="328">
        <f>IF(AND('3. GRI Pricing'!$F33&gt;='2. GRI Pricing Inputs'!$D$33,'3. GRI Pricing'!$F33&lt;='2. GRI Pricing Inputs'!$E$33),'2. GRI Pricing Inputs'!$D$32,IF(AND('3. GRI Pricing'!$F33&gt;='2. GRI Pricing Inputs'!$F$33,'3. GRI Pricing'!$F33&lt;='2. GRI Pricing Inputs'!$G$33),'2. GRI Pricing Inputs'!$F$32,IF(AND('3. GRI Pricing'!$F33&gt;='2. GRI Pricing Inputs'!$H$33,'3. GRI Pricing'!$F33&lt;='2. GRI Pricing Inputs'!$I$33),'2. GRI Pricing Inputs'!$H$32,IF(AND('3. GRI Pricing'!$F33&gt;='2. GRI Pricing Inputs'!$J$33,'3. GRI Pricing'!$F33&lt;='2. GRI Pricing Inputs'!$K$33),'2. GRI Pricing Inputs'!$J$32,IF(AND('3. GRI Pricing'!$F33&gt;='2. GRI Pricing Inputs'!$L$33,'3. GRI Pricing'!$F33&lt;='2. GRI Pricing Inputs'!$M$33),'2. GRI Pricing Inputs'!$L$32,IF(AND('3. GRI Pricing'!$F33&gt;='2. GRI Pricing Inputs'!$N$33,'3. GRI Pricing'!$F33&lt;='2. GRI Pricing Inputs'!$O$33),'2. GRI Pricing Inputs'!$N$32,IF(AND('3. GRI Pricing'!$F33&gt;='2. GRI Pricing Inputs'!$P$33,'3. GRI Pricing'!$F33&lt;='2. GRI Pricing Inputs'!$Q$33),'2. GRI Pricing Inputs'!$P$32,IF(AND('3. GRI Pricing'!$F33&gt;='2. GRI Pricing Inputs'!$R$33,'3. GRI Pricing'!$F33&lt;='2. GRI Pricing Inputs'!$S$33),'2. GRI Pricing Inputs'!$R$32,IF(AND('3. GRI Pricing'!$F33&gt;='2. GRI Pricing Inputs'!$T$33,'3. GRI Pricing'!$F33&lt;='2. GRI Pricing Inputs'!$U$33),'2. GRI Pricing Inputs'!$T$32,IF(AND('3. GRI Pricing'!$F33&gt;='2. GRI Pricing Inputs'!$V$33,'3. GRI Pricing'!$F33&lt;='2. GRI Pricing Inputs'!$W$33),'2. GRI Pricing Inputs'!$V$32,IF(AND('3. GRI Pricing'!$F33&gt;='2. GRI Pricing Inputs'!$X$33,'3. GRI Pricing'!$F33&lt;='2. GRI Pricing Inputs'!$Y$33),'2. GRI Pricing Inputs'!$X$32,IF(AND('3. GRI Pricing'!$F33&gt;='2. GRI Pricing Inputs'!$Z$33,'3. GRI Pricing'!$F33&lt;='2. GRI Pricing Inputs'!$AA$33),'2. GRI Pricing Inputs'!$Z$32,IF(AND('3. GRI Pricing'!$F33&gt;='2. GRI Pricing Inputs'!$AB$33,'3. GRI Pricing'!$F33&lt;='2. GRI Pricing Inputs'!$AC$33),'2. GRI Pricing Inputs'!$AB$32,IF(AND('3. GRI Pricing'!$F33&gt;='2. GRI Pricing Inputs'!$AD$33,'3. GRI Pricing'!$F33&lt;='2. GRI Pricing Inputs'!$AE$33),'2. GRI Pricing Inputs'!$AD$32,IF(AND('3. GRI Pricing'!$F33&gt;='2. GRI Pricing Inputs'!$AF$33,'3. GRI Pricing'!$F33&lt;='2. GRI Pricing Inputs'!$AG$33),'2. GRI Pricing Inputs'!$AF$32,IF(AND('3. GRI Pricing'!$F33&gt;='2. GRI Pricing Inputs'!$AH$33,'3. GRI Pricing'!$F33&lt;='2. GRI Pricing Inputs'!$AI$33),'2. GRI Pricing Inputs'!$AH$32,0))))))))))))))))</f>
        <v>1</v>
      </c>
      <c r="N33" s="273" cm="1">
        <f t="array" ref="N33">IFERROR(INDEX('2. GRI Pricing Inputs'!$C$32:$AI$39,MATCH('3. GRI Pricing'!D33,'2. GRI Pricing Inputs'!$C$32:$C$39,0),(MATCH('3. GRI Pricing'!M33,'2. GRI Pricing Inputs'!$D$32:$AI$32,0)+1)),0)</f>
        <v>10</v>
      </c>
      <c r="O33" s="273">
        <f>IFERROR(INDEX('2. GRI Pricing Inputs'!$C$45:$AI$46,MATCH($O$16,'2. GRI Pricing Inputs'!$C$45:$C$46,0),MATCH(G33,'2. GRI Pricing Inputs'!$C$45:$AI$45,0)),0)</f>
        <v>40</v>
      </c>
      <c r="P33" s="273">
        <f>IFERROR(INDEX('2. GRI Pricing Inputs'!$C$53:$AI$54,MATCH('3. GRI Pricing'!$P$16,'2. GRI Pricing Inputs'!$C$53:$C$54,0),MATCH('3. GRI Pricing'!H33,'2. GRI Pricing Inputs'!$C$53:$AI$53,0)),0)</f>
        <v>25</v>
      </c>
      <c r="Q33" s="273">
        <f>IFERROR(INDEX('2. GRI Pricing Inputs'!$C$60:$AI$61,MATCH('3. GRI Pricing'!$Q$16,'2. GRI Pricing Inputs'!$C$60:$C$61,0),MATCH('1. Accomodation'!T37,'2. GRI Pricing Inputs'!$C$60:$AI$60,0)),0)</f>
        <v>0</v>
      </c>
      <c r="R33" s="273">
        <f>IFERROR(INDEX('2. GRI Pricing Inputs'!$C$67:$AI$68,MATCH('3. GRI Pricing'!$R$16,'2. GRI Pricing Inputs'!$C$67:$C$68,0),MATCH('1. Accomodation'!U37,'2. GRI Pricing Inputs'!$C$67:$AI$67,0)),0)</f>
        <v>0</v>
      </c>
      <c r="S33" s="273">
        <f>IF(D33=0,0,'2. GRI Pricing Inputs'!$AI$75)</f>
        <v>70</v>
      </c>
      <c r="T33" s="273">
        <f>IFERROR(INDEX('2. GRI Pricing Inputs'!$C$82:$AI$83,MATCH('3. GRI Pricing'!$T$16,'2. GRI Pricing Inputs'!$C$82:$C$83,0),MATCH('1. Accomodation'!V37,'2. GRI Pricing Inputs'!$C$82:$AI$82,0)),0)</f>
        <v>0</v>
      </c>
      <c r="U33" s="273">
        <f>IFERROR(INDEX('2. GRI Pricing Inputs'!$C$89:$AI$90,MATCH('3. GRI Pricing'!$U$16,'2. GRI Pricing Inputs'!$C$89:$C$90,0),MATCH('1. Accomodation'!W37,'2. GRI Pricing Inputs'!$C$89:$AI$89,0)),0)</f>
        <v>0</v>
      </c>
      <c r="V33" s="273">
        <f>IFERROR(INDEX('2. GRI Pricing Inputs'!$C$97:$AI$98,MATCH('3. GRI Pricing'!$V$16,'2. GRI Pricing Inputs'!$C$97:$C$98,0),MATCH('1. Accomodation'!X37,'2. GRI Pricing Inputs'!$C$97:$AI$97,0)),0)</f>
        <v>0</v>
      </c>
      <c r="W33" s="273">
        <f>IFERROR(INDEX('2. GRI Pricing Inputs'!$C$104:$AI$105,MATCH('3. GRI Pricing'!$W$16,'2. GRI Pricing Inputs'!$C$104:$C$105,0),MATCH('1. Accomodation'!Y37,'2. GRI Pricing Inputs'!$C$104:$AI$104,0)),0)</f>
        <v>0</v>
      </c>
      <c r="X33" s="274">
        <v>0</v>
      </c>
      <c r="Y33" s="275">
        <f t="shared" si="7"/>
        <v>990</v>
      </c>
      <c r="Z33" s="276"/>
      <c r="AA33" s="276"/>
      <c r="AB33" s="276"/>
      <c r="AC33" s="272">
        <f>Y33*(1+'2. GRI Pricing Inputs'!$D$114)^(($AC$16-$AB$15)/365)</f>
        <v>993.30326217652157</v>
      </c>
      <c r="AD33" s="273">
        <f>AC33*(1+'2. GRI Pricing Inputs'!$D$114)^((AD$16-AC$16)/365)</f>
        <v>996.51046131467456</v>
      </c>
      <c r="AE33" s="273">
        <f>AD33*(1+'2. GRI Pricing Inputs'!$D$114)^((AE$16-AD$16)/365)</f>
        <v>999.8354464817138</v>
      </c>
      <c r="AF33" s="273">
        <f>AE33*(1+'2. GRI Pricing Inputs'!$D$114)^((AF$16-AE$16)/365)</f>
        <v>1003.1715258888943</v>
      </c>
      <c r="AG33" s="273">
        <f>AF33*(1+'2. GRI Pricing Inputs'!$D$114)^((AG$16-AF$16)/365)</f>
        <v>1006.3024508491455</v>
      </c>
      <c r="AH33" s="273">
        <f>AG33*(1+'2. GRI Pricing Inputs'!$D$114)^((AH$16-AG$16)/365)</f>
        <v>1009.6601082471566</v>
      </c>
      <c r="AI33" s="273">
        <f>AH33*(1+'2. GRI Pricing Inputs'!$D$114)^((AI$16-AH$16)/365)</f>
        <v>1012.9201207250198</v>
      </c>
      <c r="AJ33" s="273">
        <f>AI33*(1+'2. GRI Pricing Inputs'!$D$114)^((AJ$16-AI$16)/365)</f>
        <v>1016.2998588286852</v>
      </c>
      <c r="AK33" s="273">
        <f>AJ33*(1+'2. GRI Pricing Inputs'!$D$114)^((AK$16-AJ$16)/365)</f>
        <v>1019.5813098773791</v>
      </c>
      <c r="AL33" s="273">
        <f>AK33*(1+'2. GRI Pricing Inputs'!$D$114)^((AL$16-AK$16)/365)</f>
        <v>1022.9832738943552</v>
      </c>
      <c r="AM33" s="273">
        <f>AL33*(1+'2. GRI Pricing Inputs'!$D$114)^((AM$16-AL$16)/365)</f>
        <v>1026.3965890012939</v>
      </c>
      <c r="AN33" s="273">
        <f>AM33*(1+'2. GRI Pricing Inputs'!$D$114)^((AN$16-AM$16)/365)</f>
        <v>1029.7106405915756</v>
      </c>
      <c r="AO33" s="273">
        <f>AN33*(1+'2. GRI Pricing Inputs'!$D$114)^((AO$16-AN$16)/365)</f>
        <v>1033.1464024217048</v>
      </c>
    </row>
    <row r="34" spans="3:41" ht="12" x14ac:dyDescent="0.2">
      <c r="C34" s="76" t="str">
        <f>'1. Accomodation'!N38</f>
        <v>202N</v>
      </c>
      <c r="D34" s="69" t="str">
        <f>'1. Accomodation'!P38</f>
        <v>2 Bed</v>
      </c>
      <c r="E34" s="69">
        <f>'1. Accomodation'!Q38</f>
        <v>2</v>
      </c>
      <c r="F34" s="77">
        <f>'1. Accomodation'!O38</f>
        <v>678</v>
      </c>
      <c r="G34" s="69">
        <f>'1. Accomodation'!R38</f>
        <v>2</v>
      </c>
      <c r="H34" s="69" t="str">
        <f>'1. Accomodation'!S38</f>
        <v>Courtyard</v>
      </c>
      <c r="I34" s="62"/>
      <c r="K34" s="272">
        <f>IFERROR(INDEX('2. GRI Pricing Inputs'!$C$15:$AI$16,MATCH($K$16,'2. GRI Pricing Inputs'!$C$15:$C$16,0),MATCH(D34,'2. GRI Pricing Inputs'!$C$15:$AI$15,0)),0)</f>
        <v>1110</v>
      </c>
      <c r="L34" s="273">
        <f>IFERROR(INDEX('2. GRI Pricing Inputs'!$C$22:$AI$23,MATCH($L$16,'2. GRI Pricing Inputs'!$C$22:$C$23,0),MATCH(E34,'2. GRI Pricing Inputs'!$C$22:$AI$22,0)),0)</f>
        <v>0</v>
      </c>
      <c r="M34" s="328">
        <f>IF(AND('3. GRI Pricing'!$F34&gt;='2. GRI Pricing Inputs'!$D$33,'3. GRI Pricing'!$F34&lt;='2. GRI Pricing Inputs'!$E$33),'2. GRI Pricing Inputs'!$D$32,IF(AND('3. GRI Pricing'!$F34&gt;='2. GRI Pricing Inputs'!$F$33,'3. GRI Pricing'!$F34&lt;='2. GRI Pricing Inputs'!$G$33),'2. GRI Pricing Inputs'!$F$32,IF(AND('3. GRI Pricing'!$F34&gt;='2. GRI Pricing Inputs'!$H$33,'3. GRI Pricing'!$F34&lt;='2. GRI Pricing Inputs'!$I$33),'2. GRI Pricing Inputs'!$H$32,IF(AND('3. GRI Pricing'!$F34&gt;='2. GRI Pricing Inputs'!$J$33,'3. GRI Pricing'!$F34&lt;='2. GRI Pricing Inputs'!$K$33),'2. GRI Pricing Inputs'!$J$32,IF(AND('3. GRI Pricing'!$F34&gt;='2. GRI Pricing Inputs'!$L$33,'3. GRI Pricing'!$F34&lt;='2. GRI Pricing Inputs'!$M$33),'2. GRI Pricing Inputs'!$L$32,IF(AND('3. GRI Pricing'!$F34&gt;='2. GRI Pricing Inputs'!$N$33,'3. GRI Pricing'!$F34&lt;='2. GRI Pricing Inputs'!$O$33),'2. GRI Pricing Inputs'!$N$32,IF(AND('3. GRI Pricing'!$F34&gt;='2. GRI Pricing Inputs'!$P$33,'3. GRI Pricing'!$F34&lt;='2. GRI Pricing Inputs'!$Q$33),'2. GRI Pricing Inputs'!$P$32,IF(AND('3. GRI Pricing'!$F34&gt;='2. GRI Pricing Inputs'!$R$33,'3. GRI Pricing'!$F34&lt;='2. GRI Pricing Inputs'!$S$33),'2. GRI Pricing Inputs'!$R$32,IF(AND('3. GRI Pricing'!$F34&gt;='2. GRI Pricing Inputs'!$T$33,'3. GRI Pricing'!$F34&lt;='2. GRI Pricing Inputs'!$U$33),'2. GRI Pricing Inputs'!$T$32,IF(AND('3. GRI Pricing'!$F34&gt;='2. GRI Pricing Inputs'!$V$33,'3. GRI Pricing'!$F34&lt;='2. GRI Pricing Inputs'!$W$33),'2. GRI Pricing Inputs'!$V$32,IF(AND('3. GRI Pricing'!$F34&gt;='2. GRI Pricing Inputs'!$X$33,'3. GRI Pricing'!$F34&lt;='2. GRI Pricing Inputs'!$Y$33),'2. GRI Pricing Inputs'!$X$32,IF(AND('3. GRI Pricing'!$F34&gt;='2. GRI Pricing Inputs'!$Z$33,'3. GRI Pricing'!$F34&lt;='2. GRI Pricing Inputs'!$AA$33),'2. GRI Pricing Inputs'!$Z$32,IF(AND('3. GRI Pricing'!$F34&gt;='2. GRI Pricing Inputs'!$AB$33,'3. GRI Pricing'!$F34&lt;='2. GRI Pricing Inputs'!$AC$33),'2. GRI Pricing Inputs'!$AB$32,IF(AND('3. GRI Pricing'!$F34&gt;='2. GRI Pricing Inputs'!$AD$33,'3. GRI Pricing'!$F34&lt;='2. GRI Pricing Inputs'!$AE$33),'2. GRI Pricing Inputs'!$AD$32,IF(AND('3. GRI Pricing'!$F34&gt;='2. GRI Pricing Inputs'!$AF$33,'3. GRI Pricing'!$F34&lt;='2. GRI Pricing Inputs'!$AG$33),'2. GRI Pricing Inputs'!$AF$32,IF(AND('3. GRI Pricing'!$F34&gt;='2. GRI Pricing Inputs'!$AH$33,'3. GRI Pricing'!$F34&lt;='2. GRI Pricing Inputs'!$AI$33),'2. GRI Pricing Inputs'!$AH$32,0))))))))))))))))</f>
        <v>10</v>
      </c>
      <c r="N34" s="273" cm="1">
        <f t="array" ref="N34">IFERROR(INDEX('2. GRI Pricing Inputs'!$C$32:$AI$39,MATCH('3. GRI Pricing'!D34,'2. GRI Pricing Inputs'!$C$32:$C$39,0),(MATCH('3. GRI Pricing'!M34,'2. GRI Pricing Inputs'!$D$32:$AI$32,0)+1)),0)</f>
        <v>40</v>
      </c>
      <c r="O34" s="273">
        <f>IFERROR(INDEX('2. GRI Pricing Inputs'!$C$45:$AI$46,MATCH($O$16,'2. GRI Pricing Inputs'!$C$45:$C$46,0),MATCH(G34,'2. GRI Pricing Inputs'!$C$45:$AI$45,0)),0)</f>
        <v>40</v>
      </c>
      <c r="P34" s="273">
        <f>IFERROR(INDEX('2. GRI Pricing Inputs'!$C$53:$AI$54,MATCH('3. GRI Pricing'!$P$16,'2. GRI Pricing Inputs'!$C$53:$C$54,0),MATCH('3. GRI Pricing'!H34,'2. GRI Pricing Inputs'!$C$53:$AI$53,0)),0)</f>
        <v>25</v>
      </c>
      <c r="Q34" s="273">
        <f>IFERROR(INDEX('2. GRI Pricing Inputs'!$C$60:$AI$61,MATCH('3. GRI Pricing'!$Q$16,'2. GRI Pricing Inputs'!$C$60:$C$61,0),MATCH('1. Accomodation'!T38,'2. GRI Pricing Inputs'!$C$60:$AI$60,0)),0)</f>
        <v>0</v>
      </c>
      <c r="R34" s="273">
        <f>IFERROR(INDEX('2. GRI Pricing Inputs'!$C$67:$AI$68,MATCH('3. GRI Pricing'!$R$16,'2. GRI Pricing Inputs'!$C$67:$C$68,0),MATCH('1. Accomodation'!U38,'2. GRI Pricing Inputs'!$C$67:$AI$67,0)),0)</f>
        <v>0</v>
      </c>
      <c r="S34" s="273">
        <f>IF(D34=0,0,'2. GRI Pricing Inputs'!$AI$75)</f>
        <v>70</v>
      </c>
      <c r="T34" s="273">
        <f>IFERROR(INDEX('2. GRI Pricing Inputs'!$C$82:$AI$83,MATCH('3. GRI Pricing'!$T$16,'2. GRI Pricing Inputs'!$C$82:$C$83,0),MATCH('1. Accomodation'!V38,'2. GRI Pricing Inputs'!$C$82:$AI$82,0)),0)</f>
        <v>0</v>
      </c>
      <c r="U34" s="273">
        <f>IFERROR(INDEX('2. GRI Pricing Inputs'!$C$89:$AI$90,MATCH('3. GRI Pricing'!$U$16,'2. GRI Pricing Inputs'!$C$89:$C$90,0),MATCH('1. Accomodation'!W38,'2. GRI Pricing Inputs'!$C$89:$AI$89,0)),0)</f>
        <v>0</v>
      </c>
      <c r="V34" s="273">
        <f>IFERROR(INDEX('2. GRI Pricing Inputs'!$C$97:$AI$98,MATCH('3. GRI Pricing'!$V$16,'2. GRI Pricing Inputs'!$C$97:$C$98,0),MATCH('1. Accomodation'!X38,'2. GRI Pricing Inputs'!$C$97:$AI$97,0)),0)</f>
        <v>0</v>
      </c>
      <c r="W34" s="273">
        <f>IFERROR(INDEX('2. GRI Pricing Inputs'!$C$104:$AI$105,MATCH('3. GRI Pricing'!$W$16,'2. GRI Pricing Inputs'!$C$104:$C$105,0),MATCH('1. Accomodation'!Y38,'2. GRI Pricing Inputs'!$C$104:$AI$104,0)),0)</f>
        <v>0</v>
      </c>
      <c r="X34" s="274">
        <v>0</v>
      </c>
      <c r="Y34" s="275">
        <f t="shared" si="7"/>
        <v>1285</v>
      </c>
      <c r="Z34" s="276"/>
      <c r="AA34" s="276"/>
      <c r="AB34" s="276"/>
      <c r="AC34" s="272">
        <f>Y34*(1+'2. GRI Pricing Inputs'!$D$114)^(($AC$16-$AB$15)/365)</f>
        <v>1289.2875675725559</v>
      </c>
      <c r="AD34" s="273">
        <f>AC34*(1+'2. GRI Pricing Inputs'!$D$114)^((AD$16-AC$16)/365)</f>
        <v>1293.4504472619767</v>
      </c>
      <c r="AE34" s="273">
        <f>AD34*(1+'2. GRI Pricing Inputs'!$D$114)^((AE$16-AD$16)/365)</f>
        <v>1297.7662108373761</v>
      </c>
      <c r="AF34" s="273">
        <f>AE34*(1+'2. GRI Pricing Inputs'!$D$114)^((AF$16-AE$16)/365)</f>
        <v>1302.0963745123527</v>
      </c>
      <c r="AG34" s="273">
        <f>AF34*(1+'2. GRI Pricing Inputs'!$D$114)^((AG$16-AF$16)/365)</f>
        <v>1306.1602518597495</v>
      </c>
      <c r="AH34" s="273">
        <f>AG34*(1+'2. GRI Pricing Inputs'!$D$114)^((AH$16-AG$16)/365)</f>
        <v>1310.5184233309053</v>
      </c>
      <c r="AI34" s="273">
        <f>AH34*(1+'2. GRI Pricing Inputs'!$D$114)^((AI$16-AH$16)/365)</f>
        <v>1314.7498536683338</v>
      </c>
      <c r="AJ34" s="273">
        <f>AI34*(1+'2. GRI Pricing Inputs'!$D$114)^((AJ$16-AI$16)/365)</f>
        <v>1319.136685449354</v>
      </c>
      <c r="AK34" s="273">
        <f>AJ34*(1+'2. GRI Pricing Inputs'!$D$114)^((AK$16-AJ$16)/365)</f>
        <v>1323.3959426186184</v>
      </c>
      <c r="AL34" s="273">
        <f>AK34*(1+'2. GRI Pricing Inputs'!$D$114)^((AL$16-AK$16)/365)</f>
        <v>1327.8116231861075</v>
      </c>
      <c r="AM34" s="273">
        <f>AL34*(1+'2. GRI Pricing Inputs'!$D$114)^((AM$16-AL$16)/365)</f>
        <v>1332.2420372390534</v>
      </c>
      <c r="AN34" s="273">
        <f>AM34*(1+'2. GRI Pricing Inputs'!$D$114)^((AN$16-AM$16)/365)</f>
        <v>1336.5436092527018</v>
      </c>
      <c r="AO34" s="273">
        <f>AN34*(1+'2. GRI Pricing Inputs'!$D$114)^((AO$16-AN$16)/365)</f>
        <v>1341.0031586988796</v>
      </c>
    </row>
    <row r="35" spans="3:41" ht="12" x14ac:dyDescent="0.2">
      <c r="C35" s="76" t="str">
        <f>'1. Accomodation'!N39</f>
        <v>203N</v>
      </c>
      <c r="D35" s="69" t="str">
        <f>'1. Accomodation'!P39</f>
        <v>2 Bed</v>
      </c>
      <c r="E35" s="69">
        <f>'1. Accomodation'!Q39</f>
        <v>2</v>
      </c>
      <c r="F35" s="77">
        <f>'1. Accomodation'!O39</f>
        <v>657</v>
      </c>
      <c r="G35" s="69">
        <f>'1. Accomodation'!R39</f>
        <v>2</v>
      </c>
      <c r="H35" s="69" t="str">
        <f>'1. Accomodation'!S39</f>
        <v>Courtyard</v>
      </c>
      <c r="I35" s="62"/>
      <c r="K35" s="272">
        <f>IFERROR(INDEX('2. GRI Pricing Inputs'!$C$15:$AI$16,MATCH($K$16,'2. GRI Pricing Inputs'!$C$15:$C$16,0),MATCH(D35,'2. GRI Pricing Inputs'!$C$15:$AI$15,0)),0)</f>
        <v>1110</v>
      </c>
      <c r="L35" s="273">
        <f>IFERROR(INDEX('2. GRI Pricing Inputs'!$C$22:$AI$23,MATCH($L$16,'2. GRI Pricing Inputs'!$C$22:$C$23,0),MATCH(E35,'2. GRI Pricing Inputs'!$C$22:$AI$22,0)),0)</f>
        <v>0</v>
      </c>
      <c r="M35" s="328">
        <f>IF(AND('3. GRI Pricing'!$F35&gt;='2. GRI Pricing Inputs'!$D$33,'3. GRI Pricing'!$F35&lt;='2. GRI Pricing Inputs'!$E$33),'2. GRI Pricing Inputs'!$D$32,IF(AND('3. GRI Pricing'!$F35&gt;='2. GRI Pricing Inputs'!$F$33,'3. GRI Pricing'!$F35&lt;='2. GRI Pricing Inputs'!$G$33),'2. GRI Pricing Inputs'!$F$32,IF(AND('3. GRI Pricing'!$F35&gt;='2. GRI Pricing Inputs'!$H$33,'3. GRI Pricing'!$F35&lt;='2. GRI Pricing Inputs'!$I$33),'2. GRI Pricing Inputs'!$H$32,IF(AND('3. GRI Pricing'!$F35&gt;='2. GRI Pricing Inputs'!$J$33,'3. GRI Pricing'!$F35&lt;='2. GRI Pricing Inputs'!$K$33),'2. GRI Pricing Inputs'!$J$32,IF(AND('3. GRI Pricing'!$F35&gt;='2. GRI Pricing Inputs'!$L$33,'3. GRI Pricing'!$F35&lt;='2. GRI Pricing Inputs'!$M$33),'2. GRI Pricing Inputs'!$L$32,IF(AND('3. GRI Pricing'!$F35&gt;='2. GRI Pricing Inputs'!$N$33,'3. GRI Pricing'!$F35&lt;='2. GRI Pricing Inputs'!$O$33),'2. GRI Pricing Inputs'!$N$32,IF(AND('3. GRI Pricing'!$F35&gt;='2. GRI Pricing Inputs'!$P$33,'3. GRI Pricing'!$F35&lt;='2. GRI Pricing Inputs'!$Q$33),'2. GRI Pricing Inputs'!$P$32,IF(AND('3. GRI Pricing'!$F35&gt;='2. GRI Pricing Inputs'!$R$33,'3. GRI Pricing'!$F35&lt;='2. GRI Pricing Inputs'!$S$33),'2. GRI Pricing Inputs'!$R$32,IF(AND('3. GRI Pricing'!$F35&gt;='2. GRI Pricing Inputs'!$T$33,'3. GRI Pricing'!$F35&lt;='2. GRI Pricing Inputs'!$U$33),'2. GRI Pricing Inputs'!$T$32,IF(AND('3. GRI Pricing'!$F35&gt;='2. GRI Pricing Inputs'!$V$33,'3. GRI Pricing'!$F35&lt;='2. GRI Pricing Inputs'!$W$33),'2. GRI Pricing Inputs'!$V$32,IF(AND('3. GRI Pricing'!$F35&gt;='2. GRI Pricing Inputs'!$X$33,'3. GRI Pricing'!$F35&lt;='2. GRI Pricing Inputs'!$Y$33),'2. GRI Pricing Inputs'!$X$32,IF(AND('3. GRI Pricing'!$F35&gt;='2. GRI Pricing Inputs'!$Z$33,'3. GRI Pricing'!$F35&lt;='2. GRI Pricing Inputs'!$AA$33),'2. GRI Pricing Inputs'!$Z$32,IF(AND('3. GRI Pricing'!$F35&gt;='2. GRI Pricing Inputs'!$AB$33,'3. GRI Pricing'!$F35&lt;='2. GRI Pricing Inputs'!$AC$33),'2. GRI Pricing Inputs'!$AB$32,IF(AND('3. GRI Pricing'!$F35&gt;='2. GRI Pricing Inputs'!$AD$33,'3. GRI Pricing'!$F35&lt;='2. GRI Pricing Inputs'!$AE$33),'2. GRI Pricing Inputs'!$AD$32,IF(AND('3. GRI Pricing'!$F35&gt;='2. GRI Pricing Inputs'!$AF$33,'3. GRI Pricing'!$F35&lt;='2. GRI Pricing Inputs'!$AG$33),'2. GRI Pricing Inputs'!$AF$32,IF(AND('3. GRI Pricing'!$F35&gt;='2. GRI Pricing Inputs'!$AH$33,'3. GRI Pricing'!$F35&lt;='2. GRI Pricing Inputs'!$AI$33),'2. GRI Pricing Inputs'!$AH$32,0))))))))))))))))</f>
        <v>8</v>
      </c>
      <c r="N35" s="273" cm="1">
        <f t="array" ref="N35">IFERROR(INDEX('2. GRI Pricing Inputs'!$C$32:$AI$39,MATCH('3. GRI Pricing'!D35,'2. GRI Pricing Inputs'!$C$32:$C$39,0),(MATCH('3. GRI Pricing'!M35,'2. GRI Pricing Inputs'!$D$32:$AI$32,0)+1)),0)</f>
        <v>20</v>
      </c>
      <c r="O35" s="273">
        <f>IFERROR(INDEX('2. GRI Pricing Inputs'!$C$45:$AI$46,MATCH($O$16,'2. GRI Pricing Inputs'!$C$45:$C$46,0),MATCH(G35,'2. GRI Pricing Inputs'!$C$45:$AI$45,0)),0)</f>
        <v>40</v>
      </c>
      <c r="P35" s="273">
        <f>IFERROR(INDEX('2. GRI Pricing Inputs'!$C$53:$AI$54,MATCH('3. GRI Pricing'!$P$16,'2. GRI Pricing Inputs'!$C$53:$C$54,0),MATCH('3. GRI Pricing'!H35,'2. GRI Pricing Inputs'!$C$53:$AI$53,0)),0)</f>
        <v>25</v>
      </c>
      <c r="Q35" s="273">
        <f>IFERROR(INDEX('2. GRI Pricing Inputs'!$C$60:$AI$61,MATCH('3. GRI Pricing'!$Q$16,'2. GRI Pricing Inputs'!$C$60:$C$61,0),MATCH('1. Accomodation'!T39,'2. GRI Pricing Inputs'!$C$60:$AI$60,0)),0)</f>
        <v>0</v>
      </c>
      <c r="R35" s="273">
        <f>IFERROR(INDEX('2. GRI Pricing Inputs'!$C$67:$AI$68,MATCH('3. GRI Pricing'!$R$16,'2. GRI Pricing Inputs'!$C$67:$C$68,0),MATCH('1. Accomodation'!U39,'2. GRI Pricing Inputs'!$C$67:$AI$67,0)),0)</f>
        <v>0</v>
      </c>
      <c r="S35" s="273">
        <f>IF(D35=0,0,'2. GRI Pricing Inputs'!$AI$75)</f>
        <v>70</v>
      </c>
      <c r="T35" s="273">
        <f>IFERROR(INDEX('2. GRI Pricing Inputs'!$C$82:$AI$83,MATCH('3. GRI Pricing'!$T$16,'2. GRI Pricing Inputs'!$C$82:$C$83,0),MATCH('1. Accomodation'!V39,'2. GRI Pricing Inputs'!$C$82:$AI$82,0)),0)</f>
        <v>0</v>
      </c>
      <c r="U35" s="273">
        <f>IFERROR(INDEX('2. GRI Pricing Inputs'!$C$89:$AI$90,MATCH('3. GRI Pricing'!$U$16,'2. GRI Pricing Inputs'!$C$89:$C$90,0),MATCH('1. Accomodation'!W39,'2. GRI Pricing Inputs'!$C$89:$AI$89,0)),0)</f>
        <v>0</v>
      </c>
      <c r="V35" s="273">
        <f>IFERROR(INDEX('2. GRI Pricing Inputs'!$C$97:$AI$98,MATCH('3. GRI Pricing'!$V$16,'2. GRI Pricing Inputs'!$C$97:$C$98,0),MATCH('1. Accomodation'!X39,'2. GRI Pricing Inputs'!$C$97:$AI$97,0)),0)</f>
        <v>0</v>
      </c>
      <c r="W35" s="273">
        <f>IFERROR(INDEX('2. GRI Pricing Inputs'!$C$104:$AI$105,MATCH('3. GRI Pricing'!$W$16,'2. GRI Pricing Inputs'!$C$104:$C$105,0),MATCH('1. Accomodation'!Y39,'2. GRI Pricing Inputs'!$C$104:$AI$104,0)),0)</f>
        <v>0</v>
      </c>
      <c r="X35" s="274">
        <v>0</v>
      </c>
      <c r="Y35" s="275">
        <f t="shared" si="7"/>
        <v>1265</v>
      </c>
      <c r="Z35" s="276"/>
      <c r="AA35" s="276"/>
      <c r="AB35" s="276"/>
      <c r="AC35" s="272">
        <f>Y35*(1+'2. GRI Pricing Inputs'!$D$114)^(($AC$16-$AB$15)/365)</f>
        <v>1269.2208350033331</v>
      </c>
      <c r="AD35" s="273">
        <f>AC35*(1+'2. GRI Pricing Inputs'!$D$114)^((AD$16-AC$16)/365)</f>
        <v>1273.3189227909729</v>
      </c>
      <c r="AE35" s="273">
        <f>AD35*(1+'2. GRI Pricing Inputs'!$D$114)^((AE$16-AD$16)/365)</f>
        <v>1277.5675149488563</v>
      </c>
      <c r="AF35" s="273">
        <f>AE35*(1+'2. GRI Pricing Inputs'!$D$114)^((AF$16-AE$16)/365)</f>
        <v>1281.8302830802536</v>
      </c>
      <c r="AG35" s="273">
        <f>AF35*(1+'2. GRI Pricing Inputs'!$D$114)^((AG$16-AF$16)/365)</f>
        <v>1285.8309094183523</v>
      </c>
      <c r="AH35" s="273">
        <f>AG35*(1+'2. GRI Pricing Inputs'!$D$114)^((AH$16-AG$16)/365)</f>
        <v>1290.1212494269221</v>
      </c>
      <c r="AI35" s="273">
        <f>AH35*(1+'2. GRI Pricing Inputs'!$D$114)^((AI$16-AH$16)/365)</f>
        <v>1294.2868209264138</v>
      </c>
      <c r="AJ35" s="273">
        <f>AI35*(1+'2. GRI Pricing Inputs'!$D$114)^((AJ$16-AI$16)/365)</f>
        <v>1298.6053751699862</v>
      </c>
      <c r="AK35" s="273">
        <f>AJ35*(1+'2. GRI Pricing Inputs'!$D$114)^((AK$16-AJ$16)/365)</f>
        <v>1302.7983403988731</v>
      </c>
      <c r="AL35" s="273">
        <f>AK35*(1+'2. GRI Pricing Inputs'!$D$114)^((AL$16-AK$16)/365)</f>
        <v>1307.1452944205646</v>
      </c>
      <c r="AM35" s="273">
        <f>AL35*(1+'2. GRI Pricing Inputs'!$D$114)^((AM$16-AL$16)/365)</f>
        <v>1311.5067526127643</v>
      </c>
      <c r="AN35" s="273">
        <f>AM35*(1+'2. GRI Pricing Inputs'!$D$114)^((AN$16-AM$16)/365)</f>
        <v>1315.7413740892353</v>
      </c>
      <c r="AO35" s="273">
        <f>AN35*(1+'2. GRI Pricing Inputs'!$D$114)^((AO$16-AN$16)/365)</f>
        <v>1320.1315142055116</v>
      </c>
    </row>
    <row r="36" spans="3:41" ht="12" x14ac:dyDescent="0.2">
      <c r="C36" s="76" t="str">
        <f>'1. Accomodation'!N40</f>
        <v>204N</v>
      </c>
      <c r="D36" s="69" t="str">
        <f>'1. Accomodation'!P40</f>
        <v>3 Bed</v>
      </c>
      <c r="E36" s="69">
        <f>'1. Accomodation'!Q40</f>
        <v>2</v>
      </c>
      <c r="F36" s="77">
        <f>'1. Accomodation'!O40</f>
        <v>818</v>
      </c>
      <c r="G36" s="69">
        <f>'1. Accomodation'!R40</f>
        <v>2</v>
      </c>
      <c r="H36" s="69" t="str">
        <f>'1. Accomodation'!S40</f>
        <v>Pottery Lane</v>
      </c>
      <c r="I36" s="62"/>
      <c r="K36" s="272">
        <f>IFERROR(INDEX('2. GRI Pricing Inputs'!$C$15:$AI$16,MATCH($K$16,'2. GRI Pricing Inputs'!$C$15:$C$16,0),MATCH(D36,'2. GRI Pricing Inputs'!$C$15:$AI$15,0)),0)</f>
        <v>1485</v>
      </c>
      <c r="L36" s="273">
        <f>IFERROR(INDEX('2. GRI Pricing Inputs'!$C$22:$AI$23,MATCH($L$16,'2. GRI Pricing Inputs'!$C$22:$C$23,0),MATCH(E36,'2. GRI Pricing Inputs'!$C$22:$AI$22,0)),0)</f>
        <v>0</v>
      </c>
      <c r="M36" s="328">
        <f>IF(AND('3. GRI Pricing'!$F36&gt;='2. GRI Pricing Inputs'!$D$33,'3. GRI Pricing'!$F36&lt;='2. GRI Pricing Inputs'!$E$33),'2. GRI Pricing Inputs'!$D$32,IF(AND('3. GRI Pricing'!$F36&gt;='2. GRI Pricing Inputs'!$F$33,'3. GRI Pricing'!$F36&lt;='2. GRI Pricing Inputs'!$G$33),'2. GRI Pricing Inputs'!$F$32,IF(AND('3. GRI Pricing'!$F36&gt;='2. GRI Pricing Inputs'!$H$33,'3. GRI Pricing'!$F36&lt;='2. GRI Pricing Inputs'!$I$33),'2. GRI Pricing Inputs'!$H$32,IF(AND('3. GRI Pricing'!$F36&gt;='2. GRI Pricing Inputs'!$J$33,'3. GRI Pricing'!$F36&lt;='2. GRI Pricing Inputs'!$K$33),'2. GRI Pricing Inputs'!$J$32,IF(AND('3. GRI Pricing'!$F36&gt;='2. GRI Pricing Inputs'!$L$33,'3. GRI Pricing'!$F36&lt;='2. GRI Pricing Inputs'!$M$33),'2. GRI Pricing Inputs'!$L$32,IF(AND('3. GRI Pricing'!$F36&gt;='2. GRI Pricing Inputs'!$N$33,'3. GRI Pricing'!$F36&lt;='2. GRI Pricing Inputs'!$O$33),'2. GRI Pricing Inputs'!$N$32,IF(AND('3. GRI Pricing'!$F36&gt;='2. GRI Pricing Inputs'!$P$33,'3. GRI Pricing'!$F36&lt;='2. GRI Pricing Inputs'!$Q$33),'2. GRI Pricing Inputs'!$P$32,IF(AND('3. GRI Pricing'!$F36&gt;='2. GRI Pricing Inputs'!$R$33,'3. GRI Pricing'!$F36&lt;='2. GRI Pricing Inputs'!$S$33),'2. GRI Pricing Inputs'!$R$32,IF(AND('3. GRI Pricing'!$F36&gt;='2. GRI Pricing Inputs'!$T$33,'3. GRI Pricing'!$F36&lt;='2. GRI Pricing Inputs'!$U$33),'2. GRI Pricing Inputs'!$T$32,IF(AND('3. GRI Pricing'!$F36&gt;='2. GRI Pricing Inputs'!$V$33,'3. GRI Pricing'!$F36&lt;='2. GRI Pricing Inputs'!$W$33),'2. GRI Pricing Inputs'!$V$32,IF(AND('3. GRI Pricing'!$F36&gt;='2. GRI Pricing Inputs'!$X$33,'3. GRI Pricing'!$F36&lt;='2. GRI Pricing Inputs'!$Y$33),'2. GRI Pricing Inputs'!$X$32,IF(AND('3. GRI Pricing'!$F36&gt;='2. GRI Pricing Inputs'!$Z$33,'3. GRI Pricing'!$F36&lt;='2. GRI Pricing Inputs'!$AA$33),'2. GRI Pricing Inputs'!$Z$32,IF(AND('3. GRI Pricing'!$F36&gt;='2. GRI Pricing Inputs'!$AB$33,'3. GRI Pricing'!$F36&lt;='2. GRI Pricing Inputs'!$AC$33),'2. GRI Pricing Inputs'!$AB$32,IF(AND('3. GRI Pricing'!$F36&gt;='2. GRI Pricing Inputs'!$AD$33,'3. GRI Pricing'!$F36&lt;='2. GRI Pricing Inputs'!$AE$33),'2. GRI Pricing Inputs'!$AD$32,IF(AND('3. GRI Pricing'!$F36&gt;='2. GRI Pricing Inputs'!$AF$33,'3. GRI Pricing'!$F36&lt;='2. GRI Pricing Inputs'!$AG$33),'2. GRI Pricing Inputs'!$AF$32,IF(AND('3. GRI Pricing'!$F36&gt;='2. GRI Pricing Inputs'!$AH$33,'3. GRI Pricing'!$F36&lt;='2. GRI Pricing Inputs'!$AI$33),'2. GRI Pricing Inputs'!$AH$32,0))))))))))))))))</f>
        <v>13</v>
      </c>
      <c r="N36" s="273" cm="1">
        <f t="array" ref="N36">IFERROR(INDEX('2. GRI Pricing Inputs'!$C$32:$AI$39,MATCH('3. GRI Pricing'!D36,'2. GRI Pricing Inputs'!$C$32:$C$39,0),(MATCH('3. GRI Pricing'!M36,'2. GRI Pricing Inputs'!$D$32:$AI$32,0)+1)),0)</f>
        <v>50</v>
      </c>
      <c r="O36" s="273">
        <f>IFERROR(INDEX('2. GRI Pricing Inputs'!$C$45:$AI$46,MATCH($O$16,'2. GRI Pricing Inputs'!$C$45:$C$46,0),MATCH(G36,'2. GRI Pricing Inputs'!$C$45:$AI$45,0)),0)</f>
        <v>40</v>
      </c>
      <c r="P36" s="273">
        <f>IFERROR(INDEX('2. GRI Pricing Inputs'!$C$53:$AI$54,MATCH('3. GRI Pricing'!$P$16,'2. GRI Pricing Inputs'!$C$53:$C$54,0),MATCH('3. GRI Pricing'!H36,'2. GRI Pricing Inputs'!$C$53:$AI$53,0)),0)</f>
        <v>10</v>
      </c>
      <c r="Q36" s="273">
        <f>IFERROR(INDEX('2. GRI Pricing Inputs'!$C$60:$AI$61,MATCH('3. GRI Pricing'!$Q$16,'2. GRI Pricing Inputs'!$C$60:$C$61,0),MATCH('1. Accomodation'!T40,'2. GRI Pricing Inputs'!$C$60:$AI$60,0)),0)</f>
        <v>0</v>
      </c>
      <c r="R36" s="273">
        <f>IFERROR(INDEX('2. GRI Pricing Inputs'!$C$67:$AI$68,MATCH('3. GRI Pricing'!$R$16,'2. GRI Pricing Inputs'!$C$67:$C$68,0),MATCH('1. Accomodation'!U40,'2. GRI Pricing Inputs'!$C$67:$AI$67,0)),0)</f>
        <v>0</v>
      </c>
      <c r="S36" s="273">
        <f>IF(D36=0,0,'2. GRI Pricing Inputs'!$AI$75)</f>
        <v>70</v>
      </c>
      <c r="T36" s="273">
        <f>IFERROR(INDEX('2. GRI Pricing Inputs'!$C$82:$AI$83,MATCH('3. GRI Pricing'!$T$16,'2. GRI Pricing Inputs'!$C$82:$C$83,0),MATCH('1. Accomodation'!V40,'2. GRI Pricing Inputs'!$C$82:$AI$82,0)),0)</f>
        <v>0</v>
      </c>
      <c r="U36" s="273">
        <f>IFERROR(INDEX('2. GRI Pricing Inputs'!$C$89:$AI$90,MATCH('3. GRI Pricing'!$U$16,'2. GRI Pricing Inputs'!$C$89:$C$90,0),MATCH('1. Accomodation'!W40,'2. GRI Pricing Inputs'!$C$89:$AI$89,0)),0)</f>
        <v>0</v>
      </c>
      <c r="V36" s="273">
        <f>IFERROR(INDEX('2. GRI Pricing Inputs'!$C$97:$AI$98,MATCH('3. GRI Pricing'!$V$16,'2. GRI Pricing Inputs'!$C$97:$C$98,0),MATCH('1. Accomodation'!X40,'2. GRI Pricing Inputs'!$C$97:$AI$97,0)),0)</f>
        <v>0</v>
      </c>
      <c r="W36" s="273">
        <f>IFERROR(INDEX('2. GRI Pricing Inputs'!$C$104:$AI$105,MATCH('3. GRI Pricing'!$W$16,'2. GRI Pricing Inputs'!$C$104:$C$105,0),MATCH('1. Accomodation'!Y40,'2. GRI Pricing Inputs'!$C$104:$AI$104,0)),0)</f>
        <v>0</v>
      </c>
      <c r="X36" s="274">
        <v>0</v>
      </c>
      <c r="Y36" s="275">
        <f t="shared" si="7"/>
        <v>1655</v>
      </c>
      <c r="Z36" s="276"/>
      <c r="AA36" s="276"/>
      <c r="AB36" s="276"/>
      <c r="AC36" s="272">
        <f>Y36*(1+'2. GRI Pricing Inputs'!$D$114)^(($AC$16-$AB$15)/365)</f>
        <v>1660.522120103175</v>
      </c>
      <c r="AD36" s="273">
        <f>AC36*(1+'2. GRI Pricing Inputs'!$D$114)^((AD$16-AC$16)/365)</f>
        <v>1665.8836499755419</v>
      </c>
      <c r="AE36" s="273">
        <f>AD36*(1+'2. GRI Pricing Inputs'!$D$114)^((AE$16-AD$16)/365)</f>
        <v>1671.4420847749861</v>
      </c>
      <c r="AF36" s="273">
        <f>AE36*(1+'2. GRI Pricing Inputs'!$D$114)^((AF$16-AE$16)/365)</f>
        <v>1677.0190660061817</v>
      </c>
      <c r="AG36" s="273">
        <f>AF36*(1+'2. GRI Pricing Inputs'!$D$114)^((AG$16-AF$16)/365)</f>
        <v>1682.2530870255916</v>
      </c>
      <c r="AH36" s="273">
        <f>AG36*(1+'2. GRI Pricing Inputs'!$D$114)^((AH$16-AG$16)/365)</f>
        <v>1687.8661405545899</v>
      </c>
      <c r="AI36" s="273">
        <f>AH36*(1+'2. GRI Pricing Inputs'!$D$114)^((AI$16-AH$16)/365)</f>
        <v>1693.315959393846</v>
      </c>
      <c r="AJ36" s="273">
        <f>AI36*(1+'2. GRI Pricing Inputs'!$D$114)^((AJ$16-AI$16)/365)</f>
        <v>1698.9659256176501</v>
      </c>
      <c r="AK36" s="273">
        <f>AJ36*(1+'2. GRI Pricing Inputs'!$D$114)^((AK$16-AJ$16)/365)</f>
        <v>1704.4515836839012</v>
      </c>
      <c r="AL36" s="273">
        <f>AK36*(1+'2. GRI Pricing Inputs'!$D$114)^((AL$16-AK$16)/365)</f>
        <v>1710.138705348644</v>
      </c>
      <c r="AM36" s="273">
        <f>AL36*(1+'2. GRI Pricing Inputs'!$D$114)^((AM$16-AL$16)/365)</f>
        <v>1715.8448028253952</v>
      </c>
      <c r="AN36" s="273">
        <f>AM36*(1+'2. GRI Pricing Inputs'!$D$114)^((AN$16-AM$16)/365)</f>
        <v>1721.3849597768256</v>
      </c>
      <c r="AO36" s="273">
        <f>AN36*(1+'2. GRI Pricing Inputs'!$D$114)^((AO$16-AN$16)/365)</f>
        <v>1727.1285818261831</v>
      </c>
    </row>
    <row r="37" spans="3:41" ht="12" x14ac:dyDescent="0.2">
      <c r="C37" s="76" t="str">
        <f>'1. Accomodation'!N41</f>
        <v>205N</v>
      </c>
      <c r="D37" s="69" t="str">
        <f>'1. Accomodation'!P41</f>
        <v>2 Bed</v>
      </c>
      <c r="E37" s="69">
        <f>'1. Accomodation'!Q41</f>
        <v>2</v>
      </c>
      <c r="F37" s="77">
        <f>'1. Accomodation'!O41</f>
        <v>667</v>
      </c>
      <c r="G37" s="69">
        <f>'1. Accomodation'!R41</f>
        <v>2</v>
      </c>
      <c r="H37" s="69" t="str">
        <f>'1. Accomodation'!S41</f>
        <v>Forth Banks/Pottery Lane</v>
      </c>
      <c r="I37" s="62"/>
      <c r="K37" s="272">
        <f>IFERROR(INDEX('2. GRI Pricing Inputs'!$C$15:$AI$16,MATCH($K$16,'2. GRI Pricing Inputs'!$C$15:$C$16,0),MATCH(D37,'2. GRI Pricing Inputs'!$C$15:$AI$15,0)),0)</f>
        <v>1110</v>
      </c>
      <c r="L37" s="273">
        <f>IFERROR(INDEX('2. GRI Pricing Inputs'!$C$22:$AI$23,MATCH($L$16,'2. GRI Pricing Inputs'!$C$22:$C$23,0),MATCH(E37,'2. GRI Pricing Inputs'!$C$22:$AI$22,0)),0)</f>
        <v>0</v>
      </c>
      <c r="M37" s="328">
        <f>IF(AND('3. GRI Pricing'!$F37&gt;='2. GRI Pricing Inputs'!$D$33,'3. GRI Pricing'!$F37&lt;='2. GRI Pricing Inputs'!$E$33),'2. GRI Pricing Inputs'!$D$32,IF(AND('3. GRI Pricing'!$F37&gt;='2. GRI Pricing Inputs'!$F$33,'3. GRI Pricing'!$F37&lt;='2. GRI Pricing Inputs'!$G$33),'2. GRI Pricing Inputs'!$F$32,IF(AND('3. GRI Pricing'!$F37&gt;='2. GRI Pricing Inputs'!$H$33,'3. GRI Pricing'!$F37&lt;='2. GRI Pricing Inputs'!$I$33),'2. GRI Pricing Inputs'!$H$32,IF(AND('3. GRI Pricing'!$F37&gt;='2. GRI Pricing Inputs'!$J$33,'3. GRI Pricing'!$F37&lt;='2. GRI Pricing Inputs'!$K$33),'2. GRI Pricing Inputs'!$J$32,IF(AND('3. GRI Pricing'!$F37&gt;='2. GRI Pricing Inputs'!$L$33,'3. GRI Pricing'!$F37&lt;='2. GRI Pricing Inputs'!$M$33),'2. GRI Pricing Inputs'!$L$32,IF(AND('3. GRI Pricing'!$F37&gt;='2. GRI Pricing Inputs'!$N$33,'3. GRI Pricing'!$F37&lt;='2. GRI Pricing Inputs'!$O$33),'2. GRI Pricing Inputs'!$N$32,IF(AND('3. GRI Pricing'!$F37&gt;='2. GRI Pricing Inputs'!$P$33,'3. GRI Pricing'!$F37&lt;='2. GRI Pricing Inputs'!$Q$33),'2. GRI Pricing Inputs'!$P$32,IF(AND('3. GRI Pricing'!$F37&gt;='2. GRI Pricing Inputs'!$R$33,'3. GRI Pricing'!$F37&lt;='2. GRI Pricing Inputs'!$S$33),'2. GRI Pricing Inputs'!$R$32,IF(AND('3. GRI Pricing'!$F37&gt;='2. GRI Pricing Inputs'!$T$33,'3. GRI Pricing'!$F37&lt;='2. GRI Pricing Inputs'!$U$33),'2. GRI Pricing Inputs'!$T$32,IF(AND('3. GRI Pricing'!$F37&gt;='2. GRI Pricing Inputs'!$V$33,'3. GRI Pricing'!$F37&lt;='2. GRI Pricing Inputs'!$W$33),'2. GRI Pricing Inputs'!$V$32,IF(AND('3. GRI Pricing'!$F37&gt;='2. GRI Pricing Inputs'!$X$33,'3. GRI Pricing'!$F37&lt;='2. GRI Pricing Inputs'!$Y$33),'2. GRI Pricing Inputs'!$X$32,IF(AND('3. GRI Pricing'!$F37&gt;='2. GRI Pricing Inputs'!$Z$33,'3. GRI Pricing'!$F37&lt;='2. GRI Pricing Inputs'!$AA$33),'2. GRI Pricing Inputs'!$Z$32,IF(AND('3. GRI Pricing'!$F37&gt;='2. GRI Pricing Inputs'!$AB$33,'3. GRI Pricing'!$F37&lt;='2. GRI Pricing Inputs'!$AC$33),'2. GRI Pricing Inputs'!$AB$32,IF(AND('3. GRI Pricing'!$F37&gt;='2. GRI Pricing Inputs'!$AD$33,'3. GRI Pricing'!$F37&lt;='2. GRI Pricing Inputs'!$AE$33),'2. GRI Pricing Inputs'!$AD$32,IF(AND('3. GRI Pricing'!$F37&gt;='2. GRI Pricing Inputs'!$AF$33,'3. GRI Pricing'!$F37&lt;='2. GRI Pricing Inputs'!$AG$33),'2. GRI Pricing Inputs'!$AF$32,IF(AND('3. GRI Pricing'!$F37&gt;='2. GRI Pricing Inputs'!$AH$33,'3. GRI Pricing'!$F37&lt;='2. GRI Pricing Inputs'!$AI$33),'2. GRI Pricing Inputs'!$AH$32,0))))))))))))))))</f>
        <v>9</v>
      </c>
      <c r="N37" s="273" cm="1">
        <f t="array" ref="N37">IFERROR(INDEX('2. GRI Pricing Inputs'!$C$32:$AI$39,MATCH('3. GRI Pricing'!D37,'2. GRI Pricing Inputs'!$C$32:$C$39,0),(MATCH('3. GRI Pricing'!M37,'2. GRI Pricing Inputs'!$D$32:$AI$32,0)+1)),0)</f>
        <v>30</v>
      </c>
      <c r="O37" s="273">
        <f>IFERROR(INDEX('2. GRI Pricing Inputs'!$C$45:$AI$46,MATCH($O$16,'2. GRI Pricing Inputs'!$C$45:$C$46,0),MATCH(G37,'2. GRI Pricing Inputs'!$C$45:$AI$45,0)),0)</f>
        <v>40</v>
      </c>
      <c r="P37" s="273">
        <f>IFERROR(INDEX('2. GRI Pricing Inputs'!$C$53:$AI$54,MATCH('3. GRI Pricing'!$P$16,'2. GRI Pricing Inputs'!$C$53:$C$54,0),MATCH('3. GRI Pricing'!H37,'2. GRI Pricing Inputs'!$C$53:$AI$53,0)),0)</f>
        <v>10</v>
      </c>
      <c r="Q37" s="273">
        <f>IFERROR(INDEX('2. GRI Pricing Inputs'!$C$60:$AI$61,MATCH('3. GRI Pricing'!$Q$16,'2. GRI Pricing Inputs'!$C$60:$C$61,0),MATCH('1. Accomodation'!T41,'2. GRI Pricing Inputs'!$C$60:$AI$60,0)),0)</f>
        <v>0</v>
      </c>
      <c r="R37" s="273">
        <f>IFERROR(INDEX('2. GRI Pricing Inputs'!$C$67:$AI$68,MATCH('3. GRI Pricing'!$R$16,'2. GRI Pricing Inputs'!$C$67:$C$68,0),MATCH('1. Accomodation'!U41,'2. GRI Pricing Inputs'!$C$67:$AI$67,0)),0)</f>
        <v>0</v>
      </c>
      <c r="S37" s="273">
        <f>IF(D37=0,0,'2. GRI Pricing Inputs'!$AI$75)</f>
        <v>70</v>
      </c>
      <c r="T37" s="273">
        <f>IFERROR(INDEX('2. GRI Pricing Inputs'!$C$82:$AI$83,MATCH('3. GRI Pricing'!$T$16,'2. GRI Pricing Inputs'!$C$82:$C$83,0),MATCH('1. Accomodation'!V41,'2. GRI Pricing Inputs'!$C$82:$AI$82,0)),0)</f>
        <v>0</v>
      </c>
      <c r="U37" s="273">
        <f>IFERROR(INDEX('2. GRI Pricing Inputs'!$C$89:$AI$90,MATCH('3. GRI Pricing'!$U$16,'2. GRI Pricing Inputs'!$C$89:$C$90,0),MATCH('1. Accomodation'!W41,'2. GRI Pricing Inputs'!$C$89:$AI$89,0)),0)</f>
        <v>0</v>
      </c>
      <c r="V37" s="273">
        <f>IFERROR(INDEX('2. GRI Pricing Inputs'!$C$97:$AI$98,MATCH('3. GRI Pricing'!$V$16,'2. GRI Pricing Inputs'!$C$97:$C$98,0),MATCH('1. Accomodation'!X41,'2. GRI Pricing Inputs'!$C$97:$AI$97,0)),0)</f>
        <v>0</v>
      </c>
      <c r="W37" s="273">
        <f>IFERROR(INDEX('2. GRI Pricing Inputs'!$C$104:$AI$105,MATCH('3. GRI Pricing'!$W$16,'2. GRI Pricing Inputs'!$C$104:$C$105,0),MATCH('1. Accomodation'!Y41,'2. GRI Pricing Inputs'!$C$104:$AI$104,0)),0)</f>
        <v>0</v>
      </c>
      <c r="X37" s="274">
        <v>0</v>
      </c>
      <c r="Y37" s="275">
        <f t="shared" si="7"/>
        <v>1260</v>
      </c>
      <c r="Z37" s="276"/>
      <c r="AA37" s="276"/>
      <c r="AB37" s="276"/>
      <c r="AC37" s="272">
        <f>Y37*(1+'2. GRI Pricing Inputs'!$D$114)^(($AC$16-$AB$15)/365)</f>
        <v>1264.2041518610274</v>
      </c>
      <c r="AD37" s="273">
        <f>AC37*(1+'2. GRI Pricing Inputs'!$D$114)^((AD$16-AC$16)/365)</f>
        <v>1268.2860416732221</v>
      </c>
      <c r="AE37" s="273">
        <f>AD37*(1+'2. GRI Pricing Inputs'!$D$114)^((AE$16-AD$16)/365)</f>
        <v>1272.5178409767266</v>
      </c>
      <c r="AF37" s="273">
        <f>AE37*(1+'2. GRI Pricing Inputs'!$D$114)^((AF$16-AE$16)/365)</f>
        <v>1276.7637602222289</v>
      </c>
      <c r="AG37" s="273">
        <f>AF37*(1+'2. GRI Pricing Inputs'!$D$114)^((AG$16-AF$16)/365)</f>
        <v>1280.7485738080034</v>
      </c>
      <c r="AH37" s="273">
        <f>AG37*(1+'2. GRI Pricing Inputs'!$D$114)^((AH$16-AG$16)/365)</f>
        <v>1285.0219559509264</v>
      </c>
      <c r="AI37" s="273">
        <f>AH37*(1+'2. GRI Pricing Inputs'!$D$114)^((AI$16-AH$16)/365)</f>
        <v>1289.1710627409341</v>
      </c>
      <c r="AJ37" s="273">
        <f>AI37*(1+'2. GRI Pricing Inputs'!$D$114)^((AJ$16-AI$16)/365)</f>
        <v>1293.4725476001445</v>
      </c>
      <c r="AK37" s="273">
        <f>AJ37*(1+'2. GRI Pricing Inputs'!$D$114)^((AK$16-AJ$16)/365)</f>
        <v>1297.6489398439369</v>
      </c>
      <c r="AL37" s="273">
        <f>AK37*(1+'2. GRI Pricing Inputs'!$D$114)^((AL$16-AK$16)/365)</f>
        <v>1301.9787122291791</v>
      </c>
      <c r="AM37" s="273">
        <f>AL37*(1+'2. GRI Pricing Inputs'!$D$114)^((AM$16-AL$16)/365)</f>
        <v>1306.3229314561922</v>
      </c>
      <c r="AN37" s="273">
        <f>AM37*(1+'2. GRI Pricing Inputs'!$D$114)^((AN$16-AM$16)/365)</f>
        <v>1310.5408152983689</v>
      </c>
      <c r="AO37" s="273">
        <f>AN37*(1+'2. GRI Pricing Inputs'!$D$114)^((AO$16-AN$16)/365)</f>
        <v>1314.9136030821699</v>
      </c>
    </row>
    <row r="38" spans="3:41" ht="12" x14ac:dyDescent="0.2">
      <c r="C38" s="76" t="str">
        <f>'1. Accomodation'!N42</f>
        <v>206N</v>
      </c>
      <c r="D38" s="69" t="str">
        <f>'1. Accomodation'!P42</f>
        <v>1 Bed</v>
      </c>
      <c r="E38" s="69">
        <f>'1. Accomodation'!Q42</f>
        <v>1</v>
      </c>
      <c r="F38" s="77">
        <f>'1. Accomodation'!O42</f>
        <v>441</v>
      </c>
      <c r="G38" s="69">
        <f>'1. Accomodation'!R42</f>
        <v>2</v>
      </c>
      <c r="H38" s="69" t="str">
        <f>'1. Accomodation'!S42</f>
        <v>Forth Banks</v>
      </c>
      <c r="I38" s="62"/>
      <c r="K38" s="272">
        <f>IFERROR(INDEX('2. GRI Pricing Inputs'!$C$15:$AI$16,MATCH($K$16,'2. GRI Pricing Inputs'!$C$15:$C$16,0),MATCH(D38,'2. GRI Pricing Inputs'!$C$15:$AI$15,0)),0)</f>
        <v>845</v>
      </c>
      <c r="L38" s="273">
        <f>IFERROR(INDEX('2. GRI Pricing Inputs'!$C$22:$AI$23,MATCH($L$16,'2. GRI Pricing Inputs'!$C$22:$C$23,0),MATCH(E38,'2. GRI Pricing Inputs'!$C$22:$AI$22,0)),0)</f>
        <v>0</v>
      </c>
      <c r="M38" s="328">
        <f>IF(AND('3. GRI Pricing'!$F38&gt;='2. GRI Pricing Inputs'!$D$33,'3. GRI Pricing'!$F38&lt;='2. GRI Pricing Inputs'!$E$33),'2. GRI Pricing Inputs'!$D$32,IF(AND('3. GRI Pricing'!$F38&gt;='2. GRI Pricing Inputs'!$F$33,'3. GRI Pricing'!$F38&lt;='2. GRI Pricing Inputs'!$G$33),'2. GRI Pricing Inputs'!$F$32,IF(AND('3. GRI Pricing'!$F38&gt;='2. GRI Pricing Inputs'!$H$33,'3. GRI Pricing'!$F38&lt;='2. GRI Pricing Inputs'!$I$33),'2. GRI Pricing Inputs'!$H$32,IF(AND('3. GRI Pricing'!$F38&gt;='2. GRI Pricing Inputs'!$J$33,'3. GRI Pricing'!$F38&lt;='2. GRI Pricing Inputs'!$K$33),'2. GRI Pricing Inputs'!$J$32,IF(AND('3. GRI Pricing'!$F38&gt;='2. GRI Pricing Inputs'!$L$33,'3. GRI Pricing'!$F38&lt;='2. GRI Pricing Inputs'!$M$33),'2. GRI Pricing Inputs'!$L$32,IF(AND('3. GRI Pricing'!$F38&gt;='2. GRI Pricing Inputs'!$N$33,'3. GRI Pricing'!$F38&lt;='2. GRI Pricing Inputs'!$O$33),'2. GRI Pricing Inputs'!$N$32,IF(AND('3. GRI Pricing'!$F38&gt;='2. GRI Pricing Inputs'!$P$33,'3. GRI Pricing'!$F38&lt;='2. GRI Pricing Inputs'!$Q$33),'2. GRI Pricing Inputs'!$P$32,IF(AND('3. GRI Pricing'!$F38&gt;='2. GRI Pricing Inputs'!$R$33,'3. GRI Pricing'!$F38&lt;='2. GRI Pricing Inputs'!$S$33),'2. GRI Pricing Inputs'!$R$32,IF(AND('3. GRI Pricing'!$F38&gt;='2. GRI Pricing Inputs'!$T$33,'3. GRI Pricing'!$F38&lt;='2. GRI Pricing Inputs'!$U$33),'2. GRI Pricing Inputs'!$T$32,IF(AND('3. GRI Pricing'!$F38&gt;='2. GRI Pricing Inputs'!$V$33,'3. GRI Pricing'!$F38&lt;='2. GRI Pricing Inputs'!$W$33),'2. GRI Pricing Inputs'!$V$32,IF(AND('3. GRI Pricing'!$F38&gt;='2. GRI Pricing Inputs'!$X$33,'3. GRI Pricing'!$F38&lt;='2. GRI Pricing Inputs'!$Y$33),'2. GRI Pricing Inputs'!$X$32,IF(AND('3. GRI Pricing'!$F38&gt;='2. GRI Pricing Inputs'!$Z$33,'3. GRI Pricing'!$F38&lt;='2. GRI Pricing Inputs'!$AA$33),'2. GRI Pricing Inputs'!$Z$32,IF(AND('3. GRI Pricing'!$F38&gt;='2. GRI Pricing Inputs'!$AB$33,'3. GRI Pricing'!$F38&lt;='2. GRI Pricing Inputs'!$AC$33),'2. GRI Pricing Inputs'!$AB$32,IF(AND('3. GRI Pricing'!$F38&gt;='2. GRI Pricing Inputs'!$AD$33,'3. GRI Pricing'!$F38&lt;='2. GRI Pricing Inputs'!$AE$33),'2. GRI Pricing Inputs'!$AD$32,IF(AND('3. GRI Pricing'!$F38&gt;='2. GRI Pricing Inputs'!$AF$33,'3. GRI Pricing'!$F38&lt;='2. GRI Pricing Inputs'!$AG$33),'2. GRI Pricing Inputs'!$AF$32,IF(AND('3. GRI Pricing'!$F38&gt;='2. GRI Pricing Inputs'!$AH$33,'3. GRI Pricing'!$F38&lt;='2. GRI Pricing Inputs'!$AI$33),'2. GRI Pricing Inputs'!$AH$32,0))))))))))))))))</f>
        <v>0</v>
      </c>
      <c r="N38" s="273" cm="1">
        <f t="array" ref="N38">IFERROR(INDEX('2. GRI Pricing Inputs'!$C$32:$AI$39,MATCH('3. GRI Pricing'!D38,'2. GRI Pricing Inputs'!$C$32:$C$39,0),(MATCH('3. GRI Pricing'!M38,'2. GRI Pricing Inputs'!$D$32:$AI$32,0)+1)),0)</f>
        <v>0</v>
      </c>
      <c r="O38" s="273">
        <f>IFERROR(INDEX('2. GRI Pricing Inputs'!$C$45:$AI$46,MATCH($O$16,'2. GRI Pricing Inputs'!$C$45:$C$46,0),MATCH(G38,'2. GRI Pricing Inputs'!$C$45:$AI$45,0)),0)</f>
        <v>40</v>
      </c>
      <c r="P38" s="273">
        <f>IFERROR(INDEX('2. GRI Pricing Inputs'!$C$53:$AI$54,MATCH('3. GRI Pricing'!$P$16,'2. GRI Pricing Inputs'!$C$53:$C$54,0),MATCH('3. GRI Pricing'!H38,'2. GRI Pricing Inputs'!$C$53:$AI$53,0)),0)</f>
        <v>5</v>
      </c>
      <c r="Q38" s="273">
        <f>IFERROR(INDEX('2. GRI Pricing Inputs'!$C$60:$AI$61,MATCH('3. GRI Pricing'!$Q$16,'2. GRI Pricing Inputs'!$C$60:$C$61,0),MATCH('1. Accomodation'!T42,'2. GRI Pricing Inputs'!$C$60:$AI$60,0)),0)</f>
        <v>0</v>
      </c>
      <c r="R38" s="273">
        <f>IFERROR(INDEX('2. GRI Pricing Inputs'!$C$67:$AI$68,MATCH('3. GRI Pricing'!$R$16,'2. GRI Pricing Inputs'!$C$67:$C$68,0),MATCH('1. Accomodation'!U42,'2. GRI Pricing Inputs'!$C$67:$AI$67,0)),0)</f>
        <v>0</v>
      </c>
      <c r="S38" s="273">
        <f>IF(D38=0,0,'2. GRI Pricing Inputs'!$AI$75)</f>
        <v>70</v>
      </c>
      <c r="T38" s="273">
        <f>IFERROR(INDEX('2. GRI Pricing Inputs'!$C$82:$AI$83,MATCH('3. GRI Pricing'!$T$16,'2. GRI Pricing Inputs'!$C$82:$C$83,0),MATCH('1. Accomodation'!V42,'2. GRI Pricing Inputs'!$C$82:$AI$82,0)),0)</f>
        <v>0</v>
      </c>
      <c r="U38" s="273">
        <f>IFERROR(INDEX('2. GRI Pricing Inputs'!$C$89:$AI$90,MATCH('3. GRI Pricing'!$U$16,'2. GRI Pricing Inputs'!$C$89:$C$90,0),MATCH('1. Accomodation'!W42,'2. GRI Pricing Inputs'!$C$89:$AI$89,0)),0)</f>
        <v>0</v>
      </c>
      <c r="V38" s="273">
        <f>IFERROR(INDEX('2. GRI Pricing Inputs'!$C$97:$AI$98,MATCH('3. GRI Pricing'!$V$16,'2. GRI Pricing Inputs'!$C$97:$C$98,0),MATCH('1. Accomodation'!X42,'2. GRI Pricing Inputs'!$C$97:$AI$97,0)),0)</f>
        <v>0</v>
      </c>
      <c r="W38" s="273">
        <f>IFERROR(INDEX('2. GRI Pricing Inputs'!$C$104:$AI$105,MATCH('3. GRI Pricing'!$W$16,'2. GRI Pricing Inputs'!$C$104:$C$105,0),MATCH('1. Accomodation'!Y42,'2. GRI Pricing Inputs'!$C$104:$AI$104,0)),0)</f>
        <v>0</v>
      </c>
      <c r="X38" s="274">
        <v>0</v>
      </c>
      <c r="Y38" s="275">
        <f t="shared" si="7"/>
        <v>960</v>
      </c>
      <c r="Z38" s="276"/>
      <c r="AA38" s="276"/>
      <c r="AB38" s="276"/>
      <c r="AC38" s="272">
        <f>Y38*(1+'2. GRI Pricing Inputs'!$D$114)^(($AC$16-$AB$15)/365)</f>
        <v>963.2031633226876</v>
      </c>
      <c r="AD38" s="273">
        <f>AC38*(1+'2. GRI Pricing Inputs'!$D$114)^((AD$16-AC$16)/365)</f>
        <v>966.31317460816922</v>
      </c>
      <c r="AE38" s="273">
        <f>AD38*(1+'2. GRI Pricing Inputs'!$D$114)^((AE$16-AD$16)/365)</f>
        <v>969.53740264893452</v>
      </c>
      <c r="AF38" s="273">
        <f>AE38*(1+'2. GRI Pricing Inputs'!$D$114)^((AF$16-AE$16)/365)</f>
        <v>972.77238874074578</v>
      </c>
      <c r="AG38" s="273">
        <f>AF38*(1+'2. GRI Pricing Inputs'!$D$114)^((AG$16-AF$16)/365)</f>
        <v>975.80843718705</v>
      </c>
      <c r="AH38" s="273">
        <f>AG38*(1+'2. GRI Pricing Inputs'!$D$114)^((AH$16-AG$16)/365)</f>
        <v>979.06434739118197</v>
      </c>
      <c r="AI38" s="273">
        <f>AH38*(1+'2. GRI Pricing Inputs'!$D$114)^((AI$16-AH$16)/365)</f>
        <v>982.22557161214024</v>
      </c>
      <c r="AJ38" s="273">
        <f>AI38*(1+'2. GRI Pricing Inputs'!$D$114)^((AJ$16-AI$16)/365)</f>
        <v>985.50289340963388</v>
      </c>
      <c r="AK38" s="273">
        <f>AJ38*(1+'2. GRI Pricing Inputs'!$D$114)^((AK$16-AJ$16)/365)</f>
        <v>988.68490654776144</v>
      </c>
      <c r="AL38" s="273">
        <f>AK38*(1+'2. GRI Pricing Inputs'!$D$114)^((AL$16-AK$16)/365)</f>
        <v>991.98378074604125</v>
      </c>
      <c r="AM38" s="273">
        <f>AL38*(1+'2. GRI Pricing Inputs'!$D$114)^((AM$16-AL$16)/365)</f>
        <v>995.29366206186069</v>
      </c>
      <c r="AN38" s="273">
        <f>AM38*(1+'2. GRI Pricing Inputs'!$D$114)^((AN$16-AM$16)/365)</f>
        <v>998.50728784637624</v>
      </c>
      <c r="AO38" s="273">
        <f>AN38*(1+'2. GRI Pricing Inputs'!$D$114)^((AO$16-AN$16)/365)</f>
        <v>1001.8389356816531</v>
      </c>
    </row>
    <row r="39" spans="3:41" ht="12" x14ac:dyDescent="0.2">
      <c r="C39" s="76" t="str">
        <f>'1. Accomodation'!N43</f>
        <v>207N</v>
      </c>
      <c r="D39" s="69" t="str">
        <f>'1. Accomodation'!P43</f>
        <v>2 Bed</v>
      </c>
      <c r="E39" s="69">
        <f>'1. Accomodation'!Q43</f>
        <v>2</v>
      </c>
      <c r="F39" s="77">
        <f>'1. Accomodation'!O43</f>
        <v>624</v>
      </c>
      <c r="G39" s="69">
        <f>'1. Accomodation'!R43</f>
        <v>2</v>
      </c>
      <c r="H39" s="69" t="str">
        <f>'1. Accomodation'!S43</f>
        <v>Forth Banks</v>
      </c>
      <c r="I39" s="62"/>
      <c r="K39" s="272">
        <f>IFERROR(INDEX('2. GRI Pricing Inputs'!$C$15:$AI$16,MATCH($K$16,'2. GRI Pricing Inputs'!$C$15:$C$16,0),MATCH(D39,'2. GRI Pricing Inputs'!$C$15:$AI$15,0)),0)</f>
        <v>1110</v>
      </c>
      <c r="L39" s="273">
        <f>IFERROR(INDEX('2. GRI Pricing Inputs'!$C$22:$AI$23,MATCH($L$16,'2. GRI Pricing Inputs'!$C$22:$C$23,0),MATCH(E39,'2. GRI Pricing Inputs'!$C$22:$AI$22,0)),0)</f>
        <v>0</v>
      </c>
      <c r="M39" s="328">
        <f>IF(AND('3. GRI Pricing'!$F39&gt;='2. GRI Pricing Inputs'!$D$33,'3. GRI Pricing'!$F39&lt;='2. GRI Pricing Inputs'!$E$33),'2. GRI Pricing Inputs'!$D$32,IF(AND('3. GRI Pricing'!$F39&gt;='2. GRI Pricing Inputs'!$F$33,'3. GRI Pricing'!$F39&lt;='2. GRI Pricing Inputs'!$G$33),'2. GRI Pricing Inputs'!$F$32,IF(AND('3. GRI Pricing'!$F39&gt;='2. GRI Pricing Inputs'!$H$33,'3. GRI Pricing'!$F39&lt;='2. GRI Pricing Inputs'!$I$33),'2. GRI Pricing Inputs'!$H$32,IF(AND('3. GRI Pricing'!$F39&gt;='2. GRI Pricing Inputs'!$J$33,'3. GRI Pricing'!$F39&lt;='2. GRI Pricing Inputs'!$K$33),'2. GRI Pricing Inputs'!$J$32,IF(AND('3. GRI Pricing'!$F39&gt;='2. GRI Pricing Inputs'!$L$33,'3. GRI Pricing'!$F39&lt;='2. GRI Pricing Inputs'!$M$33),'2. GRI Pricing Inputs'!$L$32,IF(AND('3. GRI Pricing'!$F39&gt;='2. GRI Pricing Inputs'!$N$33,'3. GRI Pricing'!$F39&lt;='2. GRI Pricing Inputs'!$O$33),'2. GRI Pricing Inputs'!$N$32,IF(AND('3. GRI Pricing'!$F39&gt;='2. GRI Pricing Inputs'!$P$33,'3. GRI Pricing'!$F39&lt;='2. GRI Pricing Inputs'!$Q$33),'2. GRI Pricing Inputs'!$P$32,IF(AND('3. GRI Pricing'!$F39&gt;='2. GRI Pricing Inputs'!$R$33,'3. GRI Pricing'!$F39&lt;='2. GRI Pricing Inputs'!$S$33),'2. GRI Pricing Inputs'!$R$32,IF(AND('3. GRI Pricing'!$F39&gt;='2. GRI Pricing Inputs'!$T$33,'3. GRI Pricing'!$F39&lt;='2. GRI Pricing Inputs'!$U$33),'2. GRI Pricing Inputs'!$T$32,IF(AND('3. GRI Pricing'!$F39&gt;='2. GRI Pricing Inputs'!$V$33,'3. GRI Pricing'!$F39&lt;='2. GRI Pricing Inputs'!$W$33),'2. GRI Pricing Inputs'!$V$32,IF(AND('3. GRI Pricing'!$F39&gt;='2. GRI Pricing Inputs'!$X$33,'3. GRI Pricing'!$F39&lt;='2. GRI Pricing Inputs'!$Y$33),'2. GRI Pricing Inputs'!$X$32,IF(AND('3. GRI Pricing'!$F39&gt;='2. GRI Pricing Inputs'!$Z$33,'3. GRI Pricing'!$F39&lt;='2. GRI Pricing Inputs'!$AA$33),'2. GRI Pricing Inputs'!$Z$32,IF(AND('3. GRI Pricing'!$F39&gt;='2. GRI Pricing Inputs'!$AB$33,'3. GRI Pricing'!$F39&lt;='2. GRI Pricing Inputs'!$AC$33),'2. GRI Pricing Inputs'!$AB$32,IF(AND('3. GRI Pricing'!$F39&gt;='2. GRI Pricing Inputs'!$AD$33,'3. GRI Pricing'!$F39&lt;='2. GRI Pricing Inputs'!$AE$33),'2. GRI Pricing Inputs'!$AD$32,IF(AND('3. GRI Pricing'!$F39&gt;='2. GRI Pricing Inputs'!$AF$33,'3. GRI Pricing'!$F39&lt;='2. GRI Pricing Inputs'!$AG$33),'2. GRI Pricing Inputs'!$AF$32,IF(AND('3. GRI Pricing'!$F39&gt;='2. GRI Pricing Inputs'!$AH$33,'3. GRI Pricing'!$F39&lt;='2. GRI Pricing Inputs'!$AI$33),'2. GRI Pricing Inputs'!$AH$32,0))))))))))))))))</f>
        <v>7</v>
      </c>
      <c r="N39" s="273" cm="1">
        <f t="array" ref="N39">IFERROR(INDEX('2. GRI Pricing Inputs'!$C$32:$AI$39,MATCH('3. GRI Pricing'!D39,'2. GRI Pricing Inputs'!$C$32:$C$39,0),(MATCH('3. GRI Pricing'!M39,'2. GRI Pricing Inputs'!$D$32:$AI$32,0)+1)),0)</f>
        <v>10</v>
      </c>
      <c r="O39" s="273">
        <f>IFERROR(INDEX('2. GRI Pricing Inputs'!$C$45:$AI$46,MATCH($O$16,'2. GRI Pricing Inputs'!$C$45:$C$46,0),MATCH(G39,'2. GRI Pricing Inputs'!$C$45:$AI$45,0)),0)</f>
        <v>40</v>
      </c>
      <c r="P39" s="273">
        <f>IFERROR(INDEX('2. GRI Pricing Inputs'!$C$53:$AI$54,MATCH('3. GRI Pricing'!$P$16,'2. GRI Pricing Inputs'!$C$53:$C$54,0),MATCH('3. GRI Pricing'!H39,'2. GRI Pricing Inputs'!$C$53:$AI$53,0)),0)</f>
        <v>5</v>
      </c>
      <c r="Q39" s="273">
        <f>IFERROR(INDEX('2. GRI Pricing Inputs'!$C$60:$AI$61,MATCH('3. GRI Pricing'!$Q$16,'2. GRI Pricing Inputs'!$C$60:$C$61,0),MATCH('1. Accomodation'!T43,'2. GRI Pricing Inputs'!$C$60:$AI$60,0)),0)</f>
        <v>0</v>
      </c>
      <c r="R39" s="273">
        <f>IFERROR(INDEX('2. GRI Pricing Inputs'!$C$67:$AI$68,MATCH('3. GRI Pricing'!$R$16,'2. GRI Pricing Inputs'!$C$67:$C$68,0),MATCH('1. Accomodation'!U43,'2. GRI Pricing Inputs'!$C$67:$AI$67,0)),0)</f>
        <v>0</v>
      </c>
      <c r="S39" s="273">
        <f>IF(D39=0,0,'2. GRI Pricing Inputs'!$AI$75)</f>
        <v>70</v>
      </c>
      <c r="T39" s="273">
        <f>IFERROR(INDEX('2. GRI Pricing Inputs'!$C$82:$AI$83,MATCH('3. GRI Pricing'!$T$16,'2. GRI Pricing Inputs'!$C$82:$C$83,0),MATCH('1. Accomodation'!V43,'2. GRI Pricing Inputs'!$C$82:$AI$82,0)),0)</f>
        <v>0</v>
      </c>
      <c r="U39" s="273">
        <f>IFERROR(INDEX('2. GRI Pricing Inputs'!$C$89:$AI$90,MATCH('3. GRI Pricing'!$U$16,'2. GRI Pricing Inputs'!$C$89:$C$90,0),MATCH('1. Accomodation'!W43,'2. GRI Pricing Inputs'!$C$89:$AI$89,0)),0)</f>
        <v>0</v>
      </c>
      <c r="V39" s="273">
        <f>IFERROR(INDEX('2. GRI Pricing Inputs'!$C$97:$AI$98,MATCH('3. GRI Pricing'!$V$16,'2. GRI Pricing Inputs'!$C$97:$C$98,0),MATCH('1. Accomodation'!X43,'2. GRI Pricing Inputs'!$C$97:$AI$97,0)),0)</f>
        <v>0</v>
      </c>
      <c r="W39" s="273">
        <f>IFERROR(INDEX('2. GRI Pricing Inputs'!$C$104:$AI$105,MATCH('3. GRI Pricing'!$W$16,'2. GRI Pricing Inputs'!$C$104:$C$105,0),MATCH('1. Accomodation'!Y43,'2. GRI Pricing Inputs'!$C$104:$AI$104,0)),0)</f>
        <v>0</v>
      </c>
      <c r="X39" s="274">
        <v>0</v>
      </c>
      <c r="Y39" s="275">
        <f t="shared" si="7"/>
        <v>1235</v>
      </c>
      <c r="Z39" s="276"/>
      <c r="AA39" s="276"/>
      <c r="AB39" s="276"/>
      <c r="AC39" s="272">
        <f>Y39*(1+'2. GRI Pricing Inputs'!$D$114)^(($AC$16-$AB$15)/365)</f>
        <v>1239.1207361494992</v>
      </c>
      <c r="AD39" s="273">
        <f>AC39*(1+'2. GRI Pricing Inputs'!$D$114)^((AD$16-AC$16)/365)</f>
        <v>1243.1216360844678</v>
      </c>
      <c r="AE39" s="273">
        <f>AD39*(1+'2. GRI Pricing Inputs'!$D$114)^((AE$16-AD$16)/365)</f>
        <v>1247.2694711160773</v>
      </c>
      <c r="AF39" s="273">
        <f>AE39*(1+'2. GRI Pricing Inputs'!$D$114)^((AF$16-AE$16)/365)</f>
        <v>1251.4311459321054</v>
      </c>
      <c r="AG39" s="273">
        <f>AF39*(1+'2. GRI Pricing Inputs'!$D$114)^((AG$16-AF$16)/365)</f>
        <v>1255.3368957562573</v>
      </c>
      <c r="AH39" s="273">
        <f>AG39*(1+'2. GRI Pricing Inputs'!$D$114)^((AH$16-AG$16)/365)</f>
        <v>1259.5254885709478</v>
      </c>
      <c r="AI39" s="273">
        <f>AH39*(1+'2. GRI Pricing Inputs'!$D$114)^((AI$16-AH$16)/365)</f>
        <v>1263.5922718135348</v>
      </c>
      <c r="AJ39" s="273">
        <f>AI39*(1+'2. GRI Pricing Inputs'!$D$114)^((AJ$16-AI$16)/365)</f>
        <v>1267.8084097509354</v>
      </c>
      <c r="AK39" s="273">
        <f>AJ39*(1+'2. GRI Pricing Inputs'!$D$114)^((AK$16-AJ$16)/365)</f>
        <v>1271.9019370692556</v>
      </c>
      <c r="AL39" s="273">
        <f>AK39*(1+'2. GRI Pricing Inputs'!$D$114)^((AL$16-AK$16)/365)</f>
        <v>1276.145801272251</v>
      </c>
      <c r="AM39" s="273">
        <f>AL39*(1+'2. GRI Pricing Inputs'!$D$114)^((AM$16-AL$16)/365)</f>
        <v>1280.4038256733313</v>
      </c>
      <c r="AN39" s="273">
        <f>AM39*(1+'2. GRI Pricing Inputs'!$D$114)^((AN$16-AM$16)/365)</f>
        <v>1284.5380213440362</v>
      </c>
      <c r="AO39" s="273">
        <f>AN39*(1+'2. GRI Pricing Inputs'!$D$114)^((AO$16-AN$16)/365)</f>
        <v>1288.8240474654601</v>
      </c>
    </row>
    <row r="40" spans="3:41" ht="12" x14ac:dyDescent="0.2">
      <c r="C40" s="76" t="str">
        <f>'1. Accomodation'!N44</f>
        <v>208N</v>
      </c>
      <c r="D40" s="69" t="str">
        <f>'1. Accomodation'!P44</f>
        <v>2 Bed</v>
      </c>
      <c r="E40" s="69">
        <f>'1. Accomodation'!Q44</f>
        <v>2</v>
      </c>
      <c r="F40" s="77">
        <f>'1. Accomodation'!O44</f>
        <v>624</v>
      </c>
      <c r="G40" s="69">
        <f>'1. Accomodation'!R44</f>
        <v>2</v>
      </c>
      <c r="H40" s="69" t="str">
        <f>'1. Accomodation'!S44</f>
        <v>Forth Banks</v>
      </c>
      <c r="I40" s="62"/>
      <c r="K40" s="272">
        <f>IFERROR(INDEX('2. GRI Pricing Inputs'!$C$15:$AI$16,MATCH($K$16,'2. GRI Pricing Inputs'!$C$15:$C$16,0),MATCH(D40,'2. GRI Pricing Inputs'!$C$15:$AI$15,0)),0)</f>
        <v>1110</v>
      </c>
      <c r="L40" s="273">
        <f>IFERROR(INDEX('2. GRI Pricing Inputs'!$C$22:$AI$23,MATCH($L$16,'2. GRI Pricing Inputs'!$C$22:$C$23,0),MATCH(E40,'2. GRI Pricing Inputs'!$C$22:$AI$22,0)),0)</f>
        <v>0</v>
      </c>
      <c r="M40" s="328">
        <f>IF(AND('3. GRI Pricing'!$F40&gt;='2. GRI Pricing Inputs'!$D$33,'3. GRI Pricing'!$F40&lt;='2. GRI Pricing Inputs'!$E$33),'2. GRI Pricing Inputs'!$D$32,IF(AND('3. GRI Pricing'!$F40&gt;='2. GRI Pricing Inputs'!$F$33,'3. GRI Pricing'!$F40&lt;='2. GRI Pricing Inputs'!$G$33),'2. GRI Pricing Inputs'!$F$32,IF(AND('3. GRI Pricing'!$F40&gt;='2. GRI Pricing Inputs'!$H$33,'3. GRI Pricing'!$F40&lt;='2. GRI Pricing Inputs'!$I$33),'2. GRI Pricing Inputs'!$H$32,IF(AND('3. GRI Pricing'!$F40&gt;='2. GRI Pricing Inputs'!$J$33,'3. GRI Pricing'!$F40&lt;='2. GRI Pricing Inputs'!$K$33),'2. GRI Pricing Inputs'!$J$32,IF(AND('3. GRI Pricing'!$F40&gt;='2. GRI Pricing Inputs'!$L$33,'3. GRI Pricing'!$F40&lt;='2. GRI Pricing Inputs'!$M$33),'2. GRI Pricing Inputs'!$L$32,IF(AND('3. GRI Pricing'!$F40&gt;='2. GRI Pricing Inputs'!$N$33,'3. GRI Pricing'!$F40&lt;='2. GRI Pricing Inputs'!$O$33),'2. GRI Pricing Inputs'!$N$32,IF(AND('3. GRI Pricing'!$F40&gt;='2. GRI Pricing Inputs'!$P$33,'3. GRI Pricing'!$F40&lt;='2. GRI Pricing Inputs'!$Q$33),'2. GRI Pricing Inputs'!$P$32,IF(AND('3. GRI Pricing'!$F40&gt;='2. GRI Pricing Inputs'!$R$33,'3. GRI Pricing'!$F40&lt;='2. GRI Pricing Inputs'!$S$33),'2. GRI Pricing Inputs'!$R$32,IF(AND('3. GRI Pricing'!$F40&gt;='2. GRI Pricing Inputs'!$T$33,'3. GRI Pricing'!$F40&lt;='2. GRI Pricing Inputs'!$U$33),'2. GRI Pricing Inputs'!$T$32,IF(AND('3. GRI Pricing'!$F40&gt;='2. GRI Pricing Inputs'!$V$33,'3. GRI Pricing'!$F40&lt;='2. GRI Pricing Inputs'!$W$33),'2. GRI Pricing Inputs'!$V$32,IF(AND('3. GRI Pricing'!$F40&gt;='2. GRI Pricing Inputs'!$X$33,'3. GRI Pricing'!$F40&lt;='2. GRI Pricing Inputs'!$Y$33),'2. GRI Pricing Inputs'!$X$32,IF(AND('3. GRI Pricing'!$F40&gt;='2. GRI Pricing Inputs'!$Z$33,'3. GRI Pricing'!$F40&lt;='2. GRI Pricing Inputs'!$AA$33),'2. GRI Pricing Inputs'!$Z$32,IF(AND('3. GRI Pricing'!$F40&gt;='2. GRI Pricing Inputs'!$AB$33,'3. GRI Pricing'!$F40&lt;='2. GRI Pricing Inputs'!$AC$33),'2. GRI Pricing Inputs'!$AB$32,IF(AND('3. GRI Pricing'!$F40&gt;='2. GRI Pricing Inputs'!$AD$33,'3. GRI Pricing'!$F40&lt;='2. GRI Pricing Inputs'!$AE$33),'2. GRI Pricing Inputs'!$AD$32,IF(AND('3. GRI Pricing'!$F40&gt;='2. GRI Pricing Inputs'!$AF$33,'3. GRI Pricing'!$F40&lt;='2. GRI Pricing Inputs'!$AG$33),'2. GRI Pricing Inputs'!$AF$32,IF(AND('3. GRI Pricing'!$F40&gt;='2. GRI Pricing Inputs'!$AH$33,'3. GRI Pricing'!$F40&lt;='2. GRI Pricing Inputs'!$AI$33),'2. GRI Pricing Inputs'!$AH$32,0))))))))))))))))</f>
        <v>7</v>
      </c>
      <c r="N40" s="273" cm="1">
        <f t="array" ref="N40">IFERROR(INDEX('2. GRI Pricing Inputs'!$C$32:$AI$39,MATCH('3. GRI Pricing'!D40,'2. GRI Pricing Inputs'!$C$32:$C$39,0),(MATCH('3. GRI Pricing'!M40,'2. GRI Pricing Inputs'!$D$32:$AI$32,0)+1)),0)</f>
        <v>10</v>
      </c>
      <c r="O40" s="273">
        <f>IFERROR(INDEX('2. GRI Pricing Inputs'!$C$45:$AI$46,MATCH($O$16,'2. GRI Pricing Inputs'!$C$45:$C$46,0),MATCH(G40,'2. GRI Pricing Inputs'!$C$45:$AI$45,0)),0)</f>
        <v>40</v>
      </c>
      <c r="P40" s="273">
        <f>IFERROR(INDEX('2. GRI Pricing Inputs'!$C$53:$AI$54,MATCH('3. GRI Pricing'!$P$16,'2. GRI Pricing Inputs'!$C$53:$C$54,0),MATCH('3. GRI Pricing'!H40,'2. GRI Pricing Inputs'!$C$53:$AI$53,0)),0)</f>
        <v>5</v>
      </c>
      <c r="Q40" s="273">
        <f>IFERROR(INDEX('2. GRI Pricing Inputs'!$C$60:$AI$61,MATCH('3. GRI Pricing'!$Q$16,'2. GRI Pricing Inputs'!$C$60:$C$61,0),MATCH('1. Accomodation'!T44,'2. GRI Pricing Inputs'!$C$60:$AI$60,0)),0)</f>
        <v>0</v>
      </c>
      <c r="R40" s="273">
        <f>IFERROR(INDEX('2. GRI Pricing Inputs'!$C$67:$AI$68,MATCH('3. GRI Pricing'!$R$16,'2. GRI Pricing Inputs'!$C$67:$C$68,0),MATCH('1. Accomodation'!U44,'2. GRI Pricing Inputs'!$C$67:$AI$67,0)),0)</f>
        <v>0</v>
      </c>
      <c r="S40" s="273">
        <f>IF(D40=0,0,'2. GRI Pricing Inputs'!$AI$75)</f>
        <v>70</v>
      </c>
      <c r="T40" s="273">
        <f>IFERROR(INDEX('2. GRI Pricing Inputs'!$C$82:$AI$83,MATCH('3. GRI Pricing'!$T$16,'2. GRI Pricing Inputs'!$C$82:$C$83,0),MATCH('1. Accomodation'!V44,'2. GRI Pricing Inputs'!$C$82:$AI$82,0)),0)</f>
        <v>0</v>
      </c>
      <c r="U40" s="273">
        <f>IFERROR(INDEX('2. GRI Pricing Inputs'!$C$89:$AI$90,MATCH('3. GRI Pricing'!$U$16,'2. GRI Pricing Inputs'!$C$89:$C$90,0),MATCH('1. Accomodation'!W44,'2. GRI Pricing Inputs'!$C$89:$AI$89,0)),0)</f>
        <v>0</v>
      </c>
      <c r="V40" s="273">
        <f>IFERROR(INDEX('2. GRI Pricing Inputs'!$C$97:$AI$98,MATCH('3. GRI Pricing'!$V$16,'2. GRI Pricing Inputs'!$C$97:$C$98,0),MATCH('1. Accomodation'!X44,'2. GRI Pricing Inputs'!$C$97:$AI$97,0)),0)</f>
        <v>0</v>
      </c>
      <c r="W40" s="273">
        <f>IFERROR(INDEX('2. GRI Pricing Inputs'!$C$104:$AI$105,MATCH('3. GRI Pricing'!$W$16,'2. GRI Pricing Inputs'!$C$104:$C$105,0),MATCH('1. Accomodation'!Y44,'2. GRI Pricing Inputs'!$C$104:$AI$104,0)),0)</f>
        <v>0</v>
      </c>
      <c r="X40" s="274">
        <v>0</v>
      </c>
      <c r="Y40" s="275">
        <f t="shared" si="7"/>
        <v>1235</v>
      </c>
      <c r="Z40" s="276"/>
      <c r="AA40" s="276"/>
      <c r="AB40" s="276"/>
      <c r="AC40" s="272">
        <f>Y40*(1+'2. GRI Pricing Inputs'!$D$114)^(($AC$16-$AB$15)/365)</f>
        <v>1239.1207361494992</v>
      </c>
      <c r="AD40" s="273">
        <f>AC40*(1+'2. GRI Pricing Inputs'!$D$114)^((AD$16-AC$16)/365)</f>
        <v>1243.1216360844678</v>
      </c>
      <c r="AE40" s="273">
        <f>AD40*(1+'2. GRI Pricing Inputs'!$D$114)^((AE$16-AD$16)/365)</f>
        <v>1247.2694711160773</v>
      </c>
      <c r="AF40" s="273">
        <f>AE40*(1+'2. GRI Pricing Inputs'!$D$114)^((AF$16-AE$16)/365)</f>
        <v>1251.4311459321054</v>
      </c>
      <c r="AG40" s="273">
        <f>AF40*(1+'2. GRI Pricing Inputs'!$D$114)^((AG$16-AF$16)/365)</f>
        <v>1255.3368957562573</v>
      </c>
      <c r="AH40" s="273">
        <f>AG40*(1+'2. GRI Pricing Inputs'!$D$114)^((AH$16-AG$16)/365)</f>
        <v>1259.5254885709478</v>
      </c>
      <c r="AI40" s="273">
        <f>AH40*(1+'2. GRI Pricing Inputs'!$D$114)^((AI$16-AH$16)/365)</f>
        <v>1263.5922718135348</v>
      </c>
      <c r="AJ40" s="273">
        <f>AI40*(1+'2. GRI Pricing Inputs'!$D$114)^((AJ$16-AI$16)/365)</f>
        <v>1267.8084097509354</v>
      </c>
      <c r="AK40" s="273">
        <f>AJ40*(1+'2. GRI Pricing Inputs'!$D$114)^((AK$16-AJ$16)/365)</f>
        <v>1271.9019370692556</v>
      </c>
      <c r="AL40" s="273">
        <f>AK40*(1+'2. GRI Pricing Inputs'!$D$114)^((AL$16-AK$16)/365)</f>
        <v>1276.145801272251</v>
      </c>
      <c r="AM40" s="273">
        <f>AL40*(1+'2. GRI Pricing Inputs'!$D$114)^((AM$16-AL$16)/365)</f>
        <v>1280.4038256733313</v>
      </c>
      <c r="AN40" s="273">
        <f>AM40*(1+'2. GRI Pricing Inputs'!$D$114)^((AN$16-AM$16)/365)</f>
        <v>1284.5380213440362</v>
      </c>
      <c r="AO40" s="273">
        <f>AN40*(1+'2. GRI Pricing Inputs'!$D$114)^((AO$16-AN$16)/365)</f>
        <v>1288.8240474654601</v>
      </c>
    </row>
    <row r="41" spans="3:41" ht="12" x14ac:dyDescent="0.2">
      <c r="C41" s="76" t="str">
        <f>'1. Accomodation'!N45</f>
        <v>209N</v>
      </c>
      <c r="D41" s="69" t="str">
        <f>'1. Accomodation'!P45</f>
        <v>2 Bed</v>
      </c>
      <c r="E41" s="69">
        <f>'1. Accomodation'!Q45</f>
        <v>2</v>
      </c>
      <c r="F41" s="77">
        <f>'1. Accomodation'!O45</f>
        <v>657</v>
      </c>
      <c r="G41" s="69">
        <f>'1. Accomodation'!R45</f>
        <v>2</v>
      </c>
      <c r="H41" s="69" t="str">
        <f>'1. Accomodation'!S45</f>
        <v>River - Partial</v>
      </c>
      <c r="I41" s="62"/>
      <c r="K41" s="272">
        <f>IFERROR(INDEX('2. GRI Pricing Inputs'!$C$15:$AI$16,MATCH($K$16,'2. GRI Pricing Inputs'!$C$15:$C$16,0),MATCH(D41,'2. GRI Pricing Inputs'!$C$15:$AI$15,0)),0)</f>
        <v>1110</v>
      </c>
      <c r="L41" s="273">
        <f>IFERROR(INDEX('2. GRI Pricing Inputs'!$C$22:$AI$23,MATCH($L$16,'2. GRI Pricing Inputs'!$C$22:$C$23,0),MATCH(E41,'2. GRI Pricing Inputs'!$C$22:$AI$22,0)),0)</f>
        <v>0</v>
      </c>
      <c r="M41" s="328">
        <f>IF(AND('3. GRI Pricing'!$F41&gt;='2. GRI Pricing Inputs'!$D$33,'3. GRI Pricing'!$F41&lt;='2. GRI Pricing Inputs'!$E$33),'2. GRI Pricing Inputs'!$D$32,IF(AND('3. GRI Pricing'!$F41&gt;='2. GRI Pricing Inputs'!$F$33,'3. GRI Pricing'!$F41&lt;='2. GRI Pricing Inputs'!$G$33),'2. GRI Pricing Inputs'!$F$32,IF(AND('3. GRI Pricing'!$F41&gt;='2. GRI Pricing Inputs'!$H$33,'3. GRI Pricing'!$F41&lt;='2. GRI Pricing Inputs'!$I$33),'2. GRI Pricing Inputs'!$H$32,IF(AND('3. GRI Pricing'!$F41&gt;='2. GRI Pricing Inputs'!$J$33,'3. GRI Pricing'!$F41&lt;='2. GRI Pricing Inputs'!$K$33),'2. GRI Pricing Inputs'!$J$32,IF(AND('3. GRI Pricing'!$F41&gt;='2. GRI Pricing Inputs'!$L$33,'3. GRI Pricing'!$F41&lt;='2. GRI Pricing Inputs'!$M$33),'2. GRI Pricing Inputs'!$L$32,IF(AND('3. GRI Pricing'!$F41&gt;='2. GRI Pricing Inputs'!$N$33,'3. GRI Pricing'!$F41&lt;='2. GRI Pricing Inputs'!$O$33),'2. GRI Pricing Inputs'!$N$32,IF(AND('3. GRI Pricing'!$F41&gt;='2. GRI Pricing Inputs'!$P$33,'3. GRI Pricing'!$F41&lt;='2. GRI Pricing Inputs'!$Q$33),'2. GRI Pricing Inputs'!$P$32,IF(AND('3. GRI Pricing'!$F41&gt;='2. GRI Pricing Inputs'!$R$33,'3. GRI Pricing'!$F41&lt;='2. GRI Pricing Inputs'!$S$33),'2. GRI Pricing Inputs'!$R$32,IF(AND('3. GRI Pricing'!$F41&gt;='2. GRI Pricing Inputs'!$T$33,'3. GRI Pricing'!$F41&lt;='2. GRI Pricing Inputs'!$U$33),'2. GRI Pricing Inputs'!$T$32,IF(AND('3. GRI Pricing'!$F41&gt;='2. GRI Pricing Inputs'!$V$33,'3. GRI Pricing'!$F41&lt;='2. GRI Pricing Inputs'!$W$33),'2. GRI Pricing Inputs'!$V$32,IF(AND('3. GRI Pricing'!$F41&gt;='2. GRI Pricing Inputs'!$X$33,'3. GRI Pricing'!$F41&lt;='2. GRI Pricing Inputs'!$Y$33),'2. GRI Pricing Inputs'!$X$32,IF(AND('3. GRI Pricing'!$F41&gt;='2. GRI Pricing Inputs'!$Z$33,'3. GRI Pricing'!$F41&lt;='2. GRI Pricing Inputs'!$AA$33),'2. GRI Pricing Inputs'!$Z$32,IF(AND('3. GRI Pricing'!$F41&gt;='2. GRI Pricing Inputs'!$AB$33,'3. GRI Pricing'!$F41&lt;='2. GRI Pricing Inputs'!$AC$33),'2. GRI Pricing Inputs'!$AB$32,IF(AND('3. GRI Pricing'!$F41&gt;='2. GRI Pricing Inputs'!$AD$33,'3. GRI Pricing'!$F41&lt;='2. GRI Pricing Inputs'!$AE$33),'2. GRI Pricing Inputs'!$AD$32,IF(AND('3. GRI Pricing'!$F41&gt;='2. GRI Pricing Inputs'!$AF$33,'3. GRI Pricing'!$F41&lt;='2. GRI Pricing Inputs'!$AG$33),'2. GRI Pricing Inputs'!$AF$32,IF(AND('3. GRI Pricing'!$F41&gt;='2. GRI Pricing Inputs'!$AH$33,'3. GRI Pricing'!$F41&lt;='2. GRI Pricing Inputs'!$AI$33),'2. GRI Pricing Inputs'!$AH$32,0))))))))))))))))</f>
        <v>8</v>
      </c>
      <c r="N41" s="273" cm="1">
        <f t="array" ref="N41">IFERROR(INDEX('2. GRI Pricing Inputs'!$C$32:$AI$39,MATCH('3. GRI Pricing'!D41,'2. GRI Pricing Inputs'!$C$32:$C$39,0),(MATCH('3. GRI Pricing'!M41,'2. GRI Pricing Inputs'!$D$32:$AI$32,0)+1)),0)</f>
        <v>20</v>
      </c>
      <c r="O41" s="273">
        <f>IFERROR(INDEX('2. GRI Pricing Inputs'!$C$45:$AI$46,MATCH($O$16,'2. GRI Pricing Inputs'!$C$45:$C$46,0),MATCH(G41,'2. GRI Pricing Inputs'!$C$45:$AI$45,0)),0)</f>
        <v>40</v>
      </c>
      <c r="P41" s="273">
        <f>IFERROR(INDEX('2. GRI Pricing Inputs'!$C$53:$AI$54,MATCH('3. GRI Pricing'!$P$16,'2. GRI Pricing Inputs'!$C$53:$C$54,0),MATCH('3. GRI Pricing'!H41,'2. GRI Pricing Inputs'!$C$53:$AI$53,0)),0)</f>
        <v>45</v>
      </c>
      <c r="Q41" s="273">
        <f>IFERROR(INDEX('2. GRI Pricing Inputs'!$C$60:$AI$61,MATCH('3. GRI Pricing'!$Q$16,'2. GRI Pricing Inputs'!$C$60:$C$61,0),MATCH('1. Accomodation'!T45,'2. GRI Pricing Inputs'!$C$60:$AI$60,0)),0)</f>
        <v>0</v>
      </c>
      <c r="R41" s="273">
        <f>IFERROR(INDEX('2. GRI Pricing Inputs'!$C$67:$AI$68,MATCH('3. GRI Pricing'!$R$16,'2. GRI Pricing Inputs'!$C$67:$C$68,0),MATCH('1. Accomodation'!U45,'2. GRI Pricing Inputs'!$C$67:$AI$67,0)),0)</f>
        <v>0</v>
      </c>
      <c r="S41" s="273">
        <f>IF(D41=0,0,'2. GRI Pricing Inputs'!$AI$75)</f>
        <v>70</v>
      </c>
      <c r="T41" s="273">
        <f>IFERROR(INDEX('2. GRI Pricing Inputs'!$C$82:$AI$83,MATCH('3. GRI Pricing'!$T$16,'2. GRI Pricing Inputs'!$C$82:$C$83,0),MATCH('1. Accomodation'!V45,'2. GRI Pricing Inputs'!$C$82:$AI$82,0)),0)</f>
        <v>0</v>
      </c>
      <c r="U41" s="273">
        <f>IFERROR(INDEX('2. GRI Pricing Inputs'!$C$89:$AI$90,MATCH('3. GRI Pricing'!$U$16,'2. GRI Pricing Inputs'!$C$89:$C$90,0),MATCH('1. Accomodation'!W45,'2. GRI Pricing Inputs'!$C$89:$AI$89,0)),0)</f>
        <v>0</v>
      </c>
      <c r="V41" s="273">
        <f>IFERROR(INDEX('2. GRI Pricing Inputs'!$C$97:$AI$98,MATCH('3. GRI Pricing'!$V$16,'2. GRI Pricing Inputs'!$C$97:$C$98,0),MATCH('1. Accomodation'!X45,'2. GRI Pricing Inputs'!$C$97:$AI$97,0)),0)</f>
        <v>0</v>
      </c>
      <c r="W41" s="273">
        <f>IFERROR(INDEX('2. GRI Pricing Inputs'!$C$104:$AI$105,MATCH('3. GRI Pricing'!$W$16,'2. GRI Pricing Inputs'!$C$104:$C$105,0),MATCH('1. Accomodation'!Y45,'2. GRI Pricing Inputs'!$C$104:$AI$104,0)),0)</f>
        <v>0</v>
      </c>
      <c r="X41" s="274">
        <v>0</v>
      </c>
      <c r="Y41" s="275">
        <f t="shared" si="7"/>
        <v>1285</v>
      </c>
      <c r="Z41" s="276"/>
      <c r="AA41" s="276"/>
      <c r="AB41" s="276"/>
      <c r="AC41" s="272">
        <f>Y41*(1+'2. GRI Pricing Inputs'!$D$114)^(($AC$16-$AB$15)/365)</f>
        <v>1289.2875675725559</v>
      </c>
      <c r="AD41" s="273">
        <f>AC41*(1+'2. GRI Pricing Inputs'!$D$114)^((AD$16-AC$16)/365)</f>
        <v>1293.4504472619767</v>
      </c>
      <c r="AE41" s="273">
        <f>AD41*(1+'2. GRI Pricing Inputs'!$D$114)^((AE$16-AD$16)/365)</f>
        <v>1297.7662108373761</v>
      </c>
      <c r="AF41" s="273">
        <f>AE41*(1+'2. GRI Pricing Inputs'!$D$114)^((AF$16-AE$16)/365)</f>
        <v>1302.0963745123527</v>
      </c>
      <c r="AG41" s="273">
        <f>AF41*(1+'2. GRI Pricing Inputs'!$D$114)^((AG$16-AF$16)/365)</f>
        <v>1306.1602518597495</v>
      </c>
      <c r="AH41" s="273">
        <f>AG41*(1+'2. GRI Pricing Inputs'!$D$114)^((AH$16-AG$16)/365)</f>
        <v>1310.5184233309053</v>
      </c>
      <c r="AI41" s="273">
        <f>AH41*(1+'2. GRI Pricing Inputs'!$D$114)^((AI$16-AH$16)/365)</f>
        <v>1314.7498536683338</v>
      </c>
      <c r="AJ41" s="273">
        <f>AI41*(1+'2. GRI Pricing Inputs'!$D$114)^((AJ$16-AI$16)/365)</f>
        <v>1319.136685449354</v>
      </c>
      <c r="AK41" s="273">
        <f>AJ41*(1+'2. GRI Pricing Inputs'!$D$114)^((AK$16-AJ$16)/365)</f>
        <v>1323.3959426186184</v>
      </c>
      <c r="AL41" s="273">
        <f>AK41*(1+'2. GRI Pricing Inputs'!$D$114)^((AL$16-AK$16)/365)</f>
        <v>1327.8116231861075</v>
      </c>
      <c r="AM41" s="273">
        <f>AL41*(1+'2. GRI Pricing Inputs'!$D$114)^((AM$16-AL$16)/365)</f>
        <v>1332.2420372390534</v>
      </c>
      <c r="AN41" s="273">
        <f>AM41*(1+'2. GRI Pricing Inputs'!$D$114)^((AN$16-AM$16)/365)</f>
        <v>1336.5436092527018</v>
      </c>
      <c r="AO41" s="273">
        <f>AN41*(1+'2. GRI Pricing Inputs'!$D$114)^((AO$16-AN$16)/365)</f>
        <v>1341.0031586988796</v>
      </c>
    </row>
    <row r="42" spans="3:41" ht="12" x14ac:dyDescent="0.2">
      <c r="C42" s="76" t="str">
        <f>'1. Accomodation'!N46</f>
        <v>210N</v>
      </c>
      <c r="D42" s="69" t="str">
        <f>'1. Accomodation'!P46</f>
        <v>2 Bed</v>
      </c>
      <c r="E42" s="69">
        <f>'1. Accomodation'!Q46</f>
        <v>2</v>
      </c>
      <c r="F42" s="77">
        <f>'1. Accomodation'!O46</f>
        <v>700</v>
      </c>
      <c r="G42" s="69">
        <f>'1. Accomodation'!R46</f>
        <v>2</v>
      </c>
      <c r="H42" s="69" t="str">
        <f>'1. Accomodation'!S46</f>
        <v>Forth Banks - Partial</v>
      </c>
      <c r="I42" s="62"/>
      <c r="K42" s="272">
        <f>IFERROR(INDEX('2. GRI Pricing Inputs'!$C$15:$AI$16,MATCH($K$16,'2. GRI Pricing Inputs'!$C$15:$C$16,0),MATCH(D42,'2. GRI Pricing Inputs'!$C$15:$AI$15,0)),0)</f>
        <v>1110</v>
      </c>
      <c r="L42" s="273">
        <f>IFERROR(INDEX('2. GRI Pricing Inputs'!$C$22:$AI$23,MATCH($L$16,'2. GRI Pricing Inputs'!$C$22:$C$23,0),MATCH(E42,'2. GRI Pricing Inputs'!$C$22:$AI$22,0)),0)</f>
        <v>0</v>
      </c>
      <c r="M42" s="328">
        <f>IF(AND('3. GRI Pricing'!$F42&gt;='2. GRI Pricing Inputs'!$D$33,'3. GRI Pricing'!$F42&lt;='2. GRI Pricing Inputs'!$E$33),'2. GRI Pricing Inputs'!$D$32,IF(AND('3. GRI Pricing'!$F42&gt;='2. GRI Pricing Inputs'!$F$33,'3. GRI Pricing'!$F42&lt;='2. GRI Pricing Inputs'!$G$33),'2. GRI Pricing Inputs'!$F$32,IF(AND('3. GRI Pricing'!$F42&gt;='2. GRI Pricing Inputs'!$H$33,'3. GRI Pricing'!$F42&lt;='2. GRI Pricing Inputs'!$I$33),'2. GRI Pricing Inputs'!$H$32,IF(AND('3. GRI Pricing'!$F42&gt;='2. GRI Pricing Inputs'!$J$33,'3. GRI Pricing'!$F42&lt;='2. GRI Pricing Inputs'!$K$33),'2. GRI Pricing Inputs'!$J$32,IF(AND('3. GRI Pricing'!$F42&gt;='2. GRI Pricing Inputs'!$L$33,'3. GRI Pricing'!$F42&lt;='2. GRI Pricing Inputs'!$M$33),'2. GRI Pricing Inputs'!$L$32,IF(AND('3. GRI Pricing'!$F42&gt;='2. GRI Pricing Inputs'!$N$33,'3. GRI Pricing'!$F42&lt;='2. GRI Pricing Inputs'!$O$33),'2. GRI Pricing Inputs'!$N$32,IF(AND('3. GRI Pricing'!$F42&gt;='2. GRI Pricing Inputs'!$P$33,'3. GRI Pricing'!$F42&lt;='2. GRI Pricing Inputs'!$Q$33),'2. GRI Pricing Inputs'!$P$32,IF(AND('3. GRI Pricing'!$F42&gt;='2. GRI Pricing Inputs'!$R$33,'3. GRI Pricing'!$F42&lt;='2. GRI Pricing Inputs'!$S$33),'2. GRI Pricing Inputs'!$R$32,IF(AND('3. GRI Pricing'!$F42&gt;='2. GRI Pricing Inputs'!$T$33,'3. GRI Pricing'!$F42&lt;='2. GRI Pricing Inputs'!$U$33),'2. GRI Pricing Inputs'!$T$32,IF(AND('3. GRI Pricing'!$F42&gt;='2. GRI Pricing Inputs'!$V$33,'3. GRI Pricing'!$F42&lt;='2. GRI Pricing Inputs'!$W$33),'2. GRI Pricing Inputs'!$V$32,IF(AND('3. GRI Pricing'!$F42&gt;='2. GRI Pricing Inputs'!$X$33,'3. GRI Pricing'!$F42&lt;='2. GRI Pricing Inputs'!$Y$33),'2. GRI Pricing Inputs'!$X$32,IF(AND('3. GRI Pricing'!$F42&gt;='2. GRI Pricing Inputs'!$Z$33,'3. GRI Pricing'!$F42&lt;='2. GRI Pricing Inputs'!$AA$33),'2. GRI Pricing Inputs'!$Z$32,IF(AND('3. GRI Pricing'!$F42&gt;='2. GRI Pricing Inputs'!$AB$33,'3. GRI Pricing'!$F42&lt;='2. GRI Pricing Inputs'!$AC$33),'2. GRI Pricing Inputs'!$AB$32,IF(AND('3. GRI Pricing'!$F42&gt;='2. GRI Pricing Inputs'!$AD$33,'3. GRI Pricing'!$F42&lt;='2. GRI Pricing Inputs'!$AE$33),'2. GRI Pricing Inputs'!$AD$32,IF(AND('3. GRI Pricing'!$F42&gt;='2. GRI Pricing Inputs'!$AF$33,'3. GRI Pricing'!$F42&lt;='2. GRI Pricing Inputs'!$AG$33),'2. GRI Pricing Inputs'!$AF$32,IF(AND('3. GRI Pricing'!$F42&gt;='2. GRI Pricing Inputs'!$AH$33,'3. GRI Pricing'!$F42&lt;='2. GRI Pricing Inputs'!$AI$33),'2. GRI Pricing Inputs'!$AH$32,0))))))))))))))))</f>
        <v>12</v>
      </c>
      <c r="N42" s="273" cm="1">
        <f t="array" ref="N42">IFERROR(INDEX('2. GRI Pricing Inputs'!$C$32:$AI$39,MATCH('3. GRI Pricing'!D42,'2. GRI Pricing Inputs'!$C$32:$C$39,0),(MATCH('3. GRI Pricing'!M42,'2. GRI Pricing Inputs'!$D$32:$AI$32,0)+1)),0)</f>
        <v>70</v>
      </c>
      <c r="O42" s="273">
        <f>IFERROR(INDEX('2. GRI Pricing Inputs'!$C$45:$AI$46,MATCH($O$16,'2. GRI Pricing Inputs'!$C$45:$C$46,0),MATCH(G42,'2. GRI Pricing Inputs'!$C$45:$AI$45,0)),0)</f>
        <v>40</v>
      </c>
      <c r="P42" s="273">
        <f>IFERROR(INDEX('2. GRI Pricing Inputs'!$C$53:$AI$54,MATCH('3. GRI Pricing'!$P$16,'2. GRI Pricing Inputs'!$C$53:$C$54,0),MATCH('3. GRI Pricing'!H42,'2. GRI Pricing Inputs'!$C$53:$AI$53,0)),0)</f>
        <v>40</v>
      </c>
      <c r="Q42" s="273">
        <f>IFERROR(INDEX('2. GRI Pricing Inputs'!$C$60:$AI$61,MATCH('3. GRI Pricing'!$Q$16,'2. GRI Pricing Inputs'!$C$60:$C$61,0),MATCH('1. Accomodation'!T46,'2. GRI Pricing Inputs'!$C$60:$AI$60,0)),0)</f>
        <v>0</v>
      </c>
      <c r="R42" s="273">
        <f>IFERROR(INDEX('2. GRI Pricing Inputs'!$C$67:$AI$68,MATCH('3. GRI Pricing'!$R$16,'2. GRI Pricing Inputs'!$C$67:$C$68,0),MATCH('1. Accomodation'!U46,'2. GRI Pricing Inputs'!$C$67:$AI$67,0)),0)</f>
        <v>0</v>
      </c>
      <c r="S42" s="273">
        <f>IF(D42=0,0,'2. GRI Pricing Inputs'!$AI$75)</f>
        <v>70</v>
      </c>
      <c r="T42" s="273">
        <f>IFERROR(INDEX('2. GRI Pricing Inputs'!$C$82:$AI$83,MATCH('3. GRI Pricing'!$T$16,'2. GRI Pricing Inputs'!$C$82:$C$83,0),MATCH('1. Accomodation'!V46,'2. GRI Pricing Inputs'!$C$82:$AI$82,0)),0)</f>
        <v>0</v>
      </c>
      <c r="U42" s="273">
        <f>IFERROR(INDEX('2. GRI Pricing Inputs'!$C$89:$AI$90,MATCH('3. GRI Pricing'!$U$16,'2. GRI Pricing Inputs'!$C$89:$C$90,0),MATCH('1. Accomodation'!W46,'2. GRI Pricing Inputs'!$C$89:$AI$89,0)),0)</f>
        <v>0</v>
      </c>
      <c r="V42" s="273">
        <f>IFERROR(INDEX('2. GRI Pricing Inputs'!$C$97:$AI$98,MATCH('3. GRI Pricing'!$V$16,'2. GRI Pricing Inputs'!$C$97:$C$98,0),MATCH('1. Accomodation'!X46,'2. GRI Pricing Inputs'!$C$97:$AI$97,0)),0)</f>
        <v>0</v>
      </c>
      <c r="W42" s="273">
        <f>IFERROR(INDEX('2. GRI Pricing Inputs'!$C$104:$AI$105,MATCH('3. GRI Pricing'!$W$16,'2. GRI Pricing Inputs'!$C$104:$C$105,0),MATCH('1. Accomodation'!Y46,'2. GRI Pricing Inputs'!$C$104:$AI$104,0)),0)</f>
        <v>0</v>
      </c>
      <c r="X42" s="274">
        <v>0</v>
      </c>
      <c r="Y42" s="275">
        <f t="shared" si="7"/>
        <v>1330</v>
      </c>
      <c r="Z42" s="276"/>
      <c r="AA42" s="276"/>
      <c r="AB42" s="276"/>
      <c r="AC42" s="272">
        <f>Y42*(1+'2. GRI Pricing Inputs'!$D$114)^(($AC$16-$AB$15)/365)</f>
        <v>1334.4377158533068</v>
      </c>
      <c r="AD42" s="273">
        <f>AC42*(1+'2. GRI Pricing Inputs'!$D$114)^((AD$16-AC$16)/365)</f>
        <v>1338.7463773217346</v>
      </c>
      <c r="AE42" s="273">
        <f>AD42*(1+'2. GRI Pricing Inputs'!$D$114)^((AE$16-AD$16)/365)</f>
        <v>1343.2132765865449</v>
      </c>
      <c r="AF42" s="273">
        <f>AE42*(1+'2. GRI Pricing Inputs'!$D$114)^((AF$16-AE$16)/365)</f>
        <v>1347.6950802345752</v>
      </c>
      <c r="AG42" s="273">
        <f>AF42*(1+'2. GRI Pricing Inputs'!$D$114)^((AG$16-AF$16)/365)</f>
        <v>1351.9012723528926</v>
      </c>
      <c r="AH42" s="273">
        <f>AG42*(1+'2. GRI Pricing Inputs'!$D$114)^((AH$16-AG$16)/365)</f>
        <v>1356.4120646148672</v>
      </c>
      <c r="AI42" s="273">
        <f>AH42*(1+'2. GRI Pricing Inputs'!$D$114)^((AI$16-AH$16)/365)</f>
        <v>1360.791677337653</v>
      </c>
      <c r="AJ42" s="273">
        <f>AI42*(1+'2. GRI Pricing Inputs'!$D$114)^((AJ$16-AI$16)/365)</f>
        <v>1365.3321335779306</v>
      </c>
      <c r="AK42" s="273">
        <f>AJ42*(1+'2. GRI Pricing Inputs'!$D$114)^((AK$16-AJ$16)/365)</f>
        <v>1369.7405476130448</v>
      </c>
      <c r="AL42" s="273">
        <f>AK42*(1+'2. GRI Pricing Inputs'!$D$114)^((AL$16-AK$16)/365)</f>
        <v>1374.3108629085782</v>
      </c>
      <c r="AM42" s="273">
        <f>AL42*(1+'2. GRI Pricing Inputs'!$D$114)^((AM$16-AL$16)/365)</f>
        <v>1378.8964276482031</v>
      </c>
      <c r="AN42" s="273">
        <f>AM42*(1+'2. GRI Pricing Inputs'!$D$114)^((AN$16-AM$16)/365)</f>
        <v>1383.3486383705008</v>
      </c>
      <c r="AO42" s="273">
        <f>AN42*(1+'2. GRI Pricing Inputs'!$D$114)^((AO$16-AN$16)/365)</f>
        <v>1387.9643588089573</v>
      </c>
    </row>
    <row r="43" spans="3:41" ht="12" x14ac:dyDescent="0.2">
      <c r="C43" s="76" t="str">
        <f>'1. Accomodation'!N47</f>
        <v>211N</v>
      </c>
      <c r="D43" s="69" t="str">
        <f>'1. Accomodation'!P47</f>
        <v>2 Bed</v>
      </c>
      <c r="E43" s="69">
        <f>'1. Accomodation'!Q47</f>
        <v>2</v>
      </c>
      <c r="F43" s="77">
        <f>'1. Accomodation'!O47</f>
        <v>689</v>
      </c>
      <c r="G43" s="69">
        <f>'1. Accomodation'!R47</f>
        <v>2</v>
      </c>
      <c r="H43" s="69" t="str">
        <f>'1. Accomodation'!S47</f>
        <v>Courtyard - dual</v>
      </c>
      <c r="I43" s="62"/>
      <c r="K43" s="272">
        <f>IFERROR(INDEX('2. GRI Pricing Inputs'!$C$15:$AI$16,MATCH($K$16,'2. GRI Pricing Inputs'!$C$15:$C$16,0),MATCH(D43,'2. GRI Pricing Inputs'!$C$15:$AI$15,0)),0)</f>
        <v>1110</v>
      </c>
      <c r="L43" s="273">
        <f>IFERROR(INDEX('2. GRI Pricing Inputs'!$C$22:$AI$23,MATCH($L$16,'2. GRI Pricing Inputs'!$C$22:$C$23,0),MATCH(E43,'2. GRI Pricing Inputs'!$C$22:$AI$22,0)),0)</f>
        <v>0</v>
      </c>
      <c r="M43" s="328">
        <f>IF(AND('3. GRI Pricing'!$F43&gt;='2. GRI Pricing Inputs'!$D$33,'3. GRI Pricing'!$F43&lt;='2. GRI Pricing Inputs'!$E$33),'2. GRI Pricing Inputs'!$D$32,IF(AND('3. GRI Pricing'!$F43&gt;='2. GRI Pricing Inputs'!$F$33,'3. GRI Pricing'!$F43&lt;='2. GRI Pricing Inputs'!$G$33),'2. GRI Pricing Inputs'!$F$32,IF(AND('3. GRI Pricing'!$F43&gt;='2. GRI Pricing Inputs'!$H$33,'3. GRI Pricing'!$F43&lt;='2. GRI Pricing Inputs'!$I$33),'2. GRI Pricing Inputs'!$H$32,IF(AND('3. GRI Pricing'!$F43&gt;='2. GRI Pricing Inputs'!$J$33,'3. GRI Pricing'!$F43&lt;='2. GRI Pricing Inputs'!$K$33),'2. GRI Pricing Inputs'!$J$32,IF(AND('3. GRI Pricing'!$F43&gt;='2. GRI Pricing Inputs'!$L$33,'3. GRI Pricing'!$F43&lt;='2. GRI Pricing Inputs'!$M$33),'2. GRI Pricing Inputs'!$L$32,IF(AND('3. GRI Pricing'!$F43&gt;='2. GRI Pricing Inputs'!$N$33,'3. GRI Pricing'!$F43&lt;='2. GRI Pricing Inputs'!$O$33),'2. GRI Pricing Inputs'!$N$32,IF(AND('3. GRI Pricing'!$F43&gt;='2. GRI Pricing Inputs'!$P$33,'3. GRI Pricing'!$F43&lt;='2. GRI Pricing Inputs'!$Q$33),'2. GRI Pricing Inputs'!$P$32,IF(AND('3. GRI Pricing'!$F43&gt;='2. GRI Pricing Inputs'!$R$33,'3. GRI Pricing'!$F43&lt;='2. GRI Pricing Inputs'!$S$33),'2. GRI Pricing Inputs'!$R$32,IF(AND('3. GRI Pricing'!$F43&gt;='2. GRI Pricing Inputs'!$T$33,'3. GRI Pricing'!$F43&lt;='2. GRI Pricing Inputs'!$U$33),'2. GRI Pricing Inputs'!$T$32,IF(AND('3. GRI Pricing'!$F43&gt;='2. GRI Pricing Inputs'!$V$33,'3. GRI Pricing'!$F43&lt;='2. GRI Pricing Inputs'!$W$33),'2. GRI Pricing Inputs'!$V$32,IF(AND('3. GRI Pricing'!$F43&gt;='2. GRI Pricing Inputs'!$X$33,'3. GRI Pricing'!$F43&lt;='2. GRI Pricing Inputs'!$Y$33),'2. GRI Pricing Inputs'!$X$32,IF(AND('3. GRI Pricing'!$F43&gt;='2. GRI Pricing Inputs'!$Z$33,'3. GRI Pricing'!$F43&lt;='2. GRI Pricing Inputs'!$AA$33),'2. GRI Pricing Inputs'!$Z$32,IF(AND('3. GRI Pricing'!$F43&gt;='2. GRI Pricing Inputs'!$AB$33,'3. GRI Pricing'!$F43&lt;='2. GRI Pricing Inputs'!$AC$33),'2. GRI Pricing Inputs'!$AB$32,IF(AND('3. GRI Pricing'!$F43&gt;='2. GRI Pricing Inputs'!$AD$33,'3. GRI Pricing'!$F43&lt;='2. GRI Pricing Inputs'!$AE$33),'2. GRI Pricing Inputs'!$AD$32,IF(AND('3. GRI Pricing'!$F43&gt;='2. GRI Pricing Inputs'!$AF$33,'3. GRI Pricing'!$F43&lt;='2. GRI Pricing Inputs'!$AG$33),'2. GRI Pricing Inputs'!$AF$32,IF(AND('3. GRI Pricing'!$F43&gt;='2. GRI Pricing Inputs'!$AH$33,'3. GRI Pricing'!$F43&lt;='2. GRI Pricing Inputs'!$AI$33),'2. GRI Pricing Inputs'!$AH$32,0))))))))))))))))</f>
        <v>11</v>
      </c>
      <c r="N43" s="273" cm="1">
        <f t="array" ref="N43">IFERROR(INDEX('2. GRI Pricing Inputs'!$C$32:$AI$39,MATCH('3. GRI Pricing'!D43,'2. GRI Pricing Inputs'!$C$32:$C$39,0),(MATCH('3. GRI Pricing'!M43,'2. GRI Pricing Inputs'!$D$32:$AI$32,0)+1)),0)</f>
        <v>65</v>
      </c>
      <c r="O43" s="273">
        <f>IFERROR(INDEX('2. GRI Pricing Inputs'!$C$45:$AI$46,MATCH($O$16,'2. GRI Pricing Inputs'!$C$45:$C$46,0),MATCH(G43,'2. GRI Pricing Inputs'!$C$45:$AI$45,0)),0)</f>
        <v>40</v>
      </c>
      <c r="P43" s="273">
        <f>IFERROR(INDEX('2. GRI Pricing Inputs'!$C$53:$AI$54,MATCH('3. GRI Pricing'!$P$16,'2. GRI Pricing Inputs'!$C$53:$C$54,0),MATCH('3. GRI Pricing'!H43,'2. GRI Pricing Inputs'!$C$53:$AI$53,0)),0)</f>
        <v>55</v>
      </c>
      <c r="Q43" s="273">
        <f>IFERROR(INDEX('2. GRI Pricing Inputs'!$C$60:$AI$61,MATCH('3. GRI Pricing'!$Q$16,'2. GRI Pricing Inputs'!$C$60:$C$61,0),MATCH('1. Accomodation'!T47,'2. GRI Pricing Inputs'!$C$60:$AI$60,0)),0)</f>
        <v>0</v>
      </c>
      <c r="R43" s="273">
        <f>IFERROR(INDEX('2. GRI Pricing Inputs'!$C$67:$AI$68,MATCH('3. GRI Pricing'!$R$16,'2. GRI Pricing Inputs'!$C$67:$C$68,0),MATCH('1. Accomodation'!U47,'2. GRI Pricing Inputs'!$C$67:$AI$67,0)),0)</f>
        <v>0</v>
      </c>
      <c r="S43" s="273">
        <f>IF(D43=0,0,'2. GRI Pricing Inputs'!$AI$75)</f>
        <v>70</v>
      </c>
      <c r="T43" s="273">
        <f>IFERROR(INDEX('2. GRI Pricing Inputs'!$C$82:$AI$83,MATCH('3. GRI Pricing'!$T$16,'2. GRI Pricing Inputs'!$C$82:$C$83,0),MATCH('1. Accomodation'!V47,'2. GRI Pricing Inputs'!$C$82:$AI$82,0)),0)</f>
        <v>0</v>
      </c>
      <c r="U43" s="273">
        <f>IFERROR(INDEX('2. GRI Pricing Inputs'!$C$89:$AI$90,MATCH('3. GRI Pricing'!$U$16,'2. GRI Pricing Inputs'!$C$89:$C$90,0),MATCH('1. Accomodation'!W47,'2. GRI Pricing Inputs'!$C$89:$AI$89,0)),0)</f>
        <v>0</v>
      </c>
      <c r="V43" s="273">
        <f>IFERROR(INDEX('2. GRI Pricing Inputs'!$C$97:$AI$98,MATCH('3. GRI Pricing'!$V$16,'2. GRI Pricing Inputs'!$C$97:$C$98,0),MATCH('1. Accomodation'!X47,'2. GRI Pricing Inputs'!$C$97:$AI$97,0)),0)</f>
        <v>0</v>
      </c>
      <c r="W43" s="273">
        <f>IFERROR(INDEX('2. GRI Pricing Inputs'!$C$104:$AI$105,MATCH('3. GRI Pricing'!$W$16,'2. GRI Pricing Inputs'!$C$104:$C$105,0),MATCH('1. Accomodation'!Y47,'2. GRI Pricing Inputs'!$C$104:$AI$104,0)),0)</f>
        <v>0</v>
      </c>
      <c r="X43" s="274">
        <v>0</v>
      </c>
      <c r="Y43" s="275">
        <f t="shared" si="7"/>
        <v>1340</v>
      </c>
      <c r="Z43" s="276"/>
      <c r="AA43" s="276"/>
      <c r="AB43" s="276"/>
      <c r="AC43" s="272">
        <f>Y43*(1+'2. GRI Pricing Inputs'!$D$114)^(($AC$16-$AB$15)/365)</f>
        <v>1344.4710821379181</v>
      </c>
      <c r="AD43" s="273">
        <f>AC43*(1+'2. GRI Pricing Inputs'!$D$114)^((AD$16-AC$16)/365)</f>
        <v>1348.8121395572362</v>
      </c>
      <c r="AE43" s="273">
        <f>AD43*(1+'2. GRI Pricing Inputs'!$D$114)^((AE$16-AD$16)/365)</f>
        <v>1353.3126245308044</v>
      </c>
      <c r="AF43" s="273">
        <f>AE43*(1+'2. GRI Pricing Inputs'!$D$114)^((AF$16-AE$16)/365)</f>
        <v>1357.8281259506243</v>
      </c>
      <c r="AG43" s="273">
        <f>AF43*(1+'2. GRI Pricing Inputs'!$D$114)^((AG$16-AF$16)/365)</f>
        <v>1362.0659435735906</v>
      </c>
      <c r="AH43" s="273">
        <f>AG43*(1+'2. GRI Pricing Inputs'!$D$114)^((AH$16-AG$16)/365)</f>
        <v>1366.6106515668582</v>
      </c>
      <c r="AI43" s="273">
        <f>AH43*(1+'2. GRI Pricing Inputs'!$D$114)^((AI$16-AH$16)/365)</f>
        <v>1371.0231937086126</v>
      </c>
      <c r="AJ43" s="273">
        <f>AI43*(1+'2. GRI Pricing Inputs'!$D$114)^((AJ$16-AI$16)/365)</f>
        <v>1375.5977887176141</v>
      </c>
      <c r="AK43" s="273">
        <f>AJ43*(1+'2. GRI Pricing Inputs'!$D$114)^((AK$16-AJ$16)/365)</f>
        <v>1380.0393487229171</v>
      </c>
      <c r="AL43" s="273">
        <f>AK43*(1+'2. GRI Pricing Inputs'!$D$114)^((AL$16-AK$16)/365)</f>
        <v>1384.6440272913494</v>
      </c>
      <c r="AM43" s="273">
        <f>AL43*(1+'2. GRI Pricing Inputs'!$D$114)^((AM$16-AL$16)/365)</f>
        <v>1389.2640699613473</v>
      </c>
      <c r="AN43" s="273">
        <f>AM43*(1+'2. GRI Pricing Inputs'!$D$114)^((AN$16-AM$16)/365)</f>
        <v>1393.7497559522337</v>
      </c>
      <c r="AO43" s="273">
        <f>AN43*(1+'2. GRI Pricing Inputs'!$D$114)^((AO$16-AN$16)/365)</f>
        <v>1398.400181055641</v>
      </c>
    </row>
    <row r="44" spans="3:41" ht="12" x14ac:dyDescent="0.2">
      <c r="C44" s="76" t="str">
        <f>'1. Accomodation'!N48</f>
        <v>212N</v>
      </c>
      <c r="D44" s="69" t="str">
        <f>'1. Accomodation'!P48</f>
        <v>1 Bed</v>
      </c>
      <c r="E44" s="69">
        <f>'1. Accomodation'!Q48</f>
        <v>1</v>
      </c>
      <c r="F44" s="77">
        <f>'1. Accomodation'!O48</f>
        <v>517</v>
      </c>
      <c r="G44" s="69">
        <f>'1. Accomodation'!R48</f>
        <v>2</v>
      </c>
      <c r="H44" s="69" t="str">
        <f>'1. Accomodation'!S48</f>
        <v>Courtyard - dual</v>
      </c>
      <c r="I44" s="62"/>
      <c r="K44" s="272">
        <f>IFERROR(INDEX('2. GRI Pricing Inputs'!$C$15:$AI$16,MATCH($K$16,'2. GRI Pricing Inputs'!$C$15:$C$16,0),MATCH(D44,'2. GRI Pricing Inputs'!$C$15:$AI$15,0)),0)</f>
        <v>845</v>
      </c>
      <c r="L44" s="273">
        <f>IFERROR(INDEX('2. GRI Pricing Inputs'!$C$22:$AI$23,MATCH($L$16,'2. GRI Pricing Inputs'!$C$22:$C$23,0),MATCH(E44,'2. GRI Pricing Inputs'!$C$22:$AI$22,0)),0)</f>
        <v>0</v>
      </c>
      <c r="M44" s="328">
        <f>IF(AND('3. GRI Pricing'!$F44&gt;='2. GRI Pricing Inputs'!$D$33,'3. GRI Pricing'!$F44&lt;='2. GRI Pricing Inputs'!$E$33),'2. GRI Pricing Inputs'!$D$32,IF(AND('3. GRI Pricing'!$F44&gt;='2. GRI Pricing Inputs'!$F$33,'3. GRI Pricing'!$F44&lt;='2. GRI Pricing Inputs'!$G$33),'2. GRI Pricing Inputs'!$F$32,IF(AND('3. GRI Pricing'!$F44&gt;='2. GRI Pricing Inputs'!$H$33,'3. GRI Pricing'!$F44&lt;='2. GRI Pricing Inputs'!$I$33),'2. GRI Pricing Inputs'!$H$32,IF(AND('3. GRI Pricing'!$F44&gt;='2. GRI Pricing Inputs'!$J$33,'3. GRI Pricing'!$F44&lt;='2. GRI Pricing Inputs'!$K$33),'2. GRI Pricing Inputs'!$J$32,IF(AND('3. GRI Pricing'!$F44&gt;='2. GRI Pricing Inputs'!$L$33,'3. GRI Pricing'!$F44&lt;='2. GRI Pricing Inputs'!$M$33),'2. GRI Pricing Inputs'!$L$32,IF(AND('3. GRI Pricing'!$F44&gt;='2. GRI Pricing Inputs'!$N$33,'3. GRI Pricing'!$F44&lt;='2. GRI Pricing Inputs'!$O$33),'2. GRI Pricing Inputs'!$N$32,IF(AND('3. GRI Pricing'!$F44&gt;='2. GRI Pricing Inputs'!$P$33,'3. GRI Pricing'!$F44&lt;='2. GRI Pricing Inputs'!$Q$33),'2. GRI Pricing Inputs'!$P$32,IF(AND('3. GRI Pricing'!$F44&gt;='2. GRI Pricing Inputs'!$R$33,'3. GRI Pricing'!$F44&lt;='2. GRI Pricing Inputs'!$S$33),'2. GRI Pricing Inputs'!$R$32,IF(AND('3. GRI Pricing'!$F44&gt;='2. GRI Pricing Inputs'!$T$33,'3. GRI Pricing'!$F44&lt;='2. GRI Pricing Inputs'!$U$33),'2. GRI Pricing Inputs'!$T$32,IF(AND('3. GRI Pricing'!$F44&gt;='2. GRI Pricing Inputs'!$V$33,'3. GRI Pricing'!$F44&lt;='2. GRI Pricing Inputs'!$W$33),'2. GRI Pricing Inputs'!$V$32,IF(AND('3. GRI Pricing'!$F44&gt;='2. GRI Pricing Inputs'!$X$33,'3. GRI Pricing'!$F44&lt;='2. GRI Pricing Inputs'!$Y$33),'2. GRI Pricing Inputs'!$X$32,IF(AND('3. GRI Pricing'!$F44&gt;='2. GRI Pricing Inputs'!$Z$33,'3. GRI Pricing'!$F44&lt;='2. GRI Pricing Inputs'!$AA$33),'2. GRI Pricing Inputs'!$Z$32,IF(AND('3. GRI Pricing'!$F44&gt;='2. GRI Pricing Inputs'!$AB$33,'3. GRI Pricing'!$F44&lt;='2. GRI Pricing Inputs'!$AC$33),'2. GRI Pricing Inputs'!$AB$32,IF(AND('3. GRI Pricing'!$F44&gt;='2. GRI Pricing Inputs'!$AD$33,'3. GRI Pricing'!$F44&lt;='2. GRI Pricing Inputs'!$AE$33),'2. GRI Pricing Inputs'!$AD$32,IF(AND('3. GRI Pricing'!$F44&gt;='2. GRI Pricing Inputs'!$AF$33,'3. GRI Pricing'!$F44&lt;='2. GRI Pricing Inputs'!$AG$33),'2. GRI Pricing Inputs'!$AF$32,IF(AND('3. GRI Pricing'!$F44&gt;='2. GRI Pricing Inputs'!$AH$33,'3. GRI Pricing'!$F44&lt;='2. GRI Pricing Inputs'!$AI$33),'2. GRI Pricing Inputs'!$AH$32,0))))))))))))))))</f>
        <v>3</v>
      </c>
      <c r="N44" s="273" cm="1">
        <f t="array" ref="N44">IFERROR(INDEX('2. GRI Pricing Inputs'!$C$32:$AI$39,MATCH('3. GRI Pricing'!D44,'2. GRI Pricing Inputs'!$C$32:$C$39,0),(MATCH('3. GRI Pricing'!M44,'2. GRI Pricing Inputs'!$D$32:$AI$32,0)+1)),0)</f>
        <v>20</v>
      </c>
      <c r="O44" s="273">
        <f>IFERROR(INDEX('2. GRI Pricing Inputs'!$C$45:$AI$46,MATCH($O$16,'2. GRI Pricing Inputs'!$C$45:$C$46,0),MATCH(G44,'2. GRI Pricing Inputs'!$C$45:$AI$45,0)),0)</f>
        <v>40</v>
      </c>
      <c r="P44" s="273">
        <f>IFERROR(INDEX('2. GRI Pricing Inputs'!$C$53:$AI$54,MATCH('3. GRI Pricing'!$P$16,'2. GRI Pricing Inputs'!$C$53:$C$54,0),MATCH('3. GRI Pricing'!H44,'2. GRI Pricing Inputs'!$C$53:$AI$53,0)),0)</f>
        <v>55</v>
      </c>
      <c r="Q44" s="273">
        <f>IFERROR(INDEX('2. GRI Pricing Inputs'!$C$60:$AI$61,MATCH('3. GRI Pricing'!$Q$16,'2. GRI Pricing Inputs'!$C$60:$C$61,0),MATCH('1. Accomodation'!T48,'2. GRI Pricing Inputs'!$C$60:$AI$60,0)),0)</f>
        <v>0</v>
      </c>
      <c r="R44" s="273">
        <f>IFERROR(INDEX('2. GRI Pricing Inputs'!$C$67:$AI$68,MATCH('3. GRI Pricing'!$R$16,'2. GRI Pricing Inputs'!$C$67:$C$68,0),MATCH('1. Accomodation'!U48,'2. GRI Pricing Inputs'!$C$67:$AI$67,0)),0)</f>
        <v>0</v>
      </c>
      <c r="S44" s="273">
        <f>IF(D44=0,0,'2. GRI Pricing Inputs'!$AI$75)</f>
        <v>70</v>
      </c>
      <c r="T44" s="273">
        <f>IFERROR(INDEX('2. GRI Pricing Inputs'!$C$82:$AI$83,MATCH('3. GRI Pricing'!$T$16,'2. GRI Pricing Inputs'!$C$82:$C$83,0),MATCH('1. Accomodation'!V48,'2. GRI Pricing Inputs'!$C$82:$AI$82,0)),0)</f>
        <v>0</v>
      </c>
      <c r="U44" s="273">
        <f>IFERROR(INDEX('2. GRI Pricing Inputs'!$C$89:$AI$90,MATCH('3. GRI Pricing'!$U$16,'2. GRI Pricing Inputs'!$C$89:$C$90,0),MATCH('1. Accomodation'!W48,'2. GRI Pricing Inputs'!$C$89:$AI$89,0)),0)</f>
        <v>0</v>
      </c>
      <c r="V44" s="273">
        <f>IFERROR(INDEX('2. GRI Pricing Inputs'!$C$97:$AI$98,MATCH('3. GRI Pricing'!$V$16,'2. GRI Pricing Inputs'!$C$97:$C$98,0),MATCH('1. Accomodation'!X48,'2. GRI Pricing Inputs'!$C$97:$AI$97,0)),0)</f>
        <v>0</v>
      </c>
      <c r="W44" s="273">
        <f>IFERROR(INDEX('2. GRI Pricing Inputs'!$C$104:$AI$105,MATCH('3. GRI Pricing'!$W$16,'2. GRI Pricing Inputs'!$C$104:$C$105,0),MATCH('1. Accomodation'!Y48,'2. GRI Pricing Inputs'!$C$104:$AI$104,0)),0)</f>
        <v>0</v>
      </c>
      <c r="X44" s="274">
        <v>0</v>
      </c>
      <c r="Y44" s="275">
        <f t="shared" si="7"/>
        <v>1030</v>
      </c>
      <c r="Z44" s="276"/>
      <c r="AA44" s="276"/>
      <c r="AB44" s="276"/>
      <c r="AC44" s="272">
        <f>Y44*(1+'2. GRI Pricing Inputs'!$D$114)^(($AC$16-$AB$15)/365)</f>
        <v>1033.4367273149669</v>
      </c>
      <c r="AD44" s="273">
        <f>AC44*(1+'2. GRI Pricing Inputs'!$D$114)^((AD$16-AC$16)/365)</f>
        <v>1036.7735102566817</v>
      </c>
      <c r="AE44" s="273">
        <f>AD44*(1+'2. GRI Pricing Inputs'!$D$114)^((AE$16-AD$16)/365)</f>
        <v>1040.2328382587527</v>
      </c>
      <c r="AF44" s="273">
        <f>AE44*(1+'2. GRI Pricing Inputs'!$D$114)^((AF$16-AE$16)/365)</f>
        <v>1043.7037087530919</v>
      </c>
      <c r="AG44" s="273">
        <f>AF44*(1+'2. GRI Pricing Inputs'!$D$114)^((AG$16-AF$16)/365)</f>
        <v>1046.9611357319391</v>
      </c>
      <c r="AH44" s="273">
        <f>AG44*(1+'2. GRI Pricing Inputs'!$D$114)^((AH$16-AG$16)/365)</f>
        <v>1050.4544560551224</v>
      </c>
      <c r="AI44" s="273">
        <f>AH44*(1+'2. GRI Pricing Inputs'!$D$114)^((AI$16-AH$16)/365)</f>
        <v>1053.8461862088589</v>
      </c>
      <c r="AJ44" s="273">
        <f>AI44*(1+'2. GRI Pricing Inputs'!$D$114)^((AJ$16-AI$16)/365)</f>
        <v>1057.3624793874196</v>
      </c>
      <c r="AK44" s="273">
        <f>AJ44*(1+'2. GRI Pricing Inputs'!$D$114)^((AK$16-AJ$16)/365)</f>
        <v>1060.776514316869</v>
      </c>
      <c r="AL44" s="273">
        <f>AK44*(1+'2. GRI Pricing Inputs'!$D$114)^((AL$16-AK$16)/365)</f>
        <v>1064.3159314254401</v>
      </c>
      <c r="AM44" s="273">
        <f>AL44*(1+'2. GRI Pricing Inputs'!$D$114)^((AM$16-AL$16)/365)</f>
        <v>1067.8671582538714</v>
      </c>
      <c r="AN44" s="273">
        <f>AM44*(1+'2. GRI Pricing Inputs'!$D$114)^((AN$16-AM$16)/365)</f>
        <v>1071.3151109185078</v>
      </c>
      <c r="AO44" s="273">
        <f>AN44*(1+'2. GRI Pricing Inputs'!$D$114)^((AO$16-AN$16)/365)</f>
        <v>1074.8896914084403</v>
      </c>
    </row>
    <row r="45" spans="3:41" ht="12" x14ac:dyDescent="0.2">
      <c r="C45" s="76" t="str">
        <f>'1. Accomodation'!N49</f>
        <v>213N</v>
      </c>
      <c r="D45" s="69" t="str">
        <f>'1. Accomodation'!P49</f>
        <v>1 Bed</v>
      </c>
      <c r="E45" s="69">
        <f>'1. Accomodation'!Q49</f>
        <v>1</v>
      </c>
      <c r="F45" s="77">
        <f>'1. Accomodation'!O49</f>
        <v>538</v>
      </c>
      <c r="G45" s="69">
        <f>'1. Accomodation'!R49</f>
        <v>2</v>
      </c>
      <c r="H45" s="69" t="str">
        <f>'1. Accomodation'!S49</f>
        <v>Courtyard</v>
      </c>
      <c r="I45" s="62"/>
      <c r="K45" s="272">
        <f>IFERROR(INDEX('2. GRI Pricing Inputs'!$C$15:$AI$16,MATCH($K$16,'2. GRI Pricing Inputs'!$C$15:$C$16,0),MATCH(D45,'2. GRI Pricing Inputs'!$C$15:$AI$15,0)),0)</f>
        <v>845</v>
      </c>
      <c r="L45" s="273">
        <f>IFERROR(INDEX('2. GRI Pricing Inputs'!$C$22:$AI$23,MATCH($L$16,'2. GRI Pricing Inputs'!$C$22:$C$23,0),MATCH(E45,'2. GRI Pricing Inputs'!$C$22:$AI$22,0)),0)</f>
        <v>0</v>
      </c>
      <c r="M45" s="328">
        <f>IF(AND('3. GRI Pricing'!$F45&gt;='2. GRI Pricing Inputs'!$D$33,'3. GRI Pricing'!$F45&lt;='2. GRI Pricing Inputs'!$E$33),'2. GRI Pricing Inputs'!$D$32,IF(AND('3. GRI Pricing'!$F45&gt;='2. GRI Pricing Inputs'!$F$33,'3. GRI Pricing'!$F45&lt;='2. GRI Pricing Inputs'!$G$33),'2. GRI Pricing Inputs'!$F$32,IF(AND('3. GRI Pricing'!$F45&gt;='2. GRI Pricing Inputs'!$H$33,'3. GRI Pricing'!$F45&lt;='2. GRI Pricing Inputs'!$I$33),'2. GRI Pricing Inputs'!$H$32,IF(AND('3. GRI Pricing'!$F45&gt;='2. GRI Pricing Inputs'!$J$33,'3. GRI Pricing'!$F45&lt;='2. GRI Pricing Inputs'!$K$33),'2. GRI Pricing Inputs'!$J$32,IF(AND('3. GRI Pricing'!$F45&gt;='2. GRI Pricing Inputs'!$L$33,'3. GRI Pricing'!$F45&lt;='2. GRI Pricing Inputs'!$M$33),'2. GRI Pricing Inputs'!$L$32,IF(AND('3. GRI Pricing'!$F45&gt;='2. GRI Pricing Inputs'!$N$33,'3. GRI Pricing'!$F45&lt;='2. GRI Pricing Inputs'!$O$33),'2. GRI Pricing Inputs'!$N$32,IF(AND('3. GRI Pricing'!$F45&gt;='2. GRI Pricing Inputs'!$P$33,'3. GRI Pricing'!$F45&lt;='2. GRI Pricing Inputs'!$Q$33),'2. GRI Pricing Inputs'!$P$32,IF(AND('3. GRI Pricing'!$F45&gt;='2. GRI Pricing Inputs'!$R$33,'3. GRI Pricing'!$F45&lt;='2. GRI Pricing Inputs'!$S$33),'2. GRI Pricing Inputs'!$R$32,IF(AND('3. GRI Pricing'!$F45&gt;='2. GRI Pricing Inputs'!$T$33,'3. GRI Pricing'!$F45&lt;='2. GRI Pricing Inputs'!$U$33),'2. GRI Pricing Inputs'!$T$32,IF(AND('3. GRI Pricing'!$F45&gt;='2. GRI Pricing Inputs'!$V$33,'3. GRI Pricing'!$F45&lt;='2. GRI Pricing Inputs'!$W$33),'2. GRI Pricing Inputs'!$V$32,IF(AND('3. GRI Pricing'!$F45&gt;='2. GRI Pricing Inputs'!$X$33,'3. GRI Pricing'!$F45&lt;='2. GRI Pricing Inputs'!$Y$33),'2. GRI Pricing Inputs'!$X$32,IF(AND('3. GRI Pricing'!$F45&gt;='2. GRI Pricing Inputs'!$Z$33,'3. GRI Pricing'!$F45&lt;='2. GRI Pricing Inputs'!$AA$33),'2. GRI Pricing Inputs'!$Z$32,IF(AND('3. GRI Pricing'!$F45&gt;='2. GRI Pricing Inputs'!$AB$33,'3. GRI Pricing'!$F45&lt;='2. GRI Pricing Inputs'!$AC$33),'2. GRI Pricing Inputs'!$AB$32,IF(AND('3. GRI Pricing'!$F45&gt;='2. GRI Pricing Inputs'!$AD$33,'3. GRI Pricing'!$F45&lt;='2. GRI Pricing Inputs'!$AE$33),'2. GRI Pricing Inputs'!$AD$32,IF(AND('3. GRI Pricing'!$F45&gt;='2. GRI Pricing Inputs'!$AF$33,'3. GRI Pricing'!$F45&lt;='2. GRI Pricing Inputs'!$AG$33),'2. GRI Pricing Inputs'!$AF$32,IF(AND('3. GRI Pricing'!$F45&gt;='2. GRI Pricing Inputs'!$AH$33,'3. GRI Pricing'!$F45&lt;='2. GRI Pricing Inputs'!$AI$33),'2. GRI Pricing Inputs'!$AH$32,0))))))))))))))))</f>
        <v>4</v>
      </c>
      <c r="N45" s="273" cm="1">
        <f t="array" ref="N45">IFERROR(INDEX('2. GRI Pricing Inputs'!$C$32:$AI$39,MATCH('3. GRI Pricing'!D45,'2. GRI Pricing Inputs'!$C$32:$C$39,0),(MATCH('3. GRI Pricing'!M45,'2. GRI Pricing Inputs'!$D$32:$AI$32,0)+1)),0)</f>
        <v>25</v>
      </c>
      <c r="O45" s="273">
        <f>IFERROR(INDEX('2. GRI Pricing Inputs'!$C$45:$AI$46,MATCH($O$16,'2. GRI Pricing Inputs'!$C$45:$C$46,0),MATCH(G45,'2. GRI Pricing Inputs'!$C$45:$AI$45,0)),0)</f>
        <v>40</v>
      </c>
      <c r="P45" s="273">
        <f>IFERROR(INDEX('2. GRI Pricing Inputs'!$C$53:$AI$54,MATCH('3. GRI Pricing'!$P$16,'2. GRI Pricing Inputs'!$C$53:$C$54,0),MATCH('3. GRI Pricing'!H45,'2. GRI Pricing Inputs'!$C$53:$AI$53,0)),0)</f>
        <v>25</v>
      </c>
      <c r="Q45" s="273">
        <f>IFERROR(INDEX('2. GRI Pricing Inputs'!$C$60:$AI$61,MATCH('3. GRI Pricing'!$Q$16,'2. GRI Pricing Inputs'!$C$60:$C$61,0),MATCH('1. Accomodation'!T49,'2. GRI Pricing Inputs'!$C$60:$AI$60,0)),0)</f>
        <v>0</v>
      </c>
      <c r="R45" s="273">
        <f>IFERROR(INDEX('2. GRI Pricing Inputs'!$C$67:$AI$68,MATCH('3. GRI Pricing'!$R$16,'2. GRI Pricing Inputs'!$C$67:$C$68,0),MATCH('1. Accomodation'!U49,'2. GRI Pricing Inputs'!$C$67:$AI$67,0)),0)</f>
        <v>0</v>
      </c>
      <c r="S45" s="273">
        <f>IF(D45=0,0,'2. GRI Pricing Inputs'!$AI$75)</f>
        <v>70</v>
      </c>
      <c r="T45" s="273">
        <f>IFERROR(INDEX('2. GRI Pricing Inputs'!$C$82:$AI$83,MATCH('3. GRI Pricing'!$T$16,'2. GRI Pricing Inputs'!$C$82:$C$83,0),MATCH('1. Accomodation'!V49,'2. GRI Pricing Inputs'!$C$82:$AI$82,0)),0)</f>
        <v>0</v>
      </c>
      <c r="U45" s="273">
        <f>IFERROR(INDEX('2. GRI Pricing Inputs'!$C$89:$AI$90,MATCH('3. GRI Pricing'!$U$16,'2. GRI Pricing Inputs'!$C$89:$C$90,0),MATCH('1. Accomodation'!W49,'2. GRI Pricing Inputs'!$C$89:$AI$89,0)),0)</f>
        <v>0</v>
      </c>
      <c r="V45" s="273">
        <f>IFERROR(INDEX('2. GRI Pricing Inputs'!$C$97:$AI$98,MATCH('3. GRI Pricing'!$V$16,'2. GRI Pricing Inputs'!$C$97:$C$98,0),MATCH('1. Accomodation'!X49,'2. GRI Pricing Inputs'!$C$97:$AI$97,0)),0)</f>
        <v>0</v>
      </c>
      <c r="W45" s="273">
        <f>IFERROR(INDEX('2. GRI Pricing Inputs'!$C$104:$AI$105,MATCH('3. GRI Pricing'!$W$16,'2. GRI Pricing Inputs'!$C$104:$C$105,0),MATCH('1. Accomodation'!Y49,'2. GRI Pricing Inputs'!$C$104:$AI$104,0)),0)</f>
        <v>0</v>
      </c>
      <c r="X45" s="274">
        <v>0</v>
      </c>
      <c r="Y45" s="275">
        <f t="shared" si="7"/>
        <v>1005</v>
      </c>
      <c r="Z45" s="276"/>
      <c r="AA45" s="276"/>
      <c r="AB45" s="276"/>
      <c r="AC45" s="272">
        <f>Y45*(1+'2. GRI Pricing Inputs'!$D$114)^(($AC$16-$AB$15)/365)</f>
        <v>1008.3533116034386</v>
      </c>
      <c r="AD45" s="273">
        <f>AC45*(1+'2. GRI Pricing Inputs'!$D$114)^((AD$16-AC$16)/365)</f>
        <v>1011.6091046679271</v>
      </c>
      <c r="AE45" s="273">
        <f>AD45*(1+'2. GRI Pricing Inputs'!$D$114)^((AE$16-AD$16)/365)</f>
        <v>1014.9844683981033</v>
      </c>
      <c r="AF45" s="273">
        <f>AE45*(1+'2. GRI Pricing Inputs'!$D$114)^((AF$16-AE$16)/365)</f>
        <v>1018.3710944629684</v>
      </c>
      <c r="AG45" s="273">
        <f>AF45*(1+'2. GRI Pricing Inputs'!$D$114)^((AG$16-AF$16)/365)</f>
        <v>1021.5494576801931</v>
      </c>
      <c r="AH45" s="273">
        <f>AG45*(1+'2. GRI Pricing Inputs'!$D$114)^((AH$16-AG$16)/365)</f>
        <v>1024.9579886751437</v>
      </c>
      <c r="AI45" s="273">
        <f>AH45*(1+'2. GRI Pricing Inputs'!$D$114)^((AI$16-AH$16)/365)</f>
        <v>1028.2673952814594</v>
      </c>
      <c r="AJ45" s="273">
        <f>AI45*(1+'2. GRI Pricing Inputs'!$D$114)^((AJ$16-AI$16)/365)</f>
        <v>1031.6983415382106</v>
      </c>
      <c r="AK45" s="273">
        <f>AJ45*(1+'2. GRI Pricing Inputs'!$D$114)^((AK$16-AJ$16)/365)</f>
        <v>1035.0295115421877</v>
      </c>
      <c r="AL45" s="273">
        <f>AK45*(1+'2. GRI Pricing Inputs'!$D$114)^((AL$16-AK$16)/365)</f>
        <v>1038.483020468512</v>
      </c>
      <c r="AM45" s="273">
        <f>AL45*(1+'2. GRI Pricing Inputs'!$D$114)^((AM$16-AL$16)/365)</f>
        <v>1041.9480524710104</v>
      </c>
      <c r="AN45" s="273">
        <f>AM45*(1+'2. GRI Pricing Inputs'!$D$114)^((AN$16-AM$16)/365)</f>
        <v>1045.3123169641751</v>
      </c>
      <c r="AO45" s="273">
        <f>AN45*(1+'2. GRI Pricing Inputs'!$D$114)^((AO$16-AN$16)/365)</f>
        <v>1048.8001357917306</v>
      </c>
    </row>
    <row r="46" spans="3:41" ht="12" x14ac:dyDescent="0.2">
      <c r="C46" s="76" t="str">
        <f>'1. Accomodation'!N50</f>
        <v>214N</v>
      </c>
      <c r="D46" s="69" t="str">
        <f>'1. Accomodation'!P50</f>
        <v>1 Bed</v>
      </c>
      <c r="E46" s="69">
        <f>'1. Accomodation'!Q50</f>
        <v>1</v>
      </c>
      <c r="F46" s="77">
        <f>'1. Accomodation'!O50</f>
        <v>560</v>
      </c>
      <c r="G46" s="69">
        <f>'1. Accomodation'!R50</f>
        <v>2</v>
      </c>
      <c r="H46" s="69" t="str">
        <f>'1. Accomodation'!S50</f>
        <v>Courtyard</v>
      </c>
      <c r="I46" s="62"/>
      <c r="K46" s="272">
        <f>IFERROR(INDEX('2. GRI Pricing Inputs'!$C$15:$AI$16,MATCH($K$16,'2. GRI Pricing Inputs'!$C$15:$C$16,0),MATCH(D46,'2. GRI Pricing Inputs'!$C$15:$AI$15,0)),0)</f>
        <v>845</v>
      </c>
      <c r="L46" s="273">
        <f>IFERROR(INDEX('2. GRI Pricing Inputs'!$C$22:$AI$23,MATCH($L$16,'2. GRI Pricing Inputs'!$C$22:$C$23,0),MATCH(E46,'2. GRI Pricing Inputs'!$C$22:$AI$22,0)),0)</f>
        <v>0</v>
      </c>
      <c r="M46" s="328">
        <f>IF(AND('3. GRI Pricing'!$F46&gt;='2. GRI Pricing Inputs'!$D$33,'3. GRI Pricing'!$F46&lt;='2. GRI Pricing Inputs'!$E$33),'2. GRI Pricing Inputs'!$D$32,IF(AND('3. GRI Pricing'!$F46&gt;='2. GRI Pricing Inputs'!$F$33,'3. GRI Pricing'!$F46&lt;='2. GRI Pricing Inputs'!$G$33),'2. GRI Pricing Inputs'!$F$32,IF(AND('3. GRI Pricing'!$F46&gt;='2. GRI Pricing Inputs'!$H$33,'3. GRI Pricing'!$F46&lt;='2. GRI Pricing Inputs'!$I$33),'2. GRI Pricing Inputs'!$H$32,IF(AND('3. GRI Pricing'!$F46&gt;='2. GRI Pricing Inputs'!$J$33,'3. GRI Pricing'!$F46&lt;='2. GRI Pricing Inputs'!$K$33),'2. GRI Pricing Inputs'!$J$32,IF(AND('3. GRI Pricing'!$F46&gt;='2. GRI Pricing Inputs'!$L$33,'3. GRI Pricing'!$F46&lt;='2. GRI Pricing Inputs'!$M$33),'2. GRI Pricing Inputs'!$L$32,IF(AND('3. GRI Pricing'!$F46&gt;='2. GRI Pricing Inputs'!$N$33,'3. GRI Pricing'!$F46&lt;='2. GRI Pricing Inputs'!$O$33),'2. GRI Pricing Inputs'!$N$32,IF(AND('3. GRI Pricing'!$F46&gt;='2. GRI Pricing Inputs'!$P$33,'3. GRI Pricing'!$F46&lt;='2. GRI Pricing Inputs'!$Q$33),'2. GRI Pricing Inputs'!$P$32,IF(AND('3. GRI Pricing'!$F46&gt;='2. GRI Pricing Inputs'!$R$33,'3. GRI Pricing'!$F46&lt;='2. GRI Pricing Inputs'!$S$33),'2. GRI Pricing Inputs'!$R$32,IF(AND('3. GRI Pricing'!$F46&gt;='2. GRI Pricing Inputs'!$T$33,'3. GRI Pricing'!$F46&lt;='2. GRI Pricing Inputs'!$U$33),'2. GRI Pricing Inputs'!$T$32,IF(AND('3. GRI Pricing'!$F46&gt;='2. GRI Pricing Inputs'!$V$33,'3. GRI Pricing'!$F46&lt;='2. GRI Pricing Inputs'!$W$33),'2. GRI Pricing Inputs'!$V$32,IF(AND('3. GRI Pricing'!$F46&gt;='2. GRI Pricing Inputs'!$X$33,'3. GRI Pricing'!$F46&lt;='2. GRI Pricing Inputs'!$Y$33),'2. GRI Pricing Inputs'!$X$32,IF(AND('3. GRI Pricing'!$F46&gt;='2. GRI Pricing Inputs'!$Z$33,'3. GRI Pricing'!$F46&lt;='2. GRI Pricing Inputs'!$AA$33),'2. GRI Pricing Inputs'!$Z$32,IF(AND('3. GRI Pricing'!$F46&gt;='2. GRI Pricing Inputs'!$AB$33,'3. GRI Pricing'!$F46&lt;='2. GRI Pricing Inputs'!$AC$33),'2. GRI Pricing Inputs'!$AB$32,IF(AND('3. GRI Pricing'!$F46&gt;='2. GRI Pricing Inputs'!$AD$33,'3. GRI Pricing'!$F46&lt;='2. GRI Pricing Inputs'!$AE$33),'2. GRI Pricing Inputs'!$AD$32,IF(AND('3. GRI Pricing'!$F46&gt;='2. GRI Pricing Inputs'!$AF$33,'3. GRI Pricing'!$F46&lt;='2. GRI Pricing Inputs'!$AG$33),'2. GRI Pricing Inputs'!$AF$32,IF(AND('3. GRI Pricing'!$F46&gt;='2. GRI Pricing Inputs'!$AH$33,'3. GRI Pricing'!$F46&lt;='2. GRI Pricing Inputs'!$AI$33),'2. GRI Pricing Inputs'!$AH$32,0))))))))))))))))</f>
        <v>5</v>
      </c>
      <c r="N46" s="273" cm="1">
        <f t="array" ref="N46">IFERROR(INDEX('2. GRI Pricing Inputs'!$C$32:$AI$39,MATCH('3. GRI Pricing'!D46,'2. GRI Pricing Inputs'!$C$32:$C$39,0),(MATCH('3. GRI Pricing'!M46,'2. GRI Pricing Inputs'!$D$32:$AI$32,0)+1)),0)</f>
        <v>35</v>
      </c>
      <c r="O46" s="273">
        <f>IFERROR(INDEX('2. GRI Pricing Inputs'!$C$45:$AI$46,MATCH($O$16,'2. GRI Pricing Inputs'!$C$45:$C$46,0),MATCH(G46,'2. GRI Pricing Inputs'!$C$45:$AI$45,0)),0)</f>
        <v>40</v>
      </c>
      <c r="P46" s="273">
        <f>IFERROR(INDEX('2. GRI Pricing Inputs'!$C$53:$AI$54,MATCH('3. GRI Pricing'!$P$16,'2. GRI Pricing Inputs'!$C$53:$C$54,0),MATCH('3. GRI Pricing'!H46,'2. GRI Pricing Inputs'!$C$53:$AI$53,0)),0)</f>
        <v>25</v>
      </c>
      <c r="Q46" s="273">
        <f>IFERROR(INDEX('2. GRI Pricing Inputs'!$C$60:$AI$61,MATCH('3. GRI Pricing'!$Q$16,'2. GRI Pricing Inputs'!$C$60:$C$61,0),MATCH('1. Accomodation'!T50,'2. GRI Pricing Inputs'!$C$60:$AI$60,0)),0)</f>
        <v>0</v>
      </c>
      <c r="R46" s="273">
        <f>IFERROR(INDEX('2. GRI Pricing Inputs'!$C$67:$AI$68,MATCH('3. GRI Pricing'!$R$16,'2. GRI Pricing Inputs'!$C$67:$C$68,0),MATCH('1. Accomodation'!U50,'2. GRI Pricing Inputs'!$C$67:$AI$67,0)),0)</f>
        <v>0</v>
      </c>
      <c r="S46" s="273">
        <f>IF(D46=0,0,'2. GRI Pricing Inputs'!$AI$75)</f>
        <v>70</v>
      </c>
      <c r="T46" s="273">
        <f>IFERROR(INDEX('2. GRI Pricing Inputs'!$C$82:$AI$83,MATCH('3. GRI Pricing'!$T$16,'2. GRI Pricing Inputs'!$C$82:$C$83,0),MATCH('1. Accomodation'!V50,'2. GRI Pricing Inputs'!$C$82:$AI$82,0)),0)</f>
        <v>0</v>
      </c>
      <c r="U46" s="273">
        <f>IFERROR(INDEX('2. GRI Pricing Inputs'!$C$89:$AI$90,MATCH('3. GRI Pricing'!$U$16,'2. GRI Pricing Inputs'!$C$89:$C$90,0),MATCH('1. Accomodation'!W50,'2. GRI Pricing Inputs'!$C$89:$AI$89,0)),0)</f>
        <v>-25</v>
      </c>
      <c r="V46" s="273">
        <f>IFERROR(INDEX('2. GRI Pricing Inputs'!$C$97:$AI$98,MATCH('3. GRI Pricing'!$V$16,'2. GRI Pricing Inputs'!$C$97:$C$98,0),MATCH('1. Accomodation'!X50,'2. GRI Pricing Inputs'!$C$97:$AI$97,0)),0)</f>
        <v>0</v>
      </c>
      <c r="W46" s="273">
        <f>IFERROR(INDEX('2. GRI Pricing Inputs'!$C$104:$AI$105,MATCH('3. GRI Pricing'!$W$16,'2. GRI Pricing Inputs'!$C$104:$C$105,0),MATCH('1. Accomodation'!Y50,'2. GRI Pricing Inputs'!$C$104:$AI$104,0)),0)</f>
        <v>0</v>
      </c>
      <c r="X46" s="274">
        <v>0</v>
      </c>
      <c r="Y46" s="275">
        <f t="shared" si="7"/>
        <v>990</v>
      </c>
      <c r="Z46" s="276"/>
      <c r="AA46" s="276"/>
      <c r="AB46" s="276"/>
      <c r="AC46" s="272">
        <f>Y46*(1+'2. GRI Pricing Inputs'!$D$114)^(($AC$16-$AB$15)/365)</f>
        <v>993.30326217652157</v>
      </c>
      <c r="AD46" s="273">
        <f>AC46*(1+'2. GRI Pricing Inputs'!$D$114)^((AD$16-AC$16)/365)</f>
        <v>996.51046131467456</v>
      </c>
      <c r="AE46" s="273">
        <f>AD46*(1+'2. GRI Pricing Inputs'!$D$114)^((AE$16-AD$16)/365)</f>
        <v>999.8354464817138</v>
      </c>
      <c r="AF46" s="273">
        <f>AE46*(1+'2. GRI Pricing Inputs'!$D$114)^((AF$16-AE$16)/365)</f>
        <v>1003.1715258888943</v>
      </c>
      <c r="AG46" s="273">
        <f>AF46*(1+'2. GRI Pricing Inputs'!$D$114)^((AG$16-AF$16)/365)</f>
        <v>1006.3024508491455</v>
      </c>
      <c r="AH46" s="273">
        <f>AG46*(1+'2. GRI Pricing Inputs'!$D$114)^((AH$16-AG$16)/365)</f>
        <v>1009.6601082471566</v>
      </c>
      <c r="AI46" s="273">
        <f>AH46*(1+'2. GRI Pricing Inputs'!$D$114)^((AI$16-AH$16)/365)</f>
        <v>1012.9201207250198</v>
      </c>
      <c r="AJ46" s="273">
        <f>AI46*(1+'2. GRI Pricing Inputs'!$D$114)^((AJ$16-AI$16)/365)</f>
        <v>1016.2998588286852</v>
      </c>
      <c r="AK46" s="273">
        <f>AJ46*(1+'2. GRI Pricing Inputs'!$D$114)^((AK$16-AJ$16)/365)</f>
        <v>1019.5813098773791</v>
      </c>
      <c r="AL46" s="273">
        <f>AK46*(1+'2. GRI Pricing Inputs'!$D$114)^((AL$16-AK$16)/365)</f>
        <v>1022.9832738943552</v>
      </c>
      <c r="AM46" s="273">
        <f>AL46*(1+'2. GRI Pricing Inputs'!$D$114)^((AM$16-AL$16)/365)</f>
        <v>1026.3965890012939</v>
      </c>
      <c r="AN46" s="273">
        <f>AM46*(1+'2. GRI Pricing Inputs'!$D$114)^((AN$16-AM$16)/365)</f>
        <v>1029.7106405915756</v>
      </c>
      <c r="AO46" s="273">
        <f>AN46*(1+'2. GRI Pricing Inputs'!$D$114)^((AO$16-AN$16)/365)</f>
        <v>1033.1464024217048</v>
      </c>
    </row>
    <row r="47" spans="3:41" ht="12" x14ac:dyDescent="0.2">
      <c r="C47" s="76" t="str">
        <f>'1. Accomodation'!N51</f>
        <v>215N</v>
      </c>
      <c r="D47" s="69" t="str">
        <f>'1. Accomodation'!P51</f>
        <v>2 Bed</v>
      </c>
      <c r="E47" s="69">
        <f>'1. Accomodation'!Q51</f>
        <v>2</v>
      </c>
      <c r="F47" s="77">
        <f>'1. Accomodation'!O51</f>
        <v>624</v>
      </c>
      <c r="G47" s="69">
        <f>'1. Accomodation'!R51</f>
        <v>2</v>
      </c>
      <c r="H47" s="69" t="str">
        <f>'1. Accomodation'!S51</f>
        <v>Courtyard</v>
      </c>
      <c r="I47" s="62"/>
      <c r="K47" s="272">
        <f>IFERROR(INDEX('2. GRI Pricing Inputs'!$C$15:$AI$16,MATCH($K$16,'2. GRI Pricing Inputs'!$C$15:$C$16,0),MATCH(D47,'2. GRI Pricing Inputs'!$C$15:$AI$15,0)),0)</f>
        <v>1110</v>
      </c>
      <c r="L47" s="273">
        <f>IFERROR(INDEX('2. GRI Pricing Inputs'!$C$22:$AI$23,MATCH($L$16,'2. GRI Pricing Inputs'!$C$22:$C$23,0),MATCH(E47,'2. GRI Pricing Inputs'!$C$22:$AI$22,0)),0)</f>
        <v>0</v>
      </c>
      <c r="M47" s="328">
        <f>IF(AND('3. GRI Pricing'!$F47&gt;='2. GRI Pricing Inputs'!$D$33,'3. GRI Pricing'!$F47&lt;='2. GRI Pricing Inputs'!$E$33),'2. GRI Pricing Inputs'!$D$32,IF(AND('3. GRI Pricing'!$F47&gt;='2. GRI Pricing Inputs'!$F$33,'3. GRI Pricing'!$F47&lt;='2. GRI Pricing Inputs'!$G$33),'2. GRI Pricing Inputs'!$F$32,IF(AND('3. GRI Pricing'!$F47&gt;='2. GRI Pricing Inputs'!$H$33,'3. GRI Pricing'!$F47&lt;='2. GRI Pricing Inputs'!$I$33),'2. GRI Pricing Inputs'!$H$32,IF(AND('3. GRI Pricing'!$F47&gt;='2. GRI Pricing Inputs'!$J$33,'3. GRI Pricing'!$F47&lt;='2. GRI Pricing Inputs'!$K$33),'2. GRI Pricing Inputs'!$J$32,IF(AND('3. GRI Pricing'!$F47&gt;='2. GRI Pricing Inputs'!$L$33,'3. GRI Pricing'!$F47&lt;='2. GRI Pricing Inputs'!$M$33),'2. GRI Pricing Inputs'!$L$32,IF(AND('3. GRI Pricing'!$F47&gt;='2. GRI Pricing Inputs'!$N$33,'3. GRI Pricing'!$F47&lt;='2. GRI Pricing Inputs'!$O$33),'2. GRI Pricing Inputs'!$N$32,IF(AND('3. GRI Pricing'!$F47&gt;='2. GRI Pricing Inputs'!$P$33,'3. GRI Pricing'!$F47&lt;='2. GRI Pricing Inputs'!$Q$33),'2. GRI Pricing Inputs'!$P$32,IF(AND('3. GRI Pricing'!$F47&gt;='2. GRI Pricing Inputs'!$R$33,'3. GRI Pricing'!$F47&lt;='2. GRI Pricing Inputs'!$S$33),'2. GRI Pricing Inputs'!$R$32,IF(AND('3. GRI Pricing'!$F47&gt;='2. GRI Pricing Inputs'!$T$33,'3. GRI Pricing'!$F47&lt;='2. GRI Pricing Inputs'!$U$33),'2. GRI Pricing Inputs'!$T$32,IF(AND('3. GRI Pricing'!$F47&gt;='2. GRI Pricing Inputs'!$V$33,'3. GRI Pricing'!$F47&lt;='2. GRI Pricing Inputs'!$W$33),'2. GRI Pricing Inputs'!$V$32,IF(AND('3. GRI Pricing'!$F47&gt;='2. GRI Pricing Inputs'!$X$33,'3. GRI Pricing'!$F47&lt;='2. GRI Pricing Inputs'!$Y$33),'2. GRI Pricing Inputs'!$X$32,IF(AND('3. GRI Pricing'!$F47&gt;='2. GRI Pricing Inputs'!$Z$33,'3. GRI Pricing'!$F47&lt;='2. GRI Pricing Inputs'!$AA$33),'2. GRI Pricing Inputs'!$Z$32,IF(AND('3. GRI Pricing'!$F47&gt;='2. GRI Pricing Inputs'!$AB$33,'3. GRI Pricing'!$F47&lt;='2. GRI Pricing Inputs'!$AC$33),'2. GRI Pricing Inputs'!$AB$32,IF(AND('3. GRI Pricing'!$F47&gt;='2. GRI Pricing Inputs'!$AD$33,'3. GRI Pricing'!$F47&lt;='2. GRI Pricing Inputs'!$AE$33),'2. GRI Pricing Inputs'!$AD$32,IF(AND('3. GRI Pricing'!$F47&gt;='2. GRI Pricing Inputs'!$AF$33,'3. GRI Pricing'!$F47&lt;='2. GRI Pricing Inputs'!$AG$33),'2. GRI Pricing Inputs'!$AF$32,IF(AND('3. GRI Pricing'!$F47&gt;='2. GRI Pricing Inputs'!$AH$33,'3. GRI Pricing'!$F47&lt;='2. GRI Pricing Inputs'!$AI$33),'2. GRI Pricing Inputs'!$AH$32,0))))))))))))))))</f>
        <v>7</v>
      </c>
      <c r="N47" s="273" cm="1">
        <f t="array" ref="N47">IFERROR(INDEX('2. GRI Pricing Inputs'!$C$32:$AI$39,MATCH('3. GRI Pricing'!D47,'2. GRI Pricing Inputs'!$C$32:$C$39,0),(MATCH('3. GRI Pricing'!M47,'2. GRI Pricing Inputs'!$D$32:$AI$32,0)+1)),0)</f>
        <v>10</v>
      </c>
      <c r="O47" s="273">
        <f>IFERROR(INDEX('2. GRI Pricing Inputs'!$C$45:$AI$46,MATCH($O$16,'2. GRI Pricing Inputs'!$C$45:$C$46,0),MATCH(G47,'2. GRI Pricing Inputs'!$C$45:$AI$45,0)),0)</f>
        <v>40</v>
      </c>
      <c r="P47" s="273">
        <f>IFERROR(INDEX('2. GRI Pricing Inputs'!$C$53:$AI$54,MATCH('3. GRI Pricing'!$P$16,'2. GRI Pricing Inputs'!$C$53:$C$54,0),MATCH('3. GRI Pricing'!H47,'2. GRI Pricing Inputs'!$C$53:$AI$53,0)),0)</f>
        <v>25</v>
      </c>
      <c r="Q47" s="273">
        <f>IFERROR(INDEX('2. GRI Pricing Inputs'!$C$60:$AI$61,MATCH('3. GRI Pricing'!$Q$16,'2. GRI Pricing Inputs'!$C$60:$C$61,0),MATCH('1. Accomodation'!T51,'2. GRI Pricing Inputs'!$C$60:$AI$60,0)),0)</f>
        <v>0</v>
      </c>
      <c r="R47" s="273">
        <f>IFERROR(INDEX('2. GRI Pricing Inputs'!$C$67:$AI$68,MATCH('3. GRI Pricing'!$R$16,'2. GRI Pricing Inputs'!$C$67:$C$68,0),MATCH('1. Accomodation'!U51,'2. GRI Pricing Inputs'!$C$67:$AI$67,0)),0)</f>
        <v>0</v>
      </c>
      <c r="S47" s="273">
        <f>IF(D47=0,0,'2. GRI Pricing Inputs'!$AI$75)</f>
        <v>70</v>
      </c>
      <c r="T47" s="273">
        <f>IFERROR(INDEX('2. GRI Pricing Inputs'!$C$82:$AI$83,MATCH('3. GRI Pricing'!$T$16,'2. GRI Pricing Inputs'!$C$82:$C$83,0),MATCH('1. Accomodation'!V51,'2. GRI Pricing Inputs'!$C$82:$AI$82,0)),0)</f>
        <v>0</v>
      </c>
      <c r="U47" s="273">
        <f>IFERROR(INDEX('2. GRI Pricing Inputs'!$C$89:$AI$90,MATCH('3. GRI Pricing'!$U$16,'2. GRI Pricing Inputs'!$C$89:$C$90,0),MATCH('1. Accomodation'!W51,'2. GRI Pricing Inputs'!$C$89:$AI$89,0)),0)</f>
        <v>0</v>
      </c>
      <c r="V47" s="273">
        <f>IFERROR(INDEX('2. GRI Pricing Inputs'!$C$97:$AI$98,MATCH('3. GRI Pricing'!$V$16,'2. GRI Pricing Inputs'!$C$97:$C$98,0),MATCH('1. Accomodation'!X51,'2. GRI Pricing Inputs'!$C$97:$AI$97,0)),0)</f>
        <v>0</v>
      </c>
      <c r="W47" s="273">
        <f>IFERROR(INDEX('2. GRI Pricing Inputs'!$C$104:$AI$105,MATCH('3. GRI Pricing'!$W$16,'2. GRI Pricing Inputs'!$C$104:$C$105,0),MATCH('1. Accomodation'!Y51,'2. GRI Pricing Inputs'!$C$104:$AI$104,0)),0)</f>
        <v>0</v>
      </c>
      <c r="X47" s="274">
        <v>0</v>
      </c>
      <c r="Y47" s="275">
        <f t="shared" si="7"/>
        <v>1255</v>
      </c>
      <c r="Z47" s="276"/>
      <c r="AA47" s="276"/>
      <c r="AB47" s="276"/>
      <c r="AC47" s="272">
        <f>Y47*(1+'2. GRI Pricing Inputs'!$D$114)^(($AC$16-$AB$15)/365)</f>
        <v>1259.1874687187219</v>
      </c>
      <c r="AD47" s="273">
        <f>AC47*(1+'2. GRI Pricing Inputs'!$D$114)^((AD$16-AC$16)/365)</f>
        <v>1263.2531605554714</v>
      </c>
      <c r="AE47" s="273">
        <f>AD47*(1+'2. GRI Pricing Inputs'!$D$114)^((AE$16-AD$16)/365)</f>
        <v>1267.4681670045968</v>
      </c>
      <c r="AF47" s="273">
        <f>AE47*(1+'2. GRI Pricing Inputs'!$D$114)^((AF$16-AE$16)/365)</f>
        <v>1271.6972373642043</v>
      </c>
      <c r="AG47" s="273">
        <f>AF47*(1+'2. GRI Pricing Inputs'!$D$114)^((AG$16-AF$16)/365)</f>
        <v>1275.6662381976541</v>
      </c>
      <c r="AH47" s="273">
        <f>AG47*(1+'2. GRI Pricing Inputs'!$D$114)^((AH$16-AG$16)/365)</f>
        <v>1279.9226624749308</v>
      </c>
      <c r="AI47" s="273">
        <f>AH47*(1+'2. GRI Pricing Inputs'!$D$114)^((AI$16-AH$16)/365)</f>
        <v>1284.0553045554543</v>
      </c>
      <c r="AJ47" s="273">
        <f>AI47*(1+'2. GRI Pricing Inputs'!$D$114)^((AJ$16-AI$16)/365)</f>
        <v>1288.3397200303027</v>
      </c>
      <c r="AK47" s="273">
        <f>AJ47*(1+'2. GRI Pricing Inputs'!$D$114)^((AK$16-AJ$16)/365)</f>
        <v>1292.4995392890007</v>
      </c>
      <c r="AL47" s="273">
        <f>AK47*(1+'2. GRI Pricing Inputs'!$D$114)^((AL$16-AK$16)/365)</f>
        <v>1296.8121300377936</v>
      </c>
      <c r="AM47" s="273">
        <f>AL47*(1+'2. GRI Pricing Inputs'!$D$114)^((AM$16-AL$16)/365)</f>
        <v>1301.1391102996201</v>
      </c>
      <c r="AN47" s="273">
        <f>AM47*(1+'2. GRI Pricing Inputs'!$D$114)^((AN$16-AM$16)/365)</f>
        <v>1305.3402565075025</v>
      </c>
      <c r="AO47" s="273">
        <f>AN47*(1+'2. GRI Pricing Inputs'!$D$114)^((AO$16-AN$16)/365)</f>
        <v>1309.6956919588281</v>
      </c>
    </row>
    <row r="48" spans="3:41" ht="12" x14ac:dyDescent="0.2">
      <c r="C48" s="76" t="str">
        <f>'1. Accomodation'!N52</f>
        <v>216N</v>
      </c>
      <c r="D48" s="69" t="str">
        <f>'1. Accomodation'!P52</f>
        <v>2 Bed</v>
      </c>
      <c r="E48" s="69">
        <f>'1. Accomodation'!Q52</f>
        <v>2</v>
      </c>
      <c r="F48" s="77">
        <f>'1. Accomodation'!O52</f>
        <v>624</v>
      </c>
      <c r="G48" s="69">
        <f>'1. Accomodation'!R52</f>
        <v>2</v>
      </c>
      <c r="H48" s="69" t="str">
        <f>'1. Accomodation'!S52</f>
        <v>Courtyard</v>
      </c>
      <c r="I48" s="62"/>
      <c r="K48" s="272">
        <f>IFERROR(INDEX('2. GRI Pricing Inputs'!$C$15:$AI$16,MATCH($K$16,'2. GRI Pricing Inputs'!$C$15:$C$16,0),MATCH(D48,'2. GRI Pricing Inputs'!$C$15:$AI$15,0)),0)</f>
        <v>1110</v>
      </c>
      <c r="L48" s="273">
        <f>IFERROR(INDEX('2. GRI Pricing Inputs'!$C$22:$AI$23,MATCH($L$16,'2. GRI Pricing Inputs'!$C$22:$C$23,0),MATCH(E48,'2. GRI Pricing Inputs'!$C$22:$AI$22,0)),0)</f>
        <v>0</v>
      </c>
      <c r="M48" s="328">
        <f>IF(AND('3. GRI Pricing'!$F48&gt;='2. GRI Pricing Inputs'!$D$33,'3. GRI Pricing'!$F48&lt;='2. GRI Pricing Inputs'!$E$33),'2. GRI Pricing Inputs'!$D$32,IF(AND('3. GRI Pricing'!$F48&gt;='2. GRI Pricing Inputs'!$F$33,'3. GRI Pricing'!$F48&lt;='2. GRI Pricing Inputs'!$G$33),'2. GRI Pricing Inputs'!$F$32,IF(AND('3. GRI Pricing'!$F48&gt;='2. GRI Pricing Inputs'!$H$33,'3. GRI Pricing'!$F48&lt;='2. GRI Pricing Inputs'!$I$33),'2. GRI Pricing Inputs'!$H$32,IF(AND('3. GRI Pricing'!$F48&gt;='2. GRI Pricing Inputs'!$J$33,'3. GRI Pricing'!$F48&lt;='2. GRI Pricing Inputs'!$K$33),'2. GRI Pricing Inputs'!$J$32,IF(AND('3. GRI Pricing'!$F48&gt;='2. GRI Pricing Inputs'!$L$33,'3. GRI Pricing'!$F48&lt;='2. GRI Pricing Inputs'!$M$33),'2. GRI Pricing Inputs'!$L$32,IF(AND('3. GRI Pricing'!$F48&gt;='2. GRI Pricing Inputs'!$N$33,'3. GRI Pricing'!$F48&lt;='2. GRI Pricing Inputs'!$O$33),'2. GRI Pricing Inputs'!$N$32,IF(AND('3. GRI Pricing'!$F48&gt;='2. GRI Pricing Inputs'!$P$33,'3. GRI Pricing'!$F48&lt;='2. GRI Pricing Inputs'!$Q$33),'2. GRI Pricing Inputs'!$P$32,IF(AND('3. GRI Pricing'!$F48&gt;='2. GRI Pricing Inputs'!$R$33,'3. GRI Pricing'!$F48&lt;='2. GRI Pricing Inputs'!$S$33),'2. GRI Pricing Inputs'!$R$32,IF(AND('3. GRI Pricing'!$F48&gt;='2. GRI Pricing Inputs'!$T$33,'3. GRI Pricing'!$F48&lt;='2. GRI Pricing Inputs'!$U$33),'2. GRI Pricing Inputs'!$T$32,IF(AND('3. GRI Pricing'!$F48&gt;='2. GRI Pricing Inputs'!$V$33,'3. GRI Pricing'!$F48&lt;='2. GRI Pricing Inputs'!$W$33),'2. GRI Pricing Inputs'!$V$32,IF(AND('3. GRI Pricing'!$F48&gt;='2. GRI Pricing Inputs'!$X$33,'3. GRI Pricing'!$F48&lt;='2. GRI Pricing Inputs'!$Y$33),'2. GRI Pricing Inputs'!$X$32,IF(AND('3. GRI Pricing'!$F48&gt;='2. GRI Pricing Inputs'!$Z$33,'3. GRI Pricing'!$F48&lt;='2. GRI Pricing Inputs'!$AA$33),'2. GRI Pricing Inputs'!$Z$32,IF(AND('3. GRI Pricing'!$F48&gt;='2. GRI Pricing Inputs'!$AB$33,'3. GRI Pricing'!$F48&lt;='2. GRI Pricing Inputs'!$AC$33),'2. GRI Pricing Inputs'!$AB$32,IF(AND('3. GRI Pricing'!$F48&gt;='2. GRI Pricing Inputs'!$AD$33,'3. GRI Pricing'!$F48&lt;='2. GRI Pricing Inputs'!$AE$33),'2. GRI Pricing Inputs'!$AD$32,IF(AND('3. GRI Pricing'!$F48&gt;='2. GRI Pricing Inputs'!$AF$33,'3. GRI Pricing'!$F48&lt;='2. GRI Pricing Inputs'!$AG$33),'2. GRI Pricing Inputs'!$AF$32,IF(AND('3. GRI Pricing'!$F48&gt;='2. GRI Pricing Inputs'!$AH$33,'3. GRI Pricing'!$F48&lt;='2. GRI Pricing Inputs'!$AI$33),'2. GRI Pricing Inputs'!$AH$32,0))))))))))))))))</f>
        <v>7</v>
      </c>
      <c r="N48" s="273" cm="1">
        <f t="array" ref="N48">IFERROR(INDEX('2. GRI Pricing Inputs'!$C$32:$AI$39,MATCH('3. GRI Pricing'!D48,'2. GRI Pricing Inputs'!$C$32:$C$39,0),(MATCH('3. GRI Pricing'!M48,'2. GRI Pricing Inputs'!$D$32:$AI$32,0)+1)),0)</f>
        <v>10</v>
      </c>
      <c r="O48" s="273">
        <f>IFERROR(INDEX('2. GRI Pricing Inputs'!$C$45:$AI$46,MATCH($O$16,'2. GRI Pricing Inputs'!$C$45:$C$46,0),MATCH(G48,'2. GRI Pricing Inputs'!$C$45:$AI$45,0)),0)</f>
        <v>40</v>
      </c>
      <c r="P48" s="273">
        <f>IFERROR(INDEX('2. GRI Pricing Inputs'!$C$53:$AI$54,MATCH('3. GRI Pricing'!$P$16,'2. GRI Pricing Inputs'!$C$53:$C$54,0),MATCH('3. GRI Pricing'!H48,'2. GRI Pricing Inputs'!$C$53:$AI$53,0)),0)</f>
        <v>25</v>
      </c>
      <c r="Q48" s="273">
        <f>IFERROR(INDEX('2. GRI Pricing Inputs'!$C$60:$AI$61,MATCH('3. GRI Pricing'!$Q$16,'2. GRI Pricing Inputs'!$C$60:$C$61,0),MATCH('1. Accomodation'!T52,'2. GRI Pricing Inputs'!$C$60:$AI$60,0)),0)</f>
        <v>0</v>
      </c>
      <c r="R48" s="273">
        <f>IFERROR(INDEX('2. GRI Pricing Inputs'!$C$67:$AI$68,MATCH('3. GRI Pricing'!$R$16,'2. GRI Pricing Inputs'!$C$67:$C$68,0),MATCH('1. Accomodation'!U52,'2. GRI Pricing Inputs'!$C$67:$AI$67,0)),0)</f>
        <v>0</v>
      </c>
      <c r="S48" s="273">
        <f>IF(D48=0,0,'2. GRI Pricing Inputs'!$AI$75)</f>
        <v>70</v>
      </c>
      <c r="T48" s="273">
        <f>IFERROR(INDEX('2. GRI Pricing Inputs'!$C$82:$AI$83,MATCH('3. GRI Pricing'!$T$16,'2. GRI Pricing Inputs'!$C$82:$C$83,0),MATCH('1. Accomodation'!V52,'2. GRI Pricing Inputs'!$C$82:$AI$82,0)),0)</f>
        <v>0</v>
      </c>
      <c r="U48" s="273">
        <f>IFERROR(INDEX('2. GRI Pricing Inputs'!$C$89:$AI$90,MATCH('3. GRI Pricing'!$U$16,'2. GRI Pricing Inputs'!$C$89:$C$90,0),MATCH('1. Accomodation'!W52,'2. GRI Pricing Inputs'!$C$89:$AI$89,0)),0)</f>
        <v>0</v>
      </c>
      <c r="V48" s="273">
        <f>IFERROR(INDEX('2. GRI Pricing Inputs'!$C$97:$AI$98,MATCH('3. GRI Pricing'!$V$16,'2. GRI Pricing Inputs'!$C$97:$C$98,0),MATCH('1. Accomodation'!X52,'2. GRI Pricing Inputs'!$C$97:$AI$97,0)),0)</f>
        <v>0</v>
      </c>
      <c r="W48" s="273">
        <f>IFERROR(INDEX('2. GRI Pricing Inputs'!$C$104:$AI$105,MATCH('3. GRI Pricing'!$W$16,'2. GRI Pricing Inputs'!$C$104:$C$105,0),MATCH('1. Accomodation'!Y52,'2. GRI Pricing Inputs'!$C$104:$AI$104,0)),0)</f>
        <v>0</v>
      </c>
      <c r="X48" s="274">
        <v>0</v>
      </c>
      <c r="Y48" s="275">
        <f t="shared" si="7"/>
        <v>1255</v>
      </c>
      <c r="Z48" s="276"/>
      <c r="AA48" s="276"/>
      <c r="AB48" s="276"/>
      <c r="AC48" s="272">
        <f>Y48*(1+'2. GRI Pricing Inputs'!$D$114)^(($AC$16-$AB$15)/365)</f>
        <v>1259.1874687187219</v>
      </c>
      <c r="AD48" s="273">
        <f>AC48*(1+'2. GRI Pricing Inputs'!$D$114)^((AD$16-AC$16)/365)</f>
        <v>1263.2531605554714</v>
      </c>
      <c r="AE48" s="273">
        <f>AD48*(1+'2. GRI Pricing Inputs'!$D$114)^((AE$16-AD$16)/365)</f>
        <v>1267.4681670045968</v>
      </c>
      <c r="AF48" s="273">
        <f>AE48*(1+'2. GRI Pricing Inputs'!$D$114)^((AF$16-AE$16)/365)</f>
        <v>1271.6972373642043</v>
      </c>
      <c r="AG48" s="273">
        <f>AF48*(1+'2. GRI Pricing Inputs'!$D$114)^((AG$16-AF$16)/365)</f>
        <v>1275.6662381976541</v>
      </c>
      <c r="AH48" s="273">
        <f>AG48*(1+'2. GRI Pricing Inputs'!$D$114)^((AH$16-AG$16)/365)</f>
        <v>1279.9226624749308</v>
      </c>
      <c r="AI48" s="273">
        <f>AH48*(1+'2. GRI Pricing Inputs'!$D$114)^((AI$16-AH$16)/365)</f>
        <v>1284.0553045554543</v>
      </c>
      <c r="AJ48" s="273">
        <f>AI48*(1+'2. GRI Pricing Inputs'!$D$114)^((AJ$16-AI$16)/365)</f>
        <v>1288.3397200303027</v>
      </c>
      <c r="AK48" s="273">
        <f>AJ48*(1+'2. GRI Pricing Inputs'!$D$114)^((AK$16-AJ$16)/365)</f>
        <v>1292.4995392890007</v>
      </c>
      <c r="AL48" s="273">
        <f>AK48*(1+'2. GRI Pricing Inputs'!$D$114)^((AL$16-AK$16)/365)</f>
        <v>1296.8121300377936</v>
      </c>
      <c r="AM48" s="273">
        <f>AL48*(1+'2. GRI Pricing Inputs'!$D$114)^((AM$16-AL$16)/365)</f>
        <v>1301.1391102996201</v>
      </c>
      <c r="AN48" s="273">
        <f>AM48*(1+'2. GRI Pricing Inputs'!$D$114)^((AN$16-AM$16)/365)</f>
        <v>1305.3402565075025</v>
      </c>
      <c r="AO48" s="273">
        <f>AN48*(1+'2. GRI Pricing Inputs'!$D$114)^((AO$16-AN$16)/365)</f>
        <v>1309.6956919588281</v>
      </c>
    </row>
    <row r="49" spans="3:41" ht="12" x14ac:dyDescent="0.2">
      <c r="C49" s="76" t="str">
        <f>'1. Accomodation'!N53</f>
        <v>301N</v>
      </c>
      <c r="D49" s="69" t="str">
        <f>'1. Accomodation'!P53</f>
        <v>1 Bed</v>
      </c>
      <c r="E49" s="69">
        <f>'1. Accomodation'!Q53</f>
        <v>1</v>
      </c>
      <c r="F49" s="77">
        <f>'1. Accomodation'!O53</f>
        <v>484</v>
      </c>
      <c r="G49" s="69">
        <f>'1. Accomodation'!R53</f>
        <v>3</v>
      </c>
      <c r="H49" s="69" t="str">
        <f>'1. Accomodation'!S53</f>
        <v>Courtyard</v>
      </c>
      <c r="I49" s="62"/>
      <c r="K49" s="272">
        <f>IFERROR(INDEX('2. GRI Pricing Inputs'!$C$15:$AI$16,MATCH($K$16,'2. GRI Pricing Inputs'!$C$15:$C$16,0),MATCH(D49,'2. GRI Pricing Inputs'!$C$15:$AI$15,0)),0)</f>
        <v>845</v>
      </c>
      <c r="L49" s="273">
        <f>IFERROR(INDEX('2. GRI Pricing Inputs'!$C$22:$AI$23,MATCH($L$16,'2. GRI Pricing Inputs'!$C$22:$C$23,0),MATCH(E49,'2. GRI Pricing Inputs'!$C$22:$AI$22,0)),0)</f>
        <v>0</v>
      </c>
      <c r="M49" s="328">
        <f>IF(AND('3. GRI Pricing'!$F49&gt;='2. GRI Pricing Inputs'!$D$33,'3. GRI Pricing'!$F49&lt;='2. GRI Pricing Inputs'!$E$33),'2. GRI Pricing Inputs'!$D$32,IF(AND('3. GRI Pricing'!$F49&gt;='2. GRI Pricing Inputs'!$F$33,'3. GRI Pricing'!$F49&lt;='2. GRI Pricing Inputs'!$G$33),'2. GRI Pricing Inputs'!$F$32,IF(AND('3. GRI Pricing'!$F49&gt;='2. GRI Pricing Inputs'!$H$33,'3. GRI Pricing'!$F49&lt;='2. GRI Pricing Inputs'!$I$33),'2. GRI Pricing Inputs'!$H$32,IF(AND('3. GRI Pricing'!$F49&gt;='2. GRI Pricing Inputs'!$J$33,'3. GRI Pricing'!$F49&lt;='2. GRI Pricing Inputs'!$K$33),'2. GRI Pricing Inputs'!$J$32,IF(AND('3. GRI Pricing'!$F49&gt;='2. GRI Pricing Inputs'!$L$33,'3. GRI Pricing'!$F49&lt;='2. GRI Pricing Inputs'!$M$33),'2. GRI Pricing Inputs'!$L$32,IF(AND('3. GRI Pricing'!$F49&gt;='2. GRI Pricing Inputs'!$N$33,'3. GRI Pricing'!$F49&lt;='2. GRI Pricing Inputs'!$O$33),'2. GRI Pricing Inputs'!$N$32,IF(AND('3. GRI Pricing'!$F49&gt;='2. GRI Pricing Inputs'!$P$33,'3. GRI Pricing'!$F49&lt;='2. GRI Pricing Inputs'!$Q$33),'2. GRI Pricing Inputs'!$P$32,IF(AND('3. GRI Pricing'!$F49&gt;='2. GRI Pricing Inputs'!$R$33,'3. GRI Pricing'!$F49&lt;='2. GRI Pricing Inputs'!$S$33),'2. GRI Pricing Inputs'!$R$32,IF(AND('3. GRI Pricing'!$F49&gt;='2. GRI Pricing Inputs'!$T$33,'3. GRI Pricing'!$F49&lt;='2. GRI Pricing Inputs'!$U$33),'2. GRI Pricing Inputs'!$T$32,IF(AND('3. GRI Pricing'!$F49&gt;='2. GRI Pricing Inputs'!$V$33,'3. GRI Pricing'!$F49&lt;='2. GRI Pricing Inputs'!$W$33),'2. GRI Pricing Inputs'!$V$32,IF(AND('3. GRI Pricing'!$F49&gt;='2. GRI Pricing Inputs'!$X$33,'3. GRI Pricing'!$F49&lt;='2. GRI Pricing Inputs'!$Y$33),'2. GRI Pricing Inputs'!$X$32,IF(AND('3. GRI Pricing'!$F49&gt;='2. GRI Pricing Inputs'!$Z$33,'3. GRI Pricing'!$F49&lt;='2. GRI Pricing Inputs'!$AA$33),'2. GRI Pricing Inputs'!$Z$32,IF(AND('3. GRI Pricing'!$F49&gt;='2. GRI Pricing Inputs'!$AB$33,'3. GRI Pricing'!$F49&lt;='2. GRI Pricing Inputs'!$AC$33),'2. GRI Pricing Inputs'!$AB$32,IF(AND('3. GRI Pricing'!$F49&gt;='2. GRI Pricing Inputs'!$AD$33,'3. GRI Pricing'!$F49&lt;='2. GRI Pricing Inputs'!$AE$33),'2. GRI Pricing Inputs'!$AD$32,IF(AND('3. GRI Pricing'!$F49&gt;='2. GRI Pricing Inputs'!$AF$33,'3. GRI Pricing'!$F49&lt;='2. GRI Pricing Inputs'!$AG$33),'2. GRI Pricing Inputs'!$AF$32,IF(AND('3. GRI Pricing'!$F49&gt;='2. GRI Pricing Inputs'!$AH$33,'3. GRI Pricing'!$F49&lt;='2. GRI Pricing Inputs'!$AI$33),'2. GRI Pricing Inputs'!$AH$32,0))))))))))))))))</f>
        <v>1</v>
      </c>
      <c r="N49" s="273" cm="1">
        <f t="array" ref="N49">IFERROR(INDEX('2. GRI Pricing Inputs'!$C$32:$AI$39,MATCH('3. GRI Pricing'!D49,'2. GRI Pricing Inputs'!$C$32:$C$39,0),(MATCH('3. GRI Pricing'!M49,'2. GRI Pricing Inputs'!$D$32:$AI$32,0)+1)),0)</f>
        <v>10</v>
      </c>
      <c r="O49" s="273">
        <f>IFERROR(INDEX('2. GRI Pricing Inputs'!$C$45:$AI$46,MATCH($O$16,'2. GRI Pricing Inputs'!$C$45:$C$46,0),MATCH(G49,'2. GRI Pricing Inputs'!$C$45:$AI$45,0)),0)</f>
        <v>50</v>
      </c>
      <c r="P49" s="273">
        <f>IFERROR(INDEX('2. GRI Pricing Inputs'!$C$53:$AI$54,MATCH('3. GRI Pricing'!$P$16,'2. GRI Pricing Inputs'!$C$53:$C$54,0),MATCH('3. GRI Pricing'!H49,'2. GRI Pricing Inputs'!$C$53:$AI$53,0)),0)</f>
        <v>25</v>
      </c>
      <c r="Q49" s="273">
        <f>IFERROR(INDEX('2. GRI Pricing Inputs'!$C$60:$AI$61,MATCH('3. GRI Pricing'!$Q$16,'2. GRI Pricing Inputs'!$C$60:$C$61,0),MATCH('1. Accomodation'!T53,'2. GRI Pricing Inputs'!$C$60:$AI$60,0)),0)</f>
        <v>0</v>
      </c>
      <c r="R49" s="273">
        <f>IFERROR(INDEX('2. GRI Pricing Inputs'!$C$67:$AI$68,MATCH('3. GRI Pricing'!$R$16,'2. GRI Pricing Inputs'!$C$67:$C$68,0),MATCH('1. Accomodation'!U53,'2. GRI Pricing Inputs'!$C$67:$AI$67,0)),0)</f>
        <v>0</v>
      </c>
      <c r="S49" s="273">
        <f>IF(D49=0,0,'2. GRI Pricing Inputs'!$AI$75)</f>
        <v>70</v>
      </c>
      <c r="T49" s="273">
        <f>IFERROR(INDEX('2. GRI Pricing Inputs'!$C$82:$AI$83,MATCH('3. GRI Pricing'!$T$16,'2. GRI Pricing Inputs'!$C$82:$C$83,0),MATCH('1. Accomodation'!V53,'2. GRI Pricing Inputs'!$C$82:$AI$82,0)),0)</f>
        <v>0</v>
      </c>
      <c r="U49" s="273">
        <f>IFERROR(INDEX('2. GRI Pricing Inputs'!$C$89:$AI$90,MATCH('3. GRI Pricing'!$U$16,'2. GRI Pricing Inputs'!$C$89:$C$90,0),MATCH('1. Accomodation'!W53,'2. GRI Pricing Inputs'!$C$89:$AI$89,0)),0)</f>
        <v>0</v>
      </c>
      <c r="V49" s="273">
        <f>IFERROR(INDEX('2. GRI Pricing Inputs'!$C$97:$AI$98,MATCH('3. GRI Pricing'!$V$16,'2. GRI Pricing Inputs'!$C$97:$C$98,0),MATCH('1. Accomodation'!X53,'2. GRI Pricing Inputs'!$C$97:$AI$97,0)),0)</f>
        <v>0</v>
      </c>
      <c r="W49" s="273">
        <f>IFERROR(INDEX('2. GRI Pricing Inputs'!$C$104:$AI$105,MATCH('3. GRI Pricing'!$W$16,'2. GRI Pricing Inputs'!$C$104:$C$105,0),MATCH('1. Accomodation'!Y53,'2. GRI Pricing Inputs'!$C$104:$AI$104,0)),0)</f>
        <v>0</v>
      </c>
      <c r="X49" s="274">
        <v>0</v>
      </c>
      <c r="Y49" s="275">
        <f t="shared" si="7"/>
        <v>1000</v>
      </c>
      <c r="Z49" s="276"/>
      <c r="AA49" s="276"/>
      <c r="AB49" s="276"/>
      <c r="AC49" s="272">
        <f>Y49*(1+'2. GRI Pricing Inputs'!$D$114)^(($AC$16-$AB$15)/365)</f>
        <v>1003.3366284611329</v>
      </c>
      <c r="AD49" s="273">
        <f>AC49*(1+'2. GRI Pricing Inputs'!$D$114)^((AD$16-AC$16)/365)</f>
        <v>1006.5762235501763</v>
      </c>
      <c r="AE49" s="273">
        <f>AD49*(1+'2. GRI Pricing Inputs'!$D$114)^((AE$16-AD$16)/365)</f>
        <v>1009.9347944259736</v>
      </c>
      <c r="AF49" s="273">
        <f>AE49*(1+'2. GRI Pricing Inputs'!$D$114)^((AF$16-AE$16)/365)</f>
        <v>1013.3045716049437</v>
      </c>
      <c r="AG49" s="273">
        <f>AF49*(1+'2. GRI Pricing Inputs'!$D$114)^((AG$16-AF$16)/365)</f>
        <v>1016.467122069844</v>
      </c>
      <c r="AH49" s="273">
        <f>AG49*(1+'2. GRI Pricing Inputs'!$D$114)^((AH$16-AG$16)/365)</f>
        <v>1019.8586951991481</v>
      </c>
      <c r="AI49" s="273">
        <f>AH49*(1+'2. GRI Pricing Inputs'!$D$114)^((AI$16-AH$16)/365)</f>
        <v>1023.1516370959796</v>
      </c>
      <c r="AJ49" s="273">
        <f>AI49*(1+'2. GRI Pricing Inputs'!$D$114)^((AJ$16-AI$16)/365)</f>
        <v>1026.5655139683688</v>
      </c>
      <c r="AK49" s="273">
        <f>AJ49*(1+'2. GRI Pricing Inputs'!$D$114)^((AK$16-AJ$16)/365)</f>
        <v>1029.8801109872516</v>
      </c>
      <c r="AL49" s="273">
        <f>AK49*(1+'2. GRI Pricing Inputs'!$D$114)^((AL$16-AK$16)/365)</f>
        <v>1033.3164382771263</v>
      </c>
      <c r="AM49" s="273">
        <f>AL49*(1+'2. GRI Pricing Inputs'!$D$114)^((AM$16-AL$16)/365)</f>
        <v>1036.7642313144383</v>
      </c>
      <c r="AN49" s="273">
        <f>AM49*(1+'2. GRI Pricing Inputs'!$D$114)^((AN$16-AM$16)/365)</f>
        <v>1040.1117581733088</v>
      </c>
      <c r="AO49" s="273">
        <f>AN49*(1+'2. GRI Pricing Inputs'!$D$114)^((AO$16-AN$16)/365)</f>
        <v>1043.5822246683888</v>
      </c>
    </row>
    <row r="50" spans="3:41" ht="12" x14ac:dyDescent="0.2">
      <c r="C50" s="76" t="str">
        <f>'1. Accomodation'!N54</f>
        <v>302N</v>
      </c>
      <c r="D50" s="69" t="str">
        <f>'1. Accomodation'!P54</f>
        <v>2 Bed</v>
      </c>
      <c r="E50" s="69">
        <f>'1. Accomodation'!Q54</f>
        <v>2</v>
      </c>
      <c r="F50" s="77">
        <f>'1. Accomodation'!O54</f>
        <v>678</v>
      </c>
      <c r="G50" s="69">
        <f>'1. Accomodation'!R54</f>
        <v>3</v>
      </c>
      <c r="H50" s="69" t="str">
        <f>'1. Accomodation'!S54</f>
        <v>Courtyard</v>
      </c>
      <c r="I50" s="62"/>
      <c r="K50" s="272">
        <f>IFERROR(INDEX('2. GRI Pricing Inputs'!$C$15:$AI$16,MATCH($K$16,'2. GRI Pricing Inputs'!$C$15:$C$16,0),MATCH(D50,'2. GRI Pricing Inputs'!$C$15:$AI$15,0)),0)</f>
        <v>1110</v>
      </c>
      <c r="L50" s="273">
        <f>IFERROR(INDEX('2. GRI Pricing Inputs'!$C$22:$AI$23,MATCH($L$16,'2. GRI Pricing Inputs'!$C$22:$C$23,0),MATCH(E50,'2. GRI Pricing Inputs'!$C$22:$AI$22,0)),0)</f>
        <v>0</v>
      </c>
      <c r="M50" s="328">
        <f>IF(AND('3. GRI Pricing'!$F50&gt;='2. GRI Pricing Inputs'!$D$33,'3. GRI Pricing'!$F50&lt;='2. GRI Pricing Inputs'!$E$33),'2. GRI Pricing Inputs'!$D$32,IF(AND('3. GRI Pricing'!$F50&gt;='2. GRI Pricing Inputs'!$F$33,'3. GRI Pricing'!$F50&lt;='2. GRI Pricing Inputs'!$G$33),'2. GRI Pricing Inputs'!$F$32,IF(AND('3. GRI Pricing'!$F50&gt;='2. GRI Pricing Inputs'!$H$33,'3. GRI Pricing'!$F50&lt;='2. GRI Pricing Inputs'!$I$33),'2. GRI Pricing Inputs'!$H$32,IF(AND('3. GRI Pricing'!$F50&gt;='2. GRI Pricing Inputs'!$J$33,'3. GRI Pricing'!$F50&lt;='2. GRI Pricing Inputs'!$K$33),'2. GRI Pricing Inputs'!$J$32,IF(AND('3. GRI Pricing'!$F50&gt;='2. GRI Pricing Inputs'!$L$33,'3. GRI Pricing'!$F50&lt;='2. GRI Pricing Inputs'!$M$33),'2. GRI Pricing Inputs'!$L$32,IF(AND('3. GRI Pricing'!$F50&gt;='2. GRI Pricing Inputs'!$N$33,'3. GRI Pricing'!$F50&lt;='2. GRI Pricing Inputs'!$O$33),'2. GRI Pricing Inputs'!$N$32,IF(AND('3. GRI Pricing'!$F50&gt;='2. GRI Pricing Inputs'!$P$33,'3. GRI Pricing'!$F50&lt;='2. GRI Pricing Inputs'!$Q$33),'2. GRI Pricing Inputs'!$P$32,IF(AND('3. GRI Pricing'!$F50&gt;='2. GRI Pricing Inputs'!$R$33,'3. GRI Pricing'!$F50&lt;='2. GRI Pricing Inputs'!$S$33),'2. GRI Pricing Inputs'!$R$32,IF(AND('3. GRI Pricing'!$F50&gt;='2. GRI Pricing Inputs'!$T$33,'3. GRI Pricing'!$F50&lt;='2. GRI Pricing Inputs'!$U$33),'2. GRI Pricing Inputs'!$T$32,IF(AND('3. GRI Pricing'!$F50&gt;='2. GRI Pricing Inputs'!$V$33,'3. GRI Pricing'!$F50&lt;='2. GRI Pricing Inputs'!$W$33),'2. GRI Pricing Inputs'!$V$32,IF(AND('3. GRI Pricing'!$F50&gt;='2. GRI Pricing Inputs'!$X$33,'3. GRI Pricing'!$F50&lt;='2. GRI Pricing Inputs'!$Y$33),'2. GRI Pricing Inputs'!$X$32,IF(AND('3. GRI Pricing'!$F50&gt;='2. GRI Pricing Inputs'!$Z$33,'3. GRI Pricing'!$F50&lt;='2. GRI Pricing Inputs'!$AA$33),'2. GRI Pricing Inputs'!$Z$32,IF(AND('3. GRI Pricing'!$F50&gt;='2. GRI Pricing Inputs'!$AB$33,'3. GRI Pricing'!$F50&lt;='2. GRI Pricing Inputs'!$AC$33),'2. GRI Pricing Inputs'!$AB$32,IF(AND('3. GRI Pricing'!$F50&gt;='2. GRI Pricing Inputs'!$AD$33,'3. GRI Pricing'!$F50&lt;='2. GRI Pricing Inputs'!$AE$33),'2. GRI Pricing Inputs'!$AD$32,IF(AND('3. GRI Pricing'!$F50&gt;='2. GRI Pricing Inputs'!$AF$33,'3. GRI Pricing'!$F50&lt;='2. GRI Pricing Inputs'!$AG$33),'2. GRI Pricing Inputs'!$AF$32,IF(AND('3. GRI Pricing'!$F50&gt;='2. GRI Pricing Inputs'!$AH$33,'3. GRI Pricing'!$F50&lt;='2. GRI Pricing Inputs'!$AI$33),'2. GRI Pricing Inputs'!$AH$32,0))))))))))))))))</f>
        <v>10</v>
      </c>
      <c r="N50" s="273" cm="1">
        <f t="array" ref="N50">IFERROR(INDEX('2. GRI Pricing Inputs'!$C$32:$AI$39,MATCH('3. GRI Pricing'!D50,'2. GRI Pricing Inputs'!$C$32:$C$39,0),(MATCH('3. GRI Pricing'!M50,'2. GRI Pricing Inputs'!$D$32:$AI$32,0)+1)),0)</f>
        <v>40</v>
      </c>
      <c r="O50" s="273">
        <f>IFERROR(INDEX('2. GRI Pricing Inputs'!$C$45:$AI$46,MATCH($O$16,'2. GRI Pricing Inputs'!$C$45:$C$46,0),MATCH(G50,'2. GRI Pricing Inputs'!$C$45:$AI$45,0)),0)</f>
        <v>50</v>
      </c>
      <c r="P50" s="273">
        <f>IFERROR(INDEX('2. GRI Pricing Inputs'!$C$53:$AI$54,MATCH('3. GRI Pricing'!$P$16,'2. GRI Pricing Inputs'!$C$53:$C$54,0),MATCH('3. GRI Pricing'!H50,'2. GRI Pricing Inputs'!$C$53:$AI$53,0)),0)</f>
        <v>25</v>
      </c>
      <c r="Q50" s="273">
        <f>IFERROR(INDEX('2. GRI Pricing Inputs'!$C$60:$AI$61,MATCH('3. GRI Pricing'!$Q$16,'2. GRI Pricing Inputs'!$C$60:$C$61,0),MATCH('1. Accomodation'!T54,'2. GRI Pricing Inputs'!$C$60:$AI$60,0)),0)</f>
        <v>0</v>
      </c>
      <c r="R50" s="273">
        <f>IFERROR(INDEX('2. GRI Pricing Inputs'!$C$67:$AI$68,MATCH('3. GRI Pricing'!$R$16,'2. GRI Pricing Inputs'!$C$67:$C$68,0),MATCH('1. Accomodation'!U54,'2. GRI Pricing Inputs'!$C$67:$AI$67,0)),0)</f>
        <v>0</v>
      </c>
      <c r="S50" s="273">
        <f>IF(D50=0,0,'2. GRI Pricing Inputs'!$AI$75)</f>
        <v>70</v>
      </c>
      <c r="T50" s="273">
        <f>IFERROR(INDEX('2. GRI Pricing Inputs'!$C$82:$AI$83,MATCH('3. GRI Pricing'!$T$16,'2. GRI Pricing Inputs'!$C$82:$C$83,0),MATCH('1. Accomodation'!V54,'2. GRI Pricing Inputs'!$C$82:$AI$82,0)),0)</f>
        <v>0</v>
      </c>
      <c r="U50" s="273">
        <f>IFERROR(INDEX('2. GRI Pricing Inputs'!$C$89:$AI$90,MATCH('3. GRI Pricing'!$U$16,'2. GRI Pricing Inputs'!$C$89:$C$90,0),MATCH('1. Accomodation'!W54,'2. GRI Pricing Inputs'!$C$89:$AI$89,0)),0)</f>
        <v>0</v>
      </c>
      <c r="V50" s="273">
        <f>IFERROR(INDEX('2. GRI Pricing Inputs'!$C$97:$AI$98,MATCH('3. GRI Pricing'!$V$16,'2. GRI Pricing Inputs'!$C$97:$C$98,0),MATCH('1. Accomodation'!X54,'2. GRI Pricing Inputs'!$C$97:$AI$97,0)),0)</f>
        <v>0</v>
      </c>
      <c r="W50" s="273">
        <f>IFERROR(INDEX('2. GRI Pricing Inputs'!$C$104:$AI$105,MATCH('3. GRI Pricing'!$W$16,'2. GRI Pricing Inputs'!$C$104:$C$105,0),MATCH('1. Accomodation'!Y54,'2. GRI Pricing Inputs'!$C$104:$AI$104,0)),0)</f>
        <v>0</v>
      </c>
      <c r="X50" s="274">
        <v>0</v>
      </c>
      <c r="Y50" s="275">
        <f t="shared" si="7"/>
        <v>1295</v>
      </c>
      <c r="Z50" s="276"/>
      <c r="AA50" s="276"/>
      <c r="AB50" s="276"/>
      <c r="AC50" s="272">
        <f>Y50*(1+'2. GRI Pricing Inputs'!$D$114)^(($AC$16-$AB$15)/365)</f>
        <v>1299.3209338571671</v>
      </c>
      <c r="AD50" s="273">
        <f>AC50*(1+'2. GRI Pricing Inputs'!$D$114)^((AD$16-AC$16)/365)</f>
        <v>1303.5162094974783</v>
      </c>
      <c r="AE50" s="273">
        <f>AD50*(1+'2. GRI Pricing Inputs'!$D$114)^((AE$16-AD$16)/365)</f>
        <v>1307.8655587816356</v>
      </c>
      <c r="AF50" s="273">
        <f>AE50*(1+'2. GRI Pricing Inputs'!$D$114)^((AF$16-AE$16)/365)</f>
        <v>1312.229420228402</v>
      </c>
      <c r="AG50" s="273">
        <f>AF50*(1+'2. GRI Pricing Inputs'!$D$114)^((AG$16-AF$16)/365)</f>
        <v>1316.3249230804479</v>
      </c>
      <c r="AH50" s="273">
        <f>AG50*(1+'2. GRI Pricing Inputs'!$D$114)^((AH$16-AG$16)/365)</f>
        <v>1320.7170102828968</v>
      </c>
      <c r="AI50" s="273">
        <f>AH50*(1+'2. GRI Pricing Inputs'!$D$114)^((AI$16-AH$16)/365)</f>
        <v>1324.9813700392936</v>
      </c>
      <c r="AJ50" s="273">
        <f>AI50*(1+'2. GRI Pricing Inputs'!$D$114)^((AJ$16-AI$16)/365)</f>
        <v>1329.4023405890375</v>
      </c>
      <c r="AK50" s="273">
        <f>AJ50*(1+'2. GRI Pricing Inputs'!$D$114)^((AK$16-AJ$16)/365)</f>
        <v>1333.6947437284907</v>
      </c>
      <c r="AL50" s="273">
        <f>AK50*(1+'2. GRI Pricing Inputs'!$D$114)^((AL$16-AK$16)/365)</f>
        <v>1338.1447875688787</v>
      </c>
      <c r="AM50" s="273">
        <f>AL50*(1+'2. GRI Pricing Inputs'!$D$114)^((AM$16-AL$16)/365)</f>
        <v>1342.6096795521976</v>
      </c>
      <c r="AN50" s="273">
        <f>AM50*(1+'2. GRI Pricing Inputs'!$D$114)^((AN$16-AM$16)/365)</f>
        <v>1346.9447268344347</v>
      </c>
      <c r="AO50" s="273">
        <f>AN50*(1+'2. GRI Pricing Inputs'!$D$114)^((AO$16-AN$16)/365)</f>
        <v>1351.4389809455633</v>
      </c>
    </row>
    <row r="51" spans="3:41" ht="12" x14ac:dyDescent="0.2">
      <c r="C51" s="76" t="str">
        <f>'1. Accomodation'!N55</f>
        <v>303N</v>
      </c>
      <c r="D51" s="69" t="str">
        <f>'1. Accomodation'!P55</f>
        <v>2 Bed</v>
      </c>
      <c r="E51" s="69">
        <f>'1. Accomodation'!Q55</f>
        <v>2</v>
      </c>
      <c r="F51" s="77">
        <f>'1. Accomodation'!O55</f>
        <v>657</v>
      </c>
      <c r="G51" s="69">
        <f>'1. Accomodation'!R55</f>
        <v>3</v>
      </c>
      <c r="H51" s="69" t="str">
        <f>'1. Accomodation'!S55</f>
        <v>Courtyard</v>
      </c>
      <c r="I51" s="62"/>
      <c r="K51" s="272">
        <f>IFERROR(INDEX('2. GRI Pricing Inputs'!$C$15:$AI$16,MATCH($K$16,'2. GRI Pricing Inputs'!$C$15:$C$16,0),MATCH(D51,'2. GRI Pricing Inputs'!$C$15:$AI$15,0)),0)</f>
        <v>1110</v>
      </c>
      <c r="L51" s="273">
        <f>IFERROR(INDEX('2. GRI Pricing Inputs'!$C$22:$AI$23,MATCH($L$16,'2. GRI Pricing Inputs'!$C$22:$C$23,0),MATCH(E51,'2. GRI Pricing Inputs'!$C$22:$AI$22,0)),0)</f>
        <v>0</v>
      </c>
      <c r="M51" s="328">
        <f>IF(AND('3. GRI Pricing'!$F51&gt;='2. GRI Pricing Inputs'!$D$33,'3. GRI Pricing'!$F51&lt;='2. GRI Pricing Inputs'!$E$33),'2. GRI Pricing Inputs'!$D$32,IF(AND('3. GRI Pricing'!$F51&gt;='2. GRI Pricing Inputs'!$F$33,'3. GRI Pricing'!$F51&lt;='2. GRI Pricing Inputs'!$G$33),'2. GRI Pricing Inputs'!$F$32,IF(AND('3. GRI Pricing'!$F51&gt;='2. GRI Pricing Inputs'!$H$33,'3. GRI Pricing'!$F51&lt;='2. GRI Pricing Inputs'!$I$33),'2. GRI Pricing Inputs'!$H$32,IF(AND('3. GRI Pricing'!$F51&gt;='2. GRI Pricing Inputs'!$J$33,'3. GRI Pricing'!$F51&lt;='2. GRI Pricing Inputs'!$K$33),'2. GRI Pricing Inputs'!$J$32,IF(AND('3. GRI Pricing'!$F51&gt;='2. GRI Pricing Inputs'!$L$33,'3. GRI Pricing'!$F51&lt;='2. GRI Pricing Inputs'!$M$33),'2. GRI Pricing Inputs'!$L$32,IF(AND('3. GRI Pricing'!$F51&gt;='2. GRI Pricing Inputs'!$N$33,'3. GRI Pricing'!$F51&lt;='2. GRI Pricing Inputs'!$O$33),'2. GRI Pricing Inputs'!$N$32,IF(AND('3. GRI Pricing'!$F51&gt;='2. GRI Pricing Inputs'!$P$33,'3. GRI Pricing'!$F51&lt;='2. GRI Pricing Inputs'!$Q$33),'2. GRI Pricing Inputs'!$P$32,IF(AND('3. GRI Pricing'!$F51&gt;='2. GRI Pricing Inputs'!$R$33,'3. GRI Pricing'!$F51&lt;='2. GRI Pricing Inputs'!$S$33),'2. GRI Pricing Inputs'!$R$32,IF(AND('3. GRI Pricing'!$F51&gt;='2. GRI Pricing Inputs'!$T$33,'3. GRI Pricing'!$F51&lt;='2. GRI Pricing Inputs'!$U$33),'2. GRI Pricing Inputs'!$T$32,IF(AND('3. GRI Pricing'!$F51&gt;='2. GRI Pricing Inputs'!$V$33,'3. GRI Pricing'!$F51&lt;='2. GRI Pricing Inputs'!$W$33),'2. GRI Pricing Inputs'!$V$32,IF(AND('3. GRI Pricing'!$F51&gt;='2. GRI Pricing Inputs'!$X$33,'3. GRI Pricing'!$F51&lt;='2. GRI Pricing Inputs'!$Y$33),'2. GRI Pricing Inputs'!$X$32,IF(AND('3. GRI Pricing'!$F51&gt;='2. GRI Pricing Inputs'!$Z$33,'3. GRI Pricing'!$F51&lt;='2. GRI Pricing Inputs'!$AA$33),'2. GRI Pricing Inputs'!$Z$32,IF(AND('3. GRI Pricing'!$F51&gt;='2. GRI Pricing Inputs'!$AB$33,'3. GRI Pricing'!$F51&lt;='2. GRI Pricing Inputs'!$AC$33),'2. GRI Pricing Inputs'!$AB$32,IF(AND('3. GRI Pricing'!$F51&gt;='2. GRI Pricing Inputs'!$AD$33,'3. GRI Pricing'!$F51&lt;='2. GRI Pricing Inputs'!$AE$33),'2. GRI Pricing Inputs'!$AD$32,IF(AND('3. GRI Pricing'!$F51&gt;='2. GRI Pricing Inputs'!$AF$33,'3. GRI Pricing'!$F51&lt;='2. GRI Pricing Inputs'!$AG$33),'2. GRI Pricing Inputs'!$AF$32,IF(AND('3. GRI Pricing'!$F51&gt;='2. GRI Pricing Inputs'!$AH$33,'3. GRI Pricing'!$F51&lt;='2. GRI Pricing Inputs'!$AI$33),'2. GRI Pricing Inputs'!$AH$32,0))))))))))))))))</f>
        <v>8</v>
      </c>
      <c r="N51" s="273" cm="1">
        <f t="array" ref="N51">IFERROR(INDEX('2. GRI Pricing Inputs'!$C$32:$AI$39,MATCH('3. GRI Pricing'!D51,'2. GRI Pricing Inputs'!$C$32:$C$39,0),(MATCH('3. GRI Pricing'!M51,'2. GRI Pricing Inputs'!$D$32:$AI$32,0)+1)),0)</f>
        <v>20</v>
      </c>
      <c r="O51" s="273">
        <f>IFERROR(INDEX('2. GRI Pricing Inputs'!$C$45:$AI$46,MATCH($O$16,'2. GRI Pricing Inputs'!$C$45:$C$46,0),MATCH(G51,'2. GRI Pricing Inputs'!$C$45:$AI$45,0)),0)</f>
        <v>50</v>
      </c>
      <c r="P51" s="273">
        <f>IFERROR(INDEX('2. GRI Pricing Inputs'!$C$53:$AI$54,MATCH('3. GRI Pricing'!$P$16,'2. GRI Pricing Inputs'!$C$53:$C$54,0),MATCH('3. GRI Pricing'!H51,'2. GRI Pricing Inputs'!$C$53:$AI$53,0)),0)</f>
        <v>25</v>
      </c>
      <c r="Q51" s="273">
        <f>IFERROR(INDEX('2. GRI Pricing Inputs'!$C$60:$AI$61,MATCH('3. GRI Pricing'!$Q$16,'2. GRI Pricing Inputs'!$C$60:$C$61,0),MATCH('1. Accomodation'!T55,'2. GRI Pricing Inputs'!$C$60:$AI$60,0)),0)</f>
        <v>0</v>
      </c>
      <c r="R51" s="273">
        <f>IFERROR(INDEX('2. GRI Pricing Inputs'!$C$67:$AI$68,MATCH('3. GRI Pricing'!$R$16,'2. GRI Pricing Inputs'!$C$67:$C$68,0),MATCH('1. Accomodation'!U55,'2. GRI Pricing Inputs'!$C$67:$AI$67,0)),0)</f>
        <v>0</v>
      </c>
      <c r="S51" s="273">
        <f>IF(D51=0,0,'2. GRI Pricing Inputs'!$AI$75)</f>
        <v>70</v>
      </c>
      <c r="T51" s="273">
        <f>IFERROR(INDEX('2. GRI Pricing Inputs'!$C$82:$AI$83,MATCH('3. GRI Pricing'!$T$16,'2. GRI Pricing Inputs'!$C$82:$C$83,0),MATCH('1. Accomodation'!V55,'2. GRI Pricing Inputs'!$C$82:$AI$82,0)),0)</f>
        <v>0</v>
      </c>
      <c r="U51" s="273">
        <f>IFERROR(INDEX('2. GRI Pricing Inputs'!$C$89:$AI$90,MATCH('3. GRI Pricing'!$U$16,'2. GRI Pricing Inputs'!$C$89:$C$90,0),MATCH('1. Accomodation'!W55,'2. GRI Pricing Inputs'!$C$89:$AI$89,0)),0)</f>
        <v>0</v>
      </c>
      <c r="V51" s="273">
        <f>IFERROR(INDEX('2. GRI Pricing Inputs'!$C$97:$AI$98,MATCH('3. GRI Pricing'!$V$16,'2. GRI Pricing Inputs'!$C$97:$C$98,0),MATCH('1. Accomodation'!X55,'2. GRI Pricing Inputs'!$C$97:$AI$97,0)),0)</f>
        <v>0</v>
      </c>
      <c r="W51" s="273">
        <f>IFERROR(INDEX('2. GRI Pricing Inputs'!$C$104:$AI$105,MATCH('3. GRI Pricing'!$W$16,'2. GRI Pricing Inputs'!$C$104:$C$105,0),MATCH('1. Accomodation'!Y55,'2. GRI Pricing Inputs'!$C$104:$AI$104,0)),0)</f>
        <v>0</v>
      </c>
      <c r="X51" s="274">
        <v>0</v>
      </c>
      <c r="Y51" s="275">
        <f t="shared" si="7"/>
        <v>1275</v>
      </c>
      <c r="Z51" s="276"/>
      <c r="AA51" s="276"/>
      <c r="AB51" s="276"/>
      <c r="AC51" s="272">
        <f>Y51*(1+'2. GRI Pricing Inputs'!$D$114)^(($AC$16-$AB$15)/365)</f>
        <v>1279.2542012879444</v>
      </c>
      <c r="AD51" s="273">
        <f>AC51*(1+'2. GRI Pricing Inputs'!$D$114)^((AD$16-AC$16)/365)</f>
        <v>1283.3846850264747</v>
      </c>
      <c r="AE51" s="273">
        <f>AD51*(1+'2. GRI Pricing Inputs'!$D$114)^((AE$16-AD$16)/365)</f>
        <v>1287.6668628931161</v>
      </c>
      <c r="AF51" s="273">
        <f>AE51*(1+'2. GRI Pricing Inputs'!$D$114)^((AF$16-AE$16)/365)</f>
        <v>1291.9633287963029</v>
      </c>
      <c r="AG51" s="273">
        <f>AF51*(1+'2. GRI Pricing Inputs'!$D$114)^((AG$16-AF$16)/365)</f>
        <v>1295.9955806390508</v>
      </c>
      <c r="AH51" s="273">
        <f>AG51*(1+'2. GRI Pricing Inputs'!$D$114)^((AH$16-AG$16)/365)</f>
        <v>1300.3198363789136</v>
      </c>
      <c r="AI51" s="273">
        <f>AH51*(1+'2. GRI Pricing Inputs'!$D$114)^((AI$16-AH$16)/365)</f>
        <v>1304.5183372973738</v>
      </c>
      <c r="AJ51" s="273">
        <f>AI51*(1+'2. GRI Pricing Inputs'!$D$114)^((AJ$16-AI$16)/365)</f>
        <v>1308.87103030967</v>
      </c>
      <c r="AK51" s="273">
        <f>AJ51*(1+'2. GRI Pricing Inputs'!$D$114)^((AK$16-AJ$16)/365)</f>
        <v>1313.0971415087456</v>
      </c>
      <c r="AL51" s="273">
        <f>AK51*(1+'2. GRI Pricing Inputs'!$D$114)^((AL$16-AK$16)/365)</f>
        <v>1317.478458803336</v>
      </c>
      <c r="AM51" s="273">
        <f>AL51*(1+'2. GRI Pricing Inputs'!$D$114)^((AM$16-AL$16)/365)</f>
        <v>1321.8743949259087</v>
      </c>
      <c r="AN51" s="273">
        <f>AM51*(1+'2. GRI Pricing Inputs'!$D$114)^((AN$16-AM$16)/365)</f>
        <v>1326.1424916709684</v>
      </c>
      <c r="AO51" s="273">
        <f>AN51*(1+'2. GRI Pricing Inputs'!$D$114)^((AO$16-AN$16)/365)</f>
        <v>1330.5673364521954</v>
      </c>
    </row>
    <row r="52" spans="3:41" ht="12" x14ac:dyDescent="0.2">
      <c r="C52" s="76" t="str">
        <f>'1. Accomodation'!N56</f>
        <v>304N</v>
      </c>
      <c r="D52" s="69" t="str">
        <f>'1. Accomodation'!P56</f>
        <v>3 Bed</v>
      </c>
      <c r="E52" s="69">
        <f>'1. Accomodation'!Q56</f>
        <v>2</v>
      </c>
      <c r="F52" s="77">
        <f>'1. Accomodation'!O56</f>
        <v>818</v>
      </c>
      <c r="G52" s="69">
        <f>'1. Accomodation'!R56</f>
        <v>3</v>
      </c>
      <c r="H52" s="69" t="str">
        <f>'1. Accomodation'!S56</f>
        <v>Pottery Lane</v>
      </c>
      <c r="I52" s="62"/>
      <c r="K52" s="272">
        <f>IFERROR(INDEX('2. GRI Pricing Inputs'!$C$15:$AI$16,MATCH($K$16,'2. GRI Pricing Inputs'!$C$15:$C$16,0),MATCH(D52,'2. GRI Pricing Inputs'!$C$15:$AI$15,0)),0)</f>
        <v>1485</v>
      </c>
      <c r="L52" s="273">
        <f>IFERROR(INDEX('2. GRI Pricing Inputs'!$C$22:$AI$23,MATCH($L$16,'2. GRI Pricing Inputs'!$C$22:$C$23,0),MATCH(E52,'2. GRI Pricing Inputs'!$C$22:$AI$22,0)),0)</f>
        <v>0</v>
      </c>
      <c r="M52" s="328">
        <f>IF(AND('3. GRI Pricing'!$F52&gt;='2. GRI Pricing Inputs'!$D$33,'3. GRI Pricing'!$F52&lt;='2. GRI Pricing Inputs'!$E$33),'2. GRI Pricing Inputs'!$D$32,IF(AND('3. GRI Pricing'!$F52&gt;='2. GRI Pricing Inputs'!$F$33,'3. GRI Pricing'!$F52&lt;='2. GRI Pricing Inputs'!$G$33),'2. GRI Pricing Inputs'!$F$32,IF(AND('3. GRI Pricing'!$F52&gt;='2. GRI Pricing Inputs'!$H$33,'3. GRI Pricing'!$F52&lt;='2. GRI Pricing Inputs'!$I$33),'2. GRI Pricing Inputs'!$H$32,IF(AND('3. GRI Pricing'!$F52&gt;='2. GRI Pricing Inputs'!$J$33,'3. GRI Pricing'!$F52&lt;='2. GRI Pricing Inputs'!$K$33),'2. GRI Pricing Inputs'!$J$32,IF(AND('3. GRI Pricing'!$F52&gt;='2. GRI Pricing Inputs'!$L$33,'3. GRI Pricing'!$F52&lt;='2. GRI Pricing Inputs'!$M$33),'2. GRI Pricing Inputs'!$L$32,IF(AND('3. GRI Pricing'!$F52&gt;='2. GRI Pricing Inputs'!$N$33,'3. GRI Pricing'!$F52&lt;='2. GRI Pricing Inputs'!$O$33),'2. GRI Pricing Inputs'!$N$32,IF(AND('3. GRI Pricing'!$F52&gt;='2. GRI Pricing Inputs'!$P$33,'3. GRI Pricing'!$F52&lt;='2. GRI Pricing Inputs'!$Q$33),'2. GRI Pricing Inputs'!$P$32,IF(AND('3. GRI Pricing'!$F52&gt;='2. GRI Pricing Inputs'!$R$33,'3. GRI Pricing'!$F52&lt;='2. GRI Pricing Inputs'!$S$33),'2. GRI Pricing Inputs'!$R$32,IF(AND('3. GRI Pricing'!$F52&gt;='2. GRI Pricing Inputs'!$T$33,'3. GRI Pricing'!$F52&lt;='2. GRI Pricing Inputs'!$U$33),'2. GRI Pricing Inputs'!$T$32,IF(AND('3. GRI Pricing'!$F52&gt;='2. GRI Pricing Inputs'!$V$33,'3. GRI Pricing'!$F52&lt;='2. GRI Pricing Inputs'!$W$33),'2. GRI Pricing Inputs'!$V$32,IF(AND('3. GRI Pricing'!$F52&gt;='2. GRI Pricing Inputs'!$X$33,'3. GRI Pricing'!$F52&lt;='2. GRI Pricing Inputs'!$Y$33),'2. GRI Pricing Inputs'!$X$32,IF(AND('3. GRI Pricing'!$F52&gt;='2. GRI Pricing Inputs'!$Z$33,'3. GRI Pricing'!$F52&lt;='2. GRI Pricing Inputs'!$AA$33),'2. GRI Pricing Inputs'!$Z$32,IF(AND('3. GRI Pricing'!$F52&gt;='2. GRI Pricing Inputs'!$AB$33,'3. GRI Pricing'!$F52&lt;='2. GRI Pricing Inputs'!$AC$33),'2. GRI Pricing Inputs'!$AB$32,IF(AND('3. GRI Pricing'!$F52&gt;='2. GRI Pricing Inputs'!$AD$33,'3. GRI Pricing'!$F52&lt;='2. GRI Pricing Inputs'!$AE$33),'2. GRI Pricing Inputs'!$AD$32,IF(AND('3. GRI Pricing'!$F52&gt;='2. GRI Pricing Inputs'!$AF$33,'3. GRI Pricing'!$F52&lt;='2. GRI Pricing Inputs'!$AG$33),'2. GRI Pricing Inputs'!$AF$32,IF(AND('3. GRI Pricing'!$F52&gt;='2. GRI Pricing Inputs'!$AH$33,'3. GRI Pricing'!$F52&lt;='2. GRI Pricing Inputs'!$AI$33),'2. GRI Pricing Inputs'!$AH$32,0))))))))))))))))</f>
        <v>13</v>
      </c>
      <c r="N52" s="273" cm="1">
        <f t="array" ref="N52">IFERROR(INDEX('2. GRI Pricing Inputs'!$C$32:$AI$39,MATCH('3. GRI Pricing'!D52,'2. GRI Pricing Inputs'!$C$32:$C$39,0),(MATCH('3. GRI Pricing'!M52,'2. GRI Pricing Inputs'!$D$32:$AI$32,0)+1)),0)</f>
        <v>50</v>
      </c>
      <c r="O52" s="273">
        <f>IFERROR(INDEX('2. GRI Pricing Inputs'!$C$45:$AI$46,MATCH($O$16,'2. GRI Pricing Inputs'!$C$45:$C$46,0),MATCH(G52,'2. GRI Pricing Inputs'!$C$45:$AI$45,0)),0)</f>
        <v>50</v>
      </c>
      <c r="P52" s="273">
        <f>IFERROR(INDEX('2. GRI Pricing Inputs'!$C$53:$AI$54,MATCH('3. GRI Pricing'!$P$16,'2. GRI Pricing Inputs'!$C$53:$C$54,0),MATCH('3. GRI Pricing'!H52,'2. GRI Pricing Inputs'!$C$53:$AI$53,0)),0)</f>
        <v>10</v>
      </c>
      <c r="Q52" s="273">
        <f>IFERROR(INDEX('2. GRI Pricing Inputs'!$C$60:$AI$61,MATCH('3. GRI Pricing'!$Q$16,'2. GRI Pricing Inputs'!$C$60:$C$61,0),MATCH('1. Accomodation'!T56,'2. GRI Pricing Inputs'!$C$60:$AI$60,0)),0)</f>
        <v>0</v>
      </c>
      <c r="R52" s="273">
        <f>IFERROR(INDEX('2. GRI Pricing Inputs'!$C$67:$AI$68,MATCH('3. GRI Pricing'!$R$16,'2. GRI Pricing Inputs'!$C$67:$C$68,0),MATCH('1. Accomodation'!U56,'2. GRI Pricing Inputs'!$C$67:$AI$67,0)),0)</f>
        <v>0</v>
      </c>
      <c r="S52" s="273">
        <f>IF(D52=0,0,'2. GRI Pricing Inputs'!$AI$75)</f>
        <v>70</v>
      </c>
      <c r="T52" s="273">
        <f>IFERROR(INDEX('2. GRI Pricing Inputs'!$C$82:$AI$83,MATCH('3. GRI Pricing'!$T$16,'2. GRI Pricing Inputs'!$C$82:$C$83,0),MATCH('1. Accomodation'!V56,'2. GRI Pricing Inputs'!$C$82:$AI$82,0)),0)</f>
        <v>0</v>
      </c>
      <c r="U52" s="273">
        <f>IFERROR(INDEX('2. GRI Pricing Inputs'!$C$89:$AI$90,MATCH('3. GRI Pricing'!$U$16,'2. GRI Pricing Inputs'!$C$89:$C$90,0),MATCH('1. Accomodation'!W56,'2. GRI Pricing Inputs'!$C$89:$AI$89,0)),0)</f>
        <v>0</v>
      </c>
      <c r="V52" s="273">
        <f>IFERROR(INDEX('2. GRI Pricing Inputs'!$C$97:$AI$98,MATCH('3. GRI Pricing'!$V$16,'2. GRI Pricing Inputs'!$C$97:$C$98,0),MATCH('1. Accomodation'!X56,'2. GRI Pricing Inputs'!$C$97:$AI$97,0)),0)</f>
        <v>0</v>
      </c>
      <c r="W52" s="273">
        <f>IFERROR(INDEX('2. GRI Pricing Inputs'!$C$104:$AI$105,MATCH('3. GRI Pricing'!$W$16,'2. GRI Pricing Inputs'!$C$104:$C$105,0),MATCH('1. Accomodation'!Y56,'2. GRI Pricing Inputs'!$C$104:$AI$104,0)),0)</f>
        <v>0</v>
      </c>
      <c r="X52" s="274">
        <v>0</v>
      </c>
      <c r="Y52" s="275">
        <f t="shared" si="7"/>
        <v>1665</v>
      </c>
      <c r="Z52" s="276"/>
      <c r="AA52" s="276"/>
      <c r="AB52" s="276"/>
      <c r="AC52" s="272">
        <f>Y52*(1+'2. GRI Pricing Inputs'!$D$114)^(($AC$16-$AB$15)/365)</f>
        <v>1670.5554863877862</v>
      </c>
      <c r="AD52" s="273">
        <f>AC52*(1+'2. GRI Pricing Inputs'!$D$114)^((AD$16-AC$16)/365)</f>
        <v>1675.9494122110434</v>
      </c>
      <c r="AE52" s="273">
        <f>AD52*(1+'2. GRI Pricing Inputs'!$D$114)^((AE$16-AD$16)/365)</f>
        <v>1681.5414327192457</v>
      </c>
      <c r="AF52" s="273">
        <f>AE52*(1+'2. GRI Pricing Inputs'!$D$114)^((AF$16-AE$16)/365)</f>
        <v>1687.152111722231</v>
      </c>
      <c r="AG52" s="273">
        <f>AF52*(1+'2. GRI Pricing Inputs'!$D$114)^((AG$16-AF$16)/365)</f>
        <v>1692.4177582462898</v>
      </c>
      <c r="AH52" s="273">
        <f>AG52*(1+'2. GRI Pricing Inputs'!$D$114)^((AH$16-AG$16)/365)</f>
        <v>1698.0647275065812</v>
      </c>
      <c r="AI52" s="273">
        <f>AH52*(1+'2. GRI Pricing Inputs'!$D$114)^((AI$16-AH$16)/365)</f>
        <v>1703.5474757648058</v>
      </c>
      <c r="AJ52" s="273">
        <f>AI52*(1+'2. GRI Pricing Inputs'!$D$114)^((AJ$16-AI$16)/365)</f>
        <v>1709.2315807573339</v>
      </c>
      <c r="AK52" s="273">
        <f>AJ52*(1+'2. GRI Pricing Inputs'!$D$114)^((AK$16-AJ$16)/365)</f>
        <v>1714.7503847937737</v>
      </c>
      <c r="AL52" s="273">
        <f>AK52*(1+'2. GRI Pricing Inputs'!$D$114)^((AL$16-AK$16)/365)</f>
        <v>1720.4718697314152</v>
      </c>
      <c r="AM52" s="273">
        <f>AL52*(1+'2. GRI Pricing Inputs'!$D$114)^((AM$16-AL$16)/365)</f>
        <v>1726.2124451385396</v>
      </c>
      <c r="AN52" s="273">
        <f>AM52*(1+'2. GRI Pricing Inputs'!$D$114)^((AN$16-AM$16)/365)</f>
        <v>1731.7860773585587</v>
      </c>
      <c r="AO52" s="273">
        <f>AN52*(1+'2. GRI Pricing Inputs'!$D$114)^((AO$16-AN$16)/365)</f>
        <v>1737.5644040728671</v>
      </c>
    </row>
    <row r="53" spans="3:41" ht="12" x14ac:dyDescent="0.2">
      <c r="C53" s="76" t="str">
        <f>'1. Accomodation'!N57</f>
        <v>305N</v>
      </c>
      <c r="D53" s="69" t="str">
        <f>'1. Accomodation'!P57</f>
        <v>2 Bed</v>
      </c>
      <c r="E53" s="69">
        <f>'1. Accomodation'!Q57</f>
        <v>2</v>
      </c>
      <c r="F53" s="77">
        <f>'1. Accomodation'!O57</f>
        <v>667</v>
      </c>
      <c r="G53" s="69">
        <f>'1. Accomodation'!R57</f>
        <v>3</v>
      </c>
      <c r="H53" s="69" t="str">
        <f>'1. Accomodation'!S57</f>
        <v>Forth Banks/Pottery Lane</v>
      </c>
      <c r="I53" s="62"/>
      <c r="K53" s="272">
        <f>IFERROR(INDEX('2. GRI Pricing Inputs'!$C$15:$AI$16,MATCH($K$16,'2. GRI Pricing Inputs'!$C$15:$C$16,0),MATCH(D53,'2. GRI Pricing Inputs'!$C$15:$AI$15,0)),0)</f>
        <v>1110</v>
      </c>
      <c r="L53" s="273">
        <f>IFERROR(INDEX('2. GRI Pricing Inputs'!$C$22:$AI$23,MATCH($L$16,'2. GRI Pricing Inputs'!$C$22:$C$23,0),MATCH(E53,'2. GRI Pricing Inputs'!$C$22:$AI$22,0)),0)</f>
        <v>0</v>
      </c>
      <c r="M53" s="328">
        <f>IF(AND('3. GRI Pricing'!$F53&gt;='2. GRI Pricing Inputs'!$D$33,'3. GRI Pricing'!$F53&lt;='2. GRI Pricing Inputs'!$E$33),'2. GRI Pricing Inputs'!$D$32,IF(AND('3. GRI Pricing'!$F53&gt;='2. GRI Pricing Inputs'!$F$33,'3. GRI Pricing'!$F53&lt;='2. GRI Pricing Inputs'!$G$33),'2. GRI Pricing Inputs'!$F$32,IF(AND('3. GRI Pricing'!$F53&gt;='2. GRI Pricing Inputs'!$H$33,'3. GRI Pricing'!$F53&lt;='2. GRI Pricing Inputs'!$I$33),'2. GRI Pricing Inputs'!$H$32,IF(AND('3. GRI Pricing'!$F53&gt;='2. GRI Pricing Inputs'!$J$33,'3. GRI Pricing'!$F53&lt;='2. GRI Pricing Inputs'!$K$33),'2. GRI Pricing Inputs'!$J$32,IF(AND('3. GRI Pricing'!$F53&gt;='2. GRI Pricing Inputs'!$L$33,'3. GRI Pricing'!$F53&lt;='2. GRI Pricing Inputs'!$M$33),'2. GRI Pricing Inputs'!$L$32,IF(AND('3. GRI Pricing'!$F53&gt;='2. GRI Pricing Inputs'!$N$33,'3. GRI Pricing'!$F53&lt;='2. GRI Pricing Inputs'!$O$33),'2. GRI Pricing Inputs'!$N$32,IF(AND('3. GRI Pricing'!$F53&gt;='2. GRI Pricing Inputs'!$P$33,'3. GRI Pricing'!$F53&lt;='2. GRI Pricing Inputs'!$Q$33),'2. GRI Pricing Inputs'!$P$32,IF(AND('3. GRI Pricing'!$F53&gt;='2. GRI Pricing Inputs'!$R$33,'3. GRI Pricing'!$F53&lt;='2. GRI Pricing Inputs'!$S$33),'2. GRI Pricing Inputs'!$R$32,IF(AND('3. GRI Pricing'!$F53&gt;='2. GRI Pricing Inputs'!$T$33,'3. GRI Pricing'!$F53&lt;='2. GRI Pricing Inputs'!$U$33),'2. GRI Pricing Inputs'!$T$32,IF(AND('3. GRI Pricing'!$F53&gt;='2. GRI Pricing Inputs'!$V$33,'3. GRI Pricing'!$F53&lt;='2. GRI Pricing Inputs'!$W$33),'2. GRI Pricing Inputs'!$V$32,IF(AND('3. GRI Pricing'!$F53&gt;='2. GRI Pricing Inputs'!$X$33,'3. GRI Pricing'!$F53&lt;='2. GRI Pricing Inputs'!$Y$33),'2. GRI Pricing Inputs'!$X$32,IF(AND('3. GRI Pricing'!$F53&gt;='2. GRI Pricing Inputs'!$Z$33,'3. GRI Pricing'!$F53&lt;='2. GRI Pricing Inputs'!$AA$33),'2. GRI Pricing Inputs'!$Z$32,IF(AND('3. GRI Pricing'!$F53&gt;='2. GRI Pricing Inputs'!$AB$33,'3. GRI Pricing'!$F53&lt;='2. GRI Pricing Inputs'!$AC$33),'2. GRI Pricing Inputs'!$AB$32,IF(AND('3. GRI Pricing'!$F53&gt;='2. GRI Pricing Inputs'!$AD$33,'3. GRI Pricing'!$F53&lt;='2. GRI Pricing Inputs'!$AE$33),'2. GRI Pricing Inputs'!$AD$32,IF(AND('3. GRI Pricing'!$F53&gt;='2. GRI Pricing Inputs'!$AF$33,'3. GRI Pricing'!$F53&lt;='2. GRI Pricing Inputs'!$AG$33),'2. GRI Pricing Inputs'!$AF$32,IF(AND('3. GRI Pricing'!$F53&gt;='2. GRI Pricing Inputs'!$AH$33,'3. GRI Pricing'!$F53&lt;='2. GRI Pricing Inputs'!$AI$33),'2. GRI Pricing Inputs'!$AH$32,0))))))))))))))))</f>
        <v>9</v>
      </c>
      <c r="N53" s="273" cm="1">
        <f t="array" ref="N53">IFERROR(INDEX('2. GRI Pricing Inputs'!$C$32:$AI$39,MATCH('3. GRI Pricing'!D53,'2. GRI Pricing Inputs'!$C$32:$C$39,0),(MATCH('3. GRI Pricing'!M53,'2. GRI Pricing Inputs'!$D$32:$AI$32,0)+1)),0)</f>
        <v>30</v>
      </c>
      <c r="O53" s="273">
        <f>IFERROR(INDEX('2. GRI Pricing Inputs'!$C$45:$AI$46,MATCH($O$16,'2. GRI Pricing Inputs'!$C$45:$C$46,0),MATCH(G53,'2. GRI Pricing Inputs'!$C$45:$AI$45,0)),0)</f>
        <v>50</v>
      </c>
      <c r="P53" s="273">
        <f>IFERROR(INDEX('2. GRI Pricing Inputs'!$C$53:$AI$54,MATCH('3. GRI Pricing'!$P$16,'2. GRI Pricing Inputs'!$C$53:$C$54,0),MATCH('3. GRI Pricing'!H53,'2. GRI Pricing Inputs'!$C$53:$AI$53,0)),0)</f>
        <v>10</v>
      </c>
      <c r="Q53" s="273">
        <f>IFERROR(INDEX('2. GRI Pricing Inputs'!$C$60:$AI$61,MATCH('3. GRI Pricing'!$Q$16,'2. GRI Pricing Inputs'!$C$60:$C$61,0),MATCH('1. Accomodation'!T57,'2. GRI Pricing Inputs'!$C$60:$AI$60,0)),0)</f>
        <v>0</v>
      </c>
      <c r="R53" s="273">
        <f>IFERROR(INDEX('2. GRI Pricing Inputs'!$C$67:$AI$68,MATCH('3. GRI Pricing'!$R$16,'2. GRI Pricing Inputs'!$C$67:$C$68,0),MATCH('1. Accomodation'!U57,'2. GRI Pricing Inputs'!$C$67:$AI$67,0)),0)</f>
        <v>0</v>
      </c>
      <c r="S53" s="273">
        <f>IF(D53=0,0,'2. GRI Pricing Inputs'!$AI$75)</f>
        <v>70</v>
      </c>
      <c r="T53" s="273">
        <f>IFERROR(INDEX('2. GRI Pricing Inputs'!$C$82:$AI$83,MATCH('3. GRI Pricing'!$T$16,'2. GRI Pricing Inputs'!$C$82:$C$83,0),MATCH('1. Accomodation'!V57,'2. GRI Pricing Inputs'!$C$82:$AI$82,0)),0)</f>
        <v>0</v>
      </c>
      <c r="U53" s="273">
        <f>IFERROR(INDEX('2. GRI Pricing Inputs'!$C$89:$AI$90,MATCH('3. GRI Pricing'!$U$16,'2. GRI Pricing Inputs'!$C$89:$C$90,0),MATCH('1. Accomodation'!W57,'2. GRI Pricing Inputs'!$C$89:$AI$89,0)),0)</f>
        <v>0</v>
      </c>
      <c r="V53" s="273">
        <f>IFERROR(INDEX('2. GRI Pricing Inputs'!$C$97:$AI$98,MATCH('3. GRI Pricing'!$V$16,'2. GRI Pricing Inputs'!$C$97:$C$98,0),MATCH('1. Accomodation'!X57,'2. GRI Pricing Inputs'!$C$97:$AI$97,0)),0)</f>
        <v>0</v>
      </c>
      <c r="W53" s="273">
        <f>IFERROR(INDEX('2. GRI Pricing Inputs'!$C$104:$AI$105,MATCH('3. GRI Pricing'!$W$16,'2. GRI Pricing Inputs'!$C$104:$C$105,0),MATCH('1. Accomodation'!Y57,'2. GRI Pricing Inputs'!$C$104:$AI$104,0)),0)</f>
        <v>0</v>
      </c>
      <c r="X53" s="274">
        <v>0</v>
      </c>
      <c r="Y53" s="275">
        <f t="shared" si="7"/>
        <v>1270</v>
      </c>
      <c r="Z53" s="276"/>
      <c r="AA53" s="276"/>
      <c r="AB53" s="276"/>
      <c r="AC53" s="272">
        <f>Y53*(1+'2. GRI Pricing Inputs'!$D$114)^(($AC$16-$AB$15)/365)</f>
        <v>1274.2375181456389</v>
      </c>
      <c r="AD53" s="273">
        <f>AC53*(1+'2. GRI Pricing Inputs'!$D$114)^((AD$16-AC$16)/365)</f>
        <v>1278.3518039087239</v>
      </c>
      <c r="AE53" s="273">
        <f>AD53*(1+'2. GRI Pricing Inputs'!$D$114)^((AE$16-AD$16)/365)</f>
        <v>1282.6171889209863</v>
      </c>
      <c r="AF53" s="273">
        <f>AE53*(1+'2. GRI Pricing Inputs'!$D$114)^((AF$16-AE$16)/365)</f>
        <v>1286.8968059382785</v>
      </c>
      <c r="AG53" s="273">
        <f>AF53*(1+'2. GRI Pricing Inputs'!$D$114)^((AG$16-AF$16)/365)</f>
        <v>1290.9132450287018</v>
      </c>
      <c r="AH53" s="273">
        <f>AG53*(1+'2. GRI Pricing Inputs'!$D$114)^((AH$16-AG$16)/365)</f>
        <v>1295.2205429029179</v>
      </c>
      <c r="AI53" s="273">
        <f>AH53*(1+'2. GRI Pricing Inputs'!$D$114)^((AI$16-AH$16)/365)</f>
        <v>1299.4025791118941</v>
      </c>
      <c r="AJ53" s="273">
        <f>AI53*(1+'2. GRI Pricing Inputs'!$D$114)^((AJ$16-AI$16)/365)</f>
        <v>1303.7382027398282</v>
      </c>
      <c r="AK53" s="273">
        <f>AJ53*(1+'2. GRI Pricing Inputs'!$D$114)^((AK$16-AJ$16)/365)</f>
        <v>1307.9477409538094</v>
      </c>
      <c r="AL53" s="273">
        <f>AK53*(1+'2. GRI Pricing Inputs'!$D$114)^((AL$16-AK$16)/365)</f>
        <v>1312.3118766119505</v>
      </c>
      <c r="AM53" s="273">
        <f>AL53*(1+'2. GRI Pricing Inputs'!$D$114)^((AM$16-AL$16)/365)</f>
        <v>1316.6905737693367</v>
      </c>
      <c r="AN53" s="273">
        <f>AM53*(1+'2. GRI Pricing Inputs'!$D$114)^((AN$16-AM$16)/365)</f>
        <v>1320.9419328801021</v>
      </c>
      <c r="AO53" s="273">
        <f>AN53*(1+'2. GRI Pricing Inputs'!$D$114)^((AO$16-AN$16)/365)</f>
        <v>1325.3494253288538</v>
      </c>
    </row>
    <row r="54" spans="3:41" ht="12" x14ac:dyDescent="0.2">
      <c r="C54" s="76" t="str">
        <f>'1. Accomodation'!N58</f>
        <v>306N</v>
      </c>
      <c r="D54" s="69" t="str">
        <f>'1. Accomodation'!P58</f>
        <v>1 Bed</v>
      </c>
      <c r="E54" s="69">
        <f>'1. Accomodation'!Q58</f>
        <v>1</v>
      </c>
      <c r="F54" s="77">
        <f>'1. Accomodation'!O58</f>
        <v>441</v>
      </c>
      <c r="G54" s="69">
        <f>'1. Accomodation'!R58</f>
        <v>3</v>
      </c>
      <c r="H54" s="69" t="str">
        <f>'1. Accomodation'!S58</f>
        <v>Forth Banks</v>
      </c>
      <c r="I54" s="62"/>
      <c r="K54" s="272">
        <f>IFERROR(INDEX('2. GRI Pricing Inputs'!$C$15:$AI$16,MATCH($K$16,'2. GRI Pricing Inputs'!$C$15:$C$16,0),MATCH(D54,'2. GRI Pricing Inputs'!$C$15:$AI$15,0)),0)</f>
        <v>845</v>
      </c>
      <c r="L54" s="273">
        <f>IFERROR(INDEX('2. GRI Pricing Inputs'!$C$22:$AI$23,MATCH($L$16,'2. GRI Pricing Inputs'!$C$22:$C$23,0),MATCH(E54,'2. GRI Pricing Inputs'!$C$22:$AI$22,0)),0)</f>
        <v>0</v>
      </c>
      <c r="M54" s="328">
        <f>IF(AND('3. GRI Pricing'!$F54&gt;='2. GRI Pricing Inputs'!$D$33,'3. GRI Pricing'!$F54&lt;='2. GRI Pricing Inputs'!$E$33),'2. GRI Pricing Inputs'!$D$32,IF(AND('3. GRI Pricing'!$F54&gt;='2. GRI Pricing Inputs'!$F$33,'3. GRI Pricing'!$F54&lt;='2. GRI Pricing Inputs'!$G$33),'2. GRI Pricing Inputs'!$F$32,IF(AND('3. GRI Pricing'!$F54&gt;='2. GRI Pricing Inputs'!$H$33,'3. GRI Pricing'!$F54&lt;='2. GRI Pricing Inputs'!$I$33),'2. GRI Pricing Inputs'!$H$32,IF(AND('3. GRI Pricing'!$F54&gt;='2. GRI Pricing Inputs'!$J$33,'3. GRI Pricing'!$F54&lt;='2. GRI Pricing Inputs'!$K$33),'2. GRI Pricing Inputs'!$J$32,IF(AND('3. GRI Pricing'!$F54&gt;='2. GRI Pricing Inputs'!$L$33,'3. GRI Pricing'!$F54&lt;='2. GRI Pricing Inputs'!$M$33),'2. GRI Pricing Inputs'!$L$32,IF(AND('3. GRI Pricing'!$F54&gt;='2. GRI Pricing Inputs'!$N$33,'3. GRI Pricing'!$F54&lt;='2. GRI Pricing Inputs'!$O$33),'2. GRI Pricing Inputs'!$N$32,IF(AND('3. GRI Pricing'!$F54&gt;='2. GRI Pricing Inputs'!$P$33,'3. GRI Pricing'!$F54&lt;='2. GRI Pricing Inputs'!$Q$33),'2. GRI Pricing Inputs'!$P$32,IF(AND('3. GRI Pricing'!$F54&gt;='2. GRI Pricing Inputs'!$R$33,'3. GRI Pricing'!$F54&lt;='2. GRI Pricing Inputs'!$S$33),'2. GRI Pricing Inputs'!$R$32,IF(AND('3. GRI Pricing'!$F54&gt;='2. GRI Pricing Inputs'!$T$33,'3. GRI Pricing'!$F54&lt;='2. GRI Pricing Inputs'!$U$33),'2. GRI Pricing Inputs'!$T$32,IF(AND('3. GRI Pricing'!$F54&gt;='2. GRI Pricing Inputs'!$V$33,'3. GRI Pricing'!$F54&lt;='2. GRI Pricing Inputs'!$W$33),'2. GRI Pricing Inputs'!$V$32,IF(AND('3. GRI Pricing'!$F54&gt;='2. GRI Pricing Inputs'!$X$33,'3. GRI Pricing'!$F54&lt;='2. GRI Pricing Inputs'!$Y$33),'2. GRI Pricing Inputs'!$X$32,IF(AND('3. GRI Pricing'!$F54&gt;='2. GRI Pricing Inputs'!$Z$33,'3. GRI Pricing'!$F54&lt;='2. GRI Pricing Inputs'!$AA$33),'2. GRI Pricing Inputs'!$Z$32,IF(AND('3. GRI Pricing'!$F54&gt;='2. GRI Pricing Inputs'!$AB$33,'3. GRI Pricing'!$F54&lt;='2. GRI Pricing Inputs'!$AC$33),'2. GRI Pricing Inputs'!$AB$32,IF(AND('3. GRI Pricing'!$F54&gt;='2. GRI Pricing Inputs'!$AD$33,'3. GRI Pricing'!$F54&lt;='2. GRI Pricing Inputs'!$AE$33),'2. GRI Pricing Inputs'!$AD$32,IF(AND('3. GRI Pricing'!$F54&gt;='2. GRI Pricing Inputs'!$AF$33,'3. GRI Pricing'!$F54&lt;='2. GRI Pricing Inputs'!$AG$33),'2. GRI Pricing Inputs'!$AF$32,IF(AND('3. GRI Pricing'!$F54&gt;='2. GRI Pricing Inputs'!$AH$33,'3. GRI Pricing'!$F54&lt;='2. GRI Pricing Inputs'!$AI$33),'2. GRI Pricing Inputs'!$AH$32,0))))))))))))))))</f>
        <v>0</v>
      </c>
      <c r="N54" s="273" cm="1">
        <f t="array" ref="N54">IFERROR(INDEX('2. GRI Pricing Inputs'!$C$32:$AI$39,MATCH('3. GRI Pricing'!D54,'2. GRI Pricing Inputs'!$C$32:$C$39,0),(MATCH('3. GRI Pricing'!M54,'2. GRI Pricing Inputs'!$D$32:$AI$32,0)+1)),0)</f>
        <v>0</v>
      </c>
      <c r="O54" s="273">
        <f>IFERROR(INDEX('2. GRI Pricing Inputs'!$C$45:$AI$46,MATCH($O$16,'2. GRI Pricing Inputs'!$C$45:$C$46,0),MATCH(G54,'2. GRI Pricing Inputs'!$C$45:$AI$45,0)),0)</f>
        <v>50</v>
      </c>
      <c r="P54" s="273">
        <f>IFERROR(INDEX('2. GRI Pricing Inputs'!$C$53:$AI$54,MATCH('3. GRI Pricing'!$P$16,'2. GRI Pricing Inputs'!$C$53:$C$54,0),MATCH('3. GRI Pricing'!H54,'2. GRI Pricing Inputs'!$C$53:$AI$53,0)),0)</f>
        <v>5</v>
      </c>
      <c r="Q54" s="273">
        <f>IFERROR(INDEX('2. GRI Pricing Inputs'!$C$60:$AI$61,MATCH('3. GRI Pricing'!$Q$16,'2. GRI Pricing Inputs'!$C$60:$C$61,0),MATCH('1. Accomodation'!T58,'2. GRI Pricing Inputs'!$C$60:$AI$60,0)),0)</f>
        <v>0</v>
      </c>
      <c r="R54" s="273">
        <f>IFERROR(INDEX('2. GRI Pricing Inputs'!$C$67:$AI$68,MATCH('3. GRI Pricing'!$R$16,'2. GRI Pricing Inputs'!$C$67:$C$68,0),MATCH('1. Accomodation'!U58,'2. GRI Pricing Inputs'!$C$67:$AI$67,0)),0)</f>
        <v>0</v>
      </c>
      <c r="S54" s="273">
        <f>IF(D54=0,0,'2. GRI Pricing Inputs'!$AI$75)</f>
        <v>70</v>
      </c>
      <c r="T54" s="273">
        <f>IFERROR(INDEX('2. GRI Pricing Inputs'!$C$82:$AI$83,MATCH('3. GRI Pricing'!$T$16,'2. GRI Pricing Inputs'!$C$82:$C$83,0),MATCH('1. Accomodation'!V58,'2. GRI Pricing Inputs'!$C$82:$AI$82,0)),0)</f>
        <v>0</v>
      </c>
      <c r="U54" s="273">
        <f>IFERROR(INDEX('2. GRI Pricing Inputs'!$C$89:$AI$90,MATCH('3. GRI Pricing'!$U$16,'2. GRI Pricing Inputs'!$C$89:$C$90,0),MATCH('1. Accomodation'!W58,'2. GRI Pricing Inputs'!$C$89:$AI$89,0)),0)</f>
        <v>0</v>
      </c>
      <c r="V54" s="273">
        <f>IFERROR(INDEX('2. GRI Pricing Inputs'!$C$97:$AI$98,MATCH('3. GRI Pricing'!$V$16,'2. GRI Pricing Inputs'!$C$97:$C$98,0),MATCH('1. Accomodation'!X58,'2. GRI Pricing Inputs'!$C$97:$AI$97,0)),0)</f>
        <v>0</v>
      </c>
      <c r="W54" s="273">
        <f>IFERROR(INDEX('2. GRI Pricing Inputs'!$C$104:$AI$105,MATCH('3. GRI Pricing'!$W$16,'2. GRI Pricing Inputs'!$C$104:$C$105,0),MATCH('1. Accomodation'!Y58,'2. GRI Pricing Inputs'!$C$104:$AI$104,0)),0)</f>
        <v>0</v>
      </c>
      <c r="X54" s="274">
        <v>0</v>
      </c>
      <c r="Y54" s="275">
        <f t="shared" si="7"/>
        <v>970</v>
      </c>
      <c r="Z54" s="276"/>
      <c r="AA54" s="276"/>
      <c r="AB54" s="276"/>
      <c r="AC54" s="272">
        <f>Y54*(1+'2. GRI Pricing Inputs'!$D$114)^(($AC$16-$AB$15)/365)</f>
        <v>973.23652960729896</v>
      </c>
      <c r="AD54" s="273">
        <f>AC54*(1+'2. GRI Pricing Inputs'!$D$114)^((AD$16-AC$16)/365)</f>
        <v>976.378936843671</v>
      </c>
      <c r="AE54" s="273">
        <f>AD54*(1+'2. GRI Pricing Inputs'!$D$114)^((AE$16-AD$16)/365)</f>
        <v>979.63675059319428</v>
      </c>
      <c r="AF54" s="273">
        <f>AE54*(1+'2. GRI Pricing Inputs'!$D$114)^((AF$16-AE$16)/365)</f>
        <v>982.90543445679532</v>
      </c>
      <c r="AG54" s="273">
        <f>AF54*(1+'2. GRI Pricing Inputs'!$D$114)^((AG$16-AF$16)/365)</f>
        <v>985.97310840774855</v>
      </c>
      <c r="AH54" s="273">
        <f>AG54*(1+'2. GRI Pricing Inputs'!$D$114)^((AH$16-AG$16)/365)</f>
        <v>989.26293434317358</v>
      </c>
      <c r="AI54" s="273">
        <f>AH54*(1+'2. GRI Pricing Inputs'!$D$114)^((AI$16-AH$16)/365)</f>
        <v>992.45708798310011</v>
      </c>
      <c r="AJ54" s="273">
        <f>AI54*(1+'2. GRI Pricing Inputs'!$D$114)^((AJ$16-AI$16)/365)</f>
        <v>995.76854854931764</v>
      </c>
      <c r="AK54" s="273">
        <f>AJ54*(1+'2. GRI Pricing Inputs'!$D$114)^((AK$16-AJ$16)/365)</f>
        <v>998.983707657634</v>
      </c>
      <c r="AL54" s="273">
        <f>AK54*(1+'2. GRI Pricing Inputs'!$D$114)^((AL$16-AK$16)/365)</f>
        <v>1002.3169451288126</v>
      </c>
      <c r="AM54" s="273">
        <f>AL54*(1+'2. GRI Pricing Inputs'!$D$114)^((AM$16-AL$16)/365)</f>
        <v>1005.6613043750052</v>
      </c>
      <c r="AN54" s="273">
        <f>AM54*(1+'2. GRI Pricing Inputs'!$D$114)^((AN$16-AM$16)/365)</f>
        <v>1008.9084054281095</v>
      </c>
      <c r="AO54" s="273">
        <f>AN54*(1+'2. GRI Pricing Inputs'!$D$114)^((AO$16-AN$16)/365)</f>
        <v>1012.2747579283372</v>
      </c>
    </row>
    <row r="55" spans="3:41" ht="12" x14ac:dyDescent="0.2">
      <c r="C55" s="76" t="str">
        <f>'1. Accomodation'!N59</f>
        <v>307N</v>
      </c>
      <c r="D55" s="69" t="str">
        <f>'1. Accomodation'!P59</f>
        <v>2 Bed</v>
      </c>
      <c r="E55" s="69">
        <f>'1. Accomodation'!Q59</f>
        <v>2</v>
      </c>
      <c r="F55" s="77">
        <f>'1. Accomodation'!O59</f>
        <v>624</v>
      </c>
      <c r="G55" s="69">
        <f>'1. Accomodation'!R59</f>
        <v>3</v>
      </c>
      <c r="H55" s="69" t="str">
        <f>'1. Accomodation'!S59</f>
        <v>Forth Banks</v>
      </c>
      <c r="I55" s="62"/>
      <c r="K55" s="272">
        <f>IFERROR(INDEX('2. GRI Pricing Inputs'!$C$15:$AI$16,MATCH($K$16,'2. GRI Pricing Inputs'!$C$15:$C$16,0),MATCH(D55,'2. GRI Pricing Inputs'!$C$15:$AI$15,0)),0)</f>
        <v>1110</v>
      </c>
      <c r="L55" s="273">
        <f>IFERROR(INDEX('2. GRI Pricing Inputs'!$C$22:$AI$23,MATCH($L$16,'2. GRI Pricing Inputs'!$C$22:$C$23,0),MATCH(E55,'2. GRI Pricing Inputs'!$C$22:$AI$22,0)),0)</f>
        <v>0</v>
      </c>
      <c r="M55" s="328">
        <f>IF(AND('3. GRI Pricing'!$F55&gt;='2. GRI Pricing Inputs'!$D$33,'3. GRI Pricing'!$F55&lt;='2. GRI Pricing Inputs'!$E$33),'2. GRI Pricing Inputs'!$D$32,IF(AND('3. GRI Pricing'!$F55&gt;='2. GRI Pricing Inputs'!$F$33,'3. GRI Pricing'!$F55&lt;='2. GRI Pricing Inputs'!$G$33),'2. GRI Pricing Inputs'!$F$32,IF(AND('3. GRI Pricing'!$F55&gt;='2. GRI Pricing Inputs'!$H$33,'3. GRI Pricing'!$F55&lt;='2. GRI Pricing Inputs'!$I$33),'2. GRI Pricing Inputs'!$H$32,IF(AND('3. GRI Pricing'!$F55&gt;='2. GRI Pricing Inputs'!$J$33,'3. GRI Pricing'!$F55&lt;='2. GRI Pricing Inputs'!$K$33),'2. GRI Pricing Inputs'!$J$32,IF(AND('3. GRI Pricing'!$F55&gt;='2. GRI Pricing Inputs'!$L$33,'3. GRI Pricing'!$F55&lt;='2. GRI Pricing Inputs'!$M$33),'2. GRI Pricing Inputs'!$L$32,IF(AND('3. GRI Pricing'!$F55&gt;='2. GRI Pricing Inputs'!$N$33,'3. GRI Pricing'!$F55&lt;='2. GRI Pricing Inputs'!$O$33),'2. GRI Pricing Inputs'!$N$32,IF(AND('3. GRI Pricing'!$F55&gt;='2. GRI Pricing Inputs'!$P$33,'3. GRI Pricing'!$F55&lt;='2. GRI Pricing Inputs'!$Q$33),'2. GRI Pricing Inputs'!$P$32,IF(AND('3. GRI Pricing'!$F55&gt;='2. GRI Pricing Inputs'!$R$33,'3. GRI Pricing'!$F55&lt;='2. GRI Pricing Inputs'!$S$33),'2. GRI Pricing Inputs'!$R$32,IF(AND('3. GRI Pricing'!$F55&gt;='2. GRI Pricing Inputs'!$T$33,'3. GRI Pricing'!$F55&lt;='2. GRI Pricing Inputs'!$U$33),'2. GRI Pricing Inputs'!$T$32,IF(AND('3. GRI Pricing'!$F55&gt;='2. GRI Pricing Inputs'!$V$33,'3. GRI Pricing'!$F55&lt;='2. GRI Pricing Inputs'!$W$33),'2. GRI Pricing Inputs'!$V$32,IF(AND('3. GRI Pricing'!$F55&gt;='2. GRI Pricing Inputs'!$X$33,'3. GRI Pricing'!$F55&lt;='2. GRI Pricing Inputs'!$Y$33),'2. GRI Pricing Inputs'!$X$32,IF(AND('3. GRI Pricing'!$F55&gt;='2. GRI Pricing Inputs'!$Z$33,'3. GRI Pricing'!$F55&lt;='2. GRI Pricing Inputs'!$AA$33),'2. GRI Pricing Inputs'!$Z$32,IF(AND('3. GRI Pricing'!$F55&gt;='2. GRI Pricing Inputs'!$AB$33,'3. GRI Pricing'!$F55&lt;='2. GRI Pricing Inputs'!$AC$33),'2. GRI Pricing Inputs'!$AB$32,IF(AND('3. GRI Pricing'!$F55&gt;='2. GRI Pricing Inputs'!$AD$33,'3. GRI Pricing'!$F55&lt;='2. GRI Pricing Inputs'!$AE$33),'2. GRI Pricing Inputs'!$AD$32,IF(AND('3. GRI Pricing'!$F55&gt;='2. GRI Pricing Inputs'!$AF$33,'3. GRI Pricing'!$F55&lt;='2. GRI Pricing Inputs'!$AG$33),'2. GRI Pricing Inputs'!$AF$32,IF(AND('3. GRI Pricing'!$F55&gt;='2. GRI Pricing Inputs'!$AH$33,'3. GRI Pricing'!$F55&lt;='2. GRI Pricing Inputs'!$AI$33),'2. GRI Pricing Inputs'!$AH$32,0))))))))))))))))</f>
        <v>7</v>
      </c>
      <c r="N55" s="273" cm="1">
        <f t="array" ref="N55">IFERROR(INDEX('2. GRI Pricing Inputs'!$C$32:$AI$39,MATCH('3. GRI Pricing'!D55,'2. GRI Pricing Inputs'!$C$32:$C$39,0),(MATCH('3. GRI Pricing'!M55,'2. GRI Pricing Inputs'!$D$32:$AI$32,0)+1)),0)</f>
        <v>10</v>
      </c>
      <c r="O55" s="273">
        <f>IFERROR(INDEX('2. GRI Pricing Inputs'!$C$45:$AI$46,MATCH($O$16,'2. GRI Pricing Inputs'!$C$45:$C$46,0),MATCH(G55,'2. GRI Pricing Inputs'!$C$45:$AI$45,0)),0)</f>
        <v>50</v>
      </c>
      <c r="P55" s="273">
        <f>IFERROR(INDEX('2. GRI Pricing Inputs'!$C$53:$AI$54,MATCH('3. GRI Pricing'!$P$16,'2. GRI Pricing Inputs'!$C$53:$C$54,0),MATCH('3. GRI Pricing'!H55,'2. GRI Pricing Inputs'!$C$53:$AI$53,0)),0)</f>
        <v>5</v>
      </c>
      <c r="Q55" s="273">
        <f>IFERROR(INDEX('2. GRI Pricing Inputs'!$C$60:$AI$61,MATCH('3. GRI Pricing'!$Q$16,'2. GRI Pricing Inputs'!$C$60:$C$61,0),MATCH('1. Accomodation'!T59,'2. GRI Pricing Inputs'!$C$60:$AI$60,0)),0)</f>
        <v>0</v>
      </c>
      <c r="R55" s="273">
        <f>IFERROR(INDEX('2. GRI Pricing Inputs'!$C$67:$AI$68,MATCH('3. GRI Pricing'!$R$16,'2. GRI Pricing Inputs'!$C$67:$C$68,0),MATCH('1. Accomodation'!U59,'2. GRI Pricing Inputs'!$C$67:$AI$67,0)),0)</f>
        <v>0</v>
      </c>
      <c r="S55" s="273">
        <f>IF(D55=0,0,'2. GRI Pricing Inputs'!$AI$75)</f>
        <v>70</v>
      </c>
      <c r="T55" s="273">
        <f>IFERROR(INDEX('2. GRI Pricing Inputs'!$C$82:$AI$83,MATCH('3. GRI Pricing'!$T$16,'2. GRI Pricing Inputs'!$C$82:$C$83,0),MATCH('1. Accomodation'!V59,'2. GRI Pricing Inputs'!$C$82:$AI$82,0)),0)</f>
        <v>0</v>
      </c>
      <c r="U55" s="273">
        <f>IFERROR(INDEX('2. GRI Pricing Inputs'!$C$89:$AI$90,MATCH('3. GRI Pricing'!$U$16,'2. GRI Pricing Inputs'!$C$89:$C$90,0),MATCH('1. Accomodation'!W59,'2. GRI Pricing Inputs'!$C$89:$AI$89,0)),0)</f>
        <v>0</v>
      </c>
      <c r="V55" s="273">
        <f>IFERROR(INDEX('2. GRI Pricing Inputs'!$C$97:$AI$98,MATCH('3. GRI Pricing'!$V$16,'2. GRI Pricing Inputs'!$C$97:$C$98,0),MATCH('1. Accomodation'!X59,'2. GRI Pricing Inputs'!$C$97:$AI$97,0)),0)</f>
        <v>0</v>
      </c>
      <c r="W55" s="273">
        <f>IFERROR(INDEX('2. GRI Pricing Inputs'!$C$104:$AI$105,MATCH('3. GRI Pricing'!$W$16,'2. GRI Pricing Inputs'!$C$104:$C$105,0),MATCH('1. Accomodation'!Y59,'2. GRI Pricing Inputs'!$C$104:$AI$104,0)),0)</f>
        <v>0</v>
      </c>
      <c r="X55" s="274">
        <v>0</v>
      </c>
      <c r="Y55" s="275">
        <f t="shared" si="7"/>
        <v>1245</v>
      </c>
      <c r="Z55" s="276"/>
      <c r="AA55" s="276"/>
      <c r="AB55" s="276"/>
      <c r="AC55" s="272">
        <f>Y55*(1+'2. GRI Pricing Inputs'!$D$114)^(($AC$16-$AB$15)/365)</f>
        <v>1249.1541024341104</v>
      </c>
      <c r="AD55" s="273">
        <f>AC55*(1+'2. GRI Pricing Inputs'!$D$114)^((AD$16-AC$16)/365)</f>
        <v>1253.1873983199694</v>
      </c>
      <c r="AE55" s="273">
        <f>AD55*(1+'2. GRI Pricing Inputs'!$D$114)^((AE$16-AD$16)/365)</f>
        <v>1257.3688190603368</v>
      </c>
      <c r="AF55" s="273">
        <f>AE55*(1+'2. GRI Pricing Inputs'!$D$114)^((AF$16-AE$16)/365)</f>
        <v>1261.5641916481545</v>
      </c>
      <c r="AG55" s="273">
        <f>AF55*(1+'2. GRI Pricing Inputs'!$D$114)^((AG$16-AF$16)/365)</f>
        <v>1265.5015669769552</v>
      </c>
      <c r="AH55" s="273">
        <f>AG55*(1+'2. GRI Pricing Inputs'!$D$114)^((AH$16-AG$16)/365)</f>
        <v>1269.7240755229388</v>
      </c>
      <c r="AI55" s="273">
        <f>AH55*(1+'2. GRI Pricing Inputs'!$D$114)^((AI$16-AH$16)/365)</f>
        <v>1273.8237881844941</v>
      </c>
      <c r="AJ55" s="273">
        <f>AI55*(1+'2. GRI Pricing Inputs'!$D$114)^((AJ$16-AI$16)/365)</f>
        <v>1278.0740648906187</v>
      </c>
      <c r="AK55" s="273">
        <f>AJ55*(1+'2. GRI Pricing Inputs'!$D$114)^((AK$16-AJ$16)/365)</f>
        <v>1282.2007381791279</v>
      </c>
      <c r="AL55" s="273">
        <f>AK55*(1+'2. GRI Pricing Inputs'!$D$114)^((AL$16-AK$16)/365)</f>
        <v>1286.478965655022</v>
      </c>
      <c r="AM55" s="273">
        <f>AL55*(1+'2. GRI Pricing Inputs'!$D$114)^((AM$16-AL$16)/365)</f>
        <v>1290.7714679864753</v>
      </c>
      <c r="AN55" s="273">
        <f>AM55*(1+'2. GRI Pricing Inputs'!$D$114)^((AN$16-AM$16)/365)</f>
        <v>1294.9391389257689</v>
      </c>
      <c r="AO55" s="273">
        <f>AN55*(1+'2. GRI Pricing Inputs'!$D$114)^((AO$16-AN$16)/365)</f>
        <v>1299.2598697121437</v>
      </c>
    </row>
    <row r="56" spans="3:41" ht="12" x14ac:dyDescent="0.2">
      <c r="C56" s="76" t="str">
        <f>'1. Accomodation'!N60</f>
        <v>308N</v>
      </c>
      <c r="D56" s="69" t="str">
        <f>'1. Accomodation'!P60</f>
        <v>2 Bed</v>
      </c>
      <c r="E56" s="69">
        <f>'1. Accomodation'!Q60</f>
        <v>2</v>
      </c>
      <c r="F56" s="77">
        <f>'1. Accomodation'!O60</f>
        <v>624</v>
      </c>
      <c r="G56" s="69">
        <f>'1. Accomodation'!R60</f>
        <v>3</v>
      </c>
      <c r="H56" s="69" t="str">
        <f>'1. Accomodation'!S60</f>
        <v>Forth Banks</v>
      </c>
      <c r="I56" s="62"/>
      <c r="K56" s="272">
        <f>IFERROR(INDEX('2. GRI Pricing Inputs'!$C$15:$AI$16,MATCH($K$16,'2. GRI Pricing Inputs'!$C$15:$C$16,0),MATCH(D56,'2. GRI Pricing Inputs'!$C$15:$AI$15,0)),0)</f>
        <v>1110</v>
      </c>
      <c r="L56" s="273">
        <f>IFERROR(INDEX('2. GRI Pricing Inputs'!$C$22:$AI$23,MATCH($L$16,'2. GRI Pricing Inputs'!$C$22:$C$23,0),MATCH(E56,'2. GRI Pricing Inputs'!$C$22:$AI$22,0)),0)</f>
        <v>0</v>
      </c>
      <c r="M56" s="328">
        <f>IF(AND('3. GRI Pricing'!$F56&gt;='2. GRI Pricing Inputs'!$D$33,'3. GRI Pricing'!$F56&lt;='2. GRI Pricing Inputs'!$E$33),'2. GRI Pricing Inputs'!$D$32,IF(AND('3. GRI Pricing'!$F56&gt;='2. GRI Pricing Inputs'!$F$33,'3. GRI Pricing'!$F56&lt;='2. GRI Pricing Inputs'!$G$33),'2. GRI Pricing Inputs'!$F$32,IF(AND('3. GRI Pricing'!$F56&gt;='2. GRI Pricing Inputs'!$H$33,'3. GRI Pricing'!$F56&lt;='2. GRI Pricing Inputs'!$I$33),'2. GRI Pricing Inputs'!$H$32,IF(AND('3. GRI Pricing'!$F56&gt;='2. GRI Pricing Inputs'!$J$33,'3. GRI Pricing'!$F56&lt;='2. GRI Pricing Inputs'!$K$33),'2. GRI Pricing Inputs'!$J$32,IF(AND('3. GRI Pricing'!$F56&gt;='2. GRI Pricing Inputs'!$L$33,'3. GRI Pricing'!$F56&lt;='2. GRI Pricing Inputs'!$M$33),'2. GRI Pricing Inputs'!$L$32,IF(AND('3. GRI Pricing'!$F56&gt;='2. GRI Pricing Inputs'!$N$33,'3. GRI Pricing'!$F56&lt;='2. GRI Pricing Inputs'!$O$33),'2. GRI Pricing Inputs'!$N$32,IF(AND('3. GRI Pricing'!$F56&gt;='2. GRI Pricing Inputs'!$P$33,'3. GRI Pricing'!$F56&lt;='2. GRI Pricing Inputs'!$Q$33),'2. GRI Pricing Inputs'!$P$32,IF(AND('3. GRI Pricing'!$F56&gt;='2. GRI Pricing Inputs'!$R$33,'3. GRI Pricing'!$F56&lt;='2. GRI Pricing Inputs'!$S$33),'2. GRI Pricing Inputs'!$R$32,IF(AND('3. GRI Pricing'!$F56&gt;='2. GRI Pricing Inputs'!$T$33,'3. GRI Pricing'!$F56&lt;='2. GRI Pricing Inputs'!$U$33),'2. GRI Pricing Inputs'!$T$32,IF(AND('3. GRI Pricing'!$F56&gt;='2. GRI Pricing Inputs'!$V$33,'3. GRI Pricing'!$F56&lt;='2. GRI Pricing Inputs'!$W$33),'2. GRI Pricing Inputs'!$V$32,IF(AND('3. GRI Pricing'!$F56&gt;='2. GRI Pricing Inputs'!$X$33,'3. GRI Pricing'!$F56&lt;='2. GRI Pricing Inputs'!$Y$33),'2. GRI Pricing Inputs'!$X$32,IF(AND('3. GRI Pricing'!$F56&gt;='2. GRI Pricing Inputs'!$Z$33,'3. GRI Pricing'!$F56&lt;='2. GRI Pricing Inputs'!$AA$33),'2. GRI Pricing Inputs'!$Z$32,IF(AND('3. GRI Pricing'!$F56&gt;='2. GRI Pricing Inputs'!$AB$33,'3. GRI Pricing'!$F56&lt;='2. GRI Pricing Inputs'!$AC$33),'2. GRI Pricing Inputs'!$AB$32,IF(AND('3. GRI Pricing'!$F56&gt;='2. GRI Pricing Inputs'!$AD$33,'3. GRI Pricing'!$F56&lt;='2. GRI Pricing Inputs'!$AE$33),'2. GRI Pricing Inputs'!$AD$32,IF(AND('3. GRI Pricing'!$F56&gt;='2. GRI Pricing Inputs'!$AF$33,'3. GRI Pricing'!$F56&lt;='2. GRI Pricing Inputs'!$AG$33),'2. GRI Pricing Inputs'!$AF$32,IF(AND('3. GRI Pricing'!$F56&gt;='2. GRI Pricing Inputs'!$AH$33,'3. GRI Pricing'!$F56&lt;='2. GRI Pricing Inputs'!$AI$33),'2. GRI Pricing Inputs'!$AH$32,0))))))))))))))))</f>
        <v>7</v>
      </c>
      <c r="N56" s="273" cm="1">
        <f t="array" ref="N56">IFERROR(INDEX('2. GRI Pricing Inputs'!$C$32:$AI$39,MATCH('3. GRI Pricing'!D56,'2. GRI Pricing Inputs'!$C$32:$C$39,0),(MATCH('3. GRI Pricing'!M56,'2. GRI Pricing Inputs'!$D$32:$AI$32,0)+1)),0)</f>
        <v>10</v>
      </c>
      <c r="O56" s="273">
        <f>IFERROR(INDEX('2. GRI Pricing Inputs'!$C$45:$AI$46,MATCH($O$16,'2. GRI Pricing Inputs'!$C$45:$C$46,0),MATCH(G56,'2. GRI Pricing Inputs'!$C$45:$AI$45,0)),0)</f>
        <v>50</v>
      </c>
      <c r="P56" s="273">
        <f>IFERROR(INDEX('2. GRI Pricing Inputs'!$C$53:$AI$54,MATCH('3. GRI Pricing'!$P$16,'2. GRI Pricing Inputs'!$C$53:$C$54,0),MATCH('3. GRI Pricing'!H56,'2. GRI Pricing Inputs'!$C$53:$AI$53,0)),0)</f>
        <v>5</v>
      </c>
      <c r="Q56" s="273">
        <f>IFERROR(INDEX('2. GRI Pricing Inputs'!$C$60:$AI$61,MATCH('3. GRI Pricing'!$Q$16,'2. GRI Pricing Inputs'!$C$60:$C$61,0),MATCH('1. Accomodation'!T60,'2. GRI Pricing Inputs'!$C$60:$AI$60,0)),0)</f>
        <v>0</v>
      </c>
      <c r="R56" s="273">
        <f>IFERROR(INDEX('2. GRI Pricing Inputs'!$C$67:$AI$68,MATCH('3. GRI Pricing'!$R$16,'2. GRI Pricing Inputs'!$C$67:$C$68,0),MATCH('1. Accomodation'!U60,'2. GRI Pricing Inputs'!$C$67:$AI$67,0)),0)</f>
        <v>0</v>
      </c>
      <c r="S56" s="273">
        <f>IF(D56=0,0,'2. GRI Pricing Inputs'!$AI$75)</f>
        <v>70</v>
      </c>
      <c r="T56" s="273">
        <f>IFERROR(INDEX('2. GRI Pricing Inputs'!$C$82:$AI$83,MATCH('3. GRI Pricing'!$T$16,'2. GRI Pricing Inputs'!$C$82:$C$83,0),MATCH('1. Accomodation'!V60,'2. GRI Pricing Inputs'!$C$82:$AI$82,0)),0)</f>
        <v>0</v>
      </c>
      <c r="U56" s="273">
        <f>IFERROR(INDEX('2. GRI Pricing Inputs'!$C$89:$AI$90,MATCH('3. GRI Pricing'!$U$16,'2. GRI Pricing Inputs'!$C$89:$C$90,0),MATCH('1. Accomodation'!W60,'2. GRI Pricing Inputs'!$C$89:$AI$89,0)),0)</f>
        <v>0</v>
      </c>
      <c r="V56" s="273">
        <f>IFERROR(INDEX('2. GRI Pricing Inputs'!$C$97:$AI$98,MATCH('3. GRI Pricing'!$V$16,'2. GRI Pricing Inputs'!$C$97:$C$98,0),MATCH('1. Accomodation'!X60,'2. GRI Pricing Inputs'!$C$97:$AI$97,0)),0)</f>
        <v>0</v>
      </c>
      <c r="W56" s="273">
        <f>IFERROR(INDEX('2. GRI Pricing Inputs'!$C$104:$AI$105,MATCH('3. GRI Pricing'!$W$16,'2. GRI Pricing Inputs'!$C$104:$C$105,0),MATCH('1. Accomodation'!Y60,'2. GRI Pricing Inputs'!$C$104:$AI$104,0)),0)</f>
        <v>0</v>
      </c>
      <c r="X56" s="274">
        <v>0</v>
      </c>
      <c r="Y56" s="275">
        <f t="shared" si="7"/>
        <v>1245</v>
      </c>
      <c r="Z56" s="276"/>
      <c r="AA56" s="276"/>
      <c r="AB56" s="276"/>
      <c r="AC56" s="272">
        <f>Y56*(1+'2. GRI Pricing Inputs'!$D$114)^(($AC$16-$AB$15)/365)</f>
        <v>1249.1541024341104</v>
      </c>
      <c r="AD56" s="273">
        <f>AC56*(1+'2. GRI Pricing Inputs'!$D$114)^((AD$16-AC$16)/365)</f>
        <v>1253.1873983199694</v>
      </c>
      <c r="AE56" s="273">
        <f>AD56*(1+'2. GRI Pricing Inputs'!$D$114)^((AE$16-AD$16)/365)</f>
        <v>1257.3688190603368</v>
      </c>
      <c r="AF56" s="273">
        <f>AE56*(1+'2. GRI Pricing Inputs'!$D$114)^((AF$16-AE$16)/365)</f>
        <v>1261.5641916481545</v>
      </c>
      <c r="AG56" s="273">
        <f>AF56*(1+'2. GRI Pricing Inputs'!$D$114)^((AG$16-AF$16)/365)</f>
        <v>1265.5015669769552</v>
      </c>
      <c r="AH56" s="273">
        <f>AG56*(1+'2. GRI Pricing Inputs'!$D$114)^((AH$16-AG$16)/365)</f>
        <v>1269.7240755229388</v>
      </c>
      <c r="AI56" s="273">
        <f>AH56*(1+'2. GRI Pricing Inputs'!$D$114)^((AI$16-AH$16)/365)</f>
        <v>1273.8237881844941</v>
      </c>
      <c r="AJ56" s="273">
        <f>AI56*(1+'2. GRI Pricing Inputs'!$D$114)^((AJ$16-AI$16)/365)</f>
        <v>1278.0740648906187</v>
      </c>
      <c r="AK56" s="273">
        <f>AJ56*(1+'2. GRI Pricing Inputs'!$D$114)^((AK$16-AJ$16)/365)</f>
        <v>1282.2007381791279</v>
      </c>
      <c r="AL56" s="273">
        <f>AK56*(1+'2. GRI Pricing Inputs'!$D$114)^((AL$16-AK$16)/365)</f>
        <v>1286.478965655022</v>
      </c>
      <c r="AM56" s="273">
        <f>AL56*(1+'2. GRI Pricing Inputs'!$D$114)^((AM$16-AL$16)/365)</f>
        <v>1290.7714679864753</v>
      </c>
      <c r="AN56" s="273">
        <f>AM56*(1+'2. GRI Pricing Inputs'!$D$114)^((AN$16-AM$16)/365)</f>
        <v>1294.9391389257689</v>
      </c>
      <c r="AO56" s="273">
        <f>AN56*(1+'2. GRI Pricing Inputs'!$D$114)^((AO$16-AN$16)/365)</f>
        <v>1299.2598697121437</v>
      </c>
    </row>
    <row r="57" spans="3:41" ht="12" x14ac:dyDescent="0.2">
      <c r="C57" s="76" t="str">
        <f>'1. Accomodation'!N61</f>
        <v>309N</v>
      </c>
      <c r="D57" s="69" t="str">
        <f>'1. Accomodation'!P61</f>
        <v>2 Bed</v>
      </c>
      <c r="E57" s="69">
        <f>'1. Accomodation'!Q61</f>
        <v>2</v>
      </c>
      <c r="F57" s="77">
        <f>'1. Accomodation'!O61</f>
        <v>657</v>
      </c>
      <c r="G57" s="69">
        <f>'1. Accomodation'!R61</f>
        <v>3</v>
      </c>
      <c r="H57" s="69" t="str">
        <f>'1. Accomodation'!S61</f>
        <v>River - Partial</v>
      </c>
      <c r="I57" s="62"/>
      <c r="K57" s="272">
        <f>IFERROR(INDEX('2. GRI Pricing Inputs'!$C$15:$AI$16,MATCH($K$16,'2. GRI Pricing Inputs'!$C$15:$C$16,0),MATCH(D57,'2. GRI Pricing Inputs'!$C$15:$AI$15,0)),0)</f>
        <v>1110</v>
      </c>
      <c r="L57" s="273">
        <f>IFERROR(INDEX('2. GRI Pricing Inputs'!$C$22:$AI$23,MATCH($L$16,'2. GRI Pricing Inputs'!$C$22:$C$23,0),MATCH(E57,'2. GRI Pricing Inputs'!$C$22:$AI$22,0)),0)</f>
        <v>0</v>
      </c>
      <c r="M57" s="328">
        <f>IF(AND('3. GRI Pricing'!$F57&gt;='2. GRI Pricing Inputs'!$D$33,'3. GRI Pricing'!$F57&lt;='2. GRI Pricing Inputs'!$E$33),'2. GRI Pricing Inputs'!$D$32,IF(AND('3. GRI Pricing'!$F57&gt;='2. GRI Pricing Inputs'!$F$33,'3. GRI Pricing'!$F57&lt;='2. GRI Pricing Inputs'!$G$33),'2. GRI Pricing Inputs'!$F$32,IF(AND('3. GRI Pricing'!$F57&gt;='2. GRI Pricing Inputs'!$H$33,'3. GRI Pricing'!$F57&lt;='2. GRI Pricing Inputs'!$I$33),'2. GRI Pricing Inputs'!$H$32,IF(AND('3. GRI Pricing'!$F57&gt;='2. GRI Pricing Inputs'!$J$33,'3. GRI Pricing'!$F57&lt;='2. GRI Pricing Inputs'!$K$33),'2. GRI Pricing Inputs'!$J$32,IF(AND('3. GRI Pricing'!$F57&gt;='2. GRI Pricing Inputs'!$L$33,'3. GRI Pricing'!$F57&lt;='2. GRI Pricing Inputs'!$M$33),'2. GRI Pricing Inputs'!$L$32,IF(AND('3. GRI Pricing'!$F57&gt;='2. GRI Pricing Inputs'!$N$33,'3. GRI Pricing'!$F57&lt;='2. GRI Pricing Inputs'!$O$33),'2. GRI Pricing Inputs'!$N$32,IF(AND('3. GRI Pricing'!$F57&gt;='2. GRI Pricing Inputs'!$P$33,'3. GRI Pricing'!$F57&lt;='2. GRI Pricing Inputs'!$Q$33),'2. GRI Pricing Inputs'!$P$32,IF(AND('3. GRI Pricing'!$F57&gt;='2. GRI Pricing Inputs'!$R$33,'3. GRI Pricing'!$F57&lt;='2. GRI Pricing Inputs'!$S$33),'2. GRI Pricing Inputs'!$R$32,IF(AND('3. GRI Pricing'!$F57&gt;='2. GRI Pricing Inputs'!$T$33,'3. GRI Pricing'!$F57&lt;='2. GRI Pricing Inputs'!$U$33),'2. GRI Pricing Inputs'!$T$32,IF(AND('3. GRI Pricing'!$F57&gt;='2. GRI Pricing Inputs'!$V$33,'3. GRI Pricing'!$F57&lt;='2. GRI Pricing Inputs'!$W$33),'2. GRI Pricing Inputs'!$V$32,IF(AND('3. GRI Pricing'!$F57&gt;='2. GRI Pricing Inputs'!$X$33,'3. GRI Pricing'!$F57&lt;='2. GRI Pricing Inputs'!$Y$33),'2. GRI Pricing Inputs'!$X$32,IF(AND('3. GRI Pricing'!$F57&gt;='2. GRI Pricing Inputs'!$Z$33,'3. GRI Pricing'!$F57&lt;='2. GRI Pricing Inputs'!$AA$33),'2. GRI Pricing Inputs'!$Z$32,IF(AND('3. GRI Pricing'!$F57&gt;='2. GRI Pricing Inputs'!$AB$33,'3. GRI Pricing'!$F57&lt;='2. GRI Pricing Inputs'!$AC$33),'2. GRI Pricing Inputs'!$AB$32,IF(AND('3. GRI Pricing'!$F57&gt;='2. GRI Pricing Inputs'!$AD$33,'3. GRI Pricing'!$F57&lt;='2. GRI Pricing Inputs'!$AE$33),'2. GRI Pricing Inputs'!$AD$32,IF(AND('3. GRI Pricing'!$F57&gt;='2. GRI Pricing Inputs'!$AF$33,'3. GRI Pricing'!$F57&lt;='2. GRI Pricing Inputs'!$AG$33),'2. GRI Pricing Inputs'!$AF$32,IF(AND('3. GRI Pricing'!$F57&gt;='2. GRI Pricing Inputs'!$AH$33,'3. GRI Pricing'!$F57&lt;='2. GRI Pricing Inputs'!$AI$33),'2. GRI Pricing Inputs'!$AH$32,0))))))))))))))))</f>
        <v>8</v>
      </c>
      <c r="N57" s="273" cm="1">
        <f t="array" ref="N57">IFERROR(INDEX('2. GRI Pricing Inputs'!$C$32:$AI$39,MATCH('3. GRI Pricing'!D57,'2. GRI Pricing Inputs'!$C$32:$C$39,0),(MATCH('3. GRI Pricing'!M57,'2. GRI Pricing Inputs'!$D$32:$AI$32,0)+1)),0)</f>
        <v>20</v>
      </c>
      <c r="O57" s="273">
        <f>IFERROR(INDEX('2. GRI Pricing Inputs'!$C$45:$AI$46,MATCH($O$16,'2. GRI Pricing Inputs'!$C$45:$C$46,0),MATCH(G57,'2. GRI Pricing Inputs'!$C$45:$AI$45,0)),0)</f>
        <v>50</v>
      </c>
      <c r="P57" s="273">
        <f>IFERROR(INDEX('2. GRI Pricing Inputs'!$C$53:$AI$54,MATCH('3. GRI Pricing'!$P$16,'2. GRI Pricing Inputs'!$C$53:$C$54,0),MATCH('3. GRI Pricing'!H57,'2. GRI Pricing Inputs'!$C$53:$AI$53,0)),0)</f>
        <v>45</v>
      </c>
      <c r="Q57" s="273">
        <f>IFERROR(INDEX('2. GRI Pricing Inputs'!$C$60:$AI$61,MATCH('3. GRI Pricing'!$Q$16,'2. GRI Pricing Inputs'!$C$60:$C$61,0),MATCH('1. Accomodation'!T61,'2. GRI Pricing Inputs'!$C$60:$AI$60,0)),0)</f>
        <v>0</v>
      </c>
      <c r="R57" s="273">
        <f>IFERROR(INDEX('2. GRI Pricing Inputs'!$C$67:$AI$68,MATCH('3. GRI Pricing'!$R$16,'2. GRI Pricing Inputs'!$C$67:$C$68,0),MATCH('1. Accomodation'!U61,'2. GRI Pricing Inputs'!$C$67:$AI$67,0)),0)</f>
        <v>0</v>
      </c>
      <c r="S57" s="273">
        <f>IF(D57=0,0,'2. GRI Pricing Inputs'!$AI$75)</f>
        <v>70</v>
      </c>
      <c r="T57" s="273">
        <f>IFERROR(INDEX('2. GRI Pricing Inputs'!$C$82:$AI$83,MATCH('3. GRI Pricing'!$T$16,'2. GRI Pricing Inputs'!$C$82:$C$83,0),MATCH('1. Accomodation'!V61,'2. GRI Pricing Inputs'!$C$82:$AI$82,0)),0)</f>
        <v>0</v>
      </c>
      <c r="U57" s="273">
        <f>IFERROR(INDEX('2. GRI Pricing Inputs'!$C$89:$AI$90,MATCH('3. GRI Pricing'!$U$16,'2. GRI Pricing Inputs'!$C$89:$C$90,0),MATCH('1. Accomodation'!W61,'2. GRI Pricing Inputs'!$C$89:$AI$89,0)),0)</f>
        <v>0</v>
      </c>
      <c r="V57" s="273">
        <f>IFERROR(INDEX('2. GRI Pricing Inputs'!$C$97:$AI$98,MATCH('3. GRI Pricing'!$V$16,'2. GRI Pricing Inputs'!$C$97:$C$98,0),MATCH('1. Accomodation'!X61,'2. GRI Pricing Inputs'!$C$97:$AI$97,0)),0)</f>
        <v>0</v>
      </c>
      <c r="W57" s="273">
        <f>IFERROR(INDEX('2. GRI Pricing Inputs'!$C$104:$AI$105,MATCH('3. GRI Pricing'!$W$16,'2. GRI Pricing Inputs'!$C$104:$C$105,0),MATCH('1. Accomodation'!Y61,'2. GRI Pricing Inputs'!$C$104:$AI$104,0)),0)</f>
        <v>0</v>
      </c>
      <c r="X57" s="274">
        <v>0</v>
      </c>
      <c r="Y57" s="275">
        <f t="shared" si="7"/>
        <v>1295</v>
      </c>
      <c r="Z57" s="276"/>
      <c r="AA57" s="276"/>
      <c r="AB57" s="276"/>
      <c r="AC57" s="272">
        <f>Y57*(1+'2. GRI Pricing Inputs'!$D$114)^(($AC$16-$AB$15)/365)</f>
        <v>1299.3209338571671</v>
      </c>
      <c r="AD57" s="273">
        <f>AC57*(1+'2. GRI Pricing Inputs'!$D$114)^((AD$16-AC$16)/365)</f>
        <v>1303.5162094974783</v>
      </c>
      <c r="AE57" s="273">
        <f>AD57*(1+'2. GRI Pricing Inputs'!$D$114)^((AE$16-AD$16)/365)</f>
        <v>1307.8655587816356</v>
      </c>
      <c r="AF57" s="273">
        <f>AE57*(1+'2. GRI Pricing Inputs'!$D$114)^((AF$16-AE$16)/365)</f>
        <v>1312.229420228402</v>
      </c>
      <c r="AG57" s="273">
        <f>AF57*(1+'2. GRI Pricing Inputs'!$D$114)^((AG$16-AF$16)/365)</f>
        <v>1316.3249230804479</v>
      </c>
      <c r="AH57" s="273">
        <f>AG57*(1+'2. GRI Pricing Inputs'!$D$114)^((AH$16-AG$16)/365)</f>
        <v>1320.7170102828968</v>
      </c>
      <c r="AI57" s="273">
        <f>AH57*(1+'2. GRI Pricing Inputs'!$D$114)^((AI$16-AH$16)/365)</f>
        <v>1324.9813700392936</v>
      </c>
      <c r="AJ57" s="273">
        <f>AI57*(1+'2. GRI Pricing Inputs'!$D$114)^((AJ$16-AI$16)/365)</f>
        <v>1329.4023405890375</v>
      </c>
      <c r="AK57" s="273">
        <f>AJ57*(1+'2. GRI Pricing Inputs'!$D$114)^((AK$16-AJ$16)/365)</f>
        <v>1333.6947437284907</v>
      </c>
      <c r="AL57" s="273">
        <f>AK57*(1+'2. GRI Pricing Inputs'!$D$114)^((AL$16-AK$16)/365)</f>
        <v>1338.1447875688787</v>
      </c>
      <c r="AM57" s="273">
        <f>AL57*(1+'2. GRI Pricing Inputs'!$D$114)^((AM$16-AL$16)/365)</f>
        <v>1342.6096795521976</v>
      </c>
      <c r="AN57" s="273">
        <f>AM57*(1+'2. GRI Pricing Inputs'!$D$114)^((AN$16-AM$16)/365)</f>
        <v>1346.9447268344347</v>
      </c>
      <c r="AO57" s="273">
        <f>AN57*(1+'2. GRI Pricing Inputs'!$D$114)^((AO$16-AN$16)/365)</f>
        <v>1351.4389809455633</v>
      </c>
    </row>
    <row r="58" spans="3:41" ht="12" x14ac:dyDescent="0.2">
      <c r="C58" s="76" t="str">
        <f>'1. Accomodation'!N62</f>
        <v>310N</v>
      </c>
      <c r="D58" s="69" t="str">
        <f>'1. Accomodation'!P62</f>
        <v>2 Bed</v>
      </c>
      <c r="E58" s="69">
        <f>'1. Accomodation'!Q62</f>
        <v>2</v>
      </c>
      <c r="F58" s="77">
        <f>'1. Accomodation'!O62</f>
        <v>700</v>
      </c>
      <c r="G58" s="69">
        <f>'1. Accomodation'!R62</f>
        <v>3</v>
      </c>
      <c r="H58" s="69" t="str">
        <f>'1. Accomodation'!S62</f>
        <v>Forth Banks - Partial</v>
      </c>
      <c r="I58" s="62"/>
      <c r="K58" s="272">
        <f>IFERROR(INDEX('2. GRI Pricing Inputs'!$C$15:$AI$16,MATCH($K$16,'2. GRI Pricing Inputs'!$C$15:$C$16,0),MATCH(D58,'2. GRI Pricing Inputs'!$C$15:$AI$15,0)),0)</f>
        <v>1110</v>
      </c>
      <c r="L58" s="273">
        <f>IFERROR(INDEX('2. GRI Pricing Inputs'!$C$22:$AI$23,MATCH($L$16,'2. GRI Pricing Inputs'!$C$22:$C$23,0),MATCH(E58,'2. GRI Pricing Inputs'!$C$22:$AI$22,0)),0)</f>
        <v>0</v>
      </c>
      <c r="M58" s="328">
        <f>IF(AND('3. GRI Pricing'!$F58&gt;='2. GRI Pricing Inputs'!$D$33,'3. GRI Pricing'!$F58&lt;='2. GRI Pricing Inputs'!$E$33),'2. GRI Pricing Inputs'!$D$32,IF(AND('3. GRI Pricing'!$F58&gt;='2. GRI Pricing Inputs'!$F$33,'3. GRI Pricing'!$F58&lt;='2. GRI Pricing Inputs'!$G$33),'2. GRI Pricing Inputs'!$F$32,IF(AND('3. GRI Pricing'!$F58&gt;='2. GRI Pricing Inputs'!$H$33,'3. GRI Pricing'!$F58&lt;='2. GRI Pricing Inputs'!$I$33),'2. GRI Pricing Inputs'!$H$32,IF(AND('3. GRI Pricing'!$F58&gt;='2. GRI Pricing Inputs'!$J$33,'3. GRI Pricing'!$F58&lt;='2. GRI Pricing Inputs'!$K$33),'2. GRI Pricing Inputs'!$J$32,IF(AND('3. GRI Pricing'!$F58&gt;='2. GRI Pricing Inputs'!$L$33,'3. GRI Pricing'!$F58&lt;='2. GRI Pricing Inputs'!$M$33),'2. GRI Pricing Inputs'!$L$32,IF(AND('3. GRI Pricing'!$F58&gt;='2. GRI Pricing Inputs'!$N$33,'3. GRI Pricing'!$F58&lt;='2. GRI Pricing Inputs'!$O$33),'2. GRI Pricing Inputs'!$N$32,IF(AND('3. GRI Pricing'!$F58&gt;='2. GRI Pricing Inputs'!$P$33,'3. GRI Pricing'!$F58&lt;='2. GRI Pricing Inputs'!$Q$33),'2. GRI Pricing Inputs'!$P$32,IF(AND('3. GRI Pricing'!$F58&gt;='2. GRI Pricing Inputs'!$R$33,'3. GRI Pricing'!$F58&lt;='2. GRI Pricing Inputs'!$S$33),'2. GRI Pricing Inputs'!$R$32,IF(AND('3. GRI Pricing'!$F58&gt;='2. GRI Pricing Inputs'!$T$33,'3. GRI Pricing'!$F58&lt;='2. GRI Pricing Inputs'!$U$33),'2. GRI Pricing Inputs'!$T$32,IF(AND('3. GRI Pricing'!$F58&gt;='2. GRI Pricing Inputs'!$V$33,'3. GRI Pricing'!$F58&lt;='2. GRI Pricing Inputs'!$W$33),'2. GRI Pricing Inputs'!$V$32,IF(AND('3. GRI Pricing'!$F58&gt;='2. GRI Pricing Inputs'!$X$33,'3. GRI Pricing'!$F58&lt;='2. GRI Pricing Inputs'!$Y$33),'2. GRI Pricing Inputs'!$X$32,IF(AND('3. GRI Pricing'!$F58&gt;='2. GRI Pricing Inputs'!$Z$33,'3. GRI Pricing'!$F58&lt;='2. GRI Pricing Inputs'!$AA$33),'2. GRI Pricing Inputs'!$Z$32,IF(AND('3. GRI Pricing'!$F58&gt;='2. GRI Pricing Inputs'!$AB$33,'3. GRI Pricing'!$F58&lt;='2. GRI Pricing Inputs'!$AC$33),'2. GRI Pricing Inputs'!$AB$32,IF(AND('3. GRI Pricing'!$F58&gt;='2. GRI Pricing Inputs'!$AD$33,'3. GRI Pricing'!$F58&lt;='2. GRI Pricing Inputs'!$AE$33),'2. GRI Pricing Inputs'!$AD$32,IF(AND('3. GRI Pricing'!$F58&gt;='2. GRI Pricing Inputs'!$AF$33,'3. GRI Pricing'!$F58&lt;='2. GRI Pricing Inputs'!$AG$33),'2. GRI Pricing Inputs'!$AF$32,IF(AND('3. GRI Pricing'!$F58&gt;='2. GRI Pricing Inputs'!$AH$33,'3. GRI Pricing'!$F58&lt;='2. GRI Pricing Inputs'!$AI$33),'2. GRI Pricing Inputs'!$AH$32,0))))))))))))))))</f>
        <v>12</v>
      </c>
      <c r="N58" s="273" cm="1">
        <f t="array" ref="N58">IFERROR(INDEX('2. GRI Pricing Inputs'!$C$32:$AI$39,MATCH('3. GRI Pricing'!D58,'2. GRI Pricing Inputs'!$C$32:$C$39,0),(MATCH('3. GRI Pricing'!M58,'2. GRI Pricing Inputs'!$D$32:$AI$32,0)+1)),0)</f>
        <v>70</v>
      </c>
      <c r="O58" s="273">
        <f>IFERROR(INDEX('2. GRI Pricing Inputs'!$C$45:$AI$46,MATCH($O$16,'2. GRI Pricing Inputs'!$C$45:$C$46,0),MATCH(G58,'2. GRI Pricing Inputs'!$C$45:$AI$45,0)),0)</f>
        <v>50</v>
      </c>
      <c r="P58" s="273">
        <f>IFERROR(INDEX('2. GRI Pricing Inputs'!$C$53:$AI$54,MATCH('3. GRI Pricing'!$P$16,'2. GRI Pricing Inputs'!$C$53:$C$54,0),MATCH('3. GRI Pricing'!H58,'2. GRI Pricing Inputs'!$C$53:$AI$53,0)),0)</f>
        <v>40</v>
      </c>
      <c r="Q58" s="273">
        <f>IFERROR(INDEX('2. GRI Pricing Inputs'!$C$60:$AI$61,MATCH('3. GRI Pricing'!$Q$16,'2. GRI Pricing Inputs'!$C$60:$C$61,0),MATCH('1. Accomodation'!T62,'2. GRI Pricing Inputs'!$C$60:$AI$60,0)),0)</f>
        <v>0</v>
      </c>
      <c r="R58" s="273">
        <f>IFERROR(INDEX('2. GRI Pricing Inputs'!$C$67:$AI$68,MATCH('3. GRI Pricing'!$R$16,'2. GRI Pricing Inputs'!$C$67:$C$68,0),MATCH('1. Accomodation'!U62,'2. GRI Pricing Inputs'!$C$67:$AI$67,0)),0)</f>
        <v>0</v>
      </c>
      <c r="S58" s="273">
        <f>IF(D58=0,0,'2. GRI Pricing Inputs'!$AI$75)</f>
        <v>70</v>
      </c>
      <c r="T58" s="273">
        <f>IFERROR(INDEX('2. GRI Pricing Inputs'!$C$82:$AI$83,MATCH('3. GRI Pricing'!$T$16,'2. GRI Pricing Inputs'!$C$82:$C$83,0),MATCH('1. Accomodation'!V62,'2. GRI Pricing Inputs'!$C$82:$AI$82,0)),0)</f>
        <v>0</v>
      </c>
      <c r="U58" s="273">
        <f>IFERROR(INDEX('2. GRI Pricing Inputs'!$C$89:$AI$90,MATCH('3. GRI Pricing'!$U$16,'2. GRI Pricing Inputs'!$C$89:$C$90,0),MATCH('1. Accomodation'!W62,'2. GRI Pricing Inputs'!$C$89:$AI$89,0)),0)</f>
        <v>0</v>
      </c>
      <c r="V58" s="273">
        <f>IFERROR(INDEX('2. GRI Pricing Inputs'!$C$97:$AI$98,MATCH('3. GRI Pricing'!$V$16,'2. GRI Pricing Inputs'!$C$97:$C$98,0),MATCH('1. Accomodation'!X62,'2. GRI Pricing Inputs'!$C$97:$AI$97,0)),0)</f>
        <v>0</v>
      </c>
      <c r="W58" s="273">
        <f>IFERROR(INDEX('2. GRI Pricing Inputs'!$C$104:$AI$105,MATCH('3. GRI Pricing'!$W$16,'2. GRI Pricing Inputs'!$C$104:$C$105,0),MATCH('1. Accomodation'!Y62,'2. GRI Pricing Inputs'!$C$104:$AI$104,0)),0)</f>
        <v>0</v>
      </c>
      <c r="X58" s="274">
        <v>0</v>
      </c>
      <c r="Y58" s="275">
        <f t="shared" si="7"/>
        <v>1340</v>
      </c>
      <c r="Z58" s="276"/>
      <c r="AA58" s="276"/>
      <c r="AB58" s="276"/>
      <c r="AC58" s="272">
        <f>Y58*(1+'2. GRI Pricing Inputs'!$D$114)^(($AC$16-$AB$15)/365)</f>
        <v>1344.4710821379181</v>
      </c>
      <c r="AD58" s="273">
        <f>AC58*(1+'2. GRI Pricing Inputs'!$D$114)^((AD$16-AC$16)/365)</f>
        <v>1348.8121395572362</v>
      </c>
      <c r="AE58" s="273">
        <f>AD58*(1+'2. GRI Pricing Inputs'!$D$114)^((AE$16-AD$16)/365)</f>
        <v>1353.3126245308044</v>
      </c>
      <c r="AF58" s="273">
        <f>AE58*(1+'2. GRI Pricing Inputs'!$D$114)^((AF$16-AE$16)/365)</f>
        <v>1357.8281259506243</v>
      </c>
      <c r="AG58" s="273">
        <f>AF58*(1+'2. GRI Pricing Inputs'!$D$114)^((AG$16-AF$16)/365)</f>
        <v>1362.0659435735906</v>
      </c>
      <c r="AH58" s="273">
        <f>AG58*(1+'2. GRI Pricing Inputs'!$D$114)^((AH$16-AG$16)/365)</f>
        <v>1366.6106515668582</v>
      </c>
      <c r="AI58" s="273">
        <f>AH58*(1+'2. GRI Pricing Inputs'!$D$114)^((AI$16-AH$16)/365)</f>
        <v>1371.0231937086126</v>
      </c>
      <c r="AJ58" s="273">
        <f>AI58*(1+'2. GRI Pricing Inputs'!$D$114)^((AJ$16-AI$16)/365)</f>
        <v>1375.5977887176141</v>
      </c>
      <c r="AK58" s="273">
        <f>AJ58*(1+'2. GRI Pricing Inputs'!$D$114)^((AK$16-AJ$16)/365)</f>
        <v>1380.0393487229171</v>
      </c>
      <c r="AL58" s="273">
        <f>AK58*(1+'2. GRI Pricing Inputs'!$D$114)^((AL$16-AK$16)/365)</f>
        <v>1384.6440272913494</v>
      </c>
      <c r="AM58" s="273">
        <f>AL58*(1+'2. GRI Pricing Inputs'!$D$114)^((AM$16-AL$16)/365)</f>
        <v>1389.2640699613473</v>
      </c>
      <c r="AN58" s="273">
        <f>AM58*(1+'2. GRI Pricing Inputs'!$D$114)^((AN$16-AM$16)/365)</f>
        <v>1393.7497559522337</v>
      </c>
      <c r="AO58" s="273">
        <f>AN58*(1+'2. GRI Pricing Inputs'!$D$114)^((AO$16-AN$16)/365)</f>
        <v>1398.400181055641</v>
      </c>
    </row>
    <row r="59" spans="3:41" ht="12" x14ac:dyDescent="0.2">
      <c r="C59" s="76" t="str">
        <f>'1. Accomodation'!N63</f>
        <v>311N</v>
      </c>
      <c r="D59" s="69" t="str">
        <f>'1. Accomodation'!P63</f>
        <v>2 Bed</v>
      </c>
      <c r="E59" s="69">
        <f>'1. Accomodation'!Q63</f>
        <v>2</v>
      </c>
      <c r="F59" s="77">
        <f>'1. Accomodation'!O63</f>
        <v>689</v>
      </c>
      <c r="G59" s="69">
        <f>'1. Accomodation'!R63</f>
        <v>3</v>
      </c>
      <c r="H59" s="69" t="str">
        <f>'1. Accomodation'!S63</f>
        <v>Courtyard - dual</v>
      </c>
      <c r="I59" s="62"/>
      <c r="K59" s="272">
        <f>IFERROR(INDEX('2. GRI Pricing Inputs'!$C$15:$AI$16,MATCH($K$16,'2. GRI Pricing Inputs'!$C$15:$C$16,0),MATCH(D59,'2. GRI Pricing Inputs'!$C$15:$AI$15,0)),0)</f>
        <v>1110</v>
      </c>
      <c r="L59" s="273">
        <f>IFERROR(INDEX('2. GRI Pricing Inputs'!$C$22:$AI$23,MATCH($L$16,'2. GRI Pricing Inputs'!$C$22:$C$23,0),MATCH(E59,'2. GRI Pricing Inputs'!$C$22:$AI$22,0)),0)</f>
        <v>0</v>
      </c>
      <c r="M59" s="328">
        <f>IF(AND('3. GRI Pricing'!$F59&gt;='2. GRI Pricing Inputs'!$D$33,'3. GRI Pricing'!$F59&lt;='2. GRI Pricing Inputs'!$E$33),'2. GRI Pricing Inputs'!$D$32,IF(AND('3. GRI Pricing'!$F59&gt;='2. GRI Pricing Inputs'!$F$33,'3. GRI Pricing'!$F59&lt;='2. GRI Pricing Inputs'!$G$33),'2. GRI Pricing Inputs'!$F$32,IF(AND('3. GRI Pricing'!$F59&gt;='2. GRI Pricing Inputs'!$H$33,'3. GRI Pricing'!$F59&lt;='2. GRI Pricing Inputs'!$I$33),'2. GRI Pricing Inputs'!$H$32,IF(AND('3. GRI Pricing'!$F59&gt;='2. GRI Pricing Inputs'!$J$33,'3. GRI Pricing'!$F59&lt;='2. GRI Pricing Inputs'!$K$33),'2. GRI Pricing Inputs'!$J$32,IF(AND('3. GRI Pricing'!$F59&gt;='2. GRI Pricing Inputs'!$L$33,'3. GRI Pricing'!$F59&lt;='2. GRI Pricing Inputs'!$M$33),'2. GRI Pricing Inputs'!$L$32,IF(AND('3. GRI Pricing'!$F59&gt;='2. GRI Pricing Inputs'!$N$33,'3. GRI Pricing'!$F59&lt;='2. GRI Pricing Inputs'!$O$33),'2. GRI Pricing Inputs'!$N$32,IF(AND('3. GRI Pricing'!$F59&gt;='2. GRI Pricing Inputs'!$P$33,'3. GRI Pricing'!$F59&lt;='2. GRI Pricing Inputs'!$Q$33),'2. GRI Pricing Inputs'!$P$32,IF(AND('3. GRI Pricing'!$F59&gt;='2. GRI Pricing Inputs'!$R$33,'3. GRI Pricing'!$F59&lt;='2. GRI Pricing Inputs'!$S$33),'2. GRI Pricing Inputs'!$R$32,IF(AND('3. GRI Pricing'!$F59&gt;='2. GRI Pricing Inputs'!$T$33,'3. GRI Pricing'!$F59&lt;='2. GRI Pricing Inputs'!$U$33),'2. GRI Pricing Inputs'!$T$32,IF(AND('3. GRI Pricing'!$F59&gt;='2. GRI Pricing Inputs'!$V$33,'3. GRI Pricing'!$F59&lt;='2. GRI Pricing Inputs'!$W$33),'2. GRI Pricing Inputs'!$V$32,IF(AND('3. GRI Pricing'!$F59&gt;='2. GRI Pricing Inputs'!$X$33,'3. GRI Pricing'!$F59&lt;='2. GRI Pricing Inputs'!$Y$33),'2. GRI Pricing Inputs'!$X$32,IF(AND('3. GRI Pricing'!$F59&gt;='2. GRI Pricing Inputs'!$Z$33,'3. GRI Pricing'!$F59&lt;='2. GRI Pricing Inputs'!$AA$33),'2. GRI Pricing Inputs'!$Z$32,IF(AND('3. GRI Pricing'!$F59&gt;='2. GRI Pricing Inputs'!$AB$33,'3. GRI Pricing'!$F59&lt;='2. GRI Pricing Inputs'!$AC$33),'2. GRI Pricing Inputs'!$AB$32,IF(AND('3. GRI Pricing'!$F59&gt;='2. GRI Pricing Inputs'!$AD$33,'3. GRI Pricing'!$F59&lt;='2. GRI Pricing Inputs'!$AE$33),'2. GRI Pricing Inputs'!$AD$32,IF(AND('3. GRI Pricing'!$F59&gt;='2. GRI Pricing Inputs'!$AF$33,'3. GRI Pricing'!$F59&lt;='2. GRI Pricing Inputs'!$AG$33),'2. GRI Pricing Inputs'!$AF$32,IF(AND('3. GRI Pricing'!$F59&gt;='2. GRI Pricing Inputs'!$AH$33,'3. GRI Pricing'!$F59&lt;='2. GRI Pricing Inputs'!$AI$33),'2. GRI Pricing Inputs'!$AH$32,0))))))))))))))))</f>
        <v>11</v>
      </c>
      <c r="N59" s="273" cm="1">
        <f t="array" ref="N59">IFERROR(INDEX('2. GRI Pricing Inputs'!$C$32:$AI$39,MATCH('3. GRI Pricing'!D59,'2. GRI Pricing Inputs'!$C$32:$C$39,0),(MATCH('3. GRI Pricing'!M59,'2. GRI Pricing Inputs'!$D$32:$AI$32,0)+1)),0)</f>
        <v>65</v>
      </c>
      <c r="O59" s="273">
        <f>IFERROR(INDEX('2. GRI Pricing Inputs'!$C$45:$AI$46,MATCH($O$16,'2. GRI Pricing Inputs'!$C$45:$C$46,0),MATCH(G59,'2. GRI Pricing Inputs'!$C$45:$AI$45,0)),0)</f>
        <v>50</v>
      </c>
      <c r="P59" s="273">
        <f>IFERROR(INDEX('2. GRI Pricing Inputs'!$C$53:$AI$54,MATCH('3. GRI Pricing'!$P$16,'2. GRI Pricing Inputs'!$C$53:$C$54,0),MATCH('3. GRI Pricing'!H59,'2. GRI Pricing Inputs'!$C$53:$AI$53,0)),0)</f>
        <v>55</v>
      </c>
      <c r="Q59" s="273">
        <f>IFERROR(INDEX('2. GRI Pricing Inputs'!$C$60:$AI$61,MATCH('3. GRI Pricing'!$Q$16,'2. GRI Pricing Inputs'!$C$60:$C$61,0),MATCH('1. Accomodation'!T63,'2. GRI Pricing Inputs'!$C$60:$AI$60,0)),0)</f>
        <v>0</v>
      </c>
      <c r="R59" s="273">
        <f>IFERROR(INDEX('2. GRI Pricing Inputs'!$C$67:$AI$68,MATCH('3. GRI Pricing'!$R$16,'2. GRI Pricing Inputs'!$C$67:$C$68,0),MATCH('1. Accomodation'!U63,'2. GRI Pricing Inputs'!$C$67:$AI$67,0)),0)</f>
        <v>0</v>
      </c>
      <c r="S59" s="273">
        <f>IF(D59=0,0,'2. GRI Pricing Inputs'!$AI$75)</f>
        <v>70</v>
      </c>
      <c r="T59" s="273">
        <f>IFERROR(INDEX('2. GRI Pricing Inputs'!$C$82:$AI$83,MATCH('3. GRI Pricing'!$T$16,'2. GRI Pricing Inputs'!$C$82:$C$83,0),MATCH('1. Accomodation'!V63,'2. GRI Pricing Inputs'!$C$82:$AI$82,0)),0)</f>
        <v>0</v>
      </c>
      <c r="U59" s="273">
        <f>IFERROR(INDEX('2. GRI Pricing Inputs'!$C$89:$AI$90,MATCH('3. GRI Pricing'!$U$16,'2. GRI Pricing Inputs'!$C$89:$C$90,0),MATCH('1. Accomodation'!W63,'2. GRI Pricing Inputs'!$C$89:$AI$89,0)),0)</f>
        <v>0</v>
      </c>
      <c r="V59" s="273">
        <f>IFERROR(INDEX('2. GRI Pricing Inputs'!$C$97:$AI$98,MATCH('3. GRI Pricing'!$V$16,'2. GRI Pricing Inputs'!$C$97:$C$98,0),MATCH('1. Accomodation'!X63,'2. GRI Pricing Inputs'!$C$97:$AI$97,0)),0)</f>
        <v>0</v>
      </c>
      <c r="W59" s="273">
        <f>IFERROR(INDEX('2. GRI Pricing Inputs'!$C$104:$AI$105,MATCH('3. GRI Pricing'!$W$16,'2. GRI Pricing Inputs'!$C$104:$C$105,0),MATCH('1. Accomodation'!Y63,'2. GRI Pricing Inputs'!$C$104:$AI$104,0)),0)</f>
        <v>0</v>
      </c>
      <c r="X59" s="274">
        <v>0</v>
      </c>
      <c r="Y59" s="275">
        <f t="shared" si="7"/>
        <v>1350</v>
      </c>
      <c r="Z59" s="276"/>
      <c r="AA59" s="276"/>
      <c r="AB59" s="276"/>
      <c r="AC59" s="272">
        <f>Y59*(1+'2. GRI Pricing Inputs'!$D$114)^(($AC$16-$AB$15)/365)</f>
        <v>1354.5044484225295</v>
      </c>
      <c r="AD59" s="273">
        <f>AC59*(1+'2. GRI Pricing Inputs'!$D$114)^((AD$16-AC$16)/365)</f>
        <v>1358.8779017927382</v>
      </c>
      <c r="AE59" s="273">
        <f>AD59*(1+'2. GRI Pricing Inputs'!$D$114)^((AE$16-AD$16)/365)</f>
        <v>1363.4119724750644</v>
      </c>
      <c r="AF59" s="273">
        <f>AE59*(1+'2. GRI Pricing Inputs'!$D$114)^((AF$16-AE$16)/365)</f>
        <v>1367.9611716666741</v>
      </c>
      <c r="AG59" s="273">
        <f>AF59*(1+'2. GRI Pricing Inputs'!$D$114)^((AG$16-AF$16)/365)</f>
        <v>1372.2306147942895</v>
      </c>
      <c r="AH59" s="273">
        <f>AG59*(1+'2. GRI Pricing Inputs'!$D$114)^((AH$16-AG$16)/365)</f>
        <v>1376.8092385188502</v>
      </c>
      <c r="AI59" s="273">
        <f>AH59*(1+'2. GRI Pricing Inputs'!$D$114)^((AI$16-AH$16)/365)</f>
        <v>1381.2547100795728</v>
      </c>
      <c r="AJ59" s="273">
        <f>AI59*(1+'2. GRI Pricing Inputs'!$D$114)^((AJ$16-AI$16)/365)</f>
        <v>1385.8634438572981</v>
      </c>
      <c r="AK59" s="273">
        <f>AJ59*(1+'2. GRI Pricing Inputs'!$D$114)^((AK$16-AJ$16)/365)</f>
        <v>1390.3381498327899</v>
      </c>
      <c r="AL59" s="273">
        <f>AK59*(1+'2. GRI Pricing Inputs'!$D$114)^((AL$16-AK$16)/365)</f>
        <v>1394.9771916741208</v>
      </c>
      <c r="AM59" s="273">
        <f>AL59*(1+'2. GRI Pricing Inputs'!$D$114)^((AM$16-AL$16)/365)</f>
        <v>1399.631712274492</v>
      </c>
      <c r="AN59" s="273">
        <f>AM59*(1+'2. GRI Pricing Inputs'!$D$114)^((AN$16-AM$16)/365)</f>
        <v>1404.1508735339669</v>
      </c>
      <c r="AO59" s="273">
        <f>AN59*(1+'2. GRI Pricing Inputs'!$D$114)^((AO$16-AN$16)/365)</f>
        <v>1408.836003302325</v>
      </c>
    </row>
    <row r="60" spans="3:41" ht="12" x14ac:dyDescent="0.2">
      <c r="C60" s="76" t="str">
        <f>'1. Accomodation'!N64</f>
        <v>312N</v>
      </c>
      <c r="D60" s="69" t="str">
        <f>'1. Accomodation'!P64</f>
        <v>1 Bed</v>
      </c>
      <c r="E60" s="69">
        <f>'1. Accomodation'!Q64</f>
        <v>1</v>
      </c>
      <c r="F60" s="77">
        <f>'1. Accomodation'!O64</f>
        <v>517</v>
      </c>
      <c r="G60" s="69">
        <f>'1. Accomodation'!R64</f>
        <v>3</v>
      </c>
      <c r="H60" s="69" t="str">
        <f>'1. Accomodation'!S64</f>
        <v>Courtyard - dual</v>
      </c>
      <c r="I60" s="62"/>
      <c r="K60" s="272">
        <f>IFERROR(INDEX('2. GRI Pricing Inputs'!$C$15:$AI$16,MATCH($K$16,'2. GRI Pricing Inputs'!$C$15:$C$16,0),MATCH(D60,'2. GRI Pricing Inputs'!$C$15:$AI$15,0)),0)</f>
        <v>845</v>
      </c>
      <c r="L60" s="273">
        <f>IFERROR(INDEX('2. GRI Pricing Inputs'!$C$22:$AI$23,MATCH($L$16,'2. GRI Pricing Inputs'!$C$22:$C$23,0),MATCH(E60,'2. GRI Pricing Inputs'!$C$22:$AI$22,0)),0)</f>
        <v>0</v>
      </c>
      <c r="M60" s="328">
        <f>IF(AND('3. GRI Pricing'!$F60&gt;='2. GRI Pricing Inputs'!$D$33,'3. GRI Pricing'!$F60&lt;='2. GRI Pricing Inputs'!$E$33),'2. GRI Pricing Inputs'!$D$32,IF(AND('3. GRI Pricing'!$F60&gt;='2. GRI Pricing Inputs'!$F$33,'3. GRI Pricing'!$F60&lt;='2. GRI Pricing Inputs'!$G$33),'2. GRI Pricing Inputs'!$F$32,IF(AND('3. GRI Pricing'!$F60&gt;='2. GRI Pricing Inputs'!$H$33,'3. GRI Pricing'!$F60&lt;='2. GRI Pricing Inputs'!$I$33),'2. GRI Pricing Inputs'!$H$32,IF(AND('3. GRI Pricing'!$F60&gt;='2. GRI Pricing Inputs'!$J$33,'3. GRI Pricing'!$F60&lt;='2. GRI Pricing Inputs'!$K$33),'2. GRI Pricing Inputs'!$J$32,IF(AND('3. GRI Pricing'!$F60&gt;='2. GRI Pricing Inputs'!$L$33,'3. GRI Pricing'!$F60&lt;='2. GRI Pricing Inputs'!$M$33),'2. GRI Pricing Inputs'!$L$32,IF(AND('3. GRI Pricing'!$F60&gt;='2. GRI Pricing Inputs'!$N$33,'3. GRI Pricing'!$F60&lt;='2. GRI Pricing Inputs'!$O$33),'2. GRI Pricing Inputs'!$N$32,IF(AND('3. GRI Pricing'!$F60&gt;='2. GRI Pricing Inputs'!$P$33,'3. GRI Pricing'!$F60&lt;='2. GRI Pricing Inputs'!$Q$33),'2. GRI Pricing Inputs'!$P$32,IF(AND('3. GRI Pricing'!$F60&gt;='2. GRI Pricing Inputs'!$R$33,'3. GRI Pricing'!$F60&lt;='2. GRI Pricing Inputs'!$S$33),'2. GRI Pricing Inputs'!$R$32,IF(AND('3. GRI Pricing'!$F60&gt;='2. GRI Pricing Inputs'!$T$33,'3. GRI Pricing'!$F60&lt;='2. GRI Pricing Inputs'!$U$33),'2. GRI Pricing Inputs'!$T$32,IF(AND('3. GRI Pricing'!$F60&gt;='2. GRI Pricing Inputs'!$V$33,'3. GRI Pricing'!$F60&lt;='2. GRI Pricing Inputs'!$W$33),'2. GRI Pricing Inputs'!$V$32,IF(AND('3. GRI Pricing'!$F60&gt;='2. GRI Pricing Inputs'!$X$33,'3. GRI Pricing'!$F60&lt;='2. GRI Pricing Inputs'!$Y$33),'2. GRI Pricing Inputs'!$X$32,IF(AND('3. GRI Pricing'!$F60&gt;='2. GRI Pricing Inputs'!$Z$33,'3. GRI Pricing'!$F60&lt;='2. GRI Pricing Inputs'!$AA$33),'2. GRI Pricing Inputs'!$Z$32,IF(AND('3. GRI Pricing'!$F60&gt;='2. GRI Pricing Inputs'!$AB$33,'3. GRI Pricing'!$F60&lt;='2. GRI Pricing Inputs'!$AC$33),'2. GRI Pricing Inputs'!$AB$32,IF(AND('3. GRI Pricing'!$F60&gt;='2. GRI Pricing Inputs'!$AD$33,'3. GRI Pricing'!$F60&lt;='2. GRI Pricing Inputs'!$AE$33),'2. GRI Pricing Inputs'!$AD$32,IF(AND('3. GRI Pricing'!$F60&gt;='2. GRI Pricing Inputs'!$AF$33,'3. GRI Pricing'!$F60&lt;='2. GRI Pricing Inputs'!$AG$33),'2. GRI Pricing Inputs'!$AF$32,IF(AND('3. GRI Pricing'!$F60&gt;='2. GRI Pricing Inputs'!$AH$33,'3. GRI Pricing'!$F60&lt;='2. GRI Pricing Inputs'!$AI$33),'2. GRI Pricing Inputs'!$AH$32,0))))))))))))))))</f>
        <v>3</v>
      </c>
      <c r="N60" s="273" cm="1">
        <f t="array" ref="N60">IFERROR(INDEX('2. GRI Pricing Inputs'!$C$32:$AI$39,MATCH('3. GRI Pricing'!D60,'2. GRI Pricing Inputs'!$C$32:$C$39,0),(MATCH('3. GRI Pricing'!M60,'2. GRI Pricing Inputs'!$D$32:$AI$32,0)+1)),0)</f>
        <v>20</v>
      </c>
      <c r="O60" s="273">
        <f>IFERROR(INDEX('2. GRI Pricing Inputs'!$C$45:$AI$46,MATCH($O$16,'2. GRI Pricing Inputs'!$C$45:$C$46,0),MATCH(G60,'2. GRI Pricing Inputs'!$C$45:$AI$45,0)),0)</f>
        <v>50</v>
      </c>
      <c r="P60" s="273">
        <f>IFERROR(INDEX('2. GRI Pricing Inputs'!$C$53:$AI$54,MATCH('3. GRI Pricing'!$P$16,'2. GRI Pricing Inputs'!$C$53:$C$54,0),MATCH('3. GRI Pricing'!H60,'2. GRI Pricing Inputs'!$C$53:$AI$53,0)),0)</f>
        <v>55</v>
      </c>
      <c r="Q60" s="273">
        <f>IFERROR(INDEX('2. GRI Pricing Inputs'!$C$60:$AI$61,MATCH('3. GRI Pricing'!$Q$16,'2. GRI Pricing Inputs'!$C$60:$C$61,0),MATCH('1. Accomodation'!T64,'2. GRI Pricing Inputs'!$C$60:$AI$60,0)),0)</f>
        <v>0</v>
      </c>
      <c r="R60" s="273">
        <f>IFERROR(INDEX('2. GRI Pricing Inputs'!$C$67:$AI$68,MATCH('3. GRI Pricing'!$R$16,'2. GRI Pricing Inputs'!$C$67:$C$68,0),MATCH('1. Accomodation'!U64,'2. GRI Pricing Inputs'!$C$67:$AI$67,0)),0)</f>
        <v>0</v>
      </c>
      <c r="S60" s="273">
        <f>IF(D60=0,0,'2. GRI Pricing Inputs'!$AI$75)</f>
        <v>70</v>
      </c>
      <c r="T60" s="273">
        <f>IFERROR(INDEX('2. GRI Pricing Inputs'!$C$82:$AI$83,MATCH('3. GRI Pricing'!$T$16,'2. GRI Pricing Inputs'!$C$82:$C$83,0),MATCH('1. Accomodation'!V64,'2. GRI Pricing Inputs'!$C$82:$AI$82,0)),0)</f>
        <v>0</v>
      </c>
      <c r="U60" s="273">
        <f>IFERROR(INDEX('2. GRI Pricing Inputs'!$C$89:$AI$90,MATCH('3. GRI Pricing'!$U$16,'2. GRI Pricing Inputs'!$C$89:$C$90,0),MATCH('1. Accomodation'!W64,'2. GRI Pricing Inputs'!$C$89:$AI$89,0)),0)</f>
        <v>0</v>
      </c>
      <c r="V60" s="273">
        <f>IFERROR(INDEX('2. GRI Pricing Inputs'!$C$97:$AI$98,MATCH('3. GRI Pricing'!$V$16,'2. GRI Pricing Inputs'!$C$97:$C$98,0),MATCH('1. Accomodation'!X64,'2. GRI Pricing Inputs'!$C$97:$AI$97,0)),0)</f>
        <v>0</v>
      </c>
      <c r="W60" s="273">
        <f>IFERROR(INDEX('2. GRI Pricing Inputs'!$C$104:$AI$105,MATCH('3. GRI Pricing'!$W$16,'2. GRI Pricing Inputs'!$C$104:$C$105,0),MATCH('1. Accomodation'!Y64,'2. GRI Pricing Inputs'!$C$104:$AI$104,0)),0)</f>
        <v>0</v>
      </c>
      <c r="X60" s="274">
        <v>0</v>
      </c>
      <c r="Y60" s="275">
        <f t="shared" si="7"/>
        <v>1040</v>
      </c>
      <c r="Z60" s="276"/>
      <c r="AA60" s="276"/>
      <c r="AB60" s="276"/>
      <c r="AC60" s="272">
        <f>Y60*(1+'2. GRI Pricing Inputs'!$D$114)^(($AC$16-$AB$15)/365)</f>
        <v>1043.4700935995781</v>
      </c>
      <c r="AD60" s="273">
        <f>AC60*(1+'2. GRI Pricing Inputs'!$D$114)^((AD$16-AC$16)/365)</f>
        <v>1046.8392724921832</v>
      </c>
      <c r="AE60" s="273">
        <f>AD60*(1+'2. GRI Pricing Inputs'!$D$114)^((AE$16-AD$16)/365)</f>
        <v>1050.3321862030123</v>
      </c>
      <c r="AF60" s="273">
        <f>AE60*(1+'2. GRI Pricing Inputs'!$D$114)^((AF$16-AE$16)/365)</f>
        <v>1053.8367544691412</v>
      </c>
      <c r="AG60" s="273">
        <f>AF60*(1+'2. GRI Pricing Inputs'!$D$114)^((AG$16-AF$16)/365)</f>
        <v>1057.1258069526375</v>
      </c>
      <c r="AH60" s="273">
        <f>AG60*(1+'2. GRI Pricing Inputs'!$D$114)^((AH$16-AG$16)/365)</f>
        <v>1060.6530430071139</v>
      </c>
      <c r="AI60" s="273">
        <f>AH60*(1+'2. GRI Pricing Inputs'!$D$114)^((AI$16-AH$16)/365)</f>
        <v>1064.0777025798186</v>
      </c>
      <c r="AJ60" s="273">
        <f>AI60*(1+'2. GRI Pricing Inputs'!$D$114)^((AJ$16-AI$16)/365)</f>
        <v>1067.6281345271034</v>
      </c>
      <c r="AK60" s="273">
        <f>AJ60*(1+'2. GRI Pricing Inputs'!$D$114)^((AK$16-AJ$16)/365)</f>
        <v>1071.0753154267416</v>
      </c>
      <c r="AL60" s="273">
        <f>AK60*(1+'2. GRI Pricing Inputs'!$D$114)^((AL$16-AK$16)/365)</f>
        <v>1074.6490958082113</v>
      </c>
      <c r="AM60" s="273">
        <f>AL60*(1+'2. GRI Pricing Inputs'!$D$114)^((AM$16-AL$16)/365)</f>
        <v>1078.2348005670158</v>
      </c>
      <c r="AN60" s="273">
        <f>AM60*(1+'2. GRI Pricing Inputs'!$D$114)^((AN$16-AM$16)/365)</f>
        <v>1081.716228500241</v>
      </c>
      <c r="AO60" s="273">
        <f>AN60*(1+'2. GRI Pricing Inputs'!$D$114)^((AO$16-AN$16)/365)</f>
        <v>1085.3255136551243</v>
      </c>
    </row>
    <row r="61" spans="3:41" ht="12" x14ac:dyDescent="0.2">
      <c r="C61" s="76" t="str">
        <f>'1. Accomodation'!N65</f>
        <v>313N</v>
      </c>
      <c r="D61" s="69" t="str">
        <f>'1. Accomodation'!P65</f>
        <v>1 Bed</v>
      </c>
      <c r="E61" s="69">
        <f>'1. Accomodation'!Q65</f>
        <v>1</v>
      </c>
      <c r="F61" s="77">
        <f>'1. Accomodation'!O65</f>
        <v>538</v>
      </c>
      <c r="G61" s="69">
        <f>'1. Accomodation'!R65</f>
        <v>3</v>
      </c>
      <c r="H61" s="69" t="str">
        <f>'1. Accomodation'!S65</f>
        <v>Courtyard</v>
      </c>
      <c r="I61" s="62"/>
      <c r="K61" s="272">
        <f>IFERROR(INDEX('2. GRI Pricing Inputs'!$C$15:$AI$16,MATCH($K$16,'2. GRI Pricing Inputs'!$C$15:$C$16,0),MATCH(D61,'2. GRI Pricing Inputs'!$C$15:$AI$15,0)),0)</f>
        <v>845</v>
      </c>
      <c r="L61" s="273">
        <f>IFERROR(INDEX('2. GRI Pricing Inputs'!$C$22:$AI$23,MATCH($L$16,'2. GRI Pricing Inputs'!$C$22:$C$23,0),MATCH(E61,'2. GRI Pricing Inputs'!$C$22:$AI$22,0)),0)</f>
        <v>0</v>
      </c>
      <c r="M61" s="328">
        <f>IF(AND('3. GRI Pricing'!$F61&gt;='2. GRI Pricing Inputs'!$D$33,'3. GRI Pricing'!$F61&lt;='2. GRI Pricing Inputs'!$E$33),'2. GRI Pricing Inputs'!$D$32,IF(AND('3. GRI Pricing'!$F61&gt;='2. GRI Pricing Inputs'!$F$33,'3. GRI Pricing'!$F61&lt;='2. GRI Pricing Inputs'!$G$33),'2. GRI Pricing Inputs'!$F$32,IF(AND('3. GRI Pricing'!$F61&gt;='2. GRI Pricing Inputs'!$H$33,'3. GRI Pricing'!$F61&lt;='2. GRI Pricing Inputs'!$I$33),'2. GRI Pricing Inputs'!$H$32,IF(AND('3. GRI Pricing'!$F61&gt;='2. GRI Pricing Inputs'!$J$33,'3. GRI Pricing'!$F61&lt;='2. GRI Pricing Inputs'!$K$33),'2. GRI Pricing Inputs'!$J$32,IF(AND('3. GRI Pricing'!$F61&gt;='2. GRI Pricing Inputs'!$L$33,'3. GRI Pricing'!$F61&lt;='2. GRI Pricing Inputs'!$M$33),'2. GRI Pricing Inputs'!$L$32,IF(AND('3. GRI Pricing'!$F61&gt;='2. GRI Pricing Inputs'!$N$33,'3. GRI Pricing'!$F61&lt;='2. GRI Pricing Inputs'!$O$33),'2. GRI Pricing Inputs'!$N$32,IF(AND('3. GRI Pricing'!$F61&gt;='2. GRI Pricing Inputs'!$P$33,'3. GRI Pricing'!$F61&lt;='2. GRI Pricing Inputs'!$Q$33),'2. GRI Pricing Inputs'!$P$32,IF(AND('3. GRI Pricing'!$F61&gt;='2. GRI Pricing Inputs'!$R$33,'3. GRI Pricing'!$F61&lt;='2. GRI Pricing Inputs'!$S$33),'2. GRI Pricing Inputs'!$R$32,IF(AND('3. GRI Pricing'!$F61&gt;='2. GRI Pricing Inputs'!$T$33,'3. GRI Pricing'!$F61&lt;='2. GRI Pricing Inputs'!$U$33),'2. GRI Pricing Inputs'!$T$32,IF(AND('3. GRI Pricing'!$F61&gt;='2. GRI Pricing Inputs'!$V$33,'3. GRI Pricing'!$F61&lt;='2. GRI Pricing Inputs'!$W$33),'2. GRI Pricing Inputs'!$V$32,IF(AND('3. GRI Pricing'!$F61&gt;='2. GRI Pricing Inputs'!$X$33,'3. GRI Pricing'!$F61&lt;='2. GRI Pricing Inputs'!$Y$33),'2. GRI Pricing Inputs'!$X$32,IF(AND('3. GRI Pricing'!$F61&gt;='2. GRI Pricing Inputs'!$Z$33,'3. GRI Pricing'!$F61&lt;='2. GRI Pricing Inputs'!$AA$33),'2. GRI Pricing Inputs'!$Z$32,IF(AND('3. GRI Pricing'!$F61&gt;='2. GRI Pricing Inputs'!$AB$33,'3. GRI Pricing'!$F61&lt;='2. GRI Pricing Inputs'!$AC$33),'2. GRI Pricing Inputs'!$AB$32,IF(AND('3. GRI Pricing'!$F61&gt;='2. GRI Pricing Inputs'!$AD$33,'3. GRI Pricing'!$F61&lt;='2. GRI Pricing Inputs'!$AE$33),'2. GRI Pricing Inputs'!$AD$32,IF(AND('3. GRI Pricing'!$F61&gt;='2. GRI Pricing Inputs'!$AF$33,'3. GRI Pricing'!$F61&lt;='2. GRI Pricing Inputs'!$AG$33),'2. GRI Pricing Inputs'!$AF$32,IF(AND('3. GRI Pricing'!$F61&gt;='2. GRI Pricing Inputs'!$AH$33,'3. GRI Pricing'!$F61&lt;='2. GRI Pricing Inputs'!$AI$33),'2. GRI Pricing Inputs'!$AH$32,0))))))))))))))))</f>
        <v>4</v>
      </c>
      <c r="N61" s="273" cm="1">
        <f t="array" ref="N61">IFERROR(INDEX('2. GRI Pricing Inputs'!$C$32:$AI$39,MATCH('3. GRI Pricing'!D61,'2. GRI Pricing Inputs'!$C$32:$C$39,0),(MATCH('3. GRI Pricing'!M61,'2. GRI Pricing Inputs'!$D$32:$AI$32,0)+1)),0)</f>
        <v>25</v>
      </c>
      <c r="O61" s="273">
        <f>IFERROR(INDEX('2. GRI Pricing Inputs'!$C$45:$AI$46,MATCH($O$16,'2. GRI Pricing Inputs'!$C$45:$C$46,0),MATCH(G61,'2. GRI Pricing Inputs'!$C$45:$AI$45,0)),0)</f>
        <v>50</v>
      </c>
      <c r="P61" s="273">
        <f>IFERROR(INDEX('2. GRI Pricing Inputs'!$C$53:$AI$54,MATCH('3. GRI Pricing'!$P$16,'2. GRI Pricing Inputs'!$C$53:$C$54,0),MATCH('3. GRI Pricing'!H61,'2. GRI Pricing Inputs'!$C$53:$AI$53,0)),0)</f>
        <v>25</v>
      </c>
      <c r="Q61" s="273">
        <f>IFERROR(INDEX('2. GRI Pricing Inputs'!$C$60:$AI$61,MATCH('3. GRI Pricing'!$Q$16,'2. GRI Pricing Inputs'!$C$60:$C$61,0),MATCH('1. Accomodation'!T65,'2. GRI Pricing Inputs'!$C$60:$AI$60,0)),0)</f>
        <v>0</v>
      </c>
      <c r="R61" s="273">
        <f>IFERROR(INDEX('2. GRI Pricing Inputs'!$C$67:$AI$68,MATCH('3. GRI Pricing'!$R$16,'2. GRI Pricing Inputs'!$C$67:$C$68,0),MATCH('1. Accomodation'!U65,'2. GRI Pricing Inputs'!$C$67:$AI$67,0)),0)</f>
        <v>0</v>
      </c>
      <c r="S61" s="273">
        <f>IF(D61=0,0,'2. GRI Pricing Inputs'!$AI$75)</f>
        <v>70</v>
      </c>
      <c r="T61" s="273">
        <f>IFERROR(INDEX('2. GRI Pricing Inputs'!$C$82:$AI$83,MATCH('3. GRI Pricing'!$T$16,'2. GRI Pricing Inputs'!$C$82:$C$83,0),MATCH('1. Accomodation'!V65,'2. GRI Pricing Inputs'!$C$82:$AI$82,0)),0)</f>
        <v>0</v>
      </c>
      <c r="U61" s="273">
        <f>IFERROR(INDEX('2. GRI Pricing Inputs'!$C$89:$AI$90,MATCH('3. GRI Pricing'!$U$16,'2. GRI Pricing Inputs'!$C$89:$C$90,0),MATCH('1. Accomodation'!W65,'2. GRI Pricing Inputs'!$C$89:$AI$89,0)),0)</f>
        <v>0</v>
      </c>
      <c r="V61" s="273">
        <f>IFERROR(INDEX('2. GRI Pricing Inputs'!$C$97:$AI$98,MATCH('3. GRI Pricing'!$V$16,'2. GRI Pricing Inputs'!$C$97:$C$98,0),MATCH('1. Accomodation'!X65,'2. GRI Pricing Inputs'!$C$97:$AI$97,0)),0)</f>
        <v>0</v>
      </c>
      <c r="W61" s="273">
        <f>IFERROR(INDEX('2. GRI Pricing Inputs'!$C$104:$AI$105,MATCH('3. GRI Pricing'!$W$16,'2. GRI Pricing Inputs'!$C$104:$C$105,0),MATCH('1. Accomodation'!Y65,'2. GRI Pricing Inputs'!$C$104:$AI$104,0)),0)</f>
        <v>0</v>
      </c>
      <c r="X61" s="274">
        <v>0</v>
      </c>
      <c r="Y61" s="275">
        <f t="shared" si="7"/>
        <v>1015</v>
      </c>
      <c r="Z61" s="276"/>
      <c r="AA61" s="276"/>
      <c r="AB61" s="276"/>
      <c r="AC61" s="272">
        <f>Y61*(1+'2. GRI Pricing Inputs'!$D$114)^(($AC$16-$AB$15)/365)</f>
        <v>1018.3866778880499</v>
      </c>
      <c r="AD61" s="273">
        <f>AC61*(1+'2. GRI Pricing Inputs'!$D$114)^((AD$16-AC$16)/365)</f>
        <v>1021.6748669034289</v>
      </c>
      <c r="AE61" s="273">
        <f>AD61*(1+'2. GRI Pricing Inputs'!$D$114)^((AE$16-AD$16)/365)</f>
        <v>1025.083816342363</v>
      </c>
      <c r="AF61" s="273">
        <f>AE61*(1+'2. GRI Pricing Inputs'!$D$114)^((AF$16-AE$16)/365)</f>
        <v>1028.5041401790177</v>
      </c>
      <c r="AG61" s="273">
        <f>AF61*(1+'2. GRI Pricing Inputs'!$D$114)^((AG$16-AF$16)/365)</f>
        <v>1031.7141289008914</v>
      </c>
      <c r="AH61" s="273">
        <f>AG61*(1+'2. GRI Pricing Inputs'!$D$114)^((AH$16-AG$16)/365)</f>
        <v>1035.156575627135</v>
      </c>
      <c r="AI61" s="273">
        <f>AH61*(1+'2. GRI Pricing Inputs'!$D$114)^((AI$16-AH$16)/365)</f>
        <v>1038.4989116524189</v>
      </c>
      <c r="AJ61" s="273">
        <f>AI61*(1+'2. GRI Pricing Inputs'!$D$114)^((AJ$16-AI$16)/365)</f>
        <v>1041.9639966778939</v>
      </c>
      <c r="AK61" s="273">
        <f>AJ61*(1+'2. GRI Pricing Inputs'!$D$114)^((AK$16-AJ$16)/365)</f>
        <v>1045.32831265206</v>
      </c>
      <c r="AL61" s="273">
        <f>AK61*(1+'2. GRI Pricing Inputs'!$D$114)^((AL$16-AK$16)/365)</f>
        <v>1048.816184851283</v>
      </c>
      <c r="AM61" s="273">
        <f>AL61*(1+'2. GRI Pricing Inputs'!$D$114)^((AM$16-AL$16)/365)</f>
        <v>1052.3156947841546</v>
      </c>
      <c r="AN61" s="273">
        <f>AM61*(1+'2. GRI Pricing Inputs'!$D$114)^((AN$16-AM$16)/365)</f>
        <v>1055.7134345459081</v>
      </c>
      <c r="AO61" s="273">
        <f>AN61*(1+'2. GRI Pricing Inputs'!$D$114)^((AO$16-AN$16)/365)</f>
        <v>1059.2359580384143</v>
      </c>
    </row>
    <row r="62" spans="3:41" ht="12" x14ac:dyDescent="0.2">
      <c r="C62" s="76" t="str">
        <f>'1. Accomodation'!N66</f>
        <v>314N</v>
      </c>
      <c r="D62" s="69" t="str">
        <f>'1. Accomodation'!P66</f>
        <v>1 Bed</v>
      </c>
      <c r="E62" s="69">
        <f>'1. Accomodation'!Q66</f>
        <v>1</v>
      </c>
      <c r="F62" s="77">
        <f>'1. Accomodation'!O66</f>
        <v>560</v>
      </c>
      <c r="G62" s="69">
        <f>'1. Accomodation'!R66</f>
        <v>3</v>
      </c>
      <c r="H62" s="69" t="str">
        <f>'1. Accomodation'!S66</f>
        <v>Courtyard</v>
      </c>
      <c r="I62" s="62"/>
      <c r="K62" s="272">
        <f>IFERROR(INDEX('2. GRI Pricing Inputs'!$C$15:$AI$16,MATCH($K$16,'2. GRI Pricing Inputs'!$C$15:$C$16,0),MATCH(D62,'2. GRI Pricing Inputs'!$C$15:$AI$15,0)),0)</f>
        <v>845</v>
      </c>
      <c r="L62" s="273">
        <f>IFERROR(INDEX('2. GRI Pricing Inputs'!$C$22:$AI$23,MATCH($L$16,'2. GRI Pricing Inputs'!$C$22:$C$23,0),MATCH(E62,'2. GRI Pricing Inputs'!$C$22:$AI$22,0)),0)</f>
        <v>0</v>
      </c>
      <c r="M62" s="328">
        <f>IF(AND('3. GRI Pricing'!$F62&gt;='2. GRI Pricing Inputs'!$D$33,'3. GRI Pricing'!$F62&lt;='2. GRI Pricing Inputs'!$E$33),'2. GRI Pricing Inputs'!$D$32,IF(AND('3. GRI Pricing'!$F62&gt;='2. GRI Pricing Inputs'!$F$33,'3. GRI Pricing'!$F62&lt;='2. GRI Pricing Inputs'!$G$33),'2. GRI Pricing Inputs'!$F$32,IF(AND('3. GRI Pricing'!$F62&gt;='2. GRI Pricing Inputs'!$H$33,'3. GRI Pricing'!$F62&lt;='2. GRI Pricing Inputs'!$I$33),'2. GRI Pricing Inputs'!$H$32,IF(AND('3. GRI Pricing'!$F62&gt;='2. GRI Pricing Inputs'!$J$33,'3. GRI Pricing'!$F62&lt;='2. GRI Pricing Inputs'!$K$33),'2. GRI Pricing Inputs'!$J$32,IF(AND('3. GRI Pricing'!$F62&gt;='2. GRI Pricing Inputs'!$L$33,'3. GRI Pricing'!$F62&lt;='2. GRI Pricing Inputs'!$M$33),'2. GRI Pricing Inputs'!$L$32,IF(AND('3. GRI Pricing'!$F62&gt;='2. GRI Pricing Inputs'!$N$33,'3. GRI Pricing'!$F62&lt;='2. GRI Pricing Inputs'!$O$33),'2. GRI Pricing Inputs'!$N$32,IF(AND('3. GRI Pricing'!$F62&gt;='2. GRI Pricing Inputs'!$P$33,'3. GRI Pricing'!$F62&lt;='2. GRI Pricing Inputs'!$Q$33),'2. GRI Pricing Inputs'!$P$32,IF(AND('3. GRI Pricing'!$F62&gt;='2. GRI Pricing Inputs'!$R$33,'3. GRI Pricing'!$F62&lt;='2. GRI Pricing Inputs'!$S$33),'2. GRI Pricing Inputs'!$R$32,IF(AND('3. GRI Pricing'!$F62&gt;='2. GRI Pricing Inputs'!$T$33,'3. GRI Pricing'!$F62&lt;='2. GRI Pricing Inputs'!$U$33),'2. GRI Pricing Inputs'!$T$32,IF(AND('3. GRI Pricing'!$F62&gt;='2. GRI Pricing Inputs'!$V$33,'3. GRI Pricing'!$F62&lt;='2. GRI Pricing Inputs'!$W$33),'2. GRI Pricing Inputs'!$V$32,IF(AND('3. GRI Pricing'!$F62&gt;='2. GRI Pricing Inputs'!$X$33,'3. GRI Pricing'!$F62&lt;='2. GRI Pricing Inputs'!$Y$33),'2. GRI Pricing Inputs'!$X$32,IF(AND('3. GRI Pricing'!$F62&gt;='2. GRI Pricing Inputs'!$Z$33,'3. GRI Pricing'!$F62&lt;='2. GRI Pricing Inputs'!$AA$33),'2. GRI Pricing Inputs'!$Z$32,IF(AND('3. GRI Pricing'!$F62&gt;='2. GRI Pricing Inputs'!$AB$33,'3. GRI Pricing'!$F62&lt;='2. GRI Pricing Inputs'!$AC$33),'2. GRI Pricing Inputs'!$AB$32,IF(AND('3. GRI Pricing'!$F62&gt;='2. GRI Pricing Inputs'!$AD$33,'3. GRI Pricing'!$F62&lt;='2. GRI Pricing Inputs'!$AE$33),'2. GRI Pricing Inputs'!$AD$32,IF(AND('3. GRI Pricing'!$F62&gt;='2. GRI Pricing Inputs'!$AF$33,'3. GRI Pricing'!$F62&lt;='2. GRI Pricing Inputs'!$AG$33),'2. GRI Pricing Inputs'!$AF$32,IF(AND('3. GRI Pricing'!$F62&gt;='2. GRI Pricing Inputs'!$AH$33,'3. GRI Pricing'!$F62&lt;='2. GRI Pricing Inputs'!$AI$33),'2. GRI Pricing Inputs'!$AH$32,0))))))))))))))))</f>
        <v>5</v>
      </c>
      <c r="N62" s="273" cm="1">
        <f t="array" ref="N62">IFERROR(INDEX('2. GRI Pricing Inputs'!$C$32:$AI$39,MATCH('3. GRI Pricing'!D62,'2. GRI Pricing Inputs'!$C$32:$C$39,0),(MATCH('3. GRI Pricing'!M62,'2. GRI Pricing Inputs'!$D$32:$AI$32,0)+1)),0)</f>
        <v>35</v>
      </c>
      <c r="O62" s="273">
        <f>IFERROR(INDEX('2. GRI Pricing Inputs'!$C$45:$AI$46,MATCH($O$16,'2. GRI Pricing Inputs'!$C$45:$C$46,0),MATCH(G62,'2. GRI Pricing Inputs'!$C$45:$AI$45,0)),0)</f>
        <v>50</v>
      </c>
      <c r="P62" s="273">
        <f>IFERROR(INDEX('2. GRI Pricing Inputs'!$C$53:$AI$54,MATCH('3. GRI Pricing'!$P$16,'2. GRI Pricing Inputs'!$C$53:$C$54,0),MATCH('3. GRI Pricing'!H62,'2. GRI Pricing Inputs'!$C$53:$AI$53,0)),0)</f>
        <v>25</v>
      </c>
      <c r="Q62" s="273">
        <f>IFERROR(INDEX('2. GRI Pricing Inputs'!$C$60:$AI$61,MATCH('3. GRI Pricing'!$Q$16,'2. GRI Pricing Inputs'!$C$60:$C$61,0),MATCH('1. Accomodation'!T66,'2. GRI Pricing Inputs'!$C$60:$AI$60,0)),0)</f>
        <v>0</v>
      </c>
      <c r="R62" s="273">
        <f>IFERROR(INDEX('2. GRI Pricing Inputs'!$C$67:$AI$68,MATCH('3. GRI Pricing'!$R$16,'2. GRI Pricing Inputs'!$C$67:$C$68,0),MATCH('1. Accomodation'!U66,'2. GRI Pricing Inputs'!$C$67:$AI$67,0)),0)</f>
        <v>0</v>
      </c>
      <c r="S62" s="273">
        <f>IF(D62=0,0,'2. GRI Pricing Inputs'!$AI$75)</f>
        <v>70</v>
      </c>
      <c r="T62" s="273">
        <f>IFERROR(INDEX('2. GRI Pricing Inputs'!$C$82:$AI$83,MATCH('3. GRI Pricing'!$T$16,'2. GRI Pricing Inputs'!$C$82:$C$83,0),MATCH('1. Accomodation'!V66,'2. GRI Pricing Inputs'!$C$82:$AI$82,0)),0)</f>
        <v>0</v>
      </c>
      <c r="U62" s="273">
        <f>IFERROR(INDEX('2. GRI Pricing Inputs'!$C$89:$AI$90,MATCH('3. GRI Pricing'!$U$16,'2. GRI Pricing Inputs'!$C$89:$C$90,0),MATCH('1. Accomodation'!W66,'2. GRI Pricing Inputs'!$C$89:$AI$89,0)),0)</f>
        <v>-25</v>
      </c>
      <c r="V62" s="273">
        <f>IFERROR(INDEX('2. GRI Pricing Inputs'!$C$97:$AI$98,MATCH('3. GRI Pricing'!$V$16,'2. GRI Pricing Inputs'!$C$97:$C$98,0),MATCH('1. Accomodation'!X66,'2. GRI Pricing Inputs'!$C$97:$AI$97,0)),0)</f>
        <v>0</v>
      </c>
      <c r="W62" s="273">
        <f>IFERROR(INDEX('2. GRI Pricing Inputs'!$C$104:$AI$105,MATCH('3. GRI Pricing'!$W$16,'2. GRI Pricing Inputs'!$C$104:$C$105,0),MATCH('1. Accomodation'!Y66,'2. GRI Pricing Inputs'!$C$104:$AI$104,0)),0)</f>
        <v>0</v>
      </c>
      <c r="X62" s="274">
        <v>0</v>
      </c>
      <c r="Y62" s="275">
        <f t="shared" si="7"/>
        <v>1000</v>
      </c>
      <c r="Z62" s="276"/>
      <c r="AA62" s="276"/>
      <c r="AB62" s="276"/>
      <c r="AC62" s="272">
        <f>Y62*(1+'2. GRI Pricing Inputs'!$D$114)^(($AC$16-$AB$15)/365)</f>
        <v>1003.3366284611329</v>
      </c>
      <c r="AD62" s="273">
        <f>AC62*(1+'2. GRI Pricing Inputs'!$D$114)^((AD$16-AC$16)/365)</f>
        <v>1006.5762235501763</v>
      </c>
      <c r="AE62" s="273">
        <f>AD62*(1+'2. GRI Pricing Inputs'!$D$114)^((AE$16-AD$16)/365)</f>
        <v>1009.9347944259736</v>
      </c>
      <c r="AF62" s="273">
        <f>AE62*(1+'2. GRI Pricing Inputs'!$D$114)^((AF$16-AE$16)/365)</f>
        <v>1013.3045716049437</v>
      </c>
      <c r="AG62" s="273">
        <f>AF62*(1+'2. GRI Pricing Inputs'!$D$114)^((AG$16-AF$16)/365)</f>
        <v>1016.467122069844</v>
      </c>
      <c r="AH62" s="273">
        <f>AG62*(1+'2. GRI Pricing Inputs'!$D$114)^((AH$16-AG$16)/365)</f>
        <v>1019.8586951991481</v>
      </c>
      <c r="AI62" s="273">
        <f>AH62*(1+'2. GRI Pricing Inputs'!$D$114)^((AI$16-AH$16)/365)</f>
        <v>1023.1516370959796</v>
      </c>
      <c r="AJ62" s="273">
        <f>AI62*(1+'2. GRI Pricing Inputs'!$D$114)^((AJ$16-AI$16)/365)</f>
        <v>1026.5655139683688</v>
      </c>
      <c r="AK62" s="273">
        <f>AJ62*(1+'2. GRI Pricing Inputs'!$D$114)^((AK$16-AJ$16)/365)</f>
        <v>1029.8801109872516</v>
      </c>
      <c r="AL62" s="273">
        <f>AK62*(1+'2. GRI Pricing Inputs'!$D$114)^((AL$16-AK$16)/365)</f>
        <v>1033.3164382771263</v>
      </c>
      <c r="AM62" s="273">
        <f>AL62*(1+'2. GRI Pricing Inputs'!$D$114)^((AM$16-AL$16)/365)</f>
        <v>1036.7642313144383</v>
      </c>
      <c r="AN62" s="273">
        <f>AM62*(1+'2. GRI Pricing Inputs'!$D$114)^((AN$16-AM$16)/365)</f>
        <v>1040.1117581733088</v>
      </c>
      <c r="AO62" s="273">
        <f>AN62*(1+'2. GRI Pricing Inputs'!$D$114)^((AO$16-AN$16)/365)</f>
        <v>1043.5822246683888</v>
      </c>
    </row>
    <row r="63" spans="3:41" ht="12" x14ac:dyDescent="0.2">
      <c r="C63" s="76" t="str">
        <f>'1. Accomodation'!N67</f>
        <v>315N</v>
      </c>
      <c r="D63" s="69" t="str">
        <f>'1. Accomodation'!P67</f>
        <v>2 Bed</v>
      </c>
      <c r="E63" s="69">
        <f>'1. Accomodation'!Q67</f>
        <v>2</v>
      </c>
      <c r="F63" s="77">
        <f>'1. Accomodation'!O67</f>
        <v>624</v>
      </c>
      <c r="G63" s="69">
        <f>'1. Accomodation'!R67</f>
        <v>3</v>
      </c>
      <c r="H63" s="69" t="str">
        <f>'1. Accomodation'!S67</f>
        <v>Courtyard</v>
      </c>
      <c r="I63" s="62"/>
      <c r="K63" s="272">
        <f>IFERROR(INDEX('2. GRI Pricing Inputs'!$C$15:$AI$16,MATCH($K$16,'2. GRI Pricing Inputs'!$C$15:$C$16,0),MATCH(D63,'2. GRI Pricing Inputs'!$C$15:$AI$15,0)),0)</f>
        <v>1110</v>
      </c>
      <c r="L63" s="273">
        <f>IFERROR(INDEX('2. GRI Pricing Inputs'!$C$22:$AI$23,MATCH($L$16,'2. GRI Pricing Inputs'!$C$22:$C$23,0),MATCH(E63,'2. GRI Pricing Inputs'!$C$22:$AI$22,0)),0)</f>
        <v>0</v>
      </c>
      <c r="M63" s="328">
        <f>IF(AND('3. GRI Pricing'!$F63&gt;='2. GRI Pricing Inputs'!$D$33,'3. GRI Pricing'!$F63&lt;='2. GRI Pricing Inputs'!$E$33),'2. GRI Pricing Inputs'!$D$32,IF(AND('3. GRI Pricing'!$F63&gt;='2. GRI Pricing Inputs'!$F$33,'3. GRI Pricing'!$F63&lt;='2. GRI Pricing Inputs'!$G$33),'2. GRI Pricing Inputs'!$F$32,IF(AND('3. GRI Pricing'!$F63&gt;='2. GRI Pricing Inputs'!$H$33,'3. GRI Pricing'!$F63&lt;='2. GRI Pricing Inputs'!$I$33),'2. GRI Pricing Inputs'!$H$32,IF(AND('3. GRI Pricing'!$F63&gt;='2. GRI Pricing Inputs'!$J$33,'3. GRI Pricing'!$F63&lt;='2. GRI Pricing Inputs'!$K$33),'2. GRI Pricing Inputs'!$J$32,IF(AND('3. GRI Pricing'!$F63&gt;='2. GRI Pricing Inputs'!$L$33,'3. GRI Pricing'!$F63&lt;='2. GRI Pricing Inputs'!$M$33),'2. GRI Pricing Inputs'!$L$32,IF(AND('3. GRI Pricing'!$F63&gt;='2. GRI Pricing Inputs'!$N$33,'3. GRI Pricing'!$F63&lt;='2. GRI Pricing Inputs'!$O$33),'2. GRI Pricing Inputs'!$N$32,IF(AND('3. GRI Pricing'!$F63&gt;='2. GRI Pricing Inputs'!$P$33,'3. GRI Pricing'!$F63&lt;='2. GRI Pricing Inputs'!$Q$33),'2. GRI Pricing Inputs'!$P$32,IF(AND('3. GRI Pricing'!$F63&gt;='2. GRI Pricing Inputs'!$R$33,'3. GRI Pricing'!$F63&lt;='2. GRI Pricing Inputs'!$S$33),'2. GRI Pricing Inputs'!$R$32,IF(AND('3. GRI Pricing'!$F63&gt;='2. GRI Pricing Inputs'!$T$33,'3. GRI Pricing'!$F63&lt;='2. GRI Pricing Inputs'!$U$33),'2. GRI Pricing Inputs'!$T$32,IF(AND('3. GRI Pricing'!$F63&gt;='2. GRI Pricing Inputs'!$V$33,'3. GRI Pricing'!$F63&lt;='2. GRI Pricing Inputs'!$W$33),'2. GRI Pricing Inputs'!$V$32,IF(AND('3. GRI Pricing'!$F63&gt;='2. GRI Pricing Inputs'!$X$33,'3. GRI Pricing'!$F63&lt;='2. GRI Pricing Inputs'!$Y$33),'2. GRI Pricing Inputs'!$X$32,IF(AND('3. GRI Pricing'!$F63&gt;='2. GRI Pricing Inputs'!$Z$33,'3. GRI Pricing'!$F63&lt;='2. GRI Pricing Inputs'!$AA$33),'2. GRI Pricing Inputs'!$Z$32,IF(AND('3. GRI Pricing'!$F63&gt;='2. GRI Pricing Inputs'!$AB$33,'3. GRI Pricing'!$F63&lt;='2. GRI Pricing Inputs'!$AC$33),'2. GRI Pricing Inputs'!$AB$32,IF(AND('3. GRI Pricing'!$F63&gt;='2. GRI Pricing Inputs'!$AD$33,'3. GRI Pricing'!$F63&lt;='2. GRI Pricing Inputs'!$AE$33),'2. GRI Pricing Inputs'!$AD$32,IF(AND('3. GRI Pricing'!$F63&gt;='2. GRI Pricing Inputs'!$AF$33,'3. GRI Pricing'!$F63&lt;='2. GRI Pricing Inputs'!$AG$33),'2. GRI Pricing Inputs'!$AF$32,IF(AND('3. GRI Pricing'!$F63&gt;='2. GRI Pricing Inputs'!$AH$33,'3. GRI Pricing'!$F63&lt;='2. GRI Pricing Inputs'!$AI$33),'2. GRI Pricing Inputs'!$AH$32,0))))))))))))))))</f>
        <v>7</v>
      </c>
      <c r="N63" s="273" cm="1">
        <f t="array" ref="N63">IFERROR(INDEX('2. GRI Pricing Inputs'!$C$32:$AI$39,MATCH('3. GRI Pricing'!D63,'2. GRI Pricing Inputs'!$C$32:$C$39,0),(MATCH('3. GRI Pricing'!M63,'2. GRI Pricing Inputs'!$D$32:$AI$32,0)+1)),0)</f>
        <v>10</v>
      </c>
      <c r="O63" s="273">
        <f>IFERROR(INDEX('2. GRI Pricing Inputs'!$C$45:$AI$46,MATCH($O$16,'2. GRI Pricing Inputs'!$C$45:$C$46,0),MATCH(G63,'2. GRI Pricing Inputs'!$C$45:$AI$45,0)),0)</f>
        <v>50</v>
      </c>
      <c r="P63" s="273">
        <f>IFERROR(INDEX('2. GRI Pricing Inputs'!$C$53:$AI$54,MATCH('3. GRI Pricing'!$P$16,'2. GRI Pricing Inputs'!$C$53:$C$54,0),MATCH('3. GRI Pricing'!H63,'2. GRI Pricing Inputs'!$C$53:$AI$53,0)),0)</f>
        <v>25</v>
      </c>
      <c r="Q63" s="273">
        <f>IFERROR(INDEX('2. GRI Pricing Inputs'!$C$60:$AI$61,MATCH('3. GRI Pricing'!$Q$16,'2. GRI Pricing Inputs'!$C$60:$C$61,0),MATCH('1. Accomodation'!T67,'2. GRI Pricing Inputs'!$C$60:$AI$60,0)),0)</f>
        <v>0</v>
      </c>
      <c r="R63" s="273">
        <f>IFERROR(INDEX('2. GRI Pricing Inputs'!$C$67:$AI$68,MATCH('3. GRI Pricing'!$R$16,'2. GRI Pricing Inputs'!$C$67:$C$68,0),MATCH('1. Accomodation'!U67,'2. GRI Pricing Inputs'!$C$67:$AI$67,0)),0)</f>
        <v>0</v>
      </c>
      <c r="S63" s="273">
        <f>IF(D63=0,0,'2. GRI Pricing Inputs'!$AI$75)</f>
        <v>70</v>
      </c>
      <c r="T63" s="273">
        <f>IFERROR(INDEX('2. GRI Pricing Inputs'!$C$82:$AI$83,MATCH('3. GRI Pricing'!$T$16,'2. GRI Pricing Inputs'!$C$82:$C$83,0),MATCH('1. Accomodation'!V67,'2. GRI Pricing Inputs'!$C$82:$AI$82,0)),0)</f>
        <v>0</v>
      </c>
      <c r="U63" s="273">
        <f>IFERROR(INDEX('2. GRI Pricing Inputs'!$C$89:$AI$90,MATCH('3. GRI Pricing'!$U$16,'2. GRI Pricing Inputs'!$C$89:$C$90,0),MATCH('1. Accomodation'!W67,'2. GRI Pricing Inputs'!$C$89:$AI$89,0)),0)</f>
        <v>0</v>
      </c>
      <c r="V63" s="273">
        <f>IFERROR(INDEX('2. GRI Pricing Inputs'!$C$97:$AI$98,MATCH('3. GRI Pricing'!$V$16,'2. GRI Pricing Inputs'!$C$97:$C$98,0),MATCH('1. Accomodation'!X67,'2. GRI Pricing Inputs'!$C$97:$AI$97,0)),0)</f>
        <v>0</v>
      </c>
      <c r="W63" s="273">
        <f>IFERROR(INDEX('2. GRI Pricing Inputs'!$C$104:$AI$105,MATCH('3. GRI Pricing'!$W$16,'2. GRI Pricing Inputs'!$C$104:$C$105,0),MATCH('1. Accomodation'!Y67,'2. GRI Pricing Inputs'!$C$104:$AI$104,0)),0)</f>
        <v>0</v>
      </c>
      <c r="X63" s="274">
        <v>0</v>
      </c>
      <c r="Y63" s="275">
        <f t="shared" si="7"/>
        <v>1265</v>
      </c>
      <c r="Z63" s="276"/>
      <c r="AA63" s="276"/>
      <c r="AB63" s="276"/>
      <c r="AC63" s="272">
        <f>Y63*(1+'2. GRI Pricing Inputs'!$D$114)^(($AC$16-$AB$15)/365)</f>
        <v>1269.2208350033331</v>
      </c>
      <c r="AD63" s="273">
        <f>AC63*(1+'2. GRI Pricing Inputs'!$D$114)^((AD$16-AC$16)/365)</f>
        <v>1273.3189227909729</v>
      </c>
      <c r="AE63" s="273">
        <f>AD63*(1+'2. GRI Pricing Inputs'!$D$114)^((AE$16-AD$16)/365)</f>
        <v>1277.5675149488563</v>
      </c>
      <c r="AF63" s="273">
        <f>AE63*(1+'2. GRI Pricing Inputs'!$D$114)^((AF$16-AE$16)/365)</f>
        <v>1281.8302830802536</v>
      </c>
      <c r="AG63" s="273">
        <f>AF63*(1+'2. GRI Pricing Inputs'!$D$114)^((AG$16-AF$16)/365)</f>
        <v>1285.8309094183523</v>
      </c>
      <c r="AH63" s="273">
        <f>AG63*(1+'2. GRI Pricing Inputs'!$D$114)^((AH$16-AG$16)/365)</f>
        <v>1290.1212494269221</v>
      </c>
      <c r="AI63" s="273">
        <f>AH63*(1+'2. GRI Pricing Inputs'!$D$114)^((AI$16-AH$16)/365)</f>
        <v>1294.2868209264138</v>
      </c>
      <c r="AJ63" s="273">
        <f>AI63*(1+'2. GRI Pricing Inputs'!$D$114)^((AJ$16-AI$16)/365)</f>
        <v>1298.6053751699862</v>
      </c>
      <c r="AK63" s="273">
        <f>AJ63*(1+'2. GRI Pricing Inputs'!$D$114)^((AK$16-AJ$16)/365)</f>
        <v>1302.7983403988731</v>
      </c>
      <c r="AL63" s="273">
        <f>AK63*(1+'2. GRI Pricing Inputs'!$D$114)^((AL$16-AK$16)/365)</f>
        <v>1307.1452944205646</v>
      </c>
      <c r="AM63" s="273">
        <f>AL63*(1+'2. GRI Pricing Inputs'!$D$114)^((AM$16-AL$16)/365)</f>
        <v>1311.5067526127643</v>
      </c>
      <c r="AN63" s="273">
        <f>AM63*(1+'2. GRI Pricing Inputs'!$D$114)^((AN$16-AM$16)/365)</f>
        <v>1315.7413740892353</v>
      </c>
      <c r="AO63" s="273">
        <f>AN63*(1+'2. GRI Pricing Inputs'!$D$114)^((AO$16-AN$16)/365)</f>
        <v>1320.1315142055116</v>
      </c>
    </row>
    <row r="64" spans="3:41" ht="12" x14ac:dyDescent="0.2">
      <c r="C64" s="76" t="str">
        <f>'1. Accomodation'!N68</f>
        <v>316N</v>
      </c>
      <c r="D64" s="69" t="str">
        <f>'1. Accomodation'!P68</f>
        <v>2 Bed</v>
      </c>
      <c r="E64" s="69">
        <f>'1. Accomodation'!Q68</f>
        <v>2</v>
      </c>
      <c r="F64" s="77">
        <f>'1. Accomodation'!O68</f>
        <v>624</v>
      </c>
      <c r="G64" s="69">
        <f>'1. Accomodation'!R68</f>
        <v>3</v>
      </c>
      <c r="H64" s="69" t="str">
        <f>'1. Accomodation'!S68</f>
        <v>Courtyard</v>
      </c>
      <c r="I64" s="62"/>
      <c r="K64" s="272">
        <f>IFERROR(INDEX('2. GRI Pricing Inputs'!$C$15:$AI$16,MATCH($K$16,'2. GRI Pricing Inputs'!$C$15:$C$16,0),MATCH(D64,'2. GRI Pricing Inputs'!$C$15:$AI$15,0)),0)</f>
        <v>1110</v>
      </c>
      <c r="L64" s="273">
        <f>IFERROR(INDEX('2. GRI Pricing Inputs'!$C$22:$AI$23,MATCH($L$16,'2. GRI Pricing Inputs'!$C$22:$C$23,0),MATCH(E64,'2. GRI Pricing Inputs'!$C$22:$AI$22,0)),0)</f>
        <v>0</v>
      </c>
      <c r="M64" s="328">
        <f>IF(AND('3. GRI Pricing'!$F64&gt;='2. GRI Pricing Inputs'!$D$33,'3. GRI Pricing'!$F64&lt;='2. GRI Pricing Inputs'!$E$33),'2. GRI Pricing Inputs'!$D$32,IF(AND('3. GRI Pricing'!$F64&gt;='2. GRI Pricing Inputs'!$F$33,'3. GRI Pricing'!$F64&lt;='2. GRI Pricing Inputs'!$G$33),'2. GRI Pricing Inputs'!$F$32,IF(AND('3. GRI Pricing'!$F64&gt;='2. GRI Pricing Inputs'!$H$33,'3. GRI Pricing'!$F64&lt;='2. GRI Pricing Inputs'!$I$33),'2. GRI Pricing Inputs'!$H$32,IF(AND('3. GRI Pricing'!$F64&gt;='2. GRI Pricing Inputs'!$J$33,'3. GRI Pricing'!$F64&lt;='2. GRI Pricing Inputs'!$K$33),'2. GRI Pricing Inputs'!$J$32,IF(AND('3. GRI Pricing'!$F64&gt;='2. GRI Pricing Inputs'!$L$33,'3. GRI Pricing'!$F64&lt;='2. GRI Pricing Inputs'!$M$33),'2. GRI Pricing Inputs'!$L$32,IF(AND('3. GRI Pricing'!$F64&gt;='2. GRI Pricing Inputs'!$N$33,'3. GRI Pricing'!$F64&lt;='2. GRI Pricing Inputs'!$O$33),'2. GRI Pricing Inputs'!$N$32,IF(AND('3. GRI Pricing'!$F64&gt;='2. GRI Pricing Inputs'!$P$33,'3. GRI Pricing'!$F64&lt;='2. GRI Pricing Inputs'!$Q$33),'2. GRI Pricing Inputs'!$P$32,IF(AND('3. GRI Pricing'!$F64&gt;='2. GRI Pricing Inputs'!$R$33,'3. GRI Pricing'!$F64&lt;='2. GRI Pricing Inputs'!$S$33),'2. GRI Pricing Inputs'!$R$32,IF(AND('3. GRI Pricing'!$F64&gt;='2. GRI Pricing Inputs'!$T$33,'3. GRI Pricing'!$F64&lt;='2. GRI Pricing Inputs'!$U$33),'2. GRI Pricing Inputs'!$T$32,IF(AND('3. GRI Pricing'!$F64&gt;='2. GRI Pricing Inputs'!$V$33,'3. GRI Pricing'!$F64&lt;='2. GRI Pricing Inputs'!$W$33),'2. GRI Pricing Inputs'!$V$32,IF(AND('3. GRI Pricing'!$F64&gt;='2. GRI Pricing Inputs'!$X$33,'3. GRI Pricing'!$F64&lt;='2. GRI Pricing Inputs'!$Y$33),'2. GRI Pricing Inputs'!$X$32,IF(AND('3. GRI Pricing'!$F64&gt;='2. GRI Pricing Inputs'!$Z$33,'3. GRI Pricing'!$F64&lt;='2. GRI Pricing Inputs'!$AA$33),'2. GRI Pricing Inputs'!$Z$32,IF(AND('3. GRI Pricing'!$F64&gt;='2. GRI Pricing Inputs'!$AB$33,'3. GRI Pricing'!$F64&lt;='2. GRI Pricing Inputs'!$AC$33),'2. GRI Pricing Inputs'!$AB$32,IF(AND('3. GRI Pricing'!$F64&gt;='2. GRI Pricing Inputs'!$AD$33,'3. GRI Pricing'!$F64&lt;='2. GRI Pricing Inputs'!$AE$33),'2. GRI Pricing Inputs'!$AD$32,IF(AND('3. GRI Pricing'!$F64&gt;='2. GRI Pricing Inputs'!$AF$33,'3. GRI Pricing'!$F64&lt;='2. GRI Pricing Inputs'!$AG$33),'2. GRI Pricing Inputs'!$AF$32,IF(AND('3. GRI Pricing'!$F64&gt;='2. GRI Pricing Inputs'!$AH$33,'3. GRI Pricing'!$F64&lt;='2. GRI Pricing Inputs'!$AI$33),'2. GRI Pricing Inputs'!$AH$32,0))))))))))))))))</f>
        <v>7</v>
      </c>
      <c r="N64" s="273" cm="1">
        <f t="array" ref="N64">IFERROR(INDEX('2. GRI Pricing Inputs'!$C$32:$AI$39,MATCH('3. GRI Pricing'!D64,'2. GRI Pricing Inputs'!$C$32:$C$39,0),(MATCH('3. GRI Pricing'!M64,'2. GRI Pricing Inputs'!$D$32:$AI$32,0)+1)),0)</f>
        <v>10</v>
      </c>
      <c r="O64" s="273">
        <f>IFERROR(INDEX('2. GRI Pricing Inputs'!$C$45:$AI$46,MATCH($O$16,'2. GRI Pricing Inputs'!$C$45:$C$46,0),MATCH(G64,'2. GRI Pricing Inputs'!$C$45:$AI$45,0)),0)</f>
        <v>50</v>
      </c>
      <c r="P64" s="273">
        <f>IFERROR(INDEX('2. GRI Pricing Inputs'!$C$53:$AI$54,MATCH('3. GRI Pricing'!$P$16,'2. GRI Pricing Inputs'!$C$53:$C$54,0),MATCH('3. GRI Pricing'!H64,'2. GRI Pricing Inputs'!$C$53:$AI$53,0)),0)</f>
        <v>25</v>
      </c>
      <c r="Q64" s="273">
        <f>IFERROR(INDEX('2. GRI Pricing Inputs'!$C$60:$AI$61,MATCH('3. GRI Pricing'!$Q$16,'2. GRI Pricing Inputs'!$C$60:$C$61,0),MATCH('1. Accomodation'!T68,'2. GRI Pricing Inputs'!$C$60:$AI$60,0)),0)</f>
        <v>0</v>
      </c>
      <c r="R64" s="273">
        <f>IFERROR(INDEX('2. GRI Pricing Inputs'!$C$67:$AI$68,MATCH('3. GRI Pricing'!$R$16,'2. GRI Pricing Inputs'!$C$67:$C$68,0),MATCH('1. Accomodation'!U68,'2. GRI Pricing Inputs'!$C$67:$AI$67,0)),0)</f>
        <v>0</v>
      </c>
      <c r="S64" s="273">
        <f>IF(D64=0,0,'2. GRI Pricing Inputs'!$AI$75)</f>
        <v>70</v>
      </c>
      <c r="T64" s="273">
        <f>IFERROR(INDEX('2. GRI Pricing Inputs'!$C$82:$AI$83,MATCH('3. GRI Pricing'!$T$16,'2. GRI Pricing Inputs'!$C$82:$C$83,0),MATCH('1. Accomodation'!V68,'2. GRI Pricing Inputs'!$C$82:$AI$82,0)),0)</f>
        <v>0</v>
      </c>
      <c r="U64" s="273">
        <f>IFERROR(INDEX('2. GRI Pricing Inputs'!$C$89:$AI$90,MATCH('3. GRI Pricing'!$U$16,'2. GRI Pricing Inputs'!$C$89:$C$90,0),MATCH('1. Accomodation'!W68,'2. GRI Pricing Inputs'!$C$89:$AI$89,0)),0)</f>
        <v>0</v>
      </c>
      <c r="V64" s="273">
        <f>IFERROR(INDEX('2. GRI Pricing Inputs'!$C$97:$AI$98,MATCH('3. GRI Pricing'!$V$16,'2. GRI Pricing Inputs'!$C$97:$C$98,0),MATCH('1. Accomodation'!X68,'2. GRI Pricing Inputs'!$C$97:$AI$97,0)),0)</f>
        <v>0</v>
      </c>
      <c r="W64" s="273">
        <f>IFERROR(INDEX('2. GRI Pricing Inputs'!$C$104:$AI$105,MATCH('3. GRI Pricing'!$W$16,'2. GRI Pricing Inputs'!$C$104:$C$105,0),MATCH('1. Accomodation'!Y68,'2. GRI Pricing Inputs'!$C$104:$AI$104,0)),0)</f>
        <v>0</v>
      </c>
      <c r="X64" s="274">
        <v>0</v>
      </c>
      <c r="Y64" s="275">
        <f t="shared" si="7"/>
        <v>1265</v>
      </c>
      <c r="Z64" s="276"/>
      <c r="AA64" s="276"/>
      <c r="AB64" s="276"/>
      <c r="AC64" s="272">
        <f>Y64*(1+'2. GRI Pricing Inputs'!$D$114)^(($AC$16-$AB$15)/365)</f>
        <v>1269.2208350033331</v>
      </c>
      <c r="AD64" s="273">
        <f>AC64*(1+'2. GRI Pricing Inputs'!$D$114)^((AD$16-AC$16)/365)</f>
        <v>1273.3189227909729</v>
      </c>
      <c r="AE64" s="273">
        <f>AD64*(1+'2. GRI Pricing Inputs'!$D$114)^((AE$16-AD$16)/365)</f>
        <v>1277.5675149488563</v>
      </c>
      <c r="AF64" s="273">
        <f>AE64*(1+'2. GRI Pricing Inputs'!$D$114)^((AF$16-AE$16)/365)</f>
        <v>1281.8302830802536</v>
      </c>
      <c r="AG64" s="273">
        <f>AF64*(1+'2. GRI Pricing Inputs'!$D$114)^((AG$16-AF$16)/365)</f>
        <v>1285.8309094183523</v>
      </c>
      <c r="AH64" s="273">
        <f>AG64*(1+'2. GRI Pricing Inputs'!$D$114)^((AH$16-AG$16)/365)</f>
        <v>1290.1212494269221</v>
      </c>
      <c r="AI64" s="273">
        <f>AH64*(1+'2. GRI Pricing Inputs'!$D$114)^((AI$16-AH$16)/365)</f>
        <v>1294.2868209264138</v>
      </c>
      <c r="AJ64" s="273">
        <f>AI64*(1+'2. GRI Pricing Inputs'!$D$114)^((AJ$16-AI$16)/365)</f>
        <v>1298.6053751699862</v>
      </c>
      <c r="AK64" s="273">
        <f>AJ64*(1+'2. GRI Pricing Inputs'!$D$114)^((AK$16-AJ$16)/365)</f>
        <v>1302.7983403988731</v>
      </c>
      <c r="AL64" s="273">
        <f>AK64*(1+'2. GRI Pricing Inputs'!$D$114)^((AL$16-AK$16)/365)</f>
        <v>1307.1452944205646</v>
      </c>
      <c r="AM64" s="273">
        <f>AL64*(1+'2. GRI Pricing Inputs'!$D$114)^((AM$16-AL$16)/365)</f>
        <v>1311.5067526127643</v>
      </c>
      <c r="AN64" s="273">
        <f>AM64*(1+'2. GRI Pricing Inputs'!$D$114)^((AN$16-AM$16)/365)</f>
        <v>1315.7413740892353</v>
      </c>
      <c r="AO64" s="273">
        <f>AN64*(1+'2. GRI Pricing Inputs'!$D$114)^((AO$16-AN$16)/365)</f>
        <v>1320.1315142055116</v>
      </c>
    </row>
    <row r="65" spans="3:41" ht="12" x14ac:dyDescent="0.2">
      <c r="C65" s="76" t="str">
        <f>'1. Accomodation'!N69</f>
        <v>401N</v>
      </c>
      <c r="D65" s="69" t="str">
        <f>'1. Accomodation'!P69</f>
        <v>1 Bed</v>
      </c>
      <c r="E65" s="69">
        <f>'1. Accomodation'!Q69</f>
        <v>1</v>
      </c>
      <c r="F65" s="77">
        <f>'1. Accomodation'!O69</f>
        <v>484</v>
      </c>
      <c r="G65" s="69">
        <f>'1. Accomodation'!R69</f>
        <v>4</v>
      </c>
      <c r="H65" s="69" t="str">
        <f>'1. Accomodation'!S69</f>
        <v>Courtyard</v>
      </c>
      <c r="I65" s="62"/>
      <c r="K65" s="272">
        <f>IFERROR(INDEX('2. GRI Pricing Inputs'!$C$15:$AI$16,MATCH($K$16,'2. GRI Pricing Inputs'!$C$15:$C$16,0),MATCH(D65,'2. GRI Pricing Inputs'!$C$15:$AI$15,0)),0)</f>
        <v>845</v>
      </c>
      <c r="L65" s="273">
        <f>IFERROR(INDEX('2. GRI Pricing Inputs'!$C$22:$AI$23,MATCH($L$16,'2. GRI Pricing Inputs'!$C$22:$C$23,0),MATCH(E65,'2. GRI Pricing Inputs'!$C$22:$AI$22,0)),0)</f>
        <v>0</v>
      </c>
      <c r="M65" s="328">
        <f>IF(AND('3. GRI Pricing'!$F65&gt;='2. GRI Pricing Inputs'!$D$33,'3. GRI Pricing'!$F65&lt;='2. GRI Pricing Inputs'!$E$33),'2. GRI Pricing Inputs'!$D$32,IF(AND('3. GRI Pricing'!$F65&gt;='2. GRI Pricing Inputs'!$F$33,'3. GRI Pricing'!$F65&lt;='2. GRI Pricing Inputs'!$G$33),'2. GRI Pricing Inputs'!$F$32,IF(AND('3. GRI Pricing'!$F65&gt;='2. GRI Pricing Inputs'!$H$33,'3. GRI Pricing'!$F65&lt;='2. GRI Pricing Inputs'!$I$33),'2. GRI Pricing Inputs'!$H$32,IF(AND('3. GRI Pricing'!$F65&gt;='2. GRI Pricing Inputs'!$J$33,'3. GRI Pricing'!$F65&lt;='2. GRI Pricing Inputs'!$K$33),'2. GRI Pricing Inputs'!$J$32,IF(AND('3. GRI Pricing'!$F65&gt;='2. GRI Pricing Inputs'!$L$33,'3. GRI Pricing'!$F65&lt;='2. GRI Pricing Inputs'!$M$33),'2. GRI Pricing Inputs'!$L$32,IF(AND('3. GRI Pricing'!$F65&gt;='2. GRI Pricing Inputs'!$N$33,'3. GRI Pricing'!$F65&lt;='2. GRI Pricing Inputs'!$O$33),'2. GRI Pricing Inputs'!$N$32,IF(AND('3. GRI Pricing'!$F65&gt;='2. GRI Pricing Inputs'!$P$33,'3. GRI Pricing'!$F65&lt;='2. GRI Pricing Inputs'!$Q$33),'2. GRI Pricing Inputs'!$P$32,IF(AND('3. GRI Pricing'!$F65&gt;='2. GRI Pricing Inputs'!$R$33,'3. GRI Pricing'!$F65&lt;='2. GRI Pricing Inputs'!$S$33),'2. GRI Pricing Inputs'!$R$32,IF(AND('3. GRI Pricing'!$F65&gt;='2. GRI Pricing Inputs'!$T$33,'3. GRI Pricing'!$F65&lt;='2. GRI Pricing Inputs'!$U$33),'2. GRI Pricing Inputs'!$T$32,IF(AND('3. GRI Pricing'!$F65&gt;='2. GRI Pricing Inputs'!$V$33,'3. GRI Pricing'!$F65&lt;='2. GRI Pricing Inputs'!$W$33),'2. GRI Pricing Inputs'!$V$32,IF(AND('3. GRI Pricing'!$F65&gt;='2. GRI Pricing Inputs'!$X$33,'3. GRI Pricing'!$F65&lt;='2. GRI Pricing Inputs'!$Y$33),'2. GRI Pricing Inputs'!$X$32,IF(AND('3. GRI Pricing'!$F65&gt;='2. GRI Pricing Inputs'!$Z$33,'3. GRI Pricing'!$F65&lt;='2. GRI Pricing Inputs'!$AA$33),'2. GRI Pricing Inputs'!$Z$32,IF(AND('3. GRI Pricing'!$F65&gt;='2. GRI Pricing Inputs'!$AB$33,'3. GRI Pricing'!$F65&lt;='2. GRI Pricing Inputs'!$AC$33),'2. GRI Pricing Inputs'!$AB$32,IF(AND('3. GRI Pricing'!$F65&gt;='2. GRI Pricing Inputs'!$AD$33,'3. GRI Pricing'!$F65&lt;='2. GRI Pricing Inputs'!$AE$33),'2. GRI Pricing Inputs'!$AD$32,IF(AND('3. GRI Pricing'!$F65&gt;='2. GRI Pricing Inputs'!$AF$33,'3. GRI Pricing'!$F65&lt;='2. GRI Pricing Inputs'!$AG$33),'2. GRI Pricing Inputs'!$AF$32,IF(AND('3. GRI Pricing'!$F65&gt;='2. GRI Pricing Inputs'!$AH$33,'3. GRI Pricing'!$F65&lt;='2. GRI Pricing Inputs'!$AI$33),'2. GRI Pricing Inputs'!$AH$32,0))))))))))))))))</f>
        <v>1</v>
      </c>
      <c r="N65" s="273" cm="1">
        <f t="array" ref="N65">IFERROR(INDEX('2. GRI Pricing Inputs'!$C$32:$AI$39,MATCH('3. GRI Pricing'!D65,'2. GRI Pricing Inputs'!$C$32:$C$39,0),(MATCH('3. GRI Pricing'!M65,'2. GRI Pricing Inputs'!$D$32:$AI$32,0)+1)),0)</f>
        <v>10</v>
      </c>
      <c r="O65" s="273">
        <f>IFERROR(INDEX('2. GRI Pricing Inputs'!$C$45:$AI$46,MATCH($O$16,'2. GRI Pricing Inputs'!$C$45:$C$46,0),MATCH(G65,'2. GRI Pricing Inputs'!$C$45:$AI$45,0)),0)</f>
        <v>70</v>
      </c>
      <c r="P65" s="273">
        <f>IFERROR(INDEX('2. GRI Pricing Inputs'!$C$53:$AI$54,MATCH('3. GRI Pricing'!$P$16,'2. GRI Pricing Inputs'!$C$53:$C$54,0),MATCH('3. GRI Pricing'!H65,'2. GRI Pricing Inputs'!$C$53:$AI$53,0)),0)</f>
        <v>25</v>
      </c>
      <c r="Q65" s="273">
        <f>IFERROR(INDEX('2. GRI Pricing Inputs'!$C$60:$AI$61,MATCH('3. GRI Pricing'!$Q$16,'2. GRI Pricing Inputs'!$C$60:$C$61,0),MATCH('1. Accomodation'!T69,'2. GRI Pricing Inputs'!$C$60:$AI$60,0)),0)</f>
        <v>0</v>
      </c>
      <c r="R65" s="273">
        <f>IFERROR(INDEX('2. GRI Pricing Inputs'!$C$67:$AI$68,MATCH('3. GRI Pricing'!$R$16,'2. GRI Pricing Inputs'!$C$67:$C$68,0),MATCH('1. Accomodation'!U69,'2. GRI Pricing Inputs'!$C$67:$AI$67,0)),0)</f>
        <v>0</v>
      </c>
      <c r="S65" s="273">
        <f>IF(D65=0,0,'2. GRI Pricing Inputs'!$AI$75)</f>
        <v>70</v>
      </c>
      <c r="T65" s="273">
        <f>IFERROR(INDEX('2. GRI Pricing Inputs'!$C$82:$AI$83,MATCH('3. GRI Pricing'!$T$16,'2. GRI Pricing Inputs'!$C$82:$C$83,0),MATCH('1. Accomodation'!V69,'2. GRI Pricing Inputs'!$C$82:$AI$82,0)),0)</f>
        <v>0</v>
      </c>
      <c r="U65" s="273">
        <f>IFERROR(INDEX('2. GRI Pricing Inputs'!$C$89:$AI$90,MATCH('3. GRI Pricing'!$U$16,'2. GRI Pricing Inputs'!$C$89:$C$90,0),MATCH('1. Accomodation'!W69,'2. GRI Pricing Inputs'!$C$89:$AI$89,0)),0)</f>
        <v>0</v>
      </c>
      <c r="V65" s="273">
        <f>IFERROR(INDEX('2. GRI Pricing Inputs'!$C$97:$AI$98,MATCH('3. GRI Pricing'!$V$16,'2. GRI Pricing Inputs'!$C$97:$C$98,0),MATCH('1. Accomodation'!X69,'2. GRI Pricing Inputs'!$C$97:$AI$97,0)),0)</f>
        <v>0</v>
      </c>
      <c r="W65" s="273">
        <f>IFERROR(INDEX('2. GRI Pricing Inputs'!$C$104:$AI$105,MATCH('3. GRI Pricing'!$W$16,'2. GRI Pricing Inputs'!$C$104:$C$105,0),MATCH('1. Accomodation'!Y69,'2. GRI Pricing Inputs'!$C$104:$AI$104,0)),0)</f>
        <v>0</v>
      </c>
      <c r="X65" s="274">
        <v>0</v>
      </c>
      <c r="Y65" s="275">
        <f t="shared" si="7"/>
        <v>1020</v>
      </c>
      <c r="Z65" s="276"/>
      <c r="AA65" s="276"/>
      <c r="AB65" s="276"/>
      <c r="AC65" s="272">
        <f>Y65*(1+'2. GRI Pricing Inputs'!$D$114)^(($AC$16-$AB$15)/365)</f>
        <v>1023.4033610303555</v>
      </c>
      <c r="AD65" s="273">
        <f>AC65*(1+'2. GRI Pricing Inputs'!$D$114)^((AD$16-AC$16)/365)</f>
        <v>1026.7077480211799</v>
      </c>
      <c r="AE65" s="273">
        <f>AD65*(1+'2. GRI Pricing Inputs'!$D$114)^((AE$16-AD$16)/365)</f>
        <v>1030.133490314493</v>
      </c>
      <c r="AF65" s="273">
        <f>AE65*(1+'2. GRI Pricing Inputs'!$D$114)^((AF$16-AE$16)/365)</f>
        <v>1033.5706630370426</v>
      </c>
      <c r="AG65" s="273">
        <f>AF65*(1+'2. GRI Pricing Inputs'!$D$114)^((AG$16-AF$16)/365)</f>
        <v>1036.7964645112409</v>
      </c>
      <c r="AH65" s="273">
        <f>AG65*(1+'2. GRI Pricing Inputs'!$D$114)^((AH$16-AG$16)/365)</f>
        <v>1040.2558691031311</v>
      </c>
      <c r="AI65" s="273">
        <f>AH65*(1+'2. GRI Pricing Inputs'!$D$114)^((AI$16-AH$16)/365)</f>
        <v>1043.6146698378993</v>
      </c>
      <c r="AJ65" s="273">
        <f>AI65*(1+'2. GRI Pricing Inputs'!$D$114)^((AJ$16-AI$16)/365)</f>
        <v>1047.0968242477363</v>
      </c>
      <c r="AK65" s="273">
        <f>AJ65*(1+'2. GRI Pricing Inputs'!$D$114)^((AK$16-AJ$16)/365)</f>
        <v>1050.4777132069969</v>
      </c>
      <c r="AL65" s="273">
        <f>AK65*(1+'2. GRI Pricing Inputs'!$D$114)^((AL$16-AK$16)/365)</f>
        <v>1053.9827670426691</v>
      </c>
      <c r="AM65" s="273">
        <f>AL65*(1+'2. GRI Pricing Inputs'!$D$114)^((AM$16-AL$16)/365)</f>
        <v>1057.4995159407274</v>
      </c>
      <c r="AN65" s="273">
        <f>AM65*(1+'2. GRI Pricing Inputs'!$D$114)^((AN$16-AM$16)/365)</f>
        <v>1060.9139933367751</v>
      </c>
      <c r="AO65" s="273">
        <f>AN65*(1+'2. GRI Pricing Inputs'!$D$114)^((AO$16-AN$16)/365)</f>
        <v>1064.4538691617568</v>
      </c>
    </row>
    <row r="66" spans="3:41" ht="12" x14ac:dyDescent="0.2">
      <c r="C66" s="76" t="str">
        <f>'1. Accomodation'!N70</f>
        <v>402N</v>
      </c>
      <c r="D66" s="69" t="str">
        <f>'1. Accomodation'!P70</f>
        <v>2 Bed</v>
      </c>
      <c r="E66" s="69">
        <f>'1. Accomodation'!Q70</f>
        <v>2</v>
      </c>
      <c r="F66" s="77">
        <f>'1. Accomodation'!O70</f>
        <v>678</v>
      </c>
      <c r="G66" s="69">
        <f>'1. Accomodation'!R70</f>
        <v>4</v>
      </c>
      <c r="H66" s="69" t="str">
        <f>'1. Accomodation'!S70</f>
        <v>Courtyard</v>
      </c>
      <c r="I66" s="62"/>
      <c r="K66" s="272">
        <f>IFERROR(INDEX('2. GRI Pricing Inputs'!$C$15:$AI$16,MATCH($K$16,'2. GRI Pricing Inputs'!$C$15:$C$16,0),MATCH(D66,'2. GRI Pricing Inputs'!$C$15:$AI$15,0)),0)</f>
        <v>1110</v>
      </c>
      <c r="L66" s="273">
        <f>IFERROR(INDEX('2. GRI Pricing Inputs'!$C$22:$AI$23,MATCH($L$16,'2. GRI Pricing Inputs'!$C$22:$C$23,0),MATCH(E66,'2. GRI Pricing Inputs'!$C$22:$AI$22,0)),0)</f>
        <v>0</v>
      </c>
      <c r="M66" s="328">
        <f>IF(AND('3. GRI Pricing'!$F66&gt;='2. GRI Pricing Inputs'!$D$33,'3. GRI Pricing'!$F66&lt;='2. GRI Pricing Inputs'!$E$33),'2. GRI Pricing Inputs'!$D$32,IF(AND('3. GRI Pricing'!$F66&gt;='2. GRI Pricing Inputs'!$F$33,'3. GRI Pricing'!$F66&lt;='2. GRI Pricing Inputs'!$G$33),'2. GRI Pricing Inputs'!$F$32,IF(AND('3. GRI Pricing'!$F66&gt;='2. GRI Pricing Inputs'!$H$33,'3. GRI Pricing'!$F66&lt;='2. GRI Pricing Inputs'!$I$33),'2. GRI Pricing Inputs'!$H$32,IF(AND('3. GRI Pricing'!$F66&gt;='2. GRI Pricing Inputs'!$J$33,'3. GRI Pricing'!$F66&lt;='2. GRI Pricing Inputs'!$K$33),'2. GRI Pricing Inputs'!$J$32,IF(AND('3. GRI Pricing'!$F66&gt;='2. GRI Pricing Inputs'!$L$33,'3. GRI Pricing'!$F66&lt;='2. GRI Pricing Inputs'!$M$33),'2. GRI Pricing Inputs'!$L$32,IF(AND('3. GRI Pricing'!$F66&gt;='2. GRI Pricing Inputs'!$N$33,'3. GRI Pricing'!$F66&lt;='2. GRI Pricing Inputs'!$O$33),'2. GRI Pricing Inputs'!$N$32,IF(AND('3. GRI Pricing'!$F66&gt;='2. GRI Pricing Inputs'!$P$33,'3. GRI Pricing'!$F66&lt;='2. GRI Pricing Inputs'!$Q$33),'2. GRI Pricing Inputs'!$P$32,IF(AND('3. GRI Pricing'!$F66&gt;='2. GRI Pricing Inputs'!$R$33,'3. GRI Pricing'!$F66&lt;='2. GRI Pricing Inputs'!$S$33),'2. GRI Pricing Inputs'!$R$32,IF(AND('3. GRI Pricing'!$F66&gt;='2. GRI Pricing Inputs'!$T$33,'3. GRI Pricing'!$F66&lt;='2. GRI Pricing Inputs'!$U$33),'2. GRI Pricing Inputs'!$T$32,IF(AND('3. GRI Pricing'!$F66&gt;='2. GRI Pricing Inputs'!$V$33,'3. GRI Pricing'!$F66&lt;='2. GRI Pricing Inputs'!$W$33),'2. GRI Pricing Inputs'!$V$32,IF(AND('3. GRI Pricing'!$F66&gt;='2. GRI Pricing Inputs'!$X$33,'3. GRI Pricing'!$F66&lt;='2. GRI Pricing Inputs'!$Y$33),'2. GRI Pricing Inputs'!$X$32,IF(AND('3. GRI Pricing'!$F66&gt;='2. GRI Pricing Inputs'!$Z$33,'3. GRI Pricing'!$F66&lt;='2. GRI Pricing Inputs'!$AA$33),'2. GRI Pricing Inputs'!$Z$32,IF(AND('3. GRI Pricing'!$F66&gt;='2. GRI Pricing Inputs'!$AB$33,'3. GRI Pricing'!$F66&lt;='2. GRI Pricing Inputs'!$AC$33),'2. GRI Pricing Inputs'!$AB$32,IF(AND('3. GRI Pricing'!$F66&gt;='2. GRI Pricing Inputs'!$AD$33,'3. GRI Pricing'!$F66&lt;='2. GRI Pricing Inputs'!$AE$33),'2. GRI Pricing Inputs'!$AD$32,IF(AND('3. GRI Pricing'!$F66&gt;='2. GRI Pricing Inputs'!$AF$33,'3. GRI Pricing'!$F66&lt;='2. GRI Pricing Inputs'!$AG$33),'2. GRI Pricing Inputs'!$AF$32,IF(AND('3. GRI Pricing'!$F66&gt;='2. GRI Pricing Inputs'!$AH$33,'3. GRI Pricing'!$F66&lt;='2. GRI Pricing Inputs'!$AI$33),'2. GRI Pricing Inputs'!$AH$32,0))))))))))))))))</f>
        <v>10</v>
      </c>
      <c r="N66" s="273" cm="1">
        <f t="array" ref="N66">IFERROR(INDEX('2. GRI Pricing Inputs'!$C$32:$AI$39,MATCH('3. GRI Pricing'!D66,'2. GRI Pricing Inputs'!$C$32:$C$39,0),(MATCH('3. GRI Pricing'!M66,'2. GRI Pricing Inputs'!$D$32:$AI$32,0)+1)),0)</f>
        <v>40</v>
      </c>
      <c r="O66" s="273">
        <f>IFERROR(INDEX('2. GRI Pricing Inputs'!$C$45:$AI$46,MATCH($O$16,'2. GRI Pricing Inputs'!$C$45:$C$46,0),MATCH(G66,'2. GRI Pricing Inputs'!$C$45:$AI$45,0)),0)</f>
        <v>70</v>
      </c>
      <c r="P66" s="273">
        <f>IFERROR(INDEX('2. GRI Pricing Inputs'!$C$53:$AI$54,MATCH('3. GRI Pricing'!$P$16,'2. GRI Pricing Inputs'!$C$53:$C$54,0),MATCH('3. GRI Pricing'!H66,'2. GRI Pricing Inputs'!$C$53:$AI$53,0)),0)</f>
        <v>25</v>
      </c>
      <c r="Q66" s="273">
        <f>IFERROR(INDEX('2. GRI Pricing Inputs'!$C$60:$AI$61,MATCH('3. GRI Pricing'!$Q$16,'2. GRI Pricing Inputs'!$C$60:$C$61,0),MATCH('1. Accomodation'!T70,'2. GRI Pricing Inputs'!$C$60:$AI$60,0)),0)</f>
        <v>0</v>
      </c>
      <c r="R66" s="273">
        <f>IFERROR(INDEX('2. GRI Pricing Inputs'!$C$67:$AI$68,MATCH('3. GRI Pricing'!$R$16,'2. GRI Pricing Inputs'!$C$67:$C$68,0),MATCH('1. Accomodation'!U70,'2. GRI Pricing Inputs'!$C$67:$AI$67,0)),0)</f>
        <v>0</v>
      </c>
      <c r="S66" s="273">
        <f>IF(D66=0,0,'2. GRI Pricing Inputs'!$AI$75)</f>
        <v>70</v>
      </c>
      <c r="T66" s="273">
        <f>IFERROR(INDEX('2. GRI Pricing Inputs'!$C$82:$AI$83,MATCH('3. GRI Pricing'!$T$16,'2. GRI Pricing Inputs'!$C$82:$C$83,0),MATCH('1. Accomodation'!V70,'2. GRI Pricing Inputs'!$C$82:$AI$82,0)),0)</f>
        <v>0</v>
      </c>
      <c r="U66" s="273">
        <f>IFERROR(INDEX('2. GRI Pricing Inputs'!$C$89:$AI$90,MATCH('3. GRI Pricing'!$U$16,'2. GRI Pricing Inputs'!$C$89:$C$90,0),MATCH('1. Accomodation'!W70,'2. GRI Pricing Inputs'!$C$89:$AI$89,0)),0)</f>
        <v>0</v>
      </c>
      <c r="V66" s="273">
        <f>IFERROR(INDEX('2. GRI Pricing Inputs'!$C$97:$AI$98,MATCH('3. GRI Pricing'!$V$16,'2. GRI Pricing Inputs'!$C$97:$C$98,0),MATCH('1. Accomodation'!X70,'2. GRI Pricing Inputs'!$C$97:$AI$97,0)),0)</f>
        <v>0</v>
      </c>
      <c r="W66" s="273">
        <f>IFERROR(INDEX('2. GRI Pricing Inputs'!$C$104:$AI$105,MATCH('3. GRI Pricing'!$W$16,'2. GRI Pricing Inputs'!$C$104:$C$105,0),MATCH('1. Accomodation'!Y70,'2. GRI Pricing Inputs'!$C$104:$AI$104,0)),0)</f>
        <v>0</v>
      </c>
      <c r="X66" s="274">
        <v>0</v>
      </c>
      <c r="Y66" s="275">
        <f t="shared" si="7"/>
        <v>1315</v>
      </c>
      <c r="Z66" s="276"/>
      <c r="AA66" s="276"/>
      <c r="AB66" s="276"/>
      <c r="AC66" s="272">
        <f>Y66*(1+'2. GRI Pricing Inputs'!$D$114)^(($AC$16-$AB$15)/365)</f>
        <v>1319.3876664263898</v>
      </c>
      <c r="AD66" s="273">
        <f>AC66*(1+'2. GRI Pricing Inputs'!$D$114)^((AD$16-AC$16)/365)</f>
        <v>1323.6477339684818</v>
      </c>
      <c r="AE66" s="273">
        <f>AD66*(1+'2. GRI Pricing Inputs'!$D$114)^((AE$16-AD$16)/365)</f>
        <v>1328.0642546701552</v>
      </c>
      <c r="AF66" s="273">
        <f>AE66*(1+'2. GRI Pricing Inputs'!$D$114)^((AF$16-AE$16)/365)</f>
        <v>1332.4955116605008</v>
      </c>
      <c r="AG66" s="273">
        <f>AF66*(1+'2. GRI Pricing Inputs'!$D$114)^((AG$16-AF$16)/365)</f>
        <v>1336.6542655218448</v>
      </c>
      <c r="AH66" s="273">
        <f>AG66*(1+'2. GRI Pricing Inputs'!$D$114)^((AH$16-AG$16)/365)</f>
        <v>1341.1141841868796</v>
      </c>
      <c r="AI66" s="273">
        <f>AH66*(1+'2. GRI Pricing Inputs'!$D$114)^((AI$16-AH$16)/365)</f>
        <v>1345.4444027812131</v>
      </c>
      <c r="AJ66" s="273">
        <f>AI66*(1+'2. GRI Pricing Inputs'!$D$114)^((AJ$16-AI$16)/365)</f>
        <v>1349.9336508684048</v>
      </c>
      <c r="AK66" s="273">
        <f>AJ66*(1+'2. GRI Pricing Inputs'!$D$114)^((AK$16-AJ$16)/365)</f>
        <v>1354.2923459482358</v>
      </c>
      <c r="AL66" s="273">
        <f>AK66*(1+'2. GRI Pricing Inputs'!$D$114)^((AL$16-AK$16)/365)</f>
        <v>1358.8111163344213</v>
      </c>
      <c r="AM66" s="273">
        <f>AL66*(1+'2. GRI Pricing Inputs'!$D$114)^((AM$16-AL$16)/365)</f>
        <v>1363.3449641784864</v>
      </c>
      <c r="AN66" s="273">
        <f>AM66*(1+'2. GRI Pricing Inputs'!$D$114)^((AN$16-AM$16)/365)</f>
        <v>1367.7469619979011</v>
      </c>
      <c r="AO66" s="273">
        <f>AN66*(1+'2. GRI Pricing Inputs'!$D$114)^((AO$16-AN$16)/365)</f>
        <v>1372.3106254389313</v>
      </c>
    </row>
    <row r="67" spans="3:41" ht="12" x14ac:dyDescent="0.2">
      <c r="C67" s="76" t="str">
        <f>'1. Accomodation'!N71</f>
        <v>403N</v>
      </c>
      <c r="D67" s="69" t="str">
        <f>'1. Accomodation'!P71</f>
        <v>2 Bed</v>
      </c>
      <c r="E67" s="69">
        <f>'1. Accomodation'!Q71</f>
        <v>2</v>
      </c>
      <c r="F67" s="77">
        <f>'1. Accomodation'!O71</f>
        <v>657</v>
      </c>
      <c r="G67" s="69">
        <f>'1. Accomodation'!R71</f>
        <v>4</v>
      </c>
      <c r="H67" s="69" t="str">
        <f>'1. Accomodation'!S71</f>
        <v>Courtyard</v>
      </c>
      <c r="I67" s="62"/>
      <c r="K67" s="272">
        <f>IFERROR(INDEX('2. GRI Pricing Inputs'!$C$15:$AI$16,MATCH($K$16,'2. GRI Pricing Inputs'!$C$15:$C$16,0),MATCH(D67,'2. GRI Pricing Inputs'!$C$15:$AI$15,0)),0)</f>
        <v>1110</v>
      </c>
      <c r="L67" s="273">
        <f>IFERROR(INDEX('2. GRI Pricing Inputs'!$C$22:$AI$23,MATCH($L$16,'2. GRI Pricing Inputs'!$C$22:$C$23,0),MATCH(E67,'2. GRI Pricing Inputs'!$C$22:$AI$22,0)),0)</f>
        <v>0</v>
      </c>
      <c r="M67" s="328">
        <f>IF(AND('3. GRI Pricing'!$F67&gt;='2. GRI Pricing Inputs'!$D$33,'3. GRI Pricing'!$F67&lt;='2. GRI Pricing Inputs'!$E$33),'2. GRI Pricing Inputs'!$D$32,IF(AND('3. GRI Pricing'!$F67&gt;='2. GRI Pricing Inputs'!$F$33,'3. GRI Pricing'!$F67&lt;='2. GRI Pricing Inputs'!$G$33),'2. GRI Pricing Inputs'!$F$32,IF(AND('3. GRI Pricing'!$F67&gt;='2. GRI Pricing Inputs'!$H$33,'3. GRI Pricing'!$F67&lt;='2. GRI Pricing Inputs'!$I$33),'2. GRI Pricing Inputs'!$H$32,IF(AND('3. GRI Pricing'!$F67&gt;='2. GRI Pricing Inputs'!$J$33,'3. GRI Pricing'!$F67&lt;='2. GRI Pricing Inputs'!$K$33),'2. GRI Pricing Inputs'!$J$32,IF(AND('3. GRI Pricing'!$F67&gt;='2. GRI Pricing Inputs'!$L$33,'3. GRI Pricing'!$F67&lt;='2. GRI Pricing Inputs'!$M$33),'2. GRI Pricing Inputs'!$L$32,IF(AND('3. GRI Pricing'!$F67&gt;='2. GRI Pricing Inputs'!$N$33,'3. GRI Pricing'!$F67&lt;='2. GRI Pricing Inputs'!$O$33),'2. GRI Pricing Inputs'!$N$32,IF(AND('3. GRI Pricing'!$F67&gt;='2. GRI Pricing Inputs'!$P$33,'3. GRI Pricing'!$F67&lt;='2. GRI Pricing Inputs'!$Q$33),'2. GRI Pricing Inputs'!$P$32,IF(AND('3. GRI Pricing'!$F67&gt;='2. GRI Pricing Inputs'!$R$33,'3. GRI Pricing'!$F67&lt;='2. GRI Pricing Inputs'!$S$33),'2. GRI Pricing Inputs'!$R$32,IF(AND('3. GRI Pricing'!$F67&gt;='2. GRI Pricing Inputs'!$T$33,'3. GRI Pricing'!$F67&lt;='2. GRI Pricing Inputs'!$U$33),'2. GRI Pricing Inputs'!$T$32,IF(AND('3. GRI Pricing'!$F67&gt;='2. GRI Pricing Inputs'!$V$33,'3. GRI Pricing'!$F67&lt;='2. GRI Pricing Inputs'!$W$33),'2. GRI Pricing Inputs'!$V$32,IF(AND('3. GRI Pricing'!$F67&gt;='2. GRI Pricing Inputs'!$X$33,'3. GRI Pricing'!$F67&lt;='2. GRI Pricing Inputs'!$Y$33),'2. GRI Pricing Inputs'!$X$32,IF(AND('3. GRI Pricing'!$F67&gt;='2. GRI Pricing Inputs'!$Z$33,'3. GRI Pricing'!$F67&lt;='2. GRI Pricing Inputs'!$AA$33),'2. GRI Pricing Inputs'!$Z$32,IF(AND('3. GRI Pricing'!$F67&gt;='2. GRI Pricing Inputs'!$AB$33,'3. GRI Pricing'!$F67&lt;='2. GRI Pricing Inputs'!$AC$33),'2. GRI Pricing Inputs'!$AB$32,IF(AND('3. GRI Pricing'!$F67&gt;='2. GRI Pricing Inputs'!$AD$33,'3. GRI Pricing'!$F67&lt;='2. GRI Pricing Inputs'!$AE$33),'2. GRI Pricing Inputs'!$AD$32,IF(AND('3. GRI Pricing'!$F67&gt;='2. GRI Pricing Inputs'!$AF$33,'3. GRI Pricing'!$F67&lt;='2. GRI Pricing Inputs'!$AG$33),'2. GRI Pricing Inputs'!$AF$32,IF(AND('3. GRI Pricing'!$F67&gt;='2. GRI Pricing Inputs'!$AH$33,'3. GRI Pricing'!$F67&lt;='2. GRI Pricing Inputs'!$AI$33),'2. GRI Pricing Inputs'!$AH$32,0))))))))))))))))</f>
        <v>8</v>
      </c>
      <c r="N67" s="273" cm="1">
        <f t="array" ref="N67">IFERROR(INDEX('2. GRI Pricing Inputs'!$C$32:$AI$39,MATCH('3. GRI Pricing'!D67,'2. GRI Pricing Inputs'!$C$32:$C$39,0),(MATCH('3. GRI Pricing'!M67,'2. GRI Pricing Inputs'!$D$32:$AI$32,0)+1)),0)</f>
        <v>20</v>
      </c>
      <c r="O67" s="273">
        <f>IFERROR(INDEX('2. GRI Pricing Inputs'!$C$45:$AI$46,MATCH($O$16,'2. GRI Pricing Inputs'!$C$45:$C$46,0),MATCH(G67,'2. GRI Pricing Inputs'!$C$45:$AI$45,0)),0)</f>
        <v>70</v>
      </c>
      <c r="P67" s="273">
        <f>IFERROR(INDEX('2. GRI Pricing Inputs'!$C$53:$AI$54,MATCH('3. GRI Pricing'!$P$16,'2. GRI Pricing Inputs'!$C$53:$C$54,0),MATCH('3. GRI Pricing'!H67,'2. GRI Pricing Inputs'!$C$53:$AI$53,0)),0)</f>
        <v>25</v>
      </c>
      <c r="Q67" s="273">
        <f>IFERROR(INDEX('2. GRI Pricing Inputs'!$C$60:$AI$61,MATCH('3. GRI Pricing'!$Q$16,'2. GRI Pricing Inputs'!$C$60:$C$61,0),MATCH('1. Accomodation'!T71,'2. GRI Pricing Inputs'!$C$60:$AI$60,0)),0)</f>
        <v>0</v>
      </c>
      <c r="R67" s="273">
        <f>IFERROR(INDEX('2. GRI Pricing Inputs'!$C$67:$AI$68,MATCH('3. GRI Pricing'!$R$16,'2. GRI Pricing Inputs'!$C$67:$C$68,0),MATCH('1. Accomodation'!U71,'2. GRI Pricing Inputs'!$C$67:$AI$67,0)),0)</f>
        <v>0</v>
      </c>
      <c r="S67" s="273">
        <f>IF(D67=0,0,'2. GRI Pricing Inputs'!$AI$75)</f>
        <v>70</v>
      </c>
      <c r="T67" s="273">
        <f>IFERROR(INDEX('2. GRI Pricing Inputs'!$C$82:$AI$83,MATCH('3. GRI Pricing'!$T$16,'2. GRI Pricing Inputs'!$C$82:$C$83,0),MATCH('1. Accomodation'!V71,'2. GRI Pricing Inputs'!$C$82:$AI$82,0)),0)</f>
        <v>0</v>
      </c>
      <c r="U67" s="273">
        <f>IFERROR(INDEX('2. GRI Pricing Inputs'!$C$89:$AI$90,MATCH('3. GRI Pricing'!$U$16,'2. GRI Pricing Inputs'!$C$89:$C$90,0),MATCH('1. Accomodation'!W71,'2. GRI Pricing Inputs'!$C$89:$AI$89,0)),0)</f>
        <v>0</v>
      </c>
      <c r="V67" s="273">
        <f>IFERROR(INDEX('2. GRI Pricing Inputs'!$C$97:$AI$98,MATCH('3. GRI Pricing'!$V$16,'2. GRI Pricing Inputs'!$C$97:$C$98,0),MATCH('1. Accomodation'!X71,'2. GRI Pricing Inputs'!$C$97:$AI$97,0)),0)</f>
        <v>0</v>
      </c>
      <c r="W67" s="273">
        <f>IFERROR(INDEX('2. GRI Pricing Inputs'!$C$104:$AI$105,MATCH('3. GRI Pricing'!$W$16,'2. GRI Pricing Inputs'!$C$104:$C$105,0),MATCH('1. Accomodation'!Y71,'2. GRI Pricing Inputs'!$C$104:$AI$104,0)),0)</f>
        <v>0</v>
      </c>
      <c r="X67" s="274">
        <v>0</v>
      </c>
      <c r="Y67" s="275">
        <f t="shared" si="7"/>
        <v>1295</v>
      </c>
      <c r="Z67" s="276"/>
      <c r="AA67" s="276"/>
      <c r="AB67" s="276"/>
      <c r="AC67" s="272">
        <f>Y67*(1+'2. GRI Pricing Inputs'!$D$114)^(($AC$16-$AB$15)/365)</f>
        <v>1299.3209338571671</v>
      </c>
      <c r="AD67" s="273">
        <f>AC67*(1+'2. GRI Pricing Inputs'!$D$114)^((AD$16-AC$16)/365)</f>
        <v>1303.5162094974783</v>
      </c>
      <c r="AE67" s="273">
        <f>AD67*(1+'2. GRI Pricing Inputs'!$D$114)^((AE$16-AD$16)/365)</f>
        <v>1307.8655587816356</v>
      </c>
      <c r="AF67" s="273">
        <f>AE67*(1+'2. GRI Pricing Inputs'!$D$114)^((AF$16-AE$16)/365)</f>
        <v>1312.229420228402</v>
      </c>
      <c r="AG67" s="273">
        <f>AF67*(1+'2. GRI Pricing Inputs'!$D$114)^((AG$16-AF$16)/365)</f>
        <v>1316.3249230804479</v>
      </c>
      <c r="AH67" s="273">
        <f>AG67*(1+'2. GRI Pricing Inputs'!$D$114)^((AH$16-AG$16)/365)</f>
        <v>1320.7170102828968</v>
      </c>
      <c r="AI67" s="273">
        <f>AH67*(1+'2. GRI Pricing Inputs'!$D$114)^((AI$16-AH$16)/365)</f>
        <v>1324.9813700392936</v>
      </c>
      <c r="AJ67" s="273">
        <f>AI67*(1+'2. GRI Pricing Inputs'!$D$114)^((AJ$16-AI$16)/365)</f>
        <v>1329.4023405890375</v>
      </c>
      <c r="AK67" s="273">
        <f>AJ67*(1+'2. GRI Pricing Inputs'!$D$114)^((AK$16-AJ$16)/365)</f>
        <v>1333.6947437284907</v>
      </c>
      <c r="AL67" s="273">
        <f>AK67*(1+'2. GRI Pricing Inputs'!$D$114)^((AL$16-AK$16)/365)</f>
        <v>1338.1447875688787</v>
      </c>
      <c r="AM67" s="273">
        <f>AL67*(1+'2. GRI Pricing Inputs'!$D$114)^((AM$16-AL$16)/365)</f>
        <v>1342.6096795521976</v>
      </c>
      <c r="AN67" s="273">
        <f>AM67*(1+'2. GRI Pricing Inputs'!$D$114)^((AN$16-AM$16)/365)</f>
        <v>1346.9447268344347</v>
      </c>
      <c r="AO67" s="273">
        <f>AN67*(1+'2. GRI Pricing Inputs'!$D$114)^((AO$16-AN$16)/365)</f>
        <v>1351.4389809455633</v>
      </c>
    </row>
    <row r="68" spans="3:41" ht="12" x14ac:dyDescent="0.2">
      <c r="C68" s="76" t="str">
        <f>'1. Accomodation'!N72</f>
        <v>404N</v>
      </c>
      <c r="D68" s="69" t="str">
        <f>'1. Accomodation'!P72</f>
        <v>3 Bed</v>
      </c>
      <c r="E68" s="69">
        <f>'1. Accomodation'!Q72</f>
        <v>2</v>
      </c>
      <c r="F68" s="77">
        <f>'1. Accomodation'!O72</f>
        <v>818</v>
      </c>
      <c r="G68" s="69">
        <f>'1. Accomodation'!R72</f>
        <v>4</v>
      </c>
      <c r="H68" s="69" t="str">
        <f>'1. Accomodation'!S72</f>
        <v>Pottery Lane</v>
      </c>
      <c r="I68" s="62"/>
      <c r="K68" s="272">
        <f>IFERROR(INDEX('2. GRI Pricing Inputs'!$C$15:$AI$16,MATCH($K$16,'2. GRI Pricing Inputs'!$C$15:$C$16,0),MATCH(D68,'2. GRI Pricing Inputs'!$C$15:$AI$15,0)),0)</f>
        <v>1485</v>
      </c>
      <c r="L68" s="273">
        <f>IFERROR(INDEX('2. GRI Pricing Inputs'!$C$22:$AI$23,MATCH($L$16,'2. GRI Pricing Inputs'!$C$22:$C$23,0),MATCH(E68,'2. GRI Pricing Inputs'!$C$22:$AI$22,0)),0)</f>
        <v>0</v>
      </c>
      <c r="M68" s="328">
        <f>IF(AND('3. GRI Pricing'!$F68&gt;='2. GRI Pricing Inputs'!$D$33,'3. GRI Pricing'!$F68&lt;='2. GRI Pricing Inputs'!$E$33),'2. GRI Pricing Inputs'!$D$32,IF(AND('3. GRI Pricing'!$F68&gt;='2. GRI Pricing Inputs'!$F$33,'3. GRI Pricing'!$F68&lt;='2. GRI Pricing Inputs'!$G$33),'2. GRI Pricing Inputs'!$F$32,IF(AND('3. GRI Pricing'!$F68&gt;='2. GRI Pricing Inputs'!$H$33,'3. GRI Pricing'!$F68&lt;='2. GRI Pricing Inputs'!$I$33),'2. GRI Pricing Inputs'!$H$32,IF(AND('3. GRI Pricing'!$F68&gt;='2. GRI Pricing Inputs'!$J$33,'3. GRI Pricing'!$F68&lt;='2. GRI Pricing Inputs'!$K$33),'2. GRI Pricing Inputs'!$J$32,IF(AND('3. GRI Pricing'!$F68&gt;='2. GRI Pricing Inputs'!$L$33,'3. GRI Pricing'!$F68&lt;='2. GRI Pricing Inputs'!$M$33),'2. GRI Pricing Inputs'!$L$32,IF(AND('3. GRI Pricing'!$F68&gt;='2. GRI Pricing Inputs'!$N$33,'3. GRI Pricing'!$F68&lt;='2. GRI Pricing Inputs'!$O$33),'2. GRI Pricing Inputs'!$N$32,IF(AND('3. GRI Pricing'!$F68&gt;='2. GRI Pricing Inputs'!$P$33,'3. GRI Pricing'!$F68&lt;='2. GRI Pricing Inputs'!$Q$33),'2. GRI Pricing Inputs'!$P$32,IF(AND('3. GRI Pricing'!$F68&gt;='2. GRI Pricing Inputs'!$R$33,'3. GRI Pricing'!$F68&lt;='2. GRI Pricing Inputs'!$S$33),'2. GRI Pricing Inputs'!$R$32,IF(AND('3. GRI Pricing'!$F68&gt;='2. GRI Pricing Inputs'!$T$33,'3. GRI Pricing'!$F68&lt;='2. GRI Pricing Inputs'!$U$33),'2. GRI Pricing Inputs'!$T$32,IF(AND('3. GRI Pricing'!$F68&gt;='2. GRI Pricing Inputs'!$V$33,'3. GRI Pricing'!$F68&lt;='2. GRI Pricing Inputs'!$W$33),'2. GRI Pricing Inputs'!$V$32,IF(AND('3. GRI Pricing'!$F68&gt;='2. GRI Pricing Inputs'!$X$33,'3. GRI Pricing'!$F68&lt;='2. GRI Pricing Inputs'!$Y$33),'2. GRI Pricing Inputs'!$X$32,IF(AND('3. GRI Pricing'!$F68&gt;='2. GRI Pricing Inputs'!$Z$33,'3. GRI Pricing'!$F68&lt;='2. GRI Pricing Inputs'!$AA$33),'2. GRI Pricing Inputs'!$Z$32,IF(AND('3. GRI Pricing'!$F68&gt;='2. GRI Pricing Inputs'!$AB$33,'3. GRI Pricing'!$F68&lt;='2. GRI Pricing Inputs'!$AC$33),'2. GRI Pricing Inputs'!$AB$32,IF(AND('3. GRI Pricing'!$F68&gt;='2. GRI Pricing Inputs'!$AD$33,'3. GRI Pricing'!$F68&lt;='2. GRI Pricing Inputs'!$AE$33),'2. GRI Pricing Inputs'!$AD$32,IF(AND('3. GRI Pricing'!$F68&gt;='2. GRI Pricing Inputs'!$AF$33,'3. GRI Pricing'!$F68&lt;='2. GRI Pricing Inputs'!$AG$33),'2. GRI Pricing Inputs'!$AF$32,IF(AND('3. GRI Pricing'!$F68&gt;='2. GRI Pricing Inputs'!$AH$33,'3. GRI Pricing'!$F68&lt;='2. GRI Pricing Inputs'!$AI$33),'2. GRI Pricing Inputs'!$AH$32,0))))))))))))))))</f>
        <v>13</v>
      </c>
      <c r="N68" s="273" cm="1">
        <f t="array" ref="N68">IFERROR(INDEX('2. GRI Pricing Inputs'!$C$32:$AI$39,MATCH('3. GRI Pricing'!D68,'2. GRI Pricing Inputs'!$C$32:$C$39,0),(MATCH('3. GRI Pricing'!M68,'2. GRI Pricing Inputs'!$D$32:$AI$32,0)+1)),0)</f>
        <v>50</v>
      </c>
      <c r="O68" s="273">
        <f>IFERROR(INDEX('2. GRI Pricing Inputs'!$C$45:$AI$46,MATCH($O$16,'2. GRI Pricing Inputs'!$C$45:$C$46,0),MATCH(G68,'2. GRI Pricing Inputs'!$C$45:$AI$45,0)),0)</f>
        <v>70</v>
      </c>
      <c r="P68" s="273">
        <f>IFERROR(INDEX('2. GRI Pricing Inputs'!$C$53:$AI$54,MATCH('3. GRI Pricing'!$P$16,'2. GRI Pricing Inputs'!$C$53:$C$54,0),MATCH('3. GRI Pricing'!H68,'2. GRI Pricing Inputs'!$C$53:$AI$53,0)),0)</f>
        <v>10</v>
      </c>
      <c r="Q68" s="273">
        <f>IFERROR(INDEX('2. GRI Pricing Inputs'!$C$60:$AI$61,MATCH('3. GRI Pricing'!$Q$16,'2. GRI Pricing Inputs'!$C$60:$C$61,0),MATCH('1. Accomodation'!T72,'2. GRI Pricing Inputs'!$C$60:$AI$60,0)),0)</f>
        <v>0</v>
      </c>
      <c r="R68" s="273">
        <f>IFERROR(INDEX('2. GRI Pricing Inputs'!$C$67:$AI$68,MATCH('3. GRI Pricing'!$R$16,'2. GRI Pricing Inputs'!$C$67:$C$68,0),MATCH('1. Accomodation'!U72,'2. GRI Pricing Inputs'!$C$67:$AI$67,0)),0)</f>
        <v>0</v>
      </c>
      <c r="S68" s="273">
        <f>IF(D68=0,0,'2. GRI Pricing Inputs'!$AI$75)</f>
        <v>70</v>
      </c>
      <c r="T68" s="273">
        <f>IFERROR(INDEX('2. GRI Pricing Inputs'!$C$82:$AI$83,MATCH('3. GRI Pricing'!$T$16,'2. GRI Pricing Inputs'!$C$82:$C$83,0),MATCH('1. Accomodation'!V72,'2. GRI Pricing Inputs'!$C$82:$AI$82,0)),0)</f>
        <v>0</v>
      </c>
      <c r="U68" s="273">
        <f>IFERROR(INDEX('2. GRI Pricing Inputs'!$C$89:$AI$90,MATCH('3. GRI Pricing'!$U$16,'2. GRI Pricing Inputs'!$C$89:$C$90,0),MATCH('1. Accomodation'!W72,'2. GRI Pricing Inputs'!$C$89:$AI$89,0)),0)</f>
        <v>0</v>
      </c>
      <c r="V68" s="273">
        <f>IFERROR(INDEX('2. GRI Pricing Inputs'!$C$97:$AI$98,MATCH('3. GRI Pricing'!$V$16,'2. GRI Pricing Inputs'!$C$97:$C$98,0),MATCH('1. Accomodation'!X72,'2. GRI Pricing Inputs'!$C$97:$AI$97,0)),0)</f>
        <v>0</v>
      </c>
      <c r="W68" s="273">
        <f>IFERROR(INDEX('2. GRI Pricing Inputs'!$C$104:$AI$105,MATCH('3. GRI Pricing'!$W$16,'2. GRI Pricing Inputs'!$C$104:$C$105,0),MATCH('1. Accomodation'!Y72,'2. GRI Pricing Inputs'!$C$104:$AI$104,0)),0)</f>
        <v>0</v>
      </c>
      <c r="X68" s="274">
        <v>0</v>
      </c>
      <c r="Y68" s="275">
        <f t="shared" si="7"/>
        <v>1685</v>
      </c>
      <c r="Z68" s="276"/>
      <c r="AA68" s="276"/>
      <c r="AB68" s="276"/>
      <c r="AC68" s="272">
        <f>Y68*(1+'2. GRI Pricing Inputs'!$D$114)^(($AC$16-$AB$15)/365)</f>
        <v>1690.622218957009</v>
      </c>
      <c r="AD68" s="273">
        <f>AC68*(1+'2. GRI Pricing Inputs'!$D$114)^((AD$16-AC$16)/365)</f>
        <v>1696.080936682047</v>
      </c>
      <c r="AE68" s="273">
        <f>AD68*(1+'2. GRI Pricing Inputs'!$D$114)^((AE$16-AD$16)/365)</f>
        <v>1701.7401286077652</v>
      </c>
      <c r="AF68" s="273">
        <f>AE68*(1+'2. GRI Pricing Inputs'!$D$114)^((AF$16-AE$16)/365)</f>
        <v>1707.4182031543298</v>
      </c>
      <c r="AG68" s="273">
        <f>AF68*(1+'2. GRI Pricing Inputs'!$D$114)^((AG$16-AF$16)/365)</f>
        <v>1712.7471006876867</v>
      </c>
      <c r="AH68" s="273">
        <f>AG68*(1+'2. GRI Pricing Inputs'!$D$114)^((AH$16-AG$16)/365)</f>
        <v>1718.4619014105642</v>
      </c>
      <c r="AI68" s="273">
        <f>AH68*(1+'2. GRI Pricing Inputs'!$D$114)^((AI$16-AH$16)/365)</f>
        <v>1724.0105085067253</v>
      </c>
      <c r="AJ68" s="273">
        <f>AI68*(1+'2. GRI Pricing Inputs'!$D$114)^((AJ$16-AI$16)/365)</f>
        <v>1729.7628910367011</v>
      </c>
      <c r="AK68" s="273">
        <f>AJ68*(1+'2. GRI Pricing Inputs'!$D$114)^((AK$16-AJ$16)/365)</f>
        <v>1735.3479870135186</v>
      </c>
      <c r="AL68" s="273">
        <f>AK68*(1+'2. GRI Pricing Inputs'!$D$114)^((AL$16-AK$16)/365)</f>
        <v>1741.1381984969576</v>
      </c>
      <c r="AM68" s="273">
        <f>AL68*(1+'2. GRI Pricing Inputs'!$D$114)^((AM$16-AL$16)/365)</f>
        <v>1746.9477297648282</v>
      </c>
      <c r="AN68" s="273">
        <f>AM68*(1+'2. GRI Pricing Inputs'!$D$114)^((AN$16-AM$16)/365)</f>
        <v>1752.5883125220248</v>
      </c>
      <c r="AO68" s="273">
        <f>AN68*(1+'2. GRI Pricing Inputs'!$D$114)^((AO$16-AN$16)/365)</f>
        <v>1758.4360485662346</v>
      </c>
    </row>
    <row r="69" spans="3:41" ht="12" x14ac:dyDescent="0.2">
      <c r="C69" s="76" t="str">
        <f>'1. Accomodation'!N73</f>
        <v>405N</v>
      </c>
      <c r="D69" s="69" t="str">
        <f>'1. Accomodation'!P73</f>
        <v>2 Bed</v>
      </c>
      <c r="E69" s="69">
        <f>'1. Accomodation'!Q73</f>
        <v>2</v>
      </c>
      <c r="F69" s="77">
        <f>'1. Accomodation'!O73</f>
        <v>667</v>
      </c>
      <c r="G69" s="69">
        <f>'1. Accomodation'!R73</f>
        <v>4</v>
      </c>
      <c r="H69" s="69" t="str">
        <f>'1. Accomodation'!S73</f>
        <v>Forth Banks/Pottery Lane</v>
      </c>
      <c r="I69" s="62"/>
      <c r="K69" s="272">
        <f>IFERROR(INDEX('2. GRI Pricing Inputs'!$C$15:$AI$16,MATCH($K$16,'2. GRI Pricing Inputs'!$C$15:$C$16,0),MATCH(D69,'2. GRI Pricing Inputs'!$C$15:$AI$15,0)),0)</f>
        <v>1110</v>
      </c>
      <c r="L69" s="273">
        <f>IFERROR(INDEX('2. GRI Pricing Inputs'!$C$22:$AI$23,MATCH($L$16,'2. GRI Pricing Inputs'!$C$22:$C$23,0),MATCH(E69,'2. GRI Pricing Inputs'!$C$22:$AI$22,0)),0)</f>
        <v>0</v>
      </c>
      <c r="M69" s="328">
        <f>IF(AND('3. GRI Pricing'!$F69&gt;='2. GRI Pricing Inputs'!$D$33,'3. GRI Pricing'!$F69&lt;='2. GRI Pricing Inputs'!$E$33),'2. GRI Pricing Inputs'!$D$32,IF(AND('3. GRI Pricing'!$F69&gt;='2. GRI Pricing Inputs'!$F$33,'3. GRI Pricing'!$F69&lt;='2. GRI Pricing Inputs'!$G$33),'2. GRI Pricing Inputs'!$F$32,IF(AND('3. GRI Pricing'!$F69&gt;='2. GRI Pricing Inputs'!$H$33,'3. GRI Pricing'!$F69&lt;='2. GRI Pricing Inputs'!$I$33),'2. GRI Pricing Inputs'!$H$32,IF(AND('3. GRI Pricing'!$F69&gt;='2. GRI Pricing Inputs'!$J$33,'3. GRI Pricing'!$F69&lt;='2. GRI Pricing Inputs'!$K$33),'2. GRI Pricing Inputs'!$J$32,IF(AND('3. GRI Pricing'!$F69&gt;='2. GRI Pricing Inputs'!$L$33,'3. GRI Pricing'!$F69&lt;='2. GRI Pricing Inputs'!$M$33),'2. GRI Pricing Inputs'!$L$32,IF(AND('3. GRI Pricing'!$F69&gt;='2. GRI Pricing Inputs'!$N$33,'3. GRI Pricing'!$F69&lt;='2. GRI Pricing Inputs'!$O$33),'2. GRI Pricing Inputs'!$N$32,IF(AND('3. GRI Pricing'!$F69&gt;='2. GRI Pricing Inputs'!$P$33,'3. GRI Pricing'!$F69&lt;='2. GRI Pricing Inputs'!$Q$33),'2. GRI Pricing Inputs'!$P$32,IF(AND('3. GRI Pricing'!$F69&gt;='2. GRI Pricing Inputs'!$R$33,'3. GRI Pricing'!$F69&lt;='2. GRI Pricing Inputs'!$S$33),'2. GRI Pricing Inputs'!$R$32,IF(AND('3. GRI Pricing'!$F69&gt;='2. GRI Pricing Inputs'!$T$33,'3. GRI Pricing'!$F69&lt;='2. GRI Pricing Inputs'!$U$33),'2. GRI Pricing Inputs'!$T$32,IF(AND('3. GRI Pricing'!$F69&gt;='2. GRI Pricing Inputs'!$V$33,'3. GRI Pricing'!$F69&lt;='2. GRI Pricing Inputs'!$W$33),'2. GRI Pricing Inputs'!$V$32,IF(AND('3. GRI Pricing'!$F69&gt;='2. GRI Pricing Inputs'!$X$33,'3. GRI Pricing'!$F69&lt;='2. GRI Pricing Inputs'!$Y$33),'2. GRI Pricing Inputs'!$X$32,IF(AND('3. GRI Pricing'!$F69&gt;='2. GRI Pricing Inputs'!$Z$33,'3. GRI Pricing'!$F69&lt;='2. GRI Pricing Inputs'!$AA$33),'2. GRI Pricing Inputs'!$Z$32,IF(AND('3. GRI Pricing'!$F69&gt;='2. GRI Pricing Inputs'!$AB$33,'3. GRI Pricing'!$F69&lt;='2. GRI Pricing Inputs'!$AC$33),'2. GRI Pricing Inputs'!$AB$32,IF(AND('3. GRI Pricing'!$F69&gt;='2. GRI Pricing Inputs'!$AD$33,'3. GRI Pricing'!$F69&lt;='2. GRI Pricing Inputs'!$AE$33),'2. GRI Pricing Inputs'!$AD$32,IF(AND('3. GRI Pricing'!$F69&gt;='2. GRI Pricing Inputs'!$AF$33,'3. GRI Pricing'!$F69&lt;='2. GRI Pricing Inputs'!$AG$33),'2. GRI Pricing Inputs'!$AF$32,IF(AND('3. GRI Pricing'!$F69&gt;='2. GRI Pricing Inputs'!$AH$33,'3. GRI Pricing'!$F69&lt;='2. GRI Pricing Inputs'!$AI$33),'2. GRI Pricing Inputs'!$AH$32,0))))))))))))))))</f>
        <v>9</v>
      </c>
      <c r="N69" s="273" cm="1">
        <f t="array" ref="N69">IFERROR(INDEX('2. GRI Pricing Inputs'!$C$32:$AI$39,MATCH('3. GRI Pricing'!D69,'2. GRI Pricing Inputs'!$C$32:$C$39,0),(MATCH('3. GRI Pricing'!M69,'2. GRI Pricing Inputs'!$D$32:$AI$32,0)+1)),0)</f>
        <v>30</v>
      </c>
      <c r="O69" s="273">
        <f>IFERROR(INDEX('2. GRI Pricing Inputs'!$C$45:$AI$46,MATCH($O$16,'2. GRI Pricing Inputs'!$C$45:$C$46,0),MATCH(G69,'2. GRI Pricing Inputs'!$C$45:$AI$45,0)),0)</f>
        <v>70</v>
      </c>
      <c r="P69" s="273">
        <f>IFERROR(INDEX('2. GRI Pricing Inputs'!$C$53:$AI$54,MATCH('3. GRI Pricing'!$P$16,'2. GRI Pricing Inputs'!$C$53:$C$54,0),MATCH('3. GRI Pricing'!H69,'2. GRI Pricing Inputs'!$C$53:$AI$53,0)),0)</f>
        <v>10</v>
      </c>
      <c r="Q69" s="273">
        <f>IFERROR(INDEX('2. GRI Pricing Inputs'!$C$60:$AI$61,MATCH('3. GRI Pricing'!$Q$16,'2. GRI Pricing Inputs'!$C$60:$C$61,0),MATCH('1. Accomodation'!T73,'2. GRI Pricing Inputs'!$C$60:$AI$60,0)),0)</f>
        <v>0</v>
      </c>
      <c r="R69" s="273">
        <f>IFERROR(INDEX('2. GRI Pricing Inputs'!$C$67:$AI$68,MATCH('3. GRI Pricing'!$R$16,'2. GRI Pricing Inputs'!$C$67:$C$68,0),MATCH('1. Accomodation'!U73,'2. GRI Pricing Inputs'!$C$67:$AI$67,0)),0)</f>
        <v>0</v>
      </c>
      <c r="S69" s="273">
        <f>IF(D69=0,0,'2. GRI Pricing Inputs'!$AI$75)</f>
        <v>70</v>
      </c>
      <c r="T69" s="273">
        <f>IFERROR(INDEX('2. GRI Pricing Inputs'!$C$82:$AI$83,MATCH('3. GRI Pricing'!$T$16,'2. GRI Pricing Inputs'!$C$82:$C$83,0),MATCH('1. Accomodation'!V73,'2. GRI Pricing Inputs'!$C$82:$AI$82,0)),0)</f>
        <v>0</v>
      </c>
      <c r="U69" s="273">
        <f>IFERROR(INDEX('2. GRI Pricing Inputs'!$C$89:$AI$90,MATCH('3. GRI Pricing'!$U$16,'2. GRI Pricing Inputs'!$C$89:$C$90,0),MATCH('1. Accomodation'!W73,'2. GRI Pricing Inputs'!$C$89:$AI$89,0)),0)</f>
        <v>0</v>
      </c>
      <c r="V69" s="273">
        <f>IFERROR(INDEX('2. GRI Pricing Inputs'!$C$97:$AI$98,MATCH('3. GRI Pricing'!$V$16,'2. GRI Pricing Inputs'!$C$97:$C$98,0),MATCH('1. Accomodation'!X73,'2. GRI Pricing Inputs'!$C$97:$AI$97,0)),0)</f>
        <v>0</v>
      </c>
      <c r="W69" s="273">
        <f>IFERROR(INDEX('2. GRI Pricing Inputs'!$C$104:$AI$105,MATCH('3. GRI Pricing'!$W$16,'2. GRI Pricing Inputs'!$C$104:$C$105,0),MATCH('1. Accomodation'!Y73,'2. GRI Pricing Inputs'!$C$104:$AI$104,0)),0)</f>
        <v>0</v>
      </c>
      <c r="X69" s="274">
        <v>0</v>
      </c>
      <c r="Y69" s="275">
        <f t="shared" si="7"/>
        <v>1290</v>
      </c>
      <c r="Z69" s="276"/>
      <c r="AA69" s="276"/>
      <c r="AB69" s="276"/>
      <c r="AC69" s="272">
        <f>Y69*(1+'2. GRI Pricing Inputs'!$D$114)^(($AC$16-$AB$15)/365)</f>
        <v>1294.3042507148614</v>
      </c>
      <c r="AD69" s="273">
        <f>AC69*(1+'2. GRI Pricing Inputs'!$D$114)^((AD$16-AC$16)/365)</f>
        <v>1298.4833283797273</v>
      </c>
      <c r="AE69" s="273">
        <f>AD69*(1+'2. GRI Pricing Inputs'!$D$114)^((AE$16-AD$16)/365)</f>
        <v>1302.8158848095056</v>
      </c>
      <c r="AF69" s="273">
        <f>AE69*(1+'2. GRI Pricing Inputs'!$D$114)^((AF$16-AE$16)/365)</f>
        <v>1307.1628973703771</v>
      </c>
      <c r="AG69" s="273">
        <f>AF69*(1+'2. GRI Pricing Inputs'!$D$114)^((AG$16-AF$16)/365)</f>
        <v>1311.2425874700984</v>
      </c>
      <c r="AH69" s="273">
        <f>AG69*(1+'2. GRI Pricing Inputs'!$D$114)^((AH$16-AG$16)/365)</f>
        <v>1315.6177168069007</v>
      </c>
      <c r="AI69" s="273">
        <f>AH69*(1+'2. GRI Pricing Inputs'!$D$114)^((AI$16-AH$16)/365)</f>
        <v>1319.8656118538133</v>
      </c>
      <c r="AJ69" s="273">
        <f>AI69*(1+'2. GRI Pricing Inputs'!$D$114)^((AJ$16-AI$16)/365)</f>
        <v>1324.2695130191953</v>
      </c>
      <c r="AK69" s="273">
        <f>AJ69*(1+'2. GRI Pricing Inputs'!$D$114)^((AK$16-AJ$16)/365)</f>
        <v>1328.5453431735541</v>
      </c>
      <c r="AL69" s="273">
        <f>AK69*(1+'2. GRI Pricing Inputs'!$D$114)^((AL$16-AK$16)/365)</f>
        <v>1332.9782053774925</v>
      </c>
      <c r="AM69" s="273">
        <f>AL69*(1+'2. GRI Pricing Inputs'!$D$114)^((AM$16-AL$16)/365)</f>
        <v>1337.4258583956248</v>
      </c>
      <c r="AN69" s="273">
        <f>AM69*(1+'2. GRI Pricing Inputs'!$D$114)^((AN$16-AM$16)/365)</f>
        <v>1341.7441680435675</v>
      </c>
      <c r="AO69" s="273">
        <f>AN69*(1+'2. GRI Pricing Inputs'!$D$114)^((AO$16-AN$16)/365)</f>
        <v>1346.2210698222207</v>
      </c>
    </row>
    <row r="70" spans="3:41" ht="12" x14ac:dyDescent="0.2">
      <c r="C70" s="76" t="str">
        <f>'1. Accomodation'!N74</f>
        <v>406N</v>
      </c>
      <c r="D70" s="69" t="str">
        <f>'1. Accomodation'!P74</f>
        <v>1 Bed</v>
      </c>
      <c r="E70" s="69">
        <f>'1. Accomodation'!Q74</f>
        <v>1</v>
      </c>
      <c r="F70" s="77">
        <f>'1. Accomodation'!O74</f>
        <v>441</v>
      </c>
      <c r="G70" s="69">
        <f>'1. Accomodation'!R74</f>
        <v>4</v>
      </c>
      <c r="H70" s="69" t="str">
        <f>'1. Accomodation'!S74</f>
        <v>Forth Banks</v>
      </c>
      <c r="I70" s="62"/>
      <c r="K70" s="272">
        <f>IFERROR(INDEX('2. GRI Pricing Inputs'!$C$15:$AI$16,MATCH($K$16,'2. GRI Pricing Inputs'!$C$15:$C$16,0),MATCH(D70,'2. GRI Pricing Inputs'!$C$15:$AI$15,0)),0)</f>
        <v>845</v>
      </c>
      <c r="L70" s="273">
        <f>IFERROR(INDEX('2. GRI Pricing Inputs'!$C$22:$AI$23,MATCH($L$16,'2. GRI Pricing Inputs'!$C$22:$C$23,0),MATCH(E70,'2. GRI Pricing Inputs'!$C$22:$AI$22,0)),0)</f>
        <v>0</v>
      </c>
      <c r="M70" s="328">
        <f>IF(AND('3. GRI Pricing'!$F70&gt;='2. GRI Pricing Inputs'!$D$33,'3. GRI Pricing'!$F70&lt;='2. GRI Pricing Inputs'!$E$33),'2. GRI Pricing Inputs'!$D$32,IF(AND('3. GRI Pricing'!$F70&gt;='2. GRI Pricing Inputs'!$F$33,'3. GRI Pricing'!$F70&lt;='2. GRI Pricing Inputs'!$G$33),'2. GRI Pricing Inputs'!$F$32,IF(AND('3. GRI Pricing'!$F70&gt;='2. GRI Pricing Inputs'!$H$33,'3. GRI Pricing'!$F70&lt;='2. GRI Pricing Inputs'!$I$33),'2. GRI Pricing Inputs'!$H$32,IF(AND('3. GRI Pricing'!$F70&gt;='2. GRI Pricing Inputs'!$J$33,'3. GRI Pricing'!$F70&lt;='2. GRI Pricing Inputs'!$K$33),'2. GRI Pricing Inputs'!$J$32,IF(AND('3. GRI Pricing'!$F70&gt;='2. GRI Pricing Inputs'!$L$33,'3. GRI Pricing'!$F70&lt;='2. GRI Pricing Inputs'!$M$33),'2. GRI Pricing Inputs'!$L$32,IF(AND('3. GRI Pricing'!$F70&gt;='2. GRI Pricing Inputs'!$N$33,'3. GRI Pricing'!$F70&lt;='2. GRI Pricing Inputs'!$O$33),'2. GRI Pricing Inputs'!$N$32,IF(AND('3. GRI Pricing'!$F70&gt;='2. GRI Pricing Inputs'!$P$33,'3. GRI Pricing'!$F70&lt;='2. GRI Pricing Inputs'!$Q$33),'2. GRI Pricing Inputs'!$P$32,IF(AND('3. GRI Pricing'!$F70&gt;='2. GRI Pricing Inputs'!$R$33,'3. GRI Pricing'!$F70&lt;='2. GRI Pricing Inputs'!$S$33),'2. GRI Pricing Inputs'!$R$32,IF(AND('3. GRI Pricing'!$F70&gt;='2. GRI Pricing Inputs'!$T$33,'3. GRI Pricing'!$F70&lt;='2. GRI Pricing Inputs'!$U$33),'2. GRI Pricing Inputs'!$T$32,IF(AND('3. GRI Pricing'!$F70&gt;='2. GRI Pricing Inputs'!$V$33,'3. GRI Pricing'!$F70&lt;='2. GRI Pricing Inputs'!$W$33),'2. GRI Pricing Inputs'!$V$32,IF(AND('3. GRI Pricing'!$F70&gt;='2. GRI Pricing Inputs'!$X$33,'3. GRI Pricing'!$F70&lt;='2. GRI Pricing Inputs'!$Y$33),'2. GRI Pricing Inputs'!$X$32,IF(AND('3. GRI Pricing'!$F70&gt;='2. GRI Pricing Inputs'!$Z$33,'3. GRI Pricing'!$F70&lt;='2. GRI Pricing Inputs'!$AA$33),'2. GRI Pricing Inputs'!$Z$32,IF(AND('3. GRI Pricing'!$F70&gt;='2. GRI Pricing Inputs'!$AB$33,'3. GRI Pricing'!$F70&lt;='2. GRI Pricing Inputs'!$AC$33),'2. GRI Pricing Inputs'!$AB$32,IF(AND('3. GRI Pricing'!$F70&gt;='2. GRI Pricing Inputs'!$AD$33,'3. GRI Pricing'!$F70&lt;='2. GRI Pricing Inputs'!$AE$33),'2. GRI Pricing Inputs'!$AD$32,IF(AND('3. GRI Pricing'!$F70&gt;='2. GRI Pricing Inputs'!$AF$33,'3. GRI Pricing'!$F70&lt;='2. GRI Pricing Inputs'!$AG$33),'2. GRI Pricing Inputs'!$AF$32,IF(AND('3. GRI Pricing'!$F70&gt;='2. GRI Pricing Inputs'!$AH$33,'3. GRI Pricing'!$F70&lt;='2. GRI Pricing Inputs'!$AI$33),'2. GRI Pricing Inputs'!$AH$32,0))))))))))))))))</f>
        <v>0</v>
      </c>
      <c r="N70" s="273" cm="1">
        <f t="array" ref="N70">IFERROR(INDEX('2. GRI Pricing Inputs'!$C$32:$AI$39,MATCH('3. GRI Pricing'!D70,'2. GRI Pricing Inputs'!$C$32:$C$39,0),(MATCH('3. GRI Pricing'!M70,'2. GRI Pricing Inputs'!$D$32:$AI$32,0)+1)),0)</f>
        <v>0</v>
      </c>
      <c r="O70" s="273">
        <f>IFERROR(INDEX('2. GRI Pricing Inputs'!$C$45:$AI$46,MATCH($O$16,'2. GRI Pricing Inputs'!$C$45:$C$46,0),MATCH(G70,'2. GRI Pricing Inputs'!$C$45:$AI$45,0)),0)</f>
        <v>70</v>
      </c>
      <c r="P70" s="273">
        <f>IFERROR(INDEX('2. GRI Pricing Inputs'!$C$53:$AI$54,MATCH('3. GRI Pricing'!$P$16,'2. GRI Pricing Inputs'!$C$53:$C$54,0),MATCH('3. GRI Pricing'!H70,'2. GRI Pricing Inputs'!$C$53:$AI$53,0)),0)</f>
        <v>5</v>
      </c>
      <c r="Q70" s="273">
        <f>IFERROR(INDEX('2. GRI Pricing Inputs'!$C$60:$AI$61,MATCH('3. GRI Pricing'!$Q$16,'2. GRI Pricing Inputs'!$C$60:$C$61,0),MATCH('1. Accomodation'!T74,'2. GRI Pricing Inputs'!$C$60:$AI$60,0)),0)</f>
        <v>0</v>
      </c>
      <c r="R70" s="273">
        <f>IFERROR(INDEX('2. GRI Pricing Inputs'!$C$67:$AI$68,MATCH('3. GRI Pricing'!$R$16,'2. GRI Pricing Inputs'!$C$67:$C$68,0),MATCH('1. Accomodation'!U74,'2. GRI Pricing Inputs'!$C$67:$AI$67,0)),0)</f>
        <v>0</v>
      </c>
      <c r="S70" s="273">
        <f>IF(D70=0,0,'2. GRI Pricing Inputs'!$AI$75)</f>
        <v>70</v>
      </c>
      <c r="T70" s="273">
        <f>IFERROR(INDEX('2. GRI Pricing Inputs'!$C$82:$AI$83,MATCH('3. GRI Pricing'!$T$16,'2. GRI Pricing Inputs'!$C$82:$C$83,0),MATCH('1. Accomodation'!V74,'2. GRI Pricing Inputs'!$C$82:$AI$82,0)),0)</f>
        <v>0</v>
      </c>
      <c r="U70" s="273">
        <f>IFERROR(INDEX('2. GRI Pricing Inputs'!$C$89:$AI$90,MATCH('3. GRI Pricing'!$U$16,'2. GRI Pricing Inputs'!$C$89:$C$90,0),MATCH('1. Accomodation'!W74,'2. GRI Pricing Inputs'!$C$89:$AI$89,0)),0)</f>
        <v>0</v>
      </c>
      <c r="V70" s="273">
        <f>IFERROR(INDEX('2. GRI Pricing Inputs'!$C$97:$AI$98,MATCH('3. GRI Pricing'!$V$16,'2. GRI Pricing Inputs'!$C$97:$C$98,0),MATCH('1. Accomodation'!X74,'2. GRI Pricing Inputs'!$C$97:$AI$97,0)),0)</f>
        <v>0</v>
      </c>
      <c r="W70" s="273">
        <f>IFERROR(INDEX('2. GRI Pricing Inputs'!$C$104:$AI$105,MATCH('3. GRI Pricing'!$W$16,'2. GRI Pricing Inputs'!$C$104:$C$105,0),MATCH('1. Accomodation'!Y74,'2. GRI Pricing Inputs'!$C$104:$AI$104,0)),0)</f>
        <v>0</v>
      </c>
      <c r="X70" s="274">
        <v>0</v>
      </c>
      <c r="Y70" s="275">
        <f t="shared" si="7"/>
        <v>990</v>
      </c>
      <c r="Z70" s="276"/>
      <c r="AA70" s="276"/>
      <c r="AB70" s="276"/>
      <c r="AC70" s="272">
        <f>Y70*(1+'2. GRI Pricing Inputs'!$D$114)^(($AC$16-$AB$15)/365)</f>
        <v>993.30326217652157</v>
      </c>
      <c r="AD70" s="273">
        <f>AC70*(1+'2. GRI Pricing Inputs'!$D$114)^((AD$16-AC$16)/365)</f>
        <v>996.51046131467456</v>
      </c>
      <c r="AE70" s="273">
        <f>AD70*(1+'2. GRI Pricing Inputs'!$D$114)^((AE$16-AD$16)/365)</f>
        <v>999.8354464817138</v>
      </c>
      <c r="AF70" s="273">
        <f>AE70*(1+'2. GRI Pricing Inputs'!$D$114)^((AF$16-AE$16)/365)</f>
        <v>1003.1715258888943</v>
      </c>
      <c r="AG70" s="273">
        <f>AF70*(1+'2. GRI Pricing Inputs'!$D$114)^((AG$16-AF$16)/365)</f>
        <v>1006.3024508491455</v>
      </c>
      <c r="AH70" s="273">
        <f>AG70*(1+'2. GRI Pricing Inputs'!$D$114)^((AH$16-AG$16)/365)</f>
        <v>1009.6601082471566</v>
      </c>
      <c r="AI70" s="273">
        <f>AH70*(1+'2. GRI Pricing Inputs'!$D$114)^((AI$16-AH$16)/365)</f>
        <v>1012.9201207250198</v>
      </c>
      <c r="AJ70" s="273">
        <f>AI70*(1+'2. GRI Pricing Inputs'!$D$114)^((AJ$16-AI$16)/365)</f>
        <v>1016.2998588286852</v>
      </c>
      <c r="AK70" s="273">
        <f>AJ70*(1+'2. GRI Pricing Inputs'!$D$114)^((AK$16-AJ$16)/365)</f>
        <v>1019.5813098773791</v>
      </c>
      <c r="AL70" s="273">
        <f>AK70*(1+'2. GRI Pricing Inputs'!$D$114)^((AL$16-AK$16)/365)</f>
        <v>1022.9832738943552</v>
      </c>
      <c r="AM70" s="273">
        <f>AL70*(1+'2. GRI Pricing Inputs'!$D$114)^((AM$16-AL$16)/365)</f>
        <v>1026.3965890012939</v>
      </c>
      <c r="AN70" s="273">
        <f>AM70*(1+'2. GRI Pricing Inputs'!$D$114)^((AN$16-AM$16)/365)</f>
        <v>1029.7106405915756</v>
      </c>
      <c r="AO70" s="273">
        <f>AN70*(1+'2. GRI Pricing Inputs'!$D$114)^((AO$16-AN$16)/365)</f>
        <v>1033.1464024217048</v>
      </c>
    </row>
    <row r="71" spans="3:41" ht="12" x14ac:dyDescent="0.2">
      <c r="C71" s="76" t="str">
        <f>'1. Accomodation'!N75</f>
        <v>407N</v>
      </c>
      <c r="D71" s="69" t="str">
        <f>'1. Accomodation'!P75</f>
        <v>2 Bed</v>
      </c>
      <c r="E71" s="69">
        <f>'1. Accomodation'!Q75</f>
        <v>2</v>
      </c>
      <c r="F71" s="77">
        <f>'1. Accomodation'!O75</f>
        <v>624</v>
      </c>
      <c r="G71" s="69">
        <f>'1. Accomodation'!R75</f>
        <v>4</v>
      </c>
      <c r="H71" s="69" t="str">
        <f>'1. Accomodation'!S75</f>
        <v>Forth Banks</v>
      </c>
      <c r="I71" s="62"/>
      <c r="K71" s="272">
        <f>IFERROR(INDEX('2. GRI Pricing Inputs'!$C$15:$AI$16,MATCH($K$16,'2. GRI Pricing Inputs'!$C$15:$C$16,0),MATCH(D71,'2. GRI Pricing Inputs'!$C$15:$AI$15,0)),0)</f>
        <v>1110</v>
      </c>
      <c r="L71" s="273">
        <f>IFERROR(INDEX('2. GRI Pricing Inputs'!$C$22:$AI$23,MATCH($L$16,'2. GRI Pricing Inputs'!$C$22:$C$23,0),MATCH(E71,'2. GRI Pricing Inputs'!$C$22:$AI$22,0)),0)</f>
        <v>0</v>
      </c>
      <c r="M71" s="328">
        <f>IF(AND('3. GRI Pricing'!$F71&gt;='2. GRI Pricing Inputs'!$D$33,'3. GRI Pricing'!$F71&lt;='2. GRI Pricing Inputs'!$E$33),'2. GRI Pricing Inputs'!$D$32,IF(AND('3. GRI Pricing'!$F71&gt;='2. GRI Pricing Inputs'!$F$33,'3. GRI Pricing'!$F71&lt;='2. GRI Pricing Inputs'!$G$33),'2. GRI Pricing Inputs'!$F$32,IF(AND('3. GRI Pricing'!$F71&gt;='2. GRI Pricing Inputs'!$H$33,'3. GRI Pricing'!$F71&lt;='2. GRI Pricing Inputs'!$I$33),'2. GRI Pricing Inputs'!$H$32,IF(AND('3. GRI Pricing'!$F71&gt;='2. GRI Pricing Inputs'!$J$33,'3. GRI Pricing'!$F71&lt;='2. GRI Pricing Inputs'!$K$33),'2. GRI Pricing Inputs'!$J$32,IF(AND('3. GRI Pricing'!$F71&gt;='2. GRI Pricing Inputs'!$L$33,'3. GRI Pricing'!$F71&lt;='2. GRI Pricing Inputs'!$M$33),'2. GRI Pricing Inputs'!$L$32,IF(AND('3. GRI Pricing'!$F71&gt;='2. GRI Pricing Inputs'!$N$33,'3. GRI Pricing'!$F71&lt;='2. GRI Pricing Inputs'!$O$33),'2. GRI Pricing Inputs'!$N$32,IF(AND('3. GRI Pricing'!$F71&gt;='2. GRI Pricing Inputs'!$P$33,'3. GRI Pricing'!$F71&lt;='2. GRI Pricing Inputs'!$Q$33),'2. GRI Pricing Inputs'!$P$32,IF(AND('3. GRI Pricing'!$F71&gt;='2. GRI Pricing Inputs'!$R$33,'3. GRI Pricing'!$F71&lt;='2. GRI Pricing Inputs'!$S$33),'2. GRI Pricing Inputs'!$R$32,IF(AND('3. GRI Pricing'!$F71&gt;='2. GRI Pricing Inputs'!$T$33,'3. GRI Pricing'!$F71&lt;='2. GRI Pricing Inputs'!$U$33),'2. GRI Pricing Inputs'!$T$32,IF(AND('3. GRI Pricing'!$F71&gt;='2. GRI Pricing Inputs'!$V$33,'3. GRI Pricing'!$F71&lt;='2. GRI Pricing Inputs'!$W$33),'2. GRI Pricing Inputs'!$V$32,IF(AND('3. GRI Pricing'!$F71&gt;='2. GRI Pricing Inputs'!$X$33,'3. GRI Pricing'!$F71&lt;='2. GRI Pricing Inputs'!$Y$33),'2. GRI Pricing Inputs'!$X$32,IF(AND('3. GRI Pricing'!$F71&gt;='2. GRI Pricing Inputs'!$Z$33,'3. GRI Pricing'!$F71&lt;='2. GRI Pricing Inputs'!$AA$33),'2. GRI Pricing Inputs'!$Z$32,IF(AND('3. GRI Pricing'!$F71&gt;='2. GRI Pricing Inputs'!$AB$33,'3. GRI Pricing'!$F71&lt;='2. GRI Pricing Inputs'!$AC$33),'2. GRI Pricing Inputs'!$AB$32,IF(AND('3. GRI Pricing'!$F71&gt;='2. GRI Pricing Inputs'!$AD$33,'3. GRI Pricing'!$F71&lt;='2. GRI Pricing Inputs'!$AE$33),'2. GRI Pricing Inputs'!$AD$32,IF(AND('3. GRI Pricing'!$F71&gt;='2. GRI Pricing Inputs'!$AF$33,'3. GRI Pricing'!$F71&lt;='2. GRI Pricing Inputs'!$AG$33),'2. GRI Pricing Inputs'!$AF$32,IF(AND('3. GRI Pricing'!$F71&gt;='2. GRI Pricing Inputs'!$AH$33,'3. GRI Pricing'!$F71&lt;='2. GRI Pricing Inputs'!$AI$33),'2. GRI Pricing Inputs'!$AH$32,0))))))))))))))))</f>
        <v>7</v>
      </c>
      <c r="N71" s="273" cm="1">
        <f t="array" ref="N71">IFERROR(INDEX('2. GRI Pricing Inputs'!$C$32:$AI$39,MATCH('3. GRI Pricing'!D71,'2. GRI Pricing Inputs'!$C$32:$C$39,0),(MATCH('3. GRI Pricing'!M71,'2. GRI Pricing Inputs'!$D$32:$AI$32,0)+1)),0)</f>
        <v>10</v>
      </c>
      <c r="O71" s="273">
        <f>IFERROR(INDEX('2. GRI Pricing Inputs'!$C$45:$AI$46,MATCH($O$16,'2. GRI Pricing Inputs'!$C$45:$C$46,0),MATCH(G71,'2. GRI Pricing Inputs'!$C$45:$AI$45,0)),0)</f>
        <v>70</v>
      </c>
      <c r="P71" s="273">
        <f>IFERROR(INDEX('2. GRI Pricing Inputs'!$C$53:$AI$54,MATCH('3. GRI Pricing'!$P$16,'2. GRI Pricing Inputs'!$C$53:$C$54,0),MATCH('3. GRI Pricing'!H71,'2. GRI Pricing Inputs'!$C$53:$AI$53,0)),0)</f>
        <v>5</v>
      </c>
      <c r="Q71" s="273">
        <f>IFERROR(INDEX('2. GRI Pricing Inputs'!$C$60:$AI$61,MATCH('3. GRI Pricing'!$Q$16,'2. GRI Pricing Inputs'!$C$60:$C$61,0),MATCH('1. Accomodation'!T75,'2. GRI Pricing Inputs'!$C$60:$AI$60,0)),0)</f>
        <v>0</v>
      </c>
      <c r="R71" s="273">
        <f>IFERROR(INDEX('2. GRI Pricing Inputs'!$C$67:$AI$68,MATCH('3. GRI Pricing'!$R$16,'2. GRI Pricing Inputs'!$C$67:$C$68,0),MATCH('1. Accomodation'!U75,'2. GRI Pricing Inputs'!$C$67:$AI$67,0)),0)</f>
        <v>0</v>
      </c>
      <c r="S71" s="273">
        <f>IF(D71=0,0,'2. GRI Pricing Inputs'!$AI$75)</f>
        <v>70</v>
      </c>
      <c r="T71" s="273">
        <f>IFERROR(INDEX('2. GRI Pricing Inputs'!$C$82:$AI$83,MATCH('3. GRI Pricing'!$T$16,'2. GRI Pricing Inputs'!$C$82:$C$83,0),MATCH('1. Accomodation'!V75,'2. GRI Pricing Inputs'!$C$82:$AI$82,0)),0)</f>
        <v>0</v>
      </c>
      <c r="U71" s="273">
        <f>IFERROR(INDEX('2. GRI Pricing Inputs'!$C$89:$AI$90,MATCH('3. GRI Pricing'!$U$16,'2. GRI Pricing Inputs'!$C$89:$C$90,0),MATCH('1. Accomodation'!W75,'2. GRI Pricing Inputs'!$C$89:$AI$89,0)),0)</f>
        <v>0</v>
      </c>
      <c r="V71" s="273">
        <f>IFERROR(INDEX('2. GRI Pricing Inputs'!$C$97:$AI$98,MATCH('3. GRI Pricing'!$V$16,'2. GRI Pricing Inputs'!$C$97:$C$98,0),MATCH('1. Accomodation'!X75,'2. GRI Pricing Inputs'!$C$97:$AI$97,0)),0)</f>
        <v>0</v>
      </c>
      <c r="W71" s="273">
        <f>IFERROR(INDEX('2. GRI Pricing Inputs'!$C$104:$AI$105,MATCH('3. GRI Pricing'!$W$16,'2. GRI Pricing Inputs'!$C$104:$C$105,0),MATCH('1. Accomodation'!Y75,'2. GRI Pricing Inputs'!$C$104:$AI$104,0)),0)</f>
        <v>0</v>
      </c>
      <c r="X71" s="274">
        <v>0</v>
      </c>
      <c r="Y71" s="275">
        <f t="shared" si="7"/>
        <v>1265</v>
      </c>
      <c r="Z71" s="276"/>
      <c r="AA71" s="276"/>
      <c r="AB71" s="276"/>
      <c r="AC71" s="272">
        <f>Y71*(1+'2. GRI Pricing Inputs'!$D$114)^(($AC$16-$AB$15)/365)</f>
        <v>1269.2208350033331</v>
      </c>
      <c r="AD71" s="273">
        <f>AC71*(1+'2. GRI Pricing Inputs'!$D$114)^((AD$16-AC$16)/365)</f>
        <v>1273.3189227909729</v>
      </c>
      <c r="AE71" s="273">
        <f>AD71*(1+'2. GRI Pricing Inputs'!$D$114)^((AE$16-AD$16)/365)</f>
        <v>1277.5675149488563</v>
      </c>
      <c r="AF71" s="273">
        <f>AE71*(1+'2. GRI Pricing Inputs'!$D$114)^((AF$16-AE$16)/365)</f>
        <v>1281.8302830802536</v>
      </c>
      <c r="AG71" s="273">
        <f>AF71*(1+'2. GRI Pricing Inputs'!$D$114)^((AG$16-AF$16)/365)</f>
        <v>1285.8309094183523</v>
      </c>
      <c r="AH71" s="273">
        <f>AG71*(1+'2. GRI Pricing Inputs'!$D$114)^((AH$16-AG$16)/365)</f>
        <v>1290.1212494269221</v>
      </c>
      <c r="AI71" s="273">
        <f>AH71*(1+'2. GRI Pricing Inputs'!$D$114)^((AI$16-AH$16)/365)</f>
        <v>1294.2868209264138</v>
      </c>
      <c r="AJ71" s="273">
        <f>AI71*(1+'2. GRI Pricing Inputs'!$D$114)^((AJ$16-AI$16)/365)</f>
        <v>1298.6053751699862</v>
      </c>
      <c r="AK71" s="273">
        <f>AJ71*(1+'2. GRI Pricing Inputs'!$D$114)^((AK$16-AJ$16)/365)</f>
        <v>1302.7983403988731</v>
      </c>
      <c r="AL71" s="273">
        <f>AK71*(1+'2. GRI Pricing Inputs'!$D$114)^((AL$16-AK$16)/365)</f>
        <v>1307.1452944205646</v>
      </c>
      <c r="AM71" s="273">
        <f>AL71*(1+'2. GRI Pricing Inputs'!$D$114)^((AM$16-AL$16)/365)</f>
        <v>1311.5067526127643</v>
      </c>
      <c r="AN71" s="273">
        <f>AM71*(1+'2. GRI Pricing Inputs'!$D$114)^((AN$16-AM$16)/365)</f>
        <v>1315.7413740892353</v>
      </c>
      <c r="AO71" s="273">
        <f>AN71*(1+'2. GRI Pricing Inputs'!$D$114)^((AO$16-AN$16)/365)</f>
        <v>1320.1315142055116</v>
      </c>
    </row>
    <row r="72" spans="3:41" ht="12" x14ac:dyDescent="0.2">
      <c r="C72" s="76" t="str">
        <f>'1. Accomodation'!N76</f>
        <v>408N</v>
      </c>
      <c r="D72" s="69" t="str">
        <f>'1. Accomodation'!P76</f>
        <v>2 Bed</v>
      </c>
      <c r="E72" s="69">
        <f>'1. Accomodation'!Q76</f>
        <v>2</v>
      </c>
      <c r="F72" s="77">
        <f>'1. Accomodation'!O76</f>
        <v>624</v>
      </c>
      <c r="G72" s="69">
        <f>'1. Accomodation'!R76</f>
        <v>4</v>
      </c>
      <c r="H72" s="69" t="str">
        <f>'1. Accomodation'!S76</f>
        <v>Forth Banks</v>
      </c>
      <c r="I72" s="62"/>
      <c r="K72" s="272">
        <f>IFERROR(INDEX('2. GRI Pricing Inputs'!$C$15:$AI$16,MATCH($K$16,'2. GRI Pricing Inputs'!$C$15:$C$16,0),MATCH(D72,'2. GRI Pricing Inputs'!$C$15:$AI$15,0)),0)</f>
        <v>1110</v>
      </c>
      <c r="L72" s="273">
        <f>IFERROR(INDEX('2. GRI Pricing Inputs'!$C$22:$AI$23,MATCH($L$16,'2. GRI Pricing Inputs'!$C$22:$C$23,0),MATCH(E72,'2. GRI Pricing Inputs'!$C$22:$AI$22,0)),0)</f>
        <v>0</v>
      </c>
      <c r="M72" s="328">
        <f>IF(AND('3. GRI Pricing'!$F72&gt;='2. GRI Pricing Inputs'!$D$33,'3. GRI Pricing'!$F72&lt;='2. GRI Pricing Inputs'!$E$33),'2. GRI Pricing Inputs'!$D$32,IF(AND('3. GRI Pricing'!$F72&gt;='2. GRI Pricing Inputs'!$F$33,'3. GRI Pricing'!$F72&lt;='2. GRI Pricing Inputs'!$G$33),'2. GRI Pricing Inputs'!$F$32,IF(AND('3. GRI Pricing'!$F72&gt;='2. GRI Pricing Inputs'!$H$33,'3. GRI Pricing'!$F72&lt;='2. GRI Pricing Inputs'!$I$33),'2. GRI Pricing Inputs'!$H$32,IF(AND('3. GRI Pricing'!$F72&gt;='2. GRI Pricing Inputs'!$J$33,'3. GRI Pricing'!$F72&lt;='2. GRI Pricing Inputs'!$K$33),'2. GRI Pricing Inputs'!$J$32,IF(AND('3. GRI Pricing'!$F72&gt;='2. GRI Pricing Inputs'!$L$33,'3. GRI Pricing'!$F72&lt;='2. GRI Pricing Inputs'!$M$33),'2. GRI Pricing Inputs'!$L$32,IF(AND('3. GRI Pricing'!$F72&gt;='2. GRI Pricing Inputs'!$N$33,'3. GRI Pricing'!$F72&lt;='2. GRI Pricing Inputs'!$O$33),'2. GRI Pricing Inputs'!$N$32,IF(AND('3. GRI Pricing'!$F72&gt;='2. GRI Pricing Inputs'!$P$33,'3. GRI Pricing'!$F72&lt;='2. GRI Pricing Inputs'!$Q$33),'2. GRI Pricing Inputs'!$P$32,IF(AND('3. GRI Pricing'!$F72&gt;='2. GRI Pricing Inputs'!$R$33,'3. GRI Pricing'!$F72&lt;='2. GRI Pricing Inputs'!$S$33),'2. GRI Pricing Inputs'!$R$32,IF(AND('3. GRI Pricing'!$F72&gt;='2. GRI Pricing Inputs'!$T$33,'3. GRI Pricing'!$F72&lt;='2. GRI Pricing Inputs'!$U$33),'2. GRI Pricing Inputs'!$T$32,IF(AND('3. GRI Pricing'!$F72&gt;='2. GRI Pricing Inputs'!$V$33,'3. GRI Pricing'!$F72&lt;='2. GRI Pricing Inputs'!$W$33),'2. GRI Pricing Inputs'!$V$32,IF(AND('3. GRI Pricing'!$F72&gt;='2. GRI Pricing Inputs'!$X$33,'3. GRI Pricing'!$F72&lt;='2. GRI Pricing Inputs'!$Y$33),'2. GRI Pricing Inputs'!$X$32,IF(AND('3. GRI Pricing'!$F72&gt;='2. GRI Pricing Inputs'!$Z$33,'3. GRI Pricing'!$F72&lt;='2. GRI Pricing Inputs'!$AA$33),'2. GRI Pricing Inputs'!$Z$32,IF(AND('3. GRI Pricing'!$F72&gt;='2. GRI Pricing Inputs'!$AB$33,'3. GRI Pricing'!$F72&lt;='2. GRI Pricing Inputs'!$AC$33),'2. GRI Pricing Inputs'!$AB$32,IF(AND('3. GRI Pricing'!$F72&gt;='2. GRI Pricing Inputs'!$AD$33,'3. GRI Pricing'!$F72&lt;='2. GRI Pricing Inputs'!$AE$33),'2. GRI Pricing Inputs'!$AD$32,IF(AND('3. GRI Pricing'!$F72&gt;='2. GRI Pricing Inputs'!$AF$33,'3. GRI Pricing'!$F72&lt;='2. GRI Pricing Inputs'!$AG$33),'2. GRI Pricing Inputs'!$AF$32,IF(AND('3. GRI Pricing'!$F72&gt;='2. GRI Pricing Inputs'!$AH$33,'3. GRI Pricing'!$F72&lt;='2. GRI Pricing Inputs'!$AI$33),'2. GRI Pricing Inputs'!$AH$32,0))))))))))))))))</f>
        <v>7</v>
      </c>
      <c r="N72" s="273" cm="1">
        <f t="array" ref="N72">IFERROR(INDEX('2. GRI Pricing Inputs'!$C$32:$AI$39,MATCH('3. GRI Pricing'!D72,'2. GRI Pricing Inputs'!$C$32:$C$39,0),(MATCH('3. GRI Pricing'!M72,'2. GRI Pricing Inputs'!$D$32:$AI$32,0)+1)),0)</f>
        <v>10</v>
      </c>
      <c r="O72" s="273">
        <f>IFERROR(INDEX('2. GRI Pricing Inputs'!$C$45:$AI$46,MATCH($O$16,'2. GRI Pricing Inputs'!$C$45:$C$46,0),MATCH(G72,'2. GRI Pricing Inputs'!$C$45:$AI$45,0)),0)</f>
        <v>70</v>
      </c>
      <c r="P72" s="273">
        <f>IFERROR(INDEX('2. GRI Pricing Inputs'!$C$53:$AI$54,MATCH('3. GRI Pricing'!$P$16,'2. GRI Pricing Inputs'!$C$53:$C$54,0),MATCH('3. GRI Pricing'!H72,'2. GRI Pricing Inputs'!$C$53:$AI$53,0)),0)</f>
        <v>5</v>
      </c>
      <c r="Q72" s="273">
        <f>IFERROR(INDEX('2. GRI Pricing Inputs'!$C$60:$AI$61,MATCH('3. GRI Pricing'!$Q$16,'2. GRI Pricing Inputs'!$C$60:$C$61,0),MATCH('1. Accomodation'!T76,'2. GRI Pricing Inputs'!$C$60:$AI$60,0)),0)</f>
        <v>0</v>
      </c>
      <c r="R72" s="273">
        <f>IFERROR(INDEX('2. GRI Pricing Inputs'!$C$67:$AI$68,MATCH('3. GRI Pricing'!$R$16,'2. GRI Pricing Inputs'!$C$67:$C$68,0),MATCH('1. Accomodation'!U76,'2. GRI Pricing Inputs'!$C$67:$AI$67,0)),0)</f>
        <v>0</v>
      </c>
      <c r="S72" s="273">
        <f>IF(D72=0,0,'2. GRI Pricing Inputs'!$AI$75)</f>
        <v>70</v>
      </c>
      <c r="T72" s="273">
        <f>IFERROR(INDEX('2. GRI Pricing Inputs'!$C$82:$AI$83,MATCH('3. GRI Pricing'!$T$16,'2. GRI Pricing Inputs'!$C$82:$C$83,0),MATCH('1. Accomodation'!V76,'2. GRI Pricing Inputs'!$C$82:$AI$82,0)),0)</f>
        <v>0</v>
      </c>
      <c r="U72" s="273">
        <f>IFERROR(INDEX('2. GRI Pricing Inputs'!$C$89:$AI$90,MATCH('3. GRI Pricing'!$U$16,'2. GRI Pricing Inputs'!$C$89:$C$90,0),MATCH('1. Accomodation'!W76,'2. GRI Pricing Inputs'!$C$89:$AI$89,0)),0)</f>
        <v>0</v>
      </c>
      <c r="V72" s="273">
        <f>IFERROR(INDEX('2. GRI Pricing Inputs'!$C$97:$AI$98,MATCH('3. GRI Pricing'!$V$16,'2. GRI Pricing Inputs'!$C$97:$C$98,0),MATCH('1. Accomodation'!X76,'2. GRI Pricing Inputs'!$C$97:$AI$97,0)),0)</f>
        <v>0</v>
      </c>
      <c r="W72" s="273">
        <f>IFERROR(INDEX('2. GRI Pricing Inputs'!$C$104:$AI$105,MATCH('3. GRI Pricing'!$W$16,'2. GRI Pricing Inputs'!$C$104:$C$105,0),MATCH('1. Accomodation'!Y76,'2. GRI Pricing Inputs'!$C$104:$AI$104,0)),0)</f>
        <v>0</v>
      </c>
      <c r="X72" s="274">
        <v>0</v>
      </c>
      <c r="Y72" s="275">
        <f t="shared" si="7"/>
        <v>1265</v>
      </c>
      <c r="Z72" s="276"/>
      <c r="AA72" s="276"/>
      <c r="AB72" s="276"/>
      <c r="AC72" s="272">
        <f>Y72*(1+'2. GRI Pricing Inputs'!$D$114)^(($AC$16-$AB$15)/365)</f>
        <v>1269.2208350033331</v>
      </c>
      <c r="AD72" s="273">
        <f>AC72*(1+'2. GRI Pricing Inputs'!$D$114)^((AD$16-AC$16)/365)</f>
        <v>1273.3189227909729</v>
      </c>
      <c r="AE72" s="273">
        <f>AD72*(1+'2. GRI Pricing Inputs'!$D$114)^((AE$16-AD$16)/365)</f>
        <v>1277.5675149488563</v>
      </c>
      <c r="AF72" s="273">
        <f>AE72*(1+'2. GRI Pricing Inputs'!$D$114)^((AF$16-AE$16)/365)</f>
        <v>1281.8302830802536</v>
      </c>
      <c r="AG72" s="273">
        <f>AF72*(1+'2. GRI Pricing Inputs'!$D$114)^((AG$16-AF$16)/365)</f>
        <v>1285.8309094183523</v>
      </c>
      <c r="AH72" s="273">
        <f>AG72*(1+'2. GRI Pricing Inputs'!$D$114)^((AH$16-AG$16)/365)</f>
        <v>1290.1212494269221</v>
      </c>
      <c r="AI72" s="273">
        <f>AH72*(1+'2. GRI Pricing Inputs'!$D$114)^((AI$16-AH$16)/365)</f>
        <v>1294.2868209264138</v>
      </c>
      <c r="AJ72" s="273">
        <f>AI72*(1+'2. GRI Pricing Inputs'!$D$114)^((AJ$16-AI$16)/365)</f>
        <v>1298.6053751699862</v>
      </c>
      <c r="AK72" s="273">
        <f>AJ72*(1+'2. GRI Pricing Inputs'!$D$114)^((AK$16-AJ$16)/365)</f>
        <v>1302.7983403988731</v>
      </c>
      <c r="AL72" s="273">
        <f>AK72*(1+'2. GRI Pricing Inputs'!$D$114)^((AL$16-AK$16)/365)</f>
        <v>1307.1452944205646</v>
      </c>
      <c r="AM72" s="273">
        <f>AL72*(1+'2. GRI Pricing Inputs'!$D$114)^((AM$16-AL$16)/365)</f>
        <v>1311.5067526127643</v>
      </c>
      <c r="AN72" s="273">
        <f>AM72*(1+'2. GRI Pricing Inputs'!$D$114)^((AN$16-AM$16)/365)</f>
        <v>1315.7413740892353</v>
      </c>
      <c r="AO72" s="273">
        <f>AN72*(1+'2. GRI Pricing Inputs'!$D$114)^((AO$16-AN$16)/365)</f>
        <v>1320.1315142055116</v>
      </c>
    </row>
    <row r="73" spans="3:41" ht="12" x14ac:dyDescent="0.2">
      <c r="C73" s="76" t="str">
        <f>'1. Accomodation'!N77</f>
        <v>409N</v>
      </c>
      <c r="D73" s="69" t="str">
        <f>'1. Accomodation'!P77</f>
        <v>2 Bed</v>
      </c>
      <c r="E73" s="69">
        <f>'1. Accomodation'!Q77</f>
        <v>2</v>
      </c>
      <c r="F73" s="77">
        <f>'1. Accomodation'!O77</f>
        <v>657</v>
      </c>
      <c r="G73" s="69">
        <f>'1. Accomodation'!R77</f>
        <v>4</v>
      </c>
      <c r="H73" s="69" t="str">
        <f>'1. Accomodation'!S77</f>
        <v>River - Partial</v>
      </c>
      <c r="I73" s="62"/>
      <c r="K73" s="272">
        <f>IFERROR(INDEX('2. GRI Pricing Inputs'!$C$15:$AI$16,MATCH($K$16,'2. GRI Pricing Inputs'!$C$15:$C$16,0),MATCH(D73,'2. GRI Pricing Inputs'!$C$15:$AI$15,0)),0)</f>
        <v>1110</v>
      </c>
      <c r="L73" s="273">
        <f>IFERROR(INDEX('2. GRI Pricing Inputs'!$C$22:$AI$23,MATCH($L$16,'2. GRI Pricing Inputs'!$C$22:$C$23,0),MATCH(E73,'2. GRI Pricing Inputs'!$C$22:$AI$22,0)),0)</f>
        <v>0</v>
      </c>
      <c r="M73" s="328">
        <f>IF(AND('3. GRI Pricing'!$F73&gt;='2. GRI Pricing Inputs'!$D$33,'3. GRI Pricing'!$F73&lt;='2. GRI Pricing Inputs'!$E$33),'2. GRI Pricing Inputs'!$D$32,IF(AND('3. GRI Pricing'!$F73&gt;='2. GRI Pricing Inputs'!$F$33,'3. GRI Pricing'!$F73&lt;='2. GRI Pricing Inputs'!$G$33),'2. GRI Pricing Inputs'!$F$32,IF(AND('3. GRI Pricing'!$F73&gt;='2. GRI Pricing Inputs'!$H$33,'3. GRI Pricing'!$F73&lt;='2. GRI Pricing Inputs'!$I$33),'2. GRI Pricing Inputs'!$H$32,IF(AND('3. GRI Pricing'!$F73&gt;='2. GRI Pricing Inputs'!$J$33,'3. GRI Pricing'!$F73&lt;='2. GRI Pricing Inputs'!$K$33),'2. GRI Pricing Inputs'!$J$32,IF(AND('3. GRI Pricing'!$F73&gt;='2. GRI Pricing Inputs'!$L$33,'3. GRI Pricing'!$F73&lt;='2. GRI Pricing Inputs'!$M$33),'2. GRI Pricing Inputs'!$L$32,IF(AND('3. GRI Pricing'!$F73&gt;='2. GRI Pricing Inputs'!$N$33,'3. GRI Pricing'!$F73&lt;='2. GRI Pricing Inputs'!$O$33),'2. GRI Pricing Inputs'!$N$32,IF(AND('3. GRI Pricing'!$F73&gt;='2. GRI Pricing Inputs'!$P$33,'3. GRI Pricing'!$F73&lt;='2. GRI Pricing Inputs'!$Q$33),'2. GRI Pricing Inputs'!$P$32,IF(AND('3. GRI Pricing'!$F73&gt;='2. GRI Pricing Inputs'!$R$33,'3. GRI Pricing'!$F73&lt;='2. GRI Pricing Inputs'!$S$33),'2. GRI Pricing Inputs'!$R$32,IF(AND('3. GRI Pricing'!$F73&gt;='2. GRI Pricing Inputs'!$T$33,'3. GRI Pricing'!$F73&lt;='2. GRI Pricing Inputs'!$U$33),'2. GRI Pricing Inputs'!$T$32,IF(AND('3. GRI Pricing'!$F73&gt;='2. GRI Pricing Inputs'!$V$33,'3. GRI Pricing'!$F73&lt;='2. GRI Pricing Inputs'!$W$33),'2. GRI Pricing Inputs'!$V$32,IF(AND('3. GRI Pricing'!$F73&gt;='2. GRI Pricing Inputs'!$X$33,'3. GRI Pricing'!$F73&lt;='2. GRI Pricing Inputs'!$Y$33),'2. GRI Pricing Inputs'!$X$32,IF(AND('3. GRI Pricing'!$F73&gt;='2. GRI Pricing Inputs'!$Z$33,'3. GRI Pricing'!$F73&lt;='2. GRI Pricing Inputs'!$AA$33),'2. GRI Pricing Inputs'!$Z$32,IF(AND('3. GRI Pricing'!$F73&gt;='2. GRI Pricing Inputs'!$AB$33,'3. GRI Pricing'!$F73&lt;='2. GRI Pricing Inputs'!$AC$33),'2. GRI Pricing Inputs'!$AB$32,IF(AND('3. GRI Pricing'!$F73&gt;='2. GRI Pricing Inputs'!$AD$33,'3. GRI Pricing'!$F73&lt;='2. GRI Pricing Inputs'!$AE$33),'2. GRI Pricing Inputs'!$AD$32,IF(AND('3. GRI Pricing'!$F73&gt;='2. GRI Pricing Inputs'!$AF$33,'3. GRI Pricing'!$F73&lt;='2. GRI Pricing Inputs'!$AG$33),'2. GRI Pricing Inputs'!$AF$32,IF(AND('3. GRI Pricing'!$F73&gt;='2. GRI Pricing Inputs'!$AH$33,'3. GRI Pricing'!$F73&lt;='2. GRI Pricing Inputs'!$AI$33),'2. GRI Pricing Inputs'!$AH$32,0))))))))))))))))</f>
        <v>8</v>
      </c>
      <c r="N73" s="273" cm="1">
        <f t="array" ref="N73">IFERROR(INDEX('2. GRI Pricing Inputs'!$C$32:$AI$39,MATCH('3. GRI Pricing'!D73,'2. GRI Pricing Inputs'!$C$32:$C$39,0),(MATCH('3. GRI Pricing'!M73,'2. GRI Pricing Inputs'!$D$32:$AI$32,0)+1)),0)</f>
        <v>20</v>
      </c>
      <c r="O73" s="273">
        <f>IFERROR(INDEX('2. GRI Pricing Inputs'!$C$45:$AI$46,MATCH($O$16,'2. GRI Pricing Inputs'!$C$45:$C$46,0),MATCH(G73,'2. GRI Pricing Inputs'!$C$45:$AI$45,0)),0)</f>
        <v>70</v>
      </c>
      <c r="P73" s="273">
        <f>IFERROR(INDEX('2. GRI Pricing Inputs'!$C$53:$AI$54,MATCH('3. GRI Pricing'!$P$16,'2. GRI Pricing Inputs'!$C$53:$C$54,0),MATCH('3. GRI Pricing'!H73,'2. GRI Pricing Inputs'!$C$53:$AI$53,0)),0)</f>
        <v>45</v>
      </c>
      <c r="Q73" s="273">
        <f>IFERROR(INDEX('2. GRI Pricing Inputs'!$C$60:$AI$61,MATCH('3. GRI Pricing'!$Q$16,'2. GRI Pricing Inputs'!$C$60:$C$61,0),MATCH('1. Accomodation'!T77,'2. GRI Pricing Inputs'!$C$60:$AI$60,0)),0)</f>
        <v>0</v>
      </c>
      <c r="R73" s="273">
        <f>IFERROR(INDEX('2. GRI Pricing Inputs'!$C$67:$AI$68,MATCH('3. GRI Pricing'!$R$16,'2. GRI Pricing Inputs'!$C$67:$C$68,0),MATCH('1. Accomodation'!U77,'2. GRI Pricing Inputs'!$C$67:$AI$67,0)),0)</f>
        <v>0</v>
      </c>
      <c r="S73" s="273">
        <f>IF(D73=0,0,'2. GRI Pricing Inputs'!$AI$75)</f>
        <v>70</v>
      </c>
      <c r="T73" s="273">
        <f>IFERROR(INDEX('2. GRI Pricing Inputs'!$C$82:$AI$83,MATCH('3. GRI Pricing'!$T$16,'2. GRI Pricing Inputs'!$C$82:$C$83,0),MATCH('1. Accomodation'!V77,'2. GRI Pricing Inputs'!$C$82:$AI$82,0)),0)</f>
        <v>0</v>
      </c>
      <c r="U73" s="273">
        <f>IFERROR(INDEX('2. GRI Pricing Inputs'!$C$89:$AI$90,MATCH('3. GRI Pricing'!$U$16,'2. GRI Pricing Inputs'!$C$89:$C$90,0),MATCH('1. Accomodation'!W77,'2. GRI Pricing Inputs'!$C$89:$AI$89,0)),0)</f>
        <v>0</v>
      </c>
      <c r="V73" s="273">
        <f>IFERROR(INDEX('2. GRI Pricing Inputs'!$C$97:$AI$98,MATCH('3. GRI Pricing'!$V$16,'2. GRI Pricing Inputs'!$C$97:$C$98,0),MATCH('1. Accomodation'!X77,'2. GRI Pricing Inputs'!$C$97:$AI$97,0)),0)</f>
        <v>0</v>
      </c>
      <c r="W73" s="273">
        <f>IFERROR(INDEX('2. GRI Pricing Inputs'!$C$104:$AI$105,MATCH('3. GRI Pricing'!$W$16,'2. GRI Pricing Inputs'!$C$104:$C$105,0),MATCH('1. Accomodation'!Y77,'2. GRI Pricing Inputs'!$C$104:$AI$104,0)),0)</f>
        <v>0</v>
      </c>
      <c r="X73" s="274">
        <v>0</v>
      </c>
      <c r="Y73" s="275">
        <f t="shared" si="7"/>
        <v>1315</v>
      </c>
      <c r="Z73" s="276"/>
      <c r="AA73" s="276"/>
      <c r="AB73" s="276"/>
      <c r="AC73" s="272">
        <f>Y73*(1+'2. GRI Pricing Inputs'!$D$114)^(($AC$16-$AB$15)/365)</f>
        <v>1319.3876664263898</v>
      </c>
      <c r="AD73" s="273">
        <f>AC73*(1+'2. GRI Pricing Inputs'!$D$114)^((AD$16-AC$16)/365)</f>
        <v>1323.6477339684818</v>
      </c>
      <c r="AE73" s="273">
        <f>AD73*(1+'2. GRI Pricing Inputs'!$D$114)^((AE$16-AD$16)/365)</f>
        <v>1328.0642546701552</v>
      </c>
      <c r="AF73" s="273">
        <f>AE73*(1+'2. GRI Pricing Inputs'!$D$114)^((AF$16-AE$16)/365)</f>
        <v>1332.4955116605008</v>
      </c>
      <c r="AG73" s="273">
        <f>AF73*(1+'2. GRI Pricing Inputs'!$D$114)^((AG$16-AF$16)/365)</f>
        <v>1336.6542655218448</v>
      </c>
      <c r="AH73" s="273">
        <f>AG73*(1+'2. GRI Pricing Inputs'!$D$114)^((AH$16-AG$16)/365)</f>
        <v>1341.1141841868796</v>
      </c>
      <c r="AI73" s="273">
        <f>AH73*(1+'2. GRI Pricing Inputs'!$D$114)^((AI$16-AH$16)/365)</f>
        <v>1345.4444027812131</v>
      </c>
      <c r="AJ73" s="273">
        <f>AI73*(1+'2. GRI Pricing Inputs'!$D$114)^((AJ$16-AI$16)/365)</f>
        <v>1349.9336508684048</v>
      </c>
      <c r="AK73" s="273">
        <f>AJ73*(1+'2. GRI Pricing Inputs'!$D$114)^((AK$16-AJ$16)/365)</f>
        <v>1354.2923459482358</v>
      </c>
      <c r="AL73" s="273">
        <f>AK73*(1+'2. GRI Pricing Inputs'!$D$114)^((AL$16-AK$16)/365)</f>
        <v>1358.8111163344213</v>
      </c>
      <c r="AM73" s="273">
        <f>AL73*(1+'2. GRI Pricing Inputs'!$D$114)^((AM$16-AL$16)/365)</f>
        <v>1363.3449641784864</v>
      </c>
      <c r="AN73" s="273">
        <f>AM73*(1+'2. GRI Pricing Inputs'!$D$114)^((AN$16-AM$16)/365)</f>
        <v>1367.7469619979011</v>
      </c>
      <c r="AO73" s="273">
        <f>AN73*(1+'2. GRI Pricing Inputs'!$D$114)^((AO$16-AN$16)/365)</f>
        <v>1372.3106254389313</v>
      </c>
    </row>
    <row r="74" spans="3:41" ht="12" x14ac:dyDescent="0.2">
      <c r="C74" s="76" t="str">
        <f>'1. Accomodation'!N78</f>
        <v>410N</v>
      </c>
      <c r="D74" s="69" t="str">
        <f>'1. Accomodation'!P78</f>
        <v>2 Bed</v>
      </c>
      <c r="E74" s="69">
        <f>'1. Accomodation'!Q78</f>
        <v>2</v>
      </c>
      <c r="F74" s="77">
        <f>'1. Accomodation'!O78</f>
        <v>700</v>
      </c>
      <c r="G74" s="69">
        <f>'1. Accomodation'!R78</f>
        <v>4</v>
      </c>
      <c r="H74" s="69" t="str">
        <f>'1. Accomodation'!S78</f>
        <v>Forth Banks - Partial</v>
      </c>
      <c r="I74" s="62"/>
      <c r="K74" s="272">
        <f>IFERROR(INDEX('2. GRI Pricing Inputs'!$C$15:$AI$16,MATCH($K$16,'2. GRI Pricing Inputs'!$C$15:$C$16,0),MATCH(D74,'2. GRI Pricing Inputs'!$C$15:$AI$15,0)),0)</f>
        <v>1110</v>
      </c>
      <c r="L74" s="273">
        <f>IFERROR(INDEX('2. GRI Pricing Inputs'!$C$22:$AI$23,MATCH($L$16,'2. GRI Pricing Inputs'!$C$22:$C$23,0),MATCH(E74,'2. GRI Pricing Inputs'!$C$22:$AI$22,0)),0)</f>
        <v>0</v>
      </c>
      <c r="M74" s="328">
        <f>IF(AND('3. GRI Pricing'!$F74&gt;='2. GRI Pricing Inputs'!$D$33,'3. GRI Pricing'!$F74&lt;='2. GRI Pricing Inputs'!$E$33),'2. GRI Pricing Inputs'!$D$32,IF(AND('3. GRI Pricing'!$F74&gt;='2. GRI Pricing Inputs'!$F$33,'3. GRI Pricing'!$F74&lt;='2. GRI Pricing Inputs'!$G$33),'2. GRI Pricing Inputs'!$F$32,IF(AND('3. GRI Pricing'!$F74&gt;='2. GRI Pricing Inputs'!$H$33,'3. GRI Pricing'!$F74&lt;='2. GRI Pricing Inputs'!$I$33),'2. GRI Pricing Inputs'!$H$32,IF(AND('3. GRI Pricing'!$F74&gt;='2. GRI Pricing Inputs'!$J$33,'3. GRI Pricing'!$F74&lt;='2. GRI Pricing Inputs'!$K$33),'2. GRI Pricing Inputs'!$J$32,IF(AND('3. GRI Pricing'!$F74&gt;='2. GRI Pricing Inputs'!$L$33,'3. GRI Pricing'!$F74&lt;='2. GRI Pricing Inputs'!$M$33),'2. GRI Pricing Inputs'!$L$32,IF(AND('3. GRI Pricing'!$F74&gt;='2. GRI Pricing Inputs'!$N$33,'3. GRI Pricing'!$F74&lt;='2. GRI Pricing Inputs'!$O$33),'2. GRI Pricing Inputs'!$N$32,IF(AND('3. GRI Pricing'!$F74&gt;='2. GRI Pricing Inputs'!$P$33,'3. GRI Pricing'!$F74&lt;='2. GRI Pricing Inputs'!$Q$33),'2. GRI Pricing Inputs'!$P$32,IF(AND('3. GRI Pricing'!$F74&gt;='2. GRI Pricing Inputs'!$R$33,'3. GRI Pricing'!$F74&lt;='2. GRI Pricing Inputs'!$S$33),'2. GRI Pricing Inputs'!$R$32,IF(AND('3. GRI Pricing'!$F74&gt;='2. GRI Pricing Inputs'!$T$33,'3. GRI Pricing'!$F74&lt;='2. GRI Pricing Inputs'!$U$33),'2. GRI Pricing Inputs'!$T$32,IF(AND('3. GRI Pricing'!$F74&gt;='2. GRI Pricing Inputs'!$V$33,'3. GRI Pricing'!$F74&lt;='2. GRI Pricing Inputs'!$W$33),'2. GRI Pricing Inputs'!$V$32,IF(AND('3. GRI Pricing'!$F74&gt;='2. GRI Pricing Inputs'!$X$33,'3. GRI Pricing'!$F74&lt;='2. GRI Pricing Inputs'!$Y$33),'2. GRI Pricing Inputs'!$X$32,IF(AND('3. GRI Pricing'!$F74&gt;='2. GRI Pricing Inputs'!$Z$33,'3. GRI Pricing'!$F74&lt;='2. GRI Pricing Inputs'!$AA$33),'2. GRI Pricing Inputs'!$Z$32,IF(AND('3. GRI Pricing'!$F74&gt;='2. GRI Pricing Inputs'!$AB$33,'3. GRI Pricing'!$F74&lt;='2. GRI Pricing Inputs'!$AC$33),'2. GRI Pricing Inputs'!$AB$32,IF(AND('3. GRI Pricing'!$F74&gt;='2. GRI Pricing Inputs'!$AD$33,'3. GRI Pricing'!$F74&lt;='2. GRI Pricing Inputs'!$AE$33),'2. GRI Pricing Inputs'!$AD$32,IF(AND('3. GRI Pricing'!$F74&gt;='2. GRI Pricing Inputs'!$AF$33,'3. GRI Pricing'!$F74&lt;='2. GRI Pricing Inputs'!$AG$33),'2. GRI Pricing Inputs'!$AF$32,IF(AND('3. GRI Pricing'!$F74&gt;='2. GRI Pricing Inputs'!$AH$33,'3. GRI Pricing'!$F74&lt;='2. GRI Pricing Inputs'!$AI$33),'2. GRI Pricing Inputs'!$AH$32,0))))))))))))))))</f>
        <v>12</v>
      </c>
      <c r="N74" s="273" cm="1">
        <f t="array" ref="N74">IFERROR(INDEX('2. GRI Pricing Inputs'!$C$32:$AI$39,MATCH('3. GRI Pricing'!D74,'2. GRI Pricing Inputs'!$C$32:$C$39,0),(MATCH('3. GRI Pricing'!M74,'2. GRI Pricing Inputs'!$D$32:$AI$32,0)+1)),0)</f>
        <v>70</v>
      </c>
      <c r="O74" s="273">
        <f>IFERROR(INDEX('2. GRI Pricing Inputs'!$C$45:$AI$46,MATCH($O$16,'2. GRI Pricing Inputs'!$C$45:$C$46,0),MATCH(G74,'2. GRI Pricing Inputs'!$C$45:$AI$45,0)),0)</f>
        <v>70</v>
      </c>
      <c r="P74" s="273">
        <f>IFERROR(INDEX('2. GRI Pricing Inputs'!$C$53:$AI$54,MATCH('3. GRI Pricing'!$P$16,'2. GRI Pricing Inputs'!$C$53:$C$54,0),MATCH('3. GRI Pricing'!H74,'2. GRI Pricing Inputs'!$C$53:$AI$53,0)),0)</f>
        <v>40</v>
      </c>
      <c r="Q74" s="273">
        <f>IFERROR(INDEX('2. GRI Pricing Inputs'!$C$60:$AI$61,MATCH('3. GRI Pricing'!$Q$16,'2. GRI Pricing Inputs'!$C$60:$C$61,0),MATCH('1. Accomodation'!T78,'2. GRI Pricing Inputs'!$C$60:$AI$60,0)),0)</f>
        <v>0</v>
      </c>
      <c r="R74" s="273">
        <f>IFERROR(INDEX('2. GRI Pricing Inputs'!$C$67:$AI$68,MATCH('3. GRI Pricing'!$R$16,'2. GRI Pricing Inputs'!$C$67:$C$68,0),MATCH('1. Accomodation'!U78,'2. GRI Pricing Inputs'!$C$67:$AI$67,0)),0)</f>
        <v>0</v>
      </c>
      <c r="S74" s="273">
        <f>IF(D74=0,0,'2. GRI Pricing Inputs'!$AI$75)</f>
        <v>70</v>
      </c>
      <c r="T74" s="273">
        <f>IFERROR(INDEX('2. GRI Pricing Inputs'!$C$82:$AI$83,MATCH('3. GRI Pricing'!$T$16,'2. GRI Pricing Inputs'!$C$82:$C$83,0),MATCH('1. Accomodation'!V78,'2. GRI Pricing Inputs'!$C$82:$AI$82,0)),0)</f>
        <v>0</v>
      </c>
      <c r="U74" s="273">
        <f>IFERROR(INDEX('2. GRI Pricing Inputs'!$C$89:$AI$90,MATCH('3. GRI Pricing'!$U$16,'2. GRI Pricing Inputs'!$C$89:$C$90,0),MATCH('1. Accomodation'!W78,'2. GRI Pricing Inputs'!$C$89:$AI$89,0)),0)</f>
        <v>0</v>
      </c>
      <c r="V74" s="273">
        <f>IFERROR(INDEX('2. GRI Pricing Inputs'!$C$97:$AI$98,MATCH('3. GRI Pricing'!$V$16,'2. GRI Pricing Inputs'!$C$97:$C$98,0),MATCH('1. Accomodation'!X78,'2. GRI Pricing Inputs'!$C$97:$AI$97,0)),0)</f>
        <v>0</v>
      </c>
      <c r="W74" s="273">
        <f>IFERROR(INDEX('2. GRI Pricing Inputs'!$C$104:$AI$105,MATCH('3. GRI Pricing'!$W$16,'2. GRI Pricing Inputs'!$C$104:$C$105,0),MATCH('1. Accomodation'!Y78,'2. GRI Pricing Inputs'!$C$104:$AI$104,0)),0)</f>
        <v>0</v>
      </c>
      <c r="X74" s="274">
        <v>0</v>
      </c>
      <c r="Y74" s="275">
        <f t="shared" si="7"/>
        <v>1360</v>
      </c>
      <c r="Z74" s="276"/>
      <c r="AA74" s="276"/>
      <c r="AB74" s="276"/>
      <c r="AC74" s="272">
        <f>Y74*(1+'2. GRI Pricing Inputs'!$D$114)^(($AC$16-$AB$15)/365)</f>
        <v>1364.5378147071408</v>
      </c>
      <c r="AD74" s="273">
        <f>AC74*(1+'2. GRI Pricing Inputs'!$D$114)^((AD$16-AC$16)/365)</f>
        <v>1368.9436640282397</v>
      </c>
      <c r="AE74" s="273">
        <f>AD74*(1+'2. GRI Pricing Inputs'!$D$114)^((AE$16-AD$16)/365)</f>
        <v>1373.511320419324</v>
      </c>
      <c r="AF74" s="273">
        <f>AE74*(1+'2. GRI Pricing Inputs'!$D$114)^((AF$16-AE$16)/365)</f>
        <v>1378.0942173827234</v>
      </c>
      <c r="AG74" s="273">
        <f>AF74*(1+'2. GRI Pricing Inputs'!$D$114)^((AG$16-AF$16)/365)</f>
        <v>1382.3952860149877</v>
      </c>
      <c r="AH74" s="273">
        <f>AG74*(1+'2. GRI Pricing Inputs'!$D$114)^((AH$16-AG$16)/365)</f>
        <v>1387.0078254708412</v>
      </c>
      <c r="AI74" s="273">
        <f>AH74*(1+'2. GRI Pricing Inputs'!$D$114)^((AI$16-AH$16)/365)</f>
        <v>1391.4862264505321</v>
      </c>
      <c r="AJ74" s="273">
        <f>AI74*(1+'2. GRI Pricing Inputs'!$D$114)^((AJ$16-AI$16)/365)</f>
        <v>1396.1290989969814</v>
      </c>
      <c r="AK74" s="273">
        <f>AJ74*(1+'2. GRI Pricing Inputs'!$D$114)^((AK$16-AJ$16)/365)</f>
        <v>1400.636950942662</v>
      </c>
      <c r="AL74" s="273">
        <f>AK74*(1+'2. GRI Pricing Inputs'!$D$114)^((AL$16-AK$16)/365)</f>
        <v>1405.3103560568918</v>
      </c>
      <c r="AM74" s="273">
        <f>AL74*(1+'2. GRI Pricing Inputs'!$D$114)^((AM$16-AL$16)/365)</f>
        <v>1409.9993545876362</v>
      </c>
      <c r="AN74" s="273">
        <f>AM74*(1+'2. GRI Pricing Inputs'!$D$114)^((AN$16-AM$16)/365)</f>
        <v>1414.5519911156998</v>
      </c>
      <c r="AO74" s="273">
        <f>AN74*(1+'2. GRI Pricing Inputs'!$D$114)^((AO$16-AN$16)/365)</f>
        <v>1419.2718255490088</v>
      </c>
    </row>
    <row r="75" spans="3:41" ht="12" x14ac:dyDescent="0.2">
      <c r="C75" s="76" t="str">
        <f>'1. Accomodation'!N79</f>
        <v>411N</v>
      </c>
      <c r="D75" s="69" t="str">
        <f>'1. Accomodation'!P79</f>
        <v>2 Bed</v>
      </c>
      <c r="E75" s="69">
        <f>'1. Accomodation'!Q79</f>
        <v>2</v>
      </c>
      <c r="F75" s="77">
        <f>'1. Accomodation'!O79</f>
        <v>689</v>
      </c>
      <c r="G75" s="69">
        <f>'1. Accomodation'!R79</f>
        <v>4</v>
      </c>
      <c r="H75" s="69" t="str">
        <f>'1. Accomodation'!S79</f>
        <v>Courtyard - dual</v>
      </c>
      <c r="I75" s="62"/>
      <c r="K75" s="272">
        <f>IFERROR(INDEX('2. GRI Pricing Inputs'!$C$15:$AI$16,MATCH($K$16,'2. GRI Pricing Inputs'!$C$15:$C$16,0),MATCH(D75,'2. GRI Pricing Inputs'!$C$15:$AI$15,0)),0)</f>
        <v>1110</v>
      </c>
      <c r="L75" s="273">
        <f>IFERROR(INDEX('2. GRI Pricing Inputs'!$C$22:$AI$23,MATCH($L$16,'2. GRI Pricing Inputs'!$C$22:$C$23,0),MATCH(E75,'2. GRI Pricing Inputs'!$C$22:$AI$22,0)),0)</f>
        <v>0</v>
      </c>
      <c r="M75" s="328">
        <f>IF(AND('3. GRI Pricing'!$F75&gt;='2. GRI Pricing Inputs'!$D$33,'3. GRI Pricing'!$F75&lt;='2. GRI Pricing Inputs'!$E$33),'2. GRI Pricing Inputs'!$D$32,IF(AND('3. GRI Pricing'!$F75&gt;='2. GRI Pricing Inputs'!$F$33,'3. GRI Pricing'!$F75&lt;='2. GRI Pricing Inputs'!$G$33),'2. GRI Pricing Inputs'!$F$32,IF(AND('3. GRI Pricing'!$F75&gt;='2. GRI Pricing Inputs'!$H$33,'3. GRI Pricing'!$F75&lt;='2. GRI Pricing Inputs'!$I$33),'2. GRI Pricing Inputs'!$H$32,IF(AND('3. GRI Pricing'!$F75&gt;='2. GRI Pricing Inputs'!$J$33,'3. GRI Pricing'!$F75&lt;='2. GRI Pricing Inputs'!$K$33),'2. GRI Pricing Inputs'!$J$32,IF(AND('3. GRI Pricing'!$F75&gt;='2. GRI Pricing Inputs'!$L$33,'3. GRI Pricing'!$F75&lt;='2. GRI Pricing Inputs'!$M$33),'2. GRI Pricing Inputs'!$L$32,IF(AND('3. GRI Pricing'!$F75&gt;='2. GRI Pricing Inputs'!$N$33,'3. GRI Pricing'!$F75&lt;='2. GRI Pricing Inputs'!$O$33),'2. GRI Pricing Inputs'!$N$32,IF(AND('3. GRI Pricing'!$F75&gt;='2. GRI Pricing Inputs'!$P$33,'3. GRI Pricing'!$F75&lt;='2. GRI Pricing Inputs'!$Q$33),'2. GRI Pricing Inputs'!$P$32,IF(AND('3. GRI Pricing'!$F75&gt;='2. GRI Pricing Inputs'!$R$33,'3. GRI Pricing'!$F75&lt;='2. GRI Pricing Inputs'!$S$33),'2. GRI Pricing Inputs'!$R$32,IF(AND('3. GRI Pricing'!$F75&gt;='2. GRI Pricing Inputs'!$T$33,'3. GRI Pricing'!$F75&lt;='2. GRI Pricing Inputs'!$U$33),'2. GRI Pricing Inputs'!$T$32,IF(AND('3. GRI Pricing'!$F75&gt;='2. GRI Pricing Inputs'!$V$33,'3. GRI Pricing'!$F75&lt;='2. GRI Pricing Inputs'!$W$33),'2. GRI Pricing Inputs'!$V$32,IF(AND('3. GRI Pricing'!$F75&gt;='2. GRI Pricing Inputs'!$X$33,'3. GRI Pricing'!$F75&lt;='2. GRI Pricing Inputs'!$Y$33),'2. GRI Pricing Inputs'!$X$32,IF(AND('3. GRI Pricing'!$F75&gt;='2. GRI Pricing Inputs'!$Z$33,'3. GRI Pricing'!$F75&lt;='2. GRI Pricing Inputs'!$AA$33),'2. GRI Pricing Inputs'!$Z$32,IF(AND('3. GRI Pricing'!$F75&gt;='2. GRI Pricing Inputs'!$AB$33,'3. GRI Pricing'!$F75&lt;='2. GRI Pricing Inputs'!$AC$33),'2. GRI Pricing Inputs'!$AB$32,IF(AND('3. GRI Pricing'!$F75&gt;='2. GRI Pricing Inputs'!$AD$33,'3. GRI Pricing'!$F75&lt;='2. GRI Pricing Inputs'!$AE$33),'2. GRI Pricing Inputs'!$AD$32,IF(AND('3. GRI Pricing'!$F75&gt;='2. GRI Pricing Inputs'!$AF$33,'3. GRI Pricing'!$F75&lt;='2. GRI Pricing Inputs'!$AG$33),'2. GRI Pricing Inputs'!$AF$32,IF(AND('3. GRI Pricing'!$F75&gt;='2. GRI Pricing Inputs'!$AH$33,'3. GRI Pricing'!$F75&lt;='2. GRI Pricing Inputs'!$AI$33),'2. GRI Pricing Inputs'!$AH$32,0))))))))))))))))</f>
        <v>11</v>
      </c>
      <c r="N75" s="273" cm="1">
        <f t="array" ref="N75">IFERROR(INDEX('2. GRI Pricing Inputs'!$C$32:$AI$39,MATCH('3. GRI Pricing'!D75,'2. GRI Pricing Inputs'!$C$32:$C$39,0),(MATCH('3. GRI Pricing'!M75,'2. GRI Pricing Inputs'!$D$32:$AI$32,0)+1)),0)</f>
        <v>65</v>
      </c>
      <c r="O75" s="273">
        <f>IFERROR(INDEX('2. GRI Pricing Inputs'!$C$45:$AI$46,MATCH($O$16,'2. GRI Pricing Inputs'!$C$45:$C$46,0),MATCH(G75,'2. GRI Pricing Inputs'!$C$45:$AI$45,0)),0)</f>
        <v>70</v>
      </c>
      <c r="P75" s="273">
        <f>IFERROR(INDEX('2. GRI Pricing Inputs'!$C$53:$AI$54,MATCH('3. GRI Pricing'!$P$16,'2. GRI Pricing Inputs'!$C$53:$C$54,0),MATCH('3. GRI Pricing'!H75,'2. GRI Pricing Inputs'!$C$53:$AI$53,0)),0)</f>
        <v>55</v>
      </c>
      <c r="Q75" s="273">
        <f>IFERROR(INDEX('2. GRI Pricing Inputs'!$C$60:$AI$61,MATCH('3. GRI Pricing'!$Q$16,'2. GRI Pricing Inputs'!$C$60:$C$61,0),MATCH('1. Accomodation'!T79,'2. GRI Pricing Inputs'!$C$60:$AI$60,0)),0)</f>
        <v>0</v>
      </c>
      <c r="R75" s="273">
        <f>IFERROR(INDEX('2. GRI Pricing Inputs'!$C$67:$AI$68,MATCH('3. GRI Pricing'!$R$16,'2. GRI Pricing Inputs'!$C$67:$C$68,0),MATCH('1. Accomodation'!U79,'2. GRI Pricing Inputs'!$C$67:$AI$67,0)),0)</f>
        <v>0</v>
      </c>
      <c r="S75" s="273">
        <f>IF(D75=0,0,'2. GRI Pricing Inputs'!$AI$75)</f>
        <v>70</v>
      </c>
      <c r="T75" s="273">
        <f>IFERROR(INDEX('2. GRI Pricing Inputs'!$C$82:$AI$83,MATCH('3. GRI Pricing'!$T$16,'2. GRI Pricing Inputs'!$C$82:$C$83,0),MATCH('1. Accomodation'!V79,'2. GRI Pricing Inputs'!$C$82:$AI$82,0)),0)</f>
        <v>0</v>
      </c>
      <c r="U75" s="273">
        <f>IFERROR(INDEX('2. GRI Pricing Inputs'!$C$89:$AI$90,MATCH('3. GRI Pricing'!$U$16,'2. GRI Pricing Inputs'!$C$89:$C$90,0),MATCH('1. Accomodation'!W79,'2. GRI Pricing Inputs'!$C$89:$AI$89,0)),0)</f>
        <v>0</v>
      </c>
      <c r="V75" s="273">
        <f>IFERROR(INDEX('2. GRI Pricing Inputs'!$C$97:$AI$98,MATCH('3. GRI Pricing'!$V$16,'2. GRI Pricing Inputs'!$C$97:$C$98,0),MATCH('1. Accomodation'!X79,'2. GRI Pricing Inputs'!$C$97:$AI$97,0)),0)</f>
        <v>0</v>
      </c>
      <c r="W75" s="273">
        <f>IFERROR(INDEX('2. GRI Pricing Inputs'!$C$104:$AI$105,MATCH('3. GRI Pricing'!$W$16,'2. GRI Pricing Inputs'!$C$104:$C$105,0),MATCH('1. Accomodation'!Y79,'2. GRI Pricing Inputs'!$C$104:$AI$104,0)),0)</f>
        <v>0</v>
      </c>
      <c r="X75" s="274">
        <v>0</v>
      </c>
      <c r="Y75" s="275">
        <f t="shared" si="7"/>
        <v>1370</v>
      </c>
      <c r="Z75" s="276"/>
      <c r="AA75" s="276"/>
      <c r="AB75" s="276"/>
      <c r="AC75" s="272">
        <f>Y75*(1+'2. GRI Pricing Inputs'!$D$114)^(($AC$16-$AB$15)/365)</f>
        <v>1374.571180991752</v>
      </c>
      <c r="AD75" s="273">
        <f>AC75*(1+'2. GRI Pricing Inputs'!$D$114)^((AD$16-AC$16)/365)</f>
        <v>1379.0094262637415</v>
      </c>
      <c r="AE75" s="273">
        <f>AD75*(1+'2. GRI Pricing Inputs'!$D$114)^((AE$16-AD$16)/365)</f>
        <v>1383.6106683635837</v>
      </c>
      <c r="AF75" s="273">
        <f>AE75*(1+'2. GRI Pricing Inputs'!$D$114)^((AF$16-AE$16)/365)</f>
        <v>1388.2272630987727</v>
      </c>
      <c r="AG75" s="273">
        <f>AF75*(1+'2. GRI Pricing Inputs'!$D$114)^((AG$16-AF$16)/365)</f>
        <v>1392.5599572356862</v>
      </c>
      <c r="AH75" s="273">
        <f>AG75*(1+'2. GRI Pricing Inputs'!$D$114)^((AH$16-AG$16)/365)</f>
        <v>1397.2064124228327</v>
      </c>
      <c r="AI75" s="273">
        <f>AH75*(1+'2. GRI Pricing Inputs'!$D$114)^((AI$16-AH$16)/365)</f>
        <v>1401.7177428214918</v>
      </c>
      <c r="AJ75" s="273">
        <f>AI75*(1+'2. GRI Pricing Inputs'!$D$114)^((AJ$16-AI$16)/365)</f>
        <v>1406.3947541366649</v>
      </c>
      <c r="AK75" s="273">
        <f>AJ75*(1+'2. GRI Pricing Inputs'!$D$114)^((AK$16-AJ$16)/365)</f>
        <v>1410.9357520525343</v>
      </c>
      <c r="AL75" s="273">
        <f>AK75*(1+'2. GRI Pricing Inputs'!$D$114)^((AL$16-AK$16)/365)</f>
        <v>1415.6435204396628</v>
      </c>
      <c r="AM75" s="273">
        <f>AL75*(1+'2. GRI Pricing Inputs'!$D$114)^((AM$16-AL$16)/365)</f>
        <v>1420.3669969007801</v>
      </c>
      <c r="AN75" s="273">
        <f>AM75*(1+'2. GRI Pricing Inputs'!$D$114)^((AN$16-AM$16)/365)</f>
        <v>1424.9531086974325</v>
      </c>
      <c r="AO75" s="273">
        <f>AN75*(1+'2. GRI Pricing Inputs'!$D$114)^((AO$16-AN$16)/365)</f>
        <v>1429.7076477956923</v>
      </c>
    </row>
    <row r="76" spans="3:41" ht="12" x14ac:dyDescent="0.2">
      <c r="C76" s="76" t="str">
        <f>'1. Accomodation'!N80</f>
        <v>412N</v>
      </c>
      <c r="D76" s="69" t="str">
        <f>'1. Accomodation'!P80</f>
        <v>1 Bed</v>
      </c>
      <c r="E76" s="69">
        <f>'1. Accomodation'!Q80</f>
        <v>1</v>
      </c>
      <c r="F76" s="77">
        <f>'1. Accomodation'!O80</f>
        <v>517</v>
      </c>
      <c r="G76" s="69">
        <f>'1. Accomodation'!R80</f>
        <v>4</v>
      </c>
      <c r="H76" s="69" t="str">
        <f>'1. Accomodation'!S80</f>
        <v>Courtyard - dual</v>
      </c>
      <c r="I76" s="62"/>
      <c r="K76" s="272">
        <f>IFERROR(INDEX('2. GRI Pricing Inputs'!$C$15:$AI$16,MATCH($K$16,'2. GRI Pricing Inputs'!$C$15:$C$16,0),MATCH(D76,'2. GRI Pricing Inputs'!$C$15:$AI$15,0)),0)</f>
        <v>845</v>
      </c>
      <c r="L76" s="273">
        <f>IFERROR(INDEX('2. GRI Pricing Inputs'!$C$22:$AI$23,MATCH($L$16,'2. GRI Pricing Inputs'!$C$22:$C$23,0),MATCH(E76,'2. GRI Pricing Inputs'!$C$22:$AI$22,0)),0)</f>
        <v>0</v>
      </c>
      <c r="M76" s="328">
        <f>IF(AND('3. GRI Pricing'!$F76&gt;='2. GRI Pricing Inputs'!$D$33,'3. GRI Pricing'!$F76&lt;='2. GRI Pricing Inputs'!$E$33),'2. GRI Pricing Inputs'!$D$32,IF(AND('3. GRI Pricing'!$F76&gt;='2. GRI Pricing Inputs'!$F$33,'3. GRI Pricing'!$F76&lt;='2. GRI Pricing Inputs'!$G$33),'2. GRI Pricing Inputs'!$F$32,IF(AND('3. GRI Pricing'!$F76&gt;='2. GRI Pricing Inputs'!$H$33,'3. GRI Pricing'!$F76&lt;='2. GRI Pricing Inputs'!$I$33),'2. GRI Pricing Inputs'!$H$32,IF(AND('3. GRI Pricing'!$F76&gt;='2. GRI Pricing Inputs'!$J$33,'3. GRI Pricing'!$F76&lt;='2. GRI Pricing Inputs'!$K$33),'2. GRI Pricing Inputs'!$J$32,IF(AND('3. GRI Pricing'!$F76&gt;='2. GRI Pricing Inputs'!$L$33,'3. GRI Pricing'!$F76&lt;='2. GRI Pricing Inputs'!$M$33),'2. GRI Pricing Inputs'!$L$32,IF(AND('3. GRI Pricing'!$F76&gt;='2. GRI Pricing Inputs'!$N$33,'3. GRI Pricing'!$F76&lt;='2. GRI Pricing Inputs'!$O$33),'2. GRI Pricing Inputs'!$N$32,IF(AND('3. GRI Pricing'!$F76&gt;='2. GRI Pricing Inputs'!$P$33,'3. GRI Pricing'!$F76&lt;='2. GRI Pricing Inputs'!$Q$33),'2. GRI Pricing Inputs'!$P$32,IF(AND('3. GRI Pricing'!$F76&gt;='2. GRI Pricing Inputs'!$R$33,'3. GRI Pricing'!$F76&lt;='2. GRI Pricing Inputs'!$S$33),'2. GRI Pricing Inputs'!$R$32,IF(AND('3. GRI Pricing'!$F76&gt;='2. GRI Pricing Inputs'!$T$33,'3. GRI Pricing'!$F76&lt;='2. GRI Pricing Inputs'!$U$33),'2. GRI Pricing Inputs'!$T$32,IF(AND('3. GRI Pricing'!$F76&gt;='2. GRI Pricing Inputs'!$V$33,'3. GRI Pricing'!$F76&lt;='2. GRI Pricing Inputs'!$W$33),'2. GRI Pricing Inputs'!$V$32,IF(AND('3. GRI Pricing'!$F76&gt;='2. GRI Pricing Inputs'!$X$33,'3. GRI Pricing'!$F76&lt;='2. GRI Pricing Inputs'!$Y$33),'2. GRI Pricing Inputs'!$X$32,IF(AND('3. GRI Pricing'!$F76&gt;='2. GRI Pricing Inputs'!$Z$33,'3. GRI Pricing'!$F76&lt;='2. GRI Pricing Inputs'!$AA$33),'2. GRI Pricing Inputs'!$Z$32,IF(AND('3. GRI Pricing'!$F76&gt;='2. GRI Pricing Inputs'!$AB$33,'3. GRI Pricing'!$F76&lt;='2. GRI Pricing Inputs'!$AC$33),'2. GRI Pricing Inputs'!$AB$32,IF(AND('3. GRI Pricing'!$F76&gt;='2. GRI Pricing Inputs'!$AD$33,'3. GRI Pricing'!$F76&lt;='2. GRI Pricing Inputs'!$AE$33),'2. GRI Pricing Inputs'!$AD$32,IF(AND('3. GRI Pricing'!$F76&gt;='2. GRI Pricing Inputs'!$AF$33,'3. GRI Pricing'!$F76&lt;='2. GRI Pricing Inputs'!$AG$33),'2. GRI Pricing Inputs'!$AF$32,IF(AND('3. GRI Pricing'!$F76&gt;='2. GRI Pricing Inputs'!$AH$33,'3. GRI Pricing'!$F76&lt;='2. GRI Pricing Inputs'!$AI$33),'2. GRI Pricing Inputs'!$AH$32,0))))))))))))))))</f>
        <v>3</v>
      </c>
      <c r="N76" s="273" cm="1">
        <f t="array" ref="N76">IFERROR(INDEX('2. GRI Pricing Inputs'!$C$32:$AI$39,MATCH('3. GRI Pricing'!D76,'2. GRI Pricing Inputs'!$C$32:$C$39,0),(MATCH('3. GRI Pricing'!M76,'2. GRI Pricing Inputs'!$D$32:$AI$32,0)+1)),0)</f>
        <v>20</v>
      </c>
      <c r="O76" s="273">
        <f>IFERROR(INDEX('2. GRI Pricing Inputs'!$C$45:$AI$46,MATCH($O$16,'2. GRI Pricing Inputs'!$C$45:$C$46,0),MATCH(G76,'2. GRI Pricing Inputs'!$C$45:$AI$45,0)),0)</f>
        <v>70</v>
      </c>
      <c r="P76" s="273">
        <f>IFERROR(INDEX('2. GRI Pricing Inputs'!$C$53:$AI$54,MATCH('3. GRI Pricing'!$P$16,'2. GRI Pricing Inputs'!$C$53:$C$54,0),MATCH('3. GRI Pricing'!H76,'2. GRI Pricing Inputs'!$C$53:$AI$53,0)),0)</f>
        <v>55</v>
      </c>
      <c r="Q76" s="273">
        <f>IFERROR(INDEX('2. GRI Pricing Inputs'!$C$60:$AI$61,MATCH('3. GRI Pricing'!$Q$16,'2. GRI Pricing Inputs'!$C$60:$C$61,0),MATCH('1. Accomodation'!T80,'2. GRI Pricing Inputs'!$C$60:$AI$60,0)),0)</f>
        <v>0</v>
      </c>
      <c r="R76" s="273">
        <f>IFERROR(INDEX('2. GRI Pricing Inputs'!$C$67:$AI$68,MATCH('3. GRI Pricing'!$R$16,'2. GRI Pricing Inputs'!$C$67:$C$68,0),MATCH('1. Accomodation'!U80,'2. GRI Pricing Inputs'!$C$67:$AI$67,0)),0)</f>
        <v>0</v>
      </c>
      <c r="S76" s="273">
        <f>IF(D76=0,0,'2. GRI Pricing Inputs'!$AI$75)</f>
        <v>70</v>
      </c>
      <c r="T76" s="273">
        <f>IFERROR(INDEX('2. GRI Pricing Inputs'!$C$82:$AI$83,MATCH('3. GRI Pricing'!$T$16,'2. GRI Pricing Inputs'!$C$82:$C$83,0),MATCH('1. Accomodation'!V80,'2. GRI Pricing Inputs'!$C$82:$AI$82,0)),0)</f>
        <v>0</v>
      </c>
      <c r="U76" s="273">
        <f>IFERROR(INDEX('2. GRI Pricing Inputs'!$C$89:$AI$90,MATCH('3. GRI Pricing'!$U$16,'2. GRI Pricing Inputs'!$C$89:$C$90,0),MATCH('1. Accomodation'!W80,'2. GRI Pricing Inputs'!$C$89:$AI$89,0)),0)</f>
        <v>0</v>
      </c>
      <c r="V76" s="273">
        <f>IFERROR(INDEX('2. GRI Pricing Inputs'!$C$97:$AI$98,MATCH('3. GRI Pricing'!$V$16,'2. GRI Pricing Inputs'!$C$97:$C$98,0),MATCH('1. Accomodation'!X80,'2. GRI Pricing Inputs'!$C$97:$AI$97,0)),0)</f>
        <v>0</v>
      </c>
      <c r="W76" s="273">
        <f>IFERROR(INDEX('2. GRI Pricing Inputs'!$C$104:$AI$105,MATCH('3. GRI Pricing'!$W$16,'2. GRI Pricing Inputs'!$C$104:$C$105,0),MATCH('1. Accomodation'!Y80,'2. GRI Pricing Inputs'!$C$104:$AI$104,0)),0)</f>
        <v>0</v>
      </c>
      <c r="X76" s="274">
        <v>0</v>
      </c>
      <c r="Y76" s="275">
        <f t="shared" si="7"/>
        <v>1060</v>
      </c>
      <c r="Z76" s="276"/>
      <c r="AA76" s="276"/>
      <c r="AB76" s="276"/>
      <c r="AC76" s="272">
        <f>Y76*(1+'2. GRI Pricing Inputs'!$D$114)^(($AC$16-$AB$15)/365)</f>
        <v>1063.5368261688009</v>
      </c>
      <c r="AD76" s="273">
        <f>AC76*(1+'2. GRI Pricing Inputs'!$D$114)^((AD$16-AC$16)/365)</f>
        <v>1066.9707969631868</v>
      </c>
      <c r="AE76" s="273">
        <f>AD76*(1+'2. GRI Pricing Inputs'!$D$114)^((AE$16-AD$16)/365)</f>
        <v>1070.5308820915318</v>
      </c>
      <c r="AF76" s="273">
        <f>AE76*(1+'2. GRI Pricing Inputs'!$D$114)^((AF$16-AE$16)/365)</f>
        <v>1074.10284590124</v>
      </c>
      <c r="AG76" s="273">
        <f>AF76*(1+'2. GRI Pricing Inputs'!$D$114)^((AG$16-AF$16)/365)</f>
        <v>1077.4551493940344</v>
      </c>
      <c r="AH76" s="273">
        <f>AG76*(1+'2. GRI Pricing Inputs'!$D$114)^((AH$16-AG$16)/365)</f>
        <v>1081.0502169110966</v>
      </c>
      <c r="AI76" s="273">
        <f>AH76*(1+'2. GRI Pricing Inputs'!$D$114)^((AI$16-AH$16)/365)</f>
        <v>1084.5407353217381</v>
      </c>
      <c r="AJ76" s="273">
        <f>AI76*(1+'2. GRI Pricing Inputs'!$D$114)^((AJ$16-AI$16)/365)</f>
        <v>1088.1594448064707</v>
      </c>
      <c r="AK76" s="273">
        <f>AJ76*(1+'2. GRI Pricing Inputs'!$D$114)^((AK$16-AJ$16)/365)</f>
        <v>1091.6729176464864</v>
      </c>
      <c r="AL76" s="273">
        <f>AK76*(1+'2. GRI Pricing Inputs'!$D$114)^((AL$16-AK$16)/365)</f>
        <v>1095.3154245737537</v>
      </c>
      <c r="AM76" s="273">
        <f>AL76*(1+'2. GRI Pricing Inputs'!$D$114)^((AM$16-AL$16)/365)</f>
        <v>1098.9700851933044</v>
      </c>
      <c r="AN76" s="273">
        <f>AM76*(1+'2. GRI Pricing Inputs'!$D$114)^((AN$16-AM$16)/365)</f>
        <v>1102.5184636637071</v>
      </c>
      <c r="AO76" s="273">
        <f>AN76*(1+'2. GRI Pricing Inputs'!$D$114)^((AO$16-AN$16)/365)</f>
        <v>1106.197158148492</v>
      </c>
    </row>
    <row r="77" spans="3:41" ht="12" x14ac:dyDescent="0.2">
      <c r="C77" s="76" t="str">
        <f>'1. Accomodation'!N81</f>
        <v>413N</v>
      </c>
      <c r="D77" s="69" t="str">
        <f>'1. Accomodation'!P81</f>
        <v>1 Bed</v>
      </c>
      <c r="E77" s="69">
        <f>'1. Accomodation'!Q81</f>
        <v>1</v>
      </c>
      <c r="F77" s="77">
        <f>'1. Accomodation'!O81</f>
        <v>538</v>
      </c>
      <c r="G77" s="69">
        <f>'1. Accomodation'!R81</f>
        <v>4</v>
      </c>
      <c r="H77" s="69" t="str">
        <f>'1. Accomodation'!S81</f>
        <v>Courtyard</v>
      </c>
      <c r="I77" s="62"/>
      <c r="K77" s="272">
        <f>IFERROR(INDEX('2. GRI Pricing Inputs'!$C$15:$AI$16,MATCH($K$16,'2. GRI Pricing Inputs'!$C$15:$C$16,0),MATCH(D77,'2. GRI Pricing Inputs'!$C$15:$AI$15,0)),0)</f>
        <v>845</v>
      </c>
      <c r="L77" s="273">
        <f>IFERROR(INDEX('2. GRI Pricing Inputs'!$C$22:$AI$23,MATCH($L$16,'2. GRI Pricing Inputs'!$C$22:$C$23,0),MATCH(E77,'2. GRI Pricing Inputs'!$C$22:$AI$22,0)),0)</f>
        <v>0</v>
      </c>
      <c r="M77" s="328">
        <f>IF(AND('3. GRI Pricing'!$F77&gt;='2. GRI Pricing Inputs'!$D$33,'3. GRI Pricing'!$F77&lt;='2. GRI Pricing Inputs'!$E$33),'2. GRI Pricing Inputs'!$D$32,IF(AND('3. GRI Pricing'!$F77&gt;='2. GRI Pricing Inputs'!$F$33,'3. GRI Pricing'!$F77&lt;='2. GRI Pricing Inputs'!$G$33),'2. GRI Pricing Inputs'!$F$32,IF(AND('3. GRI Pricing'!$F77&gt;='2. GRI Pricing Inputs'!$H$33,'3. GRI Pricing'!$F77&lt;='2. GRI Pricing Inputs'!$I$33),'2. GRI Pricing Inputs'!$H$32,IF(AND('3. GRI Pricing'!$F77&gt;='2. GRI Pricing Inputs'!$J$33,'3. GRI Pricing'!$F77&lt;='2. GRI Pricing Inputs'!$K$33),'2. GRI Pricing Inputs'!$J$32,IF(AND('3. GRI Pricing'!$F77&gt;='2. GRI Pricing Inputs'!$L$33,'3. GRI Pricing'!$F77&lt;='2. GRI Pricing Inputs'!$M$33),'2. GRI Pricing Inputs'!$L$32,IF(AND('3. GRI Pricing'!$F77&gt;='2. GRI Pricing Inputs'!$N$33,'3. GRI Pricing'!$F77&lt;='2. GRI Pricing Inputs'!$O$33),'2. GRI Pricing Inputs'!$N$32,IF(AND('3. GRI Pricing'!$F77&gt;='2. GRI Pricing Inputs'!$P$33,'3. GRI Pricing'!$F77&lt;='2. GRI Pricing Inputs'!$Q$33),'2. GRI Pricing Inputs'!$P$32,IF(AND('3. GRI Pricing'!$F77&gt;='2. GRI Pricing Inputs'!$R$33,'3. GRI Pricing'!$F77&lt;='2. GRI Pricing Inputs'!$S$33),'2. GRI Pricing Inputs'!$R$32,IF(AND('3. GRI Pricing'!$F77&gt;='2. GRI Pricing Inputs'!$T$33,'3. GRI Pricing'!$F77&lt;='2. GRI Pricing Inputs'!$U$33),'2. GRI Pricing Inputs'!$T$32,IF(AND('3. GRI Pricing'!$F77&gt;='2. GRI Pricing Inputs'!$V$33,'3. GRI Pricing'!$F77&lt;='2. GRI Pricing Inputs'!$W$33),'2. GRI Pricing Inputs'!$V$32,IF(AND('3. GRI Pricing'!$F77&gt;='2. GRI Pricing Inputs'!$X$33,'3. GRI Pricing'!$F77&lt;='2. GRI Pricing Inputs'!$Y$33),'2. GRI Pricing Inputs'!$X$32,IF(AND('3. GRI Pricing'!$F77&gt;='2. GRI Pricing Inputs'!$Z$33,'3. GRI Pricing'!$F77&lt;='2. GRI Pricing Inputs'!$AA$33),'2. GRI Pricing Inputs'!$Z$32,IF(AND('3. GRI Pricing'!$F77&gt;='2. GRI Pricing Inputs'!$AB$33,'3. GRI Pricing'!$F77&lt;='2. GRI Pricing Inputs'!$AC$33),'2. GRI Pricing Inputs'!$AB$32,IF(AND('3. GRI Pricing'!$F77&gt;='2. GRI Pricing Inputs'!$AD$33,'3. GRI Pricing'!$F77&lt;='2. GRI Pricing Inputs'!$AE$33),'2. GRI Pricing Inputs'!$AD$32,IF(AND('3. GRI Pricing'!$F77&gt;='2. GRI Pricing Inputs'!$AF$33,'3. GRI Pricing'!$F77&lt;='2. GRI Pricing Inputs'!$AG$33),'2. GRI Pricing Inputs'!$AF$32,IF(AND('3. GRI Pricing'!$F77&gt;='2. GRI Pricing Inputs'!$AH$33,'3. GRI Pricing'!$F77&lt;='2. GRI Pricing Inputs'!$AI$33),'2. GRI Pricing Inputs'!$AH$32,0))))))))))))))))</f>
        <v>4</v>
      </c>
      <c r="N77" s="273" cm="1">
        <f t="array" ref="N77">IFERROR(INDEX('2. GRI Pricing Inputs'!$C$32:$AI$39,MATCH('3. GRI Pricing'!D77,'2. GRI Pricing Inputs'!$C$32:$C$39,0),(MATCH('3. GRI Pricing'!M77,'2. GRI Pricing Inputs'!$D$32:$AI$32,0)+1)),0)</f>
        <v>25</v>
      </c>
      <c r="O77" s="273">
        <f>IFERROR(INDEX('2. GRI Pricing Inputs'!$C$45:$AI$46,MATCH($O$16,'2. GRI Pricing Inputs'!$C$45:$C$46,0),MATCH(G77,'2. GRI Pricing Inputs'!$C$45:$AI$45,0)),0)</f>
        <v>70</v>
      </c>
      <c r="P77" s="273">
        <f>IFERROR(INDEX('2. GRI Pricing Inputs'!$C$53:$AI$54,MATCH('3. GRI Pricing'!$P$16,'2. GRI Pricing Inputs'!$C$53:$C$54,0),MATCH('3. GRI Pricing'!H77,'2. GRI Pricing Inputs'!$C$53:$AI$53,0)),0)</f>
        <v>25</v>
      </c>
      <c r="Q77" s="273">
        <f>IFERROR(INDEX('2. GRI Pricing Inputs'!$C$60:$AI$61,MATCH('3. GRI Pricing'!$Q$16,'2. GRI Pricing Inputs'!$C$60:$C$61,0),MATCH('1. Accomodation'!T81,'2. GRI Pricing Inputs'!$C$60:$AI$60,0)),0)</f>
        <v>0</v>
      </c>
      <c r="R77" s="273">
        <f>IFERROR(INDEX('2. GRI Pricing Inputs'!$C$67:$AI$68,MATCH('3. GRI Pricing'!$R$16,'2. GRI Pricing Inputs'!$C$67:$C$68,0),MATCH('1. Accomodation'!U81,'2. GRI Pricing Inputs'!$C$67:$AI$67,0)),0)</f>
        <v>0</v>
      </c>
      <c r="S77" s="273">
        <f>IF(D77=0,0,'2. GRI Pricing Inputs'!$AI$75)</f>
        <v>70</v>
      </c>
      <c r="T77" s="273">
        <f>IFERROR(INDEX('2. GRI Pricing Inputs'!$C$82:$AI$83,MATCH('3. GRI Pricing'!$T$16,'2. GRI Pricing Inputs'!$C$82:$C$83,0),MATCH('1. Accomodation'!V81,'2. GRI Pricing Inputs'!$C$82:$AI$82,0)),0)</f>
        <v>0</v>
      </c>
      <c r="U77" s="273">
        <f>IFERROR(INDEX('2. GRI Pricing Inputs'!$C$89:$AI$90,MATCH('3. GRI Pricing'!$U$16,'2. GRI Pricing Inputs'!$C$89:$C$90,0),MATCH('1. Accomodation'!W81,'2. GRI Pricing Inputs'!$C$89:$AI$89,0)),0)</f>
        <v>0</v>
      </c>
      <c r="V77" s="273">
        <f>IFERROR(INDEX('2. GRI Pricing Inputs'!$C$97:$AI$98,MATCH('3. GRI Pricing'!$V$16,'2. GRI Pricing Inputs'!$C$97:$C$98,0),MATCH('1. Accomodation'!X81,'2. GRI Pricing Inputs'!$C$97:$AI$97,0)),0)</f>
        <v>0</v>
      </c>
      <c r="W77" s="273">
        <f>IFERROR(INDEX('2. GRI Pricing Inputs'!$C$104:$AI$105,MATCH('3. GRI Pricing'!$W$16,'2. GRI Pricing Inputs'!$C$104:$C$105,0),MATCH('1. Accomodation'!Y81,'2. GRI Pricing Inputs'!$C$104:$AI$104,0)),0)</f>
        <v>0</v>
      </c>
      <c r="X77" s="274">
        <v>0</v>
      </c>
      <c r="Y77" s="275">
        <f t="shared" si="7"/>
        <v>1035</v>
      </c>
      <c r="Z77" s="276"/>
      <c r="AA77" s="276"/>
      <c r="AB77" s="276"/>
      <c r="AC77" s="272">
        <f>Y77*(1+'2. GRI Pricing Inputs'!$D$114)^(($AC$16-$AB$15)/365)</f>
        <v>1038.4534104572726</v>
      </c>
      <c r="AD77" s="273">
        <f>AC77*(1+'2. GRI Pricing Inputs'!$D$114)^((AD$16-AC$16)/365)</f>
        <v>1041.8063913744325</v>
      </c>
      <c r="AE77" s="273">
        <f>AD77*(1+'2. GRI Pricing Inputs'!$D$114)^((AE$16-AD$16)/365)</f>
        <v>1045.2825122308825</v>
      </c>
      <c r="AF77" s="273">
        <f>AE77*(1+'2. GRI Pricing Inputs'!$D$114)^((AF$16-AE$16)/365)</f>
        <v>1048.7702316111165</v>
      </c>
      <c r="AG77" s="273">
        <f>AF77*(1+'2. GRI Pricing Inputs'!$D$114)^((AG$16-AF$16)/365)</f>
        <v>1052.0434713422883</v>
      </c>
      <c r="AH77" s="273">
        <f>AG77*(1+'2. GRI Pricing Inputs'!$D$114)^((AH$16-AG$16)/365)</f>
        <v>1055.553749531118</v>
      </c>
      <c r="AI77" s="273">
        <f>AH77*(1+'2. GRI Pricing Inputs'!$D$114)^((AI$16-AH$16)/365)</f>
        <v>1058.9619443943386</v>
      </c>
      <c r="AJ77" s="273">
        <f>AI77*(1+'2. GRI Pricing Inputs'!$D$114)^((AJ$16-AI$16)/365)</f>
        <v>1062.4953069572614</v>
      </c>
      <c r="AK77" s="273">
        <f>AJ77*(1+'2. GRI Pricing Inputs'!$D$114)^((AK$16-AJ$16)/365)</f>
        <v>1065.9259148718052</v>
      </c>
      <c r="AL77" s="273">
        <f>AK77*(1+'2. GRI Pricing Inputs'!$D$114)^((AL$16-AK$16)/365)</f>
        <v>1069.4825136168256</v>
      </c>
      <c r="AM77" s="273">
        <f>AL77*(1+'2. GRI Pricing Inputs'!$D$114)^((AM$16-AL$16)/365)</f>
        <v>1073.0509794104435</v>
      </c>
      <c r="AN77" s="273">
        <f>AM77*(1+'2. GRI Pricing Inputs'!$D$114)^((AN$16-AM$16)/365)</f>
        <v>1076.5156697093744</v>
      </c>
      <c r="AO77" s="273">
        <f>AN77*(1+'2. GRI Pricing Inputs'!$D$114)^((AO$16-AN$16)/365)</f>
        <v>1080.1076025317823</v>
      </c>
    </row>
    <row r="78" spans="3:41" ht="12" x14ac:dyDescent="0.2">
      <c r="C78" s="76" t="str">
        <f>'1. Accomodation'!N82</f>
        <v>414N</v>
      </c>
      <c r="D78" s="69" t="str">
        <f>'1. Accomodation'!P82</f>
        <v>1 Bed</v>
      </c>
      <c r="E78" s="69">
        <f>'1. Accomodation'!Q82</f>
        <v>1</v>
      </c>
      <c r="F78" s="77">
        <f>'1. Accomodation'!O82</f>
        <v>560</v>
      </c>
      <c r="G78" s="69">
        <f>'1. Accomodation'!R82</f>
        <v>4</v>
      </c>
      <c r="H78" s="69" t="str">
        <f>'1. Accomodation'!S82</f>
        <v>Courtyard</v>
      </c>
      <c r="I78" s="62"/>
      <c r="K78" s="272">
        <f>IFERROR(INDEX('2. GRI Pricing Inputs'!$C$15:$AI$16,MATCH($K$16,'2. GRI Pricing Inputs'!$C$15:$C$16,0),MATCH(D78,'2. GRI Pricing Inputs'!$C$15:$AI$15,0)),0)</f>
        <v>845</v>
      </c>
      <c r="L78" s="273">
        <f>IFERROR(INDEX('2. GRI Pricing Inputs'!$C$22:$AI$23,MATCH($L$16,'2. GRI Pricing Inputs'!$C$22:$C$23,0),MATCH(E78,'2. GRI Pricing Inputs'!$C$22:$AI$22,0)),0)</f>
        <v>0</v>
      </c>
      <c r="M78" s="328">
        <f>IF(AND('3. GRI Pricing'!$F78&gt;='2. GRI Pricing Inputs'!$D$33,'3. GRI Pricing'!$F78&lt;='2. GRI Pricing Inputs'!$E$33),'2. GRI Pricing Inputs'!$D$32,IF(AND('3. GRI Pricing'!$F78&gt;='2. GRI Pricing Inputs'!$F$33,'3. GRI Pricing'!$F78&lt;='2. GRI Pricing Inputs'!$G$33),'2. GRI Pricing Inputs'!$F$32,IF(AND('3. GRI Pricing'!$F78&gt;='2. GRI Pricing Inputs'!$H$33,'3. GRI Pricing'!$F78&lt;='2. GRI Pricing Inputs'!$I$33),'2. GRI Pricing Inputs'!$H$32,IF(AND('3. GRI Pricing'!$F78&gt;='2. GRI Pricing Inputs'!$J$33,'3. GRI Pricing'!$F78&lt;='2. GRI Pricing Inputs'!$K$33),'2. GRI Pricing Inputs'!$J$32,IF(AND('3. GRI Pricing'!$F78&gt;='2. GRI Pricing Inputs'!$L$33,'3. GRI Pricing'!$F78&lt;='2. GRI Pricing Inputs'!$M$33),'2. GRI Pricing Inputs'!$L$32,IF(AND('3. GRI Pricing'!$F78&gt;='2. GRI Pricing Inputs'!$N$33,'3. GRI Pricing'!$F78&lt;='2. GRI Pricing Inputs'!$O$33),'2. GRI Pricing Inputs'!$N$32,IF(AND('3. GRI Pricing'!$F78&gt;='2. GRI Pricing Inputs'!$P$33,'3. GRI Pricing'!$F78&lt;='2. GRI Pricing Inputs'!$Q$33),'2. GRI Pricing Inputs'!$P$32,IF(AND('3. GRI Pricing'!$F78&gt;='2. GRI Pricing Inputs'!$R$33,'3. GRI Pricing'!$F78&lt;='2. GRI Pricing Inputs'!$S$33),'2. GRI Pricing Inputs'!$R$32,IF(AND('3. GRI Pricing'!$F78&gt;='2. GRI Pricing Inputs'!$T$33,'3. GRI Pricing'!$F78&lt;='2. GRI Pricing Inputs'!$U$33),'2. GRI Pricing Inputs'!$T$32,IF(AND('3. GRI Pricing'!$F78&gt;='2. GRI Pricing Inputs'!$V$33,'3. GRI Pricing'!$F78&lt;='2. GRI Pricing Inputs'!$W$33),'2. GRI Pricing Inputs'!$V$32,IF(AND('3. GRI Pricing'!$F78&gt;='2. GRI Pricing Inputs'!$X$33,'3. GRI Pricing'!$F78&lt;='2. GRI Pricing Inputs'!$Y$33),'2. GRI Pricing Inputs'!$X$32,IF(AND('3. GRI Pricing'!$F78&gt;='2. GRI Pricing Inputs'!$Z$33,'3. GRI Pricing'!$F78&lt;='2. GRI Pricing Inputs'!$AA$33),'2. GRI Pricing Inputs'!$Z$32,IF(AND('3. GRI Pricing'!$F78&gt;='2. GRI Pricing Inputs'!$AB$33,'3. GRI Pricing'!$F78&lt;='2. GRI Pricing Inputs'!$AC$33),'2. GRI Pricing Inputs'!$AB$32,IF(AND('3. GRI Pricing'!$F78&gt;='2. GRI Pricing Inputs'!$AD$33,'3. GRI Pricing'!$F78&lt;='2. GRI Pricing Inputs'!$AE$33),'2. GRI Pricing Inputs'!$AD$32,IF(AND('3. GRI Pricing'!$F78&gt;='2. GRI Pricing Inputs'!$AF$33,'3. GRI Pricing'!$F78&lt;='2. GRI Pricing Inputs'!$AG$33),'2. GRI Pricing Inputs'!$AF$32,IF(AND('3. GRI Pricing'!$F78&gt;='2. GRI Pricing Inputs'!$AH$33,'3. GRI Pricing'!$F78&lt;='2. GRI Pricing Inputs'!$AI$33),'2. GRI Pricing Inputs'!$AH$32,0))))))))))))))))</f>
        <v>5</v>
      </c>
      <c r="N78" s="273" cm="1">
        <f t="array" ref="N78">IFERROR(INDEX('2. GRI Pricing Inputs'!$C$32:$AI$39,MATCH('3. GRI Pricing'!D78,'2. GRI Pricing Inputs'!$C$32:$C$39,0),(MATCH('3. GRI Pricing'!M78,'2. GRI Pricing Inputs'!$D$32:$AI$32,0)+1)),0)</f>
        <v>35</v>
      </c>
      <c r="O78" s="273">
        <f>IFERROR(INDEX('2. GRI Pricing Inputs'!$C$45:$AI$46,MATCH($O$16,'2. GRI Pricing Inputs'!$C$45:$C$46,0),MATCH(G78,'2. GRI Pricing Inputs'!$C$45:$AI$45,0)),0)</f>
        <v>70</v>
      </c>
      <c r="P78" s="273">
        <f>IFERROR(INDEX('2. GRI Pricing Inputs'!$C$53:$AI$54,MATCH('3. GRI Pricing'!$P$16,'2. GRI Pricing Inputs'!$C$53:$C$54,0),MATCH('3. GRI Pricing'!H78,'2. GRI Pricing Inputs'!$C$53:$AI$53,0)),0)</f>
        <v>25</v>
      </c>
      <c r="Q78" s="273">
        <f>IFERROR(INDEX('2. GRI Pricing Inputs'!$C$60:$AI$61,MATCH('3. GRI Pricing'!$Q$16,'2. GRI Pricing Inputs'!$C$60:$C$61,0),MATCH('1. Accomodation'!T82,'2. GRI Pricing Inputs'!$C$60:$AI$60,0)),0)</f>
        <v>0</v>
      </c>
      <c r="R78" s="273">
        <f>IFERROR(INDEX('2. GRI Pricing Inputs'!$C$67:$AI$68,MATCH('3. GRI Pricing'!$R$16,'2. GRI Pricing Inputs'!$C$67:$C$68,0),MATCH('1. Accomodation'!U82,'2. GRI Pricing Inputs'!$C$67:$AI$67,0)),0)</f>
        <v>0</v>
      </c>
      <c r="S78" s="273">
        <f>IF(D78=0,0,'2. GRI Pricing Inputs'!$AI$75)</f>
        <v>70</v>
      </c>
      <c r="T78" s="273">
        <f>IFERROR(INDEX('2. GRI Pricing Inputs'!$C$82:$AI$83,MATCH('3. GRI Pricing'!$T$16,'2. GRI Pricing Inputs'!$C$82:$C$83,0),MATCH('1. Accomodation'!V82,'2. GRI Pricing Inputs'!$C$82:$AI$82,0)),0)</f>
        <v>0</v>
      </c>
      <c r="U78" s="273">
        <f>IFERROR(INDEX('2. GRI Pricing Inputs'!$C$89:$AI$90,MATCH('3. GRI Pricing'!$U$16,'2. GRI Pricing Inputs'!$C$89:$C$90,0),MATCH('1. Accomodation'!W82,'2. GRI Pricing Inputs'!$C$89:$AI$89,0)),0)</f>
        <v>-25</v>
      </c>
      <c r="V78" s="273">
        <f>IFERROR(INDEX('2. GRI Pricing Inputs'!$C$97:$AI$98,MATCH('3. GRI Pricing'!$V$16,'2. GRI Pricing Inputs'!$C$97:$C$98,0),MATCH('1. Accomodation'!X82,'2. GRI Pricing Inputs'!$C$97:$AI$97,0)),0)</f>
        <v>0</v>
      </c>
      <c r="W78" s="273">
        <f>IFERROR(INDEX('2. GRI Pricing Inputs'!$C$104:$AI$105,MATCH('3. GRI Pricing'!$W$16,'2. GRI Pricing Inputs'!$C$104:$C$105,0),MATCH('1. Accomodation'!Y82,'2. GRI Pricing Inputs'!$C$104:$AI$104,0)),0)</f>
        <v>0</v>
      </c>
      <c r="X78" s="274">
        <v>0</v>
      </c>
      <c r="Y78" s="275">
        <f t="shared" si="7"/>
        <v>1020</v>
      </c>
      <c r="Z78" s="276"/>
      <c r="AA78" s="276"/>
      <c r="AB78" s="276"/>
      <c r="AC78" s="272">
        <f>Y78*(1+'2. GRI Pricing Inputs'!$D$114)^(($AC$16-$AB$15)/365)</f>
        <v>1023.4033610303555</v>
      </c>
      <c r="AD78" s="273">
        <f>AC78*(1+'2. GRI Pricing Inputs'!$D$114)^((AD$16-AC$16)/365)</f>
        <v>1026.7077480211799</v>
      </c>
      <c r="AE78" s="273">
        <f>AD78*(1+'2. GRI Pricing Inputs'!$D$114)^((AE$16-AD$16)/365)</f>
        <v>1030.133490314493</v>
      </c>
      <c r="AF78" s="273">
        <f>AE78*(1+'2. GRI Pricing Inputs'!$D$114)^((AF$16-AE$16)/365)</f>
        <v>1033.5706630370426</v>
      </c>
      <c r="AG78" s="273">
        <f>AF78*(1+'2. GRI Pricing Inputs'!$D$114)^((AG$16-AF$16)/365)</f>
        <v>1036.7964645112409</v>
      </c>
      <c r="AH78" s="273">
        <f>AG78*(1+'2. GRI Pricing Inputs'!$D$114)^((AH$16-AG$16)/365)</f>
        <v>1040.2558691031311</v>
      </c>
      <c r="AI78" s="273">
        <f>AH78*(1+'2. GRI Pricing Inputs'!$D$114)^((AI$16-AH$16)/365)</f>
        <v>1043.6146698378993</v>
      </c>
      <c r="AJ78" s="273">
        <f>AI78*(1+'2. GRI Pricing Inputs'!$D$114)^((AJ$16-AI$16)/365)</f>
        <v>1047.0968242477363</v>
      </c>
      <c r="AK78" s="273">
        <f>AJ78*(1+'2. GRI Pricing Inputs'!$D$114)^((AK$16-AJ$16)/365)</f>
        <v>1050.4777132069969</v>
      </c>
      <c r="AL78" s="273">
        <f>AK78*(1+'2. GRI Pricing Inputs'!$D$114)^((AL$16-AK$16)/365)</f>
        <v>1053.9827670426691</v>
      </c>
      <c r="AM78" s="273">
        <f>AL78*(1+'2. GRI Pricing Inputs'!$D$114)^((AM$16-AL$16)/365)</f>
        <v>1057.4995159407274</v>
      </c>
      <c r="AN78" s="273">
        <f>AM78*(1+'2. GRI Pricing Inputs'!$D$114)^((AN$16-AM$16)/365)</f>
        <v>1060.9139933367751</v>
      </c>
      <c r="AO78" s="273">
        <f>AN78*(1+'2. GRI Pricing Inputs'!$D$114)^((AO$16-AN$16)/365)</f>
        <v>1064.4538691617568</v>
      </c>
    </row>
    <row r="79" spans="3:41" ht="12" x14ac:dyDescent="0.2">
      <c r="C79" s="76" t="str">
        <f>'1. Accomodation'!N83</f>
        <v>415N</v>
      </c>
      <c r="D79" s="69" t="str">
        <f>'1. Accomodation'!P83</f>
        <v>2 Bed</v>
      </c>
      <c r="E79" s="69">
        <f>'1. Accomodation'!Q83</f>
        <v>2</v>
      </c>
      <c r="F79" s="77">
        <f>'1. Accomodation'!O83</f>
        <v>624</v>
      </c>
      <c r="G79" s="69">
        <f>'1. Accomodation'!R83</f>
        <v>4</v>
      </c>
      <c r="H79" s="69" t="str">
        <f>'1. Accomodation'!S83</f>
        <v>Courtyard</v>
      </c>
      <c r="I79" s="62"/>
      <c r="K79" s="272">
        <f>IFERROR(INDEX('2. GRI Pricing Inputs'!$C$15:$AI$16,MATCH($K$16,'2. GRI Pricing Inputs'!$C$15:$C$16,0),MATCH(D79,'2. GRI Pricing Inputs'!$C$15:$AI$15,0)),0)</f>
        <v>1110</v>
      </c>
      <c r="L79" s="273">
        <f>IFERROR(INDEX('2. GRI Pricing Inputs'!$C$22:$AI$23,MATCH($L$16,'2. GRI Pricing Inputs'!$C$22:$C$23,0),MATCH(E79,'2. GRI Pricing Inputs'!$C$22:$AI$22,0)),0)</f>
        <v>0</v>
      </c>
      <c r="M79" s="328">
        <f>IF(AND('3. GRI Pricing'!$F79&gt;='2. GRI Pricing Inputs'!$D$33,'3. GRI Pricing'!$F79&lt;='2. GRI Pricing Inputs'!$E$33),'2. GRI Pricing Inputs'!$D$32,IF(AND('3. GRI Pricing'!$F79&gt;='2. GRI Pricing Inputs'!$F$33,'3. GRI Pricing'!$F79&lt;='2. GRI Pricing Inputs'!$G$33),'2. GRI Pricing Inputs'!$F$32,IF(AND('3. GRI Pricing'!$F79&gt;='2. GRI Pricing Inputs'!$H$33,'3. GRI Pricing'!$F79&lt;='2. GRI Pricing Inputs'!$I$33),'2. GRI Pricing Inputs'!$H$32,IF(AND('3. GRI Pricing'!$F79&gt;='2. GRI Pricing Inputs'!$J$33,'3. GRI Pricing'!$F79&lt;='2. GRI Pricing Inputs'!$K$33),'2. GRI Pricing Inputs'!$J$32,IF(AND('3. GRI Pricing'!$F79&gt;='2. GRI Pricing Inputs'!$L$33,'3. GRI Pricing'!$F79&lt;='2. GRI Pricing Inputs'!$M$33),'2. GRI Pricing Inputs'!$L$32,IF(AND('3. GRI Pricing'!$F79&gt;='2. GRI Pricing Inputs'!$N$33,'3. GRI Pricing'!$F79&lt;='2. GRI Pricing Inputs'!$O$33),'2. GRI Pricing Inputs'!$N$32,IF(AND('3. GRI Pricing'!$F79&gt;='2. GRI Pricing Inputs'!$P$33,'3. GRI Pricing'!$F79&lt;='2. GRI Pricing Inputs'!$Q$33),'2. GRI Pricing Inputs'!$P$32,IF(AND('3. GRI Pricing'!$F79&gt;='2. GRI Pricing Inputs'!$R$33,'3. GRI Pricing'!$F79&lt;='2. GRI Pricing Inputs'!$S$33),'2. GRI Pricing Inputs'!$R$32,IF(AND('3. GRI Pricing'!$F79&gt;='2. GRI Pricing Inputs'!$T$33,'3. GRI Pricing'!$F79&lt;='2. GRI Pricing Inputs'!$U$33),'2. GRI Pricing Inputs'!$T$32,IF(AND('3. GRI Pricing'!$F79&gt;='2. GRI Pricing Inputs'!$V$33,'3. GRI Pricing'!$F79&lt;='2. GRI Pricing Inputs'!$W$33),'2. GRI Pricing Inputs'!$V$32,IF(AND('3. GRI Pricing'!$F79&gt;='2. GRI Pricing Inputs'!$X$33,'3. GRI Pricing'!$F79&lt;='2. GRI Pricing Inputs'!$Y$33),'2. GRI Pricing Inputs'!$X$32,IF(AND('3. GRI Pricing'!$F79&gt;='2. GRI Pricing Inputs'!$Z$33,'3. GRI Pricing'!$F79&lt;='2. GRI Pricing Inputs'!$AA$33),'2. GRI Pricing Inputs'!$Z$32,IF(AND('3. GRI Pricing'!$F79&gt;='2. GRI Pricing Inputs'!$AB$33,'3. GRI Pricing'!$F79&lt;='2. GRI Pricing Inputs'!$AC$33),'2. GRI Pricing Inputs'!$AB$32,IF(AND('3. GRI Pricing'!$F79&gt;='2. GRI Pricing Inputs'!$AD$33,'3. GRI Pricing'!$F79&lt;='2. GRI Pricing Inputs'!$AE$33),'2. GRI Pricing Inputs'!$AD$32,IF(AND('3. GRI Pricing'!$F79&gt;='2. GRI Pricing Inputs'!$AF$33,'3. GRI Pricing'!$F79&lt;='2. GRI Pricing Inputs'!$AG$33),'2. GRI Pricing Inputs'!$AF$32,IF(AND('3. GRI Pricing'!$F79&gt;='2. GRI Pricing Inputs'!$AH$33,'3. GRI Pricing'!$F79&lt;='2. GRI Pricing Inputs'!$AI$33),'2. GRI Pricing Inputs'!$AH$32,0))))))))))))))))</f>
        <v>7</v>
      </c>
      <c r="N79" s="273" cm="1">
        <f t="array" ref="N79">IFERROR(INDEX('2. GRI Pricing Inputs'!$C$32:$AI$39,MATCH('3. GRI Pricing'!D79,'2. GRI Pricing Inputs'!$C$32:$C$39,0),(MATCH('3. GRI Pricing'!M79,'2. GRI Pricing Inputs'!$D$32:$AI$32,0)+1)),0)</f>
        <v>10</v>
      </c>
      <c r="O79" s="273">
        <f>IFERROR(INDEX('2. GRI Pricing Inputs'!$C$45:$AI$46,MATCH($O$16,'2. GRI Pricing Inputs'!$C$45:$C$46,0),MATCH(G79,'2. GRI Pricing Inputs'!$C$45:$AI$45,0)),0)</f>
        <v>70</v>
      </c>
      <c r="P79" s="273">
        <f>IFERROR(INDEX('2. GRI Pricing Inputs'!$C$53:$AI$54,MATCH('3. GRI Pricing'!$P$16,'2. GRI Pricing Inputs'!$C$53:$C$54,0),MATCH('3. GRI Pricing'!H79,'2. GRI Pricing Inputs'!$C$53:$AI$53,0)),0)</f>
        <v>25</v>
      </c>
      <c r="Q79" s="273">
        <f>IFERROR(INDEX('2. GRI Pricing Inputs'!$C$60:$AI$61,MATCH('3. GRI Pricing'!$Q$16,'2. GRI Pricing Inputs'!$C$60:$C$61,0),MATCH('1. Accomodation'!T83,'2. GRI Pricing Inputs'!$C$60:$AI$60,0)),0)</f>
        <v>0</v>
      </c>
      <c r="R79" s="273">
        <f>IFERROR(INDEX('2. GRI Pricing Inputs'!$C$67:$AI$68,MATCH('3. GRI Pricing'!$R$16,'2. GRI Pricing Inputs'!$C$67:$C$68,0),MATCH('1. Accomodation'!U83,'2. GRI Pricing Inputs'!$C$67:$AI$67,0)),0)</f>
        <v>0</v>
      </c>
      <c r="S79" s="273">
        <f>IF(D79=0,0,'2. GRI Pricing Inputs'!$AI$75)</f>
        <v>70</v>
      </c>
      <c r="T79" s="273">
        <f>IFERROR(INDEX('2. GRI Pricing Inputs'!$C$82:$AI$83,MATCH('3. GRI Pricing'!$T$16,'2. GRI Pricing Inputs'!$C$82:$C$83,0),MATCH('1. Accomodation'!V83,'2. GRI Pricing Inputs'!$C$82:$AI$82,0)),0)</f>
        <v>0</v>
      </c>
      <c r="U79" s="273">
        <f>IFERROR(INDEX('2. GRI Pricing Inputs'!$C$89:$AI$90,MATCH('3. GRI Pricing'!$U$16,'2. GRI Pricing Inputs'!$C$89:$C$90,0),MATCH('1. Accomodation'!W83,'2. GRI Pricing Inputs'!$C$89:$AI$89,0)),0)</f>
        <v>0</v>
      </c>
      <c r="V79" s="273">
        <f>IFERROR(INDEX('2. GRI Pricing Inputs'!$C$97:$AI$98,MATCH('3. GRI Pricing'!$V$16,'2. GRI Pricing Inputs'!$C$97:$C$98,0),MATCH('1. Accomodation'!X83,'2. GRI Pricing Inputs'!$C$97:$AI$97,0)),0)</f>
        <v>0</v>
      </c>
      <c r="W79" s="273">
        <f>IFERROR(INDEX('2. GRI Pricing Inputs'!$C$104:$AI$105,MATCH('3. GRI Pricing'!$W$16,'2. GRI Pricing Inputs'!$C$104:$C$105,0),MATCH('1. Accomodation'!Y83,'2. GRI Pricing Inputs'!$C$104:$AI$104,0)),0)</f>
        <v>0</v>
      </c>
      <c r="X79" s="274">
        <v>0</v>
      </c>
      <c r="Y79" s="275">
        <f t="shared" si="7"/>
        <v>1285</v>
      </c>
      <c r="Z79" s="276"/>
      <c r="AA79" s="276"/>
      <c r="AB79" s="276"/>
      <c r="AC79" s="272">
        <f>Y79*(1+'2. GRI Pricing Inputs'!$D$114)^(($AC$16-$AB$15)/365)</f>
        <v>1289.2875675725559</v>
      </c>
      <c r="AD79" s="273">
        <f>AC79*(1+'2. GRI Pricing Inputs'!$D$114)^((AD$16-AC$16)/365)</f>
        <v>1293.4504472619767</v>
      </c>
      <c r="AE79" s="273">
        <f>AD79*(1+'2. GRI Pricing Inputs'!$D$114)^((AE$16-AD$16)/365)</f>
        <v>1297.7662108373761</v>
      </c>
      <c r="AF79" s="273">
        <f>AE79*(1+'2. GRI Pricing Inputs'!$D$114)^((AF$16-AE$16)/365)</f>
        <v>1302.0963745123527</v>
      </c>
      <c r="AG79" s="273">
        <f>AF79*(1+'2. GRI Pricing Inputs'!$D$114)^((AG$16-AF$16)/365)</f>
        <v>1306.1602518597495</v>
      </c>
      <c r="AH79" s="273">
        <f>AG79*(1+'2. GRI Pricing Inputs'!$D$114)^((AH$16-AG$16)/365)</f>
        <v>1310.5184233309053</v>
      </c>
      <c r="AI79" s="273">
        <f>AH79*(1+'2. GRI Pricing Inputs'!$D$114)^((AI$16-AH$16)/365)</f>
        <v>1314.7498536683338</v>
      </c>
      <c r="AJ79" s="273">
        <f>AI79*(1+'2. GRI Pricing Inputs'!$D$114)^((AJ$16-AI$16)/365)</f>
        <v>1319.136685449354</v>
      </c>
      <c r="AK79" s="273">
        <f>AJ79*(1+'2. GRI Pricing Inputs'!$D$114)^((AK$16-AJ$16)/365)</f>
        <v>1323.3959426186184</v>
      </c>
      <c r="AL79" s="273">
        <f>AK79*(1+'2. GRI Pricing Inputs'!$D$114)^((AL$16-AK$16)/365)</f>
        <v>1327.8116231861075</v>
      </c>
      <c r="AM79" s="273">
        <f>AL79*(1+'2. GRI Pricing Inputs'!$D$114)^((AM$16-AL$16)/365)</f>
        <v>1332.2420372390534</v>
      </c>
      <c r="AN79" s="273">
        <f>AM79*(1+'2. GRI Pricing Inputs'!$D$114)^((AN$16-AM$16)/365)</f>
        <v>1336.5436092527018</v>
      </c>
      <c r="AO79" s="273">
        <f>AN79*(1+'2. GRI Pricing Inputs'!$D$114)^((AO$16-AN$16)/365)</f>
        <v>1341.0031586988796</v>
      </c>
    </row>
    <row r="80" spans="3:41" ht="12" x14ac:dyDescent="0.2">
      <c r="C80" s="76" t="str">
        <f>'1. Accomodation'!N84</f>
        <v>416N</v>
      </c>
      <c r="D80" s="69" t="str">
        <f>'1. Accomodation'!P84</f>
        <v>2 Bed</v>
      </c>
      <c r="E80" s="69">
        <f>'1. Accomodation'!Q84</f>
        <v>2</v>
      </c>
      <c r="F80" s="77">
        <f>'1. Accomodation'!O84</f>
        <v>624</v>
      </c>
      <c r="G80" s="69">
        <f>'1. Accomodation'!R84</f>
        <v>4</v>
      </c>
      <c r="H80" s="69" t="str">
        <f>'1. Accomodation'!S84</f>
        <v>Courtyard</v>
      </c>
      <c r="I80" s="62"/>
      <c r="K80" s="272">
        <f>IFERROR(INDEX('2. GRI Pricing Inputs'!$C$15:$AI$16,MATCH($K$16,'2. GRI Pricing Inputs'!$C$15:$C$16,0),MATCH(D80,'2. GRI Pricing Inputs'!$C$15:$AI$15,0)),0)</f>
        <v>1110</v>
      </c>
      <c r="L80" s="273">
        <f>IFERROR(INDEX('2. GRI Pricing Inputs'!$C$22:$AI$23,MATCH($L$16,'2. GRI Pricing Inputs'!$C$22:$C$23,0),MATCH(E80,'2. GRI Pricing Inputs'!$C$22:$AI$22,0)),0)</f>
        <v>0</v>
      </c>
      <c r="M80" s="328">
        <f>IF(AND('3. GRI Pricing'!$F80&gt;='2. GRI Pricing Inputs'!$D$33,'3. GRI Pricing'!$F80&lt;='2. GRI Pricing Inputs'!$E$33),'2. GRI Pricing Inputs'!$D$32,IF(AND('3. GRI Pricing'!$F80&gt;='2. GRI Pricing Inputs'!$F$33,'3. GRI Pricing'!$F80&lt;='2. GRI Pricing Inputs'!$G$33),'2. GRI Pricing Inputs'!$F$32,IF(AND('3. GRI Pricing'!$F80&gt;='2. GRI Pricing Inputs'!$H$33,'3. GRI Pricing'!$F80&lt;='2. GRI Pricing Inputs'!$I$33),'2. GRI Pricing Inputs'!$H$32,IF(AND('3. GRI Pricing'!$F80&gt;='2. GRI Pricing Inputs'!$J$33,'3. GRI Pricing'!$F80&lt;='2. GRI Pricing Inputs'!$K$33),'2. GRI Pricing Inputs'!$J$32,IF(AND('3. GRI Pricing'!$F80&gt;='2. GRI Pricing Inputs'!$L$33,'3. GRI Pricing'!$F80&lt;='2. GRI Pricing Inputs'!$M$33),'2. GRI Pricing Inputs'!$L$32,IF(AND('3. GRI Pricing'!$F80&gt;='2. GRI Pricing Inputs'!$N$33,'3. GRI Pricing'!$F80&lt;='2. GRI Pricing Inputs'!$O$33),'2. GRI Pricing Inputs'!$N$32,IF(AND('3. GRI Pricing'!$F80&gt;='2. GRI Pricing Inputs'!$P$33,'3. GRI Pricing'!$F80&lt;='2. GRI Pricing Inputs'!$Q$33),'2. GRI Pricing Inputs'!$P$32,IF(AND('3. GRI Pricing'!$F80&gt;='2. GRI Pricing Inputs'!$R$33,'3. GRI Pricing'!$F80&lt;='2. GRI Pricing Inputs'!$S$33),'2. GRI Pricing Inputs'!$R$32,IF(AND('3. GRI Pricing'!$F80&gt;='2. GRI Pricing Inputs'!$T$33,'3. GRI Pricing'!$F80&lt;='2. GRI Pricing Inputs'!$U$33),'2. GRI Pricing Inputs'!$T$32,IF(AND('3. GRI Pricing'!$F80&gt;='2. GRI Pricing Inputs'!$V$33,'3. GRI Pricing'!$F80&lt;='2. GRI Pricing Inputs'!$W$33),'2. GRI Pricing Inputs'!$V$32,IF(AND('3. GRI Pricing'!$F80&gt;='2. GRI Pricing Inputs'!$X$33,'3. GRI Pricing'!$F80&lt;='2. GRI Pricing Inputs'!$Y$33),'2. GRI Pricing Inputs'!$X$32,IF(AND('3. GRI Pricing'!$F80&gt;='2. GRI Pricing Inputs'!$Z$33,'3. GRI Pricing'!$F80&lt;='2. GRI Pricing Inputs'!$AA$33),'2. GRI Pricing Inputs'!$Z$32,IF(AND('3. GRI Pricing'!$F80&gt;='2. GRI Pricing Inputs'!$AB$33,'3. GRI Pricing'!$F80&lt;='2. GRI Pricing Inputs'!$AC$33),'2. GRI Pricing Inputs'!$AB$32,IF(AND('3. GRI Pricing'!$F80&gt;='2. GRI Pricing Inputs'!$AD$33,'3. GRI Pricing'!$F80&lt;='2. GRI Pricing Inputs'!$AE$33),'2. GRI Pricing Inputs'!$AD$32,IF(AND('3. GRI Pricing'!$F80&gt;='2. GRI Pricing Inputs'!$AF$33,'3. GRI Pricing'!$F80&lt;='2. GRI Pricing Inputs'!$AG$33),'2. GRI Pricing Inputs'!$AF$32,IF(AND('3. GRI Pricing'!$F80&gt;='2. GRI Pricing Inputs'!$AH$33,'3. GRI Pricing'!$F80&lt;='2. GRI Pricing Inputs'!$AI$33),'2. GRI Pricing Inputs'!$AH$32,0))))))))))))))))</f>
        <v>7</v>
      </c>
      <c r="N80" s="273" cm="1">
        <f t="array" ref="N80">IFERROR(INDEX('2. GRI Pricing Inputs'!$C$32:$AI$39,MATCH('3. GRI Pricing'!D80,'2. GRI Pricing Inputs'!$C$32:$C$39,0),(MATCH('3. GRI Pricing'!M80,'2. GRI Pricing Inputs'!$D$32:$AI$32,0)+1)),0)</f>
        <v>10</v>
      </c>
      <c r="O80" s="273">
        <f>IFERROR(INDEX('2. GRI Pricing Inputs'!$C$45:$AI$46,MATCH($O$16,'2. GRI Pricing Inputs'!$C$45:$C$46,0),MATCH(G80,'2. GRI Pricing Inputs'!$C$45:$AI$45,0)),0)</f>
        <v>70</v>
      </c>
      <c r="P80" s="273">
        <f>IFERROR(INDEX('2. GRI Pricing Inputs'!$C$53:$AI$54,MATCH('3. GRI Pricing'!$P$16,'2. GRI Pricing Inputs'!$C$53:$C$54,0),MATCH('3. GRI Pricing'!H80,'2. GRI Pricing Inputs'!$C$53:$AI$53,0)),0)</f>
        <v>25</v>
      </c>
      <c r="Q80" s="273">
        <f>IFERROR(INDEX('2. GRI Pricing Inputs'!$C$60:$AI$61,MATCH('3. GRI Pricing'!$Q$16,'2. GRI Pricing Inputs'!$C$60:$C$61,0),MATCH('1. Accomodation'!T84,'2. GRI Pricing Inputs'!$C$60:$AI$60,0)),0)</f>
        <v>0</v>
      </c>
      <c r="R80" s="273">
        <f>IFERROR(INDEX('2. GRI Pricing Inputs'!$C$67:$AI$68,MATCH('3. GRI Pricing'!$R$16,'2. GRI Pricing Inputs'!$C$67:$C$68,0),MATCH('1. Accomodation'!U84,'2. GRI Pricing Inputs'!$C$67:$AI$67,0)),0)</f>
        <v>0</v>
      </c>
      <c r="S80" s="273">
        <f>IF(D80=0,0,'2. GRI Pricing Inputs'!$AI$75)</f>
        <v>70</v>
      </c>
      <c r="T80" s="273">
        <f>IFERROR(INDEX('2. GRI Pricing Inputs'!$C$82:$AI$83,MATCH('3. GRI Pricing'!$T$16,'2. GRI Pricing Inputs'!$C$82:$C$83,0),MATCH('1. Accomodation'!V84,'2. GRI Pricing Inputs'!$C$82:$AI$82,0)),0)</f>
        <v>0</v>
      </c>
      <c r="U80" s="273">
        <f>IFERROR(INDEX('2. GRI Pricing Inputs'!$C$89:$AI$90,MATCH('3. GRI Pricing'!$U$16,'2. GRI Pricing Inputs'!$C$89:$C$90,0),MATCH('1. Accomodation'!W84,'2. GRI Pricing Inputs'!$C$89:$AI$89,0)),0)</f>
        <v>0</v>
      </c>
      <c r="V80" s="273">
        <f>IFERROR(INDEX('2. GRI Pricing Inputs'!$C$97:$AI$98,MATCH('3. GRI Pricing'!$V$16,'2. GRI Pricing Inputs'!$C$97:$C$98,0),MATCH('1. Accomodation'!X84,'2. GRI Pricing Inputs'!$C$97:$AI$97,0)),0)</f>
        <v>0</v>
      </c>
      <c r="W80" s="273">
        <f>IFERROR(INDEX('2. GRI Pricing Inputs'!$C$104:$AI$105,MATCH('3. GRI Pricing'!$W$16,'2. GRI Pricing Inputs'!$C$104:$C$105,0),MATCH('1. Accomodation'!Y84,'2. GRI Pricing Inputs'!$C$104:$AI$104,0)),0)</f>
        <v>0</v>
      </c>
      <c r="X80" s="274">
        <v>0</v>
      </c>
      <c r="Y80" s="275">
        <f t="shared" si="7"/>
        <v>1285</v>
      </c>
      <c r="Z80" s="276"/>
      <c r="AA80" s="276"/>
      <c r="AB80" s="276"/>
      <c r="AC80" s="272">
        <f>Y80*(1+'2. GRI Pricing Inputs'!$D$114)^(($AC$16-$AB$15)/365)</f>
        <v>1289.2875675725559</v>
      </c>
      <c r="AD80" s="273">
        <f>AC80*(1+'2. GRI Pricing Inputs'!$D$114)^((AD$16-AC$16)/365)</f>
        <v>1293.4504472619767</v>
      </c>
      <c r="AE80" s="273">
        <f>AD80*(1+'2. GRI Pricing Inputs'!$D$114)^((AE$16-AD$16)/365)</f>
        <v>1297.7662108373761</v>
      </c>
      <c r="AF80" s="273">
        <f>AE80*(1+'2. GRI Pricing Inputs'!$D$114)^((AF$16-AE$16)/365)</f>
        <v>1302.0963745123527</v>
      </c>
      <c r="AG80" s="273">
        <f>AF80*(1+'2. GRI Pricing Inputs'!$D$114)^((AG$16-AF$16)/365)</f>
        <v>1306.1602518597495</v>
      </c>
      <c r="AH80" s="273">
        <f>AG80*(1+'2. GRI Pricing Inputs'!$D$114)^((AH$16-AG$16)/365)</f>
        <v>1310.5184233309053</v>
      </c>
      <c r="AI80" s="273">
        <f>AH80*(1+'2. GRI Pricing Inputs'!$D$114)^((AI$16-AH$16)/365)</f>
        <v>1314.7498536683338</v>
      </c>
      <c r="AJ80" s="273">
        <f>AI80*(1+'2. GRI Pricing Inputs'!$D$114)^((AJ$16-AI$16)/365)</f>
        <v>1319.136685449354</v>
      </c>
      <c r="AK80" s="273">
        <f>AJ80*(1+'2. GRI Pricing Inputs'!$D$114)^((AK$16-AJ$16)/365)</f>
        <v>1323.3959426186184</v>
      </c>
      <c r="AL80" s="273">
        <f>AK80*(1+'2. GRI Pricing Inputs'!$D$114)^((AL$16-AK$16)/365)</f>
        <v>1327.8116231861075</v>
      </c>
      <c r="AM80" s="273">
        <f>AL80*(1+'2. GRI Pricing Inputs'!$D$114)^((AM$16-AL$16)/365)</f>
        <v>1332.2420372390534</v>
      </c>
      <c r="AN80" s="273">
        <f>AM80*(1+'2. GRI Pricing Inputs'!$D$114)^((AN$16-AM$16)/365)</f>
        <v>1336.5436092527018</v>
      </c>
      <c r="AO80" s="273">
        <f>AN80*(1+'2. GRI Pricing Inputs'!$D$114)^((AO$16-AN$16)/365)</f>
        <v>1341.0031586988796</v>
      </c>
    </row>
    <row r="81" spans="3:41" ht="12" x14ac:dyDescent="0.2">
      <c r="C81" s="76" t="str">
        <f>'1. Accomodation'!N85</f>
        <v>501N</v>
      </c>
      <c r="D81" s="69" t="str">
        <f>'1. Accomodation'!P85</f>
        <v>1 Bed</v>
      </c>
      <c r="E81" s="69">
        <f>'1. Accomodation'!Q85</f>
        <v>1</v>
      </c>
      <c r="F81" s="77">
        <f>'1. Accomodation'!O85</f>
        <v>484</v>
      </c>
      <c r="G81" s="69">
        <f>'1. Accomodation'!R85</f>
        <v>5</v>
      </c>
      <c r="H81" s="69" t="str">
        <f>'1. Accomodation'!S85</f>
        <v>Courtyard</v>
      </c>
      <c r="I81" s="62"/>
      <c r="K81" s="272">
        <f>IFERROR(INDEX('2. GRI Pricing Inputs'!$C$15:$AI$16,MATCH($K$16,'2. GRI Pricing Inputs'!$C$15:$C$16,0),MATCH(D81,'2. GRI Pricing Inputs'!$C$15:$AI$15,0)),0)</f>
        <v>845</v>
      </c>
      <c r="L81" s="273">
        <f>IFERROR(INDEX('2. GRI Pricing Inputs'!$C$22:$AI$23,MATCH($L$16,'2. GRI Pricing Inputs'!$C$22:$C$23,0),MATCH(E81,'2. GRI Pricing Inputs'!$C$22:$AI$22,0)),0)</f>
        <v>0</v>
      </c>
      <c r="M81" s="328">
        <f>IF(AND('3. GRI Pricing'!$F81&gt;='2. GRI Pricing Inputs'!$D$33,'3. GRI Pricing'!$F81&lt;='2. GRI Pricing Inputs'!$E$33),'2. GRI Pricing Inputs'!$D$32,IF(AND('3. GRI Pricing'!$F81&gt;='2. GRI Pricing Inputs'!$F$33,'3. GRI Pricing'!$F81&lt;='2. GRI Pricing Inputs'!$G$33),'2. GRI Pricing Inputs'!$F$32,IF(AND('3. GRI Pricing'!$F81&gt;='2. GRI Pricing Inputs'!$H$33,'3. GRI Pricing'!$F81&lt;='2. GRI Pricing Inputs'!$I$33),'2. GRI Pricing Inputs'!$H$32,IF(AND('3. GRI Pricing'!$F81&gt;='2. GRI Pricing Inputs'!$J$33,'3. GRI Pricing'!$F81&lt;='2. GRI Pricing Inputs'!$K$33),'2. GRI Pricing Inputs'!$J$32,IF(AND('3. GRI Pricing'!$F81&gt;='2. GRI Pricing Inputs'!$L$33,'3. GRI Pricing'!$F81&lt;='2. GRI Pricing Inputs'!$M$33),'2. GRI Pricing Inputs'!$L$32,IF(AND('3. GRI Pricing'!$F81&gt;='2. GRI Pricing Inputs'!$N$33,'3. GRI Pricing'!$F81&lt;='2. GRI Pricing Inputs'!$O$33),'2. GRI Pricing Inputs'!$N$32,IF(AND('3. GRI Pricing'!$F81&gt;='2. GRI Pricing Inputs'!$P$33,'3. GRI Pricing'!$F81&lt;='2. GRI Pricing Inputs'!$Q$33),'2. GRI Pricing Inputs'!$P$32,IF(AND('3. GRI Pricing'!$F81&gt;='2. GRI Pricing Inputs'!$R$33,'3. GRI Pricing'!$F81&lt;='2. GRI Pricing Inputs'!$S$33),'2. GRI Pricing Inputs'!$R$32,IF(AND('3. GRI Pricing'!$F81&gt;='2. GRI Pricing Inputs'!$T$33,'3. GRI Pricing'!$F81&lt;='2. GRI Pricing Inputs'!$U$33),'2. GRI Pricing Inputs'!$T$32,IF(AND('3. GRI Pricing'!$F81&gt;='2. GRI Pricing Inputs'!$V$33,'3. GRI Pricing'!$F81&lt;='2. GRI Pricing Inputs'!$W$33),'2. GRI Pricing Inputs'!$V$32,IF(AND('3. GRI Pricing'!$F81&gt;='2. GRI Pricing Inputs'!$X$33,'3. GRI Pricing'!$F81&lt;='2. GRI Pricing Inputs'!$Y$33),'2. GRI Pricing Inputs'!$X$32,IF(AND('3. GRI Pricing'!$F81&gt;='2. GRI Pricing Inputs'!$Z$33,'3. GRI Pricing'!$F81&lt;='2. GRI Pricing Inputs'!$AA$33),'2. GRI Pricing Inputs'!$Z$32,IF(AND('3. GRI Pricing'!$F81&gt;='2. GRI Pricing Inputs'!$AB$33,'3. GRI Pricing'!$F81&lt;='2. GRI Pricing Inputs'!$AC$33),'2. GRI Pricing Inputs'!$AB$32,IF(AND('3. GRI Pricing'!$F81&gt;='2. GRI Pricing Inputs'!$AD$33,'3. GRI Pricing'!$F81&lt;='2. GRI Pricing Inputs'!$AE$33),'2. GRI Pricing Inputs'!$AD$32,IF(AND('3. GRI Pricing'!$F81&gt;='2. GRI Pricing Inputs'!$AF$33,'3. GRI Pricing'!$F81&lt;='2. GRI Pricing Inputs'!$AG$33),'2. GRI Pricing Inputs'!$AF$32,IF(AND('3. GRI Pricing'!$F81&gt;='2. GRI Pricing Inputs'!$AH$33,'3. GRI Pricing'!$F81&lt;='2. GRI Pricing Inputs'!$AI$33),'2. GRI Pricing Inputs'!$AH$32,0))))))))))))))))</f>
        <v>1</v>
      </c>
      <c r="N81" s="273" cm="1">
        <f t="array" ref="N81">IFERROR(INDEX('2. GRI Pricing Inputs'!$C$32:$AI$39,MATCH('3. GRI Pricing'!D81,'2. GRI Pricing Inputs'!$C$32:$C$39,0),(MATCH('3. GRI Pricing'!M81,'2. GRI Pricing Inputs'!$D$32:$AI$32,0)+1)),0)</f>
        <v>10</v>
      </c>
      <c r="O81" s="273">
        <f>IFERROR(INDEX('2. GRI Pricing Inputs'!$C$45:$AI$46,MATCH($O$16,'2. GRI Pricing Inputs'!$C$45:$C$46,0),MATCH(G81,'2. GRI Pricing Inputs'!$C$45:$AI$45,0)),0)</f>
        <v>70</v>
      </c>
      <c r="P81" s="273">
        <f>IFERROR(INDEX('2. GRI Pricing Inputs'!$C$53:$AI$54,MATCH('3. GRI Pricing'!$P$16,'2. GRI Pricing Inputs'!$C$53:$C$54,0),MATCH('3. GRI Pricing'!H81,'2. GRI Pricing Inputs'!$C$53:$AI$53,0)),0)</f>
        <v>25</v>
      </c>
      <c r="Q81" s="273">
        <f>IFERROR(INDEX('2. GRI Pricing Inputs'!$C$60:$AI$61,MATCH('3. GRI Pricing'!$Q$16,'2. GRI Pricing Inputs'!$C$60:$C$61,0),MATCH('1. Accomodation'!T85,'2. GRI Pricing Inputs'!$C$60:$AI$60,0)),0)</f>
        <v>0</v>
      </c>
      <c r="R81" s="273">
        <f>IFERROR(INDEX('2. GRI Pricing Inputs'!$C$67:$AI$68,MATCH('3. GRI Pricing'!$R$16,'2. GRI Pricing Inputs'!$C$67:$C$68,0),MATCH('1. Accomodation'!U85,'2. GRI Pricing Inputs'!$C$67:$AI$67,0)),0)</f>
        <v>0</v>
      </c>
      <c r="S81" s="273">
        <f>IF(D81=0,0,'2. GRI Pricing Inputs'!$AI$75)</f>
        <v>70</v>
      </c>
      <c r="T81" s="273">
        <f>IFERROR(INDEX('2. GRI Pricing Inputs'!$C$82:$AI$83,MATCH('3. GRI Pricing'!$T$16,'2. GRI Pricing Inputs'!$C$82:$C$83,0),MATCH('1. Accomodation'!V85,'2. GRI Pricing Inputs'!$C$82:$AI$82,0)),0)</f>
        <v>0</v>
      </c>
      <c r="U81" s="273">
        <f>IFERROR(INDEX('2. GRI Pricing Inputs'!$C$89:$AI$90,MATCH('3. GRI Pricing'!$U$16,'2. GRI Pricing Inputs'!$C$89:$C$90,0),MATCH('1. Accomodation'!W85,'2. GRI Pricing Inputs'!$C$89:$AI$89,0)),0)</f>
        <v>0</v>
      </c>
      <c r="V81" s="273">
        <f>IFERROR(INDEX('2. GRI Pricing Inputs'!$C$97:$AI$98,MATCH('3. GRI Pricing'!$V$16,'2. GRI Pricing Inputs'!$C$97:$C$98,0),MATCH('1. Accomodation'!X85,'2. GRI Pricing Inputs'!$C$97:$AI$97,0)),0)</f>
        <v>0</v>
      </c>
      <c r="W81" s="273">
        <f>IFERROR(INDEX('2. GRI Pricing Inputs'!$C$104:$AI$105,MATCH('3. GRI Pricing'!$W$16,'2. GRI Pricing Inputs'!$C$104:$C$105,0),MATCH('1. Accomodation'!Y85,'2. GRI Pricing Inputs'!$C$104:$AI$104,0)),0)</f>
        <v>0</v>
      </c>
      <c r="X81" s="274">
        <v>0</v>
      </c>
      <c r="Y81" s="275">
        <f t="shared" si="7"/>
        <v>1020</v>
      </c>
      <c r="Z81" s="276"/>
      <c r="AA81" s="276"/>
      <c r="AB81" s="276"/>
      <c r="AC81" s="272">
        <f>Y81*(1+'2. GRI Pricing Inputs'!$D$114)^(($AC$16-$AB$15)/365)</f>
        <v>1023.4033610303555</v>
      </c>
      <c r="AD81" s="273">
        <f>AC81*(1+'2. GRI Pricing Inputs'!$D$114)^((AD$16-AC$16)/365)</f>
        <v>1026.7077480211799</v>
      </c>
      <c r="AE81" s="273">
        <f>AD81*(1+'2. GRI Pricing Inputs'!$D$114)^((AE$16-AD$16)/365)</f>
        <v>1030.133490314493</v>
      </c>
      <c r="AF81" s="273">
        <f>AE81*(1+'2. GRI Pricing Inputs'!$D$114)^((AF$16-AE$16)/365)</f>
        <v>1033.5706630370426</v>
      </c>
      <c r="AG81" s="273">
        <f>AF81*(1+'2. GRI Pricing Inputs'!$D$114)^((AG$16-AF$16)/365)</f>
        <v>1036.7964645112409</v>
      </c>
      <c r="AH81" s="273">
        <f>AG81*(1+'2. GRI Pricing Inputs'!$D$114)^((AH$16-AG$16)/365)</f>
        <v>1040.2558691031311</v>
      </c>
      <c r="AI81" s="273">
        <f>AH81*(1+'2. GRI Pricing Inputs'!$D$114)^((AI$16-AH$16)/365)</f>
        <v>1043.6146698378993</v>
      </c>
      <c r="AJ81" s="273">
        <f>AI81*(1+'2. GRI Pricing Inputs'!$D$114)^((AJ$16-AI$16)/365)</f>
        <v>1047.0968242477363</v>
      </c>
      <c r="AK81" s="273">
        <f>AJ81*(1+'2. GRI Pricing Inputs'!$D$114)^((AK$16-AJ$16)/365)</f>
        <v>1050.4777132069969</v>
      </c>
      <c r="AL81" s="273">
        <f>AK81*(1+'2. GRI Pricing Inputs'!$D$114)^((AL$16-AK$16)/365)</f>
        <v>1053.9827670426691</v>
      </c>
      <c r="AM81" s="273">
        <f>AL81*(1+'2. GRI Pricing Inputs'!$D$114)^((AM$16-AL$16)/365)</f>
        <v>1057.4995159407274</v>
      </c>
      <c r="AN81" s="273">
        <f>AM81*(1+'2. GRI Pricing Inputs'!$D$114)^((AN$16-AM$16)/365)</f>
        <v>1060.9139933367751</v>
      </c>
      <c r="AO81" s="273">
        <f>AN81*(1+'2. GRI Pricing Inputs'!$D$114)^((AO$16-AN$16)/365)</f>
        <v>1064.4538691617568</v>
      </c>
    </row>
    <row r="82" spans="3:41" ht="12" x14ac:dyDescent="0.2">
      <c r="C82" s="76" t="str">
        <f>'1. Accomodation'!N86</f>
        <v>502N</v>
      </c>
      <c r="D82" s="69" t="str">
        <f>'1. Accomodation'!P86</f>
        <v>2 Bed</v>
      </c>
      <c r="E82" s="69">
        <f>'1. Accomodation'!Q86</f>
        <v>2</v>
      </c>
      <c r="F82" s="77">
        <f>'1. Accomodation'!O86</f>
        <v>678</v>
      </c>
      <c r="G82" s="69">
        <f>'1. Accomodation'!R86</f>
        <v>5</v>
      </c>
      <c r="H82" s="69" t="str">
        <f>'1. Accomodation'!S86</f>
        <v>Courtyard</v>
      </c>
      <c r="I82" s="62"/>
      <c r="K82" s="272">
        <f>IFERROR(INDEX('2. GRI Pricing Inputs'!$C$15:$AI$16,MATCH($K$16,'2. GRI Pricing Inputs'!$C$15:$C$16,0),MATCH(D82,'2. GRI Pricing Inputs'!$C$15:$AI$15,0)),0)</f>
        <v>1110</v>
      </c>
      <c r="L82" s="273">
        <f>IFERROR(INDEX('2. GRI Pricing Inputs'!$C$22:$AI$23,MATCH($L$16,'2. GRI Pricing Inputs'!$C$22:$C$23,0),MATCH(E82,'2. GRI Pricing Inputs'!$C$22:$AI$22,0)),0)</f>
        <v>0</v>
      </c>
      <c r="M82" s="328">
        <f>IF(AND('3. GRI Pricing'!$F82&gt;='2. GRI Pricing Inputs'!$D$33,'3. GRI Pricing'!$F82&lt;='2. GRI Pricing Inputs'!$E$33),'2. GRI Pricing Inputs'!$D$32,IF(AND('3. GRI Pricing'!$F82&gt;='2. GRI Pricing Inputs'!$F$33,'3. GRI Pricing'!$F82&lt;='2. GRI Pricing Inputs'!$G$33),'2. GRI Pricing Inputs'!$F$32,IF(AND('3. GRI Pricing'!$F82&gt;='2. GRI Pricing Inputs'!$H$33,'3. GRI Pricing'!$F82&lt;='2. GRI Pricing Inputs'!$I$33),'2. GRI Pricing Inputs'!$H$32,IF(AND('3. GRI Pricing'!$F82&gt;='2. GRI Pricing Inputs'!$J$33,'3. GRI Pricing'!$F82&lt;='2. GRI Pricing Inputs'!$K$33),'2. GRI Pricing Inputs'!$J$32,IF(AND('3. GRI Pricing'!$F82&gt;='2. GRI Pricing Inputs'!$L$33,'3. GRI Pricing'!$F82&lt;='2. GRI Pricing Inputs'!$M$33),'2. GRI Pricing Inputs'!$L$32,IF(AND('3. GRI Pricing'!$F82&gt;='2. GRI Pricing Inputs'!$N$33,'3. GRI Pricing'!$F82&lt;='2. GRI Pricing Inputs'!$O$33),'2. GRI Pricing Inputs'!$N$32,IF(AND('3. GRI Pricing'!$F82&gt;='2. GRI Pricing Inputs'!$P$33,'3. GRI Pricing'!$F82&lt;='2. GRI Pricing Inputs'!$Q$33),'2. GRI Pricing Inputs'!$P$32,IF(AND('3. GRI Pricing'!$F82&gt;='2. GRI Pricing Inputs'!$R$33,'3. GRI Pricing'!$F82&lt;='2. GRI Pricing Inputs'!$S$33),'2. GRI Pricing Inputs'!$R$32,IF(AND('3. GRI Pricing'!$F82&gt;='2. GRI Pricing Inputs'!$T$33,'3. GRI Pricing'!$F82&lt;='2. GRI Pricing Inputs'!$U$33),'2. GRI Pricing Inputs'!$T$32,IF(AND('3. GRI Pricing'!$F82&gt;='2. GRI Pricing Inputs'!$V$33,'3. GRI Pricing'!$F82&lt;='2. GRI Pricing Inputs'!$W$33),'2. GRI Pricing Inputs'!$V$32,IF(AND('3. GRI Pricing'!$F82&gt;='2. GRI Pricing Inputs'!$X$33,'3. GRI Pricing'!$F82&lt;='2. GRI Pricing Inputs'!$Y$33),'2. GRI Pricing Inputs'!$X$32,IF(AND('3. GRI Pricing'!$F82&gt;='2. GRI Pricing Inputs'!$Z$33,'3. GRI Pricing'!$F82&lt;='2. GRI Pricing Inputs'!$AA$33),'2. GRI Pricing Inputs'!$Z$32,IF(AND('3. GRI Pricing'!$F82&gt;='2. GRI Pricing Inputs'!$AB$33,'3. GRI Pricing'!$F82&lt;='2. GRI Pricing Inputs'!$AC$33),'2. GRI Pricing Inputs'!$AB$32,IF(AND('3. GRI Pricing'!$F82&gt;='2. GRI Pricing Inputs'!$AD$33,'3. GRI Pricing'!$F82&lt;='2. GRI Pricing Inputs'!$AE$33),'2. GRI Pricing Inputs'!$AD$32,IF(AND('3. GRI Pricing'!$F82&gt;='2. GRI Pricing Inputs'!$AF$33,'3. GRI Pricing'!$F82&lt;='2. GRI Pricing Inputs'!$AG$33),'2. GRI Pricing Inputs'!$AF$32,IF(AND('3. GRI Pricing'!$F82&gt;='2. GRI Pricing Inputs'!$AH$33,'3. GRI Pricing'!$F82&lt;='2. GRI Pricing Inputs'!$AI$33),'2. GRI Pricing Inputs'!$AH$32,0))))))))))))))))</f>
        <v>10</v>
      </c>
      <c r="N82" s="273" cm="1">
        <f t="array" ref="N82">IFERROR(INDEX('2. GRI Pricing Inputs'!$C$32:$AI$39,MATCH('3. GRI Pricing'!D82,'2. GRI Pricing Inputs'!$C$32:$C$39,0),(MATCH('3. GRI Pricing'!M82,'2. GRI Pricing Inputs'!$D$32:$AI$32,0)+1)),0)</f>
        <v>40</v>
      </c>
      <c r="O82" s="273">
        <f>IFERROR(INDEX('2. GRI Pricing Inputs'!$C$45:$AI$46,MATCH($O$16,'2. GRI Pricing Inputs'!$C$45:$C$46,0),MATCH(G82,'2. GRI Pricing Inputs'!$C$45:$AI$45,0)),0)</f>
        <v>70</v>
      </c>
      <c r="P82" s="273">
        <f>IFERROR(INDEX('2. GRI Pricing Inputs'!$C$53:$AI$54,MATCH('3. GRI Pricing'!$P$16,'2. GRI Pricing Inputs'!$C$53:$C$54,0),MATCH('3. GRI Pricing'!H82,'2. GRI Pricing Inputs'!$C$53:$AI$53,0)),0)</f>
        <v>25</v>
      </c>
      <c r="Q82" s="273">
        <f>IFERROR(INDEX('2. GRI Pricing Inputs'!$C$60:$AI$61,MATCH('3. GRI Pricing'!$Q$16,'2. GRI Pricing Inputs'!$C$60:$C$61,0),MATCH('1. Accomodation'!T86,'2. GRI Pricing Inputs'!$C$60:$AI$60,0)),0)</f>
        <v>0</v>
      </c>
      <c r="R82" s="273">
        <f>IFERROR(INDEX('2. GRI Pricing Inputs'!$C$67:$AI$68,MATCH('3. GRI Pricing'!$R$16,'2. GRI Pricing Inputs'!$C$67:$C$68,0),MATCH('1. Accomodation'!U86,'2. GRI Pricing Inputs'!$C$67:$AI$67,0)),0)</f>
        <v>0</v>
      </c>
      <c r="S82" s="273">
        <f>IF(D82=0,0,'2. GRI Pricing Inputs'!$AI$75)</f>
        <v>70</v>
      </c>
      <c r="T82" s="273">
        <f>IFERROR(INDEX('2. GRI Pricing Inputs'!$C$82:$AI$83,MATCH('3. GRI Pricing'!$T$16,'2. GRI Pricing Inputs'!$C$82:$C$83,0),MATCH('1. Accomodation'!V86,'2. GRI Pricing Inputs'!$C$82:$AI$82,0)),0)</f>
        <v>0</v>
      </c>
      <c r="U82" s="273">
        <f>IFERROR(INDEX('2. GRI Pricing Inputs'!$C$89:$AI$90,MATCH('3. GRI Pricing'!$U$16,'2. GRI Pricing Inputs'!$C$89:$C$90,0),MATCH('1. Accomodation'!W86,'2. GRI Pricing Inputs'!$C$89:$AI$89,0)),0)</f>
        <v>0</v>
      </c>
      <c r="V82" s="273">
        <f>IFERROR(INDEX('2. GRI Pricing Inputs'!$C$97:$AI$98,MATCH('3. GRI Pricing'!$V$16,'2. GRI Pricing Inputs'!$C$97:$C$98,0),MATCH('1. Accomodation'!X86,'2. GRI Pricing Inputs'!$C$97:$AI$97,0)),0)</f>
        <v>0</v>
      </c>
      <c r="W82" s="273">
        <f>IFERROR(INDEX('2. GRI Pricing Inputs'!$C$104:$AI$105,MATCH('3. GRI Pricing'!$W$16,'2. GRI Pricing Inputs'!$C$104:$C$105,0),MATCH('1. Accomodation'!Y86,'2. GRI Pricing Inputs'!$C$104:$AI$104,0)),0)</f>
        <v>0</v>
      </c>
      <c r="X82" s="274">
        <v>0</v>
      </c>
      <c r="Y82" s="275">
        <f t="shared" ref="Y82:Y145" si="8">K82+L82+N82+O82+P82+Q82+R82+S82+T82+U82+V82+W82+X82</f>
        <v>1315</v>
      </c>
      <c r="Z82" s="276"/>
      <c r="AA82" s="276"/>
      <c r="AB82" s="276"/>
      <c r="AC82" s="272">
        <f>Y82*(1+'2. GRI Pricing Inputs'!$D$114)^(($AC$16-$AB$15)/365)</f>
        <v>1319.3876664263898</v>
      </c>
      <c r="AD82" s="273">
        <f>AC82*(1+'2. GRI Pricing Inputs'!$D$114)^((AD$16-AC$16)/365)</f>
        <v>1323.6477339684818</v>
      </c>
      <c r="AE82" s="273">
        <f>AD82*(1+'2. GRI Pricing Inputs'!$D$114)^((AE$16-AD$16)/365)</f>
        <v>1328.0642546701552</v>
      </c>
      <c r="AF82" s="273">
        <f>AE82*(1+'2. GRI Pricing Inputs'!$D$114)^((AF$16-AE$16)/365)</f>
        <v>1332.4955116605008</v>
      </c>
      <c r="AG82" s="273">
        <f>AF82*(1+'2. GRI Pricing Inputs'!$D$114)^((AG$16-AF$16)/365)</f>
        <v>1336.6542655218448</v>
      </c>
      <c r="AH82" s="273">
        <f>AG82*(1+'2. GRI Pricing Inputs'!$D$114)^((AH$16-AG$16)/365)</f>
        <v>1341.1141841868796</v>
      </c>
      <c r="AI82" s="273">
        <f>AH82*(1+'2. GRI Pricing Inputs'!$D$114)^((AI$16-AH$16)/365)</f>
        <v>1345.4444027812131</v>
      </c>
      <c r="AJ82" s="273">
        <f>AI82*(1+'2. GRI Pricing Inputs'!$D$114)^((AJ$16-AI$16)/365)</f>
        <v>1349.9336508684048</v>
      </c>
      <c r="AK82" s="273">
        <f>AJ82*(1+'2. GRI Pricing Inputs'!$D$114)^((AK$16-AJ$16)/365)</f>
        <v>1354.2923459482358</v>
      </c>
      <c r="AL82" s="273">
        <f>AK82*(1+'2. GRI Pricing Inputs'!$D$114)^((AL$16-AK$16)/365)</f>
        <v>1358.8111163344213</v>
      </c>
      <c r="AM82" s="273">
        <f>AL82*(1+'2. GRI Pricing Inputs'!$D$114)^((AM$16-AL$16)/365)</f>
        <v>1363.3449641784864</v>
      </c>
      <c r="AN82" s="273">
        <f>AM82*(1+'2. GRI Pricing Inputs'!$D$114)^((AN$16-AM$16)/365)</f>
        <v>1367.7469619979011</v>
      </c>
      <c r="AO82" s="273">
        <f>AN82*(1+'2. GRI Pricing Inputs'!$D$114)^((AO$16-AN$16)/365)</f>
        <v>1372.3106254389313</v>
      </c>
    </row>
    <row r="83" spans="3:41" ht="12" x14ac:dyDescent="0.2">
      <c r="C83" s="76" t="str">
        <f>'1. Accomodation'!N87</f>
        <v>503N</v>
      </c>
      <c r="D83" s="69" t="str">
        <f>'1. Accomodation'!P87</f>
        <v>2 Bed</v>
      </c>
      <c r="E83" s="69">
        <f>'1. Accomodation'!Q87</f>
        <v>2</v>
      </c>
      <c r="F83" s="77">
        <f>'1. Accomodation'!O87</f>
        <v>657</v>
      </c>
      <c r="G83" s="69">
        <f>'1. Accomodation'!R87</f>
        <v>5</v>
      </c>
      <c r="H83" s="69" t="str">
        <f>'1. Accomodation'!S87</f>
        <v>Courtyard</v>
      </c>
      <c r="I83" s="62"/>
      <c r="K83" s="272">
        <f>IFERROR(INDEX('2. GRI Pricing Inputs'!$C$15:$AI$16,MATCH($K$16,'2. GRI Pricing Inputs'!$C$15:$C$16,0),MATCH(D83,'2. GRI Pricing Inputs'!$C$15:$AI$15,0)),0)</f>
        <v>1110</v>
      </c>
      <c r="L83" s="273">
        <f>IFERROR(INDEX('2. GRI Pricing Inputs'!$C$22:$AI$23,MATCH($L$16,'2. GRI Pricing Inputs'!$C$22:$C$23,0),MATCH(E83,'2. GRI Pricing Inputs'!$C$22:$AI$22,0)),0)</f>
        <v>0</v>
      </c>
      <c r="M83" s="328">
        <f>IF(AND('3. GRI Pricing'!$F83&gt;='2. GRI Pricing Inputs'!$D$33,'3. GRI Pricing'!$F83&lt;='2. GRI Pricing Inputs'!$E$33),'2. GRI Pricing Inputs'!$D$32,IF(AND('3. GRI Pricing'!$F83&gt;='2. GRI Pricing Inputs'!$F$33,'3. GRI Pricing'!$F83&lt;='2. GRI Pricing Inputs'!$G$33),'2. GRI Pricing Inputs'!$F$32,IF(AND('3. GRI Pricing'!$F83&gt;='2. GRI Pricing Inputs'!$H$33,'3. GRI Pricing'!$F83&lt;='2. GRI Pricing Inputs'!$I$33),'2. GRI Pricing Inputs'!$H$32,IF(AND('3. GRI Pricing'!$F83&gt;='2. GRI Pricing Inputs'!$J$33,'3. GRI Pricing'!$F83&lt;='2. GRI Pricing Inputs'!$K$33),'2. GRI Pricing Inputs'!$J$32,IF(AND('3. GRI Pricing'!$F83&gt;='2. GRI Pricing Inputs'!$L$33,'3. GRI Pricing'!$F83&lt;='2. GRI Pricing Inputs'!$M$33),'2. GRI Pricing Inputs'!$L$32,IF(AND('3. GRI Pricing'!$F83&gt;='2. GRI Pricing Inputs'!$N$33,'3. GRI Pricing'!$F83&lt;='2. GRI Pricing Inputs'!$O$33),'2. GRI Pricing Inputs'!$N$32,IF(AND('3. GRI Pricing'!$F83&gt;='2. GRI Pricing Inputs'!$P$33,'3. GRI Pricing'!$F83&lt;='2. GRI Pricing Inputs'!$Q$33),'2. GRI Pricing Inputs'!$P$32,IF(AND('3. GRI Pricing'!$F83&gt;='2. GRI Pricing Inputs'!$R$33,'3. GRI Pricing'!$F83&lt;='2. GRI Pricing Inputs'!$S$33),'2. GRI Pricing Inputs'!$R$32,IF(AND('3. GRI Pricing'!$F83&gt;='2. GRI Pricing Inputs'!$T$33,'3. GRI Pricing'!$F83&lt;='2. GRI Pricing Inputs'!$U$33),'2. GRI Pricing Inputs'!$T$32,IF(AND('3. GRI Pricing'!$F83&gt;='2. GRI Pricing Inputs'!$V$33,'3. GRI Pricing'!$F83&lt;='2. GRI Pricing Inputs'!$W$33),'2. GRI Pricing Inputs'!$V$32,IF(AND('3. GRI Pricing'!$F83&gt;='2. GRI Pricing Inputs'!$X$33,'3. GRI Pricing'!$F83&lt;='2. GRI Pricing Inputs'!$Y$33),'2. GRI Pricing Inputs'!$X$32,IF(AND('3. GRI Pricing'!$F83&gt;='2. GRI Pricing Inputs'!$Z$33,'3. GRI Pricing'!$F83&lt;='2. GRI Pricing Inputs'!$AA$33),'2. GRI Pricing Inputs'!$Z$32,IF(AND('3. GRI Pricing'!$F83&gt;='2. GRI Pricing Inputs'!$AB$33,'3. GRI Pricing'!$F83&lt;='2. GRI Pricing Inputs'!$AC$33),'2. GRI Pricing Inputs'!$AB$32,IF(AND('3. GRI Pricing'!$F83&gt;='2. GRI Pricing Inputs'!$AD$33,'3. GRI Pricing'!$F83&lt;='2. GRI Pricing Inputs'!$AE$33),'2. GRI Pricing Inputs'!$AD$32,IF(AND('3. GRI Pricing'!$F83&gt;='2. GRI Pricing Inputs'!$AF$33,'3. GRI Pricing'!$F83&lt;='2. GRI Pricing Inputs'!$AG$33),'2. GRI Pricing Inputs'!$AF$32,IF(AND('3. GRI Pricing'!$F83&gt;='2. GRI Pricing Inputs'!$AH$33,'3. GRI Pricing'!$F83&lt;='2. GRI Pricing Inputs'!$AI$33),'2. GRI Pricing Inputs'!$AH$32,0))))))))))))))))</f>
        <v>8</v>
      </c>
      <c r="N83" s="273" cm="1">
        <f t="array" ref="N83">IFERROR(INDEX('2. GRI Pricing Inputs'!$C$32:$AI$39,MATCH('3. GRI Pricing'!D83,'2. GRI Pricing Inputs'!$C$32:$C$39,0),(MATCH('3. GRI Pricing'!M83,'2. GRI Pricing Inputs'!$D$32:$AI$32,0)+1)),0)</f>
        <v>20</v>
      </c>
      <c r="O83" s="273">
        <f>IFERROR(INDEX('2. GRI Pricing Inputs'!$C$45:$AI$46,MATCH($O$16,'2. GRI Pricing Inputs'!$C$45:$C$46,0),MATCH(G83,'2. GRI Pricing Inputs'!$C$45:$AI$45,0)),0)</f>
        <v>70</v>
      </c>
      <c r="P83" s="273">
        <f>IFERROR(INDEX('2. GRI Pricing Inputs'!$C$53:$AI$54,MATCH('3. GRI Pricing'!$P$16,'2. GRI Pricing Inputs'!$C$53:$C$54,0),MATCH('3. GRI Pricing'!H83,'2. GRI Pricing Inputs'!$C$53:$AI$53,0)),0)</f>
        <v>25</v>
      </c>
      <c r="Q83" s="273">
        <f>IFERROR(INDEX('2. GRI Pricing Inputs'!$C$60:$AI$61,MATCH('3. GRI Pricing'!$Q$16,'2. GRI Pricing Inputs'!$C$60:$C$61,0),MATCH('1. Accomodation'!T87,'2. GRI Pricing Inputs'!$C$60:$AI$60,0)),0)</f>
        <v>0</v>
      </c>
      <c r="R83" s="273">
        <f>IFERROR(INDEX('2. GRI Pricing Inputs'!$C$67:$AI$68,MATCH('3. GRI Pricing'!$R$16,'2. GRI Pricing Inputs'!$C$67:$C$68,0),MATCH('1. Accomodation'!U87,'2. GRI Pricing Inputs'!$C$67:$AI$67,0)),0)</f>
        <v>0</v>
      </c>
      <c r="S83" s="273">
        <f>IF(D83=0,0,'2. GRI Pricing Inputs'!$AI$75)</f>
        <v>70</v>
      </c>
      <c r="T83" s="273">
        <f>IFERROR(INDEX('2. GRI Pricing Inputs'!$C$82:$AI$83,MATCH('3. GRI Pricing'!$T$16,'2. GRI Pricing Inputs'!$C$82:$C$83,0),MATCH('1. Accomodation'!V87,'2. GRI Pricing Inputs'!$C$82:$AI$82,0)),0)</f>
        <v>0</v>
      </c>
      <c r="U83" s="273">
        <f>IFERROR(INDEX('2. GRI Pricing Inputs'!$C$89:$AI$90,MATCH('3. GRI Pricing'!$U$16,'2. GRI Pricing Inputs'!$C$89:$C$90,0),MATCH('1. Accomodation'!W87,'2. GRI Pricing Inputs'!$C$89:$AI$89,0)),0)</f>
        <v>0</v>
      </c>
      <c r="V83" s="273">
        <f>IFERROR(INDEX('2. GRI Pricing Inputs'!$C$97:$AI$98,MATCH('3. GRI Pricing'!$V$16,'2. GRI Pricing Inputs'!$C$97:$C$98,0),MATCH('1. Accomodation'!X87,'2. GRI Pricing Inputs'!$C$97:$AI$97,0)),0)</f>
        <v>0</v>
      </c>
      <c r="W83" s="273">
        <f>IFERROR(INDEX('2. GRI Pricing Inputs'!$C$104:$AI$105,MATCH('3. GRI Pricing'!$W$16,'2. GRI Pricing Inputs'!$C$104:$C$105,0),MATCH('1. Accomodation'!Y87,'2. GRI Pricing Inputs'!$C$104:$AI$104,0)),0)</f>
        <v>0</v>
      </c>
      <c r="X83" s="274">
        <v>0</v>
      </c>
      <c r="Y83" s="275">
        <f t="shared" si="8"/>
        <v>1295</v>
      </c>
      <c r="Z83" s="276"/>
      <c r="AA83" s="276"/>
      <c r="AB83" s="276"/>
      <c r="AC83" s="272">
        <f>Y83*(1+'2. GRI Pricing Inputs'!$D$114)^(($AC$16-$AB$15)/365)</f>
        <v>1299.3209338571671</v>
      </c>
      <c r="AD83" s="273">
        <f>AC83*(1+'2. GRI Pricing Inputs'!$D$114)^((AD$16-AC$16)/365)</f>
        <v>1303.5162094974783</v>
      </c>
      <c r="AE83" s="273">
        <f>AD83*(1+'2. GRI Pricing Inputs'!$D$114)^((AE$16-AD$16)/365)</f>
        <v>1307.8655587816356</v>
      </c>
      <c r="AF83" s="273">
        <f>AE83*(1+'2. GRI Pricing Inputs'!$D$114)^((AF$16-AE$16)/365)</f>
        <v>1312.229420228402</v>
      </c>
      <c r="AG83" s="273">
        <f>AF83*(1+'2. GRI Pricing Inputs'!$D$114)^((AG$16-AF$16)/365)</f>
        <v>1316.3249230804479</v>
      </c>
      <c r="AH83" s="273">
        <f>AG83*(1+'2. GRI Pricing Inputs'!$D$114)^((AH$16-AG$16)/365)</f>
        <v>1320.7170102828968</v>
      </c>
      <c r="AI83" s="273">
        <f>AH83*(1+'2. GRI Pricing Inputs'!$D$114)^((AI$16-AH$16)/365)</f>
        <v>1324.9813700392936</v>
      </c>
      <c r="AJ83" s="273">
        <f>AI83*(1+'2. GRI Pricing Inputs'!$D$114)^((AJ$16-AI$16)/365)</f>
        <v>1329.4023405890375</v>
      </c>
      <c r="AK83" s="273">
        <f>AJ83*(1+'2. GRI Pricing Inputs'!$D$114)^((AK$16-AJ$16)/365)</f>
        <v>1333.6947437284907</v>
      </c>
      <c r="AL83" s="273">
        <f>AK83*(1+'2. GRI Pricing Inputs'!$D$114)^((AL$16-AK$16)/365)</f>
        <v>1338.1447875688787</v>
      </c>
      <c r="AM83" s="273">
        <f>AL83*(1+'2. GRI Pricing Inputs'!$D$114)^((AM$16-AL$16)/365)</f>
        <v>1342.6096795521976</v>
      </c>
      <c r="AN83" s="273">
        <f>AM83*(1+'2. GRI Pricing Inputs'!$D$114)^((AN$16-AM$16)/365)</f>
        <v>1346.9447268344347</v>
      </c>
      <c r="AO83" s="273">
        <f>AN83*(1+'2. GRI Pricing Inputs'!$D$114)^((AO$16-AN$16)/365)</f>
        <v>1351.4389809455633</v>
      </c>
    </row>
    <row r="84" spans="3:41" ht="12" x14ac:dyDescent="0.2">
      <c r="C84" s="76" t="str">
        <f>'1. Accomodation'!N88</f>
        <v>504N</v>
      </c>
      <c r="D84" s="69" t="str">
        <f>'1. Accomodation'!P88</f>
        <v>3 Bed</v>
      </c>
      <c r="E84" s="69">
        <f>'1. Accomodation'!Q88</f>
        <v>2</v>
      </c>
      <c r="F84" s="77">
        <f>'1. Accomodation'!O88</f>
        <v>818</v>
      </c>
      <c r="G84" s="69">
        <f>'1. Accomodation'!R88</f>
        <v>5</v>
      </c>
      <c r="H84" s="69" t="str">
        <f>'1. Accomodation'!S88</f>
        <v>Pottery Lane</v>
      </c>
      <c r="I84" s="62"/>
      <c r="K84" s="272">
        <f>IFERROR(INDEX('2. GRI Pricing Inputs'!$C$15:$AI$16,MATCH($K$16,'2. GRI Pricing Inputs'!$C$15:$C$16,0),MATCH(D84,'2. GRI Pricing Inputs'!$C$15:$AI$15,0)),0)</f>
        <v>1485</v>
      </c>
      <c r="L84" s="273">
        <f>IFERROR(INDEX('2. GRI Pricing Inputs'!$C$22:$AI$23,MATCH($L$16,'2. GRI Pricing Inputs'!$C$22:$C$23,0),MATCH(E84,'2. GRI Pricing Inputs'!$C$22:$AI$22,0)),0)</f>
        <v>0</v>
      </c>
      <c r="M84" s="328">
        <f>IF(AND('3. GRI Pricing'!$F84&gt;='2. GRI Pricing Inputs'!$D$33,'3. GRI Pricing'!$F84&lt;='2. GRI Pricing Inputs'!$E$33),'2. GRI Pricing Inputs'!$D$32,IF(AND('3. GRI Pricing'!$F84&gt;='2. GRI Pricing Inputs'!$F$33,'3. GRI Pricing'!$F84&lt;='2. GRI Pricing Inputs'!$G$33),'2. GRI Pricing Inputs'!$F$32,IF(AND('3. GRI Pricing'!$F84&gt;='2. GRI Pricing Inputs'!$H$33,'3. GRI Pricing'!$F84&lt;='2. GRI Pricing Inputs'!$I$33),'2. GRI Pricing Inputs'!$H$32,IF(AND('3. GRI Pricing'!$F84&gt;='2. GRI Pricing Inputs'!$J$33,'3. GRI Pricing'!$F84&lt;='2. GRI Pricing Inputs'!$K$33),'2. GRI Pricing Inputs'!$J$32,IF(AND('3. GRI Pricing'!$F84&gt;='2. GRI Pricing Inputs'!$L$33,'3. GRI Pricing'!$F84&lt;='2. GRI Pricing Inputs'!$M$33),'2. GRI Pricing Inputs'!$L$32,IF(AND('3. GRI Pricing'!$F84&gt;='2. GRI Pricing Inputs'!$N$33,'3. GRI Pricing'!$F84&lt;='2. GRI Pricing Inputs'!$O$33),'2. GRI Pricing Inputs'!$N$32,IF(AND('3. GRI Pricing'!$F84&gt;='2. GRI Pricing Inputs'!$P$33,'3. GRI Pricing'!$F84&lt;='2. GRI Pricing Inputs'!$Q$33),'2. GRI Pricing Inputs'!$P$32,IF(AND('3. GRI Pricing'!$F84&gt;='2. GRI Pricing Inputs'!$R$33,'3. GRI Pricing'!$F84&lt;='2. GRI Pricing Inputs'!$S$33),'2. GRI Pricing Inputs'!$R$32,IF(AND('3. GRI Pricing'!$F84&gt;='2. GRI Pricing Inputs'!$T$33,'3. GRI Pricing'!$F84&lt;='2. GRI Pricing Inputs'!$U$33),'2. GRI Pricing Inputs'!$T$32,IF(AND('3. GRI Pricing'!$F84&gt;='2. GRI Pricing Inputs'!$V$33,'3. GRI Pricing'!$F84&lt;='2. GRI Pricing Inputs'!$W$33),'2. GRI Pricing Inputs'!$V$32,IF(AND('3. GRI Pricing'!$F84&gt;='2. GRI Pricing Inputs'!$X$33,'3. GRI Pricing'!$F84&lt;='2. GRI Pricing Inputs'!$Y$33),'2. GRI Pricing Inputs'!$X$32,IF(AND('3. GRI Pricing'!$F84&gt;='2. GRI Pricing Inputs'!$Z$33,'3. GRI Pricing'!$F84&lt;='2. GRI Pricing Inputs'!$AA$33),'2. GRI Pricing Inputs'!$Z$32,IF(AND('3. GRI Pricing'!$F84&gt;='2. GRI Pricing Inputs'!$AB$33,'3. GRI Pricing'!$F84&lt;='2. GRI Pricing Inputs'!$AC$33),'2. GRI Pricing Inputs'!$AB$32,IF(AND('3. GRI Pricing'!$F84&gt;='2. GRI Pricing Inputs'!$AD$33,'3. GRI Pricing'!$F84&lt;='2. GRI Pricing Inputs'!$AE$33),'2. GRI Pricing Inputs'!$AD$32,IF(AND('3. GRI Pricing'!$F84&gt;='2. GRI Pricing Inputs'!$AF$33,'3. GRI Pricing'!$F84&lt;='2. GRI Pricing Inputs'!$AG$33),'2. GRI Pricing Inputs'!$AF$32,IF(AND('3. GRI Pricing'!$F84&gt;='2. GRI Pricing Inputs'!$AH$33,'3. GRI Pricing'!$F84&lt;='2. GRI Pricing Inputs'!$AI$33),'2. GRI Pricing Inputs'!$AH$32,0))))))))))))))))</f>
        <v>13</v>
      </c>
      <c r="N84" s="273" cm="1">
        <f t="array" ref="N84">IFERROR(INDEX('2. GRI Pricing Inputs'!$C$32:$AI$39,MATCH('3. GRI Pricing'!D84,'2. GRI Pricing Inputs'!$C$32:$C$39,0),(MATCH('3. GRI Pricing'!M84,'2. GRI Pricing Inputs'!$D$32:$AI$32,0)+1)),0)</f>
        <v>50</v>
      </c>
      <c r="O84" s="273">
        <f>IFERROR(INDEX('2. GRI Pricing Inputs'!$C$45:$AI$46,MATCH($O$16,'2. GRI Pricing Inputs'!$C$45:$C$46,0),MATCH(G84,'2. GRI Pricing Inputs'!$C$45:$AI$45,0)),0)</f>
        <v>70</v>
      </c>
      <c r="P84" s="273">
        <f>IFERROR(INDEX('2. GRI Pricing Inputs'!$C$53:$AI$54,MATCH('3. GRI Pricing'!$P$16,'2. GRI Pricing Inputs'!$C$53:$C$54,0),MATCH('3. GRI Pricing'!H84,'2. GRI Pricing Inputs'!$C$53:$AI$53,0)),0)</f>
        <v>10</v>
      </c>
      <c r="Q84" s="273">
        <f>IFERROR(INDEX('2. GRI Pricing Inputs'!$C$60:$AI$61,MATCH('3. GRI Pricing'!$Q$16,'2. GRI Pricing Inputs'!$C$60:$C$61,0),MATCH('1. Accomodation'!T88,'2. GRI Pricing Inputs'!$C$60:$AI$60,0)),0)</f>
        <v>0</v>
      </c>
      <c r="R84" s="273">
        <f>IFERROR(INDEX('2. GRI Pricing Inputs'!$C$67:$AI$68,MATCH('3. GRI Pricing'!$R$16,'2. GRI Pricing Inputs'!$C$67:$C$68,0),MATCH('1. Accomodation'!U88,'2. GRI Pricing Inputs'!$C$67:$AI$67,0)),0)</f>
        <v>0</v>
      </c>
      <c r="S84" s="273">
        <f>IF(D84=0,0,'2. GRI Pricing Inputs'!$AI$75)</f>
        <v>70</v>
      </c>
      <c r="T84" s="273">
        <f>IFERROR(INDEX('2. GRI Pricing Inputs'!$C$82:$AI$83,MATCH('3. GRI Pricing'!$T$16,'2. GRI Pricing Inputs'!$C$82:$C$83,0),MATCH('1. Accomodation'!V88,'2. GRI Pricing Inputs'!$C$82:$AI$82,0)),0)</f>
        <v>0</v>
      </c>
      <c r="U84" s="273">
        <f>IFERROR(INDEX('2. GRI Pricing Inputs'!$C$89:$AI$90,MATCH('3. GRI Pricing'!$U$16,'2. GRI Pricing Inputs'!$C$89:$C$90,0),MATCH('1. Accomodation'!W88,'2. GRI Pricing Inputs'!$C$89:$AI$89,0)),0)</f>
        <v>0</v>
      </c>
      <c r="V84" s="273">
        <f>IFERROR(INDEX('2. GRI Pricing Inputs'!$C$97:$AI$98,MATCH('3. GRI Pricing'!$V$16,'2. GRI Pricing Inputs'!$C$97:$C$98,0),MATCH('1. Accomodation'!X88,'2. GRI Pricing Inputs'!$C$97:$AI$97,0)),0)</f>
        <v>0</v>
      </c>
      <c r="W84" s="273">
        <f>IFERROR(INDEX('2. GRI Pricing Inputs'!$C$104:$AI$105,MATCH('3. GRI Pricing'!$W$16,'2. GRI Pricing Inputs'!$C$104:$C$105,0),MATCH('1. Accomodation'!Y88,'2. GRI Pricing Inputs'!$C$104:$AI$104,0)),0)</f>
        <v>0</v>
      </c>
      <c r="X84" s="274">
        <v>0</v>
      </c>
      <c r="Y84" s="275">
        <f t="shared" si="8"/>
        <v>1685</v>
      </c>
      <c r="Z84" s="276"/>
      <c r="AA84" s="276"/>
      <c r="AB84" s="276"/>
      <c r="AC84" s="272">
        <f>Y84*(1+'2. GRI Pricing Inputs'!$D$114)^(($AC$16-$AB$15)/365)</f>
        <v>1690.622218957009</v>
      </c>
      <c r="AD84" s="273">
        <f>AC84*(1+'2. GRI Pricing Inputs'!$D$114)^((AD$16-AC$16)/365)</f>
        <v>1696.080936682047</v>
      </c>
      <c r="AE84" s="273">
        <f>AD84*(1+'2. GRI Pricing Inputs'!$D$114)^((AE$16-AD$16)/365)</f>
        <v>1701.7401286077652</v>
      </c>
      <c r="AF84" s="273">
        <f>AE84*(1+'2. GRI Pricing Inputs'!$D$114)^((AF$16-AE$16)/365)</f>
        <v>1707.4182031543298</v>
      </c>
      <c r="AG84" s="273">
        <f>AF84*(1+'2. GRI Pricing Inputs'!$D$114)^((AG$16-AF$16)/365)</f>
        <v>1712.7471006876867</v>
      </c>
      <c r="AH84" s="273">
        <f>AG84*(1+'2. GRI Pricing Inputs'!$D$114)^((AH$16-AG$16)/365)</f>
        <v>1718.4619014105642</v>
      </c>
      <c r="AI84" s="273">
        <f>AH84*(1+'2. GRI Pricing Inputs'!$D$114)^((AI$16-AH$16)/365)</f>
        <v>1724.0105085067253</v>
      </c>
      <c r="AJ84" s="273">
        <f>AI84*(1+'2. GRI Pricing Inputs'!$D$114)^((AJ$16-AI$16)/365)</f>
        <v>1729.7628910367011</v>
      </c>
      <c r="AK84" s="273">
        <f>AJ84*(1+'2. GRI Pricing Inputs'!$D$114)^((AK$16-AJ$16)/365)</f>
        <v>1735.3479870135186</v>
      </c>
      <c r="AL84" s="273">
        <f>AK84*(1+'2. GRI Pricing Inputs'!$D$114)^((AL$16-AK$16)/365)</f>
        <v>1741.1381984969576</v>
      </c>
      <c r="AM84" s="273">
        <f>AL84*(1+'2. GRI Pricing Inputs'!$D$114)^((AM$16-AL$16)/365)</f>
        <v>1746.9477297648282</v>
      </c>
      <c r="AN84" s="273">
        <f>AM84*(1+'2. GRI Pricing Inputs'!$D$114)^((AN$16-AM$16)/365)</f>
        <v>1752.5883125220248</v>
      </c>
      <c r="AO84" s="273">
        <f>AN84*(1+'2. GRI Pricing Inputs'!$D$114)^((AO$16-AN$16)/365)</f>
        <v>1758.4360485662346</v>
      </c>
    </row>
    <row r="85" spans="3:41" ht="12" x14ac:dyDescent="0.2">
      <c r="C85" s="76" t="str">
        <f>'1. Accomodation'!N89</f>
        <v>505N</v>
      </c>
      <c r="D85" s="69" t="str">
        <f>'1. Accomodation'!P89</f>
        <v>2 Bed</v>
      </c>
      <c r="E85" s="69">
        <f>'1. Accomodation'!Q89</f>
        <v>2</v>
      </c>
      <c r="F85" s="77">
        <f>'1. Accomodation'!O89</f>
        <v>667</v>
      </c>
      <c r="G85" s="69">
        <f>'1. Accomodation'!R89</f>
        <v>5</v>
      </c>
      <c r="H85" s="69" t="str">
        <f>'1. Accomodation'!S89</f>
        <v>Forth Banks/Pottery Lane</v>
      </c>
      <c r="I85" s="62"/>
      <c r="K85" s="272">
        <f>IFERROR(INDEX('2. GRI Pricing Inputs'!$C$15:$AI$16,MATCH($K$16,'2. GRI Pricing Inputs'!$C$15:$C$16,0),MATCH(D85,'2. GRI Pricing Inputs'!$C$15:$AI$15,0)),0)</f>
        <v>1110</v>
      </c>
      <c r="L85" s="273">
        <f>IFERROR(INDEX('2. GRI Pricing Inputs'!$C$22:$AI$23,MATCH($L$16,'2. GRI Pricing Inputs'!$C$22:$C$23,0),MATCH(E85,'2. GRI Pricing Inputs'!$C$22:$AI$22,0)),0)</f>
        <v>0</v>
      </c>
      <c r="M85" s="328">
        <f>IF(AND('3. GRI Pricing'!$F85&gt;='2. GRI Pricing Inputs'!$D$33,'3. GRI Pricing'!$F85&lt;='2. GRI Pricing Inputs'!$E$33),'2. GRI Pricing Inputs'!$D$32,IF(AND('3. GRI Pricing'!$F85&gt;='2. GRI Pricing Inputs'!$F$33,'3. GRI Pricing'!$F85&lt;='2. GRI Pricing Inputs'!$G$33),'2. GRI Pricing Inputs'!$F$32,IF(AND('3. GRI Pricing'!$F85&gt;='2. GRI Pricing Inputs'!$H$33,'3. GRI Pricing'!$F85&lt;='2. GRI Pricing Inputs'!$I$33),'2. GRI Pricing Inputs'!$H$32,IF(AND('3. GRI Pricing'!$F85&gt;='2. GRI Pricing Inputs'!$J$33,'3. GRI Pricing'!$F85&lt;='2. GRI Pricing Inputs'!$K$33),'2. GRI Pricing Inputs'!$J$32,IF(AND('3. GRI Pricing'!$F85&gt;='2. GRI Pricing Inputs'!$L$33,'3. GRI Pricing'!$F85&lt;='2. GRI Pricing Inputs'!$M$33),'2. GRI Pricing Inputs'!$L$32,IF(AND('3. GRI Pricing'!$F85&gt;='2. GRI Pricing Inputs'!$N$33,'3. GRI Pricing'!$F85&lt;='2. GRI Pricing Inputs'!$O$33),'2. GRI Pricing Inputs'!$N$32,IF(AND('3. GRI Pricing'!$F85&gt;='2. GRI Pricing Inputs'!$P$33,'3. GRI Pricing'!$F85&lt;='2. GRI Pricing Inputs'!$Q$33),'2. GRI Pricing Inputs'!$P$32,IF(AND('3. GRI Pricing'!$F85&gt;='2. GRI Pricing Inputs'!$R$33,'3. GRI Pricing'!$F85&lt;='2. GRI Pricing Inputs'!$S$33),'2. GRI Pricing Inputs'!$R$32,IF(AND('3. GRI Pricing'!$F85&gt;='2. GRI Pricing Inputs'!$T$33,'3. GRI Pricing'!$F85&lt;='2. GRI Pricing Inputs'!$U$33),'2. GRI Pricing Inputs'!$T$32,IF(AND('3. GRI Pricing'!$F85&gt;='2. GRI Pricing Inputs'!$V$33,'3. GRI Pricing'!$F85&lt;='2. GRI Pricing Inputs'!$W$33),'2. GRI Pricing Inputs'!$V$32,IF(AND('3. GRI Pricing'!$F85&gt;='2. GRI Pricing Inputs'!$X$33,'3. GRI Pricing'!$F85&lt;='2. GRI Pricing Inputs'!$Y$33),'2. GRI Pricing Inputs'!$X$32,IF(AND('3. GRI Pricing'!$F85&gt;='2. GRI Pricing Inputs'!$Z$33,'3. GRI Pricing'!$F85&lt;='2. GRI Pricing Inputs'!$AA$33),'2. GRI Pricing Inputs'!$Z$32,IF(AND('3. GRI Pricing'!$F85&gt;='2. GRI Pricing Inputs'!$AB$33,'3. GRI Pricing'!$F85&lt;='2. GRI Pricing Inputs'!$AC$33),'2. GRI Pricing Inputs'!$AB$32,IF(AND('3. GRI Pricing'!$F85&gt;='2. GRI Pricing Inputs'!$AD$33,'3. GRI Pricing'!$F85&lt;='2. GRI Pricing Inputs'!$AE$33),'2. GRI Pricing Inputs'!$AD$32,IF(AND('3. GRI Pricing'!$F85&gt;='2. GRI Pricing Inputs'!$AF$33,'3. GRI Pricing'!$F85&lt;='2. GRI Pricing Inputs'!$AG$33),'2. GRI Pricing Inputs'!$AF$32,IF(AND('3. GRI Pricing'!$F85&gt;='2. GRI Pricing Inputs'!$AH$33,'3. GRI Pricing'!$F85&lt;='2. GRI Pricing Inputs'!$AI$33),'2. GRI Pricing Inputs'!$AH$32,0))))))))))))))))</f>
        <v>9</v>
      </c>
      <c r="N85" s="273" cm="1">
        <f t="array" ref="N85">IFERROR(INDEX('2. GRI Pricing Inputs'!$C$32:$AI$39,MATCH('3. GRI Pricing'!D85,'2. GRI Pricing Inputs'!$C$32:$C$39,0),(MATCH('3. GRI Pricing'!M85,'2. GRI Pricing Inputs'!$D$32:$AI$32,0)+1)),0)</f>
        <v>30</v>
      </c>
      <c r="O85" s="273">
        <f>IFERROR(INDEX('2. GRI Pricing Inputs'!$C$45:$AI$46,MATCH($O$16,'2. GRI Pricing Inputs'!$C$45:$C$46,0),MATCH(G85,'2. GRI Pricing Inputs'!$C$45:$AI$45,0)),0)</f>
        <v>70</v>
      </c>
      <c r="P85" s="273">
        <f>IFERROR(INDEX('2. GRI Pricing Inputs'!$C$53:$AI$54,MATCH('3. GRI Pricing'!$P$16,'2. GRI Pricing Inputs'!$C$53:$C$54,0),MATCH('3. GRI Pricing'!H85,'2. GRI Pricing Inputs'!$C$53:$AI$53,0)),0)</f>
        <v>10</v>
      </c>
      <c r="Q85" s="273">
        <f>IFERROR(INDEX('2. GRI Pricing Inputs'!$C$60:$AI$61,MATCH('3. GRI Pricing'!$Q$16,'2. GRI Pricing Inputs'!$C$60:$C$61,0),MATCH('1. Accomodation'!T89,'2. GRI Pricing Inputs'!$C$60:$AI$60,0)),0)</f>
        <v>0</v>
      </c>
      <c r="R85" s="273">
        <f>IFERROR(INDEX('2. GRI Pricing Inputs'!$C$67:$AI$68,MATCH('3. GRI Pricing'!$R$16,'2. GRI Pricing Inputs'!$C$67:$C$68,0),MATCH('1. Accomodation'!U89,'2. GRI Pricing Inputs'!$C$67:$AI$67,0)),0)</f>
        <v>0</v>
      </c>
      <c r="S85" s="273">
        <f>IF(D85=0,0,'2. GRI Pricing Inputs'!$AI$75)</f>
        <v>70</v>
      </c>
      <c r="T85" s="273">
        <f>IFERROR(INDEX('2. GRI Pricing Inputs'!$C$82:$AI$83,MATCH('3. GRI Pricing'!$T$16,'2. GRI Pricing Inputs'!$C$82:$C$83,0),MATCH('1. Accomodation'!V89,'2. GRI Pricing Inputs'!$C$82:$AI$82,0)),0)</f>
        <v>0</v>
      </c>
      <c r="U85" s="273">
        <f>IFERROR(INDEX('2. GRI Pricing Inputs'!$C$89:$AI$90,MATCH('3. GRI Pricing'!$U$16,'2. GRI Pricing Inputs'!$C$89:$C$90,0),MATCH('1. Accomodation'!W89,'2. GRI Pricing Inputs'!$C$89:$AI$89,0)),0)</f>
        <v>0</v>
      </c>
      <c r="V85" s="273">
        <f>IFERROR(INDEX('2. GRI Pricing Inputs'!$C$97:$AI$98,MATCH('3. GRI Pricing'!$V$16,'2. GRI Pricing Inputs'!$C$97:$C$98,0),MATCH('1. Accomodation'!X89,'2. GRI Pricing Inputs'!$C$97:$AI$97,0)),0)</f>
        <v>0</v>
      </c>
      <c r="W85" s="273">
        <f>IFERROR(INDEX('2. GRI Pricing Inputs'!$C$104:$AI$105,MATCH('3. GRI Pricing'!$W$16,'2. GRI Pricing Inputs'!$C$104:$C$105,0),MATCH('1. Accomodation'!Y89,'2. GRI Pricing Inputs'!$C$104:$AI$104,0)),0)</f>
        <v>0</v>
      </c>
      <c r="X85" s="274">
        <v>0</v>
      </c>
      <c r="Y85" s="275">
        <f t="shared" si="8"/>
        <v>1290</v>
      </c>
      <c r="Z85" s="276"/>
      <c r="AA85" s="276"/>
      <c r="AB85" s="276"/>
      <c r="AC85" s="272">
        <f>Y85*(1+'2. GRI Pricing Inputs'!$D$114)^(($AC$16-$AB$15)/365)</f>
        <v>1294.3042507148614</v>
      </c>
      <c r="AD85" s="273">
        <f>AC85*(1+'2. GRI Pricing Inputs'!$D$114)^((AD$16-AC$16)/365)</f>
        <v>1298.4833283797273</v>
      </c>
      <c r="AE85" s="273">
        <f>AD85*(1+'2. GRI Pricing Inputs'!$D$114)^((AE$16-AD$16)/365)</f>
        <v>1302.8158848095056</v>
      </c>
      <c r="AF85" s="273">
        <f>AE85*(1+'2. GRI Pricing Inputs'!$D$114)^((AF$16-AE$16)/365)</f>
        <v>1307.1628973703771</v>
      </c>
      <c r="AG85" s="273">
        <f>AF85*(1+'2. GRI Pricing Inputs'!$D$114)^((AG$16-AF$16)/365)</f>
        <v>1311.2425874700984</v>
      </c>
      <c r="AH85" s="273">
        <f>AG85*(1+'2. GRI Pricing Inputs'!$D$114)^((AH$16-AG$16)/365)</f>
        <v>1315.6177168069007</v>
      </c>
      <c r="AI85" s="273">
        <f>AH85*(1+'2. GRI Pricing Inputs'!$D$114)^((AI$16-AH$16)/365)</f>
        <v>1319.8656118538133</v>
      </c>
      <c r="AJ85" s="273">
        <f>AI85*(1+'2. GRI Pricing Inputs'!$D$114)^((AJ$16-AI$16)/365)</f>
        <v>1324.2695130191953</v>
      </c>
      <c r="AK85" s="273">
        <f>AJ85*(1+'2. GRI Pricing Inputs'!$D$114)^((AK$16-AJ$16)/365)</f>
        <v>1328.5453431735541</v>
      </c>
      <c r="AL85" s="273">
        <f>AK85*(1+'2. GRI Pricing Inputs'!$D$114)^((AL$16-AK$16)/365)</f>
        <v>1332.9782053774925</v>
      </c>
      <c r="AM85" s="273">
        <f>AL85*(1+'2. GRI Pricing Inputs'!$D$114)^((AM$16-AL$16)/365)</f>
        <v>1337.4258583956248</v>
      </c>
      <c r="AN85" s="273">
        <f>AM85*(1+'2. GRI Pricing Inputs'!$D$114)^((AN$16-AM$16)/365)</f>
        <v>1341.7441680435675</v>
      </c>
      <c r="AO85" s="273">
        <f>AN85*(1+'2. GRI Pricing Inputs'!$D$114)^((AO$16-AN$16)/365)</f>
        <v>1346.2210698222207</v>
      </c>
    </row>
    <row r="86" spans="3:41" ht="12" x14ac:dyDescent="0.2">
      <c r="C86" s="76" t="str">
        <f>'1. Accomodation'!N90</f>
        <v>506N</v>
      </c>
      <c r="D86" s="69" t="str">
        <f>'1. Accomodation'!P90</f>
        <v>1 Bed</v>
      </c>
      <c r="E86" s="69">
        <f>'1. Accomodation'!Q90</f>
        <v>1</v>
      </c>
      <c r="F86" s="77">
        <f>'1. Accomodation'!O90</f>
        <v>441</v>
      </c>
      <c r="G86" s="69">
        <f>'1. Accomodation'!R90</f>
        <v>5</v>
      </c>
      <c r="H86" s="69" t="str">
        <f>'1. Accomodation'!S90</f>
        <v>Forth Banks</v>
      </c>
      <c r="I86" s="62"/>
      <c r="K86" s="272">
        <f>IFERROR(INDEX('2. GRI Pricing Inputs'!$C$15:$AI$16,MATCH($K$16,'2. GRI Pricing Inputs'!$C$15:$C$16,0),MATCH(D86,'2. GRI Pricing Inputs'!$C$15:$AI$15,0)),0)</f>
        <v>845</v>
      </c>
      <c r="L86" s="273">
        <f>IFERROR(INDEX('2. GRI Pricing Inputs'!$C$22:$AI$23,MATCH($L$16,'2. GRI Pricing Inputs'!$C$22:$C$23,0),MATCH(E86,'2. GRI Pricing Inputs'!$C$22:$AI$22,0)),0)</f>
        <v>0</v>
      </c>
      <c r="M86" s="328">
        <f>IF(AND('3. GRI Pricing'!$F86&gt;='2. GRI Pricing Inputs'!$D$33,'3. GRI Pricing'!$F86&lt;='2. GRI Pricing Inputs'!$E$33),'2. GRI Pricing Inputs'!$D$32,IF(AND('3. GRI Pricing'!$F86&gt;='2. GRI Pricing Inputs'!$F$33,'3. GRI Pricing'!$F86&lt;='2. GRI Pricing Inputs'!$G$33),'2. GRI Pricing Inputs'!$F$32,IF(AND('3. GRI Pricing'!$F86&gt;='2. GRI Pricing Inputs'!$H$33,'3. GRI Pricing'!$F86&lt;='2. GRI Pricing Inputs'!$I$33),'2. GRI Pricing Inputs'!$H$32,IF(AND('3. GRI Pricing'!$F86&gt;='2. GRI Pricing Inputs'!$J$33,'3. GRI Pricing'!$F86&lt;='2. GRI Pricing Inputs'!$K$33),'2. GRI Pricing Inputs'!$J$32,IF(AND('3. GRI Pricing'!$F86&gt;='2. GRI Pricing Inputs'!$L$33,'3. GRI Pricing'!$F86&lt;='2. GRI Pricing Inputs'!$M$33),'2. GRI Pricing Inputs'!$L$32,IF(AND('3. GRI Pricing'!$F86&gt;='2. GRI Pricing Inputs'!$N$33,'3. GRI Pricing'!$F86&lt;='2. GRI Pricing Inputs'!$O$33),'2. GRI Pricing Inputs'!$N$32,IF(AND('3. GRI Pricing'!$F86&gt;='2. GRI Pricing Inputs'!$P$33,'3. GRI Pricing'!$F86&lt;='2. GRI Pricing Inputs'!$Q$33),'2. GRI Pricing Inputs'!$P$32,IF(AND('3. GRI Pricing'!$F86&gt;='2. GRI Pricing Inputs'!$R$33,'3. GRI Pricing'!$F86&lt;='2. GRI Pricing Inputs'!$S$33),'2. GRI Pricing Inputs'!$R$32,IF(AND('3. GRI Pricing'!$F86&gt;='2. GRI Pricing Inputs'!$T$33,'3. GRI Pricing'!$F86&lt;='2. GRI Pricing Inputs'!$U$33),'2. GRI Pricing Inputs'!$T$32,IF(AND('3. GRI Pricing'!$F86&gt;='2. GRI Pricing Inputs'!$V$33,'3. GRI Pricing'!$F86&lt;='2. GRI Pricing Inputs'!$W$33),'2. GRI Pricing Inputs'!$V$32,IF(AND('3. GRI Pricing'!$F86&gt;='2. GRI Pricing Inputs'!$X$33,'3. GRI Pricing'!$F86&lt;='2. GRI Pricing Inputs'!$Y$33),'2. GRI Pricing Inputs'!$X$32,IF(AND('3. GRI Pricing'!$F86&gt;='2. GRI Pricing Inputs'!$Z$33,'3. GRI Pricing'!$F86&lt;='2. GRI Pricing Inputs'!$AA$33),'2. GRI Pricing Inputs'!$Z$32,IF(AND('3. GRI Pricing'!$F86&gt;='2. GRI Pricing Inputs'!$AB$33,'3. GRI Pricing'!$F86&lt;='2. GRI Pricing Inputs'!$AC$33),'2. GRI Pricing Inputs'!$AB$32,IF(AND('3. GRI Pricing'!$F86&gt;='2. GRI Pricing Inputs'!$AD$33,'3. GRI Pricing'!$F86&lt;='2. GRI Pricing Inputs'!$AE$33),'2. GRI Pricing Inputs'!$AD$32,IF(AND('3. GRI Pricing'!$F86&gt;='2. GRI Pricing Inputs'!$AF$33,'3. GRI Pricing'!$F86&lt;='2. GRI Pricing Inputs'!$AG$33),'2. GRI Pricing Inputs'!$AF$32,IF(AND('3. GRI Pricing'!$F86&gt;='2. GRI Pricing Inputs'!$AH$33,'3. GRI Pricing'!$F86&lt;='2. GRI Pricing Inputs'!$AI$33),'2. GRI Pricing Inputs'!$AH$32,0))))))))))))))))</f>
        <v>0</v>
      </c>
      <c r="N86" s="273" cm="1">
        <f t="array" ref="N86">IFERROR(INDEX('2. GRI Pricing Inputs'!$C$32:$AI$39,MATCH('3. GRI Pricing'!D86,'2. GRI Pricing Inputs'!$C$32:$C$39,0),(MATCH('3. GRI Pricing'!M86,'2. GRI Pricing Inputs'!$D$32:$AI$32,0)+1)),0)</f>
        <v>0</v>
      </c>
      <c r="O86" s="273">
        <f>IFERROR(INDEX('2. GRI Pricing Inputs'!$C$45:$AI$46,MATCH($O$16,'2. GRI Pricing Inputs'!$C$45:$C$46,0),MATCH(G86,'2. GRI Pricing Inputs'!$C$45:$AI$45,0)),0)</f>
        <v>70</v>
      </c>
      <c r="P86" s="273">
        <f>IFERROR(INDEX('2. GRI Pricing Inputs'!$C$53:$AI$54,MATCH('3. GRI Pricing'!$P$16,'2. GRI Pricing Inputs'!$C$53:$C$54,0),MATCH('3. GRI Pricing'!H86,'2. GRI Pricing Inputs'!$C$53:$AI$53,0)),0)</f>
        <v>5</v>
      </c>
      <c r="Q86" s="273">
        <f>IFERROR(INDEX('2. GRI Pricing Inputs'!$C$60:$AI$61,MATCH('3. GRI Pricing'!$Q$16,'2. GRI Pricing Inputs'!$C$60:$C$61,0),MATCH('1. Accomodation'!T90,'2. GRI Pricing Inputs'!$C$60:$AI$60,0)),0)</f>
        <v>0</v>
      </c>
      <c r="R86" s="273">
        <f>IFERROR(INDEX('2. GRI Pricing Inputs'!$C$67:$AI$68,MATCH('3. GRI Pricing'!$R$16,'2. GRI Pricing Inputs'!$C$67:$C$68,0),MATCH('1. Accomodation'!U90,'2. GRI Pricing Inputs'!$C$67:$AI$67,0)),0)</f>
        <v>0</v>
      </c>
      <c r="S86" s="273">
        <f>IF(D86=0,0,'2. GRI Pricing Inputs'!$AI$75)</f>
        <v>70</v>
      </c>
      <c r="T86" s="273">
        <f>IFERROR(INDEX('2. GRI Pricing Inputs'!$C$82:$AI$83,MATCH('3. GRI Pricing'!$T$16,'2. GRI Pricing Inputs'!$C$82:$C$83,0),MATCH('1. Accomodation'!V90,'2. GRI Pricing Inputs'!$C$82:$AI$82,0)),0)</f>
        <v>0</v>
      </c>
      <c r="U86" s="273">
        <f>IFERROR(INDEX('2. GRI Pricing Inputs'!$C$89:$AI$90,MATCH('3. GRI Pricing'!$U$16,'2. GRI Pricing Inputs'!$C$89:$C$90,0),MATCH('1. Accomodation'!W90,'2. GRI Pricing Inputs'!$C$89:$AI$89,0)),0)</f>
        <v>0</v>
      </c>
      <c r="V86" s="273">
        <f>IFERROR(INDEX('2. GRI Pricing Inputs'!$C$97:$AI$98,MATCH('3. GRI Pricing'!$V$16,'2. GRI Pricing Inputs'!$C$97:$C$98,0),MATCH('1. Accomodation'!X90,'2. GRI Pricing Inputs'!$C$97:$AI$97,0)),0)</f>
        <v>0</v>
      </c>
      <c r="W86" s="273">
        <f>IFERROR(INDEX('2. GRI Pricing Inputs'!$C$104:$AI$105,MATCH('3. GRI Pricing'!$W$16,'2. GRI Pricing Inputs'!$C$104:$C$105,0),MATCH('1. Accomodation'!Y90,'2. GRI Pricing Inputs'!$C$104:$AI$104,0)),0)</f>
        <v>0</v>
      </c>
      <c r="X86" s="274">
        <v>0</v>
      </c>
      <c r="Y86" s="275">
        <f t="shared" si="8"/>
        <v>990</v>
      </c>
      <c r="Z86" s="276"/>
      <c r="AA86" s="276"/>
      <c r="AB86" s="276"/>
      <c r="AC86" s="272">
        <f>Y86*(1+'2. GRI Pricing Inputs'!$D$114)^(($AC$16-$AB$15)/365)</f>
        <v>993.30326217652157</v>
      </c>
      <c r="AD86" s="273">
        <f>AC86*(1+'2. GRI Pricing Inputs'!$D$114)^((AD$16-AC$16)/365)</f>
        <v>996.51046131467456</v>
      </c>
      <c r="AE86" s="273">
        <f>AD86*(1+'2. GRI Pricing Inputs'!$D$114)^((AE$16-AD$16)/365)</f>
        <v>999.8354464817138</v>
      </c>
      <c r="AF86" s="273">
        <f>AE86*(1+'2. GRI Pricing Inputs'!$D$114)^((AF$16-AE$16)/365)</f>
        <v>1003.1715258888943</v>
      </c>
      <c r="AG86" s="273">
        <f>AF86*(1+'2. GRI Pricing Inputs'!$D$114)^((AG$16-AF$16)/365)</f>
        <v>1006.3024508491455</v>
      </c>
      <c r="AH86" s="273">
        <f>AG86*(1+'2. GRI Pricing Inputs'!$D$114)^((AH$16-AG$16)/365)</f>
        <v>1009.6601082471566</v>
      </c>
      <c r="AI86" s="273">
        <f>AH86*(1+'2. GRI Pricing Inputs'!$D$114)^((AI$16-AH$16)/365)</f>
        <v>1012.9201207250198</v>
      </c>
      <c r="AJ86" s="273">
        <f>AI86*(1+'2. GRI Pricing Inputs'!$D$114)^((AJ$16-AI$16)/365)</f>
        <v>1016.2998588286852</v>
      </c>
      <c r="AK86" s="273">
        <f>AJ86*(1+'2. GRI Pricing Inputs'!$D$114)^((AK$16-AJ$16)/365)</f>
        <v>1019.5813098773791</v>
      </c>
      <c r="AL86" s="273">
        <f>AK86*(1+'2. GRI Pricing Inputs'!$D$114)^((AL$16-AK$16)/365)</f>
        <v>1022.9832738943552</v>
      </c>
      <c r="AM86" s="273">
        <f>AL86*(1+'2. GRI Pricing Inputs'!$D$114)^((AM$16-AL$16)/365)</f>
        <v>1026.3965890012939</v>
      </c>
      <c r="AN86" s="273">
        <f>AM86*(1+'2. GRI Pricing Inputs'!$D$114)^((AN$16-AM$16)/365)</f>
        <v>1029.7106405915756</v>
      </c>
      <c r="AO86" s="273">
        <f>AN86*(1+'2. GRI Pricing Inputs'!$D$114)^((AO$16-AN$16)/365)</f>
        <v>1033.1464024217048</v>
      </c>
    </row>
    <row r="87" spans="3:41" ht="12" x14ac:dyDescent="0.2">
      <c r="C87" s="76" t="str">
        <f>'1. Accomodation'!N91</f>
        <v>507N</v>
      </c>
      <c r="D87" s="69" t="str">
        <f>'1. Accomodation'!P91</f>
        <v>2 Bed</v>
      </c>
      <c r="E87" s="69">
        <f>'1. Accomodation'!Q91</f>
        <v>2</v>
      </c>
      <c r="F87" s="77">
        <f>'1. Accomodation'!O91</f>
        <v>624</v>
      </c>
      <c r="G87" s="69">
        <f>'1. Accomodation'!R91</f>
        <v>5</v>
      </c>
      <c r="H87" s="69" t="str">
        <f>'1. Accomodation'!S91</f>
        <v>Forth Banks</v>
      </c>
      <c r="I87" s="62"/>
      <c r="K87" s="272">
        <f>IFERROR(INDEX('2. GRI Pricing Inputs'!$C$15:$AI$16,MATCH($K$16,'2. GRI Pricing Inputs'!$C$15:$C$16,0),MATCH(D87,'2. GRI Pricing Inputs'!$C$15:$AI$15,0)),0)</f>
        <v>1110</v>
      </c>
      <c r="L87" s="273">
        <f>IFERROR(INDEX('2. GRI Pricing Inputs'!$C$22:$AI$23,MATCH($L$16,'2. GRI Pricing Inputs'!$C$22:$C$23,0),MATCH(E87,'2. GRI Pricing Inputs'!$C$22:$AI$22,0)),0)</f>
        <v>0</v>
      </c>
      <c r="M87" s="328">
        <f>IF(AND('3. GRI Pricing'!$F87&gt;='2. GRI Pricing Inputs'!$D$33,'3. GRI Pricing'!$F87&lt;='2. GRI Pricing Inputs'!$E$33),'2. GRI Pricing Inputs'!$D$32,IF(AND('3. GRI Pricing'!$F87&gt;='2. GRI Pricing Inputs'!$F$33,'3. GRI Pricing'!$F87&lt;='2. GRI Pricing Inputs'!$G$33),'2. GRI Pricing Inputs'!$F$32,IF(AND('3. GRI Pricing'!$F87&gt;='2. GRI Pricing Inputs'!$H$33,'3. GRI Pricing'!$F87&lt;='2. GRI Pricing Inputs'!$I$33),'2. GRI Pricing Inputs'!$H$32,IF(AND('3. GRI Pricing'!$F87&gt;='2. GRI Pricing Inputs'!$J$33,'3. GRI Pricing'!$F87&lt;='2. GRI Pricing Inputs'!$K$33),'2. GRI Pricing Inputs'!$J$32,IF(AND('3. GRI Pricing'!$F87&gt;='2. GRI Pricing Inputs'!$L$33,'3. GRI Pricing'!$F87&lt;='2. GRI Pricing Inputs'!$M$33),'2. GRI Pricing Inputs'!$L$32,IF(AND('3. GRI Pricing'!$F87&gt;='2. GRI Pricing Inputs'!$N$33,'3. GRI Pricing'!$F87&lt;='2. GRI Pricing Inputs'!$O$33),'2. GRI Pricing Inputs'!$N$32,IF(AND('3. GRI Pricing'!$F87&gt;='2. GRI Pricing Inputs'!$P$33,'3. GRI Pricing'!$F87&lt;='2. GRI Pricing Inputs'!$Q$33),'2. GRI Pricing Inputs'!$P$32,IF(AND('3. GRI Pricing'!$F87&gt;='2. GRI Pricing Inputs'!$R$33,'3. GRI Pricing'!$F87&lt;='2. GRI Pricing Inputs'!$S$33),'2. GRI Pricing Inputs'!$R$32,IF(AND('3. GRI Pricing'!$F87&gt;='2. GRI Pricing Inputs'!$T$33,'3. GRI Pricing'!$F87&lt;='2. GRI Pricing Inputs'!$U$33),'2. GRI Pricing Inputs'!$T$32,IF(AND('3. GRI Pricing'!$F87&gt;='2. GRI Pricing Inputs'!$V$33,'3. GRI Pricing'!$F87&lt;='2. GRI Pricing Inputs'!$W$33),'2. GRI Pricing Inputs'!$V$32,IF(AND('3. GRI Pricing'!$F87&gt;='2. GRI Pricing Inputs'!$X$33,'3. GRI Pricing'!$F87&lt;='2. GRI Pricing Inputs'!$Y$33),'2. GRI Pricing Inputs'!$X$32,IF(AND('3. GRI Pricing'!$F87&gt;='2. GRI Pricing Inputs'!$Z$33,'3. GRI Pricing'!$F87&lt;='2. GRI Pricing Inputs'!$AA$33),'2. GRI Pricing Inputs'!$Z$32,IF(AND('3. GRI Pricing'!$F87&gt;='2. GRI Pricing Inputs'!$AB$33,'3. GRI Pricing'!$F87&lt;='2. GRI Pricing Inputs'!$AC$33),'2. GRI Pricing Inputs'!$AB$32,IF(AND('3. GRI Pricing'!$F87&gt;='2. GRI Pricing Inputs'!$AD$33,'3. GRI Pricing'!$F87&lt;='2. GRI Pricing Inputs'!$AE$33),'2. GRI Pricing Inputs'!$AD$32,IF(AND('3. GRI Pricing'!$F87&gt;='2. GRI Pricing Inputs'!$AF$33,'3. GRI Pricing'!$F87&lt;='2. GRI Pricing Inputs'!$AG$33),'2. GRI Pricing Inputs'!$AF$32,IF(AND('3. GRI Pricing'!$F87&gt;='2. GRI Pricing Inputs'!$AH$33,'3. GRI Pricing'!$F87&lt;='2. GRI Pricing Inputs'!$AI$33),'2. GRI Pricing Inputs'!$AH$32,0))))))))))))))))</f>
        <v>7</v>
      </c>
      <c r="N87" s="273" cm="1">
        <f t="array" ref="N87">IFERROR(INDEX('2. GRI Pricing Inputs'!$C$32:$AI$39,MATCH('3. GRI Pricing'!D87,'2. GRI Pricing Inputs'!$C$32:$C$39,0),(MATCH('3. GRI Pricing'!M87,'2. GRI Pricing Inputs'!$D$32:$AI$32,0)+1)),0)</f>
        <v>10</v>
      </c>
      <c r="O87" s="273">
        <f>IFERROR(INDEX('2. GRI Pricing Inputs'!$C$45:$AI$46,MATCH($O$16,'2. GRI Pricing Inputs'!$C$45:$C$46,0),MATCH(G87,'2. GRI Pricing Inputs'!$C$45:$AI$45,0)),0)</f>
        <v>70</v>
      </c>
      <c r="P87" s="273">
        <f>IFERROR(INDEX('2. GRI Pricing Inputs'!$C$53:$AI$54,MATCH('3. GRI Pricing'!$P$16,'2. GRI Pricing Inputs'!$C$53:$C$54,0),MATCH('3. GRI Pricing'!H87,'2. GRI Pricing Inputs'!$C$53:$AI$53,0)),0)</f>
        <v>5</v>
      </c>
      <c r="Q87" s="273">
        <f>IFERROR(INDEX('2. GRI Pricing Inputs'!$C$60:$AI$61,MATCH('3. GRI Pricing'!$Q$16,'2. GRI Pricing Inputs'!$C$60:$C$61,0),MATCH('1. Accomodation'!T91,'2. GRI Pricing Inputs'!$C$60:$AI$60,0)),0)</f>
        <v>0</v>
      </c>
      <c r="R87" s="273">
        <f>IFERROR(INDEX('2. GRI Pricing Inputs'!$C$67:$AI$68,MATCH('3. GRI Pricing'!$R$16,'2. GRI Pricing Inputs'!$C$67:$C$68,0),MATCH('1. Accomodation'!U91,'2. GRI Pricing Inputs'!$C$67:$AI$67,0)),0)</f>
        <v>0</v>
      </c>
      <c r="S87" s="273">
        <f>IF(D87=0,0,'2. GRI Pricing Inputs'!$AI$75)</f>
        <v>70</v>
      </c>
      <c r="T87" s="273">
        <f>IFERROR(INDEX('2. GRI Pricing Inputs'!$C$82:$AI$83,MATCH('3. GRI Pricing'!$T$16,'2. GRI Pricing Inputs'!$C$82:$C$83,0),MATCH('1. Accomodation'!V91,'2. GRI Pricing Inputs'!$C$82:$AI$82,0)),0)</f>
        <v>0</v>
      </c>
      <c r="U87" s="273">
        <f>IFERROR(INDEX('2. GRI Pricing Inputs'!$C$89:$AI$90,MATCH('3. GRI Pricing'!$U$16,'2. GRI Pricing Inputs'!$C$89:$C$90,0),MATCH('1. Accomodation'!W91,'2. GRI Pricing Inputs'!$C$89:$AI$89,0)),0)</f>
        <v>0</v>
      </c>
      <c r="V87" s="273">
        <f>IFERROR(INDEX('2. GRI Pricing Inputs'!$C$97:$AI$98,MATCH('3. GRI Pricing'!$V$16,'2. GRI Pricing Inputs'!$C$97:$C$98,0),MATCH('1. Accomodation'!X91,'2. GRI Pricing Inputs'!$C$97:$AI$97,0)),0)</f>
        <v>0</v>
      </c>
      <c r="W87" s="273">
        <f>IFERROR(INDEX('2. GRI Pricing Inputs'!$C$104:$AI$105,MATCH('3. GRI Pricing'!$W$16,'2. GRI Pricing Inputs'!$C$104:$C$105,0),MATCH('1. Accomodation'!Y91,'2. GRI Pricing Inputs'!$C$104:$AI$104,0)),0)</f>
        <v>0</v>
      </c>
      <c r="X87" s="274">
        <v>0</v>
      </c>
      <c r="Y87" s="275">
        <f t="shared" si="8"/>
        <v>1265</v>
      </c>
      <c r="Z87" s="276"/>
      <c r="AA87" s="276"/>
      <c r="AB87" s="276"/>
      <c r="AC87" s="272">
        <f>Y87*(1+'2. GRI Pricing Inputs'!$D$114)^(($AC$16-$AB$15)/365)</f>
        <v>1269.2208350033331</v>
      </c>
      <c r="AD87" s="273">
        <f>AC87*(1+'2. GRI Pricing Inputs'!$D$114)^((AD$16-AC$16)/365)</f>
        <v>1273.3189227909729</v>
      </c>
      <c r="AE87" s="273">
        <f>AD87*(1+'2. GRI Pricing Inputs'!$D$114)^((AE$16-AD$16)/365)</f>
        <v>1277.5675149488563</v>
      </c>
      <c r="AF87" s="273">
        <f>AE87*(1+'2. GRI Pricing Inputs'!$D$114)^((AF$16-AE$16)/365)</f>
        <v>1281.8302830802536</v>
      </c>
      <c r="AG87" s="273">
        <f>AF87*(1+'2. GRI Pricing Inputs'!$D$114)^((AG$16-AF$16)/365)</f>
        <v>1285.8309094183523</v>
      </c>
      <c r="AH87" s="273">
        <f>AG87*(1+'2. GRI Pricing Inputs'!$D$114)^((AH$16-AG$16)/365)</f>
        <v>1290.1212494269221</v>
      </c>
      <c r="AI87" s="273">
        <f>AH87*(1+'2. GRI Pricing Inputs'!$D$114)^((AI$16-AH$16)/365)</f>
        <v>1294.2868209264138</v>
      </c>
      <c r="AJ87" s="273">
        <f>AI87*(1+'2. GRI Pricing Inputs'!$D$114)^((AJ$16-AI$16)/365)</f>
        <v>1298.6053751699862</v>
      </c>
      <c r="AK87" s="273">
        <f>AJ87*(1+'2. GRI Pricing Inputs'!$D$114)^((AK$16-AJ$16)/365)</f>
        <v>1302.7983403988731</v>
      </c>
      <c r="AL87" s="273">
        <f>AK87*(1+'2. GRI Pricing Inputs'!$D$114)^((AL$16-AK$16)/365)</f>
        <v>1307.1452944205646</v>
      </c>
      <c r="AM87" s="273">
        <f>AL87*(1+'2. GRI Pricing Inputs'!$D$114)^((AM$16-AL$16)/365)</f>
        <v>1311.5067526127643</v>
      </c>
      <c r="AN87" s="273">
        <f>AM87*(1+'2. GRI Pricing Inputs'!$D$114)^((AN$16-AM$16)/365)</f>
        <v>1315.7413740892353</v>
      </c>
      <c r="AO87" s="273">
        <f>AN87*(1+'2. GRI Pricing Inputs'!$D$114)^((AO$16-AN$16)/365)</f>
        <v>1320.1315142055116</v>
      </c>
    </row>
    <row r="88" spans="3:41" ht="12" x14ac:dyDescent="0.2">
      <c r="C88" s="76" t="str">
        <f>'1. Accomodation'!N92</f>
        <v>508N</v>
      </c>
      <c r="D88" s="69" t="str">
        <f>'1. Accomodation'!P92</f>
        <v>2 Bed</v>
      </c>
      <c r="E88" s="69">
        <f>'1. Accomodation'!Q92</f>
        <v>2</v>
      </c>
      <c r="F88" s="77">
        <f>'1. Accomodation'!O92</f>
        <v>624</v>
      </c>
      <c r="G88" s="69">
        <f>'1. Accomodation'!R92</f>
        <v>5</v>
      </c>
      <c r="H88" s="69" t="str">
        <f>'1. Accomodation'!S92</f>
        <v>Forth Banks</v>
      </c>
      <c r="I88" s="62"/>
      <c r="K88" s="272">
        <f>IFERROR(INDEX('2. GRI Pricing Inputs'!$C$15:$AI$16,MATCH($K$16,'2. GRI Pricing Inputs'!$C$15:$C$16,0),MATCH(D88,'2. GRI Pricing Inputs'!$C$15:$AI$15,0)),0)</f>
        <v>1110</v>
      </c>
      <c r="L88" s="273">
        <f>IFERROR(INDEX('2. GRI Pricing Inputs'!$C$22:$AI$23,MATCH($L$16,'2. GRI Pricing Inputs'!$C$22:$C$23,0),MATCH(E88,'2. GRI Pricing Inputs'!$C$22:$AI$22,0)),0)</f>
        <v>0</v>
      </c>
      <c r="M88" s="328">
        <f>IF(AND('3. GRI Pricing'!$F88&gt;='2. GRI Pricing Inputs'!$D$33,'3. GRI Pricing'!$F88&lt;='2. GRI Pricing Inputs'!$E$33),'2. GRI Pricing Inputs'!$D$32,IF(AND('3. GRI Pricing'!$F88&gt;='2. GRI Pricing Inputs'!$F$33,'3. GRI Pricing'!$F88&lt;='2. GRI Pricing Inputs'!$G$33),'2. GRI Pricing Inputs'!$F$32,IF(AND('3. GRI Pricing'!$F88&gt;='2. GRI Pricing Inputs'!$H$33,'3. GRI Pricing'!$F88&lt;='2. GRI Pricing Inputs'!$I$33),'2. GRI Pricing Inputs'!$H$32,IF(AND('3. GRI Pricing'!$F88&gt;='2. GRI Pricing Inputs'!$J$33,'3. GRI Pricing'!$F88&lt;='2. GRI Pricing Inputs'!$K$33),'2. GRI Pricing Inputs'!$J$32,IF(AND('3. GRI Pricing'!$F88&gt;='2. GRI Pricing Inputs'!$L$33,'3. GRI Pricing'!$F88&lt;='2. GRI Pricing Inputs'!$M$33),'2. GRI Pricing Inputs'!$L$32,IF(AND('3. GRI Pricing'!$F88&gt;='2. GRI Pricing Inputs'!$N$33,'3. GRI Pricing'!$F88&lt;='2. GRI Pricing Inputs'!$O$33),'2. GRI Pricing Inputs'!$N$32,IF(AND('3. GRI Pricing'!$F88&gt;='2. GRI Pricing Inputs'!$P$33,'3. GRI Pricing'!$F88&lt;='2. GRI Pricing Inputs'!$Q$33),'2. GRI Pricing Inputs'!$P$32,IF(AND('3. GRI Pricing'!$F88&gt;='2. GRI Pricing Inputs'!$R$33,'3. GRI Pricing'!$F88&lt;='2. GRI Pricing Inputs'!$S$33),'2. GRI Pricing Inputs'!$R$32,IF(AND('3. GRI Pricing'!$F88&gt;='2. GRI Pricing Inputs'!$T$33,'3. GRI Pricing'!$F88&lt;='2. GRI Pricing Inputs'!$U$33),'2. GRI Pricing Inputs'!$T$32,IF(AND('3. GRI Pricing'!$F88&gt;='2. GRI Pricing Inputs'!$V$33,'3. GRI Pricing'!$F88&lt;='2. GRI Pricing Inputs'!$W$33),'2. GRI Pricing Inputs'!$V$32,IF(AND('3. GRI Pricing'!$F88&gt;='2. GRI Pricing Inputs'!$X$33,'3. GRI Pricing'!$F88&lt;='2. GRI Pricing Inputs'!$Y$33),'2. GRI Pricing Inputs'!$X$32,IF(AND('3. GRI Pricing'!$F88&gt;='2. GRI Pricing Inputs'!$Z$33,'3. GRI Pricing'!$F88&lt;='2. GRI Pricing Inputs'!$AA$33),'2. GRI Pricing Inputs'!$Z$32,IF(AND('3. GRI Pricing'!$F88&gt;='2. GRI Pricing Inputs'!$AB$33,'3. GRI Pricing'!$F88&lt;='2. GRI Pricing Inputs'!$AC$33),'2. GRI Pricing Inputs'!$AB$32,IF(AND('3. GRI Pricing'!$F88&gt;='2. GRI Pricing Inputs'!$AD$33,'3. GRI Pricing'!$F88&lt;='2. GRI Pricing Inputs'!$AE$33),'2. GRI Pricing Inputs'!$AD$32,IF(AND('3. GRI Pricing'!$F88&gt;='2. GRI Pricing Inputs'!$AF$33,'3. GRI Pricing'!$F88&lt;='2. GRI Pricing Inputs'!$AG$33),'2. GRI Pricing Inputs'!$AF$32,IF(AND('3. GRI Pricing'!$F88&gt;='2. GRI Pricing Inputs'!$AH$33,'3. GRI Pricing'!$F88&lt;='2. GRI Pricing Inputs'!$AI$33),'2. GRI Pricing Inputs'!$AH$32,0))))))))))))))))</f>
        <v>7</v>
      </c>
      <c r="N88" s="273" cm="1">
        <f t="array" ref="N88">IFERROR(INDEX('2. GRI Pricing Inputs'!$C$32:$AI$39,MATCH('3. GRI Pricing'!D88,'2. GRI Pricing Inputs'!$C$32:$C$39,0),(MATCH('3. GRI Pricing'!M88,'2. GRI Pricing Inputs'!$D$32:$AI$32,0)+1)),0)</f>
        <v>10</v>
      </c>
      <c r="O88" s="273">
        <f>IFERROR(INDEX('2. GRI Pricing Inputs'!$C$45:$AI$46,MATCH($O$16,'2. GRI Pricing Inputs'!$C$45:$C$46,0),MATCH(G88,'2. GRI Pricing Inputs'!$C$45:$AI$45,0)),0)</f>
        <v>70</v>
      </c>
      <c r="P88" s="273">
        <f>IFERROR(INDEX('2. GRI Pricing Inputs'!$C$53:$AI$54,MATCH('3. GRI Pricing'!$P$16,'2. GRI Pricing Inputs'!$C$53:$C$54,0),MATCH('3. GRI Pricing'!H88,'2. GRI Pricing Inputs'!$C$53:$AI$53,0)),0)</f>
        <v>5</v>
      </c>
      <c r="Q88" s="273">
        <f>IFERROR(INDEX('2. GRI Pricing Inputs'!$C$60:$AI$61,MATCH('3. GRI Pricing'!$Q$16,'2. GRI Pricing Inputs'!$C$60:$C$61,0),MATCH('1. Accomodation'!T92,'2. GRI Pricing Inputs'!$C$60:$AI$60,0)),0)</f>
        <v>0</v>
      </c>
      <c r="R88" s="273">
        <f>IFERROR(INDEX('2. GRI Pricing Inputs'!$C$67:$AI$68,MATCH('3. GRI Pricing'!$R$16,'2. GRI Pricing Inputs'!$C$67:$C$68,0),MATCH('1. Accomodation'!U92,'2. GRI Pricing Inputs'!$C$67:$AI$67,0)),0)</f>
        <v>0</v>
      </c>
      <c r="S88" s="273">
        <f>IF(D88=0,0,'2. GRI Pricing Inputs'!$AI$75)</f>
        <v>70</v>
      </c>
      <c r="T88" s="273">
        <f>IFERROR(INDEX('2. GRI Pricing Inputs'!$C$82:$AI$83,MATCH('3. GRI Pricing'!$T$16,'2. GRI Pricing Inputs'!$C$82:$C$83,0),MATCH('1. Accomodation'!V92,'2. GRI Pricing Inputs'!$C$82:$AI$82,0)),0)</f>
        <v>0</v>
      </c>
      <c r="U88" s="273">
        <f>IFERROR(INDEX('2. GRI Pricing Inputs'!$C$89:$AI$90,MATCH('3. GRI Pricing'!$U$16,'2. GRI Pricing Inputs'!$C$89:$C$90,0),MATCH('1. Accomodation'!W92,'2. GRI Pricing Inputs'!$C$89:$AI$89,0)),0)</f>
        <v>0</v>
      </c>
      <c r="V88" s="273">
        <f>IFERROR(INDEX('2. GRI Pricing Inputs'!$C$97:$AI$98,MATCH('3. GRI Pricing'!$V$16,'2. GRI Pricing Inputs'!$C$97:$C$98,0),MATCH('1. Accomodation'!X92,'2. GRI Pricing Inputs'!$C$97:$AI$97,0)),0)</f>
        <v>0</v>
      </c>
      <c r="W88" s="273">
        <f>IFERROR(INDEX('2. GRI Pricing Inputs'!$C$104:$AI$105,MATCH('3. GRI Pricing'!$W$16,'2. GRI Pricing Inputs'!$C$104:$C$105,0),MATCH('1. Accomodation'!Y92,'2. GRI Pricing Inputs'!$C$104:$AI$104,0)),0)</f>
        <v>0</v>
      </c>
      <c r="X88" s="274">
        <v>0</v>
      </c>
      <c r="Y88" s="275">
        <f t="shared" si="8"/>
        <v>1265</v>
      </c>
      <c r="Z88" s="276"/>
      <c r="AA88" s="276"/>
      <c r="AB88" s="276"/>
      <c r="AC88" s="272">
        <f>Y88*(1+'2. GRI Pricing Inputs'!$D$114)^(($AC$16-$AB$15)/365)</f>
        <v>1269.2208350033331</v>
      </c>
      <c r="AD88" s="273">
        <f>AC88*(1+'2. GRI Pricing Inputs'!$D$114)^((AD$16-AC$16)/365)</f>
        <v>1273.3189227909729</v>
      </c>
      <c r="AE88" s="273">
        <f>AD88*(1+'2. GRI Pricing Inputs'!$D$114)^((AE$16-AD$16)/365)</f>
        <v>1277.5675149488563</v>
      </c>
      <c r="AF88" s="273">
        <f>AE88*(1+'2. GRI Pricing Inputs'!$D$114)^((AF$16-AE$16)/365)</f>
        <v>1281.8302830802536</v>
      </c>
      <c r="AG88" s="273">
        <f>AF88*(1+'2. GRI Pricing Inputs'!$D$114)^((AG$16-AF$16)/365)</f>
        <v>1285.8309094183523</v>
      </c>
      <c r="AH88" s="273">
        <f>AG88*(1+'2. GRI Pricing Inputs'!$D$114)^((AH$16-AG$16)/365)</f>
        <v>1290.1212494269221</v>
      </c>
      <c r="AI88" s="273">
        <f>AH88*(1+'2. GRI Pricing Inputs'!$D$114)^((AI$16-AH$16)/365)</f>
        <v>1294.2868209264138</v>
      </c>
      <c r="AJ88" s="273">
        <f>AI88*(1+'2. GRI Pricing Inputs'!$D$114)^((AJ$16-AI$16)/365)</f>
        <v>1298.6053751699862</v>
      </c>
      <c r="AK88" s="273">
        <f>AJ88*(1+'2. GRI Pricing Inputs'!$D$114)^((AK$16-AJ$16)/365)</f>
        <v>1302.7983403988731</v>
      </c>
      <c r="AL88" s="273">
        <f>AK88*(1+'2. GRI Pricing Inputs'!$D$114)^((AL$16-AK$16)/365)</f>
        <v>1307.1452944205646</v>
      </c>
      <c r="AM88" s="273">
        <f>AL88*(1+'2. GRI Pricing Inputs'!$D$114)^((AM$16-AL$16)/365)</f>
        <v>1311.5067526127643</v>
      </c>
      <c r="AN88" s="273">
        <f>AM88*(1+'2. GRI Pricing Inputs'!$D$114)^((AN$16-AM$16)/365)</f>
        <v>1315.7413740892353</v>
      </c>
      <c r="AO88" s="273">
        <f>AN88*(1+'2. GRI Pricing Inputs'!$D$114)^((AO$16-AN$16)/365)</f>
        <v>1320.1315142055116</v>
      </c>
    </row>
    <row r="89" spans="3:41" ht="12" x14ac:dyDescent="0.2">
      <c r="C89" s="76" t="str">
        <f>'1. Accomodation'!N93</f>
        <v>509N</v>
      </c>
      <c r="D89" s="69" t="str">
        <f>'1. Accomodation'!P93</f>
        <v>2 Bed</v>
      </c>
      <c r="E89" s="69">
        <f>'1. Accomodation'!Q93</f>
        <v>2</v>
      </c>
      <c r="F89" s="77">
        <f>'1. Accomodation'!O93</f>
        <v>657</v>
      </c>
      <c r="G89" s="69">
        <f>'1. Accomodation'!R93</f>
        <v>5</v>
      </c>
      <c r="H89" s="69" t="str">
        <f>'1. Accomodation'!S93</f>
        <v>River - Partial</v>
      </c>
      <c r="I89" s="62"/>
      <c r="K89" s="272">
        <f>IFERROR(INDEX('2. GRI Pricing Inputs'!$C$15:$AI$16,MATCH($K$16,'2. GRI Pricing Inputs'!$C$15:$C$16,0),MATCH(D89,'2. GRI Pricing Inputs'!$C$15:$AI$15,0)),0)</f>
        <v>1110</v>
      </c>
      <c r="L89" s="273">
        <f>IFERROR(INDEX('2. GRI Pricing Inputs'!$C$22:$AI$23,MATCH($L$16,'2. GRI Pricing Inputs'!$C$22:$C$23,0),MATCH(E89,'2. GRI Pricing Inputs'!$C$22:$AI$22,0)),0)</f>
        <v>0</v>
      </c>
      <c r="M89" s="328">
        <f>IF(AND('3. GRI Pricing'!$F89&gt;='2. GRI Pricing Inputs'!$D$33,'3. GRI Pricing'!$F89&lt;='2. GRI Pricing Inputs'!$E$33),'2. GRI Pricing Inputs'!$D$32,IF(AND('3. GRI Pricing'!$F89&gt;='2. GRI Pricing Inputs'!$F$33,'3. GRI Pricing'!$F89&lt;='2. GRI Pricing Inputs'!$G$33),'2. GRI Pricing Inputs'!$F$32,IF(AND('3. GRI Pricing'!$F89&gt;='2. GRI Pricing Inputs'!$H$33,'3. GRI Pricing'!$F89&lt;='2. GRI Pricing Inputs'!$I$33),'2. GRI Pricing Inputs'!$H$32,IF(AND('3. GRI Pricing'!$F89&gt;='2. GRI Pricing Inputs'!$J$33,'3. GRI Pricing'!$F89&lt;='2. GRI Pricing Inputs'!$K$33),'2. GRI Pricing Inputs'!$J$32,IF(AND('3. GRI Pricing'!$F89&gt;='2. GRI Pricing Inputs'!$L$33,'3. GRI Pricing'!$F89&lt;='2. GRI Pricing Inputs'!$M$33),'2. GRI Pricing Inputs'!$L$32,IF(AND('3. GRI Pricing'!$F89&gt;='2. GRI Pricing Inputs'!$N$33,'3. GRI Pricing'!$F89&lt;='2. GRI Pricing Inputs'!$O$33),'2. GRI Pricing Inputs'!$N$32,IF(AND('3. GRI Pricing'!$F89&gt;='2. GRI Pricing Inputs'!$P$33,'3. GRI Pricing'!$F89&lt;='2. GRI Pricing Inputs'!$Q$33),'2. GRI Pricing Inputs'!$P$32,IF(AND('3. GRI Pricing'!$F89&gt;='2. GRI Pricing Inputs'!$R$33,'3. GRI Pricing'!$F89&lt;='2. GRI Pricing Inputs'!$S$33),'2. GRI Pricing Inputs'!$R$32,IF(AND('3. GRI Pricing'!$F89&gt;='2. GRI Pricing Inputs'!$T$33,'3. GRI Pricing'!$F89&lt;='2. GRI Pricing Inputs'!$U$33),'2. GRI Pricing Inputs'!$T$32,IF(AND('3. GRI Pricing'!$F89&gt;='2. GRI Pricing Inputs'!$V$33,'3. GRI Pricing'!$F89&lt;='2. GRI Pricing Inputs'!$W$33),'2. GRI Pricing Inputs'!$V$32,IF(AND('3. GRI Pricing'!$F89&gt;='2. GRI Pricing Inputs'!$X$33,'3. GRI Pricing'!$F89&lt;='2. GRI Pricing Inputs'!$Y$33),'2. GRI Pricing Inputs'!$X$32,IF(AND('3. GRI Pricing'!$F89&gt;='2. GRI Pricing Inputs'!$Z$33,'3. GRI Pricing'!$F89&lt;='2. GRI Pricing Inputs'!$AA$33),'2. GRI Pricing Inputs'!$Z$32,IF(AND('3. GRI Pricing'!$F89&gt;='2. GRI Pricing Inputs'!$AB$33,'3. GRI Pricing'!$F89&lt;='2. GRI Pricing Inputs'!$AC$33),'2. GRI Pricing Inputs'!$AB$32,IF(AND('3. GRI Pricing'!$F89&gt;='2. GRI Pricing Inputs'!$AD$33,'3. GRI Pricing'!$F89&lt;='2. GRI Pricing Inputs'!$AE$33),'2. GRI Pricing Inputs'!$AD$32,IF(AND('3. GRI Pricing'!$F89&gt;='2. GRI Pricing Inputs'!$AF$33,'3. GRI Pricing'!$F89&lt;='2. GRI Pricing Inputs'!$AG$33),'2. GRI Pricing Inputs'!$AF$32,IF(AND('3. GRI Pricing'!$F89&gt;='2. GRI Pricing Inputs'!$AH$33,'3. GRI Pricing'!$F89&lt;='2. GRI Pricing Inputs'!$AI$33),'2. GRI Pricing Inputs'!$AH$32,0))))))))))))))))</f>
        <v>8</v>
      </c>
      <c r="N89" s="273" cm="1">
        <f t="array" ref="N89">IFERROR(INDEX('2. GRI Pricing Inputs'!$C$32:$AI$39,MATCH('3. GRI Pricing'!D89,'2. GRI Pricing Inputs'!$C$32:$C$39,0),(MATCH('3. GRI Pricing'!M89,'2. GRI Pricing Inputs'!$D$32:$AI$32,0)+1)),0)</f>
        <v>20</v>
      </c>
      <c r="O89" s="273">
        <f>IFERROR(INDEX('2. GRI Pricing Inputs'!$C$45:$AI$46,MATCH($O$16,'2. GRI Pricing Inputs'!$C$45:$C$46,0),MATCH(G89,'2. GRI Pricing Inputs'!$C$45:$AI$45,0)),0)</f>
        <v>70</v>
      </c>
      <c r="P89" s="273">
        <f>IFERROR(INDEX('2. GRI Pricing Inputs'!$C$53:$AI$54,MATCH('3. GRI Pricing'!$P$16,'2. GRI Pricing Inputs'!$C$53:$C$54,0),MATCH('3. GRI Pricing'!H89,'2. GRI Pricing Inputs'!$C$53:$AI$53,0)),0)</f>
        <v>45</v>
      </c>
      <c r="Q89" s="273">
        <f>IFERROR(INDEX('2. GRI Pricing Inputs'!$C$60:$AI$61,MATCH('3. GRI Pricing'!$Q$16,'2. GRI Pricing Inputs'!$C$60:$C$61,0),MATCH('1. Accomodation'!T93,'2. GRI Pricing Inputs'!$C$60:$AI$60,0)),0)</f>
        <v>0</v>
      </c>
      <c r="R89" s="273">
        <f>IFERROR(INDEX('2. GRI Pricing Inputs'!$C$67:$AI$68,MATCH('3. GRI Pricing'!$R$16,'2. GRI Pricing Inputs'!$C$67:$C$68,0),MATCH('1. Accomodation'!U93,'2. GRI Pricing Inputs'!$C$67:$AI$67,0)),0)</f>
        <v>0</v>
      </c>
      <c r="S89" s="273">
        <f>IF(D89=0,0,'2. GRI Pricing Inputs'!$AI$75)</f>
        <v>70</v>
      </c>
      <c r="T89" s="273">
        <f>IFERROR(INDEX('2. GRI Pricing Inputs'!$C$82:$AI$83,MATCH('3. GRI Pricing'!$T$16,'2. GRI Pricing Inputs'!$C$82:$C$83,0),MATCH('1. Accomodation'!V93,'2. GRI Pricing Inputs'!$C$82:$AI$82,0)),0)</f>
        <v>0</v>
      </c>
      <c r="U89" s="273">
        <f>IFERROR(INDEX('2. GRI Pricing Inputs'!$C$89:$AI$90,MATCH('3. GRI Pricing'!$U$16,'2. GRI Pricing Inputs'!$C$89:$C$90,0),MATCH('1. Accomodation'!W93,'2. GRI Pricing Inputs'!$C$89:$AI$89,0)),0)</f>
        <v>0</v>
      </c>
      <c r="V89" s="273">
        <f>IFERROR(INDEX('2. GRI Pricing Inputs'!$C$97:$AI$98,MATCH('3. GRI Pricing'!$V$16,'2. GRI Pricing Inputs'!$C$97:$C$98,0),MATCH('1. Accomodation'!X93,'2. GRI Pricing Inputs'!$C$97:$AI$97,0)),0)</f>
        <v>0</v>
      </c>
      <c r="W89" s="273">
        <f>IFERROR(INDEX('2. GRI Pricing Inputs'!$C$104:$AI$105,MATCH('3. GRI Pricing'!$W$16,'2. GRI Pricing Inputs'!$C$104:$C$105,0),MATCH('1. Accomodation'!Y93,'2. GRI Pricing Inputs'!$C$104:$AI$104,0)),0)</f>
        <v>0</v>
      </c>
      <c r="X89" s="274">
        <v>0</v>
      </c>
      <c r="Y89" s="275">
        <f t="shared" si="8"/>
        <v>1315</v>
      </c>
      <c r="Z89" s="276"/>
      <c r="AA89" s="276"/>
      <c r="AB89" s="276"/>
      <c r="AC89" s="272">
        <f>Y89*(1+'2. GRI Pricing Inputs'!$D$114)^(($AC$16-$AB$15)/365)</f>
        <v>1319.3876664263898</v>
      </c>
      <c r="AD89" s="273">
        <f>AC89*(1+'2. GRI Pricing Inputs'!$D$114)^((AD$16-AC$16)/365)</f>
        <v>1323.6477339684818</v>
      </c>
      <c r="AE89" s="273">
        <f>AD89*(1+'2. GRI Pricing Inputs'!$D$114)^((AE$16-AD$16)/365)</f>
        <v>1328.0642546701552</v>
      </c>
      <c r="AF89" s="273">
        <f>AE89*(1+'2. GRI Pricing Inputs'!$D$114)^((AF$16-AE$16)/365)</f>
        <v>1332.4955116605008</v>
      </c>
      <c r="AG89" s="273">
        <f>AF89*(1+'2. GRI Pricing Inputs'!$D$114)^((AG$16-AF$16)/365)</f>
        <v>1336.6542655218448</v>
      </c>
      <c r="AH89" s="273">
        <f>AG89*(1+'2. GRI Pricing Inputs'!$D$114)^((AH$16-AG$16)/365)</f>
        <v>1341.1141841868796</v>
      </c>
      <c r="AI89" s="273">
        <f>AH89*(1+'2. GRI Pricing Inputs'!$D$114)^((AI$16-AH$16)/365)</f>
        <v>1345.4444027812131</v>
      </c>
      <c r="AJ89" s="273">
        <f>AI89*(1+'2. GRI Pricing Inputs'!$D$114)^((AJ$16-AI$16)/365)</f>
        <v>1349.9336508684048</v>
      </c>
      <c r="AK89" s="273">
        <f>AJ89*(1+'2. GRI Pricing Inputs'!$D$114)^((AK$16-AJ$16)/365)</f>
        <v>1354.2923459482358</v>
      </c>
      <c r="AL89" s="273">
        <f>AK89*(1+'2. GRI Pricing Inputs'!$D$114)^((AL$16-AK$16)/365)</f>
        <v>1358.8111163344213</v>
      </c>
      <c r="AM89" s="273">
        <f>AL89*(1+'2. GRI Pricing Inputs'!$D$114)^((AM$16-AL$16)/365)</f>
        <v>1363.3449641784864</v>
      </c>
      <c r="AN89" s="273">
        <f>AM89*(1+'2. GRI Pricing Inputs'!$D$114)^((AN$16-AM$16)/365)</f>
        <v>1367.7469619979011</v>
      </c>
      <c r="AO89" s="273">
        <f>AN89*(1+'2. GRI Pricing Inputs'!$D$114)^((AO$16-AN$16)/365)</f>
        <v>1372.3106254389313</v>
      </c>
    </row>
    <row r="90" spans="3:41" ht="12" x14ac:dyDescent="0.2">
      <c r="C90" s="76" t="str">
        <f>'1. Accomodation'!N94</f>
        <v>510N</v>
      </c>
      <c r="D90" s="69" t="str">
        <f>'1. Accomodation'!P94</f>
        <v>2 Bed</v>
      </c>
      <c r="E90" s="69">
        <f>'1. Accomodation'!Q94</f>
        <v>2</v>
      </c>
      <c r="F90" s="77">
        <f>'1. Accomodation'!O94</f>
        <v>700</v>
      </c>
      <c r="G90" s="69">
        <f>'1. Accomodation'!R94</f>
        <v>5</v>
      </c>
      <c r="H90" s="69" t="str">
        <f>'1. Accomodation'!S94</f>
        <v>Forth Banks - Partial</v>
      </c>
      <c r="I90" s="62"/>
      <c r="K90" s="272">
        <f>IFERROR(INDEX('2. GRI Pricing Inputs'!$C$15:$AI$16,MATCH($K$16,'2. GRI Pricing Inputs'!$C$15:$C$16,0),MATCH(D90,'2. GRI Pricing Inputs'!$C$15:$AI$15,0)),0)</f>
        <v>1110</v>
      </c>
      <c r="L90" s="273">
        <f>IFERROR(INDEX('2. GRI Pricing Inputs'!$C$22:$AI$23,MATCH($L$16,'2. GRI Pricing Inputs'!$C$22:$C$23,0),MATCH(E90,'2. GRI Pricing Inputs'!$C$22:$AI$22,0)),0)</f>
        <v>0</v>
      </c>
      <c r="M90" s="328">
        <f>IF(AND('3. GRI Pricing'!$F90&gt;='2. GRI Pricing Inputs'!$D$33,'3. GRI Pricing'!$F90&lt;='2. GRI Pricing Inputs'!$E$33),'2. GRI Pricing Inputs'!$D$32,IF(AND('3. GRI Pricing'!$F90&gt;='2. GRI Pricing Inputs'!$F$33,'3. GRI Pricing'!$F90&lt;='2. GRI Pricing Inputs'!$G$33),'2. GRI Pricing Inputs'!$F$32,IF(AND('3. GRI Pricing'!$F90&gt;='2. GRI Pricing Inputs'!$H$33,'3. GRI Pricing'!$F90&lt;='2. GRI Pricing Inputs'!$I$33),'2. GRI Pricing Inputs'!$H$32,IF(AND('3. GRI Pricing'!$F90&gt;='2. GRI Pricing Inputs'!$J$33,'3. GRI Pricing'!$F90&lt;='2. GRI Pricing Inputs'!$K$33),'2. GRI Pricing Inputs'!$J$32,IF(AND('3. GRI Pricing'!$F90&gt;='2. GRI Pricing Inputs'!$L$33,'3. GRI Pricing'!$F90&lt;='2. GRI Pricing Inputs'!$M$33),'2. GRI Pricing Inputs'!$L$32,IF(AND('3. GRI Pricing'!$F90&gt;='2. GRI Pricing Inputs'!$N$33,'3. GRI Pricing'!$F90&lt;='2. GRI Pricing Inputs'!$O$33),'2. GRI Pricing Inputs'!$N$32,IF(AND('3. GRI Pricing'!$F90&gt;='2. GRI Pricing Inputs'!$P$33,'3. GRI Pricing'!$F90&lt;='2. GRI Pricing Inputs'!$Q$33),'2. GRI Pricing Inputs'!$P$32,IF(AND('3. GRI Pricing'!$F90&gt;='2. GRI Pricing Inputs'!$R$33,'3. GRI Pricing'!$F90&lt;='2. GRI Pricing Inputs'!$S$33),'2. GRI Pricing Inputs'!$R$32,IF(AND('3. GRI Pricing'!$F90&gt;='2. GRI Pricing Inputs'!$T$33,'3. GRI Pricing'!$F90&lt;='2. GRI Pricing Inputs'!$U$33),'2. GRI Pricing Inputs'!$T$32,IF(AND('3. GRI Pricing'!$F90&gt;='2. GRI Pricing Inputs'!$V$33,'3. GRI Pricing'!$F90&lt;='2. GRI Pricing Inputs'!$W$33),'2. GRI Pricing Inputs'!$V$32,IF(AND('3. GRI Pricing'!$F90&gt;='2. GRI Pricing Inputs'!$X$33,'3. GRI Pricing'!$F90&lt;='2. GRI Pricing Inputs'!$Y$33),'2. GRI Pricing Inputs'!$X$32,IF(AND('3. GRI Pricing'!$F90&gt;='2. GRI Pricing Inputs'!$Z$33,'3. GRI Pricing'!$F90&lt;='2. GRI Pricing Inputs'!$AA$33),'2. GRI Pricing Inputs'!$Z$32,IF(AND('3. GRI Pricing'!$F90&gt;='2. GRI Pricing Inputs'!$AB$33,'3. GRI Pricing'!$F90&lt;='2. GRI Pricing Inputs'!$AC$33),'2. GRI Pricing Inputs'!$AB$32,IF(AND('3. GRI Pricing'!$F90&gt;='2. GRI Pricing Inputs'!$AD$33,'3. GRI Pricing'!$F90&lt;='2. GRI Pricing Inputs'!$AE$33),'2. GRI Pricing Inputs'!$AD$32,IF(AND('3. GRI Pricing'!$F90&gt;='2. GRI Pricing Inputs'!$AF$33,'3. GRI Pricing'!$F90&lt;='2. GRI Pricing Inputs'!$AG$33),'2. GRI Pricing Inputs'!$AF$32,IF(AND('3. GRI Pricing'!$F90&gt;='2. GRI Pricing Inputs'!$AH$33,'3. GRI Pricing'!$F90&lt;='2. GRI Pricing Inputs'!$AI$33),'2. GRI Pricing Inputs'!$AH$32,0))))))))))))))))</f>
        <v>12</v>
      </c>
      <c r="N90" s="273" cm="1">
        <f t="array" ref="N90">IFERROR(INDEX('2. GRI Pricing Inputs'!$C$32:$AI$39,MATCH('3. GRI Pricing'!D90,'2. GRI Pricing Inputs'!$C$32:$C$39,0),(MATCH('3. GRI Pricing'!M90,'2. GRI Pricing Inputs'!$D$32:$AI$32,0)+1)),0)</f>
        <v>70</v>
      </c>
      <c r="O90" s="273">
        <f>IFERROR(INDEX('2. GRI Pricing Inputs'!$C$45:$AI$46,MATCH($O$16,'2. GRI Pricing Inputs'!$C$45:$C$46,0),MATCH(G90,'2. GRI Pricing Inputs'!$C$45:$AI$45,0)),0)</f>
        <v>70</v>
      </c>
      <c r="P90" s="273">
        <f>IFERROR(INDEX('2. GRI Pricing Inputs'!$C$53:$AI$54,MATCH('3. GRI Pricing'!$P$16,'2. GRI Pricing Inputs'!$C$53:$C$54,0),MATCH('3. GRI Pricing'!H90,'2. GRI Pricing Inputs'!$C$53:$AI$53,0)),0)</f>
        <v>40</v>
      </c>
      <c r="Q90" s="273">
        <f>IFERROR(INDEX('2. GRI Pricing Inputs'!$C$60:$AI$61,MATCH('3. GRI Pricing'!$Q$16,'2. GRI Pricing Inputs'!$C$60:$C$61,0),MATCH('1. Accomodation'!T94,'2. GRI Pricing Inputs'!$C$60:$AI$60,0)),0)</f>
        <v>0</v>
      </c>
      <c r="R90" s="273">
        <f>IFERROR(INDEX('2. GRI Pricing Inputs'!$C$67:$AI$68,MATCH('3. GRI Pricing'!$R$16,'2. GRI Pricing Inputs'!$C$67:$C$68,0),MATCH('1. Accomodation'!U94,'2. GRI Pricing Inputs'!$C$67:$AI$67,0)),0)</f>
        <v>0</v>
      </c>
      <c r="S90" s="273">
        <f>IF(D90=0,0,'2. GRI Pricing Inputs'!$AI$75)</f>
        <v>70</v>
      </c>
      <c r="T90" s="273">
        <f>IFERROR(INDEX('2. GRI Pricing Inputs'!$C$82:$AI$83,MATCH('3. GRI Pricing'!$T$16,'2. GRI Pricing Inputs'!$C$82:$C$83,0),MATCH('1. Accomodation'!V94,'2. GRI Pricing Inputs'!$C$82:$AI$82,0)),0)</f>
        <v>0</v>
      </c>
      <c r="U90" s="273">
        <f>IFERROR(INDEX('2. GRI Pricing Inputs'!$C$89:$AI$90,MATCH('3. GRI Pricing'!$U$16,'2. GRI Pricing Inputs'!$C$89:$C$90,0),MATCH('1. Accomodation'!W94,'2. GRI Pricing Inputs'!$C$89:$AI$89,0)),0)</f>
        <v>0</v>
      </c>
      <c r="V90" s="273">
        <f>IFERROR(INDEX('2. GRI Pricing Inputs'!$C$97:$AI$98,MATCH('3. GRI Pricing'!$V$16,'2. GRI Pricing Inputs'!$C$97:$C$98,0),MATCH('1. Accomodation'!X94,'2. GRI Pricing Inputs'!$C$97:$AI$97,0)),0)</f>
        <v>0</v>
      </c>
      <c r="W90" s="273">
        <f>IFERROR(INDEX('2. GRI Pricing Inputs'!$C$104:$AI$105,MATCH('3. GRI Pricing'!$W$16,'2. GRI Pricing Inputs'!$C$104:$C$105,0),MATCH('1. Accomodation'!Y94,'2. GRI Pricing Inputs'!$C$104:$AI$104,0)),0)</f>
        <v>0</v>
      </c>
      <c r="X90" s="274">
        <v>0</v>
      </c>
      <c r="Y90" s="275">
        <f t="shared" si="8"/>
        <v>1360</v>
      </c>
      <c r="Z90" s="276"/>
      <c r="AA90" s="276"/>
      <c r="AB90" s="276"/>
      <c r="AC90" s="272">
        <f>Y90*(1+'2. GRI Pricing Inputs'!$D$114)^(($AC$16-$AB$15)/365)</f>
        <v>1364.5378147071408</v>
      </c>
      <c r="AD90" s="273">
        <f>AC90*(1+'2. GRI Pricing Inputs'!$D$114)^((AD$16-AC$16)/365)</f>
        <v>1368.9436640282397</v>
      </c>
      <c r="AE90" s="273">
        <f>AD90*(1+'2. GRI Pricing Inputs'!$D$114)^((AE$16-AD$16)/365)</f>
        <v>1373.511320419324</v>
      </c>
      <c r="AF90" s="273">
        <f>AE90*(1+'2. GRI Pricing Inputs'!$D$114)^((AF$16-AE$16)/365)</f>
        <v>1378.0942173827234</v>
      </c>
      <c r="AG90" s="273">
        <f>AF90*(1+'2. GRI Pricing Inputs'!$D$114)^((AG$16-AF$16)/365)</f>
        <v>1382.3952860149877</v>
      </c>
      <c r="AH90" s="273">
        <f>AG90*(1+'2. GRI Pricing Inputs'!$D$114)^((AH$16-AG$16)/365)</f>
        <v>1387.0078254708412</v>
      </c>
      <c r="AI90" s="273">
        <f>AH90*(1+'2. GRI Pricing Inputs'!$D$114)^((AI$16-AH$16)/365)</f>
        <v>1391.4862264505321</v>
      </c>
      <c r="AJ90" s="273">
        <f>AI90*(1+'2. GRI Pricing Inputs'!$D$114)^((AJ$16-AI$16)/365)</f>
        <v>1396.1290989969814</v>
      </c>
      <c r="AK90" s="273">
        <f>AJ90*(1+'2. GRI Pricing Inputs'!$D$114)^((AK$16-AJ$16)/365)</f>
        <v>1400.636950942662</v>
      </c>
      <c r="AL90" s="273">
        <f>AK90*(1+'2. GRI Pricing Inputs'!$D$114)^((AL$16-AK$16)/365)</f>
        <v>1405.3103560568918</v>
      </c>
      <c r="AM90" s="273">
        <f>AL90*(1+'2. GRI Pricing Inputs'!$D$114)^((AM$16-AL$16)/365)</f>
        <v>1409.9993545876362</v>
      </c>
      <c r="AN90" s="273">
        <f>AM90*(1+'2. GRI Pricing Inputs'!$D$114)^((AN$16-AM$16)/365)</f>
        <v>1414.5519911156998</v>
      </c>
      <c r="AO90" s="273">
        <f>AN90*(1+'2. GRI Pricing Inputs'!$D$114)^((AO$16-AN$16)/365)</f>
        <v>1419.2718255490088</v>
      </c>
    </row>
    <row r="91" spans="3:41" ht="12" x14ac:dyDescent="0.2">
      <c r="C91" s="76" t="str">
        <f>'1. Accomodation'!N95</f>
        <v>511N</v>
      </c>
      <c r="D91" s="69" t="str">
        <f>'1. Accomodation'!P95</f>
        <v>2 Bed</v>
      </c>
      <c r="E91" s="69">
        <f>'1. Accomodation'!Q95</f>
        <v>2</v>
      </c>
      <c r="F91" s="77">
        <f>'1. Accomodation'!O95</f>
        <v>689</v>
      </c>
      <c r="G91" s="69">
        <f>'1. Accomodation'!R95</f>
        <v>5</v>
      </c>
      <c r="H91" s="69" t="str">
        <f>'1. Accomodation'!S95</f>
        <v>Courtyard - dual</v>
      </c>
      <c r="I91" s="62"/>
      <c r="K91" s="272">
        <f>IFERROR(INDEX('2. GRI Pricing Inputs'!$C$15:$AI$16,MATCH($K$16,'2. GRI Pricing Inputs'!$C$15:$C$16,0),MATCH(D91,'2. GRI Pricing Inputs'!$C$15:$AI$15,0)),0)</f>
        <v>1110</v>
      </c>
      <c r="L91" s="273">
        <f>IFERROR(INDEX('2. GRI Pricing Inputs'!$C$22:$AI$23,MATCH($L$16,'2. GRI Pricing Inputs'!$C$22:$C$23,0),MATCH(E91,'2. GRI Pricing Inputs'!$C$22:$AI$22,0)),0)</f>
        <v>0</v>
      </c>
      <c r="M91" s="328">
        <f>IF(AND('3. GRI Pricing'!$F91&gt;='2. GRI Pricing Inputs'!$D$33,'3. GRI Pricing'!$F91&lt;='2. GRI Pricing Inputs'!$E$33),'2. GRI Pricing Inputs'!$D$32,IF(AND('3. GRI Pricing'!$F91&gt;='2. GRI Pricing Inputs'!$F$33,'3. GRI Pricing'!$F91&lt;='2. GRI Pricing Inputs'!$G$33),'2. GRI Pricing Inputs'!$F$32,IF(AND('3. GRI Pricing'!$F91&gt;='2. GRI Pricing Inputs'!$H$33,'3. GRI Pricing'!$F91&lt;='2. GRI Pricing Inputs'!$I$33),'2. GRI Pricing Inputs'!$H$32,IF(AND('3. GRI Pricing'!$F91&gt;='2. GRI Pricing Inputs'!$J$33,'3. GRI Pricing'!$F91&lt;='2. GRI Pricing Inputs'!$K$33),'2. GRI Pricing Inputs'!$J$32,IF(AND('3. GRI Pricing'!$F91&gt;='2. GRI Pricing Inputs'!$L$33,'3. GRI Pricing'!$F91&lt;='2. GRI Pricing Inputs'!$M$33),'2. GRI Pricing Inputs'!$L$32,IF(AND('3. GRI Pricing'!$F91&gt;='2. GRI Pricing Inputs'!$N$33,'3. GRI Pricing'!$F91&lt;='2. GRI Pricing Inputs'!$O$33),'2. GRI Pricing Inputs'!$N$32,IF(AND('3. GRI Pricing'!$F91&gt;='2. GRI Pricing Inputs'!$P$33,'3. GRI Pricing'!$F91&lt;='2. GRI Pricing Inputs'!$Q$33),'2. GRI Pricing Inputs'!$P$32,IF(AND('3. GRI Pricing'!$F91&gt;='2. GRI Pricing Inputs'!$R$33,'3. GRI Pricing'!$F91&lt;='2. GRI Pricing Inputs'!$S$33),'2. GRI Pricing Inputs'!$R$32,IF(AND('3. GRI Pricing'!$F91&gt;='2. GRI Pricing Inputs'!$T$33,'3. GRI Pricing'!$F91&lt;='2. GRI Pricing Inputs'!$U$33),'2. GRI Pricing Inputs'!$T$32,IF(AND('3. GRI Pricing'!$F91&gt;='2. GRI Pricing Inputs'!$V$33,'3. GRI Pricing'!$F91&lt;='2. GRI Pricing Inputs'!$W$33),'2. GRI Pricing Inputs'!$V$32,IF(AND('3. GRI Pricing'!$F91&gt;='2. GRI Pricing Inputs'!$X$33,'3. GRI Pricing'!$F91&lt;='2. GRI Pricing Inputs'!$Y$33),'2. GRI Pricing Inputs'!$X$32,IF(AND('3. GRI Pricing'!$F91&gt;='2. GRI Pricing Inputs'!$Z$33,'3. GRI Pricing'!$F91&lt;='2. GRI Pricing Inputs'!$AA$33),'2. GRI Pricing Inputs'!$Z$32,IF(AND('3. GRI Pricing'!$F91&gt;='2. GRI Pricing Inputs'!$AB$33,'3. GRI Pricing'!$F91&lt;='2. GRI Pricing Inputs'!$AC$33),'2. GRI Pricing Inputs'!$AB$32,IF(AND('3. GRI Pricing'!$F91&gt;='2. GRI Pricing Inputs'!$AD$33,'3. GRI Pricing'!$F91&lt;='2. GRI Pricing Inputs'!$AE$33),'2. GRI Pricing Inputs'!$AD$32,IF(AND('3. GRI Pricing'!$F91&gt;='2. GRI Pricing Inputs'!$AF$33,'3. GRI Pricing'!$F91&lt;='2. GRI Pricing Inputs'!$AG$33),'2. GRI Pricing Inputs'!$AF$32,IF(AND('3. GRI Pricing'!$F91&gt;='2. GRI Pricing Inputs'!$AH$33,'3. GRI Pricing'!$F91&lt;='2. GRI Pricing Inputs'!$AI$33),'2. GRI Pricing Inputs'!$AH$32,0))))))))))))))))</f>
        <v>11</v>
      </c>
      <c r="N91" s="273" cm="1">
        <f t="array" ref="N91">IFERROR(INDEX('2. GRI Pricing Inputs'!$C$32:$AI$39,MATCH('3. GRI Pricing'!D91,'2. GRI Pricing Inputs'!$C$32:$C$39,0),(MATCH('3. GRI Pricing'!M91,'2. GRI Pricing Inputs'!$D$32:$AI$32,0)+1)),0)</f>
        <v>65</v>
      </c>
      <c r="O91" s="273">
        <f>IFERROR(INDEX('2. GRI Pricing Inputs'!$C$45:$AI$46,MATCH($O$16,'2. GRI Pricing Inputs'!$C$45:$C$46,0),MATCH(G91,'2. GRI Pricing Inputs'!$C$45:$AI$45,0)),0)</f>
        <v>70</v>
      </c>
      <c r="P91" s="273">
        <f>IFERROR(INDEX('2. GRI Pricing Inputs'!$C$53:$AI$54,MATCH('3. GRI Pricing'!$P$16,'2. GRI Pricing Inputs'!$C$53:$C$54,0),MATCH('3. GRI Pricing'!H91,'2. GRI Pricing Inputs'!$C$53:$AI$53,0)),0)</f>
        <v>55</v>
      </c>
      <c r="Q91" s="273">
        <f>IFERROR(INDEX('2. GRI Pricing Inputs'!$C$60:$AI$61,MATCH('3. GRI Pricing'!$Q$16,'2. GRI Pricing Inputs'!$C$60:$C$61,0),MATCH('1. Accomodation'!T95,'2. GRI Pricing Inputs'!$C$60:$AI$60,0)),0)</f>
        <v>0</v>
      </c>
      <c r="R91" s="273">
        <f>IFERROR(INDEX('2. GRI Pricing Inputs'!$C$67:$AI$68,MATCH('3. GRI Pricing'!$R$16,'2. GRI Pricing Inputs'!$C$67:$C$68,0),MATCH('1. Accomodation'!U95,'2. GRI Pricing Inputs'!$C$67:$AI$67,0)),0)</f>
        <v>0</v>
      </c>
      <c r="S91" s="273">
        <f>IF(D91=0,0,'2. GRI Pricing Inputs'!$AI$75)</f>
        <v>70</v>
      </c>
      <c r="T91" s="273">
        <f>IFERROR(INDEX('2. GRI Pricing Inputs'!$C$82:$AI$83,MATCH('3. GRI Pricing'!$T$16,'2. GRI Pricing Inputs'!$C$82:$C$83,0),MATCH('1. Accomodation'!V95,'2. GRI Pricing Inputs'!$C$82:$AI$82,0)),0)</f>
        <v>0</v>
      </c>
      <c r="U91" s="273">
        <f>IFERROR(INDEX('2. GRI Pricing Inputs'!$C$89:$AI$90,MATCH('3. GRI Pricing'!$U$16,'2. GRI Pricing Inputs'!$C$89:$C$90,0),MATCH('1. Accomodation'!W95,'2. GRI Pricing Inputs'!$C$89:$AI$89,0)),0)</f>
        <v>0</v>
      </c>
      <c r="V91" s="273">
        <f>IFERROR(INDEX('2. GRI Pricing Inputs'!$C$97:$AI$98,MATCH('3. GRI Pricing'!$V$16,'2. GRI Pricing Inputs'!$C$97:$C$98,0),MATCH('1. Accomodation'!X95,'2. GRI Pricing Inputs'!$C$97:$AI$97,0)),0)</f>
        <v>0</v>
      </c>
      <c r="W91" s="273">
        <f>IFERROR(INDEX('2. GRI Pricing Inputs'!$C$104:$AI$105,MATCH('3. GRI Pricing'!$W$16,'2. GRI Pricing Inputs'!$C$104:$C$105,0),MATCH('1. Accomodation'!Y95,'2. GRI Pricing Inputs'!$C$104:$AI$104,0)),0)</f>
        <v>0</v>
      </c>
      <c r="X91" s="274">
        <v>0</v>
      </c>
      <c r="Y91" s="275">
        <f t="shared" si="8"/>
        <v>1370</v>
      </c>
      <c r="Z91" s="276"/>
      <c r="AA91" s="276"/>
      <c r="AB91" s="276"/>
      <c r="AC91" s="272">
        <f>Y91*(1+'2. GRI Pricing Inputs'!$D$114)^(($AC$16-$AB$15)/365)</f>
        <v>1374.571180991752</v>
      </c>
      <c r="AD91" s="273">
        <f>AC91*(1+'2. GRI Pricing Inputs'!$D$114)^((AD$16-AC$16)/365)</f>
        <v>1379.0094262637415</v>
      </c>
      <c r="AE91" s="273">
        <f>AD91*(1+'2. GRI Pricing Inputs'!$D$114)^((AE$16-AD$16)/365)</f>
        <v>1383.6106683635837</v>
      </c>
      <c r="AF91" s="273">
        <f>AE91*(1+'2. GRI Pricing Inputs'!$D$114)^((AF$16-AE$16)/365)</f>
        <v>1388.2272630987727</v>
      </c>
      <c r="AG91" s="273">
        <f>AF91*(1+'2. GRI Pricing Inputs'!$D$114)^((AG$16-AF$16)/365)</f>
        <v>1392.5599572356862</v>
      </c>
      <c r="AH91" s="273">
        <f>AG91*(1+'2. GRI Pricing Inputs'!$D$114)^((AH$16-AG$16)/365)</f>
        <v>1397.2064124228327</v>
      </c>
      <c r="AI91" s="273">
        <f>AH91*(1+'2. GRI Pricing Inputs'!$D$114)^((AI$16-AH$16)/365)</f>
        <v>1401.7177428214918</v>
      </c>
      <c r="AJ91" s="273">
        <f>AI91*(1+'2. GRI Pricing Inputs'!$D$114)^((AJ$16-AI$16)/365)</f>
        <v>1406.3947541366649</v>
      </c>
      <c r="AK91" s="273">
        <f>AJ91*(1+'2. GRI Pricing Inputs'!$D$114)^((AK$16-AJ$16)/365)</f>
        <v>1410.9357520525343</v>
      </c>
      <c r="AL91" s="273">
        <f>AK91*(1+'2. GRI Pricing Inputs'!$D$114)^((AL$16-AK$16)/365)</f>
        <v>1415.6435204396628</v>
      </c>
      <c r="AM91" s="273">
        <f>AL91*(1+'2. GRI Pricing Inputs'!$D$114)^((AM$16-AL$16)/365)</f>
        <v>1420.3669969007801</v>
      </c>
      <c r="AN91" s="273">
        <f>AM91*(1+'2. GRI Pricing Inputs'!$D$114)^((AN$16-AM$16)/365)</f>
        <v>1424.9531086974325</v>
      </c>
      <c r="AO91" s="273">
        <f>AN91*(1+'2. GRI Pricing Inputs'!$D$114)^((AO$16-AN$16)/365)</f>
        <v>1429.7076477956923</v>
      </c>
    </row>
    <row r="92" spans="3:41" ht="12" x14ac:dyDescent="0.2">
      <c r="C92" s="76" t="str">
        <f>'1. Accomodation'!N96</f>
        <v>512N</v>
      </c>
      <c r="D92" s="69" t="str">
        <f>'1. Accomodation'!P96</f>
        <v>1 Bed</v>
      </c>
      <c r="E92" s="69">
        <f>'1. Accomodation'!Q96</f>
        <v>1</v>
      </c>
      <c r="F92" s="77">
        <f>'1. Accomodation'!O96</f>
        <v>517</v>
      </c>
      <c r="G92" s="69">
        <f>'1. Accomodation'!R96</f>
        <v>5</v>
      </c>
      <c r="H92" s="69" t="str">
        <f>'1. Accomodation'!S96</f>
        <v>Courtyard - dual</v>
      </c>
      <c r="I92" s="62"/>
      <c r="K92" s="272">
        <f>IFERROR(INDEX('2. GRI Pricing Inputs'!$C$15:$AI$16,MATCH($K$16,'2. GRI Pricing Inputs'!$C$15:$C$16,0),MATCH(D92,'2. GRI Pricing Inputs'!$C$15:$AI$15,0)),0)</f>
        <v>845</v>
      </c>
      <c r="L92" s="273">
        <f>IFERROR(INDEX('2. GRI Pricing Inputs'!$C$22:$AI$23,MATCH($L$16,'2. GRI Pricing Inputs'!$C$22:$C$23,0),MATCH(E92,'2. GRI Pricing Inputs'!$C$22:$AI$22,0)),0)</f>
        <v>0</v>
      </c>
      <c r="M92" s="328">
        <f>IF(AND('3. GRI Pricing'!$F92&gt;='2. GRI Pricing Inputs'!$D$33,'3. GRI Pricing'!$F92&lt;='2. GRI Pricing Inputs'!$E$33),'2. GRI Pricing Inputs'!$D$32,IF(AND('3. GRI Pricing'!$F92&gt;='2. GRI Pricing Inputs'!$F$33,'3. GRI Pricing'!$F92&lt;='2. GRI Pricing Inputs'!$G$33),'2. GRI Pricing Inputs'!$F$32,IF(AND('3. GRI Pricing'!$F92&gt;='2. GRI Pricing Inputs'!$H$33,'3. GRI Pricing'!$F92&lt;='2. GRI Pricing Inputs'!$I$33),'2. GRI Pricing Inputs'!$H$32,IF(AND('3. GRI Pricing'!$F92&gt;='2. GRI Pricing Inputs'!$J$33,'3. GRI Pricing'!$F92&lt;='2. GRI Pricing Inputs'!$K$33),'2. GRI Pricing Inputs'!$J$32,IF(AND('3. GRI Pricing'!$F92&gt;='2. GRI Pricing Inputs'!$L$33,'3. GRI Pricing'!$F92&lt;='2. GRI Pricing Inputs'!$M$33),'2. GRI Pricing Inputs'!$L$32,IF(AND('3. GRI Pricing'!$F92&gt;='2. GRI Pricing Inputs'!$N$33,'3. GRI Pricing'!$F92&lt;='2. GRI Pricing Inputs'!$O$33),'2. GRI Pricing Inputs'!$N$32,IF(AND('3. GRI Pricing'!$F92&gt;='2. GRI Pricing Inputs'!$P$33,'3. GRI Pricing'!$F92&lt;='2. GRI Pricing Inputs'!$Q$33),'2. GRI Pricing Inputs'!$P$32,IF(AND('3. GRI Pricing'!$F92&gt;='2. GRI Pricing Inputs'!$R$33,'3. GRI Pricing'!$F92&lt;='2. GRI Pricing Inputs'!$S$33),'2. GRI Pricing Inputs'!$R$32,IF(AND('3. GRI Pricing'!$F92&gt;='2. GRI Pricing Inputs'!$T$33,'3. GRI Pricing'!$F92&lt;='2. GRI Pricing Inputs'!$U$33),'2. GRI Pricing Inputs'!$T$32,IF(AND('3. GRI Pricing'!$F92&gt;='2. GRI Pricing Inputs'!$V$33,'3. GRI Pricing'!$F92&lt;='2. GRI Pricing Inputs'!$W$33),'2. GRI Pricing Inputs'!$V$32,IF(AND('3. GRI Pricing'!$F92&gt;='2. GRI Pricing Inputs'!$X$33,'3. GRI Pricing'!$F92&lt;='2. GRI Pricing Inputs'!$Y$33),'2. GRI Pricing Inputs'!$X$32,IF(AND('3. GRI Pricing'!$F92&gt;='2. GRI Pricing Inputs'!$Z$33,'3. GRI Pricing'!$F92&lt;='2. GRI Pricing Inputs'!$AA$33),'2. GRI Pricing Inputs'!$Z$32,IF(AND('3. GRI Pricing'!$F92&gt;='2. GRI Pricing Inputs'!$AB$33,'3. GRI Pricing'!$F92&lt;='2. GRI Pricing Inputs'!$AC$33),'2. GRI Pricing Inputs'!$AB$32,IF(AND('3. GRI Pricing'!$F92&gt;='2. GRI Pricing Inputs'!$AD$33,'3. GRI Pricing'!$F92&lt;='2. GRI Pricing Inputs'!$AE$33),'2. GRI Pricing Inputs'!$AD$32,IF(AND('3. GRI Pricing'!$F92&gt;='2. GRI Pricing Inputs'!$AF$33,'3. GRI Pricing'!$F92&lt;='2. GRI Pricing Inputs'!$AG$33),'2. GRI Pricing Inputs'!$AF$32,IF(AND('3. GRI Pricing'!$F92&gt;='2. GRI Pricing Inputs'!$AH$33,'3. GRI Pricing'!$F92&lt;='2. GRI Pricing Inputs'!$AI$33),'2. GRI Pricing Inputs'!$AH$32,0))))))))))))))))</f>
        <v>3</v>
      </c>
      <c r="N92" s="273" cm="1">
        <f t="array" ref="N92">IFERROR(INDEX('2. GRI Pricing Inputs'!$C$32:$AI$39,MATCH('3. GRI Pricing'!D92,'2. GRI Pricing Inputs'!$C$32:$C$39,0),(MATCH('3. GRI Pricing'!M92,'2. GRI Pricing Inputs'!$D$32:$AI$32,0)+1)),0)</f>
        <v>20</v>
      </c>
      <c r="O92" s="273">
        <f>IFERROR(INDEX('2. GRI Pricing Inputs'!$C$45:$AI$46,MATCH($O$16,'2. GRI Pricing Inputs'!$C$45:$C$46,0),MATCH(G92,'2. GRI Pricing Inputs'!$C$45:$AI$45,0)),0)</f>
        <v>70</v>
      </c>
      <c r="P92" s="273">
        <f>IFERROR(INDEX('2. GRI Pricing Inputs'!$C$53:$AI$54,MATCH('3. GRI Pricing'!$P$16,'2. GRI Pricing Inputs'!$C$53:$C$54,0),MATCH('3. GRI Pricing'!H92,'2. GRI Pricing Inputs'!$C$53:$AI$53,0)),0)</f>
        <v>55</v>
      </c>
      <c r="Q92" s="273">
        <f>IFERROR(INDEX('2. GRI Pricing Inputs'!$C$60:$AI$61,MATCH('3. GRI Pricing'!$Q$16,'2. GRI Pricing Inputs'!$C$60:$C$61,0),MATCH('1. Accomodation'!T96,'2. GRI Pricing Inputs'!$C$60:$AI$60,0)),0)</f>
        <v>0</v>
      </c>
      <c r="R92" s="273">
        <f>IFERROR(INDEX('2. GRI Pricing Inputs'!$C$67:$AI$68,MATCH('3. GRI Pricing'!$R$16,'2. GRI Pricing Inputs'!$C$67:$C$68,0),MATCH('1. Accomodation'!U96,'2. GRI Pricing Inputs'!$C$67:$AI$67,0)),0)</f>
        <v>0</v>
      </c>
      <c r="S92" s="273">
        <f>IF(D92=0,0,'2. GRI Pricing Inputs'!$AI$75)</f>
        <v>70</v>
      </c>
      <c r="T92" s="273">
        <f>IFERROR(INDEX('2. GRI Pricing Inputs'!$C$82:$AI$83,MATCH('3. GRI Pricing'!$T$16,'2. GRI Pricing Inputs'!$C$82:$C$83,0),MATCH('1. Accomodation'!V96,'2. GRI Pricing Inputs'!$C$82:$AI$82,0)),0)</f>
        <v>0</v>
      </c>
      <c r="U92" s="273">
        <f>IFERROR(INDEX('2. GRI Pricing Inputs'!$C$89:$AI$90,MATCH('3. GRI Pricing'!$U$16,'2. GRI Pricing Inputs'!$C$89:$C$90,0),MATCH('1. Accomodation'!W96,'2. GRI Pricing Inputs'!$C$89:$AI$89,0)),0)</f>
        <v>0</v>
      </c>
      <c r="V92" s="273">
        <f>IFERROR(INDEX('2. GRI Pricing Inputs'!$C$97:$AI$98,MATCH('3. GRI Pricing'!$V$16,'2. GRI Pricing Inputs'!$C$97:$C$98,0),MATCH('1. Accomodation'!X96,'2. GRI Pricing Inputs'!$C$97:$AI$97,0)),0)</f>
        <v>0</v>
      </c>
      <c r="W92" s="273">
        <f>IFERROR(INDEX('2. GRI Pricing Inputs'!$C$104:$AI$105,MATCH('3. GRI Pricing'!$W$16,'2. GRI Pricing Inputs'!$C$104:$C$105,0),MATCH('1. Accomodation'!Y96,'2. GRI Pricing Inputs'!$C$104:$AI$104,0)),0)</f>
        <v>0</v>
      </c>
      <c r="X92" s="274">
        <v>0</v>
      </c>
      <c r="Y92" s="275">
        <f t="shared" si="8"/>
        <v>1060</v>
      </c>
      <c r="Z92" s="276"/>
      <c r="AA92" s="276"/>
      <c r="AB92" s="276"/>
      <c r="AC92" s="272">
        <f>Y92*(1+'2. GRI Pricing Inputs'!$D$114)^(($AC$16-$AB$15)/365)</f>
        <v>1063.5368261688009</v>
      </c>
      <c r="AD92" s="273">
        <f>AC92*(1+'2. GRI Pricing Inputs'!$D$114)^((AD$16-AC$16)/365)</f>
        <v>1066.9707969631868</v>
      </c>
      <c r="AE92" s="273">
        <f>AD92*(1+'2. GRI Pricing Inputs'!$D$114)^((AE$16-AD$16)/365)</f>
        <v>1070.5308820915318</v>
      </c>
      <c r="AF92" s="273">
        <f>AE92*(1+'2. GRI Pricing Inputs'!$D$114)^((AF$16-AE$16)/365)</f>
        <v>1074.10284590124</v>
      </c>
      <c r="AG92" s="273">
        <f>AF92*(1+'2. GRI Pricing Inputs'!$D$114)^((AG$16-AF$16)/365)</f>
        <v>1077.4551493940344</v>
      </c>
      <c r="AH92" s="273">
        <f>AG92*(1+'2. GRI Pricing Inputs'!$D$114)^((AH$16-AG$16)/365)</f>
        <v>1081.0502169110966</v>
      </c>
      <c r="AI92" s="273">
        <f>AH92*(1+'2. GRI Pricing Inputs'!$D$114)^((AI$16-AH$16)/365)</f>
        <v>1084.5407353217381</v>
      </c>
      <c r="AJ92" s="273">
        <f>AI92*(1+'2. GRI Pricing Inputs'!$D$114)^((AJ$16-AI$16)/365)</f>
        <v>1088.1594448064707</v>
      </c>
      <c r="AK92" s="273">
        <f>AJ92*(1+'2. GRI Pricing Inputs'!$D$114)^((AK$16-AJ$16)/365)</f>
        <v>1091.6729176464864</v>
      </c>
      <c r="AL92" s="273">
        <f>AK92*(1+'2. GRI Pricing Inputs'!$D$114)^((AL$16-AK$16)/365)</f>
        <v>1095.3154245737537</v>
      </c>
      <c r="AM92" s="273">
        <f>AL92*(1+'2. GRI Pricing Inputs'!$D$114)^((AM$16-AL$16)/365)</f>
        <v>1098.9700851933044</v>
      </c>
      <c r="AN92" s="273">
        <f>AM92*(1+'2. GRI Pricing Inputs'!$D$114)^((AN$16-AM$16)/365)</f>
        <v>1102.5184636637071</v>
      </c>
      <c r="AO92" s="273">
        <f>AN92*(1+'2. GRI Pricing Inputs'!$D$114)^((AO$16-AN$16)/365)</f>
        <v>1106.197158148492</v>
      </c>
    </row>
    <row r="93" spans="3:41" ht="12" x14ac:dyDescent="0.2">
      <c r="C93" s="76" t="str">
        <f>'1. Accomodation'!N97</f>
        <v>513N</v>
      </c>
      <c r="D93" s="69" t="str">
        <f>'1. Accomodation'!P97</f>
        <v>1 Bed</v>
      </c>
      <c r="E93" s="69">
        <f>'1. Accomodation'!Q97</f>
        <v>1</v>
      </c>
      <c r="F93" s="77">
        <f>'1. Accomodation'!O97</f>
        <v>538</v>
      </c>
      <c r="G93" s="69">
        <f>'1. Accomodation'!R97</f>
        <v>5</v>
      </c>
      <c r="H93" s="69" t="str">
        <f>'1. Accomodation'!S97</f>
        <v>Courtyard</v>
      </c>
      <c r="I93" s="62"/>
      <c r="K93" s="272">
        <f>IFERROR(INDEX('2. GRI Pricing Inputs'!$C$15:$AI$16,MATCH($K$16,'2. GRI Pricing Inputs'!$C$15:$C$16,0),MATCH(D93,'2. GRI Pricing Inputs'!$C$15:$AI$15,0)),0)</f>
        <v>845</v>
      </c>
      <c r="L93" s="273">
        <f>IFERROR(INDEX('2. GRI Pricing Inputs'!$C$22:$AI$23,MATCH($L$16,'2. GRI Pricing Inputs'!$C$22:$C$23,0),MATCH(E93,'2. GRI Pricing Inputs'!$C$22:$AI$22,0)),0)</f>
        <v>0</v>
      </c>
      <c r="M93" s="328">
        <f>IF(AND('3. GRI Pricing'!$F93&gt;='2. GRI Pricing Inputs'!$D$33,'3. GRI Pricing'!$F93&lt;='2. GRI Pricing Inputs'!$E$33),'2. GRI Pricing Inputs'!$D$32,IF(AND('3. GRI Pricing'!$F93&gt;='2. GRI Pricing Inputs'!$F$33,'3. GRI Pricing'!$F93&lt;='2. GRI Pricing Inputs'!$G$33),'2. GRI Pricing Inputs'!$F$32,IF(AND('3. GRI Pricing'!$F93&gt;='2. GRI Pricing Inputs'!$H$33,'3. GRI Pricing'!$F93&lt;='2. GRI Pricing Inputs'!$I$33),'2. GRI Pricing Inputs'!$H$32,IF(AND('3. GRI Pricing'!$F93&gt;='2. GRI Pricing Inputs'!$J$33,'3. GRI Pricing'!$F93&lt;='2. GRI Pricing Inputs'!$K$33),'2. GRI Pricing Inputs'!$J$32,IF(AND('3. GRI Pricing'!$F93&gt;='2. GRI Pricing Inputs'!$L$33,'3. GRI Pricing'!$F93&lt;='2. GRI Pricing Inputs'!$M$33),'2. GRI Pricing Inputs'!$L$32,IF(AND('3. GRI Pricing'!$F93&gt;='2. GRI Pricing Inputs'!$N$33,'3. GRI Pricing'!$F93&lt;='2. GRI Pricing Inputs'!$O$33),'2. GRI Pricing Inputs'!$N$32,IF(AND('3. GRI Pricing'!$F93&gt;='2. GRI Pricing Inputs'!$P$33,'3. GRI Pricing'!$F93&lt;='2. GRI Pricing Inputs'!$Q$33),'2. GRI Pricing Inputs'!$P$32,IF(AND('3. GRI Pricing'!$F93&gt;='2. GRI Pricing Inputs'!$R$33,'3. GRI Pricing'!$F93&lt;='2. GRI Pricing Inputs'!$S$33),'2. GRI Pricing Inputs'!$R$32,IF(AND('3. GRI Pricing'!$F93&gt;='2. GRI Pricing Inputs'!$T$33,'3. GRI Pricing'!$F93&lt;='2. GRI Pricing Inputs'!$U$33),'2. GRI Pricing Inputs'!$T$32,IF(AND('3. GRI Pricing'!$F93&gt;='2. GRI Pricing Inputs'!$V$33,'3. GRI Pricing'!$F93&lt;='2. GRI Pricing Inputs'!$W$33),'2. GRI Pricing Inputs'!$V$32,IF(AND('3. GRI Pricing'!$F93&gt;='2. GRI Pricing Inputs'!$X$33,'3. GRI Pricing'!$F93&lt;='2. GRI Pricing Inputs'!$Y$33),'2. GRI Pricing Inputs'!$X$32,IF(AND('3. GRI Pricing'!$F93&gt;='2. GRI Pricing Inputs'!$Z$33,'3. GRI Pricing'!$F93&lt;='2. GRI Pricing Inputs'!$AA$33),'2. GRI Pricing Inputs'!$Z$32,IF(AND('3. GRI Pricing'!$F93&gt;='2. GRI Pricing Inputs'!$AB$33,'3. GRI Pricing'!$F93&lt;='2. GRI Pricing Inputs'!$AC$33),'2. GRI Pricing Inputs'!$AB$32,IF(AND('3. GRI Pricing'!$F93&gt;='2. GRI Pricing Inputs'!$AD$33,'3. GRI Pricing'!$F93&lt;='2. GRI Pricing Inputs'!$AE$33),'2. GRI Pricing Inputs'!$AD$32,IF(AND('3. GRI Pricing'!$F93&gt;='2. GRI Pricing Inputs'!$AF$33,'3. GRI Pricing'!$F93&lt;='2. GRI Pricing Inputs'!$AG$33),'2. GRI Pricing Inputs'!$AF$32,IF(AND('3. GRI Pricing'!$F93&gt;='2. GRI Pricing Inputs'!$AH$33,'3. GRI Pricing'!$F93&lt;='2. GRI Pricing Inputs'!$AI$33),'2. GRI Pricing Inputs'!$AH$32,0))))))))))))))))</f>
        <v>4</v>
      </c>
      <c r="N93" s="273" cm="1">
        <f t="array" ref="N93">IFERROR(INDEX('2. GRI Pricing Inputs'!$C$32:$AI$39,MATCH('3. GRI Pricing'!D93,'2. GRI Pricing Inputs'!$C$32:$C$39,0),(MATCH('3. GRI Pricing'!M93,'2. GRI Pricing Inputs'!$D$32:$AI$32,0)+1)),0)</f>
        <v>25</v>
      </c>
      <c r="O93" s="273">
        <f>IFERROR(INDEX('2. GRI Pricing Inputs'!$C$45:$AI$46,MATCH($O$16,'2. GRI Pricing Inputs'!$C$45:$C$46,0),MATCH(G93,'2. GRI Pricing Inputs'!$C$45:$AI$45,0)),0)</f>
        <v>70</v>
      </c>
      <c r="P93" s="273">
        <f>IFERROR(INDEX('2. GRI Pricing Inputs'!$C$53:$AI$54,MATCH('3. GRI Pricing'!$P$16,'2. GRI Pricing Inputs'!$C$53:$C$54,0),MATCH('3. GRI Pricing'!H93,'2. GRI Pricing Inputs'!$C$53:$AI$53,0)),0)</f>
        <v>25</v>
      </c>
      <c r="Q93" s="273">
        <f>IFERROR(INDEX('2. GRI Pricing Inputs'!$C$60:$AI$61,MATCH('3. GRI Pricing'!$Q$16,'2. GRI Pricing Inputs'!$C$60:$C$61,0),MATCH('1. Accomodation'!T97,'2. GRI Pricing Inputs'!$C$60:$AI$60,0)),0)</f>
        <v>0</v>
      </c>
      <c r="R93" s="273">
        <f>IFERROR(INDEX('2. GRI Pricing Inputs'!$C$67:$AI$68,MATCH('3. GRI Pricing'!$R$16,'2. GRI Pricing Inputs'!$C$67:$C$68,0),MATCH('1. Accomodation'!U97,'2. GRI Pricing Inputs'!$C$67:$AI$67,0)),0)</f>
        <v>0</v>
      </c>
      <c r="S93" s="273">
        <f>IF(D93=0,0,'2. GRI Pricing Inputs'!$AI$75)</f>
        <v>70</v>
      </c>
      <c r="T93" s="273">
        <f>IFERROR(INDEX('2. GRI Pricing Inputs'!$C$82:$AI$83,MATCH('3. GRI Pricing'!$T$16,'2. GRI Pricing Inputs'!$C$82:$C$83,0),MATCH('1. Accomodation'!V97,'2. GRI Pricing Inputs'!$C$82:$AI$82,0)),0)</f>
        <v>0</v>
      </c>
      <c r="U93" s="273">
        <f>IFERROR(INDEX('2. GRI Pricing Inputs'!$C$89:$AI$90,MATCH('3. GRI Pricing'!$U$16,'2. GRI Pricing Inputs'!$C$89:$C$90,0),MATCH('1. Accomodation'!W97,'2. GRI Pricing Inputs'!$C$89:$AI$89,0)),0)</f>
        <v>0</v>
      </c>
      <c r="V93" s="273">
        <f>IFERROR(INDEX('2. GRI Pricing Inputs'!$C$97:$AI$98,MATCH('3. GRI Pricing'!$V$16,'2. GRI Pricing Inputs'!$C$97:$C$98,0),MATCH('1. Accomodation'!X97,'2. GRI Pricing Inputs'!$C$97:$AI$97,0)),0)</f>
        <v>0</v>
      </c>
      <c r="W93" s="273">
        <f>IFERROR(INDEX('2. GRI Pricing Inputs'!$C$104:$AI$105,MATCH('3. GRI Pricing'!$W$16,'2. GRI Pricing Inputs'!$C$104:$C$105,0),MATCH('1. Accomodation'!Y97,'2. GRI Pricing Inputs'!$C$104:$AI$104,0)),0)</f>
        <v>0</v>
      </c>
      <c r="X93" s="274">
        <v>0</v>
      </c>
      <c r="Y93" s="275">
        <f t="shared" si="8"/>
        <v>1035</v>
      </c>
      <c r="Z93" s="276"/>
      <c r="AA93" s="276"/>
      <c r="AB93" s="276"/>
      <c r="AC93" s="272">
        <f>Y93*(1+'2. GRI Pricing Inputs'!$D$114)^(($AC$16-$AB$15)/365)</f>
        <v>1038.4534104572726</v>
      </c>
      <c r="AD93" s="273">
        <f>AC93*(1+'2. GRI Pricing Inputs'!$D$114)^((AD$16-AC$16)/365)</f>
        <v>1041.8063913744325</v>
      </c>
      <c r="AE93" s="273">
        <f>AD93*(1+'2. GRI Pricing Inputs'!$D$114)^((AE$16-AD$16)/365)</f>
        <v>1045.2825122308825</v>
      </c>
      <c r="AF93" s="273">
        <f>AE93*(1+'2. GRI Pricing Inputs'!$D$114)^((AF$16-AE$16)/365)</f>
        <v>1048.7702316111165</v>
      </c>
      <c r="AG93" s="273">
        <f>AF93*(1+'2. GRI Pricing Inputs'!$D$114)^((AG$16-AF$16)/365)</f>
        <v>1052.0434713422883</v>
      </c>
      <c r="AH93" s="273">
        <f>AG93*(1+'2. GRI Pricing Inputs'!$D$114)^((AH$16-AG$16)/365)</f>
        <v>1055.553749531118</v>
      </c>
      <c r="AI93" s="273">
        <f>AH93*(1+'2. GRI Pricing Inputs'!$D$114)^((AI$16-AH$16)/365)</f>
        <v>1058.9619443943386</v>
      </c>
      <c r="AJ93" s="273">
        <f>AI93*(1+'2. GRI Pricing Inputs'!$D$114)^((AJ$16-AI$16)/365)</f>
        <v>1062.4953069572614</v>
      </c>
      <c r="AK93" s="273">
        <f>AJ93*(1+'2. GRI Pricing Inputs'!$D$114)^((AK$16-AJ$16)/365)</f>
        <v>1065.9259148718052</v>
      </c>
      <c r="AL93" s="273">
        <f>AK93*(1+'2. GRI Pricing Inputs'!$D$114)^((AL$16-AK$16)/365)</f>
        <v>1069.4825136168256</v>
      </c>
      <c r="AM93" s="273">
        <f>AL93*(1+'2. GRI Pricing Inputs'!$D$114)^((AM$16-AL$16)/365)</f>
        <v>1073.0509794104435</v>
      </c>
      <c r="AN93" s="273">
        <f>AM93*(1+'2. GRI Pricing Inputs'!$D$114)^((AN$16-AM$16)/365)</f>
        <v>1076.5156697093744</v>
      </c>
      <c r="AO93" s="273">
        <f>AN93*(1+'2. GRI Pricing Inputs'!$D$114)^((AO$16-AN$16)/365)</f>
        <v>1080.1076025317823</v>
      </c>
    </row>
    <row r="94" spans="3:41" ht="12" x14ac:dyDescent="0.2">
      <c r="C94" s="76" t="str">
        <f>'1. Accomodation'!N98</f>
        <v>514N</v>
      </c>
      <c r="D94" s="69" t="str">
        <f>'1. Accomodation'!P98</f>
        <v>1 Bed</v>
      </c>
      <c r="E94" s="69">
        <f>'1. Accomodation'!Q98</f>
        <v>1</v>
      </c>
      <c r="F94" s="77">
        <f>'1. Accomodation'!O98</f>
        <v>560</v>
      </c>
      <c r="G94" s="69">
        <f>'1. Accomodation'!R98</f>
        <v>5</v>
      </c>
      <c r="H94" s="69" t="str">
        <f>'1. Accomodation'!S98</f>
        <v>Courtyard</v>
      </c>
      <c r="I94" s="62"/>
      <c r="K94" s="272">
        <f>IFERROR(INDEX('2. GRI Pricing Inputs'!$C$15:$AI$16,MATCH($K$16,'2. GRI Pricing Inputs'!$C$15:$C$16,0),MATCH(D94,'2. GRI Pricing Inputs'!$C$15:$AI$15,0)),0)</f>
        <v>845</v>
      </c>
      <c r="L94" s="273">
        <f>IFERROR(INDEX('2. GRI Pricing Inputs'!$C$22:$AI$23,MATCH($L$16,'2. GRI Pricing Inputs'!$C$22:$C$23,0),MATCH(E94,'2. GRI Pricing Inputs'!$C$22:$AI$22,0)),0)</f>
        <v>0</v>
      </c>
      <c r="M94" s="328">
        <f>IF(AND('3. GRI Pricing'!$F94&gt;='2. GRI Pricing Inputs'!$D$33,'3. GRI Pricing'!$F94&lt;='2. GRI Pricing Inputs'!$E$33),'2. GRI Pricing Inputs'!$D$32,IF(AND('3. GRI Pricing'!$F94&gt;='2. GRI Pricing Inputs'!$F$33,'3. GRI Pricing'!$F94&lt;='2. GRI Pricing Inputs'!$G$33),'2. GRI Pricing Inputs'!$F$32,IF(AND('3. GRI Pricing'!$F94&gt;='2. GRI Pricing Inputs'!$H$33,'3. GRI Pricing'!$F94&lt;='2. GRI Pricing Inputs'!$I$33),'2. GRI Pricing Inputs'!$H$32,IF(AND('3. GRI Pricing'!$F94&gt;='2. GRI Pricing Inputs'!$J$33,'3. GRI Pricing'!$F94&lt;='2. GRI Pricing Inputs'!$K$33),'2. GRI Pricing Inputs'!$J$32,IF(AND('3. GRI Pricing'!$F94&gt;='2. GRI Pricing Inputs'!$L$33,'3. GRI Pricing'!$F94&lt;='2. GRI Pricing Inputs'!$M$33),'2. GRI Pricing Inputs'!$L$32,IF(AND('3. GRI Pricing'!$F94&gt;='2. GRI Pricing Inputs'!$N$33,'3. GRI Pricing'!$F94&lt;='2. GRI Pricing Inputs'!$O$33),'2. GRI Pricing Inputs'!$N$32,IF(AND('3. GRI Pricing'!$F94&gt;='2. GRI Pricing Inputs'!$P$33,'3. GRI Pricing'!$F94&lt;='2. GRI Pricing Inputs'!$Q$33),'2. GRI Pricing Inputs'!$P$32,IF(AND('3. GRI Pricing'!$F94&gt;='2. GRI Pricing Inputs'!$R$33,'3. GRI Pricing'!$F94&lt;='2. GRI Pricing Inputs'!$S$33),'2. GRI Pricing Inputs'!$R$32,IF(AND('3. GRI Pricing'!$F94&gt;='2. GRI Pricing Inputs'!$T$33,'3. GRI Pricing'!$F94&lt;='2. GRI Pricing Inputs'!$U$33),'2. GRI Pricing Inputs'!$T$32,IF(AND('3. GRI Pricing'!$F94&gt;='2. GRI Pricing Inputs'!$V$33,'3. GRI Pricing'!$F94&lt;='2. GRI Pricing Inputs'!$W$33),'2. GRI Pricing Inputs'!$V$32,IF(AND('3. GRI Pricing'!$F94&gt;='2. GRI Pricing Inputs'!$X$33,'3. GRI Pricing'!$F94&lt;='2. GRI Pricing Inputs'!$Y$33),'2. GRI Pricing Inputs'!$X$32,IF(AND('3. GRI Pricing'!$F94&gt;='2. GRI Pricing Inputs'!$Z$33,'3. GRI Pricing'!$F94&lt;='2. GRI Pricing Inputs'!$AA$33),'2. GRI Pricing Inputs'!$Z$32,IF(AND('3. GRI Pricing'!$F94&gt;='2. GRI Pricing Inputs'!$AB$33,'3. GRI Pricing'!$F94&lt;='2. GRI Pricing Inputs'!$AC$33),'2. GRI Pricing Inputs'!$AB$32,IF(AND('3. GRI Pricing'!$F94&gt;='2. GRI Pricing Inputs'!$AD$33,'3. GRI Pricing'!$F94&lt;='2. GRI Pricing Inputs'!$AE$33),'2. GRI Pricing Inputs'!$AD$32,IF(AND('3. GRI Pricing'!$F94&gt;='2. GRI Pricing Inputs'!$AF$33,'3. GRI Pricing'!$F94&lt;='2. GRI Pricing Inputs'!$AG$33),'2. GRI Pricing Inputs'!$AF$32,IF(AND('3. GRI Pricing'!$F94&gt;='2. GRI Pricing Inputs'!$AH$33,'3. GRI Pricing'!$F94&lt;='2. GRI Pricing Inputs'!$AI$33),'2. GRI Pricing Inputs'!$AH$32,0))))))))))))))))</f>
        <v>5</v>
      </c>
      <c r="N94" s="273" cm="1">
        <f t="array" ref="N94">IFERROR(INDEX('2. GRI Pricing Inputs'!$C$32:$AI$39,MATCH('3. GRI Pricing'!D94,'2. GRI Pricing Inputs'!$C$32:$C$39,0),(MATCH('3. GRI Pricing'!M94,'2. GRI Pricing Inputs'!$D$32:$AI$32,0)+1)),0)</f>
        <v>35</v>
      </c>
      <c r="O94" s="273">
        <f>IFERROR(INDEX('2. GRI Pricing Inputs'!$C$45:$AI$46,MATCH($O$16,'2. GRI Pricing Inputs'!$C$45:$C$46,0),MATCH(G94,'2. GRI Pricing Inputs'!$C$45:$AI$45,0)),0)</f>
        <v>70</v>
      </c>
      <c r="P94" s="273">
        <f>IFERROR(INDEX('2. GRI Pricing Inputs'!$C$53:$AI$54,MATCH('3. GRI Pricing'!$P$16,'2. GRI Pricing Inputs'!$C$53:$C$54,0),MATCH('3. GRI Pricing'!H94,'2. GRI Pricing Inputs'!$C$53:$AI$53,0)),0)</f>
        <v>25</v>
      </c>
      <c r="Q94" s="273">
        <f>IFERROR(INDEX('2. GRI Pricing Inputs'!$C$60:$AI$61,MATCH('3. GRI Pricing'!$Q$16,'2. GRI Pricing Inputs'!$C$60:$C$61,0),MATCH('1. Accomodation'!T98,'2. GRI Pricing Inputs'!$C$60:$AI$60,0)),0)</f>
        <v>0</v>
      </c>
      <c r="R94" s="273">
        <f>IFERROR(INDEX('2. GRI Pricing Inputs'!$C$67:$AI$68,MATCH('3. GRI Pricing'!$R$16,'2. GRI Pricing Inputs'!$C$67:$C$68,0),MATCH('1. Accomodation'!U98,'2. GRI Pricing Inputs'!$C$67:$AI$67,0)),0)</f>
        <v>0</v>
      </c>
      <c r="S94" s="273">
        <f>IF(D94=0,0,'2. GRI Pricing Inputs'!$AI$75)</f>
        <v>70</v>
      </c>
      <c r="T94" s="273">
        <f>IFERROR(INDEX('2. GRI Pricing Inputs'!$C$82:$AI$83,MATCH('3. GRI Pricing'!$T$16,'2. GRI Pricing Inputs'!$C$82:$C$83,0),MATCH('1. Accomodation'!V98,'2. GRI Pricing Inputs'!$C$82:$AI$82,0)),0)</f>
        <v>0</v>
      </c>
      <c r="U94" s="273">
        <f>IFERROR(INDEX('2. GRI Pricing Inputs'!$C$89:$AI$90,MATCH('3. GRI Pricing'!$U$16,'2. GRI Pricing Inputs'!$C$89:$C$90,0),MATCH('1. Accomodation'!W98,'2. GRI Pricing Inputs'!$C$89:$AI$89,0)),0)</f>
        <v>-25</v>
      </c>
      <c r="V94" s="273">
        <f>IFERROR(INDEX('2. GRI Pricing Inputs'!$C$97:$AI$98,MATCH('3. GRI Pricing'!$V$16,'2. GRI Pricing Inputs'!$C$97:$C$98,0),MATCH('1. Accomodation'!X98,'2. GRI Pricing Inputs'!$C$97:$AI$97,0)),0)</f>
        <v>0</v>
      </c>
      <c r="W94" s="273">
        <f>IFERROR(INDEX('2. GRI Pricing Inputs'!$C$104:$AI$105,MATCH('3. GRI Pricing'!$W$16,'2. GRI Pricing Inputs'!$C$104:$C$105,0),MATCH('1. Accomodation'!Y98,'2. GRI Pricing Inputs'!$C$104:$AI$104,0)),0)</f>
        <v>0</v>
      </c>
      <c r="X94" s="274">
        <v>0</v>
      </c>
      <c r="Y94" s="275">
        <f t="shared" si="8"/>
        <v>1020</v>
      </c>
      <c r="Z94" s="276"/>
      <c r="AA94" s="276"/>
      <c r="AB94" s="276"/>
      <c r="AC94" s="272">
        <f>Y94*(1+'2. GRI Pricing Inputs'!$D$114)^(($AC$16-$AB$15)/365)</f>
        <v>1023.4033610303555</v>
      </c>
      <c r="AD94" s="273">
        <f>AC94*(1+'2. GRI Pricing Inputs'!$D$114)^((AD$16-AC$16)/365)</f>
        <v>1026.7077480211799</v>
      </c>
      <c r="AE94" s="273">
        <f>AD94*(1+'2. GRI Pricing Inputs'!$D$114)^((AE$16-AD$16)/365)</f>
        <v>1030.133490314493</v>
      </c>
      <c r="AF94" s="273">
        <f>AE94*(1+'2. GRI Pricing Inputs'!$D$114)^((AF$16-AE$16)/365)</f>
        <v>1033.5706630370426</v>
      </c>
      <c r="AG94" s="273">
        <f>AF94*(1+'2. GRI Pricing Inputs'!$D$114)^((AG$16-AF$16)/365)</f>
        <v>1036.7964645112409</v>
      </c>
      <c r="AH94" s="273">
        <f>AG94*(1+'2. GRI Pricing Inputs'!$D$114)^((AH$16-AG$16)/365)</f>
        <v>1040.2558691031311</v>
      </c>
      <c r="AI94" s="273">
        <f>AH94*(1+'2. GRI Pricing Inputs'!$D$114)^((AI$16-AH$16)/365)</f>
        <v>1043.6146698378993</v>
      </c>
      <c r="AJ94" s="273">
        <f>AI94*(1+'2. GRI Pricing Inputs'!$D$114)^((AJ$16-AI$16)/365)</f>
        <v>1047.0968242477363</v>
      </c>
      <c r="AK94" s="273">
        <f>AJ94*(1+'2. GRI Pricing Inputs'!$D$114)^((AK$16-AJ$16)/365)</f>
        <v>1050.4777132069969</v>
      </c>
      <c r="AL94" s="273">
        <f>AK94*(1+'2. GRI Pricing Inputs'!$D$114)^((AL$16-AK$16)/365)</f>
        <v>1053.9827670426691</v>
      </c>
      <c r="AM94" s="273">
        <f>AL94*(1+'2. GRI Pricing Inputs'!$D$114)^((AM$16-AL$16)/365)</f>
        <v>1057.4995159407274</v>
      </c>
      <c r="AN94" s="273">
        <f>AM94*(1+'2. GRI Pricing Inputs'!$D$114)^((AN$16-AM$16)/365)</f>
        <v>1060.9139933367751</v>
      </c>
      <c r="AO94" s="273">
        <f>AN94*(1+'2. GRI Pricing Inputs'!$D$114)^((AO$16-AN$16)/365)</f>
        <v>1064.4538691617568</v>
      </c>
    </row>
    <row r="95" spans="3:41" ht="12" x14ac:dyDescent="0.2">
      <c r="C95" s="76" t="str">
        <f>'1. Accomodation'!N99</f>
        <v>515N</v>
      </c>
      <c r="D95" s="69" t="str">
        <f>'1. Accomodation'!P99</f>
        <v>2 Bed</v>
      </c>
      <c r="E95" s="69">
        <f>'1. Accomodation'!Q99</f>
        <v>2</v>
      </c>
      <c r="F95" s="77">
        <f>'1. Accomodation'!O99</f>
        <v>624</v>
      </c>
      <c r="G95" s="69">
        <f>'1. Accomodation'!R99</f>
        <v>5</v>
      </c>
      <c r="H95" s="69" t="str">
        <f>'1. Accomodation'!S99</f>
        <v>Courtyard</v>
      </c>
      <c r="I95" s="62"/>
      <c r="K95" s="272">
        <f>IFERROR(INDEX('2. GRI Pricing Inputs'!$C$15:$AI$16,MATCH($K$16,'2. GRI Pricing Inputs'!$C$15:$C$16,0),MATCH(D95,'2. GRI Pricing Inputs'!$C$15:$AI$15,0)),0)</f>
        <v>1110</v>
      </c>
      <c r="L95" s="273">
        <f>IFERROR(INDEX('2. GRI Pricing Inputs'!$C$22:$AI$23,MATCH($L$16,'2. GRI Pricing Inputs'!$C$22:$C$23,0),MATCH(E95,'2. GRI Pricing Inputs'!$C$22:$AI$22,0)),0)</f>
        <v>0</v>
      </c>
      <c r="M95" s="328">
        <f>IF(AND('3. GRI Pricing'!$F95&gt;='2. GRI Pricing Inputs'!$D$33,'3. GRI Pricing'!$F95&lt;='2. GRI Pricing Inputs'!$E$33),'2. GRI Pricing Inputs'!$D$32,IF(AND('3. GRI Pricing'!$F95&gt;='2. GRI Pricing Inputs'!$F$33,'3. GRI Pricing'!$F95&lt;='2. GRI Pricing Inputs'!$G$33),'2. GRI Pricing Inputs'!$F$32,IF(AND('3. GRI Pricing'!$F95&gt;='2. GRI Pricing Inputs'!$H$33,'3. GRI Pricing'!$F95&lt;='2. GRI Pricing Inputs'!$I$33),'2. GRI Pricing Inputs'!$H$32,IF(AND('3. GRI Pricing'!$F95&gt;='2. GRI Pricing Inputs'!$J$33,'3. GRI Pricing'!$F95&lt;='2. GRI Pricing Inputs'!$K$33),'2. GRI Pricing Inputs'!$J$32,IF(AND('3. GRI Pricing'!$F95&gt;='2. GRI Pricing Inputs'!$L$33,'3. GRI Pricing'!$F95&lt;='2. GRI Pricing Inputs'!$M$33),'2. GRI Pricing Inputs'!$L$32,IF(AND('3. GRI Pricing'!$F95&gt;='2. GRI Pricing Inputs'!$N$33,'3. GRI Pricing'!$F95&lt;='2. GRI Pricing Inputs'!$O$33),'2. GRI Pricing Inputs'!$N$32,IF(AND('3. GRI Pricing'!$F95&gt;='2. GRI Pricing Inputs'!$P$33,'3. GRI Pricing'!$F95&lt;='2. GRI Pricing Inputs'!$Q$33),'2. GRI Pricing Inputs'!$P$32,IF(AND('3. GRI Pricing'!$F95&gt;='2. GRI Pricing Inputs'!$R$33,'3. GRI Pricing'!$F95&lt;='2. GRI Pricing Inputs'!$S$33),'2. GRI Pricing Inputs'!$R$32,IF(AND('3. GRI Pricing'!$F95&gt;='2. GRI Pricing Inputs'!$T$33,'3. GRI Pricing'!$F95&lt;='2. GRI Pricing Inputs'!$U$33),'2. GRI Pricing Inputs'!$T$32,IF(AND('3. GRI Pricing'!$F95&gt;='2. GRI Pricing Inputs'!$V$33,'3. GRI Pricing'!$F95&lt;='2. GRI Pricing Inputs'!$W$33),'2. GRI Pricing Inputs'!$V$32,IF(AND('3. GRI Pricing'!$F95&gt;='2. GRI Pricing Inputs'!$X$33,'3. GRI Pricing'!$F95&lt;='2. GRI Pricing Inputs'!$Y$33),'2. GRI Pricing Inputs'!$X$32,IF(AND('3. GRI Pricing'!$F95&gt;='2. GRI Pricing Inputs'!$Z$33,'3. GRI Pricing'!$F95&lt;='2. GRI Pricing Inputs'!$AA$33),'2. GRI Pricing Inputs'!$Z$32,IF(AND('3. GRI Pricing'!$F95&gt;='2. GRI Pricing Inputs'!$AB$33,'3. GRI Pricing'!$F95&lt;='2. GRI Pricing Inputs'!$AC$33),'2. GRI Pricing Inputs'!$AB$32,IF(AND('3. GRI Pricing'!$F95&gt;='2. GRI Pricing Inputs'!$AD$33,'3. GRI Pricing'!$F95&lt;='2. GRI Pricing Inputs'!$AE$33),'2. GRI Pricing Inputs'!$AD$32,IF(AND('3. GRI Pricing'!$F95&gt;='2. GRI Pricing Inputs'!$AF$33,'3. GRI Pricing'!$F95&lt;='2. GRI Pricing Inputs'!$AG$33),'2. GRI Pricing Inputs'!$AF$32,IF(AND('3. GRI Pricing'!$F95&gt;='2. GRI Pricing Inputs'!$AH$33,'3. GRI Pricing'!$F95&lt;='2. GRI Pricing Inputs'!$AI$33),'2. GRI Pricing Inputs'!$AH$32,0))))))))))))))))</f>
        <v>7</v>
      </c>
      <c r="N95" s="273" cm="1">
        <f t="array" ref="N95">IFERROR(INDEX('2. GRI Pricing Inputs'!$C$32:$AI$39,MATCH('3. GRI Pricing'!D95,'2. GRI Pricing Inputs'!$C$32:$C$39,0),(MATCH('3. GRI Pricing'!M95,'2. GRI Pricing Inputs'!$D$32:$AI$32,0)+1)),0)</f>
        <v>10</v>
      </c>
      <c r="O95" s="273">
        <f>IFERROR(INDEX('2. GRI Pricing Inputs'!$C$45:$AI$46,MATCH($O$16,'2. GRI Pricing Inputs'!$C$45:$C$46,0),MATCH(G95,'2. GRI Pricing Inputs'!$C$45:$AI$45,0)),0)</f>
        <v>70</v>
      </c>
      <c r="P95" s="273">
        <f>IFERROR(INDEX('2. GRI Pricing Inputs'!$C$53:$AI$54,MATCH('3. GRI Pricing'!$P$16,'2. GRI Pricing Inputs'!$C$53:$C$54,0),MATCH('3. GRI Pricing'!H95,'2. GRI Pricing Inputs'!$C$53:$AI$53,0)),0)</f>
        <v>25</v>
      </c>
      <c r="Q95" s="273">
        <f>IFERROR(INDEX('2. GRI Pricing Inputs'!$C$60:$AI$61,MATCH('3. GRI Pricing'!$Q$16,'2. GRI Pricing Inputs'!$C$60:$C$61,0),MATCH('1. Accomodation'!T99,'2. GRI Pricing Inputs'!$C$60:$AI$60,0)),0)</f>
        <v>0</v>
      </c>
      <c r="R95" s="273">
        <f>IFERROR(INDEX('2. GRI Pricing Inputs'!$C$67:$AI$68,MATCH('3. GRI Pricing'!$R$16,'2. GRI Pricing Inputs'!$C$67:$C$68,0),MATCH('1. Accomodation'!U99,'2. GRI Pricing Inputs'!$C$67:$AI$67,0)),0)</f>
        <v>0</v>
      </c>
      <c r="S95" s="273">
        <f>IF(D95=0,0,'2. GRI Pricing Inputs'!$AI$75)</f>
        <v>70</v>
      </c>
      <c r="T95" s="273">
        <f>IFERROR(INDEX('2. GRI Pricing Inputs'!$C$82:$AI$83,MATCH('3. GRI Pricing'!$T$16,'2. GRI Pricing Inputs'!$C$82:$C$83,0),MATCH('1. Accomodation'!V99,'2. GRI Pricing Inputs'!$C$82:$AI$82,0)),0)</f>
        <v>0</v>
      </c>
      <c r="U95" s="273">
        <f>IFERROR(INDEX('2. GRI Pricing Inputs'!$C$89:$AI$90,MATCH('3. GRI Pricing'!$U$16,'2. GRI Pricing Inputs'!$C$89:$C$90,0),MATCH('1. Accomodation'!W99,'2. GRI Pricing Inputs'!$C$89:$AI$89,0)),0)</f>
        <v>0</v>
      </c>
      <c r="V95" s="273">
        <f>IFERROR(INDEX('2. GRI Pricing Inputs'!$C$97:$AI$98,MATCH('3. GRI Pricing'!$V$16,'2. GRI Pricing Inputs'!$C$97:$C$98,0),MATCH('1. Accomodation'!X99,'2. GRI Pricing Inputs'!$C$97:$AI$97,0)),0)</f>
        <v>0</v>
      </c>
      <c r="W95" s="273">
        <f>IFERROR(INDEX('2. GRI Pricing Inputs'!$C$104:$AI$105,MATCH('3. GRI Pricing'!$W$16,'2. GRI Pricing Inputs'!$C$104:$C$105,0),MATCH('1. Accomodation'!Y99,'2. GRI Pricing Inputs'!$C$104:$AI$104,0)),0)</f>
        <v>0</v>
      </c>
      <c r="X95" s="274">
        <v>0</v>
      </c>
      <c r="Y95" s="275">
        <f t="shared" si="8"/>
        <v>1285</v>
      </c>
      <c r="Z95" s="276"/>
      <c r="AA95" s="276"/>
      <c r="AB95" s="276"/>
      <c r="AC95" s="272">
        <f>Y95*(1+'2. GRI Pricing Inputs'!$D$114)^(($AC$16-$AB$15)/365)</f>
        <v>1289.2875675725559</v>
      </c>
      <c r="AD95" s="273">
        <f>AC95*(1+'2. GRI Pricing Inputs'!$D$114)^((AD$16-AC$16)/365)</f>
        <v>1293.4504472619767</v>
      </c>
      <c r="AE95" s="273">
        <f>AD95*(1+'2. GRI Pricing Inputs'!$D$114)^((AE$16-AD$16)/365)</f>
        <v>1297.7662108373761</v>
      </c>
      <c r="AF95" s="273">
        <f>AE95*(1+'2. GRI Pricing Inputs'!$D$114)^((AF$16-AE$16)/365)</f>
        <v>1302.0963745123527</v>
      </c>
      <c r="AG95" s="273">
        <f>AF95*(1+'2. GRI Pricing Inputs'!$D$114)^((AG$16-AF$16)/365)</f>
        <v>1306.1602518597495</v>
      </c>
      <c r="AH95" s="273">
        <f>AG95*(1+'2. GRI Pricing Inputs'!$D$114)^((AH$16-AG$16)/365)</f>
        <v>1310.5184233309053</v>
      </c>
      <c r="AI95" s="273">
        <f>AH95*(1+'2. GRI Pricing Inputs'!$D$114)^((AI$16-AH$16)/365)</f>
        <v>1314.7498536683338</v>
      </c>
      <c r="AJ95" s="273">
        <f>AI95*(1+'2. GRI Pricing Inputs'!$D$114)^((AJ$16-AI$16)/365)</f>
        <v>1319.136685449354</v>
      </c>
      <c r="AK95" s="273">
        <f>AJ95*(1+'2. GRI Pricing Inputs'!$D$114)^((AK$16-AJ$16)/365)</f>
        <v>1323.3959426186184</v>
      </c>
      <c r="AL95" s="273">
        <f>AK95*(1+'2. GRI Pricing Inputs'!$D$114)^((AL$16-AK$16)/365)</f>
        <v>1327.8116231861075</v>
      </c>
      <c r="AM95" s="273">
        <f>AL95*(1+'2. GRI Pricing Inputs'!$D$114)^((AM$16-AL$16)/365)</f>
        <v>1332.2420372390534</v>
      </c>
      <c r="AN95" s="273">
        <f>AM95*(1+'2. GRI Pricing Inputs'!$D$114)^((AN$16-AM$16)/365)</f>
        <v>1336.5436092527018</v>
      </c>
      <c r="AO95" s="273">
        <f>AN95*(1+'2. GRI Pricing Inputs'!$D$114)^((AO$16-AN$16)/365)</f>
        <v>1341.0031586988796</v>
      </c>
    </row>
    <row r="96" spans="3:41" ht="12" x14ac:dyDescent="0.2">
      <c r="C96" s="76" t="str">
        <f>'1. Accomodation'!N100</f>
        <v>516N</v>
      </c>
      <c r="D96" s="69" t="str">
        <f>'1. Accomodation'!P100</f>
        <v>2 Bed</v>
      </c>
      <c r="E96" s="69">
        <f>'1. Accomodation'!Q100</f>
        <v>2</v>
      </c>
      <c r="F96" s="77">
        <f>'1. Accomodation'!O100</f>
        <v>624</v>
      </c>
      <c r="G96" s="69">
        <f>'1. Accomodation'!R100</f>
        <v>5</v>
      </c>
      <c r="H96" s="69" t="str">
        <f>'1. Accomodation'!S100</f>
        <v>Courtyard</v>
      </c>
      <c r="I96" s="62"/>
      <c r="K96" s="272">
        <f>IFERROR(INDEX('2. GRI Pricing Inputs'!$C$15:$AI$16,MATCH($K$16,'2. GRI Pricing Inputs'!$C$15:$C$16,0),MATCH(D96,'2. GRI Pricing Inputs'!$C$15:$AI$15,0)),0)</f>
        <v>1110</v>
      </c>
      <c r="L96" s="273">
        <f>IFERROR(INDEX('2. GRI Pricing Inputs'!$C$22:$AI$23,MATCH($L$16,'2. GRI Pricing Inputs'!$C$22:$C$23,0),MATCH(E96,'2. GRI Pricing Inputs'!$C$22:$AI$22,0)),0)</f>
        <v>0</v>
      </c>
      <c r="M96" s="328">
        <f>IF(AND('3. GRI Pricing'!$F96&gt;='2. GRI Pricing Inputs'!$D$33,'3. GRI Pricing'!$F96&lt;='2. GRI Pricing Inputs'!$E$33),'2. GRI Pricing Inputs'!$D$32,IF(AND('3. GRI Pricing'!$F96&gt;='2. GRI Pricing Inputs'!$F$33,'3. GRI Pricing'!$F96&lt;='2. GRI Pricing Inputs'!$G$33),'2. GRI Pricing Inputs'!$F$32,IF(AND('3. GRI Pricing'!$F96&gt;='2. GRI Pricing Inputs'!$H$33,'3. GRI Pricing'!$F96&lt;='2. GRI Pricing Inputs'!$I$33),'2. GRI Pricing Inputs'!$H$32,IF(AND('3. GRI Pricing'!$F96&gt;='2. GRI Pricing Inputs'!$J$33,'3. GRI Pricing'!$F96&lt;='2. GRI Pricing Inputs'!$K$33),'2. GRI Pricing Inputs'!$J$32,IF(AND('3. GRI Pricing'!$F96&gt;='2. GRI Pricing Inputs'!$L$33,'3. GRI Pricing'!$F96&lt;='2. GRI Pricing Inputs'!$M$33),'2. GRI Pricing Inputs'!$L$32,IF(AND('3. GRI Pricing'!$F96&gt;='2. GRI Pricing Inputs'!$N$33,'3. GRI Pricing'!$F96&lt;='2. GRI Pricing Inputs'!$O$33),'2. GRI Pricing Inputs'!$N$32,IF(AND('3. GRI Pricing'!$F96&gt;='2. GRI Pricing Inputs'!$P$33,'3. GRI Pricing'!$F96&lt;='2. GRI Pricing Inputs'!$Q$33),'2. GRI Pricing Inputs'!$P$32,IF(AND('3. GRI Pricing'!$F96&gt;='2. GRI Pricing Inputs'!$R$33,'3. GRI Pricing'!$F96&lt;='2. GRI Pricing Inputs'!$S$33),'2. GRI Pricing Inputs'!$R$32,IF(AND('3. GRI Pricing'!$F96&gt;='2. GRI Pricing Inputs'!$T$33,'3. GRI Pricing'!$F96&lt;='2. GRI Pricing Inputs'!$U$33),'2. GRI Pricing Inputs'!$T$32,IF(AND('3. GRI Pricing'!$F96&gt;='2. GRI Pricing Inputs'!$V$33,'3. GRI Pricing'!$F96&lt;='2. GRI Pricing Inputs'!$W$33),'2. GRI Pricing Inputs'!$V$32,IF(AND('3. GRI Pricing'!$F96&gt;='2. GRI Pricing Inputs'!$X$33,'3. GRI Pricing'!$F96&lt;='2. GRI Pricing Inputs'!$Y$33),'2. GRI Pricing Inputs'!$X$32,IF(AND('3. GRI Pricing'!$F96&gt;='2. GRI Pricing Inputs'!$Z$33,'3. GRI Pricing'!$F96&lt;='2. GRI Pricing Inputs'!$AA$33),'2. GRI Pricing Inputs'!$Z$32,IF(AND('3. GRI Pricing'!$F96&gt;='2. GRI Pricing Inputs'!$AB$33,'3. GRI Pricing'!$F96&lt;='2. GRI Pricing Inputs'!$AC$33),'2. GRI Pricing Inputs'!$AB$32,IF(AND('3. GRI Pricing'!$F96&gt;='2. GRI Pricing Inputs'!$AD$33,'3. GRI Pricing'!$F96&lt;='2. GRI Pricing Inputs'!$AE$33),'2. GRI Pricing Inputs'!$AD$32,IF(AND('3. GRI Pricing'!$F96&gt;='2. GRI Pricing Inputs'!$AF$33,'3. GRI Pricing'!$F96&lt;='2. GRI Pricing Inputs'!$AG$33),'2. GRI Pricing Inputs'!$AF$32,IF(AND('3. GRI Pricing'!$F96&gt;='2. GRI Pricing Inputs'!$AH$33,'3. GRI Pricing'!$F96&lt;='2. GRI Pricing Inputs'!$AI$33),'2. GRI Pricing Inputs'!$AH$32,0))))))))))))))))</f>
        <v>7</v>
      </c>
      <c r="N96" s="273" cm="1">
        <f t="array" ref="N96">IFERROR(INDEX('2. GRI Pricing Inputs'!$C$32:$AI$39,MATCH('3. GRI Pricing'!D96,'2. GRI Pricing Inputs'!$C$32:$C$39,0),(MATCH('3. GRI Pricing'!M96,'2. GRI Pricing Inputs'!$D$32:$AI$32,0)+1)),0)</f>
        <v>10</v>
      </c>
      <c r="O96" s="273">
        <f>IFERROR(INDEX('2. GRI Pricing Inputs'!$C$45:$AI$46,MATCH($O$16,'2. GRI Pricing Inputs'!$C$45:$C$46,0),MATCH(G96,'2. GRI Pricing Inputs'!$C$45:$AI$45,0)),0)</f>
        <v>70</v>
      </c>
      <c r="P96" s="273">
        <f>IFERROR(INDEX('2. GRI Pricing Inputs'!$C$53:$AI$54,MATCH('3. GRI Pricing'!$P$16,'2. GRI Pricing Inputs'!$C$53:$C$54,0),MATCH('3. GRI Pricing'!H96,'2. GRI Pricing Inputs'!$C$53:$AI$53,0)),0)</f>
        <v>25</v>
      </c>
      <c r="Q96" s="273">
        <f>IFERROR(INDEX('2. GRI Pricing Inputs'!$C$60:$AI$61,MATCH('3. GRI Pricing'!$Q$16,'2. GRI Pricing Inputs'!$C$60:$C$61,0),MATCH('1. Accomodation'!T100,'2. GRI Pricing Inputs'!$C$60:$AI$60,0)),0)</f>
        <v>0</v>
      </c>
      <c r="R96" s="273">
        <f>IFERROR(INDEX('2. GRI Pricing Inputs'!$C$67:$AI$68,MATCH('3. GRI Pricing'!$R$16,'2. GRI Pricing Inputs'!$C$67:$C$68,0),MATCH('1. Accomodation'!U100,'2. GRI Pricing Inputs'!$C$67:$AI$67,0)),0)</f>
        <v>0</v>
      </c>
      <c r="S96" s="273">
        <f>IF(D96=0,0,'2. GRI Pricing Inputs'!$AI$75)</f>
        <v>70</v>
      </c>
      <c r="T96" s="273">
        <f>IFERROR(INDEX('2. GRI Pricing Inputs'!$C$82:$AI$83,MATCH('3. GRI Pricing'!$T$16,'2. GRI Pricing Inputs'!$C$82:$C$83,0),MATCH('1. Accomodation'!V100,'2. GRI Pricing Inputs'!$C$82:$AI$82,0)),0)</f>
        <v>0</v>
      </c>
      <c r="U96" s="273">
        <f>IFERROR(INDEX('2. GRI Pricing Inputs'!$C$89:$AI$90,MATCH('3. GRI Pricing'!$U$16,'2. GRI Pricing Inputs'!$C$89:$C$90,0),MATCH('1. Accomodation'!W100,'2. GRI Pricing Inputs'!$C$89:$AI$89,0)),0)</f>
        <v>0</v>
      </c>
      <c r="V96" s="273">
        <f>IFERROR(INDEX('2. GRI Pricing Inputs'!$C$97:$AI$98,MATCH('3. GRI Pricing'!$V$16,'2. GRI Pricing Inputs'!$C$97:$C$98,0),MATCH('1. Accomodation'!X100,'2. GRI Pricing Inputs'!$C$97:$AI$97,0)),0)</f>
        <v>0</v>
      </c>
      <c r="W96" s="273">
        <f>IFERROR(INDEX('2. GRI Pricing Inputs'!$C$104:$AI$105,MATCH('3. GRI Pricing'!$W$16,'2. GRI Pricing Inputs'!$C$104:$C$105,0),MATCH('1. Accomodation'!Y100,'2. GRI Pricing Inputs'!$C$104:$AI$104,0)),0)</f>
        <v>0</v>
      </c>
      <c r="X96" s="274">
        <v>0</v>
      </c>
      <c r="Y96" s="275">
        <f t="shared" si="8"/>
        <v>1285</v>
      </c>
      <c r="Z96" s="276"/>
      <c r="AA96" s="276"/>
      <c r="AB96" s="276"/>
      <c r="AC96" s="272">
        <f>Y96*(1+'2. GRI Pricing Inputs'!$D$114)^(($AC$16-$AB$15)/365)</f>
        <v>1289.2875675725559</v>
      </c>
      <c r="AD96" s="273">
        <f>AC96*(1+'2. GRI Pricing Inputs'!$D$114)^((AD$16-AC$16)/365)</f>
        <v>1293.4504472619767</v>
      </c>
      <c r="AE96" s="273">
        <f>AD96*(1+'2. GRI Pricing Inputs'!$D$114)^((AE$16-AD$16)/365)</f>
        <v>1297.7662108373761</v>
      </c>
      <c r="AF96" s="273">
        <f>AE96*(1+'2. GRI Pricing Inputs'!$D$114)^((AF$16-AE$16)/365)</f>
        <v>1302.0963745123527</v>
      </c>
      <c r="AG96" s="273">
        <f>AF96*(1+'2. GRI Pricing Inputs'!$D$114)^((AG$16-AF$16)/365)</f>
        <v>1306.1602518597495</v>
      </c>
      <c r="AH96" s="273">
        <f>AG96*(1+'2. GRI Pricing Inputs'!$D$114)^((AH$16-AG$16)/365)</f>
        <v>1310.5184233309053</v>
      </c>
      <c r="AI96" s="273">
        <f>AH96*(1+'2. GRI Pricing Inputs'!$D$114)^((AI$16-AH$16)/365)</f>
        <v>1314.7498536683338</v>
      </c>
      <c r="AJ96" s="273">
        <f>AI96*(1+'2. GRI Pricing Inputs'!$D$114)^((AJ$16-AI$16)/365)</f>
        <v>1319.136685449354</v>
      </c>
      <c r="AK96" s="273">
        <f>AJ96*(1+'2. GRI Pricing Inputs'!$D$114)^((AK$16-AJ$16)/365)</f>
        <v>1323.3959426186184</v>
      </c>
      <c r="AL96" s="273">
        <f>AK96*(1+'2. GRI Pricing Inputs'!$D$114)^((AL$16-AK$16)/365)</f>
        <v>1327.8116231861075</v>
      </c>
      <c r="AM96" s="273">
        <f>AL96*(1+'2. GRI Pricing Inputs'!$D$114)^((AM$16-AL$16)/365)</f>
        <v>1332.2420372390534</v>
      </c>
      <c r="AN96" s="273">
        <f>AM96*(1+'2. GRI Pricing Inputs'!$D$114)^((AN$16-AM$16)/365)</f>
        <v>1336.5436092527018</v>
      </c>
      <c r="AO96" s="273">
        <f>AN96*(1+'2. GRI Pricing Inputs'!$D$114)^((AO$16-AN$16)/365)</f>
        <v>1341.0031586988796</v>
      </c>
    </row>
    <row r="97" spans="3:41" ht="12" x14ac:dyDescent="0.2">
      <c r="C97" s="76" t="str">
        <f>'1. Accomodation'!N101</f>
        <v>601N</v>
      </c>
      <c r="D97" s="69" t="str">
        <f>'1. Accomodation'!P101</f>
        <v>1 Bed</v>
      </c>
      <c r="E97" s="69">
        <f>'1. Accomodation'!Q101</f>
        <v>1</v>
      </c>
      <c r="F97" s="77">
        <f>'1. Accomodation'!O101</f>
        <v>495</v>
      </c>
      <c r="G97" s="69">
        <f>'1. Accomodation'!R101</f>
        <v>6</v>
      </c>
      <c r="H97" s="69" t="str">
        <f>'1. Accomodation'!S101</f>
        <v>Courtyard</v>
      </c>
      <c r="I97" s="62"/>
      <c r="K97" s="272">
        <f>IFERROR(INDEX('2. GRI Pricing Inputs'!$C$15:$AI$16,MATCH($K$16,'2. GRI Pricing Inputs'!$C$15:$C$16,0),MATCH(D97,'2. GRI Pricing Inputs'!$C$15:$AI$15,0)),0)</f>
        <v>845</v>
      </c>
      <c r="L97" s="273">
        <f>IFERROR(INDEX('2. GRI Pricing Inputs'!$C$22:$AI$23,MATCH($L$16,'2. GRI Pricing Inputs'!$C$22:$C$23,0),MATCH(E97,'2. GRI Pricing Inputs'!$C$22:$AI$22,0)),0)</f>
        <v>0</v>
      </c>
      <c r="M97" s="328">
        <f>IF(AND('3. GRI Pricing'!$F97&gt;='2. GRI Pricing Inputs'!$D$33,'3. GRI Pricing'!$F97&lt;='2. GRI Pricing Inputs'!$E$33),'2. GRI Pricing Inputs'!$D$32,IF(AND('3. GRI Pricing'!$F97&gt;='2. GRI Pricing Inputs'!$F$33,'3. GRI Pricing'!$F97&lt;='2. GRI Pricing Inputs'!$G$33),'2. GRI Pricing Inputs'!$F$32,IF(AND('3. GRI Pricing'!$F97&gt;='2. GRI Pricing Inputs'!$H$33,'3. GRI Pricing'!$F97&lt;='2. GRI Pricing Inputs'!$I$33),'2. GRI Pricing Inputs'!$H$32,IF(AND('3. GRI Pricing'!$F97&gt;='2. GRI Pricing Inputs'!$J$33,'3. GRI Pricing'!$F97&lt;='2. GRI Pricing Inputs'!$K$33),'2. GRI Pricing Inputs'!$J$32,IF(AND('3. GRI Pricing'!$F97&gt;='2. GRI Pricing Inputs'!$L$33,'3. GRI Pricing'!$F97&lt;='2. GRI Pricing Inputs'!$M$33),'2. GRI Pricing Inputs'!$L$32,IF(AND('3. GRI Pricing'!$F97&gt;='2. GRI Pricing Inputs'!$N$33,'3. GRI Pricing'!$F97&lt;='2. GRI Pricing Inputs'!$O$33),'2. GRI Pricing Inputs'!$N$32,IF(AND('3. GRI Pricing'!$F97&gt;='2. GRI Pricing Inputs'!$P$33,'3. GRI Pricing'!$F97&lt;='2. GRI Pricing Inputs'!$Q$33),'2. GRI Pricing Inputs'!$P$32,IF(AND('3. GRI Pricing'!$F97&gt;='2. GRI Pricing Inputs'!$R$33,'3. GRI Pricing'!$F97&lt;='2. GRI Pricing Inputs'!$S$33),'2. GRI Pricing Inputs'!$R$32,IF(AND('3. GRI Pricing'!$F97&gt;='2. GRI Pricing Inputs'!$T$33,'3. GRI Pricing'!$F97&lt;='2. GRI Pricing Inputs'!$U$33),'2. GRI Pricing Inputs'!$T$32,IF(AND('3. GRI Pricing'!$F97&gt;='2. GRI Pricing Inputs'!$V$33,'3. GRI Pricing'!$F97&lt;='2. GRI Pricing Inputs'!$W$33),'2. GRI Pricing Inputs'!$V$32,IF(AND('3. GRI Pricing'!$F97&gt;='2. GRI Pricing Inputs'!$X$33,'3. GRI Pricing'!$F97&lt;='2. GRI Pricing Inputs'!$Y$33),'2. GRI Pricing Inputs'!$X$32,IF(AND('3. GRI Pricing'!$F97&gt;='2. GRI Pricing Inputs'!$Z$33,'3. GRI Pricing'!$F97&lt;='2. GRI Pricing Inputs'!$AA$33),'2. GRI Pricing Inputs'!$Z$32,IF(AND('3. GRI Pricing'!$F97&gt;='2. GRI Pricing Inputs'!$AB$33,'3. GRI Pricing'!$F97&lt;='2. GRI Pricing Inputs'!$AC$33),'2. GRI Pricing Inputs'!$AB$32,IF(AND('3. GRI Pricing'!$F97&gt;='2. GRI Pricing Inputs'!$AD$33,'3. GRI Pricing'!$F97&lt;='2. GRI Pricing Inputs'!$AE$33),'2. GRI Pricing Inputs'!$AD$32,IF(AND('3. GRI Pricing'!$F97&gt;='2. GRI Pricing Inputs'!$AF$33,'3. GRI Pricing'!$F97&lt;='2. GRI Pricing Inputs'!$AG$33),'2. GRI Pricing Inputs'!$AF$32,IF(AND('3. GRI Pricing'!$F97&gt;='2. GRI Pricing Inputs'!$AH$33,'3. GRI Pricing'!$F97&lt;='2. GRI Pricing Inputs'!$AI$33),'2. GRI Pricing Inputs'!$AH$32,0))))))))))))))))</f>
        <v>2</v>
      </c>
      <c r="N97" s="273" cm="1">
        <f t="array" ref="N97">IFERROR(INDEX('2. GRI Pricing Inputs'!$C$32:$AI$39,MATCH('3. GRI Pricing'!D97,'2. GRI Pricing Inputs'!$C$32:$C$39,0),(MATCH('3. GRI Pricing'!M97,'2. GRI Pricing Inputs'!$D$32:$AI$32,0)+1)),0)</f>
        <v>15</v>
      </c>
      <c r="O97" s="273">
        <f>IFERROR(INDEX('2. GRI Pricing Inputs'!$C$45:$AI$46,MATCH($O$16,'2. GRI Pricing Inputs'!$C$45:$C$46,0),MATCH(G97,'2. GRI Pricing Inputs'!$C$45:$AI$45,0)),0)</f>
        <v>80</v>
      </c>
      <c r="P97" s="273">
        <f>IFERROR(INDEX('2. GRI Pricing Inputs'!$C$53:$AI$54,MATCH('3. GRI Pricing'!$P$16,'2. GRI Pricing Inputs'!$C$53:$C$54,0),MATCH('3. GRI Pricing'!H97,'2. GRI Pricing Inputs'!$C$53:$AI$53,0)),0)</f>
        <v>25</v>
      </c>
      <c r="Q97" s="273">
        <f>IFERROR(INDEX('2. GRI Pricing Inputs'!$C$60:$AI$61,MATCH('3. GRI Pricing'!$Q$16,'2. GRI Pricing Inputs'!$C$60:$C$61,0),MATCH('1. Accomodation'!T101,'2. GRI Pricing Inputs'!$C$60:$AI$60,0)),0)</f>
        <v>0</v>
      </c>
      <c r="R97" s="273">
        <f>IFERROR(INDEX('2. GRI Pricing Inputs'!$C$67:$AI$68,MATCH('3. GRI Pricing'!$R$16,'2. GRI Pricing Inputs'!$C$67:$C$68,0),MATCH('1. Accomodation'!U101,'2. GRI Pricing Inputs'!$C$67:$AI$67,0)),0)</f>
        <v>0</v>
      </c>
      <c r="S97" s="273">
        <f>IF(D97=0,0,'2. GRI Pricing Inputs'!$AI$75)</f>
        <v>70</v>
      </c>
      <c r="T97" s="273">
        <f>IFERROR(INDEX('2. GRI Pricing Inputs'!$C$82:$AI$83,MATCH('3. GRI Pricing'!$T$16,'2. GRI Pricing Inputs'!$C$82:$C$83,0),MATCH('1. Accomodation'!V101,'2. GRI Pricing Inputs'!$C$82:$AI$82,0)),0)</f>
        <v>-50</v>
      </c>
      <c r="U97" s="273">
        <f>IFERROR(INDEX('2. GRI Pricing Inputs'!$C$89:$AI$90,MATCH('3. GRI Pricing'!$U$16,'2. GRI Pricing Inputs'!$C$89:$C$90,0),MATCH('1. Accomodation'!W101,'2. GRI Pricing Inputs'!$C$89:$AI$89,0)),0)</f>
        <v>0</v>
      </c>
      <c r="V97" s="273">
        <f>IFERROR(INDEX('2. GRI Pricing Inputs'!$C$97:$AI$98,MATCH('3. GRI Pricing'!$V$16,'2. GRI Pricing Inputs'!$C$97:$C$98,0),MATCH('1. Accomodation'!X101,'2. GRI Pricing Inputs'!$C$97:$AI$97,0)),0)</f>
        <v>0</v>
      </c>
      <c r="W97" s="273">
        <f>IFERROR(INDEX('2. GRI Pricing Inputs'!$C$104:$AI$105,MATCH('3. GRI Pricing'!$W$16,'2. GRI Pricing Inputs'!$C$104:$C$105,0),MATCH('1. Accomodation'!Y101,'2. GRI Pricing Inputs'!$C$104:$AI$104,0)),0)</f>
        <v>0</v>
      </c>
      <c r="X97" s="274">
        <v>0</v>
      </c>
      <c r="Y97" s="275">
        <f t="shared" si="8"/>
        <v>985</v>
      </c>
      <c r="Z97" s="276"/>
      <c r="AA97" s="276"/>
      <c r="AB97" s="276"/>
      <c r="AC97" s="272">
        <f>Y97*(1+'2. GRI Pricing Inputs'!$D$114)^(($AC$16-$AB$15)/365)</f>
        <v>988.28657903421595</v>
      </c>
      <c r="AD97" s="273">
        <f>AC97*(1+'2. GRI Pricing Inputs'!$D$114)^((AD$16-AC$16)/365)</f>
        <v>991.47758019692367</v>
      </c>
      <c r="AE97" s="273">
        <f>AD97*(1+'2. GRI Pricing Inputs'!$D$114)^((AE$16-AD$16)/365)</f>
        <v>994.78577250958392</v>
      </c>
      <c r="AF97" s="273">
        <f>AE97*(1+'2. GRI Pricing Inputs'!$D$114)^((AF$16-AE$16)/365)</f>
        <v>998.10500303086951</v>
      </c>
      <c r="AG97" s="273">
        <f>AF97*(1+'2. GRI Pricing Inputs'!$D$114)^((AG$16-AF$16)/365)</f>
        <v>1001.2201152387963</v>
      </c>
      <c r="AH97" s="273">
        <f>AG97*(1+'2. GRI Pricing Inputs'!$D$114)^((AH$16-AG$16)/365)</f>
        <v>1004.5608147711608</v>
      </c>
      <c r="AI97" s="273">
        <f>AH97*(1+'2. GRI Pricing Inputs'!$D$114)^((AI$16-AH$16)/365)</f>
        <v>1007.8043625395399</v>
      </c>
      <c r="AJ97" s="273">
        <f>AI97*(1+'2. GRI Pricing Inputs'!$D$114)^((AJ$16-AI$16)/365)</f>
        <v>1011.1670312588432</v>
      </c>
      <c r="AK97" s="273">
        <f>AJ97*(1+'2. GRI Pricing Inputs'!$D$114)^((AK$16-AJ$16)/365)</f>
        <v>1014.4319093224427</v>
      </c>
      <c r="AL97" s="273">
        <f>AK97*(1+'2. GRI Pricing Inputs'!$D$114)^((AL$16-AK$16)/365)</f>
        <v>1017.8166917029694</v>
      </c>
      <c r="AM97" s="273">
        <f>AL97*(1+'2. GRI Pricing Inputs'!$D$114)^((AM$16-AL$16)/365)</f>
        <v>1021.2127678447216</v>
      </c>
      <c r="AN97" s="273">
        <f>AM97*(1+'2. GRI Pricing Inputs'!$D$114)^((AN$16-AM$16)/365)</f>
        <v>1024.510081800709</v>
      </c>
      <c r="AO97" s="273">
        <f>AN97*(1+'2. GRI Pricing Inputs'!$D$114)^((AO$16-AN$16)/365)</f>
        <v>1027.9284912983628</v>
      </c>
    </row>
    <row r="98" spans="3:41" ht="12" x14ac:dyDescent="0.2">
      <c r="C98" s="76" t="str">
        <f>'1. Accomodation'!N102</f>
        <v>602N</v>
      </c>
      <c r="D98" s="69" t="str">
        <f>'1. Accomodation'!P102</f>
        <v>2 Bed</v>
      </c>
      <c r="E98" s="69">
        <f>'1. Accomodation'!Q102</f>
        <v>2</v>
      </c>
      <c r="F98" s="77">
        <f>'1. Accomodation'!O102</f>
        <v>678</v>
      </c>
      <c r="G98" s="69">
        <f>'1. Accomodation'!R102</f>
        <v>6</v>
      </c>
      <c r="H98" s="69" t="str">
        <f>'1. Accomodation'!S102</f>
        <v>Courtyard</v>
      </c>
      <c r="I98" s="62"/>
      <c r="K98" s="272">
        <f>IFERROR(INDEX('2. GRI Pricing Inputs'!$C$15:$AI$16,MATCH($K$16,'2. GRI Pricing Inputs'!$C$15:$C$16,0),MATCH(D98,'2. GRI Pricing Inputs'!$C$15:$AI$15,0)),0)</f>
        <v>1110</v>
      </c>
      <c r="L98" s="273">
        <f>IFERROR(INDEX('2. GRI Pricing Inputs'!$C$22:$AI$23,MATCH($L$16,'2. GRI Pricing Inputs'!$C$22:$C$23,0),MATCH(E98,'2. GRI Pricing Inputs'!$C$22:$AI$22,0)),0)</f>
        <v>0</v>
      </c>
      <c r="M98" s="328">
        <f>IF(AND('3. GRI Pricing'!$F98&gt;='2. GRI Pricing Inputs'!$D$33,'3. GRI Pricing'!$F98&lt;='2. GRI Pricing Inputs'!$E$33),'2. GRI Pricing Inputs'!$D$32,IF(AND('3. GRI Pricing'!$F98&gt;='2. GRI Pricing Inputs'!$F$33,'3. GRI Pricing'!$F98&lt;='2. GRI Pricing Inputs'!$G$33),'2. GRI Pricing Inputs'!$F$32,IF(AND('3. GRI Pricing'!$F98&gt;='2. GRI Pricing Inputs'!$H$33,'3. GRI Pricing'!$F98&lt;='2. GRI Pricing Inputs'!$I$33),'2. GRI Pricing Inputs'!$H$32,IF(AND('3. GRI Pricing'!$F98&gt;='2. GRI Pricing Inputs'!$J$33,'3. GRI Pricing'!$F98&lt;='2. GRI Pricing Inputs'!$K$33),'2. GRI Pricing Inputs'!$J$32,IF(AND('3. GRI Pricing'!$F98&gt;='2. GRI Pricing Inputs'!$L$33,'3. GRI Pricing'!$F98&lt;='2. GRI Pricing Inputs'!$M$33),'2. GRI Pricing Inputs'!$L$32,IF(AND('3. GRI Pricing'!$F98&gt;='2. GRI Pricing Inputs'!$N$33,'3. GRI Pricing'!$F98&lt;='2. GRI Pricing Inputs'!$O$33),'2. GRI Pricing Inputs'!$N$32,IF(AND('3. GRI Pricing'!$F98&gt;='2. GRI Pricing Inputs'!$P$33,'3. GRI Pricing'!$F98&lt;='2. GRI Pricing Inputs'!$Q$33),'2. GRI Pricing Inputs'!$P$32,IF(AND('3. GRI Pricing'!$F98&gt;='2. GRI Pricing Inputs'!$R$33,'3. GRI Pricing'!$F98&lt;='2. GRI Pricing Inputs'!$S$33),'2. GRI Pricing Inputs'!$R$32,IF(AND('3. GRI Pricing'!$F98&gt;='2. GRI Pricing Inputs'!$T$33,'3. GRI Pricing'!$F98&lt;='2. GRI Pricing Inputs'!$U$33),'2. GRI Pricing Inputs'!$T$32,IF(AND('3. GRI Pricing'!$F98&gt;='2. GRI Pricing Inputs'!$V$33,'3. GRI Pricing'!$F98&lt;='2. GRI Pricing Inputs'!$W$33),'2. GRI Pricing Inputs'!$V$32,IF(AND('3. GRI Pricing'!$F98&gt;='2. GRI Pricing Inputs'!$X$33,'3. GRI Pricing'!$F98&lt;='2. GRI Pricing Inputs'!$Y$33),'2. GRI Pricing Inputs'!$X$32,IF(AND('3. GRI Pricing'!$F98&gt;='2. GRI Pricing Inputs'!$Z$33,'3. GRI Pricing'!$F98&lt;='2. GRI Pricing Inputs'!$AA$33),'2. GRI Pricing Inputs'!$Z$32,IF(AND('3. GRI Pricing'!$F98&gt;='2. GRI Pricing Inputs'!$AB$33,'3. GRI Pricing'!$F98&lt;='2. GRI Pricing Inputs'!$AC$33),'2. GRI Pricing Inputs'!$AB$32,IF(AND('3. GRI Pricing'!$F98&gt;='2. GRI Pricing Inputs'!$AD$33,'3. GRI Pricing'!$F98&lt;='2. GRI Pricing Inputs'!$AE$33),'2. GRI Pricing Inputs'!$AD$32,IF(AND('3. GRI Pricing'!$F98&gt;='2. GRI Pricing Inputs'!$AF$33,'3. GRI Pricing'!$F98&lt;='2. GRI Pricing Inputs'!$AG$33),'2. GRI Pricing Inputs'!$AF$32,IF(AND('3. GRI Pricing'!$F98&gt;='2. GRI Pricing Inputs'!$AH$33,'3. GRI Pricing'!$F98&lt;='2. GRI Pricing Inputs'!$AI$33),'2. GRI Pricing Inputs'!$AH$32,0))))))))))))))))</f>
        <v>10</v>
      </c>
      <c r="N98" s="273" cm="1">
        <f t="array" ref="N98">IFERROR(INDEX('2. GRI Pricing Inputs'!$C$32:$AI$39,MATCH('3. GRI Pricing'!D98,'2. GRI Pricing Inputs'!$C$32:$C$39,0),(MATCH('3. GRI Pricing'!M98,'2. GRI Pricing Inputs'!$D$32:$AI$32,0)+1)),0)</f>
        <v>40</v>
      </c>
      <c r="O98" s="273">
        <f>IFERROR(INDEX('2. GRI Pricing Inputs'!$C$45:$AI$46,MATCH($O$16,'2. GRI Pricing Inputs'!$C$45:$C$46,0),MATCH(G98,'2. GRI Pricing Inputs'!$C$45:$AI$45,0)),0)</f>
        <v>80</v>
      </c>
      <c r="P98" s="273">
        <f>IFERROR(INDEX('2. GRI Pricing Inputs'!$C$53:$AI$54,MATCH('3. GRI Pricing'!$P$16,'2. GRI Pricing Inputs'!$C$53:$C$54,0),MATCH('3. GRI Pricing'!H98,'2. GRI Pricing Inputs'!$C$53:$AI$53,0)),0)</f>
        <v>25</v>
      </c>
      <c r="Q98" s="273">
        <f>IFERROR(INDEX('2. GRI Pricing Inputs'!$C$60:$AI$61,MATCH('3. GRI Pricing'!$Q$16,'2. GRI Pricing Inputs'!$C$60:$C$61,0),MATCH('1. Accomodation'!T102,'2. GRI Pricing Inputs'!$C$60:$AI$60,0)),0)</f>
        <v>0</v>
      </c>
      <c r="R98" s="273">
        <f>IFERROR(INDEX('2. GRI Pricing Inputs'!$C$67:$AI$68,MATCH('3. GRI Pricing'!$R$16,'2. GRI Pricing Inputs'!$C$67:$C$68,0),MATCH('1. Accomodation'!U102,'2. GRI Pricing Inputs'!$C$67:$AI$67,0)),0)</f>
        <v>0</v>
      </c>
      <c r="S98" s="273">
        <f>IF(D98=0,0,'2. GRI Pricing Inputs'!$AI$75)</f>
        <v>70</v>
      </c>
      <c r="T98" s="273">
        <f>IFERROR(INDEX('2. GRI Pricing Inputs'!$C$82:$AI$83,MATCH('3. GRI Pricing'!$T$16,'2. GRI Pricing Inputs'!$C$82:$C$83,0),MATCH('1. Accomodation'!V102,'2. GRI Pricing Inputs'!$C$82:$AI$82,0)),0)</f>
        <v>-50</v>
      </c>
      <c r="U98" s="273">
        <f>IFERROR(INDEX('2. GRI Pricing Inputs'!$C$89:$AI$90,MATCH('3. GRI Pricing'!$U$16,'2. GRI Pricing Inputs'!$C$89:$C$90,0),MATCH('1. Accomodation'!W102,'2. GRI Pricing Inputs'!$C$89:$AI$89,0)),0)</f>
        <v>0</v>
      </c>
      <c r="V98" s="273">
        <f>IFERROR(INDEX('2. GRI Pricing Inputs'!$C$97:$AI$98,MATCH('3. GRI Pricing'!$V$16,'2. GRI Pricing Inputs'!$C$97:$C$98,0),MATCH('1. Accomodation'!X102,'2. GRI Pricing Inputs'!$C$97:$AI$97,0)),0)</f>
        <v>0</v>
      </c>
      <c r="W98" s="273">
        <f>IFERROR(INDEX('2. GRI Pricing Inputs'!$C$104:$AI$105,MATCH('3. GRI Pricing'!$W$16,'2. GRI Pricing Inputs'!$C$104:$C$105,0),MATCH('1. Accomodation'!Y102,'2. GRI Pricing Inputs'!$C$104:$AI$104,0)),0)</f>
        <v>0</v>
      </c>
      <c r="X98" s="274">
        <v>0</v>
      </c>
      <c r="Y98" s="275">
        <f t="shared" si="8"/>
        <v>1275</v>
      </c>
      <c r="Z98" s="276"/>
      <c r="AA98" s="276"/>
      <c r="AB98" s="276"/>
      <c r="AC98" s="272">
        <f>Y98*(1+'2. GRI Pricing Inputs'!$D$114)^(($AC$16-$AB$15)/365)</f>
        <v>1279.2542012879444</v>
      </c>
      <c r="AD98" s="273">
        <f>AC98*(1+'2. GRI Pricing Inputs'!$D$114)^((AD$16-AC$16)/365)</f>
        <v>1283.3846850264747</v>
      </c>
      <c r="AE98" s="273">
        <f>AD98*(1+'2. GRI Pricing Inputs'!$D$114)^((AE$16-AD$16)/365)</f>
        <v>1287.6668628931161</v>
      </c>
      <c r="AF98" s="273">
        <f>AE98*(1+'2. GRI Pricing Inputs'!$D$114)^((AF$16-AE$16)/365)</f>
        <v>1291.9633287963029</v>
      </c>
      <c r="AG98" s="273">
        <f>AF98*(1+'2. GRI Pricing Inputs'!$D$114)^((AG$16-AF$16)/365)</f>
        <v>1295.9955806390508</v>
      </c>
      <c r="AH98" s="273">
        <f>AG98*(1+'2. GRI Pricing Inputs'!$D$114)^((AH$16-AG$16)/365)</f>
        <v>1300.3198363789136</v>
      </c>
      <c r="AI98" s="273">
        <f>AH98*(1+'2. GRI Pricing Inputs'!$D$114)^((AI$16-AH$16)/365)</f>
        <v>1304.5183372973738</v>
      </c>
      <c r="AJ98" s="273">
        <f>AI98*(1+'2. GRI Pricing Inputs'!$D$114)^((AJ$16-AI$16)/365)</f>
        <v>1308.87103030967</v>
      </c>
      <c r="AK98" s="273">
        <f>AJ98*(1+'2. GRI Pricing Inputs'!$D$114)^((AK$16-AJ$16)/365)</f>
        <v>1313.0971415087456</v>
      </c>
      <c r="AL98" s="273">
        <f>AK98*(1+'2. GRI Pricing Inputs'!$D$114)^((AL$16-AK$16)/365)</f>
        <v>1317.478458803336</v>
      </c>
      <c r="AM98" s="273">
        <f>AL98*(1+'2. GRI Pricing Inputs'!$D$114)^((AM$16-AL$16)/365)</f>
        <v>1321.8743949259087</v>
      </c>
      <c r="AN98" s="273">
        <f>AM98*(1+'2. GRI Pricing Inputs'!$D$114)^((AN$16-AM$16)/365)</f>
        <v>1326.1424916709684</v>
      </c>
      <c r="AO98" s="273">
        <f>AN98*(1+'2. GRI Pricing Inputs'!$D$114)^((AO$16-AN$16)/365)</f>
        <v>1330.5673364521954</v>
      </c>
    </row>
    <row r="99" spans="3:41" ht="12" x14ac:dyDescent="0.2">
      <c r="C99" s="76" t="str">
        <f>'1. Accomodation'!N103</f>
        <v>603N</v>
      </c>
      <c r="D99" s="69" t="str">
        <f>'1. Accomodation'!P103</f>
        <v>2 Bed</v>
      </c>
      <c r="E99" s="69">
        <f>'1. Accomodation'!Q103</f>
        <v>2</v>
      </c>
      <c r="F99" s="77">
        <f>'1. Accomodation'!O103</f>
        <v>657</v>
      </c>
      <c r="G99" s="69">
        <f>'1. Accomodation'!R103</f>
        <v>6</v>
      </c>
      <c r="H99" s="69" t="str">
        <f>'1. Accomodation'!S103</f>
        <v>Courtyard</v>
      </c>
      <c r="I99" s="62"/>
      <c r="K99" s="272">
        <f>IFERROR(INDEX('2. GRI Pricing Inputs'!$C$15:$AI$16,MATCH($K$16,'2. GRI Pricing Inputs'!$C$15:$C$16,0),MATCH(D99,'2. GRI Pricing Inputs'!$C$15:$AI$15,0)),0)</f>
        <v>1110</v>
      </c>
      <c r="L99" s="273">
        <f>IFERROR(INDEX('2. GRI Pricing Inputs'!$C$22:$AI$23,MATCH($L$16,'2. GRI Pricing Inputs'!$C$22:$C$23,0),MATCH(E99,'2. GRI Pricing Inputs'!$C$22:$AI$22,0)),0)</f>
        <v>0</v>
      </c>
      <c r="M99" s="328">
        <f>IF(AND('3. GRI Pricing'!$F99&gt;='2. GRI Pricing Inputs'!$D$33,'3. GRI Pricing'!$F99&lt;='2. GRI Pricing Inputs'!$E$33),'2. GRI Pricing Inputs'!$D$32,IF(AND('3. GRI Pricing'!$F99&gt;='2. GRI Pricing Inputs'!$F$33,'3. GRI Pricing'!$F99&lt;='2. GRI Pricing Inputs'!$G$33),'2. GRI Pricing Inputs'!$F$32,IF(AND('3. GRI Pricing'!$F99&gt;='2. GRI Pricing Inputs'!$H$33,'3. GRI Pricing'!$F99&lt;='2. GRI Pricing Inputs'!$I$33),'2. GRI Pricing Inputs'!$H$32,IF(AND('3. GRI Pricing'!$F99&gt;='2. GRI Pricing Inputs'!$J$33,'3. GRI Pricing'!$F99&lt;='2. GRI Pricing Inputs'!$K$33),'2. GRI Pricing Inputs'!$J$32,IF(AND('3. GRI Pricing'!$F99&gt;='2. GRI Pricing Inputs'!$L$33,'3. GRI Pricing'!$F99&lt;='2. GRI Pricing Inputs'!$M$33),'2. GRI Pricing Inputs'!$L$32,IF(AND('3. GRI Pricing'!$F99&gt;='2. GRI Pricing Inputs'!$N$33,'3. GRI Pricing'!$F99&lt;='2. GRI Pricing Inputs'!$O$33),'2. GRI Pricing Inputs'!$N$32,IF(AND('3. GRI Pricing'!$F99&gt;='2. GRI Pricing Inputs'!$P$33,'3. GRI Pricing'!$F99&lt;='2. GRI Pricing Inputs'!$Q$33),'2. GRI Pricing Inputs'!$P$32,IF(AND('3. GRI Pricing'!$F99&gt;='2. GRI Pricing Inputs'!$R$33,'3. GRI Pricing'!$F99&lt;='2. GRI Pricing Inputs'!$S$33),'2. GRI Pricing Inputs'!$R$32,IF(AND('3. GRI Pricing'!$F99&gt;='2. GRI Pricing Inputs'!$T$33,'3. GRI Pricing'!$F99&lt;='2. GRI Pricing Inputs'!$U$33),'2. GRI Pricing Inputs'!$T$32,IF(AND('3. GRI Pricing'!$F99&gt;='2. GRI Pricing Inputs'!$V$33,'3. GRI Pricing'!$F99&lt;='2. GRI Pricing Inputs'!$W$33),'2. GRI Pricing Inputs'!$V$32,IF(AND('3. GRI Pricing'!$F99&gt;='2. GRI Pricing Inputs'!$X$33,'3. GRI Pricing'!$F99&lt;='2. GRI Pricing Inputs'!$Y$33),'2. GRI Pricing Inputs'!$X$32,IF(AND('3. GRI Pricing'!$F99&gt;='2. GRI Pricing Inputs'!$Z$33,'3. GRI Pricing'!$F99&lt;='2. GRI Pricing Inputs'!$AA$33),'2. GRI Pricing Inputs'!$Z$32,IF(AND('3. GRI Pricing'!$F99&gt;='2. GRI Pricing Inputs'!$AB$33,'3. GRI Pricing'!$F99&lt;='2. GRI Pricing Inputs'!$AC$33),'2. GRI Pricing Inputs'!$AB$32,IF(AND('3. GRI Pricing'!$F99&gt;='2. GRI Pricing Inputs'!$AD$33,'3. GRI Pricing'!$F99&lt;='2. GRI Pricing Inputs'!$AE$33),'2. GRI Pricing Inputs'!$AD$32,IF(AND('3. GRI Pricing'!$F99&gt;='2. GRI Pricing Inputs'!$AF$33,'3. GRI Pricing'!$F99&lt;='2. GRI Pricing Inputs'!$AG$33),'2. GRI Pricing Inputs'!$AF$32,IF(AND('3. GRI Pricing'!$F99&gt;='2. GRI Pricing Inputs'!$AH$33,'3. GRI Pricing'!$F99&lt;='2. GRI Pricing Inputs'!$AI$33),'2. GRI Pricing Inputs'!$AH$32,0))))))))))))))))</f>
        <v>8</v>
      </c>
      <c r="N99" s="273" cm="1">
        <f t="array" ref="N99">IFERROR(INDEX('2. GRI Pricing Inputs'!$C$32:$AI$39,MATCH('3. GRI Pricing'!D99,'2. GRI Pricing Inputs'!$C$32:$C$39,0),(MATCH('3. GRI Pricing'!M99,'2. GRI Pricing Inputs'!$D$32:$AI$32,0)+1)),0)</f>
        <v>20</v>
      </c>
      <c r="O99" s="273">
        <f>IFERROR(INDEX('2. GRI Pricing Inputs'!$C$45:$AI$46,MATCH($O$16,'2. GRI Pricing Inputs'!$C$45:$C$46,0),MATCH(G99,'2. GRI Pricing Inputs'!$C$45:$AI$45,0)),0)</f>
        <v>80</v>
      </c>
      <c r="P99" s="273">
        <f>IFERROR(INDEX('2. GRI Pricing Inputs'!$C$53:$AI$54,MATCH('3. GRI Pricing'!$P$16,'2. GRI Pricing Inputs'!$C$53:$C$54,0),MATCH('3. GRI Pricing'!H99,'2. GRI Pricing Inputs'!$C$53:$AI$53,0)),0)</f>
        <v>25</v>
      </c>
      <c r="Q99" s="273">
        <f>IFERROR(INDEX('2. GRI Pricing Inputs'!$C$60:$AI$61,MATCH('3. GRI Pricing'!$Q$16,'2. GRI Pricing Inputs'!$C$60:$C$61,0),MATCH('1. Accomodation'!T103,'2. GRI Pricing Inputs'!$C$60:$AI$60,0)),0)</f>
        <v>0</v>
      </c>
      <c r="R99" s="273">
        <f>IFERROR(INDEX('2. GRI Pricing Inputs'!$C$67:$AI$68,MATCH('3. GRI Pricing'!$R$16,'2. GRI Pricing Inputs'!$C$67:$C$68,0),MATCH('1. Accomodation'!U103,'2. GRI Pricing Inputs'!$C$67:$AI$67,0)),0)</f>
        <v>0</v>
      </c>
      <c r="S99" s="273">
        <f>IF(D99=0,0,'2. GRI Pricing Inputs'!$AI$75)</f>
        <v>70</v>
      </c>
      <c r="T99" s="273">
        <f>IFERROR(INDEX('2. GRI Pricing Inputs'!$C$82:$AI$83,MATCH('3. GRI Pricing'!$T$16,'2. GRI Pricing Inputs'!$C$82:$C$83,0),MATCH('1. Accomodation'!V103,'2. GRI Pricing Inputs'!$C$82:$AI$82,0)),0)</f>
        <v>-50</v>
      </c>
      <c r="U99" s="273">
        <f>IFERROR(INDEX('2. GRI Pricing Inputs'!$C$89:$AI$90,MATCH('3. GRI Pricing'!$U$16,'2. GRI Pricing Inputs'!$C$89:$C$90,0),MATCH('1. Accomodation'!W103,'2. GRI Pricing Inputs'!$C$89:$AI$89,0)),0)</f>
        <v>0</v>
      </c>
      <c r="V99" s="273">
        <f>IFERROR(INDEX('2. GRI Pricing Inputs'!$C$97:$AI$98,MATCH('3. GRI Pricing'!$V$16,'2. GRI Pricing Inputs'!$C$97:$C$98,0),MATCH('1. Accomodation'!X103,'2. GRI Pricing Inputs'!$C$97:$AI$97,0)),0)</f>
        <v>0</v>
      </c>
      <c r="W99" s="273">
        <f>IFERROR(INDEX('2. GRI Pricing Inputs'!$C$104:$AI$105,MATCH('3. GRI Pricing'!$W$16,'2. GRI Pricing Inputs'!$C$104:$C$105,0),MATCH('1. Accomodation'!Y103,'2. GRI Pricing Inputs'!$C$104:$AI$104,0)),0)</f>
        <v>0</v>
      </c>
      <c r="X99" s="274">
        <v>0</v>
      </c>
      <c r="Y99" s="275">
        <f t="shared" si="8"/>
        <v>1255</v>
      </c>
      <c r="Z99" s="276"/>
      <c r="AA99" s="276"/>
      <c r="AB99" s="276"/>
      <c r="AC99" s="272">
        <f>Y99*(1+'2. GRI Pricing Inputs'!$D$114)^(($AC$16-$AB$15)/365)</f>
        <v>1259.1874687187219</v>
      </c>
      <c r="AD99" s="273">
        <f>AC99*(1+'2. GRI Pricing Inputs'!$D$114)^((AD$16-AC$16)/365)</f>
        <v>1263.2531605554714</v>
      </c>
      <c r="AE99" s="273">
        <f>AD99*(1+'2. GRI Pricing Inputs'!$D$114)^((AE$16-AD$16)/365)</f>
        <v>1267.4681670045968</v>
      </c>
      <c r="AF99" s="273">
        <f>AE99*(1+'2. GRI Pricing Inputs'!$D$114)^((AF$16-AE$16)/365)</f>
        <v>1271.6972373642043</v>
      </c>
      <c r="AG99" s="273">
        <f>AF99*(1+'2. GRI Pricing Inputs'!$D$114)^((AG$16-AF$16)/365)</f>
        <v>1275.6662381976541</v>
      </c>
      <c r="AH99" s="273">
        <f>AG99*(1+'2. GRI Pricing Inputs'!$D$114)^((AH$16-AG$16)/365)</f>
        <v>1279.9226624749308</v>
      </c>
      <c r="AI99" s="273">
        <f>AH99*(1+'2. GRI Pricing Inputs'!$D$114)^((AI$16-AH$16)/365)</f>
        <v>1284.0553045554543</v>
      </c>
      <c r="AJ99" s="273">
        <f>AI99*(1+'2. GRI Pricing Inputs'!$D$114)^((AJ$16-AI$16)/365)</f>
        <v>1288.3397200303027</v>
      </c>
      <c r="AK99" s="273">
        <f>AJ99*(1+'2. GRI Pricing Inputs'!$D$114)^((AK$16-AJ$16)/365)</f>
        <v>1292.4995392890007</v>
      </c>
      <c r="AL99" s="273">
        <f>AK99*(1+'2. GRI Pricing Inputs'!$D$114)^((AL$16-AK$16)/365)</f>
        <v>1296.8121300377936</v>
      </c>
      <c r="AM99" s="273">
        <f>AL99*(1+'2. GRI Pricing Inputs'!$D$114)^((AM$16-AL$16)/365)</f>
        <v>1301.1391102996201</v>
      </c>
      <c r="AN99" s="273">
        <f>AM99*(1+'2. GRI Pricing Inputs'!$D$114)^((AN$16-AM$16)/365)</f>
        <v>1305.3402565075025</v>
      </c>
      <c r="AO99" s="273">
        <f>AN99*(1+'2. GRI Pricing Inputs'!$D$114)^((AO$16-AN$16)/365)</f>
        <v>1309.6956919588281</v>
      </c>
    </row>
    <row r="100" spans="3:41" ht="12" x14ac:dyDescent="0.2">
      <c r="C100" s="76" t="str">
        <f>'1. Accomodation'!N104</f>
        <v>604N</v>
      </c>
      <c r="D100" s="69" t="str">
        <f>'1. Accomodation'!P104</f>
        <v>3 Bed</v>
      </c>
      <c r="E100" s="69">
        <f>'1. Accomodation'!Q104</f>
        <v>2</v>
      </c>
      <c r="F100" s="77">
        <f>'1. Accomodation'!O104</f>
        <v>818</v>
      </c>
      <c r="G100" s="69">
        <f>'1. Accomodation'!R104</f>
        <v>6</v>
      </c>
      <c r="H100" s="69" t="str">
        <f>'1. Accomodation'!S104</f>
        <v>Pottery Lane</v>
      </c>
      <c r="I100" s="62"/>
      <c r="K100" s="272">
        <f>IFERROR(INDEX('2. GRI Pricing Inputs'!$C$15:$AI$16,MATCH($K$16,'2. GRI Pricing Inputs'!$C$15:$C$16,0),MATCH(D100,'2. GRI Pricing Inputs'!$C$15:$AI$15,0)),0)</f>
        <v>1485</v>
      </c>
      <c r="L100" s="273">
        <f>IFERROR(INDEX('2. GRI Pricing Inputs'!$C$22:$AI$23,MATCH($L$16,'2. GRI Pricing Inputs'!$C$22:$C$23,0),MATCH(E100,'2. GRI Pricing Inputs'!$C$22:$AI$22,0)),0)</f>
        <v>0</v>
      </c>
      <c r="M100" s="328">
        <f>IF(AND('3. GRI Pricing'!$F100&gt;='2. GRI Pricing Inputs'!$D$33,'3. GRI Pricing'!$F100&lt;='2. GRI Pricing Inputs'!$E$33),'2. GRI Pricing Inputs'!$D$32,IF(AND('3. GRI Pricing'!$F100&gt;='2. GRI Pricing Inputs'!$F$33,'3. GRI Pricing'!$F100&lt;='2. GRI Pricing Inputs'!$G$33),'2. GRI Pricing Inputs'!$F$32,IF(AND('3. GRI Pricing'!$F100&gt;='2. GRI Pricing Inputs'!$H$33,'3. GRI Pricing'!$F100&lt;='2. GRI Pricing Inputs'!$I$33),'2. GRI Pricing Inputs'!$H$32,IF(AND('3. GRI Pricing'!$F100&gt;='2. GRI Pricing Inputs'!$J$33,'3. GRI Pricing'!$F100&lt;='2. GRI Pricing Inputs'!$K$33),'2. GRI Pricing Inputs'!$J$32,IF(AND('3. GRI Pricing'!$F100&gt;='2. GRI Pricing Inputs'!$L$33,'3. GRI Pricing'!$F100&lt;='2. GRI Pricing Inputs'!$M$33),'2. GRI Pricing Inputs'!$L$32,IF(AND('3. GRI Pricing'!$F100&gt;='2. GRI Pricing Inputs'!$N$33,'3. GRI Pricing'!$F100&lt;='2. GRI Pricing Inputs'!$O$33),'2. GRI Pricing Inputs'!$N$32,IF(AND('3. GRI Pricing'!$F100&gt;='2. GRI Pricing Inputs'!$P$33,'3. GRI Pricing'!$F100&lt;='2. GRI Pricing Inputs'!$Q$33),'2. GRI Pricing Inputs'!$P$32,IF(AND('3. GRI Pricing'!$F100&gt;='2. GRI Pricing Inputs'!$R$33,'3. GRI Pricing'!$F100&lt;='2. GRI Pricing Inputs'!$S$33),'2. GRI Pricing Inputs'!$R$32,IF(AND('3. GRI Pricing'!$F100&gt;='2. GRI Pricing Inputs'!$T$33,'3. GRI Pricing'!$F100&lt;='2. GRI Pricing Inputs'!$U$33),'2. GRI Pricing Inputs'!$T$32,IF(AND('3. GRI Pricing'!$F100&gt;='2. GRI Pricing Inputs'!$V$33,'3. GRI Pricing'!$F100&lt;='2. GRI Pricing Inputs'!$W$33),'2. GRI Pricing Inputs'!$V$32,IF(AND('3. GRI Pricing'!$F100&gt;='2. GRI Pricing Inputs'!$X$33,'3. GRI Pricing'!$F100&lt;='2. GRI Pricing Inputs'!$Y$33),'2. GRI Pricing Inputs'!$X$32,IF(AND('3. GRI Pricing'!$F100&gt;='2. GRI Pricing Inputs'!$Z$33,'3. GRI Pricing'!$F100&lt;='2. GRI Pricing Inputs'!$AA$33),'2. GRI Pricing Inputs'!$Z$32,IF(AND('3. GRI Pricing'!$F100&gt;='2. GRI Pricing Inputs'!$AB$33,'3. GRI Pricing'!$F100&lt;='2. GRI Pricing Inputs'!$AC$33),'2. GRI Pricing Inputs'!$AB$32,IF(AND('3. GRI Pricing'!$F100&gt;='2. GRI Pricing Inputs'!$AD$33,'3. GRI Pricing'!$F100&lt;='2. GRI Pricing Inputs'!$AE$33),'2. GRI Pricing Inputs'!$AD$32,IF(AND('3. GRI Pricing'!$F100&gt;='2. GRI Pricing Inputs'!$AF$33,'3. GRI Pricing'!$F100&lt;='2. GRI Pricing Inputs'!$AG$33),'2. GRI Pricing Inputs'!$AF$32,IF(AND('3. GRI Pricing'!$F100&gt;='2. GRI Pricing Inputs'!$AH$33,'3. GRI Pricing'!$F100&lt;='2. GRI Pricing Inputs'!$AI$33),'2. GRI Pricing Inputs'!$AH$32,0))))))))))))))))</f>
        <v>13</v>
      </c>
      <c r="N100" s="273" cm="1">
        <f t="array" ref="N100">IFERROR(INDEX('2. GRI Pricing Inputs'!$C$32:$AI$39,MATCH('3. GRI Pricing'!D100,'2. GRI Pricing Inputs'!$C$32:$C$39,0),(MATCH('3. GRI Pricing'!M100,'2. GRI Pricing Inputs'!$D$32:$AI$32,0)+1)),0)</f>
        <v>50</v>
      </c>
      <c r="O100" s="273">
        <f>IFERROR(INDEX('2. GRI Pricing Inputs'!$C$45:$AI$46,MATCH($O$16,'2. GRI Pricing Inputs'!$C$45:$C$46,0),MATCH(G100,'2. GRI Pricing Inputs'!$C$45:$AI$45,0)),0)</f>
        <v>80</v>
      </c>
      <c r="P100" s="273">
        <f>IFERROR(INDEX('2. GRI Pricing Inputs'!$C$53:$AI$54,MATCH('3. GRI Pricing'!$P$16,'2. GRI Pricing Inputs'!$C$53:$C$54,0),MATCH('3. GRI Pricing'!H100,'2. GRI Pricing Inputs'!$C$53:$AI$53,0)),0)</f>
        <v>10</v>
      </c>
      <c r="Q100" s="273">
        <f>IFERROR(INDEX('2. GRI Pricing Inputs'!$C$60:$AI$61,MATCH('3. GRI Pricing'!$Q$16,'2. GRI Pricing Inputs'!$C$60:$C$61,0),MATCH('1. Accomodation'!T104,'2. GRI Pricing Inputs'!$C$60:$AI$60,0)),0)</f>
        <v>0</v>
      </c>
      <c r="R100" s="273">
        <f>IFERROR(INDEX('2. GRI Pricing Inputs'!$C$67:$AI$68,MATCH('3. GRI Pricing'!$R$16,'2. GRI Pricing Inputs'!$C$67:$C$68,0),MATCH('1. Accomodation'!U104,'2. GRI Pricing Inputs'!$C$67:$AI$67,0)),0)</f>
        <v>0</v>
      </c>
      <c r="S100" s="273">
        <f>IF(D100=0,0,'2. GRI Pricing Inputs'!$AI$75)</f>
        <v>70</v>
      </c>
      <c r="T100" s="273">
        <f>IFERROR(INDEX('2. GRI Pricing Inputs'!$C$82:$AI$83,MATCH('3. GRI Pricing'!$T$16,'2. GRI Pricing Inputs'!$C$82:$C$83,0),MATCH('1. Accomodation'!V104,'2. GRI Pricing Inputs'!$C$82:$AI$82,0)),0)</f>
        <v>-50</v>
      </c>
      <c r="U100" s="273">
        <f>IFERROR(INDEX('2. GRI Pricing Inputs'!$C$89:$AI$90,MATCH('3. GRI Pricing'!$U$16,'2. GRI Pricing Inputs'!$C$89:$C$90,0),MATCH('1. Accomodation'!W104,'2. GRI Pricing Inputs'!$C$89:$AI$89,0)),0)</f>
        <v>0</v>
      </c>
      <c r="V100" s="273">
        <f>IFERROR(INDEX('2. GRI Pricing Inputs'!$C$97:$AI$98,MATCH('3. GRI Pricing'!$V$16,'2. GRI Pricing Inputs'!$C$97:$C$98,0),MATCH('1. Accomodation'!X104,'2. GRI Pricing Inputs'!$C$97:$AI$97,0)),0)</f>
        <v>0</v>
      </c>
      <c r="W100" s="273">
        <f>IFERROR(INDEX('2. GRI Pricing Inputs'!$C$104:$AI$105,MATCH('3. GRI Pricing'!$W$16,'2. GRI Pricing Inputs'!$C$104:$C$105,0),MATCH('1. Accomodation'!Y104,'2. GRI Pricing Inputs'!$C$104:$AI$104,0)),0)</f>
        <v>0</v>
      </c>
      <c r="X100" s="274">
        <v>0</v>
      </c>
      <c r="Y100" s="275">
        <f t="shared" si="8"/>
        <v>1645</v>
      </c>
      <c r="Z100" s="276"/>
      <c r="AA100" s="276"/>
      <c r="AB100" s="276"/>
      <c r="AC100" s="272">
        <f>Y100*(1+'2. GRI Pricing Inputs'!$D$114)^(($AC$16-$AB$15)/365)</f>
        <v>1650.4887538185637</v>
      </c>
      <c r="AD100" s="273">
        <f>AC100*(1+'2. GRI Pricing Inputs'!$D$114)^((AD$16-AC$16)/365)</f>
        <v>1655.8178877400401</v>
      </c>
      <c r="AE100" s="273">
        <f>AD100*(1+'2. GRI Pricing Inputs'!$D$114)^((AE$16-AD$16)/365)</f>
        <v>1661.3427368307264</v>
      </c>
      <c r="AF100" s="273">
        <f>AE100*(1+'2. GRI Pricing Inputs'!$D$114)^((AF$16-AE$16)/365)</f>
        <v>1666.8860202901321</v>
      </c>
      <c r="AG100" s="273">
        <f>AF100*(1+'2. GRI Pricing Inputs'!$D$114)^((AG$16-AF$16)/365)</f>
        <v>1672.088415804893</v>
      </c>
      <c r="AH100" s="273">
        <f>AG100*(1+'2. GRI Pricing Inputs'!$D$114)^((AH$16-AG$16)/365)</f>
        <v>1677.6675536025982</v>
      </c>
      <c r="AI100" s="273">
        <f>AH100*(1+'2. GRI Pricing Inputs'!$D$114)^((AI$16-AH$16)/365)</f>
        <v>1683.084443022886</v>
      </c>
      <c r="AJ100" s="273">
        <f>AI100*(1+'2. GRI Pricing Inputs'!$D$114)^((AJ$16-AI$16)/365)</f>
        <v>1688.7002704779663</v>
      </c>
      <c r="AK100" s="273">
        <f>AJ100*(1+'2. GRI Pricing Inputs'!$D$114)^((AK$16-AJ$16)/365)</f>
        <v>1694.1527825740286</v>
      </c>
      <c r="AL100" s="273">
        <f>AK100*(1+'2. GRI Pricing Inputs'!$D$114)^((AL$16-AK$16)/365)</f>
        <v>1699.8055409658728</v>
      </c>
      <c r="AM100" s="273">
        <f>AL100*(1+'2. GRI Pricing Inputs'!$D$114)^((AM$16-AL$16)/365)</f>
        <v>1705.477160512251</v>
      </c>
      <c r="AN100" s="273">
        <f>AM100*(1+'2. GRI Pricing Inputs'!$D$114)^((AN$16-AM$16)/365)</f>
        <v>1710.9838421950928</v>
      </c>
      <c r="AO100" s="273">
        <f>AN100*(1+'2. GRI Pricing Inputs'!$D$114)^((AO$16-AN$16)/365)</f>
        <v>1716.6927595794996</v>
      </c>
    </row>
    <row r="101" spans="3:41" ht="12" x14ac:dyDescent="0.2">
      <c r="C101" s="76" t="str">
        <f>'1. Accomodation'!N105</f>
        <v>605N</v>
      </c>
      <c r="D101" s="69" t="str">
        <f>'1. Accomodation'!P105</f>
        <v>2 Bed</v>
      </c>
      <c r="E101" s="69">
        <f>'1. Accomodation'!Q105</f>
        <v>2</v>
      </c>
      <c r="F101" s="77">
        <f>'1. Accomodation'!O105</f>
        <v>667</v>
      </c>
      <c r="G101" s="69">
        <f>'1. Accomodation'!R105</f>
        <v>6</v>
      </c>
      <c r="H101" s="69" t="str">
        <f>'1. Accomodation'!S105</f>
        <v>Forth Banks/Pottery Lane</v>
      </c>
      <c r="I101" s="62"/>
      <c r="K101" s="272">
        <f>IFERROR(INDEX('2. GRI Pricing Inputs'!$C$15:$AI$16,MATCH($K$16,'2. GRI Pricing Inputs'!$C$15:$C$16,0),MATCH(D101,'2. GRI Pricing Inputs'!$C$15:$AI$15,0)),0)</f>
        <v>1110</v>
      </c>
      <c r="L101" s="273">
        <f>IFERROR(INDEX('2. GRI Pricing Inputs'!$C$22:$AI$23,MATCH($L$16,'2. GRI Pricing Inputs'!$C$22:$C$23,0),MATCH(E101,'2. GRI Pricing Inputs'!$C$22:$AI$22,0)),0)</f>
        <v>0</v>
      </c>
      <c r="M101" s="328">
        <f>IF(AND('3. GRI Pricing'!$F101&gt;='2. GRI Pricing Inputs'!$D$33,'3. GRI Pricing'!$F101&lt;='2. GRI Pricing Inputs'!$E$33),'2. GRI Pricing Inputs'!$D$32,IF(AND('3. GRI Pricing'!$F101&gt;='2. GRI Pricing Inputs'!$F$33,'3. GRI Pricing'!$F101&lt;='2. GRI Pricing Inputs'!$G$33),'2. GRI Pricing Inputs'!$F$32,IF(AND('3. GRI Pricing'!$F101&gt;='2. GRI Pricing Inputs'!$H$33,'3. GRI Pricing'!$F101&lt;='2. GRI Pricing Inputs'!$I$33),'2. GRI Pricing Inputs'!$H$32,IF(AND('3. GRI Pricing'!$F101&gt;='2. GRI Pricing Inputs'!$J$33,'3. GRI Pricing'!$F101&lt;='2. GRI Pricing Inputs'!$K$33),'2. GRI Pricing Inputs'!$J$32,IF(AND('3. GRI Pricing'!$F101&gt;='2. GRI Pricing Inputs'!$L$33,'3. GRI Pricing'!$F101&lt;='2. GRI Pricing Inputs'!$M$33),'2. GRI Pricing Inputs'!$L$32,IF(AND('3. GRI Pricing'!$F101&gt;='2. GRI Pricing Inputs'!$N$33,'3. GRI Pricing'!$F101&lt;='2. GRI Pricing Inputs'!$O$33),'2. GRI Pricing Inputs'!$N$32,IF(AND('3. GRI Pricing'!$F101&gt;='2. GRI Pricing Inputs'!$P$33,'3. GRI Pricing'!$F101&lt;='2. GRI Pricing Inputs'!$Q$33),'2. GRI Pricing Inputs'!$P$32,IF(AND('3. GRI Pricing'!$F101&gt;='2. GRI Pricing Inputs'!$R$33,'3. GRI Pricing'!$F101&lt;='2. GRI Pricing Inputs'!$S$33),'2. GRI Pricing Inputs'!$R$32,IF(AND('3. GRI Pricing'!$F101&gt;='2. GRI Pricing Inputs'!$T$33,'3. GRI Pricing'!$F101&lt;='2. GRI Pricing Inputs'!$U$33),'2. GRI Pricing Inputs'!$T$32,IF(AND('3. GRI Pricing'!$F101&gt;='2. GRI Pricing Inputs'!$V$33,'3. GRI Pricing'!$F101&lt;='2. GRI Pricing Inputs'!$W$33),'2. GRI Pricing Inputs'!$V$32,IF(AND('3. GRI Pricing'!$F101&gt;='2. GRI Pricing Inputs'!$X$33,'3. GRI Pricing'!$F101&lt;='2. GRI Pricing Inputs'!$Y$33),'2. GRI Pricing Inputs'!$X$32,IF(AND('3. GRI Pricing'!$F101&gt;='2. GRI Pricing Inputs'!$Z$33,'3. GRI Pricing'!$F101&lt;='2. GRI Pricing Inputs'!$AA$33),'2. GRI Pricing Inputs'!$Z$32,IF(AND('3. GRI Pricing'!$F101&gt;='2. GRI Pricing Inputs'!$AB$33,'3. GRI Pricing'!$F101&lt;='2. GRI Pricing Inputs'!$AC$33),'2. GRI Pricing Inputs'!$AB$32,IF(AND('3. GRI Pricing'!$F101&gt;='2. GRI Pricing Inputs'!$AD$33,'3. GRI Pricing'!$F101&lt;='2. GRI Pricing Inputs'!$AE$33),'2. GRI Pricing Inputs'!$AD$32,IF(AND('3. GRI Pricing'!$F101&gt;='2. GRI Pricing Inputs'!$AF$33,'3. GRI Pricing'!$F101&lt;='2. GRI Pricing Inputs'!$AG$33),'2. GRI Pricing Inputs'!$AF$32,IF(AND('3. GRI Pricing'!$F101&gt;='2. GRI Pricing Inputs'!$AH$33,'3. GRI Pricing'!$F101&lt;='2. GRI Pricing Inputs'!$AI$33),'2. GRI Pricing Inputs'!$AH$32,0))))))))))))))))</f>
        <v>9</v>
      </c>
      <c r="N101" s="273" cm="1">
        <f t="array" ref="N101">IFERROR(INDEX('2. GRI Pricing Inputs'!$C$32:$AI$39,MATCH('3. GRI Pricing'!D101,'2. GRI Pricing Inputs'!$C$32:$C$39,0),(MATCH('3. GRI Pricing'!M101,'2. GRI Pricing Inputs'!$D$32:$AI$32,0)+1)),0)</f>
        <v>30</v>
      </c>
      <c r="O101" s="273">
        <f>IFERROR(INDEX('2. GRI Pricing Inputs'!$C$45:$AI$46,MATCH($O$16,'2. GRI Pricing Inputs'!$C$45:$C$46,0),MATCH(G101,'2. GRI Pricing Inputs'!$C$45:$AI$45,0)),0)</f>
        <v>80</v>
      </c>
      <c r="P101" s="273">
        <f>IFERROR(INDEX('2. GRI Pricing Inputs'!$C$53:$AI$54,MATCH('3. GRI Pricing'!$P$16,'2. GRI Pricing Inputs'!$C$53:$C$54,0),MATCH('3. GRI Pricing'!H101,'2. GRI Pricing Inputs'!$C$53:$AI$53,0)),0)</f>
        <v>10</v>
      </c>
      <c r="Q101" s="273">
        <f>IFERROR(INDEX('2. GRI Pricing Inputs'!$C$60:$AI$61,MATCH('3. GRI Pricing'!$Q$16,'2. GRI Pricing Inputs'!$C$60:$C$61,0),MATCH('1. Accomodation'!T105,'2. GRI Pricing Inputs'!$C$60:$AI$60,0)),0)</f>
        <v>0</v>
      </c>
      <c r="R101" s="273">
        <f>IFERROR(INDEX('2. GRI Pricing Inputs'!$C$67:$AI$68,MATCH('3. GRI Pricing'!$R$16,'2. GRI Pricing Inputs'!$C$67:$C$68,0),MATCH('1. Accomodation'!U105,'2. GRI Pricing Inputs'!$C$67:$AI$67,0)),0)</f>
        <v>0</v>
      </c>
      <c r="S101" s="273">
        <f>IF(D101=0,0,'2. GRI Pricing Inputs'!$AI$75)</f>
        <v>70</v>
      </c>
      <c r="T101" s="273">
        <f>IFERROR(INDEX('2. GRI Pricing Inputs'!$C$82:$AI$83,MATCH('3. GRI Pricing'!$T$16,'2. GRI Pricing Inputs'!$C$82:$C$83,0),MATCH('1. Accomodation'!V105,'2. GRI Pricing Inputs'!$C$82:$AI$82,0)),0)</f>
        <v>-50</v>
      </c>
      <c r="U101" s="273">
        <f>IFERROR(INDEX('2. GRI Pricing Inputs'!$C$89:$AI$90,MATCH('3. GRI Pricing'!$U$16,'2. GRI Pricing Inputs'!$C$89:$C$90,0),MATCH('1. Accomodation'!W105,'2. GRI Pricing Inputs'!$C$89:$AI$89,0)),0)</f>
        <v>0</v>
      </c>
      <c r="V101" s="273">
        <f>IFERROR(INDEX('2. GRI Pricing Inputs'!$C$97:$AI$98,MATCH('3. GRI Pricing'!$V$16,'2. GRI Pricing Inputs'!$C$97:$C$98,0),MATCH('1. Accomodation'!X105,'2. GRI Pricing Inputs'!$C$97:$AI$97,0)),0)</f>
        <v>0</v>
      </c>
      <c r="W101" s="273">
        <f>IFERROR(INDEX('2. GRI Pricing Inputs'!$C$104:$AI$105,MATCH('3. GRI Pricing'!$W$16,'2. GRI Pricing Inputs'!$C$104:$C$105,0),MATCH('1. Accomodation'!Y105,'2. GRI Pricing Inputs'!$C$104:$AI$104,0)),0)</f>
        <v>0</v>
      </c>
      <c r="X101" s="274">
        <v>0</v>
      </c>
      <c r="Y101" s="275">
        <f t="shared" si="8"/>
        <v>1250</v>
      </c>
      <c r="Z101" s="276"/>
      <c r="AA101" s="276"/>
      <c r="AB101" s="276"/>
      <c r="AC101" s="272">
        <f>Y101*(1+'2. GRI Pricing Inputs'!$D$114)^(($AC$16-$AB$15)/365)</f>
        <v>1254.1707855764162</v>
      </c>
      <c r="AD101" s="273">
        <f>AC101*(1+'2. GRI Pricing Inputs'!$D$114)^((AD$16-AC$16)/365)</f>
        <v>1258.2202794377204</v>
      </c>
      <c r="AE101" s="273">
        <f>AD101*(1+'2. GRI Pricing Inputs'!$D$114)^((AE$16-AD$16)/365)</f>
        <v>1262.4184930324668</v>
      </c>
      <c r="AF101" s="273">
        <f>AE101*(1+'2. GRI Pricing Inputs'!$D$114)^((AF$16-AE$16)/365)</f>
        <v>1266.6307145061794</v>
      </c>
      <c r="AG101" s="273">
        <f>AF101*(1+'2. GRI Pricing Inputs'!$D$114)^((AG$16-AF$16)/365)</f>
        <v>1270.5839025873047</v>
      </c>
      <c r="AH101" s="273">
        <f>AG101*(1+'2. GRI Pricing Inputs'!$D$114)^((AH$16-AG$16)/365)</f>
        <v>1274.8233689989349</v>
      </c>
      <c r="AI101" s="273">
        <f>AH101*(1+'2. GRI Pricing Inputs'!$D$114)^((AI$16-AH$16)/365)</f>
        <v>1278.9395463699743</v>
      </c>
      <c r="AJ101" s="273">
        <f>AI101*(1+'2. GRI Pricing Inputs'!$D$114)^((AJ$16-AI$16)/365)</f>
        <v>1283.2068924604607</v>
      </c>
      <c r="AK101" s="273">
        <f>AJ101*(1+'2. GRI Pricing Inputs'!$D$114)^((AK$16-AJ$16)/365)</f>
        <v>1287.3501387340643</v>
      </c>
      <c r="AL101" s="273">
        <f>AK101*(1+'2. GRI Pricing Inputs'!$D$114)^((AL$16-AK$16)/365)</f>
        <v>1291.6455478464079</v>
      </c>
      <c r="AM101" s="273">
        <f>AL101*(1+'2. GRI Pricing Inputs'!$D$114)^((AM$16-AL$16)/365)</f>
        <v>1295.9552891430478</v>
      </c>
      <c r="AN101" s="273">
        <f>AM101*(1+'2. GRI Pricing Inputs'!$D$114)^((AN$16-AM$16)/365)</f>
        <v>1300.1396977166357</v>
      </c>
      <c r="AO101" s="273">
        <f>AN101*(1+'2. GRI Pricing Inputs'!$D$114)^((AO$16-AN$16)/365)</f>
        <v>1304.4777808354859</v>
      </c>
    </row>
    <row r="102" spans="3:41" ht="12" x14ac:dyDescent="0.2">
      <c r="C102" s="76" t="str">
        <f>'1. Accomodation'!N106</f>
        <v>606N</v>
      </c>
      <c r="D102" s="69" t="str">
        <f>'1. Accomodation'!P106</f>
        <v>1 Bed</v>
      </c>
      <c r="E102" s="69">
        <f>'1. Accomodation'!Q106</f>
        <v>1</v>
      </c>
      <c r="F102" s="77">
        <f>'1. Accomodation'!O106</f>
        <v>441</v>
      </c>
      <c r="G102" s="69">
        <f>'1. Accomodation'!R106</f>
        <v>6</v>
      </c>
      <c r="H102" s="69" t="str">
        <f>'1. Accomodation'!S106</f>
        <v>Forth Banks</v>
      </c>
      <c r="I102" s="62"/>
      <c r="K102" s="272">
        <f>IFERROR(INDEX('2. GRI Pricing Inputs'!$C$15:$AI$16,MATCH($K$16,'2. GRI Pricing Inputs'!$C$15:$C$16,0),MATCH(D102,'2. GRI Pricing Inputs'!$C$15:$AI$15,0)),0)</f>
        <v>845</v>
      </c>
      <c r="L102" s="273">
        <f>IFERROR(INDEX('2. GRI Pricing Inputs'!$C$22:$AI$23,MATCH($L$16,'2. GRI Pricing Inputs'!$C$22:$C$23,0),MATCH(E102,'2. GRI Pricing Inputs'!$C$22:$AI$22,0)),0)</f>
        <v>0</v>
      </c>
      <c r="M102" s="328">
        <f>IF(AND('3. GRI Pricing'!$F102&gt;='2. GRI Pricing Inputs'!$D$33,'3. GRI Pricing'!$F102&lt;='2. GRI Pricing Inputs'!$E$33),'2. GRI Pricing Inputs'!$D$32,IF(AND('3. GRI Pricing'!$F102&gt;='2. GRI Pricing Inputs'!$F$33,'3. GRI Pricing'!$F102&lt;='2. GRI Pricing Inputs'!$G$33),'2. GRI Pricing Inputs'!$F$32,IF(AND('3. GRI Pricing'!$F102&gt;='2. GRI Pricing Inputs'!$H$33,'3. GRI Pricing'!$F102&lt;='2. GRI Pricing Inputs'!$I$33),'2. GRI Pricing Inputs'!$H$32,IF(AND('3. GRI Pricing'!$F102&gt;='2. GRI Pricing Inputs'!$J$33,'3. GRI Pricing'!$F102&lt;='2. GRI Pricing Inputs'!$K$33),'2. GRI Pricing Inputs'!$J$32,IF(AND('3. GRI Pricing'!$F102&gt;='2. GRI Pricing Inputs'!$L$33,'3. GRI Pricing'!$F102&lt;='2. GRI Pricing Inputs'!$M$33),'2. GRI Pricing Inputs'!$L$32,IF(AND('3. GRI Pricing'!$F102&gt;='2. GRI Pricing Inputs'!$N$33,'3. GRI Pricing'!$F102&lt;='2. GRI Pricing Inputs'!$O$33),'2. GRI Pricing Inputs'!$N$32,IF(AND('3. GRI Pricing'!$F102&gt;='2. GRI Pricing Inputs'!$P$33,'3. GRI Pricing'!$F102&lt;='2. GRI Pricing Inputs'!$Q$33),'2. GRI Pricing Inputs'!$P$32,IF(AND('3. GRI Pricing'!$F102&gt;='2. GRI Pricing Inputs'!$R$33,'3. GRI Pricing'!$F102&lt;='2. GRI Pricing Inputs'!$S$33),'2. GRI Pricing Inputs'!$R$32,IF(AND('3. GRI Pricing'!$F102&gt;='2. GRI Pricing Inputs'!$T$33,'3. GRI Pricing'!$F102&lt;='2. GRI Pricing Inputs'!$U$33),'2. GRI Pricing Inputs'!$T$32,IF(AND('3. GRI Pricing'!$F102&gt;='2. GRI Pricing Inputs'!$V$33,'3. GRI Pricing'!$F102&lt;='2. GRI Pricing Inputs'!$W$33),'2. GRI Pricing Inputs'!$V$32,IF(AND('3. GRI Pricing'!$F102&gt;='2. GRI Pricing Inputs'!$X$33,'3. GRI Pricing'!$F102&lt;='2. GRI Pricing Inputs'!$Y$33),'2. GRI Pricing Inputs'!$X$32,IF(AND('3. GRI Pricing'!$F102&gt;='2. GRI Pricing Inputs'!$Z$33,'3. GRI Pricing'!$F102&lt;='2. GRI Pricing Inputs'!$AA$33),'2. GRI Pricing Inputs'!$Z$32,IF(AND('3. GRI Pricing'!$F102&gt;='2. GRI Pricing Inputs'!$AB$33,'3. GRI Pricing'!$F102&lt;='2. GRI Pricing Inputs'!$AC$33),'2. GRI Pricing Inputs'!$AB$32,IF(AND('3. GRI Pricing'!$F102&gt;='2. GRI Pricing Inputs'!$AD$33,'3. GRI Pricing'!$F102&lt;='2. GRI Pricing Inputs'!$AE$33),'2. GRI Pricing Inputs'!$AD$32,IF(AND('3. GRI Pricing'!$F102&gt;='2. GRI Pricing Inputs'!$AF$33,'3. GRI Pricing'!$F102&lt;='2. GRI Pricing Inputs'!$AG$33),'2. GRI Pricing Inputs'!$AF$32,IF(AND('3. GRI Pricing'!$F102&gt;='2. GRI Pricing Inputs'!$AH$33,'3. GRI Pricing'!$F102&lt;='2. GRI Pricing Inputs'!$AI$33),'2. GRI Pricing Inputs'!$AH$32,0))))))))))))))))</f>
        <v>0</v>
      </c>
      <c r="N102" s="273" cm="1">
        <f t="array" ref="N102">IFERROR(INDEX('2. GRI Pricing Inputs'!$C$32:$AI$39,MATCH('3. GRI Pricing'!D102,'2. GRI Pricing Inputs'!$C$32:$C$39,0),(MATCH('3. GRI Pricing'!M102,'2. GRI Pricing Inputs'!$D$32:$AI$32,0)+1)),0)</f>
        <v>0</v>
      </c>
      <c r="O102" s="273">
        <f>IFERROR(INDEX('2. GRI Pricing Inputs'!$C$45:$AI$46,MATCH($O$16,'2. GRI Pricing Inputs'!$C$45:$C$46,0),MATCH(G102,'2. GRI Pricing Inputs'!$C$45:$AI$45,0)),0)</f>
        <v>80</v>
      </c>
      <c r="P102" s="273">
        <f>IFERROR(INDEX('2. GRI Pricing Inputs'!$C$53:$AI$54,MATCH('3. GRI Pricing'!$P$16,'2. GRI Pricing Inputs'!$C$53:$C$54,0),MATCH('3. GRI Pricing'!H102,'2. GRI Pricing Inputs'!$C$53:$AI$53,0)),0)</f>
        <v>5</v>
      </c>
      <c r="Q102" s="273">
        <f>IFERROR(INDEX('2. GRI Pricing Inputs'!$C$60:$AI$61,MATCH('3. GRI Pricing'!$Q$16,'2. GRI Pricing Inputs'!$C$60:$C$61,0),MATCH('1. Accomodation'!T106,'2. GRI Pricing Inputs'!$C$60:$AI$60,0)),0)</f>
        <v>0</v>
      </c>
      <c r="R102" s="273">
        <f>IFERROR(INDEX('2. GRI Pricing Inputs'!$C$67:$AI$68,MATCH('3. GRI Pricing'!$R$16,'2. GRI Pricing Inputs'!$C$67:$C$68,0),MATCH('1. Accomodation'!U106,'2. GRI Pricing Inputs'!$C$67:$AI$67,0)),0)</f>
        <v>0</v>
      </c>
      <c r="S102" s="273">
        <f>IF(D102=0,0,'2. GRI Pricing Inputs'!$AI$75)</f>
        <v>70</v>
      </c>
      <c r="T102" s="273">
        <f>IFERROR(INDEX('2. GRI Pricing Inputs'!$C$82:$AI$83,MATCH('3. GRI Pricing'!$T$16,'2. GRI Pricing Inputs'!$C$82:$C$83,0),MATCH('1. Accomodation'!V106,'2. GRI Pricing Inputs'!$C$82:$AI$82,0)),0)</f>
        <v>-50</v>
      </c>
      <c r="U102" s="273">
        <f>IFERROR(INDEX('2. GRI Pricing Inputs'!$C$89:$AI$90,MATCH('3. GRI Pricing'!$U$16,'2. GRI Pricing Inputs'!$C$89:$C$90,0),MATCH('1. Accomodation'!W106,'2. GRI Pricing Inputs'!$C$89:$AI$89,0)),0)</f>
        <v>0</v>
      </c>
      <c r="V102" s="273">
        <f>IFERROR(INDEX('2. GRI Pricing Inputs'!$C$97:$AI$98,MATCH('3. GRI Pricing'!$V$16,'2. GRI Pricing Inputs'!$C$97:$C$98,0),MATCH('1. Accomodation'!X106,'2. GRI Pricing Inputs'!$C$97:$AI$97,0)),0)</f>
        <v>0</v>
      </c>
      <c r="W102" s="273">
        <f>IFERROR(INDEX('2. GRI Pricing Inputs'!$C$104:$AI$105,MATCH('3. GRI Pricing'!$W$16,'2. GRI Pricing Inputs'!$C$104:$C$105,0),MATCH('1. Accomodation'!Y106,'2. GRI Pricing Inputs'!$C$104:$AI$104,0)),0)</f>
        <v>0</v>
      </c>
      <c r="X102" s="274">
        <v>0</v>
      </c>
      <c r="Y102" s="275">
        <f t="shared" si="8"/>
        <v>950</v>
      </c>
      <c r="Z102" s="276"/>
      <c r="AA102" s="276"/>
      <c r="AB102" s="276"/>
      <c r="AC102" s="272">
        <f>Y102*(1+'2. GRI Pricing Inputs'!$D$114)^(($AC$16-$AB$15)/365)</f>
        <v>953.16979703807624</v>
      </c>
      <c r="AD102" s="273">
        <f>AC102*(1+'2. GRI Pricing Inputs'!$D$114)^((AD$16-AC$16)/365)</f>
        <v>956.24741237266744</v>
      </c>
      <c r="AE102" s="273">
        <f>AD102*(1+'2. GRI Pricing Inputs'!$D$114)^((AE$16-AD$16)/365)</f>
        <v>959.43805470467476</v>
      </c>
      <c r="AF102" s="273">
        <f>AE102*(1+'2. GRI Pricing Inputs'!$D$114)^((AF$16-AE$16)/365)</f>
        <v>962.63934302469636</v>
      </c>
      <c r="AG102" s="273">
        <f>AF102*(1+'2. GRI Pricing Inputs'!$D$114)^((AG$16-AF$16)/365)</f>
        <v>965.64376596635157</v>
      </c>
      <c r="AH102" s="273">
        <f>AG102*(1+'2. GRI Pricing Inputs'!$D$114)^((AH$16-AG$16)/365)</f>
        <v>968.86576043919047</v>
      </c>
      <c r="AI102" s="273">
        <f>AH102*(1+'2. GRI Pricing Inputs'!$D$114)^((AI$16-AH$16)/365)</f>
        <v>971.99405524118038</v>
      </c>
      <c r="AJ102" s="273">
        <f>AI102*(1+'2. GRI Pricing Inputs'!$D$114)^((AJ$16-AI$16)/365)</f>
        <v>975.23723826995013</v>
      </c>
      <c r="AK102" s="273">
        <f>AJ102*(1+'2. GRI Pricing Inputs'!$D$114)^((AK$16-AJ$16)/365)</f>
        <v>978.38610543788877</v>
      </c>
      <c r="AL102" s="273">
        <f>AK102*(1+'2. GRI Pricing Inputs'!$D$114)^((AL$16-AK$16)/365)</f>
        <v>981.65061636326982</v>
      </c>
      <c r="AM102" s="273">
        <f>AL102*(1+'2. GRI Pricing Inputs'!$D$114)^((AM$16-AL$16)/365)</f>
        <v>984.92601974871616</v>
      </c>
      <c r="AN102" s="273">
        <f>AM102*(1+'2. GRI Pricing Inputs'!$D$114)^((AN$16-AM$16)/365)</f>
        <v>988.10617026464297</v>
      </c>
      <c r="AO102" s="273">
        <f>AN102*(1+'2. GRI Pricing Inputs'!$D$114)^((AO$16-AN$16)/365)</f>
        <v>991.40311343496899</v>
      </c>
    </row>
    <row r="103" spans="3:41" ht="12" x14ac:dyDescent="0.2">
      <c r="C103" s="76" t="str">
        <f>'1. Accomodation'!N107</f>
        <v>607N</v>
      </c>
      <c r="D103" s="69" t="str">
        <f>'1. Accomodation'!P107</f>
        <v>2 Bed</v>
      </c>
      <c r="E103" s="69">
        <f>'1. Accomodation'!Q107</f>
        <v>2</v>
      </c>
      <c r="F103" s="77">
        <f>'1. Accomodation'!O107</f>
        <v>624</v>
      </c>
      <c r="G103" s="69">
        <f>'1. Accomodation'!R107</f>
        <v>6</v>
      </c>
      <c r="H103" s="69" t="str">
        <f>'1. Accomodation'!S107</f>
        <v>Forth Banks</v>
      </c>
      <c r="I103" s="62"/>
      <c r="K103" s="272">
        <f>IFERROR(INDEX('2. GRI Pricing Inputs'!$C$15:$AI$16,MATCH($K$16,'2. GRI Pricing Inputs'!$C$15:$C$16,0),MATCH(D103,'2. GRI Pricing Inputs'!$C$15:$AI$15,0)),0)</f>
        <v>1110</v>
      </c>
      <c r="L103" s="273">
        <f>IFERROR(INDEX('2. GRI Pricing Inputs'!$C$22:$AI$23,MATCH($L$16,'2. GRI Pricing Inputs'!$C$22:$C$23,0),MATCH(E103,'2. GRI Pricing Inputs'!$C$22:$AI$22,0)),0)</f>
        <v>0</v>
      </c>
      <c r="M103" s="328">
        <f>IF(AND('3. GRI Pricing'!$F103&gt;='2. GRI Pricing Inputs'!$D$33,'3. GRI Pricing'!$F103&lt;='2. GRI Pricing Inputs'!$E$33),'2. GRI Pricing Inputs'!$D$32,IF(AND('3. GRI Pricing'!$F103&gt;='2. GRI Pricing Inputs'!$F$33,'3. GRI Pricing'!$F103&lt;='2. GRI Pricing Inputs'!$G$33),'2. GRI Pricing Inputs'!$F$32,IF(AND('3. GRI Pricing'!$F103&gt;='2. GRI Pricing Inputs'!$H$33,'3. GRI Pricing'!$F103&lt;='2. GRI Pricing Inputs'!$I$33),'2. GRI Pricing Inputs'!$H$32,IF(AND('3. GRI Pricing'!$F103&gt;='2. GRI Pricing Inputs'!$J$33,'3. GRI Pricing'!$F103&lt;='2. GRI Pricing Inputs'!$K$33),'2. GRI Pricing Inputs'!$J$32,IF(AND('3. GRI Pricing'!$F103&gt;='2. GRI Pricing Inputs'!$L$33,'3. GRI Pricing'!$F103&lt;='2. GRI Pricing Inputs'!$M$33),'2. GRI Pricing Inputs'!$L$32,IF(AND('3. GRI Pricing'!$F103&gt;='2. GRI Pricing Inputs'!$N$33,'3. GRI Pricing'!$F103&lt;='2. GRI Pricing Inputs'!$O$33),'2. GRI Pricing Inputs'!$N$32,IF(AND('3. GRI Pricing'!$F103&gt;='2. GRI Pricing Inputs'!$P$33,'3. GRI Pricing'!$F103&lt;='2. GRI Pricing Inputs'!$Q$33),'2. GRI Pricing Inputs'!$P$32,IF(AND('3. GRI Pricing'!$F103&gt;='2. GRI Pricing Inputs'!$R$33,'3. GRI Pricing'!$F103&lt;='2. GRI Pricing Inputs'!$S$33),'2. GRI Pricing Inputs'!$R$32,IF(AND('3. GRI Pricing'!$F103&gt;='2. GRI Pricing Inputs'!$T$33,'3. GRI Pricing'!$F103&lt;='2. GRI Pricing Inputs'!$U$33),'2. GRI Pricing Inputs'!$T$32,IF(AND('3. GRI Pricing'!$F103&gt;='2. GRI Pricing Inputs'!$V$33,'3. GRI Pricing'!$F103&lt;='2. GRI Pricing Inputs'!$W$33),'2. GRI Pricing Inputs'!$V$32,IF(AND('3. GRI Pricing'!$F103&gt;='2. GRI Pricing Inputs'!$X$33,'3. GRI Pricing'!$F103&lt;='2. GRI Pricing Inputs'!$Y$33),'2. GRI Pricing Inputs'!$X$32,IF(AND('3. GRI Pricing'!$F103&gt;='2. GRI Pricing Inputs'!$Z$33,'3. GRI Pricing'!$F103&lt;='2. GRI Pricing Inputs'!$AA$33),'2. GRI Pricing Inputs'!$Z$32,IF(AND('3. GRI Pricing'!$F103&gt;='2. GRI Pricing Inputs'!$AB$33,'3. GRI Pricing'!$F103&lt;='2. GRI Pricing Inputs'!$AC$33),'2. GRI Pricing Inputs'!$AB$32,IF(AND('3. GRI Pricing'!$F103&gt;='2. GRI Pricing Inputs'!$AD$33,'3. GRI Pricing'!$F103&lt;='2. GRI Pricing Inputs'!$AE$33),'2. GRI Pricing Inputs'!$AD$32,IF(AND('3. GRI Pricing'!$F103&gt;='2. GRI Pricing Inputs'!$AF$33,'3. GRI Pricing'!$F103&lt;='2. GRI Pricing Inputs'!$AG$33),'2. GRI Pricing Inputs'!$AF$32,IF(AND('3. GRI Pricing'!$F103&gt;='2. GRI Pricing Inputs'!$AH$33,'3. GRI Pricing'!$F103&lt;='2. GRI Pricing Inputs'!$AI$33),'2. GRI Pricing Inputs'!$AH$32,0))))))))))))))))</f>
        <v>7</v>
      </c>
      <c r="N103" s="273" cm="1">
        <f t="array" ref="N103">IFERROR(INDEX('2. GRI Pricing Inputs'!$C$32:$AI$39,MATCH('3. GRI Pricing'!D103,'2. GRI Pricing Inputs'!$C$32:$C$39,0),(MATCH('3. GRI Pricing'!M103,'2. GRI Pricing Inputs'!$D$32:$AI$32,0)+1)),0)</f>
        <v>10</v>
      </c>
      <c r="O103" s="273">
        <f>IFERROR(INDEX('2. GRI Pricing Inputs'!$C$45:$AI$46,MATCH($O$16,'2. GRI Pricing Inputs'!$C$45:$C$46,0),MATCH(G103,'2. GRI Pricing Inputs'!$C$45:$AI$45,0)),0)</f>
        <v>80</v>
      </c>
      <c r="P103" s="273">
        <f>IFERROR(INDEX('2. GRI Pricing Inputs'!$C$53:$AI$54,MATCH('3. GRI Pricing'!$P$16,'2. GRI Pricing Inputs'!$C$53:$C$54,0),MATCH('3. GRI Pricing'!H103,'2. GRI Pricing Inputs'!$C$53:$AI$53,0)),0)</f>
        <v>5</v>
      </c>
      <c r="Q103" s="273">
        <f>IFERROR(INDEX('2. GRI Pricing Inputs'!$C$60:$AI$61,MATCH('3. GRI Pricing'!$Q$16,'2. GRI Pricing Inputs'!$C$60:$C$61,0),MATCH('1. Accomodation'!T107,'2. GRI Pricing Inputs'!$C$60:$AI$60,0)),0)</f>
        <v>0</v>
      </c>
      <c r="R103" s="273">
        <f>IFERROR(INDEX('2. GRI Pricing Inputs'!$C$67:$AI$68,MATCH('3. GRI Pricing'!$R$16,'2. GRI Pricing Inputs'!$C$67:$C$68,0),MATCH('1. Accomodation'!U107,'2. GRI Pricing Inputs'!$C$67:$AI$67,0)),0)</f>
        <v>0</v>
      </c>
      <c r="S103" s="273">
        <f>IF(D103=0,0,'2. GRI Pricing Inputs'!$AI$75)</f>
        <v>70</v>
      </c>
      <c r="T103" s="273">
        <f>IFERROR(INDEX('2. GRI Pricing Inputs'!$C$82:$AI$83,MATCH('3. GRI Pricing'!$T$16,'2. GRI Pricing Inputs'!$C$82:$C$83,0),MATCH('1. Accomodation'!V107,'2. GRI Pricing Inputs'!$C$82:$AI$82,0)),0)</f>
        <v>-50</v>
      </c>
      <c r="U103" s="273">
        <f>IFERROR(INDEX('2. GRI Pricing Inputs'!$C$89:$AI$90,MATCH('3. GRI Pricing'!$U$16,'2. GRI Pricing Inputs'!$C$89:$C$90,0),MATCH('1. Accomodation'!W107,'2. GRI Pricing Inputs'!$C$89:$AI$89,0)),0)</f>
        <v>0</v>
      </c>
      <c r="V103" s="273">
        <f>IFERROR(INDEX('2. GRI Pricing Inputs'!$C$97:$AI$98,MATCH('3. GRI Pricing'!$V$16,'2. GRI Pricing Inputs'!$C$97:$C$98,0),MATCH('1. Accomodation'!X107,'2. GRI Pricing Inputs'!$C$97:$AI$97,0)),0)</f>
        <v>0</v>
      </c>
      <c r="W103" s="273">
        <f>IFERROR(INDEX('2. GRI Pricing Inputs'!$C$104:$AI$105,MATCH('3. GRI Pricing'!$W$16,'2. GRI Pricing Inputs'!$C$104:$C$105,0),MATCH('1. Accomodation'!Y107,'2. GRI Pricing Inputs'!$C$104:$AI$104,0)),0)</f>
        <v>0</v>
      </c>
      <c r="X103" s="274">
        <v>0</v>
      </c>
      <c r="Y103" s="275">
        <f t="shared" si="8"/>
        <v>1225</v>
      </c>
      <c r="Z103" s="276"/>
      <c r="AA103" s="276"/>
      <c r="AB103" s="276"/>
      <c r="AC103" s="272">
        <f>Y103*(1+'2. GRI Pricing Inputs'!$D$114)^(($AC$16-$AB$15)/365)</f>
        <v>1229.0873698648879</v>
      </c>
      <c r="AD103" s="273">
        <f>AC103*(1+'2. GRI Pricing Inputs'!$D$114)^((AD$16-AC$16)/365)</f>
        <v>1233.055873848966</v>
      </c>
      <c r="AE103" s="273">
        <f>AD103*(1+'2. GRI Pricing Inputs'!$D$114)^((AE$16-AD$16)/365)</f>
        <v>1237.1701231718175</v>
      </c>
      <c r="AF103" s="273">
        <f>AE103*(1+'2. GRI Pricing Inputs'!$D$114)^((AF$16-AE$16)/365)</f>
        <v>1241.2981002160559</v>
      </c>
      <c r="AG103" s="273">
        <f>AF103*(1+'2. GRI Pricing Inputs'!$D$114)^((AG$16-AF$16)/365)</f>
        <v>1245.1722245355588</v>
      </c>
      <c r="AH103" s="273">
        <f>AG103*(1+'2. GRI Pricing Inputs'!$D$114)^((AH$16-AG$16)/365)</f>
        <v>1249.3269016189563</v>
      </c>
      <c r="AI103" s="273">
        <f>AH103*(1+'2. GRI Pricing Inputs'!$D$114)^((AI$16-AH$16)/365)</f>
        <v>1253.3607554425748</v>
      </c>
      <c r="AJ103" s="273">
        <f>AI103*(1+'2. GRI Pricing Inputs'!$D$114)^((AJ$16-AI$16)/365)</f>
        <v>1257.5427546112517</v>
      </c>
      <c r="AK103" s="273">
        <f>AJ103*(1+'2. GRI Pricing Inputs'!$D$114)^((AK$16-AJ$16)/365)</f>
        <v>1261.6031359593831</v>
      </c>
      <c r="AL103" s="273">
        <f>AK103*(1+'2. GRI Pricing Inputs'!$D$114)^((AL$16-AK$16)/365)</f>
        <v>1265.8126368894796</v>
      </c>
      <c r="AM103" s="273">
        <f>AL103*(1+'2. GRI Pricing Inputs'!$D$114)^((AM$16-AL$16)/365)</f>
        <v>1270.0361833601867</v>
      </c>
      <c r="AN103" s="273">
        <f>AM103*(1+'2. GRI Pricing Inputs'!$D$114)^((AN$16-AM$16)/365)</f>
        <v>1274.1369037623028</v>
      </c>
      <c r="AO103" s="273">
        <f>AN103*(1+'2. GRI Pricing Inputs'!$D$114)^((AO$16-AN$16)/365)</f>
        <v>1278.3882252187759</v>
      </c>
    </row>
    <row r="104" spans="3:41" ht="12" x14ac:dyDescent="0.2">
      <c r="C104" s="76" t="str">
        <f>'1. Accomodation'!N108</f>
        <v>608N</v>
      </c>
      <c r="D104" s="69" t="str">
        <f>'1. Accomodation'!P108</f>
        <v>2 Bed</v>
      </c>
      <c r="E104" s="69">
        <f>'1. Accomodation'!Q108</f>
        <v>2</v>
      </c>
      <c r="F104" s="77">
        <f>'1. Accomodation'!O108</f>
        <v>624</v>
      </c>
      <c r="G104" s="69">
        <f>'1. Accomodation'!R108</f>
        <v>6</v>
      </c>
      <c r="H104" s="69" t="str">
        <f>'1. Accomodation'!S108</f>
        <v>Forth Banks</v>
      </c>
      <c r="I104" s="62"/>
      <c r="K104" s="272">
        <f>IFERROR(INDEX('2. GRI Pricing Inputs'!$C$15:$AI$16,MATCH($K$16,'2. GRI Pricing Inputs'!$C$15:$C$16,0),MATCH(D104,'2. GRI Pricing Inputs'!$C$15:$AI$15,0)),0)</f>
        <v>1110</v>
      </c>
      <c r="L104" s="273">
        <f>IFERROR(INDEX('2. GRI Pricing Inputs'!$C$22:$AI$23,MATCH($L$16,'2. GRI Pricing Inputs'!$C$22:$C$23,0),MATCH(E104,'2. GRI Pricing Inputs'!$C$22:$AI$22,0)),0)</f>
        <v>0</v>
      </c>
      <c r="M104" s="328">
        <f>IF(AND('3. GRI Pricing'!$F104&gt;='2. GRI Pricing Inputs'!$D$33,'3. GRI Pricing'!$F104&lt;='2. GRI Pricing Inputs'!$E$33),'2. GRI Pricing Inputs'!$D$32,IF(AND('3. GRI Pricing'!$F104&gt;='2. GRI Pricing Inputs'!$F$33,'3. GRI Pricing'!$F104&lt;='2. GRI Pricing Inputs'!$G$33),'2. GRI Pricing Inputs'!$F$32,IF(AND('3. GRI Pricing'!$F104&gt;='2. GRI Pricing Inputs'!$H$33,'3. GRI Pricing'!$F104&lt;='2. GRI Pricing Inputs'!$I$33),'2. GRI Pricing Inputs'!$H$32,IF(AND('3. GRI Pricing'!$F104&gt;='2. GRI Pricing Inputs'!$J$33,'3. GRI Pricing'!$F104&lt;='2. GRI Pricing Inputs'!$K$33),'2. GRI Pricing Inputs'!$J$32,IF(AND('3. GRI Pricing'!$F104&gt;='2. GRI Pricing Inputs'!$L$33,'3. GRI Pricing'!$F104&lt;='2. GRI Pricing Inputs'!$M$33),'2. GRI Pricing Inputs'!$L$32,IF(AND('3. GRI Pricing'!$F104&gt;='2. GRI Pricing Inputs'!$N$33,'3. GRI Pricing'!$F104&lt;='2. GRI Pricing Inputs'!$O$33),'2. GRI Pricing Inputs'!$N$32,IF(AND('3. GRI Pricing'!$F104&gt;='2. GRI Pricing Inputs'!$P$33,'3. GRI Pricing'!$F104&lt;='2. GRI Pricing Inputs'!$Q$33),'2. GRI Pricing Inputs'!$P$32,IF(AND('3. GRI Pricing'!$F104&gt;='2. GRI Pricing Inputs'!$R$33,'3. GRI Pricing'!$F104&lt;='2. GRI Pricing Inputs'!$S$33),'2. GRI Pricing Inputs'!$R$32,IF(AND('3. GRI Pricing'!$F104&gt;='2. GRI Pricing Inputs'!$T$33,'3. GRI Pricing'!$F104&lt;='2. GRI Pricing Inputs'!$U$33),'2. GRI Pricing Inputs'!$T$32,IF(AND('3. GRI Pricing'!$F104&gt;='2. GRI Pricing Inputs'!$V$33,'3. GRI Pricing'!$F104&lt;='2. GRI Pricing Inputs'!$W$33),'2. GRI Pricing Inputs'!$V$32,IF(AND('3. GRI Pricing'!$F104&gt;='2. GRI Pricing Inputs'!$X$33,'3. GRI Pricing'!$F104&lt;='2. GRI Pricing Inputs'!$Y$33),'2. GRI Pricing Inputs'!$X$32,IF(AND('3. GRI Pricing'!$F104&gt;='2. GRI Pricing Inputs'!$Z$33,'3. GRI Pricing'!$F104&lt;='2. GRI Pricing Inputs'!$AA$33),'2. GRI Pricing Inputs'!$Z$32,IF(AND('3. GRI Pricing'!$F104&gt;='2. GRI Pricing Inputs'!$AB$33,'3. GRI Pricing'!$F104&lt;='2. GRI Pricing Inputs'!$AC$33),'2. GRI Pricing Inputs'!$AB$32,IF(AND('3. GRI Pricing'!$F104&gt;='2. GRI Pricing Inputs'!$AD$33,'3. GRI Pricing'!$F104&lt;='2. GRI Pricing Inputs'!$AE$33),'2. GRI Pricing Inputs'!$AD$32,IF(AND('3. GRI Pricing'!$F104&gt;='2. GRI Pricing Inputs'!$AF$33,'3. GRI Pricing'!$F104&lt;='2. GRI Pricing Inputs'!$AG$33),'2. GRI Pricing Inputs'!$AF$32,IF(AND('3. GRI Pricing'!$F104&gt;='2. GRI Pricing Inputs'!$AH$33,'3. GRI Pricing'!$F104&lt;='2. GRI Pricing Inputs'!$AI$33),'2. GRI Pricing Inputs'!$AH$32,0))))))))))))))))</f>
        <v>7</v>
      </c>
      <c r="N104" s="273" cm="1">
        <f t="array" ref="N104">IFERROR(INDEX('2. GRI Pricing Inputs'!$C$32:$AI$39,MATCH('3. GRI Pricing'!D104,'2. GRI Pricing Inputs'!$C$32:$C$39,0),(MATCH('3. GRI Pricing'!M104,'2. GRI Pricing Inputs'!$D$32:$AI$32,0)+1)),0)</f>
        <v>10</v>
      </c>
      <c r="O104" s="273">
        <f>IFERROR(INDEX('2. GRI Pricing Inputs'!$C$45:$AI$46,MATCH($O$16,'2. GRI Pricing Inputs'!$C$45:$C$46,0),MATCH(G104,'2. GRI Pricing Inputs'!$C$45:$AI$45,0)),0)</f>
        <v>80</v>
      </c>
      <c r="P104" s="273">
        <f>IFERROR(INDEX('2. GRI Pricing Inputs'!$C$53:$AI$54,MATCH('3. GRI Pricing'!$P$16,'2. GRI Pricing Inputs'!$C$53:$C$54,0),MATCH('3. GRI Pricing'!H104,'2. GRI Pricing Inputs'!$C$53:$AI$53,0)),0)</f>
        <v>5</v>
      </c>
      <c r="Q104" s="273">
        <f>IFERROR(INDEX('2. GRI Pricing Inputs'!$C$60:$AI$61,MATCH('3. GRI Pricing'!$Q$16,'2. GRI Pricing Inputs'!$C$60:$C$61,0),MATCH('1. Accomodation'!T108,'2. GRI Pricing Inputs'!$C$60:$AI$60,0)),0)</f>
        <v>0</v>
      </c>
      <c r="R104" s="273">
        <f>IFERROR(INDEX('2. GRI Pricing Inputs'!$C$67:$AI$68,MATCH('3. GRI Pricing'!$R$16,'2. GRI Pricing Inputs'!$C$67:$C$68,0),MATCH('1. Accomodation'!U108,'2. GRI Pricing Inputs'!$C$67:$AI$67,0)),0)</f>
        <v>0</v>
      </c>
      <c r="S104" s="273">
        <f>IF(D104=0,0,'2. GRI Pricing Inputs'!$AI$75)</f>
        <v>70</v>
      </c>
      <c r="T104" s="273">
        <f>IFERROR(INDEX('2. GRI Pricing Inputs'!$C$82:$AI$83,MATCH('3. GRI Pricing'!$T$16,'2. GRI Pricing Inputs'!$C$82:$C$83,0),MATCH('1. Accomodation'!V108,'2. GRI Pricing Inputs'!$C$82:$AI$82,0)),0)</f>
        <v>-50</v>
      </c>
      <c r="U104" s="273">
        <f>IFERROR(INDEX('2. GRI Pricing Inputs'!$C$89:$AI$90,MATCH('3. GRI Pricing'!$U$16,'2. GRI Pricing Inputs'!$C$89:$C$90,0),MATCH('1. Accomodation'!W108,'2. GRI Pricing Inputs'!$C$89:$AI$89,0)),0)</f>
        <v>0</v>
      </c>
      <c r="V104" s="273">
        <f>IFERROR(INDEX('2. GRI Pricing Inputs'!$C$97:$AI$98,MATCH('3. GRI Pricing'!$V$16,'2. GRI Pricing Inputs'!$C$97:$C$98,0),MATCH('1. Accomodation'!X108,'2. GRI Pricing Inputs'!$C$97:$AI$97,0)),0)</f>
        <v>0</v>
      </c>
      <c r="W104" s="273">
        <f>IFERROR(INDEX('2. GRI Pricing Inputs'!$C$104:$AI$105,MATCH('3. GRI Pricing'!$W$16,'2. GRI Pricing Inputs'!$C$104:$C$105,0),MATCH('1. Accomodation'!Y108,'2. GRI Pricing Inputs'!$C$104:$AI$104,0)),0)</f>
        <v>0</v>
      </c>
      <c r="X104" s="274">
        <v>0</v>
      </c>
      <c r="Y104" s="275">
        <f t="shared" si="8"/>
        <v>1225</v>
      </c>
      <c r="Z104" s="276"/>
      <c r="AA104" s="276"/>
      <c r="AB104" s="276"/>
      <c r="AC104" s="272">
        <f>Y104*(1+'2. GRI Pricing Inputs'!$D$114)^(($AC$16-$AB$15)/365)</f>
        <v>1229.0873698648879</v>
      </c>
      <c r="AD104" s="273">
        <f>AC104*(1+'2. GRI Pricing Inputs'!$D$114)^((AD$16-AC$16)/365)</f>
        <v>1233.055873848966</v>
      </c>
      <c r="AE104" s="273">
        <f>AD104*(1+'2. GRI Pricing Inputs'!$D$114)^((AE$16-AD$16)/365)</f>
        <v>1237.1701231718175</v>
      </c>
      <c r="AF104" s="273">
        <f>AE104*(1+'2. GRI Pricing Inputs'!$D$114)^((AF$16-AE$16)/365)</f>
        <v>1241.2981002160559</v>
      </c>
      <c r="AG104" s="273">
        <f>AF104*(1+'2. GRI Pricing Inputs'!$D$114)^((AG$16-AF$16)/365)</f>
        <v>1245.1722245355588</v>
      </c>
      <c r="AH104" s="273">
        <f>AG104*(1+'2. GRI Pricing Inputs'!$D$114)^((AH$16-AG$16)/365)</f>
        <v>1249.3269016189563</v>
      </c>
      <c r="AI104" s="273">
        <f>AH104*(1+'2. GRI Pricing Inputs'!$D$114)^((AI$16-AH$16)/365)</f>
        <v>1253.3607554425748</v>
      </c>
      <c r="AJ104" s="273">
        <f>AI104*(1+'2. GRI Pricing Inputs'!$D$114)^((AJ$16-AI$16)/365)</f>
        <v>1257.5427546112517</v>
      </c>
      <c r="AK104" s="273">
        <f>AJ104*(1+'2. GRI Pricing Inputs'!$D$114)^((AK$16-AJ$16)/365)</f>
        <v>1261.6031359593831</v>
      </c>
      <c r="AL104" s="273">
        <f>AK104*(1+'2. GRI Pricing Inputs'!$D$114)^((AL$16-AK$16)/365)</f>
        <v>1265.8126368894796</v>
      </c>
      <c r="AM104" s="273">
        <f>AL104*(1+'2. GRI Pricing Inputs'!$D$114)^((AM$16-AL$16)/365)</f>
        <v>1270.0361833601867</v>
      </c>
      <c r="AN104" s="273">
        <f>AM104*(1+'2. GRI Pricing Inputs'!$D$114)^((AN$16-AM$16)/365)</f>
        <v>1274.1369037623028</v>
      </c>
      <c r="AO104" s="273">
        <f>AN104*(1+'2. GRI Pricing Inputs'!$D$114)^((AO$16-AN$16)/365)</f>
        <v>1278.3882252187759</v>
      </c>
    </row>
    <row r="105" spans="3:41" ht="12" x14ac:dyDescent="0.2">
      <c r="C105" s="76" t="str">
        <f>'1. Accomodation'!N109</f>
        <v>609N</v>
      </c>
      <c r="D105" s="69" t="str">
        <f>'1. Accomodation'!P109</f>
        <v>2 Bed</v>
      </c>
      <c r="E105" s="69">
        <f>'1. Accomodation'!Q109</f>
        <v>2</v>
      </c>
      <c r="F105" s="77">
        <f>'1. Accomodation'!O109</f>
        <v>657</v>
      </c>
      <c r="G105" s="69">
        <f>'1. Accomodation'!R109</f>
        <v>6</v>
      </c>
      <c r="H105" s="69" t="str">
        <f>'1. Accomodation'!S109</f>
        <v>River - Partial</v>
      </c>
      <c r="I105" s="62"/>
      <c r="K105" s="272">
        <f>IFERROR(INDEX('2. GRI Pricing Inputs'!$C$15:$AI$16,MATCH($K$16,'2. GRI Pricing Inputs'!$C$15:$C$16,0),MATCH(D105,'2. GRI Pricing Inputs'!$C$15:$AI$15,0)),0)</f>
        <v>1110</v>
      </c>
      <c r="L105" s="273">
        <f>IFERROR(INDEX('2. GRI Pricing Inputs'!$C$22:$AI$23,MATCH($L$16,'2. GRI Pricing Inputs'!$C$22:$C$23,0),MATCH(E105,'2. GRI Pricing Inputs'!$C$22:$AI$22,0)),0)</f>
        <v>0</v>
      </c>
      <c r="M105" s="328">
        <f>IF(AND('3. GRI Pricing'!$F105&gt;='2. GRI Pricing Inputs'!$D$33,'3. GRI Pricing'!$F105&lt;='2. GRI Pricing Inputs'!$E$33),'2. GRI Pricing Inputs'!$D$32,IF(AND('3. GRI Pricing'!$F105&gt;='2. GRI Pricing Inputs'!$F$33,'3. GRI Pricing'!$F105&lt;='2. GRI Pricing Inputs'!$G$33),'2. GRI Pricing Inputs'!$F$32,IF(AND('3. GRI Pricing'!$F105&gt;='2. GRI Pricing Inputs'!$H$33,'3. GRI Pricing'!$F105&lt;='2. GRI Pricing Inputs'!$I$33),'2. GRI Pricing Inputs'!$H$32,IF(AND('3. GRI Pricing'!$F105&gt;='2. GRI Pricing Inputs'!$J$33,'3. GRI Pricing'!$F105&lt;='2. GRI Pricing Inputs'!$K$33),'2. GRI Pricing Inputs'!$J$32,IF(AND('3. GRI Pricing'!$F105&gt;='2. GRI Pricing Inputs'!$L$33,'3. GRI Pricing'!$F105&lt;='2. GRI Pricing Inputs'!$M$33),'2. GRI Pricing Inputs'!$L$32,IF(AND('3. GRI Pricing'!$F105&gt;='2. GRI Pricing Inputs'!$N$33,'3. GRI Pricing'!$F105&lt;='2. GRI Pricing Inputs'!$O$33),'2. GRI Pricing Inputs'!$N$32,IF(AND('3. GRI Pricing'!$F105&gt;='2. GRI Pricing Inputs'!$P$33,'3. GRI Pricing'!$F105&lt;='2. GRI Pricing Inputs'!$Q$33),'2. GRI Pricing Inputs'!$P$32,IF(AND('3. GRI Pricing'!$F105&gt;='2. GRI Pricing Inputs'!$R$33,'3. GRI Pricing'!$F105&lt;='2. GRI Pricing Inputs'!$S$33),'2. GRI Pricing Inputs'!$R$32,IF(AND('3. GRI Pricing'!$F105&gt;='2. GRI Pricing Inputs'!$T$33,'3. GRI Pricing'!$F105&lt;='2. GRI Pricing Inputs'!$U$33),'2. GRI Pricing Inputs'!$T$32,IF(AND('3. GRI Pricing'!$F105&gt;='2. GRI Pricing Inputs'!$V$33,'3. GRI Pricing'!$F105&lt;='2. GRI Pricing Inputs'!$W$33),'2. GRI Pricing Inputs'!$V$32,IF(AND('3. GRI Pricing'!$F105&gt;='2. GRI Pricing Inputs'!$X$33,'3. GRI Pricing'!$F105&lt;='2. GRI Pricing Inputs'!$Y$33),'2. GRI Pricing Inputs'!$X$32,IF(AND('3. GRI Pricing'!$F105&gt;='2. GRI Pricing Inputs'!$Z$33,'3. GRI Pricing'!$F105&lt;='2. GRI Pricing Inputs'!$AA$33),'2. GRI Pricing Inputs'!$Z$32,IF(AND('3. GRI Pricing'!$F105&gt;='2. GRI Pricing Inputs'!$AB$33,'3. GRI Pricing'!$F105&lt;='2. GRI Pricing Inputs'!$AC$33),'2. GRI Pricing Inputs'!$AB$32,IF(AND('3. GRI Pricing'!$F105&gt;='2. GRI Pricing Inputs'!$AD$33,'3. GRI Pricing'!$F105&lt;='2. GRI Pricing Inputs'!$AE$33),'2. GRI Pricing Inputs'!$AD$32,IF(AND('3. GRI Pricing'!$F105&gt;='2. GRI Pricing Inputs'!$AF$33,'3. GRI Pricing'!$F105&lt;='2. GRI Pricing Inputs'!$AG$33),'2. GRI Pricing Inputs'!$AF$32,IF(AND('3. GRI Pricing'!$F105&gt;='2. GRI Pricing Inputs'!$AH$33,'3. GRI Pricing'!$F105&lt;='2. GRI Pricing Inputs'!$AI$33),'2. GRI Pricing Inputs'!$AH$32,0))))))))))))))))</f>
        <v>8</v>
      </c>
      <c r="N105" s="273" cm="1">
        <f t="array" ref="N105">IFERROR(INDEX('2. GRI Pricing Inputs'!$C$32:$AI$39,MATCH('3. GRI Pricing'!D105,'2. GRI Pricing Inputs'!$C$32:$C$39,0),(MATCH('3. GRI Pricing'!M105,'2. GRI Pricing Inputs'!$D$32:$AI$32,0)+1)),0)</f>
        <v>20</v>
      </c>
      <c r="O105" s="273">
        <f>IFERROR(INDEX('2. GRI Pricing Inputs'!$C$45:$AI$46,MATCH($O$16,'2. GRI Pricing Inputs'!$C$45:$C$46,0),MATCH(G105,'2. GRI Pricing Inputs'!$C$45:$AI$45,0)),0)</f>
        <v>80</v>
      </c>
      <c r="P105" s="273">
        <f>IFERROR(INDEX('2. GRI Pricing Inputs'!$C$53:$AI$54,MATCH('3. GRI Pricing'!$P$16,'2. GRI Pricing Inputs'!$C$53:$C$54,0),MATCH('3. GRI Pricing'!H105,'2. GRI Pricing Inputs'!$C$53:$AI$53,0)),0)</f>
        <v>45</v>
      </c>
      <c r="Q105" s="273">
        <f>IFERROR(INDEX('2. GRI Pricing Inputs'!$C$60:$AI$61,MATCH('3. GRI Pricing'!$Q$16,'2. GRI Pricing Inputs'!$C$60:$C$61,0),MATCH('1. Accomodation'!T109,'2. GRI Pricing Inputs'!$C$60:$AI$60,0)),0)</f>
        <v>0</v>
      </c>
      <c r="R105" s="273">
        <f>IFERROR(INDEX('2. GRI Pricing Inputs'!$C$67:$AI$68,MATCH('3. GRI Pricing'!$R$16,'2. GRI Pricing Inputs'!$C$67:$C$68,0),MATCH('1. Accomodation'!U109,'2. GRI Pricing Inputs'!$C$67:$AI$67,0)),0)</f>
        <v>0</v>
      </c>
      <c r="S105" s="273">
        <f>IF(D105=0,0,'2. GRI Pricing Inputs'!$AI$75)</f>
        <v>70</v>
      </c>
      <c r="T105" s="273">
        <f>IFERROR(INDEX('2. GRI Pricing Inputs'!$C$82:$AI$83,MATCH('3. GRI Pricing'!$T$16,'2. GRI Pricing Inputs'!$C$82:$C$83,0),MATCH('1. Accomodation'!V109,'2. GRI Pricing Inputs'!$C$82:$AI$82,0)),0)</f>
        <v>-50</v>
      </c>
      <c r="U105" s="273">
        <f>IFERROR(INDEX('2. GRI Pricing Inputs'!$C$89:$AI$90,MATCH('3. GRI Pricing'!$U$16,'2. GRI Pricing Inputs'!$C$89:$C$90,0),MATCH('1. Accomodation'!W109,'2. GRI Pricing Inputs'!$C$89:$AI$89,0)),0)</f>
        <v>0</v>
      </c>
      <c r="V105" s="273">
        <f>IFERROR(INDEX('2. GRI Pricing Inputs'!$C$97:$AI$98,MATCH('3. GRI Pricing'!$V$16,'2. GRI Pricing Inputs'!$C$97:$C$98,0),MATCH('1. Accomodation'!X109,'2. GRI Pricing Inputs'!$C$97:$AI$97,0)),0)</f>
        <v>0</v>
      </c>
      <c r="W105" s="273">
        <f>IFERROR(INDEX('2. GRI Pricing Inputs'!$C$104:$AI$105,MATCH('3. GRI Pricing'!$W$16,'2. GRI Pricing Inputs'!$C$104:$C$105,0),MATCH('1. Accomodation'!Y109,'2. GRI Pricing Inputs'!$C$104:$AI$104,0)),0)</f>
        <v>0</v>
      </c>
      <c r="X105" s="274">
        <v>0</v>
      </c>
      <c r="Y105" s="275">
        <f t="shared" si="8"/>
        <v>1275</v>
      </c>
      <c r="Z105" s="276"/>
      <c r="AA105" s="276"/>
      <c r="AB105" s="276"/>
      <c r="AC105" s="272">
        <f>Y105*(1+'2. GRI Pricing Inputs'!$D$114)^(($AC$16-$AB$15)/365)</f>
        <v>1279.2542012879444</v>
      </c>
      <c r="AD105" s="273">
        <f>AC105*(1+'2. GRI Pricing Inputs'!$D$114)^((AD$16-AC$16)/365)</f>
        <v>1283.3846850264747</v>
      </c>
      <c r="AE105" s="273">
        <f>AD105*(1+'2. GRI Pricing Inputs'!$D$114)^((AE$16-AD$16)/365)</f>
        <v>1287.6668628931161</v>
      </c>
      <c r="AF105" s="273">
        <f>AE105*(1+'2. GRI Pricing Inputs'!$D$114)^((AF$16-AE$16)/365)</f>
        <v>1291.9633287963029</v>
      </c>
      <c r="AG105" s="273">
        <f>AF105*(1+'2. GRI Pricing Inputs'!$D$114)^((AG$16-AF$16)/365)</f>
        <v>1295.9955806390508</v>
      </c>
      <c r="AH105" s="273">
        <f>AG105*(1+'2. GRI Pricing Inputs'!$D$114)^((AH$16-AG$16)/365)</f>
        <v>1300.3198363789136</v>
      </c>
      <c r="AI105" s="273">
        <f>AH105*(1+'2. GRI Pricing Inputs'!$D$114)^((AI$16-AH$16)/365)</f>
        <v>1304.5183372973738</v>
      </c>
      <c r="AJ105" s="273">
        <f>AI105*(1+'2. GRI Pricing Inputs'!$D$114)^((AJ$16-AI$16)/365)</f>
        <v>1308.87103030967</v>
      </c>
      <c r="AK105" s="273">
        <f>AJ105*(1+'2. GRI Pricing Inputs'!$D$114)^((AK$16-AJ$16)/365)</f>
        <v>1313.0971415087456</v>
      </c>
      <c r="AL105" s="273">
        <f>AK105*(1+'2. GRI Pricing Inputs'!$D$114)^((AL$16-AK$16)/365)</f>
        <v>1317.478458803336</v>
      </c>
      <c r="AM105" s="273">
        <f>AL105*(1+'2. GRI Pricing Inputs'!$D$114)^((AM$16-AL$16)/365)</f>
        <v>1321.8743949259087</v>
      </c>
      <c r="AN105" s="273">
        <f>AM105*(1+'2. GRI Pricing Inputs'!$D$114)^((AN$16-AM$16)/365)</f>
        <v>1326.1424916709684</v>
      </c>
      <c r="AO105" s="273">
        <f>AN105*(1+'2. GRI Pricing Inputs'!$D$114)^((AO$16-AN$16)/365)</f>
        <v>1330.5673364521954</v>
      </c>
    </row>
    <row r="106" spans="3:41" ht="12" x14ac:dyDescent="0.2">
      <c r="C106" s="76" t="str">
        <f>'1. Accomodation'!N110</f>
        <v>610N</v>
      </c>
      <c r="D106" s="69" t="str">
        <f>'1. Accomodation'!P110</f>
        <v>2 Bed</v>
      </c>
      <c r="E106" s="69">
        <f>'1. Accomodation'!Q110</f>
        <v>2</v>
      </c>
      <c r="F106" s="77">
        <f>'1. Accomodation'!O110</f>
        <v>700</v>
      </c>
      <c r="G106" s="69">
        <f>'1. Accomodation'!R110</f>
        <v>6</v>
      </c>
      <c r="H106" s="69" t="str">
        <f>'1. Accomodation'!S110</f>
        <v>Forth Banks - Partial</v>
      </c>
      <c r="I106" s="62"/>
      <c r="K106" s="272">
        <f>IFERROR(INDEX('2. GRI Pricing Inputs'!$C$15:$AI$16,MATCH($K$16,'2. GRI Pricing Inputs'!$C$15:$C$16,0),MATCH(D106,'2. GRI Pricing Inputs'!$C$15:$AI$15,0)),0)</f>
        <v>1110</v>
      </c>
      <c r="L106" s="273">
        <f>IFERROR(INDEX('2. GRI Pricing Inputs'!$C$22:$AI$23,MATCH($L$16,'2. GRI Pricing Inputs'!$C$22:$C$23,0),MATCH(E106,'2. GRI Pricing Inputs'!$C$22:$AI$22,0)),0)</f>
        <v>0</v>
      </c>
      <c r="M106" s="328">
        <f>IF(AND('3. GRI Pricing'!$F106&gt;='2. GRI Pricing Inputs'!$D$33,'3. GRI Pricing'!$F106&lt;='2. GRI Pricing Inputs'!$E$33),'2. GRI Pricing Inputs'!$D$32,IF(AND('3. GRI Pricing'!$F106&gt;='2. GRI Pricing Inputs'!$F$33,'3. GRI Pricing'!$F106&lt;='2. GRI Pricing Inputs'!$G$33),'2. GRI Pricing Inputs'!$F$32,IF(AND('3. GRI Pricing'!$F106&gt;='2. GRI Pricing Inputs'!$H$33,'3. GRI Pricing'!$F106&lt;='2. GRI Pricing Inputs'!$I$33),'2. GRI Pricing Inputs'!$H$32,IF(AND('3. GRI Pricing'!$F106&gt;='2. GRI Pricing Inputs'!$J$33,'3. GRI Pricing'!$F106&lt;='2. GRI Pricing Inputs'!$K$33),'2. GRI Pricing Inputs'!$J$32,IF(AND('3. GRI Pricing'!$F106&gt;='2. GRI Pricing Inputs'!$L$33,'3. GRI Pricing'!$F106&lt;='2. GRI Pricing Inputs'!$M$33),'2. GRI Pricing Inputs'!$L$32,IF(AND('3. GRI Pricing'!$F106&gt;='2. GRI Pricing Inputs'!$N$33,'3. GRI Pricing'!$F106&lt;='2. GRI Pricing Inputs'!$O$33),'2. GRI Pricing Inputs'!$N$32,IF(AND('3. GRI Pricing'!$F106&gt;='2. GRI Pricing Inputs'!$P$33,'3. GRI Pricing'!$F106&lt;='2. GRI Pricing Inputs'!$Q$33),'2. GRI Pricing Inputs'!$P$32,IF(AND('3. GRI Pricing'!$F106&gt;='2. GRI Pricing Inputs'!$R$33,'3. GRI Pricing'!$F106&lt;='2. GRI Pricing Inputs'!$S$33),'2. GRI Pricing Inputs'!$R$32,IF(AND('3. GRI Pricing'!$F106&gt;='2. GRI Pricing Inputs'!$T$33,'3. GRI Pricing'!$F106&lt;='2. GRI Pricing Inputs'!$U$33),'2. GRI Pricing Inputs'!$T$32,IF(AND('3. GRI Pricing'!$F106&gt;='2. GRI Pricing Inputs'!$V$33,'3. GRI Pricing'!$F106&lt;='2. GRI Pricing Inputs'!$W$33),'2. GRI Pricing Inputs'!$V$32,IF(AND('3. GRI Pricing'!$F106&gt;='2. GRI Pricing Inputs'!$X$33,'3. GRI Pricing'!$F106&lt;='2. GRI Pricing Inputs'!$Y$33),'2. GRI Pricing Inputs'!$X$32,IF(AND('3. GRI Pricing'!$F106&gt;='2. GRI Pricing Inputs'!$Z$33,'3. GRI Pricing'!$F106&lt;='2. GRI Pricing Inputs'!$AA$33),'2. GRI Pricing Inputs'!$Z$32,IF(AND('3. GRI Pricing'!$F106&gt;='2. GRI Pricing Inputs'!$AB$33,'3. GRI Pricing'!$F106&lt;='2. GRI Pricing Inputs'!$AC$33),'2. GRI Pricing Inputs'!$AB$32,IF(AND('3. GRI Pricing'!$F106&gt;='2. GRI Pricing Inputs'!$AD$33,'3. GRI Pricing'!$F106&lt;='2. GRI Pricing Inputs'!$AE$33),'2. GRI Pricing Inputs'!$AD$32,IF(AND('3. GRI Pricing'!$F106&gt;='2. GRI Pricing Inputs'!$AF$33,'3. GRI Pricing'!$F106&lt;='2. GRI Pricing Inputs'!$AG$33),'2. GRI Pricing Inputs'!$AF$32,IF(AND('3. GRI Pricing'!$F106&gt;='2. GRI Pricing Inputs'!$AH$33,'3. GRI Pricing'!$F106&lt;='2. GRI Pricing Inputs'!$AI$33),'2. GRI Pricing Inputs'!$AH$32,0))))))))))))))))</f>
        <v>12</v>
      </c>
      <c r="N106" s="273" cm="1">
        <f t="array" ref="N106">IFERROR(INDEX('2. GRI Pricing Inputs'!$C$32:$AI$39,MATCH('3. GRI Pricing'!D106,'2. GRI Pricing Inputs'!$C$32:$C$39,0),(MATCH('3. GRI Pricing'!M106,'2. GRI Pricing Inputs'!$D$32:$AI$32,0)+1)),0)</f>
        <v>70</v>
      </c>
      <c r="O106" s="273">
        <f>IFERROR(INDEX('2. GRI Pricing Inputs'!$C$45:$AI$46,MATCH($O$16,'2. GRI Pricing Inputs'!$C$45:$C$46,0),MATCH(G106,'2. GRI Pricing Inputs'!$C$45:$AI$45,0)),0)</f>
        <v>80</v>
      </c>
      <c r="P106" s="273">
        <f>IFERROR(INDEX('2. GRI Pricing Inputs'!$C$53:$AI$54,MATCH('3. GRI Pricing'!$P$16,'2. GRI Pricing Inputs'!$C$53:$C$54,0),MATCH('3. GRI Pricing'!H106,'2. GRI Pricing Inputs'!$C$53:$AI$53,0)),0)</f>
        <v>40</v>
      </c>
      <c r="Q106" s="273">
        <f>IFERROR(INDEX('2. GRI Pricing Inputs'!$C$60:$AI$61,MATCH('3. GRI Pricing'!$Q$16,'2. GRI Pricing Inputs'!$C$60:$C$61,0),MATCH('1. Accomodation'!T110,'2. GRI Pricing Inputs'!$C$60:$AI$60,0)),0)</f>
        <v>0</v>
      </c>
      <c r="R106" s="273">
        <f>IFERROR(INDEX('2. GRI Pricing Inputs'!$C$67:$AI$68,MATCH('3. GRI Pricing'!$R$16,'2. GRI Pricing Inputs'!$C$67:$C$68,0),MATCH('1. Accomodation'!U110,'2. GRI Pricing Inputs'!$C$67:$AI$67,0)),0)</f>
        <v>0</v>
      </c>
      <c r="S106" s="273">
        <f>IF(D106=0,0,'2. GRI Pricing Inputs'!$AI$75)</f>
        <v>70</v>
      </c>
      <c r="T106" s="273">
        <f>IFERROR(INDEX('2. GRI Pricing Inputs'!$C$82:$AI$83,MATCH('3. GRI Pricing'!$T$16,'2. GRI Pricing Inputs'!$C$82:$C$83,0),MATCH('1. Accomodation'!V110,'2. GRI Pricing Inputs'!$C$82:$AI$82,0)),0)</f>
        <v>-50</v>
      </c>
      <c r="U106" s="273">
        <f>IFERROR(INDEX('2. GRI Pricing Inputs'!$C$89:$AI$90,MATCH('3. GRI Pricing'!$U$16,'2. GRI Pricing Inputs'!$C$89:$C$90,0),MATCH('1. Accomodation'!W110,'2. GRI Pricing Inputs'!$C$89:$AI$89,0)),0)</f>
        <v>0</v>
      </c>
      <c r="V106" s="273">
        <f>IFERROR(INDEX('2. GRI Pricing Inputs'!$C$97:$AI$98,MATCH('3. GRI Pricing'!$V$16,'2. GRI Pricing Inputs'!$C$97:$C$98,0),MATCH('1. Accomodation'!X110,'2. GRI Pricing Inputs'!$C$97:$AI$97,0)),0)</f>
        <v>0</v>
      </c>
      <c r="W106" s="273">
        <f>IFERROR(INDEX('2. GRI Pricing Inputs'!$C$104:$AI$105,MATCH('3. GRI Pricing'!$W$16,'2. GRI Pricing Inputs'!$C$104:$C$105,0),MATCH('1. Accomodation'!Y110,'2. GRI Pricing Inputs'!$C$104:$AI$104,0)),0)</f>
        <v>0</v>
      </c>
      <c r="X106" s="274">
        <v>0</v>
      </c>
      <c r="Y106" s="275">
        <f t="shared" si="8"/>
        <v>1320</v>
      </c>
      <c r="Z106" s="276"/>
      <c r="AA106" s="276"/>
      <c r="AB106" s="276"/>
      <c r="AC106" s="272">
        <f>Y106*(1+'2. GRI Pricing Inputs'!$D$114)^(($AC$16-$AB$15)/365)</f>
        <v>1324.4043495686954</v>
      </c>
      <c r="AD106" s="273">
        <f>AC106*(1+'2. GRI Pricing Inputs'!$D$114)^((AD$16-AC$16)/365)</f>
        <v>1328.6806150862326</v>
      </c>
      <c r="AE106" s="273">
        <f>AD106*(1+'2. GRI Pricing Inputs'!$D$114)^((AE$16-AD$16)/365)</f>
        <v>1333.1139286422849</v>
      </c>
      <c r="AF106" s="273">
        <f>AE106*(1+'2. GRI Pricing Inputs'!$D$114)^((AF$16-AE$16)/365)</f>
        <v>1337.5620345185255</v>
      </c>
      <c r="AG106" s="273">
        <f>AF106*(1+'2. GRI Pricing Inputs'!$D$114)^((AG$16-AF$16)/365)</f>
        <v>1341.7366011321938</v>
      </c>
      <c r="AH106" s="273">
        <f>AG106*(1+'2. GRI Pricing Inputs'!$D$114)^((AH$16-AG$16)/365)</f>
        <v>1346.2134776628752</v>
      </c>
      <c r="AI106" s="273">
        <f>AH106*(1+'2. GRI Pricing Inputs'!$D$114)^((AI$16-AH$16)/365)</f>
        <v>1350.5601609666928</v>
      </c>
      <c r="AJ106" s="273">
        <f>AI106*(1+'2. GRI Pricing Inputs'!$D$114)^((AJ$16-AI$16)/365)</f>
        <v>1355.0664784382466</v>
      </c>
      <c r="AK106" s="273">
        <f>AJ106*(1+'2. GRI Pricing Inputs'!$D$114)^((AK$16-AJ$16)/365)</f>
        <v>1359.441746503172</v>
      </c>
      <c r="AL106" s="273">
        <f>AK106*(1+'2. GRI Pricing Inputs'!$D$114)^((AL$16-AK$16)/365)</f>
        <v>1363.9776985258068</v>
      </c>
      <c r="AM106" s="273">
        <f>AL106*(1+'2. GRI Pricing Inputs'!$D$114)^((AM$16-AL$16)/365)</f>
        <v>1368.5287853350585</v>
      </c>
      <c r="AN106" s="273">
        <f>AM106*(1+'2. GRI Pricing Inputs'!$D$114)^((AN$16-AM$16)/365)</f>
        <v>1372.9475207887674</v>
      </c>
      <c r="AO106" s="273">
        <f>AN106*(1+'2. GRI Pricing Inputs'!$D$114)^((AO$16-AN$16)/365)</f>
        <v>1377.5285365622731</v>
      </c>
    </row>
    <row r="107" spans="3:41" ht="12" x14ac:dyDescent="0.2">
      <c r="C107" s="76" t="str">
        <f>'1. Accomodation'!N111</f>
        <v>611N</v>
      </c>
      <c r="D107" s="69" t="str">
        <f>'1. Accomodation'!P111</f>
        <v>2 Bed</v>
      </c>
      <c r="E107" s="69">
        <f>'1. Accomodation'!Q111</f>
        <v>2</v>
      </c>
      <c r="F107" s="77">
        <f>'1. Accomodation'!O111</f>
        <v>689</v>
      </c>
      <c r="G107" s="69">
        <f>'1. Accomodation'!R111</f>
        <v>6</v>
      </c>
      <c r="H107" s="69" t="str">
        <f>'1. Accomodation'!S111</f>
        <v>Courtyard - dual</v>
      </c>
      <c r="I107" s="62"/>
      <c r="K107" s="272">
        <f>IFERROR(INDEX('2. GRI Pricing Inputs'!$C$15:$AI$16,MATCH($K$16,'2. GRI Pricing Inputs'!$C$15:$C$16,0),MATCH(D107,'2. GRI Pricing Inputs'!$C$15:$AI$15,0)),0)</f>
        <v>1110</v>
      </c>
      <c r="L107" s="273">
        <f>IFERROR(INDEX('2. GRI Pricing Inputs'!$C$22:$AI$23,MATCH($L$16,'2. GRI Pricing Inputs'!$C$22:$C$23,0),MATCH(E107,'2. GRI Pricing Inputs'!$C$22:$AI$22,0)),0)</f>
        <v>0</v>
      </c>
      <c r="M107" s="328">
        <f>IF(AND('3. GRI Pricing'!$F107&gt;='2. GRI Pricing Inputs'!$D$33,'3. GRI Pricing'!$F107&lt;='2. GRI Pricing Inputs'!$E$33),'2. GRI Pricing Inputs'!$D$32,IF(AND('3. GRI Pricing'!$F107&gt;='2. GRI Pricing Inputs'!$F$33,'3. GRI Pricing'!$F107&lt;='2. GRI Pricing Inputs'!$G$33),'2. GRI Pricing Inputs'!$F$32,IF(AND('3. GRI Pricing'!$F107&gt;='2. GRI Pricing Inputs'!$H$33,'3. GRI Pricing'!$F107&lt;='2. GRI Pricing Inputs'!$I$33),'2. GRI Pricing Inputs'!$H$32,IF(AND('3. GRI Pricing'!$F107&gt;='2. GRI Pricing Inputs'!$J$33,'3. GRI Pricing'!$F107&lt;='2. GRI Pricing Inputs'!$K$33),'2. GRI Pricing Inputs'!$J$32,IF(AND('3. GRI Pricing'!$F107&gt;='2. GRI Pricing Inputs'!$L$33,'3. GRI Pricing'!$F107&lt;='2. GRI Pricing Inputs'!$M$33),'2. GRI Pricing Inputs'!$L$32,IF(AND('3. GRI Pricing'!$F107&gt;='2. GRI Pricing Inputs'!$N$33,'3. GRI Pricing'!$F107&lt;='2. GRI Pricing Inputs'!$O$33),'2. GRI Pricing Inputs'!$N$32,IF(AND('3. GRI Pricing'!$F107&gt;='2. GRI Pricing Inputs'!$P$33,'3. GRI Pricing'!$F107&lt;='2. GRI Pricing Inputs'!$Q$33),'2. GRI Pricing Inputs'!$P$32,IF(AND('3. GRI Pricing'!$F107&gt;='2. GRI Pricing Inputs'!$R$33,'3. GRI Pricing'!$F107&lt;='2. GRI Pricing Inputs'!$S$33),'2. GRI Pricing Inputs'!$R$32,IF(AND('3. GRI Pricing'!$F107&gt;='2. GRI Pricing Inputs'!$T$33,'3. GRI Pricing'!$F107&lt;='2. GRI Pricing Inputs'!$U$33),'2. GRI Pricing Inputs'!$T$32,IF(AND('3. GRI Pricing'!$F107&gt;='2. GRI Pricing Inputs'!$V$33,'3. GRI Pricing'!$F107&lt;='2. GRI Pricing Inputs'!$W$33),'2. GRI Pricing Inputs'!$V$32,IF(AND('3. GRI Pricing'!$F107&gt;='2. GRI Pricing Inputs'!$X$33,'3. GRI Pricing'!$F107&lt;='2. GRI Pricing Inputs'!$Y$33),'2. GRI Pricing Inputs'!$X$32,IF(AND('3. GRI Pricing'!$F107&gt;='2. GRI Pricing Inputs'!$Z$33,'3. GRI Pricing'!$F107&lt;='2. GRI Pricing Inputs'!$AA$33),'2. GRI Pricing Inputs'!$Z$32,IF(AND('3. GRI Pricing'!$F107&gt;='2. GRI Pricing Inputs'!$AB$33,'3. GRI Pricing'!$F107&lt;='2. GRI Pricing Inputs'!$AC$33),'2. GRI Pricing Inputs'!$AB$32,IF(AND('3. GRI Pricing'!$F107&gt;='2. GRI Pricing Inputs'!$AD$33,'3. GRI Pricing'!$F107&lt;='2. GRI Pricing Inputs'!$AE$33),'2. GRI Pricing Inputs'!$AD$32,IF(AND('3. GRI Pricing'!$F107&gt;='2. GRI Pricing Inputs'!$AF$33,'3. GRI Pricing'!$F107&lt;='2. GRI Pricing Inputs'!$AG$33),'2. GRI Pricing Inputs'!$AF$32,IF(AND('3. GRI Pricing'!$F107&gt;='2. GRI Pricing Inputs'!$AH$33,'3. GRI Pricing'!$F107&lt;='2. GRI Pricing Inputs'!$AI$33),'2. GRI Pricing Inputs'!$AH$32,0))))))))))))))))</f>
        <v>11</v>
      </c>
      <c r="N107" s="273" cm="1">
        <f t="array" ref="N107">IFERROR(INDEX('2. GRI Pricing Inputs'!$C$32:$AI$39,MATCH('3. GRI Pricing'!D107,'2. GRI Pricing Inputs'!$C$32:$C$39,0),(MATCH('3. GRI Pricing'!M107,'2. GRI Pricing Inputs'!$D$32:$AI$32,0)+1)),0)</f>
        <v>65</v>
      </c>
      <c r="O107" s="273">
        <f>IFERROR(INDEX('2. GRI Pricing Inputs'!$C$45:$AI$46,MATCH($O$16,'2. GRI Pricing Inputs'!$C$45:$C$46,0),MATCH(G107,'2. GRI Pricing Inputs'!$C$45:$AI$45,0)),0)</f>
        <v>80</v>
      </c>
      <c r="P107" s="273">
        <f>IFERROR(INDEX('2. GRI Pricing Inputs'!$C$53:$AI$54,MATCH('3. GRI Pricing'!$P$16,'2. GRI Pricing Inputs'!$C$53:$C$54,0),MATCH('3. GRI Pricing'!H107,'2. GRI Pricing Inputs'!$C$53:$AI$53,0)),0)</f>
        <v>55</v>
      </c>
      <c r="Q107" s="273">
        <f>IFERROR(INDEX('2. GRI Pricing Inputs'!$C$60:$AI$61,MATCH('3. GRI Pricing'!$Q$16,'2. GRI Pricing Inputs'!$C$60:$C$61,0),MATCH('1. Accomodation'!T111,'2. GRI Pricing Inputs'!$C$60:$AI$60,0)),0)</f>
        <v>0</v>
      </c>
      <c r="R107" s="273">
        <f>IFERROR(INDEX('2. GRI Pricing Inputs'!$C$67:$AI$68,MATCH('3. GRI Pricing'!$R$16,'2. GRI Pricing Inputs'!$C$67:$C$68,0),MATCH('1. Accomodation'!U111,'2. GRI Pricing Inputs'!$C$67:$AI$67,0)),0)</f>
        <v>0</v>
      </c>
      <c r="S107" s="273">
        <f>IF(D107=0,0,'2. GRI Pricing Inputs'!$AI$75)</f>
        <v>70</v>
      </c>
      <c r="T107" s="273">
        <f>IFERROR(INDEX('2. GRI Pricing Inputs'!$C$82:$AI$83,MATCH('3. GRI Pricing'!$T$16,'2. GRI Pricing Inputs'!$C$82:$C$83,0),MATCH('1. Accomodation'!V111,'2. GRI Pricing Inputs'!$C$82:$AI$82,0)),0)</f>
        <v>-50</v>
      </c>
      <c r="U107" s="273">
        <f>IFERROR(INDEX('2. GRI Pricing Inputs'!$C$89:$AI$90,MATCH('3. GRI Pricing'!$U$16,'2. GRI Pricing Inputs'!$C$89:$C$90,0),MATCH('1. Accomodation'!W111,'2. GRI Pricing Inputs'!$C$89:$AI$89,0)),0)</f>
        <v>0</v>
      </c>
      <c r="V107" s="273">
        <f>IFERROR(INDEX('2. GRI Pricing Inputs'!$C$97:$AI$98,MATCH('3. GRI Pricing'!$V$16,'2. GRI Pricing Inputs'!$C$97:$C$98,0),MATCH('1. Accomodation'!X111,'2. GRI Pricing Inputs'!$C$97:$AI$97,0)),0)</f>
        <v>0</v>
      </c>
      <c r="W107" s="273">
        <f>IFERROR(INDEX('2. GRI Pricing Inputs'!$C$104:$AI$105,MATCH('3. GRI Pricing'!$W$16,'2. GRI Pricing Inputs'!$C$104:$C$105,0),MATCH('1. Accomodation'!Y111,'2. GRI Pricing Inputs'!$C$104:$AI$104,0)),0)</f>
        <v>0</v>
      </c>
      <c r="X107" s="274">
        <v>0</v>
      </c>
      <c r="Y107" s="275">
        <f t="shared" si="8"/>
        <v>1330</v>
      </c>
      <c r="Z107" s="276"/>
      <c r="AA107" s="276"/>
      <c r="AB107" s="276"/>
      <c r="AC107" s="272">
        <f>Y107*(1+'2. GRI Pricing Inputs'!$D$114)^(($AC$16-$AB$15)/365)</f>
        <v>1334.4377158533068</v>
      </c>
      <c r="AD107" s="273">
        <f>AC107*(1+'2. GRI Pricing Inputs'!$D$114)^((AD$16-AC$16)/365)</f>
        <v>1338.7463773217346</v>
      </c>
      <c r="AE107" s="273">
        <f>AD107*(1+'2. GRI Pricing Inputs'!$D$114)^((AE$16-AD$16)/365)</f>
        <v>1343.2132765865449</v>
      </c>
      <c r="AF107" s="273">
        <f>AE107*(1+'2. GRI Pricing Inputs'!$D$114)^((AF$16-AE$16)/365)</f>
        <v>1347.6950802345752</v>
      </c>
      <c r="AG107" s="273">
        <f>AF107*(1+'2. GRI Pricing Inputs'!$D$114)^((AG$16-AF$16)/365)</f>
        <v>1351.9012723528926</v>
      </c>
      <c r="AH107" s="273">
        <f>AG107*(1+'2. GRI Pricing Inputs'!$D$114)^((AH$16-AG$16)/365)</f>
        <v>1356.4120646148672</v>
      </c>
      <c r="AI107" s="273">
        <f>AH107*(1+'2. GRI Pricing Inputs'!$D$114)^((AI$16-AH$16)/365)</f>
        <v>1360.791677337653</v>
      </c>
      <c r="AJ107" s="273">
        <f>AI107*(1+'2. GRI Pricing Inputs'!$D$114)^((AJ$16-AI$16)/365)</f>
        <v>1365.3321335779306</v>
      </c>
      <c r="AK107" s="273">
        <f>AJ107*(1+'2. GRI Pricing Inputs'!$D$114)^((AK$16-AJ$16)/365)</f>
        <v>1369.7405476130448</v>
      </c>
      <c r="AL107" s="273">
        <f>AK107*(1+'2. GRI Pricing Inputs'!$D$114)^((AL$16-AK$16)/365)</f>
        <v>1374.3108629085782</v>
      </c>
      <c r="AM107" s="273">
        <f>AL107*(1+'2. GRI Pricing Inputs'!$D$114)^((AM$16-AL$16)/365)</f>
        <v>1378.8964276482031</v>
      </c>
      <c r="AN107" s="273">
        <f>AM107*(1+'2. GRI Pricing Inputs'!$D$114)^((AN$16-AM$16)/365)</f>
        <v>1383.3486383705008</v>
      </c>
      <c r="AO107" s="273">
        <f>AN107*(1+'2. GRI Pricing Inputs'!$D$114)^((AO$16-AN$16)/365)</f>
        <v>1387.9643588089573</v>
      </c>
    </row>
    <row r="108" spans="3:41" ht="12" x14ac:dyDescent="0.2">
      <c r="C108" s="76" t="str">
        <f>'1. Accomodation'!N112</f>
        <v>612N</v>
      </c>
      <c r="D108" s="69" t="str">
        <f>'1. Accomodation'!P112</f>
        <v>1 Bed</v>
      </c>
      <c r="E108" s="69">
        <f>'1. Accomodation'!Q112</f>
        <v>1</v>
      </c>
      <c r="F108" s="77">
        <f>'1. Accomodation'!O112</f>
        <v>517</v>
      </c>
      <c r="G108" s="69">
        <f>'1. Accomodation'!R112</f>
        <v>6</v>
      </c>
      <c r="H108" s="69" t="str">
        <f>'1. Accomodation'!S112</f>
        <v>Courtyard - dual</v>
      </c>
      <c r="I108" s="62"/>
      <c r="K108" s="272">
        <f>IFERROR(INDEX('2. GRI Pricing Inputs'!$C$15:$AI$16,MATCH($K$16,'2. GRI Pricing Inputs'!$C$15:$C$16,0),MATCH(D108,'2. GRI Pricing Inputs'!$C$15:$AI$15,0)),0)</f>
        <v>845</v>
      </c>
      <c r="L108" s="273">
        <f>IFERROR(INDEX('2. GRI Pricing Inputs'!$C$22:$AI$23,MATCH($L$16,'2. GRI Pricing Inputs'!$C$22:$C$23,0),MATCH(E108,'2. GRI Pricing Inputs'!$C$22:$AI$22,0)),0)</f>
        <v>0</v>
      </c>
      <c r="M108" s="328">
        <f>IF(AND('3. GRI Pricing'!$F108&gt;='2. GRI Pricing Inputs'!$D$33,'3. GRI Pricing'!$F108&lt;='2. GRI Pricing Inputs'!$E$33),'2. GRI Pricing Inputs'!$D$32,IF(AND('3. GRI Pricing'!$F108&gt;='2. GRI Pricing Inputs'!$F$33,'3. GRI Pricing'!$F108&lt;='2. GRI Pricing Inputs'!$G$33),'2. GRI Pricing Inputs'!$F$32,IF(AND('3. GRI Pricing'!$F108&gt;='2. GRI Pricing Inputs'!$H$33,'3. GRI Pricing'!$F108&lt;='2. GRI Pricing Inputs'!$I$33),'2. GRI Pricing Inputs'!$H$32,IF(AND('3. GRI Pricing'!$F108&gt;='2. GRI Pricing Inputs'!$J$33,'3. GRI Pricing'!$F108&lt;='2. GRI Pricing Inputs'!$K$33),'2. GRI Pricing Inputs'!$J$32,IF(AND('3. GRI Pricing'!$F108&gt;='2. GRI Pricing Inputs'!$L$33,'3. GRI Pricing'!$F108&lt;='2. GRI Pricing Inputs'!$M$33),'2. GRI Pricing Inputs'!$L$32,IF(AND('3. GRI Pricing'!$F108&gt;='2. GRI Pricing Inputs'!$N$33,'3. GRI Pricing'!$F108&lt;='2. GRI Pricing Inputs'!$O$33),'2. GRI Pricing Inputs'!$N$32,IF(AND('3. GRI Pricing'!$F108&gt;='2. GRI Pricing Inputs'!$P$33,'3. GRI Pricing'!$F108&lt;='2. GRI Pricing Inputs'!$Q$33),'2. GRI Pricing Inputs'!$P$32,IF(AND('3. GRI Pricing'!$F108&gt;='2. GRI Pricing Inputs'!$R$33,'3. GRI Pricing'!$F108&lt;='2. GRI Pricing Inputs'!$S$33),'2. GRI Pricing Inputs'!$R$32,IF(AND('3. GRI Pricing'!$F108&gt;='2. GRI Pricing Inputs'!$T$33,'3. GRI Pricing'!$F108&lt;='2. GRI Pricing Inputs'!$U$33),'2. GRI Pricing Inputs'!$T$32,IF(AND('3. GRI Pricing'!$F108&gt;='2. GRI Pricing Inputs'!$V$33,'3. GRI Pricing'!$F108&lt;='2. GRI Pricing Inputs'!$W$33),'2. GRI Pricing Inputs'!$V$32,IF(AND('3. GRI Pricing'!$F108&gt;='2. GRI Pricing Inputs'!$X$33,'3. GRI Pricing'!$F108&lt;='2. GRI Pricing Inputs'!$Y$33),'2. GRI Pricing Inputs'!$X$32,IF(AND('3. GRI Pricing'!$F108&gt;='2. GRI Pricing Inputs'!$Z$33,'3. GRI Pricing'!$F108&lt;='2. GRI Pricing Inputs'!$AA$33),'2. GRI Pricing Inputs'!$Z$32,IF(AND('3. GRI Pricing'!$F108&gt;='2. GRI Pricing Inputs'!$AB$33,'3. GRI Pricing'!$F108&lt;='2. GRI Pricing Inputs'!$AC$33),'2. GRI Pricing Inputs'!$AB$32,IF(AND('3. GRI Pricing'!$F108&gt;='2. GRI Pricing Inputs'!$AD$33,'3. GRI Pricing'!$F108&lt;='2. GRI Pricing Inputs'!$AE$33),'2. GRI Pricing Inputs'!$AD$32,IF(AND('3. GRI Pricing'!$F108&gt;='2. GRI Pricing Inputs'!$AF$33,'3. GRI Pricing'!$F108&lt;='2. GRI Pricing Inputs'!$AG$33),'2. GRI Pricing Inputs'!$AF$32,IF(AND('3. GRI Pricing'!$F108&gt;='2. GRI Pricing Inputs'!$AH$33,'3. GRI Pricing'!$F108&lt;='2. GRI Pricing Inputs'!$AI$33),'2. GRI Pricing Inputs'!$AH$32,0))))))))))))))))</f>
        <v>3</v>
      </c>
      <c r="N108" s="273" cm="1">
        <f t="array" ref="N108">IFERROR(INDEX('2. GRI Pricing Inputs'!$C$32:$AI$39,MATCH('3. GRI Pricing'!D108,'2. GRI Pricing Inputs'!$C$32:$C$39,0),(MATCH('3. GRI Pricing'!M108,'2. GRI Pricing Inputs'!$D$32:$AI$32,0)+1)),0)</f>
        <v>20</v>
      </c>
      <c r="O108" s="273">
        <f>IFERROR(INDEX('2. GRI Pricing Inputs'!$C$45:$AI$46,MATCH($O$16,'2. GRI Pricing Inputs'!$C$45:$C$46,0),MATCH(G108,'2. GRI Pricing Inputs'!$C$45:$AI$45,0)),0)</f>
        <v>80</v>
      </c>
      <c r="P108" s="273">
        <f>IFERROR(INDEX('2. GRI Pricing Inputs'!$C$53:$AI$54,MATCH('3. GRI Pricing'!$P$16,'2. GRI Pricing Inputs'!$C$53:$C$54,0),MATCH('3. GRI Pricing'!H108,'2. GRI Pricing Inputs'!$C$53:$AI$53,0)),0)</f>
        <v>55</v>
      </c>
      <c r="Q108" s="273">
        <f>IFERROR(INDEX('2. GRI Pricing Inputs'!$C$60:$AI$61,MATCH('3. GRI Pricing'!$Q$16,'2. GRI Pricing Inputs'!$C$60:$C$61,0),MATCH('1. Accomodation'!T112,'2. GRI Pricing Inputs'!$C$60:$AI$60,0)),0)</f>
        <v>0</v>
      </c>
      <c r="R108" s="273">
        <f>IFERROR(INDEX('2. GRI Pricing Inputs'!$C$67:$AI$68,MATCH('3. GRI Pricing'!$R$16,'2. GRI Pricing Inputs'!$C$67:$C$68,0),MATCH('1. Accomodation'!U112,'2. GRI Pricing Inputs'!$C$67:$AI$67,0)),0)</f>
        <v>0</v>
      </c>
      <c r="S108" s="273">
        <f>IF(D108=0,0,'2. GRI Pricing Inputs'!$AI$75)</f>
        <v>70</v>
      </c>
      <c r="T108" s="273">
        <f>IFERROR(INDEX('2. GRI Pricing Inputs'!$C$82:$AI$83,MATCH('3. GRI Pricing'!$T$16,'2. GRI Pricing Inputs'!$C$82:$C$83,0),MATCH('1. Accomodation'!V112,'2. GRI Pricing Inputs'!$C$82:$AI$82,0)),0)</f>
        <v>-50</v>
      </c>
      <c r="U108" s="273">
        <f>IFERROR(INDEX('2. GRI Pricing Inputs'!$C$89:$AI$90,MATCH('3. GRI Pricing'!$U$16,'2. GRI Pricing Inputs'!$C$89:$C$90,0),MATCH('1. Accomodation'!W112,'2. GRI Pricing Inputs'!$C$89:$AI$89,0)),0)</f>
        <v>0</v>
      </c>
      <c r="V108" s="273">
        <f>IFERROR(INDEX('2. GRI Pricing Inputs'!$C$97:$AI$98,MATCH('3. GRI Pricing'!$V$16,'2. GRI Pricing Inputs'!$C$97:$C$98,0),MATCH('1. Accomodation'!X112,'2. GRI Pricing Inputs'!$C$97:$AI$97,0)),0)</f>
        <v>0</v>
      </c>
      <c r="W108" s="273">
        <f>IFERROR(INDEX('2. GRI Pricing Inputs'!$C$104:$AI$105,MATCH('3. GRI Pricing'!$W$16,'2. GRI Pricing Inputs'!$C$104:$C$105,0),MATCH('1. Accomodation'!Y112,'2. GRI Pricing Inputs'!$C$104:$AI$104,0)),0)</f>
        <v>0</v>
      </c>
      <c r="X108" s="274">
        <v>0</v>
      </c>
      <c r="Y108" s="275">
        <f t="shared" si="8"/>
        <v>1020</v>
      </c>
      <c r="Z108" s="276"/>
      <c r="AA108" s="276"/>
      <c r="AB108" s="276"/>
      <c r="AC108" s="272">
        <f>Y108*(1+'2. GRI Pricing Inputs'!$D$114)^(($AC$16-$AB$15)/365)</f>
        <v>1023.4033610303555</v>
      </c>
      <c r="AD108" s="273">
        <f>AC108*(1+'2. GRI Pricing Inputs'!$D$114)^((AD$16-AC$16)/365)</f>
        <v>1026.7077480211799</v>
      </c>
      <c r="AE108" s="273">
        <f>AD108*(1+'2. GRI Pricing Inputs'!$D$114)^((AE$16-AD$16)/365)</f>
        <v>1030.133490314493</v>
      </c>
      <c r="AF108" s="273">
        <f>AE108*(1+'2. GRI Pricing Inputs'!$D$114)^((AF$16-AE$16)/365)</f>
        <v>1033.5706630370426</v>
      </c>
      <c r="AG108" s="273">
        <f>AF108*(1+'2. GRI Pricing Inputs'!$D$114)^((AG$16-AF$16)/365)</f>
        <v>1036.7964645112409</v>
      </c>
      <c r="AH108" s="273">
        <f>AG108*(1+'2. GRI Pricing Inputs'!$D$114)^((AH$16-AG$16)/365)</f>
        <v>1040.2558691031311</v>
      </c>
      <c r="AI108" s="273">
        <f>AH108*(1+'2. GRI Pricing Inputs'!$D$114)^((AI$16-AH$16)/365)</f>
        <v>1043.6146698378993</v>
      </c>
      <c r="AJ108" s="273">
        <f>AI108*(1+'2. GRI Pricing Inputs'!$D$114)^((AJ$16-AI$16)/365)</f>
        <v>1047.0968242477363</v>
      </c>
      <c r="AK108" s="273">
        <f>AJ108*(1+'2. GRI Pricing Inputs'!$D$114)^((AK$16-AJ$16)/365)</f>
        <v>1050.4777132069969</v>
      </c>
      <c r="AL108" s="273">
        <f>AK108*(1+'2. GRI Pricing Inputs'!$D$114)^((AL$16-AK$16)/365)</f>
        <v>1053.9827670426691</v>
      </c>
      <c r="AM108" s="273">
        <f>AL108*(1+'2. GRI Pricing Inputs'!$D$114)^((AM$16-AL$16)/365)</f>
        <v>1057.4995159407274</v>
      </c>
      <c r="AN108" s="273">
        <f>AM108*(1+'2. GRI Pricing Inputs'!$D$114)^((AN$16-AM$16)/365)</f>
        <v>1060.9139933367751</v>
      </c>
      <c r="AO108" s="273">
        <f>AN108*(1+'2. GRI Pricing Inputs'!$D$114)^((AO$16-AN$16)/365)</f>
        <v>1064.4538691617568</v>
      </c>
    </row>
    <row r="109" spans="3:41" ht="12" x14ac:dyDescent="0.2">
      <c r="C109" s="76" t="str">
        <f>'1. Accomodation'!N113</f>
        <v>613N</v>
      </c>
      <c r="D109" s="69" t="str">
        <f>'1. Accomodation'!P113</f>
        <v>1 Bed</v>
      </c>
      <c r="E109" s="69">
        <f>'1. Accomodation'!Q113</f>
        <v>1</v>
      </c>
      <c r="F109" s="77">
        <f>'1. Accomodation'!O113</f>
        <v>549</v>
      </c>
      <c r="G109" s="69">
        <f>'1. Accomodation'!R113</f>
        <v>6</v>
      </c>
      <c r="H109" s="69" t="str">
        <f>'1. Accomodation'!S113</f>
        <v>Courtyard</v>
      </c>
      <c r="I109" s="62"/>
      <c r="K109" s="272">
        <f>IFERROR(INDEX('2. GRI Pricing Inputs'!$C$15:$AI$16,MATCH($K$16,'2. GRI Pricing Inputs'!$C$15:$C$16,0),MATCH(D109,'2. GRI Pricing Inputs'!$C$15:$AI$15,0)),0)</f>
        <v>845</v>
      </c>
      <c r="L109" s="273">
        <f>IFERROR(INDEX('2. GRI Pricing Inputs'!$C$22:$AI$23,MATCH($L$16,'2. GRI Pricing Inputs'!$C$22:$C$23,0),MATCH(E109,'2. GRI Pricing Inputs'!$C$22:$AI$22,0)),0)</f>
        <v>0</v>
      </c>
      <c r="M109" s="328">
        <f>IF(AND('3. GRI Pricing'!$F109&gt;='2. GRI Pricing Inputs'!$D$33,'3. GRI Pricing'!$F109&lt;='2. GRI Pricing Inputs'!$E$33),'2. GRI Pricing Inputs'!$D$32,IF(AND('3. GRI Pricing'!$F109&gt;='2. GRI Pricing Inputs'!$F$33,'3. GRI Pricing'!$F109&lt;='2. GRI Pricing Inputs'!$G$33),'2. GRI Pricing Inputs'!$F$32,IF(AND('3. GRI Pricing'!$F109&gt;='2. GRI Pricing Inputs'!$H$33,'3. GRI Pricing'!$F109&lt;='2. GRI Pricing Inputs'!$I$33),'2. GRI Pricing Inputs'!$H$32,IF(AND('3. GRI Pricing'!$F109&gt;='2. GRI Pricing Inputs'!$J$33,'3. GRI Pricing'!$F109&lt;='2. GRI Pricing Inputs'!$K$33),'2. GRI Pricing Inputs'!$J$32,IF(AND('3. GRI Pricing'!$F109&gt;='2. GRI Pricing Inputs'!$L$33,'3. GRI Pricing'!$F109&lt;='2. GRI Pricing Inputs'!$M$33),'2. GRI Pricing Inputs'!$L$32,IF(AND('3. GRI Pricing'!$F109&gt;='2. GRI Pricing Inputs'!$N$33,'3. GRI Pricing'!$F109&lt;='2. GRI Pricing Inputs'!$O$33),'2. GRI Pricing Inputs'!$N$32,IF(AND('3. GRI Pricing'!$F109&gt;='2. GRI Pricing Inputs'!$P$33,'3. GRI Pricing'!$F109&lt;='2. GRI Pricing Inputs'!$Q$33),'2. GRI Pricing Inputs'!$P$32,IF(AND('3. GRI Pricing'!$F109&gt;='2. GRI Pricing Inputs'!$R$33,'3. GRI Pricing'!$F109&lt;='2. GRI Pricing Inputs'!$S$33),'2. GRI Pricing Inputs'!$R$32,IF(AND('3. GRI Pricing'!$F109&gt;='2. GRI Pricing Inputs'!$T$33,'3. GRI Pricing'!$F109&lt;='2. GRI Pricing Inputs'!$U$33),'2. GRI Pricing Inputs'!$T$32,IF(AND('3. GRI Pricing'!$F109&gt;='2. GRI Pricing Inputs'!$V$33,'3. GRI Pricing'!$F109&lt;='2. GRI Pricing Inputs'!$W$33),'2. GRI Pricing Inputs'!$V$32,IF(AND('3. GRI Pricing'!$F109&gt;='2. GRI Pricing Inputs'!$X$33,'3. GRI Pricing'!$F109&lt;='2. GRI Pricing Inputs'!$Y$33),'2. GRI Pricing Inputs'!$X$32,IF(AND('3. GRI Pricing'!$F109&gt;='2. GRI Pricing Inputs'!$Z$33,'3. GRI Pricing'!$F109&lt;='2. GRI Pricing Inputs'!$AA$33),'2. GRI Pricing Inputs'!$Z$32,IF(AND('3. GRI Pricing'!$F109&gt;='2. GRI Pricing Inputs'!$AB$33,'3. GRI Pricing'!$F109&lt;='2. GRI Pricing Inputs'!$AC$33),'2. GRI Pricing Inputs'!$AB$32,IF(AND('3. GRI Pricing'!$F109&gt;='2. GRI Pricing Inputs'!$AD$33,'3. GRI Pricing'!$F109&lt;='2. GRI Pricing Inputs'!$AE$33),'2. GRI Pricing Inputs'!$AD$32,IF(AND('3. GRI Pricing'!$F109&gt;='2. GRI Pricing Inputs'!$AF$33,'3. GRI Pricing'!$F109&lt;='2. GRI Pricing Inputs'!$AG$33),'2. GRI Pricing Inputs'!$AF$32,IF(AND('3. GRI Pricing'!$F109&gt;='2. GRI Pricing Inputs'!$AH$33,'3. GRI Pricing'!$F109&lt;='2. GRI Pricing Inputs'!$AI$33),'2. GRI Pricing Inputs'!$AH$32,0))))))))))))))))</f>
        <v>4</v>
      </c>
      <c r="N109" s="273" cm="1">
        <f t="array" ref="N109">IFERROR(INDEX('2. GRI Pricing Inputs'!$C$32:$AI$39,MATCH('3. GRI Pricing'!D109,'2. GRI Pricing Inputs'!$C$32:$C$39,0),(MATCH('3. GRI Pricing'!M109,'2. GRI Pricing Inputs'!$D$32:$AI$32,0)+1)),0)</f>
        <v>25</v>
      </c>
      <c r="O109" s="273">
        <f>IFERROR(INDEX('2. GRI Pricing Inputs'!$C$45:$AI$46,MATCH($O$16,'2. GRI Pricing Inputs'!$C$45:$C$46,0),MATCH(G109,'2. GRI Pricing Inputs'!$C$45:$AI$45,0)),0)</f>
        <v>80</v>
      </c>
      <c r="P109" s="273">
        <f>IFERROR(INDEX('2. GRI Pricing Inputs'!$C$53:$AI$54,MATCH('3. GRI Pricing'!$P$16,'2. GRI Pricing Inputs'!$C$53:$C$54,0),MATCH('3. GRI Pricing'!H109,'2. GRI Pricing Inputs'!$C$53:$AI$53,0)),0)</f>
        <v>25</v>
      </c>
      <c r="Q109" s="273">
        <f>IFERROR(INDEX('2. GRI Pricing Inputs'!$C$60:$AI$61,MATCH('3. GRI Pricing'!$Q$16,'2. GRI Pricing Inputs'!$C$60:$C$61,0),MATCH('1. Accomodation'!T113,'2. GRI Pricing Inputs'!$C$60:$AI$60,0)),0)</f>
        <v>0</v>
      </c>
      <c r="R109" s="273">
        <f>IFERROR(INDEX('2. GRI Pricing Inputs'!$C$67:$AI$68,MATCH('3. GRI Pricing'!$R$16,'2. GRI Pricing Inputs'!$C$67:$C$68,0),MATCH('1. Accomodation'!U113,'2. GRI Pricing Inputs'!$C$67:$AI$67,0)),0)</f>
        <v>0</v>
      </c>
      <c r="S109" s="273">
        <f>IF(D109=0,0,'2. GRI Pricing Inputs'!$AI$75)</f>
        <v>70</v>
      </c>
      <c r="T109" s="273">
        <f>IFERROR(INDEX('2. GRI Pricing Inputs'!$C$82:$AI$83,MATCH('3. GRI Pricing'!$T$16,'2. GRI Pricing Inputs'!$C$82:$C$83,0),MATCH('1. Accomodation'!V113,'2. GRI Pricing Inputs'!$C$82:$AI$82,0)),0)</f>
        <v>-50</v>
      </c>
      <c r="U109" s="273">
        <f>IFERROR(INDEX('2. GRI Pricing Inputs'!$C$89:$AI$90,MATCH('3. GRI Pricing'!$U$16,'2. GRI Pricing Inputs'!$C$89:$C$90,0),MATCH('1. Accomodation'!W113,'2. GRI Pricing Inputs'!$C$89:$AI$89,0)),0)</f>
        <v>0</v>
      </c>
      <c r="V109" s="273">
        <f>IFERROR(INDEX('2. GRI Pricing Inputs'!$C$97:$AI$98,MATCH('3. GRI Pricing'!$V$16,'2. GRI Pricing Inputs'!$C$97:$C$98,0),MATCH('1. Accomodation'!X113,'2. GRI Pricing Inputs'!$C$97:$AI$97,0)),0)</f>
        <v>0</v>
      </c>
      <c r="W109" s="273">
        <f>IFERROR(INDEX('2. GRI Pricing Inputs'!$C$104:$AI$105,MATCH('3. GRI Pricing'!$W$16,'2. GRI Pricing Inputs'!$C$104:$C$105,0),MATCH('1. Accomodation'!Y113,'2. GRI Pricing Inputs'!$C$104:$AI$104,0)),0)</f>
        <v>0</v>
      </c>
      <c r="X109" s="274">
        <v>0</v>
      </c>
      <c r="Y109" s="275">
        <f t="shared" si="8"/>
        <v>995</v>
      </c>
      <c r="Z109" s="276"/>
      <c r="AA109" s="276"/>
      <c r="AB109" s="276"/>
      <c r="AC109" s="272">
        <f>Y109*(1+'2. GRI Pricing Inputs'!$D$114)^(($AC$16-$AB$15)/365)</f>
        <v>998.31994531882731</v>
      </c>
      <c r="AD109" s="273">
        <f>AC109*(1+'2. GRI Pricing Inputs'!$D$114)^((AD$16-AC$16)/365)</f>
        <v>1001.5433424324254</v>
      </c>
      <c r="AE109" s="273">
        <f>AD109*(1+'2. GRI Pricing Inputs'!$D$114)^((AE$16-AD$16)/365)</f>
        <v>1004.8851204538437</v>
      </c>
      <c r="AF109" s="273">
        <f>AE109*(1+'2. GRI Pricing Inputs'!$D$114)^((AF$16-AE$16)/365)</f>
        <v>1008.2380487469189</v>
      </c>
      <c r="AG109" s="273">
        <f>AF109*(1+'2. GRI Pricing Inputs'!$D$114)^((AG$16-AF$16)/365)</f>
        <v>1011.3847864594946</v>
      </c>
      <c r="AH109" s="273">
        <f>AG109*(1+'2. GRI Pricing Inputs'!$D$114)^((AH$16-AG$16)/365)</f>
        <v>1014.7594017231522</v>
      </c>
      <c r="AI109" s="273">
        <f>AH109*(1+'2. GRI Pricing Inputs'!$D$114)^((AI$16-AH$16)/365)</f>
        <v>1018.0358789104996</v>
      </c>
      <c r="AJ109" s="273">
        <f>AI109*(1+'2. GRI Pricing Inputs'!$D$114)^((AJ$16-AI$16)/365)</f>
        <v>1021.4326863985268</v>
      </c>
      <c r="AK109" s="273">
        <f>AJ109*(1+'2. GRI Pricing Inputs'!$D$114)^((AK$16-AJ$16)/365)</f>
        <v>1024.7307104323152</v>
      </c>
      <c r="AL109" s="273">
        <f>AK109*(1+'2. GRI Pricing Inputs'!$D$114)^((AL$16-AK$16)/365)</f>
        <v>1028.1498560857406</v>
      </c>
      <c r="AM109" s="273">
        <f>AL109*(1+'2. GRI Pricing Inputs'!$D$114)^((AM$16-AL$16)/365)</f>
        <v>1031.580410157866</v>
      </c>
      <c r="AN109" s="273">
        <f>AM109*(1+'2. GRI Pricing Inputs'!$D$114)^((AN$16-AM$16)/365)</f>
        <v>1034.911199382442</v>
      </c>
      <c r="AO109" s="273">
        <f>AN109*(1+'2. GRI Pricing Inputs'!$D$114)^((AO$16-AN$16)/365)</f>
        <v>1038.3643135450466</v>
      </c>
    </row>
    <row r="110" spans="3:41" ht="12" x14ac:dyDescent="0.2">
      <c r="C110" s="76" t="str">
        <f>'1. Accomodation'!N114</f>
        <v>614N</v>
      </c>
      <c r="D110" s="69" t="str">
        <f>'1. Accomodation'!P114</f>
        <v>1 Bed</v>
      </c>
      <c r="E110" s="69">
        <f>'1. Accomodation'!Q114</f>
        <v>1</v>
      </c>
      <c r="F110" s="77">
        <f>'1. Accomodation'!O114</f>
        <v>570</v>
      </c>
      <c r="G110" s="69">
        <f>'1. Accomodation'!R114</f>
        <v>6</v>
      </c>
      <c r="H110" s="69" t="str">
        <f>'1. Accomodation'!S114</f>
        <v>Courtyard</v>
      </c>
      <c r="I110" s="62"/>
      <c r="K110" s="272">
        <f>IFERROR(INDEX('2. GRI Pricing Inputs'!$C$15:$AI$16,MATCH($K$16,'2. GRI Pricing Inputs'!$C$15:$C$16,0),MATCH(D110,'2. GRI Pricing Inputs'!$C$15:$AI$15,0)),0)</f>
        <v>845</v>
      </c>
      <c r="L110" s="273">
        <f>IFERROR(INDEX('2. GRI Pricing Inputs'!$C$22:$AI$23,MATCH($L$16,'2. GRI Pricing Inputs'!$C$22:$C$23,0),MATCH(E110,'2. GRI Pricing Inputs'!$C$22:$AI$22,0)),0)</f>
        <v>0</v>
      </c>
      <c r="M110" s="328">
        <f>IF(AND('3. GRI Pricing'!$F110&gt;='2. GRI Pricing Inputs'!$D$33,'3. GRI Pricing'!$F110&lt;='2. GRI Pricing Inputs'!$E$33),'2. GRI Pricing Inputs'!$D$32,IF(AND('3. GRI Pricing'!$F110&gt;='2. GRI Pricing Inputs'!$F$33,'3. GRI Pricing'!$F110&lt;='2. GRI Pricing Inputs'!$G$33),'2. GRI Pricing Inputs'!$F$32,IF(AND('3. GRI Pricing'!$F110&gt;='2. GRI Pricing Inputs'!$H$33,'3. GRI Pricing'!$F110&lt;='2. GRI Pricing Inputs'!$I$33),'2. GRI Pricing Inputs'!$H$32,IF(AND('3. GRI Pricing'!$F110&gt;='2. GRI Pricing Inputs'!$J$33,'3. GRI Pricing'!$F110&lt;='2. GRI Pricing Inputs'!$K$33),'2. GRI Pricing Inputs'!$J$32,IF(AND('3. GRI Pricing'!$F110&gt;='2. GRI Pricing Inputs'!$L$33,'3. GRI Pricing'!$F110&lt;='2. GRI Pricing Inputs'!$M$33),'2. GRI Pricing Inputs'!$L$32,IF(AND('3. GRI Pricing'!$F110&gt;='2. GRI Pricing Inputs'!$N$33,'3. GRI Pricing'!$F110&lt;='2. GRI Pricing Inputs'!$O$33),'2. GRI Pricing Inputs'!$N$32,IF(AND('3. GRI Pricing'!$F110&gt;='2. GRI Pricing Inputs'!$P$33,'3. GRI Pricing'!$F110&lt;='2. GRI Pricing Inputs'!$Q$33),'2. GRI Pricing Inputs'!$P$32,IF(AND('3. GRI Pricing'!$F110&gt;='2. GRI Pricing Inputs'!$R$33,'3. GRI Pricing'!$F110&lt;='2. GRI Pricing Inputs'!$S$33),'2. GRI Pricing Inputs'!$R$32,IF(AND('3. GRI Pricing'!$F110&gt;='2. GRI Pricing Inputs'!$T$33,'3. GRI Pricing'!$F110&lt;='2. GRI Pricing Inputs'!$U$33),'2. GRI Pricing Inputs'!$T$32,IF(AND('3. GRI Pricing'!$F110&gt;='2. GRI Pricing Inputs'!$V$33,'3. GRI Pricing'!$F110&lt;='2. GRI Pricing Inputs'!$W$33),'2. GRI Pricing Inputs'!$V$32,IF(AND('3. GRI Pricing'!$F110&gt;='2. GRI Pricing Inputs'!$X$33,'3. GRI Pricing'!$F110&lt;='2. GRI Pricing Inputs'!$Y$33),'2. GRI Pricing Inputs'!$X$32,IF(AND('3. GRI Pricing'!$F110&gt;='2. GRI Pricing Inputs'!$Z$33,'3. GRI Pricing'!$F110&lt;='2. GRI Pricing Inputs'!$AA$33),'2. GRI Pricing Inputs'!$Z$32,IF(AND('3. GRI Pricing'!$F110&gt;='2. GRI Pricing Inputs'!$AB$33,'3. GRI Pricing'!$F110&lt;='2. GRI Pricing Inputs'!$AC$33),'2. GRI Pricing Inputs'!$AB$32,IF(AND('3. GRI Pricing'!$F110&gt;='2. GRI Pricing Inputs'!$AD$33,'3. GRI Pricing'!$F110&lt;='2. GRI Pricing Inputs'!$AE$33),'2. GRI Pricing Inputs'!$AD$32,IF(AND('3. GRI Pricing'!$F110&gt;='2. GRI Pricing Inputs'!$AF$33,'3. GRI Pricing'!$F110&lt;='2. GRI Pricing Inputs'!$AG$33),'2. GRI Pricing Inputs'!$AF$32,IF(AND('3. GRI Pricing'!$F110&gt;='2. GRI Pricing Inputs'!$AH$33,'3. GRI Pricing'!$F110&lt;='2. GRI Pricing Inputs'!$AI$33),'2. GRI Pricing Inputs'!$AH$32,0))))))))))))))))</f>
        <v>5</v>
      </c>
      <c r="N110" s="273" cm="1">
        <f t="array" ref="N110">IFERROR(INDEX('2. GRI Pricing Inputs'!$C$32:$AI$39,MATCH('3. GRI Pricing'!D110,'2. GRI Pricing Inputs'!$C$32:$C$39,0),(MATCH('3. GRI Pricing'!M110,'2. GRI Pricing Inputs'!$D$32:$AI$32,0)+1)),0)</f>
        <v>35</v>
      </c>
      <c r="O110" s="273">
        <f>IFERROR(INDEX('2. GRI Pricing Inputs'!$C$45:$AI$46,MATCH($O$16,'2. GRI Pricing Inputs'!$C$45:$C$46,0),MATCH(G110,'2. GRI Pricing Inputs'!$C$45:$AI$45,0)),0)</f>
        <v>80</v>
      </c>
      <c r="P110" s="273">
        <f>IFERROR(INDEX('2. GRI Pricing Inputs'!$C$53:$AI$54,MATCH('3. GRI Pricing'!$P$16,'2. GRI Pricing Inputs'!$C$53:$C$54,0),MATCH('3. GRI Pricing'!H110,'2. GRI Pricing Inputs'!$C$53:$AI$53,0)),0)</f>
        <v>25</v>
      </c>
      <c r="Q110" s="273">
        <f>IFERROR(INDEX('2. GRI Pricing Inputs'!$C$60:$AI$61,MATCH('3. GRI Pricing'!$Q$16,'2. GRI Pricing Inputs'!$C$60:$C$61,0),MATCH('1. Accomodation'!T114,'2. GRI Pricing Inputs'!$C$60:$AI$60,0)),0)</f>
        <v>0</v>
      </c>
      <c r="R110" s="273">
        <f>IFERROR(INDEX('2. GRI Pricing Inputs'!$C$67:$AI$68,MATCH('3. GRI Pricing'!$R$16,'2. GRI Pricing Inputs'!$C$67:$C$68,0),MATCH('1. Accomodation'!U114,'2. GRI Pricing Inputs'!$C$67:$AI$67,0)),0)</f>
        <v>0</v>
      </c>
      <c r="S110" s="273">
        <f>IF(D110=0,0,'2. GRI Pricing Inputs'!$AI$75)</f>
        <v>70</v>
      </c>
      <c r="T110" s="273">
        <f>IFERROR(INDEX('2. GRI Pricing Inputs'!$C$82:$AI$83,MATCH('3. GRI Pricing'!$T$16,'2. GRI Pricing Inputs'!$C$82:$C$83,0),MATCH('1. Accomodation'!V114,'2. GRI Pricing Inputs'!$C$82:$AI$82,0)),0)</f>
        <v>-50</v>
      </c>
      <c r="U110" s="273">
        <f>IFERROR(INDEX('2. GRI Pricing Inputs'!$C$89:$AI$90,MATCH('3. GRI Pricing'!$U$16,'2. GRI Pricing Inputs'!$C$89:$C$90,0),MATCH('1. Accomodation'!W114,'2. GRI Pricing Inputs'!$C$89:$AI$89,0)),0)</f>
        <v>-25</v>
      </c>
      <c r="V110" s="273">
        <f>IFERROR(INDEX('2. GRI Pricing Inputs'!$C$97:$AI$98,MATCH('3. GRI Pricing'!$V$16,'2. GRI Pricing Inputs'!$C$97:$C$98,0),MATCH('1. Accomodation'!X114,'2. GRI Pricing Inputs'!$C$97:$AI$97,0)),0)</f>
        <v>0</v>
      </c>
      <c r="W110" s="273">
        <f>IFERROR(INDEX('2. GRI Pricing Inputs'!$C$104:$AI$105,MATCH('3. GRI Pricing'!$W$16,'2. GRI Pricing Inputs'!$C$104:$C$105,0),MATCH('1. Accomodation'!Y114,'2. GRI Pricing Inputs'!$C$104:$AI$104,0)),0)</f>
        <v>0</v>
      </c>
      <c r="X110" s="274">
        <v>0</v>
      </c>
      <c r="Y110" s="275">
        <f t="shared" si="8"/>
        <v>980</v>
      </c>
      <c r="Z110" s="276"/>
      <c r="AA110" s="276"/>
      <c r="AB110" s="276"/>
      <c r="AC110" s="272">
        <f>Y110*(1+'2. GRI Pricing Inputs'!$D$114)^(($AC$16-$AB$15)/365)</f>
        <v>983.26989589191021</v>
      </c>
      <c r="AD110" s="273">
        <f>AC110*(1+'2. GRI Pricing Inputs'!$D$114)^((AD$16-AC$16)/365)</f>
        <v>986.44469907917266</v>
      </c>
      <c r="AE110" s="273">
        <f>AD110*(1+'2. GRI Pricing Inputs'!$D$114)^((AE$16-AD$16)/365)</f>
        <v>989.73609853745393</v>
      </c>
      <c r="AF110" s="273">
        <f>AE110*(1+'2. GRI Pricing Inputs'!$D$114)^((AF$16-AE$16)/365)</f>
        <v>993.03848017284463</v>
      </c>
      <c r="AG110" s="273">
        <f>AF110*(1+'2. GRI Pricing Inputs'!$D$114)^((AG$16-AF$16)/365)</f>
        <v>996.13777962844688</v>
      </c>
      <c r="AH110" s="273">
        <f>AG110*(1+'2. GRI Pricing Inputs'!$D$114)^((AH$16-AG$16)/365)</f>
        <v>999.46152129516486</v>
      </c>
      <c r="AI110" s="273">
        <f>AH110*(1+'2. GRI Pricing Inputs'!$D$114)^((AI$16-AH$16)/365)</f>
        <v>1002.6886043540597</v>
      </c>
      <c r="AJ110" s="273">
        <f>AI110*(1+'2. GRI Pricing Inputs'!$D$114)^((AJ$16-AI$16)/365)</f>
        <v>1006.0342036890012</v>
      </c>
      <c r="AK110" s="273">
        <f>AJ110*(1+'2. GRI Pricing Inputs'!$D$114)^((AK$16-AJ$16)/365)</f>
        <v>1009.2825087675063</v>
      </c>
      <c r="AL110" s="273">
        <f>AK110*(1+'2. GRI Pricing Inputs'!$D$114)^((AL$16-AK$16)/365)</f>
        <v>1012.6501095115837</v>
      </c>
      <c r="AM110" s="273">
        <f>AL110*(1+'2. GRI Pricing Inputs'!$D$114)^((AM$16-AL$16)/365)</f>
        <v>1016.0289466881494</v>
      </c>
      <c r="AN110" s="273">
        <f>AM110*(1+'2. GRI Pricing Inputs'!$D$114)^((AN$16-AM$16)/365)</f>
        <v>1019.3095230098423</v>
      </c>
      <c r="AO110" s="273">
        <f>AN110*(1+'2. GRI Pricing Inputs'!$D$114)^((AO$16-AN$16)/365)</f>
        <v>1022.7105801750208</v>
      </c>
    </row>
    <row r="111" spans="3:41" ht="12" x14ac:dyDescent="0.2">
      <c r="C111" s="76" t="str">
        <f>'1. Accomodation'!N115</f>
        <v>615N</v>
      </c>
      <c r="D111" s="69" t="str">
        <f>'1. Accomodation'!P115</f>
        <v>2 Bed</v>
      </c>
      <c r="E111" s="69">
        <f>'1. Accomodation'!Q115</f>
        <v>2</v>
      </c>
      <c r="F111" s="77">
        <f>'1. Accomodation'!O115</f>
        <v>624</v>
      </c>
      <c r="G111" s="69">
        <f>'1. Accomodation'!R115</f>
        <v>6</v>
      </c>
      <c r="H111" s="69" t="str">
        <f>'1. Accomodation'!S115</f>
        <v>Courtyard</v>
      </c>
      <c r="I111" s="62"/>
      <c r="K111" s="272">
        <f>IFERROR(INDEX('2. GRI Pricing Inputs'!$C$15:$AI$16,MATCH($K$16,'2. GRI Pricing Inputs'!$C$15:$C$16,0),MATCH(D111,'2. GRI Pricing Inputs'!$C$15:$AI$15,0)),0)</f>
        <v>1110</v>
      </c>
      <c r="L111" s="273">
        <f>IFERROR(INDEX('2. GRI Pricing Inputs'!$C$22:$AI$23,MATCH($L$16,'2. GRI Pricing Inputs'!$C$22:$C$23,0),MATCH(E111,'2. GRI Pricing Inputs'!$C$22:$AI$22,0)),0)</f>
        <v>0</v>
      </c>
      <c r="M111" s="328">
        <f>IF(AND('3. GRI Pricing'!$F111&gt;='2. GRI Pricing Inputs'!$D$33,'3. GRI Pricing'!$F111&lt;='2. GRI Pricing Inputs'!$E$33),'2. GRI Pricing Inputs'!$D$32,IF(AND('3. GRI Pricing'!$F111&gt;='2. GRI Pricing Inputs'!$F$33,'3. GRI Pricing'!$F111&lt;='2. GRI Pricing Inputs'!$G$33),'2. GRI Pricing Inputs'!$F$32,IF(AND('3. GRI Pricing'!$F111&gt;='2. GRI Pricing Inputs'!$H$33,'3. GRI Pricing'!$F111&lt;='2. GRI Pricing Inputs'!$I$33),'2. GRI Pricing Inputs'!$H$32,IF(AND('3. GRI Pricing'!$F111&gt;='2. GRI Pricing Inputs'!$J$33,'3. GRI Pricing'!$F111&lt;='2. GRI Pricing Inputs'!$K$33),'2. GRI Pricing Inputs'!$J$32,IF(AND('3. GRI Pricing'!$F111&gt;='2. GRI Pricing Inputs'!$L$33,'3. GRI Pricing'!$F111&lt;='2. GRI Pricing Inputs'!$M$33),'2. GRI Pricing Inputs'!$L$32,IF(AND('3. GRI Pricing'!$F111&gt;='2. GRI Pricing Inputs'!$N$33,'3. GRI Pricing'!$F111&lt;='2. GRI Pricing Inputs'!$O$33),'2. GRI Pricing Inputs'!$N$32,IF(AND('3. GRI Pricing'!$F111&gt;='2. GRI Pricing Inputs'!$P$33,'3. GRI Pricing'!$F111&lt;='2. GRI Pricing Inputs'!$Q$33),'2. GRI Pricing Inputs'!$P$32,IF(AND('3. GRI Pricing'!$F111&gt;='2. GRI Pricing Inputs'!$R$33,'3. GRI Pricing'!$F111&lt;='2. GRI Pricing Inputs'!$S$33),'2. GRI Pricing Inputs'!$R$32,IF(AND('3. GRI Pricing'!$F111&gt;='2. GRI Pricing Inputs'!$T$33,'3. GRI Pricing'!$F111&lt;='2. GRI Pricing Inputs'!$U$33),'2. GRI Pricing Inputs'!$T$32,IF(AND('3. GRI Pricing'!$F111&gt;='2. GRI Pricing Inputs'!$V$33,'3. GRI Pricing'!$F111&lt;='2. GRI Pricing Inputs'!$W$33),'2. GRI Pricing Inputs'!$V$32,IF(AND('3. GRI Pricing'!$F111&gt;='2. GRI Pricing Inputs'!$X$33,'3. GRI Pricing'!$F111&lt;='2. GRI Pricing Inputs'!$Y$33),'2. GRI Pricing Inputs'!$X$32,IF(AND('3. GRI Pricing'!$F111&gt;='2. GRI Pricing Inputs'!$Z$33,'3. GRI Pricing'!$F111&lt;='2. GRI Pricing Inputs'!$AA$33),'2. GRI Pricing Inputs'!$Z$32,IF(AND('3. GRI Pricing'!$F111&gt;='2. GRI Pricing Inputs'!$AB$33,'3. GRI Pricing'!$F111&lt;='2. GRI Pricing Inputs'!$AC$33),'2. GRI Pricing Inputs'!$AB$32,IF(AND('3. GRI Pricing'!$F111&gt;='2. GRI Pricing Inputs'!$AD$33,'3. GRI Pricing'!$F111&lt;='2. GRI Pricing Inputs'!$AE$33),'2. GRI Pricing Inputs'!$AD$32,IF(AND('3. GRI Pricing'!$F111&gt;='2. GRI Pricing Inputs'!$AF$33,'3. GRI Pricing'!$F111&lt;='2. GRI Pricing Inputs'!$AG$33),'2. GRI Pricing Inputs'!$AF$32,IF(AND('3. GRI Pricing'!$F111&gt;='2. GRI Pricing Inputs'!$AH$33,'3. GRI Pricing'!$F111&lt;='2. GRI Pricing Inputs'!$AI$33),'2. GRI Pricing Inputs'!$AH$32,0))))))))))))))))</f>
        <v>7</v>
      </c>
      <c r="N111" s="273" cm="1">
        <f t="array" ref="N111">IFERROR(INDEX('2. GRI Pricing Inputs'!$C$32:$AI$39,MATCH('3. GRI Pricing'!D111,'2. GRI Pricing Inputs'!$C$32:$C$39,0),(MATCH('3. GRI Pricing'!M111,'2. GRI Pricing Inputs'!$D$32:$AI$32,0)+1)),0)</f>
        <v>10</v>
      </c>
      <c r="O111" s="273">
        <f>IFERROR(INDEX('2. GRI Pricing Inputs'!$C$45:$AI$46,MATCH($O$16,'2. GRI Pricing Inputs'!$C$45:$C$46,0),MATCH(G111,'2. GRI Pricing Inputs'!$C$45:$AI$45,0)),0)</f>
        <v>80</v>
      </c>
      <c r="P111" s="273">
        <f>IFERROR(INDEX('2. GRI Pricing Inputs'!$C$53:$AI$54,MATCH('3. GRI Pricing'!$P$16,'2. GRI Pricing Inputs'!$C$53:$C$54,0),MATCH('3. GRI Pricing'!H111,'2. GRI Pricing Inputs'!$C$53:$AI$53,0)),0)</f>
        <v>25</v>
      </c>
      <c r="Q111" s="273">
        <f>IFERROR(INDEX('2. GRI Pricing Inputs'!$C$60:$AI$61,MATCH('3. GRI Pricing'!$Q$16,'2. GRI Pricing Inputs'!$C$60:$C$61,0),MATCH('1. Accomodation'!T115,'2. GRI Pricing Inputs'!$C$60:$AI$60,0)),0)</f>
        <v>0</v>
      </c>
      <c r="R111" s="273">
        <f>IFERROR(INDEX('2. GRI Pricing Inputs'!$C$67:$AI$68,MATCH('3. GRI Pricing'!$R$16,'2. GRI Pricing Inputs'!$C$67:$C$68,0),MATCH('1. Accomodation'!U115,'2. GRI Pricing Inputs'!$C$67:$AI$67,0)),0)</f>
        <v>0</v>
      </c>
      <c r="S111" s="273">
        <f>IF(D111=0,0,'2. GRI Pricing Inputs'!$AI$75)</f>
        <v>70</v>
      </c>
      <c r="T111" s="273">
        <f>IFERROR(INDEX('2. GRI Pricing Inputs'!$C$82:$AI$83,MATCH('3. GRI Pricing'!$T$16,'2. GRI Pricing Inputs'!$C$82:$C$83,0),MATCH('1. Accomodation'!V115,'2. GRI Pricing Inputs'!$C$82:$AI$82,0)),0)</f>
        <v>-50</v>
      </c>
      <c r="U111" s="273">
        <f>IFERROR(INDEX('2. GRI Pricing Inputs'!$C$89:$AI$90,MATCH('3. GRI Pricing'!$U$16,'2. GRI Pricing Inputs'!$C$89:$C$90,0),MATCH('1. Accomodation'!W115,'2. GRI Pricing Inputs'!$C$89:$AI$89,0)),0)</f>
        <v>0</v>
      </c>
      <c r="V111" s="273">
        <f>IFERROR(INDEX('2. GRI Pricing Inputs'!$C$97:$AI$98,MATCH('3. GRI Pricing'!$V$16,'2. GRI Pricing Inputs'!$C$97:$C$98,0),MATCH('1. Accomodation'!X115,'2. GRI Pricing Inputs'!$C$97:$AI$97,0)),0)</f>
        <v>0</v>
      </c>
      <c r="W111" s="273">
        <f>IFERROR(INDEX('2. GRI Pricing Inputs'!$C$104:$AI$105,MATCH('3. GRI Pricing'!$W$16,'2. GRI Pricing Inputs'!$C$104:$C$105,0),MATCH('1. Accomodation'!Y115,'2. GRI Pricing Inputs'!$C$104:$AI$104,0)),0)</f>
        <v>0</v>
      </c>
      <c r="X111" s="274">
        <v>0</v>
      </c>
      <c r="Y111" s="275">
        <f t="shared" si="8"/>
        <v>1245</v>
      </c>
      <c r="Z111" s="276"/>
      <c r="AA111" s="276"/>
      <c r="AB111" s="276"/>
      <c r="AC111" s="272">
        <f>Y111*(1+'2. GRI Pricing Inputs'!$D$114)^(($AC$16-$AB$15)/365)</f>
        <v>1249.1541024341104</v>
      </c>
      <c r="AD111" s="273">
        <f>AC111*(1+'2. GRI Pricing Inputs'!$D$114)^((AD$16-AC$16)/365)</f>
        <v>1253.1873983199694</v>
      </c>
      <c r="AE111" s="273">
        <f>AD111*(1+'2. GRI Pricing Inputs'!$D$114)^((AE$16-AD$16)/365)</f>
        <v>1257.3688190603368</v>
      </c>
      <c r="AF111" s="273">
        <f>AE111*(1+'2. GRI Pricing Inputs'!$D$114)^((AF$16-AE$16)/365)</f>
        <v>1261.5641916481545</v>
      </c>
      <c r="AG111" s="273">
        <f>AF111*(1+'2. GRI Pricing Inputs'!$D$114)^((AG$16-AF$16)/365)</f>
        <v>1265.5015669769552</v>
      </c>
      <c r="AH111" s="273">
        <f>AG111*(1+'2. GRI Pricing Inputs'!$D$114)^((AH$16-AG$16)/365)</f>
        <v>1269.7240755229388</v>
      </c>
      <c r="AI111" s="273">
        <f>AH111*(1+'2. GRI Pricing Inputs'!$D$114)^((AI$16-AH$16)/365)</f>
        <v>1273.8237881844941</v>
      </c>
      <c r="AJ111" s="273">
        <f>AI111*(1+'2. GRI Pricing Inputs'!$D$114)^((AJ$16-AI$16)/365)</f>
        <v>1278.0740648906187</v>
      </c>
      <c r="AK111" s="273">
        <f>AJ111*(1+'2. GRI Pricing Inputs'!$D$114)^((AK$16-AJ$16)/365)</f>
        <v>1282.2007381791279</v>
      </c>
      <c r="AL111" s="273">
        <f>AK111*(1+'2. GRI Pricing Inputs'!$D$114)^((AL$16-AK$16)/365)</f>
        <v>1286.478965655022</v>
      </c>
      <c r="AM111" s="273">
        <f>AL111*(1+'2. GRI Pricing Inputs'!$D$114)^((AM$16-AL$16)/365)</f>
        <v>1290.7714679864753</v>
      </c>
      <c r="AN111" s="273">
        <f>AM111*(1+'2. GRI Pricing Inputs'!$D$114)^((AN$16-AM$16)/365)</f>
        <v>1294.9391389257689</v>
      </c>
      <c r="AO111" s="273">
        <f>AN111*(1+'2. GRI Pricing Inputs'!$D$114)^((AO$16-AN$16)/365)</f>
        <v>1299.2598697121437</v>
      </c>
    </row>
    <row r="112" spans="3:41" ht="12" x14ac:dyDescent="0.2">
      <c r="C112" s="76" t="str">
        <f>'1. Accomodation'!N116</f>
        <v>616N</v>
      </c>
      <c r="D112" s="69" t="str">
        <f>'1. Accomodation'!P116</f>
        <v>2 Bed</v>
      </c>
      <c r="E112" s="69">
        <f>'1. Accomodation'!Q116</f>
        <v>2</v>
      </c>
      <c r="F112" s="77">
        <f>'1. Accomodation'!O116</f>
        <v>624</v>
      </c>
      <c r="G112" s="69">
        <f>'1. Accomodation'!R116</f>
        <v>6</v>
      </c>
      <c r="H112" s="69" t="str">
        <f>'1. Accomodation'!S116</f>
        <v>Courtyard</v>
      </c>
      <c r="I112" s="62"/>
      <c r="K112" s="272">
        <f>IFERROR(INDEX('2. GRI Pricing Inputs'!$C$15:$AI$16,MATCH($K$16,'2. GRI Pricing Inputs'!$C$15:$C$16,0),MATCH(D112,'2. GRI Pricing Inputs'!$C$15:$AI$15,0)),0)</f>
        <v>1110</v>
      </c>
      <c r="L112" s="273">
        <f>IFERROR(INDEX('2. GRI Pricing Inputs'!$C$22:$AI$23,MATCH($L$16,'2. GRI Pricing Inputs'!$C$22:$C$23,0),MATCH(E112,'2. GRI Pricing Inputs'!$C$22:$AI$22,0)),0)</f>
        <v>0</v>
      </c>
      <c r="M112" s="328">
        <f>IF(AND('3. GRI Pricing'!$F112&gt;='2. GRI Pricing Inputs'!$D$33,'3. GRI Pricing'!$F112&lt;='2. GRI Pricing Inputs'!$E$33),'2. GRI Pricing Inputs'!$D$32,IF(AND('3. GRI Pricing'!$F112&gt;='2. GRI Pricing Inputs'!$F$33,'3. GRI Pricing'!$F112&lt;='2. GRI Pricing Inputs'!$G$33),'2. GRI Pricing Inputs'!$F$32,IF(AND('3. GRI Pricing'!$F112&gt;='2. GRI Pricing Inputs'!$H$33,'3. GRI Pricing'!$F112&lt;='2. GRI Pricing Inputs'!$I$33),'2. GRI Pricing Inputs'!$H$32,IF(AND('3. GRI Pricing'!$F112&gt;='2. GRI Pricing Inputs'!$J$33,'3. GRI Pricing'!$F112&lt;='2. GRI Pricing Inputs'!$K$33),'2. GRI Pricing Inputs'!$J$32,IF(AND('3. GRI Pricing'!$F112&gt;='2. GRI Pricing Inputs'!$L$33,'3. GRI Pricing'!$F112&lt;='2. GRI Pricing Inputs'!$M$33),'2. GRI Pricing Inputs'!$L$32,IF(AND('3. GRI Pricing'!$F112&gt;='2. GRI Pricing Inputs'!$N$33,'3. GRI Pricing'!$F112&lt;='2. GRI Pricing Inputs'!$O$33),'2. GRI Pricing Inputs'!$N$32,IF(AND('3. GRI Pricing'!$F112&gt;='2. GRI Pricing Inputs'!$P$33,'3. GRI Pricing'!$F112&lt;='2. GRI Pricing Inputs'!$Q$33),'2. GRI Pricing Inputs'!$P$32,IF(AND('3. GRI Pricing'!$F112&gt;='2. GRI Pricing Inputs'!$R$33,'3. GRI Pricing'!$F112&lt;='2. GRI Pricing Inputs'!$S$33),'2. GRI Pricing Inputs'!$R$32,IF(AND('3. GRI Pricing'!$F112&gt;='2. GRI Pricing Inputs'!$T$33,'3. GRI Pricing'!$F112&lt;='2. GRI Pricing Inputs'!$U$33),'2. GRI Pricing Inputs'!$T$32,IF(AND('3. GRI Pricing'!$F112&gt;='2. GRI Pricing Inputs'!$V$33,'3. GRI Pricing'!$F112&lt;='2. GRI Pricing Inputs'!$W$33),'2. GRI Pricing Inputs'!$V$32,IF(AND('3. GRI Pricing'!$F112&gt;='2. GRI Pricing Inputs'!$X$33,'3. GRI Pricing'!$F112&lt;='2. GRI Pricing Inputs'!$Y$33),'2. GRI Pricing Inputs'!$X$32,IF(AND('3. GRI Pricing'!$F112&gt;='2. GRI Pricing Inputs'!$Z$33,'3. GRI Pricing'!$F112&lt;='2. GRI Pricing Inputs'!$AA$33),'2. GRI Pricing Inputs'!$Z$32,IF(AND('3. GRI Pricing'!$F112&gt;='2. GRI Pricing Inputs'!$AB$33,'3. GRI Pricing'!$F112&lt;='2. GRI Pricing Inputs'!$AC$33),'2. GRI Pricing Inputs'!$AB$32,IF(AND('3. GRI Pricing'!$F112&gt;='2. GRI Pricing Inputs'!$AD$33,'3. GRI Pricing'!$F112&lt;='2. GRI Pricing Inputs'!$AE$33),'2. GRI Pricing Inputs'!$AD$32,IF(AND('3. GRI Pricing'!$F112&gt;='2. GRI Pricing Inputs'!$AF$33,'3. GRI Pricing'!$F112&lt;='2. GRI Pricing Inputs'!$AG$33),'2. GRI Pricing Inputs'!$AF$32,IF(AND('3. GRI Pricing'!$F112&gt;='2. GRI Pricing Inputs'!$AH$33,'3. GRI Pricing'!$F112&lt;='2. GRI Pricing Inputs'!$AI$33),'2. GRI Pricing Inputs'!$AH$32,0))))))))))))))))</f>
        <v>7</v>
      </c>
      <c r="N112" s="273" cm="1">
        <f t="array" ref="N112">IFERROR(INDEX('2. GRI Pricing Inputs'!$C$32:$AI$39,MATCH('3. GRI Pricing'!D112,'2. GRI Pricing Inputs'!$C$32:$C$39,0),(MATCH('3. GRI Pricing'!M112,'2. GRI Pricing Inputs'!$D$32:$AI$32,0)+1)),0)</f>
        <v>10</v>
      </c>
      <c r="O112" s="273">
        <f>IFERROR(INDEX('2. GRI Pricing Inputs'!$C$45:$AI$46,MATCH($O$16,'2. GRI Pricing Inputs'!$C$45:$C$46,0),MATCH(G112,'2. GRI Pricing Inputs'!$C$45:$AI$45,0)),0)</f>
        <v>80</v>
      </c>
      <c r="P112" s="273">
        <f>IFERROR(INDEX('2. GRI Pricing Inputs'!$C$53:$AI$54,MATCH('3. GRI Pricing'!$P$16,'2. GRI Pricing Inputs'!$C$53:$C$54,0),MATCH('3. GRI Pricing'!H112,'2. GRI Pricing Inputs'!$C$53:$AI$53,0)),0)</f>
        <v>25</v>
      </c>
      <c r="Q112" s="273">
        <f>IFERROR(INDEX('2. GRI Pricing Inputs'!$C$60:$AI$61,MATCH('3. GRI Pricing'!$Q$16,'2. GRI Pricing Inputs'!$C$60:$C$61,0),MATCH('1. Accomodation'!T116,'2. GRI Pricing Inputs'!$C$60:$AI$60,0)),0)</f>
        <v>0</v>
      </c>
      <c r="R112" s="273">
        <f>IFERROR(INDEX('2. GRI Pricing Inputs'!$C$67:$AI$68,MATCH('3. GRI Pricing'!$R$16,'2. GRI Pricing Inputs'!$C$67:$C$68,0),MATCH('1. Accomodation'!U116,'2. GRI Pricing Inputs'!$C$67:$AI$67,0)),0)</f>
        <v>0</v>
      </c>
      <c r="S112" s="273">
        <f>IF(D112=0,0,'2. GRI Pricing Inputs'!$AI$75)</f>
        <v>70</v>
      </c>
      <c r="T112" s="273">
        <f>IFERROR(INDEX('2. GRI Pricing Inputs'!$C$82:$AI$83,MATCH('3. GRI Pricing'!$T$16,'2. GRI Pricing Inputs'!$C$82:$C$83,0),MATCH('1. Accomodation'!V116,'2. GRI Pricing Inputs'!$C$82:$AI$82,0)),0)</f>
        <v>-50</v>
      </c>
      <c r="U112" s="273">
        <f>IFERROR(INDEX('2. GRI Pricing Inputs'!$C$89:$AI$90,MATCH('3. GRI Pricing'!$U$16,'2. GRI Pricing Inputs'!$C$89:$C$90,0),MATCH('1. Accomodation'!W116,'2. GRI Pricing Inputs'!$C$89:$AI$89,0)),0)</f>
        <v>0</v>
      </c>
      <c r="V112" s="273">
        <f>IFERROR(INDEX('2. GRI Pricing Inputs'!$C$97:$AI$98,MATCH('3. GRI Pricing'!$V$16,'2. GRI Pricing Inputs'!$C$97:$C$98,0),MATCH('1. Accomodation'!X116,'2. GRI Pricing Inputs'!$C$97:$AI$97,0)),0)</f>
        <v>0</v>
      </c>
      <c r="W112" s="273">
        <f>IFERROR(INDEX('2. GRI Pricing Inputs'!$C$104:$AI$105,MATCH('3. GRI Pricing'!$W$16,'2. GRI Pricing Inputs'!$C$104:$C$105,0),MATCH('1. Accomodation'!Y116,'2. GRI Pricing Inputs'!$C$104:$AI$104,0)),0)</f>
        <v>0</v>
      </c>
      <c r="X112" s="274">
        <v>0</v>
      </c>
      <c r="Y112" s="275">
        <f t="shared" si="8"/>
        <v>1245</v>
      </c>
      <c r="Z112" s="276"/>
      <c r="AA112" s="276"/>
      <c r="AB112" s="276"/>
      <c r="AC112" s="272">
        <f>Y112*(1+'2. GRI Pricing Inputs'!$D$114)^(($AC$16-$AB$15)/365)</f>
        <v>1249.1541024341104</v>
      </c>
      <c r="AD112" s="273">
        <f>AC112*(1+'2. GRI Pricing Inputs'!$D$114)^((AD$16-AC$16)/365)</f>
        <v>1253.1873983199694</v>
      </c>
      <c r="AE112" s="273">
        <f>AD112*(1+'2. GRI Pricing Inputs'!$D$114)^((AE$16-AD$16)/365)</f>
        <v>1257.3688190603368</v>
      </c>
      <c r="AF112" s="273">
        <f>AE112*(1+'2. GRI Pricing Inputs'!$D$114)^((AF$16-AE$16)/365)</f>
        <v>1261.5641916481545</v>
      </c>
      <c r="AG112" s="273">
        <f>AF112*(1+'2. GRI Pricing Inputs'!$D$114)^((AG$16-AF$16)/365)</f>
        <v>1265.5015669769552</v>
      </c>
      <c r="AH112" s="273">
        <f>AG112*(1+'2. GRI Pricing Inputs'!$D$114)^((AH$16-AG$16)/365)</f>
        <v>1269.7240755229388</v>
      </c>
      <c r="AI112" s="273">
        <f>AH112*(1+'2. GRI Pricing Inputs'!$D$114)^((AI$16-AH$16)/365)</f>
        <v>1273.8237881844941</v>
      </c>
      <c r="AJ112" s="273">
        <f>AI112*(1+'2. GRI Pricing Inputs'!$D$114)^((AJ$16-AI$16)/365)</f>
        <v>1278.0740648906187</v>
      </c>
      <c r="AK112" s="273">
        <f>AJ112*(1+'2. GRI Pricing Inputs'!$D$114)^((AK$16-AJ$16)/365)</f>
        <v>1282.2007381791279</v>
      </c>
      <c r="AL112" s="273">
        <f>AK112*(1+'2. GRI Pricing Inputs'!$D$114)^((AL$16-AK$16)/365)</f>
        <v>1286.478965655022</v>
      </c>
      <c r="AM112" s="273">
        <f>AL112*(1+'2. GRI Pricing Inputs'!$D$114)^((AM$16-AL$16)/365)</f>
        <v>1290.7714679864753</v>
      </c>
      <c r="AN112" s="273">
        <f>AM112*(1+'2. GRI Pricing Inputs'!$D$114)^((AN$16-AM$16)/365)</f>
        <v>1294.9391389257689</v>
      </c>
      <c r="AO112" s="273">
        <f>AN112*(1+'2. GRI Pricing Inputs'!$D$114)^((AO$16-AN$16)/365)</f>
        <v>1299.2598697121437</v>
      </c>
    </row>
    <row r="113" spans="3:41" ht="12" x14ac:dyDescent="0.2">
      <c r="C113" s="76" t="str">
        <f>'1. Accomodation'!N117</f>
        <v>701N</v>
      </c>
      <c r="D113" s="69" t="str">
        <f>'1. Accomodation'!P117</f>
        <v>1 Bed</v>
      </c>
      <c r="E113" s="69">
        <f>'1. Accomodation'!Q117</f>
        <v>1</v>
      </c>
      <c r="F113" s="77">
        <f>'1. Accomodation'!O117</f>
        <v>495</v>
      </c>
      <c r="G113" s="69">
        <f>'1. Accomodation'!R117</f>
        <v>7</v>
      </c>
      <c r="H113" s="69" t="str">
        <f>'1. Accomodation'!S117</f>
        <v>Courtyard</v>
      </c>
      <c r="I113" s="62"/>
      <c r="K113" s="272">
        <f>IFERROR(INDEX('2. GRI Pricing Inputs'!$C$15:$AI$16,MATCH($K$16,'2. GRI Pricing Inputs'!$C$15:$C$16,0),MATCH(D113,'2. GRI Pricing Inputs'!$C$15:$AI$15,0)),0)</f>
        <v>845</v>
      </c>
      <c r="L113" s="273">
        <f>IFERROR(INDEX('2. GRI Pricing Inputs'!$C$22:$AI$23,MATCH($L$16,'2. GRI Pricing Inputs'!$C$22:$C$23,0),MATCH(E113,'2. GRI Pricing Inputs'!$C$22:$AI$22,0)),0)</f>
        <v>0</v>
      </c>
      <c r="M113" s="328">
        <f>IF(AND('3. GRI Pricing'!$F113&gt;='2. GRI Pricing Inputs'!$D$33,'3. GRI Pricing'!$F113&lt;='2. GRI Pricing Inputs'!$E$33),'2. GRI Pricing Inputs'!$D$32,IF(AND('3. GRI Pricing'!$F113&gt;='2. GRI Pricing Inputs'!$F$33,'3. GRI Pricing'!$F113&lt;='2. GRI Pricing Inputs'!$G$33),'2. GRI Pricing Inputs'!$F$32,IF(AND('3. GRI Pricing'!$F113&gt;='2. GRI Pricing Inputs'!$H$33,'3. GRI Pricing'!$F113&lt;='2. GRI Pricing Inputs'!$I$33),'2. GRI Pricing Inputs'!$H$32,IF(AND('3. GRI Pricing'!$F113&gt;='2. GRI Pricing Inputs'!$J$33,'3. GRI Pricing'!$F113&lt;='2. GRI Pricing Inputs'!$K$33),'2. GRI Pricing Inputs'!$J$32,IF(AND('3. GRI Pricing'!$F113&gt;='2. GRI Pricing Inputs'!$L$33,'3. GRI Pricing'!$F113&lt;='2. GRI Pricing Inputs'!$M$33),'2. GRI Pricing Inputs'!$L$32,IF(AND('3. GRI Pricing'!$F113&gt;='2. GRI Pricing Inputs'!$N$33,'3. GRI Pricing'!$F113&lt;='2. GRI Pricing Inputs'!$O$33),'2. GRI Pricing Inputs'!$N$32,IF(AND('3. GRI Pricing'!$F113&gt;='2. GRI Pricing Inputs'!$P$33,'3. GRI Pricing'!$F113&lt;='2. GRI Pricing Inputs'!$Q$33),'2. GRI Pricing Inputs'!$P$32,IF(AND('3. GRI Pricing'!$F113&gt;='2. GRI Pricing Inputs'!$R$33,'3. GRI Pricing'!$F113&lt;='2. GRI Pricing Inputs'!$S$33),'2. GRI Pricing Inputs'!$R$32,IF(AND('3. GRI Pricing'!$F113&gt;='2. GRI Pricing Inputs'!$T$33,'3. GRI Pricing'!$F113&lt;='2. GRI Pricing Inputs'!$U$33),'2. GRI Pricing Inputs'!$T$32,IF(AND('3. GRI Pricing'!$F113&gt;='2. GRI Pricing Inputs'!$V$33,'3. GRI Pricing'!$F113&lt;='2. GRI Pricing Inputs'!$W$33),'2. GRI Pricing Inputs'!$V$32,IF(AND('3. GRI Pricing'!$F113&gt;='2. GRI Pricing Inputs'!$X$33,'3. GRI Pricing'!$F113&lt;='2. GRI Pricing Inputs'!$Y$33),'2. GRI Pricing Inputs'!$X$32,IF(AND('3. GRI Pricing'!$F113&gt;='2. GRI Pricing Inputs'!$Z$33,'3. GRI Pricing'!$F113&lt;='2. GRI Pricing Inputs'!$AA$33),'2. GRI Pricing Inputs'!$Z$32,IF(AND('3. GRI Pricing'!$F113&gt;='2. GRI Pricing Inputs'!$AB$33,'3. GRI Pricing'!$F113&lt;='2. GRI Pricing Inputs'!$AC$33),'2. GRI Pricing Inputs'!$AB$32,IF(AND('3. GRI Pricing'!$F113&gt;='2. GRI Pricing Inputs'!$AD$33,'3. GRI Pricing'!$F113&lt;='2. GRI Pricing Inputs'!$AE$33),'2. GRI Pricing Inputs'!$AD$32,IF(AND('3. GRI Pricing'!$F113&gt;='2. GRI Pricing Inputs'!$AF$33,'3. GRI Pricing'!$F113&lt;='2. GRI Pricing Inputs'!$AG$33),'2. GRI Pricing Inputs'!$AF$32,IF(AND('3. GRI Pricing'!$F113&gt;='2. GRI Pricing Inputs'!$AH$33,'3. GRI Pricing'!$F113&lt;='2. GRI Pricing Inputs'!$AI$33),'2. GRI Pricing Inputs'!$AH$32,0))))))))))))))))</f>
        <v>2</v>
      </c>
      <c r="N113" s="273" cm="1">
        <f t="array" ref="N113">IFERROR(INDEX('2. GRI Pricing Inputs'!$C$32:$AI$39,MATCH('3. GRI Pricing'!D113,'2. GRI Pricing Inputs'!$C$32:$C$39,0),(MATCH('3. GRI Pricing'!M113,'2. GRI Pricing Inputs'!$D$32:$AI$32,0)+1)),0)</f>
        <v>15</v>
      </c>
      <c r="O113" s="273">
        <f>IFERROR(INDEX('2. GRI Pricing Inputs'!$C$45:$AI$46,MATCH($O$16,'2. GRI Pricing Inputs'!$C$45:$C$46,0),MATCH(G113,'2. GRI Pricing Inputs'!$C$45:$AI$45,0)),0)</f>
        <v>90</v>
      </c>
      <c r="P113" s="273">
        <f>IFERROR(INDEX('2. GRI Pricing Inputs'!$C$53:$AI$54,MATCH('3. GRI Pricing'!$P$16,'2. GRI Pricing Inputs'!$C$53:$C$54,0),MATCH('3. GRI Pricing'!H113,'2. GRI Pricing Inputs'!$C$53:$AI$53,0)),0)</f>
        <v>25</v>
      </c>
      <c r="Q113" s="273">
        <f>IFERROR(INDEX('2. GRI Pricing Inputs'!$C$60:$AI$61,MATCH('3. GRI Pricing'!$Q$16,'2. GRI Pricing Inputs'!$C$60:$C$61,0),MATCH('1. Accomodation'!T117,'2. GRI Pricing Inputs'!$C$60:$AI$60,0)),0)</f>
        <v>0</v>
      </c>
      <c r="R113" s="273">
        <f>IFERROR(INDEX('2. GRI Pricing Inputs'!$C$67:$AI$68,MATCH('3. GRI Pricing'!$R$16,'2. GRI Pricing Inputs'!$C$67:$C$68,0),MATCH('1. Accomodation'!U117,'2. GRI Pricing Inputs'!$C$67:$AI$67,0)),0)</f>
        <v>0</v>
      </c>
      <c r="S113" s="273">
        <f>IF(D113=0,0,'2. GRI Pricing Inputs'!$AI$75)</f>
        <v>70</v>
      </c>
      <c r="T113" s="273">
        <f>IFERROR(INDEX('2. GRI Pricing Inputs'!$C$82:$AI$83,MATCH('3. GRI Pricing'!$T$16,'2. GRI Pricing Inputs'!$C$82:$C$83,0),MATCH('1. Accomodation'!V117,'2. GRI Pricing Inputs'!$C$82:$AI$82,0)),0)</f>
        <v>0</v>
      </c>
      <c r="U113" s="273">
        <f>IFERROR(INDEX('2. GRI Pricing Inputs'!$C$89:$AI$90,MATCH('3. GRI Pricing'!$U$16,'2. GRI Pricing Inputs'!$C$89:$C$90,0),MATCH('1. Accomodation'!W117,'2. GRI Pricing Inputs'!$C$89:$AI$89,0)),0)</f>
        <v>0</v>
      </c>
      <c r="V113" s="273">
        <f>IFERROR(INDEX('2. GRI Pricing Inputs'!$C$97:$AI$98,MATCH('3. GRI Pricing'!$V$16,'2. GRI Pricing Inputs'!$C$97:$C$98,0),MATCH('1. Accomodation'!X117,'2. GRI Pricing Inputs'!$C$97:$AI$97,0)),0)</f>
        <v>0</v>
      </c>
      <c r="W113" s="273">
        <f>IFERROR(INDEX('2. GRI Pricing Inputs'!$C$104:$AI$105,MATCH('3. GRI Pricing'!$W$16,'2. GRI Pricing Inputs'!$C$104:$C$105,0),MATCH('1. Accomodation'!Y117,'2. GRI Pricing Inputs'!$C$104:$AI$104,0)),0)</f>
        <v>0</v>
      </c>
      <c r="X113" s="274">
        <v>0</v>
      </c>
      <c r="Y113" s="275">
        <f t="shared" si="8"/>
        <v>1045</v>
      </c>
      <c r="Z113" s="276"/>
      <c r="AA113" s="276"/>
      <c r="AB113" s="276"/>
      <c r="AC113" s="272">
        <f>Y113*(1+'2. GRI Pricing Inputs'!$D$114)^(($AC$16-$AB$15)/365)</f>
        <v>1048.4867767418839</v>
      </c>
      <c r="AD113" s="273">
        <f>AC113*(1+'2. GRI Pricing Inputs'!$D$114)^((AD$16-AC$16)/365)</f>
        <v>1051.8721536099342</v>
      </c>
      <c r="AE113" s="273">
        <f>AD113*(1+'2. GRI Pricing Inputs'!$D$114)^((AE$16-AD$16)/365)</f>
        <v>1055.3818601751423</v>
      </c>
      <c r="AF113" s="273">
        <f>AE113*(1+'2. GRI Pricing Inputs'!$D$114)^((AF$16-AE$16)/365)</f>
        <v>1058.9032773271661</v>
      </c>
      <c r="AG113" s="273">
        <f>AF113*(1+'2. GRI Pricing Inputs'!$D$114)^((AG$16-AF$16)/365)</f>
        <v>1062.2081425629867</v>
      </c>
      <c r="AH113" s="273">
        <f>AG113*(1+'2. GRI Pricing Inputs'!$D$114)^((AH$16-AG$16)/365)</f>
        <v>1065.7523364831095</v>
      </c>
      <c r="AI113" s="273">
        <f>AH113*(1+'2. GRI Pricing Inputs'!$D$114)^((AI$16-AH$16)/365)</f>
        <v>1069.1934607652984</v>
      </c>
      <c r="AJ113" s="273">
        <f>AI113*(1+'2. GRI Pricing Inputs'!$D$114)^((AJ$16-AI$16)/365)</f>
        <v>1072.7609620969451</v>
      </c>
      <c r="AK113" s="273">
        <f>AJ113*(1+'2. GRI Pricing Inputs'!$D$114)^((AK$16-AJ$16)/365)</f>
        <v>1076.2247159816777</v>
      </c>
      <c r="AL113" s="273">
        <f>AK113*(1+'2. GRI Pricing Inputs'!$D$114)^((AL$16-AK$16)/365)</f>
        <v>1079.8156779995968</v>
      </c>
      <c r="AM113" s="273">
        <f>AL113*(1+'2. GRI Pricing Inputs'!$D$114)^((AM$16-AL$16)/365)</f>
        <v>1083.4186217235879</v>
      </c>
      <c r="AN113" s="273">
        <f>AM113*(1+'2. GRI Pricing Inputs'!$D$114)^((AN$16-AM$16)/365)</f>
        <v>1086.9167872911073</v>
      </c>
      <c r="AO113" s="273">
        <f>AN113*(1+'2. GRI Pricing Inputs'!$D$114)^((AO$16-AN$16)/365)</f>
        <v>1090.543424778466</v>
      </c>
    </row>
    <row r="114" spans="3:41" ht="12" x14ac:dyDescent="0.2">
      <c r="C114" s="76" t="str">
        <f>'1. Accomodation'!N118</f>
        <v>702N</v>
      </c>
      <c r="D114" s="69" t="str">
        <f>'1. Accomodation'!P118</f>
        <v>2 Bed</v>
      </c>
      <c r="E114" s="69">
        <f>'1. Accomodation'!Q118</f>
        <v>2</v>
      </c>
      <c r="F114" s="77">
        <f>'1. Accomodation'!O118</f>
        <v>678</v>
      </c>
      <c r="G114" s="69">
        <f>'1. Accomodation'!R118</f>
        <v>7</v>
      </c>
      <c r="H114" s="69" t="str">
        <f>'1. Accomodation'!S118</f>
        <v>Courtyard</v>
      </c>
      <c r="I114" s="62"/>
      <c r="K114" s="272">
        <f>IFERROR(INDEX('2. GRI Pricing Inputs'!$C$15:$AI$16,MATCH($K$16,'2. GRI Pricing Inputs'!$C$15:$C$16,0),MATCH(D114,'2. GRI Pricing Inputs'!$C$15:$AI$15,0)),0)</f>
        <v>1110</v>
      </c>
      <c r="L114" s="273">
        <f>IFERROR(INDEX('2. GRI Pricing Inputs'!$C$22:$AI$23,MATCH($L$16,'2. GRI Pricing Inputs'!$C$22:$C$23,0),MATCH(E114,'2. GRI Pricing Inputs'!$C$22:$AI$22,0)),0)</f>
        <v>0</v>
      </c>
      <c r="M114" s="328">
        <f>IF(AND('3. GRI Pricing'!$F114&gt;='2. GRI Pricing Inputs'!$D$33,'3. GRI Pricing'!$F114&lt;='2. GRI Pricing Inputs'!$E$33),'2. GRI Pricing Inputs'!$D$32,IF(AND('3. GRI Pricing'!$F114&gt;='2. GRI Pricing Inputs'!$F$33,'3. GRI Pricing'!$F114&lt;='2. GRI Pricing Inputs'!$G$33),'2. GRI Pricing Inputs'!$F$32,IF(AND('3. GRI Pricing'!$F114&gt;='2. GRI Pricing Inputs'!$H$33,'3. GRI Pricing'!$F114&lt;='2. GRI Pricing Inputs'!$I$33),'2. GRI Pricing Inputs'!$H$32,IF(AND('3. GRI Pricing'!$F114&gt;='2. GRI Pricing Inputs'!$J$33,'3. GRI Pricing'!$F114&lt;='2. GRI Pricing Inputs'!$K$33),'2. GRI Pricing Inputs'!$J$32,IF(AND('3. GRI Pricing'!$F114&gt;='2. GRI Pricing Inputs'!$L$33,'3. GRI Pricing'!$F114&lt;='2. GRI Pricing Inputs'!$M$33),'2. GRI Pricing Inputs'!$L$32,IF(AND('3. GRI Pricing'!$F114&gt;='2. GRI Pricing Inputs'!$N$33,'3. GRI Pricing'!$F114&lt;='2. GRI Pricing Inputs'!$O$33),'2. GRI Pricing Inputs'!$N$32,IF(AND('3. GRI Pricing'!$F114&gt;='2. GRI Pricing Inputs'!$P$33,'3. GRI Pricing'!$F114&lt;='2. GRI Pricing Inputs'!$Q$33),'2. GRI Pricing Inputs'!$P$32,IF(AND('3. GRI Pricing'!$F114&gt;='2. GRI Pricing Inputs'!$R$33,'3. GRI Pricing'!$F114&lt;='2. GRI Pricing Inputs'!$S$33),'2. GRI Pricing Inputs'!$R$32,IF(AND('3. GRI Pricing'!$F114&gt;='2. GRI Pricing Inputs'!$T$33,'3. GRI Pricing'!$F114&lt;='2. GRI Pricing Inputs'!$U$33),'2. GRI Pricing Inputs'!$T$32,IF(AND('3. GRI Pricing'!$F114&gt;='2. GRI Pricing Inputs'!$V$33,'3. GRI Pricing'!$F114&lt;='2. GRI Pricing Inputs'!$W$33),'2. GRI Pricing Inputs'!$V$32,IF(AND('3. GRI Pricing'!$F114&gt;='2. GRI Pricing Inputs'!$X$33,'3. GRI Pricing'!$F114&lt;='2. GRI Pricing Inputs'!$Y$33),'2. GRI Pricing Inputs'!$X$32,IF(AND('3. GRI Pricing'!$F114&gt;='2. GRI Pricing Inputs'!$Z$33,'3. GRI Pricing'!$F114&lt;='2. GRI Pricing Inputs'!$AA$33),'2. GRI Pricing Inputs'!$Z$32,IF(AND('3. GRI Pricing'!$F114&gt;='2. GRI Pricing Inputs'!$AB$33,'3. GRI Pricing'!$F114&lt;='2. GRI Pricing Inputs'!$AC$33),'2. GRI Pricing Inputs'!$AB$32,IF(AND('3. GRI Pricing'!$F114&gt;='2. GRI Pricing Inputs'!$AD$33,'3. GRI Pricing'!$F114&lt;='2. GRI Pricing Inputs'!$AE$33),'2. GRI Pricing Inputs'!$AD$32,IF(AND('3. GRI Pricing'!$F114&gt;='2. GRI Pricing Inputs'!$AF$33,'3. GRI Pricing'!$F114&lt;='2. GRI Pricing Inputs'!$AG$33),'2. GRI Pricing Inputs'!$AF$32,IF(AND('3. GRI Pricing'!$F114&gt;='2. GRI Pricing Inputs'!$AH$33,'3. GRI Pricing'!$F114&lt;='2. GRI Pricing Inputs'!$AI$33),'2. GRI Pricing Inputs'!$AH$32,0))))))))))))))))</f>
        <v>10</v>
      </c>
      <c r="N114" s="273" cm="1">
        <f t="array" ref="N114">IFERROR(INDEX('2. GRI Pricing Inputs'!$C$32:$AI$39,MATCH('3. GRI Pricing'!D114,'2. GRI Pricing Inputs'!$C$32:$C$39,0),(MATCH('3. GRI Pricing'!M114,'2. GRI Pricing Inputs'!$D$32:$AI$32,0)+1)),0)</f>
        <v>40</v>
      </c>
      <c r="O114" s="273">
        <f>IFERROR(INDEX('2. GRI Pricing Inputs'!$C$45:$AI$46,MATCH($O$16,'2. GRI Pricing Inputs'!$C$45:$C$46,0),MATCH(G114,'2. GRI Pricing Inputs'!$C$45:$AI$45,0)),0)</f>
        <v>90</v>
      </c>
      <c r="P114" s="273">
        <f>IFERROR(INDEX('2. GRI Pricing Inputs'!$C$53:$AI$54,MATCH('3. GRI Pricing'!$P$16,'2. GRI Pricing Inputs'!$C$53:$C$54,0),MATCH('3. GRI Pricing'!H114,'2. GRI Pricing Inputs'!$C$53:$AI$53,0)),0)</f>
        <v>25</v>
      </c>
      <c r="Q114" s="273">
        <f>IFERROR(INDEX('2. GRI Pricing Inputs'!$C$60:$AI$61,MATCH('3. GRI Pricing'!$Q$16,'2. GRI Pricing Inputs'!$C$60:$C$61,0),MATCH('1. Accomodation'!T118,'2. GRI Pricing Inputs'!$C$60:$AI$60,0)),0)</f>
        <v>0</v>
      </c>
      <c r="R114" s="273">
        <f>IFERROR(INDEX('2. GRI Pricing Inputs'!$C$67:$AI$68,MATCH('3. GRI Pricing'!$R$16,'2. GRI Pricing Inputs'!$C$67:$C$68,0),MATCH('1. Accomodation'!U118,'2. GRI Pricing Inputs'!$C$67:$AI$67,0)),0)</f>
        <v>0</v>
      </c>
      <c r="S114" s="273">
        <f>IF(D114=0,0,'2. GRI Pricing Inputs'!$AI$75)</f>
        <v>70</v>
      </c>
      <c r="T114" s="273">
        <f>IFERROR(INDEX('2. GRI Pricing Inputs'!$C$82:$AI$83,MATCH('3. GRI Pricing'!$T$16,'2. GRI Pricing Inputs'!$C$82:$C$83,0),MATCH('1. Accomodation'!V118,'2. GRI Pricing Inputs'!$C$82:$AI$82,0)),0)</f>
        <v>0</v>
      </c>
      <c r="U114" s="273">
        <f>IFERROR(INDEX('2. GRI Pricing Inputs'!$C$89:$AI$90,MATCH('3. GRI Pricing'!$U$16,'2. GRI Pricing Inputs'!$C$89:$C$90,0),MATCH('1. Accomodation'!W118,'2. GRI Pricing Inputs'!$C$89:$AI$89,0)),0)</f>
        <v>0</v>
      </c>
      <c r="V114" s="273">
        <f>IFERROR(INDEX('2. GRI Pricing Inputs'!$C$97:$AI$98,MATCH('3. GRI Pricing'!$V$16,'2. GRI Pricing Inputs'!$C$97:$C$98,0),MATCH('1. Accomodation'!X118,'2. GRI Pricing Inputs'!$C$97:$AI$97,0)),0)</f>
        <v>0</v>
      </c>
      <c r="W114" s="273">
        <f>IFERROR(INDEX('2. GRI Pricing Inputs'!$C$104:$AI$105,MATCH('3. GRI Pricing'!$W$16,'2. GRI Pricing Inputs'!$C$104:$C$105,0),MATCH('1. Accomodation'!Y118,'2. GRI Pricing Inputs'!$C$104:$AI$104,0)),0)</f>
        <v>0</v>
      </c>
      <c r="X114" s="274">
        <v>0</v>
      </c>
      <c r="Y114" s="275">
        <f t="shared" si="8"/>
        <v>1335</v>
      </c>
      <c r="Z114" s="276"/>
      <c r="AA114" s="276"/>
      <c r="AB114" s="276"/>
      <c r="AC114" s="272">
        <f>Y114*(1+'2. GRI Pricing Inputs'!$D$114)^(($AC$16-$AB$15)/365)</f>
        <v>1339.4543989956123</v>
      </c>
      <c r="AD114" s="273">
        <f>AC114*(1+'2. GRI Pricing Inputs'!$D$114)^((AD$16-AC$16)/365)</f>
        <v>1343.7792584394851</v>
      </c>
      <c r="AE114" s="273">
        <f>AD114*(1+'2. GRI Pricing Inputs'!$D$114)^((AE$16-AD$16)/365)</f>
        <v>1348.2629505586744</v>
      </c>
      <c r="AF114" s="273">
        <f>AE114*(1+'2. GRI Pricing Inputs'!$D$114)^((AF$16-AE$16)/365)</f>
        <v>1352.7616030925997</v>
      </c>
      <c r="AG114" s="273">
        <f>AF114*(1+'2. GRI Pricing Inputs'!$D$114)^((AG$16-AF$16)/365)</f>
        <v>1356.9836079632416</v>
      </c>
      <c r="AH114" s="273">
        <f>AG114*(1+'2. GRI Pricing Inputs'!$D$114)^((AH$16-AG$16)/365)</f>
        <v>1361.5113580908626</v>
      </c>
      <c r="AI114" s="273">
        <f>AH114*(1+'2. GRI Pricing Inputs'!$D$114)^((AI$16-AH$16)/365)</f>
        <v>1365.9074355231326</v>
      </c>
      <c r="AJ114" s="273">
        <f>AI114*(1+'2. GRI Pricing Inputs'!$D$114)^((AJ$16-AI$16)/365)</f>
        <v>1370.4649611477721</v>
      </c>
      <c r="AK114" s="273">
        <f>AJ114*(1+'2. GRI Pricing Inputs'!$D$114)^((AK$16-AJ$16)/365)</f>
        <v>1374.8899481679807</v>
      </c>
      <c r="AL114" s="273">
        <f>AK114*(1+'2. GRI Pricing Inputs'!$D$114)^((AL$16-AK$16)/365)</f>
        <v>1379.4774450999635</v>
      </c>
      <c r="AM114" s="273">
        <f>AL114*(1+'2. GRI Pricing Inputs'!$D$114)^((AM$16-AL$16)/365)</f>
        <v>1384.080248804775</v>
      </c>
      <c r="AN114" s="273">
        <f>AM114*(1+'2. GRI Pricing Inputs'!$D$114)^((AN$16-AM$16)/365)</f>
        <v>1388.5491971613669</v>
      </c>
      <c r="AO114" s="273">
        <f>AN114*(1+'2. GRI Pricing Inputs'!$D$114)^((AO$16-AN$16)/365)</f>
        <v>1393.1822699322988</v>
      </c>
    </row>
    <row r="115" spans="3:41" ht="12" x14ac:dyDescent="0.2">
      <c r="C115" s="76" t="str">
        <f>'1. Accomodation'!N119</f>
        <v>703N</v>
      </c>
      <c r="D115" s="69" t="str">
        <f>'1. Accomodation'!P119</f>
        <v>2 Bed</v>
      </c>
      <c r="E115" s="69">
        <f>'1. Accomodation'!Q119</f>
        <v>2</v>
      </c>
      <c r="F115" s="77">
        <f>'1. Accomodation'!O119</f>
        <v>657</v>
      </c>
      <c r="G115" s="69">
        <f>'1. Accomodation'!R119</f>
        <v>7</v>
      </c>
      <c r="H115" s="69" t="str">
        <f>'1. Accomodation'!S119</f>
        <v>Courtyard</v>
      </c>
      <c r="I115" s="62"/>
      <c r="K115" s="272">
        <f>IFERROR(INDEX('2. GRI Pricing Inputs'!$C$15:$AI$16,MATCH($K$16,'2. GRI Pricing Inputs'!$C$15:$C$16,0),MATCH(D115,'2. GRI Pricing Inputs'!$C$15:$AI$15,0)),0)</f>
        <v>1110</v>
      </c>
      <c r="L115" s="273">
        <f>IFERROR(INDEX('2. GRI Pricing Inputs'!$C$22:$AI$23,MATCH($L$16,'2. GRI Pricing Inputs'!$C$22:$C$23,0),MATCH(E115,'2. GRI Pricing Inputs'!$C$22:$AI$22,0)),0)</f>
        <v>0</v>
      </c>
      <c r="M115" s="328">
        <f>IF(AND('3. GRI Pricing'!$F115&gt;='2. GRI Pricing Inputs'!$D$33,'3. GRI Pricing'!$F115&lt;='2. GRI Pricing Inputs'!$E$33),'2. GRI Pricing Inputs'!$D$32,IF(AND('3. GRI Pricing'!$F115&gt;='2. GRI Pricing Inputs'!$F$33,'3. GRI Pricing'!$F115&lt;='2. GRI Pricing Inputs'!$G$33),'2. GRI Pricing Inputs'!$F$32,IF(AND('3. GRI Pricing'!$F115&gt;='2. GRI Pricing Inputs'!$H$33,'3. GRI Pricing'!$F115&lt;='2. GRI Pricing Inputs'!$I$33),'2. GRI Pricing Inputs'!$H$32,IF(AND('3. GRI Pricing'!$F115&gt;='2. GRI Pricing Inputs'!$J$33,'3. GRI Pricing'!$F115&lt;='2. GRI Pricing Inputs'!$K$33),'2. GRI Pricing Inputs'!$J$32,IF(AND('3. GRI Pricing'!$F115&gt;='2. GRI Pricing Inputs'!$L$33,'3. GRI Pricing'!$F115&lt;='2. GRI Pricing Inputs'!$M$33),'2. GRI Pricing Inputs'!$L$32,IF(AND('3. GRI Pricing'!$F115&gt;='2. GRI Pricing Inputs'!$N$33,'3. GRI Pricing'!$F115&lt;='2. GRI Pricing Inputs'!$O$33),'2. GRI Pricing Inputs'!$N$32,IF(AND('3. GRI Pricing'!$F115&gt;='2. GRI Pricing Inputs'!$P$33,'3. GRI Pricing'!$F115&lt;='2. GRI Pricing Inputs'!$Q$33),'2. GRI Pricing Inputs'!$P$32,IF(AND('3. GRI Pricing'!$F115&gt;='2. GRI Pricing Inputs'!$R$33,'3. GRI Pricing'!$F115&lt;='2. GRI Pricing Inputs'!$S$33),'2. GRI Pricing Inputs'!$R$32,IF(AND('3. GRI Pricing'!$F115&gt;='2. GRI Pricing Inputs'!$T$33,'3. GRI Pricing'!$F115&lt;='2. GRI Pricing Inputs'!$U$33),'2. GRI Pricing Inputs'!$T$32,IF(AND('3. GRI Pricing'!$F115&gt;='2. GRI Pricing Inputs'!$V$33,'3. GRI Pricing'!$F115&lt;='2. GRI Pricing Inputs'!$W$33),'2. GRI Pricing Inputs'!$V$32,IF(AND('3. GRI Pricing'!$F115&gt;='2. GRI Pricing Inputs'!$X$33,'3. GRI Pricing'!$F115&lt;='2. GRI Pricing Inputs'!$Y$33),'2. GRI Pricing Inputs'!$X$32,IF(AND('3. GRI Pricing'!$F115&gt;='2. GRI Pricing Inputs'!$Z$33,'3. GRI Pricing'!$F115&lt;='2. GRI Pricing Inputs'!$AA$33),'2. GRI Pricing Inputs'!$Z$32,IF(AND('3. GRI Pricing'!$F115&gt;='2. GRI Pricing Inputs'!$AB$33,'3. GRI Pricing'!$F115&lt;='2. GRI Pricing Inputs'!$AC$33),'2. GRI Pricing Inputs'!$AB$32,IF(AND('3. GRI Pricing'!$F115&gt;='2. GRI Pricing Inputs'!$AD$33,'3. GRI Pricing'!$F115&lt;='2. GRI Pricing Inputs'!$AE$33),'2. GRI Pricing Inputs'!$AD$32,IF(AND('3. GRI Pricing'!$F115&gt;='2. GRI Pricing Inputs'!$AF$33,'3. GRI Pricing'!$F115&lt;='2. GRI Pricing Inputs'!$AG$33),'2. GRI Pricing Inputs'!$AF$32,IF(AND('3. GRI Pricing'!$F115&gt;='2. GRI Pricing Inputs'!$AH$33,'3. GRI Pricing'!$F115&lt;='2. GRI Pricing Inputs'!$AI$33),'2. GRI Pricing Inputs'!$AH$32,0))))))))))))))))</f>
        <v>8</v>
      </c>
      <c r="N115" s="273" cm="1">
        <f t="array" ref="N115">IFERROR(INDEX('2. GRI Pricing Inputs'!$C$32:$AI$39,MATCH('3. GRI Pricing'!D115,'2. GRI Pricing Inputs'!$C$32:$C$39,0),(MATCH('3. GRI Pricing'!M115,'2. GRI Pricing Inputs'!$D$32:$AI$32,0)+1)),0)</f>
        <v>20</v>
      </c>
      <c r="O115" s="273">
        <f>IFERROR(INDEX('2. GRI Pricing Inputs'!$C$45:$AI$46,MATCH($O$16,'2. GRI Pricing Inputs'!$C$45:$C$46,0),MATCH(G115,'2. GRI Pricing Inputs'!$C$45:$AI$45,0)),0)</f>
        <v>90</v>
      </c>
      <c r="P115" s="273">
        <f>IFERROR(INDEX('2. GRI Pricing Inputs'!$C$53:$AI$54,MATCH('3. GRI Pricing'!$P$16,'2. GRI Pricing Inputs'!$C$53:$C$54,0),MATCH('3. GRI Pricing'!H115,'2. GRI Pricing Inputs'!$C$53:$AI$53,0)),0)</f>
        <v>25</v>
      </c>
      <c r="Q115" s="273">
        <f>IFERROR(INDEX('2. GRI Pricing Inputs'!$C$60:$AI$61,MATCH('3. GRI Pricing'!$Q$16,'2. GRI Pricing Inputs'!$C$60:$C$61,0),MATCH('1. Accomodation'!T119,'2. GRI Pricing Inputs'!$C$60:$AI$60,0)),0)</f>
        <v>0</v>
      </c>
      <c r="R115" s="273">
        <f>IFERROR(INDEX('2. GRI Pricing Inputs'!$C$67:$AI$68,MATCH('3. GRI Pricing'!$R$16,'2. GRI Pricing Inputs'!$C$67:$C$68,0),MATCH('1. Accomodation'!U119,'2. GRI Pricing Inputs'!$C$67:$AI$67,0)),0)</f>
        <v>0</v>
      </c>
      <c r="S115" s="273">
        <f>IF(D115=0,0,'2. GRI Pricing Inputs'!$AI$75)</f>
        <v>70</v>
      </c>
      <c r="T115" s="273">
        <f>IFERROR(INDEX('2. GRI Pricing Inputs'!$C$82:$AI$83,MATCH('3. GRI Pricing'!$T$16,'2. GRI Pricing Inputs'!$C$82:$C$83,0),MATCH('1. Accomodation'!V119,'2. GRI Pricing Inputs'!$C$82:$AI$82,0)),0)</f>
        <v>0</v>
      </c>
      <c r="U115" s="273">
        <f>IFERROR(INDEX('2. GRI Pricing Inputs'!$C$89:$AI$90,MATCH('3. GRI Pricing'!$U$16,'2. GRI Pricing Inputs'!$C$89:$C$90,0),MATCH('1. Accomodation'!W119,'2. GRI Pricing Inputs'!$C$89:$AI$89,0)),0)</f>
        <v>0</v>
      </c>
      <c r="V115" s="273">
        <f>IFERROR(INDEX('2. GRI Pricing Inputs'!$C$97:$AI$98,MATCH('3. GRI Pricing'!$V$16,'2. GRI Pricing Inputs'!$C$97:$C$98,0),MATCH('1. Accomodation'!X119,'2. GRI Pricing Inputs'!$C$97:$AI$97,0)),0)</f>
        <v>0</v>
      </c>
      <c r="W115" s="273">
        <f>IFERROR(INDEX('2. GRI Pricing Inputs'!$C$104:$AI$105,MATCH('3. GRI Pricing'!$W$16,'2. GRI Pricing Inputs'!$C$104:$C$105,0),MATCH('1. Accomodation'!Y119,'2. GRI Pricing Inputs'!$C$104:$AI$104,0)),0)</f>
        <v>0</v>
      </c>
      <c r="X115" s="274">
        <v>0</v>
      </c>
      <c r="Y115" s="275">
        <f t="shared" si="8"/>
        <v>1315</v>
      </c>
      <c r="Z115" s="276"/>
      <c r="AA115" s="276"/>
      <c r="AB115" s="276"/>
      <c r="AC115" s="272">
        <f>Y115*(1+'2. GRI Pricing Inputs'!$D$114)^(($AC$16-$AB$15)/365)</f>
        <v>1319.3876664263898</v>
      </c>
      <c r="AD115" s="273">
        <f>AC115*(1+'2. GRI Pricing Inputs'!$D$114)^((AD$16-AC$16)/365)</f>
        <v>1323.6477339684818</v>
      </c>
      <c r="AE115" s="273">
        <f>AD115*(1+'2. GRI Pricing Inputs'!$D$114)^((AE$16-AD$16)/365)</f>
        <v>1328.0642546701552</v>
      </c>
      <c r="AF115" s="273">
        <f>AE115*(1+'2. GRI Pricing Inputs'!$D$114)^((AF$16-AE$16)/365)</f>
        <v>1332.4955116605008</v>
      </c>
      <c r="AG115" s="273">
        <f>AF115*(1+'2. GRI Pricing Inputs'!$D$114)^((AG$16-AF$16)/365)</f>
        <v>1336.6542655218448</v>
      </c>
      <c r="AH115" s="273">
        <f>AG115*(1+'2. GRI Pricing Inputs'!$D$114)^((AH$16-AG$16)/365)</f>
        <v>1341.1141841868796</v>
      </c>
      <c r="AI115" s="273">
        <f>AH115*(1+'2. GRI Pricing Inputs'!$D$114)^((AI$16-AH$16)/365)</f>
        <v>1345.4444027812131</v>
      </c>
      <c r="AJ115" s="273">
        <f>AI115*(1+'2. GRI Pricing Inputs'!$D$114)^((AJ$16-AI$16)/365)</f>
        <v>1349.9336508684048</v>
      </c>
      <c r="AK115" s="273">
        <f>AJ115*(1+'2. GRI Pricing Inputs'!$D$114)^((AK$16-AJ$16)/365)</f>
        <v>1354.2923459482358</v>
      </c>
      <c r="AL115" s="273">
        <f>AK115*(1+'2. GRI Pricing Inputs'!$D$114)^((AL$16-AK$16)/365)</f>
        <v>1358.8111163344213</v>
      </c>
      <c r="AM115" s="273">
        <f>AL115*(1+'2. GRI Pricing Inputs'!$D$114)^((AM$16-AL$16)/365)</f>
        <v>1363.3449641784864</v>
      </c>
      <c r="AN115" s="273">
        <f>AM115*(1+'2. GRI Pricing Inputs'!$D$114)^((AN$16-AM$16)/365)</f>
        <v>1367.7469619979011</v>
      </c>
      <c r="AO115" s="273">
        <f>AN115*(1+'2. GRI Pricing Inputs'!$D$114)^((AO$16-AN$16)/365)</f>
        <v>1372.3106254389313</v>
      </c>
    </row>
    <row r="116" spans="3:41" ht="12" x14ac:dyDescent="0.2">
      <c r="C116" s="76" t="str">
        <f>'1. Accomodation'!N120</f>
        <v>704N</v>
      </c>
      <c r="D116" s="69" t="str">
        <f>'1. Accomodation'!P120</f>
        <v>3 Bed</v>
      </c>
      <c r="E116" s="69">
        <f>'1. Accomodation'!Q120</f>
        <v>2</v>
      </c>
      <c r="F116" s="77">
        <f>'1. Accomodation'!O120</f>
        <v>818</v>
      </c>
      <c r="G116" s="69">
        <f>'1. Accomodation'!R120</f>
        <v>7</v>
      </c>
      <c r="H116" s="69" t="str">
        <f>'1. Accomodation'!S120</f>
        <v>Pottery Lane</v>
      </c>
      <c r="I116" s="62"/>
      <c r="K116" s="272">
        <f>IFERROR(INDEX('2. GRI Pricing Inputs'!$C$15:$AI$16,MATCH($K$16,'2. GRI Pricing Inputs'!$C$15:$C$16,0),MATCH(D116,'2. GRI Pricing Inputs'!$C$15:$AI$15,0)),0)</f>
        <v>1485</v>
      </c>
      <c r="L116" s="273">
        <f>IFERROR(INDEX('2. GRI Pricing Inputs'!$C$22:$AI$23,MATCH($L$16,'2. GRI Pricing Inputs'!$C$22:$C$23,0),MATCH(E116,'2. GRI Pricing Inputs'!$C$22:$AI$22,0)),0)</f>
        <v>0</v>
      </c>
      <c r="M116" s="328">
        <f>IF(AND('3. GRI Pricing'!$F116&gt;='2. GRI Pricing Inputs'!$D$33,'3. GRI Pricing'!$F116&lt;='2. GRI Pricing Inputs'!$E$33),'2. GRI Pricing Inputs'!$D$32,IF(AND('3. GRI Pricing'!$F116&gt;='2. GRI Pricing Inputs'!$F$33,'3. GRI Pricing'!$F116&lt;='2. GRI Pricing Inputs'!$G$33),'2. GRI Pricing Inputs'!$F$32,IF(AND('3. GRI Pricing'!$F116&gt;='2. GRI Pricing Inputs'!$H$33,'3. GRI Pricing'!$F116&lt;='2. GRI Pricing Inputs'!$I$33),'2. GRI Pricing Inputs'!$H$32,IF(AND('3. GRI Pricing'!$F116&gt;='2. GRI Pricing Inputs'!$J$33,'3. GRI Pricing'!$F116&lt;='2. GRI Pricing Inputs'!$K$33),'2. GRI Pricing Inputs'!$J$32,IF(AND('3. GRI Pricing'!$F116&gt;='2. GRI Pricing Inputs'!$L$33,'3. GRI Pricing'!$F116&lt;='2. GRI Pricing Inputs'!$M$33),'2. GRI Pricing Inputs'!$L$32,IF(AND('3. GRI Pricing'!$F116&gt;='2. GRI Pricing Inputs'!$N$33,'3. GRI Pricing'!$F116&lt;='2. GRI Pricing Inputs'!$O$33),'2. GRI Pricing Inputs'!$N$32,IF(AND('3. GRI Pricing'!$F116&gt;='2. GRI Pricing Inputs'!$P$33,'3. GRI Pricing'!$F116&lt;='2. GRI Pricing Inputs'!$Q$33),'2. GRI Pricing Inputs'!$P$32,IF(AND('3. GRI Pricing'!$F116&gt;='2. GRI Pricing Inputs'!$R$33,'3. GRI Pricing'!$F116&lt;='2. GRI Pricing Inputs'!$S$33),'2. GRI Pricing Inputs'!$R$32,IF(AND('3. GRI Pricing'!$F116&gt;='2. GRI Pricing Inputs'!$T$33,'3. GRI Pricing'!$F116&lt;='2. GRI Pricing Inputs'!$U$33),'2. GRI Pricing Inputs'!$T$32,IF(AND('3. GRI Pricing'!$F116&gt;='2. GRI Pricing Inputs'!$V$33,'3. GRI Pricing'!$F116&lt;='2. GRI Pricing Inputs'!$W$33),'2. GRI Pricing Inputs'!$V$32,IF(AND('3. GRI Pricing'!$F116&gt;='2. GRI Pricing Inputs'!$X$33,'3. GRI Pricing'!$F116&lt;='2. GRI Pricing Inputs'!$Y$33),'2. GRI Pricing Inputs'!$X$32,IF(AND('3. GRI Pricing'!$F116&gt;='2. GRI Pricing Inputs'!$Z$33,'3. GRI Pricing'!$F116&lt;='2. GRI Pricing Inputs'!$AA$33),'2. GRI Pricing Inputs'!$Z$32,IF(AND('3. GRI Pricing'!$F116&gt;='2. GRI Pricing Inputs'!$AB$33,'3. GRI Pricing'!$F116&lt;='2. GRI Pricing Inputs'!$AC$33),'2. GRI Pricing Inputs'!$AB$32,IF(AND('3. GRI Pricing'!$F116&gt;='2. GRI Pricing Inputs'!$AD$33,'3. GRI Pricing'!$F116&lt;='2. GRI Pricing Inputs'!$AE$33),'2. GRI Pricing Inputs'!$AD$32,IF(AND('3. GRI Pricing'!$F116&gt;='2. GRI Pricing Inputs'!$AF$33,'3. GRI Pricing'!$F116&lt;='2. GRI Pricing Inputs'!$AG$33),'2. GRI Pricing Inputs'!$AF$32,IF(AND('3. GRI Pricing'!$F116&gt;='2. GRI Pricing Inputs'!$AH$33,'3. GRI Pricing'!$F116&lt;='2. GRI Pricing Inputs'!$AI$33),'2. GRI Pricing Inputs'!$AH$32,0))))))))))))))))</f>
        <v>13</v>
      </c>
      <c r="N116" s="273" cm="1">
        <f t="array" ref="N116">IFERROR(INDEX('2. GRI Pricing Inputs'!$C$32:$AI$39,MATCH('3. GRI Pricing'!D116,'2. GRI Pricing Inputs'!$C$32:$C$39,0),(MATCH('3. GRI Pricing'!M116,'2. GRI Pricing Inputs'!$D$32:$AI$32,0)+1)),0)</f>
        <v>50</v>
      </c>
      <c r="O116" s="273">
        <f>IFERROR(INDEX('2. GRI Pricing Inputs'!$C$45:$AI$46,MATCH($O$16,'2. GRI Pricing Inputs'!$C$45:$C$46,0),MATCH(G116,'2. GRI Pricing Inputs'!$C$45:$AI$45,0)),0)</f>
        <v>90</v>
      </c>
      <c r="P116" s="273">
        <f>IFERROR(INDEX('2. GRI Pricing Inputs'!$C$53:$AI$54,MATCH('3. GRI Pricing'!$P$16,'2. GRI Pricing Inputs'!$C$53:$C$54,0),MATCH('3. GRI Pricing'!H116,'2. GRI Pricing Inputs'!$C$53:$AI$53,0)),0)</f>
        <v>10</v>
      </c>
      <c r="Q116" s="273">
        <f>IFERROR(INDEX('2. GRI Pricing Inputs'!$C$60:$AI$61,MATCH('3. GRI Pricing'!$Q$16,'2. GRI Pricing Inputs'!$C$60:$C$61,0),MATCH('1. Accomodation'!T120,'2. GRI Pricing Inputs'!$C$60:$AI$60,0)),0)</f>
        <v>0</v>
      </c>
      <c r="R116" s="273">
        <f>IFERROR(INDEX('2. GRI Pricing Inputs'!$C$67:$AI$68,MATCH('3. GRI Pricing'!$R$16,'2. GRI Pricing Inputs'!$C$67:$C$68,0),MATCH('1. Accomodation'!U120,'2. GRI Pricing Inputs'!$C$67:$AI$67,0)),0)</f>
        <v>0</v>
      </c>
      <c r="S116" s="273">
        <f>IF(D116=0,0,'2. GRI Pricing Inputs'!$AI$75)</f>
        <v>70</v>
      </c>
      <c r="T116" s="273">
        <f>IFERROR(INDEX('2. GRI Pricing Inputs'!$C$82:$AI$83,MATCH('3. GRI Pricing'!$T$16,'2. GRI Pricing Inputs'!$C$82:$C$83,0),MATCH('1. Accomodation'!V120,'2. GRI Pricing Inputs'!$C$82:$AI$82,0)),0)</f>
        <v>0</v>
      </c>
      <c r="U116" s="273">
        <f>IFERROR(INDEX('2. GRI Pricing Inputs'!$C$89:$AI$90,MATCH('3. GRI Pricing'!$U$16,'2. GRI Pricing Inputs'!$C$89:$C$90,0),MATCH('1. Accomodation'!W120,'2. GRI Pricing Inputs'!$C$89:$AI$89,0)),0)</f>
        <v>0</v>
      </c>
      <c r="V116" s="273">
        <f>IFERROR(INDEX('2. GRI Pricing Inputs'!$C$97:$AI$98,MATCH('3. GRI Pricing'!$V$16,'2. GRI Pricing Inputs'!$C$97:$C$98,0),MATCH('1. Accomodation'!X120,'2. GRI Pricing Inputs'!$C$97:$AI$97,0)),0)</f>
        <v>0</v>
      </c>
      <c r="W116" s="273">
        <f>IFERROR(INDEX('2. GRI Pricing Inputs'!$C$104:$AI$105,MATCH('3. GRI Pricing'!$W$16,'2. GRI Pricing Inputs'!$C$104:$C$105,0),MATCH('1. Accomodation'!Y120,'2. GRI Pricing Inputs'!$C$104:$AI$104,0)),0)</f>
        <v>0</v>
      </c>
      <c r="X116" s="274">
        <v>0</v>
      </c>
      <c r="Y116" s="275">
        <f t="shared" si="8"/>
        <v>1705</v>
      </c>
      <c r="Z116" s="276"/>
      <c r="AA116" s="276"/>
      <c r="AB116" s="276"/>
      <c r="AC116" s="272">
        <f>Y116*(1+'2. GRI Pricing Inputs'!$D$114)^(($AC$16-$AB$15)/365)</f>
        <v>1710.6889515262317</v>
      </c>
      <c r="AD116" s="273">
        <f>AC116*(1+'2. GRI Pricing Inputs'!$D$114)^((AD$16-AC$16)/365)</f>
        <v>1716.2124611530505</v>
      </c>
      <c r="AE116" s="273">
        <f>AD116*(1+'2. GRI Pricing Inputs'!$D$114)^((AE$16-AD$16)/365)</f>
        <v>1721.9388244962847</v>
      </c>
      <c r="AF116" s="273">
        <f>AE116*(1+'2. GRI Pricing Inputs'!$D$114)^((AF$16-AE$16)/365)</f>
        <v>1727.6842945864287</v>
      </c>
      <c r="AG116" s="273">
        <f>AF116*(1+'2. GRI Pricing Inputs'!$D$114)^((AG$16-AF$16)/365)</f>
        <v>1733.0764431290836</v>
      </c>
      <c r="AH116" s="273">
        <f>AG116*(1+'2. GRI Pricing Inputs'!$D$114)^((AH$16-AG$16)/365)</f>
        <v>1738.859075314547</v>
      </c>
      <c r="AI116" s="273">
        <f>AH116*(1+'2. GRI Pricing Inputs'!$D$114)^((AI$16-AH$16)/365)</f>
        <v>1744.4735412486448</v>
      </c>
      <c r="AJ116" s="273">
        <f>AI116*(1+'2. GRI Pricing Inputs'!$D$114)^((AJ$16-AI$16)/365)</f>
        <v>1750.2942013160684</v>
      </c>
      <c r="AK116" s="273">
        <f>AJ116*(1+'2. GRI Pricing Inputs'!$D$114)^((AK$16-AJ$16)/365)</f>
        <v>1755.9455892332637</v>
      </c>
      <c r="AL116" s="273">
        <f>AK116*(1+'2. GRI Pricing Inputs'!$D$114)^((AL$16-AK$16)/365)</f>
        <v>1761.8045272625002</v>
      </c>
      <c r="AM116" s="273">
        <f>AL116*(1+'2. GRI Pricing Inputs'!$D$114)^((AM$16-AL$16)/365)</f>
        <v>1767.683014391117</v>
      </c>
      <c r="AN116" s="273">
        <f>AM116*(1+'2. GRI Pricing Inputs'!$D$114)^((AN$16-AM$16)/365)</f>
        <v>1773.3905476854909</v>
      </c>
      <c r="AO116" s="273">
        <f>AN116*(1+'2. GRI Pricing Inputs'!$D$114)^((AO$16-AN$16)/365)</f>
        <v>1779.3076930596023</v>
      </c>
    </row>
    <row r="117" spans="3:41" ht="12" x14ac:dyDescent="0.2">
      <c r="C117" s="76" t="str">
        <f>'1. Accomodation'!N121</f>
        <v>705N</v>
      </c>
      <c r="D117" s="69" t="str">
        <f>'1. Accomodation'!P121</f>
        <v>2 Bed</v>
      </c>
      <c r="E117" s="69">
        <f>'1. Accomodation'!Q121</f>
        <v>2</v>
      </c>
      <c r="F117" s="77">
        <f>'1. Accomodation'!O121</f>
        <v>646</v>
      </c>
      <c r="G117" s="69">
        <f>'1. Accomodation'!R121</f>
        <v>7</v>
      </c>
      <c r="H117" s="69" t="str">
        <f>'1. Accomodation'!S121</f>
        <v>Forth Banks</v>
      </c>
      <c r="I117" s="62"/>
      <c r="K117" s="272">
        <f>IFERROR(INDEX('2. GRI Pricing Inputs'!$C$15:$AI$16,MATCH($K$16,'2. GRI Pricing Inputs'!$C$15:$C$16,0),MATCH(D117,'2. GRI Pricing Inputs'!$C$15:$AI$15,0)),0)</f>
        <v>1110</v>
      </c>
      <c r="L117" s="273">
        <f>IFERROR(INDEX('2. GRI Pricing Inputs'!$C$22:$AI$23,MATCH($L$16,'2. GRI Pricing Inputs'!$C$22:$C$23,0),MATCH(E117,'2. GRI Pricing Inputs'!$C$22:$AI$22,0)),0)</f>
        <v>0</v>
      </c>
      <c r="M117" s="328">
        <f>IF(AND('3. GRI Pricing'!$F117&gt;='2. GRI Pricing Inputs'!$D$33,'3. GRI Pricing'!$F117&lt;='2. GRI Pricing Inputs'!$E$33),'2. GRI Pricing Inputs'!$D$32,IF(AND('3. GRI Pricing'!$F117&gt;='2. GRI Pricing Inputs'!$F$33,'3. GRI Pricing'!$F117&lt;='2. GRI Pricing Inputs'!$G$33),'2. GRI Pricing Inputs'!$F$32,IF(AND('3. GRI Pricing'!$F117&gt;='2. GRI Pricing Inputs'!$H$33,'3. GRI Pricing'!$F117&lt;='2. GRI Pricing Inputs'!$I$33),'2. GRI Pricing Inputs'!$H$32,IF(AND('3. GRI Pricing'!$F117&gt;='2. GRI Pricing Inputs'!$J$33,'3. GRI Pricing'!$F117&lt;='2. GRI Pricing Inputs'!$K$33),'2. GRI Pricing Inputs'!$J$32,IF(AND('3. GRI Pricing'!$F117&gt;='2. GRI Pricing Inputs'!$L$33,'3. GRI Pricing'!$F117&lt;='2. GRI Pricing Inputs'!$M$33),'2. GRI Pricing Inputs'!$L$32,IF(AND('3. GRI Pricing'!$F117&gt;='2. GRI Pricing Inputs'!$N$33,'3. GRI Pricing'!$F117&lt;='2. GRI Pricing Inputs'!$O$33),'2. GRI Pricing Inputs'!$N$32,IF(AND('3. GRI Pricing'!$F117&gt;='2. GRI Pricing Inputs'!$P$33,'3. GRI Pricing'!$F117&lt;='2. GRI Pricing Inputs'!$Q$33),'2. GRI Pricing Inputs'!$P$32,IF(AND('3. GRI Pricing'!$F117&gt;='2. GRI Pricing Inputs'!$R$33,'3. GRI Pricing'!$F117&lt;='2. GRI Pricing Inputs'!$S$33),'2. GRI Pricing Inputs'!$R$32,IF(AND('3. GRI Pricing'!$F117&gt;='2. GRI Pricing Inputs'!$T$33,'3. GRI Pricing'!$F117&lt;='2. GRI Pricing Inputs'!$U$33),'2. GRI Pricing Inputs'!$T$32,IF(AND('3. GRI Pricing'!$F117&gt;='2. GRI Pricing Inputs'!$V$33,'3. GRI Pricing'!$F117&lt;='2. GRI Pricing Inputs'!$W$33),'2. GRI Pricing Inputs'!$V$32,IF(AND('3. GRI Pricing'!$F117&gt;='2. GRI Pricing Inputs'!$X$33,'3. GRI Pricing'!$F117&lt;='2. GRI Pricing Inputs'!$Y$33),'2. GRI Pricing Inputs'!$X$32,IF(AND('3. GRI Pricing'!$F117&gt;='2. GRI Pricing Inputs'!$Z$33,'3. GRI Pricing'!$F117&lt;='2. GRI Pricing Inputs'!$AA$33),'2. GRI Pricing Inputs'!$Z$32,IF(AND('3. GRI Pricing'!$F117&gt;='2. GRI Pricing Inputs'!$AB$33,'3. GRI Pricing'!$F117&lt;='2. GRI Pricing Inputs'!$AC$33),'2. GRI Pricing Inputs'!$AB$32,IF(AND('3. GRI Pricing'!$F117&gt;='2. GRI Pricing Inputs'!$AD$33,'3. GRI Pricing'!$F117&lt;='2. GRI Pricing Inputs'!$AE$33),'2. GRI Pricing Inputs'!$AD$32,IF(AND('3. GRI Pricing'!$F117&gt;='2. GRI Pricing Inputs'!$AF$33,'3. GRI Pricing'!$F117&lt;='2. GRI Pricing Inputs'!$AG$33),'2. GRI Pricing Inputs'!$AF$32,IF(AND('3. GRI Pricing'!$F117&gt;='2. GRI Pricing Inputs'!$AH$33,'3. GRI Pricing'!$F117&lt;='2. GRI Pricing Inputs'!$AI$33),'2. GRI Pricing Inputs'!$AH$32,0))))))))))))))))</f>
        <v>8</v>
      </c>
      <c r="N117" s="273" cm="1">
        <f t="array" ref="N117">IFERROR(INDEX('2. GRI Pricing Inputs'!$C$32:$AI$39,MATCH('3. GRI Pricing'!D117,'2. GRI Pricing Inputs'!$C$32:$C$39,0),(MATCH('3. GRI Pricing'!M117,'2. GRI Pricing Inputs'!$D$32:$AI$32,0)+1)),0)</f>
        <v>20</v>
      </c>
      <c r="O117" s="273">
        <f>IFERROR(INDEX('2. GRI Pricing Inputs'!$C$45:$AI$46,MATCH($O$16,'2. GRI Pricing Inputs'!$C$45:$C$46,0),MATCH(G117,'2. GRI Pricing Inputs'!$C$45:$AI$45,0)),0)</f>
        <v>90</v>
      </c>
      <c r="P117" s="273">
        <f>IFERROR(INDEX('2. GRI Pricing Inputs'!$C$53:$AI$54,MATCH('3. GRI Pricing'!$P$16,'2. GRI Pricing Inputs'!$C$53:$C$54,0),MATCH('3. GRI Pricing'!H117,'2. GRI Pricing Inputs'!$C$53:$AI$53,0)),0)</f>
        <v>5</v>
      </c>
      <c r="Q117" s="273">
        <f>IFERROR(INDEX('2. GRI Pricing Inputs'!$C$60:$AI$61,MATCH('3. GRI Pricing'!$Q$16,'2. GRI Pricing Inputs'!$C$60:$C$61,0),MATCH('1. Accomodation'!T121,'2. GRI Pricing Inputs'!$C$60:$AI$60,0)),0)</f>
        <v>0</v>
      </c>
      <c r="R117" s="273">
        <f>IFERROR(INDEX('2. GRI Pricing Inputs'!$C$67:$AI$68,MATCH('3. GRI Pricing'!$R$16,'2. GRI Pricing Inputs'!$C$67:$C$68,0),MATCH('1. Accomodation'!U121,'2. GRI Pricing Inputs'!$C$67:$AI$67,0)),0)</f>
        <v>0</v>
      </c>
      <c r="S117" s="273">
        <f>IF(D117=0,0,'2. GRI Pricing Inputs'!$AI$75)</f>
        <v>70</v>
      </c>
      <c r="T117" s="273">
        <f>IFERROR(INDEX('2. GRI Pricing Inputs'!$C$82:$AI$83,MATCH('3. GRI Pricing'!$T$16,'2. GRI Pricing Inputs'!$C$82:$C$83,0),MATCH('1. Accomodation'!V121,'2. GRI Pricing Inputs'!$C$82:$AI$82,0)),0)</f>
        <v>0</v>
      </c>
      <c r="U117" s="273">
        <f>IFERROR(INDEX('2. GRI Pricing Inputs'!$C$89:$AI$90,MATCH('3. GRI Pricing'!$U$16,'2. GRI Pricing Inputs'!$C$89:$C$90,0),MATCH('1. Accomodation'!W121,'2. GRI Pricing Inputs'!$C$89:$AI$89,0)),0)</f>
        <v>0</v>
      </c>
      <c r="V117" s="273">
        <f>IFERROR(INDEX('2. GRI Pricing Inputs'!$C$97:$AI$98,MATCH('3. GRI Pricing'!$V$16,'2. GRI Pricing Inputs'!$C$97:$C$98,0),MATCH('1. Accomodation'!X121,'2. GRI Pricing Inputs'!$C$97:$AI$97,0)),0)</f>
        <v>0</v>
      </c>
      <c r="W117" s="273">
        <f>IFERROR(INDEX('2. GRI Pricing Inputs'!$C$104:$AI$105,MATCH('3. GRI Pricing'!$W$16,'2. GRI Pricing Inputs'!$C$104:$C$105,0),MATCH('1. Accomodation'!Y121,'2. GRI Pricing Inputs'!$C$104:$AI$104,0)),0)</f>
        <v>0</v>
      </c>
      <c r="X117" s="274">
        <v>0</v>
      </c>
      <c r="Y117" s="275">
        <f t="shared" si="8"/>
        <v>1295</v>
      </c>
      <c r="Z117" s="276"/>
      <c r="AA117" s="276"/>
      <c r="AB117" s="276"/>
      <c r="AC117" s="272">
        <f>Y117*(1+'2. GRI Pricing Inputs'!$D$114)^(($AC$16-$AB$15)/365)</f>
        <v>1299.3209338571671</v>
      </c>
      <c r="AD117" s="273">
        <f>AC117*(1+'2. GRI Pricing Inputs'!$D$114)^((AD$16-AC$16)/365)</f>
        <v>1303.5162094974783</v>
      </c>
      <c r="AE117" s="273">
        <f>AD117*(1+'2. GRI Pricing Inputs'!$D$114)^((AE$16-AD$16)/365)</f>
        <v>1307.8655587816356</v>
      </c>
      <c r="AF117" s="273">
        <f>AE117*(1+'2. GRI Pricing Inputs'!$D$114)^((AF$16-AE$16)/365)</f>
        <v>1312.229420228402</v>
      </c>
      <c r="AG117" s="273">
        <f>AF117*(1+'2. GRI Pricing Inputs'!$D$114)^((AG$16-AF$16)/365)</f>
        <v>1316.3249230804479</v>
      </c>
      <c r="AH117" s="273">
        <f>AG117*(1+'2. GRI Pricing Inputs'!$D$114)^((AH$16-AG$16)/365)</f>
        <v>1320.7170102828968</v>
      </c>
      <c r="AI117" s="273">
        <f>AH117*(1+'2. GRI Pricing Inputs'!$D$114)^((AI$16-AH$16)/365)</f>
        <v>1324.9813700392936</v>
      </c>
      <c r="AJ117" s="273">
        <f>AI117*(1+'2. GRI Pricing Inputs'!$D$114)^((AJ$16-AI$16)/365)</f>
        <v>1329.4023405890375</v>
      </c>
      <c r="AK117" s="273">
        <f>AJ117*(1+'2. GRI Pricing Inputs'!$D$114)^((AK$16-AJ$16)/365)</f>
        <v>1333.6947437284907</v>
      </c>
      <c r="AL117" s="273">
        <f>AK117*(1+'2. GRI Pricing Inputs'!$D$114)^((AL$16-AK$16)/365)</f>
        <v>1338.1447875688787</v>
      </c>
      <c r="AM117" s="273">
        <f>AL117*(1+'2. GRI Pricing Inputs'!$D$114)^((AM$16-AL$16)/365)</f>
        <v>1342.6096795521976</v>
      </c>
      <c r="AN117" s="273">
        <f>AM117*(1+'2. GRI Pricing Inputs'!$D$114)^((AN$16-AM$16)/365)</f>
        <v>1346.9447268344347</v>
      </c>
      <c r="AO117" s="273">
        <f>AN117*(1+'2. GRI Pricing Inputs'!$D$114)^((AO$16-AN$16)/365)</f>
        <v>1351.4389809455633</v>
      </c>
    </row>
    <row r="118" spans="3:41" ht="12" x14ac:dyDescent="0.2">
      <c r="C118" s="76" t="str">
        <f>'1. Accomodation'!N122</f>
        <v>706N</v>
      </c>
      <c r="D118" s="69" t="str">
        <f>'1. Accomodation'!P122</f>
        <v>2 Bed</v>
      </c>
      <c r="E118" s="69">
        <f>'1. Accomodation'!Q122</f>
        <v>2</v>
      </c>
      <c r="F118" s="77">
        <f>'1. Accomodation'!O122</f>
        <v>624</v>
      </c>
      <c r="G118" s="69">
        <f>'1. Accomodation'!R122</f>
        <v>7</v>
      </c>
      <c r="H118" s="69" t="str">
        <f>'1. Accomodation'!S122</f>
        <v>Forth Banks</v>
      </c>
      <c r="I118" s="62"/>
      <c r="K118" s="272">
        <f>IFERROR(INDEX('2. GRI Pricing Inputs'!$C$15:$AI$16,MATCH($K$16,'2. GRI Pricing Inputs'!$C$15:$C$16,0),MATCH(D118,'2. GRI Pricing Inputs'!$C$15:$AI$15,0)),0)</f>
        <v>1110</v>
      </c>
      <c r="L118" s="273">
        <f>IFERROR(INDEX('2. GRI Pricing Inputs'!$C$22:$AI$23,MATCH($L$16,'2. GRI Pricing Inputs'!$C$22:$C$23,0),MATCH(E118,'2. GRI Pricing Inputs'!$C$22:$AI$22,0)),0)</f>
        <v>0</v>
      </c>
      <c r="M118" s="328">
        <f>IF(AND('3. GRI Pricing'!$F118&gt;='2. GRI Pricing Inputs'!$D$33,'3. GRI Pricing'!$F118&lt;='2. GRI Pricing Inputs'!$E$33),'2. GRI Pricing Inputs'!$D$32,IF(AND('3. GRI Pricing'!$F118&gt;='2. GRI Pricing Inputs'!$F$33,'3. GRI Pricing'!$F118&lt;='2. GRI Pricing Inputs'!$G$33),'2. GRI Pricing Inputs'!$F$32,IF(AND('3. GRI Pricing'!$F118&gt;='2. GRI Pricing Inputs'!$H$33,'3. GRI Pricing'!$F118&lt;='2. GRI Pricing Inputs'!$I$33),'2. GRI Pricing Inputs'!$H$32,IF(AND('3. GRI Pricing'!$F118&gt;='2. GRI Pricing Inputs'!$J$33,'3. GRI Pricing'!$F118&lt;='2. GRI Pricing Inputs'!$K$33),'2. GRI Pricing Inputs'!$J$32,IF(AND('3. GRI Pricing'!$F118&gt;='2. GRI Pricing Inputs'!$L$33,'3. GRI Pricing'!$F118&lt;='2. GRI Pricing Inputs'!$M$33),'2. GRI Pricing Inputs'!$L$32,IF(AND('3. GRI Pricing'!$F118&gt;='2. GRI Pricing Inputs'!$N$33,'3. GRI Pricing'!$F118&lt;='2. GRI Pricing Inputs'!$O$33),'2. GRI Pricing Inputs'!$N$32,IF(AND('3. GRI Pricing'!$F118&gt;='2. GRI Pricing Inputs'!$P$33,'3. GRI Pricing'!$F118&lt;='2. GRI Pricing Inputs'!$Q$33),'2. GRI Pricing Inputs'!$P$32,IF(AND('3. GRI Pricing'!$F118&gt;='2. GRI Pricing Inputs'!$R$33,'3. GRI Pricing'!$F118&lt;='2. GRI Pricing Inputs'!$S$33),'2. GRI Pricing Inputs'!$R$32,IF(AND('3. GRI Pricing'!$F118&gt;='2. GRI Pricing Inputs'!$T$33,'3. GRI Pricing'!$F118&lt;='2. GRI Pricing Inputs'!$U$33),'2. GRI Pricing Inputs'!$T$32,IF(AND('3. GRI Pricing'!$F118&gt;='2. GRI Pricing Inputs'!$V$33,'3. GRI Pricing'!$F118&lt;='2. GRI Pricing Inputs'!$W$33),'2. GRI Pricing Inputs'!$V$32,IF(AND('3. GRI Pricing'!$F118&gt;='2. GRI Pricing Inputs'!$X$33,'3. GRI Pricing'!$F118&lt;='2. GRI Pricing Inputs'!$Y$33),'2. GRI Pricing Inputs'!$X$32,IF(AND('3. GRI Pricing'!$F118&gt;='2. GRI Pricing Inputs'!$Z$33,'3. GRI Pricing'!$F118&lt;='2. GRI Pricing Inputs'!$AA$33),'2. GRI Pricing Inputs'!$Z$32,IF(AND('3. GRI Pricing'!$F118&gt;='2. GRI Pricing Inputs'!$AB$33,'3. GRI Pricing'!$F118&lt;='2. GRI Pricing Inputs'!$AC$33),'2. GRI Pricing Inputs'!$AB$32,IF(AND('3. GRI Pricing'!$F118&gt;='2. GRI Pricing Inputs'!$AD$33,'3. GRI Pricing'!$F118&lt;='2. GRI Pricing Inputs'!$AE$33),'2. GRI Pricing Inputs'!$AD$32,IF(AND('3. GRI Pricing'!$F118&gt;='2. GRI Pricing Inputs'!$AF$33,'3. GRI Pricing'!$F118&lt;='2. GRI Pricing Inputs'!$AG$33),'2. GRI Pricing Inputs'!$AF$32,IF(AND('3. GRI Pricing'!$F118&gt;='2. GRI Pricing Inputs'!$AH$33,'3. GRI Pricing'!$F118&lt;='2. GRI Pricing Inputs'!$AI$33),'2. GRI Pricing Inputs'!$AH$32,0))))))))))))))))</f>
        <v>7</v>
      </c>
      <c r="N118" s="273" cm="1">
        <f t="array" ref="N118">IFERROR(INDEX('2. GRI Pricing Inputs'!$C$32:$AI$39,MATCH('3. GRI Pricing'!D118,'2. GRI Pricing Inputs'!$C$32:$C$39,0),(MATCH('3. GRI Pricing'!M118,'2. GRI Pricing Inputs'!$D$32:$AI$32,0)+1)),0)</f>
        <v>10</v>
      </c>
      <c r="O118" s="273">
        <f>IFERROR(INDEX('2. GRI Pricing Inputs'!$C$45:$AI$46,MATCH($O$16,'2. GRI Pricing Inputs'!$C$45:$C$46,0),MATCH(G118,'2. GRI Pricing Inputs'!$C$45:$AI$45,0)),0)</f>
        <v>90</v>
      </c>
      <c r="P118" s="273">
        <f>IFERROR(INDEX('2. GRI Pricing Inputs'!$C$53:$AI$54,MATCH('3. GRI Pricing'!$P$16,'2. GRI Pricing Inputs'!$C$53:$C$54,0),MATCH('3. GRI Pricing'!H118,'2. GRI Pricing Inputs'!$C$53:$AI$53,0)),0)</f>
        <v>5</v>
      </c>
      <c r="Q118" s="273">
        <f>IFERROR(INDEX('2. GRI Pricing Inputs'!$C$60:$AI$61,MATCH('3. GRI Pricing'!$Q$16,'2. GRI Pricing Inputs'!$C$60:$C$61,0),MATCH('1. Accomodation'!T122,'2. GRI Pricing Inputs'!$C$60:$AI$60,0)),0)</f>
        <v>0</v>
      </c>
      <c r="R118" s="273">
        <f>IFERROR(INDEX('2. GRI Pricing Inputs'!$C$67:$AI$68,MATCH('3. GRI Pricing'!$R$16,'2. GRI Pricing Inputs'!$C$67:$C$68,0),MATCH('1. Accomodation'!U122,'2. GRI Pricing Inputs'!$C$67:$AI$67,0)),0)</f>
        <v>0</v>
      </c>
      <c r="S118" s="273">
        <f>IF(D118=0,0,'2. GRI Pricing Inputs'!$AI$75)</f>
        <v>70</v>
      </c>
      <c r="T118" s="273">
        <f>IFERROR(INDEX('2. GRI Pricing Inputs'!$C$82:$AI$83,MATCH('3. GRI Pricing'!$T$16,'2. GRI Pricing Inputs'!$C$82:$C$83,0),MATCH('1. Accomodation'!V122,'2. GRI Pricing Inputs'!$C$82:$AI$82,0)),0)</f>
        <v>0</v>
      </c>
      <c r="U118" s="273">
        <f>IFERROR(INDEX('2. GRI Pricing Inputs'!$C$89:$AI$90,MATCH('3. GRI Pricing'!$U$16,'2. GRI Pricing Inputs'!$C$89:$C$90,0),MATCH('1. Accomodation'!W122,'2. GRI Pricing Inputs'!$C$89:$AI$89,0)),0)</f>
        <v>0</v>
      </c>
      <c r="V118" s="273">
        <f>IFERROR(INDEX('2. GRI Pricing Inputs'!$C$97:$AI$98,MATCH('3. GRI Pricing'!$V$16,'2. GRI Pricing Inputs'!$C$97:$C$98,0),MATCH('1. Accomodation'!X122,'2. GRI Pricing Inputs'!$C$97:$AI$97,0)),0)</f>
        <v>0</v>
      </c>
      <c r="W118" s="273">
        <f>IFERROR(INDEX('2. GRI Pricing Inputs'!$C$104:$AI$105,MATCH('3. GRI Pricing'!$W$16,'2. GRI Pricing Inputs'!$C$104:$C$105,0),MATCH('1. Accomodation'!Y122,'2. GRI Pricing Inputs'!$C$104:$AI$104,0)),0)</f>
        <v>0</v>
      </c>
      <c r="X118" s="274">
        <v>0</v>
      </c>
      <c r="Y118" s="275">
        <f t="shared" si="8"/>
        <v>1285</v>
      </c>
      <c r="Z118" s="276"/>
      <c r="AA118" s="276"/>
      <c r="AB118" s="276"/>
      <c r="AC118" s="272">
        <f>Y118*(1+'2. GRI Pricing Inputs'!$D$114)^(($AC$16-$AB$15)/365)</f>
        <v>1289.2875675725559</v>
      </c>
      <c r="AD118" s="273">
        <f>AC118*(1+'2. GRI Pricing Inputs'!$D$114)^((AD$16-AC$16)/365)</f>
        <v>1293.4504472619767</v>
      </c>
      <c r="AE118" s="273">
        <f>AD118*(1+'2. GRI Pricing Inputs'!$D$114)^((AE$16-AD$16)/365)</f>
        <v>1297.7662108373761</v>
      </c>
      <c r="AF118" s="273">
        <f>AE118*(1+'2. GRI Pricing Inputs'!$D$114)^((AF$16-AE$16)/365)</f>
        <v>1302.0963745123527</v>
      </c>
      <c r="AG118" s="273">
        <f>AF118*(1+'2. GRI Pricing Inputs'!$D$114)^((AG$16-AF$16)/365)</f>
        <v>1306.1602518597495</v>
      </c>
      <c r="AH118" s="273">
        <f>AG118*(1+'2. GRI Pricing Inputs'!$D$114)^((AH$16-AG$16)/365)</f>
        <v>1310.5184233309053</v>
      </c>
      <c r="AI118" s="273">
        <f>AH118*(1+'2. GRI Pricing Inputs'!$D$114)^((AI$16-AH$16)/365)</f>
        <v>1314.7498536683338</v>
      </c>
      <c r="AJ118" s="273">
        <f>AI118*(1+'2. GRI Pricing Inputs'!$D$114)^((AJ$16-AI$16)/365)</f>
        <v>1319.136685449354</v>
      </c>
      <c r="AK118" s="273">
        <f>AJ118*(1+'2. GRI Pricing Inputs'!$D$114)^((AK$16-AJ$16)/365)</f>
        <v>1323.3959426186184</v>
      </c>
      <c r="AL118" s="273">
        <f>AK118*(1+'2. GRI Pricing Inputs'!$D$114)^((AL$16-AK$16)/365)</f>
        <v>1327.8116231861075</v>
      </c>
      <c r="AM118" s="273">
        <f>AL118*(1+'2. GRI Pricing Inputs'!$D$114)^((AM$16-AL$16)/365)</f>
        <v>1332.2420372390534</v>
      </c>
      <c r="AN118" s="273">
        <f>AM118*(1+'2. GRI Pricing Inputs'!$D$114)^((AN$16-AM$16)/365)</f>
        <v>1336.5436092527018</v>
      </c>
      <c r="AO118" s="273">
        <f>AN118*(1+'2. GRI Pricing Inputs'!$D$114)^((AO$16-AN$16)/365)</f>
        <v>1341.0031586988796</v>
      </c>
    </row>
    <row r="119" spans="3:41" ht="12" x14ac:dyDescent="0.2">
      <c r="C119" s="76" t="str">
        <f>'1. Accomodation'!N123</f>
        <v>707N</v>
      </c>
      <c r="D119" s="69" t="str">
        <f>'1. Accomodation'!P123</f>
        <v>2 Bed</v>
      </c>
      <c r="E119" s="69">
        <f>'1. Accomodation'!Q123</f>
        <v>2</v>
      </c>
      <c r="F119" s="77">
        <f>'1. Accomodation'!O123</f>
        <v>624</v>
      </c>
      <c r="G119" s="69">
        <f>'1. Accomodation'!R123</f>
        <v>7</v>
      </c>
      <c r="H119" s="69" t="str">
        <f>'1. Accomodation'!S123</f>
        <v>Forth Banks</v>
      </c>
      <c r="I119" s="62"/>
      <c r="K119" s="272">
        <f>IFERROR(INDEX('2. GRI Pricing Inputs'!$C$15:$AI$16,MATCH($K$16,'2. GRI Pricing Inputs'!$C$15:$C$16,0),MATCH(D119,'2. GRI Pricing Inputs'!$C$15:$AI$15,0)),0)</f>
        <v>1110</v>
      </c>
      <c r="L119" s="273">
        <f>IFERROR(INDEX('2. GRI Pricing Inputs'!$C$22:$AI$23,MATCH($L$16,'2. GRI Pricing Inputs'!$C$22:$C$23,0),MATCH(E119,'2. GRI Pricing Inputs'!$C$22:$AI$22,0)),0)</f>
        <v>0</v>
      </c>
      <c r="M119" s="328">
        <f>IF(AND('3. GRI Pricing'!$F119&gt;='2. GRI Pricing Inputs'!$D$33,'3. GRI Pricing'!$F119&lt;='2. GRI Pricing Inputs'!$E$33),'2. GRI Pricing Inputs'!$D$32,IF(AND('3. GRI Pricing'!$F119&gt;='2. GRI Pricing Inputs'!$F$33,'3. GRI Pricing'!$F119&lt;='2. GRI Pricing Inputs'!$G$33),'2. GRI Pricing Inputs'!$F$32,IF(AND('3. GRI Pricing'!$F119&gt;='2. GRI Pricing Inputs'!$H$33,'3. GRI Pricing'!$F119&lt;='2. GRI Pricing Inputs'!$I$33),'2. GRI Pricing Inputs'!$H$32,IF(AND('3. GRI Pricing'!$F119&gt;='2. GRI Pricing Inputs'!$J$33,'3. GRI Pricing'!$F119&lt;='2. GRI Pricing Inputs'!$K$33),'2. GRI Pricing Inputs'!$J$32,IF(AND('3. GRI Pricing'!$F119&gt;='2. GRI Pricing Inputs'!$L$33,'3. GRI Pricing'!$F119&lt;='2. GRI Pricing Inputs'!$M$33),'2. GRI Pricing Inputs'!$L$32,IF(AND('3. GRI Pricing'!$F119&gt;='2. GRI Pricing Inputs'!$N$33,'3. GRI Pricing'!$F119&lt;='2. GRI Pricing Inputs'!$O$33),'2. GRI Pricing Inputs'!$N$32,IF(AND('3. GRI Pricing'!$F119&gt;='2. GRI Pricing Inputs'!$P$33,'3. GRI Pricing'!$F119&lt;='2. GRI Pricing Inputs'!$Q$33),'2. GRI Pricing Inputs'!$P$32,IF(AND('3. GRI Pricing'!$F119&gt;='2. GRI Pricing Inputs'!$R$33,'3. GRI Pricing'!$F119&lt;='2. GRI Pricing Inputs'!$S$33),'2. GRI Pricing Inputs'!$R$32,IF(AND('3. GRI Pricing'!$F119&gt;='2. GRI Pricing Inputs'!$T$33,'3. GRI Pricing'!$F119&lt;='2. GRI Pricing Inputs'!$U$33),'2. GRI Pricing Inputs'!$T$32,IF(AND('3. GRI Pricing'!$F119&gt;='2. GRI Pricing Inputs'!$V$33,'3. GRI Pricing'!$F119&lt;='2. GRI Pricing Inputs'!$W$33),'2. GRI Pricing Inputs'!$V$32,IF(AND('3. GRI Pricing'!$F119&gt;='2. GRI Pricing Inputs'!$X$33,'3. GRI Pricing'!$F119&lt;='2. GRI Pricing Inputs'!$Y$33),'2. GRI Pricing Inputs'!$X$32,IF(AND('3. GRI Pricing'!$F119&gt;='2. GRI Pricing Inputs'!$Z$33,'3. GRI Pricing'!$F119&lt;='2. GRI Pricing Inputs'!$AA$33),'2. GRI Pricing Inputs'!$Z$32,IF(AND('3. GRI Pricing'!$F119&gt;='2. GRI Pricing Inputs'!$AB$33,'3. GRI Pricing'!$F119&lt;='2. GRI Pricing Inputs'!$AC$33),'2. GRI Pricing Inputs'!$AB$32,IF(AND('3. GRI Pricing'!$F119&gt;='2. GRI Pricing Inputs'!$AD$33,'3. GRI Pricing'!$F119&lt;='2. GRI Pricing Inputs'!$AE$33),'2. GRI Pricing Inputs'!$AD$32,IF(AND('3. GRI Pricing'!$F119&gt;='2. GRI Pricing Inputs'!$AF$33,'3. GRI Pricing'!$F119&lt;='2. GRI Pricing Inputs'!$AG$33),'2. GRI Pricing Inputs'!$AF$32,IF(AND('3. GRI Pricing'!$F119&gt;='2. GRI Pricing Inputs'!$AH$33,'3. GRI Pricing'!$F119&lt;='2. GRI Pricing Inputs'!$AI$33),'2. GRI Pricing Inputs'!$AH$32,0))))))))))))))))</f>
        <v>7</v>
      </c>
      <c r="N119" s="273" cm="1">
        <f t="array" ref="N119">IFERROR(INDEX('2. GRI Pricing Inputs'!$C$32:$AI$39,MATCH('3. GRI Pricing'!D119,'2. GRI Pricing Inputs'!$C$32:$C$39,0),(MATCH('3. GRI Pricing'!M119,'2. GRI Pricing Inputs'!$D$32:$AI$32,0)+1)),0)</f>
        <v>10</v>
      </c>
      <c r="O119" s="273">
        <f>IFERROR(INDEX('2. GRI Pricing Inputs'!$C$45:$AI$46,MATCH($O$16,'2. GRI Pricing Inputs'!$C$45:$C$46,0),MATCH(G119,'2. GRI Pricing Inputs'!$C$45:$AI$45,0)),0)</f>
        <v>90</v>
      </c>
      <c r="P119" s="273">
        <f>IFERROR(INDEX('2. GRI Pricing Inputs'!$C$53:$AI$54,MATCH('3. GRI Pricing'!$P$16,'2. GRI Pricing Inputs'!$C$53:$C$54,0),MATCH('3. GRI Pricing'!H119,'2. GRI Pricing Inputs'!$C$53:$AI$53,0)),0)</f>
        <v>5</v>
      </c>
      <c r="Q119" s="273">
        <f>IFERROR(INDEX('2. GRI Pricing Inputs'!$C$60:$AI$61,MATCH('3. GRI Pricing'!$Q$16,'2. GRI Pricing Inputs'!$C$60:$C$61,0),MATCH('1. Accomodation'!T123,'2. GRI Pricing Inputs'!$C$60:$AI$60,0)),0)</f>
        <v>0</v>
      </c>
      <c r="R119" s="273">
        <f>IFERROR(INDEX('2. GRI Pricing Inputs'!$C$67:$AI$68,MATCH('3. GRI Pricing'!$R$16,'2. GRI Pricing Inputs'!$C$67:$C$68,0),MATCH('1. Accomodation'!U123,'2. GRI Pricing Inputs'!$C$67:$AI$67,0)),0)</f>
        <v>0</v>
      </c>
      <c r="S119" s="273">
        <f>IF(D119=0,0,'2. GRI Pricing Inputs'!$AI$75)</f>
        <v>70</v>
      </c>
      <c r="T119" s="273">
        <f>IFERROR(INDEX('2. GRI Pricing Inputs'!$C$82:$AI$83,MATCH('3. GRI Pricing'!$T$16,'2. GRI Pricing Inputs'!$C$82:$C$83,0),MATCH('1. Accomodation'!V123,'2. GRI Pricing Inputs'!$C$82:$AI$82,0)),0)</f>
        <v>0</v>
      </c>
      <c r="U119" s="273">
        <f>IFERROR(INDEX('2. GRI Pricing Inputs'!$C$89:$AI$90,MATCH('3. GRI Pricing'!$U$16,'2. GRI Pricing Inputs'!$C$89:$C$90,0),MATCH('1. Accomodation'!W123,'2. GRI Pricing Inputs'!$C$89:$AI$89,0)),0)</f>
        <v>0</v>
      </c>
      <c r="V119" s="273">
        <f>IFERROR(INDEX('2. GRI Pricing Inputs'!$C$97:$AI$98,MATCH('3. GRI Pricing'!$V$16,'2. GRI Pricing Inputs'!$C$97:$C$98,0),MATCH('1. Accomodation'!X123,'2. GRI Pricing Inputs'!$C$97:$AI$97,0)),0)</f>
        <v>0</v>
      </c>
      <c r="W119" s="273">
        <f>IFERROR(INDEX('2. GRI Pricing Inputs'!$C$104:$AI$105,MATCH('3. GRI Pricing'!$W$16,'2. GRI Pricing Inputs'!$C$104:$C$105,0),MATCH('1. Accomodation'!Y123,'2. GRI Pricing Inputs'!$C$104:$AI$104,0)),0)</f>
        <v>0</v>
      </c>
      <c r="X119" s="274">
        <v>0</v>
      </c>
      <c r="Y119" s="275">
        <f t="shared" si="8"/>
        <v>1285</v>
      </c>
      <c r="Z119" s="276"/>
      <c r="AA119" s="276"/>
      <c r="AB119" s="276"/>
      <c r="AC119" s="272">
        <f>Y119*(1+'2. GRI Pricing Inputs'!$D$114)^(($AC$16-$AB$15)/365)</f>
        <v>1289.2875675725559</v>
      </c>
      <c r="AD119" s="273">
        <f>AC119*(1+'2. GRI Pricing Inputs'!$D$114)^((AD$16-AC$16)/365)</f>
        <v>1293.4504472619767</v>
      </c>
      <c r="AE119" s="273">
        <f>AD119*(1+'2. GRI Pricing Inputs'!$D$114)^((AE$16-AD$16)/365)</f>
        <v>1297.7662108373761</v>
      </c>
      <c r="AF119" s="273">
        <f>AE119*(1+'2. GRI Pricing Inputs'!$D$114)^((AF$16-AE$16)/365)</f>
        <v>1302.0963745123527</v>
      </c>
      <c r="AG119" s="273">
        <f>AF119*(1+'2. GRI Pricing Inputs'!$D$114)^((AG$16-AF$16)/365)</f>
        <v>1306.1602518597495</v>
      </c>
      <c r="AH119" s="273">
        <f>AG119*(1+'2. GRI Pricing Inputs'!$D$114)^((AH$16-AG$16)/365)</f>
        <v>1310.5184233309053</v>
      </c>
      <c r="AI119" s="273">
        <f>AH119*(1+'2. GRI Pricing Inputs'!$D$114)^((AI$16-AH$16)/365)</f>
        <v>1314.7498536683338</v>
      </c>
      <c r="AJ119" s="273">
        <f>AI119*(1+'2. GRI Pricing Inputs'!$D$114)^((AJ$16-AI$16)/365)</f>
        <v>1319.136685449354</v>
      </c>
      <c r="AK119" s="273">
        <f>AJ119*(1+'2. GRI Pricing Inputs'!$D$114)^((AK$16-AJ$16)/365)</f>
        <v>1323.3959426186184</v>
      </c>
      <c r="AL119" s="273">
        <f>AK119*(1+'2. GRI Pricing Inputs'!$D$114)^((AL$16-AK$16)/365)</f>
        <v>1327.8116231861075</v>
      </c>
      <c r="AM119" s="273">
        <f>AL119*(1+'2. GRI Pricing Inputs'!$D$114)^((AM$16-AL$16)/365)</f>
        <v>1332.2420372390534</v>
      </c>
      <c r="AN119" s="273">
        <f>AM119*(1+'2. GRI Pricing Inputs'!$D$114)^((AN$16-AM$16)/365)</f>
        <v>1336.5436092527018</v>
      </c>
      <c r="AO119" s="273">
        <f>AN119*(1+'2. GRI Pricing Inputs'!$D$114)^((AO$16-AN$16)/365)</f>
        <v>1341.0031586988796</v>
      </c>
    </row>
    <row r="120" spans="3:41" ht="12" x14ac:dyDescent="0.2">
      <c r="C120" s="76" t="str">
        <f>'1. Accomodation'!N124</f>
        <v>708N</v>
      </c>
      <c r="D120" s="69" t="str">
        <f>'1. Accomodation'!P124</f>
        <v>2 Bed</v>
      </c>
      <c r="E120" s="69">
        <f>'1. Accomodation'!Q124</f>
        <v>2</v>
      </c>
      <c r="F120" s="77">
        <f>'1. Accomodation'!O124</f>
        <v>657</v>
      </c>
      <c r="G120" s="69">
        <f>'1. Accomodation'!R124</f>
        <v>7</v>
      </c>
      <c r="H120" s="69" t="str">
        <f>'1. Accomodation'!S124</f>
        <v>River - Partial</v>
      </c>
      <c r="I120" s="62"/>
      <c r="K120" s="272">
        <f>IFERROR(INDEX('2. GRI Pricing Inputs'!$C$15:$AI$16,MATCH($K$16,'2. GRI Pricing Inputs'!$C$15:$C$16,0),MATCH(D120,'2. GRI Pricing Inputs'!$C$15:$AI$15,0)),0)</f>
        <v>1110</v>
      </c>
      <c r="L120" s="273">
        <f>IFERROR(INDEX('2. GRI Pricing Inputs'!$C$22:$AI$23,MATCH($L$16,'2. GRI Pricing Inputs'!$C$22:$C$23,0),MATCH(E120,'2. GRI Pricing Inputs'!$C$22:$AI$22,0)),0)</f>
        <v>0</v>
      </c>
      <c r="M120" s="328">
        <f>IF(AND('3. GRI Pricing'!$F120&gt;='2. GRI Pricing Inputs'!$D$33,'3. GRI Pricing'!$F120&lt;='2. GRI Pricing Inputs'!$E$33),'2. GRI Pricing Inputs'!$D$32,IF(AND('3. GRI Pricing'!$F120&gt;='2. GRI Pricing Inputs'!$F$33,'3. GRI Pricing'!$F120&lt;='2. GRI Pricing Inputs'!$G$33),'2. GRI Pricing Inputs'!$F$32,IF(AND('3. GRI Pricing'!$F120&gt;='2. GRI Pricing Inputs'!$H$33,'3. GRI Pricing'!$F120&lt;='2. GRI Pricing Inputs'!$I$33),'2. GRI Pricing Inputs'!$H$32,IF(AND('3. GRI Pricing'!$F120&gt;='2. GRI Pricing Inputs'!$J$33,'3. GRI Pricing'!$F120&lt;='2. GRI Pricing Inputs'!$K$33),'2. GRI Pricing Inputs'!$J$32,IF(AND('3. GRI Pricing'!$F120&gt;='2. GRI Pricing Inputs'!$L$33,'3. GRI Pricing'!$F120&lt;='2. GRI Pricing Inputs'!$M$33),'2. GRI Pricing Inputs'!$L$32,IF(AND('3. GRI Pricing'!$F120&gt;='2. GRI Pricing Inputs'!$N$33,'3. GRI Pricing'!$F120&lt;='2. GRI Pricing Inputs'!$O$33),'2. GRI Pricing Inputs'!$N$32,IF(AND('3. GRI Pricing'!$F120&gt;='2. GRI Pricing Inputs'!$P$33,'3. GRI Pricing'!$F120&lt;='2. GRI Pricing Inputs'!$Q$33),'2. GRI Pricing Inputs'!$P$32,IF(AND('3. GRI Pricing'!$F120&gt;='2. GRI Pricing Inputs'!$R$33,'3. GRI Pricing'!$F120&lt;='2. GRI Pricing Inputs'!$S$33),'2. GRI Pricing Inputs'!$R$32,IF(AND('3. GRI Pricing'!$F120&gt;='2. GRI Pricing Inputs'!$T$33,'3. GRI Pricing'!$F120&lt;='2. GRI Pricing Inputs'!$U$33),'2. GRI Pricing Inputs'!$T$32,IF(AND('3. GRI Pricing'!$F120&gt;='2. GRI Pricing Inputs'!$V$33,'3. GRI Pricing'!$F120&lt;='2. GRI Pricing Inputs'!$W$33),'2. GRI Pricing Inputs'!$V$32,IF(AND('3. GRI Pricing'!$F120&gt;='2. GRI Pricing Inputs'!$X$33,'3. GRI Pricing'!$F120&lt;='2. GRI Pricing Inputs'!$Y$33),'2. GRI Pricing Inputs'!$X$32,IF(AND('3. GRI Pricing'!$F120&gt;='2. GRI Pricing Inputs'!$Z$33,'3. GRI Pricing'!$F120&lt;='2. GRI Pricing Inputs'!$AA$33),'2. GRI Pricing Inputs'!$Z$32,IF(AND('3. GRI Pricing'!$F120&gt;='2. GRI Pricing Inputs'!$AB$33,'3. GRI Pricing'!$F120&lt;='2. GRI Pricing Inputs'!$AC$33),'2. GRI Pricing Inputs'!$AB$32,IF(AND('3. GRI Pricing'!$F120&gt;='2. GRI Pricing Inputs'!$AD$33,'3. GRI Pricing'!$F120&lt;='2. GRI Pricing Inputs'!$AE$33),'2. GRI Pricing Inputs'!$AD$32,IF(AND('3. GRI Pricing'!$F120&gt;='2. GRI Pricing Inputs'!$AF$33,'3. GRI Pricing'!$F120&lt;='2. GRI Pricing Inputs'!$AG$33),'2. GRI Pricing Inputs'!$AF$32,IF(AND('3. GRI Pricing'!$F120&gt;='2. GRI Pricing Inputs'!$AH$33,'3. GRI Pricing'!$F120&lt;='2. GRI Pricing Inputs'!$AI$33),'2. GRI Pricing Inputs'!$AH$32,0))))))))))))))))</f>
        <v>8</v>
      </c>
      <c r="N120" s="273" cm="1">
        <f t="array" ref="N120">IFERROR(INDEX('2. GRI Pricing Inputs'!$C$32:$AI$39,MATCH('3. GRI Pricing'!D120,'2. GRI Pricing Inputs'!$C$32:$C$39,0),(MATCH('3. GRI Pricing'!M120,'2. GRI Pricing Inputs'!$D$32:$AI$32,0)+1)),0)</f>
        <v>20</v>
      </c>
      <c r="O120" s="273">
        <f>IFERROR(INDEX('2. GRI Pricing Inputs'!$C$45:$AI$46,MATCH($O$16,'2. GRI Pricing Inputs'!$C$45:$C$46,0),MATCH(G120,'2. GRI Pricing Inputs'!$C$45:$AI$45,0)),0)</f>
        <v>90</v>
      </c>
      <c r="P120" s="273">
        <f>IFERROR(INDEX('2. GRI Pricing Inputs'!$C$53:$AI$54,MATCH('3. GRI Pricing'!$P$16,'2. GRI Pricing Inputs'!$C$53:$C$54,0),MATCH('3. GRI Pricing'!H120,'2. GRI Pricing Inputs'!$C$53:$AI$53,0)),0)</f>
        <v>45</v>
      </c>
      <c r="Q120" s="273">
        <f>IFERROR(INDEX('2. GRI Pricing Inputs'!$C$60:$AI$61,MATCH('3. GRI Pricing'!$Q$16,'2. GRI Pricing Inputs'!$C$60:$C$61,0),MATCH('1. Accomodation'!T124,'2. GRI Pricing Inputs'!$C$60:$AI$60,0)),0)</f>
        <v>0</v>
      </c>
      <c r="R120" s="273">
        <f>IFERROR(INDEX('2. GRI Pricing Inputs'!$C$67:$AI$68,MATCH('3. GRI Pricing'!$R$16,'2. GRI Pricing Inputs'!$C$67:$C$68,0),MATCH('1. Accomodation'!U124,'2. GRI Pricing Inputs'!$C$67:$AI$67,0)),0)</f>
        <v>0</v>
      </c>
      <c r="S120" s="273">
        <f>IF(D120=0,0,'2. GRI Pricing Inputs'!$AI$75)</f>
        <v>70</v>
      </c>
      <c r="T120" s="273">
        <f>IFERROR(INDEX('2. GRI Pricing Inputs'!$C$82:$AI$83,MATCH('3. GRI Pricing'!$T$16,'2. GRI Pricing Inputs'!$C$82:$C$83,0),MATCH('1. Accomodation'!V124,'2. GRI Pricing Inputs'!$C$82:$AI$82,0)),0)</f>
        <v>0</v>
      </c>
      <c r="U120" s="273">
        <f>IFERROR(INDEX('2. GRI Pricing Inputs'!$C$89:$AI$90,MATCH('3. GRI Pricing'!$U$16,'2. GRI Pricing Inputs'!$C$89:$C$90,0),MATCH('1. Accomodation'!W124,'2. GRI Pricing Inputs'!$C$89:$AI$89,0)),0)</f>
        <v>0</v>
      </c>
      <c r="V120" s="273">
        <f>IFERROR(INDEX('2. GRI Pricing Inputs'!$C$97:$AI$98,MATCH('3. GRI Pricing'!$V$16,'2. GRI Pricing Inputs'!$C$97:$C$98,0),MATCH('1. Accomodation'!X124,'2. GRI Pricing Inputs'!$C$97:$AI$97,0)),0)</f>
        <v>0</v>
      </c>
      <c r="W120" s="273">
        <f>IFERROR(INDEX('2. GRI Pricing Inputs'!$C$104:$AI$105,MATCH('3. GRI Pricing'!$W$16,'2. GRI Pricing Inputs'!$C$104:$C$105,0),MATCH('1. Accomodation'!Y124,'2. GRI Pricing Inputs'!$C$104:$AI$104,0)),0)</f>
        <v>0</v>
      </c>
      <c r="X120" s="274">
        <v>0</v>
      </c>
      <c r="Y120" s="275">
        <f t="shared" si="8"/>
        <v>1335</v>
      </c>
      <c r="Z120" s="276"/>
      <c r="AA120" s="276"/>
      <c r="AB120" s="276"/>
      <c r="AC120" s="272">
        <f>Y120*(1+'2. GRI Pricing Inputs'!$D$114)^(($AC$16-$AB$15)/365)</f>
        <v>1339.4543989956123</v>
      </c>
      <c r="AD120" s="273">
        <f>AC120*(1+'2. GRI Pricing Inputs'!$D$114)^((AD$16-AC$16)/365)</f>
        <v>1343.7792584394851</v>
      </c>
      <c r="AE120" s="273">
        <f>AD120*(1+'2. GRI Pricing Inputs'!$D$114)^((AE$16-AD$16)/365)</f>
        <v>1348.2629505586744</v>
      </c>
      <c r="AF120" s="273">
        <f>AE120*(1+'2. GRI Pricing Inputs'!$D$114)^((AF$16-AE$16)/365)</f>
        <v>1352.7616030925997</v>
      </c>
      <c r="AG120" s="273">
        <f>AF120*(1+'2. GRI Pricing Inputs'!$D$114)^((AG$16-AF$16)/365)</f>
        <v>1356.9836079632416</v>
      </c>
      <c r="AH120" s="273">
        <f>AG120*(1+'2. GRI Pricing Inputs'!$D$114)^((AH$16-AG$16)/365)</f>
        <v>1361.5113580908626</v>
      </c>
      <c r="AI120" s="273">
        <f>AH120*(1+'2. GRI Pricing Inputs'!$D$114)^((AI$16-AH$16)/365)</f>
        <v>1365.9074355231326</v>
      </c>
      <c r="AJ120" s="273">
        <f>AI120*(1+'2. GRI Pricing Inputs'!$D$114)^((AJ$16-AI$16)/365)</f>
        <v>1370.4649611477721</v>
      </c>
      <c r="AK120" s="273">
        <f>AJ120*(1+'2. GRI Pricing Inputs'!$D$114)^((AK$16-AJ$16)/365)</f>
        <v>1374.8899481679807</v>
      </c>
      <c r="AL120" s="273">
        <f>AK120*(1+'2. GRI Pricing Inputs'!$D$114)^((AL$16-AK$16)/365)</f>
        <v>1379.4774450999635</v>
      </c>
      <c r="AM120" s="273">
        <f>AL120*(1+'2. GRI Pricing Inputs'!$D$114)^((AM$16-AL$16)/365)</f>
        <v>1384.080248804775</v>
      </c>
      <c r="AN120" s="273">
        <f>AM120*(1+'2. GRI Pricing Inputs'!$D$114)^((AN$16-AM$16)/365)</f>
        <v>1388.5491971613669</v>
      </c>
      <c r="AO120" s="273">
        <f>AN120*(1+'2. GRI Pricing Inputs'!$D$114)^((AO$16-AN$16)/365)</f>
        <v>1393.1822699322988</v>
      </c>
    </row>
    <row r="121" spans="3:41" ht="12" x14ac:dyDescent="0.2">
      <c r="C121" s="76" t="str">
        <f>'1. Accomodation'!N125</f>
        <v>709N</v>
      </c>
      <c r="D121" s="69" t="str">
        <f>'1. Accomodation'!P125</f>
        <v>2 Bed</v>
      </c>
      <c r="E121" s="69">
        <f>'1. Accomodation'!Q125</f>
        <v>2</v>
      </c>
      <c r="F121" s="77">
        <f>'1. Accomodation'!O125</f>
        <v>700</v>
      </c>
      <c r="G121" s="69">
        <f>'1. Accomodation'!R125</f>
        <v>7</v>
      </c>
      <c r="H121" s="69" t="str">
        <f>'1. Accomodation'!S125</f>
        <v>Forth Banks - Partial</v>
      </c>
      <c r="I121" s="62"/>
      <c r="K121" s="272">
        <f>IFERROR(INDEX('2. GRI Pricing Inputs'!$C$15:$AI$16,MATCH($K$16,'2. GRI Pricing Inputs'!$C$15:$C$16,0),MATCH(D121,'2. GRI Pricing Inputs'!$C$15:$AI$15,0)),0)</f>
        <v>1110</v>
      </c>
      <c r="L121" s="273">
        <f>IFERROR(INDEX('2. GRI Pricing Inputs'!$C$22:$AI$23,MATCH($L$16,'2. GRI Pricing Inputs'!$C$22:$C$23,0),MATCH(E121,'2. GRI Pricing Inputs'!$C$22:$AI$22,0)),0)</f>
        <v>0</v>
      </c>
      <c r="M121" s="328">
        <f>IF(AND('3. GRI Pricing'!$F121&gt;='2. GRI Pricing Inputs'!$D$33,'3. GRI Pricing'!$F121&lt;='2. GRI Pricing Inputs'!$E$33),'2. GRI Pricing Inputs'!$D$32,IF(AND('3. GRI Pricing'!$F121&gt;='2. GRI Pricing Inputs'!$F$33,'3. GRI Pricing'!$F121&lt;='2. GRI Pricing Inputs'!$G$33),'2. GRI Pricing Inputs'!$F$32,IF(AND('3. GRI Pricing'!$F121&gt;='2. GRI Pricing Inputs'!$H$33,'3. GRI Pricing'!$F121&lt;='2. GRI Pricing Inputs'!$I$33),'2. GRI Pricing Inputs'!$H$32,IF(AND('3. GRI Pricing'!$F121&gt;='2. GRI Pricing Inputs'!$J$33,'3. GRI Pricing'!$F121&lt;='2. GRI Pricing Inputs'!$K$33),'2. GRI Pricing Inputs'!$J$32,IF(AND('3. GRI Pricing'!$F121&gt;='2. GRI Pricing Inputs'!$L$33,'3. GRI Pricing'!$F121&lt;='2. GRI Pricing Inputs'!$M$33),'2. GRI Pricing Inputs'!$L$32,IF(AND('3. GRI Pricing'!$F121&gt;='2. GRI Pricing Inputs'!$N$33,'3. GRI Pricing'!$F121&lt;='2. GRI Pricing Inputs'!$O$33),'2. GRI Pricing Inputs'!$N$32,IF(AND('3. GRI Pricing'!$F121&gt;='2. GRI Pricing Inputs'!$P$33,'3. GRI Pricing'!$F121&lt;='2. GRI Pricing Inputs'!$Q$33),'2. GRI Pricing Inputs'!$P$32,IF(AND('3. GRI Pricing'!$F121&gt;='2. GRI Pricing Inputs'!$R$33,'3. GRI Pricing'!$F121&lt;='2. GRI Pricing Inputs'!$S$33),'2. GRI Pricing Inputs'!$R$32,IF(AND('3. GRI Pricing'!$F121&gt;='2. GRI Pricing Inputs'!$T$33,'3. GRI Pricing'!$F121&lt;='2. GRI Pricing Inputs'!$U$33),'2. GRI Pricing Inputs'!$T$32,IF(AND('3. GRI Pricing'!$F121&gt;='2. GRI Pricing Inputs'!$V$33,'3. GRI Pricing'!$F121&lt;='2. GRI Pricing Inputs'!$W$33),'2. GRI Pricing Inputs'!$V$32,IF(AND('3. GRI Pricing'!$F121&gt;='2. GRI Pricing Inputs'!$X$33,'3. GRI Pricing'!$F121&lt;='2. GRI Pricing Inputs'!$Y$33),'2. GRI Pricing Inputs'!$X$32,IF(AND('3. GRI Pricing'!$F121&gt;='2. GRI Pricing Inputs'!$Z$33,'3. GRI Pricing'!$F121&lt;='2. GRI Pricing Inputs'!$AA$33),'2. GRI Pricing Inputs'!$Z$32,IF(AND('3. GRI Pricing'!$F121&gt;='2. GRI Pricing Inputs'!$AB$33,'3. GRI Pricing'!$F121&lt;='2. GRI Pricing Inputs'!$AC$33),'2. GRI Pricing Inputs'!$AB$32,IF(AND('3. GRI Pricing'!$F121&gt;='2. GRI Pricing Inputs'!$AD$33,'3. GRI Pricing'!$F121&lt;='2. GRI Pricing Inputs'!$AE$33),'2. GRI Pricing Inputs'!$AD$32,IF(AND('3. GRI Pricing'!$F121&gt;='2. GRI Pricing Inputs'!$AF$33,'3. GRI Pricing'!$F121&lt;='2. GRI Pricing Inputs'!$AG$33),'2. GRI Pricing Inputs'!$AF$32,IF(AND('3. GRI Pricing'!$F121&gt;='2. GRI Pricing Inputs'!$AH$33,'3. GRI Pricing'!$F121&lt;='2. GRI Pricing Inputs'!$AI$33),'2. GRI Pricing Inputs'!$AH$32,0))))))))))))))))</f>
        <v>12</v>
      </c>
      <c r="N121" s="273" cm="1">
        <f t="array" ref="N121">IFERROR(INDEX('2. GRI Pricing Inputs'!$C$32:$AI$39,MATCH('3. GRI Pricing'!D121,'2. GRI Pricing Inputs'!$C$32:$C$39,0),(MATCH('3. GRI Pricing'!M121,'2. GRI Pricing Inputs'!$D$32:$AI$32,0)+1)),0)</f>
        <v>70</v>
      </c>
      <c r="O121" s="273">
        <f>IFERROR(INDEX('2. GRI Pricing Inputs'!$C$45:$AI$46,MATCH($O$16,'2. GRI Pricing Inputs'!$C$45:$C$46,0),MATCH(G121,'2. GRI Pricing Inputs'!$C$45:$AI$45,0)),0)</f>
        <v>90</v>
      </c>
      <c r="P121" s="273">
        <f>IFERROR(INDEX('2. GRI Pricing Inputs'!$C$53:$AI$54,MATCH('3. GRI Pricing'!$P$16,'2. GRI Pricing Inputs'!$C$53:$C$54,0),MATCH('3. GRI Pricing'!H121,'2. GRI Pricing Inputs'!$C$53:$AI$53,0)),0)</f>
        <v>40</v>
      </c>
      <c r="Q121" s="273">
        <f>IFERROR(INDEX('2. GRI Pricing Inputs'!$C$60:$AI$61,MATCH('3. GRI Pricing'!$Q$16,'2. GRI Pricing Inputs'!$C$60:$C$61,0),MATCH('1. Accomodation'!T125,'2. GRI Pricing Inputs'!$C$60:$AI$60,0)),0)</f>
        <v>0</v>
      </c>
      <c r="R121" s="273">
        <f>IFERROR(INDEX('2. GRI Pricing Inputs'!$C$67:$AI$68,MATCH('3. GRI Pricing'!$R$16,'2. GRI Pricing Inputs'!$C$67:$C$68,0),MATCH('1. Accomodation'!U125,'2. GRI Pricing Inputs'!$C$67:$AI$67,0)),0)</f>
        <v>0</v>
      </c>
      <c r="S121" s="273">
        <f>IF(D121=0,0,'2. GRI Pricing Inputs'!$AI$75)</f>
        <v>70</v>
      </c>
      <c r="T121" s="273">
        <f>IFERROR(INDEX('2. GRI Pricing Inputs'!$C$82:$AI$83,MATCH('3. GRI Pricing'!$T$16,'2. GRI Pricing Inputs'!$C$82:$C$83,0),MATCH('1. Accomodation'!V125,'2. GRI Pricing Inputs'!$C$82:$AI$82,0)),0)</f>
        <v>0</v>
      </c>
      <c r="U121" s="273">
        <f>IFERROR(INDEX('2. GRI Pricing Inputs'!$C$89:$AI$90,MATCH('3. GRI Pricing'!$U$16,'2. GRI Pricing Inputs'!$C$89:$C$90,0),MATCH('1. Accomodation'!W125,'2. GRI Pricing Inputs'!$C$89:$AI$89,0)),0)</f>
        <v>0</v>
      </c>
      <c r="V121" s="273">
        <f>IFERROR(INDEX('2. GRI Pricing Inputs'!$C$97:$AI$98,MATCH('3. GRI Pricing'!$V$16,'2. GRI Pricing Inputs'!$C$97:$C$98,0),MATCH('1. Accomodation'!X125,'2. GRI Pricing Inputs'!$C$97:$AI$97,0)),0)</f>
        <v>0</v>
      </c>
      <c r="W121" s="273">
        <f>IFERROR(INDEX('2. GRI Pricing Inputs'!$C$104:$AI$105,MATCH('3. GRI Pricing'!$W$16,'2. GRI Pricing Inputs'!$C$104:$C$105,0),MATCH('1. Accomodation'!Y125,'2. GRI Pricing Inputs'!$C$104:$AI$104,0)),0)</f>
        <v>0</v>
      </c>
      <c r="X121" s="274">
        <v>0</v>
      </c>
      <c r="Y121" s="275">
        <f t="shared" si="8"/>
        <v>1380</v>
      </c>
      <c r="Z121" s="276"/>
      <c r="AA121" s="276"/>
      <c r="AB121" s="276"/>
      <c r="AC121" s="272">
        <f>Y121*(1+'2. GRI Pricing Inputs'!$D$114)^(($AC$16-$AB$15)/365)</f>
        <v>1384.6045472763635</v>
      </c>
      <c r="AD121" s="273">
        <f>AC121*(1+'2. GRI Pricing Inputs'!$D$114)^((AD$16-AC$16)/365)</f>
        <v>1389.0751884992433</v>
      </c>
      <c r="AE121" s="273">
        <f>AD121*(1+'2. GRI Pricing Inputs'!$D$114)^((AE$16-AD$16)/365)</f>
        <v>1393.7100163078435</v>
      </c>
      <c r="AF121" s="273">
        <f>AE121*(1+'2. GRI Pricing Inputs'!$D$114)^((AF$16-AE$16)/365)</f>
        <v>1398.3603088148222</v>
      </c>
      <c r="AG121" s="273">
        <f>AF121*(1+'2. GRI Pricing Inputs'!$D$114)^((AG$16-AF$16)/365)</f>
        <v>1402.7246284563846</v>
      </c>
      <c r="AH121" s="273">
        <f>AG121*(1+'2. GRI Pricing Inputs'!$D$114)^((AH$16-AG$16)/365)</f>
        <v>1407.4049993748242</v>
      </c>
      <c r="AI121" s="273">
        <f>AH121*(1+'2. GRI Pricing Inputs'!$D$114)^((AI$16-AH$16)/365)</f>
        <v>1411.9492591924518</v>
      </c>
      <c r="AJ121" s="273">
        <f>AI121*(1+'2. GRI Pricing Inputs'!$D$114)^((AJ$16-AI$16)/365)</f>
        <v>1416.6604092763489</v>
      </c>
      <c r="AK121" s="273">
        <f>AJ121*(1+'2. GRI Pricing Inputs'!$D$114)^((AK$16-AJ$16)/365)</f>
        <v>1421.2345531624071</v>
      </c>
      <c r="AL121" s="273">
        <f>AK121*(1+'2. GRI Pricing Inputs'!$D$114)^((AL$16-AK$16)/365)</f>
        <v>1425.9766848224344</v>
      </c>
      <c r="AM121" s="273">
        <f>AL121*(1+'2. GRI Pricing Inputs'!$D$114)^((AM$16-AL$16)/365)</f>
        <v>1430.734639213925</v>
      </c>
      <c r="AN121" s="273">
        <f>AM121*(1+'2. GRI Pricing Inputs'!$D$114)^((AN$16-AM$16)/365)</f>
        <v>1435.3542262791661</v>
      </c>
      <c r="AO121" s="273">
        <f>AN121*(1+'2. GRI Pricing Inputs'!$D$114)^((AO$16-AN$16)/365)</f>
        <v>1440.1434700423765</v>
      </c>
    </row>
    <row r="122" spans="3:41" ht="12" x14ac:dyDescent="0.2">
      <c r="C122" s="76" t="str">
        <f>'1. Accomodation'!N126</f>
        <v>710N</v>
      </c>
      <c r="D122" s="69" t="str">
        <f>'1. Accomodation'!P126</f>
        <v>2 Bed</v>
      </c>
      <c r="E122" s="69">
        <f>'1. Accomodation'!Q126</f>
        <v>2</v>
      </c>
      <c r="F122" s="77">
        <f>'1. Accomodation'!O126</f>
        <v>689</v>
      </c>
      <c r="G122" s="69">
        <f>'1. Accomodation'!R126</f>
        <v>7</v>
      </c>
      <c r="H122" s="69" t="str">
        <f>'1. Accomodation'!S126</f>
        <v>Courtyard - dual</v>
      </c>
      <c r="I122" s="62"/>
      <c r="K122" s="272">
        <f>IFERROR(INDEX('2. GRI Pricing Inputs'!$C$15:$AI$16,MATCH($K$16,'2. GRI Pricing Inputs'!$C$15:$C$16,0),MATCH(D122,'2. GRI Pricing Inputs'!$C$15:$AI$15,0)),0)</f>
        <v>1110</v>
      </c>
      <c r="L122" s="273">
        <f>IFERROR(INDEX('2. GRI Pricing Inputs'!$C$22:$AI$23,MATCH($L$16,'2. GRI Pricing Inputs'!$C$22:$C$23,0),MATCH(E122,'2. GRI Pricing Inputs'!$C$22:$AI$22,0)),0)</f>
        <v>0</v>
      </c>
      <c r="M122" s="328">
        <f>IF(AND('3. GRI Pricing'!$F122&gt;='2. GRI Pricing Inputs'!$D$33,'3. GRI Pricing'!$F122&lt;='2. GRI Pricing Inputs'!$E$33),'2. GRI Pricing Inputs'!$D$32,IF(AND('3. GRI Pricing'!$F122&gt;='2. GRI Pricing Inputs'!$F$33,'3. GRI Pricing'!$F122&lt;='2. GRI Pricing Inputs'!$G$33),'2. GRI Pricing Inputs'!$F$32,IF(AND('3. GRI Pricing'!$F122&gt;='2. GRI Pricing Inputs'!$H$33,'3. GRI Pricing'!$F122&lt;='2. GRI Pricing Inputs'!$I$33),'2. GRI Pricing Inputs'!$H$32,IF(AND('3. GRI Pricing'!$F122&gt;='2. GRI Pricing Inputs'!$J$33,'3. GRI Pricing'!$F122&lt;='2. GRI Pricing Inputs'!$K$33),'2. GRI Pricing Inputs'!$J$32,IF(AND('3. GRI Pricing'!$F122&gt;='2. GRI Pricing Inputs'!$L$33,'3. GRI Pricing'!$F122&lt;='2. GRI Pricing Inputs'!$M$33),'2. GRI Pricing Inputs'!$L$32,IF(AND('3. GRI Pricing'!$F122&gt;='2. GRI Pricing Inputs'!$N$33,'3. GRI Pricing'!$F122&lt;='2. GRI Pricing Inputs'!$O$33),'2. GRI Pricing Inputs'!$N$32,IF(AND('3. GRI Pricing'!$F122&gt;='2. GRI Pricing Inputs'!$P$33,'3. GRI Pricing'!$F122&lt;='2. GRI Pricing Inputs'!$Q$33),'2. GRI Pricing Inputs'!$P$32,IF(AND('3. GRI Pricing'!$F122&gt;='2. GRI Pricing Inputs'!$R$33,'3. GRI Pricing'!$F122&lt;='2. GRI Pricing Inputs'!$S$33),'2. GRI Pricing Inputs'!$R$32,IF(AND('3. GRI Pricing'!$F122&gt;='2. GRI Pricing Inputs'!$T$33,'3. GRI Pricing'!$F122&lt;='2. GRI Pricing Inputs'!$U$33),'2. GRI Pricing Inputs'!$T$32,IF(AND('3. GRI Pricing'!$F122&gt;='2. GRI Pricing Inputs'!$V$33,'3. GRI Pricing'!$F122&lt;='2. GRI Pricing Inputs'!$W$33),'2. GRI Pricing Inputs'!$V$32,IF(AND('3. GRI Pricing'!$F122&gt;='2. GRI Pricing Inputs'!$X$33,'3. GRI Pricing'!$F122&lt;='2. GRI Pricing Inputs'!$Y$33),'2. GRI Pricing Inputs'!$X$32,IF(AND('3. GRI Pricing'!$F122&gt;='2. GRI Pricing Inputs'!$Z$33,'3. GRI Pricing'!$F122&lt;='2. GRI Pricing Inputs'!$AA$33),'2. GRI Pricing Inputs'!$Z$32,IF(AND('3. GRI Pricing'!$F122&gt;='2. GRI Pricing Inputs'!$AB$33,'3. GRI Pricing'!$F122&lt;='2. GRI Pricing Inputs'!$AC$33),'2. GRI Pricing Inputs'!$AB$32,IF(AND('3. GRI Pricing'!$F122&gt;='2. GRI Pricing Inputs'!$AD$33,'3. GRI Pricing'!$F122&lt;='2. GRI Pricing Inputs'!$AE$33),'2. GRI Pricing Inputs'!$AD$32,IF(AND('3. GRI Pricing'!$F122&gt;='2. GRI Pricing Inputs'!$AF$33,'3. GRI Pricing'!$F122&lt;='2. GRI Pricing Inputs'!$AG$33),'2. GRI Pricing Inputs'!$AF$32,IF(AND('3. GRI Pricing'!$F122&gt;='2. GRI Pricing Inputs'!$AH$33,'3. GRI Pricing'!$F122&lt;='2. GRI Pricing Inputs'!$AI$33),'2. GRI Pricing Inputs'!$AH$32,0))))))))))))))))</f>
        <v>11</v>
      </c>
      <c r="N122" s="273" cm="1">
        <f t="array" ref="N122">IFERROR(INDEX('2. GRI Pricing Inputs'!$C$32:$AI$39,MATCH('3. GRI Pricing'!D122,'2. GRI Pricing Inputs'!$C$32:$C$39,0),(MATCH('3. GRI Pricing'!M122,'2. GRI Pricing Inputs'!$D$32:$AI$32,0)+1)),0)</f>
        <v>65</v>
      </c>
      <c r="O122" s="273">
        <f>IFERROR(INDEX('2. GRI Pricing Inputs'!$C$45:$AI$46,MATCH($O$16,'2. GRI Pricing Inputs'!$C$45:$C$46,0),MATCH(G122,'2. GRI Pricing Inputs'!$C$45:$AI$45,0)),0)</f>
        <v>90</v>
      </c>
      <c r="P122" s="273">
        <f>IFERROR(INDEX('2. GRI Pricing Inputs'!$C$53:$AI$54,MATCH('3. GRI Pricing'!$P$16,'2. GRI Pricing Inputs'!$C$53:$C$54,0),MATCH('3. GRI Pricing'!H122,'2. GRI Pricing Inputs'!$C$53:$AI$53,0)),0)</f>
        <v>55</v>
      </c>
      <c r="Q122" s="273">
        <f>IFERROR(INDEX('2. GRI Pricing Inputs'!$C$60:$AI$61,MATCH('3. GRI Pricing'!$Q$16,'2. GRI Pricing Inputs'!$C$60:$C$61,0),MATCH('1. Accomodation'!T126,'2. GRI Pricing Inputs'!$C$60:$AI$60,0)),0)</f>
        <v>0</v>
      </c>
      <c r="R122" s="273">
        <f>IFERROR(INDEX('2. GRI Pricing Inputs'!$C$67:$AI$68,MATCH('3. GRI Pricing'!$R$16,'2. GRI Pricing Inputs'!$C$67:$C$68,0),MATCH('1. Accomodation'!U126,'2. GRI Pricing Inputs'!$C$67:$AI$67,0)),0)</f>
        <v>0</v>
      </c>
      <c r="S122" s="273">
        <f>IF(D122=0,0,'2. GRI Pricing Inputs'!$AI$75)</f>
        <v>70</v>
      </c>
      <c r="T122" s="273">
        <f>IFERROR(INDEX('2. GRI Pricing Inputs'!$C$82:$AI$83,MATCH('3. GRI Pricing'!$T$16,'2. GRI Pricing Inputs'!$C$82:$C$83,0),MATCH('1. Accomodation'!V126,'2. GRI Pricing Inputs'!$C$82:$AI$82,0)),0)</f>
        <v>0</v>
      </c>
      <c r="U122" s="273">
        <f>IFERROR(INDEX('2. GRI Pricing Inputs'!$C$89:$AI$90,MATCH('3. GRI Pricing'!$U$16,'2. GRI Pricing Inputs'!$C$89:$C$90,0),MATCH('1. Accomodation'!W126,'2. GRI Pricing Inputs'!$C$89:$AI$89,0)),0)</f>
        <v>0</v>
      </c>
      <c r="V122" s="273">
        <f>IFERROR(INDEX('2. GRI Pricing Inputs'!$C$97:$AI$98,MATCH('3. GRI Pricing'!$V$16,'2. GRI Pricing Inputs'!$C$97:$C$98,0),MATCH('1. Accomodation'!X126,'2. GRI Pricing Inputs'!$C$97:$AI$97,0)),0)</f>
        <v>0</v>
      </c>
      <c r="W122" s="273">
        <f>IFERROR(INDEX('2. GRI Pricing Inputs'!$C$104:$AI$105,MATCH('3. GRI Pricing'!$W$16,'2. GRI Pricing Inputs'!$C$104:$C$105,0),MATCH('1. Accomodation'!Y126,'2. GRI Pricing Inputs'!$C$104:$AI$104,0)),0)</f>
        <v>0</v>
      </c>
      <c r="X122" s="274">
        <v>0</v>
      </c>
      <c r="Y122" s="275">
        <f t="shared" si="8"/>
        <v>1390</v>
      </c>
      <c r="Z122" s="276"/>
      <c r="AA122" s="276"/>
      <c r="AB122" s="276"/>
      <c r="AC122" s="272">
        <f>Y122*(1+'2. GRI Pricing Inputs'!$D$114)^(($AC$16-$AB$15)/365)</f>
        <v>1394.6379135609748</v>
      </c>
      <c r="AD122" s="273">
        <f>AC122*(1+'2. GRI Pricing Inputs'!$D$114)^((AD$16-AC$16)/365)</f>
        <v>1399.140950734745</v>
      </c>
      <c r="AE122" s="273">
        <f>AD122*(1+'2. GRI Pricing Inputs'!$D$114)^((AE$16-AD$16)/365)</f>
        <v>1403.8093642521033</v>
      </c>
      <c r="AF122" s="273">
        <f>AE122*(1+'2. GRI Pricing Inputs'!$D$114)^((AF$16-AE$16)/365)</f>
        <v>1408.4933545308718</v>
      </c>
      <c r="AG122" s="273">
        <f>AF122*(1+'2. GRI Pricing Inputs'!$D$114)^((AG$16-AF$16)/365)</f>
        <v>1412.889299677083</v>
      </c>
      <c r="AH122" s="273">
        <f>AG122*(1+'2. GRI Pricing Inputs'!$D$114)^((AH$16-AG$16)/365)</f>
        <v>1417.6035863268157</v>
      </c>
      <c r="AI122" s="273">
        <f>AH122*(1+'2. GRI Pricing Inputs'!$D$114)^((AI$16-AH$16)/365)</f>
        <v>1422.1807755634115</v>
      </c>
      <c r="AJ122" s="273">
        <f>AI122*(1+'2. GRI Pricing Inputs'!$D$114)^((AJ$16-AI$16)/365)</f>
        <v>1426.9260644160324</v>
      </c>
      <c r="AK122" s="273">
        <f>AJ122*(1+'2. GRI Pricing Inputs'!$D$114)^((AK$16-AJ$16)/365)</f>
        <v>1431.5333542722797</v>
      </c>
      <c r="AL122" s="273">
        <f>AK122*(1+'2. GRI Pricing Inputs'!$D$114)^((AL$16-AK$16)/365)</f>
        <v>1436.3098492052056</v>
      </c>
      <c r="AM122" s="273">
        <f>AL122*(1+'2. GRI Pricing Inputs'!$D$114)^((AM$16-AL$16)/365)</f>
        <v>1441.1022815270692</v>
      </c>
      <c r="AN122" s="273">
        <f>AM122*(1+'2. GRI Pricing Inputs'!$D$114)^((AN$16-AM$16)/365)</f>
        <v>1445.7553438608991</v>
      </c>
      <c r="AO122" s="273">
        <f>AN122*(1+'2. GRI Pricing Inputs'!$D$114)^((AO$16-AN$16)/365)</f>
        <v>1450.5792922890603</v>
      </c>
    </row>
    <row r="123" spans="3:41" ht="12" x14ac:dyDescent="0.2">
      <c r="C123" s="76" t="str">
        <f>'1. Accomodation'!N127</f>
        <v>711N</v>
      </c>
      <c r="D123" s="69" t="str">
        <f>'1. Accomodation'!P127</f>
        <v>1 Bed</v>
      </c>
      <c r="E123" s="69">
        <f>'1. Accomodation'!Q127</f>
        <v>1</v>
      </c>
      <c r="F123" s="77">
        <f>'1. Accomodation'!O127</f>
        <v>506</v>
      </c>
      <c r="G123" s="69">
        <f>'1. Accomodation'!R127</f>
        <v>7</v>
      </c>
      <c r="H123" s="69" t="str">
        <f>'1. Accomodation'!S127</f>
        <v>Courtyard</v>
      </c>
      <c r="I123" s="62"/>
      <c r="K123" s="272">
        <f>IFERROR(INDEX('2. GRI Pricing Inputs'!$C$15:$AI$16,MATCH($K$16,'2. GRI Pricing Inputs'!$C$15:$C$16,0),MATCH(D123,'2. GRI Pricing Inputs'!$C$15:$AI$15,0)),0)</f>
        <v>845</v>
      </c>
      <c r="L123" s="273">
        <f>IFERROR(INDEX('2. GRI Pricing Inputs'!$C$22:$AI$23,MATCH($L$16,'2. GRI Pricing Inputs'!$C$22:$C$23,0),MATCH(E123,'2. GRI Pricing Inputs'!$C$22:$AI$22,0)),0)</f>
        <v>0</v>
      </c>
      <c r="M123" s="328">
        <f>IF(AND('3. GRI Pricing'!$F123&gt;='2. GRI Pricing Inputs'!$D$33,'3. GRI Pricing'!$F123&lt;='2. GRI Pricing Inputs'!$E$33),'2. GRI Pricing Inputs'!$D$32,IF(AND('3. GRI Pricing'!$F123&gt;='2. GRI Pricing Inputs'!$F$33,'3. GRI Pricing'!$F123&lt;='2. GRI Pricing Inputs'!$G$33),'2. GRI Pricing Inputs'!$F$32,IF(AND('3. GRI Pricing'!$F123&gt;='2. GRI Pricing Inputs'!$H$33,'3. GRI Pricing'!$F123&lt;='2. GRI Pricing Inputs'!$I$33),'2. GRI Pricing Inputs'!$H$32,IF(AND('3. GRI Pricing'!$F123&gt;='2. GRI Pricing Inputs'!$J$33,'3. GRI Pricing'!$F123&lt;='2. GRI Pricing Inputs'!$K$33),'2. GRI Pricing Inputs'!$J$32,IF(AND('3. GRI Pricing'!$F123&gt;='2. GRI Pricing Inputs'!$L$33,'3. GRI Pricing'!$F123&lt;='2. GRI Pricing Inputs'!$M$33),'2. GRI Pricing Inputs'!$L$32,IF(AND('3. GRI Pricing'!$F123&gt;='2. GRI Pricing Inputs'!$N$33,'3. GRI Pricing'!$F123&lt;='2. GRI Pricing Inputs'!$O$33),'2. GRI Pricing Inputs'!$N$32,IF(AND('3. GRI Pricing'!$F123&gt;='2. GRI Pricing Inputs'!$P$33,'3. GRI Pricing'!$F123&lt;='2. GRI Pricing Inputs'!$Q$33),'2. GRI Pricing Inputs'!$P$32,IF(AND('3. GRI Pricing'!$F123&gt;='2. GRI Pricing Inputs'!$R$33,'3. GRI Pricing'!$F123&lt;='2. GRI Pricing Inputs'!$S$33),'2. GRI Pricing Inputs'!$R$32,IF(AND('3. GRI Pricing'!$F123&gt;='2. GRI Pricing Inputs'!$T$33,'3. GRI Pricing'!$F123&lt;='2. GRI Pricing Inputs'!$U$33),'2. GRI Pricing Inputs'!$T$32,IF(AND('3. GRI Pricing'!$F123&gt;='2. GRI Pricing Inputs'!$V$33,'3. GRI Pricing'!$F123&lt;='2. GRI Pricing Inputs'!$W$33),'2. GRI Pricing Inputs'!$V$32,IF(AND('3. GRI Pricing'!$F123&gt;='2. GRI Pricing Inputs'!$X$33,'3. GRI Pricing'!$F123&lt;='2. GRI Pricing Inputs'!$Y$33),'2. GRI Pricing Inputs'!$X$32,IF(AND('3. GRI Pricing'!$F123&gt;='2. GRI Pricing Inputs'!$Z$33,'3. GRI Pricing'!$F123&lt;='2. GRI Pricing Inputs'!$AA$33),'2. GRI Pricing Inputs'!$Z$32,IF(AND('3. GRI Pricing'!$F123&gt;='2. GRI Pricing Inputs'!$AB$33,'3. GRI Pricing'!$F123&lt;='2. GRI Pricing Inputs'!$AC$33),'2. GRI Pricing Inputs'!$AB$32,IF(AND('3. GRI Pricing'!$F123&gt;='2. GRI Pricing Inputs'!$AD$33,'3. GRI Pricing'!$F123&lt;='2. GRI Pricing Inputs'!$AE$33),'2. GRI Pricing Inputs'!$AD$32,IF(AND('3. GRI Pricing'!$F123&gt;='2. GRI Pricing Inputs'!$AF$33,'3. GRI Pricing'!$F123&lt;='2. GRI Pricing Inputs'!$AG$33),'2. GRI Pricing Inputs'!$AF$32,IF(AND('3. GRI Pricing'!$F123&gt;='2. GRI Pricing Inputs'!$AH$33,'3. GRI Pricing'!$F123&lt;='2. GRI Pricing Inputs'!$AI$33),'2. GRI Pricing Inputs'!$AH$32,0))))))))))))))))</f>
        <v>2</v>
      </c>
      <c r="N123" s="273" cm="1">
        <f t="array" ref="N123">IFERROR(INDEX('2. GRI Pricing Inputs'!$C$32:$AI$39,MATCH('3. GRI Pricing'!D123,'2. GRI Pricing Inputs'!$C$32:$C$39,0),(MATCH('3. GRI Pricing'!M123,'2. GRI Pricing Inputs'!$D$32:$AI$32,0)+1)),0)</f>
        <v>15</v>
      </c>
      <c r="O123" s="273">
        <f>IFERROR(INDEX('2. GRI Pricing Inputs'!$C$45:$AI$46,MATCH($O$16,'2. GRI Pricing Inputs'!$C$45:$C$46,0),MATCH(G123,'2. GRI Pricing Inputs'!$C$45:$AI$45,0)),0)</f>
        <v>90</v>
      </c>
      <c r="P123" s="273">
        <f>IFERROR(INDEX('2. GRI Pricing Inputs'!$C$53:$AI$54,MATCH('3. GRI Pricing'!$P$16,'2. GRI Pricing Inputs'!$C$53:$C$54,0),MATCH('3. GRI Pricing'!H123,'2. GRI Pricing Inputs'!$C$53:$AI$53,0)),0)</f>
        <v>25</v>
      </c>
      <c r="Q123" s="273">
        <f>IFERROR(INDEX('2. GRI Pricing Inputs'!$C$60:$AI$61,MATCH('3. GRI Pricing'!$Q$16,'2. GRI Pricing Inputs'!$C$60:$C$61,0),MATCH('1. Accomodation'!T127,'2. GRI Pricing Inputs'!$C$60:$AI$60,0)),0)</f>
        <v>0</v>
      </c>
      <c r="R123" s="273">
        <f>IFERROR(INDEX('2. GRI Pricing Inputs'!$C$67:$AI$68,MATCH('3. GRI Pricing'!$R$16,'2. GRI Pricing Inputs'!$C$67:$C$68,0),MATCH('1. Accomodation'!U127,'2. GRI Pricing Inputs'!$C$67:$AI$67,0)),0)</f>
        <v>0</v>
      </c>
      <c r="S123" s="273">
        <f>IF(D123=0,0,'2. GRI Pricing Inputs'!$AI$75)</f>
        <v>70</v>
      </c>
      <c r="T123" s="273">
        <f>IFERROR(INDEX('2. GRI Pricing Inputs'!$C$82:$AI$83,MATCH('3. GRI Pricing'!$T$16,'2. GRI Pricing Inputs'!$C$82:$C$83,0),MATCH('1. Accomodation'!V127,'2. GRI Pricing Inputs'!$C$82:$AI$82,0)),0)</f>
        <v>0</v>
      </c>
      <c r="U123" s="273">
        <f>IFERROR(INDEX('2. GRI Pricing Inputs'!$C$89:$AI$90,MATCH('3. GRI Pricing'!$U$16,'2. GRI Pricing Inputs'!$C$89:$C$90,0),MATCH('1. Accomodation'!W127,'2. GRI Pricing Inputs'!$C$89:$AI$89,0)),0)</f>
        <v>0</v>
      </c>
      <c r="V123" s="273">
        <f>IFERROR(INDEX('2. GRI Pricing Inputs'!$C$97:$AI$98,MATCH('3. GRI Pricing'!$V$16,'2. GRI Pricing Inputs'!$C$97:$C$98,0),MATCH('1. Accomodation'!X127,'2. GRI Pricing Inputs'!$C$97:$AI$97,0)),0)</f>
        <v>0</v>
      </c>
      <c r="W123" s="273">
        <f>IFERROR(INDEX('2. GRI Pricing Inputs'!$C$104:$AI$105,MATCH('3. GRI Pricing'!$W$16,'2. GRI Pricing Inputs'!$C$104:$C$105,0),MATCH('1. Accomodation'!Y127,'2. GRI Pricing Inputs'!$C$104:$AI$104,0)),0)</f>
        <v>0</v>
      </c>
      <c r="X123" s="274">
        <v>0</v>
      </c>
      <c r="Y123" s="275">
        <f t="shared" si="8"/>
        <v>1045</v>
      </c>
      <c r="Z123" s="276"/>
      <c r="AA123" s="276"/>
      <c r="AB123" s="276"/>
      <c r="AC123" s="272">
        <f>Y123*(1+'2. GRI Pricing Inputs'!$D$114)^(($AC$16-$AB$15)/365)</f>
        <v>1048.4867767418839</v>
      </c>
      <c r="AD123" s="273">
        <f>AC123*(1+'2. GRI Pricing Inputs'!$D$114)^((AD$16-AC$16)/365)</f>
        <v>1051.8721536099342</v>
      </c>
      <c r="AE123" s="273">
        <f>AD123*(1+'2. GRI Pricing Inputs'!$D$114)^((AE$16-AD$16)/365)</f>
        <v>1055.3818601751423</v>
      </c>
      <c r="AF123" s="273">
        <f>AE123*(1+'2. GRI Pricing Inputs'!$D$114)^((AF$16-AE$16)/365)</f>
        <v>1058.9032773271661</v>
      </c>
      <c r="AG123" s="273">
        <f>AF123*(1+'2. GRI Pricing Inputs'!$D$114)^((AG$16-AF$16)/365)</f>
        <v>1062.2081425629867</v>
      </c>
      <c r="AH123" s="273">
        <f>AG123*(1+'2. GRI Pricing Inputs'!$D$114)^((AH$16-AG$16)/365)</f>
        <v>1065.7523364831095</v>
      </c>
      <c r="AI123" s="273">
        <f>AH123*(1+'2. GRI Pricing Inputs'!$D$114)^((AI$16-AH$16)/365)</f>
        <v>1069.1934607652984</v>
      </c>
      <c r="AJ123" s="273">
        <f>AI123*(1+'2. GRI Pricing Inputs'!$D$114)^((AJ$16-AI$16)/365)</f>
        <v>1072.7609620969451</v>
      </c>
      <c r="AK123" s="273">
        <f>AJ123*(1+'2. GRI Pricing Inputs'!$D$114)^((AK$16-AJ$16)/365)</f>
        <v>1076.2247159816777</v>
      </c>
      <c r="AL123" s="273">
        <f>AK123*(1+'2. GRI Pricing Inputs'!$D$114)^((AL$16-AK$16)/365)</f>
        <v>1079.8156779995968</v>
      </c>
      <c r="AM123" s="273">
        <f>AL123*(1+'2. GRI Pricing Inputs'!$D$114)^((AM$16-AL$16)/365)</f>
        <v>1083.4186217235879</v>
      </c>
      <c r="AN123" s="273">
        <f>AM123*(1+'2. GRI Pricing Inputs'!$D$114)^((AN$16-AM$16)/365)</f>
        <v>1086.9167872911073</v>
      </c>
      <c r="AO123" s="273">
        <f>AN123*(1+'2. GRI Pricing Inputs'!$D$114)^((AO$16-AN$16)/365)</f>
        <v>1090.543424778466</v>
      </c>
    </row>
    <row r="124" spans="3:41" ht="12" x14ac:dyDescent="0.2">
      <c r="C124" s="76" t="str">
        <f>'1. Accomodation'!N128</f>
        <v>712N</v>
      </c>
      <c r="D124" s="69" t="str">
        <f>'1. Accomodation'!P128</f>
        <v>1 Bed</v>
      </c>
      <c r="E124" s="69">
        <f>'1. Accomodation'!Q128</f>
        <v>1</v>
      </c>
      <c r="F124" s="77">
        <f>'1. Accomodation'!O128</f>
        <v>549</v>
      </c>
      <c r="G124" s="69">
        <f>'1. Accomodation'!R128</f>
        <v>7</v>
      </c>
      <c r="H124" s="69" t="str">
        <f>'1. Accomodation'!S128</f>
        <v>Courtyard</v>
      </c>
      <c r="I124" s="62"/>
      <c r="K124" s="272">
        <f>IFERROR(INDEX('2. GRI Pricing Inputs'!$C$15:$AI$16,MATCH($K$16,'2. GRI Pricing Inputs'!$C$15:$C$16,0),MATCH(D124,'2. GRI Pricing Inputs'!$C$15:$AI$15,0)),0)</f>
        <v>845</v>
      </c>
      <c r="L124" s="273">
        <f>IFERROR(INDEX('2. GRI Pricing Inputs'!$C$22:$AI$23,MATCH($L$16,'2. GRI Pricing Inputs'!$C$22:$C$23,0),MATCH(E124,'2. GRI Pricing Inputs'!$C$22:$AI$22,0)),0)</f>
        <v>0</v>
      </c>
      <c r="M124" s="328">
        <f>IF(AND('3. GRI Pricing'!$F124&gt;='2. GRI Pricing Inputs'!$D$33,'3. GRI Pricing'!$F124&lt;='2. GRI Pricing Inputs'!$E$33),'2. GRI Pricing Inputs'!$D$32,IF(AND('3. GRI Pricing'!$F124&gt;='2. GRI Pricing Inputs'!$F$33,'3. GRI Pricing'!$F124&lt;='2. GRI Pricing Inputs'!$G$33),'2. GRI Pricing Inputs'!$F$32,IF(AND('3. GRI Pricing'!$F124&gt;='2. GRI Pricing Inputs'!$H$33,'3. GRI Pricing'!$F124&lt;='2. GRI Pricing Inputs'!$I$33),'2. GRI Pricing Inputs'!$H$32,IF(AND('3. GRI Pricing'!$F124&gt;='2. GRI Pricing Inputs'!$J$33,'3. GRI Pricing'!$F124&lt;='2. GRI Pricing Inputs'!$K$33),'2. GRI Pricing Inputs'!$J$32,IF(AND('3. GRI Pricing'!$F124&gt;='2. GRI Pricing Inputs'!$L$33,'3. GRI Pricing'!$F124&lt;='2. GRI Pricing Inputs'!$M$33),'2. GRI Pricing Inputs'!$L$32,IF(AND('3. GRI Pricing'!$F124&gt;='2. GRI Pricing Inputs'!$N$33,'3. GRI Pricing'!$F124&lt;='2. GRI Pricing Inputs'!$O$33),'2. GRI Pricing Inputs'!$N$32,IF(AND('3. GRI Pricing'!$F124&gt;='2. GRI Pricing Inputs'!$P$33,'3. GRI Pricing'!$F124&lt;='2. GRI Pricing Inputs'!$Q$33),'2. GRI Pricing Inputs'!$P$32,IF(AND('3. GRI Pricing'!$F124&gt;='2. GRI Pricing Inputs'!$R$33,'3. GRI Pricing'!$F124&lt;='2. GRI Pricing Inputs'!$S$33),'2. GRI Pricing Inputs'!$R$32,IF(AND('3. GRI Pricing'!$F124&gt;='2. GRI Pricing Inputs'!$T$33,'3. GRI Pricing'!$F124&lt;='2. GRI Pricing Inputs'!$U$33),'2. GRI Pricing Inputs'!$T$32,IF(AND('3. GRI Pricing'!$F124&gt;='2. GRI Pricing Inputs'!$V$33,'3. GRI Pricing'!$F124&lt;='2. GRI Pricing Inputs'!$W$33),'2. GRI Pricing Inputs'!$V$32,IF(AND('3. GRI Pricing'!$F124&gt;='2. GRI Pricing Inputs'!$X$33,'3. GRI Pricing'!$F124&lt;='2. GRI Pricing Inputs'!$Y$33),'2. GRI Pricing Inputs'!$X$32,IF(AND('3. GRI Pricing'!$F124&gt;='2. GRI Pricing Inputs'!$Z$33,'3. GRI Pricing'!$F124&lt;='2. GRI Pricing Inputs'!$AA$33),'2. GRI Pricing Inputs'!$Z$32,IF(AND('3. GRI Pricing'!$F124&gt;='2. GRI Pricing Inputs'!$AB$33,'3. GRI Pricing'!$F124&lt;='2. GRI Pricing Inputs'!$AC$33),'2. GRI Pricing Inputs'!$AB$32,IF(AND('3. GRI Pricing'!$F124&gt;='2. GRI Pricing Inputs'!$AD$33,'3. GRI Pricing'!$F124&lt;='2. GRI Pricing Inputs'!$AE$33),'2. GRI Pricing Inputs'!$AD$32,IF(AND('3. GRI Pricing'!$F124&gt;='2. GRI Pricing Inputs'!$AF$33,'3. GRI Pricing'!$F124&lt;='2. GRI Pricing Inputs'!$AG$33),'2. GRI Pricing Inputs'!$AF$32,IF(AND('3. GRI Pricing'!$F124&gt;='2. GRI Pricing Inputs'!$AH$33,'3. GRI Pricing'!$F124&lt;='2. GRI Pricing Inputs'!$AI$33),'2. GRI Pricing Inputs'!$AH$32,0))))))))))))))))</f>
        <v>4</v>
      </c>
      <c r="N124" s="273" cm="1">
        <f t="array" ref="N124">IFERROR(INDEX('2. GRI Pricing Inputs'!$C$32:$AI$39,MATCH('3. GRI Pricing'!D124,'2. GRI Pricing Inputs'!$C$32:$C$39,0),(MATCH('3. GRI Pricing'!M124,'2. GRI Pricing Inputs'!$D$32:$AI$32,0)+1)),0)</f>
        <v>25</v>
      </c>
      <c r="O124" s="273">
        <f>IFERROR(INDEX('2. GRI Pricing Inputs'!$C$45:$AI$46,MATCH($O$16,'2. GRI Pricing Inputs'!$C$45:$C$46,0),MATCH(G124,'2. GRI Pricing Inputs'!$C$45:$AI$45,0)),0)</f>
        <v>90</v>
      </c>
      <c r="P124" s="273">
        <f>IFERROR(INDEX('2. GRI Pricing Inputs'!$C$53:$AI$54,MATCH('3. GRI Pricing'!$P$16,'2. GRI Pricing Inputs'!$C$53:$C$54,0),MATCH('3. GRI Pricing'!H124,'2. GRI Pricing Inputs'!$C$53:$AI$53,0)),0)</f>
        <v>25</v>
      </c>
      <c r="Q124" s="273">
        <f>IFERROR(INDEX('2. GRI Pricing Inputs'!$C$60:$AI$61,MATCH('3. GRI Pricing'!$Q$16,'2. GRI Pricing Inputs'!$C$60:$C$61,0),MATCH('1. Accomodation'!T128,'2. GRI Pricing Inputs'!$C$60:$AI$60,0)),0)</f>
        <v>0</v>
      </c>
      <c r="R124" s="273">
        <f>IFERROR(INDEX('2. GRI Pricing Inputs'!$C$67:$AI$68,MATCH('3. GRI Pricing'!$R$16,'2. GRI Pricing Inputs'!$C$67:$C$68,0),MATCH('1. Accomodation'!U128,'2. GRI Pricing Inputs'!$C$67:$AI$67,0)),0)</f>
        <v>0</v>
      </c>
      <c r="S124" s="273">
        <f>IF(D124=0,0,'2. GRI Pricing Inputs'!$AI$75)</f>
        <v>70</v>
      </c>
      <c r="T124" s="273">
        <f>IFERROR(INDEX('2. GRI Pricing Inputs'!$C$82:$AI$83,MATCH('3. GRI Pricing'!$T$16,'2. GRI Pricing Inputs'!$C$82:$C$83,0),MATCH('1. Accomodation'!V128,'2. GRI Pricing Inputs'!$C$82:$AI$82,0)),0)</f>
        <v>0</v>
      </c>
      <c r="U124" s="273">
        <f>IFERROR(INDEX('2. GRI Pricing Inputs'!$C$89:$AI$90,MATCH('3. GRI Pricing'!$U$16,'2. GRI Pricing Inputs'!$C$89:$C$90,0),MATCH('1. Accomodation'!W128,'2. GRI Pricing Inputs'!$C$89:$AI$89,0)),0)</f>
        <v>0</v>
      </c>
      <c r="V124" s="273">
        <f>IFERROR(INDEX('2. GRI Pricing Inputs'!$C$97:$AI$98,MATCH('3. GRI Pricing'!$V$16,'2. GRI Pricing Inputs'!$C$97:$C$98,0),MATCH('1. Accomodation'!X128,'2. GRI Pricing Inputs'!$C$97:$AI$97,0)),0)</f>
        <v>0</v>
      </c>
      <c r="W124" s="273">
        <f>IFERROR(INDEX('2. GRI Pricing Inputs'!$C$104:$AI$105,MATCH('3. GRI Pricing'!$W$16,'2. GRI Pricing Inputs'!$C$104:$C$105,0),MATCH('1. Accomodation'!Y128,'2. GRI Pricing Inputs'!$C$104:$AI$104,0)),0)</f>
        <v>0</v>
      </c>
      <c r="X124" s="274">
        <v>0</v>
      </c>
      <c r="Y124" s="275">
        <f t="shared" si="8"/>
        <v>1055</v>
      </c>
      <c r="Z124" s="276"/>
      <c r="AA124" s="276"/>
      <c r="AB124" s="276"/>
      <c r="AC124" s="272">
        <f>Y124*(1+'2. GRI Pricing Inputs'!$D$114)^(($AC$16-$AB$15)/365)</f>
        <v>1058.5201430264951</v>
      </c>
      <c r="AD124" s="273">
        <f>AC124*(1+'2. GRI Pricing Inputs'!$D$114)^((AD$16-AC$16)/365)</f>
        <v>1061.9379158454358</v>
      </c>
      <c r="AE124" s="273">
        <f>AD124*(1+'2. GRI Pricing Inputs'!$D$114)^((AE$16-AD$16)/365)</f>
        <v>1065.4812081194018</v>
      </c>
      <c r="AF124" s="273">
        <f>AE124*(1+'2. GRI Pricing Inputs'!$D$114)^((AF$16-AE$16)/365)</f>
        <v>1069.0363230432154</v>
      </c>
      <c r="AG124" s="273">
        <f>AF124*(1+'2. GRI Pricing Inputs'!$D$114)^((AG$16-AF$16)/365)</f>
        <v>1072.3728137836852</v>
      </c>
      <c r="AH124" s="273">
        <f>AG124*(1+'2. GRI Pricing Inputs'!$D$114)^((AH$16-AG$16)/365)</f>
        <v>1075.950923435101</v>
      </c>
      <c r="AI124" s="273">
        <f>AH124*(1+'2. GRI Pricing Inputs'!$D$114)^((AI$16-AH$16)/365)</f>
        <v>1079.4249771362583</v>
      </c>
      <c r="AJ124" s="273">
        <f>AI124*(1+'2. GRI Pricing Inputs'!$D$114)^((AJ$16-AI$16)/365)</f>
        <v>1083.0266172366289</v>
      </c>
      <c r="AK124" s="273">
        <f>AJ124*(1+'2. GRI Pricing Inputs'!$D$114)^((AK$16-AJ$16)/365)</f>
        <v>1086.5235170915503</v>
      </c>
      <c r="AL124" s="273">
        <f>AK124*(1+'2. GRI Pricing Inputs'!$D$114)^((AL$16-AK$16)/365)</f>
        <v>1090.1488423823682</v>
      </c>
      <c r="AM124" s="273">
        <f>AL124*(1+'2. GRI Pricing Inputs'!$D$114)^((AM$16-AL$16)/365)</f>
        <v>1093.7862640367323</v>
      </c>
      <c r="AN124" s="273">
        <f>AM124*(1+'2. GRI Pricing Inputs'!$D$114)^((AN$16-AM$16)/365)</f>
        <v>1097.3179048728405</v>
      </c>
      <c r="AO124" s="273">
        <f>AN124*(1+'2. GRI Pricing Inputs'!$D$114)^((AO$16-AN$16)/365)</f>
        <v>1100.97924702515</v>
      </c>
    </row>
    <row r="125" spans="3:41" ht="12" x14ac:dyDescent="0.2">
      <c r="C125" s="76" t="str">
        <f>'1. Accomodation'!N129</f>
        <v>713N</v>
      </c>
      <c r="D125" s="69" t="str">
        <f>'1. Accomodation'!P129</f>
        <v>1 Bed</v>
      </c>
      <c r="E125" s="69">
        <f>'1. Accomodation'!Q129</f>
        <v>1</v>
      </c>
      <c r="F125" s="77">
        <f>'1. Accomodation'!O129</f>
        <v>570</v>
      </c>
      <c r="G125" s="69">
        <f>'1. Accomodation'!R129</f>
        <v>7</v>
      </c>
      <c r="H125" s="69" t="str">
        <f>'1. Accomodation'!S129</f>
        <v>Courtyard</v>
      </c>
      <c r="I125" s="62"/>
      <c r="K125" s="272">
        <f>IFERROR(INDEX('2. GRI Pricing Inputs'!$C$15:$AI$16,MATCH($K$16,'2. GRI Pricing Inputs'!$C$15:$C$16,0),MATCH(D125,'2. GRI Pricing Inputs'!$C$15:$AI$15,0)),0)</f>
        <v>845</v>
      </c>
      <c r="L125" s="273">
        <f>IFERROR(INDEX('2. GRI Pricing Inputs'!$C$22:$AI$23,MATCH($L$16,'2. GRI Pricing Inputs'!$C$22:$C$23,0),MATCH(E125,'2. GRI Pricing Inputs'!$C$22:$AI$22,0)),0)</f>
        <v>0</v>
      </c>
      <c r="M125" s="328">
        <f>IF(AND('3. GRI Pricing'!$F125&gt;='2. GRI Pricing Inputs'!$D$33,'3. GRI Pricing'!$F125&lt;='2. GRI Pricing Inputs'!$E$33),'2. GRI Pricing Inputs'!$D$32,IF(AND('3. GRI Pricing'!$F125&gt;='2. GRI Pricing Inputs'!$F$33,'3. GRI Pricing'!$F125&lt;='2. GRI Pricing Inputs'!$G$33),'2. GRI Pricing Inputs'!$F$32,IF(AND('3. GRI Pricing'!$F125&gt;='2. GRI Pricing Inputs'!$H$33,'3. GRI Pricing'!$F125&lt;='2. GRI Pricing Inputs'!$I$33),'2. GRI Pricing Inputs'!$H$32,IF(AND('3. GRI Pricing'!$F125&gt;='2. GRI Pricing Inputs'!$J$33,'3. GRI Pricing'!$F125&lt;='2. GRI Pricing Inputs'!$K$33),'2. GRI Pricing Inputs'!$J$32,IF(AND('3. GRI Pricing'!$F125&gt;='2. GRI Pricing Inputs'!$L$33,'3. GRI Pricing'!$F125&lt;='2. GRI Pricing Inputs'!$M$33),'2. GRI Pricing Inputs'!$L$32,IF(AND('3. GRI Pricing'!$F125&gt;='2. GRI Pricing Inputs'!$N$33,'3. GRI Pricing'!$F125&lt;='2. GRI Pricing Inputs'!$O$33),'2. GRI Pricing Inputs'!$N$32,IF(AND('3. GRI Pricing'!$F125&gt;='2. GRI Pricing Inputs'!$P$33,'3. GRI Pricing'!$F125&lt;='2. GRI Pricing Inputs'!$Q$33),'2. GRI Pricing Inputs'!$P$32,IF(AND('3. GRI Pricing'!$F125&gt;='2. GRI Pricing Inputs'!$R$33,'3. GRI Pricing'!$F125&lt;='2. GRI Pricing Inputs'!$S$33),'2. GRI Pricing Inputs'!$R$32,IF(AND('3. GRI Pricing'!$F125&gt;='2. GRI Pricing Inputs'!$T$33,'3. GRI Pricing'!$F125&lt;='2. GRI Pricing Inputs'!$U$33),'2. GRI Pricing Inputs'!$T$32,IF(AND('3. GRI Pricing'!$F125&gt;='2. GRI Pricing Inputs'!$V$33,'3. GRI Pricing'!$F125&lt;='2. GRI Pricing Inputs'!$W$33),'2. GRI Pricing Inputs'!$V$32,IF(AND('3. GRI Pricing'!$F125&gt;='2. GRI Pricing Inputs'!$X$33,'3. GRI Pricing'!$F125&lt;='2. GRI Pricing Inputs'!$Y$33),'2. GRI Pricing Inputs'!$X$32,IF(AND('3. GRI Pricing'!$F125&gt;='2. GRI Pricing Inputs'!$Z$33,'3. GRI Pricing'!$F125&lt;='2. GRI Pricing Inputs'!$AA$33),'2. GRI Pricing Inputs'!$Z$32,IF(AND('3. GRI Pricing'!$F125&gt;='2. GRI Pricing Inputs'!$AB$33,'3. GRI Pricing'!$F125&lt;='2. GRI Pricing Inputs'!$AC$33),'2. GRI Pricing Inputs'!$AB$32,IF(AND('3. GRI Pricing'!$F125&gt;='2. GRI Pricing Inputs'!$AD$33,'3. GRI Pricing'!$F125&lt;='2. GRI Pricing Inputs'!$AE$33),'2. GRI Pricing Inputs'!$AD$32,IF(AND('3. GRI Pricing'!$F125&gt;='2. GRI Pricing Inputs'!$AF$33,'3. GRI Pricing'!$F125&lt;='2. GRI Pricing Inputs'!$AG$33),'2. GRI Pricing Inputs'!$AF$32,IF(AND('3. GRI Pricing'!$F125&gt;='2. GRI Pricing Inputs'!$AH$33,'3. GRI Pricing'!$F125&lt;='2. GRI Pricing Inputs'!$AI$33),'2. GRI Pricing Inputs'!$AH$32,0))))))))))))))))</f>
        <v>5</v>
      </c>
      <c r="N125" s="273" cm="1">
        <f t="array" ref="N125">IFERROR(INDEX('2. GRI Pricing Inputs'!$C$32:$AI$39,MATCH('3. GRI Pricing'!D125,'2. GRI Pricing Inputs'!$C$32:$C$39,0),(MATCH('3. GRI Pricing'!M125,'2. GRI Pricing Inputs'!$D$32:$AI$32,0)+1)),0)</f>
        <v>35</v>
      </c>
      <c r="O125" s="273">
        <f>IFERROR(INDEX('2. GRI Pricing Inputs'!$C$45:$AI$46,MATCH($O$16,'2. GRI Pricing Inputs'!$C$45:$C$46,0),MATCH(G125,'2. GRI Pricing Inputs'!$C$45:$AI$45,0)),0)</f>
        <v>90</v>
      </c>
      <c r="P125" s="273">
        <f>IFERROR(INDEX('2. GRI Pricing Inputs'!$C$53:$AI$54,MATCH('3. GRI Pricing'!$P$16,'2. GRI Pricing Inputs'!$C$53:$C$54,0),MATCH('3. GRI Pricing'!H125,'2. GRI Pricing Inputs'!$C$53:$AI$53,0)),0)</f>
        <v>25</v>
      </c>
      <c r="Q125" s="273">
        <f>IFERROR(INDEX('2. GRI Pricing Inputs'!$C$60:$AI$61,MATCH('3. GRI Pricing'!$Q$16,'2. GRI Pricing Inputs'!$C$60:$C$61,0),MATCH('1. Accomodation'!T129,'2. GRI Pricing Inputs'!$C$60:$AI$60,0)),0)</f>
        <v>0</v>
      </c>
      <c r="R125" s="273">
        <f>IFERROR(INDEX('2. GRI Pricing Inputs'!$C$67:$AI$68,MATCH('3. GRI Pricing'!$R$16,'2. GRI Pricing Inputs'!$C$67:$C$68,0),MATCH('1. Accomodation'!U129,'2. GRI Pricing Inputs'!$C$67:$AI$67,0)),0)</f>
        <v>0</v>
      </c>
      <c r="S125" s="273">
        <f>IF(D125=0,0,'2. GRI Pricing Inputs'!$AI$75)</f>
        <v>70</v>
      </c>
      <c r="T125" s="273">
        <f>IFERROR(INDEX('2. GRI Pricing Inputs'!$C$82:$AI$83,MATCH('3. GRI Pricing'!$T$16,'2. GRI Pricing Inputs'!$C$82:$C$83,0),MATCH('1. Accomodation'!V129,'2. GRI Pricing Inputs'!$C$82:$AI$82,0)),0)</f>
        <v>0</v>
      </c>
      <c r="U125" s="273">
        <f>IFERROR(INDEX('2. GRI Pricing Inputs'!$C$89:$AI$90,MATCH('3. GRI Pricing'!$U$16,'2. GRI Pricing Inputs'!$C$89:$C$90,0),MATCH('1. Accomodation'!W129,'2. GRI Pricing Inputs'!$C$89:$AI$89,0)),0)</f>
        <v>-25</v>
      </c>
      <c r="V125" s="273">
        <f>IFERROR(INDEX('2. GRI Pricing Inputs'!$C$97:$AI$98,MATCH('3. GRI Pricing'!$V$16,'2. GRI Pricing Inputs'!$C$97:$C$98,0),MATCH('1. Accomodation'!X129,'2. GRI Pricing Inputs'!$C$97:$AI$97,0)),0)</f>
        <v>0</v>
      </c>
      <c r="W125" s="273">
        <f>IFERROR(INDEX('2. GRI Pricing Inputs'!$C$104:$AI$105,MATCH('3. GRI Pricing'!$W$16,'2. GRI Pricing Inputs'!$C$104:$C$105,0),MATCH('1. Accomodation'!Y129,'2. GRI Pricing Inputs'!$C$104:$AI$104,0)),0)</f>
        <v>0</v>
      </c>
      <c r="X125" s="274">
        <v>0</v>
      </c>
      <c r="Y125" s="275">
        <f t="shared" si="8"/>
        <v>1040</v>
      </c>
      <c r="Z125" s="276"/>
      <c r="AA125" s="276"/>
      <c r="AB125" s="276"/>
      <c r="AC125" s="272">
        <f>Y125*(1+'2. GRI Pricing Inputs'!$D$114)^(($AC$16-$AB$15)/365)</f>
        <v>1043.4700935995781</v>
      </c>
      <c r="AD125" s="273">
        <f>AC125*(1+'2. GRI Pricing Inputs'!$D$114)^((AD$16-AC$16)/365)</f>
        <v>1046.8392724921832</v>
      </c>
      <c r="AE125" s="273">
        <f>AD125*(1+'2. GRI Pricing Inputs'!$D$114)^((AE$16-AD$16)/365)</f>
        <v>1050.3321862030123</v>
      </c>
      <c r="AF125" s="273">
        <f>AE125*(1+'2. GRI Pricing Inputs'!$D$114)^((AF$16-AE$16)/365)</f>
        <v>1053.8367544691412</v>
      </c>
      <c r="AG125" s="273">
        <f>AF125*(1+'2. GRI Pricing Inputs'!$D$114)^((AG$16-AF$16)/365)</f>
        <v>1057.1258069526375</v>
      </c>
      <c r="AH125" s="273">
        <f>AG125*(1+'2. GRI Pricing Inputs'!$D$114)^((AH$16-AG$16)/365)</f>
        <v>1060.6530430071139</v>
      </c>
      <c r="AI125" s="273">
        <f>AH125*(1+'2. GRI Pricing Inputs'!$D$114)^((AI$16-AH$16)/365)</f>
        <v>1064.0777025798186</v>
      </c>
      <c r="AJ125" s="273">
        <f>AI125*(1+'2. GRI Pricing Inputs'!$D$114)^((AJ$16-AI$16)/365)</f>
        <v>1067.6281345271034</v>
      </c>
      <c r="AK125" s="273">
        <f>AJ125*(1+'2. GRI Pricing Inputs'!$D$114)^((AK$16-AJ$16)/365)</f>
        <v>1071.0753154267416</v>
      </c>
      <c r="AL125" s="273">
        <f>AK125*(1+'2. GRI Pricing Inputs'!$D$114)^((AL$16-AK$16)/365)</f>
        <v>1074.6490958082113</v>
      </c>
      <c r="AM125" s="273">
        <f>AL125*(1+'2. GRI Pricing Inputs'!$D$114)^((AM$16-AL$16)/365)</f>
        <v>1078.2348005670158</v>
      </c>
      <c r="AN125" s="273">
        <f>AM125*(1+'2. GRI Pricing Inputs'!$D$114)^((AN$16-AM$16)/365)</f>
        <v>1081.716228500241</v>
      </c>
      <c r="AO125" s="273">
        <f>AN125*(1+'2. GRI Pricing Inputs'!$D$114)^((AO$16-AN$16)/365)</f>
        <v>1085.3255136551243</v>
      </c>
    </row>
    <row r="126" spans="3:41" ht="12" x14ac:dyDescent="0.2">
      <c r="C126" s="76" t="str">
        <f>'1. Accomodation'!N130</f>
        <v>714N</v>
      </c>
      <c r="D126" s="69" t="str">
        <f>'1. Accomodation'!P130</f>
        <v>2 Bed</v>
      </c>
      <c r="E126" s="69">
        <f>'1. Accomodation'!Q130</f>
        <v>2</v>
      </c>
      <c r="F126" s="77">
        <f>'1. Accomodation'!O130</f>
        <v>624</v>
      </c>
      <c r="G126" s="69">
        <f>'1. Accomodation'!R130</f>
        <v>7</v>
      </c>
      <c r="H126" s="69" t="str">
        <f>'1. Accomodation'!S130</f>
        <v>Courtyard</v>
      </c>
      <c r="I126" s="62"/>
      <c r="K126" s="272">
        <f>IFERROR(INDEX('2. GRI Pricing Inputs'!$C$15:$AI$16,MATCH($K$16,'2. GRI Pricing Inputs'!$C$15:$C$16,0),MATCH(D126,'2. GRI Pricing Inputs'!$C$15:$AI$15,0)),0)</f>
        <v>1110</v>
      </c>
      <c r="L126" s="273">
        <f>IFERROR(INDEX('2. GRI Pricing Inputs'!$C$22:$AI$23,MATCH($L$16,'2. GRI Pricing Inputs'!$C$22:$C$23,0),MATCH(E126,'2. GRI Pricing Inputs'!$C$22:$AI$22,0)),0)</f>
        <v>0</v>
      </c>
      <c r="M126" s="328">
        <f>IF(AND('3. GRI Pricing'!$F126&gt;='2. GRI Pricing Inputs'!$D$33,'3. GRI Pricing'!$F126&lt;='2. GRI Pricing Inputs'!$E$33),'2. GRI Pricing Inputs'!$D$32,IF(AND('3. GRI Pricing'!$F126&gt;='2. GRI Pricing Inputs'!$F$33,'3. GRI Pricing'!$F126&lt;='2. GRI Pricing Inputs'!$G$33),'2. GRI Pricing Inputs'!$F$32,IF(AND('3. GRI Pricing'!$F126&gt;='2. GRI Pricing Inputs'!$H$33,'3. GRI Pricing'!$F126&lt;='2. GRI Pricing Inputs'!$I$33),'2. GRI Pricing Inputs'!$H$32,IF(AND('3. GRI Pricing'!$F126&gt;='2. GRI Pricing Inputs'!$J$33,'3. GRI Pricing'!$F126&lt;='2. GRI Pricing Inputs'!$K$33),'2. GRI Pricing Inputs'!$J$32,IF(AND('3. GRI Pricing'!$F126&gt;='2. GRI Pricing Inputs'!$L$33,'3. GRI Pricing'!$F126&lt;='2. GRI Pricing Inputs'!$M$33),'2. GRI Pricing Inputs'!$L$32,IF(AND('3. GRI Pricing'!$F126&gt;='2. GRI Pricing Inputs'!$N$33,'3. GRI Pricing'!$F126&lt;='2. GRI Pricing Inputs'!$O$33),'2. GRI Pricing Inputs'!$N$32,IF(AND('3. GRI Pricing'!$F126&gt;='2. GRI Pricing Inputs'!$P$33,'3. GRI Pricing'!$F126&lt;='2. GRI Pricing Inputs'!$Q$33),'2. GRI Pricing Inputs'!$P$32,IF(AND('3. GRI Pricing'!$F126&gt;='2. GRI Pricing Inputs'!$R$33,'3. GRI Pricing'!$F126&lt;='2. GRI Pricing Inputs'!$S$33),'2. GRI Pricing Inputs'!$R$32,IF(AND('3. GRI Pricing'!$F126&gt;='2. GRI Pricing Inputs'!$T$33,'3. GRI Pricing'!$F126&lt;='2. GRI Pricing Inputs'!$U$33),'2. GRI Pricing Inputs'!$T$32,IF(AND('3. GRI Pricing'!$F126&gt;='2. GRI Pricing Inputs'!$V$33,'3. GRI Pricing'!$F126&lt;='2. GRI Pricing Inputs'!$W$33),'2. GRI Pricing Inputs'!$V$32,IF(AND('3. GRI Pricing'!$F126&gt;='2. GRI Pricing Inputs'!$X$33,'3. GRI Pricing'!$F126&lt;='2. GRI Pricing Inputs'!$Y$33),'2. GRI Pricing Inputs'!$X$32,IF(AND('3. GRI Pricing'!$F126&gt;='2. GRI Pricing Inputs'!$Z$33,'3. GRI Pricing'!$F126&lt;='2. GRI Pricing Inputs'!$AA$33),'2. GRI Pricing Inputs'!$Z$32,IF(AND('3. GRI Pricing'!$F126&gt;='2. GRI Pricing Inputs'!$AB$33,'3. GRI Pricing'!$F126&lt;='2. GRI Pricing Inputs'!$AC$33),'2. GRI Pricing Inputs'!$AB$32,IF(AND('3. GRI Pricing'!$F126&gt;='2. GRI Pricing Inputs'!$AD$33,'3. GRI Pricing'!$F126&lt;='2. GRI Pricing Inputs'!$AE$33),'2. GRI Pricing Inputs'!$AD$32,IF(AND('3. GRI Pricing'!$F126&gt;='2. GRI Pricing Inputs'!$AF$33,'3. GRI Pricing'!$F126&lt;='2. GRI Pricing Inputs'!$AG$33),'2. GRI Pricing Inputs'!$AF$32,IF(AND('3. GRI Pricing'!$F126&gt;='2. GRI Pricing Inputs'!$AH$33,'3. GRI Pricing'!$F126&lt;='2. GRI Pricing Inputs'!$AI$33),'2. GRI Pricing Inputs'!$AH$32,0))))))))))))))))</f>
        <v>7</v>
      </c>
      <c r="N126" s="273" cm="1">
        <f t="array" ref="N126">IFERROR(INDEX('2. GRI Pricing Inputs'!$C$32:$AI$39,MATCH('3. GRI Pricing'!D126,'2. GRI Pricing Inputs'!$C$32:$C$39,0),(MATCH('3. GRI Pricing'!M126,'2. GRI Pricing Inputs'!$D$32:$AI$32,0)+1)),0)</f>
        <v>10</v>
      </c>
      <c r="O126" s="273">
        <f>IFERROR(INDEX('2. GRI Pricing Inputs'!$C$45:$AI$46,MATCH($O$16,'2. GRI Pricing Inputs'!$C$45:$C$46,0),MATCH(G126,'2. GRI Pricing Inputs'!$C$45:$AI$45,0)),0)</f>
        <v>90</v>
      </c>
      <c r="P126" s="273">
        <f>IFERROR(INDEX('2. GRI Pricing Inputs'!$C$53:$AI$54,MATCH('3. GRI Pricing'!$P$16,'2. GRI Pricing Inputs'!$C$53:$C$54,0),MATCH('3. GRI Pricing'!H126,'2. GRI Pricing Inputs'!$C$53:$AI$53,0)),0)</f>
        <v>25</v>
      </c>
      <c r="Q126" s="273">
        <f>IFERROR(INDEX('2. GRI Pricing Inputs'!$C$60:$AI$61,MATCH('3. GRI Pricing'!$Q$16,'2. GRI Pricing Inputs'!$C$60:$C$61,0),MATCH('1. Accomodation'!T130,'2. GRI Pricing Inputs'!$C$60:$AI$60,0)),0)</f>
        <v>0</v>
      </c>
      <c r="R126" s="273">
        <f>IFERROR(INDEX('2. GRI Pricing Inputs'!$C$67:$AI$68,MATCH('3. GRI Pricing'!$R$16,'2. GRI Pricing Inputs'!$C$67:$C$68,0),MATCH('1. Accomodation'!U130,'2. GRI Pricing Inputs'!$C$67:$AI$67,0)),0)</f>
        <v>0</v>
      </c>
      <c r="S126" s="273">
        <f>IF(D126=0,0,'2. GRI Pricing Inputs'!$AI$75)</f>
        <v>70</v>
      </c>
      <c r="T126" s="273">
        <f>IFERROR(INDEX('2. GRI Pricing Inputs'!$C$82:$AI$83,MATCH('3. GRI Pricing'!$T$16,'2. GRI Pricing Inputs'!$C$82:$C$83,0),MATCH('1. Accomodation'!V130,'2. GRI Pricing Inputs'!$C$82:$AI$82,0)),0)</f>
        <v>0</v>
      </c>
      <c r="U126" s="273">
        <f>IFERROR(INDEX('2. GRI Pricing Inputs'!$C$89:$AI$90,MATCH('3. GRI Pricing'!$U$16,'2. GRI Pricing Inputs'!$C$89:$C$90,0),MATCH('1. Accomodation'!W130,'2. GRI Pricing Inputs'!$C$89:$AI$89,0)),0)</f>
        <v>0</v>
      </c>
      <c r="V126" s="273">
        <f>IFERROR(INDEX('2. GRI Pricing Inputs'!$C$97:$AI$98,MATCH('3. GRI Pricing'!$V$16,'2. GRI Pricing Inputs'!$C$97:$C$98,0),MATCH('1. Accomodation'!X130,'2. GRI Pricing Inputs'!$C$97:$AI$97,0)),0)</f>
        <v>0</v>
      </c>
      <c r="W126" s="273">
        <f>IFERROR(INDEX('2. GRI Pricing Inputs'!$C$104:$AI$105,MATCH('3. GRI Pricing'!$W$16,'2. GRI Pricing Inputs'!$C$104:$C$105,0),MATCH('1. Accomodation'!Y130,'2. GRI Pricing Inputs'!$C$104:$AI$104,0)),0)</f>
        <v>0</v>
      </c>
      <c r="X126" s="274">
        <v>0</v>
      </c>
      <c r="Y126" s="275">
        <f t="shared" si="8"/>
        <v>1305</v>
      </c>
      <c r="Z126" s="276"/>
      <c r="AA126" s="276"/>
      <c r="AB126" s="276"/>
      <c r="AC126" s="272">
        <f>Y126*(1+'2. GRI Pricing Inputs'!$D$114)^(($AC$16-$AB$15)/365)</f>
        <v>1309.3543001417784</v>
      </c>
      <c r="AD126" s="273">
        <f>AC126*(1+'2. GRI Pricing Inputs'!$D$114)^((AD$16-AC$16)/365)</f>
        <v>1313.58197173298</v>
      </c>
      <c r="AE126" s="273">
        <f>AD126*(1+'2. GRI Pricing Inputs'!$D$114)^((AE$16-AD$16)/365)</f>
        <v>1317.9649067258954</v>
      </c>
      <c r="AF126" s="273">
        <f>AE126*(1+'2. GRI Pricing Inputs'!$D$114)^((AF$16-AE$16)/365)</f>
        <v>1322.3624659444515</v>
      </c>
      <c r="AG126" s="273">
        <f>AF126*(1+'2. GRI Pricing Inputs'!$D$114)^((AG$16-AF$16)/365)</f>
        <v>1326.4895943011463</v>
      </c>
      <c r="AH126" s="273">
        <f>AG126*(1+'2. GRI Pricing Inputs'!$D$114)^((AH$16-AG$16)/365)</f>
        <v>1330.9155972348881</v>
      </c>
      <c r="AI126" s="273">
        <f>AH126*(1+'2. GRI Pricing Inputs'!$D$114)^((AI$16-AH$16)/365)</f>
        <v>1335.2128864102533</v>
      </c>
      <c r="AJ126" s="273">
        <f>AI126*(1+'2. GRI Pricing Inputs'!$D$114)^((AJ$16-AI$16)/365)</f>
        <v>1339.6679957287213</v>
      </c>
      <c r="AK126" s="273">
        <f>AJ126*(1+'2. GRI Pricing Inputs'!$D$114)^((AK$16-AJ$16)/365)</f>
        <v>1343.9935448383633</v>
      </c>
      <c r="AL126" s="273">
        <f>AK126*(1+'2. GRI Pricing Inputs'!$D$114)^((AL$16-AK$16)/365)</f>
        <v>1348.4779519516499</v>
      </c>
      <c r="AM126" s="273">
        <f>AL126*(1+'2. GRI Pricing Inputs'!$D$114)^((AM$16-AL$16)/365)</f>
        <v>1352.977321865342</v>
      </c>
      <c r="AN126" s="273">
        <f>AM126*(1+'2. GRI Pricing Inputs'!$D$114)^((AN$16-AM$16)/365)</f>
        <v>1357.3458444161679</v>
      </c>
      <c r="AO126" s="273">
        <f>AN126*(1+'2. GRI Pricing Inputs'!$D$114)^((AO$16-AN$16)/365)</f>
        <v>1361.8748031922473</v>
      </c>
    </row>
    <row r="127" spans="3:41" ht="12" x14ac:dyDescent="0.2">
      <c r="C127" s="76" t="str">
        <f>'1. Accomodation'!N131</f>
        <v>715N</v>
      </c>
      <c r="D127" s="69" t="str">
        <f>'1. Accomodation'!P131</f>
        <v>2 Bed</v>
      </c>
      <c r="E127" s="69">
        <f>'1. Accomodation'!Q131</f>
        <v>2</v>
      </c>
      <c r="F127" s="77">
        <f>'1. Accomodation'!O131</f>
        <v>624</v>
      </c>
      <c r="G127" s="69">
        <f>'1. Accomodation'!R131</f>
        <v>7</v>
      </c>
      <c r="H127" s="69" t="str">
        <f>'1. Accomodation'!S131</f>
        <v>Courtyard</v>
      </c>
      <c r="I127" s="62"/>
      <c r="K127" s="272">
        <f>IFERROR(INDEX('2. GRI Pricing Inputs'!$C$15:$AI$16,MATCH($K$16,'2. GRI Pricing Inputs'!$C$15:$C$16,0),MATCH(D127,'2. GRI Pricing Inputs'!$C$15:$AI$15,0)),0)</f>
        <v>1110</v>
      </c>
      <c r="L127" s="273">
        <f>IFERROR(INDEX('2. GRI Pricing Inputs'!$C$22:$AI$23,MATCH($L$16,'2. GRI Pricing Inputs'!$C$22:$C$23,0),MATCH(E127,'2. GRI Pricing Inputs'!$C$22:$AI$22,0)),0)</f>
        <v>0</v>
      </c>
      <c r="M127" s="328">
        <f>IF(AND('3. GRI Pricing'!$F127&gt;='2. GRI Pricing Inputs'!$D$33,'3. GRI Pricing'!$F127&lt;='2. GRI Pricing Inputs'!$E$33),'2. GRI Pricing Inputs'!$D$32,IF(AND('3. GRI Pricing'!$F127&gt;='2. GRI Pricing Inputs'!$F$33,'3. GRI Pricing'!$F127&lt;='2. GRI Pricing Inputs'!$G$33),'2. GRI Pricing Inputs'!$F$32,IF(AND('3. GRI Pricing'!$F127&gt;='2. GRI Pricing Inputs'!$H$33,'3. GRI Pricing'!$F127&lt;='2. GRI Pricing Inputs'!$I$33),'2. GRI Pricing Inputs'!$H$32,IF(AND('3. GRI Pricing'!$F127&gt;='2. GRI Pricing Inputs'!$J$33,'3. GRI Pricing'!$F127&lt;='2. GRI Pricing Inputs'!$K$33),'2. GRI Pricing Inputs'!$J$32,IF(AND('3. GRI Pricing'!$F127&gt;='2. GRI Pricing Inputs'!$L$33,'3. GRI Pricing'!$F127&lt;='2. GRI Pricing Inputs'!$M$33),'2. GRI Pricing Inputs'!$L$32,IF(AND('3. GRI Pricing'!$F127&gt;='2. GRI Pricing Inputs'!$N$33,'3. GRI Pricing'!$F127&lt;='2. GRI Pricing Inputs'!$O$33),'2. GRI Pricing Inputs'!$N$32,IF(AND('3. GRI Pricing'!$F127&gt;='2. GRI Pricing Inputs'!$P$33,'3. GRI Pricing'!$F127&lt;='2. GRI Pricing Inputs'!$Q$33),'2. GRI Pricing Inputs'!$P$32,IF(AND('3. GRI Pricing'!$F127&gt;='2. GRI Pricing Inputs'!$R$33,'3. GRI Pricing'!$F127&lt;='2. GRI Pricing Inputs'!$S$33),'2. GRI Pricing Inputs'!$R$32,IF(AND('3. GRI Pricing'!$F127&gt;='2. GRI Pricing Inputs'!$T$33,'3. GRI Pricing'!$F127&lt;='2. GRI Pricing Inputs'!$U$33),'2. GRI Pricing Inputs'!$T$32,IF(AND('3. GRI Pricing'!$F127&gt;='2. GRI Pricing Inputs'!$V$33,'3. GRI Pricing'!$F127&lt;='2. GRI Pricing Inputs'!$W$33),'2. GRI Pricing Inputs'!$V$32,IF(AND('3. GRI Pricing'!$F127&gt;='2. GRI Pricing Inputs'!$X$33,'3. GRI Pricing'!$F127&lt;='2. GRI Pricing Inputs'!$Y$33),'2. GRI Pricing Inputs'!$X$32,IF(AND('3. GRI Pricing'!$F127&gt;='2. GRI Pricing Inputs'!$Z$33,'3. GRI Pricing'!$F127&lt;='2. GRI Pricing Inputs'!$AA$33),'2. GRI Pricing Inputs'!$Z$32,IF(AND('3. GRI Pricing'!$F127&gt;='2. GRI Pricing Inputs'!$AB$33,'3. GRI Pricing'!$F127&lt;='2. GRI Pricing Inputs'!$AC$33),'2. GRI Pricing Inputs'!$AB$32,IF(AND('3. GRI Pricing'!$F127&gt;='2. GRI Pricing Inputs'!$AD$33,'3. GRI Pricing'!$F127&lt;='2. GRI Pricing Inputs'!$AE$33),'2. GRI Pricing Inputs'!$AD$32,IF(AND('3. GRI Pricing'!$F127&gt;='2. GRI Pricing Inputs'!$AF$33,'3. GRI Pricing'!$F127&lt;='2. GRI Pricing Inputs'!$AG$33),'2. GRI Pricing Inputs'!$AF$32,IF(AND('3. GRI Pricing'!$F127&gt;='2. GRI Pricing Inputs'!$AH$33,'3. GRI Pricing'!$F127&lt;='2. GRI Pricing Inputs'!$AI$33),'2. GRI Pricing Inputs'!$AH$32,0))))))))))))))))</f>
        <v>7</v>
      </c>
      <c r="N127" s="273" cm="1">
        <f t="array" ref="N127">IFERROR(INDEX('2. GRI Pricing Inputs'!$C$32:$AI$39,MATCH('3. GRI Pricing'!D127,'2. GRI Pricing Inputs'!$C$32:$C$39,0),(MATCH('3. GRI Pricing'!M127,'2. GRI Pricing Inputs'!$D$32:$AI$32,0)+1)),0)</f>
        <v>10</v>
      </c>
      <c r="O127" s="273">
        <f>IFERROR(INDEX('2. GRI Pricing Inputs'!$C$45:$AI$46,MATCH($O$16,'2. GRI Pricing Inputs'!$C$45:$C$46,0),MATCH(G127,'2. GRI Pricing Inputs'!$C$45:$AI$45,0)),0)</f>
        <v>90</v>
      </c>
      <c r="P127" s="273">
        <f>IFERROR(INDEX('2. GRI Pricing Inputs'!$C$53:$AI$54,MATCH('3. GRI Pricing'!$P$16,'2. GRI Pricing Inputs'!$C$53:$C$54,0),MATCH('3. GRI Pricing'!H127,'2. GRI Pricing Inputs'!$C$53:$AI$53,0)),0)</f>
        <v>25</v>
      </c>
      <c r="Q127" s="273">
        <f>IFERROR(INDEX('2. GRI Pricing Inputs'!$C$60:$AI$61,MATCH('3. GRI Pricing'!$Q$16,'2. GRI Pricing Inputs'!$C$60:$C$61,0),MATCH('1. Accomodation'!T131,'2. GRI Pricing Inputs'!$C$60:$AI$60,0)),0)</f>
        <v>0</v>
      </c>
      <c r="R127" s="273">
        <f>IFERROR(INDEX('2. GRI Pricing Inputs'!$C$67:$AI$68,MATCH('3. GRI Pricing'!$R$16,'2. GRI Pricing Inputs'!$C$67:$C$68,0),MATCH('1. Accomodation'!U131,'2. GRI Pricing Inputs'!$C$67:$AI$67,0)),0)</f>
        <v>0</v>
      </c>
      <c r="S127" s="273">
        <f>IF(D127=0,0,'2. GRI Pricing Inputs'!$AI$75)</f>
        <v>70</v>
      </c>
      <c r="T127" s="273">
        <f>IFERROR(INDEX('2. GRI Pricing Inputs'!$C$82:$AI$83,MATCH('3. GRI Pricing'!$T$16,'2. GRI Pricing Inputs'!$C$82:$C$83,0),MATCH('1. Accomodation'!V131,'2. GRI Pricing Inputs'!$C$82:$AI$82,0)),0)</f>
        <v>0</v>
      </c>
      <c r="U127" s="273">
        <f>IFERROR(INDEX('2. GRI Pricing Inputs'!$C$89:$AI$90,MATCH('3. GRI Pricing'!$U$16,'2. GRI Pricing Inputs'!$C$89:$C$90,0),MATCH('1. Accomodation'!W131,'2. GRI Pricing Inputs'!$C$89:$AI$89,0)),0)</f>
        <v>0</v>
      </c>
      <c r="V127" s="273">
        <f>IFERROR(INDEX('2. GRI Pricing Inputs'!$C$97:$AI$98,MATCH('3. GRI Pricing'!$V$16,'2. GRI Pricing Inputs'!$C$97:$C$98,0),MATCH('1. Accomodation'!X131,'2. GRI Pricing Inputs'!$C$97:$AI$97,0)),0)</f>
        <v>0</v>
      </c>
      <c r="W127" s="273">
        <f>IFERROR(INDEX('2. GRI Pricing Inputs'!$C$104:$AI$105,MATCH('3. GRI Pricing'!$W$16,'2. GRI Pricing Inputs'!$C$104:$C$105,0),MATCH('1. Accomodation'!Y131,'2. GRI Pricing Inputs'!$C$104:$AI$104,0)),0)</f>
        <v>0</v>
      </c>
      <c r="X127" s="274">
        <v>0</v>
      </c>
      <c r="Y127" s="275">
        <f t="shared" si="8"/>
        <v>1305</v>
      </c>
      <c r="Z127" s="276"/>
      <c r="AA127" s="276"/>
      <c r="AB127" s="276"/>
      <c r="AC127" s="272">
        <f>Y127*(1+'2. GRI Pricing Inputs'!$D$114)^(($AC$16-$AB$15)/365)</f>
        <v>1309.3543001417784</v>
      </c>
      <c r="AD127" s="273">
        <f>AC127*(1+'2. GRI Pricing Inputs'!$D$114)^((AD$16-AC$16)/365)</f>
        <v>1313.58197173298</v>
      </c>
      <c r="AE127" s="273">
        <f>AD127*(1+'2. GRI Pricing Inputs'!$D$114)^((AE$16-AD$16)/365)</f>
        <v>1317.9649067258954</v>
      </c>
      <c r="AF127" s="273">
        <f>AE127*(1+'2. GRI Pricing Inputs'!$D$114)^((AF$16-AE$16)/365)</f>
        <v>1322.3624659444515</v>
      </c>
      <c r="AG127" s="273">
        <f>AF127*(1+'2. GRI Pricing Inputs'!$D$114)^((AG$16-AF$16)/365)</f>
        <v>1326.4895943011463</v>
      </c>
      <c r="AH127" s="273">
        <f>AG127*(1+'2. GRI Pricing Inputs'!$D$114)^((AH$16-AG$16)/365)</f>
        <v>1330.9155972348881</v>
      </c>
      <c r="AI127" s="273">
        <f>AH127*(1+'2. GRI Pricing Inputs'!$D$114)^((AI$16-AH$16)/365)</f>
        <v>1335.2128864102533</v>
      </c>
      <c r="AJ127" s="273">
        <f>AI127*(1+'2. GRI Pricing Inputs'!$D$114)^((AJ$16-AI$16)/365)</f>
        <v>1339.6679957287213</v>
      </c>
      <c r="AK127" s="273">
        <f>AJ127*(1+'2. GRI Pricing Inputs'!$D$114)^((AK$16-AJ$16)/365)</f>
        <v>1343.9935448383633</v>
      </c>
      <c r="AL127" s="273">
        <f>AK127*(1+'2. GRI Pricing Inputs'!$D$114)^((AL$16-AK$16)/365)</f>
        <v>1348.4779519516499</v>
      </c>
      <c r="AM127" s="273">
        <f>AL127*(1+'2. GRI Pricing Inputs'!$D$114)^((AM$16-AL$16)/365)</f>
        <v>1352.977321865342</v>
      </c>
      <c r="AN127" s="273">
        <f>AM127*(1+'2. GRI Pricing Inputs'!$D$114)^((AN$16-AM$16)/365)</f>
        <v>1357.3458444161679</v>
      </c>
      <c r="AO127" s="273">
        <f>AN127*(1+'2. GRI Pricing Inputs'!$D$114)^((AO$16-AN$16)/365)</f>
        <v>1361.8748031922473</v>
      </c>
    </row>
    <row r="128" spans="3:41" ht="12" x14ac:dyDescent="0.2">
      <c r="C128" s="76" t="str">
        <f>'1. Accomodation'!N132</f>
        <v>1S</v>
      </c>
      <c r="D128" s="69" t="str">
        <f>'1. Accomodation'!P132</f>
        <v>2 Bed</v>
      </c>
      <c r="E128" s="69">
        <f>'1. Accomodation'!Q132</f>
        <v>2</v>
      </c>
      <c r="F128" s="77">
        <f>'1. Accomodation'!O132</f>
        <v>757</v>
      </c>
      <c r="G128" s="69" t="str">
        <f>'1. Accomodation'!R132</f>
        <v>Ground</v>
      </c>
      <c r="H128" s="69" t="str">
        <f>'1. Accomodation'!S132</f>
        <v>Courtyard</v>
      </c>
      <c r="I128" s="62"/>
      <c r="K128" s="272">
        <f>IFERROR(INDEX('2. GRI Pricing Inputs'!$C$15:$AI$16,MATCH($K$16,'2. GRI Pricing Inputs'!$C$15:$C$16,0),MATCH(D128,'2. GRI Pricing Inputs'!$C$15:$AI$15,0)),0)</f>
        <v>1110</v>
      </c>
      <c r="L128" s="273">
        <f>IFERROR(INDEX('2. GRI Pricing Inputs'!$C$22:$AI$23,MATCH($L$16,'2. GRI Pricing Inputs'!$C$22:$C$23,0),MATCH(E128,'2. GRI Pricing Inputs'!$C$22:$AI$22,0)),0)</f>
        <v>0</v>
      </c>
      <c r="M128" s="328">
        <f>IF(AND('3. GRI Pricing'!$F128&gt;='2. GRI Pricing Inputs'!$D$33,'3. GRI Pricing'!$F128&lt;='2. GRI Pricing Inputs'!$E$33),'2. GRI Pricing Inputs'!$D$32,IF(AND('3. GRI Pricing'!$F128&gt;='2. GRI Pricing Inputs'!$F$33,'3. GRI Pricing'!$F128&lt;='2. GRI Pricing Inputs'!$G$33),'2. GRI Pricing Inputs'!$F$32,IF(AND('3. GRI Pricing'!$F128&gt;='2. GRI Pricing Inputs'!$H$33,'3. GRI Pricing'!$F128&lt;='2. GRI Pricing Inputs'!$I$33),'2. GRI Pricing Inputs'!$H$32,IF(AND('3. GRI Pricing'!$F128&gt;='2. GRI Pricing Inputs'!$J$33,'3. GRI Pricing'!$F128&lt;='2. GRI Pricing Inputs'!$K$33),'2. GRI Pricing Inputs'!$J$32,IF(AND('3. GRI Pricing'!$F128&gt;='2. GRI Pricing Inputs'!$L$33,'3. GRI Pricing'!$F128&lt;='2. GRI Pricing Inputs'!$M$33),'2. GRI Pricing Inputs'!$L$32,IF(AND('3. GRI Pricing'!$F128&gt;='2. GRI Pricing Inputs'!$N$33,'3. GRI Pricing'!$F128&lt;='2. GRI Pricing Inputs'!$O$33),'2. GRI Pricing Inputs'!$N$32,IF(AND('3. GRI Pricing'!$F128&gt;='2. GRI Pricing Inputs'!$P$33,'3. GRI Pricing'!$F128&lt;='2. GRI Pricing Inputs'!$Q$33),'2. GRI Pricing Inputs'!$P$32,IF(AND('3. GRI Pricing'!$F128&gt;='2. GRI Pricing Inputs'!$R$33,'3. GRI Pricing'!$F128&lt;='2. GRI Pricing Inputs'!$S$33),'2. GRI Pricing Inputs'!$R$32,IF(AND('3. GRI Pricing'!$F128&gt;='2. GRI Pricing Inputs'!$T$33,'3. GRI Pricing'!$F128&lt;='2. GRI Pricing Inputs'!$U$33),'2. GRI Pricing Inputs'!$T$32,IF(AND('3. GRI Pricing'!$F128&gt;='2. GRI Pricing Inputs'!$V$33,'3. GRI Pricing'!$F128&lt;='2. GRI Pricing Inputs'!$W$33),'2. GRI Pricing Inputs'!$V$32,IF(AND('3. GRI Pricing'!$F128&gt;='2. GRI Pricing Inputs'!$X$33,'3. GRI Pricing'!$F128&lt;='2. GRI Pricing Inputs'!$Y$33),'2. GRI Pricing Inputs'!$X$32,IF(AND('3. GRI Pricing'!$F128&gt;='2. GRI Pricing Inputs'!$Z$33,'3. GRI Pricing'!$F128&lt;='2. GRI Pricing Inputs'!$AA$33),'2. GRI Pricing Inputs'!$Z$32,IF(AND('3. GRI Pricing'!$F128&gt;='2. GRI Pricing Inputs'!$AB$33,'3. GRI Pricing'!$F128&lt;='2. GRI Pricing Inputs'!$AC$33),'2. GRI Pricing Inputs'!$AB$32,IF(AND('3. GRI Pricing'!$F128&gt;='2. GRI Pricing Inputs'!$AD$33,'3. GRI Pricing'!$F128&lt;='2. GRI Pricing Inputs'!$AE$33),'2. GRI Pricing Inputs'!$AD$32,IF(AND('3. GRI Pricing'!$F128&gt;='2. GRI Pricing Inputs'!$AF$33,'3. GRI Pricing'!$F128&lt;='2. GRI Pricing Inputs'!$AG$33),'2. GRI Pricing Inputs'!$AF$32,IF(AND('3. GRI Pricing'!$F128&gt;='2. GRI Pricing Inputs'!$AH$33,'3. GRI Pricing'!$F128&lt;='2. GRI Pricing Inputs'!$AI$33),'2. GRI Pricing Inputs'!$AH$32,0))))))))))))))))</f>
        <v>0</v>
      </c>
      <c r="N128" s="273" cm="1">
        <f t="array" ref="N128">IFERROR(INDEX('2. GRI Pricing Inputs'!$C$32:$AI$39,MATCH('3. GRI Pricing'!D128,'2. GRI Pricing Inputs'!$C$32:$C$39,0),(MATCH('3. GRI Pricing'!M128,'2. GRI Pricing Inputs'!$D$32:$AI$32,0)+1)),0)</f>
        <v>0</v>
      </c>
      <c r="O128" s="273">
        <f>IFERROR(INDEX('2. GRI Pricing Inputs'!$C$45:$AI$46,MATCH($O$16,'2. GRI Pricing Inputs'!$C$45:$C$46,0),MATCH(G128,'2. GRI Pricing Inputs'!$C$45:$AI$45,0)),0)</f>
        <v>0</v>
      </c>
      <c r="P128" s="273">
        <f>IFERROR(INDEX('2. GRI Pricing Inputs'!$C$53:$AI$54,MATCH('3. GRI Pricing'!$P$16,'2. GRI Pricing Inputs'!$C$53:$C$54,0),MATCH('3. GRI Pricing'!H128,'2. GRI Pricing Inputs'!$C$53:$AI$53,0)),0)</f>
        <v>25</v>
      </c>
      <c r="Q128" s="273">
        <f>IFERROR(INDEX('2. GRI Pricing Inputs'!$C$60:$AI$61,MATCH('3. GRI Pricing'!$Q$16,'2. GRI Pricing Inputs'!$C$60:$C$61,0),MATCH('1. Accomodation'!T132,'2. GRI Pricing Inputs'!$C$60:$AI$60,0)),0)</f>
        <v>0</v>
      </c>
      <c r="R128" s="273">
        <f>IFERROR(INDEX('2. GRI Pricing Inputs'!$C$67:$AI$68,MATCH('3. GRI Pricing'!$R$16,'2. GRI Pricing Inputs'!$C$67:$C$68,0),MATCH('1. Accomodation'!U132,'2. GRI Pricing Inputs'!$C$67:$AI$67,0)),0)</f>
        <v>0</v>
      </c>
      <c r="S128" s="273">
        <f>IF(D128=0,0,'2. GRI Pricing Inputs'!$AI$75)</f>
        <v>70</v>
      </c>
      <c r="T128" s="273">
        <f>IFERROR(INDEX('2. GRI Pricing Inputs'!$C$82:$AI$83,MATCH('3. GRI Pricing'!$T$16,'2. GRI Pricing Inputs'!$C$82:$C$83,0),MATCH('1. Accomodation'!V132,'2. GRI Pricing Inputs'!$C$82:$AI$82,0)),0)</f>
        <v>20</v>
      </c>
      <c r="U128" s="273">
        <f>IFERROR(INDEX('2. GRI Pricing Inputs'!$C$89:$AI$90,MATCH('3. GRI Pricing'!$U$16,'2. GRI Pricing Inputs'!$C$89:$C$90,0),MATCH('1. Accomodation'!W132,'2. GRI Pricing Inputs'!$C$89:$AI$89,0)),0)</f>
        <v>-75</v>
      </c>
      <c r="V128" s="273">
        <f>IFERROR(INDEX('2. GRI Pricing Inputs'!$C$97:$AI$98,MATCH('3. GRI Pricing'!$V$16,'2. GRI Pricing Inputs'!$C$97:$C$98,0),MATCH('1. Accomodation'!X132,'2. GRI Pricing Inputs'!$C$97:$AI$97,0)),0)</f>
        <v>0</v>
      </c>
      <c r="W128" s="273">
        <f>IFERROR(INDEX('2. GRI Pricing Inputs'!$C$104:$AI$105,MATCH('3. GRI Pricing'!$W$16,'2. GRI Pricing Inputs'!$C$104:$C$105,0),MATCH('1. Accomodation'!Y132,'2. GRI Pricing Inputs'!$C$104:$AI$104,0)),0)</f>
        <v>0</v>
      </c>
      <c r="X128" s="274">
        <v>100</v>
      </c>
      <c r="Y128" s="275">
        <f t="shared" si="8"/>
        <v>1250</v>
      </c>
      <c r="Z128" s="276"/>
      <c r="AA128" s="276"/>
      <c r="AB128" s="276"/>
      <c r="AC128" s="272">
        <f>Y128*(1+'2. GRI Pricing Inputs'!$D$114)^(($AC$16-$AB$15)/365)</f>
        <v>1254.1707855764162</v>
      </c>
      <c r="AD128" s="273">
        <f>AC128*(1+'2. GRI Pricing Inputs'!$D$114)^((AD$16-AC$16)/365)</f>
        <v>1258.2202794377204</v>
      </c>
      <c r="AE128" s="273">
        <f>AD128*(1+'2. GRI Pricing Inputs'!$D$114)^((AE$16-AD$16)/365)</f>
        <v>1262.4184930324668</v>
      </c>
      <c r="AF128" s="273">
        <f>AE128*(1+'2. GRI Pricing Inputs'!$D$114)^((AF$16-AE$16)/365)</f>
        <v>1266.6307145061794</v>
      </c>
      <c r="AG128" s="273">
        <f>AF128*(1+'2. GRI Pricing Inputs'!$D$114)^((AG$16-AF$16)/365)</f>
        <v>1270.5839025873047</v>
      </c>
      <c r="AH128" s="273">
        <f>AG128*(1+'2. GRI Pricing Inputs'!$D$114)^((AH$16-AG$16)/365)</f>
        <v>1274.8233689989349</v>
      </c>
      <c r="AI128" s="273">
        <f>AH128*(1+'2. GRI Pricing Inputs'!$D$114)^((AI$16-AH$16)/365)</f>
        <v>1278.9395463699743</v>
      </c>
      <c r="AJ128" s="273">
        <f>AI128*(1+'2. GRI Pricing Inputs'!$D$114)^((AJ$16-AI$16)/365)</f>
        <v>1283.2068924604607</v>
      </c>
      <c r="AK128" s="273">
        <f>AJ128*(1+'2. GRI Pricing Inputs'!$D$114)^((AK$16-AJ$16)/365)</f>
        <v>1287.3501387340643</v>
      </c>
      <c r="AL128" s="273">
        <f>AK128*(1+'2. GRI Pricing Inputs'!$D$114)^((AL$16-AK$16)/365)</f>
        <v>1291.6455478464079</v>
      </c>
      <c r="AM128" s="273">
        <f>AL128*(1+'2. GRI Pricing Inputs'!$D$114)^((AM$16-AL$16)/365)</f>
        <v>1295.9552891430478</v>
      </c>
      <c r="AN128" s="273">
        <f>AM128*(1+'2. GRI Pricing Inputs'!$D$114)^((AN$16-AM$16)/365)</f>
        <v>1300.1396977166357</v>
      </c>
      <c r="AO128" s="273">
        <f>AN128*(1+'2. GRI Pricing Inputs'!$D$114)^((AO$16-AN$16)/365)</f>
        <v>1304.4777808354859</v>
      </c>
    </row>
    <row r="129" spans="3:41" ht="12" x14ac:dyDescent="0.2">
      <c r="C129" s="76" t="str">
        <f>'1. Accomodation'!N133</f>
        <v>2S</v>
      </c>
      <c r="D129" s="69" t="str">
        <f>'1. Accomodation'!P133</f>
        <v>1 Bed</v>
      </c>
      <c r="E129" s="69">
        <f>'1. Accomodation'!Q133</f>
        <v>1</v>
      </c>
      <c r="F129" s="77">
        <f>'1. Accomodation'!O133</f>
        <v>553</v>
      </c>
      <c r="G129" s="69" t="str">
        <f>'1. Accomodation'!R133</f>
        <v>Ground</v>
      </c>
      <c r="H129" s="69" t="str">
        <f>'1. Accomodation'!S133</f>
        <v>Courtyard</v>
      </c>
      <c r="I129" s="62"/>
      <c r="K129" s="272">
        <f>IFERROR(INDEX('2. GRI Pricing Inputs'!$C$15:$AI$16,MATCH($K$16,'2. GRI Pricing Inputs'!$C$15:$C$16,0),MATCH(D129,'2. GRI Pricing Inputs'!$C$15:$AI$15,0)),0)</f>
        <v>845</v>
      </c>
      <c r="L129" s="273">
        <f>IFERROR(INDEX('2. GRI Pricing Inputs'!$C$22:$AI$23,MATCH($L$16,'2. GRI Pricing Inputs'!$C$22:$C$23,0),MATCH(E129,'2. GRI Pricing Inputs'!$C$22:$AI$22,0)),0)</f>
        <v>0</v>
      </c>
      <c r="M129" s="328">
        <f>IF(AND('3. GRI Pricing'!$F129&gt;='2. GRI Pricing Inputs'!$D$33,'3. GRI Pricing'!$F129&lt;='2. GRI Pricing Inputs'!$E$33),'2. GRI Pricing Inputs'!$D$32,IF(AND('3. GRI Pricing'!$F129&gt;='2. GRI Pricing Inputs'!$F$33,'3. GRI Pricing'!$F129&lt;='2. GRI Pricing Inputs'!$G$33),'2. GRI Pricing Inputs'!$F$32,IF(AND('3. GRI Pricing'!$F129&gt;='2. GRI Pricing Inputs'!$H$33,'3. GRI Pricing'!$F129&lt;='2. GRI Pricing Inputs'!$I$33),'2. GRI Pricing Inputs'!$H$32,IF(AND('3. GRI Pricing'!$F129&gt;='2. GRI Pricing Inputs'!$J$33,'3. GRI Pricing'!$F129&lt;='2. GRI Pricing Inputs'!$K$33),'2. GRI Pricing Inputs'!$J$32,IF(AND('3. GRI Pricing'!$F129&gt;='2. GRI Pricing Inputs'!$L$33,'3. GRI Pricing'!$F129&lt;='2. GRI Pricing Inputs'!$M$33),'2. GRI Pricing Inputs'!$L$32,IF(AND('3. GRI Pricing'!$F129&gt;='2. GRI Pricing Inputs'!$N$33,'3. GRI Pricing'!$F129&lt;='2. GRI Pricing Inputs'!$O$33),'2. GRI Pricing Inputs'!$N$32,IF(AND('3. GRI Pricing'!$F129&gt;='2. GRI Pricing Inputs'!$P$33,'3. GRI Pricing'!$F129&lt;='2. GRI Pricing Inputs'!$Q$33),'2. GRI Pricing Inputs'!$P$32,IF(AND('3. GRI Pricing'!$F129&gt;='2. GRI Pricing Inputs'!$R$33,'3. GRI Pricing'!$F129&lt;='2. GRI Pricing Inputs'!$S$33),'2. GRI Pricing Inputs'!$R$32,IF(AND('3. GRI Pricing'!$F129&gt;='2. GRI Pricing Inputs'!$T$33,'3. GRI Pricing'!$F129&lt;='2. GRI Pricing Inputs'!$U$33),'2. GRI Pricing Inputs'!$T$32,IF(AND('3. GRI Pricing'!$F129&gt;='2. GRI Pricing Inputs'!$V$33,'3. GRI Pricing'!$F129&lt;='2. GRI Pricing Inputs'!$W$33),'2. GRI Pricing Inputs'!$V$32,IF(AND('3. GRI Pricing'!$F129&gt;='2. GRI Pricing Inputs'!$X$33,'3. GRI Pricing'!$F129&lt;='2. GRI Pricing Inputs'!$Y$33),'2. GRI Pricing Inputs'!$X$32,IF(AND('3. GRI Pricing'!$F129&gt;='2. GRI Pricing Inputs'!$Z$33,'3. GRI Pricing'!$F129&lt;='2. GRI Pricing Inputs'!$AA$33),'2. GRI Pricing Inputs'!$Z$32,IF(AND('3. GRI Pricing'!$F129&gt;='2. GRI Pricing Inputs'!$AB$33,'3. GRI Pricing'!$F129&lt;='2. GRI Pricing Inputs'!$AC$33),'2. GRI Pricing Inputs'!$AB$32,IF(AND('3. GRI Pricing'!$F129&gt;='2. GRI Pricing Inputs'!$AD$33,'3. GRI Pricing'!$F129&lt;='2. GRI Pricing Inputs'!$AE$33),'2. GRI Pricing Inputs'!$AD$32,IF(AND('3. GRI Pricing'!$F129&gt;='2. GRI Pricing Inputs'!$AF$33,'3. GRI Pricing'!$F129&lt;='2. GRI Pricing Inputs'!$AG$33),'2. GRI Pricing Inputs'!$AF$32,IF(AND('3. GRI Pricing'!$F129&gt;='2. GRI Pricing Inputs'!$AH$33,'3. GRI Pricing'!$F129&lt;='2. GRI Pricing Inputs'!$AI$33),'2. GRI Pricing Inputs'!$AH$32,0))))))))))))))))</f>
        <v>4</v>
      </c>
      <c r="N129" s="273" cm="1">
        <f t="array" ref="N129">IFERROR(INDEX('2. GRI Pricing Inputs'!$C$32:$AI$39,MATCH('3. GRI Pricing'!D129,'2. GRI Pricing Inputs'!$C$32:$C$39,0),(MATCH('3. GRI Pricing'!M129,'2. GRI Pricing Inputs'!$D$32:$AI$32,0)+1)),0)</f>
        <v>25</v>
      </c>
      <c r="O129" s="273">
        <f>IFERROR(INDEX('2. GRI Pricing Inputs'!$C$45:$AI$46,MATCH($O$16,'2. GRI Pricing Inputs'!$C$45:$C$46,0),MATCH(G129,'2. GRI Pricing Inputs'!$C$45:$AI$45,0)),0)</f>
        <v>0</v>
      </c>
      <c r="P129" s="273">
        <f>IFERROR(INDEX('2. GRI Pricing Inputs'!$C$53:$AI$54,MATCH('3. GRI Pricing'!$P$16,'2. GRI Pricing Inputs'!$C$53:$C$54,0),MATCH('3. GRI Pricing'!H129,'2. GRI Pricing Inputs'!$C$53:$AI$53,0)),0)</f>
        <v>25</v>
      </c>
      <c r="Q129" s="273">
        <f>IFERROR(INDEX('2. GRI Pricing Inputs'!$C$60:$AI$61,MATCH('3. GRI Pricing'!$Q$16,'2. GRI Pricing Inputs'!$C$60:$C$61,0),MATCH('1. Accomodation'!T133,'2. GRI Pricing Inputs'!$C$60:$AI$60,0)),0)</f>
        <v>0</v>
      </c>
      <c r="R129" s="273">
        <f>IFERROR(INDEX('2. GRI Pricing Inputs'!$C$67:$AI$68,MATCH('3. GRI Pricing'!$R$16,'2. GRI Pricing Inputs'!$C$67:$C$68,0),MATCH('1. Accomodation'!U133,'2. GRI Pricing Inputs'!$C$67:$AI$67,0)),0)</f>
        <v>0</v>
      </c>
      <c r="S129" s="273">
        <f>IF(D129=0,0,'2. GRI Pricing Inputs'!$AI$75)</f>
        <v>70</v>
      </c>
      <c r="T129" s="273">
        <f>IFERROR(INDEX('2. GRI Pricing Inputs'!$C$82:$AI$83,MATCH('3. GRI Pricing'!$T$16,'2. GRI Pricing Inputs'!$C$82:$C$83,0),MATCH('1. Accomodation'!V133,'2. GRI Pricing Inputs'!$C$82:$AI$82,0)),0)</f>
        <v>20</v>
      </c>
      <c r="U129" s="273">
        <f>IFERROR(INDEX('2. GRI Pricing Inputs'!$C$89:$AI$90,MATCH('3. GRI Pricing'!$U$16,'2. GRI Pricing Inputs'!$C$89:$C$90,0),MATCH('1. Accomodation'!W133,'2. GRI Pricing Inputs'!$C$89:$AI$89,0)),0)</f>
        <v>-75</v>
      </c>
      <c r="V129" s="273">
        <f>IFERROR(INDEX('2. GRI Pricing Inputs'!$C$97:$AI$98,MATCH('3. GRI Pricing'!$V$16,'2. GRI Pricing Inputs'!$C$97:$C$98,0),MATCH('1. Accomodation'!X133,'2. GRI Pricing Inputs'!$C$97:$AI$97,0)),0)</f>
        <v>0</v>
      </c>
      <c r="W129" s="273">
        <f>IFERROR(INDEX('2. GRI Pricing Inputs'!$C$104:$AI$105,MATCH('3. GRI Pricing'!$W$16,'2. GRI Pricing Inputs'!$C$104:$C$105,0),MATCH('1. Accomodation'!Y133,'2. GRI Pricing Inputs'!$C$104:$AI$104,0)),0)</f>
        <v>0</v>
      </c>
      <c r="X129" s="274">
        <v>0</v>
      </c>
      <c r="Y129" s="275">
        <f t="shared" si="8"/>
        <v>910</v>
      </c>
      <c r="Z129" s="276"/>
      <c r="AA129" s="276"/>
      <c r="AB129" s="276"/>
      <c r="AC129" s="272">
        <f>Y129*(1+'2. GRI Pricing Inputs'!$D$114)^(($AC$16-$AB$15)/365)</f>
        <v>913.03633189963091</v>
      </c>
      <c r="AD129" s="273">
        <f>AC129*(1+'2. GRI Pricing Inputs'!$D$114)^((AD$16-AC$16)/365)</f>
        <v>915.98436343066044</v>
      </c>
      <c r="AE129" s="273">
        <f>AD129*(1+'2. GRI Pricing Inputs'!$D$114)^((AE$16-AD$16)/365)</f>
        <v>919.04066292763594</v>
      </c>
      <c r="AF129" s="273">
        <f>AE129*(1+'2. GRI Pricing Inputs'!$D$114)^((AF$16-AE$16)/365)</f>
        <v>922.10716016049878</v>
      </c>
      <c r="AG129" s="273">
        <f>AF129*(1+'2. GRI Pricing Inputs'!$D$114)^((AG$16-AF$16)/365)</f>
        <v>924.98508108355804</v>
      </c>
      <c r="AH129" s="273">
        <f>AG129*(1+'2. GRI Pricing Inputs'!$D$114)^((AH$16-AG$16)/365)</f>
        <v>928.0714126312248</v>
      </c>
      <c r="AI129" s="273">
        <f>AH129*(1+'2. GRI Pricing Inputs'!$D$114)^((AI$16-AH$16)/365)</f>
        <v>931.06798975734148</v>
      </c>
      <c r="AJ129" s="273">
        <f>AI129*(1+'2. GRI Pricing Inputs'!$D$114)^((AJ$16-AI$16)/365)</f>
        <v>934.17461771121566</v>
      </c>
      <c r="AK129" s="273">
        <f>AJ129*(1+'2. GRI Pricing Inputs'!$D$114)^((AK$16-AJ$16)/365)</f>
        <v>937.190900998399</v>
      </c>
      <c r="AL129" s="273">
        <f>AK129*(1+'2. GRI Pricing Inputs'!$D$114)^((AL$16-AK$16)/365)</f>
        <v>940.31795883218501</v>
      </c>
      <c r="AM129" s="273">
        <f>AL129*(1+'2. GRI Pricing Inputs'!$D$114)^((AM$16-AL$16)/365)</f>
        <v>943.45545049613884</v>
      </c>
      <c r="AN129" s="273">
        <f>AM129*(1+'2. GRI Pricing Inputs'!$D$114)^((AN$16-AM$16)/365)</f>
        <v>946.5016999377109</v>
      </c>
      <c r="AO129" s="273">
        <f>AN129*(1+'2. GRI Pricing Inputs'!$D$114)^((AO$16-AN$16)/365)</f>
        <v>949.65982444823373</v>
      </c>
    </row>
    <row r="130" spans="3:41" ht="12" x14ac:dyDescent="0.2">
      <c r="C130" s="76" t="str">
        <f>'1. Accomodation'!N134</f>
        <v>3S</v>
      </c>
      <c r="D130" s="69" t="str">
        <f>'1. Accomodation'!P134</f>
        <v>1 Bed</v>
      </c>
      <c r="E130" s="69">
        <f>'1. Accomodation'!Q134</f>
        <v>1</v>
      </c>
      <c r="F130" s="77">
        <f>'1. Accomodation'!O134</f>
        <v>505</v>
      </c>
      <c r="G130" s="69" t="str">
        <f>'1. Accomodation'!R134</f>
        <v>Ground</v>
      </c>
      <c r="H130" s="69" t="str">
        <f>'1. Accomodation'!S134</f>
        <v>Courtyard</v>
      </c>
      <c r="I130" s="62"/>
      <c r="K130" s="272">
        <f>IFERROR(INDEX('2. GRI Pricing Inputs'!$C$15:$AI$16,MATCH($K$16,'2. GRI Pricing Inputs'!$C$15:$C$16,0),MATCH(D130,'2. GRI Pricing Inputs'!$C$15:$AI$15,0)),0)</f>
        <v>845</v>
      </c>
      <c r="L130" s="273">
        <f>IFERROR(INDEX('2. GRI Pricing Inputs'!$C$22:$AI$23,MATCH($L$16,'2. GRI Pricing Inputs'!$C$22:$C$23,0),MATCH(E130,'2. GRI Pricing Inputs'!$C$22:$AI$22,0)),0)</f>
        <v>0</v>
      </c>
      <c r="M130" s="328">
        <f>IF(AND('3. GRI Pricing'!$F130&gt;='2. GRI Pricing Inputs'!$D$33,'3. GRI Pricing'!$F130&lt;='2. GRI Pricing Inputs'!$E$33),'2. GRI Pricing Inputs'!$D$32,IF(AND('3. GRI Pricing'!$F130&gt;='2. GRI Pricing Inputs'!$F$33,'3. GRI Pricing'!$F130&lt;='2. GRI Pricing Inputs'!$G$33),'2. GRI Pricing Inputs'!$F$32,IF(AND('3. GRI Pricing'!$F130&gt;='2. GRI Pricing Inputs'!$H$33,'3. GRI Pricing'!$F130&lt;='2. GRI Pricing Inputs'!$I$33),'2. GRI Pricing Inputs'!$H$32,IF(AND('3. GRI Pricing'!$F130&gt;='2. GRI Pricing Inputs'!$J$33,'3. GRI Pricing'!$F130&lt;='2. GRI Pricing Inputs'!$K$33),'2. GRI Pricing Inputs'!$J$32,IF(AND('3. GRI Pricing'!$F130&gt;='2. GRI Pricing Inputs'!$L$33,'3. GRI Pricing'!$F130&lt;='2. GRI Pricing Inputs'!$M$33),'2. GRI Pricing Inputs'!$L$32,IF(AND('3. GRI Pricing'!$F130&gt;='2. GRI Pricing Inputs'!$N$33,'3. GRI Pricing'!$F130&lt;='2. GRI Pricing Inputs'!$O$33),'2. GRI Pricing Inputs'!$N$32,IF(AND('3. GRI Pricing'!$F130&gt;='2. GRI Pricing Inputs'!$P$33,'3. GRI Pricing'!$F130&lt;='2. GRI Pricing Inputs'!$Q$33),'2. GRI Pricing Inputs'!$P$32,IF(AND('3. GRI Pricing'!$F130&gt;='2. GRI Pricing Inputs'!$R$33,'3. GRI Pricing'!$F130&lt;='2. GRI Pricing Inputs'!$S$33),'2. GRI Pricing Inputs'!$R$32,IF(AND('3. GRI Pricing'!$F130&gt;='2. GRI Pricing Inputs'!$T$33,'3. GRI Pricing'!$F130&lt;='2. GRI Pricing Inputs'!$U$33),'2. GRI Pricing Inputs'!$T$32,IF(AND('3. GRI Pricing'!$F130&gt;='2. GRI Pricing Inputs'!$V$33,'3. GRI Pricing'!$F130&lt;='2. GRI Pricing Inputs'!$W$33),'2. GRI Pricing Inputs'!$V$32,IF(AND('3. GRI Pricing'!$F130&gt;='2. GRI Pricing Inputs'!$X$33,'3. GRI Pricing'!$F130&lt;='2. GRI Pricing Inputs'!$Y$33),'2. GRI Pricing Inputs'!$X$32,IF(AND('3. GRI Pricing'!$F130&gt;='2. GRI Pricing Inputs'!$Z$33,'3. GRI Pricing'!$F130&lt;='2. GRI Pricing Inputs'!$AA$33),'2. GRI Pricing Inputs'!$Z$32,IF(AND('3. GRI Pricing'!$F130&gt;='2. GRI Pricing Inputs'!$AB$33,'3. GRI Pricing'!$F130&lt;='2. GRI Pricing Inputs'!$AC$33),'2. GRI Pricing Inputs'!$AB$32,IF(AND('3. GRI Pricing'!$F130&gt;='2. GRI Pricing Inputs'!$AD$33,'3. GRI Pricing'!$F130&lt;='2. GRI Pricing Inputs'!$AE$33),'2. GRI Pricing Inputs'!$AD$32,IF(AND('3. GRI Pricing'!$F130&gt;='2. GRI Pricing Inputs'!$AF$33,'3. GRI Pricing'!$F130&lt;='2. GRI Pricing Inputs'!$AG$33),'2. GRI Pricing Inputs'!$AF$32,IF(AND('3. GRI Pricing'!$F130&gt;='2. GRI Pricing Inputs'!$AH$33,'3. GRI Pricing'!$F130&lt;='2. GRI Pricing Inputs'!$AI$33),'2. GRI Pricing Inputs'!$AH$32,0))))))))))))))))</f>
        <v>2</v>
      </c>
      <c r="N130" s="273" cm="1">
        <f t="array" ref="N130">IFERROR(INDEX('2. GRI Pricing Inputs'!$C$32:$AI$39,MATCH('3. GRI Pricing'!D130,'2. GRI Pricing Inputs'!$C$32:$C$39,0),(MATCH('3. GRI Pricing'!M130,'2. GRI Pricing Inputs'!$D$32:$AI$32,0)+1)),0)</f>
        <v>15</v>
      </c>
      <c r="O130" s="273">
        <f>IFERROR(INDEX('2. GRI Pricing Inputs'!$C$45:$AI$46,MATCH($O$16,'2. GRI Pricing Inputs'!$C$45:$C$46,0),MATCH(G130,'2. GRI Pricing Inputs'!$C$45:$AI$45,0)),0)</f>
        <v>0</v>
      </c>
      <c r="P130" s="273">
        <f>IFERROR(INDEX('2. GRI Pricing Inputs'!$C$53:$AI$54,MATCH('3. GRI Pricing'!$P$16,'2. GRI Pricing Inputs'!$C$53:$C$54,0),MATCH('3. GRI Pricing'!H130,'2. GRI Pricing Inputs'!$C$53:$AI$53,0)),0)</f>
        <v>25</v>
      </c>
      <c r="Q130" s="273">
        <f>IFERROR(INDEX('2. GRI Pricing Inputs'!$C$60:$AI$61,MATCH('3. GRI Pricing'!$Q$16,'2. GRI Pricing Inputs'!$C$60:$C$61,0),MATCH('1. Accomodation'!T134,'2. GRI Pricing Inputs'!$C$60:$AI$60,0)),0)</f>
        <v>0</v>
      </c>
      <c r="R130" s="273">
        <f>IFERROR(INDEX('2. GRI Pricing Inputs'!$C$67:$AI$68,MATCH('3. GRI Pricing'!$R$16,'2. GRI Pricing Inputs'!$C$67:$C$68,0),MATCH('1. Accomodation'!U134,'2. GRI Pricing Inputs'!$C$67:$AI$67,0)),0)</f>
        <v>0</v>
      </c>
      <c r="S130" s="273">
        <f>IF(D130=0,0,'2. GRI Pricing Inputs'!$AI$75)</f>
        <v>70</v>
      </c>
      <c r="T130" s="273">
        <f>IFERROR(INDEX('2. GRI Pricing Inputs'!$C$82:$AI$83,MATCH('3. GRI Pricing'!$T$16,'2. GRI Pricing Inputs'!$C$82:$C$83,0),MATCH('1. Accomodation'!V134,'2. GRI Pricing Inputs'!$C$82:$AI$82,0)),0)</f>
        <v>20</v>
      </c>
      <c r="U130" s="273">
        <f>IFERROR(INDEX('2. GRI Pricing Inputs'!$C$89:$AI$90,MATCH('3. GRI Pricing'!$U$16,'2. GRI Pricing Inputs'!$C$89:$C$90,0),MATCH('1. Accomodation'!W134,'2. GRI Pricing Inputs'!$C$89:$AI$89,0)),0)</f>
        <v>-75</v>
      </c>
      <c r="V130" s="273">
        <f>IFERROR(INDEX('2. GRI Pricing Inputs'!$C$97:$AI$98,MATCH('3. GRI Pricing'!$V$16,'2. GRI Pricing Inputs'!$C$97:$C$98,0),MATCH('1. Accomodation'!X134,'2. GRI Pricing Inputs'!$C$97:$AI$97,0)),0)</f>
        <v>0</v>
      </c>
      <c r="W130" s="273">
        <f>IFERROR(INDEX('2. GRI Pricing Inputs'!$C$104:$AI$105,MATCH('3. GRI Pricing'!$W$16,'2. GRI Pricing Inputs'!$C$104:$C$105,0),MATCH('1. Accomodation'!Y134,'2. GRI Pricing Inputs'!$C$104:$AI$104,0)),0)</f>
        <v>0</v>
      </c>
      <c r="X130" s="274">
        <v>0</v>
      </c>
      <c r="Y130" s="275">
        <f t="shared" si="8"/>
        <v>900</v>
      </c>
      <c r="Z130" s="276"/>
      <c r="AA130" s="276"/>
      <c r="AB130" s="276"/>
      <c r="AC130" s="272">
        <f>Y130*(1+'2. GRI Pricing Inputs'!$D$114)^(($AC$16-$AB$15)/365)</f>
        <v>903.00296561501966</v>
      </c>
      <c r="AD130" s="273">
        <f>AC130*(1+'2. GRI Pricing Inputs'!$D$114)^((AD$16-AC$16)/365)</f>
        <v>905.91860119515866</v>
      </c>
      <c r="AE130" s="273">
        <f>AD130*(1+'2. GRI Pricing Inputs'!$D$114)^((AE$16-AD$16)/365)</f>
        <v>908.94131498337617</v>
      </c>
      <c r="AF130" s="273">
        <f>AE130*(1+'2. GRI Pricing Inputs'!$D$114)^((AF$16-AE$16)/365)</f>
        <v>911.97411444444924</v>
      </c>
      <c r="AG130" s="273">
        <f>AF130*(1+'2. GRI Pricing Inputs'!$D$114)^((AG$16-AF$16)/365)</f>
        <v>914.82040986285949</v>
      </c>
      <c r="AH130" s="273">
        <f>AG130*(1+'2. GRI Pricing Inputs'!$D$114)^((AH$16-AG$16)/365)</f>
        <v>917.87282567923319</v>
      </c>
      <c r="AI130" s="273">
        <f>AH130*(1+'2. GRI Pricing Inputs'!$D$114)^((AI$16-AH$16)/365)</f>
        <v>920.8364733863815</v>
      </c>
      <c r="AJ130" s="273">
        <f>AI130*(1+'2. GRI Pricing Inputs'!$D$114)^((AJ$16-AI$16)/365)</f>
        <v>923.90896257153179</v>
      </c>
      <c r="AK130" s="273">
        <f>AJ130*(1+'2. GRI Pricing Inputs'!$D$114)^((AK$16-AJ$16)/365)</f>
        <v>926.89209988852633</v>
      </c>
      <c r="AL130" s="273">
        <f>AK130*(1+'2. GRI Pricing Inputs'!$D$114)^((AL$16-AK$16)/365)</f>
        <v>929.9847944494137</v>
      </c>
      <c r="AM130" s="273">
        <f>AL130*(1+'2. GRI Pricing Inputs'!$D$114)^((AM$16-AL$16)/365)</f>
        <v>933.08780818299442</v>
      </c>
      <c r="AN130" s="273">
        <f>AM130*(1+'2. GRI Pricing Inputs'!$D$114)^((AN$16-AM$16)/365)</f>
        <v>936.10058235597774</v>
      </c>
      <c r="AO130" s="273">
        <f>AN130*(1+'2. GRI Pricing Inputs'!$D$114)^((AO$16-AN$16)/365)</f>
        <v>939.22400220154975</v>
      </c>
    </row>
    <row r="131" spans="3:41" ht="12" x14ac:dyDescent="0.2">
      <c r="C131" s="76" t="str">
        <f>'1. Accomodation'!N135</f>
        <v>101S</v>
      </c>
      <c r="D131" s="69" t="str">
        <f>'1. Accomodation'!P135</f>
        <v>2 Bed</v>
      </c>
      <c r="E131" s="69">
        <f>'1. Accomodation'!Q135</f>
        <v>2</v>
      </c>
      <c r="F131" s="77">
        <f>'1. Accomodation'!O135</f>
        <v>624</v>
      </c>
      <c r="G131" s="69" t="str">
        <f>'1. Accomodation'!R135</f>
        <v>Ground</v>
      </c>
      <c r="H131" s="69" t="str">
        <f>'1. Accomodation'!S135</f>
        <v>Fence</v>
      </c>
      <c r="I131" s="62"/>
      <c r="K131" s="272">
        <f>IFERROR(INDEX('2. GRI Pricing Inputs'!$C$15:$AI$16,MATCH($K$16,'2. GRI Pricing Inputs'!$C$15:$C$16,0),MATCH(D131,'2. GRI Pricing Inputs'!$C$15:$AI$15,0)),0)</f>
        <v>1110</v>
      </c>
      <c r="L131" s="273">
        <f>IFERROR(INDEX('2. GRI Pricing Inputs'!$C$22:$AI$23,MATCH($L$16,'2. GRI Pricing Inputs'!$C$22:$C$23,0),MATCH(E131,'2. GRI Pricing Inputs'!$C$22:$AI$22,0)),0)</f>
        <v>0</v>
      </c>
      <c r="M131" s="328">
        <f>IF(AND('3. GRI Pricing'!$F131&gt;='2. GRI Pricing Inputs'!$D$33,'3. GRI Pricing'!$F131&lt;='2. GRI Pricing Inputs'!$E$33),'2. GRI Pricing Inputs'!$D$32,IF(AND('3. GRI Pricing'!$F131&gt;='2. GRI Pricing Inputs'!$F$33,'3. GRI Pricing'!$F131&lt;='2. GRI Pricing Inputs'!$G$33),'2. GRI Pricing Inputs'!$F$32,IF(AND('3. GRI Pricing'!$F131&gt;='2. GRI Pricing Inputs'!$H$33,'3. GRI Pricing'!$F131&lt;='2. GRI Pricing Inputs'!$I$33),'2. GRI Pricing Inputs'!$H$32,IF(AND('3. GRI Pricing'!$F131&gt;='2. GRI Pricing Inputs'!$J$33,'3. GRI Pricing'!$F131&lt;='2. GRI Pricing Inputs'!$K$33),'2. GRI Pricing Inputs'!$J$32,IF(AND('3. GRI Pricing'!$F131&gt;='2. GRI Pricing Inputs'!$L$33,'3. GRI Pricing'!$F131&lt;='2. GRI Pricing Inputs'!$M$33),'2. GRI Pricing Inputs'!$L$32,IF(AND('3. GRI Pricing'!$F131&gt;='2. GRI Pricing Inputs'!$N$33,'3. GRI Pricing'!$F131&lt;='2. GRI Pricing Inputs'!$O$33),'2. GRI Pricing Inputs'!$N$32,IF(AND('3. GRI Pricing'!$F131&gt;='2. GRI Pricing Inputs'!$P$33,'3. GRI Pricing'!$F131&lt;='2. GRI Pricing Inputs'!$Q$33),'2. GRI Pricing Inputs'!$P$32,IF(AND('3. GRI Pricing'!$F131&gt;='2. GRI Pricing Inputs'!$R$33,'3. GRI Pricing'!$F131&lt;='2. GRI Pricing Inputs'!$S$33),'2. GRI Pricing Inputs'!$R$32,IF(AND('3. GRI Pricing'!$F131&gt;='2. GRI Pricing Inputs'!$T$33,'3. GRI Pricing'!$F131&lt;='2. GRI Pricing Inputs'!$U$33),'2. GRI Pricing Inputs'!$T$32,IF(AND('3. GRI Pricing'!$F131&gt;='2. GRI Pricing Inputs'!$V$33,'3. GRI Pricing'!$F131&lt;='2. GRI Pricing Inputs'!$W$33),'2. GRI Pricing Inputs'!$V$32,IF(AND('3. GRI Pricing'!$F131&gt;='2. GRI Pricing Inputs'!$X$33,'3. GRI Pricing'!$F131&lt;='2. GRI Pricing Inputs'!$Y$33),'2. GRI Pricing Inputs'!$X$32,IF(AND('3. GRI Pricing'!$F131&gt;='2. GRI Pricing Inputs'!$Z$33,'3. GRI Pricing'!$F131&lt;='2. GRI Pricing Inputs'!$AA$33),'2. GRI Pricing Inputs'!$Z$32,IF(AND('3. GRI Pricing'!$F131&gt;='2. GRI Pricing Inputs'!$AB$33,'3. GRI Pricing'!$F131&lt;='2. GRI Pricing Inputs'!$AC$33),'2. GRI Pricing Inputs'!$AB$32,IF(AND('3. GRI Pricing'!$F131&gt;='2. GRI Pricing Inputs'!$AD$33,'3. GRI Pricing'!$F131&lt;='2. GRI Pricing Inputs'!$AE$33),'2. GRI Pricing Inputs'!$AD$32,IF(AND('3. GRI Pricing'!$F131&gt;='2. GRI Pricing Inputs'!$AF$33,'3. GRI Pricing'!$F131&lt;='2. GRI Pricing Inputs'!$AG$33),'2. GRI Pricing Inputs'!$AF$32,IF(AND('3. GRI Pricing'!$F131&gt;='2. GRI Pricing Inputs'!$AH$33,'3. GRI Pricing'!$F131&lt;='2. GRI Pricing Inputs'!$AI$33),'2. GRI Pricing Inputs'!$AH$32,0))))))))))))))))</f>
        <v>7</v>
      </c>
      <c r="N131" s="273" cm="1">
        <f t="array" ref="N131">IFERROR(INDEX('2. GRI Pricing Inputs'!$C$32:$AI$39,MATCH('3. GRI Pricing'!D131,'2. GRI Pricing Inputs'!$C$32:$C$39,0),(MATCH('3. GRI Pricing'!M131,'2. GRI Pricing Inputs'!$D$32:$AI$32,0)+1)),0)</f>
        <v>10</v>
      </c>
      <c r="O131" s="273">
        <f>IFERROR(INDEX('2. GRI Pricing Inputs'!$C$45:$AI$46,MATCH($O$16,'2. GRI Pricing Inputs'!$C$45:$C$46,0),MATCH(G131,'2. GRI Pricing Inputs'!$C$45:$AI$45,0)),0)</f>
        <v>0</v>
      </c>
      <c r="P131" s="273">
        <f>IFERROR(INDEX('2. GRI Pricing Inputs'!$C$53:$AI$54,MATCH('3. GRI Pricing'!$P$16,'2. GRI Pricing Inputs'!$C$53:$C$54,0),MATCH('3. GRI Pricing'!H131,'2. GRI Pricing Inputs'!$C$53:$AI$53,0)),0)</f>
        <v>0</v>
      </c>
      <c r="Q131" s="273">
        <f>IFERROR(INDEX('2. GRI Pricing Inputs'!$C$60:$AI$61,MATCH('3. GRI Pricing'!$Q$16,'2. GRI Pricing Inputs'!$C$60:$C$61,0),MATCH('1. Accomodation'!T135,'2. GRI Pricing Inputs'!$C$60:$AI$60,0)),0)</f>
        <v>0</v>
      </c>
      <c r="R131" s="273">
        <f>IFERROR(INDEX('2. GRI Pricing Inputs'!$C$67:$AI$68,MATCH('3. GRI Pricing'!$R$16,'2. GRI Pricing Inputs'!$C$67:$C$68,0),MATCH('1. Accomodation'!U135,'2. GRI Pricing Inputs'!$C$67:$AI$67,0)),0)</f>
        <v>0</v>
      </c>
      <c r="S131" s="273">
        <f>IF(D131=0,0,'2. GRI Pricing Inputs'!$AI$75)</f>
        <v>70</v>
      </c>
      <c r="T131" s="273">
        <f>IFERROR(INDEX('2. GRI Pricing Inputs'!$C$82:$AI$83,MATCH('3. GRI Pricing'!$T$16,'2. GRI Pricing Inputs'!$C$82:$C$83,0),MATCH('1. Accomodation'!V135,'2. GRI Pricing Inputs'!$C$82:$AI$82,0)),0)</f>
        <v>20</v>
      </c>
      <c r="U131" s="273">
        <f>IFERROR(INDEX('2. GRI Pricing Inputs'!$C$89:$AI$90,MATCH('3. GRI Pricing'!$U$16,'2. GRI Pricing Inputs'!$C$89:$C$90,0),MATCH('1. Accomodation'!W135,'2. GRI Pricing Inputs'!$C$89:$AI$89,0)),0)</f>
        <v>0</v>
      </c>
      <c r="V131" s="273">
        <f>IFERROR(INDEX('2. GRI Pricing Inputs'!$C$97:$AI$98,MATCH('3. GRI Pricing'!$V$16,'2. GRI Pricing Inputs'!$C$97:$C$98,0),MATCH('1. Accomodation'!X135,'2. GRI Pricing Inputs'!$C$97:$AI$97,0)),0)</f>
        <v>0</v>
      </c>
      <c r="W131" s="273">
        <f>IFERROR(INDEX('2. GRI Pricing Inputs'!$C$104:$AI$105,MATCH('3. GRI Pricing'!$W$16,'2. GRI Pricing Inputs'!$C$104:$C$105,0),MATCH('1. Accomodation'!Y135,'2. GRI Pricing Inputs'!$C$104:$AI$104,0)),0)</f>
        <v>0</v>
      </c>
      <c r="X131" s="274">
        <v>0</v>
      </c>
      <c r="Y131" s="275">
        <f t="shared" si="8"/>
        <v>1210</v>
      </c>
      <c r="Z131" s="276"/>
      <c r="AA131" s="276"/>
      <c r="AB131" s="276"/>
      <c r="AC131" s="272">
        <f>Y131*(1+'2. GRI Pricing Inputs'!$D$114)^(($AC$16-$AB$15)/365)</f>
        <v>1214.0373204379707</v>
      </c>
      <c r="AD131" s="273">
        <f>AC131*(1+'2. GRI Pricing Inputs'!$D$114)^((AD$16-AC$16)/365)</f>
        <v>1217.9572304957132</v>
      </c>
      <c r="AE131" s="273">
        <f>AD131*(1+'2. GRI Pricing Inputs'!$D$114)^((AE$16-AD$16)/365)</f>
        <v>1222.0211012554278</v>
      </c>
      <c r="AF131" s="273">
        <f>AE131*(1+'2. GRI Pricing Inputs'!$D$114)^((AF$16-AE$16)/365)</f>
        <v>1226.0985316419817</v>
      </c>
      <c r="AG131" s="273">
        <f>AF131*(1+'2. GRI Pricing Inputs'!$D$114)^((AG$16-AF$16)/365)</f>
        <v>1229.9252177045109</v>
      </c>
      <c r="AH131" s="273">
        <f>AG131*(1+'2. GRI Pricing Inputs'!$D$114)^((AH$16-AG$16)/365)</f>
        <v>1234.0290211909689</v>
      </c>
      <c r="AI131" s="273">
        <f>AH131*(1+'2. GRI Pricing Inputs'!$D$114)^((AI$16-AH$16)/365)</f>
        <v>1238.0134808861351</v>
      </c>
      <c r="AJ131" s="273">
        <f>AI131*(1+'2. GRI Pricing Inputs'!$D$114)^((AJ$16-AI$16)/365)</f>
        <v>1242.1442719017259</v>
      </c>
      <c r="AK131" s="273">
        <f>AJ131*(1+'2. GRI Pricing Inputs'!$D$114)^((AK$16-AJ$16)/365)</f>
        <v>1246.1549342945741</v>
      </c>
      <c r="AL131" s="273">
        <f>AK131*(1+'2. GRI Pricing Inputs'!$D$114)^((AL$16-AK$16)/365)</f>
        <v>1250.3128903153226</v>
      </c>
      <c r="AM131" s="273">
        <f>AL131*(1+'2. GRI Pricing Inputs'!$D$114)^((AM$16-AL$16)/365)</f>
        <v>1254.4847198904702</v>
      </c>
      <c r="AN131" s="273">
        <f>AM131*(1+'2. GRI Pricing Inputs'!$D$114)^((AN$16-AM$16)/365)</f>
        <v>1258.5352273897033</v>
      </c>
      <c r="AO131" s="273">
        <f>AN131*(1+'2. GRI Pricing Inputs'!$D$114)^((AO$16-AN$16)/365)</f>
        <v>1262.7344918487502</v>
      </c>
    </row>
    <row r="132" spans="3:41" ht="12" x14ac:dyDescent="0.2">
      <c r="C132" s="76" t="str">
        <f>'1. Accomodation'!N136</f>
        <v>102S</v>
      </c>
      <c r="D132" s="69" t="str">
        <f>'1. Accomodation'!P136</f>
        <v>2 Bed</v>
      </c>
      <c r="E132" s="69">
        <f>'1. Accomodation'!Q136</f>
        <v>2</v>
      </c>
      <c r="F132" s="77">
        <f>'1. Accomodation'!O136</f>
        <v>603</v>
      </c>
      <c r="G132" s="69" t="str">
        <f>'1. Accomodation'!R136</f>
        <v>Ground</v>
      </c>
      <c r="H132" s="69" t="str">
        <f>'1. Accomodation'!S136</f>
        <v>Fence</v>
      </c>
      <c r="I132" s="62"/>
      <c r="K132" s="272">
        <f>IFERROR(INDEX('2. GRI Pricing Inputs'!$C$15:$AI$16,MATCH($K$16,'2. GRI Pricing Inputs'!$C$15:$C$16,0),MATCH(D132,'2. GRI Pricing Inputs'!$C$15:$AI$15,0)),0)</f>
        <v>1110</v>
      </c>
      <c r="L132" s="273">
        <f>IFERROR(INDEX('2. GRI Pricing Inputs'!$C$22:$AI$23,MATCH($L$16,'2. GRI Pricing Inputs'!$C$22:$C$23,0),MATCH(E132,'2. GRI Pricing Inputs'!$C$22:$AI$22,0)),0)</f>
        <v>0</v>
      </c>
      <c r="M132" s="328">
        <f>IF(AND('3. GRI Pricing'!$F132&gt;='2. GRI Pricing Inputs'!$D$33,'3. GRI Pricing'!$F132&lt;='2. GRI Pricing Inputs'!$E$33),'2. GRI Pricing Inputs'!$D$32,IF(AND('3. GRI Pricing'!$F132&gt;='2. GRI Pricing Inputs'!$F$33,'3. GRI Pricing'!$F132&lt;='2. GRI Pricing Inputs'!$G$33),'2. GRI Pricing Inputs'!$F$32,IF(AND('3. GRI Pricing'!$F132&gt;='2. GRI Pricing Inputs'!$H$33,'3. GRI Pricing'!$F132&lt;='2. GRI Pricing Inputs'!$I$33),'2. GRI Pricing Inputs'!$H$32,IF(AND('3. GRI Pricing'!$F132&gt;='2. GRI Pricing Inputs'!$J$33,'3. GRI Pricing'!$F132&lt;='2. GRI Pricing Inputs'!$K$33),'2. GRI Pricing Inputs'!$J$32,IF(AND('3. GRI Pricing'!$F132&gt;='2. GRI Pricing Inputs'!$L$33,'3. GRI Pricing'!$F132&lt;='2. GRI Pricing Inputs'!$M$33),'2. GRI Pricing Inputs'!$L$32,IF(AND('3. GRI Pricing'!$F132&gt;='2. GRI Pricing Inputs'!$N$33,'3. GRI Pricing'!$F132&lt;='2. GRI Pricing Inputs'!$O$33),'2. GRI Pricing Inputs'!$N$32,IF(AND('3. GRI Pricing'!$F132&gt;='2. GRI Pricing Inputs'!$P$33,'3. GRI Pricing'!$F132&lt;='2. GRI Pricing Inputs'!$Q$33),'2. GRI Pricing Inputs'!$P$32,IF(AND('3. GRI Pricing'!$F132&gt;='2. GRI Pricing Inputs'!$R$33,'3. GRI Pricing'!$F132&lt;='2. GRI Pricing Inputs'!$S$33),'2. GRI Pricing Inputs'!$R$32,IF(AND('3. GRI Pricing'!$F132&gt;='2. GRI Pricing Inputs'!$T$33,'3. GRI Pricing'!$F132&lt;='2. GRI Pricing Inputs'!$U$33),'2. GRI Pricing Inputs'!$T$32,IF(AND('3. GRI Pricing'!$F132&gt;='2. GRI Pricing Inputs'!$V$33,'3. GRI Pricing'!$F132&lt;='2. GRI Pricing Inputs'!$W$33),'2. GRI Pricing Inputs'!$V$32,IF(AND('3. GRI Pricing'!$F132&gt;='2. GRI Pricing Inputs'!$X$33,'3. GRI Pricing'!$F132&lt;='2. GRI Pricing Inputs'!$Y$33),'2. GRI Pricing Inputs'!$X$32,IF(AND('3. GRI Pricing'!$F132&gt;='2. GRI Pricing Inputs'!$Z$33,'3. GRI Pricing'!$F132&lt;='2. GRI Pricing Inputs'!$AA$33),'2. GRI Pricing Inputs'!$Z$32,IF(AND('3. GRI Pricing'!$F132&gt;='2. GRI Pricing Inputs'!$AB$33,'3. GRI Pricing'!$F132&lt;='2. GRI Pricing Inputs'!$AC$33),'2. GRI Pricing Inputs'!$AB$32,IF(AND('3. GRI Pricing'!$F132&gt;='2. GRI Pricing Inputs'!$AD$33,'3. GRI Pricing'!$F132&lt;='2. GRI Pricing Inputs'!$AE$33),'2. GRI Pricing Inputs'!$AD$32,IF(AND('3. GRI Pricing'!$F132&gt;='2. GRI Pricing Inputs'!$AF$33,'3. GRI Pricing'!$F132&lt;='2. GRI Pricing Inputs'!$AG$33),'2. GRI Pricing Inputs'!$AF$32,IF(AND('3. GRI Pricing'!$F132&gt;='2. GRI Pricing Inputs'!$AH$33,'3. GRI Pricing'!$F132&lt;='2. GRI Pricing Inputs'!$AI$33),'2. GRI Pricing Inputs'!$AH$32,0))))))))))))))))</f>
        <v>6</v>
      </c>
      <c r="N132" s="273" cm="1">
        <f t="array" ref="N132">IFERROR(INDEX('2. GRI Pricing Inputs'!$C$32:$AI$39,MATCH('3. GRI Pricing'!D132,'2. GRI Pricing Inputs'!$C$32:$C$39,0),(MATCH('3. GRI Pricing'!M132,'2. GRI Pricing Inputs'!$D$32:$AI$32,0)+1)),0)</f>
        <v>5</v>
      </c>
      <c r="O132" s="273">
        <f>IFERROR(INDEX('2. GRI Pricing Inputs'!$C$45:$AI$46,MATCH($O$16,'2. GRI Pricing Inputs'!$C$45:$C$46,0),MATCH(G132,'2. GRI Pricing Inputs'!$C$45:$AI$45,0)),0)</f>
        <v>0</v>
      </c>
      <c r="P132" s="273">
        <f>IFERROR(INDEX('2. GRI Pricing Inputs'!$C$53:$AI$54,MATCH('3. GRI Pricing'!$P$16,'2. GRI Pricing Inputs'!$C$53:$C$54,0),MATCH('3. GRI Pricing'!H132,'2. GRI Pricing Inputs'!$C$53:$AI$53,0)),0)</f>
        <v>0</v>
      </c>
      <c r="Q132" s="273">
        <f>IFERROR(INDEX('2. GRI Pricing Inputs'!$C$60:$AI$61,MATCH('3. GRI Pricing'!$Q$16,'2. GRI Pricing Inputs'!$C$60:$C$61,0),MATCH('1. Accomodation'!T136,'2. GRI Pricing Inputs'!$C$60:$AI$60,0)),0)</f>
        <v>0</v>
      </c>
      <c r="R132" s="273">
        <f>IFERROR(INDEX('2. GRI Pricing Inputs'!$C$67:$AI$68,MATCH('3. GRI Pricing'!$R$16,'2. GRI Pricing Inputs'!$C$67:$C$68,0),MATCH('1. Accomodation'!U136,'2. GRI Pricing Inputs'!$C$67:$AI$67,0)),0)</f>
        <v>0</v>
      </c>
      <c r="S132" s="273">
        <f>IF(D132=0,0,'2. GRI Pricing Inputs'!$AI$75)</f>
        <v>70</v>
      </c>
      <c r="T132" s="273">
        <f>IFERROR(INDEX('2. GRI Pricing Inputs'!$C$82:$AI$83,MATCH('3. GRI Pricing'!$T$16,'2. GRI Pricing Inputs'!$C$82:$C$83,0),MATCH('1. Accomodation'!V136,'2. GRI Pricing Inputs'!$C$82:$AI$82,0)),0)</f>
        <v>20</v>
      </c>
      <c r="U132" s="273">
        <f>IFERROR(INDEX('2. GRI Pricing Inputs'!$C$89:$AI$90,MATCH('3. GRI Pricing'!$U$16,'2. GRI Pricing Inputs'!$C$89:$C$90,0),MATCH('1. Accomodation'!W136,'2. GRI Pricing Inputs'!$C$89:$AI$89,0)),0)</f>
        <v>0</v>
      </c>
      <c r="V132" s="273">
        <f>IFERROR(INDEX('2. GRI Pricing Inputs'!$C$97:$AI$98,MATCH('3. GRI Pricing'!$V$16,'2. GRI Pricing Inputs'!$C$97:$C$98,0),MATCH('1. Accomodation'!X136,'2. GRI Pricing Inputs'!$C$97:$AI$97,0)),0)</f>
        <v>0</v>
      </c>
      <c r="W132" s="273">
        <f>IFERROR(INDEX('2. GRI Pricing Inputs'!$C$104:$AI$105,MATCH('3. GRI Pricing'!$W$16,'2. GRI Pricing Inputs'!$C$104:$C$105,0),MATCH('1. Accomodation'!Y136,'2. GRI Pricing Inputs'!$C$104:$AI$104,0)),0)</f>
        <v>0</v>
      </c>
      <c r="X132" s="274">
        <v>0</v>
      </c>
      <c r="Y132" s="275">
        <f t="shared" si="8"/>
        <v>1205</v>
      </c>
      <c r="Z132" s="276"/>
      <c r="AA132" s="276"/>
      <c r="AB132" s="276"/>
      <c r="AC132" s="272">
        <f>Y132*(1+'2. GRI Pricing Inputs'!$D$114)^(($AC$16-$AB$15)/365)</f>
        <v>1209.0206372956652</v>
      </c>
      <c r="AD132" s="273">
        <f>AC132*(1+'2. GRI Pricing Inputs'!$D$114)^((AD$16-AC$16)/365)</f>
        <v>1212.9243493779625</v>
      </c>
      <c r="AE132" s="273">
        <f>AD132*(1+'2. GRI Pricing Inputs'!$D$114)^((AE$16-AD$16)/365)</f>
        <v>1216.971427283298</v>
      </c>
      <c r="AF132" s="273">
        <f>AE132*(1+'2. GRI Pricing Inputs'!$D$114)^((AF$16-AE$16)/365)</f>
        <v>1221.0320087839571</v>
      </c>
      <c r="AG132" s="273">
        <f>AF132*(1+'2. GRI Pricing Inputs'!$D$114)^((AG$16-AF$16)/365)</f>
        <v>1224.842882094162</v>
      </c>
      <c r="AH132" s="273">
        <f>AG132*(1+'2. GRI Pricing Inputs'!$D$114)^((AH$16-AG$16)/365)</f>
        <v>1228.9297277149733</v>
      </c>
      <c r="AI132" s="273">
        <f>AH132*(1+'2. GRI Pricing Inputs'!$D$114)^((AI$16-AH$16)/365)</f>
        <v>1232.8977227006553</v>
      </c>
      <c r="AJ132" s="273">
        <f>AI132*(1+'2. GRI Pricing Inputs'!$D$114)^((AJ$16-AI$16)/365)</f>
        <v>1237.0114443318844</v>
      </c>
      <c r="AK132" s="273">
        <f>AJ132*(1+'2. GRI Pricing Inputs'!$D$114)^((AK$16-AJ$16)/365)</f>
        <v>1241.0055337396382</v>
      </c>
      <c r="AL132" s="273">
        <f>AK132*(1+'2. GRI Pricing Inputs'!$D$114)^((AL$16-AK$16)/365)</f>
        <v>1245.1463081239374</v>
      </c>
      <c r="AM132" s="273">
        <f>AL132*(1+'2. GRI Pricing Inputs'!$D$114)^((AM$16-AL$16)/365)</f>
        <v>1249.3008987338983</v>
      </c>
      <c r="AN132" s="273">
        <f>AM132*(1+'2. GRI Pricing Inputs'!$D$114)^((AN$16-AM$16)/365)</f>
        <v>1253.3346685988372</v>
      </c>
      <c r="AO132" s="273">
        <f>AN132*(1+'2. GRI Pricing Inputs'!$D$114)^((AO$16-AN$16)/365)</f>
        <v>1257.5165807254086</v>
      </c>
    </row>
    <row r="133" spans="3:41" ht="12" x14ac:dyDescent="0.2">
      <c r="C133" s="76" t="str">
        <f>'1. Accomodation'!N137</f>
        <v>103S</v>
      </c>
      <c r="D133" s="69" t="str">
        <f>'1. Accomodation'!P137</f>
        <v>2 Bed</v>
      </c>
      <c r="E133" s="69">
        <f>'1. Accomodation'!Q137</f>
        <v>2</v>
      </c>
      <c r="F133" s="77">
        <f>'1. Accomodation'!O137</f>
        <v>614</v>
      </c>
      <c r="G133" s="69" t="str">
        <f>'1. Accomodation'!R137</f>
        <v>Ground</v>
      </c>
      <c r="H133" s="69" t="str">
        <f>'1. Accomodation'!S137</f>
        <v>Fence</v>
      </c>
      <c r="I133" s="62"/>
      <c r="K133" s="272">
        <f>IFERROR(INDEX('2. GRI Pricing Inputs'!$C$15:$AI$16,MATCH($K$16,'2. GRI Pricing Inputs'!$C$15:$C$16,0),MATCH(D133,'2. GRI Pricing Inputs'!$C$15:$AI$15,0)),0)</f>
        <v>1110</v>
      </c>
      <c r="L133" s="273">
        <f>IFERROR(INDEX('2. GRI Pricing Inputs'!$C$22:$AI$23,MATCH($L$16,'2. GRI Pricing Inputs'!$C$22:$C$23,0),MATCH(E133,'2. GRI Pricing Inputs'!$C$22:$AI$22,0)),0)</f>
        <v>0</v>
      </c>
      <c r="M133" s="328">
        <f>IF(AND('3. GRI Pricing'!$F133&gt;='2. GRI Pricing Inputs'!$D$33,'3. GRI Pricing'!$F133&lt;='2. GRI Pricing Inputs'!$E$33),'2. GRI Pricing Inputs'!$D$32,IF(AND('3. GRI Pricing'!$F133&gt;='2. GRI Pricing Inputs'!$F$33,'3. GRI Pricing'!$F133&lt;='2. GRI Pricing Inputs'!$G$33),'2. GRI Pricing Inputs'!$F$32,IF(AND('3. GRI Pricing'!$F133&gt;='2. GRI Pricing Inputs'!$H$33,'3. GRI Pricing'!$F133&lt;='2. GRI Pricing Inputs'!$I$33),'2. GRI Pricing Inputs'!$H$32,IF(AND('3. GRI Pricing'!$F133&gt;='2. GRI Pricing Inputs'!$J$33,'3. GRI Pricing'!$F133&lt;='2. GRI Pricing Inputs'!$K$33),'2. GRI Pricing Inputs'!$J$32,IF(AND('3. GRI Pricing'!$F133&gt;='2. GRI Pricing Inputs'!$L$33,'3. GRI Pricing'!$F133&lt;='2. GRI Pricing Inputs'!$M$33),'2. GRI Pricing Inputs'!$L$32,IF(AND('3. GRI Pricing'!$F133&gt;='2. GRI Pricing Inputs'!$N$33,'3. GRI Pricing'!$F133&lt;='2. GRI Pricing Inputs'!$O$33),'2. GRI Pricing Inputs'!$N$32,IF(AND('3. GRI Pricing'!$F133&gt;='2. GRI Pricing Inputs'!$P$33,'3. GRI Pricing'!$F133&lt;='2. GRI Pricing Inputs'!$Q$33),'2. GRI Pricing Inputs'!$P$32,IF(AND('3. GRI Pricing'!$F133&gt;='2. GRI Pricing Inputs'!$R$33,'3. GRI Pricing'!$F133&lt;='2. GRI Pricing Inputs'!$S$33),'2. GRI Pricing Inputs'!$R$32,IF(AND('3. GRI Pricing'!$F133&gt;='2. GRI Pricing Inputs'!$T$33,'3. GRI Pricing'!$F133&lt;='2. GRI Pricing Inputs'!$U$33),'2. GRI Pricing Inputs'!$T$32,IF(AND('3. GRI Pricing'!$F133&gt;='2. GRI Pricing Inputs'!$V$33,'3. GRI Pricing'!$F133&lt;='2. GRI Pricing Inputs'!$W$33),'2. GRI Pricing Inputs'!$V$32,IF(AND('3. GRI Pricing'!$F133&gt;='2. GRI Pricing Inputs'!$X$33,'3. GRI Pricing'!$F133&lt;='2. GRI Pricing Inputs'!$Y$33),'2. GRI Pricing Inputs'!$X$32,IF(AND('3. GRI Pricing'!$F133&gt;='2. GRI Pricing Inputs'!$Z$33,'3. GRI Pricing'!$F133&lt;='2. GRI Pricing Inputs'!$AA$33),'2. GRI Pricing Inputs'!$Z$32,IF(AND('3. GRI Pricing'!$F133&gt;='2. GRI Pricing Inputs'!$AB$33,'3. GRI Pricing'!$F133&lt;='2. GRI Pricing Inputs'!$AC$33),'2. GRI Pricing Inputs'!$AB$32,IF(AND('3. GRI Pricing'!$F133&gt;='2. GRI Pricing Inputs'!$AD$33,'3. GRI Pricing'!$F133&lt;='2. GRI Pricing Inputs'!$AE$33),'2. GRI Pricing Inputs'!$AD$32,IF(AND('3. GRI Pricing'!$F133&gt;='2. GRI Pricing Inputs'!$AF$33,'3. GRI Pricing'!$F133&lt;='2. GRI Pricing Inputs'!$AG$33),'2. GRI Pricing Inputs'!$AF$32,IF(AND('3. GRI Pricing'!$F133&gt;='2. GRI Pricing Inputs'!$AH$33,'3. GRI Pricing'!$F133&lt;='2. GRI Pricing Inputs'!$AI$33),'2. GRI Pricing Inputs'!$AH$32,0))))))))))))))))</f>
        <v>6</v>
      </c>
      <c r="N133" s="273" cm="1">
        <f t="array" ref="N133">IFERROR(INDEX('2. GRI Pricing Inputs'!$C$32:$AI$39,MATCH('3. GRI Pricing'!D133,'2. GRI Pricing Inputs'!$C$32:$C$39,0),(MATCH('3. GRI Pricing'!M133,'2. GRI Pricing Inputs'!$D$32:$AI$32,0)+1)),0)</f>
        <v>5</v>
      </c>
      <c r="O133" s="273">
        <f>IFERROR(INDEX('2. GRI Pricing Inputs'!$C$45:$AI$46,MATCH($O$16,'2. GRI Pricing Inputs'!$C$45:$C$46,0),MATCH(G133,'2. GRI Pricing Inputs'!$C$45:$AI$45,0)),0)</f>
        <v>0</v>
      </c>
      <c r="P133" s="273">
        <f>IFERROR(INDEX('2. GRI Pricing Inputs'!$C$53:$AI$54,MATCH('3. GRI Pricing'!$P$16,'2. GRI Pricing Inputs'!$C$53:$C$54,0),MATCH('3. GRI Pricing'!H133,'2. GRI Pricing Inputs'!$C$53:$AI$53,0)),0)</f>
        <v>0</v>
      </c>
      <c r="Q133" s="273">
        <f>IFERROR(INDEX('2. GRI Pricing Inputs'!$C$60:$AI$61,MATCH('3. GRI Pricing'!$Q$16,'2. GRI Pricing Inputs'!$C$60:$C$61,0),MATCH('1. Accomodation'!T137,'2. GRI Pricing Inputs'!$C$60:$AI$60,0)),0)</f>
        <v>0</v>
      </c>
      <c r="R133" s="273">
        <f>IFERROR(INDEX('2. GRI Pricing Inputs'!$C$67:$AI$68,MATCH('3. GRI Pricing'!$R$16,'2. GRI Pricing Inputs'!$C$67:$C$68,0),MATCH('1. Accomodation'!U137,'2. GRI Pricing Inputs'!$C$67:$AI$67,0)),0)</f>
        <v>0</v>
      </c>
      <c r="S133" s="273">
        <f>IF(D133=0,0,'2. GRI Pricing Inputs'!$AI$75)</f>
        <v>70</v>
      </c>
      <c r="T133" s="273">
        <f>IFERROR(INDEX('2. GRI Pricing Inputs'!$C$82:$AI$83,MATCH('3. GRI Pricing'!$T$16,'2. GRI Pricing Inputs'!$C$82:$C$83,0),MATCH('1. Accomodation'!V137,'2. GRI Pricing Inputs'!$C$82:$AI$82,0)),0)</f>
        <v>20</v>
      </c>
      <c r="U133" s="273">
        <f>IFERROR(INDEX('2. GRI Pricing Inputs'!$C$89:$AI$90,MATCH('3. GRI Pricing'!$U$16,'2. GRI Pricing Inputs'!$C$89:$C$90,0),MATCH('1. Accomodation'!W137,'2. GRI Pricing Inputs'!$C$89:$AI$89,0)),0)</f>
        <v>0</v>
      </c>
      <c r="V133" s="273">
        <f>IFERROR(INDEX('2. GRI Pricing Inputs'!$C$97:$AI$98,MATCH('3. GRI Pricing'!$V$16,'2. GRI Pricing Inputs'!$C$97:$C$98,0),MATCH('1. Accomodation'!X137,'2. GRI Pricing Inputs'!$C$97:$AI$97,0)),0)</f>
        <v>0</v>
      </c>
      <c r="W133" s="273">
        <f>IFERROR(INDEX('2. GRI Pricing Inputs'!$C$104:$AI$105,MATCH('3. GRI Pricing'!$W$16,'2. GRI Pricing Inputs'!$C$104:$C$105,0),MATCH('1. Accomodation'!Y137,'2. GRI Pricing Inputs'!$C$104:$AI$104,0)),0)</f>
        <v>0</v>
      </c>
      <c r="X133" s="274">
        <v>0</v>
      </c>
      <c r="Y133" s="275">
        <f t="shared" si="8"/>
        <v>1205</v>
      </c>
      <c r="Z133" s="276"/>
      <c r="AA133" s="276"/>
      <c r="AB133" s="276"/>
      <c r="AC133" s="272">
        <f>Y133*(1+'2. GRI Pricing Inputs'!$D$114)^(($AC$16-$AB$15)/365)</f>
        <v>1209.0206372956652</v>
      </c>
      <c r="AD133" s="273">
        <f>AC133*(1+'2. GRI Pricing Inputs'!$D$114)^((AD$16-AC$16)/365)</f>
        <v>1212.9243493779625</v>
      </c>
      <c r="AE133" s="273">
        <f>AD133*(1+'2. GRI Pricing Inputs'!$D$114)^((AE$16-AD$16)/365)</f>
        <v>1216.971427283298</v>
      </c>
      <c r="AF133" s="273">
        <f>AE133*(1+'2. GRI Pricing Inputs'!$D$114)^((AF$16-AE$16)/365)</f>
        <v>1221.0320087839571</v>
      </c>
      <c r="AG133" s="273">
        <f>AF133*(1+'2. GRI Pricing Inputs'!$D$114)^((AG$16-AF$16)/365)</f>
        <v>1224.842882094162</v>
      </c>
      <c r="AH133" s="273">
        <f>AG133*(1+'2. GRI Pricing Inputs'!$D$114)^((AH$16-AG$16)/365)</f>
        <v>1228.9297277149733</v>
      </c>
      <c r="AI133" s="273">
        <f>AH133*(1+'2. GRI Pricing Inputs'!$D$114)^((AI$16-AH$16)/365)</f>
        <v>1232.8977227006553</v>
      </c>
      <c r="AJ133" s="273">
        <f>AI133*(1+'2. GRI Pricing Inputs'!$D$114)^((AJ$16-AI$16)/365)</f>
        <v>1237.0114443318844</v>
      </c>
      <c r="AK133" s="273">
        <f>AJ133*(1+'2. GRI Pricing Inputs'!$D$114)^((AK$16-AJ$16)/365)</f>
        <v>1241.0055337396382</v>
      </c>
      <c r="AL133" s="273">
        <f>AK133*(1+'2. GRI Pricing Inputs'!$D$114)^((AL$16-AK$16)/365)</f>
        <v>1245.1463081239374</v>
      </c>
      <c r="AM133" s="273">
        <f>AL133*(1+'2. GRI Pricing Inputs'!$D$114)^((AM$16-AL$16)/365)</f>
        <v>1249.3008987338983</v>
      </c>
      <c r="AN133" s="273">
        <f>AM133*(1+'2. GRI Pricing Inputs'!$D$114)^((AN$16-AM$16)/365)</f>
        <v>1253.3346685988372</v>
      </c>
      <c r="AO133" s="273">
        <f>AN133*(1+'2. GRI Pricing Inputs'!$D$114)^((AO$16-AN$16)/365)</f>
        <v>1257.5165807254086</v>
      </c>
    </row>
    <row r="134" spans="3:41" ht="12" x14ac:dyDescent="0.2">
      <c r="C134" s="76" t="str">
        <f>'1. Accomodation'!N138</f>
        <v>104S</v>
      </c>
      <c r="D134" s="69" t="str">
        <f>'1. Accomodation'!P138</f>
        <v>3 Bed</v>
      </c>
      <c r="E134" s="69">
        <f>'1. Accomodation'!Q138</f>
        <v>3</v>
      </c>
      <c r="F134" s="77">
        <f>'1. Accomodation'!O138</f>
        <v>829</v>
      </c>
      <c r="G134" s="69" t="str">
        <f>'1. Accomodation'!R138</f>
        <v>Ground</v>
      </c>
      <c r="H134" s="69" t="str">
        <f>'1. Accomodation'!S138</f>
        <v>Fence</v>
      </c>
      <c r="I134" s="62"/>
      <c r="K134" s="272">
        <f>IFERROR(INDEX('2. GRI Pricing Inputs'!$C$15:$AI$16,MATCH($K$16,'2. GRI Pricing Inputs'!$C$15:$C$16,0),MATCH(D134,'2. GRI Pricing Inputs'!$C$15:$AI$15,0)),0)</f>
        <v>1485</v>
      </c>
      <c r="L134" s="273">
        <f>IFERROR(INDEX('2. GRI Pricing Inputs'!$C$22:$AI$23,MATCH($L$16,'2. GRI Pricing Inputs'!$C$22:$C$23,0),MATCH(E134,'2. GRI Pricing Inputs'!$C$22:$AI$22,0)),0)</f>
        <v>0</v>
      </c>
      <c r="M134" s="328">
        <f>IF(AND('3. GRI Pricing'!$F134&gt;='2. GRI Pricing Inputs'!$D$33,'3. GRI Pricing'!$F134&lt;='2. GRI Pricing Inputs'!$E$33),'2. GRI Pricing Inputs'!$D$32,IF(AND('3. GRI Pricing'!$F134&gt;='2. GRI Pricing Inputs'!$F$33,'3. GRI Pricing'!$F134&lt;='2. GRI Pricing Inputs'!$G$33),'2. GRI Pricing Inputs'!$F$32,IF(AND('3. GRI Pricing'!$F134&gt;='2. GRI Pricing Inputs'!$H$33,'3. GRI Pricing'!$F134&lt;='2. GRI Pricing Inputs'!$I$33),'2. GRI Pricing Inputs'!$H$32,IF(AND('3. GRI Pricing'!$F134&gt;='2. GRI Pricing Inputs'!$J$33,'3. GRI Pricing'!$F134&lt;='2. GRI Pricing Inputs'!$K$33),'2. GRI Pricing Inputs'!$J$32,IF(AND('3. GRI Pricing'!$F134&gt;='2. GRI Pricing Inputs'!$L$33,'3. GRI Pricing'!$F134&lt;='2. GRI Pricing Inputs'!$M$33),'2. GRI Pricing Inputs'!$L$32,IF(AND('3. GRI Pricing'!$F134&gt;='2. GRI Pricing Inputs'!$N$33,'3. GRI Pricing'!$F134&lt;='2. GRI Pricing Inputs'!$O$33),'2. GRI Pricing Inputs'!$N$32,IF(AND('3. GRI Pricing'!$F134&gt;='2. GRI Pricing Inputs'!$P$33,'3. GRI Pricing'!$F134&lt;='2. GRI Pricing Inputs'!$Q$33),'2. GRI Pricing Inputs'!$P$32,IF(AND('3. GRI Pricing'!$F134&gt;='2. GRI Pricing Inputs'!$R$33,'3. GRI Pricing'!$F134&lt;='2. GRI Pricing Inputs'!$S$33),'2. GRI Pricing Inputs'!$R$32,IF(AND('3. GRI Pricing'!$F134&gt;='2. GRI Pricing Inputs'!$T$33,'3. GRI Pricing'!$F134&lt;='2. GRI Pricing Inputs'!$U$33),'2. GRI Pricing Inputs'!$T$32,IF(AND('3. GRI Pricing'!$F134&gt;='2. GRI Pricing Inputs'!$V$33,'3. GRI Pricing'!$F134&lt;='2. GRI Pricing Inputs'!$W$33),'2. GRI Pricing Inputs'!$V$32,IF(AND('3. GRI Pricing'!$F134&gt;='2. GRI Pricing Inputs'!$X$33,'3. GRI Pricing'!$F134&lt;='2. GRI Pricing Inputs'!$Y$33),'2. GRI Pricing Inputs'!$X$32,IF(AND('3. GRI Pricing'!$F134&gt;='2. GRI Pricing Inputs'!$Z$33,'3. GRI Pricing'!$F134&lt;='2. GRI Pricing Inputs'!$AA$33),'2. GRI Pricing Inputs'!$Z$32,IF(AND('3. GRI Pricing'!$F134&gt;='2. GRI Pricing Inputs'!$AB$33,'3. GRI Pricing'!$F134&lt;='2. GRI Pricing Inputs'!$AC$33),'2. GRI Pricing Inputs'!$AB$32,IF(AND('3. GRI Pricing'!$F134&gt;='2. GRI Pricing Inputs'!$AD$33,'3. GRI Pricing'!$F134&lt;='2. GRI Pricing Inputs'!$AE$33),'2. GRI Pricing Inputs'!$AD$32,IF(AND('3. GRI Pricing'!$F134&gt;='2. GRI Pricing Inputs'!$AF$33,'3. GRI Pricing'!$F134&lt;='2. GRI Pricing Inputs'!$AG$33),'2. GRI Pricing Inputs'!$AF$32,IF(AND('3. GRI Pricing'!$F134&gt;='2. GRI Pricing Inputs'!$AH$33,'3. GRI Pricing'!$F134&lt;='2. GRI Pricing Inputs'!$AI$33),'2. GRI Pricing Inputs'!$AH$32,0))))))))))))))))</f>
        <v>14</v>
      </c>
      <c r="N134" s="273" cm="1">
        <f t="array" ref="N134">IFERROR(INDEX('2. GRI Pricing Inputs'!$C$32:$AI$39,MATCH('3. GRI Pricing'!D134,'2. GRI Pricing Inputs'!$C$32:$C$39,0),(MATCH('3. GRI Pricing'!M134,'2. GRI Pricing Inputs'!$D$32:$AI$32,0)+1)),0)</f>
        <v>60</v>
      </c>
      <c r="O134" s="273">
        <f>IFERROR(INDEX('2. GRI Pricing Inputs'!$C$45:$AI$46,MATCH($O$16,'2. GRI Pricing Inputs'!$C$45:$C$46,0),MATCH(G134,'2. GRI Pricing Inputs'!$C$45:$AI$45,0)),0)</f>
        <v>0</v>
      </c>
      <c r="P134" s="273">
        <f>IFERROR(INDEX('2. GRI Pricing Inputs'!$C$53:$AI$54,MATCH('3. GRI Pricing'!$P$16,'2. GRI Pricing Inputs'!$C$53:$C$54,0),MATCH('3. GRI Pricing'!H134,'2. GRI Pricing Inputs'!$C$53:$AI$53,0)),0)</f>
        <v>0</v>
      </c>
      <c r="Q134" s="273">
        <f>IFERROR(INDEX('2. GRI Pricing Inputs'!$C$60:$AI$61,MATCH('3. GRI Pricing'!$Q$16,'2. GRI Pricing Inputs'!$C$60:$C$61,0),MATCH('1. Accomodation'!T138,'2. GRI Pricing Inputs'!$C$60:$AI$60,0)),0)</f>
        <v>0</v>
      </c>
      <c r="R134" s="273">
        <f>IFERROR(INDEX('2. GRI Pricing Inputs'!$C$67:$AI$68,MATCH('3. GRI Pricing'!$R$16,'2. GRI Pricing Inputs'!$C$67:$C$68,0),MATCH('1. Accomodation'!U138,'2. GRI Pricing Inputs'!$C$67:$AI$67,0)),0)</f>
        <v>0</v>
      </c>
      <c r="S134" s="273">
        <f>IF(D134=0,0,'2. GRI Pricing Inputs'!$AI$75)</f>
        <v>70</v>
      </c>
      <c r="T134" s="273">
        <f>IFERROR(INDEX('2. GRI Pricing Inputs'!$C$82:$AI$83,MATCH('3. GRI Pricing'!$T$16,'2. GRI Pricing Inputs'!$C$82:$C$83,0),MATCH('1. Accomodation'!V138,'2. GRI Pricing Inputs'!$C$82:$AI$82,0)),0)</f>
        <v>20</v>
      </c>
      <c r="U134" s="273">
        <f>IFERROR(INDEX('2. GRI Pricing Inputs'!$C$89:$AI$90,MATCH('3. GRI Pricing'!$U$16,'2. GRI Pricing Inputs'!$C$89:$C$90,0),MATCH('1. Accomodation'!W138,'2. GRI Pricing Inputs'!$C$89:$AI$89,0)),0)</f>
        <v>0</v>
      </c>
      <c r="V134" s="273">
        <f>IFERROR(INDEX('2. GRI Pricing Inputs'!$C$97:$AI$98,MATCH('3. GRI Pricing'!$V$16,'2. GRI Pricing Inputs'!$C$97:$C$98,0),MATCH('1. Accomodation'!X138,'2. GRI Pricing Inputs'!$C$97:$AI$97,0)),0)</f>
        <v>0</v>
      </c>
      <c r="W134" s="273">
        <f>IFERROR(INDEX('2. GRI Pricing Inputs'!$C$104:$AI$105,MATCH('3. GRI Pricing'!$W$16,'2. GRI Pricing Inputs'!$C$104:$C$105,0),MATCH('1. Accomodation'!Y138,'2. GRI Pricing Inputs'!$C$104:$AI$104,0)),0)</f>
        <v>0</v>
      </c>
      <c r="X134" s="274">
        <v>0</v>
      </c>
      <c r="Y134" s="275">
        <f t="shared" si="8"/>
        <v>1635</v>
      </c>
      <c r="Z134" s="276"/>
      <c r="AA134" s="276"/>
      <c r="AB134" s="276"/>
      <c r="AC134" s="272">
        <f>Y134*(1+'2. GRI Pricing Inputs'!$D$114)^(($AC$16-$AB$15)/365)</f>
        <v>1640.4553875339523</v>
      </c>
      <c r="AD134" s="273">
        <f>AC134*(1+'2. GRI Pricing Inputs'!$D$114)^((AD$16-AC$16)/365)</f>
        <v>1645.7521255045381</v>
      </c>
      <c r="AE134" s="273">
        <f>AD134*(1+'2. GRI Pricing Inputs'!$D$114)^((AE$16-AD$16)/365)</f>
        <v>1651.2433888864666</v>
      </c>
      <c r="AF134" s="273">
        <f>AE134*(1+'2. GRI Pricing Inputs'!$D$114)^((AF$16-AE$16)/365)</f>
        <v>1656.7529745740828</v>
      </c>
      <c r="AG134" s="273">
        <f>AF134*(1+'2. GRI Pricing Inputs'!$D$114)^((AG$16-AF$16)/365)</f>
        <v>1661.9237445841948</v>
      </c>
      <c r="AH134" s="273">
        <f>AG134*(1+'2. GRI Pricing Inputs'!$D$114)^((AH$16-AG$16)/365)</f>
        <v>1667.4689666506069</v>
      </c>
      <c r="AI134" s="273">
        <f>AH134*(1+'2. GRI Pricing Inputs'!$D$114)^((AI$16-AH$16)/365)</f>
        <v>1672.8529266519265</v>
      </c>
      <c r="AJ134" s="273">
        <f>AI134*(1+'2. GRI Pricing Inputs'!$D$114)^((AJ$16-AI$16)/365)</f>
        <v>1678.4346153382828</v>
      </c>
      <c r="AK134" s="273">
        <f>AJ134*(1+'2. GRI Pricing Inputs'!$D$114)^((AK$16-AJ$16)/365)</f>
        <v>1683.8539814641563</v>
      </c>
      <c r="AL134" s="273">
        <f>AK134*(1+'2. GRI Pricing Inputs'!$D$114)^((AL$16-AK$16)/365)</f>
        <v>1689.4723765831015</v>
      </c>
      <c r="AM134" s="273">
        <f>AL134*(1+'2. GRI Pricing Inputs'!$D$114)^((AM$16-AL$16)/365)</f>
        <v>1695.1095181991066</v>
      </c>
      <c r="AN134" s="273">
        <f>AM134*(1+'2. GRI Pricing Inputs'!$D$114)^((AN$16-AM$16)/365)</f>
        <v>1700.5827246133597</v>
      </c>
      <c r="AO134" s="273">
        <f>AN134*(1+'2. GRI Pricing Inputs'!$D$114)^((AO$16-AN$16)/365)</f>
        <v>1706.2569373328156</v>
      </c>
    </row>
    <row r="135" spans="3:41" ht="12" x14ac:dyDescent="0.2">
      <c r="C135" s="76" t="str">
        <f>'1. Accomodation'!N139</f>
        <v>105S</v>
      </c>
      <c r="D135" s="69" t="str">
        <f>'1. Accomodation'!P139</f>
        <v>2 Bed</v>
      </c>
      <c r="E135" s="69">
        <f>'1. Accomodation'!Q139</f>
        <v>2</v>
      </c>
      <c r="F135" s="77">
        <f>'1. Accomodation'!O139</f>
        <v>689</v>
      </c>
      <c r="G135" s="69">
        <f>'1. Accomodation'!R139</f>
        <v>1</v>
      </c>
      <c r="H135" s="69" t="str">
        <f>'1. Accomodation'!S139</f>
        <v>Courtyard</v>
      </c>
      <c r="I135" s="62"/>
      <c r="K135" s="272">
        <f>IFERROR(INDEX('2. GRI Pricing Inputs'!$C$15:$AI$16,MATCH($K$16,'2. GRI Pricing Inputs'!$C$15:$C$16,0),MATCH(D135,'2. GRI Pricing Inputs'!$C$15:$AI$15,0)),0)</f>
        <v>1110</v>
      </c>
      <c r="L135" s="273">
        <f>IFERROR(INDEX('2. GRI Pricing Inputs'!$C$22:$AI$23,MATCH($L$16,'2. GRI Pricing Inputs'!$C$22:$C$23,0),MATCH(E135,'2. GRI Pricing Inputs'!$C$22:$AI$22,0)),0)</f>
        <v>0</v>
      </c>
      <c r="M135" s="328">
        <f>IF(AND('3. GRI Pricing'!$F135&gt;='2. GRI Pricing Inputs'!$D$33,'3. GRI Pricing'!$F135&lt;='2. GRI Pricing Inputs'!$E$33),'2. GRI Pricing Inputs'!$D$32,IF(AND('3. GRI Pricing'!$F135&gt;='2. GRI Pricing Inputs'!$F$33,'3. GRI Pricing'!$F135&lt;='2. GRI Pricing Inputs'!$G$33),'2. GRI Pricing Inputs'!$F$32,IF(AND('3. GRI Pricing'!$F135&gt;='2. GRI Pricing Inputs'!$H$33,'3. GRI Pricing'!$F135&lt;='2. GRI Pricing Inputs'!$I$33),'2. GRI Pricing Inputs'!$H$32,IF(AND('3. GRI Pricing'!$F135&gt;='2. GRI Pricing Inputs'!$J$33,'3. GRI Pricing'!$F135&lt;='2. GRI Pricing Inputs'!$K$33),'2. GRI Pricing Inputs'!$J$32,IF(AND('3. GRI Pricing'!$F135&gt;='2. GRI Pricing Inputs'!$L$33,'3. GRI Pricing'!$F135&lt;='2. GRI Pricing Inputs'!$M$33),'2. GRI Pricing Inputs'!$L$32,IF(AND('3. GRI Pricing'!$F135&gt;='2. GRI Pricing Inputs'!$N$33,'3. GRI Pricing'!$F135&lt;='2. GRI Pricing Inputs'!$O$33),'2. GRI Pricing Inputs'!$N$32,IF(AND('3. GRI Pricing'!$F135&gt;='2. GRI Pricing Inputs'!$P$33,'3. GRI Pricing'!$F135&lt;='2. GRI Pricing Inputs'!$Q$33),'2. GRI Pricing Inputs'!$P$32,IF(AND('3. GRI Pricing'!$F135&gt;='2. GRI Pricing Inputs'!$R$33,'3. GRI Pricing'!$F135&lt;='2. GRI Pricing Inputs'!$S$33),'2. GRI Pricing Inputs'!$R$32,IF(AND('3. GRI Pricing'!$F135&gt;='2. GRI Pricing Inputs'!$T$33,'3. GRI Pricing'!$F135&lt;='2. GRI Pricing Inputs'!$U$33),'2. GRI Pricing Inputs'!$T$32,IF(AND('3. GRI Pricing'!$F135&gt;='2. GRI Pricing Inputs'!$V$33,'3. GRI Pricing'!$F135&lt;='2. GRI Pricing Inputs'!$W$33),'2. GRI Pricing Inputs'!$V$32,IF(AND('3. GRI Pricing'!$F135&gt;='2. GRI Pricing Inputs'!$X$33,'3. GRI Pricing'!$F135&lt;='2. GRI Pricing Inputs'!$Y$33),'2. GRI Pricing Inputs'!$X$32,IF(AND('3. GRI Pricing'!$F135&gt;='2. GRI Pricing Inputs'!$Z$33,'3. GRI Pricing'!$F135&lt;='2. GRI Pricing Inputs'!$AA$33),'2. GRI Pricing Inputs'!$Z$32,IF(AND('3. GRI Pricing'!$F135&gt;='2. GRI Pricing Inputs'!$AB$33,'3. GRI Pricing'!$F135&lt;='2. GRI Pricing Inputs'!$AC$33),'2. GRI Pricing Inputs'!$AB$32,IF(AND('3. GRI Pricing'!$F135&gt;='2. GRI Pricing Inputs'!$AD$33,'3. GRI Pricing'!$F135&lt;='2. GRI Pricing Inputs'!$AE$33),'2. GRI Pricing Inputs'!$AD$32,IF(AND('3. GRI Pricing'!$F135&gt;='2. GRI Pricing Inputs'!$AF$33,'3. GRI Pricing'!$F135&lt;='2. GRI Pricing Inputs'!$AG$33),'2. GRI Pricing Inputs'!$AF$32,IF(AND('3. GRI Pricing'!$F135&gt;='2. GRI Pricing Inputs'!$AH$33,'3. GRI Pricing'!$F135&lt;='2. GRI Pricing Inputs'!$AI$33),'2. GRI Pricing Inputs'!$AH$32,0))))))))))))))))</f>
        <v>11</v>
      </c>
      <c r="N135" s="273" cm="1">
        <f t="array" ref="N135">IFERROR(INDEX('2. GRI Pricing Inputs'!$C$32:$AI$39,MATCH('3. GRI Pricing'!D135,'2. GRI Pricing Inputs'!$C$32:$C$39,0),(MATCH('3. GRI Pricing'!M135,'2. GRI Pricing Inputs'!$D$32:$AI$32,0)+1)),0)</f>
        <v>65</v>
      </c>
      <c r="O135" s="273">
        <f>IFERROR(INDEX('2. GRI Pricing Inputs'!$C$45:$AI$46,MATCH($O$16,'2. GRI Pricing Inputs'!$C$45:$C$46,0),MATCH(G135,'2. GRI Pricing Inputs'!$C$45:$AI$45,0)),0)</f>
        <v>30</v>
      </c>
      <c r="P135" s="273">
        <f>IFERROR(INDEX('2. GRI Pricing Inputs'!$C$53:$AI$54,MATCH('3. GRI Pricing'!$P$16,'2. GRI Pricing Inputs'!$C$53:$C$54,0),MATCH('3. GRI Pricing'!H135,'2. GRI Pricing Inputs'!$C$53:$AI$53,0)),0)</f>
        <v>25</v>
      </c>
      <c r="Q135" s="273">
        <f>IFERROR(INDEX('2. GRI Pricing Inputs'!$C$60:$AI$61,MATCH('3. GRI Pricing'!$Q$16,'2. GRI Pricing Inputs'!$C$60:$C$61,0),MATCH('1. Accomodation'!T139,'2. GRI Pricing Inputs'!$C$60:$AI$60,0)),0)</f>
        <v>0</v>
      </c>
      <c r="R135" s="273">
        <f>IFERROR(INDEX('2. GRI Pricing Inputs'!$C$67:$AI$68,MATCH('3. GRI Pricing'!$R$16,'2. GRI Pricing Inputs'!$C$67:$C$68,0),MATCH('1. Accomodation'!U139,'2. GRI Pricing Inputs'!$C$67:$AI$67,0)),0)</f>
        <v>0</v>
      </c>
      <c r="S135" s="273">
        <f>IF(D135=0,0,'2. GRI Pricing Inputs'!$AI$75)</f>
        <v>70</v>
      </c>
      <c r="T135" s="273">
        <f>IFERROR(INDEX('2. GRI Pricing Inputs'!$C$82:$AI$83,MATCH('3. GRI Pricing'!$T$16,'2. GRI Pricing Inputs'!$C$82:$C$83,0),MATCH('1. Accomodation'!V139,'2. GRI Pricing Inputs'!$C$82:$AI$82,0)),0)</f>
        <v>0</v>
      </c>
      <c r="U135" s="273">
        <f>IFERROR(INDEX('2. GRI Pricing Inputs'!$C$89:$AI$90,MATCH('3. GRI Pricing'!$U$16,'2. GRI Pricing Inputs'!$C$89:$C$90,0),MATCH('1. Accomodation'!W139,'2. GRI Pricing Inputs'!$C$89:$AI$89,0)),0)</f>
        <v>0</v>
      </c>
      <c r="V135" s="273">
        <f>IFERROR(INDEX('2. GRI Pricing Inputs'!$C$97:$AI$98,MATCH('3. GRI Pricing'!$V$16,'2. GRI Pricing Inputs'!$C$97:$C$98,0),MATCH('1. Accomodation'!X139,'2. GRI Pricing Inputs'!$C$97:$AI$97,0)),0)</f>
        <v>0</v>
      </c>
      <c r="W135" s="273">
        <f>IFERROR(INDEX('2. GRI Pricing Inputs'!$C$104:$AI$105,MATCH('3. GRI Pricing'!$W$16,'2. GRI Pricing Inputs'!$C$104:$C$105,0),MATCH('1. Accomodation'!Y139,'2. GRI Pricing Inputs'!$C$104:$AI$104,0)),0)</f>
        <v>0</v>
      </c>
      <c r="X135" s="274">
        <v>0</v>
      </c>
      <c r="Y135" s="275">
        <f t="shared" si="8"/>
        <v>1300</v>
      </c>
      <c r="Z135" s="276"/>
      <c r="AA135" s="276"/>
      <c r="AB135" s="276"/>
      <c r="AC135" s="272">
        <f>Y135*(1+'2. GRI Pricing Inputs'!$D$114)^(($AC$16-$AB$15)/365)</f>
        <v>1304.3376169994729</v>
      </c>
      <c r="AD135" s="273">
        <f>AC135*(1+'2. GRI Pricing Inputs'!$D$114)^((AD$16-AC$16)/365)</f>
        <v>1308.5490906152293</v>
      </c>
      <c r="AE135" s="273">
        <f>AD135*(1+'2. GRI Pricing Inputs'!$D$114)^((AE$16-AD$16)/365)</f>
        <v>1312.9152327537656</v>
      </c>
      <c r="AF135" s="273">
        <f>AE135*(1+'2. GRI Pricing Inputs'!$D$114)^((AF$16-AE$16)/365)</f>
        <v>1317.2959430864269</v>
      </c>
      <c r="AG135" s="273">
        <f>AF135*(1+'2. GRI Pricing Inputs'!$D$114)^((AG$16-AF$16)/365)</f>
        <v>1321.4072586907971</v>
      </c>
      <c r="AH135" s="273">
        <f>AG135*(1+'2. GRI Pricing Inputs'!$D$114)^((AH$16-AG$16)/365)</f>
        <v>1325.8163037588924</v>
      </c>
      <c r="AI135" s="273">
        <f>AH135*(1+'2. GRI Pricing Inputs'!$D$114)^((AI$16-AH$16)/365)</f>
        <v>1330.0971282247733</v>
      </c>
      <c r="AJ135" s="273">
        <f>AI135*(1+'2. GRI Pricing Inputs'!$D$114)^((AJ$16-AI$16)/365)</f>
        <v>1334.5351681588793</v>
      </c>
      <c r="AK135" s="273">
        <f>AJ135*(1+'2. GRI Pricing Inputs'!$D$114)^((AK$16-AJ$16)/365)</f>
        <v>1338.8441442834269</v>
      </c>
      <c r="AL135" s="273">
        <f>AK135*(1+'2. GRI Pricing Inputs'!$D$114)^((AL$16-AK$16)/365)</f>
        <v>1343.3113697602641</v>
      </c>
      <c r="AM135" s="273">
        <f>AL135*(1+'2. GRI Pricing Inputs'!$D$114)^((AM$16-AL$16)/365)</f>
        <v>1347.7935007087697</v>
      </c>
      <c r="AN135" s="273">
        <f>AM135*(1+'2. GRI Pricing Inputs'!$D$114)^((AN$16-AM$16)/365)</f>
        <v>1352.1452856253011</v>
      </c>
      <c r="AO135" s="273">
        <f>AN135*(1+'2. GRI Pricing Inputs'!$D$114)^((AO$16-AN$16)/365)</f>
        <v>1356.6568920689051</v>
      </c>
    </row>
    <row r="136" spans="3:41" ht="12" x14ac:dyDescent="0.2">
      <c r="C136" s="76" t="str">
        <f>'1. Accomodation'!N140</f>
        <v>106S</v>
      </c>
      <c r="D136" s="69" t="str">
        <f>'1. Accomodation'!P140</f>
        <v>1 Bed</v>
      </c>
      <c r="E136" s="69">
        <f>'1. Accomodation'!Q140</f>
        <v>1</v>
      </c>
      <c r="F136" s="77">
        <f>'1. Accomodation'!O140</f>
        <v>474</v>
      </c>
      <c r="G136" s="69">
        <f>'1. Accomodation'!R140</f>
        <v>1</v>
      </c>
      <c r="H136" s="69" t="str">
        <f>'1. Accomodation'!S140</f>
        <v>Courtyard</v>
      </c>
      <c r="I136" s="62"/>
      <c r="K136" s="272">
        <f>IFERROR(INDEX('2. GRI Pricing Inputs'!$C$15:$AI$16,MATCH($K$16,'2. GRI Pricing Inputs'!$C$15:$C$16,0),MATCH(D136,'2. GRI Pricing Inputs'!$C$15:$AI$15,0)),0)</f>
        <v>845</v>
      </c>
      <c r="L136" s="273">
        <f>IFERROR(INDEX('2. GRI Pricing Inputs'!$C$22:$AI$23,MATCH($L$16,'2. GRI Pricing Inputs'!$C$22:$C$23,0),MATCH(E136,'2. GRI Pricing Inputs'!$C$22:$AI$22,0)),0)</f>
        <v>0</v>
      </c>
      <c r="M136" s="328">
        <f>IF(AND('3. GRI Pricing'!$F136&gt;='2. GRI Pricing Inputs'!$D$33,'3. GRI Pricing'!$F136&lt;='2. GRI Pricing Inputs'!$E$33),'2. GRI Pricing Inputs'!$D$32,IF(AND('3. GRI Pricing'!$F136&gt;='2. GRI Pricing Inputs'!$F$33,'3. GRI Pricing'!$F136&lt;='2. GRI Pricing Inputs'!$G$33),'2. GRI Pricing Inputs'!$F$32,IF(AND('3. GRI Pricing'!$F136&gt;='2. GRI Pricing Inputs'!$H$33,'3. GRI Pricing'!$F136&lt;='2. GRI Pricing Inputs'!$I$33),'2. GRI Pricing Inputs'!$H$32,IF(AND('3. GRI Pricing'!$F136&gt;='2. GRI Pricing Inputs'!$J$33,'3. GRI Pricing'!$F136&lt;='2. GRI Pricing Inputs'!$K$33),'2. GRI Pricing Inputs'!$J$32,IF(AND('3. GRI Pricing'!$F136&gt;='2. GRI Pricing Inputs'!$L$33,'3. GRI Pricing'!$F136&lt;='2. GRI Pricing Inputs'!$M$33),'2. GRI Pricing Inputs'!$L$32,IF(AND('3. GRI Pricing'!$F136&gt;='2. GRI Pricing Inputs'!$N$33,'3. GRI Pricing'!$F136&lt;='2. GRI Pricing Inputs'!$O$33),'2. GRI Pricing Inputs'!$N$32,IF(AND('3. GRI Pricing'!$F136&gt;='2. GRI Pricing Inputs'!$P$33,'3. GRI Pricing'!$F136&lt;='2. GRI Pricing Inputs'!$Q$33),'2. GRI Pricing Inputs'!$P$32,IF(AND('3. GRI Pricing'!$F136&gt;='2. GRI Pricing Inputs'!$R$33,'3. GRI Pricing'!$F136&lt;='2. GRI Pricing Inputs'!$S$33),'2. GRI Pricing Inputs'!$R$32,IF(AND('3. GRI Pricing'!$F136&gt;='2. GRI Pricing Inputs'!$T$33,'3. GRI Pricing'!$F136&lt;='2. GRI Pricing Inputs'!$U$33),'2. GRI Pricing Inputs'!$T$32,IF(AND('3. GRI Pricing'!$F136&gt;='2. GRI Pricing Inputs'!$V$33,'3. GRI Pricing'!$F136&lt;='2. GRI Pricing Inputs'!$W$33),'2. GRI Pricing Inputs'!$V$32,IF(AND('3. GRI Pricing'!$F136&gt;='2. GRI Pricing Inputs'!$X$33,'3. GRI Pricing'!$F136&lt;='2. GRI Pricing Inputs'!$Y$33),'2. GRI Pricing Inputs'!$X$32,IF(AND('3. GRI Pricing'!$F136&gt;='2. GRI Pricing Inputs'!$Z$33,'3. GRI Pricing'!$F136&lt;='2. GRI Pricing Inputs'!$AA$33),'2. GRI Pricing Inputs'!$Z$32,IF(AND('3. GRI Pricing'!$F136&gt;='2. GRI Pricing Inputs'!$AB$33,'3. GRI Pricing'!$F136&lt;='2. GRI Pricing Inputs'!$AC$33),'2. GRI Pricing Inputs'!$AB$32,IF(AND('3. GRI Pricing'!$F136&gt;='2. GRI Pricing Inputs'!$AD$33,'3. GRI Pricing'!$F136&lt;='2. GRI Pricing Inputs'!$AE$33),'2. GRI Pricing Inputs'!$AD$32,IF(AND('3. GRI Pricing'!$F136&gt;='2. GRI Pricing Inputs'!$AF$33,'3. GRI Pricing'!$F136&lt;='2. GRI Pricing Inputs'!$AG$33),'2. GRI Pricing Inputs'!$AF$32,IF(AND('3. GRI Pricing'!$F136&gt;='2. GRI Pricing Inputs'!$AH$33,'3. GRI Pricing'!$F136&lt;='2. GRI Pricing Inputs'!$AI$33),'2. GRI Pricing Inputs'!$AH$32,0))))))))))))))))</f>
        <v>0</v>
      </c>
      <c r="N136" s="273" cm="1">
        <f t="array" ref="N136">IFERROR(INDEX('2. GRI Pricing Inputs'!$C$32:$AI$39,MATCH('3. GRI Pricing'!D136,'2. GRI Pricing Inputs'!$C$32:$C$39,0),(MATCH('3. GRI Pricing'!M136,'2. GRI Pricing Inputs'!$D$32:$AI$32,0)+1)),0)</f>
        <v>0</v>
      </c>
      <c r="O136" s="273">
        <f>IFERROR(INDEX('2. GRI Pricing Inputs'!$C$45:$AI$46,MATCH($O$16,'2. GRI Pricing Inputs'!$C$45:$C$46,0),MATCH(G136,'2. GRI Pricing Inputs'!$C$45:$AI$45,0)),0)</f>
        <v>30</v>
      </c>
      <c r="P136" s="273">
        <f>IFERROR(INDEX('2. GRI Pricing Inputs'!$C$53:$AI$54,MATCH('3. GRI Pricing'!$P$16,'2. GRI Pricing Inputs'!$C$53:$C$54,0),MATCH('3. GRI Pricing'!H136,'2. GRI Pricing Inputs'!$C$53:$AI$53,0)),0)</f>
        <v>25</v>
      </c>
      <c r="Q136" s="273">
        <f>IFERROR(INDEX('2. GRI Pricing Inputs'!$C$60:$AI$61,MATCH('3. GRI Pricing'!$Q$16,'2. GRI Pricing Inputs'!$C$60:$C$61,0),MATCH('1. Accomodation'!T140,'2. GRI Pricing Inputs'!$C$60:$AI$60,0)),0)</f>
        <v>0</v>
      </c>
      <c r="R136" s="273">
        <f>IFERROR(INDEX('2. GRI Pricing Inputs'!$C$67:$AI$68,MATCH('3. GRI Pricing'!$R$16,'2. GRI Pricing Inputs'!$C$67:$C$68,0),MATCH('1. Accomodation'!U140,'2. GRI Pricing Inputs'!$C$67:$AI$67,0)),0)</f>
        <v>0</v>
      </c>
      <c r="S136" s="273">
        <f>IF(D136=0,0,'2. GRI Pricing Inputs'!$AI$75)</f>
        <v>70</v>
      </c>
      <c r="T136" s="273">
        <f>IFERROR(INDEX('2. GRI Pricing Inputs'!$C$82:$AI$83,MATCH('3. GRI Pricing'!$T$16,'2. GRI Pricing Inputs'!$C$82:$C$83,0),MATCH('1. Accomodation'!V140,'2. GRI Pricing Inputs'!$C$82:$AI$82,0)),0)</f>
        <v>0</v>
      </c>
      <c r="U136" s="273">
        <f>IFERROR(INDEX('2. GRI Pricing Inputs'!$C$89:$AI$90,MATCH('3. GRI Pricing'!$U$16,'2. GRI Pricing Inputs'!$C$89:$C$90,0),MATCH('1. Accomodation'!W140,'2. GRI Pricing Inputs'!$C$89:$AI$89,0)),0)</f>
        <v>0</v>
      </c>
      <c r="V136" s="273">
        <f>IFERROR(INDEX('2. GRI Pricing Inputs'!$C$97:$AI$98,MATCH('3. GRI Pricing'!$V$16,'2. GRI Pricing Inputs'!$C$97:$C$98,0),MATCH('1. Accomodation'!X140,'2. GRI Pricing Inputs'!$C$97:$AI$97,0)),0)</f>
        <v>0</v>
      </c>
      <c r="W136" s="273">
        <f>IFERROR(INDEX('2. GRI Pricing Inputs'!$C$104:$AI$105,MATCH('3. GRI Pricing'!$W$16,'2. GRI Pricing Inputs'!$C$104:$C$105,0),MATCH('1. Accomodation'!Y140,'2. GRI Pricing Inputs'!$C$104:$AI$104,0)),0)</f>
        <v>0</v>
      </c>
      <c r="X136" s="274">
        <v>0</v>
      </c>
      <c r="Y136" s="275">
        <f t="shared" si="8"/>
        <v>970</v>
      </c>
      <c r="Z136" s="276"/>
      <c r="AA136" s="276"/>
      <c r="AB136" s="276"/>
      <c r="AC136" s="272">
        <f>Y136*(1+'2. GRI Pricing Inputs'!$D$114)^(($AC$16-$AB$15)/365)</f>
        <v>973.23652960729896</v>
      </c>
      <c r="AD136" s="273">
        <f>AC136*(1+'2. GRI Pricing Inputs'!$D$114)^((AD$16-AC$16)/365)</f>
        <v>976.378936843671</v>
      </c>
      <c r="AE136" s="273">
        <f>AD136*(1+'2. GRI Pricing Inputs'!$D$114)^((AE$16-AD$16)/365)</f>
        <v>979.63675059319428</v>
      </c>
      <c r="AF136" s="273">
        <f>AE136*(1+'2. GRI Pricing Inputs'!$D$114)^((AF$16-AE$16)/365)</f>
        <v>982.90543445679532</v>
      </c>
      <c r="AG136" s="273">
        <f>AF136*(1+'2. GRI Pricing Inputs'!$D$114)^((AG$16-AF$16)/365)</f>
        <v>985.97310840774855</v>
      </c>
      <c r="AH136" s="273">
        <f>AG136*(1+'2. GRI Pricing Inputs'!$D$114)^((AH$16-AG$16)/365)</f>
        <v>989.26293434317358</v>
      </c>
      <c r="AI136" s="273">
        <f>AH136*(1+'2. GRI Pricing Inputs'!$D$114)^((AI$16-AH$16)/365)</f>
        <v>992.45708798310011</v>
      </c>
      <c r="AJ136" s="273">
        <f>AI136*(1+'2. GRI Pricing Inputs'!$D$114)^((AJ$16-AI$16)/365)</f>
        <v>995.76854854931764</v>
      </c>
      <c r="AK136" s="273">
        <f>AJ136*(1+'2. GRI Pricing Inputs'!$D$114)^((AK$16-AJ$16)/365)</f>
        <v>998.983707657634</v>
      </c>
      <c r="AL136" s="273">
        <f>AK136*(1+'2. GRI Pricing Inputs'!$D$114)^((AL$16-AK$16)/365)</f>
        <v>1002.3169451288126</v>
      </c>
      <c r="AM136" s="273">
        <f>AL136*(1+'2. GRI Pricing Inputs'!$D$114)^((AM$16-AL$16)/365)</f>
        <v>1005.6613043750052</v>
      </c>
      <c r="AN136" s="273">
        <f>AM136*(1+'2. GRI Pricing Inputs'!$D$114)^((AN$16-AM$16)/365)</f>
        <v>1008.9084054281095</v>
      </c>
      <c r="AO136" s="273">
        <f>AN136*(1+'2. GRI Pricing Inputs'!$D$114)^((AO$16-AN$16)/365)</f>
        <v>1012.2747579283372</v>
      </c>
    </row>
    <row r="137" spans="3:41" ht="12" x14ac:dyDescent="0.2">
      <c r="C137" s="76" t="str">
        <f>'1. Accomodation'!N141</f>
        <v>107S</v>
      </c>
      <c r="D137" s="69" t="str">
        <f>'1. Accomodation'!P141</f>
        <v>2 Bed</v>
      </c>
      <c r="E137" s="69">
        <f>'1. Accomodation'!Q141</f>
        <v>2</v>
      </c>
      <c r="F137" s="77">
        <f>'1. Accomodation'!O141</f>
        <v>624</v>
      </c>
      <c r="G137" s="69">
        <f>'1. Accomodation'!R141</f>
        <v>1</v>
      </c>
      <c r="H137" s="69" t="str">
        <f>'1. Accomodation'!S141</f>
        <v>Courtyard</v>
      </c>
      <c r="I137" s="62"/>
      <c r="K137" s="272">
        <f>IFERROR(INDEX('2. GRI Pricing Inputs'!$C$15:$AI$16,MATCH($K$16,'2. GRI Pricing Inputs'!$C$15:$C$16,0),MATCH(D137,'2. GRI Pricing Inputs'!$C$15:$AI$15,0)),0)</f>
        <v>1110</v>
      </c>
      <c r="L137" s="273">
        <f>IFERROR(INDEX('2. GRI Pricing Inputs'!$C$22:$AI$23,MATCH($L$16,'2. GRI Pricing Inputs'!$C$22:$C$23,0),MATCH(E137,'2. GRI Pricing Inputs'!$C$22:$AI$22,0)),0)</f>
        <v>0</v>
      </c>
      <c r="M137" s="328">
        <f>IF(AND('3. GRI Pricing'!$F137&gt;='2. GRI Pricing Inputs'!$D$33,'3. GRI Pricing'!$F137&lt;='2. GRI Pricing Inputs'!$E$33),'2. GRI Pricing Inputs'!$D$32,IF(AND('3. GRI Pricing'!$F137&gt;='2. GRI Pricing Inputs'!$F$33,'3. GRI Pricing'!$F137&lt;='2. GRI Pricing Inputs'!$G$33),'2. GRI Pricing Inputs'!$F$32,IF(AND('3. GRI Pricing'!$F137&gt;='2. GRI Pricing Inputs'!$H$33,'3. GRI Pricing'!$F137&lt;='2. GRI Pricing Inputs'!$I$33),'2. GRI Pricing Inputs'!$H$32,IF(AND('3. GRI Pricing'!$F137&gt;='2. GRI Pricing Inputs'!$J$33,'3. GRI Pricing'!$F137&lt;='2. GRI Pricing Inputs'!$K$33),'2. GRI Pricing Inputs'!$J$32,IF(AND('3. GRI Pricing'!$F137&gt;='2. GRI Pricing Inputs'!$L$33,'3. GRI Pricing'!$F137&lt;='2. GRI Pricing Inputs'!$M$33),'2. GRI Pricing Inputs'!$L$32,IF(AND('3. GRI Pricing'!$F137&gt;='2. GRI Pricing Inputs'!$N$33,'3. GRI Pricing'!$F137&lt;='2. GRI Pricing Inputs'!$O$33),'2. GRI Pricing Inputs'!$N$32,IF(AND('3. GRI Pricing'!$F137&gt;='2. GRI Pricing Inputs'!$P$33,'3. GRI Pricing'!$F137&lt;='2. GRI Pricing Inputs'!$Q$33),'2. GRI Pricing Inputs'!$P$32,IF(AND('3. GRI Pricing'!$F137&gt;='2. GRI Pricing Inputs'!$R$33,'3. GRI Pricing'!$F137&lt;='2. GRI Pricing Inputs'!$S$33),'2. GRI Pricing Inputs'!$R$32,IF(AND('3. GRI Pricing'!$F137&gt;='2. GRI Pricing Inputs'!$T$33,'3. GRI Pricing'!$F137&lt;='2. GRI Pricing Inputs'!$U$33),'2. GRI Pricing Inputs'!$T$32,IF(AND('3. GRI Pricing'!$F137&gt;='2. GRI Pricing Inputs'!$V$33,'3. GRI Pricing'!$F137&lt;='2. GRI Pricing Inputs'!$W$33),'2. GRI Pricing Inputs'!$V$32,IF(AND('3. GRI Pricing'!$F137&gt;='2. GRI Pricing Inputs'!$X$33,'3. GRI Pricing'!$F137&lt;='2. GRI Pricing Inputs'!$Y$33),'2. GRI Pricing Inputs'!$X$32,IF(AND('3. GRI Pricing'!$F137&gt;='2. GRI Pricing Inputs'!$Z$33,'3. GRI Pricing'!$F137&lt;='2. GRI Pricing Inputs'!$AA$33),'2. GRI Pricing Inputs'!$Z$32,IF(AND('3. GRI Pricing'!$F137&gt;='2. GRI Pricing Inputs'!$AB$33,'3. GRI Pricing'!$F137&lt;='2. GRI Pricing Inputs'!$AC$33),'2. GRI Pricing Inputs'!$AB$32,IF(AND('3. GRI Pricing'!$F137&gt;='2. GRI Pricing Inputs'!$AD$33,'3. GRI Pricing'!$F137&lt;='2. GRI Pricing Inputs'!$AE$33),'2. GRI Pricing Inputs'!$AD$32,IF(AND('3. GRI Pricing'!$F137&gt;='2. GRI Pricing Inputs'!$AF$33,'3. GRI Pricing'!$F137&lt;='2. GRI Pricing Inputs'!$AG$33),'2. GRI Pricing Inputs'!$AF$32,IF(AND('3. GRI Pricing'!$F137&gt;='2. GRI Pricing Inputs'!$AH$33,'3. GRI Pricing'!$F137&lt;='2. GRI Pricing Inputs'!$AI$33),'2. GRI Pricing Inputs'!$AH$32,0))))))))))))))))</f>
        <v>7</v>
      </c>
      <c r="N137" s="273" cm="1">
        <f t="array" ref="N137">IFERROR(INDEX('2. GRI Pricing Inputs'!$C$32:$AI$39,MATCH('3. GRI Pricing'!D137,'2. GRI Pricing Inputs'!$C$32:$C$39,0),(MATCH('3. GRI Pricing'!M137,'2. GRI Pricing Inputs'!$D$32:$AI$32,0)+1)),0)</f>
        <v>10</v>
      </c>
      <c r="O137" s="273">
        <f>IFERROR(INDEX('2. GRI Pricing Inputs'!$C$45:$AI$46,MATCH($O$16,'2. GRI Pricing Inputs'!$C$45:$C$46,0),MATCH(G137,'2. GRI Pricing Inputs'!$C$45:$AI$45,0)),0)</f>
        <v>30</v>
      </c>
      <c r="P137" s="273">
        <f>IFERROR(INDEX('2. GRI Pricing Inputs'!$C$53:$AI$54,MATCH('3. GRI Pricing'!$P$16,'2. GRI Pricing Inputs'!$C$53:$C$54,0),MATCH('3. GRI Pricing'!H137,'2. GRI Pricing Inputs'!$C$53:$AI$53,0)),0)</f>
        <v>25</v>
      </c>
      <c r="Q137" s="273">
        <f>IFERROR(INDEX('2. GRI Pricing Inputs'!$C$60:$AI$61,MATCH('3. GRI Pricing'!$Q$16,'2. GRI Pricing Inputs'!$C$60:$C$61,0),MATCH('1. Accomodation'!T141,'2. GRI Pricing Inputs'!$C$60:$AI$60,0)),0)</f>
        <v>0</v>
      </c>
      <c r="R137" s="273">
        <f>IFERROR(INDEX('2. GRI Pricing Inputs'!$C$67:$AI$68,MATCH('3. GRI Pricing'!$R$16,'2. GRI Pricing Inputs'!$C$67:$C$68,0),MATCH('1. Accomodation'!U141,'2. GRI Pricing Inputs'!$C$67:$AI$67,0)),0)</f>
        <v>0</v>
      </c>
      <c r="S137" s="273">
        <f>IF(D137=0,0,'2. GRI Pricing Inputs'!$AI$75)</f>
        <v>70</v>
      </c>
      <c r="T137" s="273">
        <f>IFERROR(INDEX('2. GRI Pricing Inputs'!$C$82:$AI$83,MATCH('3. GRI Pricing'!$T$16,'2. GRI Pricing Inputs'!$C$82:$C$83,0),MATCH('1. Accomodation'!V141,'2. GRI Pricing Inputs'!$C$82:$AI$82,0)),0)</f>
        <v>0</v>
      </c>
      <c r="U137" s="273">
        <f>IFERROR(INDEX('2. GRI Pricing Inputs'!$C$89:$AI$90,MATCH('3. GRI Pricing'!$U$16,'2. GRI Pricing Inputs'!$C$89:$C$90,0),MATCH('1. Accomodation'!W141,'2. GRI Pricing Inputs'!$C$89:$AI$89,0)),0)</f>
        <v>0</v>
      </c>
      <c r="V137" s="273">
        <f>IFERROR(INDEX('2. GRI Pricing Inputs'!$C$97:$AI$98,MATCH('3. GRI Pricing'!$V$16,'2. GRI Pricing Inputs'!$C$97:$C$98,0),MATCH('1. Accomodation'!X141,'2. GRI Pricing Inputs'!$C$97:$AI$97,0)),0)</f>
        <v>0</v>
      </c>
      <c r="W137" s="273">
        <f>IFERROR(INDEX('2. GRI Pricing Inputs'!$C$104:$AI$105,MATCH('3. GRI Pricing'!$W$16,'2. GRI Pricing Inputs'!$C$104:$C$105,0),MATCH('1. Accomodation'!Y141,'2. GRI Pricing Inputs'!$C$104:$AI$104,0)),0)</f>
        <v>0</v>
      </c>
      <c r="X137" s="274">
        <v>0</v>
      </c>
      <c r="Y137" s="275">
        <f t="shared" si="8"/>
        <v>1245</v>
      </c>
      <c r="Z137" s="276"/>
      <c r="AA137" s="276"/>
      <c r="AB137" s="276"/>
      <c r="AC137" s="272">
        <f>Y137*(1+'2. GRI Pricing Inputs'!$D$114)^(($AC$16-$AB$15)/365)</f>
        <v>1249.1541024341104</v>
      </c>
      <c r="AD137" s="273">
        <f>AC137*(1+'2. GRI Pricing Inputs'!$D$114)^((AD$16-AC$16)/365)</f>
        <v>1253.1873983199694</v>
      </c>
      <c r="AE137" s="273">
        <f>AD137*(1+'2. GRI Pricing Inputs'!$D$114)^((AE$16-AD$16)/365)</f>
        <v>1257.3688190603368</v>
      </c>
      <c r="AF137" s="273">
        <f>AE137*(1+'2. GRI Pricing Inputs'!$D$114)^((AF$16-AE$16)/365)</f>
        <v>1261.5641916481545</v>
      </c>
      <c r="AG137" s="273">
        <f>AF137*(1+'2. GRI Pricing Inputs'!$D$114)^((AG$16-AF$16)/365)</f>
        <v>1265.5015669769552</v>
      </c>
      <c r="AH137" s="273">
        <f>AG137*(1+'2. GRI Pricing Inputs'!$D$114)^((AH$16-AG$16)/365)</f>
        <v>1269.7240755229388</v>
      </c>
      <c r="AI137" s="273">
        <f>AH137*(1+'2. GRI Pricing Inputs'!$D$114)^((AI$16-AH$16)/365)</f>
        <v>1273.8237881844941</v>
      </c>
      <c r="AJ137" s="273">
        <f>AI137*(1+'2. GRI Pricing Inputs'!$D$114)^((AJ$16-AI$16)/365)</f>
        <v>1278.0740648906187</v>
      </c>
      <c r="AK137" s="273">
        <f>AJ137*(1+'2. GRI Pricing Inputs'!$D$114)^((AK$16-AJ$16)/365)</f>
        <v>1282.2007381791279</v>
      </c>
      <c r="AL137" s="273">
        <f>AK137*(1+'2. GRI Pricing Inputs'!$D$114)^((AL$16-AK$16)/365)</f>
        <v>1286.478965655022</v>
      </c>
      <c r="AM137" s="273">
        <f>AL137*(1+'2. GRI Pricing Inputs'!$D$114)^((AM$16-AL$16)/365)</f>
        <v>1290.7714679864753</v>
      </c>
      <c r="AN137" s="273">
        <f>AM137*(1+'2. GRI Pricing Inputs'!$D$114)^((AN$16-AM$16)/365)</f>
        <v>1294.9391389257689</v>
      </c>
      <c r="AO137" s="273">
        <f>AN137*(1+'2. GRI Pricing Inputs'!$D$114)^((AO$16-AN$16)/365)</f>
        <v>1299.2598697121437</v>
      </c>
    </row>
    <row r="138" spans="3:41" ht="12" x14ac:dyDescent="0.2">
      <c r="C138" s="76" t="str">
        <f>'1. Accomodation'!N142</f>
        <v>201S</v>
      </c>
      <c r="D138" s="69" t="str">
        <f>'1. Accomodation'!P142</f>
        <v>2 Bed</v>
      </c>
      <c r="E138" s="69">
        <f>'1. Accomodation'!Q142</f>
        <v>2</v>
      </c>
      <c r="F138" s="77">
        <f>'1. Accomodation'!O142</f>
        <v>624</v>
      </c>
      <c r="G138" s="69">
        <f>'1. Accomodation'!R142</f>
        <v>2</v>
      </c>
      <c r="H138" s="69" t="str">
        <f>'1. Accomodation'!S142</f>
        <v>River- Trees</v>
      </c>
      <c r="I138" s="62"/>
      <c r="K138" s="272">
        <f>IFERROR(INDEX('2. GRI Pricing Inputs'!$C$15:$AI$16,MATCH($K$16,'2. GRI Pricing Inputs'!$C$15:$C$16,0),MATCH(D138,'2. GRI Pricing Inputs'!$C$15:$AI$15,0)),0)</f>
        <v>1110</v>
      </c>
      <c r="L138" s="273">
        <f>IFERROR(INDEX('2. GRI Pricing Inputs'!$C$22:$AI$23,MATCH($L$16,'2. GRI Pricing Inputs'!$C$22:$C$23,0),MATCH(E138,'2. GRI Pricing Inputs'!$C$22:$AI$22,0)),0)</f>
        <v>0</v>
      </c>
      <c r="M138" s="328">
        <f>IF(AND('3. GRI Pricing'!$F138&gt;='2. GRI Pricing Inputs'!$D$33,'3. GRI Pricing'!$F138&lt;='2. GRI Pricing Inputs'!$E$33),'2. GRI Pricing Inputs'!$D$32,IF(AND('3. GRI Pricing'!$F138&gt;='2. GRI Pricing Inputs'!$F$33,'3. GRI Pricing'!$F138&lt;='2. GRI Pricing Inputs'!$G$33),'2. GRI Pricing Inputs'!$F$32,IF(AND('3. GRI Pricing'!$F138&gt;='2. GRI Pricing Inputs'!$H$33,'3. GRI Pricing'!$F138&lt;='2. GRI Pricing Inputs'!$I$33),'2. GRI Pricing Inputs'!$H$32,IF(AND('3. GRI Pricing'!$F138&gt;='2. GRI Pricing Inputs'!$J$33,'3. GRI Pricing'!$F138&lt;='2. GRI Pricing Inputs'!$K$33),'2. GRI Pricing Inputs'!$J$32,IF(AND('3. GRI Pricing'!$F138&gt;='2. GRI Pricing Inputs'!$L$33,'3. GRI Pricing'!$F138&lt;='2. GRI Pricing Inputs'!$M$33),'2. GRI Pricing Inputs'!$L$32,IF(AND('3. GRI Pricing'!$F138&gt;='2. GRI Pricing Inputs'!$N$33,'3. GRI Pricing'!$F138&lt;='2. GRI Pricing Inputs'!$O$33),'2. GRI Pricing Inputs'!$N$32,IF(AND('3. GRI Pricing'!$F138&gt;='2. GRI Pricing Inputs'!$P$33,'3. GRI Pricing'!$F138&lt;='2. GRI Pricing Inputs'!$Q$33),'2. GRI Pricing Inputs'!$P$32,IF(AND('3. GRI Pricing'!$F138&gt;='2. GRI Pricing Inputs'!$R$33,'3. GRI Pricing'!$F138&lt;='2. GRI Pricing Inputs'!$S$33),'2. GRI Pricing Inputs'!$R$32,IF(AND('3. GRI Pricing'!$F138&gt;='2. GRI Pricing Inputs'!$T$33,'3. GRI Pricing'!$F138&lt;='2. GRI Pricing Inputs'!$U$33),'2. GRI Pricing Inputs'!$T$32,IF(AND('3. GRI Pricing'!$F138&gt;='2. GRI Pricing Inputs'!$V$33,'3. GRI Pricing'!$F138&lt;='2. GRI Pricing Inputs'!$W$33),'2. GRI Pricing Inputs'!$V$32,IF(AND('3. GRI Pricing'!$F138&gt;='2. GRI Pricing Inputs'!$X$33,'3. GRI Pricing'!$F138&lt;='2. GRI Pricing Inputs'!$Y$33),'2. GRI Pricing Inputs'!$X$32,IF(AND('3. GRI Pricing'!$F138&gt;='2. GRI Pricing Inputs'!$Z$33,'3. GRI Pricing'!$F138&lt;='2. GRI Pricing Inputs'!$AA$33),'2. GRI Pricing Inputs'!$Z$32,IF(AND('3. GRI Pricing'!$F138&gt;='2. GRI Pricing Inputs'!$AB$33,'3. GRI Pricing'!$F138&lt;='2. GRI Pricing Inputs'!$AC$33),'2. GRI Pricing Inputs'!$AB$32,IF(AND('3. GRI Pricing'!$F138&gt;='2. GRI Pricing Inputs'!$AD$33,'3. GRI Pricing'!$F138&lt;='2. GRI Pricing Inputs'!$AE$33),'2. GRI Pricing Inputs'!$AD$32,IF(AND('3. GRI Pricing'!$F138&gt;='2. GRI Pricing Inputs'!$AF$33,'3. GRI Pricing'!$F138&lt;='2. GRI Pricing Inputs'!$AG$33),'2. GRI Pricing Inputs'!$AF$32,IF(AND('3. GRI Pricing'!$F138&gt;='2. GRI Pricing Inputs'!$AH$33,'3. GRI Pricing'!$F138&lt;='2. GRI Pricing Inputs'!$AI$33),'2. GRI Pricing Inputs'!$AH$32,0))))))))))))))))</f>
        <v>7</v>
      </c>
      <c r="N138" s="273" cm="1">
        <f t="array" ref="N138">IFERROR(INDEX('2. GRI Pricing Inputs'!$C$32:$AI$39,MATCH('3. GRI Pricing'!D138,'2. GRI Pricing Inputs'!$C$32:$C$39,0),(MATCH('3. GRI Pricing'!M138,'2. GRI Pricing Inputs'!$D$32:$AI$32,0)+1)),0)</f>
        <v>10</v>
      </c>
      <c r="O138" s="273">
        <f>IFERROR(INDEX('2. GRI Pricing Inputs'!$C$45:$AI$46,MATCH($O$16,'2. GRI Pricing Inputs'!$C$45:$C$46,0),MATCH(G138,'2. GRI Pricing Inputs'!$C$45:$AI$45,0)),0)</f>
        <v>40</v>
      </c>
      <c r="P138" s="273">
        <f>IFERROR(INDEX('2. GRI Pricing Inputs'!$C$53:$AI$54,MATCH('3. GRI Pricing'!$P$16,'2. GRI Pricing Inputs'!$C$53:$C$54,0),MATCH('3. GRI Pricing'!H138,'2. GRI Pricing Inputs'!$C$53:$AI$53,0)),0)</f>
        <v>30</v>
      </c>
      <c r="Q138" s="273">
        <f>IFERROR(INDEX('2. GRI Pricing Inputs'!$C$60:$AI$61,MATCH('3. GRI Pricing'!$Q$16,'2. GRI Pricing Inputs'!$C$60:$C$61,0),MATCH('1. Accomodation'!T142,'2. GRI Pricing Inputs'!$C$60:$AI$60,0)),0)</f>
        <v>0</v>
      </c>
      <c r="R138" s="273">
        <f>IFERROR(INDEX('2. GRI Pricing Inputs'!$C$67:$AI$68,MATCH('3. GRI Pricing'!$R$16,'2. GRI Pricing Inputs'!$C$67:$C$68,0),MATCH('1. Accomodation'!U142,'2. GRI Pricing Inputs'!$C$67:$AI$67,0)),0)</f>
        <v>40</v>
      </c>
      <c r="S138" s="273">
        <f>IF(D138=0,0,'2. GRI Pricing Inputs'!$AI$75)</f>
        <v>70</v>
      </c>
      <c r="T138" s="273">
        <f>IFERROR(INDEX('2. GRI Pricing Inputs'!$C$82:$AI$83,MATCH('3. GRI Pricing'!$T$16,'2. GRI Pricing Inputs'!$C$82:$C$83,0),MATCH('1. Accomodation'!V142,'2. GRI Pricing Inputs'!$C$82:$AI$82,0)),0)</f>
        <v>0</v>
      </c>
      <c r="U138" s="273">
        <f>IFERROR(INDEX('2. GRI Pricing Inputs'!$C$89:$AI$90,MATCH('3. GRI Pricing'!$U$16,'2. GRI Pricing Inputs'!$C$89:$C$90,0),MATCH('1. Accomodation'!W142,'2. GRI Pricing Inputs'!$C$89:$AI$89,0)),0)</f>
        <v>0</v>
      </c>
      <c r="V138" s="273">
        <f>IFERROR(INDEX('2. GRI Pricing Inputs'!$C$97:$AI$98,MATCH('3. GRI Pricing'!$V$16,'2. GRI Pricing Inputs'!$C$97:$C$98,0),MATCH('1. Accomodation'!X142,'2. GRI Pricing Inputs'!$C$97:$AI$97,0)),0)</f>
        <v>0</v>
      </c>
      <c r="W138" s="273">
        <f>IFERROR(INDEX('2. GRI Pricing Inputs'!$C$104:$AI$105,MATCH('3. GRI Pricing'!$W$16,'2. GRI Pricing Inputs'!$C$104:$C$105,0),MATCH('1. Accomodation'!Y142,'2. GRI Pricing Inputs'!$C$104:$AI$104,0)),0)</f>
        <v>0</v>
      </c>
      <c r="X138" s="274">
        <v>0</v>
      </c>
      <c r="Y138" s="275">
        <f t="shared" si="8"/>
        <v>1300</v>
      </c>
      <c r="Z138" s="276"/>
      <c r="AA138" s="276"/>
      <c r="AB138" s="276"/>
      <c r="AC138" s="272">
        <f>Y138*(1+'2. GRI Pricing Inputs'!$D$114)^(($AC$16-$AB$15)/365)</f>
        <v>1304.3376169994729</v>
      </c>
      <c r="AD138" s="273">
        <f>AC138*(1+'2. GRI Pricing Inputs'!$D$114)^((AD$16-AC$16)/365)</f>
        <v>1308.5490906152293</v>
      </c>
      <c r="AE138" s="273">
        <f>AD138*(1+'2. GRI Pricing Inputs'!$D$114)^((AE$16-AD$16)/365)</f>
        <v>1312.9152327537656</v>
      </c>
      <c r="AF138" s="273">
        <f>AE138*(1+'2. GRI Pricing Inputs'!$D$114)^((AF$16-AE$16)/365)</f>
        <v>1317.2959430864269</v>
      </c>
      <c r="AG138" s="273">
        <f>AF138*(1+'2. GRI Pricing Inputs'!$D$114)^((AG$16-AF$16)/365)</f>
        <v>1321.4072586907971</v>
      </c>
      <c r="AH138" s="273">
        <f>AG138*(1+'2. GRI Pricing Inputs'!$D$114)^((AH$16-AG$16)/365)</f>
        <v>1325.8163037588924</v>
      </c>
      <c r="AI138" s="273">
        <f>AH138*(1+'2. GRI Pricing Inputs'!$D$114)^((AI$16-AH$16)/365)</f>
        <v>1330.0971282247733</v>
      </c>
      <c r="AJ138" s="273">
        <f>AI138*(1+'2. GRI Pricing Inputs'!$D$114)^((AJ$16-AI$16)/365)</f>
        <v>1334.5351681588793</v>
      </c>
      <c r="AK138" s="273">
        <f>AJ138*(1+'2. GRI Pricing Inputs'!$D$114)^((AK$16-AJ$16)/365)</f>
        <v>1338.8441442834269</v>
      </c>
      <c r="AL138" s="273">
        <f>AK138*(1+'2. GRI Pricing Inputs'!$D$114)^((AL$16-AK$16)/365)</f>
        <v>1343.3113697602641</v>
      </c>
      <c r="AM138" s="273">
        <f>AL138*(1+'2. GRI Pricing Inputs'!$D$114)^((AM$16-AL$16)/365)</f>
        <v>1347.7935007087697</v>
      </c>
      <c r="AN138" s="273">
        <f>AM138*(1+'2. GRI Pricing Inputs'!$D$114)^((AN$16-AM$16)/365)</f>
        <v>1352.1452856253011</v>
      </c>
      <c r="AO138" s="273">
        <f>AN138*(1+'2. GRI Pricing Inputs'!$D$114)^((AO$16-AN$16)/365)</f>
        <v>1356.6568920689051</v>
      </c>
    </row>
    <row r="139" spans="3:41" ht="12" x14ac:dyDescent="0.2">
      <c r="C139" s="76" t="str">
        <f>'1. Accomodation'!N143</f>
        <v>202S</v>
      </c>
      <c r="D139" s="69" t="str">
        <f>'1. Accomodation'!P143</f>
        <v>2 Bed</v>
      </c>
      <c r="E139" s="69">
        <f>'1. Accomodation'!Q143</f>
        <v>2</v>
      </c>
      <c r="F139" s="77">
        <f>'1. Accomodation'!O143</f>
        <v>603</v>
      </c>
      <c r="G139" s="69">
        <f>'1. Accomodation'!R143</f>
        <v>2</v>
      </c>
      <c r="H139" s="69" t="str">
        <f>'1. Accomodation'!S143</f>
        <v>River- Trees</v>
      </c>
      <c r="I139" s="62"/>
      <c r="K139" s="272">
        <f>IFERROR(INDEX('2. GRI Pricing Inputs'!$C$15:$AI$16,MATCH($K$16,'2. GRI Pricing Inputs'!$C$15:$C$16,0),MATCH(D139,'2. GRI Pricing Inputs'!$C$15:$AI$15,0)),0)</f>
        <v>1110</v>
      </c>
      <c r="L139" s="273">
        <f>IFERROR(INDEX('2. GRI Pricing Inputs'!$C$22:$AI$23,MATCH($L$16,'2. GRI Pricing Inputs'!$C$22:$C$23,0),MATCH(E139,'2. GRI Pricing Inputs'!$C$22:$AI$22,0)),0)</f>
        <v>0</v>
      </c>
      <c r="M139" s="328">
        <f>IF(AND('3. GRI Pricing'!$F139&gt;='2. GRI Pricing Inputs'!$D$33,'3. GRI Pricing'!$F139&lt;='2. GRI Pricing Inputs'!$E$33),'2. GRI Pricing Inputs'!$D$32,IF(AND('3. GRI Pricing'!$F139&gt;='2. GRI Pricing Inputs'!$F$33,'3. GRI Pricing'!$F139&lt;='2. GRI Pricing Inputs'!$G$33),'2. GRI Pricing Inputs'!$F$32,IF(AND('3. GRI Pricing'!$F139&gt;='2. GRI Pricing Inputs'!$H$33,'3. GRI Pricing'!$F139&lt;='2. GRI Pricing Inputs'!$I$33),'2. GRI Pricing Inputs'!$H$32,IF(AND('3. GRI Pricing'!$F139&gt;='2. GRI Pricing Inputs'!$J$33,'3. GRI Pricing'!$F139&lt;='2. GRI Pricing Inputs'!$K$33),'2. GRI Pricing Inputs'!$J$32,IF(AND('3. GRI Pricing'!$F139&gt;='2. GRI Pricing Inputs'!$L$33,'3. GRI Pricing'!$F139&lt;='2. GRI Pricing Inputs'!$M$33),'2. GRI Pricing Inputs'!$L$32,IF(AND('3. GRI Pricing'!$F139&gt;='2. GRI Pricing Inputs'!$N$33,'3. GRI Pricing'!$F139&lt;='2. GRI Pricing Inputs'!$O$33),'2. GRI Pricing Inputs'!$N$32,IF(AND('3. GRI Pricing'!$F139&gt;='2. GRI Pricing Inputs'!$P$33,'3. GRI Pricing'!$F139&lt;='2. GRI Pricing Inputs'!$Q$33),'2. GRI Pricing Inputs'!$P$32,IF(AND('3. GRI Pricing'!$F139&gt;='2. GRI Pricing Inputs'!$R$33,'3. GRI Pricing'!$F139&lt;='2. GRI Pricing Inputs'!$S$33),'2. GRI Pricing Inputs'!$R$32,IF(AND('3. GRI Pricing'!$F139&gt;='2. GRI Pricing Inputs'!$T$33,'3. GRI Pricing'!$F139&lt;='2. GRI Pricing Inputs'!$U$33),'2. GRI Pricing Inputs'!$T$32,IF(AND('3. GRI Pricing'!$F139&gt;='2. GRI Pricing Inputs'!$V$33,'3. GRI Pricing'!$F139&lt;='2. GRI Pricing Inputs'!$W$33),'2. GRI Pricing Inputs'!$V$32,IF(AND('3. GRI Pricing'!$F139&gt;='2. GRI Pricing Inputs'!$X$33,'3. GRI Pricing'!$F139&lt;='2. GRI Pricing Inputs'!$Y$33),'2. GRI Pricing Inputs'!$X$32,IF(AND('3. GRI Pricing'!$F139&gt;='2. GRI Pricing Inputs'!$Z$33,'3. GRI Pricing'!$F139&lt;='2. GRI Pricing Inputs'!$AA$33),'2. GRI Pricing Inputs'!$Z$32,IF(AND('3. GRI Pricing'!$F139&gt;='2. GRI Pricing Inputs'!$AB$33,'3. GRI Pricing'!$F139&lt;='2. GRI Pricing Inputs'!$AC$33),'2. GRI Pricing Inputs'!$AB$32,IF(AND('3. GRI Pricing'!$F139&gt;='2. GRI Pricing Inputs'!$AD$33,'3. GRI Pricing'!$F139&lt;='2. GRI Pricing Inputs'!$AE$33),'2. GRI Pricing Inputs'!$AD$32,IF(AND('3. GRI Pricing'!$F139&gt;='2. GRI Pricing Inputs'!$AF$33,'3. GRI Pricing'!$F139&lt;='2. GRI Pricing Inputs'!$AG$33),'2. GRI Pricing Inputs'!$AF$32,IF(AND('3. GRI Pricing'!$F139&gt;='2. GRI Pricing Inputs'!$AH$33,'3. GRI Pricing'!$F139&lt;='2. GRI Pricing Inputs'!$AI$33),'2. GRI Pricing Inputs'!$AH$32,0))))))))))))))))</f>
        <v>6</v>
      </c>
      <c r="N139" s="273" cm="1">
        <f t="array" ref="N139">IFERROR(INDEX('2. GRI Pricing Inputs'!$C$32:$AI$39,MATCH('3. GRI Pricing'!D139,'2. GRI Pricing Inputs'!$C$32:$C$39,0),(MATCH('3. GRI Pricing'!M139,'2. GRI Pricing Inputs'!$D$32:$AI$32,0)+1)),0)</f>
        <v>5</v>
      </c>
      <c r="O139" s="273">
        <f>IFERROR(INDEX('2. GRI Pricing Inputs'!$C$45:$AI$46,MATCH($O$16,'2. GRI Pricing Inputs'!$C$45:$C$46,0),MATCH(G139,'2. GRI Pricing Inputs'!$C$45:$AI$45,0)),0)</f>
        <v>40</v>
      </c>
      <c r="P139" s="273">
        <f>IFERROR(INDEX('2. GRI Pricing Inputs'!$C$53:$AI$54,MATCH('3. GRI Pricing'!$P$16,'2. GRI Pricing Inputs'!$C$53:$C$54,0),MATCH('3. GRI Pricing'!H139,'2. GRI Pricing Inputs'!$C$53:$AI$53,0)),0)</f>
        <v>30</v>
      </c>
      <c r="Q139" s="273">
        <f>IFERROR(INDEX('2. GRI Pricing Inputs'!$C$60:$AI$61,MATCH('3. GRI Pricing'!$Q$16,'2. GRI Pricing Inputs'!$C$60:$C$61,0),MATCH('1. Accomodation'!T143,'2. GRI Pricing Inputs'!$C$60:$AI$60,0)),0)</f>
        <v>0</v>
      </c>
      <c r="R139" s="273">
        <f>IFERROR(INDEX('2. GRI Pricing Inputs'!$C$67:$AI$68,MATCH('3. GRI Pricing'!$R$16,'2. GRI Pricing Inputs'!$C$67:$C$68,0),MATCH('1. Accomodation'!U143,'2. GRI Pricing Inputs'!$C$67:$AI$67,0)),0)</f>
        <v>40</v>
      </c>
      <c r="S139" s="273">
        <f>IF(D139=0,0,'2. GRI Pricing Inputs'!$AI$75)</f>
        <v>70</v>
      </c>
      <c r="T139" s="273">
        <f>IFERROR(INDEX('2. GRI Pricing Inputs'!$C$82:$AI$83,MATCH('3. GRI Pricing'!$T$16,'2. GRI Pricing Inputs'!$C$82:$C$83,0),MATCH('1. Accomodation'!V143,'2. GRI Pricing Inputs'!$C$82:$AI$82,0)),0)</f>
        <v>0</v>
      </c>
      <c r="U139" s="273">
        <f>IFERROR(INDEX('2. GRI Pricing Inputs'!$C$89:$AI$90,MATCH('3. GRI Pricing'!$U$16,'2. GRI Pricing Inputs'!$C$89:$C$90,0),MATCH('1. Accomodation'!W143,'2. GRI Pricing Inputs'!$C$89:$AI$89,0)),0)</f>
        <v>0</v>
      </c>
      <c r="V139" s="273">
        <f>IFERROR(INDEX('2. GRI Pricing Inputs'!$C$97:$AI$98,MATCH('3. GRI Pricing'!$V$16,'2. GRI Pricing Inputs'!$C$97:$C$98,0),MATCH('1. Accomodation'!X143,'2. GRI Pricing Inputs'!$C$97:$AI$97,0)),0)</f>
        <v>0</v>
      </c>
      <c r="W139" s="273">
        <f>IFERROR(INDEX('2. GRI Pricing Inputs'!$C$104:$AI$105,MATCH('3. GRI Pricing'!$W$16,'2. GRI Pricing Inputs'!$C$104:$C$105,0),MATCH('1. Accomodation'!Y143,'2. GRI Pricing Inputs'!$C$104:$AI$104,0)),0)</f>
        <v>0</v>
      </c>
      <c r="X139" s="274">
        <v>0</v>
      </c>
      <c r="Y139" s="275">
        <f t="shared" si="8"/>
        <v>1295</v>
      </c>
      <c r="Z139" s="276"/>
      <c r="AA139" s="276"/>
      <c r="AB139" s="276"/>
      <c r="AC139" s="272">
        <f>Y139*(1+'2. GRI Pricing Inputs'!$D$114)^(($AC$16-$AB$15)/365)</f>
        <v>1299.3209338571671</v>
      </c>
      <c r="AD139" s="273">
        <f>AC139*(1+'2. GRI Pricing Inputs'!$D$114)^((AD$16-AC$16)/365)</f>
        <v>1303.5162094974783</v>
      </c>
      <c r="AE139" s="273">
        <f>AD139*(1+'2. GRI Pricing Inputs'!$D$114)^((AE$16-AD$16)/365)</f>
        <v>1307.8655587816356</v>
      </c>
      <c r="AF139" s="273">
        <f>AE139*(1+'2. GRI Pricing Inputs'!$D$114)^((AF$16-AE$16)/365)</f>
        <v>1312.229420228402</v>
      </c>
      <c r="AG139" s="273">
        <f>AF139*(1+'2. GRI Pricing Inputs'!$D$114)^((AG$16-AF$16)/365)</f>
        <v>1316.3249230804479</v>
      </c>
      <c r="AH139" s="273">
        <f>AG139*(1+'2. GRI Pricing Inputs'!$D$114)^((AH$16-AG$16)/365)</f>
        <v>1320.7170102828968</v>
      </c>
      <c r="AI139" s="273">
        <f>AH139*(1+'2. GRI Pricing Inputs'!$D$114)^((AI$16-AH$16)/365)</f>
        <v>1324.9813700392936</v>
      </c>
      <c r="AJ139" s="273">
        <f>AI139*(1+'2. GRI Pricing Inputs'!$D$114)^((AJ$16-AI$16)/365)</f>
        <v>1329.4023405890375</v>
      </c>
      <c r="AK139" s="273">
        <f>AJ139*(1+'2. GRI Pricing Inputs'!$D$114)^((AK$16-AJ$16)/365)</f>
        <v>1333.6947437284907</v>
      </c>
      <c r="AL139" s="273">
        <f>AK139*(1+'2. GRI Pricing Inputs'!$D$114)^((AL$16-AK$16)/365)</f>
        <v>1338.1447875688787</v>
      </c>
      <c r="AM139" s="273">
        <f>AL139*(1+'2. GRI Pricing Inputs'!$D$114)^((AM$16-AL$16)/365)</f>
        <v>1342.6096795521976</v>
      </c>
      <c r="AN139" s="273">
        <f>AM139*(1+'2. GRI Pricing Inputs'!$D$114)^((AN$16-AM$16)/365)</f>
        <v>1346.9447268344347</v>
      </c>
      <c r="AO139" s="273">
        <f>AN139*(1+'2. GRI Pricing Inputs'!$D$114)^((AO$16-AN$16)/365)</f>
        <v>1351.4389809455633</v>
      </c>
    </row>
    <row r="140" spans="3:41" ht="12" x14ac:dyDescent="0.2">
      <c r="C140" s="76" t="str">
        <f>'1. Accomodation'!N144</f>
        <v>203S</v>
      </c>
      <c r="D140" s="69" t="str">
        <f>'1. Accomodation'!P144</f>
        <v>2 Bed</v>
      </c>
      <c r="E140" s="69">
        <f>'1. Accomodation'!Q144</f>
        <v>2</v>
      </c>
      <c r="F140" s="77">
        <f>'1. Accomodation'!O144</f>
        <v>614</v>
      </c>
      <c r="G140" s="69">
        <f>'1. Accomodation'!R144</f>
        <v>2</v>
      </c>
      <c r="H140" s="69" t="str">
        <f>'1. Accomodation'!S144</f>
        <v>River- Trees</v>
      </c>
      <c r="I140" s="62"/>
      <c r="K140" s="272">
        <f>IFERROR(INDEX('2. GRI Pricing Inputs'!$C$15:$AI$16,MATCH($K$16,'2. GRI Pricing Inputs'!$C$15:$C$16,0),MATCH(D140,'2. GRI Pricing Inputs'!$C$15:$AI$15,0)),0)</f>
        <v>1110</v>
      </c>
      <c r="L140" s="273">
        <f>IFERROR(INDEX('2. GRI Pricing Inputs'!$C$22:$AI$23,MATCH($L$16,'2. GRI Pricing Inputs'!$C$22:$C$23,0),MATCH(E140,'2. GRI Pricing Inputs'!$C$22:$AI$22,0)),0)</f>
        <v>0</v>
      </c>
      <c r="M140" s="328">
        <f>IF(AND('3. GRI Pricing'!$F140&gt;='2. GRI Pricing Inputs'!$D$33,'3. GRI Pricing'!$F140&lt;='2. GRI Pricing Inputs'!$E$33),'2. GRI Pricing Inputs'!$D$32,IF(AND('3. GRI Pricing'!$F140&gt;='2. GRI Pricing Inputs'!$F$33,'3. GRI Pricing'!$F140&lt;='2. GRI Pricing Inputs'!$G$33),'2. GRI Pricing Inputs'!$F$32,IF(AND('3. GRI Pricing'!$F140&gt;='2. GRI Pricing Inputs'!$H$33,'3. GRI Pricing'!$F140&lt;='2. GRI Pricing Inputs'!$I$33),'2. GRI Pricing Inputs'!$H$32,IF(AND('3. GRI Pricing'!$F140&gt;='2. GRI Pricing Inputs'!$J$33,'3. GRI Pricing'!$F140&lt;='2. GRI Pricing Inputs'!$K$33),'2. GRI Pricing Inputs'!$J$32,IF(AND('3. GRI Pricing'!$F140&gt;='2. GRI Pricing Inputs'!$L$33,'3. GRI Pricing'!$F140&lt;='2. GRI Pricing Inputs'!$M$33),'2. GRI Pricing Inputs'!$L$32,IF(AND('3. GRI Pricing'!$F140&gt;='2. GRI Pricing Inputs'!$N$33,'3. GRI Pricing'!$F140&lt;='2. GRI Pricing Inputs'!$O$33),'2. GRI Pricing Inputs'!$N$32,IF(AND('3. GRI Pricing'!$F140&gt;='2. GRI Pricing Inputs'!$P$33,'3. GRI Pricing'!$F140&lt;='2. GRI Pricing Inputs'!$Q$33),'2. GRI Pricing Inputs'!$P$32,IF(AND('3. GRI Pricing'!$F140&gt;='2. GRI Pricing Inputs'!$R$33,'3. GRI Pricing'!$F140&lt;='2. GRI Pricing Inputs'!$S$33),'2. GRI Pricing Inputs'!$R$32,IF(AND('3. GRI Pricing'!$F140&gt;='2. GRI Pricing Inputs'!$T$33,'3. GRI Pricing'!$F140&lt;='2. GRI Pricing Inputs'!$U$33),'2. GRI Pricing Inputs'!$T$32,IF(AND('3. GRI Pricing'!$F140&gt;='2. GRI Pricing Inputs'!$V$33,'3. GRI Pricing'!$F140&lt;='2. GRI Pricing Inputs'!$W$33),'2. GRI Pricing Inputs'!$V$32,IF(AND('3. GRI Pricing'!$F140&gt;='2. GRI Pricing Inputs'!$X$33,'3. GRI Pricing'!$F140&lt;='2. GRI Pricing Inputs'!$Y$33),'2. GRI Pricing Inputs'!$X$32,IF(AND('3. GRI Pricing'!$F140&gt;='2. GRI Pricing Inputs'!$Z$33,'3. GRI Pricing'!$F140&lt;='2. GRI Pricing Inputs'!$AA$33),'2. GRI Pricing Inputs'!$Z$32,IF(AND('3. GRI Pricing'!$F140&gt;='2. GRI Pricing Inputs'!$AB$33,'3. GRI Pricing'!$F140&lt;='2. GRI Pricing Inputs'!$AC$33),'2. GRI Pricing Inputs'!$AB$32,IF(AND('3. GRI Pricing'!$F140&gt;='2. GRI Pricing Inputs'!$AD$33,'3. GRI Pricing'!$F140&lt;='2. GRI Pricing Inputs'!$AE$33),'2. GRI Pricing Inputs'!$AD$32,IF(AND('3. GRI Pricing'!$F140&gt;='2. GRI Pricing Inputs'!$AF$33,'3. GRI Pricing'!$F140&lt;='2. GRI Pricing Inputs'!$AG$33),'2. GRI Pricing Inputs'!$AF$32,IF(AND('3. GRI Pricing'!$F140&gt;='2. GRI Pricing Inputs'!$AH$33,'3. GRI Pricing'!$F140&lt;='2. GRI Pricing Inputs'!$AI$33),'2. GRI Pricing Inputs'!$AH$32,0))))))))))))))))</f>
        <v>6</v>
      </c>
      <c r="N140" s="273" cm="1">
        <f t="array" ref="N140">IFERROR(INDEX('2. GRI Pricing Inputs'!$C$32:$AI$39,MATCH('3. GRI Pricing'!D140,'2. GRI Pricing Inputs'!$C$32:$C$39,0),(MATCH('3. GRI Pricing'!M140,'2. GRI Pricing Inputs'!$D$32:$AI$32,0)+1)),0)</f>
        <v>5</v>
      </c>
      <c r="O140" s="273">
        <f>IFERROR(INDEX('2. GRI Pricing Inputs'!$C$45:$AI$46,MATCH($O$16,'2. GRI Pricing Inputs'!$C$45:$C$46,0),MATCH(G140,'2. GRI Pricing Inputs'!$C$45:$AI$45,0)),0)</f>
        <v>40</v>
      </c>
      <c r="P140" s="273">
        <f>IFERROR(INDEX('2. GRI Pricing Inputs'!$C$53:$AI$54,MATCH('3. GRI Pricing'!$P$16,'2. GRI Pricing Inputs'!$C$53:$C$54,0),MATCH('3. GRI Pricing'!H140,'2. GRI Pricing Inputs'!$C$53:$AI$53,0)),0)</f>
        <v>30</v>
      </c>
      <c r="Q140" s="273">
        <f>IFERROR(INDEX('2. GRI Pricing Inputs'!$C$60:$AI$61,MATCH('3. GRI Pricing'!$Q$16,'2. GRI Pricing Inputs'!$C$60:$C$61,0),MATCH('1. Accomodation'!T144,'2. GRI Pricing Inputs'!$C$60:$AI$60,0)),0)</f>
        <v>0</v>
      </c>
      <c r="R140" s="273">
        <f>IFERROR(INDEX('2. GRI Pricing Inputs'!$C$67:$AI$68,MATCH('3. GRI Pricing'!$R$16,'2. GRI Pricing Inputs'!$C$67:$C$68,0),MATCH('1. Accomodation'!U144,'2. GRI Pricing Inputs'!$C$67:$AI$67,0)),0)</f>
        <v>40</v>
      </c>
      <c r="S140" s="273">
        <f>IF(D140=0,0,'2. GRI Pricing Inputs'!$AI$75)</f>
        <v>70</v>
      </c>
      <c r="T140" s="273">
        <f>IFERROR(INDEX('2. GRI Pricing Inputs'!$C$82:$AI$83,MATCH('3. GRI Pricing'!$T$16,'2. GRI Pricing Inputs'!$C$82:$C$83,0),MATCH('1. Accomodation'!V144,'2. GRI Pricing Inputs'!$C$82:$AI$82,0)),0)</f>
        <v>0</v>
      </c>
      <c r="U140" s="273">
        <f>IFERROR(INDEX('2. GRI Pricing Inputs'!$C$89:$AI$90,MATCH('3. GRI Pricing'!$U$16,'2. GRI Pricing Inputs'!$C$89:$C$90,0),MATCH('1. Accomodation'!W144,'2. GRI Pricing Inputs'!$C$89:$AI$89,0)),0)</f>
        <v>0</v>
      </c>
      <c r="V140" s="273">
        <f>IFERROR(INDEX('2. GRI Pricing Inputs'!$C$97:$AI$98,MATCH('3. GRI Pricing'!$V$16,'2. GRI Pricing Inputs'!$C$97:$C$98,0),MATCH('1. Accomodation'!X144,'2. GRI Pricing Inputs'!$C$97:$AI$97,0)),0)</f>
        <v>0</v>
      </c>
      <c r="W140" s="273">
        <f>IFERROR(INDEX('2. GRI Pricing Inputs'!$C$104:$AI$105,MATCH('3. GRI Pricing'!$W$16,'2. GRI Pricing Inputs'!$C$104:$C$105,0),MATCH('1. Accomodation'!Y144,'2. GRI Pricing Inputs'!$C$104:$AI$104,0)),0)</f>
        <v>0</v>
      </c>
      <c r="X140" s="274">
        <v>0</v>
      </c>
      <c r="Y140" s="275">
        <f t="shared" si="8"/>
        <v>1295</v>
      </c>
      <c r="Z140" s="276"/>
      <c r="AA140" s="276"/>
      <c r="AB140" s="276"/>
      <c r="AC140" s="272">
        <f>Y140*(1+'2. GRI Pricing Inputs'!$D$114)^(($AC$16-$AB$15)/365)</f>
        <v>1299.3209338571671</v>
      </c>
      <c r="AD140" s="273">
        <f>AC140*(1+'2. GRI Pricing Inputs'!$D$114)^((AD$16-AC$16)/365)</f>
        <v>1303.5162094974783</v>
      </c>
      <c r="AE140" s="273">
        <f>AD140*(1+'2. GRI Pricing Inputs'!$D$114)^((AE$16-AD$16)/365)</f>
        <v>1307.8655587816356</v>
      </c>
      <c r="AF140" s="273">
        <f>AE140*(1+'2. GRI Pricing Inputs'!$D$114)^((AF$16-AE$16)/365)</f>
        <v>1312.229420228402</v>
      </c>
      <c r="AG140" s="273">
        <f>AF140*(1+'2. GRI Pricing Inputs'!$D$114)^((AG$16-AF$16)/365)</f>
        <v>1316.3249230804479</v>
      </c>
      <c r="AH140" s="273">
        <f>AG140*(1+'2. GRI Pricing Inputs'!$D$114)^((AH$16-AG$16)/365)</f>
        <v>1320.7170102828968</v>
      </c>
      <c r="AI140" s="273">
        <f>AH140*(1+'2. GRI Pricing Inputs'!$D$114)^((AI$16-AH$16)/365)</f>
        <v>1324.9813700392936</v>
      </c>
      <c r="AJ140" s="273">
        <f>AI140*(1+'2. GRI Pricing Inputs'!$D$114)^((AJ$16-AI$16)/365)</f>
        <v>1329.4023405890375</v>
      </c>
      <c r="AK140" s="273">
        <f>AJ140*(1+'2. GRI Pricing Inputs'!$D$114)^((AK$16-AJ$16)/365)</f>
        <v>1333.6947437284907</v>
      </c>
      <c r="AL140" s="273">
        <f>AK140*(1+'2. GRI Pricing Inputs'!$D$114)^((AL$16-AK$16)/365)</f>
        <v>1338.1447875688787</v>
      </c>
      <c r="AM140" s="273">
        <f>AL140*(1+'2. GRI Pricing Inputs'!$D$114)^((AM$16-AL$16)/365)</f>
        <v>1342.6096795521976</v>
      </c>
      <c r="AN140" s="273">
        <f>AM140*(1+'2. GRI Pricing Inputs'!$D$114)^((AN$16-AM$16)/365)</f>
        <v>1346.9447268344347</v>
      </c>
      <c r="AO140" s="273">
        <f>AN140*(1+'2. GRI Pricing Inputs'!$D$114)^((AO$16-AN$16)/365)</f>
        <v>1351.4389809455633</v>
      </c>
    </row>
    <row r="141" spans="3:41" ht="12" x14ac:dyDescent="0.2">
      <c r="C141" s="76" t="str">
        <f>'1. Accomodation'!N145</f>
        <v>204S</v>
      </c>
      <c r="D141" s="69" t="str">
        <f>'1. Accomodation'!P145</f>
        <v>3 Bed</v>
      </c>
      <c r="E141" s="69">
        <f>'1. Accomodation'!Q145</f>
        <v>3</v>
      </c>
      <c r="F141" s="77">
        <f>'1. Accomodation'!O145</f>
        <v>829</v>
      </c>
      <c r="G141" s="69">
        <f>'1. Accomodation'!R145</f>
        <v>2</v>
      </c>
      <c r="H141" s="69" t="str">
        <f>'1. Accomodation'!S145</f>
        <v>River- Trees</v>
      </c>
      <c r="I141" s="62"/>
      <c r="K141" s="272">
        <f>IFERROR(INDEX('2. GRI Pricing Inputs'!$C$15:$AI$16,MATCH($K$16,'2. GRI Pricing Inputs'!$C$15:$C$16,0),MATCH(D141,'2. GRI Pricing Inputs'!$C$15:$AI$15,0)),0)</f>
        <v>1485</v>
      </c>
      <c r="L141" s="273">
        <f>IFERROR(INDEX('2. GRI Pricing Inputs'!$C$22:$AI$23,MATCH($L$16,'2. GRI Pricing Inputs'!$C$22:$C$23,0),MATCH(E141,'2. GRI Pricing Inputs'!$C$22:$AI$22,0)),0)</f>
        <v>0</v>
      </c>
      <c r="M141" s="328">
        <f>IF(AND('3. GRI Pricing'!$F141&gt;='2. GRI Pricing Inputs'!$D$33,'3. GRI Pricing'!$F141&lt;='2. GRI Pricing Inputs'!$E$33),'2. GRI Pricing Inputs'!$D$32,IF(AND('3. GRI Pricing'!$F141&gt;='2. GRI Pricing Inputs'!$F$33,'3. GRI Pricing'!$F141&lt;='2. GRI Pricing Inputs'!$G$33),'2. GRI Pricing Inputs'!$F$32,IF(AND('3. GRI Pricing'!$F141&gt;='2. GRI Pricing Inputs'!$H$33,'3. GRI Pricing'!$F141&lt;='2. GRI Pricing Inputs'!$I$33),'2. GRI Pricing Inputs'!$H$32,IF(AND('3. GRI Pricing'!$F141&gt;='2. GRI Pricing Inputs'!$J$33,'3. GRI Pricing'!$F141&lt;='2. GRI Pricing Inputs'!$K$33),'2. GRI Pricing Inputs'!$J$32,IF(AND('3. GRI Pricing'!$F141&gt;='2. GRI Pricing Inputs'!$L$33,'3. GRI Pricing'!$F141&lt;='2. GRI Pricing Inputs'!$M$33),'2. GRI Pricing Inputs'!$L$32,IF(AND('3. GRI Pricing'!$F141&gt;='2. GRI Pricing Inputs'!$N$33,'3. GRI Pricing'!$F141&lt;='2. GRI Pricing Inputs'!$O$33),'2. GRI Pricing Inputs'!$N$32,IF(AND('3. GRI Pricing'!$F141&gt;='2. GRI Pricing Inputs'!$P$33,'3. GRI Pricing'!$F141&lt;='2. GRI Pricing Inputs'!$Q$33),'2. GRI Pricing Inputs'!$P$32,IF(AND('3. GRI Pricing'!$F141&gt;='2. GRI Pricing Inputs'!$R$33,'3. GRI Pricing'!$F141&lt;='2. GRI Pricing Inputs'!$S$33),'2. GRI Pricing Inputs'!$R$32,IF(AND('3. GRI Pricing'!$F141&gt;='2. GRI Pricing Inputs'!$T$33,'3. GRI Pricing'!$F141&lt;='2. GRI Pricing Inputs'!$U$33),'2. GRI Pricing Inputs'!$T$32,IF(AND('3. GRI Pricing'!$F141&gt;='2. GRI Pricing Inputs'!$V$33,'3. GRI Pricing'!$F141&lt;='2. GRI Pricing Inputs'!$W$33),'2. GRI Pricing Inputs'!$V$32,IF(AND('3. GRI Pricing'!$F141&gt;='2. GRI Pricing Inputs'!$X$33,'3. GRI Pricing'!$F141&lt;='2. GRI Pricing Inputs'!$Y$33),'2. GRI Pricing Inputs'!$X$32,IF(AND('3. GRI Pricing'!$F141&gt;='2. GRI Pricing Inputs'!$Z$33,'3. GRI Pricing'!$F141&lt;='2. GRI Pricing Inputs'!$AA$33),'2. GRI Pricing Inputs'!$Z$32,IF(AND('3. GRI Pricing'!$F141&gt;='2. GRI Pricing Inputs'!$AB$33,'3. GRI Pricing'!$F141&lt;='2. GRI Pricing Inputs'!$AC$33),'2. GRI Pricing Inputs'!$AB$32,IF(AND('3. GRI Pricing'!$F141&gt;='2. GRI Pricing Inputs'!$AD$33,'3. GRI Pricing'!$F141&lt;='2. GRI Pricing Inputs'!$AE$33),'2. GRI Pricing Inputs'!$AD$32,IF(AND('3. GRI Pricing'!$F141&gt;='2. GRI Pricing Inputs'!$AF$33,'3. GRI Pricing'!$F141&lt;='2. GRI Pricing Inputs'!$AG$33),'2. GRI Pricing Inputs'!$AF$32,IF(AND('3. GRI Pricing'!$F141&gt;='2. GRI Pricing Inputs'!$AH$33,'3. GRI Pricing'!$F141&lt;='2. GRI Pricing Inputs'!$AI$33),'2. GRI Pricing Inputs'!$AH$32,0))))))))))))))))</f>
        <v>14</v>
      </c>
      <c r="N141" s="273" cm="1">
        <f t="array" ref="N141">IFERROR(INDEX('2. GRI Pricing Inputs'!$C$32:$AI$39,MATCH('3. GRI Pricing'!D141,'2. GRI Pricing Inputs'!$C$32:$C$39,0),(MATCH('3. GRI Pricing'!M141,'2. GRI Pricing Inputs'!$D$32:$AI$32,0)+1)),0)</f>
        <v>60</v>
      </c>
      <c r="O141" s="273">
        <f>IFERROR(INDEX('2. GRI Pricing Inputs'!$C$45:$AI$46,MATCH($O$16,'2. GRI Pricing Inputs'!$C$45:$C$46,0),MATCH(G141,'2. GRI Pricing Inputs'!$C$45:$AI$45,0)),0)</f>
        <v>40</v>
      </c>
      <c r="P141" s="273">
        <f>IFERROR(INDEX('2. GRI Pricing Inputs'!$C$53:$AI$54,MATCH('3. GRI Pricing'!$P$16,'2. GRI Pricing Inputs'!$C$53:$C$54,0),MATCH('3. GRI Pricing'!H141,'2. GRI Pricing Inputs'!$C$53:$AI$53,0)),0)</f>
        <v>30</v>
      </c>
      <c r="Q141" s="273">
        <f>IFERROR(INDEX('2. GRI Pricing Inputs'!$C$60:$AI$61,MATCH('3. GRI Pricing'!$Q$16,'2. GRI Pricing Inputs'!$C$60:$C$61,0),MATCH('1. Accomodation'!T145,'2. GRI Pricing Inputs'!$C$60:$AI$60,0)),0)</f>
        <v>0</v>
      </c>
      <c r="R141" s="273">
        <f>IFERROR(INDEX('2. GRI Pricing Inputs'!$C$67:$AI$68,MATCH('3. GRI Pricing'!$R$16,'2. GRI Pricing Inputs'!$C$67:$C$68,0),MATCH('1. Accomodation'!U145,'2. GRI Pricing Inputs'!$C$67:$AI$67,0)),0)</f>
        <v>40</v>
      </c>
      <c r="S141" s="273">
        <f>IF(D141=0,0,'2. GRI Pricing Inputs'!$AI$75)</f>
        <v>70</v>
      </c>
      <c r="T141" s="273">
        <f>IFERROR(INDEX('2. GRI Pricing Inputs'!$C$82:$AI$83,MATCH('3. GRI Pricing'!$T$16,'2. GRI Pricing Inputs'!$C$82:$C$83,0),MATCH('1. Accomodation'!V145,'2. GRI Pricing Inputs'!$C$82:$AI$82,0)),0)</f>
        <v>0</v>
      </c>
      <c r="U141" s="273">
        <f>IFERROR(INDEX('2. GRI Pricing Inputs'!$C$89:$AI$90,MATCH('3. GRI Pricing'!$U$16,'2. GRI Pricing Inputs'!$C$89:$C$90,0),MATCH('1. Accomodation'!W145,'2. GRI Pricing Inputs'!$C$89:$AI$89,0)),0)</f>
        <v>0</v>
      </c>
      <c r="V141" s="273">
        <f>IFERROR(INDEX('2. GRI Pricing Inputs'!$C$97:$AI$98,MATCH('3. GRI Pricing'!$V$16,'2. GRI Pricing Inputs'!$C$97:$C$98,0),MATCH('1. Accomodation'!X145,'2. GRI Pricing Inputs'!$C$97:$AI$97,0)),0)</f>
        <v>0</v>
      </c>
      <c r="W141" s="273">
        <f>IFERROR(INDEX('2. GRI Pricing Inputs'!$C$104:$AI$105,MATCH('3. GRI Pricing'!$W$16,'2. GRI Pricing Inputs'!$C$104:$C$105,0),MATCH('1. Accomodation'!Y145,'2. GRI Pricing Inputs'!$C$104:$AI$104,0)),0)</f>
        <v>0</v>
      </c>
      <c r="X141" s="274">
        <v>0</v>
      </c>
      <c r="Y141" s="275">
        <f t="shared" si="8"/>
        <v>1725</v>
      </c>
      <c r="Z141" s="276"/>
      <c r="AA141" s="276"/>
      <c r="AB141" s="276"/>
      <c r="AC141" s="272">
        <f>Y141*(1+'2. GRI Pricing Inputs'!$D$114)^(($AC$16-$AB$15)/365)</f>
        <v>1730.7556840954542</v>
      </c>
      <c r="AD141" s="273">
        <f>AC141*(1+'2. GRI Pricing Inputs'!$D$114)^((AD$16-AC$16)/365)</f>
        <v>1736.3439856240541</v>
      </c>
      <c r="AE141" s="273">
        <f>AD141*(1+'2. GRI Pricing Inputs'!$D$114)^((AE$16-AD$16)/365)</f>
        <v>1742.1375203848042</v>
      </c>
      <c r="AF141" s="273">
        <f>AE141*(1+'2. GRI Pricing Inputs'!$D$114)^((AF$16-AE$16)/365)</f>
        <v>1747.9503860185278</v>
      </c>
      <c r="AG141" s="273">
        <f>AF141*(1+'2. GRI Pricing Inputs'!$D$114)^((AG$16-AF$16)/365)</f>
        <v>1753.4057855704807</v>
      </c>
      <c r="AH141" s="273">
        <f>AG141*(1+'2. GRI Pricing Inputs'!$D$114)^((AH$16-AG$16)/365)</f>
        <v>1759.2562492185302</v>
      </c>
      <c r="AI141" s="273">
        <f>AH141*(1+'2. GRI Pricing Inputs'!$D$114)^((AI$16-AH$16)/365)</f>
        <v>1764.9365739905645</v>
      </c>
      <c r="AJ141" s="273">
        <f>AI141*(1+'2. GRI Pricing Inputs'!$D$114)^((AJ$16-AI$16)/365)</f>
        <v>1770.825511595436</v>
      </c>
      <c r="AK141" s="273">
        <f>AJ141*(1+'2. GRI Pricing Inputs'!$D$114)^((AK$16-AJ$16)/365)</f>
        <v>1776.5431914530088</v>
      </c>
      <c r="AL141" s="273">
        <f>AK141*(1+'2. GRI Pricing Inputs'!$D$114)^((AL$16-AK$16)/365)</f>
        <v>1782.4708560280428</v>
      </c>
      <c r="AM141" s="273">
        <f>AL141*(1+'2. GRI Pricing Inputs'!$D$114)^((AM$16-AL$16)/365)</f>
        <v>1788.4182990174058</v>
      </c>
      <c r="AN141" s="273">
        <f>AM141*(1+'2. GRI Pricing Inputs'!$D$114)^((AN$16-AM$16)/365)</f>
        <v>1794.1927828489572</v>
      </c>
      <c r="AO141" s="273">
        <f>AN141*(1+'2. GRI Pricing Inputs'!$D$114)^((AO$16-AN$16)/365)</f>
        <v>1800.1793375529703</v>
      </c>
    </row>
    <row r="142" spans="3:41" ht="12" x14ac:dyDescent="0.2">
      <c r="C142" s="76" t="str">
        <f>'1. Accomodation'!N146</f>
        <v>205S</v>
      </c>
      <c r="D142" s="69" t="str">
        <f>'1. Accomodation'!P146</f>
        <v>2 Bed</v>
      </c>
      <c r="E142" s="69">
        <f>'1. Accomodation'!Q146</f>
        <v>2</v>
      </c>
      <c r="F142" s="77">
        <f>'1. Accomodation'!O146</f>
        <v>689</v>
      </c>
      <c r="G142" s="69">
        <f>'1. Accomodation'!R146</f>
        <v>2</v>
      </c>
      <c r="H142" s="69" t="str">
        <f>'1. Accomodation'!S146</f>
        <v>Courtyard</v>
      </c>
      <c r="I142" s="62"/>
      <c r="K142" s="272">
        <f>IFERROR(INDEX('2. GRI Pricing Inputs'!$C$15:$AI$16,MATCH($K$16,'2. GRI Pricing Inputs'!$C$15:$C$16,0),MATCH(D142,'2. GRI Pricing Inputs'!$C$15:$AI$15,0)),0)</f>
        <v>1110</v>
      </c>
      <c r="L142" s="273">
        <f>IFERROR(INDEX('2. GRI Pricing Inputs'!$C$22:$AI$23,MATCH($L$16,'2. GRI Pricing Inputs'!$C$22:$C$23,0),MATCH(E142,'2. GRI Pricing Inputs'!$C$22:$AI$22,0)),0)</f>
        <v>0</v>
      </c>
      <c r="M142" s="328">
        <f>IF(AND('3. GRI Pricing'!$F142&gt;='2. GRI Pricing Inputs'!$D$33,'3. GRI Pricing'!$F142&lt;='2. GRI Pricing Inputs'!$E$33),'2. GRI Pricing Inputs'!$D$32,IF(AND('3. GRI Pricing'!$F142&gt;='2. GRI Pricing Inputs'!$F$33,'3. GRI Pricing'!$F142&lt;='2. GRI Pricing Inputs'!$G$33),'2. GRI Pricing Inputs'!$F$32,IF(AND('3. GRI Pricing'!$F142&gt;='2. GRI Pricing Inputs'!$H$33,'3. GRI Pricing'!$F142&lt;='2. GRI Pricing Inputs'!$I$33),'2. GRI Pricing Inputs'!$H$32,IF(AND('3. GRI Pricing'!$F142&gt;='2. GRI Pricing Inputs'!$J$33,'3. GRI Pricing'!$F142&lt;='2. GRI Pricing Inputs'!$K$33),'2. GRI Pricing Inputs'!$J$32,IF(AND('3. GRI Pricing'!$F142&gt;='2. GRI Pricing Inputs'!$L$33,'3. GRI Pricing'!$F142&lt;='2. GRI Pricing Inputs'!$M$33),'2. GRI Pricing Inputs'!$L$32,IF(AND('3. GRI Pricing'!$F142&gt;='2. GRI Pricing Inputs'!$N$33,'3. GRI Pricing'!$F142&lt;='2. GRI Pricing Inputs'!$O$33),'2. GRI Pricing Inputs'!$N$32,IF(AND('3. GRI Pricing'!$F142&gt;='2. GRI Pricing Inputs'!$P$33,'3. GRI Pricing'!$F142&lt;='2. GRI Pricing Inputs'!$Q$33),'2. GRI Pricing Inputs'!$P$32,IF(AND('3. GRI Pricing'!$F142&gt;='2. GRI Pricing Inputs'!$R$33,'3. GRI Pricing'!$F142&lt;='2. GRI Pricing Inputs'!$S$33),'2. GRI Pricing Inputs'!$R$32,IF(AND('3. GRI Pricing'!$F142&gt;='2. GRI Pricing Inputs'!$T$33,'3. GRI Pricing'!$F142&lt;='2. GRI Pricing Inputs'!$U$33),'2. GRI Pricing Inputs'!$T$32,IF(AND('3. GRI Pricing'!$F142&gt;='2. GRI Pricing Inputs'!$V$33,'3. GRI Pricing'!$F142&lt;='2. GRI Pricing Inputs'!$W$33),'2. GRI Pricing Inputs'!$V$32,IF(AND('3. GRI Pricing'!$F142&gt;='2. GRI Pricing Inputs'!$X$33,'3. GRI Pricing'!$F142&lt;='2. GRI Pricing Inputs'!$Y$33),'2. GRI Pricing Inputs'!$X$32,IF(AND('3. GRI Pricing'!$F142&gt;='2. GRI Pricing Inputs'!$Z$33,'3. GRI Pricing'!$F142&lt;='2. GRI Pricing Inputs'!$AA$33),'2. GRI Pricing Inputs'!$Z$32,IF(AND('3. GRI Pricing'!$F142&gt;='2. GRI Pricing Inputs'!$AB$33,'3. GRI Pricing'!$F142&lt;='2. GRI Pricing Inputs'!$AC$33),'2. GRI Pricing Inputs'!$AB$32,IF(AND('3. GRI Pricing'!$F142&gt;='2. GRI Pricing Inputs'!$AD$33,'3. GRI Pricing'!$F142&lt;='2. GRI Pricing Inputs'!$AE$33),'2. GRI Pricing Inputs'!$AD$32,IF(AND('3. GRI Pricing'!$F142&gt;='2. GRI Pricing Inputs'!$AF$33,'3. GRI Pricing'!$F142&lt;='2. GRI Pricing Inputs'!$AG$33),'2. GRI Pricing Inputs'!$AF$32,IF(AND('3. GRI Pricing'!$F142&gt;='2. GRI Pricing Inputs'!$AH$33,'3. GRI Pricing'!$F142&lt;='2. GRI Pricing Inputs'!$AI$33),'2. GRI Pricing Inputs'!$AH$32,0))))))))))))))))</f>
        <v>11</v>
      </c>
      <c r="N142" s="273" cm="1">
        <f t="array" ref="N142">IFERROR(INDEX('2. GRI Pricing Inputs'!$C$32:$AI$39,MATCH('3. GRI Pricing'!D142,'2. GRI Pricing Inputs'!$C$32:$C$39,0),(MATCH('3. GRI Pricing'!M142,'2. GRI Pricing Inputs'!$D$32:$AI$32,0)+1)),0)</f>
        <v>65</v>
      </c>
      <c r="O142" s="273">
        <f>IFERROR(INDEX('2. GRI Pricing Inputs'!$C$45:$AI$46,MATCH($O$16,'2. GRI Pricing Inputs'!$C$45:$C$46,0),MATCH(G142,'2. GRI Pricing Inputs'!$C$45:$AI$45,0)),0)</f>
        <v>40</v>
      </c>
      <c r="P142" s="273">
        <f>IFERROR(INDEX('2. GRI Pricing Inputs'!$C$53:$AI$54,MATCH('3. GRI Pricing'!$P$16,'2. GRI Pricing Inputs'!$C$53:$C$54,0),MATCH('3. GRI Pricing'!H142,'2. GRI Pricing Inputs'!$C$53:$AI$53,0)),0)</f>
        <v>25</v>
      </c>
      <c r="Q142" s="273">
        <f>IFERROR(INDEX('2. GRI Pricing Inputs'!$C$60:$AI$61,MATCH('3. GRI Pricing'!$Q$16,'2. GRI Pricing Inputs'!$C$60:$C$61,0),MATCH('1. Accomodation'!T146,'2. GRI Pricing Inputs'!$C$60:$AI$60,0)),0)</f>
        <v>0</v>
      </c>
      <c r="R142" s="273">
        <f>IFERROR(INDEX('2. GRI Pricing Inputs'!$C$67:$AI$68,MATCH('3. GRI Pricing'!$R$16,'2. GRI Pricing Inputs'!$C$67:$C$68,0),MATCH('1. Accomodation'!U146,'2. GRI Pricing Inputs'!$C$67:$AI$67,0)),0)</f>
        <v>0</v>
      </c>
      <c r="S142" s="273">
        <f>IF(D142=0,0,'2. GRI Pricing Inputs'!$AI$75)</f>
        <v>70</v>
      </c>
      <c r="T142" s="273">
        <f>IFERROR(INDEX('2. GRI Pricing Inputs'!$C$82:$AI$83,MATCH('3. GRI Pricing'!$T$16,'2. GRI Pricing Inputs'!$C$82:$C$83,0),MATCH('1. Accomodation'!V146,'2. GRI Pricing Inputs'!$C$82:$AI$82,0)),0)</f>
        <v>0</v>
      </c>
      <c r="U142" s="273">
        <f>IFERROR(INDEX('2. GRI Pricing Inputs'!$C$89:$AI$90,MATCH('3. GRI Pricing'!$U$16,'2. GRI Pricing Inputs'!$C$89:$C$90,0),MATCH('1. Accomodation'!W146,'2. GRI Pricing Inputs'!$C$89:$AI$89,0)),0)</f>
        <v>0</v>
      </c>
      <c r="V142" s="273">
        <f>IFERROR(INDEX('2. GRI Pricing Inputs'!$C$97:$AI$98,MATCH('3. GRI Pricing'!$V$16,'2. GRI Pricing Inputs'!$C$97:$C$98,0),MATCH('1. Accomodation'!X146,'2. GRI Pricing Inputs'!$C$97:$AI$97,0)),0)</f>
        <v>0</v>
      </c>
      <c r="W142" s="273">
        <f>IFERROR(INDEX('2. GRI Pricing Inputs'!$C$104:$AI$105,MATCH('3. GRI Pricing'!$W$16,'2. GRI Pricing Inputs'!$C$104:$C$105,0),MATCH('1. Accomodation'!Y146,'2. GRI Pricing Inputs'!$C$104:$AI$104,0)),0)</f>
        <v>0</v>
      </c>
      <c r="X142" s="274">
        <v>0</v>
      </c>
      <c r="Y142" s="275">
        <f t="shared" si="8"/>
        <v>1310</v>
      </c>
      <c r="Z142" s="276"/>
      <c r="AA142" s="276"/>
      <c r="AB142" s="276"/>
      <c r="AC142" s="272">
        <f>Y142*(1+'2. GRI Pricing Inputs'!$D$114)^(($AC$16-$AB$15)/365)</f>
        <v>1314.3709832840841</v>
      </c>
      <c r="AD142" s="273">
        <f>AC142*(1+'2. GRI Pricing Inputs'!$D$114)^((AD$16-AC$16)/365)</f>
        <v>1318.614852850731</v>
      </c>
      <c r="AE142" s="273">
        <f>AD142*(1+'2. GRI Pricing Inputs'!$D$114)^((AE$16-AD$16)/365)</f>
        <v>1323.0145806980254</v>
      </c>
      <c r="AF142" s="273">
        <f>AE142*(1+'2. GRI Pricing Inputs'!$D$114)^((AF$16-AE$16)/365)</f>
        <v>1327.4289888024762</v>
      </c>
      <c r="AG142" s="273">
        <f>AF142*(1+'2. GRI Pricing Inputs'!$D$114)^((AG$16-AF$16)/365)</f>
        <v>1331.5719299114955</v>
      </c>
      <c r="AH142" s="273">
        <f>AG142*(1+'2. GRI Pricing Inputs'!$D$114)^((AH$16-AG$16)/365)</f>
        <v>1336.0148907108839</v>
      </c>
      <c r="AI142" s="273">
        <f>AH142*(1+'2. GRI Pricing Inputs'!$D$114)^((AI$16-AH$16)/365)</f>
        <v>1340.3286445957333</v>
      </c>
      <c r="AJ142" s="273">
        <f>AI142*(1+'2. GRI Pricing Inputs'!$D$114)^((AJ$16-AI$16)/365)</f>
        <v>1344.800823298563</v>
      </c>
      <c r="AK142" s="273">
        <f>AJ142*(1+'2. GRI Pricing Inputs'!$D$114)^((AK$16-AJ$16)/365)</f>
        <v>1349.1429453932994</v>
      </c>
      <c r="AL142" s="273">
        <f>AK142*(1+'2. GRI Pricing Inputs'!$D$114)^((AL$16-AK$16)/365)</f>
        <v>1353.6445341430353</v>
      </c>
      <c r="AM142" s="273">
        <f>AL142*(1+'2. GRI Pricing Inputs'!$D$114)^((AM$16-AL$16)/365)</f>
        <v>1358.1611430219141</v>
      </c>
      <c r="AN142" s="273">
        <f>AM142*(1+'2. GRI Pricing Inputs'!$D$114)^((AN$16-AM$16)/365)</f>
        <v>1362.5464032070342</v>
      </c>
      <c r="AO142" s="273">
        <f>AN142*(1+'2. GRI Pricing Inputs'!$D$114)^((AO$16-AN$16)/365)</f>
        <v>1367.0927143155891</v>
      </c>
    </row>
    <row r="143" spans="3:41" ht="12" x14ac:dyDescent="0.2">
      <c r="C143" s="76" t="str">
        <f>'1. Accomodation'!N147</f>
        <v>206S</v>
      </c>
      <c r="D143" s="69" t="str">
        <f>'1. Accomodation'!P147</f>
        <v>1 Bed</v>
      </c>
      <c r="E143" s="69">
        <f>'1. Accomodation'!Q147</f>
        <v>1</v>
      </c>
      <c r="F143" s="77">
        <f>'1. Accomodation'!O147</f>
        <v>474</v>
      </c>
      <c r="G143" s="69">
        <f>'1. Accomodation'!R147</f>
        <v>2</v>
      </c>
      <c r="H143" s="69" t="str">
        <f>'1. Accomodation'!S147</f>
        <v>Courtyard</v>
      </c>
      <c r="I143" s="62"/>
      <c r="K143" s="272">
        <f>IFERROR(INDEX('2. GRI Pricing Inputs'!$C$15:$AI$16,MATCH($K$16,'2. GRI Pricing Inputs'!$C$15:$C$16,0),MATCH(D143,'2. GRI Pricing Inputs'!$C$15:$AI$15,0)),0)</f>
        <v>845</v>
      </c>
      <c r="L143" s="273">
        <f>IFERROR(INDEX('2. GRI Pricing Inputs'!$C$22:$AI$23,MATCH($L$16,'2. GRI Pricing Inputs'!$C$22:$C$23,0),MATCH(E143,'2. GRI Pricing Inputs'!$C$22:$AI$22,0)),0)</f>
        <v>0</v>
      </c>
      <c r="M143" s="328">
        <f>IF(AND('3. GRI Pricing'!$F143&gt;='2. GRI Pricing Inputs'!$D$33,'3. GRI Pricing'!$F143&lt;='2. GRI Pricing Inputs'!$E$33),'2. GRI Pricing Inputs'!$D$32,IF(AND('3. GRI Pricing'!$F143&gt;='2. GRI Pricing Inputs'!$F$33,'3. GRI Pricing'!$F143&lt;='2. GRI Pricing Inputs'!$G$33),'2. GRI Pricing Inputs'!$F$32,IF(AND('3. GRI Pricing'!$F143&gt;='2. GRI Pricing Inputs'!$H$33,'3. GRI Pricing'!$F143&lt;='2. GRI Pricing Inputs'!$I$33),'2. GRI Pricing Inputs'!$H$32,IF(AND('3. GRI Pricing'!$F143&gt;='2. GRI Pricing Inputs'!$J$33,'3. GRI Pricing'!$F143&lt;='2. GRI Pricing Inputs'!$K$33),'2. GRI Pricing Inputs'!$J$32,IF(AND('3. GRI Pricing'!$F143&gt;='2. GRI Pricing Inputs'!$L$33,'3. GRI Pricing'!$F143&lt;='2. GRI Pricing Inputs'!$M$33),'2. GRI Pricing Inputs'!$L$32,IF(AND('3. GRI Pricing'!$F143&gt;='2. GRI Pricing Inputs'!$N$33,'3. GRI Pricing'!$F143&lt;='2. GRI Pricing Inputs'!$O$33),'2. GRI Pricing Inputs'!$N$32,IF(AND('3. GRI Pricing'!$F143&gt;='2. GRI Pricing Inputs'!$P$33,'3. GRI Pricing'!$F143&lt;='2. GRI Pricing Inputs'!$Q$33),'2. GRI Pricing Inputs'!$P$32,IF(AND('3. GRI Pricing'!$F143&gt;='2. GRI Pricing Inputs'!$R$33,'3. GRI Pricing'!$F143&lt;='2. GRI Pricing Inputs'!$S$33),'2. GRI Pricing Inputs'!$R$32,IF(AND('3. GRI Pricing'!$F143&gt;='2. GRI Pricing Inputs'!$T$33,'3. GRI Pricing'!$F143&lt;='2. GRI Pricing Inputs'!$U$33),'2. GRI Pricing Inputs'!$T$32,IF(AND('3. GRI Pricing'!$F143&gt;='2. GRI Pricing Inputs'!$V$33,'3. GRI Pricing'!$F143&lt;='2. GRI Pricing Inputs'!$W$33),'2. GRI Pricing Inputs'!$V$32,IF(AND('3. GRI Pricing'!$F143&gt;='2. GRI Pricing Inputs'!$X$33,'3. GRI Pricing'!$F143&lt;='2. GRI Pricing Inputs'!$Y$33),'2. GRI Pricing Inputs'!$X$32,IF(AND('3. GRI Pricing'!$F143&gt;='2. GRI Pricing Inputs'!$Z$33,'3. GRI Pricing'!$F143&lt;='2. GRI Pricing Inputs'!$AA$33),'2. GRI Pricing Inputs'!$Z$32,IF(AND('3. GRI Pricing'!$F143&gt;='2. GRI Pricing Inputs'!$AB$33,'3. GRI Pricing'!$F143&lt;='2. GRI Pricing Inputs'!$AC$33),'2. GRI Pricing Inputs'!$AB$32,IF(AND('3. GRI Pricing'!$F143&gt;='2. GRI Pricing Inputs'!$AD$33,'3. GRI Pricing'!$F143&lt;='2. GRI Pricing Inputs'!$AE$33),'2. GRI Pricing Inputs'!$AD$32,IF(AND('3. GRI Pricing'!$F143&gt;='2. GRI Pricing Inputs'!$AF$33,'3. GRI Pricing'!$F143&lt;='2. GRI Pricing Inputs'!$AG$33),'2. GRI Pricing Inputs'!$AF$32,IF(AND('3. GRI Pricing'!$F143&gt;='2. GRI Pricing Inputs'!$AH$33,'3. GRI Pricing'!$F143&lt;='2. GRI Pricing Inputs'!$AI$33),'2. GRI Pricing Inputs'!$AH$32,0))))))))))))))))</f>
        <v>0</v>
      </c>
      <c r="N143" s="273" cm="1">
        <f t="array" ref="N143">IFERROR(INDEX('2. GRI Pricing Inputs'!$C$32:$AI$39,MATCH('3. GRI Pricing'!D143,'2. GRI Pricing Inputs'!$C$32:$C$39,0),(MATCH('3. GRI Pricing'!M143,'2. GRI Pricing Inputs'!$D$32:$AI$32,0)+1)),0)</f>
        <v>0</v>
      </c>
      <c r="O143" s="273">
        <f>IFERROR(INDEX('2. GRI Pricing Inputs'!$C$45:$AI$46,MATCH($O$16,'2. GRI Pricing Inputs'!$C$45:$C$46,0),MATCH(G143,'2. GRI Pricing Inputs'!$C$45:$AI$45,0)),0)</f>
        <v>40</v>
      </c>
      <c r="P143" s="273">
        <f>IFERROR(INDEX('2. GRI Pricing Inputs'!$C$53:$AI$54,MATCH('3. GRI Pricing'!$P$16,'2. GRI Pricing Inputs'!$C$53:$C$54,0),MATCH('3. GRI Pricing'!H143,'2. GRI Pricing Inputs'!$C$53:$AI$53,0)),0)</f>
        <v>25</v>
      </c>
      <c r="Q143" s="273">
        <f>IFERROR(INDEX('2. GRI Pricing Inputs'!$C$60:$AI$61,MATCH('3. GRI Pricing'!$Q$16,'2. GRI Pricing Inputs'!$C$60:$C$61,0),MATCH('1. Accomodation'!T147,'2. GRI Pricing Inputs'!$C$60:$AI$60,0)),0)</f>
        <v>0</v>
      </c>
      <c r="R143" s="273">
        <f>IFERROR(INDEX('2. GRI Pricing Inputs'!$C$67:$AI$68,MATCH('3. GRI Pricing'!$R$16,'2. GRI Pricing Inputs'!$C$67:$C$68,0),MATCH('1. Accomodation'!U147,'2. GRI Pricing Inputs'!$C$67:$AI$67,0)),0)</f>
        <v>0</v>
      </c>
      <c r="S143" s="273">
        <f>IF(D143=0,0,'2. GRI Pricing Inputs'!$AI$75)</f>
        <v>70</v>
      </c>
      <c r="T143" s="273">
        <f>IFERROR(INDEX('2. GRI Pricing Inputs'!$C$82:$AI$83,MATCH('3. GRI Pricing'!$T$16,'2. GRI Pricing Inputs'!$C$82:$C$83,0),MATCH('1. Accomodation'!V147,'2. GRI Pricing Inputs'!$C$82:$AI$82,0)),0)</f>
        <v>0</v>
      </c>
      <c r="U143" s="273">
        <f>IFERROR(INDEX('2. GRI Pricing Inputs'!$C$89:$AI$90,MATCH('3. GRI Pricing'!$U$16,'2. GRI Pricing Inputs'!$C$89:$C$90,0),MATCH('1. Accomodation'!W147,'2. GRI Pricing Inputs'!$C$89:$AI$89,0)),0)</f>
        <v>0</v>
      </c>
      <c r="V143" s="273">
        <f>IFERROR(INDEX('2. GRI Pricing Inputs'!$C$97:$AI$98,MATCH('3. GRI Pricing'!$V$16,'2. GRI Pricing Inputs'!$C$97:$C$98,0),MATCH('1. Accomodation'!X147,'2. GRI Pricing Inputs'!$C$97:$AI$97,0)),0)</f>
        <v>0</v>
      </c>
      <c r="W143" s="273">
        <f>IFERROR(INDEX('2. GRI Pricing Inputs'!$C$104:$AI$105,MATCH('3. GRI Pricing'!$W$16,'2. GRI Pricing Inputs'!$C$104:$C$105,0),MATCH('1. Accomodation'!Y147,'2. GRI Pricing Inputs'!$C$104:$AI$104,0)),0)</f>
        <v>0</v>
      </c>
      <c r="X143" s="274">
        <v>0</v>
      </c>
      <c r="Y143" s="275">
        <f t="shared" si="8"/>
        <v>980</v>
      </c>
      <c r="Z143" s="276"/>
      <c r="AA143" s="276"/>
      <c r="AB143" s="276"/>
      <c r="AC143" s="272">
        <f>Y143*(1+'2. GRI Pricing Inputs'!$D$114)^(($AC$16-$AB$15)/365)</f>
        <v>983.26989589191021</v>
      </c>
      <c r="AD143" s="273">
        <f>AC143*(1+'2. GRI Pricing Inputs'!$D$114)^((AD$16-AC$16)/365)</f>
        <v>986.44469907917266</v>
      </c>
      <c r="AE143" s="273">
        <f>AD143*(1+'2. GRI Pricing Inputs'!$D$114)^((AE$16-AD$16)/365)</f>
        <v>989.73609853745393</v>
      </c>
      <c r="AF143" s="273">
        <f>AE143*(1+'2. GRI Pricing Inputs'!$D$114)^((AF$16-AE$16)/365)</f>
        <v>993.03848017284463</v>
      </c>
      <c r="AG143" s="273">
        <f>AF143*(1+'2. GRI Pricing Inputs'!$D$114)^((AG$16-AF$16)/365)</f>
        <v>996.13777962844688</v>
      </c>
      <c r="AH143" s="273">
        <f>AG143*(1+'2. GRI Pricing Inputs'!$D$114)^((AH$16-AG$16)/365)</f>
        <v>999.46152129516486</v>
      </c>
      <c r="AI143" s="273">
        <f>AH143*(1+'2. GRI Pricing Inputs'!$D$114)^((AI$16-AH$16)/365)</f>
        <v>1002.6886043540597</v>
      </c>
      <c r="AJ143" s="273">
        <f>AI143*(1+'2. GRI Pricing Inputs'!$D$114)^((AJ$16-AI$16)/365)</f>
        <v>1006.0342036890012</v>
      </c>
      <c r="AK143" s="273">
        <f>AJ143*(1+'2. GRI Pricing Inputs'!$D$114)^((AK$16-AJ$16)/365)</f>
        <v>1009.2825087675063</v>
      </c>
      <c r="AL143" s="273">
        <f>AK143*(1+'2. GRI Pricing Inputs'!$D$114)^((AL$16-AK$16)/365)</f>
        <v>1012.6501095115837</v>
      </c>
      <c r="AM143" s="273">
        <f>AL143*(1+'2. GRI Pricing Inputs'!$D$114)^((AM$16-AL$16)/365)</f>
        <v>1016.0289466881494</v>
      </c>
      <c r="AN143" s="273">
        <f>AM143*(1+'2. GRI Pricing Inputs'!$D$114)^((AN$16-AM$16)/365)</f>
        <v>1019.3095230098423</v>
      </c>
      <c r="AO143" s="273">
        <f>AN143*(1+'2. GRI Pricing Inputs'!$D$114)^((AO$16-AN$16)/365)</f>
        <v>1022.7105801750208</v>
      </c>
    </row>
    <row r="144" spans="3:41" ht="12" x14ac:dyDescent="0.2">
      <c r="C144" s="76" t="str">
        <f>'1. Accomodation'!N148</f>
        <v>207S</v>
      </c>
      <c r="D144" s="69" t="str">
        <f>'1. Accomodation'!P148</f>
        <v>2 Bed</v>
      </c>
      <c r="E144" s="69">
        <f>'1. Accomodation'!Q148</f>
        <v>2</v>
      </c>
      <c r="F144" s="77">
        <f>'1. Accomodation'!O148</f>
        <v>624</v>
      </c>
      <c r="G144" s="69">
        <f>'1. Accomodation'!R148</f>
        <v>2</v>
      </c>
      <c r="H144" s="69" t="str">
        <f>'1. Accomodation'!S148</f>
        <v>Courtyard</v>
      </c>
      <c r="I144" s="62"/>
      <c r="K144" s="272">
        <f>IFERROR(INDEX('2. GRI Pricing Inputs'!$C$15:$AI$16,MATCH($K$16,'2. GRI Pricing Inputs'!$C$15:$C$16,0),MATCH(D144,'2. GRI Pricing Inputs'!$C$15:$AI$15,0)),0)</f>
        <v>1110</v>
      </c>
      <c r="L144" s="273">
        <f>IFERROR(INDEX('2. GRI Pricing Inputs'!$C$22:$AI$23,MATCH($L$16,'2. GRI Pricing Inputs'!$C$22:$C$23,0),MATCH(E144,'2. GRI Pricing Inputs'!$C$22:$AI$22,0)),0)</f>
        <v>0</v>
      </c>
      <c r="M144" s="328">
        <f>IF(AND('3. GRI Pricing'!$F144&gt;='2. GRI Pricing Inputs'!$D$33,'3. GRI Pricing'!$F144&lt;='2. GRI Pricing Inputs'!$E$33),'2. GRI Pricing Inputs'!$D$32,IF(AND('3. GRI Pricing'!$F144&gt;='2. GRI Pricing Inputs'!$F$33,'3. GRI Pricing'!$F144&lt;='2. GRI Pricing Inputs'!$G$33),'2. GRI Pricing Inputs'!$F$32,IF(AND('3. GRI Pricing'!$F144&gt;='2. GRI Pricing Inputs'!$H$33,'3. GRI Pricing'!$F144&lt;='2. GRI Pricing Inputs'!$I$33),'2. GRI Pricing Inputs'!$H$32,IF(AND('3. GRI Pricing'!$F144&gt;='2. GRI Pricing Inputs'!$J$33,'3. GRI Pricing'!$F144&lt;='2. GRI Pricing Inputs'!$K$33),'2. GRI Pricing Inputs'!$J$32,IF(AND('3. GRI Pricing'!$F144&gt;='2. GRI Pricing Inputs'!$L$33,'3. GRI Pricing'!$F144&lt;='2. GRI Pricing Inputs'!$M$33),'2. GRI Pricing Inputs'!$L$32,IF(AND('3. GRI Pricing'!$F144&gt;='2. GRI Pricing Inputs'!$N$33,'3. GRI Pricing'!$F144&lt;='2. GRI Pricing Inputs'!$O$33),'2. GRI Pricing Inputs'!$N$32,IF(AND('3. GRI Pricing'!$F144&gt;='2. GRI Pricing Inputs'!$P$33,'3. GRI Pricing'!$F144&lt;='2. GRI Pricing Inputs'!$Q$33),'2. GRI Pricing Inputs'!$P$32,IF(AND('3. GRI Pricing'!$F144&gt;='2. GRI Pricing Inputs'!$R$33,'3. GRI Pricing'!$F144&lt;='2. GRI Pricing Inputs'!$S$33),'2. GRI Pricing Inputs'!$R$32,IF(AND('3. GRI Pricing'!$F144&gt;='2. GRI Pricing Inputs'!$T$33,'3. GRI Pricing'!$F144&lt;='2. GRI Pricing Inputs'!$U$33),'2. GRI Pricing Inputs'!$T$32,IF(AND('3. GRI Pricing'!$F144&gt;='2. GRI Pricing Inputs'!$V$33,'3. GRI Pricing'!$F144&lt;='2. GRI Pricing Inputs'!$W$33),'2. GRI Pricing Inputs'!$V$32,IF(AND('3. GRI Pricing'!$F144&gt;='2. GRI Pricing Inputs'!$X$33,'3. GRI Pricing'!$F144&lt;='2. GRI Pricing Inputs'!$Y$33),'2. GRI Pricing Inputs'!$X$32,IF(AND('3. GRI Pricing'!$F144&gt;='2. GRI Pricing Inputs'!$Z$33,'3. GRI Pricing'!$F144&lt;='2. GRI Pricing Inputs'!$AA$33),'2. GRI Pricing Inputs'!$Z$32,IF(AND('3. GRI Pricing'!$F144&gt;='2. GRI Pricing Inputs'!$AB$33,'3. GRI Pricing'!$F144&lt;='2. GRI Pricing Inputs'!$AC$33),'2. GRI Pricing Inputs'!$AB$32,IF(AND('3. GRI Pricing'!$F144&gt;='2. GRI Pricing Inputs'!$AD$33,'3. GRI Pricing'!$F144&lt;='2. GRI Pricing Inputs'!$AE$33),'2. GRI Pricing Inputs'!$AD$32,IF(AND('3. GRI Pricing'!$F144&gt;='2. GRI Pricing Inputs'!$AF$33,'3. GRI Pricing'!$F144&lt;='2. GRI Pricing Inputs'!$AG$33),'2. GRI Pricing Inputs'!$AF$32,IF(AND('3. GRI Pricing'!$F144&gt;='2. GRI Pricing Inputs'!$AH$33,'3. GRI Pricing'!$F144&lt;='2. GRI Pricing Inputs'!$AI$33),'2. GRI Pricing Inputs'!$AH$32,0))))))))))))))))</f>
        <v>7</v>
      </c>
      <c r="N144" s="273" cm="1">
        <f t="array" ref="N144">IFERROR(INDEX('2. GRI Pricing Inputs'!$C$32:$AI$39,MATCH('3. GRI Pricing'!D144,'2. GRI Pricing Inputs'!$C$32:$C$39,0),(MATCH('3. GRI Pricing'!M144,'2. GRI Pricing Inputs'!$D$32:$AI$32,0)+1)),0)</f>
        <v>10</v>
      </c>
      <c r="O144" s="273">
        <f>IFERROR(INDEX('2. GRI Pricing Inputs'!$C$45:$AI$46,MATCH($O$16,'2. GRI Pricing Inputs'!$C$45:$C$46,0),MATCH(G144,'2. GRI Pricing Inputs'!$C$45:$AI$45,0)),0)</f>
        <v>40</v>
      </c>
      <c r="P144" s="273">
        <f>IFERROR(INDEX('2. GRI Pricing Inputs'!$C$53:$AI$54,MATCH('3. GRI Pricing'!$P$16,'2. GRI Pricing Inputs'!$C$53:$C$54,0),MATCH('3. GRI Pricing'!H144,'2. GRI Pricing Inputs'!$C$53:$AI$53,0)),0)</f>
        <v>25</v>
      </c>
      <c r="Q144" s="273">
        <f>IFERROR(INDEX('2. GRI Pricing Inputs'!$C$60:$AI$61,MATCH('3. GRI Pricing'!$Q$16,'2. GRI Pricing Inputs'!$C$60:$C$61,0),MATCH('1. Accomodation'!T148,'2. GRI Pricing Inputs'!$C$60:$AI$60,0)),0)</f>
        <v>0</v>
      </c>
      <c r="R144" s="273">
        <f>IFERROR(INDEX('2. GRI Pricing Inputs'!$C$67:$AI$68,MATCH('3. GRI Pricing'!$R$16,'2. GRI Pricing Inputs'!$C$67:$C$68,0),MATCH('1. Accomodation'!U148,'2. GRI Pricing Inputs'!$C$67:$AI$67,0)),0)</f>
        <v>0</v>
      </c>
      <c r="S144" s="273">
        <f>IF(D144=0,0,'2. GRI Pricing Inputs'!$AI$75)</f>
        <v>70</v>
      </c>
      <c r="T144" s="273">
        <f>IFERROR(INDEX('2. GRI Pricing Inputs'!$C$82:$AI$83,MATCH('3. GRI Pricing'!$T$16,'2. GRI Pricing Inputs'!$C$82:$C$83,0),MATCH('1. Accomodation'!V148,'2. GRI Pricing Inputs'!$C$82:$AI$82,0)),0)</f>
        <v>0</v>
      </c>
      <c r="U144" s="273">
        <f>IFERROR(INDEX('2. GRI Pricing Inputs'!$C$89:$AI$90,MATCH('3. GRI Pricing'!$U$16,'2. GRI Pricing Inputs'!$C$89:$C$90,0),MATCH('1. Accomodation'!W148,'2. GRI Pricing Inputs'!$C$89:$AI$89,0)),0)</f>
        <v>0</v>
      </c>
      <c r="V144" s="273">
        <f>IFERROR(INDEX('2. GRI Pricing Inputs'!$C$97:$AI$98,MATCH('3. GRI Pricing'!$V$16,'2. GRI Pricing Inputs'!$C$97:$C$98,0),MATCH('1. Accomodation'!X148,'2. GRI Pricing Inputs'!$C$97:$AI$97,0)),0)</f>
        <v>0</v>
      </c>
      <c r="W144" s="273">
        <f>IFERROR(INDEX('2. GRI Pricing Inputs'!$C$104:$AI$105,MATCH('3. GRI Pricing'!$W$16,'2. GRI Pricing Inputs'!$C$104:$C$105,0),MATCH('1. Accomodation'!Y148,'2. GRI Pricing Inputs'!$C$104:$AI$104,0)),0)</f>
        <v>0</v>
      </c>
      <c r="X144" s="274">
        <v>0</v>
      </c>
      <c r="Y144" s="275">
        <f t="shared" si="8"/>
        <v>1255</v>
      </c>
      <c r="Z144" s="276"/>
      <c r="AA144" s="276"/>
      <c r="AB144" s="276"/>
      <c r="AC144" s="272">
        <f>Y144*(1+'2. GRI Pricing Inputs'!$D$114)^(($AC$16-$AB$15)/365)</f>
        <v>1259.1874687187219</v>
      </c>
      <c r="AD144" s="273">
        <f>AC144*(1+'2. GRI Pricing Inputs'!$D$114)^((AD$16-AC$16)/365)</f>
        <v>1263.2531605554714</v>
      </c>
      <c r="AE144" s="273">
        <f>AD144*(1+'2. GRI Pricing Inputs'!$D$114)^((AE$16-AD$16)/365)</f>
        <v>1267.4681670045968</v>
      </c>
      <c r="AF144" s="273">
        <f>AE144*(1+'2. GRI Pricing Inputs'!$D$114)^((AF$16-AE$16)/365)</f>
        <v>1271.6972373642043</v>
      </c>
      <c r="AG144" s="273">
        <f>AF144*(1+'2. GRI Pricing Inputs'!$D$114)^((AG$16-AF$16)/365)</f>
        <v>1275.6662381976541</v>
      </c>
      <c r="AH144" s="273">
        <f>AG144*(1+'2. GRI Pricing Inputs'!$D$114)^((AH$16-AG$16)/365)</f>
        <v>1279.9226624749308</v>
      </c>
      <c r="AI144" s="273">
        <f>AH144*(1+'2. GRI Pricing Inputs'!$D$114)^((AI$16-AH$16)/365)</f>
        <v>1284.0553045554543</v>
      </c>
      <c r="AJ144" s="273">
        <f>AI144*(1+'2. GRI Pricing Inputs'!$D$114)^((AJ$16-AI$16)/365)</f>
        <v>1288.3397200303027</v>
      </c>
      <c r="AK144" s="273">
        <f>AJ144*(1+'2. GRI Pricing Inputs'!$D$114)^((AK$16-AJ$16)/365)</f>
        <v>1292.4995392890007</v>
      </c>
      <c r="AL144" s="273">
        <f>AK144*(1+'2. GRI Pricing Inputs'!$D$114)^((AL$16-AK$16)/365)</f>
        <v>1296.8121300377936</v>
      </c>
      <c r="AM144" s="273">
        <f>AL144*(1+'2. GRI Pricing Inputs'!$D$114)^((AM$16-AL$16)/365)</f>
        <v>1301.1391102996201</v>
      </c>
      <c r="AN144" s="273">
        <f>AM144*(1+'2. GRI Pricing Inputs'!$D$114)^((AN$16-AM$16)/365)</f>
        <v>1305.3402565075025</v>
      </c>
      <c r="AO144" s="273">
        <f>AN144*(1+'2. GRI Pricing Inputs'!$D$114)^((AO$16-AN$16)/365)</f>
        <v>1309.6956919588281</v>
      </c>
    </row>
    <row r="145" spans="3:41" ht="12" x14ac:dyDescent="0.2">
      <c r="C145" s="76" t="str">
        <f>'1. Accomodation'!N149</f>
        <v>301S</v>
      </c>
      <c r="D145" s="69" t="str">
        <f>'1. Accomodation'!P149</f>
        <v>2 Bed</v>
      </c>
      <c r="E145" s="69">
        <f>'1. Accomodation'!Q149</f>
        <v>2</v>
      </c>
      <c r="F145" s="77">
        <f>'1. Accomodation'!O149</f>
        <v>624</v>
      </c>
      <c r="G145" s="69">
        <f>'1. Accomodation'!R149</f>
        <v>3</v>
      </c>
      <c r="H145" s="69" t="str">
        <f>'1. Accomodation'!S149</f>
        <v>River- Trees</v>
      </c>
      <c r="I145" s="62"/>
      <c r="K145" s="272">
        <f>IFERROR(INDEX('2. GRI Pricing Inputs'!$C$15:$AI$16,MATCH($K$16,'2. GRI Pricing Inputs'!$C$15:$C$16,0),MATCH(D145,'2. GRI Pricing Inputs'!$C$15:$AI$15,0)),0)</f>
        <v>1110</v>
      </c>
      <c r="L145" s="273">
        <f>IFERROR(INDEX('2. GRI Pricing Inputs'!$C$22:$AI$23,MATCH($L$16,'2. GRI Pricing Inputs'!$C$22:$C$23,0),MATCH(E145,'2. GRI Pricing Inputs'!$C$22:$AI$22,0)),0)</f>
        <v>0</v>
      </c>
      <c r="M145" s="328">
        <f>IF(AND('3. GRI Pricing'!$F145&gt;='2. GRI Pricing Inputs'!$D$33,'3. GRI Pricing'!$F145&lt;='2. GRI Pricing Inputs'!$E$33),'2. GRI Pricing Inputs'!$D$32,IF(AND('3. GRI Pricing'!$F145&gt;='2. GRI Pricing Inputs'!$F$33,'3. GRI Pricing'!$F145&lt;='2. GRI Pricing Inputs'!$G$33),'2. GRI Pricing Inputs'!$F$32,IF(AND('3. GRI Pricing'!$F145&gt;='2. GRI Pricing Inputs'!$H$33,'3. GRI Pricing'!$F145&lt;='2. GRI Pricing Inputs'!$I$33),'2. GRI Pricing Inputs'!$H$32,IF(AND('3. GRI Pricing'!$F145&gt;='2. GRI Pricing Inputs'!$J$33,'3. GRI Pricing'!$F145&lt;='2. GRI Pricing Inputs'!$K$33),'2. GRI Pricing Inputs'!$J$32,IF(AND('3. GRI Pricing'!$F145&gt;='2. GRI Pricing Inputs'!$L$33,'3. GRI Pricing'!$F145&lt;='2. GRI Pricing Inputs'!$M$33),'2. GRI Pricing Inputs'!$L$32,IF(AND('3. GRI Pricing'!$F145&gt;='2. GRI Pricing Inputs'!$N$33,'3. GRI Pricing'!$F145&lt;='2. GRI Pricing Inputs'!$O$33),'2. GRI Pricing Inputs'!$N$32,IF(AND('3. GRI Pricing'!$F145&gt;='2. GRI Pricing Inputs'!$P$33,'3. GRI Pricing'!$F145&lt;='2. GRI Pricing Inputs'!$Q$33),'2. GRI Pricing Inputs'!$P$32,IF(AND('3. GRI Pricing'!$F145&gt;='2. GRI Pricing Inputs'!$R$33,'3. GRI Pricing'!$F145&lt;='2. GRI Pricing Inputs'!$S$33),'2. GRI Pricing Inputs'!$R$32,IF(AND('3. GRI Pricing'!$F145&gt;='2. GRI Pricing Inputs'!$T$33,'3. GRI Pricing'!$F145&lt;='2. GRI Pricing Inputs'!$U$33),'2. GRI Pricing Inputs'!$T$32,IF(AND('3. GRI Pricing'!$F145&gt;='2. GRI Pricing Inputs'!$V$33,'3. GRI Pricing'!$F145&lt;='2. GRI Pricing Inputs'!$W$33),'2. GRI Pricing Inputs'!$V$32,IF(AND('3. GRI Pricing'!$F145&gt;='2. GRI Pricing Inputs'!$X$33,'3. GRI Pricing'!$F145&lt;='2. GRI Pricing Inputs'!$Y$33),'2. GRI Pricing Inputs'!$X$32,IF(AND('3. GRI Pricing'!$F145&gt;='2. GRI Pricing Inputs'!$Z$33,'3. GRI Pricing'!$F145&lt;='2. GRI Pricing Inputs'!$AA$33),'2. GRI Pricing Inputs'!$Z$32,IF(AND('3. GRI Pricing'!$F145&gt;='2. GRI Pricing Inputs'!$AB$33,'3. GRI Pricing'!$F145&lt;='2. GRI Pricing Inputs'!$AC$33),'2. GRI Pricing Inputs'!$AB$32,IF(AND('3. GRI Pricing'!$F145&gt;='2. GRI Pricing Inputs'!$AD$33,'3. GRI Pricing'!$F145&lt;='2. GRI Pricing Inputs'!$AE$33),'2. GRI Pricing Inputs'!$AD$32,IF(AND('3. GRI Pricing'!$F145&gt;='2. GRI Pricing Inputs'!$AF$33,'3. GRI Pricing'!$F145&lt;='2. GRI Pricing Inputs'!$AG$33),'2. GRI Pricing Inputs'!$AF$32,IF(AND('3. GRI Pricing'!$F145&gt;='2. GRI Pricing Inputs'!$AH$33,'3. GRI Pricing'!$F145&lt;='2. GRI Pricing Inputs'!$AI$33),'2. GRI Pricing Inputs'!$AH$32,0))))))))))))))))</f>
        <v>7</v>
      </c>
      <c r="N145" s="273" cm="1">
        <f t="array" ref="N145">IFERROR(INDEX('2. GRI Pricing Inputs'!$C$32:$AI$39,MATCH('3. GRI Pricing'!D145,'2. GRI Pricing Inputs'!$C$32:$C$39,0),(MATCH('3. GRI Pricing'!M145,'2. GRI Pricing Inputs'!$D$32:$AI$32,0)+1)),0)</f>
        <v>10</v>
      </c>
      <c r="O145" s="273">
        <f>IFERROR(INDEX('2. GRI Pricing Inputs'!$C$45:$AI$46,MATCH($O$16,'2. GRI Pricing Inputs'!$C$45:$C$46,0),MATCH(G145,'2. GRI Pricing Inputs'!$C$45:$AI$45,0)),0)</f>
        <v>50</v>
      </c>
      <c r="P145" s="273">
        <f>IFERROR(INDEX('2. GRI Pricing Inputs'!$C$53:$AI$54,MATCH('3. GRI Pricing'!$P$16,'2. GRI Pricing Inputs'!$C$53:$C$54,0),MATCH('3. GRI Pricing'!H145,'2. GRI Pricing Inputs'!$C$53:$AI$53,0)),0)</f>
        <v>30</v>
      </c>
      <c r="Q145" s="273">
        <f>IFERROR(INDEX('2. GRI Pricing Inputs'!$C$60:$AI$61,MATCH('3. GRI Pricing'!$Q$16,'2. GRI Pricing Inputs'!$C$60:$C$61,0),MATCH('1. Accomodation'!T149,'2. GRI Pricing Inputs'!$C$60:$AI$60,0)),0)</f>
        <v>0</v>
      </c>
      <c r="R145" s="273">
        <f>IFERROR(INDEX('2. GRI Pricing Inputs'!$C$67:$AI$68,MATCH('3. GRI Pricing'!$R$16,'2. GRI Pricing Inputs'!$C$67:$C$68,0),MATCH('1. Accomodation'!U149,'2. GRI Pricing Inputs'!$C$67:$AI$67,0)),0)</f>
        <v>40</v>
      </c>
      <c r="S145" s="273">
        <f>IF(D145=0,0,'2. GRI Pricing Inputs'!$AI$75)</f>
        <v>70</v>
      </c>
      <c r="T145" s="273">
        <f>IFERROR(INDEX('2. GRI Pricing Inputs'!$C$82:$AI$83,MATCH('3. GRI Pricing'!$T$16,'2. GRI Pricing Inputs'!$C$82:$C$83,0),MATCH('1. Accomodation'!V149,'2. GRI Pricing Inputs'!$C$82:$AI$82,0)),0)</f>
        <v>0</v>
      </c>
      <c r="U145" s="273">
        <f>IFERROR(INDEX('2. GRI Pricing Inputs'!$C$89:$AI$90,MATCH('3. GRI Pricing'!$U$16,'2. GRI Pricing Inputs'!$C$89:$C$90,0),MATCH('1. Accomodation'!W149,'2. GRI Pricing Inputs'!$C$89:$AI$89,0)),0)</f>
        <v>0</v>
      </c>
      <c r="V145" s="273">
        <f>IFERROR(INDEX('2. GRI Pricing Inputs'!$C$97:$AI$98,MATCH('3. GRI Pricing'!$V$16,'2. GRI Pricing Inputs'!$C$97:$C$98,0),MATCH('1. Accomodation'!X149,'2. GRI Pricing Inputs'!$C$97:$AI$97,0)),0)</f>
        <v>0</v>
      </c>
      <c r="W145" s="273">
        <f>IFERROR(INDEX('2. GRI Pricing Inputs'!$C$104:$AI$105,MATCH('3. GRI Pricing'!$W$16,'2. GRI Pricing Inputs'!$C$104:$C$105,0),MATCH('1. Accomodation'!Y149,'2. GRI Pricing Inputs'!$C$104:$AI$104,0)),0)</f>
        <v>0</v>
      </c>
      <c r="X145" s="274">
        <v>0</v>
      </c>
      <c r="Y145" s="275">
        <f t="shared" si="8"/>
        <v>1310</v>
      </c>
      <c r="Z145" s="276"/>
      <c r="AA145" s="276"/>
      <c r="AB145" s="276"/>
      <c r="AC145" s="272">
        <f>Y145*(1+'2. GRI Pricing Inputs'!$D$114)^(($AC$16-$AB$15)/365)</f>
        <v>1314.3709832840841</v>
      </c>
      <c r="AD145" s="273">
        <f>AC145*(1+'2. GRI Pricing Inputs'!$D$114)^((AD$16-AC$16)/365)</f>
        <v>1318.614852850731</v>
      </c>
      <c r="AE145" s="273">
        <f>AD145*(1+'2. GRI Pricing Inputs'!$D$114)^((AE$16-AD$16)/365)</f>
        <v>1323.0145806980254</v>
      </c>
      <c r="AF145" s="273">
        <f>AE145*(1+'2. GRI Pricing Inputs'!$D$114)^((AF$16-AE$16)/365)</f>
        <v>1327.4289888024762</v>
      </c>
      <c r="AG145" s="273">
        <f>AF145*(1+'2. GRI Pricing Inputs'!$D$114)^((AG$16-AF$16)/365)</f>
        <v>1331.5719299114955</v>
      </c>
      <c r="AH145" s="273">
        <f>AG145*(1+'2. GRI Pricing Inputs'!$D$114)^((AH$16-AG$16)/365)</f>
        <v>1336.0148907108839</v>
      </c>
      <c r="AI145" s="273">
        <f>AH145*(1+'2. GRI Pricing Inputs'!$D$114)^((AI$16-AH$16)/365)</f>
        <v>1340.3286445957333</v>
      </c>
      <c r="AJ145" s="273">
        <f>AI145*(1+'2. GRI Pricing Inputs'!$D$114)^((AJ$16-AI$16)/365)</f>
        <v>1344.800823298563</v>
      </c>
      <c r="AK145" s="273">
        <f>AJ145*(1+'2. GRI Pricing Inputs'!$D$114)^((AK$16-AJ$16)/365)</f>
        <v>1349.1429453932994</v>
      </c>
      <c r="AL145" s="273">
        <f>AK145*(1+'2. GRI Pricing Inputs'!$D$114)^((AL$16-AK$16)/365)</f>
        <v>1353.6445341430353</v>
      </c>
      <c r="AM145" s="273">
        <f>AL145*(1+'2. GRI Pricing Inputs'!$D$114)^((AM$16-AL$16)/365)</f>
        <v>1358.1611430219141</v>
      </c>
      <c r="AN145" s="273">
        <f>AM145*(1+'2. GRI Pricing Inputs'!$D$114)^((AN$16-AM$16)/365)</f>
        <v>1362.5464032070342</v>
      </c>
      <c r="AO145" s="273">
        <f>AN145*(1+'2. GRI Pricing Inputs'!$D$114)^((AO$16-AN$16)/365)</f>
        <v>1367.0927143155891</v>
      </c>
    </row>
    <row r="146" spans="3:41" ht="12" x14ac:dyDescent="0.2">
      <c r="C146" s="76" t="str">
        <f>'1. Accomodation'!N150</f>
        <v>302S</v>
      </c>
      <c r="D146" s="69" t="str">
        <f>'1. Accomodation'!P150</f>
        <v>2 Bed</v>
      </c>
      <c r="E146" s="69">
        <f>'1. Accomodation'!Q150</f>
        <v>2</v>
      </c>
      <c r="F146" s="77">
        <f>'1. Accomodation'!O150</f>
        <v>603</v>
      </c>
      <c r="G146" s="69">
        <f>'1. Accomodation'!R150</f>
        <v>3</v>
      </c>
      <c r="H146" s="69" t="str">
        <f>'1. Accomodation'!S150</f>
        <v>River- Trees</v>
      </c>
      <c r="I146" s="62"/>
      <c r="K146" s="272">
        <f>IFERROR(INDEX('2. GRI Pricing Inputs'!$C$15:$AI$16,MATCH($K$16,'2. GRI Pricing Inputs'!$C$15:$C$16,0),MATCH(D146,'2. GRI Pricing Inputs'!$C$15:$AI$15,0)),0)</f>
        <v>1110</v>
      </c>
      <c r="L146" s="273">
        <f>IFERROR(INDEX('2. GRI Pricing Inputs'!$C$22:$AI$23,MATCH($L$16,'2. GRI Pricing Inputs'!$C$22:$C$23,0),MATCH(E146,'2. GRI Pricing Inputs'!$C$22:$AI$22,0)),0)</f>
        <v>0</v>
      </c>
      <c r="M146" s="328">
        <f>IF(AND('3. GRI Pricing'!$F146&gt;='2. GRI Pricing Inputs'!$D$33,'3. GRI Pricing'!$F146&lt;='2. GRI Pricing Inputs'!$E$33),'2. GRI Pricing Inputs'!$D$32,IF(AND('3. GRI Pricing'!$F146&gt;='2. GRI Pricing Inputs'!$F$33,'3. GRI Pricing'!$F146&lt;='2. GRI Pricing Inputs'!$G$33),'2. GRI Pricing Inputs'!$F$32,IF(AND('3. GRI Pricing'!$F146&gt;='2. GRI Pricing Inputs'!$H$33,'3. GRI Pricing'!$F146&lt;='2. GRI Pricing Inputs'!$I$33),'2. GRI Pricing Inputs'!$H$32,IF(AND('3. GRI Pricing'!$F146&gt;='2. GRI Pricing Inputs'!$J$33,'3. GRI Pricing'!$F146&lt;='2. GRI Pricing Inputs'!$K$33),'2. GRI Pricing Inputs'!$J$32,IF(AND('3. GRI Pricing'!$F146&gt;='2. GRI Pricing Inputs'!$L$33,'3. GRI Pricing'!$F146&lt;='2. GRI Pricing Inputs'!$M$33),'2. GRI Pricing Inputs'!$L$32,IF(AND('3. GRI Pricing'!$F146&gt;='2. GRI Pricing Inputs'!$N$33,'3. GRI Pricing'!$F146&lt;='2. GRI Pricing Inputs'!$O$33),'2. GRI Pricing Inputs'!$N$32,IF(AND('3. GRI Pricing'!$F146&gt;='2. GRI Pricing Inputs'!$P$33,'3. GRI Pricing'!$F146&lt;='2. GRI Pricing Inputs'!$Q$33),'2. GRI Pricing Inputs'!$P$32,IF(AND('3. GRI Pricing'!$F146&gt;='2. GRI Pricing Inputs'!$R$33,'3. GRI Pricing'!$F146&lt;='2. GRI Pricing Inputs'!$S$33),'2. GRI Pricing Inputs'!$R$32,IF(AND('3. GRI Pricing'!$F146&gt;='2. GRI Pricing Inputs'!$T$33,'3. GRI Pricing'!$F146&lt;='2. GRI Pricing Inputs'!$U$33),'2. GRI Pricing Inputs'!$T$32,IF(AND('3. GRI Pricing'!$F146&gt;='2. GRI Pricing Inputs'!$V$33,'3. GRI Pricing'!$F146&lt;='2. GRI Pricing Inputs'!$W$33),'2. GRI Pricing Inputs'!$V$32,IF(AND('3. GRI Pricing'!$F146&gt;='2. GRI Pricing Inputs'!$X$33,'3. GRI Pricing'!$F146&lt;='2. GRI Pricing Inputs'!$Y$33),'2. GRI Pricing Inputs'!$X$32,IF(AND('3. GRI Pricing'!$F146&gt;='2. GRI Pricing Inputs'!$Z$33,'3. GRI Pricing'!$F146&lt;='2. GRI Pricing Inputs'!$AA$33),'2. GRI Pricing Inputs'!$Z$32,IF(AND('3. GRI Pricing'!$F146&gt;='2. GRI Pricing Inputs'!$AB$33,'3. GRI Pricing'!$F146&lt;='2. GRI Pricing Inputs'!$AC$33),'2. GRI Pricing Inputs'!$AB$32,IF(AND('3. GRI Pricing'!$F146&gt;='2. GRI Pricing Inputs'!$AD$33,'3. GRI Pricing'!$F146&lt;='2. GRI Pricing Inputs'!$AE$33),'2. GRI Pricing Inputs'!$AD$32,IF(AND('3. GRI Pricing'!$F146&gt;='2. GRI Pricing Inputs'!$AF$33,'3. GRI Pricing'!$F146&lt;='2. GRI Pricing Inputs'!$AG$33),'2. GRI Pricing Inputs'!$AF$32,IF(AND('3. GRI Pricing'!$F146&gt;='2. GRI Pricing Inputs'!$AH$33,'3. GRI Pricing'!$F146&lt;='2. GRI Pricing Inputs'!$AI$33),'2. GRI Pricing Inputs'!$AH$32,0))))))))))))))))</f>
        <v>6</v>
      </c>
      <c r="N146" s="273" cm="1">
        <f t="array" ref="N146">IFERROR(INDEX('2. GRI Pricing Inputs'!$C$32:$AI$39,MATCH('3. GRI Pricing'!D146,'2. GRI Pricing Inputs'!$C$32:$C$39,0),(MATCH('3. GRI Pricing'!M146,'2. GRI Pricing Inputs'!$D$32:$AI$32,0)+1)),0)</f>
        <v>5</v>
      </c>
      <c r="O146" s="273">
        <f>IFERROR(INDEX('2. GRI Pricing Inputs'!$C$45:$AI$46,MATCH($O$16,'2. GRI Pricing Inputs'!$C$45:$C$46,0),MATCH(G146,'2. GRI Pricing Inputs'!$C$45:$AI$45,0)),0)</f>
        <v>50</v>
      </c>
      <c r="P146" s="273">
        <f>IFERROR(INDEX('2. GRI Pricing Inputs'!$C$53:$AI$54,MATCH('3. GRI Pricing'!$P$16,'2. GRI Pricing Inputs'!$C$53:$C$54,0),MATCH('3. GRI Pricing'!H146,'2. GRI Pricing Inputs'!$C$53:$AI$53,0)),0)</f>
        <v>30</v>
      </c>
      <c r="Q146" s="273">
        <f>IFERROR(INDEX('2. GRI Pricing Inputs'!$C$60:$AI$61,MATCH('3. GRI Pricing'!$Q$16,'2. GRI Pricing Inputs'!$C$60:$C$61,0),MATCH('1. Accomodation'!T150,'2. GRI Pricing Inputs'!$C$60:$AI$60,0)),0)</f>
        <v>0</v>
      </c>
      <c r="R146" s="273">
        <f>IFERROR(INDEX('2. GRI Pricing Inputs'!$C$67:$AI$68,MATCH('3. GRI Pricing'!$R$16,'2. GRI Pricing Inputs'!$C$67:$C$68,0),MATCH('1. Accomodation'!U150,'2. GRI Pricing Inputs'!$C$67:$AI$67,0)),0)</f>
        <v>40</v>
      </c>
      <c r="S146" s="273">
        <f>IF(D146=0,0,'2. GRI Pricing Inputs'!$AI$75)</f>
        <v>70</v>
      </c>
      <c r="T146" s="273">
        <f>IFERROR(INDEX('2. GRI Pricing Inputs'!$C$82:$AI$83,MATCH('3. GRI Pricing'!$T$16,'2. GRI Pricing Inputs'!$C$82:$C$83,0),MATCH('1. Accomodation'!V150,'2. GRI Pricing Inputs'!$C$82:$AI$82,0)),0)</f>
        <v>0</v>
      </c>
      <c r="U146" s="273">
        <f>IFERROR(INDEX('2. GRI Pricing Inputs'!$C$89:$AI$90,MATCH('3. GRI Pricing'!$U$16,'2. GRI Pricing Inputs'!$C$89:$C$90,0),MATCH('1. Accomodation'!W150,'2. GRI Pricing Inputs'!$C$89:$AI$89,0)),0)</f>
        <v>0</v>
      </c>
      <c r="V146" s="273">
        <f>IFERROR(INDEX('2. GRI Pricing Inputs'!$C$97:$AI$98,MATCH('3. GRI Pricing'!$V$16,'2. GRI Pricing Inputs'!$C$97:$C$98,0),MATCH('1. Accomodation'!X150,'2. GRI Pricing Inputs'!$C$97:$AI$97,0)),0)</f>
        <v>0</v>
      </c>
      <c r="W146" s="273">
        <f>IFERROR(INDEX('2. GRI Pricing Inputs'!$C$104:$AI$105,MATCH('3. GRI Pricing'!$W$16,'2. GRI Pricing Inputs'!$C$104:$C$105,0),MATCH('1. Accomodation'!Y150,'2. GRI Pricing Inputs'!$C$104:$AI$104,0)),0)</f>
        <v>0</v>
      </c>
      <c r="X146" s="274">
        <v>0</v>
      </c>
      <c r="Y146" s="275">
        <f t="shared" ref="Y146:Y209" si="9">K146+L146+N146+O146+P146+Q146+R146+S146+T146+U146+V146+W146+X146</f>
        <v>1305</v>
      </c>
      <c r="Z146" s="276"/>
      <c r="AA146" s="276"/>
      <c r="AB146" s="276"/>
      <c r="AC146" s="272">
        <f>Y146*(1+'2. GRI Pricing Inputs'!$D$114)^(($AC$16-$AB$15)/365)</f>
        <v>1309.3543001417784</v>
      </c>
      <c r="AD146" s="273">
        <f>AC146*(1+'2. GRI Pricing Inputs'!$D$114)^((AD$16-AC$16)/365)</f>
        <v>1313.58197173298</v>
      </c>
      <c r="AE146" s="273">
        <f>AD146*(1+'2. GRI Pricing Inputs'!$D$114)^((AE$16-AD$16)/365)</f>
        <v>1317.9649067258954</v>
      </c>
      <c r="AF146" s="273">
        <f>AE146*(1+'2. GRI Pricing Inputs'!$D$114)^((AF$16-AE$16)/365)</f>
        <v>1322.3624659444515</v>
      </c>
      <c r="AG146" s="273">
        <f>AF146*(1+'2. GRI Pricing Inputs'!$D$114)^((AG$16-AF$16)/365)</f>
        <v>1326.4895943011463</v>
      </c>
      <c r="AH146" s="273">
        <f>AG146*(1+'2. GRI Pricing Inputs'!$D$114)^((AH$16-AG$16)/365)</f>
        <v>1330.9155972348881</v>
      </c>
      <c r="AI146" s="273">
        <f>AH146*(1+'2. GRI Pricing Inputs'!$D$114)^((AI$16-AH$16)/365)</f>
        <v>1335.2128864102533</v>
      </c>
      <c r="AJ146" s="273">
        <f>AI146*(1+'2. GRI Pricing Inputs'!$D$114)^((AJ$16-AI$16)/365)</f>
        <v>1339.6679957287213</v>
      </c>
      <c r="AK146" s="273">
        <f>AJ146*(1+'2. GRI Pricing Inputs'!$D$114)^((AK$16-AJ$16)/365)</f>
        <v>1343.9935448383633</v>
      </c>
      <c r="AL146" s="273">
        <f>AK146*(1+'2. GRI Pricing Inputs'!$D$114)^((AL$16-AK$16)/365)</f>
        <v>1348.4779519516499</v>
      </c>
      <c r="AM146" s="273">
        <f>AL146*(1+'2. GRI Pricing Inputs'!$D$114)^((AM$16-AL$16)/365)</f>
        <v>1352.977321865342</v>
      </c>
      <c r="AN146" s="273">
        <f>AM146*(1+'2. GRI Pricing Inputs'!$D$114)^((AN$16-AM$16)/365)</f>
        <v>1357.3458444161679</v>
      </c>
      <c r="AO146" s="273">
        <f>AN146*(1+'2. GRI Pricing Inputs'!$D$114)^((AO$16-AN$16)/365)</f>
        <v>1361.8748031922473</v>
      </c>
    </row>
    <row r="147" spans="3:41" ht="12" x14ac:dyDescent="0.2">
      <c r="C147" s="76" t="str">
        <f>'1. Accomodation'!N151</f>
        <v>303S</v>
      </c>
      <c r="D147" s="69" t="str">
        <f>'1. Accomodation'!P151</f>
        <v>2 Bed</v>
      </c>
      <c r="E147" s="69">
        <f>'1. Accomodation'!Q151</f>
        <v>2</v>
      </c>
      <c r="F147" s="77">
        <f>'1. Accomodation'!O151</f>
        <v>614</v>
      </c>
      <c r="G147" s="69">
        <f>'1. Accomodation'!R151</f>
        <v>3</v>
      </c>
      <c r="H147" s="69" t="str">
        <f>'1. Accomodation'!S151</f>
        <v>River- Trees</v>
      </c>
      <c r="I147" s="62"/>
      <c r="K147" s="272">
        <f>IFERROR(INDEX('2. GRI Pricing Inputs'!$C$15:$AI$16,MATCH($K$16,'2. GRI Pricing Inputs'!$C$15:$C$16,0),MATCH(D147,'2. GRI Pricing Inputs'!$C$15:$AI$15,0)),0)</f>
        <v>1110</v>
      </c>
      <c r="L147" s="273">
        <f>IFERROR(INDEX('2. GRI Pricing Inputs'!$C$22:$AI$23,MATCH($L$16,'2. GRI Pricing Inputs'!$C$22:$C$23,0),MATCH(E147,'2. GRI Pricing Inputs'!$C$22:$AI$22,0)),0)</f>
        <v>0</v>
      </c>
      <c r="M147" s="328">
        <f>IF(AND('3. GRI Pricing'!$F147&gt;='2. GRI Pricing Inputs'!$D$33,'3. GRI Pricing'!$F147&lt;='2. GRI Pricing Inputs'!$E$33),'2. GRI Pricing Inputs'!$D$32,IF(AND('3. GRI Pricing'!$F147&gt;='2. GRI Pricing Inputs'!$F$33,'3. GRI Pricing'!$F147&lt;='2. GRI Pricing Inputs'!$G$33),'2. GRI Pricing Inputs'!$F$32,IF(AND('3. GRI Pricing'!$F147&gt;='2. GRI Pricing Inputs'!$H$33,'3. GRI Pricing'!$F147&lt;='2. GRI Pricing Inputs'!$I$33),'2. GRI Pricing Inputs'!$H$32,IF(AND('3. GRI Pricing'!$F147&gt;='2. GRI Pricing Inputs'!$J$33,'3. GRI Pricing'!$F147&lt;='2. GRI Pricing Inputs'!$K$33),'2. GRI Pricing Inputs'!$J$32,IF(AND('3. GRI Pricing'!$F147&gt;='2. GRI Pricing Inputs'!$L$33,'3. GRI Pricing'!$F147&lt;='2. GRI Pricing Inputs'!$M$33),'2. GRI Pricing Inputs'!$L$32,IF(AND('3. GRI Pricing'!$F147&gt;='2. GRI Pricing Inputs'!$N$33,'3. GRI Pricing'!$F147&lt;='2. GRI Pricing Inputs'!$O$33),'2. GRI Pricing Inputs'!$N$32,IF(AND('3. GRI Pricing'!$F147&gt;='2. GRI Pricing Inputs'!$P$33,'3. GRI Pricing'!$F147&lt;='2. GRI Pricing Inputs'!$Q$33),'2. GRI Pricing Inputs'!$P$32,IF(AND('3. GRI Pricing'!$F147&gt;='2. GRI Pricing Inputs'!$R$33,'3. GRI Pricing'!$F147&lt;='2. GRI Pricing Inputs'!$S$33),'2. GRI Pricing Inputs'!$R$32,IF(AND('3. GRI Pricing'!$F147&gt;='2. GRI Pricing Inputs'!$T$33,'3. GRI Pricing'!$F147&lt;='2. GRI Pricing Inputs'!$U$33),'2. GRI Pricing Inputs'!$T$32,IF(AND('3. GRI Pricing'!$F147&gt;='2. GRI Pricing Inputs'!$V$33,'3. GRI Pricing'!$F147&lt;='2. GRI Pricing Inputs'!$W$33),'2. GRI Pricing Inputs'!$V$32,IF(AND('3. GRI Pricing'!$F147&gt;='2. GRI Pricing Inputs'!$X$33,'3. GRI Pricing'!$F147&lt;='2. GRI Pricing Inputs'!$Y$33),'2. GRI Pricing Inputs'!$X$32,IF(AND('3. GRI Pricing'!$F147&gt;='2. GRI Pricing Inputs'!$Z$33,'3. GRI Pricing'!$F147&lt;='2. GRI Pricing Inputs'!$AA$33),'2. GRI Pricing Inputs'!$Z$32,IF(AND('3. GRI Pricing'!$F147&gt;='2. GRI Pricing Inputs'!$AB$33,'3. GRI Pricing'!$F147&lt;='2. GRI Pricing Inputs'!$AC$33),'2. GRI Pricing Inputs'!$AB$32,IF(AND('3. GRI Pricing'!$F147&gt;='2. GRI Pricing Inputs'!$AD$33,'3. GRI Pricing'!$F147&lt;='2. GRI Pricing Inputs'!$AE$33),'2. GRI Pricing Inputs'!$AD$32,IF(AND('3. GRI Pricing'!$F147&gt;='2. GRI Pricing Inputs'!$AF$33,'3. GRI Pricing'!$F147&lt;='2. GRI Pricing Inputs'!$AG$33),'2. GRI Pricing Inputs'!$AF$32,IF(AND('3. GRI Pricing'!$F147&gt;='2. GRI Pricing Inputs'!$AH$33,'3. GRI Pricing'!$F147&lt;='2. GRI Pricing Inputs'!$AI$33),'2. GRI Pricing Inputs'!$AH$32,0))))))))))))))))</f>
        <v>6</v>
      </c>
      <c r="N147" s="273" cm="1">
        <f t="array" ref="N147">IFERROR(INDEX('2. GRI Pricing Inputs'!$C$32:$AI$39,MATCH('3. GRI Pricing'!D147,'2. GRI Pricing Inputs'!$C$32:$C$39,0),(MATCH('3. GRI Pricing'!M147,'2. GRI Pricing Inputs'!$D$32:$AI$32,0)+1)),0)</f>
        <v>5</v>
      </c>
      <c r="O147" s="273">
        <f>IFERROR(INDEX('2. GRI Pricing Inputs'!$C$45:$AI$46,MATCH($O$16,'2. GRI Pricing Inputs'!$C$45:$C$46,0),MATCH(G147,'2. GRI Pricing Inputs'!$C$45:$AI$45,0)),0)</f>
        <v>50</v>
      </c>
      <c r="P147" s="273">
        <f>IFERROR(INDEX('2. GRI Pricing Inputs'!$C$53:$AI$54,MATCH('3. GRI Pricing'!$P$16,'2. GRI Pricing Inputs'!$C$53:$C$54,0),MATCH('3. GRI Pricing'!H147,'2. GRI Pricing Inputs'!$C$53:$AI$53,0)),0)</f>
        <v>30</v>
      </c>
      <c r="Q147" s="273">
        <f>IFERROR(INDEX('2. GRI Pricing Inputs'!$C$60:$AI$61,MATCH('3. GRI Pricing'!$Q$16,'2. GRI Pricing Inputs'!$C$60:$C$61,0),MATCH('1. Accomodation'!T151,'2. GRI Pricing Inputs'!$C$60:$AI$60,0)),0)</f>
        <v>0</v>
      </c>
      <c r="R147" s="273">
        <f>IFERROR(INDEX('2. GRI Pricing Inputs'!$C$67:$AI$68,MATCH('3. GRI Pricing'!$R$16,'2. GRI Pricing Inputs'!$C$67:$C$68,0),MATCH('1. Accomodation'!U151,'2. GRI Pricing Inputs'!$C$67:$AI$67,0)),0)</f>
        <v>40</v>
      </c>
      <c r="S147" s="273">
        <f>IF(D147=0,0,'2. GRI Pricing Inputs'!$AI$75)</f>
        <v>70</v>
      </c>
      <c r="T147" s="273">
        <f>IFERROR(INDEX('2. GRI Pricing Inputs'!$C$82:$AI$83,MATCH('3. GRI Pricing'!$T$16,'2. GRI Pricing Inputs'!$C$82:$C$83,0),MATCH('1. Accomodation'!V151,'2. GRI Pricing Inputs'!$C$82:$AI$82,0)),0)</f>
        <v>0</v>
      </c>
      <c r="U147" s="273">
        <f>IFERROR(INDEX('2. GRI Pricing Inputs'!$C$89:$AI$90,MATCH('3. GRI Pricing'!$U$16,'2. GRI Pricing Inputs'!$C$89:$C$90,0),MATCH('1. Accomodation'!W151,'2. GRI Pricing Inputs'!$C$89:$AI$89,0)),0)</f>
        <v>0</v>
      </c>
      <c r="V147" s="273">
        <f>IFERROR(INDEX('2. GRI Pricing Inputs'!$C$97:$AI$98,MATCH('3. GRI Pricing'!$V$16,'2. GRI Pricing Inputs'!$C$97:$C$98,0),MATCH('1. Accomodation'!X151,'2. GRI Pricing Inputs'!$C$97:$AI$97,0)),0)</f>
        <v>0</v>
      </c>
      <c r="W147" s="273">
        <f>IFERROR(INDEX('2. GRI Pricing Inputs'!$C$104:$AI$105,MATCH('3. GRI Pricing'!$W$16,'2. GRI Pricing Inputs'!$C$104:$C$105,0),MATCH('1. Accomodation'!Y151,'2. GRI Pricing Inputs'!$C$104:$AI$104,0)),0)</f>
        <v>0</v>
      </c>
      <c r="X147" s="274">
        <v>0</v>
      </c>
      <c r="Y147" s="275">
        <f t="shared" si="9"/>
        <v>1305</v>
      </c>
      <c r="Z147" s="276"/>
      <c r="AA147" s="276"/>
      <c r="AB147" s="276"/>
      <c r="AC147" s="272">
        <f>Y147*(1+'2. GRI Pricing Inputs'!$D$114)^(($AC$16-$AB$15)/365)</f>
        <v>1309.3543001417784</v>
      </c>
      <c r="AD147" s="273">
        <f>AC147*(1+'2. GRI Pricing Inputs'!$D$114)^((AD$16-AC$16)/365)</f>
        <v>1313.58197173298</v>
      </c>
      <c r="AE147" s="273">
        <f>AD147*(1+'2. GRI Pricing Inputs'!$D$114)^((AE$16-AD$16)/365)</f>
        <v>1317.9649067258954</v>
      </c>
      <c r="AF147" s="273">
        <f>AE147*(1+'2. GRI Pricing Inputs'!$D$114)^((AF$16-AE$16)/365)</f>
        <v>1322.3624659444515</v>
      </c>
      <c r="AG147" s="273">
        <f>AF147*(1+'2. GRI Pricing Inputs'!$D$114)^((AG$16-AF$16)/365)</f>
        <v>1326.4895943011463</v>
      </c>
      <c r="AH147" s="273">
        <f>AG147*(1+'2. GRI Pricing Inputs'!$D$114)^((AH$16-AG$16)/365)</f>
        <v>1330.9155972348881</v>
      </c>
      <c r="AI147" s="273">
        <f>AH147*(1+'2. GRI Pricing Inputs'!$D$114)^((AI$16-AH$16)/365)</f>
        <v>1335.2128864102533</v>
      </c>
      <c r="AJ147" s="273">
        <f>AI147*(1+'2. GRI Pricing Inputs'!$D$114)^((AJ$16-AI$16)/365)</f>
        <v>1339.6679957287213</v>
      </c>
      <c r="AK147" s="273">
        <f>AJ147*(1+'2. GRI Pricing Inputs'!$D$114)^((AK$16-AJ$16)/365)</f>
        <v>1343.9935448383633</v>
      </c>
      <c r="AL147" s="273">
        <f>AK147*(1+'2. GRI Pricing Inputs'!$D$114)^((AL$16-AK$16)/365)</f>
        <v>1348.4779519516499</v>
      </c>
      <c r="AM147" s="273">
        <f>AL147*(1+'2. GRI Pricing Inputs'!$D$114)^((AM$16-AL$16)/365)</f>
        <v>1352.977321865342</v>
      </c>
      <c r="AN147" s="273">
        <f>AM147*(1+'2. GRI Pricing Inputs'!$D$114)^((AN$16-AM$16)/365)</f>
        <v>1357.3458444161679</v>
      </c>
      <c r="AO147" s="273">
        <f>AN147*(1+'2. GRI Pricing Inputs'!$D$114)^((AO$16-AN$16)/365)</f>
        <v>1361.8748031922473</v>
      </c>
    </row>
    <row r="148" spans="3:41" ht="12" x14ac:dyDescent="0.2">
      <c r="C148" s="76" t="str">
        <f>'1. Accomodation'!N152</f>
        <v>304S</v>
      </c>
      <c r="D148" s="69" t="str">
        <f>'1. Accomodation'!P152</f>
        <v>3 Bed</v>
      </c>
      <c r="E148" s="69">
        <f>'1. Accomodation'!Q152</f>
        <v>3</v>
      </c>
      <c r="F148" s="77">
        <f>'1. Accomodation'!O152</f>
        <v>829</v>
      </c>
      <c r="G148" s="69">
        <f>'1. Accomodation'!R152</f>
        <v>3</v>
      </c>
      <c r="H148" s="69" t="str">
        <f>'1. Accomodation'!S152</f>
        <v>River- Trees</v>
      </c>
      <c r="I148" s="62"/>
      <c r="K148" s="272">
        <f>IFERROR(INDEX('2. GRI Pricing Inputs'!$C$15:$AI$16,MATCH($K$16,'2. GRI Pricing Inputs'!$C$15:$C$16,0),MATCH(D148,'2. GRI Pricing Inputs'!$C$15:$AI$15,0)),0)</f>
        <v>1485</v>
      </c>
      <c r="L148" s="273">
        <f>IFERROR(INDEX('2. GRI Pricing Inputs'!$C$22:$AI$23,MATCH($L$16,'2. GRI Pricing Inputs'!$C$22:$C$23,0),MATCH(E148,'2. GRI Pricing Inputs'!$C$22:$AI$22,0)),0)</f>
        <v>0</v>
      </c>
      <c r="M148" s="328">
        <f>IF(AND('3. GRI Pricing'!$F148&gt;='2. GRI Pricing Inputs'!$D$33,'3. GRI Pricing'!$F148&lt;='2. GRI Pricing Inputs'!$E$33),'2. GRI Pricing Inputs'!$D$32,IF(AND('3. GRI Pricing'!$F148&gt;='2. GRI Pricing Inputs'!$F$33,'3. GRI Pricing'!$F148&lt;='2. GRI Pricing Inputs'!$G$33),'2. GRI Pricing Inputs'!$F$32,IF(AND('3. GRI Pricing'!$F148&gt;='2. GRI Pricing Inputs'!$H$33,'3. GRI Pricing'!$F148&lt;='2. GRI Pricing Inputs'!$I$33),'2. GRI Pricing Inputs'!$H$32,IF(AND('3. GRI Pricing'!$F148&gt;='2. GRI Pricing Inputs'!$J$33,'3. GRI Pricing'!$F148&lt;='2. GRI Pricing Inputs'!$K$33),'2. GRI Pricing Inputs'!$J$32,IF(AND('3. GRI Pricing'!$F148&gt;='2. GRI Pricing Inputs'!$L$33,'3. GRI Pricing'!$F148&lt;='2. GRI Pricing Inputs'!$M$33),'2. GRI Pricing Inputs'!$L$32,IF(AND('3. GRI Pricing'!$F148&gt;='2. GRI Pricing Inputs'!$N$33,'3. GRI Pricing'!$F148&lt;='2. GRI Pricing Inputs'!$O$33),'2. GRI Pricing Inputs'!$N$32,IF(AND('3. GRI Pricing'!$F148&gt;='2. GRI Pricing Inputs'!$P$33,'3. GRI Pricing'!$F148&lt;='2. GRI Pricing Inputs'!$Q$33),'2. GRI Pricing Inputs'!$P$32,IF(AND('3. GRI Pricing'!$F148&gt;='2. GRI Pricing Inputs'!$R$33,'3. GRI Pricing'!$F148&lt;='2. GRI Pricing Inputs'!$S$33),'2. GRI Pricing Inputs'!$R$32,IF(AND('3. GRI Pricing'!$F148&gt;='2. GRI Pricing Inputs'!$T$33,'3. GRI Pricing'!$F148&lt;='2. GRI Pricing Inputs'!$U$33),'2. GRI Pricing Inputs'!$T$32,IF(AND('3. GRI Pricing'!$F148&gt;='2. GRI Pricing Inputs'!$V$33,'3. GRI Pricing'!$F148&lt;='2. GRI Pricing Inputs'!$W$33),'2. GRI Pricing Inputs'!$V$32,IF(AND('3. GRI Pricing'!$F148&gt;='2. GRI Pricing Inputs'!$X$33,'3. GRI Pricing'!$F148&lt;='2. GRI Pricing Inputs'!$Y$33),'2. GRI Pricing Inputs'!$X$32,IF(AND('3. GRI Pricing'!$F148&gt;='2. GRI Pricing Inputs'!$Z$33,'3. GRI Pricing'!$F148&lt;='2. GRI Pricing Inputs'!$AA$33),'2. GRI Pricing Inputs'!$Z$32,IF(AND('3. GRI Pricing'!$F148&gt;='2. GRI Pricing Inputs'!$AB$33,'3. GRI Pricing'!$F148&lt;='2. GRI Pricing Inputs'!$AC$33),'2. GRI Pricing Inputs'!$AB$32,IF(AND('3. GRI Pricing'!$F148&gt;='2. GRI Pricing Inputs'!$AD$33,'3. GRI Pricing'!$F148&lt;='2. GRI Pricing Inputs'!$AE$33),'2. GRI Pricing Inputs'!$AD$32,IF(AND('3. GRI Pricing'!$F148&gt;='2. GRI Pricing Inputs'!$AF$33,'3. GRI Pricing'!$F148&lt;='2. GRI Pricing Inputs'!$AG$33),'2. GRI Pricing Inputs'!$AF$32,IF(AND('3. GRI Pricing'!$F148&gt;='2. GRI Pricing Inputs'!$AH$33,'3. GRI Pricing'!$F148&lt;='2. GRI Pricing Inputs'!$AI$33),'2. GRI Pricing Inputs'!$AH$32,0))))))))))))))))</f>
        <v>14</v>
      </c>
      <c r="N148" s="273" cm="1">
        <f t="array" ref="N148">IFERROR(INDEX('2. GRI Pricing Inputs'!$C$32:$AI$39,MATCH('3. GRI Pricing'!D148,'2. GRI Pricing Inputs'!$C$32:$C$39,0),(MATCH('3. GRI Pricing'!M148,'2. GRI Pricing Inputs'!$D$32:$AI$32,0)+1)),0)</f>
        <v>60</v>
      </c>
      <c r="O148" s="273">
        <f>IFERROR(INDEX('2. GRI Pricing Inputs'!$C$45:$AI$46,MATCH($O$16,'2. GRI Pricing Inputs'!$C$45:$C$46,0),MATCH(G148,'2. GRI Pricing Inputs'!$C$45:$AI$45,0)),0)</f>
        <v>50</v>
      </c>
      <c r="P148" s="273">
        <f>IFERROR(INDEX('2. GRI Pricing Inputs'!$C$53:$AI$54,MATCH('3. GRI Pricing'!$P$16,'2. GRI Pricing Inputs'!$C$53:$C$54,0),MATCH('3. GRI Pricing'!H148,'2. GRI Pricing Inputs'!$C$53:$AI$53,0)),0)</f>
        <v>30</v>
      </c>
      <c r="Q148" s="273">
        <f>IFERROR(INDEX('2. GRI Pricing Inputs'!$C$60:$AI$61,MATCH('3. GRI Pricing'!$Q$16,'2. GRI Pricing Inputs'!$C$60:$C$61,0),MATCH('1. Accomodation'!T152,'2. GRI Pricing Inputs'!$C$60:$AI$60,0)),0)</f>
        <v>0</v>
      </c>
      <c r="R148" s="273">
        <f>IFERROR(INDEX('2. GRI Pricing Inputs'!$C$67:$AI$68,MATCH('3. GRI Pricing'!$R$16,'2. GRI Pricing Inputs'!$C$67:$C$68,0),MATCH('1. Accomodation'!U152,'2. GRI Pricing Inputs'!$C$67:$AI$67,0)),0)</f>
        <v>40</v>
      </c>
      <c r="S148" s="273">
        <f>IF(D148=0,0,'2. GRI Pricing Inputs'!$AI$75)</f>
        <v>70</v>
      </c>
      <c r="T148" s="273">
        <f>IFERROR(INDEX('2. GRI Pricing Inputs'!$C$82:$AI$83,MATCH('3. GRI Pricing'!$T$16,'2. GRI Pricing Inputs'!$C$82:$C$83,0),MATCH('1. Accomodation'!V152,'2. GRI Pricing Inputs'!$C$82:$AI$82,0)),0)</f>
        <v>0</v>
      </c>
      <c r="U148" s="273">
        <f>IFERROR(INDEX('2. GRI Pricing Inputs'!$C$89:$AI$90,MATCH('3. GRI Pricing'!$U$16,'2. GRI Pricing Inputs'!$C$89:$C$90,0),MATCH('1. Accomodation'!W152,'2. GRI Pricing Inputs'!$C$89:$AI$89,0)),0)</f>
        <v>0</v>
      </c>
      <c r="V148" s="273">
        <f>IFERROR(INDEX('2. GRI Pricing Inputs'!$C$97:$AI$98,MATCH('3. GRI Pricing'!$V$16,'2. GRI Pricing Inputs'!$C$97:$C$98,0),MATCH('1. Accomodation'!X152,'2. GRI Pricing Inputs'!$C$97:$AI$97,0)),0)</f>
        <v>0</v>
      </c>
      <c r="W148" s="273">
        <f>IFERROR(INDEX('2. GRI Pricing Inputs'!$C$104:$AI$105,MATCH('3. GRI Pricing'!$W$16,'2. GRI Pricing Inputs'!$C$104:$C$105,0),MATCH('1. Accomodation'!Y152,'2. GRI Pricing Inputs'!$C$104:$AI$104,0)),0)</f>
        <v>0</v>
      </c>
      <c r="X148" s="274">
        <v>0</v>
      </c>
      <c r="Y148" s="275">
        <f t="shared" si="9"/>
        <v>1735</v>
      </c>
      <c r="Z148" s="276"/>
      <c r="AA148" s="276"/>
      <c r="AB148" s="276"/>
      <c r="AC148" s="272">
        <f>Y148*(1+'2. GRI Pricing Inputs'!$D$114)^(($AC$16-$AB$15)/365)</f>
        <v>1740.7890503800656</v>
      </c>
      <c r="AD148" s="273">
        <f>AC148*(1+'2. GRI Pricing Inputs'!$D$114)^((AD$16-AC$16)/365)</f>
        <v>1746.4097478595559</v>
      </c>
      <c r="AE148" s="273">
        <f>AD148*(1+'2. GRI Pricing Inputs'!$D$114)^((AE$16-AD$16)/365)</f>
        <v>1752.236868329064</v>
      </c>
      <c r="AF148" s="273">
        <f>AE148*(1+'2. GRI Pricing Inputs'!$D$114)^((AF$16-AE$16)/365)</f>
        <v>1758.0834317345773</v>
      </c>
      <c r="AG148" s="273">
        <f>AF148*(1+'2. GRI Pricing Inputs'!$D$114)^((AG$16-AF$16)/365)</f>
        <v>1763.5704567911794</v>
      </c>
      <c r="AH148" s="273">
        <f>AG148*(1+'2. GRI Pricing Inputs'!$D$114)^((AH$16-AG$16)/365)</f>
        <v>1769.454836170522</v>
      </c>
      <c r="AI148" s="273">
        <f>AH148*(1+'2. GRI Pricing Inputs'!$D$114)^((AI$16-AH$16)/365)</f>
        <v>1775.1680903615247</v>
      </c>
      <c r="AJ148" s="273">
        <f>AI148*(1+'2. GRI Pricing Inputs'!$D$114)^((AJ$16-AI$16)/365)</f>
        <v>1781.0911667351199</v>
      </c>
      <c r="AK148" s="273">
        <f>AJ148*(1+'2. GRI Pricing Inputs'!$D$114)^((AK$16-AJ$16)/365)</f>
        <v>1786.8419925628816</v>
      </c>
      <c r="AL148" s="273">
        <f>AK148*(1+'2. GRI Pricing Inputs'!$D$114)^((AL$16-AK$16)/365)</f>
        <v>1792.8040204108145</v>
      </c>
      <c r="AM148" s="273">
        <f>AL148*(1+'2. GRI Pricing Inputs'!$D$114)^((AM$16-AL$16)/365)</f>
        <v>1798.7859413305507</v>
      </c>
      <c r="AN148" s="273">
        <f>AM148*(1+'2. GRI Pricing Inputs'!$D$114)^((AN$16-AM$16)/365)</f>
        <v>1804.5939004306908</v>
      </c>
      <c r="AO148" s="273">
        <f>AN148*(1+'2. GRI Pricing Inputs'!$D$114)^((AO$16-AN$16)/365)</f>
        <v>1810.6151597996547</v>
      </c>
    </row>
    <row r="149" spans="3:41" ht="12" x14ac:dyDescent="0.2">
      <c r="C149" s="76" t="str">
        <f>'1. Accomodation'!N153</f>
        <v>305S</v>
      </c>
      <c r="D149" s="69" t="str">
        <f>'1. Accomodation'!P153</f>
        <v>2 Bed</v>
      </c>
      <c r="E149" s="69">
        <f>'1. Accomodation'!Q153</f>
        <v>2</v>
      </c>
      <c r="F149" s="77">
        <f>'1. Accomodation'!O153</f>
        <v>689</v>
      </c>
      <c r="G149" s="69">
        <f>'1. Accomodation'!R153</f>
        <v>3</v>
      </c>
      <c r="H149" s="69" t="str">
        <f>'1. Accomodation'!S153</f>
        <v>Courtyard</v>
      </c>
      <c r="I149" s="62"/>
      <c r="K149" s="272">
        <f>IFERROR(INDEX('2. GRI Pricing Inputs'!$C$15:$AI$16,MATCH($K$16,'2. GRI Pricing Inputs'!$C$15:$C$16,0),MATCH(D149,'2. GRI Pricing Inputs'!$C$15:$AI$15,0)),0)</f>
        <v>1110</v>
      </c>
      <c r="L149" s="273">
        <f>IFERROR(INDEX('2. GRI Pricing Inputs'!$C$22:$AI$23,MATCH($L$16,'2. GRI Pricing Inputs'!$C$22:$C$23,0),MATCH(E149,'2. GRI Pricing Inputs'!$C$22:$AI$22,0)),0)</f>
        <v>0</v>
      </c>
      <c r="M149" s="328">
        <f>IF(AND('3. GRI Pricing'!$F149&gt;='2. GRI Pricing Inputs'!$D$33,'3. GRI Pricing'!$F149&lt;='2. GRI Pricing Inputs'!$E$33),'2. GRI Pricing Inputs'!$D$32,IF(AND('3. GRI Pricing'!$F149&gt;='2. GRI Pricing Inputs'!$F$33,'3. GRI Pricing'!$F149&lt;='2. GRI Pricing Inputs'!$G$33),'2. GRI Pricing Inputs'!$F$32,IF(AND('3. GRI Pricing'!$F149&gt;='2. GRI Pricing Inputs'!$H$33,'3. GRI Pricing'!$F149&lt;='2. GRI Pricing Inputs'!$I$33),'2. GRI Pricing Inputs'!$H$32,IF(AND('3. GRI Pricing'!$F149&gt;='2. GRI Pricing Inputs'!$J$33,'3. GRI Pricing'!$F149&lt;='2. GRI Pricing Inputs'!$K$33),'2. GRI Pricing Inputs'!$J$32,IF(AND('3. GRI Pricing'!$F149&gt;='2. GRI Pricing Inputs'!$L$33,'3. GRI Pricing'!$F149&lt;='2. GRI Pricing Inputs'!$M$33),'2. GRI Pricing Inputs'!$L$32,IF(AND('3. GRI Pricing'!$F149&gt;='2. GRI Pricing Inputs'!$N$33,'3. GRI Pricing'!$F149&lt;='2. GRI Pricing Inputs'!$O$33),'2. GRI Pricing Inputs'!$N$32,IF(AND('3. GRI Pricing'!$F149&gt;='2. GRI Pricing Inputs'!$P$33,'3. GRI Pricing'!$F149&lt;='2. GRI Pricing Inputs'!$Q$33),'2. GRI Pricing Inputs'!$P$32,IF(AND('3. GRI Pricing'!$F149&gt;='2. GRI Pricing Inputs'!$R$33,'3. GRI Pricing'!$F149&lt;='2. GRI Pricing Inputs'!$S$33),'2. GRI Pricing Inputs'!$R$32,IF(AND('3. GRI Pricing'!$F149&gt;='2. GRI Pricing Inputs'!$T$33,'3. GRI Pricing'!$F149&lt;='2. GRI Pricing Inputs'!$U$33),'2. GRI Pricing Inputs'!$T$32,IF(AND('3. GRI Pricing'!$F149&gt;='2. GRI Pricing Inputs'!$V$33,'3. GRI Pricing'!$F149&lt;='2. GRI Pricing Inputs'!$W$33),'2. GRI Pricing Inputs'!$V$32,IF(AND('3. GRI Pricing'!$F149&gt;='2. GRI Pricing Inputs'!$X$33,'3. GRI Pricing'!$F149&lt;='2. GRI Pricing Inputs'!$Y$33),'2. GRI Pricing Inputs'!$X$32,IF(AND('3. GRI Pricing'!$F149&gt;='2. GRI Pricing Inputs'!$Z$33,'3. GRI Pricing'!$F149&lt;='2. GRI Pricing Inputs'!$AA$33),'2. GRI Pricing Inputs'!$Z$32,IF(AND('3. GRI Pricing'!$F149&gt;='2. GRI Pricing Inputs'!$AB$33,'3. GRI Pricing'!$F149&lt;='2. GRI Pricing Inputs'!$AC$33),'2. GRI Pricing Inputs'!$AB$32,IF(AND('3. GRI Pricing'!$F149&gt;='2. GRI Pricing Inputs'!$AD$33,'3. GRI Pricing'!$F149&lt;='2. GRI Pricing Inputs'!$AE$33),'2. GRI Pricing Inputs'!$AD$32,IF(AND('3. GRI Pricing'!$F149&gt;='2. GRI Pricing Inputs'!$AF$33,'3. GRI Pricing'!$F149&lt;='2. GRI Pricing Inputs'!$AG$33),'2. GRI Pricing Inputs'!$AF$32,IF(AND('3. GRI Pricing'!$F149&gt;='2. GRI Pricing Inputs'!$AH$33,'3. GRI Pricing'!$F149&lt;='2. GRI Pricing Inputs'!$AI$33),'2. GRI Pricing Inputs'!$AH$32,0))))))))))))))))</f>
        <v>11</v>
      </c>
      <c r="N149" s="273" cm="1">
        <f t="array" ref="N149">IFERROR(INDEX('2. GRI Pricing Inputs'!$C$32:$AI$39,MATCH('3. GRI Pricing'!D149,'2. GRI Pricing Inputs'!$C$32:$C$39,0),(MATCH('3. GRI Pricing'!M149,'2. GRI Pricing Inputs'!$D$32:$AI$32,0)+1)),0)</f>
        <v>65</v>
      </c>
      <c r="O149" s="273">
        <f>IFERROR(INDEX('2. GRI Pricing Inputs'!$C$45:$AI$46,MATCH($O$16,'2. GRI Pricing Inputs'!$C$45:$C$46,0),MATCH(G149,'2. GRI Pricing Inputs'!$C$45:$AI$45,0)),0)</f>
        <v>50</v>
      </c>
      <c r="P149" s="273">
        <f>IFERROR(INDEX('2. GRI Pricing Inputs'!$C$53:$AI$54,MATCH('3. GRI Pricing'!$P$16,'2. GRI Pricing Inputs'!$C$53:$C$54,0),MATCH('3. GRI Pricing'!H149,'2. GRI Pricing Inputs'!$C$53:$AI$53,0)),0)</f>
        <v>25</v>
      </c>
      <c r="Q149" s="273">
        <f>IFERROR(INDEX('2. GRI Pricing Inputs'!$C$60:$AI$61,MATCH('3. GRI Pricing'!$Q$16,'2. GRI Pricing Inputs'!$C$60:$C$61,0),MATCH('1. Accomodation'!T153,'2. GRI Pricing Inputs'!$C$60:$AI$60,0)),0)</f>
        <v>0</v>
      </c>
      <c r="R149" s="273">
        <f>IFERROR(INDEX('2. GRI Pricing Inputs'!$C$67:$AI$68,MATCH('3. GRI Pricing'!$R$16,'2. GRI Pricing Inputs'!$C$67:$C$68,0),MATCH('1. Accomodation'!U153,'2. GRI Pricing Inputs'!$C$67:$AI$67,0)),0)</f>
        <v>0</v>
      </c>
      <c r="S149" s="273">
        <f>IF(D149=0,0,'2. GRI Pricing Inputs'!$AI$75)</f>
        <v>70</v>
      </c>
      <c r="T149" s="273">
        <f>IFERROR(INDEX('2. GRI Pricing Inputs'!$C$82:$AI$83,MATCH('3. GRI Pricing'!$T$16,'2. GRI Pricing Inputs'!$C$82:$C$83,0),MATCH('1. Accomodation'!V153,'2. GRI Pricing Inputs'!$C$82:$AI$82,0)),0)</f>
        <v>0</v>
      </c>
      <c r="U149" s="273">
        <f>IFERROR(INDEX('2. GRI Pricing Inputs'!$C$89:$AI$90,MATCH('3. GRI Pricing'!$U$16,'2. GRI Pricing Inputs'!$C$89:$C$90,0),MATCH('1. Accomodation'!W153,'2. GRI Pricing Inputs'!$C$89:$AI$89,0)),0)</f>
        <v>0</v>
      </c>
      <c r="V149" s="273">
        <f>IFERROR(INDEX('2. GRI Pricing Inputs'!$C$97:$AI$98,MATCH('3. GRI Pricing'!$V$16,'2. GRI Pricing Inputs'!$C$97:$C$98,0),MATCH('1. Accomodation'!X153,'2. GRI Pricing Inputs'!$C$97:$AI$97,0)),0)</f>
        <v>0</v>
      </c>
      <c r="W149" s="273">
        <f>IFERROR(INDEX('2. GRI Pricing Inputs'!$C$104:$AI$105,MATCH('3. GRI Pricing'!$W$16,'2. GRI Pricing Inputs'!$C$104:$C$105,0),MATCH('1. Accomodation'!Y153,'2. GRI Pricing Inputs'!$C$104:$AI$104,0)),0)</f>
        <v>0</v>
      </c>
      <c r="X149" s="274">
        <v>0</v>
      </c>
      <c r="Y149" s="275">
        <f t="shared" si="9"/>
        <v>1320</v>
      </c>
      <c r="Z149" s="276"/>
      <c r="AA149" s="276"/>
      <c r="AB149" s="276"/>
      <c r="AC149" s="272">
        <f>Y149*(1+'2. GRI Pricing Inputs'!$D$114)^(($AC$16-$AB$15)/365)</f>
        <v>1324.4043495686954</v>
      </c>
      <c r="AD149" s="273">
        <f>AC149*(1+'2. GRI Pricing Inputs'!$D$114)^((AD$16-AC$16)/365)</f>
        <v>1328.6806150862326</v>
      </c>
      <c r="AE149" s="273">
        <f>AD149*(1+'2. GRI Pricing Inputs'!$D$114)^((AE$16-AD$16)/365)</f>
        <v>1333.1139286422849</v>
      </c>
      <c r="AF149" s="273">
        <f>AE149*(1+'2. GRI Pricing Inputs'!$D$114)^((AF$16-AE$16)/365)</f>
        <v>1337.5620345185255</v>
      </c>
      <c r="AG149" s="273">
        <f>AF149*(1+'2. GRI Pricing Inputs'!$D$114)^((AG$16-AF$16)/365)</f>
        <v>1341.7366011321938</v>
      </c>
      <c r="AH149" s="273">
        <f>AG149*(1+'2. GRI Pricing Inputs'!$D$114)^((AH$16-AG$16)/365)</f>
        <v>1346.2134776628752</v>
      </c>
      <c r="AI149" s="273">
        <f>AH149*(1+'2. GRI Pricing Inputs'!$D$114)^((AI$16-AH$16)/365)</f>
        <v>1350.5601609666928</v>
      </c>
      <c r="AJ149" s="273">
        <f>AI149*(1+'2. GRI Pricing Inputs'!$D$114)^((AJ$16-AI$16)/365)</f>
        <v>1355.0664784382466</v>
      </c>
      <c r="AK149" s="273">
        <f>AJ149*(1+'2. GRI Pricing Inputs'!$D$114)^((AK$16-AJ$16)/365)</f>
        <v>1359.441746503172</v>
      </c>
      <c r="AL149" s="273">
        <f>AK149*(1+'2. GRI Pricing Inputs'!$D$114)^((AL$16-AK$16)/365)</f>
        <v>1363.9776985258068</v>
      </c>
      <c r="AM149" s="273">
        <f>AL149*(1+'2. GRI Pricing Inputs'!$D$114)^((AM$16-AL$16)/365)</f>
        <v>1368.5287853350585</v>
      </c>
      <c r="AN149" s="273">
        <f>AM149*(1+'2. GRI Pricing Inputs'!$D$114)^((AN$16-AM$16)/365)</f>
        <v>1372.9475207887674</v>
      </c>
      <c r="AO149" s="273">
        <f>AN149*(1+'2. GRI Pricing Inputs'!$D$114)^((AO$16-AN$16)/365)</f>
        <v>1377.5285365622731</v>
      </c>
    </row>
    <row r="150" spans="3:41" ht="12" x14ac:dyDescent="0.2">
      <c r="C150" s="76" t="str">
        <f>'1. Accomodation'!N154</f>
        <v>306S</v>
      </c>
      <c r="D150" s="69" t="str">
        <f>'1. Accomodation'!P154</f>
        <v>1 Bed</v>
      </c>
      <c r="E150" s="69">
        <f>'1. Accomodation'!Q154</f>
        <v>1</v>
      </c>
      <c r="F150" s="77">
        <f>'1. Accomodation'!O154</f>
        <v>474</v>
      </c>
      <c r="G150" s="69">
        <f>'1. Accomodation'!R154</f>
        <v>3</v>
      </c>
      <c r="H150" s="69" t="str">
        <f>'1. Accomodation'!S154</f>
        <v>Courtyard</v>
      </c>
      <c r="I150" s="62"/>
      <c r="K150" s="272">
        <f>IFERROR(INDEX('2. GRI Pricing Inputs'!$C$15:$AI$16,MATCH($K$16,'2. GRI Pricing Inputs'!$C$15:$C$16,0),MATCH(D150,'2. GRI Pricing Inputs'!$C$15:$AI$15,0)),0)</f>
        <v>845</v>
      </c>
      <c r="L150" s="273">
        <f>IFERROR(INDEX('2. GRI Pricing Inputs'!$C$22:$AI$23,MATCH($L$16,'2. GRI Pricing Inputs'!$C$22:$C$23,0),MATCH(E150,'2. GRI Pricing Inputs'!$C$22:$AI$22,0)),0)</f>
        <v>0</v>
      </c>
      <c r="M150" s="328">
        <f>IF(AND('3. GRI Pricing'!$F150&gt;='2. GRI Pricing Inputs'!$D$33,'3. GRI Pricing'!$F150&lt;='2. GRI Pricing Inputs'!$E$33),'2. GRI Pricing Inputs'!$D$32,IF(AND('3. GRI Pricing'!$F150&gt;='2. GRI Pricing Inputs'!$F$33,'3. GRI Pricing'!$F150&lt;='2. GRI Pricing Inputs'!$G$33),'2. GRI Pricing Inputs'!$F$32,IF(AND('3. GRI Pricing'!$F150&gt;='2. GRI Pricing Inputs'!$H$33,'3. GRI Pricing'!$F150&lt;='2. GRI Pricing Inputs'!$I$33),'2. GRI Pricing Inputs'!$H$32,IF(AND('3. GRI Pricing'!$F150&gt;='2. GRI Pricing Inputs'!$J$33,'3. GRI Pricing'!$F150&lt;='2. GRI Pricing Inputs'!$K$33),'2. GRI Pricing Inputs'!$J$32,IF(AND('3. GRI Pricing'!$F150&gt;='2. GRI Pricing Inputs'!$L$33,'3. GRI Pricing'!$F150&lt;='2. GRI Pricing Inputs'!$M$33),'2. GRI Pricing Inputs'!$L$32,IF(AND('3. GRI Pricing'!$F150&gt;='2. GRI Pricing Inputs'!$N$33,'3. GRI Pricing'!$F150&lt;='2. GRI Pricing Inputs'!$O$33),'2. GRI Pricing Inputs'!$N$32,IF(AND('3. GRI Pricing'!$F150&gt;='2. GRI Pricing Inputs'!$P$33,'3. GRI Pricing'!$F150&lt;='2. GRI Pricing Inputs'!$Q$33),'2. GRI Pricing Inputs'!$P$32,IF(AND('3. GRI Pricing'!$F150&gt;='2. GRI Pricing Inputs'!$R$33,'3. GRI Pricing'!$F150&lt;='2. GRI Pricing Inputs'!$S$33),'2. GRI Pricing Inputs'!$R$32,IF(AND('3. GRI Pricing'!$F150&gt;='2. GRI Pricing Inputs'!$T$33,'3. GRI Pricing'!$F150&lt;='2. GRI Pricing Inputs'!$U$33),'2. GRI Pricing Inputs'!$T$32,IF(AND('3. GRI Pricing'!$F150&gt;='2. GRI Pricing Inputs'!$V$33,'3. GRI Pricing'!$F150&lt;='2. GRI Pricing Inputs'!$W$33),'2. GRI Pricing Inputs'!$V$32,IF(AND('3. GRI Pricing'!$F150&gt;='2. GRI Pricing Inputs'!$X$33,'3. GRI Pricing'!$F150&lt;='2. GRI Pricing Inputs'!$Y$33),'2. GRI Pricing Inputs'!$X$32,IF(AND('3. GRI Pricing'!$F150&gt;='2. GRI Pricing Inputs'!$Z$33,'3. GRI Pricing'!$F150&lt;='2. GRI Pricing Inputs'!$AA$33),'2. GRI Pricing Inputs'!$Z$32,IF(AND('3. GRI Pricing'!$F150&gt;='2. GRI Pricing Inputs'!$AB$33,'3. GRI Pricing'!$F150&lt;='2. GRI Pricing Inputs'!$AC$33),'2. GRI Pricing Inputs'!$AB$32,IF(AND('3. GRI Pricing'!$F150&gt;='2. GRI Pricing Inputs'!$AD$33,'3. GRI Pricing'!$F150&lt;='2. GRI Pricing Inputs'!$AE$33),'2. GRI Pricing Inputs'!$AD$32,IF(AND('3. GRI Pricing'!$F150&gt;='2. GRI Pricing Inputs'!$AF$33,'3. GRI Pricing'!$F150&lt;='2. GRI Pricing Inputs'!$AG$33),'2. GRI Pricing Inputs'!$AF$32,IF(AND('3. GRI Pricing'!$F150&gt;='2. GRI Pricing Inputs'!$AH$33,'3. GRI Pricing'!$F150&lt;='2. GRI Pricing Inputs'!$AI$33),'2. GRI Pricing Inputs'!$AH$32,0))))))))))))))))</f>
        <v>0</v>
      </c>
      <c r="N150" s="273" cm="1">
        <f t="array" ref="N150">IFERROR(INDEX('2. GRI Pricing Inputs'!$C$32:$AI$39,MATCH('3. GRI Pricing'!D150,'2. GRI Pricing Inputs'!$C$32:$C$39,0),(MATCH('3. GRI Pricing'!M150,'2. GRI Pricing Inputs'!$D$32:$AI$32,0)+1)),0)</f>
        <v>0</v>
      </c>
      <c r="O150" s="273">
        <f>IFERROR(INDEX('2. GRI Pricing Inputs'!$C$45:$AI$46,MATCH($O$16,'2. GRI Pricing Inputs'!$C$45:$C$46,0),MATCH(G150,'2. GRI Pricing Inputs'!$C$45:$AI$45,0)),0)</f>
        <v>50</v>
      </c>
      <c r="P150" s="273">
        <f>IFERROR(INDEX('2. GRI Pricing Inputs'!$C$53:$AI$54,MATCH('3. GRI Pricing'!$P$16,'2. GRI Pricing Inputs'!$C$53:$C$54,0),MATCH('3. GRI Pricing'!H150,'2. GRI Pricing Inputs'!$C$53:$AI$53,0)),0)</f>
        <v>25</v>
      </c>
      <c r="Q150" s="273">
        <f>IFERROR(INDEX('2. GRI Pricing Inputs'!$C$60:$AI$61,MATCH('3. GRI Pricing'!$Q$16,'2. GRI Pricing Inputs'!$C$60:$C$61,0),MATCH('1. Accomodation'!T154,'2. GRI Pricing Inputs'!$C$60:$AI$60,0)),0)</f>
        <v>0</v>
      </c>
      <c r="R150" s="273">
        <f>IFERROR(INDEX('2. GRI Pricing Inputs'!$C$67:$AI$68,MATCH('3. GRI Pricing'!$R$16,'2. GRI Pricing Inputs'!$C$67:$C$68,0),MATCH('1. Accomodation'!U154,'2. GRI Pricing Inputs'!$C$67:$AI$67,0)),0)</f>
        <v>0</v>
      </c>
      <c r="S150" s="273">
        <f>IF(D150=0,0,'2. GRI Pricing Inputs'!$AI$75)</f>
        <v>70</v>
      </c>
      <c r="T150" s="273">
        <f>IFERROR(INDEX('2. GRI Pricing Inputs'!$C$82:$AI$83,MATCH('3. GRI Pricing'!$T$16,'2. GRI Pricing Inputs'!$C$82:$C$83,0),MATCH('1. Accomodation'!V154,'2. GRI Pricing Inputs'!$C$82:$AI$82,0)),0)</f>
        <v>0</v>
      </c>
      <c r="U150" s="273">
        <f>IFERROR(INDEX('2. GRI Pricing Inputs'!$C$89:$AI$90,MATCH('3. GRI Pricing'!$U$16,'2. GRI Pricing Inputs'!$C$89:$C$90,0),MATCH('1. Accomodation'!W154,'2. GRI Pricing Inputs'!$C$89:$AI$89,0)),0)</f>
        <v>0</v>
      </c>
      <c r="V150" s="273">
        <f>IFERROR(INDEX('2. GRI Pricing Inputs'!$C$97:$AI$98,MATCH('3. GRI Pricing'!$V$16,'2. GRI Pricing Inputs'!$C$97:$C$98,0),MATCH('1. Accomodation'!X154,'2. GRI Pricing Inputs'!$C$97:$AI$97,0)),0)</f>
        <v>0</v>
      </c>
      <c r="W150" s="273">
        <f>IFERROR(INDEX('2. GRI Pricing Inputs'!$C$104:$AI$105,MATCH('3. GRI Pricing'!$W$16,'2. GRI Pricing Inputs'!$C$104:$C$105,0),MATCH('1. Accomodation'!Y154,'2. GRI Pricing Inputs'!$C$104:$AI$104,0)),0)</f>
        <v>0</v>
      </c>
      <c r="X150" s="274">
        <v>0</v>
      </c>
      <c r="Y150" s="275">
        <f t="shared" si="9"/>
        <v>990</v>
      </c>
      <c r="Z150" s="276"/>
      <c r="AA150" s="276"/>
      <c r="AB150" s="276"/>
      <c r="AC150" s="272">
        <f>Y150*(1+'2. GRI Pricing Inputs'!$D$114)^(($AC$16-$AB$15)/365)</f>
        <v>993.30326217652157</v>
      </c>
      <c r="AD150" s="273">
        <f>AC150*(1+'2. GRI Pricing Inputs'!$D$114)^((AD$16-AC$16)/365)</f>
        <v>996.51046131467456</v>
      </c>
      <c r="AE150" s="273">
        <f>AD150*(1+'2. GRI Pricing Inputs'!$D$114)^((AE$16-AD$16)/365)</f>
        <v>999.8354464817138</v>
      </c>
      <c r="AF150" s="273">
        <f>AE150*(1+'2. GRI Pricing Inputs'!$D$114)^((AF$16-AE$16)/365)</f>
        <v>1003.1715258888943</v>
      </c>
      <c r="AG150" s="273">
        <f>AF150*(1+'2. GRI Pricing Inputs'!$D$114)^((AG$16-AF$16)/365)</f>
        <v>1006.3024508491455</v>
      </c>
      <c r="AH150" s="273">
        <f>AG150*(1+'2. GRI Pricing Inputs'!$D$114)^((AH$16-AG$16)/365)</f>
        <v>1009.6601082471566</v>
      </c>
      <c r="AI150" s="273">
        <f>AH150*(1+'2. GRI Pricing Inputs'!$D$114)^((AI$16-AH$16)/365)</f>
        <v>1012.9201207250198</v>
      </c>
      <c r="AJ150" s="273">
        <f>AI150*(1+'2. GRI Pricing Inputs'!$D$114)^((AJ$16-AI$16)/365)</f>
        <v>1016.2998588286852</v>
      </c>
      <c r="AK150" s="273">
        <f>AJ150*(1+'2. GRI Pricing Inputs'!$D$114)^((AK$16-AJ$16)/365)</f>
        <v>1019.5813098773791</v>
      </c>
      <c r="AL150" s="273">
        <f>AK150*(1+'2. GRI Pricing Inputs'!$D$114)^((AL$16-AK$16)/365)</f>
        <v>1022.9832738943552</v>
      </c>
      <c r="AM150" s="273">
        <f>AL150*(1+'2. GRI Pricing Inputs'!$D$114)^((AM$16-AL$16)/365)</f>
        <v>1026.3965890012939</v>
      </c>
      <c r="AN150" s="273">
        <f>AM150*(1+'2. GRI Pricing Inputs'!$D$114)^((AN$16-AM$16)/365)</f>
        <v>1029.7106405915756</v>
      </c>
      <c r="AO150" s="273">
        <f>AN150*(1+'2. GRI Pricing Inputs'!$D$114)^((AO$16-AN$16)/365)</f>
        <v>1033.1464024217048</v>
      </c>
    </row>
    <row r="151" spans="3:41" ht="12" x14ac:dyDescent="0.2">
      <c r="C151" s="76" t="str">
        <f>'1. Accomodation'!N155</f>
        <v>307S</v>
      </c>
      <c r="D151" s="69" t="str">
        <f>'1. Accomodation'!P155</f>
        <v>2 Bed</v>
      </c>
      <c r="E151" s="69">
        <f>'1. Accomodation'!Q155</f>
        <v>2</v>
      </c>
      <c r="F151" s="77">
        <f>'1. Accomodation'!O155</f>
        <v>624</v>
      </c>
      <c r="G151" s="69">
        <f>'1. Accomodation'!R155</f>
        <v>3</v>
      </c>
      <c r="H151" s="69" t="str">
        <f>'1. Accomodation'!S155</f>
        <v>Courtyard</v>
      </c>
      <c r="I151" s="62"/>
      <c r="K151" s="272">
        <f>IFERROR(INDEX('2. GRI Pricing Inputs'!$C$15:$AI$16,MATCH($K$16,'2. GRI Pricing Inputs'!$C$15:$C$16,0),MATCH(D151,'2. GRI Pricing Inputs'!$C$15:$AI$15,0)),0)</f>
        <v>1110</v>
      </c>
      <c r="L151" s="273">
        <f>IFERROR(INDEX('2. GRI Pricing Inputs'!$C$22:$AI$23,MATCH($L$16,'2. GRI Pricing Inputs'!$C$22:$C$23,0),MATCH(E151,'2. GRI Pricing Inputs'!$C$22:$AI$22,0)),0)</f>
        <v>0</v>
      </c>
      <c r="M151" s="328">
        <f>IF(AND('3. GRI Pricing'!$F151&gt;='2. GRI Pricing Inputs'!$D$33,'3. GRI Pricing'!$F151&lt;='2. GRI Pricing Inputs'!$E$33),'2. GRI Pricing Inputs'!$D$32,IF(AND('3. GRI Pricing'!$F151&gt;='2. GRI Pricing Inputs'!$F$33,'3. GRI Pricing'!$F151&lt;='2. GRI Pricing Inputs'!$G$33),'2. GRI Pricing Inputs'!$F$32,IF(AND('3. GRI Pricing'!$F151&gt;='2. GRI Pricing Inputs'!$H$33,'3. GRI Pricing'!$F151&lt;='2. GRI Pricing Inputs'!$I$33),'2. GRI Pricing Inputs'!$H$32,IF(AND('3. GRI Pricing'!$F151&gt;='2. GRI Pricing Inputs'!$J$33,'3. GRI Pricing'!$F151&lt;='2. GRI Pricing Inputs'!$K$33),'2. GRI Pricing Inputs'!$J$32,IF(AND('3. GRI Pricing'!$F151&gt;='2. GRI Pricing Inputs'!$L$33,'3. GRI Pricing'!$F151&lt;='2. GRI Pricing Inputs'!$M$33),'2. GRI Pricing Inputs'!$L$32,IF(AND('3. GRI Pricing'!$F151&gt;='2. GRI Pricing Inputs'!$N$33,'3. GRI Pricing'!$F151&lt;='2. GRI Pricing Inputs'!$O$33),'2. GRI Pricing Inputs'!$N$32,IF(AND('3. GRI Pricing'!$F151&gt;='2. GRI Pricing Inputs'!$P$33,'3. GRI Pricing'!$F151&lt;='2. GRI Pricing Inputs'!$Q$33),'2. GRI Pricing Inputs'!$P$32,IF(AND('3. GRI Pricing'!$F151&gt;='2. GRI Pricing Inputs'!$R$33,'3. GRI Pricing'!$F151&lt;='2. GRI Pricing Inputs'!$S$33),'2. GRI Pricing Inputs'!$R$32,IF(AND('3. GRI Pricing'!$F151&gt;='2. GRI Pricing Inputs'!$T$33,'3. GRI Pricing'!$F151&lt;='2. GRI Pricing Inputs'!$U$33),'2. GRI Pricing Inputs'!$T$32,IF(AND('3. GRI Pricing'!$F151&gt;='2. GRI Pricing Inputs'!$V$33,'3. GRI Pricing'!$F151&lt;='2. GRI Pricing Inputs'!$W$33),'2. GRI Pricing Inputs'!$V$32,IF(AND('3. GRI Pricing'!$F151&gt;='2. GRI Pricing Inputs'!$X$33,'3. GRI Pricing'!$F151&lt;='2. GRI Pricing Inputs'!$Y$33),'2. GRI Pricing Inputs'!$X$32,IF(AND('3. GRI Pricing'!$F151&gt;='2. GRI Pricing Inputs'!$Z$33,'3. GRI Pricing'!$F151&lt;='2. GRI Pricing Inputs'!$AA$33),'2. GRI Pricing Inputs'!$Z$32,IF(AND('3. GRI Pricing'!$F151&gt;='2. GRI Pricing Inputs'!$AB$33,'3. GRI Pricing'!$F151&lt;='2. GRI Pricing Inputs'!$AC$33),'2. GRI Pricing Inputs'!$AB$32,IF(AND('3. GRI Pricing'!$F151&gt;='2. GRI Pricing Inputs'!$AD$33,'3. GRI Pricing'!$F151&lt;='2. GRI Pricing Inputs'!$AE$33),'2. GRI Pricing Inputs'!$AD$32,IF(AND('3. GRI Pricing'!$F151&gt;='2. GRI Pricing Inputs'!$AF$33,'3. GRI Pricing'!$F151&lt;='2. GRI Pricing Inputs'!$AG$33),'2. GRI Pricing Inputs'!$AF$32,IF(AND('3. GRI Pricing'!$F151&gt;='2. GRI Pricing Inputs'!$AH$33,'3. GRI Pricing'!$F151&lt;='2. GRI Pricing Inputs'!$AI$33),'2. GRI Pricing Inputs'!$AH$32,0))))))))))))))))</f>
        <v>7</v>
      </c>
      <c r="N151" s="273" cm="1">
        <f t="array" ref="N151">IFERROR(INDEX('2. GRI Pricing Inputs'!$C$32:$AI$39,MATCH('3. GRI Pricing'!D151,'2. GRI Pricing Inputs'!$C$32:$C$39,0),(MATCH('3. GRI Pricing'!M151,'2. GRI Pricing Inputs'!$D$32:$AI$32,0)+1)),0)</f>
        <v>10</v>
      </c>
      <c r="O151" s="273">
        <f>IFERROR(INDEX('2. GRI Pricing Inputs'!$C$45:$AI$46,MATCH($O$16,'2. GRI Pricing Inputs'!$C$45:$C$46,0),MATCH(G151,'2. GRI Pricing Inputs'!$C$45:$AI$45,0)),0)</f>
        <v>50</v>
      </c>
      <c r="P151" s="273">
        <f>IFERROR(INDEX('2. GRI Pricing Inputs'!$C$53:$AI$54,MATCH('3. GRI Pricing'!$P$16,'2. GRI Pricing Inputs'!$C$53:$C$54,0),MATCH('3. GRI Pricing'!H151,'2. GRI Pricing Inputs'!$C$53:$AI$53,0)),0)</f>
        <v>25</v>
      </c>
      <c r="Q151" s="273">
        <f>IFERROR(INDEX('2. GRI Pricing Inputs'!$C$60:$AI$61,MATCH('3. GRI Pricing'!$Q$16,'2. GRI Pricing Inputs'!$C$60:$C$61,0),MATCH('1. Accomodation'!T155,'2. GRI Pricing Inputs'!$C$60:$AI$60,0)),0)</f>
        <v>0</v>
      </c>
      <c r="R151" s="273">
        <f>IFERROR(INDEX('2. GRI Pricing Inputs'!$C$67:$AI$68,MATCH('3. GRI Pricing'!$R$16,'2. GRI Pricing Inputs'!$C$67:$C$68,0),MATCH('1. Accomodation'!U155,'2. GRI Pricing Inputs'!$C$67:$AI$67,0)),0)</f>
        <v>0</v>
      </c>
      <c r="S151" s="273">
        <f>IF(D151=0,0,'2. GRI Pricing Inputs'!$AI$75)</f>
        <v>70</v>
      </c>
      <c r="T151" s="273">
        <f>IFERROR(INDEX('2. GRI Pricing Inputs'!$C$82:$AI$83,MATCH('3. GRI Pricing'!$T$16,'2. GRI Pricing Inputs'!$C$82:$C$83,0),MATCH('1. Accomodation'!V155,'2. GRI Pricing Inputs'!$C$82:$AI$82,0)),0)</f>
        <v>0</v>
      </c>
      <c r="U151" s="273">
        <f>IFERROR(INDEX('2. GRI Pricing Inputs'!$C$89:$AI$90,MATCH('3. GRI Pricing'!$U$16,'2. GRI Pricing Inputs'!$C$89:$C$90,0),MATCH('1. Accomodation'!W155,'2. GRI Pricing Inputs'!$C$89:$AI$89,0)),0)</f>
        <v>0</v>
      </c>
      <c r="V151" s="273">
        <f>IFERROR(INDEX('2. GRI Pricing Inputs'!$C$97:$AI$98,MATCH('3. GRI Pricing'!$V$16,'2. GRI Pricing Inputs'!$C$97:$C$98,0),MATCH('1. Accomodation'!X155,'2. GRI Pricing Inputs'!$C$97:$AI$97,0)),0)</f>
        <v>0</v>
      </c>
      <c r="W151" s="273">
        <f>IFERROR(INDEX('2. GRI Pricing Inputs'!$C$104:$AI$105,MATCH('3. GRI Pricing'!$W$16,'2. GRI Pricing Inputs'!$C$104:$C$105,0),MATCH('1. Accomodation'!Y155,'2. GRI Pricing Inputs'!$C$104:$AI$104,0)),0)</f>
        <v>0</v>
      </c>
      <c r="X151" s="274">
        <v>0</v>
      </c>
      <c r="Y151" s="275">
        <f t="shared" si="9"/>
        <v>1265</v>
      </c>
      <c r="Z151" s="276"/>
      <c r="AA151" s="276"/>
      <c r="AB151" s="276"/>
      <c r="AC151" s="272">
        <f>Y151*(1+'2. GRI Pricing Inputs'!$D$114)^(($AC$16-$AB$15)/365)</f>
        <v>1269.2208350033331</v>
      </c>
      <c r="AD151" s="273">
        <f>AC151*(1+'2. GRI Pricing Inputs'!$D$114)^((AD$16-AC$16)/365)</f>
        <v>1273.3189227909729</v>
      </c>
      <c r="AE151" s="273">
        <f>AD151*(1+'2. GRI Pricing Inputs'!$D$114)^((AE$16-AD$16)/365)</f>
        <v>1277.5675149488563</v>
      </c>
      <c r="AF151" s="273">
        <f>AE151*(1+'2. GRI Pricing Inputs'!$D$114)^((AF$16-AE$16)/365)</f>
        <v>1281.8302830802536</v>
      </c>
      <c r="AG151" s="273">
        <f>AF151*(1+'2. GRI Pricing Inputs'!$D$114)^((AG$16-AF$16)/365)</f>
        <v>1285.8309094183523</v>
      </c>
      <c r="AH151" s="273">
        <f>AG151*(1+'2. GRI Pricing Inputs'!$D$114)^((AH$16-AG$16)/365)</f>
        <v>1290.1212494269221</v>
      </c>
      <c r="AI151" s="273">
        <f>AH151*(1+'2. GRI Pricing Inputs'!$D$114)^((AI$16-AH$16)/365)</f>
        <v>1294.2868209264138</v>
      </c>
      <c r="AJ151" s="273">
        <f>AI151*(1+'2. GRI Pricing Inputs'!$D$114)^((AJ$16-AI$16)/365)</f>
        <v>1298.6053751699862</v>
      </c>
      <c r="AK151" s="273">
        <f>AJ151*(1+'2. GRI Pricing Inputs'!$D$114)^((AK$16-AJ$16)/365)</f>
        <v>1302.7983403988731</v>
      </c>
      <c r="AL151" s="273">
        <f>AK151*(1+'2. GRI Pricing Inputs'!$D$114)^((AL$16-AK$16)/365)</f>
        <v>1307.1452944205646</v>
      </c>
      <c r="AM151" s="273">
        <f>AL151*(1+'2. GRI Pricing Inputs'!$D$114)^((AM$16-AL$16)/365)</f>
        <v>1311.5067526127643</v>
      </c>
      <c r="AN151" s="273">
        <f>AM151*(1+'2. GRI Pricing Inputs'!$D$114)^((AN$16-AM$16)/365)</f>
        <v>1315.7413740892353</v>
      </c>
      <c r="AO151" s="273">
        <f>AN151*(1+'2. GRI Pricing Inputs'!$D$114)^((AO$16-AN$16)/365)</f>
        <v>1320.1315142055116</v>
      </c>
    </row>
    <row r="152" spans="3:41" ht="12" x14ac:dyDescent="0.2">
      <c r="C152" s="76" t="str">
        <f>'1. Accomodation'!N156</f>
        <v>401S</v>
      </c>
      <c r="D152" s="69" t="str">
        <f>'1. Accomodation'!P156</f>
        <v>2 Bed</v>
      </c>
      <c r="E152" s="69">
        <f>'1. Accomodation'!Q156</f>
        <v>2</v>
      </c>
      <c r="F152" s="77">
        <f>'1. Accomodation'!O156</f>
        <v>624</v>
      </c>
      <c r="G152" s="69">
        <f>'1. Accomodation'!R156</f>
        <v>4</v>
      </c>
      <c r="H152" s="69" t="str">
        <f>'1. Accomodation'!S156</f>
        <v>River- Full</v>
      </c>
      <c r="I152" s="62"/>
      <c r="K152" s="272">
        <f>IFERROR(INDEX('2. GRI Pricing Inputs'!$C$15:$AI$16,MATCH($K$16,'2. GRI Pricing Inputs'!$C$15:$C$16,0),MATCH(D152,'2. GRI Pricing Inputs'!$C$15:$AI$15,0)),0)</f>
        <v>1110</v>
      </c>
      <c r="L152" s="273">
        <f>IFERROR(INDEX('2. GRI Pricing Inputs'!$C$22:$AI$23,MATCH($L$16,'2. GRI Pricing Inputs'!$C$22:$C$23,0),MATCH(E152,'2. GRI Pricing Inputs'!$C$22:$AI$22,0)),0)</f>
        <v>0</v>
      </c>
      <c r="M152" s="328">
        <f>IF(AND('3. GRI Pricing'!$F152&gt;='2. GRI Pricing Inputs'!$D$33,'3. GRI Pricing'!$F152&lt;='2. GRI Pricing Inputs'!$E$33),'2. GRI Pricing Inputs'!$D$32,IF(AND('3. GRI Pricing'!$F152&gt;='2. GRI Pricing Inputs'!$F$33,'3. GRI Pricing'!$F152&lt;='2. GRI Pricing Inputs'!$G$33),'2. GRI Pricing Inputs'!$F$32,IF(AND('3. GRI Pricing'!$F152&gt;='2. GRI Pricing Inputs'!$H$33,'3. GRI Pricing'!$F152&lt;='2. GRI Pricing Inputs'!$I$33),'2. GRI Pricing Inputs'!$H$32,IF(AND('3. GRI Pricing'!$F152&gt;='2. GRI Pricing Inputs'!$J$33,'3. GRI Pricing'!$F152&lt;='2. GRI Pricing Inputs'!$K$33),'2. GRI Pricing Inputs'!$J$32,IF(AND('3. GRI Pricing'!$F152&gt;='2. GRI Pricing Inputs'!$L$33,'3. GRI Pricing'!$F152&lt;='2. GRI Pricing Inputs'!$M$33),'2. GRI Pricing Inputs'!$L$32,IF(AND('3. GRI Pricing'!$F152&gt;='2. GRI Pricing Inputs'!$N$33,'3. GRI Pricing'!$F152&lt;='2. GRI Pricing Inputs'!$O$33),'2. GRI Pricing Inputs'!$N$32,IF(AND('3. GRI Pricing'!$F152&gt;='2. GRI Pricing Inputs'!$P$33,'3. GRI Pricing'!$F152&lt;='2. GRI Pricing Inputs'!$Q$33),'2. GRI Pricing Inputs'!$P$32,IF(AND('3. GRI Pricing'!$F152&gt;='2. GRI Pricing Inputs'!$R$33,'3. GRI Pricing'!$F152&lt;='2. GRI Pricing Inputs'!$S$33),'2. GRI Pricing Inputs'!$R$32,IF(AND('3. GRI Pricing'!$F152&gt;='2. GRI Pricing Inputs'!$T$33,'3. GRI Pricing'!$F152&lt;='2. GRI Pricing Inputs'!$U$33),'2. GRI Pricing Inputs'!$T$32,IF(AND('3. GRI Pricing'!$F152&gt;='2. GRI Pricing Inputs'!$V$33,'3. GRI Pricing'!$F152&lt;='2. GRI Pricing Inputs'!$W$33),'2. GRI Pricing Inputs'!$V$32,IF(AND('3. GRI Pricing'!$F152&gt;='2. GRI Pricing Inputs'!$X$33,'3. GRI Pricing'!$F152&lt;='2. GRI Pricing Inputs'!$Y$33),'2. GRI Pricing Inputs'!$X$32,IF(AND('3. GRI Pricing'!$F152&gt;='2. GRI Pricing Inputs'!$Z$33,'3. GRI Pricing'!$F152&lt;='2. GRI Pricing Inputs'!$AA$33),'2. GRI Pricing Inputs'!$Z$32,IF(AND('3. GRI Pricing'!$F152&gt;='2. GRI Pricing Inputs'!$AB$33,'3. GRI Pricing'!$F152&lt;='2. GRI Pricing Inputs'!$AC$33),'2. GRI Pricing Inputs'!$AB$32,IF(AND('3. GRI Pricing'!$F152&gt;='2. GRI Pricing Inputs'!$AD$33,'3. GRI Pricing'!$F152&lt;='2. GRI Pricing Inputs'!$AE$33),'2. GRI Pricing Inputs'!$AD$32,IF(AND('3. GRI Pricing'!$F152&gt;='2. GRI Pricing Inputs'!$AF$33,'3. GRI Pricing'!$F152&lt;='2. GRI Pricing Inputs'!$AG$33),'2. GRI Pricing Inputs'!$AF$32,IF(AND('3. GRI Pricing'!$F152&gt;='2. GRI Pricing Inputs'!$AH$33,'3. GRI Pricing'!$F152&lt;='2. GRI Pricing Inputs'!$AI$33),'2. GRI Pricing Inputs'!$AH$32,0))))))))))))))))</f>
        <v>7</v>
      </c>
      <c r="N152" s="273" cm="1">
        <f t="array" ref="N152">IFERROR(INDEX('2. GRI Pricing Inputs'!$C$32:$AI$39,MATCH('3. GRI Pricing'!D152,'2. GRI Pricing Inputs'!$C$32:$C$39,0),(MATCH('3. GRI Pricing'!M152,'2. GRI Pricing Inputs'!$D$32:$AI$32,0)+1)),0)</f>
        <v>10</v>
      </c>
      <c r="O152" s="273">
        <f>IFERROR(INDEX('2. GRI Pricing Inputs'!$C$45:$AI$46,MATCH($O$16,'2. GRI Pricing Inputs'!$C$45:$C$46,0),MATCH(G152,'2. GRI Pricing Inputs'!$C$45:$AI$45,0)),0)</f>
        <v>70</v>
      </c>
      <c r="P152" s="273">
        <f>IFERROR(INDEX('2. GRI Pricing Inputs'!$C$53:$AI$54,MATCH('3. GRI Pricing'!$P$16,'2. GRI Pricing Inputs'!$C$53:$C$54,0),MATCH('3. GRI Pricing'!H152,'2. GRI Pricing Inputs'!$C$53:$AI$53,0)),0)</f>
        <v>60</v>
      </c>
      <c r="Q152" s="273">
        <f>IFERROR(INDEX('2. GRI Pricing Inputs'!$C$60:$AI$61,MATCH('3. GRI Pricing'!$Q$16,'2. GRI Pricing Inputs'!$C$60:$C$61,0),MATCH('1. Accomodation'!T156,'2. GRI Pricing Inputs'!$C$60:$AI$60,0)),0)</f>
        <v>0</v>
      </c>
      <c r="R152" s="273">
        <f>IFERROR(INDEX('2. GRI Pricing Inputs'!$C$67:$AI$68,MATCH('3. GRI Pricing'!$R$16,'2. GRI Pricing Inputs'!$C$67:$C$68,0),MATCH('1. Accomodation'!U156,'2. GRI Pricing Inputs'!$C$67:$AI$67,0)),0)</f>
        <v>40</v>
      </c>
      <c r="S152" s="273">
        <f>IF(D152=0,0,'2. GRI Pricing Inputs'!$AI$75)</f>
        <v>70</v>
      </c>
      <c r="T152" s="273">
        <f>IFERROR(INDEX('2. GRI Pricing Inputs'!$C$82:$AI$83,MATCH('3. GRI Pricing'!$T$16,'2. GRI Pricing Inputs'!$C$82:$C$83,0),MATCH('1. Accomodation'!V156,'2. GRI Pricing Inputs'!$C$82:$AI$82,0)),0)</f>
        <v>0</v>
      </c>
      <c r="U152" s="273">
        <f>IFERROR(INDEX('2. GRI Pricing Inputs'!$C$89:$AI$90,MATCH('3. GRI Pricing'!$U$16,'2. GRI Pricing Inputs'!$C$89:$C$90,0),MATCH('1. Accomodation'!W156,'2. GRI Pricing Inputs'!$C$89:$AI$89,0)),0)</f>
        <v>0</v>
      </c>
      <c r="V152" s="273">
        <f>IFERROR(INDEX('2. GRI Pricing Inputs'!$C$97:$AI$98,MATCH('3. GRI Pricing'!$V$16,'2. GRI Pricing Inputs'!$C$97:$C$98,0),MATCH('1. Accomodation'!X156,'2. GRI Pricing Inputs'!$C$97:$AI$97,0)),0)</f>
        <v>0</v>
      </c>
      <c r="W152" s="273">
        <f>IFERROR(INDEX('2. GRI Pricing Inputs'!$C$104:$AI$105,MATCH('3. GRI Pricing'!$W$16,'2. GRI Pricing Inputs'!$C$104:$C$105,0),MATCH('1. Accomodation'!Y156,'2. GRI Pricing Inputs'!$C$104:$AI$104,0)),0)</f>
        <v>0</v>
      </c>
      <c r="X152" s="274">
        <v>0</v>
      </c>
      <c r="Y152" s="275">
        <f t="shared" si="9"/>
        <v>1360</v>
      </c>
      <c r="Z152" s="276"/>
      <c r="AA152" s="276"/>
      <c r="AB152" s="276"/>
      <c r="AC152" s="272">
        <f>Y152*(1+'2. GRI Pricing Inputs'!$D$114)^(($AC$16-$AB$15)/365)</f>
        <v>1364.5378147071408</v>
      </c>
      <c r="AD152" s="273">
        <f>AC152*(1+'2. GRI Pricing Inputs'!$D$114)^((AD$16-AC$16)/365)</f>
        <v>1368.9436640282397</v>
      </c>
      <c r="AE152" s="273">
        <f>AD152*(1+'2. GRI Pricing Inputs'!$D$114)^((AE$16-AD$16)/365)</f>
        <v>1373.511320419324</v>
      </c>
      <c r="AF152" s="273">
        <f>AE152*(1+'2. GRI Pricing Inputs'!$D$114)^((AF$16-AE$16)/365)</f>
        <v>1378.0942173827234</v>
      </c>
      <c r="AG152" s="273">
        <f>AF152*(1+'2. GRI Pricing Inputs'!$D$114)^((AG$16-AF$16)/365)</f>
        <v>1382.3952860149877</v>
      </c>
      <c r="AH152" s="273">
        <f>AG152*(1+'2. GRI Pricing Inputs'!$D$114)^((AH$16-AG$16)/365)</f>
        <v>1387.0078254708412</v>
      </c>
      <c r="AI152" s="273">
        <f>AH152*(1+'2. GRI Pricing Inputs'!$D$114)^((AI$16-AH$16)/365)</f>
        <v>1391.4862264505321</v>
      </c>
      <c r="AJ152" s="273">
        <f>AI152*(1+'2. GRI Pricing Inputs'!$D$114)^((AJ$16-AI$16)/365)</f>
        <v>1396.1290989969814</v>
      </c>
      <c r="AK152" s="273">
        <f>AJ152*(1+'2. GRI Pricing Inputs'!$D$114)^((AK$16-AJ$16)/365)</f>
        <v>1400.636950942662</v>
      </c>
      <c r="AL152" s="273">
        <f>AK152*(1+'2. GRI Pricing Inputs'!$D$114)^((AL$16-AK$16)/365)</f>
        <v>1405.3103560568918</v>
      </c>
      <c r="AM152" s="273">
        <f>AL152*(1+'2. GRI Pricing Inputs'!$D$114)^((AM$16-AL$16)/365)</f>
        <v>1409.9993545876362</v>
      </c>
      <c r="AN152" s="273">
        <f>AM152*(1+'2. GRI Pricing Inputs'!$D$114)^((AN$16-AM$16)/365)</f>
        <v>1414.5519911156998</v>
      </c>
      <c r="AO152" s="273">
        <f>AN152*(1+'2. GRI Pricing Inputs'!$D$114)^((AO$16-AN$16)/365)</f>
        <v>1419.2718255490088</v>
      </c>
    </row>
    <row r="153" spans="3:41" ht="12" x14ac:dyDescent="0.2">
      <c r="C153" s="76" t="str">
        <f>'1. Accomodation'!N157</f>
        <v>402S</v>
      </c>
      <c r="D153" s="69" t="str">
        <f>'1. Accomodation'!P157</f>
        <v>2 Bed</v>
      </c>
      <c r="E153" s="69">
        <f>'1. Accomodation'!Q157</f>
        <v>2</v>
      </c>
      <c r="F153" s="77">
        <f>'1. Accomodation'!O157</f>
        <v>603</v>
      </c>
      <c r="G153" s="69">
        <f>'1. Accomodation'!R157</f>
        <v>4</v>
      </c>
      <c r="H153" s="69" t="str">
        <f>'1. Accomodation'!S157</f>
        <v>River- Full</v>
      </c>
      <c r="I153" s="62"/>
      <c r="K153" s="272">
        <f>IFERROR(INDEX('2. GRI Pricing Inputs'!$C$15:$AI$16,MATCH($K$16,'2. GRI Pricing Inputs'!$C$15:$C$16,0),MATCH(D153,'2. GRI Pricing Inputs'!$C$15:$AI$15,0)),0)</f>
        <v>1110</v>
      </c>
      <c r="L153" s="273">
        <f>IFERROR(INDEX('2. GRI Pricing Inputs'!$C$22:$AI$23,MATCH($L$16,'2. GRI Pricing Inputs'!$C$22:$C$23,0),MATCH(E153,'2. GRI Pricing Inputs'!$C$22:$AI$22,0)),0)</f>
        <v>0</v>
      </c>
      <c r="M153" s="328">
        <f>IF(AND('3. GRI Pricing'!$F153&gt;='2. GRI Pricing Inputs'!$D$33,'3. GRI Pricing'!$F153&lt;='2. GRI Pricing Inputs'!$E$33),'2. GRI Pricing Inputs'!$D$32,IF(AND('3. GRI Pricing'!$F153&gt;='2. GRI Pricing Inputs'!$F$33,'3. GRI Pricing'!$F153&lt;='2. GRI Pricing Inputs'!$G$33),'2. GRI Pricing Inputs'!$F$32,IF(AND('3. GRI Pricing'!$F153&gt;='2. GRI Pricing Inputs'!$H$33,'3. GRI Pricing'!$F153&lt;='2. GRI Pricing Inputs'!$I$33),'2. GRI Pricing Inputs'!$H$32,IF(AND('3. GRI Pricing'!$F153&gt;='2. GRI Pricing Inputs'!$J$33,'3. GRI Pricing'!$F153&lt;='2. GRI Pricing Inputs'!$K$33),'2. GRI Pricing Inputs'!$J$32,IF(AND('3. GRI Pricing'!$F153&gt;='2. GRI Pricing Inputs'!$L$33,'3. GRI Pricing'!$F153&lt;='2. GRI Pricing Inputs'!$M$33),'2. GRI Pricing Inputs'!$L$32,IF(AND('3. GRI Pricing'!$F153&gt;='2. GRI Pricing Inputs'!$N$33,'3. GRI Pricing'!$F153&lt;='2. GRI Pricing Inputs'!$O$33),'2. GRI Pricing Inputs'!$N$32,IF(AND('3. GRI Pricing'!$F153&gt;='2. GRI Pricing Inputs'!$P$33,'3. GRI Pricing'!$F153&lt;='2. GRI Pricing Inputs'!$Q$33),'2. GRI Pricing Inputs'!$P$32,IF(AND('3. GRI Pricing'!$F153&gt;='2. GRI Pricing Inputs'!$R$33,'3. GRI Pricing'!$F153&lt;='2. GRI Pricing Inputs'!$S$33),'2. GRI Pricing Inputs'!$R$32,IF(AND('3. GRI Pricing'!$F153&gt;='2. GRI Pricing Inputs'!$T$33,'3. GRI Pricing'!$F153&lt;='2. GRI Pricing Inputs'!$U$33),'2. GRI Pricing Inputs'!$T$32,IF(AND('3. GRI Pricing'!$F153&gt;='2. GRI Pricing Inputs'!$V$33,'3. GRI Pricing'!$F153&lt;='2. GRI Pricing Inputs'!$W$33),'2. GRI Pricing Inputs'!$V$32,IF(AND('3. GRI Pricing'!$F153&gt;='2. GRI Pricing Inputs'!$X$33,'3. GRI Pricing'!$F153&lt;='2. GRI Pricing Inputs'!$Y$33),'2. GRI Pricing Inputs'!$X$32,IF(AND('3. GRI Pricing'!$F153&gt;='2. GRI Pricing Inputs'!$Z$33,'3. GRI Pricing'!$F153&lt;='2. GRI Pricing Inputs'!$AA$33),'2. GRI Pricing Inputs'!$Z$32,IF(AND('3. GRI Pricing'!$F153&gt;='2. GRI Pricing Inputs'!$AB$33,'3. GRI Pricing'!$F153&lt;='2. GRI Pricing Inputs'!$AC$33),'2. GRI Pricing Inputs'!$AB$32,IF(AND('3. GRI Pricing'!$F153&gt;='2. GRI Pricing Inputs'!$AD$33,'3. GRI Pricing'!$F153&lt;='2. GRI Pricing Inputs'!$AE$33),'2. GRI Pricing Inputs'!$AD$32,IF(AND('3. GRI Pricing'!$F153&gt;='2. GRI Pricing Inputs'!$AF$33,'3. GRI Pricing'!$F153&lt;='2. GRI Pricing Inputs'!$AG$33),'2. GRI Pricing Inputs'!$AF$32,IF(AND('3. GRI Pricing'!$F153&gt;='2. GRI Pricing Inputs'!$AH$33,'3. GRI Pricing'!$F153&lt;='2. GRI Pricing Inputs'!$AI$33),'2. GRI Pricing Inputs'!$AH$32,0))))))))))))))))</f>
        <v>6</v>
      </c>
      <c r="N153" s="273" cm="1">
        <f t="array" ref="N153">IFERROR(INDEX('2. GRI Pricing Inputs'!$C$32:$AI$39,MATCH('3. GRI Pricing'!D153,'2. GRI Pricing Inputs'!$C$32:$C$39,0),(MATCH('3. GRI Pricing'!M153,'2. GRI Pricing Inputs'!$D$32:$AI$32,0)+1)),0)</f>
        <v>5</v>
      </c>
      <c r="O153" s="273">
        <f>IFERROR(INDEX('2. GRI Pricing Inputs'!$C$45:$AI$46,MATCH($O$16,'2. GRI Pricing Inputs'!$C$45:$C$46,0),MATCH(G153,'2. GRI Pricing Inputs'!$C$45:$AI$45,0)),0)</f>
        <v>70</v>
      </c>
      <c r="P153" s="273">
        <f>IFERROR(INDEX('2. GRI Pricing Inputs'!$C$53:$AI$54,MATCH('3. GRI Pricing'!$P$16,'2. GRI Pricing Inputs'!$C$53:$C$54,0),MATCH('3. GRI Pricing'!H153,'2. GRI Pricing Inputs'!$C$53:$AI$53,0)),0)</f>
        <v>60</v>
      </c>
      <c r="Q153" s="273">
        <f>IFERROR(INDEX('2. GRI Pricing Inputs'!$C$60:$AI$61,MATCH('3. GRI Pricing'!$Q$16,'2. GRI Pricing Inputs'!$C$60:$C$61,0),MATCH('1. Accomodation'!T157,'2. GRI Pricing Inputs'!$C$60:$AI$60,0)),0)</f>
        <v>0</v>
      </c>
      <c r="R153" s="273">
        <f>IFERROR(INDEX('2. GRI Pricing Inputs'!$C$67:$AI$68,MATCH('3. GRI Pricing'!$R$16,'2. GRI Pricing Inputs'!$C$67:$C$68,0),MATCH('1. Accomodation'!U157,'2. GRI Pricing Inputs'!$C$67:$AI$67,0)),0)</f>
        <v>40</v>
      </c>
      <c r="S153" s="273">
        <f>IF(D153=0,0,'2. GRI Pricing Inputs'!$AI$75)</f>
        <v>70</v>
      </c>
      <c r="T153" s="273">
        <f>IFERROR(INDEX('2. GRI Pricing Inputs'!$C$82:$AI$83,MATCH('3. GRI Pricing'!$T$16,'2. GRI Pricing Inputs'!$C$82:$C$83,0),MATCH('1. Accomodation'!V157,'2. GRI Pricing Inputs'!$C$82:$AI$82,0)),0)</f>
        <v>0</v>
      </c>
      <c r="U153" s="273">
        <f>IFERROR(INDEX('2. GRI Pricing Inputs'!$C$89:$AI$90,MATCH('3. GRI Pricing'!$U$16,'2. GRI Pricing Inputs'!$C$89:$C$90,0),MATCH('1. Accomodation'!W157,'2. GRI Pricing Inputs'!$C$89:$AI$89,0)),0)</f>
        <v>0</v>
      </c>
      <c r="V153" s="273">
        <f>IFERROR(INDEX('2. GRI Pricing Inputs'!$C$97:$AI$98,MATCH('3. GRI Pricing'!$V$16,'2. GRI Pricing Inputs'!$C$97:$C$98,0),MATCH('1. Accomodation'!X157,'2. GRI Pricing Inputs'!$C$97:$AI$97,0)),0)</f>
        <v>0</v>
      </c>
      <c r="W153" s="273">
        <f>IFERROR(INDEX('2. GRI Pricing Inputs'!$C$104:$AI$105,MATCH('3. GRI Pricing'!$W$16,'2. GRI Pricing Inputs'!$C$104:$C$105,0),MATCH('1. Accomodation'!Y157,'2. GRI Pricing Inputs'!$C$104:$AI$104,0)),0)</f>
        <v>0</v>
      </c>
      <c r="X153" s="274">
        <v>0</v>
      </c>
      <c r="Y153" s="275">
        <f t="shared" si="9"/>
        <v>1355</v>
      </c>
      <c r="Z153" s="276"/>
      <c r="AA153" s="276"/>
      <c r="AB153" s="276"/>
      <c r="AC153" s="272">
        <f>Y153*(1+'2. GRI Pricing Inputs'!$D$114)^(($AC$16-$AB$15)/365)</f>
        <v>1359.5211315648351</v>
      </c>
      <c r="AD153" s="273">
        <f>AC153*(1+'2. GRI Pricing Inputs'!$D$114)^((AD$16-AC$16)/365)</f>
        <v>1363.9107829104889</v>
      </c>
      <c r="AE153" s="273">
        <f>AD153*(1+'2. GRI Pricing Inputs'!$D$114)^((AE$16-AD$16)/365)</f>
        <v>1368.4616464471942</v>
      </c>
      <c r="AF153" s="273">
        <f>AE153*(1+'2. GRI Pricing Inputs'!$D$114)^((AF$16-AE$16)/365)</f>
        <v>1373.0276945246987</v>
      </c>
      <c r="AG153" s="273">
        <f>AF153*(1+'2. GRI Pricing Inputs'!$D$114)^((AG$16-AF$16)/365)</f>
        <v>1377.3129504046385</v>
      </c>
      <c r="AH153" s="273">
        <f>AG153*(1+'2. GRI Pricing Inputs'!$D$114)^((AH$16-AG$16)/365)</f>
        <v>1381.9085319948456</v>
      </c>
      <c r="AI153" s="273">
        <f>AH153*(1+'2. GRI Pricing Inputs'!$D$114)^((AI$16-AH$16)/365)</f>
        <v>1386.3704682650523</v>
      </c>
      <c r="AJ153" s="273">
        <f>AI153*(1+'2. GRI Pricing Inputs'!$D$114)^((AJ$16-AI$16)/365)</f>
        <v>1390.9962714271396</v>
      </c>
      <c r="AK153" s="273">
        <f>AJ153*(1+'2. GRI Pricing Inputs'!$D$114)^((AK$16-AJ$16)/365)</f>
        <v>1395.4875503877258</v>
      </c>
      <c r="AL153" s="273">
        <f>AK153*(1+'2. GRI Pricing Inputs'!$D$114)^((AL$16-AK$16)/365)</f>
        <v>1400.1437738655061</v>
      </c>
      <c r="AM153" s="273">
        <f>AL153*(1+'2. GRI Pricing Inputs'!$D$114)^((AM$16-AL$16)/365)</f>
        <v>1404.8155334310638</v>
      </c>
      <c r="AN153" s="273">
        <f>AM153*(1+'2. GRI Pricing Inputs'!$D$114)^((AN$16-AM$16)/365)</f>
        <v>1409.3514323248332</v>
      </c>
      <c r="AO153" s="273">
        <f>AN153*(1+'2. GRI Pricing Inputs'!$D$114)^((AO$16-AN$16)/365)</f>
        <v>1414.0539144256668</v>
      </c>
    </row>
    <row r="154" spans="3:41" ht="12" x14ac:dyDescent="0.2">
      <c r="C154" s="76" t="str">
        <f>'1. Accomodation'!N158</f>
        <v>403S</v>
      </c>
      <c r="D154" s="69" t="str">
        <f>'1. Accomodation'!P158</f>
        <v>2 Bed</v>
      </c>
      <c r="E154" s="69">
        <f>'1. Accomodation'!Q158</f>
        <v>2</v>
      </c>
      <c r="F154" s="77">
        <f>'1. Accomodation'!O158</f>
        <v>614</v>
      </c>
      <c r="G154" s="69">
        <f>'1. Accomodation'!R158</f>
        <v>4</v>
      </c>
      <c r="H154" s="69" t="str">
        <f>'1. Accomodation'!S158</f>
        <v>River- Full</v>
      </c>
      <c r="I154" s="62"/>
      <c r="K154" s="272">
        <f>IFERROR(INDEX('2. GRI Pricing Inputs'!$C$15:$AI$16,MATCH($K$16,'2. GRI Pricing Inputs'!$C$15:$C$16,0),MATCH(D154,'2. GRI Pricing Inputs'!$C$15:$AI$15,0)),0)</f>
        <v>1110</v>
      </c>
      <c r="L154" s="273">
        <f>IFERROR(INDEX('2. GRI Pricing Inputs'!$C$22:$AI$23,MATCH($L$16,'2. GRI Pricing Inputs'!$C$22:$C$23,0),MATCH(E154,'2. GRI Pricing Inputs'!$C$22:$AI$22,0)),0)</f>
        <v>0</v>
      </c>
      <c r="M154" s="328">
        <f>IF(AND('3. GRI Pricing'!$F154&gt;='2. GRI Pricing Inputs'!$D$33,'3. GRI Pricing'!$F154&lt;='2. GRI Pricing Inputs'!$E$33),'2. GRI Pricing Inputs'!$D$32,IF(AND('3. GRI Pricing'!$F154&gt;='2. GRI Pricing Inputs'!$F$33,'3. GRI Pricing'!$F154&lt;='2. GRI Pricing Inputs'!$G$33),'2. GRI Pricing Inputs'!$F$32,IF(AND('3. GRI Pricing'!$F154&gt;='2. GRI Pricing Inputs'!$H$33,'3. GRI Pricing'!$F154&lt;='2. GRI Pricing Inputs'!$I$33),'2. GRI Pricing Inputs'!$H$32,IF(AND('3. GRI Pricing'!$F154&gt;='2. GRI Pricing Inputs'!$J$33,'3. GRI Pricing'!$F154&lt;='2. GRI Pricing Inputs'!$K$33),'2. GRI Pricing Inputs'!$J$32,IF(AND('3. GRI Pricing'!$F154&gt;='2. GRI Pricing Inputs'!$L$33,'3. GRI Pricing'!$F154&lt;='2. GRI Pricing Inputs'!$M$33),'2. GRI Pricing Inputs'!$L$32,IF(AND('3. GRI Pricing'!$F154&gt;='2. GRI Pricing Inputs'!$N$33,'3. GRI Pricing'!$F154&lt;='2. GRI Pricing Inputs'!$O$33),'2. GRI Pricing Inputs'!$N$32,IF(AND('3. GRI Pricing'!$F154&gt;='2. GRI Pricing Inputs'!$P$33,'3. GRI Pricing'!$F154&lt;='2. GRI Pricing Inputs'!$Q$33),'2. GRI Pricing Inputs'!$P$32,IF(AND('3. GRI Pricing'!$F154&gt;='2. GRI Pricing Inputs'!$R$33,'3. GRI Pricing'!$F154&lt;='2. GRI Pricing Inputs'!$S$33),'2. GRI Pricing Inputs'!$R$32,IF(AND('3. GRI Pricing'!$F154&gt;='2. GRI Pricing Inputs'!$T$33,'3. GRI Pricing'!$F154&lt;='2. GRI Pricing Inputs'!$U$33),'2. GRI Pricing Inputs'!$T$32,IF(AND('3. GRI Pricing'!$F154&gt;='2. GRI Pricing Inputs'!$V$33,'3. GRI Pricing'!$F154&lt;='2. GRI Pricing Inputs'!$W$33),'2. GRI Pricing Inputs'!$V$32,IF(AND('3. GRI Pricing'!$F154&gt;='2. GRI Pricing Inputs'!$X$33,'3. GRI Pricing'!$F154&lt;='2. GRI Pricing Inputs'!$Y$33),'2. GRI Pricing Inputs'!$X$32,IF(AND('3. GRI Pricing'!$F154&gt;='2. GRI Pricing Inputs'!$Z$33,'3. GRI Pricing'!$F154&lt;='2. GRI Pricing Inputs'!$AA$33),'2. GRI Pricing Inputs'!$Z$32,IF(AND('3. GRI Pricing'!$F154&gt;='2. GRI Pricing Inputs'!$AB$33,'3. GRI Pricing'!$F154&lt;='2. GRI Pricing Inputs'!$AC$33),'2. GRI Pricing Inputs'!$AB$32,IF(AND('3. GRI Pricing'!$F154&gt;='2. GRI Pricing Inputs'!$AD$33,'3. GRI Pricing'!$F154&lt;='2. GRI Pricing Inputs'!$AE$33),'2. GRI Pricing Inputs'!$AD$32,IF(AND('3. GRI Pricing'!$F154&gt;='2. GRI Pricing Inputs'!$AF$33,'3. GRI Pricing'!$F154&lt;='2. GRI Pricing Inputs'!$AG$33),'2. GRI Pricing Inputs'!$AF$32,IF(AND('3. GRI Pricing'!$F154&gt;='2. GRI Pricing Inputs'!$AH$33,'3. GRI Pricing'!$F154&lt;='2. GRI Pricing Inputs'!$AI$33),'2. GRI Pricing Inputs'!$AH$32,0))))))))))))))))</f>
        <v>6</v>
      </c>
      <c r="N154" s="273" cm="1">
        <f t="array" ref="N154">IFERROR(INDEX('2. GRI Pricing Inputs'!$C$32:$AI$39,MATCH('3. GRI Pricing'!D154,'2. GRI Pricing Inputs'!$C$32:$C$39,0),(MATCH('3. GRI Pricing'!M154,'2. GRI Pricing Inputs'!$D$32:$AI$32,0)+1)),0)</f>
        <v>5</v>
      </c>
      <c r="O154" s="273">
        <f>IFERROR(INDEX('2. GRI Pricing Inputs'!$C$45:$AI$46,MATCH($O$16,'2. GRI Pricing Inputs'!$C$45:$C$46,0),MATCH(G154,'2. GRI Pricing Inputs'!$C$45:$AI$45,0)),0)</f>
        <v>70</v>
      </c>
      <c r="P154" s="273">
        <f>IFERROR(INDEX('2. GRI Pricing Inputs'!$C$53:$AI$54,MATCH('3. GRI Pricing'!$P$16,'2. GRI Pricing Inputs'!$C$53:$C$54,0),MATCH('3. GRI Pricing'!H154,'2. GRI Pricing Inputs'!$C$53:$AI$53,0)),0)</f>
        <v>60</v>
      </c>
      <c r="Q154" s="273">
        <f>IFERROR(INDEX('2. GRI Pricing Inputs'!$C$60:$AI$61,MATCH('3. GRI Pricing'!$Q$16,'2. GRI Pricing Inputs'!$C$60:$C$61,0),MATCH('1. Accomodation'!T158,'2. GRI Pricing Inputs'!$C$60:$AI$60,0)),0)</f>
        <v>0</v>
      </c>
      <c r="R154" s="273">
        <f>IFERROR(INDEX('2. GRI Pricing Inputs'!$C$67:$AI$68,MATCH('3. GRI Pricing'!$R$16,'2. GRI Pricing Inputs'!$C$67:$C$68,0),MATCH('1. Accomodation'!U158,'2. GRI Pricing Inputs'!$C$67:$AI$67,0)),0)</f>
        <v>40</v>
      </c>
      <c r="S154" s="273">
        <f>IF(D154=0,0,'2. GRI Pricing Inputs'!$AI$75)</f>
        <v>70</v>
      </c>
      <c r="T154" s="273">
        <f>IFERROR(INDEX('2. GRI Pricing Inputs'!$C$82:$AI$83,MATCH('3. GRI Pricing'!$T$16,'2. GRI Pricing Inputs'!$C$82:$C$83,0),MATCH('1. Accomodation'!V158,'2. GRI Pricing Inputs'!$C$82:$AI$82,0)),0)</f>
        <v>0</v>
      </c>
      <c r="U154" s="273">
        <f>IFERROR(INDEX('2. GRI Pricing Inputs'!$C$89:$AI$90,MATCH('3. GRI Pricing'!$U$16,'2. GRI Pricing Inputs'!$C$89:$C$90,0),MATCH('1. Accomodation'!W158,'2. GRI Pricing Inputs'!$C$89:$AI$89,0)),0)</f>
        <v>0</v>
      </c>
      <c r="V154" s="273">
        <f>IFERROR(INDEX('2. GRI Pricing Inputs'!$C$97:$AI$98,MATCH('3. GRI Pricing'!$V$16,'2. GRI Pricing Inputs'!$C$97:$C$98,0),MATCH('1. Accomodation'!X158,'2. GRI Pricing Inputs'!$C$97:$AI$97,0)),0)</f>
        <v>0</v>
      </c>
      <c r="W154" s="273">
        <f>IFERROR(INDEX('2. GRI Pricing Inputs'!$C$104:$AI$105,MATCH('3. GRI Pricing'!$W$16,'2. GRI Pricing Inputs'!$C$104:$C$105,0),MATCH('1. Accomodation'!Y158,'2. GRI Pricing Inputs'!$C$104:$AI$104,0)),0)</f>
        <v>0</v>
      </c>
      <c r="X154" s="274">
        <v>0</v>
      </c>
      <c r="Y154" s="275">
        <f t="shared" si="9"/>
        <v>1355</v>
      </c>
      <c r="Z154" s="276"/>
      <c r="AA154" s="276"/>
      <c r="AB154" s="276"/>
      <c r="AC154" s="272">
        <f>Y154*(1+'2. GRI Pricing Inputs'!$D$114)^(($AC$16-$AB$15)/365)</f>
        <v>1359.5211315648351</v>
      </c>
      <c r="AD154" s="273">
        <f>AC154*(1+'2. GRI Pricing Inputs'!$D$114)^((AD$16-AC$16)/365)</f>
        <v>1363.9107829104889</v>
      </c>
      <c r="AE154" s="273">
        <f>AD154*(1+'2. GRI Pricing Inputs'!$D$114)^((AE$16-AD$16)/365)</f>
        <v>1368.4616464471942</v>
      </c>
      <c r="AF154" s="273">
        <f>AE154*(1+'2. GRI Pricing Inputs'!$D$114)^((AF$16-AE$16)/365)</f>
        <v>1373.0276945246987</v>
      </c>
      <c r="AG154" s="273">
        <f>AF154*(1+'2. GRI Pricing Inputs'!$D$114)^((AG$16-AF$16)/365)</f>
        <v>1377.3129504046385</v>
      </c>
      <c r="AH154" s="273">
        <f>AG154*(1+'2. GRI Pricing Inputs'!$D$114)^((AH$16-AG$16)/365)</f>
        <v>1381.9085319948456</v>
      </c>
      <c r="AI154" s="273">
        <f>AH154*(1+'2. GRI Pricing Inputs'!$D$114)^((AI$16-AH$16)/365)</f>
        <v>1386.3704682650523</v>
      </c>
      <c r="AJ154" s="273">
        <f>AI154*(1+'2. GRI Pricing Inputs'!$D$114)^((AJ$16-AI$16)/365)</f>
        <v>1390.9962714271396</v>
      </c>
      <c r="AK154" s="273">
        <f>AJ154*(1+'2. GRI Pricing Inputs'!$D$114)^((AK$16-AJ$16)/365)</f>
        <v>1395.4875503877258</v>
      </c>
      <c r="AL154" s="273">
        <f>AK154*(1+'2. GRI Pricing Inputs'!$D$114)^((AL$16-AK$16)/365)</f>
        <v>1400.1437738655061</v>
      </c>
      <c r="AM154" s="273">
        <f>AL154*(1+'2. GRI Pricing Inputs'!$D$114)^((AM$16-AL$16)/365)</f>
        <v>1404.8155334310638</v>
      </c>
      <c r="AN154" s="273">
        <f>AM154*(1+'2. GRI Pricing Inputs'!$D$114)^((AN$16-AM$16)/365)</f>
        <v>1409.3514323248332</v>
      </c>
      <c r="AO154" s="273">
        <f>AN154*(1+'2. GRI Pricing Inputs'!$D$114)^((AO$16-AN$16)/365)</f>
        <v>1414.0539144256668</v>
      </c>
    </row>
    <row r="155" spans="3:41" ht="12" x14ac:dyDescent="0.2">
      <c r="C155" s="76" t="str">
        <f>'1. Accomodation'!N159</f>
        <v>404S</v>
      </c>
      <c r="D155" s="69" t="str">
        <f>'1. Accomodation'!P159</f>
        <v>3 Bed</v>
      </c>
      <c r="E155" s="69">
        <f>'1. Accomodation'!Q159</f>
        <v>3</v>
      </c>
      <c r="F155" s="77">
        <f>'1. Accomodation'!O159</f>
        <v>829</v>
      </c>
      <c r="G155" s="69">
        <f>'1. Accomodation'!R159</f>
        <v>4</v>
      </c>
      <c r="H155" s="69" t="str">
        <f>'1. Accomodation'!S159</f>
        <v>River- Full</v>
      </c>
      <c r="I155" s="62"/>
      <c r="K155" s="272">
        <f>IFERROR(INDEX('2. GRI Pricing Inputs'!$C$15:$AI$16,MATCH($K$16,'2. GRI Pricing Inputs'!$C$15:$C$16,0),MATCH(D155,'2. GRI Pricing Inputs'!$C$15:$AI$15,0)),0)</f>
        <v>1485</v>
      </c>
      <c r="L155" s="273">
        <f>IFERROR(INDEX('2. GRI Pricing Inputs'!$C$22:$AI$23,MATCH($L$16,'2. GRI Pricing Inputs'!$C$22:$C$23,0),MATCH(E155,'2. GRI Pricing Inputs'!$C$22:$AI$22,0)),0)</f>
        <v>0</v>
      </c>
      <c r="M155" s="328">
        <f>IF(AND('3. GRI Pricing'!$F155&gt;='2. GRI Pricing Inputs'!$D$33,'3. GRI Pricing'!$F155&lt;='2. GRI Pricing Inputs'!$E$33),'2. GRI Pricing Inputs'!$D$32,IF(AND('3. GRI Pricing'!$F155&gt;='2. GRI Pricing Inputs'!$F$33,'3. GRI Pricing'!$F155&lt;='2. GRI Pricing Inputs'!$G$33),'2. GRI Pricing Inputs'!$F$32,IF(AND('3. GRI Pricing'!$F155&gt;='2. GRI Pricing Inputs'!$H$33,'3. GRI Pricing'!$F155&lt;='2. GRI Pricing Inputs'!$I$33),'2. GRI Pricing Inputs'!$H$32,IF(AND('3. GRI Pricing'!$F155&gt;='2. GRI Pricing Inputs'!$J$33,'3. GRI Pricing'!$F155&lt;='2. GRI Pricing Inputs'!$K$33),'2. GRI Pricing Inputs'!$J$32,IF(AND('3. GRI Pricing'!$F155&gt;='2. GRI Pricing Inputs'!$L$33,'3. GRI Pricing'!$F155&lt;='2. GRI Pricing Inputs'!$M$33),'2. GRI Pricing Inputs'!$L$32,IF(AND('3. GRI Pricing'!$F155&gt;='2. GRI Pricing Inputs'!$N$33,'3. GRI Pricing'!$F155&lt;='2. GRI Pricing Inputs'!$O$33),'2. GRI Pricing Inputs'!$N$32,IF(AND('3. GRI Pricing'!$F155&gt;='2. GRI Pricing Inputs'!$P$33,'3. GRI Pricing'!$F155&lt;='2. GRI Pricing Inputs'!$Q$33),'2. GRI Pricing Inputs'!$P$32,IF(AND('3. GRI Pricing'!$F155&gt;='2. GRI Pricing Inputs'!$R$33,'3. GRI Pricing'!$F155&lt;='2. GRI Pricing Inputs'!$S$33),'2. GRI Pricing Inputs'!$R$32,IF(AND('3. GRI Pricing'!$F155&gt;='2. GRI Pricing Inputs'!$T$33,'3. GRI Pricing'!$F155&lt;='2. GRI Pricing Inputs'!$U$33),'2. GRI Pricing Inputs'!$T$32,IF(AND('3. GRI Pricing'!$F155&gt;='2. GRI Pricing Inputs'!$V$33,'3. GRI Pricing'!$F155&lt;='2. GRI Pricing Inputs'!$W$33),'2. GRI Pricing Inputs'!$V$32,IF(AND('3. GRI Pricing'!$F155&gt;='2. GRI Pricing Inputs'!$X$33,'3. GRI Pricing'!$F155&lt;='2. GRI Pricing Inputs'!$Y$33),'2. GRI Pricing Inputs'!$X$32,IF(AND('3. GRI Pricing'!$F155&gt;='2. GRI Pricing Inputs'!$Z$33,'3. GRI Pricing'!$F155&lt;='2. GRI Pricing Inputs'!$AA$33),'2. GRI Pricing Inputs'!$Z$32,IF(AND('3. GRI Pricing'!$F155&gt;='2. GRI Pricing Inputs'!$AB$33,'3. GRI Pricing'!$F155&lt;='2. GRI Pricing Inputs'!$AC$33),'2. GRI Pricing Inputs'!$AB$32,IF(AND('3. GRI Pricing'!$F155&gt;='2. GRI Pricing Inputs'!$AD$33,'3. GRI Pricing'!$F155&lt;='2. GRI Pricing Inputs'!$AE$33),'2. GRI Pricing Inputs'!$AD$32,IF(AND('3. GRI Pricing'!$F155&gt;='2. GRI Pricing Inputs'!$AF$33,'3. GRI Pricing'!$F155&lt;='2. GRI Pricing Inputs'!$AG$33),'2. GRI Pricing Inputs'!$AF$32,IF(AND('3. GRI Pricing'!$F155&gt;='2. GRI Pricing Inputs'!$AH$33,'3. GRI Pricing'!$F155&lt;='2. GRI Pricing Inputs'!$AI$33),'2. GRI Pricing Inputs'!$AH$32,0))))))))))))))))</f>
        <v>14</v>
      </c>
      <c r="N155" s="273" cm="1">
        <f t="array" ref="N155">IFERROR(INDEX('2. GRI Pricing Inputs'!$C$32:$AI$39,MATCH('3. GRI Pricing'!D155,'2. GRI Pricing Inputs'!$C$32:$C$39,0),(MATCH('3. GRI Pricing'!M155,'2. GRI Pricing Inputs'!$D$32:$AI$32,0)+1)),0)</f>
        <v>60</v>
      </c>
      <c r="O155" s="273">
        <f>IFERROR(INDEX('2. GRI Pricing Inputs'!$C$45:$AI$46,MATCH($O$16,'2. GRI Pricing Inputs'!$C$45:$C$46,0),MATCH(G155,'2. GRI Pricing Inputs'!$C$45:$AI$45,0)),0)</f>
        <v>70</v>
      </c>
      <c r="P155" s="273">
        <f>IFERROR(INDEX('2. GRI Pricing Inputs'!$C$53:$AI$54,MATCH('3. GRI Pricing'!$P$16,'2. GRI Pricing Inputs'!$C$53:$C$54,0),MATCH('3. GRI Pricing'!H155,'2. GRI Pricing Inputs'!$C$53:$AI$53,0)),0)</f>
        <v>60</v>
      </c>
      <c r="Q155" s="273">
        <f>IFERROR(INDEX('2. GRI Pricing Inputs'!$C$60:$AI$61,MATCH('3. GRI Pricing'!$Q$16,'2. GRI Pricing Inputs'!$C$60:$C$61,0),MATCH('1. Accomodation'!T159,'2. GRI Pricing Inputs'!$C$60:$AI$60,0)),0)</f>
        <v>0</v>
      </c>
      <c r="R155" s="273">
        <f>IFERROR(INDEX('2. GRI Pricing Inputs'!$C$67:$AI$68,MATCH('3. GRI Pricing'!$R$16,'2. GRI Pricing Inputs'!$C$67:$C$68,0),MATCH('1. Accomodation'!U159,'2. GRI Pricing Inputs'!$C$67:$AI$67,0)),0)</f>
        <v>40</v>
      </c>
      <c r="S155" s="273">
        <f>IF(D155=0,0,'2. GRI Pricing Inputs'!$AI$75)</f>
        <v>70</v>
      </c>
      <c r="T155" s="273">
        <f>IFERROR(INDEX('2. GRI Pricing Inputs'!$C$82:$AI$83,MATCH('3. GRI Pricing'!$T$16,'2. GRI Pricing Inputs'!$C$82:$C$83,0),MATCH('1. Accomodation'!V159,'2. GRI Pricing Inputs'!$C$82:$AI$82,0)),0)</f>
        <v>0</v>
      </c>
      <c r="U155" s="273">
        <f>IFERROR(INDEX('2. GRI Pricing Inputs'!$C$89:$AI$90,MATCH('3. GRI Pricing'!$U$16,'2. GRI Pricing Inputs'!$C$89:$C$90,0),MATCH('1. Accomodation'!W159,'2. GRI Pricing Inputs'!$C$89:$AI$89,0)),0)</f>
        <v>0</v>
      </c>
      <c r="V155" s="273">
        <f>IFERROR(INDEX('2. GRI Pricing Inputs'!$C$97:$AI$98,MATCH('3. GRI Pricing'!$V$16,'2. GRI Pricing Inputs'!$C$97:$C$98,0),MATCH('1. Accomodation'!X159,'2. GRI Pricing Inputs'!$C$97:$AI$97,0)),0)</f>
        <v>0</v>
      </c>
      <c r="W155" s="273">
        <f>IFERROR(INDEX('2. GRI Pricing Inputs'!$C$104:$AI$105,MATCH('3. GRI Pricing'!$W$16,'2. GRI Pricing Inputs'!$C$104:$C$105,0),MATCH('1. Accomodation'!Y159,'2. GRI Pricing Inputs'!$C$104:$AI$104,0)),0)</f>
        <v>0</v>
      </c>
      <c r="X155" s="274">
        <v>0</v>
      </c>
      <c r="Y155" s="275">
        <f t="shared" si="9"/>
        <v>1785</v>
      </c>
      <c r="Z155" s="276"/>
      <c r="AA155" s="276"/>
      <c r="AB155" s="276"/>
      <c r="AC155" s="272">
        <f>Y155*(1+'2. GRI Pricing Inputs'!$D$114)^(($AC$16-$AB$15)/365)</f>
        <v>1790.9558818031223</v>
      </c>
      <c r="AD155" s="273">
        <f>AC155*(1+'2. GRI Pricing Inputs'!$D$114)^((AD$16-AC$16)/365)</f>
        <v>1796.7385590370648</v>
      </c>
      <c r="AE155" s="273">
        <f>AD155*(1+'2. GRI Pricing Inputs'!$D$114)^((AE$16-AD$16)/365)</f>
        <v>1802.7336080503628</v>
      </c>
      <c r="AF155" s="273">
        <f>AE155*(1+'2. GRI Pricing Inputs'!$D$114)^((AF$16-AE$16)/365)</f>
        <v>1808.7486603148245</v>
      </c>
      <c r="AG155" s="273">
        <f>AF155*(1+'2. GRI Pricing Inputs'!$D$114)^((AG$16-AF$16)/365)</f>
        <v>1814.3938128946716</v>
      </c>
      <c r="AH155" s="273">
        <f>AG155*(1+'2. GRI Pricing Inputs'!$D$114)^((AH$16-AG$16)/365)</f>
        <v>1820.4477709304795</v>
      </c>
      <c r="AI155" s="273">
        <f>AH155*(1+'2. GRI Pricing Inputs'!$D$114)^((AI$16-AH$16)/365)</f>
        <v>1826.3256722163237</v>
      </c>
      <c r="AJ155" s="273">
        <f>AI155*(1+'2. GRI Pricing Inputs'!$D$114)^((AJ$16-AI$16)/365)</f>
        <v>1832.4194424335385</v>
      </c>
      <c r="AK155" s="273">
        <f>AJ155*(1+'2. GRI Pricing Inputs'!$D$114)^((AK$16-AJ$16)/365)</f>
        <v>1838.3359981122444</v>
      </c>
      <c r="AL155" s="273">
        <f>AK155*(1+'2. GRI Pricing Inputs'!$D$114)^((AL$16-AK$16)/365)</f>
        <v>1844.4698423246709</v>
      </c>
      <c r="AM155" s="273">
        <f>AL155*(1+'2. GRI Pricing Inputs'!$D$114)^((AM$16-AL$16)/365)</f>
        <v>1850.6241528962728</v>
      </c>
      <c r="AN155" s="273">
        <f>AM155*(1+'2. GRI Pricing Inputs'!$D$114)^((AN$16-AM$16)/365)</f>
        <v>1856.5994883393564</v>
      </c>
      <c r="AO155" s="273">
        <f>AN155*(1+'2. GRI Pricing Inputs'!$D$114)^((AO$16-AN$16)/365)</f>
        <v>1862.7942710330742</v>
      </c>
    </row>
    <row r="156" spans="3:41" ht="12" x14ac:dyDescent="0.2">
      <c r="C156" s="76" t="str">
        <f>'1. Accomodation'!N160</f>
        <v>405S</v>
      </c>
      <c r="D156" s="69" t="str">
        <f>'1. Accomodation'!P160</f>
        <v>2 Bed</v>
      </c>
      <c r="E156" s="69">
        <f>'1. Accomodation'!Q160</f>
        <v>2</v>
      </c>
      <c r="F156" s="77">
        <f>'1. Accomodation'!O160</f>
        <v>689</v>
      </c>
      <c r="G156" s="69">
        <f>'1. Accomodation'!R160</f>
        <v>4</v>
      </c>
      <c r="H156" s="69" t="str">
        <f>'1. Accomodation'!S160</f>
        <v>Courtyard</v>
      </c>
      <c r="I156" s="62"/>
      <c r="K156" s="272">
        <f>IFERROR(INDEX('2. GRI Pricing Inputs'!$C$15:$AI$16,MATCH($K$16,'2. GRI Pricing Inputs'!$C$15:$C$16,0),MATCH(D156,'2. GRI Pricing Inputs'!$C$15:$AI$15,0)),0)</f>
        <v>1110</v>
      </c>
      <c r="L156" s="273">
        <f>IFERROR(INDEX('2. GRI Pricing Inputs'!$C$22:$AI$23,MATCH($L$16,'2. GRI Pricing Inputs'!$C$22:$C$23,0),MATCH(E156,'2. GRI Pricing Inputs'!$C$22:$AI$22,0)),0)</f>
        <v>0</v>
      </c>
      <c r="M156" s="328">
        <f>IF(AND('3. GRI Pricing'!$F156&gt;='2. GRI Pricing Inputs'!$D$33,'3. GRI Pricing'!$F156&lt;='2. GRI Pricing Inputs'!$E$33),'2. GRI Pricing Inputs'!$D$32,IF(AND('3. GRI Pricing'!$F156&gt;='2. GRI Pricing Inputs'!$F$33,'3. GRI Pricing'!$F156&lt;='2. GRI Pricing Inputs'!$G$33),'2. GRI Pricing Inputs'!$F$32,IF(AND('3. GRI Pricing'!$F156&gt;='2. GRI Pricing Inputs'!$H$33,'3. GRI Pricing'!$F156&lt;='2. GRI Pricing Inputs'!$I$33),'2. GRI Pricing Inputs'!$H$32,IF(AND('3. GRI Pricing'!$F156&gt;='2. GRI Pricing Inputs'!$J$33,'3. GRI Pricing'!$F156&lt;='2. GRI Pricing Inputs'!$K$33),'2. GRI Pricing Inputs'!$J$32,IF(AND('3. GRI Pricing'!$F156&gt;='2. GRI Pricing Inputs'!$L$33,'3. GRI Pricing'!$F156&lt;='2. GRI Pricing Inputs'!$M$33),'2. GRI Pricing Inputs'!$L$32,IF(AND('3. GRI Pricing'!$F156&gt;='2. GRI Pricing Inputs'!$N$33,'3. GRI Pricing'!$F156&lt;='2. GRI Pricing Inputs'!$O$33),'2. GRI Pricing Inputs'!$N$32,IF(AND('3. GRI Pricing'!$F156&gt;='2. GRI Pricing Inputs'!$P$33,'3. GRI Pricing'!$F156&lt;='2. GRI Pricing Inputs'!$Q$33),'2. GRI Pricing Inputs'!$P$32,IF(AND('3. GRI Pricing'!$F156&gt;='2. GRI Pricing Inputs'!$R$33,'3. GRI Pricing'!$F156&lt;='2. GRI Pricing Inputs'!$S$33),'2. GRI Pricing Inputs'!$R$32,IF(AND('3. GRI Pricing'!$F156&gt;='2. GRI Pricing Inputs'!$T$33,'3. GRI Pricing'!$F156&lt;='2. GRI Pricing Inputs'!$U$33),'2. GRI Pricing Inputs'!$T$32,IF(AND('3. GRI Pricing'!$F156&gt;='2. GRI Pricing Inputs'!$V$33,'3. GRI Pricing'!$F156&lt;='2. GRI Pricing Inputs'!$W$33),'2. GRI Pricing Inputs'!$V$32,IF(AND('3. GRI Pricing'!$F156&gt;='2. GRI Pricing Inputs'!$X$33,'3. GRI Pricing'!$F156&lt;='2. GRI Pricing Inputs'!$Y$33),'2. GRI Pricing Inputs'!$X$32,IF(AND('3. GRI Pricing'!$F156&gt;='2. GRI Pricing Inputs'!$Z$33,'3. GRI Pricing'!$F156&lt;='2. GRI Pricing Inputs'!$AA$33),'2. GRI Pricing Inputs'!$Z$32,IF(AND('3. GRI Pricing'!$F156&gt;='2. GRI Pricing Inputs'!$AB$33,'3. GRI Pricing'!$F156&lt;='2. GRI Pricing Inputs'!$AC$33),'2. GRI Pricing Inputs'!$AB$32,IF(AND('3. GRI Pricing'!$F156&gt;='2. GRI Pricing Inputs'!$AD$33,'3. GRI Pricing'!$F156&lt;='2. GRI Pricing Inputs'!$AE$33),'2. GRI Pricing Inputs'!$AD$32,IF(AND('3. GRI Pricing'!$F156&gt;='2. GRI Pricing Inputs'!$AF$33,'3. GRI Pricing'!$F156&lt;='2. GRI Pricing Inputs'!$AG$33),'2. GRI Pricing Inputs'!$AF$32,IF(AND('3. GRI Pricing'!$F156&gt;='2. GRI Pricing Inputs'!$AH$33,'3. GRI Pricing'!$F156&lt;='2. GRI Pricing Inputs'!$AI$33),'2. GRI Pricing Inputs'!$AH$32,0))))))))))))))))</f>
        <v>11</v>
      </c>
      <c r="N156" s="273" cm="1">
        <f t="array" ref="N156">IFERROR(INDEX('2. GRI Pricing Inputs'!$C$32:$AI$39,MATCH('3. GRI Pricing'!D156,'2. GRI Pricing Inputs'!$C$32:$C$39,0),(MATCH('3. GRI Pricing'!M156,'2. GRI Pricing Inputs'!$D$32:$AI$32,0)+1)),0)</f>
        <v>65</v>
      </c>
      <c r="O156" s="273">
        <f>IFERROR(INDEX('2. GRI Pricing Inputs'!$C$45:$AI$46,MATCH($O$16,'2. GRI Pricing Inputs'!$C$45:$C$46,0),MATCH(G156,'2. GRI Pricing Inputs'!$C$45:$AI$45,0)),0)</f>
        <v>70</v>
      </c>
      <c r="P156" s="273">
        <f>IFERROR(INDEX('2. GRI Pricing Inputs'!$C$53:$AI$54,MATCH('3. GRI Pricing'!$P$16,'2. GRI Pricing Inputs'!$C$53:$C$54,0),MATCH('3. GRI Pricing'!H156,'2. GRI Pricing Inputs'!$C$53:$AI$53,0)),0)</f>
        <v>25</v>
      </c>
      <c r="Q156" s="273">
        <f>IFERROR(INDEX('2. GRI Pricing Inputs'!$C$60:$AI$61,MATCH('3. GRI Pricing'!$Q$16,'2. GRI Pricing Inputs'!$C$60:$C$61,0),MATCH('1. Accomodation'!T160,'2. GRI Pricing Inputs'!$C$60:$AI$60,0)),0)</f>
        <v>0</v>
      </c>
      <c r="R156" s="273">
        <f>IFERROR(INDEX('2. GRI Pricing Inputs'!$C$67:$AI$68,MATCH('3. GRI Pricing'!$R$16,'2. GRI Pricing Inputs'!$C$67:$C$68,0),MATCH('1. Accomodation'!U160,'2. GRI Pricing Inputs'!$C$67:$AI$67,0)),0)</f>
        <v>0</v>
      </c>
      <c r="S156" s="273">
        <f>IF(D156=0,0,'2. GRI Pricing Inputs'!$AI$75)</f>
        <v>70</v>
      </c>
      <c r="T156" s="273">
        <f>IFERROR(INDEX('2. GRI Pricing Inputs'!$C$82:$AI$83,MATCH('3. GRI Pricing'!$T$16,'2. GRI Pricing Inputs'!$C$82:$C$83,0),MATCH('1. Accomodation'!V160,'2. GRI Pricing Inputs'!$C$82:$AI$82,0)),0)</f>
        <v>0</v>
      </c>
      <c r="U156" s="273">
        <f>IFERROR(INDEX('2. GRI Pricing Inputs'!$C$89:$AI$90,MATCH('3. GRI Pricing'!$U$16,'2. GRI Pricing Inputs'!$C$89:$C$90,0),MATCH('1. Accomodation'!W160,'2. GRI Pricing Inputs'!$C$89:$AI$89,0)),0)</f>
        <v>0</v>
      </c>
      <c r="V156" s="273">
        <f>IFERROR(INDEX('2. GRI Pricing Inputs'!$C$97:$AI$98,MATCH('3. GRI Pricing'!$V$16,'2. GRI Pricing Inputs'!$C$97:$C$98,0),MATCH('1. Accomodation'!X160,'2. GRI Pricing Inputs'!$C$97:$AI$97,0)),0)</f>
        <v>0</v>
      </c>
      <c r="W156" s="273">
        <f>IFERROR(INDEX('2. GRI Pricing Inputs'!$C$104:$AI$105,MATCH('3. GRI Pricing'!$W$16,'2. GRI Pricing Inputs'!$C$104:$C$105,0),MATCH('1. Accomodation'!Y160,'2. GRI Pricing Inputs'!$C$104:$AI$104,0)),0)</f>
        <v>0</v>
      </c>
      <c r="X156" s="274">
        <v>0</v>
      </c>
      <c r="Y156" s="275">
        <f t="shared" si="9"/>
        <v>1340</v>
      </c>
      <c r="Z156" s="276"/>
      <c r="AA156" s="276"/>
      <c r="AB156" s="276"/>
      <c r="AC156" s="272">
        <f>Y156*(1+'2. GRI Pricing Inputs'!$D$114)^(($AC$16-$AB$15)/365)</f>
        <v>1344.4710821379181</v>
      </c>
      <c r="AD156" s="273">
        <f>AC156*(1+'2. GRI Pricing Inputs'!$D$114)^((AD$16-AC$16)/365)</f>
        <v>1348.8121395572362</v>
      </c>
      <c r="AE156" s="273">
        <f>AD156*(1+'2. GRI Pricing Inputs'!$D$114)^((AE$16-AD$16)/365)</f>
        <v>1353.3126245308044</v>
      </c>
      <c r="AF156" s="273">
        <f>AE156*(1+'2. GRI Pricing Inputs'!$D$114)^((AF$16-AE$16)/365)</f>
        <v>1357.8281259506243</v>
      </c>
      <c r="AG156" s="273">
        <f>AF156*(1+'2. GRI Pricing Inputs'!$D$114)^((AG$16-AF$16)/365)</f>
        <v>1362.0659435735906</v>
      </c>
      <c r="AH156" s="273">
        <f>AG156*(1+'2. GRI Pricing Inputs'!$D$114)^((AH$16-AG$16)/365)</f>
        <v>1366.6106515668582</v>
      </c>
      <c r="AI156" s="273">
        <f>AH156*(1+'2. GRI Pricing Inputs'!$D$114)^((AI$16-AH$16)/365)</f>
        <v>1371.0231937086126</v>
      </c>
      <c r="AJ156" s="273">
        <f>AI156*(1+'2. GRI Pricing Inputs'!$D$114)^((AJ$16-AI$16)/365)</f>
        <v>1375.5977887176141</v>
      </c>
      <c r="AK156" s="273">
        <f>AJ156*(1+'2. GRI Pricing Inputs'!$D$114)^((AK$16-AJ$16)/365)</f>
        <v>1380.0393487229171</v>
      </c>
      <c r="AL156" s="273">
        <f>AK156*(1+'2. GRI Pricing Inputs'!$D$114)^((AL$16-AK$16)/365)</f>
        <v>1384.6440272913494</v>
      </c>
      <c r="AM156" s="273">
        <f>AL156*(1+'2. GRI Pricing Inputs'!$D$114)^((AM$16-AL$16)/365)</f>
        <v>1389.2640699613473</v>
      </c>
      <c r="AN156" s="273">
        <f>AM156*(1+'2. GRI Pricing Inputs'!$D$114)^((AN$16-AM$16)/365)</f>
        <v>1393.7497559522337</v>
      </c>
      <c r="AO156" s="273">
        <f>AN156*(1+'2. GRI Pricing Inputs'!$D$114)^((AO$16-AN$16)/365)</f>
        <v>1398.400181055641</v>
      </c>
    </row>
    <row r="157" spans="3:41" ht="12" x14ac:dyDescent="0.2">
      <c r="C157" s="76" t="str">
        <f>'1. Accomodation'!N161</f>
        <v>406S</v>
      </c>
      <c r="D157" s="69" t="str">
        <f>'1. Accomodation'!P161</f>
        <v>1 Bed</v>
      </c>
      <c r="E157" s="69">
        <f>'1. Accomodation'!Q161</f>
        <v>1</v>
      </c>
      <c r="F157" s="77">
        <f>'1. Accomodation'!O161</f>
        <v>474</v>
      </c>
      <c r="G157" s="69">
        <f>'1. Accomodation'!R161</f>
        <v>4</v>
      </c>
      <c r="H157" s="69" t="str">
        <f>'1. Accomodation'!S161</f>
        <v>Courtyard</v>
      </c>
      <c r="I157" s="62"/>
      <c r="K157" s="272">
        <f>IFERROR(INDEX('2. GRI Pricing Inputs'!$C$15:$AI$16,MATCH($K$16,'2. GRI Pricing Inputs'!$C$15:$C$16,0),MATCH(D157,'2. GRI Pricing Inputs'!$C$15:$AI$15,0)),0)</f>
        <v>845</v>
      </c>
      <c r="L157" s="273">
        <f>IFERROR(INDEX('2. GRI Pricing Inputs'!$C$22:$AI$23,MATCH($L$16,'2. GRI Pricing Inputs'!$C$22:$C$23,0),MATCH(E157,'2. GRI Pricing Inputs'!$C$22:$AI$22,0)),0)</f>
        <v>0</v>
      </c>
      <c r="M157" s="328">
        <f>IF(AND('3. GRI Pricing'!$F157&gt;='2. GRI Pricing Inputs'!$D$33,'3. GRI Pricing'!$F157&lt;='2. GRI Pricing Inputs'!$E$33),'2. GRI Pricing Inputs'!$D$32,IF(AND('3. GRI Pricing'!$F157&gt;='2. GRI Pricing Inputs'!$F$33,'3. GRI Pricing'!$F157&lt;='2. GRI Pricing Inputs'!$G$33),'2. GRI Pricing Inputs'!$F$32,IF(AND('3. GRI Pricing'!$F157&gt;='2. GRI Pricing Inputs'!$H$33,'3. GRI Pricing'!$F157&lt;='2. GRI Pricing Inputs'!$I$33),'2. GRI Pricing Inputs'!$H$32,IF(AND('3. GRI Pricing'!$F157&gt;='2. GRI Pricing Inputs'!$J$33,'3. GRI Pricing'!$F157&lt;='2. GRI Pricing Inputs'!$K$33),'2. GRI Pricing Inputs'!$J$32,IF(AND('3. GRI Pricing'!$F157&gt;='2. GRI Pricing Inputs'!$L$33,'3. GRI Pricing'!$F157&lt;='2. GRI Pricing Inputs'!$M$33),'2. GRI Pricing Inputs'!$L$32,IF(AND('3. GRI Pricing'!$F157&gt;='2. GRI Pricing Inputs'!$N$33,'3. GRI Pricing'!$F157&lt;='2. GRI Pricing Inputs'!$O$33),'2. GRI Pricing Inputs'!$N$32,IF(AND('3. GRI Pricing'!$F157&gt;='2. GRI Pricing Inputs'!$P$33,'3. GRI Pricing'!$F157&lt;='2. GRI Pricing Inputs'!$Q$33),'2. GRI Pricing Inputs'!$P$32,IF(AND('3. GRI Pricing'!$F157&gt;='2. GRI Pricing Inputs'!$R$33,'3. GRI Pricing'!$F157&lt;='2. GRI Pricing Inputs'!$S$33),'2. GRI Pricing Inputs'!$R$32,IF(AND('3. GRI Pricing'!$F157&gt;='2. GRI Pricing Inputs'!$T$33,'3. GRI Pricing'!$F157&lt;='2. GRI Pricing Inputs'!$U$33),'2. GRI Pricing Inputs'!$T$32,IF(AND('3. GRI Pricing'!$F157&gt;='2. GRI Pricing Inputs'!$V$33,'3. GRI Pricing'!$F157&lt;='2. GRI Pricing Inputs'!$W$33),'2. GRI Pricing Inputs'!$V$32,IF(AND('3. GRI Pricing'!$F157&gt;='2. GRI Pricing Inputs'!$X$33,'3. GRI Pricing'!$F157&lt;='2. GRI Pricing Inputs'!$Y$33),'2. GRI Pricing Inputs'!$X$32,IF(AND('3. GRI Pricing'!$F157&gt;='2. GRI Pricing Inputs'!$Z$33,'3. GRI Pricing'!$F157&lt;='2. GRI Pricing Inputs'!$AA$33),'2. GRI Pricing Inputs'!$Z$32,IF(AND('3. GRI Pricing'!$F157&gt;='2. GRI Pricing Inputs'!$AB$33,'3. GRI Pricing'!$F157&lt;='2. GRI Pricing Inputs'!$AC$33),'2. GRI Pricing Inputs'!$AB$32,IF(AND('3. GRI Pricing'!$F157&gt;='2. GRI Pricing Inputs'!$AD$33,'3. GRI Pricing'!$F157&lt;='2. GRI Pricing Inputs'!$AE$33),'2. GRI Pricing Inputs'!$AD$32,IF(AND('3. GRI Pricing'!$F157&gt;='2. GRI Pricing Inputs'!$AF$33,'3. GRI Pricing'!$F157&lt;='2. GRI Pricing Inputs'!$AG$33),'2. GRI Pricing Inputs'!$AF$32,IF(AND('3. GRI Pricing'!$F157&gt;='2. GRI Pricing Inputs'!$AH$33,'3. GRI Pricing'!$F157&lt;='2. GRI Pricing Inputs'!$AI$33),'2. GRI Pricing Inputs'!$AH$32,0))))))))))))))))</f>
        <v>0</v>
      </c>
      <c r="N157" s="273" cm="1">
        <f t="array" ref="N157">IFERROR(INDEX('2. GRI Pricing Inputs'!$C$32:$AI$39,MATCH('3. GRI Pricing'!D157,'2. GRI Pricing Inputs'!$C$32:$C$39,0),(MATCH('3. GRI Pricing'!M157,'2. GRI Pricing Inputs'!$D$32:$AI$32,0)+1)),0)</f>
        <v>0</v>
      </c>
      <c r="O157" s="273">
        <f>IFERROR(INDEX('2. GRI Pricing Inputs'!$C$45:$AI$46,MATCH($O$16,'2. GRI Pricing Inputs'!$C$45:$C$46,0),MATCH(G157,'2. GRI Pricing Inputs'!$C$45:$AI$45,0)),0)</f>
        <v>70</v>
      </c>
      <c r="P157" s="273">
        <f>IFERROR(INDEX('2. GRI Pricing Inputs'!$C$53:$AI$54,MATCH('3. GRI Pricing'!$P$16,'2. GRI Pricing Inputs'!$C$53:$C$54,0),MATCH('3. GRI Pricing'!H157,'2. GRI Pricing Inputs'!$C$53:$AI$53,0)),0)</f>
        <v>25</v>
      </c>
      <c r="Q157" s="273">
        <f>IFERROR(INDEX('2. GRI Pricing Inputs'!$C$60:$AI$61,MATCH('3. GRI Pricing'!$Q$16,'2. GRI Pricing Inputs'!$C$60:$C$61,0),MATCH('1. Accomodation'!T161,'2. GRI Pricing Inputs'!$C$60:$AI$60,0)),0)</f>
        <v>0</v>
      </c>
      <c r="R157" s="273">
        <f>IFERROR(INDEX('2. GRI Pricing Inputs'!$C$67:$AI$68,MATCH('3. GRI Pricing'!$R$16,'2. GRI Pricing Inputs'!$C$67:$C$68,0),MATCH('1. Accomodation'!U161,'2. GRI Pricing Inputs'!$C$67:$AI$67,0)),0)</f>
        <v>0</v>
      </c>
      <c r="S157" s="273">
        <f>IF(D157=0,0,'2. GRI Pricing Inputs'!$AI$75)</f>
        <v>70</v>
      </c>
      <c r="T157" s="273">
        <f>IFERROR(INDEX('2. GRI Pricing Inputs'!$C$82:$AI$83,MATCH('3. GRI Pricing'!$T$16,'2. GRI Pricing Inputs'!$C$82:$C$83,0),MATCH('1. Accomodation'!V161,'2. GRI Pricing Inputs'!$C$82:$AI$82,0)),0)</f>
        <v>0</v>
      </c>
      <c r="U157" s="273">
        <f>IFERROR(INDEX('2. GRI Pricing Inputs'!$C$89:$AI$90,MATCH('3. GRI Pricing'!$U$16,'2. GRI Pricing Inputs'!$C$89:$C$90,0),MATCH('1. Accomodation'!W161,'2. GRI Pricing Inputs'!$C$89:$AI$89,0)),0)</f>
        <v>0</v>
      </c>
      <c r="V157" s="273">
        <f>IFERROR(INDEX('2. GRI Pricing Inputs'!$C$97:$AI$98,MATCH('3. GRI Pricing'!$V$16,'2. GRI Pricing Inputs'!$C$97:$C$98,0),MATCH('1. Accomodation'!X161,'2. GRI Pricing Inputs'!$C$97:$AI$97,0)),0)</f>
        <v>0</v>
      </c>
      <c r="W157" s="273">
        <f>IFERROR(INDEX('2. GRI Pricing Inputs'!$C$104:$AI$105,MATCH('3. GRI Pricing'!$W$16,'2. GRI Pricing Inputs'!$C$104:$C$105,0),MATCH('1. Accomodation'!Y161,'2. GRI Pricing Inputs'!$C$104:$AI$104,0)),0)</f>
        <v>0</v>
      </c>
      <c r="X157" s="274">
        <v>0</v>
      </c>
      <c r="Y157" s="275">
        <f t="shared" si="9"/>
        <v>1010</v>
      </c>
      <c r="Z157" s="276"/>
      <c r="AA157" s="276"/>
      <c r="AB157" s="276"/>
      <c r="AC157" s="272">
        <f>Y157*(1+'2. GRI Pricing Inputs'!$D$114)^(($AC$16-$AB$15)/365)</f>
        <v>1013.3699947457443</v>
      </c>
      <c r="AD157" s="273">
        <f>AC157*(1+'2. GRI Pricing Inputs'!$D$114)^((AD$16-AC$16)/365)</f>
        <v>1016.6419857856781</v>
      </c>
      <c r="AE157" s="273">
        <f>AD157*(1+'2. GRI Pricing Inputs'!$D$114)^((AE$16-AD$16)/365)</f>
        <v>1020.0341423702333</v>
      </c>
      <c r="AF157" s="273">
        <f>AE157*(1+'2. GRI Pricing Inputs'!$D$114)^((AF$16-AE$16)/365)</f>
        <v>1023.4376173209931</v>
      </c>
      <c r="AG157" s="273">
        <f>AF157*(1+'2. GRI Pricing Inputs'!$D$114)^((AG$16-AF$16)/365)</f>
        <v>1026.6317932905424</v>
      </c>
      <c r="AH157" s="273">
        <f>AG157*(1+'2. GRI Pricing Inputs'!$D$114)^((AH$16-AG$16)/365)</f>
        <v>1030.0572821511396</v>
      </c>
      <c r="AI157" s="273">
        <f>AH157*(1+'2. GRI Pricing Inputs'!$D$114)^((AI$16-AH$16)/365)</f>
        <v>1033.3831534669393</v>
      </c>
      <c r="AJ157" s="273">
        <f>AI157*(1+'2. GRI Pricing Inputs'!$D$114)^((AJ$16-AI$16)/365)</f>
        <v>1036.8311691080523</v>
      </c>
      <c r="AK157" s="273">
        <f>AJ157*(1+'2. GRI Pricing Inputs'!$D$114)^((AK$16-AJ$16)/365)</f>
        <v>1040.1789120971239</v>
      </c>
      <c r="AL157" s="273">
        <f>AK157*(1+'2. GRI Pricing Inputs'!$D$114)^((AL$16-AK$16)/365)</f>
        <v>1043.6496026598975</v>
      </c>
      <c r="AM157" s="273">
        <f>AL157*(1+'2. GRI Pricing Inputs'!$D$114)^((AM$16-AL$16)/365)</f>
        <v>1047.1318736275825</v>
      </c>
      <c r="AN157" s="273">
        <f>AM157*(1+'2. GRI Pricing Inputs'!$D$114)^((AN$16-AM$16)/365)</f>
        <v>1050.5128757550417</v>
      </c>
      <c r="AO157" s="273">
        <f>AN157*(1+'2. GRI Pricing Inputs'!$D$114)^((AO$16-AN$16)/365)</f>
        <v>1054.0180469150725</v>
      </c>
    </row>
    <row r="158" spans="3:41" ht="12" x14ac:dyDescent="0.2">
      <c r="C158" s="76" t="str">
        <f>'1. Accomodation'!N162</f>
        <v>407S</v>
      </c>
      <c r="D158" s="69" t="str">
        <f>'1. Accomodation'!P162</f>
        <v>2 Bed</v>
      </c>
      <c r="E158" s="69">
        <f>'1. Accomodation'!Q162</f>
        <v>2</v>
      </c>
      <c r="F158" s="77">
        <f>'1. Accomodation'!O162</f>
        <v>624</v>
      </c>
      <c r="G158" s="69">
        <f>'1. Accomodation'!R162</f>
        <v>4</v>
      </c>
      <c r="H158" s="69" t="str">
        <f>'1. Accomodation'!S162</f>
        <v>Courtyard</v>
      </c>
      <c r="I158" s="62"/>
      <c r="K158" s="272">
        <f>IFERROR(INDEX('2. GRI Pricing Inputs'!$C$15:$AI$16,MATCH($K$16,'2. GRI Pricing Inputs'!$C$15:$C$16,0),MATCH(D158,'2. GRI Pricing Inputs'!$C$15:$AI$15,0)),0)</f>
        <v>1110</v>
      </c>
      <c r="L158" s="273">
        <f>IFERROR(INDEX('2. GRI Pricing Inputs'!$C$22:$AI$23,MATCH($L$16,'2. GRI Pricing Inputs'!$C$22:$C$23,0),MATCH(E158,'2. GRI Pricing Inputs'!$C$22:$AI$22,0)),0)</f>
        <v>0</v>
      </c>
      <c r="M158" s="328">
        <f>IF(AND('3. GRI Pricing'!$F158&gt;='2. GRI Pricing Inputs'!$D$33,'3. GRI Pricing'!$F158&lt;='2. GRI Pricing Inputs'!$E$33),'2. GRI Pricing Inputs'!$D$32,IF(AND('3. GRI Pricing'!$F158&gt;='2. GRI Pricing Inputs'!$F$33,'3. GRI Pricing'!$F158&lt;='2. GRI Pricing Inputs'!$G$33),'2. GRI Pricing Inputs'!$F$32,IF(AND('3. GRI Pricing'!$F158&gt;='2. GRI Pricing Inputs'!$H$33,'3. GRI Pricing'!$F158&lt;='2. GRI Pricing Inputs'!$I$33),'2. GRI Pricing Inputs'!$H$32,IF(AND('3. GRI Pricing'!$F158&gt;='2. GRI Pricing Inputs'!$J$33,'3. GRI Pricing'!$F158&lt;='2. GRI Pricing Inputs'!$K$33),'2. GRI Pricing Inputs'!$J$32,IF(AND('3. GRI Pricing'!$F158&gt;='2. GRI Pricing Inputs'!$L$33,'3. GRI Pricing'!$F158&lt;='2. GRI Pricing Inputs'!$M$33),'2. GRI Pricing Inputs'!$L$32,IF(AND('3. GRI Pricing'!$F158&gt;='2. GRI Pricing Inputs'!$N$33,'3. GRI Pricing'!$F158&lt;='2. GRI Pricing Inputs'!$O$33),'2. GRI Pricing Inputs'!$N$32,IF(AND('3. GRI Pricing'!$F158&gt;='2. GRI Pricing Inputs'!$P$33,'3. GRI Pricing'!$F158&lt;='2. GRI Pricing Inputs'!$Q$33),'2. GRI Pricing Inputs'!$P$32,IF(AND('3. GRI Pricing'!$F158&gt;='2. GRI Pricing Inputs'!$R$33,'3. GRI Pricing'!$F158&lt;='2. GRI Pricing Inputs'!$S$33),'2. GRI Pricing Inputs'!$R$32,IF(AND('3. GRI Pricing'!$F158&gt;='2. GRI Pricing Inputs'!$T$33,'3. GRI Pricing'!$F158&lt;='2. GRI Pricing Inputs'!$U$33),'2. GRI Pricing Inputs'!$T$32,IF(AND('3. GRI Pricing'!$F158&gt;='2. GRI Pricing Inputs'!$V$33,'3. GRI Pricing'!$F158&lt;='2. GRI Pricing Inputs'!$W$33),'2. GRI Pricing Inputs'!$V$32,IF(AND('3. GRI Pricing'!$F158&gt;='2. GRI Pricing Inputs'!$X$33,'3. GRI Pricing'!$F158&lt;='2. GRI Pricing Inputs'!$Y$33),'2. GRI Pricing Inputs'!$X$32,IF(AND('3. GRI Pricing'!$F158&gt;='2. GRI Pricing Inputs'!$Z$33,'3. GRI Pricing'!$F158&lt;='2. GRI Pricing Inputs'!$AA$33),'2. GRI Pricing Inputs'!$Z$32,IF(AND('3. GRI Pricing'!$F158&gt;='2. GRI Pricing Inputs'!$AB$33,'3. GRI Pricing'!$F158&lt;='2. GRI Pricing Inputs'!$AC$33),'2. GRI Pricing Inputs'!$AB$32,IF(AND('3. GRI Pricing'!$F158&gt;='2. GRI Pricing Inputs'!$AD$33,'3. GRI Pricing'!$F158&lt;='2. GRI Pricing Inputs'!$AE$33),'2. GRI Pricing Inputs'!$AD$32,IF(AND('3. GRI Pricing'!$F158&gt;='2. GRI Pricing Inputs'!$AF$33,'3. GRI Pricing'!$F158&lt;='2. GRI Pricing Inputs'!$AG$33),'2. GRI Pricing Inputs'!$AF$32,IF(AND('3. GRI Pricing'!$F158&gt;='2. GRI Pricing Inputs'!$AH$33,'3. GRI Pricing'!$F158&lt;='2. GRI Pricing Inputs'!$AI$33),'2. GRI Pricing Inputs'!$AH$32,0))))))))))))))))</f>
        <v>7</v>
      </c>
      <c r="N158" s="273" cm="1">
        <f t="array" ref="N158">IFERROR(INDEX('2. GRI Pricing Inputs'!$C$32:$AI$39,MATCH('3. GRI Pricing'!D158,'2. GRI Pricing Inputs'!$C$32:$C$39,0),(MATCH('3. GRI Pricing'!M158,'2. GRI Pricing Inputs'!$D$32:$AI$32,0)+1)),0)</f>
        <v>10</v>
      </c>
      <c r="O158" s="273">
        <f>IFERROR(INDEX('2. GRI Pricing Inputs'!$C$45:$AI$46,MATCH($O$16,'2. GRI Pricing Inputs'!$C$45:$C$46,0),MATCH(G158,'2. GRI Pricing Inputs'!$C$45:$AI$45,0)),0)</f>
        <v>70</v>
      </c>
      <c r="P158" s="273">
        <f>IFERROR(INDEX('2. GRI Pricing Inputs'!$C$53:$AI$54,MATCH('3. GRI Pricing'!$P$16,'2. GRI Pricing Inputs'!$C$53:$C$54,0),MATCH('3. GRI Pricing'!H158,'2. GRI Pricing Inputs'!$C$53:$AI$53,0)),0)</f>
        <v>25</v>
      </c>
      <c r="Q158" s="273">
        <f>IFERROR(INDEX('2. GRI Pricing Inputs'!$C$60:$AI$61,MATCH('3. GRI Pricing'!$Q$16,'2. GRI Pricing Inputs'!$C$60:$C$61,0),MATCH('1. Accomodation'!T162,'2. GRI Pricing Inputs'!$C$60:$AI$60,0)),0)</f>
        <v>0</v>
      </c>
      <c r="R158" s="273">
        <f>IFERROR(INDEX('2. GRI Pricing Inputs'!$C$67:$AI$68,MATCH('3. GRI Pricing'!$R$16,'2. GRI Pricing Inputs'!$C$67:$C$68,0),MATCH('1. Accomodation'!U162,'2. GRI Pricing Inputs'!$C$67:$AI$67,0)),0)</f>
        <v>0</v>
      </c>
      <c r="S158" s="273">
        <f>IF(D158=0,0,'2. GRI Pricing Inputs'!$AI$75)</f>
        <v>70</v>
      </c>
      <c r="T158" s="273">
        <f>IFERROR(INDEX('2. GRI Pricing Inputs'!$C$82:$AI$83,MATCH('3. GRI Pricing'!$T$16,'2. GRI Pricing Inputs'!$C$82:$C$83,0),MATCH('1. Accomodation'!V162,'2. GRI Pricing Inputs'!$C$82:$AI$82,0)),0)</f>
        <v>0</v>
      </c>
      <c r="U158" s="273">
        <f>IFERROR(INDEX('2. GRI Pricing Inputs'!$C$89:$AI$90,MATCH('3. GRI Pricing'!$U$16,'2. GRI Pricing Inputs'!$C$89:$C$90,0),MATCH('1. Accomodation'!W162,'2. GRI Pricing Inputs'!$C$89:$AI$89,0)),0)</f>
        <v>0</v>
      </c>
      <c r="V158" s="273">
        <f>IFERROR(INDEX('2. GRI Pricing Inputs'!$C$97:$AI$98,MATCH('3. GRI Pricing'!$V$16,'2. GRI Pricing Inputs'!$C$97:$C$98,0),MATCH('1. Accomodation'!X162,'2. GRI Pricing Inputs'!$C$97:$AI$97,0)),0)</f>
        <v>0</v>
      </c>
      <c r="W158" s="273">
        <f>IFERROR(INDEX('2. GRI Pricing Inputs'!$C$104:$AI$105,MATCH('3. GRI Pricing'!$W$16,'2. GRI Pricing Inputs'!$C$104:$C$105,0),MATCH('1. Accomodation'!Y162,'2. GRI Pricing Inputs'!$C$104:$AI$104,0)),0)</f>
        <v>0</v>
      </c>
      <c r="X158" s="274">
        <v>0</v>
      </c>
      <c r="Y158" s="275">
        <f t="shared" si="9"/>
        <v>1285</v>
      </c>
      <c r="Z158" s="276"/>
      <c r="AA158" s="276"/>
      <c r="AB158" s="276"/>
      <c r="AC158" s="272">
        <f>Y158*(1+'2. GRI Pricing Inputs'!$D$114)^(($AC$16-$AB$15)/365)</f>
        <v>1289.2875675725559</v>
      </c>
      <c r="AD158" s="273">
        <f>AC158*(1+'2. GRI Pricing Inputs'!$D$114)^((AD$16-AC$16)/365)</f>
        <v>1293.4504472619767</v>
      </c>
      <c r="AE158" s="273">
        <f>AD158*(1+'2. GRI Pricing Inputs'!$D$114)^((AE$16-AD$16)/365)</f>
        <v>1297.7662108373761</v>
      </c>
      <c r="AF158" s="273">
        <f>AE158*(1+'2. GRI Pricing Inputs'!$D$114)^((AF$16-AE$16)/365)</f>
        <v>1302.0963745123527</v>
      </c>
      <c r="AG158" s="273">
        <f>AF158*(1+'2. GRI Pricing Inputs'!$D$114)^((AG$16-AF$16)/365)</f>
        <v>1306.1602518597495</v>
      </c>
      <c r="AH158" s="273">
        <f>AG158*(1+'2. GRI Pricing Inputs'!$D$114)^((AH$16-AG$16)/365)</f>
        <v>1310.5184233309053</v>
      </c>
      <c r="AI158" s="273">
        <f>AH158*(1+'2. GRI Pricing Inputs'!$D$114)^((AI$16-AH$16)/365)</f>
        <v>1314.7498536683338</v>
      </c>
      <c r="AJ158" s="273">
        <f>AI158*(1+'2. GRI Pricing Inputs'!$D$114)^((AJ$16-AI$16)/365)</f>
        <v>1319.136685449354</v>
      </c>
      <c r="AK158" s="273">
        <f>AJ158*(1+'2. GRI Pricing Inputs'!$D$114)^((AK$16-AJ$16)/365)</f>
        <v>1323.3959426186184</v>
      </c>
      <c r="AL158" s="273">
        <f>AK158*(1+'2. GRI Pricing Inputs'!$D$114)^((AL$16-AK$16)/365)</f>
        <v>1327.8116231861075</v>
      </c>
      <c r="AM158" s="273">
        <f>AL158*(1+'2. GRI Pricing Inputs'!$D$114)^((AM$16-AL$16)/365)</f>
        <v>1332.2420372390534</v>
      </c>
      <c r="AN158" s="273">
        <f>AM158*(1+'2. GRI Pricing Inputs'!$D$114)^((AN$16-AM$16)/365)</f>
        <v>1336.5436092527018</v>
      </c>
      <c r="AO158" s="273">
        <f>AN158*(1+'2. GRI Pricing Inputs'!$D$114)^((AO$16-AN$16)/365)</f>
        <v>1341.0031586988796</v>
      </c>
    </row>
    <row r="159" spans="3:41" ht="12" x14ac:dyDescent="0.2">
      <c r="C159" s="76" t="str">
        <f>'1. Accomodation'!N163</f>
        <v>501S</v>
      </c>
      <c r="D159" s="69" t="str">
        <f>'1. Accomodation'!P163</f>
        <v>2 Bed</v>
      </c>
      <c r="E159" s="69">
        <f>'1. Accomodation'!Q163</f>
        <v>2</v>
      </c>
      <c r="F159" s="77">
        <f>'1. Accomodation'!O163</f>
        <v>624</v>
      </c>
      <c r="G159" s="69">
        <f>'1. Accomodation'!R163</f>
        <v>5</v>
      </c>
      <c r="H159" s="69" t="str">
        <f>'1. Accomodation'!S163</f>
        <v>River- Full</v>
      </c>
      <c r="I159" s="62"/>
      <c r="K159" s="272">
        <f>IFERROR(INDEX('2. GRI Pricing Inputs'!$C$15:$AI$16,MATCH($K$16,'2. GRI Pricing Inputs'!$C$15:$C$16,0),MATCH(D159,'2. GRI Pricing Inputs'!$C$15:$AI$15,0)),0)</f>
        <v>1110</v>
      </c>
      <c r="L159" s="273">
        <f>IFERROR(INDEX('2. GRI Pricing Inputs'!$C$22:$AI$23,MATCH($L$16,'2. GRI Pricing Inputs'!$C$22:$C$23,0),MATCH(E159,'2. GRI Pricing Inputs'!$C$22:$AI$22,0)),0)</f>
        <v>0</v>
      </c>
      <c r="M159" s="328">
        <f>IF(AND('3. GRI Pricing'!$F159&gt;='2. GRI Pricing Inputs'!$D$33,'3. GRI Pricing'!$F159&lt;='2. GRI Pricing Inputs'!$E$33),'2. GRI Pricing Inputs'!$D$32,IF(AND('3. GRI Pricing'!$F159&gt;='2. GRI Pricing Inputs'!$F$33,'3. GRI Pricing'!$F159&lt;='2. GRI Pricing Inputs'!$G$33),'2. GRI Pricing Inputs'!$F$32,IF(AND('3. GRI Pricing'!$F159&gt;='2. GRI Pricing Inputs'!$H$33,'3. GRI Pricing'!$F159&lt;='2. GRI Pricing Inputs'!$I$33),'2. GRI Pricing Inputs'!$H$32,IF(AND('3. GRI Pricing'!$F159&gt;='2. GRI Pricing Inputs'!$J$33,'3. GRI Pricing'!$F159&lt;='2. GRI Pricing Inputs'!$K$33),'2. GRI Pricing Inputs'!$J$32,IF(AND('3. GRI Pricing'!$F159&gt;='2. GRI Pricing Inputs'!$L$33,'3. GRI Pricing'!$F159&lt;='2. GRI Pricing Inputs'!$M$33),'2. GRI Pricing Inputs'!$L$32,IF(AND('3. GRI Pricing'!$F159&gt;='2. GRI Pricing Inputs'!$N$33,'3. GRI Pricing'!$F159&lt;='2. GRI Pricing Inputs'!$O$33),'2. GRI Pricing Inputs'!$N$32,IF(AND('3. GRI Pricing'!$F159&gt;='2. GRI Pricing Inputs'!$P$33,'3. GRI Pricing'!$F159&lt;='2. GRI Pricing Inputs'!$Q$33),'2. GRI Pricing Inputs'!$P$32,IF(AND('3. GRI Pricing'!$F159&gt;='2. GRI Pricing Inputs'!$R$33,'3. GRI Pricing'!$F159&lt;='2. GRI Pricing Inputs'!$S$33),'2. GRI Pricing Inputs'!$R$32,IF(AND('3. GRI Pricing'!$F159&gt;='2. GRI Pricing Inputs'!$T$33,'3. GRI Pricing'!$F159&lt;='2. GRI Pricing Inputs'!$U$33),'2. GRI Pricing Inputs'!$T$32,IF(AND('3. GRI Pricing'!$F159&gt;='2. GRI Pricing Inputs'!$V$33,'3. GRI Pricing'!$F159&lt;='2. GRI Pricing Inputs'!$W$33),'2. GRI Pricing Inputs'!$V$32,IF(AND('3. GRI Pricing'!$F159&gt;='2. GRI Pricing Inputs'!$X$33,'3. GRI Pricing'!$F159&lt;='2. GRI Pricing Inputs'!$Y$33),'2. GRI Pricing Inputs'!$X$32,IF(AND('3. GRI Pricing'!$F159&gt;='2. GRI Pricing Inputs'!$Z$33,'3. GRI Pricing'!$F159&lt;='2. GRI Pricing Inputs'!$AA$33),'2. GRI Pricing Inputs'!$Z$32,IF(AND('3. GRI Pricing'!$F159&gt;='2. GRI Pricing Inputs'!$AB$33,'3. GRI Pricing'!$F159&lt;='2. GRI Pricing Inputs'!$AC$33),'2. GRI Pricing Inputs'!$AB$32,IF(AND('3. GRI Pricing'!$F159&gt;='2. GRI Pricing Inputs'!$AD$33,'3. GRI Pricing'!$F159&lt;='2. GRI Pricing Inputs'!$AE$33),'2. GRI Pricing Inputs'!$AD$32,IF(AND('3. GRI Pricing'!$F159&gt;='2. GRI Pricing Inputs'!$AF$33,'3. GRI Pricing'!$F159&lt;='2. GRI Pricing Inputs'!$AG$33),'2. GRI Pricing Inputs'!$AF$32,IF(AND('3. GRI Pricing'!$F159&gt;='2. GRI Pricing Inputs'!$AH$33,'3. GRI Pricing'!$F159&lt;='2. GRI Pricing Inputs'!$AI$33),'2. GRI Pricing Inputs'!$AH$32,0))))))))))))))))</f>
        <v>7</v>
      </c>
      <c r="N159" s="273" cm="1">
        <f t="array" ref="N159">IFERROR(INDEX('2. GRI Pricing Inputs'!$C$32:$AI$39,MATCH('3. GRI Pricing'!D159,'2. GRI Pricing Inputs'!$C$32:$C$39,0),(MATCH('3. GRI Pricing'!M159,'2. GRI Pricing Inputs'!$D$32:$AI$32,0)+1)),0)</f>
        <v>10</v>
      </c>
      <c r="O159" s="273">
        <f>IFERROR(INDEX('2. GRI Pricing Inputs'!$C$45:$AI$46,MATCH($O$16,'2. GRI Pricing Inputs'!$C$45:$C$46,0),MATCH(G159,'2. GRI Pricing Inputs'!$C$45:$AI$45,0)),0)</f>
        <v>70</v>
      </c>
      <c r="P159" s="273">
        <f>IFERROR(INDEX('2. GRI Pricing Inputs'!$C$53:$AI$54,MATCH('3. GRI Pricing'!$P$16,'2. GRI Pricing Inputs'!$C$53:$C$54,0),MATCH('3. GRI Pricing'!H159,'2. GRI Pricing Inputs'!$C$53:$AI$53,0)),0)</f>
        <v>60</v>
      </c>
      <c r="Q159" s="273">
        <f>IFERROR(INDEX('2. GRI Pricing Inputs'!$C$60:$AI$61,MATCH('3. GRI Pricing'!$Q$16,'2. GRI Pricing Inputs'!$C$60:$C$61,0),MATCH('1. Accomodation'!T163,'2. GRI Pricing Inputs'!$C$60:$AI$60,0)),0)</f>
        <v>0</v>
      </c>
      <c r="R159" s="273">
        <f>IFERROR(INDEX('2. GRI Pricing Inputs'!$C$67:$AI$68,MATCH('3. GRI Pricing'!$R$16,'2. GRI Pricing Inputs'!$C$67:$C$68,0),MATCH('1. Accomodation'!U163,'2. GRI Pricing Inputs'!$C$67:$AI$67,0)),0)</f>
        <v>40</v>
      </c>
      <c r="S159" s="273">
        <f>IF(D159=0,0,'2. GRI Pricing Inputs'!$AI$75)</f>
        <v>70</v>
      </c>
      <c r="T159" s="273">
        <f>IFERROR(INDEX('2. GRI Pricing Inputs'!$C$82:$AI$83,MATCH('3. GRI Pricing'!$T$16,'2. GRI Pricing Inputs'!$C$82:$C$83,0),MATCH('1. Accomodation'!V163,'2. GRI Pricing Inputs'!$C$82:$AI$82,0)),0)</f>
        <v>0</v>
      </c>
      <c r="U159" s="273">
        <f>IFERROR(INDEX('2. GRI Pricing Inputs'!$C$89:$AI$90,MATCH('3. GRI Pricing'!$U$16,'2. GRI Pricing Inputs'!$C$89:$C$90,0),MATCH('1. Accomodation'!W163,'2. GRI Pricing Inputs'!$C$89:$AI$89,0)),0)</f>
        <v>0</v>
      </c>
      <c r="V159" s="273">
        <f>IFERROR(INDEX('2. GRI Pricing Inputs'!$C$97:$AI$98,MATCH('3. GRI Pricing'!$V$16,'2. GRI Pricing Inputs'!$C$97:$C$98,0),MATCH('1. Accomodation'!X163,'2. GRI Pricing Inputs'!$C$97:$AI$97,0)),0)</f>
        <v>0</v>
      </c>
      <c r="W159" s="273">
        <f>IFERROR(INDEX('2. GRI Pricing Inputs'!$C$104:$AI$105,MATCH('3. GRI Pricing'!$W$16,'2. GRI Pricing Inputs'!$C$104:$C$105,0),MATCH('1. Accomodation'!Y163,'2. GRI Pricing Inputs'!$C$104:$AI$104,0)),0)</f>
        <v>0</v>
      </c>
      <c r="X159" s="274">
        <v>0</v>
      </c>
      <c r="Y159" s="275">
        <f t="shared" si="9"/>
        <v>1360</v>
      </c>
      <c r="Z159" s="276"/>
      <c r="AA159" s="276"/>
      <c r="AB159" s="276"/>
      <c r="AC159" s="272">
        <f>Y159*(1+'2. GRI Pricing Inputs'!$D$114)^(($AC$16-$AB$15)/365)</f>
        <v>1364.5378147071408</v>
      </c>
      <c r="AD159" s="273">
        <f>AC159*(1+'2. GRI Pricing Inputs'!$D$114)^((AD$16-AC$16)/365)</f>
        <v>1368.9436640282397</v>
      </c>
      <c r="AE159" s="273">
        <f>AD159*(1+'2. GRI Pricing Inputs'!$D$114)^((AE$16-AD$16)/365)</f>
        <v>1373.511320419324</v>
      </c>
      <c r="AF159" s="273">
        <f>AE159*(1+'2. GRI Pricing Inputs'!$D$114)^((AF$16-AE$16)/365)</f>
        <v>1378.0942173827234</v>
      </c>
      <c r="AG159" s="273">
        <f>AF159*(1+'2. GRI Pricing Inputs'!$D$114)^((AG$16-AF$16)/365)</f>
        <v>1382.3952860149877</v>
      </c>
      <c r="AH159" s="273">
        <f>AG159*(1+'2. GRI Pricing Inputs'!$D$114)^((AH$16-AG$16)/365)</f>
        <v>1387.0078254708412</v>
      </c>
      <c r="AI159" s="273">
        <f>AH159*(1+'2. GRI Pricing Inputs'!$D$114)^((AI$16-AH$16)/365)</f>
        <v>1391.4862264505321</v>
      </c>
      <c r="AJ159" s="273">
        <f>AI159*(1+'2. GRI Pricing Inputs'!$D$114)^((AJ$16-AI$16)/365)</f>
        <v>1396.1290989969814</v>
      </c>
      <c r="AK159" s="273">
        <f>AJ159*(1+'2. GRI Pricing Inputs'!$D$114)^((AK$16-AJ$16)/365)</f>
        <v>1400.636950942662</v>
      </c>
      <c r="AL159" s="273">
        <f>AK159*(1+'2. GRI Pricing Inputs'!$D$114)^((AL$16-AK$16)/365)</f>
        <v>1405.3103560568918</v>
      </c>
      <c r="AM159" s="273">
        <f>AL159*(1+'2. GRI Pricing Inputs'!$D$114)^((AM$16-AL$16)/365)</f>
        <v>1409.9993545876362</v>
      </c>
      <c r="AN159" s="273">
        <f>AM159*(1+'2. GRI Pricing Inputs'!$D$114)^((AN$16-AM$16)/365)</f>
        <v>1414.5519911156998</v>
      </c>
      <c r="AO159" s="273">
        <f>AN159*(1+'2. GRI Pricing Inputs'!$D$114)^((AO$16-AN$16)/365)</f>
        <v>1419.2718255490088</v>
      </c>
    </row>
    <row r="160" spans="3:41" ht="12" x14ac:dyDescent="0.2">
      <c r="C160" s="76" t="str">
        <f>'1. Accomodation'!N164</f>
        <v>502S</v>
      </c>
      <c r="D160" s="69" t="str">
        <f>'1. Accomodation'!P164</f>
        <v>2 Bed</v>
      </c>
      <c r="E160" s="69">
        <f>'1. Accomodation'!Q164</f>
        <v>2</v>
      </c>
      <c r="F160" s="77">
        <f>'1. Accomodation'!O164</f>
        <v>603</v>
      </c>
      <c r="G160" s="69">
        <f>'1. Accomodation'!R164</f>
        <v>5</v>
      </c>
      <c r="H160" s="69" t="str">
        <f>'1. Accomodation'!S164</f>
        <v>River- Full</v>
      </c>
      <c r="I160" s="62"/>
      <c r="K160" s="272">
        <f>IFERROR(INDEX('2. GRI Pricing Inputs'!$C$15:$AI$16,MATCH($K$16,'2. GRI Pricing Inputs'!$C$15:$C$16,0),MATCH(D160,'2. GRI Pricing Inputs'!$C$15:$AI$15,0)),0)</f>
        <v>1110</v>
      </c>
      <c r="L160" s="273">
        <f>IFERROR(INDEX('2. GRI Pricing Inputs'!$C$22:$AI$23,MATCH($L$16,'2. GRI Pricing Inputs'!$C$22:$C$23,0),MATCH(E160,'2. GRI Pricing Inputs'!$C$22:$AI$22,0)),0)</f>
        <v>0</v>
      </c>
      <c r="M160" s="328">
        <f>IF(AND('3. GRI Pricing'!$F160&gt;='2. GRI Pricing Inputs'!$D$33,'3. GRI Pricing'!$F160&lt;='2. GRI Pricing Inputs'!$E$33),'2. GRI Pricing Inputs'!$D$32,IF(AND('3. GRI Pricing'!$F160&gt;='2. GRI Pricing Inputs'!$F$33,'3. GRI Pricing'!$F160&lt;='2. GRI Pricing Inputs'!$G$33),'2. GRI Pricing Inputs'!$F$32,IF(AND('3. GRI Pricing'!$F160&gt;='2. GRI Pricing Inputs'!$H$33,'3. GRI Pricing'!$F160&lt;='2. GRI Pricing Inputs'!$I$33),'2. GRI Pricing Inputs'!$H$32,IF(AND('3. GRI Pricing'!$F160&gt;='2. GRI Pricing Inputs'!$J$33,'3. GRI Pricing'!$F160&lt;='2. GRI Pricing Inputs'!$K$33),'2. GRI Pricing Inputs'!$J$32,IF(AND('3. GRI Pricing'!$F160&gt;='2. GRI Pricing Inputs'!$L$33,'3. GRI Pricing'!$F160&lt;='2. GRI Pricing Inputs'!$M$33),'2. GRI Pricing Inputs'!$L$32,IF(AND('3. GRI Pricing'!$F160&gt;='2. GRI Pricing Inputs'!$N$33,'3. GRI Pricing'!$F160&lt;='2. GRI Pricing Inputs'!$O$33),'2. GRI Pricing Inputs'!$N$32,IF(AND('3. GRI Pricing'!$F160&gt;='2. GRI Pricing Inputs'!$P$33,'3. GRI Pricing'!$F160&lt;='2. GRI Pricing Inputs'!$Q$33),'2. GRI Pricing Inputs'!$P$32,IF(AND('3. GRI Pricing'!$F160&gt;='2. GRI Pricing Inputs'!$R$33,'3. GRI Pricing'!$F160&lt;='2. GRI Pricing Inputs'!$S$33),'2. GRI Pricing Inputs'!$R$32,IF(AND('3. GRI Pricing'!$F160&gt;='2. GRI Pricing Inputs'!$T$33,'3. GRI Pricing'!$F160&lt;='2. GRI Pricing Inputs'!$U$33),'2. GRI Pricing Inputs'!$T$32,IF(AND('3. GRI Pricing'!$F160&gt;='2. GRI Pricing Inputs'!$V$33,'3. GRI Pricing'!$F160&lt;='2. GRI Pricing Inputs'!$W$33),'2. GRI Pricing Inputs'!$V$32,IF(AND('3. GRI Pricing'!$F160&gt;='2. GRI Pricing Inputs'!$X$33,'3. GRI Pricing'!$F160&lt;='2. GRI Pricing Inputs'!$Y$33),'2. GRI Pricing Inputs'!$X$32,IF(AND('3. GRI Pricing'!$F160&gt;='2. GRI Pricing Inputs'!$Z$33,'3. GRI Pricing'!$F160&lt;='2. GRI Pricing Inputs'!$AA$33),'2. GRI Pricing Inputs'!$Z$32,IF(AND('3. GRI Pricing'!$F160&gt;='2. GRI Pricing Inputs'!$AB$33,'3. GRI Pricing'!$F160&lt;='2. GRI Pricing Inputs'!$AC$33),'2. GRI Pricing Inputs'!$AB$32,IF(AND('3. GRI Pricing'!$F160&gt;='2. GRI Pricing Inputs'!$AD$33,'3. GRI Pricing'!$F160&lt;='2. GRI Pricing Inputs'!$AE$33),'2. GRI Pricing Inputs'!$AD$32,IF(AND('3. GRI Pricing'!$F160&gt;='2. GRI Pricing Inputs'!$AF$33,'3. GRI Pricing'!$F160&lt;='2. GRI Pricing Inputs'!$AG$33),'2. GRI Pricing Inputs'!$AF$32,IF(AND('3. GRI Pricing'!$F160&gt;='2. GRI Pricing Inputs'!$AH$33,'3. GRI Pricing'!$F160&lt;='2. GRI Pricing Inputs'!$AI$33),'2. GRI Pricing Inputs'!$AH$32,0))))))))))))))))</f>
        <v>6</v>
      </c>
      <c r="N160" s="273" cm="1">
        <f t="array" ref="N160">IFERROR(INDEX('2. GRI Pricing Inputs'!$C$32:$AI$39,MATCH('3. GRI Pricing'!D160,'2. GRI Pricing Inputs'!$C$32:$C$39,0),(MATCH('3. GRI Pricing'!M160,'2. GRI Pricing Inputs'!$D$32:$AI$32,0)+1)),0)</f>
        <v>5</v>
      </c>
      <c r="O160" s="273">
        <f>IFERROR(INDEX('2. GRI Pricing Inputs'!$C$45:$AI$46,MATCH($O$16,'2. GRI Pricing Inputs'!$C$45:$C$46,0),MATCH(G160,'2. GRI Pricing Inputs'!$C$45:$AI$45,0)),0)</f>
        <v>70</v>
      </c>
      <c r="P160" s="273">
        <f>IFERROR(INDEX('2. GRI Pricing Inputs'!$C$53:$AI$54,MATCH('3. GRI Pricing'!$P$16,'2. GRI Pricing Inputs'!$C$53:$C$54,0),MATCH('3. GRI Pricing'!H160,'2. GRI Pricing Inputs'!$C$53:$AI$53,0)),0)</f>
        <v>60</v>
      </c>
      <c r="Q160" s="273">
        <f>IFERROR(INDEX('2. GRI Pricing Inputs'!$C$60:$AI$61,MATCH('3. GRI Pricing'!$Q$16,'2. GRI Pricing Inputs'!$C$60:$C$61,0),MATCH('1. Accomodation'!T164,'2. GRI Pricing Inputs'!$C$60:$AI$60,0)),0)</f>
        <v>0</v>
      </c>
      <c r="R160" s="273">
        <f>IFERROR(INDEX('2. GRI Pricing Inputs'!$C$67:$AI$68,MATCH('3. GRI Pricing'!$R$16,'2. GRI Pricing Inputs'!$C$67:$C$68,0),MATCH('1. Accomodation'!U164,'2. GRI Pricing Inputs'!$C$67:$AI$67,0)),0)</f>
        <v>40</v>
      </c>
      <c r="S160" s="273">
        <f>IF(D160=0,0,'2. GRI Pricing Inputs'!$AI$75)</f>
        <v>70</v>
      </c>
      <c r="T160" s="273">
        <f>IFERROR(INDEX('2. GRI Pricing Inputs'!$C$82:$AI$83,MATCH('3. GRI Pricing'!$T$16,'2. GRI Pricing Inputs'!$C$82:$C$83,0),MATCH('1. Accomodation'!V164,'2. GRI Pricing Inputs'!$C$82:$AI$82,0)),0)</f>
        <v>0</v>
      </c>
      <c r="U160" s="273">
        <f>IFERROR(INDEX('2. GRI Pricing Inputs'!$C$89:$AI$90,MATCH('3. GRI Pricing'!$U$16,'2. GRI Pricing Inputs'!$C$89:$C$90,0),MATCH('1. Accomodation'!W164,'2. GRI Pricing Inputs'!$C$89:$AI$89,0)),0)</f>
        <v>0</v>
      </c>
      <c r="V160" s="273">
        <f>IFERROR(INDEX('2. GRI Pricing Inputs'!$C$97:$AI$98,MATCH('3. GRI Pricing'!$V$16,'2. GRI Pricing Inputs'!$C$97:$C$98,0),MATCH('1. Accomodation'!X164,'2. GRI Pricing Inputs'!$C$97:$AI$97,0)),0)</f>
        <v>0</v>
      </c>
      <c r="W160" s="273">
        <f>IFERROR(INDEX('2. GRI Pricing Inputs'!$C$104:$AI$105,MATCH('3. GRI Pricing'!$W$16,'2. GRI Pricing Inputs'!$C$104:$C$105,0),MATCH('1. Accomodation'!Y164,'2. GRI Pricing Inputs'!$C$104:$AI$104,0)),0)</f>
        <v>0</v>
      </c>
      <c r="X160" s="274">
        <v>0</v>
      </c>
      <c r="Y160" s="275">
        <f t="shared" si="9"/>
        <v>1355</v>
      </c>
      <c r="Z160" s="276"/>
      <c r="AA160" s="276"/>
      <c r="AB160" s="276"/>
      <c r="AC160" s="272">
        <f>Y160*(1+'2. GRI Pricing Inputs'!$D$114)^(($AC$16-$AB$15)/365)</f>
        <v>1359.5211315648351</v>
      </c>
      <c r="AD160" s="273">
        <f>AC160*(1+'2. GRI Pricing Inputs'!$D$114)^((AD$16-AC$16)/365)</f>
        <v>1363.9107829104889</v>
      </c>
      <c r="AE160" s="273">
        <f>AD160*(1+'2. GRI Pricing Inputs'!$D$114)^((AE$16-AD$16)/365)</f>
        <v>1368.4616464471942</v>
      </c>
      <c r="AF160" s="273">
        <f>AE160*(1+'2. GRI Pricing Inputs'!$D$114)^((AF$16-AE$16)/365)</f>
        <v>1373.0276945246987</v>
      </c>
      <c r="AG160" s="273">
        <f>AF160*(1+'2. GRI Pricing Inputs'!$D$114)^((AG$16-AF$16)/365)</f>
        <v>1377.3129504046385</v>
      </c>
      <c r="AH160" s="273">
        <f>AG160*(1+'2. GRI Pricing Inputs'!$D$114)^((AH$16-AG$16)/365)</f>
        <v>1381.9085319948456</v>
      </c>
      <c r="AI160" s="273">
        <f>AH160*(1+'2. GRI Pricing Inputs'!$D$114)^((AI$16-AH$16)/365)</f>
        <v>1386.3704682650523</v>
      </c>
      <c r="AJ160" s="273">
        <f>AI160*(1+'2. GRI Pricing Inputs'!$D$114)^((AJ$16-AI$16)/365)</f>
        <v>1390.9962714271396</v>
      </c>
      <c r="AK160" s="273">
        <f>AJ160*(1+'2. GRI Pricing Inputs'!$D$114)^((AK$16-AJ$16)/365)</f>
        <v>1395.4875503877258</v>
      </c>
      <c r="AL160" s="273">
        <f>AK160*(1+'2. GRI Pricing Inputs'!$D$114)^((AL$16-AK$16)/365)</f>
        <v>1400.1437738655061</v>
      </c>
      <c r="AM160" s="273">
        <f>AL160*(1+'2. GRI Pricing Inputs'!$D$114)^((AM$16-AL$16)/365)</f>
        <v>1404.8155334310638</v>
      </c>
      <c r="AN160" s="273">
        <f>AM160*(1+'2. GRI Pricing Inputs'!$D$114)^((AN$16-AM$16)/365)</f>
        <v>1409.3514323248332</v>
      </c>
      <c r="AO160" s="273">
        <f>AN160*(1+'2. GRI Pricing Inputs'!$D$114)^((AO$16-AN$16)/365)</f>
        <v>1414.0539144256668</v>
      </c>
    </row>
    <row r="161" spans="3:41" ht="12" x14ac:dyDescent="0.2">
      <c r="C161" s="76" t="str">
        <f>'1. Accomodation'!N165</f>
        <v>503S</v>
      </c>
      <c r="D161" s="69" t="str">
        <f>'1. Accomodation'!P165</f>
        <v>2 Bed</v>
      </c>
      <c r="E161" s="69">
        <f>'1. Accomodation'!Q165</f>
        <v>2</v>
      </c>
      <c r="F161" s="77">
        <f>'1. Accomodation'!O165</f>
        <v>614</v>
      </c>
      <c r="G161" s="69">
        <f>'1. Accomodation'!R165</f>
        <v>5</v>
      </c>
      <c r="H161" s="69" t="str">
        <f>'1. Accomodation'!S165</f>
        <v>River- Full</v>
      </c>
      <c r="I161" s="62"/>
      <c r="K161" s="272">
        <f>IFERROR(INDEX('2. GRI Pricing Inputs'!$C$15:$AI$16,MATCH($K$16,'2. GRI Pricing Inputs'!$C$15:$C$16,0),MATCH(D161,'2. GRI Pricing Inputs'!$C$15:$AI$15,0)),0)</f>
        <v>1110</v>
      </c>
      <c r="L161" s="273">
        <f>IFERROR(INDEX('2. GRI Pricing Inputs'!$C$22:$AI$23,MATCH($L$16,'2. GRI Pricing Inputs'!$C$22:$C$23,0),MATCH(E161,'2. GRI Pricing Inputs'!$C$22:$AI$22,0)),0)</f>
        <v>0</v>
      </c>
      <c r="M161" s="328">
        <f>IF(AND('3. GRI Pricing'!$F161&gt;='2. GRI Pricing Inputs'!$D$33,'3. GRI Pricing'!$F161&lt;='2. GRI Pricing Inputs'!$E$33),'2. GRI Pricing Inputs'!$D$32,IF(AND('3. GRI Pricing'!$F161&gt;='2. GRI Pricing Inputs'!$F$33,'3. GRI Pricing'!$F161&lt;='2. GRI Pricing Inputs'!$G$33),'2. GRI Pricing Inputs'!$F$32,IF(AND('3. GRI Pricing'!$F161&gt;='2. GRI Pricing Inputs'!$H$33,'3. GRI Pricing'!$F161&lt;='2. GRI Pricing Inputs'!$I$33),'2. GRI Pricing Inputs'!$H$32,IF(AND('3. GRI Pricing'!$F161&gt;='2. GRI Pricing Inputs'!$J$33,'3. GRI Pricing'!$F161&lt;='2. GRI Pricing Inputs'!$K$33),'2. GRI Pricing Inputs'!$J$32,IF(AND('3. GRI Pricing'!$F161&gt;='2. GRI Pricing Inputs'!$L$33,'3. GRI Pricing'!$F161&lt;='2. GRI Pricing Inputs'!$M$33),'2. GRI Pricing Inputs'!$L$32,IF(AND('3. GRI Pricing'!$F161&gt;='2. GRI Pricing Inputs'!$N$33,'3. GRI Pricing'!$F161&lt;='2. GRI Pricing Inputs'!$O$33),'2. GRI Pricing Inputs'!$N$32,IF(AND('3. GRI Pricing'!$F161&gt;='2. GRI Pricing Inputs'!$P$33,'3. GRI Pricing'!$F161&lt;='2. GRI Pricing Inputs'!$Q$33),'2. GRI Pricing Inputs'!$P$32,IF(AND('3. GRI Pricing'!$F161&gt;='2. GRI Pricing Inputs'!$R$33,'3. GRI Pricing'!$F161&lt;='2. GRI Pricing Inputs'!$S$33),'2. GRI Pricing Inputs'!$R$32,IF(AND('3. GRI Pricing'!$F161&gt;='2. GRI Pricing Inputs'!$T$33,'3. GRI Pricing'!$F161&lt;='2. GRI Pricing Inputs'!$U$33),'2. GRI Pricing Inputs'!$T$32,IF(AND('3. GRI Pricing'!$F161&gt;='2. GRI Pricing Inputs'!$V$33,'3. GRI Pricing'!$F161&lt;='2. GRI Pricing Inputs'!$W$33),'2. GRI Pricing Inputs'!$V$32,IF(AND('3. GRI Pricing'!$F161&gt;='2. GRI Pricing Inputs'!$X$33,'3. GRI Pricing'!$F161&lt;='2. GRI Pricing Inputs'!$Y$33),'2. GRI Pricing Inputs'!$X$32,IF(AND('3. GRI Pricing'!$F161&gt;='2. GRI Pricing Inputs'!$Z$33,'3. GRI Pricing'!$F161&lt;='2. GRI Pricing Inputs'!$AA$33),'2. GRI Pricing Inputs'!$Z$32,IF(AND('3. GRI Pricing'!$F161&gt;='2. GRI Pricing Inputs'!$AB$33,'3. GRI Pricing'!$F161&lt;='2. GRI Pricing Inputs'!$AC$33),'2. GRI Pricing Inputs'!$AB$32,IF(AND('3. GRI Pricing'!$F161&gt;='2. GRI Pricing Inputs'!$AD$33,'3. GRI Pricing'!$F161&lt;='2. GRI Pricing Inputs'!$AE$33),'2. GRI Pricing Inputs'!$AD$32,IF(AND('3. GRI Pricing'!$F161&gt;='2. GRI Pricing Inputs'!$AF$33,'3. GRI Pricing'!$F161&lt;='2. GRI Pricing Inputs'!$AG$33),'2. GRI Pricing Inputs'!$AF$32,IF(AND('3. GRI Pricing'!$F161&gt;='2. GRI Pricing Inputs'!$AH$33,'3. GRI Pricing'!$F161&lt;='2. GRI Pricing Inputs'!$AI$33),'2. GRI Pricing Inputs'!$AH$32,0))))))))))))))))</f>
        <v>6</v>
      </c>
      <c r="N161" s="273" cm="1">
        <f t="array" ref="N161">IFERROR(INDEX('2. GRI Pricing Inputs'!$C$32:$AI$39,MATCH('3. GRI Pricing'!D161,'2. GRI Pricing Inputs'!$C$32:$C$39,0),(MATCH('3. GRI Pricing'!M161,'2. GRI Pricing Inputs'!$D$32:$AI$32,0)+1)),0)</f>
        <v>5</v>
      </c>
      <c r="O161" s="273">
        <f>IFERROR(INDEX('2. GRI Pricing Inputs'!$C$45:$AI$46,MATCH($O$16,'2. GRI Pricing Inputs'!$C$45:$C$46,0),MATCH(G161,'2. GRI Pricing Inputs'!$C$45:$AI$45,0)),0)</f>
        <v>70</v>
      </c>
      <c r="P161" s="273">
        <f>IFERROR(INDEX('2. GRI Pricing Inputs'!$C$53:$AI$54,MATCH('3. GRI Pricing'!$P$16,'2. GRI Pricing Inputs'!$C$53:$C$54,0),MATCH('3. GRI Pricing'!H161,'2. GRI Pricing Inputs'!$C$53:$AI$53,0)),0)</f>
        <v>60</v>
      </c>
      <c r="Q161" s="273">
        <f>IFERROR(INDEX('2. GRI Pricing Inputs'!$C$60:$AI$61,MATCH('3. GRI Pricing'!$Q$16,'2. GRI Pricing Inputs'!$C$60:$C$61,0),MATCH('1. Accomodation'!T165,'2. GRI Pricing Inputs'!$C$60:$AI$60,0)),0)</f>
        <v>0</v>
      </c>
      <c r="R161" s="273">
        <f>IFERROR(INDEX('2. GRI Pricing Inputs'!$C$67:$AI$68,MATCH('3. GRI Pricing'!$R$16,'2. GRI Pricing Inputs'!$C$67:$C$68,0),MATCH('1. Accomodation'!U165,'2. GRI Pricing Inputs'!$C$67:$AI$67,0)),0)</f>
        <v>40</v>
      </c>
      <c r="S161" s="273">
        <f>IF(D161=0,0,'2. GRI Pricing Inputs'!$AI$75)</f>
        <v>70</v>
      </c>
      <c r="T161" s="273">
        <f>IFERROR(INDEX('2. GRI Pricing Inputs'!$C$82:$AI$83,MATCH('3. GRI Pricing'!$T$16,'2. GRI Pricing Inputs'!$C$82:$C$83,0),MATCH('1. Accomodation'!V165,'2. GRI Pricing Inputs'!$C$82:$AI$82,0)),0)</f>
        <v>0</v>
      </c>
      <c r="U161" s="273">
        <f>IFERROR(INDEX('2. GRI Pricing Inputs'!$C$89:$AI$90,MATCH('3. GRI Pricing'!$U$16,'2. GRI Pricing Inputs'!$C$89:$C$90,0),MATCH('1. Accomodation'!W165,'2. GRI Pricing Inputs'!$C$89:$AI$89,0)),0)</f>
        <v>0</v>
      </c>
      <c r="V161" s="273">
        <f>IFERROR(INDEX('2. GRI Pricing Inputs'!$C$97:$AI$98,MATCH('3. GRI Pricing'!$V$16,'2. GRI Pricing Inputs'!$C$97:$C$98,0),MATCH('1. Accomodation'!X165,'2. GRI Pricing Inputs'!$C$97:$AI$97,0)),0)</f>
        <v>0</v>
      </c>
      <c r="W161" s="273">
        <f>IFERROR(INDEX('2. GRI Pricing Inputs'!$C$104:$AI$105,MATCH('3. GRI Pricing'!$W$16,'2. GRI Pricing Inputs'!$C$104:$C$105,0),MATCH('1. Accomodation'!Y165,'2. GRI Pricing Inputs'!$C$104:$AI$104,0)),0)</f>
        <v>0</v>
      </c>
      <c r="X161" s="274">
        <v>0</v>
      </c>
      <c r="Y161" s="275">
        <f t="shared" si="9"/>
        <v>1355</v>
      </c>
      <c r="Z161" s="276"/>
      <c r="AA161" s="276"/>
      <c r="AB161" s="276"/>
      <c r="AC161" s="272">
        <f>Y161*(1+'2. GRI Pricing Inputs'!$D$114)^(($AC$16-$AB$15)/365)</f>
        <v>1359.5211315648351</v>
      </c>
      <c r="AD161" s="273">
        <f>AC161*(1+'2. GRI Pricing Inputs'!$D$114)^((AD$16-AC$16)/365)</f>
        <v>1363.9107829104889</v>
      </c>
      <c r="AE161" s="273">
        <f>AD161*(1+'2. GRI Pricing Inputs'!$D$114)^((AE$16-AD$16)/365)</f>
        <v>1368.4616464471942</v>
      </c>
      <c r="AF161" s="273">
        <f>AE161*(1+'2. GRI Pricing Inputs'!$D$114)^((AF$16-AE$16)/365)</f>
        <v>1373.0276945246987</v>
      </c>
      <c r="AG161" s="273">
        <f>AF161*(1+'2. GRI Pricing Inputs'!$D$114)^((AG$16-AF$16)/365)</f>
        <v>1377.3129504046385</v>
      </c>
      <c r="AH161" s="273">
        <f>AG161*(1+'2. GRI Pricing Inputs'!$D$114)^((AH$16-AG$16)/365)</f>
        <v>1381.9085319948456</v>
      </c>
      <c r="AI161" s="273">
        <f>AH161*(1+'2. GRI Pricing Inputs'!$D$114)^((AI$16-AH$16)/365)</f>
        <v>1386.3704682650523</v>
      </c>
      <c r="AJ161" s="273">
        <f>AI161*(1+'2. GRI Pricing Inputs'!$D$114)^((AJ$16-AI$16)/365)</f>
        <v>1390.9962714271396</v>
      </c>
      <c r="AK161" s="273">
        <f>AJ161*(1+'2. GRI Pricing Inputs'!$D$114)^((AK$16-AJ$16)/365)</f>
        <v>1395.4875503877258</v>
      </c>
      <c r="AL161" s="273">
        <f>AK161*(1+'2. GRI Pricing Inputs'!$D$114)^((AL$16-AK$16)/365)</f>
        <v>1400.1437738655061</v>
      </c>
      <c r="AM161" s="273">
        <f>AL161*(1+'2. GRI Pricing Inputs'!$D$114)^((AM$16-AL$16)/365)</f>
        <v>1404.8155334310638</v>
      </c>
      <c r="AN161" s="273">
        <f>AM161*(1+'2. GRI Pricing Inputs'!$D$114)^((AN$16-AM$16)/365)</f>
        <v>1409.3514323248332</v>
      </c>
      <c r="AO161" s="273">
        <f>AN161*(1+'2. GRI Pricing Inputs'!$D$114)^((AO$16-AN$16)/365)</f>
        <v>1414.0539144256668</v>
      </c>
    </row>
    <row r="162" spans="3:41" ht="12" x14ac:dyDescent="0.2">
      <c r="C162" s="76" t="str">
        <f>'1. Accomodation'!N166</f>
        <v>504S</v>
      </c>
      <c r="D162" s="69" t="str">
        <f>'1. Accomodation'!P166</f>
        <v>3 Bed</v>
      </c>
      <c r="E162" s="69">
        <f>'1. Accomodation'!Q166</f>
        <v>3</v>
      </c>
      <c r="F162" s="77">
        <f>'1. Accomodation'!O166</f>
        <v>829</v>
      </c>
      <c r="G162" s="69">
        <f>'1. Accomodation'!R166</f>
        <v>5</v>
      </c>
      <c r="H162" s="69" t="str">
        <f>'1. Accomodation'!S166</f>
        <v>River- Full</v>
      </c>
      <c r="I162" s="62"/>
      <c r="K162" s="272">
        <f>IFERROR(INDEX('2. GRI Pricing Inputs'!$C$15:$AI$16,MATCH($K$16,'2. GRI Pricing Inputs'!$C$15:$C$16,0),MATCH(D162,'2. GRI Pricing Inputs'!$C$15:$AI$15,0)),0)</f>
        <v>1485</v>
      </c>
      <c r="L162" s="273">
        <f>IFERROR(INDEX('2. GRI Pricing Inputs'!$C$22:$AI$23,MATCH($L$16,'2. GRI Pricing Inputs'!$C$22:$C$23,0),MATCH(E162,'2. GRI Pricing Inputs'!$C$22:$AI$22,0)),0)</f>
        <v>0</v>
      </c>
      <c r="M162" s="328">
        <f>IF(AND('3. GRI Pricing'!$F162&gt;='2. GRI Pricing Inputs'!$D$33,'3. GRI Pricing'!$F162&lt;='2. GRI Pricing Inputs'!$E$33),'2. GRI Pricing Inputs'!$D$32,IF(AND('3. GRI Pricing'!$F162&gt;='2. GRI Pricing Inputs'!$F$33,'3. GRI Pricing'!$F162&lt;='2. GRI Pricing Inputs'!$G$33),'2. GRI Pricing Inputs'!$F$32,IF(AND('3. GRI Pricing'!$F162&gt;='2. GRI Pricing Inputs'!$H$33,'3. GRI Pricing'!$F162&lt;='2. GRI Pricing Inputs'!$I$33),'2. GRI Pricing Inputs'!$H$32,IF(AND('3. GRI Pricing'!$F162&gt;='2. GRI Pricing Inputs'!$J$33,'3. GRI Pricing'!$F162&lt;='2. GRI Pricing Inputs'!$K$33),'2. GRI Pricing Inputs'!$J$32,IF(AND('3. GRI Pricing'!$F162&gt;='2. GRI Pricing Inputs'!$L$33,'3. GRI Pricing'!$F162&lt;='2. GRI Pricing Inputs'!$M$33),'2. GRI Pricing Inputs'!$L$32,IF(AND('3. GRI Pricing'!$F162&gt;='2. GRI Pricing Inputs'!$N$33,'3. GRI Pricing'!$F162&lt;='2. GRI Pricing Inputs'!$O$33),'2. GRI Pricing Inputs'!$N$32,IF(AND('3. GRI Pricing'!$F162&gt;='2. GRI Pricing Inputs'!$P$33,'3. GRI Pricing'!$F162&lt;='2. GRI Pricing Inputs'!$Q$33),'2. GRI Pricing Inputs'!$P$32,IF(AND('3. GRI Pricing'!$F162&gt;='2. GRI Pricing Inputs'!$R$33,'3. GRI Pricing'!$F162&lt;='2. GRI Pricing Inputs'!$S$33),'2. GRI Pricing Inputs'!$R$32,IF(AND('3. GRI Pricing'!$F162&gt;='2. GRI Pricing Inputs'!$T$33,'3. GRI Pricing'!$F162&lt;='2. GRI Pricing Inputs'!$U$33),'2. GRI Pricing Inputs'!$T$32,IF(AND('3. GRI Pricing'!$F162&gt;='2. GRI Pricing Inputs'!$V$33,'3. GRI Pricing'!$F162&lt;='2. GRI Pricing Inputs'!$W$33),'2. GRI Pricing Inputs'!$V$32,IF(AND('3. GRI Pricing'!$F162&gt;='2. GRI Pricing Inputs'!$X$33,'3. GRI Pricing'!$F162&lt;='2. GRI Pricing Inputs'!$Y$33),'2. GRI Pricing Inputs'!$X$32,IF(AND('3. GRI Pricing'!$F162&gt;='2. GRI Pricing Inputs'!$Z$33,'3. GRI Pricing'!$F162&lt;='2. GRI Pricing Inputs'!$AA$33),'2. GRI Pricing Inputs'!$Z$32,IF(AND('3. GRI Pricing'!$F162&gt;='2. GRI Pricing Inputs'!$AB$33,'3. GRI Pricing'!$F162&lt;='2. GRI Pricing Inputs'!$AC$33),'2. GRI Pricing Inputs'!$AB$32,IF(AND('3. GRI Pricing'!$F162&gt;='2. GRI Pricing Inputs'!$AD$33,'3. GRI Pricing'!$F162&lt;='2. GRI Pricing Inputs'!$AE$33),'2. GRI Pricing Inputs'!$AD$32,IF(AND('3. GRI Pricing'!$F162&gt;='2. GRI Pricing Inputs'!$AF$33,'3. GRI Pricing'!$F162&lt;='2. GRI Pricing Inputs'!$AG$33),'2. GRI Pricing Inputs'!$AF$32,IF(AND('3. GRI Pricing'!$F162&gt;='2. GRI Pricing Inputs'!$AH$33,'3. GRI Pricing'!$F162&lt;='2. GRI Pricing Inputs'!$AI$33),'2. GRI Pricing Inputs'!$AH$32,0))))))))))))))))</f>
        <v>14</v>
      </c>
      <c r="N162" s="273" cm="1">
        <f t="array" ref="N162">IFERROR(INDEX('2. GRI Pricing Inputs'!$C$32:$AI$39,MATCH('3. GRI Pricing'!D162,'2. GRI Pricing Inputs'!$C$32:$C$39,0),(MATCH('3. GRI Pricing'!M162,'2. GRI Pricing Inputs'!$D$32:$AI$32,0)+1)),0)</f>
        <v>60</v>
      </c>
      <c r="O162" s="273">
        <f>IFERROR(INDEX('2. GRI Pricing Inputs'!$C$45:$AI$46,MATCH($O$16,'2. GRI Pricing Inputs'!$C$45:$C$46,0),MATCH(G162,'2. GRI Pricing Inputs'!$C$45:$AI$45,0)),0)</f>
        <v>70</v>
      </c>
      <c r="P162" s="273">
        <f>IFERROR(INDEX('2. GRI Pricing Inputs'!$C$53:$AI$54,MATCH('3. GRI Pricing'!$P$16,'2. GRI Pricing Inputs'!$C$53:$C$54,0),MATCH('3. GRI Pricing'!H162,'2. GRI Pricing Inputs'!$C$53:$AI$53,0)),0)</f>
        <v>60</v>
      </c>
      <c r="Q162" s="273">
        <f>IFERROR(INDEX('2. GRI Pricing Inputs'!$C$60:$AI$61,MATCH('3. GRI Pricing'!$Q$16,'2. GRI Pricing Inputs'!$C$60:$C$61,0),MATCH('1. Accomodation'!T166,'2. GRI Pricing Inputs'!$C$60:$AI$60,0)),0)</f>
        <v>0</v>
      </c>
      <c r="R162" s="273">
        <f>IFERROR(INDEX('2. GRI Pricing Inputs'!$C$67:$AI$68,MATCH('3. GRI Pricing'!$R$16,'2. GRI Pricing Inputs'!$C$67:$C$68,0),MATCH('1. Accomodation'!U166,'2. GRI Pricing Inputs'!$C$67:$AI$67,0)),0)</f>
        <v>40</v>
      </c>
      <c r="S162" s="273">
        <f>IF(D162=0,0,'2. GRI Pricing Inputs'!$AI$75)</f>
        <v>70</v>
      </c>
      <c r="T162" s="273">
        <f>IFERROR(INDEX('2. GRI Pricing Inputs'!$C$82:$AI$83,MATCH('3. GRI Pricing'!$T$16,'2. GRI Pricing Inputs'!$C$82:$C$83,0),MATCH('1. Accomodation'!V166,'2. GRI Pricing Inputs'!$C$82:$AI$82,0)),0)</f>
        <v>0</v>
      </c>
      <c r="U162" s="273">
        <f>IFERROR(INDEX('2. GRI Pricing Inputs'!$C$89:$AI$90,MATCH('3. GRI Pricing'!$U$16,'2. GRI Pricing Inputs'!$C$89:$C$90,0),MATCH('1. Accomodation'!W166,'2. GRI Pricing Inputs'!$C$89:$AI$89,0)),0)</f>
        <v>0</v>
      </c>
      <c r="V162" s="273">
        <f>IFERROR(INDEX('2. GRI Pricing Inputs'!$C$97:$AI$98,MATCH('3. GRI Pricing'!$V$16,'2. GRI Pricing Inputs'!$C$97:$C$98,0),MATCH('1. Accomodation'!X166,'2. GRI Pricing Inputs'!$C$97:$AI$97,0)),0)</f>
        <v>0</v>
      </c>
      <c r="W162" s="273">
        <f>IFERROR(INDEX('2. GRI Pricing Inputs'!$C$104:$AI$105,MATCH('3. GRI Pricing'!$W$16,'2. GRI Pricing Inputs'!$C$104:$C$105,0),MATCH('1. Accomodation'!Y166,'2. GRI Pricing Inputs'!$C$104:$AI$104,0)),0)</f>
        <v>0</v>
      </c>
      <c r="X162" s="274">
        <v>0</v>
      </c>
      <c r="Y162" s="275">
        <f t="shared" si="9"/>
        <v>1785</v>
      </c>
      <c r="Z162" s="276"/>
      <c r="AA162" s="276"/>
      <c r="AB162" s="276"/>
      <c r="AC162" s="272">
        <f>Y162*(1+'2. GRI Pricing Inputs'!$D$114)^(($AC$16-$AB$15)/365)</f>
        <v>1790.9558818031223</v>
      </c>
      <c r="AD162" s="273">
        <f>AC162*(1+'2. GRI Pricing Inputs'!$D$114)^((AD$16-AC$16)/365)</f>
        <v>1796.7385590370648</v>
      </c>
      <c r="AE162" s="273">
        <f>AD162*(1+'2. GRI Pricing Inputs'!$D$114)^((AE$16-AD$16)/365)</f>
        <v>1802.7336080503628</v>
      </c>
      <c r="AF162" s="273">
        <f>AE162*(1+'2. GRI Pricing Inputs'!$D$114)^((AF$16-AE$16)/365)</f>
        <v>1808.7486603148245</v>
      </c>
      <c r="AG162" s="273">
        <f>AF162*(1+'2. GRI Pricing Inputs'!$D$114)^((AG$16-AF$16)/365)</f>
        <v>1814.3938128946716</v>
      </c>
      <c r="AH162" s="273">
        <f>AG162*(1+'2. GRI Pricing Inputs'!$D$114)^((AH$16-AG$16)/365)</f>
        <v>1820.4477709304795</v>
      </c>
      <c r="AI162" s="273">
        <f>AH162*(1+'2. GRI Pricing Inputs'!$D$114)^((AI$16-AH$16)/365)</f>
        <v>1826.3256722163237</v>
      </c>
      <c r="AJ162" s="273">
        <f>AI162*(1+'2. GRI Pricing Inputs'!$D$114)^((AJ$16-AI$16)/365)</f>
        <v>1832.4194424335385</v>
      </c>
      <c r="AK162" s="273">
        <f>AJ162*(1+'2. GRI Pricing Inputs'!$D$114)^((AK$16-AJ$16)/365)</f>
        <v>1838.3359981122444</v>
      </c>
      <c r="AL162" s="273">
        <f>AK162*(1+'2. GRI Pricing Inputs'!$D$114)^((AL$16-AK$16)/365)</f>
        <v>1844.4698423246709</v>
      </c>
      <c r="AM162" s="273">
        <f>AL162*(1+'2. GRI Pricing Inputs'!$D$114)^((AM$16-AL$16)/365)</f>
        <v>1850.6241528962728</v>
      </c>
      <c r="AN162" s="273">
        <f>AM162*(1+'2. GRI Pricing Inputs'!$D$114)^((AN$16-AM$16)/365)</f>
        <v>1856.5994883393564</v>
      </c>
      <c r="AO162" s="273">
        <f>AN162*(1+'2. GRI Pricing Inputs'!$D$114)^((AO$16-AN$16)/365)</f>
        <v>1862.7942710330742</v>
      </c>
    </row>
    <row r="163" spans="3:41" ht="12" x14ac:dyDescent="0.2">
      <c r="C163" s="76" t="str">
        <f>'1. Accomodation'!N167</f>
        <v>505S</v>
      </c>
      <c r="D163" s="69" t="str">
        <f>'1. Accomodation'!P167</f>
        <v>2 Bed</v>
      </c>
      <c r="E163" s="69">
        <f>'1. Accomodation'!Q167</f>
        <v>2</v>
      </c>
      <c r="F163" s="77">
        <f>'1. Accomodation'!O167</f>
        <v>689</v>
      </c>
      <c r="G163" s="69">
        <f>'1. Accomodation'!R167</f>
        <v>5</v>
      </c>
      <c r="H163" s="69" t="str">
        <f>'1. Accomodation'!S167</f>
        <v>Courtyard</v>
      </c>
      <c r="I163" s="62"/>
      <c r="K163" s="272">
        <f>IFERROR(INDEX('2. GRI Pricing Inputs'!$C$15:$AI$16,MATCH($K$16,'2. GRI Pricing Inputs'!$C$15:$C$16,0),MATCH(D163,'2. GRI Pricing Inputs'!$C$15:$AI$15,0)),0)</f>
        <v>1110</v>
      </c>
      <c r="L163" s="273">
        <f>IFERROR(INDEX('2. GRI Pricing Inputs'!$C$22:$AI$23,MATCH($L$16,'2. GRI Pricing Inputs'!$C$22:$C$23,0),MATCH(E163,'2. GRI Pricing Inputs'!$C$22:$AI$22,0)),0)</f>
        <v>0</v>
      </c>
      <c r="M163" s="328">
        <f>IF(AND('3. GRI Pricing'!$F163&gt;='2. GRI Pricing Inputs'!$D$33,'3. GRI Pricing'!$F163&lt;='2. GRI Pricing Inputs'!$E$33),'2. GRI Pricing Inputs'!$D$32,IF(AND('3. GRI Pricing'!$F163&gt;='2. GRI Pricing Inputs'!$F$33,'3. GRI Pricing'!$F163&lt;='2. GRI Pricing Inputs'!$G$33),'2. GRI Pricing Inputs'!$F$32,IF(AND('3. GRI Pricing'!$F163&gt;='2. GRI Pricing Inputs'!$H$33,'3. GRI Pricing'!$F163&lt;='2. GRI Pricing Inputs'!$I$33),'2. GRI Pricing Inputs'!$H$32,IF(AND('3. GRI Pricing'!$F163&gt;='2. GRI Pricing Inputs'!$J$33,'3. GRI Pricing'!$F163&lt;='2. GRI Pricing Inputs'!$K$33),'2. GRI Pricing Inputs'!$J$32,IF(AND('3. GRI Pricing'!$F163&gt;='2. GRI Pricing Inputs'!$L$33,'3. GRI Pricing'!$F163&lt;='2. GRI Pricing Inputs'!$M$33),'2. GRI Pricing Inputs'!$L$32,IF(AND('3. GRI Pricing'!$F163&gt;='2. GRI Pricing Inputs'!$N$33,'3. GRI Pricing'!$F163&lt;='2. GRI Pricing Inputs'!$O$33),'2. GRI Pricing Inputs'!$N$32,IF(AND('3. GRI Pricing'!$F163&gt;='2. GRI Pricing Inputs'!$P$33,'3. GRI Pricing'!$F163&lt;='2. GRI Pricing Inputs'!$Q$33),'2. GRI Pricing Inputs'!$P$32,IF(AND('3. GRI Pricing'!$F163&gt;='2. GRI Pricing Inputs'!$R$33,'3. GRI Pricing'!$F163&lt;='2. GRI Pricing Inputs'!$S$33),'2. GRI Pricing Inputs'!$R$32,IF(AND('3. GRI Pricing'!$F163&gt;='2. GRI Pricing Inputs'!$T$33,'3. GRI Pricing'!$F163&lt;='2. GRI Pricing Inputs'!$U$33),'2. GRI Pricing Inputs'!$T$32,IF(AND('3. GRI Pricing'!$F163&gt;='2. GRI Pricing Inputs'!$V$33,'3. GRI Pricing'!$F163&lt;='2. GRI Pricing Inputs'!$W$33),'2. GRI Pricing Inputs'!$V$32,IF(AND('3. GRI Pricing'!$F163&gt;='2. GRI Pricing Inputs'!$X$33,'3. GRI Pricing'!$F163&lt;='2. GRI Pricing Inputs'!$Y$33),'2. GRI Pricing Inputs'!$X$32,IF(AND('3. GRI Pricing'!$F163&gt;='2. GRI Pricing Inputs'!$Z$33,'3. GRI Pricing'!$F163&lt;='2. GRI Pricing Inputs'!$AA$33),'2. GRI Pricing Inputs'!$Z$32,IF(AND('3. GRI Pricing'!$F163&gt;='2. GRI Pricing Inputs'!$AB$33,'3. GRI Pricing'!$F163&lt;='2. GRI Pricing Inputs'!$AC$33),'2. GRI Pricing Inputs'!$AB$32,IF(AND('3. GRI Pricing'!$F163&gt;='2. GRI Pricing Inputs'!$AD$33,'3. GRI Pricing'!$F163&lt;='2. GRI Pricing Inputs'!$AE$33),'2. GRI Pricing Inputs'!$AD$32,IF(AND('3. GRI Pricing'!$F163&gt;='2. GRI Pricing Inputs'!$AF$33,'3. GRI Pricing'!$F163&lt;='2. GRI Pricing Inputs'!$AG$33),'2. GRI Pricing Inputs'!$AF$32,IF(AND('3. GRI Pricing'!$F163&gt;='2. GRI Pricing Inputs'!$AH$33,'3. GRI Pricing'!$F163&lt;='2. GRI Pricing Inputs'!$AI$33),'2. GRI Pricing Inputs'!$AH$32,0))))))))))))))))</f>
        <v>11</v>
      </c>
      <c r="N163" s="273" cm="1">
        <f t="array" ref="N163">IFERROR(INDEX('2. GRI Pricing Inputs'!$C$32:$AI$39,MATCH('3. GRI Pricing'!D163,'2. GRI Pricing Inputs'!$C$32:$C$39,0),(MATCH('3. GRI Pricing'!M163,'2. GRI Pricing Inputs'!$D$32:$AI$32,0)+1)),0)</f>
        <v>65</v>
      </c>
      <c r="O163" s="273">
        <f>IFERROR(INDEX('2. GRI Pricing Inputs'!$C$45:$AI$46,MATCH($O$16,'2. GRI Pricing Inputs'!$C$45:$C$46,0),MATCH(G163,'2. GRI Pricing Inputs'!$C$45:$AI$45,0)),0)</f>
        <v>70</v>
      </c>
      <c r="P163" s="273">
        <f>IFERROR(INDEX('2. GRI Pricing Inputs'!$C$53:$AI$54,MATCH('3. GRI Pricing'!$P$16,'2. GRI Pricing Inputs'!$C$53:$C$54,0),MATCH('3. GRI Pricing'!H163,'2. GRI Pricing Inputs'!$C$53:$AI$53,0)),0)</f>
        <v>25</v>
      </c>
      <c r="Q163" s="273">
        <f>IFERROR(INDEX('2. GRI Pricing Inputs'!$C$60:$AI$61,MATCH('3. GRI Pricing'!$Q$16,'2. GRI Pricing Inputs'!$C$60:$C$61,0),MATCH('1. Accomodation'!T167,'2. GRI Pricing Inputs'!$C$60:$AI$60,0)),0)</f>
        <v>0</v>
      </c>
      <c r="R163" s="273">
        <f>IFERROR(INDEX('2. GRI Pricing Inputs'!$C$67:$AI$68,MATCH('3. GRI Pricing'!$R$16,'2. GRI Pricing Inputs'!$C$67:$C$68,0),MATCH('1. Accomodation'!U167,'2. GRI Pricing Inputs'!$C$67:$AI$67,0)),0)</f>
        <v>0</v>
      </c>
      <c r="S163" s="273">
        <f>IF(D163=0,0,'2. GRI Pricing Inputs'!$AI$75)</f>
        <v>70</v>
      </c>
      <c r="T163" s="273">
        <f>IFERROR(INDEX('2. GRI Pricing Inputs'!$C$82:$AI$83,MATCH('3. GRI Pricing'!$T$16,'2. GRI Pricing Inputs'!$C$82:$C$83,0),MATCH('1. Accomodation'!V167,'2. GRI Pricing Inputs'!$C$82:$AI$82,0)),0)</f>
        <v>0</v>
      </c>
      <c r="U163" s="273">
        <f>IFERROR(INDEX('2. GRI Pricing Inputs'!$C$89:$AI$90,MATCH('3. GRI Pricing'!$U$16,'2. GRI Pricing Inputs'!$C$89:$C$90,0),MATCH('1. Accomodation'!W167,'2. GRI Pricing Inputs'!$C$89:$AI$89,0)),0)</f>
        <v>0</v>
      </c>
      <c r="V163" s="273">
        <f>IFERROR(INDEX('2. GRI Pricing Inputs'!$C$97:$AI$98,MATCH('3. GRI Pricing'!$V$16,'2. GRI Pricing Inputs'!$C$97:$C$98,0),MATCH('1. Accomodation'!X167,'2. GRI Pricing Inputs'!$C$97:$AI$97,0)),0)</f>
        <v>0</v>
      </c>
      <c r="W163" s="273">
        <f>IFERROR(INDEX('2. GRI Pricing Inputs'!$C$104:$AI$105,MATCH('3. GRI Pricing'!$W$16,'2. GRI Pricing Inputs'!$C$104:$C$105,0),MATCH('1. Accomodation'!Y167,'2. GRI Pricing Inputs'!$C$104:$AI$104,0)),0)</f>
        <v>0</v>
      </c>
      <c r="X163" s="274">
        <v>0</v>
      </c>
      <c r="Y163" s="275">
        <f t="shared" si="9"/>
        <v>1340</v>
      </c>
      <c r="Z163" s="276"/>
      <c r="AA163" s="276"/>
      <c r="AB163" s="276"/>
      <c r="AC163" s="272">
        <f>Y163*(1+'2. GRI Pricing Inputs'!$D$114)^(($AC$16-$AB$15)/365)</f>
        <v>1344.4710821379181</v>
      </c>
      <c r="AD163" s="273">
        <f>AC163*(1+'2. GRI Pricing Inputs'!$D$114)^((AD$16-AC$16)/365)</f>
        <v>1348.8121395572362</v>
      </c>
      <c r="AE163" s="273">
        <f>AD163*(1+'2. GRI Pricing Inputs'!$D$114)^((AE$16-AD$16)/365)</f>
        <v>1353.3126245308044</v>
      </c>
      <c r="AF163" s="273">
        <f>AE163*(1+'2. GRI Pricing Inputs'!$D$114)^((AF$16-AE$16)/365)</f>
        <v>1357.8281259506243</v>
      </c>
      <c r="AG163" s="273">
        <f>AF163*(1+'2. GRI Pricing Inputs'!$D$114)^((AG$16-AF$16)/365)</f>
        <v>1362.0659435735906</v>
      </c>
      <c r="AH163" s="273">
        <f>AG163*(1+'2. GRI Pricing Inputs'!$D$114)^((AH$16-AG$16)/365)</f>
        <v>1366.6106515668582</v>
      </c>
      <c r="AI163" s="273">
        <f>AH163*(1+'2. GRI Pricing Inputs'!$D$114)^((AI$16-AH$16)/365)</f>
        <v>1371.0231937086126</v>
      </c>
      <c r="AJ163" s="273">
        <f>AI163*(1+'2. GRI Pricing Inputs'!$D$114)^((AJ$16-AI$16)/365)</f>
        <v>1375.5977887176141</v>
      </c>
      <c r="AK163" s="273">
        <f>AJ163*(1+'2. GRI Pricing Inputs'!$D$114)^((AK$16-AJ$16)/365)</f>
        <v>1380.0393487229171</v>
      </c>
      <c r="AL163" s="273">
        <f>AK163*(1+'2. GRI Pricing Inputs'!$D$114)^((AL$16-AK$16)/365)</f>
        <v>1384.6440272913494</v>
      </c>
      <c r="AM163" s="273">
        <f>AL163*(1+'2. GRI Pricing Inputs'!$D$114)^((AM$16-AL$16)/365)</f>
        <v>1389.2640699613473</v>
      </c>
      <c r="AN163" s="273">
        <f>AM163*(1+'2. GRI Pricing Inputs'!$D$114)^((AN$16-AM$16)/365)</f>
        <v>1393.7497559522337</v>
      </c>
      <c r="AO163" s="273">
        <f>AN163*(1+'2. GRI Pricing Inputs'!$D$114)^((AO$16-AN$16)/365)</f>
        <v>1398.400181055641</v>
      </c>
    </row>
    <row r="164" spans="3:41" ht="12" x14ac:dyDescent="0.2">
      <c r="C164" s="76" t="str">
        <f>'1. Accomodation'!N168</f>
        <v>506S</v>
      </c>
      <c r="D164" s="69" t="str">
        <f>'1. Accomodation'!P168</f>
        <v>1 Bed</v>
      </c>
      <c r="E164" s="69">
        <f>'1. Accomodation'!Q168</f>
        <v>1</v>
      </c>
      <c r="F164" s="77">
        <f>'1. Accomodation'!O168</f>
        <v>474</v>
      </c>
      <c r="G164" s="69">
        <f>'1. Accomodation'!R168</f>
        <v>5</v>
      </c>
      <c r="H164" s="69" t="str">
        <f>'1. Accomodation'!S168</f>
        <v>Courtyard</v>
      </c>
      <c r="I164" s="62"/>
      <c r="K164" s="272">
        <f>IFERROR(INDEX('2. GRI Pricing Inputs'!$C$15:$AI$16,MATCH($K$16,'2. GRI Pricing Inputs'!$C$15:$C$16,0),MATCH(D164,'2. GRI Pricing Inputs'!$C$15:$AI$15,0)),0)</f>
        <v>845</v>
      </c>
      <c r="L164" s="273">
        <f>IFERROR(INDEX('2. GRI Pricing Inputs'!$C$22:$AI$23,MATCH($L$16,'2. GRI Pricing Inputs'!$C$22:$C$23,0),MATCH(E164,'2. GRI Pricing Inputs'!$C$22:$AI$22,0)),0)</f>
        <v>0</v>
      </c>
      <c r="M164" s="328">
        <f>IF(AND('3. GRI Pricing'!$F164&gt;='2. GRI Pricing Inputs'!$D$33,'3. GRI Pricing'!$F164&lt;='2. GRI Pricing Inputs'!$E$33),'2. GRI Pricing Inputs'!$D$32,IF(AND('3. GRI Pricing'!$F164&gt;='2. GRI Pricing Inputs'!$F$33,'3. GRI Pricing'!$F164&lt;='2. GRI Pricing Inputs'!$G$33),'2. GRI Pricing Inputs'!$F$32,IF(AND('3. GRI Pricing'!$F164&gt;='2. GRI Pricing Inputs'!$H$33,'3. GRI Pricing'!$F164&lt;='2. GRI Pricing Inputs'!$I$33),'2. GRI Pricing Inputs'!$H$32,IF(AND('3. GRI Pricing'!$F164&gt;='2. GRI Pricing Inputs'!$J$33,'3. GRI Pricing'!$F164&lt;='2. GRI Pricing Inputs'!$K$33),'2. GRI Pricing Inputs'!$J$32,IF(AND('3. GRI Pricing'!$F164&gt;='2. GRI Pricing Inputs'!$L$33,'3. GRI Pricing'!$F164&lt;='2. GRI Pricing Inputs'!$M$33),'2. GRI Pricing Inputs'!$L$32,IF(AND('3. GRI Pricing'!$F164&gt;='2. GRI Pricing Inputs'!$N$33,'3. GRI Pricing'!$F164&lt;='2. GRI Pricing Inputs'!$O$33),'2. GRI Pricing Inputs'!$N$32,IF(AND('3. GRI Pricing'!$F164&gt;='2. GRI Pricing Inputs'!$P$33,'3. GRI Pricing'!$F164&lt;='2. GRI Pricing Inputs'!$Q$33),'2. GRI Pricing Inputs'!$P$32,IF(AND('3. GRI Pricing'!$F164&gt;='2. GRI Pricing Inputs'!$R$33,'3. GRI Pricing'!$F164&lt;='2. GRI Pricing Inputs'!$S$33),'2. GRI Pricing Inputs'!$R$32,IF(AND('3. GRI Pricing'!$F164&gt;='2. GRI Pricing Inputs'!$T$33,'3. GRI Pricing'!$F164&lt;='2. GRI Pricing Inputs'!$U$33),'2. GRI Pricing Inputs'!$T$32,IF(AND('3. GRI Pricing'!$F164&gt;='2. GRI Pricing Inputs'!$V$33,'3. GRI Pricing'!$F164&lt;='2. GRI Pricing Inputs'!$W$33),'2. GRI Pricing Inputs'!$V$32,IF(AND('3. GRI Pricing'!$F164&gt;='2. GRI Pricing Inputs'!$X$33,'3. GRI Pricing'!$F164&lt;='2. GRI Pricing Inputs'!$Y$33),'2. GRI Pricing Inputs'!$X$32,IF(AND('3. GRI Pricing'!$F164&gt;='2. GRI Pricing Inputs'!$Z$33,'3. GRI Pricing'!$F164&lt;='2. GRI Pricing Inputs'!$AA$33),'2. GRI Pricing Inputs'!$Z$32,IF(AND('3. GRI Pricing'!$F164&gt;='2. GRI Pricing Inputs'!$AB$33,'3. GRI Pricing'!$F164&lt;='2. GRI Pricing Inputs'!$AC$33),'2. GRI Pricing Inputs'!$AB$32,IF(AND('3. GRI Pricing'!$F164&gt;='2. GRI Pricing Inputs'!$AD$33,'3. GRI Pricing'!$F164&lt;='2. GRI Pricing Inputs'!$AE$33),'2. GRI Pricing Inputs'!$AD$32,IF(AND('3. GRI Pricing'!$F164&gt;='2. GRI Pricing Inputs'!$AF$33,'3. GRI Pricing'!$F164&lt;='2. GRI Pricing Inputs'!$AG$33),'2. GRI Pricing Inputs'!$AF$32,IF(AND('3. GRI Pricing'!$F164&gt;='2. GRI Pricing Inputs'!$AH$33,'3. GRI Pricing'!$F164&lt;='2. GRI Pricing Inputs'!$AI$33),'2. GRI Pricing Inputs'!$AH$32,0))))))))))))))))</f>
        <v>0</v>
      </c>
      <c r="N164" s="273" cm="1">
        <f t="array" ref="N164">IFERROR(INDEX('2. GRI Pricing Inputs'!$C$32:$AI$39,MATCH('3. GRI Pricing'!D164,'2. GRI Pricing Inputs'!$C$32:$C$39,0),(MATCH('3. GRI Pricing'!M164,'2. GRI Pricing Inputs'!$D$32:$AI$32,0)+1)),0)</f>
        <v>0</v>
      </c>
      <c r="O164" s="273">
        <f>IFERROR(INDEX('2. GRI Pricing Inputs'!$C$45:$AI$46,MATCH($O$16,'2. GRI Pricing Inputs'!$C$45:$C$46,0),MATCH(G164,'2. GRI Pricing Inputs'!$C$45:$AI$45,0)),0)</f>
        <v>70</v>
      </c>
      <c r="P164" s="273">
        <f>IFERROR(INDEX('2. GRI Pricing Inputs'!$C$53:$AI$54,MATCH('3. GRI Pricing'!$P$16,'2. GRI Pricing Inputs'!$C$53:$C$54,0),MATCH('3. GRI Pricing'!H164,'2. GRI Pricing Inputs'!$C$53:$AI$53,0)),0)</f>
        <v>25</v>
      </c>
      <c r="Q164" s="273">
        <f>IFERROR(INDEX('2. GRI Pricing Inputs'!$C$60:$AI$61,MATCH('3. GRI Pricing'!$Q$16,'2. GRI Pricing Inputs'!$C$60:$C$61,0),MATCH('1. Accomodation'!T168,'2. GRI Pricing Inputs'!$C$60:$AI$60,0)),0)</f>
        <v>0</v>
      </c>
      <c r="R164" s="273">
        <f>IFERROR(INDEX('2. GRI Pricing Inputs'!$C$67:$AI$68,MATCH('3. GRI Pricing'!$R$16,'2. GRI Pricing Inputs'!$C$67:$C$68,0),MATCH('1. Accomodation'!U168,'2. GRI Pricing Inputs'!$C$67:$AI$67,0)),0)</f>
        <v>0</v>
      </c>
      <c r="S164" s="273">
        <f>IF(D164=0,0,'2. GRI Pricing Inputs'!$AI$75)</f>
        <v>70</v>
      </c>
      <c r="T164" s="273">
        <f>IFERROR(INDEX('2. GRI Pricing Inputs'!$C$82:$AI$83,MATCH('3. GRI Pricing'!$T$16,'2. GRI Pricing Inputs'!$C$82:$C$83,0),MATCH('1. Accomodation'!V168,'2. GRI Pricing Inputs'!$C$82:$AI$82,0)),0)</f>
        <v>0</v>
      </c>
      <c r="U164" s="273">
        <f>IFERROR(INDEX('2. GRI Pricing Inputs'!$C$89:$AI$90,MATCH('3. GRI Pricing'!$U$16,'2. GRI Pricing Inputs'!$C$89:$C$90,0),MATCH('1. Accomodation'!W168,'2. GRI Pricing Inputs'!$C$89:$AI$89,0)),0)</f>
        <v>0</v>
      </c>
      <c r="V164" s="273">
        <f>IFERROR(INDEX('2. GRI Pricing Inputs'!$C$97:$AI$98,MATCH('3. GRI Pricing'!$V$16,'2. GRI Pricing Inputs'!$C$97:$C$98,0),MATCH('1. Accomodation'!X168,'2. GRI Pricing Inputs'!$C$97:$AI$97,0)),0)</f>
        <v>0</v>
      </c>
      <c r="W164" s="273">
        <f>IFERROR(INDEX('2. GRI Pricing Inputs'!$C$104:$AI$105,MATCH('3. GRI Pricing'!$W$16,'2. GRI Pricing Inputs'!$C$104:$C$105,0),MATCH('1. Accomodation'!Y168,'2. GRI Pricing Inputs'!$C$104:$AI$104,0)),0)</f>
        <v>0</v>
      </c>
      <c r="X164" s="274">
        <v>0</v>
      </c>
      <c r="Y164" s="275">
        <f t="shared" si="9"/>
        <v>1010</v>
      </c>
      <c r="Z164" s="276"/>
      <c r="AA164" s="276"/>
      <c r="AB164" s="276"/>
      <c r="AC164" s="272">
        <f>Y164*(1+'2. GRI Pricing Inputs'!$D$114)^(($AC$16-$AB$15)/365)</f>
        <v>1013.3699947457443</v>
      </c>
      <c r="AD164" s="273">
        <f>AC164*(1+'2. GRI Pricing Inputs'!$D$114)^((AD$16-AC$16)/365)</f>
        <v>1016.6419857856781</v>
      </c>
      <c r="AE164" s="273">
        <f>AD164*(1+'2. GRI Pricing Inputs'!$D$114)^((AE$16-AD$16)/365)</f>
        <v>1020.0341423702333</v>
      </c>
      <c r="AF164" s="273">
        <f>AE164*(1+'2. GRI Pricing Inputs'!$D$114)^((AF$16-AE$16)/365)</f>
        <v>1023.4376173209931</v>
      </c>
      <c r="AG164" s="273">
        <f>AF164*(1+'2. GRI Pricing Inputs'!$D$114)^((AG$16-AF$16)/365)</f>
        <v>1026.6317932905424</v>
      </c>
      <c r="AH164" s="273">
        <f>AG164*(1+'2. GRI Pricing Inputs'!$D$114)^((AH$16-AG$16)/365)</f>
        <v>1030.0572821511396</v>
      </c>
      <c r="AI164" s="273">
        <f>AH164*(1+'2. GRI Pricing Inputs'!$D$114)^((AI$16-AH$16)/365)</f>
        <v>1033.3831534669393</v>
      </c>
      <c r="AJ164" s="273">
        <f>AI164*(1+'2. GRI Pricing Inputs'!$D$114)^((AJ$16-AI$16)/365)</f>
        <v>1036.8311691080523</v>
      </c>
      <c r="AK164" s="273">
        <f>AJ164*(1+'2. GRI Pricing Inputs'!$D$114)^((AK$16-AJ$16)/365)</f>
        <v>1040.1789120971239</v>
      </c>
      <c r="AL164" s="273">
        <f>AK164*(1+'2. GRI Pricing Inputs'!$D$114)^((AL$16-AK$16)/365)</f>
        <v>1043.6496026598975</v>
      </c>
      <c r="AM164" s="273">
        <f>AL164*(1+'2. GRI Pricing Inputs'!$D$114)^((AM$16-AL$16)/365)</f>
        <v>1047.1318736275825</v>
      </c>
      <c r="AN164" s="273">
        <f>AM164*(1+'2. GRI Pricing Inputs'!$D$114)^((AN$16-AM$16)/365)</f>
        <v>1050.5128757550417</v>
      </c>
      <c r="AO164" s="273">
        <f>AN164*(1+'2. GRI Pricing Inputs'!$D$114)^((AO$16-AN$16)/365)</f>
        <v>1054.0180469150725</v>
      </c>
    </row>
    <row r="165" spans="3:41" ht="12" x14ac:dyDescent="0.2">
      <c r="C165" s="76" t="str">
        <f>'1. Accomodation'!N169</f>
        <v>507S</v>
      </c>
      <c r="D165" s="69" t="str">
        <f>'1. Accomodation'!P169</f>
        <v>2 Bed</v>
      </c>
      <c r="E165" s="69">
        <f>'1. Accomodation'!Q169</f>
        <v>2</v>
      </c>
      <c r="F165" s="77">
        <f>'1. Accomodation'!O169</f>
        <v>624</v>
      </c>
      <c r="G165" s="69">
        <f>'1. Accomodation'!R169</f>
        <v>5</v>
      </c>
      <c r="H165" s="69" t="str">
        <f>'1. Accomodation'!S169</f>
        <v>Courtyard</v>
      </c>
      <c r="I165" s="62"/>
      <c r="K165" s="272">
        <f>IFERROR(INDEX('2. GRI Pricing Inputs'!$C$15:$AI$16,MATCH($K$16,'2. GRI Pricing Inputs'!$C$15:$C$16,0),MATCH(D165,'2. GRI Pricing Inputs'!$C$15:$AI$15,0)),0)</f>
        <v>1110</v>
      </c>
      <c r="L165" s="273">
        <f>IFERROR(INDEX('2. GRI Pricing Inputs'!$C$22:$AI$23,MATCH($L$16,'2. GRI Pricing Inputs'!$C$22:$C$23,0),MATCH(E165,'2. GRI Pricing Inputs'!$C$22:$AI$22,0)),0)</f>
        <v>0</v>
      </c>
      <c r="M165" s="328">
        <f>IF(AND('3. GRI Pricing'!$F165&gt;='2. GRI Pricing Inputs'!$D$33,'3. GRI Pricing'!$F165&lt;='2. GRI Pricing Inputs'!$E$33),'2. GRI Pricing Inputs'!$D$32,IF(AND('3. GRI Pricing'!$F165&gt;='2. GRI Pricing Inputs'!$F$33,'3. GRI Pricing'!$F165&lt;='2. GRI Pricing Inputs'!$G$33),'2. GRI Pricing Inputs'!$F$32,IF(AND('3. GRI Pricing'!$F165&gt;='2. GRI Pricing Inputs'!$H$33,'3. GRI Pricing'!$F165&lt;='2. GRI Pricing Inputs'!$I$33),'2. GRI Pricing Inputs'!$H$32,IF(AND('3. GRI Pricing'!$F165&gt;='2. GRI Pricing Inputs'!$J$33,'3. GRI Pricing'!$F165&lt;='2. GRI Pricing Inputs'!$K$33),'2. GRI Pricing Inputs'!$J$32,IF(AND('3. GRI Pricing'!$F165&gt;='2. GRI Pricing Inputs'!$L$33,'3. GRI Pricing'!$F165&lt;='2. GRI Pricing Inputs'!$M$33),'2. GRI Pricing Inputs'!$L$32,IF(AND('3. GRI Pricing'!$F165&gt;='2. GRI Pricing Inputs'!$N$33,'3. GRI Pricing'!$F165&lt;='2. GRI Pricing Inputs'!$O$33),'2. GRI Pricing Inputs'!$N$32,IF(AND('3. GRI Pricing'!$F165&gt;='2. GRI Pricing Inputs'!$P$33,'3. GRI Pricing'!$F165&lt;='2. GRI Pricing Inputs'!$Q$33),'2. GRI Pricing Inputs'!$P$32,IF(AND('3. GRI Pricing'!$F165&gt;='2. GRI Pricing Inputs'!$R$33,'3. GRI Pricing'!$F165&lt;='2. GRI Pricing Inputs'!$S$33),'2. GRI Pricing Inputs'!$R$32,IF(AND('3. GRI Pricing'!$F165&gt;='2. GRI Pricing Inputs'!$T$33,'3. GRI Pricing'!$F165&lt;='2. GRI Pricing Inputs'!$U$33),'2. GRI Pricing Inputs'!$T$32,IF(AND('3. GRI Pricing'!$F165&gt;='2. GRI Pricing Inputs'!$V$33,'3. GRI Pricing'!$F165&lt;='2. GRI Pricing Inputs'!$W$33),'2. GRI Pricing Inputs'!$V$32,IF(AND('3. GRI Pricing'!$F165&gt;='2. GRI Pricing Inputs'!$X$33,'3. GRI Pricing'!$F165&lt;='2. GRI Pricing Inputs'!$Y$33),'2. GRI Pricing Inputs'!$X$32,IF(AND('3. GRI Pricing'!$F165&gt;='2. GRI Pricing Inputs'!$Z$33,'3. GRI Pricing'!$F165&lt;='2. GRI Pricing Inputs'!$AA$33),'2. GRI Pricing Inputs'!$Z$32,IF(AND('3. GRI Pricing'!$F165&gt;='2. GRI Pricing Inputs'!$AB$33,'3. GRI Pricing'!$F165&lt;='2. GRI Pricing Inputs'!$AC$33),'2. GRI Pricing Inputs'!$AB$32,IF(AND('3. GRI Pricing'!$F165&gt;='2. GRI Pricing Inputs'!$AD$33,'3. GRI Pricing'!$F165&lt;='2. GRI Pricing Inputs'!$AE$33),'2. GRI Pricing Inputs'!$AD$32,IF(AND('3. GRI Pricing'!$F165&gt;='2. GRI Pricing Inputs'!$AF$33,'3. GRI Pricing'!$F165&lt;='2. GRI Pricing Inputs'!$AG$33),'2. GRI Pricing Inputs'!$AF$32,IF(AND('3. GRI Pricing'!$F165&gt;='2. GRI Pricing Inputs'!$AH$33,'3. GRI Pricing'!$F165&lt;='2. GRI Pricing Inputs'!$AI$33),'2. GRI Pricing Inputs'!$AH$32,0))))))))))))))))</f>
        <v>7</v>
      </c>
      <c r="N165" s="273" cm="1">
        <f t="array" ref="N165">IFERROR(INDEX('2. GRI Pricing Inputs'!$C$32:$AI$39,MATCH('3. GRI Pricing'!D165,'2. GRI Pricing Inputs'!$C$32:$C$39,0),(MATCH('3. GRI Pricing'!M165,'2. GRI Pricing Inputs'!$D$32:$AI$32,0)+1)),0)</f>
        <v>10</v>
      </c>
      <c r="O165" s="273">
        <f>IFERROR(INDEX('2. GRI Pricing Inputs'!$C$45:$AI$46,MATCH($O$16,'2. GRI Pricing Inputs'!$C$45:$C$46,0),MATCH(G165,'2. GRI Pricing Inputs'!$C$45:$AI$45,0)),0)</f>
        <v>70</v>
      </c>
      <c r="P165" s="273">
        <f>IFERROR(INDEX('2. GRI Pricing Inputs'!$C$53:$AI$54,MATCH('3. GRI Pricing'!$P$16,'2. GRI Pricing Inputs'!$C$53:$C$54,0),MATCH('3. GRI Pricing'!H165,'2. GRI Pricing Inputs'!$C$53:$AI$53,0)),0)</f>
        <v>25</v>
      </c>
      <c r="Q165" s="273">
        <f>IFERROR(INDEX('2. GRI Pricing Inputs'!$C$60:$AI$61,MATCH('3. GRI Pricing'!$Q$16,'2. GRI Pricing Inputs'!$C$60:$C$61,0),MATCH('1. Accomodation'!T169,'2. GRI Pricing Inputs'!$C$60:$AI$60,0)),0)</f>
        <v>0</v>
      </c>
      <c r="R165" s="273">
        <f>IFERROR(INDEX('2. GRI Pricing Inputs'!$C$67:$AI$68,MATCH('3. GRI Pricing'!$R$16,'2. GRI Pricing Inputs'!$C$67:$C$68,0),MATCH('1. Accomodation'!U169,'2. GRI Pricing Inputs'!$C$67:$AI$67,0)),0)</f>
        <v>0</v>
      </c>
      <c r="S165" s="273">
        <f>IF(D165=0,0,'2. GRI Pricing Inputs'!$AI$75)</f>
        <v>70</v>
      </c>
      <c r="T165" s="273">
        <f>IFERROR(INDEX('2. GRI Pricing Inputs'!$C$82:$AI$83,MATCH('3. GRI Pricing'!$T$16,'2. GRI Pricing Inputs'!$C$82:$C$83,0),MATCH('1. Accomodation'!V169,'2. GRI Pricing Inputs'!$C$82:$AI$82,0)),0)</f>
        <v>0</v>
      </c>
      <c r="U165" s="273">
        <f>IFERROR(INDEX('2. GRI Pricing Inputs'!$C$89:$AI$90,MATCH('3. GRI Pricing'!$U$16,'2. GRI Pricing Inputs'!$C$89:$C$90,0),MATCH('1. Accomodation'!W169,'2. GRI Pricing Inputs'!$C$89:$AI$89,0)),0)</f>
        <v>0</v>
      </c>
      <c r="V165" s="273">
        <f>IFERROR(INDEX('2. GRI Pricing Inputs'!$C$97:$AI$98,MATCH('3. GRI Pricing'!$V$16,'2. GRI Pricing Inputs'!$C$97:$C$98,0),MATCH('1. Accomodation'!X169,'2. GRI Pricing Inputs'!$C$97:$AI$97,0)),0)</f>
        <v>0</v>
      </c>
      <c r="W165" s="273">
        <f>IFERROR(INDEX('2. GRI Pricing Inputs'!$C$104:$AI$105,MATCH('3. GRI Pricing'!$W$16,'2. GRI Pricing Inputs'!$C$104:$C$105,0),MATCH('1. Accomodation'!Y169,'2. GRI Pricing Inputs'!$C$104:$AI$104,0)),0)</f>
        <v>0</v>
      </c>
      <c r="X165" s="274">
        <v>0</v>
      </c>
      <c r="Y165" s="275">
        <f t="shared" si="9"/>
        <v>1285</v>
      </c>
      <c r="Z165" s="276"/>
      <c r="AA165" s="276"/>
      <c r="AB165" s="276"/>
      <c r="AC165" s="272">
        <f>Y165*(1+'2. GRI Pricing Inputs'!$D$114)^(($AC$16-$AB$15)/365)</f>
        <v>1289.2875675725559</v>
      </c>
      <c r="AD165" s="273">
        <f>AC165*(1+'2. GRI Pricing Inputs'!$D$114)^((AD$16-AC$16)/365)</f>
        <v>1293.4504472619767</v>
      </c>
      <c r="AE165" s="273">
        <f>AD165*(1+'2. GRI Pricing Inputs'!$D$114)^((AE$16-AD$16)/365)</f>
        <v>1297.7662108373761</v>
      </c>
      <c r="AF165" s="273">
        <f>AE165*(1+'2. GRI Pricing Inputs'!$D$114)^((AF$16-AE$16)/365)</f>
        <v>1302.0963745123527</v>
      </c>
      <c r="AG165" s="273">
        <f>AF165*(1+'2. GRI Pricing Inputs'!$D$114)^((AG$16-AF$16)/365)</f>
        <v>1306.1602518597495</v>
      </c>
      <c r="AH165" s="273">
        <f>AG165*(1+'2. GRI Pricing Inputs'!$D$114)^((AH$16-AG$16)/365)</f>
        <v>1310.5184233309053</v>
      </c>
      <c r="AI165" s="273">
        <f>AH165*(1+'2. GRI Pricing Inputs'!$D$114)^((AI$16-AH$16)/365)</f>
        <v>1314.7498536683338</v>
      </c>
      <c r="AJ165" s="273">
        <f>AI165*(1+'2. GRI Pricing Inputs'!$D$114)^((AJ$16-AI$16)/365)</f>
        <v>1319.136685449354</v>
      </c>
      <c r="AK165" s="273">
        <f>AJ165*(1+'2. GRI Pricing Inputs'!$D$114)^((AK$16-AJ$16)/365)</f>
        <v>1323.3959426186184</v>
      </c>
      <c r="AL165" s="273">
        <f>AK165*(1+'2. GRI Pricing Inputs'!$D$114)^((AL$16-AK$16)/365)</f>
        <v>1327.8116231861075</v>
      </c>
      <c r="AM165" s="273">
        <f>AL165*(1+'2. GRI Pricing Inputs'!$D$114)^((AM$16-AL$16)/365)</f>
        <v>1332.2420372390534</v>
      </c>
      <c r="AN165" s="273">
        <f>AM165*(1+'2. GRI Pricing Inputs'!$D$114)^((AN$16-AM$16)/365)</f>
        <v>1336.5436092527018</v>
      </c>
      <c r="AO165" s="273">
        <f>AN165*(1+'2. GRI Pricing Inputs'!$D$114)^((AO$16-AN$16)/365)</f>
        <v>1341.0031586988796</v>
      </c>
    </row>
    <row r="166" spans="3:41" ht="12" x14ac:dyDescent="0.2">
      <c r="C166" s="76" t="str">
        <f>'1. Accomodation'!N170</f>
        <v>601S</v>
      </c>
      <c r="D166" s="69" t="str">
        <f>'1. Accomodation'!P170</f>
        <v>2 Bed</v>
      </c>
      <c r="E166" s="69">
        <f>'1. Accomodation'!Q170</f>
        <v>2</v>
      </c>
      <c r="F166" s="77">
        <f>'1. Accomodation'!O170</f>
        <v>624</v>
      </c>
      <c r="G166" s="69">
        <f>'1. Accomodation'!R170</f>
        <v>6</v>
      </c>
      <c r="H166" s="69" t="str">
        <f>'1. Accomodation'!S170</f>
        <v>River- Full</v>
      </c>
      <c r="I166" s="62"/>
      <c r="K166" s="272">
        <f>IFERROR(INDEX('2. GRI Pricing Inputs'!$C$15:$AI$16,MATCH($K$16,'2. GRI Pricing Inputs'!$C$15:$C$16,0),MATCH(D166,'2. GRI Pricing Inputs'!$C$15:$AI$15,0)),0)</f>
        <v>1110</v>
      </c>
      <c r="L166" s="273">
        <f>IFERROR(INDEX('2. GRI Pricing Inputs'!$C$22:$AI$23,MATCH($L$16,'2. GRI Pricing Inputs'!$C$22:$C$23,0),MATCH(E166,'2. GRI Pricing Inputs'!$C$22:$AI$22,0)),0)</f>
        <v>0</v>
      </c>
      <c r="M166" s="328">
        <f>IF(AND('3. GRI Pricing'!$F166&gt;='2. GRI Pricing Inputs'!$D$33,'3. GRI Pricing'!$F166&lt;='2. GRI Pricing Inputs'!$E$33),'2. GRI Pricing Inputs'!$D$32,IF(AND('3. GRI Pricing'!$F166&gt;='2. GRI Pricing Inputs'!$F$33,'3. GRI Pricing'!$F166&lt;='2. GRI Pricing Inputs'!$G$33),'2. GRI Pricing Inputs'!$F$32,IF(AND('3. GRI Pricing'!$F166&gt;='2. GRI Pricing Inputs'!$H$33,'3. GRI Pricing'!$F166&lt;='2. GRI Pricing Inputs'!$I$33),'2. GRI Pricing Inputs'!$H$32,IF(AND('3. GRI Pricing'!$F166&gt;='2. GRI Pricing Inputs'!$J$33,'3. GRI Pricing'!$F166&lt;='2. GRI Pricing Inputs'!$K$33),'2. GRI Pricing Inputs'!$J$32,IF(AND('3. GRI Pricing'!$F166&gt;='2. GRI Pricing Inputs'!$L$33,'3. GRI Pricing'!$F166&lt;='2. GRI Pricing Inputs'!$M$33),'2. GRI Pricing Inputs'!$L$32,IF(AND('3. GRI Pricing'!$F166&gt;='2. GRI Pricing Inputs'!$N$33,'3. GRI Pricing'!$F166&lt;='2. GRI Pricing Inputs'!$O$33),'2. GRI Pricing Inputs'!$N$32,IF(AND('3. GRI Pricing'!$F166&gt;='2. GRI Pricing Inputs'!$P$33,'3. GRI Pricing'!$F166&lt;='2. GRI Pricing Inputs'!$Q$33),'2. GRI Pricing Inputs'!$P$32,IF(AND('3. GRI Pricing'!$F166&gt;='2. GRI Pricing Inputs'!$R$33,'3. GRI Pricing'!$F166&lt;='2. GRI Pricing Inputs'!$S$33),'2. GRI Pricing Inputs'!$R$32,IF(AND('3. GRI Pricing'!$F166&gt;='2. GRI Pricing Inputs'!$T$33,'3. GRI Pricing'!$F166&lt;='2. GRI Pricing Inputs'!$U$33),'2. GRI Pricing Inputs'!$T$32,IF(AND('3. GRI Pricing'!$F166&gt;='2. GRI Pricing Inputs'!$V$33,'3. GRI Pricing'!$F166&lt;='2. GRI Pricing Inputs'!$W$33),'2. GRI Pricing Inputs'!$V$32,IF(AND('3. GRI Pricing'!$F166&gt;='2. GRI Pricing Inputs'!$X$33,'3. GRI Pricing'!$F166&lt;='2. GRI Pricing Inputs'!$Y$33),'2. GRI Pricing Inputs'!$X$32,IF(AND('3. GRI Pricing'!$F166&gt;='2. GRI Pricing Inputs'!$Z$33,'3. GRI Pricing'!$F166&lt;='2. GRI Pricing Inputs'!$AA$33),'2. GRI Pricing Inputs'!$Z$32,IF(AND('3. GRI Pricing'!$F166&gt;='2. GRI Pricing Inputs'!$AB$33,'3. GRI Pricing'!$F166&lt;='2. GRI Pricing Inputs'!$AC$33),'2. GRI Pricing Inputs'!$AB$32,IF(AND('3. GRI Pricing'!$F166&gt;='2. GRI Pricing Inputs'!$AD$33,'3. GRI Pricing'!$F166&lt;='2. GRI Pricing Inputs'!$AE$33),'2. GRI Pricing Inputs'!$AD$32,IF(AND('3. GRI Pricing'!$F166&gt;='2. GRI Pricing Inputs'!$AF$33,'3. GRI Pricing'!$F166&lt;='2. GRI Pricing Inputs'!$AG$33),'2. GRI Pricing Inputs'!$AF$32,IF(AND('3. GRI Pricing'!$F166&gt;='2. GRI Pricing Inputs'!$AH$33,'3. GRI Pricing'!$F166&lt;='2. GRI Pricing Inputs'!$AI$33),'2. GRI Pricing Inputs'!$AH$32,0))))))))))))))))</f>
        <v>7</v>
      </c>
      <c r="N166" s="273" cm="1">
        <f t="array" ref="N166">IFERROR(INDEX('2. GRI Pricing Inputs'!$C$32:$AI$39,MATCH('3. GRI Pricing'!D166,'2. GRI Pricing Inputs'!$C$32:$C$39,0),(MATCH('3. GRI Pricing'!M166,'2. GRI Pricing Inputs'!$D$32:$AI$32,0)+1)),0)</f>
        <v>10</v>
      </c>
      <c r="O166" s="273">
        <f>IFERROR(INDEX('2. GRI Pricing Inputs'!$C$45:$AI$46,MATCH($O$16,'2. GRI Pricing Inputs'!$C$45:$C$46,0),MATCH(G166,'2. GRI Pricing Inputs'!$C$45:$AI$45,0)),0)</f>
        <v>80</v>
      </c>
      <c r="P166" s="273">
        <f>IFERROR(INDEX('2. GRI Pricing Inputs'!$C$53:$AI$54,MATCH('3. GRI Pricing'!$P$16,'2. GRI Pricing Inputs'!$C$53:$C$54,0),MATCH('3. GRI Pricing'!H166,'2. GRI Pricing Inputs'!$C$53:$AI$53,0)),0)</f>
        <v>60</v>
      </c>
      <c r="Q166" s="273">
        <f>IFERROR(INDEX('2. GRI Pricing Inputs'!$C$60:$AI$61,MATCH('3. GRI Pricing'!$Q$16,'2. GRI Pricing Inputs'!$C$60:$C$61,0),MATCH('1. Accomodation'!T170,'2. GRI Pricing Inputs'!$C$60:$AI$60,0)),0)</f>
        <v>0</v>
      </c>
      <c r="R166" s="273">
        <f>IFERROR(INDEX('2. GRI Pricing Inputs'!$C$67:$AI$68,MATCH('3. GRI Pricing'!$R$16,'2. GRI Pricing Inputs'!$C$67:$C$68,0),MATCH('1. Accomodation'!U170,'2. GRI Pricing Inputs'!$C$67:$AI$67,0)),0)</f>
        <v>40</v>
      </c>
      <c r="S166" s="273">
        <f>IF(D166=0,0,'2. GRI Pricing Inputs'!$AI$75)</f>
        <v>70</v>
      </c>
      <c r="T166" s="273">
        <f>IFERROR(INDEX('2. GRI Pricing Inputs'!$C$82:$AI$83,MATCH('3. GRI Pricing'!$T$16,'2. GRI Pricing Inputs'!$C$82:$C$83,0),MATCH('1. Accomodation'!V170,'2. GRI Pricing Inputs'!$C$82:$AI$82,0)),0)</f>
        <v>0</v>
      </c>
      <c r="U166" s="273">
        <f>IFERROR(INDEX('2. GRI Pricing Inputs'!$C$89:$AI$90,MATCH('3. GRI Pricing'!$U$16,'2. GRI Pricing Inputs'!$C$89:$C$90,0),MATCH('1. Accomodation'!W170,'2. GRI Pricing Inputs'!$C$89:$AI$89,0)),0)</f>
        <v>0</v>
      </c>
      <c r="V166" s="273">
        <f>IFERROR(INDEX('2. GRI Pricing Inputs'!$C$97:$AI$98,MATCH('3. GRI Pricing'!$V$16,'2. GRI Pricing Inputs'!$C$97:$C$98,0),MATCH('1. Accomodation'!X170,'2. GRI Pricing Inputs'!$C$97:$AI$97,0)),0)</f>
        <v>0</v>
      </c>
      <c r="W166" s="273">
        <f>IFERROR(INDEX('2. GRI Pricing Inputs'!$C$104:$AI$105,MATCH('3. GRI Pricing'!$W$16,'2. GRI Pricing Inputs'!$C$104:$C$105,0),MATCH('1. Accomodation'!Y170,'2. GRI Pricing Inputs'!$C$104:$AI$104,0)),0)</f>
        <v>0</v>
      </c>
      <c r="X166" s="274">
        <v>0</v>
      </c>
      <c r="Y166" s="275">
        <f t="shared" si="9"/>
        <v>1370</v>
      </c>
      <c r="Z166" s="276"/>
      <c r="AA166" s="276"/>
      <c r="AB166" s="276"/>
      <c r="AC166" s="272">
        <f>Y166*(1+'2. GRI Pricing Inputs'!$D$114)^(($AC$16-$AB$15)/365)</f>
        <v>1374.571180991752</v>
      </c>
      <c r="AD166" s="273">
        <f>AC166*(1+'2. GRI Pricing Inputs'!$D$114)^((AD$16-AC$16)/365)</f>
        <v>1379.0094262637415</v>
      </c>
      <c r="AE166" s="273">
        <f>AD166*(1+'2. GRI Pricing Inputs'!$D$114)^((AE$16-AD$16)/365)</f>
        <v>1383.6106683635837</v>
      </c>
      <c r="AF166" s="273">
        <f>AE166*(1+'2. GRI Pricing Inputs'!$D$114)^((AF$16-AE$16)/365)</f>
        <v>1388.2272630987727</v>
      </c>
      <c r="AG166" s="273">
        <f>AF166*(1+'2. GRI Pricing Inputs'!$D$114)^((AG$16-AF$16)/365)</f>
        <v>1392.5599572356862</v>
      </c>
      <c r="AH166" s="273">
        <f>AG166*(1+'2. GRI Pricing Inputs'!$D$114)^((AH$16-AG$16)/365)</f>
        <v>1397.2064124228327</v>
      </c>
      <c r="AI166" s="273">
        <f>AH166*(1+'2. GRI Pricing Inputs'!$D$114)^((AI$16-AH$16)/365)</f>
        <v>1401.7177428214918</v>
      </c>
      <c r="AJ166" s="273">
        <f>AI166*(1+'2. GRI Pricing Inputs'!$D$114)^((AJ$16-AI$16)/365)</f>
        <v>1406.3947541366649</v>
      </c>
      <c r="AK166" s="273">
        <f>AJ166*(1+'2. GRI Pricing Inputs'!$D$114)^((AK$16-AJ$16)/365)</f>
        <v>1410.9357520525343</v>
      </c>
      <c r="AL166" s="273">
        <f>AK166*(1+'2. GRI Pricing Inputs'!$D$114)^((AL$16-AK$16)/365)</f>
        <v>1415.6435204396628</v>
      </c>
      <c r="AM166" s="273">
        <f>AL166*(1+'2. GRI Pricing Inputs'!$D$114)^((AM$16-AL$16)/365)</f>
        <v>1420.3669969007801</v>
      </c>
      <c r="AN166" s="273">
        <f>AM166*(1+'2. GRI Pricing Inputs'!$D$114)^((AN$16-AM$16)/365)</f>
        <v>1424.9531086974325</v>
      </c>
      <c r="AO166" s="273">
        <f>AN166*(1+'2. GRI Pricing Inputs'!$D$114)^((AO$16-AN$16)/365)</f>
        <v>1429.7076477956923</v>
      </c>
    </row>
    <row r="167" spans="3:41" ht="12" x14ac:dyDescent="0.2">
      <c r="C167" s="76" t="str">
        <f>'1. Accomodation'!N171</f>
        <v>602S</v>
      </c>
      <c r="D167" s="69" t="str">
        <f>'1. Accomodation'!P171</f>
        <v>2 Bed</v>
      </c>
      <c r="E167" s="69">
        <f>'1. Accomodation'!Q171</f>
        <v>2</v>
      </c>
      <c r="F167" s="77">
        <f>'1. Accomodation'!O171</f>
        <v>603</v>
      </c>
      <c r="G167" s="69">
        <f>'1. Accomodation'!R171</f>
        <v>6</v>
      </c>
      <c r="H167" s="69" t="str">
        <f>'1. Accomodation'!S171</f>
        <v>River- Full</v>
      </c>
      <c r="I167" s="62"/>
      <c r="K167" s="272">
        <f>IFERROR(INDEX('2. GRI Pricing Inputs'!$C$15:$AI$16,MATCH($K$16,'2. GRI Pricing Inputs'!$C$15:$C$16,0),MATCH(D167,'2. GRI Pricing Inputs'!$C$15:$AI$15,0)),0)</f>
        <v>1110</v>
      </c>
      <c r="L167" s="273">
        <f>IFERROR(INDEX('2. GRI Pricing Inputs'!$C$22:$AI$23,MATCH($L$16,'2. GRI Pricing Inputs'!$C$22:$C$23,0),MATCH(E167,'2. GRI Pricing Inputs'!$C$22:$AI$22,0)),0)</f>
        <v>0</v>
      </c>
      <c r="M167" s="328">
        <f>IF(AND('3. GRI Pricing'!$F167&gt;='2. GRI Pricing Inputs'!$D$33,'3. GRI Pricing'!$F167&lt;='2. GRI Pricing Inputs'!$E$33),'2. GRI Pricing Inputs'!$D$32,IF(AND('3. GRI Pricing'!$F167&gt;='2. GRI Pricing Inputs'!$F$33,'3. GRI Pricing'!$F167&lt;='2. GRI Pricing Inputs'!$G$33),'2. GRI Pricing Inputs'!$F$32,IF(AND('3. GRI Pricing'!$F167&gt;='2. GRI Pricing Inputs'!$H$33,'3. GRI Pricing'!$F167&lt;='2. GRI Pricing Inputs'!$I$33),'2. GRI Pricing Inputs'!$H$32,IF(AND('3. GRI Pricing'!$F167&gt;='2. GRI Pricing Inputs'!$J$33,'3. GRI Pricing'!$F167&lt;='2. GRI Pricing Inputs'!$K$33),'2. GRI Pricing Inputs'!$J$32,IF(AND('3. GRI Pricing'!$F167&gt;='2. GRI Pricing Inputs'!$L$33,'3. GRI Pricing'!$F167&lt;='2. GRI Pricing Inputs'!$M$33),'2. GRI Pricing Inputs'!$L$32,IF(AND('3. GRI Pricing'!$F167&gt;='2. GRI Pricing Inputs'!$N$33,'3. GRI Pricing'!$F167&lt;='2. GRI Pricing Inputs'!$O$33),'2. GRI Pricing Inputs'!$N$32,IF(AND('3. GRI Pricing'!$F167&gt;='2. GRI Pricing Inputs'!$P$33,'3. GRI Pricing'!$F167&lt;='2. GRI Pricing Inputs'!$Q$33),'2. GRI Pricing Inputs'!$P$32,IF(AND('3. GRI Pricing'!$F167&gt;='2. GRI Pricing Inputs'!$R$33,'3. GRI Pricing'!$F167&lt;='2. GRI Pricing Inputs'!$S$33),'2. GRI Pricing Inputs'!$R$32,IF(AND('3. GRI Pricing'!$F167&gt;='2. GRI Pricing Inputs'!$T$33,'3. GRI Pricing'!$F167&lt;='2. GRI Pricing Inputs'!$U$33),'2. GRI Pricing Inputs'!$T$32,IF(AND('3. GRI Pricing'!$F167&gt;='2. GRI Pricing Inputs'!$V$33,'3. GRI Pricing'!$F167&lt;='2. GRI Pricing Inputs'!$W$33),'2. GRI Pricing Inputs'!$V$32,IF(AND('3. GRI Pricing'!$F167&gt;='2. GRI Pricing Inputs'!$X$33,'3. GRI Pricing'!$F167&lt;='2. GRI Pricing Inputs'!$Y$33),'2. GRI Pricing Inputs'!$X$32,IF(AND('3. GRI Pricing'!$F167&gt;='2. GRI Pricing Inputs'!$Z$33,'3. GRI Pricing'!$F167&lt;='2. GRI Pricing Inputs'!$AA$33),'2. GRI Pricing Inputs'!$Z$32,IF(AND('3. GRI Pricing'!$F167&gt;='2. GRI Pricing Inputs'!$AB$33,'3. GRI Pricing'!$F167&lt;='2. GRI Pricing Inputs'!$AC$33),'2. GRI Pricing Inputs'!$AB$32,IF(AND('3. GRI Pricing'!$F167&gt;='2. GRI Pricing Inputs'!$AD$33,'3. GRI Pricing'!$F167&lt;='2. GRI Pricing Inputs'!$AE$33),'2. GRI Pricing Inputs'!$AD$32,IF(AND('3. GRI Pricing'!$F167&gt;='2. GRI Pricing Inputs'!$AF$33,'3. GRI Pricing'!$F167&lt;='2. GRI Pricing Inputs'!$AG$33),'2. GRI Pricing Inputs'!$AF$32,IF(AND('3. GRI Pricing'!$F167&gt;='2. GRI Pricing Inputs'!$AH$33,'3. GRI Pricing'!$F167&lt;='2. GRI Pricing Inputs'!$AI$33),'2. GRI Pricing Inputs'!$AH$32,0))))))))))))))))</f>
        <v>6</v>
      </c>
      <c r="N167" s="273" cm="1">
        <f t="array" ref="N167">IFERROR(INDEX('2. GRI Pricing Inputs'!$C$32:$AI$39,MATCH('3. GRI Pricing'!D167,'2. GRI Pricing Inputs'!$C$32:$C$39,0),(MATCH('3. GRI Pricing'!M167,'2. GRI Pricing Inputs'!$D$32:$AI$32,0)+1)),0)</f>
        <v>5</v>
      </c>
      <c r="O167" s="273">
        <f>IFERROR(INDEX('2. GRI Pricing Inputs'!$C$45:$AI$46,MATCH($O$16,'2. GRI Pricing Inputs'!$C$45:$C$46,0),MATCH(G167,'2. GRI Pricing Inputs'!$C$45:$AI$45,0)),0)</f>
        <v>80</v>
      </c>
      <c r="P167" s="273">
        <f>IFERROR(INDEX('2. GRI Pricing Inputs'!$C$53:$AI$54,MATCH('3. GRI Pricing'!$P$16,'2. GRI Pricing Inputs'!$C$53:$C$54,0),MATCH('3. GRI Pricing'!H167,'2. GRI Pricing Inputs'!$C$53:$AI$53,0)),0)</f>
        <v>60</v>
      </c>
      <c r="Q167" s="273">
        <f>IFERROR(INDEX('2. GRI Pricing Inputs'!$C$60:$AI$61,MATCH('3. GRI Pricing'!$Q$16,'2. GRI Pricing Inputs'!$C$60:$C$61,0),MATCH('1. Accomodation'!T171,'2. GRI Pricing Inputs'!$C$60:$AI$60,0)),0)</f>
        <v>0</v>
      </c>
      <c r="R167" s="273">
        <f>IFERROR(INDEX('2. GRI Pricing Inputs'!$C$67:$AI$68,MATCH('3. GRI Pricing'!$R$16,'2. GRI Pricing Inputs'!$C$67:$C$68,0),MATCH('1. Accomodation'!U171,'2. GRI Pricing Inputs'!$C$67:$AI$67,0)),0)</f>
        <v>40</v>
      </c>
      <c r="S167" s="273">
        <f>IF(D167=0,0,'2. GRI Pricing Inputs'!$AI$75)</f>
        <v>70</v>
      </c>
      <c r="T167" s="273">
        <f>IFERROR(INDEX('2. GRI Pricing Inputs'!$C$82:$AI$83,MATCH('3. GRI Pricing'!$T$16,'2. GRI Pricing Inputs'!$C$82:$C$83,0),MATCH('1. Accomodation'!V171,'2. GRI Pricing Inputs'!$C$82:$AI$82,0)),0)</f>
        <v>0</v>
      </c>
      <c r="U167" s="273">
        <f>IFERROR(INDEX('2. GRI Pricing Inputs'!$C$89:$AI$90,MATCH('3. GRI Pricing'!$U$16,'2. GRI Pricing Inputs'!$C$89:$C$90,0),MATCH('1. Accomodation'!W171,'2. GRI Pricing Inputs'!$C$89:$AI$89,0)),0)</f>
        <v>0</v>
      </c>
      <c r="V167" s="273">
        <f>IFERROR(INDEX('2. GRI Pricing Inputs'!$C$97:$AI$98,MATCH('3. GRI Pricing'!$V$16,'2. GRI Pricing Inputs'!$C$97:$C$98,0),MATCH('1. Accomodation'!X171,'2. GRI Pricing Inputs'!$C$97:$AI$97,0)),0)</f>
        <v>0</v>
      </c>
      <c r="W167" s="273">
        <f>IFERROR(INDEX('2. GRI Pricing Inputs'!$C$104:$AI$105,MATCH('3. GRI Pricing'!$W$16,'2. GRI Pricing Inputs'!$C$104:$C$105,0),MATCH('1. Accomodation'!Y171,'2. GRI Pricing Inputs'!$C$104:$AI$104,0)),0)</f>
        <v>0</v>
      </c>
      <c r="X167" s="274">
        <v>0</v>
      </c>
      <c r="Y167" s="275">
        <f t="shared" si="9"/>
        <v>1365</v>
      </c>
      <c r="Z167" s="276"/>
      <c r="AA167" s="276"/>
      <c r="AB167" s="276"/>
      <c r="AC167" s="272">
        <f>Y167*(1+'2. GRI Pricing Inputs'!$D$114)^(($AC$16-$AB$15)/365)</f>
        <v>1369.5544978494465</v>
      </c>
      <c r="AD167" s="273">
        <f>AC167*(1+'2. GRI Pricing Inputs'!$D$114)^((AD$16-AC$16)/365)</f>
        <v>1373.9765451459907</v>
      </c>
      <c r="AE167" s="273">
        <f>AD167*(1+'2. GRI Pricing Inputs'!$D$114)^((AE$16-AD$16)/365)</f>
        <v>1378.560994391454</v>
      </c>
      <c r="AF167" s="273">
        <f>AE167*(1+'2. GRI Pricing Inputs'!$D$114)^((AF$16-AE$16)/365)</f>
        <v>1383.1607402407483</v>
      </c>
      <c r="AG167" s="273">
        <f>AF167*(1+'2. GRI Pricing Inputs'!$D$114)^((AG$16-AF$16)/365)</f>
        <v>1387.4776216253372</v>
      </c>
      <c r="AH167" s="273">
        <f>AG167*(1+'2. GRI Pricing Inputs'!$D$114)^((AH$16-AG$16)/365)</f>
        <v>1392.1071189468373</v>
      </c>
      <c r="AI167" s="273">
        <f>AH167*(1+'2. GRI Pricing Inputs'!$D$114)^((AI$16-AH$16)/365)</f>
        <v>1396.6019846360123</v>
      </c>
      <c r="AJ167" s="273">
        <f>AI167*(1+'2. GRI Pricing Inputs'!$D$114)^((AJ$16-AI$16)/365)</f>
        <v>1401.2619265668236</v>
      </c>
      <c r="AK167" s="273">
        <f>AJ167*(1+'2. GRI Pricing Inputs'!$D$114)^((AK$16-AJ$16)/365)</f>
        <v>1405.7863514975986</v>
      </c>
      <c r="AL167" s="273">
        <f>AK167*(1+'2. GRI Pricing Inputs'!$D$114)^((AL$16-AK$16)/365)</f>
        <v>1410.4769382482777</v>
      </c>
      <c r="AM167" s="273">
        <f>AL167*(1+'2. GRI Pricing Inputs'!$D$114)^((AM$16-AL$16)/365)</f>
        <v>1415.1831757442085</v>
      </c>
      <c r="AN167" s="273">
        <f>AM167*(1+'2. GRI Pricing Inputs'!$D$114)^((AN$16-AM$16)/365)</f>
        <v>1419.7525499065666</v>
      </c>
      <c r="AO167" s="273">
        <f>AN167*(1+'2. GRI Pricing Inputs'!$D$114)^((AO$16-AN$16)/365)</f>
        <v>1424.489736672351</v>
      </c>
    </row>
    <row r="168" spans="3:41" ht="12" x14ac:dyDescent="0.2">
      <c r="C168" s="76" t="str">
        <f>'1. Accomodation'!N172</f>
        <v>603S</v>
      </c>
      <c r="D168" s="69" t="str">
        <f>'1. Accomodation'!P172</f>
        <v>2 Bed</v>
      </c>
      <c r="E168" s="69">
        <f>'1. Accomodation'!Q172</f>
        <v>2</v>
      </c>
      <c r="F168" s="77">
        <f>'1. Accomodation'!O172</f>
        <v>614</v>
      </c>
      <c r="G168" s="69">
        <f>'1. Accomodation'!R172</f>
        <v>6</v>
      </c>
      <c r="H168" s="69" t="str">
        <f>'1. Accomodation'!S172</f>
        <v>River- Full</v>
      </c>
      <c r="I168" s="62"/>
      <c r="K168" s="272">
        <f>IFERROR(INDEX('2. GRI Pricing Inputs'!$C$15:$AI$16,MATCH($K$16,'2. GRI Pricing Inputs'!$C$15:$C$16,0),MATCH(D168,'2. GRI Pricing Inputs'!$C$15:$AI$15,0)),0)</f>
        <v>1110</v>
      </c>
      <c r="L168" s="273">
        <f>IFERROR(INDEX('2. GRI Pricing Inputs'!$C$22:$AI$23,MATCH($L$16,'2. GRI Pricing Inputs'!$C$22:$C$23,0),MATCH(E168,'2. GRI Pricing Inputs'!$C$22:$AI$22,0)),0)</f>
        <v>0</v>
      </c>
      <c r="M168" s="328">
        <f>IF(AND('3. GRI Pricing'!$F168&gt;='2. GRI Pricing Inputs'!$D$33,'3. GRI Pricing'!$F168&lt;='2. GRI Pricing Inputs'!$E$33),'2. GRI Pricing Inputs'!$D$32,IF(AND('3. GRI Pricing'!$F168&gt;='2. GRI Pricing Inputs'!$F$33,'3. GRI Pricing'!$F168&lt;='2. GRI Pricing Inputs'!$G$33),'2. GRI Pricing Inputs'!$F$32,IF(AND('3. GRI Pricing'!$F168&gt;='2. GRI Pricing Inputs'!$H$33,'3. GRI Pricing'!$F168&lt;='2. GRI Pricing Inputs'!$I$33),'2. GRI Pricing Inputs'!$H$32,IF(AND('3. GRI Pricing'!$F168&gt;='2. GRI Pricing Inputs'!$J$33,'3. GRI Pricing'!$F168&lt;='2. GRI Pricing Inputs'!$K$33),'2. GRI Pricing Inputs'!$J$32,IF(AND('3. GRI Pricing'!$F168&gt;='2. GRI Pricing Inputs'!$L$33,'3. GRI Pricing'!$F168&lt;='2. GRI Pricing Inputs'!$M$33),'2. GRI Pricing Inputs'!$L$32,IF(AND('3. GRI Pricing'!$F168&gt;='2. GRI Pricing Inputs'!$N$33,'3. GRI Pricing'!$F168&lt;='2. GRI Pricing Inputs'!$O$33),'2. GRI Pricing Inputs'!$N$32,IF(AND('3. GRI Pricing'!$F168&gt;='2. GRI Pricing Inputs'!$P$33,'3. GRI Pricing'!$F168&lt;='2. GRI Pricing Inputs'!$Q$33),'2. GRI Pricing Inputs'!$P$32,IF(AND('3. GRI Pricing'!$F168&gt;='2. GRI Pricing Inputs'!$R$33,'3. GRI Pricing'!$F168&lt;='2. GRI Pricing Inputs'!$S$33),'2. GRI Pricing Inputs'!$R$32,IF(AND('3. GRI Pricing'!$F168&gt;='2. GRI Pricing Inputs'!$T$33,'3. GRI Pricing'!$F168&lt;='2. GRI Pricing Inputs'!$U$33),'2. GRI Pricing Inputs'!$T$32,IF(AND('3. GRI Pricing'!$F168&gt;='2. GRI Pricing Inputs'!$V$33,'3. GRI Pricing'!$F168&lt;='2. GRI Pricing Inputs'!$W$33),'2. GRI Pricing Inputs'!$V$32,IF(AND('3. GRI Pricing'!$F168&gt;='2. GRI Pricing Inputs'!$X$33,'3. GRI Pricing'!$F168&lt;='2. GRI Pricing Inputs'!$Y$33),'2. GRI Pricing Inputs'!$X$32,IF(AND('3. GRI Pricing'!$F168&gt;='2. GRI Pricing Inputs'!$Z$33,'3. GRI Pricing'!$F168&lt;='2. GRI Pricing Inputs'!$AA$33),'2. GRI Pricing Inputs'!$Z$32,IF(AND('3. GRI Pricing'!$F168&gt;='2. GRI Pricing Inputs'!$AB$33,'3. GRI Pricing'!$F168&lt;='2. GRI Pricing Inputs'!$AC$33),'2. GRI Pricing Inputs'!$AB$32,IF(AND('3. GRI Pricing'!$F168&gt;='2. GRI Pricing Inputs'!$AD$33,'3. GRI Pricing'!$F168&lt;='2. GRI Pricing Inputs'!$AE$33),'2. GRI Pricing Inputs'!$AD$32,IF(AND('3. GRI Pricing'!$F168&gt;='2. GRI Pricing Inputs'!$AF$33,'3. GRI Pricing'!$F168&lt;='2. GRI Pricing Inputs'!$AG$33),'2. GRI Pricing Inputs'!$AF$32,IF(AND('3. GRI Pricing'!$F168&gt;='2. GRI Pricing Inputs'!$AH$33,'3. GRI Pricing'!$F168&lt;='2. GRI Pricing Inputs'!$AI$33),'2. GRI Pricing Inputs'!$AH$32,0))))))))))))))))</f>
        <v>6</v>
      </c>
      <c r="N168" s="273" cm="1">
        <f t="array" ref="N168">IFERROR(INDEX('2. GRI Pricing Inputs'!$C$32:$AI$39,MATCH('3. GRI Pricing'!D168,'2. GRI Pricing Inputs'!$C$32:$C$39,0),(MATCH('3. GRI Pricing'!M168,'2. GRI Pricing Inputs'!$D$32:$AI$32,0)+1)),0)</f>
        <v>5</v>
      </c>
      <c r="O168" s="273">
        <f>IFERROR(INDEX('2. GRI Pricing Inputs'!$C$45:$AI$46,MATCH($O$16,'2. GRI Pricing Inputs'!$C$45:$C$46,0),MATCH(G168,'2. GRI Pricing Inputs'!$C$45:$AI$45,0)),0)</f>
        <v>80</v>
      </c>
      <c r="P168" s="273">
        <f>IFERROR(INDEX('2. GRI Pricing Inputs'!$C$53:$AI$54,MATCH('3. GRI Pricing'!$P$16,'2. GRI Pricing Inputs'!$C$53:$C$54,0),MATCH('3. GRI Pricing'!H168,'2. GRI Pricing Inputs'!$C$53:$AI$53,0)),0)</f>
        <v>60</v>
      </c>
      <c r="Q168" s="273">
        <f>IFERROR(INDEX('2. GRI Pricing Inputs'!$C$60:$AI$61,MATCH('3. GRI Pricing'!$Q$16,'2. GRI Pricing Inputs'!$C$60:$C$61,0),MATCH('1. Accomodation'!T172,'2. GRI Pricing Inputs'!$C$60:$AI$60,0)),0)</f>
        <v>0</v>
      </c>
      <c r="R168" s="273">
        <f>IFERROR(INDEX('2. GRI Pricing Inputs'!$C$67:$AI$68,MATCH('3. GRI Pricing'!$R$16,'2. GRI Pricing Inputs'!$C$67:$C$68,0),MATCH('1. Accomodation'!U172,'2. GRI Pricing Inputs'!$C$67:$AI$67,0)),0)</f>
        <v>40</v>
      </c>
      <c r="S168" s="273">
        <f>IF(D168=0,0,'2. GRI Pricing Inputs'!$AI$75)</f>
        <v>70</v>
      </c>
      <c r="T168" s="273">
        <f>IFERROR(INDEX('2. GRI Pricing Inputs'!$C$82:$AI$83,MATCH('3. GRI Pricing'!$T$16,'2. GRI Pricing Inputs'!$C$82:$C$83,0),MATCH('1. Accomodation'!V172,'2. GRI Pricing Inputs'!$C$82:$AI$82,0)),0)</f>
        <v>0</v>
      </c>
      <c r="U168" s="273">
        <f>IFERROR(INDEX('2. GRI Pricing Inputs'!$C$89:$AI$90,MATCH('3. GRI Pricing'!$U$16,'2. GRI Pricing Inputs'!$C$89:$C$90,0),MATCH('1. Accomodation'!W172,'2. GRI Pricing Inputs'!$C$89:$AI$89,0)),0)</f>
        <v>0</v>
      </c>
      <c r="V168" s="273">
        <f>IFERROR(INDEX('2. GRI Pricing Inputs'!$C$97:$AI$98,MATCH('3. GRI Pricing'!$V$16,'2. GRI Pricing Inputs'!$C$97:$C$98,0),MATCH('1. Accomodation'!X172,'2. GRI Pricing Inputs'!$C$97:$AI$97,0)),0)</f>
        <v>0</v>
      </c>
      <c r="W168" s="273">
        <f>IFERROR(INDEX('2. GRI Pricing Inputs'!$C$104:$AI$105,MATCH('3. GRI Pricing'!$W$16,'2. GRI Pricing Inputs'!$C$104:$C$105,0),MATCH('1. Accomodation'!Y172,'2. GRI Pricing Inputs'!$C$104:$AI$104,0)),0)</f>
        <v>0</v>
      </c>
      <c r="X168" s="274">
        <v>0</v>
      </c>
      <c r="Y168" s="275">
        <f t="shared" si="9"/>
        <v>1365</v>
      </c>
      <c r="Z168" s="276"/>
      <c r="AA168" s="276"/>
      <c r="AB168" s="276"/>
      <c r="AC168" s="272">
        <f>Y168*(1+'2. GRI Pricing Inputs'!$D$114)^(($AC$16-$AB$15)/365)</f>
        <v>1369.5544978494465</v>
      </c>
      <c r="AD168" s="273">
        <f>AC168*(1+'2. GRI Pricing Inputs'!$D$114)^((AD$16-AC$16)/365)</f>
        <v>1373.9765451459907</v>
      </c>
      <c r="AE168" s="273">
        <f>AD168*(1+'2. GRI Pricing Inputs'!$D$114)^((AE$16-AD$16)/365)</f>
        <v>1378.560994391454</v>
      </c>
      <c r="AF168" s="273">
        <f>AE168*(1+'2. GRI Pricing Inputs'!$D$114)^((AF$16-AE$16)/365)</f>
        <v>1383.1607402407483</v>
      </c>
      <c r="AG168" s="273">
        <f>AF168*(1+'2. GRI Pricing Inputs'!$D$114)^((AG$16-AF$16)/365)</f>
        <v>1387.4776216253372</v>
      </c>
      <c r="AH168" s="273">
        <f>AG168*(1+'2. GRI Pricing Inputs'!$D$114)^((AH$16-AG$16)/365)</f>
        <v>1392.1071189468373</v>
      </c>
      <c r="AI168" s="273">
        <f>AH168*(1+'2. GRI Pricing Inputs'!$D$114)^((AI$16-AH$16)/365)</f>
        <v>1396.6019846360123</v>
      </c>
      <c r="AJ168" s="273">
        <f>AI168*(1+'2. GRI Pricing Inputs'!$D$114)^((AJ$16-AI$16)/365)</f>
        <v>1401.2619265668236</v>
      </c>
      <c r="AK168" s="273">
        <f>AJ168*(1+'2. GRI Pricing Inputs'!$D$114)^((AK$16-AJ$16)/365)</f>
        <v>1405.7863514975986</v>
      </c>
      <c r="AL168" s="273">
        <f>AK168*(1+'2. GRI Pricing Inputs'!$D$114)^((AL$16-AK$16)/365)</f>
        <v>1410.4769382482777</v>
      </c>
      <c r="AM168" s="273">
        <f>AL168*(1+'2. GRI Pricing Inputs'!$D$114)^((AM$16-AL$16)/365)</f>
        <v>1415.1831757442085</v>
      </c>
      <c r="AN168" s="273">
        <f>AM168*(1+'2. GRI Pricing Inputs'!$D$114)^((AN$16-AM$16)/365)</f>
        <v>1419.7525499065666</v>
      </c>
      <c r="AO168" s="273">
        <f>AN168*(1+'2. GRI Pricing Inputs'!$D$114)^((AO$16-AN$16)/365)</f>
        <v>1424.489736672351</v>
      </c>
    </row>
    <row r="169" spans="3:41" ht="12" x14ac:dyDescent="0.2">
      <c r="C169" s="76" t="str">
        <f>'1. Accomodation'!N173</f>
        <v>604S</v>
      </c>
      <c r="D169" s="69" t="str">
        <f>'1. Accomodation'!P173</f>
        <v>3 Bed</v>
      </c>
      <c r="E169" s="69">
        <f>'1. Accomodation'!Q173</f>
        <v>3</v>
      </c>
      <c r="F169" s="77">
        <f>'1. Accomodation'!O173</f>
        <v>829</v>
      </c>
      <c r="G169" s="69">
        <f>'1. Accomodation'!R173</f>
        <v>6</v>
      </c>
      <c r="H169" s="69" t="str">
        <f>'1. Accomodation'!S173</f>
        <v>River- Full</v>
      </c>
      <c r="I169" s="62"/>
      <c r="K169" s="272">
        <f>IFERROR(INDEX('2. GRI Pricing Inputs'!$C$15:$AI$16,MATCH($K$16,'2. GRI Pricing Inputs'!$C$15:$C$16,0),MATCH(D169,'2. GRI Pricing Inputs'!$C$15:$AI$15,0)),0)</f>
        <v>1485</v>
      </c>
      <c r="L169" s="273">
        <f>IFERROR(INDEX('2. GRI Pricing Inputs'!$C$22:$AI$23,MATCH($L$16,'2. GRI Pricing Inputs'!$C$22:$C$23,0),MATCH(E169,'2. GRI Pricing Inputs'!$C$22:$AI$22,0)),0)</f>
        <v>0</v>
      </c>
      <c r="M169" s="328">
        <f>IF(AND('3. GRI Pricing'!$F169&gt;='2. GRI Pricing Inputs'!$D$33,'3. GRI Pricing'!$F169&lt;='2. GRI Pricing Inputs'!$E$33),'2. GRI Pricing Inputs'!$D$32,IF(AND('3. GRI Pricing'!$F169&gt;='2. GRI Pricing Inputs'!$F$33,'3. GRI Pricing'!$F169&lt;='2. GRI Pricing Inputs'!$G$33),'2. GRI Pricing Inputs'!$F$32,IF(AND('3. GRI Pricing'!$F169&gt;='2. GRI Pricing Inputs'!$H$33,'3. GRI Pricing'!$F169&lt;='2. GRI Pricing Inputs'!$I$33),'2. GRI Pricing Inputs'!$H$32,IF(AND('3. GRI Pricing'!$F169&gt;='2. GRI Pricing Inputs'!$J$33,'3. GRI Pricing'!$F169&lt;='2. GRI Pricing Inputs'!$K$33),'2. GRI Pricing Inputs'!$J$32,IF(AND('3. GRI Pricing'!$F169&gt;='2. GRI Pricing Inputs'!$L$33,'3. GRI Pricing'!$F169&lt;='2. GRI Pricing Inputs'!$M$33),'2. GRI Pricing Inputs'!$L$32,IF(AND('3. GRI Pricing'!$F169&gt;='2. GRI Pricing Inputs'!$N$33,'3. GRI Pricing'!$F169&lt;='2. GRI Pricing Inputs'!$O$33),'2. GRI Pricing Inputs'!$N$32,IF(AND('3. GRI Pricing'!$F169&gt;='2. GRI Pricing Inputs'!$P$33,'3. GRI Pricing'!$F169&lt;='2. GRI Pricing Inputs'!$Q$33),'2. GRI Pricing Inputs'!$P$32,IF(AND('3. GRI Pricing'!$F169&gt;='2. GRI Pricing Inputs'!$R$33,'3. GRI Pricing'!$F169&lt;='2. GRI Pricing Inputs'!$S$33),'2. GRI Pricing Inputs'!$R$32,IF(AND('3. GRI Pricing'!$F169&gt;='2. GRI Pricing Inputs'!$T$33,'3. GRI Pricing'!$F169&lt;='2. GRI Pricing Inputs'!$U$33),'2. GRI Pricing Inputs'!$T$32,IF(AND('3. GRI Pricing'!$F169&gt;='2. GRI Pricing Inputs'!$V$33,'3. GRI Pricing'!$F169&lt;='2. GRI Pricing Inputs'!$W$33),'2. GRI Pricing Inputs'!$V$32,IF(AND('3. GRI Pricing'!$F169&gt;='2. GRI Pricing Inputs'!$X$33,'3. GRI Pricing'!$F169&lt;='2. GRI Pricing Inputs'!$Y$33),'2. GRI Pricing Inputs'!$X$32,IF(AND('3. GRI Pricing'!$F169&gt;='2. GRI Pricing Inputs'!$Z$33,'3. GRI Pricing'!$F169&lt;='2. GRI Pricing Inputs'!$AA$33),'2. GRI Pricing Inputs'!$Z$32,IF(AND('3. GRI Pricing'!$F169&gt;='2. GRI Pricing Inputs'!$AB$33,'3. GRI Pricing'!$F169&lt;='2. GRI Pricing Inputs'!$AC$33),'2. GRI Pricing Inputs'!$AB$32,IF(AND('3. GRI Pricing'!$F169&gt;='2. GRI Pricing Inputs'!$AD$33,'3. GRI Pricing'!$F169&lt;='2. GRI Pricing Inputs'!$AE$33),'2. GRI Pricing Inputs'!$AD$32,IF(AND('3. GRI Pricing'!$F169&gt;='2. GRI Pricing Inputs'!$AF$33,'3. GRI Pricing'!$F169&lt;='2. GRI Pricing Inputs'!$AG$33),'2. GRI Pricing Inputs'!$AF$32,IF(AND('3. GRI Pricing'!$F169&gt;='2. GRI Pricing Inputs'!$AH$33,'3. GRI Pricing'!$F169&lt;='2. GRI Pricing Inputs'!$AI$33),'2. GRI Pricing Inputs'!$AH$32,0))))))))))))))))</f>
        <v>14</v>
      </c>
      <c r="N169" s="273" cm="1">
        <f t="array" ref="N169">IFERROR(INDEX('2. GRI Pricing Inputs'!$C$32:$AI$39,MATCH('3. GRI Pricing'!D169,'2. GRI Pricing Inputs'!$C$32:$C$39,0),(MATCH('3. GRI Pricing'!M169,'2. GRI Pricing Inputs'!$D$32:$AI$32,0)+1)),0)</f>
        <v>60</v>
      </c>
      <c r="O169" s="273">
        <f>IFERROR(INDEX('2. GRI Pricing Inputs'!$C$45:$AI$46,MATCH($O$16,'2. GRI Pricing Inputs'!$C$45:$C$46,0),MATCH(G169,'2. GRI Pricing Inputs'!$C$45:$AI$45,0)),0)</f>
        <v>80</v>
      </c>
      <c r="P169" s="273">
        <f>IFERROR(INDEX('2. GRI Pricing Inputs'!$C$53:$AI$54,MATCH('3. GRI Pricing'!$P$16,'2. GRI Pricing Inputs'!$C$53:$C$54,0),MATCH('3. GRI Pricing'!H169,'2. GRI Pricing Inputs'!$C$53:$AI$53,0)),0)</f>
        <v>60</v>
      </c>
      <c r="Q169" s="273">
        <f>IFERROR(INDEX('2. GRI Pricing Inputs'!$C$60:$AI$61,MATCH('3. GRI Pricing'!$Q$16,'2. GRI Pricing Inputs'!$C$60:$C$61,0),MATCH('1. Accomodation'!T173,'2. GRI Pricing Inputs'!$C$60:$AI$60,0)),0)</f>
        <v>0</v>
      </c>
      <c r="R169" s="273">
        <f>IFERROR(INDEX('2. GRI Pricing Inputs'!$C$67:$AI$68,MATCH('3. GRI Pricing'!$R$16,'2. GRI Pricing Inputs'!$C$67:$C$68,0),MATCH('1. Accomodation'!U173,'2. GRI Pricing Inputs'!$C$67:$AI$67,0)),0)</f>
        <v>40</v>
      </c>
      <c r="S169" s="273">
        <f>IF(D169=0,0,'2. GRI Pricing Inputs'!$AI$75)</f>
        <v>70</v>
      </c>
      <c r="T169" s="273">
        <f>IFERROR(INDEX('2. GRI Pricing Inputs'!$C$82:$AI$83,MATCH('3. GRI Pricing'!$T$16,'2. GRI Pricing Inputs'!$C$82:$C$83,0),MATCH('1. Accomodation'!V173,'2. GRI Pricing Inputs'!$C$82:$AI$82,0)),0)</f>
        <v>0</v>
      </c>
      <c r="U169" s="273">
        <f>IFERROR(INDEX('2. GRI Pricing Inputs'!$C$89:$AI$90,MATCH('3. GRI Pricing'!$U$16,'2. GRI Pricing Inputs'!$C$89:$C$90,0),MATCH('1. Accomodation'!W173,'2. GRI Pricing Inputs'!$C$89:$AI$89,0)),0)</f>
        <v>0</v>
      </c>
      <c r="V169" s="273">
        <f>IFERROR(INDEX('2. GRI Pricing Inputs'!$C$97:$AI$98,MATCH('3. GRI Pricing'!$V$16,'2. GRI Pricing Inputs'!$C$97:$C$98,0),MATCH('1. Accomodation'!X173,'2. GRI Pricing Inputs'!$C$97:$AI$97,0)),0)</f>
        <v>0</v>
      </c>
      <c r="W169" s="273">
        <f>IFERROR(INDEX('2. GRI Pricing Inputs'!$C$104:$AI$105,MATCH('3. GRI Pricing'!$W$16,'2. GRI Pricing Inputs'!$C$104:$C$105,0),MATCH('1. Accomodation'!Y173,'2. GRI Pricing Inputs'!$C$104:$AI$104,0)),0)</f>
        <v>0</v>
      </c>
      <c r="X169" s="274">
        <v>0</v>
      </c>
      <c r="Y169" s="275">
        <f t="shared" si="9"/>
        <v>1795</v>
      </c>
      <c r="Z169" s="276"/>
      <c r="AA169" s="276"/>
      <c r="AB169" s="276"/>
      <c r="AC169" s="272">
        <f>Y169*(1+'2. GRI Pricing Inputs'!$D$114)^(($AC$16-$AB$15)/365)</f>
        <v>1800.9892480877336</v>
      </c>
      <c r="AD169" s="273">
        <f>AC169*(1+'2. GRI Pricing Inputs'!$D$114)^((AD$16-AC$16)/365)</f>
        <v>1806.8043212725665</v>
      </c>
      <c r="AE169" s="273">
        <f>AD169*(1+'2. GRI Pricing Inputs'!$D$114)^((AE$16-AD$16)/365)</f>
        <v>1812.8329559946226</v>
      </c>
      <c r="AF169" s="273">
        <f>AE169*(1+'2. GRI Pricing Inputs'!$D$114)^((AF$16-AE$16)/365)</f>
        <v>1818.8817060308741</v>
      </c>
      <c r="AG169" s="273">
        <f>AF169*(1+'2. GRI Pricing Inputs'!$D$114)^((AG$16-AF$16)/365)</f>
        <v>1824.55848411537</v>
      </c>
      <c r="AH169" s="273">
        <f>AG169*(1+'2. GRI Pricing Inputs'!$D$114)^((AH$16-AG$16)/365)</f>
        <v>1830.646357882471</v>
      </c>
      <c r="AI169" s="273">
        <f>AH169*(1+'2. GRI Pricing Inputs'!$D$114)^((AI$16-AH$16)/365)</f>
        <v>1836.5571885872835</v>
      </c>
      <c r="AJ169" s="273">
        <f>AI169*(1+'2. GRI Pricing Inputs'!$D$114)^((AJ$16-AI$16)/365)</f>
        <v>1842.685097573222</v>
      </c>
      <c r="AK169" s="273">
        <f>AJ169*(1+'2. GRI Pricing Inputs'!$D$114)^((AK$16-AJ$16)/365)</f>
        <v>1848.6347992221167</v>
      </c>
      <c r="AL169" s="273">
        <f>AK169*(1+'2. GRI Pricing Inputs'!$D$114)^((AL$16-AK$16)/365)</f>
        <v>1854.8030067074419</v>
      </c>
      <c r="AM169" s="273">
        <f>AL169*(1+'2. GRI Pricing Inputs'!$D$114)^((AM$16-AL$16)/365)</f>
        <v>1860.991795209417</v>
      </c>
      <c r="AN169" s="273">
        <f>AM169*(1+'2. GRI Pricing Inputs'!$D$114)^((AN$16-AM$16)/365)</f>
        <v>1867.0006059210893</v>
      </c>
      <c r="AO169" s="273">
        <f>AN169*(1+'2. GRI Pricing Inputs'!$D$114)^((AO$16-AN$16)/365)</f>
        <v>1873.230093279758</v>
      </c>
    </row>
    <row r="170" spans="3:41" ht="12" x14ac:dyDescent="0.2">
      <c r="C170" s="76" t="str">
        <f>'1. Accomodation'!N174</f>
        <v>605S</v>
      </c>
      <c r="D170" s="69" t="str">
        <f>'1. Accomodation'!P174</f>
        <v>2 Bed</v>
      </c>
      <c r="E170" s="69">
        <f>'1. Accomodation'!Q174</f>
        <v>2</v>
      </c>
      <c r="F170" s="77">
        <f>'1. Accomodation'!O174</f>
        <v>689</v>
      </c>
      <c r="G170" s="69">
        <f>'1. Accomodation'!R174</f>
        <v>6</v>
      </c>
      <c r="H170" s="69" t="str">
        <f>'1. Accomodation'!S174</f>
        <v>Courtyard</v>
      </c>
      <c r="I170" s="62"/>
      <c r="K170" s="272">
        <f>IFERROR(INDEX('2. GRI Pricing Inputs'!$C$15:$AI$16,MATCH($K$16,'2. GRI Pricing Inputs'!$C$15:$C$16,0),MATCH(D170,'2. GRI Pricing Inputs'!$C$15:$AI$15,0)),0)</f>
        <v>1110</v>
      </c>
      <c r="L170" s="273">
        <f>IFERROR(INDEX('2. GRI Pricing Inputs'!$C$22:$AI$23,MATCH($L$16,'2. GRI Pricing Inputs'!$C$22:$C$23,0),MATCH(E170,'2. GRI Pricing Inputs'!$C$22:$AI$22,0)),0)</f>
        <v>0</v>
      </c>
      <c r="M170" s="328">
        <f>IF(AND('3. GRI Pricing'!$F170&gt;='2. GRI Pricing Inputs'!$D$33,'3. GRI Pricing'!$F170&lt;='2. GRI Pricing Inputs'!$E$33),'2. GRI Pricing Inputs'!$D$32,IF(AND('3. GRI Pricing'!$F170&gt;='2. GRI Pricing Inputs'!$F$33,'3. GRI Pricing'!$F170&lt;='2. GRI Pricing Inputs'!$G$33),'2. GRI Pricing Inputs'!$F$32,IF(AND('3. GRI Pricing'!$F170&gt;='2. GRI Pricing Inputs'!$H$33,'3. GRI Pricing'!$F170&lt;='2. GRI Pricing Inputs'!$I$33),'2. GRI Pricing Inputs'!$H$32,IF(AND('3. GRI Pricing'!$F170&gt;='2. GRI Pricing Inputs'!$J$33,'3. GRI Pricing'!$F170&lt;='2. GRI Pricing Inputs'!$K$33),'2. GRI Pricing Inputs'!$J$32,IF(AND('3. GRI Pricing'!$F170&gt;='2. GRI Pricing Inputs'!$L$33,'3. GRI Pricing'!$F170&lt;='2. GRI Pricing Inputs'!$M$33),'2. GRI Pricing Inputs'!$L$32,IF(AND('3. GRI Pricing'!$F170&gt;='2. GRI Pricing Inputs'!$N$33,'3. GRI Pricing'!$F170&lt;='2. GRI Pricing Inputs'!$O$33),'2. GRI Pricing Inputs'!$N$32,IF(AND('3. GRI Pricing'!$F170&gt;='2. GRI Pricing Inputs'!$P$33,'3. GRI Pricing'!$F170&lt;='2. GRI Pricing Inputs'!$Q$33),'2. GRI Pricing Inputs'!$P$32,IF(AND('3. GRI Pricing'!$F170&gt;='2. GRI Pricing Inputs'!$R$33,'3. GRI Pricing'!$F170&lt;='2. GRI Pricing Inputs'!$S$33),'2. GRI Pricing Inputs'!$R$32,IF(AND('3. GRI Pricing'!$F170&gt;='2. GRI Pricing Inputs'!$T$33,'3. GRI Pricing'!$F170&lt;='2. GRI Pricing Inputs'!$U$33),'2. GRI Pricing Inputs'!$T$32,IF(AND('3. GRI Pricing'!$F170&gt;='2. GRI Pricing Inputs'!$V$33,'3. GRI Pricing'!$F170&lt;='2. GRI Pricing Inputs'!$W$33),'2. GRI Pricing Inputs'!$V$32,IF(AND('3. GRI Pricing'!$F170&gt;='2. GRI Pricing Inputs'!$X$33,'3. GRI Pricing'!$F170&lt;='2. GRI Pricing Inputs'!$Y$33),'2. GRI Pricing Inputs'!$X$32,IF(AND('3. GRI Pricing'!$F170&gt;='2. GRI Pricing Inputs'!$Z$33,'3. GRI Pricing'!$F170&lt;='2. GRI Pricing Inputs'!$AA$33),'2. GRI Pricing Inputs'!$Z$32,IF(AND('3. GRI Pricing'!$F170&gt;='2. GRI Pricing Inputs'!$AB$33,'3. GRI Pricing'!$F170&lt;='2. GRI Pricing Inputs'!$AC$33),'2. GRI Pricing Inputs'!$AB$32,IF(AND('3. GRI Pricing'!$F170&gt;='2. GRI Pricing Inputs'!$AD$33,'3. GRI Pricing'!$F170&lt;='2. GRI Pricing Inputs'!$AE$33),'2. GRI Pricing Inputs'!$AD$32,IF(AND('3. GRI Pricing'!$F170&gt;='2. GRI Pricing Inputs'!$AF$33,'3. GRI Pricing'!$F170&lt;='2. GRI Pricing Inputs'!$AG$33),'2. GRI Pricing Inputs'!$AF$32,IF(AND('3. GRI Pricing'!$F170&gt;='2. GRI Pricing Inputs'!$AH$33,'3. GRI Pricing'!$F170&lt;='2. GRI Pricing Inputs'!$AI$33),'2. GRI Pricing Inputs'!$AH$32,0))))))))))))))))</f>
        <v>11</v>
      </c>
      <c r="N170" s="273" cm="1">
        <f t="array" ref="N170">IFERROR(INDEX('2. GRI Pricing Inputs'!$C$32:$AI$39,MATCH('3. GRI Pricing'!D170,'2. GRI Pricing Inputs'!$C$32:$C$39,0),(MATCH('3. GRI Pricing'!M170,'2. GRI Pricing Inputs'!$D$32:$AI$32,0)+1)),0)</f>
        <v>65</v>
      </c>
      <c r="O170" s="273">
        <f>IFERROR(INDEX('2. GRI Pricing Inputs'!$C$45:$AI$46,MATCH($O$16,'2. GRI Pricing Inputs'!$C$45:$C$46,0),MATCH(G170,'2. GRI Pricing Inputs'!$C$45:$AI$45,0)),0)</f>
        <v>80</v>
      </c>
      <c r="P170" s="273">
        <f>IFERROR(INDEX('2. GRI Pricing Inputs'!$C$53:$AI$54,MATCH('3. GRI Pricing'!$P$16,'2. GRI Pricing Inputs'!$C$53:$C$54,0),MATCH('3. GRI Pricing'!H170,'2. GRI Pricing Inputs'!$C$53:$AI$53,0)),0)</f>
        <v>25</v>
      </c>
      <c r="Q170" s="273">
        <f>IFERROR(INDEX('2. GRI Pricing Inputs'!$C$60:$AI$61,MATCH('3. GRI Pricing'!$Q$16,'2. GRI Pricing Inputs'!$C$60:$C$61,0),MATCH('1. Accomodation'!T174,'2. GRI Pricing Inputs'!$C$60:$AI$60,0)),0)</f>
        <v>0</v>
      </c>
      <c r="R170" s="273">
        <f>IFERROR(INDEX('2. GRI Pricing Inputs'!$C$67:$AI$68,MATCH('3. GRI Pricing'!$R$16,'2. GRI Pricing Inputs'!$C$67:$C$68,0),MATCH('1. Accomodation'!U174,'2. GRI Pricing Inputs'!$C$67:$AI$67,0)),0)</f>
        <v>0</v>
      </c>
      <c r="S170" s="273">
        <f>IF(D170=0,0,'2. GRI Pricing Inputs'!$AI$75)</f>
        <v>70</v>
      </c>
      <c r="T170" s="273">
        <f>IFERROR(INDEX('2. GRI Pricing Inputs'!$C$82:$AI$83,MATCH('3. GRI Pricing'!$T$16,'2. GRI Pricing Inputs'!$C$82:$C$83,0),MATCH('1. Accomodation'!V174,'2. GRI Pricing Inputs'!$C$82:$AI$82,0)),0)</f>
        <v>0</v>
      </c>
      <c r="U170" s="273">
        <f>IFERROR(INDEX('2. GRI Pricing Inputs'!$C$89:$AI$90,MATCH('3. GRI Pricing'!$U$16,'2. GRI Pricing Inputs'!$C$89:$C$90,0),MATCH('1. Accomodation'!W174,'2. GRI Pricing Inputs'!$C$89:$AI$89,0)),0)</f>
        <v>0</v>
      </c>
      <c r="V170" s="273">
        <f>IFERROR(INDEX('2. GRI Pricing Inputs'!$C$97:$AI$98,MATCH('3. GRI Pricing'!$V$16,'2. GRI Pricing Inputs'!$C$97:$C$98,0),MATCH('1. Accomodation'!X174,'2. GRI Pricing Inputs'!$C$97:$AI$97,0)),0)</f>
        <v>0</v>
      </c>
      <c r="W170" s="273">
        <f>IFERROR(INDEX('2. GRI Pricing Inputs'!$C$104:$AI$105,MATCH('3. GRI Pricing'!$W$16,'2. GRI Pricing Inputs'!$C$104:$C$105,0),MATCH('1. Accomodation'!Y174,'2. GRI Pricing Inputs'!$C$104:$AI$104,0)),0)</f>
        <v>0</v>
      </c>
      <c r="X170" s="274">
        <v>0</v>
      </c>
      <c r="Y170" s="275">
        <f t="shared" si="9"/>
        <v>1350</v>
      </c>
      <c r="Z170" s="276"/>
      <c r="AA170" s="276"/>
      <c r="AB170" s="276"/>
      <c r="AC170" s="272">
        <f>Y170*(1+'2. GRI Pricing Inputs'!$D$114)^(($AC$16-$AB$15)/365)</f>
        <v>1354.5044484225295</v>
      </c>
      <c r="AD170" s="273">
        <f>AC170*(1+'2. GRI Pricing Inputs'!$D$114)^((AD$16-AC$16)/365)</f>
        <v>1358.8779017927382</v>
      </c>
      <c r="AE170" s="273">
        <f>AD170*(1+'2. GRI Pricing Inputs'!$D$114)^((AE$16-AD$16)/365)</f>
        <v>1363.4119724750644</v>
      </c>
      <c r="AF170" s="273">
        <f>AE170*(1+'2. GRI Pricing Inputs'!$D$114)^((AF$16-AE$16)/365)</f>
        <v>1367.9611716666741</v>
      </c>
      <c r="AG170" s="273">
        <f>AF170*(1+'2. GRI Pricing Inputs'!$D$114)^((AG$16-AF$16)/365)</f>
        <v>1372.2306147942895</v>
      </c>
      <c r="AH170" s="273">
        <f>AG170*(1+'2. GRI Pricing Inputs'!$D$114)^((AH$16-AG$16)/365)</f>
        <v>1376.8092385188502</v>
      </c>
      <c r="AI170" s="273">
        <f>AH170*(1+'2. GRI Pricing Inputs'!$D$114)^((AI$16-AH$16)/365)</f>
        <v>1381.2547100795728</v>
      </c>
      <c r="AJ170" s="273">
        <f>AI170*(1+'2. GRI Pricing Inputs'!$D$114)^((AJ$16-AI$16)/365)</f>
        <v>1385.8634438572981</v>
      </c>
      <c r="AK170" s="273">
        <f>AJ170*(1+'2. GRI Pricing Inputs'!$D$114)^((AK$16-AJ$16)/365)</f>
        <v>1390.3381498327899</v>
      </c>
      <c r="AL170" s="273">
        <f>AK170*(1+'2. GRI Pricing Inputs'!$D$114)^((AL$16-AK$16)/365)</f>
        <v>1394.9771916741208</v>
      </c>
      <c r="AM170" s="273">
        <f>AL170*(1+'2. GRI Pricing Inputs'!$D$114)^((AM$16-AL$16)/365)</f>
        <v>1399.631712274492</v>
      </c>
      <c r="AN170" s="273">
        <f>AM170*(1+'2. GRI Pricing Inputs'!$D$114)^((AN$16-AM$16)/365)</f>
        <v>1404.1508735339669</v>
      </c>
      <c r="AO170" s="273">
        <f>AN170*(1+'2. GRI Pricing Inputs'!$D$114)^((AO$16-AN$16)/365)</f>
        <v>1408.836003302325</v>
      </c>
    </row>
    <row r="171" spans="3:41" ht="12" x14ac:dyDescent="0.2">
      <c r="C171" s="76" t="str">
        <f>'1. Accomodation'!N175</f>
        <v>606S</v>
      </c>
      <c r="D171" s="69" t="str">
        <f>'1. Accomodation'!P175</f>
        <v>1 Bed</v>
      </c>
      <c r="E171" s="69">
        <f>'1. Accomodation'!Q175</f>
        <v>1</v>
      </c>
      <c r="F171" s="77">
        <f>'1. Accomodation'!O175</f>
        <v>474</v>
      </c>
      <c r="G171" s="69">
        <f>'1. Accomodation'!R175</f>
        <v>6</v>
      </c>
      <c r="H171" s="69" t="str">
        <f>'1. Accomodation'!S175</f>
        <v>Courtyard</v>
      </c>
      <c r="I171" s="62"/>
      <c r="K171" s="272">
        <f>IFERROR(INDEX('2. GRI Pricing Inputs'!$C$15:$AI$16,MATCH($K$16,'2. GRI Pricing Inputs'!$C$15:$C$16,0),MATCH(D171,'2. GRI Pricing Inputs'!$C$15:$AI$15,0)),0)</f>
        <v>845</v>
      </c>
      <c r="L171" s="273">
        <f>IFERROR(INDEX('2. GRI Pricing Inputs'!$C$22:$AI$23,MATCH($L$16,'2. GRI Pricing Inputs'!$C$22:$C$23,0),MATCH(E171,'2. GRI Pricing Inputs'!$C$22:$AI$22,0)),0)</f>
        <v>0</v>
      </c>
      <c r="M171" s="328">
        <f>IF(AND('3. GRI Pricing'!$F171&gt;='2. GRI Pricing Inputs'!$D$33,'3. GRI Pricing'!$F171&lt;='2. GRI Pricing Inputs'!$E$33),'2. GRI Pricing Inputs'!$D$32,IF(AND('3. GRI Pricing'!$F171&gt;='2. GRI Pricing Inputs'!$F$33,'3. GRI Pricing'!$F171&lt;='2. GRI Pricing Inputs'!$G$33),'2. GRI Pricing Inputs'!$F$32,IF(AND('3. GRI Pricing'!$F171&gt;='2. GRI Pricing Inputs'!$H$33,'3. GRI Pricing'!$F171&lt;='2. GRI Pricing Inputs'!$I$33),'2. GRI Pricing Inputs'!$H$32,IF(AND('3. GRI Pricing'!$F171&gt;='2. GRI Pricing Inputs'!$J$33,'3. GRI Pricing'!$F171&lt;='2. GRI Pricing Inputs'!$K$33),'2. GRI Pricing Inputs'!$J$32,IF(AND('3. GRI Pricing'!$F171&gt;='2. GRI Pricing Inputs'!$L$33,'3. GRI Pricing'!$F171&lt;='2. GRI Pricing Inputs'!$M$33),'2. GRI Pricing Inputs'!$L$32,IF(AND('3. GRI Pricing'!$F171&gt;='2. GRI Pricing Inputs'!$N$33,'3. GRI Pricing'!$F171&lt;='2. GRI Pricing Inputs'!$O$33),'2. GRI Pricing Inputs'!$N$32,IF(AND('3. GRI Pricing'!$F171&gt;='2. GRI Pricing Inputs'!$P$33,'3. GRI Pricing'!$F171&lt;='2. GRI Pricing Inputs'!$Q$33),'2. GRI Pricing Inputs'!$P$32,IF(AND('3. GRI Pricing'!$F171&gt;='2. GRI Pricing Inputs'!$R$33,'3. GRI Pricing'!$F171&lt;='2. GRI Pricing Inputs'!$S$33),'2. GRI Pricing Inputs'!$R$32,IF(AND('3. GRI Pricing'!$F171&gt;='2. GRI Pricing Inputs'!$T$33,'3. GRI Pricing'!$F171&lt;='2. GRI Pricing Inputs'!$U$33),'2. GRI Pricing Inputs'!$T$32,IF(AND('3. GRI Pricing'!$F171&gt;='2. GRI Pricing Inputs'!$V$33,'3. GRI Pricing'!$F171&lt;='2. GRI Pricing Inputs'!$W$33),'2. GRI Pricing Inputs'!$V$32,IF(AND('3. GRI Pricing'!$F171&gt;='2. GRI Pricing Inputs'!$X$33,'3. GRI Pricing'!$F171&lt;='2. GRI Pricing Inputs'!$Y$33),'2. GRI Pricing Inputs'!$X$32,IF(AND('3. GRI Pricing'!$F171&gt;='2. GRI Pricing Inputs'!$Z$33,'3. GRI Pricing'!$F171&lt;='2. GRI Pricing Inputs'!$AA$33),'2. GRI Pricing Inputs'!$Z$32,IF(AND('3. GRI Pricing'!$F171&gt;='2. GRI Pricing Inputs'!$AB$33,'3. GRI Pricing'!$F171&lt;='2. GRI Pricing Inputs'!$AC$33),'2. GRI Pricing Inputs'!$AB$32,IF(AND('3. GRI Pricing'!$F171&gt;='2. GRI Pricing Inputs'!$AD$33,'3. GRI Pricing'!$F171&lt;='2. GRI Pricing Inputs'!$AE$33),'2. GRI Pricing Inputs'!$AD$32,IF(AND('3. GRI Pricing'!$F171&gt;='2. GRI Pricing Inputs'!$AF$33,'3. GRI Pricing'!$F171&lt;='2. GRI Pricing Inputs'!$AG$33),'2. GRI Pricing Inputs'!$AF$32,IF(AND('3. GRI Pricing'!$F171&gt;='2. GRI Pricing Inputs'!$AH$33,'3. GRI Pricing'!$F171&lt;='2. GRI Pricing Inputs'!$AI$33),'2. GRI Pricing Inputs'!$AH$32,0))))))))))))))))</f>
        <v>0</v>
      </c>
      <c r="N171" s="273" cm="1">
        <f t="array" ref="N171">IFERROR(INDEX('2. GRI Pricing Inputs'!$C$32:$AI$39,MATCH('3. GRI Pricing'!D171,'2. GRI Pricing Inputs'!$C$32:$C$39,0),(MATCH('3. GRI Pricing'!M171,'2. GRI Pricing Inputs'!$D$32:$AI$32,0)+1)),0)</f>
        <v>0</v>
      </c>
      <c r="O171" s="273">
        <f>IFERROR(INDEX('2. GRI Pricing Inputs'!$C$45:$AI$46,MATCH($O$16,'2. GRI Pricing Inputs'!$C$45:$C$46,0),MATCH(G171,'2. GRI Pricing Inputs'!$C$45:$AI$45,0)),0)</f>
        <v>80</v>
      </c>
      <c r="P171" s="273">
        <f>IFERROR(INDEX('2. GRI Pricing Inputs'!$C$53:$AI$54,MATCH('3. GRI Pricing'!$P$16,'2. GRI Pricing Inputs'!$C$53:$C$54,0),MATCH('3. GRI Pricing'!H171,'2. GRI Pricing Inputs'!$C$53:$AI$53,0)),0)</f>
        <v>25</v>
      </c>
      <c r="Q171" s="273">
        <f>IFERROR(INDEX('2. GRI Pricing Inputs'!$C$60:$AI$61,MATCH('3. GRI Pricing'!$Q$16,'2. GRI Pricing Inputs'!$C$60:$C$61,0),MATCH('1. Accomodation'!T175,'2. GRI Pricing Inputs'!$C$60:$AI$60,0)),0)</f>
        <v>0</v>
      </c>
      <c r="R171" s="273">
        <f>IFERROR(INDEX('2. GRI Pricing Inputs'!$C$67:$AI$68,MATCH('3. GRI Pricing'!$R$16,'2. GRI Pricing Inputs'!$C$67:$C$68,0),MATCH('1. Accomodation'!U175,'2. GRI Pricing Inputs'!$C$67:$AI$67,0)),0)</f>
        <v>0</v>
      </c>
      <c r="S171" s="273">
        <f>IF(D171=0,0,'2. GRI Pricing Inputs'!$AI$75)</f>
        <v>70</v>
      </c>
      <c r="T171" s="273">
        <f>IFERROR(INDEX('2. GRI Pricing Inputs'!$C$82:$AI$83,MATCH('3. GRI Pricing'!$T$16,'2. GRI Pricing Inputs'!$C$82:$C$83,0),MATCH('1. Accomodation'!V175,'2. GRI Pricing Inputs'!$C$82:$AI$82,0)),0)</f>
        <v>0</v>
      </c>
      <c r="U171" s="273">
        <f>IFERROR(INDEX('2. GRI Pricing Inputs'!$C$89:$AI$90,MATCH('3. GRI Pricing'!$U$16,'2. GRI Pricing Inputs'!$C$89:$C$90,0),MATCH('1. Accomodation'!W175,'2. GRI Pricing Inputs'!$C$89:$AI$89,0)),0)</f>
        <v>0</v>
      </c>
      <c r="V171" s="273">
        <f>IFERROR(INDEX('2. GRI Pricing Inputs'!$C$97:$AI$98,MATCH('3. GRI Pricing'!$V$16,'2. GRI Pricing Inputs'!$C$97:$C$98,0),MATCH('1. Accomodation'!X175,'2. GRI Pricing Inputs'!$C$97:$AI$97,0)),0)</f>
        <v>0</v>
      </c>
      <c r="W171" s="273">
        <f>IFERROR(INDEX('2. GRI Pricing Inputs'!$C$104:$AI$105,MATCH('3. GRI Pricing'!$W$16,'2. GRI Pricing Inputs'!$C$104:$C$105,0),MATCH('1. Accomodation'!Y175,'2. GRI Pricing Inputs'!$C$104:$AI$104,0)),0)</f>
        <v>0</v>
      </c>
      <c r="X171" s="274">
        <v>0</v>
      </c>
      <c r="Y171" s="275">
        <f t="shared" si="9"/>
        <v>1020</v>
      </c>
      <c r="Z171" s="276"/>
      <c r="AA171" s="276"/>
      <c r="AB171" s="276"/>
      <c r="AC171" s="272">
        <f>Y171*(1+'2. GRI Pricing Inputs'!$D$114)^(($AC$16-$AB$15)/365)</f>
        <v>1023.4033610303555</v>
      </c>
      <c r="AD171" s="273">
        <f>AC171*(1+'2. GRI Pricing Inputs'!$D$114)^((AD$16-AC$16)/365)</f>
        <v>1026.7077480211799</v>
      </c>
      <c r="AE171" s="273">
        <f>AD171*(1+'2. GRI Pricing Inputs'!$D$114)^((AE$16-AD$16)/365)</f>
        <v>1030.133490314493</v>
      </c>
      <c r="AF171" s="273">
        <f>AE171*(1+'2. GRI Pricing Inputs'!$D$114)^((AF$16-AE$16)/365)</f>
        <v>1033.5706630370426</v>
      </c>
      <c r="AG171" s="273">
        <f>AF171*(1+'2. GRI Pricing Inputs'!$D$114)^((AG$16-AF$16)/365)</f>
        <v>1036.7964645112409</v>
      </c>
      <c r="AH171" s="273">
        <f>AG171*(1+'2. GRI Pricing Inputs'!$D$114)^((AH$16-AG$16)/365)</f>
        <v>1040.2558691031311</v>
      </c>
      <c r="AI171" s="273">
        <f>AH171*(1+'2. GRI Pricing Inputs'!$D$114)^((AI$16-AH$16)/365)</f>
        <v>1043.6146698378993</v>
      </c>
      <c r="AJ171" s="273">
        <f>AI171*(1+'2. GRI Pricing Inputs'!$D$114)^((AJ$16-AI$16)/365)</f>
        <v>1047.0968242477363</v>
      </c>
      <c r="AK171" s="273">
        <f>AJ171*(1+'2. GRI Pricing Inputs'!$D$114)^((AK$16-AJ$16)/365)</f>
        <v>1050.4777132069969</v>
      </c>
      <c r="AL171" s="273">
        <f>AK171*(1+'2. GRI Pricing Inputs'!$D$114)^((AL$16-AK$16)/365)</f>
        <v>1053.9827670426691</v>
      </c>
      <c r="AM171" s="273">
        <f>AL171*(1+'2. GRI Pricing Inputs'!$D$114)^((AM$16-AL$16)/365)</f>
        <v>1057.4995159407274</v>
      </c>
      <c r="AN171" s="273">
        <f>AM171*(1+'2. GRI Pricing Inputs'!$D$114)^((AN$16-AM$16)/365)</f>
        <v>1060.9139933367751</v>
      </c>
      <c r="AO171" s="273">
        <f>AN171*(1+'2. GRI Pricing Inputs'!$D$114)^((AO$16-AN$16)/365)</f>
        <v>1064.4538691617568</v>
      </c>
    </row>
    <row r="172" spans="3:41" ht="12" x14ac:dyDescent="0.2">
      <c r="C172" s="76" t="str">
        <f>'1. Accomodation'!N176</f>
        <v>607S</v>
      </c>
      <c r="D172" s="69" t="str">
        <f>'1. Accomodation'!P176</f>
        <v>2 Bed</v>
      </c>
      <c r="E172" s="69">
        <f>'1. Accomodation'!Q176</f>
        <v>2</v>
      </c>
      <c r="F172" s="77">
        <f>'1. Accomodation'!O176</f>
        <v>624</v>
      </c>
      <c r="G172" s="69">
        <f>'1. Accomodation'!R176</f>
        <v>6</v>
      </c>
      <c r="H172" s="69" t="str">
        <f>'1. Accomodation'!S176</f>
        <v>Courtyard</v>
      </c>
      <c r="I172" s="62"/>
      <c r="K172" s="272">
        <f>IFERROR(INDEX('2. GRI Pricing Inputs'!$C$15:$AI$16,MATCH($K$16,'2. GRI Pricing Inputs'!$C$15:$C$16,0),MATCH(D172,'2. GRI Pricing Inputs'!$C$15:$AI$15,0)),0)</f>
        <v>1110</v>
      </c>
      <c r="L172" s="273">
        <f>IFERROR(INDEX('2. GRI Pricing Inputs'!$C$22:$AI$23,MATCH($L$16,'2. GRI Pricing Inputs'!$C$22:$C$23,0),MATCH(E172,'2. GRI Pricing Inputs'!$C$22:$AI$22,0)),0)</f>
        <v>0</v>
      </c>
      <c r="M172" s="328">
        <f>IF(AND('3. GRI Pricing'!$F172&gt;='2. GRI Pricing Inputs'!$D$33,'3. GRI Pricing'!$F172&lt;='2. GRI Pricing Inputs'!$E$33),'2. GRI Pricing Inputs'!$D$32,IF(AND('3. GRI Pricing'!$F172&gt;='2. GRI Pricing Inputs'!$F$33,'3. GRI Pricing'!$F172&lt;='2. GRI Pricing Inputs'!$G$33),'2. GRI Pricing Inputs'!$F$32,IF(AND('3. GRI Pricing'!$F172&gt;='2. GRI Pricing Inputs'!$H$33,'3. GRI Pricing'!$F172&lt;='2. GRI Pricing Inputs'!$I$33),'2. GRI Pricing Inputs'!$H$32,IF(AND('3. GRI Pricing'!$F172&gt;='2. GRI Pricing Inputs'!$J$33,'3. GRI Pricing'!$F172&lt;='2. GRI Pricing Inputs'!$K$33),'2. GRI Pricing Inputs'!$J$32,IF(AND('3. GRI Pricing'!$F172&gt;='2. GRI Pricing Inputs'!$L$33,'3. GRI Pricing'!$F172&lt;='2. GRI Pricing Inputs'!$M$33),'2. GRI Pricing Inputs'!$L$32,IF(AND('3. GRI Pricing'!$F172&gt;='2. GRI Pricing Inputs'!$N$33,'3. GRI Pricing'!$F172&lt;='2. GRI Pricing Inputs'!$O$33),'2. GRI Pricing Inputs'!$N$32,IF(AND('3. GRI Pricing'!$F172&gt;='2. GRI Pricing Inputs'!$P$33,'3. GRI Pricing'!$F172&lt;='2. GRI Pricing Inputs'!$Q$33),'2. GRI Pricing Inputs'!$P$32,IF(AND('3. GRI Pricing'!$F172&gt;='2. GRI Pricing Inputs'!$R$33,'3. GRI Pricing'!$F172&lt;='2. GRI Pricing Inputs'!$S$33),'2. GRI Pricing Inputs'!$R$32,IF(AND('3. GRI Pricing'!$F172&gt;='2. GRI Pricing Inputs'!$T$33,'3. GRI Pricing'!$F172&lt;='2. GRI Pricing Inputs'!$U$33),'2. GRI Pricing Inputs'!$T$32,IF(AND('3. GRI Pricing'!$F172&gt;='2. GRI Pricing Inputs'!$V$33,'3. GRI Pricing'!$F172&lt;='2. GRI Pricing Inputs'!$W$33),'2. GRI Pricing Inputs'!$V$32,IF(AND('3. GRI Pricing'!$F172&gt;='2. GRI Pricing Inputs'!$X$33,'3. GRI Pricing'!$F172&lt;='2. GRI Pricing Inputs'!$Y$33),'2. GRI Pricing Inputs'!$X$32,IF(AND('3. GRI Pricing'!$F172&gt;='2. GRI Pricing Inputs'!$Z$33,'3. GRI Pricing'!$F172&lt;='2. GRI Pricing Inputs'!$AA$33),'2. GRI Pricing Inputs'!$Z$32,IF(AND('3. GRI Pricing'!$F172&gt;='2. GRI Pricing Inputs'!$AB$33,'3. GRI Pricing'!$F172&lt;='2. GRI Pricing Inputs'!$AC$33),'2. GRI Pricing Inputs'!$AB$32,IF(AND('3. GRI Pricing'!$F172&gt;='2. GRI Pricing Inputs'!$AD$33,'3. GRI Pricing'!$F172&lt;='2. GRI Pricing Inputs'!$AE$33),'2. GRI Pricing Inputs'!$AD$32,IF(AND('3. GRI Pricing'!$F172&gt;='2. GRI Pricing Inputs'!$AF$33,'3. GRI Pricing'!$F172&lt;='2. GRI Pricing Inputs'!$AG$33),'2. GRI Pricing Inputs'!$AF$32,IF(AND('3. GRI Pricing'!$F172&gt;='2. GRI Pricing Inputs'!$AH$33,'3. GRI Pricing'!$F172&lt;='2. GRI Pricing Inputs'!$AI$33),'2. GRI Pricing Inputs'!$AH$32,0))))))))))))))))</f>
        <v>7</v>
      </c>
      <c r="N172" s="273" cm="1">
        <f t="array" ref="N172">IFERROR(INDEX('2. GRI Pricing Inputs'!$C$32:$AI$39,MATCH('3. GRI Pricing'!D172,'2. GRI Pricing Inputs'!$C$32:$C$39,0),(MATCH('3. GRI Pricing'!M172,'2. GRI Pricing Inputs'!$D$32:$AI$32,0)+1)),0)</f>
        <v>10</v>
      </c>
      <c r="O172" s="273">
        <f>IFERROR(INDEX('2. GRI Pricing Inputs'!$C$45:$AI$46,MATCH($O$16,'2. GRI Pricing Inputs'!$C$45:$C$46,0),MATCH(G172,'2. GRI Pricing Inputs'!$C$45:$AI$45,0)),0)</f>
        <v>80</v>
      </c>
      <c r="P172" s="273">
        <f>IFERROR(INDEX('2. GRI Pricing Inputs'!$C$53:$AI$54,MATCH('3. GRI Pricing'!$P$16,'2. GRI Pricing Inputs'!$C$53:$C$54,0),MATCH('3. GRI Pricing'!H172,'2. GRI Pricing Inputs'!$C$53:$AI$53,0)),0)</f>
        <v>25</v>
      </c>
      <c r="Q172" s="273">
        <f>IFERROR(INDEX('2. GRI Pricing Inputs'!$C$60:$AI$61,MATCH('3. GRI Pricing'!$Q$16,'2. GRI Pricing Inputs'!$C$60:$C$61,0),MATCH('1. Accomodation'!T176,'2. GRI Pricing Inputs'!$C$60:$AI$60,0)),0)</f>
        <v>0</v>
      </c>
      <c r="R172" s="273">
        <f>IFERROR(INDEX('2. GRI Pricing Inputs'!$C$67:$AI$68,MATCH('3. GRI Pricing'!$R$16,'2. GRI Pricing Inputs'!$C$67:$C$68,0),MATCH('1. Accomodation'!U176,'2. GRI Pricing Inputs'!$C$67:$AI$67,0)),0)</f>
        <v>0</v>
      </c>
      <c r="S172" s="273">
        <f>IF(D172=0,0,'2. GRI Pricing Inputs'!$AI$75)</f>
        <v>70</v>
      </c>
      <c r="T172" s="273">
        <f>IFERROR(INDEX('2. GRI Pricing Inputs'!$C$82:$AI$83,MATCH('3. GRI Pricing'!$T$16,'2. GRI Pricing Inputs'!$C$82:$C$83,0),MATCH('1. Accomodation'!V176,'2. GRI Pricing Inputs'!$C$82:$AI$82,0)),0)</f>
        <v>0</v>
      </c>
      <c r="U172" s="273">
        <f>IFERROR(INDEX('2. GRI Pricing Inputs'!$C$89:$AI$90,MATCH('3. GRI Pricing'!$U$16,'2. GRI Pricing Inputs'!$C$89:$C$90,0),MATCH('1. Accomodation'!W176,'2. GRI Pricing Inputs'!$C$89:$AI$89,0)),0)</f>
        <v>0</v>
      </c>
      <c r="V172" s="273">
        <f>IFERROR(INDEX('2. GRI Pricing Inputs'!$C$97:$AI$98,MATCH('3. GRI Pricing'!$V$16,'2. GRI Pricing Inputs'!$C$97:$C$98,0),MATCH('1. Accomodation'!X176,'2. GRI Pricing Inputs'!$C$97:$AI$97,0)),0)</f>
        <v>0</v>
      </c>
      <c r="W172" s="273">
        <f>IFERROR(INDEX('2. GRI Pricing Inputs'!$C$104:$AI$105,MATCH('3. GRI Pricing'!$W$16,'2. GRI Pricing Inputs'!$C$104:$C$105,0),MATCH('1. Accomodation'!Y176,'2. GRI Pricing Inputs'!$C$104:$AI$104,0)),0)</f>
        <v>0</v>
      </c>
      <c r="X172" s="274">
        <v>0</v>
      </c>
      <c r="Y172" s="275">
        <f t="shared" si="9"/>
        <v>1295</v>
      </c>
      <c r="Z172" s="276"/>
      <c r="AA172" s="276"/>
      <c r="AB172" s="276"/>
      <c r="AC172" s="272">
        <f>Y172*(1+'2. GRI Pricing Inputs'!$D$114)^(($AC$16-$AB$15)/365)</f>
        <v>1299.3209338571671</v>
      </c>
      <c r="AD172" s="273">
        <f>AC172*(1+'2. GRI Pricing Inputs'!$D$114)^((AD$16-AC$16)/365)</f>
        <v>1303.5162094974783</v>
      </c>
      <c r="AE172" s="273">
        <f>AD172*(1+'2. GRI Pricing Inputs'!$D$114)^((AE$16-AD$16)/365)</f>
        <v>1307.8655587816356</v>
      </c>
      <c r="AF172" s="273">
        <f>AE172*(1+'2. GRI Pricing Inputs'!$D$114)^((AF$16-AE$16)/365)</f>
        <v>1312.229420228402</v>
      </c>
      <c r="AG172" s="273">
        <f>AF172*(1+'2. GRI Pricing Inputs'!$D$114)^((AG$16-AF$16)/365)</f>
        <v>1316.3249230804479</v>
      </c>
      <c r="AH172" s="273">
        <f>AG172*(1+'2. GRI Pricing Inputs'!$D$114)^((AH$16-AG$16)/365)</f>
        <v>1320.7170102828968</v>
      </c>
      <c r="AI172" s="273">
        <f>AH172*(1+'2. GRI Pricing Inputs'!$D$114)^((AI$16-AH$16)/365)</f>
        <v>1324.9813700392936</v>
      </c>
      <c r="AJ172" s="273">
        <f>AI172*(1+'2. GRI Pricing Inputs'!$D$114)^((AJ$16-AI$16)/365)</f>
        <v>1329.4023405890375</v>
      </c>
      <c r="AK172" s="273">
        <f>AJ172*(1+'2. GRI Pricing Inputs'!$D$114)^((AK$16-AJ$16)/365)</f>
        <v>1333.6947437284907</v>
      </c>
      <c r="AL172" s="273">
        <f>AK172*(1+'2. GRI Pricing Inputs'!$D$114)^((AL$16-AK$16)/365)</f>
        <v>1338.1447875688787</v>
      </c>
      <c r="AM172" s="273">
        <f>AL172*(1+'2. GRI Pricing Inputs'!$D$114)^((AM$16-AL$16)/365)</f>
        <v>1342.6096795521976</v>
      </c>
      <c r="AN172" s="273">
        <f>AM172*(1+'2. GRI Pricing Inputs'!$D$114)^((AN$16-AM$16)/365)</f>
        <v>1346.9447268344347</v>
      </c>
      <c r="AO172" s="273">
        <f>AN172*(1+'2. GRI Pricing Inputs'!$D$114)^((AO$16-AN$16)/365)</f>
        <v>1351.4389809455633</v>
      </c>
    </row>
    <row r="173" spans="3:41" ht="12" x14ac:dyDescent="0.2">
      <c r="C173" s="76" t="str">
        <f>'1. Accomodation'!N177</f>
        <v>701S</v>
      </c>
      <c r="D173" s="69" t="str">
        <f>'1. Accomodation'!P177</f>
        <v>2 Bed</v>
      </c>
      <c r="E173" s="69">
        <f>'1. Accomodation'!Q177</f>
        <v>2</v>
      </c>
      <c r="F173" s="77">
        <f>'1. Accomodation'!O177</f>
        <v>538</v>
      </c>
      <c r="G173" s="69">
        <f>'1. Accomodation'!R177</f>
        <v>7</v>
      </c>
      <c r="H173" s="69" t="str">
        <f>'1. Accomodation'!S177</f>
        <v>River- Full</v>
      </c>
      <c r="I173" s="62"/>
      <c r="K173" s="272">
        <f>IFERROR(INDEX('2. GRI Pricing Inputs'!$C$15:$AI$16,MATCH($K$16,'2. GRI Pricing Inputs'!$C$15:$C$16,0),MATCH(D173,'2. GRI Pricing Inputs'!$C$15:$AI$15,0)),0)</f>
        <v>1110</v>
      </c>
      <c r="L173" s="273">
        <f>IFERROR(INDEX('2. GRI Pricing Inputs'!$C$22:$AI$23,MATCH($L$16,'2. GRI Pricing Inputs'!$C$22:$C$23,0),MATCH(E173,'2. GRI Pricing Inputs'!$C$22:$AI$22,0)),0)</f>
        <v>0</v>
      </c>
      <c r="M173" s="328">
        <f>IF(AND('3. GRI Pricing'!$F173&gt;='2. GRI Pricing Inputs'!$D$33,'3. GRI Pricing'!$F173&lt;='2. GRI Pricing Inputs'!$E$33),'2. GRI Pricing Inputs'!$D$32,IF(AND('3. GRI Pricing'!$F173&gt;='2. GRI Pricing Inputs'!$F$33,'3. GRI Pricing'!$F173&lt;='2. GRI Pricing Inputs'!$G$33),'2. GRI Pricing Inputs'!$F$32,IF(AND('3. GRI Pricing'!$F173&gt;='2. GRI Pricing Inputs'!$H$33,'3. GRI Pricing'!$F173&lt;='2. GRI Pricing Inputs'!$I$33),'2. GRI Pricing Inputs'!$H$32,IF(AND('3. GRI Pricing'!$F173&gt;='2. GRI Pricing Inputs'!$J$33,'3. GRI Pricing'!$F173&lt;='2. GRI Pricing Inputs'!$K$33),'2. GRI Pricing Inputs'!$J$32,IF(AND('3. GRI Pricing'!$F173&gt;='2. GRI Pricing Inputs'!$L$33,'3. GRI Pricing'!$F173&lt;='2. GRI Pricing Inputs'!$M$33),'2. GRI Pricing Inputs'!$L$32,IF(AND('3. GRI Pricing'!$F173&gt;='2. GRI Pricing Inputs'!$N$33,'3. GRI Pricing'!$F173&lt;='2. GRI Pricing Inputs'!$O$33),'2. GRI Pricing Inputs'!$N$32,IF(AND('3. GRI Pricing'!$F173&gt;='2. GRI Pricing Inputs'!$P$33,'3. GRI Pricing'!$F173&lt;='2. GRI Pricing Inputs'!$Q$33),'2. GRI Pricing Inputs'!$P$32,IF(AND('3. GRI Pricing'!$F173&gt;='2. GRI Pricing Inputs'!$R$33,'3. GRI Pricing'!$F173&lt;='2. GRI Pricing Inputs'!$S$33),'2. GRI Pricing Inputs'!$R$32,IF(AND('3. GRI Pricing'!$F173&gt;='2. GRI Pricing Inputs'!$T$33,'3. GRI Pricing'!$F173&lt;='2. GRI Pricing Inputs'!$U$33),'2. GRI Pricing Inputs'!$T$32,IF(AND('3. GRI Pricing'!$F173&gt;='2. GRI Pricing Inputs'!$V$33,'3. GRI Pricing'!$F173&lt;='2. GRI Pricing Inputs'!$W$33),'2. GRI Pricing Inputs'!$V$32,IF(AND('3. GRI Pricing'!$F173&gt;='2. GRI Pricing Inputs'!$X$33,'3. GRI Pricing'!$F173&lt;='2. GRI Pricing Inputs'!$Y$33),'2. GRI Pricing Inputs'!$X$32,IF(AND('3. GRI Pricing'!$F173&gt;='2. GRI Pricing Inputs'!$Z$33,'3. GRI Pricing'!$F173&lt;='2. GRI Pricing Inputs'!$AA$33),'2. GRI Pricing Inputs'!$Z$32,IF(AND('3. GRI Pricing'!$F173&gt;='2. GRI Pricing Inputs'!$AB$33,'3. GRI Pricing'!$F173&lt;='2. GRI Pricing Inputs'!$AC$33),'2. GRI Pricing Inputs'!$AB$32,IF(AND('3. GRI Pricing'!$F173&gt;='2. GRI Pricing Inputs'!$AD$33,'3. GRI Pricing'!$F173&lt;='2. GRI Pricing Inputs'!$AE$33),'2. GRI Pricing Inputs'!$AD$32,IF(AND('3. GRI Pricing'!$F173&gt;='2. GRI Pricing Inputs'!$AF$33,'3. GRI Pricing'!$F173&lt;='2. GRI Pricing Inputs'!$AG$33),'2. GRI Pricing Inputs'!$AF$32,IF(AND('3. GRI Pricing'!$F173&gt;='2. GRI Pricing Inputs'!$AH$33,'3. GRI Pricing'!$F173&lt;='2. GRI Pricing Inputs'!$AI$33),'2. GRI Pricing Inputs'!$AH$32,0))))))))))))))))</f>
        <v>4</v>
      </c>
      <c r="N173" s="273" cm="1">
        <f t="array" ref="N173">IFERROR(INDEX('2. GRI Pricing Inputs'!$C$32:$AI$39,MATCH('3. GRI Pricing'!D173,'2. GRI Pricing Inputs'!$C$32:$C$39,0),(MATCH('3. GRI Pricing'!M173,'2. GRI Pricing Inputs'!$D$32:$AI$32,0)+1)),0)</f>
        <v>0</v>
      </c>
      <c r="O173" s="273">
        <f>IFERROR(INDEX('2. GRI Pricing Inputs'!$C$45:$AI$46,MATCH($O$16,'2. GRI Pricing Inputs'!$C$45:$C$46,0),MATCH(G173,'2. GRI Pricing Inputs'!$C$45:$AI$45,0)),0)</f>
        <v>90</v>
      </c>
      <c r="P173" s="273">
        <f>IFERROR(INDEX('2. GRI Pricing Inputs'!$C$53:$AI$54,MATCH('3. GRI Pricing'!$P$16,'2. GRI Pricing Inputs'!$C$53:$C$54,0),MATCH('3. GRI Pricing'!H173,'2. GRI Pricing Inputs'!$C$53:$AI$53,0)),0)</f>
        <v>60</v>
      </c>
      <c r="Q173" s="273">
        <f>IFERROR(INDEX('2. GRI Pricing Inputs'!$C$60:$AI$61,MATCH('3. GRI Pricing'!$Q$16,'2. GRI Pricing Inputs'!$C$60:$C$61,0),MATCH('1. Accomodation'!T177,'2. GRI Pricing Inputs'!$C$60:$AI$60,0)),0)</f>
        <v>0</v>
      </c>
      <c r="R173" s="273">
        <f>IFERROR(INDEX('2. GRI Pricing Inputs'!$C$67:$AI$68,MATCH('3. GRI Pricing'!$R$16,'2. GRI Pricing Inputs'!$C$67:$C$68,0),MATCH('1. Accomodation'!U177,'2. GRI Pricing Inputs'!$C$67:$AI$67,0)),0)</f>
        <v>10</v>
      </c>
      <c r="S173" s="273">
        <f>IF(D173=0,0,'2. GRI Pricing Inputs'!$AI$75)</f>
        <v>70</v>
      </c>
      <c r="T173" s="273">
        <f>IFERROR(INDEX('2. GRI Pricing Inputs'!$C$82:$AI$83,MATCH('3. GRI Pricing'!$T$16,'2. GRI Pricing Inputs'!$C$82:$C$83,0),MATCH('1. Accomodation'!V177,'2. GRI Pricing Inputs'!$C$82:$AI$82,0)),0)</f>
        <v>-50</v>
      </c>
      <c r="U173" s="273">
        <f>IFERROR(INDEX('2. GRI Pricing Inputs'!$C$89:$AI$90,MATCH('3. GRI Pricing'!$U$16,'2. GRI Pricing Inputs'!$C$89:$C$90,0),MATCH('1. Accomodation'!W177,'2. GRI Pricing Inputs'!$C$89:$AI$89,0)),0)</f>
        <v>0</v>
      </c>
      <c r="V173" s="273">
        <f>IFERROR(INDEX('2. GRI Pricing Inputs'!$C$97:$AI$98,MATCH('3. GRI Pricing'!$V$16,'2. GRI Pricing Inputs'!$C$97:$C$98,0),MATCH('1. Accomodation'!X177,'2. GRI Pricing Inputs'!$C$97:$AI$97,0)),0)</f>
        <v>0</v>
      </c>
      <c r="W173" s="273">
        <f>IFERROR(INDEX('2. GRI Pricing Inputs'!$C$104:$AI$105,MATCH('3. GRI Pricing'!$W$16,'2. GRI Pricing Inputs'!$C$104:$C$105,0),MATCH('1. Accomodation'!Y177,'2. GRI Pricing Inputs'!$C$104:$AI$104,0)),0)</f>
        <v>0</v>
      </c>
      <c r="X173" s="274">
        <v>0</v>
      </c>
      <c r="Y173" s="275">
        <f t="shared" si="9"/>
        <v>1290</v>
      </c>
      <c r="Z173" s="276"/>
      <c r="AA173" s="276"/>
      <c r="AB173" s="276"/>
      <c r="AC173" s="272">
        <f>Y173*(1+'2. GRI Pricing Inputs'!$D$114)^(($AC$16-$AB$15)/365)</f>
        <v>1294.3042507148614</v>
      </c>
      <c r="AD173" s="273">
        <f>AC173*(1+'2. GRI Pricing Inputs'!$D$114)^((AD$16-AC$16)/365)</f>
        <v>1298.4833283797273</v>
      </c>
      <c r="AE173" s="273">
        <f>AD173*(1+'2. GRI Pricing Inputs'!$D$114)^((AE$16-AD$16)/365)</f>
        <v>1302.8158848095056</v>
      </c>
      <c r="AF173" s="273">
        <f>AE173*(1+'2. GRI Pricing Inputs'!$D$114)^((AF$16-AE$16)/365)</f>
        <v>1307.1628973703771</v>
      </c>
      <c r="AG173" s="273">
        <f>AF173*(1+'2. GRI Pricing Inputs'!$D$114)^((AG$16-AF$16)/365)</f>
        <v>1311.2425874700984</v>
      </c>
      <c r="AH173" s="273">
        <f>AG173*(1+'2. GRI Pricing Inputs'!$D$114)^((AH$16-AG$16)/365)</f>
        <v>1315.6177168069007</v>
      </c>
      <c r="AI173" s="273">
        <f>AH173*(1+'2. GRI Pricing Inputs'!$D$114)^((AI$16-AH$16)/365)</f>
        <v>1319.8656118538133</v>
      </c>
      <c r="AJ173" s="273">
        <f>AI173*(1+'2. GRI Pricing Inputs'!$D$114)^((AJ$16-AI$16)/365)</f>
        <v>1324.2695130191953</v>
      </c>
      <c r="AK173" s="273">
        <f>AJ173*(1+'2. GRI Pricing Inputs'!$D$114)^((AK$16-AJ$16)/365)</f>
        <v>1328.5453431735541</v>
      </c>
      <c r="AL173" s="273">
        <f>AK173*(1+'2. GRI Pricing Inputs'!$D$114)^((AL$16-AK$16)/365)</f>
        <v>1332.9782053774925</v>
      </c>
      <c r="AM173" s="273">
        <f>AL173*(1+'2. GRI Pricing Inputs'!$D$114)^((AM$16-AL$16)/365)</f>
        <v>1337.4258583956248</v>
      </c>
      <c r="AN173" s="273">
        <f>AM173*(1+'2. GRI Pricing Inputs'!$D$114)^((AN$16-AM$16)/365)</f>
        <v>1341.7441680435675</v>
      </c>
      <c r="AO173" s="273">
        <f>AN173*(1+'2. GRI Pricing Inputs'!$D$114)^((AO$16-AN$16)/365)</f>
        <v>1346.2210698222207</v>
      </c>
    </row>
    <row r="174" spans="3:41" ht="12" x14ac:dyDescent="0.2">
      <c r="C174" s="76" t="str">
        <f>'1. Accomodation'!N178</f>
        <v>702S</v>
      </c>
      <c r="D174" s="69" t="str">
        <f>'1. Accomodation'!P178</f>
        <v>2 Bed</v>
      </c>
      <c r="E174" s="69">
        <f>'1. Accomodation'!Q178</f>
        <v>2</v>
      </c>
      <c r="F174" s="77">
        <f>'1. Accomodation'!O178</f>
        <v>538</v>
      </c>
      <c r="G174" s="69">
        <f>'1. Accomodation'!R178</f>
        <v>7</v>
      </c>
      <c r="H174" s="69" t="str">
        <f>'1. Accomodation'!S178</f>
        <v>River- Full</v>
      </c>
      <c r="I174" s="62"/>
      <c r="K174" s="272">
        <f>IFERROR(INDEX('2. GRI Pricing Inputs'!$C$15:$AI$16,MATCH($K$16,'2. GRI Pricing Inputs'!$C$15:$C$16,0),MATCH(D174,'2. GRI Pricing Inputs'!$C$15:$AI$15,0)),0)</f>
        <v>1110</v>
      </c>
      <c r="L174" s="273">
        <f>IFERROR(INDEX('2. GRI Pricing Inputs'!$C$22:$AI$23,MATCH($L$16,'2. GRI Pricing Inputs'!$C$22:$C$23,0),MATCH(E174,'2. GRI Pricing Inputs'!$C$22:$AI$22,0)),0)</f>
        <v>0</v>
      </c>
      <c r="M174" s="328">
        <f>IF(AND('3. GRI Pricing'!$F174&gt;='2. GRI Pricing Inputs'!$D$33,'3. GRI Pricing'!$F174&lt;='2. GRI Pricing Inputs'!$E$33),'2. GRI Pricing Inputs'!$D$32,IF(AND('3. GRI Pricing'!$F174&gt;='2. GRI Pricing Inputs'!$F$33,'3. GRI Pricing'!$F174&lt;='2. GRI Pricing Inputs'!$G$33),'2. GRI Pricing Inputs'!$F$32,IF(AND('3. GRI Pricing'!$F174&gt;='2. GRI Pricing Inputs'!$H$33,'3. GRI Pricing'!$F174&lt;='2. GRI Pricing Inputs'!$I$33),'2. GRI Pricing Inputs'!$H$32,IF(AND('3. GRI Pricing'!$F174&gt;='2. GRI Pricing Inputs'!$J$33,'3. GRI Pricing'!$F174&lt;='2. GRI Pricing Inputs'!$K$33),'2. GRI Pricing Inputs'!$J$32,IF(AND('3. GRI Pricing'!$F174&gt;='2. GRI Pricing Inputs'!$L$33,'3. GRI Pricing'!$F174&lt;='2. GRI Pricing Inputs'!$M$33),'2. GRI Pricing Inputs'!$L$32,IF(AND('3. GRI Pricing'!$F174&gt;='2. GRI Pricing Inputs'!$N$33,'3. GRI Pricing'!$F174&lt;='2. GRI Pricing Inputs'!$O$33),'2. GRI Pricing Inputs'!$N$32,IF(AND('3. GRI Pricing'!$F174&gt;='2. GRI Pricing Inputs'!$P$33,'3. GRI Pricing'!$F174&lt;='2. GRI Pricing Inputs'!$Q$33),'2. GRI Pricing Inputs'!$P$32,IF(AND('3. GRI Pricing'!$F174&gt;='2. GRI Pricing Inputs'!$R$33,'3. GRI Pricing'!$F174&lt;='2. GRI Pricing Inputs'!$S$33),'2. GRI Pricing Inputs'!$R$32,IF(AND('3. GRI Pricing'!$F174&gt;='2. GRI Pricing Inputs'!$T$33,'3. GRI Pricing'!$F174&lt;='2. GRI Pricing Inputs'!$U$33),'2. GRI Pricing Inputs'!$T$32,IF(AND('3. GRI Pricing'!$F174&gt;='2. GRI Pricing Inputs'!$V$33,'3. GRI Pricing'!$F174&lt;='2. GRI Pricing Inputs'!$W$33),'2. GRI Pricing Inputs'!$V$32,IF(AND('3. GRI Pricing'!$F174&gt;='2. GRI Pricing Inputs'!$X$33,'3. GRI Pricing'!$F174&lt;='2. GRI Pricing Inputs'!$Y$33),'2. GRI Pricing Inputs'!$X$32,IF(AND('3. GRI Pricing'!$F174&gt;='2. GRI Pricing Inputs'!$Z$33,'3. GRI Pricing'!$F174&lt;='2. GRI Pricing Inputs'!$AA$33),'2. GRI Pricing Inputs'!$Z$32,IF(AND('3. GRI Pricing'!$F174&gt;='2. GRI Pricing Inputs'!$AB$33,'3. GRI Pricing'!$F174&lt;='2. GRI Pricing Inputs'!$AC$33),'2. GRI Pricing Inputs'!$AB$32,IF(AND('3. GRI Pricing'!$F174&gt;='2. GRI Pricing Inputs'!$AD$33,'3. GRI Pricing'!$F174&lt;='2. GRI Pricing Inputs'!$AE$33),'2. GRI Pricing Inputs'!$AD$32,IF(AND('3. GRI Pricing'!$F174&gt;='2. GRI Pricing Inputs'!$AF$33,'3. GRI Pricing'!$F174&lt;='2. GRI Pricing Inputs'!$AG$33),'2. GRI Pricing Inputs'!$AF$32,IF(AND('3. GRI Pricing'!$F174&gt;='2. GRI Pricing Inputs'!$AH$33,'3. GRI Pricing'!$F174&lt;='2. GRI Pricing Inputs'!$AI$33),'2. GRI Pricing Inputs'!$AH$32,0))))))))))))))))</f>
        <v>4</v>
      </c>
      <c r="N174" s="273" cm="1">
        <f t="array" ref="N174">IFERROR(INDEX('2. GRI Pricing Inputs'!$C$32:$AI$39,MATCH('3. GRI Pricing'!D174,'2. GRI Pricing Inputs'!$C$32:$C$39,0),(MATCH('3. GRI Pricing'!M174,'2. GRI Pricing Inputs'!$D$32:$AI$32,0)+1)),0)</f>
        <v>0</v>
      </c>
      <c r="O174" s="273">
        <f>IFERROR(INDEX('2. GRI Pricing Inputs'!$C$45:$AI$46,MATCH($O$16,'2. GRI Pricing Inputs'!$C$45:$C$46,0),MATCH(G174,'2. GRI Pricing Inputs'!$C$45:$AI$45,0)),0)</f>
        <v>90</v>
      </c>
      <c r="P174" s="273">
        <f>IFERROR(INDEX('2. GRI Pricing Inputs'!$C$53:$AI$54,MATCH('3. GRI Pricing'!$P$16,'2. GRI Pricing Inputs'!$C$53:$C$54,0),MATCH('3. GRI Pricing'!H174,'2. GRI Pricing Inputs'!$C$53:$AI$53,0)),0)</f>
        <v>60</v>
      </c>
      <c r="Q174" s="273">
        <f>IFERROR(INDEX('2. GRI Pricing Inputs'!$C$60:$AI$61,MATCH('3. GRI Pricing'!$Q$16,'2. GRI Pricing Inputs'!$C$60:$C$61,0),MATCH('1. Accomodation'!T178,'2. GRI Pricing Inputs'!$C$60:$AI$60,0)),0)</f>
        <v>0</v>
      </c>
      <c r="R174" s="273">
        <f>IFERROR(INDEX('2. GRI Pricing Inputs'!$C$67:$AI$68,MATCH('3. GRI Pricing'!$R$16,'2. GRI Pricing Inputs'!$C$67:$C$68,0),MATCH('1. Accomodation'!U178,'2. GRI Pricing Inputs'!$C$67:$AI$67,0)),0)</f>
        <v>10</v>
      </c>
      <c r="S174" s="273">
        <f>IF(D174=0,0,'2. GRI Pricing Inputs'!$AI$75)</f>
        <v>70</v>
      </c>
      <c r="T174" s="273">
        <f>IFERROR(INDEX('2. GRI Pricing Inputs'!$C$82:$AI$83,MATCH('3. GRI Pricing'!$T$16,'2. GRI Pricing Inputs'!$C$82:$C$83,0),MATCH('1. Accomodation'!V178,'2. GRI Pricing Inputs'!$C$82:$AI$82,0)),0)</f>
        <v>-50</v>
      </c>
      <c r="U174" s="273">
        <f>IFERROR(INDEX('2. GRI Pricing Inputs'!$C$89:$AI$90,MATCH('3. GRI Pricing'!$U$16,'2. GRI Pricing Inputs'!$C$89:$C$90,0),MATCH('1. Accomodation'!W178,'2. GRI Pricing Inputs'!$C$89:$AI$89,0)),0)</f>
        <v>0</v>
      </c>
      <c r="V174" s="273">
        <f>IFERROR(INDEX('2. GRI Pricing Inputs'!$C$97:$AI$98,MATCH('3. GRI Pricing'!$V$16,'2. GRI Pricing Inputs'!$C$97:$C$98,0),MATCH('1. Accomodation'!X178,'2. GRI Pricing Inputs'!$C$97:$AI$97,0)),0)</f>
        <v>0</v>
      </c>
      <c r="W174" s="273">
        <f>IFERROR(INDEX('2. GRI Pricing Inputs'!$C$104:$AI$105,MATCH('3. GRI Pricing'!$W$16,'2. GRI Pricing Inputs'!$C$104:$C$105,0),MATCH('1. Accomodation'!Y178,'2. GRI Pricing Inputs'!$C$104:$AI$104,0)),0)</f>
        <v>0</v>
      </c>
      <c r="X174" s="274">
        <v>0</v>
      </c>
      <c r="Y174" s="275">
        <f t="shared" si="9"/>
        <v>1290</v>
      </c>
      <c r="Z174" s="276"/>
      <c r="AA174" s="276"/>
      <c r="AB174" s="276"/>
      <c r="AC174" s="272">
        <f>Y174*(1+'2. GRI Pricing Inputs'!$D$114)^(($AC$16-$AB$15)/365)</f>
        <v>1294.3042507148614</v>
      </c>
      <c r="AD174" s="273">
        <f>AC174*(1+'2. GRI Pricing Inputs'!$D$114)^((AD$16-AC$16)/365)</f>
        <v>1298.4833283797273</v>
      </c>
      <c r="AE174" s="273">
        <f>AD174*(1+'2. GRI Pricing Inputs'!$D$114)^((AE$16-AD$16)/365)</f>
        <v>1302.8158848095056</v>
      </c>
      <c r="AF174" s="273">
        <f>AE174*(1+'2. GRI Pricing Inputs'!$D$114)^((AF$16-AE$16)/365)</f>
        <v>1307.1628973703771</v>
      </c>
      <c r="AG174" s="273">
        <f>AF174*(1+'2. GRI Pricing Inputs'!$D$114)^((AG$16-AF$16)/365)</f>
        <v>1311.2425874700984</v>
      </c>
      <c r="AH174" s="273">
        <f>AG174*(1+'2. GRI Pricing Inputs'!$D$114)^((AH$16-AG$16)/365)</f>
        <v>1315.6177168069007</v>
      </c>
      <c r="AI174" s="273">
        <f>AH174*(1+'2. GRI Pricing Inputs'!$D$114)^((AI$16-AH$16)/365)</f>
        <v>1319.8656118538133</v>
      </c>
      <c r="AJ174" s="273">
        <f>AI174*(1+'2. GRI Pricing Inputs'!$D$114)^((AJ$16-AI$16)/365)</f>
        <v>1324.2695130191953</v>
      </c>
      <c r="AK174" s="273">
        <f>AJ174*(1+'2. GRI Pricing Inputs'!$D$114)^((AK$16-AJ$16)/365)</f>
        <v>1328.5453431735541</v>
      </c>
      <c r="AL174" s="273">
        <f>AK174*(1+'2. GRI Pricing Inputs'!$D$114)^((AL$16-AK$16)/365)</f>
        <v>1332.9782053774925</v>
      </c>
      <c r="AM174" s="273">
        <f>AL174*(1+'2. GRI Pricing Inputs'!$D$114)^((AM$16-AL$16)/365)</f>
        <v>1337.4258583956248</v>
      </c>
      <c r="AN174" s="273">
        <f>AM174*(1+'2. GRI Pricing Inputs'!$D$114)^((AN$16-AM$16)/365)</f>
        <v>1341.7441680435675</v>
      </c>
      <c r="AO174" s="273">
        <f>AN174*(1+'2. GRI Pricing Inputs'!$D$114)^((AO$16-AN$16)/365)</f>
        <v>1346.2210698222207</v>
      </c>
    </row>
    <row r="175" spans="3:41" ht="12" x14ac:dyDescent="0.2">
      <c r="C175" s="76" t="str">
        <f>'1. Accomodation'!N179</f>
        <v>703S</v>
      </c>
      <c r="D175" s="69" t="str">
        <f>'1. Accomodation'!P179</f>
        <v>2 Bed</v>
      </c>
      <c r="E175" s="69">
        <f>'1. Accomodation'!Q179</f>
        <v>2</v>
      </c>
      <c r="F175" s="77">
        <f>'1. Accomodation'!O179</f>
        <v>549</v>
      </c>
      <c r="G175" s="69">
        <f>'1. Accomodation'!R179</f>
        <v>7</v>
      </c>
      <c r="H175" s="69" t="str">
        <f>'1. Accomodation'!S179</f>
        <v>River- Full</v>
      </c>
      <c r="I175" s="62"/>
      <c r="K175" s="272">
        <f>IFERROR(INDEX('2. GRI Pricing Inputs'!$C$15:$AI$16,MATCH($K$16,'2. GRI Pricing Inputs'!$C$15:$C$16,0),MATCH(D175,'2. GRI Pricing Inputs'!$C$15:$AI$15,0)),0)</f>
        <v>1110</v>
      </c>
      <c r="L175" s="273">
        <f>IFERROR(INDEX('2. GRI Pricing Inputs'!$C$22:$AI$23,MATCH($L$16,'2. GRI Pricing Inputs'!$C$22:$C$23,0),MATCH(E175,'2. GRI Pricing Inputs'!$C$22:$AI$22,0)),0)</f>
        <v>0</v>
      </c>
      <c r="M175" s="328">
        <f>IF(AND('3. GRI Pricing'!$F175&gt;='2. GRI Pricing Inputs'!$D$33,'3. GRI Pricing'!$F175&lt;='2. GRI Pricing Inputs'!$E$33),'2. GRI Pricing Inputs'!$D$32,IF(AND('3. GRI Pricing'!$F175&gt;='2. GRI Pricing Inputs'!$F$33,'3. GRI Pricing'!$F175&lt;='2. GRI Pricing Inputs'!$G$33),'2. GRI Pricing Inputs'!$F$32,IF(AND('3. GRI Pricing'!$F175&gt;='2. GRI Pricing Inputs'!$H$33,'3. GRI Pricing'!$F175&lt;='2. GRI Pricing Inputs'!$I$33),'2. GRI Pricing Inputs'!$H$32,IF(AND('3. GRI Pricing'!$F175&gt;='2. GRI Pricing Inputs'!$J$33,'3. GRI Pricing'!$F175&lt;='2. GRI Pricing Inputs'!$K$33),'2. GRI Pricing Inputs'!$J$32,IF(AND('3. GRI Pricing'!$F175&gt;='2. GRI Pricing Inputs'!$L$33,'3. GRI Pricing'!$F175&lt;='2. GRI Pricing Inputs'!$M$33),'2. GRI Pricing Inputs'!$L$32,IF(AND('3. GRI Pricing'!$F175&gt;='2. GRI Pricing Inputs'!$N$33,'3. GRI Pricing'!$F175&lt;='2. GRI Pricing Inputs'!$O$33),'2. GRI Pricing Inputs'!$N$32,IF(AND('3. GRI Pricing'!$F175&gt;='2. GRI Pricing Inputs'!$P$33,'3. GRI Pricing'!$F175&lt;='2. GRI Pricing Inputs'!$Q$33),'2. GRI Pricing Inputs'!$P$32,IF(AND('3. GRI Pricing'!$F175&gt;='2. GRI Pricing Inputs'!$R$33,'3. GRI Pricing'!$F175&lt;='2. GRI Pricing Inputs'!$S$33),'2. GRI Pricing Inputs'!$R$32,IF(AND('3. GRI Pricing'!$F175&gt;='2. GRI Pricing Inputs'!$T$33,'3. GRI Pricing'!$F175&lt;='2. GRI Pricing Inputs'!$U$33),'2. GRI Pricing Inputs'!$T$32,IF(AND('3. GRI Pricing'!$F175&gt;='2. GRI Pricing Inputs'!$V$33,'3. GRI Pricing'!$F175&lt;='2. GRI Pricing Inputs'!$W$33),'2. GRI Pricing Inputs'!$V$32,IF(AND('3. GRI Pricing'!$F175&gt;='2. GRI Pricing Inputs'!$X$33,'3. GRI Pricing'!$F175&lt;='2. GRI Pricing Inputs'!$Y$33),'2. GRI Pricing Inputs'!$X$32,IF(AND('3. GRI Pricing'!$F175&gt;='2. GRI Pricing Inputs'!$Z$33,'3. GRI Pricing'!$F175&lt;='2. GRI Pricing Inputs'!$AA$33),'2. GRI Pricing Inputs'!$Z$32,IF(AND('3. GRI Pricing'!$F175&gt;='2. GRI Pricing Inputs'!$AB$33,'3. GRI Pricing'!$F175&lt;='2. GRI Pricing Inputs'!$AC$33),'2. GRI Pricing Inputs'!$AB$32,IF(AND('3. GRI Pricing'!$F175&gt;='2. GRI Pricing Inputs'!$AD$33,'3. GRI Pricing'!$F175&lt;='2. GRI Pricing Inputs'!$AE$33),'2. GRI Pricing Inputs'!$AD$32,IF(AND('3. GRI Pricing'!$F175&gt;='2. GRI Pricing Inputs'!$AF$33,'3. GRI Pricing'!$F175&lt;='2. GRI Pricing Inputs'!$AG$33),'2. GRI Pricing Inputs'!$AF$32,IF(AND('3. GRI Pricing'!$F175&gt;='2. GRI Pricing Inputs'!$AH$33,'3. GRI Pricing'!$F175&lt;='2. GRI Pricing Inputs'!$AI$33),'2. GRI Pricing Inputs'!$AH$32,0))))))))))))))))</f>
        <v>4</v>
      </c>
      <c r="N175" s="273" cm="1">
        <f t="array" ref="N175">IFERROR(INDEX('2. GRI Pricing Inputs'!$C$32:$AI$39,MATCH('3. GRI Pricing'!D175,'2. GRI Pricing Inputs'!$C$32:$C$39,0),(MATCH('3. GRI Pricing'!M175,'2. GRI Pricing Inputs'!$D$32:$AI$32,0)+1)),0)</f>
        <v>0</v>
      </c>
      <c r="O175" s="273">
        <f>IFERROR(INDEX('2. GRI Pricing Inputs'!$C$45:$AI$46,MATCH($O$16,'2. GRI Pricing Inputs'!$C$45:$C$46,0),MATCH(G175,'2. GRI Pricing Inputs'!$C$45:$AI$45,0)),0)</f>
        <v>90</v>
      </c>
      <c r="P175" s="273">
        <f>IFERROR(INDEX('2. GRI Pricing Inputs'!$C$53:$AI$54,MATCH('3. GRI Pricing'!$P$16,'2. GRI Pricing Inputs'!$C$53:$C$54,0),MATCH('3. GRI Pricing'!H175,'2. GRI Pricing Inputs'!$C$53:$AI$53,0)),0)</f>
        <v>60</v>
      </c>
      <c r="Q175" s="273">
        <f>IFERROR(INDEX('2. GRI Pricing Inputs'!$C$60:$AI$61,MATCH('3. GRI Pricing'!$Q$16,'2. GRI Pricing Inputs'!$C$60:$C$61,0),MATCH('1. Accomodation'!T179,'2. GRI Pricing Inputs'!$C$60:$AI$60,0)),0)</f>
        <v>0</v>
      </c>
      <c r="R175" s="273">
        <f>IFERROR(INDEX('2. GRI Pricing Inputs'!$C$67:$AI$68,MATCH('3. GRI Pricing'!$R$16,'2. GRI Pricing Inputs'!$C$67:$C$68,0),MATCH('1. Accomodation'!U179,'2. GRI Pricing Inputs'!$C$67:$AI$67,0)),0)</f>
        <v>10</v>
      </c>
      <c r="S175" s="273">
        <f>IF(D175=0,0,'2. GRI Pricing Inputs'!$AI$75)</f>
        <v>70</v>
      </c>
      <c r="T175" s="273">
        <f>IFERROR(INDEX('2. GRI Pricing Inputs'!$C$82:$AI$83,MATCH('3. GRI Pricing'!$T$16,'2. GRI Pricing Inputs'!$C$82:$C$83,0),MATCH('1. Accomodation'!V179,'2. GRI Pricing Inputs'!$C$82:$AI$82,0)),0)</f>
        <v>-50</v>
      </c>
      <c r="U175" s="273">
        <f>IFERROR(INDEX('2. GRI Pricing Inputs'!$C$89:$AI$90,MATCH('3. GRI Pricing'!$U$16,'2. GRI Pricing Inputs'!$C$89:$C$90,0),MATCH('1. Accomodation'!W179,'2. GRI Pricing Inputs'!$C$89:$AI$89,0)),0)</f>
        <v>0</v>
      </c>
      <c r="V175" s="273">
        <f>IFERROR(INDEX('2. GRI Pricing Inputs'!$C$97:$AI$98,MATCH('3. GRI Pricing'!$V$16,'2. GRI Pricing Inputs'!$C$97:$C$98,0),MATCH('1. Accomodation'!X179,'2. GRI Pricing Inputs'!$C$97:$AI$97,0)),0)</f>
        <v>0</v>
      </c>
      <c r="W175" s="273">
        <f>IFERROR(INDEX('2. GRI Pricing Inputs'!$C$104:$AI$105,MATCH('3. GRI Pricing'!$W$16,'2. GRI Pricing Inputs'!$C$104:$C$105,0),MATCH('1. Accomodation'!Y179,'2. GRI Pricing Inputs'!$C$104:$AI$104,0)),0)</f>
        <v>0</v>
      </c>
      <c r="X175" s="274">
        <v>0</v>
      </c>
      <c r="Y175" s="275">
        <f t="shared" si="9"/>
        <v>1290</v>
      </c>
      <c r="Z175" s="276"/>
      <c r="AA175" s="276"/>
      <c r="AB175" s="276"/>
      <c r="AC175" s="272">
        <f>Y175*(1+'2. GRI Pricing Inputs'!$D$114)^(($AC$16-$AB$15)/365)</f>
        <v>1294.3042507148614</v>
      </c>
      <c r="AD175" s="273">
        <f>AC175*(1+'2. GRI Pricing Inputs'!$D$114)^((AD$16-AC$16)/365)</f>
        <v>1298.4833283797273</v>
      </c>
      <c r="AE175" s="273">
        <f>AD175*(1+'2. GRI Pricing Inputs'!$D$114)^((AE$16-AD$16)/365)</f>
        <v>1302.8158848095056</v>
      </c>
      <c r="AF175" s="273">
        <f>AE175*(1+'2. GRI Pricing Inputs'!$D$114)^((AF$16-AE$16)/365)</f>
        <v>1307.1628973703771</v>
      </c>
      <c r="AG175" s="273">
        <f>AF175*(1+'2. GRI Pricing Inputs'!$D$114)^((AG$16-AF$16)/365)</f>
        <v>1311.2425874700984</v>
      </c>
      <c r="AH175" s="273">
        <f>AG175*(1+'2. GRI Pricing Inputs'!$D$114)^((AH$16-AG$16)/365)</f>
        <v>1315.6177168069007</v>
      </c>
      <c r="AI175" s="273">
        <f>AH175*(1+'2. GRI Pricing Inputs'!$D$114)^((AI$16-AH$16)/365)</f>
        <v>1319.8656118538133</v>
      </c>
      <c r="AJ175" s="273">
        <f>AI175*(1+'2. GRI Pricing Inputs'!$D$114)^((AJ$16-AI$16)/365)</f>
        <v>1324.2695130191953</v>
      </c>
      <c r="AK175" s="273">
        <f>AJ175*(1+'2. GRI Pricing Inputs'!$D$114)^((AK$16-AJ$16)/365)</f>
        <v>1328.5453431735541</v>
      </c>
      <c r="AL175" s="273">
        <f>AK175*(1+'2. GRI Pricing Inputs'!$D$114)^((AL$16-AK$16)/365)</f>
        <v>1332.9782053774925</v>
      </c>
      <c r="AM175" s="273">
        <f>AL175*(1+'2. GRI Pricing Inputs'!$D$114)^((AM$16-AL$16)/365)</f>
        <v>1337.4258583956248</v>
      </c>
      <c r="AN175" s="273">
        <f>AM175*(1+'2. GRI Pricing Inputs'!$D$114)^((AN$16-AM$16)/365)</f>
        <v>1341.7441680435675</v>
      </c>
      <c r="AO175" s="273">
        <f>AN175*(1+'2. GRI Pricing Inputs'!$D$114)^((AO$16-AN$16)/365)</f>
        <v>1346.2210698222207</v>
      </c>
    </row>
    <row r="176" spans="3:41" ht="12" x14ac:dyDescent="0.2">
      <c r="C176" s="76" t="str">
        <f>'1. Accomodation'!N180</f>
        <v>704S</v>
      </c>
      <c r="D176" s="69" t="str">
        <f>'1. Accomodation'!P180</f>
        <v>3 Bed</v>
      </c>
      <c r="E176" s="69">
        <f>'1. Accomodation'!Q180</f>
        <v>3</v>
      </c>
      <c r="F176" s="77">
        <f>'1. Accomodation'!O180</f>
        <v>753</v>
      </c>
      <c r="G176" s="69">
        <f>'1. Accomodation'!R180</f>
        <v>7</v>
      </c>
      <c r="H176" s="69" t="str">
        <f>'1. Accomodation'!S180</f>
        <v>River- Full</v>
      </c>
      <c r="I176" s="62"/>
      <c r="K176" s="272">
        <f>IFERROR(INDEX('2. GRI Pricing Inputs'!$C$15:$AI$16,MATCH($K$16,'2. GRI Pricing Inputs'!$C$15:$C$16,0),MATCH(D176,'2. GRI Pricing Inputs'!$C$15:$AI$15,0)),0)</f>
        <v>1485</v>
      </c>
      <c r="L176" s="273">
        <f>IFERROR(INDEX('2. GRI Pricing Inputs'!$C$22:$AI$23,MATCH($L$16,'2. GRI Pricing Inputs'!$C$22:$C$23,0),MATCH(E176,'2. GRI Pricing Inputs'!$C$22:$AI$22,0)),0)</f>
        <v>0</v>
      </c>
      <c r="M176" s="328">
        <f>IF(AND('3. GRI Pricing'!$F176&gt;='2. GRI Pricing Inputs'!$D$33,'3. GRI Pricing'!$F176&lt;='2. GRI Pricing Inputs'!$E$33),'2. GRI Pricing Inputs'!$D$32,IF(AND('3. GRI Pricing'!$F176&gt;='2. GRI Pricing Inputs'!$F$33,'3. GRI Pricing'!$F176&lt;='2. GRI Pricing Inputs'!$G$33),'2. GRI Pricing Inputs'!$F$32,IF(AND('3. GRI Pricing'!$F176&gt;='2. GRI Pricing Inputs'!$H$33,'3. GRI Pricing'!$F176&lt;='2. GRI Pricing Inputs'!$I$33),'2. GRI Pricing Inputs'!$H$32,IF(AND('3. GRI Pricing'!$F176&gt;='2. GRI Pricing Inputs'!$J$33,'3. GRI Pricing'!$F176&lt;='2. GRI Pricing Inputs'!$K$33),'2. GRI Pricing Inputs'!$J$32,IF(AND('3. GRI Pricing'!$F176&gt;='2. GRI Pricing Inputs'!$L$33,'3. GRI Pricing'!$F176&lt;='2. GRI Pricing Inputs'!$M$33),'2. GRI Pricing Inputs'!$L$32,IF(AND('3. GRI Pricing'!$F176&gt;='2. GRI Pricing Inputs'!$N$33,'3. GRI Pricing'!$F176&lt;='2. GRI Pricing Inputs'!$O$33),'2. GRI Pricing Inputs'!$N$32,IF(AND('3. GRI Pricing'!$F176&gt;='2. GRI Pricing Inputs'!$P$33,'3. GRI Pricing'!$F176&lt;='2. GRI Pricing Inputs'!$Q$33),'2. GRI Pricing Inputs'!$P$32,IF(AND('3. GRI Pricing'!$F176&gt;='2. GRI Pricing Inputs'!$R$33,'3. GRI Pricing'!$F176&lt;='2. GRI Pricing Inputs'!$S$33),'2. GRI Pricing Inputs'!$R$32,IF(AND('3. GRI Pricing'!$F176&gt;='2. GRI Pricing Inputs'!$T$33,'3. GRI Pricing'!$F176&lt;='2. GRI Pricing Inputs'!$U$33),'2. GRI Pricing Inputs'!$T$32,IF(AND('3. GRI Pricing'!$F176&gt;='2. GRI Pricing Inputs'!$V$33,'3. GRI Pricing'!$F176&lt;='2. GRI Pricing Inputs'!$W$33),'2. GRI Pricing Inputs'!$V$32,IF(AND('3. GRI Pricing'!$F176&gt;='2. GRI Pricing Inputs'!$X$33,'3. GRI Pricing'!$F176&lt;='2. GRI Pricing Inputs'!$Y$33),'2. GRI Pricing Inputs'!$X$32,IF(AND('3. GRI Pricing'!$F176&gt;='2. GRI Pricing Inputs'!$Z$33,'3. GRI Pricing'!$F176&lt;='2. GRI Pricing Inputs'!$AA$33),'2. GRI Pricing Inputs'!$Z$32,IF(AND('3. GRI Pricing'!$F176&gt;='2. GRI Pricing Inputs'!$AB$33,'3. GRI Pricing'!$F176&lt;='2. GRI Pricing Inputs'!$AC$33),'2. GRI Pricing Inputs'!$AB$32,IF(AND('3. GRI Pricing'!$F176&gt;='2. GRI Pricing Inputs'!$AD$33,'3. GRI Pricing'!$F176&lt;='2. GRI Pricing Inputs'!$AE$33),'2. GRI Pricing Inputs'!$AD$32,IF(AND('3. GRI Pricing'!$F176&gt;='2. GRI Pricing Inputs'!$AF$33,'3. GRI Pricing'!$F176&lt;='2. GRI Pricing Inputs'!$AG$33),'2. GRI Pricing Inputs'!$AF$32,IF(AND('3. GRI Pricing'!$F176&gt;='2. GRI Pricing Inputs'!$AH$33,'3. GRI Pricing'!$F176&lt;='2. GRI Pricing Inputs'!$AI$33),'2. GRI Pricing Inputs'!$AH$32,0))))))))))))))))</f>
        <v>0</v>
      </c>
      <c r="N176" s="273" cm="1">
        <f t="array" ref="N176">IFERROR(INDEX('2. GRI Pricing Inputs'!$C$32:$AI$39,MATCH('3. GRI Pricing'!D176,'2. GRI Pricing Inputs'!$C$32:$C$39,0),(MATCH('3. GRI Pricing'!M176,'2. GRI Pricing Inputs'!$D$32:$AI$32,0)+1)),0)</f>
        <v>0</v>
      </c>
      <c r="O176" s="273">
        <f>IFERROR(INDEX('2. GRI Pricing Inputs'!$C$45:$AI$46,MATCH($O$16,'2. GRI Pricing Inputs'!$C$45:$C$46,0),MATCH(G176,'2. GRI Pricing Inputs'!$C$45:$AI$45,0)),0)</f>
        <v>90</v>
      </c>
      <c r="P176" s="273">
        <f>IFERROR(INDEX('2. GRI Pricing Inputs'!$C$53:$AI$54,MATCH('3. GRI Pricing'!$P$16,'2. GRI Pricing Inputs'!$C$53:$C$54,0),MATCH('3. GRI Pricing'!H176,'2. GRI Pricing Inputs'!$C$53:$AI$53,0)),0)</f>
        <v>60</v>
      </c>
      <c r="Q176" s="273">
        <f>IFERROR(INDEX('2. GRI Pricing Inputs'!$C$60:$AI$61,MATCH('3. GRI Pricing'!$Q$16,'2. GRI Pricing Inputs'!$C$60:$C$61,0),MATCH('1. Accomodation'!T180,'2. GRI Pricing Inputs'!$C$60:$AI$60,0)),0)</f>
        <v>0</v>
      </c>
      <c r="R176" s="273">
        <f>IFERROR(INDEX('2. GRI Pricing Inputs'!$C$67:$AI$68,MATCH('3. GRI Pricing'!$R$16,'2. GRI Pricing Inputs'!$C$67:$C$68,0),MATCH('1. Accomodation'!U180,'2. GRI Pricing Inputs'!$C$67:$AI$67,0)),0)</f>
        <v>10</v>
      </c>
      <c r="S176" s="273">
        <f>IF(D176=0,0,'2. GRI Pricing Inputs'!$AI$75)</f>
        <v>70</v>
      </c>
      <c r="T176" s="273">
        <f>IFERROR(INDEX('2. GRI Pricing Inputs'!$C$82:$AI$83,MATCH('3. GRI Pricing'!$T$16,'2. GRI Pricing Inputs'!$C$82:$C$83,0),MATCH('1. Accomodation'!V180,'2. GRI Pricing Inputs'!$C$82:$AI$82,0)),0)</f>
        <v>-50</v>
      </c>
      <c r="U176" s="273">
        <f>IFERROR(INDEX('2. GRI Pricing Inputs'!$C$89:$AI$90,MATCH('3. GRI Pricing'!$U$16,'2. GRI Pricing Inputs'!$C$89:$C$90,0),MATCH('1. Accomodation'!W180,'2. GRI Pricing Inputs'!$C$89:$AI$89,0)),0)</f>
        <v>0</v>
      </c>
      <c r="V176" s="273">
        <f>IFERROR(INDEX('2. GRI Pricing Inputs'!$C$97:$AI$98,MATCH('3. GRI Pricing'!$V$16,'2. GRI Pricing Inputs'!$C$97:$C$98,0),MATCH('1. Accomodation'!X180,'2. GRI Pricing Inputs'!$C$97:$AI$97,0)),0)</f>
        <v>0</v>
      </c>
      <c r="W176" s="273">
        <f>IFERROR(INDEX('2. GRI Pricing Inputs'!$C$104:$AI$105,MATCH('3. GRI Pricing'!$W$16,'2. GRI Pricing Inputs'!$C$104:$C$105,0),MATCH('1. Accomodation'!Y180,'2. GRI Pricing Inputs'!$C$104:$AI$104,0)),0)</f>
        <v>0</v>
      </c>
      <c r="X176" s="274">
        <v>0</v>
      </c>
      <c r="Y176" s="275">
        <f t="shared" si="9"/>
        <v>1665</v>
      </c>
      <c r="Z176" s="276"/>
      <c r="AA176" s="276"/>
      <c r="AB176" s="276"/>
      <c r="AC176" s="272">
        <f>Y176*(1+'2. GRI Pricing Inputs'!$D$114)^(($AC$16-$AB$15)/365)</f>
        <v>1670.5554863877862</v>
      </c>
      <c r="AD176" s="273">
        <f>AC176*(1+'2. GRI Pricing Inputs'!$D$114)^((AD$16-AC$16)/365)</f>
        <v>1675.9494122110434</v>
      </c>
      <c r="AE176" s="273">
        <f>AD176*(1+'2. GRI Pricing Inputs'!$D$114)^((AE$16-AD$16)/365)</f>
        <v>1681.5414327192457</v>
      </c>
      <c r="AF176" s="273">
        <f>AE176*(1+'2. GRI Pricing Inputs'!$D$114)^((AF$16-AE$16)/365)</f>
        <v>1687.152111722231</v>
      </c>
      <c r="AG176" s="273">
        <f>AF176*(1+'2. GRI Pricing Inputs'!$D$114)^((AG$16-AF$16)/365)</f>
        <v>1692.4177582462898</v>
      </c>
      <c r="AH176" s="273">
        <f>AG176*(1+'2. GRI Pricing Inputs'!$D$114)^((AH$16-AG$16)/365)</f>
        <v>1698.0647275065812</v>
      </c>
      <c r="AI176" s="273">
        <f>AH176*(1+'2. GRI Pricing Inputs'!$D$114)^((AI$16-AH$16)/365)</f>
        <v>1703.5474757648058</v>
      </c>
      <c r="AJ176" s="273">
        <f>AI176*(1+'2. GRI Pricing Inputs'!$D$114)^((AJ$16-AI$16)/365)</f>
        <v>1709.2315807573339</v>
      </c>
      <c r="AK176" s="273">
        <f>AJ176*(1+'2. GRI Pricing Inputs'!$D$114)^((AK$16-AJ$16)/365)</f>
        <v>1714.7503847937737</v>
      </c>
      <c r="AL176" s="273">
        <f>AK176*(1+'2. GRI Pricing Inputs'!$D$114)^((AL$16-AK$16)/365)</f>
        <v>1720.4718697314152</v>
      </c>
      <c r="AM176" s="273">
        <f>AL176*(1+'2. GRI Pricing Inputs'!$D$114)^((AM$16-AL$16)/365)</f>
        <v>1726.2124451385396</v>
      </c>
      <c r="AN176" s="273">
        <f>AM176*(1+'2. GRI Pricing Inputs'!$D$114)^((AN$16-AM$16)/365)</f>
        <v>1731.7860773585587</v>
      </c>
      <c r="AO176" s="273">
        <f>AN176*(1+'2. GRI Pricing Inputs'!$D$114)^((AO$16-AN$16)/365)</f>
        <v>1737.5644040728671</v>
      </c>
    </row>
    <row r="177" spans="3:41" ht="12" x14ac:dyDescent="0.2">
      <c r="C177" s="76" t="str">
        <f>'1. Accomodation'!N181</f>
        <v>705S</v>
      </c>
      <c r="D177" s="69" t="str">
        <f>'1. Accomodation'!P181</f>
        <v>2 Bed</v>
      </c>
      <c r="E177" s="69">
        <f>'1. Accomodation'!Q181</f>
        <v>2</v>
      </c>
      <c r="F177" s="77">
        <f>'1. Accomodation'!O181</f>
        <v>689</v>
      </c>
      <c r="G177" s="69">
        <f>'1. Accomodation'!R181</f>
        <v>7</v>
      </c>
      <c r="H177" s="69" t="str">
        <f>'1. Accomodation'!S181</f>
        <v>Cityscape</v>
      </c>
      <c r="I177" s="62"/>
      <c r="K177" s="272">
        <f>IFERROR(INDEX('2. GRI Pricing Inputs'!$C$15:$AI$16,MATCH($K$16,'2. GRI Pricing Inputs'!$C$15:$C$16,0),MATCH(D177,'2. GRI Pricing Inputs'!$C$15:$AI$15,0)),0)</f>
        <v>1110</v>
      </c>
      <c r="L177" s="273">
        <f>IFERROR(INDEX('2. GRI Pricing Inputs'!$C$22:$AI$23,MATCH($L$16,'2. GRI Pricing Inputs'!$C$22:$C$23,0),MATCH(E177,'2. GRI Pricing Inputs'!$C$22:$AI$22,0)),0)</f>
        <v>0</v>
      </c>
      <c r="M177" s="328">
        <f>IF(AND('3. GRI Pricing'!$F177&gt;='2. GRI Pricing Inputs'!$D$33,'3. GRI Pricing'!$F177&lt;='2. GRI Pricing Inputs'!$E$33),'2. GRI Pricing Inputs'!$D$32,IF(AND('3. GRI Pricing'!$F177&gt;='2. GRI Pricing Inputs'!$F$33,'3. GRI Pricing'!$F177&lt;='2. GRI Pricing Inputs'!$G$33),'2. GRI Pricing Inputs'!$F$32,IF(AND('3. GRI Pricing'!$F177&gt;='2. GRI Pricing Inputs'!$H$33,'3. GRI Pricing'!$F177&lt;='2. GRI Pricing Inputs'!$I$33),'2. GRI Pricing Inputs'!$H$32,IF(AND('3. GRI Pricing'!$F177&gt;='2. GRI Pricing Inputs'!$J$33,'3. GRI Pricing'!$F177&lt;='2. GRI Pricing Inputs'!$K$33),'2. GRI Pricing Inputs'!$J$32,IF(AND('3. GRI Pricing'!$F177&gt;='2. GRI Pricing Inputs'!$L$33,'3. GRI Pricing'!$F177&lt;='2. GRI Pricing Inputs'!$M$33),'2. GRI Pricing Inputs'!$L$32,IF(AND('3. GRI Pricing'!$F177&gt;='2. GRI Pricing Inputs'!$N$33,'3. GRI Pricing'!$F177&lt;='2. GRI Pricing Inputs'!$O$33),'2. GRI Pricing Inputs'!$N$32,IF(AND('3. GRI Pricing'!$F177&gt;='2. GRI Pricing Inputs'!$P$33,'3. GRI Pricing'!$F177&lt;='2. GRI Pricing Inputs'!$Q$33),'2. GRI Pricing Inputs'!$P$32,IF(AND('3. GRI Pricing'!$F177&gt;='2. GRI Pricing Inputs'!$R$33,'3. GRI Pricing'!$F177&lt;='2. GRI Pricing Inputs'!$S$33),'2. GRI Pricing Inputs'!$R$32,IF(AND('3. GRI Pricing'!$F177&gt;='2. GRI Pricing Inputs'!$T$33,'3. GRI Pricing'!$F177&lt;='2. GRI Pricing Inputs'!$U$33),'2. GRI Pricing Inputs'!$T$32,IF(AND('3. GRI Pricing'!$F177&gt;='2. GRI Pricing Inputs'!$V$33,'3. GRI Pricing'!$F177&lt;='2. GRI Pricing Inputs'!$W$33),'2. GRI Pricing Inputs'!$V$32,IF(AND('3. GRI Pricing'!$F177&gt;='2. GRI Pricing Inputs'!$X$33,'3. GRI Pricing'!$F177&lt;='2. GRI Pricing Inputs'!$Y$33),'2. GRI Pricing Inputs'!$X$32,IF(AND('3. GRI Pricing'!$F177&gt;='2. GRI Pricing Inputs'!$Z$33,'3. GRI Pricing'!$F177&lt;='2. GRI Pricing Inputs'!$AA$33),'2. GRI Pricing Inputs'!$Z$32,IF(AND('3. GRI Pricing'!$F177&gt;='2. GRI Pricing Inputs'!$AB$33,'3. GRI Pricing'!$F177&lt;='2. GRI Pricing Inputs'!$AC$33),'2. GRI Pricing Inputs'!$AB$32,IF(AND('3. GRI Pricing'!$F177&gt;='2. GRI Pricing Inputs'!$AD$33,'3. GRI Pricing'!$F177&lt;='2. GRI Pricing Inputs'!$AE$33),'2. GRI Pricing Inputs'!$AD$32,IF(AND('3. GRI Pricing'!$F177&gt;='2. GRI Pricing Inputs'!$AF$33,'3. GRI Pricing'!$F177&lt;='2. GRI Pricing Inputs'!$AG$33),'2. GRI Pricing Inputs'!$AF$32,IF(AND('3. GRI Pricing'!$F177&gt;='2. GRI Pricing Inputs'!$AH$33,'3. GRI Pricing'!$F177&lt;='2. GRI Pricing Inputs'!$AI$33),'2. GRI Pricing Inputs'!$AH$32,0))))))))))))))))</f>
        <v>11</v>
      </c>
      <c r="N177" s="273" cm="1">
        <f t="array" ref="N177">IFERROR(INDEX('2. GRI Pricing Inputs'!$C$32:$AI$39,MATCH('3. GRI Pricing'!D177,'2. GRI Pricing Inputs'!$C$32:$C$39,0),(MATCH('3. GRI Pricing'!M177,'2. GRI Pricing Inputs'!$D$32:$AI$32,0)+1)),0)</f>
        <v>65</v>
      </c>
      <c r="O177" s="273">
        <f>IFERROR(INDEX('2. GRI Pricing Inputs'!$C$45:$AI$46,MATCH($O$16,'2. GRI Pricing Inputs'!$C$45:$C$46,0),MATCH(G177,'2. GRI Pricing Inputs'!$C$45:$AI$45,0)),0)</f>
        <v>90</v>
      </c>
      <c r="P177" s="273">
        <f>IFERROR(INDEX('2. GRI Pricing Inputs'!$C$53:$AI$54,MATCH('3. GRI Pricing'!$P$16,'2. GRI Pricing Inputs'!$C$53:$C$54,0),MATCH('3. GRI Pricing'!H177,'2. GRI Pricing Inputs'!$C$53:$AI$53,0)),0)</f>
        <v>35</v>
      </c>
      <c r="Q177" s="273">
        <f>IFERROR(INDEX('2. GRI Pricing Inputs'!$C$60:$AI$61,MATCH('3. GRI Pricing'!$Q$16,'2. GRI Pricing Inputs'!$C$60:$C$61,0),MATCH('1. Accomodation'!T181,'2. GRI Pricing Inputs'!$C$60:$AI$60,0)),0)</f>
        <v>0</v>
      </c>
      <c r="R177" s="273">
        <f>IFERROR(INDEX('2. GRI Pricing Inputs'!$C$67:$AI$68,MATCH('3. GRI Pricing'!$R$16,'2. GRI Pricing Inputs'!$C$67:$C$68,0),MATCH('1. Accomodation'!U181,'2. GRI Pricing Inputs'!$C$67:$AI$67,0)),0)</f>
        <v>0</v>
      </c>
      <c r="S177" s="273">
        <f>IF(D177=0,0,'2. GRI Pricing Inputs'!$AI$75)</f>
        <v>70</v>
      </c>
      <c r="T177" s="273">
        <f>IFERROR(INDEX('2. GRI Pricing Inputs'!$C$82:$AI$83,MATCH('3. GRI Pricing'!$T$16,'2. GRI Pricing Inputs'!$C$82:$C$83,0),MATCH('1. Accomodation'!V181,'2. GRI Pricing Inputs'!$C$82:$AI$82,0)),0)</f>
        <v>-50</v>
      </c>
      <c r="U177" s="273">
        <f>IFERROR(INDEX('2. GRI Pricing Inputs'!$C$89:$AI$90,MATCH('3. GRI Pricing'!$U$16,'2. GRI Pricing Inputs'!$C$89:$C$90,0),MATCH('1. Accomodation'!W181,'2. GRI Pricing Inputs'!$C$89:$AI$89,0)),0)</f>
        <v>0</v>
      </c>
      <c r="V177" s="273">
        <f>IFERROR(INDEX('2. GRI Pricing Inputs'!$C$97:$AI$98,MATCH('3. GRI Pricing'!$V$16,'2. GRI Pricing Inputs'!$C$97:$C$98,0),MATCH('1. Accomodation'!X181,'2. GRI Pricing Inputs'!$C$97:$AI$97,0)),0)</f>
        <v>0</v>
      </c>
      <c r="W177" s="273">
        <f>IFERROR(INDEX('2. GRI Pricing Inputs'!$C$104:$AI$105,MATCH('3. GRI Pricing'!$W$16,'2. GRI Pricing Inputs'!$C$104:$C$105,0),MATCH('1. Accomodation'!Y181,'2. GRI Pricing Inputs'!$C$104:$AI$104,0)),0)</f>
        <v>0</v>
      </c>
      <c r="X177" s="274">
        <v>0</v>
      </c>
      <c r="Y177" s="275">
        <f t="shared" si="9"/>
        <v>1320</v>
      </c>
      <c r="Z177" s="276"/>
      <c r="AA177" s="276"/>
      <c r="AB177" s="276"/>
      <c r="AC177" s="272">
        <f>Y177*(1+'2. GRI Pricing Inputs'!$D$114)^(($AC$16-$AB$15)/365)</f>
        <v>1324.4043495686954</v>
      </c>
      <c r="AD177" s="273">
        <f>AC177*(1+'2. GRI Pricing Inputs'!$D$114)^((AD$16-AC$16)/365)</f>
        <v>1328.6806150862326</v>
      </c>
      <c r="AE177" s="273">
        <f>AD177*(1+'2. GRI Pricing Inputs'!$D$114)^((AE$16-AD$16)/365)</f>
        <v>1333.1139286422849</v>
      </c>
      <c r="AF177" s="273">
        <f>AE177*(1+'2. GRI Pricing Inputs'!$D$114)^((AF$16-AE$16)/365)</f>
        <v>1337.5620345185255</v>
      </c>
      <c r="AG177" s="273">
        <f>AF177*(1+'2. GRI Pricing Inputs'!$D$114)^((AG$16-AF$16)/365)</f>
        <v>1341.7366011321938</v>
      </c>
      <c r="AH177" s="273">
        <f>AG177*(1+'2. GRI Pricing Inputs'!$D$114)^((AH$16-AG$16)/365)</f>
        <v>1346.2134776628752</v>
      </c>
      <c r="AI177" s="273">
        <f>AH177*(1+'2. GRI Pricing Inputs'!$D$114)^((AI$16-AH$16)/365)</f>
        <v>1350.5601609666928</v>
      </c>
      <c r="AJ177" s="273">
        <f>AI177*(1+'2. GRI Pricing Inputs'!$D$114)^((AJ$16-AI$16)/365)</f>
        <v>1355.0664784382466</v>
      </c>
      <c r="AK177" s="273">
        <f>AJ177*(1+'2. GRI Pricing Inputs'!$D$114)^((AK$16-AJ$16)/365)</f>
        <v>1359.441746503172</v>
      </c>
      <c r="AL177" s="273">
        <f>AK177*(1+'2. GRI Pricing Inputs'!$D$114)^((AL$16-AK$16)/365)</f>
        <v>1363.9776985258068</v>
      </c>
      <c r="AM177" s="273">
        <f>AL177*(1+'2. GRI Pricing Inputs'!$D$114)^((AM$16-AL$16)/365)</f>
        <v>1368.5287853350585</v>
      </c>
      <c r="AN177" s="273">
        <f>AM177*(1+'2. GRI Pricing Inputs'!$D$114)^((AN$16-AM$16)/365)</f>
        <v>1372.9475207887674</v>
      </c>
      <c r="AO177" s="273">
        <f>AN177*(1+'2. GRI Pricing Inputs'!$D$114)^((AO$16-AN$16)/365)</f>
        <v>1377.5285365622731</v>
      </c>
    </row>
    <row r="178" spans="3:41" ht="12" x14ac:dyDescent="0.2">
      <c r="C178" s="76" t="str">
        <f>'1. Accomodation'!N182</f>
        <v>706S</v>
      </c>
      <c r="D178" s="69" t="str">
        <f>'1. Accomodation'!P182</f>
        <v>1 Bed</v>
      </c>
      <c r="E178" s="69">
        <f>'1. Accomodation'!Q182</f>
        <v>1</v>
      </c>
      <c r="F178" s="77">
        <f>'1. Accomodation'!O182</f>
        <v>484</v>
      </c>
      <c r="G178" s="69">
        <f>'1. Accomodation'!R182</f>
        <v>7</v>
      </c>
      <c r="H178" s="69" t="str">
        <f>'1. Accomodation'!S182</f>
        <v>Cityscape</v>
      </c>
      <c r="I178" s="62"/>
      <c r="K178" s="272">
        <f>IFERROR(INDEX('2. GRI Pricing Inputs'!$C$15:$AI$16,MATCH($K$16,'2. GRI Pricing Inputs'!$C$15:$C$16,0),MATCH(D178,'2. GRI Pricing Inputs'!$C$15:$AI$15,0)),0)</f>
        <v>845</v>
      </c>
      <c r="L178" s="273">
        <f>IFERROR(INDEX('2. GRI Pricing Inputs'!$C$22:$AI$23,MATCH($L$16,'2. GRI Pricing Inputs'!$C$22:$C$23,0),MATCH(E178,'2. GRI Pricing Inputs'!$C$22:$AI$22,0)),0)</f>
        <v>0</v>
      </c>
      <c r="M178" s="328">
        <f>IF(AND('3. GRI Pricing'!$F178&gt;='2. GRI Pricing Inputs'!$D$33,'3. GRI Pricing'!$F178&lt;='2. GRI Pricing Inputs'!$E$33),'2. GRI Pricing Inputs'!$D$32,IF(AND('3. GRI Pricing'!$F178&gt;='2. GRI Pricing Inputs'!$F$33,'3. GRI Pricing'!$F178&lt;='2. GRI Pricing Inputs'!$G$33),'2. GRI Pricing Inputs'!$F$32,IF(AND('3. GRI Pricing'!$F178&gt;='2. GRI Pricing Inputs'!$H$33,'3. GRI Pricing'!$F178&lt;='2. GRI Pricing Inputs'!$I$33),'2. GRI Pricing Inputs'!$H$32,IF(AND('3. GRI Pricing'!$F178&gt;='2. GRI Pricing Inputs'!$J$33,'3. GRI Pricing'!$F178&lt;='2. GRI Pricing Inputs'!$K$33),'2. GRI Pricing Inputs'!$J$32,IF(AND('3. GRI Pricing'!$F178&gt;='2. GRI Pricing Inputs'!$L$33,'3. GRI Pricing'!$F178&lt;='2. GRI Pricing Inputs'!$M$33),'2. GRI Pricing Inputs'!$L$32,IF(AND('3. GRI Pricing'!$F178&gt;='2. GRI Pricing Inputs'!$N$33,'3. GRI Pricing'!$F178&lt;='2. GRI Pricing Inputs'!$O$33),'2. GRI Pricing Inputs'!$N$32,IF(AND('3. GRI Pricing'!$F178&gt;='2. GRI Pricing Inputs'!$P$33,'3. GRI Pricing'!$F178&lt;='2. GRI Pricing Inputs'!$Q$33),'2. GRI Pricing Inputs'!$P$32,IF(AND('3. GRI Pricing'!$F178&gt;='2. GRI Pricing Inputs'!$R$33,'3. GRI Pricing'!$F178&lt;='2. GRI Pricing Inputs'!$S$33),'2. GRI Pricing Inputs'!$R$32,IF(AND('3. GRI Pricing'!$F178&gt;='2. GRI Pricing Inputs'!$T$33,'3. GRI Pricing'!$F178&lt;='2. GRI Pricing Inputs'!$U$33),'2. GRI Pricing Inputs'!$T$32,IF(AND('3. GRI Pricing'!$F178&gt;='2. GRI Pricing Inputs'!$V$33,'3. GRI Pricing'!$F178&lt;='2. GRI Pricing Inputs'!$W$33),'2. GRI Pricing Inputs'!$V$32,IF(AND('3. GRI Pricing'!$F178&gt;='2. GRI Pricing Inputs'!$X$33,'3. GRI Pricing'!$F178&lt;='2. GRI Pricing Inputs'!$Y$33),'2. GRI Pricing Inputs'!$X$32,IF(AND('3. GRI Pricing'!$F178&gt;='2. GRI Pricing Inputs'!$Z$33,'3. GRI Pricing'!$F178&lt;='2. GRI Pricing Inputs'!$AA$33),'2. GRI Pricing Inputs'!$Z$32,IF(AND('3. GRI Pricing'!$F178&gt;='2. GRI Pricing Inputs'!$AB$33,'3. GRI Pricing'!$F178&lt;='2. GRI Pricing Inputs'!$AC$33),'2. GRI Pricing Inputs'!$AB$32,IF(AND('3. GRI Pricing'!$F178&gt;='2. GRI Pricing Inputs'!$AD$33,'3. GRI Pricing'!$F178&lt;='2. GRI Pricing Inputs'!$AE$33),'2. GRI Pricing Inputs'!$AD$32,IF(AND('3. GRI Pricing'!$F178&gt;='2. GRI Pricing Inputs'!$AF$33,'3. GRI Pricing'!$F178&lt;='2. GRI Pricing Inputs'!$AG$33),'2. GRI Pricing Inputs'!$AF$32,IF(AND('3. GRI Pricing'!$F178&gt;='2. GRI Pricing Inputs'!$AH$33,'3. GRI Pricing'!$F178&lt;='2. GRI Pricing Inputs'!$AI$33),'2. GRI Pricing Inputs'!$AH$32,0))))))))))))))))</f>
        <v>1</v>
      </c>
      <c r="N178" s="273" cm="1">
        <f t="array" ref="N178">IFERROR(INDEX('2. GRI Pricing Inputs'!$C$32:$AI$39,MATCH('3. GRI Pricing'!D178,'2. GRI Pricing Inputs'!$C$32:$C$39,0),(MATCH('3. GRI Pricing'!M178,'2. GRI Pricing Inputs'!$D$32:$AI$32,0)+1)),0)</f>
        <v>10</v>
      </c>
      <c r="O178" s="273">
        <f>IFERROR(INDEX('2. GRI Pricing Inputs'!$C$45:$AI$46,MATCH($O$16,'2. GRI Pricing Inputs'!$C$45:$C$46,0),MATCH(G178,'2. GRI Pricing Inputs'!$C$45:$AI$45,0)),0)</f>
        <v>90</v>
      </c>
      <c r="P178" s="273">
        <f>IFERROR(INDEX('2. GRI Pricing Inputs'!$C$53:$AI$54,MATCH('3. GRI Pricing'!$P$16,'2. GRI Pricing Inputs'!$C$53:$C$54,0),MATCH('3. GRI Pricing'!H178,'2. GRI Pricing Inputs'!$C$53:$AI$53,0)),0)</f>
        <v>35</v>
      </c>
      <c r="Q178" s="273">
        <f>IFERROR(INDEX('2. GRI Pricing Inputs'!$C$60:$AI$61,MATCH('3. GRI Pricing'!$Q$16,'2. GRI Pricing Inputs'!$C$60:$C$61,0),MATCH('1. Accomodation'!T182,'2. GRI Pricing Inputs'!$C$60:$AI$60,0)),0)</f>
        <v>0</v>
      </c>
      <c r="R178" s="273">
        <f>IFERROR(INDEX('2. GRI Pricing Inputs'!$C$67:$AI$68,MATCH('3. GRI Pricing'!$R$16,'2. GRI Pricing Inputs'!$C$67:$C$68,0),MATCH('1. Accomodation'!U182,'2. GRI Pricing Inputs'!$C$67:$AI$67,0)),0)</f>
        <v>0</v>
      </c>
      <c r="S178" s="273">
        <f>IF(D178=0,0,'2. GRI Pricing Inputs'!$AI$75)</f>
        <v>70</v>
      </c>
      <c r="T178" s="273">
        <f>IFERROR(INDEX('2. GRI Pricing Inputs'!$C$82:$AI$83,MATCH('3. GRI Pricing'!$T$16,'2. GRI Pricing Inputs'!$C$82:$C$83,0),MATCH('1. Accomodation'!V182,'2. GRI Pricing Inputs'!$C$82:$AI$82,0)),0)</f>
        <v>-50</v>
      </c>
      <c r="U178" s="273">
        <f>IFERROR(INDEX('2. GRI Pricing Inputs'!$C$89:$AI$90,MATCH('3. GRI Pricing'!$U$16,'2. GRI Pricing Inputs'!$C$89:$C$90,0),MATCH('1. Accomodation'!W182,'2. GRI Pricing Inputs'!$C$89:$AI$89,0)),0)</f>
        <v>0</v>
      </c>
      <c r="V178" s="273">
        <f>IFERROR(INDEX('2. GRI Pricing Inputs'!$C$97:$AI$98,MATCH('3. GRI Pricing'!$V$16,'2. GRI Pricing Inputs'!$C$97:$C$98,0),MATCH('1. Accomodation'!X182,'2. GRI Pricing Inputs'!$C$97:$AI$97,0)),0)</f>
        <v>0</v>
      </c>
      <c r="W178" s="273">
        <f>IFERROR(INDEX('2. GRI Pricing Inputs'!$C$104:$AI$105,MATCH('3. GRI Pricing'!$W$16,'2. GRI Pricing Inputs'!$C$104:$C$105,0),MATCH('1. Accomodation'!Y182,'2. GRI Pricing Inputs'!$C$104:$AI$104,0)),0)</f>
        <v>0</v>
      </c>
      <c r="X178" s="274">
        <v>0</v>
      </c>
      <c r="Y178" s="275">
        <f t="shared" si="9"/>
        <v>1000</v>
      </c>
      <c r="Z178" s="276"/>
      <c r="AA178" s="276"/>
      <c r="AB178" s="276"/>
      <c r="AC178" s="272">
        <f>Y178*(1+'2. GRI Pricing Inputs'!$D$114)^(($AC$16-$AB$15)/365)</f>
        <v>1003.3366284611329</v>
      </c>
      <c r="AD178" s="273">
        <f>AC178*(1+'2. GRI Pricing Inputs'!$D$114)^((AD$16-AC$16)/365)</f>
        <v>1006.5762235501763</v>
      </c>
      <c r="AE178" s="273">
        <f>AD178*(1+'2. GRI Pricing Inputs'!$D$114)^((AE$16-AD$16)/365)</f>
        <v>1009.9347944259736</v>
      </c>
      <c r="AF178" s="273">
        <f>AE178*(1+'2. GRI Pricing Inputs'!$D$114)^((AF$16-AE$16)/365)</f>
        <v>1013.3045716049437</v>
      </c>
      <c r="AG178" s="273">
        <f>AF178*(1+'2. GRI Pricing Inputs'!$D$114)^((AG$16-AF$16)/365)</f>
        <v>1016.467122069844</v>
      </c>
      <c r="AH178" s="273">
        <f>AG178*(1+'2. GRI Pricing Inputs'!$D$114)^((AH$16-AG$16)/365)</f>
        <v>1019.8586951991481</v>
      </c>
      <c r="AI178" s="273">
        <f>AH178*(1+'2. GRI Pricing Inputs'!$D$114)^((AI$16-AH$16)/365)</f>
        <v>1023.1516370959796</v>
      </c>
      <c r="AJ178" s="273">
        <f>AI178*(1+'2. GRI Pricing Inputs'!$D$114)^((AJ$16-AI$16)/365)</f>
        <v>1026.5655139683688</v>
      </c>
      <c r="AK178" s="273">
        <f>AJ178*(1+'2. GRI Pricing Inputs'!$D$114)^((AK$16-AJ$16)/365)</f>
        <v>1029.8801109872516</v>
      </c>
      <c r="AL178" s="273">
        <f>AK178*(1+'2. GRI Pricing Inputs'!$D$114)^((AL$16-AK$16)/365)</f>
        <v>1033.3164382771263</v>
      </c>
      <c r="AM178" s="273">
        <f>AL178*(1+'2. GRI Pricing Inputs'!$D$114)^((AM$16-AL$16)/365)</f>
        <v>1036.7642313144383</v>
      </c>
      <c r="AN178" s="273">
        <f>AM178*(1+'2. GRI Pricing Inputs'!$D$114)^((AN$16-AM$16)/365)</f>
        <v>1040.1117581733088</v>
      </c>
      <c r="AO178" s="273">
        <f>AN178*(1+'2. GRI Pricing Inputs'!$D$114)^((AO$16-AN$16)/365)</f>
        <v>1043.5822246683888</v>
      </c>
    </row>
    <row r="179" spans="3:41" ht="12" x14ac:dyDescent="0.2">
      <c r="C179" s="76" t="str">
        <f>'1. Accomodation'!N183</f>
        <v>707S</v>
      </c>
      <c r="D179" s="69" t="str">
        <f>'1. Accomodation'!P183</f>
        <v>2 Bed</v>
      </c>
      <c r="E179" s="69">
        <f>'1. Accomodation'!Q183</f>
        <v>2</v>
      </c>
      <c r="F179" s="77">
        <f>'1. Accomodation'!O183</f>
        <v>624</v>
      </c>
      <c r="G179" s="69">
        <f>'1. Accomodation'!R183</f>
        <v>7</v>
      </c>
      <c r="H179" s="69" t="str">
        <f>'1. Accomodation'!S183</f>
        <v>Cityscape</v>
      </c>
      <c r="I179" s="62"/>
      <c r="K179" s="272">
        <f>IFERROR(INDEX('2. GRI Pricing Inputs'!$C$15:$AI$16,MATCH($K$16,'2. GRI Pricing Inputs'!$C$15:$C$16,0),MATCH(D179,'2. GRI Pricing Inputs'!$C$15:$AI$15,0)),0)</f>
        <v>1110</v>
      </c>
      <c r="L179" s="273">
        <f>IFERROR(INDEX('2. GRI Pricing Inputs'!$C$22:$AI$23,MATCH($L$16,'2. GRI Pricing Inputs'!$C$22:$C$23,0),MATCH(E179,'2. GRI Pricing Inputs'!$C$22:$AI$22,0)),0)</f>
        <v>0</v>
      </c>
      <c r="M179" s="328">
        <f>IF(AND('3. GRI Pricing'!$F179&gt;='2. GRI Pricing Inputs'!$D$33,'3. GRI Pricing'!$F179&lt;='2. GRI Pricing Inputs'!$E$33),'2. GRI Pricing Inputs'!$D$32,IF(AND('3. GRI Pricing'!$F179&gt;='2. GRI Pricing Inputs'!$F$33,'3. GRI Pricing'!$F179&lt;='2. GRI Pricing Inputs'!$G$33),'2. GRI Pricing Inputs'!$F$32,IF(AND('3. GRI Pricing'!$F179&gt;='2. GRI Pricing Inputs'!$H$33,'3. GRI Pricing'!$F179&lt;='2. GRI Pricing Inputs'!$I$33),'2. GRI Pricing Inputs'!$H$32,IF(AND('3. GRI Pricing'!$F179&gt;='2. GRI Pricing Inputs'!$J$33,'3. GRI Pricing'!$F179&lt;='2. GRI Pricing Inputs'!$K$33),'2. GRI Pricing Inputs'!$J$32,IF(AND('3. GRI Pricing'!$F179&gt;='2. GRI Pricing Inputs'!$L$33,'3. GRI Pricing'!$F179&lt;='2. GRI Pricing Inputs'!$M$33),'2. GRI Pricing Inputs'!$L$32,IF(AND('3. GRI Pricing'!$F179&gt;='2. GRI Pricing Inputs'!$N$33,'3. GRI Pricing'!$F179&lt;='2. GRI Pricing Inputs'!$O$33),'2. GRI Pricing Inputs'!$N$32,IF(AND('3. GRI Pricing'!$F179&gt;='2. GRI Pricing Inputs'!$P$33,'3. GRI Pricing'!$F179&lt;='2. GRI Pricing Inputs'!$Q$33),'2. GRI Pricing Inputs'!$P$32,IF(AND('3. GRI Pricing'!$F179&gt;='2. GRI Pricing Inputs'!$R$33,'3. GRI Pricing'!$F179&lt;='2. GRI Pricing Inputs'!$S$33),'2. GRI Pricing Inputs'!$R$32,IF(AND('3. GRI Pricing'!$F179&gt;='2. GRI Pricing Inputs'!$T$33,'3. GRI Pricing'!$F179&lt;='2. GRI Pricing Inputs'!$U$33),'2. GRI Pricing Inputs'!$T$32,IF(AND('3. GRI Pricing'!$F179&gt;='2. GRI Pricing Inputs'!$V$33,'3. GRI Pricing'!$F179&lt;='2. GRI Pricing Inputs'!$W$33),'2. GRI Pricing Inputs'!$V$32,IF(AND('3. GRI Pricing'!$F179&gt;='2. GRI Pricing Inputs'!$X$33,'3. GRI Pricing'!$F179&lt;='2. GRI Pricing Inputs'!$Y$33),'2. GRI Pricing Inputs'!$X$32,IF(AND('3. GRI Pricing'!$F179&gt;='2. GRI Pricing Inputs'!$Z$33,'3. GRI Pricing'!$F179&lt;='2. GRI Pricing Inputs'!$AA$33),'2. GRI Pricing Inputs'!$Z$32,IF(AND('3. GRI Pricing'!$F179&gt;='2. GRI Pricing Inputs'!$AB$33,'3. GRI Pricing'!$F179&lt;='2. GRI Pricing Inputs'!$AC$33),'2. GRI Pricing Inputs'!$AB$32,IF(AND('3. GRI Pricing'!$F179&gt;='2. GRI Pricing Inputs'!$AD$33,'3. GRI Pricing'!$F179&lt;='2. GRI Pricing Inputs'!$AE$33),'2. GRI Pricing Inputs'!$AD$32,IF(AND('3. GRI Pricing'!$F179&gt;='2. GRI Pricing Inputs'!$AF$33,'3. GRI Pricing'!$F179&lt;='2. GRI Pricing Inputs'!$AG$33),'2. GRI Pricing Inputs'!$AF$32,IF(AND('3. GRI Pricing'!$F179&gt;='2. GRI Pricing Inputs'!$AH$33,'3. GRI Pricing'!$F179&lt;='2. GRI Pricing Inputs'!$AI$33),'2. GRI Pricing Inputs'!$AH$32,0))))))))))))))))</f>
        <v>7</v>
      </c>
      <c r="N179" s="273" cm="1">
        <f t="array" ref="N179">IFERROR(INDEX('2. GRI Pricing Inputs'!$C$32:$AI$39,MATCH('3. GRI Pricing'!D179,'2. GRI Pricing Inputs'!$C$32:$C$39,0),(MATCH('3. GRI Pricing'!M179,'2. GRI Pricing Inputs'!$D$32:$AI$32,0)+1)),0)</f>
        <v>10</v>
      </c>
      <c r="O179" s="273">
        <f>IFERROR(INDEX('2. GRI Pricing Inputs'!$C$45:$AI$46,MATCH($O$16,'2. GRI Pricing Inputs'!$C$45:$C$46,0),MATCH(G179,'2. GRI Pricing Inputs'!$C$45:$AI$45,0)),0)</f>
        <v>90</v>
      </c>
      <c r="P179" s="273">
        <f>IFERROR(INDEX('2. GRI Pricing Inputs'!$C$53:$AI$54,MATCH('3. GRI Pricing'!$P$16,'2. GRI Pricing Inputs'!$C$53:$C$54,0),MATCH('3. GRI Pricing'!H179,'2. GRI Pricing Inputs'!$C$53:$AI$53,0)),0)</f>
        <v>35</v>
      </c>
      <c r="Q179" s="273">
        <f>IFERROR(INDEX('2. GRI Pricing Inputs'!$C$60:$AI$61,MATCH('3. GRI Pricing'!$Q$16,'2. GRI Pricing Inputs'!$C$60:$C$61,0),MATCH('1. Accomodation'!T183,'2. GRI Pricing Inputs'!$C$60:$AI$60,0)),0)</f>
        <v>0</v>
      </c>
      <c r="R179" s="273">
        <f>IFERROR(INDEX('2. GRI Pricing Inputs'!$C$67:$AI$68,MATCH('3. GRI Pricing'!$R$16,'2. GRI Pricing Inputs'!$C$67:$C$68,0),MATCH('1. Accomodation'!U183,'2. GRI Pricing Inputs'!$C$67:$AI$67,0)),0)</f>
        <v>0</v>
      </c>
      <c r="S179" s="273">
        <f>IF(D179=0,0,'2. GRI Pricing Inputs'!$AI$75)</f>
        <v>70</v>
      </c>
      <c r="T179" s="273">
        <f>IFERROR(INDEX('2. GRI Pricing Inputs'!$C$82:$AI$83,MATCH('3. GRI Pricing'!$T$16,'2. GRI Pricing Inputs'!$C$82:$C$83,0),MATCH('1. Accomodation'!V183,'2. GRI Pricing Inputs'!$C$82:$AI$82,0)),0)</f>
        <v>-50</v>
      </c>
      <c r="U179" s="273">
        <f>IFERROR(INDEX('2. GRI Pricing Inputs'!$C$89:$AI$90,MATCH('3. GRI Pricing'!$U$16,'2. GRI Pricing Inputs'!$C$89:$C$90,0),MATCH('1. Accomodation'!W183,'2. GRI Pricing Inputs'!$C$89:$AI$89,0)),0)</f>
        <v>0</v>
      </c>
      <c r="V179" s="273">
        <f>IFERROR(INDEX('2. GRI Pricing Inputs'!$C$97:$AI$98,MATCH('3. GRI Pricing'!$V$16,'2. GRI Pricing Inputs'!$C$97:$C$98,0),MATCH('1. Accomodation'!X183,'2. GRI Pricing Inputs'!$C$97:$AI$97,0)),0)</f>
        <v>0</v>
      </c>
      <c r="W179" s="273">
        <f>IFERROR(INDEX('2. GRI Pricing Inputs'!$C$104:$AI$105,MATCH('3. GRI Pricing'!$W$16,'2. GRI Pricing Inputs'!$C$104:$C$105,0),MATCH('1. Accomodation'!Y183,'2. GRI Pricing Inputs'!$C$104:$AI$104,0)),0)</f>
        <v>0</v>
      </c>
      <c r="X179" s="274">
        <v>0</v>
      </c>
      <c r="Y179" s="275">
        <f t="shared" si="9"/>
        <v>1265</v>
      </c>
      <c r="Z179" s="276"/>
      <c r="AA179" s="276"/>
      <c r="AB179" s="276"/>
      <c r="AC179" s="272">
        <f>Y179*(1+'2. GRI Pricing Inputs'!$D$114)^(($AC$16-$AB$15)/365)</f>
        <v>1269.2208350033331</v>
      </c>
      <c r="AD179" s="273">
        <f>AC179*(1+'2. GRI Pricing Inputs'!$D$114)^((AD$16-AC$16)/365)</f>
        <v>1273.3189227909729</v>
      </c>
      <c r="AE179" s="273">
        <f>AD179*(1+'2. GRI Pricing Inputs'!$D$114)^((AE$16-AD$16)/365)</f>
        <v>1277.5675149488563</v>
      </c>
      <c r="AF179" s="273">
        <f>AE179*(1+'2. GRI Pricing Inputs'!$D$114)^((AF$16-AE$16)/365)</f>
        <v>1281.8302830802536</v>
      </c>
      <c r="AG179" s="273">
        <f>AF179*(1+'2. GRI Pricing Inputs'!$D$114)^((AG$16-AF$16)/365)</f>
        <v>1285.8309094183523</v>
      </c>
      <c r="AH179" s="273">
        <f>AG179*(1+'2. GRI Pricing Inputs'!$D$114)^((AH$16-AG$16)/365)</f>
        <v>1290.1212494269221</v>
      </c>
      <c r="AI179" s="273">
        <f>AH179*(1+'2. GRI Pricing Inputs'!$D$114)^((AI$16-AH$16)/365)</f>
        <v>1294.2868209264138</v>
      </c>
      <c r="AJ179" s="273">
        <f>AI179*(1+'2. GRI Pricing Inputs'!$D$114)^((AJ$16-AI$16)/365)</f>
        <v>1298.6053751699862</v>
      </c>
      <c r="AK179" s="273">
        <f>AJ179*(1+'2. GRI Pricing Inputs'!$D$114)^((AK$16-AJ$16)/365)</f>
        <v>1302.7983403988731</v>
      </c>
      <c r="AL179" s="273">
        <f>AK179*(1+'2. GRI Pricing Inputs'!$D$114)^((AL$16-AK$16)/365)</f>
        <v>1307.1452944205646</v>
      </c>
      <c r="AM179" s="273">
        <f>AL179*(1+'2. GRI Pricing Inputs'!$D$114)^((AM$16-AL$16)/365)</f>
        <v>1311.5067526127643</v>
      </c>
      <c r="AN179" s="273">
        <f>AM179*(1+'2. GRI Pricing Inputs'!$D$114)^((AN$16-AM$16)/365)</f>
        <v>1315.7413740892353</v>
      </c>
      <c r="AO179" s="273">
        <f>AN179*(1+'2. GRI Pricing Inputs'!$D$114)^((AO$16-AN$16)/365)</f>
        <v>1320.1315142055116</v>
      </c>
    </row>
    <row r="180" spans="3:41" ht="12" x14ac:dyDescent="0.2">
      <c r="C180" s="76" t="str">
        <f>'1. Accomodation'!N184</f>
        <v>801S</v>
      </c>
      <c r="D180" s="69" t="str">
        <f>'1. Accomodation'!P184</f>
        <v>2 Bed</v>
      </c>
      <c r="E180" s="69">
        <f>'1. Accomodation'!Q184</f>
        <v>2</v>
      </c>
      <c r="F180" s="77">
        <f>'1. Accomodation'!O184</f>
        <v>538</v>
      </c>
      <c r="G180" s="69">
        <f>'1. Accomodation'!R184</f>
        <v>8</v>
      </c>
      <c r="H180" s="69" t="str">
        <f>'1. Accomodation'!S184</f>
        <v>River- Full</v>
      </c>
      <c r="I180" s="62"/>
      <c r="K180" s="272">
        <f>IFERROR(INDEX('2. GRI Pricing Inputs'!$C$15:$AI$16,MATCH($K$16,'2. GRI Pricing Inputs'!$C$15:$C$16,0),MATCH(D180,'2. GRI Pricing Inputs'!$C$15:$AI$15,0)),0)</f>
        <v>1110</v>
      </c>
      <c r="L180" s="273">
        <f>IFERROR(INDEX('2. GRI Pricing Inputs'!$C$22:$AI$23,MATCH($L$16,'2. GRI Pricing Inputs'!$C$22:$C$23,0),MATCH(E180,'2. GRI Pricing Inputs'!$C$22:$AI$22,0)),0)</f>
        <v>0</v>
      </c>
      <c r="M180" s="328">
        <f>IF(AND('3. GRI Pricing'!$F180&gt;='2. GRI Pricing Inputs'!$D$33,'3. GRI Pricing'!$F180&lt;='2. GRI Pricing Inputs'!$E$33),'2. GRI Pricing Inputs'!$D$32,IF(AND('3. GRI Pricing'!$F180&gt;='2. GRI Pricing Inputs'!$F$33,'3. GRI Pricing'!$F180&lt;='2. GRI Pricing Inputs'!$G$33),'2. GRI Pricing Inputs'!$F$32,IF(AND('3. GRI Pricing'!$F180&gt;='2. GRI Pricing Inputs'!$H$33,'3. GRI Pricing'!$F180&lt;='2. GRI Pricing Inputs'!$I$33),'2. GRI Pricing Inputs'!$H$32,IF(AND('3. GRI Pricing'!$F180&gt;='2. GRI Pricing Inputs'!$J$33,'3. GRI Pricing'!$F180&lt;='2. GRI Pricing Inputs'!$K$33),'2. GRI Pricing Inputs'!$J$32,IF(AND('3. GRI Pricing'!$F180&gt;='2. GRI Pricing Inputs'!$L$33,'3. GRI Pricing'!$F180&lt;='2. GRI Pricing Inputs'!$M$33),'2. GRI Pricing Inputs'!$L$32,IF(AND('3. GRI Pricing'!$F180&gt;='2. GRI Pricing Inputs'!$N$33,'3. GRI Pricing'!$F180&lt;='2. GRI Pricing Inputs'!$O$33),'2. GRI Pricing Inputs'!$N$32,IF(AND('3. GRI Pricing'!$F180&gt;='2. GRI Pricing Inputs'!$P$33,'3. GRI Pricing'!$F180&lt;='2. GRI Pricing Inputs'!$Q$33),'2. GRI Pricing Inputs'!$P$32,IF(AND('3. GRI Pricing'!$F180&gt;='2. GRI Pricing Inputs'!$R$33,'3. GRI Pricing'!$F180&lt;='2. GRI Pricing Inputs'!$S$33),'2. GRI Pricing Inputs'!$R$32,IF(AND('3. GRI Pricing'!$F180&gt;='2. GRI Pricing Inputs'!$T$33,'3. GRI Pricing'!$F180&lt;='2. GRI Pricing Inputs'!$U$33),'2. GRI Pricing Inputs'!$T$32,IF(AND('3. GRI Pricing'!$F180&gt;='2. GRI Pricing Inputs'!$V$33,'3. GRI Pricing'!$F180&lt;='2. GRI Pricing Inputs'!$W$33),'2. GRI Pricing Inputs'!$V$32,IF(AND('3. GRI Pricing'!$F180&gt;='2. GRI Pricing Inputs'!$X$33,'3. GRI Pricing'!$F180&lt;='2. GRI Pricing Inputs'!$Y$33),'2. GRI Pricing Inputs'!$X$32,IF(AND('3. GRI Pricing'!$F180&gt;='2. GRI Pricing Inputs'!$Z$33,'3. GRI Pricing'!$F180&lt;='2. GRI Pricing Inputs'!$AA$33),'2. GRI Pricing Inputs'!$Z$32,IF(AND('3. GRI Pricing'!$F180&gt;='2. GRI Pricing Inputs'!$AB$33,'3. GRI Pricing'!$F180&lt;='2. GRI Pricing Inputs'!$AC$33),'2. GRI Pricing Inputs'!$AB$32,IF(AND('3. GRI Pricing'!$F180&gt;='2. GRI Pricing Inputs'!$AD$33,'3. GRI Pricing'!$F180&lt;='2. GRI Pricing Inputs'!$AE$33),'2. GRI Pricing Inputs'!$AD$32,IF(AND('3. GRI Pricing'!$F180&gt;='2. GRI Pricing Inputs'!$AF$33,'3. GRI Pricing'!$F180&lt;='2. GRI Pricing Inputs'!$AG$33),'2. GRI Pricing Inputs'!$AF$32,IF(AND('3. GRI Pricing'!$F180&gt;='2. GRI Pricing Inputs'!$AH$33,'3. GRI Pricing'!$F180&lt;='2. GRI Pricing Inputs'!$AI$33),'2. GRI Pricing Inputs'!$AH$32,0))))))))))))))))</f>
        <v>4</v>
      </c>
      <c r="N180" s="273" cm="1">
        <f t="array" ref="N180">IFERROR(INDEX('2. GRI Pricing Inputs'!$C$32:$AI$39,MATCH('3. GRI Pricing'!D180,'2. GRI Pricing Inputs'!$C$32:$C$39,0),(MATCH('3. GRI Pricing'!M180,'2. GRI Pricing Inputs'!$D$32:$AI$32,0)+1)),0)</f>
        <v>0</v>
      </c>
      <c r="O180" s="273">
        <f>IFERROR(INDEX('2. GRI Pricing Inputs'!$C$45:$AI$46,MATCH($O$16,'2. GRI Pricing Inputs'!$C$45:$C$46,0),MATCH(G180,'2. GRI Pricing Inputs'!$C$45:$AI$45,0)),0)</f>
        <v>100</v>
      </c>
      <c r="P180" s="273">
        <f>IFERROR(INDEX('2. GRI Pricing Inputs'!$C$53:$AI$54,MATCH('3. GRI Pricing'!$P$16,'2. GRI Pricing Inputs'!$C$53:$C$54,0),MATCH('3. GRI Pricing'!H180,'2. GRI Pricing Inputs'!$C$53:$AI$53,0)),0)</f>
        <v>60</v>
      </c>
      <c r="Q180" s="273">
        <f>IFERROR(INDEX('2. GRI Pricing Inputs'!$C$60:$AI$61,MATCH('3. GRI Pricing'!$Q$16,'2. GRI Pricing Inputs'!$C$60:$C$61,0),MATCH('1. Accomodation'!T184,'2. GRI Pricing Inputs'!$C$60:$AI$60,0)),0)</f>
        <v>0</v>
      </c>
      <c r="R180" s="273">
        <f>IFERROR(INDEX('2. GRI Pricing Inputs'!$C$67:$AI$68,MATCH('3. GRI Pricing'!$R$16,'2. GRI Pricing Inputs'!$C$67:$C$68,0),MATCH('1. Accomodation'!U184,'2. GRI Pricing Inputs'!$C$67:$AI$67,0)),0)</f>
        <v>20</v>
      </c>
      <c r="S180" s="273">
        <f>IF(D180=0,0,'2. GRI Pricing Inputs'!$AI$75)</f>
        <v>70</v>
      </c>
      <c r="T180" s="273">
        <f>IFERROR(INDEX('2. GRI Pricing Inputs'!$C$82:$AI$83,MATCH('3. GRI Pricing'!$T$16,'2. GRI Pricing Inputs'!$C$82:$C$83,0),MATCH('1. Accomodation'!V184,'2. GRI Pricing Inputs'!$C$82:$AI$82,0)),0)</f>
        <v>0</v>
      </c>
      <c r="U180" s="273">
        <f>IFERROR(INDEX('2. GRI Pricing Inputs'!$C$89:$AI$90,MATCH('3. GRI Pricing'!$U$16,'2. GRI Pricing Inputs'!$C$89:$C$90,0),MATCH('1. Accomodation'!W184,'2. GRI Pricing Inputs'!$C$89:$AI$89,0)),0)</f>
        <v>0</v>
      </c>
      <c r="V180" s="273">
        <f>IFERROR(INDEX('2. GRI Pricing Inputs'!$C$97:$AI$98,MATCH('3. GRI Pricing'!$V$16,'2. GRI Pricing Inputs'!$C$97:$C$98,0),MATCH('1. Accomodation'!X184,'2. GRI Pricing Inputs'!$C$97:$AI$97,0)),0)</f>
        <v>0</v>
      </c>
      <c r="W180" s="273">
        <f>IFERROR(INDEX('2. GRI Pricing Inputs'!$C$104:$AI$105,MATCH('3. GRI Pricing'!$W$16,'2. GRI Pricing Inputs'!$C$104:$C$105,0),MATCH('1. Accomodation'!Y184,'2. GRI Pricing Inputs'!$C$104:$AI$104,0)),0)</f>
        <v>0</v>
      </c>
      <c r="X180" s="274">
        <v>0</v>
      </c>
      <c r="Y180" s="275">
        <f t="shared" si="9"/>
        <v>1360</v>
      </c>
      <c r="Z180" s="276"/>
      <c r="AA180" s="276"/>
      <c r="AB180" s="276"/>
      <c r="AC180" s="272">
        <f>Y180*(1+'2. GRI Pricing Inputs'!$D$114)^(($AC$16-$AB$15)/365)</f>
        <v>1364.5378147071408</v>
      </c>
      <c r="AD180" s="273">
        <f>AC180*(1+'2. GRI Pricing Inputs'!$D$114)^((AD$16-AC$16)/365)</f>
        <v>1368.9436640282397</v>
      </c>
      <c r="AE180" s="273">
        <f>AD180*(1+'2. GRI Pricing Inputs'!$D$114)^((AE$16-AD$16)/365)</f>
        <v>1373.511320419324</v>
      </c>
      <c r="AF180" s="273">
        <f>AE180*(1+'2. GRI Pricing Inputs'!$D$114)^((AF$16-AE$16)/365)</f>
        <v>1378.0942173827234</v>
      </c>
      <c r="AG180" s="273">
        <f>AF180*(1+'2. GRI Pricing Inputs'!$D$114)^((AG$16-AF$16)/365)</f>
        <v>1382.3952860149877</v>
      </c>
      <c r="AH180" s="273">
        <f>AG180*(1+'2. GRI Pricing Inputs'!$D$114)^((AH$16-AG$16)/365)</f>
        <v>1387.0078254708412</v>
      </c>
      <c r="AI180" s="273">
        <f>AH180*(1+'2. GRI Pricing Inputs'!$D$114)^((AI$16-AH$16)/365)</f>
        <v>1391.4862264505321</v>
      </c>
      <c r="AJ180" s="273">
        <f>AI180*(1+'2. GRI Pricing Inputs'!$D$114)^((AJ$16-AI$16)/365)</f>
        <v>1396.1290989969814</v>
      </c>
      <c r="AK180" s="273">
        <f>AJ180*(1+'2. GRI Pricing Inputs'!$D$114)^((AK$16-AJ$16)/365)</f>
        <v>1400.636950942662</v>
      </c>
      <c r="AL180" s="273">
        <f>AK180*(1+'2. GRI Pricing Inputs'!$D$114)^((AL$16-AK$16)/365)</f>
        <v>1405.3103560568918</v>
      </c>
      <c r="AM180" s="273">
        <f>AL180*(1+'2. GRI Pricing Inputs'!$D$114)^((AM$16-AL$16)/365)</f>
        <v>1409.9993545876362</v>
      </c>
      <c r="AN180" s="273">
        <f>AM180*(1+'2. GRI Pricing Inputs'!$D$114)^((AN$16-AM$16)/365)</f>
        <v>1414.5519911156998</v>
      </c>
      <c r="AO180" s="273">
        <f>AN180*(1+'2. GRI Pricing Inputs'!$D$114)^((AO$16-AN$16)/365)</f>
        <v>1419.2718255490088</v>
      </c>
    </row>
    <row r="181" spans="3:41" ht="12" x14ac:dyDescent="0.2">
      <c r="C181" s="76" t="str">
        <f>'1. Accomodation'!N185</f>
        <v>802S</v>
      </c>
      <c r="D181" s="69" t="str">
        <f>'1. Accomodation'!P185</f>
        <v>2 Bed</v>
      </c>
      <c r="E181" s="69">
        <f>'1. Accomodation'!Q185</f>
        <v>2</v>
      </c>
      <c r="F181" s="77">
        <f>'1. Accomodation'!O185</f>
        <v>538</v>
      </c>
      <c r="G181" s="69">
        <f>'1. Accomodation'!R185</f>
        <v>8</v>
      </c>
      <c r="H181" s="69" t="str">
        <f>'1. Accomodation'!S185</f>
        <v>River- Full</v>
      </c>
      <c r="I181" s="62"/>
      <c r="K181" s="272">
        <f>IFERROR(INDEX('2. GRI Pricing Inputs'!$C$15:$AI$16,MATCH($K$16,'2. GRI Pricing Inputs'!$C$15:$C$16,0),MATCH(D181,'2. GRI Pricing Inputs'!$C$15:$AI$15,0)),0)</f>
        <v>1110</v>
      </c>
      <c r="L181" s="273">
        <f>IFERROR(INDEX('2. GRI Pricing Inputs'!$C$22:$AI$23,MATCH($L$16,'2. GRI Pricing Inputs'!$C$22:$C$23,0),MATCH(E181,'2. GRI Pricing Inputs'!$C$22:$AI$22,0)),0)</f>
        <v>0</v>
      </c>
      <c r="M181" s="328">
        <f>IF(AND('3. GRI Pricing'!$F181&gt;='2. GRI Pricing Inputs'!$D$33,'3. GRI Pricing'!$F181&lt;='2. GRI Pricing Inputs'!$E$33),'2. GRI Pricing Inputs'!$D$32,IF(AND('3. GRI Pricing'!$F181&gt;='2. GRI Pricing Inputs'!$F$33,'3. GRI Pricing'!$F181&lt;='2. GRI Pricing Inputs'!$G$33),'2. GRI Pricing Inputs'!$F$32,IF(AND('3. GRI Pricing'!$F181&gt;='2. GRI Pricing Inputs'!$H$33,'3. GRI Pricing'!$F181&lt;='2. GRI Pricing Inputs'!$I$33),'2. GRI Pricing Inputs'!$H$32,IF(AND('3. GRI Pricing'!$F181&gt;='2. GRI Pricing Inputs'!$J$33,'3. GRI Pricing'!$F181&lt;='2. GRI Pricing Inputs'!$K$33),'2. GRI Pricing Inputs'!$J$32,IF(AND('3. GRI Pricing'!$F181&gt;='2. GRI Pricing Inputs'!$L$33,'3. GRI Pricing'!$F181&lt;='2. GRI Pricing Inputs'!$M$33),'2. GRI Pricing Inputs'!$L$32,IF(AND('3. GRI Pricing'!$F181&gt;='2. GRI Pricing Inputs'!$N$33,'3. GRI Pricing'!$F181&lt;='2. GRI Pricing Inputs'!$O$33),'2. GRI Pricing Inputs'!$N$32,IF(AND('3. GRI Pricing'!$F181&gt;='2. GRI Pricing Inputs'!$P$33,'3. GRI Pricing'!$F181&lt;='2. GRI Pricing Inputs'!$Q$33),'2. GRI Pricing Inputs'!$P$32,IF(AND('3. GRI Pricing'!$F181&gt;='2. GRI Pricing Inputs'!$R$33,'3. GRI Pricing'!$F181&lt;='2. GRI Pricing Inputs'!$S$33),'2. GRI Pricing Inputs'!$R$32,IF(AND('3. GRI Pricing'!$F181&gt;='2. GRI Pricing Inputs'!$T$33,'3. GRI Pricing'!$F181&lt;='2. GRI Pricing Inputs'!$U$33),'2. GRI Pricing Inputs'!$T$32,IF(AND('3. GRI Pricing'!$F181&gt;='2. GRI Pricing Inputs'!$V$33,'3. GRI Pricing'!$F181&lt;='2. GRI Pricing Inputs'!$W$33),'2. GRI Pricing Inputs'!$V$32,IF(AND('3. GRI Pricing'!$F181&gt;='2. GRI Pricing Inputs'!$X$33,'3. GRI Pricing'!$F181&lt;='2. GRI Pricing Inputs'!$Y$33),'2. GRI Pricing Inputs'!$X$32,IF(AND('3. GRI Pricing'!$F181&gt;='2. GRI Pricing Inputs'!$Z$33,'3. GRI Pricing'!$F181&lt;='2. GRI Pricing Inputs'!$AA$33),'2. GRI Pricing Inputs'!$Z$32,IF(AND('3. GRI Pricing'!$F181&gt;='2. GRI Pricing Inputs'!$AB$33,'3. GRI Pricing'!$F181&lt;='2. GRI Pricing Inputs'!$AC$33),'2. GRI Pricing Inputs'!$AB$32,IF(AND('3. GRI Pricing'!$F181&gt;='2. GRI Pricing Inputs'!$AD$33,'3. GRI Pricing'!$F181&lt;='2. GRI Pricing Inputs'!$AE$33),'2. GRI Pricing Inputs'!$AD$32,IF(AND('3. GRI Pricing'!$F181&gt;='2. GRI Pricing Inputs'!$AF$33,'3. GRI Pricing'!$F181&lt;='2. GRI Pricing Inputs'!$AG$33),'2. GRI Pricing Inputs'!$AF$32,IF(AND('3. GRI Pricing'!$F181&gt;='2. GRI Pricing Inputs'!$AH$33,'3. GRI Pricing'!$F181&lt;='2. GRI Pricing Inputs'!$AI$33),'2. GRI Pricing Inputs'!$AH$32,0))))))))))))))))</f>
        <v>4</v>
      </c>
      <c r="N181" s="273" cm="1">
        <f t="array" ref="N181">IFERROR(INDEX('2. GRI Pricing Inputs'!$C$32:$AI$39,MATCH('3. GRI Pricing'!D181,'2. GRI Pricing Inputs'!$C$32:$C$39,0),(MATCH('3. GRI Pricing'!M181,'2. GRI Pricing Inputs'!$D$32:$AI$32,0)+1)),0)</f>
        <v>0</v>
      </c>
      <c r="O181" s="273">
        <f>IFERROR(INDEX('2. GRI Pricing Inputs'!$C$45:$AI$46,MATCH($O$16,'2. GRI Pricing Inputs'!$C$45:$C$46,0),MATCH(G181,'2. GRI Pricing Inputs'!$C$45:$AI$45,0)),0)</f>
        <v>100</v>
      </c>
      <c r="P181" s="273">
        <f>IFERROR(INDEX('2. GRI Pricing Inputs'!$C$53:$AI$54,MATCH('3. GRI Pricing'!$P$16,'2. GRI Pricing Inputs'!$C$53:$C$54,0),MATCH('3. GRI Pricing'!H181,'2. GRI Pricing Inputs'!$C$53:$AI$53,0)),0)</f>
        <v>60</v>
      </c>
      <c r="Q181" s="273">
        <f>IFERROR(INDEX('2. GRI Pricing Inputs'!$C$60:$AI$61,MATCH('3. GRI Pricing'!$Q$16,'2. GRI Pricing Inputs'!$C$60:$C$61,0),MATCH('1. Accomodation'!T185,'2. GRI Pricing Inputs'!$C$60:$AI$60,0)),0)</f>
        <v>0</v>
      </c>
      <c r="R181" s="273">
        <f>IFERROR(INDEX('2. GRI Pricing Inputs'!$C$67:$AI$68,MATCH('3. GRI Pricing'!$R$16,'2. GRI Pricing Inputs'!$C$67:$C$68,0),MATCH('1. Accomodation'!U185,'2. GRI Pricing Inputs'!$C$67:$AI$67,0)),0)</f>
        <v>20</v>
      </c>
      <c r="S181" s="273">
        <f>IF(D181=0,0,'2. GRI Pricing Inputs'!$AI$75)</f>
        <v>70</v>
      </c>
      <c r="T181" s="273">
        <f>IFERROR(INDEX('2. GRI Pricing Inputs'!$C$82:$AI$83,MATCH('3. GRI Pricing'!$T$16,'2. GRI Pricing Inputs'!$C$82:$C$83,0),MATCH('1. Accomodation'!V185,'2. GRI Pricing Inputs'!$C$82:$AI$82,0)),0)</f>
        <v>0</v>
      </c>
      <c r="U181" s="273">
        <f>IFERROR(INDEX('2. GRI Pricing Inputs'!$C$89:$AI$90,MATCH('3. GRI Pricing'!$U$16,'2. GRI Pricing Inputs'!$C$89:$C$90,0),MATCH('1. Accomodation'!W185,'2. GRI Pricing Inputs'!$C$89:$AI$89,0)),0)</f>
        <v>0</v>
      </c>
      <c r="V181" s="273">
        <f>IFERROR(INDEX('2. GRI Pricing Inputs'!$C$97:$AI$98,MATCH('3. GRI Pricing'!$V$16,'2. GRI Pricing Inputs'!$C$97:$C$98,0),MATCH('1. Accomodation'!X185,'2. GRI Pricing Inputs'!$C$97:$AI$97,0)),0)</f>
        <v>0</v>
      </c>
      <c r="W181" s="273">
        <f>IFERROR(INDEX('2. GRI Pricing Inputs'!$C$104:$AI$105,MATCH('3. GRI Pricing'!$W$16,'2. GRI Pricing Inputs'!$C$104:$C$105,0),MATCH('1. Accomodation'!Y185,'2. GRI Pricing Inputs'!$C$104:$AI$104,0)),0)</f>
        <v>0</v>
      </c>
      <c r="X181" s="274">
        <v>0</v>
      </c>
      <c r="Y181" s="275">
        <f t="shared" si="9"/>
        <v>1360</v>
      </c>
      <c r="Z181" s="276"/>
      <c r="AA181" s="276"/>
      <c r="AB181" s="276"/>
      <c r="AC181" s="272">
        <f>Y181*(1+'2. GRI Pricing Inputs'!$D$114)^(($AC$16-$AB$15)/365)</f>
        <v>1364.5378147071408</v>
      </c>
      <c r="AD181" s="273">
        <f>AC181*(1+'2. GRI Pricing Inputs'!$D$114)^((AD$16-AC$16)/365)</f>
        <v>1368.9436640282397</v>
      </c>
      <c r="AE181" s="273">
        <f>AD181*(1+'2. GRI Pricing Inputs'!$D$114)^((AE$16-AD$16)/365)</f>
        <v>1373.511320419324</v>
      </c>
      <c r="AF181" s="273">
        <f>AE181*(1+'2. GRI Pricing Inputs'!$D$114)^((AF$16-AE$16)/365)</f>
        <v>1378.0942173827234</v>
      </c>
      <c r="AG181" s="273">
        <f>AF181*(1+'2. GRI Pricing Inputs'!$D$114)^((AG$16-AF$16)/365)</f>
        <v>1382.3952860149877</v>
      </c>
      <c r="AH181" s="273">
        <f>AG181*(1+'2. GRI Pricing Inputs'!$D$114)^((AH$16-AG$16)/365)</f>
        <v>1387.0078254708412</v>
      </c>
      <c r="AI181" s="273">
        <f>AH181*(1+'2. GRI Pricing Inputs'!$D$114)^((AI$16-AH$16)/365)</f>
        <v>1391.4862264505321</v>
      </c>
      <c r="AJ181" s="273">
        <f>AI181*(1+'2. GRI Pricing Inputs'!$D$114)^((AJ$16-AI$16)/365)</f>
        <v>1396.1290989969814</v>
      </c>
      <c r="AK181" s="273">
        <f>AJ181*(1+'2. GRI Pricing Inputs'!$D$114)^((AK$16-AJ$16)/365)</f>
        <v>1400.636950942662</v>
      </c>
      <c r="AL181" s="273">
        <f>AK181*(1+'2. GRI Pricing Inputs'!$D$114)^((AL$16-AK$16)/365)</f>
        <v>1405.3103560568918</v>
      </c>
      <c r="AM181" s="273">
        <f>AL181*(1+'2. GRI Pricing Inputs'!$D$114)^((AM$16-AL$16)/365)</f>
        <v>1409.9993545876362</v>
      </c>
      <c r="AN181" s="273">
        <f>AM181*(1+'2. GRI Pricing Inputs'!$D$114)^((AN$16-AM$16)/365)</f>
        <v>1414.5519911156998</v>
      </c>
      <c r="AO181" s="273">
        <f>AN181*(1+'2. GRI Pricing Inputs'!$D$114)^((AO$16-AN$16)/365)</f>
        <v>1419.2718255490088</v>
      </c>
    </row>
    <row r="182" spans="3:41" ht="12" x14ac:dyDescent="0.2">
      <c r="C182" s="76" t="str">
        <f>'1. Accomodation'!N186</f>
        <v>803S</v>
      </c>
      <c r="D182" s="69" t="str">
        <f>'1. Accomodation'!P186</f>
        <v>2 Bed</v>
      </c>
      <c r="E182" s="69">
        <f>'1. Accomodation'!Q186</f>
        <v>2</v>
      </c>
      <c r="F182" s="77">
        <f>'1. Accomodation'!O186</f>
        <v>549</v>
      </c>
      <c r="G182" s="69">
        <f>'1. Accomodation'!R186</f>
        <v>8</v>
      </c>
      <c r="H182" s="69" t="str">
        <f>'1. Accomodation'!S186</f>
        <v>River- Full</v>
      </c>
      <c r="I182" s="62"/>
      <c r="K182" s="272">
        <f>IFERROR(INDEX('2. GRI Pricing Inputs'!$C$15:$AI$16,MATCH($K$16,'2. GRI Pricing Inputs'!$C$15:$C$16,0),MATCH(D182,'2. GRI Pricing Inputs'!$C$15:$AI$15,0)),0)</f>
        <v>1110</v>
      </c>
      <c r="L182" s="273">
        <f>IFERROR(INDEX('2. GRI Pricing Inputs'!$C$22:$AI$23,MATCH($L$16,'2. GRI Pricing Inputs'!$C$22:$C$23,0),MATCH(E182,'2. GRI Pricing Inputs'!$C$22:$AI$22,0)),0)</f>
        <v>0</v>
      </c>
      <c r="M182" s="328">
        <f>IF(AND('3. GRI Pricing'!$F182&gt;='2. GRI Pricing Inputs'!$D$33,'3. GRI Pricing'!$F182&lt;='2. GRI Pricing Inputs'!$E$33),'2. GRI Pricing Inputs'!$D$32,IF(AND('3. GRI Pricing'!$F182&gt;='2. GRI Pricing Inputs'!$F$33,'3. GRI Pricing'!$F182&lt;='2. GRI Pricing Inputs'!$G$33),'2. GRI Pricing Inputs'!$F$32,IF(AND('3. GRI Pricing'!$F182&gt;='2. GRI Pricing Inputs'!$H$33,'3. GRI Pricing'!$F182&lt;='2. GRI Pricing Inputs'!$I$33),'2. GRI Pricing Inputs'!$H$32,IF(AND('3. GRI Pricing'!$F182&gt;='2. GRI Pricing Inputs'!$J$33,'3. GRI Pricing'!$F182&lt;='2. GRI Pricing Inputs'!$K$33),'2. GRI Pricing Inputs'!$J$32,IF(AND('3. GRI Pricing'!$F182&gt;='2. GRI Pricing Inputs'!$L$33,'3. GRI Pricing'!$F182&lt;='2. GRI Pricing Inputs'!$M$33),'2. GRI Pricing Inputs'!$L$32,IF(AND('3. GRI Pricing'!$F182&gt;='2. GRI Pricing Inputs'!$N$33,'3. GRI Pricing'!$F182&lt;='2. GRI Pricing Inputs'!$O$33),'2. GRI Pricing Inputs'!$N$32,IF(AND('3. GRI Pricing'!$F182&gt;='2. GRI Pricing Inputs'!$P$33,'3. GRI Pricing'!$F182&lt;='2. GRI Pricing Inputs'!$Q$33),'2. GRI Pricing Inputs'!$P$32,IF(AND('3. GRI Pricing'!$F182&gt;='2. GRI Pricing Inputs'!$R$33,'3. GRI Pricing'!$F182&lt;='2. GRI Pricing Inputs'!$S$33),'2. GRI Pricing Inputs'!$R$32,IF(AND('3. GRI Pricing'!$F182&gt;='2. GRI Pricing Inputs'!$T$33,'3. GRI Pricing'!$F182&lt;='2. GRI Pricing Inputs'!$U$33),'2. GRI Pricing Inputs'!$T$32,IF(AND('3. GRI Pricing'!$F182&gt;='2. GRI Pricing Inputs'!$V$33,'3. GRI Pricing'!$F182&lt;='2. GRI Pricing Inputs'!$W$33),'2. GRI Pricing Inputs'!$V$32,IF(AND('3. GRI Pricing'!$F182&gt;='2. GRI Pricing Inputs'!$X$33,'3. GRI Pricing'!$F182&lt;='2. GRI Pricing Inputs'!$Y$33),'2. GRI Pricing Inputs'!$X$32,IF(AND('3. GRI Pricing'!$F182&gt;='2. GRI Pricing Inputs'!$Z$33,'3. GRI Pricing'!$F182&lt;='2. GRI Pricing Inputs'!$AA$33),'2. GRI Pricing Inputs'!$Z$32,IF(AND('3. GRI Pricing'!$F182&gt;='2. GRI Pricing Inputs'!$AB$33,'3. GRI Pricing'!$F182&lt;='2. GRI Pricing Inputs'!$AC$33),'2. GRI Pricing Inputs'!$AB$32,IF(AND('3. GRI Pricing'!$F182&gt;='2. GRI Pricing Inputs'!$AD$33,'3. GRI Pricing'!$F182&lt;='2. GRI Pricing Inputs'!$AE$33),'2. GRI Pricing Inputs'!$AD$32,IF(AND('3. GRI Pricing'!$F182&gt;='2. GRI Pricing Inputs'!$AF$33,'3. GRI Pricing'!$F182&lt;='2. GRI Pricing Inputs'!$AG$33),'2. GRI Pricing Inputs'!$AF$32,IF(AND('3. GRI Pricing'!$F182&gt;='2. GRI Pricing Inputs'!$AH$33,'3. GRI Pricing'!$F182&lt;='2. GRI Pricing Inputs'!$AI$33),'2. GRI Pricing Inputs'!$AH$32,0))))))))))))))))</f>
        <v>4</v>
      </c>
      <c r="N182" s="273" cm="1">
        <f t="array" ref="N182">IFERROR(INDEX('2. GRI Pricing Inputs'!$C$32:$AI$39,MATCH('3. GRI Pricing'!D182,'2. GRI Pricing Inputs'!$C$32:$C$39,0),(MATCH('3. GRI Pricing'!M182,'2. GRI Pricing Inputs'!$D$32:$AI$32,0)+1)),0)</f>
        <v>0</v>
      </c>
      <c r="O182" s="273">
        <f>IFERROR(INDEX('2. GRI Pricing Inputs'!$C$45:$AI$46,MATCH($O$16,'2. GRI Pricing Inputs'!$C$45:$C$46,0),MATCH(G182,'2. GRI Pricing Inputs'!$C$45:$AI$45,0)),0)</f>
        <v>100</v>
      </c>
      <c r="P182" s="273">
        <f>IFERROR(INDEX('2. GRI Pricing Inputs'!$C$53:$AI$54,MATCH('3. GRI Pricing'!$P$16,'2. GRI Pricing Inputs'!$C$53:$C$54,0),MATCH('3. GRI Pricing'!H182,'2. GRI Pricing Inputs'!$C$53:$AI$53,0)),0)</f>
        <v>60</v>
      </c>
      <c r="Q182" s="273">
        <f>IFERROR(INDEX('2. GRI Pricing Inputs'!$C$60:$AI$61,MATCH('3. GRI Pricing'!$Q$16,'2. GRI Pricing Inputs'!$C$60:$C$61,0),MATCH('1. Accomodation'!T186,'2. GRI Pricing Inputs'!$C$60:$AI$60,0)),0)</f>
        <v>0</v>
      </c>
      <c r="R182" s="273">
        <f>IFERROR(INDEX('2. GRI Pricing Inputs'!$C$67:$AI$68,MATCH('3. GRI Pricing'!$R$16,'2. GRI Pricing Inputs'!$C$67:$C$68,0),MATCH('1. Accomodation'!U186,'2. GRI Pricing Inputs'!$C$67:$AI$67,0)),0)</f>
        <v>20</v>
      </c>
      <c r="S182" s="273">
        <f>IF(D182=0,0,'2. GRI Pricing Inputs'!$AI$75)</f>
        <v>70</v>
      </c>
      <c r="T182" s="273">
        <f>IFERROR(INDEX('2. GRI Pricing Inputs'!$C$82:$AI$83,MATCH('3. GRI Pricing'!$T$16,'2. GRI Pricing Inputs'!$C$82:$C$83,0),MATCH('1. Accomodation'!V186,'2. GRI Pricing Inputs'!$C$82:$AI$82,0)),0)</f>
        <v>0</v>
      </c>
      <c r="U182" s="273">
        <f>IFERROR(INDEX('2. GRI Pricing Inputs'!$C$89:$AI$90,MATCH('3. GRI Pricing'!$U$16,'2. GRI Pricing Inputs'!$C$89:$C$90,0),MATCH('1. Accomodation'!W186,'2. GRI Pricing Inputs'!$C$89:$AI$89,0)),0)</f>
        <v>0</v>
      </c>
      <c r="V182" s="273">
        <f>IFERROR(INDEX('2. GRI Pricing Inputs'!$C$97:$AI$98,MATCH('3. GRI Pricing'!$V$16,'2. GRI Pricing Inputs'!$C$97:$C$98,0),MATCH('1. Accomodation'!X186,'2. GRI Pricing Inputs'!$C$97:$AI$97,0)),0)</f>
        <v>0</v>
      </c>
      <c r="W182" s="273">
        <f>IFERROR(INDEX('2. GRI Pricing Inputs'!$C$104:$AI$105,MATCH('3. GRI Pricing'!$W$16,'2. GRI Pricing Inputs'!$C$104:$C$105,0),MATCH('1. Accomodation'!Y186,'2. GRI Pricing Inputs'!$C$104:$AI$104,0)),0)</f>
        <v>0</v>
      </c>
      <c r="X182" s="274">
        <v>0</v>
      </c>
      <c r="Y182" s="275">
        <f t="shared" si="9"/>
        <v>1360</v>
      </c>
      <c r="Z182" s="276"/>
      <c r="AA182" s="276"/>
      <c r="AB182" s="276"/>
      <c r="AC182" s="272">
        <f>Y182*(1+'2. GRI Pricing Inputs'!$D$114)^(($AC$16-$AB$15)/365)</f>
        <v>1364.5378147071408</v>
      </c>
      <c r="AD182" s="273">
        <f>AC182*(1+'2. GRI Pricing Inputs'!$D$114)^((AD$16-AC$16)/365)</f>
        <v>1368.9436640282397</v>
      </c>
      <c r="AE182" s="273">
        <f>AD182*(1+'2. GRI Pricing Inputs'!$D$114)^((AE$16-AD$16)/365)</f>
        <v>1373.511320419324</v>
      </c>
      <c r="AF182" s="273">
        <f>AE182*(1+'2. GRI Pricing Inputs'!$D$114)^((AF$16-AE$16)/365)</f>
        <v>1378.0942173827234</v>
      </c>
      <c r="AG182" s="273">
        <f>AF182*(1+'2. GRI Pricing Inputs'!$D$114)^((AG$16-AF$16)/365)</f>
        <v>1382.3952860149877</v>
      </c>
      <c r="AH182" s="273">
        <f>AG182*(1+'2. GRI Pricing Inputs'!$D$114)^((AH$16-AG$16)/365)</f>
        <v>1387.0078254708412</v>
      </c>
      <c r="AI182" s="273">
        <f>AH182*(1+'2. GRI Pricing Inputs'!$D$114)^((AI$16-AH$16)/365)</f>
        <v>1391.4862264505321</v>
      </c>
      <c r="AJ182" s="273">
        <f>AI182*(1+'2. GRI Pricing Inputs'!$D$114)^((AJ$16-AI$16)/365)</f>
        <v>1396.1290989969814</v>
      </c>
      <c r="AK182" s="273">
        <f>AJ182*(1+'2. GRI Pricing Inputs'!$D$114)^((AK$16-AJ$16)/365)</f>
        <v>1400.636950942662</v>
      </c>
      <c r="AL182" s="273">
        <f>AK182*(1+'2. GRI Pricing Inputs'!$D$114)^((AL$16-AK$16)/365)</f>
        <v>1405.3103560568918</v>
      </c>
      <c r="AM182" s="273">
        <f>AL182*(1+'2. GRI Pricing Inputs'!$D$114)^((AM$16-AL$16)/365)</f>
        <v>1409.9993545876362</v>
      </c>
      <c r="AN182" s="273">
        <f>AM182*(1+'2. GRI Pricing Inputs'!$D$114)^((AN$16-AM$16)/365)</f>
        <v>1414.5519911156998</v>
      </c>
      <c r="AO182" s="273">
        <f>AN182*(1+'2. GRI Pricing Inputs'!$D$114)^((AO$16-AN$16)/365)</f>
        <v>1419.2718255490088</v>
      </c>
    </row>
    <row r="183" spans="3:41" ht="12" x14ac:dyDescent="0.2">
      <c r="C183" s="76" t="str">
        <f>'1. Accomodation'!N187</f>
        <v>804S</v>
      </c>
      <c r="D183" s="69" t="str">
        <f>'1. Accomodation'!P187</f>
        <v>3 Bed</v>
      </c>
      <c r="E183" s="69">
        <f>'1. Accomodation'!Q187</f>
        <v>3</v>
      </c>
      <c r="F183" s="77">
        <f>'1. Accomodation'!O187</f>
        <v>753</v>
      </c>
      <c r="G183" s="69">
        <f>'1. Accomodation'!R187</f>
        <v>8</v>
      </c>
      <c r="H183" s="69" t="str">
        <f>'1. Accomodation'!S187</f>
        <v>River- Full</v>
      </c>
      <c r="I183" s="62"/>
      <c r="K183" s="272">
        <f>IFERROR(INDEX('2. GRI Pricing Inputs'!$C$15:$AI$16,MATCH($K$16,'2. GRI Pricing Inputs'!$C$15:$C$16,0),MATCH(D183,'2. GRI Pricing Inputs'!$C$15:$AI$15,0)),0)</f>
        <v>1485</v>
      </c>
      <c r="L183" s="273">
        <f>IFERROR(INDEX('2. GRI Pricing Inputs'!$C$22:$AI$23,MATCH($L$16,'2. GRI Pricing Inputs'!$C$22:$C$23,0),MATCH(E183,'2. GRI Pricing Inputs'!$C$22:$AI$22,0)),0)</f>
        <v>0</v>
      </c>
      <c r="M183" s="328">
        <f>IF(AND('3. GRI Pricing'!$F183&gt;='2. GRI Pricing Inputs'!$D$33,'3. GRI Pricing'!$F183&lt;='2. GRI Pricing Inputs'!$E$33),'2. GRI Pricing Inputs'!$D$32,IF(AND('3. GRI Pricing'!$F183&gt;='2. GRI Pricing Inputs'!$F$33,'3. GRI Pricing'!$F183&lt;='2. GRI Pricing Inputs'!$G$33),'2. GRI Pricing Inputs'!$F$32,IF(AND('3. GRI Pricing'!$F183&gt;='2. GRI Pricing Inputs'!$H$33,'3. GRI Pricing'!$F183&lt;='2. GRI Pricing Inputs'!$I$33),'2. GRI Pricing Inputs'!$H$32,IF(AND('3. GRI Pricing'!$F183&gt;='2. GRI Pricing Inputs'!$J$33,'3. GRI Pricing'!$F183&lt;='2. GRI Pricing Inputs'!$K$33),'2. GRI Pricing Inputs'!$J$32,IF(AND('3. GRI Pricing'!$F183&gt;='2. GRI Pricing Inputs'!$L$33,'3. GRI Pricing'!$F183&lt;='2. GRI Pricing Inputs'!$M$33),'2. GRI Pricing Inputs'!$L$32,IF(AND('3. GRI Pricing'!$F183&gt;='2. GRI Pricing Inputs'!$N$33,'3. GRI Pricing'!$F183&lt;='2. GRI Pricing Inputs'!$O$33),'2. GRI Pricing Inputs'!$N$32,IF(AND('3. GRI Pricing'!$F183&gt;='2. GRI Pricing Inputs'!$P$33,'3. GRI Pricing'!$F183&lt;='2. GRI Pricing Inputs'!$Q$33),'2. GRI Pricing Inputs'!$P$32,IF(AND('3. GRI Pricing'!$F183&gt;='2. GRI Pricing Inputs'!$R$33,'3. GRI Pricing'!$F183&lt;='2. GRI Pricing Inputs'!$S$33),'2. GRI Pricing Inputs'!$R$32,IF(AND('3. GRI Pricing'!$F183&gt;='2. GRI Pricing Inputs'!$T$33,'3. GRI Pricing'!$F183&lt;='2. GRI Pricing Inputs'!$U$33),'2. GRI Pricing Inputs'!$T$32,IF(AND('3. GRI Pricing'!$F183&gt;='2. GRI Pricing Inputs'!$V$33,'3. GRI Pricing'!$F183&lt;='2. GRI Pricing Inputs'!$W$33),'2. GRI Pricing Inputs'!$V$32,IF(AND('3. GRI Pricing'!$F183&gt;='2. GRI Pricing Inputs'!$X$33,'3. GRI Pricing'!$F183&lt;='2. GRI Pricing Inputs'!$Y$33),'2. GRI Pricing Inputs'!$X$32,IF(AND('3. GRI Pricing'!$F183&gt;='2. GRI Pricing Inputs'!$Z$33,'3. GRI Pricing'!$F183&lt;='2. GRI Pricing Inputs'!$AA$33),'2. GRI Pricing Inputs'!$Z$32,IF(AND('3. GRI Pricing'!$F183&gt;='2. GRI Pricing Inputs'!$AB$33,'3. GRI Pricing'!$F183&lt;='2. GRI Pricing Inputs'!$AC$33),'2. GRI Pricing Inputs'!$AB$32,IF(AND('3. GRI Pricing'!$F183&gt;='2. GRI Pricing Inputs'!$AD$33,'3. GRI Pricing'!$F183&lt;='2. GRI Pricing Inputs'!$AE$33),'2. GRI Pricing Inputs'!$AD$32,IF(AND('3. GRI Pricing'!$F183&gt;='2. GRI Pricing Inputs'!$AF$33,'3. GRI Pricing'!$F183&lt;='2. GRI Pricing Inputs'!$AG$33),'2. GRI Pricing Inputs'!$AF$32,IF(AND('3. GRI Pricing'!$F183&gt;='2. GRI Pricing Inputs'!$AH$33,'3. GRI Pricing'!$F183&lt;='2. GRI Pricing Inputs'!$AI$33),'2. GRI Pricing Inputs'!$AH$32,0))))))))))))))))</f>
        <v>0</v>
      </c>
      <c r="N183" s="273" cm="1">
        <f t="array" ref="N183">IFERROR(INDEX('2. GRI Pricing Inputs'!$C$32:$AI$39,MATCH('3. GRI Pricing'!D183,'2. GRI Pricing Inputs'!$C$32:$C$39,0),(MATCH('3. GRI Pricing'!M183,'2. GRI Pricing Inputs'!$D$32:$AI$32,0)+1)),0)</f>
        <v>0</v>
      </c>
      <c r="O183" s="273">
        <f>IFERROR(INDEX('2. GRI Pricing Inputs'!$C$45:$AI$46,MATCH($O$16,'2. GRI Pricing Inputs'!$C$45:$C$46,0),MATCH(G183,'2. GRI Pricing Inputs'!$C$45:$AI$45,0)),0)</f>
        <v>100</v>
      </c>
      <c r="P183" s="273">
        <f>IFERROR(INDEX('2. GRI Pricing Inputs'!$C$53:$AI$54,MATCH('3. GRI Pricing'!$P$16,'2. GRI Pricing Inputs'!$C$53:$C$54,0),MATCH('3. GRI Pricing'!H183,'2. GRI Pricing Inputs'!$C$53:$AI$53,0)),0)</f>
        <v>60</v>
      </c>
      <c r="Q183" s="273">
        <f>IFERROR(INDEX('2. GRI Pricing Inputs'!$C$60:$AI$61,MATCH('3. GRI Pricing'!$Q$16,'2. GRI Pricing Inputs'!$C$60:$C$61,0),MATCH('1. Accomodation'!T187,'2. GRI Pricing Inputs'!$C$60:$AI$60,0)),0)</f>
        <v>0</v>
      </c>
      <c r="R183" s="273">
        <f>IFERROR(INDEX('2. GRI Pricing Inputs'!$C$67:$AI$68,MATCH('3. GRI Pricing'!$R$16,'2. GRI Pricing Inputs'!$C$67:$C$68,0),MATCH('1. Accomodation'!U187,'2. GRI Pricing Inputs'!$C$67:$AI$67,0)),0)</f>
        <v>20</v>
      </c>
      <c r="S183" s="273">
        <f>IF(D183=0,0,'2. GRI Pricing Inputs'!$AI$75)</f>
        <v>70</v>
      </c>
      <c r="T183" s="273">
        <f>IFERROR(INDEX('2. GRI Pricing Inputs'!$C$82:$AI$83,MATCH('3. GRI Pricing'!$T$16,'2. GRI Pricing Inputs'!$C$82:$C$83,0),MATCH('1. Accomodation'!V187,'2. GRI Pricing Inputs'!$C$82:$AI$82,0)),0)</f>
        <v>0</v>
      </c>
      <c r="U183" s="273">
        <f>IFERROR(INDEX('2. GRI Pricing Inputs'!$C$89:$AI$90,MATCH('3. GRI Pricing'!$U$16,'2. GRI Pricing Inputs'!$C$89:$C$90,0),MATCH('1. Accomodation'!W187,'2. GRI Pricing Inputs'!$C$89:$AI$89,0)),0)</f>
        <v>0</v>
      </c>
      <c r="V183" s="273">
        <f>IFERROR(INDEX('2. GRI Pricing Inputs'!$C$97:$AI$98,MATCH('3. GRI Pricing'!$V$16,'2. GRI Pricing Inputs'!$C$97:$C$98,0),MATCH('1. Accomodation'!X187,'2. GRI Pricing Inputs'!$C$97:$AI$97,0)),0)</f>
        <v>0</v>
      </c>
      <c r="W183" s="273">
        <f>IFERROR(INDEX('2. GRI Pricing Inputs'!$C$104:$AI$105,MATCH('3. GRI Pricing'!$W$16,'2. GRI Pricing Inputs'!$C$104:$C$105,0),MATCH('1. Accomodation'!Y187,'2. GRI Pricing Inputs'!$C$104:$AI$104,0)),0)</f>
        <v>0</v>
      </c>
      <c r="X183" s="274">
        <v>0</v>
      </c>
      <c r="Y183" s="275">
        <f t="shared" si="9"/>
        <v>1735</v>
      </c>
      <c r="Z183" s="276"/>
      <c r="AA183" s="276"/>
      <c r="AB183" s="276"/>
      <c r="AC183" s="272">
        <f>Y183*(1+'2. GRI Pricing Inputs'!$D$114)^(($AC$16-$AB$15)/365)</f>
        <v>1740.7890503800656</v>
      </c>
      <c r="AD183" s="273">
        <f>AC183*(1+'2. GRI Pricing Inputs'!$D$114)^((AD$16-AC$16)/365)</f>
        <v>1746.4097478595559</v>
      </c>
      <c r="AE183" s="273">
        <f>AD183*(1+'2. GRI Pricing Inputs'!$D$114)^((AE$16-AD$16)/365)</f>
        <v>1752.236868329064</v>
      </c>
      <c r="AF183" s="273">
        <f>AE183*(1+'2. GRI Pricing Inputs'!$D$114)^((AF$16-AE$16)/365)</f>
        <v>1758.0834317345773</v>
      </c>
      <c r="AG183" s="273">
        <f>AF183*(1+'2. GRI Pricing Inputs'!$D$114)^((AG$16-AF$16)/365)</f>
        <v>1763.5704567911794</v>
      </c>
      <c r="AH183" s="273">
        <f>AG183*(1+'2. GRI Pricing Inputs'!$D$114)^((AH$16-AG$16)/365)</f>
        <v>1769.454836170522</v>
      </c>
      <c r="AI183" s="273">
        <f>AH183*(1+'2. GRI Pricing Inputs'!$D$114)^((AI$16-AH$16)/365)</f>
        <v>1775.1680903615247</v>
      </c>
      <c r="AJ183" s="273">
        <f>AI183*(1+'2. GRI Pricing Inputs'!$D$114)^((AJ$16-AI$16)/365)</f>
        <v>1781.0911667351199</v>
      </c>
      <c r="AK183" s="273">
        <f>AJ183*(1+'2. GRI Pricing Inputs'!$D$114)^((AK$16-AJ$16)/365)</f>
        <v>1786.8419925628816</v>
      </c>
      <c r="AL183" s="273">
        <f>AK183*(1+'2. GRI Pricing Inputs'!$D$114)^((AL$16-AK$16)/365)</f>
        <v>1792.8040204108145</v>
      </c>
      <c r="AM183" s="273">
        <f>AL183*(1+'2. GRI Pricing Inputs'!$D$114)^((AM$16-AL$16)/365)</f>
        <v>1798.7859413305507</v>
      </c>
      <c r="AN183" s="273">
        <f>AM183*(1+'2. GRI Pricing Inputs'!$D$114)^((AN$16-AM$16)/365)</f>
        <v>1804.5939004306908</v>
      </c>
      <c r="AO183" s="273">
        <f>AN183*(1+'2. GRI Pricing Inputs'!$D$114)^((AO$16-AN$16)/365)</f>
        <v>1810.6151597996547</v>
      </c>
    </row>
    <row r="184" spans="3:41" ht="12" x14ac:dyDescent="0.2">
      <c r="C184" s="76" t="str">
        <f>'1. Accomodation'!N188</f>
        <v>805S</v>
      </c>
      <c r="D184" s="69" t="str">
        <f>'1. Accomodation'!P188</f>
        <v>2 Bed</v>
      </c>
      <c r="E184" s="69">
        <f>'1. Accomodation'!Q188</f>
        <v>2</v>
      </c>
      <c r="F184" s="77">
        <f>'1. Accomodation'!O188</f>
        <v>689</v>
      </c>
      <c r="G184" s="69">
        <f>'1. Accomodation'!R188</f>
        <v>8</v>
      </c>
      <c r="H184" s="69" t="str">
        <f>'1. Accomodation'!S188</f>
        <v>Cityscape</v>
      </c>
      <c r="I184" s="62"/>
      <c r="K184" s="272">
        <f>IFERROR(INDEX('2. GRI Pricing Inputs'!$C$15:$AI$16,MATCH($K$16,'2. GRI Pricing Inputs'!$C$15:$C$16,0),MATCH(D184,'2. GRI Pricing Inputs'!$C$15:$AI$15,0)),0)</f>
        <v>1110</v>
      </c>
      <c r="L184" s="273">
        <f>IFERROR(INDEX('2. GRI Pricing Inputs'!$C$22:$AI$23,MATCH($L$16,'2. GRI Pricing Inputs'!$C$22:$C$23,0),MATCH(E184,'2. GRI Pricing Inputs'!$C$22:$AI$22,0)),0)</f>
        <v>0</v>
      </c>
      <c r="M184" s="328">
        <f>IF(AND('3. GRI Pricing'!$F184&gt;='2. GRI Pricing Inputs'!$D$33,'3. GRI Pricing'!$F184&lt;='2. GRI Pricing Inputs'!$E$33),'2. GRI Pricing Inputs'!$D$32,IF(AND('3. GRI Pricing'!$F184&gt;='2. GRI Pricing Inputs'!$F$33,'3. GRI Pricing'!$F184&lt;='2. GRI Pricing Inputs'!$G$33),'2. GRI Pricing Inputs'!$F$32,IF(AND('3. GRI Pricing'!$F184&gt;='2. GRI Pricing Inputs'!$H$33,'3. GRI Pricing'!$F184&lt;='2. GRI Pricing Inputs'!$I$33),'2. GRI Pricing Inputs'!$H$32,IF(AND('3. GRI Pricing'!$F184&gt;='2. GRI Pricing Inputs'!$J$33,'3. GRI Pricing'!$F184&lt;='2. GRI Pricing Inputs'!$K$33),'2. GRI Pricing Inputs'!$J$32,IF(AND('3. GRI Pricing'!$F184&gt;='2. GRI Pricing Inputs'!$L$33,'3. GRI Pricing'!$F184&lt;='2. GRI Pricing Inputs'!$M$33),'2. GRI Pricing Inputs'!$L$32,IF(AND('3. GRI Pricing'!$F184&gt;='2. GRI Pricing Inputs'!$N$33,'3. GRI Pricing'!$F184&lt;='2. GRI Pricing Inputs'!$O$33),'2. GRI Pricing Inputs'!$N$32,IF(AND('3. GRI Pricing'!$F184&gt;='2. GRI Pricing Inputs'!$P$33,'3. GRI Pricing'!$F184&lt;='2. GRI Pricing Inputs'!$Q$33),'2. GRI Pricing Inputs'!$P$32,IF(AND('3. GRI Pricing'!$F184&gt;='2. GRI Pricing Inputs'!$R$33,'3. GRI Pricing'!$F184&lt;='2. GRI Pricing Inputs'!$S$33),'2. GRI Pricing Inputs'!$R$32,IF(AND('3. GRI Pricing'!$F184&gt;='2. GRI Pricing Inputs'!$T$33,'3. GRI Pricing'!$F184&lt;='2. GRI Pricing Inputs'!$U$33),'2. GRI Pricing Inputs'!$T$32,IF(AND('3. GRI Pricing'!$F184&gt;='2. GRI Pricing Inputs'!$V$33,'3. GRI Pricing'!$F184&lt;='2. GRI Pricing Inputs'!$W$33),'2. GRI Pricing Inputs'!$V$32,IF(AND('3. GRI Pricing'!$F184&gt;='2. GRI Pricing Inputs'!$X$33,'3. GRI Pricing'!$F184&lt;='2. GRI Pricing Inputs'!$Y$33),'2. GRI Pricing Inputs'!$X$32,IF(AND('3. GRI Pricing'!$F184&gt;='2. GRI Pricing Inputs'!$Z$33,'3. GRI Pricing'!$F184&lt;='2. GRI Pricing Inputs'!$AA$33),'2. GRI Pricing Inputs'!$Z$32,IF(AND('3. GRI Pricing'!$F184&gt;='2. GRI Pricing Inputs'!$AB$33,'3. GRI Pricing'!$F184&lt;='2. GRI Pricing Inputs'!$AC$33),'2. GRI Pricing Inputs'!$AB$32,IF(AND('3. GRI Pricing'!$F184&gt;='2. GRI Pricing Inputs'!$AD$33,'3. GRI Pricing'!$F184&lt;='2. GRI Pricing Inputs'!$AE$33),'2. GRI Pricing Inputs'!$AD$32,IF(AND('3. GRI Pricing'!$F184&gt;='2. GRI Pricing Inputs'!$AF$33,'3. GRI Pricing'!$F184&lt;='2. GRI Pricing Inputs'!$AG$33),'2. GRI Pricing Inputs'!$AF$32,IF(AND('3. GRI Pricing'!$F184&gt;='2. GRI Pricing Inputs'!$AH$33,'3. GRI Pricing'!$F184&lt;='2. GRI Pricing Inputs'!$AI$33),'2. GRI Pricing Inputs'!$AH$32,0))))))))))))))))</f>
        <v>11</v>
      </c>
      <c r="N184" s="273" cm="1">
        <f t="array" ref="N184">IFERROR(INDEX('2. GRI Pricing Inputs'!$C$32:$AI$39,MATCH('3. GRI Pricing'!D184,'2. GRI Pricing Inputs'!$C$32:$C$39,0),(MATCH('3. GRI Pricing'!M184,'2. GRI Pricing Inputs'!$D$32:$AI$32,0)+1)),0)</f>
        <v>65</v>
      </c>
      <c r="O184" s="273">
        <f>IFERROR(INDEX('2. GRI Pricing Inputs'!$C$45:$AI$46,MATCH($O$16,'2. GRI Pricing Inputs'!$C$45:$C$46,0),MATCH(G184,'2. GRI Pricing Inputs'!$C$45:$AI$45,0)),0)</f>
        <v>100</v>
      </c>
      <c r="P184" s="273">
        <f>IFERROR(INDEX('2. GRI Pricing Inputs'!$C$53:$AI$54,MATCH('3. GRI Pricing'!$P$16,'2. GRI Pricing Inputs'!$C$53:$C$54,0),MATCH('3. GRI Pricing'!H184,'2. GRI Pricing Inputs'!$C$53:$AI$53,0)),0)</f>
        <v>35</v>
      </c>
      <c r="Q184" s="273">
        <f>IFERROR(INDEX('2. GRI Pricing Inputs'!$C$60:$AI$61,MATCH('3. GRI Pricing'!$Q$16,'2. GRI Pricing Inputs'!$C$60:$C$61,0),MATCH('1. Accomodation'!T188,'2. GRI Pricing Inputs'!$C$60:$AI$60,0)),0)</f>
        <v>0</v>
      </c>
      <c r="R184" s="273">
        <f>IFERROR(INDEX('2. GRI Pricing Inputs'!$C$67:$AI$68,MATCH('3. GRI Pricing'!$R$16,'2. GRI Pricing Inputs'!$C$67:$C$68,0),MATCH('1. Accomodation'!U188,'2. GRI Pricing Inputs'!$C$67:$AI$67,0)),0)</f>
        <v>0</v>
      </c>
      <c r="S184" s="273">
        <f>IF(D184=0,0,'2. GRI Pricing Inputs'!$AI$75)</f>
        <v>70</v>
      </c>
      <c r="T184" s="273">
        <f>IFERROR(INDEX('2. GRI Pricing Inputs'!$C$82:$AI$83,MATCH('3. GRI Pricing'!$T$16,'2. GRI Pricing Inputs'!$C$82:$C$83,0),MATCH('1. Accomodation'!V188,'2. GRI Pricing Inputs'!$C$82:$AI$82,0)),0)</f>
        <v>0</v>
      </c>
      <c r="U184" s="273">
        <f>IFERROR(INDEX('2. GRI Pricing Inputs'!$C$89:$AI$90,MATCH('3. GRI Pricing'!$U$16,'2. GRI Pricing Inputs'!$C$89:$C$90,0),MATCH('1. Accomodation'!W188,'2. GRI Pricing Inputs'!$C$89:$AI$89,0)),0)</f>
        <v>0</v>
      </c>
      <c r="V184" s="273">
        <f>IFERROR(INDEX('2. GRI Pricing Inputs'!$C$97:$AI$98,MATCH('3. GRI Pricing'!$V$16,'2. GRI Pricing Inputs'!$C$97:$C$98,0),MATCH('1. Accomodation'!X188,'2. GRI Pricing Inputs'!$C$97:$AI$97,0)),0)</f>
        <v>0</v>
      </c>
      <c r="W184" s="273">
        <f>IFERROR(INDEX('2. GRI Pricing Inputs'!$C$104:$AI$105,MATCH('3. GRI Pricing'!$W$16,'2. GRI Pricing Inputs'!$C$104:$C$105,0),MATCH('1. Accomodation'!Y188,'2. GRI Pricing Inputs'!$C$104:$AI$104,0)),0)</f>
        <v>0</v>
      </c>
      <c r="X184" s="274">
        <v>0</v>
      </c>
      <c r="Y184" s="275">
        <f t="shared" si="9"/>
        <v>1380</v>
      </c>
      <c r="Z184" s="276"/>
      <c r="AA184" s="276"/>
      <c r="AB184" s="276"/>
      <c r="AC184" s="272">
        <f>Y184*(1+'2. GRI Pricing Inputs'!$D$114)^(($AC$16-$AB$15)/365)</f>
        <v>1384.6045472763635</v>
      </c>
      <c r="AD184" s="273">
        <f>AC184*(1+'2. GRI Pricing Inputs'!$D$114)^((AD$16-AC$16)/365)</f>
        <v>1389.0751884992433</v>
      </c>
      <c r="AE184" s="273">
        <f>AD184*(1+'2. GRI Pricing Inputs'!$D$114)^((AE$16-AD$16)/365)</f>
        <v>1393.7100163078435</v>
      </c>
      <c r="AF184" s="273">
        <f>AE184*(1+'2. GRI Pricing Inputs'!$D$114)^((AF$16-AE$16)/365)</f>
        <v>1398.3603088148222</v>
      </c>
      <c r="AG184" s="273">
        <f>AF184*(1+'2. GRI Pricing Inputs'!$D$114)^((AG$16-AF$16)/365)</f>
        <v>1402.7246284563846</v>
      </c>
      <c r="AH184" s="273">
        <f>AG184*(1+'2. GRI Pricing Inputs'!$D$114)^((AH$16-AG$16)/365)</f>
        <v>1407.4049993748242</v>
      </c>
      <c r="AI184" s="273">
        <f>AH184*(1+'2. GRI Pricing Inputs'!$D$114)^((AI$16-AH$16)/365)</f>
        <v>1411.9492591924518</v>
      </c>
      <c r="AJ184" s="273">
        <f>AI184*(1+'2. GRI Pricing Inputs'!$D$114)^((AJ$16-AI$16)/365)</f>
        <v>1416.6604092763489</v>
      </c>
      <c r="AK184" s="273">
        <f>AJ184*(1+'2. GRI Pricing Inputs'!$D$114)^((AK$16-AJ$16)/365)</f>
        <v>1421.2345531624071</v>
      </c>
      <c r="AL184" s="273">
        <f>AK184*(1+'2. GRI Pricing Inputs'!$D$114)^((AL$16-AK$16)/365)</f>
        <v>1425.9766848224344</v>
      </c>
      <c r="AM184" s="273">
        <f>AL184*(1+'2. GRI Pricing Inputs'!$D$114)^((AM$16-AL$16)/365)</f>
        <v>1430.734639213925</v>
      </c>
      <c r="AN184" s="273">
        <f>AM184*(1+'2. GRI Pricing Inputs'!$D$114)^((AN$16-AM$16)/365)</f>
        <v>1435.3542262791661</v>
      </c>
      <c r="AO184" s="273">
        <f>AN184*(1+'2. GRI Pricing Inputs'!$D$114)^((AO$16-AN$16)/365)</f>
        <v>1440.1434700423765</v>
      </c>
    </row>
    <row r="185" spans="3:41" ht="12" x14ac:dyDescent="0.2">
      <c r="C185" s="76" t="str">
        <f>'1. Accomodation'!N189</f>
        <v>806S</v>
      </c>
      <c r="D185" s="69" t="str">
        <f>'1. Accomodation'!P189</f>
        <v>1 Bed</v>
      </c>
      <c r="E185" s="69">
        <f>'1. Accomodation'!Q189</f>
        <v>1</v>
      </c>
      <c r="F185" s="77">
        <f>'1. Accomodation'!O189</f>
        <v>484</v>
      </c>
      <c r="G185" s="69">
        <f>'1. Accomodation'!R189</f>
        <v>8</v>
      </c>
      <c r="H185" s="69" t="str">
        <f>'1. Accomodation'!S189</f>
        <v>Cityscape</v>
      </c>
      <c r="I185" s="62"/>
      <c r="K185" s="272">
        <f>IFERROR(INDEX('2. GRI Pricing Inputs'!$C$15:$AI$16,MATCH($K$16,'2. GRI Pricing Inputs'!$C$15:$C$16,0),MATCH(D185,'2. GRI Pricing Inputs'!$C$15:$AI$15,0)),0)</f>
        <v>845</v>
      </c>
      <c r="L185" s="273">
        <f>IFERROR(INDEX('2. GRI Pricing Inputs'!$C$22:$AI$23,MATCH($L$16,'2. GRI Pricing Inputs'!$C$22:$C$23,0),MATCH(E185,'2. GRI Pricing Inputs'!$C$22:$AI$22,0)),0)</f>
        <v>0</v>
      </c>
      <c r="M185" s="328">
        <f>IF(AND('3. GRI Pricing'!$F185&gt;='2. GRI Pricing Inputs'!$D$33,'3. GRI Pricing'!$F185&lt;='2. GRI Pricing Inputs'!$E$33),'2. GRI Pricing Inputs'!$D$32,IF(AND('3. GRI Pricing'!$F185&gt;='2. GRI Pricing Inputs'!$F$33,'3. GRI Pricing'!$F185&lt;='2. GRI Pricing Inputs'!$G$33),'2. GRI Pricing Inputs'!$F$32,IF(AND('3. GRI Pricing'!$F185&gt;='2. GRI Pricing Inputs'!$H$33,'3. GRI Pricing'!$F185&lt;='2. GRI Pricing Inputs'!$I$33),'2. GRI Pricing Inputs'!$H$32,IF(AND('3. GRI Pricing'!$F185&gt;='2. GRI Pricing Inputs'!$J$33,'3. GRI Pricing'!$F185&lt;='2. GRI Pricing Inputs'!$K$33),'2. GRI Pricing Inputs'!$J$32,IF(AND('3. GRI Pricing'!$F185&gt;='2. GRI Pricing Inputs'!$L$33,'3. GRI Pricing'!$F185&lt;='2. GRI Pricing Inputs'!$M$33),'2. GRI Pricing Inputs'!$L$32,IF(AND('3. GRI Pricing'!$F185&gt;='2. GRI Pricing Inputs'!$N$33,'3. GRI Pricing'!$F185&lt;='2. GRI Pricing Inputs'!$O$33),'2. GRI Pricing Inputs'!$N$32,IF(AND('3. GRI Pricing'!$F185&gt;='2. GRI Pricing Inputs'!$P$33,'3. GRI Pricing'!$F185&lt;='2. GRI Pricing Inputs'!$Q$33),'2. GRI Pricing Inputs'!$P$32,IF(AND('3. GRI Pricing'!$F185&gt;='2. GRI Pricing Inputs'!$R$33,'3. GRI Pricing'!$F185&lt;='2. GRI Pricing Inputs'!$S$33),'2. GRI Pricing Inputs'!$R$32,IF(AND('3. GRI Pricing'!$F185&gt;='2. GRI Pricing Inputs'!$T$33,'3. GRI Pricing'!$F185&lt;='2. GRI Pricing Inputs'!$U$33),'2. GRI Pricing Inputs'!$T$32,IF(AND('3. GRI Pricing'!$F185&gt;='2. GRI Pricing Inputs'!$V$33,'3. GRI Pricing'!$F185&lt;='2. GRI Pricing Inputs'!$W$33),'2. GRI Pricing Inputs'!$V$32,IF(AND('3. GRI Pricing'!$F185&gt;='2. GRI Pricing Inputs'!$X$33,'3. GRI Pricing'!$F185&lt;='2. GRI Pricing Inputs'!$Y$33),'2. GRI Pricing Inputs'!$X$32,IF(AND('3. GRI Pricing'!$F185&gt;='2. GRI Pricing Inputs'!$Z$33,'3. GRI Pricing'!$F185&lt;='2. GRI Pricing Inputs'!$AA$33),'2. GRI Pricing Inputs'!$Z$32,IF(AND('3. GRI Pricing'!$F185&gt;='2. GRI Pricing Inputs'!$AB$33,'3. GRI Pricing'!$F185&lt;='2. GRI Pricing Inputs'!$AC$33),'2. GRI Pricing Inputs'!$AB$32,IF(AND('3. GRI Pricing'!$F185&gt;='2. GRI Pricing Inputs'!$AD$33,'3. GRI Pricing'!$F185&lt;='2. GRI Pricing Inputs'!$AE$33),'2. GRI Pricing Inputs'!$AD$32,IF(AND('3. GRI Pricing'!$F185&gt;='2. GRI Pricing Inputs'!$AF$33,'3. GRI Pricing'!$F185&lt;='2. GRI Pricing Inputs'!$AG$33),'2. GRI Pricing Inputs'!$AF$32,IF(AND('3. GRI Pricing'!$F185&gt;='2. GRI Pricing Inputs'!$AH$33,'3. GRI Pricing'!$F185&lt;='2. GRI Pricing Inputs'!$AI$33),'2. GRI Pricing Inputs'!$AH$32,0))))))))))))))))</f>
        <v>1</v>
      </c>
      <c r="N185" s="273" cm="1">
        <f t="array" ref="N185">IFERROR(INDEX('2. GRI Pricing Inputs'!$C$32:$AI$39,MATCH('3. GRI Pricing'!D185,'2. GRI Pricing Inputs'!$C$32:$C$39,0),(MATCH('3. GRI Pricing'!M185,'2. GRI Pricing Inputs'!$D$32:$AI$32,0)+1)),0)</f>
        <v>10</v>
      </c>
      <c r="O185" s="273">
        <f>IFERROR(INDEX('2. GRI Pricing Inputs'!$C$45:$AI$46,MATCH($O$16,'2. GRI Pricing Inputs'!$C$45:$C$46,0),MATCH(G185,'2. GRI Pricing Inputs'!$C$45:$AI$45,0)),0)</f>
        <v>100</v>
      </c>
      <c r="P185" s="273">
        <f>IFERROR(INDEX('2. GRI Pricing Inputs'!$C$53:$AI$54,MATCH('3. GRI Pricing'!$P$16,'2. GRI Pricing Inputs'!$C$53:$C$54,0),MATCH('3. GRI Pricing'!H185,'2. GRI Pricing Inputs'!$C$53:$AI$53,0)),0)</f>
        <v>35</v>
      </c>
      <c r="Q185" s="273">
        <f>IFERROR(INDEX('2. GRI Pricing Inputs'!$C$60:$AI$61,MATCH('3. GRI Pricing'!$Q$16,'2. GRI Pricing Inputs'!$C$60:$C$61,0),MATCH('1. Accomodation'!T189,'2. GRI Pricing Inputs'!$C$60:$AI$60,0)),0)</f>
        <v>0</v>
      </c>
      <c r="R185" s="273">
        <f>IFERROR(INDEX('2. GRI Pricing Inputs'!$C$67:$AI$68,MATCH('3. GRI Pricing'!$R$16,'2. GRI Pricing Inputs'!$C$67:$C$68,0),MATCH('1. Accomodation'!U189,'2. GRI Pricing Inputs'!$C$67:$AI$67,0)),0)</f>
        <v>0</v>
      </c>
      <c r="S185" s="273">
        <f>IF(D185=0,0,'2. GRI Pricing Inputs'!$AI$75)</f>
        <v>70</v>
      </c>
      <c r="T185" s="273">
        <f>IFERROR(INDEX('2. GRI Pricing Inputs'!$C$82:$AI$83,MATCH('3. GRI Pricing'!$T$16,'2. GRI Pricing Inputs'!$C$82:$C$83,0),MATCH('1. Accomodation'!V189,'2. GRI Pricing Inputs'!$C$82:$AI$82,0)),0)</f>
        <v>0</v>
      </c>
      <c r="U185" s="273">
        <f>IFERROR(INDEX('2. GRI Pricing Inputs'!$C$89:$AI$90,MATCH('3. GRI Pricing'!$U$16,'2. GRI Pricing Inputs'!$C$89:$C$90,0),MATCH('1. Accomodation'!W189,'2. GRI Pricing Inputs'!$C$89:$AI$89,0)),0)</f>
        <v>0</v>
      </c>
      <c r="V185" s="273">
        <f>IFERROR(INDEX('2. GRI Pricing Inputs'!$C$97:$AI$98,MATCH('3. GRI Pricing'!$V$16,'2. GRI Pricing Inputs'!$C$97:$C$98,0),MATCH('1. Accomodation'!X189,'2. GRI Pricing Inputs'!$C$97:$AI$97,0)),0)</f>
        <v>0</v>
      </c>
      <c r="W185" s="273">
        <f>IFERROR(INDEX('2. GRI Pricing Inputs'!$C$104:$AI$105,MATCH('3. GRI Pricing'!$W$16,'2. GRI Pricing Inputs'!$C$104:$C$105,0),MATCH('1. Accomodation'!Y189,'2. GRI Pricing Inputs'!$C$104:$AI$104,0)),0)</f>
        <v>0</v>
      </c>
      <c r="X185" s="274">
        <v>0</v>
      </c>
      <c r="Y185" s="275">
        <f t="shared" si="9"/>
        <v>1060</v>
      </c>
      <c r="Z185" s="276"/>
      <c r="AA185" s="276"/>
      <c r="AB185" s="276"/>
      <c r="AC185" s="272">
        <f>Y185*(1+'2. GRI Pricing Inputs'!$D$114)^(($AC$16-$AB$15)/365)</f>
        <v>1063.5368261688009</v>
      </c>
      <c r="AD185" s="273">
        <f>AC185*(1+'2. GRI Pricing Inputs'!$D$114)^((AD$16-AC$16)/365)</f>
        <v>1066.9707969631868</v>
      </c>
      <c r="AE185" s="273">
        <f>AD185*(1+'2. GRI Pricing Inputs'!$D$114)^((AE$16-AD$16)/365)</f>
        <v>1070.5308820915318</v>
      </c>
      <c r="AF185" s="273">
        <f>AE185*(1+'2. GRI Pricing Inputs'!$D$114)^((AF$16-AE$16)/365)</f>
        <v>1074.10284590124</v>
      </c>
      <c r="AG185" s="273">
        <f>AF185*(1+'2. GRI Pricing Inputs'!$D$114)^((AG$16-AF$16)/365)</f>
        <v>1077.4551493940344</v>
      </c>
      <c r="AH185" s="273">
        <f>AG185*(1+'2. GRI Pricing Inputs'!$D$114)^((AH$16-AG$16)/365)</f>
        <v>1081.0502169110966</v>
      </c>
      <c r="AI185" s="273">
        <f>AH185*(1+'2. GRI Pricing Inputs'!$D$114)^((AI$16-AH$16)/365)</f>
        <v>1084.5407353217381</v>
      </c>
      <c r="AJ185" s="273">
        <f>AI185*(1+'2. GRI Pricing Inputs'!$D$114)^((AJ$16-AI$16)/365)</f>
        <v>1088.1594448064707</v>
      </c>
      <c r="AK185" s="273">
        <f>AJ185*(1+'2. GRI Pricing Inputs'!$D$114)^((AK$16-AJ$16)/365)</f>
        <v>1091.6729176464864</v>
      </c>
      <c r="AL185" s="273">
        <f>AK185*(1+'2. GRI Pricing Inputs'!$D$114)^((AL$16-AK$16)/365)</f>
        <v>1095.3154245737537</v>
      </c>
      <c r="AM185" s="273">
        <f>AL185*(1+'2. GRI Pricing Inputs'!$D$114)^((AM$16-AL$16)/365)</f>
        <v>1098.9700851933044</v>
      </c>
      <c r="AN185" s="273">
        <f>AM185*(1+'2. GRI Pricing Inputs'!$D$114)^((AN$16-AM$16)/365)</f>
        <v>1102.5184636637071</v>
      </c>
      <c r="AO185" s="273">
        <f>AN185*(1+'2. GRI Pricing Inputs'!$D$114)^((AO$16-AN$16)/365)</f>
        <v>1106.197158148492</v>
      </c>
    </row>
    <row r="186" spans="3:41" ht="12" x14ac:dyDescent="0.2">
      <c r="C186" s="76" t="str">
        <f>'1. Accomodation'!N190</f>
        <v>807S</v>
      </c>
      <c r="D186" s="69" t="str">
        <f>'1. Accomodation'!P190</f>
        <v>2 Bed</v>
      </c>
      <c r="E186" s="69">
        <f>'1. Accomodation'!Q190</f>
        <v>2</v>
      </c>
      <c r="F186" s="77">
        <f>'1. Accomodation'!O190</f>
        <v>624</v>
      </c>
      <c r="G186" s="69">
        <f>'1. Accomodation'!R190</f>
        <v>8</v>
      </c>
      <c r="H186" s="69" t="str">
        <f>'1. Accomodation'!S190</f>
        <v>Cityscape</v>
      </c>
      <c r="I186" s="62"/>
      <c r="K186" s="272">
        <f>IFERROR(INDEX('2. GRI Pricing Inputs'!$C$15:$AI$16,MATCH($K$16,'2. GRI Pricing Inputs'!$C$15:$C$16,0),MATCH(D186,'2. GRI Pricing Inputs'!$C$15:$AI$15,0)),0)</f>
        <v>1110</v>
      </c>
      <c r="L186" s="273">
        <f>IFERROR(INDEX('2. GRI Pricing Inputs'!$C$22:$AI$23,MATCH($L$16,'2. GRI Pricing Inputs'!$C$22:$C$23,0),MATCH(E186,'2. GRI Pricing Inputs'!$C$22:$AI$22,0)),0)</f>
        <v>0</v>
      </c>
      <c r="M186" s="328">
        <f>IF(AND('3. GRI Pricing'!$F186&gt;='2. GRI Pricing Inputs'!$D$33,'3. GRI Pricing'!$F186&lt;='2. GRI Pricing Inputs'!$E$33),'2. GRI Pricing Inputs'!$D$32,IF(AND('3. GRI Pricing'!$F186&gt;='2. GRI Pricing Inputs'!$F$33,'3. GRI Pricing'!$F186&lt;='2. GRI Pricing Inputs'!$G$33),'2. GRI Pricing Inputs'!$F$32,IF(AND('3. GRI Pricing'!$F186&gt;='2. GRI Pricing Inputs'!$H$33,'3. GRI Pricing'!$F186&lt;='2. GRI Pricing Inputs'!$I$33),'2. GRI Pricing Inputs'!$H$32,IF(AND('3. GRI Pricing'!$F186&gt;='2. GRI Pricing Inputs'!$J$33,'3. GRI Pricing'!$F186&lt;='2. GRI Pricing Inputs'!$K$33),'2. GRI Pricing Inputs'!$J$32,IF(AND('3. GRI Pricing'!$F186&gt;='2. GRI Pricing Inputs'!$L$33,'3. GRI Pricing'!$F186&lt;='2. GRI Pricing Inputs'!$M$33),'2. GRI Pricing Inputs'!$L$32,IF(AND('3. GRI Pricing'!$F186&gt;='2. GRI Pricing Inputs'!$N$33,'3. GRI Pricing'!$F186&lt;='2. GRI Pricing Inputs'!$O$33),'2. GRI Pricing Inputs'!$N$32,IF(AND('3. GRI Pricing'!$F186&gt;='2. GRI Pricing Inputs'!$P$33,'3. GRI Pricing'!$F186&lt;='2. GRI Pricing Inputs'!$Q$33),'2. GRI Pricing Inputs'!$P$32,IF(AND('3. GRI Pricing'!$F186&gt;='2. GRI Pricing Inputs'!$R$33,'3. GRI Pricing'!$F186&lt;='2. GRI Pricing Inputs'!$S$33),'2. GRI Pricing Inputs'!$R$32,IF(AND('3. GRI Pricing'!$F186&gt;='2. GRI Pricing Inputs'!$T$33,'3. GRI Pricing'!$F186&lt;='2. GRI Pricing Inputs'!$U$33),'2. GRI Pricing Inputs'!$T$32,IF(AND('3. GRI Pricing'!$F186&gt;='2. GRI Pricing Inputs'!$V$33,'3. GRI Pricing'!$F186&lt;='2. GRI Pricing Inputs'!$W$33),'2. GRI Pricing Inputs'!$V$32,IF(AND('3. GRI Pricing'!$F186&gt;='2. GRI Pricing Inputs'!$X$33,'3. GRI Pricing'!$F186&lt;='2. GRI Pricing Inputs'!$Y$33),'2. GRI Pricing Inputs'!$X$32,IF(AND('3. GRI Pricing'!$F186&gt;='2. GRI Pricing Inputs'!$Z$33,'3. GRI Pricing'!$F186&lt;='2. GRI Pricing Inputs'!$AA$33),'2. GRI Pricing Inputs'!$Z$32,IF(AND('3. GRI Pricing'!$F186&gt;='2. GRI Pricing Inputs'!$AB$33,'3. GRI Pricing'!$F186&lt;='2. GRI Pricing Inputs'!$AC$33),'2. GRI Pricing Inputs'!$AB$32,IF(AND('3. GRI Pricing'!$F186&gt;='2. GRI Pricing Inputs'!$AD$33,'3. GRI Pricing'!$F186&lt;='2. GRI Pricing Inputs'!$AE$33),'2. GRI Pricing Inputs'!$AD$32,IF(AND('3. GRI Pricing'!$F186&gt;='2. GRI Pricing Inputs'!$AF$33,'3. GRI Pricing'!$F186&lt;='2. GRI Pricing Inputs'!$AG$33),'2. GRI Pricing Inputs'!$AF$32,IF(AND('3. GRI Pricing'!$F186&gt;='2. GRI Pricing Inputs'!$AH$33,'3. GRI Pricing'!$F186&lt;='2. GRI Pricing Inputs'!$AI$33),'2. GRI Pricing Inputs'!$AH$32,0))))))))))))))))</f>
        <v>7</v>
      </c>
      <c r="N186" s="273" cm="1">
        <f t="array" ref="N186">IFERROR(INDEX('2. GRI Pricing Inputs'!$C$32:$AI$39,MATCH('3. GRI Pricing'!D186,'2. GRI Pricing Inputs'!$C$32:$C$39,0),(MATCH('3. GRI Pricing'!M186,'2. GRI Pricing Inputs'!$D$32:$AI$32,0)+1)),0)</f>
        <v>10</v>
      </c>
      <c r="O186" s="273">
        <f>IFERROR(INDEX('2. GRI Pricing Inputs'!$C$45:$AI$46,MATCH($O$16,'2. GRI Pricing Inputs'!$C$45:$C$46,0),MATCH(G186,'2. GRI Pricing Inputs'!$C$45:$AI$45,0)),0)</f>
        <v>100</v>
      </c>
      <c r="P186" s="273">
        <f>IFERROR(INDEX('2. GRI Pricing Inputs'!$C$53:$AI$54,MATCH('3. GRI Pricing'!$P$16,'2. GRI Pricing Inputs'!$C$53:$C$54,0),MATCH('3. GRI Pricing'!H186,'2. GRI Pricing Inputs'!$C$53:$AI$53,0)),0)</f>
        <v>35</v>
      </c>
      <c r="Q186" s="273">
        <f>IFERROR(INDEX('2. GRI Pricing Inputs'!$C$60:$AI$61,MATCH('3. GRI Pricing'!$Q$16,'2. GRI Pricing Inputs'!$C$60:$C$61,0),MATCH('1. Accomodation'!T190,'2. GRI Pricing Inputs'!$C$60:$AI$60,0)),0)</f>
        <v>0</v>
      </c>
      <c r="R186" s="273">
        <f>IFERROR(INDEX('2. GRI Pricing Inputs'!$C$67:$AI$68,MATCH('3. GRI Pricing'!$R$16,'2. GRI Pricing Inputs'!$C$67:$C$68,0),MATCH('1. Accomodation'!U190,'2. GRI Pricing Inputs'!$C$67:$AI$67,0)),0)</f>
        <v>0</v>
      </c>
      <c r="S186" s="273">
        <f>IF(D186=0,0,'2. GRI Pricing Inputs'!$AI$75)</f>
        <v>70</v>
      </c>
      <c r="T186" s="273">
        <f>IFERROR(INDEX('2. GRI Pricing Inputs'!$C$82:$AI$83,MATCH('3. GRI Pricing'!$T$16,'2. GRI Pricing Inputs'!$C$82:$C$83,0),MATCH('1. Accomodation'!V190,'2. GRI Pricing Inputs'!$C$82:$AI$82,0)),0)</f>
        <v>0</v>
      </c>
      <c r="U186" s="273">
        <f>IFERROR(INDEX('2. GRI Pricing Inputs'!$C$89:$AI$90,MATCH('3. GRI Pricing'!$U$16,'2. GRI Pricing Inputs'!$C$89:$C$90,0),MATCH('1. Accomodation'!W190,'2. GRI Pricing Inputs'!$C$89:$AI$89,0)),0)</f>
        <v>0</v>
      </c>
      <c r="V186" s="273">
        <f>IFERROR(INDEX('2. GRI Pricing Inputs'!$C$97:$AI$98,MATCH('3. GRI Pricing'!$V$16,'2. GRI Pricing Inputs'!$C$97:$C$98,0),MATCH('1. Accomodation'!X190,'2. GRI Pricing Inputs'!$C$97:$AI$97,0)),0)</f>
        <v>0</v>
      </c>
      <c r="W186" s="273">
        <f>IFERROR(INDEX('2. GRI Pricing Inputs'!$C$104:$AI$105,MATCH('3. GRI Pricing'!$W$16,'2. GRI Pricing Inputs'!$C$104:$C$105,0),MATCH('1. Accomodation'!Y190,'2. GRI Pricing Inputs'!$C$104:$AI$104,0)),0)</f>
        <v>0</v>
      </c>
      <c r="X186" s="274">
        <v>0</v>
      </c>
      <c r="Y186" s="275">
        <f t="shared" si="9"/>
        <v>1325</v>
      </c>
      <c r="Z186" s="276"/>
      <c r="AA186" s="276"/>
      <c r="AB186" s="276"/>
      <c r="AC186" s="272">
        <f>Y186*(1+'2. GRI Pricing Inputs'!$D$114)^(($AC$16-$AB$15)/365)</f>
        <v>1329.4210327110011</v>
      </c>
      <c r="AD186" s="273">
        <f>AC186*(1+'2. GRI Pricing Inputs'!$D$114)^((AD$16-AC$16)/365)</f>
        <v>1333.7134962039836</v>
      </c>
      <c r="AE186" s="273">
        <f>AD186*(1+'2. GRI Pricing Inputs'!$D$114)^((AE$16-AD$16)/365)</f>
        <v>1338.1636026144149</v>
      </c>
      <c r="AF186" s="273">
        <f>AE186*(1+'2. GRI Pricing Inputs'!$D$114)^((AF$16-AE$16)/365)</f>
        <v>1342.6285573765504</v>
      </c>
      <c r="AG186" s="273">
        <f>AF186*(1+'2. GRI Pricing Inputs'!$D$114)^((AG$16-AF$16)/365)</f>
        <v>1346.8189367425432</v>
      </c>
      <c r="AH186" s="273">
        <f>AG186*(1+'2. GRI Pricing Inputs'!$D$114)^((AH$16-AG$16)/365)</f>
        <v>1351.3127711388711</v>
      </c>
      <c r="AI186" s="273">
        <f>AH186*(1+'2. GRI Pricing Inputs'!$D$114)^((AI$16-AH$16)/365)</f>
        <v>1355.6759191521728</v>
      </c>
      <c r="AJ186" s="273">
        <f>AI186*(1+'2. GRI Pricing Inputs'!$D$114)^((AJ$16-AI$16)/365)</f>
        <v>1360.1993060080886</v>
      </c>
      <c r="AK186" s="273">
        <f>AJ186*(1+'2. GRI Pricing Inputs'!$D$114)^((AK$16-AJ$16)/365)</f>
        <v>1364.5911470581084</v>
      </c>
      <c r="AL186" s="273">
        <f>AK186*(1+'2. GRI Pricing Inputs'!$D$114)^((AL$16-AK$16)/365)</f>
        <v>1369.1442807171925</v>
      </c>
      <c r="AM186" s="273">
        <f>AL186*(1+'2. GRI Pricing Inputs'!$D$114)^((AM$16-AL$16)/365)</f>
        <v>1373.7126064916308</v>
      </c>
      <c r="AN186" s="273">
        <f>AM186*(1+'2. GRI Pricing Inputs'!$D$114)^((AN$16-AM$16)/365)</f>
        <v>1378.148079579634</v>
      </c>
      <c r="AO186" s="273">
        <f>AN186*(1+'2. GRI Pricing Inputs'!$D$114)^((AO$16-AN$16)/365)</f>
        <v>1382.7464476856151</v>
      </c>
    </row>
    <row r="187" spans="3:41" ht="12" x14ac:dyDescent="0.2">
      <c r="C187" s="76" t="str">
        <f>'1. Accomodation'!N191</f>
        <v>1W</v>
      </c>
      <c r="D187" s="69" t="str">
        <f>'1. Accomodation'!P191</f>
        <v>2 Bed</v>
      </c>
      <c r="E187" s="69">
        <f>'1. Accomodation'!Q191</f>
        <v>2</v>
      </c>
      <c r="F187" s="77">
        <f>'1. Accomodation'!O191</f>
        <v>689</v>
      </c>
      <c r="G187" s="69" t="str">
        <f>'1. Accomodation'!R191</f>
        <v>Ground</v>
      </c>
      <c r="H187" s="69" t="str">
        <f>'1. Accomodation'!S191</f>
        <v>Pottery Lane</v>
      </c>
      <c r="I187" s="62"/>
      <c r="K187" s="272">
        <f>IFERROR(INDEX('2. GRI Pricing Inputs'!$C$15:$AI$16,MATCH($K$16,'2. GRI Pricing Inputs'!$C$15:$C$16,0),MATCH(D187,'2. GRI Pricing Inputs'!$C$15:$AI$15,0)),0)</f>
        <v>1110</v>
      </c>
      <c r="L187" s="273">
        <f>IFERROR(INDEX('2. GRI Pricing Inputs'!$C$22:$AI$23,MATCH($L$16,'2. GRI Pricing Inputs'!$C$22:$C$23,0),MATCH(E187,'2. GRI Pricing Inputs'!$C$22:$AI$22,0)),0)</f>
        <v>0</v>
      </c>
      <c r="M187" s="328">
        <f>IF(AND('3. GRI Pricing'!$F187&gt;='2. GRI Pricing Inputs'!$D$33,'3. GRI Pricing'!$F187&lt;='2. GRI Pricing Inputs'!$E$33),'2. GRI Pricing Inputs'!$D$32,IF(AND('3. GRI Pricing'!$F187&gt;='2. GRI Pricing Inputs'!$F$33,'3. GRI Pricing'!$F187&lt;='2. GRI Pricing Inputs'!$G$33),'2. GRI Pricing Inputs'!$F$32,IF(AND('3. GRI Pricing'!$F187&gt;='2. GRI Pricing Inputs'!$H$33,'3. GRI Pricing'!$F187&lt;='2. GRI Pricing Inputs'!$I$33),'2. GRI Pricing Inputs'!$H$32,IF(AND('3. GRI Pricing'!$F187&gt;='2. GRI Pricing Inputs'!$J$33,'3. GRI Pricing'!$F187&lt;='2. GRI Pricing Inputs'!$K$33),'2. GRI Pricing Inputs'!$J$32,IF(AND('3. GRI Pricing'!$F187&gt;='2. GRI Pricing Inputs'!$L$33,'3. GRI Pricing'!$F187&lt;='2. GRI Pricing Inputs'!$M$33),'2. GRI Pricing Inputs'!$L$32,IF(AND('3. GRI Pricing'!$F187&gt;='2. GRI Pricing Inputs'!$N$33,'3. GRI Pricing'!$F187&lt;='2. GRI Pricing Inputs'!$O$33),'2. GRI Pricing Inputs'!$N$32,IF(AND('3. GRI Pricing'!$F187&gt;='2. GRI Pricing Inputs'!$P$33,'3. GRI Pricing'!$F187&lt;='2. GRI Pricing Inputs'!$Q$33),'2. GRI Pricing Inputs'!$P$32,IF(AND('3. GRI Pricing'!$F187&gt;='2. GRI Pricing Inputs'!$R$33,'3. GRI Pricing'!$F187&lt;='2. GRI Pricing Inputs'!$S$33),'2. GRI Pricing Inputs'!$R$32,IF(AND('3. GRI Pricing'!$F187&gt;='2. GRI Pricing Inputs'!$T$33,'3. GRI Pricing'!$F187&lt;='2. GRI Pricing Inputs'!$U$33),'2. GRI Pricing Inputs'!$T$32,IF(AND('3. GRI Pricing'!$F187&gt;='2. GRI Pricing Inputs'!$V$33,'3. GRI Pricing'!$F187&lt;='2. GRI Pricing Inputs'!$W$33),'2. GRI Pricing Inputs'!$V$32,IF(AND('3. GRI Pricing'!$F187&gt;='2. GRI Pricing Inputs'!$X$33,'3. GRI Pricing'!$F187&lt;='2. GRI Pricing Inputs'!$Y$33),'2. GRI Pricing Inputs'!$X$32,IF(AND('3. GRI Pricing'!$F187&gt;='2. GRI Pricing Inputs'!$Z$33,'3. GRI Pricing'!$F187&lt;='2. GRI Pricing Inputs'!$AA$33),'2. GRI Pricing Inputs'!$Z$32,IF(AND('3. GRI Pricing'!$F187&gt;='2. GRI Pricing Inputs'!$AB$33,'3. GRI Pricing'!$F187&lt;='2. GRI Pricing Inputs'!$AC$33),'2. GRI Pricing Inputs'!$AB$32,IF(AND('3. GRI Pricing'!$F187&gt;='2. GRI Pricing Inputs'!$AD$33,'3. GRI Pricing'!$F187&lt;='2. GRI Pricing Inputs'!$AE$33),'2. GRI Pricing Inputs'!$AD$32,IF(AND('3. GRI Pricing'!$F187&gt;='2. GRI Pricing Inputs'!$AF$33,'3. GRI Pricing'!$F187&lt;='2. GRI Pricing Inputs'!$AG$33),'2. GRI Pricing Inputs'!$AF$32,IF(AND('3. GRI Pricing'!$F187&gt;='2. GRI Pricing Inputs'!$AH$33,'3. GRI Pricing'!$F187&lt;='2. GRI Pricing Inputs'!$AI$33),'2. GRI Pricing Inputs'!$AH$32,0))))))))))))))))</f>
        <v>11</v>
      </c>
      <c r="N187" s="273" cm="1">
        <f t="array" ref="N187">IFERROR(INDEX('2. GRI Pricing Inputs'!$C$32:$AI$39,MATCH('3. GRI Pricing'!D187,'2. GRI Pricing Inputs'!$C$32:$C$39,0),(MATCH('3. GRI Pricing'!M187,'2. GRI Pricing Inputs'!$D$32:$AI$32,0)+1)),0)</f>
        <v>65</v>
      </c>
      <c r="O187" s="273">
        <f>IFERROR(INDEX('2. GRI Pricing Inputs'!$C$45:$AI$46,MATCH($O$16,'2. GRI Pricing Inputs'!$C$45:$C$46,0),MATCH(G187,'2. GRI Pricing Inputs'!$C$45:$AI$45,0)),0)</f>
        <v>0</v>
      </c>
      <c r="P187" s="273">
        <f>IFERROR(INDEX('2. GRI Pricing Inputs'!$C$53:$AI$54,MATCH('3. GRI Pricing'!$P$16,'2. GRI Pricing Inputs'!$C$53:$C$54,0),MATCH('3. GRI Pricing'!H187,'2. GRI Pricing Inputs'!$C$53:$AI$53,0)),0)</f>
        <v>10</v>
      </c>
      <c r="Q187" s="273">
        <f>IFERROR(INDEX('2. GRI Pricing Inputs'!$C$60:$AI$61,MATCH('3. GRI Pricing'!$Q$16,'2. GRI Pricing Inputs'!$C$60:$C$61,0),MATCH('1. Accomodation'!T191,'2. GRI Pricing Inputs'!$C$60:$AI$60,0)),0)</f>
        <v>0</v>
      </c>
      <c r="R187" s="273">
        <f>IFERROR(INDEX('2. GRI Pricing Inputs'!$C$67:$AI$68,MATCH('3. GRI Pricing'!$R$16,'2. GRI Pricing Inputs'!$C$67:$C$68,0),MATCH('1. Accomodation'!U191,'2. GRI Pricing Inputs'!$C$67:$AI$67,0)),0)</f>
        <v>0</v>
      </c>
      <c r="S187" s="273">
        <f>IF(D187=0,0,'2. GRI Pricing Inputs'!$AI$75)</f>
        <v>70</v>
      </c>
      <c r="T187" s="273">
        <f>IFERROR(INDEX('2. GRI Pricing Inputs'!$C$82:$AI$83,MATCH('3. GRI Pricing'!$T$16,'2. GRI Pricing Inputs'!$C$82:$C$83,0),MATCH('1. Accomodation'!V191,'2. GRI Pricing Inputs'!$C$82:$AI$82,0)),0)</f>
        <v>0</v>
      </c>
      <c r="U187" s="273">
        <f>IFERROR(INDEX('2. GRI Pricing Inputs'!$C$89:$AI$90,MATCH('3. GRI Pricing'!$U$16,'2. GRI Pricing Inputs'!$C$89:$C$90,0),MATCH('1. Accomodation'!W191,'2. GRI Pricing Inputs'!$C$89:$AI$89,0)),0)</f>
        <v>0</v>
      </c>
      <c r="V187" s="273">
        <f>IFERROR(INDEX('2. GRI Pricing Inputs'!$C$97:$AI$98,MATCH('3. GRI Pricing'!$V$16,'2. GRI Pricing Inputs'!$C$97:$C$98,0),MATCH('1. Accomodation'!X191,'2. GRI Pricing Inputs'!$C$97:$AI$97,0)),0)</f>
        <v>0</v>
      </c>
      <c r="W187" s="273">
        <f>IFERROR(INDEX('2. GRI Pricing Inputs'!$C$104:$AI$105,MATCH('3. GRI Pricing'!$W$16,'2. GRI Pricing Inputs'!$C$104:$C$105,0),MATCH('1. Accomodation'!Y191,'2. GRI Pricing Inputs'!$C$104:$AI$104,0)),0)</f>
        <v>0</v>
      </c>
      <c r="X187" s="274">
        <v>0</v>
      </c>
      <c r="Y187" s="275">
        <f t="shared" si="9"/>
        <v>1255</v>
      </c>
      <c r="Z187" s="276"/>
      <c r="AA187" s="276"/>
      <c r="AB187" s="276"/>
      <c r="AC187" s="272">
        <f>Y187*(1+'2. GRI Pricing Inputs'!$D$114)^(($AC$16-$AB$15)/365)</f>
        <v>1259.1874687187219</v>
      </c>
      <c r="AD187" s="273">
        <f>AC187*(1+'2. GRI Pricing Inputs'!$D$114)^((AD$16-AC$16)/365)</f>
        <v>1263.2531605554714</v>
      </c>
      <c r="AE187" s="273">
        <f>AD187*(1+'2. GRI Pricing Inputs'!$D$114)^((AE$16-AD$16)/365)</f>
        <v>1267.4681670045968</v>
      </c>
      <c r="AF187" s="273">
        <f>AE187*(1+'2. GRI Pricing Inputs'!$D$114)^((AF$16-AE$16)/365)</f>
        <v>1271.6972373642043</v>
      </c>
      <c r="AG187" s="273">
        <f>AF187*(1+'2. GRI Pricing Inputs'!$D$114)^((AG$16-AF$16)/365)</f>
        <v>1275.6662381976541</v>
      </c>
      <c r="AH187" s="273">
        <f>AG187*(1+'2. GRI Pricing Inputs'!$D$114)^((AH$16-AG$16)/365)</f>
        <v>1279.9226624749308</v>
      </c>
      <c r="AI187" s="273">
        <f>AH187*(1+'2. GRI Pricing Inputs'!$D$114)^((AI$16-AH$16)/365)</f>
        <v>1284.0553045554543</v>
      </c>
      <c r="AJ187" s="273">
        <f>AI187*(1+'2. GRI Pricing Inputs'!$D$114)^((AJ$16-AI$16)/365)</f>
        <v>1288.3397200303027</v>
      </c>
      <c r="AK187" s="273">
        <f>AJ187*(1+'2. GRI Pricing Inputs'!$D$114)^((AK$16-AJ$16)/365)</f>
        <v>1292.4995392890007</v>
      </c>
      <c r="AL187" s="273">
        <f>AK187*(1+'2. GRI Pricing Inputs'!$D$114)^((AL$16-AK$16)/365)</f>
        <v>1296.8121300377936</v>
      </c>
      <c r="AM187" s="273">
        <f>AL187*(1+'2. GRI Pricing Inputs'!$D$114)^((AM$16-AL$16)/365)</f>
        <v>1301.1391102996201</v>
      </c>
      <c r="AN187" s="273">
        <f>AM187*(1+'2. GRI Pricing Inputs'!$D$114)^((AN$16-AM$16)/365)</f>
        <v>1305.3402565075025</v>
      </c>
      <c r="AO187" s="273">
        <f>AN187*(1+'2. GRI Pricing Inputs'!$D$114)^((AO$16-AN$16)/365)</f>
        <v>1309.6956919588281</v>
      </c>
    </row>
    <row r="188" spans="3:41" ht="12" x14ac:dyDescent="0.2">
      <c r="C188" s="76" t="str">
        <f>'1. Accomodation'!N192</f>
        <v>2W</v>
      </c>
      <c r="D188" s="69" t="str">
        <f>'1. Accomodation'!P192</f>
        <v>1 Bed</v>
      </c>
      <c r="E188" s="69">
        <f>'1. Accomodation'!Q192</f>
        <v>1</v>
      </c>
      <c r="F188" s="77">
        <f>'1. Accomodation'!O192</f>
        <v>463</v>
      </c>
      <c r="G188" s="69" t="str">
        <f>'1. Accomodation'!R192</f>
        <v>Ground</v>
      </c>
      <c r="H188" s="69" t="str">
        <f>'1. Accomodation'!S192</f>
        <v>Courtyard</v>
      </c>
      <c r="I188" s="62"/>
      <c r="K188" s="272">
        <f>IFERROR(INDEX('2. GRI Pricing Inputs'!$C$15:$AI$16,MATCH($K$16,'2. GRI Pricing Inputs'!$C$15:$C$16,0),MATCH(D188,'2. GRI Pricing Inputs'!$C$15:$AI$15,0)),0)</f>
        <v>845</v>
      </c>
      <c r="L188" s="273">
        <f>IFERROR(INDEX('2. GRI Pricing Inputs'!$C$22:$AI$23,MATCH($L$16,'2. GRI Pricing Inputs'!$C$22:$C$23,0),MATCH(E188,'2. GRI Pricing Inputs'!$C$22:$AI$22,0)),0)</f>
        <v>0</v>
      </c>
      <c r="M188" s="328">
        <f>IF(AND('3. GRI Pricing'!$F188&gt;='2. GRI Pricing Inputs'!$D$33,'3. GRI Pricing'!$F188&lt;='2. GRI Pricing Inputs'!$E$33),'2. GRI Pricing Inputs'!$D$32,IF(AND('3. GRI Pricing'!$F188&gt;='2. GRI Pricing Inputs'!$F$33,'3. GRI Pricing'!$F188&lt;='2. GRI Pricing Inputs'!$G$33),'2. GRI Pricing Inputs'!$F$32,IF(AND('3. GRI Pricing'!$F188&gt;='2. GRI Pricing Inputs'!$H$33,'3. GRI Pricing'!$F188&lt;='2. GRI Pricing Inputs'!$I$33),'2. GRI Pricing Inputs'!$H$32,IF(AND('3. GRI Pricing'!$F188&gt;='2. GRI Pricing Inputs'!$J$33,'3. GRI Pricing'!$F188&lt;='2. GRI Pricing Inputs'!$K$33),'2. GRI Pricing Inputs'!$J$32,IF(AND('3. GRI Pricing'!$F188&gt;='2. GRI Pricing Inputs'!$L$33,'3. GRI Pricing'!$F188&lt;='2. GRI Pricing Inputs'!$M$33),'2. GRI Pricing Inputs'!$L$32,IF(AND('3. GRI Pricing'!$F188&gt;='2. GRI Pricing Inputs'!$N$33,'3. GRI Pricing'!$F188&lt;='2. GRI Pricing Inputs'!$O$33),'2. GRI Pricing Inputs'!$N$32,IF(AND('3. GRI Pricing'!$F188&gt;='2. GRI Pricing Inputs'!$P$33,'3. GRI Pricing'!$F188&lt;='2. GRI Pricing Inputs'!$Q$33),'2. GRI Pricing Inputs'!$P$32,IF(AND('3. GRI Pricing'!$F188&gt;='2. GRI Pricing Inputs'!$R$33,'3. GRI Pricing'!$F188&lt;='2. GRI Pricing Inputs'!$S$33),'2. GRI Pricing Inputs'!$R$32,IF(AND('3. GRI Pricing'!$F188&gt;='2. GRI Pricing Inputs'!$T$33,'3. GRI Pricing'!$F188&lt;='2. GRI Pricing Inputs'!$U$33),'2. GRI Pricing Inputs'!$T$32,IF(AND('3. GRI Pricing'!$F188&gt;='2. GRI Pricing Inputs'!$V$33,'3. GRI Pricing'!$F188&lt;='2. GRI Pricing Inputs'!$W$33),'2. GRI Pricing Inputs'!$V$32,IF(AND('3. GRI Pricing'!$F188&gt;='2. GRI Pricing Inputs'!$X$33,'3. GRI Pricing'!$F188&lt;='2. GRI Pricing Inputs'!$Y$33),'2. GRI Pricing Inputs'!$X$32,IF(AND('3. GRI Pricing'!$F188&gt;='2. GRI Pricing Inputs'!$Z$33,'3. GRI Pricing'!$F188&lt;='2. GRI Pricing Inputs'!$AA$33),'2. GRI Pricing Inputs'!$Z$32,IF(AND('3. GRI Pricing'!$F188&gt;='2. GRI Pricing Inputs'!$AB$33,'3. GRI Pricing'!$F188&lt;='2. GRI Pricing Inputs'!$AC$33),'2. GRI Pricing Inputs'!$AB$32,IF(AND('3. GRI Pricing'!$F188&gt;='2. GRI Pricing Inputs'!$AD$33,'3. GRI Pricing'!$F188&lt;='2. GRI Pricing Inputs'!$AE$33),'2. GRI Pricing Inputs'!$AD$32,IF(AND('3. GRI Pricing'!$F188&gt;='2. GRI Pricing Inputs'!$AF$33,'3. GRI Pricing'!$F188&lt;='2. GRI Pricing Inputs'!$AG$33),'2. GRI Pricing Inputs'!$AF$32,IF(AND('3. GRI Pricing'!$F188&gt;='2. GRI Pricing Inputs'!$AH$33,'3. GRI Pricing'!$F188&lt;='2. GRI Pricing Inputs'!$AI$33),'2. GRI Pricing Inputs'!$AH$32,0))))))))))))))))</f>
        <v>0</v>
      </c>
      <c r="N188" s="273" cm="1">
        <f t="array" ref="N188">IFERROR(INDEX('2. GRI Pricing Inputs'!$C$32:$AI$39,MATCH('3. GRI Pricing'!D188,'2. GRI Pricing Inputs'!$C$32:$C$39,0),(MATCH('3. GRI Pricing'!M188,'2. GRI Pricing Inputs'!$D$32:$AI$32,0)+1)),0)</f>
        <v>0</v>
      </c>
      <c r="O188" s="273">
        <f>IFERROR(INDEX('2. GRI Pricing Inputs'!$C$45:$AI$46,MATCH($O$16,'2. GRI Pricing Inputs'!$C$45:$C$46,0),MATCH(G188,'2. GRI Pricing Inputs'!$C$45:$AI$45,0)),0)</f>
        <v>0</v>
      </c>
      <c r="P188" s="273">
        <f>IFERROR(INDEX('2. GRI Pricing Inputs'!$C$53:$AI$54,MATCH('3. GRI Pricing'!$P$16,'2. GRI Pricing Inputs'!$C$53:$C$54,0),MATCH('3. GRI Pricing'!H188,'2. GRI Pricing Inputs'!$C$53:$AI$53,0)),0)</f>
        <v>25</v>
      </c>
      <c r="Q188" s="273">
        <f>IFERROR(INDEX('2. GRI Pricing Inputs'!$C$60:$AI$61,MATCH('3. GRI Pricing'!$Q$16,'2. GRI Pricing Inputs'!$C$60:$C$61,0),MATCH('1. Accomodation'!T192,'2. GRI Pricing Inputs'!$C$60:$AI$60,0)),0)</f>
        <v>0</v>
      </c>
      <c r="R188" s="273">
        <f>IFERROR(INDEX('2. GRI Pricing Inputs'!$C$67:$AI$68,MATCH('3. GRI Pricing'!$R$16,'2. GRI Pricing Inputs'!$C$67:$C$68,0),MATCH('1. Accomodation'!U192,'2. GRI Pricing Inputs'!$C$67:$AI$67,0)),0)</f>
        <v>0</v>
      </c>
      <c r="S188" s="273">
        <f>IF(D188=0,0,'2. GRI Pricing Inputs'!$AI$75)</f>
        <v>70</v>
      </c>
      <c r="T188" s="273">
        <f>IFERROR(INDEX('2. GRI Pricing Inputs'!$C$82:$AI$83,MATCH('3. GRI Pricing'!$T$16,'2. GRI Pricing Inputs'!$C$82:$C$83,0),MATCH('1. Accomodation'!V192,'2. GRI Pricing Inputs'!$C$82:$AI$82,0)),0)</f>
        <v>0</v>
      </c>
      <c r="U188" s="273">
        <f>IFERROR(INDEX('2. GRI Pricing Inputs'!$C$89:$AI$90,MATCH('3. GRI Pricing'!$U$16,'2. GRI Pricing Inputs'!$C$89:$C$90,0),MATCH('1. Accomodation'!W192,'2. GRI Pricing Inputs'!$C$89:$AI$89,0)),0)</f>
        <v>-25</v>
      </c>
      <c r="V188" s="273">
        <f>IFERROR(INDEX('2. GRI Pricing Inputs'!$C$97:$AI$98,MATCH('3. GRI Pricing'!$V$16,'2. GRI Pricing Inputs'!$C$97:$C$98,0),MATCH('1. Accomodation'!X192,'2. GRI Pricing Inputs'!$C$97:$AI$97,0)),0)</f>
        <v>0</v>
      </c>
      <c r="W188" s="273">
        <f>IFERROR(INDEX('2. GRI Pricing Inputs'!$C$104:$AI$105,MATCH('3. GRI Pricing'!$W$16,'2. GRI Pricing Inputs'!$C$104:$C$105,0),MATCH('1. Accomodation'!Y192,'2. GRI Pricing Inputs'!$C$104:$AI$104,0)),0)</f>
        <v>0</v>
      </c>
      <c r="X188" s="274">
        <v>0</v>
      </c>
      <c r="Y188" s="275">
        <f t="shared" si="9"/>
        <v>915</v>
      </c>
      <c r="Z188" s="276"/>
      <c r="AA188" s="276"/>
      <c r="AB188" s="276"/>
      <c r="AC188" s="272">
        <f>Y188*(1+'2. GRI Pricing Inputs'!$D$114)^(($AC$16-$AB$15)/365)</f>
        <v>918.05301504193665</v>
      </c>
      <c r="AD188" s="273">
        <f>AC188*(1+'2. GRI Pricing Inputs'!$D$114)^((AD$16-AC$16)/365)</f>
        <v>921.01724454841133</v>
      </c>
      <c r="AE188" s="273">
        <f>AD188*(1+'2. GRI Pricing Inputs'!$D$114)^((AE$16-AD$16)/365)</f>
        <v>924.09033689976582</v>
      </c>
      <c r="AF188" s="273">
        <f>AE188*(1+'2. GRI Pricing Inputs'!$D$114)^((AF$16-AE$16)/365)</f>
        <v>927.17368301852343</v>
      </c>
      <c r="AG188" s="273">
        <f>AF188*(1+'2. GRI Pricing Inputs'!$D$114)^((AG$16-AF$16)/365)</f>
        <v>930.06741669390715</v>
      </c>
      <c r="AH188" s="273">
        <f>AG188*(1+'2. GRI Pricing Inputs'!$D$114)^((AH$16-AG$16)/365)</f>
        <v>933.17070610722044</v>
      </c>
      <c r="AI188" s="273">
        <f>AH188*(1+'2. GRI Pricing Inputs'!$D$114)^((AI$16-AH$16)/365)</f>
        <v>936.18374794282124</v>
      </c>
      <c r="AJ188" s="273">
        <f>AI188*(1+'2. GRI Pricing Inputs'!$D$114)^((AJ$16-AI$16)/365)</f>
        <v>939.30744528105731</v>
      </c>
      <c r="AK188" s="273">
        <f>AJ188*(1+'2. GRI Pricing Inputs'!$D$114)^((AK$16-AJ$16)/365)</f>
        <v>942.34030155333505</v>
      </c>
      <c r="AL188" s="273">
        <f>AK188*(1+'2. GRI Pricing Inputs'!$D$114)^((AL$16-AK$16)/365)</f>
        <v>945.4845410235705</v>
      </c>
      <c r="AM188" s="273">
        <f>AL188*(1+'2. GRI Pricing Inputs'!$D$114)^((AM$16-AL$16)/365)</f>
        <v>948.63927165271093</v>
      </c>
      <c r="AN188" s="273">
        <f>AM188*(1+'2. GRI Pricing Inputs'!$D$114)^((AN$16-AM$16)/365)</f>
        <v>951.70225872857736</v>
      </c>
      <c r="AO188" s="273">
        <f>AN188*(1+'2. GRI Pricing Inputs'!$D$114)^((AO$16-AN$16)/365)</f>
        <v>954.87773557157561</v>
      </c>
    </row>
    <row r="189" spans="3:41" ht="12" x14ac:dyDescent="0.2">
      <c r="C189" s="76" t="str">
        <f>'1. Accomodation'!N193</f>
        <v>3W</v>
      </c>
      <c r="D189" s="69" t="str">
        <f>'1. Accomodation'!P193</f>
        <v>1 Bed</v>
      </c>
      <c r="E189" s="69">
        <f>'1. Accomodation'!Q193</f>
        <v>1</v>
      </c>
      <c r="F189" s="77">
        <f>'1. Accomodation'!O193</f>
        <v>549</v>
      </c>
      <c r="G189" s="69" t="str">
        <f>'1. Accomodation'!R193</f>
        <v>Ground</v>
      </c>
      <c r="H189" s="69" t="str">
        <f>'1. Accomodation'!S193</f>
        <v>Courtyard</v>
      </c>
      <c r="I189" s="62"/>
      <c r="K189" s="272">
        <f>IFERROR(INDEX('2. GRI Pricing Inputs'!$C$15:$AI$16,MATCH($K$16,'2. GRI Pricing Inputs'!$C$15:$C$16,0),MATCH(D189,'2. GRI Pricing Inputs'!$C$15:$AI$15,0)),0)</f>
        <v>845</v>
      </c>
      <c r="L189" s="273">
        <f>IFERROR(INDEX('2. GRI Pricing Inputs'!$C$22:$AI$23,MATCH($L$16,'2. GRI Pricing Inputs'!$C$22:$C$23,0),MATCH(E189,'2. GRI Pricing Inputs'!$C$22:$AI$22,0)),0)</f>
        <v>0</v>
      </c>
      <c r="M189" s="328">
        <f>IF(AND('3. GRI Pricing'!$F189&gt;='2. GRI Pricing Inputs'!$D$33,'3. GRI Pricing'!$F189&lt;='2. GRI Pricing Inputs'!$E$33),'2. GRI Pricing Inputs'!$D$32,IF(AND('3. GRI Pricing'!$F189&gt;='2. GRI Pricing Inputs'!$F$33,'3. GRI Pricing'!$F189&lt;='2. GRI Pricing Inputs'!$G$33),'2. GRI Pricing Inputs'!$F$32,IF(AND('3. GRI Pricing'!$F189&gt;='2. GRI Pricing Inputs'!$H$33,'3. GRI Pricing'!$F189&lt;='2. GRI Pricing Inputs'!$I$33),'2. GRI Pricing Inputs'!$H$32,IF(AND('3. GRI Pricing'!$F189&gt;='2. GRI Pricing Inputs'!$J$33,'3. GRI Pricing'!$F189&lt;='2. GRI Pricing Inputs'!$K$33),'2. GRI Pricing Inputs'!$J$32,IF(AND('3. GRI Pricing'!$F189&gt;='2. GRI Pricing Inputs'!$L$33,'3. GRI Pricing'!$F189&lt;='2. GRI Pricing Inputs'!$M$33),'2. GRI Pricing Inputs'!$L$32,IF(AND('3. GRI Pricing'!$F189&gt;='2. GRI Pricing Inputs'!$N$33,'3. GRI Pricing'!$F189&lt;='2. GRI Pricing Inputs'!$O$33),'2. GRI Pricing Inputs'!$N$32,IF(AND('3. GRI Pricing'!$F189&gt;='2. GRI Pricing Inputs'!$P$33,'3. GRI Pricing'!$F189&lt;='2. GRI Pricing Inputs'!$Q$33),'2. GRI Pricing Inputs'!$P$32,IF(AND('3. GRI Pricing'!$F189&gt;='2. GRI Pricing Inputs'!$R$33,'3. GRI Pricing'!$F189&lt;='2. GRI Pricing Inputs'!$S$33),'2. GRI Pricing Inputs'!$R$32,IF(AND('3. GRI Pricing'!$F189&gt;='2. GRI Pricing Inputs'!$T$33,'3. GRI Pricing'!$F189&lt;='2. GRI Pricing Inputs'!$U$33),'2. GRI Pricing Inputs'!$T$32,IF(AND('3. GRI Pricing'!$F189&gt;='2. GRI Pricing Inputs'!$V$33,'3. GRI Pricing'!$F189&lt;='2. GRI Pricing Inputs'!$W$33),'2. GRI Pricing Inputs'!$V$32,IF(AND('3. GRI Pricing'!$F189&gt;='2. GRI Pricing Inputs'!$X$33,'3. GRI Pricing'!$F189&lt;='2. GRI Pricing Inputs'!$Y$33),'2. GRI Pricing Inputs'!$X$32,IF(AND('3. GRI Pricing'!$F189&gt;='2. GRI Pricing Inputs'!$Z$33,'3. GRI Pricing'!$F189&lt;='2. GRI Pricing Inputs'!$AA$33),'2. GRI Pricing Inputs'!$Z$32,IF(AND('3. GRI Pricing'!$F189&gt;='2. GRI Pricing Inputs'!$AB$33,'3. GRI Pricing'!$F189&lt;='2. GRI Pricing Inputs'!$AC$33),'2. GRI Pricing Inputs'!$AB$32,IF(AND('3. GRI Pricing'!$F189&gt;='2. GRI Pricing Inputs'!$AD$33,'3. GRI Pricing'!$F189&lt;='2. GRI Pricing Inputs'!$AE$33),'2. GRI Pricing Inputs'!$AD$32,IF(AND('3. GRI Pricing'!$F189&gt;='2. GRI Pricing Inputs'!$AF$33,'3. GRI Pricing'!$F189&lt;='2. GRI Pricing Inputs'!$AG$33),'2. GRI Pricing Inputs'!$AF$32,IF(AND('3. GRI Pricing'!$F189&gt;='2. GRI Pricing Inputs'!$AH$33,'3. GRI Pricing'!$F189&lt;='2. GRI Pricing Inputs'!$AI$33),'2. GRI Pricing Inputs'!$AH$32,0))))))))))))))))</f>
        <v>4</v>
      </c>
      <c r="N189" s="273" cm="1">
        <f t="array" ref="N189">IFERROR(INDEX('2. GRI Pricing Inputs'!$C$32:$AI$39,MATCH('3. GRI Pricing'!D189,'2. GRI Pricing Inputs'!$C$32:$C$39,0),(MATCH('3. GRI Pricing'!M189,'2. GRI Pricing Inputs'!$D$32:$AI$32,0)+1)),0)</f>
        <v>25</v>
      </c>
      <c r="O189" s="273">
        <f>IFERROR(INDEX('2. GRI Pricing Inputs'!$C$45:$AI$46,MATCH($O$16,'2. GRI Pricing Inputs'!$C$45:$C$46,0),MATCH(G189,'2. GRI Pricing Inputs'!$C$45:$AI$45,0)),0)</f>
        <v>0</v>
      </c>
      <c r="P189" s="273">
        <f>IFERROR(INDEX('2. GRI Pricing Inputs'!$C$53:$AI$54,MATCH('3. GRI Pricing'!$P$16,'2. GRI Pricing Inputs'!$C$53:$C$54,0),MATCH('3. GRI Pricing'!H189,'2. GRI Pricing Inputs'!$C$53:$AI$53,0)),0)</f>
        <v>25</v>
      </c>
      <c r="Q189" s="273">
        <f>IFERROR(INDEX('2. GRI Pricing Inputs'!$C$60:$AI$61,MATCH('3. GRI Pricing'!$Q$16,'2. GRI Pricing Inputs'!$C$60:$C$61,0),MATCH('1. Accomodation'!T193,'2. GRI Pricing Inputs'!$C$60:$AI$60,0)),0)</f>
        <v>0</v>
      </c>
      <c r="R189" s="273">
        <f>IFERROR(INDEX('2. GRI Pricing Inputs'!$C$67:$AI$68,MATCH('3. GRI Pricing'!$R$16,'2. GRI Pricing Inputs'!$C$67:$C$68,0),MATCH('1. Accomodation'!U193,'2. GRI Pricing Inputs'!$C$67:$AI$67,0)),0)</f>
        <v>0</v>
      </c>
      <c r="S189" s="273">
        <f>IF(D189=0,0,'2. GRI Pricing Inputs'!$AI$75)</f>
        <v>70</v>
      </c>
      <c r="T189" s="273">
        <f>IFERROR(INDEX('2. GRI Pricing Inputs'!$C$82:$AI$83,MATCH('3. GRI Pricing'!$T$16,'2. GRI Pricing Inputs'!$C$82:$C$83,0),MATCH('1. Accomodation'!V193,'2. GRI Pricing Inputs'!$C$82:$AI$82,0)),0)</f>
        <v>0</v>
      </c>
      <c r="U189" s="273">
        <f>IFERROR(INDEX('2. GRI Pricing Inputs'!$C$89:$AI$90,MATCH('3. GRI Pricing'!$U$16,'2. GRI Pricing Inputs'!$C$89:$C$90,0),MATCH('1. Accomodation'!W193,'2. GRI Pricing Inputs'!$C$89:$AI$89,0)),0)</f>
        <v>-25</v>
      </c>
      <c r="V189" s="273">
        <f>IFERROR(INDEX('2. GRI Pricing Inputs'!$C$97:$AI$98,MATCH('3. GRI Pricing'!$V$16,'2. GRI Pricing Inputs'!$C$97:$C$98,0),MATCH('1. Accomodation'!X193,'2. GRI Pricing Inputs'!$C$97:$AI$97,0)),0)</f>
        <v>0</v>
      </c>
      <c r="W189" s="273">
        <f>IFERROR(INDEX('2. GRI Pricing Inputs'!$C$104:$AI$105,MATCH('3. GRI Pricing'!$W$16,'2. GRI Pricing Inputs'!$C$104:$C$105,0),MATCH('1. Accomodation'!Y193,'2. GRI Pricing Inputs'!$C$104:$AI$104,0)),0)</f>
        <v>0</v>
      </c>
      <c r="X189" s="274">
        <v>0</v>
      </c>
      <c r="Y189" s="275">
        <f t="shared" si="9"/>
        <v>940</v>
      </c>
      <c r="Z189" s="276"/>
      <c r="AA189" s="276"/>
      <c r="AB189" s="276"/>
      <c r="AC189" s="272">
        <f>Y189*(1+'2. GRI Pricing Inputs'!$D$114)^(($AC$16-$AB$15)/365)</f>
        <v>943.13643075346499</v>
      </c>
      <c r="AD189" s="273">
        <f>AC189*(1+'2. GRI Pricing Inputs'!$D$114)^((AD$16-AC$16)/365)</f>
        <v>946.18165013716578</v>
      </c>
      <c r="AE189" s="273">
        <f>AD189*(1+'2. GRI Pricing Inputs'!$D$114)^((AE$16-AD$16)/365)</f>
        <v>949.33870676041511</v>
      </c>
      <c r="AF189" s="273">
        <f>AE189*(1+'2. GRI Pricing Inputs'!$D$114)^((AF$16-AE$16)/365)</f>
        <v>952.50629730864705</v>
      </c>
      <c r="AG189" s="273">
        <f>AF189*(1+'2. GRI Pricing Inputs'!$D$114)^((AG$16-AF$16)/365)</f>
        <v>955.47909474565336</v>
      </c>
      <c r="AH189" s="273">
        <f>AG189*(1+'2. GRI Pricing Inputs'!$D$114)^((AH$16-AG$16)/365)</f>
        <v>958.66717348719919</v>
      </c>
      <c r="AI189" s="273">
        <f>AH189*(1+'2. GRI Pricing Inputs'!$D$114)^((AI$16-AH$16)/365)</f>
        <v>961.76253887022085</v>
      </c>
      <c r="AJ189" s="273">
        <f>AI189*(1+'2. GRI Pricing Inputs'!$D$114)^((AJ$16-AI$16)/365)</f>
        <v>964.97158313026671</v>
      </c>
      <c r="AK189" s="273">
        <f>AJ189*(1+'2. GRI Pricing Inputs'!$D$114)^((AK$16-AJ$16)/365)</f>
        <v>968.08730432801656</v>
      </c>
      <c r="AL189" s="273">
        <f>AK189*(1+'2. GRI Pricing Inputs'!$D$114)^((AL$16-AK$16)/365)</f>
        <v>971.31745198049884</v>
      </c>
      <c r="AM189" s="273">
        <f>AL189*(1+'2. GRI Pricing Inputs'!$D$114)^((AM$16-AL$16)/365)</f>
        <v>974.55837743557208</v>
      </c>
      <c r="AN189" s="273">
        <f>AM189*(1+'2. GRI Pricing Inputs'!$D$114)^((AN$16-AM$16)/365)</f>
        <v>977.70505268291026</v>
      </c>
      <c r="AO189" s="273">
        <f>AN189*(1+'2. GRI Pricing Inputs'!$D$114)^((AO$16-AN$16)/365)</f>
        <v>980.96729118828557</v>
      </c>
    </row>
    <row r="190" spans="3:41" ht="12" x14ac:dyDescent="0.2">
      <c r="C190" s="76" t="str">
        <f>'1. Accomodation'!N194</f>
        <v>4W</v>
      </c>
      <c r="D190" s="69" t="str">
        <f>'1. Accomodation'!P194</f>
        <v>1 Bed</v>
      </c>
      <c r="E190" s="69">
        <f>'1. Accomodation'!Q194</f>
        <v>1</v>
      </c>
      <c r="F190" s="77">
        <f>'1. Accomodation'!O194</f>
        <v>484</v>
      </c>
      <c r="G190" s="69" t="str">
        <f>'1. Accomodation'!R194</f>
        <v>Ground</v>
      </c>
      <c r="H190" s="69" t="str">
        <f>'1. Accomodation'!S194</f>
        <v>Fence</v>
      </c>
      <c r="I190" s="62"/>
      <c r="K190" s="272">
        <f>IFERROR(INDEX('2. GRI Pricing Inputs'!$C$15:$AI$16,MATCH($K$16,'2. GRI Pricing Inputs'!$C$15:$C$16,0),MATCH(D190,'2. GRI Pricing Inputs'!$C$15:$AI$15,0)),0)</f>
        <v>845</v>
      </c>
      <c r="L190" s="273">
        <f>IFERROR(INDEX('2. GRI Pricing Inputs'!$C$22:$AI$23,MATCH($L$16,'2. GRI Pricing Inputs'!$C$22:$C$23,0),MATCH(E190,'2. GRI Pricing Inputs'!$C$22:$AI$22,0)),0)</f>
        <v>0</v>
      </c>
      <c r="M190" s="328">
        <f>IF(AND('3. GRI Pricing'!$F190&gt;='2. GRI Pricing Inputs'!$D$33,'3. GRI Pricing'!$F190&lt;='2. GRI Pricing Inputs'!$E$33),'2. GRI Pricing Inputs'!$D$32,IF(AND('3. GRI Pricing'!$F190&gt;='2. GRI Pricing Inputs'!$F$33,'3. GRI Pricing'!$F190&lt;='2. GRI Pricing Inputs'!$G$33),'2. GRI Pricing Inputs'!$F$32,IF(AND('3. GRI Pricing'!$F190&gt;='2. GRI Pricing Inputs'!$H$33,'3. GRI Pricing'!$F190&lt;='2. GRI Pricing Inputs'!$I$33),'2. GRI Pricing Inputs'!$H$32,IF(AND('3. GRI Pricing'!$F190&gt;='2. GRI Pricing Inputs'!$J$33,'3. GRI Pricing'!$F190&lt;='2. GRI Pricing Inputs'!$K$33),'2. GRI Pricing Inputs'!$J$32,IF(AND('3. GRI Pricing'!$F190&gt;='2. GRI Pricing Inputs'!$L$33,'3. GRI Pricing'!$F190&lt;='2. GRI Pricing Inputs'!$M$33),'2. GRI Pricing Inputs'!$L$32,IF(AND('3. GRI Pricing'!$F190&gt;='2. GRI Pricing Inputs'!$N$33,'3. GRI Pricing'!$F190&lt;='2. GRI Pricing Inputs'!$O$33),'2. GRI Pricing Inputs'!$N$32,IF(AND('3. GRI Pricing'!$F190&gt;='2. GRI Pricing Inputs'!$P$33,'3. GRI Pricing'!$F190&lt;='2. GRI Pricing Inputs'!$Q$33),'2. GRI Pricing Inputs'!$P$32,IF(AND('3. GRI Pricing'!$F190&gt;='2. GRI Pricing Inputs'!$R$33,'3. GRI Pricing'!$F190&lt;='2. GRI Pricing Inputs'!$S$33),'2. GRI Pricing Inputs'!$R$32,IF(AND('3. GRI Pricing'!$F190&gt;='2. GRI Pricing Inputs'!$T$33,'3. GRI Pricing'!$F190&lt;='2. GRI Pricing Inputs'!$U$33),'2. GRI Pricing Inputs'!$T$32,IF(AND('3. GRI Pricing'!$F190&gt;='2. GRI Pricing Inputs'!$V$33,'3. GRI Pricing'!$F190&lt;='2. GRI Pricing Inputs'!$W$33),'2. GRI Pricing Inputs'!$V$32,IF(AND('3. GRI Pricing'!$F190&gt;='2. GRI Pricing Inputs'!$X$33,'3. GRI Pricing'!$F190&lt;='2. GRI Pricing Inputs'!$Y$33),'2. GRI Pricing Inputs'!$X$32,IF(AND('3. GRI Pricing'!$F190&gt;='2. GRI Pricing Inputs'!$Z$33,'3. GRI Pricing'!$F190&lt;='2. GRI Pricing Inputs'!$AA$33),'2. GRI Pricing Inputs'!$Z$32,IF(AND('3. GRI Pricing'!$F190&gt;='2. GRI Pricing Inputs'!$AB$33,'3. GRI Pricing'!$F190&lt;='2. GRI Pricing Inputs'!$AC$33),'2. GRI Pricing Inputs'!$AB$32,IF(AND('3. GRI Pricing'!$F190&gt;='2. GRI Pricing Inputs'!$AD$33,'3. GRI Pricing'!$F190&lt;='2. GRI Pricing Inputs'!$AE$33),'2. GRI Pricing Inputs'!$AD$32,IF(AND('3. GRI Pricing'!$F190&gt;='2. GRI Pricing Inputs'!$AF$33,'3. GRI Pricing'!$F190&lt;='2. GRI Pricing Inputs'!$AG$33),'2. GRI Pricing Inputs'!$AF$32,IF(AND('3. GRI Pricing'!$F190&gt;='2. GRI Pricing Inputs'!$AH$33,'3. GRI Pricing'!$F190&lt;='2. GRI Pricing Inputs'!$AI$33),'2. GRI Pricing Inputs'!$AH$32,0))))))))))))))))</f>
        <v>1</v>
      </c>
      <c r="N190" s="273" cm="1">
        <f t="array" ref="N190">IFERROR(INDEX('2. GRI Pricing Inputs'!$C$32:$AI$39,MATCH('3. GRI Pricing'!D190,'2. GRI Pricing Inputs'!$C$32:$C$39,0),(MATCH('3. GRI Pricing'!M190,'2. GRI Pricing Inputs'!$D$32:$AI$32,0)+1)),0)</f>
        <v>10</v>
      </c>
      <c r="O190" s="273">
        <f>IFERROR(INDEX('2. GRI Pricing Inputs'!$C$45:$AI$46,MATCH($O$16,'2. GRI Pricing Inputs'!$C$45:$C$46,0),MATCH(G190,'2. GRI Pricing Inputs'!$C$45:$AI$45,0)),0)</f>
        <v>0</v>
      </c>
      <c r="P190" s="273">
        <f>IFERROR(INDEX('2. GRI Pricing Inputs'!$C$53:$AI$54,MATCH('3. GRI Pricing'!$P$16,'2. GRI Pricing Inputs'!$C$53:$C$54,0),MATCH('3. GRI Pricing'!H190,'2. GRI Pricing Inputs'!$C$53:$AI$53,0)),0)</f>
        <v>0</v>
      </c>
      <c r="Q190" s="273">
        <f>IFERROR(INDEX('2. GRI Pricing Inputs'!$C$60:$AI$61,MATCH('3. GRI Pricing'!$Q$16,'2. GRI Pricing Inputs'!$C$60:$C$61,0),MATCH('1. Accomodation'!T194,'2. GRI Pricing Inputs'!$C$60:$AI$60,0)),0)</f>
        <v>0</v>
      </c>
      <c r="R190" s="273">
        <f>IFERROR(INDEX('2. GRI Pricing Inputs'!$C$67:$AI$68,MATCH('3. GRI Pricing'!$R$16,'2. GRI Pricing Inputs'!$C$67:$C$68,0),MATCH('1. Accomodation'!U194,'2. GRI Pricing Inputs'!$C$67:$AI$67,0)),0)</f>
        <v>0</v>
      </c>
      <c r="S190" s="273">
        <f>IF(D190=0,0,'2. GRI Pricing Inputs'!$AI$75)</f>
        <v>70</v>
      </c>
      <c r="T190" s="273">
        <f>IFERROR(INDEX('2. GRI Pricing Inputs'!$C$82:$AI$83,MATCH('3. GRI Pricing'!$T$16,'2. GRI Pricing Inputs'!$C$82:$C$83,0),MATCH('1. Accomodation'!V194,'2. GRI Pricing Inputs'!$C$82:$AI$82,0)),0)</f>
        <v>0</v>
      </c>
      <c r="U190" s="273">
        <f>IFERROR(INDEX('2. GRI Pricing Inputs'!$C$89:$AI$90,MATCH('3. GRI Pricing'!$U$16,'2. GRI Pricing Inputs'!$C$89:$C$90,0),MATCH('1. Accomodation'!W194,'2. GRI Pricing Inputs'!$C$89:$AI$89,0)),0)</f>
        <v>0</v>
      </c>
      <c r="V190" s="273">
        <f>IFERROR(INDEX('2. GRI Pricing Inputs'!$C$97:$AI$98,MATCH('3. GRI Pricing'!$V$16,'2. GRI Pricing Inputs'!$C$97:$C$98,0),MATCH('1. Accomodation'!X194,'2. GRI Pricing Inputs'!$C$97:$AI$97,0)),0)</f>
        <v>0</v>
      </c>
      <c r="W190" s="273">
        <f>IFERROR(INDEX('2. GRI Pricing Inputs'!$C$104:$AI$105,MATCH('3. GRI Pricing'!$W$16,'2. GRI Pricing Inputs'!$C$104:$C$105,0),MATCH('1. Accomodation'!Y194,'2. GRI Pricing Inputs'!$C$104:$AI$104,0)),0)</f>
        <v>0</v>
      </c>
      <c r="X190" s="274">
        <v>0</v>
      </c>
      <c r="Y190" s="275">
        <f t="shared" si="9"/>
        <v>925</v>
      </c>
      <c r="Z190" s="276"/>
      <c r="AA190" s="276"/>
      <c r="AB190" s="276"/>
      <c r="AC190" s="272">
        <f>Y190*(1+'2. GRI Pricing Inputs'!$D$114)^(($AC$16-$AB$15)/365)</f>
        <v>928.08638132654789</v>
      </c>
      <c r="AD190" s="273">
        <f>AC190*(1+'2. GRI Pricing Inputs'!$D$114)^((AD$16-AC$16)/365)</f>
        <v>931.08300678391299</v>
      </c>
      <c r="AE190" s="273">
        <f>AD190*(1+'2. GRI Pricing Inputs'!$D$114)^((AE$16-AD$16)/365)</f>
        <v>934.18968484402546</v>
      </c>
      <c r="AF190" s="273">
        <f>AE190*(1+'2. GRI Pricing Inputs'!$D$114)^((AF$16-AE$16)/365)</f>
        <v>937.30672873457286</v>
      </c>
      <c r="AG190" s="273">
        <f>AF190*(1+'2. GRI Pricing Inputs'!$D$114)^((AG$16-AF$16)/365)</f>
        <v>940.23208791460559</v>
      </c>
      <c r="AH190" s="273">
        <f>AG190*(1+'2. GRI Pricing Inputs'!$D$114)^((AH$16-AG$16)/365)</f>
        <v>943.36929305921194</v>
      </c>
      <c r="AI190" s="273">
        <f>AH190*(1+'2. GRI Pricing Inputs'!$D$114)^((AI$16-AH$16)/365)</f>
        <v>946.41526431378111</v>
      </c>
      <c r="AJ190" s="273">
        <f>AI190*(1+'2. GRI Pricing Inputs'!$D$114)^((AJ$16-AI$16)/365)</f>
        <v>949.57310042074107</v>
      </c>
      <c r="AK190" s="273">
        <f>AJ190*(1+'2. GRI Pricing Inputs'!$D$114)^((AK$16-AJ$16)/365)</f>
        <v>952.63910266320772</v>
      </c>
      <c r="AL190" s="273">
        <f>AK190*(1+'2. GRI Pricing Inputs'!$D$114)^((AL$16-AK$16)/365)</f>
        <v>955.81770540634193</v>
      </c>
      <c r="AM190" s="273">
        <f>AL190*(1+'2. GRI Pricing Inputs'!$D$114)^((AM$16-AL$16)/365)</f>
        <v>959.00691396585546</v>
      </c>
      <c r="AN190" s="273">
        <f>AM190*(1+'2. GRI Pricing Inputs'!$D$114)^((AN$16-AM$16)/365)</f>
        <v>962.10337631031052</v>
      </c>
      <c r="AO190" s="273">
        <f>AN190*(1+'2. GRI Pricing Inputs'!$D$114)^((AO$16-AN$16)/365)</f>
        <v>965.3135578182596</v>
      </c>
    </row>
    <row r="191" spans="3:41" ht="12" x14ac:dyDescent="0.2">
      <c r="C191" s="76" t="str">
        <f>'1. Accomodation'!N195</f>
        <v>5W</v>
      </c>
      <c r="D191" s="69" t="str">
        <f>'1. Accomodation'!P195</f>
        <v>2 Bed</v>
      </c>
      <c r="E191" s="69">
        <f>'1. Accomodation'!Q195</f>
        <v>2</v>
      </c>
      <c r="F191" s="77">
        <f>'1. Accomodation'!O195</f>
        <v>678</v>
      </c>
      <c r="G191" s="69" t="str">
        <f>'1. Accomodation'!R195</f>
        <v>Ground</v>
      </c>
      <c r="H191" s="69" t="str">
        <f>'1. Accomodation'!S195</f>
        <v>Fence</v>
      </c>
      <c r="I191" s="62"/>
      <c r="K191" s="272">
        <f>IFERROR(INDEX('2. GRI Pricing Inputs'!$C$15:$AI$16,MATCH($K$16,'2. GRI Pricing Inputs'!$C$15:$C$16,0),MATCH(D191,'2. GRI Pricing Inputs'!$C$15:$AI$15,0)),0)</f>
        <v>1110</v>
      </c>
      <c r="L191" s="273">
        <f>IFERROR(INDEX('2. GRI Pricing Inputs'!$C$22:$AI$23,MATCH($L$16,'2. GRI Pricing Inputs'!$C$22:$C$23,0),MATCH(E191,'2. GRI Pricing Inputs'!$C$22:$AI$22,0)),0)</f>
        <v>0</v>
      </c>
      <c r="M191" s="328">
        <f>IF(AND('3. GRI Pricing'!$F191&gt;='2. GRI Pricing Inputs'!$D$33,'3. GRI Pricing'!$F191&lt;='2. GRI Pricing Inputs'!$E$33),'2. GRI Pricing Inputs'!$D$32,IF(AND('3. GRI Pricing'!$F191&gt;='2. GRI Pricing Inputs'!$F$33,'3. GRI Pricing'!$F191&lt;='2. GRI Pricing Inputs'!$G$33),'2. GRI Pricing Inputs'!$F$32,IF(AND('3. GRI Pricing'!$F191&gt;='2. GRI Pricing Inputs'!$H$33,'3. GRI Pricing'!$F191&lt;='2. GRI Pricing Inputs'!$I$33),'2. GRI Pricing Inputs'!$H$32,IF(AND('3. GRI Pricing'!$F191&gt;='2. GRI Pricing Inputs'!$J$33,'3. GRI Pricing'!$F191&lt;='2. GRI Pricing Inputs'!$K$33),'2. GRI Pricing Inputs'!$J$32,IF(AND('3. GRI Pricing'!$F191&gt;='2. GRI Pricing Inputs'!$L$33,'3. GRI Pricing'!$F191&lt;='2. GRI Pricing Inputs'!$M$33),'2. GRI Pricing Inputs'!$L$32,IF(AND('3. GRI Pricing'!$F191&gt;='2. GRI Pricing Inputs'!$N$33,'3. GRI Pricing'!$F191&lt;='2. GRI Pricing Inputs'!$O$33),'2. GRI Pricing Inputs'!$N$32,IF(AND('3. GRI Pricing'!$F191&gt;='2. GRI Pricing Inputs'!$P$33,'3. GRI Pricing'!$F191&lt;='2. GRI Pricing Inputs'!$Q$33),'2. GRI Pricing Inputs'!$P$32,IF(AND('3. GRI Pricing'!$F191&gt;='2. GRI Pricing Inputs'!$R$33,'3. GRI Pricing'!$F191&lt;='2. GRI Pricing Inputs'!$S$33),'2. GRI Pricing Inputs'!$R$32,IF(AND('3. GRI Pricing'!$F191&gt;='2. GRI Pricing Inputs'!$T$33,'3. GRI Pricing'!$F191&lt;='2. GRI Pricing Inputs'!$U$33),'2. GRI Pricing Inputs'!$T$32,IF(AND('3. GRI Pricing'!$F191&gt;='2. GRI Pricing Inputs'!$V$33,'3. GRI Pricing'!$F191&lt;='2. GRI Pricing Inputs'!$W$33),'2. GRI Pricing Inputs'!$V$32,IF(AND('3. GRI Pricing'!$F191&gt;='2. GRI Pricing Inputs'!$X$33,'3. GRI Pricing'!$F191&lt;='2. GRI Pricing Inputs'!$Y$33),'2. GRI Pricing Inputs'!$X$32,IF(AND('3. GRI Pricing'!$F191&gt;='2. GRI Pricing Inputs'!$Z$33,'3. GRI Pricing'!$F191&lt;='2. GRI Pricing Inputs'!$AA$33),'2. GRI Pricing Inputs'!$Z$32,IF(AND('3. GRI Pricing'!$F191&gt;='2. GRI Pricing Inputs'!$AB$33,'3. GRI Pricing'!$F191&lt;='2. GRI Pricing Inputs'!$AC$33),'2. GRI Pricing Inputs'!$AB$32,IF(AND('3. GRI Pricing'!$F191&gt;='2. GRI Pricing Inputs'!$AD$33,'3. GRI Pricing'!$F191&lt;='2. GRI Pricing Inputs'!$AE$33),'2. GRI Pricing Inputs'!$AD$32,IF(AND('3. GRI Pricing'!$F191&gt;='2. GRI Pricing Inputs'!$AF$33,'3. GRI Pricing'!$F191&lt;='2. GRI Pricing Inputs'!$AG$33),'2. GRI Pricing Inputs'!$AF$32,IF(AND('3. GRI Pricing'!$F191&gt;='2. GRI Pricing Inputs'!$AH$33,'3. GRI Pricing'!$F191&lt;='2. GRI Pricing Inputs'!$AI$33),'2. GRI Pricing Inputs'!$AH$32,0))))))))))))))))</f>
        <v>10</v>
      </c>
      <c r="N191" s="273" cm="1">
        <f t="array" ref="N191">IFERROR(INDEX('2. GRI Pricing Inputs'!$C$32:$AI$39,MATCH('3. GRI Pricing'!D191,'2. GRI Pricing Inputs'!$C$32:$C$39,0),(MATCH('3. GRI Pricing'!M191,'2. GRI Pricing Inputs'!$D$32:$AI$32,0)+1)),0)</f>
        <v>40</v>
      </c>
      <c r="O191" s="273">
        <f>IFERROR(INDEX('2. GRI Pricing Inputs'!$C$45:$AI$46,MATCH($O$16,'2. GRI Pricing Inputs'!$C$45:$C$46,0),MATCH(G191,'2. GRI Pricing Inputs'!$C$45:$AI$45,0)),0)</f>
        <v>0</v>
      </c>
      <c r="P191" s="273">
        <f>IFERROR(INDEX('2. GRI Pricing Inputs'!$C$53:$AI$54,MATCH('3. GRI Pricing'!$P$16,'2. GRI Pricing Inputs'!$C$53:$C$54,0),MATCH('3. GRI Pricing'!H191,'2. GRI Pricing Inputs'!$C$53:$AI$53,0)),0)</f>
        <v>0</v>
      </c>
      <c r="Q191" s="273">
        <f>IFERROR(INDEX('2. GRI Pricing Inputs'!$C$60:$AI$61,MATCH('3. GRI Pricing'!$Q$16,'2. GRI Pricing Inputs'!$C$60:$C$61,0),MATCH('1. Accomodation'!T195,'2. GRI Pricing Inputs'!$C$60:$AI$60,0)),0)</f>
        <v>0</v>
      </c>
      <c r="R191" s="273">
        <f>IFERROR(INDEX('2. GRI Pricing Inputs'!$C$67:$AI$68,MATCH('3. GRI Pricing'!$R$16,'2. GRI Pricing Inputs'!$C$67:$C$68,0),MATCH('1. Accomodation'!U195,'2. GRI Pricing Inputs'!$C$67:$AI$67,0)),0)</f>
        <v>0</v>
      </c>
      <c r="S191" s="273">
        <f>IF(D191=0,0,'2. GRI Pricing Inputs'!$AI$75)</f>
        <v>70</v>
      </c>
      <c r="T191" s="273">
        <f>IFERROR(INDEX('2. GRI Pricing Inputs'!$C$82:$AI$83,MATCH('3. GRI Pricing'!$T$16,'2. GRI Pricing Inputs'!$C$82:$C$83,0),MATCH('1. Accomodation'!V195,'2. GRI Pricing Inputs'!$C$82:$AI$82,0)),0)</f>
        <v>20</v>
      </c>
      <c r="U191" s="273">
        <f>IFERROR(INDEX('2. GRI Pricing Inputs'!$C$89:$AI$90,MATCH('3. GRI Pricing'!$U$16,'2. GRI Pricing Inputs'!$C$89:$C$90,0),MATCH('1. Accomodation'!W195,'2. GRI Pricing Inputs'!$C$89:$AI$89,0)),0)</f>
        <v>-25</v>
      </c>
      <c r="V191" s="273">
        <f>IFERROR(INDEX('2. GRI Pricing Inputs'!$C$97:$AI$98,MATCH('3. GRI Pricing'!$V$16,'2. GRI Pricing Inputs'!$C$97:$C$98,0),MATCH('1. Accomodation'!X195,'2. GRI Pricing Inputs'!$C$97:$AI$97,0)),0)</f>
        <v>0</v>
      </c>
      <c r="W191" s="273">
        <f>IFERROR(INDEX('2. GRI Pricing Inputs'!$C$104:$AI$105,MATCH('3. GRI Pricing'!$W$16,'2. GRI Pricing Inputs'!$C$104:$C$105,0),MATCH('1. Accomodation'!Y195,'2. GRI Pricing Inputs'!$C$104:$AI$104,0)),0)</f>
        <v>0</v>
      </c>
      <c r="X191" s="274">
        <v>0</v>
      </c>
      <c r="Y191" s="275">
        <f t="shared" si="9"/>
        <v>1215</v>
      </c>
      <c r="Z191" s="276"/>
      <c r="AA191" s="276"/>
      <c r="AB191" s="276"/>
      <c r="AC191" s="272">
        <f>Y191*(1+'2. GRI Pricing Inputs'!$D$114)^(($AC$16-$AB$15)/365)</f>
        <v>1219.0540035802765</v>
      </c>
      <c r="AD191" s="273">
        <f>AC191*(1+'2. GRI Pricing Inputs'!$D$114)^((AD$16-AC$16)/365)</f>
        <v>1222.9901116134643</v>
      </c>
      <c r="AE191" s="273">
        <f>AD191*(1+'2. GRI Pricing Inputs'!$D$114)^((AE$16-AD$16)/365)</f>
        <v>1227.0707752275578</v>
      </c>
      <c r="AF191" s="273">
        <f>AE191*(1+'2. GRI Pricing Inputs'!$D$114)^((AF$16-AE$16)/365)</f>
        <v>1231.1650545000064</v>
      </c>
      <c r="AG191" s="273">
        <f>AF191*(1+'2. GRI Pricing Inputs'!$D$114)^((AG$16-AF$16)/365)</f>
        <v>1235.0075533148602</v>
      </c>
      <c r="AH191" s="273">
        <f>AG191*(1+'2. GRI Pricing Inputs'!$D$114)^((AH$16-AG$16)/365)</f>
        <v>1239.1283146669646</v>
      </c>
      <c r="AI191" s="273">
        <f>AH191*(1+'2. GRI Pricing Inputs'!$D$114)^((AI$16-AH$16)/365)</f>
        <v>1243.1292390716148</v>
      </c>
      <c r="AJ191" s="273">
        <f>AI191*(1+'2. GRI Pricing Inputs'!$D$114)^((AJ$16-AI$16)/365)</f>
        <v>1247.2770994715677</v>
      </c>
      <c r="AK191" s="273">
        <f>AJ191*(1+'2. GRI Pricing Inputs'!$D$114)^((AK$16-AJ$16)/365)</f>
        <v>1251.3043348495103</v>
      </c>
      <c r="AL191" s="273">
        <f>AK191*(1+'2. GRI Pricing Inputs'!$D$114)^((AL$16-AK$16)/365)</f>
        <v>1255.4794725067081</v>
      </c>
      <c r="AM191" s="273">
        <f>AL191*(1+'2. GRI Pricing Inputs'!$D$114)^((AM$16-AL$16)/365)</f>
        <v>1259.6685410470423</v>
      </c>
      <c r="AN191" s="273">
        <f>AM191*(1+'2. GRI Pricing Inputs'!$D$114)^((AN$16-AM$16)/365)</f>
        <v>1263.7357861805697</v>
      </c>
      <c r="AO191" s="273">
        <f>AN191*(1+'2. GRI Pricing Inputs'!$D$114)^((AO$16-AN$16)/365)</f>
        <v>1267.9524029720919</v>
      </c>
    </row>
    <row r="192" spans="3:41" ht="12" x14ac:dyDescent="0.2">
      <c r="C192" s="76" t="str">
        <f>'1. Accomodation'!N196</f>
        <v>6W</v>
      </c>
      <c r="D192" s="69" t="str">
        <f>'1. Accomodation'!P196</f>
        <v>2 Bed</v>
      </c>
      <c r="E192" s="69">
        <f>'1. Accomodation'!Q196</f>
        <v>2</v>
      </c>
      <c r="F192" s="77">
        <f>'1. Accomodation'!O196</f>
        <v>743</v>
      </c>
      <c r="G192" s="69" t="str">
        <f>'1. Accomodation'!R196</f>
        <v>Ground</v>
      </c>
      <c r="H192" s="69" t="str">
        <f>'1. Accomodation'!S196</f>
        <v>Courtyard</v>
      </c>
      <c r="I192" s="62"/>
      <c r="K192" s="272">
        <f>IFERROR(INDEX('2. GRI Pricing Inputs'!$C$15:$AI$16,MATCH($K$16,'2. GRI Pricing Inputs'!$C$15:$C$16,0),MATCH(D192,'2. GRI Pricing Inputs'!$C$15:$AI$15,0)),0)</f>
        <v>1110</v>
      </c>
      <c r="L192" s="273">
        <f>IFERROR(INDEX('2. GRI Pricing Inputs'!$C$22:$AI$23,MATCH($L$16,'2. GRI Pricing Inputs'!$C$22:$C$23,0),MATCH(E192,'2. GRI Pricing Inputs'!$C$22:$AI$22,0)),0)</f>
        <v>0</v>
      </c>
      <c r="M192" s="328">
        <f>IF(AND('3. GRI Pricing'!$F192&gt;='2. GRI Pricing Inputs'!$D$33,'3. GRI Pricing'!$F192&lt;='2. GRI Pricing Inputs'!$E$33),'2. GRI Pricing Inputs'!$D$32,IF(AND('3. GRI Pricing'!$F192&gt;='2. GRI Pricing Inputs'!$F$33,'3. GRI Pricing'!$F192&lt;='2. GRI Pricing Inputs'!$G$33),'2. GRI Pricing Inputs'!$F$32,IF(AND('3. GRI Pricing'!$F192&gt;='2. GRI Pricing Inputs'!$H$33,'3. GRI Pricing'!$F192&lt;='2. GRI Pricing Inputs'!$I$33),'2. GRI Pricing Inputs'!$H$32,IF(AND('3. GRI Pricing'!$F192&gt;='2. GRI Pricing Inputs'!$J$33,'3. GRI Pricing'!$F192&lt;='2. GRI Pricing Inputs'!$K$33),'2. GRI Pricing Inputs'!$J$32,IF(AND('3. GRI Pricing'!$F192&gt;='2. GRI Pricing Inputs'!$L$33,'3. GRI Pricing'!$F192&lt;='2. GRI Pricing Inputs'!$M$33),'2. GRI Pricing Inputs'!$L$32,IF(AND('3. GRI Pricing'!$F192&gt;='2. GRI Pricing Inputs'!$N$33,'3. GRI Pricing'!$F192&lt;='2. GRI Pricing Inputs'!$O$33),'2. GRI Pricing Inputs'!$N$32,IF(AND('3. GRI Pricing'!$F192&gt;='2. GRI Pricing Inputs'!$P$33,'3. GRI Pricing'!$F192&lt;='2. GRI Pricing Inputs'!$Q$33),'2. GRI Pricing Inputs'!$P$32,IF(AND('3. GRI Pricing'!$F192&gt;='2. GRI Pricing Inputs'!$R$33,'3. GRI Pricing'!$F192&lt;='2. GRI Pricing Inputs'!$S$33),'2. GRI Pricing Inputs'!$R$32,IF(AND('3. GRI Pricing'!$F192&gt;='2. GRI Pricing Inputs'!$T$33,'3. GRI Pricing'!$F192&lt;='2. GRI Pricing Inputs'!$U$33),'2. GRI Pricing Inputs'!$T$32,IF(AND('3. GRI Pricing'!$F192&gt;='2. GRI Pricing Inputs'!$V$33,'3. GRI Pricing'!$F192&lt;='2. GRI Pricing Inputs'!$W$33),'2. GRI Pricing Inputs'!$V$32,IF(AND('3. GRI Pricing'!$F192&gt;='2. GRI Pricing Inputs'!$X$33,'3. GRI Pricing'!$F192&lt;='2. GRI Pricing Inputs'!$Y$33),'2. GRI Pricing Inputs'!$X$32,IF(AND('3. GRI Pricing'!$F192&gt;='2. GRI Pricing Inputs'!$Z$33,'3. GRI Pricing'!$F192&lt;='2. GRI Pricing Inputs'!$AA$33),'2. GRI Pricing Inputs'!$Z$32,IF(AND('3. GRI Pricing'!$F192&gt;='2. GRI Pricing Inputs'!$AB$33,'3. GRI Pricing'!$F192&lt;='2. GRI Pricing Inputs'!$AC$33),'2. GRI Pricing Inputs'!$AB$32,IF(AND('3. GRI Pricing'!$F192&gt;='2. GRI Pricing Inputs'!$AD$33,'3. GRI Pricing'!$F192&lt;='2. GRI Pricing Inputs'!$AE$33),'2. GRI Pricing Inputs'!$AD$32,IF(AND('3. GRI Pricing'!$F192&gt;='2. GRI Pricing Inputs'!$AF$33,'3. GRI Pricing'!$F192&lt;='2. GRI Pricing Inputs'!$AG$33),'2. GRI Pricing Inputs'!$AF$32,IF(AND('3. GRI Pricing'!$F192&gt;='2. GRI Pricing Inputs'!$AH$33,'3. GRI Pricing'!$F192&lt;='2. GRI Pricing Inputs'!$AI$33),'2. GRI Pricing Inputs'!$AH$32,0))))))))))))))))</f>
        <v>0</v>
      </c>
      <c r="N192" s="273" cm="1">
        <f t="array" ref="N192">IFERROR(INDEX('2. GRI Pricing Inputs'!$C$32:$AI$39,MATCH('3. GRI Pricing'!D192,'2. GRI Pricing Inputs'!$C$32:$C$39,0),(MATCH('3. GRI Pricing'!M192,'2. GRI Pricing Inputs'!$D$32:$AI$32,0)+1)),0)</f>
        <v>0</v>
      </c>
      <c r="O192" s="273">
        <f>IFERROR(INDEX('2. GRI Pricing Inputs'!$C$45:$AI$46,MATCH($O$16,'2. GRI Pricing Inputs'!$C$45:$C$46,0),MATCH(G192,'2. GRI Pricing Inputs'!$C$45:$AI$45,0)),0)</f>
        <v>0</v>
      </c>
      <c r="P192" s="273">
        <f>IFERROR(INDEX('2. GRI Pricing Inputs'!$C$53:$AI$54,MATCH('3. GRI Pricing'!$P$16,'2. GRI Pricing Inputs'!$C$53:$C$54,0),MATCH('3. GRI Pricing'!H192,'2. GRI Pricing Inputs'!$C$53:$AI$53,0)),0)</f>
        <v>25</v>
      </c>
      <c r="Q192" s="273">
        <f>IFERROR(INDEX('2. GRI Pricing Inputs'!$C$60:$AI$61,MATCH('3. GRI Pricing'!$Q$16,'2. GRI Pricing Inputs'!$C$60:$C$61,0),MATCH('1. Accomodation'!T196,'2. GRI Pricing Inputs'!$C$60:$AI$60,0)),0)</f>
        <v>0</v>
      </c>
      <c r="R192" s="273">
        <f>IFERROR(INDEX('2. GRI Pricing Inputs'!$C$67:$AI$68,MATCH('3. GRI Pricing'!$R$16,'2. GRI Pricing Inputs'!$C$67:$C$68,0),MATCH('1. Accomodation'!U196,'2. GRI Pricing Inputs'!$C$67:$AI$67,0)),0)</f>
        <v>0</v>
      </c>
      <c r="S192" s="273">
        <f>IF(D192=0,0,'2. GRI Pricing Inputs'!$AI$75)</f>
        <v>70</v>
      </c>
      <c r="T192" s="273">
        <f>IFERROR(INDEX('2. GRI Pricing Inputs'!$C$82:$AI$83,MATCH('3. GRI Pricing'!$T$16,'2. GRI Pricing Inputs'!$C$82:$C$83,0),MATCH('1. Accomodation'!V196,'2. GRI Pricing Inputs'!$C$82:$AI$82,0)),0)</f>
        <v>0</v>
      </c>
      <c r="U192" s="273">
        <f>IFERROR(INDEX('2. GRI Pricing Inputs'!$C$89:$AI$90,MATCH('3. GRI Pricing'!$U$16,'2. GRI Pricing Inputs'!$C$89:$C$90,0),MATCH('1. Accomodation'!W196,'2. GRI Pricing Inputs'!$C$89:$AI$89,0)),0)</f>
        <v>0</v>
      </c>
      <c r="V192" s="273">
        <f>IFERROR(INDEX('2. GRI Pricing Inputs'!$C$97:$AI$98,MATCH('3. GRI Pricing'!$V$16,'2. GRI Pricing Inputs'!$C$97:$C$98,0),MATCH('1. Accomodation'!X196,'2. GRI Pricing Inputs'!$C$97:$AI$97,0)),0)</f>
        <v>0</v>
      </c>
      <c r="W192" s="273">
        <f>IFERROR(INDEX('2. GRI Pricing Inputs'!$C$104:$AI$105,MATCH('3. GRI Pricing'!$W$16,'2. GRI Pricing Inputs'!$C$104:$C$105,0),MATCH('1. Accomodation'!Y196,'2. GRI Pricing Inputs'!$C$104:$AI$104,0)),0)</f>
        <v>0</v>
      </c>
      <c r="X192" s="274">
        <v>90</v>
      </c>
      <c r="Y192" s="275">
        <f t="shared" si="9"/>
        <v>1295</v>
      </c>
      <c r="Z192" s="276"/>
      <c r="AA192" s="276"/>
      <c r="AB192" s="276"/>
      <c r="AC192" s="272">
        <f>Y192*(1+'2. GRI Pricing Inputs'!$D$114)^(($AC$16-$AB$15)/365)</f>
        <v>1299.3209338571671</v>
      </c>
      <c r="AD192" s="273">
        <f>AC192*(1+'2. GRI Pricing Inputs'!$D$114)^((AD$16-AC$16)/365)</f>
        <v>1303.5162094974783</v>
      </c>
      <c r="AE192" s="273">
        <f>AD192*(1+'2. GRI Pricing Inputs'!$D$114)^((AE$16-AD$16)/365)</f>
        <v>1307.8655587816356</v>
      </c>
      <c r="AF192" s="273">
        <f>AE192*(1+'2. GRI Pricing Inputs'!$D$114)^((AF$16-AE$16)/365)</f>
        <v>1312.229420228402</v>
      </c>
      <c r="AG192" s="273">
        <f>AF192*(1+'2. GRI Pricing Inputs'!$D$114)^((AG$16-AF$16)/365)</f>
        <v>1316.3249230804479</v>
      </c>
      <c r="AH192" s="273">
        <f>AG192*(1+'2. GRI Pricing Inputs'!$D$114)^((AH$16-AG$16)/365)</f>
        <v>1320.7170102828968</v>
      </c>
      <c r="AI192" s="273">
        <f>AH192*(1+'2. GRI Pricing Inputs'!$D$114)^((AI$16-AH$16)/365)</f>
        <v>1324.9813700392936</v>
      </c>
      <c r="AJ192" s="273">
        <f>AI192*(1+'2. GRI Pricing Inputs'!$D$114)^((AJ$16-AI$16)/365)</f>
        <v>1329.4023405890375</v>
      </c>
      <c r="AK192" s="273">
        <f>AJ192*(1+'2. GRI Pricing Inputs'!$D$114)^((AK$16-AJ$16)/365)</f>
        <v>1333.6947437284907</v>
      </c>
      <c r="AL192" s="273">
        <f>AK192*(1+'2. GRI Pricing Inputs'!$D$114)^((AL$16-AK$16)/365)</f>
        <v>1338.1447875688787</v>
      </c>
      <c r="AM192" s="273">
        <f>AL192*(1+'2. GRI Pricing Inputs'!$D$114)^((AM$16-AL$16)/365)</f>
        <v>1342.6096795521976</v>
      </c>
      <c r="AN192" s="273">
        <f>AM192*(1+'2. GRI Pricing Inputs'!$D$114)^((AN$16-AM$16)/365)</f>
        <v>1346.9447268344347</v>
      </c>
      <c r="AO192" s="273">
        <f>AN192*(1+'2. GRI Pricing Inputs'!$D$114)^((AO$16-AN$16)/365)</f>
        <v>1351.4389809455633</v>
      </c>
    </row>
    <row r="193" spans="3:41" ht="12" x14ac:dyDescent="0.2">
      <c r="C193" s="76" t="str">
        <f>'1. Accomodation'!N197</f>
        <v>7W</v>
      </c>
      <c r="D193" s="69" t="str">
        <f>'1. Accomodation'!P197</f>
        <v>2 Bed</v>
      </c>
      <c r="E193" s="69">
        <f>'1. Accomodation'!Q197</f>
        <v>2</v>
      </c>
      <c r="F193" s="77">
        <f>'1. Accomodation'!O197</f>
        <v>710</v>
      </c>
      <c r="G193" s="69" t="str">
        <f>'1. Accomodation'!R197</f>
        <v>Ground</v>
      </c>
      <c r="H193" s="69" t="str">
        <f>'1. Accomodation'!S197</f>
        <v>Courtyard</v>
      </c>
      <c r="I193" s="62"/>
      <c r="K193" s="272">
        <f>IFERROR(INDEX('2. GRI Pricing Inputs'!$C$15:$AI$16,MATCH($K$16,'2. GRI Pricing Inputs'!$C$15:$C$16,0),MATCH(D193,'2. GRI Pricing Inputs'!$C$15:$AI$15,0)),0)</f>
        <v>1110</v>
      </c>
      <c r="L193" s="273">
        <f>IFERROR(INDEX('2. GRI Pricing Inputs'!$C$22:$AI$23,MATCH($L$16,'2. GRI Pricing Inputs'!$C$22:$C$23,0),MATCH(E193,'2. GRI Pricing Inputs'!$C$22:$AI$22,0)),0)</f>
        <v>0</v>
      </c>
      <c r="M193" s="328">
        <f>IF(AND('3. GRI Pricing'!$F193&gt;='2. GRI Pricing Inputs'!$D$33,'3. GRI Pricing'!$F193&lt;='2. GRI Pricing Inputs'!$E$33),'2. GRI Pricing Inputs'!$D$32,IF(AND('3. GRI Pricing'!$F193&gt;='2. GRI Pricing Inputs'!$F$33,'3. GRI Pricing'!$F193&lt;='2. GRI Pricing Inputs'!$G$33),'2. GRI Pricing Inputs'!$F$32,IF(AND('3. GRI Pricing'!$F193&gt;='2. GRI Pricing Inputs'!$H$33,'3. GRI Pricing'!$F193&lt;='2. GRI Pricing Inputs'!$I$33),'2. GRI Pricing Inputs'!$H$32,IF(AND('3. GRI Pricing'!$F193&gt;='2. GRI Pricing Inputs'!$J$33,'3. GRI Pricing'!$F193&lt;='2. GRI Pricing Inputs'!$K$33),'2. GRI Pricing Inputs'!$J$32,IF(AND('3. GRI Pricing'!$F193&gt;='2. GRI Pricing Inputs'!$L$33,'3. GRI Pricing'!$F193&lt;='2. GRI Pricing Inputs'!$M$33),'2. GRI Pricing Inputs'!$L$32,IF(AND('3. GRI Pricing'!$F193&gt;='2. GRI Pricing Inputs'!$N$33,'3. GRI Pricing'!$F193&lt;='2. GRI Pricing Inputs'!$O$33),'2. GRI Pricing Inputs'!$N$32,IF(AND('3. GRI Pricing'!$F193&gt;='2. GRI Pricing Inputs'!$P$33,'3. GRI Pricing'!$F193&lt;='2. GRI Pricing Inputs'!$Q$33),'2. GRI Pricing Inputs'!$P$32,IF(AND('3. GRI Pricing'!$F193&gt;='2. GRI Pricing Inputs'!$R$33,'3. GRI Pricing'!$F193&lt;='2. GRI Pricing Inputs'!$S$33),'2. GRI Pricing Inputs'!$R$32,IF(AND('3. GRI Pricing'!$F193&gt;='2. GRI Pricing Inputs'!$T$33,'3. GRI Pricing'!$F193&lt;='2. GRI Pricing Inputs'!$U$33),'2. GRI Pricing Inputs'!$T$32,IF(AND('3. GRI Pricing'!$F193&gt;='2. GRI Pricing Inputs'!$V$33,'3. GRI Pricing'!$F193&lt;='2. GRI Pricing Inputs'!$W$33),'2. GRI Pricing Inputs'!$V$32,IF(AND('3. GRI Pricing'!$F193&gt;='2. GRI Pricing Inputs'!$X$33,'3. GRI Pricing'!$F193&lt;='2. GRI Pricing Inputs'!$Y$33),'2. GRI Pricing Inputs'!$X$32,IF(AND('3. GRI Pricing'!$F193&gt;='2. GRI Pricing Inputs'!$Z$33,'3. GRI Pricing'!$F193&lt;='2. GRI Pricing Inputs'!$AA$33),'2. GRI Pricing Inputs'!$Z$32,IF(AND('3. GRI Pricing'!$F193&gt;='2. GRI Pricing Inputs'!$AB$33,'3. GRI Pricing'!$F193&lt;='2. GRI Pricing Inputs'!$AC$33),'2. GRI Pricing Inputs'!$AB$32,IF(AND('3. GRI Pricing'!$F193&gt;='2. GRI Pricing Inputs'!$AD$33,'3. GRI Pricing'!$F193&lt;='2. GRI Pricing Inputs'!$AE$33),'2. GRI Pricing Inputs'!$AD$32,IF(AND('3. GRI Pricing'!$F193&gt;='2. GRI Pricing Inputs'!$AF$33,'3. GRI Pricing'!$F193&lt;='2. GRI Pricing Inputs'!$AG$33),'2. GRI Pricing Inputs'!$AF$32,IF(AND('3. GRI Pricing'!$F193&gt;='2. GRI Pricing Inputs'!$AH$33,'3. GRI Pricing'!$F193&lt;='2. GRI Pricing Inputs'!$AI$33),'2. GRI Pricing Inputs'!$AH$32,0))))))))))))))))</f>
        <v>0</v>
      </c>
      <c r="N193" s="273" cm="1">
        <f t="array" ref="N193">IFERROR(INDEX('2. GRI Pricing Inputs'!$C$32:$AI$39,MATCH('3. GRI Pricing'!D193,'2. GRI Pricing Inputs'!$C$32:$C$39,0),(MATCH('3. GRI Pricing'!M193,'2. GRI Pricing Inputs'!$D$32:$AI$32,0)+1)),0)</f>
        <v>0</v>
      </c>
      <c r="O193" s="273">
        <f>IFERROR(INDEX('2. GRI Pricing Inputs'!$C$45:$AI$46,MATCH($O$16,'2. GRI Pricing Inputs'!$C$45:$C$46,0),MATCH(G193,'2. GRI Pricing Inputs'!$C$45:$AI$45,0)),0)</f>
        <v>0</v>
      </c>
      <c r="P193" s="273">
        <f>IFERROR(INDEX('2. GRI Pricing Inputs'!$C$53:$AI$54,MATCH('3. GRI Pricing'!$P$16,'2. GRI Pricing Inputs'!$C$53:$C$54,0),MATCH('3. GRI Pricing'!H193,'2. GRI Pricing Inputs'!$C$53:$AI$53,0)),0)</f>
        <v>25</v>
      </c>
      <c r="Q193" s="273">
        <f>IFERROR(INDEX('2. GRI Pricing Inputs'!$C$60:$AI$61,MATCH('3. GRI Pricing'!$Q$16,'2. GRI Pricing Inputs'!$C$60:$C$61,0),MATCH('1. Accomodation'!T197,'2. GRI Pricing Inputs'!$C$60:$AI$60,0)),0)</f>
        <v>0</v>
      </c>
      <c r="R193" s="273">
        <f>IFERROR(INDEX('2. GRI Pricing Inputs'!$C$67:$AI$68,MATCH('3. GRI Pricing'!$R$16,'2. GRI Pricing Inputs'!$C$67:$C$68,0),MATCH('1. Accomodation'!U197,'2. GRI Pricing Inputs'!$C$67:$AI$67,0)),0)</f>
        <v>0</v>
      </c>
      <c r="S193" s="273">
        <f>IF(D193=0,0,'2. GRI Pricing Inputs'!$AI$75)</f>
        <v>70</v>
      </c>
      <c r="T193" s="273">
        <f>IFERROR(INDEX('2. GRI Pricing Inputs'!$C$82:$AI$83,MATCH('3. GRI Pricing'!$T$16,'2. GRI Pricing Inputs'!$C$82:$C$83,0),MATCH('1. Accomodation'!V197,'2. GRI Pricing Inputs'!$C$82:$AI$82,0)),0)</f>
        <v>20</v>
      </c>
      <c r="U193" s="273">
        <f>IFERROR(INDEX('2. GRI Pricing Inputs'!$C$89:$AI$90,MATCH('3. GRI Pricing'!$U$16,'2. GRI Pricing Inputs'!$C$89:$C$90,0),MATCH('1. Accomodation'!W197,'2. GRI Pricing Inputs'!$C$89:$AI$89,0)),0)</f>
        <v>0</v>
      </c>
      <c r="V193" s="273">
        <f>IFERROR(INDEX('2. GRI Pricing Inputs'!$C$97:$AI$98,MATCH('3. GRI Pricing'!$V$16,'2. GRI Pricing Inputs'!$C$97:$C$98,0),MATCH('1. Accomodation'!X197,'2. GRI Pricing Inputs'!$C$97:$AI$97,0)),0)</f>
        <v>0</v>
      </c>
      <c r="W193" s="273">
        <f>IFERROR(INDEX('2. GRI Pricing Inputs'!$C$104:$AI$105,MATCH('3. GRI Pricing'!$W$16,'2. GRI Pricing Inputs'!$C$104:$C$105,0),MATCH('1. Accomodation'!Y197,'2. GRI Pricing Inputs'!$C$104:$AI$104,0)),0)</f>
        <v>0</v>
      </c>
      <c r="X193" s="274">
        <v>80</v>
      </c>
      <c r="Y193" s="275">
        <f t="shared" si="9"/>
        <v>1305</v>
      </c>
      <c r="Z193" s="276"/>
      <c r="AA193" s="276"/>
      <c r="AB193" s="276"/>
      <c r="AC193" s="272">
        <f>Y193*(1+'2. GRI Pricing Inputs'!$D$114)^(($AC$16-$AB$15)/365)</f>
        <v>1309.3543001417784</v>
      </c>
      <c r="AD193" s="273">
        <f>AC193*(1+'2. GRI Pricing Inputs'!$D$114)^((AD$16-AC$16)/365)</f>
        <v>1313.58197173298</v>
      </c>
      <c r="AE193" s="273">
        <f>AD193*(1+'2. GRI Pricing Inputs'!$D$114)^((AE$16-AD$16)/365)</f>
        <v>1317.9649067258954</v>
      </c>
      <c r="AF193" s="273">
        <f>AE193*(1+'2. GRI Pricing Inputs'!$D$114)^((AF$16-AE$16)/365)</f>
        <v>1322.3624659444515</v>
      </c>
      <c r="AG193" s="273">
        <f>AF193*(1+'2. GRI Pricing Inputs'!$D$114)^((AG$16-AF$16)/365)</f>
        <v>1326.4895943011463</v>
      </c>
      <c r="AH193" s="273">
        <f>AG193*(1+'2. GRI Pricing Inputs'!$D$114)^((AH$16-AG$16)/365)</f>
        <v>1330.9155972348881</v>
      </c>
      <c r="AI193" s="273">
        <f>AH193*(1+'2. GRI Pricing Inputs'!$D$114)^((AI$16-AH$16)/365)</f>
        <v>1335.2128864102533</v>
      </c>
      <c r="AJ193" s="273">
        <f>AI193*(1+'2. GRI Pricing Inputs'!$D$114)^((AJ$16-AI$16)/365)</f>
        <v>1339.6679957287213</v>
      </c>
      <c r="AK193" s="273">
        <f>AJ193*(1+'2. GRI Pricing Inputs'!$D$114)^((AK$16-AJ$16)/365)</f>
        <v>1343.9935448383633</v>
      </c>
      <c r="AL193" s="273">
        <f>AK193*(1+'2. GRI Pricing Inputs'!$D$114)^((AL$16-AK$16)/365)</f>
        <v>1348.4779519516499</v>
      </c>
      <c r="AM193" s="273">
        <f>AL193*(1+'2. GRI Pricing Inputs'!$D$114)^((AM$16-AL$16)/365)</f>
        <v>1352.977321865342</v>
      </c>
      <c r="AN193" s="273">
        <f>AM193*(1+'2. GRI Pricing Inputs'!$D$114)^((AN$16-AM$16)/365)</f>
        <v>1357.3458444161679</v>
      </c>
      <c r="AO193" s="273">
        <f>AN193*(1+'2. GRI Pricing Inputs'!$D$114)^((AO$16-AN$16)/365)</f>
        <v>1361.8748031922473</v>
      </c>
    </row>
    <row r="194" spans="3:41" ht="12" x14ac:dyDescent="0.2">
      <c r="C194" s="76" t="str">
        <f>'1. Accomodation'!N198</f>
        <v>8W</v>
      </c>
      <c r="D194" s="69" t="str">
        <f>'1. Accomodation'!P198</f>
        <v>2 Bed</v>
      </c>
      <c r="E194" s="69">
        <f>'1. Accomodation'!Q198</f>
        <v>2</v>
      </c>
      <c r="F194" s="77">
        <f>'1. Accomodation'!O198</f>
        <v>667</v>
      </c>
      <c r="G194" s="69" t="str">
        <f>'1. Accomodation'!R198</f>
        <v>Ground</v>
      </c>
      <c r="H194" s="69" t="str">
        <f>'1. Accomodation'!S198</f>
        <v>Courtyard</v>
      </c>
      <c r="I194" s="62"/>
      <c r="K194" s="272">
        <f>IFERROR(INDEX('2. GRI Pricing Inputs'!$C$15:$AI$16,MATCH($K$16,'2. GRI Pricing Inputs'!$C$15:$C$16,0),MATCH(D194,'2. GRI Pricing Inputs'!$C$15:$AI$15,0)),0)</f>
        <v>1110</v>
      </c>
      <c r="L194" s="273">
        <f>IFERROR(INDEX('2. GRI Pricing Inputs'!$C$22:$AI$23,MATCH($L$16,'2. GRI Pricing Inputs'!$C$22:$C$23,0),MATCH(E194,'2. GRI Pricing Inputs'!$C$22:$AI$22,0)),0)</f>
        <v>0</v>
      </c>
      <c r="M194" s="328">
        <f>IF(AND('3. GRI Pricing'!$F194&gt;='2. GRI Pricing Inputs'!$D$33,'3. GRI Pricing'!$F194&lt;='2. GRI Pricing Inputs'!$E$33),'2. GRI Pricing Inputs'!$D$32,IF(AND('3. GRI Pricing'!$F194&gt;='2. GRI Pricing Inputs'!$F$33,'3. GRI Pricing'!$F194&lt;='2. GRI Pricing Inputs'!$G$33),'2. GRI Pricing Inputs'!$F$32,IF(AND('3. GRI Pricing'!$F194&gt;='2. GRI Pricing Inputs'!$H$33,'3. GRI Pricing'!$F194&lt;='2. GRI Pricing Inputs'!$I$33),'2. GRI Pricing Inputs'!$H$32,IF(AND('3. GRI Pricing'!$F194&gt;='2. GRI Pricing Inputs'!$J$33,'3. GRI Pricing'!$F194&lt;='2. GRI Pricing Inputs'!$K$33),'2. GRI Pricing Inputs'!$J$32,IF(AND('3. GRI Pricing'!$F194&gt;='2. GRI Pricing Inputs'!$L$33,'3. GRI Pricing'!$F194&lt;='2. GRI Pricing Inputs'!$M$33),'2. GRI Pricing Inputs'!$L$32,IF(AND('3. GRI Pricing'!$F194&gt;='2. GRI Pricing Inputs'!$N$33,'3. GRI Pricing'!$F194&lt;='2. GRI Pricing Inputs'!$O$33),'2. GRI Pricing Inputs'!$N$32,IF(AND('3. GRI Pricing'!$F194&gt;='2. GRI Pricing Inputs'!$P$33,'3. GRI Pricing'!$F194&lt;='2. GRI Pricing Inputs'!$Q$33),'2. GRI Pricing Inputs'!$P$32,IF(AND('3. GRI Pricing'!$F194&gt;='2. GRI Pricing Inputs'!$R$33,'3. GRI Pricing'!$F194&lt;='2. GRI Pricing Inputs'!$S$33),'2. GRI Pricing Inputs'!$R$32,IF(AND('3. GRI Pricing'!$F194&gt;='2. GRI Pricing Inputs'!$T$33,'3. GRI Pricing'!$F194&lt;='2. GRI Pricing Inputs'!$U$33),'2. GRI Pricing Inputs'!$T$32,IF(AND('3. GRI Pricing'!$F194&gt;='2. GRI Pricing Inputs'!$V$33,'3. GRI Pricing'!$F194&lt;='2. GRI Pricing Inputs'!$W$33),'2. GRI Pricing Inputs'!$V$32,IF(AND('3. GRI Pricing'!$F194&gt;='2. GRI Pricing Inputs'!$X$33,'3. GRI Pricing'!$F194&lt;='2. GRI Pricing Inputs'!$Y$33),'2. GRI Pricing Inputs'!$X$32,IF(AND('3. GRI Pricing'!$F194&gt;='2. GRI Pricing Inputs'!$Z$33,'3. GRI Pricing'!$F194&lt;='2. GRI Pricing Inputs'!$AA$33),'2. GRI Pricing Inputs'!$Z$32,IF(AND('3. GRI Pricing'!$F194&gt;='2. GRI Pricing Inputs'!$AB$33,'3. GRI Pricing'!$F194&lt;='2. GRI Pricing Inputs'!$AC$33),'2. GRI Pricing Inputs'!$AB$32,IF(AND('3. GRI Pricing'!$F194&gt;='2. GRI Pricing Inputs'!$AD$33,'3. GRI Pricing'!$F194&lt;='2. GRI Pricing Inputs'!$AE$33),'2. GRI Pricing Inputs'!$AD$32,IF(AND('3. GRI Pricing'!$F194&gt;='2. GRI Pricing Inputs'!$AF$33,'3. GRI Pricing'!$F194&lt;='2. GRI Pricing Inputs'!$AG$33),'2. GRI Pricing Inputs'!$AF$32,IF(AND('3. GRI Pricing'!$F194&gt;='2. GRI Pricing Inputs'!$AH$33,'3. GRI Pricing'!$F194&lt;='2. GRI Pricing Inputs'!$AI$33),'2. GRI Pricing Inputs'!$AH$32,0))))))))))))))))</f>
        <v>9</v>
      </c>
      <c r="N194" s="273" cm="1">
        <f t="array" ref="N194">IFERROR(INDEX('2. GRI Pricing Inputs'!$C$32:$AI$39,MATCH('3. GRI Pricing'!D194,'2. GRI Pricing Inputs'!$C$32:$C$39,0),(MATCH('3. GRI Pricing'!M194,'2. GRI Pricing Inputs'!$D$32:$AI$32,0)+1)),0)</f>
        <v>30</v>
      </c>
      <c r="O194" s="273">
        <f>IFERROR(INDEX('2. GRI Pricing Inputs'!$C$45:$AI$46,MATCH($O$16,'2. GRI Pricing Inputs'!$C$45:$C$46,0),MATCH(G194,'2. GRI Pricing Inputs'!$C$45:$AI$45,0)),0)</f>
        <v>0</v>
      </c>
      <c r="P194" s="273">
        <f>IFERROR(INDEX('2. GRI Pricing Inputs'!$C$53:$AI$54,MATCH('3. GRI Pricing'!$P$16,'2. GRI Pricing Inputs'!$C$53:$C$54,0),MATCH('3. GRI Pricing'!H194,'2. GRI Pricing Inputs'!$C$53:$AI$53,0)),0)</f>
        <v>25</v>
      </c>
      <c r="Q194" s="273">
        <f>IFERROR(INDEX('2. GRI Pricing Inputs'!$C$60:$AI$61,MATCH('3. GRI Pricing'!$Q$16,'2. GRI Pricing Inputs'!$C$60:$C$61,0),MATCH('1. Accomodation'!T198,'2. GRI Pricing Inputs'!$C$60:$AI$60,0)),0)</f>
        <v>0</v>
      </c>
      <c r="R194" s="273">
        <f>IFERROR(INDEX('2. GRI Pricing Inputs'!$C$67:$AI$68,MATCH('3. GRI Pricing'!$R$16,'2. GRI Pricing Inputs'!$C$67:$C$68,0),MATCH('1. Accomodation'!U198,'2. GRI Pricing Inputs'!$C$67:$AI$67,0)),0)</f>
        <v>0</v>
      </c>
      <c r="S194" s="273">
        <f>IF(D194=0,0,'2. GRI Pricing Inputs'!$AI$75)</f>
        <v>70</v>
      </c>
      <c r="T194" s="273">
        <f>IFERROR(INDEX('2. GRI Pricing Inputs'!$C$82:$AI$83,MATCH('3. GRI Pricing'!$T$16,'2. GRI Pricing Inputs'!$C$82:$C$83,0),MATCH('1. Accomodation'!V198,'2. GRI Pricing Inputs'!$C$82:$AI$82,0)),0)</f>
        <v>20</v>
      </c>
      <c r="U194" s="273">
        <f>IFERROR(INDEX('2. GRI Pricing Inputs'!$C$89:$AI$90,MATCH('3. GRI Pricing'!$U$16,'2. GRI Pricing Inputs'!$C$89:$C$90,0),MATCH('1. Accomodation'!W198,'2. GRI Pricing Inputs'!$C$89:$AI$89,0)),0)</f>
        <v>0</v>
      </c>
      <c r="V194" s="273">
        <f>IFERROR(INDEX('2. GRI Pricing Inputs'!$C$97:$AI$98,MATCH('3. GRI Pricing'!$V$16,'2. GRI Pricing Inputs'!$C$97:$C$98,0),MATCH('1. Accomodation'!X198,'2. GRI Pricing Inputs'!$C$97:$AI$97,0)),0)</f>
        <v>0</v>
      </c>
      <c r="W194" s="273">
        <f>IFERROR(INDEX('2. GRI Pricing Inputs'!$C$104:$AI$105,MATCH('3. GRI Pricing'!$W$16,'2. GRI Pricing Inputs'!$C$104:$C$105,0),MATCH('1. Accomodation'!Y198,'2. GRI Pricing Inputs'!$C$104:$AI$104,0)),0)</f>
        <v>0</v>
      </c>
      <c r="X194" s="274">
        <v>0</v>
      </c>
      <c r="Y194" s="275">
        <f t="shared" si="9"/>
        <v>1255</v>
      </c>
      <c r="Z194" s="276"/>
      <c r="AA194" s="276"/>
      <c r="AB194" s="276"/>
      <c r="AC194" s="272">
        <f>Y194*(1+'2. GRI Pricing Inputs'!$D$114)^(($AC$16-$AB$15)/365)</f>
        <v>1259.1874687187219</v>
      </c>
      <c r="AD194" s="273">
        <f>AC194*(1+'2. GRI Pricing Inputs'!$D$114)^((AD$16-AC$16)/365)</f>
        <v>1263.2531605554714</v>
      </c>
      <c r="AE194" s="273">
        <f>AD194*(1+'2. GRI Pricing Inputs'!$D$114)^((AE$16-AD$16)/365)</f>
        <v>1267.4681670045968</v>
      </c>
      <c r="AF194" s="273">
        <f>AE194*(1+'2. GRI Pricing Inputs'!$D$114)^((AF$16-AE$16)/365)</f>
        <v>1271.6972373642043</v>
      </c>
      <c r="AG194" s="273">
        <f>AF194*(1+'2. GRI Pricing Inputs'!$D$114)^((AG$16-AF$16)/365)</f>
        <v>1275.6662381976541</v>
      </c>
      <c r="AH194" s="273">
        <f>AG194*(1+'2. GRI Pricing Inputs'!$D$114)^((AH$16-AG$16)/365)</f>
        <v>1279.9226624749308</v>
      </c>
      <c r="AI194" s="273">
        <f>AH194*(1+'2. GRI Pricing Inputs'!$D$114)^((AI$16-AH$16)/365)</f>
        <v>1284.0553045554543</v>
      </c>
      <c r="AJ194" s="273">
        <f>AI194*(1+'2. GRI Pricing Inputs'!$D$114)^((AJ$16-AI$16)/365)</f>
        <v>1288.3397200303027</v>
      </c>
      <c r="AK194" s="273">
        <f>AJ194*(1+'2. GRI Pricing Inputs'!$D$114)^((AK$16-AJ$16)/365)</f>
        <v>1292.4995392890007</v>
      </c>
      <c r="AL194" s="273">
        <f>AK194*(1+'2. GRI Pricing Inputs'!$D$114)^((AL$16-AK$16)/365)</f>
        <v>1296.8121300377936</v>
      </c>
      <c r="AM194" s="273">
        <f>AL194*(1+'2. GRI Pricing Inputs'!$D$114)^((AM$16-AL$16)/365)</f>
        <v>1301.1391102996201</v>
      </c>
      <c r="AN194" s="273">
        <f>AM194*(1+'2. GRI Pricing Inputs'!$D$114)^((AN$16-AM$16)/365)</f>
        <v>1305.3402565075025</v>
      </c>
      <c r="AO194" s="273">
        <f>AN194*(1+'2. GRI Pricing Inputs'!$D$114)^((AO$16-AN$16)/365)</f>
        <v>1309.6956919588281</v>
      </c>
    </row>
    <row r="195" spans="3:41" ht="12" x14ac:dyDescent="0.2">
      <c r="C195" s="76" t="str">
        <f>'1. Accomodation'!N199</f>
        <v>9W</v>
      </c>
      <c r="D195" s="69" t="str">
        <f>'1. Accomodation'!P199</f>
        <v>1 Bed</v>
      </c>
      <c r="E195" s="69">
        <f>'1. Accomodation'!Q199</f>
        <v>1</v>
      </c>
      <c r="F195" s="77">
        <f>'1. Accomodation'!O199</f>
        <v>463</v>
      </c>
      <c r="G195" s="69" t="str">
        <f>'1. Accomodation'!R199</f>
        <v>Ground</v>
      </c>
      <c r="H195" s="69" t="str">
        <f>'1. Accomodation'!S199</f>
        <v>Fence</v>
      </c>
      <c r="I195" s="62"/>
      <c r="K195" s="272">
        <f>IFERROR(INDEX('2. GRI Pricing Inputs'!$C$15:$AI$16,MATCH($K$16,'2. GRI Pricing Inputs'!$C$15:$C$16,0),MATCH(D195,'2. GRI Pricing Inputs'!$C$15:$AI$15,0)),0)</f>
        <v>845</v>
      </c>
      <c r="L195" s="273">
        <f>IFERROR(INDEX('2. GRI Pricing Inputs'!$C$22:$AI$23,MATCH($L$16,'2. GRI Pricing Inputs'!$C$22:$C$23,0),MATCH(E195,'2. GRI Pricing Inputs'!$C$22:$AI$22,0)),0)</f>
        <v>0</v>
      </c>
      <c r="M195" s="328">
        <f>IF(AND('3. GRI Pricing'!$F195&gt;='2. GRI Pricing Inputs'!$D$33,'3. GRI Pricing'!$F195&lt;='2. GRI Pricing Inputs'!$E$33),'2. GRI Pricing Inputs'!$D$32,IF(AND('3. GRI Pricing'!$F195&gt;='2. GRI Pricing Inputs'!$F$33,'3. GRI Pricing'!$F195&lt;='2. GRI Pricing Inputs'!$G$33),'2. GRI Pricing Inputs'!$F$32,IF(AND('3. GRI Pricing'!$F195&gt;='2. GRI Pricing Inputs'!$H$33,'3. GRI Pricing'!$F195&lt;='2. GRI Pricing Inputs'!$I$33),'2. GRI Pricing Inputs'!$H$32,IF(AND('3. GRI Pricing'!$F195&gt;='2. GRI Pricing Inputs'!$J$33,'3. GRI Pricing'!$F195&lt;='2. GRI Pricing Inputs'!$K$33),'2. GRI Pricing Inputs'!$J$32,IF(AND('3. GRI Pricing'!$F195&gt;='2. GRI Pricing Inputs'!$L$33,'3. GRI Pricing'!$F195&lt;='2. GRI Pricing Inputs'!$M$33),'2. GRI Pricing Inputs'!$L$32,IF(AND('3. GRI Pricing'!$F195&gt;='2. GRI Pricing Inputs'!$N$33,'3. GRI Pricing'!$F195&lt;='2. GRI Pricing Inputs'!$O$33),'2. GRI Pricing Inputs'!$N$32,IF(AND('3. GRI Pricing'!$F195&gt;='2. GRI Pricing Inputs'!$P$33,'3. GRI Pricing'!$F195&lt;='2. GRI Pricing Inputs'!$Q$33),'2. GRI Pricing Inputs'!$P$32,IF(AND('3. GRI Pricing'!$F195&gt;='2. GRI Pricing Inputs'!$R$33,'3. GRI Pricing'!$F195&lt;='2. GRI Pricing Inputs'!$S$33),'2. GRI Pricing Inputs'!$R$32,IF(AND('3. GRI Pricing'!$F195&gt;='2. GRI Pricing Inputs'!$T$33,'3. GRI Pricing'!$F195&lt;='2. GRI Pricing Inputs'!$U$33),'2. GRI Pricing Inputs'!$T$32,IF(AND('3. GRI Pricing'!$F195&gt;='2. GRI Pricing Inputs'!$V$33,'3. GRI Pricing'!$F195&lt;='2. GRI Pricing Inputs'!$W$33),'2. GRI Pricing Inputs'!$V$32,IF(AND('3. GRI Pricing'!$F195&gt;='2. GRI Pricing Inputs'!$X$33,'3. GRI Pricing'!$F195&lt;='2. GRI Pricing Inputs'!$Y$33),'2. GRI Pricing Inputs'!$X$32,IF(AND('3. GRI Pricing'!$F195&gt;='2. GRI Pricing Inputs'!$Z$33,'3. GRI Pricing'!$F195&lt;='2. GRI Pricing Inputs'!$AA$33),'2. GRI Pricing Inputs'!$Z$32,IF(AND('3. GRI Pricing'!$F195&gt;='2. GRI Pricing Inputs'!$AB$33,'3. GRI Pricing'!$F195&lt;='2. GRI Pricing Inputs'!$AC$33),'2. GRI Pricing Inputs'!$AB$32,IF(AND('3. GRI Pricing'!$F195&gt;='2. GRI Pricing Inputs'!$AD$33,'3. GRI Pricing'!$F195&lt;='2. GRI Pricing Inputs'!$AE$33),'2. GRI Pricing Inputs'!$AD$32,IF(AND('3. GRI Pricing'!$F195&gt;='2. GRI Pricing Inputs'!$AF$33,'3. GRI Pricing'!$F195&lt;='2. GRI Pricing Inputs'!$AG$33),'2. GRI Pricing Inputs'!$AF$32,IF(AND('3. GRI Pricing'!$F195&gt;='2. GRI Pricing Inputs'!$AH$33,'3. GRI Pricing'!$F195&lt;='2. GRI Pricing Inputs'!$AI$33),'2. GRI Pricing Inputs'!$AH$32,0))))))))))))))))</f>
        <v>0</v>
      </c>
      <c r="N195" s="273" cm="1">
        <f t="array" ref="N195">IFERROR(INDEX('2. GRI Pricing Inputs'!$C$32:$AI$39,MATCH('3. GRI Pricing'!D195,'2. GRI Pricing Inputs'!$C$32:$C$39,0),(MATCH('3. GRI Pricing'!M195,'2. GRI Pricing Inputs'!$D$32:$AI$32,0)+1)),0)</f>
        <v>0</v>
      </c>
      <c r="O195" s="273">
        <f>IFERROR(INDEX('2. GRI Pricing Inputs'!$C$45:$AI$46,MATCH($O$16,'2. GRI Pricing Inputs'!$C$45:$C$46,0),MATCH(G195,'2. GRI Pricing Inputs'!$C$45:$AI$45,0)),0)</f>
        <v>0</v>
      </c>
      <c r="P195" s="273">
        <f>IFERROR(INDEX('2. GRI Pricing Inputs'!$C$53:$AI$54,MATCH('3. GRI Pricing'!$P$16,'2. GRI Pricing Inputs'!$C$53:$C$54,0),MATCH('3. GRI Pricing'!H195,'2. GRI Pricing Inputs'!$C$53:$AI$53,0)),0)</f>
        <v>0</v>
      </c>
      <c r="Q195" s="273">
        <f>IFERROR(INDEX('2. GRI Pricing Inputs'!$C$60:$AI$61,MATCH('3. GRI Pricing'!$Q$16,'2. GRI Pricing Inputs'!$C$60:$C$61,0),MATCH('1. Accomodation'!T199,'2. GRI Pricing Inputs'!$C$60:$AI$60,0)),0)</f>
        <v>0</v>
      </c>
      <c r="R195" s="273">
        <f>IFERROR(INDEX('2. GRI Pricing Inputs'!$C$67:$AI$68,MATCH('3. GRI Pricing'!$R$16,'2. GRI Pricing Inputs'!$C$67:$C$68,0),MATCH('1. Accomodation'!U199,'2. GRI Pricing Inputs'!$C$67:$AI$67,0)),0)</f>
        <v>0</v>
      </c>
      <c r="S195" s="273">
        <f>IF(D195=0,0,'2. GRI Pricing Inputs'!$AI$75)</f>
        <v>70</v>
      </c>
      <c r="T195" s="273">
        <f>IFERROR(INDEX('2. GRI Pricing Inputs'!$C$82:$AI$83,MATCH('3. GRI Pricing'!$T$16,'2. GRI Pricing Inputs'!$C$82:$C$83,0),MATCH('1. Accomodation'!V199,'2. GRI Pricing Inputs'!$C$82:$AI$82,0)),0)</f>
        <v>20</v>
      </c>
      <c r="U195" s="273">
        <f>IFERROR(INDEX('2. GRI Pricing Inputs'!$C$89:$AI$90,MATCH('3. GRI Pricing'!$U$16,'2. GRI Pricing Inputs'!$C$89:$C$90,0),MATCH('1. Accomodation'!W199,'2. GRI Pricing Inputs'!$C$89:$AI$89,0)),0)</f>
        <v>-25</v>
      </c>
      <c r="V195" s="273">
        <f>IFERROR(INDEX('2. GRI Pricing Inputs'!$C$97:$AI$98,MATCH('3. GRI Pricing'!$V$16,'2. GRI Pricing Inputs'!$C$97:$C$98,0),MATCH('1. Accomodation'!X199,'2. GRI Pricing Inputs'!$C$97:$AI$97,0)),0)</f>
        <v>0</v>
      </c>
      <c r="W195" s="273">
        <f>IFERROR(INDEX('2. GRI Pricing Inputs'!$C$104:$AI$105,MATCH('3. GRI Pricing'!$W$16,'2. GRI Pricing Inputs'!$C$104:$C$105,0),MATCH('1. Accomodation'!Y199,'2. GRI Pricing Inputs'!$C$104:$AI$104,0)),0)</f>
        <v>0</v>
      </c>
      <c r="X195" s="274">
        <v>0</v>
      </c>
      <c r="Y195" s="275">
        <f t="shared" si="9"/>
        <v>910</v>
      </c>
      <c r="Z195" s="276"/>
      <c r="AA195" s="276"/>
      <c r="AB195" s="276"/>
      <c r="AC195" s="272">
        <f>Y195*(1+'2. GRI Pricing Inputs'!$D$114)^(($AC$16-$AB$15)/365)</f>
        <v>913.03633189963091</v>
      </c>
      <c r="AD195" s="273">
        <f>AC195*(1+'2. GRI Pricing Inputs'!$D$114)^((AD$16-AC$16)/365)</f>
        <v>915.98436343066044</v>
      </c>
      <c r="AE195" s="273">
        <f>AD195*(1+'2. GRI Pricing Inputs'!$D$114)^((AE$16-AD$16)/365)</f>
        <v>919.04066292763594</v>
      </c>
      <c r="AF195" s="273">
        <f>AE195*(1+'2. GRI Pricing Inputs'!$D$114)^((AF$16-AE$16)/365)</f>
        <v>922.10716016049878</v>
      </c>
      <c r="AG195" s="273">
        <f>AF195*(1+'2. GRI Pricing Inputs'!$D$114)^((AG$16-AF$16)/365)</f>
        <v>924.98508108355804</v>
      </c>
      <c r="AH195" s="273">
        <f>AG195*(1+'2. GRI Pricing Inputs'!$D$114)^((AH$16-AG$16)/365)</f>
        <v>928.0714126312248</v>
      </c>
      <c r="AI195" s="273">
        <f>AH195*(1+'2. GRI Pricing Inputs'!$D$114)^((AI$16-AH$16)/365)</f>
        <v>931.06798975734148</v>
      </c>
      <c r="AJ195" s="273">
        <f>AI195*(1+'2. GRI Pricing Inputs'!$D$114)^((AJ$16-AI$16)/365)</f>
        <v>934.17461771121566</v>
      </c>
      <c r="AK195" s="273">
        <f>AJ195*(1+'2. GRI Pricing Inputs'!$D$114)^((AK$16-AJ$16)/365)</f>
        <v>937.190900998399</v>
      </c>
      <c r="AL195" s="273">
        <f>AK195*(1+'2. GRI Pricing Inputs'!$D$114)^((AL$16-AK$16)/365)</f>
        <v>940.31795883218501</v>
      </c>
      <c r="AM195" s="273">
        <f>AL195*(1+'2. GRI Pricing Inputs'!$D$114)^((AM$16-AL$16)/365)</f>
        <v>943.45545049613884</v>
      </c>
      <c r="AN195" s="273">
        <f>AM195*(1+'2. GRI Pricing Inputs'!$D$114)^((AN$16-AM$16)/365)</f>
        <v>946.5016999377109</v>
      </c>
      <c r="AO195" s="273">
        <f>AN195*(1+'2. GRI Pricing Inputs'!$D$114)^((AO$16-AN$16)/365)</f>
        <v>949.65982444823373</v>
      </c>
    </row>
    <row r="196" spans="3:41" ht="12" x14ac:dyDescent="0.2">
      <c r="C196" s="76" t="str">
        <f>'1. Accomodation'!N200</f>
        <v>10W</v>
      </c>
      <c r="D196" s="69" t="str">
        <f>'1. Accomodation'!P200</f>
        <v>3 Bed</v>
      </c>
      <c r="E196" s="69">
        <f>'1. Accomodation'!Q200</f>
        <v>2</v>
      </c>
      <c r="F196" s="77">
        <f>'1. Accomodation'!O200</f>
        <v>797</v>
      </c>
      <c r="G196" s="69" t="str">
        <f>'1. Accomodation'!R200</f>
        <v>Ground</v>
      </c>
      <c r="H196" s="69" t="str">
        <f>'1. Accomodation'!S200</f>
        <v>Fence</v>
      </c>
      <c r="I196" s="62"/>
      <c r="K196" s="272">
        <f>IFERROR(INDEX('2. GRI Pricing Inputs'!$C$15:$AI$16,MATCH($K$16,'2. GRI Pricing Inputs'!$C$15:$C$16,0),MATCH(D196,'2. GRI Pricing Inputs'!$C$15:$AI$15,0)),0)</f>
        <v>1485</v>
      </c>
      <c r="L196" s="273">
        <f>IFERROR(INDEX('2. GRI Pricing Inputs'!$C$22:$AI$23,MATCH($L$16,'2. GRI Pricing Inputs'!$C$22:$C$23,0),MATCH(E196,'2. GRI Pricing Inputs'!$C$22:$AI$22,0)),0)</f>
        <v>0</v>
      </c>
      <c r="M196" s="328">
        <f>IF(AND('3. GRI Pricing'!$F196&gt;='2. GRI Pricing Inputs'!$D$33,'3. GRI Pricing'!$F196&lt;='2. GRI Pricing Inputs'!$E$33),'2. GRI Pricing Inputs'!$D$32,IF(AND('3. GRI Pricing'!$F196&gt;='2. GRI Pricing Inputs'!$F$33,'3. GRI Pricing'!$F196&lt;='2. GRI Pricing Inputs'!$G$33),'2. GRI Pricing Inputs'!$F$32,IF(AND('3. GRI Pricing'!$F196&gt;='2. GRI Pricing Inputs'!$H$33,'3. GRI Pricing'!$F196&lt;='2. GRI Pricing Inputs'!$I$33),'2. GRI Pricing Inputs'!$H$32,IF(AND('3. GRI Pricing'!$F196&gt;='2. GRI Pricing Inputs'!$J$33,'3. GRI Pricing'!$F196&lt;='2. GRI Pricing Inputs'!$K$33),'2. GRI Pricing Inputs'!$J$32,IF(AND('3. GRI Pricing'!$F196&gt;='2. GRI Pricing Inputs'!$L$33,'3. GRI Pricing'!$F196&lt;='2. GRI Pricing Inputs'!$M$33),'2. GRI Pricing Inputs'!$L$32,IF(AND('3. GRI Pricing'!$F196&gt;='2. GRI Pricing Inputs'!$N$33,'3. GRI Pricing'!$F196&lt;='2. GRI Pricing Inputs'!$O$33),'2. GRI Pricing Inputs'!$N$32,IF(AND('3. GRI Pricing'!$F196&gt;='2. GRI Pricing Inputs'!$P$33,'3. GRI Pricing'!$F196&lt;='2. GRI Pricing Inputs'!$Q$33),'2. GRI Pricing Inputs'!$P$32,IF(AND('3. GRI Pricing'!$F196&gt;='2. GRI Pricing Inputs'!$R$33,'3. GRI Pricing'!$F196&lt;='2. GRI Pricing Inputs'!$S$33),'2. GRI Pricing Inputs'!$R$32,IF(AND('3. GRI Pricing'!$F196&gt;='2. GRI Pricing Inputs'!$T$33,'3. GRI Pricing'!$F196&lt;='2. GRI Pricing Inputs'!$U$33),'2. GRI Pricing Inputs'!$T$32,IF(AND('3. GRI Pricing'!$F196&gt;='2. GRI Pricing Inputs'!$V$33,'3. GRI Pricing'!$F196&lt;='2. GRI Pricing Inputs'!$W$33),'2. GRI Pricing Inputs'!$V$32,IF(AND('3. GRI Pricing'!$F196&gt;='2. GRI Pricing Inputs'!$X$33,'3. GRI Pricing'!$F196&lt;='2. GRI Pricing Inputs'!$Y$33),'2. GRI Pricing Inputs'!$X$32,IF(AND('3. GRI Pricing'!$F196&gt;='2. GRI Pricing Inputs'!$Z$33,'3. GRI Pricing'!$F196&lt;='2. GRI Pricing Inputs'!$AA$33),'2. GRI Pricing Inputs'!$Z$32,IF(AND('3. GRI Pricing'!$F196&gt;='2. GRI Pricing Inputs'!$AB$33,'3. GRI Pricing'!$F196&lt;='2. GRI Pricing Inputs'!$AC$33),'2. GRI Pricing Inputs'!$AB$32,IF(AND('3. GRI Pricing'!$F196&gt;='2. GRI Pricing Inputs'!$AD$33,'3. GRI Pricing'!$F196&lt;='2. GRI Pricing Inputs'!$AE$33),'2. GRI Pricing Inputs'!$AD$32,IF(AND('3. GRI Pricing'!$F196&gt;='2. GRI Pricing Inputs'!$AF$33,'3. GRI Pricing'!$F196&lt;='2. GRI Pricing Inputs'!$AG$33),'2. GRI Pricing Inputs'!$AF$32,IF(AND('3. GRI Pricing'!$F196&gt;='2. GRI Pricing Inputs'!$AH$33,'3. GRI Pricing'!$F196&lt;='2. GRI Pricing Inputs'!$AI$33),'2. GRI Pricing Inputs'!$AH$32,0))))))))))))))))</f>
        <v>0</v>
      </c>
      <c r="N196" s="273" cm="1">
        <f t="array" ref="N196">IFERROR(INDEX('2. GRI Pricing Inputs'!$C$32:$AI$39,MATCH('3. GRI Pricing'!D196,'2. GRI Pricing Inputs'!$C$32:$C$39,0),(MATCH('3. GRI Pricing'!M196,'2. GRI Pricing Inputs'!$D$32:$AI$32,0)+1)),0)</f>
        <v>0</v>
      </c>
      <c r="O196" s="273">
        <f>IFERROR(INDEX('2. GRI Pricing Inputs'!$C$45:$AI$46,MATCH($O$16,'2. GRI Pricing Inputs'!$C$45:$C$46,0),MATCH(G196,'2. GRI Pricing Inputs'!$C$45:$AI$45,0)),0)</f>
        <v>0</v>
      </c>
      <c r="P196" s="273">
        <f>IFERROR(INDEX('2. GRI Pricing Inputs'!$C$53:$AI$54,MATCH('3. GRI Pricing'!$P$16,'2. GRI Pricing Inputs'!$C$53:$C$54,0),MATCH('3. GRI Pricing'!H196,'2. GRI Pricing Inputs'!$C$53:$AI$53,0)),0)</f>
        <v>0</v>
      </c>
      <c r="Q196" s="273">
        <f>IFERROR(INDEX('2. GRI Pricing Inputs'!$C$60:$AI$61,MATCH('3. GRI Pricing'!$Q$16,'2. GRI Pricing Inputs'!$C$60:$C$61,0),MATCH('1. Accomodation'!T200,'2. GRI Pricing Inputs'!$C$60:$AI$60,0)),0)</f>
        <v>0</v>
      </c>
      <c r="R196" s="273">
        <f>IFERROR(INDEX('2. GRI Pricing Inputs'!$C$67:$AI$68,MATCH('3. GRI Pricing'!$R$16,'2. GRI Pricing Inputs'!$C$67:$C$68,0),MATCH('1. Accomodation'!U200,'2. GRI Pricing Inputs'!$C$67:$AI$67,0)),0)</f>
        <v>0</v>
      </c>
      <c r="S196" s="273">
        <f>IF(D196=0,0,'2. GRI Pricing Inputs'!$AI$75)</f>
        <v>70</v>
      </c>
      <c r="T196" s="273">
        <f>IFERROR(INDEX('2. GRI Pricing Inputs'!$C$82:$AI$83,MATCH('3. GRI Pricing'!$T$16,'2. GRI Pricing Inputs'!$C$82:$C$83,0),MATCH('1. Accomodation'!V200,'2. GRI Pricing Inputs'!$C$82:$AI$82,0)),0)</f>
        <v>0</v>
      </c>
      <c r="U196" s="273">
        <f>IFERROR(INDEX('2. GRI Pricing Inputs'!$C$89:$AI$90,MATCH('3. GRI Pricing'!$U$16,'2. GRI Pricing Inputs'!$C$89:$C$90,0),MATCH('1. Accomodation'!W200,'2. GRI Pricing Inputs'!$C$89:$AI$89,0)),0)</f>
        <v>-25</v>
      </c>
      <c r="V196" s="273">
        <f>IFERROR(INDEX('2. GRI Pricing Inputs'!$C$97:$AI$98,MATCH('3. GRI Pricing'!$V$16,'2. GRI Pricing Inputs'!$C$97:$C$98,0),MATCH('1. Accomodation'!X200,'2. GRI Pricing Inputs'!$C$97:$AI$97,0)),0)</f>
        <v>0</v>
      </c>
      <c r="W196" s="273">
        <f>IFERROR(INDEX('2. GRI Pricing Inputs'!$C$104:$AI$105,MATCH('3. GRI Pricing'!$W$16,'2. GRI Pricing Inputs'!$C$104:$C$105,0),MATCH('1. Accomodation'!Y200,'2. GRI Pricing Inputs'!$C$104:$AI$104,0)),0)</f>
        <v>0</v>
      </c>
      <c r="X196" s="274">
        <v>0</v>
      </c>
      <c r="Y196" s="275">
        <f t="shared" si="9"/>
        <v>1530</v>
      </c>
      <c r="Z196" s="276"/>
      <c r="AA196" s="276"/>
      <c r="AB196" s="276"/>
      <c r="AC196" s="272">
        <f>Y196*(1+'2. GRI Pricing Inputs'!$D$114)^(($AC$16-$AB$15)/365)</f>
        <v>1535.1050415455334</v>
      </c>
      <c r="AD196" s="273">
        <f>AC196*(1+'2. GRI Pricing Inputs'!$D$114)^((AD$16-AC$16)/365)</f>
        <v>1540.0616220317697</v>
      </c>
      <c r="AE196" s="273">
        <f>AD196*(1+'2. GRI Pricing Inputs'!$D$114)^((AE$16-AD$16)/365)</f>
        <v>1545.2002354717395</v>
      </c>
      <c r="AF196" s="273">
        <f>AE196*(1+'2. GRI Pricing Inputs'!$D$114)^((AF$16-AE$16)/365)</f>
        <v>1550.3559945555637</v>
      </c>
      <c r="AG196" s="273">
        <f>AF196*(1+'2. GRI Pricing Inputs'!$D$114)^((AG$16-AF$16)/365)</f>
        <v>1555.1946967668612</v>
      </c>
      <c r="AH196" s="273">
        <f>AG196*(1+'2. GRI Pricing Inputs'!$D$114)^((AH$16-AG$16)/365)</f>
        <v>1560.3838036546965</v>
      </c>
      <c r="AI196" s="273">
        <f>AH196*(1+'2. GRI Pricing Inputs'!$D$114)^((AI$16-AH$16)/365)</f>
        <v>1565.4220047568488</v>
      </c>
      <c r="AJ196" s="273">
        <f>AI196*(1+'2. GRI Pricing Inputs'!$D$114)^((AJ$16-AI$16)/365)</f>
        <v>1570.6452363716041</v>
      </c>
      <c r="AK196" s="273">
        <f>AJ196*(1+'2. GRI Pricing Inputs'!$D$114)^((AK$16-AJ$16)/365)</f>
        <v>1575.7165698104948</v>
      </c>
      <c r="AL196" s="273">
        <f>AK196*(1+'2. GRI Pricing Inputs'!$D$114)^((AL$16-AK$16)/365)</f>
        <v>1580.9741505640031</v>
      </c>
      <c r="AM196" s="273">
        <f>AL196*(1+'2. GRI Pricing Inputs'!$D$114)^((AM$16-AL$16)/365)</f>
        <v>1586.2492739110905</v>
      </c>
      <c r="AN196" s="273">
        <f>AM196*(1+'2. GRI Pricing Inputs'!$D$114)^((AN$16-AM$16)/365)</f>
        <v>1591.3709900051622</v>
      </c>
      <c r="AO196" s="273">
        <f>AN196*(1+'2. GRI Pricing Inputs'!$D$114)^((AO$16-AN$16)/365)</f>
        <v>1596.6808037426347</v>
      </c>
    </row>
    <row r="197" spans="3:41" ht="12" x14ac:dyDescent="0.2">
      <c r="C197" s="76" t="str">
        <f>'1. Accomodation'!N201</f>
        <v>11W</v>
      </c>
      <c r="D197" s="69" t="str">
        <f>'1. Accomodation'!P201</f>
        <v>2 Bed</v>
      </c>
      <c r="E197" s="69">
        <f>'1. Accomodation'!Q201</f>
        <v>2</v>
      </c>
      <c r="F197" s="77">
        <f>'1. Accomodation'!O201</f>
        <v>635</v>
      </c>
      <c r="G197" s="69" t="str">
        <f>'1. Accomodation'!R201</f>
        <v>Ground</v>
      </c>
      <c r="H197" s="69" t="str">
        <f>'1. Accomodation'!S201</f>
        <v>Fence</v>
      </c>
      <c r="I197" s="62"/>
      <c r="K197" s="272">
        <f>IFERROR(INDEX('2. GRI Pricing Inputs'!$C$15:$AI$16,MATCH($K$16,'2. GRI Pricing Inputs'!$C$15:$C$16,0),MATCH(D197,'2. GRI Pricing Inputs'!$C$15:$AI$15,0)),0)</f>
        <v>1110</v>
      </c>
      <c r="L197" s="273">
        <f>IFERROR(INDEX('2. GRI Pricing Inputs'!$C$22:$AI$23,MATCH($L$16,'2. GRI Pricing Inputs'!$C$22:$C$23,0),MATCH(E197,'2. GRI Pricing Inputs'!$C$22:$AI$22,0)),0)</f>
        <v>0</v>
      </c>
      <c r="M197" s="328">
        <f>IF(AND('3. GRI Pricing'!$F197&gt;='2. GRI Pricing Inputs'!$D$33,'3. GRI Pricing'!$F197&lt;='2. GRI Pricing Inputs'!$E$33),'2. GRI Pricing Inputs'!$D$32,IF(AND('3. GRI Pricing'!$F197&gt;='2. GRI Pricing Inputs'!$F$33,'3. GRI Pricing'!$F197&lt;='2. GRI Pricing Inputs'!$G$33),'2. GRI Pricing Inputs'!$F$32,IF(AND('3. GRI Pricing'!$F197&gt;='2. GRI Pricing Inputs'!$H$33,'3. GRI Pricing'!$F197&lt;='2. GRI Pricing Inputs'!$I$33),'2. GRI Pricing Inputs'!$H$32,IF(AND('3. GRI Pricing'!$F197&gt;='2. GRI Pricing Inputs'!$J$33,'3. GRI Pricing'!$F197&lt;='2. GRI Pricing Inputs'!$K$33),'2. GRI Pricing Inputs'!$J$32,IF(AND('3. GRI Pricing'!$F197&gt;='2. GRI Pricing Inputs'!$L$33,'3. GRI Pricing'!$F197&lt;='2. GRI Pricing Inputs'!$M$33),'2. GRI Pricing Inputs'!$L$32,IF(AND('3. GRI Pricing'!$F197&gt;='2. GRI Pricing Inputs'!$N$33,'3. GRI Pricing'!$F197&lt;='2. GRI Pricing Inputs'!$O$33),'2. GRI Pricing Inputs'!$N$32,IF(AND('3. GRI Pricing'!$F197&gt;='2. GRI Pricing Inputs'!$P$33,'3. GRI Pricing'!$F197&lt;='2. GRI Pricing Inputs'!$Q$33),'2. GRI Pricing Inputs'!$P$32,IF(AND('3. GRI Pricing'!$F197&gt;='2. GRI Pricing Inputs'!$R$33,'3. GRI Pricing'!$F197&lt;='2. GRI Pricing Inputs'!$S$33),'2. GRI Pricing Inputs'!$R$32,IF(AND('3. GRI Pricing'!$F197&gt;='2. GRI Pricing Inputs'!$T$33,'3. GRI Pricing'!$F197&lt;='2. GRI Pricing Inputs'!$U$33),'2. GRI Pricing Inputs'!$T$32,IF(AND('3. GRI Pricing'!$F197&gt;='2. GRI Pricing Inputs'!$V$33,'3. GRI Pricing'!$F197&lt;='2. GRI Pricing Inputs'!$W$33),'2. GRI Pricing Inputs'!$V$32,IF(AND('3. GRI Pricing'!$F197&gt;='2. GRI Pricing Inputs'!$X$33,'3. GRI Pricing'!$F197&lt;='2. GRI Pricing Inputs'!$Y$33),'2. GRI Pricing Inputs'!$X$32,IF(AND('3. GRI Pricing'!$F197&gt;='2. GRI Pricing Inputs'!$Z$33,'3. GRI Pricing'!$F197&lt;='2. GRI Pricing Inputs'!$AA$33),'2. GRI Pricing Inputs'!$Z$32,IF(AND('3. GRI Pricing'!$F197&gt;='2. GRI Pricing Inputs'!$AB$33,'3. GRI Pricing'!$F197&lt;='2. GRI Pricing Inputs'!$AC$33),'2. GRI Pricing Inputs'!$AB$32,IF(AND('3. GRI Pricing'!$F197&gt;='2. GRI Pricing Inputs'!$AD$33,'3. GRI Pricing'!$F197&lt;='2. GRI Pricing Inputs'!$AE$33),'2. GRI Pricing Inputs'!$AD$32,IF(AND('3. GRI Pricing'!$F197&gt;='2. GRI Pricing Inputs'!$AF$33,'3. GRI Pricing'!$F197&lt;='2. GRI Pricing Inputs'!$AG$33),'2. GRI Pricing Inputs'!$AF$32,IF(AND('3. GRI Pricing'!$F197&gt;='2. GRI Pricing Inputs'!$AH$33,'3. GRI Pricing'!$F197&lt;='2. GRI Pricing Inputs'!$AI$33),'2. GRI Pricing Inputs'!$AH$32,0))))))))))))))))</f>
        <v>7</v>
      </c>
      <c r="N197" s="273" cm="1">
        <f t="array" ref="N197">IFERROR(INDEX('2. GRI Pricing Inputs'!$C$32:$AI$39,MATCH('3. GRI Pricing'!D197,'2. GRI Pricing Inputs'!$C$32:$C$39,0),(MATCH('3. GRI Pricing'!M197,'2. GRI Pricing Inputs'!$D$32:$AI$32,0)+1)),0)</f>
        <v>10</v>
      </c>
      <c r="O197" s="273">
        <f>IFERROR(INDEX('2. GRI Pricing Inputs'!$C$45:$AI$46,MATCH($O$16,'2. GRI Pricing Inputs'!$C$45:$C$46,0),MATCH(G197,'2. GRI Pricing Inputs'!$C$45:$AI$45,0)),0)</f>
        <v>0</v>
      </c>
      <c r="P197" s="273">
        <f>IFERROR(INDEX('2. GRI Pricing Inputs'!$C$53:$AI$54,MATCH('3. GRI Pricing'!$P$16,'2. GRI Pricing Inputs'!$C$53:$C$54,0),MATCH('3. GRI Pricing'!H197,'2. GRI Pricing Inputs'!$C$53:$AI$53,0)),0)</f>
        <v>0</v>
      </c>
      <c r="Q197" s="273">
        <f>IFERROR(INDEX('2. GRI Pricing Inputs'!$C$60:$AI$61,MATCH('3. GRI Pricing'!$Q$16,'2. GRI Pricing Inputs'!$C$60:$C$61,0),MATCH('1. Accomodation'!T201,'2. GRI Pricing Inputs'!$C$60:$AI$60,0)),0)</f>
        <v>0</v>
      </c>
      <c r="R197" s="273">
        <f>IFERROR(INDEX('2. GRI Pricing Inputs'!$C$67:$AI$68,MATCH('3. GRI Pricing'!$R$16,'2. GRI Pricing Inputs'!$C$67:$C$68,0),MATCH('1. Accomodation'!U201,'2. GRI Pricing Inputs'!$C$67:$AI$67,0)),0)</f>
        <v>0</v>
      </c>
      <c r="S197" s="273">
        <f>IF(D197=0,0,'2. GRI Pricing Inputs'!$AI$75)</f>
        <v>70</v>
      </c>
      <c r="T197" s="273">
        <f>IFERROR(INDEX('2. GRI Pricing Inputs'!$C$82:$AI$83,MATCH('3. GRI Pricing'!$T$16,'2. GRI Pricing Inputs'!$C$82:$C$83,0),MATCH('1. Accomodation'!V201,'2. GRI Pricing Inputs'!$C$82:$AI$82,0)),0)</f>
        <v>0</v>
      </c>
      <c r="U197" s="273">
        <f>IFERROR(INDEX('2. GRI Pricing Inputs'!$C$89:$AI$90,MATCH('3. GRI Pricing'!$U$16,'2. GRI Pricing Inputs'!$C$89:$C$90,0),MATCH('1. Accomodation'!W201,'2. GRI Pricing Inputs'!$C$89:$AI$89,0)),0)</f>
        <v>0</v>
      </c>
      <c r="V197" s="273">
        <f>IFERROR(INDEX('2. GRI Pricing Inputs'!$C$97:$AI$98,MATCH('3. GRI Pricing'!$V$16,'2. GRI Pricing Inputs'!$C$97:$C$98,0),MATCH('1. Accomodation'!X201,'2. GRI Pricing Inputs'!$C$97:$AI$97,0)),0)</f>
        <v>0</v>
      </c>
      <c r="W197" s="273">
        <f>IFERROR(INDEX('2. GRI Pricing Inputs'!$C$104:$AI$105,MATCH('3. GRI Pricing'!$W$16,'2. GRI Pricing Inputs'!$C$104:$C$105,0),MATCH('1. Accomodation'!Y201,'2. GRI Pricing Inputs'!$C$104:$AI$104,0)),0)</f>
        <v>0</v>
      </c>
      <c r="X197" s="274">
        <v>0</v>
      </c>
      <c r="Y197" s="275">
        <f t="shared" si="9"/>
        <v>1190</v>
      </c>
      <c r="Z197" s="276"/>
      <c r="AA197" s="276"/>
      <c r="AB197" s="276"/>
      <c r="AC197" s="272">
        <f>Y197*(1+'2. GRI Pricing Inputs'!$D$114)^(($AC$16-$AB$15)/365)</f>
        <v>1193.9705878687482</v>
      </c>
      <c r="AD197" s="273">
        <f>AC197*(1+'2. GRI Pricing Inputs'!$D$114)^((AD$16-AC$16)/365)</f>
        <v>1197.8257060247099</v>
      </c>
      <c r="AE197" s="273">
        <f>AD197*(1+'2. GRI Pricing Inputs'!$D$114)^((AE$16-AD$16)/365)</f>
        <v>1201.8224053669087</v>
      </c>
      <c r="AF197" s="273">
        <f>AE197*(1+'2. GRI Pricing Inputs'!$D$114)^((AF$16-AE$16)/365)</f>
        <v>1205.8324402098831</v>
      </c>
      <c r="AG197" s="273">
        <f>AF197*(1+'2. GRI Pricing Inputs'!$D$114)^((AG$16-AF$16)/365)</f>
        <v>1209.5958752631145</v>
      </c>
      <c r="AH197" s="273">
        <f>AG197*(1+'2. GRI Pricing Inputs'!$D$114)^((AH$16-AG$16)/365)</f>
        <v>1213.6318472869864</v>
      </c>
      <c r="AI197" s="273">
        <f>AH197*(1+'2. GRI Pricing Inputs'!$D$114)^((AI$16-AH$16)/365)</f>
        <v>1217.5504481442158</v>
      </c>
      <c r="AJ197" s="273">
        <f>AI197*(1+'2. GRI Pricing Inputs'!$D$114)^((AJ$16-AI$16)/365)</f>
        <v>1221.6129616223589</v>
      </c>
      <c r="AK197" s="273">
        <f>AJ197*(1+'2. GRI Pricing Inputs'!$D$114)^((AK$16-AJ$16)/365)</f>
        <v>1225.5573320748294</v>
      </c>
      <c r="AL197" s="273">
        <f>AK197*(1+'2. GRI Pricing Inputs'!$D$114)^((AL$16-AK$16)/365)</f>
        <v>1229.6465615497805</v>
      </c>
      <c r="AM197" s="273">
        <f>AL197*(1+'2. GRI Pricing Inputs'!$D$114)^((AM$16-AL$16)/365)</f>
        <v>1233.7494352641818</v>
      </c>
      <c r="AN197" s="273">
        <f>AM197*(1+'2. GRI Pricing Inputs'!$D$114)^((AN$16-AM$16)/365)</f>
        <v>1237.7329922262375</v>
      </c>
      <c r="AO197" s="273">
        <f>AN197*(1+'2. GRI Pricing Inputs'!$D$114)^((AO$16-AN$16)/365)</f>
        <v>1241.8628473553827</v>
      </c>
    </row>
    <row r="198" spans="3:41" ht="12" x14ac:dyDescent="0.2">
      <c r="C198" s="76" t="str">
        <f>'1. Accomodation'!N202</f>
        <v>101W</v>
      </c>
      <c r="D198" s="69" t="str">
        <f>'1. Accomodation'!P202</f>
        <v>2 Bed</v>
      </c>
      <c r="E198" s="69">
        <f>'1. Accomodation'!Q202</f>
        <v>2</v>
      </c>
      <c r="F198" s="77">
        <f>'1. Accomodation'!O202</f>
        <v>689</v>
      </c>
      <c r="G198" s="69">
        <f>'1. Accomodation'!R202</f>
        <v>1</v>
      </c>
      <c r="H198" s="69" t="str">
        <f>'1. Accomodation'!S202</f>
        <v>Pottery Lane</v>
      </c>
      <c r="I198" s="62"/>
      <c r="K198" s="272">
        <f>IFERROR(INDEX('2. GRI Pricing Inputs'!$C$15:$AI$16,MATCH($K$16,'2. GRI Pricing Inputs'!$C$15:$C$16,0),MATCH(D198,'2. GRI Pricing Inputs'!$C$15:$AI$15,0)),0)</f>
        <v>1110</v>
      </c>
      <c r="L198" s="273">
        <f>IFERROR(INDEX('2. GRI Pricing Inputs'!$C$22:$AI$23,MATCH($L$16,'2. GRI Pricing Inputs'!$C$22:$C$23,0),MATCH(E198,'2. GRI Pricing Inputs'!$C$22:$AI$22,0)),0)</f>
        <v>0</v>
      </c>
      <c r="M198" s="328">
        <f>IF(AND('3. GRI Pricing'!$F198&gt;='2. GRI Pricing Inputs'!$D$33,'3. GRI Pricing'!$F198&lt;='2. GRI Pricing Inputs'!$E$33),'2. GRI Pricing Inputs'!$D$32,IF(AND('3. GRI Pricing'!$F198&gt;='2. GRI Pricing Inputs'!$F$33,'3. GRI Pricing'!$F198&lt;='2. GRI Pricing Inputs'!$G$33),'2. GRI Pricing Inputs'!$F$32,IF(AND('3. GRI Pricing'!$F198&gt;='2. GRI Pricing Inputs'!$H$33,'3. GRI Pricing'!$F198&lt;='2. GRI Pricing Inputs'!$I$33),'2. GRI Pricing Inputs'!$H$32,IF(AND('3. GRI Pricing'!$F198&gt;='2. GRI Pricing Inputs'!$J$33,'3. GRI Pricing'!$F198&lt;='2. GRI Pricing Inputs'!$K$33),'2. GRI Pricing Inputs'!$J$32,IF(AND('3. GRI Pricing'!$F198&gt;='2. GRI Pricing Inputs'!$L$33,'3. GRI Pricing'!$F198&lt;='2. GRI Pricing Inputs'!$M$33),'2. GRI Pricing Inputs'!$L$32,IF(AND('3. GRI Pricing'!$F198&gt;='2. GRI Pricing Inputs'!$N$33,'3. GRI Pricing'!$F198&lt;='2. GRI Pricing Inputs'!$O$33),'2. GRI Pricing Inputs'!$N$32,IF(AND('3. GRI Pricing'!$F198&gt;='2. GRI Pricing Inputs'!$P$33,'3. GRI Pricing'!$F198&lt;='2. GRI Pricing Inputs'!$Q$33),'2. GRI Pricing Inputs'!$P$32,IF(AND('3. GRI Pricing'!$F198&gt;='2. GRI Pricing Inputs'!$R$33,'3. GRI Pricing'!$F198&lt;='2. GRI Pricing Inputs'!$S$33),'2. GRI Pricing Inputs'!$R$32,IF(AND('3. GRI Pricing'!$F198&gt;='2. GRI Pricing Inputs'!$T$33,'3. GRI Pricing'!$F198&lt;='2. GRI Pricing Inputs'!$U$33),'2. GRI Pricing Inputs'!$T$32,IF(AND('3. GRI Pricing'!$F198&gt;='2. GRI Pricing Inputs'!$V$33,'3. GRI Pricing'!$F198&lt;='2. GRI Pricing Inputs'!$W$33),'2. GRI Pricing Inputs'!$V$32,IF(AND('3. GRI Pricing'!$F198&gt;='2. GRI Pricing Inputs'!$X$33,'3. GRI Pricing'!$F198&lt;='2. GRI Pricing Inputs'!$Y$33),'2. GRI Pricing Inputs'!$X$32,IF(AND('3. GRI Pricing'!$F198&gt;='2. GRI Pricing Inputs'!$Z$33,'3. GRI Pricing'!$F198&lt;='2. GRI Pricing Inputs'!$AA$33),'2. GRI Pricing Inputs'!$Z$32,IF(AND('3. GRI Pricing'!$F198&gt;='2. GRI Pricing Inputs'!$AB$33,'3. GRI Pricing'!$F198&lt;='2. GRI Pricing Inputs'!$AC$33),'2. GRI Pricing Inputs'!$AB$32,IF(AND('3. GRI Pricing'!$F198&gt;='2. GRI Pricing Inputs'!$AD$33,'3. GRI Pricing'!$F198&lt;='2. GRI Pricing Inputs'!$AE$33),'2. GRI Pricing Inputs'!$AD$32,IF(AND('3. GRI Pricing'!$F198&gt;='2. GRI Pricing Inputs'!$AF$33,'3. GRI Pricing'!$F198&lt;='2. GRI Pricing Inputs'!$AG$33),'2. GRI Pricing Inputs'!$AF$32,IF(AND('3. GRI Pricing'!$F198&gt;='2. GRI Pricing Inputs'!$AH$33,'3. GRI Pricing'!$F198&lt;='2. GRI Pricing Inputs'!$AI$33),'2. GRI Pricing Inputs'!$AH$32,0))))))))))))))))</f>
        <v>11</v>
      </c>
      <c r="N198" s="273" cm="1">
        <f t="array" ref="N198">IFERROR(INDEX('2. GRI Pricing Inputs'!$C$32:$AI$39,MATCH('3. GRI Pricing'!D198,'2. GRI Pricing Inputs'!$C$32:$C$39,0),(MATCH('3. GRI Pricing'!M198,'2. GRI Pricing Inputs'!$D$32:$AI$32,0)+1)),0)</f>
        <v>65</v>
      </c>
      <c r="O198" s="273">
        <f>IFERROR(INDEX('2. GRI Pricing Inputs'!$C$45:$AI$46,MATCH($O$16,'2. GRI Pricing Inputs'!$C$45:$C$46,0),MATCH(G198,'2. GRI Pricing Inputs'!$C$45:$AI$45,0)),0)</f>
        <v>30</v>
      </c>
      <c r="P198" s="273">
        <f>IFERROR(INDEX('2. GRI Pricing Inputs'!$C$53:$AI$54,MATCH('3. GRI Pricing'!$P$16,'2. GRI Pricing Inputs'!$C$53:$C$54,0),MATCH('3. GRI Pricing'!H198,'2. GRI Pricing Inputs'!$C$53:$AI$53,0)),0)</f>
        <v>10</v>
      </c>
      <c r="Q198" s="273">
        <f>IFERROR(INDEX('2. GRI Pricing Inputs'!$C$60:$AI$61,MATCH('3. GRI Pricing'!$Q$16,'2. GRI Pricing Inputs'!$C$60:$C$61,0),MATCH('1. Accomodation'!T202,'2. GRI Pricing Inputs'!$C$60:$AI$60,0)),0)</f>
        <v>0</v>
      </c>
      <c r="R198" s="273">
        <f>IFERROR(INDEX('2. GRI Pricing Inputs'!$C$67:$AI$68,MATCH('3. GRI Pricing'!$R$16,'2. GRI Pricing Inputs'!$C$67:$C$68,0),MATCH('1. Accomodation'!U202,'2. GRI Pricing Inputs'!$C$67:$AI$67,0)),0)</f>
        <v>0</v>
      </c>
      <c r="S198" s="273">
        <f>IF(D198=0,0,'2. GRI Pricing Inputs'!$AI$75)</f>
        <v>70</v>
      </c>
      <c r="T198" s="273">
        <f>IFERROR(INDEX('2. GRI Pricing Inputs'!$C$82:$AI$83,MATCH('3. GRI Pricing'!$T$16,'2. GRI Pricing Inputs'!$C$82:$C$83,0),MATCH('1. Accomodation'!V202,'2. GRI Pricing Inputs'!$C$82:$AI$82,0)),0)</f>
        <v>0</v>
      </c>
      <c r="U198" s="273">
        <f>IFERROR(INDEX('2. GRI Pricing Inputs'!$C$89:$AI$90,MATCH('3. GRI Pricing'!$U$16,'2. GRI Pricing Inputs'!$C$89:$C$90,0),MATCH('1. Accomodation'!W202,'2. GRI Pricing Inputs'!$C$89:$AI$89,0)),0)</f>
        <v>0</v>
      </c>
      <c r="V198" s="273">
        <f>IFERROR(INDEX('2. GRI Pricing Inputs'!$C$97:$AI$98,MATCH('3. GRI Pricing'!$V$16,'2. GRI Pricing Inputs'!$C$97:$C$98,0),MATCH('1. Accomodation'!X202,'2. GRI Pricing Inputs'!$C$97:$AI$97,0)),0)</f>
        <v>0</v>
      </c>
      <c r="W198" s="273">
        <f>IFERROR(INDEX('2. GRI Pricing Inputs'!$C$104:$AI$105,MATCH('3. GRI Pricing'!$W$16,'2. GRI Pricing Inputs'!$C$104:$C$105,0),MATCH('1. Accomodation'!Y202,'2. GRI Pricing Inputs'!$C$104:$AI$104,0)),0)</f>
        <v>0</v>
      </c>
      <c r="X198" s="274">
        <v>0</v>
      </c>
      <c r="Y198" s="275">
        <f t="shared" si="9"/>
        <v>1285</v>
      </c>
      <c r="Z198" s="276"/>
      <c r="AA198" s="276"/>
      <c r="AB198" s="276"/>
      <c r="AC198" s="272">
        <f>Y198*(1+'2. GRI Pricing Inputs'!$D$114)^(($AC$16-$AB$15)/365)</f>
        <v>1289.2875675725559</v>
      </c>
      <c r="AD198" s="273">
        <f>AC198*(1+'2. GRI Pricing Inputs'!$D$114)^((AD$16-AC$16)/365)</f>
        <v>1293.4504472619767</v>
      </c>
      <c r="AE198" s="273">
        <f>AD198*(1+'2. GRI Pricing Inputs'!$D$114)^((AE$16-AD$16)/365)</f>
        <v>1297.7662108373761</v>
      </c>
      <c r="AF198" s="273">
        <f>AE198*(1+'2. GRI Pricing Inputs'!$D$114)^((AF$16-AE$16)/365)</f>
        <v>1302.0963745123527</v>
      </c>
      <c r="AG198" s="273">
        <f>AF198*(1+'2. GRI Pricing Inputs'!$D$114)^((AG$16-AF$16)/365)</f>
        <v>1306.1602518597495</v>
      </c>
      <c r="AH198" s="273">
        <f>AG198*(1+'2. GRI Pricing Inputs'!$D$114)^((AH$16-AG$16)/365)</f>
        <v>1310.5184233309053</v>
      </c>
      <c r="AI198" s="273">
        <f>AH198*(1+'2. GRI Pricing Inputs'!$D$114)^((AI$16-AH$16)/365)</f>
        <v>1314.7498536683338</v>
      </c>
      <c r="AJ198" s="273">
        <f>AI198*(1+'2. GRI Pricing Inputs'!$D$114)^((AJ$16-AI$16)/365)</f>
        <v>1319.136685449354</v>
      </c>
      <c r="AK198" s="273">
        <f>AJ198*(1+'2. GRI Pricing Inputs'!$D$114)^((AK$16-AJ$16)/365)</f>
        <v>1323.3959426186184</v>
      </c>
      <c r="AL198" s="273">
        <f>AK198*(1+'2. GRI Pricing Inputs'!$D$114)^((AL$16-AK$16)/365)</f>
        <v>1327.8116231861075</v>
      </c>
      <c r="AM198" s="273">
        <f>AL198*(1+'2. GRI Pricing Inputs'!$D$114)^((AM$16-AL$16)/365)</f>
        <v>1332.2420372390534</v>
      </c>
      <c r="AN198" s="273">
        <f>AM198*(1+'2. GRI Pricing Inputs'!$D$114)^((AN$16-AM$16)/365)</f>
        <v>1336.5436092527018</v>
      </c>
      <c r="AO198" s="273">
        <f>AN198*(1+'2. GRI Pricing Inputs'!$D$114)^((AO$16-AN$16)/365)</f>
        <v>1341.0031586988796</v>
      </c>
    </row>
    <row r="199" spans="3:41" ht="12" x14ac:dyDescent="0.2">
      <c r="C199" s="76" t="str">
        <f>'1. Accomodation'!N203</f>
        <v>102W</v>
      </c>
      <c r="D199" s="69" t="str">
        <f>'1. Accomodation'!P203</f>
        <v>1 Bed</v>
      </c>
      <c r="E199" s="69">
        <f>'1. Accomodation'!Q203</f>
        <v>1</v>
      </c>
      <c r="F199" s="77">
        <f>'1. Accomodation'!O203</f>
        <v>495</v>
      </c>
      <c r="G199" s="69">
        <f>'1. Accomodation'!R203</f>
        <v>1</v>
      </c>
      <c r="H199" s="69" t="str">
        <f>'1. Accomodation'!S203</f>
        <v>Courtyard</v>
      </c>
      <c r="I199" s="62"/>
      <c r="K199" s="272">
        <f>IFERROR(INDEX('2. GRI Pricing Inputs'!$C$15:$AI$16,MATCH($K$16,'2. GRI Pricing Inputs'!$C$15:$C$16,0),MATCH(D199,'2. GRI Pricing Inputs'!$C$15:$AI$15,0)),0)</f>
        <v>845</v>
      </c>
      <c r="L199" s="273">
        <f>IFERROR(INDEX('2. GRI Pricing Inputs'!$C$22:$AI$23,MATCH($L$16,'2. GRI Pricing Inputs'!$C$22:$C$23,0),MATCH(E199,'2. GRI Pricing Inputs'!$C$22:$AI$22,0)),0)</f>
        <v>0</v>
      </c>
      <c r="M199" s="328">
        <f>IF(AND('3. GRI Pricing'!$F199&gt;='2. GRI Pricing Inputs'!$D$33,'3. GRI Pricing'!$F199&lt;='2. GRI Pricing Inputs'!$E$33),'2. GRI Pricing Inputs'!$D$32,IF(AND('3. GRI Pricing'!$F199&gt;='2. GRI Pricing Inputs'!$F$33,'3. GRI Pricing'!$F199&lt;='2. GRI Pricing Inputs'!$G$33),'2. GRI Pricing Inputs'!$F$32,IF(AND('3. GRI Pricing'!$F199&gt;='2. GRI Pricing Inputs'!$H$33,'3. GRI Pricing'!$F199&lt;='2. GRI Pricing Inputs'!$I$33),'2. GRI Pricing Inputs'!$H$32,IF(AND('3. GRI Pricing'!$F199&gt;='2. GRI Pricing Inputs'!$J$33,'3. GRI Pricing'!$F199&lt;='2. GRI Pricing Inputs'!$K$33),'2. GRI Pricing Inputs'!$J$32,IF(AND('3. GRI Pricing'!$F199&gt;='2. GRI Pricing Inputs'!$L$33,'3. GRI Pricing'!$F199&lt;='2. GRI Pricing Inputs'!$M$33),'2. GRI Pricing Inputs'!$L$32,IF(AND('3. GRI Pricing'!$F199&gt;='2. GRI Pricing Inputs'!$N$33,'3. GRI Pricing'!$F199&lt;='2. GRI Pricing Inputs'!$O$33),'2. GRI Pricing Inputs'!$N$32,IF(AND('3. GRI Pricing'!$F199&gt;='2. GRI Pricing Inputs'!$P$33,'3. GRI Pricing'!$F199&lt;='2. GRI Pricing Inputs'!$Q$33),'2. GRI Pricing Inputs'!$P$32,IF(AND('3. GRI Pricing'!$F199&gt;='2. GRI Pricing Inputs'!$R$33,'3. GRI Pricing'!$F199&lt;='2. GRI Pricing Inputs'!$S$33),'2. GRI Pricing Inputs'!$R$32,IF(AND('3. GRI Pricing'!$F199&gt;='2. GRI Pricing Inputs'!$T$33,'3. GRI Pricing'!$F199&lt;='2. GRI Pricing Inputs'!$U$33),'2. GRI Pricing Inputs'!$T$32,IF(AND('3. GRI Pricing'!$F199&gt;='2. GRI Pricing Inputs'!$V$33,'3. GRI Pricing'!$F199&lt;='2. GRI Pricing Inputs'!$W$33),'2. GRI Pricing Inputs'!$V$32,IF(AND('3. GRI Pricing'!$F199&gt;='2. GRI Pricing Inputs'!$X$33,'3. GRI Pricing'!$F199&lt;='2. GRI Pricing Inputs'!$Y$33),'2. GRI Pricing Inputs'!$X$32,IF(AND('3. GRI Pricing'!$F199&gt;='2. GRI Pricing Inputs'!$Z$33,'3. GRI Pricing'!$F199&lt;='2. GRI Pricing Inputs'!$AA$33),'2. GRI Pricing Inputs'!$Z$32,IF(AND('3. GRI Pricing'!$F199&gt;='2. GRI Pricing Inputs'!$AB$33,'3. GRI Pricing'!$F199&lt;='2. GRI Pricing Inputs'!$AC$33),'2. GRI Pricing Inputs'!$AB$32,IF(AND('3. GRI Pricing'!$F199&gt;='2. GRI Pricing Inputs'!$AD$33,'3. GRI Pricing'!$F199&lt;='2. GRI Pricing Inputs'!$AE$33),'2. GRI Pricing Inputs'!$AD$32,IF(AND('3. GRI Pricing'!$F199&gt;='2. GRI Pricing Inputs'!$AF$33,'3. GRI Pricing'!$F199&lt;='2. GRI Pricing Inputs'!$AG$33),'2. GRI Pricing Inputs'!$AF$32,IF(AND('3. GRI Pricing'!$F199&gt;='2. GRI Pricing Inputs'!$AH$33,'3. GRI Pricing'!$F199&lt;='2. GRI Pricing Inputs'!$AI$33),'2. GRI Pricing Inputs'!$AH$32,0))))))))))))))))</f>
        <v>2</v>
      </c>
      <c r="N199" s="273" cm="1">
        <f t="array" ref="N199">IFERROR(INDEX('2. GRI Pricing Inputs'!$C$32:$AI$39,MATCH('3. GRI Pricing'!D199,'2. GRI Pricing Inputs'!$C$32:$C$39,0),(MATCH('3. GRI Pricing'!M199,'2. GRI Pricing Inputs'!$D$32:$AI$32,0)+1)),0)</f>
        <v>15</v>
      </c>
      <c r="O199" s="273">
        <f>IFERROR(INDEX('2. GRI Pricing Inputs'!$C$45:$AI$46,MATCH($O$16,'2. GRI Pricing Inputs'!$C$45:$C$46,0),MATCH(G199,'2. GRI Pricing Inputs'!$C$45:$AI$45,0)),0)</f>
        <v>30</v>
      </c>
      <c r="P199" s="273">
        <f>IFERROR(INDEX('2. GRI Pricing Inputs'!$C$53:$AI$54,MATCH('3. GRI Pricing'!$P$16,'2. GRI Pricing Inputs'!$C$53:$C$54,0),MATCH('3. GRI Pricing'!H199,'2. GRI Pricing Inputs'!$C$53:$AI$53,0)),0)</f>
        <v>25</v>
      </c>
      <c r="Q199" s="273">
        <f>IFERROR(INDEX('2. GRI Pricing Inputs'!$C$60:$AI$61,MATCH('3. GRI Pricing'!$Q$16,'2. GRI Pricing Inputs'!$C$60:$C$61,0),MATCH('1. Accomodation'!T203,'2. GRI Pricing Inputs'!$C$60:$AI$60,0)),0)</f>
        <v>0</v>
      </c>
      <c r="R199" s="273">
        <f>IFERROR(INDEX('2. GRI Pricing Inputs'!$C$67:$AI$68,MATCH('3. GRI Pricing'!$R$16,'2. GRI Pricing Inputs'!$C$67:$C$68,0),MATCH('1. Accomodation'!U203,'2. GRI Pricing Inputs'!$C$67:$AI$67,0)),0)</f>
        <v>0</v>
      </c>
      <c r="S199" s="273">
        <f>IF(D199=0,0,'2. GRI Pricing Inputs'!$AI$75)</f>
        <v>70</v>
      </c>
      <c r="T199" s="273">
        <f>IFERROR(INDEX('2. GRI Pricing Inputs'!$C$82:$AI$83,MATCH('3. GRI Pricing'!$T$16,'2. GRI Pricing Inputs'!$C$82:$C$83,0),MATCH('1. Accomodation'!V203,'2. GRI Pricing Inputs'!$C$82:$AI$82,0)),0)</f>
        <v>0</v>
      </c>
      <c r="U199" s="273">
        <f>IFERROR(INDEX('2. GRI Pricing Inputs'!$C$89:$AI$90,MATCH('3. GRI Pricing'!$U$16,'2. GRI Pricing Inputs'!$C$89:$C$90,0),MATCH('1. Accomodation'!W203,'2. GRI Pricing Inputs'!$C$89:$AI$89,0)),0)</f>
        <v>0</v>
      </c>
      <c r="V199" s="273">
        <f>IFERROR(INDEX('2. GRI Pricing Inputs'!$C$97:$AI$98,MATCH('3. GRI Pricing'!$V$16,'2. GRI Pricing Inputs'!$C$97:$C$98,0),MATCH('1. Accomodation'!X203,'2. GRI Pricing Inputs'!$C$97:$AI$97,0)),0)</f>
        <v>0</v>
      </c>
      <c r="W199" s="273">
        <f>IFERROR(INDEX('2. GRI Pricing Inputs'!$C$104:$AI$105,MATCH('3. GRI Pricing'!$W$16,'2. GRI Pricing Inputs'!$C$104:$C$105,0),MATCH('1. Accomodation'!Y203,'2. GRI Pricing Inputs'!$C$104:$AI$104,0)),0)</f>
        <v>0</v>
      </c>
      <c r="X199" s="274">
        <v>0</v>
      </c>
      <c r="Y199" s="275">
        <f t="shared" si="9"/>
        <v>985</v>
      </c>
      <c r="Z199" s="276"/>
      <c r="AA199" s="276"/>
      <c r="AB199" s="276"/>
      <c r="AC199" s="272">
        <f>Y199*(1+'2. GRI Pricing Inputs'!$D$114)^(($AC$16-$AB$15)/365)</f>
        <v>988.28657903421595</v>
      </c>
      <c r="AD199" s="273">
        <f>AC199*(1+'2. GRI Pricing Inputs'!$D$114)^((AD$16-AC$16)/365)</f>
        <v>991.47758019692367</v>
      </c>
      <c r="AE199" s="273">
        <f>AD199*(1+'2. GRI Pricing Inputs'!$D$114)^((AE$16-AD$16)/365)</f>
        <v>994.78577250958392</v>
      </c>
      <c r="AF199" s="273">
        <f>AE199*(1+'2. GRI Pricing Inputs'!$D$114)^((AF$16-AE$16)/365)</f>
        <v>998.10500303086951</v>
      </c>
      <c r="AG199" s="273">
        <f>AF199*(1+'2. GRI Pricing Inputs'!$D$114)^((AG$16-AF$16)/365)</f>
        <v>1001.2201152387963</v>
      </c>
      <c r="AH199" s="273">
        <f>AG199*(1+'2. GRI Pricing Inputs'!$D$114)^((AH$16-AG$16)/365)</f>
        <v>1004.5608147711608</v>
      </c>
      <c r="AI199" s="273">
        <f>AH199*(1+'2. GRI Pricing Inputs'!$D$114)^((AI$16-AH$16)/365)</f>
        <v>1007.8043625395399</v>
      </c>
      <c r="AJ199" s="273">
        <f>AI199*(1+'2. GRI Pricing Inputs'!$D$114)^((AJ$16-AI$16)/365)</f>
        <v>1011.1670312588432</v>
      </c>
      <c r="AK199" s="273">
        <f>AJ199*(1+'2. GRI Pricing Inputs'!$D$114)^((AK$16-AJ$16)/365)</f>
        <v>1014.4319093224427</v>
      </c>
      <c r="AL199" s="273">
        <f>AK199*(1+'2. GRI Pricing Inputs'!$D$114)^((AL$16-AK$16)/365)</f>
        <v>1017.8166917029694</v>
      </c>
      <c r="AM199" s="273">
        <f>AL199*(1+'2. GRI Pricing Inputs'!$D$114)^((AM$16-AL$16)/365)</f>
        <v>1021.2127678447216</v>
      </c>
      <c r="AN199" s="273">
        <f>AM199*(1+'2. GRI Pricing Inputs'!$D$114)^((AN$16-AM$16)/365)</f>
        <v>1024.510081800709</v>
      </c>
      <c r="AO199" s="273">
        <f>AN199*(1+'2. GRI Pricing Inputs'!$D$114)^((AO$16-AN$16)/365)</f>
        <v>1027.9284912983628</v>
      </c>
    </row>
    <row r="200" spans="3:41" ht="12" x14ac:dyDescent="0.2">
      <c r="C200" s="76" t="str">
        <f>'1. Accomodation'!N204</f>
        <v>103W</v>
      </c>
      <c r="D200" s="69" t="str">
        <f>'1. Accomodation'!P204</f>
        <v>2 Bed</v>
      </c>
      <c r="E200" s="69">
        <f>'1. Accomodation'!Q204</f>
        <v>2</v>
      </c>
      <c r="F200" s="77">
        <f>'1. Accomodation'!O204</f>
        <v>657</v>
      </c>
      <c r="G200" s="69">
        <f>'1. Accomodation'!R204</f>
        <v>1</v>
      </c>
      <c r="H200" s="69" t="str">
        <f>'1. Accomodation'!S204</f>
        <v>Courtyard</v>
      </c>
      <c r="I200" s="62"/>
      <c r="K200" s="272">
        <f>IFERROR(INDEX('2. GRI Pricing Inputs'!$C$15:$AI$16,MATCH($K$16,'2. GRI Pricing Inputs'!$C$15:$C$16,0),MATCH(D200,'2. GRI Pricing Inputs'!$C$15:$AI$15,0)),0)</f>
        <v>1110</v>
      </c>
      <c r="L200" s="273">
        <f>IFERROR(INDEX('2. GRI Pricing Inputs'!$C$22:$AI$23,MATCH($L$16,'2. GRI Pricing Inputs'!$C$22:$C$23,0),MATCH(E200,'2. GRI Pricing Inputs'!$C$22:$AI$22,0)),0)</f>
        <v>0</v>
      </c>
      <c r="M200" s="328">
        <f>IF(AND('3. GRI Pricing'!$F200&gt;='2. GRI Pricing Inputs'!$D$33,'3. GRI Pricing'!$F200&lt;='2. GRI Pricing Inputs'!$E$33),'2. GRI Pricing Inputs'!$D$32,IF(AND('3. GRI Pricing'!$F200&gt;='2. GRI Pricing Inputs'!$F$33,'3. GRI Pricing'!$F200&lt;='2. GRI Pricing Inputs'!$G$33),'2. GRI Pricing Inputs'!$F$32,IF(AND('3. GRI Pricing'!$F200&gt;='2. GRI Pricing Inputs'!$H$33,'3. GRI Pricing'!$F200&lt;='2. GRI Pricing Inputs'!$I$33),'2. GRI Pricing Inputs'!$H$32,IF(AND('3. GRI Pricing'!$F200&gt;='2. GRI Pricing Inputs'!$J$33,'3. GRI Pricing'!$F200&lt;='2. GRI Pricing Inputs'!$K$33),'2. GRI Pricing Inputs'!$J$32,IF(AND('3. GRI Pricing'!$F200&gt;='2. GRI Pricing Inputs'!$L$33,'3. GRI Pricing'!$F200&lt;='2. GRI Pricing Inputs'!$M$33),'2. GRI Pricing Inputs'!$L$32,IF(AND('3. GRI Pricing'!$F200&gt;='2. GRI Pricing Inputs'!$N$33,'3. GRI Pricing'!$F200&lt;='2. GRI Pricing Inputs'!$O$33),'2. GRI Pricing Inputs'!$N$32,IF(AND('3. GRI Pricing'!$F200&gt;='2. GRI Pricing Inputs'!$P$33,'3. GRI Pricing'!$F200&lt;='2. GRI Pricing Inputs'!$Q$33),'2. GRI Pricing Inputs'!$P$32,IF(AND('3. GRI Pricing'!$F200&gt;='2. GRI Pricing Inputs'!$R$33,'3. GRI Pricing'!$F200&lt;='2. GRI Pricing Inputs'!$S$33),'2. GRI Pricing Inputs'!$R$32,IF(AND('3. GRI Pricing'!$F200&gt;='2. GRI Pricing Inputs'!$T$33,'3. GRI Pricing'!$F200&lt;='2. GRI Pricing Inputs'!$U$33),'2. GRI Pricing Inputs'!$T$32,IF(AND('3. GRI Pricing'!$F200&gt;='2. GRI Pricing Inputs'!$V$33,'3. GRI Pricing'!$F200&lt;='2. GRI Pricing Inputs'!$W$33),'2. GRI Pricing Inputs'!$V$32,IF(AND('3. GRI Pricing'!$F200&gt;='2. GRI Pricing Inputs'!$X$33,'3. GRI Pricing'!$F200&lt;='2. GRI Pricing Inputs'!$Y$33),'2. GRI Pricing Inputs'!$X$32,IF(AND('3. GRI Pricing'!$F200&gt;='2. GRI Pricing Inputs'!$Z$33,'3. GRI Pricing'!$F200&lt;='2. GRI Pricing Inputs'!$AA$33),'2. GRI Pricing Inputs'!$Z$32,IF(AND('3. GRI Pricing'!$F200&gt;='2. GRI Pricing Inputs'!$AB$33,'3. GRI Pricing'!$F200&lt;='2. GRI Pricing Inputs'!$AC$33),'2. GRI Pricing Inputs'!$AB$32,IF(AND('3. GRI Pricing'!$F200&gt;='2. GRI Pricing Inputs'!$AD$33,'3. GRI Pricing'!$F200&lt;='2. GRI Pricing Inputs'!$AE$33),'2. GRI Pricing Inputs'!$AD$32,IF(AND('3. GRI Pricing'!$F200&gt;='2. GRI Pricing Inputs'!$AF$33,'3. GRI Pricing'!$F200&lt;='2. GRI Pricing Inputs'!$AG$33),'2. GRI Pricing Inputs'!$AF$32,IF(AND('3. GRI Pricing'!$F200&gt;='2. GRI Pricing Inputs'!$AH$33,'3. GRI Pricing'!$F200&lt;='2. GRI Pricing Inputs'!$AI$33),'2. GRI Pricing Inputs'!$AH$32,0))))))))))))))))</f>
        <v>8</v>
      </c>
      <c r="N200" s="273" cm="1">
        <f t="array" ref="N200">IFERROR(INDEX('2. GRI Pricing Inputs'!$C$32:$AI$39,MATCH('3. GRI Pricing'!D200,'2. GRI Pricing Inputs'!$C$32:$C$39,0),(MATCH('3. GRI Pricing'!M200,'2. GRI Pricing Inputs'!$D$32:$AI$32,0)+1)),0)</f>
        <v>20</v>
      </c>
      <c r="O200" s="273">
        <f>IFERROR(INDEX('2. GRI Pricing Inputs'!$C$45:$AI$46,MATCH($O$16,'2. GRI Pricing Inputs'!$C$45:$C$46,0),MATCH(G200,'2. GRI Pricing Inputs'!$C$45:$AI$45,0)),0)</f>
        <v>30</v>
      </c>
      <c r="P200" s="273">
        <f>IFERROR(INDEX('2. GRI Pricing Inputs'!$C$53:$AI$54,MATCH('3. GRI Pricing'!$P$16,'2. GRI Pricing Inputs'!$C$53:$C$54,0),MATCH('3. GRI Pricing'!H200,'2. GRI Pricing Inputs'!$C$53:$AI$53,0)),0)</f>
        <v>25</v>
      </c>
      <c r="Q200" s="273">
        <f>IFERROR(INDEX('2. GRI Pricing Inputs'!$C$60:$AI$61,MATCH('3. GRI Pricing'!$Q$16,'2. GRI Pricing Inputs'!$C$60:$C$61,0),MATCH('1. Accomodation'!T204,'2. GRI Pricing Inputs'!$C$60:$AI$60,0)),0)</f>
        <v>0</v>
      </c>
      <c r="R200" s="273">
        <f>IFERROR(INDEX('2. GRI Pricing Inputs'!$C$67:$AI$68,MATCH('3. GRI Pricing'!$R$16,'2. GRI Pricing Inputs'!$C$67:$C$68,0),MATCH('1. Accomodation'!U204,'2. GRI Pricing Inputs'!$C$67:$AI$67,0)),0)</f>
        <v>0</v>
      </c>
      <c r="S200" s="273">
        <f>IF(D200=0,0,'2. GRI Pricing Inputs'!$AI$75)</f>
        <v>70</v>
      </c>
      <c r="T200" s="273">
        <f>IFERROR(INDEX('2. GRI Pricing Inputs'!$C$82:$AI$83,MATCH('3. GRI Pricing'!$T$16,'2. GRI Pricing Inputs'!$C$82:$C$83,0),MATCH('1. Accomodation'!V204,'2. GRI Pricing Inputs'!$C$82:$AI$82,0)),0)</f>
        <v>0</v>
      </c>
      <c r="U200" s="273">
        <f>IFERROR(INDEX('2. GRI Pricing Inputs'!$C$89:$AI$90,MATCH('3. GRI Pricing'!$U$16,'2. GRI Pricing Inputs'!$C$89:$C$90,0),MATCH('1. Accomodation'!W204,'2. GRI Pricing Inputs'!$C$89:$AI$89,0)),0)</f>
        <v>0</v>
      </c>
      <c r="V200" s="273">
        <f>IFERROR(INDEX('2. GRI Pricing Inputs'!$C$97:$AI$98,MATCH('3. GRI Pricing'!$V$16,'2. GRI Pricing Inputs'!$C$97:$C$98,0),MATCH('1. Accomodation'!X204,'2. GRI Pricing Inputs'!$C$97:$AI$97,0)),0)</f>
        <v>0</v>
      </c>
      <c r="W200" s="273">
        <f>IFERROR(INDEX('2. GRI Pricing Inputs'!$C$104:$AI$105,MATCH('3. GRI Pricing'!$W$16,'2. GRI Pricing Inputs'!$C$104:$C$105,0),MATCH('1. Accomodation'!Y204,'2. GRI Pricing Inputs'!$C$104:$AI$104,0)),0)</f>
        <v>0</v>
      </c>
      <c r="X200" s="274">
        <v>0</v>
      </c>
      <c r="Y200" s="275">
        <f t="shared" si="9"/>
        <v>1255</v>
      </c>
      <c r="Z200" s="276"/>
      <c r="AA200" s="276"/>
      <c r="AB200" s="276"/>
      <c r="AC200" s="272">
        <f>Y200*(1+'2. GRI Pricing Inputs'!$D$114)^(($AC$16-$AB$15)/365)</f>
        <v>1259.1874687187219</v>
      </c>
      <c r="AD200" s="273">
        <f>AC200*(1+'2. GRI Pricing Inputs'!$D$114)^((AD$16-AC$16)/365)</f>
        <v>1263.2531605554714</v>
      </c>
      <c r="AE200" s="273">
        <f>AD200*(1+'2. GRI Pricing Inputs'!$D$114)^((AE$16-AD$16)/365)</f>
        <v>1267.4681670045968</v>
      </c>
      <c r="AF200" s="273">
        <f>AE200*(1+'2. GRI Pricing Inputs'!$D$114)^((AF$16-AE$16)/365)</f>
        <v>1271.6972373642043</v>
      </c>
      <c r="AG200" s="273">
        <f>AF200*(1+'2. GRI Pricing Inputs'!$D$114)^((AG$16-AF$16)/365)</f>
        <v>1275.6662381976541</v>
      </c>
      <c r="AH200" s="273">
        <f>AG200*(1+'2. GRI Pricing Inputs'!$D$114)^((AH$16-AG$16)/365)</f>
        <v>1279.9226624749308</v>
      </c>
      <c r="AI200" s="273">
        <f>AH200*(1+'2. GRI Pricing Inputs'!$D$114)^((AI$16-AH$16)/365)</f>
        <v>1284.0553045554543</v>
      </c>
      <c r="AJ200" s="273">
        <f>AI200*(1+'2. GRI Pricing Inputs'!$D$114)^((AJ$16-AI$16)/365)</f>
        <v>1288.3397200303027</v>
      </c>
      <c r="AK200" s="273">
        <f>AJ200*(1+'2. GRI Pricing Inputs'!$D$114)^((AK$16-AJ$16)/365)</f>
        <v>1292.4995392890007</v>
      </c>
      <c r="AL200" s="273">
        <f>AK200*(1+'2. GRI Pricing Inputs'!$D$114)^((AL$16-AK$16)/365)</f>
        <v>1296.8121300377936</v>
      </c>
      <c r="AM200" s="273">
        <f>AL200*(1+'2. GRI Pricing Inputs'!$D$114)^((AM$16-AL$16)/365)</f>
        <v>1301.1391102996201</v>
      </c>
      <c r="AN200" s="273">
        <f>AM200*(1+'2. GRI Pricing Inputs'!$D$114)^((AN$16-AM$16)/365)</f>
        <v>1305.3402565075025</v>
      </c>
      <c r="AO200" s="273">
        <f>AN200*(1+'2. GRI Pricing Inputs'!$D$114)^((AO$16-AN$16)/365)</f>
        <v>1309.6956919588281</v>
      </c>
    </row>
    <row r="201" spans="3:41" ht="12" x14ac:dyDescent="0.2">
      <c r="C201" s="76" t="str">
        <f>'1. Accomodation'!N205</f>
        <v>104W</v>
      </c>
      <c r="D201" s="69" t="str">
        <f>'1. Accomodation'!P205</f>
        <v>2 Bed</v>
      </c>
      <c r="E201" s="69">
        <f>'1. Accomodation'!Q205</f>
        <v>2</v>
      </c>
      <c r="F201" s="77">
        <f>'1. Accomodation'!O205</f>
        <v>657</v>
      </c>
      <c r="G201" s="69">
        <f>'1. Accomodation'!R205</f>
        <v>1</v>
      </c>
      <c r="H201" s="69" t="str">
        <f>'1. Accomodation'!S205</f>
        <v>Railway Bridge</v>
      </c>
      <c r="I201" s="62"/>
      <c r="K201" s="272">
        <f>IFERROR(INDEX('2. GRI Pricing Inputs'!$C$15:$AI$16,MATCH($K$16,'2. GRI Pricing Inputs'!$C$15:$C$16,0),MATCH(D201,'2. GRI Pricing Inputs'!$C$15:$AI$15,0)),0)</f>
        <v>1110</v>
      </c>
      <c r="L201" s="273">
        <f>IFERROR(INDEX('2. GRI Pricing Inputs'!$C$22:$AI$23,MATCH($L$16,'2. GRI Pricing Inputs'!$C$22:$C$23,0),MATCH(E201,'2. GRI Pricing Inputs'!$C$22:$AI$22,0)),0)</f>
        <v>0</v>
      </c>
      <c r="M201" s="328">
        <f>IF(AND('3. GRI Pricing'!$F201&gt;='2. GRI Pricing Inputs'!$D$33,'3. GRI Pricing'!$F201&lt;='2. GRI Pricing Inputs'!$E$33),'2. GRI Pricing Inputs'!$D$32,IF(AND('3. GRI Pricing'!$F201&gt;='2. GRI Pricing Inputs'!$F$33,'3. GRI Pricing'!$F201&lt;='2. GRI Pricing Inputs'!$G$33),'2. GRI Pricing Inputs'!$F$32,IF(AND('3. GRI Pricing'!$F201&gt;='2. GRI Pricing Inputs'!$H$33,'3. GRI Pricing'!$F201&lt;='2. GRI Pricing Inputs'!$I$33),'2. GRI Pricing Inputs'!$H$32,IF(AND('3. GRI Pricing'!$F201&gt;='2. GRI Pricing Inputs'!$J$33,'3. GRI Pricing'!$F201&lt;='2. GRI Pricing Inputs'!$K$33),'2. GRI Pricing Inputs'!$J$32,IF(AND('3. GRI Pricing'!$F201&gt;='2. GRI Pricing Inputs'!$L$33,'3. GRI Pricing'!$F201&lt;='2. GRI Pricing Inputs'!$M$33),'2. GRI Pricing Inputs'!$L$32,IF(AND('3. GRI Pricing'!$F201&gt;='2. GRI Pricing Inputs'!$N$33,'3. GRI Pricing'!$F201&lt;='2. GRI Pricing Inputs'!$O$33),'2. GRI Pricing Inputs'!$N$32,IF(AND('3. GRI Pricing'!$F201&gt;='2. GRI Pricing Inputs'!$P$33,'3. GRI Pricing'!$F201&lt;='2. GRI Pricing Inputs'!$Q$33),'2. GRI Pricing Inputs'!$P$32,IF(AND('3. GRI Pricing'!$F201&gt;='2. GRI Pricing Inputs'!$R$33,'3. GRI Pricing'!$F201&lt;='2. GRI Pricing Inputs'!$S$33),'2. GRI Pricing Inputs'!$R$32,IF(AND('3. GRI Pricing'!$F201&gt;='2. GRI Pricing Inputs'!$T$33,'3. GRI Pricing'!$F201&lt;='2. GRI Pricing Inputs'!$U$33),'2. GRI Pricing Inputs'!$T$32,IF(AND('3. GRI Pricing'!$F201&gt;='2. GRI Pricing Inputs'!$V$33,'3. GRI Pricing'!$F201&lt;='2. GRI Pricing Inputs'!$W$33),'2. GRI Pricing Inputs'!$V$32,IF(AND('3. GRI Pricing'!$F201&gt;='2. GRI Pricing Inputs'!$X$33,'3. GRI Pricing'!$F201&lt;='2. GRI Pricing Inputs'!$Y$33),'2. GRI Pricing Inputs'!$X$32,IF(AND('3. GRI Pricing'!$F201&gt;='2. GRI Pricing Inputs'!$Z$33,'3. GRI Pricing'!$F201&lt;='2. GRI Pricing Inputs'!$AA$33),'2. GRI Pricing Inputs'!$Z$32,IF(AND('3. GRI Pricing'!$F201&gt;='2. GRI Pricing Inputs'!$AB$33,'3. GRI Pricing'!$F201&lt;='2. GRI Pricing Inputs'!$AC$33),'2. GRI Pricing Inputs'!$AB$32,IF(AND('3. GRI Pricing'!$F201&gt;='2. GRI Pricing Inputs'!$AD$33,'3. GRI Pricing'!$F201&lt;='2. GRI Pricing Inputs'!$AE$33),'2. GRI Pricing Inputs'!$AD$32,IF(AND('3. GRI Pricing'!$F201&gt;='2. GRI Pricing Inputs'!$AF$33,'3. GRI Pricing'!$F201&lt;='2. GRI Pricing Inputs'!$AG$33),'2. GRI Pricing Inputs'!$AF$32,IF(AND('3. GRI Pricing'!$F201&gt;='2. GRI Pricing Inputs'!$AH$33,'3. GRI Pricing'!$F201&lt;='2. GRI Pricing Inputs'!$AI$33),'2. GRI Pricing Inputs'!$AH$32,0))))))))))))))))</f>
        <v>8</v>
      </c>
      <c r="N201" s="273" cm="1">
        <f t="array" ref="N201">IFERROR(INDEX('2. GRI Pricing Inputs'!$C$32:$AI$39,MATCH('3. GRI Pricing'!D201,'2. GRI Pricing Inputs'!$C$32:$C$39,0),(MATCH('3. GRI Pricing'!M201,'2. GRI Pricing Inputs'!$D$32:$AI$32,0)+1)),0)</f>
        <v>20</v>
      </c>
      <c r="O201" s="273">
        <f>IFERROR(INDEX('2. GRI Pricing Inputs'!$C$45:$AI$46,MATCH($O$16,'2. GRI Pricing Inputs'!$C$45:$C$46,0),MATCH(G201,'2. GRI Pricing Inputs'!$C$45:$AI$45,0)),0)</f>
        <v>30</v>
      </c>
      <c r="P201" s="273">
        <f>IFERROR(INDEX('2. GRI Pricing Inputs'!$C$53:$AI$54,MATCH('3. GRI Pricing'!$P$16,'2. GRI Pricing Inputs'!$C$53:$C$54,0),MATCH('3. GRI Pricing'!H201,'2. GRI Pricing Inputs'!$C$53:$AI$53,0)),0)</f>
        <v>10</v>
      </c>
      <c r="Q201" s="273">
        <f>IFERROR(INDEX('2. GRI Pricing Inputs'!$C$60:$AI$61,MATCH('3. GRI Pricing'!$Q$16,'2. GRI Pricing Inputs'!$C$60:$C$61,0),MATCH('1. Accomodation'!T205,'2. GRI Pricing Inputs'!$C$60:$AI$60,0)),0)</f>
        <v>0</v>
      </c>
      <c r="R201" s="273">
        <f>IFERROR(INDEX('2. GRI Pricing Inputs'!$C$67:$AI$68,MATCH('3. GRI Pricing'!$R$16,'2. GRI Pricing Inputs'!$C$67:$C$68,0),MATCH('1. Accomodation'!U205,'2. GRI Pricing Inputs'!$C$67:$AI$67,0)),0)</f>
        <v>0</v>
      </c>
      <c r="S201" s="273">
        <f>IF(D201=0,0,'2. GRI Pricing Inputs'!$AI$75)</f>
        <v>70</v>
      </c>
      <c r="T201" s="273">
        <f>IFERROR(INDEX('2. GRI Pricing Inputs'!$C$82:$AI$83,MATCH('3. GRI Pricing'!$T$16,'2. GRI Pricing Inputs'!$C$82:$C$83,0),MATCH('1. Accomodation'!V205,'2. GRI Pricing Inputs'!$C$82:$AI$82,0)),0)</f>
        <v>0</v>
      </c>
      <c r="U201" s="273">
        <f>IFERROR(INDEX('2. GRI Pricing Inputs'!$C$89:$AI$90,MATCH('3. GRI Pricing'!$U$16,'2. GRI Pricing Inputs'!$C$89:$C$90,0),MATCH('1. Accomodation'!W205,'2. GRI Pricing Inputs'!$C$89:$AI$89,0)),0)</f>
        <v>0</v>
      </c>
      <c r="V201" s="273">
        <f>IFERROR(INDEX('2. GRI Pricing Inputs'!$C$97:$AI$98,MATCH('3. GRI Pricing'!$V$16,'2. GRI Pricing Inputs'!$C$97:$C$98,0),MATCH('1. Accomodation'!X205,'2. GRI Pricing Inputs'!$C$97:$AI$97,0)),0)</f>
        <v>0</v>
      </c>
      <c r="W201" s="273">
        <f>IFERROR(INDEX('2. GRI Pricing Inputs'!$C$104:$AI$105,MATCH('3. GRI Pricing'!$W$16,'2. GRI Pricing Inputs'!$C$104:$C$105,0),MATCH('1. Accomodation'!Y205,'2. GRI Pricing Inputs'!$C$104:$AI$104,0)),0)</f>
        <v>0</v>
      </c>
      <c r="X201" s="274">
        <v>0</v>
      </c>
      <c r="Y201" s="275">
        <f t="shared" si="9"/>
        <v>1240</v>
      </c>
      <c r="Z201" s="276"/>
      <c r="AA201" s="276"/>
      <c r="AB201" s="276"/>
      <c r="AC201" s="272">
        <f>Y201*(1+'2. GRI Pricing Inputs'!$D$114)^(($AC$16-$AB$15)/365)</f>
        <v>1244.1374192918049</v>
      </c>
      <c r="AD201" s="273">
        <f>AC201*(1+'2. GRI Pricing Inputs'!$D$114)^((AD$16-AC$16)/365)</f>
        <v>1248.1545172022188</v>
      </c>
      <c r="AE201" s="273">
        <f>AD201*(1+'2. GRI Pricing Inputs'!$D$114)^((AE$16-AD$16)/365)</f>
        <v>1252.3191450882073</v>
      </c>
      <c r="AF201" s="273">
        <f>AE201*(1+'2. GRI Pricing Inputs'!$D$114)^((AF$16-AE$16)/365)</f>
        <v>1256.4976687901303</v>
      </c>
      <c r="AG201" s="273">
        <f>AF201*(1+'2. GRI Pricing Inputs'!$D$114)^((AG$16-AF$16)/365)</f>
        <v>1260.4192313666067</v>
      </c>
      <c r="AH201" s="273">
        <f>AG201*(1+'2. GRI Pricing Inputs'!$D$114)^((AH$16-AG$16)/365)</f>
        <v>1264.6247820469439</v>
      </c>
      <c r="AI201" s="273">
        <f>AH201*(1+'2. GRI Pricing Inputs'!$D$114)^((AI$16-AH$16)/365)</f>
        <v>1268.708029999015</v>
      </c>
      <c r="AJ201" s="273">
        <f>AI201*(1+'2. GRI Pricing Inputs'!$D$114)^((AJ$16-AI$16)/365)</f>
        <v>1272.9412373207776</v>
      </c>
      <c r="AK201" s="273">
        <f>AJ201*(1+'2. GRI Pricing Inputs'!$D$114)^((AK$16-AJ$16)/365)</f>
        <v>1277.0513376241925</v>
      </c>
      <c r="AL201" s="273">
        <f>AK201*(1+'2. GRI Pricing Inputs'!$D$114)^((AL$16-AK$16)/365)</f>
        <v>1281.3123834636372</v>
      </c>
      <c r="AM201" s="273">
        <f>AL201*(1+'2. GRI Pricing Inputs'!$D$114)^((AM$16-AL$16)/365)</f>
        <v>1285.5876468299041</v>
      </c>
      <c r="AN201" s="273">
        <f>AM201*(1+'2. GRI Pricing Inputs'!$D$114)^((AN$16-AM$16)/365)</f>
        <v>1289.7385801349033</v>
      </c>
      <c r="AO201" s="273">
        <f>AN201*(1+'2. GRI Pricing Inputs'!$D$114)^((AO$16-AN$16)/365)</f>
        <v>1294.0419585888026</v>
      </c>
    </row>
    <row r="202" spans="3:41" ht="12" x14ac:dyDescent="0.2">
      <c r="C202" s="76" t="str">
        <f>'1. Accomodation'!N206</f>
        <v>105W</v>
      </c>
      <c r="D202" s="69" t="str">
        <f>'1. Accomodation'!P206</f>
        <v>2 Bed</v>
      </c>
      <c r="E202" s="69">
        <f>'1. Accomodation'!Q206</f>
        <v>2</v>
      </c>
      <c r="F202" s="77">
        <f>'1. Accomodation'!O206</f>
        <v>678</v>
      </c>
      <c r="G202" s="69">
        <f>'1. Accomodation'!R206</f>
        <v>1</v>
      </c>
      <c r="H202" s="69" t="str">
        <f>'1. Accomodation'!S206</f>
        <v>Railway Bridge</v>
      </c>
      <c r="I202" s="62"/>
      <c r="K202" s="272">
        <f>IFERROR(INDEX('2. GRI Pricing Inputs'!$C$15:$AI$16,MATCH($K$16,'2. GRI Pricing Inputs'!$C$15:$C$16,0),MATCH(D202,'2. GRI Pricing Inputs'!$C$15:$AI$15,0)),0)</f>
        <v>1110</v>
      </c>
      <c r="L202" s="273">
        <f>IFERROR(INDEX('2. GRI Pricing Inputs'!$C$22:$AI$23,MATCH($L$16,'2. GRI Pricing Inputs'!$C$22:$C$23,0),MATCH(E202,'2. GRI Pricing Inputs'!$C$22:$AI$22,0)),0)</f>
        <v>0</v>
      </c>
      <c r="M202" s="328">
        <f>IF(AND('3. GRI Pricing'!$F202&gt;='2. GRI Pricing Inputs'!$D$33,'3. GRI Pricing'!$F202&lt;='2. GRI Pricing Inputs'!$E$33),'2. GRI Pricing Inputs'!$D$32,IF(AND('3. GRI Pricing'!$F202&gt;='2. GRI Pricing Inputs'!$F$33,'3. GRI Pricing'!$F202&lt;='2. GRI Pricing Inputs'!$G$33),'2. GRI Pricing Inputs'!$F$32,IF(AND('3. GRI Pricing'!$F202&gt;='2. GRI Pricing Inputs'!$H$33,'3. GRI Pricing'!$F202&lt;='2. GRI Pricing Inputs'!$I$33),'2. GRI Pricing Inputs'!$H$32,IF(AND('3. GRI Pricing'!$F202&gt;='2. GRI Pricing Inputs'!$J$33,'3. GRI Pricing'!$F202&lt;='2. GRI Pricing Inputs'!$K$33),'2. GRI Pricing Inputs'!$J$32,IF(AND('3. GRI Pricing'!$F202&gt;='2. GRI Pricing Inputs'!$L$33,'3. GRI Pricing'!$F202&lt;='2. GRI Pricing Inputs'!$M$33),'2. GRI Pricing Inputs'!$L$32,IF(AND('3. GRI Pricing'!$F202&gt;='2. GRI Pricing Inputs'!$N$33,'3. GRI Pricing'!$F202&lt;='2. GRI Pricing Inputs'!$O$33),'2. GRI Pricing Inputs'!$N$32,IF(AND('3. GRI Pricing'!$F202&gt;='2. GRI Pricing Inputs'!$P$33,'3. GRI Pricing'!$F202&lt;='2. GRI Pricing Inputs'!$Q$33),'2. GRI Pricing Inputs'!$P$32,IF(AND('3. GRI Pricing'!$F202&gt;='2. GRI Pricing Inputs'!$R$33,'3. GRI Pricing'!$F202&lt;='2. GRI Pricing Inputs'!$S$33),'2. GRI Pricing Inputs'!$R$32,IF(AND('3. GRI Pricing'!$F202&gt;='2. GRI Pricing Inputs'!$T$33,'3. GRI Pricing'!$F202&lt;='2. GRI Pricing Inputs'!$U$33),'2. GRI Pricing Inputs'!$T$32,IF(AND('3. GRI Pricing'!$F202&gt;='2. GRI Pricing Inputs'!$V$33,'3. GRI Pricing'!$F202&lt;='2. GRI Pricing Inputs'!$W$33),'2. GRI Pricing Inputs'!$V$32,IF(AND('3. GRI Pricing'!$F202&gt;='2. GRI Pricing Inputs'!$X$33,'3. GRI Pricing'!$F202&lt;='2. GRI Pricing Inputs'!$Y$33),'2. GRI Pricing Inputs'!$X$32,IF(AND('3. GRI Pricing'!$F202&gt;='2. GRI Pricing Inputs'!$Z$33,'3. GRI Pricing'!$F202&lt;='2. GRI Pricing Inputs'!$AA$33),'2. GRI Pricing Inputs'!$Z$32,IF(AND('3. GRI Pricing'!$F202&gt;='2. GRI Pricing Inputs'!$AB$33,'3. GRI Pricing'!$F202&lt;='2. GRI Pricing Inputs'!$AC$33),'2. GRI Pricing Inputs'!$AB$32,IF(AND('3. GRI Pricing'!$F202&gt;='2. GRI Pricing Inputs'!$AD$33,'3. GRI Pricing'!$F202&lt;='2. GRI Pricing Inputs'!$AE$33),'2. GRI Pricing Inputs'!$AD$32,IF(AND('3. GRI Pricing'!$F202&gt;='2. GRI Pricing Inputs'!$AF$33,'3. GRI Pricing'!$F202&lt;='2. GRI Pricing Inputs'!$AG$33),'2. GRI Pricing Inputs'!$AF$32,IF(AND('3. GRI Pricing'!$F202&gt;='2. GRI Pricing Inputs'!$AH$33,'3. GRI Pricing'!$F202&lt;='2. GRI Pricing Inputs'!$AI$33),'2. GRI Pricing Inputs'!$AH$32,0))))))))))))))))</f>
        <v>10</v>
      </c>
      <c r="N202" s="273" cm="1">
        <f t="array" ref="N202">IFERROR(INDEX('2. GRI Pricing Inputs'!$C$32:$AI$39,MATCH('3. GRI Pricing'!D202,'2. GRI Pricing Inputs'!$C$32:$C$39,0),(MATCH('3. GRI Pricing'!M202,'2. GRI Pricing Inputs'!$D$32:$AI$32,0)+1)),0)</f>
        <v>40</v>
      </c>
      <c r="O202" s="273">
        <f>IFERROR(INDEX('2. GRI Pricing Inputs'!$C$45:$AI$46,MATCH($O$16,'2. GRI Pricing Inputs'!$C$45:$C$46,0),MATCH(G202,'2. GRI Pricing Inputs'!$C$45:$AI$45,0)),0)</f>
        <v>30</v>
      </c>
      <c r="P202" s="273">
        <f>IFERROR(INDEX('2. GRI Pricing Inputs'!$C$53:$AI$54,MATCH('3. GRI Pricing'!$P$16,'2. GRI Pricing Inputs'!$C$53:$C$54,0),MATCH('3. GRI Pricing'!H202,'2. GRI Pricing Inputs'!$C$53:$AI$53,0)),0)</f>
        <v>10</v>
      </c>
      <c r="Q202" s="273">
        <f>IFERROR(INDEX('2. GRI Pricing Inputs'!$C$60:$AI$61,MATCH('3. GRI Pricing'!$Q$16,'2. GRI Pricing Inputs'!$C$60:$C$61,0),MATCH('1. Accomodation'!T206,'2. GRI Pricing Inputs'!$C$60:$AI$60,0)),0)</f>
        <v>0</v>
      </c>
      <c r="R202" s="273">
        <f>IFERROR(INDEX('2. GRI Pricing Inputs'!$C$67:$AI$68,MATCH('3. GRI Pricing'!$R$16,'2. GRI Pricing Inputs'!$C$67:$C$68,0),MATCH('1. Accomodation'!U206,'2. GRI Pricing Inputs'!$C$67:$AI$67,0)),0)</f>
        <v>0</v>
      </c>
      <c r="S202" s="273">
        <f>IF(D202=0,0,'2. GRI Pricing Inputs'!$AI$75)</f>
        <v>70</v>
      </c>
      <c r="T202" s="273">
        <f>IFERROR(INDEX('2. GRI Pricing Inputs'!$C$82:$AI$83,MATCH('3. GRI Pricing'!$T$16,'2. GRI Pricing Inputs'!$C$82:$C$83,0),MATCH('1. Accomodation'!V206,'2. GRI Pricing Inputs'!$C$82:$AI$82,0)),0)</f>
        <v>0</v>
      </c>
      <c r="U202" s="273">
        <f>IFERROR(INDEX('2. GRI Pricing Inputs'!$C$89:$AI$90,MATCH('3. GRI Pricing'!$U$16,'2. GRI Pricing Inputs'!$C$89:$C$90,0),MATCH('1. Accomodation'!W206,'2. GRI Pricing Inputs'!$C$89:$AI$89,0)),0)</f>
        <v>0</v>
      </c>
      <c r="V202" s="273">
        <f>IFERROR(INDEX('2. GRI Pricing Inputs'!$C$97:$AI$98,MATCH('3. GRI Pricing'!$V$16,'2. GRI Pricing Inputs'!$C$97:$C$98,0),MATCH('1. Accomodation'!X206,'2. GRI Pricing Inputs'!$C$97:$AI$97,0)),0)</f>
        <v>0</v>
      </c>
      <c r="W202" s="273">
        <f>IFERROR(INDEX('2. GRI Pricing Inputs'!$C$104:$AI$105,MATCH('3. GRI Pricing'!$W$16,'2. GRI Pricing Inputs'!$C$104:$C$105,0),MATCH('1. Accomodation'!Y206,'2. GRI Pricing Inputs'!$C$104:$AI$104,0)),0)</f>
        <v>0</v>
      </c>
      <c r="X202" s="274">
        <v>0</v>
      </c>
      <c r="Y202" s="275">
        <f t="shared" si="9"/>
        <v>1260</v>
      </c>
      <c r="Z202" s="276"/>
      <c r="AA202" s="276"/>
      <c r="AB202" s="276"/>
      <c r="AC202" s="272">
        <f>Y202*(1+'2. GRI Pricing Inputs'!$D$114)^(($AC$16-$AB$15)/365)</f>
        <v>1264.2041518610274</v>
      </c>
      <c r="AD202" s="273">
        <f>AC202*(1+'2. GRI Pricing Inputs'!$D$114)^((AD$16-AC$16)/365)</f>
        <v>1268.2860416732221</v>
      </c>
      <c r="AE202" s="273">
        <f>AD202*(1+'2. GRI Pricing Inputs'!$D$114)^((AE$16-AD$16)/365)</f>
        <v>1272.5178409767266</v>
      </c>
      <c r="AF202" s="273">
        <f>AE202*(1+'2. GRI Pricing Inputs'!$D$114)^((AF$16-AE$16)/365)</f>
        <v>1276.7637602222289</v>
      </c>
      <c r="AG202" s="273">
        <f>AF202*(1+'2. GRI Pricing Inputs'!$D$114)^((AG$16-AF$16)/365)</f>
        <v>1280.7485738080034</v>
      </c>
      <c r="AH202" s="273">
        <f>AG202*(1+'2. GRI Pricing Inputs'!$D$114)^((AH$16-AG$16)/365)</f>
        <v>1285.0219559509264</v>
      </c>
      <c r="AI202" s="273">
        <f>AH202*(1+'2. GRI Pricing Inputs'!$D$114)^((AI$16-AH$16)/365)</f>
        <v>1289.1710627409341</v>
      </c>
      <c r="AJ202" s="273">
        <f>AI202*(1+'2. GRI Pricing Inputs'!$D$114)^((AJ$16-AI$16)/365)</f>
        <v>1293.4725476001445</v>
      </c>
      <c r="AK202" s="273">
        <f>AJ202*(1+'2. GRI Pricing Inputs'!$D$114)^((AK$16-AJ$16)/365)</f>
        <v>1297.6489398439369</v>
      </c>
      <c r="AL202" s="273">
        <f>AK202*(1+'2. GRI Pricing Inputs'!$D$114)^((AL$16-AK$16)/365)</f>
        <v>1301.9787122291791</v>
      </c>
      <c r="AM202" s="273">
        <f>AL202*(1+'2. GRI Pricing Inputs'!$D$114)^((AM$16-AL$16)/365)</f>
        <v>1306.3229314561922</v>
      </c>
      <c r="AN202" s="273">
        <f>AM202*(1+'2. GRI Pricing Inputs'!$D$114)^((AN$16-AM$16)/365)</f>
        <v>1310.5408152983689</v>
      </c>
      <c r="AO202" s="273">
        <f>AN202*(1+'2. GRI Pricing Inputs'!$D$114)^((AO$16-AN$16)/365)</f>
        <v>1314.9136030821699</v>
      </c>
    </row>
    <row r="203" spans="3:41" ht="12" x14ac:dyDescent="0.2">
      <c r="C203" s="76" t="str">
        <f>'1. Accomodation'!N207</f>
        <v>106W</v>
      </c>
      <c r="D203" s="69" t="str">
        <f>'1. Accomodation'!P207</f>
        <v>1 Bed</v>
      </c>
      <c r="E203" s="69">
        <f>'1. Accomodation'!Q207</f>
        <v>1</v>
      </c>
      <c r="F203" s="77">
        <f>'1. Accomodation'!O207</f>
        <v>506</v>
      </c>
      <c r="G203" s="69">
        <f>'1. Accomodation'!R207</f>
        <v>1</v>
      </c>
      <c r="H203" s="69" t="str">
        <f>'1. Accomodation'!S207</f>
        <v>Railway Bridge</v>
      </c>
      <c r="I203" s="62"/>
      <c r="K203" s="272">
        <f>IFERROR(INDEX('2. GRI Pricing Inputs'!$C$15:$AI$16,MATCH($K$16,'2. GRI Pricing Inputs'!$C$15:$C$16,0),MATCH(D203,'2. GRI Pricing Inputs'!$C$15:$AI$15,0)),0)</f>
        <v>845</v>
      </c>
      <c r="L203" s="273">
        <f>IFERROR(INDEX('2. GRI Pricing Inputs'!$C$22:$AI$23,MATCH($L$16,'2. GRI Pricing Inputs'!$C$22:$C$23,0),MATCH(E203,'2. GRI Pricing Inputs'!$C$22:$AI$22,0)),0)</f>
        <v>0</v>
      </c>
      <c r="M203" s="328">
        <f>IF(AND('3. GRI Pricing'!$F203&gt;='2. GRI Pricing Inputs'!$D$33,'3. GRI Pricing'!$F203&lt;='2. GRI Pricing Inputs'!$E$33),'2. GRI Pricing Inputs'!$D$32,IF(AND('3. GRI Pricing'!$F203&gt;='2. GRI Pricing Inputs'!$F$33,'3. GRI Pricing'!$F203&lt;='2. GRI Pricing Inputs'!$G$33),'2. GRI Pricing Inputs'!$F$32,IF(AND('3. GRI Pricing'!$F203&gt;='2. GRI Pricing Inputs'!$H$33,'3. GRI Pricing'!$F203&lt;='2. GRI Pricing Inputs'!$I$33),'2. GRI Pricing Inputs'!$H$32,IF(AND('3. GRI Pricing'!$F203&gt;='2. GRI Pricing Inputs'!$J$33,'3. GRI Pricing'!$F203&lt;='2. GRI Pricing Inputs'!$K$33),'2. GRI Pricing Inputs'!$J$32,IF(AND('3. GRI Pricing'!$F203&gt;='2. GRI Pricing Inputs'!$L$33,'3. GRI Pricing'!$F203&lt;='2. GRI Pricing Inputs'!$M$33),'2. GRI Pricing Inputs'!$L$32,IF(AND('3. GRI Pricing'!$F203&gt;='2. GRI Pricing Inputs'!$N$33,'3. GRI Pricing'!$F203&lt;='2. GRI Pricing Inputs'!$O$33),'2. GRI Pricing Inputs'!$N$32,IF(AND('3. GRI Pricing'!$F203&gt;='2. GRI Pricing Inputs'!$P$33,'3. GRI Pricing'!$F203&lt;='2. GRI Pricing Inputs'!$Q$33),'2. GRI Pricing Inputs'!$P$32,IF(AND('3. GRI Pricing'!$F203&gt;='2. GRI Pricing Inputs'!$R$33,'3. GRI Pricing'!$F203&lt;='2. GRI Pricing Inputs'!$S$33),'2. GRI Pricing Inputs'!$R$32,IF(AND('3. GRI Pricing'!$F203&gt;='2. GRI Pricing Inputs'!$T$33,'3. GRI Pricing'!$F203&lt;='2. GRI Pricing Inputs'!$U$33),'2. GRI Pricing Inputs'!$T$32,IF(AND('3. GRI Pricing'!$F203&gt;='2. GRI Pricing Inputs'!$V$33,'3. GRI Pricing'!$F203&lt;='2. GRI Pricing Inputs'!$W$33),'2. GRI Pricing Inputs'!$V$32,IF(AND('3. GRI Pricing'!$F203&gt;='2. GRI Pricing Inputs'!$X$33,'3. GRI Pricing'!$F203&lt;='2. GRI Pricing Inputs'!$Y$33),'2. GRI Pricing Inputs'!$X$32,IF(AND('3. GRI Pricing'!$F203&gt;='2. GRI Pricing Inputs'!$Z$33,'3. GRI Pricing'!$F203&lt;='2. GRI Pricing Inputs'!$AA$33),'2. GRI Pricing Inputs'!$Z$32,IF(AND('3. GRI Pricing'!$F203&gt;='2. GRI Pricing Inputs'!$AB$33,'3. GRI Pricing'!$F203&lt;='2. GRI Pricing Inputs'!$AC$33),'2. GRI Pricing Inputs'!$AB$32,IF(AND('3. GRI Pricing'!$F203&gt;='2. GRI Pricing Inputs'!$AD$33,'3. GRI Pricing'!$F203&lt;='2. GRI Pricing Inputs'!$AE$33),'2. GRI Pricing Inputs'!$AD$32,IF(AND('3. GRI Pricing'!$F203&gt;='2. GRI Pricing Inputs'!$AF$33,'3. GRI Pricing'!$F203&lt;='2. GRI Pricing Inputs'!$AG$33),'2. GRI Pricing Inputs'!$AF$32,IF(AND('3. GRI Pricing'!$F203&gt;='2. GRI Pricing Inputs'!$AH$33,'3. GRI Pricing'!$F203&lt;='2. GRI Pricing Inputs'!$AI$33),'2. GRI Pricing Inputs'!$AH$32,0))))))))))))))))</f>
        <v>2</v>
      </c>
      <c r="N203" s="273" cm="1">
        <f t="array" ref="N203">IFERROR(INDEX('2. GRI Pricing Inputs'!$C$32:$AI$39,MATCH('3. GRI Pricing'!D203,'2. GRI Pricing Inputs'!$C$32:$C$39,0),(MATCH('3. GRI Pricing'!M203,'2. GRI Pricing Inputs'!$D$32:$AI$32,0)+1)),0)</f>
        <v>15</v>
      </c>
      <c r="O203" s="273">
        <f>IFERROR(INDEX('2. GRI Pricing Inputs'!$C$45:$AI$46,MATCH($O$16,'2. GRI Pricing Inputs'!$C$45:$C$46,0),MATCH(G203,'2. GRI Pricing Inputs'!$C$45:$AI$45,0)),0)</f>
        <v>30</v>
      </c>
      <c r="P203" s="273">
        <f>IFERROR(INDEX('2. GRI Pricing Inputs'!$C$53:$AI$54,MATCH('3. GRI Pricing'!$P$16,'2. GRI Pricing Inputs'!$C$53:$C$54,0),MATCH('3. GRI Pricing'!H203,'2. GRI Pricing Inputs'!$C$53:$AI$53,0)),0)</f>
        <v>10</v>
      </c>
      <c r="Q203" s="273">
        <f>IFERROR(INDEX('2. GRI Pricing Inputs'!$C$60:$AI$61,MATCH('3. GRI Pricing'!$Q$16,'2. GRI Pricing Inputs'!$C$60:$C$61,0),MATCH('1. Accomodation'!T207,'2. GRI Pricing Inputs'!$C$60:$AI$60,0)),0)</f>
        <v>0</v>
      </c>
      <c r="R203" s="273">
        <f>IFERROR(INDEX('2. GRI Pricing Inputs'!$C$67:$AI$68,MATCH('3. GRI Pricing'!$R$16,'2. GRI Pricing Inputs'!$C$67:$C$68,0),MATCH('1. Accomodation'!U207,'2. GRI Pricing Inputs'!$C$67:$AI$67,0)),0)</f>
        <v>0</v>
      </c>
      <c r="S203" s="273">
        <f>IF(D203=0,0,'2. GRI Pricing Inputs'!$AI$75)</f>
        <v>70</v>
      </c>
      <c r="T203" s="273">
        <f>IFERROR(INDEX('2. GRI Pricing Inputs'!$C$82:$AI$83,MATCH('3. GRI Pricing'!$T$16,'2. GRI Pricing Inputs'!$C$82:$C$83,0),MATCH('1. Accomodation'!V207,'2. GRI Pricing Inputs'!$C$82:$AI$82,0)),0)</f>
        <v>0</v>
      </c>
      <c r="U203" s="273">
        <f>IFERROR(INDEX('2. GRI Pricing Inputs'!$C$89:$AI$90,MATCH('3. GRI Pricing'!$U$16,'2. GRI Pricing Inputs'!$C$89:$C$90,0),MATCH('1. Accomodation'!W207,'2. GRI Pricing Inputs'!$C$89:$AI$89,0)),0)</f>
        <v>0</v>
      </c>
      <c r="V203" s="273">
        <f>IFERROR(INDEX('2. GRI Pricing Inputs'!$C$97:$AI$98,MATCH('3. GRI Pricing'!$V$16,'2. GRI Pricing Inputs'!$C$97:$C$98,0),MATCH('1. Accomodation'!X207,'2. GRI Pricing Inputs'!$C$97:$AI$97,0)),0)</f>
        <v>0</v>
      </c>
      <c r="W203" s="273">
        <f>IFERROR(INDEX('2. GRI Pricing Inputs'!$C$104:$AI$105,MATCH('3. GRI Pricing'!$W$16,'2. GRI Pricing Inputs'!$C$104:$C$105,0),MATCH('1. Accomodation'!Y207,'2. GRI Pricing Inputs'!$C$104:$AI$104,0)),0)</f>
        <v>0</v>
      </c>
      <c r="X203" s="274">
        <v>0</v>
      </c>
      <c r="Y203" s="275">
        <f t="shared" si="9"/>
        <v>970</v>
      </c>
      <c r="Z203" s="276"/>
      <c r="AA203" s="276"/>
      <c r="AB203" s="276"/>
      <c r="AC203" s="272">
        <f>Y203*(1+'2. GRI Pricing Inputs'!$D$114)^(($AC$16-$AB$15)/365)</f>
        <v>973.23652960729896</v>
      </c>
      <c r="AD203" s="273">
        <f>AC203*(1+'2. GRI Pricing Inputs'!$D$114)^((AD$16-AC$16)/365)</f>
        <v>976.378936843671</v>
      </c>
      <c r="AE203" s="273">
        <f>AD203*(1+'2. GRI Pricing Inputs'!$D$114)^((AE$16-AD$16)/365)</f>
        <v>979.63675059319428</v>
      </c>
      <c r="AF203" s="273">
        <f>AE203*(1+'2. GRI Pricing Inputs'!$D$114)^((AF$16-AE$16)/365)</f>
        <v>982.90543445679532</v>
      </c>
      <c r="AG203" s="273">
        <f>AF203*(1+'2. GRI Pricing Inputs'!$D$114)^((AG$16-AF$16)/365)</f>
        <v>985.97310840774855</v>
      </c>
      <c r="AH203" s="273">
        <f>AG203*(1+'2. GRI Pricing Inputs'!$D$114)^((AH$16-AG$16)/365)</f>
        <v>989.26293434317358</v>
      </c>
      <c r="AI203" s="273">
        <f>AH203*(1+'2. GRI Pricing Inputs'!$D$114)^((AI$16-AH$16)/365)</f>
        <v>992.45708798310011</v>
      </c>
      <c r="AJ203" s="273">
        <f>AI203*(1+'2. GRI Pricing Inputs'!$D$114)^((AJ$16-AI$16)/365)</f>
        <v>995.76854854931764</v>
      </c>
      <c r="AK203" s="273">
        <f>AJ203*(1+'2. GRI Pricing Inputs'!$D$114)^((AK$16-AJ$16)/365)</f>
        <v>998.983707657634</v>
      </c>
      <c r="AL203" s="273">
        <f>AK203*(1+'2. GRI Pricing Inputs'!$D$114)^((AL$16-AK$16)/365)</f>
        <v>1002.3169451288126</v>
      </c>
      <c r="AM203" s="273">
        <f>AL203*(1+'2. GRI Pricing Inputs'!$D$114)^((AM$16-AL$16)/365)</f>
        <v>1005.6613043750052</v>
      </c>
      <c r="AN203" s="273">
        <f>AM203*(1+'2. GRI Pricing Inputs'!$D$114)^((AN$16-AM$16)/365)</f>
        <v>1008.9084054281095</v>
      </c>
      <c r="AO203" s="273">
        <f>AN203*(1+'2. GRI Pricing Inputs'!$D$114)^((AO$16-AN$16)/365)</f>
        <v>1012.2747579283372</v>
      </c>
    </row>
    <row r="204" spans="3:41" ht="12" x14ac:dyDescent="0.2">
      <c r="C204" s="76" t="str">
        <f>'1. Accomodation'!N208</f>
        <v>107W</v>
      </c>
      <c r="D204" s="69" t="str">
        <f>'1. Accomodation'!P208</f>
        <v>1 Bed</v>
      </c>
      <c r="E204" s="69">
        <f>'1. Accomodation'!Q208</f>
        <v>1</v>
      </c>
      <c r="F204" s="77">
        <f>'1. Accomodation'!O208</f>
        <v>474</v>
      </c>
      <c r="G204" s="69">
        <f>'1. Accomodation'!R208</f>
        <v>1</v>
      </c>
      <c r="H204" s="69" t="str">
        <f>'1. Accomodation'!S208</f>
        <v>Pottery Lane</v>
      </c>
      <c r="I204" s="62"/>
      <c r="K204" s="272">
        <f>IFERROR(INDEX('2. GRI Pricing Inputs'!$C$15:$AI$16,MATCH($K$16,'2. GRI Pricing Inputs'!$C$15:$C$16,0),MATCH(D204,'2. GRI Pricing Inputs'!$C$15:$AI$15,0)),0)</f>
        <v>845</v>
      </c>
      <c r="L204" s="273">
        <f>IFERROR(INDEX('2. GRI Pricing Inputs'!$C$22:$AI$23,MATCH($L$16,'2. GRI Pricing Inputs'!$C$22:$C$23,0),MATCH(E204,'2. GRI Pricing Inputs'!$C$22:$AI$22,0)),0)</f>
        <v>0</v>
      </c>
      <c r="M204" s="328">
        <f>IF(AND('3. GRI Pricing'!$F204&gt;='2. GRI Pricing Inputs'!$D$33,'3. GRI Pricing'!$F204&lt;='2. GRI Pricing Inputs'!$E$33),'2. GRI Pricing Inputs'!$D$32,IF(AND('3. GRI Pricing'!$F204&gt;='2. GRI Pricing Inputs'!$F$33,'3. GRI Pricing'!$F204&lt;='2. GRI Pricing Inputs'!$G$33),'2. GRI Pricing Inputs'!$F$32,IF(AND('3. GRI Pricing'!$F204&gt;='2. GRI Pricing Inputs'!$H$33,'3. GRI Pricing'!$F204&lt;='2. GRI Pricing Inputs'!$I$33),'2. GRI Pricing Inputs'!$H$32,IF(AND('3. GRI Pricing'!$F204&gt;='2. GRI Pricing Inputs'!$J$33,'3. GRI Pricing'!$F204&lt;='2. GRI Pricing Inputs'!$K$33),'2. GRI Pricing Inputs'!$J$32,IF(AND('3. GRI Pricing'!$F204&gt;='2. GRI Pricing Inputs'!$L$33,'3. GRI Pricing'!$F204&lt;='2. GRI Pricing Inputs'!$M$33),'2. GRI Pricing Inputs'!$L$32,IF(AND('3. GRI Pricing'!$F204&gt;='2. GRI Pricing Inputs'!$N$33,'3. GRI Pricing'!$F204&lt;='2. GRI Pricing Inputs'!$O$33),'2. GRI Pricing Inputs'!$N$32,IF(AND('3. GRI Pricing'!$F204&gt;='2. GRI Pricing Inputs'!$P$33,'3. GRI Pricing'!$F204&lt;='2. GRI Pricing Inputs'!$Q$33),'2. GRI Pricing Inputs'!$P$32,IF(AND('3. GRI Pricing'!$F204&gt;='2. GRI Pricing Inputs'!$R$33,'3. GRI Pricing'!$F204&lt;='2. GRI Pricing Inputs'!$S$33),'2. GRI Pricing Inputs'!$R$32,IF(AND('3. GRI Pricing'!$F204&gt;='2. GRI Pricing Inputs'!$T$33,'3. GRI Pricing'!$F204&lt;='2. GRI Pricing Inputs'!$U$33),'2. GRI Pricing Inputs'!$T$32,IF(AND('3. GRI Pricing'!$F204&gt;='2. GRI Pricing Inputs'!$V$33,'3. GRI Pricing'!$F204&lt;='2. GRI Pricing Inputs'!$W$33),'2. GRI Pricing Inputs'!$V$32,IF(AND('3. GRI Pricing'!$F204&gt;='2. GRI Pricing Inputs'!$X$33,'3. GRI Pricing'!$F204&lt;='2. GRI Pricing Inputs'!$Y$33),'2. GRI Pricing Inputs'!$X$32,IF(AND('3. GRI Pricing'!$F204&gt;='2. GRI Pricing Inputs'!$Z$33,'3. GRI Pricing'!$F204&lt;='2. GRI Pricing Inputs'!$AA$33),'2. GRI Pricing Inputs'!$Z$32,IF(AND('3. GRI Pricing'!$F204&gt;='2. GRI Pricing Inputs'!$AB$33,'3. GRI Pricing'!$F204&lt;='2. GRI Pricing Inputs'!$AC$33),'2. GRI Pricing Inputs'!$AB$32,IF(AND('3. GRI Pricing'!$F204&gt;='2. GRI Pricing Inputs'!$AD$33,'3. GRI Pricing'!$F204&lt;='2. GRI Pricing Inputs'!$AE$33),'2. GRI Pricing Inputs'!$AD$32,IF(AND('3. GRI Pricing'!$F204&gt;='2. GRI Pricing Inputs'!$AF$33,'3. GRI Pricing'!$F204&lt;='2. GRI Pricing Inputs'!$AG$33),'2. GRI Pricing Inputs'!$AF$32,IF(AND('3. GRI Pricing'!$F204&gt;='2. GRI Pricing Inputs'!$AH$33,'3. GRI Pricing'!$F204&lt;='2. GRI Pricing Inputs'!$AI$33),'2. GRI Pricing Inputs'!$AH$32,0))))))))))))))))</f>
        <v>0</v>
      </c>
      <c r="N204" s="273" cm="1">
        <f t="array" ref="N204">IFERROR(INDEX('2. GRI Pricing Inputs'!$C$32:$AI$39,MATCH('3. GRI Pricing'!D204,'2. GRI Pricing Inputs'!$C$32:$C$39,0),(MATCH('3. GRI Pricing'!M204,'2. GRI Pricing Inputs'!$D$32:$AI$32,0)+1)),0)</f>
        <v>0</v>
      </c>
      <c r="O204" s="273">
        <f>IFERROR(INDEX('2. GRI Pricing Inputs'!$C$45:$AI$46,MATCH($O$16,'2. GRI Pricing Inputs'!$C$45:$C$46,0),MATCH(G204,'2. GRI Pricing Inputs'!$C$45:$AI$45,0)),0)</f>
        <v>30</v>
      </c>
      <c r="P204" s="273">
        <f>IFERROR(INDEX('2. GRI Pricing Inputs'!$C$53:$AI$54,MATCH('3. GRI Pricing'!$P$16,'2. GRI Pricing Inputs'!$C$53:$C$54,0),MATCH('3. GRI Pricing'!H204,'2. GRI Pricing Inputs'!$C$53:$AI$53,0)),0)</f>
        <v>10</v>
      </c>
      <c r="Q204" s="273">
        <f>IFERROR(INDEX('2. GRI Pricing Inputs'!$C$60:$AI$61,MATCH('3. GRI Pricing'!$Q$16,'2. GRI Pricing Inputs'!$C$60:$C$61,0),MATCH('1. Accomodation'!T208,'2. GRI Pricing Inputs'!$C$60:$AI$60,0)),0)</f>
        <v>0</v>
      </c>
      <c r="R204" s="273">
        <f>IFERROR(INDEX('2. GRI Pricing Inputs'!$C$67:$AI$68,MATCH('3. GRI Pricing'!$R$16,'2. GRI Pricing Inputs'!$C$67:$C$68,0),MATCH('1. Accomodation'!U208,'2. GRI Pricing Inputs'!$C$67:$AI$67,0)),0)</f>
        <v>0</v>
      </c>
      <c r="S204" s="273">
        <f>IF(D204=0,0,'2. GRI Pricing Inputs'!$AI$75)</f>
        <v>70</v>
      </c>
      <c r="T204" s="273">
        <f>IFERROR(INDEX('2. GRI Pricing Inputs'!$C$82:$AI$83,MATCH('3. GRI Pricing'!$T$16,'2. GRI Pricing Inputs'!$C$82:$C$83,0),MATCH('1. Accomodation'!V208,'2. GRI Pricing Inputs'!$C$82:$AI$82,0)),0)</f>
        <v>0</v>
      </c>
      <c r="U204" s="273">
        <f>IFERROR(INDEX('2. GRI Pricing Inputs'!$C$89:$AI$90,MATCH('3. GRI Pricing'!$U$16,'2. GRI Pricing Inputs'!$C$89:$C$90,0),MATCH('1. Accomodation'!W208,'2. GRI Pricing Inputs'!$C$89:$AI$89,0)),0)</f>
        <v>0</v>
      </c>
      <c r="V204" s="273">
        <f>IFERROR(INDEX('2. GRI Pricing Inputs'!$C$97:$AI$98,MATCH('3. GRI Pricing'!$V$16,'2. GRI Pricing Inputs'!$C$97:$C$98,0),MATCH('1. Accomodation'!X208,'2. GRI Pricing Inputs'!$C$97:$AI$97,0)),0)</f>
        <v>0</v>
      </c>
      <c r="W204" s="273">
        <f>IFERROR(INDEX('2. GRI Pricing Inputs'!$C$104:$AI$105,MATCH('3. GRI Pricing'!$W$16,'2. GRI Pricing Inputs'!$C$104:$C$105,0),MATCH('1. Accomodation'!Y208,'2. GRI Pricing Inputs'!$C$104:$AI$104,0)),0)</f>
        <v>0</v>
      </c>
      <c r="X204" s="274">
        <v>0</v>
      </c>
      <c r="Y204" s="275">
        <f t="shared" si="9"/>
        <v>955</v>
      </c>
      <c r="Z204" s="276"/>
      <c r="AA204" s="276"/>
      <c r="AB204" s="276"/>
      <c r="AC204" s="272">
        <f>Y204*(1+'2. GRI Pricing Inputs'!$D$114)^(($AC$16-$AB$15)/365)</f>
        <v>958.18648018038198</v>
      </c>
      <c r="AD204" s="273">
        <f>AC204*(1+'2. GRI Pricing Inputs'!$D$114)^((AD$16-AC$16)/365)</f>
        <v>961.28029349041844</v>
      </c>
      <c r="AE204" s="273">
        <f>AD204*(1+'2. GRI Pricing Inputs'!$D$114)^((AE$16-AD$16)/365)</f>
        <v>964.48772867680475</v>
      </c>
      <c r="AF204" s="273">
        <f>AE204*(1+'2. GRI Pricing Inputs'!$D$114)^((AF$16-AE$16)/365)</f>
        <v>967.70586588272124</v>
      </c>
      <c r="AG204" s="273">
        <f>AF204*(1+'2. GRI Pricing Inputs'!$D$114)^((AG$16-AF$16)/365)</f>
        <v>970.72610157670101</v>
      </c>
      <c r="AH204" s="273">
        <f>AG204*(1+'2. GRI Pricing Inputs'!$D$114)^((AH$16-AG$16)/365)</f>
        <v>973.96505391518645</v>
      </c>
      <c r="AI204" s="273">
        <f>AH204*(1+'2. GRI Pricing Inputs'!$D$114)^((AI$16-AH$16)/365)</f>
        <v>977.10981342666059</v>
      </c>
      <c r="AJ204" s="273">
        <f>AI204*(1+'2. GRI Pricing Inputs'!$D$114)^((AJ$16-AI$16)/365)</f>
        <v>980.37006583979223</v>
      </c>
      <c r="AK204" s="273">
        <f>AJ204*(1+'2. GRI Pricing Inputs'!$D$114)^((AK$16-AJ$16)/365)</f>
        <v>983.53550599282528</v>
      </c>
      <c r="AL204" s="273">
        <f>AK204*(1+'2. GRI Pricing Inputs'!$D$114)^((AL$16-AK$16)/365)</f>
        <v>986.81719855465576</v>
      </c>
      <c r="AM204" s="273">
        <f>AL204*(1+'2. GRI Pricing Inputs'!$D$114)^((AM$16-AL$16)/365)</f>
        <v>990.10984090528871</v>
      </c>
      <c r="AN204" s="273">
        <f>AM204*(1+'2. GRI Pricing Inputs'!$D$114)^((AN$16-AM$16)/365)</f>
        <v>993.30672905550989</v>
      </c>
      <c r="AO204" s="273">
        <f>AN204*(1+'2. GRI Pricing Inputs'!$D$114)^((AO$16-AN$16)/365)</f>
        <v>996.62102455831132</v>
      </c>
    </row>
    <row r="205" spans="3:41" ht="12" x14ac:dyDescent="0.2">
      <c r="C205" s="76" t="str">
        <f>'1. Accomodation'!N209</f>
        <v>108W</v>
      </c>
      <c r="D205" s="69" t="str">
        <f>'1. Accomodation'!P209</f>
        <v>2 Bed</v>
      </c>
      <c r="E205" s="69">
        <f>'1. Accomodation'!Q209</f>
        <v>2</v>
      </c>
      <c r="F205" s="77">
        <f>'1. Accomodation'!O209</f>
        <v>775</v>
      </c>
      <c r="G205" s="69">
        <f>'1. Accomodation'!R209</f>
        <v>1</v>
      </c>
      <c r="H205" s="69" t="str">
        <f>'1. Accomodation'!S209</f>
        <v>Courtyard</v>
      </c>
      <c r="I205" s="62"/>
      <c r="K205" s="272">
        <f>IFERROR(INDEX('2. GRI Pricing Inputs'!$C$15:$AI$16,MATCH($K$16,'2. GRI Pricing Inputs'!$C$15:$C$16,0),MATCH(D205,'2. GRI Pricing Inputs'!$C$15:$AI$15,0)),0)</f>
        <v>1110</v>
      </c>
      <c r="L205" s="273">
        <f>IFERROR(INDEX('2. GRI Pricing Inputs'!$C$22:$AI$23,MATCH($L$16,'2. GRI Pricing Inputs'!$C$22:$C$23,0),MATCH(E205,'2. GRI Pricing Inputs'!$C$22:$AI$22,0)),0)</f>
        <v>0</v>
      </c>
      <c r="M205" s="328">
        <f>IF(AND('3. GRI Pricing'!$F205&gt;='2. GRI Pricing Inputs'!$D$33,'3. GRI Pricing'!$F205&lt;='2. GRI Pricing Inputs'!$E$33),'2. GRI Pricing Inputs'!$D$32,IF(AND('3. GRI Pricing'!$F205&gt;='2. GRI Pricing Inputs'!$F$33,'3. GRI Pricing'!$F205&lt;='2. GRI Pricing Inputs'!$G$33),'2. GRI Pricing Inputs'!$F$32,IF(AND('3. GRI Pricing'!$F205&gt;='2. GRI Pricing Inputs'!$H$33,'3. GRI Pricing'!$F205&lt;='2. GRI Pricing Inputs'!$I$33),'2. GRI Pricing Inputs'!$H$32,IF(AND('3. GRI Pricing'!$F205&gt;='2. GRI Pricing Inputs'!$J$33,'3. GRI Pricing'!$F205&lt;='2. GRI Pricing Inputs'!$K$33),'2. GRI Pricing Inputs'!$J$32,IF(AND('3. GRI Pricing'!$F205&gt;='2. GRI Pricing Inputs'!$L$33,'3. GRI Pricing'!$F205&lt;='2. GRI Pricing Inputs'!$M$33),'2. GRI Pricing Inputs'!$L$32,IF(AND('3. GRI Pricing'!$F205&gt;='2. GRI Pricing Inputs'!$N$33,'3. GRI Pricing'!$F205&lt;='2. GRI Pricing Inputs'!$O$33),'2. GRI Pricing Inputs'!$N$32,IF(AND('3. GRI Pricing'!$F205&gt;='2. GRI Pricing Inputs'!$P$33,'3. GRI Pricing'!$F205&lt;='2. GRI Pricing Inputs'!$Q$33),'2. GRI Pricing Inputs'!$P$32,IF(AND('3. GRI Pricing'!$F205&gt;='2. GRI Pricing Inputs'!$R$33,'3. GRI Pricing'!$F205&lt;='2. GRI Pricing Inputs'!$S$33),'2. GRI Pricing Inputs'!$R$32,IF(AND('3. GRI Pricing'!$F205&gt;='2. GRI Pricing Inputs'!$T$33,'3. GRI Pricing'!$F205&lt;='2. GRI Pricing Inputs'!$U$33),'2. GRI Pricing Inputs'!$T$32,IF(AND('3. GRI Pricing'!$F205&gt;='2. GRI Pricing Inputs'!$V$33,'3. GRI Pricing'!$F205&lt;='2. GRI Pricing Inputs'!$W$33),'2. GRI Pricing Inputs'!$V$32,IF(AND('3. GRI Pricing'!$F205&gt;='2. GRI Pricing Inputs'!$X$33,'3. GRI Pricing'!$F205&lt;='2. GRI Pricing Inputs'!$Y$33),'2. GRI Pricing Inputs'!$X$32,IF(AND('3. GRI Pricing'!$F205&gt;='2. GRI Pricing Inputs'!$Z$33,'3. GRI Pricing'!$F205&lt;='2. GRI Pricing Inputs'!$AA$33),'2. GRI Pricing Inputs'!$Z$32,IF(AND('3. GRI Pricing'!$F205&gt;='2. GRI Pricing Inputs'!$AB$33,'3. GRI Pricing'!$F205&lt;='2. GRI Pricing Inputs'!$AC$33),'2. GRI Pricing Inputs'!$AB$32,IF(AND('3. GRI Pricing'!$F205&gt;='2. GRI Pricing Inputs'!$AD$33,'3. GRI Pricing'!$F205&lt;='2. GRI Pricing Inputs'!$AE$33),'2. GRI Pricing Inputs'!$AD$32,IF(AND('3. GRI Pricing'!$F205&gt;='2. GRI Pricing Inputs'!$AF$33,'3. GRI Pricing'!$F205&lt;='2. GRI Pricing Inputs'!$AG$33),'2. GRI Pricing Inputs'!$AF$32,IF(AND('3. GRI Pricing'!$F205&gt;='2. GRI Pricing Inputs'!$AH$33,'3. GRI Pricing'!$F205&lt;='2. GRI Pricing Inputs'!$AI$33),'2. GRI Pricing Inputs'!$AH$32,0))))))))))))))))</f>
        <v>0</v>
      </c>
      <c r="N205" s="273" cm="1">
        <f t="array" ref="N205">IFERROR(INDEX('2. GRI Pricing Inputs'!$C$32:$AI$39,MATCH('3. GRI Pricing'!D205,'2. GRI Pricing Inputs'!$C$32:$C$39,0),(MATCH('3. GRI Pricing'!M205,'2. GRI Pricing Inputs'!$D$32:$AI$32,0)+1)),0)</f>
        <v>0</v>
      </c>
      <c r="O205" s="273">
        <f>IFERROR(INDEX('2. GRI Pricing Inputs'!$C$45:$AI$46,MATCH($O$16,'2. GRI Pricing Inputs'!$C$45:$C$46,0),MATCH(G205,'2. GRI Pricing Inputs'!$C$45:$AI$45,0)),0)</f>
        <v>30</v>
      </c>
      <c r="P205" s="273">
        <f>IFERROR(INDEX('2. GRI Pricing Inputs'!$C$53:$AI$54,MATCH('3. GRI Pricing'!$P$16,'2. GRI Pricing Inputs'!$C$53:$C$54,0),MATCH('3. GRI Pricing'!H205,'2. GRI Pricing Inputs'!$C$53:$AI$53,0)),0)</f>
        <v>25</v>
      </c>
      <c r="Q205" s="273">
        <f>IFERROR(INDEX('2. GRI Pricing Inputs'!$C$60:$AI$61,MATCH('3. GRI Pricing'!$Q$16,'2. GRI Pricing Inputs'!$C$60:$C$61,0),MATCH('1. Accomodation'!T209,'2. GRI Pricing Inputs'!$C$60:$AI$60,0)),0)</f>
        <v>0</v>
      </c>
      <c r="R205" s="273">
        <f>IFERROR(INDEX('2. GRI Pricing Inputs'!$C$67:$AI$68,MATCH('3. GRI Pricing'!$R$16,'2. GRI Pricing Inputs'!$C$67:$C$68,0),MATCH('1. Accomodation'!U209,'2. GRI Pricing Inputs'!$C$67:$AI$67,0)),0)</f>
        <v>0</v>
      </c>
      <c r="S205" s="273">
        <f>IF(D205=0,0,'2. GRI Pricing Inputs'!$AI$75)</f>
        <v>70</v>
      </c>
      <c r="T205" s="273">
        <f>IFERROR(INDEX('2. GRI Pricing Inputs'!$C$82:$AI$83,MATCH('3. GRI Pricing'!$T$16,'2. GRI Pricing Inputs'!$C$82:$C$83,0),MATCH('1. Accomodation'!V209,'2. GRI Pricing Inputs'!$C$82:$AI$82,0)),0)</f>
        <v>0</v>
      </c>
      <c r="U205" s="273">
        <f>IFERROR(INDEX('2. GRI Pricing Inputs'!$C$89:$AI$90,MATCH('3. GRI Pricing'!$U$16,'2. GRI Pricing Inputs'!$C$89:$C$90,0),MATCH('1. Accomodation'!W209,'2. GRI Pricing Inputs'!$C$89:$AI$89,0)),0)</f>
        <v>0</v>
      </c>
      <c r="V205" s="273">
        <f>IFERROR(INDEX('2. GRI Pricing Inputs'!$C$97:$AI$98,MATCH('3. GRI Pricing'!$V$16,'2. GRI Pricing Inputs'!$C$97:$C$98,0),MATCH('1. Accomodation'!X209,'2. GRI Pricing Inputs'!$C$97:$AI$97,0)),0)</f>
        <v>0</v>
      </c>
      <c r="W205" s="273">
        <f>IFERROR(INDEX('2. GRI Pricing Inputs'!$C$104:$AI$105,MATCH('3. GRI Pricing'!$W$16,'2. GRI Pricing Inputs'!$C$104:$C$105,0),MATCH('1. Accomodation'!Y209,'2. GRI Pricing Inputs'!$C$104:$AI$104,0)),0)</f>
        <v>0</v>
      </c>
      <c r="X205" s="274">
        <v>110</v>
      </c>
      <c r="Y205" s="275">
        <f t="shared" si="9"/>
        <v>1345</v>
      </c>
      <c r="Z205" s="276"/>
      <c r="AA205" s="276"/>
      <c r="AB205" s="276"/>
      <c r="AC205" s="272">
        <f>Y205*(1+'2. GRI Pricing Inputs'!$D$114)^(($AC$16-$AB$15)/365)</f>
        <v>1349.4877652802238</v>
      </c>
      <c r="AD205" s="273">
        <f>AC205*(1+'2. GRI Pricing Inputs'!$D$114)^((AD$16-AC$16)/365)</f>
        <v>1353.8450206749872</v>
      </c>
      <c r="AE205" s="273">
        <f>AD205*(1+'2. GRI Pricing Inputs'!$D$114)^((AE$16-AD$16)/365)</f>
        <v>1358.3622985029344</v>
      </c>
      <c r="AF205" s="273">
        <f>AE205*(1+'2. GRI Pricing Inputs'!$D$114)^((AF$16-AE$16)/365)</f>
        <v>1362.8946488086492</v>
      </c>
      <c r="AG205" s="273">
        <f>AF205*(1+'2. GRI Pricing Inputs'!$D$114)^((AG$16-AF$16)/365)</f>
        <v>1367.1482791839401</v>
      </c>
      <c r="AH205" s="273">
        <f>AG205*(1+'2. GRI Pricing Inputs'!$D$114)^((AH$16-AG$16)/365)</f>
        <v>1371.7099450428541</v>
      </c>
      <c r="AI205" s="273">
        <f>AH205*(1+'2. GRI Pricing Inputs'!$D$114)^((AI$16-AH$16)/365)</f>
        <v>1376.1389518940925</v>
      </c>
      <c r="AJ205" s="273">
        <f>AI205*(1+'2. GRI Pricing Inputs'!$D$114)^((AJ$16-AI$16)/365)</f>
        <v>1380.7306162874561</v>
      </c>
      <c r="AK205" s="273">
        <f>AJ205*(1+'2. GRI Pricing Inputs'!$D$114)^((AK$16-AJ$16)/365)</f>
        <v>1385.1887492778535</v>
      </c>
      <c r="AL205" s="273">
        <f>AK205*(1+'2. GRI Pricing Inputs'!$D$114)^((AL$16-AK$16)/365)</f>
        <v>1389.8106094827351</v>
      </c>
      <c r="AM205" s="273">
        <f>AL205*(1+'2. GRI Pricing Inputs'!$D$114)^((AM$16-AL$16)/365)</f>
        <v>1394.4478911179197</v>
      </c>
      <c r="AN205" s="273">
        <f>AM205*(1+'2. GRI Pricing Inputs'!$D$114)^((AN$16-AM$16)/365)</f>
        <v>1398.9503147431003</v>
      </c>
      <c r="AO205" s="273">
        <f>AN205*(1+'2. GRI Pricing Inputs'!$D$114)^((AO$16-AN$16)/365)</f>
        <v>1403.618092178983</v>
      </c>
    </row>
    <row r="206" spans="3:41" ht="12" x14ac:dyDescent="0.2">
      <c r="C206" s="76" t="str">
        <f>'1. Accomodation'!N210</f>
        <v>109W</v>
      </c>
      <c r="D206" s="69" t="str">
        <f>'1. Accomodation'!P210</f>
        <v>2 Bed</v>
      </c>
      <c r="E206" s="69">
        <f>'1. Accomodation'!Q210</f>
        <v>2</v>
      </c>
      <c r="F206" s="77">
        <f>'1. Accomodation'!O210</f>
        <v>657</v>
      </c>
      <c r="G206" s="69">
        <f>'1. Accomodation'!R210</f>
        <v>1</v>
      </c>
      <c r="H206" s="69" t="str">
        <f>'1. Accomodation'!S210</f>
        <v>Courtyard</v>
      </c>
      <c r="I206" s="62"/>
      <c r="K206" s="272">
        <f>IFERROR(INDEX('2. GRI Pricing Inputs'!$C$15:$AI$16,MATCH($K$16,'2. GRI Pricing Inputs'!$C$15:$C$16,0),MATCH(D206,'2. GRI Pricing Inputs'!$C$15:$AI$15,0)),0)</f>
        <v>1110</v>
      </c>
      <c r="L206" s="273">
        <f>IFERROR(INDEX('2. GRI Pricing Inputs'!$C$22:$AI$23,MATCH($L$16,'2. GRI Pricing Inputs'!$C$22:$C$23,0),MATCH(E206,'2. GRI Pricing Inputs'!$C$22:$AI$22,0)),0)</f>
        <v>0</v>
      </c>
      <c r="M206" s="328">
        <f>IF(AND('3. GRI Pricing'!$F206&gt;='2. GRI Pricing Inputs'!$D$33,'3. GRI Pricing'!$F206&lt;='2. GRI Pricing Inputs'!$E$33),'2. GRI Pricing Inputs'!$D$32,IF(AND('3. GRI Pricing'!$F206&gt;='2. GRI Pricing Inputs'!$F$33,'3. GRI Pricing'!$F206&lt;='2. GRI Pricing Inputs'!$G$33),'2. GRI Pricing Inputs'!$F$32,IF(AND('3. GRI Pricing'!$F206&gt;='2. GRI Pricing Inputs'!$H$33,'3. GRI Pricing'!$F206&lt;='2. GRI Pricing Inputs'!$I$33),'2. GRI Pricing Inputs'!$H$32,IF(AND('3. GRI Pricing'!$F206&gt;='2. GRI Pricing Inputs'!$J$33,'3. GRI Pricing'!$F206&lt;='2. GRI Pricing Inputs'!$K$33),'2. GRI Pricing Inputs'!$J$32,IF(AND('3. GRI Pricing'!$F206&gt;='2. GRI Pricing Inputs'!$L$33,'3. GRI Pricing'!$F206&lt;='2. GRI Pricing Inputs'!$M$33),'2. GRI Pricing Inputs'!$L$32,IF(AND('3. GRI Pricing'!$F206&gt;='2. GRI Pricing Inputs'!$N$33,'3. GRI Pricing'!$F206&lt;='2. GRI Pricing Inputs'!$O$33),'2. GRI Pricing Inputs'!$N$32,IF(AND('3. GRI Pricing'!$F206&gt;='2. GRI Pricing Inputs'!$P$33,'3. GRI Pricing'!$F206&lt;='2. GRI Pricing Inputs'!$Q$33),'2. GRI Pricing Inputs'!$P$32,IF(AND('3. GRI Pricing'!$F206&gt;='2. GRI Pricing Inputs'!$R$33,'3. GRI Pricing'!$F206&lt;='2. GRI Pricing Inputs'!$S$33),'2. GRI Pricing Inputs'!$R$32,IF(AND('3. GRI Pricing'!$F206&gt;='2. GRI Pricing Inputs'!$T$33,'3. GRI Pricing'!$F206&lt;='2. GRI Pricing Inputs'!$U$33),'2. GRI Pricing Inputs'!$T$32,IF(AND('3. GRI Pricing'!$F206&gt;='2. GRI Pricing Inputs'!$V$33,'3. GRI Pricing'!$F206&lt;='2. GRI Pricing Inputs'!$W$33),'2. GRI Pricing Inputs'!$V$32,IF(AND('3. GRI Pricing'!$F206&gt;='2. GRI Pricing Inputs'!$X$33,'3. GRI Pricing'!$F206&lt;='2. GRI Pricing Inputs'!$Y$33),'2. GRI Pricing Inputs'!$X$32,IF(AND('3. GRI Pricing'!$F206&gt;='2. GRI Pricing Inputs'!$Z$33,'3. GRI Pricing'!$F206&lt;='2. GRI Pricing Inputs'!$AA$33),'2. GRI Pricing Inputs'!$Z$32,IF(AND('3. GRI Pricing'!$F206&gt;='2. GRI Pricing Inputs'!$AB$33,'3. GRI Pricing'!$F206&lt;='2. GRI Pricing Inputs'!$AC$33),'2. GRI Pricing Inputs'!$AB$32,IF(AND('3. GRI Pricing'!$F206&gt;='2. GRI Pricing Inputs'!$AD$33,'3. GRI Pricing'!$F206&lt;='2. GRI Pricing Inputs'!$AE$33),'2. GRI Pricing Inputs'!$AD$32,IF(AND('3. GRI Pricing'!$F206&gt;='2. GRI Pricing Inputs'!$AF$33,'3. GRI Pricing'!$F206&lt;='2. GRI Pricing Inputs'!$AG$33),'2. GRI Pricing Inputs'!$AF$32,IF(AND('3. GRI Pricing'!$F206&gt;='2. GRI Pricing Inputs'!$AH$33,'3. GRI Pricing'!$F206&lt;='2. GRI Pricing Inputs'!$AI$33),'2. GRI Pricing Inputs'!$AH$32,0))))))))))))))))</f>
        <v>8</v>
      </c>
      <c r="N206" s="273" cm="1">
        <f t="array" ref="N206">IFERROR(INDEX('2. GRI Pricing Inputs'!$C$32:$AI$39,MATCH('3. GRI Pricing'!D206,'2. GRI Pricing Inputs'!$C$32:$C$39,0),(MATCH('3. GRI Pricing'!M206,'2. GRI Pricing Inputs'!$D$32:$AI$32,0)+1)),0)</f>
        <v>20</v>
      </c>
      <c r="O206" s="273">
        <f>IFERROR(INDEX('2. GRI Pricing Inputs'!$C$45:$AI$46,MATCH($O$16,'2. GRI Pricing Inputs'!$C$45:$C$46,0),MATCH(G206,'2. GRI Pricing Inputs'!$C$45:$AI$45,0)),0)</f>
        <v>30</v>
      </c>
      <c r="P206" s="273">
        <f>IFERROR(INDEX('2. GRI Pricing Inputs'!$C$53:$AI$54,MATCH('3. GRI Pricing'!$P$16,'2. GRI Pricing Inputs'!$C$53:$C$54,0),MATCH('3. GRI Pricing'!H206,'2. GRI Pricing Inputs'!$C$53:$AI$53,0)),0)</f>
        <v>25</v>
      </c>
      <c r="Q206" s="273">
        <f>IFERROR(INDEX('2. GRI Pricing Inputs'!$C$60:$AI$61,MATCH('3. GRI Pricing'!$Q$16,'2. GRI Pricing Inputs'!$C$60:$C$61,0),MATCH('1. Accomodation'!T210,'2. GRI Pricing Inputs'!$C$60:$AI$60,0)),0)</f>
        <v>0</v>
      </c>
      <c r="R206" s="273">
        <f>IFERROR(INDEX('2. GRI Pricing Inputs'!$C$67:$AI$68,MATCH('3. GRI Pricing'!$R$16,'2. GRI Pricing Inputs'!$C$67:$C$68,0),MATCH('1. Accomodation'!U210,'2. GRI Pricing Inputs'!$C$67:$AI$67,0)),0)</f>
        <v>0</v>
      </c>
      <c r="S206" s="273">
        <f>IF(D206=0,0,'2. GRI Pricing Inputs'!$AI$75)</f>
        <v>70</v>
      </c>
      <c r="T206" s="273">
        <f>IFERROR(INDEX('2. GRI Pricing Inputs'!$C$82:$AI$83,MATCH('3. GRI Pricing'!$T$16,'2. GRI Pricing Inputs'!$C$82:$C$83,0),MATCH('1. Accomodation'!V210,'2. GRI Pricing Inputs'!$C$82:$AI$82,0)),0)</f>
        <v>0</v>
      </c>
      <c r="U206" s="273">
        <f>IFERROR(INDEX('2. GRI Pricing Inputs'!$C$89:$AI$90,MATCH('3. GRI Pricing'!$U$16,'2. GRI Pricing Inputs'!$C$89:$C$90,0),MATCH('1. Accomodation'!W210,'2. GRI Pricing Inputs'!$C$89:$AI$89,0)),0)</f>
        <v>0</v>
      </c>
      <c r="V206" s="273">
        <f>IFERROR(INDEX('2. GRI Pricing Inputs'!$C$97:$AI$98,MATCH('3. GRI Pricing'!$V$16,'2. GRI Pricing Inputs'!$C$97:$C$98,0),MATCH('1. Accomodation'!X210,'2. GRI Pricing Inputs'!$C$97:$AI$97,0)),0)</f>
        <v>0</v>
      </c>
      <c r="W206" s="273">
        <f>IFERROR(INDEX('2. GRI Pricing Inputs'!$C$104:$AI$105,MATCH('3. GRI Pricing'!$W$16,'2. GRI Pricing Inputs'!$C$104:$C$105,0),MATCH('1. Accomodation'!Y210,'2. GRI Pricing Inputs'!$C$104:$AI$104,0)),0)</f>
        <v>0</v>
      </c>
      <c r="X206" s="274">
        <v>0</v>
      </c>
      <c r="Y206" s="275">
        <f t="shared" si="9"/>
        <v>1255</v>
      </c>
      <c r="Z206" s="276"/>
      <c r="AA206" s="276"/>
      <c r="AB206" s="276"/>
      <c r="AC206" s="272">
        <f>Y206*(1+'2. GRI Pricing Inputs'!$D$114)^(($AC$16-$AB$15)/365)</f>
        <v>1259.1874687187219</v>
      </c>
      <c r="AD206" s="273">
        <f>AC206*(1+'2. GRI Pricing Inputs'!$D$114)^((AD$16-AC$16)/365)</f>
        <v>1263.2531605554714</v>
      </c>
      <c r="AE206" s="273">
        <f>AD206*(1+'2. GRI Pricing Inputs'!$D$114)^((AE$16-AD$16)/365)</f>
        <v>1267.4681670045968</v>
      </c>
      <c r="AF206" s="273">
        <f>AE206*(1+'2. GRI Pricing Inputs'!$D$114)^((AF$16-AE$16)/365)</f>
        <v>1271.6972373642043</v>
      </c>
      <c r="AG206" s="273">
        <f>AF206*(1+'2. GRI Pricing Inputs'!$D$114)^((AG$16-AF$16)/365)</f>
        <v>1275.6662381976541</v>
      </c>
      <c r="AH206" s="273">
        <f>AG206*(1+'2. GRI Pricing Inputs'!$D$114)^((AH$16-AG$16)/365)</f>
        <v>1279.9226624749308</v>
      </c>
      <c r="AI206" s="273">
        <f>AH206*(1+'2. GRI Pricing Inputs'!$D$114)^((AI$16-AH$16)/365)</f>
        <v>1284.0553045554543</v>
      </c>
      <c r="AJ206" s="273">
        <f>AI206*(1+'2. GRI Pricing Inputs'!$D$114)^((AJ$16-AI$16)/365)</f>
        <v>1288.3397200303027</v>
      </c>
      <c r="AK206" s="273">
        <f>AJ206*(1+'2. GRI Pricing Inputs'!$D$114)^((AK$16-AJ$16)/365)</f>
        <v>1292.4995392890007</v>
      </c>
      <c r="AL206" s="273">
        <f>AK206*(1+'2. GRI Pricing Inputs'!$D$114)^((AL$16-AK$16)/365)</f>
        <v>1296.8121300377936</v>
      </c>
      <c r="AM206" s="273">
        <f>AL206*(1+'2. GRI Pricing Inputs'!$D$114)^((AM$16-AL$16)/365)</f>
        <v>1301.1391102996201</v>
      </c>
      <c r="AN206" s="273">
        <f>AM206*(1+'2. GRI Pricing Inputs'!$D$114)^((AN$16-AM$16)/365)</f>
        <v>1305.3402565075025</v>
      </c>
      <c r="AO206" s="273">
        <f>AN206*(1+'2. GRI Pricing Inputs'!$D$114)^((AO$16-AN$16)/365)</f>
        <v>1309.6956919588281</v>
      </c>
    </row>
    <row r="207" spans="3:41" ht="12" x14ac:dyDescent="0.2">
      <c r="C207" s="76" t="str">
        <f>'1. Accomodation'!N211</f>
        <v>110W</v>
      </c>
      <c r="D207" s="69" t="str">
        <f>'1. Accomodation'!P211</f>
        <v>2 Bed</v>
      </c>
      <c r="E207" s="69">
        <f>'1. Accomodation'!Q211</f>
        <v>2</v>
      </c>
      <c r="F207" s="77">
        <f>'1. Accomodation'!O211</f>
        <v>689</v>
      </c>
      <c r="G207" s="69">
        <f>'1. Accomodation'!R211</f>
        <v>1</v>
      </c>
      <c r="H207" s="69" t="str">
        <f>'1. Accomodation'!S211</f>
        <v>Courtyard</v>
      </c>
      <c r="I207" s="62"/>
      <c r="K207" s="272">
        <f>IFERROR(INDEX('2. GRI Pricing Inputs'!$C$15:$AI$16,MATCH($K$16,'2. GRI Pricing Inputs'!$C$15:$C$16,0),MATCH(D207,'2. GRI Pricing Inputs'!$C$15:$AI$15,0)),0)</f>
        <v>1110</v>
      </c>
      <c r="L207" s="273">
        <f>IFERROR(INDEX('2. GRI Pricing Inputs'!$C$22:$AI$23,MATCH($L$16,'2. GRI Pricing Inputs'!$C$22:$C$23,0),MATCH(E207,'2. GRI Pricing Inputs'!$C$22:$AI$22,0)),0)</f>
        <v>0</v>
      </c>
      <c r="M207" s="328">
        <f>IF(AND('3. GRI Pricing'!$F207&gt;='2. GRI Pricing Inputs'!$D$33,'3. GRI Pricing'!$F207&lt;='2. GRI Pricing Inputs'!$E$33),'2. GRI Pricing Inputs'!$D$32,IF(AND('3. GRI Pricing'!$F207&gt;='2. GRI Pricing Inputs'!$F$33,'3. GRI Pricing'!$F207&lt;='2. GRI Pricing Inputs'!$G$33),'2. GRI Pricing Inputs'!$F$32,IF(AND('3. GRI Pricing'!$F207&gt;='2. GRI Pricing Inputs'!$H$33,'3. GRI Pricing'!$F207&lt;='2. GRI Pricing Inputs'!$I$33),'2. GRI Pricing Inputs'!$H$32,IF(AND('3. GRI Pricing'!$F207&gt;='2. GRI Pricing Inputs'!$J$33,'3. GRI Pricing'!$F207&lt;='2. GRI Pricing Inputs'!$K$33),'2. GRI Pricing Inputs'!$J$32,IF(AND('3. GRI Pricing'!$F207&gt;='2. GRI Pricing Inputs'!$L$33,'3. GRI Pricing'!$F207&lt;='2. GRI Pricing Inputs'!$M$33),'2. GRI Pricing Inputs'!$L$32,IF(AND('3. GRI Pricing'!$F207&gt;='2. GRI Pricing Inputs'!$N$33,'3. GRI Pricing'!$F207&lt;='2. GRI Pricing Inputs'!$O$33),'2. GRI Pricing Inputs'!$N$32,IF(AND('3. GRI Pricing'!$F207&gt;='2. GRI Pricing Inputs'!$P$33,'3. GRI Pricing'!$F207&lt;='2. GRI Pricing Inputs'!$Q$33),'2. GRI Pricing Inputs'!$P$32,IF(AND('3. GRI Pricing'!$F207&gt;='2. GRI Pricing Inputs'!$R$33,'3. GRI Pricing'!$F207&lt;='2. GRI Pricing Inputs'!$S$33),'2. GRI Pricing Inputs'!$R$32,IF(AND('3. GRI Pricing'!$F207&gt;='2. GRI Pricing Inputs'!$T$33,'3. GRI Pricing'!$F207&lt;='2. GRI Pricing Inputs'!$U$33),'2. GRI Pricing Inputs'!$T$32,IF(AND('3. GRI Pricing'!$F207&gt;='2. GRI Pricing Inputs'!$V$33,'3. GRI Pricing'!$F207&lt;='2. GRI Pricing Inputs'!$W$33),'2. GRI Pricing Inputs'!$V$32,IF(AND('3. GRI Pricing'!$F207&gt;='2. GRI Pricing Inputs'!$X$33,'3. GRI Pricing'!$F207&lt;='2. GRI Pricing Inputs'!$Y$33),'2. GRI Pricing Inputs'!$X$32,IF(AND('3. GRI Pricing'!$F207&gt;='2. GRI Pricing Inputs'!$Z$33,'3. GRI Pricing'!$F207&lt;='2. GRI Pricing Inputs'!$AA$33),'2. GRI Pricing Inputs'!$Z$32,IF(AND('3. GRI Pricing'!$F207&gt;='2. GRI Pricing Inputs'!$AB$33,'3. GRI Pricing'!$F207&lt;='2. GRI Pricing Inputs'!$AC$33),'2. GRI Pricing Inputs'!$AB$32,IF(AND('3. GRI Pricing'!$F207&gt;='2. GRI Pricing Inputs'!$AD$33,'3. GRI Pricing'!$F207&lt;='2. GRI Pricing Inputs'!$AE$33),'2. GRI Pricing Inputs'!$AD$32,IF(AND('3. GRI Pricing'!$F207&gt;='2. GRI Pricing Inputs'!$AF$33,'3. GRI Pricing'!$F207&lt;='2. GRI Pricing Inputs'!$AG$33),'2. GRI Pricing Inputs'!$AF$32,IF(AND('3. GRI Pricing'!$F207&gt;='2. GRI Pricing Inputs'!$AH$33,'3. GRI Pricing'!$F207&lt;='2. GRI Pricing Inputs'!$AI$33),'2. GRI Pricing Inputs'!$AH$32,0))))))))))))))))</f>
        <v>11</v>
      </c>
      <c r="N207" s="273" cm="1">
        <f t="array" ref="N207">IFERROR(INDEX('2. GRI Pricing Inputs'!$C$32:$AI$39,MATCH('3. GRI Pricing'!D207,'2. GRI Pricing Inputs'!$C$32:$C$39,0),(MATCH('3. GRI Pricing'!M207,'2. GRI Pricing Inputs'!$D$32:$AI$32,0)+1)),0)</f>
        <v>65</v>
      </c>
      <c r="O207" s="273">
        <f>IFERROR(INDEX('2. GRI Pricing Inputs'!$C$45:$AI$46,MATCH($O$16,'2. GRI Pricing Inputs'!$C$45:$C$46,0),MATCH(G207,'2. GRI Pricing Inputs'!$C$45:$AI$45,0)),0)</f>
        <v>30</v>
      </c>
      <c r="P207" s="273">
        <f>IFERROR(INDEX('2. GRI Pricing Inputs'!$C$53:$AI$54,MATCH('3. GRI Pricing'!$P$16,'2. GRI Pricing Inputs'!$C$53:$C$54,0),MATCH('3. GRI Pricing'!H207,'2. GRI Pricing Inputs'!$C$53:$AI$53,0)),0)</f>
        <v>25</v>
      </c>
      <c r="Q207" s="273">
        <f>IFERROR(INDEX('2. GRI Pricing Inputs'!$C$60:$AI$61,MATCH('3. GRI Pricing'!$Q$16,'2. GRI Pricing Inputs'!$C$60:$C$61,0),MATCH('1. Accomodation'!T211,'2. GRI Pricing Inputs'!$C$60:$AI$60,0)),0)</f>
        <v>0</v>
      </c>
      <c r="R207" s="273">
        <f>IFERROR(INDEX('2. GRI Pricing Inputs'!$C$67:$AI$68,MATCH('3. GRI Pricing'!$R$16,'2. GRI Pricing Inputs'!$C$67:$C$68,0),MATCH('1. Accomodation'!U211,'2. GRI Pricing Inputs'!$C$67:$AI$67,0)),0)</f>
        <v>0</v>
      </c>
      <c r="S207" s="273">
        <f>IF(D207=0,0,'2. GRI Pricing Inputs'!$AI$75)</f>
        <v>70</v>
      </c>
      <c r="T207" s="273">
        <f>IFERROR(INDEX('2. GRI Pricing Inputs'!$C$82:$AI$83,MATCH('3. GRI Pricing'!$T$16,'2. GRI Pricing Inputs'!$C$82:$C$83,0),MATCH('1. Accomodation'!V211,'2. GRI Pricing Inputs'!$C$82:$AI$82,0)),0)</f>
        <v>0</v>
      </c>
      <c r="U207" s="273">
        <f>IFERROR(INDEX('2. GRI Pricing Inputs'!$C$89:$AI$90,MATCH('3. GRI Pricing'!$U$16,'2. GRI Pricing Inputs'!$C$89:$C$90,0),MATCH('1. Accomodation'!W211,'2. GRI Pricing Inputs'!$C$89:$AI$89,0)),0)</f>
        <v>0</v>
      </c>
      <c r="V207" s="273">
        <f>IFERROR(INDEX('2. GRI Pricing Inputs'!$C$97:$AI$98,MATCH('3. GRI Pricing'!$V$16,'2. GRI Pricing Inputs'!$C$97:$C$98,0),MATCH('1. Accomodation'!X211,'2. GRI Pricing Inputs'!$C$97:$AI$97,0)),0)</f>
        <v>0</v>
      </c>
      <c r="W207" s="273">
        <f>IFERROR(INDEX('2. GRI Pricing Inputs'!$C$104:$AI$105,MATCH('3. GRI Pricing'!$W$16,'2. GRI Pricing Inputs'!$C$104:$C$105,0),MATCH('1. Accomodation'!Y211,'2. GRI Pricing Inputs'!$C$104:$AI$104,0)),0)</f>
        <v>0</v>
      </c>
      <c r="X207" s="274">
        <v>0</v>
      </c>
      <c r="Y207" s="275">
        <f t="shared" si="9"/>
        <v>1300</v>
      </c>
      <c r="Z207" s="276"/>
      <c r="AA207" s="276"/>
      <c r="AB207" s="276"/>
      <c r="AC207" s="272">
        <f>Y207*(1+'2. GRI Pricing Inputs'!$D$114)^(($AC$16-$AB$15)/365)</f>
        <v>1304.3376169994729</v>
      </c>
      <c r="AD207" s="273">
        <f>AC207*(1+'2. GRI Pricing Inputs'!$D$114)^((AD$16-AC$16)/365)</f>
        <v>1308.5490906152293</v>
      </c>
      <c r="AE207" s="273">
        <f>AD207*(1+'2. GRI Pricing Inputs'!$D$114)^((AE$16-AD$16)/365)</f>
        <v>1312.9152327537656</v>
      </c>
      <c r="AF207" s="273">
        <f>AE207*(1+'2. GRI Pricing Inputs'!$D$114)^((AF$16-AE$16)/365)</f>
        <v>1317.2959430864269</v>
      </c>
      <c r="AG207" s="273">
        <f>AF207*(1+'2. GRI Pricing Inputs'!$D$114)^((AG$16-AF$16)/365)</f>
        <v>1321.4072586907971</v>
      </c>
      <c r="AH207" s="273">
        <f>AG207*(1+'2. GRI Pricing Inputs'!$D$114)^((AH$16-AG$16)/365)</f>
        <v>1325.8163037588924</v>
      </c>
      <c r="AI207" s="273">
        <f>AH207*(1+'2. GRI Pricing Inputs'!$D$114)^((AI$16-AH$16)/365)</f>
        <v>1330.0971282247733</v>
      </c>
      <c r="AJ207" s="273">
        <f>AI207*(1+'2. GRI Pricing Inputs'!$D$114)^((AJ$16-AI$16)/365)</f>
        <v>1334.5351681588793</v>
      </c>
      <c r="AK207" s="273">
        <f>AJ207*(1+'2. GRI Pricing Inputs'!$D$114)^((AK$16-AJ$16)/365)</f>
        <v>1338.8441442834269</v>
      </c>
      <c r="AL207" s="273">
        <f>AK207*(1+'2. GRI Pricing Inputs'!$D$114)^((AL$16-AK$16)/365)</f>
        <v>1343.3113697602641</v>
      </c>
      <c r="AM207" s="273">
        <f>AL207*(1+'2. GRI Pricing Inputs'!$D$114)^((AM$16-AL$16)/365)</f>
        <v>1347.7935007087697</v>
      </c>
      <c r="AN207" s="273">
        <f>AM207*(1+'2. GRI Pricing Inputs'!$D$114)^((AN$16-AM$16)/365)</f>
        <v>1352.1452856253011</v>
      </c>
      <c r="AO207" s="273">
        <f>AN207*(1+'2. GRI Pricing Inputs'!$D$114)^((AO$16-AN$16)/365)</f>
        <v>1356.6568920689051</v>
      </c>
    </row>
    <row r="208" spans="3:41" ht="12" x14ac:dyDescent="0.2">
      <c r="C208" s="76" t="str">
        <f>'1. Accomodation'!N212</f>
        <v>111W</v>
      </c>
      <c r="D208" s="69" t="str">
        <f>'1. Accomodation'!P212</f>
        <v>2 Bed</v>
      </c>
      <c r="E208" s="69">
        <f>'1. Accomodation'!Q212</f>
        <v>2</v>
      </c>
      <c r="F208" s="77">
        <f>'1. Accomodation'!O212</f>
        <v>667</v>
      </c>
      <c r="G208" s="69">
        <f>'1. Accomodation'!R212</f>
        <v>1</v>
      </c>
      <c r="H208" s="69" t="str">
        <f>'1. Accomodation'!S212</f>
        <v>Courtyard</v>
      </c>
      <c r="I208" s="62"/>
      <c r="K208" s="272">
        <f>IFERROR(INDEX('2. GRI Pricing Inputs'!$C$15:$AI$16,MATCH($K$16,'2. GRI Pricing Inputs'!$C$15:$C$16,0),MATCH(D208,'2. GRI Pricing Inputs'!$C$15:$AI$15,0)),0)</f>
        <v>1110</v>
      </c>
      <c r="L208" s="273">
        <f>IFERROR(INDEX('2. GRI Pricing Inputs'!$C$22:$AI$23,MATCH($L$16,'2. GRI Pricing Inputs'!$C$22:$C$23,0),MATCH(E208,'2. GRI Pricing Inputs'!$C$22:$AI$22,0)),0)</f>
        <v>0</v>
      </c>
      <c r="M208" s="328">
        <f>IF(AND('3. GRI Pricing'!$F208&gt;='2. GRI Pricing Inputs'!$D$33,'3. GRI Pricing'!$F208&lt;='2. GRI Pricing Inputs'!$E$33),'2. GRI Pricing Inputs'!$D$32,IF(AND('3. GRI Pricing'!$F208&gt;='2. GRI Pricing Inputs'!$F$33,'3. GRI Pricing'!$F208&lt;='2. GRI Pricing Inputs'!$G$33),'2. GRI Pricing Inputs'!$F$32,IF(AND('3. GRI Pricing'!$F208&gt;='2. GRI Pricing Inputs'!$H$33,'3. GRI Pricing'!$F208&lt;='2. GRI Pricing Inputs'!$I$33),'2. GRI Pricing Inputs'!$H$32,IF(AND('3. GRI Pricing'!$F208&gt;='2. GRI Pricing Inputs'!$J$33,'3. GRI Pricing'!$F208&lt;='2. GRI Pricing Inputs'!$K$33),'2. GRI Pricing Inputs'!$J$32,IF(AND('3. GRI Pricing'!$F208&gt;='2. GRI Pricing Inputs'!$L$33,'3. GRI Pricing'!$F208&lt;='2. GRI Pricing Inputs'!$M$33),'2. GRI Pricing Inputs'!$L$32,IF(AND('3. GRI Pricing'!$F208&gt;='2. GRI Pricing Inputs'!$N$33,'3. GRI Pricing'!$F208&lt;='2. GRI Pricing Inputs'!$O$33),'2. GRI Pricing Inputs'!$N$32,IF(AND('3. GRI Pricing'!$F208&gt;='2. GRI Pricing Inputs'!$P$33,'3. GRI Pricing'!$F208&lt;='2. GRI Pricing Inputs'!$Q$33),'2. GRI Pricing Inputs'!$P$32,IF(AND('3. GRI Pricing'!$F208&gt;='2. GRI Pricing Inputs'!$R$33,'3. GRI Pricing'!$F208&lt;='2. GRI Pricing Inputs'!$S$33),'2. GRI Pricing Inputs'!$R$32,IF(AND('3. GRI Pricing'!$F208&gt;='2. GRI Pricing Inputs'!$T$33,'3. GRI Pricing'!$F208&lt;='2. GRI Pricing Inputs'!$U$33),'2. GRI Pricing Inputs'!$T$32,IF(AND('3. GRI Pricing'!$F208&gt;='2. GRI Pricing Inputs'!$V$33,'3. GRI Pricing'!$F208&lt;='2. GRI Pricing Inputs'!$W$33),'2. GRI Pricing Inputs'!$V$32,IF(AND('3. GRI Pricing'!$F208&gt;='2. GRI Pricing Inputs'!$X$33,'3. GRI Pricing'!$F208&lt;='2. GRI Pricing Inputs'!$Y$33),'2. GRI Pricing Inputs'!$X$32,IF(AND('3. GRI Pricing'!$F208&gt;='2. GRI Pricing Inputs'!$Z$33,'3. GRI Pricing'!$F208&lt;='2. GRI Pricing Inputs'!$AA$33),'2. GRI Pricing Inputs'!$Z$32,IF(AND('3. GRI Pricing'!$F208&gt;='2. GRI Pricing Inputs'!$AB$33,'3. GRI Pricing'!$F208&lt;='2. GRI Pricing Inputs'!$AC$33),'2. GRI Pricing Inputs'!$AB$32,IF(AND('3. GRI Pricing'!$F208&gt;='2. GRI Pricing Inputs'!$AD$33,'3. GRI Pricing'!$F208&lt;='2. GRI Pricing Inputs'!$AE$33),'2. GRI Pricing Inputs'!$AD$32,IF(AND('3. GRI Pricing'!$F208&gt;='2. GRI Pricing Inputs'!$AF$33,'3. GRI Pricing'!$F208&lt;='2. GRI Pricing Inputs'!$AG$33),'2. GRI Pricing Inputs'!$AF$32,IF(AND('3. GRI Pricing'!$F208&gt;='2. GRI Pricing Inputs'!$AH$33,'3. GRI Pricing'!$F208&lt;='2. GRI Pricing Inputs'!$AI$33),'2. GRI Pricing Inputs'!$AH$32,0))))))))))))))))</f>
        <v>9</v>
      </c>
      <c r="N208" s="273" cm="1">
        <f t="array" ref="N208">IFERROR(INDEX('2. GRI Pricing Inputs'!$C$32:$AI$39,MATCH('3. GRI Pricing'!D208,'2. GRI Pricing Inputs'!$C$32:$C$39,0),(MATCH('3. GRI Pricing'!M208,'2. GRI Pricing Inputs'!$D$32:$AI$32,0)+1)),0)</f>
        <v>30</v>
      </c>
      <c r="O208" s="273">
        <f>IFERROR(INDEX('2. GRI Pricing Inputs'!$C$45:$AI$46,MATCH($O$16,'2. GRI Pricing Inputs'!$C$45:$C$46,0),MATCH(G208,'2. GRI Pricing Inputs'!$C$45:$AI$45,0)),0)</f>
        <v>30</v>
      </c>
      <c r="P208" s="273">
        <f>IFERROR(INDEX('2. GRI Pricing Inputs'!$C$53:$AI$54,MATCH('3. GRI Pricing'!$P$16,'2. GRI Pricing Inputs'!$C$53:$C$54,0),MATCH('3. GRI Pricing'!H208,'2. GRI Pricing Inputs'!$C$53:$AI$53,0)),0)</f>
        <v>25</v>
      </c>
      <c r="Q208" s="273">
        <f>IFERROR(INDEX('2. GRI Pricing Inputs'!$C$60:$AI$61,MATCH('3. GRI Pricing'!$Q$16,'2. GRI Pricing Inputs'!$C$60:$C$61,0),MATCH('1. Accomodation'!T212,'2. GRI Pricing Inputs'!$C$60:$AI$60,0)),0)</f>
        <v>0</v>
      </c>
      <c r="R208" s="273">
        <f>IFERROR(INDEX('2. GRI Pricing Inputs'!$C$67:$AI$68,MATCH('3. GRI Pricing'!$R$16,'2. GRI Pricing Inputs'!$C$67:$C$68,0),MATCH('1. Accomodation'!U212,'2. GRI Pricing Inputs'!$C$67:$AI$67,0)),0)</f>
        <v>0</v>
      </c>
      <c r="S208" s="273">
        <f>IF(D208=0,0,'2. GRI Pricing Inputs'!$AI$75)</f>
        <v>70</v>
      </c>
      <c r="T208" s="273">
        <f>IFERROR(INDEX('2. GRI Pricing Inputs'!$C$82:$AI$83,MATCH('3. GRI Pricing'!$T$16,'2. GRI Pricing Inputs'!$C$82:$C$83,0),MATCH('1. Accomodation'!V212,'2. GRI Pricing Inputs'!$C$82:$AI$82,0)),0)</f>
        <v>0</v>
      </c>
      <c r="U208" s="273">
        <f>IFERROR(INDEX('2. GRI Pricing Inputs'!$C$89:$AI$90,MATCH('3. GRI Pricing'!$U$16,'2. GRI Pricing Inputs'!$C$89:$C$90,0),MATCH('1. Accomodation'!W212,'2. GRI Pricing Inputs'!$C$89:$AI$89,0)),0)</f>
        <v>0</v>
      </c>
      <c r="V208" s="273">
        <f>IFERROR(INDEX('2. GRI Pricing Inputs'!$C$97:$AI$98,MATCH('3. GRI Pricing'!$V$16,'2. GRI Pricing Inputs'!$C$97:$C$98,0),MATCH('1. Accomodation'!X212,'2. GRI Pricing Inputs'!$C$97:$AI$97,0)),0)</f>
        <v>0</v>
      </c>
      <c r="W208" s="273">
        <f>IFERROR(INDEX('2. GRI Pricing Inputs'!$C$104:$AI$105,MATCH('3. GRI Pricing'!$W$16,'2. GRI Pricing Inputs'!$C$104:$C$105,0),MATCH('1. Accomodation'!Y212,'2. GRI Pricing Inputs'!$C$104:$AI$104,0)),0)</f>
        <v>0</v>
      </c>
      <c r="X208" s="274">
        <v>0</v>
      </c>
      <c r="Y208" s="275">
        <f t="shared" si="9"/>
        <v>1265</v>
      </c>
      <c r="Z208" s="276"/>
      <c r="AA208" s="276"/>
      <c r="AB208" s="276"/>
      <c r="AC208" s="272">
        <f>Y208*(1+'2. GRI Pricing Inputs'!$D$114)^(($AC$16-$AB$15)/365)</f>
        <v>1269.2208350033331</v>
      </c>
      <c r="AD208" s="273">
        <f>AC208*(1+'2. GRI Pricing Inputs'!$D$114)^((AD$16-AC$16)/365)</f>
        <v>1273.3189227909729</v>
      </c>
      <c r="AE208" s="273">
        <f>AD208*(1+'2. GRI Pricing Inputs'!$D$114)^((AE$16-AD$16)/365)</f>
        <v>1277.5675149488563</v>
      </c>
      <c r="AF208" s="273">
        <f>AE208*(1+'2. GRI Pricing Inputs'!$D$114)^((AF$16-AE$16)/365)</f>
        <v>1281.8302830802536</v>
      </c>
      <c r="AG208" s="273">
        <f>AF208*(1+'2. GRI Pricing Inputs'!$D$114)^((AG$16-AF$16)/365)</f>
        <v>1285.8309094183523</v>
      </c>
      <c r="AH208" s="273">
        <f>AG208*(1+'2. GRI Pricing Inputs'!$D$114)^((AH$16-AG$16)/365)</f>
        <v>1290.1212494269221</v>
      </c>
      <c r="AI208" s="273">
        <f>AH208*(1+'2. GRI Pricing Inputs'!$D$114)^((AI$16-AH$16)/365)</f>
        <v>1294.2868209264138</v>
      </c>
      <c r="AJ208" s="273">
        <f>AI208*(1+'2. GRI Pricing Inputs'!$D$114)^((AJ$16-AI$16)/365)</f>
        <v>1298.6053751699862</v>
      </c>
      <c r="AK208" s="273">
        <f>AJ208*(1+'2. GRI Pricing Inputs'!$D$114)^((AK$16-AJ$16)/365)</f>
        <v>1302.7983403988731</v>
      </c>
      <c r="AL208" s="273">
        <f>AK208*(1+'2. GRI Pricing Inputs'!$D$114)^((AL$16-AK$16)/365)</f>
        <v>1307.1452944205646</v>
      </c>
      <c r="AM208" s="273">
        <f>AL208*(1+'2. GRI Pricing Inputs'!$D$114)^((AM$16-AL$16)/365)</f>
        <v>1311.5067526127643</v>
      </c>
      <c r="AN208" s="273">
        <f>AM208*(1+'2. GRI Pricing Inputs'!$D$114)^((AN$16-AM$16)/365)</f>
        <v>1315.7413740892353</v>
      </c>
      <c r="AO208" s="273">
        <f>AN208*(1+'2. GRI Pricing Inputs'!$D$114)^((AO$16-AN$16)/365)</f>
        <v>1320.1315142055116</v>
      </c>
    </row>
    <row r="209" spans="3:41" ht="12" x14ac:dyDescent="0.2">
      <c r="C209" s="76" t="str">
        <f>'1. Accomodation'!N213</f>
        <v>112W</v>
      </c>
      <c r="D209" s="69" t="str">
        <f>'1. Accomodation'!P213</f>
        <v>1 Bed</v>
      </c>
      <c r="E209" s="69">
        <f>'1. Accomodation'!Q213</f>
        <v>1</v>
      </c>
      <c r="F209" s="77">
        <f>'1. Accomodation'!O213</f>
        <v>527</v>
      </c>
      <c r="G209" s="69">
        <f>'1. Accomodation'!R213</f>
        <v>1</v>
      </c>
      <c r="H209" s="69" t="str">
        <f>'1. Accomodation'!S213</f>
        <v>Railway Bridge</v>
      </c>
      <c r="I209" s="62"/>
      <c r="K209" s="272">
        <f>IFERROR(INDEX('2. GRI Pricing Inputs'!$C$15:$AI$16,MATCH($K$16,'2. GRI Pricing Inputs'!$C$15:$C$16,0),MATCH(D209,'2. GRI Pricing Inputs'!$C$15:$AI$15,0)),0)</f>
        <v>845</v>
      </c>
      <c r="L209" s="273">
        <f>IFERROR(INDEX('2. GRI Pricing Inputs'!$C$22:$AI$23,MATCH($L$16,'2. GRI Pricing Inputs'!$C$22:$C$23,0),MATCH(E209,'2. GRI Pricing Inputs'!$C$22:$AI$22,0)),0)</f>
        <v>0</v>
      </c>
      <c r="M209" s="328">
        <f>IF(AND('3. GRI Pricing'!$F209&gt;='2. GRI Pricing Inputs'!$D$33,'3. GRI Pricing'!$F209&lt;='2. GRI Pricing Inputs'!$E$33),'2. GRI Pricing Inputs'!$D$32,IF(AND('3. GRI Pricing'!$F209&gt;='2. GRI Pricing Inputs'!$F$33,'3. GRI Pricing'!$F209&lt;='2. GRI Pricing Inputs'!$G$33),'2. GRI Pricing Inputs'!$F$32,IF(AND('3. GRI Pricing'!$F209&gt;='2. GRI Pricing Inputs'!$H$33,'3. GRI Pricing'!$F209&lt;='2. GRI Pricing Inputs'!$I$33),'2. GRI Pricing Inputs'!$H$32,IF(AND('3. GRI Pricing'!$F209&gt;='2. GRI Pricing Inputs'!$J$33,'3. GRI Pricing'!$F209&lt;='2. GRI Pricing Inputs'!$K$33),'2. GRI Pricing Inputs'!$J$32,IF(AND('3. GRI Pricing'!$F209&gt;='2. GRI Pricing Inputs'!$L$33,'3. GRI Pricing'!$F209&lt;='2. GRI Pricing Inputs'!$M$33),'2. GRI Pricing Inputs'!$L$32,IF(AND('3. GRI Pricing'!$F209&gt;='2. GRI Pricing Inputs'!$N$33,'3. GRI Pricing'!$F209&lt;='2. GRI Pricing Inputs'!$O$33),'2. GRI Pricing Inputs'!$N$32,IF(AND('3. GRI Pricing'!$F209&gt;='2. GRI Pricing Inputs'!$P$33,'3. GRI Pricing'!$F209&lt;='2. GRI Pricing Inputs'!$Q$33),'2. GRI Pricing Inputs'!$P$32,IF(AND('3. GRI Pricing'!$F209&gt;='2. GRI Pricing Inputs'!$R$33,'3. GRI Pricing'!$F209&lt;='2. GRI Pricing Inputs'!$S$33),'2. GRI Pricing Inputs'!$R$32,IF(AND('3. GRI Pricing'!$F209&gt;='2. GRI Pricing Inputs'!$T$33,'3. GRI Pricing'!$F209&lt;='2. GRI Pricing Inputs'!$U$33),'2. GRI Pricing Inputs'!$T$32,IF(AND('3. GRI Pricing'!$F209&gt;='2. GRI Pricing Inputs'!$V$33,'3. GRI Pricing'!$F209&lt;='2. GRI Pricing Inputs'!$W$33),'2. GRI Pricing Inputs'!$V$32,IF(AND('3. GRI Pricing'!$F209&gt;='2. GRI Pricing Inputs'!$X$33,'3. GRI Pricing'!$F209&lt;='2. GRI Pricing Inputs'!$Y$33),'2. GRI Pricing Inputs'!$X$32,IF(AND('3. GRI Pricing'!$F209&gt;='2. GRI Pricing Inputs'!$Z$33,'3. GRI Pricing'!$F209&lt;='2. GRI Pricing Inputs'!$AA$33),'2. GRI Pricing Inputs'!$Z$32,IF(AND('3. GRI Pricing'!$F209&gt;='2. GRI Pricing Inputs'!$AB$33,'3. GRI Pricing'!$F209&lt;='2. GRI Pricing Inputs'!$AC$33),'2. GRI Pricing Inputs'!$AB$32,IF(AND('3. GRI Pricing'!$F209&gt;='2. GRI Pricing Inputs'!$AD$33,'3. GRI Pricing'!$F209&lt;='2. GRI Pricing Inputs'!$AE$33),'2. GRI Pricing Inputs'!$AD$32,IF(AND('3. GRI Pricing'!$F209&gt;='2. GRI Pricing Inputs'!$AF$33,'3. GRI Pricing'!$F209&lt;='2. GRI Pricing Inputs'!$AG$33),'2. GRI Pricing Inputs'!$AF$32,IF(AND('3. GRI Pricing'!$F209&gt;='2. GRI Pricing Inputs'!$AH$33,'3. GRI Pricing'!$F209&lt;='2. GRI Pricing Inputs'!$AI$33),'2. GRI Pricing Inputs'!$AH$32,0))))))))))))))))</f>
        <v>3</v>
      </c>
      <c r="N209" s="273" cm="1">
        <f t="array" ref="N209">IFERROR(INDEX('2. GRI Pricing Inputs'!$C$32:$AI$39,MATCH('3. GRI Pricing'!D209,'2. GRI Pricing Inputs'!$C$32:$C$39,0),(MATCH('3. GRI Pricing'!M209,'2. GRI Pricing Inputs'!$D$32:$AI$32,0)+1)),0)</f>
        <v>20</v>
      </c>
      <c r="O209" s="273">
        <f>IFERROR(INDEX('2. GRI Pricing Inputs'!$C$45:$AI$46,MATCH($O$16,'2. GRI Pricing Inputs'!$C$45:$C$46,0),MATCH(G209,'2. GRI Pricing Inputs'!$C$45:$AI$45,0)),0)</f>
        <v>30</v>
      </c>
      <c r="P209" s="273">
        <f>IFERROR(INDEX('2. GRI Pricing Inputs'!$C$53:$AI$54,MATCH('3. GRI Pricing'!$P$16,'2. GRI Pricing Inputs'!$C$53:$C$54,0),MATCH('3. GRI Pricing'!H209,'2. GRI Pricing Inputs'!$C$53:$AI$53,0)),0)</f>
        <v>10</v>
      </c>
      <c r="Q209" s="273">
        <f>IFERROR(INDEX('2. GRI Pricing Inputs'!$C$60:$AI$61,MATCH('3. GRI Pricing'!$Q$16,'2. GRI Pricing Inputs'!$C$60:$C$61,0),MATCH('1. Accomodation'!T213,'2. GRI Pricing Inputs'!$C$60:$AI$60,0)),0)</f>
        <v>0</v>
      </c>
      <c r="R209" s="273">
        <f>IFERROR(INDEX('2. GRI Pricing Inputs'!$C$67:$AI$68,MATCH('3. GRI Pricing'!$R$16,'2. GRI Pricing Inputs'!$C$67:$C$68,0),MATCH('1. Accomodation'!U213,'2. GRI Pricing Inputs'!$C$67:$AI$67,0)),0)</f>
        <v>0</v>
      </c>
      <c r="S209" s="273">
        <f>IF(D209=0,0,'2. GRI Pricing Inputs'!$AI$75)</f>
        <v>70</v>
      </c>
      <c r="T209" s="273">
        <f>IFERROR(INDEX('2. GRI Pricing Inputs'!$C$82:$AI$83,MATCH('3. GRI Pricing'!$T$16,'2. GRI Pricing Inputs'!$C$82:$C$83,0),MATCH('1. Accomodation'!V213,'2. GRI Pricing Inputs'!$C$82:$AI$82,0)),0)</f>
        <v>0</v>
      </c>
      <c r="U209" s="273">
        <f>IFERROR(INDEX('2. GRI Pricing Inputs'!$C$89:$AI$90,MATCH('3. GRI Pricing'!$U$16,'2. GRI Pricing Inputs'!$C$89:$C$90,0),MATCH('1. Accomodation'!W213,'2. GRI Pricing Inputs'!$C$89:$AI$89,0)),0)</f>
        <v>0</v>
      </c>
      <c r="V209" s="273">
        <f>IFERROR(INDEX('2. GRI Pricing Inputs'!$C$97:$AI$98,MATCH('3. GRI Pricing'!$V$16,'2. GRI Pricing Inputs'!$C$97:$C$98,0),MATCH('1. Accomodation'!X213,'2. GRI Pricing Inputs'!$C$97:$AI$97,0)),0)</f>
        <v>0</v>
      </c>
      <c r="W209" s="273">
        <f>IFERROR(INDEX('2. GRI Pricing Inputs'!$C$104:$AI$105,MATCH('3. GRI Pricing'!$W$16,'2. GRI Pricing Inputs'!$C$104:$C$105,0),MATCH('1. Accomodation'!Y213,'2. GRI Pricing Inputs'!$C$104:$AI$104,0)),0)</f>
        <v>0</v>
      </c>
      <c r="X209" s="274">
        <v>0</v>
      </c>
      <c r="Y209" s="275">
        <f t="shared" si="9"/>
        <v>975</v>
      </c>
      <c r="Z209" s="276"/>
      <c r="AA209" s="276"/>
      <c r="AB209" s="276"/>
      <c r="AC209" s="272">
        <f>Y209*(1+'2. GRI Pricing Inputs'!$D$114)^(($AC$16-$AB$15)/365)</f>
        <v>978.25321274960459</v>
      </c>
      <c r="AD209" s="273">
        <f>AC209*(1+'2. GRI Pricing Inputs'!$D$114)^((AD$16-AC$16)/365)</f>
        <v>981.41181796142189</v>
      </c>
      <c r="AE209" s="273">
        <f>AD209*(1+'2. GRI Pricing Inputs'!$D$114)^((AE$16-AD$16)/365)</f>
        <v>984.68642456532416</v>
      </c>
      <c r="AF209" s="273">
        <f>AE209*(1+'2. GRI Pricing Inputs'!$D$114)^((AF$16-AE$16)/365)</f>
        <v>987.97195731482009</v>
      </c>
      <c r="AG209" s="273">
        <f>AF209*(1+'2. GRI Pricing Inputs'!$D$114)^((AG$16-AF$16)/365)</f>
        <v>991.05544401809789</v>
      </c>
      <c r="AH209" s="273">
        <f>AG209*(1+'2. GRI Pricing Inputs'!$D$114)^((AH$16-AG$16)/365)</f>
        <v>994.36222781916945</v>
      </c>
      <c r="AI209" s="273">
        <f>AH209*(1+'2. GRI Pricing Inputs'!$D$114)^((AI$16-AH$16)/365)</f>
        <v>997.57284616858021</v>
      </c>
      <c r="AJ209" s="273">
        <f>AI209*(1+'2. GRI Pricing Inputs'!$D$114)^((AJ$16-AI$16)/365)</f>
        <v>1000.9013761191596</v>
      </c>
      <c r="AK209" s="273">
        <f>AJ209*(1+'2. GRI Pricing Inputs'!$D$114)^((AK$16-AJ$16)/365)</f>
        <v>1004.1331082125704</v>
      </c>
      <c r="AL209" s="273">
        <f>AK209*(1+'2. GRI Pricing Inputs'!$D$114)^((AL$16-AK$16)/365)</f>
        <v>1007.4835273201983</v>
      </c>
      <c r="AM209" s="273">
        <f>AL209*(1+'2. GRI Pricing Inputs'!$D$114)^((AM$16-AL$16)/365)</f>
        <v>1010.8451255315774</v>
      </c>
      <c r="AN209" s="273">
        <f>AM209*(1+'2. GRI Pricing Inputs'!$D$114)^((AN$16-AM$16)/365)</f>
        <v>1014.108964218976</v>
      </c>
      <c r="AO209" s="273">
        <f>AN209*(1+'2. GRI Pricing Inputs'!$D$114)^((AO$16-AN$16)/365)</f>
        <v>1017.4926690516791</v>
      </c>
    </row>
    <row r="210" spans="3:41" ht="12" x14ac:dyDescent="0.2">
      <c r="C210" s="76" t="str">
        <f>'1. Accomodation'!N214</f>
        <v>113W</v>
      </c>
      <c r="D210" s="69" t="str">
        <f>'1. Accomodation'!P214</f>
        <v>3 Bed</v>
      </c>
      <c r="E210" s="69">
        <f>'1. Accomodation'!Q214</f>
        <v>2</v>
      </c>
      <c r="F210" s="77">
        <f>'1. Accomodation'!O214</f>
        <v>840</v>
      </c>
      <c r="G210" s="69">
        <f>'1. Accomodation'!R214</f>
        <v>1</v>
      </c>
      <c r="H210" s="69" t="str">
        <f>'1. Accomodation'!S214</f>
        <v>Railway Bridge</v>
      </c>
      <c r="I210" s="62"/>
      <c r="K210" s="272">
        <f>IFERROR(INDEX('2. GRI Pricing Inputs'!$C$15:$AI$16,MATCH($K$16,'2. GRI Pricing Inputs'!$C$15:$C$16,0),MATCH(D210,'2. GRI Pricing Inputs'!$C$15:$AI$15,0)),0)</f>
        <v>1485</v>
      </c>
      <c r="L210" s="273">
        <f>IFERROR(INDEX('2. GRI Pricing Inputs'!$C$22:$AI$23,MATCH($L$16,'2. GRI Pricing Inputs'!$C$22:$C$23,0),MATCH(E210,'2. GRI Pricing Inputs'!$C$22:$AI$22,0)),0)</f>
        <v>0</v>
      </c>
      <c r="M210" s="328">
        <f>IF(AND('3. GRI Pricing'!$F210&gt;='2. GRI Pricing Inputs'!$D$33,'3. GRI Pricing'!$F210&lt;='2. GRI Pricing Inputs'!$E$33),'2. GRI Pricing Inputs'!$D$32,IF(AND('3. GRI Pricing'!$F210&gt;='2. GRI Pricing Inputs'!$F$33,'3. GRI Pricing'!$F210&lt;='2. GRI Pricing Inputs'!$G$33),'2. GRI Pricing Inputs'!$F$32,IF(AND('3. GRI Pricing'!$F210&gt;='2. GRI Pricing Inputs'!$H$33,'3. GRI Pricing'!$F210&lt;='2. GRI Pricing Inputs'!$I$33),'2. GRI Pricing Inputs'!$H$32,IF(AND('3. GRI Pricing'!$F210&gt;='2. GRI Pricing Inputs'!$J$33,'3. GRI Pricing'!$F210&lt;='2. GRI Pricing Inputs'!$K$33),'2. GRI Pricing Inputs'!$J$32,IF(AND('3. GRI Pricing'!$F210&gt;='2. GRI Pricing Inputs'!$L$33,'3. GRI Pricing'!$F210&lt;='2. GRI Pricing Inputs'!$M$33),'2. GRI Pricing Inputs'!$L$32,IF(AND('3. GRI Pricing'!$F210&gt;='2. GRI Pricing Inputs'!$N$33,'3. GRI Pricing'!$F210&lt;='2. GRI Pricing Inputs'!$O$33),'2. GRI Pricing Inputs'!$N$32,IF(AND('3. GRI Pricing'!$F210&gt;='2. GRI Pricing Inputs'!$P$33,'3. GRI Pricing'!$F210&lt;='2. GRI Pricing Inputs'!$Q$33),'2. GRI Pricing Inputs'!$P$32,IF(AND('3. GRI Pricing'!$F210&gt;='2. GRI Pricing Inputs'!$R$33,'3. GRI Pricing'!$F210&lt;='2. GRI Pricing Inputs'!$S$33),'2. GRI Pricing Inputs'!$R$32,IF(AND('3. GRI Pricing'!$F210&gt;='2. GRI Pricing Inputs'!$T$33,'3. GRI Pricing'!$F210&lt;='2. GRI Pricing Inputs'!$U$33),'2. GRI Pricing Inputs'!$T$32,IF(AND('3. GRI Pricing'!$F210&gt;='2. GRI Pricing Inputs'!$V$33,'3. GRI Pricing'!$F210&lt;='2. GRI Pricing Inputs'!$W$33),'2. GRI Pricing Inputs'!$V$32,IF(AND('3. GRI Pricing'!$F210&gt;='2. GRI Pricing Inputs'!$X$33,'3. GRI Pricing'!$F210&lt;='2. GRI Pricing Inputs'!$Y$33),'2. GRI Pricing Inputs'!$X$32,IF(AND('3. GRI Pricing'!$F210&gt;='2. GRI Pricing Inputs'!$Z$33,'3. GRI Pricing'!$F210&lt;='2. GRI Pricing Inputs'!$AA$33),'2. GRI Pricing Inputs'!$Z$32,IF(AND('3. GRI Pricing'!$F210&gt;='2. GRI Pricing Inputs'!$AB$33,'3. GRI Pricing'!$F210&lt;='2. GRI Pricing Inputs'!$AC$33),'2. GRI Pricing Inputs'!$AB$32,IF(AND('3. GRI Pricing'!$F210&gt;='2. GRI Pricing Inputs'!$AD$33,'3. GRI Pricing'!$F210&lt;='2. GRI Pricing Inputs'!$AE$33),'2. GRI Pricing Inputs'!$AD$32,IF(AND('3. GRI Pricing'!$F210&gt;='2. GRI Pricing Inputs'!$AF$33,'3. GRI Pricing'!$F210&lt;='2. GRI Pricing Inputs'!$AG$33),'2. GRI Pricing Inputs'!$AF$32,IF(AND('3. GRI Pricing'!$F210&gt;='2. GRI Pricing Inputs'!$AH$33,'3. GRI Pricing'!$F210&lt;='2. GRI Pricing Inputs'!$AI$33),'2. GRI Pricing Inputs'!$AH$32,0))))))))))))))))</f>
        <v>15</v>
      </c>
      <c r="N210" s="273" cm="1">
        <f t="array" ref="N210">IFERROR(INDEX('2. GRI Pricing Inputs'!$C$32:$AI$39,MATCH('3. GRI Pricing'!D210,'2. GRI Pricing Inputs'!$C$32:$C$39,0),(MATCH('3. GRI Pricing'!M210,'2. GRI Pricing Inputs'!$D$32:$AI$32,0)+1)),0)</f>
        <v>70</v>
      </c>
      <c r="O210" s="273">
        <f>IFERROR(INDEX('2. GRI Pricing Inputs'!$C$45:$AI$46,MATCH($O$16,'2. GRI Pricing Inputs'!$C$45:$C$46,0),MATCH(G210,'2. GRI Pricing Inputs'!$C$45:$AI$45,0)),0)</f>
        <v>30</v>
      </c>
      <c r="P210" s="273">
        <f>IFERROR(INDEX('2. GRI Pricing Inputs'!$C$53:$AI$54,MATCH('3. GRI Pricing'!$P$16,'2. GRI Pricing Inputs'!$C$53:$C$54,0),MATCH('3. GRI Pricing'!H210,'2. GRI Pricing Inputs'!$C$53:$AI$53,0)),0)</f>
        <v>10</v>
      </c>
      <c r="Q210" s="273">
        <f>IFERROR(INDEX('2. GRI Pricing Inputs'!$C$60:$AI$61,MATCH('3. GRI Pricing'!$Q$16,'2. GRI Pricing Inputs'!$C$60:$C$61,0),MATCH('1. Accomodation'!T214,'2. GRI Pricing Inputs'!$C$60:$AI$60,0)),0)</f>
        <v>0</v>
      </c>
      <c r="R210" s="273">
        <f>IFERROR(INDEX('2. GRI Pricing Inputs'!$C$67:$AI$68,MATCH('3. GRI Pricing'!$R$16,'2. GRI Pricing Inputs'!$C$67:$C$68,0),MATCH('1. Accomodation'!U214,'2. GRI Pricing Inputs'!$C$67:$AI$67,0)),0)</f>
        <v>0</v>
      </c>
      <c r="S210" s="273">
        <f>IF(D210=0,0,'2. GRI Pricing Inputs'!$AI$75)</f>
        <v>70</v>
      </c>
      <c r="T210" s="273">
        <f>IFERROR(INDEX('2. GRI Pricing Inputs'!$C$82:$AI$83,MATCH('3. GRI Pricing'!$T$16,'2. GRI Pricing Inputs'!$C$82:$C$83,0),MATCH('1. Accomodation'!V214,'2. GRI Pricing Inputs'!$C$82:$AI$82,0)),0)</f>
        <v>0</v>
      </c>
      <c r="U210" s="273">
        <f>IFERROR(INDEX('2. GRI Pricing Inputs'!$C$89:$AI$90,MATCH('3. GRI Pricing'!$U$16,'2. GRI Pricing Inputs'!$C$89:$C$90,0),MATCH('1. Accomodation'!W214,'2. GRI Pricing Inputs'!$C$89:$AI$89,0)),0)</f>
        <v>0</v>
      </c>
      <c r="V210" s="273">
        <f>IFERROR(INDEX('2. GRI Pricing Inputs'!$C$97:$AI$98,MATCH('3. GRI Pricing'!$V$16,'2. GRI Pricing Inputs'!$C$97:$C$98,0),MATCH('1. Accomodation'!X214,'2. GRI Pricing Inputs'!$C$97:$AI$97,0)),0)</f>
        <v>0</v>
      </c>
      <c r="W210" s="273">
        <f>IFERROR(INDEX('2. GRI Pricing Inputs'!$C$104:$AI$105,MATCH('3. GRI Pricing'!$W$16,'2. GRI Pricing Inputs'!$C$104:$C$105,0),MATCH('1. Accomodation'!Y214,'2. GRI Pricing Inputs'!$C$104:$AI$104,0)),0)</f>
        <v>0</v>
      </c>
      <c r="X210" s="274">
        <v>0</v>
      </c>
      <c r="Y210" s="275">
        <f t="shared" ref="Y210:Y273" si="10">K210+L210+N210+O210+P210+Q210+R210+S210+T210+U210+V210+W210+X210</f>
        <v>1665</v>
      </c>
      <c r="Z210" s="276"/>
      <c r="AA210" s="276"/>
      <c r="AB210" s="276"/>
      <c r="AC210" s="272">
        <f>Y210*(1+'2. GRI Pricing Inputs'!$D$114)^(($AC$16-$AB$15)/365)</f>
        <v>1670.5554863877862</v>
      </c>
      <c r="AD210" s="273">
        <f>AC210*(1+'2. GRI Pricing Inputs'!$D$114)^((AD$16-AC$16)/365)</f>
        <v>1675.9494122110434</v>
      </c>
      <c r="AE210" s="273">
        <f>AD210*(1+'2. GRI Pricing Inputs'!$D$114)^((AE$16-AD$16)/365)</f>
        <v>1681.5414327192457</v>
      </c>
      <c r="AF210" s="273">
        <f>AE210*(1+'2. GRI Pricing Inputs'!$D$114)^((AF$16-AE$16)/365)</f>
        <v>1687.152111722231</v>
      </c>
      <c r="AG210" s="273">
        <f>AF210*(1+'2. GRI Pricing Inputs'!$D$114)^((AG$16-AF$16)/365)</f>
        <v>1692.4177582462898</v>
      </c>
      <c r="AH210" s="273">
        <f>AG210*(1+'2. GRI Pricing Inputs'!$D$114)^((AH$16-AG$16)/365)</f>
        <v>1698.0647275065812</v>
      </c>
      <c r="AI210" s="273">
        <f>AH210*(1+'2. GRI Pricing Inputs'!$D$114)^((AI$16-AH$16)/365)</f>
        <v>1703.5474757648058</v>
      </c>
      <c r="AJ210" s="273">
        <f>AI210*(1+'2. GRI Pricing Inputs'!$D$114)^((AJ$16-AI$16)/365)</f>
        <v>1709.2315807573339</v>
      </c>
      <c r="AK210" s="273">
        <f>AJ210*(1+'2. GRI Pricing Inputs'!$D$114)^((AK$16-AJ$16)/365)</f>
        <v>1714.7503847937737</v>
      </c>
      <c r="AL210" s="273">
        <f>AK210*(1+'2. GRI Pricing Inputs'!$D$114)^((AL$16-AK$16)/365)</f>
        <v>1720.4718697314152</v>
      </c>
      <c r="AM210" s="273">
        <f>AL210*(1+'2. GRI Pricing Inputs'!$D$114)^((AM$16-AL$16)/365)</f>
        <v>1726.2124451385396</v>
      </c>
      <c r="AN210" s="273">
        <f>AM210*(1+'2. GRI Pricing Inputs'!$D$114)^((AN$16-AM$16)/365)</f>
        <v>1731.7860773585587</v>
      </c>
      <c r="AO210" s="273">
        <f>AN210*(1+'2. GRI Pricing Inputs'!$D$114)^((AO$16-AN$16)/365)</f>
        <v>1737.5644040728671</v>
      </c>
    </row>
    <row r="211" spans="3:41" ht="12" x14ac:dyDescent="0.2">
      <c r="C211" s="76" t="str">
        <f>'1. Accomodation'!N215</f>
        <v>114W</v>
      </c>
      <c r="D211" s="69" t="str">
        <f>'1. Accomodation'!P215</f>
        <v>2 Bed</v>
      </c>
      <c r="E211" s="69">
        <f>'1. Accomodation'!Q215</f>
        <v>2</v>
      </c>
      <c r="F211" s="77">
        <f>'1. Accomodation'!O215</f>
        <v>614</v>
      </c>
      <c r="G211" s="69">
        <f>'1. Accomodation'!R215</f>
        <v>1</v>
      </c>
      <c r="H211" s="69" t="str">
        <f>'1. Accomodation'!S215</f>
        <v>Railway Bridge</v>
      </c>
      <c r="I211" s="62"/>
      <c r="K211" s="272">
        <f>IFERROR(INDEX('2. GRI Pricing Inputs'!$C$15:$AI$16,MATCH($K$16,'2. GRI Pricing Inputs'!$C$15:$C$16,0),MATCH(D211,'2. GRI Pricing Inputs'!$C$15:$AI$15,0)),0)</f>
        <v>1110</v>
      </c>
      <c r="L211" s="273">
        <f>IFERROR(INDEX('2. GRI Pricing Inputs'!$C$22:$AI$23,MATCH($L$16,'2. GRI Pricing Inputs'!$C$22:$C$23,0),MATCH(E211,'2. GRI Pricing Inputs'!$C$22:$AI$22,0)),0)</f>
        <v>0</v>
      </c>
      <c r="M211" s="328">
        <f>IF(AND('3. GRI Pricing'!$F211&gt;='2. GRI Pricing Inputs'!$D$33,'3. GRI Pricing'!$F211&lt;='2. GRI Pricing Inputs'!$E$33),'2. GRI Pricing Inputs'!$D$32,IF(AND('3. GRI Pricing'!$F211&gt;='2. GRI Pricing Inputs'!$F$33,'3. GRI Pricing'!$F211&lt;='2. GRI Pricing Inputs'!$G$33),'2. GRI Pricing Inputs'!$F$32,IF(AND('3. GRI Pricing'!$F211&gt;='2. GRI Pricing Inputs'!$H$33,'3. GRI Pricing'!$F211&lt;='2. GRI Pricing Inputs'!$I$33),'2. GRI Pricing Inputs'!$H$32,IF(AND('3. GRI Pricing'!$F211&gt;='2. GRI Pricing Inputs'!$J$33,'3. GRI Pricing'!$F211&lt;='2. GRI Pricing Inputs'!$K$33),'2. GRI Pricing Inputs'!$J$32,IF(AND('3. GRI Pricing'!$F211&gt;='2. GRI Pricing Inputs'!$L$33,'3. GRI Pricing'!$F211&lt;='2. GRI Pricing Inputs'!$M$33),'2. GRI Pricing Inputs'!$L$32,IF(AND('3. GRI Pricing'!$F211&gt;='2. GRI Pricing Inputs'!$N$33,'3. GRI Pricing'!$F211&lt;='2. GRI Pricing Inputs'!$O$33),'2. GRI Pricing Inputs'!$N$32,IF(AND('3. GRI Pricing'!$F211&gt;='2. GRI Pricing Inputs'!$P$33,'3. GRI Pricing'!$F211&lt;='2. GRI Pricing Inputs'!$Q$33),'2. GRI Pricing Inputs'!$P$32,IF(AND('3. GRI Pricing'!$F211&gt;='2. GRI Pricing Inputs'!$R$33,'3. GRI Pricing'!$F211&lt;='2. GRI Pricing Inputs'!$S$33),'2. GRI Pricing Inputs'!$R$32,IF(AND('3. GRI Pricing'!$F211&gt;='2. GRI Pricing Inputs'!$T$33,'3. GRI Pricing'!$F211&lt;='2. GRI Pricing Inputs'!$U$33),'2. GRI Pricing Inputs'!$T$32,IF(AND('3. GRI Pricing'!$F211&gt;='2. GRI Pricing Inputs'!$V$33,'3. GRI Pricing'!$F211&lt;='2. GRI Pricing Inputs'!$W$33),'2. GRI Pricing Inputs'!$V$32,IF(AND('3. GRI Pricing'!$F211&gt;='2. GRI Pricing Inputs'!$X$33,'3. GRI Pricing'!$F211&lt;='2. GRI Pricing Inputs'!$Y$33),'2. GRI Pricing Inputs'!$X$32,IF(AND('3. GRI Pricing'!$F211&gt;='2. GRI Pricing Inputs'!$Z$33,'3. GRI Pricing'!$F211&lt;='2. GRI Pricing Inputs'!$AA$33),'2. GRI Pricing Inputs'!$Z$32,IF(AND('3. GRI Pricing'!$F211&gt;='2. GRI Pricing Inputs'!$AB$33,'3. GRI Pricing'!$F211&lt;='2. GRI Pricing Inputs'!$AC$33),'2. GRI Pricing Inputs'!$AB$32,IF(AND('3. GRI Pricing'!$F211&gt;='2. GRI Pricing Inputs'!$AD$33,'3. GRI Pricing'!$F211&lt;='2. GRI Pricing Inputs'!$AE$33),'2. GRI Pricing Inputs'!$AD$32,IF(AND('3. GRI Pricing'!$F211&gt;='2. GRI Pricing Inputs'!$AF$33,'3. GRI Pricing'!$F211&lt;='2. GRI Pricing Inputs'!$AG$33),'2. GRI Pricing Inputs'!$AF$32,IF(AND('3. GRI Pricing'!$F211&gt;='2. GRI Pricing Inputs'!$AH$33,'3. GRI Pricing'!$F211&lt;='2. GRI Pricing Inputs'!$AI$33),'2. GRI Pricing Inputs'!$AH$32,0))))))))))))))))</f>
        <v>6</v>
      </c>
      <c r="N211" s="273" cm="1">
        <f t="array" ref="N211">IFERROR(INDEX('2. GRI Pricing Inputs'!$C$32:$AI$39,MATCH('3. GRI Pricing'!D211,'2. GRI Pricing Inputs'!$C$32:$C$39,0),(MATCH('3. GRI Pricing'!M211,'2. GRI Pricing Inputs'!$D$32:$AI$32,0)+1)),0)</f>
        <v>5</v>
      </c>
      <c r="O211" s="273">
        <f>IFERROR(INDEX('2. GRI Pricing Inputs'!$C$45:$AI$46,MATCH($O$16,'2. GRI Pricing Inputs'!$C$45:$C$46,0),MATCH(G211,'2. GRI Pricing Inputs'!$C$45:$AI$45,0)),0)</f>
        <v>30</v>
      </c>
      <c r="P211" s="273">
        <f>IFERROR(INDEX('2. GRI Pricing Inputs'!$C$53:$AI$54,MATCH('3. GRI Pricing'!$P$16,'2. GRI Pricing Inputs'!$C$53:$C$54,0),MATCH('3. GRI Pricing'!H211,'2. GRI Pricing Inputs'!$C$53:$AI$53,0)),0)</f>
        <v>10</v>
      </c>
      <c r="Q211" s="273">
        <f>IFERROR(INDEX('2. GRI Pricing Inputs'!$C$60:$AI$61,MATCH('3. GRI Pricing'!$Q$16,'2. GRI Pricing Inputs'!$C$60:$C$61,0),MATCH('1. Accomodation'!T215,'2. GRI Pricing Inputs'!$C$60:$AI$60,0)),0)</f>
        <v>0</v>
      </c>
      <c r="R211" s="273">
        <f>IFERROR(INDEX('2. GRI Pricing Inputs'!$C$67:$AI$68,MATCH('3. GRI Pricing'!$R$16,'2. GRI Pricing Inputs'!$C$67:$C$68,0),MATCH('1. Accomodation'!U215,'2. GRI Pricing Inputs'!$C$67:$AI$67,0)),0)</f>
        <v>0</v>
      </c>
      <c r="S211" s="273">
        <f>IF(D211=0,0,'2. GRI Pricing Inputs'!$AI$75)</f>
        <v>70</v>
      </c>
      <c r="T211" s="273">
        <f>IFERROR(INDEX('2. GRI Pricing Inputs'!$C$82:$AI$83,MATCH('3. GRI Pricing'!$T$16,'2. GRI Pricing Inputs'!$C$82:$C$83,0),MATCH('1. Accomodation'!V215,'2. GRI Pricing Inputs'!$C$82:$AI$82,0)),0)</f>
        <v>0</v>
      </c>
      <c r="U211" s="273">
        <f>IFERROR(INDEX('2. GRI Pricing Inputs'!$C$89:$AI$90,MATCH('3. GRI Pricing'!$U$16,'2. GRI Pricing Inputs'!$C$89:$C$90,0),MATCH('1. Accomodation'!W215,'2. GRI Pricing Inputs'!$C$89:$AI$89,0)),0)</f>
        <v>0</v>
      </c>
      <c r="V211" s="273">
        <f>IFERROR(INDEX('2. GRI Pricing Inputs'!$C$97:$AI$98,MATCH('3. GRI Pricing'!$V$16,'2. GRI Pricing Inputs'!$C$97:$C$98,0),MATCH('1. Accomodation'!X215,'2. GRI Pricing Inputs'!$C$97:$AI$97,0)),0)</f>
        <v>0</v>
      </c>
      <c r="W211" s="273">
        <f>IFERROR(INDEX('2. GRI Pricing Inputs'!$C$104:$AI$105,MATCH('3. GRI Pricing'!$W$16,'2. GRI Pricing Inputs'!$C$104:$C$105,0),MATCH('1. Accomodation'!Y215,'2. GRI Pricing Inputs'!$C$104:$AI$104,0)),0)</f>
        <v>0</v>
      </c>
      <c r="X211" s="274">
        <v>0</v>
      </c>
      <c r="Y211" s="275">
        <f t="shared" si="10"/>
        <v>1225</v>
      </c>
      <c r="Z211" s="276"/>
      <c r="AA211" s="276"/>
      <c r="AB211" s="276"/>
      <c r="AC211" s="272">
        <f>Y211*(1+'2. GRI Pricing Inputs'!$D$114)^(($AC$16-$AB$15)/365)</f>
        <v>1229.0873698648879</v>
      </c>
      <c r="AD211" s="273">
        <f>AC211*(1+'2. GRI Pricing Inputs'!$D$114)^((AD$16-AC$16)/365)</f>
        <v>1233.055873848966</v>
      </c>
      <c r="AE211" s="273">
        <f>AD211*(1+'2. GRI Pricing Inputs'!$D$114)^((AE$16-AD$16)/365)</f>
        <v>1237.1701231718175</v>
      </c>
      <c r="AF211" s="273">
        <f>AE211*(1+'2. GRI Pricing Inputs'!$D$114)^((AF$16-AE$16)/365)</f>
        <v>1241.2981002160559</v>
      </c>
      <c r="AG211" s="273">
        <f>AF211*(1+'2. GRI Pricing Inputs'!$D$114)^((AG$16-AF$16)/365)</f>
        <v>1245.1722245355588</v>
      </c>
      <c r="AH211" s="273">
        <f>AG211*(1+'2. GRI Pricing Inputs'!$D$114)^((AH$16-AG$16)/365)</f>
        <v>1249.3269016189563</v>
      </c>
      <c r="AI211" s="273">
        <f>AH211*(1+'2. GRI Pricing Inputs'!$D$114)^((AI$16-AH$16)/365)</f>
        <v>1253.3607554425748</v>
      </c>
      <c r="AJ211" s="273">
        <f>AI211*(1+'2. GRI Pricing Inputs'!$D$114)^((AJ$16-AI$16)/365)</f>
        <v>1257.5427546112517</v>
      </c>
      <c r="AK211" s="273">
        <f>AJ211*(1+'2. GRI Pricing Inputs'!$D$114)^((AK$16-AJ$16)/365)</f>
        <v>1261.6031359593831</v>
      </c>
      <c r="AL211" s="273">
        <f>AK211*(1+'2. GRI Pricing Inputs'!$D$114)^((AL$16-AK$16)/365)</f>
        <v>1265.8126368894796</v>
      </c>
      <c r="AM211" s="273">
        <f>AL211*(1+'2. GRI Pricing Inputs'!$D$114)^((AM$16-AL$16)/365)</f>
        <v>1270.0361833601867</v>
      </c>
      <c r="AN211" s="273">
        <f>AM211*(1+'2. GRI Pricing Inputs'!$D$114)^((AN$16-AM$16)/365)</f>
        <v>1274.1369037623028</v>
      </c>
      <c r="AO211" s="273">
        <f>AN211*(1+'2. GRI Pricing Inputs'!$D$114)^((AO$16-AN$16)/365)</f>
        <v>1278.3882252187759</v>
      </c>
    </row>
    <row r="212" spans="3:41" ht="12" x14ac:dyDescent="0.2">
      <c r="C212" s="76" t="str">
        <f>'1. Accomodation'!N216</f>
        <v>201W</v>
      </c>
      <c r="D212" s="69" t="str">
        <f>'1. Accomodation'!P216</f>
        <v>2 Bed</v>
      </c>
      <c r="E212" s="69">
        <f>'1. Accomodation'!Q216</f>
        <v>2</v>
      </c>
      <c r="F212" s="77">
        <f>'1. Accomodation'!O216</f>
        <v>689</v>
      </c>
      <c r="G212" s="69">
        <f>'1. Accomodation'!R216</f>
        <v>2</v>
      </c>
      <c r="H212" s="69" t="str">
        <f>'1. Accomodation'!S216</f>
        <v>Pottery Lane</v>
      </c>
      <c r="I212" s="62"/>
      <c r="K212" s="272">
        <f>IFERROR(INDEX('2. GRI Pricing Inputs'!$C$15:$AI$16,MATCH($K$16,'2. GRI Pricing Inputs'!$C$15:$C$16,0),MATCH(D212,'2. GRI Pricing Inputs'!$C$15:$AI$15,0)),0)</f>
        <v>1110</v>
      </c>
      <c r="L212" s="273">
        <f>IFERROR(INDEX('2. GRI Pricing Inputs'!$C$22:$AI$23,MATCH($L$16,'2. GRI Pricing Inputs'!$C$22:$C$23,0),MATCH(E212,'2. GRI Pricing Inputs'!$C$22:$AI$22,0)),0)</f>
        <v>0</v>
      </c>
      <c r="M212" s="328">
        <f>IF(AND('3. GRI Pricing'!$F212&gt;='2. GRI Pricing Inputs'!$D$33,'3. GRI Pricing'!$F212&lt;='2. GRI Pricing Inputs'!$E$33),'2. GRI Pricing Inputs'!$D$32,IF(AND('3. GRI Pricing'!$F212&gt;='2. GRI Pricing Inputs'!$F$33,'3. GRI Pricing'!$F212&lt;='2. GRI Pricing Inputs'!$G$33),'2. GRI Pricing Inputs'!$F$32,IF(AND('3. GRI Pricing'!$F212&gt;='2. GRI Pricing Inputs'!$H$33,'3. GRI Pricing'!$F212&lt;='2. GRI Pricing Inputs'!$I$33),'2. GRI Pricing Inputs'!$H$32,IF(AND('3. GRI Pricing'!$F212&gt;='2. GRI Pricing Inputs'!$J$33,'3. GRI Pricing'!$F212&lt;='2. GRI Pricing Inputs'!$K$33),'2. GRI Pricing Inputs'!$J$32,IF(AND('3. GRI Pricing'!$F212&gt;='2. GRI Pricing Inputs'!$L$33,'3. GRI Pricing'!$F212&lt;='2. GRI Pricing Inputs'!$M$33),'2. GRI Pricing Inputs'!$L$32,IF(AND('3. GRI Pricing'!$F212&gt;='2. GRI Pricing Inputs'!$N$33,'3. GRI Pricing'!$F212&lt;='2. GRI Pricing Inputs'!$O$33),'2. GRI Pricing Inputs'!$N$32,IF(AND('3. GRI Pricing'!$F212&gt;='2. GRI Pricing Inputs'!$P$33,'3. GRI Pricing'!$F212&lt;='2. GRI Pricing Inputs'!$Q$33),'2. GRI Pricing Inputs'!$P$32,IF(AND('3. GRI Pricing'!$F212&gt;='2. GRI Pricing Inputs'!$R$33,'3. GRI Pricing'!$F212&lt;='2. GRI Pricing Inputs'!$S$33),'2. GRI Pricing Inputs'!$R$32,IF(AND('3. GRI Pricing'!$F212&gt;='2. GRI Pricing Inputs'!$T$33,'3. GRI Pricing'!$F212&lt;='2. GRI Pricing Inputs'!$U$33),'2. GRI Pricing Inputs'!$T$32,IF(AND('3. GRI Pricing'!$F212&gt;='2. GRI Pricing Inputs'!$V$33,'3. GRI Pricing'!$F212&lt;='2. GRI Pricing Inputs'!$W$33),'2. GRI Pricing Inputs'!$V$32,IF(AND('3. GRI Pricing'!$F212&gt;='2. GRI Pricing Inputs'!$X$33,'3. GRI Pricing'!$F212&lt;='2. GRI Pricing Inputs'!$Y$33),'2. GRI Pricing Inputs'!$X$32,IF(AND('3. GRI Pricing'!$F212&gt;='2. GRI Pricing Inputs'!$Z$33,'3. GRI Pricing'!$F212&lt;='2. GRI Pricing Inputs'!$AA$33),'2. GRI Pricing Inputs'!$Z$32,IF(AND('3. GRI Pricing'!$F212&gt;='2. GRI Pricing Inputs'!$AB$33,'3. GRI Pricing'!$F212&lt;='2. GRI Pricing Inputs'!$AC$33),'2. GRI Pricing Inputs'!$AB$32,IF(AND('3. GRI Pricing'!$F212&gt;='2. GRI Pricing Inputs'!$AD$33,'3. GRI Pricing'!$F212&lt;='2. GRI Pricing Inputs'!$AE$33),'2. GRI Pricing Inputs'!$AD$32,IF(AND('3. GRI Pricing'!$F212&gt;='2. GRI Pricing Inputs'!$AF$33,'3. GRI Pricing'!$F212&lt;='2. GRI Pricing Inputs'!$AG$33),'2. GRI Pricing Inputs'!$AF$32,IF(AND('3. GRI Pricing'!$F212&gt;='2. GRI Pricing Inputs'!$AH$33,'3. GRI Pricing'!$F212&lt;='2. GRI Pricing Inputs'!$AI$33),'2. GRI Pricing Inputs'!$AH$32,0))))))))))))))))</f>
        <v>11</v>
      </c>
      <c r="N212" s="273" cm="1">
        <f t="array" ref="N212">IFERROR(INDEX('2. GRI Pricing Inputs'!$C$32:$AI$39,MATCH('3. GRI Pricing'!D212,'2. GRI Pricing Inputs'!$C$32:$C$39,0),(MATCH('3. GRI Pricing'!M212,'2. GRI Pricing Inputs'!$D$32:$AI$32,0)+1)),0)</f>
        <v>65</v>
      </c>
      <c r="O212" s="273">
        <f>IFERROR(INDEX('2. GRI Pricing Inputs'!$C$45:$AI$46,MATCH($O$16,'2. GRI Pricing Inputs'!$C$45:$C$46,0),MATCH(G212,'2. GRI Pricing Inputs'!$C$45:$AI$45,0)),0)</f>
        <v>40</v>
      </c>
      <c r="P212" s="273">
        <f>IFERROR(INDEX('2. GRI Pricing Inputs'!$C$53:$AI$54,MATCH('3. GRI Pricing'!$P$16,'2. GRI Pricing Inputs'!$C$53:$C$54,0),MATCH('3. GRI Pricing'!H212,'2. GRI Pricing Inputs'!$C$53:$AI$53,0)),0)</f>
        <v>10</v>
      </c>
      <c r="Q212" s="273">
        <f>IFERROR(INDEX('2. GRI Pricing Inputs'!$C$60:$AI$61,MATCH('3. GRI Pricing'!$Q$16,'2. GRI Pricing Inputs'!$C$60:$C$61,0),MATCH('1. Accomodation'!T216,'2. GRI Pricing Inputs'!$C$60:$AI$60,0)),0)</f>
        <v>0</v>
      </c>
      <c r="R212" s="273">
        <f>IFERROR(INDEX('2. GRI Pricing Inputs'!$C$67:$AI$68,MATCH('3. GRI Pricing'!$R$16,'2. GRI Pricing Inputs'!$C$67:$C$68,0),MATCH('1. Accomodation'!U216,'2. GRI Pricing Inputs'!$C$67:$AI$67,0)),0)</f>
        <v>0</v>
      </c>
      <c r="S212" s="273">
        <f>IF(D212=0,0,'2. GRI Pricing Inputs'!$AI$75)</f>
        <v>70</v>
      </c>
      <c r="T212" s="273">
        <f>IFERROR(INDEX('2. GRI Pricing Inputs'!$C$82:$AI$83,MATCH('3. GRI Pricing'!$T$16,'2. GRI Pricing Inputs'!$C$82:$C$83,0),MATCH('1. Accomodation'!V216,'2. GRI Pricing Inputs'!$C$82:$AI$82,0)),0)</f>
        <v>0</v>
      </c>
      <c r="U212" s="273">
        <f>IFERROR(INDEX('2. GRI Pricing Inputs'!$C$89:$AI$90,MATCH('3. GRI Pricing'!$U$16,'2. GRI Pricing Inputs'!$C$89:$C$90,0),MATCH('1. Accomodation'!W216,'2. GRI Pricing Inputs'!$C$89:$AI$89,0)),0)</f>
        <v>0</v>
      </c>
      <c r="V212" s="273">
        <f>IFERROR(INDEX('2. GRI Pricing Inputs'!$C$97:$AI$98,MATCH('3. GRI Pricing'!$V$16,'2. GRI Pricing Inputs'!$C$97:$C$98,0),MATCH('1. Accomodation'!X216,'2. GRI Pricing Inputs'!$C$97:$AI$97,0)),0)</f>
        <v>0</v>
      </c>
      <c r="W212" s="273">
        <f>IFERROR(INDEX('2. GRI Pricing Inputs'!$C$104:$AI$105,MATCH('3. GRI Pricing'!$W$16,'2. GRI Pricing Inputs'!$C$104:$C$105,0),MATCH('1. Accomodation'!Y216,'2. GRI Pricing Inputs'!$C$104:$AI$104,0)),0)</f>
        <v>0</v>
      </c>
      <c r="X212" s="274">
        <v>0</v>
      </c>
      <c r="Y212" s="275">
        <f t="shared" si="10"/>
        <v>1295</v>
      </c>
      <c r="Z212" s="276"/>
      <c r="AA212" s="276"/>
      <c r="AB212" s="276"/>
      <c r="AC212" s="272">
        <f>Y212*(1+'2. GRI Pricing Inputs'!$D$114)^(($AC$16-$AB$15)/365)</f>
        <v>1299.3209338571671</v>
      </c>
      <c r="AD212" s="273">
        <f>AC212*(1+'2. GRI Pricing Inputs'!$D$114)^((AD$16-AC$16)/365)</f>
        <v>1303.5162094974783</v>
      </c>
      <c r="AE212" s="273">
        <f>AD212*(1+'2. GRI Pricing Inputs'!$D$114)^((AE$16-AD$16)/365)</f>
        <v>1307.8655587816356</v>
      </c>
      <c r="AF212" s="273">
        <f>AE212*(1+'2. GRI Pricing Inputs'!$D$114)^((AF$16-AE$16)/365)</f>
        <v>1312.229420228402</v>
      </c>
      <c r="AG212" s="273">
        <f>AF212*(1+'2. GRI Pricing Inputs'!$D$114)^((AG$16-AF$16)/365)</f>
        <v>1316.3249230804479</v>
      </c>
      <c r="AH212" s="273">
        <f>AG212*(1+'2. GRI Pricing Inputs'!$D$114)^((AH$16-AG$16)/365)</f>
        <v>1320.7170102828968</v>
      </c>
      <c r="AI212" s="273">
        <f>AH212*(1+'2. GRI Pricing Inputs'!$D$114)^((AI$16-AH$16)/365)</f>
        <v>1324.9813700392936</v>
      </c>
      <c r="AJ212" s="273">
        <f>AI212*(1+'2. GRI Pricing Inputs'!$D$114)^((AJ$16-AI$16)/365)</f>
        <v>1329.4023405890375</v>
      </c>
      <c r="AK212" s="273">
        <f>AJ212*(1+'2. GRI Pricing Inputs'!$D$114)^((AK$16-AJ$16)/365)</f>
        <v>1333.6947437284907</v>
      </c>
      <c r="AL212" s="273">
        <f>AK212*(1+'2. GRI Pricing Inputs'!$D$114)^((AL$16-AK$16)/365)</f>
        <v>1338.1447875688787</v>
      </c>
      <c r="AM212" s="273">
        <f>AL212*(1+'2. GRI Pricing Inputs'!$D$114)^((AM$16-AL$16)/365)</f>
        <v>1342.6096795521976</v>
      </c>
      <c r="AN212" s="273">
        <f>AM212*(1+'2. GRI Pricing Inputs'!$D$114)^((AN$16-AM$16)/365)</f>
        <v>1346.9447268344347</v>
      </c>
      <c r="AO212" s="273">
        <f>AN212*(1+'2. GRI Pricing Inputs'!$D$114)^((AO$16-AN$16)/365)</f>
        <v>1351.4389809455633</v>
      </c>
    </row>
    <row r="213" spans="3:41" ht="12" x14ac:dyDescent="0.2">
      <c r="C213" s="76" t="str">
        <f>'1. Accomodation'!N217</f>
        <v>202W</v>
      </c>
      <c r="D213" s="69" t="str">
        <f>'1. Accomodation'!P217</f>
        <v>1 Bed</v>
      </c>
      <c r="E213" s="69">
        <f>'1. Accomodation'!Q217</f>
        <v>1</v>
      </c>
      <c r="F213" s="77">
        <f>'1. Accomodation'!O217</f>
        <v>495</v>
      </c>
      <c r="G213" s="69">
        <f>'1. Accomodation'!R217</f>
        <v>2</v>
      </c>
      <c r="H213" s="69" t="str">
        <f>'1. Accomodation'!S217</f>
        <v>Courtyard</v>
      </c>
      <c r="I213" s="62"/>
      <c r="K213" s="272">
        <f>IFERROR(INDEX('2. GRI Pricing Inputs'!$C$15:$AI$16,MATCH($K$16,'2. GRI Pricing Inputs'!$C$15:$C$16,0),MATCH(D213,'2. GRI Pricing Inputs'!$C$15:$AI$15,0)),0)</f>
        <v>845</v>
      </c>
      <c r="L213" s="273">
        <f>IFERROR(INDEX('2. GRI Pricing Inputs'!$C$22:$AI$23,MATCH($L$16,'2. GRI Pricing Inputs'!$C$22:$C$23,0),MATCH(E213,'2. GRI Pricing Inputs'!$C$22:$AI$22,0)),0)</f>
        <v>0</v>
      </c>
      <c r="M213" s="328">
        <f>IF(AND('3. GRI Pricing'!$F213&gt;='2. GRI Pricing Inputs'!$D$33,'3. GRI Pricing'!$F213&lt;='2. GRI Pricing Inputs'!$E$33),'2. GRI Pricing Inputs'!$D$32,IF(AND('3. GRI Pricing'!$F213&gt;='2. GRI Pricing Inputs'!$F$33,'3. GRI Pricing'!$F213&lt;='2. GRI Pricing Inputs'!$G$33),'2. GRI Pricing Inputs'!$F$32,IF(AND('3. GRI Pricing'!$F213&gt;='2. GRI Pricing Inputs'!$H$33,'3. GRI Pricing'!$F213&lt;='2. GRI Pricing Inputs'!$I$33),'2. GRI Pricing Inputs'!$H$32,IF(AND('3. GRI Pricing'!$F213&gt;='2. GRI Pricing Inputs'!$J$33,'3. GRI Pricing'!$F213&lt;='2. GRI Pricing Inputs'!$K$33),'2. GRI Pricing Inputs'!$J$32,IF(AND('3. GRI Pricing'!$F213&gt;='2. GRI Pricing Inputs'!$L$33,'3. GRI Pricing'!$F213&lt;='2. GRI Pricing Inputs'!$M$33),'2. GRI Pricing Inputs'!$L$32,IF(AND('3. GRI Pricing'!$F213&gt;='2. GRI Pricing Inputs'!$N$33,'3. GRI Pricing'!$F213&lt;='2. GRI Pricing Inputs'!$O$33),'2. GRI Pricing Inputs'!$N$32,IF(AND('3. GRI Pricing'!$F213&gt;='2. GRI Pricing Inputs'!$P$33,'3. GRI Pricing'!$F213&lt;='2. GRI Pricing Inputs'!$Q$33),'2. GRI Pricing Inputs'!$P$32,IF(AND('3. GRI Pricing'!$F213&gt;='2. GRI Pricing Inputs'!$R$33,'3. GRI Pricing'!$F213&lt;='2. GRI Pricing Inputs'!$S$33),'2. GRI Pricing Inputs'!$R$32,IF(AND('3. GRI Pricing'!$F213&gt;='2. GRI Pricing Inputs'!$T$33,'3. GRI Pricing'!$F213&lt;='2. GRI Pricing Inputs'!$U$33),'2. GRI Pricing Inputs'!$T$32,IF(AND('3. GRI Pricing'!$F213&gt;='2. GRI Pricing Inputs'!$V$33,'3. GRI Pricing'!$F213&lt;='2. GRI Pricing Inputs'!$W$33),'2. GRI Pricing Inputs'!$V$32,IF(AND('3. GRI Pricing'!$F213&gt;='2. GRI Pricing Inputs'!$X$33,'3. GRI Pricing'!$F213&lt;='2. GRI Pricing Inputs'!$Y$33),'2. GRI Pricing Inputs'!$X$32,IF(AND('3. GRI Pricing'!$F213&gt;='2. GRI Pricing Inputs'!$Z$33,'3. GRI Pricing'!$F213&lt;='2. GRI Pricing Inputs'!$AA$33),'2. GRI Pricing Inputs'!$Z$32,IF(AND('3. GRI Pricing'!$F213&gt;='2. GRI Pricing Inputs'!$AB$33,'3. GRI Pricing'!$F213&lt;='2. GRI Pricing Inputs'!$AC$33),'2. GRI Pricing Inputs'!$AB$32,IF(AND('3. GRI Pricing'!$F213&gt;='2. GRI Pricing Inputs'!$AD$33,'3. GRI Pricing'!$F213&lt;='2. GRI Pricing Inputs'!$AE$33),'2. GRI Pricing Inputs'!$AD$32,IF(AND('3. GRI Pricing'!$F213&gt;='2. GRI Pricing Inputs'!$AF$33,'3. GRI Pricing'!$F213&lt;='2. GRI Pricing Inputs'!$AG$33),'2. GRI Pricing Inputs'!$AF$32,IF(AND('3. GRI Pricing'!$F213&gt;='2. GRI Pricing Inputs'!$AH$33,'3. GRI Pricing'!$F213&lt;='2. GRI Pricing Inputs'!$AI$33),'2. GRI Pricing Inputs'!$AH$32,0))))))))))))))))</f>
        <v>2</v>
      </c>
      <c r="N213" s="273" cm="1">
        <f t="array" ref="N213">IFERROR(INDEX('2. GRI Pricing Inputs'!$C$32:$AI$39,MATCH('3. GRI Pricing'!D213,'2. GRI Pricing Inputs'!$C$32:$C$39,0),(MATCH('3. GRI Pricing'!M213,'2. GRI Pricing Inputs'!$D$32:$AI$32,0)+1)),0)</f>
        <v>15</v>
      </c>
      <c r="O213" s="273">
        <f>IFERROR(INDEX('2. GRI Pricing Inputs'!$C$45:$AI$46,MATCH($O$16,'2. GRI Pricing Inputs'!$C$45:$C$46,0),MATCH(G213,'2. GRI Pricing Inputs'!$C$45:$AI$45,0)),0)</f>
        <v>40</v>
      </c>
      <c r="P213" s="273">
        <f>IFERROR(INDEX('2. GRI Pricing Inputs'!$C$53:$AI$54,MATCH('3. GRI Pricing'!$P$16,'2. GRI Pricing Inputs'!$C$53:$C$54,0),MATCH('3. GRI Pricing'!H213,'2. GRI Pricing Inputs'!$C$53:$AI$53,0)),0)</f>
        <v>25</v>
      </c>
      <c r="Q213" s="273">
        <f>IFERROR(INDEX('2. GRI Pricing Inputs'!$C$60:$AI$61,MATCH('3. GRI Pricing'!$Q$16,'2. GRI Pricing Inputs'!$C$60:$C$61,0),MATCH('1. Accomodation'!T217,'2. GRI Pricing Inputs'!$C$60:$AI$60,0)),0)</f>
        <v>0</v>
      </c>
      <c r="R213" s="273">
        <f>IFERROR(INDEX('2. GRI Pricing Inputs'!$C$67:$AI$68,MATCH('3. GRI Pricing'!$R$16,'2. GRI Pricing Inputs'!$C$67:$C$68,0),MATCH('1. Accomodation'!U217,'2. GRI Pricing Inputs'!$C$67:$AI$67,0)),0)</f>
        <v>0</v>
      </c>
      <c r="S213" s="273">
        <f>IF(D213=0,0,'2. GRI Pricing Inputs'!$AI$75)</f>
        <v>70</v>
      </c>
      <c r="T213" s="273">
        <f>IFERROR(INDEX('2. GRI Pricing Inputs'!$C$82:$AI$83,MATCH('3. GRI Pricing'!$T$16,'2. GRI Pricing Inputs'!$C$82:$C$83,0),MATCH('1. Accomodation'!V217,'2. GRI Pricing Inputs'!$C$82:$AI$82,0)),0)</f>
        <v>0</v>
      </c>
      <c r="U213" s="273">
        <f>IFERROR(INDEX('2. GRI Pricing Inputs'!$C$89:$AI$90,MATCH('3. GRI Pricing'!$U$16,'2. GRI Pricing Inputs'!$C$89:$C$90,0),MATCH('1. Accomodation'!W217,'2. GRI Pricing Inputs'!$C$89:$AI$89,0)),0)</f>
        <v>0</v>
      </c>
      <c r="V213" s="273">
        <f>IFERROR(INDEX('2. GRI Pricing Inputs'!$C$97:$AI$98,MATCH('3. GRI Pricing'!$V$16,'2. GRI Pricing Inputs'!$C$97:$C$98,0),MATCH('1. Accomodation'!X217,'2. GRI Pricing Inputs'!$C$97:$AI$97,0)),0)</f>
        <v>0</v>
      </c>
      <c r="W213" s="273">
        <f>IFERROR(INDEX('2. GRI Pricing Inputs'!$C$104:$AI$105,MATCH('3. GRI Pricing'!$W$16,'2. GRI Pricing Inputs'!$C$104:$C$105,0),MATCH('1. Accomodation'!Y217,'2. GRI Pricing Inputs'!$C$104:$AI$104,0)),0)</f>
        <v>0</v>
      </c>
      <c r="X213" s="274">
        <v>0</v>
      </c>
      <c r="Y213" s="275">
        <f t="shared" si="10"/>
        <v>995</v>
      </c>
      <c r="Z213" s="276"/>
      <c r="AA213" s="276"/>
      <c r="AB213" s="276"/>
      <c r="AC213" s="272">
        <f>Y213*(1+'2. GRI Pricing Inputs'!$D$114)^(($AC$16-$AB$15)/365)</f>
        <v>998.31994531882731</v>
      </c>
      <c r="AD213" s="273">
        <f>AC213*(1+'2. GRI Pricing Inputs'!$D$114)^((AD$16-AC$16)/365)</f>
        <v>1001.5433424324254</v>
      </c>
      <c r="AE213" s="273">
        <f>AD213*(1+'2. GRI Pricing Inputs'!$D$114)^((AE$16-AD$16)/365)</f>
        <v>1004.8851204538437</v>
      </c>
      <c r="AF213" s="273">
        <f>AE213*(1+'2. GRI Pricing Inputs'!$D$114)^((AF$16-AE$16)/365)</f>
        <v>1008.2380487469189</v>
      </c>
      <c r="AG213" s="273">
        <f>AF213*(1+'2. GRI Pricing Inputs'!$D$114)^((AG$16-AF$16)/365)</f>
        <v>1011.3847864594946</v>
      </c>
      <c r="AH213" s="273">
        <f>AG213*(1+'2. GRI Pricing Inputs'!$D$114)^((AH$16-AG$16)/365)</f>
        <v>1014.7594017231522</v>
      </c>
      <c r="AI213" s="273">
        <f>AH213*(1+'2. GRI Pricing Inputs'!$D$114)^((AI$16-AH$16)/365)</f>
        <v>1018.0358789104996</v>
      </c>
      <c r="AJ213" s="273">
        <f>AI213*(1+'2. GRI Pricing Inputs'!$D$114)^((AJ$16-AI$16)/365)</f>
        <v>1021.4326863985268</v>
      </c>
      <c r="AK213" s="273">
        <f>AJ213*(1+'2. GRI Pricing Inputs'!$D$114)^((AK$16-AJ$16)/365)</f>
        <v>1024.7307104323152</v>
      </c>
      <c r="AL213" s="273">
        <f>AK213*(1+'2. GRI Pricing Inputs'!$D$114)^((AL$16-AK$16)/365)</f>
        <v>1028.1498560857406</v>
      </c>
      <c r="AM213" s="273">
        <f>AL213*(1+'2. GRI Pricing Inputs'!$D$114)^((AM$16-AL$16)/365)</f>
        <v>1031.580410157866</v>
      </c>
      <c r="AN213" s="273">
        <f>AM213*(1+'2. GRI Pricing Inputs'!$D$114)^((AN$16-AM$16)/365)</f>
        <v>1034.911199382442</v>
      </c>
      <c r="AO213" s="273">
        <f>AN213*(1+'2. GRI Pricing Inputs'!$D$114)^((AO$16-AN$16)/365)</f>
        <v>1038.3643135450466</v>
      </c>
    </row>
    <row r="214" spans="3:41" ht="12" x14ac:dyDescent="0.2">
      <c r="C214" s="76" t="str">
        <f>'1. Accomodation'!N218</f>
        <v>203W</v>
      </c>
      <c r="D214" s="69" t="str">
        <f>'1. Accomodation'!P218</f>
        <v>2 Bed</v>
      </c>
      <c r="E214" s="69">
        <f>'1. Accomodation'!Q218</f>
        <v>2</v>
      </c>
      <c r="F214" s="77">
        <f>'1. Accomodation'!O218</f>
        <v>657</v>
      </c>
      <c r="G214" s="69">
        <f>'1. Accomodation'!R218</f>
        <v>2</v>
      </c>
      <c r="H214" s="69" t="str">
        <f>'1. Accomodation'!S218</f>
        <v>Courtyard</v>
      </c>
      <c r="I214" s="62"/>
      <c r="K214" s="272">
        <f>IFERROR(INDEX('2. GRI Pricing Inputs'!$C$15:$AI$16,MATCH($K$16,'2. GRI Pricing Inputs'!$C$15:$C$16,0),MATCH(D214,'2. GRI Pricing Inputs'!$C$15:$AI$15,0)),0)</f>
        <v>1110</v>
      </c>
      <c r="L214" s="273">
        <f>IFERROR(INDEX('2. GRI Pricing Inputs'!$C$22:$AI$23,MATCH($L$16,'2. GRI Pricing Inputs'!$C$22:$C$23,0),MATCH(E214,'2. GRI Pricing Inputs'!$C$22:$AI$22,0)),0)</f>
        <v>0</v>
      </c>
      <c r="M214" s="328">
        <f>IF(AND('3. GRI Pricing'!$F214&gt;='2. GRI Pricing Inputs'!$D$33,'3. GRI Pricing'!$F214&lt;='2. GRI Pricing Inputs'!$E$33),'2. GRI Pricing Inputs'!$D$32,IF(AND('3. GRI Pricing'!$F214&gt;='2. GRI Pricing Inputs'!$F$33,'3. GRI Pricing'!$F214&lt;='2. GRI Pricing Inputs'!$G$33),'2. GRI Pricing Inputs'!$F$32,IF(AND('3. GRI Pricing'!$F214&gt;='2. GRI Pricing Inputs'!$H$33,'3. GRI Pricing'!$F214&lt;='2. GRI Pricing Inputs'!$I$33),'2. GRI Pricing Inputs'!$H$32,IF(AND('3. GRI Pricing'!$F214&gt;='2. GRI Pricing Inputs'!$J$33,'3. GRI Pricing'!$F214&lt;='2. GRI Pricing Inputs'!$K$33),'2. GRI Pricing Inputs'!$J$32,IF(AND('3. GRI Pricing'!$F214&gt;='2. GRI Pricing Inputs'!$L$33,'3. GRI Pricing'!$F214&lt;='2. GRI Pricing Inputs'!$M$33),'2. GRI Pricing Inputs'!$L$32,IF(AND('3. GRI Pricing'!$F214&gt;='2. GRI Pricing Inputs'!$N$33,'3. GRI Pricing'!$F214&lt;='2. GRI Pricing Inputs'!$O$33),'2. GRI Pricing Inputs'!$N$32,IF(AND('3. GRI Pricing'!$F214&gt;='2. GRI Pricing Inputs'!$P$33,'3. GRI Pricing'!$F214&lt;='2. GRI Pricing Inputs'!$Q$33),'2. GRI Pricing Inputs'!$P$32,IF(AND('3. GRI Pricing'!$F214&gt;='2. GRI Pricing Inputs'!$R$33,'3. GRI Pricing'!$F214&lt;='2. GRI Pricing Inputs'!$S$33),'2. GRI Pricing Inputs'!$R$32,IF(AND('3. GRI Pricing'!$F214&gt;='2. GRI Pricing Inputs'!$T$33,'3. GRI Pricing'!$F214&lt;='2. GRI Pricing Inputs'!$U$33),'2. GRI Pricing Inputs'!$T$32,IF(AND('3. GRI Pricing'!$F214&gt;='2. GRI Pricing Inputs'!$V$33,'3. GRI Pricing'!$F214&lt;='2. GRI Pricing Inputs'!$W$33),'2. GRI Pricing Inputs'!$V$32,IF(AND('3. GRI Pricing'!$F214&gt;='2. GRI Pricing Inputs'!$X$33,'3. GRI Pricing'!$F214&lt;='2. GRI Pricing Inputs'!$Y$33),'2. GRI Pricing Inputs'!$X$32,IF(AND('3. GRI Pricing'!$F214&gt;='2. GRI Pricing Inputs'!$Z$33,'3. GRI Pricing'!$F214&lt;='2. GRI Pricing Inputs'!$AA$33),'2. GRI Pricing Inputs'!$Z$32,IF(AND('3. GRI Pricing'!$F214&gt;='2. GRI Pricing Inputs'!$AB$33,'3. GRI Pricing'!$F214&lt;='2. GRI Pricing Inputs'!$AC$33),'2. GRI Pricing Inputs'!$AB$32,IF(AND('3. GRI Pricing'!$F214&gt;='2. GRI Pricing Inputs'!$AD$33,'3. GRI Pricing'!$F214&lt;='2. GRI Pricing Inputs'!$AE$33),'2. GRI Pricing Inputs'!$AD$32,IF(AND('3. GRI Pricing'!$F214&gt;='2. GRI Pricing Inputs'!$AF$33,'3. GRI Pricing'!$F214&lt;='2. GRI Pricing Inputs'!$AG$33),'2. GRI Pricing Inputs'!$AF$32,IF(AND('3. GRI Pricing'!$F214&gt;='2. GRI Pricing Inputs'!$AH$33,'3. GRI Pricing'!$F214&lt;='2. GRI Pricing Inputs'!$AI$33),'2. GRI Pricing Inputs'!$AH$32,0))))))))))))))))</f>
        <v>8</v>
      </c>
      <c r="N214" s="273" cm="1">
        <f t="array" ref="N214">IFERROR(INDEX('2. GRI Pricing Inputs'!$C$32:$AI$39,MATCH('3. GRI Pricing'!D214,'2. GRI Pricing Inputs'!$C$32:$C$39,0),(MATCH('3. GRI Pricing'!M214,'2. GRI Pricing Inputs'!$D$32:$AI$32,0)+1)),0)</f>
        <v>20</v>
      </c>
      <c r="O214" s="273">
        <f>IFERROR(INDEX('2. GRI Pricing Inputs'!$C$45:$AI$46,MATCH($O$16,'2. GRI Pricing Inputs'!$C$45:$C$46,0),MATCH(G214,'2. GRI Pricing Inputs'!$C$45:$AI$45,0)),0)</f>
        <v>40</v>
      </c>
      <c r="P214" s="273">
        <f>IFERROR(INDEX('2. GRI Pricing Inputs'!$C$53:$AI$54,MATCH('3. GRI Pricing'!$P$16,'2. GRI Pricing Inputs'!$C$53:$C$54,0),MATCH('3. GRI Pricing'!H214,'2. GRI Pricing Inputs'!$C$53:$AI$53,0)),0)</f>
        <v>25</v>
      </c>
      <c r="Q214" s="273">
        <f>IFERROR(INDEX('2. GRI Pricing Inputs'!$C$60:$AI$61,MATCH('3. GRI Pricing'!$Q$16,'2. GRI Pricing Inputs'!$C$60:$C$61,0),MATCH('1. Accomodation'!T218,'2. GRI Pricing Inputs'!$C$60:$AI$60,0)),0)</f>
        <v>0</v>
      </c>
      <c r="R214" s="273">
        <f>IFERROR(INDEX('2. GRI Pricing Inputs'!$C$67:$AI$68,MATCH('3. GRI Pricing'!$R$16,'2. GRI Pricing Inputs'!$C$67:$C$68,0),MATCH('1. Accomodation'!U218,'2. GRI Pricing Inputs'!$C$67:$AI$67,0)),0)</f>
        <v>0</v>
      </c>
      <c r="S214" s="273">
        <f>IF(D214=0,0,'2. GRI Pricing Inputs'!$AI$75)</f>
        <v>70</v>
      </c>
      <c r="T214" s="273">
        <f>IFERROR(INDEX('2. GRI Pricing Inputs'!$C$82:$AI$83,MATCH('3. GRI Pricing'!$T$16,'2. GRI Pricing Inputs'!$C$82:$C$83,0),MATCH('1. Accomodation'!V218,'2. GRI Pricing Inputs'!$C$82:$AI$82,0)),0)</f>
        <v>0</v>
      </c>
      <c r="U214" s="273">
        <f>IFERROR(INDEX('2. GRI Pricing Inputs'!$C$89:$AI$90,MATCH('3. GRI Pricing'!$U$16,'2. GRI Pricing Inputs'!$C$89:$C$90,0),MATCH('1. Accomodation'!W218,'2. GRI Pricing Inputs'!$C$89:$AI$89,0)),0)</f>
        <v>0</v>
      </c>
      <c r="V214" s="273">
        <f>IFERROR(INDEX('2. GRI Pricing Inputs'!$C$97:$AI$98,MATCH('3. GRI Pricing'!$V$16,'2. GRI Pricing Inputs'!$C$97:$C$98,0),MATCH('1. Accomodation'!X218,'2. GRI Pricing Inputs'!$C$97:$AI$97,0)),0)</f>
        <v>0</v>
      </c>
      <c r="W214" s="273">
        <f>IFERROR(INDEX('2. GRI Pricing Inputs'!$C$104:$AI$105,MATCH('3. GRI Pricing'!$W$16,'2. GRI Pricing Inputs'!$C$104:$C$105,0),MATCH('1. Accomodation'!Y218,'2. GRI Pricing Inputs'!$C$104:$AI$104,0)),0)</f>
        <v>0</v>
      </c>
      <c r="X214" s="274">
        <v>0</v>
      </c>
      <c r="Y214" s="275">
        <f t="shared" si="10"/>
        <v>1265</v>
      </c>
      <c r="Z214" s="276"/>
      <c r="AA214" s="276"/>
      <c r="AB214" s="276"/>
      <c r="AC214" s="272">
        <f>Y214*(1+'2. GRI Pricing Inputs'!$D$114)^(($AC$16-$AB$15)/365)</f>
        <v>1269.2208350033331</v>
      </c>
      <c r="AD214" s="273">
        <f>AC214*(1+'2. GRI Pricing Inputs'!$D$114)^((AD$16-AC$16)/365)</f>
        <v>1273.3189227909729</v>
      </c>
      <c r="AE214" s="273">
        <f>AD214*(1+'2. GRI Pricing Inputs'!$D$114)^((AE$16-AD$16)/365)</f>
        <v>1277.5675149488563</v>
      </c>
      <c r="AF214" s="273">
        <f>AE214*(1+'2. GRI Pricing Inputs'!$D$114)^((AF$16-AE$16)/365)</f>
        <v>1281.8302830802536</v>
      </c>
      <c r="AG214" s="273">
        <f>AF214*(1+'2. GRI Pricing Inputs'!$D$114)^((AG$16-AF$16)/365)</f>
        <v>1285.8309094183523</v>
      </c>
      <c r="AH214" s="273">
        <f>AG214*(1+'2. GRI Pricing Inputs'!$D$114)^((AH$16-AG$16)/365)</f>
        <v>1290.1212494269221</v>
      </c>
      <c r="AI214" s="273">
        <f>AH214*(1+'2. GRI Pricing Inputs'!$D$114)^((AI$16-AH$16)/365)</f>
        <v>1294.2868209264138</v>
      </c>
      <c r="AJ214" s="273">
        <f>AI214*(1+'2. GRI Pricing Inputs'!$D$114)^((AJ$16-AI$16)/365)</f>
        <v>1298.6053751699862</v>
      </c>
      <c r="AK214" s="273">
        <f>AJ214*(1+'2. GRI Pricing Inputs'!$D$114)^((AK$16-AJ$16)/365)</f>
        <v>1302.7983403988731</v>
      </c>
      <c r="AL214" s="273">
        <f>AK214*(1+'2. GRI Pricing Inputs'!$D$114)^((AL$16-AK$16)/365)</f>
        <v>1307.1452944205646</v>
      </c>
      <c r="AM214" s="273">
        <f>AL214*(1+'2. GRI Pricing Inputs'!$D$114)^((AM$16-AL$16)/365)</f>
        <v>1311.5067526127643</v>
      </c>
      <c r="AN214" s="273">
        <f>AM214*(1+'2. GRI Pricing Inputs'!$D$114)^((AN$16-AM$16)/365)</f>
        <v>1315.7413740892353</v>
      </c>
      <c r="AO214" s="273">
        <f>AN214*(1+'2. GRI Pricing Inputs'!$D$114)^((AO$16-AN$16)/365)</f>
        <v>1320.1315142055116</v>
      </c>
    </row>
    <row r="215" spans="3:41" ht="12" x14ac:dyDescent="0.2">
      <c r="C215" s="76" t="str">
        <f>'1. Accomodation'!N219</f>
        <v>204W</v>
      </c>
      <c r="D215" s="69" t="str">
        <f>'1. Accomodation'!P219</f>
        <v>2 Bed</v>
      </c>
      <c r="E215" s="69">
        <f>'1. Accomodation'!Q219</f>
        <v>2</v>
      </c>
      <c r="F215" s="77">
        <f>'1. Accomodation'!O219</f>
        <v>657</v>
      </c>
      <c r="G215" s="69">
        <f>'1. Accomodation'!R219</f>
        <v>2</v>
      </c>
      <c r="H215" s="69" t="str">
        <f>'1. Accomodation'!S219</f>
        <v>Railway Bridge</v>
      </c>
      <c r="I215" s="62"/>
      <c r="K215" s="272">
        <f>IFERROR(INDEX('2. GRI Pricing Inputs'!$C$15:$AI$16,MATCH($K$16,'2. GRI Pricing Inputs'!$C$15:$C$16,0),MATCH(D215,'2. GRI Pricing Inputs'!$C$15:$AI$15,0)),0)</f>
        <v>1110</v>
      </c>
      <c r="L215" s="273">
        <f>IFERROR(INDEX('2. GRI Pricing Inputs'!$C$22:$AI$23,MATCH($L$16,'2. GRI Pricing Inputs'!$C$22:$C$23,0),MATCH(E215,'2. GRI Pricing Inputs'!$C$22:$AI$22,0)),0)</f>
        <v>0</v>
      </c>
      <c r="M215" s="328">
        <f>IF(AND('3. GRI Pricing'!$F215&gt;='2. GRI Pricing Inputs'!$D$33,'3. GRI Pricing'!$F215&lt;='2. GRI Pricing Inputs'!$E$33),'2. GRI Pricing Inputs'!$D$32,IF(AND('3. GRI Pricing'!$F215&gt;='2. GRI Pricing Inputs'!$F$33,'3. GRI Pricing'!$F215&lt;='2. GRI Pricing Inputs'!$G$33),'2. GRI Pricing Inputs'!$F$32,IF(AND('3. GRI Pricing'!$F215&gt;='2. GRI Pricing Inputs'!$H$33,'3. GRI Pricing'!$F215&lt;='2. GRI Pricing Inputs'!$I$33),'2. GRI Pricing Inputs'!$H$32,IF(AND('3. GRI Pricing'!$F215&gt;='2. GRI Pricing Inputs'!$J$33,'3. GRI Pricing'!$F215&lt;='2. GRI Pricing Inputs'!$K$33),'2. GRI Pricing Inputs'!$J$32,IF(AND('3. GRI Pricing'!$F215&gt;='2. GRI Pricing Inputs'!$L$33,'3. GRI Pricing'!$F215&lt;='2. GRI Pricing Inputs'!$M$33),'2. GRI Pricing Inputs'!$L$32,IF(AND('3. GRI Pricing'!$F215&gt;='2. GRI Pricing Inputs'!$N$33,'3. GRI Pricing'!$F215&lt;='2. GRI Pricing Inputs'!$O$33),'2. GRI Pricing Inputs'!$N$32,IF(AND('3. GRI Pricing'!$F215&gt;='2. GRI Pricing Inputs'!$P$33,'3. GRI Pricing'!$F215&lt;='2. GRI Pricing Inputs'!$Q$33),'2. GRI Pricing Inputs'!$P$32,IF(AND('3. GRI Pricing'!$F215&gt;='2. GRI Pricing Inputs'!$R$33,'3. GRI Pricing'!$F215&lt;='2. GRI Pricing Inputs'!$S$33),'2. GRI Pricing Inputs'!$R$32,IF(AND('3. GRI Pricing'!$F215&gt;='2. GRI Pricing Inputs'!$T$33,'3. GRI Pricing'!$F215&lt;='2. GRI Pricing Inputs'!$U$33),'2. GRI Pricing Inputs'!$T$32,IF(AND('3. GRI Pricing'!$F215&gt;='2. GRI Pricing Inputs'!$V$33,'3. GRI Pricing'!$F215&lt;='2. GRI Pricing Inputs'!$W$33),'2. GRI Pricing Inputs'!$V$32,IF(AND('3. GRI Pricing'!$F215&gt;='2. GRI Pricing Inputs'!$X$33,'3. GRI Pricing'!$F215&lt;='2. GRI Pricing Inputs'!$Y$33),'2. GRI Pricing Inputs'!$X$32,IF(AND('3. GRI Pricing'!$F215&gt;='2. GRI Pricing Inputs'!$Z$33,'3. GRI Pricing'!$F215&lt;='2. GRI Pricing Inputs'!$AA$33),'2. GRI Pricing Inputs'!$Z$32,IF(AND('3. GRI Pricing'!$F215&gt;='2. GRI Pricing Inputs'!$AB$33,'3. GRI Pricing'!$F215&lt;='2. GRI Pricing Inputs'!$AC$33),'2. GRI Pricing Inputs'!$AB$32,IF(AND('3. GRI Pricing'!$F215&gt;='2. GRI Pricing Inputs'!$AD$33,'3. GRI Pricing'!$F215&lt;='2. GRI Pricing Inputs'!$AE$33),'2. GRI Pricing Inputs'!$AD$32,IF(AND('3. GRI Pricing'!$F215&gt;='2. GRI Pricing Inputs'!$AF$33,'3. GRI Pricing'!$F215&lt;='2. GRI Pricing Inputs'!$AG$33),'2. GRI Pricing Inputs'!$AF$32,IF(AND('3. GRI Pricing'!$F215&gt;='2. GRI Pricing Inputs'!$AH$33,'3. GRI Pricing'!$F215&lt;='2. GRI Pricing Inputs'!$AI$33),'2. GRI Pricing Inputs'!$AH$32,0))))))))))))))))</f>
        <v>8</v>
      </c>
      <c r="N215" s="273" cm="1">
        <f t="array" ref="N215">IFERROR(INDEX('2. GRI Pricing Inputs'!$C$32:$AI$39,MATCH('3. GRI Pricing'!D215,'2. GRI Pricing Inputs'!$C$32:$C$39,0),(MATCH('3. GRI Pricing'!M215,'2. GRI Pricing Inputs'!$D$32:$AI$32,0)+1)),0)</f>
        <v>20</v>
      </c>
      <c r="O215" s="273">
        <f>IFERROR(INDEX('2. GRI Pricing Inputs'!$C$45:$AI$46,MATCH($O$16,'2. GRI Pricing Inputs'!$C$45:$C$46,0),MATCH(G215,'2. GRI Pricing Inputs'!$C$45:$AI$45,0)),0)</f>
        <v>40</v>
      </c>
      <c r="P215" s="273">
        <f>IFERROR(INDEX('2. GRI Pricing Inputs'!$C$53:$AI$54,MATCH('3. GRI Pricing'!$P$16,'2. GRI Pricing Inputs'!$C$53:$C$54,0),MATCH('3. GRI Pricing'!H215,'2. GRI Pricing Inputs'!$C$53:$AI$53,0)),0)</f>
        <v>10</v>
      </c>
      <c r="Q215" s="273">
        <f>IFERROR(INDEX('2. GRI Pricing Inputs'!$C$60:$AI$61,MATCH('3. GRI Pricing'!$Q$16,'2. GRI Pricing Inputs'!$C$60:$C$61,0),MATCH('1. Accomodation'!T219,'2. GRI Pricing Inputs'!$C$60:$AI$60,0)),0)</f>
        <v>0</v>
      </c>
      <c r="R215" s="273">
        <f>IFERROR(INDEX('2. GRI Pricing Inputs'!$C$67:$AI$68,MATCH('3. GRI Pricing'!$R$16,'2. GRI Pricing Inputs'!$C$67:$C$68,0),MATCH('1. Accomodation'!U219,'2. GRI Pricing Inputs'!$C$67:$AI$67,0)),0)</f>
        <v>0</v>
      </c>
      <c r="S215" s="273">
        <f>IF(D215=0,0,'2. GRI Pricing Inputs'!$AI$75)</f>
        <v>70</v>
      </c>
      <c r="T215" s="273">
        <f>IFERROR(INDEX('2. GRI Pricing Inputs'!$C$82:$AI$83,MATCH('3. GRI Pricing'!$T$16,'2. GRI Pricing Inputs'!$C$82:$C$83,0),MATCH('1. Accomodation'!V219,'2. GRI Pricing Inputs'!$C$82:$AI$82,0)),0)</f>
        <v>0</v>
      </c>
      <c r="U215" s="273">
        <f>IFERROR(INDEX('2. GRI Pricing Inputs'!$C$89:$AI$90,MATCH('3. GRI Pricing'!$U$16,'2. GRI Pricing Inputs'!$C$89:$C$90,0),MATCH('1. Accomodation'!W219,'2. GRI Pricing Inputs'!$C$89:$AI$89,0)),0)</f>
        <v>0</v>
      </c>
      <c r="V215" s="273">
        <f>IFERROR(INDEX('2. GRI Pricing Inputs'!$C$97:$AI$98,MATCH('3. GRI Pricing'!$V$16,'2. GRI Pricing Inputs'!$C$97:$C$98,0),MATCH('1. Accomodation'!X219,'2. GRI Pricing Inputs'!$C$97:$AI$97,0)),0)</f>
        <v>0</v>
      </c>
      <c r="W215" s="273">
        <f>IFERROR(INDEX('2. GRI Pricing Inputs'!$C$104:$AI$105,MATCH('3. GRI Pricing'!$W$16,'2. GRI Pricing Inputs'!$C$104:$C$105,0),MATCH('1. Accomodation'!Y219,'2. GRI Pricing Inputs'!$C$104:$AI$104,0)),0)</f>
        <v>0</v>
      </c>
      <c r="X215" s="274">
        <v>0</v>
      </c>
      <c r="Y215" s="275">
        <f t="shared" si="10"/>
        <v>1250</v>
      </c>
      <c r="Z215" s="276"/>
      <c r="AA215" s="276"/>
      <c r="AB215" s="276"/>
      <c r="AC215" s="272">
        <f>Y215*(1+'2. GRI Pricing Inputs'!$D$114)^(($AC$16-$AB$15)/365)</f>
        <v>1254.1707855764162</v>
      </c>
      <c r="AD215" s="273">
        <f>AC215*(1+'2. GRI Pricing Inputs'!$D$114)^((AD$16-AC$16)/365)</f>
        <v>1258.2202794377204</v>
      </c>
      <c r="AE215" s="273">
        <f>AD215*(1+'2. GRI Pricing Inputs'!$D$114)^((AE$16-AD$16)/365)</f>
        <v>1262.4184930324668</v>
      </c>
      <c r="AF215" s="273">
        <f>AE215*(1+'2. GRI Pricing Inputs'!$D$114)^((AF$16-AE$16)/365)</f>
        <v>1266.6307145061794</v>
      </c>
      <c r="AG215" s="273">
        <f>AF215*(1+'2. GRI Pricing Inputs'!$D$114)^((AG$16-AF$16)/365)</f>
        <v>1270.5839025873047</v>
      </c>
      <c r="AH215" s="273">
        <f>AG215*(1+'2. GRI Pricing Inputs'!$D$114)^((AH$16-AG$16)/365)</f>
        <v>1274.8233689989349</v>
      </c>
      <c r="AI215" s="273">
        <f>AH215*(1+'2. GRI Pricing Inputs'!$D$114)^((AI$16-AH$16)/365)</f>
        <v>1278.9395463699743</v>
      </c>
      <c r="AJ215" s="273">
        <f>AI215*(1+'2. GRI Pricing Inputs'!$D$114)^((AJ$16-AI$16)/365)</f>
        <v>1283.2068924604607</v>
      </c>
      <c r="AK215" s="273">
        <f>AJ215*(1+'2. GRI Pricing Inputs'!$D$114)^((AK$16-AJ$16)/365)</f>
        <v>1287.3501387340643</v>
      </c>
      <c r="AL215" s="273">
        <f>AK215*(1+'2. GRI Pricing Inputs'!$D$114)^((AL$16-AK$16)/365)</f>
        <v>1291.6455478464079</v>
      </c>
      <c r="AM215" s="273">
        <f>AL215*(1+'2. GRI Pricing Inputs'!$D$114)^((AM$16-AL$16)/365)</f>
        <v>1295.9552891430478</v>
      </c>
      <c r="AN215" s="273">
        <f>AM215*(1+'2. GRI Pricing Inputs'!$D$114)^((AN$16-AM$16)/365)</f>
        <v>1300.1396977166357</v>
      </c>
      <c r="AO215" s="273">
        <f>AN215*(1+'2. GRI Pricing Inputs'!$D$114)^((AO$16-AN$16)/365)</f>
        <v>1304.4777808354859</v>
      </c>
    </row>
    <row r="216" spans="3:41" ht="12" x14ac:dyDescent="0.2">
      <c r="C216" s="76" t="str">
        <f>'1. Accomodation'!N220</f>
        <v>205W</v>
      </c>
      <c r="D216" s="69" t="str">
        <f>'1. Accomodation'!P220</f>
        <v>2 Bed</v>
      </c>
      <c r="E216" s="69">
        <f>'1. Accomodation'!Q220</f>
        <v>2</v>
      </c>
      <c r="F216" s="77">
        <f>'1. Accomodation'!O220</f>
        <v>678</v>
      </c>
      <c r="G216" s="69">
        <f>'1. Accomodation'!R220</f>
        <v>2</v>
      </c>
      <c r="H216" s="69" t="str">
        <f>'1. Accomodation'!S220</f>
        <v>Railway Bridge</v>
      </c>
      <c r="I216" s="62"/>
      <c r="K216" s="272">
        <f>IFERROR(INDEX('2. GRI Pricing Inputs'!$C$15:$AI$16,MATCH($K$16,'2. GRI Pricing Inputs'!$C$15:$C$16,0),MATCH(D216,'2. GRI Pricing Inputs'!$C$15:$AI$15,0)),0)</f>
        <v>1110</v>
      </c>
      <c r="L216" s="273">
        <f>IFERROR(INDEX('2. GRI Pricing Inputs'!$C$22:$AI$23,MATCH($L$16,'2. GRI Pricing Inputs'!$C$22:$C$23,0),MATCH(E216,'2. GRI Pricing Inputs'!$C$22:$AI$22,0)),0)</f>
        <v>0</v>
      </c>
      <c r="M216" s="328">
        <f>IF(AND('3. GRI Pricing'!$F216&gt;='2. GRI Pricing Inputs'!$D$33,'3. GRI Pricing'!$F216&lt;='2. GRI Pricing Inputs'!$E$33),'2. GRI Pricing Inputs'!$D$32,IF(AND('3. GRI Pricing'!$F216&gt;='2. GRI Pricing Inputs'!$F$33,'3. GRI Pricing'!$F216&lt;='2. GRI Pricing Inputs'!$G$33),'2. GRI Pricing Inputs'!$F$32,IF(AND('3. GRI Pricing'!$F216&gt;='2. GRI Pricing Inputs'!$H$33,'3. GRI Pricing'!$F216&lt;='2. GRI Pricing Inputs'!$I$33),'2. GRI Pricing Inputs'!$H$32,IF(AND('3. GRI Pricing'!$F216&gt;='2. GRI Pricing Inputs'!$J$33,'3. GRI Pricing'!$F216&lt;='2. GRI Pricing Inputs'!$K$33),'2. GRI Pricing Inputs'!$J$32,IF(AND('3. GRI Pricing'!$F216&gt;='2. GRI Pricing Inputs'!$L$33,'3. GRI Pricing'!$F216&lt;='2. GRI Pricing Inputs'!$M$33),'2. GRI Pricing Inputs'!$L$32,IF(AND('3. GRI Pricing'!$F216&gt;='2. GRI Pricing Inputs'!$N$33,'3. GRI Pricing'!$F216&lt;='2. GRI Pricing Inputs'!$O$33),'2. GRI Pricing Inputs'!$N$32,IF(AND('3. GRI Pricing'!$F216&gt;='2. GRI Pricing Inputs'!$P$33,'3. GRI Pricing'!$F216&lt;='2. GRI Pricing Inputs'!$Q$33),'2. GRI Pricing Inputs'!$P$32,IF(AND('3. GRI Pricing'!$F216&gt;='2. GRI Pricing Inputs'!$R$33,'3. GRI Pricing'!$F216&lt;='2. GRI Pricing Inputs'!$S$33),'2. GRI Pricing Inputs'!$R$32,IF(AND('3. GRI Pricing'!$F216&gt;='2. GRI Pricing Inputs'!$T$33,'3. GRI Pricing'!$F216&lt;='2. GRI Pricing Inputs'!$U$33),'2. GRI Pricing Inputs'!$T$32,IF(AND('3. GRI Pricing'!$F216&gt;='2. GRI Pricing Inputs'!$V$33,'3. GRI Pricing'!$F216&lt;='2. GRI Pricing Inputs'!$W$33),'2. GRI Pricing Inputs'!$V$32,IF(AND('3. GRI Pricing'!$F216&gt;='2. GRI Pricing Inputs'!$X$33,'3. GRI Pricing'!$F216&lt;='2. GRI Pricing Inputs'!$Y$33),'2. GRI Pricing Inputs'!$X$32,IF(AND('3. GRI Pricing'!$F216&gt;='2. GRI Pricing Inputs'!$Z$33,'3. GRI Pricing'!$F216&lt;='2. GRI Pricing Inputs'!$AA$33),'2. GRI Pricing Inputs'!$Z$32,IF(AND('3. GRI Pricing'!$F216&gt;='2. GRI Pricing Inputs'!$AB$33,'3. GRI Pricing'!$F216&lt;='2. GRI Pricing Inputs'!$AC$33),'2. GRI Pricing Inputs'!$AB$32,IF(AND('3. GRI Pricing'!$F216&gt;='2. GRI Pricing Inputs'!$AD$33,'3. GRI Pricing'!$F216&lt;='2. GRI Pricing Inputs'!$AE$33),'2. GRI Pricing Inputs'!$AD$32,IF(AND('3. GRI Pricing'!$F216&gt;='2. GRI Pricing Inputs'!$AF$33,'3. GRI Pricing'!$F216&lt;='2. GRI Pricing Inputs'!$AG$33),'2. GRI Pricing Inputs'!$AF$32,IF(AND('3. GRI Pricing'!$F216&gt;='2. GRI Pricing Inputs'!$AH$33,'3. GRI Pricing'!$F216&lt;='2. GRI Pricing Inputs'!$AI$33),'2. GRI Pricing Inputs'!$AH$32,0))))))))))))))))</f>
        <v>10</v>
      </c>
      <c r="N216" s="273" cm="1">
        <f t="array" ref="N216">IFERROR(INDEX('2. GRI Pricing Inputs'!$C$32:$AI$39,MATCH('3. GRI Pricing'!D216,'2. GRI Pricing Inputs'!$C$32:$C$39,0),(MATCH('3. GRI Pricing'!M216,'2. GRI Pricing Inputs'!$D$32:$AI$32,0)+1)),0)</f>
        <v>40</v>
      </c>
      <c r="O216" s="273">
        <f>IFERROR(INDEX('2. GRI Pricing Inputs'!$C$45:$AI$46,MATCH($O$16,'2. GRI Pricing Inputs'!$C$45:$C$46,0),MATCH(G216,'2. GRI Pricing Inputs'!$C$45:$AI$45,0)),0)</f>
        <v>40</v>
      </c>
      <c r="P216" s="273">
        <f>IFERROR(INDEX('2. GRI Pricing Inputs'!$C$53:$AI$54,MATCH('3. GRI Pricing'!$P$16,'2. GRI Pricing Inputs'!$C$53:$C$54,0),MATCH('3. GRI Pricing'!H216,'2. GRI Pricing Inputs'!$C$53:$AI$53,0)),0)</f>
        <v>10</v>
      </c>
      <c r="Q216" s="273">
        <f>IFERROR(INDEX('2. GRI Pricing Inputs'!$C$60:$AI$61,MATCH('3. GRI Pricing'!$Q$16,'2. GRI Pricing Inputs'!$C$60:$C$61,0),MATCH('1. Accomodation'!T220,'2. GRI Pricing Inputs'!$C$60:$AI$60,0)),0)</f>
        <v>0</v>
      </c>
      <c r="R216" s="273">
        <f>IFERROR(INDEX('2. GRI Pricing Inputs'!$C$67:$AI$68,MATCH('3. GRI Pricing'!$R$16,'2. GRI Pricing Inputs'!$C$67:$C$68,0),MATCH('1. Accomodation'!U220,'2. GRI Pricing Inputs'!$C$67:$AI$67,0)),0)</f>
        <v>0</v>
      </c>
      <c r="S216" s="273">
        <f>IF(D216=0,0,'2. GRI Pricing Inputs'!$AI$75)</f>
        <v>70</v>
      </c>
      <c r="T216" s="273">
        <f>IFERROR(INDEX('2. GRI Pricing Inputs'!$C$82:$AI$83,MATCH('3. GRI Pricing'!$T$16,'2. GRI Pricing Inputs'!$C$82:$C$83,0),MATCH('1. Accomodation'!V220,'2. GRI Pricing Inputs'!$C$82:$AI$82,0)),0)</f>
        <v>0</v>
      </c>
      <c r="U216" s="273">
        <f>IFERROR(INDEX('2. GRI Pricing Inputs'!$C$89:$AI$90,MATCH('3. GRI Pricing'!$U$16,'2. GRI Pricing Inputs'!$C$89:$C$90,0),MATCH('1. Accomodation'!W220,'2. GRI Pricing Inputs'!$C$89:$AI$89,0)),0)</f>
        <v>0</v>
      </c>
      <c r="V216" s="273">
        <f>IFERROR(INDEX('2. GRI Pricing Inputs'!$C$97:$AI$98,MATCH('3. GRI Pricing'!$V$16,'2. GRI Pricing Inputs'!$C$97:$C$98,0),MATCH('1. Accomodation'!X220,'2. GRI Pricing Inputs'!$C$97:$AI$97,0)),0)</f>
        <v>0</v>
      </c>
      <c r="W216" s="273">
        <f>IFERROR(INDEX('2. GRI Pricing Inputs'!$C$104:$AI$105,MATCH('3. GRI Pricing'!$W$16,'2. GRI Pricing Inputs'!$C$104:$C$105,0),MATCH('1. Accomodation'!Y220,'2. GRI Pricing Inputs'!$C$104:$AI$104,0)),0)</f>
        <v>0</v>
      </c>
      <c r="X216" s="274">
        <v>0</v>
      </c>
      <c r="Y216" s="275">
        <f t="shared" si="10"/>
        <v>1270</v>
      </c>
      <c r="Z216" s="276"/>
      <c r="AA216" s="276"/>
      <c r="AB216" s="276"/>
      <c r="AC216" s="272">
        <f>Y216*(1+'2. GRI Pricing Inputs'!$D$114)^(($AC$16-$AB$15)/365)</f>
        <v>1274.2375181456389</v>
      </c>
      <c r="AD216" s="273">
        <f>AC216*(1+'2. GRI Pricing Inputs'!$D$114)^((AD$16-AC$16)/365)</f>
        <v>1278.3518039087239</v>
      </c>
      <c r="AE216" s="273">
        <f>AD216*(1+'2. GRI Pricing Inputs'!$D$114)^((AE$16-AD$16)/365)</f>
        <v>1282.6171889209863</v>
      </c>
      <c r="AF216" s="273">
        <f>AE216*(1+'2. GRI Pricing Inputs'!$D$114)^((AF$16-AE$16)/365)</f>
        <v>1286.8968059382785</v>
      </c>
      <c r="AG216" s="273">
        <f>AF216*(1+'2. GRI Pricing Inputs'!$D$114)^((AG$16-AF$16)/365)</f>
        <v>1290.9132450287018</v>
      </c>
      <c r="AH216" s="273">
        <f>AG216*(1+'2. GRI Pricing Inputs'!$D$114)^((AH$16-AG$16)/365)</f>
        <v>1295.2205429029179</v>
      </c>
      <c r="AI216" s="273">
        <f>AH216*(1+'2. GRI Pricing Inputs'!$D$114)^((AI$16-AH$16)/365)</f>
        <v>1299.4025791118941</v>
      </c>
      <c r="AJ216" s="273">
        <f>AI216*(1+'2. GRI Pricing Inputs'!$D$114)^((AJ$16-AI$16)/365)</f>
        <v>1303.7382027398282</v>
      </c>
      <c r="AK216" s="273">
        <f>AJ216*(1+'2. GRI Pricing Inputs'!$D$114)^((AK$16-AJ$16)/365)</f>
        <v>1307.9477409538094</v>
      </c>
      <c r="AL216" s="273">
        <f>AK216*(1+'2. GRI Pricing Inputs'!$D$114)^((AL$16-AK$16)/365)</f>
        <v>1312.3118766119505</v>
      </c>
      <c r="AM216" s="273">
        <f>AL216*(1+'2. GRI Pricing Inputs'!$D$114)^((AM$16-AL$16)/365)</f>
        <v>1316.6905737693367</v>
      </c>
      <c r="AN216" s="273">
        <f>AM216*(1+'2. GRI Pricing Inputs'!$D$114)^((AN$16-AM$16)/365)</f>
        <v>1320.9419328801021</v>
      </c>
      <c r="AO216" s="273">
        <f>AN216*(1+'2. GRI Pricing Inputs'!$D$114)^((AO$16-AN$16)/365)</f>
        <v>1325.3494253288538</v>
      </c>
    </row>
    <row r="217" spans="3:41" ht="12" x14ac:dyDescent="0.2">
      <c r="C217" s="76" t="str">
        <f>'1. Accomodation'!N221</f>
        <v>206W</v>
      </c>
      <c r="D217" s="69" t="str">
        <f>'1. Accomodation'!P221</f>
        <v>1 Bed</v>
      </c>
      <c r="E217" s="69">
        <f>'1. Accomodation'!Q221</f>
        <v>1</v>
      </c>
      <c r="F217" s="77">
        <f>'1. Accomodation'!O221</f>
        <v>506</v>
      </c>
      <c r="G217" s="69">
        <f>'1. Accomodation'!R221</f>
        <v>2</v>
      </c>
      <c r="H217" s="69" t="str">
        <f>'1. Accomodation'!S221</f>
        <v>Railway Bridge</v>
      </c>
      <c r="I217" s="62"/>
      <c r="K217" s="272">
        <f>IFERROR(INDEX('2. GRI Pricing Inputs'!$C$15:$AI$16,MATCH($K$16,'2. GRI Pricing Inputs'!$C$15:$C$16,0),MATCH(D217,'2. GRI Pricing Inputs'!$C$15:$AI$15,0)),0)</f>
        <v>845</v>
      </c>
      <c r="L217" s="273">
        <f>IFERROR(INDEX('2. GRI Pricing Inputs'!$C$22:$AI$23,MATCH($L$16,'2. GRI Pricing Inputs'!$C$22:$C$23,0),MATCH(E217,'2. GRI Pricing Inputs'!$C$22:$AI$22,0)),0)</f>
        <v>0</v>
      </c>
      <c r="M217" s="328">
        <f>IF(AND('3. GRI Pricing'!$F217&gt;='2. GRI Pricing Inputs'!$D$33,'3. GRI Pricing'!$F217&lt;='2. GRI Pricing Inputs'!$E$33),'2. GRI Pricing Inputs'!$D$32,IF(AND('3. GRI Pricing'!$F217&gt;='2. GRI Pricing Inputs'!$F$33,'3. GRI Pricing'!$F217&lt;='2. GRI Pricing Inputs'!$G$33),'2. GRI Pricing Inputs'!$F$32,IF(AND('3. GRI Pricing'!$F217&gt;='2. GRI Pricing Inputs'!$H$33,'3. GRI Pricing'!$F217&lt;='2. GRI Pricing Inputs'!$I$33),'2. GRI Pricing Inputs'!$H$32,IF(AND('3. GRI Pricing'!$F217&gt;='2. GRI Pricing Inputs'!$J$33,'3. GRI Pricing'!$F217&lt;='2. GRI Pricing Inputs'!$K$33),'2. GRI Pricing Inputs'!$J$32,IF(AND('3. GRI Pricing'!$F217&gt;='2. GRI Pricing Inputs'!$L$33,'3. GRI Pricing'!$F217&lt;='2. GRI Pricing Inputs'!$M$33),'2. GRI Pricing Inputs'!$L$32,IF(AND('3. GRI Pricing'!$F217&gt;='2. GRI Pricing Inputs'!$N$33,'3. GRI Pricing'!$F217&lt;='2. GRI Pricing Inputs'!$O$33),'2. GRI Pricing Inputs'!$N$32,IF(AND('3. GRI Pricing'!$F217&gt;='2. GRI Pricing Inputs'!$P$33,'3. GRI Pricing'!$F217&lt;='2. GRI Pricing Inputs'!$Q$33),'2. GRI Pricing Inputs'!$P$32,IF(AND('3. GRI Pricing'!$F217&gt;='2. GRI Pricing Inputs'!$R$33,'3. GRI Pricing'!$F217&lt;='2. GRI Pricing Inputs'!$S$33),'2. GRI Pricing Inputs'!$R$32,IF(AND('3. GRI Pricing'!$F217&gt;='2. GRI Pricing Inputs'!$T$33,'3. GRI Pricing'!$F217&lt;='2. GRI Pricing Inputs'!$U$33),'2. GRI Pricing Inputs'!$T$32,IF(AND('3. GRI Pricing'!$F217&gt;='2. GRI Pricing Inputs'!$V$33,'3. GRI Pricing'!$F217&lt;='2. GRI Pricing Inputs'!$W$33),'2. GRI Pricing Inputs'!$V$32,IF(AND('3. GRI Pricing'!$F217&gt;='2. GRI Pricing Inputs'!$X$33,'3. GRI Pricing'!$F217&lt;='2. GRI Pricing Inputs'!$Y$33),'2. GRI Pricing Inputs'!$X$32,IF(AND('3. GRI Pricing'!$F217&gt;='2. GRI Pricing Inputs'!$Z$33,'3. GRI Pricing'!$F217&lt;='2. GRI Pricing Inputs'!$AA$33),'2. GRI Pricing Inputs'!$Z$32,IF(AND('3. GRI Pricing'!$F217&gt;='2. GRI Pricing Inputs'!$AB$33,'3. GRI Pricing'!$F217&lt;='2. GRI Pricing Inputs'!$AC$33),'2. GRI Pricing Inputs'!$AB$32,IF(AND('3. GRI Pricing'!$F217&gt;='2. GRI Pricing Inputs'!$AD$33,'3. GRI Pricing'!$F217&lt;='2. GRI Pricing Inputs'!$AE$33),'2. GRI Pricing Inputs'!$AD$32,IF(AND('3. GRI Pricing'!$F217&gt;='2. GRI Pricing Inputs'!$AF$33,'3. GRI Pricing'!$F217&lt;='2. GRI Pricing Inputs'!$AG$33),'2. GRI Pricing Inputs'!$AF$32,IF(AND('3. GRI Pricing'!$F217&gt;='2. GRI Pricing Inputs'!$AH$33,'3. GRI Pricing'!$F217&lt;='2. GRI Pricing Inputs'!$AI$33),'2. GRI Pricing Inputs'!$AH$32,0))))))))))))))))</f>
        <v>2</v>
      </c>
      <c r="N217" s="273" cm="1">
        <f t="array" ref="N217">IFERROR(INDEX('2. GRI Pricing Inputs'!$C$32:$AI$39,MATCH('3. GRI Pricing'!D217,'2. GRI Pricing Inputs'!$C$32:$C$39,0),(MATCH('3. GRI Pricing'!M217,'2. GRI Pricing Inputs'!$D$32:$AI$32,0)+1)),0)</f>
        <v>15</v>
      </c>
      <c r="O217" s="273">
        <f>IFERROR(INDEX('2. GRI Pricing Inputs'!$C$45:$AI$46,MATCH($O$16,'2. GRI Pricing Inputs'!$C$45:$C$46,0),MATCH(G217,'2. GRI Pricing Inputs'!$C$45:$AI$45,0)),0)</f>
        <v>40</v>
      </c>
      <c r="P217" s="273">
        <f>IFERROR(INDEX('2. GRI Pricing Inputs'!$C$53:$AI$54,MATCH('3. GRI Pricing'!$P$16,'2. GRI Pricing Inputs'!$C$53:$C$54,0),MATCH('3. GRI Pricing'!H217,'2. GRI Pricing Inputs'!$C$53:$AI$53,0)),0)</f>
        <v>10</v>
      </c>
      <c r="Q217" s="273">
        <f>IFERROR(INDEX('2. GRI Pricing Inputs'!$C$60:$AI$61,MATCH('3. GRI Pricing'!$Q$16,'2. GRI Pricing Inputs'!$C$60:$C$61,0),MATCH('1. Accomodation'!T221,'2. GRI Pricing Inputs'!$C$60:$AI$60,0)),0)</f>
        <v>0</v>
      </c>
      <c r="R217" s="273">
        <f>IFERROR(INDEX('2. GRI Pricing Inputs'!$C$67:$AI$68,MATCH('3. GRI Pricing'!$R$16,'2. GRI Pricing Inputs'!$C$67:$C$68,0),MATCH('1. Accomodation'!U221,'2. GRI Pricing Inputs'!$C$67:$AI$67,0)),0)</f>
        <v>0</v>
      </c>
      <c r="S217" s="273">
        <f>IF(D217=0,0,'2. GRI Pricing Inputs'!$AI$75)</f>
        <v>70</v>
      </c>
      <c r="T217" s="273">
        <f>IFERROR(INDEX('2. GRI Pricing Inputs'!$C$82:$AI$83,MATCH('3. GRI Pricing'!$T$16,'2. GRI Pricing Inputs'!$C$82:$C$83,0),MATCH('1. Accomodation'!V221,'2. GRI Pricing Inputs'!$C$82:$AI$82,0)),0)</f>
        <v>0</v>
      </c>
      <c r="U217" s="273">
        <f>IFERROR(INDEX('2. GRI Pricing Inputs'!$C$89:$AI$90,MATCH('3. GRI Pricing'!$U$16,'2. GRI Pricing Inputs'!$C$89:$C$90,0),MATCH('1. Accomodation'!W221,'2. GRI Pricing Inputs'!$C$89:$AI$89,0)),0)</f>
        <v>0</v>
      </c>
      <c r="V217" s="273">
        <f>IFERROR(INDEX('2. GRI Pricing Inputs'!$C$97:$AI$98,MATCH('3. GRI Pricing'!$V$16,'2. GRI Pricing Inputs'!$C$97:$C$98,0),MATCH('1. Accomodation'!X221,'2. GRI Pricing Inputs'!$C$97:$AI$97,0)),0)</f>
        <v>0</v>
      </c>
      <c r="W217" s="273">
        <f>IFERROR(INDEX('2. GRI Pricing Inputs'!$C$104:$AI$105,MATCH('3. GRI Pricing'!$W$16,'2. GRI Pricing Inputs'!$C$104:$C$105,0),MATCH('1. Accomodation'!Y221,'2. GRI Pricing Inputs'!$C$104:$AI$104,0)),0)</f>
        <v>0</v>
      </c>
      <c r="X217" s="274">
        <v>0</v>
      </c>
      <c r="Y217" s="275">
        <f t="shared" si="10"/>
        <v>980</v>
      </c>
      <c r="Z217" s="276"/>
      <c r="AA217" s="276"/>
      <c r="AB217" s="276"/>
      <c r="AC217" s="272">
        <f>Y217*(1+'2. GRI Pricing Inputs'!$D$114)^(($AC$16-$AB$15)/365)</f>
        <v>983.26989589191021</v>
      </c>
      <c r="AD217" s="273">
        <f>AC217*(1+'2. GRI Pricing Inputs'!$D$114)^((AD$16-AC$16)/365)</f>
        <v>986.44469907917266</v>
      </c>
      <c r="AE217" s="273">
        <f>AD217*(1+'2. GRI Pricing Inputs'!$D$114)^((AE$16-AD$16)/365)</f>
        <v>989.73609853745393</v>
      </c>
      <c r="AF217" s="273">
        <f>AE217*(1+'2. GRI Pricing Inputs'!$D$114)^((AF$16-AE$16)/365)</f>
        <v>993.03848017284463</v>
      </c>
      <c r="AG217" s="273">
        <f>AF217*(1+'2. GRI Pricing Inputs'!$D$114)^((AG$16-AF$16)/365)</f>
        <v>996.13777962844688</v>
      </c>
      <c r="AH217" s="273">
        <f>AG217*(1+'2. GRI Pricing Inputs'!$D$114)^((AH$16-AG$16)/365)</f>
        <v>999.46152129516486</v>
      </c>
      <c r="AI217" s="273">
        <f>AH217*(1+'2. GRI Pricing Inputs'!$D$114)^((AI$16-AH$16)/365)</f>
        <v>1002.6886043540597</v>
      </c>
      <c r="AJ217" s="273">
        <f>AI217*(1+'2. GRI Pricing Inputs'!$D$114)^((AJ$16-AI$16)/365)</f>
        <v>1006.0342036890012</v>
      </c>
      <c r="AK217" s="273">
        <f>AJ217*(1+'2. GRI Pricing Inputs'!$D$114)^((AK$16-AJ$16)/365)</f>
        <v>1009.2825087675063</v>
      </c>
      <c r="AL217" s="273">
        <f>AK217*(1+'2. GRI Pricing Inputs'!$D$114)^((AL$16-AK$16)/365)</f>
        <v>1012.6501095115837</v>
      </c>
      <c r="AM217" s="273">
        <f>AL217*(1+'2. GRI Pricing Inputs'!$D$114)^((AM$16-AL$16)/365)</f>
        <v>1016.0289466881494</v>
      </c>
      <c r="AN217" s="273">
        <f>AM217*(1+'2. GRI Pricing Inputs'!$D$114)^((AN$16-AM$16)/365)</f>
        <v>1019.3095230098423</v>
      </c>
      <c r="AO217" s="273">
        <f>AN217*(1+'2. GRI Pricing Inputs'!$D$114)^((AO$16-AN$16)/365)</f>
        <v>1022.7105801750208</v>
      </c>
    </row>
    <row r="218" spans="3:41" ht="12" x14ac:dyDescent="0.2">
      <c r="C218" s="76" t="str">
        <f>'1. Accomodation'!N222</f>
        <v>207W</v>
      </c>
      <c r="D218" s="69" t="str">
        <f>'1. Accomodation'!P222</f>
        <v>1 Bed</v>
      </c>
      <c r="E218" s="69">
        <f>'1. Accomodation'!Q222</f>
        <v>1</v>
      </c>
      <c r="F218" s="77">
        <f>'1. Accomodation'!O222</f>
        <v>474</v>
      </c>
      <c r="G218" s="69">
        <f>'1. Accomodation'!R222</f>
        <v>2</v>
      </c>
      <c r="H218" s="69" t="str">
        <f>'1. Accomodation'!S222</f>
        <v>Pottery Lane</v>
      </c>
      <c r="I218" s="62"/>
      <c r="K218" s="272">
        <f>IFERROR(INDEX('2. GRI Pricing Inputs'!$C$15:$AI$16,MATCH($K$16,'2. GRI Pricing Inputs'!$C$15:$C$16,0),MATCH(D218,'2. GRI Pricing Inputs'!$C$15:$AI$15,0)),0)</f>
        <v>845</v>
      </c>
      <c r="L218" s="273">
        <f>IFERROR(INDEX('2. GRI Pricing Inputs'!$C$22:$AI$23,MATCH($L$16,'2. GRI Pricing Inputs'!$C$22:$C$23,0),MATCH(E218,'2. GRI Pricing Inputs'!$C$22:$AI$22,0)),0)</f>
        <v>0</v>
      </c>
      <c r="M218" s="328">
        <f>IF(AND('3. GRI Pricing'!$F218&gt;='2. GRI Pricing Inputs'!$D$33,'3. GRI Pricing'!$F218&lt;='2. GRI Pricing Inputs'!$E$33),'2. GRI Pricing Inputs'!$D$32,IF(AND('3. GRI Pricing'!$F218&gt;='2. GRI Pricing Inputs'!$F$33,'3. GRI Pricing'!$F218&lt;='2. GRI Pricing Inputs'!$G$33),'2. GRI Pricing Inputs'!$F$32,IF(AND('3. GRI Pricing'!$F218&gt;='2. GRI Pricing Inputs'!$H$33,'3. GRI Pricing'!$F218&lt;='2. GRI Pricing Inputs'!$I$33),'2. GRI Pricing Inputs'!$H$32,IF(AND('3. GRI Pricing'!$F218&gt;='2. GRI Pricing Inputs'!$J$33,'3. GRI Pricing'!$F218&lt;='2. GRI Pricing Inputs'!$K$33),'2. GRI Pricing Inputs'!$J$32,IF(AND('3. GRI Pricing'!$F218&gt;='2. GRI Pricing Inputs'!$L$33,'3. GRI Pricing'!$F218&lt;='2. GRI Pricing Inputs'!$M$33),'2. GRI Pricing Inputs'!$L$32,IF(AND('3. GRI Pricing'!$F218&gt;='2. GRI Pricing Inputs'!$N$33,'3. GRI Pricing'!$F218&lt;='2. GRI Pricing Inputs'!$O$33),'2. GRI Pricing Inputs'!$N$32,IF(AND('3. GRI Pricing'!$F218&gt;='2. GRI Pricing Inputs'!$P$33,'3. GRI Pricing'!$F218&lt;='2. GRI Pricing Inputs'!$Q$33),'2. GRI Pricing Inputs'!$P$32,IF(AND('3. GRI Pricing'!$F218&gt;='2. GRI Pricing Inputs'!$R$33,'3. GRI Pricing'!$F218&lt;='2. GRI Pricing Inputs'!$S$33),'2. GRI Pricing Inputs'!$R$32,IF(AND('3. GRI Pricing'!$F218&gt;='2. GRI Pricing Inputs'!$T$33,'3. GRI Pricing'!$F218&lt;='2. GRI Pricing Inputs'!$U$33),'2. GRI Pricing Inputs'!$T$32,IF(AND('3. GRI Pricing'!$F218&gt;='2. GRI Pricing Inputs'!$V$33,'3. GRI Pricing'!$F218&lt;='2. GRI Pricing Inputs'!$W$33),'2. GRI Pricing Inputs'!$V$32,IF(AND('3. GRI Pricing'!$F218&gt;='2. GRI Pricing Inputs'!$X$33,'3. GRI Pricing'!$F218&lt;='2. GRI Pricing Inputs'!$Y$33),'2. GRI Pricing Inputs'!$X$32,IF(AND('3. GRI Pricing'!$F218&gt;='2. GRI Pricing Inputs'!$Z$33,'3. GRI Pricing'!$F218&lt;='2. GRI Pricing Inputs'!$AA$33),'2. GRI Pricing Inputs'!$Z$32,IF(AND('3. GRI Pricing'!$F218&gt;='2. GRI Pricing Inputs'!$AB$33,'3. GRI Pricing'!$F218&lt;='2. GRI Pricing Inputs'!$AC$33),'2. GRI Pricing Inputs'!$AB$32,IF(AND('3. GRI Pricing'!$F218&gt;='2. GRI Pricing Inputs'!$AD$33,'3. GRI Pricing'!$F218&lt;='2. GRI Pricing Inputs'!$AE$33),'2. GRI Pricing Inputs'!$AD$32,IF(AND('3. GRI Pricing'!$F218&gt;='2. GRI Pricing Inputs'!$AF$33,'3. GRI Pricing'!$F218&lt;='2. GRI Pricing Inputs'!$AG$33),'2. GRI Pricing Inputs'!$AF$32,IF(AND('3. GRI Pricing'!$F218&gt;='2. GRI Pricing Inputs'!$AH$33,'3. GRI Pricing'!$F218&lt;='2. GRI Pricing Inputs'!$AI$33),'2. GRI Pricing Inputs'!$AH$32,0))))))))))))))))</f>
        <v>0</v>
      </c>
      <c r="N218" s="273" cm="1">
        <f t="array" ref="N218">IFERROR(INDEX('2. GRI Pricing Inputs'!$C$32:$AI$39,MATCH('3. GRI Pricing'!D218,'2. GRI Pricing Inputs'!$C$32:$C$39,0),(MATCH('3. GRI Pricing'!M218,'2. GRI Pricing Inputs'!$D$32:$AI$32,0)+1)),0)</f>
        <v>0</v>
      </c>
      <c r="O218" s="273">
        <f>IFERROR(INDEX('2. GRI Pricing Inputs'!$C$45:$AI$46,MATCH($O$16,'2. GRI Pricing Inputs'!$C$45:$C$46,0),MATCH(G218,'2. GRI Pricing Inputs'!$C$45:$AI$45,0)),0)</f>
        <v>40</v>
      </c>
      <c r="P218" s="273">
        <f>IFERROR(INDEX('2. GRI Pricing Inputs'!$C$53:$AI$54,MATCH('3. GRI Pricing'!$P$16,'2. GRI Pricing Inputs'!$C$53:$C$54,0),MATCH('3. GRI Pricing'!H218,'2. GRI Pricing Inputs'!$C$53:$AI$53,0)),0)</f>
        <v>10</v>
      </c>
      <c r="Q218" s="273">
        <f>IFERROR(INDEX('2. GRI Pricing Inputs'!$C$60:$AI$61,MATCH('3. GRI Pricing'!$Q$16,'2. GRI Pricing Inputs'!$C$60:$C$61,0),MATCH('1. Accomodation'!T222,'2. GRI Pricing Inputs'!$C$60:$AI$60,0)),0)</f>
        <v>0</v>
      </c>
      <c r="R218" s="273">
        <f>IFERROR(INDEX('2. GRI Pricing Inputs'!$C$67:$AI$68,MATCH('3. GRI Pricing'!$R$16,'2. GRI Pricing Inputs'!$C$67:$C$68,0),MATCH('1. Accomodation'!U222,'2. GRI Pricing Inputs'!$C$67:$AI$67,0)),0)</f>
        <v>0</v>
      </c>
      <c r="S218" s="273">
        <f>IF(D218=0,0,'2. GRI Pricing Inputs'!$AI$75)</f>
        <v>70</v>
      </c>
      <c r="T218" s="273">
        <f>IFERROR(INDEX('2. GRI Pricing Inputs'!$C$82:$AI$83,MATCH('3. GRI Pricing'!$T$16,'2. GRI Pricing Inputs'!$C$82:$C$83,0),MATCH('1. Accomodation'!V222,'2. GRI Pricing Inputs'!$C$82:$AI$82,0)),0)</f>
        <v>0</v>
      </c>
      <c r="U218" s="273">
        <f>IFERROR(INDEX('2. GRI Pricing Inputs'!$C$89:$AI$90,MATCH('3. GRI Pricing'!$U$16,'2. GRI Pricing Inputs'!$C$89:$C$90,0),MATCH('1. Accomodation'!W222,'2. GRI Pricing Inputs'!$C$89:$AI$89,0)),0)</f>
        <v>0</v>
      </c>
      <c r="V218" s="273">
        <f>IFERROR(INDEX('2. GRI Pricing Inputs'!$C$97:$AI$98,MATCH('3. GRI Pricing'!$V$16,'2. GRI Pricing Inputs'!$C$97:$C$98,0),MATCH('1. Accomodation'!X222,'2. GRI Pricing Inputs'!$C$97:$AI$97,0)),0)</f>
        <v>0</v>
      </c>
      <c r="W218" s="273">
        <f>IFERROR(INDEX('2. GRI Pricing Inputs'!$C$104:$AI$105,MATCH('3. GRI Pricing'!$W$16,'2. GRI Pricing Inputs'!$C$104:$C$105,0),MATCH('1. Accomodation'!Y222,'2. GRI Pricing Inputs'!$C$104:$AI$104,0)),0)</f>
        <v>0</v>
      </c>
      <c r="X218" s="274">
        <v>0</v>
      </c>
      <c r="Y218" s="275">
        <f t="shared" si="10"/>
        <v>965</v>
      </c>
      <c r="Z218" s="276"/>
      <c r="AA218" s="276"/>
      <c r="AB218" s="276"/>
      <c r="AC218" s="272">
        <f>Y218*(1+'2. GRI Pricing Inputs'!$D$114)^(($AC$16-$AB$15)/365)</f>
        <v>968.21984646499322</v>
      </c>
      <c r="AD218" s="273">
        <f>AC218*(1+'2. GRI Pricing Inputs'!$D$114)^((AD$16-AC$16)/365)</f>
        <v>971.34605572592011</v>
      </c>
      <c r="AE218" s="273">
        <f>AD218*(1+'2. GRI Pricing Inputs'!$D$114)^((AE$16-AD$16)/365)</f>
        <v>974.5870766210644</v>
      </c>
      <c r="AF218" s="273">
        <f>AE218*(1+'2. GRI Pricing Inputs'!$D$114)^((AF$16-AE$16)/365)</f>
        <v>977.83891159877055</v>
      </c>
      <c r="AG218" s="273">
        <f>AF218*(1+'2. GRI Pricing Inputs'!$D$114)^((AG$16-AF$16)/365)</f>
        <v>980.89077279739934</v>
      </c>
      <c r="AH218" s="273">
        <f>AG218*(1+'2. GRI Pricing Inputs'!$D$114)^((AH$16-AG$16)/365)</f>
        <v>984.16364086717783</v>
      </c>
      <c r="AI218" s="273">
        <f>AH218*(1+'2. GRI Pricing Inputs'!$D$114)^((AI$16-AH$16)/365)</f>
        <v>987.34132979762023</v>
      </c>
      <c r="AJ218" s="273">
        <f>AI218*(1+'2. GRI Pricing Inputs'!$D$114)^((AJ$16-AI$16)/365)</f>
        <v>990.63572097947576</v>
      </c>
      <c r="AK218" s="273">
        <f>AJ218*(1+'2. GRI Pricing Inputs'!$D$114)^((AK$16-AJ$16)/365)</f>
        <v>993.83430710269772</v>
      </c>
      <c r="AL218" s="273">
        <f>AK218*(1+'2. GRI Pricing Inputs'!$D$114)^((AL$16-AK$16)/365)</f>
        <v>997.15036293742685</v>
      </c>
      <c r="AM218" s="273">
        <f>AL218*(1+'2. GRI Pricing Inputs'!$D$114)^((AM$16-AL$16)/365)</f>
        <v>1000.4774832184329</v>
      </c>
      <c r="AN218" s="273">
        <f>AM218*(1+'2. GRI Pricing Inputs'!$D$114)^((AN$16-AM$16)/365)</f>
        <v>1003.7078466372428</v>
      </c>
      <c r="AO218" s="273">
        <f>AN218*(1+'2. GRI Pricing Inputs'!$D$114)^((AO$16-AN$16)/365)</f>
        <v>1007.0568468049951</v>
      </c>
    </row>
    <row r="219" spans="3:41" ht="12" x14ac:dyDescent="0.2">
      <c r="C219" s="76" t="str">
        <f>'1. Accomodation'!N223</f>
        <v>208W</v>
      </c>
      <c r="D219" s="69" t="str">
        <f>'1. Accomodation'!P223</f>
        <v>2 Bed</v>
      </c>
      <c r="E219" s="69">
        <f>'1. Accomodation'!Q223</f>
        <v>2</v>
      </c>
      <c r="F219" s="77">
        <f>'1. Accomodation'!O223</f>
        <v>667</v>
      </c>
      <c r="G219" s="69">
        <f>'1. Accomodation'!R223</f>
        <v>2</v>
      </c>
      <c r="H219" s="69" t="str">
        <f>'1. Accomodation'!S223</f>
        <v>Courtyard</v>
      </c>
      <c r="I219" s="62"/>
      <c r="K219" s="272">
        <f>IFERROR(INDEX('2. GRI Pricing Inputs'!$C$15:$AI$16,MATCH($K$16,'2. GRI Pricing Inputs'!$C$15:$C$16,0),MATCH(D219,'2. GRI Pricing Inputs'!$C$15:$AI$15,0)),0)</f>
        <v>1110</v>
      </c>
      <c r="L219" s="273">
        <f>IFERROR(INDEX('2. GRI Pricing Inputs'!$C$22:$AI$23,MATCH($L$16,'2. GRI Pricing Inputs'!$C$22:$C$23,0),MATCH(E219,'2. GRI Pricing Inputs'!$C$22:$AI$22,0)),0)</f>
        <v>0</v>
      </c>
      <c r="M219" s="328">
        <f>IF(AND('3. GRI Pricing'!$F219&gt;='2. GRI Pricing Inputs'!$D$33,'3. GRI Pricing'!$F219&lt;='2. GRI Pricing Inputs'!$E$33),'2. GRI Pricing Inputs'!$D$32,IF(AND('3. GRI Pricing'!$F219&gt;='2. GRI Pricing Inputs'!$F$33,'3. GRI Pricing'!$F219&lt;='2. GRI Pricing Inputs'!$G$33),'2. GRI Pricing Inputs'!$F$32,IF(AND('3. GRI Pricing'!$F219&gt;='2. GRI Pricing Inputs'!$H$33,'3. GRI Pricing'!$F219&lt;='2. GRI Pricing Inputs'!$I$33),'2. GRI Pricing Inputs'!$H$32,IF(AND('3. GRI Pricing'!$F219&gt;='2. GRI Pricing Inputs'!$J$33,'3. GRI Pricing'!$F219&lt;='2. GRI Pricing Inputs'!$K$33),'2. GRI Pricing Inputs'!$J$32,IF(AND('3. GRI Pricing'!$F219&gt;='2. GRI Pricing Inputs'!$L$33,'3. GRI Pricing'!$F219&lt;='2. GRI Pricing Inputs'!$M$33),'2. GRI Pricing Inputs'!$L$32,IF(AND('3. GRI Pricing'!$F219&gt;='2. GRI Pricing Inputs'!$N$33,'3. GRI Pricing'!$F219&lt;='2. GRI Pricing Inputs'!$O$33),'2. GRI Pricing Inputs'!$N$32,IF(AND('3. GRI Pricing'!$F219&gt;='2. GRI Pricing Inputs'!$P$33,'3. GRI Pricing'!$F219&lt;='2. GRI Pricing Inputs'!$Q$33),'2. GRI Pricing Inputs'!$P$32,IF(AND('3. GRI Pricing'!$F219&gt;='2. GRI Pricing Inputs'!$R$33,'3. GRI Pricing'!$F219&lt;='2. GRI Pricing Inputs'!$S$33),'2. GRI Pricing Inputs'!$R$32,IF(AND('3. GRI Pricing'!$F219&gt;='2. GRI Pricing Inputs'!$T$33,'3. GRI Pricing'!$F219&lt;='2. GRI Pricing Inputs'!$U$33),'2. GRI Pricing Inputs'!$T$32,IF(AND('3. GRI Pricing'!$F219&gt;='2. GRI Pricing Inputs'!$V$33,'3. GRI Pricing'!$F219&lt;='2. GRI Pricing Inputs'!$W$33),'2. GRI Pricing Inputs'!$V$32,IF(AND('3. GRI Pricing'!$F219&gt;='2. GRI Pricing Inputs'!$X$33,'3. GRI Pricing'!$F219&lt;='2. GRI Pricing Inputs'!$Y$33),'2. GRI Pricing Inputs'!$X$32,IF(AND('3. GRI Pricing'!$F219&gt;='2. GRI Pricing Inputs'!$Z$33,'3. GRI Pricing'!$F219&lt;='2. GRI Pricing Inputs'!$AA$33),'2. GRI Pricing Inputs'!$Z$32,IF(AND('3. GRI Pricing'!$F219&gt;='2. GRI Pricing Inputs'!$AB$33,'3. GRI Pricing'!$F219&lt;='2. GRI Pricing Inputs'!$AC$33),'2. GRI Pricing Inputs'!$AB$32,IF(AND('3. GRI Pricing'!$F219&gt;='2. GRI Pricing Inputs'!$AD$33,'3. GRI Pricing'!$F219&lt;='2. GRI Pricing Inputs'!$AE$33),'2. GRI Pricing Inputs'!$AD$32,IF(AND('3. GRI Pricing'!$F219&gt;='2. GRI Pricing Inputs'!$AF$33,'3. GRI Pricing'!$F219&lt;='2. GRI Pricing Inputs'!$AG$33),'2. GRI Pricing Inputs'!$AF$32,IF(AND('3. GRI Pricing'!$F219&gt;='2. GRI Pricing Inputs'!$AH$33,'3. GRI Pricing'!$F219&lt;='2. GRI Pricing Inputs'!$AI$33),'2. GRI Pricing Inputs'!$AH$32,0))))))))))))))))</f>
        <v>9</v>
      </c>
      <c r="N219" s="273" cm="1">
        <f t="array" ref="N219">IFERROR(INDEX('2. GRI Pricing Inputs'!$C$32:$AI$39,MATCH('3. GRI Pricing'!D219,'2. GRI Pricing Inputs'!$C$32:$C$39,0),(MATCH('3. GRI Pricing'!M219,'2. GRI Pricing Inputs'!$D$32:$AI$32,0)+1)),0)</f>
        <v>30</v>
      </c>
      <c r="O219" s="273">
        <f>IFERROR(INDEX('2. GRI Pricing Inputs'!$C$45:$AI$46,MATCH($O$16,'2. GRI Pricing Inputs'!$C$45:$C$46,0),MATCH(G219,'2. GRI Pricing Inputs'!$C$45:$AI$45,0)),0)</f>
        <v>40</v>
      </c>
      <c r="P219" s="273">
        <f>IFERROR(INDEX('2. GRI Pricing Inputs'!$C$53:$AI$54,MATCH('3. GRI Pricing'!$P$16,'2. GRI Pricing Inputs'!$C$53:$C$54,0),MATCH('3. GRI Pricing'!H219,'2. GRI Pricing Inputs'!$C$53:$AI$53,0)),0)</f>
        <v>25</v>
      </c>
      <c r="Q219" s="273">
        <f>IFERROR(INDEX('2. GRI Pricing Inputs'!$C$60:$AI$61,MATCH('3. GRI Pricing'!$Q$16,'2. GRI Pricing Inputs'!$C$60:$C$61,0),MATCH('1. Accomodation'!T223,'2. GRI Pricing Inputs'!$C$60:$AI$60,0)),0)</f>
        <v>0</v>
      </c>
      <c r="R219" s="273">
        <f>IFERROR(INDEX('2. GRI Pricing Inputs'!$C$67:$AI$68,MATCH('3. GRI Pricing'!$R$16,'2. GRI Pricing Inputs'!$C$67:$C$68,0),MATCH('1. Accomodation'!U223,'2. GRI Pricing Inputs'!$C$67:$AI$67,0)),0)</f>
        <v>0</v>
      </c>
      <c r="S219" s="273">
        <f>IF(D219=0,0,'2. GRI Pricing Inputs'!$AI$75)</f>
        <v>70</v>
      </c>
      <c r="T219" s="273">
        <f>IFERROR(INDEX('2. GRI Pricing Inputs'!$C$82:$AI$83,MATCH('3. GRI Pricing'!$T$16,'2. GRI Pricing Inputs'!$C$82:$C$83,0),MATCH('1. Accomodation'!V223,'2. GRI Pricing Inputs'!$C$82:$AI$82,0)),0)</f>
        <v>0</v>
      </c>
      <c r="U219" s="273">
        <f>IFERROR(INDEX('2. GRI Pricing Inputs'!$C$89:$AI$90,MATCH('3. GRI Pricing'!$U$16,'2. GRI Pricing Inputs'!$C$89:$C$90,0),MATCH('1. Accomodation'!W223,'2. GRI Pricing Inputs'!$C$89:$AI$89,0)),0)</f>
        <v>0</v>
      </c>
      <c r="V219" s="273">
        <f>IFERROR(INDEX('2. GRI Pricing Inputs'!$C$97:$AI$98,MATCH('3. GRI Pricing'!$V$16,'2. GRI Pricing Inputs'!$C$97:$C$98,0),MATCH('1. Accomodation'!X223,'2. GRI Pricing Inputs'!$C$97:$AI$97,0)),0)</f>
        <v>0</v>
      </c>
      <c r="W219" s="273">
        <f>IFERROR(INDEX('2. GRI Pricing Inputs'!$C$104:$AI$105,MATCH('3. GRI Pricing'!$W$16,'2. GRI Pricing Inputs'!$C$104:$C$105,0),MATCH('1. Accomodation'!Y223,'2. GRI Pricing Inputs'!$C$104:$AI$104,0)),0)</f>
        <v>0</v>
      </c>
      <c r="X219" s="274">
        <v>0</v>
      </c>
      <c r="Y219" s="275">
        <f t="shared" si="10"/>
        <v>1275</v>
      </c>
      <c r="Z219" s="276"/>
      <c r="AA219" s="276"/>
      <c r="AB219" s="276"/>
      <c r="AC219" s="272">
        <f>Y219*(1+'2. GRI Pricing Inputs'!$D$114)^(($AC$16-$AB$15)/365)</f>
        <v>1279.2542012879444</v>
      </c>
      <c r="AD219" s="273">
        <f>AC219*(1+'2. GRI Pricing Inputs'!$D$114)^((AD$16-AC$16)/365)</f>
        <v>1283.3846850264747</v>
      </c>
      <c r="AE219" s="273">
        <f>AD219*(1+'2. GRI Pricing Inputs'!$D$114)^((AE$16-AD$16)/365)</f>
        <v>1287.6668628931161</v>
      </c>
      <c r="AF219" s="273">
        <f>AE219*(1+'2. GRI Pricing Inputs'!$D$114)^((AF$16-AE$16)/365)</f>
        <v>1291.9633287963029</v>
      </c>
      <c r="AG219" s="273">
        <f>AF219*(1+'2. GRI Pricing Inputs'!$D$114)^((AG$16-AF$16)/365)</f>
        <v>1295.9955806390508</v>
      </c>
      <c r="AH219" s="273">
        <f>AG219*(1+'2. GRI Pricing Inputs'!$D$114)^((AH$16-AG$16)/365)</f>
        <v>1300.3198363789136</v>
      </c>
      <c r="AI219" s="273">
        <f>AH219*(1+'2. GRI Pricing Inputs'!$D$114)^((AI$16-AH$16)/365)</f>
        <v>1304.5183372973738</v>
      </c>
      <c r="AJ219" s="273">
        <f>AI219*(1+'2. GRI Pricing Inputs'!$D$114)^((AJ$16-AI$16)/365)</f>
        <v>1308.87103030967</v>
      </c>
      <c r="AK219" s="273">
        <f>AJ219*(1+'2. GRI Pricing Inputs'!$D$114)^((AK$16-AJ$16)/365)</f>
        <v>1313.0971415087456</v>
      </c>
      <c r="AL219" s="273">
        <f>AK219*(1+'2. GRI Pricing Inputs'!$D$114)^((AL$16-AK$16)/365)</f>
        <v>1317.478458803336</v>
      </c>
      <c r="AM219" s="273">
        <f>AL219*(1+'2. GRI Pricing Inputs'!$D$114)^((AM$16-AL$16)/365)</f>
        <v>1321.8743949259087</v>
      </c>
      <c r="AN219" s="273">
        <f>AM219*(1+'2. GRI Pricing Inputs'!$D$114)^((AN$16-AM$16)/365)</f>
        <v>1326.1424916709684</v>
      </c>
      <c r="AO219" s="273">
        <f>AN219*(1+'2. GRI Pricing Inputs'!$D$114)^((AO$16-AN$16)/365)</f>
        <v>1330.5673364521954</v>
      </c>
    </row>
    <row r="220" spans="3:41" ht="12" x14ac:dyDescent="0.2">
      <c r="C220" s="76" t="str">
        <f>'1. Accomodation'!N224</f>
        <v>209W</v>
      </c>
      <c r="D220" s="69" t="str">
        <f>'1. Accomodation'!P224</f>
        <v>2 Bed</v>
      </c>
      <c r="E220" s="69">
        <f>'1. Accomodation'!Q224</f>
        <v>2</v>
      </c>
      <c r="F220" s="77">
        <f>'1. Accomodation'!O224</f>
        <v>657</v>
      </c>
      <c r="G220" s="69">
        <f>'1. Accomodation'!R224</f>
        <v>2</v>
      </c>
      <c r="H220" s="69" t="str">
        <f>'1. Accomodation'!S224</f>
        <v>Courtyard</v>
      </c>
      <c r="I220" s="62"/>
      <c r="K220" s="272">
        <f>IFERROR(INDEX('2. GRI Pricing Inputs'!$C$15:$AI$16,MATCH($K$16,'2. GRI Pricing Inputs'!$C$15:$C$16,0),MATCH(D220,'2. GRI Pricing Inputs'!$C$15:$AI$15,0)),0)</f>
        <v>1110</v>
      </c>
      <c r="L220" s="273">
        <f>IFERROR(INDEX('2. GRI Pricing Inputs'!$C$22:$AI$23,MATCH($L$16,'2. GRI Pricing Inputs'!$C$22:$C$23,0),MATCH(E220,'2. GRI Pricing Inputs'!$C$22:$AI$22,0)),0)</f>
        <v>0</v>
      </c>
      <c r="M220" s="328">
        <f>IF(AND('3. GRI Pricing'!$F220&gt;='2. GRI Pricing Inputs'!$D$33,'3. GRI Pricing'!$F220&lt;='2. GRI Pricing Inputs'!$E$33),'2. GRI Pricing Inputs'!$D$32,IF(AND('3. GRI Pricing'!$F220&gt;='2. GRI Pricing Inputs'!$F$33,'3. GRI Pricing'!$F220&lt;='2. GRI Pricing Inputs'!$G$33),'2. GRI Pricing Inputs'!$F$32,IF(AND('3. GRI Pricing'!$F220&gt;='2. GRI Pricing Inputs'!$H$33,'3. GRI Pricing'!$F220&lt;='2. GRI Pricing Inputs'!$I$33),'2. GRI Pricing Inputs'!$H$32,IF(AND('3. GRI Pricing'!$F220&gt;='2. GRI Pricing Inputs'!$J$33,'3. GRI Pricing'!$F220&lt;='2. GRI Pricing Inputs'!$K$33),'2. GRI Pricing Inputs'!$J$32,IF(AND('3. GRI Pricing'!$F220&gt;='2. GRI Pricing Inputs'!$L$33,'3. GRI Pricing'!$F220&lt;='2. GRI Pricing Inputs'!$M$33),'2. GRI Pricing Inputs'!$L$32,IF(AND('3. GRI Pricing'!$F220&gt;='2. GRI Pricing Inputs'!$N$33,'3. GRI Pricing'!$F220&lt;='2. GRI Pricing Inputs'!$O$33),'2. GRI Pricing Inputs'!$N$32,IF(AND('3. GRI Pricing'!$F220&gt;='2. GRI Pricing Inputs'!$P$33,'3. GRI Pricing'!$F220&lt;='2. GRI Pricing Inputs'!$Q$33),'2. GRI Pricing Inputs'!$P$32,IF(AND('3. GRI Pricing'!$F220&gt;='2. GRI Pricing Inputs'!$R$33,'3. GRI Pricing'!$F220&lt;='2. GRI Pricing Inputs'!$S$33),'2. GRI Pricing Inputs'!$R$32,IF(AND('3. GRI Pricing'!$F220&gt;='2. GRI Pricing Inputs'!$T$33,'3. GRI Pricing'!$F220&lt;='2. GRI Pricing Inputs'!$U$33),'2. GRI Pricing Inputs'!$T$32,IF(AND('3. GRI Pricing'!$F220&gt;='2. GRI Pricing Inputs'!$V$33,'3. GRI Pricing'!$F220&lt;='2. GRI Pricing Inputs'!$W$33),'2. GRI Pricing Inputs'!$V$32,IF(AND('3. GRI Pricing'!$F220&gt;='2. GRI Pricing Inputs'!$X$33,'3. GRI Pricing'!$F220&lt;='2. GRI Pricing Inputs'!$Y$33),'2. GRI Pricing Inputs'!$X$32,IF(AND('3. GRI Pricing'!$F220&gt;='2. GRI Pricing Inputs'!$Z$33,'3. GRI Pricing'!$F220&lt;='2. GRI Pricing Inputs'!$AA$33),'2. GRI Pricing Inputs'!$Z$32,IF(AND('3. GRI Pricing'!$F220&gt;='2. GRI Pricing Inputs'!$AB$33,'3. GRI Pricing'!$F220&lt;='2. GRI Pricing Inputs'!$AC$33),'2. GRI Pricing Inputs'!$AB$32,IF(AND('3. GRI Pricing'!$F220&gt;='2. GRI Pricing Inputs'!$AD$33,'3. GRI Pricing'!$F220&lt;='2. GRI Pricing Inputs'!$AE$33),'2. GRI Pricing Inputs'!$AD$32,IF(AND('3. GRI Pricing'!$F220&gt;='2. GRI Pricing Inputs'!$AF$33,'3. GRI Pricing'!$F220&lt;='2. GRI Pricing Inputs'!$AG$33),'2. GRI Pricing Inputs'!$AF$32,IF(AND('3. GRI Pricing'!$F220&gt;='2. GRI Pricing Inputs'!$AH$33,'3. GRI Pricing'!$F220&lt;='2. GRI Pricing Inputs'!$AI$33),'2. GRI Pricing Inputs'!$AH$32,0))))))))))))))))</f>
        <v>8</v>
      </c>
      <c r="N220" s="273" cm="1">
        <f t="array" ref="N220">IFERROR(INDEX('2. GRI Pricing Inputs'!$C$32:$AI$39,MATCH('3. GRI Pricing'!D220,'2. GRI Pricing Inputs'!$C$32:$C$39,0),(MATCH('3. GRI Pricing'!M220,'2. GRI Pricing Inputs'!$D$32:$AI$32,0)+1)),0)</f>
        <v>20</v>
      </c>
      <c r="O220" s="273">
        <f>IFERROR(INDEX('2. GRI Pricing Inputs'!$C$45:$AI$46,MATCH($O$16,'2. GRI Pricing Inputs'!$C$45:$C$46,0),MATCH(G220,'2. GRI Pricing Inputs'!$C$45:$AI$45,0)),0)</f>
        <v>40</v>
      </c>
      <c r="P220" s="273">
        <f>IFERROR(INDEX('2. GRI Pricing Inputs'!$C$53:$AI$54,MATCH('3. GRI Pricing'!$P$16,'2. GRI Pricing Inputs'!$C$53:$C$54,0),MATCH('3. GRI Pricing'!H220,'2. GRI Pricing Inputs'!$C$53:$AI$53,0)),0)</f>
        <v>25</v>
      </c>
      <c r="Q220" s="273">
        <f>IFERROR(INDEX('2. GRI Pricing Inputs'!$C$60:$AI$61,MATCH('3. GRI Pricing'!$Q$16,'2. GRI Pricing Inputs'!$C$60:$C$61,0),MATCH('1. Accomodation'!T224,'2. GRI Pricing Inputs'!$C$60:$AI$60,0)),0)</f>
        <v>0</v>
      </c>
      <c r="R220" s="273">
        <f>IFERROR(INDEX('2. GRI Pricing Inputs'!$C$67:$AI$68,MATCH('3. GRI Pricing'!$R$16,'2. GRI Pricing Inputs'!$C$67:$C$68,0),MATCH('1. Accomodation'!U224,'2. GRI Pricing Inputs'!$C$67:$AI$67,0)),0)</f>
        <v>0</v>
      </c>
      <c r="S220" s="273">
        <f>IF(D220=0,0,'2. GRI Pricing Inputs'!$AI$75)</f>
        <v>70</v>
      </c>
      <c r="T220" s="273">
        <f>IFERROR(INDEX('2. GRI Pricing Inputs'!$C$82:$AI$83,MATCH('3. GRI Pricing'!$T$16,'2. GRI Pricing Inputs'!$C$82:$C$83,0),MATCH('1. Accomodation'!V224,'2. GRI Pricing Inputs'!$C$82:$AI$82,0)),0)</f>
        <v>0</v>
      </c>
      <c r="U220" s="273">
        <f>IFERROR(INDEX('2. GRI Pricing Inputs'!$C$89:$AI$90,MATCH('3. GRI Pricing'!$U$16,'2. GRI Pricing Inputs'!$C$89:$C$90,0),MATCH('1. Accomodation'!W224,'2. GRI Pricing Inputs'!$C$89:$AI$89,0)),0)</f>
        <v>0</v>
      </c>
      <c r="V220" s="273">
        <f>IFERROR(INDEX('2. GRI Pricing Inputs'!$C$97:$AI$98,MATCH('3. GRI Pricing'!$V$16,'2. GRI Pricing Inputs'!$C$97:$C$98,0),MATCH('1. Accomodation'!X224,'2. GRI Pricing Inputs'!$C$97:$AI$97,0)),0)</f>
        <v>0</v>
      </c>
      <c r="W220" s="273">
        <f>IFERROR(INDEX('2. GRI Pricing Inputs'!$C$104:$AI$105,MATCH('3. GRI Pricing'!$W$16,'2. GRI Pricing Inputs'!$C$104:$C$105,0),MATCH('1. Accomodation'!Y224,'2. GRI Pricing Inputs'!$C$104:$AI$104,0)),0)</f>
        <v>0</v>
      </c>
      <c r="X220" s="274">
        <v>0</v>
      </c>
      <c r="Y220" s="275">
        <f t="shared" si="10"/>
        <v>1265</v>
      </c>
      <c r="Z220" s="276"/>
      <c r="AA220" s="276"/>
      <c r="AB220" s="276"/>
      <c r="AC220" s="272">
        <f>Y220*(1+'2. GRI Pricing Inputs'!$D$114)^(($AC$16-$AB$15)/365)</f>
        <v>1269.2208350033331</v>
      </c>
      <c r="AD220" s="273">
        <f>AC220*(1+'2. GRI Pricing Inputs'!$D$114)^((AD$16-AC$16)/365)</f>
        <v>1273.3189227909729</v>
      </c>
      <c r="AE220" s="273">
        <f>AD220*(1+'2. GRI Pricing Inputs'!$D$114)^((AE$16-AD$16)/365)</f>
        <v>1277.5675149488563</v>
      </c>
      <c r="AF220" s="273">
        <f>AE220*(1+'2. GRI Pricing Inputs'!$D$114)^((AF$16-AE$16)/365)</f>
        <v>1281.8302830802536</v>
      </c>
      <c r="AG220" s="273">
        <f>AF220*(1+'2. GRI Pricing Inputs'!$D$114)^((AG$16-AF$16)/365)</f>
        <v>1285.8309094183523</v>
      </c>
      <c r="AH220" s="273">
        <f>AG220*(1+'2. GRI Pricing Inputs'!$D$114)^((AH$16-AG$16)/365)</f>
        <v>1290.1212494269221</v>
      </c>
      <c r="AI220" s="273">
        <f>AH220*(1+'2. GRI Pricing Inputs'!$D$114)^((AI$16-AH$16)/365)</f>
        <v>1294.2868209264138</v>
      </c>
      <c r="AJ220" s="273">
        <f>AI220*(1+'2. GRI Pricing Inputs'!$D$114)^((AJ$16-AI$16)/365)</f>
        <v>1298.6053751699862</v>
      </c>
      <c r="AK220" s="273">
        <f>AJ220*(1+'2. GRI Pricing Inputs'!$D$114)^((AK$16-AJ$16)/365)</f>
        <v>1302.7983403988731</v>
      </c>
      <c r="AL220" s="273">
        <f>AK220*(1+'2. GRI Pricing Inputs'!$D$114)^((AL$16-AK$16)/365)</f>
        <v>1307.1452944205646</v>
      </c>
      <c r="AM220" s="273">
        <f>AL220*(1+'2. GRI Pricing Inputs'!$D$114)^((AM$16-AL$16)/365)</f>
        <v>1311.5067526127643</v>
      </c>
      <c r="AN220" s="273">
        <f>AM220*(1+'2. GRI Pricing Inputs'!$D$114)^((AN$16-AM$16)/365)</f>
        <v>1315.7413740892353</v>
      </c>
      <c r="AO220" s="273">
        <f>AN220*(1+'2. GRI Pricing Inputs'!$D$114)^((AO$16-AN$16)/365)</f>
        <v>1320.1315142055116</v>
      </c>
    </row>
    <row r="221" spans="3:41" ht="12" x14ac:dyDescent="0.2">
      <c r="C221" s="76" t="str">
        <f>'1. Accomodation'!N225</f>
        <v>210W</v>
      </c>
      <c r="D221" s="69" t="str">
        <f>'1. Accomodation'!P225</f>
        <v>2 Bed</v>
      </c>
      <c r="E221" s="69">
        <f>'1. Accomodation'!Q225</f>
        <v>2</v>
      </c>
      <c r="F221" s="77">
        <f>'1. Accomodation'!O225</f>
        <v>689</v>
      </c>
      <c r="G221" s="69">
        <f>'1. Accomodation'!R225</f>
        <v>2</v>
      </c>
      <c r="H221" s="69" t="str">
        <f>'1. Accomodation'!S225</f>
        <v>Courtyard</v>
      </c>
      <c r="I221" s="62"/>
      <c r="K221" s="272">
        <f>IFERROR(INDEX('2. GRI Pricing Inputs'!$C$15:$AI$16,MATCH($K$16,'2. GRI Pricing Inputs'!$C$15:$C$16,0),MATCH(D221,'2. GRI Pricing Inputs'!$C$15:$AI$15,0)),0)</f>
        <v>1110</v>
      </c>
      <c r="L221" s="273">
        <f>IFERROR(INDEX('2. GRI Pricing Inputs'!$C$22:$AI$23,MATCH($L$16,'2. GRI Pricing Inputs'!$C$22:$C$23,0),MATCH(E221,'2. GRI Pricing Inputs'!$C$22:$AI$22,0)),0)</f>
        <v>0</v>
      </c>
      <c r="M221" s="328">
        <f>IF(AND('3. GRI Pricing'!$F221&gt;='2. GRI Pricing Inputs'!$D$33,'3. GRI Pricing'!$F221&lt;='2. GRI Pricing Inputs'!$E$33),'2. GRI Pricing Inputs'!$D$32,IF(AND('3. GRI Pricing'!$F221&gt;='2. GRI Pricing Inputs'!$F$33,'3. GRI Pricing'!$F221&lt;='2. GRI Pricing Inputs'!$G$33),'2. GRI Pricing Inputs'!$F$32,IF(AND('3. GRI Pricing'!$F221&gt;='2. GRI Pricing Inputs'!$H$33,'3. GRI Pricing'!$F221&lt;='2. GRI Pricing Inputs'!$I$33),'2. GRI Pricing Inputs'!$H$32,IF(AND('3. GRI Pricing'!$F221&gt;='2. GRI Pricing Inputs'!$J$33,'3. GRI Pricing'!$F221&lt;='2. GRI Pricing Inputs'!$K$33),'2. GRI Pricing Inputs'!$J$32,IF(AND('3. GRI Pricing'!$F221&gt;='2. GRI Pricing Inputs'!$L$33,'3. GRI Pricing'!$F221&lt;='2. GRI Pricing Inputs'!$M$33),'2. GRI Pricing Inputs'!$L$32,IF(AND('3. GRI Pricing'!$F221&gt;='2. GRI Pricing Inputs'!$N$33,'3. GRI Pricing'!$F221&lt;='2. GRI Pricing Inputs'!$O$33),'2. GRI Pricing Inputs'!$N$32,IF(AND('3. GRI Pricing'!$F221&gt;='2. GRI Pricing Inputs'!$P$33,'3. GRI Pricing'!$F221&lt;='2. GRI Pricing Inputs'!$Q$33),'2. GRI Pricing Inputs'!$P$32,IF(AND('3. GRI Pricing'!$F221&gt;='2. GRI Pricing Inputs'!$R$33,'3. GRI Pricing'!$F221&lt;='2. GRI Pricing Inputs'!$S$33),'2. GRI Pricing Inputs'!$R$32,IF(AND('3. GRI Pricing'!$F221&gt;='2. GRI Pricing Inputs'!$T$33,'3. GRI Pricing'!$F221&lt;='2. GRI Pricing Inputs'!$U$33),'2. GRI Pricing Inputs'!$T$32,IF(AND('3. GRI Pricing'!$F221&gt;='2. GRI Pricing Inputs'!$V$33,'3. GRI Pricing'!$F221&lt;='2. GRI Pricing Inputs'!$W$33),'2. GRI Pricing Inputs'!$V$32,IF(AND('3. GRI Pricing'!$F221&gt;='2. GRI Pricing Inputs'!$X$33,'3. GRI Pricing'!$F221&lt;='2. GRI Pricing Inputs'!$Y$33),'2. GRI Pricing Inputs'!$X$32,IF(AND('3. GRI Pricing'!$F221&gt;='2. GRI Pricing Inputs'!$Z$33,'3. GRI Pricing'!$F221&lt;='2. GRI Pricing Inputs'!$AA$33),'2. GRI Pricing Inputs'!$Z$32,IF(AND('3. GRI Pricing'!$F221&gt;='2. GRI Pricing Inputs'!$AB$33,'3. GRI Pricing'!$F221&lt;='2. GRI Pricing Inputs'!$AC$33),'2. GRI Pricing Inputs'!$AB$32,IF(AND('3. GRI Pricing'!$F221&gt;='2. GRI Pricing Inputs'!$AD$33,'3. GRI Pricing'!$F221&lt;='2. GRI Pricing Inputs'!$AE$33),'2. GRI Pricing Inputs'!$AD$32,IF(AND('3. GRI Pricing'!$F221&gt;='2. GRI Pricing Inputs'!$AF$33,'3. GRI Pricing'!$F221&lt;='2. GRI Pricing Inputs'!$AG$33),'2. GRI Pricing Inputs'!$AF$32,IF(AND('3. GRI Pricing'!$F221&gt;='2. GRI Pricing Inputs'!$AH$33,'3. GRI Pricing'!$F221&lt;='2. GRI Pricing Inputs'!$AI$33),'2. GRI Pricing Inputs'!$AH$32,0))))))))))))))))</f>
        <v>11</v>
      </c>
      <c r="N221" s="273" cm="1">
        <f t="array" ref="N221">IFERROR(INDEX('2. GRI Pricing Inputs'!$C$32:$AI$39,MATCH('3. GRI Pricing'!D221,'2. GRI Pricing Inputs'!$C$32:$C$39,0),(MATCH('3. GRI Pricing'!M221,'2. GRI Pricing Inputs'!$D$32:$AI$32,0)+1)),0)</f>
        <v>65</v>
      </c>
      <c r="O221" s="273">
        <f>IFERROR(INDEX('2. GRI Pricing Inputs'!$C$45:$AI$46,MATCH($O$16,'2. GRI Pricing Inputs'!$C$45:$C$46,0),MATCH(G221,'2. GRI Pricing Inputs'!$C$45:$AI$45,0)),0)</f>
        <v>40</v>
      </c>
      <c r="P221" s="273">
        <f>IFERROR(INDEX('2. GRI Pricing Inputs'!$C$53:$AI$54,MATCH('3. GRI Pricing'!$P$16,'2. GRI Pricing Inputs'!$C$53:$C$54,0),MATCH('3. GRI Pricing'!H221,'2. GRI Pricing Inputs'!$C$53:$AI$53,0)),0)</f>
        <v>25</v>
      </c>
      <c r="Q221" s="273">
        <f>IFERROR(INDEX('2. GRI Pricing Inputs'!$C$60:$AI$61,MATCH('3. GRI Pricing'!$Q$16,'2. GRI Pricing Inputs'!$C$60:$C$61,0),MATCH('1. Accomodation'!T225,'2. GRI Pricing Inputs'!$C$60:$AI$60,0)),0)</f>
        <v>0</v>
      </c>
      <c r="R221" s="273">
        <f>IFERROR(INDEX('2. GRI Pricing Inputs'!$C$67:$AI$68,MATCH('3. GRI Pricing'!$R$16,'2. GRI Pricing Inputs'!$C$67:$C$68,0),MATCH('1. Accomodation'!U225,'2. GRI Pricing Inputs'!$C$67:$AI$67,0)),0)</f>
        <v>0</v>
      </c>
      <c r="S221" s="273">
        <f>IF(D221=0,0,'2. GRI Pricing Inputs'!$AI$75)</f>
        <v>70</v>
      </c>
      <c r="T221" s="273">
        <f>IFERROR(INDEX('2. GRI Pricing Inputs'!$C$82:$AI$83,MATCH('3. GRI Pricing'!$T$16,'2. GRI Pricing Inputs'!$C$82:$C$83,0),MATCH('1. Accomodation'!V225,'2. GRI Pricing Inputs'!$C$82:$AI$82,0)),0)</f>
        <v>0</v>
      </c>
      <c r="U221" s="273">
        <f>IFERROR(INDEX('2. GRI Pricing Inputs'!$C$89:$AI$90,MATCH('3. GRI Pricing'!$U$16,'2. GRI Pricing Inputs'!$C$89:$C$90,0),MATCH('1. Accomodation'!W225,'2. GRI Pricing Inputs'!$C$89:$AI$89,0)),0)</f>
        <v>0</v>
      </c>
      <c r="V221" s="273">
        <f>IFERROR(INDEX('2. GRI Pricing Inputs'!$C$97:$AI$98,MATCH('3. GRI Pricing'!$V$16,'2. GRI Pricing Inputs'!$C$97:$C$98,0),MATCH('1. Accomodation'!X225,'2. GRI Pricing Inputs'!$C$97:$AI$97,0)),0)</f>
        <v>0</v>
      </c>
      <c r="W221" s="273">
        <f>IFERROR(INDEX('2. GRI Pricing Inputs'!$C$104:$AI$105,MATCH('3. GRI Pricing'!$W$16,'2. GRI Pricing Inputs'!$C$104:$C$105,0),MATCH('1. Accomodation'!Y225,'2. GRI Pricing Inputs'!$C$104:$AI$104,0)),0)</f>
        <v>0</v>
      </c>
      <c r="X221" s="274">
        <v>0</v>
      </c>
      <c r="Y221" s="275">
        <f t="shared" si="10"/>
        <v>1310</v>
      </c>
      <c r="Z221" s="276"/>
      <c r="AA221" s="276"/>
      <c r="AB221" s="276"/>
      <c r="AC221" s="272">
        <f>Y221*(1+'2. GRI Pricing Inputs'!$D$114)^(($AC$16-$AB$15)/365)</f>
        <v>1314.3709832840841</v>
      </c>
      <c r="AD221" s="273">
        <f>AC221*(1+'2. GRI Pricing Inputs'!$D$114)^((AD$16-AC$16)/365)</f>
        <v>1318.614852850731</v>
      </c>
      <c r="AE221" s="273">
        <f>AD221*(1+'2. GRI Pricing Inputs'!$D$114)^((AE$16-AD$16)/365)</f>
        <v>1323.0145806980254</v>
      </c>
      <c r="AF221" s="273">
        <f>AE221*(1+'2. GRI Pricing Inputs'!$D$114)^((AF$16-AE$16)/365)</f>
        <v>1327.4289888024762</v>
      </c>
      <c r="AG221" s="273">
        <f>AF221*(1+'2. GRI Pricing Inputs'!$D$114)^((AG$16-AF$16)/365)</f>
        <v>1331.5719299114955</v>
      </c>
      <c r="AH221" s="273">
        <f>AG221*(1+'2. GRI Pricing Inputs'!$D$114)^((AH$16-AG$16)/365)</f>
        <v>1336.0148907108839</v>
      </c>
      <c r="AI221" s="273">
        <f>AH221*(1+'2. GRI Pricing Inputs'!$D$114)^((AI$16-AH$16)/365)</f>
        <v>1340.3286445957333</v>
      </c>
      <c r="AJ221" s="273">
        <f>AI221*(1+'2. GRI Pricing Inputs'!$D$114)^((AJ$16-AI$16)/365)</f>
        <v>1344.800823298563</v>
      </c>
      <c r="AK221" s="273">
        <f>AJ221*(1+'2. GRI Pricing Inputs'!$D$114)^((AK$16-AJ$16)/365)</f>
        <v>1349.1429453932994</v>
      </c>
      <c r="AL221" s="273">
        <f>AK221*(1+'2. GRI Pricing Inputs'!$D$114)^((AL$16-AK$16)/365)</f>
        <v>1353.6445341430353</v>
      </c>
      <c r="AM221" s="273">
        <f>AL221*(1+'2. GRI Pricing Inputs'!$D$114)^((AM$16-AL$16)/365)</f>
        <v>1358.1611430219141</v>
      </c>
      <c r="AN221" s="273">
        <f>AM221*(1+'2. GRI Pricing Inputs'!$D$114)^((AN$16-AM$16)/365)</f>
        <v>1362.5464032070342</v>
      </c>
      <c r="AO221" s="273">
        <f>AN221*(1+'2. GRI Pricing Inputs'!$D$114)^((AO$16-AN$16)/365)</f>
        <v>1367.0927143155891</v>
      </c>
    </row>
    <row r="222" spans="3:41" ht="12" x14ac:dyDescent="0.2">
      <c r="C222" s="76" t="str">
        <f>'1. Accomodation'!N226</f>
        <v>211W</v>
      </c>
      <c r="D222" s="69" t="str">
        <f>'1. Accomodation'!P226</f>
        <v>2 Bed</v>
      </c>
      <c r="E222" s="69">
        <f>'1. Accomodation'!Q226</f>
        <v>2</v>
      </c>
      <c r="F222" s="77">
        <f>'1. Accomodation'!O226</f>
        <v>667</v>
      </c>
      <c r="G222" s="69">
        <f>'1. Accomodation'!R226</f>
        <v>2</v>
      </c>
      <c r="H222" s="69" t="str">
        <f>'1. Accomodation'!S226</f>
        <v>Courtyard</v>
      </c>
      <c r="I222" s="62"/>
      <c r="K222" s="272">
        <f>IFERROR(INDEX('2. GRI Pricing Inputs'!$C$15:$AI$16,MATCH($K$16,'2. GRI Pricing Inputs'!$C$15:$C$16,0),MATCH(D222,'2. GRI Pricing Inputs'!$C$15:$AI$15,0)),0)</f>
        <v>1110</v>
      </c>
      <c r="L222" s="273">
        <f>IFERROR(INDEX('2. GRI Pricing Inputs'!$C$22:$AI$23,MATCH($L$16,'2. GRI Pricing Inputs'!$C$22:$C$23,0),MATCH(E222,'2. GRI Pricing Inputs'!$C$22:$AI$22,0)),0)</f>
        <v>0</v>
      </c>
      <c r="M222" s="328">
        <f>IF(AND('3. GRI Pricing'!$F222&gt;='2. GRI Pricing Inputs'!$D$33,'3. GRI Pricing'!$F222&lt;='2. GRI Pricing Inputs'!$E$33),'2. GRI Pricing Inputs'!$D$32,IF(AND('3. GRI Pricing'!$F222&gt;='2. GRI Pricing Inputs'!$F$33,'3. GRI Pricing'!$F222&lt;='2. GRI Pricing Inputs'!$G$33),'2. GRI Pricing Inputs'!$F$32,IF(AND('3. GRI Pricing'!$F222&gt;='2. GRI Pricing Inputs'!$H$33,'3. GRI Pricing'!$F222&lt;='2. GRI Pricing Inputs'!$I$33),'2. GRI Pricing Inputs'!$H$32,IF(AND('3. GRI Pricing'!$F222&gt;='2. GRI Pricing Inputs'!$J$33,'3. GRI Pricing'!$F222&lt;='2. GRI Pricing Inputs'!$K$33),'2. GRI Pricing Inputs'!$J$32,IF(AND('3. GRI Pricing'!$F222&gt;='2. GRI Pricing Inputs'!$L$33,'3. GRI Pricing'!$F222&lt;='2. GRI Pricing Inputs'!$M$33),'2. GRI Pricing Inputs'!$L$32,IF(AND('3. GRI Pricing'!$F222&gt;='2. GRI Pricing Inputs'!$N$33,'3. GRI Pricing'!$F222&lt;='2. GRI Pricing Inputs'!$O$33),'2. GRI Pricing Inputs'!$N$32,IF(AND('3. GRI Pricing'!$F222&gt;='2. GRI Pricing Inputs'!$P$33,'3. GRI Pricing'!$F222&lt;='2. GRI Pricing Inputs'!$Q$33),'2. GRI Pricing Inputs'!$P$32,IF(AND('3. GRI Pricing'!$F222&gt;='2. GRI Pricing Inputs'!$R$33,'3. GRI Pricing'!$F222&lt;='2. GRI Pricing Inputs'!$S$33),'2. GRI Pricing Inputs'!$R$32,IF(AND('3. GRI Pricing'!$F222&gt;='2. GRI Pricing Inputs'!$T$33,'3. GRI Pricing'!$F222&lt;='2. GRI Pricing Inputs'!$U$33),'2. GRI Pricing Inputs'!$T$32,IF(AND('3. GRI Pricing'!$F222&gt;='2. GRI Pricing Inputs'!$V$33,'3. GRI Pricing'!$F222&lt;='2. GRI Pricing Inputs'!$W$33),'2. GRI Pricing Inputs'!$V$32,IF(AND('3. GRI Pricing'!$F222&gt;='2. GRI Pricing Inputs'!$X$33,'3. GRI Pricing'!$F222&lt;='2. GRI Pricing Inputs'!$Y$33),'2. GRI Pricing Inputs'!$X$32,IF(AND('3. GRI Pricing'!$F222&gt;='2. GRI Pricing Inputs'!$Z$33,'3. GRI Pricing'!$F222&lt;='2. GRI Pricing Inputs'!$AA$33),'2. GRI Pricing Inputs'!$Z$32,IF(AND('3. GRI Pricing'!$F222&gt;='2. GRI Pricing Inputs'!$AB$33,'3. GRI Pricing'!$F222&lt;='2. GRI Pricing Inputs'!$AC$33),'2. GRI Pricing Inputs'!$AB$32,IF(AND('3. GRI Pricing'!$F222&gt;='2. GRI Pricing Inputs'!$AD$33,'3. GRI Pricing'!$F222&lt;='2. GRI Pricing Inputs'!$AE$33),'2. GRI Pricing Inputs'!$AD$32,IF(AND('3. GRI Pricing'!$F222&gt;='2. GRI Pricing Inputs'!$AF$33,'3. GRI Pricing'!$F222&lt;='2. GRI Pricing Inputs'!$AG$33),'2. GRI Pricing Inputs'!$AF$32,IF(AND('3. GRI Pricing'!$F222&gt;='2. GRI Pricing Inputs'!$AH$33,'3. GRI Pricing'!$F222&lt;='2. GRI Pricing Inputs'!$AI$33),'2. GRI Pricing Inputs'!$AH$32,0))))))))))))))))</f>
        <v>9</v>
      </c>
      <c r="N222" s="273" cm="1">
        <f t="array" ref="N222">IFERROR(INDEX('2. GRI Pricing Inputs'!$C$32:$AI$39,MATCH('3. GRI Pricing'!D222,'2. GRI Pricing Inputs'!$C$32:$C$39,0),(MATCH('3. GRI Pricing'!M222,'2. GRI Pricing Inputs'!$D$32:$AI$32,0)+1)),0)</f>
        <v>30</v>
      </c>
      <c r="O222" s="273">
        <f>IFERROR(INDEX('2. GRI Pricing Inputs'!$C$45:$AI$46,MATCH($O$16,'2. GRI Pricing Inputs'!$C$45:$C$46,0),MATCH(G222,'2. GRI Pricing Inputs'!$C$45:$AI$45,0)),0)</f>
        <v>40</v>
      </c>
      <c r="P222" s="273">
        <f>IFERROR(INDEX('2. GRI Pricing Inputs'!$C$53:$AI$54,MATCH('3. GRI Pricing'!$P$16,'2. GRI Pricing Inputs'!$C$53:$C$54,0),MATCH('3. GRI Pricing'!H222,'2. GRI Pricing Inputs'!$C$53:$AI$53,0)),0)</f>
        <v>25</v>
      </c>
      <c r="Q222" s="273">
        <f>IFERROR(INDEX('2. GRI Pricing Inputs'!$C$60:$AI$61,MATCH('3. GRI Pricing'!$Q$16,'2. GRI Pricing Inputs'!$C$60:$C$61,0),MATCH('1. Accomodation'!T226,'2. GRI Pricing Inputs'!$C$60:$AI$60,0)),0)</f>
        <v>0</v>
      </c>
      <c r="R222" s="273">
        <f>IFERROR(INDEX('2. GRI Pricing Inputs'!$C$67:$AI$68,MATCH('3. GRI Pricing'!$R$16,'2. GRI Pricing Inputs'!$C$67:$C$68,0),MATCH('1. Accomodation'!U226,'2. GRI Pricing Inputs'!$C$67:$AI$67,0)),0)</f>
        <v>0</v>
      </c>
      <c r="S222" s="273">
        <f>IF(D222=0,0,'2. GRI Pricing Inputs'!$AI$75)</f>
        <v>70</v>
      </c>
      <c r="T222" s="273">
        <f>IFERROR(INDEX('2. GRI Pricing Inputs'!$C$82:$AI$83,MATCH('3. GRI Pricing'!$T$16,'2. GRI Pricing Inputs'!$C$82:$C$83,0),MATCH('1. Accomodation'!V226,'2. GRI Pricing Inputs'!$C$82:$AI$82,0)),0)</f>
        <v>0</v>
      </c>
      <c r="U222" s="273">
        <f>IFERROR(INDEX('2. GRI Pricing Inputs'!$C$89:$AI$90,MATCH('3. GRI Pricing'!$U$16,'2. GRI Pricing Inputs'!$C$89:$C$90,0),MATCH('1. Accomodation'!W226,'2. GRI Pricing Inputs'!$C$89:$AI$89,0)),0)</f>
        <v>0</v>
      </c>
      <c r="V222" s="273">
        <f>IFERROR(INDEX('2. GRI Pricing Inputs'!$C$97:$AI$98,MATCH('3. GRI Pricing'!$V$16,'2. GRI Pricing Inputs'!$C$97:$C$98,0),MATCH('1. Accomodation'!X226,'2. GRI Pricing Inputs'!$C$97:$AI$97,0)),0)</f>
        <v>0</v>
      </c>
      <c r="W222" s="273">
        <f>IFERROR(INDEX('2. GRI Pricing Inputs'!$C$104:$AI$105,MATCH('3. GRI Pricing'!$W$16,'2. GRI Pricing Inputs'!$C$104:$C$105,0),MATCH('1. Accomodation'!Y226,'2. GRI Pricing Inputs'!$C$104:$AI$104,0)),0)</f>
        <v>0</v>
      </c>
      <c r="X222" s="274">
        <v>0</v>
      </c>
      <c r="Y222" s="275">
        <f t="shared" si="10"/>
        <v>1275</v>
      </c>
      <c r="Z222" s="276"/>
      <c r="AA222" s="276"/>
      <c r="AB222" s="276"/>
      <c r="AC222" s="272">
        <f>Y222*(1+'2. GRI Pricing Inputs'!$D$114)^(($AC$16-$AB$15)/365)</f>
        <v>1279.2542012879444</v>
      </c>
      <c r="AD222" s="273">
        <f>AC222*(1+'2. GRI Pricing Inputs'!$D$114)^((AD$16-AC$16)/365)</f>
        <v>1283.3846850264747</v>
      </c>
      <c r="AE222" s="273">
        <f>AD222*(1+'2. GRI Pricing Inputs'!$D$114)^((AE$16-AD$16)/365)</f>
        <v>1287.6668628931161</v>
      </c>
      <c r="AF222" s="273">
        <f>AE222*(1+'2. GRI Pricing Inputs'!$D$114)^((AF$16-AE$16)/365)</f>
        <v>1291.9633287963029</v>
      </c>
      <c r="AG222" s="273">
        <f>AF222*(1+'2. GRI Pricing Inputs'!$D$114)^((AG$16-AF$16)/365)</f>
        <v>1295.9955806390508</v>
      </c>
      <c r="AH222" s="273">
        <f>AG222*(1+'2. GRI Pricing Inputs'!$D$114)^((AH$16-AG$16)/365)</f>
        <v>1300.3198363789136</v>
      </c>
      <c r="AI222" s="273">
        <f>AH222*(1+'2. GRI Pricing Inputs'!$D$114)^((AI$16-AH$16)/365)</f>
        <v>1304.5183372973738</v>
      </c>
      <c r="AJ222" s="273">
        <f>AI222*(1+'2. GRI Pricing Inputs'!$D$114)^((AJ$16-AI$16)/365)</f>
        <v>1308.87103030967</v>
      </c>
      <c r="AK222" s="273">
        <f>AJ222*(1+'2. GRI Pricing Inputs'!$D$114)^((AK$16-AJ$16)/365)</f>
        <v>1313.0971415087456</v>
      </c>
      <c r="AL222" s="273">
        <f>AK222*(1+'2. GRI Pricing Inputs'!$D$114)^((AL$16-AK$16)/365)</f>
        <v>1317.478458803336</v>
      </c>
      <c r="AM222" s="273">
        <f>AL222*(1+'2. GRI Pricing Inputs'!$D$114)^((AM$16-AL$16)/365)</f>
        <v>1321.8743949259087</v>
      </c>
      <c r="AN222" s="273">
        <f>AM222*(1+'2. GRI Pricing Inputs'!$D$114)^((AN$16-AM$16)/365)</f>
        <v>1326.1424916709684</v>
      </c>
      <c r="AO222" s="273">
        <f>AN222*(1+'2. GRI Pricing Inputs'!$D$114)^((AO$16-AN$16)/365)</f>
        <v>1330.5673364521954</v>
      </c>
    </row>
    <row r="223" spans="3:41" ht="12" x14ac:dyDescent="0.2">
      <c r="C223" s="76" t="str">
        <f>'1. Accomodation'!N227</f>
        <v>212W</v>
      </c>
      <c r="D223" s="69" t="str">
        <f>'1. Accomodation'!P227</f>
        <v>1 Bed</v>
      </c>
      <c r="E223" s="69">
        <f>'1. Accomodation'!Q227</f>
        <v>1</v>
      </c>
      <c r="F223" s="77">
        <f>'1. Accomodation'!O227</f>
        <v>527</v>
      </c>
      <c r="G223" s="69">
        <f>'1. Accomodation'!R227</f>
        <v>2</v>
      </c>
      <c r="H223" s="69" t="str">
        <f>'1. Accomodation'!S227</f>
        <v>Railway Bridge</v>
      </c>
      <c r="I223" s="62"/>
      <c r="K223" s="272">
        <f>IFERROR(INDEX('2. GRI Pricing Inputs'!$C$15:$AI$16,MATCH($K$16,'2. GRI Pricing Inputs'!$C$15:$C$16,0),MATCH(D223,'2. GRI Pricing Inputs'!$C$15:$AI$15,0)),0)</f>
        <v>845</v>
      </c>
      <c r="L223" s="273">
        <f>IFERROR(INDEX('2. GRI Pricing Inputs'!$C$22:$AI$23,MATCH($L$16,'2. GRI Pricing Inputs'!$C$22:$C$23,0),MATCH(E223,'2. GRI Pricing Inputs'!$C$22:$AI$22,0)),0)</f>
        <v>0</v>
      </c>
      <c r="M223" s="328">
        <f>IF(AND('3. GRI Pricing'!$F223&gt;='2. GRI Pricing Inputs'!$D$33,'3. GRI Pricing'!$F223&lt;='2. GRI Pricing Inputs'!$E$33),'2. GRI Pricing Inputs'!$D$32,IF(AND('3. GRI Pricing'!$F223&gt;='2. GRI Pricing Inputs'!$F$33,'3. GRI Pricing'!$F223&lt;='2. GRI Pricing Inputs'!$G$33),'2. GRI Pricing Inputs'!$F$32,IF(AND('3. GRI Pricing'!$F223&gt;='2. GRI Pricing Inputs'!$H$33,'3. GRI Pricing'!$F223&lt;='2. GRI Pricing Inputs'!$I$33),'2. GRI Pricing Inputs'!$H$32,IF(AND('3. GRI Pricing'!$F223&gt;='2. GRI Pricing Inputs'!$J$33,'3. GRI Pricing'!$F223&lt;='2. GRI Pricing Inputs'!$K$33),'2. GRI Pricing Inputs'!$J$32,IF(AND('3. GRI Pricing'!$F223&gt;='2. GRI Pricing Inputs'!$L$33,'3. GRI Pricing'!$F223&lt;='2. GRI Pricing Inputs'!$M$33),'2. GRI Pricing Inputs'!$L$32,IF(AND('3. GRI Pricing'!$F223&gt;='2. GRI Pricing Inputs'!$N$33,'3. GRI Pricing'!$F223&lt;='2. GRI Pricing Inputs'!$O$33),'2. GRI Pricing Inputs'!$N$32,IF(AND('3. GRI Pricing'!$F223&gt;='2. GRI Pricing Inputs'!$P$33,'3. GRI Pricing'!$F223&lt;='2. GRI Pricing Inputs'!$Q$33),'2. GRI Pricing Inputs'!$P$32,IF(AND('3. GRI Pricing'!$F223&gt;='2. GRI Pricing Inputs'!$R$33,'3. GRI Pricing'!$F223&lt;='2. GRI Pricing Inputs'!$S$33),'2. GRI Pricing Inputs'!$R$32,IF(AND('3. GRI Pricing'!$F223&gt;='2. GRI Pricing Inputs'!$T$33,'3. GRI Pricing'!$F223&lt;='2. GRI Pricing Inputs'!$U$33),'2. GRI Pricing Inputs'!$T$32,IF(AND('3. GRI Pricing'!$F223&gt;='2. GRI Pricing Inputs'!$V$33,'3. GRI Pricing'!$F223&lt;='2. GRI Pricing Inputs'!$W$33),'2. GRI Pricing Inputs'!$V$32,IF(AND('3. GRI Pricing'!$F223&gt;='2. GRI Pricing Inputs'!$X$33,'3. GRI Pricing'!$F223&lt;='2. GRI Pricing Inputs'!$Y$33),'2. GRI Pricing Inputs'!$X$32,IF(AND('3. GRI Pricing'!$F223&gt;='2. GRI Pricing Inputs'!$Z$33,'3. GRI Pricing'!$F223&lt;='2. GRI Pricing Inputs'!$AA$33),'2. GRI Pricing Inputs'!$Z$32,IF(AND('3. GRI Pricing'!$F223&gt;='2. GRI Pricing Inputs'!$AB$33,'3. GRI Pricing'!$F223&lt;='2. GRI Pricing Inputs'!$AC$33),'2. GRI Pricing Inputs'!$AB$32,IF(AND('3. GRI Pricing'!$F223&gt;='2. GRI Pricing Inputs'!$AD$33,'3. GRI Pricing'!$F223&lt;='2. GRI Pricing Inputs'!$AE$33),'2. GRI Pricing Inputs'!$AD$32,IF(AND('3. GRI Pricing'!$F223&gt;='2. GRI Pricing Inputs'!$AF$33,'3. GRI Pricing'!$F223&lt;='2. GRI Pricing Inputs'!$AG$33),'2. GRI Pricing Inputs'!$AF$32,IF(AND('3. GRI Pricing'!$F223&gt;='2. GRI Pricing Inputs'!$AH$33,'3. GRI Pricing'!$F223&lt;='2. GRI Pricing Inputs'!$AI$33),'2. GRI Pricing Inputs'!$AH$32,0))))))))))))))))</f>
        <v>3</v>
      </c>
      <c r="N223" s="273" cm="1">
        <f t="array" ref="N223">IFERROR(INDEX('2. GRI Pricing Inputs'!$C$32:$AI$39,MATCH('3. GRI Pricing'!D223,'2. GRI Pricing Inputs'!$C$32:$C$39,0),(MATCH('3. GRI Pricing'!M223,'2. GRI Pricing Inputs'!$D$32:$AI$32,0)+1)),0)</f>
        <v>20</v>
      </c>
      <c r="O223" s="273">
        <f>IFERROR(INDEX('2. GRI Pricing Inputs'!$C$45:$AI$46,MATCH($O$16,'2. GRI Pricing Inputs'!$C$45:$C$46,0),MATCH(G223,'2. GRI Pricing Inputs'!$C$45:$AI$45,0)),0)</f>
        <v>40</v>
      </c>
      <c r="P223" s="273">
        <f>IFERROR(INDEX('2. GRI Pricing Inputs'!$C$53:$AI$54,MATCH('3. GRI Pricing'!$P$16,'2. GRI Pricing Inputs'!$C$53:$C$54,0),MATCH('3. GRI Pricing'!H223,'2. GRI Pricing Inputs'!$C$53:$AI$53,0)),0)</f>
        <v>10</v>
      </c>
      <c r="Q223" s="273">
        <f>IFERROR(INDEX('2. GRI Pricing Inputs'!$C$60:$AI$61,MATCH('3. GRI Pricing'!$Q$16,'2. GRI Pricing Inputs'!$C$60:$C$61,0),MATCH('1. Accomodation'!T227,'2. GRI Pricing Inputs'!$C$60:$AI$60,0)),0)</f>
        <v>0</v>
      </c>
      <c r="R223" s="273">
        <f>IFERROR(INDEX('2. GRI Pricing Inputs'!$C$67:$AI$68,MATCH('3. GRI Pricing'!$R$16,'2. GRI Pricing Inputs'!$C$67:$C$68,0),MATCH('1. Accomodation'!U227,'2. GRI Pricing Inputs'!$C$67:$AI$67,0)),0)</f>
        <v>0</v>
      </c>
      <c r="S223" s="273">
        <f>IF(D223=0,0,'2. GRI Pricing Inputs'!$AI$75)</f>
        <v>70</v>
      </c>
      <c r="T223" s="273">
        <f>IFERROR(INDEX('2. GRI Pricing Inputs'!$C$82:$AI$83,MATCH('3. GRI Pricing'!$T$16,'2. GRI Pricing Inputs'!$C$82:$C$83,0),MATCH('1. Accomodation'!V227,'2. GRI Pricing Inputs'!$C$82:$AI$82,0)),0)</f>
        <v>0</v>
      </c>
      <c r="U223" s="273">
        <f>IFERROR(INDEX('2. GRI Pricing Inputs'!$C$89:$AI$90,MATCH('3. GRI Pricing'!$U$16,'2. GRI Pricing Inputs'!$C$89:$C$90,0),MATCH('1. Accomodation'!W227,'2. GRI Pricing Inputs'!$C$89:$AI$89,0)),0)</f>
        <v>0</v>
      </c>
      <c r="V223" s="273">
        <f>IFERROR(INDEX('2. GRI Pricing Inputs'!$C$97:$AI$98,MATCH('3. GRI Pricing'!$V$16,'2. GRI Pricing Inputs'!$C$97:$C$98,0),MATCH('1. Accomodation'!X227,'2. GRI Pricing Inputs'!$C$97:$AI$97,0)),0)</f>
        <v>0</v>
      </c>
      <c r="W223" s="273">
        <f>IFERROR(INDEX('2. GRI Pricing Inputs'!$C$104:$AI$105,MATCH('3. GRI Pricing'!$W$16,'2. GRI Pricing Inputs'!$C$104:$C$105,0),MATCH('1. Accomodation'!Y227,'2. GRI Pricing Inputs'!$C$104:$AI$104,0)),0)</f>
        <v>0</v>
      </c>
      <c r="X223" s="274">
        <v>0</v>
      </c>
      <c r="Y223" s="275">
        <f t="shared" si="10"/>
        <v>985</v>
      </c>
      <c r="Z223" s="276"/>
      <c r="AA223" s="276"/>
      <c r="AB223" s="276"/>
      <c r="AC223" s="272">
        <f>Y223*(1+'2. GRI Pricing Inputs'!$D$114)^(($AC$16-$AB$15)/365)</f>
        <v>988.28657903421595</v>
      </c>
      <c r="AD223" s="273">
        <f>AC223*(1+'2. GRI Pricing Inputs'!$D$114)^((AD$16-AC$16)/365)</f>
        <v>991.47758019692367</v>
      </c>
      <c r="AE223" s="273">
        <f>AD223*(1+'2. GRI Pricing Inputs'!$D$114)^((AE$16-AD$16)/365)</f>
        <v>994.78577250958392</v>
      </c>
      <c r="AF223" s="273">
        <f>AE223*(1+'2. GRI Pricing Inputs'!$D$114)^((AF$16-AE$16)/365)</f>
        <v>998.10500303086951</v>
      </c>
      <c r="AG223" s="273">
        <f>AF223*(1+'2. GRI Pricing Inputs'!$D$114)^((AG$16-AF$16)/365)</f>
        <v>1001.2201152387963</v>
      </c>
      <c r="AH223" s="273">
        <f>AG223*(1+'2. GRI Pricing Inputs'!$D$114)^((AH$16-AG$16)/365)</f>
        <v>1004.5608147711608</v>
      </c>
      <c r="AI223" s="273">
        <f>AH223*(1+'2. GRI Pricing Inputs'!$D$114)^((AI$16-AH$16)/365)</f>
        <v>1007.8043625395399</v>
      </c>
      <c r="AJ223" s="273">
        <f>AI223*(1+'2. GRI Pricing Inputs'!$D$114)^((AJ$16-AI$16)/365)</f>
        <v>1011.1670312588432</v>
      </c>
      <c r="AK223" s="273">
        <f>AJ223*(1+'2. GRI Pricing Inputs'!$D$114)^((AK$16-AJ$16)/365)</f>
        <v>1014.4319093224427</v>
      </c>
      <c r="AL223" s="273">
        <f>AK223*(1+'2. GRI Pricing Inputs'!$D$114)^((AL$16-AK$16)/365)</f>
        <v>1017.8166917029694</v>
      </c>
      <c r="AM223" s="273">
        <f>AL223*(1+'2. GRI Pricing Inputs'!$D$114)^((AM$16-AL$16)/365)</f>
        <v>1021.2127678447216</v>
      </c>
      <c r="AN223" s="273">
        <f>AM223*(1+'2. GRI Pricing Inputs'!$D$114)^((AN$16-AM$16)/365)</f>
        <v>1024.510081800709</v>
      </c>
      <c r="AO223" s="273">
        <f>AN223*(1+'2. GRI Pricing Inputs'!$D$114)^((AO$16-AN$16)/365)</f>
        <v>1027.9284912983628</v>
      </c>
    </row>
    <row r="224" spans="3:41" ht="12" x14ac:dyDescent="0.2">
      <c r="C224" s="76" t="str">
        <f>'1. Accomodation'!N228</f>
        <v>213W</v>
      </c>
      <c r="D224" s="69" t="str">
        <f>'1. Accomodation'!P228</f>
        <v>3 Bed</v>
      </c>
      <c r="E224" s="69">
        <f>'1. Accomodation'!Q228</f>
        <v>2</v>
      </c>
      <c r="F224" s="77">
        <f>'1. Accomodation'!O228</f>
        <v>840</v>
      </c>
      <c r="G224" s="69">
        <f>'1. Accomodation'!R228</f>
        <v>2</v>
      </c>
      <c r="H224" s="69" t="str">
        <f>'1. Accomodation'!S228</f>
        <v>Railway Bridge</v>
      </c>
      <c r="I224" s="62"/>
      <c r="K224" s="272">
        <f>IFERROR(INDEX('2. GRI Pricing Inputs'!$C$15:$AI$16,MATCH($K$16,'2. GRI Pricing Inputs'!$C$15:$C$16,0),MATCH(D224,'2. GRI Pricing Inputs'!$C$15:$AI$15,0)),0)</f>
        <v>1485</v>
      </c>
      <c r="L224" s="273">
        <f>IFERROR(INDEX('2. GRI Pricing Inputs'!$C$22:$AI$23,MATCH($L$16,'2. GRI Pricing Inputs'!$C$22:$C$23,0),MATCH(E224,'2. GRI Pricing Inputs'!$C$22:$AI$22,0)),0)</f>
        <v>0</v>
      </c>
      <c r="M224" s="328">
        <f>IF(AND('3. GRI Pricing'!$F224&gt;='2. GRI Pricing Inputs'!$D$33,'3. GRI Pricing'!$F224&lt;='2. GRI Pricing Inputs'!$E$33),'2. GRI Pricing Inputs'!$D$32,IF(AND('3. GRI Pricing'!$F224&gt;='2. GRI Pricing Inputs'!$F$33,'3. GRI Pricing'!$F224&lt;='2. GRI Pricing Inputs'!$G$33),'2. GRI Pricing Inputs'!$F$32,IF(AND('3. GRI Pricing'!$F224&gt;='2. GRI Pricing Inputs'!$H$33,'3. GRI Pricing'!$F224&lt;='2. GRI Pricing Inputs'!$I$33),'2. GRI Pricing Inputs'!$H$32,IF(AND('3. GRI Pricing'!$F224&gt;='2. GRI Pricing Inputs'!$J$33,'3. GRI Pricing'!$F224&lt;='2. GRI Pricing Inputs'!$K$33),'2. GRI Pricing Inputs'!$J$32,IF(AND('3. GRI Pricing'!$F224&gt;='2. GRI Pricing Inputs'!$L$33,'3. GRI Pricing'!$F224&lt;='2. GRI Pricing Inputs'!$M$33),'2. GRI Pricing Inputs'!$L$32,IF(AND('3. GRI Pricing'!$F224&gt;='2. GRI Pricing Inputs'!$N$33,'3. GRI Pricing'!$F224&lt;='2. GRI Pricing Inputs'!$O$33),'2. GRI Pricing Inputs'!$N$32,IF(AND('3. GRI Pricing'!$F224&gt;='2. GRI Pricing Inputs'!$P$33,'3. GRI Pricing'!$F224&lt;='2. GRI Pricing Inputs'!$Q$33),'2. GRI Pricing Inputs'!$P$32,IF(AND('3. GRI Pricing'!$F224&gt;='2. GRI Pricing Inputs'!$R$33,'3. GRI Pricing'!$F224&lt;='2. GRI Pricing Inputs'!$S$33),'2. GRI Pricing Inputs'!$R$32,IF(AND('3. GRI Pricing'!$F224&gt;='2. GRI Pricing Inputs'!$T$33,'3. GRI Pricing'!$F224&lt;='2. GRI Pricing Inputs'!$U$33),'2. GRI Pricing Inputs'!$T$32,IF(AND('3. GRI Pricing'!$F224&gt;='2. GRI Pricing Inputs'!$V$33,'3. GRI Pricing'!$F224&lt;='2. GRI Pricing Inputs'!$W$33),'2. GRI Pricing Inputs'!$V$32,IF(AND('3. GRI Pricing'!$F224&gt;='2. GRI Pricing Inputs'!$X$33,'3. GRI Pricing'!$F224&lt;='2. GRI Pricing Inputs'!$Y$33),'2. GRI Pricing Inputs'!$X$32,IF(AND('3. GRI Pricing'!$F224&gt;='2. GRI Pricing Inputs'!$Z$33,'3. GRI Pricing'!$F224&lt;='2. GRI Pricing Inputs'!$AA$33),'2. GRI Pricing Inputs'!$Z$32,IF(AND('3. GRI Pricing'!$F224&gt;='2. GRI Pricing Inputs'!$AB$33,'3. GRI Pricing'!$F224&lt;='2. GRI Pricing Inputs'!$AC$33),'2. GRI Pricing Inputs'!$AB$32,IF(AND('3. GRI Pricing'!$F224&gt;='2. GRI Pricing Inputs'!$AD$33,'3. GRI Pricing'!$F224&lt;='2. GRI Pricing Inputs'!$AE$33),'2. GRI Pricing Inputs'!$AD$32,IF(AND('3. GRI Pricing'!$F224&gt;='2. GRI Pricing Inputs'!$AF$33,'3. GRI Pricing'!$F224&lt;='2. GRI Pricing Inputs'!$AG$33),'2. GRI Pricing Inputs'!$AF$32,IF(AND('3. GRI Pricing'!$F224&gt;='2. GRI Pricing Inputs'!$AH$33,'3. GRI Pricing'!$F224&lt;='2. GRI Pricing Inputs'!$AI$33),'2. GRI Pricing Inputs'!$AH$32,0))))))))))))))))</f>
        <v>15</v>
      </c>
      <c r="N224" s="273" cm="1">
        <f t="array" ref="N224">IFERROR(INDEX('2. GRI Pricing Inputs'!$C$32:$AI$39,MATCH('3. GRI Pricing'!D224,'2. GRI Pricing Inputs'!$C$32:$C$39,0),(MATCH('3. GRI Pricing'!M224,'2. GRI Pricing Inputs'!$D$32:$AI$32,0)+1)),0)</f>
        <v>70</v>
      </c>
      <c r="O224" s="273">
        <f>IFERROR(INDEX('2. GRI Pricing Inputs'!$C$45:$AI$46,MATCH($O$16,'2. GRI Pricing Inputs'!$C$45:$C$46,0),MATCH(G224,'2. GRI Pricing Inputs'!$C$45:$AI$45,0)),0)</f>
        <v>40</v>
      </c>
      <c r="P224" s="273">
        <f>IFERROR(INDEX('2. GRI Pricing Inputs'!$C$53:$AI$54,MATCH('3. GRI Pricing'!$P$16,'2. GRI Pricing Inputs'!$C$53:$C$54,0),MATCH('3. GRI Pricing'!H224,'2. GRI Pricing Inputs'!$C$53:$AI$53,0)),0)</f>
        <v>10</v>
      </c>
      <c r="Q224" s="273">
        <f>IFERROR(INDEX('2. GRI Pricing Inputs'!$C$60:$AI$61,MATCH('3. GRI Pricing'!$Q$16,'2. GRI Pricing Inputs'!$C$60:$C$61,0),MATCH('1. Accomodation'!T228,'2. GRI Pricing Inputs'!$C$60:$AI$60,0)),0)</f>
        <v>0</v>
      </c>
      <c r="R224" s="273">
        <f>IFERROR(INDEX('2. GRI Pricing Inputs'!$C$67:$AI$68,MATCH('3. GRI Pricing'!$R$16,'2. GRI Pricing Inputs'!$C$67:$C$68,0),MATCH('1. Accomodation'!U228,'2. GRI Pricing Inputs'!$C$67:$AI$67,0)),0)</f>
        <v>0</v>
      </c>
      <c r="S224" s="273">
        <f>IF(D224=0,0,'2. GRI Pricing Inputs'!$AI$75)</f>
        <v>70</v>
      </c>
      <c r="T224" s="273">
        <f>IFERROR(INDEX('2. GRI Pricing Inputs'!$C$82:$AI$83,MATCH('3. GRI Pricing'!$T$16,'2. GRI Pricing Inputs'!$C$82:$C$83,0),MATCH('1. Accomodation'!V228,'2. GRI Pricing Inputs'!$C$82:$AI$82,0)),0)</f>
        <v>0</v>
      </c>
      <c r="U224" s="273">
        <f>IFERROR(INDEX('2. GRI Pricing Inputs'!$C$89:$AI$90,MATCH('3. GRI Pricing'!$U$16,'2. GRI Pricing Inputs'!$C$89:$C$90,0),MATCH('1. Accomodation'!W228,'2. GRI Pricing Inputs'!$C$89:$AI$89,0)),0)</f>
        <v>0</v>
      </c>
      <c r="V224" s="273">
        <f>IFERROR(INDEX('2. GRI Pricing Inputs'!$C$97:$AI$98,MATCH('3. GRI Pricing'!$V$16,'2. GRI Pricing Inputs'!$C$97:$C$98,0),MATCH('1. Accomodation'!X228,'2. GRI Pricing Inputs'!$C$97:$AI$97,0)),0)</f>
        <v>0</v>
      </c>
      <c r="W224" s="273">
        <f>IFERROR(INDEX('2. GRI Pricing Inputs'!$C$104:$AI$105,MATCH('3. GRI Pricing'!$W$16,'2. GRI Pricing Inputs'!$C$104:$C$105,0),MATCH('1. Accomodation'!Y228,'2. GRI Pricing Inputs'!$C$104:$AI$104,0)),0)</f>
        <v>0</v>
      </c>
      <c r="X224" s="274">
        <v>0</v>
      </c>
      <c r="Y224" s="275">
        <f t="shared" si="10"/>
        <v>1675</v>
      </c>
      <c r="Z224" s="276"/>
      <c r="AA224" s="276"/>
      <c r="AB224" s="276"/>
      <c r="AC224" s="272">
        <f>Y224*(1+'2. GRI Pricing Inputs'!$D$114)^(($AC$16-$AB$15)/365)</f>
        <v>1680.5888526723977</v>
      </c>
      <c r="AD224" s="273">
        <f>AC224*(1+'2. GRI Pricing Inputs'!$D$114)^((AD$16-AC$16)/365)</f>
        <v>1686.0151744465454</v>
      </c>
      <c r="AE224" s="273">
        <f>AD224*(1+'2. GRI Pricing Inputs'!$D$114)^((AE$16-AD$16)/365)</f>
        <v>1691.6407806635057</v>
      </c>
      <c r="AF224" s="273">
        <f>AE224*(1+'2. GRI Pricing Inputs'!$D$114)^((AF$16-AE$16)/365)</f>
        <v>1697.2851574382805</v>
      </c>
      <c r="AG224" s="273">
        <f>AF224*(1+'2. GRI Pricing Inputs'!$D$114)^((AG$16-AF$16)/365)</f>
        <v>1702.5824294669885</v>
      </c>
      <c r="AH224" s="273">
        <f>AG224*(1+'2. GRI Pricing Inputs'!$D$114)^((AH$16-AG$16)/365)</f>
        <v>1708.2633144585729</v>
      </c>
      <c r="AI224" s="273">
        <f>AH224*(1+'2. GRI Pricing Inputs'!$D$114)^((AI$16-AH$16)/365)</f>
        <v>1713.7789921357657</v>
      </c>
      <c r="AJ224" s="273">
        <f>AI224*(1+'2. GRI Pricing Inputs'!$D$114)^((AJ$16-AI$16)/365)</f>
        <v>1719.4972358970176</v>
      </c>
      <c r="AK224" s="273">
        <f>AJ224*(1+'2. GRI Pricing Inputs'!$D$114)^((AK$16-AJ$16)/365)</f>
        <v>1725.0491859036463</v>
      </c>
      <c r="AL224" s="273">
        <f>AK224*(1+'2. GRI Pricing Inputs'!$D$114)^((AL$16-AK$16)/365)</f>
        <v>1730.8050341141866</v>
      </c>
      <c r="AM224" s="273">
        <f>AL224*(1+'2. GRI Pricing Inputs'!$D$114)^((AM$16-AL$16)/365)</f>
        <v>1736.5800874516842</v>
      </c>
      <c r="AN224" s="273">
        <f>AM224*(1+'2. GRI Pricing Inputs'!$D$114)^((AN$16-AM$16)/365)</f>
        <v>1742.1871949402921</v>
      </c>
      <c r="AO224" s="273">
        <f>AN224*(1+'2. GRI Pricing Inputs'!$D$114)^((AO$16-AN$16)/365)</f>
        <v>1748.0002263195513</v>
      </c>
    </row>
    <row r="225" spans="3:41" ht="12" x14ac:dyDescent="0.2">
      <c r="C225" s="76" t="str">
        <f>'1. Accomodation'!N229</f>
        <v>214W</v>
      </c>
      <c r="D225" s="69" t="str">
        <f>'1. Accomodation'!P229</f>
        <v>2 Bed</v>
      </c>
      <c r="E225" s="69">
        <f>'1. Accomodation'!Q229</f>
        <v>2</v>
      </c>
      <c r="F225" s="77">
        <f>'1. Accomodation'!O229</f>
        <v>624</v>
      </c>
      <c r="G225" s="69">
        <f>'1. Accomodation'!R229</f>
        <v>2</v>
      </c>
      <c r="H225" s="69" t="str">
        <f>'1. Accomodation'!S229</f>
        <v>Railway Bridge</v>
      </c>
      <c r="I225" s="62"/>
      <c r="K225" s="272">
        <f>IFERROR(INDEX('2. GRI Pricing Inputs'!$C$15:$AI$16,MATCH($K$16,'2. GRI Pricing Inputs'!$C$15:$C$16,0),MATCH(D225,'2. GRI Pricing Inputs'!$C$15:$AI$15,0)),0)</f>
        <v>1110</v>
      </c>
      <c r="L225" s="273">
        <f>IFERROR(INDEX('2. GRI Pricing Inputs'!$C$22:$AI$23,MATCH($L$16,'2. GRI Pricing Inputs'!$C$22:$C$23,0),MATCH(E225,'2. GRI Pricing Inputs'!$C$22:$AI$22,0)),0)</f>
        <v>0</v>
      </c>
      <c r="M225" s="328">
        <f>IF(AND('3. GRI Pricing'!$F225&gt;='2. GRI Pricing Inputs'!$D$33,'3. GRI Pricing'!$F225&lt;='2. GRI Pricing Inputs'!$E$33),'2. GRI Pricing Inputs'!$D$32,IF(AND('3. GRI Pricing'!$F225&gt;='2. GRI Pricing Inputs'!$F$33,'3. GRI Pricing'!$F225&lt;='2. GRI Pricing Inputs'!$G$33),'2. GRI Pricing Inputs'!$F$32,IF(AND('3. GRI Pricing'!$F225&gt;='2. GRI Pricing Inputs'!$H$33,'3. GRI Pricing'!$F225&lt;='2. GRI Pricing Inputs'!$I$33),'2. GRI Pricing Inputs'!$H$32,IF(AND('3. GRI Pricing'!$F225&gt;='2. GRI Pricing Inputs'!$J$33,'3. GRI Pricing'!$F225&lt;='2. GRI Pricing Inputs'!$K$33),'2. GRI Pricing Inputs'!$J$32,IF(AND('3. GRI Pricing'!$F225&gt;='2. GRI Pricing Inputs'!$L$33,'3. GRI Pricing'!$F225&lt;='2. GRI Pricing Inputs'!$M$33),'2. GRI Pricing Inputs'!$L$32,IF(AND('3. GRI Pricing'!$F225&gt;='2. GRI Pricing Inputs'!$N$33,'3. GRI Pricing'!$F225&lt;='2. GRI Pricing Inputs'!$O$33),'2. GRI Pricing Inputs'!$N$32,IF(AND('3. GRI Pricing'!$F225&gt;='2. GRI Pricing Inputs'!$P$33,'3. GRI Pricing'!$F225&lt;='2. GRI Pricing Inputs'!$Q$33),'2. GRI Pricing Inputs'!$P$32,IF(AND('3. GRI Pricing'!$F225&gt;='2. GRI Pricing Inputs'!$R$33,'3. GRI Pricing'!$F225&lt;='2. GRI Pricing Inputs'!$S$33),'2. GRI Pricing Inputs'!$R$32,IF(AND('3. GRI Pricing'!$F225&gt;='2. GRI Pricing Inputs'!$T$33,'3. GRI Pricing'!$F225&lt;='2. GRI Pricing Inputs'!$U$33),'2. GRI Pricing Inputs'!$T$32,IF(AND('3. GRI Pricing'!$F225&gt;='2. GRI Pricing Inputs'!$V$33,'3. GRI Pricing'!$F225&lt;='2. GRI Pricing Inputs'!$W$33),'2. GRI Pricing Inputs'!$V$32,IF(AND('3. GRI Pricing'!$F225&gt;='2. GRI Pricing Inputs'!$X$33,'3. GRI Pricing'!$F225&lt;='2. GRI Pricing Inputs'!$Y$33),'2. GRI Pricing Inputs'!$X$32,IF(AND('3. GRI Pricing'!$F225&gt;='2. GRI Pricing Inputs'!$Z$33,'3. GRI Pricing'!$F225&lt;='2. GRI Pricing Inputs'!$AA$33),'2. GRI Pricing Inputs'!$Z$32,IF(AND('3. GRI Pricing'!$F225&gt;='2. GRI Pricing Inputs'!$AB$33,'3. GRI Pricing'!$F225&lt;='2. GRI Pricing Inputs'!$AC$33),'2. GRI Pricing Inputs'!$AB$32,IF(AND('3. GRI Pricing'!$F225&gt;='2. GRI Pricing Inputs'!$AD$33,'3. GRI Pricing'!$F225&lt;='2. GRI Pricing Inputs'!$AE$33),'2. GRI Pricing Inputs'!$AD$32,IF(AND('3. GRI Pricing'!$F225&gt;='2. GRI Pricing Inputs'!$AF$33,'3. GRI Pricing'!$F225&lt;='2. GRI Pricing Inputs'!$AG$33),'2. GRI Pricing Inputs'!$AF$32,IF(AND('3. GRI Pricing'!$F225&gt;='2. GRI Pricing Inputs'!$AH$33,'3. GRI Pricing'!$F225&lt;='2. GRI Pricing Inputs'!$AI$33),'2. GRI Pricing Inputs'!$AH$32,0))))))))))))))))</f>
        <v>7</v>
      </c>
      <c r="N225" s="273" cm="1">
        <f t="array" ref="N225">IFERROR(INDEX('2. GRI Pricing Inputs'!$C$32:$AI$39,MATCH('3. GRI Pricing'!D225,'2. GRI Pricing Inputs'!$C$32:$C$39,0),(MATCH('3. GRI Pricing'!M225,'2. GRI Pricing Inputs'!$D$32:$AI$32,0)+1)),0)</f>
        <v>10</v>
      </c>
      <c r="O225" s="273">
        <f>IFERROR(INDEX('2. GRI Pricing Inputs'!$C$45:$AI$46,MATCH($O$16,'2. GRI Pricing Inputs'!$C$45:$C$46,0),MATCH(G225,'2. GRI Pricing Inputs'!$C$45:$AI$45,0)),0)</f>
        <v>40</v>
      </c>
      <c r="P225" s="273">
        <f>IFERROR(INDEX('2. GRI Pricing Inputs'!$C$53:$AI$54,MATCH('3. GRI Pricing'!$P$16,'2. GRI Pricing Inputs'!$C$53:$C$54,0),MATCH('3. GRI Pricing'!H225,'2. GRI Pricing Inputs'!$C$53:$AI$53,0)),0)</f>
        <v>10</v>
      </c>
      <c r="Q225" s="273">
        <f>IFERROR(INDEX('2. GRI Pricing Inputs'!$C$60:$AI$61,MATCH('3. GRI Pricing'!$Q$16,'2. GRI Pricing Inputs'!$C$60:$C$61,0),MATCH('1. Accomodation'!T229,'2. GRI Pricing Inputs'!$C$60:$AI$60,0)),0)</f>
        <v>0</v>
      </c>
      <c r="R225" s="273">
        <f>IFERROR(INDEX('2. GRI Pricing Inputs'!$C$67:$AI$68,MATCH('3. GRI Pricing'!$R$16,'2. GRI Pricing Inputs'!$C$67:$C$68,0),MATCH('1. Accomodation'!U229,'2. GRI Pricing Inputs'!$C$67:$AI$67,0)),0)</f>
        <v>0</v>
      </c>
      <c r="S225" s="273">
        <f>IF(D225=0,0,'2. GRI Pricing Inputs'!$AI$75)</f>
        <v>70</v>
      </c>
      <c r="T225" s="273">
        <f>IFERROR(INDEX('2. GRI Pricing Inputs'!$C$82:$AI$83,MATCH('3. GRI Pricing'!$T$16,'2. GRI Pricing Inputs'!$C$82:$C$83,0),MATCH('1. Accomodation'!V229,'2. GRI Pricing Inputs'!$C$82:$AI$82,0)),0)</f>
        <v>0</v>
      </c>
      <c r="U225" s="273">
        <f>IFERROR(INDEX('2. GRI Pricing Inputs'!$C$89:$AI$90,MATCH('3. GRI Pricing'!$U$16,'2. GRI Pricing Inputs'!$C$89:$C$90,0),MATCH('1. Accomodation'!W229,'2. GRI Pricing Inputs'!$C$89:$AI$89,0)),0)</f>
        <v>0</v>
      </c>
      <c r="V225" s="273">
        <f>IFERROR(INDEX('2. GRI Pricing Inputs'!$C$97:$AI$98,MATCH('3. GRI Pricing'!$V$16,'2. GRI Pricing Inputs'!$C$97:$C$98,0),MATCH('1. Accomodation'!X229,'2. GRI Pricing Inputs'!$C$97:$AI$97,0)),0)</f>
        <v>0</v>
      </c>
      <c r="W225" s="273">
        <f>IFERROR(INDEX('2. GRI Pricing Inputs'!$C$104:$AI$105,MATCH('3. GRI Pricing'!$W$16,'2. GRI Pricing Inputs'!$C$104:$C$105,0),MATCH('1. Accomodation'!Y229,'2. GRI Pricing Inputs'!$C$104:$AI$104,0)),0)</f>
        <v>0</v>
      </c>
      <c r="X225" s="274">
        <v>0</v>
      </c>
      <c r="Y225" s="275">
        <f t="shared" si="10"/>
        <v>1240</v>
      </c>
      <c r="Z225" s="276"/>
      <c r="AA225" s="276"/>
      <c r="AB225" s="276"/>
      <c r="AC225" s="272">
        <f>Y225*(1+'2. GRI Pricing Inputs'!$D$114)^(($AC$16-$AB$15)/365)</f>
        <v>1244.1374192918049</v>
      </c>
      <c r="AD225" s="273">
        <f>AC225*(1+'2. GRI Pricing Inputs'!$D$114)^((AD$16-AC$16)/365)</f>
        <v>1248.1545172022188</v>
      </c>
      <c r="AE225" s="273">
        <f>AD225*(1+'2. GRI Pricing Inputs'!$D$114)^((AE$16-AD$16)/365)</f>
        <v>1252.3191450882073</v>
      </c>
      <c r="AF225" s="273">
        <f>AE225*(1+'2. GRI Pricing Inputs'!$D$114)^((AF$16-AE$16)/365)</f>
        <v>1256.4976687901303</v>
      </c>
      <c r="AG225" s="273">
        <f>AF225*(1+'2. GRI Pricing Inputs'!$D$114)^((AG$16-AF$16)/365)</f>
        <v>1260.4192313666067</v>
      </c>
      <c r="AH225" s="273">
        <f>AG225*(1+'2. GRI Pricing Inputs'!$D$114)^((AH$16-AG$16)/365)</f>
        <v>1264.6247820469439</v>
      </c>
      <c r="AI225" s="273">
        <f>AH225*(1+'2. GRI Pricing Inputs'!$D$114)^((AI$16-AH$16)/365)</f>
        <v>1268.708029999015</v>
      </c>
      <c r="AJ225" s="273">
        <f>AI225*(1+'2. GRI Pricing Inputs'!$D$114)^((AJ$16-AI$16)/365)</f>
        <v>1272.9412373207776</v>
      </c>
      <c r="AK225" s="273">
        <f>AJ225*(1+'2. GRI Pricing Inputs'!$D$114)^((AK$16-AJ$16)/365)</f>
        <v>1277.0513376241925</v>
      </c>
      <c r="AL225" s="273">
        <f>AK225*(1+'2. GRI Pricing Inputs'!$D$114)^((AL$16-AK$16)/365)</f>
        <v>1281.3123834636372</v>
      </c>
      <c r="AM225" s="273">
        <f>AL225*(1+'2. GRI Pricing Inputs'!$D$114)^((AM$16-AL$16)/365)</f>
        <v>1285.5876468299041</v>
      </c>
      <c r="AN225" s="273">
        <f>AM225*(1+'2. GRI Pricing Inputs'!$D$114)^((AN$16-AM$16)/365)</f>
        <v>1289.7385801349033</v>
      </c>
      <c r="AO225" s="273">
        <f>AN225*(1+'2. GRI Pricing Inputs'!$D$114)^((AO$16-AN$16)/365)</f>
        <v>1294.0419585888026</v>
      </c>
    </row>
    <row r="226" spans="3:41" ht="12" x14ac:dyDescent="0.2">
      <c r="C226" s="76" t="str">
        <f>'1. Accomodation'!N230</f>
        <v>301W</v>
      </c>
      <c r="D226" s="69" t="str">
        <f>'1. Accomodation'!P230</f>
        <v>2 Bed</v>
      </c>
      <c r="E226" s="69">
        <f>'1. Accomodation'!Q230</f>
        <v>2</v>
      </c>
      <c r="F226" s="77">
        <f>'1. Accomodation'!O230</f>
        <v>689</v>
      </c>
      <c r="G226" s="69">
        <f>'1. Accomodation'!R230</f>
        <v>3</v>
      </c>
      <c r="H226" s="69" t="str">
        <f>'1. Accomodation'!S230</f>
        <v>Pottery Lane</v>
      </c>
      <c r="I226" s="62"/>
      <c r="K226" s="272">
        <f>IFERROR(INDEX('2. GRI Pricing Inputs'!$C$15:$AI$16,MATCH($K$16,'2. GRI Pricing Inputs'!$C$15:$C$16,0),MATCH(D226,'2. GRI Pricing Inputs'!$C$15:$AI$15,0)),0)</f>
        <v>1110</v>
      </c>
      <c r="L226" s="273">
        <f>IFERROR(INDEX('2. GRI Pricing Inputs'!$C$22:$AI$23,MATCH($L$16,'2. GRI Pricing Inputs'!$C$22:$C$23,0),MATCH(E226,'2. GRI Pricing Inputs'!$C$22:$AI$22,0)),0)</f>
        <v>0</v>
      </c>
      <c r="M226" s="328">
        <f>IF(AND('3. GRI Pricing'!$F226&gt;='2. GRI Pricing Inputs'!$D$33,'3. GRI Pricing'!$F226&lt;='2. GRI Pricing Inputs'!$E$33),'2. GRI Pricing Inputs'!$D$32,IF(AND('3. GRI Pricing'!$F226&gt;='2. GRI Pricing Inputs'!$F$33,'3. GRI Pricing'!$F226&lt;='2. GRI Pricing Inputs'!$G$33),'2. GRI Pricing Inputs'!$F$32,IF(AND('3. GRI Pricing'!$F226&gt;='2. GRI Pricing Inputs'!$H$33,'3. GRI Pricing'!$F226&lt;='2. GRI Pricing Inputs'!$I$33),'2. GRI Pricing Inputs'!$H$32,IF(AND('3. GRI Pricing'!$F226&gt;='2. GRI Pricing Inputs'!$J$33,'3. GRI Pricing'!$F226&lt;='2. GRI Pricing Inputs'!$K$33),'2. GRI Pricing Inputs'!$J$32,IF(AND('3. GRI Pricing'!$F226&gt;='2. GRI Pricing Inputs'!$L$33,'3. GRI Pricing'!$F226&lt;='2. GRI Pricing Inputs'!$M$33),'2. GRI Pricing Inputs'!$L$32,IF(AND('3. GRI Pricing'!$F226&gt;='2. GRI Pricing Inputs'!$N$33,'3. GRI Pricing'!$F226&lt;='2. GRI Pricing Inputs'!$O$33),'2. GRI Pricing Inputs'!$N$32,IF(AND('3. GRI Pricing'!$F226&gt;='2. GRI Pricing Inputs'!$P$33,'3. GRI Pricing'!$F226&lt;='2. GRI Pricing Inputs'!$Q$33),'2. GRI Pricing Inputs'!$P$32,IF(AND('3. GRI Pricing'!$F226&gt;='2. GRI Pricing Inputs'!$R$33,'3. GRI Pricing'!$F226&lt;='2. GRI Pricing Inputs'!$S$33),'2. GRI Pricing Inputs'!$R$32,IF(AND('3. GRI Pricing'!$F226&gt;='2. GRI Pricing Inputs'!$T$33,'3. GRI Pricing'!$F226&lt;='2. GRI Pricing Inputs'!$U$33),'2. GRI Pricing Inputs'!$T$32,IF(AND('3. GRI Pricing'!$F226&gt;='2. GRI Pricing Inputs'!$V$33,'3. GRI Pricing'!$F226&lt;='2. GRI Pricing Inputs'!$W$33),'2. GRI Pricing Inputs'!$V$32,IF(AND('3. GRI Pricing'!$F226&gt;='2. GRI Pricing Inputs'!$X$33,'3. GRI Pricing'!$F226&lt;='2. GRI Pricing Inputs'!$Y$33),'2. GRI Pricing Inputs'!$X$32,IF(AND('3. GRI Pricing'!$F226&gt;='2. GRI Pricing Inputs'!$Z$33,'3. GRI Pricing'!$F226&lt;='2. GRI Pricing Inputs'!$AA$33),'2. GRI Pricing Inputs'!$Z$32,IF(AND('3. GRI Pricing'!$F226&gt;='2. GRI Pricing Inputs'!$AB$33,'3. GRI Pricing'!$F226&lt;='2. GRI Pricing Inputs'!$AC$33),'2. GRI Pricing Inputs'!$AB$32,IF(AND('3. GRI Pricing'!$F226&gt;='2. GRI Pricing Inputs'!$AD$33,'3. GRI Pricing'!$F226&lt;='2. GRI Pricing Inputs'!$AE$33),'2. GRI Pricing Inputs'!$AD$32,IF(AND('3. GRI Pricing'!$F226&gt;='2. GRI Pricing Inputs'!$AF$33,'3. GRI Pricing'!$F226&lt;='2. GRI Pricing Inputs'!$AG$33),'2. GRI Pricing Inputs'!$AF$32,IF(AND('3. GRI Pricing'!$F226&gt;='2. GRI Pricing Inputs'!$AH$33,'3. GRI Pricing'!$F226&lt;='2. GRI Pricing Inputs'!$AI$33),'2. GRI Pricing Inputs'!$AH$32,0))))))))))))))))</f>
        <v>11</v>
      </c>
      <c r="N226" s="273" cm="1">
        <f t="array" ref="N226">IFERROR(INDEX('2. GRI Pricing Inputs'!$C$32:$AI$39,MATCH('3. GRI Pricing'!D226,'2. GRI Pricing Inputs'!$C$32:$C$39,0),(MATCH('3. GRI Pricing'!M226,'2. GRI Pricing Inputs'!$D$32:$AI$32,0)+1)),0)</f>
        <v>65</v>
      </c>
      <c r="O226" s="273">
        <f>IFERROR(INDEX('2. GRI Pricing Inputs'!$C$45:$AI$46,MATCH($O$16,'2. GRI Pricing Inputs'!$C$45:$C$46,0),MATCH(G226,'2. GRI Pricing Inputs'!$C$45:$AI$45,0)),0)</f>
        <v>50</v>
      </c>
      <c r="P226" s="273">
        <f>IFERROR(INDEX('2. GRI Pricing Inputs'!$C$53:$AI$54,MATCH('3. GRI Pricing'!$P$16,'2. GRI Pricing Inputs'!$C$53:$C$54,0),MATCH('3. GRI Pricing'!H226,'2. GRI Pricing Inputs'!$C$53:$AI$53,0)),0)</f>
        <v>10</v>
      </c>
      <c r="Q226" s="273">
        <f>IFERROR(INDEX('2. GRI Pricing Inputs'!$C$60:$AI$61,MATCH('3. GRI Pricing'!$Q$16,'2. GRI Pricing Inputs'!$C$60:$C$61,0),MATCH('1. Accomodation'!T230,'2. GRI Pricing Inputs'!$C$60:$AI$60,0)),0)</f>
        <v>0</v>
      </c>
      <c r="R226" s="273">
        <f>IFERROR(INDEX('2. GRI Pricing Inputs'!$C$67:$AI$68,MATCH('3. GRI Pricing'!$R$16,'2. GRI Pricing Inputs'!$C$67:$C$68,0),MATCH('1. Accomodation'!U230,'2. GRI Pricing Inputs'!$C$67:$AI$67,0)),0)</f>
        <v>0</v>
      </c>
      <c r="S226" s="273">
        <f>IF(D226=0,0,'2. GRI Pricing Inputs'!$AI$75)</f>
        <v>70</v>
      </c>
      <c r="T226" s="273">
        <f>IFERROR(INDEX('2. GRI Pricing Inputs'!$C$82:$AI$83,MATCH('3. GRI Pricing'!$T$16,'2. GRI Pricing Inputs'!$C$82:$C$83,0),MATCH('1. Accomodation'!V230,'2. GRI Pricing Inputs'!$C$82:$AI$82,0)),0)</f>
        <v>0</v>
      </c>
      <c r="U226" s="273">
        <f>IFERROR(INDEX('2. GRI Pricing Inputs'!$C$89:$AI$90,MATCH('3. GRI Pricing'!$U$16,'2. GRI Pricing Inputs'!$C$89:$C$90,0),MATCH('1. Accomodation'!W230,'2. GRI Pricing Inputs'!$C$89:$AI$89,0)),0)</f>
        <v>0</v>
      </c>
      <c r="V226" s="273">
        <f>IFERROR(INDEX('2. GRI Pricing Inputs'!$C$97:$AI$98,MATCH('3. GRI Pricing'!$V$16,'2. GRI Pricing Inputs'!$C$97:$C$98,0),MATCH('1. Accomodation'!X230,'2. GRI Pricing Inputs'!$C$97:$AI$97,0)),0)</f>
        <v>0</v>
      </c>
      <c r="W226" s="273">
        <f>IFERROR(INDEX('2. GRI Pricing Inputs'!$C$104:$AI$105,MATCH('3. GRI Pricing'!$W$16,'2. GRI Pricing Inputs'!$C$104:$C$105,0),MATCH('1. Accomodation'!Y230,'2. GRI Pricing Inputs'!$C$104:$AI$104,0)),0)</f>
        <v>0</v>
      </c>
      <c r="X226" s="274">
        <v>0</v>
      </c>
      <c r="Y226" s="275">
        <f t="shared" si="10"/>
        <v>1305</v>
      </c>
      <c r="Z226" s="276"/>
      <c r="AA226" s="276"/>
      <c r="AB226" s="276"/>
      <c r="AC226" s="272">
        <f>Y226*(1+'2. GRI Pricing Inputs'!$D$114)^(($AC$16-$AB$15)/365)</f>
        <v>1309.3543001417784</v>
      </c>
      <c r="AD226" s="273">
        <f>AC226*(1+'2. GRI Pricing Inputs'!$D$114)^((AD$16-AC$16)/365)</f>
        <v>1313.58197173298</v>
      </c>
      <c r="AE226" s="273">
        <f>AD226*(1+'2. GRI Pricing Inputs'!$D$114)^((AE$16-AD$16)/365)</f>
        <v>1317.9649067258954</v>
      </c>
      <c r="AF226" s="273">
        <f>AE226*(1+'2. GRI Pricing Inputs'!$D$114)^((AF$16-AE$16)/365)</f>
        <v>1322.3624659444515</v>
      </c>
      <c r="AG226" s="273">
        <f>AF226*(1+'2. GRI Pricing Inputs'!$D$114)^((AG$16-AF$16)/365)</f>
        <v>1326.4895943011463</v>
      </c>
      <c r="AH226" s="273">
        <f>AG226*(1+'2. GRI Pricing Inputs'!$D$114)^((AH$16-AG$16)/365)</f>
        <v>1330.9155972348881</v>
      </c>
      <c r="AI226" s="273">
        <f>AH226*(1+'2. GRI Pricing Inputs'!$D$114)^((AI$16-AH$16)/365)</f>
        <v>1335.2128864102533</v>
      </c>
      <c r="AJ226" s="273">
        <f>AI226*(1+'2. GRI Pricing Inputs'!$D$114)^((AJ$16-AI$16)/365)</f>
        <v>1339.6679957287213</v>
      </c>
      <c r="AK226" s="273">
        <f>AJ226*(1+'2. GRI Pricing Inputs'!$D$114)^((AK$16-AJ$16)/365)</f>
        <v>1343.9935448383633</v>
      </c>
      <c r="AL226" s="273">
        <f>AK226*(1+'2. GRI Pricing Inputs'!$D$114)^((AL$16-AK$16)/365)</f>
        <v>1348.4779519516499</v>
      </c>
      <c r="AM226" s="273">
        <f>AL226*(1+'2. GRI Pricing Inputs'!$D$114)^((AM$16-AL$16)/365)</f>
        <v>1352.977321865342</v>
      </c>
      <c r="AN226" s="273">
        <f>AM226*(1+'2. GRI Pricing Inputs'!$D$114)^((AN$16-AM$16)/365)</f>
        <v>1357.3458444161679</v>
      </c>
      <c r="AO226" s="273">
        <f>AN226*(1+'2. GRI Pricing Inputs'!$D$114)^((AO$16-AN$16)/365)</f>
        <v>1361.8748031922473</v>
      </c>
    </row>
    <row r="227" spans="3:41" ht="12" x14ac:dyDescent="0.2">
      <c r="C227" s="76" t="str">
        <f>'1. Accomodation'!N231</f>
        <v>302W</v>
      </c>
      <c r="D227" s="69" t="str">
        <f>'1. Accomodation'!P231</f>
        <v>1 Bed</v>
      </c>
      <c r="E227" s="69">
        <f>'1. Accomodation'!Q231</f>
        <v>1</v>
      </c>
      <c r="F227" s="77">
        <f>'1. Accomodation'!O231</f>
        <v>495</v>
      </c>
      <c r="G227" s="69">
        <f>'1. Accomodation'!R231</f>
        <v>3</v>
      </c>
      <c r="H227" s="69" t="str">
        <f>'1. Accomodation'!S231</f>
        <v>Courtyard</v>
      </c>
      <c r="I227" s="62"/>
      <c r="K227" s="272">
        <f>IFERROR(INDEX('2. GRI Pricing Inputs'!$C$15:$AI$16,MATCH($K$16,'2. GRI Pricing Inputs'!$C$15:$C$16,0),MATCH(D227,'2. GRI Pricing Inputs'!$C$15:$AI$15,0)),0)</f>
        <v>845</v>
      </c>
      <c r="L227" s="273">
        <f>IFERROR(INDEX('2. GRI Pricing Inputs'!$C$22:$AI$23,MATCH($L$16,'2. GRI Pricing Inputs'!$C$22:$C$23,0),MATCH(E227,'2. GRI Pricing Inputs'!$C$22:$AI$22,0)),0)</f>
        <v>0</v>
      </c>
      <c r="M227" s="328">
        <f>IF(AND('3. GRI Pricing'!$F227&gt;='2. GRI Pricing Inputs'!$D$33,'3. GRI Pricing'!$F227&lt;='2. GRI Pricing Inputs'!$E$33),'2. GRI Pricing Inputs'!$D$32,IF(AND('3. GRI Pricing'!$F227&gt;='2. GRI Pricing Inputs'!$F$33,'3. GRI Pricing'!$F227&lt;='2. GRI Pricing Inputs'!$G$33),'2. GRI Pricing Inputs'!$F$32,IF(AND('3. GRI Pricing'!$F227&gt;='2. GRI Pricing Inputs'!$H$33,'3. GRI Pricing'!$F227&lt;='2. GRI Pricing Inputs'!$I$33),'2. GRI Pricing Inputs'!$H$32,IF(AND('3. GRI Pricing'!$F227&gt;='2. GRI Pricing Inputs'!$J$33,'3. GRI Pricing'!$F227&lt;='2. GRI Pricing Inputs'!$K$33),'2. GRI Pricing Inputs'!$J$32,IF(AND('3. GRI Pricing'!$F227&gt;='2. GRI Pricing Inputs'!$L$33,'3. GRI Pricing'!$F227&lt;='2. GRI Pricing Inputs'!$M$33),'2. GRI Pricing Inputs'!$L$32,IF(AND('3. GRI Pricing'!$F227&gt;='2. GRI Pricing Inputs'!$N$33,'3. GRI Pricing'!$F227&lt;='2. GRI Pricing Inputs'!$O$33),'2. GRI Pricing Inputs'!$N$32,IF(AND('3. GRI Pricing'!$F227&gt;='2. GRI Pricing Inputs'!$P$33,'3. GRI Pricing'!$F227&lt;='2. GRI Pricing Inputs'!$Q$33),'2. GRI Pricing Inputs'!$P$32,IF(AND('3. GRI Pricing'!$F227&gt;='2. GRI Pricing Inputs'!$R$33,'3. GRI Pricing'!$F227&lt;='2. GRI Pricing Inputs'!$S$33),'2. GRI Pricing Inputs'!$R$32,IF(AND('3. GRI Pricing'!$F227&gt;='2. GRI Pricing Inputs'!$T$33,'3. GRI Pricing'!$F227&lt;='2. GRI Pricing Inputs'!$U$33),'2. GRI Pricing Inputs'!$T$32,IF(AND('3. GRI Pricing'!$F227&gt;='2. GRI Pricing Inputs'!$V$33,'3. GRI Pricing'!$F227&lt;='2. GRI Pricing Inputs'!$W$33),'2. GRI Pricing Inputs'!$V$32,IF(AND('3. GRI Pricing'!$F227&gt;='2. GRI Pricing Inputs'!$X$33,'3. GRI Pricing'!$F227&lt;='2. GRI Pricing Inputs'!$Y$33),'2. GRI Pricing Inputs'!$X$32,IF(AND('3. GRI Pricing'!$F227&gt;='2. GRI Pricing Inputs'!$Z$33,'3. GRI Pricing'!$F227&lt;='2. GRI Pricing Inputs'!$AA$33),'2. GRI Pricing Inputs'!$Z$32,IF(AND('3. GRI Pricing'!$F227&gt;='2. GRI Pricing Inputs'!$AB$33,'3. GRI Pricing'!$F227&lt;='2. GRI Pricing Inputs'!$AC$33),'2. GRI Pricing Inputs'!$AB$32,IF(AND('3. GRI Pricing'!$F227&gt;='2. GRI Pricing Inputs'!$AD$33,'3. GRI Pricing'!$F227&lt;='2. GRI Pricing Inputs'!$AE$33),'2. GRI Pricing Inputs'!$AD$32,IF(AND('3. GRI Pricing'!$F227&gt;='2. GRI Pricing Inputs'!$AF$33,'3. GRI Pricing'!$F227&lt;='2. GRI Pricing Inputs'!$AG$33),'2. GRI Pricing Inputs'!$AF$32,IF(AND('3. GRI Pricing'!$F227&gt;='2. GRI Pricing Inputs'!$AH$33,'3. GRI Pricing'!$F227&lt;='2. GRI Pricing Inputs'!$AI$33),'2. GRI Pricing Inputs'!$AH$32,0))))))))))))))))</f>
        <v>2</v>
      </c>
      <c r="N227" s="273" cm="1">
        <f t="array" ref="N227">IFERROR(INDEX('2. GRI Pricing Inputs'!$C$32:$AI$39,MATCH('3. GRI Pricing'!D227,'2. GRI Pricing Inputs'!$C$32:$C$39,0),(MATCH('3. GRI Pricing'!M227,'2. GRI Pricing Inputs'!$D$32:$AI$32,0)+1)),0)</f>
        <v>15</v>
      </c>
      <c r="O227" s="273">
        <f>IFERROR(INDEX('2. GRI Pricing Inputs'!$C$45:$AI$46,MATCH($O$16,'2. GRI Pricing Inputs'!$C$45:$C$46,0),MATCH(G227,'2. GRI Pricing Inputs'!$C$45:$AI$45,0)),0)</f>
        <v>50</v>
      </c>
      <c r="P227" s="273">
        <f>IFERROR(INDEX('2. GRI Pricing Inputs'!$C$53:$AI$54,MATCH('3. GRI Pricing'!$P$16,'2. GRI Pricing Inputs'!$C$53:$C$54,0),MATCH('3. GRI Pricing'!H227,'2. GRI Pricing Inputs'!$C$53:$AI$53,0)),0)</f>
        <v>25</v>
      </c>
      <c r="Q227" s="273">
        <f>IFERROR(INDEX('2. GRI Pricing Inputs'!$C$60:$AI$61,MATCH('3. GRI Pricing'!$Q$16,'2. GRI Pricing Inputs'!$C$60:$C$61,0),MATCH('1. Accomodation'!T231,'2. GRI Pricing Inputs'!$C$60:$AI$60,0)),0)</f>
        <v>0</v>
      </c>
      <c r="R227" s="273">
        <f>IFERROR(INDEX('2. GRI Pricing Inputs'!$C$67:$AI$68,MATCH('3. GRI Pricing'!$R$16,'2. GRI Pricing Inputs'!$C$67:$C$68,0),MATCH('1. Accomodation'!U231,'2. GRI Pricing Inputs'!$C$67:$AI$67,0)),0)</f>
        <v>0</v>
      </c>
      <c r="S227" s="273">
        <f>IF(D227=0,0,'2. GRI Pricing Inputs'!$AI$75)</f>
        <v>70</v>
      </c>
      <c r="T227" s="273">
        <f>IFERROR(INDEX('2. GRI Pricing Inputs'!$C$82:$AI$83,MATCH('3. GRI Pricing'!$T$16,'2. GRI Pricing Inputs'!$C$82:$C$83,0),MATCH('1. Accomodation'!V231,'2. GRI Pricing Inputs'!$C$82:$AI$82,0)),0)</f>
        <v>0</v>
      </c>
      <c r="U227" s="273">
        <f>IFERROR(INDEX('2. GRI Pricing Inputs'!$C$89:$AI$90,MATCH('3. GRI Pricing'!$U$16,'2. GRI Pricing Inputs'!$C$89:$C$90,0),MATCH('1. Accomodation'!W231,'2. GRI Pricing Inputs'!$C$89:$AI$89,0)),0)</f>
        <v>0</v>
      </c>
      <c r="V227" s="273">
        <f>IFERROR(INDEX('2. GRI Pricing Inputs'!$C$97:$AI$98,MATCH('3. GRI Pricing'!$V$16,'2. GRI Pricing Inputs'!$C$97:$C$98,0),MATCH('1. Accomodation'!X231,'2. GRI Pricing Inputs'!$C$97:$AI$97,0)),0)</f>
        <v>0</v>
      </c>
      <c r="W227" s="273">
        <f>IFERROR(INDEX('2. GRI Pricing Inputs'!$C$104:$AI$105,MATCH('3. GRI Pricing'!$W$16,'2. GRI Pricing Inputs'!$C$104:$C$105,0),MATCH('1. Accomodation'!Y231,'2. GRI Pricing Inputs'!$C$104:$AI$104,0)),0)</f>
        <v>0</v>
      </c>
      <c r="X227" s="274">
        <v>0</v>
      </c>
      <c r="Y227" s="275">
        <f t="shared" si="10"/>
        <v>1005</v>
      </c>
      <c r="Z227" s="276"/>
      <c r="AA227" s="276"/>
      <c r="AB227" s="276"/>
      <c r="AC227" s="272">
        <f>Y227*(1+'2. GRI Pricing Inputs'!$D$114)^(($AC$16-$AB$15)/365)</f>
        <v>1008.3533116034386</v>
      </c>
      <c r="AD227" s="273">
        <f>AC227*(1+'2. GRI Pricing Inputs'!$D$114)^((AD$16-AC$16)/365)</f>
        <v>1011.6091046679271</v>
      </c>
      <c r="AE227" s="273">
        <f>AD227*(1+'2. GRI Pricing Inputs'!$D$114)^((AE$16-AD$16)/365)</f>
        <v>1014.9844683981033</v>
      </c>
      <c r="AF227" s="273">
        <f>AE227*(1+'2. GRI Pricing Inputs'!$D$114)^((AF$16-AE$16)/365)</f>
        <v>1018.3710944629684</v>
      </c>
      <c r="AG227" s="273">
        <f>AF227*(1+'2. GRI Pricing Inputs'!$D$114)^((AG$16-AF$16)/365)</f>
        <v>1021.5494576801931</v>
      </c>
      <c r="AH227" s="273">
        <f>AG227*(1+'2. GRI Pricing Inputs'!$D$114)^((AH$16-AG$16)/365)</f>
        <v>1024.9579886751437</v>
      </c>
      <c r="AI227" s="273">
        <f>AH227*(1+'2. GRI Pricing Inputs'!$D$114)^((AI$16-AH$16)/365)</f>
        <v>1028.2673952814594</v>
      </c>
      <c r="AJ227" s="273">
        <f>AI227*(1+'2. GRI Pricing Inputs'!$D$114)^((AJ$16-AI$16)/365)</f>
        <v>1031.6983415382106</v>
      </c>
      <c r="AK227" s="273">
        <f>AJ227*(1+'2. GRI Pricing Inputs'!$D$114)^((AK$16-AJ$16)/365)</f>
        <v>1035.0295115421877</v>
      </c>
      <c r="AL227" s="273">
        <f>AK227*(1+'2. GRI Pricing Inputs'!$D$114)^((AL$16-AK$16)/365)</f>
        <v>1038.483020468512</v>
      </c>
      <c r="AM227" s="273">
        <f>AL227*(1+'2. GRI Pricing Inputs'!$D$114)^((AM$16-AL$16)/365)</f>
        <v>1041.9480524710104</v>
      </c>
      <c r="AN227" s="273">
        <f>AM227*(1+'2. GRI Pricing Inputs'!$D$114)^((AN$16-AM$16)/365)</f>
        <v>1045.3123169641751</v>
      </c>
      <c r="AO227" s="273">
        <f>AN227*(1+'2. GRI Pricing Inputs'!$D$114)^((AO$16-AN$16)/365)</f>
        <v>1048.8001357917306</v>
      </c>
    </row>
    <row r="228" spans="3:41" ht="12" x14ac:dyDescent="0.2">
      <c r="C228" s="76" t="str">
        <f>'1. Accomodation'!N232</f>
        <v>303W</v>
      </c>
      <c r="D228" s="69" t="str">
        <f>'1. Accomodation'!P232</f>
        <v>2 Bed</v>
      </c>
      <c r="E228" s="69">
        <f>'1. Accomodation'!Q232</f>
        <v>2</v>
      </c>
      <c r="F228" s="77">
        <f>'1. Accomodation'!O232</f>
        <v>657</v>
      </c>
      <c r="G228" s="69">
        <f>'1. Accomodation'!R232</f>
        <v>3</v>
      </c>
      <c r="H228" s="69" t="str">
        <f>'1. Accomodation'!S232</f>
        <v>Courtyard</v>
      </c>
      <c r="I228" s="62"/>
      <c r="K228" s="272">
        <f>IFERROR(INDEX('2. GRI Pricing Inputs'!$C$15:$AI$16,MATCH($K$16,'2. GRI Pricing Inputs'!$C$15:$C$16,0),MATCH(D228,'2. GRI Pricing Inputs'!$C$15:$AI$15,0)),0)</f>
        <v>1110</v>
      </c>
      <c r="L228" s="273">
        <f>IFERROR(INDEX('2. GRI Pricing Inputs'!$C$22:$AI$23,MATCH($L$16,'2. GRI Pricing Inputs'!$C$22:$C$23,0),MATCH(E228,'2. GRI Pricing Inputs'!$C$22:$AI$22,0)),0)</f>
        <v>0</v>
      </c>
      <c r="M228" s="328">
        <f>IF(AND('3. GRI Pricing'!$F228&gt;='2. GRI Pricing Inputs'!$D$33,'3. GRI Pricing'!$F228&lt;='2. GRI Pricing Inputs'!$E$33),'2. GRI Pricing Inputs'!$D$32,IF(AND('3. GRI Pricing'!$F228&gt;='2. GRI Pricing Inputs'!$F$33,'3. GRI Pricing'!$F228&lt;='2. GRI Pricing Inputs'!$G$33),'2. GRI Pricing Inputs'!$F$32,IF(AND('3. GRI Pricing'!$F228&gt;='2. GRI Pricing Inputs'!$H$33,'3. GRI Pricing'!$F228&lt;='2. GRI Pricing Inputs'!$I$33),'2. GRI Pricing Inputs'!$H$32,IF(AND('3. GRI Pricing'!$F228&gt;='2. GRI Pricing Inputs'!$J$33,'3. GRI Pricing'!$F228&lt;='2. GRI Pricing Inputs'!$K$33),'2. GRI Pricing Inputs'!$J$32,IF(AND('3. GRI Pricing'!$F228&gt;='2. GRI Pricing Inputs'!$L$33,'3. GRI Pricing'!$F228&lt;='2. GRI Pricing Inputs'!$M$33),'2. GRI Pricing Inputs'!$L$32,IF(AND('3. GRI Pricing'!$F228&gt;='2. GRI Pricing Inputs'!$N$33,'3. GRI Pricing'!$F228&lt;='2. GRI Pricing Inputs'!$O$33),'2. GRI Pricing Inputs'!$N$32,IF(AND('3. GRI Pricing'!$F228&gt;='2. GRI Pricing Inputs'!$P$33,'3. GRI Pricing'!$F228&lt;='2. GRI Pricing Inputs'!$Q$33),'2. GRI Pricing Inputs'!$P$32,IF(AND('3. GRI Pricing'!$F228&gt;='2. GRI Pricing Inputs'!$R$33,'3. GRI Pricing'!$F228&lt;='2. GRI Pricing Inputs'!$S$33),'2. GRI Pricing Inputs'!$R$32,IF(AND('3. GRI Pricing'!$F228&gt;='2. GRI Pricing Inputs'!$T$33,'3. GRI Pricing'!$F228&lt;='2. GRI Pricing Inputs'!$U$33),'2. GRI Pricing Inputs'!$T$32,IF(AND('3. GRI Pricing'!$F228&gt;='2. GRI Pricing Inputs'!$V$33,'3. GRI Pricing'!$F228&lt;='2. GRI Pricing Inputs'!$W$33),'2. GRI Pricing Inputs'!$V$32,IF(AND('3. GRI Pricing'!$F228&gt;='2. GRI Pricing Inputs'!$X$33,'3. GRI Pricing'!$F228&lt;='2. GRI Pricing Inputs'!$Y$33),'2. GRI Pricing Inputs'!$X$32,IF(AND('3. GRI Pricing'!$F228&gt;='2. GRI Pricing Inputs'!$Z$33,'3. GRI Pricing'!$F228&lt;='2. GRI Pricing Inputs'!$AA$33),'2. GRI Pricing Inputs'!$Z$32,IF(AND('3. GRI Pricing'!$F228&gt;='2. GRI Pricing Inputs'!$AB$33,'3. GRI Pricing'!$F228&lt;='2. GRI Pricing Inputs'!$AC$33),'2. GRI Pricing Inputs'!$AB$32,IF(AND('3. GRI Pricing'!$F228&gt;='2. GRI Pricing Inputs'!$AD$33,'3. GRI Pricing'!$F228&lt;='2. GRI Pricing Inputs'!$AE$33),'2. GRI Pricing Inputs'!$AD$32,IF(AND('3. GRI Pricing'!$F228&gt;='2. GRI Pricing Inputs'!$AF$33,'3. GRI Pricing'!$F228&lt;='2. GRI Pricing Inputs'!$AG$33),'2. GRI Pricing Inputs'!$AF$32,IF(AND('3. GRI Pricing'!$F228&gt;='2. GRI Pricing Inputs'!$AH$33,'3. GRI Pricing'!$F228&lt;='2. GRI Pricing Inputs'!$AI$33),'2. GRI Pricing Inputs'!$AH$32,0))))))))))))))))</f>
        <v>8</v>
      </c>
      <c r="N228" s="273" cm="1">
        <f t="array" ref="N228">IFERROR(INDEX('2. GRI Pricing Inputs'!$C$32:$AI$39,MATCH('3. GRI Pricing'!D228,'2. GRI Pricing Inputs'!$C$32:$C$39,0),(MATCH('3. GRI Pricing'!M228,'2. GRI Pricing Inputs'!$D$32:$AI$32,0)+1)),0)</f>
        <v>20</v>
      </c>
      <c r="O228" s="273">
        <f>IFERROR(INDEX('2. GRI Pricing Inputs'!$C$45:$AI$46,MATCH($O$16,'2. GRI Pricing Inputs'!$C$45:$C$46,0),MATCH(G228,'2. GRI Pricing Inputs'!$C$45:$AI$45,0)),0)</f>
        <v>50</v>
      </c>
      <c r="P228" s="273">
        <f>IFERROR(INDEX('2. GRI Pricing Inputs'!$C$53:$AI$54,MATCH('3. GRI Pricing'!$P$16,'2. GRI Pricing Inputs'!$C$53:$C$54,0),MATCH('3. GRI Pricing'!H228,'2. GRI Pricing Inputs'!$C$53:$AI$53,0)),0)</f>
        <v>25</v>
      </c>
      <c r="Q228" s="273">
        <f>IFERROR(INDEX('2. GRI Pricing Inputs'!$C$60:$AI$61,MATCH('3. GRI Pricing'!$Q$16,'2. GRI Pricing Inputs'!$C$60:$C$61,0),MATCH('1. Accomodation'!T232,'2. GRI Pricing Inputs'!$C$60:$AI$60,0)),0)</f>
        <v>0</v>
      </c>
      <c r="R228" s="273">
        <f>IFERROR(INDEX('2. GRI Pricing Inputs'!$C$67:$AI$68,MATCH('3. GRI Pricing'!$R$16,'2. GRI Pricing Inputs'!$C$67:$C$68,0),MATCH('1. Accomodation'!U232,'2. GRI Pricing Inputs'!$C$67:$AI$67,0)),0)</f>
        <v>0</v>
      </c>
      <c r="S228" s="273">
        <f>IF(D228=0,0,'2. GRI Pricing Inputs'!$AI$75)</f>
        <v>70</v>
      </c>
      <c r="T228" s="273">
        <f>IFERROR(INDEX('2. GRI Pricing Inputs'!$C$82:$AI$83,MATCH('3. GRI Pricing'!$T$16,'2. GRI Pricing Inputs'!$C$82:$C$83,0),MATCH('1. Accomodation'!V232,'2. GRI Pricing Inputs'!$C$82:$AI$82,0)),0)</f>
        <v>0</v>
      </c>
      <c r="U228" s="273">
        <f>IFERROR(INDEX('2. GRI Pricing Inputs'!$C$89:$AI$90,MATCH('3. GRI Pricing'!$U$16,'2. GRI Pricing Inputs'!$C$89:$C$90,0),MATCH('1. Accomodation'!W232,'2. GRI Pricing Inputs'!$C$89:$AI$89,0)),0)</f>
        <v>0</v>
      </c>
      <c r="V228" s="273">
        <f>IFERROR(INDEX('2. GRI Pricing Inputs'!$C$97:$AI$98,MATCH('3. GRI Pricing'!$V$16,'2. GRI Pricing Inputs'!$C$97:$C$98,0),MATCH('1. Accomodation'!X232,'2. GRI Pricing Inputs'!$C$97:$AI$97,0)),0)</f>
        <v>0</v>
      </c>
      <c r="W228" s="273">
        <f>IFERROR(INDEX('2. GRI Pricing Inputs'!$C$104:$AI$105,MATCH('3. GRI Pricing'!$W$16,'2. GRI Pricing Inputs'!$C$104:$C$105,0),MATCH('1. Accomodation'!Y232,'2. GRI Pricing Inputs'!$C$104:$AI$104,0)),0)</f>
        <v>0</v>
      </c>
      <c r="X228" s="274">
        <v>0</v>
      </c>
      <c r="Y228" s="275">
        <f t="shared" si="10"/>
        <v>1275</v>
      </c>
      <c r="Z228" s="276"/>
      <c r="AA228" s="276"/>
      <c r="AB228" s="276"/>
      <c r="AC228" s="272">
        <f>Y228*(1+'2. GRI Pricing Inputs'!$D$114)^(($AC$16-$AB$15)/365)</f>
        <v>1279.2542012879444</v>
      </c>
      <c r="AD228" s="273">
        <f>AC228*(1+'2. GRI Pricing Inputs'!$D$114)^((AD$16-AC$16)/365)</f>
        <v>1283.3846850264747</v>
      </c>
      <c r="AE228" s="273">
        <f>AD228*(1+'2. GRI Pricing Inputs'!$D$114)^((AE$16-AD$16)/365)</f>
        <v>1287.6668628931161</v>
      </c>
      <c r="AF228" s="273">
        <f>AE228*(1+'2. GRI Pricing Inputs'!$D$114)^((AF$16-AE$16)/365)</f>
        <v>1291.9633287963029</v>
      </c>
      <c r="AG228" s="273">
        <f>AF228*(1+'2. GRI Pricing Inputs'!$D$114)^((AG$16-AF$16)/365)</f>
        <v>1295.9955806390508</v>
      </c>
      <c r="AH228" s="273">
        <f>AG228*(1+'2. GRI Pricing Inputs'!$D$114)^((AH$16-AG$16)/365)</f>
        <v>1300.3198363789136</v>
      </c>
      <c r="AI228" s="273">
        <f>AH228*(1+'2. GRI Pricing Inputs'!$D$114)^((AI$16-AH$16)/365)</f>
        <v>1304.5183372973738</v>
      </c>
      <c r="AJ228" s="273">
        <f>AI228*(1+'2. GRI Pricing Inputs'!$D$114)^((AJ$16-AI$16)/365)</f>
        <v>1308.87103030967</v>
      </c>
      <c r="AK228" s="273">
        <f>AJ228*(1+'2. GRI Pricing Inputs'!$D$114)^((AK$16-AJ$16)/365)</f>
        <v>1313.0971415087456</v>
      </c>
      <c r="AL228" s="273">
        <f>AK228*(1+'2. GRI Pricing Inputs'!$D$114)^((AL$16-AK$16)/365)</f>
        <v>1317.478458803336</v>
      </c>
      <c r="AM228" s="273">
        <f>AL228*(1+'2. GRI Pricing Inputs'!$D$114)^((AM$16-AL$16)/365)</f>
        <v>1321.8743949259087</v>
      </c>
      <c r="AN228" s="273">
        <f>AM228*(1+'2. GRI Pricing Inputs'!$D$114)^((AN$16-AM$16)/365)</f>
        <v>1326.1424916709684</v>
      </c>
      <c r="AO228" s="273">
        <f>AN228*(1+'2. GRI Pricing Inputs'!$D$114)^((AO$16-AN$16)/365)</f>
        <v>1330.5673364521954</v>
      </c>
    </row>
    <row r="229" spans="3:41" ht="12" x14ac:dyDescent="0.2">
      <c r="C229" s="76" t="str">
        <f>'1. Accomodation'!N233</f>
        <v>304W</v>
      </c>
      <c r="D229" s="69" t="str">
        <f>'1. Accomodation'!P233</f>
        <v>2 Bed</v>
      </c>
      <c r="E229" s="69">
        <f>'1. Accomodation'!Q233</f>
        <v>2</v>
      </c>
      <c r="F229" s="77">
        <f>'1. Accomodation'!O233</f>
        <v>657</v>
      </c>
      <c r="G229" s="69">
        <f>'1. Accomodation'!R233</f>
        <v>3</v>
      </c>
      <c r="H229" s="69" t="str">
        <f>'1. Accomodation'!S233</f>
        <v>Railway Bridge</v>
      </c>
      <c r="I229" s="62"/>
      <c r="K229" s="272">
        <f>IFERROR(INDEX('2. GRI Pricing Inputs'!$C$15:$AI$16,MATCH($K$16,'2. GRI Pricing Inputs'!$C$15:$C$16,0),MATCH(D229,'2. GRI Pricing Inputs'!$C$15:$AI$15,0)),0)</f>
        <v>1110</v>
      </c>
      <c r="L229" s="273">
        <f>IFERROR(INDEX('2. GRI Pricing Inputs'!$C$22:$AI$23,MATCH($L$16,'2. GRI Pricing Inputs'!$C$22:$C$23,0),MATCH(E229,'2. GRI Pricing Inputs'!$C$22:$AI$22,0)),0)</f>
        <v>0</v>
      </c>
      <c r="M229" s="328">
        <f>IF(AND('3. GRI Pricing'!$F229&gt;='2. GRI Pricing Inputs'!$D$33,'3. GRI Pricing'!$F229&lt;='2. GRI Pricing Inputs'!$E$33),'2. GRI Pricing Inputs'!$D$32,IF(AND('3. GRI Pricing'!$F229&gt;='2. GRI Pricing Inputs'!$F$33,'3. GRI Pricing'!$F229&lt;='2. GRI Pricing Inputs'!$G$33),'2. GRI Pricing Inputs'!$F$32,IF(AND('3. GRI Pricing'!$F229&gt;='2. GRI Pricing Inputs'!$H$33,'3. GRI Pricing'!$F229&lt;='2. GRI Pricing Inputs'!$I$33),'2. GRI Pricing Inputs'!$H$32,IF(AND('3. GRI Pricing'!$F229&gt;='2. GRI Pricing Inputs'!$J$33,'3. GRI Pricing'!$F229&lt;='2. GRI Pricing Inputs'!$K$33),'2. GRI Pricing Inputs'!$J$32,IF(AND('3. GRI Pricing'!$F229&gt;='2. GRI Pricing Inputs'!$L$33,'3. GRI Pricing'!$F229&lt;='2. GRI Pricing Inputs'!$M$33),'2. GRI Pricing Inputs'!$L$32,IF(AND('3. GRI Pricing'!$F229&gt;='2. GRI Pricing Inputs'!$N$33,'3. GRI Pricing'!$F229&lt;='2. GRI Pricing Inputs'!$O$33),'2. GRI Pricing Inputs'!$N$32,IF(AND('3. GRI Pricing'!$F229&gt;='2. GRI Pricing Inputs'!$P$33,'3. GRI Pricing'!$F229&lt;='2. GRI Pricing Inputs'!$Q$33),'2. GRI Pricing Inputs'!$P$32,IF(AND('3. GRI Pricing'!$F229&gt;='2. GRI Pricing Inputs'!$R$33,'3. GRI Pricing'!$F229&lt;='2. GRI Pricing Inputs'!$S$33),'2. GRI Pricing Inputs'!$R$32,IF(AND('3. GRI Pricing'!$F229&gt;='2. GRI Pricing Inputs'!$T$33,'3. GRI Pricing'!$F229&lt;='2. GRI Pricing Inputs'!$U$33),'2. GRI Pricing Inputs'!$T$32,IF(AND('3. GRI Pricing'!$F229&gt;='2. GRI Pricing Inputs'!$V$33,'3. GRI Pricing'!$F229&lt;='2. GRI Pricing Inputs'!$W$33),'2. GRI Pricing Inputs'!$V$32,IF(AND('3. GRI Pricing'!$F229&gt;='2. GRI Pricing Inputs'!$X$33,'3. GRI Pricing'!$F229&lt;='2. GRI Pricing Inputs'!$Y$33),'2. GRI Pricing Inputs'!$X$32,IF(AND('3. GRI Pricing'!$F229&gt;='2. GRI Pricing Inputs'!$Z$33,'3. GRI Pricing'!$F229&lt;='2. GRI Pricing Inputs'!$AA$33),'2. GRI Pricing Inputs'!$Z$32,IF(AND('3. GRI Pricing'!$F229&gt;='2. GRI Pricing Inputs'!$AB$33,'3. GRI Pricing'!$F229&lt;='2. GRI Pricing Inputs'!$AC$33),'2. GRI Pricing Inputs'!$AB$32,IF(AND('3. GRI Pricing'!$F229&gt;='2. GRI Pricing Inputs'!$AD$33,'3. GRI Pricing'!$F229&lt;='2. GRI Pricing Inputs'!$AE$33),'2. GRI Pricing Inputs'!$AD$32,IF(AND('3. GRI Pricing'!$F229&gt;='2. GRI Pricing Inputs'!$AF$33,'3. GRI Pricing'!$F229&lt;='2. GRI Pricing Inputs'!$AG$33),'2. GRI Pricing Inputs'!$AF$32,IF(AND('3. GRI Pricing'!$F229&gt;='2. GRI Pricing Inputs'!$AH$33,'3. GRI Pricing'!$F229&lt;='2. GRI Pricing Inputs'!$AI$33),'2. GRI Pricing Inputs'!$AH$32,0))))))))))))))))</f>
        <v>8</v>
      </c>
      <c r="N229" s="273" cm="1">
        <f t="array" ref="N229">IFERROR(INDEX('2. GRI Pricing Inputs'!$C$32:$AI$39,MATCH('3. GRI Pricing'!D229,'2. GRI Pricing Inputs'!$C$32:$C$39,0),(MATCH('3. GRI Pricing'!M229,'2. GRI Pricing Inputs'!$D$32:$AI$32,0)+1)),0)</f>
        <v>20</v>
      </c>
      <c r="O229" s="273">
        <f>IFERROR(INDEX('2. GRI Pricing Inputs'!$C$45:$AI$46,MATCH($O$16,'2. GRI Pricing Inputs'!$C$45:$C$46,0),MATCH(G229,'2. GRI Pricing Inputs'!$C$45:$AI$45,0)),0)</f>
        <v>50</v>
      </c>
      <c r="P229" s="273">
        <f>IFERROR(INDEX('2. GRI Pricing Inputs'!$C$53:$AI$54,MATCH('3. GRI Pricing'!$P$16,'2. GRI Pricing Inputs'!$C$53:$C$54,0),MATCH('3. GRI Pricing'!H229,'2. GRI Pricing Inputs'!$C$53:$AI$53,0)),0)</f>
        <v>10</v>
      </c>
      <c r="Q229" s="273">
        <f>IFERROR(INDEX('2. GRI Pricing Inputs'!$C$60:$AI$61,MATCH('3. GRI Pricing'!$Q$16,'2. GRI Pricing Inputs'!$C$60:$C$61,0),MATCH('1. Accomodation'!T233,'2. GRI Pricing Inputs'!$C$60:$AI$60,0)),0)</f>
        <v>0</v>
      </c>
      <c r="R229" s="273">
        <f>IFERROR(INDEX('2. GRI Pricing Inputs'!$C$67:$AI$68,MATCH('3. GRI Pricing'!$R$16,'2. GRI Pricing Inputs'!$C$67:$C$68,0),MATCH('1. Accomodation'!U233,'2. GRI Pricing Inputs'!$C$67:$AI$67,0)),0)</f>
        <v>0</v>
      </c>
      <c r="S229" s="273">
        <f>IF(D229=0,0,'2. GRI Pricing Inputs'!$AI$75)</f>
        <v>70</v>
      </c>
      <c r="T229" s="273">
        <f>IFERROR(INDEX('2. GRI Pricing Inputs'!$C$82:$AI$83,MATCH('3. GRI Pricing'!$T$16,'2. GRI Pricing Inputs'!$C$82:$C$83,0),MATCH('1. Accomodation'!V233,'2. GRI Pricing Inputs'!$C$82:$AI$82,0)),0)</f>
        <v>0</v>
      </c>
      <c r="U229" s="273">
        <f>IFERROR(INDEX('2. GRI Pricing Inputs'!$C$89:$AI$90,MATCH('3. GRI Pricing'!$U$16,'2. GRI Pricing Inputs'!$C$89:$C$90,0),MATCH('1. Accomodation'!W233,'2. GRI Pricing Inputs'!$C$89:$AI$89,0)),0)</f>
        <v>0</v>
      </c>
      <c r="V229" s="273">
        <f>IFERROR(INDEX('2. GRI Pricing Inputs'!$C$97:$AI$98,MATCH('3. GRI Pricing'!$V$16,'2. GRI Pricing Inputs'!$C$97:$C$98,0),MATCH('1. Accomodation'!X233,'2. GRI Pricing Inputs'!$C$97:$AI$97,0)),0)</f>
        <v>0</v>
      </c>
      <c r="W229" s="273">
        <f>IFERROR(INDEX('2. GRI Pricing Inputs'!$C$104:$AI$105,MATCH('3. GRI Pricing'!$W$16,'2. GRI Pricing Inputs'!$C$104:$C$105,0),MATCH('1. Accomodation'!Y233,'2. GRI Pricing Inputs'!$C$104:$AI$104,0)),0)</f>
        <v>0</v>
      </c>
      <c r="X229" s="274">
        <v>0</v>
      </c>
      <c r="Y229" s="275">
        <f t="shared" si="10"/>
        <v>1260</v>
      </c>
      <c r="Z229" s="276"/>
      <c r="AA229" s="276"/>
      <c r="AB229" s="276"/>
      <c r="AC229" s="272">
        <f>Y229*(1+'2. GRI Pricing Inputs'!$D$114)^(($AC$16-$AB$15)/365)</f>
        <v>1264.2041518610274</v>
      </c>
      <c r="AD229" s="273">
        <f>AC229*(1+'2. GRI Pricing Inputs'!$D$114)^((AD$16-AC$16)/365)</f>
        <v>1268.2860416732221</v>
      </c>
      <c r="AE229" s="273">
        <f>AD229*(1+'2. GRI Pricing Inputs'!$D$114)^((AE$16-AD$16)/365)</f>
        <v>1272.5178409767266</v>
      </c>
      <c r="AF229" s="273">
        <f>AE229*(1+'2. GRI Pricing Inputs'!$D$114)^((AF$16-AE$16)/365)</f>
        <v>1276.7637602222289</v>
      </c>
      <c r="AG229" s="273">
        <f>AF229*(1+'2. GRI Pricing Inputs'!$D$114)^((AG$16-AF$16)/365)</f>
        <v>1280.7485738080034</v>
      </c>
      <c r="AH229" s="273">
        <f>AG229*(1+'2. GRI Pricing Inputs'!$D$114)^((AH$16-AG$16)/365)</f>
        <v>1285.0219559509264</v>
      </c>
      <c r="AI229" s="273">
        <f>AH229*(1+'2. GRI Pricing Inputs'!$D$114)^((AI$16-AH$16)/365)</f>
        <v>1289.1710627409341</v>
      </c>
      <c r="AJ229" s="273">
        <f>AI229*(1+'2. GRI Pricing Inputs'!$D$114)^((AJ$16-AI$16)/365)</f>
        <v>1293.4725476001445</v>
      </c>
      <c r="AK229" s="273">
        <f>AJ229*(1+'2. GRI Pricing Inputs'!$D$114)^((AK$16-AJ$16)/365)</f>
        <v>1297.6489398439369</v>
      </c>
      <c r="AL229" s="273">
        <f>AK229*(1+'2. GRI Pricing Inputs'!$D$114)^((AL$16-AK$16)/365)</f>
        <v>1301.9787122291791</v>
      </c>
      <c r="AM229" s="273">
        <f>AL229*(1+'2. GRI Pricing Inputs'!$D$114)^((AM$16-AL$16)/365)</f>
        <v>1306.3229314561922</v>
      </c>
      <c r="AN229" s="273">
        <f>AM229*(1+'2. GRI Pricing Inputs'!$D$114)^((AN$16-AM$16)/365)</f>
        <v>1310.5408152983689</v>
      </c>
      <c r="AO229" s="273">
        <f>AN229*(1+'2. GRI Pricing Inputs'!$D$114)^((AO$16-AN$16)/365)</f>
        <v>1314.9136030821699</v>
      </c>
    </row>
    <row r="230" spans="3:41" ht="12" x14ac:dyDescent="0.2">
      <c r="C230" s="76" t="str">
        <f>'1. Accomodation'!N234</f>
        <v>305W</v>
      </c>
      <c r="D230" s="69" t="str">
        <f>'1. Accomodation'!P234</f>
        <v>2 Bed</v>
      </c>
      <c r="E230" s="69">
        <f>'1. Accomodation'!Q234</f>
        <v>2</v>
      </c>
      <c r="F230" s="77">
        <f>'1. Accomodation'!O234</f>
        <v>678</v>
      </c>
      <c r="G230" s="69">
        <f>'1. Accomodation'!R234</f>
        <v>3</v>
      </c>
      <c r="H230" s="69" t="str">
        <f>'1. Accomodation'!S234</f>
        <v>Railway Bridge</v>
      </c>
      <c r="I230" s="62"/>
      <c r="K230" s="272">
        <f>IFERROR(INDEX('2. GRI Pricing Inputs'!$C$15:$AI$16,MATCH($K$16,'2. GRI Pricing Inputs'!$C$15:$C$16,0),MATCH(D230,'2. GRI Pricing Inputs'!$C$15:$AI$15,0)),0)</f>
        <v>1110</v>
      </c>
      <c r="L230" s="273">
        <f>IFERROR(INDEX('2. GRI Pricing Inputs'!$C$22:$AI$23,MATCH($L$16,'2. GRI Pricing Inputs'!$C$22:$C$23,0),MATCH(E230,'2. GRI Pricing Inputs'!$C$22:$AI$22,0)),0)</f>
        <v>0</v>
      </c>
      <c r="M230" s="328">
        <f>IF(AND('3. GRI Pricing'!$F230&gt;='2. GRI Pricing Inputs'!$D$33,'3. GRI Pricing'!$F230&lt;='2. GRI Pricing Inputs'!$E$33),'2. GRI Pricing Inputs'!$D$32,IF(AND('3. GRI Pricing'!$F230&gt;='2. GRI Pricing Inputs'!$F$33,'3. GRI Pricing'!$F230&lt;='2. GRI Pricing Inputs'!$G$33),'2. GRI Pricing Inputs'!$F$32,IF(AND('3. GRI Pricing'!$F230&gt;='2. GRI Pricing Inputs'!$H$33,'3. GRI Pricing'!$F230&lt;='2. GRI Pricing Inputs'!$I$33),'2. GRI Pricing Inputs'!$H$32,IF(AND('3. GRI Pricing'!$F230&gt;='2. GRI Pricing Inputs'!$J$33,'3. GRI Pricing'!$F230&lt;='2. GRI Pricing Inputs'!$K$33),'2. GRI Pricing Inputs'!$J$32,IF(AND('3. GRI Pricing'!$F230&gt;='2. GRI Pricing Inputs'!$L$33,'3. GRI Pricing'!$F230&lt;='2. GRI Pricing Inputs'!$M$33),'2. GRI Pricing Inputs'!$L$32,IF(AND('3. GRI Pricing'!$F230&gt;='2. GRI Pricing Inputs'!$N$33,'3. GRI Pricing'!$F230&lt;='2. GRI Pricing Inputs'!$O$33),'2. GRI Pricing Inputs'!$N$32,IF(AND('3. GRI Pricing'!$F230&gt;='2. GRI Pricing Inputs'!$P$33,'3. GRI Pricing'!$F230&lt;='2. GRI Pricing Inputs'!$Q$33),'2. GRI Pricing Inputs'!$P$32,IF(AND('3. GRI Pricing'!$F230&gt;='2. GRI Pricing Inputs'!$R$33,'3. GRI Pricing'!$F230&lt;='2. GRI Pricing Inputs'!$S$33),'2. GRI Pricing Inputs'!$R$32,IF(AND('3. GRI Pricing'!$F230&gt;='2. GRI Pricing Inputs'!$T$33,'3. GRI Pricing'!$F230&lt;='2. GRI Pricing Inputs'!$U$33),'2. GRI Pricing Inputs'!$T$32,IF(AND('3. GRI Pricing'!$F230&gt;='2. GRI Pricing Inputs'!$V$33,'3. GRI Pricing'!$F230&lt;='2. GRI Pricing Inputs'!$W$33),'2. GRI Pricing Inputs'!$V$32,IF(AND('3. GRI Pricing'!$F230&gt;='2. GRI Pricing Inputs'!$X$33,'3. GRI Pricing'!$F230&lt;='2. GRI Pricing Inputs'!$Y$33),'2. GRI Pricing Inputs'!$X$32,IF(AND('3. GRI Pricing'!$F230&gt;='2. GRI Pricing Inputs'!$Z$33,'3. GRI Pricing'!$F230&lt;='2. GRI Pricing Inputs'!$AA$33),'2. GRI Pricing Inputs'!$Z$32,IF(AND('3. GRI Pricing'!$F230&gt;='2. GRI Pricing Inputs'!$AB$33,'3. GRI Pricing'!$F230&lt;='2. GRI Pricing Inputs'!$AC$33),'2. GRI Pricing Inputs'!$AB$32,IF(AND('3. GRI Pricing'!$F230&gt;='2. GRI Pricing Inputs'!$AD$33,'3. GRI Pricing'!$F230&lt;='2. GRI Pricing Inputs'!$AE$33),'2. GRI Pricing Inputs'!$AD$32,IF(AND('3. GRI Pricing'!$F230&gt;='2. GRI Pricing Inputs'!$AF$33,'3. GRI Pricing'!$F230&lt;='2. GRI Pricing Inputs'!$AG$33),'2. GRI Pricing Inputs'!$AF$32,IF(AND('3. GRI Pricing'!$F230&gt;='2. GRI Pricing Inputs'!$AH$33,'3. GRI Pricing'!$F230&lt;='2. GRI Pricing Inputs'!$AI$33),'2. GRI Pricing Inputs'!$AH$32,0))))))))))))))))</f>
        <v>10</v>
      </c>
      <c r="N230" s="273" cm="1">
        <f t="array" ref="N230">IFERROR(INDEX('2. GRI Pricing Inputs'!$C$32:$AI$39,MATCH('3. GRI Pricing'!D230,'2. GRI Pricing Inputs'!$C$32:$C$39,0),(MATCH('3. GRI Pricing'!M230,'2. GRI Pricing Inputs'!$D$32:$AI$32,0)+1)),0)</f>
        <v>40</v>
      </c>
      <c r="O230" s="273">
        <f>IFERROR(INDEX('2. GRI Pricing Inputs'!$C$45:$AI$46,MATCH($O$16,'2. GRI Pricing Inputs'!$C$45:$C$46,0),MATCH(G230,'2. GRI Pricing Inputs'!$C$45:$AI$45,0)),0)</f>
        <v>50</v>
      </c>
      <c r="P230" s="273">
        <f>IFERROR(INDEX('2. GRI Pricing Inputs'!$C$53:$AI$54,MATCH('3. GRI Pricing'!$P$16,'2. GRI Pricing Inputs'!$C$53:$C$54,0),MATCH('3. GRI Pricing'!H230,'2. GRI Pricing Inputs'!$C$53:$AI$53,0)),0)</f>
        <v>10</v>
      </c>
      <c r="Q230" s="273">
        <f>IFERROR(INDEX('2. GRI Pricing Inputs'!$C$60:$AI$61,MATCH('3. GRI Pricing'!$Q$16,'2. GRI Pricing Inputs'!$C$60:$C$61,0),MATCH('1. Accomodation'!T234,'2. GRI Pricing Inputs'!$C$60:$AI$60,0)),0)</f>
        <v>0</v>
      </c>
      <c r="R230" s="273">
        <f>IFERROR(INDEX('2. GRI Pricing Inputs'!$C$67:$AI$68,MATCH('3. GRI Pricing'!$R$16,'2. GRI Pricing Inputs'!$C$67:$C$68,0),MATCH('1. Accomodation'!U234,'2. GRI Pricing Inputs'!$C$67:$AI$67,0)),0)</f>
        <v>0</v>
      </c>
      <c r="S230" s="273">
        <f>IF(D230=0,0,'2. GRI Pricing Inputs'!$AI$75)</f>
        <v>70</v>
      </c>
      <c r="T230" s="273">
        <f>IFERROR(INDEX('2. GRI Pricing Inputs'!$C$82:$AI$83,MATCH('3. GRI Pricing'!$T$16,'2. GRI Pricing Inputs'!$C$82:$C$83,0),MATCH('1. Accomodation'!V234,'2. GRI Pricing Inputs'!$C$82:$AI$82,0)),0)</f>
        <v>0</v>
      </c>
      <c r="U230" s="273">
        <f>IFERROR(INDEX('2. GRI Pricing Inputs'!$C$89:$AI$90,MATCH('3. GRI Pricing'!$U$16,'2. GRI Pricing Inputs'!$C$89:$C$90,0),MATCH('1. Accomodation'!W234,'2. GRI Pricing Inputs'!$C$89:$AI$89,0)),0)</f>
        <v>0</v>
      </c>
      <c r="V230" s="273">
        <f>IFERROR(INDEX('2. GRI Pricing Inputs'!$C$97:$AI$98,MATCH('3. GRI Pricing'!$V$16,'2. GRI Pricing Inputs'!$C$97:$C$98,0),MATCH('1. Accomodation'!X234,'2. GRI Pricing Inputs'!$C$97:$AI$97,0)),0)</f>
        <v>0</v>
      </c>
      <c r="W230" s="273">
        <f>IFERROR(INDEX('2. GRI Pricing Inputs'!$C$104:$AI$105,MATCH('3. GRI Pricing'!$W$16,'2. GRI Pricing Inputs'!$C$104:$C$105,0),MATCH('1. Accomodation'!Y234,'2. GRI Pricing Inputs'!$C$104:$AI$104,0)),0)</f>
        <v>0</v>
      </c>
      <c r="X230" s="274">
        <v>0</v>
      </c>
      <c r="Y230" s="275">
        <f t="shared" si="10"/>
        <v>1280</v>
      </c>
      <c r="Z230" s="276"/>
      <c r="AA230" s="276"/>
      <c r="AB230" s="276"/>
      <c r="AC230" s="272">
        <f>Y230*(1+'2. GRI Pricing Inputs'!$D$114)^(($AC$16-$AB$15)/365)</f>
        <v>1284.2708844302501</v>
      </c>
      <c r="AD230" s="273">
        <f>AC230*(1+'2. GRI Pricing Inputs'!$D$114)^((AD$16-AC$16)/365)</f>
        <v>1288.4175661442257</v>
      </c>
      <c r="AE230" s="273">
        <f>AD230*(1+'2. GRI Pricing Inputs'!$D$114)^((AE$16-AD$16)/365)</f>
        <v>1292.7165368652461</v>
      </c>
      <c r="AF230" s="273">
        <f>AE230*(1+'2. GRI Pricing Inputs'!$D$114)^((AF$16-AE$16)/365)</f>
        <v>1297.0298516543278</v>
      </c>
      <c r="AG230" s="273">
        <f>AF230*(1+'2. GRI Pricing Inputs'!$D$114)^((AG$16-AF$16)/365)</f>
        <v>1301.0779162494002</v>
      </c>
      <c r="AH230" s="273">
        <f>AG230*(1+'2. GRI Pricing Inputs'!$D$114)^((AH$16-AG$16)/365)</f>
        <v>1305.4191298549094</v>
      </c>
      <c r="AI230" s="273">
        <f>AH230*(1+'2. GRI Pricing Inputs'!$D$114)^((AI$16-AH$16)/365)</f>
        <v>1309.6340954828538</v>
      </c>
      <c r="AJ230" s="273">
        <f>AI230*(1+'2. GRI Pricing Inputs'!$D$114)^((AJ$16-AI$16)/365)</f>
        <v>1314.003857879512</v>
      </c>
      <c r="AK230" s="273">
        <f>AJ230*(1+'2. GRI Pricing Inputs'!$D$114)^((AK$16-AJ$16)/365)</f>
        <v>1318.246542063682</v>
      </c>
      <c r="AL230" s="273">
        <f>AK230*(1+'2. GRI Pricing Inputs'!$D$114)^((AL$16-AK$16)/365)</f>
        <v>1322.6450409947217</v>
      </c>
      <c r="AM230" s="273">
        <f>AL230*(1+'2. GRI Pricing Inputs'!$D$114)^((AM$16-AL$16)/365)</f>
        <v>1327.0582160824811</v>
      </c>
      <c r="AN230" s="273">
        <f>AM230*(1+'2. GRI Pricing Inputs'!$D$114)^((AN$16-AM$16)/365)</f>
        <v>1331.3430504618352</v>
      </c>
      <c r="AO230" s="273">
        <f>AN230*(1+'2. GRI Pricing Inputs'!$D$114)^((AO$16-AN$16)/365)</f>
        <v>1335.7852475755376</v>
      </c>
    </row>
    <row r="231" spans="3:41" ht="12" x14ac:dyDescent="0.2">
      <c r="C231" s="76" t="str">
        <f>'1. Accomodation'!N235</f>
        <v>306W</v>
      </c>
      <c r="D231" s="69" t="str">
        <f>'1. Accomodation'!P235</f>
        <v>1 Bed</v>
      </c>
      <c r="E231" s="69">
        <f>'1. Accomodation'!Q235</f>
        <v>1</v>
      </c>
      <c r="F231" s="77">
        <f>'1. Accomodation'!O235</f>
        <v>506</v>
      </c>
      <c r="G231" s="69">
        <f>'1. Accomodation'!R235</f>
        <v>3</v>
      </c>
      <c r="H231" s="69" t="str">
        <f>'1. Accomodation'!S235</f>
        <v>Railway Bridge</v>
      </c>
      <c r="I231" s="62"/>
      <c r="K231" s="272">
        <f>IFERROR(INDEX('2. GRI Pricing Inputs'!$C$15:$AI$16,MATCH($K$16,'2. GRI Pricing Inputs'!$C$15:$C$16,0),MATCH(D231,'2. GRI Pricing Inputs'!$C$15:$AI$15,0)),0)</f>
        <v>845</v>
      </c>
      <c r="L231" s="273">
        <f>IFERROR(INDEX('2. GRI Pricing Inputs'!$C$22:$AI$23,MATCH($L$16,'2. GRI Pricing Inputs'!$C$22:$C$23,0),MATCH(E231,'2. GRI Pricing Inputs'!$C$22:$AI$22,0)),0)</f>
        <v>0</v>
      </c>
      <c r="M231" s="328">
        <f>IF(AND('3. GRI Pricing'!$F231&gt;='2. GRI Pricing Inputs'!$D$33,'3. GRI Pricing'!$F231&lt;='2. GRI Pricing Inputs'!$E$33),'2. GRI Pricing Inputs'!$D$32,IF(AND('3. GRI Pricing'!$F231&gt;='2. GRI Pricing Inputs'!$F$33,'3. GRI Pricing'!$F231&lt;='2. GRI Pricing Inputs'!$G$33),'2. GRI Pricing Inputs'!$F$32,IF(AND('3. GRI Pricing'!$F231&gt;='2. GRI Pricing Inputs'!$H$33,'3. GRI Pricing'!$F231&lt;='2. GRI Pricing Inputs'!$I$33),'2. GRI Pricing Inputs'!$H$32,IF(AND('3. GRI Pricing'!$F231&gt;='2. GRI Pricing Inputs'!$J$33,'3. GRI Pricing'!$F231&lt;='2. GRI Pricing Inputs'!$K$33),'2. GRI Pricing Inputs'!$J$32,IF(AND('3. GRI Pricing'!$F231&gt;='2. GRI Pricing Inputs'!$L$33,'3. GRI Pricing'!$F231&lt;='2. GRI Pricing Inputs'!$M$33),'2. GRI Pricing Inputs'!$L$32,IF(AND('3. GRI Pricing'!$F231&gt;='2. GRI Pricing Inputs'!$N$33,'3. GRI Pricing'!$F231&lt;='2. GRI Pricing Inputs'!$O$33),'2. GRI Pricing Inputs'!$N$32,IF(AND('3. GRI Pricing'!$F231&gt;='2. GRI Pricing Inputs'!$P$33,'3. GRI Pricing'!$F231&lt;='2. GRI Pricing Inputs'!$Q$33),'2. GRI Pricing Inputs'!$P$32,IF(AND('3. GRI Pricing'!$F231&gt;='2. GRI Pricing Inputs'!$R$33,'3. GRI Pricing'!$F231&lt;='2. GRI Pricing Inputs'!$S$33),'2. GRI Pricing Inputs'!$R$32,IF(AND('3. GRI Pricing'!$F231&gt;='2. GRI Pricing Inputs'!$T$33,'3. GRI Pricing'!$F231&lt;='2. GRI Pricing Inputs'!$U$33),'2. GRI Pricing Inputs'!$T$32,IF(AND('3. GRI Pricing'!$F231&gt;='2. GRI Pricing Inputs'!$V$33,'3. GRI Pricing'!$F231&lt;='2. GRI Pricing Inputs'!$W$33),'2. GRI Pricing Inputs'!$V$32,IF(AND('3. GRI Pricing'!$F231&gt;='2. GRI Pricing Inputs'!$X$33,'3. GRI Pricing'!$F231&lt;='2. GRI Pricing Inputs'!$Y$33),'2. GRI Pricing Inputs'!$X$32,IF(AND('3. GRI Pricing'!$F231&gt;='2. GRI Pricing Inputs'!$Z$33,'3. GRI Pricing'!$F231&lt;='2. GRI Pricing Inputs'!$AA$33),'2. GRI Pricing Inputs'!$Z$32,IF(AND('3. GRI Pricing'!$F231&gt;='2. GRI Pricing Inputs'!$AB$33,'3. GRI Pricing'!$F231&lt;='2. GRI Pricing Inputs'!$AC$33),'2. GRI Pricing Inputs'!$AB$32,IF(AND('3. GRI Pricing'!$F231&gt;='2. GRI Pricing Inputs'!$AD$33,'3. GRI Pricing'!$F231&lt;='2. GRI Pricing Inputs'!$AE$33),'2. GRI Pricing Inputs'!$AD$32,IF(AND('3. GRI Pricing'!$F231&gt;='2. GRI Pricing Inputs'!$AF$33,'3. GRI Pricing'!$F231&lt;='2. GRI Pricing Inputs'!$AG$33),'2. GRI Pricing Inputs'!$AF$32,IF(AND('3. GRI Pricing'!$F231&gt;='2. GRI Pricing Inputs'!$AH$33,'3. GRI Pricing'!$F231&lt;='2. GRI Pricing Inputs'!$AI$33),'2. GRI Pricing Inputs'!$AH$32,0))))))))))))))))</f>
        <v>2</v>
      </c>
      <c r="N231" s="273" cm="1">
        <f t="array" ref="N231">IFERROR(INDEX('2. GRI Pricing Inputs'!$C$32:$AI$39,MATCH('3. GRI Pricing'!D231,'2. GRI Pricing Inputs'!$C$32:$C$39,0),(MATCH('3. GRI Pricing'!M231,'2. GRI Pricing Inputs'!$D$32:$AI$32,0)+1)),0)</f>
        <v>15</v>
      </c>
      <c r="O231" s="273">
        <f>IFERROR(INDEX('2. GRI Pricing Inputs'!$C$45:$AI$46,MATCH($O$16,'2. GRI Pricing Inputs'!$C$45:$C$46,0),MATCH(G231,'2. GRI Pricing Inputs'!$C$45:$AI$45,0)),0)</f>
        <v>50</v>
      </c>
      <c r="P231" s="273">
        <f>IFERROR(INDEX('2. GRI Pricing Inputs'!$C$53:$AI$54,MATCH('3. GRI Pricing'!$P$16,'2. GRI Pricing Inputs'!$C$53:$C$54,0),MATCH('3. GRI Pricing'!H231,'2. GRI Pricing Inputs'!$C$53:$AI$53,0)),0)</f>
        <v>10</v>
      </c>
      <c r="Q231" s="273">
        <f>IFERROR(INDEX('2. GRI Pricing Inputs'!$C$60:$AI$61,MATCH('3. GRI Pricing'!$Q$16,'2. GRI Pricing Inputs'!$C$60:$C$61,0),MATCH('1. Accomodation'!T235,'2. GRI Pricing Inputs'!$C$60:$AI$60,0)),0)</f>
        <v>0</v>
      </c>
      <c r="R231" s="273">
        <f>IFERROR(INDEX('2. GRI Pricing Inputs'!$C$67:$AI$68,MATCH('3. GRI Pricing'!$R$16,'2. GRI Pricing Inputs'!$C$67:$C$68,0),MATCH('1. Accomodation'!U235,'2. GRI Pricing Inputs'!$C$67:$AI$67,0)),0)</f>
        <v>0</v>
      </c>
      <c r="S231" s="273">
        <f>IF(D231=0,0,'2. GRI Pricing Inputs'!$AI$75)</f>
        <v>70</v>
      </c>
      <c r="T231" s="273">
        <f>IFERROR(INDEX('2. GRI Pricing Inputs'!$C$82:$AI$83,MATCH('3. GRI Pricing'!$T$16,'2. GRI Pricing Inputs'!$C$82:$C$83,0),MATCH('1. Accomodation'!V235,'2. GRI Pricing Inputs'!$C$82:$AI$82,0)),0)</f>
        <v>0</v>
      </c>
      <c r="U231" s="273">
        <f>IFERROR(INDEX('2. GRI Pricing Inputs'!$C$89:$AI$90,MATCH('3. GRI Pricing'!$U$16,'2. GRI Pricing Inputs'!$C$89:$C$90,0),MATCH('1. Accomodation'!W235,'2. GRI Pricing Inputs'!$C$89:$AI$89,0)),0)</f>
        <v>0</v>
      </c>
      <c r="V231" s="273">
        <f>IFERROR(INDEX('2. GRI Pricing Inputs'!$C$97:$AI$98,MATCH('3. GRI Pricing'!$V$16,'2. GRI Pricing Inputs'!$C$97:$C$98,0),MATCH('1. Accomodation'!X235,'2. GRI Pricing Inputs'!$C$97:$AI$97,0)),0)</f>
        <v>0</v>
      </c>
      <c r="W231" s="273">
        <f>IFERROR(INDEX('2. GRI Pricing Inputs'!$C$104:$AI$105,MATCH('3. GRI Pricing'!$W$16,'2. GRI Pricing Inputs'!$C$104:$C$105,0),MATCH('1. Accomodation'!Y235,'2. GRI Pricing Inputs'!$C$104:$AI$104,0)),0)</f>
        <v>0</v>
      </c>
      <c r="X231" s="274">
        <v>0</v>
      </c>
      <c r="Y231" s="275">
        <f t="shared" si="10"/>
        <v>990</v>
      </c>
      <c r="Z231" s="276"/>
      <c r="AA231" s="276"/>
      <c r="AB231" s="276"/>
      <c r="AC231" s="272">
        <f>Y231*(1+'2. GRI Pricing Inputs'!$D$114)^(($AC$16-$AB$15)/365)</f>
        <v>993.30326217652157</v>
      </c>
      <c r="AD231" s="273">
        <f>AC231*(1+'2. GRI Pricing Inputs'!$D$114)^((AD$16-AC$16)/365)</f>
        <v>996.51046131467456</v>
      </c>
      <c r="AE231" s="273">
        <f>AD231*(1+'2. GRI Pricing Inputs'!$D$114)^((AE$16-AD$16)/365)</f>
        <v>999.8354464817138</v>
      </c>
      <c r="AF231" s="273">
        <f>AE231*(1+'2. GRI Pricing Inputs'!$D$114)^((AF$16-AE$16)/365)</f>
        <v>1003.1715258888943</v>
      </c>
      <c r="AG231" s="273">
        <f>AF231*(1+'2. GRI Pricing Inputs'!$D$114)^((AG$16-AF$16)/365)</f>
        <v>1006.3024508491455</v>
      </c>
      <c r="AH231" s="273">
        <f>AG231*(1+'2. GRI Pricing Inputs'!$D$114)^((AH$16-AG$16)/365)</f>
        <v>1009.6601082471566</v>
      </c>
      <c r="AI231" s="273">
        <f>AH231*(1+'2. GRI Pricing Inputs'!$D$114)^((AI$16-AH$16)/365)</f>
        <v>1012.9201207250198</v>
      </c>
      <c r="AJ231" s="273">
        <f>AI231*(1+'2. GRI Pricing Inputs'!$D$114)^((AJ$16-AI$16)/365)</f>
        <v>1016.2998588286852</v>
      </c>
      <c r="AK231" s="273">
        <f>AJ231*(1+'2. GRI Pricing Inputs'!$D$114)^((AK$16-AJ$16)/365)</f>
        <v>1019.5813098773791</v>
      </c>
      <c r="AL231" s="273">
        <f>AK231*(1+'2. GRI Pricing Inputs'!$D$114)^((AL$16-AK$16)/365)</f>
        <v>1022.9832738943552</v>
      </c>
      <c r="AM231" s="273">
        <f>AL231*(1+'2. GRI Pricing Inputs'!$D$114)^((AM$16-AL$16)/365)</f>
        <v>1026.3965890012939</v>
      </c>
      <c r="AN231" s="273">
        <f>AM231*(1+'2. GRI Pricing Inputs'!$D$114)^((AN$16-AM$16)/365)</f>
        <v>1029.7106405915756</v>
      </c>
      <c r="AO231" s="273">
        <f>AN231*(1+'2. GRI Pricing Inputs'!$D$114)^((AO$16-AN$16)/365)</f>
        <v>1033.1464024217048</v>
      </c>
    </row>
    <row r="232" spans="3:41" ht="12" x14ac:dyDescent="0.2">
      <c r="C232" s="76" t="str">
        <f>'1. Accomodation'!N236</f>
        <v>307W</v>
      </c>
      <c r="D232" s="69" t="str">
        <f>'1. Accomodation'!P236</f>
        <v>1 Bed</v>
      </c>
      <c r="E232" s="69">
        <f>'1. Accomodation'!Q236</f>
        <v>1</v>
      </c>
      <c r="F232" s="77">
        <f>'1. Accomodation'!O236</f>
        <v>474</v>
      </c>
      <c r="G232" s="69">
        <f>'1. Accomodation'!R236</f>
        <v>3</v>
      </c>
      <c r="H232" s="69" t="str">
        <f>'1. Accomodation'!S236</f>
        <v>Pottery Lane</v>
      </c>
      <c r="I232" s="62"/>
      <c r="K232" s="272">
        <f>IFERROR(INDEX('2. GRI Pricing Inputs'!$C$15:$AI$16,MATCH($K$16,'2. GRI Pricing Inputs'!$C$15:$C$16,0),MATCH(D232,'2. GRI Pricing Inputs'!$C$15:$AI$15,0)),0)</f>
        <v>845</v>
      </c>
      <c r="L232" s="273">
        <f>IFERROR(INDEX('2. GRI Pricing Inputs'!$C$22:$AI$23,MATCH($L$16,'2. GRI Pricing Inputs'!$C$22:$C$23,0),MATCH(E232,'2. GRI Pricing Inputs'!$C$22:$AI$22,0)),0)</f>
        <v>0</v>
      </c>
      <c r="M232" s="328">
        <f>IF(AND('3. GRI Pricing'!$F232&gt;='2. GRI Pricing Inputs'!$D$33,'3. GRI Pricing'!$F232&lt;='2. GRI Pricing Inputs'!$E$33),'2. GRI Pricing Inputs'!$D$32,IF(AND('3. GRI Pricing'!$F232&gt;='2. GRI Pricing Inputs'!$F$33,'3. GRI Pricing'!$F232&lt;='2. GRI Pricing Inputs'!$G$33),'2. GRI Pricing Inputs'!$F$32,IF(AND('3. GRI Pricing'!$F232&gt;='2. GRI Pricing Inputs'!$H$33,'3. GRI Pricing'!$F232&lt;='2. GRI Pricing Inputs'!$I$33),'2. GRI Pricing Inputs'!$H$32,IF(AND('3. GRI Pricing'!$F232&gt;='2. GRI Pricing Inputs'!$J$33,'3. GRI Pricing'!$F232&lt;='2. GRI Pricing Inputs'!$K$33),'2. GRI Pricing Inputs'!$J$32,IF(AND('3. GRI Pricing'!$F232&gt;='2. GRI Pricing Inputs'!$L$33,'3. GRI Pricing'!$F232&lt;='2. GRI Pricing Inputs'!$M$33),'2. GRI Pricing Inputs'!$L$32,IF(AND('3. GRI Pricing'!$F232&gt;='2. GRI Pricing Inputs'!$N$33,'3. GRI Pricing'!$F232&lt;='2. GRI Pricing Inputs'!$O$33),'2. GRI Pricing Inputs'!$N$32,IF(AND('3. GRI Pricing'!$F232&gt;='2. GRI Pricing Inputs'!$P$33,'3. GRI Pricing'!$F232&lt;='2. GRI Pricing Inputs'!$Q$33),'2. GRI Pricing Inputs'!$P$32,IF(AND('3. GRI Pricing'!$F232&gt;='2. GRI Pricing Inputs'!$R$33,'3. GRI Pricing'!$F232&lt;='2. GRI Pricing Inputs'!$S$33),'2. GRI Pricing Inputs'!$R$32,IF(AND('3. GRI Pricing'!$F232&gt;='2. GRI Pricing Inputs'!$T$33,'3. GRI Pricing'!$F232&lt;='2. GRI Pricing Inputs'!$U$33),'2. GRI Pricing Inputs'!$T$32,IF(AND('3. GRI Pricing'!$F232&gt;='2. GRI Pricing Inputs'!$V$33,'3. GRI Pricing'!$F232&lt;='2. GRI Pricing Inputs'!$W$33),'2. GRI Pricing Inputs'!$V$32,IF(AND('3. GRI Pricing'!$F232&gt;='2. GRI Pricing Inputs'!$X$33,'3. GRI Pricing'!$F232&lt;='2. GRI Pricing Inputs'!$Y$33),'2. GRI Pricing Inputs'!$X$32,IF(AND('3. GRI Pricing'!$F232&gt;='2. GRI Pricing Inputs'!$Z$33,'3. GRI Pricing'!$F232&lt;='2. GRI Pricing Inputs'!$AA$33),'2. GRI Pricing Inputs'!$Z$32,IF(AND('3. GRI Pricing'!$F232&gt;='2. GRI Pricing Inputs'!$AB$33,'3. GRI Pricing'!$F232&lt;='2. GRI Pricing Inputs'!$AC$33),'2. GRI Pricing Inputs'!$AB$32,IF(AND('3. GRI Pricing'!$F232&gt;='2. GRI Pricing Inputs'!$AD$33,'3. GRI Pricing'!$F232&lt;='2. GRI Pricing Inputs'!$AE$33),'2. GRI Pricing Inputs'!$AD$32,IF(AND('3. GRI Pricing'!$F232&gt;='2. GRI Pricing Inputs'!$AF$33,'3. GRI Pricing'!$F232&lt;='2. GRI Pricing Inputs'!$AG$33),'2. GRI Pricing Inputs'!$AF$32,IF(AND('3. GRI Pricing'!$F232&gt;='2. GRI Pricing Inputs'!$AH$33,'3. GRI Pricing'!$F232&lt;='2. GRI Pricing Inputs'!$AI$33),'2. GRI Pricing Inputs'!$AH$32,0))))))))))))))))</f>
        <v>0</v>
      </c>
      <c r="N232" s="273" cm="1">
        <f t="array" ref="N232">IFERROR(INDEX('2. GRI Pricing Inputs'!$C$32:$AI$39,MATCH('3. GRI Pricing'!D232,'2. GRI Pricing Inputs'!$C$32:$C$39,0),(MATCH('3. GRI Pricing'!M232,'2. GRI Pricing Inputs'!$D$32:$AI$32,0)+1)),0)</f>
        <v>0</v>
      </c>
      <c r="O232" s="273">
        <f>IFERROR(INDEX('2. GRI Pricing Inputs'!$C$45:$AI$46,MATCH($O$16,'2. GRI Pricing Inputs'!$C$45:$C$46,0),MATCH(G232,'2. GRI Pricing Inputs'!$C$45:$AI$45,0)),0)</f>
        <v>50</v>
      </c>
      <c r="P232" s="273">
        <f>IFERROR(INDEX('2. GRI Pricing Inputs'!$C$53:$AI$54,MATCH('3. GRI Pricing'!$P$16,'2. GRI Pricing Inputs'!$C$53:$C$54,0),MATCH('3. GRI Pricing'!H232,'2. GRI Pricing Inputs'!$C$53:$AI$53,0)),0)</f>
        <v>10</v>
      </c>
      <c r="Q232" s="273">
        <f>IFERROR(INDEX('2. GRI Pricing Inputs'!$C$60:$AI$61,MATCH('3. GRI Pricing'!$Q$16,'2. GRI Pricing Inputs'!$C$60:$C$61,0),MATCH('1. Accomodation'!T236,'2. GRI Pricing Inputs'!$C$60:$AI$60,0)),0)</f>
        <v>0</v>
      </c>
      <c r="R232" s="273">
        <f>IFERROR(INDEX('2. GRI Pricing Inputs'!$C$67:$AI$68,MATCH('3. GRI Pricing'!$R$16,'2. GRI Pricing Inputs'!$C$67:$C$68,0),MATCH('1. Accomodation'!U236,'2. GRI Pricing Inputs'!$C$67:$AI$67,0)),0)</f>
        <v>0</v>
      </c>
      <c r="S232" s="273">
        <f>IF(D232=0,0,'2. GRI Pricing Inputs'!$AI$75)</f>
        <v>70</v>
      </c>
      <c r="T232" s="273">
        <f>IFERROR(INDEX('2. GRI Pricing Inputs'!$C$82:$AI$83,MATCH('3. GRI Pricing'!$T$16,'2. GRI Pricing Inputs'!$C$82:$C$83,0),MATCH('1. Accomodation'!V236,'2. GRI Pricing Inputs'!$C$82:$AI$82,0)),0)</f>
        <v>0</v>
      </c>
      <c r="U232" s="273">
        <f>IFERROR(INDEX('2. GRI Pricing Inputs'!$C$89:$AI$90,MATCH('3. GRI Pricing'!$U$16,'2. GRI Pricing Inputs'!$C$89:$C$90,0),MATCH('1. Accomodation'!W236,'2. GRI Pricing Inputs'!$C$89:$AI$89,0)),0)</f>
        <v>0</v>
      </c>
      <c r="V232" s="273">
        <f>IFERROR(INDEX('2. GRI Pricing Inputs'!$C$97:$AI$98,MATCH('3. GRI Pricing'!$V$16,'2. GRI Pricing Inputs'!$C$97:$C$98,0),MATCH('1. Accomodation'!X236,'2. GRI Pricing Inputs'!$C$97:$AI$97,0)),0)</f>
        <v>0</v>
      </c>
      <c r="W232" s="273">
        <f>IFERROR(INDEX('2. GRI Pricing Inputs'!$C$104:$AI$105,MATCH('3. GRI Pricing'!$W$16,'2. GRI Pricing Inputs'!$C$104:$C$105,0),MATCH('1. Accomodation'!Y236,'2. GRI Pricing Inputs'!$C$104:$AI$104,0)),0)</f>
        <v>0</v>
      </c>
      <c r="X232" s="274">
        <v>0</v>
      </c>
      <c r="Y232" s="275">
        <f t="shared" si="10"/>
        <v>975</v>
      </c>
      <c r="Z232" s="276"/>
      <c r="AA232" s="276"/>
      <c r="AB232" s="276"/>
      <c r="AC232" s="272">
        <f>Y232*(1+'2. GRI Pricing Inputs'!$D$114)^(($AC$16-$AB$15)/365)</f>
        <v>978.25321274960459</v>
      </c>
      <c r="AD232" s="273">
        <f>AC232*(1+'2. GRI Pricing Inputs'!$D$114)^((AD$16-AC$16)/365)</f>
        <v>981.41181796142189</v>
      </c>
      <c r="AE232" s="273">
        <f>AD232*(1+'2. GRI Pricing Inputs'!$D$114)^((AE$16-AD$16)/365)</f>
        <v>984.68642456532416</v>
      </c>
      <c r="AF232" s="273">
        <f>AE232*(1+'2. GRI Pricing Inputs'!$D$114)^((AF$16-AE$16)/365)</f>
        <v>987.97195731482009</v>
      </c>
      <c r="AG232" s="273">
        <f>AF232*(1+'2. GRI Pricing Inputs'!$D$114)^((AG$16-AF$16)/365)</f>
        <v>991.05544401809789</v>
      </c>
      <c r="AH232" s="273">
        <f>AG232*(1+'2. GRI Pricing Inputs'!$D$114)^((AH$16-AG$16)/365)</f>
        <v>994.36222781916945</v>
      </c>
      <c r="AI232" s="273">
        <f>AH232*(1+'2. GRI Pricing Inputs'!$D$114)^((AI$16-AH$16)/365)</f>
        <v>997.57284616858021</v>
      </c>
      <c r="AJ232" s="273">
        <f>AI232*(1+'2. GRI Pricing Inputs'!$D$114)^((AJ$16-AI$16)/365)</f>
        <v>1000.9013761191596</v>
      </c>
      <c r="AK232" s="273">
        <f>AJ232*(1+'2. GRI Pricing Inputs'!$D$114)^((AK$16-AJ$16)/365)</f>
        <v>1004.1331082125704</v>
      </c>
      <c r="AL232" s="273">
        <f>AK232*(1+'2. GRI Pricing Inputs'!$D$114)^((AL$16-AK$16)/365)</f>
        <v>1007.4835273201983</v>
      </c>
      <c r="AM232" s="273">
        <f>AL232*(1+'2. GRI Pricing Inputs'!$D$114)^((AM$16-AL$16)/365)</f>
        <v>1010.8451255315774</v>
      </c>
      <c r="AN232" s="273">
        <f>AM232*(1+'2. GRI Pricing Inputs'!$D$114)^((AN$16-AM$16)/365)</f>
        <v>1014.108964218976</v>
      </c>
      <c r="AO232" s="273">
        <f>AN232*(1+'2. GRI Pricing Inputs'!$D$114)^((AO$16-AN$16)/365)</f>
        <v>1017.4926690516791</v>
      </c>
    </row>
    <row r="233" spans="3:41" ht="12" x14ac:dyDescent="0.2">
      <c r="C233" s="76" t="str">
        <f>'1. Accomodation'!N237</f>
        <v>308W</v>
      </c>
      <c r="D233" s="69" t="str">
        <f>'1. Accomodation'!P237</f>
        <v>2 Bed</v>
      </c>
      <c r="E233" s="69">
        <f>'1. Accomodation'!Q237</f>
        <v>2</v>
      </c>
      <c r="F233" s="77">
        <f>'1. Accomodation'!O237</f>
        <v>667</v>
      </c>
      <c r="G233" s="69">
        <f>'1. Accomodation'!R237</f>
        <v>3</v>
      </c>
      <c r="H233" s="69" t="str">
        <f>'1. Accomodation'!S237</f>
        <v>Courtyard</v>
      </c>
      <c r="I233" s="62"/>
      <c r="K233" s="272">
        <f>IFERROR(INDEX('2. GRI Pricing Inputs'!$C$15:$AI$16,MATCH($K$16,'2. GRI Pricing Inputs'!$C$15:$C$16,0),MATCH(D233,'2. GRI Pricing Inputs'!$C$15:$AI$15,0)),0)</f>
        <v>1110</v>
      </c>
      <c r="L233" s="273">
        <f>IFERROR(INDEX('2. GRI Pricing Inputs'!$C$22:$AI$23,MATCH($L$16,'2. GRI Pricing Inputs'!$C$22:$C$23,0),MATCH(E233,'2. GRI Pricing Inputs'!$C$22:$AI$22,0)),0)</f>
        <v>0</v>
      </c>
      <c r="M233" s="328">
        <f>IF(AND('3. GRI Pricing'!$F233&gt;='2. GRI Pricing Inputs'!$D$33,'3. GRI Pricing'!$F233&lt;='2. GRI Pricing Inputs'!$E$33),'2. GRI Pricing Inputs'!$D$32,IF(AND('3. GRI Pricing'!$F233&gt;='2. GRI Pricing Inputs'!$F$33,'3. GRI Pricing'!$F233&lt;='2. GRI Pricing Inputs'!$G$33),'2. GRI Pricing Inputs'!$F$32,IF(AND('3. GRI Pricing'!$F233&gt;='2. GRI Pricing Inputs'!$H$33,'3. GRI Pricing'!$F233&lt;='2. GRI Pricing Inputs'!$I$33),'2. GRI Pricing Inputs'!$H$32,IF(AND('3. GRI Pricing'!$F233&gt;='2. GRI Pricing Inputs'!$J$33,'3. GRI Pricing'!$F233&lt;='2. GRI Pricing Inputs'!$K$33),'2. GRI Pricing Inputs'!$J$32,IF(AND('3. GRI Pricing'!$F233&gt;='2. GRI Pricing Inputs'!$L$33,'3. GRI Pricing'!$F233&lt;='2. GRI Pricing Inputs'!$M$33),'2. GRI Pricing Inputs'!$L$32,IF(AND('3. GRI Pricing'!$F233&gt;='2. GRI Pricing Inputs'!$N$33,'3. GRI Pricing'!$F233&lt;='2. GRI Pricing Inputs'!$O$33),'2. GRI Pricing Inputs'!$N$32,IF(AND('3. GRI Pricing'!$F233&gt;='2. GRI Pricing Inputs'!$P$33,'3. GRI Pricing'!$F233&lt;='2. GRI Pricing Inputs'!$Q$33),'2. GRI Pricing Inputs'!$P$32,IF(AND('3. GRI Pricing'!$F233&gt;='2. GRI Pricing Inputs'!$R$33,'3. GRI Pricing'!$F233&lt;='2. GRI Pricing Inputs'!$S$33),'2. GRI Pricing Inputs'!$R$32,IF(AND('3. GRI Pricing'!$F233&gt;='2. GRI Pricing Inputs'!$T$33,'3. GRI Pricing'!$F233&lt;='2. GRI Pricing Inputs'!$U$33),'2. GRI Pricing Inputs'!$T$32,IF(AND('3. GRI Pricing'!$F233&gt;='2. GRI Pricing Inputs'!$V$33,'3. GRI Pricing'!$F233&lt;='2. GRI Pricing Inputs'!$W$33),'2. GRI Pricing Inputs'!$V$32,IF(AND('3. GRI Pricing'!$F233&gt;='2. GRI Pricing Inputs'!$X$33,'3. GRI Pricing'!$F233&lt;='2. GRI Pricing Inputs'!$Y$33),'2. GRI Pricing Inputs'!$X$32,IF(AND('3. GRI Pricing'!$F233&gt;='2. GRI Pricing Inputs'!$Z$33,'3. GRI Pricing'!$F233&lt;='2. GRI Pricing Inputs'!$AA$33),'2. GRI Pricing Inputs'!$Z$32,IF(AND('3. GRI Pricing'!$F233&gt;='2. GRI Pricing Inputs'!$AB$33,'3. GRI Pricing'!$F233&lt;='2. GRI Pricing Inputs'!$AC$33),'2. GRI Pricing Inputs'!$AB$32,IF(AND('3. GRI Pricing'!$F233&gt;='2. GRI Pricing Inputs'!$AD$33,'3. GRI Pricing'!$F233&lt;='2. GRI Pricing Inputs'!$AE$33),'2. GRI Pricing Inputs'!$AD$32,IF(AND('3. GRI Pricing'!$F233&gt;='2. GRI Pricing Inputs'!$AF$33,'3. GRI Pricing'!$F233&lt;='2. GRI Pricing Inputs'!$AG$33),'2. GRI Pricing Inputs'!$AF$32,IF(AND('3. GRI Pricing'!$F233&gt;='2. GRI Pricing Inputs'!$AH$33,'3. GRI Pricing'!$F233&lt;='2. GRI Pricing Inputs'!$AI$33),'2. GRI Pricing Inputs'!$AH$32,0))))))))))))))))</f>
        <v>9</v>
      </c>
      <c r="N233" s="273" cm="1">
        <f t="array" ref="N233">IFERROR(INDEX('2. GRI Pricing Inputs'!$C$32:$AI$39,MATCH('3. GRI Pricing'!D233,'2. GRI Pricing Inputs'!$C$32:$C$39,0),(MATCH('3. GRI Pricing'!M233,'2. GRI Pricing Inputs'!$D$32:$AI$32,0)+1)),0)</f>
        <v>30</v>
      </c>
      <c r="O233" s="273">
        <f>IFERROR(INDEX('2. GRI Pricing Inputs'!$C$45:$AI$46,MATCH($O$16,'2. GRI Pricing Inputs'!$C$45:$C$46,0),MATCH(G233,'2. GRI Pricing Inputs'!$C$45:$AI$45,0)),0)</f>
        <v>50</v>
      </c>
      <c r="P233" s="273">
        <f>IFERROR(INDEX('2. GRI Pricing Inputs'!$C$53:$AI$54,MATCH('3. GRI Pricing'!$P$16,'2. GRI Pricing Inputs'!$C$53:$C$54,0),MATCH('3. GRI Pricing'!H233,'2. GRI Pricing Inputs'!$C$53:$AI$53,0)),0)</f>
        <v>25</v>
      </c>
      <c r="Q233" s="273">
        <f>IFERROR(INDEX('2. GRI Pricing Inputs'!$C$60:$AI$61,MATCH('3. GRI Pricing'!$Q$16,'2. GRI Pricing Inputs'!$C$60:$C$61,0),MATCH('1. Accomodation'!T237,'2. GRI Pricing Inputs'!$C$60:$AI$60,0)),0)</f>
        <v>0</v>
      </c>
      <c r="R233" s="273">
        <f>IFERROR(INDEX('2. GRI Pricing Inputs'!$C$67:$AI$68,MATCH('3. GRI Pricing'!$R$16,'2. GRI Pricing Inputs'!$C$67:$C$68,0),MATCH('1. Accomodation'!U237,'2. GRI Pricing Inputs'!$C$67:$AI$67,0)),0)</f>
        <v>0</v>
      </c>
      <c r="S233" s="273">
        <f>IF(D233=0,0,'2. GRI Pricing Inputs'!$AI$75)</f>
        <v>70</v>
      </c>
      <c r="T233" s="273">
        <f>IFERROR(INDEX('2. GRI Pricing Inputs'!$C$82:$AI$83,MATCH('3. GRI Pricing'!$T$16,'2. GRI Pricing Inputs'!$C$82:$C$83,0),MATCH('1. Accomodation'!V237,'2. GRI Pricing Inputs'!$C$82:$AI$82,0)),0)</f>
        <v>0</v>
      </c>
      <c r="U233" s="273">
        <f>IFERROR(INDEX('2. GRI Pricing Inputs'!$C$89:$AI$90,MATCH('3. GRI Pricing'!$U$16,'2. GRI Pricing Inputs'!$C$89:$C$90,0),MATCH('1. Accomodation'!W237,'2. GRI Pricing Inputs'!$C$89:$AI$89,0)),0)</f>
        <v>0</v>
      </c>
      <c r="V233" s="273">
        <f>IFERROR(INDEX('2. GRI Pricing Inputs'!$C$97:$AI$98,MATCH('3. GRI Pricing'!$V$16,'2. GRI Pricing Inputs'!$C$97:$C$98,0),MATCH('1. Accomodation'!X237,'2. GRI Pricing Inputs'!$C$97:$AI$97,0)),0)</f>
        <v>0</v>
      </c>
      <c r="W233" s="273">
        <f>IFERROR(INDEX('2. GRI Pricing Inputs'!$C$104:$AI$105,MATCH('3. GRI Pricing'!$W$16,'2. GRI Pricing Inputs'!$C$104:$C$105,0),MATCH('1. Accomodation'!Y237,'2. GRI Pricing Inputs'!$C$104:$AI$104,0)),0)</f>
        <v>0</v>
      </c>
      <c r="X233" s="274">
        <v>0</v>
      </c>
      <c r="Y233" s="275">
        <f t="shared" si="10"/>
        <v>1285</v>
      </c>
      <c r="Z233" s="276"/>
      <c r="AA233" s="276"/>
      <c r="AB233" s="276"/>
      <c r="AC233" s="272">
        <f>Y233*(1+'2. GRI Pricing Inputs'!$D$114)^(($AC$16-$AB$15)/365)</f>
        <v>1289.2875675725559</v>
      </c>
      <c r="AD233" s="273">
        <f>AC233*(1+'2. GRI Pricing Inputs'!$D$114)^((AD$16-AC$16)/365)</f>
        <v>1293.4504472619767</v>
      </c>
      <c r="AE233" s="273">
        <f>AD233*(1+'2. GRI Pricing Inputs'!$D$114)^((AE$16-AD$16)/365)</f>
        <v>1297.7662108373761</v>
      </c>
      <c r="AF233" s="273">
        <f>AE233*(1+'2. GRI Pricing Inputs'!$D$114)^((AF$16-AE$16)/365)</f>
        <v>1302.0963745123527</v>
      </c>
      <c r="AG233" s="273">
        <f>AF233*(1+'2. GRI Pricing Inputs'!$D$114)^((AG$16-AF$16)/365)</f>
        <v>1306.1602518597495</v>
      </c>
      <c r="AH233" s="273">
        <f>AG233*(1+'2. GRI Pricing Inputs'!$D$114)^((AH$16-AG$16)/365)</f>
        <v>1310.5184233309053</v>
      </c>
      <c r="AI233" s="273">
        <f>AH233*(1+'2. GRI Pricing Inputs'!$D$114)^((AI$16-AH$16)/365)</f>
        <v>1314.7498536683338</v>
      </c>
      <c r="AJ233" s="273">
        <f>AI233*(1+'2. GRI Pricing Inputs'!$D$114)^((AJ$16-AI$16)/365)</f>
        <v>1319.136685449354</v>
      </c>
      <c r="AK233" s="273">
        <f>AJ233*(1+'2. GRI Pricing Inputs'!$D$114)^((AK$16-AJ$16)/365)</f>
        <v>1323.3959426186184</v>
      </c>
      <c r="AL233" s="273">
        <f>AK233*(1+'2. GRI Pricing Inputs'!$D$114)^((AL$16-AK$16)/365)</f>
        <v>1327.8116231861075</v>
      </c>
      <c r="AM233" s="273">
        <f>AL233*(1+'2. GRI Pricing Inputs'!$D$114)^((AM$16-AL$16)/365)</f>
        <v>1332.2420372390534</v>
      </c>
      <c r="AN233" s="273">
        <f>AM233*(1+'2. GRI Pricing Inputs'!$D$114)^((AN$16-AM$16)/365)</f>
        <v>1336.5436092527018</v>
      </c>
      <c r="AO233" s="273">
        <f>AN233*(1+'2. GRI Pricing Inputs'!$D$114)^((AO$16-AN$16)/365)</f>
        <v>1341.0031586988796</v>
      </c>
    </row>
    <row r="234" spans="3:41" ht="12" x14ac:dyDescent="0.2">
      <c r="C234" s="76" t="str">
        <f>'1. Accomodation'!N238</f>
        <v>309W</v>
      </c>
      <c r="D234" s="69" t="str">
        <f>'1. Accomodation'!P238</f>
        <v>2 Bed</v>
      </c>
      <c r="E234" s="69">
        <f>'1. Accomodation'!Q238</f>
        <v>2</v>
      </c>
      <c r="F234" s="77">
        <f>'1. Accomodation'!O238</f>
        <v>657</v>
      </c>
      <c r="G234" s="69">
        <f>'1. Accomodation'!R238</f>
        <v>3</v>
      </c>
      <c r="H234" s="69" t="str">
        <f>'1. Accomodation'!S238</f>
        <v>Courtyard</v>
      </c>
      <c r="I234" s="62"/>
      <c r="K234" s="272">
        <f>IFERROR(INDEX('2. GRI Pricing Inputs'!$C$15:$AI$16,MATCH($K$16,'2. GRI Pricing Inputs'!$C$15:$C$16,0),MATCH(D234,'2. GRI Pricing Inputs'!$C$15:$AI$15,0)),0)</f>
        <v>1110</v>
      </c>
      <c r="L234" s="273">
        <f>IFERROR(INDEX('2. GRI Pricing Inputs'!$C$22:$AI$23,MATCH($L$16,'2. GRI Pricing Inputs'!$C$22:$C$23,0),MATCH(E234,'2. GRI Pricing Inputs'!$C$22:$AI$22,0)),0)</f>
        <v>0</v>
      </c>
      <c r="M234" s="328">
        <f>IF(AND('3. GRI Pricing'!$F234&gt;='2. GRI Pricing Inputs'!$D$33,'3. GRI Pricing'!$F234&lt;='2. GRI Pricing Inputs'!$E$33),'2. GRI Pricing Inputs'!$D$32,IF(AND('3. GRI Pricing'!$F234&gt;='2. GRI Pricing Inputs'!$F$33,'3. GRI Pricing'!$F234&lt;='2. GRI Pricing Inputs'!$G$33),'2. GRI Pricing Inputs'!$F$32,IF(AND('3. GRI Pricing'!$F234&gt;='2. GRI Pricing Inputs'!$H$33,'3. GRI Pricing'!$F234&lt;='2. GRI Pricing Inputs'!$I$33),'2. GRI Pricing Inputs'!$H$32,IF(AND('3. GRI Pricing'!$F234&gt;='2. GRI Pricing Inputs'!$J$33,'3. GRI Pricing'!$F234&lt;='2. GRI Pricing Inputs'!$K$33),'2. GRI Pricing Inputs'!$J$32,IF(AND('3. GRI Pricing'!$F234&gt;='2. GRI Pricing Inputs'!$L$33,'3. GRI Pricing'!$F234&lt;='2. GRI Pricing Inputs'!$M$33),'2. GRI Pricing Inputs'!$L$32,IF(AND('3. GRI Pricing'!$F234&gt;='2. GRI Pricing Inputs'!$N$33,'3. GRI Pricing'!$F234&lt;='2. GRI Pricing Inputs'!$O$33),'2. GRI Pricing Inputs'!$N$32,IF(AND('3. GRI Pricing'!$F234&gt;='2. GRI Pricing Inputs'!$P$33,'3. GRI Pricing'!$F234&lt;='2. GRI Pricing Inputs'!$Q$33),'2. GRI Pricing Inputs'!$P$32,IF(AND('3. GRI Pricing'!$F234&gt;='2. GRI Pricing Inputs'!$R$33,'3. GRI Pricing'!$F234&lt;='2. GRI Pricing Inputs'!$S$33),'2. GRI Pricing Inputs'!$R$32,IF(AND('3. GRI Pricing'!$F234&gt;='2. GRI Pricing Inputs'!$T$33,'3. GRI Pricing'!$F234&lt;='2. GRI Pricing Inputs'!$U$33),'2. GRI Pricing Inputs'!$T$32,IF(AND('3. GRI Pricing'!$F234&gt;='2. GRI Pricing Inputs'!$V$33,'3. GRI Pricing'!$F234&lt;='2. GRI Pricing Inputs'!$W$33),'2. GRI Pricing Inputs'!$V$32,IF(AND('3. GRI Pricing'!$F234&gt;='2. GRI Pricing Inputs'!$X$33,'3. GRI Pricing'!$F234&lt;='2. GRI Pricing Inputs'!$Y$33),'2. GRI Pricing Inputs'!$X$32,IF(AND('3. GRI Pricing'!$F234&gt;='2. GRI Pricing Inputs'!$Z$33,'3. GRI Pricing'!$F234&lt;='2. GRI Pricing Inputs'!$AA$33),'2. GRI Pricing Inputs'!$Z$32,IF(AND('3. GRI Pricing'!$F234&gt;='2. GRI Pricing Inputs'!$AB$33,'3. GRI Pricing'!$F234&lt;='2. GRI Pricing Inputs'!$AC$33),'2. GRI Pricing Inputs'!$AB$32,IF(AND('3. GRI Pricing'!$F234&gt;='2. GRI Pricing Inputs'!$AD$33,'3. GRI Pricing'!$F234&lt;='2. GRI Pricing Inputs'!$AE$33),'2. GRI Pricing Inputs'!$AD$32,IF(AND('3. GRI Pricing'!$F234&gt;='2. GRI Pricing Inputs'!$AF$33,'3. GRI Pricing'!$F234&lt;='2. GRI Pricing Inputs'!$AG$33),'2. GRI Pricing Inputs'!$AF$32,IF(AND('3. GRI Pricing'!$F234&gt;='2. GRI Pricing Inputs'!$AH$33,'3. GRI Pricing'!$F234&lt;='2. GRI Pricing Inputs'!$AI$33),'2. GRI Pricing Inputs'!$AH$32,0))))))))))))))))</f>
        <v>8</v>
      </c>
      <c r="N234" s="273" cm="1">
        <f t="array" ref="N234">IFERROR(INDEX('2. GRI Pricing Inputs'!$C$32:$AI$39,MATCH('3. GRI Pricing'!D234,'2. GRI Pricing Inputs'!$C$32:$C$39,0),(MATCH('3. GRI Pricing'!M234,'2. GRI Pricing Inputs'!$D$32:$AI$32,0)+1)),0)</f>
        <v>20</v>
      </c>
      <c r="O234" s="273">
        <f>IFERROR(INDEX('2. GRI Pricing Inputs'!$C$45:$AI$46,MATCH($O$16,'2. GRI Pricing Inputs'!$C$45:$C$46,0),MATCH(G234,'2. GRI Pricing Inputs'!$C$45:$AI$45,0)),0)</f>
        <v>50</v>
      </c>
      <c r="P234" s="273">
        <f>IFERROR(INDEX('2. GRI Pricing Inputs'!$C$53:$AI$54,MATCH('3. GRI Pricing'!$P$16,'2. GRI Pricing Inputs'!$C$53:$C$54,0),MATCH('3. GRI Pricing'!H234,'2. GRI Pricing Inputs'!$C$53:$AI$53,0)),0)</f>
        <v>25</v>
      </c>
      <c r="Q234" s="273">
        <f>IFERROR(INDEX('2. GRI Pricing Inputs'!$C$60:$AI$61,MATCH('3. GRI Pricing'!$Q$16,'2. GRI Pricing Inputs'!$C$60:$C$61,0),MATCH('1. Accomodation'!T238,'2. GRI Pricing Inputs'!$C$60:$AI$60,0)),0)</f>
        <v>0</v>
      </c>
      <c r="R234" s="273">
        <f>IFERROR(INDEX('2. GRI Pricing Inputs'!$C$67:$AI$68,MATCH('3. GRI Pricing'!$R$16,'2. GRI Pricing Inputs'!$C$67:$C$68,0),MATCH('1. Accomodation'!U238,'2. GRI Pricing Inputs'!$C$67:$AI$67,0)),0)</f>
        <v>0</v>
      </c>
      <c r="S234" s="273">
        <f>IF(D234=0,0,'2. GRI Pricing Inputs'!$AI$75)</f>
        <v>70</v>
      </c>
      <c r="T234" s="273">
        <f>IFERROR(INDEX('2. GRI Pricing Inputs'!$C$82:$AI$83,MATCH('3. GRI Pricing'!$T$16,'2. GRI Pricing Inputs'!$C$82:$C$83,0),MATCH('1. Accomodation'!V238,'2. GRI Pricing Inputs'!$C$82:$AI$82,0)),0)</f>
        <v>0</v>
      </c>
      <c r="U234" s="273">
        <f>IFERROR(INDEX('2. GRI Pricing Inputs'!$C$89:$AI$90,MATCH('3. GRI Pricing'!$U$16,'2. GRI Pricing Inputs'!$C$89:$C$90,0),MATCH('1. Accomodation'!W238,'2. GRI Pricing Inputs'!$C$89:$AI$89,0)),0)</f>
        <v>0</v>
      </c>
      <c r="V234" s="273">
        <f>IFERROR(INDEX('2. GRI Pricing Inputs'!$C$97:$AI$98,MATCH('3. GRI Pricing'!$V$16,'2. GRI Pricing Inputs'!$C$97:$C$98,0),MATCH('1. Accomodation'!X238,'2. GRI Pricing Inputs'!$C$97:$AI$97,0)),0)</f>
        <v>0</v>
      </c>
      <c r="W234" s="273">
        <f>IFERROR(INDEX('2. GRI Pricing Inputs'!$C$104:$AI$105,MATCH('3. GRI Pricing'!$W$16,'2. GRI Pricing Inputs'!$C$104:$C$105,0),MATCH('1. Accomodation'!Y238,'2. GRI Pricing Inputs'!$C$104:$AI$104,0)),0)</f>
        <v>0</v>
      </c>
      <c r="X234" s="274">
        <v>0</v>
      </c>
      <c r="Y234" s="275">
        <f t="shared" si="10"/>
        <v>1275</v>
      </c>
      <c r="Z234" s="276"/>
      <c r="AA234" s="276"/>
      <c r="AB234" s="276"/>
      <c r="AC234" s="272">
        <f>Y234*(1+'2. GRI Pricing Inputs'!$D$114)^(($AC$16-$AB$15)/365)</f>
        <v>1279.2542012879444</v>
      </c>
      <c r="AD234" s="273">
        <f>AC234*(1+'2. GRI Pricing Inputs'!$D$114)^((AD$16-AC$16)/365)</f>
        <v>1283.3846850264747</v>
      </c>
      <c r="AE234" s="273">
        <f>AD234*(1+'2. GRI Pricing Inputs'!$D$114)^((AE$16-AD$16)/365)</f>
        <v>1287.6668628931161</v>
      </c>
      <c r="AF234" s="273">
        <f>AE234*(1+'2. GRI Pricing Inputs'!$D$114)^((AF$16-AE$16)/365)</f>
        <v>1291.9633287963029</v>
      </c>
      <c r="AG234" s="273">
        <f>AF234*(1+'2. GRI Pricing Inputs'!$D$114)^((AG$16-AF$16)/365)</f>
        <v>1295.9955806390508</v>
      </c>
      <c r="AH234" s="273">
        <f>AG234*(1+'2. GRI Pricing Inputs'!$D$114)^((AH$16-AG$16)/365)</f>
        <v>1300.3198363789136</v>
      </c>
      <c r="AI234" s="273">
        <f>AH234*(1+'2. GRI Pricing Inputs'!$D$114)^((AI$16-AH$16)/365)</f>
        <v>1304.5183372973738</v>
      </c>
      <c r="AJ234" s="273">
        <f>AI234*(1+'2. GRI Pricing Inputs'!$D$114)^((AJ$16-AI$16)/365)</f>
        <v>1308.87103030967</v>
      </c>
      <c r="AK234" s="273">
        <f>AJ234*(1+'2. GRI Pricing Inputs'!$D$114)^((AK$16-AJ$16)/365)</f>
        <v>1313.0971415087456</v>
      </c>
      <c r="AL234" s="273">
        <f>AK234*(1+'2. GRI Pricing Inputs'!$D$114)^((AL$16-AK$16)/365)</f>
        <v>1317.478458803336</v>
      </c>
      <c r="AM234" s="273">
        <f>AL234*(1+'2. GRI Pricing Inputs'!$D$114)^((AM$16-AL$16)/365)</f>
        <v>1321.8743949259087</v>
      </c>
      <c r="AN234" s="273">
        <f>AM234*(1+'2. GRI Pricing Inputs'!$D$114)^((AN$16-AM$16)/365)</f>
        <v>1326.1424916709684</v>
      </c>
      <c r="AO234" s="273">
        <f>AN234*(1+'2. GRI Pricing Inputs'!$D$114)^((AO$16-AN$16)/365)</f>
        <v>1330.5673364521954</v>
      </c>
    </row>
    <row r="235" spans="3:41" ht="12" x14ac:dyDescent="0.2">
      <c r="C235" s="76" t="str">
        <f>'1. Accomodation'!N239</f>
        <v>310W</v>
      </c>
      <c r="D235" s="69" t="str">
        <f>'1. Accomodation'!P239</f>
        <v>2 Bed</v>
      </c>
      <c r="E235" s="69">
        <f>'1. Accomodation'!Q239</f>
        <v>2</v>
      </c>
      <c r="F235" s="77">
        <f>'1. Accomodation'!O239</f>
        <v>689</v>
      </c>
      <c r="G235" s="69">
        <f>'1. Accomodation'!R239</f>
        <v>3</v>
      </c>
      <c r="H235" s="69" t="str">
        <f>'1. Accomodation'!S239</f>
        <v>Courtyard</v>
      </c>
      <c r="I235" s="62"/>
      <c r="K235" s="272">
        <f>IFERROR(INDEX('2. GRI Pricing Inputs'!$C$15:$AI$16,MATCH($K$16,'2. GRI Pricing Inputs'!$C$15:$C$16,0),MATCH(D235,'2. GRI Pricing Inputs'!$C$15:$AI$15,0)),0)</f>
        <v>1110</v>
      </c>
      <c r="L235" s="273">
        <f>IFERROR(INDEX('2. GRI Pricing Inputs'!$C$22:$AI$23,MATCH($L$16,'2. GRI Pricing Inputs'!$C$22:$C$23,0),MATCH(E235,'2. GRI Pricing Inputs'!$C$22:$AI$22,0)),0)</f>
        <v>0</v>
      </c>
      <c r="M235" s="328">
        <f>IF(AND('3. GRI Pricing'!$F235&gt;='2. GRI Pricing Inputs'!$D$33,'3. GRI Pricing'!$F235&lt;='2. GRI Pricing Inputs'!$E$33),'2. GRI Pricing Inputs'!$D$32,IF(AND('3. GRI Pricing'!$F235&gt;='2. GRI Pricing Inputs'!$F$33,'3. GRI Pricing'!$F235&lt;='2. GRI Pricing Inputs'!$G$33),'2. GRI Pricing Inputs'!$F$32,IF(AND('3. GRI Pricing'!$F235&gt;='2. GRI Pricing Inputs'!$H$33,'3. GRI Pricing'!$F235&lt;='2. GRI Pricing Inputs'!$I$33),'2. GRI Pricing Inputs'!$H$32,IF(AND('3. GRI Pricing'!$F235&gt;='2. GRI Pricing Inputs'!$J$33,'3. GRI Pricing'!$F235&lt;='2. GRI Pricing Inputs'!$K$33),'2. GRI Pricing Inputs'!$J$32,IF(AND('3. GRI Pricing'!$F235&gt;='2. GRI Pricing Inputs'!$L$33,'3. GRI Pricing'!$F235&lt;='2. GRI Pricing Inputs'!$M$33),'2. GRI Pricing Inputs'!$L$32,IF(AND('3. GRI Pricing'!$F235&gt;='2. GRI Pricing Inputs'!$N$33,'3. GRI Pricing'!$F235&lt;='2. GRI Pricing Inputs'!$O$33),'2. GRI Pricing Inputs'!$N$32,IF(AND('3. GRI Pricing'!$F235&gt;='2. GRI Pricing Inputs'!$P$33,'3. GRI Pricing'!$F235&lt;='2. GRI Pricing Inputs'!$Q$33),'2. GRI Pricing Inputs'!$P$32,IF(AND('3. GRI Pricing'!$F235&gt;='2. GRI Pricing Inputs'!$R$33,'3. GRI Pricing'!$F235&lt;='2. GRI Pricing Inputs'!$S$33),'2. GRI Pricing Inputs'!$R$32,IF(AND('3. GRI Pricing'!$F235&gt;='2. GRI Pricing Inputs'!$T$33,'3. GRI Pricing'!$F235&lt;='2. GRI Pricing Inputs'!$U$33),'2. GRI Pricing Inputs'!$T$32,IF(AND('3. GRI Pricing'!$F235&gt;='2. GRI Pricing Inputs'!$V$33,'3. GRI Pricing'!$F235&lt;='2. GRI Pricing Inputs'!$W$33),'2. GRI Pricing Inputs'!$V$32,IF(AND('3. GRI Pricing'!$F235&gt;='2. GRI Pricing Inputs'!$X$33,'3. GRI Pricing'!$F235&lt;='2. GRI Pricing Inputs'!$Y$33),'2. GRI Pricing Inputs'!$X$32,IF(AND('3. GRI Pricing'!$F235&gt;='2. GRI Pricing Inputs'!$Z$33,'3. GRI Pricing'!$F235&lt;='2. GRI Pricing Inputs'!$AA$33),'2. GRI Pricing Inputs'!$Z$32,IF(AND('3. GRI Pricing'!$F235&gt;='2. GRI Pricing Inputs'!$AB$33,'3. GRI Pricing'!$F235&lt;='2. GRI Pricing Inputs'!$AC$33),'2. GRI Pricing Inputs'!$AB$32,IF(AND('3. GRI Pricing'!$F235&gt;='2. GRI Pricing Inputs'!$AD$33,'3. GRI Pricing'!$F235&lt;='2. GRI Pricing Inputs'!$AE$33),'2. GRI Pricing Inputs'!$AD$32,IF(AND('3. GRI Pricing'!$F235&gt;='2. GRI Pricing Inputs'!$AF$33,'3. GRI Pricing'!$F235&lt;='2. GRI Pricing Inputs'!$AG$33),'2. GRI Pricing Inputs'!$AF$32,IF(AND('3. GRI Pricing'!$F235&gt;='2. GRI Pricing Inputs'!$AH$33,'3. GRI Pricing'!$F235&lt;='2. GRI Pricing Inputs'!$AI$33),'2. GRI Pricing Inputs'!$AH$32,0))))))))))))))))</f>
        <v>11</v>
      </c>
      <c r="N235" s="273" cm="1">
        <f t="array" ref="N235">IFERROR(INDEX('2. GRI Pricing Inputs'!$C$32:$AI$39,MATCH('3. GRI Pricing'!D235,'2. GRI Pricing Inputs'!$C$32:$C$39,0),(MATCH('3. GRI Pricing'!M235,'2. GRI Pricing Inputs'!$D$32:$AI$32,0)+1)),0)</f>
        <v>65</v>
      </c>
      <c r="O235" s="273">
        <f>IFERROR(INDEX('2. GRI Pricing Inputs'!$C$45:$AI$46,MATCH($O$16,'2. GRI Pricing Inputs'!$C$45:$C$46,0),MATCH(G235,'2. GRI Pricing Inputs'!$C$45:$AI$45,0)),0)</f>
        <v>50</v>
      </c>
      <c r="P235" s="273">
        <f>IFERROR(INDEX('2. GRI Pricing Inputs'!$C$53:$AI$54,MATCH('3. GRI Pricing'!$P$16,'2. GRI Pricing Inputs'!$C$53:$C$54,0),MATCH('3. GRI Pricing'!H235,'2. GRI Pricing Inputs'!$C$53:$AI$53,0)),0)</f>
        <v>25</v>
      </c>
      <c r="Q235" s="273">
        <f>IFERROR(INDEX('2. GRI Pricing Inputs'!$C$60:$AI$61,MATCH('3. GRI Pricing'!$Q$16,'2. GRI Pricing Inputs'!$C$60:$C$61,0),MATCH('1. Accomodation'!T239,'2. GRI Pricing Inputs'!$C$60:$AI$60,0)),0)</f>
        <v>0</v>
      </c>
      <c r="R235" s="273">
        <f>IFERROR(INDEX('2. GRI Pricing Inputs'!$C$67:$AI$68,MATCH('3. GRI Pricing'!$R$16,'2. GRI Pricing Inputs'!$C$67:$C$68,0),MATCH('1. Accomodation'!U239,'2. GRI Pricing Inputs'!$C$67:$AI$67,0)),0)</f>
        <v>0</v>
      </c>
      <c r="S235" s="273">
        <f>IF(D235=0,0,'2. GRI Pricing Inputs'!$AI$75)</f>
        <v>70</v>
      </c>
      <c r="T235" s="273">
        <f>IFERROR(INDEX('2. GRI Pricing Inputs'!$C$82:$AI$83,MATCH('3. GRI Pricing'!$T$16,'2. GRI Pricing Inputs'!$C$82:$C$83,0),MATCH('1. Accomodation'!V239,'2. GRI Pricing Inputs'!$C$82:$AI$82,0)),0)</f>
        <v>0</v>
      </c>
      <c r="U235" s="273">
        <f>IFERROR(INDEX('2. GRI Pricing Inputs'!$C$89:$AI$90,MATCH('3. GRI Pricing'!$U$16,'2. GRI Pricing Inputs'!$C$89:$C$90,0),MATCH('1. Accomodation'!W239,'2. GRI Pricing Inputs'!$C$89:$AI$89,0)),0)</f>
        <v>0</v>
      </c>
      <c r="V235" s="273">
        <f>IFERROR(INDEX('2. GRI Pricing Inputs'!$C$97:$AI$98,MATCH('3. GRI Pricing'!$V$16,'2. GRI Pricing Inputs'!$C$97:$C$98,0),MATCH('1. Accomodation'!X239,'2. GRI Pricing Inputs'!$C$97:$AI$97,0)),0)</f>
        <v>0</v>
      </c>
      <c r="W235" s="273">
        <f>IFERROR(INDEX('2. GRI Pricing Inputs'!$C$104:$AI$105,MATCH('3. GRI Pricing'!$W$16,'2. GRI Pricing Inputs'!$C$104:$C$105,0),MATCH('1. Accomodation'!Y239,'2. GRI Pricing Inputs'!$C$104:$AI$104,0)),0)</f>
        <v>0</v>
      </c>
      <c r="X235" s="274">
        <v>0</v>
      </c>
      <c r="Y235" s="275">
        <f t="shared" si="10"/>
        <v>1320</v>
      </c>
      <c r="Z235" s="276"/>
      <c r="AA235" s="276"/>
      <c r="AB235" s="276"/>
      <c r="AC235" s="272">
        <f>Y235*(1+'2. GRI Pricing Inputs'!$D$114)^(($AC$16-$AB$15)/365)</f>
        <v>1324.4043495686954</v>
      </c>
      <c r="AD235" s="273">
        <f>AC235*(1+'2. GRI Pricing Inputs'!$D$114)^((AD$16-AC$16)/365)</f>
        <v>1328.6806150862326</v>
      </c>
      <c r="AE235" s="273">
        <f>AD235*(1+'2. GRI Pricing Inputs'!$D$114)^((AE$16-AD$16)/365)</f>
        <v>1333.1139286422849</v>
      </c>
      <c r="AF235" s="273">
        <f>AE235*(1+'2. GRI Pricing Inputs'!$D$114)^((AF$16-AE$16)/365)</f>
        <v>1337.5620345185255</v>
      </c>
      <c r="AG235" s="273">
        <f>AF235*(1+'2. GRI Pricing Inputs'!$D$114)^((AG$16-AF$16)/365)</f>
        <v>1341.7366011321938</v>
      </c>
      <c r="AH235" s="273">
        <f>AG235*(1+'2. GRI Pricing Inputs'!$D$114)^((AH$16-AG$16)/365)</f>
        <v>1346.2134776628752</v>
      </c>
      <c r="AI235" s="273">
        <f>AH235*(1+'2. GRI Pricing Inputs'!$D$114)^((AI$16-AH$16)/365)</f>
        <v>1350.5601609666928</v>
      </c>
      <c r="AJ235" s="273">
        <f>AI235*(1+'2. GRI Pricing Inputs'!$D$114)^((AJ$16-AI$16)/365)</f>
        <v>1355.0664784382466</v>
      </c>
      <c r="AK235" s="273">
        <f>AJ235*(1+'2. GRI Pricing Inputs'!$D$114)^((AK$16-AJ$16)/365)</f>
        <v>1359.441746503172</v>
      </c>
      <c r="AL235" s="273">
        <f>AK235*(1+'2. GRI Pricing Inputs'!$D$114)^((AL$16-AK$16)/365)</f>
        <v>1363.9776985258068</v>
      </c>
      <c r="AM235" s="273">
        <f>AL235*(1+'2. GRI Pricing Inputs'!$D$114)^((AM$16-AL$16)/365)</f>
        <v>1368.5287853350585</v>
      </c>
      <c r="AN235" s="273">
        <f>AM235*(1+'2. GRI Pricing Inputs'!$D$114)^((AN$16-AM$16)/365)</f>
        <v>1372.9475207887674</v>
      </c>
      <c r="AO235" s="273">
        <f>AN235*(1+'2. GRI Pricing Inputs'!$D$114)^((AO$16-AN$16)/365)</f>
        <v>1377.5285365622731</v>
      </c>
    </row>
    <row r="236" spans="3:41" ht="12" x14ac:dyDescent="0.2">
      <c r="C236" s="76" t="str">
        <f>'1. Accomodation'!N240</f>
        <v>311W</v>
      </c>
      <c r="D236" s="69" t="str">
        <f>'1. Accomodation'!P240</f>
        <v>2 Bed</v>
      </c>
      <c r="E236" s="69">
        <f>'1. Accomodation'!Q240</f>
        <v>2</v>
      </c>
      <c r="F236" s="77">
        <f>'1. Accomodation'!O240</f>
        <v>667</v>
      </c>
      <c r="G236" s="69">
        <f>'1. Accomodation'!R240</f>
        <v>3</v>
      </c>
      <c r="H236" s="69" t="str">
        <f>'1. Accomodation'!S240</f>
        <v>Courtyard</v>
      </c>
      <c r="I236" s="62"/>
      <c r="K236" s="272">
        <f>IFERROR(INDEX('2. GRI Pricing Inputs'!$C$15:$AI$16,MATCH($K$16,'2. GRI Pricing Inputs'!$C$15:$C$16,0),MATCH(D236,'2. GRI Pricing Inputs'!$C$15:$AI$15,0)),0)</f>
        <v>1110</v>
      </c>
      <c r="L236" s="273">
        <f>IFERROR(INDEX('2. GRI Pricing Inputs'!$C$22:$AI$23,MATCH($L$16,'2. GRI Pricing Inputs'!$C$22:$C$23,0),MATCH(E236,'2. GRI Pricing Inputs'!$C$22:$AI$22,0)),0)</f>
        <v>0</v>
      </c>
      <c r="M236" s="328">
        <f>IF(AND('3. GRI Pricing'!$F236&gt;='2. GRI Pricing Inputs'!$D$33,'3. GRI Pricing'!$F236&lt;='2. GRI Pricing Inputs'!$E$33),'2. GRI Pricing Inputs'!$D$32,IF(AND('3. GRI Pricing'!$F236&gt;='2. GRI Pricing Inputs'!$F$33,'3. GRI Pricing'!$F236&lt;='2. GRI Pricing Inputs'!$G$33),'2. GRI Pricing Inputs'!$F$32,IF(AND('3. GRI Pricing'!$F236&gt;='2. GRI Pricing Inputs'!$H$33,'3. GRI Pricing'!$F236&lt;='2. GRI Pricing Inputs'!$I$33),'2. GRI Pricing Inputs'!$H$32,IF(AND('3. GRI Pricing'!$F236&gt;='2. GRI Pricing Inputs'!$J$33,'3. GRI Pricing'!$F236&lt;='2. GRI Pricing Inputs'!$K$33),'2. GRI Pricing Inputs'!$J$32,IF(AND('3. GRI Pricing'!$F236&gt;='2. GRI Pricing Inputs'!$L$33,'3. GRI Pricing'!$F236&lt;='2. GRI Pricing Inputs'!$M$33),'2. GRI Pricing Inputs'!$L$32,IF(AND('3. GRI Pricing'!$F236&gt;='2. GRI Pricing Inputs'!$N$33,'3. GRI Pricing'!$F236&lt;='2. GRI Pricing Inputs'!$O$33),'2. GRI Pricing Inputs'!$N$32,IF(AND('3. GRI Pricing'!$F236&gt;='2. GRI Pricing Inputs'!$P$33,'3. GRI Pricing'!$F236&lt;='2. GRI Pricing Inputs'!$Q$33),'2. GRI Pricing Inputs'!$P$32,IF(AND('3. GRI Pricing'!$F236&gt;='2. GRI Pricing Inputs'!$R$33,'3. GRI Pricing'!$F236&lt;='2. GRI Pricing Inputs'!$S$33),'2. GRI Pricing Inputs'!$R$32,IF(AND('3. GRI Pricing'!$F236&gt;='2. GRI Pricing Inputs'!$T$33,'3. GRI Pricing'!$F236&lt;='2. GRI Pricing Inputs'!$U$33),'2. GRI Pricing Inputs'!$T$32,IF(AND('3. GRI Pricing'!$F236&gt;='2. GRI Pricing Inputs'!$V$33,'3. GRI Pricing'!$F236&lt;='2. GRI Pricing Inputs'!$W$33),'2. GRI Pricing Inputs'!$V$32,IF(AND('3. GRI Pricing'!$F236&gt;='2. GRI Pricing Inputs'!$X$33,'3. GRI Pricing'!$F236&lt;='2. GRI Pricing Inputs'!$Y$33),'2. GRI Pricing Inputs'!$X$32,IF(AND('3. GRI Pricing'!$F236&gt;='2. GRI Pricing Inputs'!$Z$33,'3. GRI Pricing'!$F236&lt;='2. GRI Pricing Inputs'!$AA$33),'2. GRI Pricing Inputs'!$Z$32,IF(AND('3. GRI Pricing'!$F236&gt;='2. GRI Pricing Inputs'!$AB$33,'3. GRI Pricing'!$F236&lt;='2. GRI Pricing Inputs'!$AC$33),'2. GRI Pricing Inputs'!$AB$32,IF(AND('3. GRI Pricing'!$F236&gt;='2. GRI Pricing Inputs'!$AD$33,'3. GRI Pricing'!$F236&lt;='2. GRI Pricing Inputs'!$AE$33),'2. GRI Pricing Inputs'!$AD$32,IF(AND('3. GRI Pricing'!$F236&gt;='2. GRI Pricing Inputs'!$AF$33,'3. GRI Pricing'!$F236&lt;='2. GRI Pricing Inputs'!$AG$33),'2. GRI Pricing Inputs'!$AF$32,IF(AND('3. GRI Pricing'!$F236&gt;='2. GRI Pricing Inputs'!$AH$33,'3. GRI Pricing'!$F236&lt;='2. GRI Pricing Inputs'!$AI$33),'2. GRI Pricing Inputs'!$AH$32,0))))))))))))))))</f>
        <v>9</v>
      </c>
      <c r="N236" s="273" cm="1">
        <f t="array" ref="N236">IFERROR(INDEX('2. GRI Pricing Inputs'!$C$32:$AI$39,MATCH('3. GRI Pricing'!D236,'2. GRI Pricing Inputs'!$C$32:$C$39,0),(MATCH('3. GRI Pricing'!M236,'2. GRI Pricing Inputs'!$D$32:$AI$32,0)+1)),0)</f>
        <v>30</v>
      </c>
      <c r="O236" s="273">
        <f>IFERROR(INDEX('2. GRI Pricing Inputs'!$C$45:$AI$46,MATCH($O$16,'2. GRI Pricing Inputs'!$C$45:$C$46,0),MATCH(G236,'2. GRI Pricing Inputs'!$C$45:$AI$45,0)),0)</f>
        <v>50</v>
      </c>
      <c r="P236" s="273">
        <f>IFERROR(INDEX('2. GRI Pricing Inputs'!$C$53:$AI$54,MATCH('3. GRI Pricing'!$P$16,'2. GRI Pricing Inputs'!$C$53:$C$54,0),MATCH('3. GRI Pricing'!H236,'2. GRI Pricing Inputs'!$C$53:$AI$53,0)),0)</f>
        <v>25</v>
      </c>
      <c r="Q236" s="273">
        <f>IFERROR(INDEX('2. GRI Pricing Inputs'!$C$60:$AI$61,MATCH('3. GRI Pricing'!$Q$16,'2. GRI Pricing Inputs'!$C$60:$C$61,0),MATCH('1. Accomodation'!T240,'2. GRI Pricing Inputs'!$C$60:$AI$60,0)),0)</f>
        <v>0</v>
      </c>
      <c r="R236" s="273">
        <f>IFERROR(INDEX('2. GRI Pricing Inputs'!$C$67:$AI$68,MATCH('3. GRI Pricing'!$R$16,'2. GRI Pricing Inputs'!$C$67:$C$68,0),MATCH('1. Accomodation'!U240,'2. GRI Pricing Inputs'!$C$67:$AI$67,0)),0)</f>
        <v>0</v>
      </c>
      <c r="S236" s="273">
        <f>IF(D236=0,0,'2. GRI Pricing Inputs'!$AI$75)</f>
        <v>70</v>
      </c>
      <c r="T236" s="273">
        <f>IFERROR(INDEX('2. GRI Pricing Inputs'!$C$82:$AI$83,MATCH('3. GRI Pricing'!$T$16,'2. GRI Pricing Inputs'!$C$82:$C$83,0),MATCH('1. Accomodation'!V240,'2. GRI Pricing Inputs'!$C$82:$AI$82,0)),0)</f>
        <v>0</v>
      </c>
      <c r="U236" s="273">
        <f>IFERROR(INDEX('2. GRI Pricing Inputs'!$C$89:$AI$90,MATCH('3. GRI Pricing'!$U$16,'2. GRI Pricing Inputs'!$C$89:$C$90,0),MATCH('1. Accomodation'!W240,'2. GRI Pricing Inputs'!$C$89:$AI$89,0)),0)</f>
        <v>0</v>
      </c>
      <c r="V236" s="273">
        <f>IFERROR(INDEX('2. GRI Pricing Inputs'!$C$97:$AI$98,MATCH('3. GRI Pricing'!$V$16,'2. GRI Pricing Inputs'!$C$97:$C$98,0),MATCH('1. Accomodation'!X240,'2. GRI Pricing Inputs'!$C$97:$AI$97,0)),0)</f>
        <v>0</v>
      </c>
      <c r="W236" s="273">
        <f>IFERROR(INDEX('2. GRI Pricing Inputs'!$C$104:$AI$105,MATCH('3. GRI Pricing'!$W$16,'2. GRI Pricing Inputs'!$C$104:$C$105,0),MATCH('1. Accomodation'!Y240,'2. GRI Pricing Inputs'!$C$104:$AI$104,0)),0)</f>
        <v>0</v>
      </c>
      <c r="X236" s="274">
        <v>0</v>
      </c>
      <c r="Y236" s="275">
        <f t="shared" si="10"/>
        <v>1285</v>
      </c>
      <c r="Z236" s="276"/>
      <c r="AA236" s="276"/>
      <c r="AB236" s="276"/>
      <c r="AC236" s="272">
        <f>Y236*(1+'2. GRI Pricing Inputs'!$D$114)^(($AC$16-$AB$15)/365)</f>
        <v>1289.2875675725559</v>
      </c>
      <c r="AD236" s="273">
        <f>AC236*(1+'2. GRI Pricing Inputs'!$D$114)^((AD$16-AC$16)/365)</f>
        <v>1293.4504472619767</v>
      </c>
      <c r="AE236" s="273">
        <f>AD236*(1+'2. GRI Pricing Inputs'!$D$114)^((AE$16-AD$16)/365)</f>
        <v>1297.7662108373761</v>
      </c>
      <c r="AF236" s="273">
        <f>AE236*(1+'2. GRI Pricing Inputs'!$D$114)^((AF$16-AE$16)/365)</f>
        <v>1302.0963745123527</v>
      </c>
      <c r="AG236" s="273">
        <f>AF236*(1+'2. GRI Pricing Inputs'!$D$114)^((AG$16-AF$16)/365)</f>
        <v>1306.1602518597495</v>
      </c>
      <c r="AH236" s="273">
        <f>AG236*(1+'2. GRI Pricing Inputs'!$D$114)^((AH$16-AG$16)/365)</f>
        <v>1310.5184233309053</v>
      </c>
      <c r="AI236" s="273">
        <f>AH236*(1+'2. GRI Pricing Inputs'!$D$114)^((AI$16-AH$16)/365)</f>
        <v>1314.7498536683338</v>
      </c>
      <c r="AJ236" s="273">
        <f>AI236*(1+'2. GRI Pricing Inputs'!$D$114)^((AJ$16-AI$16)/365)</f>
        <v>1319.136685449354</v>
      </c>
      <c r="AK236" s="273">
        <f>AJ236*(1+'2. GRI Pricing Inputs'!$D$114)^((AK$16-AJ$16)/365)</f>
        <v>1323.3959426186184</v>
      </c>
      <c r="AL236" s="273">
        <f>AK236*(1+'2. GRI Pricing Inputs'!$D$114)^((AL$16-AK$16)/365)</f>
        <v>1327.8116231861075</v>
      </c>
      <c r="AM236" s="273">
        <f>AL236*(1+'2. GRI Pricing Inputs'!$D$114)^((AM$16-AL$16)/365)</f>
        <v>1332.2420372390534</v>
      </c>
      <c r="AN236" s="273">
        <f>AM236*(1+'2. GRI Pricing Inputs'!$D$114)^((AN$16-AM$16)/365)</f>
        <v>1336.5436092527018</v>
      </c>
      <c r="AO236" s="273">
        <f>AN236*(1+'2. GRI Pricing Inputs'!$D$114)^((AO$16-AN$16)/365)</f>
        <v>1341.0031586988796</v>
      </c>
    </row>
    <row r="237" spans="3:41" ht="12" x14ac:dyDescent="0.2">
      <c r="C237" s="76" t="str">
        <f>'1. Accomodation'!N241</f>
        <v>312W</v>
      </c>
      <c r="D237" s="69" t="str">
        <f>'1. Accomodation'!P241</f>
        <v>1 Bed</v>
      </c>
      <c r="E237" s="69">
        <f>'1. Accomodation'!Q241</f>
        <v>1</v>
      </c>
      <c r="F237" s="77">
        <f>'1. Accomodation'!O241</f>
        <v>527</v>
      </c>
      <c r="G237" s="69">
        <f>'1. Accomodation'!R241</f>
        <v>3</v>
      </c>
      <c r="H237" s="69" t="str">
        <f>'1. Accomodation'!S241</f>
        <v>Railway Bridge</v>
      </c>
      <c r="I237" s="62"/>
      <c r="K237" s="272">
        <f>IFERROR(INDEX('2. GRI Pricing Inputs'!$C$15:$AI$16,MATCH($K$16,'2. GRI Pricing Inputs'!$C$15:$C$16,0),MATCH(D237,'2. GRI Pricing Inputs'!$C$15:$AI$15,0)),0)</f>
        <v>845</v>
      </c>
      <c r="L237" s="273">
        <f>IFERROR(INDEX('2. GRI Pricing Inputs'!$C$22:$AI$23,MATCH($L$16,'2. GRI Pricing Inputs'!$C$22:$C$23,0),MATCH(E237,'2. GRI Pricing Inputs'!$C$22:$AI$22,0)),0)</f>
        <v>0</v>
      </c>
      <c r="M237" s="328">
        <f>IF(AND('3. GRI Pricing'!$F237&gt;='2. GRI Pricing Inputs'!$D$33,'3. GRI Pricing'!$F237&lt;='2. GRI Pricing Inputs'!$E$33),'2. GRI Pricing Inputs'!$D$32,IF(AND('3. GRI Pricing'!$F237&gt;='2. GRI Pricing Inputs'!$F$33,'3. GRI Pricing'!$F237&lt;='2. GRI Pricing Inputs'!$G$33),'2. GRI Pricing Inputs'!$F$32,IF(AND('3. GRI Pricing'!$F237&gt;='2. GRI Pricing Inputs'!$H$33,'3. GRI Pricing'!$F237&lt;='2. GRI Pricing Inputs'!$I$33),'2. GRI Pricing Inputs'!$H$32,IF(AND('3. GRI Pricing'!$F237&gt;='2. GRI Pricing Inputs'!$J$33,'3. GRI Pricing'!$F237&lt;='2. GRI Pricing Inputs'!$K$33),'2. GRI Pricing Inputs'!$J$32,IF(AND('3. GRI Pricing'!$F237&gt;='2. GRI Pricing Inputs'!$L$33,'3. GRI Pricing'!$F237&lt;='2. GRI Pricing Inputs'!$M$33),'2. GRI Pricing Inputs'!$L$32,IF(AND('3. GRI Pricing'!$F237&gt;='2. GRI Pricing Inputs'!$N$33,'3. GRI Pricing'!$F237&lt;='2. GRI Pricing Inputs'!$O$33),'2. GRI Pricing Inputs'!$N$32,IF(AND('3. GRI Pricing'!$F237&gt;='2. GRI Pricing Inputs'!$P$33,'3. GRI Pricing'!$F237&lt;='2. GRI Pricing Inputs'!$Q$33),'2. GRI Pricing Inputs'!$P$32,IF(AND('3. GRI Pricing'!$F237&gt;='2. GRI Pricing Inputs'!$R$33,'3. GRI Pricing'!$F237&lt;='2. GRI Pricing Inputs'!$S$33),'2. GRI Pricing Inputs'!$R$32,IF(AND('3. GRI Pricing'!$F237&gt;='2. GRI Pricing Inputs'!$T$33,'3. GRI Pricing'!$F237&lt;='2. GRI Pricing Inputs'!$U$33),'2. GRI Pricing Inputs'!$T$32,IF(AND('3. GRI Pricing'!$F237&gt;='2. GRI Pricing Inputs'!$V$33,'3. GRI Pricing'!$F237&lt;='2. GRI Pricing Inputs'!$W$33),'2. GRI Pricing Inputs'!$V$32,IF(AND('3. GRI Pricing'!$F237&gt;='2. GRI Pricing Inputs'!$X$33,'3. GRI Pricing'!$F237&lt;='2. GRI Pricing Inputs'!$Y$33),'2. GRI Pricing Inputs'!$X$32,IF(AND('3. GRI Pricing'!$F237&gt;='2. GRI Pricing Inputs'!$Z$33,'3. GRI Pricing'!$F237&lt;='2. GRI Pricing Inputs'!$AA$33),'2. GRI Pricing Inputs'!$Z$32,IF(AND('3. GRI Pricing'!$F237&gt;='2. GRI Pricing Inputs'!$AB$33,'3. GRI Pricing'!$F237&lt;='2. GRI Pricing Inputs'!$AC$33),'2. GRI Pricing Inputs'!$AB$32,IF(AND('3. GRI Pricing'!$F237&gt;='2. GRI Pricing Inputs'!$AD$33,'3. GRI Pricing'!$F237&lt;='2. GRI Pricing Inputs'!$AE$33),'2. GRI Pricing Inputs'!$AD$32,IF(AND('3. GRI Pricing'!$F237&gt;='2. GRI Pricing Inputs'!$AF$33,'3. GRI Pricing'!$F237&lt;='2. GRI Pricing Inputs'!$AG$33),'2. GRI Pricing Inputs'!$AF$32,IF(AND('3. GRI Pricing'!$F237&gt;='2. GRI Pricing Inputs'!$AH$33,'3. GRI Pricing'!$F237&lt;='2. GRI Pricing Inputs'!$AI$33),'2. GRI Pricing Inputs'!$AH$32,0))))))))))))))))</f>
        <v>3</v>
      </c>
      <c r="N237" s="273" cm="1">
        <f t="array" ref="N237">IFERROR(INDEX('2. GRI Pricing Inputs'!$C$32:$AI$39,MATCH('3. GRI Pricing'!D237,'2. GRI Pricing Inputs'!$C$32:$C$39,0),(MATCH('3. GRI Pricing'!M237,'2. GRI Pricing Inputs'!$D$32:$AI$32,0)+1)),0)</f>
        <v>20</v>
      </c>
      <c r="O237" s="273">
        <f>IFERROR(INDEX('2. GRI Pricing Inputs'!$C$45:$AI$46,MATCH($O$16,'2. GRI Pricing Inputs'!$C$45:$C$46,0),MATCH(G237,'2. GRI Pricing Inputs'!$C$45:$AI$45,0)),0)</f>
        <v>50</v>
      </c>
      <c r="P237" s="273">
        <f>IFERROR(INDEX('2. GRI Pricing Inputs'!$C$53:$AI$54,MATCH('3. GRI Pricing'!$P$16,'2. GRI Pricing Inputs'!$C$53:$C$54,0),MATCH('3. GRI Pricing'!H237,'2. GRI Pricing Inputs'!$C$53:$AI$53,0)),0)</f>
        <v>10</v>
      </c>
      <c r="Q237" s="273">
        <f>IFERROR(INDEX('2. GRI Pricing Inputs'!$C$60:$AI$61,MATCH('3. GRI Pricing'!$Q$16,'2. GRI Pricing Inputs'!$C$60:$C$61,0),MATCH('1. Accomodation'!T241,'2. GRI Pricing Inputs'!$C$60:$AI$60,0)),0)</f>
        <v>0</v>
      </c>
      <c r="R237" s="273">
        <f>IFERROR(INDEX('2. GRI Pricing Inputs'!$C$67:$AI$68,MATCH('3. GRI Pricing'!$R$16,'2. GRI Pricing Inputs'!$C$67:$C$68,0),MATCH('1. Accomodation'!U241,'2. GRI Pricing Inputs'!$C$67:$AI$67,0)),0)</f>
        <v>0</v>
      </c>
      <c r="S237" s="273">
        <f>IF(D237=0,0,'2. GRI Pricing Inputs'!$AI$75)</f>
        <v>70</v>
      </c>
      <c r="T237" s="273">
        <f>IFERROR(INDEX('2. GRI Pricing Inputs'!$C$82:$AI$83,MATCH('3. GRI Pricing'!$T$16,'2. GRI Pricing Inputs'!$C$82:$C$83,0),MATCH('1. Accomodation'!V241,'2. GRI Pricing Inputs'!$C$82:$AI$82,0)),0)</f>
        <v>0</v>
      </c>
      <c r="U237" s="273">
        <f>IFERROR(INDEX('2. GRI Pricing Inputs'!$C$89:$AI$90,MATCH('3. GRI Pricing'!$U$16,'2. GRI Pricing Inputs'!$C$89:$C$90,0),MATCH('1. Accomodation'!W241,'2. GRI Pricing Inputs'!$C$89:$AI$89,0)),0)</f>
        <v>0</v>
      </c>
      <c r="V237" s="273">
        <f>IFERROR(INDEX('2. GRI Pricing Inputs'!$C$97:$AI$98,MATCH('3. GRI Pricing'!$V$16,'2. GRI Pricing Inputs'!$C$97:$C$98,0),MATCH('1. Accomodation'!X241,'2. GRI Pricing Inputs'!$C$97:$AI$97,0)),0)</f>
        <v>0</v>
      </c>
      <c r="W237" s="273">
        <f>IFERROR(INDEX('2. GRI Pricing Inputs'!$C$104:$AI$105,MATCH('3. GRI Pricing'!$W$16,'2. GRI Pricing Inputs'!$C$104:$C$105,0),MATCH('1. Accomodation'!Y241,'2. GRI Pricing Inputs'!$C$104:$AI$104,0)),0)</f>
        <v>0</v>
      </c>
      <c r="X237" s="274">
        <v>0</v>
      </c>
      <c r="Y237" s="275">
        <f t="shared" si="10"/>
        <v>995</v>
      </c>
      <c r="Z237" s="276"/>
      <c r="AA237" s="276"/>
      <c r="AB237" s="276"/>
      <c r="AC237" s="272">
        <f>Y237*(1+'2. GRI Pricing Inputs'!$D$114)^(($AC$16-$AB$15)/365)</f>
        <v>998.31994531882731</v>
      </c>
      <c r="AD237" s="273">
        <f>AC237*(1+'2. GRI Pricing Inputs'!$D$114)^((AD$16-AC$16)/365)</f>
        <v>1001.5433424324254</v>
      </c>
      <c r="AE237" s="273">
        <f>AD237*(1+'2. GRI Pricing Inputs'!$D$114)^((AE$16-AD$16)/365)</f>
        <v>1004.8851204538437</v>
      </c>
      <c r="AF237" s="273">
        <f>AE237*(1+'2. GRI Pricing Inputs'!$D$114)^((AF$16-AE$16)/365)</f>
        <v>1008.2380487469189</v>
      </c>
      <c r="AG237" s="273">
        <f>AF237*(1+'2. GRI Pricing Inputs'!$D$114)^((AG$16-AF$16)/365)</f>
        <v>1011.3847864594946</v>
      </c>
      <c r="AH237" s="273">
        <f>AG237*(1+'2. GRI Pricing Inputs'!$D$114)^((AH$16-AG$16)/365)</f>
        <v>1014.7594017231522</v>
      </c>
      <c r="AI237" s="273">
        <f>AH237*(1+'2. GRI Pricing Inputs'!$D$114)^((AI$16-AH$16)/365)</f>
        <v>1018.0358789104996</v>
      </c>
      <c r="AJ237" s="273">
        <f>AI237*(1+'2. GRI Pricing Inputs'!$D$114)^((AJ$16-AI$16)/365)</f>
        <v>1021.4326863985268</v>
      </c>
      <c r="AK237" s="273">
        <f>AJ237*(1+'2. GRI Pricing Inputs'!$D$114)^((AK$16-AJ$16)/365)</f>
        <v>1024.7307104323152</v>
      </c>
      <c r="AL237" s="273">
        <f>AK237*(1+'2. GRI Pricing Inputs'!$D$114)^((AL$16-AK$16)/365)</f>
        <v>1028.1498560857406</v>
      </c>
      <c r="AM237" s="273">
        <f>AL237*(1+'2. GRI Pricing Inputs'!$D$114)^((AM$16-AL$16)/365)</f>
        <v>1031.580410157866</v>
      </c>
      <c r="AN237" s="273">
        <f>AM237*(1+'2. GRI Pricing Inputs'!$D$114)^((AN$16-AM$16)/365)</f>
        <v>1034.911199382442</v>
      </c>
      <c r="AO237" s="273">
        <f>AN237*(1+'2. GRI Pricing Inputs'!$D$114)^((AO$16-AN$16)/365)</f>
        <v>1038.3643135450466</v>
      </c>
    </row>
    <row r="238" spans="3:41" ht="12" x14ac:dyDescent="0.2">
      <c r="C238" s="76" t="str">
        <f>'1. Accomodation'!N242</f>
        <v>313W</v>
      </c>
      <c r="D238" s="69" t="str">
        <f>'1. Accomodation'!P242</f>
        <v>3 Bed</v>
      </c>
      <c r="E238" s="69">
        <f>'1. Accomodation'!Q242</f>
        <v>2</v>
      </c>
      <c r="F238" s="77">
        <f>'1. Accomodation'!O242</f>
        <v>840</v>
      </c>
      <c r="G238" s="69">
        <f>'1. Accomodation'!R242</f>
        <v>3</v>
      </c>
      <c r="H238" s="69" t="str">
        <f>'1. Accomodation'!S242</f>
        <v>Railway Bridge</v>
      </c>
      <c r="I238" s="62"/>
      <c r="K238" s="272">
        <f>IFERROR(INDEX('2. GRI Pricing Inputs'!$C$15:$AI$16,MATCH($K$16,'2. GRI Pricing Inputs'!$C$15:$C$16,0),MATCH(D238,'2. GRI Pricing Inputs'!$C$15:$AI$15,0)),0)</f>
        <v>1485</v>
      </c>
      <c r="L238" s="273">
        <f>IFERROR(INDEX('2. GRI Pricing Inputs'!$C$22:$AI$23,MATCH($L$16,'2. GRI Pricing Inputs'!$C$22:$C$23,0),MATCH(E238,'2. GRI Pricing Inputs'!$C$22:$AI$22,0)),0)</f>
        <v>0</v>
      </c>
      <c r="M238" s="328">
        <f>IF(AND('3. GRI Pricing'!$F238&gt;='2. GRI Pricing Inputs'!$D$33,'3. GRI Pricing'!$F238&lt;='2. GRI Pricing Inputs'!$E$33),'2. GRI Pricing Inputs'!$D$32,IF(AND('3. GRI Pricing'!$F238&gt;='2. GRI Pricing Inputs'!$F$33,'3. GRI Pricing'!$F238&lt;='2. GRI Pricing Inputs'!$G$33),'2. GRI Pricing Inputs'!$F$32,IF(AND('3. GRI Pricing'!$F238&gt;='2. GRI Pricing Inputs'!$H$33,'3. GRI Pricing'!$F238&lt;='2. GRI Pricing Inputs'!$I$33),'2. GRI Pricing Inputs'!$H$32,IF(AND('3. GRI Pricing'!$F238&gt;='2. GRI Pricing Inputs'!$J$33,'3. GRI Pricing'!$F238&lt;='2. GRI Pricing Inputs'!$K$33),'2. GRI Pricing Inputs'!$J$32,IF(AND('3. GRI Pricing'!$F238&gt;='2. GRI Pricing Inputs'!$L$33,'3. GRI Pricing'!$F238&lt;='2. GRI Pricing Inputs'!$M$33),'2. GRI Pricing Inputs'!$L$32,IF(AND('3. GRI Pricing'!$F238&gt;='2. GRI Pricing Inputs'!$N$33,'3. GRI Pricing'!$F238&lt;='2. GRI Pricing Inputs'!$O$33),'2. GRI Pricing Inputs'!$N$32,IF(AND('3. GRI Pricing'!$F238&gt;='2. GRI Pricing Inputs'!$P$33,'3. GRI Pricing'!$F238&lt;='2. GRI Pricing Inputs'!$Q$33),'2. GRI Pricing Inputs'!$P$32,IF(AND('3. GRI Pricing'!$F238&gt;='2. GRI Pricing Inputs'!$R$33,'3. GRI Pricing'!$F238&lt;='2. GRI Pricing Inputs'!$S$33),'2. GRI Pricing Inputs'!$R$32,IF(AND('3. GRI Pricing'!$F238&gt;='2. GRI Pricing Inputs'!$T$33,'3. GRI Pricing'!$F238&lt;='2. GRI Pricing Inputs'!$U$33),'2. GRI Pricing Inputs'!$T$32,IF(AND('3. GRI Pricing'!$F238&gt;='2. GRI Pricing Inputs'!$V$33,'3. GRI Pricing'!$F238&lt;='2. GRI Pricing Inputs'!$W$33),'2. GRI Pricing Inputs'!$V$32,IF(AND('3. GRI Pricing'!$F238&gt;='2. GRI Pricing Inputs'!$X$33,'3. GRI Pricing'!$F238&lt;='2. GRI Pricing Inputs'!$Y$33),'2. GRI Pricing Inputs'!$X$32,IF(AND('3. GRI Pricing'!$F238&gt;='2. GRI Pricing Inputs'!$Z$33,'3. GRI Pricing'!$F238&lt;='2. GRI Pricing Inputs'!$AA$33),'2. GRI Pricing Inputs'!$Z$32,IF(AND('3. GRI Pricing'!$F238&gt;='2. GRI Pricing Inputs'!$AB$33,'3. GRI Pricing'!$F238&lt;='2. GRI Pricing Inputs'!$AC$33),'2. GRI Pricing Inputs'!$AB$32,IF(AND('3. GRI Pricing'!$F238&gt;='2. GRI Pricing Inputs'!$AD$33,'3. GRI Pricing'!$F238&lt;='2. GRI Pricing Inputs'!$AE$33),'2. GRI Pricing Inputs'!$AD$32,IF(AND('3. GRI Pricing'!$F238&gt;='2. GRI Pricing Inputs'!$AF$33,'3. GRI Pricing'!$F238&lt;='2. GRI Pricing Inputs'!$AG$33),'2. GRI Pricing Inputs'!$AF$32,IF(AND('3. GRI Pricing'!$F238&gt;='2. GRI Pricing Inputs'!$AH$33,'3. GRI Pricing'!$F238&lt;='2. GRI Pricing Inputs'!$AI$33),'2. GRI Pricing Inputs'!$AH$32,0))))))))))))))))</f>
        <v>15</v>
      </c>
      <c r="N238" s="273" cm="1">
        <f t="array" ref="N238">IFERROR(INDEX('2. GRI Pricing Inputs'!$C$32:$AI$39,MATCH('3. GRI Pricing'!D238,'2. GRI Pricing Inputs'!$C$32:$C$39,0),(MATCH('3. GRI Pricing'!M238,'2. GRI Pricing Inputs'!$D$32:$AI$32,0)+1)),0)</f>
        <v>70</v>
      </c>
      <c r="O238" s="273">
        <f>IFERROR(INDEX('2. GRI Pricing Inputs'!$C$45:$AI$46,MATCH($O$16,'2. GRI Pricing Inputs'!$C$45:$C$46,0),MATCH(G238,'2. GRI Pricing Inputs'!$C$45:$AI$45,0)),0)</f>
        <v>50</v>
      </c>
      <c r="P238" s="273">
        <f>IFERROR(INDEX('2. GRI Pricing Inputs'!$C$53:$AI$54,MATCH('3. GRI Pricing'!$P$16,'2. GRI Pricing Inputs'!$C$53:$C$54,0),MATCH('3. GRI Pricing'!H238,'2. GRI Pricing Inputs'!$C$53:$AI$53,0)),0)</f>
        <v>10</v>
      </c>
      <c r="Q238" s="273">
        <f>IFERROR(INDEX('2. GRI Pricing Inputs'!$C$60:$AI$61,MATCH('3. GRI Pricing'!$Q$16,'2. GRI Pricing Inputs'!$C$60:$C$61,0),MATCH('1. Accomodation'!T242,'2. GRI Pricing Inputs'!$C$60:$AI$60,0)),0)</f>
        <v>0</v>
      </c>
      <c r="R238" s="273">
        <f>IFERROR(INDEX('2. GRI Pricing Inputs'!$C$67:$AI$68,MATCH('3. GRI Pricing'!$R$16,'2. GRI Pricing Inputs'!$C$67:$C$68,0),MATCH('1. Accomodation'!U242,'2. GRI Pricing Inputs'!$C$67:$AI$67,0)),0)</f>
        <v>0</v>
      </c>
      <c r="S238" s="273">
        <f>IF(D238=0,0,'2. GRI Pricing Inputs'!$AI$75)</f>
        <v>70</v>
      </c>
      <c r="T238" s="273">
        <f>IFERROR(INDEX('2. GRI Pricing Inputs'!$C$82:$AI$83,MATCH('3. GRI Pricing'!$T$16,'2. GRI Pricing Inputs'!$C$82:$C$83,0),MATCH('1. Accomodation'!V242,'2. GRI Pricing Inputs'!$C$82:$AI$82,0)),0)</f>
        <v>0</v>
      </c>
      <c r="U238" s="273">
        <f>IFERROR(INDEX('2. GRI Pricing Inputs'!$C$89:$AI$90,MATCH('3. GRI Pricing'!$U$16,'2. GRI Pricing Inputs'!$C$89:$C$90,0),MATCH('1. Accomodation'!W242,'2. GRI Pricing Inputs'!$C$89:$AI$89,0)),0)</f>
        <v>0</v>
      </c>
      <c r="V238" s="273">
        <f>IFERROR(INDEX('2. GRI Pricing Inputs'!$C$97:$AI$98,MATCH('3. GRI Pricing'!$V$16,'2. GRI Pricing Inputs'!$C$97:$C$98,0),MATCH('1. Accomodation'!X242,'2. GRI Pricing Inputs'!$C$97:$AI$97,0)),0)</f>
        <v>0</v>
      </c>
      <c r="W238" s="273">
        <f>IFERROR(INDEX('2. GRI Pricing Inputs'!$C$104:$AI$105,MATCH('3. GRI Pricing'!$W$16,'2. GRI Pricing Inputs'!$C$104:$C$105,0),MATCH('1. Accomodation'!Y242,'2. GRI Pricing Inputs'!$C$104:$AI$104,0)),0)</f>
        <v>0</v>
      </c>
      <c r="X238" s="274">
        <v>0</v>
      </c>
      <c r="Y238" s="275">
        <f t="shared" si="10"/>
        <v>1685</v>
      </c>
      <c r="Z238" s="276"/>
      <c r="AA238" s="276"/>
      <c r="AB238" s="276"/>
      <c r="AC238" s="272">
        <f>Y238*(1+'2. GRI Pricing Inputs'!$D$114)^(($AC$16-$AB$15)/365)</f>
        <v>1690.622218957009</v>
      </c>
      <c r="AD238" s="273">
        <f>AC238*(1+'2. GRI Pricing Inputs'!$D$114)^((AD$16-AC$16)/365)</f>
        <v>1696.080936682047</v>
      </c>
      <c r="AE238" s="273">
        <f>AD238*(1+'2. GRI Pricing Inputs'!$D$114)^((AE$16-AD$16)/365)</f>
        <v>1701.7401286077652</v>
      </c>
      <c r="AF238" s="273">
        <f>AE238*(1+'2. GRI Pricing Inputs'!$D$114)^((AF$16-AE$16)/365)</f>
        <v>1707.4182031543298</v>
      </c>
      <c r="AG238" s="273">
        <f>AF238*(1+'2. GRI Pricing Inputs'!$D$114)^((AG$16-AF$16)/365)</f>
        <v>1712.7471006876867</v>
      </c>
      <c r="AH238" s="273">
        <f>AG238*(1+'2. GRI Pricing Inputs'!$D$114)^((AH$16-AG$16)/365)</f>
        <v>1718.4619014105642</v>
      </c>
      <c r="AI238" s="273">
        <f>AH238*(1+'2. GRI Pricing Inputs'!$D$114)^((AI$16-AH$16)/365)</f>
        <v>1724.0105085067253</v>
      </c>
      <c r="AJ238" s="273">
        <f>AI238*(1+'2. GRI Pricing Inputs'!$D$114)^((AJ$16-AI$16)/365)</f>
        <v>1729.7628910367011</v>
      </c>
      <c r="AK238" s="273">
        <f>AJ238*(1+'2. GRI Pricing Inputs'!$D$114)^((AK$16-AJ$16)/365)</f>
        <v>1735.3479870135186</v>
      </c>
      <c r="AL238" s="273">
        <f>AK238*(1+'2. GRI Pricing Inputs'!$D$114)^((AL$16-AK$16)/365)</f>
        <v>1741.1381984969576</v>
      </c>
      <c r="AM238" s="273">
        <f>AL238*(1+'2. GRI Pricing Inputs'!$D$114)^((AM$16-AL$16)/365)</f>
        <v>1746.9477297648282</v>
      </c>
      <c r="AN238" s="273">
        <f>AM238*(1+'2. GRI Pricing Inputs'!$D$114)^((AN$16-AM$16)/365)</f>
        <v>1752.5883125220248</v>
      </c>
      <c r="AO238" s="273">
        <f>AN238*(1+'2. GRI Pricing Inputs'!$D$114)^((AO$16-AN$16)/365)</f>
        <v>1758.4360485662346</v>
      </c>
    </row>
    <row r="239" spans="3:41" ht="12" x14ac:dyDescent="0.2">
      <c r="C239" s="76" t="str">
        <f>'1. Accomodation'!N243</f>
        <v>314W</v>
      </c>
      <c r="D239" s="69" t="str">
        <f>'1. Accomodation'!P243</f>
        <v>2 Bed</v>
      </c>
      <c r="E239" s="69">
        <f>'1. Accomodation'!Q243</f>
        <v>2</v>
      </c>
      <c r="F239" s="77">
        <f>'1. Accomodation'!O243</f>
        <v>624</v>
      </c>
      <c r="G239" s="69">
        <f>'1. Accomodation'!R243</f>
        <v>3</v>
      </c>
      <c r="H239" s="69" t="str">
        <f>'1. Accomodation'!S243</f>
        <v>Railway Bridge</v>
      </c>
      <c r="I239" s="62"/>
      <c r="K239" s="272">
        <f>IFERROR(INDEX('2. GRI Pricing Inputs'!$C$15:$AI$16,MATCH($K$16,'2. GRI Pricing Inputs'!$C$15:$C$16,0),MATCH(D239,'2. GRI Pricing Inputs'!$C$15:$AI$15,0)),0)</f>
        <v>1110</v>
      </c>
      <c r="L239" s="273">
        <f>IFERROR(INDEX('2. GRI Pricing Inputs'!$C$22:$AI$23,MATCH($L$16,'2. GRI Pricing Inputs'!$C$22:$C$23,0),MATCH(E239,'2. GRI Pricing Inputs'!$C$22:$AI$22,0)),0)</f>
        <v>0</v>
      </c>
      <c r="M239" s="328">
        <f>IF(AND('3. GRI Pricing'!$F239&gt;='2. GRI Pricing Inputs'!$D$33,'3. GRI Pricing'!$F239&lt;='2. GRI Pricing Inputs'!$E$33),'2. GRI Pricing Inputs'!$D$32,IF(AND('3. GRI Pricing'!$F239&gt;='2. GRI Pricing Inputs'!$F$33,'3. GRI Pricing'!$F239&lt;='2. GRI Pricing Inputs'!$G$33),'2. GRI Pricing Inputs'!$F$32,IF(AND('3. GRI Pricing'!$F239&gt;='2. GRI Pricing Inputs'!$H$33,'3. GRI Pricing'!$F239&lt;='2. GRI Pricing Inputs'!$I$33),'2. GRI Pricing Inputs'!$H$32,IF(AND('3. GRI Pricing'!$F239&gt;='2. GRI Pricing Inputs'!$J$33,'3. GRI Pricing'!$F239&lt;='2. GRI Pricing Inputs'!$K$33),'2. GRI Pricing Inputs'!$J$32,IF(AND('3. GRI Pricing'!$F239&gt;='2. GRI Pricing Inputs'!$L$33,'3. GRI Pricing'!$F239&lt;='2. GRI Pricing Inputs'!$M$33),'2. GRI Pricing Inputs'!$L$32,IF(AND('3. GRI Pricing'!$F239&gt;='2. GRI Pricing Inputs'!$N$33,'3. GRI Pricing'!$F239&lt;='2. GRI Pricing Inputs'!$O$33),'2. GRI Pricing Inputs'!$N$32,IF(AND('3. GRI Pricing'!$F239&gt;='2. GRI Pricing Inputs'!$P$33,'3. GRI Pricing'!$F239&lt;='2. GRI Pricing Inputs'!$Q$33),'2. GRI Pricing Inputs'!$P$32,IF(AND('3. GRI Pricing'!$F239&gt;='2. GRI Pricing Inputs'!$R$33,'3. GRI Pricing'!$F239&lt;='2. GRI Pricing Inputs'!$S$33),'2. GRI Pricing Inputs'!$R$32,IF(AND('3. GRI Pricing'!$F239&gt;='2. GRI Pricing Inputs'!$T$33,'3. GRI Pricing'!$F239&lt;='2. GRI Pricing Inputs'!$U$33),'2. GRI Pricing Inputs'!$T$32,IF(AND('3. GRI Pricing'!$F239&gt;='2. GRI Pricing Inputs'!$V$33,'3. GRI Pricing'!$F239&lt;='2. GRI Pricing Inputs'!$W$33),'2. GRI Pricing Inputs'!$V$32,IF(AND('3. GRI Pricing'!$F239&gt;='2. GRI Pricing Inputs'!$X$33,'3. GRI Pricing'!$F239&lt;='2. GRI Pricing Inputs'!$Y$33),'2. GRI Pricing Inputs'!$X$32,IF(AND('3. GRI Pricing'!$F239&gt;='2. GRI Pricing Inputs'!$Z$33,'3. GRI Pricing'!$F239&lt;='2. GRI Pricing Inputs'!$AA$33),'2. GRI Pricing Inputs'!$Z$32,IF(AND('3. GRI Pricing'!$F239&gt;='2. GRI Pricing Inputs'!$AB$33,'3. GRI Pricing'!$F239&lt;='2. GRI Pricing Inputs'!$AC$33),'2. GRI Pricing Inputs'!$AB$32,IF(AND('3. GRI Pricing'!$F239&gt;='2. GRI Pricing Inputs'!$AD$33,'3. GRI Pricing'!$F239&lt;='2. GRI Pricing Inputs'!$AE$33),'2. GRI Pricing Inputs'!$AD$32,IF(AND('3. GRI Pricing'!$F239&gt;='2. GRI Pricing Inputs'!$AF$33,'3. GRI Pricing'!$F239&lt;='2. GRI Pricing Inputs'!$AG$33),'2. GRI Pricing Inputs'!$AF$32,IF(AND('3. GRI Pricing'!$F239&gt;='2. GRI Pricing Inputs'!$AH$33,'3. GRI Pricing'!$F239&lt;='2. GRI Pricing Inputs'!$AI$33),'2. GRI Pricing Inputs'!$AH$32,0))))))))))))))))</f>
        <v>7</v>
      </c>
      <c r="N239" s="273" cm="1">
        <f t="array" ref="N239">IFERROR(INDEX('2. GRI Pricing Inputs'!$C$32:$AI$39,MATCH('3. GRI Pricing'!D239,'2. GRI Pricing Inputs'!$C$32:$C$39,0),(MATCH('3. GRI Pricing'!M239,'2. GRI Pricing Inputs'!$D$32:$AI$32,0)+1)),0)</f>
        <v>10</v>
      </c>
      <c r="O239" s="273">
        <f>IFERROR(INDEX('2. GRI Pricing Inputs'!$C$45:$AI$46,MATCH($O$16,'2. GRI Pricing Inputs'!$C$45:$C$46,0),MATCH(G239,'2. GRI Pricing Inputs'!$C$45:$AI$45,0)),0)</f>
        <v>50</v>
      </c>
      <c r="P239" s="273">
        <f>IFERROR(INDEX('2. GRI Pricing Inputs'!$C$53:$AI$54,MATCH('3. GRI Pricing'!$P$16,'2. GRI Pricing Inputs'!$C$53:$C$54,0),MATCH('3. GRI Pricing'!H239,'2. GRI Pricing Inputs'!$C$53:$AI$53,0)),0)</f>
        <v>10</v>
      </c>
      <c r="Q239" s="273">
        <f>IFERROR(INDEX('2. GRI Pricing Inputs'!$C$60:$AI$61,MATCH('3. GRI Pricing'!$Q$16,'2. GRI Pricing Inputs'!$C$60:$C$61,0),MATCH('1. Accomodation'!T243,'2. GRI Pricing Inputs'!$C$60:$AI$60,0)),0)</f>
        <v>0</v>
      </c>
      <c r="R239" s="273">
        <f>IFERROR(INDEX('2. GRI Pricing Inputs'!$C$67:$AI$68,MATCH('3. GRI Pricing'!$R$16,'2. GRI Pricing Inputs'!$C$67:$C$68,0),MATCH('1. Accomodation'!U243,'2. GRI Pricing Inputs'!$C$67:$AI$67,0)),0)</f>
        <v>0</v>
      </c>
      <c r="S239" s="273">
        <f>IF(D239=0,0,'2. GRI Pricing Inputs'!$AI$75)</f>
        <v>70</v>
      </c>
      <c r="T239" s="273">
        <f>IFERROR(INDEX('2. GRI Pricing Inputs'!$C$82:$AI$83,MATCH('3. GRI Pricing'!$T$16,'2. GRI Pricing Inputs'!$C$82:$C$83,0),MATCH('1. Accomodation'!V243,'2. GRI Pricing Inputs'!$C$82:$AI$82,0)),0)</f>
        <v>0</v>
      </c>
      <c r="U239" s="273">
        <f>IFERROR(INDEX('2. GRI Pricing Inputs'!$C$89:$AI$90,MATCH('3. GRI Pricing'!$U$16,'2. GRI Pricing Inputs'!$C$89:$C$90,0),MATCH('1. Accomodation'!W243,'2. GRI Pricing Inputs'!$C$89:$AI$89,0)),0)</f>
        <v>0</v>
      </c>
      <c r="V239" s="273">
        <f>IFERROR(INDEX('2. GRI Pricing Inputs'!$C$97:$AI$98,MATCH('3. GRI Pricing'!$V$16,'2. GRI Pricing Inputs'!$C$97:$C$98,0),MATCH('1. Accomodation'!X243,'2. GRI Pricing Inputs'!$C$97:$AI$97,0)),0)</f>
        <v>0</v>
      </c>
      <c r="W239" s="273">
        <f>IFERROR(INDEX('2. GRI Pricing Inputs'!$C$104:$AI$105,MATCH('3. GRI Pricing'!$W$16,'2. GRI Pricing Inputs'!$C$104:$C$105,0),MATCH('1. Accomodation'!Y243,'2. GRI Pricing Inputs'!$C$104:$AI$104,0)),0)</f>
        <v>0</v>
      </c>
      <c r="X239" s="274">
        <v>0</v>
      </c>
      <c r="Y239" s="275">
        <f t="shared" si="10"/>
        <v>1250</v>
      </c>
      <c r="Z239" s="276"/>
      <c r="AA239" s="276"/>
      <c r="AB239" s="276"/>
      <c r="AC239" s="272">
        <f>Y239*(1+'2. GRI Pricing Inputs'!$D$114)^(($AC$16-$AB$15)/365)</f>
        <v>1254.1707855764162</v>
      </c>
      <c r="AD239" s="273">
        <f>AC239*(1+'2. GRI Pricing Inputs'!$D$114)^((AD$16-AC$16)/365)</f>
        <v>1258.2202794377204</v>
      </c>
      <c r="AE239" s="273">
        <f>AD239*(1+'2. GRI Pricing Inputs'!$D$114)^((AE$16-AD$16)/365)</f>
        <v>1262.4184930324668</v>
      </c>
      <c r="AF239" s="273">
        <f>AE239*(1+'2. GRI Pricing Inputs'!$D$114)^((AF$16-AE$16)/365)</f>
        <v>1266.6307145061794</v>
      </c>
      <c r="AG239" s="273">
        <f>AF239*(1+'2. GRI Pricing Inputs'!$D$114)^((AG$16-AF$16)/365)</f>
        <v>1270.5839025873047</v>
      </c>
      <c r="AH239" s="273">
        <f>AG239*(1+'2. GRI Pricing Inputs'!$D$114)^((AH$16-AG$16)/365)</f>
        <v>1274.8233689989349</v>
      </c>
      <c r="AI239" s="273">
        <f>AH239*(1+'2. GRI Pricing Inputs'!$D$114)^((AI$16-AH$16)/365)</f>
        <v>1278.9395463699743</v>
      </c>
      <c r="AJ239" s="273">
        <f>AI239*(1+'2. GRI Pricing Inputs'!$D$114)^((AJ$16-AI$16)/365)</f>
        <v>1283.2068924604607</v>
      </c>
      <c r="AK239" s="273">
        <f>AJ239*(1+'2. GRI Pricing Inputs'!$D$114)^((AK$16-AJ$16)/365)</f>
        <v>1287.3501387340643</v>
      </c>
      <c r="AL239" s="273">
        <f>AK239*(1+'2. GRI Pricing Inputs'!$D$114)^((AL$16-AK$16)/365)</f>
        <v>1291.6455478464079</v>
      </c>
      <c r="AM239" s="273">
        <f>AL239*(1+'2. GRI Pricing Inputs'!$D$114)^((AM$16-AL$16)/365)</f>
        <v>1295.9552891430478</v>
      </c>
      <c r="AN239" s="273">
        <f>AM239*(1+'2. GRI Pricing Inputs'!$D$114)^((AN$16-AM$16)/365)</f>
        <v>1300.1396977166357</v>
      </c>
      <c r="AO239" s="273">
        <f>AN239*(1+'2. GRI Pricing Inputs'!$D$114)^((AO$16-AN$16)/365)</f>
        <v>1304.4777808354859</v>
      </c>
    </row>
    <row r="240" spans="3:41" ht="12" x14ac:dyDescent="0.2">
      <c r="C240" s="76" t="str">
        <f>'1. Accomodation'!N244</f>
        <v>401W</v>
      </c>
      <c r="D240" s="69" t="str">
        <f>'1. Accomodation'!P244</f>
        <v>2 Bed</v>
      </c>
      <c r="E240" s="69">
        <f>'1. Accomodation'!Q244</f>
        <v>2</v>
      </c>
      <c r="F240" s="77">
        <f>'1. Accomodation'!O244</f>
        <v>689</v>
      </c>
      <c r="G240" s="69">
        <f>'1. Accomodation'!R244</f>
        <v>4</v>
      </c>
      <c r="H240" s="69" t="str">
        <f>'1. Accomodation'!S244</f>
        <v>Pottery Lane</v>
      </c>
      <c r="I240" s="62"/>
      <c r="K240" s="272">
        <f>IFERROR(INDEX('2. GRI Pricing Inputs'!$C$15:$AI$16,MATCH($K$16,'2. GRI Pricing Inputs'!$C$15:$C$16,0),MATCH(D240,'2. GRI Pricing Inputs'!$C$15:$AI$15,0)),0)</f>
        <v>1110</v>
      </c>
      <c r="L240" s="273">
        <f>IFERROR(INDEX('2. GRI Pricing Inputs'!$C$22:$AI$23,MATCH($L$16,'2. GRI Pricing Inputs'!$C$22:$C$23,0),MATCH(E240,'2. GRI Pricing Inputs'!$C$22:$AI$22,0)),0)</f>
        <v>0</v>
      </c>
      <c r="M240" s="328">
        <f>IF(AND('3. GRI Pricing'!$F240&gt;='2. GRI Pricing Inputs'!$D$33,'3. GRI Pricing'!$F240&lt;='2. GRI Pricing Inputs'!$E$33),'2. GRI Pricing Inputs'!$D$32,IF(AND('3. GRI Pricing'!$F240&gt;='2. GRI Pricing Inputs'!$F$33,'3. GRI Pricing'!$F240&lt;='2. GRI Pricing Inputs'!$G$33),'2. GRI Pricing Inputs'!$F$32,IF(AND('3. GRI Pricing'!$F240&gt;='2. GRI Pricing Inputs'!$H$33,'3. GRI Pricing'!$F240&lt;='2. GRI Pricing Inputs'!$I$33),'2. GRI Pricing Inputs'!$H$32,IF(AND('3. GRI Pricing'!$F240&gt;='2. GRI Pricing Inputs'!$J$33,'3. GRI Pricing'!$F240&lt;='2. GRI Pricing Inputs'!$K$33),'2. GRI Pricing Inputs'!$J$32,IF(AND('3. GRI Pricing'!$F240&gt;='2. GRI Pricing Inputs'!$L$33,'3. GRI Pricing'!$F240&lt;='2. GRI Pricing Inputs'!$M$33),'2. GRI Pricing Inputs'!$L$32,IF(AND('3. GRI Pricing'!$F240&gt;='2. GRI Pricing Inputs'!$N$33,'3. GRI Pricing'!$F240&lt;='2. GRI Pricing Inputs'!$O$33),'2. GRI Pricing Inputs'!$N$32,IF(AND('3. GRI Pricing'!$F240&gt;='2. GRI Pricing Inputs'!$P$33,'3. GRI Pricing'!$F240&lt;='2. GRI Pricing Inputs'!$Q$33),'2. GRI Pricing Inputs'!$P$32,IF(AND('3. GRI Pricing'!$F240&gt;='2. GRI Pricing Inputs'!$R$33,'3. GRI Pricing'!$F240&lt;='2. GRI Pricing Inputs'!$S$33),'2. GRI Pricing Inputs'!$R$32,IF(AND('3. GRI Pricing'!$F240&gt;='2. GRI Pricing Inputs'!$T$33,'3. GRI Pricing'!$F240&lt;='2. GRI Pricing Inputs'!$U$33),'2. GRI Pricing Inputs'!$T$32,IF(AND('3. GRI Pricing'!$F240&gt;='2. GRI Pricing Inputs'!$V$33,'3. GRI Pricing'!$F240&lt;='2. GRI Pricing Inputs'!$W$33),'2. GRI Pricing Inputs'!$V$32,IF(AND('3. GRI Pricing'!$F240&gt;='2. GRI Pricing Inputs'!$X$33,'3. GRI Pricing'!$F240&lt;='2. GRI Pricing Inputs'!$Y$33),'2. GRI Pricing Inputs'!$X$32,IF(AND('3. GRI Pricing'!$F240&gt;='2. GRI Pricing Inputs'!$Z$33,'3. GRI Pricing'!$F240&lt;='2. GRI Pricing Inputs'!$AA$33),'2. GRI Pricing Inputs'!$Z$32,IF(AND('3. GRI Pricing'!$F240&gt;='2. GRI Pricing Inputs'!$AB$33,'3. GRI Pricing'!$F240&lt;='2. GRI Pricing Inputs'!$AC$33),'2. GRI Pricing Inputs'!$AB$32,IF(AND('3. GRI Pricing'!$F240&gt;='2. GRI Pricing Inputs'!$AD$33,'3. GRI Pricing'!$F240&lt;='2. GRI Pricing Inputs'!$AE$33),'2. GRI Pricing Inputs'!$AD$32,IF(AND('3. GRI Pricing'!$F240&gt;='2. GRI Pricing Inputs'!$AF$33,'3. GRI Pricing'!$F240&lt;='2. GRI Pricing Inputs'!$AG$33),'2. GRI Pricing Inputs'!$AF$32,IF(AND('3. GRI Pricing'!$F240&gt;='2. GRI Pricing Inputs'!$AH$33,'3. GRI Pricing'!$F240&lt;='2. GRI Pricing Inputs'!$AI$33),'2. GRI Pricing Inputs'!$AH$32,0))))))))))))))))</f>
        <v>11</v>
      </c>
      <c r="N240" s="273" cm="1">
        <f t="array" ref="N240">IFERROR(INDEX('2. GRI Pricing Inputs'!$C$32:$AI$39,MATCH('3. GRI Pricing'!D240,'2. GRI Pricing Inputs'!$C$32:$C$39,0),(MATCH('3. GRI Pricing'!M240,'2. GRI Pricing Inputs'!$D$32:$AI$32,0)+1)),0)</f>
        <v>65</v>
      </c>
      <c r="O240" s="273">
        <f>IFERROR(INDEX('2. GRI Pricing Inputs'!$C$45:$AI$46,MATCH($O$16,'2. GRI Pricing Inputs'!$C$45:$C$46,0),MATCH(G240,'2. GRI Pricing Inputs'!$C$45:$AI$45,0)),0)</f>
        <v>70</v>
      </c>
      <c r="P240" s="273">
        <f>IFERROR(INDEX('2. GRI Pricing Inputs'!$C$53:$AI$54,MATCH('3. GRI Pricing'!$P$16,'2. GRI Pricing Inputs'!$C$53:$C$54,0),MATCH('3. GRI Pricing'!H240,'2. GRI Pricing Inputs'!$C$53:$AI$53,0)),0)</f>
        <v>10</v>
      </c>
      <c r="Q240" s="273">
        <f>IFERROR(INDEX('2. GRI Pricing Inputs'!$C$60:$AI$61,MATCH('3. GRI Pricing'!$Q$16,'2. GRI Pricing Inputs'!$C$60:$C$61,0),MATCH('1. Accomodation'!T244,'2. GRI Pricing Inputs'!$C$60:$AI$60,0)),0)</f>
        <v>0</v>
      </c>
      <c r="R240" s="273">
        <f>IFERROR(INDEX('2. GRI Pricing Inputs'!$C$67:$AI$68,MATCH('3. GRI Pricing'!$R$16,'2. GRI Pricing Inputs'!$C$67:$C$68,0),MATCH('1. Accomodation'!U244,'2. GRI Pricing Inputs'!$C$67:$AI$67,0)),0)</f>
        <v>0</v>
      </c>
      <c r="S240" s="273">
        <f>IF(D240=0,0,'2. GRI Pricing Inputs'!$AI$75)</f>
        <v>70</v>
      </c>
      <c r="T240" s="273">
        <f>IFERROR(INDEX('2. GRI Pricing Inputs'!$C$82:$AI$83,MATCH('3. GRI Pricing'!$T$16,'2. GRI Pricing Inputs'!$C$82:$C$83,0),MATCH('1. Accomodation'!V244,'2. GRI Pricing Inputs'!$C$82:$AI$82,0)),0)</f>
        <v>0</v>
      </c>
      <c r="U240" s="273">
        <f>IFERROR(INDEX('2. GRI Pricing Inputs'!$C$89:$AI$90,MATCH('3. GRI Pricing'!$U$16,'2. GRI Pricing Inputs'!$C$89:$C$90,0),MATCH('1. Accomodation'!W244,'2. GRI Pricing Inputs'!$C$89:$AI$89,0)),0)</f>
        <v>0</v>
      </c>
      <c r="V240" s="273">
        <f>IFERROR(INDEX('2. GRI Pricing Inputs'!$C$97:$AI$98,MATCH('3. GRI Pricing'!$V$16,'2. GRI Pricing Inputs'!$C$97:$C$98,0),MATCH('1. Accomodation'!X244,'2. GRI Pricing Inputs'!$C$97:$AI$97,0)),0)</f>
        <v>0</v>
      </c>
      <c r="W240" s="273">
        <f>IFERROR(INDEX('2. GRI Pricing Inputs'!$C$104:$AI$105,MATCH('3. GRI Pricing'!$W$16,'2. GRI Pricing Inputs'!$C$104:$C$105,0),MATCH('1. Accomodation'!Y244,'2. GRI Pricing Inputs'!$C$104:$AI$104,0)),0)</f>
        <v>0</v>
      </c>
      <c r="X240" s="274">
        <v>0</v>
      </c>
      <c r="Y240" s="275">
        <f t="shared" si="10"/>
        <v>1325</v>
      </c>
      <c r="Z240" s="276"/>
      <c r="AA240" s="276"/>
      <c r="AB240" s="276"/>
      <c r="AC240" s="272">
        <f>Y240*(1+'2. GRI Pricing Inputs'!$D$114)^(($AC$16-$AB$15)/365)</f>
        <v>1329.4210327110011</v>
      </c>
      <c r="AD240" s="273">
        <f>AC240*(1+'2. GRI Pricing Inputs'!$D$114)^((AD$16-AC$16)/365)</f>
        <v>1333.7134962039836</v>
      </c>
      <c r="AE240" s="273">
        <f>AD240*(1+'2. GRI Pricing Inputs'!$D$114)^((AE$16-AD$16)/365)</f>
        <v>1338.1636026144149</v>
      </c>
      <c r="AF240" s="273">
        <f>AE240*(1+'2. GRI Pricing Inputs'!$D$114)^((AF$16-AE$16)/365)</f>
        <v>1342.6285573765504</v>
      </c>
      <c r="AG240" s="273">
        <f>AF240*(1+'2. GRI Pricing Inputs'!$D$114)^((AG$16-AF$16)/365)</f>
        <v>1346.8189367425432</v>
      </c>
      <c r="AH240" s="273">
        <f>AG240*(1+'2. GRI Pricing Inputs'!$D$114)^((AH$16-AG$16)/365)</f>
        <v>1351.3127711388711</v>
      </c>
      <c r="AI240" s="273">
        <f>AH240*(1+'2. GRI Pricing Inputs'!$D$114)^((AI$16-AH$16)/365)</f>
        <v>1355.6759191521728</v>
      </c>
      <c r="AJ240" s="273">
        <f>AI240*(1+'2. GRI Pricing Inputs'!$D$114)^((AJ$16-AI$16)/365)</f>
        <v>1360.1993060080886</v>
      </c>
      <c r="AK240" s="273">
        <f>AJ240*(1+'2. GRI Pricing Inputs'!$D$114)^((AK$16-AJ$16)/365)</f>
        <v>1364.5911470581084</v>
      </c>
      <c r="AL240" s="273">
        <f>AK240*(1+'2. GRI Pricing Inputs'!$D$114)^((AL$16-AK$16)/365)</f>
        <v>1369.1442807171925</v>
      </c>
      <c r="AM240" s="273">
        <f>AL240*(1+'2. GRI Pricing Inputs'!$D$114)^((AM$16-AL$16)/365)</f>
        <v>1373.7126064916308</v>
      </c>
      <c r="AN240" s="273">
        <f>AM240*(1+'2. GRI Pricing Inputs'!$D$114)^((AN$16-AM$16)/365)</f>
        <v>1378.148079579634</v>
      </c>
      <c r="AO240" s="273">
        <f>AN240*(1+'2. GRI Pricing Inputs'!$D$114)^((AO$16-AN$16)/365)</f>
        <v>1382.7464476856151</v>
      </c>
    </row>
    <row r="241" spans="3:41" ht="12" x14ac:dyDescent="0.2">
      <c r="C241" s="76" t="str">
        <f>'1. Accomodation'!N245</f>
        <v>402W</v>
      </c>
      <c r="D241" s="69" t="str">
        <f>'1. Accomodation'!P245</f>
        <v>1 Bed</v>
      </c>
      <c r="E241" s="69">
        <f>'1. Accomodation'!Q245</f>
        <v>1</v>
      </c>
      <c r="F241" s="77">
        <f>'1. Accomodation'!O245</f>
        <v>495</v>
      </c>
      <c r="G241" s="69">
        <f>'1. Accomodation'!R245</f>
        <v>4</v>
      </c>
      <c r="H241" s="69" t="str">
        <f>'1. Accomodation'!S245</f>
        <v>Courtyard</v>
      </c>
      <c r="I241" s="62"/>
      <c r="K241" s="272">
        <f>IFERROR(INDEX('2. GRI Pricing Inputs'!$C$15:$AI$16,MATCH($K$16,'2. GRI Pricing Inputs'!$C$15:$C$16,0),MATCH(D241,'2. GRI Pricing Inputs'!$C$15:$AI$15,0)),0)</f>
        <v>845</v>
      </c>
      <c r="L241" s="273">
        <f>IFERROR(INDEX('2. GRI Pricing Inputs'!$C$22:$AI$23,MATCH($L$16,'2. GRI Pricing Inputs'!$C$22:$C$23,0),MATCH(E241,'2. GRI Pricing Inputs'!$C$22:$AI$22,0)),0)</f>
        <v>0</v>
      </c>
      <c r="M241" s="328">
        <f>IF(AND('3. GRI Pricing'!$F241&gt;='2. GRI Pricing Inputs'!$D$33,'3. GRI Pricing'!$F241&lt;='2. GRI Pricing Inputs'!$E$33),'2. GRI Pricing Inputs'!$D$32,IF(AND('3. GRI Pricing'!$F241&gt;='2. GRI Pricing Inputs'!$F$33,'3. GRI Pricing'!$F241&lt;='2. GRI Pricing Inputs'!$G$33),'2. GRI Pricing Inputs'!$F$32,IF(AND('3. GRI Pricing'!$F241&gt;='2. GRI Pricing Inputs'!$H$33,'3. GRI Pricing'!$F241&lt;='2. GRI Pricing Inputs'!$I$33),'2. GRI Pricing Inputs'!$H$32,IF(AND('3. GRI Pricing'!$F241&gt;='2. GRI Pricing Inputs'!$J$33,'3. GRI Pricing'!$F241&lt;='2. GRI Pricing Inputs'!$K$33),'2. GRI Pricing Inputs'!$J$32,IF(AND('3. GRI Pricing'!$F241&gt;='2. GRI Pricing Inputs'!$L$33,'3. GRI Pricing'!$F241&lt;='2. GRI Pricing Inputs'!$M$33),'2. GRI Pricing Inputs'!$L$32,IF(AND('3. GRI Pricing'!$F241&gt;='2. GRI Pricing Inputs'!$N$33,'3. GRI Pricing'!$F241&lt;='2. GRI Pricing Inputs'!$O$33),'2. GRI Pricing Inputs'!$N$32,IF(AND('3. GRI Pricing'!$F241&gt;='2. GRI Pricing Inputs'!$P$33,'3. GRI Pricing'!$F241&lt;='2. GRI Pricing Inputs'!$Q$33),'2. GRI Pricing Inputs'!$P$32,IF(AND('3. GRI Pricing'!$F241&gt;='2. GRI Pricing Inputs'!$R$33,'3. GRI Pricing'!$F241&lt;='2. GRI Pricing Inputs'!$S$33),'2. GRI Pricing Inputs'!$R$32,IF(AND('3. GRI Pricing'!$F241&gt;='2. GRI Pricing Inputs'!$T$33,'3. GRI Pricing'!$F241&lt;='2. GRI Pricing Inputs'!$U$33),'2. GRI Pricing Inputs'!$T$32,IF(AND('3. GRI Pricing'!$F241&gt;='2. GRI Pricing Inputs'!$V$33,'3. GRI Pricing'!$F241&lt;='2. GRI Pricing Inputs'!$W$33),'2. GRI Pricing Inputs'!$V$32,IF(AND('3. GRI Pricing'!$F241&gt;='2. GRI Pricing Inputs'!$X$33,'3. GRI Pricing'!$F241&lt;='2. GRI Pricing Inputs'!$Y$33),'2. GRI Pricing Inputs'!$X$32,IF(AND('3. GRI Pricing'!$F241&gt;='2. GRI Pricing Inputs'!$Z$33,'3. GRI Pricing'!$F241&lt;='2. GRI Pricing Inputs'!$AA$33),'2. GRI Pricing Inputs'!$Z$32,IF(AND('3. GRI Pricing'!$F241&gt;='2. GRI Pricing Inputs'!$AB$33,'3. GRI Pricing'!$F241&lt;='2. GRI Pricing Inputs'!$AC$33),'2. GRI Pricing Inputs'!$AB$32,IF(AND('3. GRI Pricing'!$F241&gt;='2. GRI Pricing Inputs'!$AD$33,'3. GRI Pricing'!$F241&lt;='2. GRI Pricing Inputs'!$AE$33),'2. GRI Pricing Inputs'!$AD$32,IF(AND('3. GRI Pricing'!$F241&gt;='2. GRI Pricing Inputs'!$AF$33,'3. GRI Pricing'!$F241&lt;='2. GRI Pricing Inputs'!$AG$33),'2. GRI Pricing Inputs'!$AF$32,IF(AND('3. GRI Pricing'!$F241&gt;='2. GRI Pricing Inputs'!$AH$33,'3. GRI Pricing'!$F241&lt;='2. GRI Pricing Inputs'!$AI$33),'2. GRI Pricing Inputs'!$AH$32,0))))))))))))))))</f>
        <v>2</v>
      </c>
      <c r="N241" s="273" cm="1">
        <f t="array" ref="N241">IFERROR(INDEX('2. GRI Pricing Inputs'!$C$32:$AI$39,MATCH('3. GRI Pricing'!D241,'2. GRI Pricing Inputs'!$C$32:$C$39,0),(MATCH('3. GRI Pricing'!M241,'2. GRI Pricing Inputs'!$D$32:$AI$32,0)+1)),0)</f>
        <v>15</v>
      </c>
      <c r="O241" s="273">
        <f>IFERROR(INDEX('2. GRI Pricing Inputs'!$C$45:$AI$46,MATCH($O$16,'2. GRI Pricing Inputs'!$C$45:$C$46,0),MATCH(G241,'2. GRI Pricing Inputs'!$C$45:$AI$45,0)),0)</f>
        <v>70</v>
      </c>
      <c r="P241" s="273">
        <f>IFERROR(INDEX('2. GRI Pricing Inputs'!$C$53:$AI$54,MATCH('3. GRI Pricing'!$P$16,'2. GRI Pricing Inputs'!$C$53:$C$54,0),MATCH('3. GRI Pricing'!H241,'2. GRI Pricing Inputs'!$C$53:$AI$53,0)),0)</f>
        <v>25</v>
      </c>
      <c r="Q241" s="273">
        <f>IFERROR(INDEX('2. GRI Pricing Inputs'!$C$60:$AI$61,MATCH('3. GRI Pricing'!$Q$16,'2. GRI Pricing Inputs'!$C$60:$C$61,0),MATCH('1. Accomodation'!T245,'2. GRI Pricing Inputs'!$C$60:$AI$60,0)),0)</f>
        <v>0</v>
      </c>
      <c r="R241" s="273">
        <f>IFERROR(INDEX('2. GRI Pricing Inputs'!$C$67:$AI$68,MATCH('3. GRI Pricing'!$R$16,'2. GRI Pricing Inputs'!$C$67:$C$68,0),MATCH('1. Accomodation'!U245,'2. GRI Pricing Inputs'!$C$67:$AI$67,0)),0)</f>
        <v>0</v>
      </c>
      <c r="S241" s="273">
        <f>IF(D241=0,0,'2. GRI Pricing Inputs'!$AI$75)</f>
        <v>70</v>
      </c>
      <c r="T241" s="273">
        <f>IFERROR(INDEX('2. GRI Pricing Inputs'!$C$82:$AI$83,MATCH('3. GRI Pricing'!$T$16,'2. GRI Pricing Inputs'!$C$82:$C$83,0),MATCH('1. Accomodation'!V245,'2. GRI Pricing Inputs'!$C$82:$AI$82,0)),0)</f>
        <v>0</v>
      </c>
      <c r="U241" s="273">
        <f>IFERROR(INDEX('2. GRI Pricing Inputs'!$C$89:$AI$90,MATCH('3. GRI Pricing'!$U$16,'2. GRI Pricing Inputs'!$C$89:$C$90,0),MATCH('1. Accomodation'!W245,'2. GRI Pricing Inputs'!$C$89:$AI$89,0)),0)</f>
        <v>0</v>
      </c>
      <c r="V241" s="273">
        <f>IFERROR(INDEX('2. GRI Pricing Inputs'!$C$97:$AI$98,MATCH('3. GRI Pricing'!$V$16,'2. GRI Pricing Inputs'!$C$97:$C$98,0),MATCH('1. Accomodation'!X245,'2. GRI Pricing Inputs'!$C$97:$AI$97,0)),0)</f>
        <v>0</v>
      </c>
      <c r="W241" s="273">
        <f>IFERROR(INDEX('2. GRI Pricing Inputs'!$C$104:$AI$105,MATCH('3. GRI Pricing'!$W$16,'2. GRI Pricing Inputs'!$C$104:$C$105,0),MATCH('1. Accomodation'!Y245,'2. GRI Pricing Inputs'!$C$104:$AI$104,0)),0)</f>
        <v>0</v>
      </c>
      <c r="X241" s="274">
        <v>0</v>
      </c>
      <c r="Y241" s="275">
        <f t="shared" si="10"/>
        <v>1025</v>
      </c>
      <c r="Z241" s="276"/>
      <c r="AA241" s="276"/>
      <c r="AB241" s="276"/>
      <c r="AC241" s="272">
        <f>Y241*(1+'2. GRI Pricing Inputs'!$D$114)^(($AC$16-$AB$15)/365)</f>
        <v>1028.4200441726612</v>
      </c>
      <c r="AD241" s="273">
        <f>AC241*(1+'2. GRI Pricing Inputs'!$D$114)^((AD$16-AC$16)/365)</f>
        <v>1031.7406291389307</v>
      </c>
      <c r="AE241" s="273">
        <f>AD241*(1+'2. GRI Pricing Inputs'!$D$114)^((AE$16-AD$16)/365)</f>
        <v>1035.1831642866227</v>
      </c>
      <c r="AF241" s="273">
        <f>AE241*(1+'2. GRI Pricing Inputs'!$D$114)^((AF$16-AE$16)/365)</f>
        <v>1038.6371858950672</v>
      </c>
      <c r="AG241" s="273">
        <f>AF241*(1+'2. GRI Pricing Inputs'!$D$114)^((AG$16-AF$16)/365)</f>
        <v>1041.8788001215901</v>
      </c>
      <c r="AH241" s="273">
        <f>AG241*(1+'2. GRI Pricing Inputs'!$D$114)^((AH$16-AG$16)/365)</f>
        <v>1045.3551625791267</v>
      </c>
      <c r="AI241" s="273">
        <f>AH241*(1+'2. GRI Pricing Inputs'!$D$114)^((AI$16-AH$16)/365)</f>
        <v>1048.7304280233791</v>
      </c>
      <c r="AJ241" s="273">
        <f>AI241*(1+'2. GRI Pricing Inputs'!$D$114)^((AJ$16-AI$16)/365)</f>
        <v>1052.2296518175781</v>
      </c>
      <c r="AK241" s="273">
        <f>AJ241*(1+'2. GRI Pricing Inputs'!$D$114)^((AK$16-AJ$16)/365)</f>
        <v>1055.6271137619331</v>
      </c>
      <c r="AL241" s="273">
        <f>AK241*(1+'2. GRI Pricing Inputs'!$D$114)^((AL$16-AK$16)/365)</f>
        <v>1059.1493492340546</v>
      </c>
      <c r="AM241" s="273">
        <f>AL241*(1+'2. GRI Pricing Inputs'!$D$114)^((AM$16-AL$16)/365)</f>
        <v>1062.6833370972993</v>
      </c>
      <c r="AN241" s="273">
        <f>AM241*(1+'2. GRI Pricing Inputs'!$D$114)^((AN$16-AM$16)/365)</f>
        <v>1066.1145521276414</v>
      </c>
      <c r="AO241" s="273">
        <f>AN241*(1+'2. GRI Pricing Inputs'!$D$114)^((AO$16-AN$16)/365)</f>
        <v>1069.6717802850985</v>
      </c>
    </row>
    <row r="242" spans="3:41" ht="12" x14ac:dyDescent="0.2">
      <c r="C242" s="76" t="str">
        <f>'1. Accomodation'!N246</f>
        <v>403W</v>
      </c>
      <c r="D242" s="69" t="str">
        <f>'1. Accomodation'!P246</f>
        <v>2 Bed</v>
      </c>
      <c r="E242" s="69">
        <f>'1. Accomodation'!Q246</f>
        <v>2</v>
      </c>
      <c r="F242" s="77">
        <f>'1. Accomodation'!O246</f>
        <v>657</v>
      </c>
      <c r="G242" s="69">
        <f>'1. Accomodation'!R246</f>
        <v>4</v>
      </c>
      <c r="H242" s="69" t="str">
        <f>'1. Accomodation'!S246</f>
        <v>Courtyard</v>
      </c>
      <c r="I242" s="62"/>
      <c r="K242" s="272">
        <f>IFERROR(INDEX('2. GRI Pricing Inputs'!$C$15:$AI$16,MATCH($K$16,'2. GRI Pricing Inputs'!$C$15:$C$16,0),MATCH(D242,'2. GRI Pricing Inputs'!$C$15:$AI$15,0)),0)</f>
        <v>1110</v>
      </c>
      <c r="L242" s="273">
        <f>IFERROR(INDEX('2. GRI Pricing Inputs'!$C$22:$AI$23,MATCH($L$16,'2. GRI Pricing Inputs'!$C$22:$C$23,0),MATCH(E242,'2. GRI Pricing Inputs'!$C$22:$AI$22,0)),0)</f>
        <v>0</v>
      </c>
      <c r="M242" s="328">
        <f>IF(AND('3. GRI Pricing'!$F242&gt;='2. GRI Pricing Inputs'!$D$33,'3. GRI Pricing'!$F242&lt;='2. GRI Pricing Inputs'!$E$33),'2. GRI Pricing Inputs'!$D$32,IF(AND('3. GRI Pricing'!$F242&gt;='2. GRI Pricing Inputs'!$F$33,'3. GRI Pricing'!$F242&lt;='2. GRI Pricing Inputs'!$G$33),'2. GRI Pricing Inputs'!$F$32,IF(AND('3. GRI Pricing'!$F242&gt;='2. GRI Pricing Inputs'!$H$33,'3. GRI Pricing'!$F242&lt;='2. GRI Pricing Inputs'!$I$33),'2. GRI Pricing Inputs'!$H$32,IF(AND('3. GRI Pricing'!$F242&gt;='2. GRI Pricing Inputs'!$J$33,'3. GRI Pricing'!$F242&lt;='2. GRI Pricing Inputs'!$K$33),'2. GRI Pricing Inputs'!$J$32,IF(AND('3. GRI Pricing'!$F242&gt;='2. GRI Pricing Inputs'!$L$33,'3. GRI Pricing'!$F242&lt;='2. GRI Pricing Inputs'!$M$33),'2. GRI Pricing Inputs'!$L$32,IF(AND('3. GRI Pricing'!$F242&gt;='2. GRI Pricing Inputs'!$N$33,'3. GRI Pricing'!$F242&lt;='2. GRI Pricing Inputs'!$O$33),'2. GRI Pricing Inputs'!$N$32,IF(AND('3. GRI Pricing'!$F242&gt;='2. GRI Pricing Inputs'!$P$33,'3. GRI Pricing'!$F242&lt;='2. GRI Pricing Inputs'!$Q$33),'2. GRI Pricing Inputs'!$P$32,IF(AND('3. GRI Pricing'!$F242&gt;='2. GRI Pricing Inputs'!$R$33,'3. GRI Pricing'!$F242&lt;='2. GRI Pricing Inputs'!$S$33),'2. GRI Pricing Inputs'!$R$32,IF(AND('3. GRI Pricing'!$F242&gt;='2. GRI Pricing Inputs'!$T$33,'3. GRI Pricing'!$F242&lt;='2. GRI Pricing Inputs'!$U$33),'2. GRI Pricing Inputs'!$T$32,IF(AND('3. GRI Pricing'!$F242&gt;='2. GRI Pricing Inputs'!$V$33,'3. GRI Pricing'!$F242&lt;='2. GRI Pricing Inputs'!$W$33),'2. GRI Pricing Inputs'!$V$32,IF(AND('3. GRI Pricing'!$F242&gt;='2. GRI Pricing Inputs'!$X$33,'3. GRI Pricing'!$F242&lt;='2. GRI Pricing Inputs'!$Y$33),'2. GRI Pricing Inputs'!$X$32,IF(AND('3. GRI Pricing'!$F242&gt;='2. GRI Pricing Inputs'!$Z$33,'3. GRI Pricing'!$F242&lt;='2. GRI Pricing Inputs'!$AA$33),'2. GRI Pricing Inputs'!$Z$32,IF(AND('3. GRI Pricing'!$F242&gt;='2. GRI Pricing Inputs'!$AB$33,'3. GRI Pricing'!$F242&lt;='2. GRI Pricing Inputs'!$AC$33),'2. GRI Pricing Inputs'!$AB$32,IF(AND('3. GRI Pricing'!$F242&gt;='2. GRI Pricing Inputs'!$AD$33,'3. GRI Pricing'!$F242&lt;='2. GRI Pricing Inputs'!$AE$33),'2. GRI Pricing Inputs'!$AD$32,IF(AND('3. GRI Pricing'!$F242&gt;='2. GRI Pricing Inputs'!$AF$33,'3. GRI Pricing'!$F242&lt;='2. GRI Pricing Inputs'!$AG$33),'2. GRI Pricing Inputs'!$AF$32,IF(AND('3. GRI Pricing'!$F242&gt;='2. GRI Pricing Inputs'!$AH$33,'3. GRI Pricing'!$F242&lt;='2. GRI Pricing Inputs'!$AI$33),'2. GRI Pricing Inputs'!$AH$32,0))))))))))))))))</f>
        <v>8</v>
      </c>
      <c r="N242" s="273" cm="1">
        <f t="array" ref="N242">IFERROR(INDEX('2. GRI Pricing Inputs'!$C$32:$AI$39,MATCH('3. GRI Pricing'!D242,'2. GRI Pricing Inputs'!$C$32:$C$39,0),(MATCH('3. GRI Pricing'!M242,'2. GRI Pricing Inputs'!$D$32:$AI$32,0)+1)),0)</f>
        <v>20</v>
      </c>
      <c r="O242" s="273">
        <f>IFERROR(INDEX('2. GRI Pricing Inputs'!$C$45:$AI$46,MATCH($O$16,'2. GRI Pricing Inputs'!$C$45:$C$46,0),MATCH(G242,'2. GRI Pricing Inputs'!$C$45:$AI$45,0)),0)</f>
        <v>70</v>
      </c>
      <c r="P242" s="273">
        <f>IFERROR(INDEX('2. GRI Pricing Inputs'!$C$53:$AI$54,MATCH('3. GRI Pricing'!$P$16,'2. GRI Pricing Inputs'!$C$53:$C$54,0),MATCH('3. GRI Pricing'!H242,'2. GRI Pricing Inputs'!$C$53:$AI$53,0)),0)</f>
        <v>25</v>
      </c>
      <c r="Q242" s="273">
        <f>IFERROR(INDEX('2. GRI Pricing Inputs'!$C$60:$AI$61,MATCH('3. GRI Pricing'!$Q$16,'2. GRI Pricing Inputs'!$C$60:$C$61,0),MATCH('1. Accomodation'!T246,'2. GRI Pricing Inputs'!$C$60:$AI$60,0)),0)</f>
        <v>0</v>
      </c>
      <c r="R242" s="273">
        <f>IFERROR(INDEX('2. GRI Pricing Inputs'!$C$67:$AI$68,MATCH('3. GRI Pricing'!$R$16,'2. GRI Pricing Inputs'!$C$67:$C$68,0),MATCH('1. Accomodation'!U246,'2. GRI Pricing Inputs'!$C$67:$AI$67,0)),0)</f>
        <v>0</v>
      </c>
      <c r="S242" s="273">
        <f>IF(D242=0,0,'2. GRI Pricing Inputs'!$AI$75)</f>
        <v>70</v>
      </c>
      <c r="T242" s="273">
        <f>IFERROR(INDEX('2. GRI Pricing Inputs'!$C$82:$AI$83,MATCH('3. GRI Pricing'!$T$16,'2. GRI Pricing Inputs'!$C$82:$C$83,0),MATCH('1. Accomodation'!V246,'2. GRI Pricing Inputs'!$C$82:$AI$82,0)),0)</f>
        <v>0</v>
      </c>
      <c r="U242" s="273">
        <f>IFERROR(INDEX('2. GRI Pricing Inputs'!$C$89:$AI$90,MATCH('3. GRI Pricing'!$U$16,'2. GRI Pricing Inputs'!$C$89:$C$90,0),MATCH('1. Accomodation'!W246,'2. GRI Pricing Inputs'!$C$89:$AI$89,0)),0)</f>
        <v>0</v>
      </c>
      <c r="V242" s="273">
        <f>IFERROR(INDEX('2. GRI Pricing Inputs'!$C$97:$AI$98,MATCH('3. GRI Pricing'!$V$16,'2. GRI Pricing Inputs'!$C$97:$C$98,0),MATCH('1. Accomodation'!X246,'2. GRI Pricing Inputs'!$C$97:$AI$97,0)),0)</f>
        <v>0</v>
      </c>
      <c r="W242" s="273">
        <f>IFERROR(INDEX('2. GRI Pricing Inputs'!$C$104:$AI$105,MATCH('3. GRI Pricing'!$W$16,'2. GRI Pricing Inputs'!$C$104:$C$105,0),MATCH('1. Accomodation'!Y246,'2. GRI Pricing Inputs'!$C$104:$AI$104,0)),0)</f>
        <v>0</v>
      </c>
      <c r="X242" s="274">
        <v>0</v>
      </c>
      <c r="Y242" s="275">
        <f t="shared" si="10"/>
        <v>1295</v>
      </c>
      <c r="Z242" s="276"/>
      <c r="AA242" s="276"/>
      <c r="AB242" s="276"/>
      <c r="AC242" s="272">
        <f>Y242*(1+'2. GRI Pricing Inputs'!$D$114)^(($AC$16-$AB$15)/365)</f>
        <v>1299.3209338571671</v>
      </c>
      <c r="AD242" s="273">
        <f>AC242*(1+'2. GRI Pricing Inputs'!$D$114)^((AD$16-AC$16)/365)</f>
        <v>1303.5162094974783</v>
      </c>
      <c r="AE242" s="273">
        <f>AD242*(1+'2. GRI Pricing Inputs'!$D$114)^((AE$16-AD$16)/365)</f>
        <v>1307.8655587816356</v>
      </c>
      <c r="AF242" s="273">
        <f>AE242*(1+'2. GRI Pricing Inputs'!$D$114)^((AF$16-AE$16)/365)</f>
        <v>1312.229420228402</v>
      </c>
      <c r="AG242" s="273">
        <f>AF242*(1+'2. GRI Pricing Inputs'!$D$114)^((AG$16-AF$16)/365)</f>
        <v>1316.3249230804479</v>
      </c>
      <c r="AH242" s="273">
        <f>AG242*(1+'2. GRI Pricing Inputs'!$D$114)^((AH$16-AG$16)/365)</f>
        <v>1320.7170102828968</v>
      </c>
      <c r="AI242" s="273">
        <f>AH242*(1+'2. GRI Pricing Inputs'!$D$114)^((AI$16-AH$16)/365)</f>
        <v>1324.9813700392936</v>
      </c>
      <c r="AJ242" s="273">
        <f>AI242*(1+'2. GRI Pricing Inputs'!$D$114)^((AJ$16-AI$16)/365)</f>
        <v>1329.4023405890375</v>
      </c>
      <c r="AK242" s="273">
        <f>AJ242*(1+'2. GRI Pricing Inputs'!$D$114)^((AK$16-AJ$16)/365)</f>
        <v>1333.6947437284907</v>
      </c>
      <c r="AL242" s="273">
        <f>AK242*(1+'2. GRI Pricing Inputs'!$D$114)^((AL$16-AK$16)/365)</f>
        <v>1338.1447875688787</v>
      </c>
      <c r="AM242" s="273">
        <f>AL242*(1+'2. GRI Pricing Inputs'!$D$114)^((AM$16-AL$16)/365)</f>
        <v>1342.6096795521976</v>
      </c>
      <c r="AN242" s="273">
        <f>AM242*(1+'2. GRI Pricing Inputs'!$D$114)^((AN$16-AM$16)/365)</f>
        <v>1346.9447268344347</v>
      </c>
      <c r="AO242" s="273">
        <f>AN242*(1+'2. GRI Pricing Inputs'!$D$114)^((AO$16-AN$16)/365)</f>
        <v>1351.4389809455633</v>
      </c>
    </row>
    <row r="243" spans="3:41" ht="12" x14ac:dyDescent="0.2">
      <c r="C243" s="76" t="str">
        <f>'1. Accomodation'!N247</f>
        <v>404W</v>
      </c>
      <c r="D243" s="69" t="str">
        <f>'1. Accomodation'!P247</f>
        <v>2 Bed</v>
      </c>
      <c r="E243" s="69">
        <f>'1. Accomodation'!Q247</f>
        <v>2</v>
      </c>
      <c r="F243" s="77">
        <f>'1. Accomodation'!O247</f>
        <v>657</v>
      </c>
      <c r="G243" s="69">
        <f>'1. Accomodation'!R247</f>
        <v>4</v>
      </c>
      <c r="H243" s="69" t="str">
        <f>'1. Accomodation'!S247</f>
        <v>Railway Bridge - Mid</v>
      </c>
      <c r="I243" s="62"/>
      <c r="K243" s="272">
        <f>IFERROR(INDEX('2. GRI Pricing Inputs'!$C$15:$AI$16,MATCH($K$16,'2. GRI Pricing Inputs'!$C$15:$C$16,0),MATCH(D243,'2. GRI Pricing Inputs'!$C$15:$AI$15,0)),0)</f>
        <v>1110</v>
      </c>
      <c r="L243" s="273">
        <f>IFERROR(INDEX('2. GRI Pricing Inputs'!$C$22:$AI$23,MATCH($L$16,'2. GRI Pricing Inputs'!$C$22:$C$23,0),MATCH(E243,'2. GRI Pricing Inputs'!$C$22:$AI$22,0)),0)</f>
        <v>0</v>
      </c>
      <c r="M243" s="328">
        <f>IF(AND('3. GRI Pricing'!$F243&gt;='2. GRI Pricing Inputs'!$D$33,'3. GRI Pricing'!$F243&lt;='2. GRI Pricing Inputs'!$E$33),'2. GRI Pricing Inputs'!$D$32,IF(AND('3. GRI Pricing'!$F243&gt;='2. GRI Pricing Inputs'!$F$33,'3. GRI Pricing'!$F243&lt;='2. GRI Pricing Inputs'!$G$33),'2. GRI Pricing Inputs'!$F$32,IF(AND('3. GRI Pricing'!$F243&gt;='2. GRI Pricing Inputs'!$H$33,'3. GRI Pricing'!$F243&lt;='2. GRI Pricing Inputs'!$I$33),'2. GRI Pricing Inputs'!$H$32,IF(AND('3. GRI Pricing'!$F243&gt;='2. GRI Pricing Inputs'!$J$33,'3. GRI Pricing'!$F243&lt;='2. GRI Pricing Inputs'!$K$33),'2. GRI Pricing Inputs'!$J$32,IF(AND('3. GRI Pricing'!$F243&gt;='2. GRI Pricing Inputs'!$L$33,'3. GRI Pricing'!$F243&lt;='2. GRI Pricing Inputs'!$M$33),'2. GRI Pricing Inputs'!$L$32,IF(AND('3. GRI Pricing'!$F243&gt;='2. GRI Pricing Inputs'!$N$33,'3. GRI Pricing'!$F243&lt;='2. GRI Pricing Inputs'!$O$33),'2. GRI Pricing Inputs'!$N$32,IF(AND('3. GRI Pricing'!$F243&gt;='2. GRI Pricing Inputs'!$P$33,'3. GRI Pricing'!$F243&lt;='2. GRI Pricing Inputs'!$Q$33),'2. GRI Pricing Inputs'!$P$32,IF(AND('3. GRI Pricing'!$F243&gt;='2. GRI Pricing Inputs'!$R$33,'3. GRI Pricing'!$F243&lt;='2. GRI Pricing Inputs'!$S$33),'2. GRI Pricing Inputs'!$R$32,IF(AND('3. GRI Pricing'!$F243&gt;='2. GRI Pricing Inputs'!$T$33,'3. GRI Pricing'!$F243&lt;='2. GRI Pricing Inputs'!$U$33),'2. GRI Pricing Inputs'!$T$32,IF(AND('3. GRI Pricing'!$F243&gt;='2. GRI Pricing Inputs'!$V$33,'3. GRI Pricing'!$F243&lt;='2. GRI Pricing Inputs'!$W$33),'2. GRI Pricing Inputs'!$V$32,IF(AND('3. GRI Pricing'!$F243&gt;='2. GRI Pricing Inputs'!$X$33,'3. GRI Pricing'!$F243&lt;='2. GRI Pricing Inputs'!$Y$33),'2. GRI Pricing Inputs'!$X$32,IF(AND('3. GRI Pricing'!$F243&gt;='2. GRI Pricing Inputs'!$Z$33,'3. GRI Pricing'!$F243&lt;='2. GRI Pricing Inputs'!$AA$33),'2. GRI Pricing Inputs'!$Z$32,IF(AND('3. GRI Pricing'!$F243&gt;='2. GRI Pricing Inputs'!$AB$33,'3. GRI Pricing'!$F243&lt;='2. GRI Pricing Inputs'!$AC$33),'2. GRI Pricing Inputs'!$AB$32,IF(AND('3. GRI Pricing'!$F243&gt;='2. GRI Pricing Inputs'!$AD$33,'3. GRI Pricing'!$F243&lt;='2. GRI Pricing Inputs'!$AE$33),'2. GRI Pricing Inputs'!$AD$32,IF(AND('3. GRI Pricing'!$F243&gt;='2. GRI Pricing Inputs'!$AF$33,'3. GRI Pricing'!$F243&lt;='2. GRI Pricing Inputs'!$AG$33),'2. GRI Pricing Inputs'!$AF$32,IF(AND('3. GRI Pricing'!$F243&gt;='2. GRI Pricing Inputs'!$AH$33,'3. GRI Pricing'!$F243&lt;='2. GRI Pricing Inputs'!$AI$33),'2. GRI Pricing Inputs'!$AH$32,0))))))))))))))))</f>
        <v>8</v>
      </c>
      <c r="N243" s="273" cm="1">
        <f t="array" ref="N243">IFERROR(INDEX('2. GRI Pricing Inputs'!$C$32:$AI$39,MATCH('3. GRI Pricing'!D243,'2. GRI Pricing Inputs'!$C$32:$C$39,0),(MATCH('3. GRI Pricing'!M243,'2. GRI Pricing Inputs'!$D$32:$AI$32,0)+1)),0)</f>
        <v>20</v>
      </c>
      <c r="O243" s="273">
        <f>IFERROR(INDEX('2. GRI Pricing Inputs'!$C$45:$AI$46,MATCH($O$16,'2. GRI Pricing Inputs'!$C$45:$C$46,0),MATCH(G243,'2. GRI Pricing Inputs'!$C$45:$AI$45,0)),0)</f>
        <v>70</v>
      </c>
      <c r="P243" s="273">
        <f>IFERROR(INDEX('2. GRI Pricing Inputs'!$C$53:$AI$54,MATCH('3. GRI Pricing'!$P$16,'2. GRI Pricing Inputs'!$C$53:$C$54,0),MATCH('3. GRI Pricing'!H243,'2. GRI Pricing Inputs'!$C$53:$AI$53,0)),0)</f>
        <v>20</v>
      </c>
      <c r="Q243" s="273">
        <f>IFERROR(INDEX('2. GRI Pricing Inputs'!$C$60:$AI$61,MATCH('3. GRI Pricing'!$Q$16,'2. GRI Pricing Inputs'!$C$60:$C$61,0),MATCH('1. Accomodation'!T247,'2. GRI Pricing Inputs'!$C$60:$AI$60,0)),0)</f>
        <v>0</v>
      </c>
      <c r="R243" s="273">
        <f>IFERROR(INDEX('2. GRI Pricing Inputs'!$C$67:$AI$68,MATCH('3. GRI Pricing'!$R$16,'2. GRI Pricing Inputs'!$C$67:$C$68,0),MATCH('1. Accomodation'!U247,'2. GRI Pricing Inputs'!$C$67:$AI$67,0)),0)</f>
        <v>0</v>
      </c>
      <c r="S243" s="273">
        <f>IF(D243=0,0,'2. GRI Pricing Inputs'!$AI$75)</f>
        <v>70</v>
      </c>
      <c r="T243" s="273">
        <f>IFERROR(INDEX('2. GRI Pricing Inputs'!$C$82:$AI$83,MATCH('3. GRI Pricing'!$T$16,'2. GRI Pricing Inputs'!$C$82:$C$83,0),MATCH('1. Accomodation'!V247,'2. GRI Pricing Inputs'!$C$82:$AI$82,0)),0)</f>
        <v>0</v>
      </c>
      <c r="U243" s="273">
        <f>IFERROR(INDEX('2. GRI Pricing Inputs'!$C$89:$AI$90,MATCH('3. GRI Pricing'!$U$16,'2. GRI Pricing Inputs'!$C$89:$C$90,0),MATCH('1. Accomodation'!W247,'2. GRI Pricing Inputs'!$C$89:$AI$89,0)),0)</f>
        <v>0</v>
      </c>
      <c r="V243" s="273">
        <f>IFERROR(INDEX('2. GRI Pricing Inputs'!$C$97:$AI$98,MATCH('3. GRI Pricing'!$V$16,'2. GRI Pricing Inputs'!$C$97:$C$98,0),MATCH('1. Accomodation'!X247,'2. GRI Pricing Inputs'!$C$97:$AI$97,0)),0)</f>
        <v>0</v>
      </c>
      <c r="W243" s="273">
        <f>IFERROR(INDEX('2. GRI Pricing Inputs'!$C$104:$AI$105,MATCH('3. GRI Pricing'!$W$16,'2. GRI Pricing Inputs'!$C$104:$C$105,0),MATCH('1. Accomodation'!Y247,'2. GRI Pricing Inputs'!$C$104:$AI$104,0)),0)</f>
        <v>0</v>
      </c>
      <c r="X243" s="274">
        <v>0</v>
      </c>
      <c r="Y243" s="275">
        <f t="shared" si="10"/>
        <v>1290</v>
      </c>
      <c r="Z243" s="276"/>
      <c r="AA243" s="276"/>
      <c r="AB243" s="276"/>
      <c r="AC243" s="272">
        <f>Y243*(1+'2. GRI Pricing Inputs'!$D$114)^(($AC$16-$AB$15)/365)</f>
        <v>1294.3042507148614</v>
      </c>
      <c r="AD243" s="273">
        <f>AC243*(1+'2. GRI Pricing Inputs'!$D$114)^((AD$16-AC$16)/365)</f>
        <v>1298.4833283797273</v>
      </c>
      <c r="AE243" s="273">
        <f>AD243*(1+'2. GRI Pricing Inputs'!$D$114)^((AE$16-AD$16)/365)</f>
        <v>1302.8158848095056</v>
      </c>
      <c r="AF243" s="273">
        <f>AE243*(1+'2. GRI Pricing Inputs'!$D$114)^((AF$16-AE$16)/365)</f>
        <v>1307.1628973703771</v>
      </c>
      <c r="AG243" s="273">
        <f>AF243*(1+'2. GRI Pricing Inputs'!$D$114)^((AG$16-AF$16)/365)</f>
        <v>1311.2425874700984</v>
      </c>
      <c r="AH243" s="273">
        <f>AG243*(1+'2. GRI Pricing Inputs'!$D$114)^((AH$16-AG$16)/365)</f>
        <v>1315.6177168069007</v>
      </c>
      <c r="AI243" s="273">
        <f>AH243*(1+'2. GRI Pricing Inputs'!$D$114)^((AI$16-AH$16)/365)</f>
        <v>1319.8656118538133</v>
      </c>
      <c r="AJ243" s="273">
        <f>AI243*(1+'2. GRI Pricing Inputs'!$D$114)^((AJ$16-AI$16)/365)</f>
        <v>1324.2695130191953</v>
      </c>
      <c r="AK243" s="273">
        <f>AJ243*(1+'2. GRI Pricing Inputs'!$D$114)^((AK$16-AJ$16)/365)</f>
        <v>1328.5453431735541</v>
      </c>
      <c r="AL243" s="273">
        <f>AK243*(1+'2. GRI Pricing Inputs'!$D$114)^((AL$16-AK$16)/365)</f>
        <v>1332.9782053774925</v>
      </c>
      <c r="AM243" s="273">
        <f>AL243*(1+'2. GRI Pricing Inputs'!$D$114)^((AM$16-AL$16)/365)</f>
        <v>1337.4258583956248</v>
      </c>
      <c r="AN243" s="273">
        <f>AM243*(1+'2. GRI Pricing Inputs'!$D$114)^((AN$16-AM$16)/365)</f>
        <v>1341.7441680435675</v>
      </c>
      <c r="AO243" s="273">
        <f>AN243*(1+'2. GRI Pricing Inputs'!$D$114)^((AO$16-AN$16)/365)</f>
        <v>1346.2210698222207</v>
      </c>
    </row>
    <row r="244" spans="3:41" ht="12" x14ac:dyDescent="0.2">
      <c r="C244" s="76" t="str">
        <f>'1. Accomodation'!N248</f>
        <v>405W</v>
      </c>
      <c r="D244" s="69" t="str">
        <f>'1. Accomodation'!P248</f>
        <v>2 Bed</v>
      </c>
      <c r="E244" s="69">
        <f>'1. Accomodation'!Q248</f>
        <v>2</v>
      </c>
      <c r="F244" s="77">
        <f>'1. Accomodation'!O248</f>
        <v>678</v>
      </c>
      <c r="G244" s="69">
        <f>'1. Accomodation'!R248</f>
        <v>4</v>
      </c>
      <c r="H244" s="69" t="str">
        <f>'1. Accomodation'!S248</f>
        <v>Railway Bridge - Mid</v>
      </c>
      <c r="I244" s="62"/>
      <c r="K244" s="272">
        <f>IFERROR(INDEX('2. GRI Pricing Inputs'!$C$15:$AI$16,MATCH($K$16,'2. GRI Pricing Inputs'!$C$15:$C$16,0),MATCH(D244,'2. GRI Pricing Inputs'!$C$15:$AI$15,0)),0)</f>
        <v>1110</v>
      </c>
      <c r="L244" s="273">
        <f>IFERROR(INDEX('2. GRI Pricing Inputs'!$C$22:$AI$23,MATCH($L$16,'2. GRI Pricing Inputs'!$C$22:$C$23,0),MATCH(E244,'2. GRI Pricing Inputs'!$C$22:$AI$22,0)),0)</f>
        <v>0</v>
      </c>
      <c r="M244" s="328">
        <f>IF(AND('3. GRI Pricing'!$F244&gt;='2. GRI Pricing Inputs'!$D$33,'3. GRI Pricing'!$F244&lt;='2. GRI Pricing Inputs'!$E$33),'2. GRI Pricing Inputs'!$D$32,IF(AND('3. GRI Pricing'!$F244&gt;='2. GRI Pricing Inputs'!$F$33,'3. GRI Pricing'!$F244&lt;='2. GRI Pricing Inputs'!$G$33),'2. GRI Pricing Inputs'!$F$32,IF(AND('3. GRI Pricing'!$F244&gt;='2. GRI Pricing Inputs'!$H$33,'3. GRI Pricing'!$F244&lt;='2. GRI Pricing Inputs'!$I$33),'2. GRI Pricing Inputs'!$H$32,IF(AND('3. GRI Pricing'!$F244&gt;='2. GRI Pricing Inputs'!$J$33,'3. GRI Pricing'!$F244&lt;='2. GRI Pricing Inputs'!$K$33),'2. GRI Pricing Inputs'!$J$32,IF(AND('3. GRI Pricing'!$F244&gt;='2. GRI Pricing Inputs'!$L$33,'3. GRI Pricing'!$F244&lt;='2. GRI Pricing Inputs'!$M$33),'2. GRI Pricing Inputs'!$L$32,IF(AND('3. GRI Pricing'!$F244&gt;='2. GRI Pricing Inputs'!$N$33,'3. GRI Pricing'!$F244&lt;='2. GRI Pricing Inputs'!$O$33),'2. GRI Pricing Inputs'!$N$32,IF(AND('3. GRI Pricing'!$F244&gt;='2. GRI Pricing Inputs'!$P$33,'3. GRI Pricing'!$F244&lt;='2. GRI Pricing Inputs'!$Q$33),'2. GRI Pricing Inputs'!$P$32,IF(AND('3. GRI Pricing'!$F244&gt;='2. GRI Pricing Inputs'!$R$33,'3. GRI Pricing'!$F244&lt;='2. GRI Pricing Inputs'!$S$33),'2. GRI Pricing Inputs'!$R$32,IF(AND('3. GRI Pricing'!$F244&gt;='2. GRI Pricing Inputs'!$T$33,'3. GRI Pricing'!$F244&lt;='2. GRI Pricing Inputs'!$U$33),'2. GRI Pricing Inputs'!$T$32,IF(AND('3. GRI Pricing'!$F244&gt;='2. GRI Pricing Inputs'!$V$33,'3. GRI Pricing'!$F244&lt;='2. GRI Pricing Inputs'!$W$33),'2. GRI Pricing Inputs'!$V$32,IF(AND('3. GRI Pricing'!$F244&gt;='2. GRI Pricing Inputs'!$X$33,'3. GRI Pricing'!$F244&lt;='2. GRI Pricing Inputs'!$Y$33),'2. GRI Pricing Inputs'!$X$32,IF(AND('3. GRI Pricing'!$F244&gt;='2. GRI Pricing Inputs'!$Z$33,'3. GRI Pricing'!$F244&lt;='2. GRI Pricing Inputs'!$AA$33),'2. GRI Pricing Inputs'!$Z$32,IF(AND('3. GRI Pricing'!$F244&gt;='2. GRI Pricing Inputs'!$AB$33,'3. GRI Pricing'!$F244&lt;='2. GRI Pricing Inputs'!$AC$33),'2. GRI Pricing Inputs'!$AB$32,IF(AND('3. GRI Pricing'!$F244&gt;='2. GRI Pricing Inputs'!$AD$33,'3. GRI Pricing'!$F244&lt;='2. GRI Pricing Inputs'!$AE$33),'2. GRI Pricing Inputs'!$AD$32,IF(AND('3. GRI Pricing'!$F244&gt;='2. GRI Pricing Inputs'!$AF$33,'3. GRI Pricing'!$F244&lt;='2. GRI Pricing Inputs'!$AG$33),'2. GRI Pricing Inputs'!$AF$32,IF(AND('3. GRI Pricing'!$F244&gt;='2. GRI Pricing Inputs'!$AH$33,'3. GRI Pricing'!$F244&lt;='2. GRI Pricing Inputs'!$AI$33),'2. GRI Pricing Inputs'!$AH$32,0))))))))))))))))</f>
        <v>10</v>
      </c>
      <c r="N244" s="273" cm="1">
        <f t="array" ref="N244">IFERROR(INDEX('2. GRI Pricing Inputs'!$C$32:$AI$39,MATCH('3. GRI Pricing'!D244,'2. GRI Pricing Inputs'!$C$32:$C$39,0),(MATCH('3. GRI Pricing'!M244,'2. GRI Pricing Inputs'!$D$32:$AI$32,0)+1)),0)</f>
        <v>40</v>
      </c>
      <c r="O244" s="273">
        <f>IFERROR(INDEX('2. GRI Pricing Inputs'!$C$45:$AI$46,MATCH($O$16,'2. GRI Pricing Inputs'!$C$45:$C$46,0),MATCH(G244,'2. GRI Pricing Inputs'!$C$45:$AI$45,0)),0)</f>
        <v>70</v>
      </c>
      <c r="P244" s="273">
        <f>IFERROR(INDEX('2. GRI Pricing Inputs'!$C$53:$AI$54,MATCH('3. GRI Pricing'!$P$16,'2. GRI Pricing Inputs'!$C$53:$C$54,0),MATCH('3. GRI Pricing'!H244,'2. GRI Pricing Inputs'!$C$53:$AI$53,0)),0)</f>
        <v>20</v>
      </c>
      <c r="Q244" s="273">
        <f>IFERROR(INDEX('2. GRI Pricing Inputs'!$C$60:$AI$61,MATCH('3. GRI Pricing'!$Q$16,'2. GRI Pricing Inputs'!$C$60:$C$61,0),MATCH('1. Accomodation'!T248,'2. GRI Pricing Inputs'!$C$60:$AI$60,0)),0)</f>
        <v>0</v>
      </c>
      <c r="R244" s="273">
        <f>IFERROR(INDEX('2. GRI Pricing Inputs'!$C$67:$AI$68,MATCH('3. GRI Pricing'!$R$16,'2. GRI Pricing Inputs'!$C$67:$C$68,0),MATCH('1. Accomodation'!U248,'2. GRI Pricing Inputs'!$C$67:$AI$67,0)),0)</f>
        <v>0</v>
      </c>
      <c r="S244" s="273">
        <f>IF(D244=0,0,'2. GRI Pricing Inputs'!$AI$75)</f>
        <v>70</v>
      </c>
      <c r="T244" s="273">
        <f>IFERROR(INDEX('2. GRI Pricing Inputs'!$C$82:$AI$83,MATCH('3. GRI Pricing'!$T$16,'2. GRI Pricing Inputs'!$C$82:$C$83,0),MATCH('1. Accomodation'!V248,'2. GRI Pricing Inputs'!$C$82:$AI$82,0)),0)</f>
        <v>0</v>
      </c>
      <c r="U244" s="273">
        <f>IFERROR(INDEX('2. GRI Pricing Inputs'!$C$89:$AI$90,MATCH('3. GRI Pricing'!$U$16,'2. GRI Pricing Inputs'!$C$89:$C$90,0),MATCH('1. Accomodation'!W248,'2. GRI Pricing Inputs'!$C$89:$AI$89,0)),0)</f>
        <v>0</v>
      </c>
      <c r="V244" s="273">
        <f>IFERROR(INDEX('2. GRI Pricing Inputs'!$C$97:$AI$98,MATCH('3. GRI Pricing'!$V$16,'2. GRI Pricing Inputs'!$C$97:$C$98,0),MATCH('1. Accomodation'!X248,'2. GRI Pricing Inputs'!$C$97:$AI$97,0)),0)</f>
        <v>0</v>
      </c>
      <c r="W244" s="273">
        <f>IFERROR(INDEX('2. GRI Pricing Inputs'!$C$104:$AI$105,MATCH('3. GRI Pricing'!$W$16,'2. GRI Pricing Inputs'!$C$104:$C$105,0),MATCH('1. Accomodation'!Y248,'2. GRI Pricing Inputs'!$C$104:$AI$104,0)),0)</f>
        <v>0</v>
      </c>
      <c r="X244" s="274">
        <v>0</v>
      </c>
      <c r="Y244" s="275">
        <f t="shared" si="10"/>
        <v>1310</v>
      </c>
      <c r="Z244" s="276"/>
      <c r="AA244" s="276"/>
      <c r="AB244" s="276"/>
      <c r="AC244" s="272">
        <f>Y244*(1+'2. GRI Pricing Inputs'!$D$114)^(($AC$16-$AB$15)/365)</f>
        <v>1314.3709832840841</v>
      </c>
      <c r="AD244" s="273">
        <f>AC244*(1+'2. GRI Pricing Inputs'!$D$114)^((AD$16-AC$16)/365)</f>
        <v>1318.614852850731</v>
      </c>
      <c r="AE244" s="273">
        <f>AD244*(1+'2. GRI Pricing Inputs'!$D$114)^((AE$16-AD$16)/365)</f>
        <v>1323.0145806980254</v>
      </c>
      <c r="AF244" s="273">
        <f>AE244*(1+'2. GRI Pricing Inputs'!$D$114)^((AF$16-AE$16)/365)</f>
        <v>1327.4289888024762</v>
      </c>
      <c r="AG244" s="273">
        <f>AF244*(1+'2. GRI Pricing Inputs'!$D$114)^((AG$16-AF$16)/365)</f>
        <v>1331.5719299114955</v>
      </c>
      <c r="AH244" s="273">
        <f>AG244*(1+'2. GRI Pricing Inputs'!$D$114)^((AH$16-AG$16)/365)</f>
        <v>1336.0148907108839</v>
      </c>
      <c r="AI244" s="273">
        <f>AH244*(1+'2. GRI Pricing Inputs'!$D$114)^((AI$16-AH$16)/365)</f>
        <v>1340.3286445957333</v>
      </c>
      <c r="AJ244" s="273">
        <f>AI244*(1+'2. GRI Pricing Inputs'!$D$114)^((AJ$16-AI$16)/365)</f>
        <v>1344.800823298563</v>
      </c>
      <c r="AK244" s="273">
        <f>AJ244*(1+'2. GRI Pricing Inputs'!$D$114)^((AK$16-AJ$16)/365)</f>
        <v>1349.1429453932994</v>
      </c>
      <c r="AL244" s="273">
        <f>AK244*(1+'2. GRI Pricing Inputs'!$D$114)^((AL$16-AK$16)/365)</f>
        <v>1353.6445341430353</v>
      </c>
      <c r="AM244" s="273">
        <f>AL244*(1+'2. GRI Pricing Inputs'!$D$114)^((AM$16-AL$16)/365)</f>
        <v>1358.1611430219141</v>
      </c>
      <c r="AN244" s="273">
        <f>AM244*(1+'2. GRI Pricing Inputs'!$D$114)^((AN$16-AM$16)/365)</f>
        <v>1362.5464032070342</v>
      </c>
      <c r="AO244" s="273">
        <f>AN244*(1+'2. GRI Pricing Inputs'!$D$114)^((AO$16-AN$16)/365)</f>
        <v>1367.0927143155891</v>
      </c>
    </row>
    <row r="245" spans="3:41" ht="12" x14ac:dyDescent="0.2">
      <c r="C245" s="76" t="str">
        <f>'1. Accomodation'!N249</f>
        <v>406W</v>
      </c>
      <c r="D245" s="69" t="str">
        <f>'1. Accomodation'!P249</f>
        <v>1 Bed</v>
      </c>
      <c r="E245" s="69">
        <f>'1. Accomodation'!Q249</f>
        <v>1</v>
      </c>
      <c r="F245" s="77">
        <f>'1. Accomodation'!O249</f>
        <v>506</v>
      </c>
      <c r="G245" s="69">
        <f>'1. Accomodation'!R249</f>
        <v>4</v>
      </c>
      <c r="H245" s="69" t="str">
        <f>'1. Accomodation'!S249</f>
        <v>Railway Bridge - Mid</v>
      </c>
      <c r="I245" s="62"/>
      <c r="K245" s="272">
        <f>IFERROR(INDEX('2. GRI Pricing Inputs'!$C$15:$AI$16,MATCH($K$16,'2. GRI Pricing Inputs'!$C$15:$C$16,0),MATCH(D245,'2. GRI Pricing Inputs'!$C$15:$AI$15,0)),0)</f>
        <v>845</v>
      </c>
      <c r="L245" s="273">
        <f>IFERROR(INDEX('2. GRI Pricing Inputs'!$C$22:$AI$23,MATCH($L$16,'2. GRI Pricing Inputs'!$C$22:$C$23,0),MATCH(E245,'2. GRI Pricing Inputs'!$C$22:$AI$22,0)),0)</f>
        <v>0</v>
      </c>
      <c r="M245" s="328">
        <f>IF(AND('3. GRI Pricing'!$F245&gt;='2. GRI Pricing Inputs'!$D$33,'3. GRI Pricing'!$F245&lt;='2. GRI Pricing Inputs'!$E$33),'2. GRI Pricing Inputs'!$D$32,IF(AND('3. GRI Pricing'!$F245&gt;='2. GRI Pricing Inputs'!$F$33,'3. GRI Pricing'!$F245&lt;='2. GRI Pricing Inputs'!$G$33),'2. GRI Pricing Inputs'!$F$32,IF(AND('3. GRI Pricing'!$F245&gt;='2. GRI Pricing Inputs'!$H$33,'3. GRI Pricing'!$F245&lt;='2. GRI Pricing Inputs'!$I$33),'2. GRI Pricing Inputs'!$H$32,IF(AND('3. GRI Pricing'!$F245&gt;='2. GRI Pricing Inputs'!$J$33,'3. GRI Pricing'!$F245&lt;='2. GRI Pricing Inputs'!$K$33),'2. GRI Pricing Inputs'!$J$32,IF(AND('3. GRI Pricing'!$F245&gt;='2. GRI Pricing Inputs'!$L$33,'3. GRI Pricing'!$F245&lt;='2. GRI Pricing Inputs'!$M$33),'2. GRI Pricing Inputs'!$L$32,IF(AND('3. GRI Pricing'!$F245&gt;='2. GRI Pricing Inputs'!$N$33,'3. GRI Pricing'!$F245&lt;='2. GRI Pricing Inputs'!$O$33),'2. GRI Pricing Inputs'!$N$32,IF(AND('3. GRI Pricing'!$F245&gt;='2. GRI Pricing Inputs'!$P$33,'3. GRI Pricing'!$F245&lt;='2. GRI Pricing Inputs'!$Q$33),'2. GRI Pricing Inputs'!$P$32,IF(AND('3. GRI Pricing'!$F245&gt;='2. GRI Pricing Inputs'!$R$33,'3. GRI Pricing'!$F245&lt;='2. GRI Pricing Inputs'!$S$33),'2. GRI Pricing Inputs'!$R$32,IF(AND('3. GRI Pricing'!$F245&gt;='2. GRI Pricing Inputs'!$T$33,'3. GRI Pricing'!$F245&lt;='2. GRI Pricing Inputs'!$U$33),'2. GRI Pricing Inputs'!$T$32,IF(AND('3. GRI Pricing'!$F245&gt;='2. GRI Pricing Inputs'!$V$33,'3. GRI Pricing'!$F245&lt;='2. GRI Pricing Inputs'!$W$33),'2. GRI Pricing Inputs'!$V$32,IF(AND('3. GRI Pricing'!$F245&gt;='2. GRI Pricing Inputs'!$X$33,'3. GRI Pricing'!$F245&lt;='2. GRI Pricing Inputs'!$Y$33),'2. GRI Pricing Inputs'!$X$32,IF(AND('3. GRI Pricing'!$F245&gt;='2. GRI Pricing Inputs'!$Z$33,'3. GRI Pricing'!$F245&lt;='2. GRI Pricing Inputs'!$AA$33),'2. GRI Pricing Inputs'!$Z$32,IF(AND('3. GRI Pricing'!$F245&gt;='2. GRI Pricing Inputs'!$AB$33,'3. GRI Pricing'!$F245&lt;='2. GRI Pricing Inputs'!$AC$33),'2. GRI Pricing Inputs'!$AB$32,IF(AND('3. GRI Pricing'!$F245&gt;='2. GRI Pricing Inputs'!$AD$33,'3. GRI Pricing'!$F245&lt;='2. GRI Pricing Inputs'!$AE$33),'2. GRI Pricing Inputs'!$AD$32,IF(AND('3. GRI Pricing'!$F245&gt;='2. GRI Pricing Inputs'!$AF$33,'3. GRI Pricing'!$F245&lt;='2. GRI Pricing Inputs'!$AG$33),'2. GRI Pricing Inputs'!$AF$32,IF(AND('3. GRI Pricing'!$F245&gt;='2. GRI Pricing Inputs'!$AH$33,'3. GRI Pricing'!$F245&lt;='2. GRI Pricing Inputs'!$AI$33),'2. GRI Pricing Inputs'!$AH$32,0))))))))))))))))</f>
        <v>2</v>
      </c>
      <c r="N245" s="273" cm="1">
        <f t="array" ref="N245">IFERROR(INDEX('2. GRI Pricing Inputs'!$C$32:$AI$39,MATCH('3. GRI Pricing'!D245,'2. GRI Pricing Inputs'!$C$32:$C$39,0),(MATCH('3. GRI Pricing'!M245,'2. GRI Pricing Inputs'!$D$32:$AI$32,0)+1)),0)</f>
        <v>15</v>
      </c>
      <c r="O245" s="273">
        <f>IFERROR(INDEX('2. GRI Pricing Inputs'!$C$45:$AI$46,MATCH($O$16,'2. GRI Pricing Inputs'!$C$45:$C$46,0),MATCH(G245,'2. GRI Pricing Inputs'!$C$45:$AI$45,0)),0)</f>
        <v>70</v>
      </c>
      <c r="P245" s="273">
        <f>IFERROR(INDEX('2. GRI Pricing Inputs'!$C$53:$AI$54,MATCH('3. GRI Pricing'!$P$16,'2. GRI Pricing Inputs'!$C$53:$C$54,0),MATCH('3. GRI Pricing'!H245,'2. GRI Pricing Inputs'!$C$53:$AI$53,0)),0)</f>
        <v>20</v>
      </c>
      <c r="Q245" s="273">
        <f>IFERROR(INDEX('2. GRI Pricing Inputs'!$C$60:$AI$61,MATCH('3. GRI Pricing'!$Q$16,'2. GRI Pricing Inputs'!$C$60:$C$61,0),MATCH('1. Accomodation'!T249,'2. GRI Pricing Inputs'!$C$60:$AI$60,0)),0)</f>
        <v>0</v>
      </c>
      <c r="R245" s="273">
        <f>IFERROR(INDEX('2. GRI Pricing Inputs'!$C$67:$AI$68,MATCH('3. GRI Pricing'!$R$16,'2. GRI Pricing Inputs'!$C$67:$C$68,0),MATCH('1. Accomodation'!U249,'2. GRI Pricing Inputs'!$C$67:$AI$67,0)),0)</f>
        <v>0</v>
      </c>
      <c r="S245" s="273">
        <f>IF(D245=0,0,'2. GRI Pricing Inputs'!$AI$75)</f>
        <v>70</v>
      </c>
      <c r="T245" s="273">
        <f>IFERROR(INDEX('2. GRI Pricing Inputs'!$C$82:$AI$83,MATCH('3. GRI Pricing'!$T$16,'2. GRI Pricing Inputs'!$C$82:$C$83,0),MATCH('1. Accomodation'!V249,'2. GRI Pricing Inputs'!$C$82:$AI$82,0)),0)</f>
        <v>0</v>
      </c>
      <c r="U245" s="273">
        <f>IFERROR(INDEX('2. GRI Pricing Inputs'!$C$89:$AI$90,MATCH('3. GRI Pricing'!$U$16,'2. GRI Pricing Inputs'!$C$89:$C$90,0),MATCH('1. Accomodation'!W249,'2. GRI Pricing Inputs'!$C$89:$AI$89,0)),0)</f>
        <v>0</v>
      </c>
      <c r="V245" s="273">
        <f>IFERROR(INDEX('2. GRI Pricing Inputs'!$C$97:$AI$98,MATCH('3. GRI Pricing'!$V$16,'2. GRI Pricing Inputs'!$C$97:$C$98,0),MATCH('1. Accomodation'!X249,'2. GRI Pricing Inputs'!$C$97:$AI$97,0)),0)</f>
        <v>0</v>
      </c>
      <c r="W245" s="273">
        <f>IFERROR(INDEX('2. GRI Pricing Inputs'!$C$104:$AI$105,MATCH('3. GRI Pricing'!$W$16,'2. GRI Pricing Inputs'!$C$104:$C$105,0),MATCH('1. Accomodation'!Y249,'2. GRI Pricing Inputs'!$C$104:$AI$104,0)),0)</f>
        <v>0</v>
      </c>
      <c r="X245" s="274">
        <v>0</v>
      </c>
      <c r="Y245" s="275">
        <f t="shared" si="10"/>
        <v>1020</v>
      </c>
      <c r="Z245" s="276"/>
      <c r="AA245" s="276"/>
      <c r="AB245" s="276"/>
      <c r="AC245" s="272">
        <f>Y245*(1+'2. GRI Pricing Inputs'!$D$114)^(($AC$16-$AB$15)/365)</f>
        <v>1023.4033610303555</v>
      </c>
      <c r="AD245" s="273">
        <f>AC245*(1+'2. GRI Pricing Inputs'!$D$114)^((AD$16-AC$16)/365)</f>
        <v>1026.7077480211799</v>
      </c>
      <c r="AE245" s="273">
        <f>AD245*(1+'2. GRI Pricing Inputs'!$D$114)^((AE$16-AD$16)/365)</f>
        <v>1030.133490314493</v>
      </c>
      <c r="AF245" s="273">
        <f>AE245*(1+'2. GRI Pricing Inputs'!$D$114)^((AF$16-AE$16)/365)</f>
        <v>1033.5706630370426</v>
      </c>
      <c r="AG245" s="273">
        <f>AF245*(1+'2. GRI Pricing Inputs'!$D$114)^((AG$16-AF$16)/365)</f>
        <v>1036.7964645112409</v>
      </c>
      <c r="AH245" s="273">
        <f>AG245*(1+'2. GRI Pricing Inputs'!$D$114)^((AH$16-AG$16)/365)</f>
        <v>1040.2558691031311</v>
      </c>
      <c r="AI245" s="273">
        <f>AH245*(1+'2. GRI Pricing Inputs'!$D$114)^((AI$16-AH$16)/365)</f>
        <v>1043.6146698378993</v>
      </c>
      <c r="AJ245" s="273">
        <f>AI245*(1+'2. GRI Pricing Inputs'!$D$114)^((AJ$16-AI$16)/365)</f>
        <v>1047.0968242477363</v>
      </c>
      <c r="AK245" s="273">
        <f>AJ245*(1+'2. GRI Pricing Inputs'!$D$114)^((AK$16-AJ$16)/365)</f>
        <v>1050.4777132069969</v>
      </c>
      <c r="AL245" s="273">
        <f>AK245*(1+'2. GRI Pricing Inputs'!$D$114)^((AL$16-AK$16)/365)</f>
        <v>1053.9827670426691</v>
      </c>
      <c r="AM245" s="273">
        <f>AL245*(1+'2. GRI Pricing Inputs'!$D$114)^((AM$16-AL$16)/365)</f>
        <v>1057.4995159407274</v>
      </c>
      <c r="AN245" s="273">
        <f>AM245*(1+'2. GRI Pricing Inputs'!$D$114)^((AN$16-AM$16)/365)</f>
        <v>1060.9139933367751</v>
      </c>
      <c r="AO245" s="273">
        <f>AN245*(1+'2. GRI Pricing Inputs'!$D$114)^((AO$16-AN$16)/365)</f>
        <v>1064.4538691617568</v>
      </c>
    </row>
    <row r="246" spans="3:41" ht="12" x14ac:dyDescent="0.2">
      <c r="C246" s="76" t="str">
        <f>'1. Accomodation'!N250</f>
        <v>407W</v>
      </c>
      <c r="D246" s="69" t="str">
        <f>'1. Accomodation'!P250</f>
        <v>1 Bed</v>
      </c>
      <c r="E246" s="69">
        <f>'1. Accomodation'!Q250</f>
        <v>1</v>
      </c>
      <c r="F246" s="77">
        <f>'1. Accomodation'!O250</f>
        <v>474</v>
      </c>
      <c r="G246" s="69">
        <f>'1. Accomodation'!R250</f>
        <v>4</v>
      </c>
      <c r="H246" s="69" t="str">
        <f>'1. Accomodation'!S250</f>
        <v>Pottery Lane</v>
      </c>
      <c r="I246" s="62"/>
      <c r="K246" s="272">
        <f>IFERROR(INDEX('2. GRI Pricing Inputs'!$C$15:$AI$16,MATCH($K$16,'2. GRI Pricing Inputs'!$C$15:$C$16,0),MATCH(D246,'2. GRI Pricing Inputs'!$C$15:$AI$15,0)),0)</f>
        <v>845</v>
      </c>
      <c r="L246" s="273">
        <f>IFERROR(INDEX('2. GRI Pricing Inputs'!$C$22:$AI$23,MATCH($L$16,'2. GRI Pricing Inputs'!$C$22:$C$23,0),MATCH(E246,'2. GRI Pricing Inputs'!$C$22:$AI$22,0)),0)</f>
        <v>0</v>
      </c>
      <c r="M246" s="328">
        <f>IF(AND('3. GRI Pricing'!$F246&gt;='2. GRI Pricing Inputs'!$D$33,'3. GRI Pricing'!$F246&lt;='2. GRI Pricing Inputs'!$E$33),'2. GRI Pricing Inputs'!$D$32,IF(AND('3. GRI Pricing'!$F246&gt;='2. GRI Pricing Inputs'!$F$33,'3. GRI Pricing'!$F246&lt;='2. GRI Pricing Inputs'!$G$33),'2. GRI Pricing Inputs'!$F$32,IF(AND('3. GRI Pricing'!$F246&gt;='2. GRI Pricing Inputs'!$H$33,'3. GRI Pricing'!$F246&lt;='2. GRI Pricing Inputs'!$I$33),'2. GRI Pricing Inputs'!$H$32,IF(AND('3. GRI Pricing'!$F246&gt;='2. GRI Pricing Inputs'!$J$33,'3. GRI Pricing'!$F246&lt;='2. GRI Pricing Inputs'!$K$33),'2. GRI Pricing Inputs'!$J$32,IF(AND('3. GRI Pricing'!$F246&gt;='2. GRI Pricing Inputs'!$L$33,'3. GRI Pricing'!$F246&lt;='2. GRI Pricing Inputs'!$M$33),'2. GRI Pricing Inputs'!$L$32,IF(AND('3. GRI Pricing'!$F246&gt;='2. GRI Pricing Inputs'!$N$33,'3. GRI Pricing'!$F246&lt;='2. GRI Pricing Inputs'!$O$33),'2. GRI Pricing Inputs'!$N$32,IF(AND('3. GRI Pricing'!$F246&gt;='2. GRI Pricing Inputs'!$P$33,'3. GRI Pricing'!$F246&lt;='2. GRI Pricing Inputs'!$Q$33),'2. GRI Pricing Inputs'!$P$32,IF(AND('3. GRI Pricing'!$F246&gt;='2. GRI Pricing Inputs'!$R$33,'3. GRI Pricing'!$F246&lt;='2. GRI Pricing Inputs'!$S$33),'2. GRI Pricing Inputs'!$R$32,IF(AND('3. GRI Pricing'!$F246&gt;='2. GRI Pricing Inputs'!$T$33,'3. GRI Pricing'!$F246&lt;='2. GRI Pricing Inputs'!$U$33),'2. GRI Pricing Inputs'!$T$32,IF(AND('3. GRI Pricing'!$F246&gt;='2. GRI Pricing Inputs'!$V$33,'3. GRI Pricing'!$F246&lt;='2. GRI Pricing Inputs'!$W$33),'2. GRI Pricing Inputs'!$V$32,IF(AND('3. GRI Pricing'!$F246&gt;='2. GRI Pricing Inputs'!$X$33,'3. GRI Pricing'!$F246&lt;='2. GRI Pricing Inputs'!$Y$33),'2. GRI Pricing Inputs'!$X$32,IF(AND('3. GRI Pricing'!$F246&gt;='2. GRI Pricing Inputs'!$Z$33,'3. GRI Pricing'!$F246&lt;='2. GRI Pricing Inputs'!$AA$33),'2. GRI Pricing Inputs'!$Z$32,IF(AND('3. GRI Pricing'!$F246&gt;='2. GRI Pricing Inputs'!$AB$33,'3. GRI Pricing'!$F246&lt;='2. GRI Pricing Inputs'!$AC$33),'2. GRI Pricing Inputs'!$AB$32,IF(AND('3. GRI Pricing'!$F246&gt;='2. GRI Pricing Inputs'!$AD$33,'3. GRI Pricing'!$F246&lt;='2. GRI Pricing Inputs'!$AE$33),'2. GRI Pricing Inputs'!$AD$32,IF(AND('3. GRI Pricing'!$F246&gt;='2. GRI Pricing Inputs'!$AF$33,'3. GRI Pricing'!$F246&lt;='2. GRI Pricing Inputs'!$AG$33),'2. GRI Pricing Inputs'!$AF$32,IF(AND('3. GRI Pricing'!$F246&gt;='2. GRI Pricing Inputs'!$AH$33,'3. GRI Pricing'!$F246&lt;='2. GRI Pricing Inputs'!$AI$33),'2. GRI Pricing Inputs'!$AH$32,0))))))))))))))))</f>
        <v>0</v>
      </c>
      <c r="N246" s="273" cm="1">
        <f t="array" ref="N246">IFERROR(INDEX('2. GRI Pricing Inputs'!$C$32:$AI$39,MATCH('3. GRI Pricing'!D246,'2. GRI Pricing Inputs'!$C$32:$C$39,0),(MATCH('3. GRI Pricing'!M246,'2. GRI Pricing Inputs'!$D$32:$AI$32,0)+1)),0)</f>
        <v>0</v>
      </c>
      <c r="O246" s="273">
        <f>IFERROR(INDEX('2. GRI Pricing Inputs'!$C$45:$AI$46,MATCH($O$16,'2. GRI Pricing Inputs'!$C$45:$C$46,0),MATCH(G246,'2. GRI Pricing Inputs'!$C$45:$AI$45,0)),0)</f>
        <v>70</v>
      </c>
      <c r="P246" s="273">
        <f>IFERROR(INDEX('2. GRI Pricing Inputs'!$C$53:$AI$54,MATCH('3. GRI Pricing'!$P$16,'2. GRI Pricing Inputs'!$C$53:$C$54,0),MATCH('3. GRI Pricing'!H246,'2. GRI Pricing Inputs'!$C$53:$AI$53,0)),0)</f>
        <v>10</v>
      </c>
      <c r="Q246" s="273">
        <f>IFERROR(INDEX('2. GRI Pricing Inputs'!$C$60:$AI$61,MATCH('3. GRI Pricing'!$Q$16,'2. GRI Pricing Inputs'!$C$60:$C$61,0),MATCH('1. Accomodation'!T250,'2. GRI Pricing Inputs'!$C$60:$AI$60,0)),0)</f>
        <v>0</v>
      </c>
      <c r="R246" s="273">
        <f>IFERROR(INDEX('2. GRI Pricing Inputs'!$C$67:$AI$68,MATCH('3. GRI Pricing'!$R$16,'2. GRI Pricing Inputs'!$C$67:$C$68,0),MATCH('1. Accomodation'!U250,'2. GRI Pricing Inputs'!$C$67:$AI$67,0)),0)</f>
        <v>0</v>
      </c>
      <c r="S246" s="273">
        <f>IF(D246=0,0,'2. GRI Pricing Inputs'!$AI$75)</f>
        <v>70</v>
      </c>
      <c r="T246" s="273">
        <f>IFERROR(INDEX('2. GRI Pricing Inputs'!$C$82:$AI$83,MATCH('3. GRI Pricing'!$T$16,'2. GRI Pricing Inputs'!$C$82:$C$83,0),MATCH('1. Accomodation'!V250,'2. GRI Pricing Inputs'!$C$82:$AI$82,0)),0)</f>
        <v>0</v>
      </c>
      <c r="U246" s="273">
        <f>IFERROR(INDEX('2. GRI Pricing Inputs'!$C$89:$AI$90,MATCH('3. GRI Pricing'!$U$16,'2. GRI Pricing Inputs'!$C$89:$C$90,0),MATCH('1. Accomodation'!W250,'2. GRI Pricing Inputs'!$C$89:$AI$89,0)),0)</f>
        <v>0</v>
      </c>
      <c r="V246" s="273">
        <f>IFERROR(INDEX('2. GRI Pricing Inputs'!$C$97:$AI$98,MATCH('3. GRI Pricing'!$V$16,'2. GRI Pricing Inputs'!$C$97:$C$98,0),MATCH('1. Accomodation'!X250,'2. GRI Pricing Inputs'!$C$97:$AI$97,0)),0)</f>
        <v>0</v>
      </c>
      <c r="W246" s="273">
        <f>IFERROR(INDEX('2. GRI Pricing Inputs'!$C$104:$AI$105,MATCH('3. GRI Pricing'!$W$16,'2. GRI Pricing Inputs'!$C$104:$C$105,0),MATCH('1. Accomodation'!Y250,'2. GRI Pricing Inputs'!$C$104:$AI$104,0)),0)</f>
        <v>0</v>
      </c>
      <c r="X246" s="274">
        <v>0</v>
      </c>
      <c r="Y246" s="275">
        <f t="shared" si="10"/>
        <v>995</v>
      </c>
      <c r="Z246" s="276"/>
      <c r="AA246" s="276"/>
      <c r="AB246" s="276"/>
      <c r="AC246" s="272">
        <f>Y246*(1+'2. GRI Pricing Inputs'!$D$114)^(($AC$16-$AB$15)/365)</f>
        <v>998.31994531882731</v>
      </c>
      <c r="AD246" s="273">
        <f>AC246*(1+'2. GRI Pricing Inputs'!$D$114)^((AD$16-AC$16)/365)</f>
        <v>1001.5433424324254</v>
      </c>
      <c r="AE246" s="273">
        <f>AD246*(1+'2. GRI Pricing Inputs'!$D$114)^((AE$16-AD$16)/365)</f>
        <v>1004.8851204538437</v>
      </c>
      <c r="AF246" s="273">
        <f>AE246*(1+'2. GRI Pricing Inputs'!$D$114)^((AF$16-AE$16)/365)</f>
        <v>1008.2380487469189</v>
      </c>
      <c r="AG246" s="273">
        <f>AF246*(1+'2. GRI Pricing Inputs'!$D$114)^((AG$16-AF$16)/365)</f>
        <v>1011.3847864594946</v>
      </c>
      <c r="AH246" s="273">
        <f>AG246*(1+'2. GRI Pricing Inputs'!$D$114)^((AH$16-AG$16)/365)</f>
        <v>1014.7594017231522</v>
      </c>
      <c r="AI246" s="273">
        <f>AH246*(1+'2. GRI Pricing Inputs'!$D$114)^((AI$16-AH$16)/365)</f>
        <v>1018.0358789104996</v>
      </c>
      <c r="AJ246" s="273">
        <f>AI246*(1+'2. GRI Pricing Inputs'!$D$114)^((AJ$16-AI$16)/365)</f>
        <v>1021.4326863985268</v>
      </c>
      <c r="AK246" s="273">
        <f>AJ246*(1+'2. GRI Pricing Inputs'!$D$114)^((AK$16-AJ$16)/365)</f>
        <v>1024.7307104323152</v>
      </c>
      <c r="AL246" s="273">
        <f>AK246*(1+'2. GRI Pricing Inputs'!$D$114)^((AL$16-AK$16)/365)</f>
        <v>1028.1498560857406</v>
      </c>
      <c r="AM246" s="273">
        <f>AL246*(1+'2. GRI Pricing Inputs'!$D$114)^((AM$16-AL$16)/365)</f>
        <v>1031.580410157866</v>
      </c>
      <c r="AN246" s="273">
        <f>AM246*(1+'2. GRI Pricing Inputs'!$D$114)^((AN$16-AM$16)/365)</f>
        <v>1034.911199382442</v>
      </c>
      <c r="AO246" s="273">
        <f>AN246*(1+'2. GRI Pricing Inputs'!$D$114)^((AO$16-AN$16)/365)</f>
        <v>1038.3643135450466</v>
      </c>
    </row>
    <row r="247" spans="3:41" ht="12" x14ac:dyDescent="0.2">
      <c r="C247" s="76" t="str">
        <f>'1. Accomodation'!N251</f>
        <v>408W</v>
      </c>
      <c r="D247" s="69" t="str">
        <f>'1. Accomodation'!P251</f>
        <v>2 Bed</v>
      </c>
      <c r="E247" s="69">
        <f>'1. Accomodation'!Q251</f>
        <v>2</v>
      </c>
      <c r="F247" s="77">
        <f>'1. Accomodation'!O251</f>
        <v>667</v>
      </c>
      <c r="G247" s="69">
        <f>'1. Accomodation'!R251</f>
        <v>4</v>
      </c>
      <c r="H247" s="69" t="str">
        <f>'1. Accomodation'!S251</f>
        <v>Courtyard</v>
      </c>
      <c r="I247" s="62"/>
      <c r="K247" s="272">
        <f>IFERROR(INDEX('2. GRI Pricing Inputs'!$C$15:$AI$16,MATCH($K$16,'2. GRI Pricing Inputs'!$C$15:$C$16,0),MATCH(D247,'2. GRI Pricing Inputs'!$C$15:$AI$15,0)),0)</f>
        <v>1110</v>
      </c>
      <c r="L247" s="273">
        <f>IFERROR(INDEX('2. GRI Pricing Inputs'!$C$22:$AI$23,MATCH($L$16,'2. GRI Pricing Inputs'!$C$22:$C$23,0),MATCH(E247,'2. GRI Pricing Inputs'!$C$22:$AI$22,0)),0)</f>
        <v>0</v>
      </c>
      <c r="M247" s="328">
        <f>IF(AND('3. GRI Pricing'!$F247&gt;='2. GRI Pricing Inputs'!$D$33,'3. GRI Pricing'!$F247&lt;='2. GRI Pricing Inputs'!$E$33),'2. GRI Pricing Inputs'!$D$32,IF(AND('3. GRI Pricing'!$F247&gt;='2. GRI Pricing Inputs'!$F$33,'3. GRI Pricing'!$F247&lt;='2. GRI Pricing Inputs'!$G$33),'2. GRI Pricing Inputs'!$F$32,IF(AND('3. GRI Pricing'!$F247&gt;='2. GRI Pricing Inputs'!$H$33,'3. GRI Pricing'!$F247&lt;='2. GRI Pricing Inputs'!$I$33),'2. GRI Pricing Inputs'!$H$32,IF(AND('3. GRI Pricing'!$F247&gt;='2. GRI Pricing Inputs'!$J$33,'3. GRI Pricing'!$F247&lt;='2. GRI Pricing Inputs'!$K$33),'2. GRI Pricing Inputs'!$J$32,IF(AND('3. GRI Pricing'!$F247&gt;='2. GRI Pricing Inputs'!$L$33,'3. GRI Pricing'!$F247&lt;='2. GRI Pricing Inputs'!$M$33),'2. GRI Pricing Inputs'!$L$32,IF(AND('3. GRI Pricing'!$F247&gt;='2. GRI Pricing Inputs'!$N$33,'3. GRI Pricing'!$F247&lt;='2. GRI Pricing Inputs'!$O$33),'2. GRI Pricing Inputs'!$N$32,IF(AND('3. GRI Pricing'!$F247&gt;='2. GRI Pricing Inputs'!$P$33,'3. GRI Pricing'!$F247&lt;='2. GRI Pricing Inputs'!$Q$33),'2. GRI Pricing Inputs'!$P$32,IF(AND('3. GRI Pricing'!$F247&gt;='2. GRI Pricing Inputs'!$R$33,'3. GRI Pricing'!$F247&lt;='2. GRI Pricing Inputs'!$S$33),'2. GRI Pricing Inputs'!$R$32,IF(AND('3. GRI Pricing'!$F247&gt;='2. GRI Pricing Inputs'!$T$33,'3. GRI Pricing'!$F247&lt;='2. GRI Pricing Inputs'!$U$33),'2. GRI Pricing Inputs'!$T$32,IF(AND('3. GRI Pricing'!$F247&gt;='2. GRI Pricing Inputs'!$V$33,'3. GRI Pricing'!$F247&lt;='2. GRI Pricing Inputs'!$W$33),'2. GRI Pricing Inputs'!$V$32,IF(AND('3. GRI Pricing'!$F247&gt;='2. GRI Pricing Inputs'!$X$33,'3. GRI Pricing'!$F247&lt;='2. GRI Pricing Inputs'!$Y$33),'2. GRI Pricing Inputs'!$X$32,IF(AND('3. GRI Pricing'!$F247&gt;='2. GRI Pricing Inputs'!$Z$33,'3. GRI Pricing'!$F247&lt;='2. GRI Pricing Inputs'!$AA$33),'2. GRI Pricing Inputs'!$Z$32,IF(AND('3. GRI Pricing'!$F247&gt;='2. GRI Pricing Inputs'!$AB$33,'3. GRI Pricing'!$F247&lt;='2. GRI Pricing Inputs'!$AC$33),'2. GRI Pricing Inputs'!$AB$32,IF(AND('3. GRI Pricing'!$F247&gt;='2. GRI Pricing Inputs'!$AD$33,'3. GRI Pricing'!$F247&lt;='2. GRI Pricing Inputs'!$AE$33),'2. GRI Pricing Inputs'!$AD$32,IF(AND('3. GRI Pricing'!$F247&gt;='2. GRI Pricing Inputs'!$AF$33,'3. GRI Pricing'!$F247&lt;='2. GRI Pricing Inputs'!$AG$33),'2. GRI Pricing Inputs'!$AF$32,IF(AND('3. GRI Pricing'!$F247&gt;='2. GRI Pricing Inputs'!$AH$33,'3. GRI Pricing'!$F247&lt;='2. GRI Pricing Inputs'!$AI$33),'2. GRI Pricing Inputs'!$AH$32,0))))))))))))))))</f>
        <v>9</v>
      </c>
      <c r="N247" s="273" cm="1">
        <f t="array" ref="N247">IFERROR(INDEX('2. GRI Pricing Inputs'!$C$32:$AI$39,MATCH('3. GRI Pricing'!D247,'2. GRI Pricing Inputs'!$C$32:$C$39,0),(MATCH('3. GRI Pricing'!M247,'2. GRI Pricing Inputs'!$D$32:$AI$32,0)+1)),0)</f>
        <v>30</v>
      </c>
      <c r="O247" s="273">
        <f>IFERROR(INDEX('2. GRI Pricing Inputs'!$C$45:$AI$46,MATCH($O$16,'2. GRI Pricing Inputs'!$C$45:$C$46,0),MATCH(G247,'2. GRI Pricing Inputs'!$C$45:$AI$45,0)),0)</f>
        <v>70</v>
      </c>
      <c r="P247" s="273">
        <f>IFERROR(INDEX('2. GRI Pricing Inputs'!$C$53:$AI$54,MATCH('3. GRI Pricing'!$P$16,'2. GRI Pricing Inputs'!$C$53:$C$54,0),MATCH('3. GRI Pricing'!H247,'2. GRI Pricing Inputs'!$C$53:$AI$53,0)),0)</f>
        <v>25</v>
      </c>
      <c r="Q247" s="273">
        <f>IFERROR(INDEX('2. GRI Pricing Inputs'!$C$60:$AI$61,MATCH('3. GRI Pricing'!$Q$16,'2. GRI Pricing Inputs'!$C$60:$C$61,0),MATCH('1. Accomodation'!T251,'2. GRI Pricing Inputs'!$C$60:$AI$60,0)),0)</f>
        <v>0</v>
      </c>
      <c r="R247" s="273">
        <f>IFERROR(INDEX('2. GRI Pricing Inputs'!$C$67:$AI$68,MATCH('3. GRI Pricing'!$R$16,'2. GRI Pricing Inputs'!$C$67:$C$68,0),MATCH('1. Accomodation'!U251,'2. GRI Pricing Inputs'!$C$67:$AI$67,0)),0)</f>
        <v>0</v>
      </c>
      <c r="S247" s="273">
        <f>IF(D247=0,0,'2. GRI Pricing Inputs'!$AI$75)</f>
        <v>70</v>
      </c>
      <c r="T247" s="273">
        <f>IFERROR(INDEX('2. GRI Pricing Inputs'!$C$82:$AI$83,MATCH('3. GRI Pricing'!$T$16,'2. GRI Pricing Inputs'!$C$82:$C$83,0),MATCH('1. Accomodation'!V251,'2. GRI Pricing Inputs'!$C$82:$AI$82,0)),0)</f>
        <v>0</v>
      </c>
      <c r="U247" s="273">
        <f>IFERROR(INDEX('2. GRI Pricing Inputs'!$C$89:$AI$90,MATCH('3. GRI Pricing'!$U$16,'2. GRI Pricing Inputs'!$C$89:$C$90,0),MATCH('1. Accomodation'!W251,'2. GRI Pricing Inputs'!$C$89:$AI$89,0)),0)</f>
        <v>0</v>
      </c>
      <c r="V247" s="273">
        <f>IFERROR(INDEX('2. GRI Pricing Inputs'!$C$97:$AI$98,MATCH('3. GRI Pricing'!$V$16,'2. GRI Pricing Inputs'!$C$97:$C$98,0),MATCH('1. Accomodation'!X251,'2. GRI Pricing Inputs'!$C$97:$AI$97,0)),0)</f>
        <v>0</v>
      </c>
      <c r="W247" s="273">
        <f>IFERROR(INDEX('2. GRI Pricing Inputs'!$C$104:$AI$105,MATCH('3. GRI Pricing'!$W$16,'2. GRI Pricing Inputs'!$C$104:$C$105,0),MATCH('1. Accomodation'!Y251,'2. GRI Pricing Inputs'!$C$104:$AI$104,0)),0)</f>
        <v>0</v>
      </c>
      <c r="X247" s="274">
        <v>0</v>
      </c>
      <c r="Y247" s="275">
        <f t="shared" si="10"/>
        <v>1305</v>
      </c>
      <c r="Z247" s="276"/>
      <c r="AA247" s="276"/>
      <c r="AB247" s="276"/>
      <c r="AC247" s="272">
        <f>Y247*(1+'2. GRI Pricing Inputs'!$D$114)^(($AC$16-$AB$15)/365)</f>
        <v>1309.3543001417784</v>
      </c>
      <c r="AD247" s="273">
        <f>AC247*(1+'2. GRI Pricing Inputs'!$D$114)^((AD$16-AC$16)/365)</f>
        <v>1313.58197173298</v>
      </c>
      <c r="AE247" s="273">
        <f>AD247*(1+'2. GRI Pricing Inputs'!$D$114)^((AE$16-AD$16)/365)</f>
        <v>1317.9649067258954</v>
      </c>
      <c r="AF247" s="273">
        <f>AE247*(1+'2. GRI Pricing Inputs'!$D$114)^((AF$16-AE$16)/365)</f>
        <v>1322.3624659444515</v>
      </c>
      <c r="AG247" s="273">
        <f>AF247*(1+'2. GRI Pricing Inputs'!$D$114)^((AG$16-AF$16)/365)</f>
        <v>1326.4895943011463</v>
      </c>
      <c r="AH247" s="273">
        <f>AG247*(1+'2. GRI Pricing Inputs'!$D$114)^((AH$16-AG$16)/365)</f>
        <v>1330.9155972348881</v>
      </c>
      <c r="AI247" s="273">
        <f>AH247*(1+'2. GRI Pricing Inputs'!$D$114)^((AI$16-AH$16)/365)</f>
        <v>1335.2128864102533</v>
      </c>
      <c r="AJ247" s="273">
        <f>AI247*(1+'2. GRI Pricing Inputs'!$D$114)^((AJ$16-AI$16)/365)</f>
        <v>1339.6679957287213</v>
      </c>
      <c r="AK247" s="273">
        <f>AJ247*(1+'2. GRI Pricing Inputs'!$D$114)^((AK$16-AJ$16)/365)</f>
        <v>1343.9935448383633</v>
      </c>
      <c r="AL247" s="273">
        <f>AK247*(1+'2. GRI Pricing Inputs'!$D$114)^((AL$16-AK$16)/365)</f>
        <v>1348.4779519516499</v>
      </c>
      <c r="AM247" s="273">
        <f>AL247*(1+'2. GRI Pricing Inputs'!$D$114)^((AM$16-AL$16)/365)</f>
        <v>1352.977321865342</v>
      </c>
      <c r="AN247" s="273">
        <f>AM247*(1+'2. GRI Pricing Inputs'!$D$114)^((AN$16-AM$16)/365)</f>
        <v>1357.3458444161679</v>
      </c>
      <c r="AO247" s="273">
        <f>AN247*(1+'2. GRI Pricing Inputs'!$D$114)^((AO$16-AN$16)/365)</f>
        <v>1361.8748031922473</v>
      </c>
    </row>
    <row r="248" spans="3:41" ht="12" x14ac:dyDescent="0.2">
      <c r="C248" s="76" t="str">
        <f>'1. Accomodation'!N252</f>
        <v>409W</v>
      </c>
      <c r="D248" s="69" t="str">
        <f>'1. Accomodation'!P252</f>
        <v>2 Bed</v>
      </c>
      <c r="E248" s="69">
        <f>'1. Accomodation'!Q252</f>
        <v>2</v>
      </c>
      <c r="F248" s="77">
        <f>'1. Accomodation'!O252</f>
        <v>657</v>
      </c>
      <c r="G248" s="69">
        <f>'1. Accomodation'!R252</f>
        <v>4</v>
      </c>
      <c r="H248" s="69" t="str">
        <f>'1. Accomodation'!S252</f>
        <v>Courtyard</v>
      </c>
      <c r="I248" s="62"/>
      <c r="K248" s="272">
        <f>IFERROR(INDEX('2. GRI Pricing Inputs'!$C$15:$AI$16,MATCH($K$16,'2. GRI Pricing Inputs'!$C$15:$C$16,0),MATCH(D248,'2. GRI Pricing Inputs'!$C$15:$AI$15,0)),0)</f>
        <v>1110</v>
      </c>
      <c r="L248" s="273">
        <f>IFERROR(INDEX('2. GRI Pricing Inputs'!$C$22:$AI$23,MATCH($L$16,'2. GRI Pricing Inputs'!$C$22:$C$23,0),MATCH(E248,'2. GRI Pricing Inputs'!$C$22:$AI$22,0)),0)</f>
        <v>0</v>
      </c>
      <c r="M248" s="328">
        <f>IF(AND('3. GRI Pricing'!$F248&gt;='2. GRI Pricing Inputs'!$D$33,'3. GRI Pricing'!$F248&lt;='2. GRI Pricing Inputs'!$E$33),'2. GRI Pricing Inputs'!$D$32,IF(AND('3. GRI Pricing'!$F248&gt;='2. GRI Pricing Inputs'!$F$33,'3. GRI Pricing'!$F248&lt;='2. GRI Pricing Inputs'!$G$33),'2. GRI Pricing Inputs'!$F$32,IF(AND('3. GRI Pricing'!$F248&gt;='2. GRI Pricing Inputs'!$H$33,'3. GRI Pricing'!$F248&lt;='2. GRI Pricing Inputs'!$I$33),'2. GRI Pricing Inputs'!$H$32,IF(AND('3. GRI Pricing'!$F248&gt;='2. GRI Pricing Inputs'!$J$33,'3. GRI Pricing'!$F248&lt;='2. GRI Pricing Inputs'!$K$33),'2. GRI Pricing Inputs'!$J$32,IF(AND('3. GRI Pricing'!$F248&gt;='2. GRI Pricing Inputs'!$L$33,'3. GRI Pricing'!$F248&lt;='2. GRI Pricing Inputs'!$M$33),'2. GRI Pricing Inputs'!$L$32,IF(AND('3. GRI Pricing'!$F248&gt;='2. GRI Pricing Inputs'!$N$33,'3. GRI Pricing'!$F248&lt;='2. GRI Pricing Inputs'!$O$33),'2. GRI Pricing Inputs'!$N$32,IF(AND('3. GRI Pricing'!$F248&gt;='2. GRI Pricing Inputs'!$P$33,'3. GRI Pricing'!$F248&lt;='2. GRI Pricing Inputs'!$Q$33),'2. GRI Pricing Inputs'!$P$32,IF(AND('3. GRI Pricing'!$F248&gt;='2. GRI Pricing Inputs'!$R$33,'3. GRI Pricing'!$F248&lt;='2. GRI Pricing Inputs'!$S$33),'2. GRI Pricing Inputs'!$R$32,IF(AND('3. GRI Pricing'!$F248&gt;='2. GRI Pricing Inputs'!$T$33,'3. GRI Pricing'!$F248&lt;='2. GRI Pricing Inputs'!$U$33),'2. GRI Pricing Inputs'!$T$32,IF(AND('3. GRI Pricing'!$F248&gt;='2. GRI Pricing Inputs'!$V$33,'3. GRI Pricing'!$F248&lt;='2. GRI Pricing Inputs'!$W$33),'2. GRI Pricing Inputs'!$V$32,IF(AND('3. GRI Pricing'!$F248&gt;='2. GRI Pricing Inputs'!$X$33,'3. GRI Pricing'!$F248&lt;='2. GRI Pricing Inputs'!$Y$33),'2. GRI Pricing Inputs'!$X$32,IF(AND('3. GRI Pricing'!$F248&gt;='2. GRI Pricing Inputs'!$Z$33,'3. GRI Pricing'!$F248&lt;='2. GRI Pricing Inputs'!$AA$33),'2. GRI Pricing Inputs'!$Z$32,IF(AND('3. GRI Pricing'!$F248&gt;='2. GRI Pricing Inputs'!$AB$33,'3. GRI Pricing'!$F248&lt;='2. GRI Pricing Inputs'!$AC$33),'2. GRI Pricing Inputs'!$AB$32,IF(AND('3. GRI Pricing'!$F248&gt;='2. GRI Pricing Inputs'!$AD$33,'3. GRI Pricing'!$F248&lt;='2. GRI Pricing Inputs'!$AE$33),'2. GRI Pricing Inputs'!$AD$32,IF(AND('3. GRI Pricing'!$F248&gt;='2. GRI Pricing Inputs'!$AF$33,'3. GRI Pricing'!$F248&lt;='2. GRI Pricing Inputs'!$AG$33),'2. GRI Pricing Inputs'!$AF$32,IF(AND('3. GRI Pricing'!$F248&gt;='2. GRI Pricing Inputs'!$AH$33,'3. GRI Pricing'!$F248&lt;='2. GRI Pricing Inputs'!$AI$33),'2. GRI Pricing Inputs'!$AH$32,0))))))))))))))))</f>
        <v>8</v>
      </c>
      <c r="N248" s="273" cm="1">
        <f t="array" ref="N248">IFERROR(INDEX('2. GRI Pricing Inputs'!$C$32:$AI$39,MATCH('3. GRI Pricing'!D248,'2. GRI Pricing Inputs'!$C$32:$C$39,0),(MATCH('3. GRI Pricing'!M248,'2. GRI Pricing Inputs'!$D$32:$AI$32,0)+1)),0)</f>
        <v>20</v>
      </c>
      <c r="O248" s="273">
        <f>IFERROR(INDEX('2. GRI Pricing Inputs'!$C$45:$AI$46,MATCH($O$16,'2. GRI Pricing Inputs'!$C$45:$C$46,0),MATCH(G248,'2. GRI Pricing Inputs'!$C$45:$AI$45,0)),0)</f>
        <v>70</v>
      </c>
      <c r="P248" s="273">
        <f>IFERROR(INDEX('2. GRI Pricing Inputs'!$C$53:$AI$54,MATCH('3. GRI Pricing'!$P$16,'2. GRI Pricing Inputs'!$C$53:$C$54,0),MATCH('3. GRI Pricing'!H248,'2. GRI Pricing Inputs'!$C$53:$AI$53,0)),0)</f>
        <v>25</v>
      </c>
      <c r="Q248" s="273">
        <f>IFERROR(INDEX('2. GRI Pricing Inputs'!$C$60:$AI$61,MATCH('3. GRI Pricing'!$Q$16,'2. GRI Pricing Inputs'!$C$60:$C$61,0),MATCH('1. Accomodation'!T252,'2. GRI Pricing Inputs'!$C$60:$AI$60,0)),0)</f>
        <v>0</v>
      </c>
      <c r="R248" s="273">
        <f>IFERROR(INDEX('2. GRI Pricing Inputs'!$C$67:$AI$68,MATCH('3. GRI Pricing'!$R$16,'2. GRI Pricing Inputs'!$C$67:$C$68,0),MATCH('1. Accomodation'!U252,'2. GRI Pricing Inputs'!$C$67:$AI$67,0)),0)</f>
        <v>0</v>
      </c>
      <c r="S248" s="273">
        <f>IF(D248=0,0,'2. GRI Pricing Inputs'!$AI$75)</f>
        <v>70</v>
      </c>
      <c r="T248" s="273">
        <f>IFERROR(INDEX('2. GRI Pricing Inputs'!$C$82:$AI$83,MATCH('3. GRI Pricing'!$T$16,'2. GRI Pricing Inputs'!$C$82:$C$83,0),MATCH('1. Accomodation'!V252,'2. GRI Pricing Inputs'!$C$82:$AI$82,0)),0)</f>
        <v>0</v>
      </c>
      <c r="U248" s="273">
        <f>IFERROR(INDEX('2. GRI Pricing Inputs'!$C$89:$AI$90,MATCH('3. GRI Pricing'!$U$16,'2. GRI Pricing Inputs'!$C$89:$C$90,0),MATCH('1. Accomodation'!W252,'2. GRI Pricing Inputs'!$C$89:$AI$89,0)),0)</f>
        <v>0</v>
      </c>
      <c r="V248" s="273">
        <f>IFERROR(INDEX('2. GRI Pricing Inputs'!$C$97:$AI$98,MATCH('3. GRI Pricing'!$V$16,'2. GRI Pricing Inputs'!$C$97:$C$98,0),MATCH('1. Accomodation'!X252,'2. GRI Pricing Inputs'!$C$97:$AI$97,0)),0)</f>
        <v>0</v>
      </c>
      <c r="W248" s="273">
        <f>IFERROR(INDEX('2. GRI Pricing Inputs'!$C$104:$AI$105,MATCH('3. GRI Pricing'!$W$16,'2. GRI Pricing Inputs'!$C$104:$C$105,0),MATCH('1. Accomodation'!Y252,'2. GRI Pricing Inputs'!$C$104:$AI$104,0)),0)</f>
        <v>0</v>
      </c>
      <c r="X248" s="274">
        <v>0</v>
      </c>
      <c r="Y248" s="275">
        <f t="shared" si="10"/>
        <v>1295</v>
      </c>
      <c r="Z248" s="276"/>
      <c r="AA248" s="276"/>
      <c r="AB248" s="276"/>
      <c r="AC248" s="272">
        <f>Y248*(1+'2. GRI Pricing Inputs'!$D$114)^(($AC$16-$AB$15)/365)</f>
        <v>1299.3209338571671</v>
      </c>
      <c r="AD248" s="273">
        <f>AC248*(1+'2. GRI Pricing Inputs'!$D$114)^((AD$16-AC$16)/365)</f>
        <v>1303.5162094974783</v>
      </c>
      <c r="AE248" s="273">
        <f>AD248*(1+'2. GRI Pricing Inputs'!$D$114)^((AE$16-AD$16)/365)</f>
        <v>1307.8655587816356</v>
      </c>
      <c r="AF248" s="273">
        <f>AE248*(1+'2. GRI Pricing Inputs'!$D$114)^((AF$16-AE$16)/365)</f>
        <v>1312.229420228402</v>
      </c>
      <c r="AG248" s="273">
        <f>AF248*(1+'2. GRI Pricing Inputs'!$D$114)^((AG$16-AF$16)/365)</f>
        <v>1316.3249230804479</v>
      </c>
      <c r="AH248" s="273">
        <f>AG248*(1+'2. GRI Pricing Inputs'!$D$114)^((AH$16-AG$16)/365)</f>
        <v>1320.7170102828968</v>
      </c>
      <c r="AI248" s="273">
        <f>AH248*(1+'2. GRI Pricing Inputs'!$D$114)^((AI$16-AH$16)/365)</f>
        <v>1324.9813700392936</v>
      </c>
      <c r="AJ248" s="273">
        <f>AI248*(1+'2. GRI Pricing Inputs'!$D$114)^((AJ$16-AI$16)/365)</f>
        <v>1329.4023405890375</v>
      </c>
      <c r="AK248" s="273">
        <f>AJ248*(1+'2. GRI Pricing Inputs'!$D$114)^((AK$16-AJ$16)/365)</f>
        <v>1333.6947437284907</v>
      </c>
      <c r="AL248" s="273">
        <f>AK248*(1+'2. GRI Pricing Inputs'!$D$114)^((AL$16-AK$16)/365)</f>
        <v>1338.1447875688787</v>
      </c>
      <c r="AM248" s="273">
        <f>AL248*(1+'2. GRI Pricing Inputs'!$D$114)^((AM$16-AL$16)/365)</f>
        <v>1342.6096795521976</v>
      </c>
      <c r="AN248" s="273">
        <f>AM248*(1+'2. GRI Pricing Inputs'!$D$114)^((AN$16-AM$16)/365)</f>
        <v>1346.9447268344347</v>
      </c>
      <c r="AO248" s="273">
        <f>AN248*(1+'2. GRI Pricing Inputs'!$D$114)^((AO$16-AN$16)/365)</f>
        <v>1351.4389809455633</v>
      </c>
    </row>
    <row r="249" spans="3:41" ht="12" x14ac:dyDescent="0.2">
      <c r="C249" s="76" t="str">
        <f>'1. Accomodation'!N253</f>
        <v>410W</v>
      </c>
      <c r="D249" s="69" t="str">
        <f>'1. Accomodation'!P253</f>
        <v>2 Bed</v>
      </c>
      <c r="E249" s="69">
        <f>'1. Accomodation'!Q253</f>
        <v>2</v>
      </c>
      <c r="F249" s="77">
        <f>'1. Accomodation'!O253</f>
        <v>689</v>
      </c>
      <c r="G249" s="69">
        <f>'1. Accomodation'!R253</f>
        <v>4</v>
      </c>
      <c r="H249" s="69" t="str">
        <f>'1. Accomodation'!S253</f>
        <v>River- Partial</v>
      </c>
      <c r="I249" s="62"/>
      <c r="K249" s="272">
        <f>IFERROR(INDEX('2. GRI Pricing Inputs'!$C$15:$AI$16,MATCH($K$16,'2. GRI Pricing Inputs'!$C$15:$C$16,0),MATCH(D249,'2. GRI Pricing Inputs'!$C$15:$AI$15,0)),0)</f>
        <v>1110</v>
      </c>
      <c r="L249" s="273">
        <f>IFERROR(INDEX('2. GRI Pricing Inputs'!$C$22:$AI$23,MATCH($L$16,'2. GRI Pricing Inputs'!$C$22:$C$23,0),MATCH(E249,'2. GRI Pricing Inputs'!$C$22:$AI$22,0)),0)</f>
        <v>0</v>
      </c>
      <c r="M249" s="328">
        <f>IF(AND('3. GRI Pricing'!$F249&gt;='2. GRI Pricing Inputs'!$D$33,'3. GRI Pricing'!$F249&lt;='2. GRI Pricing Inputs'!$E$33),'2. GRI Pricing Inputs'!$D$32,IF(AND('3. GRI Pricing'!$F249&gt;='2. GRI Pricing Inputs'!$F$33,'3. GRI Pricing'!$F249&lt;='2. GRI Pricing Inputs'!$G$33),'2. GRI Pricing Inputs'!$F$32,IF(AND('3. GRI Pricing'!$F249&gt;='2. GRI Pricing Inputs'!$H$33,'3. GRI Pricing'!$F249&lt;='2. GRI Pricing Inputs'!$I$33),'2. GRI Pricing Inputs'!$H$32,IF(AND('3. GRI Pricing'!$F249&gt;='2. GRI Pricing Inputs'!$J$33,'3. GRI Pricing'!$F249&lt;='2. GRI Pricing Inputs'!$K$33),'2. GRI Pricing Inputs'!$J$32,IF(AND('3. GRI Pricing'!$F249&gt;='2. GRI Pricing Inputs'!$L$33,'3. GRI Pricing'!$F249&lt;='2. GRI Pricing Inputs'!$M$33),'2. GRI Pricing Inputs'!$L$32,IF(AND('3. GRI Pricing'!$F249&gt;='2. GRI Pricing Inputs'!$N$33,'3. GRI Pricing'!$F249&lt;='2. GRI Pricing Inputs'!$O$33),'2. GRI Pricing Inputs'!$N$32,IF(AND('3. GRI Pricing'!$F249&gt;='2. GRI Pricing Inputs'!$P$33,'3. GRI Pricing'!$F249&lt;='2. GRI Pricing Inputs'!$Q$33),'2. GRI Pricing Inputs'!$P$32,IF(AND('3. GRI Pricing'!$F249&gt;='2. GRI Pricing Inputs'!$R$33,'3. GRI Pricing'!$F249&lt;='2. GRI Pricing Inputs'!$S$33),'2. GRI Pricing Inputs'!$R$32,IF(AND('3. GRI Pricing'!$F249&gt;='2. GRI Pricing Inputs'!$T$33,'3. GRI Pricing'!$F249&lt;='2. GRI Pricing Inputs'!$U$33),'2. GRI Pricing Inputs'!$T$32,IF(AND('3. GRI Pricing'!$F249&gt;='2. GRI Pricing Inputs'!$V$33,'3. GRI Pricing'!$F249&lt;='2. GRI Pricing Inputs'!$W$33),'2. GRI Pricing Inputs'!$V$32,IF(AND('3. GRI Pricing'!$F249&gt;='2. GRI Pricing Inputs'!$X$33,'3. GRI Pricing'!$F249&lt;='2. GRI Pricing Inputs'!$Y$33),'2. GRI Pricing Inputs'!$X$32,IF(AND('3. GRI Pricing'!$F249&gt;='2. GRI Pricing Inputs'!$Z$33,'3. GRI Pricing'!$F249&lt;='2. GRI Pricing Inputs'!$AA$33),'2. GRI Pricing Inputs'!$Z$32,IF(AND('3. GRI Pricing'!$F249&gt;='2. GRI Pricing Inputs'!$AB$33,'3. GRI Pricing'!$F249&lt;='2. GRI Pricing Inputs'!$AC$33),'2. GRI Pricing Inputs'!$AB$32,IF(AND('3. GRI Pricing'!$F249&gt;='2. GRI Pricing Inputs'!$AD$33,'3. GRI Pricing'!$F249&lt;='2. GRI Pricing Inputs'!$AE$33),'2. GRI Pricing Inputs'!$AD$32,IF(AND('3. GRI Pricing'!$F249&gt;='2. GRI Pricing Inputs'!$AF$33,'3. GRI Pricing'!$F249&lt;='2. GRI Pricing Inputs'!$AG$33),'2. GRI Pricing Inputs'!$AF$32,IF(AND('3. GRI Pricing'!$F249&gt;='2. GRI Pricing Inputs'!$AH$33,'3. GRI Pricing'!$F249&lt;='2. GRI Pricing Inputs'!$AI$33),'2. GRI Pricing Inputs'!$AH$32,0))))))))))))))))</f>
        <v>11</v>
      </c>
      <c r="N249" s="273" cm="1">
        <f t="array" ref="N249">IFERROR(INDEX('2. GRI Pricing Inputs'!$C$32:$AI$39,MATCH('3. GRI Pricing'!D249,'2. GRI Pricing Inputs'!$C$32:$C$39,0),(MATCH('3. GRI Pricing'!M249,'2. GRI Pricing Inputs'!$D$32:$AI$32,0)+1)),0)</f>
        <v>65</v>
      </c>
      <c r="O249" s="273">
        <f>IFERROR(INDEX('2. GRI Pricing Inputs'!$C$45:$AI$46,MATCH($O$16,'2. GRI Pricing Inputs'!$C$45:$C$46,0),MATCH(G249,'2. GRI Pricing Inputs'!$C$45:$AI$45,0)),0)</f>
        <v>70</v>
      </c>
      <c r="P249" s="273">
        <f>IFERROR(INDEX('2. GRI Pricing Inputs'!$C$53:$AI$54,MATCH('3. GRI Pricing'!$P$16,'2. GRI Pricing Inputs'!$C$53:$C$54,0),MATCH('3. GRI Pricing'!H249,'2. GRI Pricing Inputs'!$C$53:$AI$53,0)),0)</f>
        <v>0</v>
      </c>
      <c r="Q249" s="273">
        <f>IFERROR(INDEX('2. GRI Pricing Inputs'!$C$60:$AI$61,MATCH('3. GRI Pricing'!$Q$16,'2. GRI Pricing Inputs'!$C$60:$C$61,0),MATCH('1. Accomodation'!T253,'2. GRI Pricing Inputs'!$C$60:$AI$60,0)),0)</f>
        <v>0</v>
      </c>
      <c r="R249" s="273">
        <f>IFERROR(INDEX('2. GRI Pricing Inputs'!$C$67:$AI$68,MATCH('3. GRI Pricing'!$R$16,'2. GRI Pricing Inputs'!$C$67:$C$68,0),MATCH('1. Accomodation'!U253,'2. GRI Pricing Inputs'!$C$67:$AI$67,0)),0)</f>
        <v>0</v>
      </c>
      <c r="S249" s="273">
        <f>IF(D249=0,0,'2. GRI Pricing Inputs'!$AI$75)</f>
        <v>70</v>
      </c>
      <c r="T249" s="273">
        <f>IFERROR(INDEX('2. GRI Pricing Inputs'!$C$82:$AI$83,MATCH('3. GRI Pricing'!$T$16,'2. GRI Pricing Inputs'!$C$82:$C$83,0),MATCH('1. Accomodation'!V253,'2. GRI Pricing Inputs'!$C$82:$AI$82,0)),0)</f>
        <v>0</v>
      </c>
      <c r="U249" s="273">
        <f>IFERROR(INDEX('2. GRI Pricing Inputs'!$C$89:$AI$90,MATCH('3. GRI Pricing'!$U$16,'2. GRI Pricing Inputs'!$C$89:$C$90,0),MATCH('1. Accomodation'!W253,'2. GRI Pricing Inputs'!$C$89:$AI$89,0)),0)</f>
        <v>0</v>
      </c>
      <c r="V249" s="273">
        <f>IFERROR(INDEX('2. GRI Pricing Inputs'!$C$97:$AI$98,MATCH('3. GRI Pricing'!$V$16,'2. GRI Pricing Inputs'!$C$97:$C$98,0),MATCH('1. Accomodation'!X253,'2. GRI Pricing Inputs'!$C$97:$AI$97,0)),0)</f>
        <v>0</v>
      </c>
      <c r="W249" s="273">
        <f>IFERROR(INDEX('2. GRI Pricing Inputs'!$C$104:$AI$105,MATCH('3. GRI Pricing'!$W$16,'2. GRI Pricing Inputs'!$C$104:$C$105,0),MATCH('1. Accomodation'!Y253,'2. GRI Pricing Inputs'!$C$104:$AI$104,0)),0)</f>
        <v>0</v>
      </c>
      <c r="X249" s="274">
        <v>0</v>
      </c>
      <c r="Y249" s="275">
        <f t="shared" si="10"/>
        <v>1315</v>
      </c>
      <c r="Z249" s="276"/>
      <c r="AA249" s="276"/>
      <c r="AB249" s="276"/>
      <c r="AC249" s="272">
        <f>Y249*(1+'2. GRI Pricing Inputs'!$D$114)^(($AC$16-$AB$15)/365)</f>
        <v>1319.3876664263898</v>
      </c>
      <c r="AD249" s="273">
        <f>AC249*(1+'2. GRI Pricing Inputs'!$D$114)^((AD$16-AC$16)/365)</f>
        <v>1323.6477339684818</v>
      </c>
      <c r="AE249" s="273">
        <f>AD249*(1+'2. GRI Pricing Inputs'!$D$114)^((AE$16-AD$16)/365)</f>
        <v>1328.0642546701552</v>
      </c>
      <c r="AF249" s="273">
        <f>AE249*(1+'2. GRI Pricing Inputs'!$D$114)^((AF$16-AE$16)/365)</f>
        <v>1332.4955116605008</v>
      </c>
      <c r="AG249" s="273">
        <f>AF249*(1+'2. GRI Pricing Inputs'!$D$114)^((AG$16-AF$16)/365)</f>
        <v>1336.6542655218448</v>
      </c>
      <c r="AH249" s="273">
        <f>AG249*(1+'2. GRI Pricing Inputs'!$D$114)^((AH$16-AG$16)/365)</f>
        <v>1341.1141841868796</v>
      </c>
      <c r="AI249" s="273">
        <f>AH249*(1+'2. GRI Pricing Inputs'!$D$114)^((AI$16-AH$16)/365)</f>
        <v>1345.4444027812131</v>
      </c>
      <c r="AJ249" s="273">
        <f>AI249*(1+'2. GRI Pricing Inputs'!$D$114)^((AJ$16-AI$16)/365)</f>
        <v>1349.9336508684048</v>
      </c>
      <c r="AK249" s="273">
        <f>AJ249*(1+'2. GRI Pricing Inputs'!$D$114)^((AK$16-AJ$16)/365)</f>
        <v>1354.2923459482358</v>
      </c>
      <c r="AL249" s="273">
        <f>AK249*(1+'2. GRI Pricing Inputs'!$D$114)^((AL$16-AK$16)/365)</f>
        <v>1358.8111163344213</v>
      </c>
      <c r="AM249" s="273">
        <f>AL249*(1+'2. GRI Pricing Inputs'!$D$114)^((AM$16-AL$16)/365)</f>
        <v>1363.3449641784864</v>
      </c>
      <c r="AN249" s="273">
        <f>AM249*(1+'2. GRI Pricing Inputs'!$D$114)^((AN$16-AM$16)/365)</f>
        <v>1367.7469619979011</v>
      </c>
      <c r="AO249" s="273">
        <f>AN249*(1+'2. GRI Pricing Inputs'!$D$114)^((AO$16-AN$16)/365)</f>
        <v>1372.3106254389313</v>
      </c>
    </row>
    <row r="250" spans="3:41" ht="12" x14ac:dyDescent="0.2">
      <c r="C250" s="76" t="str">
        <f>'1. Accomodation'!N254</f>
        <v>411W</v>
      </c>
      <c r="D250" s="69" t="str">
        <f>'1. Accomodation'!P254</f>
        <v>2 Bed</v>
      </c>
      <c r="E250" s="69">
        <f>'1. Accomodation'!Q254</f>
        <v>2</v>
      </c>
      <c r="F250" s="77">
        <f>'1. Accomodation'!O254</f>
        <v>667</v>
      </c>
      <c r="G250" s="69">
        <f>'1. Accomodation'!R254</f>
        <v>4</v>
      </c>
      <c r="H250" s="69" t="str">
        <f>'1. Accomodation'!S254</f>
        <v>Courtyard</v>
      </c>
      <c r="I250" s="62"/>
      <c r="K250" s="272">
        <f>IFERROR(INDEX('2. GRI Pricing Inputs'!$C$15:$AI$16,MATCH($K$16,'2. GRI Pricing Inputs'!$C$15:$C$16,0),MATCH(D250,'2. GRI Pricing Inputs'!$C$15:$AI$15,0)),0)</f>
        <v>1110</v>
      </c>
      <c r="L250" s="273">
        <f>IFERROR(INDEX('2. GRI Pricing Inputs'!$C$22:$AI$23,MATCH($L$16,'2. GRI Pricing Inputs'!$C$22:$C$23,0),MATCH(E250,'2. GRI Pricing Inputs'!$C$22:$AI$22,0)),0)</f>
        <v>0</v>
      </c>
      <c r="M250" s="328">
        <f>IF(AND('3. GRI Pricing'!$F250&gt;='2. GRI Pricing Inputs'!$D$33,'3. GRI Pricing'!$F250&lt;='2. GRI Pricing Inputs'!$E$33),'2. GRI Pricing Inputs'!$D$32,IF(AND('3. GRI Pricing'!$F250&gt;='2. GRI Pricing Inputs'!$F$33,'3. GRI Pricing'!$F250&lt;='2. GRI Pricing Inputs'!$G$33),'2. GRI Pricing Inputs'!$F$32,IF(AND('3. GRI Pricing'!$F250&gt;='2. GRI Pricing Inputs'!$H$33,'3. GRI Pricing'!$F250&lt;='2. GRI Pricing Inputs'!$I$33),'2. GRI Pricing Inputs'!$H$32,IF(AND('3. GRI Pricing'!$F250&gt;='2. GRI Pricing Inputs'!$J$33,'3. GRI Pricing'!$F250&lt;='2. GRI Pricing Inputs'!$K$33),'2. GRI Pricing Inputs'!$J$32,IF(AND('3. GRI Pricing'!$F250&gt;='2. GRI Pricing Inputs'!$L$33,'3. GRI Pricing'!$F250&lt;='2. GRI Pricing Inputs'!$M$33),'2. GRI Pricing Inputs'!$L$32,IF(AND('3. GRI Pricing'!$F250&gt;='2. GRI Pricing Inputs'!$N$33,'3. GRI Pricing'!$F250&lt;='2. GRI Pricing Inputs'!$O$33),'2. GRI Pricing Inputs'!$N$32,IF(AND('3. GRI Pricing'!$F250&gt;='2. GRI Pricing Inputs'!$P$33,'3. GRI Pricing'!$F250&lt;='2. GRI Pricing Inputs'!$Q$33),'2. GRI Pricing Inputs'!$P$32,IF(AND('3. GRI Pricing'!$F250&gt;='2. GRI Pricing Inputs'!$R$33,'3. GRI Pricing'!$F250&lt;='2. GRI Pricing Inputs'!$S$33),'2. GRI Pricing Inputs'!$R$32,IF(AND('3. GRI Pricing'!$F250&gt;='2. GRI Pricing Inputs'!$T$33,'3. GRI Pricing'!$F250&lt;='2. GRI Pricing Inputs'!$U$33),'2. GRI Pricing Inputs'!$T$32,IF(AND('3. GRI Pricing'!$F250&gt;='2. GRI Pricing Inputs'!$V$33,'3. GRI Pricing'!$F250&lt;='2. GRI Pricing Inputs'!$W$33),'2. GRI Pricing Inputs'!$V$32,IF(AND('3. GRI Pricing'!$F250&gt;='2. GRI Pricing Inputs'!$X$33,'3. GRI Pricing'!$F250&lt;='2. GRI Pricing Inputs'!$Y$33),'2. GRI Pricing Inputs'!$X$32,IF(AND('3. GRI Pricing'!$F250&gt;='2. GRI Pricing Inputs'!$Z$33,'3. GRI Pricing'!$F250&lt;='2. GRI Pricing Inputs'!$AA$33),'2. GRI Pricing Inputs'!$Z$32,IF(AND('3. GRI Pricing'!$F250&gt;='2. GRI Pricing Inputs'!$AB$33,'3. GRI Pricing'!$F250&lt;='2. GRI Pricing Inputs'!$AC$33),'2. GRI Pricing Inputs'!$AB$32,IF(AND('3. GRI Pricing'!$F250&gt;='2. GRI Pricing Inputs'!$AD$33,'3. GRI Pricing'!$F250&lt;='2. GRI Pricing Inputs'!$AE$33),'2. GRI Pricing Inputs'!$AD$32,IF(AND('3. GRI Pricing'!$F250&gt;='2. GRI Pricing Inputs'!$AF$33,'3. GRI Pricing'!$F250&lt;='2. GRI Pricing Inputs'!$AG$33),'2. GRI Pricing Inputs'!$AF$32,IF(AND('3. GRI Pricing'!$F250&gt;='2. GRI Pricing Inputs'!$AH$33,'3. GRI Pricing'!$F250&lt;='2. GRI Pricing Inputs'!$AI$33),'2. GRI Pricing Inputs'!$AH$32,0))))))))))))))))</f>
        <v>9</v>
      </c>
      <c r="N250" s="273" cm="1">
        <f t="array" ref="N250">IFERROR(INDEX('2. GRI Pricing Inputs'!$C$32:$AI$39,MATCH('3. GRI Pricing'!D250,'2. GRI Pricing Inputs'!$C$32:$C$39,0),(MATCH('3. GRI Pricing'!M250,'2. GRI Pricing Inputs'!$D$32:$AI$32,0)+1)),0)</f>
        <v>30</v>
      </c>
      <c r="O250" s="273">
        <f>IFERROR(INDEX('2. GRI Pricing Inputs'!$C$45:$AI$46,MATCH($O$16,'2. GRI Pricing Inputs'!$C$45:$C$46,0),MATCH(G250,'2. GRI Pricing Inputs'!$C$45:$AI$45,0)),0)</f>
        <v>70</v>
      </c>
      <c r="P250" s="273">
        <f>IFERROR(INDEX('2. GRI Pricing Inputs'!$C$53:$AI$54,MATCH('3. GRI Pricing'!$P$16,'2. GRI Pricing Inputs'!$C$53:$C$54,0),MATCH('3. GRI Pricing'!H250,'2. GRI Pricing Inputs'!$C$53:$AI$53,0)),0)</f>
        <v>25</v>
      </c>
      <c r="Q250" s="273">
        <f>IFERROR(INDEX('2. GRI Pricing Inputs'!$C$60:$AI$61,MATCH('3. GRI Pricing'!$Q$16,'2. GRI Pricing Inputs'!$C$60:$C$61,0),MATCH('1. Accomodation'!T254,'2. GRI Pricing Inputs'!$C$60:$AI$60,0)),0)</f>
        <v>0</v>
      </c>
      <c r="R250" s="273">
        <f>IFERROR(INDEX('2. GRI Pricing Inputs'!$C$67:$AI$68,MATCH('3. GRI Pricing'!$R$16,'2. GRI Pricing Inputs'!$C$67:$C$68,0),MATCH('1. Accomodation'!U254,'2. GRI Pricing Inputs'!$C$67:$AI$67,0)),0)</f>
        <v>0</v>
      </c>
      <c r="S250" s="273">
        <f>IF(D250=0,0,'2. GRI Pricing Inputs'!$AI$75)</f>
        <v>70</v>
      </c>
      <c r="T250" s="273">
        <f>IFERROR(INDEX('2. GRI Pricing Inputs'!$C$82:$AI$83,MATCH('3. GRI Pricing'!$T$16,'2. GRI Pricing Inputs'!$C$82:$C$83,0),MATCH('1. Accomodation'!V254,'2. GRI Pricing Inputs'!$C$82:$AI$82,0)),0)</f>
        <v>0</v>
      </c>
      <c r="U250" s="273">
        <f>IFERROR(INDEX('2. GRI Pricing Inputs'!$C$89:$AI$90,MATCH('3. GRI Pricing'!$U$16,'2. GRI Pricing Inputs'!$C$89:$C$90,0),MATCH('1. Accomodation'!W254,'2. GRI Pricing Inputs'!$C$89:$AI$89,0)),0)</f>
        <v>0</v>
      </c>
      <c r="V250" s="273">
        <f>IFERROR(INDEX('2. GRI Pricing Inputs'!$C$97:$AI$98,MATCH('3. GRI Pricing'!$V$16,'2. GRI Pricing Inputs'!$C$97:$C$98,0),MATCH('1. Accomodation'!X254,'2. GRI Pricing Inputs'!$C$97:$AI$97,0)),0)</f>
        <v>0</v>
      </c>
      <c r="W250" s="273">
        <f>IFERROR(INDEX('2. GRI Pricing Inputs'!$C$104:$AI$105,MATCH('3. GRI Pricing'!$W$16,'2. GRI Pricing Inputs'!$C$104:$C$105,0),MATCH('1. Accomodation'!Y254,'2. GRI Pricing Inputs'!$C$104:$AI$104,0)),0)</f>
        <v>0</v>
      </c>
      <c r="X250" s="274">
        <v>0</v>
      </c>
      <c r="Y250" s="275">
        <f t="shared" si="10"/>
        <v>1305</v>
      </c>
      <c r="Z250" s="276"/>
      <c r="AA250" s="276"/>
      <c r="AB250" s="276"/>
      <c r="AC250" s="272">
        <f>Y250*(1+'2. GRI Pricing Inputs'!$D$114)^(($AC$16-$AB$15)/365)</f>
        <v>1309.3543001417784</v>
      </c>
      <c r="AD250" s="273">
        <f>AC250*(1+'2. GRI Pricing Inputs'!$D$114)^((AD$16-AC$16)/365)</f>
        <v>1313.58197173298</v>
      </c>
      <c r="AE250" s="273">
        <f>AD250*(1+'2. GRI Pricing Inputs'!$D$114)^((AE$16-AD$16)/365)</f>
        <v>1317.9649067258954</v>
      </c>
      <c r="AF250" s="273">
        <f>AE250*(1+'2. GRI Pricing Inputs'!$D$114)^((AF$16-AE$16)/365)</f>
        <v>1322.3624659444515</v>
      </c>
      <c r="AG250" s="273">
        <f>AF250*(1+'2. GRI Pricing Inputs'!$D$114)^((AG$16-AF$16)/365)</f>
        <v>1326.4895943011463</v>
      </c>
      <c r="AH250" s="273">
        <f>AG250*(1+'2. GRI Pricing Inputs'!$D$114)^((AH$16-AG$16)/365)</f>
        <v>1330.9155972348881</v>
      </c>
      <c r="AI250" s="273">
        <f>AH250*(1+'2. GRI Pricing Inputs'!$D$114)^((AI$16-AH$16)/365)</f>
        <v>1335.2128864102533</v>
      </c>
      <c r="AJ250" s="273">
        <f>AI250*(1+'2. GRI Pricing Inputs'!$D$114)^((AJ$16-AI$16)/365)</f>
        <v>1339.6679957287213</v>
      </c>
      <c r="AK250" s="273">
        <f>AJ250*(1+'2. GRI Pricing Inputs'!$D$114)^((AK$16-AJ$16)/365)</f>
        <v>1343.9935448383633</v>
      </c>
      <c r="AL250" s="273">
        <f>AK250*(1+'2. GRI Pricing Inputs'!$D$114)^((AL$16-AK$16)/365)</f>
        <v>1348.4779519516499</v>
      </c>
      <c r="AM250" s="273">
        <f>AL250*(1+'2. GRI Pricing Inputs'!$D$114)^((AM$16-AL$16)/365)</f>
        <v>1352.977321865342</v>
      </c>
      <c r="AN250" s="273">
        <f>AM250*(1+'2. GRI Pricing Inputs'!$D$114)^((AN$16-AM$16)/365)</f>
        <v>1357.3458444161679</v>
      </c>
      <c r="AO250" s="273">
        <f>AN250*(1+'2. GRI Pricing Inputs'!$D$114)^((AO$16-AN$16)/365)</f>
        <v>1361.8748031922473</v>
      </c>
    </row>
    <row r="251" spans="3:41" ht="12" x14ac:dyDescent="0.2">
      <c r="C251" s="76" t="str">
        <f>'1. Accomodation'!N255</f>
        <v>412W</v>
      </c>
      <c r="D251" s="69" t="str">
        <f>'1. Accomodation'!P255</f>
        <v>1 Bed</v>
      </c>
      <c r="E251" s="69">
        <f>'1. Accomodation'!Q255</f>
        <v>1</v>
      </c>
      <c r="F251" s="77">
        <f>'1. Accomodation'!O255</f>
        <v>527</v>
      </c>
      <c r="G251" s="69">
        <f>'1. Accomodation'!R255</f>
        <v>4</v>
      </c>
      <c r="H251" s="69" t="str">
        <f>'1. Accomodation'!S255</f>
        <v>Railway Bridge - Mid</v>
      </c>
      <c r="I251" s="62"/>
      <c r="K251" s="272">
        <f>IFERROR(INDEX('2. GRI Pricing Inputs'!$C$15:$AI$16,MATCH($K$16,'2. GRI Pricing Inputs'!$C$15:$C$16,0),MATCH(D251,'2. GRI Pricing Inputs'!$C$15:$AI$15,0)),0)</f>
        <v>845</v>
      </c>
      <c r="L251" s="273">
        <f>IFERROR(INDEX('2. GRI Pricing Inputs'!$C$22:$AI$23,MATCH($L$16,'2. GRI Pricing Inputs'!$C$22:$C$23,0),MATCH(E251,'2. GRI Pricing Inputs'!$C$22:$AI$22,0)),0)</f>
        <v>0</v>
      </c>
      <c r="M251" s="328">
        <f>IF(AND('3. GRI Pricing'!$F251&gt;='2. GRI Pricing Inputs'!$D$33,'3. GRI Pricing'!$F251&lt;='2. GRI Pricing Inputs'!$E$33),'2. GRI Pricing Inputs'!$D$32,IF(AND('3. GRI Pricing'!$F251&gt;='2. GRI Pricing Inputs'!$F$33,'3. GRI Pricing'!$F251&lt;='2. GRI Pricing Inputs'!$G$33),'2. GRI Pricing Inputs'!$F$32,IF(AND('3. GRI Pricing'!$F251&gt;='2. GRI Pricing Inputs'!$H$33,'3. GRI Pricing'!$F251&lt;='2. GRI Pricing Inputs'!$I$33),'2. GRI Pricing Inputs'!$H$32,IF(AND('3. GRI Pricing'!$F251&gt;='2. GRI Pricing Inputs'!$J$33,'3. GRI Pricing'!$F251&lt;='2. GRI Pricing Inputs'!$K$33),'2. GRI Pricing Inputs'!$J$32,IF(AND('3. GRI Pricing'!$F251&gt;='2. GRI Pricing Inputs'!$L$33,'3. GRI Pricing'!$F251&lt;='2. GRI Pricing Inputs'!$M$33),'2. GRI Pricing Inputs'!$L$32,IF(AND('3. GRI Pricing'!$F251&gt;='2. GRI Pricing Inputs'!$N$33,'3. GRI Pricing'!$F251&lt;='2. GRI Pricing Inputs'!$O$33),'2. GRI Pricing Inputs'!$N$32,IF(AND('3. GRI Pricing'!$F251&gt;='2. GRI Pricing Inputs'!$P$33,'3. GRI Pricing'!$F251&lt;='2. GRI Pricing Inputs'!$Q$33),'2. GRI Pricing Inputs'!$P$32,IF(AND('3. GRI Pricing'!$F251&gt;='2. GRI Pricing Inputs'!$R$33,'3. GRI Pricing'!$F251&lt;='2. GRI Pricing Inputs'!$S$33),'2. GRI Pricing Inputs'!$R$32,IF(AND('3. GRI Pricing'!$F251&gt;='2. GRI Pricing Inputs'!$T$33,'3. GRI Pricing'!$F251&lt;='2. GRI Pricing Inputs'!$U$33),'2. GRI Pricing Inputs'!$T$32,IF(AND('3. GRI Pricing'!$F251&gt;='2. GRI Pricing Inputs'!$V$33,'3. GRI Pricing'!$F251&lt;='2. GRI Pricing Inputs'!$W$33),'2. GRI Pricing Inputs'!$V$32,IF(AND('3. GRI Pricing'!$F251&gt;='2. GRI Pricing Inputs'!$X$33,'3. GRI Pricing'!$F251&lt;='2. GRI Pricing Inputs'!$Y$33),'2. GRI Pricing Inputs'!$X$32,IF(AND('3. GRI Pricing'!$F251&gt;='2. GRI Pricing Inputs'!$Z$33,'3. GRI Pricing'!$F251&lt;='2. GRI Pricing Inputs'!$AA$33),'2. GRI Pricing Inputs'!$Z$32,IF(AND('3. GRI Pricing'!$F251&gt;='2. GRI Pricing Inputs'!$AB$33,'3. GRI Pricing'!$F251&lt;='2. GRI Pricing Inputs'!$AC$33),'2. GRI Pricing Inputs'!$AB$32,IF(AND('3. GRI Pricing'!$F251&gt;='2. GRI Pricing Inputs'!$AD$33,'3. GRI Pricing'!$F251&lt;='2. GRI Pricing Inputs'!$AE$33),'2. GRI Pricing Inputs'!$AD$32,IF(AND('3. GRI Pricing'!$F251&gt;='2. GRI Pricing Inputs'!$AF$33,'3. GRI Pricing'!$F251&lt;='2. GRI Pricing Inputs'!$AG$33),'2. GRI Pricing Inputs'!$AF$32,IF(AND('3. GRI Pricing'!$F251&gt;='2. GRI Pricing Inputs'!$AH$33,'3. GRI Pricing'!$F251&lt;='2. GRI Pricing Inputs'!$AI$33),'2. GRI Pricing Inputs'!$AH$32,0))))))))))))))))</f>
        <v>3</v>
      </c>
      <c r="N251" s="273" cm="1">
        <f t="array" ref="N251">IFERROR(INDEX('2. GRI Pricing Inputs'!$C$32:$AI$39,MATCH('3. GRI Pricing'!D251,'2. GRI Pricing Inputs'!$C$32:$C$39,0),(MATCH('3. GRI Pricing'!M251,'2. GRI Pricing Inputs'!$D$32:$AI$32,0)+1)),0)</f>
        <v>20</v>
      </c>
      <c r="O251" s="273">
        <f>IFERROR(INDEX('2. GRI Pricing Inputs'!$C$45:$AI$46,MATCH($O$16,'2. GRI Pricing Inputs'!$C$45:$C$46,0),MATCH(G251,'2. GRI Pricing Inputs'!$C$45:$AI$45,0)),0)</f>
        <v>70</v>
      </c>
      <c r="P251" s="273">
        <f>IFERROR(INDEX('2. GRI Pricing Inputs'!$C$53:$AI$54,MATCH('3. GRI Pricing'!$P$16,'2. GRI Pricing Inputs'!$C$53:$C$54,0),MATCH('3. GRI Pricing'!H251,'2. GRI Pricing Inputs'!$C$53:$AI$53,0)),0)</f>
        <v>20</v>
      </c>
      <c r="Q251" s="273">
        <f>IFERROR(INDEX('2. GRI Pricing Inputs'!$C$60:$AI$61,MATCH('3. GRI Pricing'!$Q$16,'2. GRI Pricing Inputs'!$C$60:$C$61,0),MATCH('1. Accomodation'!T255,'2. GRI Pricing Inputs'!$C$60:$AI$60,0)),0)</f>
        <v>0</v>
      </c>
      <c r="R251" s="273">
        <f>IFERROR(INDEX('2. GRI Pricing Inputs'!$C$67:$AI$68,MATCH('3. GRI Pricing'!$R$16,'2. GRI Pricing Inputs'!$C$67:$C$68,0),MATCH('1. Accomodation'!U255,'2. GRI Pricing Inputs'!$C$67:$AI$67,0)),0)</f>
        <v>0</v>
      </c>
      <c r="S251" s="273">
        <f>IF(D251=0,0,'2. GRI Pricing Inputs'!$AI$75)</f>
        <v>70</v>
      </c>
      <c r="T251" s="273">
        <f>IFERROR(INDEX('2. GRI Pricing Inputs'!$C$82:$AI$83,MATCH('3. GRI Pricing'!$T$16,'2. GRI Pricing Inputs'!$C$82:$C$83,0),MATCH('1. Accomodation'!V255,'2. GRI Pricing Inputs'!$C$82:$AI$82,0)),0)</f>
        <v>0</v>
      </c>
      <c r="U251" s="273">
        <f>IFERROR(INDEX('2. GRI Pricing Inputs'!$C$89:$AI$90,MATCH('3. GRI Pricing'!$U$16,'2. GRI Pricing Inputs'!$C$89:$C$90,0),MATCH('1. Accomodation'!W255,'2. GRI Pricing Inputs'!$C$89:$AI$89,0)),0)</f>
        <v>0</v>
      </c>
      <c r="V251" s="273">
        <f>IFERROR(INDEX('2. GRI Pricing Inputs'!$C$97:$AI$98,MATCH('3. GRI Pricing'!$V$16,'2. GRI Pricing Inputs'!$C$97:$C$98,0),MATCH('1. Accomodation'!X255,'2. GRI Pricing Inputs'!$C$97:$AI$97,0)),0)</f>
        <v>0</v>
      </c>
      <c r="W251" s="273">
        <f>IFERROR(INDEX('2. GRI Pricing Inputs'!$C$104:$AI$105,MATCH('3. GRI Pricing'!$W$16,'2. GRI Pricing Inputs'!$C$104:$C$105,0),MATCH('1. Accomodation'!Y255,'2. GRI Pricing Inputs'!$C$104:$AI$104,0)),0)</f>
        <v>0</v>
      </c>
      <c r="X251" s="274">
        <v>0</v>
      </c>
      <c r="Y251" s="275">
        <f t="shared" si="10"/>
        <v>1025</v>
      </c>
      <c r="Z251" s="276"/>
      <c r="AA251" s="276"/>
      <c r="AB251" s="276"/>
      <c r="AC251" s="272">
        <f>Y251*(1+'2. GRI Pricing Inputs'!$D$114)^(($AC$16-$AB$15)/365)</f>
        <v>1028.4200441726612</v>
      </c>
      <c r="AD251" s="273">
        <f>AC251*(1+'2. GRI Pricing Inputs'!$D$114)^((AD$16-AC$16)/365)</f>
        <v>1031.7406291389307</v>
      </c>
      <c r="AE251" s="273">
        <f>AD251*(1+'2. GRI Pricing Inputs'!$D$114)^((AE$16-AD$16)/365)</f>
        <v>1035.1831642866227</v>
      </c>
      <c r="AF251" s="273">
        <f>AE251*(1+'2. GRI Pricing Inputs'!$D$114)^((AF$16-AE$16)/365)</f>
        <v>1038.6371858950672</v>
      </c>
      <c r="AG251" s="273">
        <f>AF251*(1+'2. GRI Pricing Inputs'!$D$114)^((AG$16-AF$16)/365)</f>
        <v>1041.8788001215901</v>
      </c>
      <c r="AH251" s="273">
        <f>AG251*(1+'2. GRI Pricing Inputs'!$D$114)^((AH$16-AG$16)/365)</f>
        <v>1045.3551625791267</v>
      </c>
      <c r="AI251" s="273">
        <f>AH251*(1+'2. GRI Pricing Inputs'!$D$114)^((AI$16-AH$16)/365)</f>
        <v>1048.7304280233791</v>
      </c>
      <c r="AJ251" s="273">
        <f>AI251*(1+'2. GRI Pricing Inputs'!$D$114)^((AJ$16-AI$16)/365)</f>
        <v>1052.2296518175781</v>
      </c>
      <c r="AK251" s="273">
        <f>AJ251*(1+'2. GRI Pricing Inputs'!$D$114)^((AK$16-AJ$16)/365)</f>
        <v>1055.6271137619331</v>
      </c>
      <c r="AL251" s="273">
        <f>AK251*(1+'2. GRI Pricing Inputs'!$D$114)^((AL$16-AK$16)/365)</f>
        <v>1059.1493492340546</v>
      </c>
      <c r="AM251" s="273">
        <f>AL251*(1+'2. GRI Pricing Inputs'!$D$114)^((AM$16-AL$16)/365)</f>
        <v>1062.6833370972993</v>
      </c>
      <c r="AN251" s="273">
        <f>AM251*(1+'2. GRI Pricing Inputs'!$D$114)^((AN$16-AM$16)/365)</f>
        <v>1066.1145521276414</v>
      </c>
      <c r="AO251" s="273">
        <f>AN251*(1+'2. GRI Pricing Inputs'!$D$114)^((AO$16-AN$16)/365)</f>
        <v>1069.6717802850985</v>
      </c>
    </row>
    <row r="252" spans="3:41" ht="12" x14ac:dyDescent="0.2">
      <c r="C252" s="76" t="str">
        <f>'1. Accomodation'!N256</f>
        <v>413W</v>
      </c>
      <c r="D252" s="69" t="str">
        <f>'1. Accomodation'!P256</f>
        <v>3 Bed</v>
      </c>
      <c r="E252" s="69">
        <f>'1. Accomodation'!Q256</f>
        <v>2</v>
      </c>
      <c r="F252" s="77">
        <f>'1. Accomodation'!O256</f>
        <v>840</v>
      </c>
      <c r="G252" s="69">
        <f>'1. Accomodation'!R256</f>
        <v>4</v>
      </c>
      <c r="H252" s="69" t="str">
        <f>'1. Accomodation'!S256</f>
        <v>Railway Bridge - Mid</v>
      </c>
      <c r="I252" s="62"/>
      <c r="K252" s="272">
        <f>IFERROR(INDEX('2. GRI Pricing Inputs'!$C$15:$AI$16,MATCH($K$16,'2. GRI Pricing Inputs'!$C$15:$C$16,0),MATCH(D252,'2. GRI Pricing Inputs'!$C$15:$AI$15,0)),0)</f>
        <v>1485</v>
      </c>
      <c r="L252" s="273">
        <f>IFERROR(INDEX('2. GRI Pricing Inputs'!$C$22:$AI$23,MATCH($L$16,'2. GRI Pricing Inputs'!$C$22:$C$23,0),MATCH(E252,'2. GRI Pricing Inputs'!$C$22:$AI$22,0)),0)</f>
        <v>0</v>
      </c>
      <c r="M252" s="328">
        <f>IF(AND('3. GRI Pricing'!$F252&gt;='2. GRI Pricing Inputs'!$D$33,'3. GRI Pricing'!$F252&lt;='2. GRI Pricing Inputs'!$E$33),'2. GRI Pricing Inputs'!$D$32,IF(AND('3. GRI Pricing'!$F252&gt;='2. GRI Pricing Inputs'!$F$33,'3. GRI Pricing'!$F252&lt;='2. GRI Pricing Inputs'!$G$33),'2. GRI Pricing Inputs'!$F$32,IF(AND('3. GRI Pricing'!$F252&gt;='2. GRI Pricing Inputs'!$H$33,'3. GRI Pricing'!$F252&lt;='2. GRI Pricing Inputs'!$I$33),'2. GRI Pricing Inputs'!$H$32,IF(AND('3. GRI Pricing'!$F252&gt;='2. GRI Pricing Inputs'!$J$33,'3. GRI Pricing'!$F252&lt;='2. GRI Pricing Inputs'!$K$33),'2. GRI Pricing Inputs'!$J$32,IF(AND('3. GRI Pricing'!$F252&gt;='2. GRI Pricing Inputs'!$L$33,'3. GRI Pricing'!$F252&lt;='2. GRI Pricing Inputs'!$M$33),'2. GRI Pricing Inputs'!$L$32,IF(AND('3. GRI Pricing'!$F252&gt;='2. GRI Pricing Inputs'!$N$33,'3. GRI Pricing'!$F252&lt;='2. GRI Pricing Inputs'!$O$33),'2. GRI Pricing Inputs'!$N$32,IF(AND('3. GRI Pricing'!$F252&gt;='2. GRI Pricing Inputs'!$P$33,'3. GRI Pricing'!$F252&lt;='2. GRI Pricing Inputs'!$Q$33),'2. GRI Pricing Inputs'!$P$32,IF(AND('3. GRI Pricing'!$F252&gt;='2. GRI Pricing Inputs'!$R$33,'3. GRI Pricing'!$F252&lt;='2. GRI Pricing Inputs'!$S$33),'2. GRI Pricing Inputs'!$R$32,IF(AND('3. GRI Pricing'!$F252&gt;='2. GRI Pricing Inputs'!$T$33,'3. GRI Pricing'!$F252&lt;='2. GRI Pricing Inputs'!$U$33),'2. GRI Pricing Inputs'!$T$32,IF(AND('3. GRI Pricing'!$F252&gt;='2. GRI Pricing Inputs'!$V$33,'3. GRI Pricing'!$F252&lt;='2. GRI Pricing Inputs'!$W$33),'2. GRI Pricing Inputs'!$V$32,IF(AND('3. GRI Pricing'!$F252&gt;='2. GRI Pricing Inputs'!$X$33,'3. GRI Pricing'!$F252&lt;='2. GRI Pricing Inputs'!$Y$33),'2. GRI Pricing Inputs'!$X$32,IF(AND('3. GRI Pricing'!$F252&gt;='2. GRI Pricing Inputs'!$Z$33,'3. GRI Pricing'!$F252&lt;='2. GRI Pricing Inputs'!$AA$33),'2. GRI Pricing Inputs'!$Z$32,IF(AND('3. GRI Pricing'!$F252&gt;='2. GRI Pricing Inputs'!$AB$33,'3. GRI Pricing'!$F252&lt;='2. GRI Pricing Inputs'!$AC$33),'2. GRI Pricing Inputs'!$AB$32,IF(AND('3. GRI Pricing'!$F252&gt;='2. GRI Pricing Inputs'!$AD$33,'3. GRI Pricing'!$F252&lt;='2. GRI Pricing Inputs'!$AE$33),'2. GRI Pricing Inputs'!$AD$32,IF(AND('3. GRI Pricing'!$F252&gt;='2. GRI Pricing Inputs'!$AF$33,'3. GRI Pricing'!$F252&lt;='2. GRI Pricing Inputs'!$AG$33),'2. GRI Pricing Inputs'!$AF$32,IF(AND('3. GRI Pricing'!$F252&gt;='2. GRI Pricing Inputs'!$AH$33,'3. GRI Pricing'!$F252&lt;='2. GRI Pricing Inputs'!$AI$33),'2. GRI Pricing Inputs'!$AH$32,0))))))))))))))))</f>
        <v>15</v>
      </c>
      <c r="N252" s="273" cm="1">
        <f t="array" ref="N252">IFERROR(INDEX('2. GRI Pricing Inputs'!$C$32:$AI$39,MATCH('3. GRI Pricing'!D252,'2. GRI Pricing Inputs'!$C$32:$C$39,0),(MATCH('3. GRI Pricing'!M252,'2. GRI Pricing Inputs'!$D$32:$AI$32,0)+1)),0)</f>
        <v>70</v>
      </c>
      <c r="O252" s="273">
        <f>IFERROR(INDEX('2. GRI Pricing Inputs'!$C$45:$AI$46,MATCH($O$16,'2. GRI Pricing Inputs'!$C$45:$C$46,0),MATCH(G252,'2. GRI Pricing Inputs'!$C$45:$AI$45,0)),0)</f>
        <v>70</v>
      </c>
      <c r="P252" s="273">
        <f>IFERROR(INDEX('2. GRI Pricing Inputs'!$C$53:$AI$54,MATCH('3. GRI Pricing'!$P$16,'2. GRI Pricing Inputs'!$C$53:$C$54,0),MATCH('3. GRI Pricing'!H252,'2. GRI Pricing Inputs'!$C$53:$AI$53,0)),0)</f>
        <v>20</v>
      </c>
      <c r="Q252" s="273">
        <f>IFERROR(INDEX('2. GRI Pricing Inputs'!$C$60:$AI$61,MATCH('3. GRI Pricing'!$Q$16,'2. GRI Pricing Inputs'!$C$60:$C$61,0),MATCH('1. Accomodation'!T256,'2. GRI Pricing Inputs'!$C$60:$AI$60,0)),0)</f>
        <v>0</v>
      </c>
      <c r="R252" s="273">
        <f>IFERROR(INDEX('2. GRI Pricing Inputs'!$C$67:$AI$68,MATCH('3. GRI Pricing'!$R$16,'2. GRI Pricing Inputs'!$C$67:$C$68,0),MATCH('1. Accomodation'!U256,'2. GRI Pricing Inputs'!$C$67:$AI$67,0)),0)</f>
        <v>0</v>
      </c>
      <c r="S252" s="273">
        <f>IF(D252=0,0,'2. GRI Pricing Inputs'!$AI$75)</f>
        <v>70</v>
      </c>
      <c r="T252" s="273">
        <f>IFERROR(INDEX('2. GRI Pricing Inputs'!$C$82:$AI$83,MATCH('3. GRI Pricing'!$T$16,'2. GRI Pricing Inputs'!$C$82:$C$83,0),MATCH('1. Accomodation'!V256,'2. GRI Pricing Inputs'!$C$82:$AI$82,0)),0)</f>
        <v>0</v>
      </c>
      <c r="U252" s="273">
        <f>IFERROR(INDEX('2. GRI Pricing Inputs'!$C$89:$AI$90,MATCH('3. GRI Pricing'!$U$16,'2. GRI Pricing Inputs'!$C$89:$C$90,0),MATCH('1. Accomodation'!W256,'2. GRI Pricing Inputs'!$C$89:$AI$89,0)),0)</f>
        <v>0</v>
      </c>
      <c r="V252" s="273">
        <f>IFERROR(INDEX('2. GRI Pricing Inputs'!$C$97:$AI$98,MATCH('3. GRI Pricing'!$V$16,'2. GRI Pricing Inputs'!$C$97:$C$98,0),MATCH('1. Accomodation'!X256,'2. GRI Pricing Inputs'!$C$97:$AI$97,0)),0)</f>
        <v>0</v>
      </c>
      <c r="W252" s="273">
        <f>IFERROR(INDEX('2. GRI Pricing Inputs'!$C$104:$AI$105,MATCH('3. GRI Pricing'!$W$16,'2. GRI Pricing Inputs'!$C$104:$C$105,0),MATCH('1. Accomodation'!Y256,'2. GRI Pricing Inputs'!$C$104:$AI$104,0)),0)</f>
        <v>0</v>
      </c>
      <c r="X252" s="274">
        <v>0</v>
      </c>
      <c r="Y252" s="275">
        <f t="shared" si="10"/>
        <v>1715</v>
      </c>
      <c r="Z252" s="276"/>
      <c r="AA252" s="276"/>
      <c r="AB252" s="276"/>
      <c r="AC252" s="272">
        <f>Y252*(1+'2. GRI Pricing Inputs'!$D$114)^(($AC$16-$AB$15)/365)</f>
        <v>1720.7223178108429</v>
      </c>
      <c r="AD252" s="273">
        <f>AC252*(1+'2. GRI Pricing Inputs'!$D$114)^((AD$16-AC$16)/365)</f>
        <v>1726.2782233885523</v>
      </c>
      <c r="AE252" s="273">
        <f>AD252*(1+'2. GRI Pricing Inputs'!$D$114)^((AE$16-AD$16)/365)</f>
        <v>1732.0381724405445</v>
      </c>
      <c r="AF252" s="273">
        <f>AE252*(1+'2. GRI Pricing Inputs'!$D$114)^((AF$16-AE$16)/365)</f>
        <v>1737.8173403024782</v>
      </c>
      <c r="AG252" s="273">
        <f>AF252*(1+'2. GRI Pricing Inputs'!$D$114)^((AG$16-AF$16)/365)</f>
        <v>1743.2411143497823</v>
      </c>
      <c r="AH252" s="273">
        <f>AG252*(1+'2. GRI Pricing Inputs'!$D$114)^((AH$16-AG$16)/365)</f>
        <v>1749.0576622665387</v>
      </c>
      <c r="AI252" s="273">
        <f>AH252*(1+'2. GRI Pricing Inputs'!$D$114)^((AI$16-AH$16)/365)</f>
        <v>1754.7050576196048</v>
      </c>
      <c r="AJ252" s="273">
        <f>AI252*(1+'2. GRI Pricing Inputs'!$D$114)^((AJ$16-AI$16)/365)</f>
        <v>1760.5598564557522</v>
      </c>
      <c r="AK252" s="273">
        <f>AJ252*(1+'2. GRI Pricing Inputs'!$D$114)^((AK$16-AJ$16)/365)</f>
        <v>1766.2443903431363</v>
      </c>
      <c r="AL252" s="273">
        <f>AK252*(1+'2. GRI Pricing Inputs'!$D$114)^((AL$16-AK$16)/365)</f>
        <v>1772.1376916452716</v>
      </c>
      <c r="AM252" s="273">
        <f>AL252*(1+'2. GRI Pricing Inputs'!$D$114)^((AM$16-AL$16)/365)</f>
        <v>1778.0506567042617</v>
      </c>
      <c r="AN252" s="273">
        <f>AM252*(1+'2. GRI Pricing Inputs'!$D$114)^((AN$16-AM$16)/365)</f>
        <v>1783.7916652672243</v>
      </c>
      <c r="AO252" s="273">
        <f>AN252*(1+'2. GRI Pricing Inputs'!$D$114)^((AO$16-AN$16)/365)</f>
        <v>1789.7435153062866</v>
      </c>
    </row>
    <row r="253" spans="3:41" ht="12" x14ac:dyDescent="0.2">
      <c r="C253" s="76" t="str">
        <f>'1. Accomodation'!N257</f>
        <v>414W</v>
      </c>
      <c r="D253" s="69" t="str">
        <f>'1. Accomodation'!P257</f>
        <v>2 Bed</v>
      </c>
      <c r="E253" s="69">
        <f>'1. Accomodation'!Q257</f>
        <v>2</v>
      </c>
      <c r="F253" s="77">
        <f>'1. Accomodation'!O257</f>
        <v>624</v>
      </c>
      <c r="G253" s="69">
        <f>'1. Accomodation'!R257</f>
        <v>4</v>
      </c>
      <c r="H253" s="69" t="str">
        <f>'1. Accomodation'!S257</f>
        <v>Railway Bridge - Mid</v>
      </c>
      <c r="I253" s="62"/>
      <c r="K253" s="272">
        <f>IFERROR(INDEX('2. GRI Pricing Inputs'!$C$15:$AI$16,MATCH($K$16,'2. GRI Pricing Inputs'!$C$15:$C$16,0),MATCH(D253,'2. GRI Pricing Inputs'!$C$15:$AI$15,0)),0)</f>
        <v>1110</v>
      </c>
      <c r="L253" s="273">
        <f>IFERROR(INDEX('2. GRI Pricing Inputs'!$C$22:$AI$23,MATCH($L$16,'2. GRI Pricing Inputs'!$C$22:$C$23,0),MATCH(E253,'2. GRI Pricing Inputs'!$C$22:$AI$22,0)),0)</f>
        <v>0</v>
      </c>
      <c r="M253" s="328">
        <f>IF(AND('3. GRI Pricing'!$F253&gt;='2. GRI Pricing Inputs'!$D$33,'3. GRI Pricing'!$F253&lt;='2. GRI Pricing Inputs'!$E$33),'2. GRI Pricing Inputs'!$D$32,IF(AND('3. GRI Pricing'!$F253&gt;='2. GRI Pricing Inputs'!$F$33,'3. GRI Pricing'!$F253&lt;='2. GRI Pricing Inputs'!$G$33),'2. GRI Pricing Inputs'!$F$32,IF(AND('3. GRI Pricing'!$F253&gt;='2. GRI Pricing Inputs'!$H$33,'3. GRI Pricing'!$F253&lt;='2. GRI Pricing Inputs'!$I$33),'2. GRI Pricing Inputs'!$H$32,IF(AND('3. GRI Pricing'!$F253&gt;='2. GRI Pricing Inputs'!$J$33,'3. GRI Pricing'!$F253&lt;='2. GRI Pricing Inputs'!$K$33),'2. GRI Pricing Inputs'!$J$32,IF(AND('3. GRI Pricing'!$F253&gt;='2. GRI Pricing Inputs'!$L$33,'3. GRI Pricing'!$F253&lt;='2. GRI Pricing Inputs'!$M$33),'2. GRI Pricing Inputs'!$L$32,IF(AND('3. GRI Pricing'!$F253&gt;='2. GRI Pricing Inputs'!$N$33,'3. GRI Pricing'!$F253&lt;='2. GRI Pricing Inputs'!$O$33),'2. GRI Pricing Inputs'!$N$32,IF(AND('3. GRI Pricing'!$F253&gt;='2. GRI Pricing Inputs'!$P$33,'3. GRI Pricing'!$F253&lt;='2. GRI Pricing Inputs'!$Q$33),'2. GRI Pricing Inputs'!$P$32,IF(AND('3. GRI Pricing'!$F253&gt;='2. GRI Pricing Inputs'!$R$33,'3. GRI Pricing'!$F253&lt;='2. GRI Pricing Inputs'!$S$33),'2. GRI Pricing Inputs'!$R$32,IF(AND('3. GRI Pricing'!$F253&gt;='2. GRI Pricing Inputs'!$T$33,'3. GRI Pricing'!$F253&lt;='2. GRI Pricing Inputs'!$U$33),'2. GRI Pricing Inputs'!$T$32,IF(AND('3. GRI Pricing'!$F253&gt;='2. GRI Pricing Inputs'!$V$33,'3. GRI Pricing'!$F253&lt;='2. GRI Pricing Inputs'!$W$33),'2. GRI Pricing Inputs'!$V$32,IF(AND('3. GRI Pricing'!$F253&gt;='2. GRI Pricing Inputs'!$X$33,'3. GRI Pricing'!$F253&lt;='2. GRI Pricing Inputs'!$Y$33),'2. GRI Pricing Inputs'!$X$32,IF(AND('3. GRI Pricing'!$F253&gt;='2. GRI Pricing Inputs'!$Z$33,'3. GRI Pricing'!$F253&lt;='2. GRI Pricing Inputs'!$AA$33),'2. GRI Pricing Inputs'!$Z$32,IF(AND('3. GRI Pricing'!$F253&gt;='2. GRI Pricing Inputs'!$AB$33,'3. GRI Pricing'!$F253&lt;='2. GRI Pricing Inputs'!$AC$33),'2. GRI Pricing Inputs'!$AB$32,IF(AND('3. GRI Pricing'!$F253&gt;='2. GRI Pricing Inputs'!$AD$33,'3. GRI Pricing'!$F253&lt;='2. GRI Pricing Inputs'!$AE$33),'2. GRI Pricing Inputs'!$AD$32,IF(AND('3. GRI Pricing'!$F253&gt;='2. GRI Pricing Inputs'!$AF$33,'3. GRI Pricing'!$F253&lt;='2. GRI Pricing Inputs'!$AG$33),'2. GRI Pricing Inputs'!$AF$32,IF(AND('3. GRI Pricing'!$F253&gt;='2. GRI Pricing Inputs'!$AH$33,'3. GRI Pricing'!$F253&lt;='2. GRI Pricing Inputs'!$AI$33),'2. GRI Pricing Inputs'!$AH$32,0))))))))))))))))</f>
        <v>7</v>
      </c>
      <c r="N253" s="273" cm="1">
        <f t="array" ref="N253">IFERROR(INDEX('2. GRI Pricing Inputs'!$C$32:$AI$39,MATCH('3. GRI Pricing'!D253,'2. GRI Pricing Inputs'!$C$32:$C$39,0),(MATCH('3. GRI Pricing'!M253,'2. GRI Pricing Inputs'!$D$32:$AI$32,0)+1)),0)</f>
        <v>10</v>
      </c>
      <c r="O253" s="273">
        <f>IFERROR(INDEX('2. GRI Pricing Inputs'!$C$45:$AI$46,MATCH($O$16,'2. GRI Pricing Inputs'!$C$45:$C$46,0),MATCH(G253,'2. GRI Pricing Inputs'!$C$45:$AI$45,0)),0)</f>
        <v>70</v>
      </c>
      <c r="P253" s="273">
        <f>IFERROR(INDEX('2. GRI Pricing Inputs'!$C$53:$AI$54,MATCH('3. GRI Pricing'!$P$16,'2. GRI Pricing Inputs'!$C$53:$C$54,0),MATCH('3. GRI Pricing'!H253,'2. GRI Pricing Inputs'!$C$53:$AI$53,0)),0)</f>
        <v>20</v>
      </c>
      <c r="Q253" s="273">
        <f>IFERROR(INDEX('2. GRI Pricing Inputs'!$C$60:$AI$61,MATCH('3. GRI Pricing'!$Q$16,'2. GRI Pricing Inputs'!$C$60:$C$61,0),MATCH('1. Accomodation'!T257,'2. GRI Pricing Inputs'!$C$60:$AI$60,0)),0)</f>
        <v>0</v>
      </c>
      <c r="R253" s="273">
        <f>IFERROR(INDEX('2. GRI Pricing Inputs'!$C$67:$AI$68,MATCH('3. GRI Pricing'!$R$16,'2. GRI Pricing Inputs'!$C$67:$C$68,0),MATCH('1. Accomodation'!U257,'2. GRI Pricing Inputs'!$C$67:$AI$67,0)),0)</f>
        <v>0</v>
      </c>
      <c r="S253" s="273">
        <f>IF(D253=0,0,'2. GRI Pricing Inputs'!$AI$75)</f>
        <v>70</v>
      </c>
      <c r="T253" s="273">
        <f>IFERROR(INDEX('2. GRI Pricing Inputs'!$C$82:$AI$83,MATCH('3. GRI Pricing'!$T$16,'2. GRI Pricing Inputs'!$C$82:$C$83,0),MATCH('1. Accomodation'!V257,'2. GRI Pricing Inputs'!$C$82:$AI$82,0)),0)</f>
        <v>0</v>
      </c>
      <c r="U253" s="273">
        <f>IFERROR(INDEX('2. GRI Pricing Inputs'!$C$89:$AI$90,MATCH('3. GRI Pricing'!$U$16,'2. GRI Pricing Inputs'!$C$89:$C$90,0),MATCH('1. Accomodation'!W257,'2. GRI Pricing Inputs'!$C$89:$AI$89,0)),0)</f>
        <v>0</v>
      </c>
      <c r="V253" s="273">
        <f>IFERROR(INDEX('2. GRI Pricing Inputs'!$C$97:$AI$98,MATCH('3. GRI Pricing'!$V$16,'2. GRI Pricing Inputs'!$C$97:$C$98,0),MATCH('1. Accomodation'!X257,'2. GRI Pricing Inputs'!$C$97:$AI$97,0)),0)</f>
        <v>0</v>
      </c>
      <c r="W253" s="273">
        <f>IFERROR(INDEX('2. GRI Pricing Inputs'!$C$104:$AI$105,MATCH('3. GRI Pricing'!$W$16,'2. GRI Pricing Inputs'!$C$104:$C$105,0),MATCH('1. Accomodation'!Y257,'2. GRI Pricing Inputs'!$C$104:$AI$104,0)),0)</f>
        <v>0</v>
      </c>
      <c r="X253" s="274">
        <v>0</v>
      </c>
      <c r="Y253" s="275">
        <f t="shared" si="10"/>
        <v>1280</v>
      </c>
      <c r="Z253" s="276"/>
      <c r="AA253" s="276"/>
      <c r="AB253" s="276"/>
      <c r="AC253" s="272">
        <f>Y253*(1+'2. GRI Pricing Inputs'!$D$114)^(($AC$16-$AB$15)/365)</f>
        <v>1284.2708844302501</v>
      </c>
      <c r="AD253" s="273">
        <f>AC253*(1+'2. GRI Pricing Inputs'!$D$114)^((AD$16-AC$16)/365)</f>
        <v>1288.4175661442257</v>
      </c>
      <c r="AE253" s="273">
        <f>AD253*(1+'2. GRI Pricing Inputs'!$D$114)^((AE$16-AD$16)/365)</f>
        <v>1292.7165368652461</v>
      </c>
      <c r="AF253" s="273">
        <f>AE253*(1+'2. GRI Pricing Inputs'!$D$114)^((AF$16-AE$16)/365)</f>
        <v>1297.0298516543278</v>
      </c>
      <c r="AG253" s="273">
        <f>AF253*(1+'2. GRI Pricing Inputs'!$D$114)^((AG$16-AF$16)/365)</f>
        <v>1301.0779162494002</v>
      </c>
      <c r="AH253" s="273">
        <f>AG253*(1+'2. GRI Pricing Inputs'!$D$114)^((AH$16-AG$16)/365)</f>
        <v>1305.4191298549094</v>
      </c>
      <c r="AI253" s="273">
        <f>AH253*(1+'2. GRI Pricing Inputs'!$D$114)^((AI$16-AH$16)/365)</f>
        <v>1309.6340954828538</v>
      </c>
      <c r="AJ253" s="273">
        <f>AI253*(1+'2. GRI Pricing Inputs'!$D$114)^((AJ$16-AI$16)/365)</f>
        <v>1314.003857879512</v>
      </c>
      <c r="AK253" s="273">
        <f>AJ253*(1+'2. GRI Pricing Inputs'!$D$114)^((AK$16-AJ$16)/365)</f>
        <v>1318.246542063682</v>
      </c>
      <c r="AL253" s="273">
        <f>AK253*(1+'2. GRI Pricing Inputs'!$D$114)^((AL$16-AK$16)/365)</f>
        <v>1322.6450409947217</v>
      </c>
      <c r="AM253" s="273">
        <f>AL253*(1+'2. GRI Pricing Inputs'!$D$114)^((AM$16-AL$16)/365)</f>
        <v>1327.0582160824811</v>
      </c>
      <c r="AN253" s="273">
        <f>AM253*(1+'2. GRI Pricing Inputs'!$D$114)^((AN$16-AM$16)/365)</f>
        <v>1331.3430504618352</v>
      </c>
      <c r="AO253" s="273">
        <f>AN253*(1+'2. GRI Pricing Inputs'!$D$114)^((AO$16-AN$16)/365)</f>
        <v>1335.7852475755376</v>
      </c>
    </row>
    <row r="254" spans="3:41" ht="12" x14ac:dyDescent="0.2">
      <c r="C254" s="76" t="str">
        <f>'1. Accomodation'!N258</f>
        <v>501W</v>
      </c>
      <c r="D254" s="69" t="str">
        <f>'1. Accomodation'!P258</f>
        <v>2 Bed</v>
      </c>
      <c r="E254" s="69">
        <f>'1. Accomodation'!Q258</f>
        <v>2</v>
      </c>
      <c r="F254" s="77">
        <f>'1. Accomodation'!O258</f>
        <v>689</v>
      </c>
      <c r="G254" s="69">
        <f>'1. Accomodation'!R258</f>
        <v>5</v>
      </c>
      <c r="H254" s="69" t="str">
        <f>'1. Accomodation'!S258</f>
        <v>Pottery Lane</v>
      </c>
      <c r="I254" s="62"/>
      <c r="K254" s="272">
        <f>IFERROR(INDEX('2. GRI Pricing Inputs'!$C$15:$AI$16,MATCH($K$16,'2. GRI Pricing Inputs'!$C$15:$C$16,0),MATCH(D254,'2. GRI Pricing Inputs'!$C$15:$AI$15,0)),0)</f>
        <v>1110</v>
      </c>
      <c r="L254" s="273">
        <f>IFERROR(INDEX('2. GRI Pricing Inputs'!$C$22:$AI$23,MATCH($L$16,'2. GRI Pricing Inputs'!$C$22:$C$23,0),MATCH(E254,'2. GRI Pricing Inputs'!$C$22:$AI$22,0)),0)</f>
        <v>0</v>
      </c>
      <c r="M254" s="328">
        <f>IF(AND('3. GRI Pricing'!$F254&gt;='2. GRI Pricing Inputs'!$D$33,'3. GRI Pricing'!$F254&lt;='2. GRI Pricing Inputs'!$E$33),'2. GRI Pricing Inputs'!$D$32,IF(AND('3. GRI Pricing'!$F254&gt;='2. GRI Pricing Inputs'!$F$33,'3. GRI Pricing'!$F254&lt;='2. GRI Pricing Inputs'!$G$33),'2. GRI Pricing Inputs'!$F$32,IF(AND('3. GRI Pricing'!$F254&gt;='2. GRI Pricing Inputs'!$H$33,'3. GRI Pricing'!$F254&lt;='2. GRI Pricing Inputs'!$I$33),'2. GRI Pricing Inputs'!$H$32,IF(AND('3. GRI Pricing'!$F254&gt;='2. GRI Pricing Inputs'!$J$33,'3. GRI Pricing'!$F254&lt;='2. GRI Pricing Inputs'!$K$33),'2. GRI Pricing Inputs'!$J$32,IF(AND('3. GRI Pricing'!$F254&gt;='2. GRI Pricing Inputs'!$L$33,'3. GRI Pricing'!$F254&lt;='2. GRI Pricing Inputs'!$M$33),'2. GRI Pricing Inputs'!$L$32,IF(AND('3. GRI Pricing'!$F254&gt;='2. GRI Pricing Inputs'!$N$33,'3. GRI Pricing'!$F254&lt;='2. GRI Pricing Inputs'!$O$33),'2. GRI Pricing Inputs'!$N$32,IF(AND('3. GRI Pricing'!$F254&gt;='2. GRI Pricing Inputs'!$P$33,'3. GRI Pricing'!$F254&lt;='2. GRI Pricing Inputs'!$Q$33),'2. GRI Pricing Inputs'!$P$32,IF(AND('3. GRI Pricing'!$F254&gt;='2. GRI Pricing Inputs'!$R$33,'3. GRI Pricing'!$F254&lt;='2. GRI Pricing Inputs'!$S$33),'2. GRI Pricing Inputs'!$R$32,IF(AND('3. GRI Pricing'!$F254&gt;='2. GRI Pricing Inputs'!$T$33,'3. GRI Pricing'!$F254&lt;='2. GRI Pricing Inputs'!$U$33),'2. GRI Pricing Inputs'!$T$32,IF(AND('3. GRI Pricing'!$F254&gt;='2. GRI Pricing Inputs'!$V$33,'3. GRI Pricing'!$F254&lt;='2. GRI Pricing Inputs'!$W$33),'2. GRI Pricing Inputs'!$V$32,IF(AND('3. GRI Pricing'!$F254&gt;='2. GRI Pricing Inputs'!$X$33,'3. GRI Pricing'!$F254&lt;='2. GRI Pricing Inputs'!$Y$33),'2. GRI Pricing Inputs'!$X$32,IF(AND('3. GRI Pricing'!$F254&gt;='2. GRI Pricing Inputs'!$Z$33,'3. GRI Pricing'!$F254&lt;='2. GRI Pricing Inputs'!$AA$33),'2. GRI Pricing Inputs'!$Z$32,IF(AND('3. GRI Pricing'!$F254&gt;='2. GRI Pricing Inputs'!$AB$33,'3. GRI Pricing'!$F254&lt;='2. GRI Pricing Inputs'!$AC$33),'2. GRI Pricing Inputs'!$AB$32,IF(AND('3. GRI Pricing'!$F254&gt;='2. GRI Pricing Inputs'!$AD$33,'3. GRI Pricing'!$F254&lt;='2. GRI Pricing Inputs'!$AE$33),'2. GRI Pricing Inputs'!$AD$32,IF(AND('3. GRI Pricing'!$F254&gt;='2. GRI Pricing Inputs'!$AF$33,'3. GRI Pricing'!$F254&lt;='2. GRI Pricing Inputs'!$AG$33),'2. GRI Pricing Inputs'!$AF$32,IF(AND('3. GRI Pricing'!$F254&gt;='2. GRI Pricing Inputs'!$AH$33,'3. GRI Pricing'!$F254&lt;='2. GRI Pricing Inputs'!$AI$33),'2. GRI Pricing Inputs'!$AH$32,0))))))))))))))))</f>
        <v>11</v>
      </c>
      <c r="N254" s="273" cm="1">
        <f t="array" ref="N254">IFERROR(INDEX('2. GRI Pricing Inputs'!$C$32:$AI$39,MATCH('3. GRI Pricing'!D254,'2. GRI Pricing Inputs'!$C$32:$C$39,0),(MATCH('3. GRI Pricing'!M254,'2. GRI Pricing Inputs'!$D$32:$AI$32,0)+1)),0)</f>
        <v>65</v>
      </c>
      <c r="O254" s="273">
        <f>IFERROR(INDEX('2. GRI Pricing Inputs'!$C$45:$AI$46,MATCH($O$16,'2. GRI Pricing Inputs'!$C$45:$C$46,0),MATCH(G254,'2. GRI Pricing Inputs'!$C$45:$AI$45,0)),0)</f>
        <v>70</v>
      </c>
      <c r="P254" s="273">
        <f>IFERROR(INDEX('2. GRI Pricing Inputs'!$C$53:$AI$54,MATCH('3. GRI Pricing'!$P$16,'2. GRI Pricing Inputs'!$C$53:$C$54,0),MATCH('3. GRI Pricing'!H254,'2. GRI Pricing Inputs'!$C$53:$AI$53,0)),0)</f>
        <v>10</v>
      </c>
      <c r="Q254" s="273">
        <f>IFERROR(INDEX('2. GRI Pricing Inputs'!$C$60:$AI$61,MATCH('3. GRI Pricing'!$Q$16,'2. GRI Pricing Inputs'!$C$60:$C$61,0),MATCH('1. Accomodation'!T258,'2. GRI Pricing Inputs'!$C$60:$AI$60,0)),0)</f>
        <v>0</v>
      </c>
      <c r="R254" s="273">
        <f>IFERROR(INDEX('2. GRI Pricing Inputs'!$C$67:$AI$68,MATCH('3. GRI Pricing'!$R$16,'2. GRI Pricing Inputs'!$C$67:$C$68,0),MATCH('1. Accomodation'!U258,'2. GRI Pricing Inputs'!$C$67:$AI$67,0)),0)</f>
        <v>0</v>
      </c>
      <c r="S254" s="273">
        <f>IF(D254=0,0,'2. GRI Pricing Inputs'!$AI$75)</f>
        <v>70</v>
      </c>
      <c r="T254" s="273">
        <f>IFERROR(INDEX('2. GRI Pricing Inputs'!$C$82:$AI$83,MATCH('3. GRI Pricing'!$T$16,'2. GRI Pricing Inputs'!$C$82:$C$83,0),MATCH('1. Accomodation'!V258,'2. GRI Pricing Inputs'!$C$82:$AI$82,0)),0)</f>
        <v>0</v>
      </c>
      <c r="U254" s="273">
        <f>IFERROR(INDEX('2. GRI Pricing Inputs'!$C$89:$AI$90,MATCH('3. GRI Pricing'!$U$16,'2. GRI Pricing Inputs'!$C$89:$C$90,0),MATCH('1. Accomodation'!W258,'2. GRI Pricing Inputs'!$C$89:$AI$89,0)),0)</f>
        <v>0</v>
      </c>
      <c r="V254" s="273">
        <f>IFERROR(INDEX('2. GRI Pricing Inputs'!$C$97:$AI$98,MATCH('3. GRI Pricing'!$V$16,'2. GRI Pricing Inputs'!$C$97:$C$98,0),MATCH('1. Accomodation'!X258,'2. GRI Pricing Inputs'!$C$97:$AI$97,0)),0)</f>
        <v>0</v>
      </c>
      <c r="W254" s="273">
        <f>IFERROR(INDEX('2. GRI Pricing Inputs'!$C$104:$AI$105,MATCH('3. GRI Pricing'!$W$16,'2. GRI Pricing Inputs'!$C$104:$C$105,0),MATCH('1. Accomodation'!Y258,'2. GRI Pricing Inputs'!$C$104:$AI$104,0)),0)</f>
        <v>0</v>
      </c>
      <c r="X254" s="274">
        <v>0</v>
      </c>
      <c r="Y254" s="275">
        <f t="shared" si="10"/>
        <v>1325</v>
      </c>
      <c r="Z254" s="276"/>
      <c r="AA254" s="276"/>
      <c r="AB254" s="276"/>
      <c r="AC254" s="272">
        <f>Y254*(1+'2. GRI Pricing Inputs'!$D$114)^(($AC$16-$AB$15)/365)</f>
        <v>1329.4210327110011</v>
      </c>
      <c r="AD254" s="273">
        <f>AC254*(1+'2. GRI Pricing Inputs'!$D$114)^((AD$16-AC$16)/365)</f>
        <v>1333.7134962039836</v>
      </c>
      <c r="AE254" s="273">
        <f>AD254*(1+'2. GRI Pricing Inputs'!$D$114)^((AE$16-AD$16)/365)</f>
        <v>1338.1636026144149</v>
      </c>
      <c r="AF254" s="273">
        <f>AE254*(1+'2. GRI Pricing Inputs'!$D$114)^((AF$16-AE$16)/365)</f>
        <v>1342.6285573765504</v>
      </c>
      <c r="AG254" s="273">
        <f>AF254*(1+'2. GRI Pricing Inputs'!$D$114)^((AG$16-AF$16)/365)</f>
        <v>1346.8189367425432</v>
      </c>
      <c r="AH254" s="273">
        <f>AG254*(1+'2. GRI Pricing Inputs'!$D$114)^((AH$16-AG$16)/365)</f>
        <v>1351.3127711388711</v>
      </c>
      <c r="AI254" s="273">
        <f>AH254*(1+'2. GRI Pricing Inputs'!$D$114)^((AI$16-AH$16)/365)</f>
        <v>1355.6759191521728</v>
      </c>
      <c r="AJ254" s="273">
        <f>AI254*(1+'2. GRI Pricing Inputs'!$D$114)^((AJ$16-AI$16)/365)</f>
        <v>1360.1993060080886</v>
      </c>
      <c r="AK254" s="273">
        <f>AJ254*(1+'2. GRI Pricing Inputs'!$D$114)^((AK$16-AJ$16)/365)</f>
        <v>1364.5911470581084</v>
      </c>
      <c r="AL254" s="273">
        <f>AK254*(1+'2. GRI Pricing Inputs'!$D$114)^((AL$16-AK$16)/365)</f>
        <v>1369.1442807171925</v>
      </c>
      <c r="AM254" s="273">
        <f>AL254*(1+'2. GRI Pricing Inputs'!$D$114)^((AM$16-AL$16)/365)</f>
        <v>1373.7126064916308</v>
      </c>
      <c r="AN254" s="273">
        <f>AM254*(1+'2. GRI Pricing Inputs'!$D$114)^((AN$16-AM$16)/365)</f>
        <v>1378.148079579634</v>
      </c>
      <c r="AO254" s="273">
        <f>AN254*(1+'2. GRI Pricing Inputs'!$D$114)^((AO$16-AN$16)/365)</f>
        <v>1382.7464476856151</v>
      </c>
    </row>
    <row r="255" spans="3:41" ht="12" x14ac:dyDescent="0.2">
      <c r="C255" s="76" t="str">
        <f>'1. Accomodation'!N259</f>
        <v>502W</v>
      </c>
      <c r="D255" s="69" t="str">
        <f>'1. Accomodation'!P259</f>
        <v>1 Bed</v>
      </c>
      <c r="E255" s="69">
        <f>'1. Accomodation'!Q259</f>
        <v>1</v>
      </c>
      <c r="F255" s="77">
        <f>'1. Accomodation'!O259</f>
        <v>495</v>
      </c>
      <c r="G255" s="69">
        <f>'1. Accomodation'!R259</f>
        <v>5</v>
      </c>
      <c r="H255" s="69" t="str">
        <f>'1. Accomodation'!S259</f>
        <v>Courtyard</v>
      </c>
      <c r="I255" s="62"/>
      <c r="K255" s="272">
        <f>IFERROR(INDEX('2. GRI Pricing Inputs'!$C$15:$AI$16,MATCH($K$16,'2. GRI Pricing Inputs'!$C$15:$C$16,0),MATCH(D255,'2. GRI Pricing Inputs'!$C$15:$AI$15,0)),0)</f>
        <v>845</v>
      </c>
      <c r="L255" s="273">
        <f>IFERROR(INDEX('2. GRI Pricing Inputs'!$C$22:$AI$23,MATCH($L$16,'2. GRI Pricing Inputs'!$C$22:$C$23,0),MATCH(E255,'2. GRI Pricing Inputs'!$C$22:$AI$22,0)),0)</f>
        <v>0</v>
      </c>
      <c r="M255" s="328">
        <f>IF(AND('3. GRI Pricing'!$F255&gt;='2. GRI Pricing Inputs'!$D$33,'3. GRI Pricing'!$F255&lt;='2. GRI Pricing Inputs'!$E$33),'2. GRI Pricing Inputs'!$D$32,IF(AND('3. GRI Pricing'!$F255&gt;='2. GRI Pricing Inputs'!$F$33,'3. GRI Pricing'!$F255&lt;='2. GRI Pricing Inputs'!$G$33),'2. GRI Pricing Inputs'!$F$32,IF(AND('3. GRI Pricing'!$F255&gt;='2. GRI Pricing Inputs'!$H$33,'3. GRI Pricing'!$F255&lt;='2. GRI Pricing Inputs'!$I$33),'2. GRI Pricing Inputs'!$H$32,IF(AND('3. GRI Pricing'!$F255&gt;='2. GRI Pricing Inputs'!$J$33,'3. GRI Pricing'!$F255&lt;='2. GRI Pricing Inputs'!$K$33),'2. GRI Pricing Inputs'!$J$32,IF(AND('3. GRI Pricing'!$F255&gt;='2. GRI Pricing Inputs'!$L$33,'3. GRI Pricing'!$F255&lt;='2. GRI Pricing Inputs'!$M$33),'2. GRI Pricing Inputs'!$L$32,IF(AND('3. GRI Pricing'!$F255&gt;='2. GRI Pricing Inputs'!$N$33,'3. GRI Pricing'!$F255&lt;='2. GRI Pricing Inputs'!$O$33),'2. GRI Pricing Inputs'!$N$32,IF(AND('3. GRI Pricing'!$F255&gt;='2. GRI Pricing Inputs'!$P$33,'3. GRI Pricing'!$F255&lt;='2. GRI Pricing Inputs'!$Q$33),'2. GRI Pricing Inputs'!$P$32,IF(AND('3. GRI Pricing'!$F255&gt;='2. GRI Pricing Inputs'!$R$33,'3. GRI Pricing'!$F255&lt;='2. GRI Pricing Inputs'!$S$33),'2. GRI Pricing Inputs'!$R$32,IF(AND('3. GRI Pricing'!$F255&gt;='2. GRI Pricing Inputs'!$T$33,'3. GRI Pricing'!$F255&lt;='2. GRI Pricing Inputs'!$U$33),'2. GRI Pricing Inputs'!$T$32,IF(AND('3. GRI Pricing'!$F255&gt;='2. GRI Pricing Inputs'!$V$33,'3. GRI Pricing'!$F255&lt;='2. GRI Pricing Inputs'!$W$33),'2. GRI Pricing Inputs'!$V$32,IF(AND('3. GRI Pricing'!$F255&gt;='2. GRI Pricing Inputs'!$X$33,'3. GRI Pricing'!$F255&lt;='2. GRI Pricing Inputs'!$Y$33),'2. GRI Pricing Inputs'!$X$32,IF(AND('3. GRI Pricing'!$F255&gt;='2. GRI Pricing Inputs'!$Z$33,'3. GRI Pricing'!$F255&lt;='2. GRI Pricing Inputs'!$AA$33),'2. GRI Pricing Inputs'!$Z$32,IF(AND('3. GRI Pricing'!$F255&gt;='2. GRI Pricing Inputs'!$AB$33,'3. GRI Pricing'!$F255&lt;='2. GRI Pricing Inputs'!$AC$33),'2. GRI Pricing Inputs'!$AB$32,IF(AND('3. GRI Pricing'!$F255&gt;='2. GRI Pricing Inputs'!$AD$33,'3. GRI Pricing'!$F255&lt;='2. GRI Pricing Inputs'!$AE$33),'2. GRI Pricing Inputs'!$AD$32,IF(AND('3. GRI Pricing'!$F255&gt;='2. GRI Pricing Inputs'!$AF$33,'3. GRI Pricing'!$F255&lt;='2. GRI Pricing Inputs'!$AG$33),'2. GRI Pricing Inputs'!$AF$32,IF(AND('3. GRI Pricing'!$F255&gt;='2. GRI Pricing Inputs'!$AH$33,'3. GRI Pricing'!$F255&lt;='2. GRI Pricing Inputs'!$AI$33),'2. GRI Pricing Inputs'!$AH$32,0))))))))))))))))</f>
        <v>2</v>
      </c>
      <c r="N255" s="273" cm="1">
        <f t="array" ref="N255">IFERROR(INDEX('2. GRI Pricing Inputs'!$C$32:$AI$39,MATCH('3. GRI Pricing'!D255,'2. GRI Pricing Inputs'!$C$32:$C$39,0),(MATCH('3. GRI Pricing'!M255,'2. GRI Pricing Inputs'!$D$32:$AI$32,0)+1)),0)</f>
        <v>15</v>
      </c>
      <c r="O255" s="273">
        <f>IFERROR(INDEX('2. GRI Pricing Inputs'!$C$45:$AI$46,MATCH($O$16,'2. GRI Pricing Inputs'!$C$45:$C$46,0),MATCH(G255,'2. GRI Pricing Inputs'!$C$45:$AI$45,0)),0)</f>
        <v>70</v>
      </c>
      <c r="P255" s="273">
        <f>IFERROR(INDEX('2. GRI Pricing Inputs'!$C$53:$AI$54,MATCH('3. GRI Pricing'!$P$16,'2. GRI Pricing Inputs'!$C$53:$C$54,0),MATCH('3. GRI Pricing'!H255,'2. GRI Pricing Inputs'!$C$53:$AI$53,0)),0)</f>
        <v>25</v>
      </c>
      <c r="Q255" s="273">
        <f>IFERROR(INDEX('2. GRI Pricing Inputs'!$C$60:$AI$61,MATCH('3. GRI Pricing'!$Q$16,'2. GRI Pricing Inputs'!$C$60:$C$61,0),MATCH('1. Accomodation'!T259,'2. GRI Pricing Inputs'!$C$60:$AI$60,0)),0)</f>
        <v>0</v>
      </c>
      <c r="R255" s="273">
        <f>IFERROR(INDEX('2. GRI Pricing Inputs'!$C$67:$AI$68,MATCH('3. GRI Pricing'!$R$16,'2. GRI Pricing Inputs'!$C$67:$C$68,0),MATCH('1. Accomodation'!U259,'2. GRI Pricing Inputs'!$C$67:$AI$67,0)),0)</f>
        <v>0</v>
      </c>
      <c r="S255" s="273">
        <f>IF(D255=0,0,'2. GRI Pricing Inputs'!$AI$75)</f>
        <v>70</v>
      </c>
      <c r="T255" s="273">
        <f>IFERROR(INDEX('2. GRI Pricing Inputs'!$C$82:$AI$83,MATCH('3. GRI Pricing'!$T$16,'2. GRI Pricing Inputs'!$C$82:$C$83,0),MATCH('1. Accomodation'!V259,'2. GRI Pricing Inputs'!$C$82:$AI$82,0)),0)</f>
        <v>0</v>
      </c>
      <c r="U255" s="273">
        <f>IFERROR(INDEX('2. GRI Pricing Inputs'!$C$89:$AI$90,MATCH('3. GRI Pricing'!$U$16,'2. GRI Pricing Inputs'!$C$89:$C$90,0),MATCH('1. Accomodation'!W259,'2. GRI Pricing Inputs'!$C$89:$AI$89,0)),0)</f>
        <v>0</v>
      </c>
      <c r="V255" s="273">
        <f>IFERROR(INDEX('2. GRI Pricing Inputs'!$C$97:$AI$98,MATCH('3. GRI Pricing'!$V$16,'2. GRI Pricing Inputs'!$C$97:$C$98,0),MATCH('1. Accomodation'!X259,'2. GRI Pricing Inputs'!$C$97:$AI$97,0)),0)</f>
        <v>0</v>
      </c>
      <c r="W255" s="273">
        <f>IFERROR(INDEX('2. GRI Pricing Inputs'!$C$104:$AI$105,MATCH('3. GRI Pricing'!$W$16,'2. GRI Pricing Inputs'!$C$104:$C$105,0),MATCH('1. Accomodation'!Y259,'2. GRI Pricing Inputs'!$C$104:$AI$104,0)),0)</f>
        <v>0</v>
      </c>
      <c r="X255" s="274">
        <v>0</v>
      </c>
      <c r="Y255" s="275">
        <f t="shared" si="10"/>
        <v>1025</v>
      </c>
      <c r="Z255" s="276"/>
      <c r="AA255" s="276"/>
      <c r="AB255" s="276"/>
      <c r="AC255" s="272">
        <f>Y255*(1+'2. GRI Pricing Inputs'!$D$114)^(($AC$16-$AB$15)/365)</f>
        <v>1028.4200441726612</v>
      </c>
      <c r="AD255" s="273">
        <f>AC255*(1+'2. GRI Pricing Inputs'!$D$114)^((AD$16-AC$16)/365)</f>
        <v>1031.7406291389307</v>
      </c>
      <c r="AE255" s="273">
        <f>AD255*(1+'2. GRI Pricing Inputs'!$D$114)^((AE$16-AD$16)/365)</f>
        <v>1035.1831642866227</v>
      </c>
      <c r="AF255" s="273">
        <f>AE255*(1+'2. GRI Pricing Inputs'!$D$114)^((AF$16-AE$16)/365)</f>
        <v>1038.6371858950672</v>
      </c>
      <c r="AG255" s="273">
        <f>AF255*(1+'2. GRI Pricing Inputs'!$D$114)^((AG$16-AF$16)/365)</f>
        <v>1041.8788001215901</v>
      </c>
      <c r="AH255" s="273">
        <f>AG255*(1+'2. GRI Pricing Inputs'!$D$114)^((AH$16-AG$16)/365)</f>
        <v>1045.3551625791267</v>
      </c>
      <c r="AI255" s="273">
        <f>AH255*(1+'2. GRI Pricing Inputs'!$D$114)^((AI$16-AH$16)/365)</f>
        <v>1048.7304280233791</v>
      </c>
      <c r="AJ255" s="273">
        <f>AI255*(1+'2. GRI Pricing Inputs'!$D$114)^((AJ$16-AI$16)/365)</f>
        <v>1052.2296518175781</v>
      </c>
      <c r="AK255" s="273">
        <f>AJ255*(1+'2. GRI Pricing Inputs'!$D$114)^((AK$16-AJ$16)/365)</f>
        <v>1055.6271137619331</v>
      </c>
      <c r="AL255" s="273">
        <f>AK255*(1+'2. GRI Pricing Inputs'!$D$114)^((AL$16-AK$16)/365)</f>
        <v>1059.1493492340546</v>
      </c>
      <c r="AM255" s="273">
        <f>AL255*(1+'2. GRI Pricing Inputs'!$D$114)^((AM$16-AL$16)/365)</f>
        <v>1062.6833370972993</v>
      </c>
      <c r="AN255" s="273">
        <f>AM255*(1+'2. GRI Pricing Inputs'!$D$114)^((AN$16-AM$16)/365)</f>
        <v>1066.1145521276414</v>
      </c>
      <c r="AO255" s="273">
        <f>AN255*(1+'2. GRI Pricing Inputs'!$D$114)^((AO$16-AN$16)/365)</f>
        <v>1069.6717802850985</v>
      </c>
    </row>
    <row r="256" spans="3:41" ht="12" x14ac:dyDescent="0.2">
      <c r="C256" s="76" t="str">
        <f>'1. Accomodation'!N260</f>
        <v>503W</v>
      </c>
      <c r="D256" s="69" t="str">
        <f>'1. Accomodation'!P260</f>
        <v>2 Bed</v>
      </c>
      <c r="E256" s="69">
        <f>'1. Accomodation'!Q260</f>
        <v>2</v>
      </c>
      <c r="F256" s="77">
        <f>'1. Accomodation'!O260</f>
        <v>657</v>
      </c>
      <c r="G256" s="69">
        <f>'1. Accomodation'!R260</f>
        <v>5</v>
      </c>
      <c r="H256" s="69" t="str">
        <f>'1. Accomodation'!S260</f>
        <v>Courtyard</v>
      </c>
      <c r="I256" s="62"/>
      <c r="K256" s="272">
        <f>IFERROR(INDEX('2. GRI Pricing Inputs'!$C$15:$AI$16,MATCH($K$16,'2. GRI Pricing Inputs'!$C$15:$C$16,0),MATCH(D256,'2. GRI Pricing Inputs'!$C$15:$AI$15,0)),0)</f>
        <v>1110</v>
      </c>
      <c r="L256" s="273">
        <f>IFERROR(INDEX('2. GRI Pricing Inputs'!$C$22:$AI$23,MATCH($L$16,'2. GRI Pricing Inputs'!$C$22:$C$23,0),MATCH(E256,'2. GRI Pricing Inputs'!$C$22:$AI$22,0)),0)</f>
        <v>0</v>
      </c>
      <c r="M256" s="328">
        <f>IF(AND('3. GRI Pricing'!$F256&gt;='2. GRI Pricing Inputs'!$D$33,'3. GRI Pricing'!$F256&lt;='2. GRI Pricing Inputs'!$E$33),'2. GRI Pricing Inputs'!$D$32,IF(AND('3. GRI Pricing'!$F256&gt;='2. GRI Pricing Inputs'!$F$33,'3. GRI Pricing'!$F256&lt;='2. GRI Pricing Inputs'!$G$33),'2. GRI Pricing Inputs'!$F$32,IF(AND('3. GRI Pricing'!$F256&gt;='2. GRI Pricing Inputs'!$H$33,'3. GRI Pricing'!$F256&lt;='2. GRI Pricing Inputs'!$I$33),'2. GRI Pricing Inputs'!$H$32,IF(AND('3. GRI Pricing'!$F256&gt;='2. GRI Pricing Inputs'!$J$33,'3. GRI Pricing'!$F256&lt;='2. GRI Pricing Inputs'!$K$33),'2. GRI Pricing Inputs'!$J$32,IF(AND('3. GRI Pricing'!$F256&gt;='2. GRI Pricing Inputs'!$L$33,'3. GRI Pricing'!$F256&lt;='2. GRI Pricing Inputs'!$M$33),'2. GRI Pricing Inputs'!$L$32,IF(AND('3. GRI Pricing'!$F256&gt;='2. GRI Pricing Inputs'!$N$33,'3. GRI Pricing'!$F256&lt;='2. GRI Pricing Inputs'!$O$33),'2. GRI Pricing Inputs'!$N$32,IF(AND('3. GRI Pricing'!$F256&gt;='2. GRI Pricing Inputs'!$P$33,'3. GRI Pricing'!$F256&lt;='2. GRI Pricing Inputs'!$Q$33),'2. GRI Pricing Inputs'!$P$32,IF(AND('3. GRI Pricing'!$F256&gt;='2. GRI Pricing Inputs'!$R$33,'3. GRI Pricing'!$F256&lt;='2. GRI Pricing Inputs'!$S$33),'2. GRI Pricing Inputs'!$R$32,IF(AND('3. GRI Pricing'!$F256&gt;='2. GRI Pricing Inputs'!$T$33,'3. GRI Pricing'!$F256&lt;='2. GRI Pricing Inputs'!$U$33),'2. GRI Pricing Inputs'!$T$32,IF(AND('3. GRI Pricing'!$F256&gt;='2. GRI Pricing Inputs'!$V$33,'3. GRI Pricing'!$F256&lt;='2. GRI Pricing Inputs'!$W$33),'2. GRI Pricing Inputs'!$V$32,IF(AND('3. GRI Pricing'!$F256&gt;='2. GRI Pricing Inputs'!$X$33,'3. GRI Pricing'!$F256&lt;='2. GRI Pricing Inputs'!$Y$33),'2. GRI Pricing Inputs'!$X$32,IF(AND('3. GRI Pricing'!$F256&gt;='2. GRI Pricing Inputs'!$Z$33,'3. GRI Pricing'!$F256&lt;='2. GRI Pricing Inputs'!$AA$33),'2. GRI Pricing Inputs'!$Z$32,IF(AND('3. GRI Pricing'!$F256&gt;='2. GRI Pricing Inputs'!$AB$33,'3. GRI Pricing'!$F256&lt;='2. GRI Pricing Inputs'!$AC$33),'2. GRI Pricing Inputs'!$AB$32,IF(AND('3. GRI Pricing'!$F256&gt;='2. GRI Pricing Inputs'!$AD$33,'3. GRI Pricing'!$F256&lt;='2. GRI Pricing Inputs'!$AE$33),'2. GRI Pricing Inputs'!$AD$32,IF(AND('3. GRI Pricing'!$F256&gt;='2. GRI Pricing Inputs'!$AF$33,'3. GRI Pricing'!$F256&lt;='2. GRI Pricing Inputs'!$AG$33),'2. GRI Pricing Inputs'!$AF$32,IF(AND('3. GRI Pricing'!$F256&gt;='2. GRI Pricing Inputs'!$AH$33,'3. GRI Pricing'!$F256&lt;='2. GRI Pricing Inputs'!$AI$33),'2. GRI Pricing Inputs'!$AH$32,0))))))))))))))))</f>
        <v>8</v>
      </c>
      <c r="N256" s="273" cm="1">
        <f t="array" ref="N256">IFERROR(INDEX('2. GRI Pricing Inputs'!$C$32:$AI$39,MATCH('3. GRI Pricing'!D256,'2. GRI Pricing Inputs'!$C$32:$C$39,0),(MATCH('3. GRI Pricing'!M256,'2. GRI Pricing Inputs'!$D$32:$AI$32,0)+1)),0)</f>
        <v>20</v>
      </c>
      <c r="O256" s="273">
        <f>IFERROR(INDEX('2. GRI Pricing Inputs'!$C$45:$AI$46,MATCH($O$16,'2. GRI Pricing Inputs'!$C$45:$C$46,0),MATCH(G256,'2. GRI Pricing Inputs'!$C$45:$AI$45,0)),0)</f>
        <v>70</v>
      </c>
      <c r="P256" s="273">
        <f>IFERROR(INDEX('2. GRI Pricing Inputs'!$C$53:$AI$54,MATCH('3. GRI Pricing'!$P$16,'2. GRI Pricing Inputs'!$C$53:$C$54,0),MATCH('3. GRI Pricing'!H256,'2. GRI Pricing Inputs'!$C$53:$AI$53,0)),0)</f>
        <v>25</v>
      </c>
      <c r="Q256" s="273">
        <f>IFERROR(INDEX('2. GRI Pricing Inputs'!$C$60:$AI$61,MATCH('3. GRI Pricing'!$Q$16,'2. GRI Pricing Inputs'!$C$60:$C$61,0),MATCH('1. Accomodation'!T260,'2. GRI Pricing Inputs'!$C$60:$AI$60,0)),0)</f>
        <v>0</v>
      </c>
      <c r="R256" s="273">
        <f>IFERROR(INDEX('2. GRI Pricing Inputs'!$C$67:$AI$68,MATCH('3. GRI Pricing'!$R$16,'2. GRI Pricing Inputs'!$C$67:$C$68,0),MATCH('1. Accomodation'!U260,'2. GRI Pricing Inputs'!$C$67:$AI$67,0)),0)</f>
        <v>0</v>
      </c>
      <c r="S256" s="273">
        <f>IF(D256=0,0,'2. GRI Pricing Inputs'!$AI$75)</f>
        <v>70</v>
      </c>
      <c r="T256" s="273">
        <f>IFERROR(INDEX('2. GRI Pricing Inputs'!$C$82:$AI$83,MATCH('3. GRI Pricing'!$T$16,'2. GRI Pricing Inputs'!$C$82:$C$83,0),MATCH('1. Accomodation'!V260,'2. GRI Pricing Inputs'!$C$82:$AI$82,0)),0)</f>
        <v>0</v>
      </c>
      <c r="U256" s="273">
        <f>IFERROR(INDEX('2. GRI Pricing Inputs'!$C$89:$AI$90,MATCH('3. GRI Pricing'!$U$16,'2. GRI Pricing Inputs'!$C$89:$C$90,0),MATCH('1. Accomodation'!W260,'2. GRI Pricing Inputs'!$C$89:$AI$89,0)),0)</f>
        <v>0</v>
      </c>
      <c r="V256" s="273">
        <f>IFERROR(INDEX('2. GRI Pricing Inputs'!$C$97:$AI$98,MATCH('3. GRI Pricing'!$V$16,'2. GRI Pricing Inputs'!$C$97:$C$98,0),MATCH('1. Accomodation'!X260,'2. GRI Pricing Inputs'!$C$97:$AI$97,0)),0)</f>
        <v>0</v>
      </c>
      <c r="W256" s="273">
        <f>IFERROR(INDEX('2. GRI Pricing Inputs'!$C$104:$AI$105,MATCH('3. GRI Pricing'!$W$16,'2. GRI Pricing Inputs'!$C$104:$C$105,0),MATCH('1. Accomodation'!Y260,'2. GRI Pricing Inputs'!$C$104:$AI$104,0)),0)</f>
        <v>0</v>
      </c>
      <c r="X256" s="274">
        <v>0</v>
      </c>
      <c r="Y256" s="275">
        <f t="shared" si="10"/>
        <v>1295</v>
      </c>
      <c r="Z256" s="276"/>
      <c r="AA256" s="276"/>
      <c r="AB256" s="276"/>
      <c r="AC256" s="272">
        <f>Y256*(1+'2. GRI Pricing Inputs'!$D$114)^(($AC$16-$AB$15)/365)</f>
        <v>1299.3209338571671</v>
      </c>
      <c r="AD256" s="273">
        <f>AC256*(1+'2. GRI Pricing Inputs'!$D$114)^((AD$16-AC$16)/365)</f>
        <v>1303.5162094974783</v>
      </c>
      <c r="AE256" s="273">
        <f>AD256*(1+'2. GRI Pricing Inputs'!$D$114)^((AE$16-AD$16)/365)</f>
        <v>1307.8655587816356</v>
      </c>
      <c r="AF256" s="273">
        <f>AE256*(1+'2. GRI Pricing Inputs'!$D$114)^((AF$16-AE$16)/365)</f>
        <v>1312.229420228402</v>
      </c>
      <c r="AG256" s="273">
        <f>AF256*(1+'2. GRI Pricing Inputs'!$D$114)^((AG$16-AF$16)/365)</f>
        <v>1316.3249230804479</v>
      </c>
      <c r="AH256" s="273">
        <f>AG256*(1+'2. GRI Pricing Inputs'!$D$114)^((AH$16-AG$16)/365)</f>
        <v>1320.7170102828968</v>
      </c>
      <c r="AI256" s="273">
        <f>AH256*(1+'2. GRI Pricing Inputs'!$D$114)^((AI$16-AH$16)/365)</f>
        <v>1324.9813700392936</v>
      </c>
      <c r="AJ256" s="273">
        <f>AI256*(1+'2. GRI Pricing Inputs'!$D$114)^((AJ$16-AI$16)/365)</f>
        <v>1329.4023405890375</v>
      </c>
      <c r="AK256" s="273">
        <f>AJ256*(1+'2. GRI Pricing Inputs'!$D$114)^((AK$16-AJ$16)/365)</f>
        <v>1333.6947437284907</v>
      </c>
      <c r="AL256" s="273">
        <f>AK256*(1+'2. GRI Pricing Inputs'!$D$114)^((AL$16-AK$16)/365)</f>
        <v>1338.1447875688787</v>
      </c>
      <c r="AM256" s="273">
        <f>AL256*(1+'2. GRI Pricing Inputs'!$D$114)^((AM$16-AL$16)/365)</f>
        <v>1342.6096795521976</v>
      </c>
      <c r="AN256" s="273">
        <f>AM256*(1+'2. GRI Pricing Inputs'!$D$114)^((AN$16-AM$16)/365)</f>
        <v>1346.9447268344347</v>
      </c>
      <c r="AO256" s="273">
        <f>AN256*(1+'2. GRI Pricing Inputs'!$D$114)^((AO$16-AN$16)/365)</f>
        <v>1351.4389809455633</v>
      </c>
    </row>
    <row r="257" spans="3:41" ht="12" x14ac:dyDescent="0.2">
      <c r="C257" s="76" t="str">
        <f>'1. Accomodation'!N261</f>
        <v>504W</v>
      </c>
      <c r="D257" s="69" t="str">
        <f>'1. Accomodation'!P261</f>
        <v>2 Bed</v>
      </c>
      <c r="E257" s="69">
        <f>'1. Accomodation'!Q261</f>
        <v>2</v>
      </c>
      <c r="F257" s="77">
        <f>'1. Accomodation'!O261</f>
        <v>657</v>
      </c>
      <c r="G257" s="69">
        <f>'1. Accomodation'!R261</f>
        <v>5</v>
      </c>
      <c r="H257" s="69" t="str">
        <f>'1. Accomodation'!S261</f>
        <v>Railway Bridge - Mid</v>
      </c>
      <c r="I257" s="62"/>
      <c r="K257" s="272">
        <f>IFERROR(INDEX('2. GRI Pricing Inputs'!$C$15:$AI$16,MATCH($K$16,'2. GRI Pricing Inputs'!$C$15:$C$16,0),MATCH(D257,'2. GRI Pricing Inputs'!$C$15:$AI$15,0)),0)</f>
        <v>1110</v>
      </c>
      <c r="L257" s="273">
        <f>IFERROR(INDEX('2. GRI Pricing Inputs'!$C$22:$AI$23,MATCH($L$16,'2. GRI Pricing Inputs'!$C$22:$C$23,0),MATCH(E257,'2. GRI Pricing Inputs'!$C$22:$AI$22,0)),0)</f>
        <v>0</v>
      </c>
      <c r="M257" s="328">
        <f>IF(AND('3. GRI Pricing'!$F257&gt;='2. GRI Pricing Inputs'!$D$33,'3. GRI Pricing'!$F257&lt;='2. GRI Pricing Inputs'!$E$33),'2. GRI Pricing Inputs'!$D$32,IF(AND('3. GRI Pricing'!$F257&gt;='2. GRI Pricing Inputs'!$F$33,'3. GRI Pricing'!$F257&lt;='2. GRI Pricing Inputs'!$G$33),'2. GRI Pricing Inputs'!$F$32,IF(AND('3. GRI Pricing'!$F257&gt;='2. GRI Pricing Inputs'!$H$33,'3. GRI Pricing'!$F257&lt;='2. GRI Pricing Inputs'!$I$33),'2. GRI Pricing Inputs'!$H$32,IF(AND('3. GRI Pricing'!$F257&gt;='2. GRI Pricing Inputs'!$J$33,'3. GRI Pricing'!$F257&lt;='2. GRI Pricing Inputs'!$K$33),'2. GRI Pricing Inputs'!$J$32,IF(AND('3. GRI Pricing'!$F257&gt;='2. GRI Pricing Inputs'!$L$33,'3. GRI Pricing'!$F257&lt;='2. GRI Pricing Inputs'!$M$33),'2. GRI Pricing Inputs'!$L$32,IF(AND('3. GRI Pricing'!$F257&gt;='2. GRI Pricing Inputs'!$N$33,'3. GRI Pricing'!$F257&lt;='2. GRI Pricing Inputs'!$O$33),'2. GRI Pricing Inputs'!$N$32,IF(AND('3. GRI Pricing'!$F257&gt;='2. GRI Pricing Inputs'!$P$33,'3. GRI Pricing'!$F257&lt;='2. GRI Pricing Inputs'!$Q$33),'2. GRI Pricing Inputs'!$P$32,IF(AND('3. GRI Pricing'!$F257&gt;='2. GRI Pricing Inputs'!$R$33,'3. GRI Pricing'!$F257&lt;='2. GRI Pricing Inputs'!$S$33),'2. GRI Pricing Inputs'!$R$32,IF(AND('3. GRI Pricing'!$F257&gt;='2. GRI Pricing Inputs'!$T$33,'3. GRI Pricing'!$F257&lt;='2. GRI Pricing Inputs'!$U$33),'2. GRI Pricing Inputs'!$T$32,IF(AND('3. GRI Pricing'!$F257&gt;='2. GRI Pricing Inputs'!$V$33,'3. GRI Pricing'!$F257&lt;='2. GRI Pricing Inputs'!$W$33),'2. GRI Pricing Inputs'!$V$32,IF(AND('3. GRI Pricing'!$F257&gt;='2. GRI Pricing Inputs'!$X$33,'3. GRI Pricing'!$F257&lt;='2. GRI Pricing Inputs'!$Y$33),'2. GRI Pricing Inputs'!$X$32,IF(AND('3. GRI Pricing'!$F257&gt;='2. GRI Pricing Inputs'!$Z$33,'3. GRI Pricing'!$F257&lt;='2. GRI Pricing Inputs'!$AA$33),'2. GRI Pricing Inputs'!$Z$32,IF(AND('3. GRI Pricing'!$F257&gt;='2. GRI Pricing Inputs'!$AB$33,'3. GRI Pricing'!$F257&lt;='2. GRI Pricing Inputs'!$AC$33),'2. GRI Pricing Inputs'!$AB$32,IF(AND('3. GRI Pricing'!$F257&gt;='2. GRI Pricing Inputs'!$AD$33,'3. GRI Pricing'!$F257&lt;='2. GRI Pricing Inputs'!$AE$33),'2. GRI Pricing Inputs'!$AD$32,IF(AND('3. GRI Pricing'!$F257&gt;='2. GRI Pricing Inputs'!$AF$33,'3. GRI Pricing'!$F257&lt;='2. GRI Pricing Inputs'!$AG$33),'2. GRI Pricing Inputs'!$AF$32,IF(AND('3. GRI Pricing'!$F257&gt;='2. GRI Pricing Inputs'!$AH$33,'3. GRI Pricing'!$F257&lt;='2. GRI Pricing Inputs'!$AI$33),'2. GRI Pricing Inputs'!$AH$32,0))))))))))))))))</f>
        <v>8</v>
      </c>
      <c r="N257" s="273" cm="1">
        <f t="array" ref="N257">IFERROR(INDEX('2. GRI Pricing Inputs'!$C$32:$AI$39,MATCH('3. GRI Pricing'!D257,'2. GRI Pricing Inputs'!$C$32:$C$39,0),(MATCH('3. GRI Pricing'!M257,'2. GRI Pricing Inputs'!$D$32:$AI$32,0)+1)),0)</f>
        <v>20</v>
      </c>
      <c r="O257" s="273">
        <f>IFERROR(INDEX('2. GRI Pricing Inputs'!$C$45:$AI$46,MATCH($O$16,'2. GRI Pricing Inputs'!$C$45:$C$46,0),MATCH(G257,'2. GRI Pricing Inputs'!$C$45:$AI$45,0)),0)</f>
        <v>70</v>
      </c>
      <c r="P257" s="273">
        <f>IFERROR(INDEX('2. GRI Pricing Inputs'!$C$53:$AI$54,MATCH('3. GRI Pricing'!$P$16,'2. GRI Pricing Inputs'!$C$53:$C$54,0),MATCH('3. GRI Pricing'!H257,'2. GRI Pricing Inputs'!$C$53:$AI$53,0)),0)</f>
        <v>20</v>
      </c>
      <c r="Q257" s="273">
        <f>IFERROR(INDEX('2. GRI Pricing Inputs'!$C$60:$AI$61,MATCH('3. GRI Pricing'!$Q$16,'2. GRI Pricing Inputs'!$C$60:$C$61,0),MATCH('1. Accomodation'!T261,'2. GRI Pricing Inputs'!$C$60:$AI$60,0)),0)</f>
        <v>0</v>
      </c>
      <c r="R257" s="273">
        <f>IFERROR(INDEX('2. GRI Pricing Inputs'!$C$67:$AI$68,MATCH('3. GRI Pricing'!$R$16,'2. GRI Pricing Inputs'!$C$67:$C$68,0),MATCH('1. Accomodation'!U261,'2. GRI Pricing Inputs'!$C$67:$AI$67,0)),0)</f>
        <v>0</v>
      </c>
      <c r="S257" s="273">
        <f>IF(D257=0,0,'2. GRI Pricing Inputs'!$AI$75)</f>
        <v>70</v>
      </c>
      <c r="T257" s="273">
        <f>IFERROR(INDEX('2. GRI Pricing Inputs'!$C$82:$AI$83,MATCH('3. GRI Pricing'!$T$16,'2. GRI Pricing Inputs'!$C$82:$C$83,0),MATCH('1. Accomodation'!V261,'2. GRI Pricing Inputs'!$C$82:$AI$82,0)),0)</f>
        <v>0</v>
      </c>
      <c r="U257" s="273">
        <f>IFERROR(INDEX('2. GRI Pricing Inputs'!$C$89:$AI$90,MATCH('3. GRI Pricing'!$U$16,'2. GRI Pricing Inputs'!$C$89:$C$90,0),MATCH('1. Accomodation'!W261,'2. GRI Pricing Inputs'!$C$89:$AI$89,0)),0)</f>
        <v>0</v>
      </c>
      <c r="V257" s="273">
        <f>IFERROR(INDEX('2. GRI Pricing Inputs'!$C$97:$AI$98,MATCH('3. GRI Pricing'!$V$16,'2. GRI Pricing Inputs'!$C$97:$C$98,0),MATCH('1. Accomodation'!X261,'2. GRI Pricing Inputs'!$C$97:$AI$97,0)),0)</f>
        <v>0</v>
      </c>
      <c r="W257" s="273">
        <f>IFERROR(INDEX('2. GRI Pricing Inputs'!$C$104:$AI$105,MATCH('3. GRI Pricing'!$W$16,'2. GRI Pricing Inputs'!$C$104:$C$105,0),MATCH('1. Accomodation'!Y261,'2. GRI Pricing Inputs'!$C$104:$AI$104,0)),0)</f>
        <v>0</v>
      </c>
      <c r="X257" s="274">
        <v>0</v>
      </c>
      <c r="Y257" s="275">
        <f t="shared" si="10"/>
        <v>1290</v>
      </c>
      <c r="Z257" s="276"/>
      <c r="AA257" s="276"/>
      <c r="AB257" s="276"/>
      <c r="AC257" s="272">
        <f>Y257*(1+'2. GRI Pricing Inputs'!$D$114)^(($AC$16-$AB$15)/365)</f>
        <v>1294.3042507148614</v>
      </c>
      <c r="AD257" s="273">
        <f>AC257*(1+'2. GRI Pricing Inputs'!$D$114)^((AD$16-AC$16)/365)</f>
        <v>1298.4833283797273</v>
      </c>
      <c r="AE257" s="273">
        <f>AD257*(1+'2. GRI Pricing Inputs'!$D$114)^((AE$16-AD$16)/365)</f>
        <v>1302.8158848095056</v>
      </c>
      <c r="AF257" s="273">
        <f>AE257*(1+'2. GRI Pricing Inputs'!$D$114)^((AF$16-AE$16)/365)</f>
        <v>1307.1628973703771</v>
      </c>
      <c r="AG257" s="273">
        <f>AF257*(1+'2. GRI Pricing Inputs'!$D$114)^((AG$16-AF$16)/365)</f>
        <v>1311.2425874700984</v>
      </c>
      <c r="AH257" s="273">
        <f>AG257*(1+'2. GRI Pricing Inputs'!$D$114)^((AH$16-AG$16)/365)</f>
        <v>1315.6177168069007</v>
      </c>
      <c r="AI257" s="273">
        <f>AH257*(1+'2. GRI Pricing Inputs'!$D$114)^((AI$16-AH$16)/365)</f>
        <v>1319.8656118538133</v>
      </c>
      <c r="AJ257" s="273">
        <f>AI257*(1+'2. GRI Pricing Inputs'!$D$114)^((AJ$16-AI$16)/365)</f>
        <v>1324.2695130191953</v>
      </c>
      <c r="AK257" s="273">
        <f>AJ257*(1+'2. GRI Pricing Inputs'!$D$114)^((AK$16-AJ$16)/365)</f>
        <v>1328.5453431735541</v>
      </c>
      <c r="AL257" s="273">
        <f>AK257*(1+'2. GRI Pricing Inputs'!$D$114)^((AL$16-AK$16)/365)</f>
        <v>1332.9782053774925</v>
      </c>
      <c r="AM257" s="273">
        <f>AL257*(1+'2. GRI Pricing Inputs'!$D$114)^((AM$16-AL$16)/365)</f>
        <v>1337.4258583956248</v>
      </c>
      <c r="AN257" s="273">
        <f>AM257*(1+'2. GRI Pricing Inputs'!$D$114)^((AN$16-AM$16)/365)</f>
        <v>1341.7441680435675</v>
      </c>
      <c r="AO257" s="273">
        <f>AN257*(1+'2. GRI Pricing Inputs'!$D$114)^((AO$16-AN$16)/365)</f>
        <v>1346.2210698222207</v>
      </c>
    </row>
    <row r="258" spans="3:41" ht="12" x14ac:dyDescent="0.2">
      <c r="C258" s="76" t="str">
        <f>'1. Accomodation'!N262</f>
        <v>505W</v>
      </c>
      <c r="D258" s="69" t="str">
        <f>'1. Accomodation'!P262</f>
        <v>2 Bed</v>
      </c>
      <c r="E258" s="69">
        <f>'1. Accomodation'!Q262</f>
        <v>2</v>
      </c>
      <c r="F258" s="77">
        <f>'1. Accomodation'!O262</f>
        <v>678</v>
      </c>
      <c r="G258" s="69">
        <f>'1. Accomodation'!R262</f>
        <v>5</v>
      </c>
      <c r="H258" s="69" t="str">
        <f>'1. Accomodation'!S262</f>
        <v>Railway Bridge - Mid</v>
      </c>
      <c r="I258" s="62"/>
      <c r="K258" s="272">
        <f>IFERROR(INDEX('2. GRI Pricing Inputs'!$C$15:$AI$16,MATCH($K$16,'2. GRI Pricing Inputs'!$C$15:$C$16,0),MATCH(D258,'2. GRI Pricing Inputs'!$C$15:$AI$15,0)),0)</f>
        <v>1110</v>
      </c>
      <c r="L258" s="273">
        <f>IFERROR(INDEX('2. GRI Pricing Inputs'!$C$22:$AI$23,MATCH($L$16,'2. GRI Pricing Inputs'!$C$22:$C$23,0),MATCH(E258,'2. GRI Pricing Inputs'!$C$22:$AI$22,0)),0)</f>
        <v>0</v>
      </c>
      <c r="M258" s="328">
        <f>IF(AND('3. GRI Pricing'!$F258&gt;='2. GRI Pricing Inputs'!$D$33,'3. GRI Pricing'!$F258&lt;='2. GRI Pricing Inputs'!$E$33),'2. GRI Pricing Inputs'!$D$32,IF(AND('3. GRI Pricing'!$F258&gt;='2. GRI Pricing Inputs'!$F$33,'3. GRI Pricing'!$F258&lt;='2. GRI Pricing Inputs'!$G$33),'2. GRI Pricing Inputs'!$F$32,IF(AND('3. GRI Pricing'!$F258&gt;='2. GRI Pricing Inputs'!$H$33,'3. GRI Pricing'!$F258&lt;='2. GRI Pricing Inputs'!$I$33),'2. GRI Pricing Inputs'!$H$32,IF(AND('3. GRI Pricing'!$F258&gt;='2. GRI Pricing Inputs'!$J$33,'3. GRI Pricing'!$F258&lt;='2. GRI Pricing Inputs'!$K$33),'2. GRI Pricing Inputs'!$J$32,IF(AND('3. GRI Pricing'!$F258&gt;='2. GRI Pricing Inputs'!$L$33,'3. GRI Pricing'!$F258&lt;='2. GRI Pricing Inputs'!$M$33),'2. GRI Pricing Inputs'!$L$32,IF(AND('3. GRI Pricing'!$F258&gt;='2. GRI Pricing Inputs'!$N$33,'3. GRI Pricing'!$F258&lt;='2. GRI Pricing Inputs'!$O$33),'2. GRI Pricing Inputs'!$N$32,IF(AND('3. GRI Pricing'!$F258&gt;='2. GRI Pricing Inputs'!$P$33,'3. GRI Pricing'!$F258&lt;='2. GRI Pricing Inputs'!$Q$33),'2. GRI Pricing Inputs'!$P$32,IF(AND('3. GRI Pricing'!$F258&gt;='2. GRI Pricing Inputs'!$R$33,'3. GRI Pricing'!$F258&lt;='2. GRI Pricing Inputs'!$S$33),'2. GRI Pricing Inputs'!$R$32,IF(AND('3. GRI Pricing'!$F258&gt;='2. GRI Pricing Inputs'!$T$33,'3. GRI Pricing'!$F258&lt;='2. GRI Pricing Inputs'!$U$33),'2. GRI Pricing Inputs'!$T$32,IF(AND('3. GRI Pricing'!$F258&gt;='2. GRI Pricing Inputs'!$V$33,'3. GRI Pricing'!$F258&lt;='2. GRI Pricing Inputs'!$W$33),'2. GRI Pricing Inputs'!$V$32,IF(AND('3. GRI Pricing'!$F258&gt;='2. GRI Pricing Inputs'!$X$33,'3. GRI Pricing'!$F258&lt;='2. GRI Pricing Inputs'!$Y$33),'2. GRI Pricing Inputs'!$X$32,IF(AND('3. GRI Pricing'!$F258&gt;='2. GRI Pricing Inputs'!$Z$33,'3. GRI Pricing'!$F258&lt;='2. GRI Pricing Inputs'!$AA$33),'2. GRI Pricing Inputs'!$Z$32,IF(AND('3. GRI Pricing'!$F258&gt;='2. GRI Pricing Inputs'!$AB$33,'3. GRI Pricing'!$F258&lt;='2. GRI Pricing Inputs'!$AC$33),'2. GRI Pricing Inputs'!$AB$32,IF(AND('3. GRI Pricing'!$F258&gt;='2. GRI Pricing Inputs'!$AD$33,'3. GRI Pricing'!$F258&lt;='2. GRI Pricing Inputs'!$AE$33),'2. GRI Pricing Inputs'!$AD$32,IF(AND('3. GRI Pricing'!$F258&gt;='2. GRI Pricing Inputs'!$AF$33,'3. GRI Pricing'!$F258&lt;='2. GRI Pricing Inputs'!$AG$33),'2. GRI Pricing Inputs'!$AF$32,IF(AND('3. GRI Pricing'!$F258&gt;='2. GRI Pricing Inputs'!$AH$33,'3. GRI Pricing'!$F258&lt;='2. GRI Pricing Inputs'!$AI$33),'2. GRI Pricing Inputs'!$AH$32,0))))))))))))))))</f>
        <v>10</v>
      </c>
      <c r="N258" s="273" cm="1">
        <f t="array" ref="N258">IFERROR(INDEX('2. GRI Pricing Inputs'!$C$32:$AI$39,MATCH('3. GRI Pricing'!D258,'2. GRI Pricing Inputs'!$C$32:$C$39,0),(MATCH('3. GRI Pricing'!M258,'2. GRI Pricing Inputs'!$D$32:$AI$32,0)+1)),0)</f>
        <v>40</v>
      </c>
      <c r="O258" s="273">
        <f>IFERROR(INDEX('2. GRI Pricing Inputs'!$C$45:$AI$46,MATCH($O$16,'2. GRI Pricing Inputs'!$C$45:$C$46,0),MATCH(G258,'2. GRI Pricing Inputs'!$C$45:$AI$45,0)),0)</f>
        <v>70</v>
      </c>
      <c r="P258" s="273">
        <f>IFERROR(INDEX('2. GRI Pricing Inputs'!$C$53:$AI$54,MATCH('3. GRI Pricing'!$P$16,'2. GRI Pricing Inputs'!$C$53:$C$54,0),MATCH('3. GRI Pricing'!H258,'2. GRI Pricing Inputs'!$C$53:$AI$53,0)),0)</f>
        <v>20</v>
      </c>
      <c r="Q258" s="273">
        <f>IFERROR(INDEX('2. GRI Pricing Inputs'!$C$60:$AI$61,MATCH('3. GRI Pricing'!$Q$16,'2. GRI Pricing Inputs'!$C$60:$C$61,0),MATCH('1. Accomodation'!T262,'2. GRI Pricing Inputs'!$C$60:$AI$60,0)),0)</f>
        <v>0</v>
      </c>
      <c r="R258" s="273">
        <f>IFERROR(INDEX('2. GRI Pricing Inputs'!$C$67:$AI$68,MATCH('3. GRI Pricing'!$R$16,'2. GRI Pricing Inputs'!$C$67:$C$68,0),MATCH('1. Accomodation'!U262,'2. GRI Pricing Inputs'!$C$67:$AI$67,0)),0)</f>
        <v>0</v>
      </c>
      <c r="S258" s="273">
        <f>IF(D258=0,0,'2. GRI Pricing Inputs'!$AI$75)</f>
        <v>70</v>
      </c>
      <c r="T258" s="273">
        <f>IFERROR(INDEX('2. GRI Pricing Inputs'!$C$82:$AI$83,MATCH('3. GRI Pricing'!$T$16,'2. GRI Pricing Inputs'!$C$82:$C$83,0),MATCH('1. Accomodation'!V262,'2. GRI Pricing Inputs'!$C$82:$AI$82,0)),0)</f>
        <v>0</v>
      </c>
      <c r="U258" s="273">
        <f>IFERROR(INDEX('2. GRI Pricing Inputs'!$C$89:$AI$90,MATCH('3. GRI Pricing'!$U$16,'2. GRI Pricing Inputs'!$C$89:$C$90,0),MATCH('1. Accomodation'!W262,'2. GRI Pricing Inputs'!$C$89:$AI$89,0)),0)</f>
        <v>0</v>
      </c>
      <c r="V258" s="273">
        <f>IFERROR(INDEX('2. GRI Pricing Inputs'!$C$97:$AI$98,MATCH('3. GRI Pricing'!$V$16,'2. GRI Pricing Inputs'!$C$97:$C$98,0),MATCH('1. Accomodation'!X262,'2. GRI Pricing Inputs'!$C$97:$AI$97,0)),0)</f>
        <v>0</v>
      </c>
      <c r="W258" s="273">
        <f>IFERROR(INDEX('2. GRI Pricing Inputs'!$C$104:$AI$105,MATCH('3. GRI Pricing'!$W$16,'2. GRI Pricing Inputs'!$C$104:$C$105,0),MATCH('1. Accomodation'!Y262,'2. GRI Pricing Inputs'!$C$104:$AI$104,0)),0)</f>
        <v>0</v>
      </c>
      <c r="X258" s="274">
        <v>0</v>
      </c>
      <c r="Y258" s="275">
        <f t="shared" si="10"/>
        <v>1310</v>
      </c>
      <c r="Z258" s="276"/>
      <c r="AA258" s="276"/>
      <c r="AB258" s="276"/>
      <c r="AC258" s="272">
        <f>Y258*(1+'2. GRI Pricing Inputs'!$D$114)^(($AC$16-$AB$15)/365)</f>
        <v>1314.3709832840841</v>
      </c>
      <c r="AD258" s="273">
        <f>AC258*(1+'2. GRI Pricing Inputs'!$D$114)^((AD$16-AC$16)/365)</f>
        <v>1318.614852850731</v>
      </c>
      <c r="AE258" s="273">
        <f>AD258*(1+'2. GRI Pricing Inputs'!$D$114)^((AE$16-AD$16)/365)</f>
        <v>1323.0145806980254</v>
      </c>
      <c r="AF258" s="273">
        <f>AE258*(1+'2. GRI Pricing Inputs'!$D$114)^((AF$16-AE$16)/365)</f>
        <v>1327.4289888024762</v>
      </c>
      <c r="AG258" s="273">
        <f>AF258*(1+'2. GRI Pricing Inputs'!$D$114)^((AG$16-AF$16)/365)</f>
        <v>1331.5719299114955</v>
      </c>
      <c r="AH258" s="273">
        <f>AG258*(1+'2. GRI Pricing Inputs'!$D$114)^((AH$16-AG$16)/365)</f>
        <v>1336.0148907108839</v>
      </c>
      <c r="AI258" s="273">
        <f>AH258*(1+'2. GRI Pricing Inputs'!$D$114)^((AI$16-AH$16)/365)</f>
        <v>1340.3286445957333</v>
      </c>
      <c r="AJ258" s="273">
        <f>AI258*(1+'2. GRI Pricing Inputs'!$D$114)^((AJ$16-AI$16)/365)</f>
        <v>1344.800823298563</v>
      </c>
      <c r="AK258" s="273">
        <f>AJ258*(1+'2. GRI Pricing Inputs'!$D$114)^((AK$16-AJ$16)/365)</f>
        <v>1349.1429453932994</v>
      </c>
      <c r="AL258" s="273">
        <f>AK258*(1+'2. GRI Pricing Inputs'!$D$114)^((AL$16-AK$16)/365)</f>
        <v>1353.6445341430353</v>
      </c>
      <c r="AM258" s="273">
        <f>AL258*(1+'2. GRI Pricing Inputs'!$D$114)^((AM$16-AL$16)/365)</f>
        <v>1358.1611430219141</v>
      </c>
      <c r="AN258" s="273">
        <f>AM258*(1+'2. GRI Pricing Inputs'!$D$114)^((AN$16-AM$16)/365)</f>
        <v>1362.5464032070342</v>
      </c>
      <c r="AO258" s="273">
        <f>AN258*(1+'2. GRI Pricing Inputs'!$D$114)^((AO$16-AN$16)/365)</f>
        <v>1367.0927143155891</v>
      </c>
    </row>
    <row r="259" spans="3:41" ht="12" x14ac:dyDescent="0.2">
      <c r="C259" s="76" t="str">
        <f>'1. Accomodation'!N263</f>
        <v>506W</v>
      </c>
      <c r="D259" s="69" t="str">
        <f>'1. Accomodation'!P263</f>
        <v>1 Bed</v>
      </c>
      <c r="E259" s="69">
        <f>'1. Accomodation'!Q263</f>
        <v>1</v>
      </c>
      <c r="F259" s="77">
        <f>'1. Accomodation'!O263</f>
        <v>506</v>
      </c>
      <c r="G259" s="69">
        <f>'1. Accomodation'!R263</f>
        <v>5</v>
      </c>
      <c r="H259" s="69" t="str">
        <f>'1. Accomodation'!S263</f>
        <v>Railway Bridge - Mid</v>
      </c>
      <c r="I259" s="62"/>
      <c r="K259" s="272">
        <f>IFERROR(INDEX('2. GRI Pricing Inputs'!$C$15:$AI$16,MATCH($K$16,'2. GRI Pricing Inputs'!$C$15:$C$16,0),MATCH(D259,'2. GRI Pricing Inputs'!$C$15:$AI$15,0)),0)</f>
        <v>845</v>
      </c>
      <c r="L259" s="273">
        <f>IFERROR(INDEX('2. GRI Pricing Inputs'!$C$22:$AI$23,MATCH($L$16,'2. GRI Pricing Inputs'!$C$22:$C$23,0),MATCH(E259,'2. GRI Pricing Inputs'!$C$22:$AI$22,0)),0)</f>
        <v>0</v>
      </c>
      <c r="M259" s="328">
        <f>IF(AND('3. GRI Pricing'!$F259&gt;='2. GRI Pricing Inputs'!$D$33,'3. GRI Pricing'!$F259&lt;='2. GRI Pricing Inputs'!$E$33),'2. GRI Pricing Inputs'!$D$32,IF(AND('3. GRI Pricing'!$F259&gt;='2. GRI Pricing Inputs'!$F$33,'3. GRI Pricing'!$F259&lt;='2. GRI Pricing Inputs'!$G$33),'2. GRI Pricing Inputs'!$F$32,IF(AND('3. GRI Pricing'!$F259&gt;='2. GRI Pricing Inputs'!$H$33,'3. GRI Pricing'!$F259&lt;='2. GRI Pricing Inputs'!$I$33),'2. GRI Pricing Inputs'!$H$32,IF(AND('3. GRI Pricing'!$F259&gt;='2. GRI Pricing Inputs'!$J$33,'3. GRI Pricing'!$F259&lt;='2. GRI Pricing Inputs'!$K$33),'2. GRI Pricing Inputs'!$J$32,IF(AND('3. GRI Pricing'!$F259&gt;='2. GRI Pricing Inputs'!$L$33,'3. GRI Pricing'!$F259&lt;='2. GRI Pricing Inputs'!$M$33),'2. GRI Pricing Inputs'!$L$32,IF(AND('3. GRI Pricing'!$F259&gt;='2. GRI Pricing Inputs'!$N$33,'3. GRI Pricing'!$F259&lt;='2. GRI Pricing Inputs'!$O$33),'2. GRI Pricing Inputs'!$N$32,IF(AND('3. GRI Pricing'!$F259&gt;='2. GRI Pricing Inputs'!$P$33,'3. GRI Pricing'!$F259&lt;='2. GRI Pricing Inputs'!$Q$33),'2. GRI Pricing Inputs'!$P$32,IF(AND('3. GRI Pricing'!$F259&gt;='2. GRI Pricing Inputs'!$R$33,'3. GRI Pricing'!$F259&lt;='2. GRI Pricing Inputs'!$S$33),'2. GRI Pricing Inputs'!$R$32,IF(AND('3. GRI Pricing'!$F259&gt;='2. GRI Pricing Inputs'!$T$33,'3. GRI Pricing'!$F259&lt;='2. GRI Pricing Inputs'!$U$33),'2. GRI Pricing Inputs'!$T$32,IF(AND('3. GRI Pricing'!$F259&gt;='2. GRI Pricing Inputs'!$V$33,'3. GRI Pricing'!$F259&lt;='2. GRI Pricing Inputs'!$W$33),'2. GRI Pricing Inputs'!$V$32,IF(AND('3. GRI Pricing'!$F259&gt;='2. GRI Pricing Inputs'!$X$33,'3. GRI Pricing'!$F259&lt;='2. GRI Pricing Inputs'!$Y$33),'2. GRI Pricing Inputs'!$X$32,IF(AND('3. GRI Pricing'!$F259&gt;='2. GRI Pricing Inputs'!$Z$33,'3. GRI Pricing'!$F259&lt;='2. GRI Pricing Inputs'!$AA$33),'2. GRI Pricing Inputs'!$Z$32,IF(AND('3. GRI Pricing'!$F259&gt;='2. GRI Pricing Inputs'!$AB$33,'3. GRI Pricing'!$F259&lt;='2. GRI Pricing Inputs'!$AC$33),'2. GRI Pricing Inputs'!$AB$32,IF(AND('3. GRI Pricing'!$F259&gt;='2. GRI Pricing Inputs'!$AD$33,'3. GRI Pricing'!$F259&lt;='2. GRI Pricing Inputs'!$AE$33),'2. GRI Pricing Inputs'!$AD$32,IF(AND('3. GRI Pricing'!$F259&gt;='2. GRI Pricing Inputs'!$AF$33,'3. GRI Pricing'!$F259&lt;='2. GRI Pricing Inputs'!$AG$33),'2. GRI Pricing Inputs'!$AF$32,IF(AND('3. GRI Pricing'!$F259&gt;='2. GRI Pricing Inputs'!$AH$33,'3. GRI Pricing'!$F259&lt;='2. GRI Pricing Inputs'!$AI$33),'2. GRI Pricing Inputs'!$AH$32,0))))))))))))))))</f>
        <v>2</v>
      </c>
      <c r="N259" s="273" cm="1">
        <f t="array" ref="N259">IFERROR(INDEX('2. GRI Pricing Inputs'!$C$32:$AI$39,MATCH('3. GRI Pricing'!D259,'2. GRI Pricing Inputs'!$C$32:$C$39,0),(MATCH('3. GRI Pricing'!M259,'2. GRI Pricing Inputs'!$D$32:$AI$32,0)+1)),0)</f>
        <v>15</v>
      </c>
      <c r="O259" s="273">
        <f>IFERROR(INDEX('2. GRI Pricing Inputs'!$C$45:$AI$46,MATCH($O$16,'2. GRI Pricing Inputs'!$C$45:$C$46,0),MATCH(G259,'2. GRI Pricing Inputs'!$C$45:$AI$45,0)),0)</f>
        <v>70</v>
      </c>
      <c r="P259" s="273">
        <f>IFERROR(INDEX('2. GRI Pricing Inputs'!$C$53:$AI$54,MATCH('3. GRI Pricing'!$P$16,'2. GRI Pricing Inputs'!$C$53:$C$54,0),MATCH('3. GRI Pricing'!H259,'2. GRI Pricing Inputs'!$C$53:$AI$53,0)),0)</f>
        <v>20</v>
      </c>
      <c r="Q259" s="273">
        <f>IFERROR(INDEX('2. GRI Pricing Inputs'!$C$60:$AI$61,MATCH('3. GRI Pricing'!$Q$16,'2. GRI Pricing Inputs'!$C$60:$C$61,0),MATCH('1. Accomodation'!T263,'2. GRI Pricing Inputs'!$C$60:$AI$60,0)),0)</f>
        <v>0</v>
      </c>
      <c r="R259" s="273">
        <f>IFERROR(INDEX('2. GRI Pricing Inputs'!$C$67:$AI$68,MATCH('3. GRI Pricing'!$R$16,'2. GRI Pricing Inputs'!$C$67:$C$68,0),MATCH('1. Accomodation'!U263,'2. GRI Pricing Inputs'!$C$67:$AI$67,0)),0)</f>
        <v>0</v>
      </c>
      <c r="S259" s="273">
        <f>IF(D259=0,0,'2. GRI Pricing Inputs'!$AI$75)</f>
        <v>70</v>
      </c>
      <c r="T259" s="273">
        <f>IFERROR(INDEX('2. GRI Pricing Inputs'!$C$82:$AI$83,MATCH('3. GRI Pricing'!$T$16,'2. GRI Pricing Inputs'!$C$82:$C$83,0),MATCH('1. Accomodation'!V263,'2. GRI Pricing Inputs'!$C$82:$AI$82,0)),0)</f>
        <v>0</v>
      </c>
      <c r="U259" s="273">
        <f>IFERROR(INDEX('2. GRI Pricing Inputs'!$C$89:$AI$90,MATCH('3. GRI Pricing'!$U$16,'2. GRI Pricing Inputs'!$C$89:$C$90,0),MATCH('1. Accomodation'!W263,'2. GRI Pricing Inputs'!$C$89:$AI$89,0)),0)</f>
        <v>0</v>
      </c>
      <c r="V259" s="273">
        <f>IFERROR(INDEX('2. GRI Pricing Inputs'!$C$97:$AI$98,MATCH('3. GRI Pricing'!$V$16,'2. GRI Pricing Inputs'!$C$97:$C$98,0),MATCH('1. Accomodation'!X263,'2. GRI Pricing Inputs'!$C$97:$AI$97,0)),0)</f>
        <v>0</v>
      </c>
      <c r="W259" s="273">
        <f>IFERROR(INDEX('2. GRI Pricing Inputs'!$C$104:$AI$105,MATCH('3. GRI Pricing'!$W$16,'2. GRI Pricing Inputs'!$C$104:$C$105,0),MATCH('1. Accomodation'!Y263,'2. GRI Pricing Inputs'!$C$104:$AI$104,0)),0)</f>
        <v>0</v>
      </c>
      <c r="X259" s="274">
        <v>0</v>
      </c>
      <c r="Y259" s="275">
        <f t="shared" si="10"/>
        <v>1020</v>
      </c>
      <c r="Z259" s="276"/>
      <c r="AA259" s="276"/>
      <c r="AB259" s="276"/>
      <c r="AC259" s="272">
        <f>Y259*(1+'2. GRI Pricing Inputs'!$D$114)^(($AC$16-$AB$15)/365)</f>
        <v>1023.4033610303555</v>
      </c>
      <c r="AD259" s="273">
        <f>AC259*(1+'2. GRI Pricing Inputs'!$D$114)^((AD$16-AC$16)/365)</f>
        <v>1026.7077480211799</v>
      </c>
      <c r="AE259" s="273">
        <f>AD259*(1+'2. GRI Pricing Inputs'!$D$114)^((AE$16-AD$16)/365)</f>
        <v>1030.133490314493</v>
      </c>
      <c r="AF259" s="273">
        <f>AE259*(1+'2. GRI Pricing Inputs'!$D$114)^((AF$16-AE$16)/365)</f>
        <v>1033.5706630370426</v>
      </c>
      <c r="AG259" s="273">
        <f>AF259*(1+'2. GRI Pricing Inputs'!$D$114)^((AG$16-AF$16)/365)</f>
        <v>1036.7964645112409</v>
      </c>
      <c r="AH259" s="273">
        <f>AG259*(1+'2. GRI Pricing Inputs'!$D$114)^((AH$16-AG$16)/365)</f>
        <v>1040.2558691031311</v>
      </c>
      <c r="AI259" s="273">
        <f>AH259*(1+'2. GRI Pricing Inputs'!$D$114)^((AI$16-AH$16)/365)</f>
        <v>1043.6146698378993</v>
      </c>
      <c r="AJ259" s="273">
        <f>AI259*(1+'2. GRI Pricing Inputs'!$D$114)^((AJ$16-AI$16)/365)</f>
        <v>1047.0968242477363</v>
      </c>
      <c r="AK259" s="273">
        <f>AJ259*(1+'2. GRI Pricing Inputs'!$D$114)^((AK$16-AJ$16)/365)</f>
        <v>1050.4777132069969</v>
      </c>
      <c r="AL259" s="273">
        <f>AK259*(1+'2. GRI Pricing Inputs'!$D$114)^((AL$16-AK$16)/365)</f>
        <v>1053.9827670426691</v>
      </c>
      <c r="AM259" s="273">
        <f>AL259*(1+'2. GRI Pricing Inputs'!$D$114)^((AM$16-AL$16)/365)</f>
        <v>1057.4995159407274</v>
      </c>
      <c r="AN259" s="273">
        <f>AM259*(1+'2. GRI Pricing Inputs'!$D$114)^((AN$16-AM$16)/365)</f>
        <v>1060.9139933367751</v>
      </c>
      <c r="AO259" s="273">
        <f>AN259*(1+'2. GRI Pricing Inputs'!$D$114)^((AO$16-AN$16)/365)</f>
        <v>1064.4538691617568</v>
      </c>
    </row>
    <row r="260" spans="3:41" ht="12" x14ac:dyDescent="0.2">
      <c r="C260" s="76" t="str">
        <f>'1. Accomodation'!N264</f>
        <v>507W</v>
      </c>
      <c r="D260" s="69" t="str">
        <f>'1. Accomodation'!P264</f>
        <v>1 Bed</v>
      </c>
      <c r="E260" s="69">
        <f>'1. Accomodation'!Q264</f>
        <v>1</v>
      </c>
      <c r="F260" s="77">
        <f>'1. Accomodation'!O264</f>
        <v>474</v>
      </c>
      <c r="G260" s="69">
        <f>'1. Accomodation'!R264</f>
        <v>5</v>
      </c>
      <c r="H260" s="69" t="str">
        <f>'1. Accomodation'!S264</f>
        <v>Pottery Lane</v>
      </c>
      <c r="I260" s="62"/>
      <c r="K260" s="272">
        <f>IFERROR(INDEX('2. GRI Pricing Inputs'!$C$15:$AI$16,MATCH($K$16,'2. GRI Pricing Inputs'!$C$15:$C$16,0),MATCH(D260,'2. GRI Pricing Inputs'!$C$15:$AI$15,0)),0)</f>
        <v>845</v>
      </c>
      <c r="L260" s="273">
        <f>IFERROR(INDEX('2. GRI Pricing Inputs'!$C$22:$AI$23,MATCH($L$16,'2. GRI Pricing Inputs'!$C$22:$C$23,0),MATCH(E260,'2. GRI Pricing Inputs'!$C$22:$AI$22,0)),0)</f>
        <v>0</v>
      </c>
      <c r="M260" s="328">
        <f>IF(AND('3. GRI Pricing'!$F260&gt;='2. GRI Pricing Inputs'!$D$33,'3. GRI Pricing'!$F260&lt;='2. GRI Pricing Inputs'!$E$33),'2. GRI Pricing Inputs'!$D$32,IF(AND('3. GRI Pricing'!$F260&gt;='2. GRI Pricing Inputs'!$F$33,'3. GRI Pricing'!$F260&lt;='2. GRI Pricing Inputs'!$G$33),'2. GRI Pricing Inputs'!$F$32,IF(AND('3. GRI Pricing'!$F260&gt;='2. GRI Pricing Inputs'!$H$33,'3. GRI Pricing'!$F260&lt;='2. GRI Pricing Inputs'!$I$33),'2. GRI Pricing Inputs'!$H$32,IF(AND('3. GRI Pricing'!$F260&gt;='2. GRI Pricing Inputs'!$J$33,'3. GRI Pricing'!$F260&lt;='2. GRI Pricing Inputs'!$K$33),'2. GRI Pricing Inputs'!$J$32,IF(AND('3. GRI Pricing'!$F260&gt;='2. GRI Pricing Inputs'!$L$33,'3. GRI Pricing'!$F260&lt;='2. GRI Pricing Inputs'!$M$33),'2. GRI Pricing Inputs'!$L$32,IF(AND('3. GRI Pricing'!$F260&gt;='2. GRI Pricing Inputs'!$N$33,'3. GRI Pricing'!$F260&lt;='2. GRI Pricing Inputs'!$O$33),'2. GRI Pricing Inputs'!$N$32,IF(AND('3. GRI Pricing'!$F260&gt;='2. GRI Pricing Inputs'!$P$33,'3. GRI Pricing'!$F260&lt;='2. GRI Pricing Inputs'!$Q$33),'2. GRI Pricing Inputs'!$P$32,IF(AND('3. GRI Pricing'!$F260&gt;='2. GRI Pricing Inputs'!$R$33,'3. GRI Pricing'!$F260&lt;='2. GRI Pricing Inputs'!$S$33),'2. GRI Pricing Inputs'!$R$32,IF(AND('3. GRI Pricing'!$F260&gt;='2. GRI Pricing Inputs'!$T$33,'3. GRI Pricing'!$F260&lt;='2. GRI Pricing Inputs'!$U$33),'2. GRI Pricing Inputs'!$T$32,IF(AND('3. GRI Pricing'!$F260&gt;='2. GRI Pricing Inputs'!$V$33,'3. GRI Pricing'!$F260&lt;='2. GRI Pricing Inputs'!$W$33),'2. GRI Pricing Inputs'!$V$32,IF(AND('3. GRI Pricing'!$F260&gt;='2. GRI Pricing Inputs'!$X$33,'3. GRI Pricing'!$F260&lt;='2. GRI Pricing Inputs'!$Y$33),'2. GRI Pricing Inputs'!$X$32,IF(AND('3. GRI Pricing'!$F260&gt;='2. GRI Pricing Inputs'!$Z$33,'3. GRI Pricing'!$F260&lt;='2. GRI Pricing Inputs'!$AA$33),'2. GRI Pricing Inputs'!$Z$32,IF(AND('3. GRI Pricing'!$F260&gt;='2. GRI Pricing Inputs'!$AB$33,'3. GRI Pricing'!$F260&lt;='2. GRI Pricing Inputs'!$AC$33),'2. GRI Pricing Inputs'!$AB$32,IF(AND('3. GRI Pricing'!$F260&gt;='2. GRI Pricing Inputs'!$AD$33,'3. GRI Pricing'!$F260&lt;='2. GRI Pricing Inputs'!$AE$33),'2. GRI Pricing Inputs'!$AD$32,IF(AND('3. GRI Pricing'!$F260&gt;='2. GRI Pricing Inputs'!$AF$33,'3. GRI Pricing'!$F260&lt;='2. GRI Pricing Inputs'!$AG$33),'2. GRI Pricing Inputs'!$AF$32,IF(AND('3. GRI Pricing'!$F260&gt;='2. GRI Pricing Inputs'!$AH$33,'3. GRI Pricing'!$F260&lt;='2. GRI Pricing Inputs'!$AI$33),'2. GRI Pricing Inputs'!$AH$32,0))))))))))))))))</f>
        <v>0</v>
      </c>
      <c r="N260" s="273" cm="1">
        <f t="array" ref="N260">IFERROR(INDEX('2. GRI Pricing Inputs'!$C$32:$AI$39,MATCH('3. GRI Pricing'!D260,'2. GRI Pricing Inputs'!$C$32:$C$39,0),(MATCH('3. GRI Pricing'!M260,'2. GRI Pricing Inputs'!$D$32:$AI$32,0)+1)),0)</f>
        <v>0</v>
      </c>
      <c r="O260" s="273">
        <f>IFERROR(INDEX('2. GRI Pricing Inputs'!$C$45:$AI$46,MATCH($O$16,'2. GRI Pricing Inputs'!$C$45:$C$46,0),MATCH(G260,'2. GRI Pricing Inputs'!$C$45:$AI$45,0)),0)</f>
        <v>70</v>
      </c>
      <c r="P260" s="273">
        <f>IFERROR(INDEX('2. GRI Pricing Inputs'!$C$53:$AI$54,MATCH('3. GRI Pricing'!$P$16,'2. GRI Pricing Inputs'!$C$53:$C$54,0),MATCH('3. GRI Pricing'!H260,'2. GRI Pricing Inputs'!$C$53:$AI$53,0)),0)</f>
        <v>10</v>
      </c>
      <c r="Q260" s="273">
        <f>IFERROR(INDEX('2. GRI Pricing Inputs'!$C$60:$AI$61,MATCH('3. GRI Pricing'!$Q$16,'2. GRI Pricing Inputs'!$C$60:$C$61,0),MATCH('1. Accomodation'!T264,'2. GRI Pricing Inputs'!$C$60:$AI$60,0)),0)</f>
        <v>0</v>
      </c>
      <c r="R260" s="273">
        <f>IFERROR(INDEX('2. GRI Pricing Inputs'!$C$67:$AI$68,MATCH('3. GRI Pricing'!$R$16,'2. GRI Pricing Inputs'!$C$67:$C$68,0),MATCH('1. Accomodation'!U264,'2. GRI Pricing Inputs'!$C$67:$AI$67,0)),0)</f>
        <v>0</v>
      </c>
      <c r="S260" s="273">
        <f>IF(D260=0,0,'2. GRI Pricing Inputs'!$AI$75)</f>
        <v>70</v>
      </c>
      <c r="T260" s="273">
        <f>IFERROR(INDEX('2. GRI Pricing Inputs'!$C$82:$AI$83,MATCH('3. GRI Pricing'!$T$16,'2. GRI Pricing Inputs'!$C$82:$C$83,0),MATCH('1. Accomodation'!V264,'2. GRI Pricing Inputs'!$C$82:$AI$82,0)),0)</f>
        <v>0</v>
      </c>
      <c r="U260" s="273">
        <f>IFERROR(INDEX('2. GRI Pricing Inputs'!$C$89:$AI$90,MATCH('3. GRI Pricing'!$U$16,'2. GRI Pricing Inputs'!$C$89:$C$90,0),MATCH('1. Accomodation'!W264,'2. GRI Pricing Inputs'!$C$89:$AI$89,0)),0)</f>
        <v>0</v>
      </c>
      <c r="V260" s="273">
        <f>IFERROR(INDEX('2. GRI Pricing Inputs'!$C$97:$AI$98,MATCH('3. GRI Pricing'!$V$16,'2. GRI Pricing Inputs'!$C$97:$C$98,0),MATCH('1. Accomodation'!X264,'2. GRI Pricing Inputs'!$C$97:$AI$97,0)),0)</f>
        <v>0</v>
      </c>
      <c r="W260" s="273">
        <f>IFERROR(INDEX('2. GRI Pricing Inputs'!$C$104:$AI$105,MATCH('3. GRI Pricing'!$W$16,'2. GRI Pricing Inputs'!$C$104:$C$105,0),MATCH('1. Accomodation'!Y264,'2. GRI Pricing Inputs'!$C$104:$AI$104,0)),0)</f>
        <v>0</v>
      </c>
      <c r="X260" s="274">
        <v>0</v>
      </c>
      <c r="Y260" s="275">
        <f t="shared" si="10"/>
        <v>995</v>
      </c>
      <c r="Z260" s="276"/>
      <c r="AA260" s="276"/>
      <c r="AB260" s="276"/>
      <c r="AC260" s="272">
        <f>Y260*(1+'2. GRI Pricing Inputs'!$D$114)^(($AC$16-$AB$15)/365)</f>
        <v>998.31994531882731</v>
      </c>
      <c r="AD260" s="273">
        <f>AC260*(1+'2. GRI Pricing Inputs'!$D$114)^((AD$16-AC$16)/365)</f>
        <v>1001.5433424324254</v>
      </c>
      <c r="AE260" s="273">
        <f>AD260*(1+'2. GRI Pricing Inputs'!$D$114)^((AE$16-AD$16)/365)</f>
        <v>1004.8851204538437</v>
      </c>
      <c r="AF260" s="273">
        <f>AE260*(1+'2. GRI Pricing Inputs'!$D$114)^((AF$16-AE$16)/365)</f>
        <v>1008.2380487469189</v>
      </c>
      <c r="AG260" s="273">
        <f>AF260*(1+'2. GRI Pricing Inputs'!$D$114)^((AG$16-AF$16)/365)</f>
        <v>1011.3847864594946</v>
      </c>
      <c r="AH260" s="273">
        <f>AG260*(1+'2. GRI Pricing Inputs'!$D$114)^((AH$16-AG$16)/365)</f>
        <v>1014.7594017231522</v>
      </c>
      <c r="AI260" s="273">
        <f>AH260*(1+'2. GRI Pricing Inputs'!$D$114)^((AI$16-AH$16)/365)</f>
        <v>1018.0358789104996</v>
      </c>
      <c r="AJ260" s="273">
        <f>AI260*(1+'2. GRI Pricing Inputs'!$D$114)^((AJ$16-AI$16)/365)</f>
        <v>1021.4326863985268</v>
      </c>
      <c r="AK260" s="273">
        <f>AJ260*(1+'2. GRI Pricing Inputs'!$D$114)^((AK$16-AJ$16)/365)</f>
        <v>1024.7307104323152</v>
      </c>
      <c r="AL260" s="273">
        <f>AK260*(1+'2. GRI Pricing Inputs'!$D$114)^((AL$16-AK$16)/365)</f>
        <v>1028.1498560857406</v>
      </c>
      <c r="AM260" s="273">
        <f>AL260*(1+'2. GRI Pricing Inputs'!$D$114)^((AM$16-AL$16)/365)</f>
        <v>1031.580410157866</v>
      </c>
      <c r="AN260" s="273">
        <f>AM260*(1+'2. GRI Pricing Inputs'!$D$114)^((AN$16-AM$16)/365)</f>
        <v>1034.911199382442</v>
      </c>
      <c r="AO260" s="273">
        <f>AN260*(1+'2. GRI Pricing Inputs'!$D$114)^((AO$16-AN$16)/365)</f>
        <v>1038.3643135450466</v>
      </c>
    </row>
    <row r="261" spans="3:41" ht="12" x14ac:dyDescent="0.2">
      <c r="C261" s="76" t="str">
        <f>'1. Accomodation'!N265</f>
        <v>508W</v>
      </c>
      <c r="D261" s="69" t="str">
        <f>'1. Accomodation'!P265</f>
        <v>2 Bed</v>
      </c>
      <c r="E261" s="69">
        <f>'1. Accomodation'!Q265</f>
        <v>2</v>
      </c>
      <c r="F261" s="77">
        <f>'1. Accomodation'!O265</f>
        <v>667</v>
      </c>
      <c r="G261" s="69">
        <f>'1. Accomodation'!R265</f>
        <v>5</v>
      </c>
      <c r="H261" s="69" t="str">
        <f>'1. Accomodation'!S265</f>
        <v>Courtyard</v>
      </c>
      <c r="I261" s="62"/>
      <c r="K261" s="272">
        <f>IFERROR(INDEX('2. GRI Pricing Inputs'!$C$15:$AI$16,MATCH($K$16,'2. GRI Pricing Inputs'!$C$15:$C$16,0),MATCH(D261,'2. GRI Pricing Inputs'!$C$15:$AI$15,0)),0)</f>
        <v>1110</v>
      </c>
      <c r="L261" s="273">
        <f>IFERROR(INDEX('2. GRI Pricing Inputs'!$C$22:$AI$23,MATCH($L$16,'2. GRI Pricing Inputs'!$C$22:$C$23,0),MATCH(E261,'2. GRI Pricing Inputs'!$C$22:$AI$22,0)),0)</f>
        <v>0</v>
      </c>
      <c r="M261" s="328">
        <f>IF(AND('3. GRI Pricing'!$F261&gt;='2. GRI Pricing Inputs'!$D$33,'3. GRI Pricing'!$F261&lt;='2. GRI Pricing Inputs'!$E$33),'2. GRI Pricing Inputs'!$D$32,IF(AND('3. GRI Pricing'!$F261&gt;='2. GRI Pricing Inputs'!$F$33,'3. GRI Pricing'!$F261&lt;='2. GRI Pricing Inputs'!$G$33),'2. GRI Pricing Inputs'!$F$32,IF(AND('3. GRI Pricing'!$F261&gt;='2. GRI Pricing Inputs'!$H$33,'3. GRI Pricing'!$F261&lt;='2. GRI Pricing Inputs'!$I$33),'2. GRI Pricing Inputs'!$H$32,IF(AND('3. GRI Pricing'!$F261&gt;='2. GRI Pricing Inputs'!$J$33,'3. GRI Pricing'!$F261&lt;='2. GRI Pricing Inputs'!$K$33),'2. GRI Pricing Inputs'!$J$32,IF(AND('3. GRI Pricing'!$F261&gt;='2. GRI Pricing Inputs'!$L$33,'3. GRI Pricing'!$F261&lt;='2. GRI Pricing Inputs'!$M$33),'2. GRI Pricing Inputs'!$L$32,IF(AND('3. GRI Pricing'!$F261&gt;='2. GRI Pricing Inputs'!$N$33,'3. GRI Pricing'!$F261&lt;='2. GRI Pricing Inputs'!$O$33),'2. GRI Pricing Inputs'!$N$32,IF(AND('3. GRI Pricing'!$F261&gt;='2. GRI Pricing Inputs'!$P$33,'3. GRI Pricing'!$F261&lt;='2. GRI Pricing Inputs'!$Q$33),'2. GRI Pricing Inputs'!$P$32,IF(AND('3. GRI Pricing'!$F261&gt;='2. GRI Pricing Inputs'!$R$33,'3. GRI Pricing'!$F261&lt;='2. GRI Pricing Inputs'!$S$33),'2. GRI Pricing Inputs'!$R$32,IF(AND('3. GRI Pricing'!$F261&gt;='2. GRI Pricing Inputs'!$T$33,'3. GRI Pricing'!$F261&lt;='2. GRI Pricing Inputs'!$U$33),'2. GRI Pricing Inputs'!$T$32,IF(AND('3. GRI Pricing'!$F261&gt;='2. GRI Pricing Inputs'!$V$33,'3. GRI Pricing'!$F261&lt;='2. GRI Pricing Inputs'!$W$33),'2. GRI Pricing Inputs'!$V$32,IF(AND('3. GRI Pricing'!$F261&gt;='2. GRI Pricing Inputs'!$X$33,'3. GRI Pricing'!$F261&lt;='2. GRI Pricing Inputs'!$Y$33),'2. GRI Pricing Inputs'!$X$32,IF(AND('3. GRI Pricing'!$F261&gt;='2. GRI Pricing Inputs'!$Z$33,'3. GRI Pricing'!$F261&lt;='2. GRI Pricing Inputs'!$AA$33),'2. GRI Pricing Inputs'!$Z$32,IF(AND('3. GRI Pricing'!$F261&gt;='2. GRI Pricing Inputs'!$AB$33,'3. GRI Pricing'!$F261&lt;='2. GRI Pricing Inputs'!$AC$33),'2. GRI Pricing Inputs'!$AB$32,IF(AND('3. GRI Pricing'!$F261&gt;='2. GRI Pricing Inputs'!$AD$33,'3. GRI Pricing'!$F261&lt;='2. GRI Pricing Inputs'!$AE$33),'2. GRI Pricing Inputs'!$AD$32,IF(AND('3. GRI Pricing'!$F261&gt;='2. GRI Pricing Inputs'!$AF$33,'3. GRI Pricing'!$F261&lt;='2. GRI Pricing Inputs'!$AG$33),'2. GRI Pricing Inputs'!$AF$32,IF(AND('3. GRI Pricing'!$F261&gt;='2. GRI Pricing Inputs'!$AH$33,'3. GRI Pricing'!$F261&lt;='2. GRI Pricing Inputs'!$AI$33),'2. GRI Pricing Inputs'!$AH$32,0))))))))))))))))</f>
        <v>9</v>
      </c>
      <c r="N261" s="273" cm="1">
        <f t="array" ref="N261">IFERROR(INDEX('2. GRI Pricing Inputs'!$C$32:$AI$39,MATCH('3. GRI Pricing'!D261,'2. GRI Pricing Inputs'!$C$32:$C$39,0),(MATCH('3. GRI Pricing'!M261,'2. GRI Pricing Inputs'!$D$32:$AI$32,0)+1)),0)</f>
        <v>30</v>
      </c>
      <c r="O261" s="273">
        <f>IFERROR(INDEX('2. GRI Pricing Inputs'!$C$45:$AI$46,MATCH($O$16,'2. GRI Pricing Inputs'!$C$45:$C$46,0),MATCH(G261,'2. GRI Pricing Inputs'!$C$45:$AI$45,0)),0)</f>
        <v>70</v>
      </c>
      <c r="P261" s="273">
        <f>IFERROR(INDEX('2. GRI Pricing Inputs'!$C$53:$AI$54,MATCH('3. GRI Pricing'!$P$16,'2. GRI Pricing Inputs'!$C$53:$C$54,0),MATCH('3. GRI Pricing'!H261,'2. GRI Pricing Inputs'!$C$53:$AI$53,0)),0)</f>
        <v>25</v>
      </c>
      <c r="Q261" s="273">
        <f>IFERROR(INDEX('2. GRI Pricing Inputs'!$C$60:$AI$61,MATCH('3. GRI Pricing'!$Q$16,'2. GRI Pricing Inputs'!$C$60:$C$61,0),MATCH('1. Accomodation'!T265,'2. GRI Pricing Inputs'!$C$60:$AI$60,0)),0)</f>
        <v>0</v>
      </c>
      <c r="R261" s="273">
        <f>IFERROR(INDEX('2. GRI Pricing Inputs'!$C$67:$AI$68,MATCH('3. GRI Pricing'!$R$16,'2. GRI Pricing Inputs'!$C$67:$C$68,0),MATCH('1. Accomodation'!U265,'2. GRI Pricing Inputs'!$C$67:$AI$67,0)),0)</f>
        <v>0</v>
      </c>
      <c r="S261" s="273">
        <f>IF(D261=0,0,'2. GRI Pricing Inputs'!$AI$75)</f>
        <v>70</v>
      </c>
      <c r="T261" s="273">
        <f>IFERROR(INDEX('2. GRI Pricing Inputs'!$C$82:$AI$83,MATCH('3. GRI Pricing'!$T$16,'2. GRI Pricing Inputs'!$C$82:$C$83,0),MATCH('1. Accomodation'!V265,'2. GRI Pricing Inputs'!$C$82:$AI$82,0)),0)</f>
        <v>0</v>
      </c>
      <c r="U261" s="273">
        <f>IFERROR(INDEX('2. GRI Pricing Inputs'!$C$89:$AI$90,MATCH('3. GRI Pricing'!$U$16,'2. GRI Pricing Inputs'!$C$89:$C$90,0),MATCH('1. Accomodation'!W265,'2. GRI Pricing Inputs'!$C$89:$AI$89,0)),0)</f>
        <v>0</v>
      </c>
      <c r="V261" s="273">
        <f>IFERROR(INDEX('2. GRI Pricing Inputs'!$C$97:$AI$98,MATCH('3. GRI Pricing'!$V$16,'2. GRI Pricing Inputs'!$C$97:$C$98,0),MATCH('1. Accomodation'!X265,'2. GRI Pricing Inputs'!$C$97:$AI$97,0)),0)</f>
        <v>0</v>
      </c>
      <c r="W261" s="273">
        <f>IFERROR(INDEX('2. GRI Pricing Inputs'!$C$104:$AI$105,MATCH('3. GRI Pricing'!$W$16,'2. GRI Pricing Inputs'!$C$104:$C$105,0),MATCH('1. Accomodation'!Y265,'2. GRI Pricing Inputs'!$C$104:$AI$104,0)),0)</f>
        <v>0</v>
      </c>
      <c r="X261" s="274">
        <v>0</v>
      </c>
      <c r="Y261" s="275">
        <f t="shared" si="10"/>
        <v>1305</v>
      </c>
      <c r="Z261" s="276"/>
      <c r="AA261" s="276"/>
      <c r="AB261" s="276"/>
      <c r="AC261" s="272">
        <f>Y261*(1+'2. GRI Pricing Inputs'!$D$114)^(($AC$16-$AB$15)/365)</f>
        <v>1309.3543001417784</v>
      </c>
      <c r="AD261" s="273">
        <f>AC261*(1+'2. GRI Pricing Inputs'!$D$114)^((AD$16-AC$16)/365)</f>
        <v>1313.58197173298</v>
      </c>
      <c r="AE261" s="273">
        <f>AD261*(1+'2. GRI Pricing Inputs'!$D$114)^((AE$16-AD$16)/365)</f>
        <v>1317.9649067258954</v>
      </c>
      <c r="AF261" s="273">
        <f>AE261*(1+'2. GRI Pricing Inputs'!$D$114)^((AF$16-AE$16)/365)</f>
        <v>1322.3624659444515</v>
      </c>
      <c r="AG261" s="273">
        <f>AF261*(1+'2. GRI Pricing Inputs'!$D$114)^((AG$16-AF$16)/365)</f>
        <v>1326.4895943011463</v>
      </c>
      <c r="AH261" s="273">
        <f>AG261*(1+'2. GRI Pricing Inputs'!$D$114)^((AH$16-AG$16)/365)</f>
        <v>1330.9155972348881</v>
      </c>
      <c r="AI261" s="273">
        <f>AH261*(1+'2. GRI Pricing Inputs'!$D$114)^((AI$16-AH$16)/365)</f>
        <v>1335.2128864102533</v>
      </c>
      <c r="AJ261" s="273">
        <f>AI261*(1+'2. GRI Pricing Inputs'!$D$114)^((AJ$16-AI$16)/365)</f>
        <v>1339.6679957287213</v>
      </c>
      <c r="AK261" s="273">
        <f>AJ261*(1+'2. GRI Pricing Inputs'!$D$114)^((AK$16-AJ$16)/365)</f>
        <v>1343.9935448383633</v>
      </c>
      <c r="AL261" s="273">
        <f>AK261*(1+'2. GRI Pricing Inputs'!$D$114)^((AL$16-AK$16)/365)</f>
        <v>1348.4779519516499</v>
      </c>
      <c r="AM261" s="273">
        <f>AL261*(1+'2. GRI Pricing Inputs'!$D$114)^((AM$16-AL$16)/365)</f>
        <v>1352.977321865342</v>
      </c>
      <c r="AN261" s="273">
        <f>AM261*(1+'2. GRI Pricing Inputs'!$D$114)^((AN$16-AM$16)/365)</f>
        <v>1357.3458444161679</v>
      </c>
      <c r="AO261" s="273">
        <f>AN261*(1+'2. GRI Pricing Inputs'!$D$114)^((AO$16-AN$16)/365)</f>
        <v>1361.8748031922473</v>
      </c>
    </row>
    <row r="262" spans="3:41" ht="12" x14ac:dyDescent="0.2">
      <c r="C262" s="76" t="str">
        <f>'1. Accomodation'!N266</f>
        <v>509W</v>
      </c>
      <c r="D262" s="69" t="str">
        <f>'1. Accomodation'!P266</f>
        <v>2 Bed</v>
      </c>
      <c r="E262" s="69">
        <f>'1. Accomodation'!Q266</f>
        <v>2</v>
      </c>
      <c r="F262" s="77">
        <f>'1. Accomodation'!O266</f>
        <v>657</v>
      </c>
      <c r="G262" s="69">
        <f>'1. Accomodation'!R266</f>
        <v>5</v>
      </c>
      <c r="H262" s="69" t="str">
        <f>'1. Accomodation'!S266</f>
        <v>Courtyard</v>
      </c>
      <c r="I262" s="62"/>
      <c r="K262" s="272">
        <f>IFERROR(INDEX('2. GRI Pricing Inputs'!$C$15:$AI$16,MATCH($K$16,'2. GRI Pricing Inputs'!$C$15:$C$16,0),MATCH(D262,'2. GRI Pricing Inputs'!$C$15:$AI$15,0)),0)</f>
        <v>1110</v>
      </c>
      <c r="L262" s="273">
        <f>IFERROR(INDEX('2. GRI Pricing Inputs'!$C$22:$AI$23,MATCH($L$16,'2. GRI Pricing Inputs'!$C$22:$C$23,0),MATCH(E262,'2. GRI Pricing Inputs'!$C$22:$AI$22,0)),0)</f>
        <v>0</v>
      </c>
      <c r="M262" s="328">
        <f>IF(AND('3. GRI Pricing'!$F262&gt;='2. GRI Pricing Inputs'!$D$33,'3. GRI Pricing'!$F262&lt;='2. GRI Pricing Inputs'!$E$33),'2. GRI Pricing Inputs'!$D$32,IF(AND('3. GRI Pricing'!$F262&gt;='2. GRI Pricing Inputs'!$F$33,'3. GRI Pricing'!$F262&lt;='2. GRI Pricing Inputs'!$G$33),'2. GRI Pricing Inputs'!$F$32,IF(AND('3. GRI Pricing'!$F262&gt;='2. GRI Pricing Inputs'!$H$33,'3. GRI Pricing'!$F262&lt;='2. GRI Pricing Inputs'!$I$33),'2. GRI Pricing Inputs'!$H$32,IF(AND('3. GRI Pricing'!$F262&gt;='2. GRI Pricing Inputs'!$J$33,'3. GRI Pricing'!$F262&lt;='2. GRI Pricing Inputs'!$K$33),'2. GRI Pricing Inputs'!$J$32,IF(AND('3. GRI Pricing'!$F262&gt;='2. GRI Pricing Inputs'!$L$33,'3. GRI Pricing'!$F262&lt;='2. GRI Pricing Inputs'!$M$33),'2. GRI Pricing Inputs'!$L$32,IF(AND('3. GRI Pricing'!$F262&gt;='2. GRI Pricing Inputs'!$N$33,'3. GRI Pricing'!$F262&lt;='2. GRI Pricing Inputs'!$O$33),'2. GRI Pricing Inputs'!$N$32,IF(AND('3. GRI Pricing'!$F262&gt;='2. GRI Pricing Inputs'!$P$33,'3. GRI Pricing'!$F262&lt;='2. GRI Pricing Inputs'!$Q$33),'2. GRI Pricing Inputs'!$P$32,IF(AND('3. GRI Pricing'!$F262&gt;='2. GRI Pricing Inputs'!$R$33,'3. GRI Pricing'!$F262&lt;='2. GRI Pricing Inputs'!$S$33),'2. GRI Pricing Inputs'!$R$32,IF(AND('3. GRI Pricing'!$F262&gt;='2. GRI Pricing Inputs'!$T$33,'3. GRI Pricing'!$F262&lt;='2. GRI Pricing Inputs'!$U$33),'2. GRI Pricing Inputs'!$T$32,IF(AND('3. GRI Pricing'!$F262&gt;='2. GRI Pricing Inputs'!$V$33,'3. GRI Pricing'!$F262&lt;='2. GRI Pricing Inputs'!$W$33),'2. GRI Pricing Inputs'!$V$32,IF(AND('3. GRI Pricing'!$F262&gt;='2. GRI Pricing Inputs'!$X$33,'3. GRI Pricing'!$F262&lt;='2. GRI Pricing Inputs'!$Y$33),'2. GRI Pricing Inputs'!$X$32,IF(AND('3. GRI Pricing'!$F262&gt;='2. GRI Pricing Inputs'!$Z$33,'3. GRI Pricing'!$F262&lt;='2. GRI Pricing Inputs'!$AA$33),'2. GRI Pricing Inputs'!$Z$32,IF(AND('3. GRI Pricing'!$F262&gt;='2. GRI Pricing Inputs'!$AB$33,'3. GRI Pricing'!$F262&lt;='2. GRI Pricing Inputs'!$AC$33),'2. GRI Pricing Inputs'!$AB$32,IF(AND('3. GRI Pricing'!$F262&gt;='2. GRI Pricing Inputs'!$AD$33,'3. GRI Pricing'!$F262&lt;='2. GRI Pricing Inputs'!$AE$33),'2. GRI Pricing Inputs'!$AD$32,IF(AND('3. GRI Pricing'!$F262&gt;='2. GRI Pricing Inputs'!$AF$33,'3. GRI Pricing'!$F262&lt;='2. GRI Pricing Inputs'!$AG$33),'2. GRI Pricing Inputs'!$AF$32,IF(AND('3. GRI Pricing'!$F262&gt;='2. GRI Pricing Inputs'!$AH$33,'3. GRI Pricing'!$F262&lt;='2. GRI Pricing Inputs'!$AI$33),'2. GRI Pricing Inputs'!$AH$32,0))))))))))))))))</f>
        <v>8</v>
      </c>
      <c r="N262" s="273" cm="1">
        <f t="array" ref="N262">IFERROR(INDEX('2. GRI Pricing Inputs'!$C$32:$AI$39,MATCH('3. GRI Pricing'!D262,'2. GRI Pricing Inputs'!$C$32:$C$39,0),(MATCH('3. GRI Pricing'!M262,'2. GRI Pricing Inputs'!$D$32:$AI$32,0)+1)),0)</f>
        <v>20</v>
      </c>
      <c r="O262" s="273">
        <f>IFERROR(INDEX('2. GRI Pricing Inputs'!$C$45:$AI$46,MATCH($O$16,'2. GRI Pricing Inputs'!$C$45:$C$46,0),MATCH(G262,'2. GRI Pricing Inputs'!$C$45:$AI$45,0)),0)</f>
        <v>70</v>
      </c>
      <c r="P262" s="273">
        <f>IFERROR(INDEX('2. GRI Pricing Inputs'!$C$53:$AI$54,MATCH('3. GRI Pricing'!$P$16,'2. GRI Pricing Inputs'!$C$53:$C$54,0),MATCH('3. GRI Pricing'!H262,'2. GRI Pricing Inputs'!$C$53:$AI$53,0)),0)</f>
        <v>25</v>
      </c>
      <c r="Q262" s="273">
        <f>IFERROR(INDEX('2. GRI Pricing Inputs'!$C$60:$AI$61,MATCH('3. GRI Pricing'!$Q$16,'2. GRI Pricing Inputs'!$C$60:$C$61,0),MATCH('1. Accomodation'!T266,'2. GRI Pricing Inputs'!$C$60:$AI$60,0)),0)</f>
        <v>0</v>
      </c>
      <c r="R262" s="273">
        <f>IFERROR(INDEX('2. GRI Pricing Inputs'!$C$67:$AI$68,MATCH('3. GRI Pricing'!$R$16,'2. GRI Pricing Inputs'!$C$67:$C$68,0),MATCH('1. Accomodation'!U266,'2. GRI Pricing Inputs'!$C$67:$AI$67,0)),0)</f>
        <v>0</v>
      </c>
      <c r="S262" s="273">
        <f>IF(D262=0,0,'2. GRI Pricing Inputs'!$AI$75)</f>
        <v>70</v>
      </c>
      <c r="T262" s="273">
        <f>IFERROR(INDEX('2. GRI Pricing Inputs'!$C$82:$AI$83,MATCH('3. GRI Pricing'!$T$16,'2. GRI Pricing Inputs'!$C$82:$C$83,0),MATCH('1. Accomodation'!V266,'2. GRI Pricing Inputs'!$C$82:$AI$82,0)),0)</f>
        <v>0</v>
      </c>
      <c r="U262" s="273">
        <f>IFERROR(INDEX('2. GRI Pricing Inputs'!$C$89:$AI$90,MATCH('3. GRI Pricing'!$U$16,'2. GRI Pricing Inputs'!$C$89:$C$90,0),MATCH('1. Accomodation'!W266,'2. GRI Pricing Inputs'!$C$89:$AI$89,0)),0)</f>
        <v>0</v>
      </c>
      <c r="V262" s="273">
        <f>IFERROR(INDEX('2. GRI Pricing Inputs'!$C$97:$AI$98,MATCH('3. GRI Pricing'!$V$16,'2. GRI Pricing Inputs'!$C$97:$C$98,0),MATCH('1. Accomodation'!X266,'2. GRI Pricing Inputs'!$C$97:$AI$97,0)),0)</f>
        <v>0</v>
      </c>
      <c r="W262" s="273">
        <f>IFERROR(INDEX('2. GRI Pricing Inputs'!$C$104:$AI$105,MATCH('3. GRI Pricing'!$W$16,'2. GRI Pricing Inputs'!$C$104:$C$105,0),MATCH('1. Accomodation'!Y266,'2. GRI Pricing Inputs'!$C$104:$AI$104,0)),0)</f>
        <v>0</v>
      </c>
      <c r="X262" s="274">
        <v>0</v>
      </c>
      <c r="Y262" s="275">
        <f t="shared" si="10"/>
        <v>1295</v>
      </c>
      <c r="Z262" s="276"/>
      <c r="AA262" s="276"/>
      <c r="AB262" s="276"/>
      <c r="AC262" s="272">
        <f>Y262*(1+'2. GRI Pricing Inputs'!$D$114)^(($AC$16-$AB$15)/365)</f>
        <v>1299.3209338571671</v>
      </c>
      <c r="AD262" s="273">
        <f>AC262*(1+'2. GRI Pricing Inputs'!$D$114)^((AD$16-AC$16)/365)</f>
        <v>1303.5162094974783</v>
      </c>
      <c r="AE262" s="273">
        <f>AD262*(1+'2. GRI Pricing Inputs'!$D$114)^((AE$16-AD$16)/365)</f>
        <v>1307.8655587816356</v>
      </c>
      <c r="AF262" s="273">
        <f>AE262*(1+'2. GRI Pricing Inputs'!$D$114)^((AF$16-AE$16)/365)</f>
        <v>1312.229420228402</v>
      </c>
      <c r="AG262" s="273">
        <f>AF262*(1+'2. GRI Pricing Inputs'!$D$114)^((AG$16-AF$16)/365)</f>
        <v>1316.3249230804479</v>
      </c>
      <c r="AH262" s="273">
        <f>AG262*(1+'2. GRI Pricing Inputs'!$D$114)^((AH$16-AG$16)/365)</f>
        <v>1320.7170102828968</v>
      </c>
      <c r="AI262" s="273">
        <f>AH262*(1+'2. GRI Pricing Inputs'!$D$114)^((AI$16-AH$16)/365)</f>
        <v>1324.9813700392936</v>
      </c>
      <c r="AJ262" s="273">
        <f>AI262*(1+'2. GRI Pricing Inputs'!$D$114)^((AJ$16-AI$16)/365)</f>
        <v>1329.4023405890375</v>
      </c>
      <c r="AK262" s="273">
        <f>AJ262*(1+'2. GRI Pricing Inputs'!$D$114)^((AK$16-AJ$16)/365)</f>
        <v>1333.6947437284907</v>
      </c>
      <c r="AL262" s="273">
        <f>AK262*(1+'2. GRI Pricing Inputs'!$D$114)^((AL$16-AK$16)/365)</f>
        <v>1338.1447875688787</v>
      </c>
      <c r="AM262" s="273">
        <f>AL262*(1+'2. GRI Pricing Inputs'!$D$114)^((AM$16-AL$16)/365)</f>
        <v>1342.6096795521976</v>
      </c>
      <c r="AN262" s="273">
        <f>AM262*(1+'2. GRI Pricing Inputs'!$D$114)^((AN$16-AM$16)/365)</f>
        <v>1346.9447268344347</v>
      </c>
      <c r="AO262" s="273">
        <f>AN262*(1+'2. GRI Pricing Inputs'!$D$114)^((AO$16-AN$16)/365)</f>
        <v>1351.4389809455633</v>
      </c>
    </row>
    <row r="263" spans="3:41" ht="12" x14ac:dyDescent="0.2">
      <c r="C263" s="76" t="str">
        <f>'1. Accomodation'!N267</f>
        <v>510W</v>
      </c>
      <c r="D263" s="69" t="str">
        <f>'1. Accomodation'!P267</f>
        <v>2 Bed</v>
      </c>
      <c r="E263" s="69">
        <f>'1. Accomodation'!Q267</f>
        <v>2</v>
      </c>
      <c r="F263" s="77">
        <f>'1. Accomodation'!O267</f>
        <v>689</v>
      </c>
      <c r="G263" s="69">
        <f>'1. Accomodation'!R267</f>
        <v>5</v>
      </c>
      <c r="H263" s="69" t="str">
        <f>'1. Accomodation'!S267</f>
        <v>River- Partial</v>
      </c>
      <c r="I263" s="62"/>
      <c r="K263" s="272">
        <f>IFERROR(INDEX('2. GRI Pricing Inputs'!$C$15:$AI$16,MATCH($K$16,'2. GRI Pricing Inputs'!$C$15:$C$16,0),MATCH(D263,'2. GRI Pricing Inputs'!$C$15:$AI$15,0)),0)</f>
        <v>1110</v>
      </c>
      <c r="L263" s="273">
        <f>IFERROR(INDEX('2. GRI Pricing Inputs'!$C$22:$AI$23,MATCH($L$16,'2. GRI Pricing Inputs'!$C$22:$C$23,0),MATCH(E263,'2. GRI Pricing Inputs'!$C$22:$AI$22,0)),0)</f>
        <v>0</v>
      </c>
      <c r="M263" s="328">
        <f>IF(AND('3. GRI Pricing'!$F263&gt;='2. GRI Pricing Inputs'!$D$33,'3. GRI Pricing'!$F263&lt;='2. GRI Pricing Inputs'!$E$33),'2. GRI Pricing Inputs'!$D$32,IF(AND('3. GRI Pricing'!$F263&gt;='2. GRI Pricing Inputs'!$F$33,'3. GRI Pricing'!$F263&lt;='2. GRI Pricing Inputs'!$G$33),'2. GRI Pricing Inputs'!$F$32,IF(AND('3. GRI Pricing'!$F263&gt;='2. GRI Pricing Inputs'!$H$33,'3. GRI Pricing'!$F263&lt;='2. GRI Pricing Inputs'!$I$33),'2. GRI Pricing Inputs'!$H$32,IF(AND('3. GRI Pricing'!$F263&gt;='2. GRI Pricing Inputs'!$J$33,'3. GRI Pricing'!$F263&lt;='2. GRI Pricing Inputs'!$K$33),'2. GRI Pricing Inputs'!$J$32,IF(AND('3. GRI Pricing'!$F263&gt;='2. GRI Pricing Inputs'!$L$33,'3. GRI Pricing'!$F263&lt;='2. GRI Pricing Inputs'!$M$33),'2. GRI Pricing Inputs'!$L$32,IF(AND('3. GRI Pricing'!$F263&gt;='2. GRI Pricing Inputs'!$N$33,'3. GRI Pricing'!$F263&lt;='2. GRI Pricing Inputs'!$O$33),'2. GRI Pricing Inputs'!$N$32,IF(AND('3. GRI Pricing'!$F263&gt;='2. GRI Pricing Inputs'!$P$33,'3. GRI Pricing'!$F263&lt;='2. GRI Pricing Inputs'!$Q$33),'2. GRI Pricing Inputs'!$P$32,IF(AND('3. GRI Pricing'!$F263&gt;='2. GRI Pricing Inputs'!$R$33,'3. GRI Pricing'!$F263&lt;='2. GRI Pricing Inputs'!$S$33),'2. GRI Pricing Inputs'!$R$32,IF(AND('3. GRI Pricing'!$F263&gt;='2. GRI Pricing Inputs'!$T$33,'3. GRI Pricing'!$F263&lt;='2. GRI Pricing Inputs'!$U$33),'2. GRI Pricing Inputs'!$T$32,IF(AND('3. GRI Pricing'!$F263&gt;='2. GRI Pricing Inputs'!$V$33,'3. GRI Pricing'!$F263&lt;='2. GRI Pricing Inputs'!$W$33),'2. GRI Pricing Inputs'!$V$32,IF(AND('3. GRI Pricing'!$F263&gt;='2. GRI Pricing Inputs'!$X$33,'3. GRI Pricing'!$F263&lt;='2. GRI Pricing Inputs'!$Y$33),'2. GRI Pricing Inputs'!$X$32,IF(AND('3. GRI Pricing'!$F263&gt;='2. GRI Pricing Inputs'!$Z$33,'3. GRI Pricing'!$F263&lt;='2. GRI Pricing Inputs'!$AA$33),'2. GRI Pricing Inputs'!$Z$32,IF(AND('3. GRI Pricing'!$F263&gt;='2. GRI Pricing Inputs'!$AB$33,'3. GRI Pricing'!$F263&lt;='2. GRI Pricing Inputs'!$AC$33),'2. GRI Pricing Inputs'!$AB$32,IF(AND('3. GRI Pricing'!$F263&gt;='2. GRI Pricing Inputs'!$AD$33,'3. GRI Pricing'!$F263&lt;='2. GRI Pricing Inputs'!$AE$33),'2. GRI Pricing Inputs'!$AD$32,IF(AND('3. GRI Pricing'!$F263&gt;='2. GRI Pricing Inputs'!$AF$33,'3. GRI Pricing'!$F263&lt;='2. GRI Pricing Inputs'!$AG$33),'2. GRI Pricing Inputs'!$AF$32,IF(AND('3. GRI Pricing'!$F263&gt;='2. GRI Pricing Inputs'!$AH$33,'3. GRI Pricing'!$F263&lt;='2. GRI Pricing Inputs'!$AI$33),'2. GRI Pricing Inputs'!$AH$32,0))))))))))))))))</f>
        <v>11</v>
      </c>
      <c r="N263" s="273" cm="1">
        <f t="array" ref="N263">IFERROR(INDEX('2. GRI Pricing Inputs'!$C$32:$AI$39,MATCH('3. GRI Pricing'!D263,'2. GRI Pricing Inputs'!$C$32:$C$39,0),(MATCH('3. GRI Pricing'!M263,'2. GRI Pricing Inputs'!$D$32:$AI$32,0)+1)),0)</f>
        <v>65</v>
      </c>
      <c r="O263" s="273">
        <f>IFERROR(INDEX('2. GRI Pricing Inputs'!$C$45:$AI$46,MATCH($O$16,'2. GRI Pricing Inputs'!$C$45:$C$46,0),MATCH(G263,'2. GRI Pricing Inputs'!$C$45:$AI$45,0)),0)</f>
        <v>70</v>
      </c>
      <c r="P263" s="273">
        <f>IFERROR(INDEX('2. GRI Pricing Inputs'!$C$53:$AI$54,MATCH('3. GRI Pricing'!$P$16,'2. GRI Pricing Inputs'!$C$53:$C$54,0),MATCH('3. GRI Pricing'!H263,'2. GRI Pricing Inputs'!$C$53:$AI$53,0)),0)</f>
        <v>0</v>
      </c>
      <c r="Q263" s="273">
        <f>IFERROR(INDEX('2. GRI Pricing Inputs'!$C$60:$AI$61,MATCH('3. GRI Pricing'!$Q$16,'2. GRI Pricing Inputs'!$C$60:$C$61,0),MATCH('1. Accomodation'!T267,'2. GRI Pricing Inputs'!$C$60:$AI$60,0)),0)</f>
        <v>0</v>
      </c>
      <c r="R263" s="273">
        <f>IFERROR(INDEX('2. GRI Pricing Inputs'!$C$67:$AI$68,MATCH('3. GRI Pricing'!$R$16,'2. GRI Pricing Inputs'!$C$67:$C$68,0),MATCH('1. Accomodation'!U267,'2. GRI Pricing Inputs'!$C$67:$AI$67,0)),0)</f>
        <v>0</v>
      </c>
      <c r="S263" s="273">
        <f>IF(D263=0,0,'2. GRI Pricing Inputs'!$AI$75)</f>
        <v>70</v>
      </c>
      <c r="T263" s="273">
        <f>IFERROR(INDEX('2. GRI Pricing Inputs'!$C$82:$AI$83,MATCH('3. GRI Pricing'!$T$16,'2. GRI Pricing Inputs'!$C$82:$C$83,0),MATCH('1. Accomodation'!V267,'2. GRI Pricing Inputs'!$C$82:$AI$82,0)),0)</f>
        <v>0</v>
      </c>
      <c r="U263" s="273">
        <f>IFERROR(INDEX('2. GRI Pricing Inputs'!$C$89:$AI$90,MATCH('3. GRI Pricing'!$U$16,'2. GRI Pricing Inputs'!$C$89:$C$90,0),MATCH('1. Accomodation'!W267,'2. GRI Pricing Inputs'!$C$89:$AI$89,0)),0)</f>
        <v>0</v>
      </c>
      <c r="V263" s="273">
        <f>IFERROR(INDEX('2. GRI Pricing Inputs'!$C$97:$AI$98,MATCH('3. GRI Pricing'!$V$16,'2. GRI Pricing Inputs'!$C$97:$C$98,0),MATCH('1. Accomodation'!X267,'2. GRI Pricing Inputs'!$C$97:$AI$97,0)),0)</f>
        <v>0</v>
      </c>
      <c r="W263" s="273">
        <f>IFERROR(INDEX('2. GRI Pricing Inputs'!$C$104:$AI$105,MATCH('3. GRI Pricing'!$W$16,'2. GRI Pricing Inputs'!$C$104:$C$105,0),MATCH('1. Accomodation'!Y267,'2. GRI Pricing Inputs'!$C$104:$AI$104,0)),0)</f>
        <v>0</v>
      </c>
      <c r="X263" s="274">
        <v>0</v>
      </c>
      <c r="Y263" s="275">
        <f t="shared" si="10"/>
        <v>1315</v>
      </c>
      <c r="Z263" s="276"/>
      <c r="AA263" s="276"/>
      <c r="AB263" s="276"/>
      <c r="AC263" s="272">
        <f>Y263*(1+'2. GRI Pricing Inputs'!$D$114)^(($AC$16-$AB$15)/365)</f>
        <v>1319.3876664263898</v>
      </c>
      <c r="AD263" s="273">
        <f>AC263*(1+'2. GRI Pricing Inputs'!$D$114)^((AD$16-AC$16)/365)</f>
        <v>1323.6477339684818</v>
      </c>
      <c r="AE263" s="273">
        <f>AD263*(1+'2. GRI Pricing Inputs'!$D$114)^((AE$16-AD$16)/365)</f>
        <v>1328.0642546701552</v>
      </c>
      <c r="AF263" s="273">
        <f>AE263*(1+'2. GRI Pricing Inputs'!$D$114)^((AF$16-AE$16)/365)</f>
        <v>1332.4955116605008</v>
      </c>
      <c r="AG263" s="273">
        <f>AF263*(1+'2. GRI Pricing Inputs'!$D$114)^((AG$16-AF$16)/365)</f>
        <v>1336.6542655218448</v>
      </c>
      <c r="AH263" s="273">
        <f>AG263*(1+'2. GRI Pricing Inputs'!$D$114)^((AH$16-AG$16)/365)</f>
        <v>1341.1141841868796</v>
      </c>
      <c r="AI263" s="273">
        <f>AH263*(1+'2. GRI Pricing Inputs'!$D$114)^((AI$16-AH$16)/365)</f>
        <v>1345.4444027812131</v>
      </c>
      <c r="AJ263" s="273">
        <f>AI263*(1+'2. GRI Pricing Inputs'!$D$114)^((AJ$16-AI$16)/365)</f>
        <v>1349.9336508684048</v>
      </c>
      <c r="AK263" s="273">
        <f>AJ263*(1+'2. GRI Pricing Inputs'!$D$114)^((AK$16-AJ$16)/365)</f>
        <v>1354.2923459482358</v>
      </c>
      <c r="AL263" s="273">
        <f>AK263*(1+'2. GRI Pricing Inputs'!$D$114)^((AL$16-AK$16)/365)</f>
        <v>1358.8111163344213</v>
      </c>
      <c r="AM263" s="273">
        <f>AL263*(1+'2. GRI Pricing Inputs'!$D$114)^((AM$16-AL$16)/365)</f>
        <v>1363.3449641784864</v>
      </c>
      <c r="AN263" s="273">
        <f>AM263*(1+'2. GRI Pricing Inputs'!$D$114)^((AN$16-AM$16)/365)</f>
        <v>1367.7469619979011</v>
      </c>
      <c r="AO263" s="273">
        <f>AN263*(1+'2. GRI Pricing Inputs'!$D$114)^((AO$16-AN$16)/365)</f>
        <v>1372.3106254389313</v>
      </c>
    </row>
    <row r="264" spans="3:41" ht="12" x14ac:dyDescent="0.2">
      <c r="C264" s="76" t="str">
        <f>'1. Accomodation'!N268</f>
        <v>511W</v>
      </c>
      <c r="D264" s="69" t="str">
        <f>'1. Accomodation'!P268</f>
        <v>2 Bed</v>
      </c>
      <c r="E264" s="69">
        <f>'1. Accomodation'!Q268</f>
        <v>2</v>
      </c>
      <c r="F264" s="77">
        <f>'1. Accomodation'!O268</f>
        <v>667</v>
      </c>
      <c r="G264" s="69">
        <f>'1. Accomodation'!R268</f>
        <v>5</v>
      </c>
      <c r="H264" s="69" t="str">
        <f>'1. Accomodation'!S268</f>
        <v>Courtyard</v>
      </c>
      <c r="I264" s="62"/>
      <c r="K264" s="272">
        <f>IFERROR(INDEX('2. GRI Pricing Inputs'!$C$15:$AI$16,MATCH($K$16,'2. GRI Pricing Inputs'!$C$15:$C$16,0),MATCH(D264,'2. GRI Pricing Inputs'!$C$15:$AI$15,0)),0)</f>
        <v>1110</v>
      </c>
      <c r="L264" s="273">
        <f>IFERROR(INDEX('2. GRI Pricing Inputs'!$C$22:$AI$23,MATCH($L$16,'2. GRI Pricing Inputs'!$C$22:$C$23,0),MATCH(E264,'2. GRI Pricing Inputs'!$C$22:$AI$22,0)),0)</f>
        <v>0</v>
      </c>
      <c r="M264" s="328">
        <f>IF(AND('3. GRI Pricing'!$F264&gt;='2. GRI Pricing Inputs'!$D$33,'3. GRI Pricing'!$F264&lt;='2. GRI Pricing Inputs'!$E$33),'2. GRI Pricing Inputs'!$D$32,IF(AND('3. GRI Pricing'!$F264&gt;='2. GRI Pricing Inputs'!$F$33,'3. GRI Pricing'!$F264&lt;='2. GRI Pricing Inputs'!$G$33),'2. GRI Pricing Inputs'!$F$32,IF(AND('3. GRI Pricing'!$F264&gt;='2. GRI Pricing Inputs'!$H$33,'3. GRI Pricing'!$F264&lt;='2. GRI Pricing Inputs'!$I$33),'2. GRI Pricing Inputs'!$H$32,IF(AND('3. GRI Pricing'!$F264&gt;='2. GRI Pricing Inputs'!$J$33,'3. GRI Pricing'!$F264&lt;='2. GRI Pricing Inputs'!$K$33),'2. GRI Pricing Inputs'!$J$32,IF(AND('3. GRI Pricing'!$F264&gt;='2. GRI Pricing Inputs'!$L$33,'3. GRI Pricing'!$F264&lt;='2. GRI Pricing Inputs'!$M$33),'2. GRI Pricing Inputs'!$L$32,IF(AND('3. GRI Pricing'!$F264&gt;='2. GRI Pricing Inputs'!$N$33,'3. GRI Pricing'!$F264&lt;='2. GRI Pricing Inputs'!$O$33),'2. GRI Pricing Inputs'!$N$32,IF(AND('3. GRI Pricing'!$F264&gt;='2. GRI Pricing Inputs'!$P$33,'3. GRI Pricing'!$F264&lt;='2. GRI Pricing Inputs'!$Q$33),'2. GRI Pricing Inputs'!$P$32,IF(AND('3. GRI Pricing'!$F264&gt;='2. GRI Pricing Inputs'!$R$33,'3. GRI Pricing'!$F264&lt;='2. GRI Pricing Inputs'!$S$33),'2. GRI Pricing Inputs'!$R$32,IF(AND('3. GRI Pricing'!$F264&gt;='2. GRI Pricing Inputs'!$T$33,'3. GRI Pricing'!$F264&lt;='2. GRI Pricing Inputs'!$U$33),'2. GRI Pricing Inputs'!$T$32,IF(AND('3. GRI Pricing'!$F264&gt;='2. GRI Pricing Inputs'!$V$33,'3. GRI Pricing'!$F264&lt;='2. GRI Pricing Inputs'!$W$33),'2. GRI Pricing Inputs'!$V$32,IF(AND('3. GRI Pricing'!$F264&gt;='2. GRI Pricing Inputs'!$X$33,'3. GRI Pricing'!$F264&lt;='2. GRI Pricing Inputs'!$Y$33),'2. GRI Pricing Inputs'!$X$32,IF(AND('3. GRI Pricing'!$F264&gt;='2. GRI Pricing Inputs'!$Z$33,'3. GRI Pricing'!$F264&lt;='2. GRI Pricing Inputs'!$AA$33),'2. GRI Pricing Inputs'!$Z$32,IF(AND('3. GRI Pricing'!$F264&gt;='2. GRI Pricing Inputs'!$AB$33,'3. GRI Pricing'!$F264&lt;='2. GRI Pricing Inputs'!$AC$33),'2. GRI Pricing Inputs'!$AB$32,IF(AND('3. GRI Pricing'!$F264&gt;='2. GRI Pricing Inputs'!$AD$33,'3. GRI Pricing'!$F264&lt;='2. GRI Pricing Inputs'!$AE$33),'2. GRI Pricing Inputs'!$AD$32,IF(AND('3. GRI Pricing'!$F264&gt;='2. GRI Pricing Inputs'!$AF$33,'3. GRI Pricing'!$F264&lt;='2. GRI Pricing Inputs'!$AG$33),'2. GRI Pricing Inputs'!$AF$32,IF(AND('3. GRI Pricing'!$F264&gt;='2. GRI Pricing Inputs'!$AH$33,'3. GRI Pricing'!$F264&lt;='2. GRI Pricing Inputs'!$AI$33),'2. GRI Pricing Inputs'!$AH$32,0))))))))))))))))</f>
        <v>9</v>
      </c>
      <c r="N264" s="273" cm="1">
        <f t="array" ref="N264">IFERROR(INDEX('2. GRI Pricing Inputs'!$C$32:$AI$39,MATCH('3. GRI Pricing'!D264,'2. GRI Pricing Inputs'!$C$32:$C$39,0),(MATCH('3. GRI Pricing'!M264,'2. GRI Pricing Inputs'!$D$32:$AI$32,0)+1)),0)</f>
        <v>30</v>
      </c>
      <c r="O264" s="273">
        <f>IFERROR(INDEX('2. GRI Pricing Inputs'!$C$45:$AI$46,MATCH($O$16,'2. GRI Pricing Inputs'!$C$45:$C$46,0),MATCH(G264,'2. GRI Pricing Inputs'!$C$45:$AI$45,0)),0)</f>
        <v>70</v>
      </c>
      <c r="P264" s="273">
        <f>IFERROR(INDEX('2. GRI Pricing Inputs'!$C$53:$AI$54,MATCH('3. GRI Pricing'!$P$16,'2. GRI Pricing Inputs'!$C$53:$C$54,0),MATCH('3. GRI Pricing'!H264,'2. GRI Pricing Inputs'!$C$53:$AI$53,0)),0)</f>
        <v>25</v>
      </c>
      <c r="Q264" s="273">
        <f>IFERROR(INDEX('2. GRI Pricing Inputs'!$C$60:$AI$61,MATCH('3. GRI Pricing'!$Q$16,'2. GRI Pricing Inputs'!$C$60:$C$61,0),MATCH('1. Accomodation'!T268,'2. GRI Pricing Inputs'!$C$60:$AI$60,0)),0)</f>
        <v>0</v>
      </c>
      <c r="R264" s="273">
        <f>IFERROR(INDEX('2. GRI Pricing Inputs'!$C$67:$AI$68,MATCH('3. GRI Pricing'!$R$16,'2. GRI Pricing Inputs'!$C$67:$C$68,0),MATCH('1. Accomodation'!U268,'2. GRI Pricing Inputs'!$C$67:$AI$67,0)),0)</f>
        <v>0</v>
      </c>
      <c r="S264" s="273">
        <f>IF(D264=0,0,'2. GRI Pricing Inputs'!$AI$75)</f>
        <v>70</v>
      </c>
      <c r="T264" s="273">
        <f>IFERROR(INDEX('2. GRI Pricing Inputs'!$C$82:$AI$83,MATCH('3. GRI Pricing'!$T$16,'2. GRI Pricing Inputs'!$C$82:$C$83,0),MATCH('1. Accomodation'!V268,'2. GRI Pricing Inputs'!$C$82:$AI$82,0)),0)</f>
        <v>0</v>
      </c>
      <c r="U264" s="273">
        <f>IFERROR(INDEX('2. GRI Pricing Inputs'!$C$89:$AI$90,MATCH('3. GRI Pricing'!$U$16,'2. GRI Pricing Inputs'!$C$89:$C$90,0),MATCH('1. Accomodation'!W268,'2. GRI Pricing Inputs'!$C$89:$AI$89,0)),0)</f>
        <v>0</v>
      </c>
      <c r="V264" s="273">
        <f>IFERROR(INDEX('2. GRI Pricing Inputs'!$C$97:$AI$98,MATCH('3. GRI Pricing'!$V$16,'2. GRI Pricing Inputs'!$C$97:$C$98,0),MATCH('1. Accomodation'!X268,'2. GRI Pricing Inputs'!$C$97:$AI$97,0)),0)</f>
        <v>0</v>
      </c>
      <c r="W264" s="273">
        <f>IFERROR(INDEX('2. GRI Pricing Inputs'!$C$104:$AI$105,MATCH('3. GRI Pricing'!$W$16,'2. GRI Pricing Inputs'!$C$104:$C$105,0),MATCH('1. Accomodation'!Y268,'2. GRI Pricing Inputs'!$C$104:$AI$104,0)),0)</f>
        <v>0</v>
      </c>
      <c r="X264" s="274">
        <v>0</v>
      </c>
      <c r="Y264" s="275">
        <f t="shared" si="10"/>
        <v>1305</v>
      </c>
      <c r="Z264" s="276"/>
      <c r="AA264" s="276"/>
      <c r="AB264" s="276"/>
      <c r="AC264" s="272">
        <f>Y264*(1+'2. GRI Pricing Inputs'!$D$114)^(($AC$16-$AB$15)/365)</f>
        <v>1309.3543001417784</v>
      </c>
      <c r="AD264" s="273">
        <f>AC264*(1+'2. GRI Pricing Inputs'!$D$114)^((AD$16-AC$16)/365)</f>
        <v>1313.58197173298</v>
      </c>
      <c r="AE264" s="273">
        <f>AD264*(1+'2. GRI Pricing Inputs'!$D$114)^((AE$16-AD$16)/365)</f>
        <v>1317.9649067258954</v>
      </c>
      <c r="AF264" s="273">
        <f>AE264*(1+'2. GRI Pricing Inputs'!$D$114)^((AF$16-AE$16)/365)</f>
        <v>1322.3624659444515</v>
      </c>
      <c r="AG264" s="273">
        <f>AF264*(1+'2. GRI Pricing Inputs'!$D$114)^((AG$16-AF$16)/365)</f>
        <v>1326.4895943011463</v>
      </c>
      <c r="AH264" s="273">
        <f>AG264*(1+'2. GRI Pricing Inputs'!$D$114)^((AH$16-AG$16)/365)</f>
        <v>1330.9155972348881</v>
      </c>
      <c r="AI264" s="273">
        <f>AH264*(1+'2. GRI Pricing Inputs'!$D$114)^((AI$16-AH$16)/365)</f>
        <v>1335.2128864102533</v>
      </c>
      <c r="AJ264" s="273">
        <f>AI264*(1+'2. GRI Pricing Inputs'!$D$114)^((AJ$16-AI$16)/365)</f>
        <v>1339.6679957287213</v>
      </c>
      <c r="AK264" s="273">
        <f>AJ264*(1+'2. GRI Pricing Inputs'!$D$114)^((AK$16-AJ$16)/365)</f>
        <v>1343.9935448383633</v>
      </c>
      <c r="AL264" s="273">
        <f>AK264*(1+'2. GRI Pricing Inputs'!$D$114)^((AL$16-AK$16)/365)</f>
        <v>1348.4779519516499</v>
      </c>
      <c r="AM264" s="273">
        <f>AL264*(1+'2. GRI Pricing Inputs'!$D$114)^((AM$16-AL$16)/365)</f>
        <v>1352.977321865342</v>
      </c>
      <c r="AN264" s="273">
        <f>AM264*(1+'2. GRI Pricing Inputs'!$D$114)^((AN$16-AM$16)/365)</f>
        <v>1357.3458444161679</v>
      </c>
      <c r="AO264" s="273">
        <f>AN264*(1+'2. GRI Pricing Inputs'!$D$114)^((AO$16-AN$16)/365)</f>
        <v>1361.8748031922473</v>
      </c>
    </row>
    <row r="265" spans="3:41" ht="12" x14ac:dyDescent="0.2">
      <c r="C265" s="76" t="str">
        <f>'1. Accomodation'!N269</f>
        <v>512W</v>
      </c>
      <c r="D265" s="69" t="str">
        <f>'1. Accomodation'!P269</f>
        <v>1 Bed</v>
      </c>
      <c r="E265" s="69">
        <f>'1. Accomodation'!Q269</f>
        <v>1</v>
      </c>
      <c r="F265" s="77">
        <f>'1. Accomodation'!O269</f>
        <v>527</v>
      </c>
      <c r="G265" s="69">
        <f>'1. Accomodation'!R269</f>
        <v>5</v>
      </c>
      <c r="H265" s="69" t="str">
        <f>'1. Accomodation'!S269</f>
        <v>Railway Bridge - Mid</v>
      </c>
      <c r="I265" s="62"/>
      <c r="K265" s="272">
        <f>IFERROR(INDEX('2. GRI Pricing Inputs'!$C$15:$AI$16,MATCH($K$16,'2. GRI Pricing Inputs'!$C$15:$C$16,0),MATCH(D265,'2. GRI Pricing Inputs'!$C$15:$AI$15,0)),0)</f>
        <v>845</v>
      </c>
      <c r="L265" s="273">
        <f>IFERROR(INDEX('2. GRI Pricing Inputs'!$C$22:$AI$23,MATCH($L$16,'2. GRI Pricing Inputs'!$C$22:$C$23,0),MATCH(E265,'2. GRI Pricing Inputs'!$C$22:$AI$22,0)),0)</f>
        <v>0</v>
      </c>
      <c r="M265" s="328">
        <f>IF(AND('3. GRI Pricing'!$F265&gt;='2. GRI Pricing Inputs'!$D$33,'3. GRI Pricing'!$F265&lt;='2. GRI Pricing Inputs'!$E$33),'2. GRI Pricing Inputs'!$D$32,IF(AND('3. GRI Pricing'!$F265&gt;='2. GRI Pricing Inputs'!$F$33,'3. GRI Pricing'!$F265&lt;='2. GRI Pricing Inputs'!$G$33),'2. GRI Pricing Inputs'!$F$32,IF(AND('3. GRI Pricing'!$F265&gt;='2. GRI Pricing Inputs'!$H$33,'3. GRI Pricing'!$F265&lt;='2. GRI Pricing Inputs'!$I$33),'2. GRI Pricing Inputs'!$H$32,IF(AND('3. GRI Pricing'!$F265&gt;='2. GRI Pricing Inputs'!$J$33,'3. GRI Pricing'!$F265&lt;='2. GRI Pricing Inputs'!$K$33),'2. GRI Pricing Inputs'!$J$32,IF(AND('3. GRI Pricing'!$F265&gt;='2. GRI Pricing Inputs'!$L$33,'3. GRI Pricing'!$F265&lt;='2. GRI Pricing Inputs'!$M$33),'2. GRI Pricing Inputs'!$L$32,IF(AND('3. GRI Pricing'!$F265&gt;='2. GRI Pricing Inputs'!$N$33,'3. GRI Pricing'!$F265&lt;='2. GRI Pricing Inputs'!$O$33),'2. GRI Pricing Inputs'!$N$32,IF(AND('3. GRI Pricing'!$F265&gt;='2. GRI Pricing Inputs'!$P$33,'3. GRI Pricing'!$F265&lt;='2. GRI Pricing Inputs'!$Q$33),'2. GRI Pricing Inputs'!$P$32,IF(AND('3. GRI Pricing'!$F265&gt;='2. GRI Pricing Inputs'!$R$33,'3. GRI Pricing'!$F265&lt;='2. GRI Pricing Inputs'!$S$33),'2. GRI Pricing Inputs'!$R$32,IF(AND('3. GRI Pricing'!$F265&gt;='2. GRI Pricing Inputs'!$T$33,'3. GRI Pricing'!$F265&lt;='2. GRI Pricing Inputs'!$U$33),'2. GRI Pricing Inputs'!$T$32,IF(AND('3. GRI Pricing'!$F265&gt;='2. GRI Pricing Inputs'!$V$33,'3. GRI Pricing'!$F265&lt;='2. GRI Pricing Inputs'!$W$33),'2. GRI Pricing Inputs'!$V$32,IF(AND('3. GRI Pricing'!$F265&gt;='2. GRI Pricing Inputs'!$X$33,'3. GRI Pricing'!$F265&lt;='2. GRI Pricing Inputs'!$Y$33),'2. GRI Pricing Inputs'!$X$32,IF(AND('3. GRI Pricing'!$F265&gt;='2. GRI Pricing Inputs'!$Z$33,'3. GRI Pricing'!$F265&lt;='2. GRI Pricing Inputs'!$AA$33),'2. GRI Pricing Inputs'!$Z$32,IF(AND('3. GRI Pricing'!$F265&gt;='2. GRI Pricing Inputs'!$AB$33,'3. GRI Pricing'!$F265&lt;='2. GRI Pricing Inputs'!$AC$33),'2. GRI Pricing Inputs'!$AB$32,IF(AND('3. GRI Pricing'!$F265&gt;='2. GRI Pricing Inputs'!$AD$33,'3. GRI Pricing'!$F265&lt;='2. GRI Pricing Inputs'!$AE$33),'2. GRI Pricing Inputs'!$AD$32,IF(AND('3. GRI Pricing'!$F265&gt;='2. GRI Pricing Inputs'!$AF$33,'3. GRI Pricing'!$F265&lt;='2. GRI Pricing Inputs'!$AG$33),'2. GRI Pricing Inputs'!$AF$32,IF(AND('3. GRI Pricing'!$F265&gt;='2. GRI Pricing Inputs'!$AH$33,'3. GRI Pricing'!$F265&lt;='2. GRI Pricing Inputs'!$AI$33),'2. GRI Pricing Inputs'!$AH$32,0))))))))))))))))</f>
        <v>3</v>
      </c>
      <c r="N265" s="273" cm="1">
        <f t="array" ref="N265">IFERROR(INDEX('2. GRI Pricing Inputs'!$C$32:$AI$39,MATCH('3. GRI Pricing'!D265,'2. GRI Pricing Inputs'!$C$32:$C$39,0),(MATCH('3. GRI Pricing'!M265,'2. GRI Pricing Inputs'!$D$32:$AI$32,0)+1)),0)</f>
        <v>20</v>
      </c>
      <c r="O265" s="273">
        <f>IFERROR(INDEX('2. GRI Pricing Inputs'!$C$45:$AI$46,MATCH($O$16,'2. GRI Pricing Inputs'!$C$45:$C$46,0),MATCH(G265,'2. GRI Pricing Inputs'!$C$45:$AI$45,0)),0)</f>
        <v>70</v>
      </c>
      <c r="P265" s="273">
        <f>IFERROR(INDEX('2. GRI Pricing Inputs'!$C$53:$AI$54,MATCH('3. GRI Pricing'!$P$16,'2. GRI Pricing Inputs'!$C$53:$C$54,0),MATCH('3. GRI Pricing'!H265,'2. GRI Pricing Inputs'!$C$53:$AI$53,0)),0)</f>
        <v>20</v>
      </c>
      <c r="Q265" s="273">
        <f>IFERROR(INDEX('2. GRI Pricing Inputs'!$C$60:$AI$61,MATCH('3. GRI Pricing'!$Q$16,'2. GRI Pricing Inputs'!$C$60:$C$61,0),MATCH('1. Accomodation'!T269,'2. GRI Pricing Inputs'!$C$60:$AI$60,0)),0)</f>
        <v>0</v>
      </c>
      <c r="R265" s="273">
        <f>IFERROR(INDEX('2. GRI Pricing Inputs'!$C$67:$AI$68,MATCH('3. GRI Pricing'!$R$16,'2. GRI Pricing Inputs'!$C$67:$C$68,0),MATCH('1. Accomodation'!U269,'2. GRI Pricing Inputs'!$C$67:$AI$67,0)),0)</f>
        <v>0</v>
      </c>
      <c r="S265" s="273">
        <f>IF(D265=0,0,'2. GRI Pricing Inputs'!$AI$75)</f>
        <v>70</v>
      </c>
      <c r="T265" s="273">
        <f>IFERROR(INDEX('2. GRI Pricing Inputs'!$C$82:$AI$83,MATCH('3. GRI Pricing'!$T$16,'2. GRI Pricing Inputs'!$C$82:$C$83,0),MATCH('1. Accomodation'!V269,'2. GRI Pricing Inputs'!$C$82:$AI$82,0)),0)</f>
        <v>0</v>
      </c>
      <c r="U265" s="273">
        <f>IFERROR(INDEX('2. GRI Pricing Inputs'!$C$89:$AI$90,MATCH('3. GRI Pricing'!$U$16,'2. GRI Pricing Inputs'!$C$89:$C$90,0),MATCH('1. Accomodation'!W269,'2. GRI Pricing Inputs'!$C$89:$AI$89,0)),0)</f>
        <v>0</v>
      </c>
      <c r="V265" s="273">
        <f>IFERROR(INDEX('2. GRI Pricing Inputs'!$C$97:$AI$98,MATCH('3. GRI Pricing'!$V$16,'2. GRI Pricing Inputs'!$C$97:$C$98,0),MATCH('1. Accomodation'!X269,'2. GRI Pricing Inputs'!$C$97:$AI$97,0)),0)</f>
        <v>0</v>
      </c>
      <c r="W265" s="273">
        <f>IFERROR(INDEX('2. GRI Pricing Inputs'!$C$104:$AI$105,MATCH('3. GRI Pricing'!$W$16,'2. GRI Pricing Inputs'!$C$104:$C$105,0),MATCH('1. Accomodation'!Y269,'2. GRI Pricing Inputs'!$C$104:$AI$104,0)),0)</f>
        <v>0</v>
      </c>
      <c r="X265" s="274">
        <v>0</v>
      </c>
      <c r="Y265" s="275">
        <f t="shared" si="10"/>
        <v>1025</v>
      </c>
      <c r="Z265" s="276"/>
      <c r="AA265" s="276"/>
      <c r="AB265" s="276"/>
      <c r="AC265" s="272">
        <f>Y265*(1+'2. GRI Pricing Inputs'!$D$114)^(($AC$16-$AB$15)/365)</f>
        <v>1028.4200441726612</v>
      </c>
      <c r="AD265" s="273">
        <f>AC265*(1+'2. GRI Pricing Inputs'!$D$114)^((AD$16-AC$16)/365)</f>
        <v>1031.7406291389307</v>
      </c>
      <c r="AE265" s="273">
        <f>AD265*(1+'2. GRI Pricing Inputs'!$D$114)^((AE$16-AD$16)/365)</f>
        <v>1035.1831642866227</v>
      </c>
      <c r="AF265" s="273">
        <f>AE265*(1+'2. GRI Pricing Inputs'!$D$114)^((AF$16-AE$16)/365)</f>
        <v>1038.6371858950672</v>
      </c>
      <c r="AG265" s="273">
        <f>AF265*(1+'2. GRI Pricing Inputs'!$D$114)^((AG$16-AF$16)/365)</f>
        <v>1041.8788001215901</v>
      </c>
      <c r="AH265" s="273">
        <f>AG265*(1+'2. GRI Pricing Inputs'!$D$114)^((AH$16-AG$16)/365)</f>
        <v>1045.3551625791267</v>
      </c>
      <c r="AI265" s="273">
        <f>AH265*(1+'2. GRI Pricing Inputs'!$D$114)^((AI$16-AH$16)/365)</f>
        <v>1048.7304280233791</v>
      </c>
      <c r="AJ265" s="273">
        <f>AI265*(1+'2. GRI Pricing Inputs'!$D$114)^((AJ$16-AI$16)/365)</f>
        <v>1052.2296518175781</v>
      </c>
      <c r="AK265" s="273">
        <f>AJ265*(1+'2. GRI Pricing Inputs'!$D$114)^((AK$16-AJ$16)/365)</f>
        <v>1055.6271137619331</v>
      </c>
      <c r="AL265" s="273">
        <f>AK265*(1+'2. GRI Pricing Inputs'!$D$114)^((AL$16-AK$16)/365)</f>
        <v>1059.1493492340546</v>
      </c>
      <c r="AM265" s="273">
        <f>AL265*(1+'2. GRI Pricing Inputs'!$D$114)^((AM$16-AL$16)/365)</f>
        <v>1062.6833370972993</v>
      </c>
      <c r="AN265" s="273">
        <f>AM265*(1+'2. GRI Pricing Inputs'!$D$114)^((AN$16-AM$16)/365)</f>
        <v>1066.1145521276414</v>
      </c>
      <c r="AO265" s="273">
        <f>AN265*(1+'2. GRI Pricing Inputs'!$D$114)^((AO$16-AN$16)/365)</f>
        <v>1069.6717802850985</v>
      </c>
    </row>
    <row r="266" spans="3:41" ht="12" x14ac:dyDescent="0.2">
      <c r="C266" s="76" t="str">
        <f>'1. Accomodation'!N270</f>
        <v>513W</v>
      </c>
      <c r="D266" s="69" t="str">
        <f>'1. Accomodation'!P270</f>
        <v>3 Bed</v>
      </c>
      <c r="E266" s="69">
        <f>'1. Accomodation'!Q270</f>
        <v>2</v>
      </c>
      <c r="F266" s="77">
        <f>'1. Accomodation'!O270</f>
        <v>840</v>
      </c>
      <c r="G266" s="69">
        <f>'1. Accomodation'!R270</f>
        <v>5</v>
      </c>
      <c r="H266" s="69" t="str">
        <f>'1. Accomodation'!S270</f>
        <v>Railway Bridge - Mid</v>
      </c>
      <c r="I266" s="62"/>
      <c r="K266" s="272">
        <f>IFERROR(INDEX('2. GRI Pricing Inputs'!$C$15:$AI$16,MATCH($K$16,'2. GRI Pricing Inputs'!$C$15:$C$16,0),MATCH(D266,'2. GRI Pricing Inputs'!$C$15:$AI$15,0)),0)</f>
        <v>1485</v>
      </c>
      <c r="L266" s="273">
        <f>IFERROR(INDEX('2. GRI Pricing Inputs'!$C$22:$AI$23,MATCH($L$16,'2. GRI Pricing Inputs'!$C$22:$C$23,0),MATCH(E266,'2. GRI Pricing Inputs'!$C$22:$AI$22,0)),0)</f>
        <v>0</v>
      </c>
      <c r="M266" s="328">
        <f>IF(AND('3. GRI Pricing'!$F266&gt;='2. GRI Pricing Inputs'!$D$33,'3. GRI Pricing'!$F266&lt;='2. GRI Pricing Inputs'!$E$33),'2. GRI Pricing Inputs'!$D$32,IF(AND('3. GRI Pricing'!$F266&gt;='2. GRI Pricing Inputs'!$F$33,'3. GRI Pricing'!$F266&lt;='2. GRI Pricing Inputs'!$G$33),'2. GRI Pricing Inputs'!$F$32,IF(AND('3. GRI Pricing'!$F266&gt;='2. GRI Pricing Inputs'!$H$33,'3. GRI Pricing'!$F266&lt;='2. GRI Pricing Inputs'!$I$33),'2. GRI Pricing Inputs'!$H$32,IF(AND('3. GRI Pricing'!$F266&gt;='2. GRI Pricing Inputs'!$J$33,'3. GRI Pricing'!$F266&lt;='2. GRI Pricing Inputs'!$K$33),'2. GRI Pricing Inputs'!$J$32,IF(AND('3. GRI Pricing'!$F266&gt;='2. GRI Pricing Inputs'!$L$33,'3. GRI Pricing'!$F266&lt;='2. GRI Pricing Inputs'!$M$33),'2. GRI Pricing Inputs'!$L$32,IF(AND('3. GRI Pricing'!$F266&gt;='2. GRI Pricing Inputs'!$N$33,'3. GRI Pricing'!$F266&lt;='2. GRI Pricing Inputs'!$O$33),'2. GRI Pricing Inputs'!$N$32,IF(AND('3. GRI Pricing'!$F266&gt;='2. GRI Pricing Inputs'!$P$33,'3. GRI Pricing'!$F266&lt;='2. GRI Pricing Inputs'!$Q$33),'2. GRI Pricing Inputs'!$P$32,IF(AND('3. GRI Pricing'!$F266&gt;='2. GRI Pricing Inputs'!$R$33,'3. GRI Pricing'!$F266&lt;='2. GRI Pricing Inputs'!$S$33),'2. GRI Pricing Inputs'!$R$32,IF(AND('3. GRI Pricing'!$F266&gt;='2. GRI Pricing Inputs'!$T$33,'3. GRI Pricing'!$F266&lt;='2. GRI Pricing Inputs'!$U$33),'2. GRI Pricing Inputs'!$T$32,IF(AND('3. GRI Pricing'!$F266&gt;='2. GRI Pricing Inputs'!$V$33,'3. GRI Pricing'!$F266&lt;='2. GRI Pricing Inputs'!$W$33),'2. GRI Pricing Inputs'!$V$32,IF(AND('3. GRI Pricing'!$F266&gt;='2. GRI Pricing Inputs'!$X$33,'3. GRI Pricing'!$F266&lt;='2. GRI Pricing Inputs'!$Y$33),'2. GRI Pricing Inputs'!$X$32,IF(AND('3. GRI Pricing'!$F266&gt;='2. GRI Pricing Inputs'!$Z$33,'3. GRI Pricing'!$F266&lt;='2. GRI Pricing Inputs'!$AA$33),'2. GRI Pricing Inputs'!$Z$32,IF(AND('3. GRI Pricing'!$F266&gt;='2. GRI Pricing Inputs'!$AB$33,'3. GRI Pricing'!$F266&lt;='2. GRI Pricing Inputs'!$AC$33),'2. GRI Pricing Inputs'!$AB$32,IF(AND('3. GRI Pricing'!$F266&gt;='2. GRI Pricing Inputs'!$AD$33,'3. GRI Pricing'!$F266&lt;='2. GRI Pricing Inputs'!$AE$33),'2. GRI Pricing Inputs'!$AD$32,IF(AND('3. GRI Pricing'!$F266&gt;='2. GRI Pricing Inputs'!$AF$33,'3. GRI Pricing'!$F266&lt;='2. GRI Pricing Inputs'!$AG$33),'2. GRI Pricing Inputs'!$AF$32,IF(AND('3. GRI Pricing'!$F266&gt;='2. GRI Pricing Inputs'!$AH$33,'3. GRI Pricing'!$F266&lt;='2. GRI Pricing Inputs'!$AI$33),'2. GRI Pricing Inputs'!$AH$32,0))))))))))))))))</f>
        <v>15</v>
      </c>
      <c r="N266" s="273" cm="1">
        <f t="array" ref="N266">IFERROR(INDEX('2. GRI Pricing Inputs'!$C$32:$AI$39,MATCH('3. GRI Pricing'!D266,'2. GRI Pricing Inputs'!$C$32:$C$39,0),(MATCH('3. GRI Pricing'!M266,'2. GRI Pricing Inputs'!$D$32:$AI$32,0)+1)),0)</f>
        <v>70</v>
      </c>
      <c r="O266" s="273">
        <f>IFERROR(INDEX('2. GRI Pricing Inputs'!$C$45:$AI$46,MATCH($O$16,'2. GRI Pricing Inputs'!$C$45:$C$46,0),MATCH(G266,'2. GRI Pricing Inputs'!$C$45:$AI$45,0)),0)</f>
        <v>70</v>
      </c>
      <c r="P266" s="273">
        <f>IFERROR(INDEX('2. GRI Pricing Inputs'!$C$53:$AI$54,MATCH('3. GRI Pricing'!$P$16,'2. GRI Pricing Inputs'!$C$53:$C$54,0),MATCH('3. GRI Pricing'!H266,'2. GRI Pricing Inputs'!$C$53:$AI$53,0)),0)</f>
        <v>20</v>
      </c>
      <c r="Q266" s="273">
        <f>IFERROR(INDEX('2. GRI Pricing Inputs'!$C$60:$AI$61,MATCH('3. GRI Pricing'!$Q$16,'2. GRI Pricing Inputs'!$C$60:$C$61,0),MATCH('1. Accomodation'!T270,'2. GRI Pricing Inputs'!$C$60:$AI$60,0)),0)</f>
        <v>0</v>
      </c>
      <c r="R266" s="273">
        <f>IFERROR(INDEX('2. GRI Pricing Inputs'!$C$67:$AI$68,MATCH('3. GRI Pricing'!$R$16,'2. GRI Pricing Inputs'!$C$67:$C$68,0),MATCH('1. Accomodation'!U270,'2. GRI Pricing Inputs'!$C$67:$AI$67,0)),0)</f>
        <v>0</v>
      </c>
      <c r="S266" s="273">
        <f>IF(D266=0,0,'2. GRI Pricing Inputs'!$AI$75)</f>
        <v>70</v>
      </c>
      <c r="T266" s="273">
        <f>IFERROR(INDEX('2. GRI Pricing Inputs'!$C$82:$AI$83,MATCH('3. GRI Pricing'!$T$16,'2. GRI Pricing Inputs'!$C$82:$C$83,0),MATCH('1. Accomodation'!V270,'2. GRI Pricing Inputs'!$C$82:$AI$82,0)),0)</f>
        <v>0</v>
      </c>
      <c r="U266" s="273">
        <f>IFERROR(INDEX('2. GRI Pricing Inputs'!$C$89:$AI$90,MATCH('3. GRI Pricing'!$U$16,'2. GRI Pricing Inputs'!$C$89:$C$90,0),MATCH('1. Accomodation'!W270,'2. GRI Pricing Inputs'!$C$89:$AI$89,0)),0)</f>
        <v>0</v>
      </c>
      <c r="V266" s="273">
        <f>IFERROR(INDEX('2. GRI Pricing Inputs'!$C$97:$AI$98,MATCH('3. GRI Pricing'!$V$16,'2. GRI Pricing Inputs'!$C$97:$C$98,0),MATCH('1. Accomodation'!X270,'2. GRI Pricing Inputs'!$C$97:$AI$97,0)),0)</f>
        <v>0</v>
      </c>
      <c r="W266" s="273">
        <f>IFERROR(INDEX('2. GRI Pricing Inputs'!$C$104:$AI$105,MATCH('3. GRI Pricing'!$W$16,'2. GRI Pricing Inputs'!$C$104:$C$105,0),MATCH('1. Accomodation'!Y270,'2. GRI Pricing Inputs'!$C$104:$AI$104,0)),0)</f>
        <v>0</v>
      </c>
      <c r="X266" s="274">
        <v>0</v>
      </c>
      <c r="Y266" s="275">
        <f t="shared" si="10"/>
        <v>1715</v>
      </c>
      <c r="Z266" s="276"/>
      <c r="AA266" s="276"/>
      <c r="AB266" s="276"/>
      <c r="AC266" s="272">
        <f>Y266*(1+'2. GRI Pricing Inputs'!$D$114)^(($AC$16-$AB$15)/365)</f>
        <v>1720.7223178108429</v>
      </c>
      <c r="AD266" s="273">
        <f>AC266*(1+'2. GRI Pricing Inputs'!$D$114)^((AD$16-AC$16)/365)</f>
        <v>1726.2782233885523</v>
      </c>
      <c r="AE266" s="273">
        <f>AD266*(1+'2. GRI Pricing Inputs'!$D$114)^((AE$16-AD$16)/365)</f>
        <v>1732.0381724405445</v>
      </c>
      <c r="AF266" s="273">
        <f>AE266*(1+'2. GRI Pricing Inputs'!$D$114)^((AF$16-AE$16)/365)</f>
        <v>1737.8173403024782</v>
      </c>
      <c r="AG266" s="273">
        <f>AF266*(1+'2. GRI Pricing Inputs'!$D$114)^((AG$16-AF$16)/365)</f>
        <v>1743.2411143497823</v>
      </c>
      <c r="AH266" s="273">
        <f>AG266*(1+'2. GRI Pricing Inputs'!$D$114)^((AH$16-AG$16)/365)</f>
        <v>1749.0576622665387</v>
      </c>
      <c r="AI266" s="273">
        <f>AH266*(1+'2. GRI Pricing Inputs'!$D$114)^((AI$16-AH$16)/365)</f>
        <v>1754.7050576196048</v>
      </c>
      <c r="AJ266" s="273">
        <f>AI266*(1+'2. GRI Pricing Inputs'!$D$114)^((AJ$16-AI$16)/365)</f>
        <v>1760.5598564557522</v>
      </c>
      <c r="AK266" s="273">
        <f>AJ266*(1+'2. GRI Pricing Inputs'!$D$114)^((AK$16-AJ$16)/365)</f>
        <v>1766.2443903431363</v>
      </c>
      <c r="AL266" s="273">
        <f>AK266*(1+'2. GRI Pricing Inputs'!$D$114)^((AL$16-AK$16)/365)</f>
        <v>1772.1376916452716</v>
      </c>
      <c r="AM266" s="273">
        <f>AL266*(1+'2. GRI Pricing Inputs'!$D$114)^((AM$16-AL$16)/365)</f>
        <v>1778.0506567042617</v>
      </c>
      <c r="AN266" s="273">
        <f>AM266*(1+'2. GRI Pricing Inputs'!$D$114)^((AN$16-AM$16)/365)</f>
        <v>1783.7916652672243</v>
      </c>
      <c r="AO266" s="273">
        <f>AN266*(1+'2. GRI Pricing Inputs'!$D$114)^((AO$16-AN$16)/365)</f>
        <v>1789.7435153062866</v>
      </c>
    </row>
    <row r="267" spans="3:41" ht="12" x14ac:dyDescent="0.2">
      <c r="C267" s="76" t="str">
        <f>'1. Accomodation'!N271</f>
        <v>514W</v>
      </c>
      <c r="D267" s="69" t="str">
        <f>'1. Accomodation'!P271</f>
        <v>2 Bed</v>
      </c>
      <c r="E267" s="69">
        <f>'1. Accomodation'!Q271</f>
        <v>2</v>
      </c>
      <c r="F267" s="77">
        <f>'1. Accomodation'!O271</f>
        <v>624</v>
      </c>
      <c r="G267" s="69">
        <f>'1. Accomodation'!R271</f>
        <v>5</v>
      </c>
      <c r="H267" s="69" t="str">
        <f>'1. Accomodation'!S271</f>
        <v>Railway Bridge - Mid</v>
      </c>
      <c r="I267" s="62"/>
      <c r="K267" s="272">
        <f>IFERROR(INDEX('2. GRI Pricing Inputs'!$C$15:$AI$16,MATCH($K$16,'2. GRI Pricing Inputs'!$C$15:$C$16,0),MATCH(D267,'2. GRI Pricing Inputs'!$C$15:$AI$15,0)),0)</f>
        <v>1110</v>
      </c>
      <c r="L267" s="273">
        <f>IFERROR(INDEX('2. GRI Pricing Inputs'!$C$22:$AI$23,MATCH($L$16,'2. GRI Pricing Inputs'!$C$22:$C$23,0),MATCH(E267,'2. GRI Pricing Inputs'!$C$22:$AI$22,0)),0)</f>
        <v>0</v>
      </c>
      <c r="M267" s="328">
        <f>IF(AND('3. GRI Pricing'!$F267&gt;='2. GRI Pricing Inputs'!$D$33,'3. GRI Pricing'!$F267&lt;='2. GRI Pricing Inputs'!$E$33),'2. GRI Pricing Inputs'!$D$32,IF(AND('3. GRI Pricing'!$F267&gt;='2. GRI Pricing Inputs'!$F$33,'3. GRI Pricing'!$F267&lt;='2. GRI Pricing Inputs'!$G$33),'2. GRI Pricing Inputs'!$F$32,IF(AND('3. GRI Pricing'!$F267&gt;='2. GRI Pricing Inputs'!$H$33,'3. GRI Pricing'!$F267&lt;='2. GRI Pricing Inputs'!$I$33),'2. GRI Pricing Inputs'!$H$32,IF(AND('3. GRI Pricing'!$F267&gt;='2. GRI Pricing Inputs'!$J$33,'3. GRI Pricing'!$F267&lt;='2. GRI Pricing Inputs'!$K$33),'2. GRI Pricing Inputs'!$J$32,IF(AND('3. GRI Pricing'!$F267&gt;='2. GRI Pricing Inputs'!$L$33,'3. GRI Pricing'!$F267&lt;='2. GRI Pricing Inputs'!$M$33),'2. GRI Pricing Inputs'!$L$32,IF(AND('3. GRI Pricing'!$F267&gt;='2. GRI Pricing Inputs'!$N$33,'3. GRI Pricing'!$F267&lt;='2. GRI Pricing Inputs'!$O$33),'2. GRI Pricing Inputs'!$N$32,IF(AND('3. GRI Pricing'!$F267&gt;='2. GRI Pricing Inputs'!$P$33,'3. GRI Pricing'!$F267&lt;='2. GRI Pricing Inputs'!$Q$33),'2. GRI Pricing Inputs'!$P$32,IF(AND('3. GRI Pricing'!$F267&gt;='2. GRI Pricing Inputs'!$R$33,'3. GRI Pricing'!$F267&lt;='2. GRI Pricing Inputs'!$S$33),'2. GRI Pricing Inputs'!$R$32,IF(AND('3. GRI Pricing'!$F267&gt;='2. GRI Pricing Inputs'!$T$33,'3. GRI Pricing'!$F267&lt;='2. GRI Pricing Inputs'!$U$33),'2. GRI Pricing Inputs'!$T$32,IF(AND('3. GRI Pricing'!$F267&gt;='2. GRI Pricing Inputs'!$V$33,'3. GRI Pricing'!$F267&lt;='2. GRI Pricing Inputs'!$W$33),'2. GRI Pricing Inputs'!$V$32,IF(AND('3. GRI Pricing'!$F267&gt;='2. GRI Pricing Inputs'!$X$33,'3. GRI Pricing'!$F267&lt;='2. GRI Pricing Inputs'!$Y$33),'2. GRI Pricing Inputs'!$X$32,IF(AND('3. GRI Pricing'!$F267&gt;='2. GRI Pricing Inputs'!$Z$33,'3. GRI Pricing'!$F267&lt;='2. GRI Pricing Inputs'!$AA$33),'2. GRI Pricing Inputs'!$Z$32,IF(AND('3. GRI Pricing'!$F267&gt;='2. GRI Pricing Inputs'!$AB$33,'3. GRI Pricing'!$F267&lt;='2. GRI Pricing Inputs'!$AC$33),'2. GRI Pricing Inputs'!$AB$32,IF(AND('3. GRI Pricing'!$F267&gt;='2. GRI Pricing Inputs'!$AD$33,'3. GRI Pricing'!$F267&lt;='2. GRI Pricing Inputs'!$AE$33),'2. GRI Pricing Inputs'!$AD$32,IF(AND('3. GRI Pricing'!$F267&gt;='2. GRI Pricing Inputs'!$AF$33,'3. GRI Pricing'!$F267&lt;='2. GRI Pricing Inputs'!$AG$33),'2. GRI Pricing Inputs'!$AF$32,IF(AND('3. GRI Pricing'!$F267&gt;='2. GRI Pricing Inputs'!$AH$33,'3. GRI Pricing'!$F267&lt;='2. GRI Pricing Inputs'!$AI$33),'2. GRI Pricing Inputs'!$AH$32,0))))))))))))))))</f>
        <v>7</v>
      </c>
      <c r="N267" s="273" cm="1">
        <f t="array" ref="N267">IFERROR(INDEX('2. GRI Pricing Inputs'!$C$32:$AI$39,MATCH('3. GRI Pricing'!D267,'2. GRI Pricing Inputs'!$C$32:$C$39,0),(MATCH('3. GRI Pricing'!M267,'2. GRI Pricing Inputs'!$D$32:$AI$32,0)+1)),0)</f>
        <v>10</v>
      </c>
      <c r="O267" s="273">
        <f>IFERROR(INDEX('2. GRI Pricing Inputs'!$C$45:$AI$46,MATCH($O$16,'2. GRI Pricing Inputs'!$C$45:$C$46,0),MATCH(G267,'2. GRI Pricing Inputs'!$C$45:$AI$45,0)),0)</f>
        <v>70</v>
      </c>
      <c r="P267" s="273">
        <f>IFERROR(INDEX('2. GRI Pricing Inputs'!$C$53:$AI$54,MATCH('3. GRI Pricing'!$P$16,'2. GRI Pricing Inputs'!$C$53:$C$54,0),MATCH('3. GRI Pricing'!H267,'2. GRI Pricing Inputs'!$C$53:$AI$53,0)),0)</f>
        <v>20</v>
      </c>
      <c r="Q267" s="273">
        <f>IFERROR(INDEX('2. GRI Pricing Inputs'!$C$60:$AI$61,MATCH('3. GRI Pricing'!$Q$16,'2. GRI Pricing Inputs'!$C$60:$C$61,0),MATCH('1. Accomodation'!T271,'2. GRI Pricing Inputs'!$C$60:$AI$60,0)),0)</f>
        <v>0</v>
      </c>
      <c r="R267" s="273">
        <f>IFERROR(INDEX('2. GRI Pricing Inputs'!$C$67:$AI$68,MATCH('3. GRI Pricing'!$R$16,'2. GRI Pricing Inputs'!$C$67:$C$68,0),MATCH('1. Accomodation'!U271,'2. GRI Pricing Inputs'!$C$67:$AI$67,0)),0)</f>
        <v>0</v>
      </c>
      <c r="S267" s="273">
        <f>IF(D267=0,0,'2. GRI Pricing Inputs'!$AI$75)</f>
        <v>70</v>
      </c>
      <c r="T267" s="273">
        <f>IFERROR(INDEX('2. GRI Pricing Inputs'!$C$82:$AI$83,MATCH('3. GRI Pricing'!$T$16,'2. GRI Pricing Inputs'!$C$82:$C$83,0),MATCH('1. Accomodation'!V271,'2. GRI Pricing Inputs'!$C$82:$AI$82,0)),0)</f>
        <v>0</v>
      </c>
      <c r="U267" s="273">
        <f>IFERROR(INDEX('2. GRI Pricing Inputs'!$C$89:$AI$90,MATCH('3. GRI Pricing'!$U$16,'2. GRI Pricing Inputs'!$C$89:$C$90,0),MATCH('1. Accomodation'!W271,'2. GRI Pricing Inputs'!$C$89:$AI$89,0)),0)</f>
        <v>0</v>
      </c>
      <c r="V267" s="273">
        <f>IFERROR(INDEX('2. GRI Pricing Inputs'!$C$97:$AI$98,MATCH('3. GRI Pricing'!$V$16,'2. GRI Pricing Inputs'!$C$97:$C$98,0),MATCH('1. Accomodation'!X271,'2. GRI Pricing Inputs'!$C$97:$AI$97,0)),0)</f>
        <v>0</v>
      </c>
      <c r="W267" s="273">
        <f>IFERROR(INDEX('2. GRI Pricing Inputs'!$C$104:$AI$105,MATCH('3. GRI Pricing'!$W$16,'2. GRI Pricing Inputs'!$C$104:$C$105,0),MATCH('1. Accomodation'!Y271,'2. GRI Pricing Inputs'!$C$104:$AI$104,0)),0)</f>
        <v>0</v>
      </c>
      <c r="X267" s="274">
        <v>0</v>
      </c>
      <c r="Y267" s="275">
        <f t="shared" si="10"/>
        <v>1280</v>
      </c>
      <c r="Z267" s="276"/>
      <c r="AA267" s="276"/>
      <c r="AB267" s="276"/>
      <c r="AC267" s="272">
        <f>Y267*(1+'2. GRI Pricing Inputs'!$D$114)^(($AC$16-$AB$15)/365)</f>
        <v>1284.2708844302501</v>
      </c>
      <c r="AD267" s="273">
        <f>AC267*(1+'2. GRI Pricing Inputs'!$D$114)^((AD$16-AC$16)/365)</f>
        <v>1288.4175661442257</v>
      </c>
      <c r="AE267" s="273">
        <f>AD267*(1+'2. GRI Pricing Inputs'!$D$114)^((AE$16-AD$16)/365)</f>
        <v>1292.7165368652461</v>
      </c>
      <c r="AF267" s="273">
        <f>AE267*(1+'2. GRI Pricing Inputs'!$D$114)^((AF$16-AE$16)/365)</f>
        <v>1297.0298516543278</v>
      </c>
      <c r="AG267" s="273">
        <f>AF267*(1+'2. GRI Pricing Inputs'!$D$114)^((AG$16-AF$16)/365)</f>
        <v>1301.0779162494002</v>
      </c>
      <c r="AH267" s="273">
        <f>AG267*(1+'2. GRI Pricing Inputs'!$D$114)^((AH$16-AG$16)/365)</f>
        <v>1305.4191298549094</v>
      </c>
      <c r="AI267" s="273">
        <f>AH267*(1+'2. GRI Pricing Inputs'!$D$114)^((AI$16-AH$16)/365)</f>
        <v>1309.6340954828538</v>
      </c>
      <c r="AJ267" s="273">
        <f>AI267*(1+'2. GRI Pricing Inputs'!$D$114)^((AJ$16-AI$16)/365)</f>
        <v>1314.003857879512</v>
      </c>
      <c r="AK267" s="273">
        <f>AJ267*(1+'2. GRI Pricing Inputs'!$D$114)^((AK$16-AJ$16)/365)</f>
        <v>1318.246542063682</v>
      </c>
      <c r="AL267" s="273">
        <f>AK267*(1+'2. GRI Pricing Inputs'!$D$114)^((AL$16-AK$16)/365)</f>
        <v>1322.6450409947217</v>
      </c>
      <c r="AM267" s="273">
        <f>AL267*(1+'2. GRI Pricing Inputs'!$D$114)^((AM$16-AL$16)/365)</f>
        <v>1327.0582160824811</v>
      </c>
      <c r="AN267" s="273">
        <f>AM267*(1+'2. GRI Pricing Inputs'!$D$114)^((AN$16-AM$16)/365)</f>
        <v>1331.3430504618352</v>
      </c>
      <c r="AO267" s="273">
        <f>AN267*(1+'2. GRI Pricing Inputs'!$D$114)^((AO$16-AN$16)/365)</f>
        <v>1335.7852475755376</v>
      </c>
    </row>
    <row r="268" spans="3:41" ht="12" x14ac:dyDescent="0.2">
      <c r="C268" s="76" t="str">
        <f>'1. Accomodation'!N272</f>
        <v>601W</v>
      </c>
      <c r="D268" s="69" t="str">
        <f>'1. Accomodation'!P272</f>
        <v>2 Bed</v>
      </c>
      <c r="E268" s="69">
        <f>'1. Accomodation'!Q272</f>
        <v>2</v>
      </c>
      <c r="F268" s="77">
        <f>'1. Accomodation'!O272</f>
        <v>689</v>
      </c>
      <c r="G268" s="69">
        <f>'1. Accomodation'!R272</f>
        <v>6</v>
      </c>
      <c r="H268" s="69" t="str">
        <f>'1. Accomodation'!S272</f>
        <v>Pottery Lane</v>
      </c>
      <c r="I268" s="62"/>
      <c r="K268" s="272">
        <f>IFERROR(INDEX('2. GRI Pricing Inputs'!$C$15:$AI$16,MATCH($K$16,'2. GRI Pricing Inputs'!$C$15:$C$16,0),MATCH(D268,'2. GRI Pricing Inputs'!$C$15:$AI$15,0)),0)</f>
        <v>1110</v>
      </c>
      <c r="L268" s="273">
        <f>IFERROR(INDEX('2. GRI Pricing Inputs'!$C$22:$AI$23,MATCH($L$16,'2. GRI Pricing Inputs'!$C$22:$C$23,0),MATCH(E268,'2. GRI Pricing Inputs'!$C$22:$AI$22,0)),0)</f>
        <v>0</v>
      </c>
      <c r="M268" s="328">
        <f>IF(AND('3. GRI Pricing'!$F268&gt;='2. GRI Pricing Inputs'!$D$33,'3. GRI Pricing'!$F268&lt;='2. GRI Pricing Inputs'!$E$33),'2. GRI Pricing Inputs'!$D$32,IF(AND('3. GRI Pricing'!$F268&gt;='2. GRI Pricing Inputs'!$F$33,'3. GRI Pricing'!$F268&lt;='2. GRI Pricing Inputs'!$G$33),'2. GRI Pricing Inputs'!$F$32,IF(AND('3. GRI Pricing'!$F268&gt;='2. GRI Pricing Inputs'!$H$33,'3. GRI Pricing'!$F268&lt;='2. GRI Pricing Inputs'!$I$33),'2. GRI Pricing Inputs'!$H$32,IF(AND('3. GRI Pricing'!$F268&gt;='2. GRI Pricing Inputs'!$J$33,'3. GRI Pricing'!$F268&lt;='2. GRI Pricing Inputs'!$K$33),'2. GRI Pricing Inputs'!$J$32,IF(AND('3. GRI Pricing'!$F268&gt;='2. GRI Pricing Inputs'!$L$33,'3. GRI Pricing'!$F268&lt;='2. GRI Pricing Inputs'!$M$33),'2. GRI Pricing Inputs'!$L$32,IF(AND('3. GRI Pricing'!$F268&gt;='2. GRI Pricing Inputs'!$N$33,'3. GRI Pricing'!$F268&lt;='2. GRI Pricing Inputs'!$O$33),'2. GRI Pricing Inputs'!$N$32,IF(AND('3. GRI Pricing'!$F268&gt;='2. GRI Pricing Inputs'!$P$33,'3. GRI Pricing'!$F268&lt;='2. GRI Pricing Inputs'!$Q$33),'2. GRI Pricing Inputs'!$P$32,IF(AND('3. GRI Pricing'!$F268&gt;='2. GRI Pricing Inputs'!$R$33,'3. GRI Pricing'!$F268&lt;='2. GRI Pricing Inputs'!$S$33),'2. GRI Pricing Inputs'!$R$32,IF(AND('3. GRI Pricing'!$F268&gt;='2. GRI Pricing Inputs'!$T$33,'3. GRI Pricing'!$F268&lt;='2. GRI Pricing Inputs'!$U$33),'2. GRI Pricing Inputs'!$T$32,IF(AND('3. GRI Pricing'!$F268&gt;='2. GRI Pricing Inputs'!$V$33,'3. GRI Pricing'!$F268&lt;='2. GRI Pricing Inputs'!$W$33),'2. GRI Pricing Inputs'!$V$32,IF(AND('3. GRI Pricing'!$F268&gt;='2. GRI Pricing Inputs'!$X$33,'3. GRI Pricing'!$F268&lt;='2. GRI Pricing Inputs'!$Y$33),'2. GRI Pricing Inputs'!$X$32,IF(AND('3. GRI Pricing'!$F268&gt;='2. GRI Pricing Inputs'!$Z$33,'3. GRI Pricing'!$F268&lt;='2. GRI Pricing Inputs'!$AA$33),'2. GRI Pricing Inputs'!$Z$32,IF(AND('3. GRI Pricing'!$F268&gt;='2. GRI Pricing Inputs'!$AB$33,'3. GRI Pricing'!$F268&lt;='2. GRI Pricing Inputs'!$AC$33),'2. GRI Pricing Inputs'!$AB$32,IF(AND('3. GRI Pricing'!$F268&gt;='2. GRI Pricing Inputs'!$AD$33,'3. GRI Pricing'!$F268&lt;='2. GRI Pricing Inputs'!$AE$33),'2. GRI Pricing Inputs'!$AD$32,IF(AND('3. GRI Pricing'!$F268&gt;='2. GRI Pricing Inputs'!$AF$33,'3. GRI Pricing'!$F268&lt;='2. GRI Pricing Inputs'!$AG$33),'2. GRI Pricing Inputs'!$AF$32,IF(AND('3. GRI Pricing'!$F268&gt;='2. GRI Pricing Inputs'!$AH$33,'3. GRI Pricing'!$F268&lt;='2. GRI Pricing Inputs'!$AI$33),'2. GRI Pricing Inputs'!$AH$32,0))))))))))))))))</f>
        <v>11</v>
      </c>
      <c r="N268" s="273" cm="1">
        <f t="array" ref="N268">IFERROR(INDEX('2. GRI Pricing Inputs'!$C$32:$AI$39,MATCH('3. GRI Pricing'!D268,'2. GRI Pricing Inputs'!$C$32:$C$39,0),(MATCH('3. GRI Pricing'!M268,'2. GRI Pricing Inputs'!$D$32:$AI$32,0)+1)),0)</f>
        <v>65</v>
      </c>
      <c r="O268" s="273">
        <f>IFERROR(INDEX('2. GRI Pricing Inputs'!$C$45:$AI$46,MATCH($O$16,'2. GRI Pricing Inputs'!$C$45:$C$46,0),MATCH(G268,'2. GRI Pricing Inputs'!$C$45:$AI$45,0)),0)</f>
        <v>80</v>
      </c>
      <c r="P268" s="273">
        <f>IFERROR(INDEX('2. GRI Pricing Inputs'!$C$53:$AI$54,MATCH('3. GRI Pricing'!$P$16,'2. GRI Pricing Inputs'!$C$53:$C$54,0),MATCH('3. GRI Pricing'!H268,'2. GRI Pricing Inputs'!$C$53:$AI$53,0)),0)</f>
        <v>10</v>
      </c>
      <c r="Q268" s="273">
        <f>IFERROR(INDEX('2. GRI Pricing Inputs'!$C$60:$AI$61,MATCH('3. GRI Pricing'!$Q$16,'2. GRI Pricing Inputs'!$C$60:$C$61,0),MATCH('1. Accomodation'!T272,'2. GRI Pricing Inputs'!$C$60:$AI$60,0)),0)</f>
        <v>0</v>
      </c>
      <c r="R268" s="273">
        <f>IFERROR(INDEX('2. GRI Pricing Inputs'!$C$67:$AI$68,MATCH('3. GRI Pricing'!$R$16,'2. GRI Pricing Inputs'!$C$67:$C$68,0),MATCH('1. Accomodation'!U272,'2. GRI Pricing Inputs'!$C$67:$AI$67,0)),0)</f>
        <v>0</v>
      </c>
      <c r="S268" s="273">
        <f>IF(D268=0,0,'2. GRI Pricing Inputs'!$AI$75)</f>
        <v>70</v>
      </c>
      <c r="T268" s="273">
        <f>IFERROR(INDEX('2. GRI Pricing Inputs'!$C$82:$AI$83,MATCH('3. GRI Pricing'!$T$16,'2. GRI Pricing Inputs'!$C$82:$C$83,0),MATCH('1. Accomodation'!V272,'2. GRI Pricing Inputs'!$C$82:$AI$82,0)),0)</f>
        <v>0</v>
      </c>
      <c r="U268" s="273">
        <f>IFERROR(INDEX('2. GRI Pricing Inputs'!$C$89:$AI$90,MATCH('3. GRI Pricing'!$U$16,'2. GRI Pricing Inputs'!$C$89:$C$90,0),MATCH('1. Accomodation'!W272,'2. GRI Pricing Inputs'!$C$89:$AI$89,0)),0)</f>
        <v>0</v>
      </c>
      <c r="V268" s="273">
        <f>IFERROR(INDEX('2. GRI Pricing Inputs'!$C$97:$AI$98,MATCH('3. GRI Pricing'!$V$16,'2. GRI Pricing Inputs'!$C$97:$C$98,0),MATCH('1. Accomodation'!X272,'2. GRI Pricing Inputs'!$C$97:$AI$97,0)),0)</f>
        <v>0</v>
      </c>
      <c r="W268" s="273">
        <f>IFERROR(INDEX('2. GRI Pricing Inputs'!$C$104:$AI$105,MATCH('3. GRI Pricing'!$W$16,'2. GRI Pricing Inputs'!$C$104:$C$105,0),MATCH('1. Accomodation'!Y272,'2. GRI Pricing Inputs'!$C$104:$AI$104,0)),0)</f>
        <v>0</v>
      </c>
      <c r="X268" s="274">
        <v>0</v>
      </c>
      <c r="Y268" s="275">
        <f t="shared" si="10"/>
        <v>1335</v>
      </c>
      <c r="Z268" s="276"/>
      <c r="AA268" s="276"/>
      <c r="AB268" s="276"/>
      <c r="AC268" s="272">
        <f>Y268*(1+'2. GRI Pricing Inputs'!$D$114)^(($AC$16-$AB$15)/365)</f>
        <v>1339.4543989956123</v>
      </c>
      <c r="AD268" s="273">
        <f>AC268*(1+'2. GRI Pricing Inputs'!$D$114)^((AD$16-AC$16)/365)</f>
        <v>1343.7792584394851</v>
      </c>
      <c r="AE268" s="273">
        <f>AD268*(1+'2. GRI Pricing Inputs'!$D$114)^((AE$16-AD$16)/365)</f>
        <v>1348.2629505586744</v>
      </c>
      <c r="AF268" s="273">
        <f>AE268*(1+'2. GRI Pricing Inputs'!$D$114)^((AF$16-AE$16)/365)</f>
        <v>1352.7616030925997</v>
      </c>
      <c r="AG268" s="273">
        <f>AF268*(1+'2. GRI Pricing Inputs'!$D$114)^((AG$16-AF$16)/365)</f>
        <v>1356.9836079632416</v>
      </c>
      <c r="AH268" s="273">
        <f>AG268*(1+'2. GRI Pricing Inputs'!$D$114)^((AH$16-AG$16)/365)</f>
        <v>1361.5113580908626</v>
      </c>
      <c r="AI268" s="273">
        <f>AH268*(1+'2. GRI Pricing Inputs'!$D$114)^((AI$16-AH$16)/365)</f>
        <v>1365.9074355231326</v>
      </c>
      <c r="AJ268" s="273">
        <f>AI268*(1+'2. GRI Pricing Inputs'!$D$114)^((AJ$16-AI$16)/365)</f>
        <v>1370.4649611477721</v>
      </c>
      <c r="AK268" s="273">
        <f>AJ268*(1+'2. GRI Pricing Inputs'!$D$114)^((AK$16-AJ$16)/365)</f>
        <v>1374.8899481679807</v>
      </c>
      <c r="AL268" s="273">
        <f>AK268*(1+'2. GRI Pricing Inputs'!$D$114)^((AL$16-AK$16)/365)</f>
        <v>1379.4774450999635</v>
      </c>
      <c r="AM268" s="273">
        <f>AL268*(1+'2. GRI Pricing Inputs'!$D$114)^((AM$16-AL$16)/365)</f>
        <v>1384.080248804775</v>
      </c>
      <c r="AN268" s="273">
        <f>AM268*(1+'2. GRI Pricing Inputs'!$D$114)^((AN$16-AM$16)/365)</f>
        <v>1388.5491971613669</v>
      </c>
      <c r="AO268" s="273">
        <f>AN268*(1+'2. GRI Pricing Inputs'!$D$114)^((AO$16-AN$16)/365)</f>
        <v>1393.1822699322988</v>
      </c>
    </row>
    <row r="269" spans="3:41" ht="12" x14ac:dyDescent="0.2">
      <c r="C269" s="76" t="str">
        <f>'1. Accomodation'!N273</f>
        <v>602W</v>
      </c>
      <c r="D269" s="69" t="str">
        <f>'1. Accomodation'!P273</f>
        <v>1 Bed</v>
      </c>
      <c r="E269" s="69">
        <f>'1. Accomodation'!Q273</f>
        <v>1</v>
      </c>
      <c r="F269" s="77">
        <f>'1. Accomodation'!O273</f>
        <v>495</v>
      </c>
      <c r="G269" s="69">
        <f>'1. Accomodation'!R273</f>
        <v>6</v>
      </c>
      <c r="H269" s="69" t="str">
        <f>'1. Accomodation'!S273</f>
        <v>Courtyard</v>
      </c>
      <c r="I269" s="62"/>
      <c r="K269" s="272">
        <f>IFERROR(INDEX('2. GRI Pricing Inputs'!$C$15:$AI$16,MATCH($K$16,'2. GRI Pricing Inputs'!$C$15:$C$16,0),MATCH(D269,'2. GRI Pricing Inputs'!$C$15:$AI$15,0)),0)</f>
        <v>845</v>
      </c>
      <c r="L269" s="273">
        <f>IFERROR(INDEX('2. GRI Pricing Inputs'!$C$22:$AI$23,MATCH($L$16,'2. GRI Pricing Inputs'!$C$22:$C$23,0),MATCH(E269,'2. GRI Pricing Inputs'!$C$22:$AI$22,0)),0)</f>
        <v>0</v>
      </c>
      <c r="M269" s="328">
        <f>IF(AND('3. GRI Pricing'!$F269&gt;='2. GRI Pricing Inputs'!$D$33,'3. GRI Pricing'!$F269&lt;='2. GRI Pricing Inputs'!$E$33),'2. GRI Pricing Inputs'!$D$32,IF(AND('3. GRI Pricing'!$F269&gt;='2. GRI Pricing Inputs'!$F$33,'3. GRI Pricing'!$F269&lt;='2. GRI Pricing Inputs'!$G$33),'2. GRI Pricing Inputs'!$F$32,IF(AND('3. GRI Pricing'!$F269&gt;='2. GRI Pricing Inputs'!$H$33,'3. GRI Pricing'!$F269&lt;='2. GRI Pricing Inputs'!$I$33),'2. GRI Pricing Inputs'!$H$32,IF(AND('3. GRI Pricing'!$F269&gt;='2. GRI Pricing Inputs'!$J$33,'3. GRI Pricing'!$F269&lt;='2. GRI Pricing Inputs'!$K$33),'2. GRI Pricing Inputs'!$J$32,IF(AND('3. GRI Pricing'!$F269&gt;='2. GRI Pricing Inputs'!$L$33,'3. GRI Pricing'!$F269&lt;='2. GRI Pricing Inputs'!$M$33),'2. GRI Pricing Inputs'!$L$32,IF(AND('3. GRI Pricing'!$F269&gt;='2. GRI Pricing Inputs'!$N$33,'3. GRI Pricing'!$F269&lt;='2. GRI Pricing Inputs'!$O$33),'2. GRI Pricing Inputs'!$N$32,IF(AND('3. GRI Pricing'!$F269&gt;='2. GRI Pricing Inputs'!$P$33,'3. GRI Pricing'!$F269&lt;='2. GRI Pricing Inputs'!$Q$33),'2. GRI Pricing Inputs'!$P$32,IF(AND('3. GRI Pricing'!$F269&gt;='2. GRI Pricing Inputs'!$R$33,'3. GRI Pricing'!$F269&lt;='2. GRI Pricing Inputs'!$S$33),'2. GRI Pricing Inputs'!$R$32,IF(AND('3. GRI Pricing'!$F269&gt;='2. GRI Pricing Inputs'!$T$33,'3. GRI Pricing'!$F269&lt;='2. GRI Pricing Inputs'!$U$33),'2. GRI Pricing Inputs'!$T$32,IF(AND('3. GRI Pricing'!$F269&gt;='2. GRI Pricing Inputs'!$V$33,'3. GRI Pricing'!$F269&lt;='2. GRI Pricing Inputs'!$W$33),'2. GRI Pricing Inputs'!$V$32,IF(AND('3. GRI Pricing'!$F269&gt;='2. GRI Pricing Inputs'!$X$33,'3. GRI Pricing'!$F269&lt;='2. GRI Pricing Inputs'!$Y$33),'2. GRI Pricing Inputs'!$X$32,IF(AND('3. GRI Pricing'!$F269&gt;='2. GRI Pricing Inputs'!$Z$33,'3. GRI Pricing'!$F269&lt;='2. GRI Pricing Inputs'!$AA$33),'2. GRI Pricing Inputs'!$Z$32,IF(AND('3. GRI Pricing'!$F269&gt;='2. GRI Pricing Inputs'!$AB$33,'3. GRI Pricing'!$F269&lt;='2. GRI Pricing Inputs'!$AC$33),'2. GRI Pricing Inputs'!$AB$32,IF(AND('3. GRI Pricing'!$F269&gt;='2. GRI Pricing Inputs'!$AD$33,'3. GRI Pricing'!$F269&lt;='2. GRI Pricing Inputs'!$AE$33),'2. GRI Pricing Inputs'!$AD$32,IF(AND('3. GRI Pricing'!$F269&gt;='2. GRI Pricing Inputs'!$AF$33,'3. GRI Pricing'!$F269&lt;='2. GRI Pricing Inputs'!$AG$33),'2. GRI Pricing Inputs'!$AF$32,IF(AND('3. GRI Pricing'!$F269&gt;='2. GRI Pricing Inputs'!$AH$33,'3. GRI Pricing'!$F269&lt;='2. GRI Pricing Inputs'!$AI$33),'2. GRI Pricing Inputs'!$AH$32,0))))))))))))))))</f>
        <v>2</v>
      </c>
      <c r="N269" s="273" cm="1">
        <f t="array" ref="N269">IFERROR(INDEX('2. GRI Pricing Inputs'!$C$32:$AI$39,MATCH('3. GRI Pricing'!D269,'2. GRI Pricing Inputs'!$C$32:$C$39,0),(MATCH('3. GRI Pricing'!M269,'2. GRI Pricing Inputs'!$D$32:$AI$32,0)+1)),0)</f>
        <v>15</v>
      </c>
      <c r="O269" s="273">
        <f>IFERROR(INDEX('2. GRI Pricing Inputs'!$C$45:$AI$46,MATCH($O$16,'2. GRI Pricing Inputs'!$C$45:$C$46,0),MATCH(G269,'2. GRI Pricing Inputs'!$C$45:$AI$45,0)),0)</f>
        <v>80</v>
      </c>
      <c r="P269" s="273">
        <f>IFERROR(INDEX('2. GRI Pricing Inputs'!$C$53:$AI$54,MATCH('3. GRI Pricing'!$P$16,'2. GRI Pricing Inputs'!$C$53:$C$54,0),MATCH('3. GRI Pricing'!H269,'2. GRI Pricing Inputs'!$C$53:$AI$53,0)),0)</f>
        <v>25</v>
      </c>
      <c r="Q269" s="273">
        <f>IFERROR(INDEX('2. GRI Pricing Inputs'!$C$60:$AI$61,MATCH('3. GRI Pricing'!$Q$16,'2. GRI Pricing Inputs'!$C$60:$C$61,0),MATCH('1. Accomodation'!T273,'2. GRI Pricing Inputs'!$C$60:$AI$60,0)),0)</f>
        <v>0</v>
      </c>
      <c r="R269" s="273">
        <f>IFERROR(INDEX('2. GRI Pricing Inputs'!$C$67:$AI$68,MATCH('3. GRI Pricing'!$R$16,'2. GRI Pricing Inputs'!$C$67:$C$68,0),MATCH('1. Accomodation'!U273,'2. GRI Pricing Inputs'!$C$67:$AI$67,0)),0)</f>
        <v>0</v>
      </c>
      <c r="S269" s="273">
        <f>IF(D269=0,0,'2. GRI Pricing Inputs'!$AI$75)</f>
        <v>70</v>
      </c>
      <c r="T269" s="273">
        <f>IFERROR(INDEX('2. GRI Pricing Inputs'!$C$82:$AI$83,MATCH('3. GRI Pricing'!$T$16,'2. GRI Pricing Inputs'!$C$82:$C$83,0),MATCH('1. Accomodation'!V273,'2. GRI Pricing Inputs'!$C$82:$AI$82,0)),0)</f>
        <v>0</v>
      </c>
      <c r="U269" s="273">
        <f>IFERROR(INDEX('2. GRI Pricing Inputs'!$C$89:$AI$90,MATCH('3. GRI Pricing'!$U$16,'2. GRI Pricing Inputs'!$C$89:$C$90,0),MATCH('1. Accomodation'!W273,'2. GRI Pricing Inputs'!$C$89:$AI$89,0)),0)</f>
        <v>0</v>
      </c>
      <c r="V269" s="273">
        <f>IFERROR(INDEX('2. GRI Pricing Inputs'!$C$97:$AI$98,MATCH('3. GRI Pricing'!$V$16,'2. GRI Pricing Inputs'!$C$97:$C$98,0),MATCH('1. Accomodation'!X273,'2. GRI Pricing Inputs'!$C$97:$AI$97,0)),0)</f>
        <v>0</v>
      </c>
      <c r="W269" s="273">
        <f>IFERROR(INDEX('2. GRI Pricing Inputs'!$C$104:$AI$105,MATCH('3. GRI Pricing'!$W$16,'2. GRI Pricing Inputs'!$C$104:$C$105,0),MATCH('1. Accomodation'!Y273,'2. GRI Pricing Inputs'!$C$104:$AI$104,0)),0)</f>
        <v>0</v>
      </c>
      <c r="X269" s="274">
        <v>0</v>
      </c>
      <c r="Y269" s="275">
        <f t="shared" si="10"/>
        <v>1035</v>
      </c>
      <c r="Z269" s="276"/>
      <c r="AA269" s="276"/>
      <c r="AB269" s="276"/>
      <c r="AC269" s="272">
        <f>Y269*(1+'2. GRI Pricing Inputs'!$D$114)^(($AC$16-$AB$15)/365)</f>
        <v>1038.4534104572726</v>
      </c>
      <c r="AD269" s="273">
        <f>AC269*(1+'2. GRI Pricing Inputs'!$D$114)^((AD$16-AC$16)/365)</f>
        <v>1041.8063913744325</v>
      </c>
      <c r="AE269" s="273">
        <f>AD269*(1+'2. GRI Pricing Inputs'!$D$114)^((AE$16-AD$16)/365)</f>
        <v>1045.2825122308825</v>
      </c>
      <c r="AF269" s="273">
        <f>AE269*(1+'2. GRI Pricing Inputs'!$D$114)^((AF$16-AE$16)/365)</f>
        <v>1048.7702316111165</v>
      </c>
      <c r="AG269" s="273">
        <f>AF269*(1+'2. GRI Pricing Inputs'!$D$114)^((AG$16-AF$16)/365)</f>
        <v>1052.0434713422883</v>
      </c>
      <c r="AH269" s="273">
        <f>AG269*(1+'2. GRI Pricing Inputs'!$D$114)^((AH$16-AG$16)/365)</f>
        <v>1055.553749531118</v>
      </c>
      <c r="AI269" s="273">
        <f>AH269*(1+'2. GRI Pricing Inputs'!$D$114)^((AI$16-AH$16)/365)</f>
        <v>1058.9619443943386</v>
      </c>
      <c r="AJ269" s="273">
        <f>AI269*(1+'2. GRI Pricing Inputs'!$D$114)^((AJ$16-AI$16)/365)</f>
        <v>1062.4953069572614</v>
      </c>
      <c r="AK269" s="273">
        <f>AJ269*(1+'2. GRI Pricing Inputs'!$D$114)^((AK$16-AJ$16)/365)</f>
        <v>1065.9259148718052</v>
      </c>
      <c r="AL269" s="273">
        <f>AK269*(1+'2. GRI Pricing Inputs'!$D$114)^((AL$16-AK$16)/365)</f>
        <v>1069.4825136168256</v>
      </c>
      <c r="AM269" s="273">
        <f>AL269*(1+'2. GRI Pricing Inputs'!$D$114)^((AM$16-AL$16)/365)</f>
        <v>1073.0509794104435</v>
      </c>
      <c r="AN269" s="273">
        <f>AM269*(1+'2. GRI Pricing Inputs'!$D$114)^((AN$16-AM$16)/365)</f>
        <v>1076.5156697093744</v>
      </c>
      <c r="AO269" s="273">
        <f>AN269*(1+'2. GRI Pricing Inputs'!$D$114)^((AO$16-AN$16)/365)</f>
        <v>1080.1076025317823</v>
      </c>
    </row>
    <row r="270" spans="3:41" ht="12" x14ac:dyDescent="0.2">
      <c r="C270" s="76" t="str">
        <f>'1. Accomodation'!N274</f>
        <v>603W</v>
      </c>
      <c r="D270" s="69" t="str">
        <f>'1. Accomodation'!P274</f>
        <v>2 Bed</v>
      </c>
      <c r="E270" s="69">
        <f>'1. Accomodation'!Q274</f>
        <v>2</v>
      </c>
      <c r="F270" s="77">
        <f>'1. Accomodation'!O274</f>
        <v>657</v>
      </c>
      <c r="G270" s="69">
        <f>'1. Accomodation'!R274</f>
        <v>6</v>
      </c>
      <c r="H270" s="69" t="str">
        <f>'1. Accomodation'!S274</f>
        <v>Courtyard</v>
      </c>
      <c r="I270" s="62"/>
      <c r="K270" s="272">
        <f>IFERROR(INDEX('2. GRI Pricing Inputs'!$C$15:$AI$16,MATCH($K$16,'2. GRI Pricing Inputs'!$C$15:$C$16,0),MATCH(D270,'2. GRI Pricing Inputs'!$C$15:$AI$15,0)),0)</f>
        <v>1110</v>
      </c>
      <c r="L270" s="273">
        <f>IFERROR(INDEX('2. GRI Pricing Inputs'!$C$22:$AI$23,MATCH($L$16,'2. GRI Pricing Inputs'!$C$22:$C$23,0),MATCH(E270,'2. GRI Pricing Inputs'!$C$22:$AI$22,0)),0)</f>
        <v>0</v>
      </c>
      <c r="M270" s="328">
        <f>IF(AND('3. GRI Pricing'!$F270&gt;='2. GRI Pricing Inputs'!$D$33,'3. GRI Pricing'!$F270&lt;='2. GRI Pricing Inputs'!$E$33),'2. GRI Pricing Inputs'!$D$32,IF(AND('3. GRI Pricing'!$F270&gt;='2. GRI Pricing Inputs'!$F$33,'3. GRI Pricing'!$F270&lt;='2. GRI Pricing Inputs'!$G$33),'2. GRI Pricing Inputs'!$F$32,IF(AND('3. GRI Pricing'!$F270&gt;='2. GRI Pricing Inputs'!$H$33,'3. GRI Pricing'!$F270&lt;='2. GRI Pricing Inputs'!$I$33),'2. GRI Pricing Inputs'!$H$32,IF(AND('3. GRI Pricing'!$F270&gt;='2. GRI Pricing Inputs'!$J$33,'3. GRI Pricing'!$F270&lt;='2. GRI Pricing Inputs'!$K$33),'2. GRI Pricing Inputs'!$J$32,IF(AND('3. GRI Pricing'!$F270&gt;='2. GRI Pricing Inputs'!$L$33,'3. GRI Pricing'!$F270&lt;='2. GRI Pricing Inputs'!$M$33),'2. GRI Pricing Inputs'!$L$32,IF(AND('3. GRI Pricing'!$F270&gt;='2. GRI Pricing Inputs'!$N$33,'3. GRI Pricing'!$F270&lt;='2. GRI Pricing Inputs'!$O$33),'2. GRI Pricing Inputs'!$N$32,IF(AND('3. GRI Pricing'!$F270&gt;='2. GRI Pricing Inputs'!$P$33,'3. GRI Pricing'!$F270&lt;='2. GRI Pricing Inputs'!$Q$33),'2. GRI Pricing Inputs'!$P$32,IF(AND('3. GRI Pricing'!$F270&gt;='2. GRI Pricing Inputs'!$R$33,'3. GRI Pricing'!$F270&lt;='2. GRI Pricing Inputs'!$S$33),'2. GRI Pricing Inputs'!$R$32,IF(AND('3. GRI Pricing'!$F270&gt;='2. GRI Pricing Inputs'!$T$33,'3. GRI Pricing'!$F270&lt;='2. GRI Pricing Inputs'!$U$33),'2. GRI Pricing Inputs'!$T$32,IF(AND('3. GRI Pricing'!$F270&gt;='2. GRI Pricing Inputs'!$V$33,'3. GRI Pricing'!$F270&lt;='2. GRI Pricing Inputs'!$W$33),'2. GRI Pricing Inputs'!$V$32,IF(AND('3. GRI Pricing'!$F270&gt;='2. GRI Pricing Inputs'!$X$33,'3. GRI Pricing'!$F270&lt;='2. GRI Pricing Inputs'!$Y$33),'2. GRI Pricing Inputs'!$X$32,IF(AND('3. GRI Pricing'!$F270&gt;='2. GRI Pricing Inputs'!$Z$33,'3. GRI Pricing'!$F270&lt;='2. GRI Pricing Inputs'!$AA$33),'2. GRI Pricing Inputs'!$Z$32,IF(AND('3. GRI Pricing'!$F270&gt;='2. GRI Pricing Inputs'!$AB$33,'3. GRI Pricing'!$F270&lt;='2. GRI Pricing Inputs'!$AC$33),'2. GRI Pricing Inputs'!$AB$32,IF(AND('3. GRI Pricing'!$F270&gt;='2. GRI Pricing Inputs'!$AD$33,'3. GRI Pricing'!$F270&lt;='2. GRI Pricing Inputs'!$AE$33),'2. GRI Pricing Inputs'!$AD$32,IF(AND('3. GRI Pricing'!$F270&gt;='2. GRI Pricing Inputs'!$AF$33,'3. GRI Pricing'!$F270&lt;='2. GRI Pricing Inputs'!$AG$33),'2. GRI Pricing Inputs'!$AF$32,IF(AND('3. GRI Pricing'!$F270&gt;='2. GRI Pricing Inputs'!$AH$33,'3. GRI Pricing'!$F270&lt;='2. GRI Pricing Inputs'!$AI$33),'2. GRI Pricing Inputs'!$AH$32,0))))))))))))))))</f>
        <v>8</v>
      </c>
      <c r="N270" s="273" cm="1">
        <f t="array" ref="N270">IFERROR(INDEX('2. GRI Pricing Inputs'!$C$32:$AI$39,MATCH('3. GRI Pricing'!D270,'2. GRI Pricing Inputs'!$C$32:$C$39,0),(MATCH('3. GRI Pricing'!M270,'2. GRI Pricing Inputs'!$D$32:$AI$32,0)+1)),0)</f>
        <v>20</v>
      </c>
      <c r="O270" s="273">
        <f>IFERROR(INDEX('2. GRI Pricing Inputs'!$C$45:$AI$46,MATCH($O$16,'2. GRI Pricing Inputs'!$C$45:$C$46,0),MATCH(G270,'2. GRI Pricing Inputs'!$C$45:$AI$45,0)),0)</f>
        <v>80</v>
      </c>
      <c r="P270" s="273">
        <f>IFERROR(INDEX('2. GRI Pricing Inputs'!$C$53:$AI$54,MATCH('3. GRI Pricing'!$P$16,'2. GRI Pricing Inputs'!$C$53:$C$54,0),MATCH('3. GRI Pricing'!H270,'2. GRI Pricing Inputs'!$C$53:$AI$53,0)),0)</f>
        <v>25</v>
      </c>
      <c r="Q270" s="273">
        <f>IFERROR(INDEX('2. GRI Pricing Inputs'!$C$60:$AI$61,MATCH('3. GRI Pricing'!$Q$16,'2. GRI Pricing Inputs'!$C$60:$C$61,0),MATCH('1. Accomodation'!T274,'2. GRI Pricing Inputs'!$C$60:$AI$60,0)),0)</f>
        <v>0</v>
      </c>
      <c r="R270" s="273">
        <f>IFERROR(INDEX('2. GRI Pricing Inputs'!$C$67:$AI$68,MATCH('3. GRI Pricing'!$R$16,'2. GRI Pricing Inputs'!$C$67:$C$68,0),MATCH('1. Accomodation'!U274,'2. GRI Pricing Inputs'!$C$67:$AI$67,0)),0)</f>
        <v>0</v>
      </c>
      <c r="S270" s="273">
        <f>IF(D270=0,0,'2. GRI Pricing Inputs'!$AI$75)</f>
        <v>70</v>
      </c>
      <c r="T270" s="273">
        <f>IFERROR(INDEX('2. GRI Pricing Inputs'!$C$82:$AI$83,MATCH('3. GRI Pricing'!$T$16,'2. GRI Pricing Inputs'!$C$82:$C$83,0),MATCH('1. Accomodation'!V274,'2. GRI Pricing Inputs'!$C$82:$AI$82,0)),0)</f>
        <v>0</v>
      </c>
      <c r="U270" s="273">
        <f>IFERROR(INDEX('2. GRI Pricing Inputs'!$C$89:$AI$90,MATCH('3. GRI Pricing'!$U$16,'2. GRI Pricing Inputs'!$C$89:$C$90,0),MATCH('1. Accomodation'!W274,'2. GRI Pricing Inputs'!$C$89:$AI$89,0)),0)</f>
        <v>0</v>
      </c>
      <c r="V270" s="273">
        <f>IFERROR(INDEX('2. GRI Pricing Inputs'!$C$97:$AI$98,MATCH('3. GRI Pricing'!$V$16,'2. GRI Pricing Inputs'!$C$97:$C$98,0),MATCH('1. Accomodation'!X274,'2. GRI Pricing Inputs'!$C$97:$AI$97,0)),0)</f>
        <v>0</v>
      </c>
      <c r="W270" s="273">
        <f>IFERROR(INDEX('2. GRI Pricing Inputs'!$C$104:$AI$105,MATCH('3. GRI Pricing'!$W$16,'2. GRI Pricing Inputs'!$C$104:$C$105,0),MATCH('1. Accomodation'!Y274,'2. GRI Pricing Inputs'!$C$104:$AI$104,0)),0)</f>
        <v>0</v>
      </c>
      <c r="X270" s="274">
        <v>0</v>
      </c>
      <c r="Y270" s="275">
        <f t="shared" si="10"/>
        <v>1305</v>
      </c>
      <c r="Z270" s="276"/>
      <c r="AA270" s="276"/>
      <c r="AB270" s="276"/>
      <c r="AC270" s="272">
        <f>Y270*(1+'2. GRI Pricing Inputs'!$D$114)^(($AC$16-$AB$15)/365)</f>
        <v>1309.3543001417784</v>
      </c>
      <c r="AD270" s="273">
        <f>AC270*(1+'2. GRI Pricing Inputs'!$D$114)^((AD$16-AC$16)/365)</f>
        <v>1313.58197173298</v>
      </c>
      <c r="AE270" s="273">
        <f>AD270*(1+'2. GRI Pricing Inputs'!$D$114)^((AE$16-AD$16)/365)</f>
        <v>1317.9649067258954</v>
      </c>
      <c r="AF270" s="273">
        <f>AE270*(1+'2. GRI Pricing Inputs'!$D$114)^((AF$16-AE$16)/365)</f>
        <v>1322.3624659444515</v>
      </c>
      <c r="AG270" s="273">
        <f>AF270*(1+'2. GRI Pricing Inputs'!$D$114)^((AG$16-AF$16)/365)</f>
        <v>1326.4895943011463</v>
      </c>
      <c r="AH270" s="273">
        <f>AG270*(1+'2. GRI Pricing Inputs'!$D$114)^((AH$16-AG$16)/365)</f>
        <v>1330.9155972348881</v>
      </c>
      <c r="AI270" s="273">
        <f>AH270*(1+'2. GRI Pricing Inputs'!$D$114)^((AI$16-AH$16)/365)</f>
        <v>1335.2128864102533</v>
      </c>
      <c r="AJ270" s="273">
        <f>AI270*(1+'2. GRI Pricing Inputs'!$D$114)^((AJ$16-AI$16)/365)</f>
        <v>1339.6679957287213</v>
      </c>
      <c r="AK270" s="273">
        <f>AJ270*(1+'2. GRI Pricing Inputs'!$D$114)^((AK$16-AJ$16)/365)</f>
        <v>1343.9935448383633</v>
      </c>
      <c r="AL270" s="273">
        <f>AK270*(1+'2. GRI Pricing Inputs'!$D$114)^((AL$16-AK$16)/365)</f>
        <v>1348.4779519516499</v>
      </c>
      <c r="AM270" s="273">
        <f>AL270*(1+'2. GRI Pricing Inputs'!$D$114)^((AM$16-AL$16)/365)</f>
        <v>1352.977321865342</v>
      </c>
      <c r="AN270" s="273">
        <f>AM270*(1+'2. GRI Pricing Inputs'!$D$114)^((AN$16-AM$16)/365)</f>
        <v>1357.3458444161679</v>
      </c>
      <c r="AO270" s="273">
        <f>AN270*(1+'2. GRI Pricing Inputs'!$D$114)^((AO$16-AN$16)/365)</f>
        <v>1361.8748031922473</v>
      </c>
    </row>
    <row r="271" spans="3:41" ht="12" x14ac:dyDescent="0.2">
      <c r="C271" s="76" t="str">
        <f>'1. Accomodation'!N275</f>
        <v>604W</v>
      </c>
      <c r="D271" s="69" t="str">
        <f>'1. Accomodation'!P275</f>
        <v>2 Bed</v>
      </c>
      <c r="E271" s="69">
        <f>'1. Accomodation'!Q275</f>
        <v>2</v>
      </c>
      <c r="F271" s="77">
        <f>'1. Accomodation'!O275</f>
        <v>657</v>
      </c>
      <c r="G271" s="69">
        <f>'1. Accomodation'!R275</f>
        <v>6</v>
      </c>
      <c r="H271" s="69" t="str">
        <f>'1. Accomodation'!S275</f>
        <v>Railway Bridge - Higher</v>
      </c>
      <c r="I271" s="62"/>
      <c r="K271" s="272">
        <f>IFERROR(INDEX('2. GRI Pricing Inputs'!$C$15:$AI$16,MATCH($K$16,'2. GRI Pricing Inputs'!$C$15:$C$16,0),MATCH(D271,'2. GRI Pricing Inputs'!$C$15:$AI$15,0)),0)</f>
        <v>1110</v>
      </c>
      <c r="L271" s="273">
        <f>IFERROR(INDEX('2. GRI Pricing Inputs'!$C$22:$AI$23,MATCH($L$16,'2. GRI Pricing Inputs'!$C$22:$C$23,0),MATCH(E271,'2. GRI Pricing Inputs'!$C$22:$AI$22,0)),0)</f>
        <v>0</v>
      </c>
      <c r="M271" s="328">
        <f>IF(AND('3. GRI Pricing'!$F271&gt;='2. GRI Pricing Inputs'!$D$33,'3. GRI Pricing'!$F271&lt;='2. GRI Pricing Inputs'!$E$33),'2. GRI Pricing Inputs'!$D$32,IF(AND('3. GRI Pricing'!$F271&gt;='2. GRI Pricing Inputs'!$F$33,'3. GRI Pricing'!$F271&lt;='2. GRI Pricing Inputs'!$G$33),'2. GRI Pricing Inputs'!$F$32,IF(AND('3. GRI Pricing'!$F271&gt;='2. GRI Pricing Inputs'!$H$33,'3. GRI Pricing'!$F271&lt;='2. GRI Pricing Inputs'!$I$33),'2. GRI Pricing Inputs'!$H$32,IF(AND('3. GRI Pricing'!$F271&gt;='2. GRI Pricing Inputs'!$J$33,'3. GRI Pricing'!$F271&lt;='2. GRI Pricing Inputs'!$K$33),'2. GRI Pricing Inputs'!$J$32,IF(AND('3. GRI Pricing'!$F271&gt;='2. GRI Pricing Inputs'!$L$33,'3. GRI Pricing'!$F271&lt;='2. GRI Pricing Inputs'!$M$33),'2. GRI Pricing Inputs'!$L$32,IF(AND('3. GRI Pricing'!$F271&gt;='2. GRI Pricing Inputs'!$N$33,'3. GRI Pricing'!$F271&lt;='2. GRI Pricing Inputs'!$O$33),'2. GRI Pricing Inputs'!$N$32,IF(AND('3. GRI Pricing'!$F271&gt;='2. GRI Pricing Inputs'!$P$33,'3. GRI Pricing'!$F271&lt;='2. GRI Pricing Inputs'!$Q$33),'2. GRI Pricing Inputs'!$P$32,IF(AND('3. GRI Pricing'!$F271&gt;='2. GRI Pricing Inputs'!$R$33,'3. GRI Pricing'!$F271&lt;='2. GRI Pricing Inputs'!$S$33),'2. GRI Pricing Inputs'!$R$32,IF(AND('3. GRI Pricing'!$F271&gt;='2. GRI Pricing Inputs'!$T$33,'3. GRI Pricing'!$F271&lt;='2. GRI Pricing Inputs'!$U$33),'2. GRI Pricing Inputs'!$T$32,IF(AND('3. GRI Pricing'!$F271&gt;='2. GRI Pricing Inputs'!$V$33,'3. GRI Pricing'!$F271&lt;='2. GRI Pricing Inputs'!$W$33),'2. GRI Pricing Inputs'!$V$32,IF(AND('3. GRI Pricing'!$F271&gt;='2. GRI Pricing Inputs'!$X$33,'3. GRI Pricing'!$F271&lt;='2. GRI Pricing Inputs'!$Y$33),'2. GRI Pricing Inputs'!$X$32,IF(AND('3. GRI Pricing'!$F271&gt;='2. GRI Pricing Inputs'!$Z$33,'3. GRI Pricing'!$F271&lt;='2. GRI Pricing Inputs'!$AA$33),'2. GRI Pricing Inputs'!$Z$32,IF(AND('3. GRI Pricing'!$F271&gt;='2. GRI Pricing Inputs'!$AB$33,'3. GRI Pricing'!$F271&lt;='2. GRI Pricing Inputs'!$AC$33),'2. GRI Pricing Inputs'!$AB$32,IF(AND('3. GRI Pricing'!$F271&gt;='2. GRI Pricing Inputs'!$AD$33,'3. GRI Pricing'!$F271&lt;='2. GRI Pricing Inputs'!$AE$33),'2. GRI Pricing Inputs'!$AD$32,IF(AND('3. GRI Pricing'!$F271&gt;='2. GRI Pricing Inputs'!$AF$33,'3. GRI Pricing'!$F271&lt;='2. GRI Pricing Inputs'!$AG$33),'2. GRI Pricing Inputs'!$AF$32,IF(AND('3. GRI Pricing'!$F271&gt;='2. GRI Pricing Inputs'!$AH$33,'3. GRI Pricing'!$F271&lt;='2. GRI Pricing Inputs'!$AI$33),'2. GRI Pricing Inputs'!$AH$32,0))))))))))))))))</f>
        <v>8</v>
      </c>
      <c r="N271" s="273" cm="1">
        <f t="array" ref="N271">IFERROR(INDEX('2. GRI Pricing Inputs'!$C$32:$AI$39,MATCH('3. GRI Pricing'!D271,'2. GRI Pricing Inputs'!$C$32:$C$39,0),(MATCH('3. GRI Pricing'!M271,'2. GRI Pricing Inputs'!$D$32:$AI$32,0)+1)),0)</f>
        <v>20</v>
      </c>
      <c r="O271" s="273">
        <f>IFERROR(INDEX('2. GRI Pricing Inputs'!$C$45:$AI$46,MATCH($O$16,'2. GRI Pricing Inputs'!$C$45:$C$46,0),MATCH(G271,'2. GRI Pricing Inputs'!$C$45:$AI$45,0)),0)</f>
        <v>80</v>
      </c>
      <c r="P271" s="273">
        <f>IFERROR(INDEX('2. GRI Pricing Inputs'!$C$53:$AI$54,MATCH('3. GRI Pricing'!$P$16,'2. GRI Pricing Inputs'!$C$53:$C$54,0),MATCH('3. GRI Pricing'!H271,'2. GRI Pricing Inputs'!$C$53:$AI$53,0)),0)</f>
        <v>30</v>
      </c>
      <c r="Q271" s="273">
        <f>IFERROR(INDEX('2. GRI Pricing Inputs'!$C$60:$AI$61,MATCH('3. GRI Pricing'!$Q$16,'2. GRI Pricing Inputs'!$C$60:$C$61,0),MATCH('1. Accomodation'!T275,'2. GRI Pricing Inputs'!$C$60:$AI$60,0)),0)</f>
        <v>0</v>
      </c>
      <c r="R271" s="273">
        <f>IFERROR(INDEX('2. GRI Pricing Inputs'!$C$67:$AI$68,MATCH('3. GRI Pricing'!$R$16,'2. GRI Pricing Inputs'!$C$67:$C$68,0),MATCH('1. Accomodation'!U275,'2. GRI Pricing Inputs'!$C$67:$AI$67,0)),0)</f>
        <v>0</v>
      </c>
      <c r="S271" s="273">
        <f>IF(D271=0,0,'2. GRI Pricing Inputs'!$AI$75)</f>
        <v>70</v>
      </c>
      <c r="T271" s="273">
        <f>IFERROR(INDEX('2. GRI Pricing Inputs'!$C$82:$AI$83,MATCH('3. GRI Pricing'!$T$16,'2. GRI Pricing Inputs'!$C$82:$C$83,0),MATCH('1. Accomodation'!V275,'2. GRI Pricing Inputs'!$C$82:$AI$82,0)),0)</f>
        <v>0</v>
      </c>
      <c r="U271" s="273">
        <f>IFERROR(INDEX('2. GRI Pricing Inputs'!$C$89:$AI$90,MATCH('3. GRI Pricing'!$U$16,'2. GRI Pricing Inputs'!$C$89:$C$90,0),MATCH('1. Accomodation'!W275,'2. GRI Pricing Inputs'!$C$89:$AI$89,0)),0)</f>
        <v>0</v>
      </c>
      <c r="V271" s="273">
        <f>IFERROR(INDEX('2. GRI Pricing Inputs'!$C$97:$AI$98,MATCH('3. GRI Pricing'!$V$16,'2. GRI Pricing Inputs'!$C$97:$C$98,0),MATCH('1. Accomodation'!X275,'2. GRI Pricing Inputs'!$C$97:$AI$97,0)),0)</f>
        <v>0</v>
      </c>
      <c r="W271" s="273">
        <f>IFERROR(INDEX('2. GRI Pricing Inputs'!$C$104:$AI$105,MATCH('3. GRI Pricing'!$W$16,'2. GRI Pricing Inputs'!$C$104:$C$105,0),MATCH('1. Accomodation'!Y275,'2. GRI Pricing Inputs'!$C$104:$AI$104,0)),0)</f>
        <v>0</v>
      </c>
      <c r="X271" s="274">
        <v>0</v>
      </c>
      <c r="Y271" s="275">
        <f t="shared" si="10"/>
        <v>1310</v>
      </c>
      <c r="Z271" s="276"/>
      <c r="AA271" s="276"/>
      <c r="AB271" s="276"/>
      <c r="AC271" s="272">
        <f>Y271*(1+'2. GRI Pricing Inputs'!$D$114)^(($AC$16-$AB$15)/365)</f>
        <v>1314.3709832840841</v>
      </c>
      <c r="AD271" s="273">
        <f>AC271*(1+'2. GRI Pricing Inputs'!$D$114)^((AD$16-AC$16)/365)</f>
        <v>1318.614852850731</v>
      </c>
      <c r="AE271" s="273">
        <f>AD271*(1+'2. GRI Pricing Inputs'!$D$114)^((AE$16-AD$16)/365)</f>
        <v>1323.0145806980254</v>
      </c>
      <c r="AF271" s="273">
        <f>AE271*(1+'2. GRI Pricing Inputs'!$D$114)^((AF$16-AE$16)/365)</f>
        <v>1327.4289888024762</v>
      </c>
      <c r="AG271" s="273">
        <f>AF271*(1+'2. GRI Pricing Inputs'!$D$114)^((AG$16-AF$16)/365)</f>
        <v>1331.5719299114955</v>
      </c>
      <c r="AH271" s="273">
        <f>AG271*(1+'2. GRI Pricing Inputs'!$D$114)^((AH$16-AG$16)/365)</f>
        <v>1336.0148907108839</v>
      </c>
      <c r="AI271" s="273">
        <f>AH271*(1+'2. GRI Pricing Inputs'!$D$114)^((AI$16-AH$16)/365)</f>
        <v>1340.3286445957333</v>
      </c>
      <c r="AJ271" s="273">
        <f>AI271*(1+'2. GRI Pricing Inputs'!$D$114)^((AJ$16-AI$16)/365)</f>
        <v>1344.800823298563</v>
      </c>
      <c r="AK271" s="273">
        <f>AJ271*(1+'2. GRI Pricing Inputs'!$D$114)^((AK$16-AJ$16)/365)</f>
        <v>1349.1429453932994</v>
      </c>
      <c r="AL271" s="273">
        <f>AK271*(1+'2. GRI Pricing Inputs'!$D$114)^((AL$16-AK$16)/365)</f>
        <v>1353.6445341430353</v>
      </c>
      <c r="AM271" s="273">
        <f>AL271*(1+'2. GRI Pricing Inputs'!$D$114)^((AM$16-AL$16)/365)</f>
        <v>1358.1611430219141</v>
      </c>
      <c r="AN271" s="273">
        <f>AM271*(1+'2. GRI Pricing Inputs'!$D$114)^((AN$16-AM$16)/365)</f>
        <v>1362.5464032070342</v>
      </c>
      <c r="AO271" s="273">
        <f>AN271*(1+'2. GRI Pricing Inputs'!$D$114)^((AO$16-AN$16)/365)</f>
        <v>1367.0927143155891</v>
      </c>
    </row>
    <row r="272" spans="3:41" ht="12" x14ac:dyDescent="0.2">
      <c r="C272" s="76" t="str">
        <f>'1. Accomodation'!N276</f>
        <v>605W</v>
      </c>
      <c r="D272" s="69" t="str">
        <f>'1. Accomodation'!P276</f>
        <v>2 Bed</v>
      </c>
      <c r="E272" s="69">
        <f>'1. Accomodation'!Q276</f>
        <v>2</v>
      </c>
      <c r="F272" s="77">
        <f>'1. Accomodation'!O276</f>
        <v>678</v>
      </c>
      <c r="G272" s="69">
        <f>'1. Accomodation'!R276</f>
        <v>6</v>
      </c>
      <c r="H272" s="69" t="str">
        <f>'1. Accomodation'!S276</f>
        <v>Railway Bridge - Higher</v>
      </c>
      <c r="I272" s="62"/>
      <c r="K272" s="272">
        <f>IFERROR(INDEX('2. GRI Pricing Inputs'!$C$15:$AI$16,MATCH($K$16,'2. GRI Pricing Inputs'!$C$15:$C$16,0),MATCH(D272,'2. GRI Pricing Inputs'!$C$15:$AI$15,0)),0)</f>
        <v>1110</v>
      </c>
      <c r="L272" s="273">
        <f>IFERROR(INDEX('2. GRI Pricing Inputs'!$C$22:$AI$23,MATCH($L$16,'2. GRI Pricing Inputs'!$C$22:$C$23,0),MATCH(E272,'2. GRI Pricing Inputs'!$C$22:$AI$22,0)),0)</f>
        <v>0</v>
      </c>
      <c r="M272" s="328">
        <f>IF(AND('3. GRI Pricing'!$F272&gt;='2. GRI Pricing Inputs'!$D$33,'3. GRI Pricing'!$F272&lt;='2. GRI Pricing Inputs'!$E$33),'2. GRI Pricing Inputs'!$D$32,IF(AND('3. GRI Pricing'!$F272&gt;='2. GRI Pricing Inputs'!$F$33,'3. GRI Pricing'!$F272&lt;='2. GRI Pricing Inputs'!$G$33),'2. GRI Pricing Inputs'!$F$32,IF(AND('3. GRI Pricing'!$F272&gt;='2. GRI Pricing Inputs'!$H$33,'3. GRI Pricing'!$F272&lt;='2. GRI Pricing Inputs'!$I$33),'2. GRI Pricing Inputs'!$H$32,IF(AND('3. GRI Pricing'!$F272&gt;='2. GRI Pricing Inputs'!$J$33,'3. GRI Pricing'!$F272&lt;='2. GRI Pricing Inputs'!$K$33),'2. GRI Pricing Inputs'!$J$32,IF(AND('3. GRI Pricing'!$F272&gt;='2. GRI Pricing Inputs'!$L$33,'3. GRI Pricing'!$F272&lt;='2. GRI Pricing Inputs'!$M$33),'2. GRI Pricing Inputs'!$L$32,IF(AND('3. GRI Pricing'!$F272&gt;='2. GRI Pricing Inputs'!$N$33,'3. GRI Pricing'!$F272&lt;='2. GRI Pricing Inputs'!$O$33),'2. GRI Pricing Inputs'!$N$32,IF(AND('3. GRI Pricing'!$F272&gt;='2. GRI Pricing Inputs'!$P$33,'3. GRI Pricing'!$F272&lt;='2. GRI Pricing Inputs'!$Q$33),'2. GRI Pricing Inputs'!$P$32,IF(AND('3. GRI Pricing'!$F272&gt;='2. GRI Pricing Inputs'!$R$33,'3. GRI Pricing'!$F272&lt;='2. GRI Pricing Inputs'!$S$33),'2. GRI Pricing Inputs'!$R$32,IF(AND('3. GRI Pricing'!$F272&gt;='2. GRI Pricing Inputs'!$T$33,'3. GRI Pricing'!$F272&lt;='2. GRI Pricing Inputs'!$U$33),'2. GRI Pricing Inputs'!$T$32,IF(AND('3. GRI Pricing'!$F272&gt;='2. GRI Pricing Inputs'!$V$33,'3. GRI Pricing'!$F272&lt;='2. GRI Pricing Inputs'!$W$33),'2. GRI Pricing Inputs'!$V$32,IF(AND('3. GRI Pricing'!$F272&gt;='2. GRI Pricing Inputs'!$X$33,'3. GRI Pricing'!$F272&lt;='2. GRI Pricing Inputs'!$Y$33),'2. GRI Pricing Inputs'!$X$32,IF(AND('3. GRI Pricing'!$F272&gt;='2. GRI Pricing Inputs'!$Z$33,'3. GRI Pricing'!$F272&lt;='2. GRI Pricing Inputs'!$AA$33),'2. GRI Pricing Inputs'!$Z$32,IF(AND('3. GRI Pricing'!$F272&gt;='2. GRI Pricing Inputs'!$AB$33,'3. GRI Pricing'!$F272&lt;='2. GRI Pricing Inputs'!$AC$33),'2. GRI Pricing Inputs'!$AB$32,IF(AND('3. GRI Pricing'!$F272&gt;='2. GRI Pricing Inputs'!$AD$33,'3. GRI Pricing'!$F272&lt;='2. GRI Pricing Inputs'!$AE$33),'2. GRI Pricing Inputs'!$AD$32,IF(AND('3. GRI Pricing'!$F272&gt;='2. GRI Pricing Inputs'!$AF$33,'3. GRI Pricing'!$F272&lt;='2. GRI Pricing Inputs'!$AG$33),'2. GRI Pricing Inputs'!$AF$32,IF(AND('3. GRI Pricing'!$F272&gt;='2. GRI Pricing Inputs'!$AH$33,'3. GRI Pricing'!$F272&lt;='2. GRI Pricing Inputs'!$AI$33),'2. GRI Pricing Inputs'!$AH$32,0))))))))))))))))</f>
        <v>10</v>
      </c>
      <c r="N272" s="273" cm="1">
        <f t="array" ref="N272">IFERROR(INDEX('2. GRI Pricing Inputs'!$C$32:$AI$39,MATCH('3. GRI Pricing'!D272,'2. GRI Pricing Inputs'!$C$32:$C$39,0),(MATCH('3. GRI Pricing'!M272,'2. GRI Pricing Inputs'!$D$32:$AI$32,0)+1)),0)</f>
        <v>40</v>
      </c>
      <c r="O272" s="273">
        <f>IFERROR(INDEX('2. GRI Pricing Inputs'!$C$45:$AI$46,MATCH($O$16,'2. GRI Pricing Inputs'!$C$45:$C$46,0),MATCH(G272,'2. GRI Pricing Inputs'!$C$45:$AI$45,0)),0)</f>
        <v>80</v>
      </c>
      <c r="P272" s="273">
        <f>IFERROR(INDEX('2. GRI Pricing Inputs'!$C$53:$AI$54,MATCH('3. GRI Pricing'!$P$16,'2. GRI Pricing Inputs'!$C$53:$C$54,0),MATCH('3. GRI Pricing'!H272,'2. GRI Pricing Inputs'!$C$53:$AI$53,0)),0)</f>
        <v>30</v>
      </c>
      <c r="Q272" s="273">
        <f>IFERROR(INDEX('2. GRI Pricing Inputs'!$C$60:$AI$61,MATCH('3. GRI Pricing'!$Q$16,'2. GRI Pricing Inputs'!$C$60:$C$61,0),MATCH('1. Accomodation'!T276,'2. GRI Pricing Inputs'!$C$60:$AI$60,0)),0)</f>
        <v>0</v>
      </c>
      <c r="R272" s="273">
        <f>IFERROR(INDEX('2. GRI Pricing Inputs'!$C$67:$AI$68,MATCH('3. GRI Pricing'!$R$16,'2. GRI Pricing Inputs'!$C$67:$C$68,0),MATCH('1. Accomodation'!U276,'2. GRI Pricing Inputs'!$C$67:$AI$67,0)),0)</f>
        <v>0</v>
      </c>
      <c r="S272" s="273">
        <f>IF(D272=0,0,'2. GRI Pricing Inputs'!$AI$75)</f>
        <v>70</v>
      </c>
      <c r="T272" s="273">
        <f>IFERROR(INDEX('2. GRI Pricing Inputs'!$C$82:$AI$83,MATCH('3. GRI Pricing'!$T$16,'2. GRI Pricing Inputs'!$C$82:$C$83,0),MATCH('1. Accomodation'!V276,'2. GRI Pricing Inputs'!$C$82:$AI$82,0)),0)</f>
        <v>0</v>
      </c>
      <c r="U272" s="273">
        <f>IFERROR(INDEX('2. GRI Pricing Inputs'!$C$89:$AI$90,MATCH('3. GRI Pricing'!$U$16,'2. GRI Pricing Inputs'!$C$89:$C$90,0),MATCH('1. Accomodation'!W276,'2. GRI Pricing Inputs'!$C$89:$AI$89,0)),0)</f>
        <v>0</v>
      </c>
      <c r="V272" s="273">
        <f>IFERROR(INDEX('2. GRI Pricing Inputs'!$C$97:$AI$98,MATCH('3. GRI Pricing'!$V$16,'2. GRI Pricing Inputs'!$C$97:$C$98,0),MATCH('1. Accomodation'!X276,'2. GRI Pricing Inputs'!$C$97:$AI$97,0)),0)</f>
        <v>0</v>
      </c>
      <c r="W272" s="273">
        <f>IFERROR(INDEX('2. GRI Pricing Inputs'!$C$104:$AI$105,MATCH('3. GRI Pricing'!$W$16,'2. GRI Pricing Inputs'!$C$104:$C$105,0),MATCH('1. Accomodation'!Y276,'2. GRI Pricing Inputs'!$C$104:$AI$104,0)),0)</f>
        <v>0</v>
      </c>
      <c r="X272" s="274">
        <v>0</v>
      </c>
      <c r="Y272" s="275">
        <f t="shared" si="10"/>
        <v>1330</v>
      </c>
      <c r="Z272" s="276"/>
      <c r="AA272" s="276"/>
      <c r="AB272" s="276"/>
      <c r="AC272" s="272">
        <f>Y272*(1+'2. GRI Pricing Inputs'!$D$114)^(($AC$16-$AB$15)/365)</f>
        <v>1334.4377158533068</v>
      </c>
      <c r="AD272" s="273">
        <f>AC272*(1+'2. GRI Pricing Inputs'!$D$114)^((AD$16-AC$16)/365)</f>
        <v>1338.7463773217346</v>
      </c>
      <c r="AE272" s="273">
        <f>AD272*(1+'2. GRI Pricing Inputs'!$D$114)^((AE$16-AD$16)/365)</f>
        <v>1343.2132765865449</v>
      </c>
      <c r="AF272" s="273">
        <f>AE272*(1+'2. GRI Pricing Inputs'!$D$114)^((AF$16-AE$16)/365)</f>
        <v>1347.6950802345752</v>
      </c>
      <c r="AG272" s="273">
        <f>AF272*(1+'2. GRI Pricing Inputs'!$D$114)^((AG$16-AF$16)/365)</f>
        <v>1351.9012723528926</v>
      </c>
      <c r="AH272" s="273">
        <f>AG272*(1+'2. GRI Pricing Inputs'!$D$114)^((AH$16-AG$16)/365)</f>
        <v>1356.4120646148672</v>
      </c>
      <c r="AI272" s="273">
        <f>AH272*(1+'2. GRI Pricing Inputs'!$D$114)^((AI$16-AH$16)/365)</f>
        <v>1360.791677337653</v>
      </c>
      <c r="AJ272" s="273">
        <f>AI272*(1+'2. GRI Pricing Inputs'!$D$114)^((AJ$16-AI$16)/365)</f>
        <v>1365.3321335779306</v>
      </c>
      <c r="AK272" s="273">
        <f>AJ272*(1+'2. GRI Pricing Inputs'!$D$114)^((AK$16-AJ$16)/365)</f>
        <v>1369.7405476130448</v>
      </c>
      <c r="AL272" s="273">
        <f>AK272*(1+'2. GRI Pricing Inputs'!$D$114)^((AL$16-AK$16)/365)</f>
        <v>1374.3108629085782</v>
      </c>
      <c r="AM272" s="273">
        <f>AL272*(1+'2. GRI Pricing Inputs'!$D$114)^((AM$16-AL$16)/365)</f>
        <v>1378.8964276482031</v>
      </c>
      <c r="AN272" s="273">
        <f>AM272*(1+'2. GRI Pricing Inputs'!$D$114)^((AN$16-AM$16)/365)</f>
        <v>1383.3486383705008</v>
      </c>
      <c r="AO272" s="273">
        <f>AN272*(1+'2. GRI Pricing Inputs'!$D$114)^((AO$16-AN$16)/365)</f>
        <v>1387.9643588089573</v>
      </c>
    </row>
    <row r="273" spans="3:41" ht="12" x14ac:dyDescent="0.2">
      <c r="C273" s="76" t="str">
        <f>'1. Accomodation'!N277</f>
        <v>606W</v>
      </c>
      <c r="D273" s="69" t="str">
        <f>'1. Accomodation'!P277</f>
        <v>1 Bed</v>
      </c>
      <c r="E273" s="69">
        <f>'1. Accomodation'!Q277</f>
        <v>1</v>
      </c>
      <c r="F273" s="77">
        <f>'1. Accomodation'!O277</f>
        <v>506</v>
      </c>
      <c r="G273" s="69">
        <f>'1. Accomodation'!R277</f>
        <v>6</v>
      </c>
      <c r="H273" s="69" t="str">
        <f>'1. Accomodation'!S277</f>
        <v>Railway Bridge - Higher</v>
      </c>
      <c r="I273" s="62"/>
      <c r="K273" s="272">
        <f>IFERROR(INDEX('2. GRI Pricing Inputs'!$C$15:$AI$16,MATCH($K$16,'2. GRI Pricing Inputs'!$C$15:$C$16,0),MATCH(D273,'2. GRI Pricing Inputs'!$C$15:$AI$15,0)),0)</f>
        <v>845</v>
      </c>
      <c r="L273" s="273">
        <f>IFERROR(INDEX('2. GRI Pricing Inputs'!$C$22:$AI$23,MATCH($L$16,'2. GRI Pricing Inputs'!$C$22:$C$23,0),MATCH(E273,'2. GRI Pricing Inputs'!$C$22:$AI$22,0)),0)</f>
        <v>0</v>
      </c>
      <c r="M273" s="328">
        <f>IF(AND('3. GRI Pricing'!$F273&gt;='2. GRI Pricing Inputs'!$D$33,'3. GRI Pricing'!$F273&lt;='2. GRI Pricing Inputs'!$E$33),'2. GRI Pricing Inputs'!$D$32,IF(AND('3. GRI Pricing'!$F273&gt;='2. GRI Pricing Inputs'!$F$33,'3. GRI Pricing'!$F273&lt;='2. GRI Pricing Inputs'!$G$33),'2. GRI Pricing Inputs'!$F$32,IF(AND('3. GRI Pricing'!$F273&gt;='2. GRI Pricing Inputs'!$H$33,'3. GRI Pricing'!$F273&lt;='2. GRI Pricing Inputs'!$I$33),'2. GRI Pricing Inputs'!$H$32,IF(AND('3. GRI Pricing'!$F273&gt;='2. GRI Pricing Inputs'!$J$33,'3. GRI Pricing'!$F273&lt;='2. GRI Pricing Inputs'!$K$33),'2. GRI Pricing Inputs'!$J$32,IF(AND('3. GRI Pricing'!$F273&gt;='2. GRI Pricing Inputs'!$L$33,'3. GRI Pricing'!$F273&lt;='2. GRI Pricing Inputs'!$M$33),'2. GRI Pricing Inputs'!$L$32,IF(AND('3. GRI Pricing'!$F273&gt;='2. GRI Pricing Inputs'!$N$33,'3. GRI Pricing'!$F273&lt;='2. GRI Pricing Inputs'!$O$33),'2. GRI Pricing Inputs'!$N$32,IF(AND('3. GRI Pricing'!$F273&gt;='2. GRI Pricing Inputs'!$P$33,'3. GRI Pricing'!$F273&lt;='2. GRI Pricing Inputs'!$Q$33),'2. GRI Pricing Inputs'!$P$32,IF(AND('3. GRI Pricing'!$F273&gt;='2. GRI Pricing Inputs'!$R$33,'3. GRI Pricing'!$F273&lt;='2. GRI Pricing Inputs'!$S$33),'2. GRI Pricing Inputs'!$R$32,IF(AND('3. GRI Pricing'!$F273&gt;='2. GRI Pricing Inputs'!$T$33,'3. GRI Pricing'!$F273&lt;='2. GRI Pricing Inputs'!$U$33),'2. GRI Pricing Inputs'!$T$32,IF(AND('3. GRI Pricing'!$F273&gt;='2. GRI Pricing Inputs'!$V$33,'3. GRI Pricing'!$F273&lt;='2. GRI Pricing Inputs'!$W$33),'2. GRI Pricing Inputs'!$V$32,IF(AND('3. GRI Pricing'!$F273&gt;='2. GRI Pricing Inputs'!$X$33,'3. GRI Pricing'!$F273&lt;='2. GRI Pricing Inputs'!$Y$33),'2. GRI Pricing Inputs'!$X$32,IF(AND('3. GRI Pricing'!$F273&gt;='2. GRI Pricing Inputs'!$Z$33,'3. GRI Pricing'!$F273&lt;='2. GRI Pricing Inputs'!$AA$33),'2. GRI Pricing Inputs'!$Z$32,IF(AND('3. GRI Pricing'!$F273&gt;='2. GRI Pricing Inputs'!$AB$33,'3. GRI Pricing'!$F273&lt;='2. GRI Pricing Inputs'!$AC$33),'2. GRI Pricing Inputs'!$AB$32,IF(AND('3. GRI Pricing'!$F273&gt;='2. GRI Pricing Inputs'!$AD$33,'3. GRI Pricing'!$F273&lt;='2. GRI Pricing Inputs'!$AE$33),'2. GRI Pricing Inputs'!$AD$32,IF(AND('3. GRI Pricing'!$F273&gt;='2. GRI Pricing Inputs'!$AF$33,'3. GRI Pricing'!$F273&lt;='2. GRI Pricing Inputs'!$AG$33),'2. GRI Pricing Inputs'!$AF$32,IF(AND('3. GRI Pricing'!$F273&gt;='2. GRI Pricing Inputs'!$AH$33,'3. GRI Pricing'!$F273&lt;='2. GRI Pricing Inputs'!$AI$33),'2. GRI Pricing Inputs'!$AH$32,0))))))))))))))))</f>
        <v>2</v>
      </c>
      <c r="N273" s="273" cm="1">
        <f t="array" ref="N273">IFERROR(INDEX('2. GRI Pricing Inputs'!$C$32:$AI$39,MATCH('3. GRI Pricing'!D273,'2. GRI Pricing Inputs'!$C$32:$C$39,0),(MATCH('3. GRI Pricing'!M273,'2. GRI Pricing Inputs'!$D$32:$AI$32,0)+1)),0)</f>
        <v>15</v>
      </c>
      <c r="O273" s="273">
        <f>IFERROR(INDEX('2. GRI Pricing Inputs'!$C$45:$AI$46,MATCH($O$16,'2. GRI Pricing Inputs'!$C$45:$C$46,0),MATCH(G273,'2. GRI Pricing Inputs'!$C$45:$AI$45,0)),0)</f>
        <v>80</v>
      </c>
      <c r="P273" s="273">
        <f>IFERROR(INDEX('2. GRI Pricing Inputs'!$C$53:$AI$54,MATCH('3. GRI Pricing'!$P$16,'2. GRI Pricing Inputs'!$C$53:$C$54,0),MATCH('3. GRI Pricing'!H273,'2. GRI Pricing Inputs'!$C$53:$AI$53,0)),0)</f>
        <v>30</v>
      </c>
      <c r="Q273" s="273">
        <f>IFERROR(INDEX('2. GRI Pricing Inputs'!$C$60:$AI$61,MATCH('3. GRI Pricing'!$Q$16,'2. GRI Pricing Inputs'!$C$60:$C$61,0),MATCH('1. Accomodation'!T277,'2. GRI Pricing Inputs'!$C$60:$AI$60,0)),0)</f>
        <v>0</v>
      </c>
      <c r="R273" s="273">
        <f>IFERROR(INDEX('2. GRI Pricing Inputs'!$C$67:$AI$68,MATCH('3. GRI Pricing'!$R$16,'2. GRI Pricing Inputs'!$C$67:$C$68,0),MATCH('1. Accomodation'!U277,'2. GRI Pricing Inputs'!$C$67:$AI$67,0)),0)</f>
        <v>0</v>
      </c>
      <c r="S273" s="273">
        <f>IF(D273=0,0,'2. GRI Pricing Inputs'!$AI$75)</f>
        <v>70</v>
      </c>
      <c r="T273" s="273">
        <f>IFERROR(INDEX('2. GRI Pricing Inputs'!$C$82:$AI$83,MATCH('3. GRI Pricing'!$T$16,'2. GRI Pricing Inputs'!$C$82:$C$83,0),MATCH('1. Accomodation'!V277,'2. GRI Pricing Inputs'!$C$82:$AI$82,0)),0)</f>
        <v>0</v>
      </c>
      <c r="U273" s="273">
        <f>IFERROR(INDEX('2. GRI Pricing Inputs'!$C$89:$AI$90,MATCH('3. GRI Pricing'!$U$16,'2. GRI Pricing Inputs'!$C$89:$C$90,0),MATCH('1. Accomodation'!W277,'2. GRI Pricing Inputs'!$C$89:$AI$89,0)),0)</f>
        <v>0</v>
      </c>
      <c r="V273" s="273">
        <f>IFERROR(INDEX('2. GRI Pricing Inputs'!$C$97:$AI$98,MATCH('3. GRI Pricing'!$V$16,'2. GRI Pricing Inputs'!$C$97:$C$98,0),MATCH('1. Accomodation'!X277,'2. GRI Pricing Inputs'!$C$97:$AI$97,0)),0)</f>
        <v>0</v>
      </c>
      <c r="W273" s="273">
        <f>IFERROR(INDEX('2. GRI Pricing Inputs'!$C$104:$AI$105,MATCH('3. GRI Pricing'!$W$16,'2. GRI Pricing Inputs'!$C$104:$C$105,0),MATCH('1. Accomodation'!Y277,'2. GRI Pricing Inputs'!$C$104:$AI$104,0)),0)</f>
        <v>0</v>
      </c>
      <c r="X273" s="274">
        <v>0</v>
      </c>
      <c r="Y273" s="275">
        <f t="shared" si="10"/>
        <v>1040</v>
      </c>
      <c r="Z273" s="276"/>
      <c r="AA273" s="276"/>
      <c r="AB273" s="276"/>
      <c r="AC273" s="272">
        <f>Y273*(1+'2. GRI Pricing Inputs'!$D$114)^(($AC$16-$AB$15)/365)</f>
        <v>1043.4700935995781</v>
      </c>
      <c r="AD273" s="273">
        <f>AC273*(1+'2. GRI Pricing Inputs'!$D$114)^((AD$16-AC$16)/365)</f>
        <v>1046.8392724921832</v>
      </c>
      <c r="AE273" s="273">
        <f>AD273*(1+'2. GRI Pricing Inputs'!$D$114)^((AE$16-AD$16)/365)</f>
        <v>1050.3321862030123</v>
      </c>
      <c r="AF273" s="273">
        <f>AE273*(1+'2. GRI Pricing Inputs'!$D$114)^((AF$16-AE$16)/365)</f>
        <v>1053.8367544691412</v>
      </c>
      <c r="AG273" s="273">
        <f>AF273*(1+'2. GRI Pricing Inputs'!$D$114)^((AG$16-AF$16)/365)</f>
        <v>1057.1258069526375</v>
      </c>
      <c r="AH273" s="273">
        <f>AG273*(1+'2. GRI Pricing Inputs'!$D$114)^((AH$16-AG$16)/365)</f>
        <v>1060.6530430071139</v>
      </c>
      <c r="AI273" s="273">
        <f>AH273*(1+'2. GRI Pricing Inputs'!$D$114)^((AI$16-AH$16)/365)</f>
        <v>1064.0777025798186</v>
      </c>
      <c r="AJ273" s="273">
        <f>AI273*(1+'2. GRI Pricing Inputs'!$D$114)^((AJ$16-AI$16)/365)</f>
        <v>1067.6281345271034</v>
      </c>
      <c r="AK273" s="273">
        <f>AJ273*(1+'2. GRI Pricing Inputs'!$D$114)^((AK$16-AJ$16)/365)</f>
        <v>1071.0753154267416</v>
      </c>
      <c r="AL273" s="273">
        <f>AK273*(1+'2. GRI Pricing Inputs'!$D$114)^((AL$16-AK$16)/365)</f>
        <v>1074.6490958082113</v>
      </c>
      <c r="AM273" s="273">
        <f>AL273*(1+'2. GRI Pricing Inputs'!$D$114)^((AM$16-AL$16)/365)</f>
        <v>1078.2348005670158</v>
      </c>
      <c r="AN273" s="273">
        <f>AM273*(1+'2. GRI Pricing Inputs'!$D$114)^((AN$16-AM$16)/365)</f>
        <v>1081.716228500241</v>
      </c>
      <c r="AO273" s="273">
        <f>AN273*(1+'2. GRI Pricing Inputs'!$D$114)^((AO$16-AN$16)/365)</f>
        <v>1085.3255136551243</v>
      </c>
    </row>
    <row r="274" spans="3:41" ht="12" x14ac:dyDescent="0.2">
      <c r="C274" s="76" t="str">
        <f>'1. Accomodation'!N278</f>
        <v>607W</v>
      </c>
      <c r="D274" s="69" t="str">
        <f>'1. Accomodation'!P278</f>
        <v>1 Bed</v>
      </c>
      <c r="E274" s="69">
        <f>'1. Accomodation'!Q278</f>
        <v>1</v>
      </c>
      <c r="F274" s="77">
        <f>'1. Accomodation'!O278</f>
        <v>474</v>
      </c>
      <c r="G274" s="69">
        <f>'1. Accomodation'!R278</f>
        <v>6</v>
      </c>
      <c r="H274" s="69" t="str">
        <f>'1. Accomodation'!S278</f>
        <v>Pottery Lane</v>
      </c>
      <c r="I274" s="62"/>
      <c r="K274" s="272">
        <f>IFERROR(INDEX('2. GRI Pricing Inputs'!$C$15:$AI$16,MATCH($K$16,'2. GRI Pricing Inputs'!$C$15:$C$16,0),MATCH(D274,'2. GRI Pricing Inputs'!$C$15:$AI$15,0)),0)</f>
        <v>845</v>
      </c>
      <c r="L274" s="273">
        <f>IFERROR(INDEX('2. GRI Pricing Inputs'!$C$22:$AI$23,MATCH($L$16,'2. GRI Pricing Inputs'!$C$22:$C$23,0),MATCH(E274,'2. GRI Pricing Inputs'!$C$22:$AI$22,0)),0)</f>
        <v>0</v>
      </c>
      <c r="M274" s="328">
        <f>IF(AND('3. GRI Pricing'!$F274&gt;='2. GRI Pricing Inputs'!$D$33,'3. GRI Pricing'!$F274&lt;='2. GRI Pricing Inputs'!$E$33),'2. GRI Pricing Inputs'!$D$32,IF(AND('3. GRI Pricing'!$F274&gt;='2. GRI Pricing Inputs'!$F$33,'3. GRI Pricing'!$F274&lt;='2. GRI Pricing Inputs'!$G$33),'2. GRI Pricing Inputs'!$F$32,IF(AND('3. GRI Pricing'!$F274&gt;='2. GRI Pricing Inputs'!$H$33,'3. GRI Pricing'!$F274&lt;='2. GRI Pricing Inputs'!$I$33),'2. GRI Pricing Inputs'!$H$32,IF(AND('3. GRI Pricing'!$F274&gt;='2. GRI Pricing Inputs'!$J$33,'3. GRI Pricing'!$F274&lt;='2. GRI Pricing Inputs'!$K$33),'2. GRI Pricing Inputs'!$J$32,IF(AND('3. GRI Pricing'!$F274&gt;='2. GRI Pricing Inputs'!$L$33,'3. GRI Pricing'!$F274&lt;='2. GRI Pricing Inputs'!$M$33),'2. GRI Pricing Inputs'!$L$32,IF(AND('3. GRI Pricing'!$F274&gt;='2. GRI Pricing Inputs'!$N$33,'3. GRI Pricing'!$F274&lt;='2. GRI Pricing Inputs'!$O$33),'2. GRI Pricing Inputs'!$N$32,IF(AND('3. GRI Pricing'!$F274&gt;='2. GRI Pricing Inputs'!$P$33,'3. GRI Pricing'!$F274&lt;='2. GRI Pricing Inputs'!$Q$33),'2. GRI Pricing Inputs'!$P$32,IF(AND('3. GRI Pricing'!$F274&gt;='2. GRI Pricing Inputs'!$R$33,'3. GRI Pricing'!$F274&lt;='2. GRI Pricing Inputs'!$S$33),'2. GRI Pricing Inputs'!$R$32,IF(AND('3. GRI Pricing'!$F274&gt;='2. GRI Pricing Inputs'!$T$33,'3. GRI Pricing'!$F274&lt;='2. GRI Pricing Inputs'!$U$33),'2. GRI Pricing Inputs'!$T$32,IF(AND('3. GRI Pricing'!$F274&gt;='2. GRI Pricing Inputs'!$V$33,'3. GRI Pricing'!$F274&lt;='2. GRI Pricing Inputs'!$W$33),'2. GRI Pricing Inputs'!$V$32,IF(AND('3. GRI Pricing'!$F274&gt;='2. GRI Pricing Inputs'!$X$33,'3. GRI Pricing'!$F274&lt;='2. GRI Pricing Inputs'!$Y$33),'2. GRI Pricing Inputs'!$X$32,IF(AND('3. GRI Pricing'!$F274&gt;='2. GRI Pricing Inputs'!$Z$33,'3. GRI Pricing'!$F274&lt;='2. GRI Pricing Inputs'!$AA$33),'2. GRI Pricing Inputs'!$Z$32,IF(AND('3. GRI Pricing'!$F274&gt;='2. GRI Pricing Inputs'!$AB$33,'3. GRI Pricing'!$F274&lt;='2. GRI Pricing Inputs'!$AC$33),'2. GRI Pricing Inputs'!$AB$32,IF(AND('3. GRI Pricing'!$F274&gt;='2. GRI Pricing Inputs'!$AD$33,'3. GRI Pricing'!$F274&lt;='2. GRI Pricing Inputs'!$AE$33),'2. GRI Pricing Inputs'!$AD$32,IF(AND('3. GRI Pricing'!$F274&gt;='2. GRI Pricing Inputs'!$AF$33,'3. GRI Pricing'!$F274&lt;='2. GRI Pricing Inputs'!$AG$33),'2. GRI Pricing Inputs'!$AF$32,IF(AND('3. GRI Pricing'!$F274&gt;='2. GRI Pricing Inputs'!$AH$33,'3. GRI Pricing'!$F274&lt;='2. GRI Pricing Inputs'!$AI$33),'2. GRI Pricing Inputs'!$AH$32,0))))))))))))))))</f>
        <v>0</v>
      </c>
      <c r="N274" s="273" cm="1">
        <f t="array" ref="N274">IFERROR(INDEX('2. GRI Pricing Inputs'!$C$32:$AI$39,MATCH('3. GRI Pricing'!D274,'2. GRI Pricing Inputs'!$C$32:$C$39,0),(MATCH('3. GRI Pricing'!M274,'2. GRI Pricing Inputs'!$D$32:$AI$32,0)+1)),0)</f>
        <v>0</v>
      </c>
      <c r="O274" s="273">
        <f>IFERROR(INDEX('2. GRI Pricing Inputs'!$C$45:$AI$46,MATCH($O$16,'2. GRI Pricing Inputs'!$C$45:$C$46,0),MATCH(G274,'2. GRI Pricing Inputs'!$C$45:$AI$45,0)),0)</f>
        <v>80</v>
      </c>
      <c r="P274" s="273">
        <f>IFERROR(INDEX('2. GRI Pricing Inputs'!$C$53:$AI$54,MATCH('3. GRI Pricing'!$P$16,'2. GRI Pricing Inputs'!$C$53:$C$54,0),MATCH('3. GRI Pricing'!H274,'2. GRI Pricing Inputs'!$C$53:$AI$53,0)),0)</f>
        <v>10</v>
      </c>
      <c r="Q274" s="273">
        <f>IFERROR(INDEX('2. GRI Pricing Inputs'!$C$60:$AI$61,MATCH('3. GRI Pricing'!$Q$16,'2. GRI Pricing Inputs'!$C$60:$C$61,0),MATCH('1. Accomodation'!T278,'2. GRI Pricing Inputs'!$C$60:$AI$60,0)),0)</f>
        <v>0</v>
      </c>
      <c r="R274" s="273">
        <f>IFERROR(INDEX('2. GRI Pricing Inputs'!$C$67:$AI$68,MATCH('3. GRI Pricing'!$R$16,'2. GRI Pricing Inputs'!$C$67:$C$68,0),MATCH('1. Accomodation'!U278,'2. GRI Pricing Inputs'!$C$67:$AI$67,0)),0)</f>
        <v>0</v>
      </c>
      <c r="S274" s="273">
        <f>IF(D274=0,0,'2. GRI Pricing Inputs'!$AI$75)</f>
        <v>70</v>
      </c>
      <c r="T274" s="273">
        <f>IFERROR(INDEX('2. GRI Pricing Inputs'!$C$82:$AI$83,MATCH('3. GRI Pricing'!$T$16,'2. GRI Pricing Inputs'!$C$82:$C$83,0),MATCH('1. Accomodation'!V278,'2. GRI Pricing Inputs'!$C$82:$AI$82,0)),0)</f>
        <v>0</v>
      </c>
      <c r="U274" s="273">
        <f>IFERROR(INDEX('2. GRI Pricing Inputs'!$C$89:$AI$90,MATCH('3. GRI Pricing'!$U$16,'2. GRI Pricing Inputs'!$C$89:$C$90,0),MATCH('1. Accomodation'!W278,'2. GRI Pricing Inputs'!$C$89:$AI$89,0)),0)</f>
        <v>0</v>
      </c>
      <c r="V274" s="273">
        <f>IFERROR(INDEX('2. GRI Pricing Inputs'!$C$97:$AI$98,MATCH('3. GRI Pricing'!$V$16,'2. GRI Pricing Inputs'!$C$97:$C$98,0),MATCH('1. Accomodation'!X278,'2. GRI Pricing Inputs'!$C$97:$AI$97,0)),0)</f>
        <v>0</v>
      </c>
      <c r="W274" s="273">
        <f>IFERROR(INDEX('2. GRI Pricing Inputs'!$C$104:$AI$105,MATCH('3. GRI Pricing'!$W$16,'2. GRI Pricing Inputs'!$C$104:$C$105,0),MATCH('1. Accomodation'!Y278,'2. GRI Pricing Inputs'!$C$104:$AI$104,0)),0)</f>
        <v>0</v>
      </c>
      <c r="X274" s="274">
        <v>0</v>
      </c>
      <c r="Y274" s="275">
        <f t="shared" ref="Y274:Y337" si="11">K274+L274+N274+O274+P274+Q274+R274+S274+T274+U274+V274+W274+X274</f>
        <v>1005</v>
      </c>
      <c r="Z274" s="276"/>
      <c r="AA274" s="276"/>
      <c r="AB274" s="276"/>
      <c r="AC274" s="272">
        <f>Y274*(1+'2. GRI Pricing Inputs'!$D$114)^(($AC$16-$AB$15)/365)</f>
        <v>1008.3533116034386</v>
      </c>
      <c r="AD274" s="273">
        <f>AC274*(1+'2. GRI Pricing Inputs'!$D$114)^((AD$16-AC$16)/365)</f>
        <v>1011.6091046679271</v>
      </c>
      <c r="AE274" s="273">
        <f>AD274*(1+'2. GRI Pricing Inputs'!$D$114)^((AE$16-AD$16)/365)</f>
        <v>1014.9844683981033</v>
      </c>
      <c r="AF274" s="273">
        <f>AE274*(1+'2. GRI Pricing Inputs'!$D$114)^((AF$16-AE$16)/365)</f>
        <v>1018.3710944629684</v>
      </c>
      <c r="AG274" s="273">
        <f>AF274*(1+'2. GRI Pricing Inputs'!$D$114)^((AG$16-AF$16)/365)</f>
        <v>1021.5494576801931</v>
      </c>
      <c r="AH274" s="273">
        <f>AG274*(1+'2. GRI Pricing Inputs'!$D$114)^((AH$16-AG$16)/365)</f>
        <v>1024.9579886751437</v>
      </c>
      <c r="AI274" s="273">
        <f>AH274*(1+'2. GRI Pricing Inputs'!$D$114)^((AI$16-AH$16)/365)</f>
        <v>1028.2673952814594</v>
      </c>
      <c r="AJ274" s="273">
        <f>AI274*(1+'2. GRI Pricing Inputs'!$D$114)^((AJ$16-AI$16)/365)</f>
        <v>1031.6983415382106</v>
      </c>
      <c r="AK274" s="273">
        <f>AJ274*(1+'2. GRI Pricing Inputs'!$D$114)^((AK$16-AJ$16)/365)</f>
        <v>1035.0295115421877</v>
      </c>
      <c r="AL274" s="273">
        <f>AK274*(1+'2. GRI Pricing Inputs'!$D$114)^((AL$16-AK$16)/365)</f>
        <v>1038.483020468512</v>
      </c>
      <c r="AM274" s="273">
        <f>AL274*(1+'2. GRI Pricing Inputs'!$D$114)^((AM$16-AL$16)/365)</f>
        <v>1041.9480524710104</v>
      </c>
      <c r="AN274" s="273">
        <f>AM274*(1+'2. GRI Pricing Inputs'!$D$114)^((AN$16-AM$16)/365)</f>
        <v>1045.3123169641751</v>
      </c>
      <c r="AO274" s="273">
        <f>AN274*(1+'2. GRI Pricing Inputs'!$D$114)^((AO$16-AN$16)/365)</f>
        <v>1048.8001357917306</v>
      </c>
    </row>
    <row r="275" spans="3:41" ht="12" x14ac:dyDescent="0.2">
      <c r="C275" s="76" t="str">
        <f>'1. Accomodation'!N279</f>
        <v>608W</v>
      </c>
      <c r="D275" s="69" t="str">
        <f>'1. Accomodation'!P279</f>
        <v>2 Bed</v>
      </c>
      <c r="E275" s="69">
        <f>'1. Accomodation'!Q279</f>
        <v>2</v>
      </c>
      <c r="F275" s="77">
        <f>'1. Accomodation'!O279</f>
        <v>667</v>
      </c>
      <c r="G275" s="69">
        <f>'1. Accomodation'!R279</f>
        <v>6</v>
      </c>
      <c r="H275" s="69" t="str">
        <f>'1. Accomodation'!S279</f>
        <v>Courtyard</v>
      </c>
      <c r="I275" s="62"/>
      <c r="K275" s="272">
        <f>IFERROR(INDEX('2. GRI Pricing Inputs'!$C$15:$AI$16,MATCH($K$16,'2. GRI Pricing Inputs'!$C$15:$C$16,0),MATCH(D275,'2. GRI Pricing Inputs'!$C$15:$AI$15,0)),0)</f>
        <v>1110</v>
      </c>
      <c r="L275" s="273">
        <f>IFERROR(INDEX('2. GRI Pricing Inputs'!$C$22:$AI$23,MATCH($L$16,'2. GRI Pricing Inputs'!$C$22:$C$23,0),MATCH(E275,'2. GRI Pricing Inputs'!$C$22:$AI$22,0)),0)</f>
        <v>0</v>
      </c>
      <c r="M275" s="328">
        <f>IF(AND('3. GRI Pricing'!$F275&gt;='2. GRI Pricing Inputs'!$D$33,'3. GRI Pricing'!$F275&lt;='2. GRI Pricing Inputs'!$E$33),'2. GRI Pricing Inputs'!$D$32,IF(AND('3. GRI Pricing'!$F275&gt;='2. GRI Pricing Inputs'!$F$33,'3. GRI Pricing'!$F275&lt;='2. GRI Pricing Inputs'!$G$33),'2. GRI Pricing Inputs'!$F$32,IF(AND('3. GRI Pricing'!$F275&gt;='2. GRI Pricing Inputs'!$H$33,'3. GRI Pricing'!$F275&lt;='2. GRI Pricing Inputs'!$I$33),'2. GRI Pricing Inputs'!$H$32,IF(AND('3. GRI Pricing'!$F275&gt;='2. GRI Pricing Inputs'!$J$33,'3. GRI Pricing'!$F275&lt;='2. GRI Pricing Inputs'!$K$33),'2. GRI Pricing Inputs'!$J$32,IF(AND('3. GRI Pricing'!$F275&gt;='2. GRI Pricing Inputs'!$L$33,'3. GRI Pricing'!$F275&lt;='2. GRI Pricing Inputs'!$M$33),'2. GRI Pricing Inputs'!$L$32,IF(AND('3. GRI Pricing'!$F275&gt;='2. GRI Pricing Inputs'!$N$33,'3. GRI Pricing'!$F275&lt;='2. GRI Pricing Inputs'!$O$33),'2. GRI Pricing Inputs'!$N$32,IF(AND('3. GRI Pricing'!$F275&gt;='2. GRI Pricing Inputs'!$P$33,'3. GRI Pricing'!$F275&lt;='2. GRI Pricing Inputs'!$Q$33),'2. GRI Pricing Inputs'!$P$32,IF(AND('3. GRI Pricing'!$F275&gt;='2. GRI Pricing Inputs'!$R$33,'3. GRI Pricing'!$F275&lt;='2. GRI Pricing Inputs'!$S$33),'2. GRI Pricing Inputs'!$R$32,IF(AND('3. GRI Pricing'!$F275&gt;='2. GRI Pricing Inputs'!$T$33,'3. GRI Pricing'!$F275&lt;='2. GRI Pricing Inputs'!$U$33),'2. GRI Pricing Inputs'!$T$32,IF(AND('3. GRI Pricing'!$F275&gt;='2. GRI Pricing Inputs'!$V$33,'3. GRI Pricing'!$F275&lt;='2. GRI Pricing Inputs'!$W$33),'2. GRI Pricing Inputs'!$V$32,IF(AND('3. GRI Pricing'!$F275&gt;='2. GRI Pricing Inputs'!$X$33,'3. GRI Pricing'!$F275&lt;='2. GRI Pricing Inputs'!$Y$33),'2. GRI Pricing Inputs'!$X$32,IF(AND('3. GRI Pricing'!$F275&gt;='2. GRI Pricing Inputs'!$Z$33,'3. GRI Pricing'!$F275&lt;='2. GRI Pricing Inputs'!$AA$33),'2. GRI Pricing Inputs'!$Z$32,IF(AND('3. GRI Pricing'!$F275&gt;='2. GRI Pricing Inputs'!$AB$33,'3. GRI Pricing'!$F275&lt;='2. GRI Pricing Inputs'!$AC$33),'2. GRI Pricing Inputs'!$AB$32,IF(AND('3. GRI Pricing'!$F275&gt;='2. GRI Pricing Inputs'!$AD$33,'3. GRI Pricing'!$F275&lt;='2. GRI Pricing Inputs'!$AE$33),'2. GRI Pricing Inputs'!$AD$32,IF(AND('3. GRI Pricing'!$F275&gt;='2. GRI Pricing Inputs'!$AF$33,'3. GRI Pricing'!$F275&lt;='2. GRI Pricing Inputs'!$AG$33),'2. GRI Pricing Inputs'!$AF$32,IF(AND('3. GRI Pricing'!$F275&gt;='2. GRI Pricing Inputs'!$AH$33,'3. GRI Pricing'!$F275&lt;='2. GRI Pricing Inputs'!$AI$33),'2. GRI Pricing Inputs'!$AH$32,0))))))))))))))))</f>
        <v>9</v>
      </c>
      <c r="N275" s="273" cm="1">
        <f t="array" ref="N275">IFERROR(INDEX('2. GRI Pricing Inputs'!$C$32:$AI$39,MATCH('3. GRI Pricing'!D275,'2. GRI Pricing Inputs'!$C$32:$C$39,0),(MATCH('3. GRI Pricing'!M275,'2. GRI Pricing Inputs'!$D$32:$AI$32,0)+1)),0)</f>
        <v>30</v>
      </c>
      <c r="O275" s="273">
        <f>IFERROR(INDEX('2. GRI Pricing Inputs'!$C$45:$AI$46,MATCH($O$16,'2. GRI Pricing Inputs'!$C$45:$C$46,0),MATCH(G275,'2. GRI Pricing Inputs'!$C$45:$AI$45,0)),0)</f>
        <v>80</v>
      </c>
      <c r="P275" s="273">
        <f>IFERROR(INDEX('2. GRI Pricing Inputs'!$C$53:$AI$54,MATCH('3. GRI Pricing'!$P$16,'2. GRI Pricing Inputs'!$C$53:$C$54,0),MATCH('3. GRI Pricing'!H275,'2. GRI Pricing Inputs'!$C$53:$AI$53,0)),0)</f>
        <v>25</v>
      </c>
      <c r="Q275" s="273">
        <f>IFERROR(INDEX('2. GRI Pricing Inputs'!$C$60:$AI$61,MATCH('3. GRI Pricing'!$Q$16,'2. GRI Pricing Inputs'!$C$60:$C$61,0),MATCH('1. Accomodation'!T279,'2. GRI Pricing Inputs'!$C$60:$AI$60,0)),0)</f>
        <v>0</v>
      </c>
      <c r="R275" s="273">
        <f>IFERROR(INDEX('2. GRI Pricing Inputs'!$C$67:$AI$68,MATCH('3. GRI Pricing'!$R$16,'2. GRI Pricing Inputs'!$C$67:$C$68,0),MATCH('1. Accomodation'!U279,'2. GRI Pricing Inputs'!$C$67:$AI$67,0)),0)</f>
        <v>0</v>
      </c>
      <c r="S275" s="273">
        <f>IF(D275=0,0,'2. GRI Pricing Inputs'!$AI$75)</f>
        <v>70</v>
      </c>
      <c r="T275" s="273">
        <f>IFERROR(INDEX('2. GRI Pricing Inputs'!$C$82:$AI$83,MATCH('3. GRI Pricing'!$T$16,'2. GRI Pricing Inputs'!$C$82:$C$83,0),MATCH('1. Accomodation'!V279,'2. GRI Pricing Inputs'!$C$82:$AI$82,0)),0)</f>
        <v>0</v>
      </c>
      <c r="U275" s="273">
        <f>IFERROR(INDEX('2. GRI Pricing Inputs'!$C$89:$AI$90,MATCH('3. GRI Pricing'!$U$16,'2. GRI Pricing Inputs'!$C$89:$C$90,0),MATCH('1. Accomodation'!W279,'2. GRI Pricing Inputs'!$C$89:$AI$89,0)),0)</f>
        <v>0</v>
      </c>
      <c r="V275" s="273">
        <f>IFERROR(INDEX('2. GRI Pricing Inputs'!$C$97:$AI$98,MATCH('3. GRI Pricing'!$V$16,'2. GRI Pricing Inputs'!$C$97:$C$98,0),MATCH('1. Accomodation'!X279,'2. GRI Pricing Inputs'!$C$97:$AI$97,0)),0)</f>
        <v>0</v>
      </c>
      <c r="W275" s="273">
        <f>IFERROR(INDEX('2. GRI Pricing Inputs'!$C$104:$AI$105,MATCH('3. GRI Pricing'!$W$16,'2. GRI Pricing Inputs'!$C$104:$C$105,0),MATCH('1. Accomodation'!Y279,'2. GRI Pricing Inputs'!$C$104:$AI$104,0)),0)</f>
        <v>0</v>
      </c>
      <c r="X275" s="274">
        <v>0</v>
      </c>
      <c r="Y275" s="275">
        <f t="shared" si="11"/>
        <v>1315</v>
      </c>
      <c r="Z275" s="276"/>
      <c r="AA275" s="276"/>
      <c r="AB275" s="276"/>
      <c r="AC275" s="272">
        <f>Y275*(1+'2. GRI Pricing Inputs'!$D$114)^(($AC$16-$AB$15)/365)</f>
        <v>1319.3876664263898</v>
      </c>
      <c r="AD275" s="273">
        <f>AC275*(1+'2. GRI Pricing Inputs'!$D$114)^((AD$16-AC$16)/365)</f>
        <v>1323.6477339684818</v>
      </c>
      <c r="AE275" s="273">
        <f>AD275*(1+'2. GRI Pricing Inputs'!$D$114)^((AE$16-AD$16)/365)</f>
        <v>1328.0642546701552</v>
      </c>
      <c r="AF275" s="273">
        <f>AE275*(1+'2. GRI Pricing Inputs'!$D$114)^((AF$16-AE$16)/365)</f>
        <v>1332.4955116605008</v>
      </c>
      <c r="AG275" s="273">
        <f>AF275*(1+'2. GRI Pricing Inputs'!$D$114)^((AG$16-AF$16)/365)</f>
        <v>1336.6542655218448</v>
      </c>
      <c r="AH275" s="273">
        <f>AG275*(1+'2. GRI Pricing Inputs'!$D$114)^((AH$16-AG$16)/365)</f>
        <v>1341.1141841868796</v>
      </c>
      <c r="AI275" s="273">
        <f>AH275*(1+'2. GRI Pricing Inputs'!$D$114)^((AI$16-AH$16)/365)</f>
        <v>1345.4444027812131</v>
      </c>
      <c r="AJ275" s="273">
        <f>AI275*(1+'2. GRI Pricing Inputs'!$D$114)^((AJ$16-AI$16)/365)</f>
        <v>1349.9336508684048</v>
      </c>
      <c r="AK275" s="273">
        <f>AJ275*(1+'2. GRI Pricing Inputs'!$D$114)^((AK$16-AJ$16)/365)</f>
        <v>1354.2923459482358</v>
      </c>
      <c r="AL275" s="273">
        <f>AK275*(1+'2. GRI Pricing Inputs'!$D$114)^((AL$16-AK$16)/365)</f>
        <v>1358.8111163344213</v>
      </c>
      <c r="AM275" s="273">
        <f>AL275*(1+'2. GRI Pricing Inputs'!$D$114)^((AM$16-AL$16)/365)</f>
        <v>1363.3449641784864</v>
      </c>
      <c r="AN275" s="273">
        <f>AM275*(1+'2. GRI Pricing Inputs'!$D$114)^((AN$16-AM$16)/365)</f>
        <v>1367.7469619979011</v>
      </c>
      <c r="AO275" s="273">
        <f>AN275*(1+'2. GRI Pricing Inputs'!$D$114)^((AO$16-AN$16)/365)</f>
        <v>1372.3106254389313</v>
      </c>
    </row>
    <row r="276" spans="3:41" ht="12" x14ac:dyDescent="0.2">
      <c r="C276" s="76" t="str">
        <f>'1. Accomodation'!N280</f>
        <v>609W</v>
      </c>
      <c r="D276" s="69" t="str">
        <f>'1. Accomodation'!P280</f>
        <v>2 Bed</v>
      </c>
      <c r="E276" s="69">
        <f>'1. Accomodation'!Q280</f>
        <v>2</v>
      </c>
      <c r="F276" s="77">
        <f>'1. Accomodation'!O280</f>
        <v>657</v>
      </c>
      <c r="G276" s="69">
        <f>'1. Accomodation'!R280</f>
        <v>6</v>
      </c>
      <c r="H276" s="69" t="str">
        <f>'1. Accomodation'!S280</f>
        <v>Courtyard</v>
      </c>
      <c r="I276" s="62"/>
      <c r="K276" s="272">
        <f>IFERROR(INDEX('2. GRI Pricing Inputs'!$C$15:$AI$16,MATCH($K$16,'2. GRI Pricing Inputs'!$C$15:$C$16,0),MATCH(D276,'2. GRI Pricing Inputs'!$C$15:$AI$15,0)),0)</f>
        <v>1110</v>
      </c>
      <c r="L276" s="273">
        <f>IFERROR(INDEX('2. GRI Pricing Inputs'!$C$22:$AI$23,MATCH($L$16,'2. GRI Pricing Inputs'!$C$22:$C$23,0),MATCH(E276,'2. GRI Pricing Inputs'!$C$22:$AI$22,0)),0)</f>
        <v>0</v>
      </c>
      <c r="M276" s="328">
        <f>IF(AND('3. GRI Pricing'!$F276&gt;='2. GRI Pricing Inputs'!$D$33,'3. GRI Pricing'!$F276&lt;='2. GRI Pricing Inputs'!$E$33),'2. GRI Pricing Inputs'!$D$32,IF(AND('3. GRI Pricing'!$F276&gt;='2. GRI Pricing Inputs'!$F$33,'3. GRI Pricing'!$F276&lt;='2. GRI Pricing Inputs'!$G$33),'2. GRI Pricing Inputs'!$F$32,IF(AND('3. GRI Pricing'!$F276&gt;='2. GRI Pricing Inputs'!$H$33,'3. GRI Pricing'!$F276&lt;='2. GRI Pricing Inputs'!$I$33),'2. GRI Pricing Inputs'!$H$32,IF(AND('3. GRI Pricing'!$F276&gt;='2. GRI Pricing Inputs'!$J$33,'3. GRI Pricing'!$F276&lt;='2. GRI Pricing Inputs'!$K$33),'2. GRI Pricing Inputs'!$J$32,IF(AND('3. GRI Pricing'!$F276&gt;='2. GRI Pricing Inputs'!$L$33,'3. GRI Pricing'!$F276&lt;='2. GRI Pricing Inputs'!$M$33),'2. GRI Pricing Inputs'!$L$32,IF(AND('3. GRI Pricing'!$F276&gt;='2. GRI Pricing Inputs'!$N$33,'3. GRI Pricing'!$F276&lt;='2. GRI Pricing Inputs'!$O$33),'2. GRI Pricing Inputs'!$N$32,IF(AND('3. GRI Pricing'!$F276&gt;='2. GRI Pricing Inputs'!$P$33,'3. GRI Pricing'!$F276&lt;='2. GRI Pricing Inputs'!$Q$33),'2. GRI Pricing Inputs'!$P$32,IF(AND('3. GRI Pricing'!$F276&gt;='2. GRI Pricing Inputs'!$R$33,'3. GRI Pricing'!$F276&lt;='2. GRI Pricing Inputs'!$S$33),'2. GRI Pricing Inputs'!$R$32,IF(AND('3. GRI Pricing'!$F276&gt;='2. GRI Pricing Inputs'!$T$33,'3. GRI Pricing'!$F276&lt;='2. GRI Pricing Inputs'!$U$33),'2. GRI Pricing Inputs'!$T$32,IF(AND('3. GRI Pricing'!$F276&gt;='2. GRI Pricing Inputs'!$V$33,'3. GRI Pricing'!$F276&lt;='2. GRI Pricing Inputs'!$W$33),'2. GRI Pricing Inputs'!$V$32,IF(AND('3. GRI Pricing'!$F276&gt;='2. GRI Pricing Inputs'!$X$33,'3. GRI Pricing'!$F276&lt;='2. GRI Pricing Inputs'!$Y$33),'2. GRI Pricing Inputs'!$X$32,IF(AND('3. GRI Pricing'!$F276&gt;='2. GRI Pricing Inputs'!$Z$33,'3. GRI Pricing'!$F276&lt;='2. GRI Pricing Inputs'!$AA$33),'2. GRI Pricing Inputs'!$Z$32,IF(AND('3. GRI Pricing'!$F276&gt;='2. GRI Pricing Inputs'!$AB$33,'3. GRI Pricing'!$F276&lt;='2. GRI Pricing Inputs'!$AC$33),'2. GRI Pricing Inputs'!$AB$32,IF(AND('3. GRI Pricing'!$F276&gt;='2. GRI Pricing Inputs'!$AD$33,'3. GRI Pricing'!$F276&lt;='2. GRI Pricing Inputs'!$AE$33),'2. GRI Pricing Inputs'!$AD$32,IF(AND('3. GRI Pricing'!$F276&gt;='2. GRI Pricing Inputs'!$AF$33,'3. GRI Pricing'!$F276&lt;='2. GRI Pricing Inputs'!$AG$33),'2. GRI Pricing Inputs'!$AF$32,IF(AND('3. GRI Pricing'!$F276&gt;='2. GRI Pricing Inputs'!$AH$33,'3. GRI Pricing'!$F276&lt;='2. GRI Pricing Inputs'!$AI$33),'2. GRI Pricing Inputs'!$AH$32,0))))))))))))))))</f>
        <v>8</v>
      </c>
      <c r="N276" s="273" cm="1">
        <f t="array" ref="N276">IFERROR(INDEX('2. GRI Pricing Inputs'!$C$32:$AI$39,MATCH('3. GRI Pricing'!D276,'2. GRI Pricing Inputs'!$C$32:$C$39,0),(MATCH('3. GRI Pricing'!M276,'2. GRI Pricing Inputs'!$D$32:$AI$32,0)+1)),0)</f>
        <v>20</v>
      </c>
      <c r="O276" s="273">
        <f>IFERROR(INDEX('2. GRI Pricing Inputs'!$C$45:$AI$46,MATCH($O$16,'2. GRI Pricing Inputs'!$C$45:$C$46,0),MATCH(G276,'2. GRI Pricing Inputs'!$C$45:$AI$45,0)),0)</f>
        <v>80</v>
      </c>
      <c r="P276" s="273">
        <f>IFERROR(INDEX('2. GRI Pricing Inputs'!$C$53:$AI$54,MATCH('3. GRI Pricing'!$P$16,'2. GRI Pricing Inputs'!$C$53:$C$54,0),MATCH('3. GRI Pricing'!H276,'2. GRI Pricing Inputs'!$C$53:$AI$53,0)),0)</f>
        <v>25</v>
      </c>
      <c r="Q276" s="273">
        <f>IFERROR(INDEX('2. GRI Pricing Inputs'!$C$60:$AI$61,MATCH('3. GRI Pricing'!$Q$16,'2. GRI Pricing Inputs'!$C$60:$C$61,0),MATCH('1. Accomodation'!T280,'2. GRI Pricing Inputs'!$C$60:$AI$60,0)),0)</f>
        <v>0</v>
      </c>
      <c r="R276" s="273">
        <f>IFERROR(INDEX('2. GRI Pricing Inputs'!$C$67:$AI$68,MATCH('3. GRI Pricing'!$R$16,'2. GRI Pricing Inputs'!$C$67:$C$68,0),MATCH('1. Accomodation'!U280,'2. GRI Pricing Inputs'!$C$67:$AI$67,0)),0)</f>
        <v>0</v>
      </c>
      <c r="S276" s="273">
        <f>IF(D276=0,0,'2. GRI Pricing Inputs'!$AI$75)</f>
        <v>70</v>
      </c>
      <c r="T276" s="273">
        <f>IFERROR(INDEX('2. GRI Pricing Inputs'!$C$82:$AI$83,MATCH('3. GRI Pricing'!$T$16,'2. GRI Pricing Inputs'!$C$82:$C$83,0),MATCH('1. Accomodation'!V280,'2. GRI Pricing Inputs'!$C$82:$AI$82,0)),0)</f>
        <v>0</v>
      </c>
      <c r="U276" s="273">
        <f>IFERROR(INDEX('2. GRI Pricing Inputs'!$C$89:$AI$90,MATCH('3. GRI Pricing'!$U$16,'2. GRI Pricing Inputs'!$C$89:$C$90,0),MATCH('1. Accomodation'!W280,'2. GRI Pricing Inputs'!$C$89:$AI$89,0)),0)</f>
        <v>0</v>
      </c>
      <c r="V276" s="273">
        <f>IFERROR(INDEX('2. GRI Pricing Inputs'!$C$97:$AI$98,MATCH('3. GRI Pricing'!$V$16,'2. GRI Pricing Inputs'!$C$97:$C$98,0),MATCH('1. Accomodation'!X280,'2. GRI Pricing Inputs'!$C$97:$AI$97,0)),0)</f>
        <v>0</v>
      </c>
      <c r="W276" s="273">
        <f>IFERROR(INDEX('2. GRI Pricing Inputs'!$C$104:$AI$105,MATCH('3. GRI Pricing'!$W$16,'2. GRI Pricing Inputs'!$C$104:$C$105,0),MATCH('1. Accomodation'!Y280,'2. GRI Pricing Inputs'!$C$104:$AI$104,0)),0)</f>
        <v>0</v>
      </c>
      <c r="X276" s="274">
        <v>0</v>
      </c>
      <c r="Y276" s="275">
        <f t="shared" si="11"/>
        <v>1305</v>
      </c>
      <c r="Z276" s="276"/>
      <c r="AA276" s="276"/>
      <c r="AB276" s="276"/>
      <c r="AC276" s="272">
        <f>Y276*(1+'2. GRI Pricing Inputs'!$D$114)^(($AC$16-$AB$15)/365)</f>
        <v>1309.3543001417784</v>
      </c>
      <c r="AD276" s="273">
        <f>AC276*(1+'2. GRI Pricing Inputs'!$D$114)^((AD$16-AC$16)/365)</f>
        <v>1313.58197173298</v>
      </c>
      <c r="AE276" s="273">
        <f>AD276*(1+'2. GRI Pricing Inputs'!$D$114)^((AE$16-AD$16)/365)</f>
        <v>1317.9649067258954</v>
      </c>
      <c r="AF276" s="273">
        <f>AE276*(1+'2. GRI Pricing Inputs'!$D$114)^((AF$16-AE$16)/365)</f>
        <v>1322.3624659444515</v>
      </c>
      <c r="AG276" s="273">
        <f>AF276*(1+'2. GRI Pricing Inputs'!$D$114)^((AG$16-AF$16)/365)</f>
        <v>1326.4895943011463</v>
      </c>
      <c r="AH276" s="273">
        <f>AG276*(1+'2. GRI Pricing Inputs'!$D$114)^((AH$16-AG$16)/365)</f>
        <v>1330.9155972348881</v>
      </c>
      <c r="AI276" s="273">
        <f>AH276*(1+'2. GRI Pricing Inputs'!$D$114)^((AI$16-AH$16)/365)</f>
        <v>1335.2128864102533</v>
      </c>
      <c r="AJ276" s="273">
        <f>AI276*(1+'2. GRI Pricing Inputs'!$D$114)^((AJ$16-AI$16)/365)</f>
        <v>1339.6679957287213</v>
      </c>
      <c r="AK276" s="273">
        <f>AJ276*(1+'2. GRI Pricing Inputs'!$D$114)^((AK$16-AJ$16)/365)</f>
        <v>1343.9935448383633</v>
      </c>
      <c r="AL276" s="273">
        <f>AK276*(1+'2. GRI Pricing Inputs'!$D$114)^((AL$16-AK$16)/365)</f>
        <v>1348.4779519516499</v>
      </c>
      <c r="AM276" s="273">
        <f>AL276*(1+'2. GRI Pricing Inputs'!$D$114)^((AM$16-AL$16)/365)</f>
        <v>1352.977321865342</v>
      </c>
      <c r="AN276" s="273">
        <f>AM276*(1+'2. GRI Pricing Inputs'!$D$114)^((AN$16-AM$16)/365)</f>
        <v>1357.3458444161679</v>
      </c>
      <c r="AO276" s="273">
        <f>AN276*(1+'2. GRI Pricing Inputs'!$D$114)^((AO$16-AN$16)/365)</f>
        <v>1361.8748031922473</v>
      </c>
    </row>
    <row r="277" spans="3:41" ht="12" x14ac:dyDescent="0.2">
      <c r="C277" s="76" t="str">
        <f>'1. Accomodation'!N281</f>
        <v>610W</v>
      </c>
      <c r="D277" s="69" t="str">
        <f>'1. Accomodation'!P281</f>
        <v>2 Bed</v>
      </c>
      <c r="E277" s="69">
        <f>'1. Accomodation'!Q281</f>
        <v>2</v>
      </c>
      <c r="F277" s="77">
        <f>'1. Accomodation'!O281</f>
        <v>689</v>
      </c>
      <c r="G277" s="69">
        <f>'1. Accomodation'!R281</f>
        <v>6</v>
      </c>
      <c r="H277" s="69" t="str">
        <f>'1. Accomodation'!S281</f>
        <v>River- Partial</v>
      </c>
      <c r="I277" s="62"/>
      <c r="K277" s="272">
        <f>IFERROR(INDEX('2. GRI Pricing Inputs'!$C$15:$AI$16,MATCH($K$16,'2. GRI Pricing Inputs'!$C$15:$C$16,0),MATCH(D277,'2. GRI Pricing Inputs'!$C$15:$AI$15,0)),0)</f>
        <v>1110</v>
      </c>
      <c r="L277" s="273">
        <f>IFERROR(INDEX('2. GRI Pricing Inputs'!$C$22:$AI$23,MATCH($L$16,'2. GRI Pricing Inputs'!$C$22:$C$23,0),MATCH(E277,'2. GRI Pricing Inputs'!$C$22:$AI$22,0)),0)</f>
        <v>0</v>
      </c>
      <c r="M277" s="328">
        <f>IF(AND('3. GRI Pricing'!$F277&gt;='2. GRI Pricing Inputs'!$D$33,'3. GRI Pricing'!$F277&lt;='2. GRI Pricing Inputs'!$E$33),'2. GRI Pricing Inputs'!$D$32,IF(AND('3. GRI Pricing'!$F277&gt;='2. GRI Pricing Inputs'!$F$33,'3. GRI Pricing'!$F277&lt;='2. GRI Pricing Inputs'!$G$33),'2. GRI Pricing Inputs'!$F$32,IF(AND('3. GRI Pricing'!$F277&gt;='2. GRI Pricing Inputs'!$H$33,'3. GRI Pricing'!$F277&lt;='2. GRI Pricing Inputs'!$I$33),'2. GRI Pricing Inputs'!$H$32,IF(AND('3. GRI Pricing'!$F277&gt;='2. GRI Pricing Inputs'!$J$33,'3. GRI Pricing'!$F277&lt;='2. GRI Pricing Inputs'!$K$33),'2. GRI Pricing Inputs'!$J$32,IF(AND('3. GRI Pricing'!$F277&gt;='2. GRI Pricing Inputs'!$L$33,'3. GRI Pricing'!$F277&lt;='2. GRI Pricing Inputs'!$M$33),'2. GRI Pricing Inputs'!$L$32,IF(AND('3. GRI Pricing'!$F277&gt;='2. GRI Pricing Inputs'!$N$33,'3. GRI Pricing'!$F277&lt;='2. GRI Pricing Inputs'!$O$33),'2. GRI Pricing Inputs'!$N$32,IF(AND('3. GRI Pricing'!$F277&gt;='2. GRI Pricing Inputs'!$P$33,'3. GRI Pricing'!$F277&lt;='2. GRI Pricing Inputs'!$Q$33),'2. GRI Pricing Inputs'!$P$32,IF(AND('3. GRI Pricing'!$F277&gt;='2. GRI Pricing Inputs'!$R$33,'3. GRI Pricing'!$F277&lt;='2. GRI Pricing Inputs'!$S$33),'2. GRI Pricing Inputs'!$R$32,IF(AND('3. GRI Pricing'!$F277&gt;='2. GRI Pricing Inputs'!$T$33,'3. GRI Pricing'!$F277&lt;='2. GRI Pricing Inputs'!$U$33),'2. GRI Pricing Inputs'!$T$32,IF(AND('3. GRI Pricing'!$F277&gt;='2. GRI Pricing Inputs'!$V$33,'3. GRI Pricing'!$F277&lt;='2. GRI Pricing Inputs'!$W$33),'2. GRI Pricing Inputs'!$V$32,IF(AND('3. GRI Pricing'!$F277&gt;='2. GRI Pricing Inputs'!$X$33,'3. GRI Pricing'!$F277&lt;='2. GRI Pricing Inputs'!$Y$33),'2. GRI Pricing Inputs'!$X$32,IF(AND('3. GRI Pricing'!$F277&gt;='2. GRI Pricing Inputs'!$Z$33,'3. GRI Pricing'!$F277&lt;='2. GRI Pricing Inputs'!$AA$33),'2. GRI Pricing Inputs'!$Z$32,IF(AND('3. GRI Pricing'!$F277&gt;='2. GRI Pricing Inputs'!$AB$33,'3. GRI Pricing'!$F277&lt;='2. GRI Pricing Inputs'!$AC$33),'2. GRI Pricing Inputs'!$AB$32,IF(AND('3. GRI Pricing'!$F277&gt;='2. GRI Pricing Inputs'!$AD$33,'3. GRI Pricing'!$F277&lt;='2. GRI Pricing Inputs'!$AE$33),'2. GRI Pricing Inputs'!$AD$32,IF(AND('3. GRI Pricing'!$F277&gt;='2. GRI Pricing Inputs'!$AF$33,'3. GRI Pricing'!$F277&lt;='2. GRI Pricing Inputs'!$AG$33),'2. GRI Pricing Inputs'!$AF$32,IF(AND('3. GRI Pricing'!$F277&gt;='2. GRI Pricing Inputs'!$AH$33,'3. GRI Pricing'!$F277&lt;='2. GRI Pricing Inputs'!$AI$33),'2. GRI Pricing Inputs'!$AH$32,0))))))))))))))))</f>
        <v>11</v>
      </c>
      <c r="N277" s="273" cm="1">
        <f t="array" ref="N277">IFERROR(INDEX('2. GRI Pricing Inputs'!$C$32:$AI$39,MATCH('3. GRI Pricing'!D277,'2. GRI Pricing Inputs'!$C$32:$C$39,0),(MATCH('3. GRI Pricing'!M277,'2. GRI Pricing Inputs'!$D$32:$AI$32,0)+1)),0)</f>
        <v>65</v>
      </c>
      <c r="O277" s="273">
        <f>IFERROR(INDEX('2. GRI Pricing Inputs'!$C$45:$AI$46,MATCH($O$16,'2. GRI Pricing Inputs'!$C$45:$C$46,0),MATCH(G277,'2. GRI Pricing Inputs'!$C$45:$AI$45,0)),0)</f>
        <v>80</v>
      </c>
      <c r="P277" s="273">
        <f>IFERROR(INDEX('2. GRI Pricing Inputs'!$C$53:$AI$54,MATCH('3. GRI Pricing'!$P$16,'2. GRI Pricing Inputs'!$C$53:$C$54,0),MATCH('3. GRI Pricing'!H277,'2. GRI Pricing Inputs'!$C$53:$AI$53,0)),0)</f>
        <v>0</v>
      </c>
      <c r="Q277" s="273">
        <f>IFERROR(INDEX('2. GRI Pricing Inputs'!$C$60:$AI$61,MATCH('3. GRI Pricing'!$Q$16,'2. GRI Pricing Inputs'!$C$60:$C$61,0),MATCH('1. Accomodation'!T281,'2. GRI Pricing Inputs'!$C$60:$AI$60,0)),0)</f>
        <v>0</v>
      </c>
      <c r="R277" s="273">
        <f>IFERROR(INDEX('2. GRI Pricing Inputs'!$C$67:$AI$68,MATCH('3. GRI Pricing'!$R$16,'2. GRI Pricing Inputs'!$C$67:$C$68,0),MATCH('1. Accomodation'!U281,'2. GRI Pricing Inputs'!$C$67:$AI$67,0)),0)</f>
        <v>0</v>
      </c>
      <c r="S277" s="273">
        <f>IF(D277=0,0,'2. GRI Pricing Inputs'!$AI$75)</f>
        <v>70</v>
      </c>
      <c r="T277" s="273">
        <f>IFERROR(INDEX('2. GRI Pricing Inputs'!$C$82:$AI$83,MATCH('3. GRI Pricing'!$T$16,'2. GRI Pricing Inputs'!$C$82:$C$83,0),MATCH('1. Accomodation'!V281,'2. GRI Pricing Inputs'!$C$82:$AI$82,0)),0)</f>
        <v>0</v>
      </c>
      <c r="U277" s="273">
        <f>IFERROR(INDEX('2. GRI Pricing Inputs'!$C$89:$AI$90,MATCH('3. GRI Pricing'!$U$16,'2. GRI Pricing Inputs'!$C$89:$C$90,0),MATCH('1. Accomodation'!W281,'2. GRI Pricing Inputs'!$C$89:$AI$89,0)),0)</f>
        <v>0</v>
      </c>
      <c r="V277" s="273">
        <f>IFERROR(INDEX('2. GRI Pricing Inputs'!$C$97:$AI$98,MATCH('3. GRI Pricing'!$V$16,'2. GRI Pricing Inputs'!$C$97:$C$98,0),MATCH('1. Accomodation'!X281,'2. GRI Pricing Inputs'!$C$97:$AI$97,0)),0)</f>
        <v>0</v>
      </c>
      <c r="W277" s="273">
        <f>IFERROR(INDEX('2. GRI Pricing Inputs'!$C$104:$AI$105,MATCH('3. GRI Pricing'!$W$16,'2. GRI Pricing Inputs'!$C$104:$C$105,0),MATCH('1. Accomodation'!Y281,'2. GRI Pricing Inputs'!$C$104:$AI$104,0)),0)</f>
        <v>0</v>
      </c>
      <c r="X277" s="274">
        <v>0</v>
      </c>
      <c r="Y277" s="275">
        <f t="shared" si="11"/>
        <v>1325</v>
      </c>
      <c r="Z277" s="276"/>
      <c r="AA277" s="276"/>
      <c r="AB277" s="276"/>
      <c r="AC277" s="272">
        <f>Y277*(1+'2. GRI Pricing Inputs'!$D$114)^(($AC$16-$AB$15)/365)</f>
        <v>1329.4210327110011</v>
      </c>
      <c r="AD277" s="273">
        <f>AC277*(1+'2. GRI Pricing Inputs'!$D$114)^((AD$16-AC$16)/365)</f>
        <v>1333.7134962039836</v>
      </c>
      <c r="AE277" s="273">
        <f>AD277*(1+'2. GRI Pricing Inputs'!$D$114)^((AE$16-AD$16)/365)</f>
        <v>1338.1636026144149</v>
      </c>
      <c r="AF277" s="273">
        <f>AE277*(1+'2. GRI Pricing Inputs'!$D$114)^((AF$16-AE$16)/365)</f>
        <v>1342.6285573765504</v>
      </c>
      <c r="AG277" s="273">
        <f>AF277*(1+'2. GRI Pricing Inputs'!$D$114)^((AG$16-AF$16)/365)</f>
        <v>1346.8189367425432</v>
      </c>
      <c r="AH277" s="273">
        <f>AG277*(1+'2. GRI Pricing Inputs'!$D$114)^((AH$16-AG$16)/365)</f>
        <v>1351.3127711388711</v>
      </c>
      <c r="AI277" s="273">
        <f>AH277*(1+'2. GRI Pricing Inputs'!$D$114)^((AI$16-AH$16)/365)</f>
        <v>1355.6759191521728</v>
      </c>
      <c r="AJ277" s="273">
        <f>AI277*(1+'2. GRI Pricing Inputs'!$D$114)^((AJ$16-AI$16)/365)</f>
        <v>1360.1993060080886</v>
      </c>
      <c r="AK277" s="273">
        <f>AJ277*(1+'2. GRI Pricing Inputs'!$D$114)^((AK$16-AJ$16)/365)</f>
        <v>1364.5911470581084</v>
      </c>
      <c r="AL277" s="273">
        <f>AK277*(1+'2. GRI Pricing Inputs'!$D$114)^((AL$16-AK$16)/365)</f>
        <v>1369.1442807171925</v>
      </c>
      <c r="AM277" s="273">
        <f>AL277*(1+'2. GRI Pricing Inputs'!$D$114)^((AM$16-AL$16)/365)</f>
        <v>1373.7126064916308</v>
      </c>
      <c r="AN277" s="273">
        <f>AM277*(1+'2. GRI Pricing Inputs'!$D$114)^((AN$16-AM$16)/365)</f>
        <v>1378.148079579634</v>
      </c>
      <c r="AO277" s="273">
        <f>AN277*(1+'2. GRI Pricing Inputs'!$D$114)^((AO$16-AN$16)/365)</f>
        <v>1382.7464476856151</v>
      </c>
    </row>
    <row r="278" spans="3:41" ht="12" x14ac:dyDescent="0.2">
      <c r="C278" s="76" t="str">
        <f>'1. Accomodation'!N282</f>
        <v>611W</v>
      </c>
      <c r="D278" s="69" t="str">
        <f>'1. Accomodation'!P282</f>
        <v>2 Bed</v>
      </c>
      <c r="E278" s="69">
        <f>'1. Accomodation'!Q282</f>
        <v>2</v>
      </c>
      <c r="F278" s="77">
        <f>'1. Accomodation'!O282</f>
        <v>667</v>
      </c>
      <c r="G278" s="69">
        <f>'1. Accomodation'!R282</f>
        <v>6</v>
      </c>
      <c r="H278" s="69" t="str">
        <f>'1. Accomodation'!S282</f>
        <v>Courtyard</v>
      </c>
      <c r="I278" s="62"/>
      <c r="K278" s="272">
        <f>IFERROR(INDEX('2. GRI Pricing Inputs'!$C$15:$AI$16,MATCH($K$16,'2. GRI Pricing Inputs'!$C$15:$C$16,0),MATCH(D278,'2. GRI Pricing Inputs'!$C$15:$AI$15,0)),0)</f>
        <v>1110</v>
      </c>
      <c r="L278" s="273">
        <f>IFERROR(INDEX('2. GRI Pricing Inputs'!$C$22:$AI$23,MATCH($L$16,'2. GRI Pricing Inputs'!$C$22:$C$23,0),MATCH(E278,'2. GRI Pricing Inputs'!$C$22:$AI$22,0)),0)</f>
        <v>0</v>
      </c>
      <c r="M278" s="328">
        <f>IF(AND('3. GRI Pricing'!$F278&gt;='2. GRI Pricing Inputs'!$D$33,'3. GRI Pricing'!$F278&lt;='2. GRI Pricing Inputs'!$E$33),'2. GRI Pricing Inputs'!$D$32,IF(AND('3. GRI Pricing'!$F278&gt;='2. GRI Pricing Inputs'!$F$33,'3. GRI Pricing'!$F278&lt;='2. GRI Pricing Inputs'!$G$33),'2. GRI Pricing Inputs'!$F$32,IF(AND('3. GRI Pricing'!$F278&gt;='2. GRI Pricing Inputs'!$H$33,'3. GRI Pricing'!$F278&lt;='2. GRI Pricing Inputs'!$I$33),'2. GRI Pricing Inputs'!$H$32,IF(AND('3. GRI Pricing'!$F278&gt;='2. GRI Pricing Inputs'!$J$33,'3. GRI Pricing'!$F278&lt;='2. GRI Pricing Inputs'!$K$33),'2. GRI Pricing Inputs'!$J$32,IF(AND('3. GRI Pricing'!$F278&gt;='2. GRI Pricing Inputs'!$L$33,'3. GRI Pricing'!$F278&lt;='2. GRI Pricing Inputs'!$M$33),'2. GRI Pricing Inputs'!$L$32,IF(AND('3. GRI Pricing'!$F278&gt;='2. GRI Pricing Inputs'!$N$33,'3. GRI Pricing'!$F278&lt;='2. GRI Pricing Inputs'!$O$33),'2. GRI Pricing Inputs'!$N$32,IF(AND('3. GRI Pricing'!$F278&gt;='2. GRI Pricing Inputs'!$P$33,'3. GRI Pricing'!$F278&lt;='2. GRI Pricing Inputs'!$Q$33),'2. GRI Pricing Inputs'!$P$32,IF(AND('3. GRI Pricing'!$F278&gt;='2. GRI Pricing Inputs'!$R$33,'3. GRI Pricing'!$F278&lt;='2. GRI Pricing Inputs'!$S$33),'2. GRI Pricing Inputs'!$R$32,IF(AND('3. GRI Pricing'!$F278&gt;='2. GRI Pricing Inputs'!$T$33,'3. GRI Pricing'!$F278&lt;='2. GRI Pricing Inputs'!$U$33),'2. GRI Pricing Inputs'!$T$32,IF(AND('3. GRI Pricing'!$F278&gt;='2. GRI Pricing Inputs'!$V$33,'3. GRI Pricing'!$F278&lt;='2. GRI Pricing Inputs'!$W$33),'2. GRI Pricing Inputs'!$V$32,IF(AND('3. GRI Pricing'!$F278&gt;='2. GRI Pricing Inputs'!$X$33,'3. GRI Pricing'!$F278&lt;='2. GRI Pricing Inputs'!$Y$33),'2. GRI Pricing Inputs'!$X$32,IF(AND('3. GRI Pricing'!$F278&gt;='2. GRI Pricing Inputs'!$Z$33,'3. GRI Pricing'!$F278&lt;='2. GRI Pricing Inputs'!$AA$33),'2. GRI Pricing Inputs'!$Z$32,IF(AND('3. GRI Pricing'!$F278&gt;='2. GRI Pricing Inputs'!$AB$33,'3. GRI Pricing'!$F278&lt;='2. GRI Pricing Inputs'!$AC$33),'2. GRI Pricing Inputs'!$AB$32,IF(AND('3. GRI Pricing'!$F278&gt;='2. GRI Pricing Inputs'!$AD$33,'3. GRI Pricing'!$F278&lt;='2. GRI Pricing Inputs'!$AE$33),'2. GRI Pricing Inputs'!$AD$32,IF(AND('3. GRI Pricing'!$F278&gt;='2. GRI Pricing Inputs'!$AF$33,'3. GRI Pricing'!$F278&lt;='2. GRI Pricing Inputs'!$AG$33),'2. GRI Pricing Inputs'!$AF$32,IF(AND('3. GRI Pricing'!$F278&gt;='2. GRI Pricing Inputs'!$AH$33,'3. GRI Pricing'!$F278&lt;='2. GRI Pricing Inputs'!$AI$33),'2. GRI Pricing Inputs'!$AH$32,0))))))))))))))))</f>
        <v>9</v>
      </c>
      <c r="N278" s="273" cm="1">
        <f t="array" ref="N278">IFERROR(INDEX('2. GRI Pricing Inputs'!$C$32:$AI$39,MATCH('3. GRI Pricing'!D278,'2. GRI Pricing Inputs'!$C$32:$C$39,0),(MATCH('3. GRI Pricing'!M278,'2. GRI Pricing Inputs'!$D$32:$AI$32,0)+1)),0)</f>
        <v>30</v>
      </c>
      <c r="O278" s="273">
        <f>IFERROR(INDEX('2. GRI Pricing Inputs'!$C$45:$AI$46,MATCH($O$16,'2. GRI Pricing Inputs'!$C$45:$C$46,0),MATCH(G278,'2. GRI Pricing Inputs'!$C$45:$AI$45,0)),0)</f>
        <v>80</v>
      </c>
      <c r="P278" s="273">
        <f>IFERROR(INDEX('2. GRI Pricing Inputs'!$C$53:$AI$54,MATCH('3. GRI Pricing'!$P$16,'2. GRI Pricing Inputs'!$C$53:$C$54,0),MATCH('3. GRI Pricing'!H278,'2. GRI Pricing Inputs'!$C$53:$AI$53,0)),0)</f>
        <v>25</v>
      </c>
      <c r="Q278" s="273">
        <f>IFERROR(INDEX('2. GRI Pricing Inputs'!$C$60:$AI$61,MATCH('3. GRI Pricing'!$Q$16,'2. GRI Pricing Inputs'!$C$60:$C$61,0),MATCH('1. Accomodation'!T282,'2. GRI Pricing Inputs'!$C$60:$AI$60,0)),0)</f>
        <v>0</v>
      </c>
      <c r="R278" s="273">
        <f>IFERROR(INDEX('2. GRI Pricing Inputs'!$C$67:$AI$68,MATCH('3. GRI Pricing'!$R$16,'2. GRI Pricing Inputs'!$C$67:$C$68,0),MATCH('1. Accomodation'!U282,'2. GRI Pricing Inputs'!$C$67:$AI$67,0)),0)</f>
        <v>0</v>
      </c>
      <c r="S278" s="273">
        <f>IF(D278=0,0,'2. GRI Pricing Inputs'!$AI$75)</f>
        <v>70</v>
      </c>
      <c r="T278" s="273">
        <f>IFERROR(INDEX('2. GRI Pricing Inputs'!$C$82:$AI$83,MATCH('3. GRI Pricing'!$T$16,'2. GRI Pricing Inputs'!$C$82:$C$83,0),MATCH('1. Accomodation'!V282,'2. GRI Pricing Inputs'!$C$82:$AI$82,0)),0)</f>
        <v>0</v>
      </c>
      <c r="U278" s="273">
        <f>IFERROR(INDEX('2. GRI Pricing Inputs'!$C$89:$AI$90,MATCH('3. GRI Pricing'!$U$16,'2. GRI Pricing Inputs'!$C$89:$C$90,0),MATCH('1. Accomodation'!W282,'2. GRI Pricing Inputs'!$C$89:$AI$89,0)),0)</f>
        <v>0</v>
      </c>
      <c r="V278" s="273">
        <f>IFERROR(INDEX('2. GRI Pricing Inputs'!$C$97:$AI$98,MATCH('3. GRI Pricing'!$V$16,'2. GRI Pricing Inputs'!$C$97:$C$98,0),MATCH('1. Accomodation'!X282,'2. GRI Pricing Inputs'!$C$97:$AI$97,0)),0)</f>
        <v>0</v>
      </c>
      <c r="W278" s="273">
        <f>IFERROR(INDEX('2. GRI Pricing Inputs'!$C$104:$AI$105,MATCH('3. GRI Pricing'!$W$16,'2. GRI Pricing Inputs'!$C$104:$C$105,0),MATCH('1. Accomodation'!Y282,'2. GRI Pricing Inputs'!$C$104:$AI$104,0)),0)</f>
        <v>0</v>
      </c>
      <c r="X278" s="274">
        <v>0</v>
      </c>
      <c r="Y278" s="275">
        <f t="shared" si="11"/>
        <v>1315</v>
      </c>
      <c r="Z278" s="276"/>
      <c r="AA278" s="276"/>
      <c r="AB278" s="276"/>
      <c r="AC278" s="272">
        <f>Y278*(1+'2. GRI Pricing Inputs'!$D$114)^(($AC$16-$AB$15)/365)</f>
        <v>1319.3876664263898</v>
      </c>
      <c r="AD278" s="273">
        <f>AC278*(1+'2. GRI Pricing Inputs'!$D$114)^((AD$16-AC$16)/365)</f>
        <v>1323.6477339684818</v>
      </c>
      <c r="AE278" s="273">
        <f>AD278*(1+'2. GRI Pricing Inputs'!$D$114)^((AE$16-AD$16)/365)</f>
        <v>1328.0642546701552</v>
      </c>
      <c r="AF278" s="273">
        <f>AE278*(1+'2. GRI Pricing Inputs'!$D$114)^((AF$16-AE$16)/365)</f>
        <v>1332.4955116605008</v>
      </c>
      <c r="AG278" s="273">
        <f>AF278*(1+'2. GRI Pricing Inputs'!$D$114)^((AG$16-AF$16)/365)</f>
        <v>1336.6542655218448</v>
      </c>
      <c r="AH278" s="273">
        <f>AG278*(1+'2. GRI Pricing Inputs'!$D$114)^((AH$16-AG$16)/365)</f>
        <v>1341.1141841868796</v>
      </c>
      <c r="AI278" s="273">
        <f>AH278*(1+'2. GRI Pricing Inputs'!$D$114)^((AI$16-AH$16)/365)</f>
        <v>1345.4444027812131</v>
      </c>
      <c r="AJ278" s="273">
        <f>AI278*(1+'2. GRI Pricing Inputs'!$D$114)^((AJ$16-AI$16)/365)</f>
        <v>1349.9336508684048</v>
      </c>
      <c r="AK278" s="273">
        <f>AJ278*(1+'2. GRI Pricing Inputs'!$D$114)^((AK$16-AJ$16)/365)</f>
        <v>1354.2923459482358</v>
      </c>
      <c r="AL278" s="273">
        <f>AK278*(1+'2. GRI Pricing Inputs'!$D$114)^((AL$16-AK$16)/365)</f>
        <v>1358.8111163344213</v>
      </c>
      <c r="AM278" s="273">
        <f>AL278*(1+'2. GRI Pricing Inputs'!$D$114)^((AM$16-AL$16)/365)</f>
        <v>1363.3449641784864</v>
      </c>
      <c r="AN278" s="273">
        <f>AM278*(1+'2. GRI Pricing Inputs'!$D$114)^((AN$16-AM$16)/365)</f>
        <v>1367.7469619979011</v>
      </c>
      <c r="AO278" s="273">
        <f>AN278*(1+'2. GRI Pricing Inputs'!$D$114)^((AO$16-AN$16)/365)</f>
        <v>1372.3106254389313</v>
      </c>
    </row>
    <row r="279" spans="3:41" ht="12" x14ac:dyDescent="0.2">
      <c r="C279" s="76" t="str">
        <f>'1. Accomodation'!N283</f>
        <v>612W</v>
      </c>
      <c r="D279" s="69" t="str">
        <f>'1. Accomodation'!P283</f>
        <v>1 Bed</v>
      </c>
      <c r="E279" s="69">
        <f>'1. Accomodation'!Q283</f>
        <v>1</v>
      </c>
      <c r="F279" s="77">
        <f>'1. Accomodation'!O283</f>
        <v>527</v>
      </c>
      <c r="G279" s="69">
        <f>'1. Accomodation'!R283</f>
        <v>6</v>
      </c>
      <c r="H279" s="69" t="str">
        <f>'1. Accomodation'!S283</f>
        <v>Railway Bridge - Higher</v>
      </c>
      <c r="I279" s="62"/>
      <c r="K279" s="272">
        <f>IFERROR(INDEX('2. GRI Pricing Inputs'!$C$15:$AI$16,MATCH($K$16,'2. GRI Pricing Inputs'!$C$15:$C$16,0),MATCH(D279,'2. GRI Pricing Inputs'!$C$15:$AI$15,0)),0)</f>
        <v>845</v>
      </c>
      <c r="L279" s="273">
        <f>IFERROR(INDEX('2. GRI Pricing Inputs'!$C$22:$AI$23,MATCH($L$16,'2. GRI Pricing Inputs'!$C$22:$C$23,0),MATCH(E279,'2. GRI Pricing Inputs'!$C$22:$AI$22,0)),0)</f>
        <v>0</v>
      </c>
      <c r="M279" s="328">
        <f>IF(AND('3. GRI Pricing'!$F279&gt;='2. GRI Pricing Inputs'!$D$33,'3. GRI Pricing'!$F279&lt;='2. GRI Pricing Inputs'!$E$33),'2. GRI Pricing Inputs'!$D$32,IF(AND('3. GRI Pricing'!$F279&gt;='2. GRI Pricing Inputs'!$F$33,'3. GRI Pricing'!$F279&lt;='2. GRI Pricing Inputs'!$G$33),'2. GRI Pricing Inputs'!$F$32,IF(AND('3. GRI Pricing'!$F279&gt;='2. GRI Pricing Inputs'!$H$33,'3. GRI Pricing'!$F279&lt;='2. GRI Pricing Inputs'!$I$33),'2. GRI Pricing Inputs'!$H$32,IF(AND('3. GRI Pricing'!$F279&gt;='2. GRI Pricing Inputs'!$J$33,'3. GRI Pricing'!$F279&lt;='2. GRI Pricing Inputs'!$K$33),'2. GRI Pricing Inputs'!$J$32,IF(AND('3. GRI Pricing'!$F279&gt;='2. GRI Pricing Inputs'!$L$33,'3. GRI Pricing'!$F279&lt;='2. GRI Pricing Inputs'!$M$33),'2. GRI Pricing Inputs'!$L$32,IF(AND('3. GRI Pricing'!$F279&gt;='2. GRI Pricing Inputs'!$N$33,'3. GRI Pricing'!$F279&lt;='2. GRI Pricing Inputs'!$O$33),'2. GRI Pricing Inputs'!$N$32,IF(AND('3. GRI Pricing'!$F279&gt;='2. GRI Pricing Inputs'!$P$33,'3. GRI Pricing'!$F279&lt;='2. GRI Pricing Inputs'!$Q$33),'2. GRI Pricing Inputs'!$P$32,IF(AND('3. GRI Pricing'!$F279&gt;='2. GRI Pricing Inputs'!$R$33,'3. GRI Pricing'!$F279&lt;='2. GRI Pricing Inputs'!$S$33),'2. GRI Pricing Inputs'!$R$32,IF(AND('3. GRI Pricing'!$F279&gt;='2. GRI Pricing Inputs'!$T$33,'3. GRI Pricing'!$F279&lt;='2. GRI Pricing Inputs'!$U$33),'2. GRI Pricing Inputs'!$T$32,IF(AND('3. GRI Pricing'!$F279&gt;='2. GRI Pricing Inputs'!$V$33,'3. GRI Pricing'!$F279&lt;='2. GRI Pricing Inputs'!$W$33),'2. GRI Pricing Inputs'!$V$32,IF(AND('3. GRI Pricing'!$F279&gt;='2. GRI Pricing Inputs'!$X$33,'3. GRI Pricing'!$F279&lt;='2. GRI Pricing Inputs'!$Y$33),'2. GRI Pricing Inputs'!$X$32,IF(AND('3. GRI Pricing'!$F279&gt;='2. GRI Pricing Inputs'!$Z$33,'3. GRI Pricing'!$F279&lt;='2. GRI Pricing Inputs'!$AA$33),'2. GRI Pricing Inputs'!$Z$32,IF(AND('3. GRI Pricing'!$F279&gt;='2. GRI Pricing Inputs'!$AB$33,'3. GRI Pricing'!$F279&lt;='2. GRI Pricing Inputs'!$AC$33),'2. GRI Pricing Inputs'!$AB$32,IF(AND('3. GRI Pricing'!$F279&gt;='2. GRI Pricing Inputs'!$AD$33,'3. GRI Pricing'!$F279&lt;='2. GRI Pricing Inputs'!$AE$33),'2. GRI Pricing Inputs'!$AD$32,IF(AND('3. GRI Pricing'!$F279&gt;='2. GRI Pricing Inputs'!$AF$33,'3. GRI Pricing'!$F279&lt;='2. GRI Pricing Inputs'!$AG$33),'2. GRI Pricing Inputs'!$AF$32,IF(AND('3. GRI Pricing'!$F279&gt;='2. GRI Pricing Inputs'!$AH$33,'3. GRI Pricing'!$F279&lt;='2. GRI Pricing Inputs'!$AI$33),'2. GRI Pricing Inputs'!$AH$32,0))))))))))))))))</f>
        <v>3</v>
      </c>
      <c r="N279" s="273" cm="1">
        <f t="array" ref="N279">IFERROR(INDEX('2. GRI Pricing Inputs'!$C$32:$AI$39,MATCH('3. GRI Pricing'!D279,'2. GRI Pricing Inputs'!$C$32:$C$39,0),(MATCH('3. GRI Pricing'!M279,'2. GRI Pricing Inputs'!$D$32:$AI$32,0)+1)),0)</f>
        <v>20</v>
      </c>
      <c r="O279" s="273">
        <f>IFERROR(INDEX('2. GRI Pricing Inputs'!$C$45:$AI$46,MATCH($O$16,'2. GRI Pricing Inputs'!$C$45:$C$46,0),MATCH(G279,'2. GRI Pricing Inputs'!$C$45:$AI$45,0)),0)</f>
        <v>80</v>
      </c>
      <c r="P279" s="273">
        <f>IFERROR(INDEX('2. GRI Pricing Inputs'!$C$53:$AI$54,MATCH('3. GRI Pricing'!$P$16,'2. GRI Pricing Inputs'!$C$53:$C$54,0),MATCH('3. GRI Pricing'!H279,'2. GRI Pricing Inputs'!$C$53:$AI$53,0)),0)</f>
        <v>30</v>
      </c>
      <c r="Q279" s="273">
        <f>IFERROR(INDEX('2. GRI Pricing Inputs'!$C$60:$AI$61,MATCH('3. GRI Pricing'!$Q$16,'2. GRI Pricing Inputs'!$C$60:$C$61,0),MATCH('1. Accomodation'!T283,'2. GRI Pricing Inputs'!$C$60:$AI$60,0)),0)</f>
        <v>0</v>
      </c>
      <c r="R279" s="273">
        <f>IFERROR(INDEX('2. GRI Pricing Inputs'!$C$67:$AI$68,MATCH('3. GRI Pricing'!$R$16,'2. GRI Pricing Inputs'!$C$67:$C$68,0),MATCH('1. Accomodation'!U283,'2. GRI Pricing Inputs'!$C$67:$AI$67,0)),0)</f>
        <v>0</v>
      </c>
      <c r="S279" s="273">
        <f>IF(D279=0,0,'2. GRI Pricing Inputs'!$AI$75)</f>
        <v>70</v>
      </c>
      <c r="T279" s="273">
        <f>IFERROR(INDEX('2. GRI Pricing Inputs'!$C$82:$AI$83,MATCH('3. GRI Pricing'!$T$16,'2. GRI Pricing Inputs'!$C$82:$C$83,0),MATCH('1. Accomodation'!V283,'2. GRI Pricing Inputs'!$C$82:$AI$82,0)),0)</f>
        <v>0</v>
      </c>
      <c r="U279" s="273">
        <f>IFERROR(INDEX('2. GRI Pricing Inputs'!$C$89:$AI$90,MATCH('3. GRI Pricing'!$U$16,'2. GRI Pricing Inputs'!$C$89:$C$90,0),MATCH('1. Accomodation'!W283,'2. GRI Pricing Inputs'!$C$89:$AI$89,0)),0)</f>
        <v>0</v>
      </c>
      <c r="V279" s="273">
        <f>IFERROR(INDEX('2. GRI Pricing Inputs'!$C$97:$AI$98,MATCH('3. GRI Pricing'!$V$16,'2. GRI Pricing Inputs'!$C$97:$C$98,0),MATCH('1. Accomodation'!X283,'2. GRI Pricing Inputs'!$C$97:$AI$97,0)),0)</f>
        <v>0</v>
      </c>
      <c r="W279" s="273">
        <f>IFERROR(INDEX('2. GRI Pricing Inputs'!$C$104:$AI$105,MATCH('3. GRI Pricing'!$W$16,'2. GRI Pricing Inputs'!$C$104:$C$105,0),MATCH('1. Accomodation'!Y283,'2. GRI Pricing Inputs'!$C$104:$AI$104,0)),0)</f>
        <v>0</v>
      </c>
      <c r="X279" s="274">
        <v>0</v>
      </c>
      <c r="Y279" s="275">
        <f t="shared" si="11"/>
        <v>1045</v>
      </c>
      <c r="Z279" s="276"/>
      <c r="AA279" s="276"/>
      <c r="AB279" s="276"/>
      <c r="AC279" s="272">
        <f>Y279*(1+'2. GRI Pricing Inputs'!$D$114)^(($AC$16-$AB$15)/365)</f>
        <v>1048.4867767418839</v>
      </c>
      <c r="AD279" s="273">
        <f>AC279*(1+'2. GRI Pricing Inputs'!$D$114)^((AD$16-AC$16)/365)</f>
        <v>1051.8721536099342</v>
      </c>
      <c r="AE279" s="273">
        <f>AD279*(1+'2. GRI Pricing Inputs'!$D$114)^((AE$16-AD$16)/365)</f>
        <v>1055.3818601751423</v>
      </c>
      <c r="AF279" s="273">
        <f>AE279*(1+'2. GRI Pricing Inputs'!$D$114)^((AF$16-AE$16)/365)</f>
        <v>1058.9032773271661</v>
      </c>
      <c r="AG279" s="273">
        <f>AF279*(1+'2. GRI Pricing Inputs'!$D$114)^((AG$16-AF$16)/365)</f>
        <v>1062.2081425629867</v>
      </c>
      <c r="AH279" s="273">
        <f>AG279*(1+'2. GRI Pricing Inputs'!$D$114)^((AH$16-AG$16)/365)</f>
        <v>1065.7523364831095</v>
      </c>
      <c r="AI279" s="273">
        <f>AH279*(1+'2. GRI Pricing Inputs'!$D$114)^((AI$16-AH$16)/365)</f>
        <v>1069.1934607652984</v>
      </c>
      <c r="AJ279" s="273">
        <f>AI279*(1+'2. GRI Pricing Inputs'!$D$114)^((AJ$16-AI$16)/365)</f>
        <v>1072.7609620969451</v>
      </c>
      <c r="AK279" s="273">
        <f>AJ279*(1+'2. GRI Pricing Inputs'!$D$114)^((AK$16-AJ$16)/365)</f>
        <v>1076.2247159816777</v>
      </c>
      <c r="AL279" s="273">
        <f>AK279*(1+'2. GRI Pricing Inputs'!$D$114)^((AL$16-AK$16)/365)</f>
        <v>1079.8156779995968</v>
      </c>
      <c r="AM279" s="273">
        <f>AL279*(1+'2. GRI Pricing Inputs'!$D$114)^((AM$16-AL$16)/365)</f>
        <v>1083.4186217235879</v>
      </c>
      <c r="AN279" s="273">
        <f>AM279*(1+'2. GRI Pricing Inputs'!$D$114)^((AN$16-AM$16)/365)</f>
        <v>1086.9167872911073</v>
      </c>
      <c r="AO279" s="273">
        <f>AN279*(1+'2. GRI Pricing Inputs'!$D$114)^((AO$16-AN$16)/365)</f>
        <v>1090.543424778466</v>
      </c>
    </row>
    <row r="280" spans="3:41" ht="12" x14ac:dyDescent="0.2">
      <c r="C280" s="76" t="str">
        <f>'1. Accomodation'!N284</f>
        <v>613W</v>
      </c>
      <c r="D280" s="69" t="str">
        <f>'1. Accomodation'!P284</f>
        <v>3 Bed</v>
      </c>
      <c r="E280" s="69">
        <f>'1. Accomodation'!Q284</f>
        <v>2</v>
      </c>
      <c r="F280" s="77">
        <f>'1. Accomodation'!O284</f>
        <v>840</v>
      </c>
      <c r="G280" s="69">
        <f>'1. Accomodation'!R284</f>
        <v>6</v>
      </c>
      <c r="H280" s="69" t="str">
        <f>'1. Accomodation'!S284</f>
        <v>Railway Bridge - Higher</v>
      </c>
      <c r="I280" s="62"/>
      <c r="K280" s="272">
        <f>IFERROR(INDEX('2. GRI Pricing Inputs'!$C$15:$AI$16,MATCH($K$16,'2. GRI Pricing Inputs'!$C$15:$C$16,0),MATCH(D280,'2. GRI Pricing Inputs'!$C$15:$AI$15,0)),0)</f>
        <v>1485</v>
      </c>
      <c r="L280" s="273">
        <f>IFERROR(INDEX('2. GRI Pricing Inputs'!$C$22:$AI$23,MATCH($L$16,'2. GRI Pricing Inputs'!$C$22:$C$23,0),MATCH(E280,'2. GRI Pricing Inputs'!$C$22:$AI$22,0)),0)</f>
        <v>0</v>
      </c>
      <c r="M280" s="328">
        <f>IF(AND('3. GRI Pricing'!$F280&gt;='2. GRI Pricing Inputs'!$D$33,'3. GRI Pricing'!$F280&lt;='2. GRI Pricing Inputs'!$E$33),'2. GRI Pricing Inputs'!$D$32,IF(AND('3. GRI Pricing'!$F280&gt;='2. GRI Pricing Inputs'!$F$33,'3. GRI Pricing'!$F280&lt;='2. GRI Pricing Inputs'!$G$33),'2. GRI Pricing Inputs'!$F$32,IF(AND('3. GRI Pricing'!$F280&gt;='2. GRI Pricing Inputs'!$H$33,'3. GRI Pricing'!$F280&lt;='2. GRI Pricing Inputs'!$I$33),'2. GRI Pricing Inputs'!$H$32,IF(AND('3. GRI Pricing'!$F280&gt;='2. GRI Pricing Inputs'!$J$33,'3. GRI Pricing'!$F280&lt;='2. GRI Pricing Inputs'!$K$33),'2. GRI Pricing Inputs'!$J$32,IF(AND('3. GRI Pricing'!$F280&gt;='2. GRI Pricing Inputs'!$L$33,'3. GRI Pricing'!$F280&lt;='2. GRI Pricing Inputs'!$M$33),'2. GRI Pricing Inputs'!$L$32,IF(AND('3. GRI Pricing'!$F280&gt;='2. GRI Pricing Inputs'!$N$33,'3. GRI Pricing'!$F280&lt;='2. GRI Pricing Inputs'!$O$33),'2. GRI Pricing Inputs'!$N$32,IF(AND('3. GRI Pricing'!$F280&gt;='2. GRI Pricing Inputs'!$P$33,'3. GRI Pricing'!$F280&lt;='2. GRI Pricing Inputs'!$Q$33),'2. GRI Pricing Inputs'!$P$32,IF(AND('3. GRI Pricing'!$F280&gt;='2. GRI Pricing Inputs'!$R$33,'3. GRI Pricing'!$F280&lt;='2. GRI Pricing Inputs'!$S$33),'2. GRI Pricing Inputs'!$R$32,IF(AND('3. GRI Pricing'!$F280&gt;='2. GRI Pricing Inputs'!$T$33,'3. GRI Pricing'!$F280&lt;='2. GRI Pricing Inputs'!$U$33),'2. GRI Pricing Inputs'!$T$32,IF(AND('3. GRI Pricing'!$F280&gt;='2. GRI Pricing Inputs'!$V$33,'3. GRI Pricing'!$F280&lt;='2. GRI Pricing Inputs'!$W$33),'2. GRI Pricing Inputs'!$V$32,IF(AND('3. GRI Pricing'!$F280&gt;='2. GRI Pricing Inputs'!$X$33,'3. GRI Pricing'!$F280&lt;='2. GRI Pricing Inputs'!$Y$33),'2. GRI Pricing Inputs'!$X$32,IF(AND('3. GRI Pricing'!$F280&gt;='2. GRI Pricing Inputs'!$Z$33,'3. GRI Pricing'!$F280&lt;='2. GRI Pricing Inputs'!$AA$33),'2. GRI Pricing Inputs'!$Z$32,IF(AND('3. GRI Pricing'!$F280&gt;='2. GRI Pricing Inputs'!$AB$33,'3. GRI Pricing'!$F280&lt;='2. GRI Pricing Inputs'!$AC$33),'2. GRI Pricing Inputs'!$AB$32,IF(AND('3. GRI Pricing'!$F280&gt;='2. GRI Pricing Inputs'!$AD$33,'3. GRI Pricing'!$F280&lt;='2. GRI Pricing Inputs'!$AE$33),'2. GRI Pricing Inputs'!$AD$32,IF(AND('3. GRI Pricing'!$F280&gt;='2. GRI Pricing Inputs'!$AF$33,'3. GRI Pricing'!$F280&lt;='2. GRI Pricing Inputs'!$AG$33),'2. GRI Pricing Inputs'!$AF$32,IF(AND('3. GRI Pricing'!$F280&gt;='2. GRI Pricing Inputs'!$AH$33,'3. GRI Pricing'!$F280&lt;='2. GRI Pricing Inputs'!$AI$33),'2. GRI Pricing Inputs'!$AH$32,0))))))))))))))))</f>
        <v>15</v>
      </c>
      <c r="N280" s="273" cm="1">
        <f t="array" ref="N280">IFERROR(INDEX('2. GRI Pricing Inputs'!$C$32:$AI$39,MATCH('3. GRI Pricing'!D280,'2. GRI Pricing Inputs'!$C$32:$C$39,0),(MATCH('3. GRI Pricing'!M280,'2. GRI Pricing Inputs'!$D$32:$AI$32,0)+1)),0)</f>
        <v>70</v>
      </c>
      <c r="O280" s="273">
        <f>IFERROR(INDEX('2. GRI Pricing Inputs'!$C$45:$AI$46,MATCH($O$16,'2. GRI Pricing Inputs'!$C$45:$C$46,0),MATCH(G280,'2. GRI Pricing Inputs'!$C$45:$AI$45,0)),0)</f>
        <v>80</v>
      </c>
      <c r="P280" s="273">
        <f>IFERROR(INDEX('2. GRI Pricing Inputs'!$C$53:$AI$54,MATCH('3. GRI Pricing'!$P$16,'2. GRI Pricing Inputs'!$C$53:$C$54,0),MATCH('3. GRI Pricing'!H280,'2. GRI Pricing Inputs'!$C$53:$AI$53,0)),0)</f>
        <v>30</v>
      </c>
      <c r="Q280" s="273">
        <f>IFERROR(INDEX('2. GRI Pricing Inputs'!$C$60:$AI$61,MATCH('3. GRI Pricing'!$Q$16,'2. GRI Pricing Inputs'!$C$60:$C$61,0),MATCH('1. Accomodation'!T284,'2. GRI Pricing Inputs'!$C$60:$AI$60,0)),0)</f>
        <v>0</v>
      </c>
      <c r="R280" s="273">
        <f>IFERROR(INDEX('2. GRI Pricing Inputs'!$C$67:$AI$68,MATCH('3. GRI Pricing'!$R$16,'2. GRI Pricing Inputs'!$C$67:$C$68,0),MATCH('1. Accomodation'!U284,'2. GRI Pricing Inputs'!$C$67:$AI$67,0)),0)</f>
        <v>0</v>
      </c>
      <c r="S280" s="273">
        <f>IF(D280=0,0,'2. GRI Pricing Inputs'!$AI$75)</f>
        <v>70</v>
      </c>
      <c r="T280" s="273">
        <f>IFERROR(INDEX('2. GRI Pricing Inputs'!$C$82:$AI$83,MATCH('3. GRI Pricing'!$T$16,'2. GRI Pricing Inputs'!$C$82:$C$83,0),MATCH('1. Accomodation'!V284,'2. GRI Pricing Inputs'!$C$82:$AI$82,0)),0)</f>
        <v>0</v>
      </c>
      <c r="U280" s="273">
        <f>IFERROR(INDEX('2. GRI Pricing Inputs'!$C$89:$AI$90,MATCH('3. GRI Pricing'!$U$16,'2. GRI Pricing Inputs'!$C$89:$C$90,0),MATCH('1. Accomodation'!W284,'2. GRI Pricing Inputs'!$C$89:$AI$89,0)),0)</f>
        <v>0</v>
      </c>
      <c r="V280" s="273">
        <f>IFERROR(INDEX('2. GRI Pricing Inputs'!$C$97:$AI$98,MATCH('3. GRI Pricing'!$V$16,'2. GRI Pricing Inputs'!$C$97:$C$98,0),MATCH('1. Accomodation'!X284,'2. GRI Pricing Inputs'!$C$97:$AI$97,0)),0)</f>
        <v>0</v>
      </c>
      <c r="W280" s="273">
        <f>IFERROR(INDEX('2. GRI Pricing Inputs'!$C$104:$AI$105,MATCH('3. GRI Pricing'!$W$16,'2. GRI Pricing Inputs'!$C$104:$C$105,0),MATCH('1. Accomodation'!Y284,'2. GRI Pricing Inputs'!$C$104:$AI$104,0)),0)</f>
        <v>0</v>
      </c>
      <c r="X280" s="274">
        <v>0</v>
      </c>
      <c r="Y280" s="275">
        <f t="shared" si="11"/>
        <v>1735</v>
      </c>
      <c r="Z280" s="276"/>
      <c r="AA280" s="276"/>
      <c r="AB280" s="276"/>
      <c r="AC280" s="272">
        <f>Y280*(1+'2. GRI Pricing Inputs'!$D$114)^(($AC$16-$AB$15)/365)</f>
        <v>1740.7890503800656</v>
      </c>
      <c r="AD280" s="273">
        <f>AC280*(1+'2. GRI Pricing Inputs'!$D$114)^((AD$16-AC$16)/365)</f>
        <v>1746.4097478595559</v>
      </c>
      <c r="AE280" s="273">
        <f>AD280*(1+'2. GRI Pricing Inputs'!$D$114)^((AE$16-AD$16)/365)</f>
        <v>1752.236868329064</v>
      </c>
      <c r="AF280" s="273">
        <f>AE280*(1+'2. GRI Pricing Inputs'!$D$114)^((AF$16-AE$16)/365)</f>
        <v>1758.0834317345773</v>
      </c>
      <c r="AG280" s="273">
        <f>AF280*(1+'2. GRI Pricing Inputs'!$D$114)^((AG$16-AF$16)/365)</f>
        <v>1763.5704567911794</v>
      </c>
      <c r="AH280" s="273">
        <f>AG280*(1+'2. GRI Pricing Inputs'!$D$114)^((AH$16-AG$16)/365)</f>
        <v>1769.454836170522</v>
      </c>
      <c r="AI280" s="273">
        <f>AH280*(1+'2. GRI Pricing Inputs'!$D$114)^((AI$16-AH$16)/365)</f>
        <v>1775.1680903615247</v>
      </c>
      <c r="AJ280" s="273">
        <f>AI280*(1+'2. GRI Pricing Inputs'!$D$114)^((AJ$16-AI$16)/365)</f>
        <v>1781.0911667351199</v>
      </c>
      <c r="AK280" s="273">
        <f>AJ280*(1+'2. GRI Pricing Inputs'!$D$114)^((AK$16-AJ$16)/365)</f>
        <v>1786.8419925628816</v>
      </c>
      <c r="AL280" s="273">
        <f>AK280*(1+'2. GRI Pricing Inputs'!$D$114)^((AL$16-AK$16)/365)</f>
        <v>1792.8040204108145</v>
      </c>
      <c r="AM280" s="273">
        <f>AL280*(1+'2. GRI Pricing Inputs'!$D$114)^((AM$16-AL$16)/365)</f>
        <v>1798.7859413305507</v>
      </c>
      <c r="AN280" s="273">
        <f>AM280*(1+'2. GRI Pricing Inputs'!$D$114)^((AN$16-AM$16)/365)</f>
        <v>1804.5939004306908</v>
      </c>
      <c r="AO280" s="273">
        <f>AN280*(1+'2. GRI Pricing Inputs'!$D$114)^((AO$16-AN$16)/365)</f>
        <v>1810.6151597996547</v>
      </c>
    </row>
    <row r="281" spans="3:41" ht="12" x14ac:dyDescent="0.2">
      <c r="C281" s="76" t="str">
        <f>'1. Accomodation'!N285</f>
        <v>614W</v>
      </c>
      <c r="D281" s="69" t="str">
        <f>'1. Accomodation'!P285</f>
        <v>2 Bed</v>
      </c>
      <c r="E281" s="69">
        <f>'1. Accomodation'!Q285</f>
        <v>2</v>
      </c>
      <c r="F281" s="77">
        <f>'1. Accomodation'!O285</f>
        <v>624</v>
      </c>
      <c r="G281" s="69">
        <f>'1. Accomodation'!R285</f>
        <v>6</v>
      </c>
      <c r="H281" s="69" t="str">
        <f>'1. Accomodation'!S285</f>
        <v>Railway Bridge - Higher</v>
      </c>
      <c r="I281" s="62"/>
      <c r="K281" s="272">
        <f>IFERROR(INDEX('2. GRI Pricing Inputs'!$C$15:$AI$16,MATCH($K$16,'2. GRI Pricing Inputs'!$C$15:$C$16,0),MATCH(D281,'2. GRI Pricing Inputs'!$C$15:$AI$15,0)),0)</f>
        <v>1110</v>
      </c>
      <c r="L281" s="273">
        <f>IFERROR(INDEX('2. GRI Pricing Inputs'!$C$22:$AI$23,MATCH($L$16,'2. GRI Pricing Inputs'!$C$22:$C$23,0),MATCH(E281,'2. GRI Pricing Inputs'!$C$22:$AI$22,0)),0)</f>
        <v>0</v>
      </c>
      <c r="M281" s="328">
        <f>IF(AND('3. GRI Pricing'!$F281&gt;='2. GRI Pricing Inputs'!$D$33,'3. GRI Pricing'!$F281&lt;='2. GRI Pricing Inputs'!$E$33),'2. GRI Pricing Inputs'!$D$32,IF(AND('3. GRI Pricing'!$F281&gt;='2. GRI Pricing Inputs'!$F$33,'3. GRI Pricing'!$F281&lt;='2. GRI Pricing Inputs'!$G$33),'2. GRI Pricing Inputs'!$F$32,IF(AND('3. GRI Pricing'!$F281&gt;='2. GRI Pricing Inputs'!$H$33,'3. GRI Pricing'!$F281&lt;='2. GRI Pricing Inputs'!$I$33),'2. GRI Pricing Inputs'!$H$32,IF(AND('3. GRI Pricing'!$F281&gt;='2. GRI Pricing Inputs'!$J$33,'3. GRI Pricing'!$F281&lt;='2. GRI Pricing Inputs'!$K$33),'2. GRI Pricing Inputs'!$J$32,IF(AND('3. GRI Pricing'!$F281&gt;='2. GRI Pricing Inputs'!$L$33,'3. GRI Pricing'!$F281&lt;='2. GRI Pricing Inputs'!$M$33),'2. GRI Pricing Inputs'!$L$32,IF(AND('3. GRI Pricing'!$F281&gt;='2. GRI Pricing Inputs'!$N$33,'3. GRI Pricing'!$F281&lt;='2. GRI Pricing Inputs'!$O$33),'2. GRI Pricing Inputs'!$N$32,IF(AND('3. GRI Pricing'!$F281&gt;='2. GRI Pricing Inputs'!$P$33,'3. GRI Pricing'!$F281&lt;='2. GRI Pricing Inputs'!$Q$33),'2. GRI Pricing Inputs'!$P$32,IF(AND('3. GRI Pricing'!$F281&gt;='2. GRI Pricing Inputs'!$R$33,'3. GRI Pricing'!$F281&lt;='2. GRI Pricing Inputs'!$S$33),'2. GRI Pricing Inputs'!$R$32,IF(AND('3. GRI Pricing'!$F281&gt;='2. GRI Pricing Inputs'!$T$33,'3. GRI Pricing'!$F281&lt;='2. GRI Pricing Inputs'!$U$33),'2. GRI Pricing Inputs'!$T$32,IF(AND('3. GRI Pricing'!$F281&gt;='2. GRI Pricing Inputs'!$V$33,'3. GRI Pricing'!$F281&lt;='2. GRI Pricing Inputs'!$W$33),'2. GRI Pricing Inputs'!$V$32,IF(AND('3. GRI Pricing'!$F281&gt;='2. GRI Pricing Inputs'!$X$33,'3. GRI Pricing'!$F281&lt;='2. GRI Pricing Inputs'!$Y$33),'2. GRI Pricing Inputs'!$X$32,IF(AND('3. GRI Pricing'!$F281&gt;='2. GRI Pricing Inputs'!$Z$33,'3. GRI Pricing'!$F281&lt;='2. GRI Pricing Inputs'!$AA$33),'2. GRI Pricing Inputs'!$Z$32,IF(AND('3. GRI Pricing'!$F281&gt;='2. GRI Pricing Inputs'!$AB$33,'3. GRI Pricing'!$F281&lt;='2. GRI Pricing Inputs'!$AC$33),'2. GRI Pricing Inputs'!$AB$32,IF(AND('3. GRI Pricing'!$F281&gt;='2. GRI Pricing Inputs'!$AD$33,'3. GRI Pricing'!$F281&lt;='2. GRI Pricing Inputs'!$AE$33),'2. GRI Pricing Inputs'!$AD$32,IF(AND('3. GRI Pricing'!$F281&gt;='2. GRI Pricing Inputs'!$AF$33,'3. GRI Pricing'!$F281&lt;='2. GRI Pricing Inputs'!$AG$33),'2. GRI Pricing Inputs'!$AF$32,IF(AND('3. GRI Pricing'!$F281&gt;='2. GRI Pricing Inputs'!$AH$33,'3. GRI Pricing'!$F281&lt;='2. GRI Pricing Inputs'!$AI$33),'2. GRI Pricing Inputs'!$AH$32,0))))))))))))))))</f>
        <v>7</v>
      </c>
      <c r="N281" s="273" cm="1">
        <f t="array" ref="N281">IFERROR(INDEX('2. GRI Pricing Inputs'!$C$32:$AI$39,MATCH('3. GRI Pricing'!D281,'2. GRI Pricing Inputs'!$C$32:$C$39,0),(MATCH('3. GRI Pricing'!M281,'2. GRI Pricing Inputs'!$D$32:$AI$32,0)+1)),0)</f>
        <v>10</v>
      </c>
      <c r="O281" s="273">
        <f>IFERROR(INDEX('2. GRI Pricing Inputs'!$C$45:$AI$46,MATCH($O$16,'2. GRI Pricing Inputs'!$C$45:$C$46,0),MATCH(G281,'2. GRI Pricing Inputs'!$C$45:$AI$45,0)),0)</f>
        <v>80</v>
      </c>
      <c r="P281" s="273">
        <f>IFERROR(INDEX('2. GRI Pricing Inputs'!$C$53:$AI$54,MATCH('3. GRI Pricing'!$P$16,'2. GRI Pricing Inputs'!$C$53:$C$54,0),MATCH('3. GRI Pricing'!H281,'2. GRI Pricing Inputs'!$C$53:$AI$53,0)),0)</f>
        <v>30</v>
      </c>
      <c r="Q281" s="273">
        <f>IFERROR(INDEX('2. GRI Pricing Inputs'!$C$60:$AI$61,MATCH('3. GRI Pricing'!$Q$16,'2. GRI Pricing Inputs'!$C$60:$C$61,0),MATCH('1. Accomodation'!T285,'2. GRI Pricing Inputs'!$C$60:$AI$60,0)),0)</f>
        <v>0</v>
      </c>
      <c r="R281" s="273">
        <f>IFERROR(INDEX('2. GRI Pricing Inputs'!$C$67:$AI$68,MATCH('3. GRI Pricing'!$R$16,'2. GRI Pricing Inputs'!$C$67:$C$68,0),MATCH('1. Accomodation'!U285,'2. GRI Pricing Inputs'!$C$67:$AI$67,0)),0)</f>
        <v>0</v>
      </c>
      <c r="S281" s="273">
        <f>IF(D281=0,0,'2. GRI Pricing Inputs'!$AI$75)</f>
        <v>70</v>
      </c>
      <c r="T281" s="273">
        <f>IFERROR(INDEX('2. GRI Pricing Inputs'!$C$82:$AI$83,MATCH('3. GRI Pricing'!$T$16,'2. GRI Pricing Inputs'!$C$82:$C$83,0),MATCH('1. Accomodation'!V285,'2. GRI Pricing Inputs'!$C$82:$AI$82,0)),0)</f>
        <v>0</v>
      </c>
      <c r="U281" s="273">
        <f>IFERROR(INDEX('2. GRI Pricing Inputs'!$C$89:$AI$90,MATCH('3. GRI Pricing'!$U$16,'2. GRI Pricing Inputs'!$C$89:$C$90,0),MATCH('1. Accomodation'!W285,'2. GRI Pricing Inputs'!$C$89:$AI$89,0)),0)</f>
        <v>0</v>
      </c>
      <c r="V281" s="273">
        <f>IFERROR(INDEX('2. GRI Pricing Inputs'!$C$97:$AI$98,MATCH('3. GRI Pricing'!$V$16,'2. GRI Pricing Inputs'!$C$97:$C$98,0),MATCH('1. Accomodation'!X285,'2. GRI Pricing Inputs'!$C$97:$AI$97,0)),0)</f>
        <v>0</v>
      </c>
      <c r="W281" s="273">
        <f>IFERROR(INDEX('2. GRI Pricing Inputs'!$C$104:$AI$105,MATCH('3. GRI Pricing'!$W$16,'2. GRI Pricing Inputs'!$C$104:$C$105,0),MATCH('1. Accomodation'!Y285,'2. GRI Pricing Inputs'!$C$104:$AI$104,0)),0)</f>
        <v>0</v>
      </c>
      <c r="X281" s="274">
        <v>0</v>
      </c>
      <c r="Y281" s="275">
        <f t="shared" si="11"/>
        <v>1300</v>
      </c>
      <c r="Z281" s="276"/>
      <c r="AA281" s="276"/>
      <c r="AB281" s="276"/>
      <c r="AC281" s="272">
        <f>Y281*(1+'2. GRI Pricing Inputs'!$D$114)^(($AC$16-$AB$15)/365)</f>
        <v>1304.3376169994729</v>
      </c>
      <c r="AD281" s="273">
        <f>AC281*(1+'2. GRI Pricing Inputs'!$D$114)^((AD$16-AC$16)/365)</f>
        <v>1308.5490906152293</v>
      </c>
      <c r="AE281" s="273">
        <f>AD281*(1+'2. GRI Pricing Inputs'!$D$114)^((AE$16-AD$16)/365)</f>
        <v>1312.9152327537656</v>
      </c>
      <c r="AF281" s="273">
        <f>AE281*(1+'2. GRI Pricing Inputs'!$D$114)^((AF$16-AE$16)/365)</f>
        <v>1317.2959430864269</v>
      </c>
      <c r="AG281" s="273">
        <f>AF281*(1+'2. GRI Pricing Inputs'!$D$114)^((AG$16-AF$16)/365)</f>
        <v>1321.4072586907971</v>
      </c>
      <c r="AH281" s="273">
        <f>AG281*(1+'2. GRI Pricing Inputs'!$D$114)^((AH$16-AG$16)/365)</f>
        <v>1325.8163037588924</v>
      </c>
      <c r="AI281" s="273">
        <f>AH281*(1+'2. GRI Pricing Inputs'!$D$114)^((AI$16-AH$16)/365)</f>
        <v>1330.0971282247733</v>
      </c>
      <c r="AJ281" s="273">
        <f>AI281*(1+'2. GRI Pricing Inputs'!$D$114)^((AJ$16-AI$16)/365)</f>
        <v>1334.5351681588793</v>
      </c>
      <c r="AK281" s="273">
        <f>AJ281*(1+'2. GRI Pricing Inputs'!$D$114)^((AK$16-AJ$16)/365)</f>
        <v>1338.8441442834269</v>
      </c>
      <c r="AL281" s="273">
        <f>AK281*(1+'2. GRI Pricing Inputs'!$D$114)^((AL$16-AK$16)/365)</f>
        <v>1343.3113697602641</v>
      </c>
      <c r="AM281" s="273">
        <f>AL281*(1+'2. GRI Pricing Inputs'!$D$114)^((AM$16-AL$16)/365)</f>
        <v>1347.7935007087697</v>
      </c>
      <c r="AN281" s="273">
        <f>AM281*(1+'2. GRI Pricing Inputs'!$D$114)^((AN$16-AM$16)/365)</f>
        <v>1352.1452856253011</v>
      </c>
      <c r="AO281" s="273">
        <f>AN281*(1+'2. GRI Pricing Inputs'!$D$114)^((AO$16-AN$16)/365)</f>
        <v>1356.6568920689051</v>
      </c>
    </row>
    <row r="282" spans="3:41" ht="12" x14ac:dyDescent="0.2">
      <c r="C282" s="76" t="str">
        <f>'1. Accomodation'!N286</f>
        <v>701W</v>
      </c>
      <c r="D282" s="69" t="str">
        <f>'1. Accomodation'!P286</f>
        <v>3 Bed</v>
      </c>
      <c r="E282" s="69">
        <f>'1. Accomodation'!Q286</f>
        <v>2</v>
      </c>
      <c r="F282" s="77">
        <f>'1. Accomodation'!O286</f>
        <v>840</v>
      </c>
      <c r="G282" s="69">
        <f>'1. Accomodation'!R286</f>
        <v>7</v>
      </c>
      <c r="H282" s="69" t="str">
        <f>'1. Accomodation'!S286</f>
        <v>Railway Bridge - Higher</v>
      </c>
      <c r="I282" s="62"/>
      <c r="K282" s="272">
        <f>IFERROR(INDEX('2. GRI Pricing Inputs'!$C$15:$AI$16,MATCH($K$16,'2. GRI Pricing Inputs'!$C$15:$C$16,0),MATCH(D282,'2. GRI Pricing Inputs'!$C$15:$AI$15,0)),0)</f>
        <v>1485</v>
      </c>
      <c r="L282" s="273">
        <f>IFERROR(INDEX('2. GRI Pricing Inputs'!$C$22:$AI$23,MATCH($L$16,'2. GRI Pricing Inputs'!$C$22:$C$23,0),MATCH(E282,'2. GRI Pricing Inputs'!$C$22:$AI$22,0)),0)</f>
        <v>0</v>
      </c>
      <c r="M282" s="328">
        <f>IF(AND('3. GRI Pricing'!$F282&gt;='2. GRI Pricing Inputs'!$D$33,'3. GRI Pricing'!$F282&lt;='2. GRI Pricing Inputs'!$E$33),'2. GRI Pricing Inputs'!$D$32,IF(AND('3. GRI Pricing'!$F282&gt;='2. GRI Pricing Inputs'!$F$33,'3. GRI Pricing'!$F282&lt;='2. GRI Pricing Inputs'!$G$33),'2. GRI Pricing Inputs'!$F$32,IF(AND('3. GRI Pricing'!$F282&gt;='2. GRI Pricing Inputs'!$H$33,'3. GRI Pricing'!$F282&lt;='2. GRI Pricing Inputs'!$I$33),'2. GRI Pricing Inputs'!$H$32,IF(AND('3. GRI Pricing'!$F282&gt;='2. GRI Pricing Inputs'!$J$33,'3. GRI Pricing'!$F282&lt;='2. GRI Pricing Inputs'!$K$33),'2. GRI Pricing Inputs'!$J$32,IF(AND('3. GRI Pricing'!$F282&gt;='2. GRI Pricing Inputs'!$L$33,'3. GRI Pricing'!$F282&lt;='2. GRI Pricing Inputs'!$M$33),'2. GRI Pricing Inputs'!$L$32,IF(AND('3. GRI Pricing'!$F282&gt;='2. GRI Pricing Inputs'!$N$33,'3. GRI Pricing'!$F282&lt;='2. GRI Pricing Inputs'!$O$33),'2. GRI Pricing Inputs'!$N$32,IF(AND('3. GRI Pricing'!$F282&gt;='2. GRI Pricing Inputs'!$P$33,'3. GRI Pricing'!$F282&lt;='2. GRI Pricing Inputs'!$Q$33),'2. GRI Pricing Inputs'!$P$32,IF(AND('3. GRI Pricing'!$F282&gt;='2. GRI Pricing Inputs'!$R$33,'3. GRI Pricing'!$F282&lt;='2. GRI Pricing Inputs'!$S$33),'2. GRI Pricing Inputs'!$R$32,IF(AND('3. GRI Pricing'!$F282&gt;='2. GRI Pricing Inputs'!$T$33,'3. GRI Pricing'!$F282&lt;='2. GRI Pricing Inputs'!$U$33),'2. GRI Pricing Inputs'!$T$32,IF(AND('3. GRI Pricing'!$F282&gt;='2. GRI Pricing Inputs'!$V$33,'3. GRI Pricing'!$F282&lt;='2. GRI Pricing Inputs'!$W$33),'2. GRI Pricing Inputs'!$V$32,IF(AND('3. GRI Pricing'!$F282&gt;='2. GRI Pricing Inputs'!$X$33,'3. GRI Pricing'!$F282&lt;='2. GRI Pricing Inputs'!$Y$33),'2. GRI Pricing Inputs'!$X$32,IF(AND('3. GRI Pricing'!$F282&gt;='2. GRI Pricing Inputs'!$Z$33,'3. GRI Pricing'!$F282&lt;='2. GRI Pricing Inputs'!$AA$33),'2. GRI Pricing Inputs'!$Z$32,IF(AND('3. GRI Pricing'!$F282&gt;='2. GRI Pricing Inputs'!$AB$33,'3. GRI Pricing'!$F282&lt;='2. GRI Pricing Inputs'!$AC$33),'2. GRI Pricing Inputs'!$AB$32,IF(AND('3. GRI Pricing'!$F282&gt;='2. GRI Pricing Inputs'!$AD$33,'3. GRI Pricing'!$F282&lt;='2. GRI Pricing Inputs'!$AE$33),'2. GRI Pricing Inputs'!$AD$32,IF(AND('3. GRI Pricing'!$F282&gt;='2. GRI Pricing Inputs'!$AF$33,'3. GRI Pricing'!$F282&lt;='2. GRI Pricing Inputs'!$AG$33),'2. GRI Pricing Inputs'!$AF$32,IF(AND('3. GRI Pricing'!$F282&gt;='2. GRI Pricing Inputs'!$AH$33,'3. GRI Pricing'!$F282&lt;='2. GRI Pricing Inputs'!$AI$33),'2. GRI Pricing Inputs'!$AH$32,0))))))))))))))))</f>
        <v>15</v>
      </c>
      <c r="N282" s="273" cm="1">
        <f t="array" ref="N282">IFERROR(INDEX('2. GRI Pricing Inputs'!$C$32:$AI$39,MATCH('3. GRI Pricing'!D282,'2. GRI Pricing Inputs'!$C$32:$C$39,0),(MATCH('3. GRI Pricing'!M282,'2. GRI Pricing Inputs'!$D$32:$AI$32,0)+1)),0)</f>
        <v>70</v>
      </c>
      <c r="O282" s="273">
        <f>IFERROR(INDEX('2. GRI Pricing Inputs'!$C$45:$AI$46,MATCH($O$16,'2. GRI Pricing Inputs'!$C$45:$C$46,0),MATCH(G282,'2. GRI Pricing Inputs'!$C$45:$AI$45,0)),0)</f>
        <v>90</v>
      </c>
      <c r="P282" s="273">
        <f>IFERROR(INDEX('2. GRI Pricing Inputs'!$C$53:$AI$54,MATCH('3. GRI Pricing'!$P$16,'2. GRI Pricing Inputs'!$C$53:$C$54,0),MATCH('3. GRI Pricing'!H282,'2. GRI Pricing Inputs'!$C$53:$AI$53,0)),0)</f>
        <v>30</v>
      </c>
      <c r="Q282" s="273">
        <f>IFERROR(INDEX('2. GRI Pricing Inputs'!$C$60:$AI$61,MATCH('3. GRI Pricing'!$Q$16,'2. GRI Pricing Inputs'!$C$60:$C$61,0),MATCH('1. Accomodation'!T286,'2. GRI Pricing Inputs'!$C$60:$AI$60,0)),0)</f>
        <v>0</v>
      </c>
      <c r="R282" s="273">
        <f>IFERROR(INDEX('2. GRI Pricing Inputs'!$C$67:$AI$68,MATCH('3. GRI Pricing'!$R$16,'2. GRI Pricing Inputs'!$C$67:$C$68,0),MATCH('1. Accomodation'!U286,'2. GRI Pricing Inputs'!$C$67:$AI$67,0)),0)</f>
        <v>0</v>
      </c>
      <c r="S282" s="273">
        <f>IF(D282=0,0,'2. GRI Pricing Inputs'!$AI$75)</f>
        <v>70</v>
      </c>
      <c r="T282" s="273">
        <f>IFERROR(INDEX('2. GRI Pricing Inputs'!$C$82:$AI$83,MATCH('3. GRI Pricing'!$T$16,'2. GRI Pricing Inputs'!$C$82:$C$83,0),MATCH('1. Accomodation'!V286,'2. GRI Pricing Inputs'!$C$82:$AI$82,0)),0)</f>
        <v>-50</v>
      </c>
      <c r="U282" s="273">
        <f>IFERROR(INDEX('2. GRI Pricing Inputs'!$C$89:$AI$90,MATCH('3. GRI Pricing'!$U$16,'2. GRI Pricing Inputs'!$C$89:$C$90,0),MATCH('1. Accomodation'!W286,'2. GRI Pricing Inputs'!$C$89:$AI$89,0)),0)</f>
        <v>0</v>
      </c>
      <c r="V282" s="273">
        <f>IFERROR(INDEX('2. GRI Pricing Inputs'!$C$97:$AI$98,MATCH('3. GRI Pricing'!$V$16,'2. GRI Pricing Inputs'!$C$97:$C$98,0),MATCH('1. Accomodation'!X286,'2. GRI Pricing Inputs'!$C$97:$AI$97,0)),0)</f>
        <v>0</v>
      </c>
      <c r="W282" s="273">
        <f>IFERROR(INDEX('2. GRI Pricing Inputs'!$C$104:$AI$105,MATCH('3. GRI Pricing'!$W$16,'2. GRI Pricing Inputs'!$C$104:$C$105,0),MATCH('1. Accomodation'!Y286,'2. GRI Pricing Inputs'!$C$104:$AI$104,0)),0)</f>
        <v>0</v>
      </c>
      <c r="X282" s="274">
        <v>0</v>
      </c>
      <c r="Y282" s="275">
        <f t="shared" si="11"/>
        <v>1695</v>
      </c>
      <c r="Z282" s="276"/>
      <c r="AA282" s="276"/>
      <c r="AB282" s="276"/>
      <c r="AC282" s="272">
        <f>Y282*(1+'2. GRI Pricing Inputs'!$D$114)^(($AC$16-$AB$15)/365)</f>
        <v>1700.6555852416202</v>
      </c>
      <c r="AD282" s="273">
        <f>AC282*(1+'2. GRI Pricing Inputs'!$D$114)^((AD$16-AC$16)/365)</f>
        <v>1706.1466989175487</v>
      </c>
      <c r="AE282" s="273">
        <f>AD282*(1+'2. GRI Pricing Inputs'!$D$114)^((AE$16-AD$16)/365)</f>
        <v>1711.839476552025</v>
      </c>
      <c r="AF282" s="273">
        <f>AE282*(1+'2. GRI Pricing Inputs'!$D$114)^((AF$16-AE$16)/365)</f>
        <v>1717.5512488703794</v>
      </c>
      <c r="AG282" s="273">
        <f>AF282*(1+'2. GRI Pricing Inputs'!$D$114)^((AG$16-AF$16)/365)</f>
        <v>1722.9117719083854</v>
      </c>
      <c r="AH282" s="273">
        <f>AG282*(1+'2. GRI Pricing Inputs'!$D$114)^((AH$16-AG$16)/365)</f>
        <v>1728.660488362556</v>
      </c>
      <c r="AI282" s="273">
        <f>AH282*(1+'2. GRI Pricing Inputs'!$D$114)^((AI$16-AH$16)/365)</f>
        <v>1734.2420248776855</v>
      </c>
      <c r="AJ282" s="273">
        <f>AI282*(1+'2. GRI Pricing Inputs'!$D$114)^((AJ$16-AI$16)/365)</f>
        <v>1740.0285461763851</v>
      </c>
      <c r="AK282" s="273">
        <f>AJ282*(1+'2. GRI Pricing Inputs'!$D$114)^((AK$16-AJ$16)/365)</f>
        <v>1745.6467881233916</v>
      </c>
      <c r="AL282" s="273">
        <f>AK282*(1+'2. GRI Pricing Inputs'!$D$114)^((AL$16-AK$16)/365)</f>
        <v>1751.4713628797294</v>
      </c>
      <c r="AM282" s="273">
        <f>AL282*(1+'2. GRI Pricing Inputs'!$D$114)^((AM$16-AL$16)/365)</f>
        <v>1757.3153720779733</v>
      </c>
      <c r="AN282" s="273">
        <f>AM282*(1+'2. GRI Pricing Inputs'!$D$114)^((AN$16-AM$16)/365)</f>
        <v>1762.9894301037587</v>
      </c>
      <c r="AO282" s="273">
        <f>AN282*(1+'2. GRI Pricing Inputs'!$D$114)^((AO$16-AN$16)/365)</f>
        <v>1768.8718708129193</v>
      </c>
    </row>
    <row r="283" spans="3:41" ht="12" x14ac:dyDescent="0.2">
      <c r="C283" s="76" t="str">
        <f>'1. Accomodation'!N287</f>
        <v>702W</v>
      </c>
      <c r="D283" s="69" t="str">
        <f>'1. Accomodation'!P287</f>
        <v>1 Bed</v>
      </c>
      <c r="E283" s="69">
        <f>'1. Accomodation'!Q287</f>
        <v>1</v>
      </c>
      <c r="F283" s="77">
        <f>'1. Accomodation'!O287</f>
        <v>495</v>
      </c>
      <c r="G283" s="69">
        <f>'1. Accomodation'!R287</f>
        <v>7</v>
      </c>
      <c r="H283" s="69" t="str">
        <f>'1. Accomodation'!S287</f>
        <v>Cityscape</v>
      </c>
      <c r="I283" s="62"/>
      <c r="K283" s="272">
        <f>IFERROR(INDEX('2. GRI Pricing Inputs'!$C$15:$AI$16,MATCH($K$16,'2. GRI Pricing Inputs'!$C$15:$C$16,0),MATCH(D283,'2. GRI Pricing Inputs'!$C$15:$AI$15,0)),0)</f>
        <v>845</v>
      </c>
      <c r="L283" s="273">
        <f>IFERROR(INDEX('2. GRI Pricing Inputs'!$C$22:$AI$23,MATCH($L$16,'2. GRI Pricing Inputs'!$C$22:$C$23,0),MATCH(E283,'2. GRI Pricing Inputs'!$C$22:$AI$22,0)),0)</f>
        <v>0</v>
      </c>
      <c r="M283" s="328">
        <f>IF(AND('3. GRI Pricing'!$F283&gt;='2. GRI Pricing Inputs'!$D$33,'3. GRI Pricing'!$F283&lt;='2. GRI Pricing Inputs'!$E$33),'2. GRI Pricing Inputs'!$D$32,IF(AND('3. GRI Pricing'!$F283&gt;='2. GRI Pricing Inputs'!$F$33,'3. GRI Pricing'!$F283&lt;='2. GRI Pricing Inputs'!$G$33),'2. GRI Pricing Inputs'!$F$32,IF(AND('3. GRI Pricing'!$F283&gt;='2. GRI Pricing Inputs'!$H$33,'3. GRI Pricing'!$F283&lt;='2. GRI Pricing Inputs'!$I$33),'2. GRI Pricing Inputs'!$H$32,IF(AND('3. GRI Pricing'!$F283&gt;='2. GRI Pricing Inputs'!$J$33,'3. GRI Pricing'!$F283&lt;='2. GRI Pricing Inputs'!$K$33),'2. GRI Pricing Inputs'!$J$32,IF(AND('3. GRI Pricing'!$F283&gt;='2. GRI Pricing Inputs'!$L$33,'3. GRI Pricing'!$F283&lt;='2. GRI Pricing Inputs'!$M$33),'2. GRI Pricing Inputs'!$L$32,IF(AND('3. GRI Pricing'!$F283&gt;='2. GRI Pricing Inputs'!$N$33,'3. GRI Pricing'!$F283&lt;='2. GRI Pricing Inputs'!$O$33),'2. GRI Pricing Inputs'!$N$32,IF(AND('3. GRI Pricing'!$F283&gt;='2. GRI Pricing Inputs'!$P$33,'3. GRI Pricing'!$F283&lt;='2. GRI Pricing Inputs'!$Q$33),'2. GRI Pricing Inputs'!$P$32,IF(AND('3. GRI Pricing'!$F283&gt;='2. GRI Pricing Inputs'!$R$33,'3. GRI Pricing'!$F283&lt;='2. GRI Pricing Inputs'!$S$33),'2. GRI Pricing Inputs'!$R$32,IF(AND('3. GRI Pricing'!$F283&gt;='2. GRI Pricing Inputs'!$T$33,'3. GRI Pricing'!$F283&lt;='2. GRI Pricing Inputs'!$U$33),'2. GRI Pricing Inputs'!$T$32,IF(AND('3. GRI Pricing'!$F283&gt;='2. GRI Pricing Inputs'!$V$33,'3. GRI Pricing'!$F283&lt;='2. GRI Pricing Inputs'!$W$33),'2. GRI Pricing Inputs'!$V$32,IF(AND('3. GRI Pricing'!$F283&gt;='2. GRI Pricing Inputs'!$X$33,'3. GRI Pricing'!$F283&lt;='2. GRI Pricing Inputs'!$Y$33),'2. GRI Pricing Inputs'!$X$32,IF(AND('3. GRI Pricing'!$F283&gt;='2. GRI Pricing Inputs'!$Z$33,'3. GRI Pricing'!$F283&lt;='2. GRI Pricing Inputs'!$AA$33),'2. GRI Pricing Inputs'!$Z$32,IF(AND('3. GRI Pricing'!$F283&gt;='2. GRI Pricing Inputs'!$AB$33,'3. GRI Pricing'!$F283&lt;='2. GRI Pricing Inputs'!$AC$33),'2. GRI Pricing Inputs'!$AB$32,IF(AND('3. GRI Pricing'!$F283&gt;='2. GRI Pricing Inputs'!$AD$33,'3. GRI Pricing'!$F283&lt;='2. GRI Pricing Inputs'!$AE$33),'2. GRI Pricing Inputs'!$AD$32,IF(AND('3. GRI Pricing'!$F283&gt;='2. GRI Pricing Inputs'!$AF$33,'3. GRI Pricing'!$F283&lt;='2. GRI Pricing Inputs'!$AG$33),'2. GRI Pricing Inputs'!$AF$32,IF(AND('3. GRI Pricing'!$F283&gt;='2. GRI Pricing Inputs'!$AH$33,'3. GRI Pricing'!$F283&lt;='2. GRI Pricing Inputs'!$AI$33),'2. GRI Pricing Inputs'!$AH$32,0))))))))))))))))</f>
        <v>2</v>
      </c>
      <c r="N283" s="273" cm="1">
        <f t="array" ref="N283">IFERROR(INDEX('2. GRI Pricing Inputs'!$C$32:$AI$39,MATCH('3. GRI Pricing'!D283,'2. GRI Pricing Inputs'!$C$32:$C$39,0),(MATCH('3. GRI Pricing'!M283,'2. GRI Pricing Inputs'!$D$32:$AI$32,0)+1)),0)</f>
        <v>15</v>
      </c>
      <c r="O283" s="273">
        <f>IFERROR(INDEX('2. GRI Pricing Inputs'!$C$45:$AI$46,MATCH($O$16,'2. GRI Pricing Inputs'!$C$45:$C$46,0),MATCH(G283,'2. GRI Pricing Inputs'!$C$45:$AI$45,0)),0)</f>
        <v>90</v>
      </c>
      <c r="P283" s="273">
        <f>IFERROR(INDEX('2. GRI Pricing Inputs'!$C$53:$AI$54,MATCH('3. GRI Pricing'!$P$16,'2. GRI Pricing Inputs'!$C$53:$C$54,0),MATCH('3. GRI Pricing'!H283,'2. GRI Pricing Inputs'!$C$53:$AI$53,0)),0)</f>
        <v>35</v>
      </c>
      <c r="Q283" s="273">
        <f>IFERROR(INDEX('2. GRI Pricing Inputs'!$C$60:$AI$61,MATCH('3. GRI Pricing'!$Q$16,'2. GRI Pricing Inputs'!$C$60:$C$61,0),MATCH('1. Accomodation'!T287,'2. GRI Pricing Inputs'!$C$60:$AI$60,0)),0)</f>
        <v>0</v>
      </c>
      <c r="R283" s="273">
        <f>IFERROR(INDEX('2. GRI Pricing Inputs'!$C$67:$AI$68,MATCH('3. GRI Pricing'!$R$16,'2. GRI Pricing Inputs'!$C$67:$C$68,0),MATCH('1. Accomodation'!U287,'2. GRI Pricing Inputs'!$C$67:$AI$67,0)),0)</f>
        <v>0</v>
      </c>
      <c r="S283" s="273">
        <f>IF(D283=0,0,'2. GRI Pricing Inputs'!$AI$75)</f>
        <v>70</v>
      </c>
      <c r="T283" s="273">
        <f>IFERROR(INDEX('2. GRI Pricing Inputs'!$C$82:$AI$83,MATCH('3. GRI Pricing'!$T$16,'2. GRI Pricing Inputs'!$C$82:$C$83,0),MATCH('1. Accomodation'!V287,'2. GRI Pricing Inputs'!$C$82:$AI$82,0)),0)</f>
        <v>-50</v>
      </c>
      <c r="U283" s="273">
        <f>IFERROR(INDEX('2. GRI Pricing Inputs'!$C$89:$AI$90,MATCH('3. GRI Pricing'!$U$16,'2. GRI Pricing Inputs'!$C$89:$C$90,0),MATCH('1. Accomodation'!W287,'2. GRI Pricing Inputs'!$C$89:$AI$89,0)),0)</f>
        <v>0</v>
      </c>
      <c r="V283" s="273">
        <f>IFERROR(INDEX('2. GRI Pricing Inputs'!$C$97:$AI$98,MATCH('3. GRI Pricing'!$V$16,'2. GRI Pricing Inputs'!$C$97:$C$98,0),MATCH('1. Accomodation'!X287,'2. GRI Pricing Inputs'!$C$97:$AI$97,0)),0)</f>
        <v>0</v>
      </c>
      <c r="W283" s="273">
        <f>IFERROR(INDEX('2. GRI Pricing Inputs'!$C$104:$AI$105,MATCH('3. GRI Pricing'!$W$16,'2. GRI Pricing Inputs'!$C$104:$C$105,0),MATCH('1. Accomodation'!Y287,'2. GRI Pricing Inputs'!$C$104:$AI$104,0)),0)</f>
        <v>0</v>
      </c>
      <c r="X283" s="274">
        <v>0</v>
      </c>
      <c r="Y283" s="275">
        <f t="shared" si="11"/>
        <v>1005</v>
      </c>
      <c r="Z283" s="276"/>
      <c r="AA283" s="276"/>
      <c r="AB283" s="276"/>
      <c r="AC283" s="272">
        <f>Y283*(1+'2. GRI Pricing Inputs'!$D$114)^(($AC$16-$AB$15)/365)</f>
        <v>1008.3533116034386</v>
      </c>
      <c r="AD283" s="273">
        <f>AC283*(1+'2. GRI Pricing Inputs'!$D$114)^((AD$16-AC$16)/365)</f>
        <v>1011.6091046679271</v>
      </c>
      <c r="AE283" s="273">
        <f>AD283*(1+'2. GRI Pricing Inputs'!$D$114)^((AE$16-AD$16)/365)</f>
        <v>1014.9844683981033</v>
      </c>
      <c r="AF283" s="273">
        <f>AE283*(1+'2. GRI Pricing Inputs'!$D$114)^((AF$16-AE$16)/365)</f>
        <v>1018.3710944629684</v>
      </c>
      <c r="AG283" s="273">
        <f>AF283*(1+'2. GRI Pricing Inputs'!$D$114)^((AG$16-AF$16)/365)</f>
        <v>1021.5494576801931</v>
      </c>
      <c r="AH283" s="273">
        <f>AG283*(1+'2. GRI Pricing Inputs'!$D$114)^((AH$16-AG$16)/365)</f>
        <v>1024.9579886751437</v>
      </c>
      <c r="AI283" s="273">
        <f>AH283*(1+'2. GRI Pricing Inputs'!$D$114)^((AI$16-AH$16)/365)</f>
        <v>1028.2673952814594</v>
      </c>
      <c r="AJ283" s="273">
        <f>AI283*(1+'2. GRI Pricing Inputs'!$D$114)^((AJ$16-AI$16)/365)</f>
        <v>1031.6983415382106</v>
      </c>
      <c r="AK283" s="273">
        <f>AJ283*(1+'2. GRI Pricing Inputs'!$D$114)^((AK$16-AJ$16)/365)</f>
        <v>1035.0295115421877</v>
      </c>
      <c r="AL283" s="273">
        <f>AK283*(1+'2. GRI Pricing Inputs'!$D$114)^((AL$16-AK$16)/365)</f>
        <v>1038.483020468512</v>
      </c>
      <c r="AM283" s="273">
        <f>AL283*(1+'2. GRI Pricing Inputs'!$D$114)^((AM$16-AL$16)/365)</f>
        <v>1041.9480524710104</v>
      </c>
      <c r="AN283" s="273">
        <f>AM283*(1+'2. GRI Pricing Inputs'!$D$114)^((AN$16-AM$16)/365)</f>
        <v>1045.3123169641751</v>
      </c>
      <c r="AO283" s="273">
        <f>AN283*(1+'2. GRI Pricing Inputs'!$D$114)^((AO$16-AN$16)/365)</f>
        <v>1048.8001357917306</v>
      </c>
    </row>
    <row r="284" spans="3:41" ht="12" x14ac:dyDescent="0.2">
      <c r="C284" s="76" t="str">
        <f>'1. Accomodation'!N288</f>
        <v>703W</v>
      </c>
      <c r="D284" s="69" t="str">
        <f>'1. Accomodation'!P288</f>
        <v>1 Bed</v>
      </c>
      <c r="E284" s="69">
        <f>'1. Accomodation'!Q288</f>
        <v>1</v>
      </c>
      <c r="F284" s="77">
        <f>'1. Accomodation'!O288</f>
        <v>506</v>
      </c>
      <c r="G284" s="69">
        <f>'1. Accomodation'!R288</f>
        <v>7</v>
      </c>
      <c r="H284" s="69" t="str">
        <f>'1. Accomodation'!S288</f>
        <v>Railway Bridge - Higher</v>
      </c>
      <c r="I284" s="62"/>
      <c r="K284" s="272">
        <f>IFERROR(INDEX('2. GRI Pricing Inputs'!$C$15:$AI$16,MATCH($K$16,'2. GRI Pricing Inputs'!$C$15:$C$16,0),MATCH(D284,'2. GRI Pricing Inputs'!$C$15:$AI$15,0)),0)</f>
        <v>845</v>
      </c>
      <c r="L284" s="273">
        <f>IFERROR(INDEX('2. GRI Pricing Inputs'!$C$22:$AI$23,MATCH($L$16,'2. GRI Pricing Inputs'!$C$22:$C$23,0),MATCH(E284,'2. GRI Pricing Inputs'!$C$22:$AI$22,0)),0)</f>
        <v>0</v>
      </c>
      <c r="M284" s="328">
        <f>IF(AND('3. GRI Pricing'!$F284&gt;='2. GRI Pricing Inputs'!$D$33,'3. GRI Pricing'!$F284&lt;='2. GRI Pricing Inputs'!$E$33),'2. GRI Pricing Inputs'!$D$32,IF(AND('3. GRI Pricing'!$F284&gt;='2. GRI Pricing Inputs'!$F$33,'3. GRI Pricing'!$F284&lt;='2. GRI Pricing Inputs'!$G$33),'2. GRI Pricing Inputs'!$F$32,IF(AND('3. GRI Pricing'!$F284&gt;='2. GRI Pricing Inputs'!$H$33,'3. GRI Pricing'!$F284&lt;='2. GRI Pricing Inputs'!$I$33),'2. GRI Pricing Inputs'!$H$32,IF(AND('3. GRI Pricing'!$F284&gt;='2. GRI Pricing Inputs'!$J$33,'3. GRI Pricing'!$F284&lt;='2. GRI Pricing Inputs'!$K$33),'2. GRI Pricing Inputs'!$J$32,IF(AND('3. GRI Pricing'!$F284&gt;='2. GRI Pricing Inputs'!$L$33,'3. GRI Pricing'!$F284&lt;='2. GRI Pricing Inputs'!$M$33),'2. GRI Pricing Inputs'!$L$32,IF(AND('3. GRI Pricing'!$F284&gt;='2. GRI Pricing Inputs'!$N$33,'3. GRI Pricing'!$F284&lt;='2. GRI Pricing Inputs'!$O$33),'2. GRI Pricing Inputs'!$N$32,IF(AND('3. GRI Pricing'!$F284&gt;='2. GRI Pricing Inputs'!$P$33,'3. GRI Pricing'!$F284&lt;='2. GRI Pricing Inputs'!$Q$33),'2. GRI Pricing Inputs'!$P$32,IF(AND('3. GRI Pricing'!$F284&gt;='2. GRI Pricing Inputs'!$R$33,'3. GRI Pricing'!$F284&lt;='2. GRI Pricing Inputs'!$S$33),'2. GRI Pricing Inputs'!$R$32,IF(AND('3. GRI Pricing'!$F284&gt;='2. GRI Pricing Inputs'!$T$33,'3. GRI Pricing'!$F284&lt;='2. GRI Pricing Inputs'!$U$33),'2. GRI Pricing Inputs'!$T$32,IF(AND('3. GRI Pricing'!$F284&gt;='2. GRI Pricing Inputs'!$V$33,'3. GRI Pricing'!$F284&lt;='2. GRI Pricing Inputs'!$W$33),'2. GRI Pricing Inputs'!$V$32,IF(AND('3. GRI Pricing'!$F284&gt;='2. GRI Pricing Inputs'!$X$33,'3. GRI Pricing'!$F284&lt;='2. GRI Pricing Inputs'!$Y$33),'2. GRI Pricing Inputs'!$X$32,IF(AND('3. GRI Pricing'!$F284&gt;='2. GRI Pricing Inputs'!$Z$33,'3. GRI Pricing'!$F284&lt;='2. GRI Pricing Inputs'!$AA$33),'2. GRI Pricing Inputs'!$Z$32,IF(AND('3. GRI Pricing'!$F284&gt;='2. GRI Pricing Inputs'!$AB$33,'3. GRI Pricing'!$F284&lt;='2. GRI Pricing Inputs'!$AC$33),'2. GRI Pricing Inputs'!$AB$32,IF(AND('3. GRI Pricing'!$F284&gt;='2. GRI Pricing Inputs'!$AD$33,'3. GRI Pricing'!$F284&lt;='2. GRI Pricing Inputs'!$AE$33),'2. GRI Pricing Inputs'!$AD$32,IF(AND('3. GRI Pricing'!$F284&gt;='2. GRI Pricing Inputs'!$AF$33,'3. GRI Pricing'!$F284&lt;='2. GRI Pricing Inputs'!$AG$33),'2. GRI Pricing Inputs'!$AF$32,IF(AND('3. GRI Pricing'!$F284&gt;='2. GRI Pricing Inputs'!$AH$33,'3. GRI Pricing'!$F284&lt;='2. GRI Pricing Inputs'!$AI$33),'2. GRI Pricing Inputs'!$AH$32,0))))))))))))))))</f>
        <v>2</v>
      </c>
      <c r="N284" s="273" cm="1">
        <f t="array" ref="N284">IFERROR(INDEX('2. GRI Pricing Inputs'!$C$32:$AI$39,MATCH('3. GRI Pricing'!D284,'2. GRI Pricing Inputs'!$C$32:$C$39,0),(MATCH('3. GRI Pricing'!M284,'2. GRI Pricing Inputs'!$D$32:$AI$32,0)+1)),0)</f>
        <v>15</v>
      </c>
      <c r="O284" s="273">
        <f>IFERROR(INDEX('2. GRI Pricing Inputs'!$C$45:$AI$46,MATCH($O$16,'2. GRI Pricing Inputs'!$C$45:$C$46,0),MATCH(G284,'2. GRI Pricing Inputs'!$C$45:$AI$45,0)),0)</f>
        <v>90</v>
      </c>
      <c r="P284" s="273">
        <f>IFERROR(INDEX('2. GRI Pricing Inputs'!$C$53:$AI$54,MATCH('3. GRI Pricing'!$P$16,'2. GRI Pricing Inputs'!$C$53:$C$54,0),MATCH('3. GRI Pricing'!H284,'2. GRI Pricing Inputs'!$C$53:$AI$53,0)),0)</f>
        <v>30</v>
      </c>
      <c r="Q284" s="273">
        <f>IFERROR(INDEX('2. GRI Pricing Inputs'!$C$60:$AI$61,MATCH('3. GRI Pricing'!$Q$16,'2. GRI Pricing Inputs'!$C$60:$C$61,0),MATCH('1. Accomodation'!T288,'2. GRI Pricing Inputs'!$C$60:$AI$60,0)),0)</f>
        <v>0</v>
      </c>
      <c r="R284" s="273">
        <f>IFERROR(INDEX('2. GRI Pricing Inputs'!$C$67:$AI$68,MATCH('3. GRI Pricing'!$R$16,'2. GRI Pricing Inputs'!$C$67:$C$68,0),MATCH('1. Accomodation'!U288,'2. GRI Pricing Inputs'!$C$67:$AI$67,0)),0)</f>
        <v>0</v>
      </c>
      <c r="S284" s="273">
        <f>IF(D284=0,0,'2. GRI Pricing Inputs'!$AI$75)</f>
        <v>70</v>
      </c>
      <c r="T284" s="273">
        <f>IFERROR(INDEX('2. GRI Pricing Inputs'!$C$82:$AI$83,MATCH('3. GRI Pricing'!$T$16,'2. GRI Pricing Inputs'!$C$82:$C$83,0),MATCH('1. Accomodation'!V288,'2. GRI Pricing Inputs'!$C$82:$AI$82,0)),0)</f>
        <v>-50</v>
      </c>
      <c r="U284" s="273">
        <f>IFERROR(INDEX('2. GRI Pricing Inputs'!$C$89:$AI$90,MATCH('3. GRI Pricing'!$U$16,'2. GRI Pricing Inputs'!$C$89:$C$90,0),MATCH('1. Accomodation'!W288,'2. GRI Pricing Inputs'!$C$89:$AI$89,0)),0)</f>
        <v>0</v>
      </c>
      <c r="V284" s="273">
        <f>IFERROR(INDEX('2. GRI Pricing Inputs'!$C$97:$AI$98,MATCH('3. GRI Pricing'!$V$16,'2. GRI Pricing Inputs'!$C$97:$C$98,0),MATCH('1. Accomodation'!X288,'2. GRI Pricing Inputs'!$C$97:$AI$97,0)),0)</f>
        <v>0</v>
      </c>
      <c r="W284" s="273">
        <f>IFERROR(INDEX('2. GRI Pricing Inputs'!$C$104:$AI$105,MATCH('3. GRI Pricing'!$W$16,'2. GRI Pricing Inputs'!$C$104:$C$105,0),MATCH('1. Accomodation'!Y288,'2. GRI Pricing Inputs'!$C$104:$AI$104,0)),0)</f>
        <v>0</v>
      </c>
      <c r="X284" s="274">
        <v>0</v>
      </c>
      <c r="Y284" s="275">
        <f t="shared" si="11"/>
        <v>1000</v>
      </c>
      <c r="Z284" s="276"/>
      <c r="AA284" s="276"/>
      <c r="AB284" s="276"/>
      <c r="AC284" s="272">
        <f>Y284*(1+'2. GRI Pricing Inputs'!$D$114)^(($AC$16-$AB$15)/365)</f>
        <v>1003.3366284611329</v>
      </c>
      <c r="AD284" s="273">
        <f>AC284*(1+'2. GRI Pricing Inputs'!$D$114)^((AD$16-AC$16)/365)</f>
        <v>1006.5762235501763</v>
      </c>
      <c r="AE284" s="273">
        <f>AD284*(1+'2. GRI Pricing Inputs'!$D$114)^((AE$16-AD$16)/365)</f>
        <v>1009.9347944259736</v>
      </c>
      <c r="AF284" s="273">
        <f>AE284*(1+'2. GRI Pricing Inputs'!$D$114)^((AF$16-AE$16)/365)</f>
        <v>1013.3045716049437</v>
      </c>
      <c r="AG284" s="273">
        <f>AF284*(1+'2. GRI Pricing Inputs'!$D$114)^((AG$16-AF$16)/365)</f>
        <v>1016.467122069844</v>
      </c>
      <c r="AH284" s="273">
        <f>AG284*(1+'2. GRI Pricing Inputs'!$D$114)^((AH$16-AG$16)/365)</f>
        <v>1019.8586951991481</v>
      </c>
      <c r="AI284" s="273">
        <f>AH284*(1+'2. GRI Pricing Inputs'!$D$114)^((AI$16-AH$16)/365)</f>
        <v>1023.1516370959796</v>
      </c>
      <c r="AJ284" s="273">
        <f>AI284*(1+'2. GRI Pricing Inputs'!$D$114)^((AJ$16-AI$16)/365)</f>
        <v>1026.5655139683688</v>
      </c>
      <c r="AK284" s="273">
        <f>AJ284*(1+'2. GRI Pricing Inputs'!$D$114)^((AK$16-AJ$16)/365)</f>
        <v>1029.8801109872516</v>
      </c>
      <c r="AL284" s="273">
        <f>AK284*(1+'2. GRI Pricing Inputs'!$D$114)^((AL$16-AK$16)/365)</f>
        <v>1033.3164382771263</v>
      </c>
      <c r="AM284" s="273">
        <f>AL284*(1+'2. GRI Pricing Inputs'!$D$114)^((AM$16-AL$16)/365)</f>
        <v>1036.7642313144383</v>
      </c>
      <c r="AN284" s="273">
        <f>AM284*(1+'2. GRI Pricing Inputs'!$D$114)^((AN$16-AM$16)/365)</f>
        <v>1040.1117581733088</v>
      </c>
      <c r="AO284" s="273">
        <f>AN284*(1+'2. GRI Pricing Inputs'!$D$114)^((AO$16-AN$16)/365)</f>
        <v>1043.5822246683888</v>
      </c>
    </row>
    <row r="285" spans="3:41" ht="12" x14ac:dyDescent="0.2">
      <c r="C285" s="76" t="str">
        <f>'1. Accomodation'!N289</f>
        <v>704W</v>
      </c>
      <c r="D285" s="69" t="str">
        <f>'1. Accomodation'!P289</f>
        <v>2 Bed</v>
      </c>
      <c r="E285" s="69">
        <f>'1. Accomodation'!Q289</f>
        <v>2</v>
      </c>
      <c r="F285" s="77">
        <f>'1. Accomodation'!O289</f>
        <v>624</v>
      </c>
      <c r="G285" s="69">
        <f>'1. Accomodation'!R289</f>
        <v>7</v>
      </c>
      <c r="H285" s="69" t="str">
        <f>'1. Accomodation'!S289</f>
        <v>Railway Bridge - Higher</v>
      </c>
      <c r="I285" s="62"/>
      <c r="K285" s="272">
        <f>IFERROR(INDEX('2. GRI Pricing Inputs'!$C$15:$AI$16,MATCH($K$16,'2. GRI Pricing Inputs'!$C$15:$C$16,0),MATCH(D285,'2. GRI Pricing Inputs'!$C$15:$AI$15,0)),0)</f>
        <v>1110</v>
      </c>
      <c r="L285" s="273">
        <f>IFERROR(INDEX('2. GRI Pricing Inputs'!$C$22:$AI$23,MATCH($L$16,'2. GRI Pricing Inputs'!$C$22:$C$23,0),MATCH(E285,'2. GRI Pricing Inputs'!$C$22:$AI$22,0)),0)</f>
        <v>0</v>
      </c>
      <c r="M285" s="328">
        <f>IF(AND('3. GRI Pricing'!$F285&gt;='2. GRI Pricing Inputs'!$D$33,'3. GRI Pricing'!$F285&lt;='2. GRI Pricing Inputs'!$E$33),'2. GRI Pricing Inputs'!$D$32,IF(AND('3. GRI Pricing'!$F285&gt;='2. GRI Pricing Inputs'!$F$33,'3. GRI Pricing'!$F285&lt;='2. GRI Pricing Inputs'!$G$33),'2. GRI Pricing Inputs'!$F$32,IF(AND('3. GRI Pricing'!$F285&gt;='2. GRI Pricing Inputs'!$H$33,'3. GRI Pricing'!$F285&lt;='2. GRI Pricing Inputs'!$I$33),'2. GRI Pricing Inputs'!$H$32,IF(AND('3. GRI Pricing'!$F285&gt;='2. GRI Pricing Inputs'!$J$33,'3. GRI Pricing'!$F285&lt;='2. GRI Pricing Inputs'!$K$33),'2. GRI Pricing Inputs'!$J$32,IF(AND('3. GRI Pricing'!$F285&gt;='2. GRI Pricing Inputs'!$L$33,'3. GRI Pricing'!$F285&lt;='2. GRI Pricing Inputs'!$M$33),'2. GRI Pricing Inputs'!$L$32,IF(AND('3. GRI Pricing'!$F285&gt;='2. GRI Pricing Inputs'!$N$33,'3. GRI Pricing'!$F285&lt;='2. GRI Pricing Inputs'!$O$33),'2. GRI Pricing Inputs'!$N$32,IF(AND('3. GRI Pricing'!$F285&gt;='2. GRI Pricing Inputs'!$P$33,'3. GRI Pricing'!$F285&lt;='2. GRI Pricing Inputs'!$Q$33),'2. GRI Pricing Inputs'!$P$32,IF(AND('3. GRI Pricing'!$F285&gt;='2. GRI Pricing Inputs'!$R$33,'3. GRI Pricing'!$F285&lt;='2. GRI Pricing Inputs'!$S$33),'2. GRI Pricing Inputs'!$R$32,IF(AND('3. GRI Pricing'!$F285&gt;='2. GRI Pricing Inputs'!$T$33,'3. GRI Pricing'!$F285&lt;='2. GRI Pricing Inputs'!$U$33),'2. GRI Pricing Inputs'!$T$32,IF(AND('3. GRI Pricing'!$F285&gt;='2. GRI Pricing Inputs'!$V$33,'3. GRI Pricing'!$F285&lt;='2. GRI Pricing Inputs'!$W$33),'2. GRI Pricing Inputs'!$V$32,IF(AND('3. GRI Pricing'!$F285&gt;='2. GRI Pricing Inputs'!$X$33,'3. GRI Pricing'!$F285&lt;='2. GRI Pricing Inputs'!$Y$33),'2. GRI Pricing Inputs'!$X$32,IF(AND('3. GRI Pricing'!$F285&gt;='2. GRI Pricing Inputs'!$Z$33,'3. GRI Pricing'!$F285&lt;='2. GRI Pricing Inputs'!$AA$33),'2. GRI Pricing Inputs'!$Z$32,IF(AND('3. GRI Pricing'!$F285&gt;='2. GRI Pricing Inputs'!$AB$33,'3. GRI Pricing'!$F285&lt;='2. GRI Pricing Inputs'!$AC$33),'2. GRI Pricing Inputs'!$AB$32,IF(AND('3. GRI Pricing'!$F285&gt;='2. GRI Pricing Inputs'!$AD$33,'3. GRI Pricing'!$F285&lt;='2. GRI Pricing Inputs'!$AE$33),'2. GRI Pricing Inputs'!$AD$32,IF(AND('3. GRI Pricing'!$F285&gt;='2. GRI Pricing Inputs'!$AF$33,'3. GRI Pricing'!$F285&lt;='2. GRI Pricing Inputs'!$AG$33),'2. GRI Pricing Inputs'!$AF$32,IF(AND('3. GRI Pricing'!$F285&gt;='2. GRI Pricing Inputs'!$AH$33,'3. GRI Pricing'!$F285&lt;='2. GRI Pricing Inputs'!$AI$33),'2. GRI Pricing Inputs'!$AH$32,0))))))))))))))))</f>
        <v>7</v>
      </c>
      <c r="N285" s="273" cm="1">
        <f t="array" ref="N285">IFERROR(INDEX('2. GRI Pricing Inputs'!$C$32:$AI$39,MATCH('3. GRI Pricing'!D285,'2. GRI Pricing Inputs'!$C$32:$C$39,0),(MATCH('3. GRI Pricing'!M285,'2. GRI Pricing Inputs'!$D$32:$AI$32,0)+1)),0)</f>
        <v>10</v>
      </c>
      <c r="O285" s="273">
        <f>IFERROR(INDEX('2. GRI Pricing Inputs'!$C$45:$AI$46,MATCH($O$16,'2. GRI Pricing Inputs'!$C$45:$C$46,0),MATCH(G285,'2. GRI Pricing Inputs'!$C$45:$AI$45,0)),0)</f>
        <v>90</v>
      </c>
      <c r="P285" s="273">
        <f>IFERROR(INDEX('2. GRI Pricing Inputs'!$C$53:$AI$54,MATCH('3. GRI Pricing'!$P$16,'2. GRI Pricing Inputs'!$C$53:$C$54,0),MATCH('3. GRI Pricing'!H285,'2. GRI Pricing Inputs'!$C$53:$AI$53,0)),0)</f>
        <v>30</v>
      </c>
      <c r="Q285" s="273">
        <f>IFERROR(INDEX('2. GRI Pricing Inputs'!$C$60:$AI$61,MATCH('3. GRI Pricing'!$Q$16,'2. GRI Pricing Inputs'!$C$60:$C$61,0),MATCH('1. Accomodation'!T289,'2. GRI Pricing Inputs'!$C$60:$AI$60,0)),0)</f>
        <v>0</v>
      </c>
      <c r="R285" s="273">
        <f>IFERROR(INDEX('2. GRI Pricing Inputs'!$C$67:$AI$68,MATCH('3. GRI Pricing'!$R$16,'2. GRI Pricing Inputs'!$C$67:$C$68,0),MATCH('1. Accomodation'!U289,'2. GRI Pricing Inputs'!$C$67:$AI$67,0)),0)</f>
        <v>0</v>
      </c>
      <c r="S285" s="273">
        <f>IF(D285=0,0,'2. GRI Pricing Inputs'!$AI$75)</f>
        <v>70</v>
      </c>
      <c r="T285" s="273">
        <f>IFERROR(INDEX('2. GRI Pricing Inputs'!$C$82:$AI$83,MATCH('3. GRI Pricing'!$T$16,'2. GRI Pricing Inputs'!$C$82:$C$83,0),MATCH('1. Accomodation'!V289,'2. GRI Pricing Inputs'!$C$82:$AI$82,0)),0)</f>
        <v>-50</v>
      </c>
      <c r="U285" s="273">
        <f>IFERROR(INDEX('2. GRI Pricing Inputs'!$C$89:$AI$90,MATCH('3. GRI Pricing'!$U$16,'2. GRI Pricing Inputs'!$C$89:$C$90,0),MATCH('1. Accomodation'!W289,'2. GRI Pricing Inputs'!$C$89:$AI$89,0)),0)</f>
        <v>0</v>
      </c>
      <c r="V285" s="273">
        <f>IFERROR(INDEX('2. GRI Pricing Inputs'!$C$97:$AI$98,MATCH('3. GRI Pricing'!$V$16,'2. GRI Pricing Inputs'!$C$97:$C$98,0),MATCH('1. Accomodation'!X289,'2. GRI Pricing Inputs'!$C$97:$AI$97,0)),0)</f>
        <v>0</v>
      </c>
      <c r="W285" s="273">
        <f>IFERROR(INDEX('2. GRI Pricing Inputs'!$C$104:$AI$105,MATCH('3. GRI Pricing'!$W$16,'2. GRI Pricing Inputs'!$C$104:$C$105,0),MATCH('1. Accomodation'!Y289,'2. GRI Pricing Inputs'!$C$104:$AI$104,0)),0)</f>
        <v>0</v>
      </c>
      <c r="X285" s="274">
        <v>0</v>
      </c>
      <c r="Y285" s="275">
        <f t="shared" si="11"/>
        <v>1260</v>
      </c>
      <c r="Z285" s="276"/>
      <c r="AA285" s="276"/>
      <c r="AB285" s="276"/>
      <c r="AC285" s="272">
        <f>Y285*(1+'2. GRI Pricing Inputs'!$D$114)^(($AC$16-$AB$15)/365)</f>
        <v>1264.2041518610274</v>
      </c>
      <c r="AD285" s="273">
        <f>AC285*(1+'2. GRI Pricing Inputs'!$D$114)^((AD$16-AC$16)/365)</f>
        <v>1268.2860416732221</v>
      </c>
      <c r="AE285" s="273">
        <f>AD285*(1+'2. GRI Pricing Inputs'!$D$114)^((AE$16-AD$16)/365)</f>
        <v>1272.5178409767266</v>
      </c>
      <c r="AF285" s="273">
        <f>AE285*(1+'2. GRI Pricing Inputs'!$D$114)^((AF$16-AE$16)/365)</f>
        <v>1276.7637602222289</v>
      </c>
      <c r="AG285" s="273">
        <f>AF285*(1+'2. GRI Pricing Inputs'!$D$114)^((AG$16-AF$16)/365)</f>
        <v>1280.7485738080034</v>
      </c>
      <c r="AH285" s="273">
        <f>AG285*(1+'2. GRI Pricing Inputs'!$D$114)^((AH$16-AG$16)/365)</f>
        <v>1285.0219559509264</v>
      </c>
      <c r="AI285" s="273">
        <f>AH285*(1+'2. GRI Pricing Inputs'!$D$114)^((AI$16-AH$16)/365)</f>
        <v>1289.1710627409341</v>
      </c>
      <c r="AJ285" s="273">
        <f>AI285*(1+'2. GRI Pricing Inputs'!$D$114)^((AJ$16-AI$16)/365)</f>
        <v>1293.4725476001445</v>
      </c>
      <c r="AK285" s="273">
        <f>AJ285*(1+'2. GRI Pricing Inputs'!$D$114)^((AK$16-AJ$16)/365)</f>
        <v>1297.6489398439369</v>
      </c>
      <c r="AL285" s="273">
        <f>AK285*(1+'2. GRI Pricing Inputs'!$D$114)^((AL$16-AK$16)/365)</f>
        <v>1301.9787122291791</v>
      </c>
      <c r="AM285" s="273">
        <f>AL285*(1+'2. GRI Pricing Inputs'!$D$114)^((AM$16-AL$16)/365)</f>
        <v>1306.3229314561922</v>
      </c>
      <c r="AN285" s="273">
        <f>AM285*(1+'2. GRI Pricing Inputs'!$D$114)^((AN$16-AM$16)/365)</f>
        <v>1310.5408152983689</v>
      </c>
      <c r="AO285" s="273">
        <f>AN285*(1+'2. GRI Pricing Inputs'!$D$114)^((AO$16-AN$16)/365)</f>
        <v>1314.9136030821699</v>
      </c>
    </row>
    <row r="286" spans="3:41" ht="12" x14ac:dyDescent="0.2">
      <c r="C286" s="76" t="str">
        <f>'1. Accomodation'!N290</f>
        <v>705W</v>
      </c>
      <c r="D286" s="69" t="str">
        <f>'1. Accomodation'!P290</f>
        <v>2 Bed</v>
      </c>
      <c r="E286" s="69">
        <f>'1. Accomodation'!Q290</f>
        <v>2</v>
      </c>
      <c r="F286" s="77">
        <f>'1. Accomodation'!O290</f>
        <v>657</v>
      </c>
      <c r="G286" s="69">
        <f>'1. Accomodation'!R290</f>
        <v>7</v>
      </c>
      <c r="H286" s="69" t="str">
        <f>'1. Accomodation'!S290</f>
        <v>River- Partial</v>
      </c>
      <c r="I286" s="62"/>
      <c r="K286" s="272">
        <f>IFERROR(INDEX('2. GRI Pricing Inputs'!$C$15:$AI$16,MATCH($K$16,'2. GRI Pricing Inputs'!$C$15:$C$16,0),MATCH(D286,'2. GRI Pricing Inputs'!$C$15:$AI$15,0)),0)</f>
        <v>1110</v>
      </c>
      <c r="L286" s="273">
        <f>IFERROR(INDEX('2. GRI Pricing Inputs'!$C$22:$AI$23,MATCH($L$16,'2. GRI Pricing Inputs'!$C$22:$C$23,0),MATCH(E286,'2. GRI Pricing Inputs'!$C$22:$AI$22,0)),0)</f>
        <v>0</v>
      </c>
      <c r="M286" s="328">
        <f>IF(AND('3. GRI Pricing'!$F286&gt;='2. GRI Pricing Inputs'!$D$33,'3. GRI Pricing'!$F286&lt;='2. GRI Pricing Inputs'!$E$33),'2. GRI Pricing Inputs'!$D$32,IF(AND('3. GRI Pricing'!$F286&gt;='2. GRI Pricing Inputs'!$F$33,'3. GRI Pricing'!$F286&lt;='2. GRI Pricing Inputs'!$G$33),'2. GRI Pricing Inputs'!$F$32,IF(AND('3. GRI Pricing'!$F286&gt;='2. GRI Pricing Inputs'!$H$33,'3. GRI Pricing'!$F286&lt;='2. GRI Pricing Inputs'!$I$33),'2. GRI Pricing Inputs'!$H$32,IF(AND('3. GRI Pricing'!$F286&gt;='2. GRI Pricing Inputs'!$J$33,'3. GRI Pricing'!$F286&lt;='2. GRI Pricing Inputs'!$K$33),'2. GRI Pricing Inputs'!$J$32,IF(AND('3. GRI Pricing'!$F286&gt;='2. GRI Pricing Inputs'!$L$33,'3. GRI Pricing'!$F286&lt;='2. GRI Pricing Inputs'!$M$33),'2. GRI Pricing Inputs'!$L$32,IF(AND('3. GRI Pricing'!$F286&gt;='2. GRI Pricing Inputs'!$N$33,'3. GRI Pricing'!$F286&lt;='2. GRI Pricing Inputs'!$O$33),'2. GRI Pricing Inputs'!$N$32,IF(AND('3. GRI Pricing'!$F286&gt;='2. GRI Pricing Inputs'!$P$33,'3. GRI Pricing'!$F286&lt;='2. GRI Pricing Inputs'!$Q$33),'2. GRI Pricing Inputs'!$P$32,IF(AND('3. GRI Pricing'!$F286&gt;='2. GRI Pricing Inputs'!$R$33,'3. GRI Pricing'!$F286&lt;='2. GRI Pricing Inputs'!$S$33),'2. GRI Pricing Inputs'!$R$32,IF(AND('3. GRI Pricing'!$F286&gt;='2. GRI Pricing Inputs'!$T$33,'3. GRI Pricing'!$F286&lt;='2. GRI Pricing Inputs'!$U$33),'2. GRI Pricing Inputs'!$T$32,IF(AND('3. GRI Pricing'!$F286&gt;='2. GRI Pricing Inputs'!$V$33,'3. GRI Pricing'!$F286&lt;='2. GRI Pricing Inputs'!$W$33),'2. GRI Pricing Inputs'!$V$32,IF(AND('3. GRI Pricing'!$F286&gt;='2. GRI Pricing Inputs'!$X$33,'3. GRI Pricing'!$F286&lt;='2. GRI Pricing Inputs'!$Y$33),'2. GRI Pricing Inputs'!$X$32,IF(AND('3. GRI Pricing'!$F286&gt;='2. GRI Pricing Inputs'!$Z$33,'3. GRI Pricing'!$F286&lt;='2. GRI Pricing Inputs'!$AA$33),'2. GRI Pricing Inputs'!$Z$32,IF(AND('3. GRI Pricing'!$F286&gt;='2. GRI Pricing Inputs'!$AB$33,'3. GRI Pricing'!$F286&lt;='2. GRI Pricing Inputs'!$AC$33),'2. GRI Pricing Inputs'!$AB$32,IF(AND('3. GRI Pricing'!$F286&gt;='2. GRI Pricing Inputs'!$AD$33,'3. GRI Pricing'!$F286&lt;='2. GRI Pricing Inputs'!$AE$33),'2. GRI Pricing Inputs'!$AD$32,IF(AND('3. GRI Pricing'!$F286&gt;='2. GRI Pricing Inputs'!$AF$33,'3. GRI Pricing'!$F286&lt;='2. GRI Pricing Inputs'!$AG$33),'2. GRI Pricing Inputs'!$AF$32,IF(AND('3. GRI Pricing'!$F286&gt;='2. GRI Pricing Inputs'!$AH$33,'3. GRI Pricing'!$F286&lt;='2. GRI Pricing Inputs'!$AI$33),'2. GRI Pricing Inputs'!$AH$32,0))))))))))))))))</f>
        <v>8</v>
      </c>
      <c r="N286" s="273" cm="1">
        <f t="array" ref="N286">IFERROR(INDEX('2. GRI Pricing Inputs'!$C$32:$AI$39,MATCH('3. GRI Pricing'!D286,'2. GRI Pricing Inputs'!$C$32:$C$39,0),(MATCH('3. GRI Pricing'!M286,'2. GRI Pricing Inputs'!$D$32:$AI$32,0)+1)),0)</f>
        <v>20</v>
      </c>
      <c r="O286" s="273">
        <f>IFERROR(INDEX('2. GRI Pricing Inputs'!$C$45:$AI$46,MATCH($O$16,'2. GRI Pricing Inputs'!$C$45:$C$46,0),MATCH(G286,'2. GRI Pricing Inputs'!$C$45:$AI$45,0)),0)</f>
        <v>90</v>
      </c>
      <c r="P286" s="273">
        <f>IFERROR(INDEX('2. GRI Pricing Inputs'!$C$53:$AI$54,MATCH('3. GRI Pricing'!$P$16,'2. GRI Pricing Inputs'!$C$53:$C$54,0),MATCH('3. GRI Pricing'!H286,'2. GRI Pricing Inputs'!$C$53:$AI$53,0)),0)</f>
        <v>0</v>
      </c>
      <c r="Q286" s="273">
        <f>IFERROR(INDEX('2. GRI Pricing Inputs'!$C$60:$AI$61,MATCH('3. GRI Pricing'!$Q$16,'2. GRI Pricing Inputs'!$C$60:$C$61,0),MATCH('1. Accomodation'!T290,'2. GRI Pricing Inputs'!$C$60:$AI$60,0)),0)</f>
        <v>0</v>
      </c>
      <c r="R286" s="273">
        <f>IFERROR(INDEX('2. GRI Pricing Inputs'!$C$67:$AI$68,MATCH('3. GRI Pricing'!$R$16,'2. GRI Pricing Inputs'!$C$67:$C$68,0),MATCH('1. Accomodation'!U290,'2. GRI Pricing Inputs'!$C$67:$AI$67,0)),0)</f>
        <v>0</v>
      </c>
      <c r="S286" s="273">
        <f>IF(D286=0,0,'2. GRI Pricing Inputs'!$AI$75)</f>
        <v>70</v>
      </c>
      <c r="T286" s="273">
        <f>IFERROR(INDEX('2. GRI Pricing Inputs'!$C$82:$AI$83,MATCH('3. GRI Pricing'!$T$16,'2. GRI Pricing Inputs'!$C$82:$C$83,0),MATCH('1. Accomodation'!V290,'2. GRI Pricing Inputs'!$C$82:$AI$82,0)),0)</f>
        <v>-50</v>
      </c>
      <c r="U286" s="273">
        <f>IFERROR(INDEX('2. GRI Pricing Inputs'!$C$89:$AI$90,MATCH('3. GRI Pricing'!$U$16,'2. GRI Pricing Inputs'!$C$89:$C$90,0),MATCH('1. Accomodation'!W290,'2. GRI Pricing Inputs'!$C$89:$AI$89,0)),0)</f>
        <v>0</v>
      </c>
      <c r="V286" s="273">
        <f>IFERROR(INDEX('2. GRI Pricing Inputs'!$C$97:$AI$98,MATCH('3. GRI Pricing'!$V$16,'2. GRI Pricing Inputs'!$C$97:$C$98,0),MATCH('1. Accomodation'!X290,'2. GRI Pricing Inputs'!$C$97:$AI$97,0)),0)</f>
        <v>0</v>
      </c>
      <c r="W286" s="273">
        <f>IFERROR(INDEX('2. GRI Pricing Inputs'!$C$104:$AI$105,MATCH('3. GRI Pricing'!$W$16,'2. GRI Pricing Inputs'!$C$104:$C$105,0),MATCH('1. Accomodation'!Y290,'2. GRI Pricing Inputs'!$C$104:$AI$104,0)),0)</f>
        <v>0</v>
      </c>
      <c r="X286" s="274">
        <v>0</v>
      </c>
      <c r="Y286" s="275">
        <f t="shared" si="11"/>
        <v>1240</v>
      </c>
      <c r="Z286" s="276"/>
      <c r="AA286" s="276"/>
      <c r="AB286" s="276"/>
      <c r="AC286" s="272">
        <f>Y286*(1+'2. GRI Pricing Inputs'!$D$114)^(($AC$16-$AB$15)/365)</f>
        <v>1244.1374192918049</v>
      </c>
      <c r="AD286" s="273">
        <f>AC286*(1+'2. GRI Pricing Inputs'!$D$114)^((AD$16-AC$16)/365)</f>
        <v>1248.1545172022188</v>
      </c>
      <c r="AE286" s="273">
        <f>AD286*(1+'2. GRI Pricing Inputs'!$D$114)^((AE$16-AD$16)/365)</f>
        <v>1252.3191450882073</v>
      </c>
      <c r="AF286" s="273">
        <f>AE286*(1+'2. GRI Pricing Inputs'!$D$114)^((AF$16-AE$16)/365)</f>
        <v>1256.4976687901303</v>
      </c>
      <c r="AG286" s="273">
        <f>AF286*(1+'2. GRI Pricing Inputs'!$D$114)^((AG$16-AF$16)/365)</f>
        <v>1260.4192313666067</v>
      </c>
      <c r="AH286" s="273">
        <f>AG286*(1+'2. GRI Pricing Inputs'!$D$114)^((AH$16-AG$16)/365)</f>
        <v>1264.6247820469439</v>
      </c>
      <c r="AI286" s="273">
        <f>AH286*(1+'2. GRI Pricing Inputs'!$D$114)^((AI$16-AH$16)/365)</f>
        <v>1268.708029999015</v>
      </c>
      <c r="AJ286" s="273">
        <f>AI286*(1+'2. GRI Pricing Inputs'!$D$114)^((AJ$16-AI$16)/365)</f>
        <v>1272.9412373207776</v>
      </c>
      <c r="AK286" s="273">
        <f>AJ286*(1+'2. GRI Pricing Inputs'!$D$114)^((AK$16-AJ$16)/365)</f>
        <v>1277.0513376241925</v>
      </c>
      <c r="AL286" s="273">
        <f>AK286*(1+'2. GRI Pricing Inputs'!$D$114)^((AL$16-AK$16)/365)</f>
        <v>1281.3123834636372</v>
      </c>
      <c r="AM286" s="273">
        <f>AL286*(1+'2. GRI Pricing Inputs'!$D$114)^((AM$16-AL$16)/365)</f>
        <v>1285.5876468299041</v>
      </c>
      <c r="AN286" s="273">
        <f>AM286*(1+'2. GRI Pricing Inputs'!$D$114)^((AN$16-AM$16)/365)</f>
        <v>1289.7385801349033</v>
      </c>
      <c r="AO286" s="273">
        <f>AN286*(1+'2. GRI Pricing Inputs'!$D$114)^((AO$16-AN$16)/365)</f>
        <v>1294.0419585888026</v>
      </c>
    </row>
    <row r="287" spans="3:41" ht="12" x14ac:dyDescent="0.2">
      <c r="C287" s="76" t="str">
        <f>'1. Accomodation'!N291</f>
        <v>706W</v>
      </c>
      <c r="D287" s="69" t="str">
        <f>'1. Accomodation'!P291</f>
        <v>2 Bed</v>
      </c>
      <c r="E287" s="69">
        <f>'1. Accomodation'!Q291</f>
        <v>2</v>
      </c>
      <c r="F287" s="77">
        <f>'1. Accomodation'!O291</f>
        <v>689</v>
      </c>
      <c r="G287" s="69">
        <f>'1. Accomodation'!R291</f>
        <v>7</v>
      </c>
      <c r="H287" s="69" t="str">
        <f>'1. Accomodation'!S291</f>
        <v>River- Partial</v>
      </c>
      <c r="I287" s="62"/>
      <c r="K287" s="272">
        <f>IFERROR(INDEX('2. GRI Pricing Inputs'!$C$15:$AI$16,MATCH($K$16,'2. GRI Pricing Inputs'!$C$15:$C$16,0),MATCH(D287,'2. GRI Pricing Inputs'!$C$15:$AI$15,0)),0)</f>
        <v>1110</v>
      </c>
      <c r="L287" s="273">
        <f>IFERROR(INDEX('2. GRI Pricing Inputs'!$C$22:$AI$23,MATCH($L$16,'2. GRI Pricing Inputs'!$C$22:$C$23,0),MATCH(E287,'2. GRI Pricing Inputs'!$C$22:$AI$22,0)),0)</f>
        <v>0</v>
      </c>
      <c r="M287" s="328">
        <f>IF(AND('3. GRI Pricing'!$F287&gt;='2. GRI Pricing Inputs'!$D$33,'3. GRI Pricing'!$F287&lt;='2. GRI Pricing Inputs'!$E$33),'2. GRI Pricing Inputs'!$D$32,IF(AND('3. GRI Pricing'!$F287&gt;='2. GRI Pricing Inputs'!$F$33,'3. GRI Pricing'!$F287&lt;='2. GRI Pricing Inputs'!$G$33),'2. GRI Pricing Inputs'!$F$32,IF(AND('3. GRI Pricing'!$F287&gt;='2. GRI Pricing Inputs'!$H$33,'3. GRI Pricing'!$F287&lt;='2. GRI Pricing Inputs'!$I$33),'2. GRI Pricing Inputs'!$H$32,IF(AND('3. GRI Pricing'!$F287&gt;='2. GRI Pricing Inputs'!$J$33,'3. GRI Pricing'!$F287&lt;='2. GRI Pricing Inputs'!$K$33),'2. GRI Pricing Inputs'!$J$32,IF(AND('3. GRI Pricing'!$F287&gt;='2. GRI Pricing Inputs'!$L$33,'3. GRI Pricing'!$F287&lt;='2. GRI Pricing Inputs'!$M$33),'2. GRI Pricing Inputs'!$L$32,IF(AND('3. GRI Pricing'!$F287&gt;='2. GRI Pricing Inputs'!$N$33,'3. GRI Pricing'!$F287&lt;='2. GRI Pricing Inputs'!$O$33),'2. GRI Pricing Inputs'!$N$32,IF(AND('3. GRI Pricing'!$F287&gt;='2. GRI Pricing Inputs'!$P$33,'3. GRI Pricing'!$F287&lt;='2. GRI Pricing Inputs'!$Q$33),'2. GRI Pricing Inputs'!$P$32,IF(AND('3. GRI Pricing'!$F287&gt;='2. GRI Pricing Inputs'!$R$33,'3. GRI Pricing'!$F287&lt;='2. GRI Pricing Inputs'!$S$33),'2. GRI Pricing Inputs'!$R$32,IF(AND('3. GRI Pricing'!$F287&gt;='2. GRI Pricing Inputs'!$T$33,'3. GRI Pricing'!$F287&lt;='2. GRI Pricing Inputs'!$U$33),'2. GRI Pricing Inputs'!$T$32,IF(AND('3. GRI Pricing'!$F287&gt;='2. GRI Pricing Inputs'!$V$33,'3. GRI Pricing'!$F287&lt;='2. GRI Pricing Inputs'!$W$33),'2. GRI Pricing Inputs'!$V$32,IF(AND('3. GRI Pricing'!$F287&gt;='2. GRI Pricing Inputs'!$X$33,'3. GRI Pricing'!$F287&lt;='2. GRI Pricing Inputs'!$Y$33),'2. GRI Pricing Inputs'!$X$32,IF(AND('3. GRI Pricing'!$F287&gt;='2. GRI Pricing Inputs'!$Z$33,'3. GRI Pricing'!$F287&lt;='2. GRI Pricing Inputs'!$AA$33),'2. GRI Pricing Inputs'!$Z$32,IF(AND('3. GRI Pricing'!$F287&gt;='2. GRI Pricing Inputs'!$AB$33,'3. GRI Pricing'!$F287&lt;='2. GRI Pricing Inputs'!$AC$33),'2. GRI Pricing Inputs'!$AB$32,IF(AND('3. GRI Pricing'!$F287&gt;='2. GRI Pricing Inputs'!$AD$33,'3. GRI Pricing'!$F287&lt;='2. GRI Pricing Inputs'!$AE$33),'2. GRI Pricing Inputs'!$AD$32,IF(AND('3. GRI Pricing'!$F287&gt;='2. GRI Pricing Inputs'!$AF$33,'3. GRI Pricing'!$F287&lt;='2. GRI Pricing Inputs'!$AG$33),'2. GRI Pricing Inputs'!$AF$32,IF(AND('3. GRI Pricing'!$F287&gt;='2. GRI Pricing Inputs'!$AH$33,'3. GRI Pricing'!$F287&lt;='2. GRI Pricing Inputs'!$AI$33),'2. GRI Pricing Inputs'!$AH$32,0))))))))))))))))</f>
        <v>11</v>
      </c>
      <c r="N287" s="273" cm="1">
        <f t="array" ref="N287">IFERROR(INDEX('2. GRI Pricing Inputs'!$C$32:$AI$39,MATCH('3. GRI Pricing'!D287,'2. GRI Pricing Inputs'!$C$32:$C$39,0),(MATCH('3. GRI Pricing'!M287,'2. GRI Pricing Inputs'!$D$32:$AI$32,0)+1)),0)</f>
        <v>65</v>
      </c>
      <c r="O287" s="273">
        <f>IFERROR(INDEX('2. GRI Pricing Inputs'!$C$45:$AI$46,MATCH($O$16,'2. GRI Pricing Inputs'!$C$45:$C$46,0),MATCH(G287,'2. GRI Pricing Inputs'!$C$45:$AI$45,0)),0)</f>
        <v>90</v>
      </c>
      <c r="P287" s="273">
        <f>IFERROR(INDEX('2. GRI Pricing Inputs'!$C$53:$AI$54,MATCH('3. GRI Pricing'!$P$16,'2. GRI Pricing Inputs'!$C$53:$C$54,0),MATCH('3. GRI Pricing'!H287,'2. GRI Pricing Inputs'!$C$53:$AI$53,0)),0)</f>
        <v>0</v>
      </c>
      <c r="Q287" s="273">
        <f>IFERROR(INDEX('2. GRI Pricing Inputs'!$C$60:$AI$61,MATCH('3. GRI Pricing'!$Q$16,'2. GRI Pricing Inputs'!$C$60:$C$61,0),MATCH('1. Accomodation'!T291,'2. GRI Pricing Inputs'!$C$60:$AI$60,0)),0)</f>
        <v>0</v>
      </c>
      <c r="R287" s="273">
        <f>IFERROR(INDEX('2. GRI Pricing Inputs'!$C$67:$AI$68,MATCH('3. GRI Pricing'!$R$16,'2. GRI Pricing Inputs'!$C$67:$C$68,0),MATCH('1. Accomodation'!U291,'2. GRI Pricing Inputs'!$C$67:$AI$67,0)),0)</f>
        <v>0</v>
      </c>
      <c r="S287" s="273">
        <f>IF(D287=0,0,'2. GRI Pricing Inputs'!$AI$75)</f>
        <v>70</v>
      </c>
      <c r="T287" s="273">
        <f>IFERROR(INDEX('2. GRI Pricing Inputs'!$C$82:$AI$83,MATCH('3. GRI Pricing'!$T$16,'2. GRI Pricing Inputs'!$C$82:$C$83,0),MATCH('1. Accomodation'!V291,'2. GRI Pricing Inputs'!$C$82:$AI$82,0)),0)</f>
        <v>-50</v>
      </c>
      <c r="U287" s="273">
        <f>IFERROR(INDEX('2. GRI Pricing Inputs'!$C$89:$AI$90,MATCH('3. GRI Pricing'!$U$16,'2. GRI Pricing Inputs'!$C$89:$C$90,0),MATCH('1. Accomodation'!W291,'2. GRI Pricing Inputs'!$C$89:$AI$89,0)),0)</f>
        <v>0</v>
      </c>
      <c r="V287" s="273">
        <f>IFERROR(INDEX('2. GRI Pricing Inputs'!$C$97:$AI$98,MATCH('3. GRI Pricing'!$V$16,'2. GRI Pricing Inputs'!$C$97:$C$98,0),MATCH('1. Accomodation'!X291,'2. GRI Pricing Inputs'!$C$97:$AI$97,0)),0)</f>
        <v>0</v>
      </c>
      <c r="W287" s="273">
        <f>IFERROR(INDEX('2. GRI Pricing Inputs'!$C$104:$AI$105,MATCH('3. GRI Pricing'!$W$16,'2. GRI Pricing Inputs'!$C$104:$C$105,0),MATCH('1. Accomodation'!Y291,'2. GRI Pricing Inputs'!$C$104:$AI$104,0)),0)</f>
        <v>0</v>
      </c>
      <c r="X287" s="274">
        <v>0</v>
      </c>
      <c r="Y287" s="275">
        <f t="shared" si="11"/>
        <v>1285</v>
      </c>
      <c r="Z287" s="276"/>
      <c r="AA287" s="276"/>
      <c r="AB287" s="276"/>
      <c r="AC287" s="272">
        <f>Y287*(1+'2. GRI Pricing Inputs'!$D$114)^(($AC$16-$AB$15)/365)</f>
        <v>1289.2875675725559</v>
      </c>
      <c r="AD287" s="273">
        <f>AC287*(1+'2. GRI Pricing Inputs'!$D$114)^((AD$16-AC$16)/365)</f>
        <v>1293.4504472619767</v>
      </c>
      <c r="AE287" s="273">
        <f>AD287*(1+'2. GRI Pricing Inputs'!$D$114)^((AE$16-AD$16)/365)</f>
        <v>1297.7662108373761</v>
      </c>
      <c r="AF287" s="273">
        <f>AE287*(1+'2. GRI Pricing Inputs'!$D$114)^((AF$16-AE$16)/365)</f>
        <v>1302.0963745123527</v>
      </c>
      <c r="AG287" s="273">
        <f>AF287*(1+'2. GRI Pricing Inputs'!$D$114)^((AG$16-AF$16)/365)</f>
        <v>1306.1602518597495</v>
      </c>
      <c r="AH287" s="273">
        <f>AG287*(1+'2. GRI Pricing Inputs'!$D$114)^((AH$16-AG$16)/365)</f>
        <v>1310.5184233309053</v>
      </c>
      <c r="AI287" s="273">
        <f>AH287*(1+'2. GRI Pricing Inputs'!$D$114)^((AI$16-AH$16)/365)</f>
        <v>1314.7498536683338</v>
      </c>
      <c r="AJ287" s="273">
        <f>AI287*(1+'2. GRI Pricing Inputs'!$D$114)^((AJ$16-AI$16)/365)</f>
        <v>1319.136685449354</v>
      </c>
      <c r="AK287" s="273">
        <f>AJ287*(1+'2. GRI Pricing Inputs'!$D$114)^((AK$16-AJ$16)/365)</f>
        <v>1323.3959426186184</v>
      </c>
      <c r="AL287" s="273">
        <f>AK287*(1+'2. GRI Pricing Inputs'!$D$114)^((AL$16-AK$16)/365)</f>
        <v>1327.8116231861075</v>
      </c>
      <c r="AM287" s="273">
        <f>AL287*(1+'2. GRI Pricing Inputs'!$D$114)^((AM$16-AL$16)/365)</f>
        <v>1332.2420372390534</v>
      </c>
      <c r="AN287" s="273">
        <f>AM287*(1+'2. GRI Pricing Inputs'!$D$114)^((AN$16-AM$16)/365)</f>
        <v>1336.5436092527018</v>
      </c>
      <c r="AO287" s="273">
        <f>AN287*(1+'2. GRI Pricing Inputs'!$D$114)^((AO$16-AN$16)/365)</f>
        <v>1341.0031586988796</v>
      </c>
    </row>
    <row r="288" spans="3:41" ht="12" x14ac:dyDescent="0.2">
      <c r="C288" s="76" t="str">
        <f>'1. Accomodation'!N292</f>
        <v>707W</v>
      </c>
      <c r="D288" s="69" t="str">
        <f>'1. Accomodation'!P292</f>
        <v>2 Bed</v>
      </c>
      <c r="E288" s="69">
        <f>'1. Accomodation'!Q292</f>
        <v>2</v>
      </c>
      <c r="F288" s="77">
        <f>'1. Accomodation'!O292</f>
        <v>678</v>
      </c>
      <c r="G288" s="69">
        <f>'1. Accomodation'!R292</f>
        <v>7</v>
      </c>
      <c r="H288" s="69" t="str">
        <f>'1. Accomodation'!S292</f>
        <v>Railway Bridge - Higher</v>
      </c>
      <c r="I288" s="62"/>
      <c r="K288" s="272">
        <f>IFERROR(INDEX('2. GRI Pricing Inputs'!$C$15:$AI$16,MATCH($K$16,'2. GRI Pricing Inputs'!$C$15:$C$16,0),MATCH(D288,'2. GRI Pricing Inputs'!$C$15:$AI$15,0)),0)</f>
        <v>1110</v>
      </c>
      <c r="L288" s="273">
        <f>IFERROR(INDEX('2. GRI Pricing Inputs'!$C$22:$AI$23,MATCH($L$16,'2. GRI Pricing Inputs'!$C$22:$C$23,0),MATCH(E288,'2. GRI Pricing Inputs'!$C$22:$AI$22,0)),0)</f>
        <v>0</v>
      </c>
      <c r="M288" s="328">
        <f>IF(AND('3. GRI Pricing'!$F288&gt;='2. GRI Pricing Inputs'!$D$33,'3. GRI Pricing'!$F288&lt;='2. GRI Pricing Inputs'!$E$33),'2. GRI Pricing Inputs'!$D$32,IF(AND('3. GRI Pricing'!$F288&gt;='2. GRI Pricing Inputs'!$F$33,'3. GRI Pricing'!$F288&lt;='2. GRI Pricing Inputs'!$G$33),'2. GRI Pricing Inputs'!$F$32,IF(AND('3. GRI Pricing'!$F288&gt;='2. GRI Pricing Inputs'!$H$33,'3. GRI Pricing'!$F288&lt;='2. GRI Pricing Inputs'!$I$33),'2. GRI Pricing Inputs'!$H$32,IF(AND('3. GRI Pricing'!$F288&gt;='2. GRI Pricing Inputs'!$J$33,'3. GRI Pricing'!$F288&lt;='2. GRI Pricing Inputs'!$K$33),'2. GRI Pricing Inputs'!$J$32,IF(AND('3. GRI Pricing'!$F288&gt;='2. GRI Pricing Inputs'!$L$33,'3. GRI Pricing'!$F288&lt;='2. GRI Pricing Inputs'!$M$33),'2. GRI Pricing Inputs'!$L$32,IF(AND('3. GRI Pricing'!$F288&gt;='2. GRI Pricing Inputs'!$N$33,'3. GRI Pricing'!$F288&lt;='2. GRI Pricing Inputs'!$O$33),'2. GRI Pricing Inputs'!$N$32,IF(AND('3. GRI Pricing'!$F288&gt;='2. GRI Pricing Inputs'!$P$33,'3. GRI Pricing'!$F288&lt;='2. GRI Pricing Inputs'!$Q$33),'2. GRI Pricing Inputs'!$P$32,IF(AND('3. GRI Pricing'!$F288&gt;='2. GRI Pricing Inputs'!$R$33,'3. GRI Pricing'!$F288&lt;='2. GRI Pricing Inputs'!$S$33),'2. GRI Pricing Inputs'!$R$32,IF(AND('3. GRI Pricing'!$F288&gt;='2. GRI Pricing Inputs'!$T$33,'3. GRI Pricing'!$F288&lt;='2. GRI Pricing Inputs'!$U$33),'2. GRI Pricing Inputs'!$T$32,IF(AND('3. GRI Pricing'!$F288&gt;='2. GRI Pricing Inputs'!$V$33,'3. GRI Pricing'!$F288&lt;='2. GRI Pricing Inputs'!$W$33),'2. GRI Pricing Inputs'!$V$32,IF(AND('3. GRI Pricing'!$F288&gt;='2. GRI Pricing Inputs'!$X$33,'3. GRI Pricing'!$F288&lt;='2. GRI Pricing Inputs'!$Y$33),'2. GRI Pricing Inputs'!$X$32,IF(AND('3. GRI Pricing'!$F288&gt;='2. GRI Pricing Inputs'!$Z$33,'3. GRI Pricing'!$F288&lt;='2. GRI Pricing Inputs'!$AA$33),'2. GRI Pricing Inputs'!$Z$32,IF(AND('3. GRI Pricing'!$F288&gt;='2. GRI Pricing Inputs'!$AB$33,'3. GRI Pricing'!$F288&lt;='2. GRI Pricing Inputs'!$AC$33),'2. GRI Pricing Inputs'!$AB$32,IF(AND('3. GRI Pricing'!$F288&gt;='2. GRI Pricing Inputs'!$AD$33,'3. GRI Pricing'!$F288&lt;='2. GRI Pricing Inputs'!$AE$33),'2. GRI Pricing Inputs'!$AD$32,IF(AND('3. GRI Pricing'!$F288&gt;='2. GRI Pricing Inputs'!$AF$33,'3. GRI Pricing'!$F288&lt;='2. GRI Pricing Inputs'!$AG$33),'2. GRI Pricing Inputs'!$AF$32,IF(AND('3. GRI Pricing'!$F288&gt;='2. GRI Pricing Inputs'!$AH$33,'3. GRI Pricing'!$F288&lt;='2. GRI Pricing Inputs'!$AI$33),'2. GRI Pricing Inputs'!$AH$32,0))))))))))))))))</f>
        <v>10</v>
      </c>
      <c r="N288" s="273" cm="1">
        <f t="array" ref="N288">IFERROR(INDEX('2. GRI Pricing Inputs'!$C$32:$AI$39,MATCH('3. GRI Pricing'!D288,'2. GRI Pricing Inputs'!$C$32:$C$39,0),(MATCH('3. GRI Pricing'!M288,'2. GRI Pricing Inputs'!$D$32:$AI$32,0)+1)),0)</f>
        <v>40</v>
      </c>
      <c r="O288" s="273">
        <f>IFERROR(INDEX('2. GRI Pricing Inputs'!$C$45:$AI$46,MATCH($O$16,'2. GRI Pricing Inputs'!$C$45:$C$46,0),MATCH(G288,'2. GRI Pricing Inputs'!$C$45:$AI$45,0)),0)</f>
        <v>90</v>
      </c>
      <c r="P288" s="273">
        <f>IFERROR(INDEX('2. GRI Pricing Inputs'!$C$53:$AI$54,MATCH('3. GRI Pricing'!$P$16,'2. GRI Pricing Inputs'!$C$53:$C$54,0),MATCH('3. GRI Pricing'!H288,'2. GRI Pricing Inputs'!$C$53:$AI$53,0)),0)</f>
        <v>30</v>
      </c>
      <c r="Q288" s="273">
        <f>IFERROR(INDEX('2. GRI Pricing Inputs'!$C$60:$AI$61,MATCH('3. GRI Pricing'!$Q$16,'2. GRI Pricing Inputs'!$C$60:$C$61,0),MATCH('1. Accomodation'!T292,'2. GRI Pricing Inputs'!$C$60:$AI$60,0)),0)</f>
        <v>0</v>
      </c>
      <c r="R288" s="273">
        <f>IFERROR(INDEX('2. GRI Pricing Inputs'!$C$67:$AI$68,MATCH('3. GRI Pricing'!$R$16,'2. GRI Pricing Inputs'!$C$67:$C$68,0),MATCH('1. Accomodation'!U292,'2. GRI Pricing Inputs'!$C$67:$AI$67,0)),0)</f>
        <v>0</v>
      </c>
      <c r="S288" s="273">
        <f>IF(D288=0,0,'2. GRI Pricing Inputs'!$AI$75)</f>
        <v>70</v>
      </c>
      <c r="T288" s="273">
        <f>IFERROR(INDEX('2. GRI Pricing Inputs'!$C$82:$AI$83,MATCH('3. GRI Pricing'!$T$16,'2. GRI Pricing Inputs'!$C$82:$C$83,0),MATCH('1. Accomodation'!V292,'2. GRI Pricing Inputs'!$C$82:$AI$82,0)),0)</f>
        <v>-50</v>
      </c>
      <c r="U288" s="273">
        <f>IFERROR(INDEX('2. GRI Pricing Inputs'!$C$89:$AI$90,MATCH('3. GRI Pricing'!$U$16,'2. GRI Pricing Inputs'!$C$89:$C$90,0),MATCH('1. Accomodation'!W292,'2. GRI Pricing Inputs'!$C$89:$AI$89,0)),0)</f>
        <v>0</v>
      </c>
      <c r="V288" s="273">
        <f>IFERROR(INDEX('2. GRI Pricing Inputs'!$C$97:$AI$98,MATCH('3. GRI Pricing'!$V$16,'2. GRI Pricing Inputs'!$C$97:$C$98,0),MATCH('1. Accomodation'!X292,'2. GRI Pricing Inputs'!$C$97:$AI$97,0)),0)</f>
        <v>0</v>
      </c>
      <c r="W288" s="273">
        <f>IFERROR(INDEX('2. GRI Pricing Inputs'!$C$104:$AI$105,MATCH('3. GRI Pricing'!$W$16,'2. GRI Pricing Inputs'!$C$104:$C$105,0),MATCH('1. Accomodation'!Y292,'2. GRI Pricing Inputs'!$C$104:$AI$104,0)),0)</f>
        <v>0</v>
      </c>
      <c r="X288" s="274">
        <v>0</v>
      </c>
      <c r="Y288" s="275">
        <f t="shared" si="11"/>
        <v>1290</v>
      </c>
      <c r="Z288" s="276"/>
      <c r="AA288" s="276"/>
      <c r="AB288" s="276"/>
      <c r="AC288" s="272">
        <f>Y288*(1+'2. GRI Pricing Inputs'!$D$114)^(($AC$16-$AB$15)/365)</f>
        <v>1294.3042507148614</v>
      </c>
      <c r="AD288" s="273">
        <f>AC288*(1+'2. GRI Pricing Inputs'!$D$114)^((AD$16-AC$16)/365)</f>
        <v>1298.4833283797273</v>
      </c>
      <c r="AE288" s="273">
        <f>AD288*(1+'2. GRI Pricing Inputs'!$D$114)^((AE$16-AD$16)/365)</f>
        <v>1302.8158848095056</v>
      </c>
      <c r="AF288" s="273">
        <f>AE288*(1+'2. GRI Pricing Inputs'!$D$114)^((AF$16-AE$16)/365)</f>
        <v>1307.1628973703771</v>
      </c>
      <c r="AG288" s="273">
        <f>AF288*(1+'2. GRI Pricing Inputs'!$D$114)^((AG$16-AF$16)/365)</f>
        <v>1311.2425874700984</v>
      </c>
      <c r="AH288" s="273">
        <f>AG288*(1+'2. GRI Pricing Inputs'!$D$114)^((AH$16-AG$16)/365)</f>
        <v>1315.6177168069007</v>
      </c>
      <c r="AI288" s="273">
        <f>AH288*(1+'2. GRI Pricing Inputs'!$D$114)^((AI$16-AH$16)/365)</f>
        <v>1319.8656118538133</v>
      </c>
      <c r="AJ288" s="273">
        <f>AI288*(1+'2. GRI Pricing Inputs'!$D$114)^((AJ$16-AI$16)/365)</f>
        <v>1324.2695130191953</v>
      </c>
      <c r="AK288" s="273">
        <f>AJ288*(1+'2. GRI Pricing Inputs'!$D$114)^((AK$16-AJ$16)/365)</f>
        <v>1328.5453431735541</v>
      </c>
      <c r="AL288" s="273">
        <f>AK288*(1+'2. GRI Pricing Inputs'!$D$114)^((AL$16-AK$16)/365)</f>
        <v>1332.9782053774925</v>
      </c>
      <c r="AM288" s="273">
        <f>AL288*(1+'2. GRI Pricing Inputs'!$D$114)^((AM$16-AL$16)/365)</f>
        <v>1337.4258583956248</v>
      </c>
      <c r="AN288" s="273">
        <f>AM288*(1+'2. GRI Pricing Inputs'!$D$114)^((AN$16-AM$16)/365)</f>
        <v>1341.7441680435675</v>
      </c>
      <c r="AO288" s="273">
        <f>AN288*(1+'2. GRI Pricing Inputs'!$D$114)^((AO$16-AN$16)/365)</f>
        <v>1346.2210698222207</v>
      </c>
    </row>
    <row r="289" spans="3:41" ht="12" x14ac:dyDescent="0.2">
      <c r="C289" s="76" t="str">
        <f>'1. Accomodation'!N293</f>
        <v>708W</v>
      </c>
      <c r="D289" s="69" t="str">
        <f>'1. Accomodation'!P293</f>
        <v>1 Bed</v>
      </c>
      <c r="E289" s="69">
        <f>'1. Accomodation'!Q293</f>
        <v>1</v>
      </c>
      <c r="F289" s="77">
        <f>'1. Accomodation'!O293</f>
        <v>527</v>
      </c>
      <c r="G289" s="69">
        <f>'1. Accomodation'!R293</f>
        <v>7</v>
      </c>
      <c r="H289" s="69" t="str">
        <f>'1. Accomodation'!S293</f>
        <v>Railway Bridge - Higher</v>
      </c>
      <c r="I289" s="62"/>
      <c r="K289" s="272">
        <f>IFERROR(INDEX('2. GRI Pricing Inputs'!$C$15:$AI$16,MATCH($K$16,'2. GRI Pricing Inputs'!$C$15:$C$16,0),MATCH(D289,'2. GRI Pricing Inputs'!$C$15:$AI$15,0)),0)</f>
        <v>845</v>
      </c>
      <c r="L289" s="273">
        <f>IFERROR(INDEX('2. GRI Pricing Inputs'!$C$22:$AI$23,MATCH($L$16,'2. GRI Pricing Inputs'!$C$22:$C$23,0),MATCH(E289,'2. GRI Pricing Inputs'!$C$22:$AI$22,0)),0)</f>
        <v>0</v>
      </c>
      <c r="M289" s="328">
        <f>IF(AND('3. GRI Pricing'!$F289&gt;='2. GRI Pricing Inputs'!$D$33,'3. GRI Pricing'!$F289&lt;='2. GRI Pricing Inputs'!$E$33),'2. GRI Pricing Inputs'!$D$32,IF(AND('3. GRI Pricing'!$F289&gt;='2. GRI Pricing Inputs'!$F$33,'3. GRI Pricing'!$F289&lt;='2. GRI Pricing Inputs'!$G$33),'2. GRI Pricing Inputs'!$F$32,IF(AND('3. GRI Pricing'!$F289&gt;='2. GRI Pricing Inputs'!$H$33,'3. GRI Pricing'!$F289&lt;='2. GRI Pricing Inputs'!$I$33),'2. GRI Pricing Inputs'!$H$32,IF(AND('3. GRI Pricing'!$F289&gt;='2. GRI Pricing Inputs'!$J$33,'3. GRI Pricing'!$F289&lt;='2. GRI Pricing Inputs'!$K$33),'2. GRI Pricing Inputs'!$J$32,IF(AND('3. GRI Pricing'!$F289&gt;='2. GRI Pricing Inputs'!$L$33,'3. GRI Pricing'!$F289&lt;='2. GRI Pricing Inputs'!$M$33),'2. GRI Pricing Inputs'!$L$32,IF(AND('3. GRI Pricing'!$F289&gt;='2. GRI Pricing Inputs'!$N$33,'3. GRI Pricing'!$F289&lt;='2. GRI Pricing Inputs'!$O$33),'2. GRI Pricing Inputs'!$N$32,IF(AND('3. GRI Pricing'!$F289&gt;='2. GRI Pricing Inputs'!$P$33,'3. GRI Pricing'!$F289&lt;='2. GRI Pricing Inputs'!$Q$33),'2. GRI Pricing Inputs'!$P$32,IF(AND('3. GRI Pricing'!$F289&gt;='2. GRI Pricing Inputs'!$R$33,'3. GRI Pricing'!$F289&lt;='2. GRI Pricing Inputs'!$S$33),'2. GRI Pricing Inputs'!$R$32,IF(AND('3. GRI Pricing'!$F289&gt;='2. GRI Pricing Inputs'!$T$33,'3. GRI Pricing'!$F289&lt;='2. GRI Pricing Inputs'!$U$33),'2. GRI Pricing Inputs'!$T$32,IF(AND('3. GRI Pricing'!$F289&gt;='2. GRI Pricing Inputs'!$V$33,'3. GRI Pricing'!$F289&lt;='2. GRI Pricing Inputs'!$W$33),'2. GRI Pricing Inputs'!$V$32,IF(AND('3. GRI Pricing'!$F289&gt;='2. GRI Pricing Inputs'!$X$33,'3. GRI Pricing'!$F289&lt;='2. GRI Pricing Inputs'!$Y$33),'2. GRI Pricing Inputs'!$X$32,IF(AND('3. GRI Pricing'!$F289&gt;='2. GRI Pricing Inputs'!$Z$33,'3. GRI Pricing'!$F289&lt;='2. GRI Pricing Inputs'!$AA$33),'2. GRI Pricing Inputs'!$Z$32,IF(AND('3. GRI Pricing'!$F289&gt;='2. GRI Pricing Inputs'!$AB$33,'3. GRI Pricing'!$F289&lt;='2. GRI Pricing Inputs'!$AC$33),'2. GRI Pricing Inputs'!$AB$32,IF(AND('3. GRI Pricing'!$F289&gt;='2. GRI Pricing Inputs'!$AD$33,'3. GRI Pricing'!$F289&lt;='2. GRI Pricing Inputs'!$AE$33),'2. GRI Pricing Inputs'!$AD$32,IF(AND('3. GRI Pricing'!$F289&gt;='2. GRI Pricing Inputs'!$AF$33,'3. GRI Pricing'!$F289&lt;='2. GRI Pricing Inputs'!$AG$33),'2. GRI Pricing Inputs'!$AF$32,IF(AND('3. GRI Pricing'!$F289&gt;='2. GRI Pricing Inputs'!$AH$33,'3. GRI Pricing'!$F289&lt;='2. GRI Pricing Inputs'!$AI$33),'2. GRI Pricing Inputs'!$AH$32,0))))))))))))))))</f>
        <v>3</v>
      </c>
      <c r="N289" s="273" cm="1">
        <f t="array" ref="N289">IFERROR(INDEX('2. GRI Pricing Inputs'!$C$32:$AI$39,MATCH('3. GRI Pricing'!D289,'2. GRI Pricing Inputs'!$C$32:$C$39,0),(MATCH('3. GRI Pricing'!M289,'2. GRI Pricing Inputs'!$D$32:$AI$32,0)+1)),0)</f>
        <v>20</v>
      </c>
      <c r="O289" s="273">
        <f>IFERROR(INDEX('2. GRI Pricing Inputs'!$C$45:$AI$46,MATCH($O$16,'2. GRI Pricing Inputs'!$C$45:$C$46,0),MATCH(G289,'2. GRI Pricing Inputs'!$C$45:$AI$45,0)),0)</f>
        <v>90</v>
      </c>
      <c r="P289" s="273">
        <f>IFERROR(INDEX('2. GRI Pricing Inputs'!$C$53:$AI$54,MATCH('3. GRI Pricing'!$P$16,'2. GRI Pricing Inputs'!$C$53:$C$54,0),MATCH('3. GRI Pricing'!H289,'2. GRI Pricing Inputs'!$C$53:$AI$53,0)),0)</f>
        <v>30</v>
      </c>
      <c r="Q289" s="273">
        <f>IFERROR(INDEX('2. GRI Pricing Inputs'!$C$60:$AI$61,MATCH('3. GRI Pricing'!$Q$16,'2. GRI Pricing Inputs'!$C$60:$C$61,0),MATCH('1. Accomodation'!T293,'2. GRI Pricing Inputs'!$C$60:$AI$60,0)),0)</f>
        <v>0</v>
      </c>
      <c r="R289" s="273">
        <f>IFERROR(INDEX('2. GRI Pricing Inputs'!$C$67:$AI$68,MATCH('3. GRI Pricing'!$R$16,'2. GRI Pricing Inputs'!$C$67:$C$68,0),MATCH('1. Accomodation'!U293,'2. GRI Pricing Inputs'!$C$67:$AI$67,0)),0)</f>
        <v>0</v>
      </c>
      <c r="S289" s="273">
        <f>IF(D289=0,0,'2. GRI Pricing Inputs'!$AI$75)</f>
        <v>70</v>
      </c>
      <c r="T289" s="273">
        <f>IFERROR(INDEX('2. GRI Pricing Inputs'!$C$82:$AI$83,MATCH('3. GRI Pricing'!$T$16,'2. GRI Pricing Inputs'!$C$82:$C$83,0),MATCH('1. Accomodation'!V293,'2. GRI Pricing Inputs'!$C$82:$AI$82,0)),0)</f>
        <v>-50</v>
      </c>
      <c r="U289" s="273">
        <f>IFERROR(INDEX('2. GRI Pricing Inputs'!$C$89:$AI$90,MATCH('3. GRI Pricing'!$U$16,'2. GRI Pricing Inputs'!$C$89:$C$90,0),MATCH('1. Accomodation'!W293,'2. GRI Pricing Inputs'!$C$89:$AI$89,0)),0)</f>
        <v>0</v>
      </c>
      <c r="V289" s="273">
        <f>IFERROR(INDEX('2. GRI Pricing Inputs'!$C$97:$AI$98,MATCH('3. GRI Pricing'!$V$16,'2. GRI Pricing Inputs'!$C$97:$C$98,0),MATCH('1. Accomodation'!X293,'2. GRI Pricing Inputs'!$C$97:$AI$97,0)),0)</f>
        <v>0</v>
      </c>
      <c r="W289" s="273">
        <f>IFERROR(INDEX('2. GRI Pricing Inputs'!$C$104:$AI$105,MATCH('3. GRI Pricing'!$W$16,'2. GRI Pricing Inputs'!$C$104:$C$105,0),MATCH('1. Accomodation'!Y293,'2. GRI Pricing Inputs'!$C$104:$AI$104,0)),0)</f>
        <v>0</v>
      </c>
      <c r="X289" s="274">
        <v>0</v>
      </c>
      <c r="Y289" s="275">
        <f t="shared" si="11"/>
        <v>1005</v>
      </c>
      <c r="Z289" s="276"/>
      <c r="AA289" s="276"/>
      <c r="AB289" s="276"/>
      <c r="AC289" s="272">
        <f>Y289*(1+'2. GRI Pricing Inputs'!$D$114)^(($AC$16-$AB$15)/365)</f>
        <v>1008.3533116034386</v>
      </c>
      <c r="AD289" s="273">
        <f>AC289*(1+'2. GRI Pricing Inputs'!$D$114)^((AD$16-AC$16)/365)</f>
        <v>1011.6091046679271</v>
      </c>
      <c r="AE289" s="273">
        <f>AD289*(1+'2. GRI Pricing Inputs'!$D$114)^((AE$16-AD$16)/365)</f>
        <v>1014.9844683981033</v>
      </c>
      <c r="AF289" s="273">
        <f>AE289*(1+'2. GRI Pricing Inputs'!$D$114)^((AF$16-AE$16)/365)</f>
        <v>1018.3710944629684</v>
      </c>
      <c r="AG289" s="273">
        <f>AF289*(1+'2. GRI Pricing Inputs'!$D$114)^((AG$16-AF$16)/365)</f>
        <v>1021.5494576801931</v>
      </c>
      <c r="AH289" s="273">
        <f>AG289*(1+'2. GRI Pricing Inputs'!$D$114)^((AH$16-AG$16)/365)</f>
        <v>1024.9579886751437</v>
      </c>
      <c r="AI289" s="273">
        <f>AH289*(1+'2. GRI Pricing Inputs'!$D$114)^((AI$16-AH$16)/365)</f>
        <v>1028.2673952814594</v>
      </c>
      <c r="AJ289" s="273">
        <f>AI289*(1+'2. GRI Pricing Inputs'!$D$114)^((AJ$16-AI$16)/365)</f>
        <v>1031.6983415382106</v>
      </c>
      <c r="AK289" s="273">
        <f>AJ289*(1+'2. GRI Pricing Inputs'!$D$114)^((AK$16-AJ$16)/365)</f>
        <v>1035.0295115421877</v>
      </c>
      <c r="AL289" s="273">
        <f>AK289*(1+'2. GRI Pricing Inputs'!$D$114)^((AL$16-AK$16)/365)</f>
        <v>1038.483020468512</v>
      </c>
      <c r="AM289" s="273">
        <f>AL289*(1+'2. GRI Pricing Inputs'!$D$114)^((AM$16-AL$16)/365)</f>
        <v>1041.9480524710104</v>
      </c>
      <c r="AN289" s="273">
        <f>AM289*(1+'2. GRI Pricing Inputs'!$D$114)^((AN$16-AM$16)/365)</f>
        <v>1045.3123169641751</v>
      </c>
      <c r="AO289" s="273">
        <f>AN289*(1+'2. GRI Pricing Inputs'!$D$114)^((AO$16-AN$16)/365)</f>
        <v>1048.8001357917306</v>
      </c>
    </row>
    <row r="290" spans="3:41" ht="12" x14ac:dyDescent="0.2">
      <c r="C290" s="76" t="str">
        <f>'1. Accomodation'!N294</f>
        <v>709W</v>
      </c>
      <c r="D290" s="69" t="str">
        <f>'1. Accomodation'!P294</f>
        <v>3 Bed</v>
      </c>
      <c r="E290" s="69">
        <f>'1. Accomodation'!Q294</f>
        <v>2</v>
      </c>
      <c r="F290" s="77">
        <f>'1. Accomodation'!O294</f>
        <v>840</v>
      </c>
      <c r="G290" s="69">
        <f>'1. Accomodation'!R294</f>
        <v>7</v>
      </c>
      <c r="H290" s="69" t="str">
        <f>'1. Accomodation'!S294</f>
        <v>Railway Bridge - Higher</v>
      </c>
      <c r="I290" s="62"/>
      <c r="K290" s="272">
        <f>IFERROR(INDEX('2. GRI Pricing Inputs'!$C$15:$AI$16,MATCH($K$16,'2. GRI Pricing Inputs'!$C$15:$C$16,0),MATCH(D290,'2. GRI Pricing Inputs'!$C$15:$AI$15,0)),0)</f>
        <v>1485</v>
      </c>
      <c r="L290" s="273">
        <f>IFERROR(INDEX('2. GRI Pricing Inputs'!$C$22:$AI$23,MATCH($L$16,'2. GRI Pricing Inputs'!$C$22:$C$23,0),MATCH(E290,'2. GRI Pricing Inputs'!$C$22:$AI$22,0)),0)</f>
        <v>0</v>
      </c>
      <c r="M290" s="328">
        <f>IF(AND('3. GRI Pricing'!$F290&gt;='2. GRI Pricing Inputs'!$D$33,'3. GRI Pricing'!$F290&lt;='2. GRI Pricing Inputs'!$E$33),'2. GRI Pricing Inputs'!$D$32,IF(AND('3. GRI Pricing'!$F290&gt;='2. GRI Pricing Inputs'!$F$33,'3. GRI Pricing'!$F290&lt;='2. GRI Pricing Inputs'!$G$33),'2. GRI Pricing Inputs'!$F$32,IF(AND('3. GRI Pricing'!$F290&gt;='2. GRI Pricing Inputs'!$H$33,'3. GRI Pricing'!$F290&lt;='2. GRI Pricing Inputs'!$I$33),'2. GRI Pricing Inputs'!$H$32,IF(AND('3. GRI Pricing'!$F290&gt;='2. GRI Pricing Inputs'!$J$33,'3. GRI Pricing'!$F290&lt;='2. GRI Pricing Inputs'!$K$33),'2. GRI Pricing Inputs'!$J$32,IF(AND('3. GRI Pricing'!$F290&gt;='2. GRI Pricing Inputs'!$L$33,'3. GRI Pricing'!$F290&lt;='2. GRI Pricing Inputs'!$M$33),'2. GRI Pricing Inputs'!$L$32,IF(AND('3. GRI Pricing'!$F290&gt;='2. GRI Pricing Inputs'!$N$33,'3. GRI Pricing'!$F290&lt;='2. GRI Pricing Inputs'!$O$33),'2. GRI Pricing Inputs'!$N$32,IF(AND('3. GRI Pricing'!$F290&gt;='2. GRI Pricing Inputs'!$P$33,'3. GRI Pricing'!$F290&lt;='2. GRI Pricing Inputs'!$Q$33),'2. GRI Pricing Inputs'!$P$32,IF(AND('3. GRI Pricing'!$F290&gt;='2. GRI Pricing Inputs'!$R$33,'3. GRI Pricing'!$F290&lt;='2. GRI Pricing Inputs'!$S$33),'2. GRI Pricing Inputs'!$R$32,IF(AND('3. GRI Pricing'!$F290&gt;='2. GRI Pricing Inputs'!$T$33,'3. GRI Pricing'!$F290&lt;='2. GRI Pricing Inputs'!$U$33),'2. GRI Pricing Inputs'!$T$32,IF(AND('3. GRI Pricing'!$F290&gt;='2. GRI Pricing Inputs'!$V$33,'3. GRI Pricing'!$F290&lt;='2. GRI Pricing Inputs'!$W$33),'2. GRI Pricing Inputs'!$V$32,IF(AND('3. GRI Pricing'!$F290&gt;='2. GRI Pricing Inputs'!$X$33,'3. GRI Pricing'!$F290&lt;='2. GRI Pricing Inputs'!$Y$33),'2. GRI Pricing Inputs'!$X$32,IF(AND('3. GRI Pricing'!$F290&gt;='2. GRI Pricing Inputs'!$Z$33,'3. GRI Pricing'!$F290&lt;='2. GRI Pricing Inputs'!$AA$33),'2. GRI Pricing Inputs'!$Z$32,IF(AND('3. GRI Pricing'!$F290&gt;='2. GRI Pricing Inputs'!$AB$33,'3. GRI Pricing'!$F290&lt;='2. GRI Pricing Inputs'!$AC$33),'2. GRI Pricing Inputs'!$AB$32,IF(AND('3. GRI Pricing'!$F290&gt;='2. GRI Pricing Inputs'!$AD$33,'3. GRI Pricing'!$F290&lt;='2. GRI Pricing Inputs'!$AE$33),'2. GRI Pricing Inputs'!$AD$32,IF(AND('3. GRI Pricing'!$F290&gt;='2. GRI Pricing Inputs'!$AF$33,'3. GRI Pricing'!$F290&lt;='2. GRI Pricing Inputs'!$AG$33),'2. GRI Pricing Inputs'!$AF$32,IF(AND('3. GRI Pricing'!$F290&gt;='2. GRI Pricing Inputs'!$AH$33,'3. GRI Pricing'!$F290&lt;='2. GRI Pricing Inputs'!$AI$33),'2. GRI Pricing Inputs'!$AH$32,0))))))))))))))))</f>
        <v>15</v>
      </c>
      <c r="N290" s="273" cm="1">
        <f t="array" ref="N290">IFERROR(INDEX('2. GRI Pricing Inputs'!$C$32:$AI$39,MATCH('3. GRI Pricing'!D290,'2. GRI Pricing Inputs'!$C$32:$C$39,0),(MATCH('3. GRI Pricing'!M290,'2. GRI Pricing Inputs'!$D$32:$AI$32,0)+1)),0)</f>
        <v>70</v>
      </c>
      <c r="O290" s="273">
        <f>IFERROR(INDEX('2. GRI Pricing Inputs'!$C$45:$AI$46,MATCH($O$16,'2. GRI Pricing Inputs'!$C$45:$C$46,0),MATCH(G290,'2. GRI Pricing Inputs'!$C$45:$AI$45,0)),0)</f>
        <v>90</v>
      </c>
      <c r="P290" s="273">
        <f>IFERROR(INDEX('2. GRI Pricing Inputs'!$C$53:$AI$54,MATCH('3. GRI Pricing'!$P$16,'2. GRI Pricing Inputs'!$C$53:$C$54,0),MATCH('3. GRI Pricing'!H290,'2. GRI Pricing Inputs'!$C$53:$AI$53,0)),0)</f>
        <v>30</v>
      </c>
      <c r="Q290" s="273">
        <f>IFERROR(INDEX('2. GRI Pricing Inputs'!$C$60:$AI$61,MATCH('3. GRI Pricing'!$Q$16,'2. GRI Pricing Inputs'!$C$60:$C$61,0),MATCH('1. Accomodation'!T294,'2. GRI Pricing Inputs'!$C$60:$AI$60,0)),0)</f>
        <v>0</v>
      </c>
      <c r="R290" s="273">
        <f>IFERROR(INDEX('2. GRI Pricing Inputs'!$C$67:$AI$68,MATCH('3. GRI Pricing'!$R$16,'2. GRI Pricing Inputs'!$C$67:$C$68,0),MATCH('1. Accomodation'!U294,'2. GRI Pricing Inputs'!$C$67:$AI$67,0)),0)</f>
        <v>0</v>
      </c>
      <c r="S290" s="273">
        <f>IF(D290=0,0,'2. GRI Pricing Inputs'!$AI$75)</f>
        <v>70</v>
      </c>
      <c r="T290" s="273">
        <f>IFERROR(INDEX('2. GRI Pricing Inputs'!$C$82:$AI$83,MATCH('3. GRI Pricing'!$T$16,'2. GRI Pricing Inputs'!$C$82:$C$83,0),MATCH('1. Accomodation'!V294,'2. GRI Pricing Inputs'!$C$82:$AI$82,0)),0)</f>
        <v>-50</v>
      </c>
      <c r="U290" s="273">
        <f>IFERROR(INDEX('2. GRI Pricing Inputs'!$C$89:$AI$90,MATCH('3. GRI Pricing'!$U$16,'2. GRI Pricing Inputs'!$C$89:$C$90,0),MATCH('1. Accomodation'!W294,'2. GRI Pricing Inputs'!$C$89:$AI$89,0)),0)</f>
        <v>0</v>
      </c>
      <c r="V290" s="273">
        <f>IFERROR(INDEX('2. GRI Pricing Inputs'!$C$97:$AI$98,MATCH('3. GRI Pricing'!$V$16,'2. GRI Pricing Inputs'!$C$97:$C$98,0),MATCH('1. Accomodation'!X294,'2. GRI Pricing Inputs'!$C$97:$AI$97,0)),0)</f>
        <v>0</v>
      </c>
      <c r="W290" s="273">
        <f>IFERROR(INDEX('2. GRI Pricing Inputs'!$C$104:$AI$105,MATCH('3. GRI Pricing'!$W$16,'2. GRI Pricing Inputs'!$C$104:$C$105,0),MATCH('1. Accomodation'!Y294,'2. GRI Pricing Inputs'!$C$104:$AI$104,0)),0)</f>
        <v>0</v>
      </c>
      <c r="X290" s="274">
        <v>0</v>
      </c>
      <c r="Y290" s="275">
        <f t="shared" si="11"/>
        <v>1695</v>
      </c>
      <c r="Z290" s="276"/>
      <c r="AA290" s="276"/>
      <c r="AB290" s="276"/>
      <c r="AC290" s="272">
        <f>Y290*(1+'2. GRI Pricing Inputs'!$D$114)^(($AC$16-$AB$15)/365)</f>
        <v>1700.6555852416202</v>
      </c>
      <c r="AD290" s="273">
        <f>AC290*(1+'2. GRI Pricing Inputs'!$D$114)^((AD$16-AC$16)/365)</f>
        <v>1706.1466989175487</v>
      </c>
      <c r="AE290" s="273">
        <f>AD290*(1+'2. GRI Pricing Inputs'!$D$114)^((AE$16-AD$16)/365)</f>
        <v>1711.839476552025</v>
      </c>
      <c r="AF290" s="273">
        <f>AE290*(1+'2. GRI Pricing Inputs'!$D$114)^((AF$16-AE$16)/365)</f>
        <v>1717.5512488703794</v>
      </c>
      <c r="AG290" s="273">
        <f>AF290*(1+'2. GRI Pricing Inputs'!$D$114)^((AG$16-AF$16)/365)</f>
        <v>1722.9117719083854</v>
      </c>
      <c r="AH290" s="273">
        <f>AG290*(1+'2. GRI Pricing Inputs'!$D$114)^((AH$16-AG$16)/365)</f>
        <v>1728.660488362556</v>
      </c>
      <c r="AI290" s="273">
        <f>AH290*(1+'2. GRI Pricing Inputs'!$D$114)^((AI$16-AH$16)/365)</f>
        <v>1734.2420248776855</v>
      </c>
      <c r="AJ290" s="273">
        <f>AI290*(1+'2. GRI Pricing Inputs'!$D$114)^((AJ$16-AI$16)/365)</f>
        <v>1740.0285461763851</v>
      </c>
      <c r="AK290" s="273">
        <f>AJ290*(1+'2. GRI Pricing Inputs'!$D$114)^((AK$16-AJ$16)/365)</f>
        <v>1745.6467881233916</v>
      </c>
      <c r="AL290" s="273">
        <f>AK290*(1+'2. GRI Pricing Inputs'!$D$114)^((AL$16-AK$16)/365)</f>
        <v>1751.4713628797294</v>
      </c>
      <c r="AM290" s="273">
        <f>AL290*(1+'2. GRI Pricing Inputs'!$D$114)^((AM$16-AL$16)/365)</f>
        <v>1757.3153720779733</v>
      </c>
      <c r="AN290" s="273">
        <f>AM290*(1+'2. GRI Pricing Inputs'!$D$114)^((AN$16-AM$16)/365)</f>
        <v>1762.9894301037587</v>
      </c>
      <c r="AO290" s="273">
        <f>AN290*(1+'2. GRI Pricing Inputs'!$D$114)^((AO$16-AN$16)/365)</f>
        <v>1768.8718708129193</v>
      </c>
    </row>
    <row r="291" spans="3:41" ht="12" x14ac:dyDescent="0.2">
      <c r="C291" s="76" t="str">
        <f>'1. Accomodation'!N295</f>
        <v>801W</v>
      </c>
      <c r="D291" s="69" t="str">
        <f>'1. Accomodation'!P295</f>
        <v>3 Bed</v>
      </c>
      <c r="E291" s="69">
        <f>'1. Accomodation'!Q295</f>
        <v>2</v>
      </c>
      <c r="F291" s="77">
        <f>'1. Accomodation'!O295</f>
        <v>840</v>
      </c>
      <c r="G291" s="69">
        <f>'1. Accomodation'!R295</f>
        <v>8</v>
      </c>
      <c r="H291" s="69" t="str">
        <f>'1. Accomodation'!S295</f>
        <v>Railway Bridge - Higher</v>
      </c>
      <c r="I291" s="62"/>
      <c r="K291" s="272">
        <f>IFERROR(INDEX('2. GRI Pricing Inputs'!$C$15:$AI$16,MATCH($K$16,'2. GRI Pricing Inputs'!$C$15:$C$16,0),MATCH(D291,'2. GRI Pricing Inputs'!$C$15:$AI$15,0)),0)</f>
        <v>1485</v>
      </c>
      <c r="L291" s="273">
        <f>IFERROR(INDEX('2. GRI Pricing Inputs'!$C$22:$AI$23,MATCH($L$16,'2. GRI Pricing Inputs'!$C$22:$C$23,0),MATCH(E291,'2. GRI Pricing Inputs'!$C$22:$AI$22,0)),0)</f>
        <v>0</v>
      </c>
      <c r="M291" s="328">
        <f>IF(AND('3. GRI Pricing'!$F291&gt;='2. GRI Pricing Inputs'!$D$33,'3. GRI Pricing'!$F291&lt;='2. GRI Pricing Inputs'!$E$33),'2. GRI Pricing Inputs'!$D$32,IF(AND('3. GRI Pricing'!$F291&gt;='2. GRI Pricing Inputs'!$F$33,'3. GRI Pricing'!$F291&lt;='2. GRI Pricing Inputs'!$G$33),'2. GRI Pricing Inputs'!$F$32,IF(AND('3. GRI Pricing'!$F291&gt;='2. GRI Pricing Inputs'!$H$33,'3. GRI Pricing'!$F291&lt;='2. GRI Pricing Inputs'!$I$33),'2. GRI Pricing Inputs'!$H$32,IF(AND('3. GRI Pricing'!$F291&gt;='2. GRI Pricing Inputs'!$J$33,'3. GRI Pricing'!$F291&lt;='2. GRI Pricing Inputs'!$K$33),'2. GRI Pricing Inputs'!$J$32,IF(AND('3. GRI Pricing'!$F291&gt;='2. GRI Pricing Inputs'!$L$33,'3. GRI Pricing'!$F291&lt;='2. GRI Pricing Inputs'!$M$33),'2. GRI Pricing Inputs'!$L$32,IF(AND('3. GRI Pricing'!$F291&gt;='2. GRI Pricing Inputs'!$N$33,'3. GRI Pricing'!$F291&lt;='2. GRI Pricing Inputs'!$O$33),'2. GRI Pricing Inputs'!$N$32,IF(AND('3. GRI Pricing'!$F291&gt;='2. GRI Pricing Inputs'!$P$33,'3. GRI Pricing'!$F291&lt;='2. GRI Pricing Inputs'!$Q$33),'2. GRI Pricing Inputs'!$P$32,IF(AND('3. GRI Pricing'!$F291&gt;='2. GRI Pricing Inputs'!$R$33,'3. GRI Pricing'!$F291&lt;='2. GRI Pricing Inputs'!$S$33),'2. GRI Pricing Inputs'!$R$32,IF(AND('3. GRI Pricing'!$F291&gt;='2. GRI Pricing Inputs'!$T$33,'3. GRI Pricing'!$F291&lt;='2. GRI Pricing Inputs'!$U$33),'2. GRI Pricing Inputs'!$T$32,IF(AND('3. GRI Pricing'!$F291&gt;='2. GRI Pricing Inputs'!$V$33,'3. GRI Pricing'!$F291&lt;='2. GRI Pricing Inputs'!$W$33),'2. GRI Pricing Inputs'!$V$32,IF(AND('3. GRI Pricing'!$F291&gt;='2. GRI Pricing Inputs'!$X$33,'3. GRI Pricing'!$F291&lt;='2. GRI Pricing Inputs'!$Y$33),'2. GRI Pricing Inputs'!$X$32,IF(AND('3. GRI Pricing'!$F291&gt;='2. GRI Pricing Inputs'!$Z$33,'3. GRI Pricing'!$F291&lt;='2. GRI Pricing Inputs'!$AA$33),'2. GRI Pricing Inputs'!$Z$32,IF(AND('3. GRI Pricing'!$F291&gt;='2. GRI Pricing Inputs'!$AB$33,'3. GRI Pricing'!$F291&lt;='2. GRI Pricing Inputs'!$AC$33),'2. GRI Pricing Inputs'!$AB$32,IF(AND('3. GRI Pricing'!$F291&gt;='2. GRI Pricing Inputs'!$AD$33,'3. GRI Pricing'!$F291&lt;='2. GRI Pricing Inputs'!$AE$33),'2. GRI Pricing Inputs'!$AD$32,IF(AND('3. GRI Pricing'!$F291&gt;='2. GRI Pricing Inputs'!$AF$33,'3. GRI Pricing'!$F291&lt;='2. GRI Pricing Inputs'!$AG$33),'2. GRI Pricing Inputs'!$AF$32,IF(AND('3. GRI Pricing'!$F291&gt;='2. GRI Pricing Inputs'!$AH$33,'3. GRI Pricing'!$F291&lt;='2. GRI Pricing Inputs'!$AI$33),'2. GRI Pricing Inputs'!$AH$32,0))))))))))))))))</f>
        <v>15</v>
      </c>
      <c r="N291" s="273" cm="1">
        <f t="array" ref="N291">IFERROR(INDEX('2. GRI Pricing Inputs'!$C$32:$AI$39,MATCH('3. GRI Pricing'!D291,'2. GRI Pricing Inputs'!$C$32:$C$39,0),(MATCH('3. GRI Pricing'!M291,'2. GRI Pricing Inputs'!$D$32:$AI$32,0)+1)),0)</f>
        <v>70</v>
      </c>
      <c r="O291" s="273">
        <f>IFERROR(INDEX('2. GRI Pricing Inputs'!$C$45:$AI$46,MATCH($O$16,'2. GRI Pricing Inputs'!$C$45:$C$46,0),MATCH(G291,'2. GRI Pricing Inputs'!$C$45:$AI$45,0)),0)</f>
        <v>100</v>
      </c>
      <c r="P291" s="273">
        <f>IFERROR(INDEX('2. GRI Pricing Inputs'!$C$53:$AI$54,MATCH('3. GRI Pricing'!$P$16,'2. GRI Pricing Inputs'!$C$53:$C$54,0),MATCH('3. GRI Pricing'!H291,'2. GRI Pricing Inputs'!$C$53:$AI$53,0)),0)</f>
        <v>30</v>
      </c>
      <c r="Q291" s="273">
        <f>IFERROR(INDEX('2. GRI Pricing Inputs'!$C$60:$AI$61,MATCH('3. GRI Pricing'!$Q$16,'2. GRI Pricing Inputs'!$C$60:$C$61,0),MATCH('1. Accomodation'!T295,'2. GRI Pricing Inputs'!$C$60:$AI$60,0)),0)</f>
        <v>0</v>
      </c>
      <c r="R291" s="273">
        <f>IFERROR(INDEX('2. GRI Pricing Inputs'!$C$67:$AI$68,MATCH('3. GRI Pricing'!$R$16,'2. GRI Pricing Inputs'!$C$67:$C$68,0),MATCH('1. Accomodation'!U295,'2. GRI Pricing Inputs'!$C$67:$AI$67,0)),0)</f>
        <v>0</v>
      </c>
      <c r="S291" s="273">
        <f>IF(D291=0,0,'2. GRI Pricing Inputs'!$AI$75)</f>
        <v>70</v>
      </c>
      <c r="T291" s="273">
        <f>IFERROR(INDEX('2. GRI Pricing Inputs'!$C$82:$AI$83,MATCH('3. GRI Pricing'!$T$16,'2. GRI Pricing Inputs'!$C$82:$C$83,0),MATCH('1. Accomodation'!V295,'2. GRI Pricing Inputs'!$C$82:$AI$82,0)),0)</f>
        <v>0</v>
      </c>
      <c r="U291" s="273">
        <f>IFERROR(INDEX('2. GRI Pricing Inputs'!$C$89:$AI$90,MATCH('3. GRI Pricing'!$U$16,'2. GRI Pricing Inputs'!$C$89:$C$90,0),MATCH('1. Accomodation'!W295,'2. GRI Pricing Inputs'!$C$89:$AI$89,0)),0)</f>
        <v>0</v>
      </c>
      <c r="V291" s="273">
        <f>IFERROR(INDEX('2. GRI Pricing Inputs'!$C$97:$AI$98,MATCH('3. GRI Pricing'!$V$16,'2. GRI Pricing Inputs'!$C$97:$C$98,0),MATCH('1. Accomodation'!X295,'2. GRI Pricing Inputs'!$C$97:$AI$97,0)),0)</f>
        <v>0</v>
      </c>
      <c r="W291" s="273">
        <f>IFERROR(INDEX('2. GRI Pricing Inputs'!$C$104:$AI$105,MATCH('3. GRI Pricing'!$W$16,'2. GRI Pricing Inputs'!$C$104:$C$105,0),MATCH('1. Accomodation'!Y295,'2. GRI Pricing Inputs'!$C$104:$AI$104,0)),0)</f>
        <v>0</v>
      </c>
      <c r="X291" s="274">
        <v>0</v>
      </c>
      <c r="Y291" s="275">
        <f t="shared" si="11"/>
        <v>1755</v>
      </c>
      <c r="Z291" s="276"/>
      <c r="AA291" s="276"/>
      <c r="AB291" s="276"/>
      <c r="AC291" s="272">
        <f>Y291*(1+'2. GRI Pricing Inputs'!$D$114)^(($AC$16-$AB$15)/365)</f>
        <v>1760.8557829492884</v>
      </c>
      <c r="AD291" s="273">
        <f>AC291*(1+'2. GRI Pricing Inputs'!$D$114)^((AD$16-AC$16)/365)</f>
        <v>1766.5412723305594</v>
      </c>
      <c r="AE291" s="273">
        <f>AD291*(1+'2. GRI Pricing Inputs'!$D$114)^((AE$16-AD$16)/365)</f>
        <v>1772.4355642175835</v>
      </c>
      <c r="AF291" s="273">
        <f>AE291*(1+'2. GRI Pricing Inputs'!$D$114)^((AF$16-AE$16)/365)</f>
        <v>1778.3495231666761</v>
      </c>
      <c r="AG291" s="273">
        <f>AF291*(1+'2. GRI Pricing Inputs'!$D$114)^((AG$16-AF$16)/365)</f>
        <v>1783.899799232576</v>
      </c>
      <c r="AH291" s="273">
        <f>AG291*(1+'2. GRI Pricing Inputs'!$D$114)^((AH$16-AG$16)/365)</f>
        <v>1789.8520100745047</v>
      </c>
      <c r="AI291" s="273">
        <f>AH291*(1+'2. GRI Pricing Inputs'!$D$114)^((AI$16-AH$16)/365)</f>
        <v>1795.631123103444</v>
      </c>
      <c r="AJ291" s="273">
        <f>AI291*(1+'2. GRI Pricing Inputs'!$D$114)^((AJ$16-AI$16)/365)</f>
        <v>1801.622477014487</v>
      </c>
      <c r="AK291" s="273">
        <f>AJ291*(1+'2. GRI Pricing Inputs'!$D$114)^((AK$16-AJ$16)/365)</f>
        <v>1807.4395947826263</v>
      </c>
      <c r="AL291" s="273">
        <f>AK291*(1+'2. GRI Pricing Inputs'!$D$114)^((AL$16-AK$16)/365)</f>
        <v>1813.4703491763564</v>
      </c>
      <c r="AM291" s="273">
        <f>AL291*(1+'2. GRI Pricing Inputs'!$D$114)^((AM$16-AL$16)/365)</f>
        <v>1819.5212259568389</v>
      </c>
      <c r="AN291" s="273">
        <f>AM291*(1+'2. GRI Pricing Inputs'!$D$114)^((AN$16-AM$16)/365)</f>
        <v>1825.3961355941565</v>
      </c>
      <c r="AO291" s="273">
        <f>AN291*(1+'2. GRI Pricing Inputs'!$D$114)^((AO$16-AN$16)/365)</f>
        <v>1831.486804293022</v>
      </c>
    </row>
    <row r="292" spans="3:41" ht="12" x14ac:dyDescent="0.2">
      <c r="C292" s="76" t="str">
        <f>'1. Accomodation'!N296</f>
        <v>802W</v>
      </c>
      <c r="D292" s="69" t="str">
        <f>'1. Accomodation'!P296</f>
        <v>1 Bed</v>
      </c>
      <c r="E292" s="69">
        <f>'1. Accomodation'!Q296</f>
        <v>1</v>
      </c>
      <c r="F292" s="77">
        <f>'1. Accomodation'!O296</f>
        <v>495</v>
      </c>
      <c r="G292" s="69">
        <f>'1. Accomodation'!R296</f>
        <v>8</v>
      </c>
      <c r="H292" s="69" t="str">
        <f>'1. Accomodation'!S296</f>
        <v>Cityscape</v>
      </c>
      <c r="I292" s="62"/>
      <c r="K292" s="272">
        <f>IFERROR(INDEX('2. GRI Pricing Inputs'!$C$15:$AI$16,MATCH($K$16,'2. GRI Pricing Inputs'!$C$15:$C$16,0),MATCH(D292,'2. GRI Pricing Inputs'!$C$15:$AI$15,0)),0)</f>
        <v>845</v>
      </c>
      <c r="L292" s="273">
        <f>IFERROR(INDEX('2. GRI Pricing Inputs'!$C$22:$AI$23,MATCH($L$16,'2. GRI Pricing Inputs'!$C$22:$C$23,0),MATCH(E292,'2. GRI Pricing Inputs'!$C$22:$AI$22,0)),0)</f>
        <v>0</v>
      </c>
      <c r="M292" s="328">
        <f>IF(AND('3. GRI Pricing'!$F292&gt;='2. GRI Pricing Inputs'!$D$33,'3. GRI Pricing'!$F292&lt;='2. GRI Pricing Inputs'!$E$33),'2. GRI Pricing Inputs'!$D$32,IF(AND('3. GRI Pricing'!$F292&gt;='2. GRI Pricing Inputs'!$F$33,'3. GRI Pricing'!$F292&lt;='2. GRI Pricing Inputs'!$G$33),'2. GRI Pricing Inputs'!$F$32,IF(AND('3. GRI Pricing'!$F292&gt;='2. GRI Pricing Inputs'!$H$33,'3. GRI Pricing'!$F292&lt;='2. GRI Pricing Inputs'!$I$33),'2. GRI Pricing Inputs'!$H$32,IF(AND('3. GRI Pricing'!$F292&gt;='2. GRI Pricing Inputs'!$J$33,'3. GRI Pricing'!$F292&lt;='2. GRI Pricing Inputs'!$K$33),'2. GRI Pricing Inputs'!$J$32,IF(AND('3. GRI Pricing'!$F292&gt;='2. GRI Pricing Inputs'!$L$33,'3. GRI Pricing'!$F292&lt;='2. GRI Pricing Inputs'!$M$33),'2. GRI Pricing Inputs'!$L$32,IF(AND('3. GRI Pricing'!$F292&gt;='2. GRI Pricing Inputs'!$N$33,'3. GRI Pricing'!$F292&lt;='2. GRI Pricing Inputs'!$O$33),'2. GRI Pricing Inputs'!$N$32,IF(AND('3. GRI Pricing'!$F292&gt;='2. GRI Pricing Inputs'!$P$33,'3. GRI Pricing'!$F292&lt;='2. GRI Pricing Inputs'!$Q$33),'2. GRI Pricing Inputs'!$P$32,IF(AND('3. GRI Pricing'!$F292&gt;='2. GRI Pricing Inputs'!$R$33,'3. GRI Pricing'!$F292&lt;='2. GRI Pricing Inputs'!$S$33),'2. GRI Pricing Inputs'!$R$32,IF(AND('3. GRI Pricing'!$F292&gt;='2. GRI Pricing Inputs'!$T$33,'3. GRI Pricing'!$F292&lt;='2. GRI Pricing Inputs'!$U$33),'2. GRI Pricing Inputs'!$T$32,IF(AND('3. GRI Pricing'!$F292&gt;='2. GRI Pricing Inputs'!$V$33,'3. GRI Pricing'!$F292&lt;='2. GRI Pricing Inputs'!$W$33),'2. GRI Pricing Inputs'!$V$32,IF(AND('3. GRI Pricing'!$F292&gt;='2. GRI Pricing Inputs'!$X$33,'3. GRI Pricing'!$F292&lt;='2. GRI Pricing Inputs'!$Y$33),'2. GRI Pricing Inputs'!$X$32,IF(AND('3. GRI Pricing'!$F292&gt;='2. GRI Pricing Inputs'!$Z$33,'3. GRI Pricing'!$F292&lt;='2. GRI Pricing Inputs'!$AA$33),'2. GRI Pricing Inputs'!$Z$32,IF(AND('3. GRI Pricing'!$F292&gt;='2. GRI Pricing Inputs'!$AB$33,'3. GRI Pricing'!$F292&lt;='2. GRI Pricing Inputs'!$AC$33),'2. GRI Pricing Inputs'!$AB$32,IF(AND('3. GRI Pricing'!$F292&gt;='2. GRI Pricing Inputs'!$AD$33,'3. GRI Pricing'!$F292&lt;='2. GRI Pricing Inputs'!$AE$33),'2. GRI Pricing Inputs'!$AD$32,IF(AND('3. GRI Pricing'!$F292&gt;='2. GRI Pricing Inputs'!$AF$33,'3. GRI Pricing'!$F292&lt;='2. GRI Pricing Inputs'!$AG$33),'2. GRI Pricing Inputs'!$AF$32,IF(AND('3. GRI Pricing'!$F292&gt;='2. GRI Pricing Inputs'!$AH$33,'3. GRI Pricing'!$F292&lt;='2. GRI Pricing Inputs'!$AI$33),'2. GRI Pricing Inputs'!$AH$32,0))))))))))))))))</f>
        <v>2</v>
      </c>
      <c r="N292" s="273" cm="1">
        <f t="array" ref="N292">IFERROR(INDEX('2. GRI Pricing Inputs'!$C$32:$AI$39,MATCH('3. GRI Pricing'!D292,'2. GRI Pricing Inputs'!$C$32:$C$39,0),(MATCH('3. GRI Pricing'!M292,'2. GRI Pricing Inputs'!$D$32:$AI$32,0)+1)),0)</f>
        <v>15</v>
      </c>
      <c r="O292" s="273">
        <f>IFERROR(INDEX('2. GRI Pricing Inputs'!$C$45:$AI$46,MATCH($O$16,'2. GRI Pricing Inputs'!$C$45:$C$46,0),MATCH(G292,'2. GRI Pricing Inputs'!$C$45:$AI$45,0)),0)</f>
        <v>100</v>
      </c>
      <c r="P292" s="273">
        <f>IFERROR(INDEX('2. GRI Pricing Inputs'!$C$53:$AI$54,MATCH('3. GRI Pricing'!$P$16,'2. GRI Pricing Inputs'!$C$53:$C$54,0),MATCH('3. GRI Pricing'!H292,'2. GRI Pricing Inputs'!$C$53:$AI$53,0)),0)</f>
        <v>35</v>
      </c>
      <c r="Q292" s="273">
        <f>IFERROR(INDEX('2. GRI Pricing Inputs'!$C$60:$AI$61,MATCH('3. GRI Pricing'!$Q$16,'2. GRI Pricing Inputs'!$C$60:$C$61,0),MATCH('1. Accomodation'!T296,'2. GRI Pricing Inputs'!$C$60:$AI$60,0)),0)</f>
        <v>0</v>
      </c>
      <c r="R292" s="273">
        <f>IFERROR(INDEX('2. GRI Pricing Inputs'!$C$67:$AI$68,MATCH('3. GRI Pricing'!$R$16,'2. GRI Pricing Inputs'!$C$67:$C$68,0),MATCH('1. Accomodation'!U296,'2. GRI Pricing Inputs'!$C$67:$AI$67,0)),0)</f>
        <v>0</v>
      </c>
      <c r="S292" s="273">
        <f>IF(D292=0,0,'2. GRI Pricing Inputs'!$AI$75)</f>
        <v>70</v>
      </c>
      <c r="T292" s="273">
        <f>IFERROR(INDEX('2. GRI Pricing Inputs'!$C$82:$AI$83,MATCH('3. GRI Pricing'!$T$16,'2. GRI Pricing Inputs'!$C$82:$C$83,0),MATCH('1. Accomodation'!V296,'2. GRI Pricing Inputs'!$C$82:$AI$82,0)),0)</f>
        <v>0</v>
      </c>
      <c r="U292" s="273">
        <f>IFERROR(INDEX('2. GRI Pricing Inputs'!$C$89:$AI$90,MATCH('3. GRI Pricing'!$U$16,'2. GRI Pricing Inputs'!$C$89:$C$90,0),MATCH('1. Accomodation'!W296,'2. GRI Pricing Inputs'!$C$89:$AI$89,0)),0)</f>
        <v>0</v>
      </c>
      <c r="V292" s="273">
        <f>IFERROR(INDEX('2. GRI Pricing Inputs'!$C$97:$AI$98,MATCH('3. GRI Pricing'!$V$16,'2. GRI Pricing Inputs'!$C$97:$C$98,0),MATCH('1. Accomodation'!X296,'2. GRI Pricing Inputs'!$C$97:$AI$97,0)),0)</f>
        <v>0</v>
      </c>
      <c r="W292" s="273">
        <f>IFERROR(INDEX('2. GRI Pricing Inputs'!$C$104:$AI$105,MATCH('3. GRI Pricing'!$W$16,'2. GRI Pricing Inputs'!$C$104:$C$105,0),MATCH('1. Accomodation'!Y296,'2. GRI Pricing Inputs'!$C$104:$AI$104,0)),0)</f>
        <v>0</v>
      </c>
      <c r="X292" s="274">
        <v>0</v>
      </c>
      <c r="Y292" s="275">
        <f t="shared" si="11"/>
        <v>1065</v>
      </c>
      <c r="Z292" s="276"/>
      <c r="AA292" s="276"/>
      <c r="AB292" s="276"/>
      <c r="AC292" s="272">
        <f>Y292*(1+'2. GRI Pricing Inputs'!$D$114)^(($AC$16-$AB$15)/365)</f>
        <v>1068.5535093111066</v>
      </c>
      <c r="AD292" s="273">
        <f>AC292*(1+'2. GRI Pricing Inputs'!$D$114)^((AD$16-AC$16)/365)</f>
        <v>1072.0036780809378</v>
      </c>
      <c r="AE292" s="273">
        <f>AD292*(1+'2. GRI Pricing Inputs'!$D$114)^((AE$16-AD$16)/365)</f>
        <v>1075.5805560636618</v>
      </c>
      <c r="AF292" s="273">
        <f>AE292*(1+'2. GRI Pricing Inputs'!$D$114)^((AF$16-AE$16)/365)</f>
        <v>1079.1693687592649</v>
      </c>
      <c r="AG292" s="273">
        <f>AF292*(1+'2. GRI Pricing Inputs'!$D$114)^((AG$16-AF$16)/365)</f>
        <v>1082.5374850043836</v>
      </c>
      <c r="AH292" s="273">
        <f>AG292*(1+'2. GRI Pricing Inputs'!$D$114)^((AH$16-AG$16)/365)</f>
        <v>1086.1495103870925</v>
      </c>
      <c r="AI292" s="273">
        <f>AH292*(1+'2. GRI Pricing Inputs'!$D$114)^((AI$16-AH$16)/365)</f>
        <v>1089.6564935072181</v>
      </c>
      <c r="AJ292" s="273">
        <f>AI292*(1+'2. GRI Pricing Inputs'!$D$114)^((AJ$16-AI$16)/365)</f>
        <v>1093.2922723763127</v>
      </c>
      <c r="AK292" s="273">
        <f>AJ292*(1+'2. GRI Pricing Inputs'!$D$114)^((AK$16-AJ$16)/365)</f>
        <v>1096.8223182014228</v>
      </c>
      <c r="AL292" s="273">
        <f>AK292*(1+'2. GRI Pricing Inputs'!$D$114)^((AL$16-AK$16)/365)</f>
        <v>1100.4820067651394</v>
      </c>
      <c r="AM292" s="273">
        <f>AL292*(1+'2. GRI Pricing Inputs'!$D$114)^((AM$16-AL$16)/365)</f>
        <v>1104.1539063498767</v>
      </c>
      <c r="AN292" s="273">
        <f>AM292*(1+'2. GRI Pricing Inputs'!$D$114)^((AN$16-AM$16)/365)</f>
        <v>1107.7190224545736</v>
      </c>
      <c r="AO292" s="273">
        <f>AN292*(1+'2. GRI Pricing Inputs'!$D$114)^((AO$16-AN$16)/365)</f>
        <v>1111.415069271834</v>
      </c>
    </row>
    <row r="293" spans="3:41" ht="12" x14ac:dyDescent="0.2">
      <c r="C293" s="76" t="str">
        <f>'1. Accomodation'!N297</f>
        <v>803W</v>
      </c>
      <c r="D293" s="69" t="str">
        <f>'1. Accomodation'!P297</f>
        <v>1 Bed</v>
      </c>
      <c r="E293" s="69">
        <f>'1. Accomodation'!Q297</f>
        <v>1</v>
      </c>
      <c r="F293" s="77">
        <f>'1. Accomodation'!O297</f>
        <v>506</v>
      </c>
      <c r="G293" s="69">
        <f>'1. Accomodation'!R297</f>
        <v>8</v>
      </c>
      <c r="H293" s="69" t="str">
        <f>'1. Accomodation'!S297</f>
        <v>Railway Bridge - Higher</v>
      </c>
      <c r="I293" s="62"/>
      <c r="K293" s="272">
        <f>IFERROR(INDEX('2. GRI Pricing Inputs'!$C$15:$AI$16,MATCH($K$16,'2. GRI Pricing Inputs'!$C$15:$C$16,0),MATCH(D293,'2. GRI Pricing Inputs'!$C$15:$AI$15,0)),0)</f>
        <v>845</v>
      </c>
      <c r="L293" s="273">
        <f>IFERROR(INDEX('2. GRI Pricing Inputs'!$C$22:$AI$23,MATCH($L$16,'2. GRI Pricing Inputs'!$C$22:$C$23,0),MATCH(E293,'2. GRI Pricing Inputs'!$C$22:$AI$22,0)),0)</f>
        <v>0</v>
      </c>
      <c r="M293" s="328">
        <f>IF(AND('3. GRI Pricing'!$F293&gt;='2. GRI Pricing Inputs'!$D$33,'3. GRI Pricing'!$F293&lt;='2. GRI Pricing Inputs'!$E$33),'2. GRI Pricing Inputs'!$D$32,IF(AND('3. GRI Pricing'!$F293&gt;='2. GRI Pricing Inputs'!$F$33,'3. GRI Pricing'!$F293&lt;='2. GRI Pricing Inputs'!$G$33),'2. GRI Pricing Inputs'!$F$32,IF(AND('3. GRI Pricing'!$F293&gt;='2. GRI Pricing Inputs'!$H$33,'3. GRI Pricing'!$F293&lt;='2. GRI Pricing Inputs'!$I$33),'2. GRI Pricing Inputs'!$H$32,IF(AND('3. GRI Pricing'!$F293&gt;='2. GRI Pricing Inputs'!$J$33,'3. GRI Pricing'!$F293&lt;='2. GRI Pricing Inputs'!$K$33),'2. GRI Pricing Inputs'!$J$32,IF(AND('3. GRI Pricing'!$F293&gt;='2. GRI Pricing Inputs'!$L$33,'3. GRI Pricing'!$F293&lt;='2. GRI Pricing Inputs'!$M$33),'2. GRI Pricing Inputs'!$L$32,IF(AND('3. GRI Pricing'!$F293&gt;='2. GRI Pricing Inputs'!$N$33,'3. GRI Pricing'!$F293&lt;='2. GRI Pricing Inputs'!$O$33),'2. GRI Pricing Inputs'!$N$32,IF(AND('3. GRI Pricing'!$F293&gt;='2. GRI Pricing Inputs'!$P$33,'3. GRI Pricing'!$F293&lt;='2. GRI Pricing Inputs'!$Q$33),'2. GRI Pricing Inputs'!$P$32,IF(AND('3. GRI Pricing'!$F293&gt;='2. GRI Pricing Inputs'!$R$33,'3. GRI Pricing'!$F293&lt;='2. GRI Pricing Inputs'!$S$33),'2. GRI Pricing Inputs'!$R$32,IF(AND('3. GRI Pricing'!$F293&gt;='2. GRI Pricing Inputs'!$T$33,'3. GRI Pricing'!$F293&lt;='2. GRI Pricing Inputs'!$U$33),'2. GRI Pricing Inputs'!$T$32,IF(AND('3. GRI Pricing'!$F293&gt;='2. GRI Pricing Inputs'!$V$33,'3. GRI Pricing'!$F293&lt;='2. GRI Pricing Inputs'!$W$33),'2. GRI Pricing Inputs'!$V$32,IF(AND('3. GRI Pricing'!$F293&gt;='2. GRI Pricing Inputs'!$X$33,'3. GRI Pricing'!$F293&lt;='2. GRI Pricing Inputs'!$Y$33),'2. GRI Pricing Inputs'!$X$32,IF(AND('3. GRI Pricing'!$F293&gt;='2. GRI Pricing Inputs'!$Z$33,'3. GRI Pricing'!$F293&lt;='2. GRI Pricing Inputs'!$AA$33),'2. GRI Pricing Inputs'!$Z$32,IF(AND('3. GRI Pricing'!$F293&gt;='2. GRI Pricing Inputs'!$AB$33,'3. GRI Pricing'!$F293&lt;='2. GRI Pricing Inputs'!$AC$33),'2. GRI Pricing Inputs'!$AB$32,IF(AND('3. GRI Pricing'!$F293&gt;='2. GRI Pricing Inputs'!$AD$33,'3. GRI Pricing'!$F293&lt;='2. GRI Pricing Inputs'!$AE$33),'2. GRI Pricing Inputs'!$AD$32,IF(AND('3. GRI Pricing'!$F293&gt;='2. GRI Pricing Inputs'!$AF$33,'3. GRI Pricing'!$F293&lt;='2. GRI Pricing Inputs'!$AG$33),'2. GRI Pricing Inputs'!$AF$32,IF(AND('3. GRI Pricing'!$F293&gt;='2. GRI Pricing Inputs'!$AH$33,'3. GRI Pricing'!$F293&lt;='2. GRI Pricing Inputs'!$AI$33),'2. GRI Pricing Inputs'!$AH$32,0))))))))))))))))</f>
        <v>2</v>
      </c>
      <c r="N293" s="273" cm="1">
        <f t="array" ref="N293">IFERROR(INDEX('2. GRI Pricing Inputs'!$C$32:$AI$39,MATCH('3. GRI Pricing'!D293,'2. GRI Pricing Inputs'!$C$32:$C$39,0),(MATCH('3. GRI Pricing'!M293,'2. GRI Pricing Inputs'!$D$32:$AI$32,0)+1)),0)</f>
        <v>15</v>
      </c>
      <c r="O293" s="273">
        <f>IFERROR(INDEX('2. GRI Pricing Inputs'!$C$45:$AI$46,MATCH($O$16,'2. GRI Pricing Inputs'!$C$45:$C$46,0),MATCH(G293,'2. GRI Pricing Inputs'!$C$45:$AI$45,0)),0)</f>
        <v>100</v>
      </c>
      <c r="P293" s="273">
        <f>IFERROR(INDEX('2. GRI Pricing Inputs'!$C$53:$AI$54,MATCH('3. GRI Pricing'!$P$16,'2. GRI Pricing Inputs'!$C$53:$C$54,0),MATCH('3. GRI Pricing'!H293,'2. GRI Pricing Inputs'!$C$53:$AI$53,0)),0)</f>
        <v>30</v>
      </c>
      <c r="Q293" s="273">
        <f>IFERROR(INDEX('2. GRI Pricing Inputs'!$C$60:$AI$61,MATCH('3. GRI Pricing'!$Q$16,'2. GRI Pricing Inputs'!$C$60:$C$61,0),MATCH('1. Accomodation'!T297,'2. GRI Pricing Inputs'!$C$60:$AI$60,0)),0)</f>
        <v>0</v>
      </c>
      <c r="R293" s="273">
        <f>IFERROR(INDEX('2. GRI Pricing Inputs'!$C$67:$AI$68,MATCH('3. GRI Pricing'!$R$16,'2. GRI Pricing Inputs'!$C$67:$C$68,0),MATCH('1. Accomodation'!U297,'2. GRI Pricing Inputs'!$C$67:$AI$67,0)),0)</f>
        <v>0</v>
      </c>
      <c r="S293" s="273">
        <f>IF(D293=0,0,'2. GRI Pricing Inputs'!$AI$75)</f>
        <v>70</v>
      </c>
      <c r="T293" s="273">
        <f>IFERROR(INDEX('2. GRI Pricing Inputs'!$C$82:$AI$83,MATCH('3. GRI Pricing'!$T$16,'2. GRI Pricing Inputs'!$C$82:$C$83,0),MATCH('1. Accomodation'!V297,'2. GRI Pricing Inputs'!$C$82:$AI$82,0)),0)</f>
        <v>0</v>
      </c>
      <c r="U293" s="273">
        <f>IFERROR(INDEX('2. GRI Pricing Inputs'!$C$89:$AI$90,MATCH('3. GRI Pricing'!$U$16,'2. GRI Pricing Inputs'!$C$89:$C$90,0),MATCH('1. Accomodation'!W297,'2. GRI Pricing Inputs'!$C$89:$AI$89,0)),0)</f>
        <v>0</v>
      </c>
      <c r="V293" s="273">
        <f>IFERROR(INDEX('2. GRI Pricing Inputs'!$C$97:$AI$98,MATCH('3. GRI Pricing'!$V$16,'2. GRI Pricing Inputs'!$C$97:$C$98,0),MATCH('1. Accomodation'!X297,'2. GRI Pricing Inputs'!$C$97:$AI$97,0)),0)</f>
        <v>0</v>
      </c>
      <c r="W293" s="273">
        <f>IFERROR(INDEX('2. GRI Pricing Inputs'!$C$104:$AI$105,MATCH('3. GRI Pricing'!$W$16,'2. GRI Pricing Inputs'!$C$104:$C$105,0),MATCH('1. Accomodation'!Y297,'2. GRI Pricing Inputs'!$C$104:$AI$104,0)),0)</f>
        <v>0</v>
      </c>
      <c r="X293" s="274">
        <v>0</v>
      </c>
      <c r="Y293" s="275">
        <f t="shared" si="11"/>
        <v>1060</v>
      </c>
      <c r="Z293" s="276"/>
      <c r="AA293" s="276"/>
      <c r="AB293" s="276"/>
      <c r="AC293" s="272">
        <f>Y293*(1+'2. GRI Pricing Inputs'!$D$114)^(($AC$16-$AB$15)/365)</f>
        <v>1063.5368261688009</v>
      </c>
      <c r="AD293" s="273">
        <f>AC293*(1+'2. GRI Pricing Inputs'!$D$114)^((AD$16-AC$16)/365)</f>
        <v>1066.9707969631868</v>
      </c>
      <c r="AE293" s="273">
        <f>AD293*(1+'2. GRI Pricing Inputs'!$D$114)^((AE$16-AD$16)/365)</f>
        <v>1070.5308820915318</v>
      </c>
      <c r="AF293" s="273">
        <f>AE293*(1+'2. GRI Pricing Inputs'!$D$114)^((AF$16-AE$16)/365)</f>
        <v>1074.10284590124</v>
      </c>
      <c r="AG293" s="273">
        <f>AF293*(1+'2. GRI Pricing Inputs'!$D$114)^((AG$16-AF$16)/365)</f>
        <v>1077.4551493940344</v>
      </c>
      <c r="AH293" s="273">
        <f>AG293*(1+'2. GRI Pricing Inputs'!$D$114)^((AH$16-AG$16)/365)</f>
        <v>1081.0502169110966</v>
      </c>
      <c r="AI293" s="273">
        <f>AH293*(1+'2. GRI Pricing Inputs'!$D$114)^((AI$16-AH$16)/365)</f>
        <v>1084.5407353217381</v>
      </c>
      <c r="AJ293" s="273">
        <f>AI293*(1+'2. GRI Pricing Inputs'!$D$114)^((AJ$16-AI$16)/365)</f>
        <v>1088.1594448064707</v>
      </c>
      <c r="AK293" s="273">
        <f>AJ293*(1+'2. GRI Pricing Inputs'!$D$114)^((AK$16-AJ$16)/365)</f>
        <v>1091.6729176464864</v>
      </c>
      <c r="AL293" s="273">
        <f>AK293*(1+'2. GRI Pricing Inputs'!$D$114)^((AL$16-AK$16)/365)</f>
        <v>1095.3154245737537</v>
      </c>
      <c r="AM293" s="273">
        <f>AL293*(1+'2. GRI Pricing Inputs'!$D$114)^((AM$16-AL$16)/365)</f>
        <v>1098.9700851933044</v>
      </c>
      <c r="AN293" s="273">
        <f>AM293*(1+'2. GRI Pricing Inputs'!$D$114)^((AN$16-AM$16)/365)</f>
        <v>1102.5184636637071</v>
      </c>
      <c r="AO293" s="273">
        <f>AN293*(1+'2. GRI Pricing Inputs'!$D$114)^((AO$16-AN$16)/365)</f>
        <v>1106.197158148492</v>
      </c>
    </row>
    <row r="294" spans="3:41" ht="12" x14ac:dyDescent="0.2">
      <c r="C294" s="76" t="str">
        <f>'1. Accomodation'!N298</f>
        <v>804W</v>
      </c>
      <c r="D294" s="69" t="str">
        <f>'1. Accomodation'!P298</f>
        <v>2 Bed</v>
      </c>
      <c r="E294" s="69">
        <f>'1. Accomodation'!Q298</f>
        <v>2</v>
      </c>
      <c r="F294" s="77">
        <f>'1. Accomodation'!O298</f>
        <v>624</v>
      </c>
      <c r="G294" s="69">
        <f>'1. Accomodation'!R298</f>
        <v>8</v>
      </c>
      <c r="H294" s="69" t="str">
        <f>'1. Accomodation'!S298</f>
        <v>Railway Bridge - Higher</v>
      </c>
      <c r="I294" s="62"/>
      <c r="K294" s="272">
        <f>IFERROR(INDEX('2. GRI Pricing Inputs'!$C$15:$AI$16,MATCH($K$16,'2. GRI Pricing Inputs'!$C$15:$C$16,0),MATCH(D294,'2. GRI Pricing Inputs'!$C$15:$AI$15,0)),0)</f>
        <v>1110</v>
      </c>
      <c r="L294" s="273">
        <f>IFERROR(INDEX('2. GRI Pricing Inputs'!$C$22:$AI$23,MATCH($L$16,'2. GRI Pricing Inputs'!$C$22:$C$23,0),MATCH(E294,'2. GRI Pricing Inputs'!$C$22:$AI$22,0)),0)</f>
        <v>0</v>
      </c>
      <c r="M294" s="328">
        <f>IF(AND('3. GRI Pricing'!$F294&gt;='2. GRI Pricing Inputs'!$D$33,'3. GRI Pricing'!$F294&lt;='2. GRI Pricing Inputs'!$E$33),'2. GRI Pricing Inputs'!$D$32,IF(AND('3. GRI Pricing'!$F294&gt;='2. GRI Pricing Inputs'!$F$33,'3. GRI Pricing'!$F294&lt;='2. GRI Pricing Inputs'!$G$33),'2. GRI Pricing Inputs'!$F$32,IF(AND('3. GRI Pricing'!$F294&gt;='2. GRI Pricing Inputs'!$H$33,'3. GRI Pricing'!$F294&lt;='2. GRI Pricing Inputs'!$I$33),'2. GRI Pricing Inputs'!$H$32,IF(AND('3. GRI Pricing'!$F294&gt;='2. GRI Pricing Inputs'!$J$33,'3. GRI Pricing'!$F294&lt;='2. GRI Pricing Inputs'!$K$33),'2. GRI Pricing Inputs'!$J$32,IF(AND('3. GRI Pricing'!$F294&gt;='2. GRI Pricing Inputs'!$L$33,'3. GRI Pricing'!$F294&lt;='2. GRI Pricing Inputs'!$M$33),'2. GRI Pricing Inputs'!$L$32,IF(AND('3. GRI Pricing'!$F294&gt;='2. GRI Pricing Inputs'!$N$33,'3. GRI Pricing'!$F294&lt;='2. GRI Pricing Inputs'!$O$33),'2. GRI Pricing Inputs'!$N$32,IF(AND('3. GRI Pricing'!$F294&gt;='2. GRI Pricing Inputs'!$P$33,'3. GRI Pricing'!$F294&lt;='2. GRI Pricing Inputs'!$Q$33),'2. GRI Pricing Inputs'!$P$32,IF(AND('3. GRI Pricing'!$F294&gt;='2. GRI Pricing Inputs'!$R$33,'3. GRI Pricing'!$F294&lt;='2. GRI Pricing Inputs'!$S$33),'2. GRI Pricing Inputs'!$R$32,IF(AND('3. GRI Pricing'!$F294&gt;='2. GRI Pricing Inputs'!$T$33,'3. GRI Pricing'!$F294&lt;='2. GRI Pricing Inputs'!$U$33),'2. GRI Pricing Inputs'!$T$32,IF(AND('3. GRI Pricing'!$F294&gt;='2. GRI Pricing Inputs'!$V$33,'3. GRI Pricing'!$F294&lt;='2. GRI Pricing Inputs'!$W$33),'2. GRI Pricing Inputs'!$V$32,IF(AND('3. GRI Pricing'!$F294&gt;='2. GRI Pricing Inputs'!$X$33,'3. GRI Pricing'!$F294&lt;='2. GRI Pricing Inputs'!$Y$33),'2. GRI Pricing Inputs'!$X$32,IF(AND('3. GRI Pricing'!$F294&gt;='2. GRI Pricing Inputs'!$Z$33,'3. GRI Pricing'!$F294&lt;='2. GRI Pricing Inputs'!$AA$33),'2. GRI Pricing Inputs'!$Z$32,IF(AND('3. GRI Pricing'!$F294&gt;='2. GRI Pricing Inputs'!$AB$33,'3. GRI Pricing'!$F294&lt;='2. GRI Pricing Inputs'!$AC$33),'2. GRI Pricing Inputs'!$AB$32,IF(AND('3. GRI Pricing'!$F294&gt;='2. GRI Pricing Inputs'!$AD$33,'3. GRI Pricing'!$F294&lt;='2. GRI Pricing Inputs'!$AE$33),'2. GRI Pricing Inputs'!$AD$32,IF(AND('3. GRI Pricing'!$F294&gt;='2. GRI Pricing Inputs'!$AF$33,'3. GRI Pricing'!$F294&lt;='2. GRI Pricing Inputs'!$AG$33),'2. GRI Pricing Inputs'!$AF$32,IF(AND('3. GRI Pricing'!$F294&gt;='2. GRI Pricing Inputs'!$AH$33,'3. GRI Pricing'!$F294&lt;='2. GRI Pricing Inputs'!$AI$33),'2. GRI Pricing Inputs'!$AH$32,0))))))))))))))))</f>
        <v>7</v>
      </c>
      <c r="N294" s="273" cm="1">
        <f t="array" ref="N294">IFERROR(INDEX('2. GRI Pricing Inputs'!$C$32:$AI$39,MATCH('3. GRI Pricing'!D294,'2. GRI Pricing Inputs'!$C$32:$C$39,0),(MATCH('3. GRI Pricing'!M294,'2. GRI Pricing Inputs'!$D$32:$AI$32,0)+1)),0)</f>
        <v>10</v>
      </c>
      <c r="O294" s="273">
        <f>IFERROR(INDEX('2. GRI Pricing Inputs'!$C$45:$AI$46,MATCH($O$16,'2. GRI Pricing Inputs'!$C$45:$C$46,0),MATCH(G294,'2. GRI Pricing Inputs'!$C$45:$AI$45,0)),0)</f>
        <v>100</v>
      </c>
      <c r="P294" s="273">
        <f>IFERROR(INDEX('2. GRI Pricing Inputs'!$C$53:$AI$54,MATCH('3. GRI Pricing'!$P$16,'2. GRI Pricing Inputs'!$C$53:$C$54,0),MATCH('3. GRI Pricing'!H294,'2. GRI Pricing Inputs'!$C$53:$AI$53,0)),0)</f>
        <v>30</v>
      </c>
      <c r="Q294" s="273">
        <f>IFERROR(INDEX('2. GRI Pricing Inputs'!$C$60:$AI$61,MATCH('3. GRI Pricing'!$Q$16,'2. GRI Pricing Inputs'!$C$60:$C$61,0),MATCH('1. Accomodation'!T298,'2. GRI Pricing Inputs'!$C$60:$AI$60,0)),0)</f>
        <v>0</v>
      </c>
      <c r="R294" s="273">
        <f>IFERROR(INDEX('2. GRI Pricing Inputs'!$C$67:$AI$68,MATCH('3. GRI Pricing'!$R$16,'2. GRI Pricing Inputs'!$C$67:$C$68,0),MATCH('1. Accomodation'!U298,'2. GRI Pricing Inputs'!$C$67:$AI$67,0)),0)</f>
        <v>0</v>
      </c>
      <c r="S294" s="273">
        <f>IF(D294=0,0,'2. GRI Pricing Inputs'!$AI$75)</f>
        <v>70</v>
      </c>
      <c r="T294" s="273">
        <f>IFERROR(INDEX('2. GRI Pricing Inputs'!$C$82:$AI$83,MATCH('3. GRI Pricing'!$T$16,'2. GRI Pricing Inputs'!$C$82:$C$83,0),MATCH('1. Accomodation'!V298,'2. GRI Pricing Inputs'!$C$82:$AI$82,0)),0)</f>
        <v>0</v>
      </c>
      <c r="U294" s="273">
        <f>IFERROR(INDEX('2. GRI Pricing Inputs'!$C$89:$AI$90,MATCH('3. GRI Pricing'!$U$16,'2. GRI Pricing Inputs'!$C$89:$C$90,0),MATCH('1. Accomodation'!W298,'2. GRI Pricing Inputs'!$C$89:$AI$89,0)),0)</f>
        <v>0</v>
      </c>
      <c r="V294" s="273">
        <f>IFERROR(INDEX('2. GRI Pricing Inputs'!$C$97:$AI$98,MATCH('3. GRI Pricing'!$V$16,'2. GRI Pricing Inputs'!$C$97:$C$98,0),MATCH('1. Accomodation'!X298,'2. GRI Pricing Inputs'!$C$97:$AI$97,0)),0)</f>
        <v>0</v>
      </c>
      <c r="W294" s="273">
        <f>IFERROR(INDEX('2. GRI Pricing Inputs'!$C$104:$AI$105,MATCH('3. GRI Pricing'!$W$16,'2. GRI Pricing Inputs'!$C$104:$C$105,0),MATCH('1. Accomodation'!Y298,'2. GRI Pricing Inputs'!$C$104:$AI$104,0)),0)</f>
        <v>0</v>
      </c>
      <c r="X294" s="274">
        <v>0</v>
      </c>
      <c r="Y294" s="275">
        <f t="shared" si="11"/>
        <v>1320</v>
      </c>
      <c r="Z294" s="276"/>
      <c r="AA294" s="276"/>
      <c r="AB294" s="276"/>
      <c r="AC294" s="272">
        <f>Y294*(1+'2. GRI Pricing Inputs'!$D$114)^(($AC$16-$AB$15)/365)</f>
        <v>1324.4043495686954</v>
      </c>
      <c r="AD294" s="273">
        <f>AC294*(1+'2. GRI Pricing Inputs'!$D$114)^((AD$16-AC$16)/365)</f>
        <v>1328.6806150862326</v>
      </c>
      <c r="AE294" s="273">
        <f>AD294*(1+'2. GRI Pricing Inputs'!$D$114)^((AE$16-AD$16)/365)</f>
        <v>1333.1139286422849</v>
      </c>
      <c r="AF294" s="273">
        <f>AE294*(1+'2. GRI Pricing Inputs'!$D$114)^((AF$16-AE$16)/365)</f>
        <v>1337.5620345185255</v>
      </c>
      <c r="AG294" s="273">
        <f>AF294*(1+'2. GRI Pricing Inputs'!$D$114)^((AG$16-AF$16)/365)</f>
        <v>1341.7366011321938</v>
      </c>
      <c r="AH294" s="273">
        <f>AG294*(1+'2. GRI Pricing Inputs'!$D$114)^((AH$16-AG$16)/365)</f>
        <v>1346.2134776628752</v>
      </c>
      <c r="AI294" s="273">
        <f>AH294*(1+'2. GRI Pricing Inputs'!$D$114)^((AI$16-AH$16)/365)</f>
        <v>1350.5601609666928</v>
      </c>
      <c r="AJ294" s="273">
        <f>AI294*(1+'2. GRI Pricing Inputs'!$D$114)^((AJ$16-AI$16)/365)</f>
        <v>1355.0664784382466</v>
      </c>
      <c r="AK294" s="273">
        <f>AJ294*(1+'2. GRI Pricing Inputs'!$D$114)^((AK$16-AJ$16)/365)</f>
        <v>1359.441746503172</v>
      </c>
      <c r="AL294" s="273">
        <f>AK294*(1+'2. GRI Pricing Inputs'!$D$114)^((AL$16-AK$16)/365)</f>
        <v>1363.9776985258068</v>
      </c>
      <c r="AM294" s="273">
        <f>AL294*(1+'2. GRI Pricing Inputs'!$D$114)^((AM$16-AL$16)/365)</f>
        <v>1368.5287853350585</v>
      </c>
      <c r="AN294" s="273">
        <f>AM294*(1+'2. GRI Pricing Inputs'!$D$114)^((AN$16-AM$16)/365)</f>
        <v>1372.9475207887674</v>
      </c>
      <c r="AO294" s="273">
        <f>AN294*(1+'2. GRI Pricing Inputs'!$D$114)^((AO$16-AN$16)/365)</f>
        <v>1377.5285365622731</v>
      </c>
    </row>
    <row r="295" spans="3:41" ht="12" x14ac:dyDescent="0.2">
      <c r="C295" s="76" t="str">
        <f>'1. Accomodation'!N299</f>
        <v>805W</v>
      </c>
      <c r="D295" s="69" t="str">
        <f>'1. Accomodation'!P299</f>
        <v>2 Bed</v>
      </c>
      <c r="E295" s="69">
        <f>'1. Accomodation'!Q299</f>
        <v>2</v>
      </c>
      <c r="F295" s="77">
        <f>'1. Accomodation'!O299</f>
        <v>657</v>
      </c>
      <c r="G295" s="69">
        <f>'1. Accomodation'!R299</f>
        <v>8</v>
      </c>
      <c r="H295" s="69" t="str">
        <f>'1. Accomodation'!S299</f>
        <v>River- Partial</v>
      </c>
      <c r="I295" s="62"/>
      <c r="K295" s="272">
        <f>IFERROR(INDEX('2. GRI Pricing Inputs'!$C$15:$AI$16,MATCH($K$16,'2. GRI Pricing Inputs'!$C$15:$C$16,0),MATCH(D295,'2. GRI Pricing Inputs'!$C$15:$AI$15,0)),0)</f>
        <v>1110</v>
      </c>
      <c r="L295" s="273">
        <f>IFERROR(INDEX('2. GRI Pricing Inputs'!$C$22:$AI$23,MATCH($L$16,'2. GRI Pricing Inputs'!$C$22:$C$23,0),MATCH(E295,'2. GRI Pricing Inputs'!$C$22:$AI$22,0)),0)</f>
        <v>0</v>
      </c>
      <c r="M295" s="328">
        <f>IF(AND('3. GRI Pricing'!$F295&gt;='2. GRI Pricing Inputs'!$D$33,'3. GRI Pricing'!$F295&lt;='2. GRI Pricing Inputs'!$E$33),'2. GRI Pricing Inputs'!$D$32,IF(AND('3. GRI Pricing'!$F295&gt;='2. GRI Pricing Inputs'!$F$33,'3. GRI Pricing'!$F295&lt;='2. GRI Pricing Inputs'!$G$33),'2. GRI Pricing Inputs'!$F$32,IF(AND('3. GRI Pricing'!$F295&gt;='2. GRI Pricing Inputs'!$H$33,'3. GRI Pricing'!$F295&lt;='2. GRI Pricing Inputs'!$I$33),'2. GRI Pricing Inputs'!$H$32,IF(AND('3. GRI Pricing'!$F295&gt;='2. GRI Pricing Inputs'!$J$33,'3. GRI Pricing'!$F295&lt;='2. GRI Pricing Inputs'!$K$33),'2. GRI Pricing Inputs'!$J$32,IF(AND('3. GRI Pricing'!$F295&gt;='2. GRI Pricing Inputs'!$L$33,'3. GRI Pricing'!$F295&lt;='2. GRI Pricing Inputs'!$M$33),'2. GRI Pricing Inputs'!$L$32,IF(AND('3. GRI Pricing'!$F295&gt;='2. GRI Pricing Inputs'!$N$33,'3. GRI Pricing'!$F295&lt;='2. GRI Pricing Inputs'!$O$33),'2. GRI Pricing Inputs'!$N$32,IF(AND('3. GRI Pricing'!$F295&gt;='2. GRI Pricing Inputs'!$P$33,'3. GRI Pricing'!$F295&lt;='2. GRI Pricing Inputs'!$Q$33),'2. GRI Pricing Inputs'!$P$32,IF(AND('3. GRI Pricing'!$F295&gt;='2. GRI Pricing Inputs'!$R$33,'3. GRI Pricing'!$F295&lt;='2. GRI Pricing Inputs'!$S$33),'2. GRI Pricing Inputs'!$R$32,IF(AND('3. GRI Pricing'!$F295&gt;='2. GRI Pricing Inputs'!$T$33,'3. GRI Pricing'!$F295&lt;='2. GRI Pricing Inputs'!$U$33),'2. GRI Pricing Inputs'!$T$32,IF(AND('3. GRI Pricing'!$F295&gt;='2. GRI Pricing Inputs'!$V$33,'3. GRI Pricing'!$F295&lt;='2. GRI Pricing Inputs'!$W$33),'2. GRI Pricing Inputs'!$V$32,IF(AND('3. GRI Pricing'!$F295&gt;='2. GRI Pricing Inputs'!$X$33,'3. GRI Pricing'!$F295&lt;='2. GRI Pricing Inputs'!$Y$33),'2. GRI Pricing Inputs'!$X$32,IF(AND('3. GRI Pricing'!$F295&gt;='2. GRI Pricing Inputs'!$Z$33,'3. GRI Pricing'!$F295&lt;='2. GRI Pricing Inputs'!$AA$33),'2. GRI Pricing Inputs'!$Z$32,IF(AND('3. GRI Pricing'!$F295&gt;='2. GRI Pricing Inputs'!$AB$33,'3. GRI Pricing'!$F295&lt;='2. GRI Pricing Inputs'!$AC$33),'2. GRI Pricing Inputs'!$AB$32,IF(AND('3. GRI Pricing'!$F295&gt;='2. GRI Pricing Inputs'!$AD$33,'3. GRI Pricing'!$F295&lt;='2. GRI Pricing Inputs'!$AE$33),'2. GRI Pricing Inputs'!$AD$32,IF(AND('3. GRI Pricing'!$F295&gt;='2. GRI Pricing Inputs'!$AF$33,'3. GRI Pricing'!$F295&lt;='2. GRI Pricing Inputs'!$AG$33),'2. GRI Pricing Inputs'!$AF$32,IF(AND('3. GRI Pricing'!$F295&gt;='2. GRI Pricing Inputs'!$AH$33,'3. GRI Pricing'!$F295&lt;='2. GRI Pricing Inputs'!$AI$33),'2. GRI Pricing Inputs'!$AH$32,0))))))))))))))))</f>
        <v>8</v>
      </c>
      <c r="N295" s="273" cm="1">
        <f t="array" ref="N295">IFERROR(INDEX('2. GRI Pricing Inputs'!$C$32:$AI$39,MATCH('3. GRI Pricing'!D295,'2. GRI Pricing Inputs'!$C$32:$C$39,0),(MATCH('3. GRI Pricing'!M295,'2. GRI Pricing Inputs'!$D$32:$AI$32,0)+1)),0)</f>
        <v>20</v>
      </c>
      <c r="O295" s="273">
        <f>IFERROR(INDEX('2. GRI Pricing Inputs'!$C$45:$AI$46,MATCH($O$16,'2. GRI Pricing Inputs'!$C$45:$C$46,0),MATCH(G295,'2. GRI Pricing Inputs'!$C$45:$AI$45,0)),0)</f>
        <v>100</v>
      </c>
      <c r="P295" s="273">
        <f>IFERROR(INDEX('2. GRI Pricing Inputs'!$C$53:$AI$54,MATCH('3. GRI Pricing'!$P$16,'2. GRI Pricing Inputs'!$C$53:$C$54,0),MATCH('3. GRI Pricing'!H295,'2. GRI Pricing Inputs'!$C$53:$AI$53,0)),0)</f>
        <v>0</v>
      </c>
      <c r="Q295" s="273">
        <f>IFERROR(INDEX('2. GRI Pricing Inputs'!$C$60:$AI$61,MATCH('3. GRI Pricing'!$Q$16,'2. GRI Pricing Inputs'!$C$60:$C$61,0),MATCH('1. Accomodation'!T299,'2. GRI Pricing Inputs'!$C$60:$AI$60,0)),0)</f>
        <v>0</v>
      </c>
      <c r="R295" s="273">
        <f>IFERROR(INDEX('2. GRI Pricing Inputs'!$C$67:$AI$68,MATCH('3. GRI Pricing'!$R$16,'2. GRI Pricing Inputs'!$C$67:$C$68,0),MATCH('1. Accomodation'!U299,'2. GRI Pricing Inputs'!$C$67:$AI$67,0)),0)</f>
        <v>0</v>
      </c>
      <c r="S295" s="273">
        <f>IF(D295=0,0,'2. GRI Pricing Inputs'!$AI$75)</f>
        <v>70</v>
      </c>
      <c r="T295" s="273">
        <f>IFERROR(INDEX('2. GRI Pricing Inputs'!$C$82:$AI$83,MATCH('3. GRI Pricing'!$T$16,'2. GRI Pricing Inputs'!$C$82:$C$83,0),MATCH('1. Accomodation'!V299,'2. GRI Pricing Inputs'!$C$82:$AI$82,0)),0)</f>
        <v>0</v>
      </c>
      <c r="U295" s="273">
        <f>IFERROR(INDEX('2. GRI Pricing Inputs'!$C$89:$AI$90,MATCH('3. GRI Pricing'!$U$16,'2. GRI Pricing Inputs'!$C$89:$C$90,0),MATCH('1. Accomodation'!W299,'2. GRI Pricing Inputs'!$C$89:$AI$89,0)),0)</f>
        <v>0</v>
      </c>
      <c r="V295" s="273">
        <f>IFERROR(INDEX('2. GRI Pricing Inputs'!$C$97:$AI$98,MATCH('3. GRI Pricing'!$V$16,'2. GRI Pricing Inputs'!$C$97:$C$98,0),MATCH('1. Accomodation'!X299,'2. GRI Pricing Inputs'!$C$97:$AI$97,0)),0)</f>
        <v>0</v>
      </c>
      <c r="W295" s="273">
        <f>IFERROR(INDEX('2. GRI Pricing Inputs'!$C$104:$AI$105,MATCH('3. GRI Pricing'!$W$16,'2. GRI Pricing Inputs'!$C$104:$C$105,0),MATCH('1. Accomodation'!Y299,'2. GRI Pricing Inputs'!$C$104:$AI$104,0)),0)</f>
        <v>0</v>
      </c>
      <c r="X295" s="274">
        <v>0</v>
      </c>
      <c r="Y295" s="275">
        <f t="shared" si="11"/>
        <v>1300</v>
      </c>
      <c r="Z295" s="276"/>
      <c r="AA295" s="276"/>
      <c r="AB295" s="276"/>
      <c r="AC295" s="272">
        <f>Y295*(1+'2. GRI Pricing Inputs'!$D$114)^(($AC$16-$AB$15)/365)</f>
        <v>1304.3376169994729</v>
      </c>
      <c r="AD295" s="273">
        <f>AC295*(1+'2. GRI Pricing Inputs'!$D$114)^((AD$16-AC$16)/365)</f>
        <v>1308.5490906152293</v>
      </c>
      <c r="AE295" s="273">
        <f>AD295*(1+'2. GRI Pricing Inputs'!$D$114)^((AE$16-AD$16)/365)</f>
        <v>1312.9152327537656</v>
      </c>
      <c r="AF295" s="273">
        <f>AE295*(1+'2. GRI Pricing Inputs'!$D$114)^((AF$16-AE$16)/365)</f>
        <v>1317.2959430864269</v>
      </c>
      <c r="AG295" s="273">
        <f>AF295*(1+'2. GRI Pricing Inputs'!$D$114)^((AG$16-AF$16)/365)</f>
        <v>1321.4072586907971</v>
      </c>
      <c r="AH295" s="273">
        <f>AG295*(1+'2. GRI Pricing Inputs'!$D$114)^((AH$16-AG$16)/365)</f>
        <v>1325.8163037588924</v>
      </c>
      <c r="AI295" s="273">
        <f>AH295*(1+'2. GRI Pricing Inputs'!$D$114)^((AI$16-AH$16)/365)</f>
        <v>1330.0971282247733</v>
      </c>
      <c r="AJ295" s="273">
        <f>AI295*(1+'2. GRI Pricing Inputs'!$D$114)^((AJ$16-AI$16)/365)</f>
        <v>1334.5351681588793</v>
      </c>
      <c r="AK295" s="273">
        <f>AJ295*(1+'2. GRI Pricing Inputs'!$D$114)^((AK$16-AJ$16)/365)</f>
        <v>1338.8441442834269</v>
      </c>
      <c r="AL295" s="273">
        <f>AK295*(1+'2. GRI Pricing Inputs'!$D$114)^((AL$16-AK$16)/365)</f>
        <v>1343.3113697602641</v>
      </c>
      <c r="AM295" s="273">
        <f>AL295*(1+'2. GRI Pricing Inputs'!$D$114)^((AM$16-AL$16)/365)</f>
        <v>1347.7935007087697</v>
      </c>
      <c r="AN295" s="273">
        <f>AM295*(1+'2. GRI Pricing Inputs'!$D$114)^((AN$16-AM$16)/365)</f>
        <v>1352.1452856253011</v>
      </c>
      <c r="AO295" s="273">
        <f>AN295*(1+'2. GRI Pricing Inputs'!$D$114)^((AO$16-AN$16)/365)</f>
        <v>1356.6568920689051</v>
      </c>
    </row>
    <row r="296" spans="3:41" ht="12" x14ac:dyDescent="0.2">
      <c r="C296" s="76" t="str">
        <f>'1. Accomodation'!N300</f>
        <v>806W</v>
      </c>
      <c r="D296" s="69" t="str">
        <f>'1. Accomodation'!P300</f>
        <v>2 Bed</v>
      </c>
      <c r="E296" s="69">
        <f>'1. Accomodation'!Q300</f>
        <v>2</v>
      </c>
      <c r="F296" s="77">
        <f>'1. Accomodation'!O300</f>
        <v>689</v>
      </c>
      <c r="G296" s="69">
        <f>'1. Accomodation'!R300</f>
        <v>8</v>
      </c>
      <c r="H296" s="69" t="str">
        <f>'1. Accomodation'!S300</f>
        <v>River- Partial</v>
      </c>
      <c r="I296" s="62"/>
      <c r="K296" s="272">
        <f>IFERROR(INDEX('2. GRI Pricing Inputs'!$C$15:$AI$16,MATCH($K$16,'2. GRI Pricing Inputs'!$C$15:$C$16,0),MATCH(D296,'2. GRI Pricing Inputs'!$C$15:$AI$15,0)),0)</f>
        <v>1110</v>
      </c>
      <c r="L296" s="273">
        <f>IFERROR(INDEX('2. GRI Pricing Inputs'!$C$22:$AI$23,MATCH($L$16,'2. GRI Pricing Inputs'!$C$22:$C$23,0),MATCH(E296,'2. GRI Pricing Inputs'!$C$22:$AI$22,0)),0)</f>
        <v>0</v>
      </c>
      <c r="M296" s="328">
        <f>IF(AND('3. GRI Pricing'!$F296&gt;='2. GRI Pricing Inputs'!$D$33,'3. GRI Pricing'!$F296&lt;='2. GRI Pricing Inputs'!$E$33),'2. GRI Pricing Inputs'!$D$32,IF(AND('3. GRI Pricing'!$F296&gt;='2. GRI Pricing Inputs'!$F$33,'3. GRI Pricing'!$F296&lt;='2. GRI Pricing Inputs'!$G$33),'2. GRI Pricing Inputs'!$F$32,IF(AND('3. GRI Pricing'!$F296&gt;='2. GRI Pricing Inputs'!$H$33,'3. GRI Pricing'!$F296&lt;='2. GRI Pricing Inputs'!$I$33),'2. GRI Pricing Inputs'!$H$32,IF(AND('3. GRI Pricing'!$F296&gt;='2. GRI Pricing Inputs'!$J$33,'3. GRI Pricing'!$F296&lt;='2. GRI Pricing Inputs'!$K$33),'2. GRI Pricing Inputs'!$J$32,IF(AND('3. GRI Pricing'!$F296&gt;='2. GRI Pricing Inputs'!$L$33,'3. GRI Pricing'!$F296&lt;='2. GRI Pricing Inputs'!$M$33),'2. GRI Pricing Inputs'!$L$32,IF(AND('3. GRI Pricing'!$F296&gt;='2. GRI Pricing Inputs'!$N$33,'3. GRI Pricing'!$F296&lt;='2. GRI Pricing Inputs'!$O$33),'2. GRI Pricing Inputs'!$N$32,IF(AND('3. GRI Pricing'!$F296&gt;='2. GRI Pricing Inputs'!$P$33,'3. GRI Pricing'!$F296&lt;='2. GRI Pricing Inputs'!$Q$33),'2. GRI Pricing Inputs'!$P$32,IF(AND('3. GRI Pricing'!$F296&gt;='2. GRI Pricing Inputs'!$R$33,'3. GRI Pricing'!$F296&lt;='2. GRI Pricing Inputs'!$S$33),'2. GRI Pricing Inputs'!$R$32,IF(AND('3. GRI Pricing'!$F296&gt;='2. GRI Pricing Inputs'!$T$33,'3. GRI Pricing'!$F296&lt;='2. GRI Pricing Inputs'!$U$33),'2. GRI Pricing Inputs'!$T$32,IF(AND('3. GRI Pricing'!$F296&gt;='2. GRI Pricing Inputs'!$V$33,'3. GRI Pricing'!$F296&lt;='2. GRI Pricing Inputs'!$W$33),'2. GRI Pricing Inputs'!$V$32,IF(AND('3. GRI Pricing'!$F296&gt;='2. GRI Pricing Inputs'!$X$33,'3. GRI Pricing'!$F296&lt;='2. GRI Pricing Inputs'!$Y$33),'2. GRI Pricing Inputs'!$X$32,IF(AND('3. GRI Pricing'!$F296&gt;='2. GRI Pricing Inputs'!$Z$33,'3. GRI Pricing'!$F296&lt;='2. GRI Pricing Inputs'!$AA$33),'2. GRI Pricing Inputs'!$Z$32,IF(AND('3. GRI Pricing'!$F296&gt;='2. GRI Pricing Inputs'!$AB$33,'3. GRI Pricing'!$F296&lt;='2. GRI Pricing Inputs'!$AC$33),'2. GRI Pricing Inputs'!$AB$32,IF(AND('3. GRI Pricing'!$F296&gt;='2. GRI Pricing Inputs'!$AD$33,'3. GRI Pricing'!$F296&lt;='2. GRI Pricing Inputs'!$AE$33),'2. GRI Pricing Inputs'!$AD$32,IF(AND('3. GRI Pricing'!$F296&gt;='2. GRI Pricing Inputs'!$AF$33,'3. GRI Pricing'!$F296&lt;='2. GRI Pricing Inputs'!$AG$33),'2. GRI Pricing Inputs'!$AF$32,IF(AND('3. GRI Pricing'!$F296&gt;='2. GRI Pricing Inputs'!$AH$33,'3. GRI Pricing'!$F296&lt;='2. GRI Pricing Inputs'!$AI$33),'2. GRI Pricing Inputs'!$AH$32,0))))))))))))))))</f>
        <v>11</v>
      </c>
      <c r="N296" s="273" cm="1">
        <f t="array" ref="N296">IFERROR(INDEX('2. GRI Pricing Inputs'!$C$32:$AI$39,MATCH('3. GRI Pricing'!D296,'2. GRI Pricing Inputs'!$C$32:$C$39,0),(MATCH('3. GRI Pricing'!M296,'2. GRI Pricing Inputs'!$D$32:$AI$32,0)+1)),0)</f>
        <v>65</v>
      </c>
      <c r="O296" s="273">
        <f>IFERROR(INDEX('2. GRI Pricing Inputs'!$C$45:$AI$46,MATCH($O$16,'2. GRI Pricing Inputs'!$C$45:$C$46,0),MATCH(G296,'2. GRI Pricing Inputs'!$C$45:$AI$45,0)),0)</f>
        <v>100</v>
      </c>
      <c r="P296" s="273">
        <f>IFERROR(INDEX('2. GRI Pricing Inputs'!$C$53:$AI$54,MATCH('3. GRI Pricing'!$P$16,'2. GRI Pricing Inputs'!$C$53:$C$54,0),MATCH('3. GRI Pricing'!H296,'2. GRI Pricing Inputs'!$C$53:$AI$53,0)),0)</f>
        <v>0</v>
      </c>
      <c r="Q296" s="273">
        <f>IFERROR(INDEX('2. GRI Pricing Inputs'!$C$60:$AI$61,MATCH('3. GRI Pricing'!$Q$16,'2. GRI Pricing Inputs'!$C$60:$C$61,0),MATCH('1. Accomodation'!T300,'2. GRI Pricing Inputs'!$C$60:$AI$60,0)),0)</f>
        <v>0</v>
      </c>
      <c r="R296" s="273">
        <f>IFERROR(INDEX('2. GRI Pricing Inputs'!$C$67:$AI$68,MATCH('3. GRI Pricing'!$R$16,'2. GRI Pricing Inputs'!$C$67:$C$68,0),MATCH('1. Accomodation'!U300,'2. GRI Pricing Inputs'!$C$67:$AI$67,0)),0)</f>
        <v>0</v>
      </c>
      <c r="S296" s="273">
        <f>IF(D296=0,0,'2. GRI Pricing Inputs'!$AI$75)</f>
        <v>70</v>
      </c>
      <c r="T296" s="273">
        <f>IFERROR(INDEX('2. GRI Pricing Inputs'!$C$82:$AI$83,MATCH('3. GRI Pricing'!$T$16,'2. GRI Pricing Inputs'!$C$82:$C$83,0),MATCH('1. Accomodation'!V300,'2. GRI Pricing Inputs'!$C$82:$AI$82,0)),0)</f>
        <v>0</v>
      </c>
      <c r="U296" s="273">
        <f>IFERROR(INDEX('2. GRI Pricing Inputs'!$C$89:$AI$90,MATCH('3. GRI Pricing'!$U$16,'2. GRI Pricing Inputs'!$C$89:$C$90,0),MATCH('1. Accomodation'!W300,'2. GRI Pricing Inputs'!$C$89:$AI$89,0)),0)</f>
        <v>0</v>
      </c>
      <c r="V296" s="273">
        <f>IFERROR(INDEX('2. GRI Pricing Inputs'!$C$97:$AI$98,MATCH('3. GRI Pricing'!$V$16,'2. GRI Pricing Inputs'!$C$97:$C$98,0),MATCH('1. Accomodation'!X300,'2. GRI Pricing Inputs'!$C$97:$AI$97,0)),0)</f>
        <v>0</v>
      </c>
      <c r="W296" s="273">
        <f>IFERROR(INDEX('2. GRI Pricing Inputs'!$C$104:$AI$105,MATCH('3. GRI Pricing'!$W$16,'2. GRI Pricing Inputs'!$C$104:$C$105,0),MATCH('1. Accomodation'!Y300,'2. GRI Pricing Inputs'!$C$104:$AI$104,0)),0)</f>
        <v>0</v>
      </c>
      <c r="X296" s="274">
        <v>0</v>
      </c>
      <c r="Y296" s="275">
        <f t="shared" si="11"/>
        <v>1345</v>
      </c>
      <c r="Z296" s="276"/>
      <c r="AA296" s="276"/>
      <c r="AB296" s="276"/>
      <c r="AC296" s="272">
        <f>Y296*(1+'2. GRI Pricing Inputs'!$D$114)^(($AC$16-$AB$15)/365)</f>
        <v>1349.4877652802238</v>
      </c>
      <c r="AD296" s="273">
        <f>AC296*(1+'2. GRI Pricing Inputs'!$D$114)^((AD$16-AC$16)/365)</f>
        <v>1353.8450206749872</v>
      </c>
      <c r="AE296" s="273">
        <f>AD296*(1+'2. GRI Pricing Inputs'!$D$114)^((AE$16-AD$16)/365)</f>
        <v>1358.3622985029344</v>
      </c>
      <c r="AF296" s="273">
        <f>AE296*(1+'2. GRI Pricing Inputs'!$D$114)^((AF$16-AE$16)/365)</f>
        <v>1362.8946488086492</v>
      </c>
      <c r="AG296" s="273">
        <f>AF296*(1+'2. GRI Pricing Inputs'!$D$114)^((AG$16-AF$16)/365)</f>
        <v>1367.1482791839401</v>
      </c>
      <c r="AH296" s="273">
        <f>AG296*(1+'2. GRI Pricing Inputs'!$D$114)^((AH$16-AG$16)/365)</f>
        <v>1371.7099450428541</v>
      </c>
      <c r="AI296" s="273">
        <f>AH296*(1+'2. GRI Pricing Inputs'!$D$114)^((AI$16-AH$16)/365)</f>
        <v>1376.1389518940925</v>
      </c>
      <c r="AJ296" s="273">
        <f>AI296*(1+'2. GRI Pricing Inputs'!$D$114)^((AJ$16-AI$16)/365)</f>
        <v>1380.7306162874561</v>
      </c>
      <c r="AK296" s="273">
        <f>AJ296*(1+'2. GRI Pricing Inputs'!$D$114)^((AK$16-AJ$16)/365)</f>
        <v>1385.1887492778535</v>
      </c>
      <c r="AL296" s="273">
        <f>AK296*(1+'2. GRI Pricing Inputs'!$D$114)^((AL$16-AK$16)/365)</f>
        <v>1389.8106094827351</v>
      </c>
      <c r="AM296" s="273">
        <f>AL296*(1+'2. GRI Pricing Inputs'!$D$114)^((AM$16-AL$16)/365)</f>
        <v>1394.4478911179197</v>
      </c>
      <c r="AN296" s="273">
        <f>AM296*(1+'2. GRI Pricing Inputs'!$D$114)^((AN$16-AM$16)/365)</f>
        <v>1398.9503147431003</v>
      </c>
      <c r="AO296" s="273">
        <f>AN296*(1+'2. GRI Pricing Inputs'!$D$114)^((AO$16-AN$16)/365)</f>
        <v>1403.618092178983</v>
      </c>
    </row>
    <row r="297" spans="3:41" ht="12" x14ac:dyDescent="0.2">
      <c r="C297" s="76" t="str">
        <f>'1. Accomodation'!N301</f>
        <v>807W</v>
      </c>
      <c r="D297" s="69" t="str">
        <f>'1. Accomodation'!P301</f>
        <v>2 Bed</v>
      </c>
      <c r="E297" s="69">
        <f>'1. Accomodation'!Q301</f>
        <v>2</v>
      </c>
      <c r="F297" s="77">
        <f>'1. Accomodation'!O301</f>
        <v>678</v>
      </c>
      <c r="G297" s="69">
        <f>'1. Accomodation'!R301</f>
        <v>8</v>
      </c>
      <c r="H297" s="69" t="str">
        <f>'1. Accomodation'!S301</f>
        <v>Railway Bridge - Higher</v>
      </c>
      <c r="I297" s="62"/>
      <c r="K297" s="272">
        <f>IFERROR(INDEX('2. GRI Pricing Inputs'!$C$15:$AI$16,MATCH($K$16,'2. GRI Pricing Inputs'!$C$15:$C$16,0),MATCH(D297,'2. GRI Pricing Inputs'!$C$15:$AI$15,0)),0)</f>
        <v>1110</v>
      </c>
      <c r="L297" s="273">
        <f>IFERROR(INDEX('2. GRI Pricing Inputs'!$C$22:$AI$23,MATCH($L$16,'2. GRI Pricing Inputs'!$C$22:$C$23,0),MATCH(E297,'2. GRI Pricing Inputs'!$C$22:$AI$22,0)),0)</f>
        <v>0</v>
      </c>
      <c r="M297" s="328">
        <f>IF(AND('3. GRI Pricing'!$F297&gt;='2. GRI Pricing Inputs'!$D$33,'3. GRI Pricing'!$F297&lt;='2. GRI Pricing Inputs'!$E$33),'2. GRI Pricing Inputs'!$D$32,IF(AND('3. GRI Pricing'!$F297&gt;='2. GRI Pricing Inputs'!$F$33,'3. GRI Pricing'!$F297&lt;='2. GRI Pricing Inputs'!$G$33),'2. GRI Pricing Inputs'!$F$32,IF(AND('3. GRI Pricing'!$F297&gt;='2. GRI Pricing Inputs'!$H$33,'3. GRI Pricing'!$F297&lt;='2. GRI Pricing Inputs'!$I$33),'2. GRI Pricing Inputs'!$H$32,IF(AND('3. GRI Pricing'!$F297&gt;='2. GRI Pricing Inputs'!$J$33,'3. GRI Pricing'!$F297&lt;='2. GRI Pricing Inputs'!$K$33),'2. GRI Pricing Inputs'!$J$32,IF(AND('3. GRI Pricing'!$F297&gt;='2. GRI Pricing Inputs'!$L$33,'3. GRI Pricing'!$F297&lt;='2. GRI Pricing Inputs'!$M$33),'2. GRI Pricing Inputs'!$L$32,IF(AND('3. GRI Pricing'!$F297&gt;='2. GRI Pricing Inputs'!$N$33,'3. GRI Pricing'!$F297&lt;='2. GRI Pricing Inputs'!$O$33),'2. GRI Pricing Inputs'!$N$32,IF(AND('3. GRI Pricing'!$F297&gt;='2. GRI Pricing Inputs'!$P$33,'3. GRI Pricing'!$F297&lt;='2. GRI Pricing Inputs'!$Q$33),'2. GRI Pricing Inputs'!$P$32,IF(AND('3. GRI Pricing'!$F297&gt;='2. GRI Pricing Inputs'!$R$33,'3. GRI Pricing'!$F297&lt;='2. GRI Pricing Inputs'!$S$33),'2. GRI Pricing Inputs'!$R$32,IF(AND('3. GRI Pricing'!$F297&gt;='2. GRI Pricing Inputs'!$T$33,'3. GRI Pricing'!$F297&lt;='2. GRI Pricing Inputs'!$U$33),'2. GRI Pricing Inputs'!$T$32,IF(AND('3. GRI Pricing'!$F297&gt;='2. GRI Pricing Inputs'!$V$33,'3. GRI Pricing'!$F297&lt;='2. GRI Pricing Inputs'!$W$33),'2. GRI Pricing Inputs'!$V$32,IF(AND('3. GRI Pricing'!$F297&gt;='2. GRI Pricing Inputs'!$X$33,'3. GRI Pricing'!$F297&lt;='2. GRI Pricing Inputs'!$Y$33),'2. GRI Pricing Inputs'!$X$32,IF(AND('3. GRI Pricing'!$F297&gt;='2. GRI Pricing Inputs'!$Z$33,'3. GRI Pricing'!$F297&lt;='2. GRI Pricing Inputs'!$AA$33),'2. GRI Pricing Inputs'!$Z$32,IF(AND('3. GRI Pricing'!$F297&gt;='2. GRI Pricing Inputs'!$AB$33,'3. GRI Pricing'!$F297&lt;='2. GRI Pricing Inputs'!$AC$33),'2. GRI Pricing Inputs'!$AB$32,IF(AND('3. GRI Pricing'!$F297&gt;='2. GRI Pricing Inputs'!$AD$33,'3. GRI Pricing'!$F297&lt;='2. GRI Pricing Inputs'!$AE$33),'2. GRI Pricing Inputs'!$AD$32,IF(AND('3. GRI Pricing'!$F297&gt;='2. GRI Pricing Inputs'!$AF$33,'3. GRI Pricing'!$F297&lt;='2. GRI Pricing Inputs'!$AG$33),'2. GRI Pricing Inputs'!$AF$32,IF(AND('3. GRI Pricing'!$F297&gt;='2. GRI Pricing Inputs'!$AH$33,'3. GRI Pricing'!$F297&lt;='2. GRI Pricing Inputs'!$AI$33),'2. GRI Pricing Inputs'!$AH$32,0))))))))))))))))</f>
        <v>10</v>
      </c>
      <c r="N297" s="273" cm="1">
        <f t="array" ref="N297">IFERROR(INDEX('2. GRI Pricing Inputs'!$C$32:$AI$39,MATCH('3. GRI Pricing'!D297,'2. GRI Pricing Inputs'!$C$32:$C$39,0),(MATCH('3. GRI Pricing'!M297,'2. GRI Pricing Inputs'!$D$32:$AI$32,0)+1)),0)</f>
        <v>40</v>
      </c>
      <c r="O297" s="273">
        <f>IFERROR(INDEX('2. GRI Pricing Inputs'!$C$45:$AI$46,MATCH($O$16,'2. GRI Pricing Inputs'!$C$45:$C$46,0),MATCH(G297,'2. GRI Pricing Inputs'!$C$45:$AI$45,0)),0)</f>
        <v>100</v>
      </c>
      <c r="P297" s="273">
        <f>IFERROR(INDEX('2. GRI Pricing Inputs'!$C$53:$AI$54,MATCH('3. GRI Pricing'!$P$16,'2. GRI Pricing Inputs'!$C$53:$C$54,0),MATCH('3. GRI Pricing'!H297,'2. GRI Pricing Inputs'!$C$53:$AI$53,0)),0)</f>
        <v>30</v>
      </c>
      <c r="Q297" s="273">
        <f>IFERROR(INDEX('2. GRI Pricing Inputs'!$C$60:$AI$61,MATCH('3. GRI Pricing'!$Q$16,'2. GRI Pricing Inputs'!$C$60:$C$61,0),MATCH('1. Accomodation'!T301,'2. GRI Pricing Inputs'!$C$60:$AI$60,0)),0)</f>
        <v>0</v>
      </c>
      <c r="R297" s="273">
        <f>IFERROR(INDEX('2. GRI Pricing Inputs'!$C$67:$AI$68,MATCH('3. GRI Pricing'!$R$16,'2. GRI Pricing Inputs'!$C$67:$C$68,0),MATCH('1. Accomodation'!U301,'2. GRI Pricing Inputs'!$C$67:$AI$67,0)),0)</f>
        <v>0</v>
      </c>
      <c r="S297" s="273">
        <f>IF(D297=0,0,'2. GRI Pricing Inputs'!$AI$75)</f>
        <v>70</v>
      </c>
      <c r="T297" s="273">
        <f>IFERROR(INDEX('2. GRI Pricing Inputs'!$C$82:$AI$83,MATCH('3. GRI Pricing'!$T$16,'2. GRI Pricing Inputs'!$C$82:$C$83,0),MATCH('1. Accomodation'!V301,'2. GRI Pricing Inputs'!$C$82:$AI$82,0)),0)</f>
        <v>0</v>
      </c>
      <c r="U297" s="273">
        <f>IFERROR(INDEX('2. GRI Pricing Inputs'!$C$89:$AI$90,MATCH('3. GRI Pricing'!$U$16,'2. GRI Pricing Inputs'!$C$89:$C$90,0),MATCH('1. Accomodation'!W301,'2. GRI Pricing Inputs'!$C$89:$AI$89,0)),0)</f>
        <v>0</v>
      </c>
      <c r="V297" s="273">
        <f>IFERROR(INDEX('2. GRI Pricing Inputs'!$C$97:$AI$98,MATCH('3. GRI Pricing'!$V$16,'2. GRI Pricing Inputs'!$C$97:$C$98,0),MATCH('1. Accomodation'!X301,'2. GRI Pricing Inputs'!$C$97:$AI$97,0)),0)</f>
        <v>0</v>
      </c>
      <c r="W297" s="273">
        <f>IFERROR(INDEX('2. GRI Pricing Inputs'!$C$104:$AI$105,MATCH('3. GRI Pricing'!$W$16,'2. GRI Pricing Inputs'!$C$104:$C$105,0),MATCH('1. Accomodation'!Y301,'2. GRI Pricing Inputs'!$C$104:$AI$104,0)),0)</f>
        <v>0</v>
      </c>
      <c r="X297" s="274">
        <v>0</v>
      </c>
      <c r="Y297" s="275">
        <f t="shared" si="11"/>
        <v>1350</v>
      </c>
      <c r="Z297" s="276"/>
      <c r="AA297" s="276"/>
      <c r="AB297" s="276"/>
      <c r="AC297" s="272">
        <f>Y297*(1+'2. GRI Pricing Inputs'!$D$114)^(($AC$16-$AB$15)/365)</f>
        <v>1354.5044484225295</v>
      </c>
      <c r="AD297" s="273">
        <f>AC297*(1+'2. GRI Pricing Inputs'!$D$114)^((AD$16-AC$16)/365)</f>
        <v>1358.8779017927382</v>
      </c>
      <c r="AE297" s="273">
        <f>AD297*(1+'2. GRI Pricing Inputs'!$D$114)^((AE$16-AD$16)/365)</f>
        <v>1363.4119724750644</v>
      </c>
      <c r="AF297" s="273">
        <f>AE297*(1+'2. GRI Pricing Inputs'!$D$114)^((AF$16-AE$16)/365)</f>
        <v>1367.9611716666741</v>
      </c>
      <c r="AG297" s="273">
        <f>AF297*(1+'2. GRI Pricing Inputs'!$D$114)^((AG$16-AF$16)/365)</f>
        <v>1372.2306147942895</v>
      </c>
      <c r="AH297" s="273">
        <f>AG297*(1+'2. GRI Pricing Inputs'!$D$114)^((AH$16-AG$16)/365)</f>
        <v>1376.8092385188502</v>
      </c>
      <c r="AI297" s="273">
        <f>AH297*(1+'2. GRI Pricing Inputs'!$D$114)^((AI$16-AH$16)/365)</f>
        <v>1381.2547100795728</v>
      </c>
      <c r="AJ297" s="273">
        <f>AI297*(1+'2. GRI Pricing Inputs'!$D$114)^((AJ$16-AI$16)/365)</f>
        <v>1385.8634438572981</v>
      </c>
      <c r="AK297" s="273">
        <f>AJ297*(1+'2. GRI Pricing Inputs'!$D$114)^((AK$16-AJ$16)/365)</f>
        <v>1390.3381498327899</v>
      </c>
      <c r="AL297" s="273">
        <f>AK297*(1+'2. GRI Pricing Inputs'!$D$114)^((AL$16-AK$16)/365)</f>
        <v>1394.9771916741208</v>
      </c>
      <c r="AM297" s="273">
        <f>AL297*(1+'2. GRI Pricing Inputs'!$D$114)^((AM$16-AL$16)/365)</f>
        <v>1399.631712274492</v>
      </c>
      <c r="AN297" s="273">
        <f>AM297*(1+'2. GRI Pricing Inputs'!$D$114)^((AN$16-AM$16)/365)</f>
        <v>1404.1508735339669</v>
      </c>
      <c r="AO297" s="273">
        <f>AN297*(1+'2. GRI Pricing Inputs'!$D$114)^((AO$16-AN$16)/365)</f>
        <v>1408.836003302325</v>
      </c>
    </row>
    <row r="298" spans="3:41" ht="12" x14ac:dyDescent="0.2">
      <c r="C298" s="76" t="str">
        <f>'1. Accomodation'!N302</f>
        <v>808W</v>
      </c>
      <c r="D298" s="69" t="str">
        <f>'1. Accomodation'!P302</f>
        <v>1 Bed</v>
      </c>
      <c r="E298" s="69">
        <f>'1. Accomodation'!Q302</f>
        <v>1</v>
      </c>
      <c r="F298" s="77">
        <f>'1. Accomodation'!O302</f>
        <v>527</v>
      </c>
      <c r="G298" s="69">
        <f>'1. Accomodation'!R302</f>
        <v>8</v>
      </c>
      <c r="H298" s="69" t="str">
        <f>'1. Accomodation'!S302</f>
        <v>Railway Bridge - Higher</v>
      </c>
      <c r="I298" s="62"/>
      <c r="K298" s="272">
        <f>IFERROR(INDEX('2. GRI Pricing Inputs'!$C$15:$AI$16,MATCH($K$16,'2. GRI Pricing Inputs'!$C$15:$C$16,0),MATCH(D298,'2. GRI Pricing Inputs'!$C$15:$AI$15,0)),0)</f>
        <v>845</v>
      </c>
      <c r="L298" s="273">
        <f>IFERROR(INDEX('2. GRI Pricing Inputs'!$C$22:$AI$23,MATCH($L$16,'2. GRI Pricing Inputs'!$C$22:$C$23,0),MATCH(E298,'2. GRI Pricing Inputs'!$C$22:$AI$22,0)),0)</f>
        <v>0</v>
      </c>
      <c r="M298" s="328">
        <f>IF(AND('3. GRI Pricing'!$F298&gt;='2. GRI Pricing Inputs'!$D$33,'3. GRI Pricing'!$F298&lt;='2. GRI Pricing Inputs'!$E$33),'2. GRI Pricing Inputs'!$D$32,IF(AND('3. GRI Pricing'!$F298&gt;='2. GRI Pricing Inputs'!$F$33,'3. GRI Pricing'!$F298&lt;='2. GRI Pricing Inputs'!$G$33),'2. GRI Pricing Inputs'!$F$32,IF(AND('3. GRI Pricing'!$F298&gt;='2. GRI Pricing Inputs'!$H$33,'3. GRI Pricing'!$F298&lt;='2. GRI Pricing Inputs'!$I$33),'2. GRI Pricing Inputs'!$H$32,IF(AND('3. GRI Pricing'!$F298&gt;='2. GRI Pricing Inputs'!$J$33,'3. GRI Pricing'!$F298&lt;='2. GRI Pricing Inputs'!$K$33),'2. GRI Pricing Inputs'!$J$32,IF(AND('3. GRI Pricing'!$F298&gt;='2. GRI Pricing Inputs'!$L$33,'3. GRI Pricing'!$F298&lt;='2. GRI Pricing Inputs'!$M$33),'2. GRI Pricing Inputs'!$L$32,IF(AND('3. GRI Pricing'!$F298&gt;='2. GRI Pricing Inputs'!$N$33,'3. GRI Pricing'!$F298&lt;='2. GRI Pricing Inputs'!$O$33),'2. GRI Pricing Inputs'!$N$32,IF(AND('3. GRI Pricing'!$F298&gt;='2. GRI Pricing Inputs'!$P$33,'3. GRI Pricing'!$F298&lt;='2. GRI Pricing Inputs'!$Q$33),'2. GRI Pricing Inputs'!$P$32,IF(AND('3. GRI Pricing'!$F298&gt;='2. GRI Pricing Inputs'!$R$33,'3. GRI Pricing'!$F298&lt;='2. GRI Pricing Inputs'!$S$33),'2. GRI Pricing Inputs'!$R$32,IF(AND('3. GRI Pricing'!$F298&gt;='2. GRI Pricing Inputs'!$T$33,'3. GRI Pricing'!$F298&lt;='2. GRI Pricing Inputs'!$U$33),'2. GRI Pricing Inputs'!$T$32,IF(AND('3. GRI Pricing'!$F298&gt;='2. GRI Pricing Inputs'!$V$33,'3. GRI Pricing'!$F298&lt;='2. GRI Pricing Inputs'!$W$33),'2. GRI Pricing Inputs'!$V$32,IF(AND('3. GRI Pricing'!$F298&gt;='2. GRI Pricing Inputs'!$X$33,'3. GRI Pricing'!$F298&lt;='2. GRI Pricing Inputs'!$Y$33),'2. GRI Pricing Inputs'!$X$32,IF(AND('3. GRI Pricing'!$F298&gt;='2. GRI Pricing Inputs'!$Z$33,'3. GRI Pricing'!$F298&lt;='2. GRI Pricing Inputs'!$AA$33),'2. GRI Pricing Inputs'!$Z$32,IF(AND('3. GRI Pricing'!$F298&gt;='2. GRI Pricing Inputs'!$AB$33,'3. GRI Pricing'!$F298&lt;='2. GRI Pricing Inputs'!$AC$33),'2. GRI Pricing Inputs'!$AB$32,IF(AND('3. GRI Pricing'!$F298&gt;='2. GRI Pricing Inputs'!$AD$33,'3. GRI Pricing'!$F298&lt;='2. GRI Pricing Inputs'!$AE$33),'2. GRI Pricing Inputs'!$AD$32,IF(AND('3. GRI Pricing'!$F298&gt;='2. GRI Pricing Inputs'!$AF$33,'3. GRI Pricing'!$F298&lt;='2. GRI Pricing Inputs'!$AG$33),'2. GRI Pricing Inputs'!$AF$32,IF(AND('3. GRI Pricing'!$F298&gt;='2. GRI Pricing Inputs'!$AH$33,'3. GRI Pricing'!$F298&lt;='2. GRI Pricing Inputs'!$AI$33),'2. GRI Pricing Inputs'!$AH$32,0))))))))))))))))</f>
        <v>3</v>
      </c>
      <c r="N298" s="273" cm="1">
        <f t="array" ref="N298">IFERROR(INDEX('2. GRI Pricing Inputs'!$C$32:$AI$39,MATCH('3. GRI Pricing'!D298,'2. GRI Pricing Inputs'!$C$32:$C$39,0),(MATCH('3. GRI Pricing'!M298,'2. GRI Pricing Inputs'!$D$32:$AI$32,0)+1)),0)</f>
        <v>20</v>
      </c>
      <c r="O298" s="273">
        <f>IFERROR(INDEX('2. GRI Pricing Inputs'!$C$45:$AI$46,MATCH($O$16,'2. GRI Pricing Inputs'!$C$45:$C$46,0),MATCH(G298,'2. GRI Pricing Inputs'!$C$45:$AI$45,0)),0)</f>
        <v>100</v>
      </c>
      <c r="P298" s="273">
        <f>IFERROR(INDEX('2. GRI Pricing Inputs'!$C$53:$AI$54,MATCH('3. GRI Pricing'!$P$16,'2. GRI Pricing Inputs'!$C$53:$C$54,0),MATCH('3. GRI Pricing'!H298,'2. GRI Pricing Inputs'!$C$53:$AI$53,0)),0)</f>
        <v>30</v>
      </c>
      <c r="Q298" s="273">
        <f>IFERROR(INDEX('2. GRI Pricing Inputs'!$C$60:$AI$61,MATCH('3. GRI Pricing'!$Q$16,'2. GRI Pricing Inputs'!$C$60:$C$61,0),MATCH('1. Accomodation'!T302,'2. GRI Pricing Inputs'!$C$60:$AI$60,0)),0)</f>
        <v>0</v>
      </c>
      <c r="R298" s="273">
        <f>IFERROR(INDEX('2. GRI Pricing Inputs'!$C$67:$AI$68,MATCH('3. GRI Pricing'!$R$16,'2. GRI Pricing Inputs'!$C$67:$C$68,0),MATCH('1. Accomodation'!U302,'2. GRI Pricing Inputs'!$C$67:$AI$67,0)),0)</f>
        <v>0</v>
      </c>
      <c r="S298" s="273">
        <f>IF(D298=0,0,'2. GRI Pricing Inputs'!$AI$75)</f>
        <v>70</v>
      </c>
      <c r="T298" s="273">
        <f>IFERROR(INDEX('2. GRI Pricing Inputs'!$C$82:$AI$83,MATCH('3. GRI Pricing'!$T$16,'2. GRI Pricing Inputs'!$C$82:$C$83,0),MATCH('1. Accomodation'!V302,'2. GRI Pricing Inputs'!$C$82:$AI$82,0)),0)</f>
        <v>0</v>
      </c>
      <c r="U298" s="273">
        <f>IFERROR(INDEX('2. GRI Pricing Inputs'!$C$89:$AI$90,MATCH('3. GRI Pricing'!$U$16,'2. GRI Pricing Inputs'!$C$89:$C$90,0),MATCH('1. Accomodation'!W302,'2. GRI Pricing Inputs'!$C$89:$AI$89,0)),0)</f>
        <v>0</v>
      </c>
      <c r="V298" s="273">
        <f>IFERROR(INDEX('2. GRI Pricing Inputs'!$C$97:$AI$98,MATCH('3. GRI Pricing'!$V$16,'2. GRI Pricing Inputs'!$C$97:$C$98,0),MATCH('1. Accomodation'!X302,'2. GRI Pricing Inputs'!$C$97:$AI$97,0)),0)</f>
        <v>0</v>
      </c>
      <c r="W298" s="273">
        <f>IFERROR(INDEX('2. GRI Pricing Inputs'!$C$104:$AI$105,MATCH('3. GRI Pricing'!$W$16,'2. GRI Pricing Inputs'!$C$104:$C$105,0),MATCH('1. Accomodation'!Y302,'2. GRI Pricing Inputs'!$C$104:$AI$104,0)),0)</f>
        <v>0</v>
      </c>
      <c r="X298" s="274">
        <v>0</v>
      </c>
      <c r="Y298" s="275">
        <f t="shared" si="11"/>
        <v>1065</v>
      </c>
      <c r="Z298" s="276"/>
      <c r="AA298" s="276"/>
      <c r="AB298" s="276"/>
      <c r="AC298" s="272">
        <f>Y298*(1+'2. GRI Pricing Inputs'!$D$114)^(($AC$16-$AB$15)/365)</f>
        <v>1068.5535093111066</v>
      </c>
      <c r="AD298" s="273">
        <f>AC298*(1+'2. GRI Pricing Inputs'!$D$114)^((AD$16-AC$16)/365)</f>
        <v>1072.0036780809378</v>
      </c>
      <c r="AE298" s="273">
        <f>AD298*(1+'2. GRI Pricing Inputs'!$D$114)^((AE$16-AD$16)/365)</f>
        <v>1075.5805560636618</v>
      </c>
      <c r="AF298" s="273">
        <f>AE298*(1+'2. GRI Pricing Inputs'!$D$114)^((AF$16-AE$16)/365)</f>
        <v>1079.1693687592649</v>
      </c>
      <c r="AG298" s="273">
        <f>AF298*(1+'2. GRI Pricing Inputs'!$D$114)^((AG$16-AF$16)/365)</f>
        <v>1082.5374850043836</v>
      </c>
      <c r="AH298" s="273">
        <f>AG298*(1+'2. GRI Pricing Inputs'!$D$114)^((AH$16-AG$16)/365)</f>
        <v>1086.1495103870925</v>
      </c>
      <c r="AI298" s="273">
        <f>AH298*(1+'2. GRI Pricing Inputs'!$D$114)^((AI$16-AH$16)/365)</f>
        <v>1089.6564935072181</v>
      </c>
      <c r="AJ298" s="273">
        <f>AI298*(1+'2. GRI Pricing Inputs'!$D$114)^((AJ$16-AI$16)/365)</f>
        <v>1093.2922723763127</v>
      </c>
      <c r="AK298" s="273">
        <f>AJ298*(1+'2. GRI Pricing Inputs'!$D$114)^((AK$16-AJ$16)/365)</f>
        <v>1096.8223182014228</v>
      </c>
      <c r="AL298" s="273">
        <f>AK298*(1+'2. GRI Pricing Inputs'!$D$114)^((AL$16-AK$16)/365)</f>
        <v>1100.4820067651394</v>
      </c>
      <c r="AM298" s="273">
        <f>AL298*(1+'2. GRI Pricing Inputs'!$D$114)^((AM$16-AL$16)/365)</f>
        <v>1104.1539063498767</v>
      </c>
      <c r="AN298" s="273">
        <f>AM298*(1+'2. GRI Pricing Inputs'!$D$114)^((AN$16-AM$16)/365)</f>
        <v>1107.7190224545736</v>
      </c>
      <c r="AO298" s="273">
        <f>AN298*(1+'2. GRI Pricing Inputs'!$D$114)^((AO$16-AN$16)/365)</f>
        <v>1111.415069271834</v>
      </c>
    </row>
    <row r="299" spans="3:41" ht="12" x14ac:dyDescent="0.2">
      <c r="C299" s="76" t="str">
        <f>'1. Accomodation'!N303</f>
        <v>809W</v>
      </c>
      <c r="D299" s="69" t="str">
        <f>'1. Accomodation'!P303</f>
        <v>3 Bed</v>
      </c>
      <c r="E299" s="69">
        <f>'1. Accomodation'!Q303</f>
        <v>2</v>
      </c>
      <c r="F299" s="77">
        <f>'1. Accomodation'!O303</f>
        <v>840</v>
      </c>
      <c r="G299" s="69">
        <f>'1. Accomodation'!R303</f>
        <v>8</v>
      </c>
      <c r="H299" s="69" t="str">
        <f>'1. Accomodation'!S303</f>
        <v>Railway Bridge - Higher</v>
      </c>
      <c r="I299" s="62"/>
      <c r="K299" s="272">
        <f>IFERROR(INDEX('2. GRI Pricing Inputs'!$C$15:$AI$16,MATCH($K$16,'2. GRI Pricing Inputs'!$C$15:$C$16,0),MATCH(D299,'2. GRI Pricing Inputs'!$C$15:$AI$15,0)),0)</f>
        <v>1485</v>
      </c>
      <c r="L299" s="273">
        <f>IFERROR(INDEX('2. GRI Pricing Inputs'!$C$22:$AI$23,MATCH($L$16,'2. GRI Pricing Inputs'!$C$22:$C$23,0),MATCH(E299,'2. GRI Pricing Inputs'!$C$22:$AI$22,0)),0)</f>
        <v>0</v>
      </c>
      <c r="M299" s="328">
        <f>IF(AND('3. GRI Pricing'!$F299&gt;='2. GRI Pricing Inputs'!$D$33,'3. GRI Pricing'!$F299&lt;='2. GRI Pricing Inputs'!$E$33),'2. GRI Pricing Inputs'!$D$32,IF(AND('3. GRI Pricing'!$F299&gt;='2. GRI Pricing Inputs'!$F$33,'3. GRI Pricing'!$F299&lt;='2. GRI Pricing Inputs'!$G$33),'2. GRI Pricing Inputs'!$F$32,IF(AND('3. GRI Pricing'!$F299&gt;='2. GRI Pricing Inputs'!$H$33,'3. GRI Pricing'!$F299&lt;='2. GRI Pricing Inputs'!$I$33),'2. GRI Pricing Inputs'!$H$32,IF(AND('3. GRI Pricing'!$F299&gt;='2. GRI Pricing Inputs'!$J$33,'3. GRI Pricing'!$F299&lt;='2. GRI Pricing Inputs'!$K$33),'2. GRI Pricing Inputs'!$J$32,IF(AND('3. GRI Pricing'!$F299&gt;='2. GRI Pricing Inputs'!$L$33,'3. GRI Pricing'!$F299&lt;='2. GRI Pricing Inputs'!$M$33),'2. GRI Pricing Inputs'!$L$32,IF(AND('3. GRI Pricing'!$F299&gt;='2. GRI Pricing Inputs'!$N$33,'3. GRI Pricing'!$F299&lt;='2. GRI Pricing Inputs'!$O$33),'2. GRI Pricing Inputs'!$N$32,IF(AND('3. GRI Pricing'!$F299&gt;='2. GRI Pricing Inputs'!$P$33,'3. GRI Pricing'!$F299&lt;='2. GRI Pricing Inputs'!$Q$33),'2. GRI Pricing Inputs'!$P$32,IF(AND('3. GRI Pricing'!$F299&gt;='2. GRI Pricing Inputs'!$R$33,'3. GRI Pricing'!$F299&lt;='2. GRI Pricing Inputs'!$S$33),'2. GRI Pricing Inputs'!$R$32,IF(AND('3. GRI Pricing'!$F299&gt;='2. GRI Pricing Inputs'!$T$33,'3. GRI Pricing'!$F299&lt;='2. GRI Pricing Inputs'!$U$33),'2. GRI Pricing Inputs'!$T$32,IF(AND('3. GRI Pricing'!$F299&gt;='2. GRI Pricing Inputs'!$V$33,'3. GRI Pricing'!$F299&lt;='2. GRI Pricing Inputs'!$W$33),'2. GRI Pricing Inputs'!$V$32,IF(AND('3. GRI Pricing'!$F299&gt;='2. GRI Pricing Inputs'!$X$33,'3. GRI Pricing'!$F299&lt;='2. GRI Pricing Inputs'!$Y$33),'2. GRI Pricing Inputs'!$X$32,IF(AND('3. GRI Pricing'!$F299&gt;='2. GRI Pricing Inputs'!$Z$33,'3. GRI Pricing'!$F299&lt;='2. GRI Pricing Inputs'!$AA$33),'2. GRI Pricing Inputs'!$Z$32,IF(AND('3. GRI Pricing'!$F299&gt;='2. GRI Pricing Inputs'!$AB$33,'3. GRI Pricing'!$F299&lt;='2. GRI Pricing Inputs'!$AC$33),'2. GRI Pricing Inputs'!$AB$32,IF(AND('3. GRI Pricing'!$F299&gt;='2. GRI Pricing Inputs'!$AD$33,'3. GRI Pricing'!$F299&lt;='2. GRI Pricing Inputs'!$AE$33),'2. GRI Pricing Inputs'!$AD$32,IF(AND('3. GRI Pricing'!$F299&gt;='2. GRI Pricing Inputs'!$AF$33,'3. GRI Pricing'!$F299&lt;='2. GRI Pricing Inputs'!$AG$33),'2. GRI Pricing Inputs'!$AF$32,IF(AND('3. GRI Pricing'!$F299&gt;='2. GRI Pricing Inputs'!$AH$33,'3. GRI Pricing'!$F299&lt;='2. GRI Pricing Inputs'!$AI$33),'2. GRI Pricing Inputs'!$AH$32,0))))))))))))))))</f>
        <v>15</v>
      </c>
      <c r="N299" s="273" cm="1">
        <f t="array" ref="N299">IFERROR(INDEX('2. GRI Pricing Inputs'!$C$32:$AI$39,MATCH('3. GRI Pricing'!D299,'2. GRI Pricing Inputs'!$C$32:$C$39,0),(MATCH('3. GRI Pricing'!M299,'2. GRI Pricing Inputs'!$D$32:$AI$32,0)+1)),0)</f>
        <v>70</v>
      </c>
      <c r="O299" s="273">
        <f>IFERROR(INDEX('2. GRI Pricing Inputs'!$C$45:$AI$46,MATCH($O$16,'2. GRI Pricing Inputs'!$C$45:$C$46,0),MATCH(G299,'2. GRI Pricing Inputs'!$C$45:$AI$45,0)),0)</f>
        <v>100</v>
      </c>
      <c r="P299" s="273">
        <f>IFERROR(INDEX('2. GRI Pricing Inputs'!$C$53:$AI$54,MATCH('3. GRI Pricing'!$P$16,'2. GRI Pricing Inputs'!$C$53:$C$54,0),MATCH('3. GRI Pricing'!H299,'2. GRI Pricing Inputs'!$C$53:$AI$53,0)),0)</f>
        <v>30</v>
      </c>
      <c r="Q299" s="273">
        <f>IFERROR(INDEX('2. GRI Pricing Inputs'!$C$60:$AI$61,MATCH('3. GRI Pricing'!$Q$16,'2. GRI Pricing Inputs'!$C$60:$C$61,0),MATCH('1. Accomodation'!T303,'2. GRI Pricing Inputs'!$C$60:$AI$60,0)),0)</f>
        <v>0</v>
      </c>
      <c r="R299" s="273">
        <f>IFERROR(INDEX('2. GRI Pricing Inputs'!$C$67:$AI$68,MATCH('3. GRI Pricing'!$R$16,'2. GRI Pricing Inputs'!$C$67:$C$68,0),MATCH('1. Accomodation'!U303,'2. GRI Pricing Inputs'!$C$67:$AI$67,0)),0)</f>
        <v>0</v>
      </c>
      <c r="S299" s="273">
        <f>IF(D299=0,0,'2. GRI Pricing Inputs'!$AI$75)</f>
        <v>70</v>
      </c>
      <c r="T299" s="273">
        <f>IFERROR(INDEX('2. GRI Pricing Inputs'!$C$82:$AI$83,MATCH('3. GRI Pricing'!$T$16,'2. GRI Pricing Inputs'!$C$82:$C$83,0),MATCH('1. Accomodation'!V303,'2. GRI Pricing Inputs'!$C$82:$AI$82,0)),0)</f>
        <v>0</v>
      </c>
      <c r="U299" s="273">
        <f>IFERROR(INDEX('2. GRI Pricing Inputs'!$C$89:$AI$90,MATCH('3. GRI Pricing'!$U$16,'2. GRI Pricing Inputs'!$C$89:$C$90,0),MATCH('1. Accomodation'!W303,'2. GRI Pricing Inputs'!$C$89:$AI$89,0)),0)</f>
        <v>0</v>
      </c>
      <c r="V299" s="273">
        <f>IFERROR(INDEX('2. GRI Pricing Inputs'!$C$97:$AI$98,MATCH('3. GRI Pricing'!$V$16,'2. GRI Pricing Inputs'!$C$97:$C$98,0),MATCH('1. Accomodation'!X303,'2. GRI Pricing Inputs'!$C$97:$AI$97,0)),0)</f>
        <v>0</v>
      </c>
      <c r="W299" s="273">
        <f>IFERROR(INDEX('2. GRI Pricing Inputs'!$C$104:$AI$105,MATCH('3. GRI Pricing'!$W$16,'2. GRI Pricing Inputs'!$C$104:$C$105,0),MATCH('1. Accomodation'!Y303,'2. GRI Pricing Inputs'!$C$104:$AI$104,0)),0)</f>
        <v>0</v>
      </c>
      <c r="X299" s="274">
        <v>0</v>
      </c>
      <c r="Y299" s="275">
        <f t="shared" si="11"/>
        <v>1755</v>
      </c>
      <c r="Z299" s="276"/>
      <c r="AA299" s="276"/>
      <c r="AB299" s="276"/>
      <c r="AC299" s="272">
        <f>Y299*(1+'2. GRI Pricing Inputs'!$D$114)^(($AC$16-$AB$15)/365)</f>
        <v>1760.8557829492884</v>
      </c>
      <c r="AD299" s="273">
        <f>AC299*(1+'2. GRI Pricing Inputs'!$D$114)^((AD$16-AC$16)/365)</f>
        <v>1766.5412723305594</v>
      </c>
      <c r="AE299" s="273">
        <f>AD299*(1+'2. GRI Pricing Inputs'!$D$114)^((AE$16-AD$16)/365)</f>
        <v>1772.4355642175835</v>
      </c>
      <c r="AF299" s="273">
        <f>AE299*(1+'2. GRI Pricing Inputs'!$D$114)^((AF$16-AE$16)/365)</f>
        <v>1778.3495231666761</v>
      </c>
      <c r="AG299" s="273">
        <f>AF299*(1+'2. GRI Pricing Inputs'!$D$114)^((AG$16-AF$16)/365)</f>
        <v>1783.899799232576</v>
      </c>
      <c r="AH299" s="273">
        <f>AG299*(1+'2. GRI Pricing Inputs'!$D$114)^((AH$16-AG$16)/365)</f>
        <v>1789.8520100745047</v>
      </c>
      <c r="AI299" s="273">
        <f>AH299*(1+'2. GRI Pricing Inputs'!$D$114)^((AI$16-AH$16)/365)</f>
        <v>1795.631123103444</v>
      </c>
      <c r="AJ299" s="273">
        <f>AI299*(1+'2. GRI Pricing Inputs'!$D$114)^((AJ$16-AI$16)/365)</f>
        <v>1801.622477014487</v>
      </c>
      <c r="AK299" s="273">
        <f>AJ299*(1+'2. GRI Pricing Inputs'!$D$114)^((AK$16-AJ$16)/365)</f>
        <v>1807.4395947826263</v>
      </c>
      <c r="AL299" s="273">
        <f>AK299*(1+'2. GRI Pricing Inputs'!$D$114)^((AL$16-AK$16)/365)</f>
        <v>1813.4703491763564</v>
      </c>
      <c r="AM299" s="273">
        <f>AL299*(1+'2. GRI Pricing Inputs'!$D$114)^((AM$16-AL$16)/365)</f>
        <v>1819.5212259568389</v>
      </c>
      <c r="AN299" s="273">
        <f>AM299*(1+'2. GRI Pricing Inputs'!$D$114)^((AN$16-AM$16)/365)</f>
        <v>1825.3961355941565</v>
      </c>
      <c r="AO299" s="273">
        <f>AN299*(1+'2. GRI Pricing Inputs'!$D$114)^((AO$16-AN$16)/365)</f>
        <v>1831.486804293022</v>
      </c>
    </row>
    <row r="300" spans="3:41" ht="12" x14ac:dyDescent="0.2">
      <c r="C300" s="76">
        <f>'1. Accomodation'!N304</f>
        <v>0</v>
      </c>
      <c r="D300" s="69">
        <f>'1. Accomodation'!P304</f>
        <v>0</v>
      </c>
      <c r="E300" s="69">
        <f>'1. Accomodation'!Q304</f>
        <v>0</v>
      </c>
      <c r="F300" s="77">
        <f>'1. Accomodation'!O304</f>
        <v>0</v>
      </c>
      <c r="G300" s="69">
        <f>'1. Accomodation'!R304</f>
        <v>0</v>
      </c>
      <c r="H300" s="69">
        <f>'1. Accomodation'!S304</f>
        <v>0</v>
      </c>
      <c r="I300" s="62"/>
      <c r="K300" s="272">
        <f>IFERROR(INDEX('2. GRI Pricing Inputs'!$C$15:$AI$16,MATCH($K$16,'2. GRI Pricing Inputs'!$C$15:$C$16,0),MATCH(D300,'2. GRI Pricing Inputs'!$C$15:$AI$15,0)),0)</f>
        <v>0</v>
      </c>
      <c r="L300" s="273">
        <f>IFERROR(INDEX('2. GRI Pricing Inputs'!$C$22:$AI$23,MATCH($L$16,'2. GRI Pricing Inputs'!$C$22:$C$23,0),MATCH(E300,'2. GRI Pricing Inputs'!$C$22:$AI$22,0)),0)</f>
        <v>0</v>
      </c>
      <c r="M300" s="328">
        <f>IF(AND('3. GRI Pricing'!$F300&gt;='2. GRI Pricing Inputs'!$D$33,'3. GRI Pricing'!$F300&lt;='2. GRI Pricing Inputs'!$E$33),'2. GRI Pricing Inputs'!$D$32,IF(AND('3. GRI Pricing'!$F300&gt;='2. GRI Pricing Inputs'!$F$33,'3. GRI Pricing'!$F300&lt;='2. GRI Pricing Inputs'!$G$33),'2. GRI Pricing Inputs'!$F$32,IF(AND('3. GRI Pricing'!$F300&gt;='2. GRI Pricing Inputs'!$H$33,'3. GRI Pricing'!$F300&lt;='2. GRI Pricing Inputs'!$I$33),'2. GRI Pricing Inputs'!$H$32,IF(AND('3. GRI Pricing'!$F300&gt;='2. GRI Pricing Inputs'!$J$33,'3. GRI Pricing'!$F300&lt;='2. GRI Pricing Inputs'!$K$33),'2. GRI Pricing Inputs'!$J$32,IF(AND('3. GRI Pricing'!$F300&gt;='2. GRI Pricing Inputs'!$L$33,'3. GRI Pricing'!$F300&lt;='2. GRI Pricing Inputs'!$M$33),'2. GRI Pricing Inputs'!$L$32,IF(AND('3. GRI Pricing'!$F300&gt;='2. GRI Pricing Inputs'!$N$33,'3. GRI Pricing'!$F300&lt;='2. GRI Pricing Inputs'!$O$33),'2. GRI Pricing Inputs'!$N$32,IF(AND('3. GRI Pricing'!$F300&gt;='2. GRI Pricing Inputs'!$P$33,'3. GRI Pricing'!$F300&lt;='2. GRI Pricing Inputs'!$Q$33),'2. GRI Pricing Inputs'!$P$32,IF(AND('3. GRI Pricing'!$F300&gt;='2. GRI Pricing Inputs'!$R$33,'3. GRI Pricing'!$F300&lt;='2. GRI Pricing Inputs'!$S$33),'2. GRI Pricing Inputs'!$R$32,IF(AND('3. GRI Pricing'!$F300&gt;='2. GRI Pricing Inputs'!$T$33,'3. GRI Pricing'!$F300&lt;='2. GRI Pricing Inputs'!$U$33),'2. GRI Pricing Inputs'!$T$32,IF(AND('3. GRI Pricing'!$F300&gt;='2. GRI Pricing Inputs'!$V$33,'3. GRI Pricing'!$F300&lt;='2. GRI Pricing Inputs'!$W$33),'2. GRI Pricing Inputs'!$V$32,IF(AND('3. GRI Pricing'!$F300&gt;='2. GRI Pricing Inputs'!$X$33,'3. GRI Pricing'!$F300&lt;='2. GRI Pricing Inputs'!$Y$33),'2. GRI Pricing Inputs'!$X$32,IF(AND('3. GRI Pricing'!$F300&gt;='2. GRI Pricing Inputs'!$Z$33,'3. GRI Pricing'!$F300&lt;='2. GRI Pricing Inputs'!$AA$33),'2. GRI Pricing Inputs'!$Z$32,IF(AND('3. GRI Pricing'!$F300&gt;='2. GRI Pricing Inputs'!$AB$33,'3. GRI Pricing'!$F300&lt;='2. GRI Pricing Inputs'!$AC$33),'2. GRI Pricing Inputs'!$AB$32,IF(AND('3. GRI Pricing'!$F300&gt;='2. GRI Pricing Inputs'!$AD$33,'3. GRI Pricing'!$F300&lt;='2. GRI Pricing Inputs'!$AE$33),'2. GRI Pricing Inputs'!$AD$32,IF(AND('3. GRI Pricing'!$F300&gt;='2. GRI Pricing Inputs'!$AF$33,'3. GRI Pricing'!$F300&lt;='2. GRI Pricing Inputs'!$AG$33),'2. GRI Pricing Inputs'!$AF$32,IF(AND('3. GRI Pricing'!$F300&gt;='2. GRI Pricing Inputs'!$AH$33,'3. GRI Pricing'!$F300&lt;='2. GRI Pricing Inputs'!$AI$33),'2. GRI Pricing Inputs'!$AH$32,0))))))))))))))))</f>
        <v>0</v>
      </c>
      <c r="N300" s="273" cm="1">
        <f t="array" ref="N300">IFERROR(INDEX('2. GRI Pricing Inputs'!$C$32:$AI$39,MATCH('3. GRI Pricing'!D300,'2. GRI Pricing Inputs'!$C$32:$C$39,0),(MATCH('3. GRI Pricing'!M300,'2. GRI Pricing Inputs'!$D$32:$AI$32,0)+1)),0)</f>
        <v>0</v>
      </c>
      <c r="O300" s="273">
        <f>IFERROR(INDEX('2. GRI Pricing Inputs'!$C$45:$AI$46,MATCH($O$16,'2. GRI Pricing Inputs'!$C$45:$C$46,0),MATCH(G300,'2. GRI Pricing Inputs'!$C$45:$AI$45,0)),0)</f>
        <v>0</v>
      </c>
      <c r="P300" s="273">
        <f>IFERROR(INDEX('2. GRI Pricing Inputs'!$C$53:$AI$54,MATCH('3. GRI Pricing'!$P$16,'2. GRI Pricing Inputs'!$C$53:$C$54,0),MATCH('3. GRI Pricing'!H300,'2. GRI Pricing Inputs'!$C$53:$AI$53,0)),0)</f>
        <v>0</v>
      </c>
      <c r="Q300" s="273">
        <f>IFERROR(INDEX('2. GRI Pricing Inputs'!$C$60:$AI$61,MATCH('3. GRI Pricing'!$Q$16,'2. GRI Pricing Inputs'!$C$60:$C$61,0),MATCH('1. Accomodation'!T304,'2. GRI Pricing Inputs'!$C$60:$AI$60,0)),0)</f>
        <v>0</v>
      </c>
      <c r="R300" s="273">
        <f>IFERROR(INDEX('2. GRI Pricing Inputs'!$C$67:$AI$68,MATCH('3. GRI Pricing'!$R$16,'2. GRI Pricing Inputs'!$C$67:$C$68,0),MATCH('1. Accomodation'!U304,'2. GRI Pricing Inputs'!$C$67:$AI$67,0)),0)</f>
        <v>0</v>
      </c>
      <c r="S300" s="273">
        <f>IF(D300=0,0,'2. GRI Pricing Inputs'!$AI$75)</f>
        <v>0</v>
      </c>
      <c r="T300" s="273">
        <f>IFERROR(INDEX('2. GRI Pricing Inputs'!$C$82:$AI$83,MATCH('3. GRI Pricing'!$T$16,'2. GRI Pricing Inputs'!$C$82:$C$83,0),MATCH('1. Accomodation'!V304,'2. GRI Pricing Inputs'!$C$82:$AI$82,0)),0)</f>
        <v>0</v>
      </c>
      <c r="U300" s="273">
        <f>IFERROR(INDEX('2. GRI Pricing Inputs'!$C$89:$AI$90,MATCH('3. GRI Pricing'!$U$16,'2. GRI Pricing Inputs'!$C$89:$C$90,0),MATCH('1. Accomodation'!W304,'2. GRI Pricing Inputs'!$C$89:$AI$89,0)),0)</f>
        <v>0</v>
      </c>
      <c r="V300" s="273">
        <f>IFERROR(INDEX('2. GRI Pricing Inputs'!$C$97:$AI$98,MATCH('3. GRI Pricing'!$V$16,'2. GRI Pricing Inputs'!$C$97:$C$98,0),MATCH('1. Accomodation'!X304,'2. GRI Pricing Inputs'!$C$97:$AI$97,0)),0)</f>
        <v>0</v>
      </c>
      <c r="W300" s="273">
        <f>IFERROR(INDEX('2. GRI Pricing Inputs'!$C$104:$AI$105,MATCH('3. GRI Pricing'!$W$16,'2. GRI Pricing Inputs'!$C$104:$C$105,0),MATCH('1. Accomodation'!Y304,'2. GRI Pricing Inputs'!$C$104:$AI$104,0)),0)</f>
        <v>0</v>
      </c>
      <c r="X300" s="274"/>
      <c r="Y300" s="275">
        <f t="shared" si="11"/>
        <v>0</v>
      </c>
      <c r="Z300" s="276"/>
      <c r="AA300" s="276"/>
      <c r="AB300" s="276"/>
      <c r="AC300" s="272">
        <f>Y300*(1+'2. GRI Pricing Inputs'!$D$114)^(($AC$16-$AB$15)/365)</f>
        <v>0</v>
      </c>
      <c r="AD300" s="273">
        <f>AC300*(1+'2. GRI Pricing Inputs'!$D$114)^((AD$16-AC$16)/365)</f>
        <v>0</v>
      </c>
      <c r="AE300" s="273">
        <f>AD300*(1+'2. GRI Pricing Inputs'!$D$114)^((AE$16-AD$16)/365)</f>
        <v>0</v>
      </c>
      <c r="AF300" s="273">
        <f>AE300*(1+'2. GRI Pricing Inputs'!$D$114)^((AF$16-AE$16)/365)</f>
        <v>0</v>
      </c>
      <c r="AG300" s="273">
        <f>AF300*(1+'2. GRI Pricing Inputs'!$D$114)^((AG$16-AF$16)/365)</f>
        <v>0</v>
      </c>
      <c r="AH300" s="273">
        <f>AG300*(1+'2. GRI Pricing Inputs'!$D$114)^((AH$16-AG$16)/365)</f>
        <v>0</v>
      </c>
      <c r="AI300" s="273">
        <f>AH300*(1+'2. GRI Pricing Inputs'!$D$114)^((AI$16-AH$16)/365)</f>
        <v>0</v>
      </c>
      <c r="AJ300" s="273">
        <f>AI300*(1+'2. GRI Pricing Inputs'!$D$114)^((AJ$16-AI$16)/365)</f>
        <v>0</v>
      </c>
      <c r="AK300" s="273">
        <f>AJ300*(1+'2. GRI Pricing Inputs'!$D$114)^((AK$16-AJ$16)/365)</f>
        <v>0</v>
      </c>
      <c r="AL300" s="273">
        <f>AK300*(1+'2. GRI Pricing Inputs'!$D$114)^((AL$16-AK$16)/365)</f>
        <v>0</v>
      </c>
      <c r="AM300" s="273">
        <f>AL300*(1+'2. GRI Pricing Inputs'!$D$114)^((AM$16-AL$16)/365)</f>
        <v>0</v>
      </c>
      <c r="AN300" s="273">
        <f>AM300*(1+'2. GRI Pricing Inputs'!$D$114)^((AN$16-AM$16)/365)</f>
        <v>0</v>
      </c>
      <c r="AO300" s="273">
        <f>AN300*(1+'2. GRI Pricing Inputs'!$D$114)^((AO$16-AN$16)/365)</f>
        <v>0</v>
      </c>
    </row>
    <row r="301" spans="3:41" ht="12" x14ac:dyDescent="0.2">
      <c r="C301" s="76">
        <f>'1. Accomodation'!N305</f>
        <v>0</v>
      </c>
      <c r="D301" s="69">
        <f>'1. Accomodation'!P305</f>
        <v>0</v>
      </c>
      <c r="E301" s="69">
        <f>'1. Accomodation'!Q305</f>
        <v>0</v>
      </c>
      <c r="F301" s="77">
        <f>'1. Accomodation'!O305</f>
        <v>0</v>
      </c>
      <c r="G301" s="69">
        <f>'1. Accomodation'!R305</f>
        <v>0</v>
      </c>
      <c r="H301" s="69">
        <f>'1. Accomodation'!S305</f>
        <v>0</v>
      </c>
      <c r="I301" s="62"/>
      <c r="K301" s="272">
        <f>IFERROR(INDEX('2. GRI Pricing Inputs'!$C$15:$AI$16,MATCH($K$16,'2. GRI Pricing Inputs'!$C$15:$C$16,0),MATCH(D301,'2. GRI Pricing Inputs'!$C$15:$AI$15,0)),0)</f>
        <v>0</v>
      </c>
      <c r="L301" s="273">
        <f>IFERROR(INDEX('2. GRI Pricing Inputs'!$C$22:$AI$23,MATCH($L$16,'2. GRI Pricing Inputs'!$C$22:$C$23,0),MATCH(E301,'2. GRI Pricing Inputs'!$C$22:$AI$22,0)),0)</f>
        <v>0</v>
      </c>
      <c r="M301" s="328">
        <f>IF(AND('3. GRI Pricing'!$F301&gt;='2. GRI Pricing Inputs'!$D$33,'3. GRI Pricing'!$F301&lt;='2. GRI Pricing Inputs'!$E$33),'2. GRI Pricing Inputs'!$D$32,IF(AND('3. GRI Pricing'!$F301&gt;='2. GRI Pricing Inputs'!$F$33,'3. GRI Pricing'!$F301&lt;='2. GRI Pricing Inputs'!$G$33),'2. GRI Pricing Inputs'!$F$32,IF(AND('3. GRI Pricing'!$F301&gt;='2. GRI Pricing Inputs'!$H$33,'3. GRI Pricing'!$F301&lt;='2. GRI Pricing Inputs'!$I$33),'2. GRI Pricing Inputs'!$H$32,IF(AND('3. GRI Pricing'!$F301&gt;='2. GRI Pricing Inputs'!$J$33,'3. GRI Pricing'!$F301&lt;='2. GRI Pricing Inputs'!$K$33),'2. GRI Pricing Inputs'!$J$32,IF(AND('3. GRI Pricing'!$F301&gt;='2. GRI Pricing Inputs'!$L$33,'3. GRI Pricing'!$F301&lt;='2. GRI Pricing Inputs'!$M$33),'2. GRI Pricing Inputs'!$L$32,IF(AND('3. GRI Pricing'!$F301&gt;='2. GRI Pricing Inputs'!$N$33,'3. GRI Pricing'!$F301&lt;='2. GRI Pricing Inputs'!$O$33),'2. GRI Pricing Inputs'!$N$32,IF(AND('3. GRI Pricing'!$F301&gt;='2. GRI Pricing Inputs'!$P$33,'3. GRI Pricing'!$F301&lt;='2. GRI Pricing Inputs'!$Q$33),'2. GRI Pricing Inputs'!$P$32,IF(AND('3. GRI Pricing'!$F301&gt;='2. GRI Pricing Inputs'!$R$33,'3. GRI Pricing'!$F301&lt;='2. GRI Pricing Inputs'!$S$33),'2. GRI Pricing Inputs'!$R$32,IF(AND('3. GRI Pricing'!$F301&gt;='2. GRI Pricing Inputs'!$T$33,'3. GRI Pricing'!$F301&lt;='2. GRI Pricing Inputs'!$U$33),'2. GRI Pricing Inputs'!$T$32,IF(AND('3. GRI Pricing'!$F301&gt;='2. GRI Pricing Inputs'!$V$33,'3. GRI Pricing'!$F301&lt;='2. GRI Pricing Inputs'!$W$33),'2. GRI Pricing Inputs'!$V$32,IF(AND('3. GRI Pricing'!$F301&gt;='2. GRI Pricing Inputs'!$X$33,'3. GRI Pricing'!$F301&lt;='2. GRI Pricing Inputs'!$Y$33),'2. GRI Pricing Inputs'!$X$32,IF(AND('3. GRI Pricing'!$F301&gt;='2. GRI Pricing Inputs'!$Z$33,'3. GRI Pricing'!$F301&lt;='2. GRI Pricing Inputs'!$AA$33),'2. GRI Pricing Inputs'!$Z$32,IF(AND('3. GRI Pricing'!$F301&gt;='2. GRI Pricing Inputs'!$AB$33,'3. GRI Pricing'!$F301&lt;='2. GRI Pricing Inputs'!$AC$33),'2. GRI Pricing Inputs'!$AB$32,IF(AND('3. GRI Pricing'!$F301&gt;='2. GRI Pricing Inputs'!$AD$33,'3. GRI Pricing'!$F301&lt;='2. GRI Pricing Inputs'!$AE$33),'2. GRI Pricing Inputs'!$AD$32,IF(AND('3. GRI Pricing'!$F301&gt;='2. GRI Pricing Inputs'!$AF$33,'3. GRI Pricing'!$F301&lt;='2. GRI Pricing Inputs'!$AG$33),'2. GRI Pricing Inputs'!$AF$32,IF(AND('3. GRI Pricing'!$F301&gt;='2. GRI Pricing Inputs'!$AH$33,'3. GRI Pricing'!$F301&lt;='2. GRI Pricing Inputs'!$AI$33),'2. GRI Pricing Inputs'!$AH$32,0))))))))))))))))</f>
        <v>0</v>
      </c>
      <c r="N301" s="273" cm="1">
        <f t="array" ref="N301">IFERROR(INDEX('2. GRI Pricing Inputs'!$C$32:$AI$39,MATCH('3. GRI Pricing'!D301,'2. GRI Pricing Inputs'!$C$32:$C$39,0),(MATCH('3. GRI Pricing'!M301,'2. GRI Pricing Inputs'!$D$32:$AI$32,0)+1)),0)</f>
        <v>0</v>
      </c>
      <c r="O301" s="273">
        <f>IFERROR(INDEX('2. GRI Pricing Inputs'!$C$45:$AI$46,MATCH($O$16,'2. GRI Pricing Inputs'!$C$45:$C$46,0),MATCH(G301,'2. GRI Pricing Inputs'!$C$45:$AI$45,0)),0)</f>
        <v>0</v>
      </c>
      <c r="P301" s="273">
        <f>IFERROR(INDEX('2. GRI Pricing Inputs'!$C$53:$AI$54,MATCH('3. GRI Pricing'!$P$16,'2. GRI Pricing Inputs'!$C$53:$C$54,0),MATCH('3. GRI Pricing'!H301,'2. GRI Pricing Inputs'!$C$53:$AI$53,0)),0)</f>
        <v>0</v>
      </c>
      <c r="Q301" s="273">
        <f>IFERROR(INDEX('2. GRI Pricing Inputs'!$C$60:$AI$61,MATCH('3. GRI Pricing'!$Q$16,'2. GRI Pricing Inputs'!$C$60:$C$61,0),MATCH('1. Accomodation'!T305,'2. GRI Pricing Inputs'!$C$60:$AI$60,0)),0)</f>
        <v>0</v>
      </c>
      <c r="R301" s="273">
        <f>IFERROR(INDEX('2. GRI Pricing Inputs'!$C$67:$AI$68,MATCH('3. GRI Pricing'!$R$16,'2. GRI Pricing Inputs'!$C$67:$C$68,0),MATCH('1. Accomodation'!U305,'2. GRI Pricing Inputs'!$C$67:$AI$67,0)),0)</f>
        <v>0</v>
      </c>
      <c r="S301" s="273">
        <f>IF(D301=0,0,'2. GRI Pricing Inputs'!$AI$75)</f>
        <v>0</v>
      </c>
      <c r="T301" s="273">
        <f>IFERROR(INDEX('2. GRI Pricing Inputs'!$C$82:$AI$83,MATCH('3. GRI Pricing'!$T$16,'2. GRI Pricing Inputs'!$C$82:$C$83,0),MATCH('1. Accomodation'!V305,'2. GRI Pricing Inputs'!$C$82:$AI$82,0)),0)</f>
        <v>0</v>
      </c>
      <c r="U301" s="273">
        <f>IFERROR(INDEX('2. GRI Pricing Inputs'!$C$89:$AI$90,MATCH('3. GRI Pricing'!$U$16,'2. GRI Pricing Inputs'!$C$89:$C$90,0),MATCH('1. Accomodation'!W305,'2. GRI Pricing Inputs'!$C$89:$AI$89,0)),0)</f>
        <v>0</v>
      </c>
      <c r="V301" s="273">
        <f>IFERROR(INDEX('2. GRI Pricing Inputs'!$C$97:$AI$98,MATCH('3. GRI Pricing'!$V$16,'2. GRI Pricing Inputs'!$C$97:$C$98,0),MATCH('1. Accomodation'!X305,'2. GRI Pricing Inputs'!$C$97:$AI$97,0)),0)</f>
        <v>0</v>
      </c>
      <c r="W301" s="273">
        <f>IFERROR(INDEX('2. GRI Pricing Inputs'!$C$104:$AI$105,MATCH('3. GRI Pricing'!$W$16,'2. GRI Pricing Inputs'!$C$104:$C$105,0),MATCH('1. Accomodation'!Y305,'2. GRI Pricing Inputs'!$C$104:$AI$104,0)),0)</f>
        <v>0</v>
      </c>
      <c r="X301" s="274"/>
      <c r="Y301" s="275">
        <f t="shared" si="11"/>
        <v>0</v>
      </c>
      <c r="Z301" s="276"/>
      <c r="AA301" s="276"/>
      <c r="AB301" s="276"/>
      <c r="AC301" s="272">
        <f>Y301*(1+'2. GRI Pricing Inputs'!$D$114)^(($AC$16-$AB$15)/365)</f>
        <v>0</v>
      </c>
      <c r="AD301" s="273">
        <f>AC301*(1+'2. GRI Pricing Inputs'!$D$114)^((AD$16-AC$16)/365)</f>
        <v>0</v>
      </c>
      <c r="AE301" s="273">
        <f>AD301*(1+'2. GRI Pricing Inputs'!$D$114)^((AE$16-AD$16)/365)</f>
        <v>0</v>
      </c>
      <c r="AF301" s="273">
        <f>AE301*(1+'2. GRI Pricing Inputs'!$D$114)^((AF$16-AE$16)/365)</f>
        <v>0</v>
      </c>
      <c r="AG301" s="273">
        <f>AF301*(1+'2. GRI Pricing Inputs'!$D$114)^((AG$16-AF$16)/365)</f>
        <v>0</v>
      </c>
      <c r="AH301" s="273">
        <f>AG301*(1+'2. GRI Pricing Inputs'!$D$114)^((AH$16-AG$16)/365)</f>
        <v>0</v>
      </c>
      <c r="AI301" s="273">
        <f>AH301*(1+'2. GRI Pricing Inputs'!$D$114)^((AI$16-AH$16)/365)</f>
        <v>0</v>
      </c>
      <c r="AJ301" s="273">
        <f>AI301*(1+'2. GRI Pricing Inputs'!$D$114)^((AJ$16-AI$16)/365)</f>
        <v>0</v>
      </c>
      <c r="AK301" s="273">
        <f>AJ301*(1+'2. GRI Pricing Inputs'!$D$114)^((AK$16-AJ$16)/365)</f>
        <v>0</v>
      </c>
      <c r="AL301" s="273">
        <f>AK301*(1+'2. GRI Pricing Inputs'!$D$114)^((AL$16-AK$16)/365)</f>
        <v>0</v>
      </c>
      <c r="AM301" s="273">
        <f>AL301*(1+'2. GRI Pricing Inputs'!$D$114)^((AM$16-AL$16)/365)</f>
        <v>0</v>
      </c>
      <c r="AN301" s="273">
        <f>AM301*(1+'2. GRI Pricing Inputs'!$D$114)^((AN$16-AM$16)/365)</f>
        <v>0</v>
      </c>
      <c r="AO301" s="273">
        <f>AN301*(1+'2. GRI Pricing Inputs'!$D$114)^((AO$16-AN$16)/365)</f>
        <v>0</v>
      </c>
    </row>
    <row r="302" spans="3:41" ht="12" x14ac:dyDescent="0.2">
      <c r="C302" s="76">
        <f>'1. Accomodation'!N306</f>
        <v>0</v>
      </c>
      <c r="D302" s="69">
        <f>'1. Accomodation'!P306</f>
        <v>0</v>
      </c>
      <c r="E302" s="69">
        <f>'1. Accomodation'!Q306</f>
        <v>0</v>
      </c>
      <c r="F302" s="77">
        <f>'1. Accomodation'!O306</f>
        <v>0</v>
      </c>
      <c r="G302" s="69">
        <f>'1. Accomodation'!R306</f>
        <v>0</v>
      </c>
      <c r="H302" s="69">
        <f>'1. Accomodation'!S306</f>
        <v>0</v>
      </c>
      <c r="I302" s="62"/>
      <c r="K302" s="272">
        <f>IFERROR(INDEX('2. GRI Pricing Inputs'!$C$15:$AI$16,MATCH($K$16,'2. GRI Pricing Inputs'!$C$15:$C$16,0),MATCH(D302,'2. GRI Pricing Inputs'!$C$15:$AI$15,0)),0)</f>
        <v>0</v>
      </c>
      <c r="L302" s="273">
        <f>IFERROR(INDEX('2. GRI Pricing Inputs'!$C$22:$AI$23,MATCH($L$16,'2. GRI Pricing Inputs'!$C$22:$C$23,0),MATCH(E302,'2. GRI Pricing Inputs'!$C$22:$AI$22,0)),0)</f>
        <v>0</v>
      </c>
      <c r="M302" s="328">
        <f>IF(AND('3. GRI Pricing'!$F302&gt;='2. GRI Pricing Inputs'!$D$33,'3. GRI Pricing'!$F302&lt;='2. GRI Pricing Inputs'!$E$33),'2. GRI Pricing Inputs'!$D$32,IF(AND('3. GRI Pricing'!$F302&gt;='2. GRI Pricing Inputs'!$F$33,'3. GRI Pricing'!$F302&lt;='2. GRI Pricing Inputs'!$G$33),'2. GRI Pricing Inputs'!$F$32,IF(AND('3. GRI Pricing'!$F302&gt;='2. GRI Pricing Inputs'!$H$33,'3. GRI Pricing'!$F302&lt;='2. GRI Pricing Inputs'!$I$33),'2. GRI Pricing Inputs'!$H$32,IF(AND('3. GRI Pricing'!$F302&gt;='2. GRI Pricing Inputs'!$J$33,'3. GRI Pricing'!$F302&lt;='2. GRI Pricing Inputs'!$K$33),'2. GRI Pricing Inputs'!$J$32,IF(AND('3. GRI Pricing'!$F302&gt;='2. GRI Pricing Inputs'!$L$33,'3. GRI Pricing'!$F302&lt;='2. GRI Pricing Inputs'!$M$33),'2. GRI Pricing Inputs'!$L$32,IF(AND('3. GRI Pricing'!$F302&gt;='2. GRI Pricing Inputs'!$N$33,'3. GRI Pricing'!$F302&lt;='2. GRI Pricing Inputs'!$O$33),'2. GRI Pricing Inputs'!$N$32,IF(AND('3. GRI Pricing'!$F302&gt;='2. GRI Pricing Inputs'!$P$33,'3. GRI Pricing'!$F302&lt;='2. GRI Pricing Inputs'!$Q$33),'2. GRI Pricing Inputs'!$P$32,IF(AND('3. GRI Pricing'!$F302&gt;='2. GRI Pricing Inputs'!$R$33,'3. GRI Pricing'!$F302&lt;='2. GRI Pricing Inputs'!$S$33),'2. GRI Pricing Inputs'!$R$32,IF(AND('3. GRI Pricing'!$F302&gt;='2. GRI Pricing Inputs'!$T$33,'3. GRI Pricing'!$F302&lt;='2. GRI Pricing Inputs'!$U$33),'2. GRI Pricing Inputs'!$T$32,IF(AND('3. GRI Pricing'!$F302&gt;='2. GRI Pricing Inputs'!$V$33,'3. GRI Pricing'!$F302&lt;='2. GRI Pricing Inputs'!$W$33),'2. GRI Pricing Inputs'!$V$32,IF(AND('3. GRI Pricing'!$F302&gt;='2. GRI Pricing Inputs'!$X$33,'3. GRI Pricing'!$F302&lt;='2. GRI Pricing Inputs'!$Y$33),'2. GRI Pricing Inputs'!$X$32,IF(AND('3. GRI Pricing'!$F302&gt;='2. GRI Pricing Inputs'!$Z$33,'3. GRI Pricing'!$F302&lt;='2. GRI Pricing Inputs'!$AA$33),'2. GRI Pricing Inputs'!$Z$32,IF(AND('3. GRI Pricing'!$F302&gt;='2. GRI Pricing Inputs'!$AB$33,'3. GRI Pricing'!$F302&lt;='2. GRI Pricing Inputs'!$AC$33),'2. GRI Pricing Inputs'!$AB$32,IF(AND('3. GRI Pricing'!$F302&gt;='2. GRI Pricing Inputs'!$AD$33,'3. GRI Pricing'!$F302&lt;='2. GRI Pricing Inputs'!$AE$33),'2. GRI Pricing Inputs'!$AD$32,IF(AND('3. GRI Pricing'!$F302&gt;='2. GRI Pricing Inputs'!$AF$33,'3. GRI Pricing'!$F302&lt;='2. GRI Pricing Inputs'!$AG$33),'2. GRI Pricing Inputs'!$AF$32,IF(AND('3. GRI Pricing'!$F302&gt;='2. GRI Pricing Inputs'!$AH$33,'3. GRI Pricing'!$F302&lt;='2. GRI Pricing Inputs'!$AI$33),'2. GRI Pricing Inputs'!$AH$32,0))))))))))))))))</f>
        <v>0</v>
      </c>
      <c r="N302" s="273" cm="1">
        <f t="array" ref="N302">IFERROR(INDEX('2. GRI Pricing Inputs'!$C$32:$AI$39,MATCH('3. GRI Pricing'!D302,'2. GRI Pricing Inputs'!$C$32:$C$39,0),(MATCH('3. GRI Pricing'!M302,'2. GRI Pricing Inputs'!$D$32:$AI$32,0)+1)),0)</f>
        <v>0</v>
      </c>
      <c r="O302" s="273">
        <f>IFERROR(INDEX('2. GRI Pricing Inputs'!$C$45:$AI$46,MATCH($O$16,'2. GRI Pricing Inputs'!$C$45:$C$46,0),MATCH(G302,'2. GRI Pricing Inputs'!$C$45:$AI$45,0)),0)</f>
        <v>0</v>
      </c>
      <c r="P302" s="273">
        <f>IFERROR(INDEX('2. GRI Pricing Inputs'!$C$53:$AI$54,MATCH('3. GRI Pricing'!$P$16,'2. GRI Pricing Inputs'!$C$53:$C$54,0),MATCH('3. GRI Pricing'!H302,'2. GRI Pricing Inputs'!$C$53:$AI$53,0)),0)</f>
        <v>0</v>
      </c>
      <c r="Q302" s="273">
        <f>IFERROR(INDEX('2. GRI Pricing Inputs'!$C$60:$AI$61,MATCH('3. GRI Pricing'!$Q$16,'2. GRI Pricing Inputs'!$C$60:$C$61,0),MATCH('1. Accomodation'!T306,'2. GRI Pricing Inputs'!$C$60:$AI$60,0)),0)</f>
        <v>0</v>
      </c>
      <c r="R302" s="273">
        <f>IFERROR(INDEX('2. GRI Pricing Inputs'!$C$67:$AI$68,MATCH('3. GRI Pricing'!$R$16,'2. GRI Pricing Inputs'!$C$67:$C$68,0),MATCH('1. Accomodation'!U306,'2. GRI Pricing Inputs'!$C$67:$AI$67,0)),0)</f>
        <v>0</v>
      </c>
      <c r="S302" s="273">
        <f>IF(D302=0,0,'2. GRI Pricing Inputs'!$AI$75)</f>
        <v>0</v>
      </c>
      <c r="T302" s="273">
        <f>IFERROR(INDEX('2. GRI Pricing Inputs'!$C$82:$AI$83,MATCH('3. GRI Pricing'!$T$16,'2. GRI Pricing Inputs'!$C$82:$C$83,0),MATCH('1. Accomodation'!V306,'2. GRI Pricing Inputs'!$C$82:$AI$82,0)),0)</f>
        <v>0</v>
      </c>
      <c r="U302" s="273">
        <f>IFERROR(INDEX('2. GRI Pricing Inputs'!$C$89:$AI$90,MATCH('3. GRI Pricing'!$U$16,'2. GRI Pricing Inputs'!$C$89:$C$90,0),MATCH('1. Accomodation'!W306,'2. GRI Pricing Inputs'!$C$89:$AI$89,0)),0)</f>
        <v>0</v>
      </c>
      <c r="V302" s="273">
        <f>IFERROR(INDEX('2. GRI Pricing Inputs'!$C$97:$AI$98,MATCH('3. GRI Pricing'!$V$16,'2. GRI Pricing Inputs'!$C$97:$C$98,0),MATCH('1. Accomodation'!X306,'2. GRI Pricing Inputs'!$C$97:$AI$97,0)),0)</f>
        <v>0</v>
      </c>
      <c r="W302" s="273">
        <f>IFERROR(INDEX('2. GRI Pricing Inputs'!$C$104:$AI$105,MATCH('3. GRI Pricing'!$W$16,'2. GRI Pricing Inputs'!$C$104:$C$105,0),MATCH('1. Accomodation'!Y306,'2. GRI Pricing Inputs'!$C$104:$AI$104,0)),0)</f>
        <v>0</v>
      </c>
      <c r="X302" s="274"/>
      <c r="Y302" s="275">
        <f t="shared" si="11"/>
        <v>0</v>
      </c>
      <c r="Z302" s="276"/>
      <c r="AA302" s="276"/>
      <c r="AB302" s="276"/>
      <c r="AC302" s="272">
        <f>Y302*(1+'2. GRI Pricing Inputs'!$D$114)^(($AC$16-$AB$15)/365)</f>
        <v>0</v>
      </c>
      <c r="AD302" s="273">
        <f>AC302*(1+'2. GRI Pricing Inputs'!$D$114)^((AD$16-AC$16)/365)</f>
        <v>0</v>
      </c>
      <c r="AE302" s="273">
        <f>AD302*(1+'2. GRI Pricing Inputs'!$D$114)^((AE$16-AD$16)/365)</f>
        <v>0</v>
      </c>
      <c r="AF302" s="273">
        <f>AE302*(1+'2. GRI Pricing Inputs'!$D$114)^((AF$16-AE$16)/365)</f>
        <v>0</v>
      </c>
      <c r="AG302" s="273">
        <f>AF302*(1+'2. GRI Pricing Inputs'!$D$114)^((AG$16-AF$16)/365)</f>
        <v>0</v>
      </c>
      <c r="AH302" s="273">
        <f>AG302*(1+'2. GRI Pricing Inputs'!$D$114)^((AH$16-AG$16)/365)</f>
        <v>0</v>
      </c>
      <c r="AI302" s="273">
        <f>AH302*(1+'2. GRI Pricing Inputs'!$D$114)^((AI$16-AH$16)/365)</f>
        <v>0</v>
      </c>
      <c r="AJ302" s="273">
        <f>AI302*(1+'2. GRI Pricing Inputs'!$D$114)^((AJ$16-AI$16)/365)</f>
        <v>0</v>
      </c>
      <c r="AK302" s="273">
        <f>AJ302*(1+'2. GRI Pricing Inputs'!$D$114)^((AK$16-AJ$16)/365)</f>
        <v>0</v>
      </c>
      <c r="AL302" s="273">
        <f>AK302*(1+'2. GRI Pricing Inputs'!$D$114)^((AL$16-AK$16)/365)</f>
        <v>0</v>
      </c>
      <c r="AM302" s="273">
        <f>AL302*(1+'2. GRI Pricing Inputs'!$D$114)^((AM$16-AL$16)/365)</f>
        <v>0</v>
      </c>
      <c r="AN302" s="273">
        <f>AM302*(1+'2. GRI Pricing Inputs'!$D$114)^((AN$16-AM$16)/365)</f>
        <v>0</v>
      </c>
      <c r="AO302" s="273">
        <f>AN302*(1+'2. GRI Pricing Inputs'!$D$114)^((AO$16-AN$16)/365)</f>
        <v>0</v>
      </c>
    </row>
    <row r="303" spans="3:41" ht="12" x14ac:dyDescent="0.2">
      <c r="C303" s="76">
        <f>'1. Accomodation'!N307</f>
        <v>0</v>
      </c>
      <c r="D303" s="69">
        <f>'1. Accomodation'!P307</f>
        <v>0</v>
      </c>
      <c r="E303" s="69">
        <f>'1. Accomodation'!Q307</f>
        <v>0</v>
      </c>
      <c r="F303" s="77">
        <f>'1. Accomodation'!O307</f>
        <v>0</v>
      </c>
      <c r="G303" s="69">
        <f>'1. Accomodation'!R307</f>
        <v>0</v>
      </c>
      <c r="H303" s="69">
        <f>'1. Accomodation'!S307</f>
        <v>0</v>
      </c>
      <c r="I303" s="62"/>
      <c r="K303" s="272">
        <f>IFERROR(INDEX('2. GRI Pricing Inputs'!$C$15:$AI$16,MATCH($K$16,'2. GRI Pricing Inputs'!$C$15:$C$16,0),MATCH(D303,'2. GRI Pricing Inputs'!$C$15:$AI$15,0)),0)</f>
        <v>0</v>
      </c>
      <c r="L303" s="273">
        <f>IFERROR(INDEX('2. GRI Pricing Inputs'!$C$22:$AI$23,MATCH($L$16,'2. GRI Pricing Inputs'!$C$22:$C$23,0),MATCH(E303,'2. GRI Pricing Inputs'!$C$22:$AI$22,0)),0)</f>
        <v>0</v>
      </c>
      <c r="M303" s="328">
        <f>IF(AND('3. GRI Pricing'!$F303&gt;='2. GRI Pricing Inputs'!$D$33,'3. GRI Pricing'!$F303&lt;='2. GRI Pricing Inputs'!$E$33),'2. GRI Pricing Inputs'!$D$32,IF(AND('3. GRI Pricing'!$F303&gt;='2. GRI Pricing Inputs'!$F$33,'3. GRI Pricing'!$F303&lt;='2. GRI Pricing Inputs'!$G$33),'2. GRI Pricing Inputs'!$F$32,IF(AND('3. GRI Pricing'!$F303&gt;='2. GRI Pricing Inputs'!$H$33,'3. GRI Pricing'!$F303&lt;='2. GRI Pricing Inputs'!$I$33),'2. GRI Pricing Inputs'!$H$32,IF(AND('3. GRI Pricing'!$F303&gt;='2. GRI Pricing Inputs'!$J$33,'3. GRI Pricing'!$F303&lt;='2. GRI Pricing Inputs'!$K$33),'2. GRI Pricing Inputs'!$J$32,IF(AND('3. GRI Pricing'!$F303&gt;='2. GRI Pricing Inputs'!$L$33,'3. GRI Pricing'!$F303&lt;='2. GRI Pricing Inputs'!$M$33),'2. GRI Pricing Inputs'!$L$32,IF(AND('3. GRI Pricing'!$F303&gt;='2. GRI Pricing Inputs'!$N$33,'3. GRI Pricing'!$F303&lt;='2. GRI Pricing Inputs'!$O$33),'2. GRI Pricing Inputs'!$N$32,IF(AND('3. GRI Pricing'!$F303&gt;='2. GRI Pricing Inputs'!$P$33,'3. GRI Pricing'!$F303&lt;='2. GRI Pricing Inputs'!$Q$33),'2. GRI Pricing Inputs'!$P$32,IF(AND('3. GRI Pricing'!$F303&gt;='2. GRI Pricing Inputs'!$R$33,'3. GRI Pricing'!$F303&lt;='2. GRI Pricing Inputs'!$S$33),'2. GRI Pricing Inputs'!$R$32,IF(AND('3. GRI Pricing'!$F303&gt;='2. GRI Pricing Inputs'!$T$33,'3. GRI Pricing'!$F303&lt;='2. GRI Pricing Inputs'!$U$33),'2. GRI Pricing Inputs'!$T$32,IF(AND('3. GRI Pricing'!$F303&gt;='2. GRI Pricing Inputs'!$V$33,'3. GRI Pricing'!$F303&lt;='2. GRI Pricing Inputs'!$W$33),'2. GRI Pricing Inputs'!$V$32,IF(AND('3. GRI Pricing'!$F303&gt;='2. GRI Pricing Inputs'!$X$33,'3. GRI Pricing'!$F303&lt;='2. GRI Pricing Inputs'!$Y$33),'2. GRI Pricing Inputs'!$X$32,IF(AND('3. GRI Pricing'!$F303&gt;='2. GRI Pricing Inputs'!$Z$33,'3. GRI Pricing'!$F303&lt;='2. GRI Pricing Inputs'!$AA$33),'2. GRI Pricing Inputs'!$Z$32,IF(AND('3. GRI Pricing'!$F303&gt;='2. GRI Pricing Inputs'!$AB$33,'3. GRI Pricing'!$F303&lt;='2. GRI Pricing Inputs'!$AC$33),'2. GRI Pricing Inputs'!$AB$32,IF(AND('3. GRI Pricing'!$F303&gt;='2. GRI Pricing Inputs'!$AD$33,'3. GRI Pricing'!$F303&lt;='2. GRI Pricing Inputs'!$AE$33),'2. GRI Pricing Inputs'!$AD$32,IF(AND('3. GRI Pricing'!$F303&gt;='2. GRI Pricing Inputs'!$AF$33,'3. GRI Pricing'!$F303&lt;='2. GRI Pricing Inputs'!$AG$33),'2. GRI Pricing Inputs'!$AF$32,IF(AND('3. GRI Pricing'!$F303&gt;='2. GRI Pricing Inputs'!$AH$33,'3. GRI Pricing'!$F303&lt;='2. GRI Pricing Inputs'!$AI$33),'2. GRI Pricing Inputs'!$AH$32,0))))))))))))))))</f>
        <v>0</v>
      </c>
      <c r="N303" s="273" cm="1">
        <f t="array" ref="N303">IFERROR(INDEX('2. GRI Pricing Inputs'!$C$32:$AI$39,MATCH('3. GRI Pricing'!D303,'2. GRI Pricing Inputs'!$C$32:$C$39,0),(MATCH('3. GRI Pricing'!M303,'2. GRI Pricing Inputs'!$D$32:$AI$32,0)+1)),0)</f>
        <v>0</v>
      </c>
      <c r="O303" s="273">
        <f>IFERROR(INDEX('2. GRI Pricing Inputs'!$C$45:$AI$46,MATCH($O$16,'2. GRI Pricing Inputs'!$C$45:$C$46,0),MATCH(G303,'2. GRI Pricing Inputs'!$C$45:$AI$45,0)),0)</f>
        <v>0</v>
      </c>
      <c r="P303" s="273">
        <f>IFERROR(INDEX('2. GRI Pricing Inputs'!$C$53:$AI$54,MATCH('3. GRI Pricing'!$P$16,'2. GRI Pricing Inputs'!$C$53:$C$54,0),MATCH('3. GRI Pricing'!H303,'2. GRI Pricing Inputs'!$C$53:$AI$53,0)),0)</f>
        <v>0</v>
      </c>
      <c r="Q303" s="273">
        <f>IFERROR(INDEX('2. GRI Pricing Inputs'!$C$60:$AI$61,MATCH('3. GRI Pricing'!$Q$16,'2. GRI Pricing Inputs'!$C$60:$C$61,0),MATCH('1. Accomodation'!T307,'2. GRI Pricing Inputs'!$C$60:$AI$60,0)),0)</f>
        <v>0</v>
      </c>
      <c r="R303" s="273">
        <f>IFERROR(INDEX('2. GRI Pricing Inputs'!$C$67:$AI$68,MATCH('3. GRI Pricing'!$R$16,'2. GRI Pricing Inputs'!$C$67:$C$68,0),MATCH('1. Accomodation'!U307,'2. GRI Pricing Inputs'!$C$67:$AI$67,0)),0)</f>
        <v>0</v>
      </c>
      <c r="S303" s="273">
        <f>IF(D303=0,0,'2. GRI Pricing Inputs'!$AI$75)</f>
        <v>0</v>
      </c>
      <c r="T303" s="273">
        <f>IFERROR(INDEX('2. GRI Pricing Inputs'!$C$82:$AI$83,MATCH('3. GRI Pricing'!$T$16,'2. GRI Pricing Inputs'!$C$82:$C$83,0),MATCH('1. Accomodation'!V307,'2. GRI Pricing Inputs'!$C$82:$AI$82,0)),0)</f>
        <v>0</v>
      </c>
      <c r="U303" s="273">
        <f>IFERROR(INDEX('2. GRI Pricing Inputs'!$C$89:$AI$90,MATCH('3. GRI Pricing'!$U$16,'2. GRI Pricing Inputs'!$C$89:$C$90,0),MATCH('1. Accomodation'!W307,'2. GRI Pricing Inputs'!$C$89:$AI$89,0)),0)</f>
        <v>0</v>
      </c>
      <c r="V303" s="273">
        <f>IFERROR(INDEX('2. GRI Pricing Inputs'!$C$97:$AI$98,MATCH('3. GRI Pricing'!$V$16,'2. GRI Pricing Inputs'!$C$97:$C$98,0),MATCH('1. Accomodation'!X307,'2. GRI Pricing Inputs'!$C$97:$AI$97,0)),0)</f>
        <v>0</v>
      </c>
      <c r="W303" s="273">
        <f>IFERROR(INDEX('2. GRI Pricing Inputs'!$C$104:$AI$105,MATCH('3. GRI Pricing'!$W$16,'2. GRI Pricing Inputs'!$C$104:$C$105,0),MATCH('1. Accomodation'!Y307,'2. GRI Pricing Inputs'!$C$104:$AI$104,0)),0)</f>
        <v>0</v>
      </c>
      <c r="X303" s="274"/>
      <c r="Y303" s="275">
        <f t="shared" si="11"/>
        <v>0</v>
      </c>
      <c r="Z303" s="276"/>
      <c r="AA303" s="276"/>
      <c r="AB303" s="276"/>
      <c r="AC303" s="272">
        <f>Y303*(1+'2. GRI Pricing Inputs'!$D$114)^(($AC$16-$AB$15)/365)</f>
        <v>0</v>
      </c>
      <c r="AD303" s="273">
        <f>AC303*(1+'2. GRI Pricing Inputs'!$D$114)^((AD$16-AC$16)/365)</f>
        <v>0</v>
      </c>
      <c r="AE303" s="273">
        <f>AD303*(1+'2. GRI Pricing Inputs'!$D$114)^((AE$16-AD$16)/365)</f>
        <v>0</v>
      </c>
      <c r="AF303" s="273">
        <f>AE303*(1+'2. GRI Pricing Inputs'!$D$114)^((AF$16-AE$16)/365)</f>
        <v>0</v>
      </c>
      <c r="AG303" s="273">
        <f>AF303*(1+'2. GRI Pricing Inputs'!$D$114)^((AG$16-AF$16)/365)</f>
        <v>0</v>
      </c>
      <c r="AH303" s="273">
        <f>AG303*(1+'2. GRI Pricing Inputs'!$D$114)^((AH$16-AG$16)/365)</f>
        <v>0</v>
      </c>
      <c r="AI303" s="273">
        <f>AH303*(1+'2. GRI Pricing Inputs'!$D$114)^((AI$16-AH$16)/365)</f>
        <v>0</v>
      </c>
      <c r="AJ303" s="273">
        <f>AI303*(1+'2. GRI Pricing Inputs'!$D$114)^((AJ$16-AI$16)/365)</f>
        <v>0</v>
      </c>
      <c r="AK303" s="273">
        <f>AJ303*(1+'2. GRI Pricing Inputs'!$D$114)^((AK$16-AJ$16)/365)</f>
        <v>0</v>
      </c>
      <c r="AL303" s="273">
        <f>AK303*(1+'2. GRI Pricing Inputs'!$D$114)^((AL$16-AK$16)/365)</f>
        <v>0</v>
      </c>
      <c r="AM303" s="273">
        <f>AL303*(1+'2. GRI Pricing Inputs'!$D$114)^((AM$16-AL$16)/365)</f>
        <v>0</v>
      </c>
      <c r="AN303" s="273">
        <f>AM303*(1+'2. GRI Pricing Inputs'!$D$114)^((AN$16-AM$16)/365)</f>
        <v>0</v>
      </c>
      <c r="AO303" s="273">
        <f>AN303*(1+'2. GRI Pricing Inputs'!$D$114)^((AO$16-AN$16)/365)</f>
        <v>0</v>
      </c>
    </row>
    <row r="304" spans="3:41" ht="12" x14ac:dyDescent="0.2">
      <c r="C304" s="76">
        <f>'1. Accomodation'!N308</f>
        <v>0</v>
      </c>
      <c r="D304" s="69">
        <f>'1. Accomodation'!P308</f>
        <v>0</v>
      </c>
      <c r="E304" s="69">
        <f>'1. Accomodation'!Q308</f>
        <v>0</v>
      </c>
      <c r="F304" s="77">
        <f>'1. Accomodation'!O308</f>
        <v>0</v>
      </c>
      <c r="G304" s="69">
        <f>'1. Accomodation'!R308</f>
        <v>0</v>
      </c>
      <c r="H304" s="69">
        <f>'1. Accomodation'!S308</f>
        <v>0</v>
      </c>
      <c r="I304" s="62"/>
      <c r="K304" s="272">
        <f>IFERROR(INDEX('2. GRI Pricing Inputs'!$C$15:$AI$16,MATCH($K$16,'2. GRI Pricing Inputs'!$C$15:$C$16,0),MATCH(D304,'2. GRI Pricing Inputs'!$C$15:$AI$15,0)),0)</f>
        <v>0</v>
      </c>
      <c r="L304" s="273">
        <f>IFERROR(INDEX('2. GRI Pricing Inputs'!$C$22:$AI$23,MATCH($L$16,'2. GRI Pricing Inputs'!$C$22:$C$23,0),MATCH(E304,'2. GRI Pricing Inputs'!$C$22:$AI$22,0)),0)</f>
        <v>0</v>
      </c>
      <c r="M304" s="328">
        <f>IF(AND('3. GRI Pricing'!$F304&gt;='2. GRI Pricing Inputs'!$D$33,'3. GRI Pricing'!$F304&lt;='2. GRI Pricing Inputs'!$E$33),'2. GRI Pricing Inputs'!$D$32,IF(AND('3. GRI Pricing'!$F304&gt;='2. GRI Pricing Inputs'!$F$33,'3. GRI Pricing'!$F304&lt;='2. GRI Pricing Inputs'!$G$33),'2. GRI Pricing Inputs'!$F$32,IF(AND('3. GRI Pricing'!$F304&gt;='2. GRI Pricing Inputs'!$H$33,'3. GRI Pricing'!$F304&lt;='2. GRI Pricing Inputs'!$I$33),'2. GRI Pricing Inputs'!$H$32,IF(AND('3. GRI Pricing'!$F304&gt;='2. GRI Pricing Inputs'!$J$33,'3. GRI Pricing'!$F304&lt;='2. GRI Pricing Inputs'!$K$33),'2. GRI Pricing Inputs'!$J$32,IF(AND('3. GRI Pricing'!$F304&gt;='2. GRI Pricing Inputs'!$L$33,'3. GRI Pricing'!$F304&lt;='2. GRI Pricing Inputs'!$M$33),'2. GRI Pricing Inputs'!$L$32,IF(AND('3. GRI Pricing'!$F304&gt;='2. GRI Pricing Inputs'!$N$33,'3. GRI Pricing'!$F304&lt;='2. GRI Pricing Inputs'!$O$33),'2. GRI Pricing Inputs'!$N$32,IF(AND('3. GRI Pricing'!$F304&gt;='2. GRI Pricing Inputs'!$P$33,'3. GRI Pricing'!$F304&lt;='2. GRI Pricing Inputs'!$Q$33),'2. GRI Pricing Inputs'!$P$32,IF(AND('3. GRI Pricing'!$F304&gt;='2. GRI Pricing Inputs'!$R$33,'3. GRI Pricing'!$F304&lt;='2. GRI Pricing Inputs'!$S$33),'2. GRI Pricing Inputs'!$R$32,IF(AND('3. GRI Pricing'!$F304&gt;='2. GRI Pricing Inputs'!$T$33,'3. GRI Pricing'!$F304&lt;='2. GRI Pricing Inputs'!$U$33),'2. GRI Pricing Inputs'!$T$32,IF(AND('3. GRI Pricing'!$F304&gt;='2. GRI Pricing Inputs'!$V$33,'3. GRI Pricing'!$F304&lt;='2. GRI Pricing Inputs'!$W$33),'2. GRI Pricing Inputs'!$V$32,IF(AND('3. GRI Pricing'!$F304&gt;='2. GRI Pricing Inputs'!$X$33,'3. GRI Pricing'!$F304&lt;='2. GRI Pricing Inputs'!$Y$33),'2. GRI Pricing Inputs'!$X$32,IF(AND('3. GRI Pricing'!$F304&gt;='2. GRI Pricing Inputs'!$Z$33,'3. GRI Pricing'!$F304&lt;='2. GRI Pricing Inputs'!$AA$33),'2. GRI Pricing Inputs'!$Z$32,IF(AND('3. GRI Pricing'!$F304&gt;='2. GRI Pricing Inputs'!$AB$33,'3. GRI Pricing'!$F304&lt;='2. GRI Pricing Inputs'!$AC$33),'2. GRI Pricing Inputs'!$AB$32,IF(AND('3. GRI Pricing'!$F304&gt;='2. GRI Pricing Inputs'!$AD$33,'3. GRI Pricing'!$F304&lt;='2. GRI Pricing Inputs'!$AE$33),'2. GRI Pricing Inputs'!$AD$32,IF(AND('3. GRI Pricing'!$F304&gt;='2. GRI Pricing Inputs'!$AF$33,'3. GRI Pricing'!$F304&lt;='2. GRI Pricing Inputs'!$AG$33),'2. GRI Pricing Inputs'!$AF$32,IF(AND('3. GRI Pricing'!$F304&gt;='2. GRI Pricing Inputs'!$AH$33,'3. GRI Pricing'!$F304&lt;='2. GRI Pricing Inputs'!$AI$33),'2. GRI Pricing Inputs'!$AH$32,0))))))))))))))))</f>
        <v>0</v>
      </c>
      <c r="N304" s="273" cm="1">
        <f t="array" ref="N304">IFERROR(INDEX('2. GRI Pricing Inputs'!$C$32:$AI$39,MATCH('3. GRI Pricing'!D304,'2. GRI Pricing Inputs'!$C$32:$C$39,0),(MATCH('3. GRI Pricing'!M304,'2. GRI Pricing Inputs'!$D$32:$AI$32,0)+1)),0)</f>
        <v>0</v>
      </c>
      <c r="O304" s="273">
        <f>IFERROR(INDEX('2. GRI Pricing Inputs'!$C$45:$AI$46,MATCH($O$16,'2. GRI Pricing Inputs'!$C$45:$C$46,0),MATCH(G304,'2. GRI Pricing Inputs'!$C$45:$AI$45,0)),0)</f>
        <v>0</v>
      </c>
      <c r="P304" s="273">
        <f>IFERROR(INDEX('2. GRI Pricing Inputs'!$C$53:$AI$54,MATCH('3. GRI Pricing'!$P$16,'2. GRI Pricing Inputs'!$C$53:$C$54,0),MATCH('3. GRI Pricing'!H304,'2. GRI Pricing Inputs'!$C$53:$AI$53,0)),0)</f>
        <v>0</v>
      </c>
      <c r="Q304" s="273">
        <f>IFERROR(INDEX('2. GRI Pricing Inputs'!$C$60:$AI$61,MATCH('3. GRI Pricing'!$Q$16,'2. GRI Pricing Inputs'!$C$60:$C$61,0),MATCH('1. Accomodation'!T308,'2. GRI Pricing Inputs'!$C$60:$AI$60,0)),0)</f>
        <v>0</v>
      </c>
      <c r="R304" s="273">
        <f>IFERROR(INDEX('2. GRI Pricing Inputs'!$C$67:$AI$68,MATCH('3. GRI Pricing'!$R$16,'2. GRI Pricing Inputs'!$C$67:$C$68,0),MATCH('1. Accomodation'!U308,'2. GRI Pricing Inputs'!$C$67:$AI$67,0)),0)</f>
        <v>0</v>
      </c>
      <c r="S304" s="273">
        <f>IF(D304=0,0,'2. GRI Pricing Inputs'!$AI$75)</f>
        <v>0</v>
      </c>
      <c r="T304" s="273">
        <f>IFERROR(INDEX('2. GRI Pricing Inputs'!$C$82:$AI$83,MATCH('3. GRI Pricing'!$T$16,'2. GRI Pricing Inputs'!$C$82:$C$83,0),MATCH('1. Accomodation'!V308,'2. GRI Pricing Inputs'!$C$82:$AI$82,0)),0)</f>
        <v>0</v>
      </c>
      <c r="U304" s="273">
        <f>IFERROR(INDEX('2. GRI Pricing Inputs'!$C$89:$AI$90,MATCH('3. GRI Pricing'!$U$16,'2. GRI Pricing Inputs'!$C$89:$C$90,0),MATCH('1. Accomodation'!W308,'2. GRI Pricing Inputs'!$C$89:$AI$89,0)),0)</f>
        <v>0</v>
      </c>
      <c r="V304" s="273">
        <f>IFERROR(INDEX('2. GRI Pricing Inputs'!$C$97:$AI$98,MATCH('3. GRI Pricing'!$V$16,'2. GRI Pricing Inputs'!$C$97:$C$98,0),MATCH('1. Accomodation'!X308,'2. GRI Pricing Inputs'!$C$97:$AI$97,0)),0)</f>
        <v>0</v>
      </c>
      <c r="W304" s="273">
        <f>IFERROR(INDEX('2. GRI Pricing Inputs'!$C$104:$AI$105,MATCH('3. GRI Pricing'!$W$16,'2. GRI Pricing Inputs'!$C$104:$C$105,0),MATCH('1. Accomodation'!Y308,'2. GRI Pricing Inputs'!$C$104:$AI$104,0)),0)</f>
        <v>0</v>
      </c>
      <c r="X304" s="274"/>
      <c r="Y304" s="275">
        <f t="shared" si="11"/>
        <v>0</v>
      </c>
      <c r="Z304" s="276"/>
      <c r="AA304" s="276"/>
      <c r="AB304" s="276"/>
      <c r="AC304" s="272">
        <f>Y304*(1+'2. GRI Pricing Inputs'!$D$114)^(($AC$16-$AB$15)/365)</f>
        <v>0</v>
      </c>
      <c r="AD304" s="273">
        <f>AC304*(1+'2. GRI Pricing Inputs'!$D$114)^((AD$16-AC$16)/365)</f>
        <v>0</v>
      </c>
      <c r="AE304" s="273">
        <f>AD304*(1+'2. GRI Pricing Inputs'!$D$114)^((AE$16-AD$16)/365)</f>
        <v>0</v>
      </c>
      <c r="AF304" s="273">
        <f>AE304*(1+'2. GRI Pricing Inputs'!$D$114)^((AF$16-AE$16)/365)</f>
        <v>0</v>
      </c>
      <c r="AG304" s="273">
        <f>AF304*(1+'2. GRI Pricing Inputs'!$D$114)^((AG$16-AF$16)/365)</f>
        <v>0</v>
      </c>
      <c r="AH304" s="273">
        <f>AG304*(1+'2. GRI Pricing Inputs'!$D$114)^((AH$16-AG$16)/365)</f>
        <v>0</v>
      </c>
      <c r="AI304" s="273">
        <f>AH304*(1+'2. GRI Pricing Inputs'!$D$114)^((AI$16-AH$16)/365)</f>
        <v>0</v>
      </c>
      <c r="AJ304" s="273">
        <f>AI304*(1+'2. GRI Pricing Inputs'!$D$114)^((AJ$16-AI$16)/365)</f>
        <v>0</v>
      </c>
      <c r="AK304" s="273">
        <f>AJ304*(1+'2. GRI Pricing Inputs'!$D$114)^((AK$16-AJ$16)/365)</f>
        <v>0</v>
      </c>
      <c r="AL304" s="273">
        <f>AK304*(1+'2. GRI Pricing Inputs'!$D$114)^((AL$16-AK$16)/365)</f>
        <v>0</v>
      </c>
      <c r="AM304" s="273">
        <f>AL304*(1+'2. GRI Pricing Inputs'!$D$114)^((AM$16-AL$16)/365)</f>
        <v>0</v>
      </c>
      <c r="AN304" s="273">
        <f>AM304*(1+'2. GRI Pricing Inputs'!$D$114)^((AN$16-AM$16)/365)</f>
        <v>0</v>
      </c>
      <c r="AO304" s="273">
        <f>AN304*(1+'2. GRI Pricing Inputs'!$D$114)^((AO$16-AN$16)/365)</f>
        <v>0</v>
      </c>
    </row>
    <row r="305" spans="3:41" ht="12" x14ac:dyDescent="0.2">
      <c r="C305" s="76">
        <f>'1. Accomodation'!N309</f>
        <v>0</v>
      </c>
      <c r="D305" s="69">
        <f>'1. Accomodation'!P309</f>
        <v>0</v>
      </c>
      <c r="E305" s="69">
        <f>'1. Accomodation'!Q309</f>
        <v>0</v>
      </c>
      <c r="F305" s="77">
        <f>'1. Accomodation'!O309</f>
        <v>0</v>
      </c>
      <c r="G305" s="69">
        <f>'1. Accomodation'!R309</f>
        <v>0</v>
      </c>
      <c r="H305" s="69">
        <f>'1. Accomodation'!S309</f>
        <v>0</v>
      </c>
      <c r="I305" s="62"/>
      <c r="K305" s="272">
        <f>IFERROR(INDEX('2. GRI Pricing Inputs'!$C$15:$AI$16,MATCH($K$16,'2. GRI Pricing Inputs'!$C$15:$C$16,0),MATCH(D305,'2. GRI Pricing Inputs'!$C$15:$AI$15,0)),0)</f>
        <v>0</v>
      </c>
      <c r="L305" s="273">
        <f>IFERROR(INDEX('2. GRI Pricing Inputs'!$C$22:$AI$23,MATCH($L$16,'2. GRI Pricing Inputs'!$C$22:$C$23,0),MATCH(E305,'2. GRI Pricing Inputs'!$C$22:$AI$22,0)),0)</f>
        <v>0</v>
      </c>
      <c r="M305" s="328">
        <f>IF(AND('3. GRI Pricing'!$F305&gt;='2. GRI Pricing Inputs'!$D$33,'3. GRI Pricing'!$F305&lt;='2. GRI Pricing Inputs'!$E$33),'2. GRI Pricing Inputs'!$D$32,IF(AND('3. GRI Pricing'!$F305&gt;='2. GRI Pricing Inputs'!$F$33,'3. GRI Pricing'!$F305&lt;='2. GRI Pricing Inputs'!$G$33),'2. GRI Pricing Inputs'!$F$32,IF(AND('3. GRI Pricing'!$F305&gt;='2. GRI Pricing Inputs'!$H$33,'3. GRI Pricing'!$F305&lt;='2. GRI Pricing Inputs'!$I$33),'2. GRI Pricing Inputs'!$H$32,IF(AND('3. GRI Pricing'!$F305&gt;='2. GRI Pricing Inputs'!$J$33,'3. GRI Pricing'!$F305&lt;='2. GRI Pricing Inputs'!$K$33),'2. GRI Pricing Inputs'!$J$32,IF(AND('3. GRI Pricing'!$F305&gt;='2. GRI Pricing Inputs'!$L$33,'3. GRI Pricing'!$F305&lt;='2. GRI Pricing Inputs'!$M$33),'2. GRI Pricing Inputs'!$L$32,IF(AND('3. GRI Pricing'!$F305&gt;='2. GRI Pricing Inputs'!$N$33,'3. GRI Pricing'!$F305&lt;='2. GRI Pricing Inputs'!$O$33),'2. GRI Pricing Inputs'!$N$32,IF(AND('3. GRI Pricing'!$F305&gt;='2. GRI Pricing Inputs'!$P$33,'3. GRI Pricing'!$F305&lt;='2. GRI Pricing Inputs'!$Q$33),'2. GRI Pricing Inputs'!$P$32,IF(AND('3. GRI Pricing'!$F305&gt;='2. GRI Pricing Inputs'!$R$33,'3. GRI Pricing'!$F305&lt;='2. GRI Pricing Inputs'!$S$33),'2. GRI Pricing Inputs'!$R$32,IF(AND('3. GRI Pricing'!$F305&gt;='2. GRI Pricing Inputs'!$T$33,'3. GRI Pricing'!$F305&lt;='2. GRI Pricing Inputs'!$U$33),'2. GRI Pricing Inputs'!$T$32,IF(AND('3. GRI Pricing'!$F305&gt;='2. GRI Pricing Inputs'!$V$33,'3. GRI Pricing'!$F305&lt;='2. GRI Pricing Inputs'!$W$33),'2. GRI Pricing Inputs'!$V$32,IF(AND('3. GRI Pricing'!$F305&gt;='2. GRI Pricing Inputs'!$X$33,'3. GRI Pricing'!$F305&lt;='2. GRI Pricing Inputs'!$Y$33),'2. GRI Pricing Inputs'!$X$32,IF(AND('3. GRI Pricing'!$F305&gt;='2. GRI Pricing Inputs'!$Z$33,'3. GRI Pricing'!$F305&lt;='2. GRI Pricing Inputs'!$AA$33),'2. GRI Pricing Inputs'!$Z$32,IF(AND('3. GRI Pricing'!$F305&gt;='2. GRI Pricing Inputs'!$AB$33,'3. GRI Pricing'!$F305&lt;='2. GRI Pricing Inputs'!$AC$33),'2. GRI Pricing Inputs'!$AB$32,IF(AND('3. GRI Pricing'!$F305&gt;='2. GRI Pricing Inputs'!$AD$33,'3. GRI Pricing'!$F305&lt;='2. GRI Pricing Inputs'!$AE$33),'2. GRI Pricing Inputs'!$AD$32,IF(AND('3. GRI Pricing'!$F305&gt;='2. GRI Pricing Inputs'!$AF$33,'3. GRI Pricing'!$F305&lt;='2. GRI Pricing Inputs'!$AG$33),'2. GRI Pricing Inputs'!$AF$32,IF(AND('3. GRI Pricing'!$F305&gt;='2. GRI Pricing Inputs'!$AH$33,'3. GRI Pricing'!$F305&lt;='2. GRI Pricing Inputs'!$AI$33),'2. GRI Pricing Inputs'!$AH$32,0))))))))))))))))</f>
        <v>0</v>
      </c>
      <c r="N305" s="273" cm="1">
        <f t="array" ref="N305">IFERROR(INDEX('2. GRI Pricing Inputs'!$C$32:$AI$39,MATCH('3. GRI Pricing'!D305,'2. GRI Pricing Inputs'!$C$32:$C$39,0),(MATCH('3. GRI Pricing'!M305,'2. GRI Pricing Inputs'!$D$32:$AI$32,0)+1)),0)</f>
        <v>0</v>
      </c>
      <c r="O305" s="273">
        <f>IFERROR(INDEX('2. GRI Pricing Inputs'!$C$45:$AI$46,MATCH($O$16,'2. GRI Pricing Inputs'!$C$45:$C$46,0),MATCH(G305,'2. GRI Pricing Inputs'!$C$45:$AI$45,0)),0)</f>
        <v>0</v>
      </c>
      <c r="P305" s="273">
        <f>IFERROR(INDEX('2. GRI Pricing Inputs'!$C$53:$AI$54,MATCH('3. GRI Pricing'!$P$16,'2. GRI Pricing Inputs'!$C$53:$C$54,0),MATCH('3. GRI Pricing'!H305,'2. GRI Pricing Inputs'!$C$53:$AI$53,0)),0)</f>
        <v>0</v>
      </c>
      <c r="Q305" s="273">
        <f>IFERROR(INDEX('2. GRI Pricing Inputs'!$C$60:$AI$61,MATCH('3. GRI Pricing'!$Q$16,'2. GRI Pricing Inputs'!$C$60:$C$61,0),MATCH('1. Accomodation'!T309,'2. GRI Pricing Inputs'!$C$60:$AI$60,0)),0)</f>
        <v>0</v>
      </c>
      <c r="R305" s="273">
        <f>IFERROR(INDEX('2. GRI Pricing Inputs'!$C$67:$AI$68,MATCH('3. GRI Pricing'!$R$16,'2. GRI Pricing Inputs'!$C$67:$C$68,0),MATCH('1. Accomodation'!U309,'2. GRI Pricing Inputs'!$C$67:$AI$67,0)),0)</f>
        <v>0</v>
      </c>
      <c r="S305" s="273">
        <f>IF(D305=0,0,'2. GRI Pricing Inputs'!$AI$75)</f>
        <v>0</v>
      </c>
      <c r="T305" s="273">
        <f>IFERROR(INDEX('2. GRI Pricing Inputs'!$C$82:$AI$83,MATCH('3. GRI Pricing'!$T$16,'2. GRI Pricing Inputs'!$C$82:$C$83,0),MATCH('1. Accomodation'!V309,'2. GRI Pricing Inputs'!$C$82:$AI$82,0)),0)</f>
        <v>0</v>
      </c>
      <c r="U305" s="273">
        <f>IFERROR(INDEX('2. GRI Pricing Inputs'!$C$89:$AI$90,MATCH('3. GRI Pricing'!$U$16,'2. GRI Pricing Inputs'!$C$89:$C$90,0),MATCH('1. Accomodation'!W309,'2. GRI Pricing Inputs'!$C$89:$AI$89,0)),0)</f>
        <v>0</v>
      </c>
      <c r="V305" s="273">
        <f>IFERROR(INDEX('2. GRI Pricing Inputs'!$C$97:$AI$98,MATCH('3. GRI Pricing'!$V$16,'2. GRI Pricing Inputs'!$C$97:$C$98,0),MATCH('1. Accomodation'!X309,'2. GRI Pricing Inputs'!$C$97:$AI$97,0)),0)</f>
        <v>0</v>
      </c>
      <c r="W305" s="273">
        <f>IFERROR(INDEX('2. GRI Pricing Inputs'!$C$104:$AI$105,MATCH('3. GRI Pricing'!$W$16,'2. GRI Pricing Inputs'!$C$104:$C$105,0),MATCH('1. Accomodation'!Y309,'2. GRI Pricing Inputs'!$C$104:$AI$104,0)),0)</f>
        <v>0</v>
      </c>
      <c r="X305" s="274"/>
      <c r="Y305" s="275">
        <f t="shared" si="11"/>
        <v>0</v>
      </c>
      <c r="Z305" s="276"/>
      <c r="AA305" s="276"/>
      <c r="AB305" s="276"/>
      <c r="AC305" s="272">
        <f>Y305*(1+'2. GRI Pricing Inputs'!$D$114)^(($AC$16-$AB$15)/365)</f>
        <v>0</v>
      </c>
      <c r="AD305" s="273">
        <f>AC305*(1+'2. GRI Pricing Inputs'!$D$114)^((AD$16-AC$16)/365)</f>
        <v>0</v>
      </c>
      <c r="AE305" s="273">
        <f>AD305*(1+'2. GRI Pricing Inputs'!$D$114)^((AE$16-AD$16)/365)</f>
        <v>0</v>
      </c>
      <c r="AF305" s="273">
        <f>AE305*(1+'2. GRI Pricing Inputs'!$D$114)^((AF$16-AE$16)/365)</f>
        <v>0</v>
      </c>
      <c r="AG305" s="273">
        <f>AF305*(1+'2. GRI Pricing Inputs'!$D$114)^((AG$16-AF$16)/365)</f>
        <v>0</v>
      </c>
      <c r="AH305" s="273">
        <f>AG305*(1+'2. GRI Pricing Inputs'!$D$114)^((AH$16-AG$16)/365)</f>
        <v>0</v>
      </c>
      <c r="AI305" s="273">
        <f>AH305*(1+'2. GRI Pricing Inputs'!$D$114)^((AI$16-AH$16)/365)</f>
        <v>0</v>
      </c>
      <c r="AJ305" s="273">
        <f>AI305*(1+'2. GRI Pricing Inputs'!$D$114)^((AJ$16-AI$16)/365)</f>
        <v>0</v>
      </c>
      <c r="AK305" s="273">
        <f>AJ305*(1+'2. GRI Pricing Inputs'!$D$114)^((AK$16-AJ$16)/365)</f>
        <v>0</v>
      </c>
      <c r="AL305" s="273">
        <f>AK305*(1+'2. GRI Pricing Inputs'!$D$114)^((AL$16-AK$16)/365)</f>
        <v>0</v>
      </c>
      <c r="AM305" s="273">
        <f>AL305*(1+'2. GRI Pricing Inputs'!$D$114)^((AM$16-AL$16)/365)</f>
        <v>0</v>
      </c>
      <c r="AN305" s="273">
        <f>AM305*(1+'2. GRI Pricing Inputs'!$D$114)^((AN$16-AM$16)/365)</f>
        <v>0</v>
      </c>
      <c r="AO305" s="273">
        <f>AN305*(1+'2. GRI Pricing Inputs'!$D$114)^((AO$16-AN$16)/365)</f>
        <v>0</v>
      </c>
    </row>
    <row r="306" spans="3:41" ht="12" x14ac:dyDescent="0.2">
      <c r="C306" s="76">
        <f>'1. Accomodation'!N310</f>
        <v>0</v>
      </c>
      <c r="D306" s="69">
        <f>'1. Accomodation'!P310</f>
        <v>0</v>
      </c>
      <c r="E306" s="69">
        <f>'1. Accomodation'!Q310</f>
        <v>0</v>
      </c>
      <c r="F306" s="77">
        <f>'1. Accomodation'!O310</f>
        <v>0</v>
      </c>
      <c r="G306" s="69">
        <f>'1. Accomodation'!R310</f>
        <v>0</v>
      </c>
      <c r="H306" s="69">
        <f>'1. Accomodation'!S310</f>
        <v>0</v>
      </c>
      <c r="I306" s="62"/>
      <c r="K306" s="272">
        <f>IFERROR(INDEX('2. GRI Pricing Inputs'!$C$15:$AI$16,MATCH($K$16,'2. GRI Pricing Inputs'!$C$15:$C$16,0),MATCH(D306,'2. GRI Pricing Inputs'!$C$15:$AI$15,0)),0)</f>
        <v>0</v>
      </c>
      <c r="L306" s="273">
        <f>IFERROR(INDEX('2. GRI Pricing Inputs'!$C$22:$AI$23,MATCH($L$16,'2. GRI Pricing Inputs'!$C$22:$C$23,0),MATCH(E306,'2. GRI Pricing Inputs'!$C$22:$AI$22,0)),0)</f>
        <v>0</v>
      </c>
      <c r="M306" s="328">
        <f>IF(AND('3. GRI Pricing'!$F306&gt;='2. GRI Pricing Inputs'!$D$33,'3. GRI Pricing'!$F306&lt;='2. GRI Pricing Inputs'!$E$33),'2. GRI Pricing Inputs'!$D$32,IF(AND('3. GRI Pricing'!$F306&gt;='2. GRI Pricing Inputs'!$F$33,'3. GRI Pricing'!$F306&lt;='2. GRI Pricing Inputs'!$G$33),'2. GRI Pricing Inputs'!$F$32,IF(AND('3. GRI Pricing'!$F306&gt;='2. GRI Pricing Inputs'!$H$33,'3. GRI Pricing'!$F306&lt;='2. GRI Pricing Inputs'!$I$33),'2. GRI Pricing Inputs'!$H$32,IF(AND('3. GRI Pricing'!$F306&gt;='2. GRI Pricing Inputs'!$J$33,'3. GRI Pricing'!$F306&lt;='2. GRI Pricing Inputs'!$K$33),'2. GRI Pricing Inputs'!$J$32,IF(AND('3. GRI Pricing'!$F306&gt;='2. GRI Pricing Inputs'!$L$33,'3. GRI Pricing'!$F306&lt;='2. GRI Pricing Inputs'!$M$33),'2. GRI Pricing Inputs'!$L$32,IF(AND('3. GRI Pricing'!$F306&gt;='2. GRI Pricing Inputs'!$N$33,'3. GRI Pricing'!$F306&lt;='2. GRI Pricing Inputs'!$O$33),'2. GRI Pricing Inputs'!$N$32,IF(AND('3. GRI Pricing'!$F306&gt;='2. GRI Pricing Inputs'!$P$33,'3. GRI Pricing'!$F306&lt;='2. GRI Pricing Inputs'!$Q$33),'2. GRI Pricing Inputs'!$P$32,IF(AND('3. GRI Pricing'!$F306&gt;='2. GRI Pricing Inputs'!$R$33,'3. GRI Pricing'!$F306&lt;='2. GRI Pricing Inputs'!$S$33),'2. GRI Pricing Inputs'!$R$32,IF(AND('3. GRI Pricing'!$F306&gt;='2. GRI Pricing Inputs'!$T$33,'3. GRI Pricing'!$F306&lt;='2. GRI Pricing Inputs'!$U$33),'2. GRI Pricing Inputs'!$T$32,IF(AND('3. GRI Pricing'!$F306&gt;='2. GRI Pricing Inputs'!$V$33,'3. GRI Pricing'!$F306&lt;='2. GRI Pricing Inputs'!$W$33),'2. GRI Pricing Inputs'!$V$32,IF(AND('3. GRI Pricing'!$F306&gt;='2. GRI Pricing Inputs'!$X$33,'3. GRI Pricing'!$F306&lt;='2. GRI Pricing Inputs'!$Y$33),'2. GRI Pricing Inputs'!$X$32,IF(AND('3. GRI Pricing'!$F306&gt;='2. GRI Pricing Inputs'!$Z$33,'3. GRI Pricing'!$F306&lt;='2. GRI Pricing Inputs'!$AA$33),'2. GRI Pricing Inputs'!$Z$32,IF(AND('3. GRI Pricing'!$F306&gt;='2. GRI Pricing Inputs'!$AB$33,'3. GRI Pricing'!$F306&lt;='2. GRI Pricing Inputs'!$AC$33),'2. GRI Pricing Inputs'!$AB$32,IF(AND('3. GRI Pricing'!$F306&gt;='2. GRI Pricing Inputs'!$AD$33,'3. GRI Pricing'!$F306&lt;='2. GRI Pricing Inputs'!$AE$33),'2. GRI Pricing Inputs'!$AD$32,IF(AND('3. GRI Pricing'!$F306&gt;='2. GRI Pricing Inputs'!$AF$33,'3. GRI Pricing'!$F306&lt;='2. GRI Pricing Inputs'!$AG$33),'2. GRI Pricing Inputs'!$AF$32,IF(AND('3. GRI Pricing'!$F306&gt;='2. GRI Pricing Inputs'!$AH$33,'3. GRI Pricing'!$F306&lt;='2. GRI Pricing Inputs'!$AI$33),'2. GRI Pricing Inputs'!$AH$32,0))))))))))))))))</f>
        <v>0</v>
      </c>
      <c r="N306" s="273" cm="1">
        <f t="array" ref="N306">IFERROR(INDEX('2. GRI Pricing Inputs'!$C$32:$AI$39,MATCH('3. GRI Pricing'!D306,'2. GRI Pricing Inputs'!$C$32:$C$39,0),(MATCH('3. GRI Pricing'!M306,'2. GRI Pricing Inputs'!$D$32:$AI$32,0)+1)),0)</f>
        <v>0</v>
      </c>
      <c r="O306" s="273">
        <f>IFERROR(INDEX('2. GRI Pricing Inputs'!$C$45:$AI$46,MATCH($O$16,'2. GRI Pricing Inputs'!$C$45:$C$46,0),MATCH(G306,'2. GRI Pricing Inputs'!$C$45:$AI$45,0)),0)</f>
        <v>0</v>
      </c>
      <c r="P306" s="273">
        <f>IFERROR(INDEX('2. GRI Pricing Inputs'!$C$53:$AI$54,MATCH('3. GRI Pricing'!$P$16,'2. GRI Pricing Inputs'!$C$53:$C$54,0),MATCH('3. GRI Pricing'!H306,'2. GRI Pricing Inputs'!$C$53:$AI$53,0)),0)</f>
        <v>0</v>
      </c>
      <c r="Q306" s="273">
        <f>IFERROR(INDEX('2. GRI Pricing Inputs'!$C$60:$AI$61,MATCH('3. GRI Pricing'!$Q$16,'2. GRI Pricing Inputs'!$C$60:$C$61,0),MATCH('1. Accomodation'!T310,'2. GRI Pricing Inputs'!$C$60:$AI$60,0)),0)</f>
        <v>0</v>
      </c>
      <c r="R306" s="273">
        <f>IFERROR(INDEX('2. GRI Pricing Inputs'!$C$67:$AI$68,MATCH('3. GRI Pricing'!$R$16,'2. GRI Pricing Inputs'!$C$67:$C$68,0),MATCH('1. Accomodation'!U310,'2. GRI Pricing Inputs'!$C$67:$AI$67,0)),0)</f>
        <v>0</v>
      </c>
      <c r="S306" s="273">
        <f>IF(D306=0,0,'2. GRI Pricing Inputs'!$AI$75)</f>
        <v>0</v>
      </c>
      <c r="T306" s="273">
        <f>IFERROR(INDEX('2. GRI Pricing Inputs'!$C$82:$AI$83,MATCH('3. GRI Pricing'!$T$16,'2. GRI Pricing Inputs'!$C$82:$C$83,0),MATCH('1. Accomodation'!V310,'2. GRI Pricing Inputs'!$C$82:$AI$82,0)),0)</f>
        <v>0</v>
      </c>
      <c r="U306" s="273">
        <f>IFERROR(INDEX('2. GRI Pricing Inputs'!$C$89:$AI$90,MATCH('3. GRI Pricing'!$U$16,'2. GRI Pricing Inputs'!$C$89:$C$90,0),MATCH('1. Accomodation'!W310,'2. GRI Pricing Inputs'!$C$89:$AI$89,0)),0)</f>
        <v>0</v>
      </c>
      <c r="V306" s="273">
        <f>IFERROR(INDEX('2. GRI Pricing Inputs'!$C$97:$AI$98,MATCH('3. GRI Pricing'!$V$16,'2. GRI Pricing Inputs'!$C$97:$C$98,0),MATCH('1. Accomodation'!X310,'2. GRI Pricing Inputs'!$C$97:$AI$97,0)),0)</f>
        <v>0</v>
      </c>
      <c r="W306" s="273">
        <f>IFERROR(INDEX('2. GRI Pricing Inputs'!$C$104:$AI$105,MATCH('3. GRI Pricing'!$W$16,'2. GRI Pricing Inputs'!$C$104:$C$105,0),MATCH('1. Accomodation'!Y310,'2. GRI Pricing Inputs'!$C$104:$AI$104,0)),0)</f>
        <v>0</v>
      </c>
      <c r="X306" s="274"/>
      <c r="Y306" s="275">
        <f t="shared" si="11"/>
        <v>0</v>
      </c>
      <c r="Z306" s="276"/>
      <c r="AA306" s="276"/>
      <c r="AB306" s="276"/>
      <c r="AC306" s="272">
        <f>Y306*(1+'2. GRI Pricing Inputs'!$D$114)^(($AC$16-$AB$15)/365)</f>
        <v>0</v>
      </c>
      <c r="AD306" s="273">
        <f>AC306*(1+'2. GRI Pricing Inputs'!$D$114)^((AD$16-AC$16)/365)</f>
        <v>0</v>
      </c>
      <c r="AE306" s="273">
        <f>AD306*(1+'2. GRI Pricing Inputs'!$D$114)^((AE$16-AD$16)/365)</f>
        <v>0</v>
      </c>
      <c r="AF306" s="273">
        <f>AE306*(1+'2. GRI Pricing Inputs'!$D$114)^((AF$16-AE$16)/365)</f>
        <v>0</v>
      </c>
      <c r="AG306" s="273">
        <f>AF306*(1+'2. GRI Pricing Inputs'!$D$114)^((AG$16-AF$16)/365)</f>
        <v>0</v>
      </c>
      <c r="AH306" s="273">
        <f>AG306*(1+'2. GRI Pricing Inputs'!$D$114)^((AH$16-AG$16)/365)</f>
        <v>0</v>
      </c>
      <c r="AI306" s="273">
        <f>AH306*(1+'2. GRI Pricing Inputs'!$D$114)^((AI$16-AH$16)/365)</f>
        <v>0</v>
      </c>
      <c r="AJ306" s="273">
        <f>AI306*(1+'2. GRI Pricing Inputs'!$D$114)^((AJ$16-AI$16)/365)</f>
        <v>0</v>
      </c>
      <c r="AK306" s="273">
        <f>AJ306*(1+'2. GRI Pricing Inputs'!$D$114)^((AK$16-AJ$16)/365)</f>
        <v>0</v>
      </c>
      <c r="AL306" s="273">
        <f>AK306*(1+'2. GRI Pricing Inputs'!$D$114)^((AL$16-AK$16)/365)</f>
        <v>0</v>
      </c>
      <c r="AM306" s="273">
        <f>AL306*(1+'2. GRI Pricing Inputs'!$D$114)^((AM$16-AL$16)/365)</f>
        <v>0</v>
      </c>
      <c r="AN306" s="273">
        <f>AM306*(1+'2. GRI Pricing Inputs'!$D$114)^((AN$16-AM$16)/365)</f>
        <v>0</v>
      </c>
      <c r="AO306" s="273">
        <f>AN306*(1+'2. GRI Pricing Inputs'!$D$114)^((AO$16-AN$16)/365)</f>
        <v>0</v>
      </c>
    </row>
    <row r="307" spans="3:41" ht="12" x14ac:dyDescent="0.2">
      <c r="C307" s="76">
        <f>'1. Accomodation'!N311</f>
        <v>0</v>
      </c>
      <c r="D307" s="69">
        <f>'1. Accomodation'!P311</f>
        <v>0</v>
      </c>
      <c r="E307" s="69">
        <f>'1. Accomodation'!Q311</f>
        <v>0</v>
      </c>
      <c r="F307" s="77">
        <f>'1. Accomodation'!O311</f>
        <v>0</v>
      </c>
      <c r="G307" s="69">
        <f>'1. Accomodation'!R311</f>
        <v>0</v>
      </c>
      <c r="H307" s="69">
        <f>'1. Accomodation'!S311</f>
        <v>0</v>
      </c>
      <c r="I307" s="62"/>
      <c r="K307" s="272">
        <f>IFERROR(INDEX('2. GRI Pricing Inputs'!$C$15:$AI$16,MATCH($K$16,'2. GRI Pricing Inputs'!$C$15:$C$16,0),MATCH(D307,'2. GRI Pricing Inputs'!$C$15:$AI$15,0)),0)</f>
        <v>0</v>
      </c>
      <c r="L307" s="273">
        <f>IFERROR(INDEX('2. GRI Pricing Inputs'!$C$22:$AI$23,MATCH($L$16,'2. GRI Pricing Inputs'!$C$22:$C$23,0),MATCH(E307,'2. GRI Pricing Inputs'!$C$22:$AI$22,0)),0)</f>
        <v>0</v>
      </c>
      <c r="M307" s="328">
        <f>IF(AND('3. GRI Pricing'!$F307&gt;='2. GRI Pricing Inputs'!$D$33,'3. GRI Pricing'!$F307&lt;='2. GRI Pricing Inputs'!$E$33),'2. GRI Pricing Inputs'!$D$32,IF(AND('3. GRI Pricing'!$F307&gt;='2. GRI Pricing Inputs'!$F$33,'3. GRI Pricing'!$F307&lt;='2. GRI Pricing Inputs'!$G$33),'2. GRI Pricing Inputs'!$F$32,IF(AND('3. GRI Pricing'!$F307&gt;='2. GRI Pricing Inputs'!$H$33,'3. GRI Pricing'!$F307&lt;='2. GRI Pricing Inputs'!$I$33),'2. GRI Pricing Inputs'!$H$32,IF(AND('3. GRI Pricing'!$F307&gt;='2. GRI Pricing Inputs'!$J$33,'3. GRI Pricing'!$F307&lt;='2. GRI Pricing Inputs'!$K$33),'2. GRI Pricing Inputs'!$J$32,IF(AND('3. GRI Pricing'!$F307&gt;='2. GRI Pricing Inputs'!$L$33,'3. GRI Pricing'!$F307&lt;='2. GRI Pricing Inputs'!$M$33),'2. GRI Pricing Inputs'!$L$32,IF(AND('3. GRI Pricing'!$F307&gt;='2. GRI Pricing Inputs'!$N$33,'3. GRI Pricing'!$F307&lt;='2. GRI Pricing Inputs'!$O$33),'2. GRI Pricing Inputs'!$N$32,IF(AND('3. GRI Pricing'!$F307&gt;='2. GRI Pricing Inputs'!$P$33,'3. GRI Pricing'!$F307&lt;='2. GRI Pricing Inputs'!$Q$33),'2. GRI Pricing Inputs'!$P$32,IF(AND('3. GRI Pricing'!$F307&gt;='2. GRI Pricing Inputs'!$R$33,'3. GRI Pricing'!$F307&lt;='2. GRI Pricing Inputs'!$S$33),'2. GRI Pricing Inputs'!$R$32,IF(AND('3. GRI Pricing'!$F307&gt;='2. GRI Pricing Inputs'!$T$33,'3. GRI Pricing'!$F307&lt;='2. GRI Pricing Inputs'!$U$33),'2. GRI Pricing Inputs'!$T$32,IF(AND('3. GRI Pricing'!$F307&gt;='2. GRI Pricing Inputs'!$V$33,'3. GRI Pricing'!$F307&lt;='2. GRI Pricing Inputs'!$W$33),'2. GRI Pricing Inputs'!$V$32,IF(AND('3. GRI Pricing'!$F307&gt;='2. GRI Pricing Inputs'!$X$33,'3. GRI Pricing'!$F307&lt;='2. GRI Pricing Inputs'!$Y$33),'2. GRI Pricing Inputs'!$X$32,IF(AND('3. GRI Pricing'!$F307&gt;='2. GRI Pricing Inputs'!$Z$33,'3. GRI Pricing'!$F307&lt;='2. GRI Pricing Inputs'!$AA$33),'2. GRI Pricing Inputs'!$Z$32,IF(AND('3. GRI Pricing'!$F307&gt;='2. GRI Pricing Inputs'!$AB$33,'3. GRI Pricing'!$F307&lt;='2. GRI Pricing Inputs'!$AC$33),'2. GRI Pricing Inputs'!$AB$32,IF(AND('3. GRI Pricing'!$F307&gt;='2. GRI Pricing Inputs'!$AD$33,'3. GRI Pricing'!$F307&lt;='2. GRI Pricing Inputs'!$AE$33),'2. GRI Pricing Inputs'!$AD$32,IF(AND('3. GRI Pricing'!$F307&gt;='2. GRI Pricing Inputs'!$AF$33,'3. GRI Pricing'!$F307&lt;='2. GRI Pricing Inputs'!$AG$33),'2. GRI Pricing Inputs'!$AF$32,IF(AND('3. GRI Pricing'!$F307&gt;='2. GRI Pricing Inputs'!$AH$33,'3. GRI Pricing'!$F307&lt;='2. GRI Pricing Inputs'!$AI$33),'2. GRI Pricing Inputs'!$AH$32,0))))))))))))))))</f>
        <v>0</v>
      </c>
      <c r="N307" s="273" cm="1">
        <f t="array" ref="N307">IFERROR(INDEX('2. GRI Pricing Inputs'!$C$32:$AI$39,MATCH('3. GRI Pricing'!D307,'2. GRI Pricing Inputs'!$C$32:$C$39,0),(MATCH('3. GRI Pricing'!M307,'2. GRI Pricing Inputs'!$D$32:$AI$32,0)+1)),0)</f>
        <v>0</v>
      </c>
      <c r="O307" s="273">
        <f>IFERROR(INDEX('2. GRI Pricing Inputs'!$C$45:$AI$46,MATCH($O$16,'2. GRI Pricing Inputs'!$C$45:$C$46,0),MATCH(G307,'2. GRI Pricing Inputs'!$C$45:$AI$45,0)),0)</f>
        <v>0</v>
      </c>
      <c r="P307" s="273">
        <f>IFERROR(INDEX('2. GRI Pricing Inputs'!$C$53:$AI$54,MATCH('3. GRI Pricing'!$P$16,'2. GRI Pricing Inputs'!$C$53:$C$54,0),MATCH('3. GRI Pricing'!H307,'2. GRI Pricing Inputs'!$C$53:$AI$53,0)),0)</f>
        <v>0</v>
      </c>
      <c r="Q307" s="273">
        <f>IFERROR(INDEX('2. GRI Pricing Inputs'!$C$60:$AI$61,MATCH('3. GRI Pricing'!$Q$16,'2. GRI Pricing Inputs'!$C$60:$C$61,0),MATCH('1. Accomodation'!T311,'2. GRI Pricing Inputs'!$C$60:$AI$60,0)),0)</f>
        <v>0</v>
      </c>
      <c r="R307" s="273">
        <f>IFERROR(INDEX('2. GRI Pricing Inputs'!$C$67:$AI$68,MATCH('3. GRI Pricing'!$R$16,'2. GRI Pricing Inputs'!$C$67:$C$68,0),MATCH('1. Accomodation'!U311,'2. GRI Pricing Inputs'!$C$67:$AI$67,0)),0)</f>
        <v>0</v>
      </c>
      <c r="S307" s="273">
        <f>IF(D307=0,0,'2. GRI Pricing Inputs'!$AI$75)</f>
        <v>0</v>
      </c>
      <c r="T307" s="273">
        <f>IFERROR(INDEX('2. GRI Pricing Inputs'!$C$82:$AI$83,MATCH('3. GRI Pricing'!$T$16,'2. GRI Pricing Inputs'!$C$82:$C$83,0),MATCH('1. Accomodation'!V311,'2. GRI Pricing Inputs'!$C$82:$AI$82,0)),0)</f>
        <v>0</v>
      </c>
      <c r="U307" s="273">
        <f>IFERROR(INDEX('2. GRI Pricing Inputs'!$C$89:$AI$90,MATCH('3. GRI Pricing'!$U$16,'2. GRI Pricing Inputs'!$C$89:$C$90,0),MATCH('1. Accomodation'!W311,'2. GRI Pricing Inputs'!$C$89:$AI$89,0)),0)</f>
        <v>0</v>
      </c>
      <c r="V307" s="273">
        <f>IFERROR(INDEX('2. GRI Pricing Inputs'!$C$97:$AI$98,MATCH('3. GRI Pricing'!$V$16,'2. GRI Pricing Inputs'!$C$97:$C$98,0),MATCH('1. Accomodation'!X311,'2. GRI Pricing Inputs'!$C$97:$AI$97,0)),0)</f>
        <v>0</v>
      </c>
      <c r="W307" s="273">
        <f>IFERROR(INDEX('2. GRI Pricing Inputs'!$C$104:$AI$105,MATCH('3. GRI Pricing'!$W$16,'2. GRI Pricing Inputs'!$C$104:$C$105,0),MATCH('1. Accomodation'!Y311,'2. GRI Pricing Inputs'!$C$104:$AI$104,0)),0)</f>
        <v>0</v>
      </c>
      <c r="X307" s="274"/>
      <c r="Y307" s="275">
        <f t="shared" si="11"/>
        <v>0</v>
      </c>
      <c r="Z307" s="276"/>
      <c r="AA307" s="276"/>
      <c r="AB307" s="276"/>
      <c r="AC307" s="272">
        <f>Y307*(1+'2. GRI Pricing Inputs'!$D$114)^(($AC$16-$AB$15)/365)</f>
        <v>0</v>
      </c>
      <c r="AD307" s="273">
        <f>AC307*(1+'2. GRI Pricing Inputs'!$D$114)^((AD$16-AC$16)/365)</f>
        <v>0</v>
      </c>
      <c r="AE307" s="273">
        <f>AD307*(1+'2. GRI Pricing Inputs'!$D$114)^((AE$16-AD$16)/365)</f>
        <v>0</v>
      </c>
      <c r="AF307" s="273">
        <f>AE307*(1+'2. GRI Pricing Inputs'!$D$114)^((AF$16-AE$16)/365)</f>
        <v>0</v>
      </c>
      <c r="AG307" s="273">
        <f>AF307*(1+'2. GRI Pricing Inputs'!$D$114)^((AG$16-AF$16)/365)</f>
        <v>0</v>
      </c>
      <c r="AH307" s="273">
        <f>AG307*(1+'2. GRI Pricing Inputs'!$D$114)^((AH$16-AG$16)/365)</f>
        <v>0</v>
      </c>
      <c r="AI307" s="273">
        <f>AH307*(1+'2. GRI Pricing Inputs'!$D$114)^((AI$16-AH$16)/365)</f>
        <v>0</v>
      </c>
      <c r="AJ307" s="273">
        <f>AI307*(1+'2. GRI Pricing Inputs'!$D$114)^((AJ$16-AI$16)/365)</f>
        <v>0</v>
      </c>
      <c r="AK307" s="273">
        <f>AJ307*(1+'2. GRI Pricing Inputs'!$D$114)^((AK$16-AJ$16)/365)</f>
        <v>0</v>
      </c>
      <c r="AL307" s="273">
        <f>AK307*(1+'2. GRI Pricing Inputs'!$D$114)^((AL$16-AK$16)/365)</f>
        <v>0</v>
      </c>
      <c r="AM307" s="273">
        <f>AL307*(1+'2. GRI Pricing Inputs'!$D$114)^((AM$16-AL$16)/365)</f>
        <v>0</v>
      </c>
      <c r="AN307" s="273">
        <f>AM307*(1+'2. GRI Pricing Inputs'!$D$114)^((AN$16-AM$16)/365)</f>
        <v>0</v>
      </c>
      <c r="AO307" s="273">
        <f>AN307*(1+'2. GRI Pricing Inputs'!$D$114)^((AO$16-AN$16)/365)</f>
        <v>0</v>
      </c>
    </row>
    <row r="308" spans="3:41" ht="12" x14ac:dyDescent="0.2">
      <c r="C308" s="76">
        <f>'1. Accomodation'!N312</f>
        <v>0</v>
      </c>
      <c r="D308" s="69">
        <f>'1. Accomodation'!P312</f>
        <v>0</v>
      </c>
      <c r="E308" s="69">
        <f>'1. Accomodation'!Q312</f>
        <v>0</v>
      </c>
      <c r="F308" s="77">
        <f>'1. Accomodation'!O312</f>
        <v>0</v>
      </c>
      <c r="G308" s="69">
        <f>'1. Accomodation'!R312</f>
        <v>0</v>
      </c>
      <c r="H308" s="69">
        <f>'1. Accomodation'!S312</f>
        <v>0</v>
      </c>
      <c r="I308" s="62"/>
      <c r="K308" s="272">
        <f>IFERROR(INDEX('2. GRI Pricing Inputs'!$C$15:$AI$16,MATCH($K$16,'2. GRI Pricing Inputs'!$C$15:$C$16,0),MATCH(D308,'2. GRI Pricing Inputs'!$C$15:$AI$15,0)),0)</f>
        <v>0</v>
      </c>
      <c r="L308" s="273">
        <f>IFERROR(INDEX('2. GRI Pricing Inputs'!$C$22:$AI$23,MATCH($L$16,'2. GRI Pricing Inputs'!$C$22:$C$23,0),MATCH(E308,'2. GRI Pricing Inputs'!$C$22:$AI$22,0)),0)</f>
        <v>0</v>
      </c>
      <c r="M308" s="328">
        <f>IF(AND('3. GRI Pricing'!$F308&gt;='2. GRI Pricing Inputs'!$D$33,'3. GRI Pricing'!$F308&lt;='2. GRI Pricing Inputs'!$E$33),'2. GRI Pricing Inputs'!$D$32,IF(AND('3. GRI Pricing'!$F308&gt;='2. GRI Pricing Inputs'!$F$33,'3. GRI Pricing'!$F308&lt;='2. GRI Pricing Inputs'!$G$33),'2. GRI Pricing Inputs'!$F$32,IF(AND('3. GRI Pricing'!$F308&gt;='2. GRI Pricing Inputs'!$H$33,'3. GRI Pricing'!$F308&lt;='2. GRI Pricing Inputs'!$I$33),'2. GRI Pricing Inputs'!$H$32,IF(AND('3. GRI Pricing'!$F308&gt;='2. GRI Pricing Inputs'!$J$33,'3. GRI Pricing'!$F308&lt;='2. GRI Pricing Inputs'!$K$33),'2. GRI Pricing Inputs'!$J$32,IF(AND('3. GRI Pricing'!$F308&gt;='2. GRI Pricing Inputs'!$L$33,'3. GRI Pricing'!$F308&lt;='2. GRI Pricing Inputs'!$M$33),'2. GRI Pricing Inputs'!$L$32,IF(AND('3. GRI Pricing'!$F308&gt;='2. GRI Pricing Inputs'!$N$33,'3. GRI Pricing'!$F308&lt;='2. GRI Pricing Inputs'!$O$33),'2. GRI Pricing Inputs'!$N$32,IF(AND('3. GRI Pricing'!$F308&gt;='2. GRI Pricing Inputs'!$P$33,'3. GRI Pricing'!$F308&lt;='2. GRI Pricing Inputs'!$Q$33),'2. GRI Pricing Inputs'!$P$32,IF(AND('3. GRI Pricing'!$F308&gt;='2. GRI Pricing Inputs'!$R$33,'3. GRI Pricing'!$F308&lt;='2. GRI Pricing Inputs'!$S$33),'2. GRI Pricing Inputs'!$R$32,IF(AND('3. GRI Pricing'!$F308&gt;='2. GRI Pricing Inputs'!$T$33,'3. GRI Pricing'!$F308&lt;='2. GRI Pricing Inputs'!$U$33),'2. GRI Pricing Inputs'!$T$32,IF(AND('3. GRI Pricing'!$F308&gt;='2. GRI Pricing Inputs'!$V$33,'3. GRI Pricing'!$F308&lt;='2. GRI Pricing Inputs'!$W$33),'2. GRI Pricing Inputs'!$V$32,IF(AND('3. GRI Pricing'!$F308&gt;='2. GRI Pricing Inputs'!$X$33,'3. GRI Pricing'!$F308&lt;='2. GRI Pricing Inputs'!$Y$33),'2. GRI Pricing Inputs'!$X$32,IF(AND('3. GRI Pricing'!$F308&gt;='2. GRI Pricing Inputs'!$Z$33,'3. GRI Pricing'!$F308&lt;='2. GRI Pricing Inputs'!$AA$33),'2. GRI Pricing Inputs'!$Z$32,IF(AND('3. GRI Pricing'!$F308&gt;='2. GRI Pricing Inputs'!$AB$33,'3. GRI Pricing'!$F308&lt;='2. GRI Pricing Inputs'!$AC$33),'2. GRI Pricing Inputs'!$AB$32,IF(AND('3. GRI Pricing'!$F308&gt;='2. GRI Pricing Inputs'!$AD$33,'3. GRI Pricing'!$F308&lt;='2. GRI Pricing Inputs'!$AE$33),'2. GRI Pricing Inputs'!$AD$32,IF(AND('3. GRI Pricing'!$F308&gt;='2. GRI Pricing Inputs'!$AF$33,'3. GRI Pricing'!$F308&lt;='2. GRI Pricing Inputs'!$AG$33),'2. GRI Pricing Inputs'!$AF$32,IF(AND('3. GRI Pricing'!$F308&gt;='2. GRI Pricing Inputs'!$AH$33,'3. GRI Pricing'!$F308&lt;='2. GRI Pricing Inputs'!$AI$33),'2. GRI Pricing Inputs'!$AH$32,0))))))))))))))))</f>
        <v>0</v>
      </c>
      <c r="N308" s="273" cm="1">
        <f t="array" ref="N308">IFERROR(INDEX('2. GRI Pricing Inputs'!$C$32:$AI$39,MATCH('3. GRI Pricing'!D308,'2. GRI Pricing Inputs'!$C$32:$C$39,0),(MATCH('3. GRI Pricing'!M308,'2. GRI Pricing Inputs'!$D$32:$AI$32,0)+1)),0)</f>
        <v>0</v>
      </c>
      <c r="O308" s="273">
        <f>IFERROR(INDEX('2. GRI Pricing Inputs'!$C$45:$AI$46,MATCH($O$16,'2. GRI Pricing Inputs'!$C$45:$C$46,0),MATCH(G308,'2. GRI Pricing Inputs'!$C$45:$AI$45,0)),0)</f>
        <v>0</v>
      </c>
      <c r="P308" s="273">
        <f>IFERROR(INDEX('2. GRI Pricing Inputs'!$C$53:$AI$54,MATCH('3. GRI Pricing'!$P$16,'2. GRI Pricing Inputs'!$C$53:$C$54,0),MATCH('3. GRI Pricing'!H308,'2. GRI Pricing Inputs'!$C$53:$AI$53,0)),0)</f>
        <v>0</v>
      </c>
      <c r="Q308" s="273">
        <f>IFERROR(INDEX('2. GRI Pricing Inputs'!$C$60:$AI$61,MATCH('3. GRI Pricing'!$Q$16,'2. GRI Pricing Inputs'!$C$60:$C$61,0),MATCH('1. Accomodation'!T312,'2. GRI Pricing Inputs'!$C$60:$AI$60,0)),0)</f>
        <v>0</v>
      </c>
      <c r="R308" s="273">
        <f>IFERROR(INDEX('2. GRI Pricing Inputs'!$C$67:$AI$68,MATCH('3. GRI Pricing'!$R$16,'2. GRI Pricing Inputs'!$C$67:$C$68,0),MATCH('1. Accomodation'!U312,'2. GRI Pricing Inputs'!$C$67:$AI$67,0)),0)</f>
        <v>0</v>
      </c>
      <c r="S308" s="273">
        <f>IF(D308=0,0,'2. GRI Pricing Inputs'!$AI$75)</f>
        <v>0</v>
      </c>
      <c r="T308" s="273">
        <f>IFERROR(INDEX('2. GRI Pricing Inputs'!$C$82:$AI$83,MATCH('3. GRI Pricing'!$T$16,'2. GRI Pricing Inputs'!$C$82:$C$83,0),MATCH('1. Accomodation'!V312,'2. GRI Pricing Inputs'!$C$82:$AI$82,0)),0)</f>
        <v>0</v>
      </c>
      <c r="U308" s="273">
        <f>IFERROR(INDEX('2. GRI Pricing Inputs'!$C$89:$AI$90,MATCH('3. GRI Pricing'!$U$16,'2. GRI Pricing Inputs'!$C$89:$C$90,0),MATCH('1. Accomodation'!W312,'2. GRI Pricing Inputs'!$C$89:$AI$89,0)),0)</f>
        <v>0</v>
      </c>
      <c r="V308" s="273">
        <f>IFERROR(INDEX('2. GRI Pricing Inputs'!$C$97:$AI$98,MATCH('3. GRI Pricing'!$V$16,'2. GRI Pricing Inputs'!$C$97:$C$98,0),MATCH('1. Accomodation'!X312,'2. GRI Pricing Inputs'!$C$97:$AI$97,0)),0)</f>
        <v>0</v>
      </c>
      <c r="W308" s="273">
        <f>IFERROR(INDEX('2. GRI Pricing Inputs'!$C$104:$AI$105,MATCH('3. GRI Pricing'!$W$16,'2. GRI Pricing Inputs'!$C$104:$C$105,0),MATCH('1. Accomodation'!Y312,'2. GRI Pricing Inputs'!$C$104:$AI$104,0)),0)</f>
        <v>0</v>
      </c>
      <c r="X308" s="274"/>
      <c r="Y308" s="275">
        <f t="shared" si="11"/>
        <v>0</v>
      </c>
      <c r="Z308" s="276"/>
      <c r="AA308" s="276"/>
      <c r="AB308" s="276"/>
      <c r="AC308" s="272">
        <f>Y308*(1+'2. GRI Pricing Inputs'!$D$114)^(($AC$16-$AB$15)/365)</f>
        <v>0</v>
      </c>
      <c r="AD308" s="273">
        <f>AC308*(1+'2. GRI Pricing Inputs'!$D$114)^((AD$16-AC$16)/365)</f>
        <v>0</v>
      </c>
      <c r="AE308" s="273">
        <f>AD308*(1+'2. GRI Pricing Inputs'!$D$114)^((AE$16-AD$16)/365)</f>
        <v>0</v>
      </c>
      <c r="AF308" s="273">
        <f>AE308*(1+'2. GRI Pricing Inputs'!$D$114)^((AF$16-AE$16)/365)</f>
        <v>0</v>
      </c>
      <c r="AG308" s="273">
        <f>AF308*(1+'2. GRI Pricing Inputs'!$D$114)^((AG$16-AF$16)/365)</f>
        <v>0</v>
      </c>
      <c r="AH308" s="273">
        <f>AG308*(1+'2. GRI Pricing Inputs'!$D$114)^((AH$16-AG$16)/365)</f>
        <v>0</v>
      </c>
      <c r="AI308" s="273">
        <f>AH308*(1+'2. GRI Pricing Inputs'!$D$114)^((AI$16-AH$16)/365)</f>
        <v>0</v>
      </c>
      <c r="AJ308" s="273">
        <f>AI308*(1+'2. GRI Pricing Inputs'!$D$114)^((AJ$16-AI$16)/365)</f>
        <v>0</v>
      </c>
      <c r="AK308" s="273">
        <f>AJ308*(1+'2. GRI Pricing Inputs'!$D$114)^((AK$16-AJ$16)/365)</f>
        <v>0</v>
      </c>
      <c r="AL308" s="273">
        <f>AK308*(1+'2. GRI Pricing Inputs'!$D$114)^((AL$16-AK$16)/365)</f>
        <v>0</v>
      </c>
      <c r="AM308" s="273">
        <f>AL308*(1+'2. GRI Pricing Inputs'!$D$114)^((AM$16-AL$16)/365)</f>
        <v>0</v>
      </c>
      <c r="AN308" s="273">
        <f>AM308*(1+'2. GRI Pricing Inputs'!$D$114)^((AN$16-AM$16)/365)</f>
        <v>0</v>
      </c>
      <c r="AO308" s="273">
        <f>AN308*(1+'2. GRI Pricing Inputs'!$D$114)^((AO$16-AN$16)/365)</f>
        <v>0</v>
      </c>
    </row>
    <row r="309" spans="3:41" ht="12" x14ac:dyDescent="0.2">
      <c r="C309" s="76">
        <f>'1. Accomodation'!N313</f>
        <v>0</v>
      </c>
      <c r="D309" s="69">
        <f>'1. Accomodation'!P313</f>
        <v>0</v>
      </c>
      <c r="E309" s="69">
        <f>'1. Accomodation'!Q313</f>
        <v>0</v>
      </c>
      <c r="F309" s="77">
        <f>'1. Accomodation'!O313</f>
        <v>0</v>
      </c>
      <c r="G309" s="69">
        <f>'1. Accomodation'!R313</f>
        <v>0</v>
      </c>
      <c r="H309" s="69">
        <f>'1. Accomodation'!S313</f>
        <v>0</v>
      </c>
      <c r="I309" s="62"/>
      <c r="K309" s="272">
        <f>IFERROR(INDEX('2. GRI Pricing Inputs'!$C$15:$AI$16,MATCH($K$16,'2. GRI Pricing Inputs'!$C$15:$C$16,0),MATCH(D309,'2. GRI Pricing Inputs'!$C$15:$AI$15,0)),0)</f>
        <v>0</v>
      </c>
      <c r="L309" s="273">
        <f>IFERROR(INDEX('2. GRI Pricing Inputs'!$C$22:$AI$23,MATCH($L$16,'2. GRI Pricing Inputs'!$C$22:$C$23,0),MATCH(E309,'2. GRI Pricing Inputs'!$C$22:$AI$22,0)),0)</f>
        <v>0</v>
      </c>
      <c r="M309" s="328">
        <f>IF(AND('3. GRI Pricing'!$F309&gt;='2. GRI Pricing Inputs'!$D$33,'3. GRI Pricing'!$F309&lt;='2. GRI Pricing Inputs'!$E$33),'2. GRI Pricing Inputs'!$D$32,IF(AND('3. GRI Pricing'!$F309&gt;='2. GRI Pricing Inputs'!$F$33,'3. GRI Pricing'!$F309&lt;='2. GRI Pricing Inputs'!$G$33),'2. GRI Pricing Inputs'!$F$32,IF(AND('3. GRI Pricing'!$F309&gt;='2. GRI Pricing Inputs'!$H$33,'3. GRI Pricing'!$F309&lt;='2. GRI Pricing Inputs'!$I$33),'2. GRI Pricing Inputs'!$H$32,IF(AND('3. GRI Pricing'!$F309&gt;='2. GRI Pricing Inputs'!$J$33,'3. GRI Pricing'!$F309&lt;='2. GRI Pricing Inputs'!$K$33),'2. GRI Pricing Inputs'!$J$32,IF(AND('3. GRI Pricing'!$F309&gt;='2. GRI Pricing Inputs'!$L$33,'3. GRI Pricing'!$F309&lt;='2. GRI Pricing Inputs'!$M$33),'2. GRI Pricing Inputs'!$L$32,IF(AND('3. GRI Pricing'!$F309&gt;='2. GRI Pricing Inputs'!$N$33,'3. GRI Pricing'!$F309&lt;='2. GRI Pricing Inputs'!$O$33),'2. GRI Pricing Inputs'!$N$32,IF(AND('3. GRI Pricing'!$F309&gt;='2. GRI Pricing Inputs'!$P$33,'3. GRI Pricing'!$F309&lt;='2. GRI Pricing Inputs'!$Q$33),'2. GRI Pricing Inputs'!$P$32,IF(AND('3. GRI Pricing'!$F309&gt;='2. GRI Pricing Inputs'!$R$33,'3. GRI Pricing'!$F309&lt;='2. GRI Pricing Inputs'!$S$33),'2. GRI Pricing Inputs'!$R$32,IF(AND('3. GRI Pricing'!$F309&gt;='2. GRI Pricing Inputs'!$T$33,'3. GRI Pricing'!$F309&lt;='2. GRI Pricing Inputs'!$U$33),'2. GRI Pricing Inputs'!$T$32,IF(AND('3. GRI Pricing'!$F309&gt;='2. GRI Pricing Inputs'!$V$33,'3. GRI Pricing'!$F309&lt;='2. GRI Pricing Inputs'!$W$33),'2. GRI Pricing Inputs'!$V$32,IF(AND('3. GRI Pricing'!$F309&gt;='2. GRI Pricing Inputs'!$X$33,'3. GRI Pricing'!$F309&lt;='2. GRI Pricing Inputs'!$Y$33),'2. GRI Pricing Inputs'!$X$32,IF(AND('3. GRI Pricing'!$F309&gt;='2. GRI Pricing Inputs'!$Z$33,'3. GRI Pricing'!$F309&lt;='2. GRI Pricing Inputs'!$AA$33),'2. GRI Pricing Inputs'!$Z$32,IF(AND('3. GRI Pricing'!$F309&gt;='2. GRI Pricing Inputs'!$AB$33,'3. GRI Pricing'!$F309&lt;='2. GRI Pricing Inputs'!$AC$33),'2. GRI Pricing Inputs'!$AB$32,IF(AND('3. GRI Pricing'!$F309&gt;='2. GRI Pricing Inputs'!$AD$33,'3. GRI Pricing'!$F309&lt;='2. GRI Pricing Inputs'!$AE$33),'2. GRI Pricing Inputs'!$AD$32,IF(AND('3. GRI Pricing'!$F309&gt;='2. GRI Pricing Inputs'!$AF$33,'3. GRI Pricing'!$F309&lt;='2. GRI Pricing Inputs'!$AG$33),'2. GRI Pricing Inputs'!$AF$32,IF(AND('3. GRI Pricing'!$F309&gt;='2. GRI Pricing Inputs'!$AH$33,'3. GRI Pricing'!$F309&lt;='2. GRI Pricing Inputs'!$AI$33),'2. GRI Pricing Inputs'!$AH$32,0))))))))))))))))</f>
        <v>0</v>
      </c>
      <c r="N309" s="273" cm="1">
        <f t="array" ref="N309">IFERROR(INDEX('2. GRI Pricing Inputs'!$C$32:$AI$39,MATCH('3. GRI Pricing'!D309,'2. GRI Pricing Inputs'!$C$32:$C$39,0),(MATCH('3. GRI Pricing'!M309,'2. GRI Pricing Inputs'!$D$32:$AI$32,0)+1)),0)</f>
        <v>0</v>
      </c>
      <c r="O309" s="273">
        <f>IFERROR(INDEX('2. GRI Pricing Inputs'!$C$45:$AI$46,MATCH($O$16,'2. GRI Pricing Inputs'!$C$45:$C$46,0),MATCH(G309,'2. GRI Pricing Inputs'!$C$45:$AI$45,0)),0)</f>
        <v>0</v>
      </c>
      <c r="P309" s="273">
        <f>IFERROR(INDEX('2. GRI Pricing Inputs'!$C$53:$AI$54,MATCH('3. GRI Pricing'!$P$16,'2. GRI Pricing Inputs'!$C$53:$C$54,0),MATCH('3. GRI Pricing'!H309,'2. GRI Pricing Inputs'!$C$53:$AI$53,0)),0)</f>
        <v>0</v>
      </c>
      <c r="Q309" s="273">
        <f>IFERROR(INDEX('2. GRI Pricing Inputs'!$C$60:$AI$61,MATCH('3. GRI Pricing'!$Q$16,'2. GRI Pricing Inputs'!$C$60:$C$61,0),MATCH('1. Accomodation'!T313,'2. GRI Pricing Inputs'!$C$60:$AI$60,0)),0)</f>
        <v>0</v>
      </c>
      <c r="R309" s="273">
        <f>IFERROR(INDEX('2. GRI Pricing Inputs'!$C$67:$AI$68,MATCH('3. GRI Pricing'!$R$16,'2. GRI Pricing Inputs'!$C$67:$C$68,0),MATCH('1. Accomodation'!U313,'2. GRI Pricing Inputs'!$C$67:$AI$67,0)),0)</f>
        <v>0</v>
      </c>
      <c r="S309" s="273">
        <f>IF(D309=0,0,'2. GRI Pricing Inputs'!$AI$75)</f>
        <v>0</v>
      </c>
      <c r="T309" s="273">
        <f>IFERROR(INDEX('2. GRI Pricing Inputs'!$C$82:$AI$83,MATCH('3. GRI Pricing'!$T$16,'2. GRI Pricing Inputs'!$C$82:$C$83,0),MATCH('1. Accomodation'!V313,'2. GRI Pricing Inputs'!$C$82:$AI$82,0)),0)</f>
        <v>0</v>
      </c>
      <c r="U309" s="273">
        <f>IFERROR(INDEX('2. GRI Pricing Inputs'!$C$89:$AI$90,MATCH('3. GRI Pricing'!$U$16,'2. GRI Pricing Inputs'!$C$89:$C$90,0),MATCH('1. Accomodation'!W313,'2. GRI Pricing Inputs'!$C$89:$AI$89,0)),0)</f>
        <v>0</v>
      </c>
      <c r="V309" s="273">
        <f>IFERROR(INDEX('2. GRI Pricing Inputs'!$C$97:$AI$98,MATCH('3. GRI Pricing'!$V$16,'2. GRI Pricing Inputs'!$C$97:$C$98,0),MATCH('1. Accomodation'!X313,'2. GRI Pricing Inputs'!$C$97:$AI$97,0)),0)</f>
        <v>0</v>
      </c>
      <c r="W309" s="273">
        <f>IFERROR(INDEX('2. GRI Pricing Inputs'!$C$104:$AI$105,MATCH('3. GRI Pricing'!$W$16,'2. GRI Pricing Inputs'!$C$104:$C$105,0),MATCH('1. Accomodation'!Y313,'2. GRI Pricing Inputs'!$C$104:$AI$104,0)),0)</f>
        <v>0</v>
      </c>
      <c r="X309" s="274"/>
      <c r="Y309" s="275">
        <f t="shared" si="11"/>
        <v>0</v>
      </c>
      <c r="Z309" s="276"/>
      <c r="AA309" s="276"/>
      <c r="AB309" s="276"/>
      <c r="AC309" s="272">
        <f>Y309*(1+'2. GRI Pricing Inputs'!$D$114)^(($AC$16-$AB$15)/365)</f>
        <v>0</v>
      </c>
      <c r="AD309" s="273">
        <f>AC309*(1+'2. GRI Pricing Inputs'!$D$114)^((AD$16-AC$16)/365)</f>
        <v>0</v>
      </c>
      <c r="AE309" s="273">
        <f>AD309*(1+'2. GRI Pricing Inputs'!$D$114)^((AE$16-AD$16)/365)</f>
        <v>0</v>
      </c>
      <c r="AF309" s="273">
        <f>AE309*(1+'2. GRI Pricing Inputs'!$D$114)^((AF$16-AE$16)/365)</f>
        <v>0</v>
      </c>
      <c r="AG309" s="273">
        <f>AF309*(1+'2. GRI Pricing Inputs'!$D$114)^((AG$16-AF$16)/365)</f>
        <v>0</v>
      </c>
      <c r="AH309" s="273">
        <f>AG309*(1+'2. GRI Pricing Inputs'!$D$114)^((AH$16-AG$16)/365)</f>
        <v>0</v>
      </c>
      <c r="AI309" s="273">
        <f>AH309*(1+'2. GRI Pricing Inputs'!$D$114)^((AI$16-AH$16)/365)</f>
        <v>0</v>
      </c>
      <c r="AJ309" s="273">
        <f>AI309*(1+'2. GRI Pricing Inputs'!$D$114)^((AJ$16-AI$16)/365)</f>
        <v>0</v>
      </c>
      <c r="AK309" s="273">
        <f>AJ309*(1+'2. GRI Pricing Inputs'!$D$114)^((AK$16-AJ$16)/365)</f>
        <v>0</v>
      </c>
      <c r="AL309" s="273">
        <f>AK309*(1+'2. GRI Pricing Inputs'!$D$114)^((AL$16-AK$16)/365)</f>
        <v>0</v>
      </c>
      <c r="AM309" s="273">
        <f>AL309*(1+'2. GRI Pricing Inputs'!$D$114)^((AM$16-AL$16)/365)</f>
        <v>0</v>
      </c>
      <c r="AN309" s="273">
        <f>AM309*(1+'2. GRI Pricing Inputs'!$D$114)^((AN$16-AM$16)/365)</f>
        <v>0</v>
      </c>
      <c r="AO309" s="273">
        <f>AN309*(1+'2. GRI Pricing Inputs'!$D$114)^((AO$16-AN$16)/365)</f>
        <v>0</v>
      </c>
    </row>
    <row r="310" spans="3:41" ht="12" x14ac:dyDescent="0.2">
      <c r="C310" s="76">
        <f>'1. Accomodation'!N314</f>
        <v>0</v>
      </c>
      <c r="D310" s="69">
        <f>'1. Accomodation'!P314</f>
        <v>0</v>
      </c>
      <c r="E310" s="69">
        <f>'1. Accomodation'!Q314</f>
        <v>0</v>
      </c>
      <c r="F310" s="77">
        <f>'1. Accomodation'!O314</f>
        <v>0</v>
      </c>
      <c r="G310" s="69">
        <f>'1. Accomodation'!R314</f>
        <v>0</v>
      </c>
      <c r="H310" s="69">
        <f>'1. Accomodation'!S314</f>
        <v>0</v>
      </c>
      <c r="I310" s="62"/>
      <c r="K310" s="272">
        <f>IFERROR(INDEX('2. GRI Pricing Inputs'!$C$15:$AI$16,MATCH($K$16,'2. GRI Pricing Inputs'!$C$15:$C$16,0),MATCH(D310,'2. GRI Pricing Inputs'!$C$15:$AI$15,0)),0)</f>
        <v>0</v>
      </c>
      <c r="L310" s="273">
        <f>IFERROR(INDEX('2. GRI Pricing Inputs'!$C$22:$AI$23,MATCH($L$16,'2. GRI Pricing Inputs'!$C$22:$C$23,0),MATCH(E310,'2. GRI Pricing Inputs'!$C$22:$AI$22,0)),0)</f>
        <v>0</v>
      </c>
      <c r="M310" s="328">
        <f>IF(AND('3. GRI Pricing'!$F310&gt;='2. GRI Pricing Inputs'!$D$33,'3. GRI Pricing'!$F310&lt;='2. GRI Pricing Inputs'!$E$33),'2. GRI Pricing Inputs'!$D$32,IF(AND('3. GRI Pricing'!$F310&gt;='2. GRI Pricing Inputs'!$F$33,'3. GRI Pricing'!$F310&lt;='2. GRI Pricing Inputs'!$G$33),'2. GRI Pricing Inputs'!$F$32,IF(AND('3. GRI Pricing'!$F310&gt;='2. GRI Pricing Inputs'!$H$33,'3. GRI Pricing'!$F310&lt;='2. GRI Pricing Inputs'!$I$33),'2. GRI Pricing Inputs'!$H$32,IF(AND('3. GRI Pricing'!$F310&gt;='2. GRI Pricing Inputs'!$J$33,'3. GRI Pricing'!$F310&lt;='2. GRI Pricing Inputs'!$K$33),'2. GRI Pricing Inputs'!$J$32,IF(AND('3. GRI Pricing'!$F310&gt;='2. GRI Pricing Inputs'!$L$33,'3. GRI Pricing'!$F310&lt;='2. GRI Pricing Inputs'!$M$33),'2. GRI Pricing Inputs'!$L$32,IF(AND('3. GRI Pricing'!$F310&gt;='2. GRI Pricing Inputs'!$N$33,'3. GRI Pricing'!$F310&lt;='2. GRI Pricing Inputs'!$O$33),'2. GRI Pricing Inputs'!$N$32,IF(AND('3. GRI Pricing'!$F310&gt;='2. GRI Pricing Inputs'!$P$33,'3. GRI Pricing'!$F310&lt;='2. GRI Pricing Inputs'!$Q$33),'2. GRI Pricing Inputs'!$P$32,IF(AND('3. GRI Pricing'!$F310&gt;='2. GRI Pricing Inputs'!$R$33,'3. GRI Pricing'!$F310&lt;='2. GRI Pricing Inputs'!$S$33),'2. GRI Pricing Inputs'!$R$32,IF(AND('3. GRI Pricing'!$F310&gt;='2. GRI Pricing Inputs'!$T$33,'3. GRI Pricing'!$F310&lt;='2. GRI Pricing Inputs'!$U$33),'2. GRI Pricing Inputs'!$T$32,IF(AND('3. GRI Pricing'!$F310&gt;='2. GRI Pricing Inputs'!$V$33,'3. GRI Pricing'!$F310&lt;='2. GRI Pricing Inputs'!$W$33),'2. GRI Pricing Inputs'!$V$32,IF(AND('3. GRI Pricing'!$F310&gt;='2. GRI Pricing Inputs'!$X$33,'3. GRI Pricing'!$F310&lt;='2. GRI Pricing Inputs'!$Y$33),'2. GRI Pricing Inputs'!$X$32,IF(AND('3. GRI Pricing'!$F310&gt;='2. GRI Pricing Inputs'!$Z$33,'3. GRI Pricing'!$F310&lt;='2. GRI Pricing Inputs'!$AA$33),'2. GRI Pricing Inputs'!$Z$32,IF(AND('3. GRI Pricing'!$F310&gt;='2. GRI Pricing Inputs'!$AB$33,'3. GRI Pricing'!$F310&lt;='2. GRI Pricing Inputs'!$AC$33),'2. GRI Pricing Inputs'!$AB$32,IF(AND('3. GRI Pricing'!$F310&gt;='2. GRI Pricing Inputs'!$AD$33,'3. GRI Pricing'!$F310&lt;='2. GRI Pricing Inputs'!$AE$33),'2. GRI Pricing Inputs'!$AD$32,IF(AND('3. GRI Pricing'!$F310&gt;='2. GRI Pricing Inputs'!$AF$33,'3. GRI Pricing'!$F310&lt;='2. GRI Pricing Inputs'!$AG$33),'2. GRI Pricing Inputs'!$AF$32,IF(AND('3. GRI Pricing'!$F310&gt;='2. GRI Pricing Inputs'!$AH$33,'3. GRI Pricing'!$F310&lt;='2. GRI Pricing Inputs'!$AI$33),'2. GRI Pricing Inputs'!$AH$32,0))))))))))))))))</f>
        <v>0</v>
      </c>
      <c r="N310" s="273" cm="1">
        <f t="array" ref="N310">IFERROR(INDEX('2. GRI Pricing Inputs'!$C$32:$AI$39,MATCH('3. GRI Pricing'!D310,'2. GRI Pricing Inputs'!$C$32:$C$39,0),(MATCH('3. GRI Pricing'!M310,'2. GRI Pricing Inputs'!$D$32:$AI$32,0)+1)),0)</f>
        <v>0</v>
      </c>
      <c r="O310" s="273">
        <f>IFERROR(INDEX('2. GRI Pricing Inputs'!$C$45:$AI$46,MATCH($O$16,'2. GRI Pricing Inputs'!$C$45:$C$46,0),MATCH(G310,'2. GRI Pricing Inputs'!$C$45:$AI$45,0)),0)</f>
        <v>0</v>
      </c>
      <c r="P310" s="273">
        <f>IFERROR(INDEX('2. GRI Pricing Inputs'!$C$53:$AI$54,MATCH('3. GRI Pricing'!$P$16,'2. GRI Pricing Inputs'!$C$53:$C$54,0),MATCH('3. GRI Pricing'!H310,'2. GRI Pricing Inputs'!$C$53:$AI$53,0)),0)</f>
        <v>0</v>
      </c>
      <c r="Q310" s="273">
        <f>IFERROR(INDEX('2. GRI Pricing Inputs'!$C$60:$AI$61,MATCH('3. GRI Pricing'!$Q$16,'2. GRI Pricing Inputs'!$C$60:$C$61,0),MATCH('1. Accomodation'!T314,'2. GRI Pricing Inputs'!$C$60:$AI$60,0)),0)</f>
        <v>0</v>
      </c>
      <c r="R310" s="273">
        <f>IFERROR(INDEX('2. GRI Pricing Inputs'!$C$67:$AI$68,MATCH('3. GRI Pricing'!$R$16,'2. GRI Pricing Inputs'!$C$67:$C$68,0),MATCH('1. Accomodation'!U314,'2. GRI Pricing Inputs'!$C$67:$AI$67,0)),0)</f>
        <v>0</v>
      </c>
      <c r="S310" s="273">
        <f>IF(D310=0,0,'2. GRI Pricing Inputs'!$AI$75)</f>
        <v>0</v>
      </c>
      <c r="T310" s="273">
        <f>IFERROR(INDEX('2. GRI Pricing Inputs'!$C$82:$AI$83,MATCH('3. GRI Pricing'!$T$16,'2. GRI Pricing Inputs'!$C$82:$C$83,0),MATCH('1. Accomodation'!V314,'2. GRI Pricing Inputs'!$C$82:$AI$82,0)),0)</f>
        <v>0</v>
      </c>
      <c r="U310" s="273">
        <f>IFERROR(INDEX('2. GRI Pricing Inputs'!$C$89:$AI$90,MATCH('3. GRI Pricing'!$U$16,'2. GRI Pricing Inputs'!$C$89:$C$90,0),MATCH('1. Accomodation'!W314,'2. GRI Pricing Inputs'!$C$89:$AI$89,0)),0)</f>
        <v>0</v>
      </c>
      <c r="V310" s="273">
        <f>IFERROR(INDEX('2. GRI Pricing Inputs'!$C$97:$AI$98,MATCH('3. GRI Pricing'!$V$16,'2. GRI Pricing Inputs'!$C$97:$C$98,0),MATCH('1. Accomodation'!X314,'2. GRI Pricing Inputs'!$C$97:$AI$97,0)),0)</f>
        <v>0</v>
      </c>
      <c r="W310" s="273">
        <f>IFERROR(INDEX('2. GRI Pricing Inputs'!$C$104:$AI$105,MATCH('3. GRI Pricing'!$W$16,'2. GRI Pricing Inputs'!$C$104:$C$105,0),MATCH('1. Accomodation'!Y314,'2. GRI Pricing Inputs'!$C$104:$AI$104,0)),0)</f>
        <v>0</v>
      </c>
      <c r="X310" s="274"/>
      <c r="Y310" s="275">
        <f t="shared" si="11"/>
        <v>0</v>
      </c>
      <c r="Z310" s="276"/>
      <c r="AA310" s="276"/>
      <c r="AB310" s="276"/>
      <c r="AC310" s="272">
        <f>Y310*(1+'2. GRI Pricing Inputs'!$D$114)^(($AC$16-$AB$15)/365)</f>
        <v>0</v>
      </c>
      <c r="AD310" s="273">
        <f>AC310*(1+'2. GRI Pricing Inputs'!$D$114)^((AD$16-AC$16)/365)</f>
        <v>0</v>
      </c>
      <c r="AE310" s="273">
        <f>AD310*(1+'2. GRI Pricing Inputs'!$D$114)^((AE$16-AD$16)/365)</f>
        <v>0</v>
      </c>
      <c r="AF310" s="273">
        <f>AE310*(1+'2. GRI Pricing Inputs'!$D$114)^((AF$16-AE$16)/365)</f>
        <v>0</v>
      </c>
      <c r="AG310" s="273">
        <f>AF310*(1+'2. GRI Pricing Inputs'!$D$114)^((AG$16-AF$16)/365)</f>
        <v>0</v>
      </c>
      <c r="AH310" s="273">
        <f>AG310*(1+'2. GRI Pricing Inputs'!$D$114)^((AH$16-AG$16)/365)</f>
        <v>0</v>
      </c>
      <c r="AI310" s="273">
        <f>AH310*(1+'2. GRI Pricing Inputs'!$D$114)^((AI$16-AH$16)/365)</f>
        <v>0</v>
      </c>
      <c r="AJ310" s="273">
        <f>AI310*(1+'2. GRI Pricing Inputs'!$D$114)^((AJ$16-AI$16)/365)</f>
        <v>0</v>
      </c>
      <c r="AK310" s="273">
        <f>AJ310*(1+'2. GRI Pricing Inputs'!$D$114)^((AK$16-AJ$16)/365)</f>
        <v>0</v>
      </c>
      <c r="AL310" s="273">
        <f>AK310*(1+'2. GRI Pricing Inputs'!$D$114)^((AL$16-AK$16)/365)</f>
        <v>0</v>
      </c>
      <c r="AM310" s="273">
        <f>AL310*(1+'2. GRI Pricing Inputs'!$D$114)^((AM$16-AL$16)/365)</f>
        <v>0</v>
      </c>
      <c r="AN310" s="273">
        <f>AM310*(1+'2. GRI Pricing Inputs'!$D$114)^((AN$16-AM$16)/365)</f>
        <v>0</v>
      </c>
      <c r="AO310" s="273">
        <f>AN310*(1+'2. GRI Pricing Inputs'!$D$114)^((AO$16-AN$16)/365)</f>
        <v>0</v>
      </c>
    </row>
    <row r="311" spans="3:41" ht="12" x14ac:dyDescent="0.2">
      <c r="C311" s="76">
        <f>'1. Accomodation'!N315</f>
        <v>0</v>
      </c>
      <c r="D311" s="69">
        <f>'1. Accomodation'!P315</f>
        <v>0</v>
      </c>
      <c r="E311" s="69">
        <f>'1. Accomodation'!Q315</f>
        <v>0</v>
      </c>
      <c r="F311" s="77">
        <f>'1. Accomodation'!O315</f>
        <v>0</v>
      </c>
      <c r="G311" s="69">
        <f>'1. Accomodation'!R315</f>
        <v>0</v>
      </c>
      <c r="H311" s="69">
        <f>'1. Accomodation'!S315</f>
        <v>0</v>
      </c>
      <c r="I311" s="62"/>
      <c r="K311" s="272">
        <f>IFERROR(INDEX('2. GRI Pricing Inputs'!$C$15:$AI$16,MATCH($K$16,'2. GRI Pricing Inputs'!$C$15:$C$16,0),MATCH(D311,'2. GRI Pricing Inputs'!$C$15:$AI$15,0)),0)</f>
        <v>0</v>
      </c>
      <c r="L311" s="273">
        <f>IFERROR(INDEX('2. GRI Pricing Inputs'!$C$22:$AI$23,MATCH($L$16,'2. GRI Pricing Inputs'!$C$22:$C$23,0),MATCH(E311,'2. GRI Pricing Inputs'!$C$22:$AI$22,0)),0)</f>
        <v>0</v>
      </c>
      <c r="M311" s="328">
        <f>IF(AND('3. GRI Pricing'!$F311&gt;='2. GRI Pricing Inputs'!$D$33,'3. GRI Pricing'!$F311&lt;='2. GRI Pricing Inputs'!$E$33),'2. GRI Pricing Inputs'!$D$32,IF(AND('3. GRI Pricing'!$F311&gt;='2. GRI Pricing Inputs'!$F$33,'3. GRI Pricing'!$F311&lt;='2. GRI Pricing Inputs'!$G$33),'2. GRI Pricing Inputs'!$F$32,IF(AND('3. GRI Pricing'!$F311&gt;='2. GRI Pricing Inputs'!$H$33,'3. GRI Pricing'!$F311&lt;='2. GRI Pricing Inputs'!$I$33),'2. GRI Pricing Inputs'!$H$32,IF(AND('3. GRI Pricing'!$F311&gt;='2. GRI Pricing Inputs'!$J$33,'3. GRI Pricing'!$F311&lt;='2. GRI Pricing Inputs'!$K$33),'2. GRI Pricing Inputs'!$J$32,IF(AND('3. GRI Pricing'!$F311&gt;='2. GRI Pricing Inputs'!$L$33,'3. GRI Pricing'!$F311&lt;='2. GRI Pricing Inputs'!$M$33),'2. GRI Pricing Inputs'!$L$32,IF(AND('3. GRI Pricing'!$F311&gt;='2. GRI Pricing Inputs'!$N$33,'3. GRI Pricing'!$F311&lt;='2. GRI Pricing Inputs'!$O$33),'2. GRI Pricing Inputs'!$N$32,IF(AND('3. GRI Pricing'!$F311&gt;='2. GRI Pricing Inputs'!$P$33,'3. GRI Pricing'!$F311&lt;='2. GRI Pricing Inputs'!$Q$33),'2. GRI Pricing Inputs'!$P$32,IF(AND('3. GRI Pricing'!$F311&gt;='2. GRI Pricing Inputs'!$R$33,'3. GRI Pricing'!$F311&lt;='2. GRI Pricing Inputs'!$S$33),'2. GRI Pricing Inputs'!$R$32,IF(AND('3. GRI Pricing'!$F311&gt;='2. GRI Pricing Inputs'!$T$33,'3. GRI Pricing'!$F311&lt;='2. GRI Pricing Inputs'!$U$33),'2. GRI Pricing Inputs'!$T$32,IF(AND('3. GRI Pricing'!$F311&gt;='2. GRI Pricing Inputs'!$V$33,'3. GRI Pricing'!$F311&lt;='2. GRI Pricing Inputs'!$W$33),'2. GRI Pricing Inputs'!$V$32,IF(AND('3. GRI Pricing'!$F311&gt;='2. GRI Pricing Inputs'!$X$33,'3. GRI Pricing'!$F311&lt;='2. GRI Pricing Inputs'!$Y$33),'2. GRI Pricing Inputs'!$X$32,IF(AND('3. GRI Pricing'!$F311&gt;='2. GRI Pricing Inputs'!$Z$33,'3. GRI Pricing'!$F311&lt;='2. GRI Pricing Inputs'!$AA$33),'2. GRI Pricing Inputs'!$Z$32,IF(AND('3. GRI Pricing'!$F311&gt;='2. GRI Pricing Inputs'!$AB$33,'3. GRI Pricing'!$F311&lt;='2. GRI Pricing Inputs'!$AC$33),'2. GRI Pricing Inputs'!$AB$32,IF(AND('3. GRI Pricing'!$F311&gt;='2. GRI Pricing Inputs'!$AD$33,'3. GRI Pricing'!$F311&lt;='2. GRI Pricing Inputs'!$AE$33),'2. GRI Pricing Inputs'!$AD$32,IF(AND('3. GRI Pricing'!$F311&gt;='2. GRI Pricing Inputs'!$AF$33,'3. GRI Pricing'!$F311&lt;='2. GRI Pricing Inputs'!$AG$33),'2. GRI Pricing Inputs'!$AF$32,IF(AND('3. GRI Pricing'!$F311&gt;='2. GRI Pricing Inputs'!$AH$33,'3. GRI Pricing'!$F311&lt;='2. GRI Pricing Inputs'!$AI$33),'2. GRI Pricing Inputs'!$AH$32,0))))))))))))))))</f>
        <v>0</v>
      </c>
      <c r="N311" s="273" cm="1">
        <f t="array" ref="N311">IFERROR(INDEX('2. GRI Pricing Inputs'!$C$32:$AI$39,MATCH('3. GRI Pricing'!D311,'2. GRI Pricing Inputs'!$C$32:$C$39,0),(MATCH('3. GRI Pricing'!M311,'2. GRI Pricing Inputs'!$D$32:$AI$32,0)+1)),0)</f>
        <v>0</v>
      </c>
      <c r="O311" s="273">
        <f>IFERROR(INDEX('2. GRI Pricing Inputs'!$C$45:$AI$46,MATCH($O$16,'2. GRI Pricing Inputs'!$C$45:$C$46,0),MATCH(G311,'2. GRI Pricing Inputs'!$C$45:$AI$45,0)),0)</f>
        <v>0</v>
      </c>
      <c r="P311" s="273">
        <f>IFERROR(INDEX('2. GRI Pricing Inputs'!$C$53:$AI$54,MATCH('3. GRI Pricing'!$P$16,'2. GRI Pricing Inputs'!$C$53:$C$54,0),MATCH('3. GRI Pricing'!H311,'2. GRI Pricing Inputs'!$C$53:$AI$53,0)),0)</f>
        <v>0</v>
      </c>
      <c r="Q311" s="273">
        <f>IFERROR(INDEX('2. GRI Pricing Inputs'!$C$60:$AI$61,MATCH('3. GRI Pricing'!$Q$16,'2. GRI Pricing Inputs'!$C$60:$C$61,0),MATCH('1. Accomodation'!T315,'2. GRI Pricing Inputs'!$C$60:$AI$60,0)),0)</f>
        <v>0</v>
      </c>
      <c r="R311" s="273">
        <f>IFERROR(INDEX('2. GRI Pricing Inputs'!$C$67:$AI$68,MATCH('3. GRI Pricing'!$R$16,'2. GRI Pricing Inputs'!$C$67:$C$68,0),MATCH('1. Accomodation'!U315,'2. GRI Pricing Inputs'!$C$67:$AI$67,0)),0)</f>
        <v>0</v>
      </c>
      <c r="S311" s="273">
        <f>IF(D311=0,0,'2. GRI Pricing Inputs'!$AI$75)</f>
        <v>0</v>
      </c>
      <c r="T311" s="273">
        <f>IFERROR(INDEX('2. GRI Pricing Inputs'!$C$82:$AI$83,MATCH('3. GRI Pricing'!$T$16,'2. GRI Pricing Inputs'!$C$82:$C$83,0),MATCH('1. Accomodation'!V315,'2. GRI Pricing Inputs'!$C$82:$AI$82,0)),0)</f>
        <v>0</v>
      </c>
      <c r="U311" s="273">
        <f>IFERROR(INDEX('2. GRI Pricing Inputs'!$C$89:$AI$90,MATCH('3. GRI Pricing'!$U$16,'2. GRI Pricing Inputs'!$C$89:$C$90,0),MATCH('1. Accomodation'!W315,'2. GRI Pricing Inputs'!$C$89:$AI$89,0)),0)</f>
        <v>0</v>
      </c>
      <c r="V311" s="273">
        <f>IFERROR(INDEX('2. GRI Pricing Inputs'!$C$97:$AI$98,MATCH('3. GRI Pricing'!$V$16,'2. GRI Pricing Inputs'!$C$97:$C$98,0),MATCH('1. Accomodation'!X315,'2. GRI Pricing Inputs'!$C$97:$AI$97,0)),0)</f>
        <v>0</v>
      </c>
      <c r="W311" s="273">
        <f>IFERROR(INDEX('2. GRI Pricing Inputs'!$C$104:$AI$105,MATCH('3. GRI Pricing'!$W$16,'2. GRI Pricing Inputs'!$C$104:$C$105,0),MATCH('1. Accomodation'!Y315,'2. GRI Pricing Inputs'!$C$104:$AI$104,0)),0)</f>
        <v>0</v>
      </c>
      <c r="X311" s="274"/>
      <c r="Y311" s="275">
        <f t="shared" si="11"/>
        <v>0</v>
      </c>
      <c r="Z311" s="276"/>
      <c r="AA311" s="276"/>
      <c r="AB311" s="276"/>
      <c r="AC311" s="272">
        <f>Y311*(1+'2. GRI Pricing Inputs'!$D$114)^(($AC$16-$AB$15)/365)</f>
        <v>0</v>
      </c>
      <c r="AD311" s="273">
        <f>AC311*(1+'2. GRI Pricing Inputs'!$D$114)^((AD$16-AC$16)/365)</f>
        <v>0</v>
      </c>
      <c r="AE311" s="273">
        <f>AD311*(1+'2. GRI Pricing Inputs'!$D$114)^((AE$16-AD$16)/365)</f>
        <v>0</v>
      </c>
      <c r="AF311" s="273">
        <f>AE311*(1+'2. GRI Pricing Inputs'!$D$114)^((AF$16-AE$16)/365)</f>
        <v>0</v>
      </c>
      <c r="AG311" s="273">
        <f>AF311*(1+'2. GRI Pricing Inputs'!$D$114)^((AG$16-AF$16)/365)</f>
        <v>0</v>
      </c>
      <c r="AH311" s="273">
        <f>AG311*(1+'2. GRI Pricing Inputs'!$D$114)^((AH$16-AG$16)/365)</f>
        <v>0</v>
      </c>
      <c r="AI311" s="273">
        <f>AH311*(1+'2. GRI Pricing Inputs'!$D$114)^((AI$16-AH$16)/365)</f>
        <v>0</v>
      </c>
      <c r="AJ311" s="273">
        <f>AI311*(1+'2. GRI Pricing Inputs'!$D$114)^((AJ$16-AI$16)/365)</f>
        <v>0</v>
      </c>
      <c r="AK311" s="273">
        <f>AJ311*(1+'2. GRI Pricing Inputs'!$D$114)^((AK$16-AJ$16)/365)</f>
        <v>0</v>
      </c>
      <c r="AL311" s="273">
        <f>AK311*(1+'2. GRI Pricing Inputs'!$D$114)^((AL$16-AK$16)/365)</f>
        <v>0</v>
      </c>
      <c r="AM311" s="273">
        <f>AL311*(1+'2. GRI Pricing Inputs'!$D$114)^((AM$16-AL$16)/365)</f>
        <v>0</v>
      </c>
      <c r="AN311" s="273">
        <f>AM311*(1+'2. GRI Pricing Inputs'!$D$114)^((AN$16-AM$16)/365)</f>
        <v>0</v>
      </c>
      <c r="AO311" s="273">
        <f>AN311*(1+'2. GRI Pricing Inputs'!$D$114)^((AO$16-AN$16)/365)</f>
        <v>0</v>
      </c>
    </row>
    <row r="312" spans="3:41" ht="12" x14ac:dyDescent="0.2">
      <c r="C312" s="76">
        <f>'1. Accomodation'!N316</f>
        <v>0</v>
      </c>
      <c r="D312" s="69">
        <f>'1. Accomodation'!P316</f>
        <v>0</v>
      </c>
      <c r="E312" s="69">
        <f>'1. Accomodation'!Q316</f>
        <v>0</v>
      </c>
      <c r="F312" s="77">
        <f>'1. Accomodation'!O316</f>
        <v>0</v>
      </c>
      <c r="G312" s="69">
        <f>'1. Accomodation'!R316</f>
        <v>0</v>
      </c>
      <c r="H312" s="69">
        <f>'1. Accomodation'!S316</f>
        <v>0</v>
      </c>
      <c r="I312" s="62"/>
      <c r="K312" s="272">
        <f>IFERROR(INDEX('2. GRI Pricing Inputs'!$C$15:$AI$16,MATCH($K$16,'2. GRI Pricing Inputs'!$C$15:$C$16,0),MATCH(D312,'2. GRI Pricing Inputs'!$C$15:$AI$15,0)),0)</f>
        <v>0</v>
      </c>
      <c r="L312" s="273">
        <f>IFERROR(INDEX('2. GRI Pricing Inputs'!$C$22:$AI$23,MATCH($L$16,'2. GRI Pricing Inputs'!$C$22:$C$23,0),MATCH(E312,'2. GRI Pricing Inputs'!$C$22:$AI$22,0)),0)</f>
        <v>0</v>
      </c>
      <c r="M312" s="328">
        <f>IF(AND('3. GRI Pricing'!$F312&gt;='2. GRI Pricing Inputs'!$D$33,'3. GRI Pricing'!$F312&lt;='2. GRI Pricing Inputs'!$E$33),'2. GRI Pricing Inputs'!$D$32,IF(AND('3. GRI Pricing'!$F312&gt;='2. GRI Pricing Inputs'!$F$33,'3. GRI Pricing'!$F312&lt;='2. GRI Pricing Inputs'!$G$33),'2. GRI Pricing Inputs'!$F$32,IF(AND('3. GRI Pricing'!$F312&gt;='2. GRI Pricing Inputs'!$H$33,'3. GRI Pricing'!$F312&lt;='2. GRI Pricing Inputs'!$I$33),'2. GRI Pricing Inputs'!$H$32,IF(AND('3. GRI Pricing'!$F312&gt;='2. GRI Pricing Inputs'!$J$33,'3. GRI Pricing'!$F312&lt;='2. GRI Pricing Inputs'!$K$33),'2. GRI Pricing Inputs'!$J$32,IF(AND('3. GRI Pricing'!$F312&gt;='2. GRI Pricing Inputs'!$L$33,'3. GRI Pricing'!$F312&lt;='2. GRI Pricing Inputs'!$M$33),'2. GRI Pricing Inputs'!$L$32,IF(AND('3. GRI Pricing'!$F312&gt;='2. GRI Pricing Inputs'!$N$33,'3. GRI Pricing'!$F312&lt;='2. GRI Pricing Inputs'!$O$33),'2. GRI Pricing Inputs'!$N$32,IF(AND('3. GRI Pricing'!$F312&gt;='2. GRI Pricing Inputs'!$P$33,'3. GRI Pricing'!$F312&lt;='2. GRI Pricing Inputs'!$Q$33),'2. GRI Pricing Inputs'!$P$32,IF(AND('3. GRI Pricing'!$F312&gt;='2. GRI Pricing Inputs'!$R$33,'3. GRI Pricing'!$F312&lt;='2. GRI Pricing Inputs'!$S$33),'2. GRI Pricing Inputs'!$R$32,IF(AND('3. GRI Pricing'!$F312&gt;='2. GRI Pricing Inputs'!$T$33,'3. GRI Pricing'!$F312&lt;='2. GRI Pricing Inputs'!$U$33),'2. GRI Pricing Inputs'!$T$32,IF(AND('3. GRI Pricing'!$F312&gt;='2. GRI Pricing Inputs'!$V$33,'3. GRI Pricing'!$F312&lt;='2. GRI Pricing Inputs'!$W$33),'2. GRI Pricing Inputs'!$V$32,IF(AND('3. GRI Pricing'!$F312&gt;='2. GRI Pricing Inputs'!$X$33,'3. GRI Pricing'!$F312&lt;='2. GRI Pricing Inputs'!$Y$33),'2. GRI Pricing Inputs'!$X$32,IF(AND('3. GRI Pricing'!$F312&gt;='2. GRI Pricing Inputs'!$Z$33,'3. GRI Pricing'!$F312&lt;='2. GRI Pricing Inputs'!$AA$33),'2. GRI Pricing Inputs'!$Z$32,IF(AND('3. GRI Pricing'!$F312&gt;='2. GRI Pricing Inputs'!$AB$33,'3. GRI Pricing'!$F312&lt;='2. GRI Pricing Inputs'!$AC$33),'2. GRI Pricing Inputs'!$AB$32,IF(AND('3. GRI Pricing'!$F312&gt;='2. GRI Pricing Inputs'!$AD$33,'3. GRI Pricing'!$F312&lt;='2. GRI Pricing Inputs'!$AE$33),'2. GRI Pricing Inputs'!$AD$32,IF(AND('3. GRI Pricing'!$F312&gt;='2. GRI Pricing Inputs'!$AF$33,'3. GRI Pricing'!$F312&lt;='2. GRI Pricing Inputs'!$AG$33),'2. GRI Pricing Inputs'!$AF$32,IF(AND('3. GRI Pricing'!$F312&gt;='2. GRI Pricing Inputs'!$AH$33,'3. GRI Pricing'!$F312&lt;='2. GRI Pricing Inputs'!$AI$33),'2. GRI Pricing Inputs'!$AH$32,0))))))))))))))))</f>
        <v>0</v>
      </c>
      <c r="N312" s="273" cm="1">
        <f t="array" ref="N312">IFERROR(INDEX('2. GRI Pricing Inputs'!$C$32:$AI$39,MATCH('3. GRI Pricing'!D312,'2. GRI Pricing Inputs'!$C$32:$C$39,0),(MATCH('3. GRI Pricing'!M312,'2. GRI Pricing Inputs'!$D$32:$AI$32,0)+1)),0)</f>
        <v>0</v>
      </c>
      <c r="O312" s="273">
        <f>IFERROR(INDEX('2. GRI Pricing Inputs'!$C$45:$AI$46,MATCH($O$16,'2. GRI Pricing Inputs'!$C$45:$C$46,0),MATCH(G312,'2. GRI Pricing Inputs'!$C$45:$AI$45,0)),0)</f>
        <v>0</v>
      </c>
      <c r="P312" s="273">
        <f>IFERROR(INDEX('2. GRI Pricing Inputs'!$C$53:$AI$54,MATCH('3. GRI Pricing'!$P$16,'2. GRI Pricing Inputs'!$C$53:$C$54,0),MATCH('3. GRI Pricing'!H312,'2. GRI Pricing Inputs'!$C$53:$AI$53,0)),0)</f>
        <v>0</v>
      </c>
      <c r="Q312" s="273">
        <f>IFERROR(INDEX('2. GRI Pricing Inputs'!$C$60:$AI$61,MATCH('3. GRI Pricing'!$Q$16,'2. GRI Pricing Inputs'!$C$60:$C$61,0),MATCH('1. Accomodation'!T316,'2. GRI Pricing Inputs'!$C$60:$AI$60,0)),0)</f>
        <v>0</v>
      </c>
      <c r="R312" s="273">
        <f>IFERROR(INDEX('2. GRI Pricing Inputs'!$C$67:$AI$68,MATCH('3. GRI Pricing'!$R$16,'2. GRI Pricing Inputs'!$C$67:$C$68,0),MATCH('1. Accomodation'!U316,'2. GRI Pricing Inputs'!$C$67:$AI$67,0)),0)</f>
        <v>0</v>
      </c>
      <c r="S312" s="273">
        <f>IF(D312=0,0,'2. GRI Pricing Inputs'!$AI$75)</f>
        <v>0</v>
      </c>
      <c r="T312" s="273">
        <f>IFERROR(INDEX('2. GRI Pricing Inputs'!$C$82:$AI$83,MATCH('3. GRI Pricing'!$T$16,'2. GRI Pricing Inputs'!$C$82:$C$83,0),MATCH('1. Accomodation'!V316,'2. GRI Pricing Inputs'!$C$82:$AI$82,0)),0)</f>
        <v>0</v>
      </c>
      <c r="U312" s="273">
        <f>IFERROR(INDEX('2. GRI Pricing Inputs'!$C$89:$AI$90,MATCH('3. GRI Pricing'!$U$16,'2. GRI Pricing Inputs'!$C$89:$C$90,0),MATCH('1. Accomodation'!W316,'2. GRI Pricing Inputs'!$C$89:$AI$89,0)),0)</f>
        <v>0</v>
      </c>
      <c r="V312" s="273">
        <f>IFERROR(INDEX('2. GRI Pricing Inputs'!$C$97:$AI$98,MATCH('3. GRI Pricing'!$V$16,'2. GRI Pricing Inputs'!$C$97:$C$98,0),MATCH('1. Accomodation'!X316,'2. GRI Pricing Inputs'!$C$97:$AI$97,0)),0)</f>
        <v>0</v>
      </c>
      <c r="W312" s="273">
        <f>IFERROR(INDEX('2. GRI Pricing Inputs'!$C$104:$AI$105,MATCH('3. GRI Pricing'!$W$16,'2. GRI Pricing Inputs'!$C$104:$C$105,0),MATCH('1. Accomodation'!Y316,'2. GRI Pricing Inputs'!$C$104:$AI$104,0)),0)</f>
        <v>0</v>
      </c>
      <c r="X312" s="274"/>
      <c r="Y312" s="275">
        <f t="shared" si="11"/>
        <v>0</v>
      </c>
      <c r="Z312" s="276"/>
      <c r="AA312" s="276"/>
      <c r="AB312" s="276"/>
      <c r="AC312" s="272">
        <f>Y312*(1+'2. GRI Pricing Inputs'!$D$114)^(($AC$16-$AB$15)/365)</f>
        <v>0</v>
      </c>
      <c r="AD312" s="273">
        <f>AC312*(1+'2. GRI Pricing Inputs'!$D$114)^((AD$16-AC$16)/365)</f>
        <v>0</v>
      </c>
      <c r="AE312" s="273">
        <f>AD312*(1+'2. GRI Pricing Inputs'!$D$114)^((AE$16-AD$16)/365)</f>
        <v>0</v>
      </c>
      <c r="AF312" s="273">
        <f>AE312*(1+'2. GRI Pricing Inputs'!$D$114)^((AF$16-AE$16)/365)</f>
        <v>0</v>
      </c>
      <c r="AG312" s="273">
        <f>AF312*(1+'2. GRI Pricing Inputs'!$D$114)^((AG$16-AF$16)/365)</f>
        <v>0</v>
      </c>
      <c r="AH312" s="273">
        <f>AG312*(1+'2. GRI Pricing Inputs'!$D$114)^((AH$16-AG$16)/365)</f>
        <v>0</v>
      </c>
      <c r="AI312" s="273">
        <f>AH312*(1+'2. GRI Pricing Inputs'!$D$114)^((AI$16-AH$16)/365)</f>
        <v>0</v>
      </c>
      <c r="AJ312" s="273">
        <f>AI312*(1+'2. GRI Pricing Inputs'!$D$114)^((AJ$16-AI$16)/365)</f>
        <v>0</v>
      </c>
      <c r="AK312" s="273">
        <f>AJ312*(1+'2. GRI Pricing Inputs'!$D$114)^((AK$16-AJ$16)/365)</f>
        <v>0</v>
      </c>
      <c r="AL312" s="273">
        <f>AK312*(1+'2. GRI Pricing Inputs'!$D$114)^((AL$16-AK$16)/365)</f>
        <v>0</v>
      </c>
      <c r="AM312" s="273">
        <f>AL312*(1+'2. GRI Pricing Inputs'!$D$114)^((AM$16-AL$16)/365)</f>
        <v>0</v>
      </c>
      <c r="AN312" s="273">
        <f>AM312*(1+'2. GRI Pricing Inputs'!$D$114)^((AN$16-AM$16)/365)</f>
        <v>0</v>
      </c>
      <c r="AO312" s="273">
        <f>AN312*(1+'2. GRI Pricing Inputs'!$D$114)^((AO$16-AN$16)/365)</f>
        <v>0</v>
      </c>
    </row>
    <row r="313" spans="3:41" ht="12" x14ac:dyDescent="0.2">
      <c r="C313" s="76">
        <f>'1. Accomodation'!N317</f>
        <v>0</v>
      </c>
      <c r="D313" s="69">
        <f>'1. Accomodation'!P317</f>
        <v>0</v>
      </c>
      <c r="E313" s="69">
        <f>'1. Accomodation'!Q317</f>
        <v>0</v>
      </c>
      <c r="F313" s="77">
        <f>'1. Accomodation'!O317</f>
        <v>0</v>
      </c>
      <c r="G313" s="69">
        <f>'1. Accomodation'!R317</f>
        <v>0</v>
      </c>
      <c r="H313" s="69">
        <f>'1. Accomodation'!S317</f>
        <v>0</v>
      </c>
      <c r="I313" s="62"/>
      <c r="K313" s="272">
        <f>IFERROR(INDEX('2. GRI Pricing Inputs'!$C$15:$AI$16,MATCH($K$16,'2. GRI Pricing Inputs'!$C$15:$C$16,0),MATCH(D313,'2. GRI Pricing Inputs'!$C$15:$AI$15,0)),0)</f>
        <v>0</v>
      </c>
      <c r="L313" s="273">
        <f>IFERROR(INDEX('2. GRI Pricing Inputs'!$C$22:$AI$23,MATCH($L$16,'2. GRI Pricing Inputs'!$C$22:$C$23,0),MATCH(E313,'2. GRI Pricing Inputs'!$C$22:$AI$22,0)),0)</f>
        <v>0</v>
      </c>
      <c r="M313" s="328">
        <f>IF(AND('3. GRI Pricing'!$F313&gt;='2. GRI Pricing Inputs'!$D$33,'3. GRI Pricing'!$F313&lt;='2. GRI Pricing Inputs'!$E$33),'2. GRI Pricing Inputs'!$D$32,IF(AND('3. GRI Pricing'!$F313&gt;='2. GRI Pricing Inputs'!$F$33,'3. GRI Pricing'!$F313&lt;='2. GRI Pricing Inputs'!$G$33),'2. GRI Pricing Inputs'!$F$32,IF(AND('3. GRI Pricing'!$F313&gt;='2. GRI Pricing Inputs'!$H$33,'3. GRI Pricing'!$F313&lt;='2. GRI Pricing Inputs'!$I$33),'2. GRI Pricing Inputs'!$H$32,IF(AND('3. GRI Pricing'!$F313&gt;='2. GRI Pricing Inputs'!$J$33,'3. GRI Pricing'!$F313&lt;='2. GRI Pricing Inputs'!$K$33),'2. GRI Pricing Inputs'!$J$32,IF(AND('3. GRI Pricing'!$F313&gt;='2. GRI Pricing Inputs'!$L$33,'3. GRI Pricing'!$F313&lt;='2. GRI Pricing Inputs'!$M$33),'2. GRI Pricing Inputs'!$L$32,IF(AND('3. GRI Pricing'!$F313&gt;='2. GRI Pricing Inputs'!$N$33,'3. GRI Pricing'!$F313&lt;='2. GRI Pricing Inputs'!$O$33),'2. GRI Pricing Inputs'!$N$32,IF(AND('3. GRI Pricing'!$F313&gt;='2. GRI Pricing Inputs'!$P$33,'3. GRI Pricing'!$F313&lt;='2. GRI Pricing Inputs'!$Q$33),'2. GRI Pricing Inputs'!$P$32,IF(AND('3. GRI Pricing'!$F313&gt;='2. GRI Pricing Inputs'!$R$33,'3. GRI Pricing'!$F313&lt;='2. GRI Pricing Inputs'!$S$33),'2. GRI Pricing Inputs'!$R$32,IF(AND('3. GRI Pricing'!$F313&gt;='2. GRI Pricing Inputs'!$T$33,'3. GRI Pricing'!$F313&lt;='2. GRI Pricing Inputs'!$U$33),'2. GRI Pricing Inputs'!$T$32,IF(AND('3. GRI Pricing'!$F313&gt;='2. GRI Pricing Inputs'!$V$33,'3. GRI Pricing'!$F313&lt;='2. GRI Pricing Inputs'!$W$33),'2. GRI Pricing Inputs'!$V$32,IF(AND('3. GRI Pricing'!$F313&gt;='2. GRI Pricing Inputs'!$X$33,'3. GRI Pricing'!$F313&lt;='2. GRI Pricing Inputs'!$Y$33),'2. GRI Pricing Inputs'!$X$32,IF(AND('3. GRI Pricing'!$F313&gt;='2. GRI Pricing Inputs'!$Z$33,'3. GRI Pricing'!$F313&lt;='2. GRI Pricing Inputs'!$AA$33),'2. GRI Pricing Inputs'!$Z$32,IF(AND('3. GRI Pricing'!$F313&gt;='2. GRI Pricing Inputs'!$AB$33,'3. GRI Pricing'!$F313&lt;='2. GRI Pricing Inputs'!$AC$33),'2. GRI Pricing Inputs'!$AB$32,IF(AND('3. GRI Pricing'!$F313&gt;='2. GRI Pricing Inputs'!$AD$33,'3. GRI Pricing'!$F313&lt;='2. GRI Pricing Inputs'!$AE$33),'2. GRI Pricing Inputs'!$AD$32,IF(AND('3. GRI Pricing'!$F313&gt;='2. GRI Pricing Inputs'!$AF$33,'3. GRI Pricing'!$F313&lt;='2. GRI Pricing Inputs'!$AG$33),'2. GRI Pricing Inputs'!$AF$32,IF(AND('3. GRI Pricing'!$F313&gt;='2. GRI Pricing Inputs'!$AH$33,'3. GRI Pricing'!$F313&lt;='2. GRI Pricing Inputs'!$AI$33),'2. GRI Pricing Inputs'!$AH$32,0))))))))))))))))</f>
        <v>0</v>
      </c>
      <c r="N313" s="273" cm="1">
        <f t="array" ref="N313">IFERROR(INDEX('2. GRI Pricing Inputs'!$C$32:$AI$39,MATCH('3. GRI Pricing'!D313,'2. GRI Pricing Inputs'!$C$32:$C$39,0),(MATCH('3. GRI Pricing'!M313,'2. GRI Pricing Inputs'!$D$32:$AI$32,0)+1)),0)</f>
        <v>0</v>
      </c>
      <c r="O313" s="273">
        <f>IFERROR(INDEX('2. GRI Pricing Inputs'!$C$45:$AI$46,MATCH($O$16,'2. GRI Pricing Inputs'!$C$45:$C$46,0),MATCH(G313,'2. GRI Pricing Inputs'!$C$45:$AI$45,0)),0)</f>
        <v>0</v>
      </c>
      <c r="P313" s="273">
        <f>IFERROR(INDEX('2. GRI Pricing Inputs'!$C$53:$AI$54,MATCH('3. GRI Pricing'!$P$16,'2. GRI Pricing Inputs'!$C$53:$C$54,0),MATCH('3. GRI Pricing'!H313,'2. GRI Pricing Inputs'!$C$53:$AI$53,0)),0)</f>
        <v>0</v>
      </c>
      <c r="Q313" s="273">
        <f>IFERROR(INDEX('2. GRI Pricing Inputs'!$C$60:$AI$61,MATCH('3. GRI Pricing'!$Q$16,'2. GRI Pricing Inputs'!$C$60:$C$61,0),MATCH('1. Accomodation'!T317,'2. GRI Pricing Inputs'!$C$60:$AI$60,0)),0)</f>
        <v>0</v>
      </c>
      <c r="R313" s="273">
        <f>IFERROR(INDEX('2. GRI Pricing Inputs'!$C$67:$AI$68,MATCH('3. GRI Pricing'!$R$16,'2. GRI Pricing Inputs'!$C$67:$C$68,0),MATCH('1. Accomodation'!U317,'2. GRI Pricing Inputs'!$C$67:$AI$67,0)),0)</f>
        <v>0</v>
      </c>
      <c r="S313" s="273">
        <f>IF(D313=0,0,'2. GRI Pricing Inputs'!$AI$75)</f>
        <v>0</v>
      </c>
      <c r="T313" s="273">
        <f>IFERROR(INDEX('2. GRI Pricing Inputs'!$C$82:$AI$83,MATCH('3. GRI Pricing'!$T$16,'2. GRI Pricing Inputs'!$C$82:$C$83,0),MATCH('1. Accomodation'!V317,'2. GRI Pricing Inputs'!$C$82:$AI$82,0)),0)</f>
        <v>0</v>
      </c>
      <c r="U313" s="273">
        <f>IFERROR(INDEX('2. GRI Pricing Inputs'!$C$89:$AI$90,MATCH('3. GRI Pricing'!$U$16,'2. GRI Pricing Inputs'!$C$89:$C$90,0),MATCH('1. Accomodation'!W317,'2. GRI Pricing Inputs'!$C$89:$AI$89,0)),0)</f>
        <v>0</v>
      </c>
      <c r="V313" s="273">
        <f>IFERROR(INDEX('2. GRI Pricing Inputs'!$C$97:$AI$98,MATCH('3. GRI Pricing'!$V$16,'2. GRI Pricing Inputs'!$C$97:$C$98,0),MATCH('1. Accomodation'!X317,'2. GRI Pricing Inputs'!$C$97:$AI$97,0)),0)</f>
        <v>0</v>
      </c>
      <c r="W313" s="273">
        <f>IFERROR(INDEX('2. GRI Pricing Inputs'!$C$104:$AI$105,MATCH('3. GRI Pricing'!$W$16,'2. GRI Pricing Inputs'!$C$104:$C$105,0),MATCH('1. Accomodation'!Y317,'2. GRI Pricing Inputs'!$C$104:$AI$104,0)),0)</f>
        <v>0</v>
      </c>
      <c r="X313" s="274"/>
      <c r="Y313" s="275">
        <f t="shared" si="11"/>
        <v>0</v>
      </c>
      <c r="Z313" s="276"/>
      <c r="AA313" s="276"/>
      <c r="AB313" s="276"/>
      <c r="AC313" s="272">
        <f>Y313*(1+'2. GRI Pricing Inputs'!$D$114)^(($AC$16-$AB$15)/365)</f>
        <v>0</v>
      </c>
      <c r="AD313" s="273">
        <f>AC313*(1+'2. GRI Pricing Inputs'!$D$114)^((AD$16-AC$16)/365)</f>
        <v>0</v>
      </c>
      <c r="AE313" s="273">
        <f>AD313*(1+'2. GRI Pricing Inputs'!$D$114)^((AE$16-AD$16)/365)</f>
        <v>0</v>
      </c>
      <c r="AF313" s="273">
        <f>AE313*(1+'2. GRI Pricing Inputs'!$D$114)^((AF$16-AE$16)/365)</f>
        <v>0</v>
      </c>
      <c r="AG313" s="273">
        <f>AF313*(1+'2. GRI Pricing Inputs'!$D$114)^((AG$16-AF$16)/365)</f>
        <v>0</v>
      </c>
      <c r="AH313" s="273">
        <f>AG313*(1+'2. GRI Pricing Inputs'!$D$114)^((AH$16-AG$16)/365)</f>
        <v>0</v>
      </c>
      <c r="AI313" s="273">
        <f>AH313*(1+'2. GRI Pricing Inputs'!$D$114)^((AI$16-AH$16)/365)</f>
        <v>0</v>
      </c>
      <c r="AJ313" s="273">
        <f>AI313*(1+'2. GRI Pricing Inputs'!$D$114)^((AJ$16-AI$16)/365)</f>
        <v>0</v>
      </c>
      <c r="AK313" s="273">
        <f>AJ313*(1+'2. GRI Pricing Inputs'!$D$114)^((AK$16-AJ$16)/365)</f>
        <v>0</v>
      </c>
      <c r="AL313" s="273">
        <f>AK313*(1+'2. GRI Pricing Inputs'!$D$114)^((AL$16-AK$16)/365)</f>
        <v>0</v>
      </c>
      <c r="AM313" s="273">
        <f>AL313*(1+'2. GRI Pricing Inputs'!$D$114)^((AM$16-AL$16)/365)</f>
        <v>0</v>
      </c>
      <c r="AN313" s="273">
        <f>AM313*(1+'2. GRI Pricing Inputs'!$D$114)^((AN$16-AM$16)/365)</f>
        <v>0</v>
      </c>
      <c r="AO313" s="273">
        <f>AN313*(1+'2. GRI Pricing Inputs'!$D$114)^((AO$16-AN$16)/365)</f>
        <v>0</v>
      </c>
    </row>
    <row r="314" spans="3:41" ht="12" x14ac:dyDescent="0.2">
      <c r="C314" s="76">
        <f>'1. Accomodation'!N318</f>
        <v>0</v>
      </c>
      <c r="D314" s="69">
        <f>'1. Accomodation'!P318</f>
        <v>0</v>
      </c>
      <c r="E314" s="69">
        <f>'1. Accomodation'!Q318</f>
        <v>0</v>
      </c>
      <c r="F314" s="77">
        <f>'1. Accomodation'!O318</f>
        <v>0</v>
      </c>
      <c r="G314" s="69">
        <f>'1. Accomodation'!R318</f>
        <v>0</v>
      </c>
      <c r="H314" s="69">
        <f>'1. Accomodation'!S318</f>
        <v>0</v>
      </c>
      <c r="I314" s="62"/>
      <c r="K314" s="272">
        <f>IFERROR(INDEX('2. GRI Pricing Inputs'!$C$15:$AI$16,MATCH($K$16,'2. GRI Pricing Inputs'!$C$15:$C$16,0),MATCH(D314,'2. GRI Pricing Inputs'!$C$15:$AI$15,0)),0)</f>
        <v>0</v>
      </c>
      <c r="L314" s="273">
        <f>IFERROR(INDEX('2. GRI Pricing Inputs'!$C$22:$AI$23,MATCH($L$16,'2. GRI Pricing Inputs'!$C$22:$C$23,0),MATCH(E314,'2. GRI Pricing Inputs'!$C$22:$AI$22,0)),0)</f>
        <v>0</v>
      </c>
      <c r="M314" s="328">
        <f>IF(AND('3. GRI Pricing'!$F314&gt;='2. GRI Pricing Inputs'!$D$33,'3. GRI Pricing'!$F314&lt;='2. GRI Pricing Inputs'!$E$33),'2. GRI Pricing Inputs'!$D$32,IF(AND('3. GRI Pricing'!$F314&gt;='2. GRI Pricing Inputs'!$F$33,'3. GRI Pricing'!$F314&lt;='2. GRI Pricing Inputs'!$G$33),'2. GRI Pricing Inputs'!$F$32,IF(AND('3. GRI Pricing'!$F314&gt;='2. GRI Pricing Inputs'!$H$33,'3. GRI Pricing'!$F314&lt;='2. GRI Pricing Inputs'!$I$33),'2. GRI Pricing Inputs'!$H$32,IF(AND('3. GRI Pricing'!$F314&gt;='2. GRI Pricing Inputs'!$J$33,'3. GRI Pricing'!$F314&lt;='2. GRI Pricing Inputs'!$K$33),'2. GRI Pricing Inputs'!$J$32,IF(AND('3. GRI Pricing'!$F314&gt;='2. GRI Pricing Inputs'!$L$33,'3. GRI Pricing'!$F314&lt;='2. GRI Pricing Inputs'!$M$33),'2. GRI Pricing Inputs'!$L$32,IF(AND('3. GRI Pricing'!$F314&gt;='2. GRI Pricing Inputs'!$N$33,'3. GRI Pricing'!$F314&lt;='2. GRI Pricing Inputs'!$O$33),'2. GRI Pricing Inputs'!$N$32,IF(AND('3. GRI Pricing'!$F314&gt;='2. GRI Pricing Inputs'!$P$33,'3. GRI Pricing'!$F314&lt;='2. GRI Pricing Inputs'!$Q$33),'2. GRI Pricing Inputs'!$P$32,IF(AND('3. GRI Pricing'!$F314&gt;='2. GRI Pricing Inputs'!$R$33,'3. GRI Pricing'!$F314&lt;='2. GRI Pricing Inputs'!$S$33),'2. GRI Pricing Inputs'!$R$32,IF(AND('3. GRI Pricing'!$F314&gt;='2. GRI Pricing Inputs'!$T$33,'3. GRI Pricing'!$F314&lt;='2. GRI Pricing Inputs'!$U$33),'2. GRI Pricing Inputs'!$T$32,IF(AND('3. GRI Pricing'!$F314&gt;='2. GRI Pricing Inputs'!$V$33,'3. GRI Pricing'!$F314&lt;='2. GRI Pricing Inputs'!$W$33),'2. GRI Pricing Inputs'!$V$32,IF(AND('3. GRI Pricing'!$F314&gt;='2. GRI Pricing Inputs'!$X$33,'3. GRI Pricing'!$F314&lt;='2. GRI Pricing Inputs'!$Y$33),'2. GRI Pricing Inputs'!$X$32,IF(AND('3. GRI Pricing'!$F314&gt;='2. GRI Pricing Inputs'!$Z$33,'3. GRI Pricing'!$F314&lt;='2. GRI Pricing Inputs'!$AA$33),'2. GRI Pricing Inputs'!$Z$32,IF(AND('3. GRI Pricing'!$F314&gt;='2. GRI Pricing Inputs'!$AB$33,'3. GRI Pricing'!$F314&lt;='2. GRI Pricing Inputs'!$AC$33),'2. GRI Pricing Inputs'!$AB$32,IF(AND('3. GRI Pricing'!$F314&gt;='2. GRI Pricing Inputs'!$AD$33,'3. GRI Pricing'!$F314&lt;='2. GRI Pricing Inputs'!$AE$33),'2. GRI Pricing Inputs'!$AD$32,IF(AND('3. GRI Pricing'!$F314&gt;='2. GRI Pricing Inputs'!$AF$33,'3. GRI Pricing'!$F314&lt;='2. GRI Pricing Inputs'!$AG$33),'2. GRI Pricing Inputs'!$AF$32,IF(AND('3. GRI Pricing'!$F314&gt;='2. GRI Pricing Inputs'!$AH$33,'3. GRI Pricing'!$F314&lt;='2. GRI Pricing Inputs'!$AI$33),'2. GRI Pricing Inputs'!$AH$32,0))))))))))))))))</f>
        <v>0</v>
      </c>
      <c r="N314" s="273" cm="1">
        <f t="array" ref="N314">IFERROR(INDEX('2. GRI Pricing Inputs'!$C$32:$AI$39,MATCH('3. GRI Pricing'!D314,'2. GRI Pricing Inputs'!$C$32:$C$39,0),(MATCH('3. GRI Pricing'!M314,'2. GRI Pricing Inputs'!$D$32:$AI$32,0)+1)),0)</f>
        <v>0</v>
      </c>
      <c r="O314" s="273">
        <f>IFERROR(INDEX('2. GRI Pricing Inputs'!$C$45:$AI$46,MATCH($O$16,'2. GRI Pricing Inputs'!$C$45:$C$46,0),MATCH(G314,'2. GRI Pricing Inputs'!$C$45:$AI$45,0)),0)</f>
        <v>0</v>
      </c>
      <c r="P314" s="273">
        <f>IFERROR(INDEX('2. GRI Pricing Inputs'!$C$53:$AI$54,MATCH('3. GRI Pricing'!$P$16,'2. GRI Pricing Inputs'!$C$53:$C$54,0),MATCH('3. GRI Pricing'!H314,'2. GRI Pricing Inputs'!$C$53:$AI$53,0)),0)</f>
        <v>0</v>
      </c>
      <c r="Q314" s="273">
        <f>IFERROR(INDEX('2. GRI Pricing Inputs'!$C$60:$AI$61,MATCH('3. GRI Pricing'!$Q$16,'2. GRI Pricing Inputs'!$C$60:$C$61,0),MATCH('1. Accomodation'!T318,'2. GRI Pricing Inputs'!$C$60:$AI$60,0)),0)</f>
        <v>0</v>
      </c>
      <c r="R314" s="273">
        <f>IFERROR(INDEX('2. GRI Pricing Inputs'!$C$67:$AI$68,MATCH('3. GRI Pricing'!$R$16,'2. GRI Pricing Inputs'!$C$67:$C$68,0),MATCH('1. Accomodation'!U318,'2. GRI Pricing Inputs'!$C$67:$AI$67,0)),0)</f>
        <v>0</v>
      </c>
      <c r="S314" s="273">
        <f>IF(D314=0,0,'2. GRI Pricing Inputs'!$AI$75)</f>
        <v>0</v>
      </c>
      <c r="T314" s="273">
        <f>IFERROR(INDEX('2. GRI Pricing Inputs'!$C$82:$AI$83,MATCH('3. GRI Pricing'!$T$16,'2. GRI Pricing Inputs'!$C$82:$C$83,0),MATCH('1. Accomodation'!V318,'2. GRI Pricing Inputs'!$C$82:$AI$82,0)),0)</f>
        <v>0</v>
      </c>
      <c r="U314" s="273">
        <f>IFERROR(INDEX('2. GRI Pricing Inputs'!$C$89:$AI$90,MATCH('3. GRI Pricing'!$U$16,'2. GRI Pricing Inputs'!$C$89:$C$90,0),MATCH('1. Accomodation'!W318,'2. GRI Pricing Inputs'!$C$89:$AI$89,0)),0)</f>
        <v>0</v>
      </c>
      <c r="V314" s="273">
        <f>IFERROR(INDEX('2. GRI Pricing Inputs'!$C$97:$AI$98,MATCH('3. GRI Pricing'!$V$16,'2. GRI Pricing Inputs'!$C$97:$C$98,0),MATCH('1. Accomodation'!X318,'2. GRI Pricing Inputs'!$C$97:$AI$97,0)),0)</f>
        <v>0</v>
      </c>
      <c r="W314" s="273">
        <f>IFERROR(INDEX('2. GRI Pricing Inputs'!$C$104:$AI$105,MATCH('3. GRI Pricing'!$W$16,'2. GRI Pricing Inputs'!$C$104:$C$105,0),MATCH('1. Accomodation'!Y318,'2. GRI Pricing Inputs'!$C$104:$AI$104,0)),0)</f>
        <v>0</v>
      </c>
      <c r="X314" s="274"/>
      <c r="Y314" s="275">
        <f t="shared" si="11"/>
        <v>0</v>
      </c>
      <c r="Z314" s="276"/>
      <c r="AA314" s="276"/>
      <c r="AB314" s="276"/>
      <c r="AC314" s="272">
        <f>Y314*(1+'2. GRI Pricing Inputs'!$D$114)^(($AC$16-$AB$15)/365)</f>
        <v>0</v>
      </c>
      <c r="AD314" s="273">
        <f>AC314*(1+'2. GRI Pricing Inputs'!$D$114)^((AD$16-AC$16)/365)</f>
        <v>0</v>
      </c>
      <c r="AE314" s="273">
        <f>AD314*(1+'2. GRI Pricing Inputs'!$D$114)^((AE$16-AD$16)/365)</f>
        <v>0</v>
      </c>
      <c r="AF314" s="273">
        <f>AE314*(1+'2. GRI Pricing Inputs'!$D$114)^((AF$16-AE$16)/365)</f>
        <v>0</v>
      </c>
      <c r="AG314" s="273">
        <f>AF314*(1+'2. GRI Pricing Inputs'!$D$114)^((AG$16-AF$16)/365)</f>
        <v>0</v>
      </c>
      <c r="AH314" s="273">
        <f>AG314*(1+'2. GRI Pricing Inputs'!$D$114)^((AH$16-AG$16)/365)</f>
        <v>0</v>
      </c>
      <c r="AI314" s="273">
        <f>AH314*(1+'2. GRI Pricing Inputs'!$D$114)^((AI$16-AH$16)/365)</f>
        <v>0</v>
      </c>
      <c r="AJ314" s="273">
        <f>AI314*(1+'2. GRI Pricing Inputs'!$D$114)^((AJ$16-AI$16)/365)</f>
        <v>0</v>
      </c>
      <c r="AK314" s="273">
        <f>AJ314*(1+'2. GRI Pricing Inputs'!$D$114)^((AK$16-AJ$16)/365)</f>
        <v>0</v>
      </c>
      <c r="AL314" s="273">
        <f>AK314*(1+'2. GRI Pricing Inputs'!$D$114)^((AL$16-AK$16)/365)</f>
        <v>0</v>
      </c>
      <c r="AM314" s="273">
        <f>AL314*(1+'2. GRI Pricing Inputs'!$D$114)^((AM$16-AL$16)/365)</f>
        <v>0</v>
      </c>
      <c r="AN314" s="273">
        <f>AM314*(1+'2. GRI Pricing Inputs'!$D$114)^((AN$16-AM$16)/365)</f>
        <v>0</v>
      </c>
      <c r="AO314" s="273">
        <f>AN314*(1+'2. GRI Pricing Inputs'!$D$114)^((AO$16-AN$16)/365)</f>
        <v>0</v>
      </c>
    </row>
    <row r="315" spans="3:41" ht="12" x14ac:dyDescent="0.2">
      <c r="C315" s="76">
        <f>'1. Accomodation'!N319</f>
        <v>0</v>
      </c>
      <c r="D315" s="69">
        <f>'1. Accomodation'!P319</f>
        <v>0</v>
      </c>
      <c r="E315" s="69">
        <f>'1. Accomodation'!Q319</f>
        <v>0</v>
      </c>
      <c r="F315" s="77">
        <f>'1. Accomodation'!O319</f>
        <v>0</v>
      </c>
      <c r="G315" s="69">
        <f>'1. Accomodation'!R319</f>
        <v>0</v>
      </c>
      <c r="H315" s="69">
        <f>'1. Accomodation'!S319</f>
        <v>0</v>
      </c>
      <c r="I315" s="62"/>
      <c r="K315" s="272">
        <f>IFERROR(INDEX('2. GRI Pricing Inputs'!$C$15:$AI$16,MATCH($K$16,'2. GRI Pricing Inputs'!$C$15:$C$16,0),MATCH(D315,'2. GRI Pricing Inputs'!$C$15:$AI$15,0)),0)</f>
        <v>0</v>
      </c>
      <c r="L315" s="273">
        <f>IFERROR(INDEX('2. GRI Pricing Inputs'!$C$22:$AI$23,MATCH($L$16,'2. GRI Pricing Inputs'!$C$22:$C$23,0),MATCH(E315,'2. GRI Pricing Inputs'!$C$22:$AI$22,0)),0)</f>
        <v>0</v>
      </c>
      <c r="M315" s="328">
        <f>IF(AND('3. GRI Pricing'!$F315&gt;='2. GRI Pricing Inputs'!$D$33,'3. GRI Pricing'!$F315&lt;='2. GRI Pricing Inputs'!$E$33),'2. GRI Pricing Inputs'!$D$32,IF(AND('3. GRI Pricing'!$F315&gt;='2. GRI Pricing Inputs'!$F$33,'3. GRI Pricing'!$F315&lt;='2. GRI Pricing Inputs'!$G$33),'2. GRI Pricing Inputs'!$F$32,IF(AND('3. GRI Pricing'!$F315&gt;='2. GRI Pricing Inputs'!$H$33,'3. GRI Pricing'!$F315&lt;='2. GRI Pricing Inputs'!$I$33),'2. GRI Pricing Inputs'!$H$32,IF(AND('3. GRI Pricing'!$F315&gt;='2. GRI Pricing Inputs'!$J$33,'3. GRI Pricing'!$F315&lt;='2. GRI Pricing Inputs'!$K$33),'2. GRI Pricing Inputs'!$J$32,IF(AND('3. GRI Pricing'!$F315&gt;='2. GRI Pricing Inputs'!$L$33,'3. GRI Pricing'!$F315&lt;='2. GRI Pricing Inputs'!$M$33),'2. GRI Pricing Inputs'!$L$32,IF(AND('3. GRI Pricing'!$F315&gt;='2. GRI Pricing Inputs'!$N$33,'3. GRI Pricing'!$F315&lt;='2. GRI Pricing Inputs'!$O$33),'2. GRI Pricing Inputs'!$N$32,IF(AND('3. GRI Pricing'!$F315&gt;='2. GRI Pricing Inputs'!$P$33,'3. GRI Pricing'!$F315&lt;='2. GRI Pricing Inputs'!$Q$33),'2. GRI Pricing Inputs'!$P$32,IF(AND('3. GRI Pricing'!$F315&gt;='2. GRI Pricing Inputs'!$R$33,'3. GRI Pricing'!$F315&lt;='2. GRI Pricing Inputs'!$S$33),'2. GRI Pricing Inputs'!$R$32,IF(AND('3. GRI Pricing'!$F315&gt;='2. GRI Pricing Inputs'!$T$33,'3. GRI Pricing'!$F315&lt;='2. GRI Pricing Inputs'!$U$33),'2. GRI Pricing Inputs'!$T$32,IF(AND('3. GRI Pricing'!$F315&gt;='2. GRI Pricing Inputs'!$V$33,'3. GRI Pricing'!$F315&lt;='2. GRI Pricing Inputs'!$W$33),'2. GRI Pricing Inputs'!$V$32,IF(AND('3. GRI Pricing'!$F315&gt;='2. GRI Pricing Inputs'!$X$33,'3. GRI Pricing'!$F315&lt;='2. GRI Pricing Inputs'!$Y$33),'2. GRI Pricing Inputs'!$X$32,IF(AND('3. GRI Pricing'!$F315&gt;='2. GRI Pricing Inputs'!$Z$33,'3. GRI Pricing'!$F315&lt;='2. GRI Pricing Inputs'!$AA$33),'2. GRI Pricing Inputs'!$Z$32,IF(AND('3. GRI Pricing'!$F315&gt;='2. GRI Pricing Inputs'!$AB$33,'3. GRI Pricing'!$F315&lt;='2. GRI Pricing Inputs'!$AC$33),'2. GRI Pricing Inputs'!$AB$32,IF(AND('3. GRI Pricing'!$F315&gt;='2. GRI Pricing Inputs'!$AD$33,'3. GRI Pricing'!$F315&lt;='2. GRI Pricing Inputs'!$AE$33),'2. GRI Pricing Inputs'!$AD$32,IF(AND('3. GRI Pricing'!$F315&gt;='2. GRI Pricing Inputs'!$AF$33,'3. GRI Pricing'!$F315&lt;='2. GRI Pricing Inputs'!$AG$33),'2. GRI Pricing Inputs'!$AF$32,IF(AND('3. GRI Pricing'!$F315&gt;='2. GRI Pricing Inputs'!$AH$33,'3. GRI Pricing'!$F315&lt;='2. GRI Pricing Inputs'!$AI$33),'2. GRI Pricing Inputs'!$AH$32,0))))))))))))))))</f>
        <v>0</v>
      </c>
      <c r="N315" s="273" cm="1">
        <f t="array" ref="N315">IFERROR(INDEX('2. GRI Pricing Inputs'!$C$32:$AI$39,MATCH('3. GRI Pricing'!D315,'2. GRI Pricing Inputs'!$C$32:$C$39,0),(MATCH('3. GRI Pricing'!M315,'2. GRI Pricing Inputs'!$D$32:$AI$32,0)+1)),0)</f>
        <v>0</v>
      </c>
      <c r="O315" s="273">
        <f>IFERROR(INDEX('2. GRI Pricing Inputs'!$C$45:$AI$46,MATCH($O$16,'2. GRI Pricing Inputs'!$C$45:$C$46,0),MATCH(G315,'2. GRI Pricing Inputs'!$C$45:$AI$45,0)),0)</f>
        <v>0</v>
      </c>
      <c r="P315" s="273">
        <f>IFERROR(INDEX('2. GRI Pricing Inputs'!$C$53:$AI$54,MATCH('3. GRI Pricing'!$P$16,'2. GRI Pricing Inputs'!$C$53:$C$54,0),MATCH('3. GRI Pricing'!H315,'2. GRI Pricing Inputs'!$C$53:$AI$53,0)),0)</f>
        <v>0</v>
      </c>
      <c r="Q315" s="273">
        <f>IFERROR(INDEX('2. GRI Pricing Inputs'!$C$60:$AI$61,MATCH('3. GRI Pricing'!$Q$16,'2. GRI Pricing Inputs'!$C$60:$C$61,0),MATCH('1. Accomodation'!T319,'2. GRI Pricing Inputs'!$C$60:$AI$60,0)),0)</f>
        <v>0</v>
      </c>
      <c r="R315" s="273">
        <f>IFERROR(INDEX('2. GRI Pricing Inputs'!$C$67:$AI$68,MATCH('3. GRI Pricing'!$R$16,'2. GRI Pricing Inputs'!$C$67:$C$68,0),MATCH('1. Accomodation'!U319,'2. GRI Pricing Inputs'!$C$67:$AI$67,0)),0)</f>
        <v>0</v>
      </c>
      <c r="S315" s="273">
        <f>IF(D315=0,0,'2. GRI Pricing Inputs'!$AI$75)</f>
        <v>0</v>
      </c>
      <c r="T315" s="273">
        <f>IFERROR(INDEX('2. GRI Pricing Inputs'!$C$82:$AI$83,MATCH('3. GRI Pricing'!$T$16,'2. GRI Pricing Inputs'!$C$82:$C$83,0),MATCH('1. Accomodation'!V319,'2. GRI Pricing Inputs'!$C$82:$AI$82,0)),0)</f>
        <v>0</v>
      </c>
      <c r="U315" s="273">
        <f>IFERROR(INDEX('2. GRI Pricing Inputs'!$C$89:$AI$90,MATCH('3. GRI Pricing'!$U$16,'2. GRI Pricing Inputs'!$C$89:$C$90,0),MATCH('1. Accomodation'!W319,'2. GRI Pricing Inputs'!$C$89:$AI$89,0)),0)</f>
        <v>0</v>
      </c>
      <c r="V315" s="273">
        <f>IFERROR(INDEX('2. GRI Pricing Inputs'!$C$97:$AI$98,MATCH('3. GRI Pricing'!$V$16,'2. GRI Pricing Inputs'!$C$97:$C$98,0),MATCH('1. Accomodation'!X319,'2. GRI Pricing Inputs'!$C$97:$AI$97,0)),0)</f>
        <v>0</v>
      </c>
      <c r="W315" s="273">
        <f>IFERROR(INDEX('2. GRI Pricing Inputs'!$C$104:$AI$105,MATCH('3. GRI Pricing'!$W$16,'2. GRI Pricing Inputs'!$C$104:$C$105,0),MATCH('1. Accomodation'!Y319,'2. GRI Pricing Inputs'!$C$104:$AI$104,0)),0)</f>
        <v>0</v>
      </c>
      <c r="X315" s="274"/>
      <c r="Y315" s="275">
        <f t="shared" si="11"/>
        <v>0</v>
      </c>
      <c r="Z315" s="276"/>
      <c r="AA315" s="276"/>
      <c r="AB315" s="276"/>
      <c r="AC315" s="272">
        <f>Y315*(1+'2. GRI Pricing Inputs'!$D$114)^(($AC$16-$AB$15)/365)</f>
        <v>0</v>
      </c>
      <c r="AD315" s="273">
        <f>AC315*(1+'2. GRI Pricing Inputs'!$D$114)^((AD$16-AC$16)/365)</f>
        <v>0</v>
      </c>
      <c r="AE315" s="273">
        <f>AD315*(1+'2. GRI Pricing Inputs'!$D$114)^((AE$16-AD$16)/365)</f>
        <v>0</v>
      </c>
      <c r="AF315" s="273">
        <f>AE315*(1+'2. GRI Pricing Inputs'!$D$114)^((AF$16-AE$16)/365)</f>
        <v>0</v>
      </c>
      <c r="AG315" s="273">
        <f>AF315*(1+'2. GRI Pricing Inputs'!$D$114)^((AG$16-AF$16)/365)</f>
        <v>0</v>
      </c>
      <c r="AH315" s="273">
        <f>AG315*(1+'2. GRI Pricing Inputs'!$D$114)^((AH$16-AG$16)/365)</f>
        <v>0</v>
      </c>
      <c r="AI315" s="273">
        <f>AH315*(1+'2. GRI Pricing Inputs'!$D$114)^((AI$16-AH$16)/365)</f>
        <v>0</v>
      </c>
      <c r="AJ315" s="273">
        <f>AI315*(1+'2. GRI Pricing Inputs'!$D$114)^((AJ$16-AI$16)/365)</f>
        <v>0</v>
      </c>
      <c r="AK315" s="273">
        <f>AJ315*(1+'2. GRI Pricing Inputs'!$D$114)^((AK$16-AJ$16)/365)</f>
        <v>0</v>
      </c>
      <c r="AL315" s="273">
        <f>AK315*(1+'2. GRI Pricing Inputs'!$D$114)^((AL$16-AK$16)/365)</f>
        <v>0</v>
      </c>
      <c r="AM315" s="273">
        <f>AL315*(1+'2. GRI Pricing Inputs'!$D$114)^((AM$16-AL$16)/365)</f>
        <v>0</v>
      </c>
      <c r="AN315" s="273">
        <f>AM315*(1+'2. GRI Pricing Inputs'!$D$114)^((AN$16-AM$16)/365)</f>
        <v>0</v>
      </c>
      <c r="AO315" s="273">
        <f>AN315*(1+'2. GRI Pricing Inputs'!$D$114)^((AO$16-AN$16)/365)</f>
        <v>0</v>
      </c>
    </row>
    <row r="316" spans="3:41" ht="12" x14ac:dyDescent="0.2">
      <c r="C316" s="76">
        <f>'1. Accomodation'!N320</f>
        <v>0</v>
      </c>
      <c r="D316" s="69">
        <f>'1. Accomodation'!P320</f>
        <v>0</v>
      </c>
      <c r="E316" s="69">
        <f>'1. Accomodation'!Q320</f>
        <v>0</v>
      </c>
      <c r="F316" s="77">
        <f>'1. Accomodation'!O320</f>
        <v>0</v>
      </c>
      <c r="G316" s="69">
        <f>'1. Accomodation'!R320</f>
        <v>0</v>
      </c>
      <c r="H316" s="69">
        <f>'1. Accomodation'!S320</f>
        <v>0</v>
      </c>
      <c r="I316" s="62"/>
      <c r="K316" s="272">
        <f>IFERROR(INDEX('2. GRI Pricing Inputs'!$C$15:$AI$16,MATCH($K$16,'2. GRI Pricing Inputs'!$C$15:$C$16,0),MATCH(D316,'2. GRI Pricing Inputs'!$C$15:$AI$15,0)),0)</f>
        <v>0</v>
      </c>
      <c r="L316" s="273">
        <f>IFERROR(INDEX('2. GRI Pricing Inputs'!$C$22:$AI$23,MATCH($L$16,'2. GRI Pricing Inputs'!$C$22:$C$23,0),MATCH(E316,'2. GRI Pricing Inputs'!$C$22:$AI$22,0)),0)</f>
        <v>0</v>
      </c>
      <c r="M316" s="328">
        <f>IF(AND('3. GRI Pricing'!$F316&gt;='2. GRI Pricing Inputs'!$D$33,'3. GRI Pricing'!$F316&lt;='2. GRI Pricing Inputs'!$E$33),'2. GRI Pricing Inputs'!$D$32,IF(AND('3. GRI Pricing'!$F316&gt;='2. GRI Pricing Inputs'!$F$33,'3. GRI Pricing'!$F316&lt;='2. GRI Pricing Inputs'!$G$33),'2. GRI Pricing Inputs'!$F$32,IF(AND('3. GRI Pricing'!$F316&gt;='2. GRI Pricing Inputs'!$H$33,'3. GRI Pricing'!$F316&lt;='2. GRI Pricing Inputs'!$I$33),'2. GRI Pricing Inputs'!$H$32,IF(AND('3. GRI Pricing'!$F316&gt;='2. GRI Pricing Inputs'!$J$33,'3. GRI Pricing'!$F316&lt;='2. GRI Pricing Inputs'!$K$33),'2. GRI Pricing Inputs'!$J$32,IF(AND('3. GRI Pricing'!$F316&gt;='2. GRI Pricing Inputs'!$L$33,'3. GRI Pricing'!$F316&lt;='2. GRI Pricing Inputs'!$M$33),'2. GRI Pricing Inputs'!$L$32,IF(AND('3. GRI Pricing'!$F316&gt;='2. GRI Pricing Inputs'!$N$33,'3. GRI Pricing'!$F316&lt;='2. GRI Pricing Inputs'!$O$33),'2. GRI Pricing Inputs'!$N$32,IF(AND('3. GRI Pricing'!$F316&gt;='2. GRI Pricing Inputs'!$P$33,'3. GRI Pricing'!$F316&lt;='2. GRI Pricing Inputs'!$Q$33),'2. GRI Pricing Inputs'!$P$32,IF(AND('3. GRI Pricing'!$F316&gt;='2. GRI Pricing Inputs'!$R$33,'3. GRI Pricing'!$F316&lt;='2. GRI Pricing Inputs'!$S$33),'2. GRI Pricing Inputs'!$R$32,IF(AND('3. GRI Pricing'!$F316&gt;='2. GRI Pricing Inputs'!$T$33,'3. GRI Pricing'!$F316&lt;='2. GRI Pricing Inputs'!$U$33),'2. GRI Pricing Inputs'!$T$32,IF(AND('3. GRI Pricing'!$F316&gt;='2. GRI Pricing Inputs'!$V$33,'3. GRI Pricing'!$F316&lt;='2. GRI Pricing Inputs'!$W$33),'2. GRI Pricing Inputs'!$V$32,IF(AND('3. GRI Pricing'!$F316&gt;='2. GRI Pricing Inputs'!$X$33,'3. GRI Pricing'!$F316&lt;='2. GRI Pricing Inputs'!$Y$33),'2. GRI Pricing Inputs'!$X$32,IF(AND('3. GRI Pricing'!$F316&gt;='2. GRI Pricing Inputs'!$Z$33,'3. GRI Pricing'!$F316&lt;='2. GRI Pricing Inputs'!$AA$33),'2. GRI Pricing Inputs'!$Z$32,IF(AND('3. GRI Pricing'!$F316&gt;='2. GRI Pricing Inputs'!$AB$33,'3. GRI Pricing'!$F316&lt;='2. GRI Pricing Inputs'!$AC$33),'2. GRI Pricing Inputs'!$AB$32,IF(AND('3. GRI Pricing'!$F316&gt;='2. GRI Pricing Inputs'!$AD$33,'3. GRI Pricing'!$F316&lt;='2. GRI Pricing Inputs'!$AE$33),'2. GRI Pricing Inputs'!$AD$32,IF(AND('3. GRI Pricing'!$F316&gt;='2. GRI Pricing Inputs'!$AF$33,'3. GRI Pricing'!$F316&lt;='2. GRI Pricing Inputs'!$AG$33),'2. GRI Pricing Inputs'!$AF$32,IF(AND('3. GRI Pricing'!$F316&gt;='2. GRI Pricing Inputs'!$AH$33,'3. GRI Pricing'!$F316&lt;='2. GRI Pricing Inputs'!$AI$33),'2. GRI Pricing Inputs'!$AH$32,0))))))))))))))))</f>
        <v>0</v>
      </c>
      <c r="N316" s="273" cm="1">
        <f t="array" ref="N316">IFERROR(INDEX('2. GRI Pricing Inputs'!$C$32:$AI$39,MATCH('3. GRI Pricing'!D316,'2. GRI Pricing Inputs'!$C$32:$C$39,0),(MATCH('3. GRI Pricing'!M316,'2. GRI Pricing Inputs'!$D$32:$AI$32,0)+1)),0)</f>
        <v>0</v>
      </c>
      <c r="O316" s="273">
        <f>IFERROR(INDEX('2. GRI Pricing Inputs'!$C$45:$AI$46,MATCH($O$16,'2. GRI Pricing Inputs'!$C$45:$C$46,0),MATCH(G316,'2. GRI Pricing Inputs'!$C$45:$AI$45,0)),0)</f>
        <v>0</v>
      </c>
      <c r="P316" s="273">
        <f>IFERROR(INDEX('2. GRI Pricing Inputs'!$C$53:$AI$54,MATCH('3. GRI Pricing'!$P$16,'2. GRI Pricing Inputs'!$C$53:$C$54,0),MATCH('3. GRI Pricing'!H316,'2. GRI Pricing Inputs'!$C$53:$AI$53,0)),0)</f>
        <v>0</v>
      </c>
      <c r="Q316" s="273">
        <f>IFERROR(INDEX('2. GRI Pricing Inputs'!$C$60:$AI$61,MATCH('3. GRI Pricing'!$Q$16,'2. GRI Pricing Inputs'!$C$60:$C$61,0),MATCH('1. Accomodation'!T320,'2. GRI Pricing Inputs'!$C$60:$AI$60,0)),0)</f>
        <v>0</v>
      </c>
      <c r="R316" s="273">
        <f>IFERROR(INDEX('2. GRI Pricing Inputs'!$C$67:$AI$68,MATCH('3. GRI Pricing'!$R$16,'2. GRI Pricing Inputs'!$C$67:$C$68,0),MATCH('1. Accomodation'!U320,'2. GRI Pricing Inputs'!$C$67:$AI$67,0)),0)</f>
        <v>0</v>
      </c>
      <c r="S316" s="273">
        <f>IF(D316=0,0,'2. GRI Pricing Inputs'!$AI$75)</f>
        <v>0</v>
      </c>
      <c r="T316" s="273">
        <f>IFERROR(INDEX('2. GRI Pricing Inputs'!$C$82:$AI$83,MATCH('3. GRI Pricing'!$T$16,'2. GRI Pricing Inputs'!$C$82:$C$83,0),MATCH('1. Accomodation'!V320,'2. GRI Pricing Inputs'!$C$82:$AI$82,0)),0)</f>
        <v>0</v>
      </c>
      <c r="U316" s="273">
        <f>IFERROR(INDEX('2. GRI Pricing Inputs'!$C$89:$AI$90,MATCH('3. GRI Pricing'!$U$16,'2. GRI Pricing Inputs'!$C$89:$C$90,0),MATCH('1. Accomodation'!W320,'2. GRI Pricing Inputs'!$C$89:$AI$89,0)),0)</f>
        <v>0</v>
      </c>
      <c r="V316" s="273">
        <f>IFERROR(INDEX('2. GRI Pricing Inputs'!$C$97:$AI$98,MATCH('3. GRI Pricing'!$V$16,'2. GRI Pricing Inputs'!$C$97:$C$98,0),MATCH('1. Accomodation'!X320,'2. GRI Pricing Inputs'!$C$97:$AI$97,0)),0)</f>
        <v>0</v>
      </c>
      <c r="W316" s="273">
        <f>IFERROR(INDEX('2. GRI Pricing Inputs'!$C$104:$AI$105,MATCH('3. GRI Pricing'!$W$16,'2. GRI Pricing Inputs'!$C$104:$C$105,0),MATCH('1. Accomodation'!Y320,'2. GRI Pricing Inputs'!$C$104:$AI$104,0)),0)</f>
        <v>0</v>
      </c>
      <c r="X316" s="274"/>
      <c r="Y316" s="275">
        <f t="shared" si="11"/>
        <v>0</v>
      </c>
      <c r="Z316" s="276"/>
      <c r="AA316" s="276"/>
      <c r="AB316" s="276"/>
      <c r="AC316" s="272">
        <f>Y316*(1+'2. GRI Pricing Inputs'!$D$114)^(($AC$16-$AB$15)/365)</f>
        <v>0</v>
      </c>
      <c r="AD316" s="273">
        <f>AC316*(1+'2. GRI Pricing Inputs'!$D$114)^((AD$16-AC$16)/365)</f>
        <v>0</v>
      </c>
      <c r="AE316" s="273">
        <f>AD316*(1+'2. GRI Pricing Inputs'!$D$114)^((AE$16-AD$16)/365)</f>
        <v>0</v>
      </c>
      <c r="AF316" s="273">
        <f>AE316*(1+'2. GRI Pricing Inputs'!$D$114)^((AF$16-AE$16)/365)</f>
        <v>0</v>
      </c>
      <c r="AG316" s="273">
        <f>AF316*(1+'2. GRI Pricing Inputs'!$D$114)^((AG$16-AF$16)/365)</f>
        <v>0</v>
      </c>
      <c r="AH316" s="273">
        <f>AG316*(1+'2. GRI Pricing Inputs'!$D$114)^((AH$16-AG$16)/365)</f>
        <v>0</v>
      </c>
      <c r="AI316" s="273">
        <f>AH316*(1+'2. GRI Pricing Inputs'!$D$114)^((AI$16-AH$16)/365)</f>
        <v>0</v>
      </c>
      <c r="AJ316" s="273">
        <f>AI316*(1+'2. GRI Pricing Inputs'!$D$114)^((AJ$16-AI$16)/365)</f>
        <v>0</v>
      </c>
      <c r="AK316" s="273">
        <f>AJ316*(1+'2. GRI Pricing Inputs'!$D$114)^((AK$16-AJ$16)/365)</f>
        <v>0</v>
      </c>
      <c r="AL316" s="273">
        <f>AK316*(1+'2. GRI Pricing Inputs'!$D$114)^((AL$16-AK$16)/365)</f>
        <v>0</v>
      </c>
      <c r="AM316" s="273">
        <f>AL316*(1+'2. GRI Pricing Inputs'!$D$114)^((AM$16-AL$16)/365)</f>
        <v>0</v>
      </c>
      <c r="AN316" s="273">
        <f>AM316*(1+'2. GRI Pricing Inputs'!$D$114)^((AN$16-AM$16)/365)</f>
        <v>0</v>
      </c>
      <c r="AO316" s="273">
        <f>AN316*(1+'2. GRI Pricing Inputs'!$D$114)^((AO$16-AN$16)/365)</f>
        <v>0</v>
      </c>
    </row>
    <row r="317" spans="3:41" ht="12" x14ac:dyDescent="0.2">
      <c r="C317" s="76">
        <f>'1. Accomodation'!N321</f>
        <v>0</v>
      </c>
      <c r="D317" s="69">
        <f>'1. Accomodation'!P321</f>
        <v>0</v>
      </c>
      <c r="E317" s="69">
        <f>'1. Accomodation'!Q321</f>
        <v>0</v>
      </c>
      <c r="F317" s="77">
        <f>'1. Accomodation'!O321</f>
        <v>0</v>
      </c>
      <c r="G317" s="69">
        <f>'1. Accomodation'!R321</f>
        <v>0</v>
      </c>
      <c r="H317" s="69">
        <f>'1. Accomodation'!S321</f>
        <v>0</v>
      </c>
      <c r="I317" s="62"/>
      <c r="K317" s="272">
        <f>IFERROR(INDEX('2. GRI Pricing Inputs'!$C$15:$AI$16,MATCH($K$16,'2. GRI Pricing Inputs'!$C$15:$C$16,0),MATCH(D317,'2. GRI Pricing Inputs'!$C$15:$AI$15,0)),0)</f>
        <v>0</v>
      </c>
      <c r="L317" s="273">
        <f>IFERROR(INDEX('2. GRI Pricing Inputs'!$C$22:$AI$23,MATCH($L$16,'2. GRI Pricing Inputs'!$C$22:$C$23,0),MATCH(E317,'2. GRI Pricing Inputs'!$C$22:$AI$22,0)),0)</f>
        <v>0</v>
      </c>
      <c r="M317" s="328">
        <f>IF(AND('3. GRI Pricing'!$F317&gt;='2. GRI Pricing Inputs'!$D$33,'3. GRI Pricing'!$F317&lt;='2. GRI Pricing Inputs'!$E$33),'2. GRI Pricing Inputs'!$D$32,IF(AND('3. GRI Pricing'!$F317&gt;='2. GRI Pricing Inputs'!$F$33,'3. GRI Pricing'!$F317&lt;='2. GRI Pricing Inputs'!$G$33),'2. GRI Pricing Inputs'!$F$32,IF(AND('3. GRI Pricing'!$F317&gt;='2. GRI Pricing Inputs'!$H$33,'3. GRI Pricing'!$F317&lt;='2. GRI Pricing Inputs'!$I$33),'2. GRI Pricing Inputs'!$H$32,IF(AND('3. GRI Pricing'!$F317&gt;='2. GRI Pricing Inputs'!$J$33,'3. GRI Pricing'!$F317&lt;='2. GRI Pricing Inputs'!$K$33),'2. GRI Pricing Inputs'!$J$32,IF(AND('3. GRI Pricing'!$F317&gt;='2. GRI Pricing Inputs'!$L$33,'3. GRI Pricing'!$F317&lt;='2. GRI Pricing Inputs'!$M$33),'2. GRI Pricing Inputs'!$L$32,IF(AND('3. GRI Pricing'!$F317&gt;='2. GRI Pricing Inputs'!$N$33,'3. GRI Pricing'!$F317&lt;='2. GRI Pricing Inputs'!$O$33),'2. GRI Pricing Inputs'!$N$32,IF(AND('3. GRI Pricing'!$F317&gt;='2. GRI Pricing Inputs'!$P$33,'3. GRI Pricing'!$F317&lt;='2. GRI Pricing Inputs'!$Q$33),'2. GRI Pricing Inputs'!$P$32,IF(AND('3. GRI Pricing'!$F317&gt;='2. GRI Pricing Inputs'!$R$33,'3. GRI Pricing'!$F317&lt;='2. GRI Pricing Inputs'!$S$33),'2. GRI Pricing Inputs'!$R$32,IF(AND('3. GRI Pricing'!$F317&gt;='2. GRI Pricing Inputs'!$T$33,'3. GRI Pricing'!$F317&lt;='2. GRI Pricing Inputs'!$U$33),'2. GRI Pricing Inputs'!$T$32,IF(AND('3. GRI Pricing'!$F317&gt;='2. GRI Pricing Inputs'!$V$33,'3. GRI Pricing'!$F317&lt;='2. GRI Pricing Inputs'!$W$33),'2. GRI Pricing Inputs'!$V$32,IF(AND('3. GRI Pricing'!$F317&gt;='2. GRI Pricing Inputs'!$X$33,'3. GRI Pricing'!$F317&lt;='2. GRI Pricing Inputs'!$Y$33),'2. GRI Pricing Inputs'!$X$32,IF(AND('3. GRI Pricing'!$F317&gt;='2. GRI Pricing Inputs'!$Z$33,'3. GRI Pricing'!$F317&lt;='2. GRI Pricing Inputs'!$AA$33),'2. GRI Pricing Inputs'!$Z$32,IF(AND('3. GRI Pricing'!$F317&gt;='2. GRI Pricing Inputs'!$AB$33,'3. GRI Pricing'!$F317&lt;='2. GRI Pricing Inputs'!$AC$33),'2. GRI Pricing Inputs'!$AB$32,IF(AND('3. GRI Pricing'!$F317&gt;='2. GRI Pricing Inputs'!$AD$33,'3. GRI Pricing'!$F317&lt;='2. GRI Pricing Inputs'!$AE$33),'2. GRI Pricing Inputs'!$AD$32,IF(AND('3. GRI Pricing'!$F317&gt;='2. GRI Pricing Inputs'!$AF$33,'3. GRI Pricing'!$F317&lt;='2. GRI Pricing Inputs'!$AG$33),'2. GRI Pricing Inputs'!$AF$32,IF(AND('3. GRI Pricing'!$F317&gt;='2. GRI Pricing Inputs'!$AH$33,'3. GRI Pricing'!$F317&lt;='2. GRI Pricing Inputs'!$AI$33),'2. GRI Pricing Inputs'!$AH$32,0))))))))))))))))</f>
        <v>0</v>
      </c>
      <c r="N317" s="273" cm="1">
        <f t="array" ref="N317">IFERROR(INDEX('2. GRI Pricing Inputs'!$C$32:$AI$39,MATCH('3. GRI Pricing'!D317,'2. GRI Pricing Inputs'!$C$32:$C$39,0),(MATCH('3. GRI Pricing'!M317,'2. GRI Pricing Inputs'!$D$32:$AI$32,0)+1)),0)</f>
        <v>0</v>
      </c>
      <c r="O317" s="273">
        <f>IFERROR(INDEX('2. GRI Pricing Inputs'!$C$45:$AI$46,MATCH($O$16,'2. GRI Pricing Inputs'!$C$45:$C$46,0),MATCH(G317,'2. GRI Pricing Inputs'!$C$45:$AI$45,0)),0)</f>
        <v>0</v>
      </c>
      <c r="P317" s="273">
        <f>IFERROR(INDEX('2. GRI Pricing Inputs'!$C$53:$AI$54,MATCH('3. GRI Pricing'!$P$16,'2. GRI Pricing Inputs'!$C$53:$C$54,0),MATCH('3. GRI Pricing'!H317,'2. GRI Pricing Inputs'!$C$53:$AI$53,0)),0)</f>
        <v>0</v>
      </c>
      <c r="Q317" s="273">
        <f>IFERROR(INDEX('2. GRI Pricing Inputs'!$C$60:$AI$61,MATCH('3. GRI Pricing'!$Q$16,'2. GRI Pricing Inputs'!$C$60:$C$61,0),MATCH('1. Accomodation'!T321,'2. GRI Pricing Inputs'!$C$60:$AI$60,0)),0)</f>
        <v>0</v>
      </c>
      <c r="R317" s="273">
        <f>IFERROR(INDEX('2. GRI Pricing Inputs'!$C$67:$AI$68,MATCH('3. GRI Pricing'!$R$16,'2. GRI Pricing Inputs'!$C$67:$C$68,0),MATCH('1. Accomodation'!U321,'2. GRI Pricing Inputs'!$C$67:$AI$67,0)),0)</f>
        <v>0</v>
      </c>
      <c r="S317" s="273">
        <f>IF(D317=0,0,'2. GRI Pricing Inputs'!$AI$75)</f>
        <v>0</v>
      </c>
      <c r="T317" s="273">
        <f>IFERROR(INDEX('2. GRI Pricing Inputs'!$C$82:$AI$83,MATCH('3. GRI Pricing'!$T$16,'2. GRI Pricing Inputs'!$C$82:$C$83,0),MATCH('1. Accomodation'!V321,'2. GRI Pricing Inputs'!$C$82:$AI$82,0)),0)</f>
        <v>0</v>
      </c>
      <c r="U317" s="273">
        <f>IFERROR(INDEX('2. GRI Pricing Inputs'!$C$89:$AI$90,MATCH('3. GRI Pricing'!$U$16,'2. GRI Pricing Inputs'!$C$89:$C$90,0),MATCH('1. Accomodation'!W321,'2. GRI Pricing Inputs'!$C$89:$AI$89,0)),0)</f>
        <v>0</v>
      </c>
      <c r="V317" s="273">
        <f>IFERROR(INDEX('2. GRI Pricing Inputs'!$C$97:$AI$98,MATCH('3. GRI Pricing'!$V$16,'2. GRI Pricing Inputs'!$C$97:$C$98,0),MATCH('1. Accomodation'!X321,'2. GRI Pricing Inputs'!$C$97:$AI$97,0)),0)</f>
        <v>0</v>
      </c>
      <c r="W317" s="273">
        <f>IFERROR(INDEX('2. GRI Pricing Inputs'!$C$104:$AI$105,MATCH('3. GRI Pricing'!$W$16,'2. GRI Pricing Inputs'!$C$104:$C$105,0),MATCH('1. Accomodation'!Y321,'2. GRI Pricing Inputs'!$C$104:$AI$104,0)),0)</f>
        <v>0</v>
      </c>
      <c r="X317" s="274"/>
      <c r="Y317" s="275">
        <f t="shared" si="11"/>
        <v>0</v>
      </c>
      <c r="Z317" s="276"/>
      <c r="AA317" s="276"/>
      <c r="AB317" s="276"/>
      <c r="AC317" s="272">
        <f>Y317*(1+'2. GRI Pricing Inputs'!$D$114)^(($AC$16-$AB$15)/365)</f>
        <v>0</v>
      </c>
      <c r="AD317" s="273">
        <f>AC317*(1+'2. GRI Pricing Inputs'!$D$114)^((AD$16-AC$16)/365)</f>
        <v>0</v>
      </c>
      <c r="AE317" s="273">
        <f>AD317*(1+'2. GRI Pricing Inputs'!$D$114)^((AE$16-AD$16)/365)</f>
        <v>0</v>
      </c>
      <c r="AF317" s="273">
        <f>AE317*(1+'2. GRI Pricing Inputs'!$D$114)^((AF$16-AE$16)/365)</f>
        <v>0</v>
      </c>
      <c r="AG317" s="273">
        <f>AF317*(1+'2. GRI Pricing Inputs'!$D$114)^((AG$16-AF$16)/365)</f>
        <v>0</v>
      </c>
      <c r="AH317" s="273">
        <f>AG317*(1+'2. GRI Pricing Inputs'!$D$114)^((AH$16-AG$16)/365)</f>
        <v>0</v>
      </c>
      <c r="AI317" s="273">
        <f>AH317*(1+'2. GRI Pricing Inputs'!$D$114)^((AI$16-AH$16)/365)</f>
        <v>0</v>
      </c>
      <c r="AJ317" s="273">
        <f>AI317*(1+'2. GRI Pricing Inputs'!$D$114)^((AJ$16-AI$16)/365)</f>
        <v>0</v>
      </c>
      <c r="AK317" s="273">
        <f>AJ317*(1+'2. GRI Pricing Inputs'!$D$114)^((AK$16-AJ$16)/365)</f>
        <v>0</v>
      </c>
      <c r="AL317" s="273">
        <f>AK317*(1+'2. GRI Pricing Inputs'!$D$114)^((AL$16-AK$16)/365)</f>
        <v>0</v>
      </c>
      <c r="AM317" s="273">
        <f>AL317*(1+'2. GRI Pricing Inputs'!$D$114)^((AM$16-AL$16)/365)</f>
        <v>0</v>
      </c>
      <c r="AN317" s="273">
        <f>AM317*(1+'2. GRI Pricing Inputs'!$D$114)^((AN$16-AM$16)/365)</f>
        <v>0</v>
      </c>
      <c r="AO317" s="273">
        <f>AN317*(1+'2. GRI Pricing Inputs'!$D$114)^((AO$16-AN$16)/365)</f>
        <v>0</v>
      </c>
    </row>
    <row r="318" spans="3:41" ht="12" x14ac:dyDescent="0.2">
      <c r="C318" s="76">
        <f>'1. Accomodation'!N322</f>
        <v>0</v>
      </c>
      <c r="D318" s="69">
        <f>'1. Accomodation'!P322</f>
        <v>0</v>
      </c>
      <c r="E318" s="69">
        <f>'1. Accomodation'!Q322</f>
        <v>0</v>
      </c>
      <c r="F318" s="77">
        <f>'1. Accomodation'!O322</f>
        <v>0</v>
      </c>
      <c r="G318" s="69">
        <f>'1. Accomodation'!R322</f>
        <v>0</v>
      </c>
      <c r="H318" s="69">
        <f>'1. Accomodation'!S322</f>
        <v>0</v>
      </c>
      <c r="I318" s="62"/>
      <c r="K318" s="272">
        <f>IFERROR(INDEX('2. GRI Pricing Inputs'!$C$15:$AI$16,MATCH($K$16,'2. GRI Pricing Inputs'!$C$15:$C$16,0),MATCH(D318,'2. GRI Pricing Inputs'!$C$15:$AI$15,0)),0)</f>
        <v>0</v>
      </c>
      <c r="L318" s="273">
        <f>IFERROR(INDEX('2. GRI Pricing Inputs'!$C$22:$AI$23,MATCH($L$16,'2. GRI Pricing Inputs'!$C$22:$C$23,0),MATCH(E318,'2. GRI Pricing Inputs'!$C$22:$AI$22,0)),0)</f>
        <v>0</v>
      </c>
      <c r="M318" s="328">
        <f>IF(AND('3. GRI Pricing'!$F318&gt;='2. GRI Pricing Inputs'!$D$33,'3. GRI Pricing'!$F318&lt;='2. GRI Pricing Inputs'!$E$33),'2. GRI Pricing Inputs'!$D$32,IF(AND('3. GRI Pricing'!$F318&gt;='2. GRI Pricing Inputs'!$F$33,'3. GRI Pricing'!$F318&lt;='2. GRI Pricing Inputs'!$G$33),'2. GRI Pricing Inputs'!$F$32,IF(AND('3. GRI Pricing'!$F318&gt;='2. GRI Pricing Inputs'!$H$33,'3. GRI Pricing'!$F318&lt;='2. GRI Pricing Inputs'!$I$33),'2. GRI Pricing Inputs'!$H$32,IF(AND('3. GRI Pricing'!$F318&gt;='2. GRI Pricing Inputs'!$J$33,'3. GRI Pricing'!$F318&lt;='2. GRI Pricing Inputs'!$K$33),'2. GRI Pricing Inputs'!$J$32,IF(AND('3. GRI Pricing'!$F318&gt;='2. GRI Pricing Inputs'!$L$33,'3. GRI Pricing'!$F318&lt;='2. GRI Pricing Inputs'!$M$33),'2. GRI Pricing Inputs'!$L$32,IF(AND('3. GRI Pricing'!$F318&gt;='2. GRI Pricing Inputs'!$N$33,'3. GRI Pricing'!$F318&lt;='2. GRI Pricing Inputs'!$O$33),'2. GRI Pricing Inputs'!$N$32,IF(AND('3. GRI Pricing'!$F318&gt;='2. GRI Pricing Inputs'!$P$33,'3. GRI Pricing'!$F318&lt;='2. GRI Pricing Inputs'!$Q$33),'2. GRI Pricing Inputs'!$P$32,IF(AND('3. GRI Pricing'!$F318&gt;='2. GRI Pricing Inputs'!$R$33,'3. GRI Pricing'!$F318&lt;='2. GRI Pricing Inputs'!$S$33),'2. GRI Pricing Inputs'!$R$32,IF(AND('3. GRI Pricing'!$F318&gt;='2. GRI Pricing Inputs'!$T$33,'3. GRI Pricing'!$F318&lt;='2. GRI Pricing Inputs'!$U$33),'2. GRI Pricing Inputs'!$T$32,IF(AND('3. GRI Pricing'!$F318&gt;='2. GRI Pricing Inputs'!$V$33,'3. GRI Pricing'!$F318&lt;='2. GRI Pricing Inputs'!$W$33),'2. GRI Pricing Inputs'!$V$32,IF(AND('3. GRI Pricing'!$F318&gt;='2. GRI Pricing Inputs'!$X$33,'3. GRI Pricing'!$F318&lt;='2. GRI Pricing Inputs'!$Y$33),'2. GRI Pricing Inputs'!$X$32,IF(AND('3. GRI Pricing'!$F318&gt;='2. GRI Pricing Inputs'!$Z$33,'3. GRI Pricing'!$F318&lt;='2. GRI Pricing Inputs'!$AA$33),'2. GRI Pricing Inputs'!$Z$32,IF(AND('3. GRI Pricing'!$F318&gt;='2. GRI Pricing Inputs'!$AB$33,'3. GRI Pricing'!$F318&lt;='2. GRI Pricing Inputs'!$AC$33),'2. GRI Pricing Inputs'!$AB$32,IF(AND('3. GRI Pricing'!$F318&gt;='2. GRI Pricing Inputs'!$AD$33,'3. GRI Pricing'!$F318&lt;='2. GRI Pricing Inputs'!$AE$33),'2. GRI Pricing Inputs'!$AD$32,IF(AND('3. GRI Pricing'!$F318&gt;='2. GRI Pricing Inputs'!$AF$33,'3. GRI Pricing'!$F318&lt;='2. GRI Pricing Inputs'!$AG$33),'2. GRI Pricing Inputs'!$AF$32,IF(AND('3. GRI Pricing'!$F318&gt;='2. GRI Pricing Inputs'!$AH$33,'3. GRI Pricing'!$F318&lt;='2. GRI Pricing Inputs'!$AI$33),'2. GRI Pricing Inputs'!$AH$32,0))))))))))))))))</f>
        <v>0</v>
      </c>
      <c r="N318" s="273" cm="1">
        <f t="array" ref="N318">IFERROR(INDEX('2. GRI Pricing Inputs'!$C$32:$AI$39,MATCH('3. GRI Pricing'!D318,'2. GRI Pricing Inputs'!$C$32:$C$39,0),(MATCH('3. GRI Pricing'!M318,'2. GRI Pricing Inputs'!$D$32:$AI$32,0)+1)),0)</f>
        <v>0</v>
      </c>
      <c r="O318" s="273">
        <f>IFERROR(INDEX('2. GRI Pricing Inputs'!$C$45:$AI$46,MATCH($O$16,'2. GRI Pricing Inputs'!$C$45:$C$46,0),MATCH(G318,'2. GRI Pricing Inputs'!$C$45:$AI$45,0)),0)</f>
        <v>0</v>
      </c>
      <c r="P318" s="273">
        <f>IFERROR(INDEX('2. GRI Pricing Inputs'!$C$53:$AI$54,MATCH('3. GRI Pricing'!$P$16,'2. GRI Pricing Inputs'!$C$53:$C$54,0),MATCH('3. GRI Pricing'!H318,'2. GRI Pricing Inputs'!$C$53:$AI$53,0)),0)</f>
        <v>0</v>
      </c>
      <c r="Q318" s="273">
        <f>IFERROR(INDEX('2. GRI Pricing Inputs'!$C$60:$AI$61,MATCH('3. GRI Pricing'!$Q$16,'2. GRI Pricing Inputs'!$C$60:$C$61,0),MATCH('1. Accomodation'!T322,'2. GRI Pricing Inputs'!$C$60:$AI$60,0)),0)</f>
        <v>0</v>
      </c>
      <c r="R318" s="273">
        <f>IFERROR(INDEX('2. GRI Pricing Inputs'!$C$67:$AI$68,MATCH('3. GRI Pricing'!$R$16,'2. GRI Pricing Inputs'!$C$67:$C$68,0),MATCH('1. Accomodation'!U322,'2. GRI Pricing Inputs'!$C$67:$AI$67,0)),0)</f>
        <v>0</v>
      </c>
      <c r="S318" s="273">
        <f>IF(D318=0,0,'2. GRI Pricing Inputs'!$AI$75)</f>
        <v>0</v>
      </c>
      <c r="T318" s="273">
        <f>IFERROR(INDEX('2. GRI Pricing Inputs'!$C$82:$AI$83,MATCH('3. GRI Pricing'!$T$16,'2. GRI Pricing Inputs'!$C$82:$C$83,0),MATCH('1. Accomodation'!V322,'2. GRI Pricing Inputs'!$C$82:$AI$82,0)),0)</f>
        <v>0</v>
      </c>
      <c r="U318" s="273">
        <f>IFERROR(INDEX('2. GRI Pricing Inputs'!$C$89:$AI$90,MATCH('3. GRI Pricing'!$U$16,'2. GRI Pricing Inputs'!$C$89:$C$90,0),MATCH('1. Accomodation'!W322,'2. GRI Pricing Inputs'!$C$89:$AI$89,0)),0)</f>
        <v>0</v>
      </c>
      <c r="V318" s="273">
        <f>IFERROR(INDEX('2. GRI Pricing Inputs'!$C$97:$AI$98,MATCH('3. GRI Pricing'!$V$16,'2. GRI Pricing Inputs'!$C$97:$C$98,0),MATCH('1. Accomodation'!X322,'2. GRI Pricing Inputs'!$C$97:$AI$97,0)),0)</f>
        <v>0</v>
      </c>
      <c r="W318" s="273">
        <f>IFERROR(INDEX('2. GRI Pricing Inputs'!$C$104:$AI$105,MATCH('3. GRI Pricing'!$W$16,'2. GRI Pricing Inputs'!$C$104:$C$105,0),MATCH('1. Accomodation'!Y322,'2. GRI Pricing Inputs'!$C$104:$AI$104,0)),0)</f>
        <v>0</v>
      </c>
      <c r="X318" s="274"/>
      <c r="Y318" s="275">
        <f t="shared" si="11"/>
        <v>0</v>
      </c>
      <c r="Z318" s="276"/>
      <c r="AA318" s="276"/>
      <c r="AB318" s="276"/>
      <c r="AC318" s="272">
        <f>Y318*(1+'2. GRI Pricing Inputs'!$D$114)^(($AC$16-$AB$15)/365)</f>
        <v>0</v>
      </c>
      <c r="AD318" s="273">
        <f>AC318*(1+'2. GRI Pricing Inputs'!$D$114)^((AD$16-AC$16)/365)</f>
        <v>0</v>
      </c>
      <c r="AE318" s="273">
        <f>AD318*(1+'2. GRI Pricing Inputs'!$D$114)^((AE$16-AD$16)/365)</f>
        <v>0</v>
      </c>
      <c r="AF318" s="273">
        <f>AE318*(1+'2. GRI Pricing Inputs'!$D$114)^((AF$16-AE$16)/365)</f>
        <v>0</v>
      </c>
      <c r="AG318" s="273">
        <f>AF318*(1+'2. GRI Pricing Inputs'!$D$114)^((AG$16-AF$16)/365)</f>
        <v>0</v>
      </c>
      <c r="AH318" s="273">
        <f>AG318*(1+'2. GRI Pricing Inputs'!$D$114)^((AH$16-AG$16)/365)</f>
        <v>0</v>
      </c>
      <c r="AI318" s="273">
        <f>AH318*(1+'2. GRI Pricing Inputs'!$D$114)^((AI$16-AH$16)/365)</f>
        <v>0</v>
      </c>
      <c r="AJ318" s="273">
        <f>AI318*(1+'2. GRI Pricing Inputs'!$D$114)^((AJ$16-AI$16)/365)</f>
        <v>0</v>
      </c>
      <c r="AK318" s="273">
        <f>AJ318*(1+'2. GRI Pricing Inputs'!$D$114)^((AK$16-AJ$16)/365)</f>
        <v>0</v>
      </c>
      <c r="AL318" s="273">
        <f>AK318*(1+'2. GRI Pricing Inputs'!$D$114)^((AL$16-AK$16)/365)</f>
        <v>0</v>
      </c>
      <c r="AM318" s="273">
        <f>AL318*(1+'2. GRI Pricing Inputs'!$D$114)^((AM$16-AL$16)/365)</f>
        <v>0</v>
      </c>
      <c r="AN318" s="273">
        <f>AM318*(1+'2. GRI Pricing Inputs'!$D$114)^((AN$16-AM$16)/365)</f>
        <v>0</v>
      </c>
      <c r="AO318" s="273">
        <f>AN318*(1+'2. GRI Pricing Inputs'!$D$114)^((AO$16-AN$16)/365)</f>
        <v>0</v>
      </c>
    </row>
    <row r="319" spans="3:41" ht="12" x14ac:dyDescent="0.2">
      <c r="C319" s="76">
        <f>'1. Accomodation'!N323</f>
        <v>0</v>
      </c>
      <c r="D319" s="69">
        <f>'1. Accomodation'!P323</f>
        <v>0</v>
      </c>
      <c r="E319" s="69">
        <f>'1. Accomodation'!Q323</f>
        <v>0</v>
      </c>
      <c r="F319" s="77">
        <f>'1. Accomodation'!O323</f>
        <v>0</v>
      </c>
      <c r="G319" s="69">
        <f>'1. Accomodation'!R323</f>
        <v>0</v>
      </c>
      <c r="H319" s="69">
        <f>'1. Accomodation'!S323</f>
        <v>0</v>
      </c>
      <c r="I319" s="62"/>
      <c r="K319" s="272">
        <f>IFERROR(INDEX('2. GRI Pricing Inputs'!$C$15:$AI$16,MATCH($K$16,'2. GRI Pricing Inputs'!$C$15:$C$16,0),MATCH(D319,'2. GRI Pricing Inputs'!$C$15:$AI$15,0)),0)</f>
        <v>0</v>
      </c>
      <c r="L319" s="273">
        <f>IFERROR(INDEX('2. GRI Pricing Inputs'!$C$22:$AI$23,MATCH($L$16,'2. GRI Pricing Inputs'!$C$22:$C$23,0),MATCH(E319,'2. GRI Pricing Inputs'!$C$22:$AI$22,0)),0)</f>
        <v>0</v>
      </c>
      <c r="M319" s="328">
        <f>IF(AND('3. GRI Pricing'!$F319&gt;='2. GRI Pricing Inputs'!$D$33,'3. GRI Pricing'!$F319&lt;='2. GRI Pricing Inputs'!$E$33),'2. GRI Pricing Inputs'!$D$32,IF(AND('3. GRI Pricing'!$F319&gt;='2. GRI Pricing Inputs'!$F$33,'3. GRI Pricing'!$F319&lt;='2. GRI Pricing Inputs'!$G$33),'2. GRI Pricing Inputs'!$F$32,IF(AND('3. GRI Pricing'!$F319&gt;='2. GRI Pricing Inputs'!$H$33,'3. GRI Pricing'!$F319&lt;='2. GRI Pricing Inputs'!$I$33),'2. GRI Pricing Inputs'!$H$32,IF(AND('3. GRI Pricing'!$F319&gt;='2. GRI Pricing Inputs'!$J$33,'3. GRI Pricing'!$F319&lt;='2. GRI Pricing Inputs'!$K$33),'2. GRI Pricing Inputs'!$J$32,IF(AND('3. GRI Pricing'!$F319&gt;='2. GRI Pricing Inputs'!$L$33,'3. GRI Pricing'!$F319&lt;='2. GRI Pricing Inputs'!$M$33),'2. GRI Pricing Inputs'!$L$32,IF(AND('3. GRI Pricing'!$F319&gt;='2. GRI Pricing Inputs'!$N$33,'3. GRI Pricing'!$F319&lt;='2. GRI Pricing Inputs'!$O$33),'2. GRI Pricing Inputs'!$N$32,IF(AND('3. GRI Pricing'!$F319&gt;='2. GRI Pricing Inputs'!$P$33,'3. GRI Pricing'!$F319&lt;='2. GRI Pricing Inputs'!$Q$33),'2. GRI Pricing Inputs'!$P$32,IF(AND('3. GRI Pricing'!$F319&gt;='2. GRI Pricing Inputs'!$R$33,'3. GRI Pricing'!$F319&lt;='2. GRI Pricing Inputs'!$S$33),'2. GRI Pricing Inputs'!$R$32,IF(AND('3. GRI Pricing'!$F319&gt;='2. GRI Pricing Inputs'!$T$33,'3. GRI Pricing'!$F319&lt;='2. GRI Pricing Inputs'!$U$33),'2. GRI Pricing Inputs'!$T$32,IF(AND('3. GRI Pricing'!$F319&gt;='2. GRI Pricing Inputs'!$V$33,'3. GRI Pricing'!$F319&lt;='2. GRI Pricing Inputs'!$W$33),'2. GRI Pricing Inputs'!$V$32,IF(AND('3. GRI Pricing'!$F319&gt;='2. GRI Pricing Inputs'!$X$33,'3. GRI Pricing'!$F319&lt;='2. GRI Pricing Inputs'!$Y$33),'2. GRI Pricing Inputs'!$X$32,IF(AND('3. GRI Pricing'!$F319&gt;='2. GRI Pricing Inputs'!$Z$33,'3. GRI Pricing'!$F319&lt;='2. GRI Pricing Inputs'!$AA$33),'2. GRI Pricing Inputs'!$Z$32,IF(AND('3. GRI Pricing'!$F319&gt;='2. GRI Pricing Inputs'!$AB$33,'3. GRI Pricing'!$F319&lt;='2. GRI Pricing Inputs'!$AC$33),'2. GRI Pricing Inputs'!$AB$32,IF(AND('3. GRI Pricing'!$F319&gt;='2. GRI Pricing Inputs'!$AD$33,'3. GRI Pricing'!$F319&lt;='2. GRI Pricing Inputs'!$AE$33),'2. GRI Pricing Inputs'!$AD$32,IF(AND('3. GRI Pricing'!$F319&gt;='2. GRI Pricing Inputs'!$AF$33,'3. GRI Pricing'!$F319&lt;='2. GRI Pricing Inputs'!$AG$33),'2. GRI Pricing Inputs'!$AF$32,IF(AND('3. GRI Pricing'!$F319&gt;='2. GRI Pricing Inputs'!$AH$33,'3. GRI Pricing'!$F319&lt;='2. GRI Pricing Inputs'!$AI$33),'2. GRI Pricing Inputs'!$AH$32,0))))))))))))))))</f>
        <v>0</v>
      </c>
      <c r="N319" s="273" cm="1">
        <f t="array" ref="N319">IFERROR(INDEX('2. GRI Pricing Inputs'!$C$32:$AI$39,MATCH('3. GRI Pricing'!D319,'2. GRI Pricing Inputs'!$C$32:$C$39,0),(MATCH('3. GRI Pricing'!M319,'2. GRI Pricing Inputs'!$D$32:$AI$32,0)+1)),0)</f>
        <v>0</v>
      </c>
      <c r="O319" s="273">
        <f>IFERROR(INDEX('2. GRI Pricing Inputs'!$C$45:$AI$46,MATCH($O$16,'2. GRI Pricing Inputs'!$C$45:$C$46,0),MATCH(G319,'2. GRI Pricing Inputs'!$C$45:$AI$45,0)),0)</f>
        <v>0</v>
      </c>
      <c r="P319" s="273">
        <f>IFERROR(INDEX('2. GRI Pricing Inputs'!$C$53:$AI$54,MATCH('3. GRI Pricing'!$P$16,'2. GRI Pricing Inputs'!$C$53:$C$54,0),MATCH('3. GRI Pricing'!H319,'2. GRI Pricing Inputs'!$C$53:$AI$53,0)),0)</f>
        <v>0</v>
      </c>
      <c r="Q319" s="273">
        <f>IFERROR(INDEX('2. GRI Pricing Inputs'!$C$60:$AI$61,MATCH('3. GRI Pricing'!$Q$16,'2. GRI Pricing Inputs'!$C$60:$C$61,0),MATCH('1. Accomodation'!T323,'2. GRI Pricing Inputs'!$C$60:$AI$60,0)),0)</f>
        <v>0</v>
      </c>
      <c r="R319" s="273">
        <f>IFERROR(INDEX('2. GRI Pricing Inputs'!$C$67:$AI$68,MATCH('3. GRI Pricing'!$R$16,'2. GRI Pricing Inputs'!$C$67:$C$68,0),MATCH('1. Accomodation'!U323,'2. GRI Pricing Inputs'!$C$67:$AI$67,0)),0)</f>
        <v>0</v>
      </c>
      <c r="S319" s="273">
        <f>IF(D319=0,0,'2. GRI Pricing Inputs'!$AI$75)</f>
        <v>0</v>
      </c>
      <c r="T319" s="273">
        <f>IFERROR(INDEX('2. GRI Pricing Inputs'!$C$82:$AI$83,MATCH('3. GRI Pricing'!$T$16,'2. GRI Pricing Inputs'!$C$82:$C$83,0),MATCH('1. Accomodation'!V323,'2. GRI Pricing Inputs'!$C$82:$AI$82,0)),0)</f>
        <v>0</v>
      </c>
      <c r="U319" s="273">
        <f>IFERROR(INDEX('2. GRI Pricing Inputs'!$C$89:$AI$90,MATCH('3. GRI Pricing'!$U$16,'2. GRI Pricing Inputs'!$C$89:$C$90,0),MATCH('1. Accomodation'!W323,'2. GRI Pricing Inputs'!$C$89:$AI$89,0)),0)</f>
        <v>0</v>
      </c>
      <c r="V319" s="273">
        <f>IFERROR(INDEX('2. GRI Pricing Inputs'!$C$97:$AI$98,MATCH('3. GRI Pricing'!$V$16,'2. GRI Pricing Inputs'!$C$97:$C$98,0),MATCH('1. Accomodation'!X323,'2. GRI Pricing Inputs'!$C$97:$AI$97,0)),0)</f>
        <v>0</v>
      </c>
      <c r="W319" s="273">
        <f>IFERROR(INDEX('2. GRI Pricing Inputs'!$C$104:$AI$105,MATCH('3. GRI Pricing'!$W$16,'2. GRI Pricing Inputs'!$C$104:$C$105,0),MATCH('1. Accomodation'!Y323,'2. GRI Pricing Inputs'!$C$104:$AI$104,0)),0)</f>
        <v>0</v>
      </c>
      <c r="X319" s="274"/>
      <c r="Y319" s="275">
        <f t="shared" si="11"/>
        <v>0</v>
      </c>
      <c r="Z319" s="276"/>
      <c r="AA319" s="276"/>
      <c r="AB319" s="276"/>
      <c r="AC319" s="272">
        <f>Y319*(1+'2. GRI Pricing Inputs'!$D$114)^(($AC$16-$AB$15)/365)</f>
        <v>0</v>
      </c>
      <c r="AD319" s="273">
        <f>AC319*(1+'2. GRI Pricing Inputs'!$D$114)^((AD$16-AC$16)/365)</f>
        <v>0</v>
      </c>
      <c r="AE319" s="273">
        <f>AD319*(1+'2. GRI Pricing Inputs'!$D$114)^((AE$16-AD$16)/365)</f>
        <v>0</v>
      </c>
      <c r="AF319" s="273">
        <f>AE319*(1+'2. GRI Pricing Inputs'!$D$114)^((AF$16-AE$16)/365)</f>
        <v>0</v>
      </c>
      <c r="AG319" s="273">
        <f>AF319*(1+'2. GRI Pricing Inputs'!$D$114)^((AG$16-AF$16)/365)</f>
        <v>0</v>
      </c>
      <c r="AH319" s="273">
        <f>AG319*(1+'2. GRI Pricing Inputs'!$D$114)^((AH$16-AG$16)/365)</f>
        <v>0</v>
      </c>
      <c r="AI319" s="273">
        <f>AH319*(1+'2. GRI Pricing Inputs'!$D$114)^((AI$16-AH$16)/365)</f>
        <v>0</v>
      </c>
      <c r="AJ319" s="273">
        <f>AI319*(1+'2. GRI Pricing Inputs'!$D$114)^((AJ$16-AI$16)/365)</f>
        <v>0</v>
      </c>
      <c r="AK319" s="273">
        <f>AJ319*(1+'2. GRI Pricing Inputs'!$D$114)^((AK$16-AJ$16)/365)</f>
        <v>0</v>
      </c>
      <c r="AL319" s="273">
        <f>AK319*(1+'2. GRI Pricing Inputs'!$D$114)^((AL$16-AK$16)/365)</f>
        <v>0</v>
      </c>
      <c r="AM319" s="273">
        <f>AL319*(1+'2. GRI Pricing Inputs'!$D$114)^((AM$16-AL$16)/365)</f>
        <v>0</v>
      </c>
      <c r="AN319" s="273">
        <f>AM319*(1+'2. GRI Pricing Inputs'!$D$114)^((AN$16-AM$16)/365)</f>
        <v>0</v>
      </c>
      <c r="AO319" s="273">
        <f>AN319*(1+'2. GRI Pricing Inputs'!$D$114)^((AO$16-AN$16)/365)</f>
        <v>0</v>
      </c>
    </row>
    <row r="320" spans="3:41" ht="12" x14ac:dyDescent="0.2">
      <c r="C320" s="76">
        <f>'1. Accomodation'!N324</f>
        <v>0</v>
      </c>
      <c r="D320" s="69">
        <f>'1. Accomodation'!P324</f>
        <v>0</v>
      </c>
      <c r="E320" s="69">
        <f>'1. Accomodation'!Q324</f>
        <v>0</v>
      </c>
      <c r="F320" s="77">
        <f>'1. Accomodation'!O324</f>
        <v>0</v>
      </c>
      <c r="G320" s="69">
        <f>'1. Accomodation'!R324</f>
        <v>0</v>
      </c>
      <c r="H320" s="69">
        <f>'1. Accomodation'!S324</f>
        <v>0</v>
      </c>
      <c r="I320" s="62"/>
      <c r="K320" s="272">
        <f>IFERROR(INDEX('2. GRI Pricing Inputs'!$C$15:$AI$16,MATCH($K$16,'2. GRI Pricing Inputs'!$C$15:$C$16,0),MATCH(D320,'2. GRI Pricing Inputs'!$C$15:$AI$15,0)),0)</f>
        <v>0</v>
      </c>
      <c r="L320" s="273">
        <f>IFERROR(INDEX('2. GRI Pricing Inputs'!$C$22:$AI$23,MATCH($L$16,'2. GRI Pricing Inputs'!$C$22:$C$23,0),MATCH(E320,'2. GRI Pricing Inputs'!$C$22:$AI$22,0)),0)</f>
        <v>0</v>
      </c>
      <c r="M320" s="328">
        <f>IF(AND('3. GRI Pricing'!$F320&gt;='2. GRI Pricing Inputs'!$D$33,'3. GRI Pricing'!$F320&lt;='2. GRI Pricing Inputs'!$E$33),'2. GRI Pricing Inputs'!$D$32,IF(AND('3. GRI Pricing'!$F320&gt;='2. GRI Pricing Inputs'!$F$33,'3. GRI Pricing'!$F320&lt;='2. GRI Pricing Inputs'!$G$33),'2. GRI Pricing Inputs'!$F$32,IF(AND('3. GRI Pricing'!$F320&gt;='2. GRI Pricing Inputs'!$H$33,'3. GRI Pricing'!$F320&lt;='2. GRI Pricing Inputs'!$I$33),'2. GRI Pricing Inputs'!$H$32,IF(AND('3. GRI Pricing'!$F320&gt;='2. GRI Pricing Inputs'!$J$33,'3. GRI Pricing'!$F320&lt;='2. GRI Pricing Inputs'!$K$33),'2. GRI Pricing Inputs'!$J$32,IF(AND('3. GRI Pricing'!$F320&gt;='2. GRI Pricing Inputs'!$L$33,'3. GRI Pricing'!$F320&lt;='2. GRI Pricing Inputs'!$M$33),'2. GRI Pricing Inputs'!$L$32,IF(AND('3. GRI Pricing'!$F320&gt;='2. GRI Pricing Inputs'!$N$33,'3. GRI Pricing'!$F320&lt;='2. GRI Pricing Inputs'!$O$33),'2. GRI Pricing Inputs'!$N$32,IF(AND('3. GRI Pricing'!$F320&gt;='2. GRI Pricing Inputs'!$P$33,'3. GRI Pricing'!$F320&lt;='2. GRI Pricing Inputs'!$Q$33),'2. GRI Pricing Inputs'!$P$32,IF(AND('3. GRI Pricing'!$F320&gt;='2. GRI Pricing Inputs'!$R$33,'3. GRI Pricing'!$F320&lt;='2. GRI Pricing Inputs'!$S$33),'2. GRI Pricing Inputs'!$R$32,IF(AND('3. GRI Pricing'!$F320&gt;='2. GRI Pricing Inputs'!$T$33,'3. GRI Pricing'!$F320&lt;='2. GRI Pricing Inputs'!$U$33),'2. GRI Pricing Inputs'!$T$32,IF(AND('3. GRI Pricing'!$F320&gt;='2. GRI Pricing Inputs'!$V$33,'3. GRI Pricing'!$F320&lt;='2. GRI Pricing Inputs'!$W$33),'2. GRI Pricing Inputs'!$V$32,IF(AND('3. GRI Pricing'!$F320&gt;='2. GRI Pricing Inputs'!$X$33,'3. GRI Pricing'!$F320&lt;='2. GRI Pricing Inputs'!$Y$33),'2. GRI Pricing Inputs'!$X$32,IF(AND('3. GRI Pricing'!$F320&gt;='2. GRI Pricing Inputs'!$Z$33,'3. GRI Pricing'!$F320&lt;='2. GRI Pricing Inputs'!$AA$33),'2. GRI Pricing Inputs'!$Z$32,IF(AND('3. GRI Pricing'!$F320&gt;='2. GRI Pricing Inputs'!$AB$33,'3. GRI Pricing'!$F320&lt;='2. GRI Pricing Inputs'!$AC$33),'2. GRI Pricing Inputs'!$AB$32,IF(AND('3. GRI Pricing'!$F320&gt;='2. GRI Pricing Inputs'!$AD$33,'3. GRI Pricing'!$F320&lt;='2. GRI Pricing Inputs'!$AE$33),'2. GRI Pricing Inputs'!$AD$32,IF(AND('3. GRI Pricing'!$F320&gt;='2. GRI Pricing Inputs'!$AF$33,'3. GRI Pricing'!$F320&lt;='2. GRI Pricing Inputs'!$AG$33),'2. GRI Pricing Inputs'!$AF$32,IF(AND('3. GRI Pricing'!$F320&gt;='2. GRI Pricing Inputs'!$AH$33,'3. GRI Pricing'!$F320&lt;='2. GRI Pricing Inputs'!$AI$33),'2. GRI Pricing Inputs'!$AH$32,0))))))))))))))))</f>
        <v>0</v>
      </c>
      <c r="N320" s="273" cm="1">
        <f t="array" ref="N320">IFERROR(INDEX('2. GRI Pricing Inputs'!$C$32:$AI$39,MATCH('3. GRI Pricing'!D320,'2. GRI Pricing Inputs'!$C$32:$C$39,0),(MATCH('3. GRI Pricing'!M320,'2. GRI Pricing Inputs'!$D$32:$AI$32,0)+1)),0)</f>
        <v>0</v>
      </c>
      <c r="O320" s="273">
        <f>IFERROR(INDEX('2. GRI Pricing Inputs'!$C$45:$AI$46,MATCH($O$16,'2. GRI Pricing Inputs'!$C$45:$C$46,0),MATCH(G320,'2. GRI Pricing Inputs'!$C$45:$AI$45,0)),0)</f>
        <v>0</v>
      </c>
      <c r="P320" s="273">
        <f>IFERROR(INDEX('2. GRI Pricing Inputs'!$C$53:$AI$54,MATCH('3. GRI Pricing'!$P$16,'2. GRI Pricing Inputs'!$C$53:$C$54,0),MATCH('3. GRI Pricing'!H320,'2. GRI Pricing Inputs'!$C$53:$AI$53,0)),0)</f>
        <v>0</v>
      </c>
      <c r="Q320" s="273">
        <f>IFERROR(INDEX('2. GRI Pricing Inputs'!$C$60:$AI$61,MATCH('3. GRI Pricing'!$Q$16,'2. GRI Pricing Inputs'!$C$60:$C$61,0),MATCH('1. Accomodation'!T324,'2. GRI Pricing Inputs'!$C$60:$AI$60,0)),0)</f>
        <v>0</v>
      </c>
      <c r="R320" s="273">
        <f>IFERROR(INDEX('2. GRI Pricing Inputs'!$C$67:$AI$68,MATCH('3. GRI Pricing'!$R$16,'2. GRI Pricing Inputs'!$C$67:$C$68,0),MATCH('1. Accomodation'!U324,'2. GRI Pricing Inputs'!$C$67:$AI$67,0)),0)</f>
        <v>0</v>
      </c>
      <c r="S320" s="273">
        <f>IF(D320=0,0,'2. GRI Pricing Inputs'!$AI$75)</f>
        <v>0</v>
      </c>
      <c r="T320" s="273">
        <f>IFERROR(INDEX('2. GRI Pricing Inputs'!$C$82:$AI$83,MATCH('3. GRI Pricing'!$T$16,'2. GRI Pricing Inputs'!$C$82:$C$83,0),MATCH('1. Accomodation'!V324,'2. GRI Pricing Inputs'!$C$82:$AI$82,0)),0)</f>
        <v>0</v>
      </c>
      <c r="U320" s="273">
        <f>IFERROR(INDEX('2. GRI Pricing Inputs'!$C$89:$AI$90,MATCH('3. GRI Pricing'!$U$16,'2. GRI Pricing Inputs'!$C$89:$C$90,0),MATCH('1. Accomodation'!W324,'2. GRI Pricing Inputs'!$C$89:$AI$89,0)),0)</f>
        <v>0</v>
      </c>
      <c r="V320" s="273">
        <f>IFERROR(INDEX('2. GRI Pricing Inputs'!$C$97:$AI$98,MATCH('3. GRI Pricing'!$V$16,'2. GRI Pricing Inputs'!$C$97:$C$98,0),MATCH('1. Accomodation'!X324,'2. GRI Pricing Inputs'!$C$97:$AI$97,0)),0)</f>
        <v>0</v>
      </c>
      <c r="W320" s="273">
        <f>IFERROR(INDEX('2. GRI Pricing Inputs'!$C$104:$AI$105,MATCH('3. GRI Pricing'!$W$16,'2. GRI Pricing Inputs'!$C$104:$C$105,0),MATCH('1. Accomodation'!Y324,'2. GRI Pricing Inputs'!$C$104:$AI$104,0)),0)</f>
        <v>0</v>
      </c>
      <c r="X320" s="274"/>
      <c r="Y320" s="275">
        <f t="shared" si="11"/>
        <v>0</v>
      </c>
      <c r="Z320" s="276"/>
      <c r="AA320" s="276"/>
      <c r="AB320" s="276"/>
      <c r="AC320" s="272">
        <f>Y320*(1+'2. GRI Pricing Inputs'!$D$114)^(($AC$16-$AB$15)/365)</f>
        <v>0</v>
      </c>
      <c r="AD320" s="273">
        <f>AC320*(1+'2. GRI Pricing Inputs'!$D$114)^((AD$16-AC$16)/365)</f>
        <v>0</v>
      </c>
      <c r="AE320" s="273">
        <f>AD320*(1+'2. GRI Pricing Inputs'!$D$114)^((AE$16-AD$16)/365)</f>
        <v>0</v>
      </c>
      <c r="AF320" s="273">
        <f>AE320*(1+'2. GRI Pricing Inputs'!$D$114)^((AF$16-AE$16)/365)</f>
        <v>0</v>
      </c>
      <c r="AG320" s="273">
        <f>AF320*(1+'2. GRI Pricing Inputs'!$D$114)^((AG$16-AF$16)/365)</f>
        <v>0</v>
      </c>
      <c r="AH320" s="273">
        <f>AG320*(1+'2. GRI Pricing Inputs'!$D$114)^((AH$16-AG$16)/365)</f>
        <v>0</v>
      </c>
      <c r="AI320" s="273">
        <f>AH320*(1+'2. GRI Pricing Inputs'!$D$114)^((AI$16-AH$16)/365)</f>
        <v>0</v>
      </c>
      <c r="AJ320" s="273">
        <f>AI320*(1+'2. GRI Pricing Inputs'!$D$114)^((AJ$16-AI$16)/365)</f>
        <v>0</v>
      </c>
      <c r="AK320" s="273">
        <f>AJ320*(1+'2. GRI Pricing Inputs'!$D$114)^((AK$16-AJ$16)/365)</f>
        <v>0</v>
      </c>
      <c r="AL320" s="273">
        <f>AK320*(1+'2. GRI Pricing Inputs'!$D$114)^((AL$16-AK$16)/365)</f>
        <v>0</v>
      </c>
      <c r="AM320" s="273">
        <f>AL320*(1+'2. GRI Pricing Inputs'!$D$114)^((AM$16-AL$16)/365)</f>
        <v>0</v>
      </c>
      <c r="AN320" s="273">
        <f>AM320*(1+'2. GRI Pricing Inputs'!$D$114)^((AN$16-AM$16)/365)</f>
        <v>0</v>
      </c>
      <c r="AO320" s="273">
        <f>AN320*(1+'2. GRI Pricing Inputs'!$D$114)^((AO$16-AN$16)/365)</f>
        <v>0</v>
      </c>
    </row>
    <row r="321" spans="3:41" ht="12" x14ac:dyDescent="0.2">
      <c r="C321" s="76">
        <f>'1. Accomodation'!N325</f>
        <v>0</v>
      </c>
      <c r="D321" s="69">
        <f>'1. Accomodation'!P325</f>
        <v>0</v>
      </c>
      <c r="E321" s="69">
        <f>'1. Accomodation'!Q325</f>
        <v>0</v>
      </c>
      <c r="F321" s="77">
        <f>'1. Accomodation'!O325</f>
        <v>0</v>
      </c>
      <c r="G321" s="69">
        <f>'1. Accomodation'!R325</f>
        <v>0</v>
      </c>
      <c r="H321" s="69">
        <f>'1. Accomodation'!S325</f>
        <v>0</v>
      </c>
      <c r="I321" s="62"/>
      <c r="K321" s="272">
        <f>IFERROR(INDEX('2. GRI Pricing Inputs'!$C$15:$AI$16,MATCH($K$16,'2. GRI Pricing Inputs'!$C$15:$C$16,0),MATCH(D321,'2. GRI Pricing Inputs'!$C$15:$AI$15,0)),0)</f>
        <v>0</v>
      </c>
      <c r="L321" s="273">
        <f>IFERROR(INDEX('2. GRI Pricing Inputs'!$C$22:$AI$23,MATCH($L$16,'2. GRI Pricing Inputs'!$C$22:$C$23,0),MATCH(E321,'2. GRI Pricing Inputs'!$C$22:$AI$22,0)),0)</f>
        <v>0</v>
      </c>
      <c r="M321" s="328">
        <f>IF(AND('3. GRI Pricing'!$F321&gt;='2. GRI Pricing Inputs'!$D$33,'3. GRI Pricing'!$F321&lt;='2. GRI Pricing Inputs'!$E$33),'2. GRI Pricing Inputs'!$D$32,IF(AND('3. GRI Pricing'!$F321&gt;='2. GRI Pricing Inputs'!$F$33,'3. GRI Pricing'!$F321&lt;='2. GRI Pricing Inputs'!$G$33),'2. GRI Pricing Inputs'!$F$32,IF(AND('3. GRI Pricing'!$F321&gt;='2. GRI Pricing Inputs'!$H$33,'3. GRI Pricing'!$F321&lt;='2. GRI Pricing Inputs'!$I$33),'2. GRI Pricing Inputs'!$H$32,IF(AND('3. GRI Pricing'!$F321&gt;='2. GRI Pricing Inputs'!$J$33,'3. GRI Pricing'!$F321&lt;='2. GRI Pricing Inputs'!$K$33),'2. GRI Pricing Inputs'!$J$32,IF(AND('3. GRI Pricing'!$F321&gt;='2. GRI Pricing Inputs'!$L$33,'3. GRI Pricing'!$F321&lt;='2. GRI Pricing Inputs'!$M$33),'2. GRI Pricing Inputs'!$L$32,IF(AND('3. GRI Pricing'!$F321&gt;='2. GRI Pricing Inputs'!$N$33,'3. GRI Pricing'!$F321&lt;='2. GRI Pricing Inputs'!$O$33),'2. GRI Pricing Inputs'!$N$32,IF(AND('3. GRI Pricing'!$F321&gt;='2. GRI Pricing Inputs'!$P$33,'3. GRI Pricing'!$F321&lt;='2. GRI Pricing Inputs'!$Q$33),'2. GRI Pricing Inputs'!$P$32,IF(AND('3. GRI Pricing'!$F321&gt;='2. GRI Pricing Inputs'!$R$33,'3. GRI Pricing'!$F321&lt;='2. GRI Pricing Inputs'!$S$33),'2. GRI Pricing Inputs'!$R$32,IF(AND('3. GRI Pricing'!$F321&gt;='2. GRI Pricing Inputs'!$T$33,'3. GRI Pricing'!$F321&lt;='2. GRI Pricing Inputs'!$U$33),'2. GRI Pricing Inputs'!$T$32,IF(AND('3. GRI Pricing'!$F321&gt;='2. GRI Pricing Inputs'!$V$33,'3. GRI Pricing'!$F321&lt;='2. GRI Pricing Inputs'!$W$33),'2. GRI Pricing Inputs'!$V$32,IF(AND('3. GRI Pricing'!$F321&gt;='2. GRI Pricing Inputs'!$X$33,'3. GRI Pricing'!$F321&lt;='2. GRI Pricing Inputs'!$Y$33),'2. GRI Pricing Inputs'!$X$32,IF(AND('3. GRI Pricing'!$F321&gt;='2. GRI Pricing Inputs'!$Z$33,'3. GRI Pricing'!$F321&lt;='2. GRI Pricing Inputs'!$AA$33),'2. GRI Pricing Inputs'!$Z$32,IF(AND('3. GRI Pricing'!$F321&gt;='2. GRI Pricing Inputs'!$AB$33,'3. GRI Pricing'!$F321&lt;='2. GRI Pricing Inputs'!$AC$33),'2. GRI Pricing Inputs'!$AB$32,IF(AND('3. GRI Pricing'!$F321&gt;='2. GRI Pricing Inputs'!$AD$33,'3. GRI Pricing'!$F321&lt;='2. GRI Pricing Inputs'!$AE$33),'2. GRI Pricing Inputs'!$AD$32,IF(AND('3. GRI Pricing'!$F321&gt;='2. GRI Pricing Inputs'!$AF$33,'3. GRI Pricing'!$F321&lt;='2. GRI Pricing Inputs'!$AG$33),'2. GRI Pricing Inputs'!$AF$32,IF(AND('3. GRI Pricing'!$F321&gt;='2. GRI Pricing Inputs'!$AH$33,'3. GRI Pricing'!$F321&lt;='2. GRI Pricing Inputs'!$AI$33),'2. GRI Pricing Inputs'!$AH$32,0))))))))))))))))</f>
        <v>0</v>
      </c>
      <c r="N321" s="273" cm="1">
        <f t="array" ref="N321">IFERROR(INDEX('2. GRI Pricing Inputs'!$C$32:$AI$39,MATCH('3. GRI Pricing'!D321,'2. GRI Pricing Inputs'!$C$32:$C$39,0),(MATCH('3. GRI Pricing'!M321,'2. GRI Pricing Inputs'!$D$32:$AI$32,0)+1)),0)</f>
        <v>0</v>
      </c>
      <c r="O321" s="273">
        <f>IFERROR(INDEX('2. GRI Pricing Inputs'!$C$45:$AI$46,MATCH($O$16,'2. GRI Pricing Inputs'!$C$45:$C$46,0),MATCH(G321,'2. GRI Pricing Inputs'!$C$45:$AI$45,0)),0)</f>
        <v>0</v>
      </c>
      <c r="P321" s="273">
        <f>IFERROR(INDEX('2. GRI Pricing Inputs'!$C$53:$AI$54,MATCH('3. GRI Pricing'!$P$16,'2. GRI Pricing Inputs'!$C$53:$C$54,0),MATCH('3. GRI Pricing'!H321,'2. GRI Pricing Inputs'!$C$53:$AI$53,0)),0)</f>
        <v>0</v>
      </c>
      <c r="Q321" s="273">
        <f>IFERROR(INDEX('2. GRI Pricing Inputs'!$C$60:$AI$61,MATCH('3. GRI Pricing'!$Q$16,'2. GRI Pricing Inputs'!$C$60:$C$61,0),MATCH('1. Accomodation'!T325,'2. GRI Pricing Inputs'!$C$60:$AI$60,0)),0)</f>
        <v>0</v>
      </c>
      <c r="R321" s="273">
        <f>IFERROR(INDEX('2. GRI Pricing Inputs'!$C$67:$AI$68,MATCH('3. GRI Pricing'!$R$16,'2. GRI Pricing Inputs'!$C$67:$C$68,0),MATCH('1. Accomodation'!U325,'2. GRI Pricing Inputs'!$C$67:$AI$67,0)),0)</f>
        <v>0</v>
      </c>
      <c r="S321" s="273">
        <f>IF(D321=0,0,'2. GRI Pricing Inputs'!$AI$75)</f>
        <v>0</v>
      </c>
      <c r="T321" s="273">
        <f>IFERROR(INDEX('2. GRI Pricing Inputs'!$C$82:$AI$83,MATCH('3. GRI Pricing'!$T$16,'2. GRI Pricing Inputs'!$C$82:$C$83,0),MATCH('1. Accomodation'!V325,'2. GRI Pricing Inputs'!$C$82:$AI$82,0)),0)</f>
        <v>0</v>
      </c>
      <c r="U321" s="273">
        <f>IFERROR(INDEX('2. GRI Pricing Inputs'!$C$89:$AI$90,MATCH('3. GRI Pricing'!$U$16,'2. GRI Pricing Inputs'!$C$89:$C$90,0),MATCH('1. Accomodation'!W325,'2. GRI Pricing Inputs'!$C$89:$AI$89,0)),0)</f>
        <v>0</v>
      </c>
      <c r="V321" s="273">
        <f>IFERROR(INDEX('2. GRI Pricing Inputs'!$C$97:$AI$98,MATCH('3. GRI Pricing'!$V$16,'2. GRI Pricing Inputs'!$C$97:$C$98,0),MATCH('1. Accomodation'!X325,'2. GRI Pricing Inputs'!$C$97:$AI$97,0)),0)</f>
        <v>0</v>
      </c>
      <c r="W321" s="273">
        <f>IFERROR(INDEX('2. GRI Pricing Inputs'!$C$104:$AI$105,MATCH('3. GRI Pricing'!$W$16,'2. GRI Pricing Inputs'!$C$104:$C$105,0),MATCH('1. Accomodation'!Y325,'2. GRI Pricing Inputs'!$C$104:$AI$104,0)),0)</f>
        <v>0</v>
      </c>
      <c r="X321" s="274"/>
      <c r="Y321" s="275">
        <f t="shared" si="11"/>
        <v>0</v>
      </c>
      <c r="Z321" s="276"/>
      <c r="AA321" s="276"/>
      <c r="AB321" s="276"/>
      <c r="AC321" s="272">
        <f>Y321*(1+'2. GRI Pricing Inputs'!$D$114)^(($AC$16-$AB$15)/365)</f>
        <v>0</v>
      </c>
      <c r="AD321" s="273">
        <f>AC321*(1+'2. GRI Pricing Inputs'!$D$114)^((AD$16-AC$16)/365)</f>
        <v>0</v>
      </c>
      <c r="AE321" s="273">
        <f>AD321*(1+'2. GRI Pricing Inputs'!$D$114)^((AE$16-AD$16)/365)</f>
        <v>0</v>
      </c>
      <c r="AF321" s="273">
        <f>AE321*(1+'2. GRI Pricing Inputs'!$D$114)^((AF$16-AE$16)/365)</f>
        <v>0</v>
      </c>
      <c r="AG321" s="273">
        <f>AF321*(1+'2. GRI Pricing Inputs'!$D$114)^((AG$16-AF$16)/365)</f>
        <v>0</v>
      </c>
      <c r="AH321" s="273">
        <f>AG321*(1+'2. GRI Pricing Inputs'!$D$114)^((AH$16-AG$16)/365)</f>
        <v>0</v>
      </c>
      <c r="AI321" s="273">
        <f>AH321*(1+'2. GRI Pricing Inputs'!$D$114)^((AI$16-AH$16)/365)</f>
        <v>0</v>
      </c>
      <c r="AJ321" s="273">
        <f>AI321*(1+'2. GRI Pricing Inputs'!$D$114)^((AJ$16-AI$16)/365)</f>
        <v>0</v>
      </c>
      <c r="AK321" s="273">
        <f>AJ321*(1+'2. GRI Pricing Inputs'!$D$114)^((AK$16-AJ$16)/365)</f>
        <v>0</v>
      </c>
      <c r="AL321" s="273">
        <f>AK321*(1+'2. GRI Pricing Inputs'!$D$114)^((AL$16-AK$16)/365)</f>
        <v>0</v>
      </c>
      <c r="AM321" s="273">
        <f>AL321*(1+'2. GRI Pricing Inputs'!$D$114)^((AM$16-AL$16)/365)</f>
        <v>0</v>
      </c>
      <c r="AN321" s="273">
        <f>AM321*(1+'2. GRI Pricing Inputs'!$D$114)^((AN$16-AM$16)/365)</f>
        <v>0</v>
      </c>
      <c r="AO321" s="273">
        <f>AN321*(1+'2. GRI Pricing Inputs'!$D$114)^((AO$16-AN$16)/365)</f>
        <v>0</v>
      </c>
    </row>
    <row r="322" spans="3:41" ht="12" x14ac:dyDescent="0.2">
      <c r="C322" s="76">
        <f>'1. Accomodation'!N326</f>
        <v>0</v>
      </c>
      <c r="D322" s="69">
        <f>'1. Accomodation'!P326</f>
        <v>0</v>
      </c>
      <c r="E322" s="69">
        <f>'1. Accomodation'!Q326</f>
        <v>0</v>
      </c>
      <c r="F322" s="77">
        <f>'1. Accomodation'!O326</f>
        <v>0</v>
      </c>
      <c r="G322" s="69">
        <f>'1. Accomodation'!R326</f>
        <v>0</v>
      </c>
      <c r="H322" s="69">
        <f>'1. Accomodation'!S326</f>
        <v>0</v>
      </c>
      <c r="I322" s="62"/>
      <c r="K322" s="272">
        <f>IFERROR(INDEX('2. GRI Pricing Inputs'!$C$15:$AI$16,MATCH($K$16,'2. GRI Pricing Inputs'!$C$15:$C$16,0),MATCH(D322,'2. GRI Pricing Inputs'!$C$15:$AI$15,0)),0)</f>
        <v>0</v>
      </c>
      <c r="L322" s="273">
        <f>IFERROR(INDEX('2. GRI Pricing Inputs'!$C$22:$AI$23,MATCH($L$16,'2. GRI Pricing Inputs'!$C$22:$C$23,0),MATCH(E322,'2. GRI Pricing Inputs'!$C$22:$AI$22,0)),0)</f>
        <v>0</v>
      </c>
      <c r="M322" s="328">
        <f>IF(AND('3. GRI Pricing'!$F322&gt;='2. GRI Pricing Inputs'!$D$33,'3. GRI Pricing'!$F322&lt;='2. GRI Pricing Inputs'!$E$33),'2. GRI Pricing Inputs'!$D$32,IF(AND('3. GRI Pricing'!$F322&gt;='2. GRI Pricing Inputs'!$F$33,'3. GRI Pricing'!$F322&lt;='2. GRI Pricing Inputs'!$G$33),'2. GRI Pricing Inputs'!$F$32,IF(AND('3. GRI Pricing'!$F322&gt;='2. GRI Pricing Inputs'!$H$33,'3. GRI Pricing'!$F322&lt;='2. GRI Pricing Inputs'!$I$33),'2. GRI Pricing Inputs'!$H$32,IF(AND('3. GRI Pricing'!$F322&gt;='2. GRI Pricing Inputs'!$J$33,'3. GRI Pricing'!$F322&lt;='2. GRI Pricing Inputs'!$K$33),'2. GRI Pricing Inputs'!$J$32,IF(AND('3. GRI Pricing'!$F322&gt;='2. GRI Pricing Inputs'!$L$33,'3. GRI Pricing'!$F322&lt;='2. GRI Pricing Inputs'!$M$33),'2. GRI Pricing Inputs'!$L$32,IF(AND('3. GRI Pricing'!$F322&gt;='2. GRI Pricing Inputs'!$N$33,'3. GRI Pricing'!$F322&lt;='2. GRI Pricing Inputs'!$O$33),'2. GRI Pricing Inputs'!$N$32,IF(AND('3. GRI Pricing'!$F322&gt;='2. GRI Pricing Inputs'!$P$33,'3. GRI Pricing'!$F322&lt;='2. GRI Pricing Inputs'!$Q$33),'2. GRI Pricing Inputs'!$P$32,IF(AND('3. GRI Pricing'!$F322&gt;='2. GRI Pricing Inputs'!$R$33,'3. GRI Pricing'!$F322&lt;='2. GRI Pricing Inputs'!$S$33),'2. GRI Pricing Inputs'!$R$32,IF(AND('3. GRI Pricing'!$F322&gt;='2. GRI Pricing Inputs'!$T$33,'3. GRI Pricing'!$F322&lt;='2. GRI Pricing Inputs'!$U$33),'2. GRI Pricing Inputs'!$T$32,IF(AND('3. GRI Pricing'!$F322&gt;='2. GRI Pricing Inputs'!$V$33,'3. GRI Pricing'!$F322&lt;='2. GRI Pricing Inputs'!$W$33),'2. GRI Pricing Inputs'!$V$32,IF(AND('3. GRI Pricing'!$F322&gt;='2. GRI Pricing Inputs'!$X$33,'3. GRI Pricing'!$F322&lt;='2. GRI Pricing Inputs'!$Y$33),'2. GRI Pricing Inputs'!$X$32,IF(AND('3. GRI Pricing'!$F322&gt;='2. GRI Pricing Inputs'!$Z$33,'3. GRI Pricing'!$F322&lt;='2. GRI Pricing Inputs'!$AA$33),'2. GRI Pricing Inputs'!$Z$32,IF(AND('3. GRI Pricing'!$F322&gt;='2. GRI Pricing Inputs'!$AB$33,'3. GRI Pricing'!$F322&lt;='2. GRI Pricing Inputs'!$AC$33),'2. GRI Pricing Inputs'!$AB$32,IF(AND('3. GRI Pricing'!$F322&gt;='2. GRI Pricing Inputs'!$AD$33,'3. GRI Pricing'!$F322&lt;='2. GRI Pricing Inputs'!$AE$33),'2. GRI Pricing Inputs'!$AD$32,IF(AND('3. GRI Pricing'!$F322&gt;='2. GRI Pricing Inputs'!$AF$33,'3. GRI Pricing'!$F322&lt;='2. GRI Pricing Inputs'!$AG$33),'2. GRI Pricing Inputs'!$AF$32,IF(AND('3. GRI Pricing'!$F322&gt;='2. GRI Pricing Inputs'!$AH$33,'3. GRI Pricing'!$F322&lt;='2. GRI Pricing Inputs'!$AI$33),'2. GRI Pricing Inputs'!$AH$32,0))))))))))))))))</f>
        <v>0</v>
      </c>
      <c r="N322" s="273" cm="1">
        <f t="array" ref="N322">IFERROR(INDEX('2. GRI Pricing Inputs'!$C$32:$AI$39,MATCH('3. GRI Pricing'!D322,'2. GRI Pricing Inputs'!$C$32:$C$39,0),(MATCH('3. GRI Pricing'!M322,'2. GRI Pricing Inputs'!$D$32:$AI$32,0)+1)),0)</f>
        <v>0</v>
      </c>
      <c r="O322" s="273">
        <f>IFERROR(INDEX('2. GRI Pricing Inputs'!$C$45:$AI$46,MATCH($O$16,'2. GRI Pricing Inputs'!$C$45:$C$46,0),MATCH(G322,'2. GRI Pricing Inputs'!$C$45:$AI$45,0)),0)</f>
        <v>0</v>
      </c>
      <c r="P322" s="273">
        <f>IFERROR(INDEX('2. GRI Pricing Inputs'!$C$53:$AI$54,MATCH('3. GRI Pricing'!$P$16,'2. GRI Pricing Inputs'!$C$53:$C$54,0),MATCH('3. GRI Pricing'!H322,'2. GRI Pricing Inputs'!$C$53:$AI$53,0)),0)</f>
        <v>0</v>
      </c>
      <c r="Q322" s="273">
        <f>IFERROR(INDEX('2. GRI Pricing Inputs'!$C$60:$AI$61,MATCH('3. GRI Pricing'!$Q$16,'2. GRI Pricing Inputs'!$C$60:$C$61,0),MATCH('1. Accomodation'!T326,'2. GRI Pricing Inputs'!$C$60:$AI$60,0)),0)</f>
        <v>0</v>
      </c>
      <c r="R322" s="273">
        <f>IFERROR(INDEX('2. GRI Pricing Inputs'!$C$67:$AI$68,MATCH('3. GRI Pricing'!$R$16,'2. GRI Pricing Inputs'!$C$67:$C$68,0),MATCH('1. Accomodation'!U326,'2. GRI Pricing Inputs'!$C$67:$AI$67,0)),0)</f>
        <v>0</v>
      </c>
      <c r="S322" s="273">
        <f>IF(D322=0,0,'2. GRI Pricing Inputs'!$AI$75)</f>
        <v>0</v>
      </c>
      <c r="T322" s="273">
        <f>IFERROR(INDEX('2. GRI Pricing Inputs'!$C$82:$AI$83,MATCH('3. GRI Pricing'!$T$16,'2. GRI Pricing Inputs'!$C$82:$C$83,0),MATCH('1. Accomodation'!V326,'2. GRI Pricing Inputs'!$C$82:$AI$82,0)),0)</f>
        <v>0</v>
      </c>
      <c r="U322" s="273">
        <f>IFERROR(INDEX('2. GRI Pricing Inputs'!$C$89:$AI$90,MATCH('3. GRI Pricing'!$U$16,'2. GRI Pricing Inputs'!$C$89:$C$90,0),MATCH('1. Accomodation'!W326,'2. GRI Pricing Inputs'!$C$89:$AI$89,0)),0)</f>
        <v>0</v>
      </c>
      <c r="V322" s="273">
        <f>IFERROR(INDEX('2. GRI Pricing Inputs'!$C$97:$AI$98,MATCH('3. GRI Pricing'!$V$16,'2. GRI Pricing Inputs'!$C$97:$C$98,0),MATCH('1. Accomodation'!X326,'2. GRI Pricing Inputs'!$C$97:$AI$97,0)),0)</f>
        <v>0</v>
      </c>
      <c r="W322" s="273">
        <f>IFERROR(INDEX('2. GRI Pricing Inputs'!$C$104:$AI$105,MATCH('3. GRI Pricing'!$W$16,'2. GRI Pricing Inputs'!$C$104:$C$105,0),MATCH('1. Accomodation'!Y326,'2. GRI Pricing Inputs'!$C$104:$AI$104,0)),0)</f>
        <v>0</v>
      </c>
      <c r="X322" s="274"/>
      <c r="Y322" s="275">
        <f t="shared" si="11"/>
        <v>0</v>
      </c>
      <c r="Z322" s="276"/>
      <c r="AA322" s="276"/>
      <c r="AB322" s="276"/>
      <c r="AC322" s="272">
        <f>Y322*(1+'2. GRI Pricing Inputs'!$D$114)^(($AC$16-$AB$15)/365)</f>
        <v>0</v>
      </c>
      <c r="AD322" s="273">
        <f>AC322*(1+'2. GRI Pricing Inputs'!$D$114)^((AD$16-AC$16)/365)</f>
        <v>0</v>
      </c>
      <c r="AE322" s="273">
        <f>AD322*(1+'2. GRI Pricing Inputs'!$D$114)^((AE$16-AD$16)/365)</f>
        <v>0</v>
      </c>
      <c r="AF322" s="273">
        <f>AE322*(1+'2. GRI Pricing Inputs'!$D$114)^((AF$16-AE$16)/365)</f>
        <v>0</v>
      </c>
      <c r="AG322" s="273">
        <f>AF322*(1+'2. GRI Pricing Inputs'!$D$114)^((AG$16-AF$16)/365)</f>
        <v>0</v>
      </c>
      <c r="AH322" s="273">
        <f>AG322*(1+'2. GRI Pricing Inputs'!$D$114)^((AH$16-AG$16)/365)</f>
        <v>0</v>
      </c>
      <c r="AI322" s="273">
        <f>AH322*(1+'2. GRI Pricing Inputs'!$D$114)^((AI$16-AH$16)/365)</f>
        <v>0</v>
      </c>
      <c r="AJ322" s="273">
        <f>AI322*(1+'2. GRI Pricing Inputs'!$D$114)^((AJ$16-AI$16)/365)</f>
        <v>0</v>
      </c>
      <c r="AK322" s="273">
        <f>AJ322*(1+'2. GRI Pricing Inputs'!$D$114)^((AK$16-AJ$16)/365)</f>
        <v>0</v>
      </c>
      <c r="AL322" s="273">
        <f>AK322*(1+'2. GRI Pricing Inputs'!$D$114)^((AL$16-AK$16)/365)</f>
        <v>0</v>
      </c>
      <c r="AM322" s="273">
        <f>AL322*(1+'2. GRI Pricing Inputs'!$D$114)^((AM$16-AL$16)/365)</f>
        <v>0</v>
      </c>
      <c r="AN322" s="273">
        <f>AM322*(1+'2. GRI Pricing Inputs'!$D$114)^((AN$16-AM$16)/365)</f>
        <v>0</v>
      </c>
      <c r="AO322" s="273">
        <f>AN322*(1+'2. GRI Pricing Inputs'!$D$114)^((AO$16-AN$16)/365)</f>
        <v>0</v>
      </c>
    </row>
    <row r="323" spans="3:41" ht="12" x14ac:dyDescent="0.2">
      <c r="C323" s="76">
        <f>'1. Accomodation'!N327</f>
        <v>0</v>
      </c>
      <c r="D323" s="69">
        <f>'1. Accomodation'!P327</f>
        <v>0</v>
      </c>
      <c r="E323" s="69">
        <f>'1. Accomodation'!Q327</f>
        <v>0</v>
      </c>
      <c r="F323" s="77">
        <f>'1. Accomodation'!O327</f>
        <v>0</v>
      </c>
      <c r="G323" s="69">
        <f>'1. Accomodation'!R327</f>
        <v>0</v>
      </c>
      <c r="H323" s="69">
        <f>'1. Accomodation'!S327</f>
        <v>0</v>
      </c>
      <c r="I323" s="62"/>
      <c r="K323" s="272">
        <f>IFERROR(INDEX('2. GRI Pricing Inputs'!$C$15:$AI$16,MATCH($K$16,'2. GRI Pricing Inputs'!$C$15:$C$16,0),MATCH(D323,'2. GRI Pricing Inputs'!$C$15:$AI$15,0)),0)</f>
        <v>0</v>
      </c>
      <c r="L323" s="273">
        <f>IFERROR(INDEX('2. GRI Pricing Inputs'!$C$22:$AI$23,MATCH($L$16,'2. GRI Pricing Inputs'!$C$22:$C$23,0),MATCH(E323,'2. GRI Pricing Inputs'!$C$22:$AI$22,0)),0)</f>
        <v>0</v>
      </c>
      <c r="M323" s="328">
        <f>IF(AND('3. GRI Pricing'!$F323&gt;='2. GRI Pricing Inputs'!$D$33,'3. GRI Pricing'!$F323&lt;='2. GRI Pricing Inputs'!$E$33),'2. GRI Pricing Inputs'!$D$32,IF(AND('3. GRI Pricing'!$F323&gt;='2. GRI Pricing Inputs'!$F$33,'3. GRI Pricing'!$F323&lt;='2. GRI Pricing Inputs'!$G$33),'2. GRI Pricing Inputs'!$F$32,IF(AND('3. GRI Pricing'!$F323&gt;='2. GRI Pricing Inputs'!$H$33,'3. GRI Pricing'!$F323&lt;='2. GRI Pricing Inputs'!$I$33),'2. GRI Pricing Inputs'!$H$32,IF(AND('3. GRI Pricing'!$F323&gt;='2. GRI Pricing Inputs'!$J$33,'3. GRI Pricing'!$F323&lt;='2. GRI Pricing Inputs'!$K$33),'2. GRI Pricing Inputs'!$J$32,IF(AND('3. GRI Pricing'!$F323&gt;='2. GRI Pricing Inputs'!$L$33,'3. GRI Pricing'!$F323&lt;='2. GRI Pricing Inputs'!$M$33),'2. GRI Pricing Inputs'!$L$32,IF(AND('3. GRI Pricing'!$F323&gt;='2. GRI Pricing Inputs'!$N$33,'3. GRI Pricing'!$F323&lt;='2. GRI Pricing Inputs'!$O$33),'2. GRI Pricing Inputs'!$N$32,IF(AND('3. GRI Pricing'!$F323&gt;='2. GRI Pricing Inputs'!$P$33,'3. GRI Pricing'!$F323&lt;='2. GRI Pricing Inputs'!$Q$33),'2. GRI Pricing Inputs'!$P$32,IF(AND('3. GRI Pricing'!$F323&gt;='2. GRI Pricing Inputs'!$R$33,'3. GRI Pricing'!$F323&lt;='2. GRI Pricing Inputs'!$S$33),'2. GRI Pricing Inputs'!$R$32,IF(AND('3. GRI Pricing'!$F323&gt;='2. GRI Pricing Inputs'!$T$33,'3. GRI Pricing'!$F323&lt;='2. GRI Pricing Inputs'!$U$33),'2. GRI Pricing Inputs'!$T$32,IF(AND('3. GRI Pricing'!$F323&gt;='2. GRI Pricing Inputs'!$V$33,'3. GRI Pricing'!$F323&lt;='2. GRI Pricing Inputs'!$W$33),'2. GRI Pricing Inputs'!$V$32,IF(AND('3. GRI Pricing'!$F323&gt;='2. GRI Pricing Inputs'!$X$33,'3. GRI Pricing'!$F323&lt;='2. GRI Pricing Inputs'!$Y$33),'2. GRI Pricing Inputs'!$X$32,IF(AND('3. GRI Pricing'!$F323&gt;='2. GRI Pricing Inputs'!$Z$33,'3. GRI Pricing'!$F323&lt;='2. GRI Pricing Inputs'!$AA$33),'2. GRI Pricing Inputs'!$Z$32,IF(AND('3. GRI Pricing'!$F323&gt;='2. GRI Pricing Inputs'!$AB$33,'3. GRI Pricing'!$F323&lt;='2. GRI Pricing Inputs'!$AC$33),'2. GRI Pricing Inputs'!$AB$32,IF(AND('3. GRI Pricing'!$F323&gt;='2. GRI Pricing Inputs'!$AD$33,'3. GRI Pricing'!$F323&lt;='2. GRI Pricing Inputs'!$AE$33),'2. GRI Pricing Inputs'!$AD$32,IF(AND('3. GRI Pricing'!$F323&gt;='2. GRI Pricing Inputs'!$AF$33,'3. GRI Pricing'!$F323&lt;='2. GRI Pricing Inputs'!$AG$33),'2. GRI Pricing Inputs'!$AF$32,IF(AND('3. GRI Pricing'!$F323&gt;='2. GRI Pricing Inputs'!$AH$33,'3. GRI Pricing'!$F323&lt;='2. GRI Pricing Inputs'!$AI$33),'2. GRI Pricing Inputs'!$AH$32,0))))))))))))))))</f>
        <v>0</v>
      </c>
      <c r="N323" s="273" cm="1">
        <f t="array" ref="N323">IFERROR(INDEX('2. GRI Pricing Inputs'!$C$32:$AI$39,MATCH('3. GRI Pricing'!D323,'2. GRI Pricing Inputs'!$C$32:$C$39,0),(MATCH('3. GRI Pricing'!M323,'2. GRI Pricing Inputs'!$D$32:$AI$32,0)+1)),0)</f>
        <v>0</v>
      </c>
      <c r="O323" s="273">
        <f>IFERROR(INDEX('2. GRI Pricing Inputs'!$C$45:$AI$46,MATCH($O$16,'2. GRI Pricing Inputs'!$C$45:$C$46,0),MATCH(G323,'2. GRI Pricing Inputs'!$C$45:$AI$45,0)),0)</f>
        <v>0</v>
      </c>
      <c r="P323" s="273">
        <f>IFERROR(INDEX('2. GRI Pricing Inputs'!$C$53:$AI$54,MATCH('3. GRI Pricing'!$P$16,'2. GRI Pricing Inputs'!$C$53:$C$54,0),MATCH('3. GRI Pricing'!H323,'2. GRI Pricing Inputs'!$C$53:$AI$53,0)),0)</f>
        <v>0</v>
      </c>
      <c r="Q323" s="273">
        <f>IFERROR(INDEX('2. GRI Pricing Inputs'!$C$60:$AI$61,MATCH('3. GRI Pricing'!$Q$16,'2. GRI Pricing Inputs'!$C$60:$C$61,0),MATCH('1. Accomodation'!T327,'2. GRI Pricing Inputs'!$C$60:$AI$60,0)),0)</f>
        <v>0</v>
      </c>
      <c r="R323" s="273">
        <f>IFERROR(INDEX('2. GRI Pricing Inputs'!$C$67:$AI$68,MATCH('3. GRI Pricing'!$R$16,'2. GRI Pricing Inputs'!$C$67:$C$68,0),MATCH('1. Accomodation'!U327,'2. GRI Pricing Inputs'!$C$67:$AI$67,0)),0)</f>
        <v>0</v>
      </c>
      <c r="S323" s="273">
        <f>IF(D323=0,0,'2. GRI Pricing Inputs'!$AI$75)</f>
        <v>0</v>
      </c>
      <c r="T323" s="273">
        <f>IFERROR(INDEX('2. GRI Pricing Inputs'!$C$82:$AI$83,MATCH('3. GRI Pricing'!$T$16,'2. GRI Pricing Inputs'!$C$82:$C$83,0),MATCH('1. Accomodation'!V327,'2. GRI Pricing Inputs'!$C$82:$AI$82,0)),0)</f>
        <v>0</v>
      </c>
      <c r="U323" s="273">
        <f>IFERROR(INDEX('2. GRI Pricing Inputs'!$C$89:$AI$90,MATCH('3. GRI Pricing'!$U$16,'2. GRI Pricing Inputs'!$C$89:$C$90,0),MATCH('1. Accomodation'!W327,'2. GRI Pricing Inputs'!$C$89:$AI$89,0)),0)</f>
        <v>0</v>
      </c>
      <c r="V323" s="273">
        <f>IFERROR(INDEX('2. GRI Pricing Inputs'!$C$97:$AI$98,MATCH('3. GRI Pricing'!$V$16,'2. GRI Pricing Inputs'!$C$97:$C$98,0),MATCH('1. Accomodation'!X327,'2. GRI Pricing Inputs'!$C$97:$AI$97,0)),0)</f>
        <v>0</v>
      </c>
      <c r="W323" s="273">
        <f>IFERROR(INDEX('2. GRI Pricing Inputs'!$C$104:$AI$105,MATCH('3. GRI Pricing'!$W$16,'2. GRI Pricing Inputs'!$C$104:$C$105,0),MATCH('1. Accomodation'!Y327,'2. GRI Pricing Inputs'!$C$104:$AI$104,0)),0)</f>
        <v>0</v>
      </c>
      <c r="X323" s="274"/>
      <c r="Y323" s="275">
        <f t="shared" si="11"/>
        <v>0</v>
      </c>
      <c r="Z323" s="276"/>
      <c r="AA323" s="276"/>
      <c r="AB323" s="276"/>
      <c r="AC323" s="272">
        <f>Y323*(1+'2. GRI Pricing Inputs'!$D$114)^(($AC$16-$AB$15)/365)</f>
        <v>0</v>
      </c>
      <c r="AD323" s="273">
        <f>AC323*(1+'2. GRI Pricing Inputs'!$D$114)^((AD$16-AC$16)/365)</f>
        <v>0</v>
      </c>
      <c r="AE323" s="273">
        <f>AD323*(1+'2. GRI Pricing Inputs'!$D$114)^((AE$16-AD$16)/365)</f>
        <v>0</v>
      </c>
      <c r="AF323" s="273">
        <f>AE323*(1+'2. GRI Pricing Inputs'!$D$114)^((AF$16-AE$16)/365)</f>
        <v>0</v>
      </c>
      <c r="AG323" s="273">
        <f>AF323*(1+'2. GRI Pricing Inputs'!$D$114)^((AG$16-AF$16)/365)</f>
        <v>0</v>
      </c>
      <c r="AH323" s="273">
        <f>AG323*(1+'2. GRI Pricing Inputs'!$D$114)^((AH$16-AG$16)/365)</f>
        <v>0</v>
      </c>
      <c r="AI323" s="273">
        <f>AH323*(1+'2. GRI Pricing Inputs'!$D$114)^((AI$16-AH$16)/365)</f>
        <v>0</v>
      </c>
      <c r="AJ323" s="273">
        <f>AI323*(1+'2. GRI Pricing Inputs'!$D$114)^((AJ$16-AI$16)/365)</f>
        <v>0</v>
      </c>
      <c r="AK323" s="273">
        <f>AJ323*(1+'2. GRI Pricing Inputs'!$D$114)^((AK$16-AJ$16)/365)</f>
        <v>0</v>
      </c>
      <c r="AL323" s="273">
        <f>AK323*(1+'2. GRI Pricing Inputs'!$D$114)^((AL$16-AK$16)/365)</f>
        <v>0</v>
      </c>
      <c r="AM323" s="273">
        <f>AL323*(1+'2. GRI Pricing Inputs'!$D$114)^((AM$16-AL$16)/365)</f>
        <v>0</v>
      </c>
      <c r="AN323" s="273">
        <f>AM323*(1+'2. GRI Pricing Inputs'!$D$114)^((AN$16-AM$16)/365)</f>
        <v>0</v>
      </c>
      <c r="AO323" s="273">
        <f>AN323*(1+'2. GRI Pricing Inputs'!$D$114)^((AO$16-AN$16)/365)</f>
        <v>0</v>
      </c>
    </row>
    <row r="324" spans="3:41" ht="12" x14ac:dyDescent="0.2">
      <c r="C324" s="76">
        <f>'1. Accomodation'!N328</f>
        <v>0</v>
      </c>
      <c r="D324" s="69">
        <f>'1. Accomodation'!P328</f>
        <v>0</v>
      </c>
      <c r="E324" s="69">
        <f>'1. Accomodation'!Q328</f>
        <v>0</v>
      </c>
      <c r="F324" s="77">
        <f>'1. Accomodation'!O328</f>
        <v>0</v>
      </c>
      <c r="G324" s="69">
        <f>'1. Accomodation'!R328</f>
        <v>0</v>
      </c>
      <c r="H324" s="69">
        <f>'1. Accomodation'!S328</f>
        <v>0</v>
      </c>
      <c r="I324" s="62"/>
      <c r="K324" s="272">
        <f>IFERROR(INDEX('2. GRI Pricing Inputs'!$C$15:$AI$16,MATCH($K$16,'2. GRI Pricing Inputs'!$C$15:$C$16,0),MATCH(D324,'2. GRI Pricing Inputs'!$C$15:$AI$15,0)),0)</f>
        <v>0</v>
      </c>
      <c r="L324" s="273">
        <f>IFERROR(INDEX('2. GRI Pricing Inputs'!$C$22:$AI$23,MATCH($L$16,'2. GRI Pricing Inputs'!$C$22:$C$23,0),MATCH(E324,'2. GRI Pricing Inputs'!$C$22:$AI$22,0)),0)</f>
        <v>0</v>
      </c>
      <c r="M324" s="328">
        <f>IF(AND('3. GRI Pricing'!$F324&gt;='2. GRI Pricing Inputs'!$D$33,'3. GRI Pricing'!$F324&lt;='2. GRI Pricing Inputs'!$E$33),'2. GRI Pricing Inputs'!$D$32,IF(AND('3. GRI Pricing'!$F324&gt;='2. GRI Pricing Inputs'!$F$33,'3. GRI Pricing'!$F324&lt;='2. GRI Pricing Inputs'!$G$33),'2. GRI Pricing Inputs'!$F$32,IF(AND('3. GRI Pricing'!$F324&gt;='2. GRI Pricing Inputs'!$H$33,'3. GRI Pricing'!$F324&lt;='2. GRI Pricing Inputs'!$I$33),'2. GRI Pricing Inputs'!$H$32,IF(AND('3. GRI Pricing'!$F324&gt;='2. GRI Pricing Inputs'!$J$33,'3. GRI Pricing'!$F324&lt;='2. GRI Pricing Inputs'!$K$33),'2. GRI Pricing Inputs'!$J$32,IF(AND('3. GRI Pricing'!$F324&gt;='2. GRI Pricing Inputs'!$L$33,'3. GRI Pricing'!$F324&lt;='2. GRI Pricing Inputs'!$M$33),'2. GRI Pricing Inputs'!$L$32,IF(AND('3. GRI Pricing'!$F324&gt;='2. GRI Pricing Inputs'!$N$33,'3. GRI Pricing'!$F324&lt;='2. GRI Pricing Inputs'!$O$33),'2. GRI Pricing Inputs'!$N$32,IF(AND('3. GRI Pricing'!$F324&gt;='2. GRI Pricing Inputs'!$P$33,'3. GRI Pricing'!$F324&lt;='2. GRI Pricing Inputs'!$Q$33),'2. GRI Pricing Inputs'!$P$32,IF(AND('3. GRI Pricing'!$F324&gt;='2. GRI Pricing Inputs'!$R$33,'3. GRI Pricing'!$F324&lt;='2. GRI Pricing Inputs'!$S$33),'2. GRI Pricing Inputs'!$R$32,IF(AND('3. GRI Pricing'!$F324&gt;='2. GRI Pricing Inputs'!$T$33,'3. GRI Pricing'!$F324&lt;='2. GRI Pricing Inputs'!$U$33),'2. GRI Pricing Inputs'!$T$32,IF(AND('3. GRI Pricing'!$F324&gt;='2. GRI Pricing Inputs'!$V$33,'3. GRI Pricing'!$F324&lt;='2. GRI Pricing Inputs'!$W$33),'2. GRI Pricing Inputs'!$V$32,IF(AND('3. GRI Pricing'!$F324&gt;='2. GRI Pricing Inputs'!$X$33,'3. GRI Pricing'!$F324&lt;='2. GRI Pricing Inputs'!$Y$33),'2. GRI Pricing Inputs'!$X$32,IF(AND('3. GRI Pricing'!$F324&gt;='2. GRI Pricing Inputs'!$Z$33,'3. GRI Pricing'!$F324&lt;='2. GRI Pricing Inputs'!$AA$33),'2. GRI Pricing Inputs'!$Z$32,IF(AND('3. GRI Pricing'!$F324&gt;='2. GRI Pricing Inputs'!$AB$33,'3. GRI Pricing'!$F324&lt;='2. GRI Pricing Inputs'!$AC$33),'2. GRI Pricing Inputs'!$AB$32,IF(AND('3. GRI Pricing'!$F324&gt;='2. GRI Pricing Inputs'!$AD$33,'3. GRI Pricing'!$F324&lt;='2. GRI Pricing Inputs'!$AE$33),'2. GRI Pricing Inputs'!$AD$32,IF(AND('3. GRI Pricing'!$F324&gt;='2. GRI Pricing Inputs'!$AF$33,'3. GRI Pricing'!$F324&lt;='2. GRI Pricing Inputs'!$AG$33),'2. GRI Pricing Inputs'!$AF$32,IF(AND('3. GRI Pricing'!$F324&gt;='2. GRI Pricing Inputs'!$AH$33,'3. GRI Pricing'!$F324&lt;='2. GRI Pricing Inputs'!$AI$33),'2. GRI Pricing Inputs'!$AH$32,0))))))))))))))))</f>
        <v>0</v>
      </c>
      <c r="N324" s="273" cm="1">
        <f t="array" ref="N324">IFERROR(INDEX('2. GRI Pricing Inputs'!$C$32:$AI$39,MATCH('3. GRI Pricing'!D324,'2. GRI Pricing Inputs'!$C$32:$C$39,0),(MATCH('3. GRI Pricing'!M324,'2. GRI Pricing Inputs'!$D$32:$AI$32,0)+1)),0)</f>
        <v>0</v>
      </c>
      <c r="O324" s="273">
        <f>IFERROR(INDEX('2. GRI Pricing Inputs'!$C$45:$AI$46,MATCH($O$16,'2. GRI Pricing Inputs'!$C$45:$C$46,0),MATCH(G324,'2. GRI Pricing Inputs'!$C$45:$AI$45,0)),0)</f>
        <v>0</v>
      </c>
      <c r="P324" s="273">
        <f>IFERROR(INDEX('2. GRI Pricing Inputs'!$C$53:$AI$54,MATCH('3. GRI Pricing'!$P$16,'2. GRI Pricing Inputs'!$C$53:$C$54,0),MATCH('3. GRI Pricing'!H324,'2. GRI Pricing Inputs'!$C$53:$AI$53,0)),0)</f>
        <v>0</v>
      </c>
      <c r="Q324" s="273">
        <f>IFERROR(INDEX('2. GRI Pricing Inputs'!$C$60:$AI$61,MATCH('3. GRI Pricing'!$Q$16,'2. GRI Pricing Inputs'!$C$60:$C$61,0),MATCH('1. Accomodation'!T328,'2. GRI Pricing Inputs'!$C$60:$AI$60,0)),0)</f>
        <v>0</v>
      </c>
      <c r="R324" s="273">
        <f>IFERROR(INDEX('2. GRI Pricing Inputs'!$C$67:$AI$68,MATCH('3. GRI Pricing'!$R$16,'2. GRI Pricing Inputs'!$C$67:$C$68,0),MATCH('1. Accomodation'!U328,'2. GRI Pricing Inputs'!$C$67:$AI$67,0)),0)</f>
        <v>0</v>
      </c>
      <c r="S324" s="273">
        <f>IF(D324=0,0,'2. GRI Pricing Inputs'!$AI$75)</f>
        <v>0</v>
      </c>
      <c r="T324" s="273">
        <f>IFERROR(INDEX('2. GRI Pricing Inputs'!$C$82:$AI$83,MATCH('3. GRI Pricing'!$T$16,'2. GRI Pricing Inputs'!$C$82:$C$83,0),MATCH('1. Accomodation'!V328,'2. GRI Pricing Inputs'!$C$82:$AI$82,0)),0)</f>
        <v>0</v>
      </c>
      <c r="U324" s="273">
        <f>IFERROR(INDEX('2. GRI Pricing Inputs'!$C$89:$AI$90,MATCH('3. GRI Pricing'!$U$16,'2. GRI Pricing Inputs'!$C$89:$C$90,0),MATCH('1. Accomodation'!W328,'2. GRI Pricing Inputs'!$C$89:$AI$89,0)),0)</f>
        <v>0</v>
      </c>
      <c r="V324" s="273">
        <f>IFERROR(INDEX('2. GRI Pricing Inputs'!$C$97:$AI$98,MATCH('3. GRI Pricing'!$V$16,'2. GRI Pricing Inputs'!$C$97:$C$98,0),MATCH('1. Accomodation'!X328,'2. GRI Pricing Inputs'!$C$97:$AI$97,0)),0)</f>
        <v>0</v>
      </c>
      <c r="W324" s="273">
        <f>IFERROR(INDEX('2. GRI Pricing Inputs'!$C$104:$AI$105,MATCH('3. GRI Pricing'!$W$16,'2. GRI Pricing Inputs'!$C$104:$C$105,0),MATCH('1. Accomodation'!Y328,'2. GRI Pricing Inputs'!$C$104:$AI$104,0)),0)</f>
        <v>0</v>
      </c>
      <c r="X324" s="274"/>
      <c r="Y324" s="275">
        <f t="shared" si="11"/>
        <v>0</v>
      </c>
      <c r="Z324" s="276"/>
      <c r="AA324" s="276"/>
      <c r="AB324" s="276"/>
      <c r="AC324" s="272">
        <f>Y324*(1+'2. GRI Pricing Inputs'!$D$114)^(($AC$16-$AB$15)/365)</f>
        <v>0</v>
      </c>
      <c r="AD324" s="273">
        <f>AC324*(1+'2. GRI Pricing Inputs'!$D$114)^((AD$16-AC$16)/365)</f>
        <v>0</v>
      </c>
      <c r="AE324" s="273">
        <f>AD324*(1+'2. GRI Pricing Inputs'!$D$114)^((AE$16-AD$16)/365)</f>
        <v>0</v>
      </c>
      <c r="AF324" s="273">
        <f>AE324*(1+'2. GRI Pricing Inputs'!$D$114)^((AF$16-AE$16)/365)</f>
        <v>0</v>
      </c>
      <c r="AG324" s="273">
        <f>AF324*(1+'2. GRI Pricing Inputs'!$D$114)^((AG$16-AF$16)/365)</f>
        <v>0</v>
      </c>
      <c r="AH324" s="273">
        <f>AG324*(1+'2. GRI Pricing Inputs'!$D$114)^((AH$16-AG$16)/365)</f>
        <v>0</v>
      </c>
      <c r="AI324" s="273">
        <f>AH324*(1+'2. GRI Pricing Inputs'!$D$114)^((AI$16-AH$16)/365)</f>
        <v>0</v>
      </c>
      <c r="AJ324" s="273">
        <f>AI324*(1+'2. GRI Pricing Inputs'!$D$114)^((AJ$16-AI$16)/365)</f>
        <v>0</v>
      </c>
      <c r="AK324" s="273">
        <f>AJ324*(1+'2. GRI Pricing Inputs'!$D$114)^((AK$16-AJ$16)/365)</f>
        <v>0</v>
      </c>
      <c r="AL324" s="273">
        <f>AK324*(1+'2. GRI Pricing Inputs'!$D$114)^((AL$16-AK$16)/365)</f>
        <v>0</v>
      </c>
      <c r="AM324" s="273">
        <f>AL324*(1+'2. GRI Pricing Inputs'!$D$114)^((AM$16-AL$16)/365)</f>
        <v>0</v>
      </c>
      <c r="AN324" s="273">
        <f>AM324*(1+'2. GRI Pricing Inputs'!$D$114)^((AN$16-AM$16)/365)</f>
        <v>0</v>
      </c>
      <c r="AO324" s="273">
        <f>AN324*(1+'2. GRI Pricing Inputs'!$D$114)^((AO$16-AN$16)/365)</f>
        <v>0</v>
      </c>
    </row>
    <row r="325" spans="3:41" ht="12" x14ac:dyDescent="0.2">
      <c r="C325" s="76">
        <f>'1. Accomodation'!N329</f>
        <v>0</v>
      </c>
      <c r="D325" s="69">
        <f>'1. Accomodation'!P329</f>
        <v>0</v>
      </c>
      <c r="E325" s="69">
        <f>'1. Accomodation'!Q329</f>
        <v>0</v>
      </c>
      <c r="F325" s="77">
        <f>'1. Accomodation'!O329</f>
        <v>0</v>
      </c>
      <c r="G325" s="69">
        <f>'1. Accomodation'!R329</f>
        <v>0</v>
      </c>
      <c r="H325" s="69">
        <f>'1. Accomodation'!S329</f>
        <v>0</v>
      </c>
      <c r="I325" s="62"/>
      <c r="K325" s="272">
        <f>IFERROR(INDEX('2. GRI Pricing Inputs'!$C$15:$AI$16,MATCH($K$16,'2. GRI Pricing Inputs'!$C$15:$C$16,0),MATCH(D325,'2. GRI Pricing Inputs'!$C$15:$AI$15,0)),0)</f>
        <v>0</v>
      </c>
      <c r="L325" s="273">
        <f>IFERROR(INDEX('2. GRI Pricing Inputs'!$C$22:$AI$23,MATCH($L$16,'2. GRI Pricing Inputs'!$C$22:$C$23,0),MATCH(E325,'2. GRI Pricing Inputs'!$C$22:$AI$22,0)),0)</f>
        <v>0</v>
      </c>
      <c r="M325" s="328">
        <f>IF(AND('3. GRI Pricing'!$F325&gt;='2. GRI Pricing Inputs'!$D$33,'3. GRI Pricing'!$F325&lt;='2. GRI Pricing Inputs'!$E$33),'2. GRI Pricing Inputs'!$D$32,IF(AND('3. GRI Pricing'!$F325&gt;='2. GRI Pricing Inputs'!$F$33,'3. GRI Pricing'!$F325&lt;='2. GRI Pricing Inputs'!$G$33),'2. GRI Pricing Inputs'!$F$32,IF(AND('3. GRI Pricing'!$F325&gt;='2. GRI Pricing Inputs'!$H$33,'3. GRI Pricing'!$F325&lt;='2. GRI Pricing Inputs'!$I$33),'2. GRI Pricing Inputs'!$H$32,IF(AND('3. GRI Pricing'!$F325&gt;='2. GRI Pricing Inputs'!$J$33,'3. GRI Pricing'!$F325&lt;='2. GRI Pricing Inputs'!$K$33),'2. GRI Pricing Inputs'!$J$32,IF(AND('3. GRI Pricing'!$F325&gt;='2. GRI Pricing Inputs'!$L$33,'3. GRI Pricing'!$F325&lt;='2. GRI Pricing Inputs'!$M$33),'2. GRI Pricing Inputs'!$L$32,IF(AND('3. GRI Pricing'!$F325&gt;='2. GRI Pricing Inputs'!$N$33,'3. GRI Pricing'!$F325&lt;='2. GRI Pricing Inputs'!$O$33),'2. GRI Pricing Inputs'!$N$32,IF(AND('3. GRI Pricing'!$F325&gt;='2. GRI Pricing Inputs'!$P$33,'3. GRI Pricing'!$F325&lt;='2. GRI Pricing Inputs'!$Q$33),'2. GRI Pricing Inputs'!$P$32,IF(AND('3. GRI Pricing'!$F325&gt;='2. GRI Pricing Inputs'!$R$33,'3. GRI Pricing'!$F325&lt;='2. GRI Pricing Inputs'!$S$33),'2. GRI Pricing Inputs'!$R$32,IF(AND('3. GRI Pricing'!$F325&gt;='2. GRI Pricing Inputs'!$T$33,'3. GRI Pricing'!$F325&lt;='2. GRI Pricing Inputs'!$U$33),'2. GRI Pricing Inputs'!$T$32,IF(AND('3. GRI Pricing'!$F325&gt;='2. GRI Pricing Inputs'!$V$33,'3. GRI Pricing'!$F325&lt;='2. GRI Pricing Inputs'!$W$33),'2. GRI Pricing Inputs'!$V$32,IF(AND('3. GRI Pricing'!$F325&gt;='2. GRI Pricing Inputs'!$X$33,'3. GRI Pricing'!$F325&lt;='2. GRI Pricing Inputs'!$Y$33),'2. GRI Pricing Inputs'!$X$32,IF(AND('3. GRI Pricing'!$F325&gt;='2. GRI Pricing Inputs'!$Z$33,'3. GRI Pricing'!$F325&lt;='2. GRI Pricing Inputs'!$AA$33),'2. GRI Pricing Inputs'!$Z$32,IF(AND('3. GRI Pricing'!$F325&gt;='2. GRI Pricing Inputs'!$AB$33,'3. GRI Pricing'!$F325&lt;='2. GRI Pricing Inputs'!$AC$33),'2. GRI Pricing Inputs'!$AB$32,IF(AND('3. GRI Pricing'!$F325&gt;='2. GRI Pricing Inputs'!$AD$33,'3. GRI Pricing'!$F325&lt;='2. GRI Pricing Inputs'!$AE$33),'2. GRI Pricing Inputs'!$AD$32,IF(AND('3. GRI Pricing'!$F325&gt;='2. GRI Pricing Inputs'!$AF$33,'3. GRI Pricing'!$F325&lt;='2. GRI Pricing Inputs'!$AG$33),'2. GRI Pricing Inputs'!$AF$32,IF(AND('3. GRI Pricing'!$F325&gt;='2. GRI Pricing Inputs'!$AH$33,'3. GRI Pricing'!$F325&lt;='2. GRI Pricing Inputs'!$AI$33),'2. GRI Pricing Inputs'!$AH$32,0))))))))))))))))</f>
        <v>0</v>
      </c>
      <c r="N325" s="273" cm="1">
        <f t="array" ref="N325">IFERROR(INDEX('2. GRI Pricing Inputs'!$C$32:$AI$39,MATCH('3. GRI Pricing'!D325,'2. GRI Pricing Inputs'!$C$32:$C$39,0),(MATCH('3. GRI Pricing'!M325,'2. GRI Pricing Inputs'!$D$32:$AI$32,0)+1)),0)</f>
        <v>0</v>
      </c>
      <c r="O325" s="273">
        <f>IFERROR(INDEX('2. GRI Pricing Inputs'!$C$45:$AI$46,MATCH($O$16,'2. GRI Pricing Inputs'!$C$45:$C$46,0),MATCH(G325,'2. GRI Pricing Inputs'!$C$45:$AI$45,0)),0)</f>
        <v>0</v>
      </c>
      <c r="P325" s="273">
        <f>IFERROR(INDEX('2. GRI Pricing Inputs'!$C$53:$AI$54,MATCH('3. GRI Pricing'!$P$16,'2. GRI Pricing Inputs'!$C$53:$C$54,0),MATCH('3. GRI Pricing'!H325,'2. GRI Pricing Inputs'!$C$53:$AI$53,0)),0)</f>
        <v>0</v>
      </c>
      <c r="Q325" s="273">
        <f>IFERROR(INDEX('2. GRI Pricing Inputs'!$C$60:$AI$61,MATCH('3. GRI Pricing'!$Q$16,'2. GRI Pricing Inputs'!$C$60:$C$61,0),MATCH('1. Accomodation'!T329,'2. GRI Pricing Inputs'!$C$60:$AI$60,0)),0)</f>
        <v>0</v>
      </c>
      <c r="R325" s="273">
        <f>IFERROR(INDEX('2. GRI Pricing Inputs'!$C$67:$AI$68,MATCH('3. GRI Pricing'!$R$16,'2. GRI Pricing Inputs'!$C$67:$C$68,0),MATCH('1. Accomodation'!U329,'2. GRI Pricing Inputs'!$C$67:$AI$67,0)),0)</f>
        <v>0</v>
      </c>
      <c r="S325" s="273">
        <f>IF(D325=0,0,'2. GRI Pricing Inputs'!$AI$75)</f>
        <v>0</v>
      </c>
      <c r="T325" s="273">
        <f>IFERROR(INDEX('2. GRI Pricing Inputs'!$C$82:$AI$83,MATCH('3. GRI Pricing'!$T$16,'2. GRI Pricing Inputs'!$C$82:$C$83,0),MATCH('1. Accomodation'!V329,'2. GRI Pricing Inputs'!$C$82:$AI$82,0)),0)</f>
        <v>0</v>
      </c>
      <c r="U325" s="273">
        <f>IFERROR(INDEX('2. GRI Pricing Inputs'!$C$89:$AI$90,MATCH('3. GRI Pricing'!$U$16,'2. GRI Pricing Inputs'!$C$89:$C$90,0),MATCH('1. Accomodation'!W329,'2. GRI Pricing Inputs'!$C$89:$AI$89,0)),0)</f>
        <v>0</v>
      </c>
      <c r="V325" s="273">
        <f>IFERROR(INDEX('2. GRI Pricing Inputs'!$C$97:$AI$98,MATCH('3. GRI Pricing'!$V$16,'2. GRI Pricing Inputs'!$C$97:$C$98,0),MATCH('1. Accomodation'!X329,'2. GRI Pricing Inputs'!$C$97:$AI$97,0)),0)</f>
        <v>0</v>
      </c>
      <c r="W325" s="273">
        <f>IFERROR(INDEX('2. GRI Pricing Inputs'!$C$104:$AI$105,MATCH('3. GRI Pricing'!$W$16,'2. GRI Pricing Inputs'!$C$104:$C$105,0),MATCH('1. Accomodation'!Y329,'2. GRI Pricing Inputs'!$C$104:$AI$104,0)),0)</f>
        <v>0</v>
      </c>
      <c r="X325" s="274"/>
      <c r="Y325" s="275">
        <f t="shared" si="11"/>
        <v>0</v>
      </c>
      <c r="Z325" s="276"/>
      <c r="AA325" s="276"/>
      <c r="AB325" s="276"/>
      <c r="AC325" s="272">
        <f>Y325*(1+'2. GRI Pricing Inputs'!$D$114)^(($AC$16-$AB$15)/365)</f>
        <v>0</v>
      </c>
      <c r="AD325" s="273">
        <f>AC325*(1+'2. GRI Pricing Inputs'!$D$114)^((AD$16-AC$16)/365)</f>
        <v>0</v>
      </c>
      <c r="AE325" s="273">
        <f>AD325*(1+'2. GRI Pricing Inputs'!$D$114)^((AE$16-AD$16)/365)</f>
        <v>0</v>
      </c>
      <c r="AF325" s="273">
        <f>AE325*(1+'2. GRI Pricing Inputs'!$D$114)^((AF$16-AE$16)/365)</f>
        <v>0</v>
      </c>
      <c r="AG325" s="273">
        <f>AF325*(1+'2. GRI Pricing Inputs'!$D$114)^((AG$16-AF$16)/365)</f>
        <v>0</v>
      </c>
      <c r="AH325" s="273">
        <f>AG325*(1+'2. GRI Pricing Inputs'!$D$114)^((AH$16-AG$16)/365)</f>
        <v>0</v>
      </c>
      <c r="AI325" s="273">
        <f>AH325*(1+'2. GRI Pricing Inputs'!$D$114)^((AI$16-AH$16)/365)</f>
        <v>0</v>
      </c>
      <c r="AJ325" s="273">
        <f>AI325*(1+'2. GRI Pricing Inputs'!$D$114)^((AJ$16-AI$16)/365)</f>
        <v>0</v>
      </c>
      <c r="AK325" s="273">
        <f>AJ325*(1+'2. GRI Pricing Inputs'!$D$114)^((AK$16-AJ$16)/365)</f>
        <v>0</v>
      </c>
      <c r="AL325" s="273">
        <f>AK325*(1+'2. GRI Pricing Inputs'!$D$114)^((AL$16-AK$16)/365)</f>
        <v>0</v>
      </c>
      <c r="AM325" s="273">
        <f>AL325*(1+'2. GRI Pricing Inputs'!$D$114)^((AM$16-AL$16)/365)</f>
        <v>0</v>
      </c>
      <c r="AN325" s="273">
        <f>AM325*(1+'2. GRI Pricing Inputs'!$D$114)^((AN$16-AM$16)/365)</f>
        <v>0</v>
      </c>
      <c r="AO325" s="273">
        <f>AN325*(1+'2. GRI Pricing Inputs'!$D$114)^((AO$16-AN$16)/365)</f>
        <v>0</v>
      </c>
    </row>
    <row r="326" spans="3:41" ht="12" x14ac:dyDescent="0.2">
      <c r="C326" s="76">
        <f>'1. Accomodation'!N330</f>
        <v>0</v>
      </c>
      <c r="D326" s="69">
        <f>'1. Accomodation'!P330</f>
        <v>0</v>
      </c>
      <c r="E326" s="69">
        <f>'1. Accomodation'!Q330</f>
        <v>0</v>
      </c>
      <c r="F326" s="77">
        <f>'1. Accomodation'!O330</f>
        <v>0</v>
      </c>
      <c r="G326" s="69">
        <f>'1. Accomodation'!R330</f>
        <v>0</v>
      </c>
      <c r="H326" s="69">
        <f>'1. Accomodation'!S330</f>
        <v>0</v>
      </c>
      <c r="I326" s="62"/>
      <c r="K326" s="272">
        <f>IFERROR(INDEX('2. GRI Pricing Inputs'!$C$15:$AI$16,MATCH($K$16,'2. GRI Pricing Inputs'!$C$15:$C$16,0),MATCH(D326,'2. GRI Pricing Inputs'!$C$15:$AI$15,0)),0)</f>
        <v>0</v>
      </c>
      <c r="L326" s="273">
        <f>IFERROR(INDEX('2. GRI Pricing Inputs'!$C$22:$AI$23,MATCH($L$16,'2. GRI Pricing Inputs'!$C$22:$C$23,0),MATCH(E326,'2. GRI Pricing Inputs'!$C$22:$AI$22,0)),0)</f>
        <v>0</v>
      </c>
      <c r="M326" s="328">
        <f>IF(AND('3. GRI Pricing'!$F326&gt;='2. GRI Pricing Inputs'!$D$33,'3. GRI Pricing'!$F326&lt;='2. GRI Pricing Inputs'!$E$33),'2. GRI Pricing Inputs'!$D$32,IF(AND('3. GRI Pricing'!$F326&gt;='2. GRI Pricing Inputs'!$F$33,'3. GRI Pricing'!$F326&lt;='2. GRI Pricing Inputs'!$G$33),'2. GRI Pricing Inputs'!$F$32,IF(AND('3. GRI Pricing'!$F326&gt;='2. GRI Pricing Inputs'!$H$33,'3. GRI Pricing'!$F326&lt;='2. GRI Pricing Inputs'!$I$33),'2. GRI Pricing Inputs'!$H$32,IF(AND('3. GRI Pricing'!$F326&gt;='2. GRI Pricing Inputs'!$J$33,'3. GRI Pricing'!$F326&lt;='2. GRI Pricing Inputs'!$K$33),'2. GRI Pricing Inputs'!$J$32,IF(AND('3. GRI Pricing'!$F326&gt;='2. GRI Pricing Inputs'!$L$33,'3. GRI Pricing'!$F326&lt;='2. GRI Pricing Inputs'!$M$33),'2. GRI Pricing Inputs'!$L$32,IF(AND('3. GRI Pricing'!$F326&gt;='2. GRI Pricing Inputs'!$N$33,'3. GRI Pricing'!$F326&lt;='2. GRI Pricing Inputs'!$O$33),'2. GRI Pricing Inputs'!$N$32,IF(AND('3. GRI Pricing'!$F326&gt;='2. GRI Pricing Inputs'!$P$33,'3. GRI Pricing'!$F326&lt;='2. GRI Pricing Inputs'!$Q$33),'2. GRI Pricing Inputs'!$P$32,IF(AND('3. GRI Pricing'!$F326&gt;='2. GRI Pricing Inputs'!$R$33,'3. GRI Pricing'!$F326&lt;='2. GRI Pricing Inputs'!$S$33),'2. GRI Pricing Inputs'!$R$32,IF(AND('3. GRI Pricing'!$F326&gt;='2. GRI Pricing Inputs'!$T$33,'3. GRI Pricing'!$F326&lt;='2. GRI Pricing Inputs'!$U$33),'2. GRI Pricing Inputs'!$T$32,IF(AND('3. GRI Pricing'!$F326&gt;='2. GRI Pricing Inputs'!$V$33,'3. GRI Pricing'!$F326&lt;='2. GRI Pricing Inputs'!$W$33),'2. GRI Pricing Inputs'!$V$32,IF(AND('3. GRI Pricing'!$F326&gt;='2. GRI Pricing Inputs'!$X$33,'3. GRI Pricing'!$F326&lt;='2. GRI Pricing Inputs'!$Y$33),'2. GRI Pricing Inputs'!$X$32,IF(AND('3. GRI Pricing'!$F326&gt;='2. GRI Pricing Inputs'!$Z$33,'3. GRI Pricing'!$F326&lt;='2. GRI Pricing Inputs'!$AA$33),'2. GRI Pricing Inputs'!$Z$32,IF(AND('3. GRI Pricing'!$F326&gt;='2. GRI Pricing Inputs'!$AB$33,'3. GRI Pricing'!$F326&lt;='2. GRI Pricing Inputs'!$AC$33),'2. GRI Pricing Inputs'!$AB$32,IF(AND('3. GRI Pricing'!$F326&gt;='2. GRI Pricing Inputs'!$AD$33,'3. GRI Pricing'!$F326&lt;='2. GRI Pricing Inputs'!$AE$33),'2. GRI Pricing Inputs'!$AD$32,IF(AND('3. GRI Pricing'!$F326&gt;='2. GRI Pricing Inputs'!$AF$33,'3. GRI Pricing'!$F326&lt;='2. GRI Pricing Inputs'!$AG$33),'2. GRI Pricing Inputs'!$AF$32,IF(AND('3. GRI Pricing'!$F326&gt;='2. GRI Pricing Inputs'!$AH$33,'3. GRI Pricing'!$F326&lt;='2. GRI Pricing Inputs'!$AI$33),'2. GRI Pricing Inputs'!$AH$32,0))))))))))))))))</f>
        <v>0</v>
      </c>
      <c r="N326" s="273" cm="1">
        <f t="array" ref="N326">IFERROR(INDEX('2. GRI Pricing Inputs'!$C$32:$AI$39,MATCH('3. GRI Pricing'!D326,'2. GRI Pricing Inputs'!$C$32:$C$39,0),(MATCH('3. GRI Pricing'!M326,'2. GRI Pricing Inputs'!$D$32:$AI$32,0)+1)),0)</f>
        <v>0</v>
      </c>
      <c r="O326" s="273">
        <f>IFERROR(INDEX('2. GRI Pricing Inputs'!$C$45:$AI$46,MATCH($O$16,'2. GRI Pricing Inputs'!$C$45:$C$46,0),MATCH(G326,'2. GRI Pricing Inputs'!$C$45:$AI$45,0)),0)</f>
        <v>0</v>
      </c>
      <c r="P326" s="273">
        <f>IFERROR(INDEX('2. GRI Pricing Inputs'!$C$53:$AI$54,MATCH('3. GRI Pricing'!$P$16,'2. GRI Pricing Inputs'!$C$53:$C$54,0),MATCH('3. GRI Pricing'!H326,'2. GRI Pricing Inputs'!$C$53:$AI$53,0)),0)</f>
        <v>0</v>
      </c>
      <c r="Q326" s="273">
        <f>IFERROR(INDEX('2. GRI Pricing Inputs'!$C$60:$AI$61,MATCH('3. GRI Pricing'!$Q$16,'2. GRI Pricing Inputs'!$C$60:$C$61,0),MATCH('1. Accomodation'!T330,'2. GRI Pricing Inputs'!$C$60:$AI$60,0)),0)</f>
        <v>0</v>
      </c>
      <c r="R326" s="273">
        <f>IFERROR(INDEX('2. GRI Pricing Inputs'!$C$67:$AI$68,MATCH('3. GRI Pricing'!$R$16,'2. GRI Pricing Inputs'!$C$67:$C$68,0),MATCH('1. Accomodation'!U330,'2. GRI Pricing Inputs'!$C$67:$AI$67,0)),0)</f>
        <v>0</v>
      </c>
      <c r="S326" s="273">
        <f>IF(D326=0,0,'2. GRI Pricing Inputs'!$AI$75)</f>
        <v>0</v>
      </c>
      <c r="T326" s="273">
        <f>IFERROR(INDEX('2. GRI Pricing Inputs'!$C$82:$AI$83,MATCH('3. GRI Pricing'!$T$16,'2. GRI Pricing Inputs'!$C$82:$C$83,0),MATCH('1. Accomodation'!V330,'2. GRI Pricing Inputs'!$C$82:$AI$82,0)),0)</f>
        <v>0</v>
      </c>
      <c r="U326" s="273">
        <f>IFERROR(INDEX('2. GRI Pricing Inputs'!$C$89:$AI$90,MATCH('3. GRI Pricing'!$U$16,'2. GRI Pricing Inputs'!$C$89:$C$90,0),MATCH('1. Accomodation'!W330,'2. GRI Pricing Inputs'!$C$89:$AI$89,0)),0)</f>
        <v>0</v>
      </c>
      <c r="V326" s="273">
        <f>IFERROR(INDEX('2. GRI Pricing Inputs'!$C$97:$AI$98,MATCH('3. GRI Pricing'!$V$16,'2. GRI Pricing Inputs'!$C$97:$C$98,0),MATCH('1. Accomodation'!X330,'2. GRI Pricing Inputs'!$C$97:$AI$97,0)),0)</f>
        <v>0</v>
      </c>
      <c r="W326" s="273">
        <f>IFERROR(INDEX('2. GRI Pricing Inputs'!$C$104:$AI$105,MATCH('3. GRI Pricing'!$W$16,'2. GRI Pricing Inputs'!$C$104:$C$105,0),MATCH('1. Accomodation'!Y330,'2. GRI Pricing Inputs'!$C$104:$AI$104,0)),0)</f>
        <v>0</v>
      </c>
      <c r="X326" s="274"/>
      <c r="Y326" s="275">
        <f t="shared" si="11"/>
        <v>0</v>
      </c>
      <c r="Z326" s="276"/>
      <c r="AA326" s="276"/>
      <c r="AB326" s="276"/>
      <c r="AC326" s="272">
        <f>Y326*(1+'2. GRI Pricing Inputs'!$D$114)^(($AC$16-$AB$15)/365)</f>
        <v>0</v>
      </c>
      <c r="AD326" s="273">
        <f>AC326*(1+'2. GRI Pricing Inputs'!$D$114)^((AD$16-AC$16)/365)</f>
        <v>0</v>
      </c>
      <c r="AE326" s="273">
        <f>AD326*(1+'2. GRI Pricing Inputs'!$D$114)^((AE$16-AD$16)/365)</f>
        <v>0</v>
      </c>
      <c r="AF326" s="273">
        <f>AE326*(1+'2. GRI Pricing Inputs'!$D$114)^((AF$16-AE$16)/365)</f>
        <v>0</v>
      </c>
      <c r="AG326" s="273">
        <f>AF326*(1+'2. GRI Pricing Inputs'!$D$114)^((AG$16-AF$16)/365)</f>
        <v>0</v>
      </c>
      <c r="AH326" s="273">
        <f>AG326*(1+'2. GRI Pricing Inputs'!$D$114)^((AH$16-AG$16)/365)</f>
        <v>0</v>
      </c>
      <c r="AI326" s="273">
        <f>AH326*(1+'2. GRI Pricing Inputs'!$D$114)^((AI$16-AH$16)/365)</f>
        <v>0</v>
      </c>
      <c r="AJ326" s="273">
        <f>AI326*(1+'2. GRI Pricing Inputs'!$D$114)^((AJ$16-AI$16)/365)</f>
        <v>0</v>
      </c>
      <c r="AK326" s="273">
        <f>AJ326*(1+'2. GRI Pricing Inputs'!$D$114)^((AK$16-AJ$16)/365)</f>
        <v>0</v>
      </c>
      <c r="AL326" s="273">
        <f>AK326*(1+'2. GRI Pricing Inputs'!$D$114)^((AL$16-AK$16)/365)</f>
        <v>0</v>
      </c>
      <c r="AM326" s="273">
        <f>AL326*(1+'2. GRI Pricing Inputs'!$D$114)^((AM$16-AL$16)/365)</f>
        <v>0</v>
      </c>
      <c r="AN326" s="273">
        <f>AM326*(1+'2. GRI Pricing Inputs'!$D$114)^((AN$16-AM$16)/365)</f>
        <v>0</v>
      </c>
      <c r="AO326" s="273">
        <f>AN326*(1+'2. GRI Pricing Inputs'!$D$114)^((AO$16-AN$16)/365)</f>
        <v>0</v>
      </c>
    </row>
    <row r="327" spans="3:41" ht="12" x14ac:dyDescent="0.2">
      <c r="C327" s="76">
        <f>'1. Accomodation'!N331</f>
        <v>0</v>
      </c>
      <c r="D327" s="69">
        <f>'1. Accomodation'!P331</f>
        <v>0</v>
      </c>
      <c r="E327" s="69">
        <f>'1. Accomodation'!Q331</f>
        <v>0</v>
      </c>
      <c r="F327" s="77">
        <f>'1. Accomodation'!O331</f>
        <v>0</v>
      </c>
      <c r="G327" s="69">
        <f>'1. Accomodation'!R331</f>
        <v>0</v>
      </c>
      <c r="H327" s="69">
        <f>'1. Accomodation'!S331</f>
        <v>0</v>
      </c>
      <c r="I327" s="62"/>
      <c r="K327" s="272">
        <f>IFERROR(INDEX('2. GRI Pricing Inputs'!$C$15:$AI$16,MATCH($K$16,'2. GRI Pricing Inputs'!$C$15:$C$16,0),MATCH(D327,'2. GRI Pricing Inputs'!$C$15:$AI$15,0)),0)</f>
        <v>0</v>
      </c>
      <c r="L327" s="273">
        <f>IFERROR(INDEX('2. GRI Pricing Inputs'!$C$22:$AI$23,MATCH($L$16,'2. GRI Pricing Inputs'!$C$22:$C$23,0),MATCH(E327,'2. GRI Pricing Inputs'!$C$22:$AI$22,0)),0)</f>
        <v>0</v>
      </c>
      <c r="M327" s="328">
        <f>IF(AND('3. GRI Pricing'!$F327&gt;='2. GRI Pricing Inputs'!$D$33,'3. GRI Pricing'!$F327&lt;='2. GRI Pricing Inputs'!$E$33),'2. GRI Pricing Inputs'!$D$32,IF(AND('3. GRI Pricing'!$F327&gt;='2. GRI Pricing Inputs'!$F$33,'3. GRI Pricing'!$F327&lt;='2. GRI Pricing Inputs'!$G$33),'2. GRI Pricing Inputs'!$F$32,IF(AND('3. GRI Pricing'!$F327&gt;='2. GRI Pricing Inputs'!$H$33,'3. GRI Pricing'!$F327&lt;='2. GRI Pricing Inputs'!$I$33),'2. GRI Pricing Inputs'!$H$32,IF(AND('3. GRI Pricing'!$F327&gt;='2. GRI Pricing Inputs'!$J$33,'3. GRI Pricing'!$F327&lt;='2. GRI Pricing Inputs'!$K$33),'2. GRI Pricing Inputs'!$J$32,IF(AND('3. GRI Pricing'!$F327&gt;='2. GRI Pricing Inputs'!$L$33,'3. GRI Pricing'!$F327&lt;='2. GRI Pricing Inputs'!$M$33),'2. GRI Pricing Inputs'!$L$32,IF(AND('3. GRI Pricing'!$F327&gt;='2. GRI Pricing Inputs'!$N$33,'3. GRI Pricing'!$F327&lt;='2. GRI Pricing Inputs'!$O$33),'2. GRI Pricing Inputs'!$N$32,IF(AND('3. GRI Pricing'!$F327&gt;='2. GRI Pricing Inputs'!$P$33,'3. GRI Pricing'!$F327&lt;='2. GRI Pricing Inputs'!$Q$33),'2. GRI Pricing Inputs'!$P$32,IF(AND('3. GRI Pricing'!$F327&gt;='2. GRI Pricing Inputs'!$R$33,'3. GRI Pricing'!$F327&lt;='2. GRI Pricing Inputs'!$S$33),'2. GRI Pricing Inputs'!$R$32,IF(AND('3. GRI Pricing'!$F327&gt;='2. GRI Pricing Inputs'!$T$33,'3. GRI Pricing'!$F327&lt;='2. GRI Pricing Inputs'!$U$33),'2. GRI Pricing Inputs'!$T$32,IF(AND('3. GRI Pricing'!$F327&gt;='2. GRI Pricing Inputs'!$V$33,'3. GRI Pricing'!$F327&lt;='2. GRI Pricing Inputs'!$W$33),'2. GRI Pricing Inputs'!$V$32,IF(AND('3. GRI Pricing'!$F327&gt;='2. GRI Pricing Inputs'!$X$33,'3. GRI Pricing'!$F327&lt;='2. GRI Pricing Inputs'!$Y$33),'2. GRI Pricing Inputs'!$X$32,IF(AND('3. GRI Pricing'!$F327&gt;='2. GRI Pricing Inputs'!$Z$33,'3. GRI Pricing'!$F327&lt;='2. GRI Pricing Inputs'!$AA$33),'2. GRI Pricing Inputs'!$Z$32,IF(AND('3. GRI Pricing'!$F327&gt;='2. GRI Pricing Inputs'!$AB$33,'3. GRI Pricing'!$F327&lt;='2. GRI Pricing Inputs'!$AC$33),'2. GRI Pricing Inputs'!$AB$32,IF(AND('3. GRI Pricing'!$F327&gt;='2. GRI Pricing Inputs'!$AD$33,'3. GRI Pricing'!$F327&lt;='2. GRI Pricing Inputs'!$AE$33),'2. GRI Pricing Inputs'!$AD$32,IF(AND('3. GRI Pricing'!$F327&gt;='2. GRI Pricing Inputs'!$AF$33,'3. GRI Pricing'!$F327&lt;='2. GRI Pricing Inputs'!$AG$33),'2. GRI Pricing Inputs'!$AF$32,IF(AND('3. GRI Pricing'!$F327&gt;='2. GRI Pricing Inputs'!$AH$33,'3. GRI Pricing'!$F327&lt;='2. GRI Pricing Inputs'!$AI$33),'2. GRI Pricing Inputs'!$AH$32,0))))))))))))))))</f>
        <v>0</v>
      </c>
      <c r="N327" s="273" cm="1">
        <f t="array" ref="N327">IFERROR(INDEX('2. GRI Pricing Inputs'!$C$32:$AI$39,MATCH('3. GRI Pricing'!D327,'2. GRI Pricing Inputs'!$C$32:$C$39,0),(MATCH('3. GRI Pricing'!M327,'2. GRI Pricing Inputs'!$D$32:$AI$32,0)+1)),0)</f>
        <v>0</v>
      </c>
      <c r="O327" s="273">
        <f>IFERROR(INDEX('2. GRI Pricing Inputs'!$C$45:$AI$46,MATCH($O$16,'2. GRI Pricing Inputs'!$C$45:$C$46,0),MATCH(G327,'2. GRI Pricing Inputs'!$C$45:$AI$45,0)),0)</f>
        <v>0</v>
      </c>
      <c r="P327" s="273">
        <f>IFERROR(INDEX('2. GRI Pricing Inputs'!$C$53:$AI$54,MATCH('3. GRI Pricing'!$P$16,'2. GRI Pricing Inputs'!$C$53:$C$54,0),MATCH('3. GRI Pricing'!H327,'2. GRI Pricing Inputs'!$C$53:$AI$53,0)),0)</f>
        <v>0</v>
      </c>
      <c r="Q327" s="273">
        <f>IFERROR(INDEX('2. GRI Pricing Inputs'!$C$60:$AI$61,MATCH('3. GRI Pricing'!$Q$16,'2. GRI Pricing Inputs'!$C$60:$C$61,0),MATCH('1. Accomodation'!T331,'2. GRI Pricing Inputs'!$C$60:$AI$60,0)),0)</f>
        <v>0</v>
      </c>
      <c r="R327" s="273">
        <f>IFERROR(INDEX('2. GRI Pricing Inputs'!$C$67:$AI$68,MATCH('3. GRI Pricing'!$R$16,'2. GRI Pricing Inputs'!$C$67:$C$68,0),MATCH('1. Accomodation'!U331,'2. GRI Pricing Inputs'!$C$67:$AI$67,0)),0)</f>
        <v>0</v>
      </c>
      <c r="S327" s="273">
        <f>IF(D327=0,0,'2. GRI Pricing Inputs'!$AI$75)</f>
        <v>0</v>
      </c>
      <c r="T327" s="273">
        <f>IFERROR(INDEX('2. GRI Pricing Inputs'!$C$82:$AI$83,MATCH('3. GRI Pricing'!$T$16,'2. GRI Pricing Inputs'!$C$82:$C$83,0),MATCH('1. Accomodation'!V331,'2. GRI Pricing Inputs'!$C$82:$AI$82,0)),0)</f>
        <v>0</v>
      </c>
      <c r="U327" s="273">
        <f>IFERROR(INDEX('2. GRI Pricing Inputs'!$C$89:$AI$90,MATCH('3. GRI Pricing'!$U$16,'2. GRI Pricing Inputs'!$C$89:$C$90,0),MATCH('1. Accomodation'!W331,'2. GRI Pricing Inputs'!$C$89:$AI$89,0)),0)</f>
        <v>0</v>
      </c>
      <c r="V327" s="273">
        <f>IFERROR(INDEX('2. GRI Pricing Inputs'!$C$97:$AI$98,MATCH('3. GRI Pricing'!$V$16,'2. GRI Pricing Inputs'!$C$97:$C$98,0),MATCH('1. Accomodation'!X331,'2. GRI Pricing Inputs'!$C$97:$AI$97,0)),0)</f>
        <v>0</v>
      </c>
      <c r="W327" s="273">
        <f>IFERROR(INDEX('2. GRI Pricing Inputs'!$C$104:$AI$105,MATCH('3. GRI Pricing'!$W$16,'2. GRI Pricing Inputs'!$C$104:$C$105,0),MATCH('1. Accomodation'!Y331,'2. GRI Pricing Inputs'!$C$104:$AI$104,0)),0)</f>
        <v>0</v>
      </c>
      <c r="X327" s="274"/>
      <c r="Y327" s="275">
        <f t="shared" si="11"/>
        <v>0</v>
      </c>
      <c r="Z327" s="276"/>
      <c r="AA327" s="276"/>
      <c r="AB327" s="276"/>
      <c r="AC327" s="272">
        <f>Y327*(1+'2. GRI Pricing Inputs'!$D$114)^(($AC$16-$AB$15)/365)</f>
        <v>0</v>
      </c>
      <c r="AD327" s="273">
        <f>AC327*(1+'2. GRI Pricing Inputs'!$D$114)^((AD$16-AC$16)/365)</f>
        <v>0</v>
      </c>
      <c r="AE327" s="273">
        <f>AD327*(1+'2. GRI Pricing Inputs'!$D$114)^((AE$16-AD$16)/365)</f>
        <v>0</v>
      </c>
      <c r="AF327" s="273">
        <f>AE327*(1+'2. GRI Pricing Inputs'!$D$114)^((AF$16-AE$16)/365)</f>
        <v>0</v>
      </c>
      <c r="AG327" s="273">
        <f>AF327*(1+'2. GRI Pricing Inputs'!$D$114)^((AG$16-AF$16)/365)</f>
        <v>0</v>
      </c>
      <c r="AH327" s="273">
        <f>AG327*(1+'2. GRI Pricing Inputs'!$D$114)^((AH$16-AG$16)/365)</f>
        <v>0</v>
      </c>
      <c r="AI327" s="273">
        <f>AH327*(1+'2. GRI Pricing Inputs'!$D$114)^((AI$16-AH$16)/365)</f>
        <v>0</v>
      </c>
      <c r="AJ327" s="273">
        <f>AI327*(1+'2. GRI Pricing Inputs'!$D$114)^((AJ$16-AI$16)/365)</f>
        <v>0</v>
      </c>
      <c r="AK327" s="273">
        <f>AJ327*(1+'2. GRI Pricing Inputs'!$D$114)^((AK$16-AJ$16)/365)</f>
        <v>0</v>
      </c>
      <c r="AL327" s="273">
        <f>AK327*(1+'2. GRI Pricing Inputs'!$D$114)^((AL$16-AK$16)/365)</f>
        <v>0</v>
      </c>
      <c r="AM327" s="273">
        <f>AL327*(1+'2. GRI Pricing Inputs'!$D$114)^((AM$16-AL$16)/365)</f>
        <v>0</v>
      </c>
      <c r="AN327" s="273">
        <f>AM327*(1+'2. GRI Pricing Inputs'!$D$114)^((AN$16-AM$16)/365)</f>
        <v>0</v>
      </c>
      <c r="AO327" s="273">
        <f>AN327*(1+'2. GRI Pricing Inputs'!$D$114)^((AO$16-AN$16)/365)</f>
        <v>0</v>
      </c>
    </row>
    <row r="328" spans="3:41" ht="12" x14ac:dyDescent="0.2">
      <c r="C328" s="76">
        <f>'1. Accomodation'!N332</f>
        <v>0</v>
      </c>
      <c r="D328" s="69">
        <f>'1. Accomodation'!P332</f>
        <v>0</v>
      </c>
      <c r="E328" s="69">
        <f>'1. Accomodation'!Q332</f>
        <v>0</v>
      </c>
      <c r="F328" s="77">
        <f>'1. Accomodation'!O332</f>
        <v>0</v>
      </c>
      <c r="G328" s="69">
        <f>'1. Accomodation'!R332</f>
        <v>0</v>
      </c>
      <c r="H328" s="69">
        <f>'1. Accomodation'!S332</f>
        <v>0</v>
      </c>
      <c r="I328" s="62"/>
      <c r="K328" s="272">
        <f>IFERROR(INDEX('2. GRI Pricing Inputs'!$C$15:$AI$16,MATCH($K$16,'2. GRI Pricing Inputs'!$C$15:$C$16,0),MATCH(D328,'2. GRI Pricing Inputs'!$C$15:$AI$15,0)),0)</f>
        <v>0</v>
      </c>
      <c r="L328" s="273">
        <f>IFERROR(INDEX('2. GRI Pricing Inputs'!$C$22:$AI$23,MATCH($L$16,'2. GRI Pricing Inputs'!$C$22:$C$23,0),MATCH(E328,'2. GRI Pricing Inputs'!$C$22:$AI$22,0)),0)</f>
        <v>0</v>
      </c>
      <c r="M328" s="328">
        <f>IF(AND('3. GRI Pricing'!$F328&gt;='2. GRI Pricing Inputs'!$D$33,'3. GRI Pricing'!$F328&lt;='2. GRI Pricing Inputs'!$E$33),'2. GRI Pricing Inputs'!$D$32,IF(AND('3. GRI Pricing'!$F328&gt;='2. GRI Pricing Inputs'!$F$33,'3. GRI Pricing'!$F328&lt;='2. GRI Pricing Inputs'!$G$33),'2. GRI Pricing Inputs'!$F$32,IF(AND('3. GRI Pricing'!$F328&gt;='2. GRI Pricing Inputs'!$H$33,'3. GRI Pricing'!$F328&lt;='2. GRI Pricing Inputs'!$I$33),'2. GRI Pricing Inputs'!$H$32,IF(AND('3. GRI Pricing'!$F328&gt;='2. GRI Pricing Inputs'!$J$33,'3. GRI Pricing'!$F328&lt;='2. GRI Pricing Inputs'!$K$33),'2. GRI Pricing Inputs'!$J$32,IF(AND('3. GRI Pricing'!$F328&gt;='2. GRI Pricing Inputs'!$L$33,'3. GRI Pricing'!$F328&lt;='2. GRI Pricing Inputs'!$M$33),'2. GRI Pricing Inputs'!$L$32,IF(AND('3. GRI Pricing'!$F328&gt;='2. GRI Pricing Inputs'!$N$33,'3. GRI Pricing'!$F328&lt;='2. GRI Pricing Inputs'!$O$33),'2. GRI Pricing Inputs'!$N$32,IF(AND('3. GRI Pricing'!$F328&gt;='2. GRI Pricing Inputs'!$P$33,'3. GRI Pricing'!$F328&lt;='2. GRI Pricing Inputs'!$Q$33),'2. GRI Pricing Inputs'!$P$32,IF(AND('3. GRI Pricing'!$F328&gt;='2. GRI Pricing Inputs'!$R$33,'3. GRI Pricing'!$F328&lt;='2. GRI Pricing Inputs'!$S$33),'2. GRI Pricing Inputs'!$R$32,IF(AND('3. GRI Pricing'!$F328&gt;='2. GRI Pricing Inputs'!$T$33,'3. GRI Pricing'!$F328&lt;='2. GRI Pricing Inputs'!$U$33),'2. GRI Pricing Inputs'!$T$32,IF(AND('3. GRI Pricing'!$F328&gt;='2. GRI Pricing Inputs'!$V$33,'3. GRI Pricing'!$F328&lt;='2. GRI Pricing Inputs'!$W$33),'2. GRI Pricing Inputs'!$V$32,IF(AND('3. GRI Pricing'!$F328&gt;='2. GRI Pricing Inputs'!$X$33,'3. GRI Pricing'!$F328&lt;='2. GRI Pricing Inputs'!$Y$33),'2. GRI Pricing Inputs'!$X$32,IF(AND('3. GRI Pricing'!$F328&gt;='2. GRI Pricing Inputs'!$Z$33,'3. GRI Pricing'!$F328&lt;='2. GRI Pricing Inputs'!$AA$33),'2. GRI Pricing Inputs'!$Z$32,IF(AND('3. GRI Pricing'!$F328&gt;='2. GRI Pricing Inputs'!$AB$33,'3. GRI Pricing'!$F328&lt;='2. GRI Pricing Inputs'!$AC$33),'2. GRI Pricing Inputs'!$AB$32,IF(AND('3. GRI Pricing'!$F328&gt;='2. GRI Pricing Inputs'!$AD$33,'3. GRI Pricing'!$F328&lt;='2. GRI Pricing Inputs'!$AE$33),'2. GRI Pricing Inputs'!$AD$32,IF(AND('3. GRI Pricing'!$F328&gt;='2. GRI Pricing Inputs'!$AF$33,'3. GRI Pricing'!$F328&lt;='2. GRI Pricing Inputs'!$AG$33),'2. GRI Pricing Inputs'!$AF$32,IF(AND('3. GRI Pricing'!$F328&gt;='2. GRI Pricing Inputs'!$AH$33,'3. GRI Pricing'!$F328&lt;='2. GRI Pricing Inputs'!$AI$33),'2. GRI Pricing Inputs'!$AH$32,0))))))))))))))))</f>
        <v>0</v>
      </c>
      <c r="N328" s="273" cm="1">
        <f t="array" ref="N328">IFERROR(INDEX('2. GRI Pricing Inputs'!$C$32:$AI$39,MATCH('3. GRI Pricing'!D328,'2. GRI Pricing Inputs'!$C$32:$C$39,0),(MATCH('3. GRI Pricing'!M328,'2. GRI Pricing Inputs'!$D$32:$AI$32,0)+1)),0)</f>
        <v>0</v>
      </c>
      <c r="O328" s="273">
        <f>IFERROR(INDEX('2. GRI Pricing Inputs'!$C$45:$AI$46,MATCH($O$16,'2. GRI Pricing Inputs'!$C$45:$C$46,0),MATCH(G328,'2. GRI Pricing Inputs'!$C$45:$AI$45,0)),0)</f>
        <v>0</v>
      </c>
      <c r="P328" s="273">
        <f>IFERROR(INDEX('2. GRI Pricing Inputs'!$C$53:$AI$54,MATCH('3. GRI Pricing'!$P$16,'2. GRI Pricing Inputs'!$C$53:$C$54,0),MATCH('3. GRI Pricing'!H328,'2. GRI Pricing Inputs'!$C$53:$AI$53,0)),0)</f>
        <v>0</v>
      </c>
      <c r="Q328" s="273">
        <f>IFERROR(INDEX('2. GRI Pricing Inputs'!$C$60:$AI$61,MATCH('3. GRI Pricing'!$Q$16,'2. GRI Pricing Inputs'!$C$60:$C$61,0),MATCH('1. Accomodation'!T332,'2. GRI Pricing Inputs'!$C$60:$AI$60,0)),0)</f>
        <v>0</v>
      </c>
      <c r="R328" s="273">
        <f>IFERROR(INDEX('2. GRI Pricing Inputs'!$C$67:$AI$68,MATCH('3. GRI Pricing'!$R$16,'2. GRI Pricing Inputs'!$C$67:$C$68,0),MATCH('1. Accomodation'!U332,'2. GRI Pricing Inputs'!$C$67:$AI$67,0)),0)</f>
        <v>0</v>
      </c>
      <c r="S328" s="273">
        <f>IF(D328=0,0,'2. GRI Pricing Inputs'!$AI$75)</f>
        <v>0</v>
      </c>
      <c r="T328" s="273">
        <f>IFERROR(INDEX('2. GRI Pricing Inputs'!$C$82:$AI$83,MATCH('3. GRI Pricing'!$T$16,'2. GRI Pricing Inputs'!$C$82:$C$83,0),MATCH('1. Accomodation'!V332,'2. GRI Pricing Inputs'!$C$82:$AI$82,0)),0)</f>
        <v>0</v>
      </c>
      <c r="U328" s="273">
        <f>IFERROR(INDEX('2. GRI Pricing Inputs'!$C$89:$AI$90,MATCH('3. GRI Pricing'!$U$16,'2. GRI Pricing Inputs'!$C$89:$C$90,0),MATCH('1. Accomodation'!W332,'2. GRI Pricing Inputs'!$C$89:$AI$89,0)),0)</f>
        <v>0</v>
      </c>
      <c r="V328" s="273">
        <f>IFERROR(INDEX('2. GRI Pricing Inputs'!$C$97:$AI$98,MATCH('3. GRI Pricing'!$V$16,'2. GRI Pricing Inputs'!$C$97:$C$98,0),MATCH('1. Accomodation'!X332,'2. GRI Pricing Inputs'!$C$97:$AI$97,0)),0)</f>
        <v>0</v>
      </c>
      <c r="W328" s="273">
        <f>IFERROR(INDEX('2. GRI Pricing Inputs'!$C$104:$AI$105,MATCH('3. GRI Pricing'!$W$16,'2. GRI Pricing Inputs'!$C$104:$C$105,0),MATCH('1. Accomodation'!Y332,'2. GRI Pricing Inputs'!$C$104:$AI$104,0)),0)</f>
        <v>0</v>
      </c>
      <c r="X328" s="274"/>
      <c r="Y328" s="275">
        <f t="shared" si="11"/>
        <v>0</v>
      </c>
      <c r="Z328" s="276"/>
      <c r="AA328" s="276"/>
      <c r="AB328" s="276"/>
      <c r="AC328" s="272">
        <f>Y328*(1+'2. GRI Pricing Inputs'!$D$114)^(($AC$16-$AB$15)/365)</f>
        <v>0</v>
      </c>
      <c r="AD328" s="273">
        <f>AC328*(1+'2. GRI Pricing Inputs'!$D$114)^((AD$16-AC$16)/365)</f>
        <v>0</v>
      </c>
      <c r="AE328" s="273">
        <f>AD328*(1+'2. GRI Pricing Inputs'!$D$114)^((AE$16-AD$16)/365)</f>
        <v>0</v>
      </c>
      <c r="AF328" s="273">
        <f>AE328*(1+'2. GRI Pricing Inputs'!$D$114)^((AF$16-AE$16)/365)</f>
        <v>0</v>
      </c>
      <c r="AG328" s="273">
        <f>AF328*(1+'2. GRI Pricing Inputs'!$D$114)^((AG$16-AF$16)/365)</f>
        <v>0</v>
      </c>
      <c r="AH328" s="273">
        <f>AG328*(1+'2. GRI Pricing Inputs'!$D$114)^((AH$16-AG$16)/365)</f>
        <v>0</v>
      </c>
      <c r="AI328" s="273">
        <f>AH328*(1+'2. GRI Pricing Inputs'!$D$114)^((AI$16-AH$16)/365)</f>
        <v>0</v>
      </c>
      <c r="AJ328" s="273">
        <f>AI328*(1+'2. GRI Pricing Inputs'!$D$114)^((AJ$16-AI$16)/365)</f>
        <v>0</v>
      </c>
      <c r="AK328" s="273">
        <f>AJ328*(1+'2. GRI Pricing Inputs'!$D$114)^((AK$16-AJ$16)/365)</f>
        <v>0</v>
      </c>
      <c r="AL328" s="273">
        <f>AK328*(1+'2. GRI Pricing Inputs'!$D$114)^((AL$16-AK$16)/365)</f>
        <v>0</v>
      </c>
      <c r="AM328" s="273">
        <f>AL328*(1+'2. GRI Pricing Inputs'!$D$114)^((AM$16-AL$16)/365)</f>
        <v>0</v>
      </c>
      <c r="AN328" s="273">
        <f>AM328*(1+'2. GRI Pricing Inputs'!$D$114)^((AN$16-AM$16)/365)</f>
        <v>0</v>
      </c>
      <c r="AO328" s="273">
        <f>AN328*(1+'2. GRI Pricing Inputs'!$D$114)^((AO$16-AN$16)/365)</f>
        <v>0</v>
      </c>
    </row>
    <row r="329" spans="3:41" ht="12" x14ac:dyDescent="0.2">
      <c r="C329" s="76">
        <f>'1. Accomodation'!N333</f>
        <v>0</v>
      </c>
      <c r="D329" s="69">
        <f>'1. Accomodation'!P333</f>
        <v>0</v>
      </c>
      <c r="E329" s="69">
        <f>'1. Accomodation'!Q333</f>
        <v>0</v>
      </c>
      <c r="F329" s="77">
        <f>'1. Accomodation'!O333</f>
        <v>0</v>
      </c>
      <c r="G329" s="69">
        <f>'1. Accomodation'!R333</f>
        <v>0</v>
      </c>
      <c r="H329" s="69">
        <f>'1. Accomodation'!S333</f>
        <v>0</v>
      </c>
      <c r="I329" s="62"/>
      <c r="K329" s="272">
        <f>IFERROR(INDEX('2. GRI Pricing Inputs'!$C$15:$AI$16,MATCH($K$16,'2. GRI Pricing Inputs'!$C$15:$C$16,0),MATCH(D329,'2. GRI Pricing Inputs'!$C$15:$AI$15,0)),0)</f>
        <v>0</v>
      </c>
      <c r="L329" s="273">
        <f>IFERROR(INDEX('2. GRI Pricing Inputs'!$C$22:$AI$23,MATCH($L$16,'2. GRI Pricing Inputs'!$C$22:$C$23,0),MATCH(E329,'2. GRI Pricing Inputs'!$C$22:$AI$22,0)),0)</f>
        <v>0</v>
      </c>
      <c r="M329" s="328">
        <f>IF(AND('3. GRI Pricing'!$F329&gt;='2. GRI Pricing Inputs'!$D$33,'3. GRI Pricing'!$F329&lt;='2. GRI Pricing Inputs'!$E$33),'2. GRI Pricing Inputs'!$D$32,IF(AND('3. GRI Pricing'!$F329&gt;='2. GRI Pricing Inputs'!$F$33,'3. GRI Pricing'!$F329&lt;='2. GRI Pricing Inputs'!$G$33),'2. GRI Pricing Inputs'!$F$32,IF(AND('3. GRI Pricing'!$F329&gt;='2. GRI Pricing Inputs'!$H$33,'3. GRI Pricing'!$F329&lt;='2. GRI Pricing Inputs'!$I$33),'2. GRI Pricing Inputs'!$H$32,IF(AND('3. GRI Pricing'!$F329&gt;='2. GRI Pricing Inputs'!$J$33,'3. GRI Pricing'!$F329&lt;='2. GRI Pricing Inputs'!$K$33),'2. GRI Pricing Inputs'!$J$32,IF(AND('3. GRI Pricing'!$F329&gt;='2. GRI Pricing Inputs'!$L$33,'3. GRI Pricing'!$F329&lt;='2. GRI Pricing Inputs'!$M$33),'2. GRI Pricing Inputs'!$L$32,IF(AND('3. GRI Pricing'!$F329&gt;='2. GRI Pricing Inputs'!$N$33,'3. GRI Pricing'!$F329&lt;='2. GRI Pricing Inputs'!$O$33),'2. GRI Pricing Inputs'!$N$32,IF(AND('3. GRI Pricing'!$F329&gt;='2. GRI Pricing Inputs'!$P$33,'3. GRI Pricing'!$F329&lt;='2. GRI Pricing Inputs'!$Q$33),'2. GRI Pricing Inputs'!$P$32,IF(AND('3. GRI Pricing'!$F329&gt;='2. GRI Pricing Inputs'!$R$33,'3. GRI Pricing'!$F329&lt;='2. GRI Pricing Inputs'!$S$33),'2. GRI Pricing Inputs'!$R$32,IF(AND('3. GRI Pricing'!$F329&gt;='2. GRI Pricing Inputs'!$T$33,'3. GRI Pricing'!$F329&lt;='2. GRI Pricing Inputs'!$U$33),'2. GRI Pricing Inputs'!$T$32,IF(AND('3. GRI Pricing'!$F329&gt;='2. GRI Pricing Inputs'!$V$33,'3. GRI Pricing'!$F329&lt;='2. GRI Pricing Inputs'!$W$33),'2. GRI Pricing Inputs'!$V$32,IF(AND('3. GRI Pricing'!$F329&gt;='2. GRI Pricing Inputs'!$X$33,'3. GRI Pricing'!$F329&lt;='2. GRI Pricing Inputs'!$Y$33),'2. GRI Pricing Inputs'!$X$32,IF(AND('3. GRI Pricing'!$F329&gt;='2. GRI Pricing Inputs'!$Z$33,'3. GRI Pricing'!$F329&lt;='2. GRI Pricing Inputs'!$AA$33),'2. GRI Pricing Inputs'!$Z$32,IF(AND('3. GRI Pricing'!$F329&gt;='2. GRI Pricing Inputs'!$AB$33,'3. GRI Pricing'!$F329&lt;='2. GRI Pricing Inputs'!$AC$33),'2. GRI Pricing Inputs'!$AB$32,IF(AND('3. GRI Pricing'!$F329&gt;='2. GRI Pricing Inputs'!$AD$33,'3. GRI Pricing'!$F329&lt;='2. GRI Pricing Inputs'!$AE$33),'2. GRI Pricing Inputs'!$AD$32,IF(AND('3. GRI Pricing'!$F329&gt;='2. GRI Pricing Inputs'!$AF$33,'3. GRI Pricing'!$F329&lt;='2. GRI Pricing Inputs'!$AG$33),'2. GRI Pricing Inputs'!$AF$32,IF(AND('3. GRI Pricing'!$F329&gt;='2. GRI Pricing Inputs'!$AH$33,'3. GRI Pricing'!$F329&lt;='2. GRI Pricing Inputs'!$AI$33),'2. GRI Pricing Inputs'!$AH$32,0))))))))))))))))</f>
        <v>0</v>
      </c>
      <c r="N329" s="273" cm="1">
        <f t="array" ref="N329">IFERROR(INDEX('2. GRI Pricing Inputs'!$C$32:$AI$39,MATCH('3. GRI Pricing'!D329,'2. GRI Pricing Inputs'!$C$32:$C$39,0),(MATCH('3. GRI Pricing'!M329,'2. GRI Pricing Inputs'!$D$32:$AI$32,0)+1)),0)</f>
        <v>0</v>
      </c>
      <c r="O329" s="273">
        <f>IFERROR(INDEX('2. GRI Pricing Inputs'!$C$45:$AI$46,MATCH($O$16,'2. GRI Pricing Inputs'!$C$45:$C$46,0),MATCH(G329,'2. GRI Pricing Inputs'!$C$45:$AI$45,0)),0)</f>
        <v>0</v>
      </c>
      <c r="P329" s="273">
        <f>IFERROR(INDEX('2. GRI Pricing Inputs'!$C$53:$AI$54,MATCH('3. GRI Pricing'!$P$16,'2. GRI Pricing Inputs'!$C$53:$C$54,0),MATCH('3. GRI Pricing'!H329,'2. GRI Pricing Inputs'!$C$53:$AI$53,0)),0)</f>
        <v>0</v>
      </c>
      <c r="Q329" s="273">
        <f>IFERROR(INDEX('2. GRI Pricing Inputs'!$C$60:$AI$61,MATCH('3. GRI Pricing'!$Q$16,'2. GRI Pricing Inputs'!$C$60:$C$61,0),MATCH('1. Accomodation'!T333,'2. GRI Pricing Inputs'!$C$60:$AI$60,0)),0)</f>
        <v>0</v>
      </c>
      <c r="R329" s="273">
        <f>IFERROR(INDEX('2. GRI Pricing Inputs'!$C$67:$AI$68,MATCH('3. GRI Pricing'!$R$16,'2. GRI Pricing Inputs'!$C$67:$C$68,0),MATCH('1. Accomodation'!U333,'2. GRI Pricing Inputs'!$C$67:$AI$67,0)),0)</f>
        <v>0</v>
      </c>
      <c r="S329" s="273">
        <f>IF(D329=0,0,'2. GRI Pricing Inputs'!$AI$75)</f>
        <v>0</v>
      </c>
      <c r="T329" s="273">
        <f>IFERROR(INDEX('2. GRI Pricing Inputs'!$C$82:$AI$83,MATCH('3. GRI Pricing'!$T$16,'2. GRI Pricing Inputs'!$C$82:$C$83,0),MATCH('1. Accomodation'!V333,'2. GRI Pricing Inputs'!$C$82:$AI$82,0)),0)</f>
        <v>0</v>
      </c>
      <c r="U329" s="273">
        <f>IFERROR(INDEX('2. GRI Pricing Inputs'!$C$89:$AI$90,MATCH('3. GRI Pricing'!$U$16,'2. GRI Pricing Inputs'!$C$89:$C$90,0),MATCH('1. Accomodation'!W333,'2. GRI Pricing Inputs'!$C$89:$AI$89,0)),0)</f>
        <v>0</v>
      </c>
      <c r="V329" s="273">
        <f>IFERROR(INDEX('2. GRI Pricing Inputs'!$C$97:$AI$98,MATCH('3. GRI Pricing'!$V$16,'2. GRI Pricing Inputs'!$C$97:$C$98,0),MATCH('1. Accomodation'!X333,'2. GRI Pricing Inputs'!$C$97:$AI$97,0)),0)</f>
        <v>0</v>
      </c>
      <c r="W329" s="273">
        <f>IFERROR(INDEX('2. GRI Pricing Inputs'!$C$104:$AI$105,MATCH('3. GRI Pricing'!$W$16,'2. GRI Pricing Inputs'!$C$104:$C$105,0),MATCH('1. Accomodation'!Y333,'2. GRI Pricing Inputs'!$C$104:$AI$104,0)),0)</f>
        <v>0</v>
      </c>
      <c r="X329" s="274"/>
      <c r="Y329" s="275">
        <f t="shared" si="11"/>
        <v>0</v>
      </c>
      <c r="Z329" s="276"/>
      <c r="AA329" s="276"/>
      <c r="AB329" s="276"/>
      <c r="AC329" s="272">
        <f>Y329*(1+'2. GRI Pricing Inputs'!$D$114)^(($AC$16-$AB$15)/365)</f>
        <v>0</v>
      </c>
      <c r="AD329" s="273">
        <f>AC329*(1+'2. GRI Pricing Inputs'!$D$114)^((AD$16-AC$16)/365)</f>
        <v>0</v>
      </c>
      <c r="AE329" s="273">
        <f>AD329*(1+'2. GRI Pricing Inputs'!$D$114)^((AE$16-AD$16)/365)</f>
        <v>0</v>
      </c>
      <c r="AF329" s="273">
        <f>AE329*(1+'2. GRI Pricing Inputs'!$D$114)^((AF$16-AE$16)/365)</f>
        <v>0</v>
      </c>
      <c r="AG329" s="273">
        <f>AF329*(1+'2. GRI Pricing Inputs'!$D$114)^((AG$16-AF$16)/365)</f>
        <v>0</v>
      </c>
      <c r="AH329" s="273">
        <f>AG329*(1+'2. GRI Pricing Inputs'!$D$114)^((AH$16-AG$16)/365)</f>
        <v>0</v>
      </c>
      <c r="AI329" s="273">
        <f>AH329*(1+'2. GRI Pricing Inputs'!$D$114)^((AI$16-AH$16)/365)</f>
        <v>0</v>
      </c>
      <c r="AJ329" s="273">
        <f>AI329*(1+'2. GRI Pricing Inputs'!$D$114)^((AJ$16-AI$16)/365)</f>
        <v>0</v>
      </c>
      <c r="AK329" s="273">
        <f>AJ329*(1+'2. GRI Pricing Inputs'!$D$114)^((AK$16-AJ$16)/365)</f>
        <v>0</v>
      </c>
      <c r="AL329" s="273">
        <f>AK329*(1+'2. GRI Pricing Inputs'!$D$114)^((AL$16-AK$16)/365)</f>
        <v>0</v>
      </c>
      <c r="AM329" s="273">
        <f>AL329*(1+'2. GRI Pricing Inputs'!$D$114)^((AM$16-AL$16)/365)</f>
        <v>0</v>
      </c>
      <c r="AN329" s="273">
        <f>AM329*(1+'2. GRI Pricing Inputs'!$D$114)^((AN$16-AM$16)/365)</f>
        <v>0</v>
      </c>
      <c r="AO329" s="273">
        <f>AN329*(1+'2. GRI Pricing Inputs'!$D$114)^((AO$16-AN$16)/365)</f>
        <v>0</v>
      </c>
    </row>
    <row r="330" spans="3:41" ht="12" x14ac:dyDescent="0.2">
      <c r="C330" s="76">
        <f>'1. Accomodation'!N334</f>
        <v>0</v>
      </c>
      <c r="D330" s="69">
        <f>'1. Accomodation'!P334</f>
        <v>0</v>
      </c>
      <c r="E330" s="69">
        <f>'1. Accomodation'!Q334</f>
        <v>0</v>
      </c>
      <c r="F330" s="77">
        <f>'1. Accomodation'!O334</f>
        <v>0</v>
      </c>
      <c r="G330" s="69">
        <f>'1. Accomodation'!R334</f>
        <v>0</v>
      </c>
      <c r="H330" s="69">
        <f>'1. Accomodation'!S334</f>
        <v>0</v>
      </c>
      <c r="I330" s="62"/>
      <c r="K330" s="272">
        <f>IFERROR(INDEX('2. GRI Pricing Inputs'!$C$15:$AI$16,MATCH($K$16,'2. GRI Pricing Inputs'!$C$15:$C$16,0),MATCH(D330,'2. GRI Pricing Inputs'!$C$15:$AI$15,0)),0)</f>
        <v>0</v>
      </c>
      <c r="L330" s="273">
        <f>IFERROR(INDEX('2. GRI Pricing Inputs'!$C$22:$AI$23,MATCH($L$16,'2. GRI Pricing Inputs'!$C$22:$C$23,0),MATCH(E330,'2. GRI Pricing Inputs'!$C$22:$AI$22,0)),0)</f>
        <v>0</v>
      </c>
      <c r="M330" s="328">
        <f>IF(AND('3. GRI Pricing'!$F330&gt;='2. GRI Pricing Inputs'!$D$33,'3. GRI Pricing'!$F330&lt;='2. GRI Pricing Inputs'!$E$33),'2. GRI Pricing Inputs'!$D$32,IF(AND('3. GRI Pricing'!$F330&gt;='2. GRI Pricing Inputs'!$F$33,'3. GRI Pricing'!$F330&lt;='2. GRI Pricing Inputs'!$G$33),'2. GRI Pricing Inputs'!$F$32,IF(AND('3. GRI Pricing'!$F330&gt;='2. GRI Pricing Inputs'!$H$33,'3. GRI Pricing'!$F330&lt;='2. GRI Pricing Inputs'!$I$33),'2. GRI Pricing Inputs'!$H$32,IF(AND('3. GRI Pricing'!$F330&gt;='2. GRI Pricing Inputs'!$J$33,'3. GRI Pricing'!$F330&lt;='2. GRI Pricing Inputs'!$K$33),'2. GRI Pricing Inputs'!$J$32,IF(AND('3. GRI Pricing'!$F330&gt;='2. GRI Pricing Inputs'!$L$33,'3. GRI Pricing'!$F330&lt;='2. GRI Pricing Inputs'!$M$33),'2. GRI Pricing Inputs'!$L$32,IF(AND('3. GRI Pricing'!$F330&gt;='2. GRI Pricing Inputs'!$N$33,'3. GRI Pricing'!$F330&lt;='2. GRI Pricing Inputs'!$O$33),'2. GRI Pricing Inputs'!$N$32,IF(AND('3. GRI Pricing'!$F330&gt;='2. GRI Pricing Inputs'!$P$33,'3. GRI Pricing'!$F330&lt;='2. GRI Pricing Inputs'!$Q$33),'2. GRI Pricing Inputs'!$P$32,IF(AND('3. GRI Pricing'!$F330&gt;='2. GRI Pricing Inputs'!$R$33,'3. GRI Pricing'!$F330&lt;='2. GRI Pricing Inputs'!$S$33),'2. GRI Pricing Inputs'!$R$32,IF(AND('3. GRI Pricing'!$F330&gt;='2. GRI Pricing Inputs'!$T$33,'3. GRI Pricing'!$F330&lt;='2. GRI Pricing Inputs'!$U$33),'2. GRI Pricing Inputs'!$T$32,IF(AND('3. GRI Pricing'!$F330&gt;='2. GRI Pricing Inputs'!$V$33,'3. GRI Pricing'!$F330&lt;='2. GRI Pricing Inputs'!$W$33),'2. GRI Pricing Inputs'!$V$32,IF(AND('3. GRI Pricing'!$F330&gt;='2. GRI Pricing Inputs'!$X$33,'3. GRI Pricing'!$F330&lt;='2. GRI Pricing Inputs'!$Y$33),'2. GRI Pricing Inputs'!$X$32,IF(AND('3. GRI Pricing'!$F330&gt;='2. GRI Pricing Inputs'!$Z$33,'3. GRI Pricing'!$F330&lt;='2. GRI Pricing Inputs'!$AA$33),'2. GRI Pricing Inputs'!$Z$32,IF(AND('3. GRI Pricing'!$F330&gt;='2. GRI Pricing Inputs'!$AB$33,'3. GRI Pricing'!$F330&lt;='2. GRI Pricing Inputs'!$AC$33),'2. GRI Pricing Inputs'!$AB$32,IF(AND('3. GRI Pricing'!$F330&gt;='2. GRI Pricing Inputs'!$AD$33,'3. GRI Pricing'!$F330&lt;='2. GRI Pricing Inputs'!$AE$33),'2. GRI Pricing Inputs'!$AD$32,IF(AND('3. GRI Pricing'!$F330&gt;='2. GRI Pricing Inputs'!$AF$33,'3. GRI Pricing'!$F330&lt;='2. GRI Pricing Inputs'!$AG$33),'2. GRI Pricing Inputs'!$AF$32,IF(AND('3. GRI Pricing'!$F330&gt;='2. GRI Pricing Inputs'!$AH$33,'3. GRI Pricing'!$F330&lt;='2. GRI Pricing Inputs'!$AI$33),'2. GRI Pricing Inputs'!$AH$32,0))))))))))))))))</f>
        <v>0</v>
      </c>
      <c r="N330" s="273" cm="1">
        <f t="array" ref="N330">IFERROR(INDEX('2. GRI Pricing Inputs'!$C$32:$AI$39,MATCH('3. GRI Pricing'!D330,'2. GRI Pricing Inputs'!$C$32:$C$39,0),(MATCH('3. GRI Pricing'!M330,'2. GRI Pricing Inputs'!$D$32:$AI$32,0)+1)),0)</f>
        <v>0</v>
      </c>
      <c r="O330" s="273">
        <f>IFERROR(INDEX('2. GRI Pricing Inputs'!$C$45:$AI$46,MATCH($O$16,'2. GRI Pricing Inputs'!$C$45:$C$46,0),MATCH(G330,'2. GRI Pricing Inputs'!$C$45:$AI$45,0)),0)</f>
        <v>0</v>
      </c>
      <c r="P330" s="273">
        <f>IFERROR(INDEX('2. GRI Pricing Inputs'!$C$53:$AI$54,MATCH('3. GRI Pricing'!$P$16,'2. GRI Pricing Inputs'!$C$53:$C$54,0),MATCH('3. GRI Pricing'!H330,'2. GRI Pricing Inputs'!$C$53:$AI$53,0)),0)</f>
        <v>0</v>
      </c>
      <c r="Q330" s="273">
        <f>IFERROR(INDEX('2. GRI Pricing Inputs'!$C$60:$AI$61,MATCH('3. GRI Pricing'!$Q$16,'2. GRI Pricing Inputs'!$C$60:$C$61,0),MATCH('1. Accomodation'!T334,'2. GRI Pricing Inputs'!$C$60:$AI$60,0)),0)</f>
        <v>0</v>
      </c>
      <c r="R330" s="273">
        <f>IFERROR(INDEX('2. GRI Pricing Inputs'!$C$67:$AI$68,MATCH('3. GRI Pricing'!$R$16,'2. GRI Pricing Inputs'!$C$67:$C$68,0),MATCH('1. Accomodation'!U334,'2. GRI Pricing Inputs'!$C$67:$AI$67,0)),0)</f>
        <v>0</v>
      </c>
      <c r="S330" s="273">
        <f>IF(D330=0,0,'2. GRI Pricing Inputs'!$AI$75)</f>
        <v>0</v>
      </c>
      <c r="T330" s="273">
        <f>IFERROR(INDEX('2. GRI Pricing Inputs'!$C$82:$AI$83,MATCH('3. GRI Pricing'!$T$16,'2. GRI Pricing Inputs'!$C$82:$C$83,0),MATCH('1. Accomodation'!V334,'2. GRI Pricing Inputs'!$C$82:$AI$82,0)),0)</f>
        <v>0</v>
      </c>
      <c r="U330" s="273">
        <f>IFERROR(INDEX('2. GRI Pricing Inputs'!$C$89:$AI$90,MATCH('3. GRI Pricing'!$U$16,'2. GRI Pricing Inputs'!$C$89:$C$90,0),MATCH('1. Accomodation'!W334,'2. GRI Pricing Inputs'!$C$89:$AI$89,0)),0)</f>
        <v>0</v>
      </c>
      <c r="V330" s="273">
        <f>IFERROR(INDEX('2. GRI Pricing Inputs'!$C$97:$AI$98,MATCH('3. GRI Pricing'!$V$16,'2. GRI Pricing Inputs'!$C$97:$C$98,0),MATCH('1. Accomodation'!X334,'2. GRI Pricing Inputs'!$C$97:$AI$97,0)),0)</f>
        <v>0</v>
      </c>
      <c r="W330" s="273">
        <f>IFERROR(INDEX('2. GRI Pricing Inputs'!$C$104:$AI$105,MATCH('3. GRI Pricing'!$W$16,'2. GRI Pricing Inputs'!$C$104:$C$105,0),MATCH('1. Accomodation'!Y334,'2. GRI Pricing Inputs'!$C$104:$AI$104,0)),0)</f>
        <v>0</v>
      </c>
      <c r="X330" s="274"/>
      <c r="Y330" s="275">
        <f t="shared" si="11"/>
        <v>0</v>
      </c>
      <c r="Z330" s="276"/>
      <c r="AA330" s="276"/>
      <c r="AB330" s="276"/>
      <c r="AC330" s="272">
        <f>Y330*(1+'2. GRI Pricing Inputs'!$D$114)^(($AC$16-$AB$15)/365)</f>
        <v>0</v>
      </c>
      <c r="AD330" s="273">
        <f>AC330*(1+'2. GRI Pricing Inputs'!$D$114)^((AD$16-AC$16)/365)</f>
        <v>0</v>
      </c>
      <c r="AE330" s="273">
        <f>AD330*(1+'2. GRI Pricing Inputs'!$D$114)^((AE$16-AD$16)/365)</f>
        <v>0</v>
      </c>
      <c r="AF330" s="273">
        <f>AE330*(1+'2. GRI Pricing Inputs'!$D$114)^((AF$16-AE$16)/365)</f>
        <v>0</v>
      </c>
      <c r="AG330" s="273">
        <f>AF330*(1+'2. GRI Pricing Inputs'!$D$114)^((AG$16-AF$16)/365)</f>
        <v>0</v>
      </c>
      <c r="AH330" s="273">
        <f>AG330*(1+'2. GRI Pricing Inputs'!$D$114)^((AH$16-AG$16)/365)</f>
        <v>0</v>
      </c>
      <c r="AI330" s="273">
        <f>AH330*(1+'2. GRI Pricing Inputs'!$D$114)^((AI$16-AH$16)/365)</f>
        <v>0</v>
      </c>
      <c r="AJ330" s="273">
        <f>AI330*(1+'2. GRI Pricing Inputs'!$D$114)^((AJ$16-AI$16)/365)</f>
        <v>0</v>
      </c>
      <c r="AK330" s="273">
        <f>AJ330*(1+'2. GRI Pricing Inputs'!$D$114)^((AK$16-AJ$16)/365)</f>
        <v>0</v>
      </c>
      <c r="AL330" s="273">
        <f>AK330*(1+'2. GRI Pricing Inputs'!$D$114)^((AL$16-AK$16)/365)</f>
        <v>0</v>
      </c>
      <c r="AM330" s="273">
        <f>AL330*(1+'2. GRI Pricing Inputs'!$D$114)^((AM$16-AL$16)/365)</f>
        <v>0</v>
      </c>
      <c r="AN330" s="273">
        <f>AM330*(1+'2. GRI Pricing Inputs'!$D$114)^((AN$16-AM$16)/365)</f>
        <v>0</v>
      </c>
      <c r="AO330" s="273">
        <f>AN330*(1+'2. GRI Pricing Inputs'!$D$114)^((AO$16-AN$16)/365)</f>
        <v>0</v>
      </c>
    </row>
    <row r="331" spans="3:41" ht="12" x14ac:dyDescent="0.2">
      <c r="C331" s="76">
        <f>'1. Accomodation'!N335</f>
        <v>0</v>
      </c>
      <c r="D331" s="69">
        <f>'1. Accomodation'!P335</f>
        <v>0</v>
      </c>
      <c r="E331" s="69">
        <f>'1. Accomodation'!Q335</f>
        <v>0</v>
      </c>
      <c r="F331" s="77">
        <f>'1. Accomodation'!O335</f>
        <v>0</v>
      </c>
      <c r="G331" s="69">
        <f>'1. Accomodation'!R335</f>
        <v>0</v>
      </c>
      <c r="H331" s="69">
        <f>'1. Accomodation'!S335</f>
        <v>0</v>
      </c>
      <c r="I331" s="62"/>
      <c r="K331" s="272">
        <f>IFERROR(INDEX('2. GRI Pricing Inputs'!$C$15:$AI$16,MATCH($K$16,'2. GRI Pricing Inputs'!$C$15:$C$16,0),MATCH(D331,'2. GRI Pricing Inputs'!$C$15:$AI$15,0)),0)</f>
        <v>0</v>
      </c>
      <c r="L331" s="273">
        <f>IFERROR(INDEX('2. GRI Pricing Inputs'!$C$22:$AI$23,MATCH($L$16,'2. GRI Pricing Inputs'!$C$22:$C$23,0),MATCH(E331,'2. GRI Pricing Inputs'!$C$22:$AI$22,0)),0)</f>
        <v>0</v>
      </c>
      <c r="M331" s="328">
        <f>IF(AND('3. GRI Pricing'!$F331&gt;='2. GRI Pricing Inputs'!$D$33,'3. GRI Pricing'!$F331&lt;='2. GRI Pricing Inputs'!$E$33),'2. GRI Pricing Inputs'!$D$32,IF(AND('3. GRI Pricing'!$F331&gt;='2. GRI Pricing Inputs'!$F$33,'3. GRI Pricing'!$F331&lt;='2. GRI Pricing Inputs'!$G$33),'2. GRI Pricing Inputs'!$F$32,IF(AND('3. GRI Pricing'!$F331&gt;='2. GRI Pricing Inputs'!$H$33,'3. GRI Pricing'!$F331&lt;='2. GRI Pricing Inputs'!$I$33),'2. GRI Pricing Inputs'!$H$32,IF(AND('3. GRI Pricing'!$F331&gt;='2. GRI Pricing Inputs'!$J$33,'3. GRI Pricing'!$F331&lt;='2. GRI Pricing Inputs'!$K$33),'2. GRI Pricing Inputs'!$J$32,IF(AND('3. GRI Pricing'!$F331&gt;='2. GRI Pricing Inputs'!$L$33,'3. GRI Pricing'!$F331&lt;='2. GRI Pricing Inputs'!$M$33),'2. GRI Pricing Inputs'!$L$32,IF(AND('3. GRI Pricing'!$F331&gt;='2. GRI Pricing Inputs'!$N$33,'3. GRI Pricing'!$F331&lt;='2. GRI Pricing Inputs'!$O$33),'2. GRI Pricing Inputs'!$N$32,IF(AND('3. GRI Pricing'!$F331&gt;='2. GRI Pricing Inputs'!$P$33,'3. GRI Pricing'!$F331&lt;='2. GRI Pricing Inputs'!$Q$33),'2. GRI Pricing Inputs'!$P$32,IF(AND('3. GRI Pricing'!$F331&gt;='2. GRI Pricing Inputs'!$R$33,'3. GRI Pricing'!$F331&lt;='2. GRI Pricing Inputs'!$S$33),'2. GRI Pricing Inputs'!$R$32,IF(AND('3. GRI Pricing'!$F331&gt;='2. GRI Pricing Inputs'!$T$33,'3. GRI Pricing'!$F331&lt;='2. GRI Pricing Inputs'!$U$33),'2. GRI Pricing Inputs'!$T$32,IF(AND('3. GRI Pricing'!$F331&gt;='2. GRI Pricing Inputs'!$V$33,'3. GRI Pricing'!$F331&lt;='2. GRI Pricing Inputs'!$W$33),'2. GRI Pricing Inputs'!$V$32,IF(AND('3. GRI Pricing'!$F331&gt;='2. GRI Pricing Inputs'!$X$33,'3. GRI Pricing'!$F331&lt;='2. GRI Pricing Inputs'!$Y$33),'2. GRI Pricing Inputs'!$X$32,IF(AND('3. GRI Pricing'!$F331&gt;='2. GRI Pricing Inputs'!$Z$33,'3. GRI Pricing'!$F331&lt;='2. GRI Pricing Inputs'!$AA$33),'2. GRI Pricing Inputs'!$Z$32,IF(AND('3. GRI Pricing'!$F331&gt;='2. GRI Pricing Inputs'!$AB$33,'3. GRI Pricing'!$F331&lt;='2. GRI Pricing Inputs'!$AC$33),'2. GRI Pricing Inputs'!$AB$32,IF(AND('3. GRI Pricing'!$F331&gt;='2. GRI Pricing Inputs'!$AD$33,'3. GRI Pricing'!$F331&lt;='2. GRI Pricing Inputs'!$AE$33),'2. GRI Pricing Inputs'!$AD$32,IF(AND('3. GRI Pricing'!$F331&gt;='2. GRI Pricing Inputs'!$AF$33,'3. GRI Pricing'!$F331&lt;='2. GRI Pricing Inputs'!$AG$33),'2. GRI Pricing Inputs'!$AF$32,IF(AND('3. GRI Pricing'!$F331&gt;='2. GRI Pricing Inputs'!$AH$33,'3. GRI Pricing'!$F331&lt;='2. GRI Pricing Inputs'!$AI$33),'2. GRI Pricing Inputs'!$AH$32,0))))))))))))))))</f>
        <v>0</v>
      </c>
      <c r="N331" s="273" cm="1">
        <f t="array" ref="N331">IFERROR(INDEX('2. GRI Pricing Inputs'!$C$32:$AI$39,MATCH('3. GRI Pricing'!D331,'2. GRI Pricing Inputs'!$C$32:$C$39,0),(MATCH('3. GRI Pricing'!M331,'2. GRI Pricing Inputs'!$D$32:$AI$32,0)+1)),0)</f>
        <v>0</v>
      </c>
      <c r="O331" s="273">
        <f>IFERROR(INDEX('2. GRI Pricing Inputs'!$C$45:$AI$46,MATCH($O$16,'2. GRI Pricing Inputs'!$C$45:$C$46,0),MATCH(G331,'2. GRI Pricing Inputs'!$C$45:$AI$45,0)),0)</f>
        <v>0</v>
      </c>
      <c r="P331" s="273">
        <f>IFERROR(INDEX('2. GRI Pricing Inputs'!$C$53:$AI$54,MATCH('3. GRI Pricing'!$P$16,'2. GRI Pricing Inputs'!$C$53:$C$54,0),MATCH('3. GRI Pricing'!H331,'2. GRI Pricing Inputs'!$C$53:$AI$53,0)),0)</f>
        <v>0</v>
      </c>
      <c r="Q331" s="273">
        <f>IFERROR(INDEX('2. GRI Pricing Inputs'!$C$60:$AI$61,MATCH('3. GRI Pricing'!$Q$16,'2. GRI Pricing Inputs'!$C$60:$C$61,0),MATCH('1. Accomodation'!T335,'2. GRI Pricing Inputs'!$C$60:$AI$60,0)),0)</f>
        <v>0</v>
      </c>
      <c r="R331" s="273">
        <f>IFERROR(INDEX('2. GRI Pricing Inputs'!$C$67:$AI$68,MATCH('3. GRI Pricing'!$R$16,'2. GRI Pricing Inputs'!$C$67:$C$68,0),MATCH('1. Accomodation'!U335,'2. GRI Pricing Inputs'!$C$67:$AI$67,0)),0)</f>
        <v>0</v>
      </c>
      <c r="S331" s="273">
        <f>IF(D331=0,0,'2. GRI Pricing Inputs'!$AI$75)</f>
        <v>0</v>
      </c>
      <c r="T331" s="273">
        <f>IFERROR(INDEX('2. GRI Pricing Inputs'!$C$82:$AI$83,MATCH('3. GRI Pricing'!$T$16,'2. GRI Pricing Inputs'!$C$82:$C$83,0),MATCH('1. Accomodation'!V335,'2. GRI Pricing Inputs'!$C$82:$AI$82,0)),0)</f>
        <v>0</v>
      </c>
      <c r="U331" s="273">
        <f>IFERROR(INDEX('2. GRI Pricing Inputs'!$C$89:$AI$90,MATCH('3. GRI Pricing'!$U$16,'2. GRI Pricing Inputs'!$C$89:$C$90,0),MATCH('1. Accomodation'!W335,'2. GRI Pricing Inputs'!$C$89:$AI$89,0)),0)</f>
        <v>0</v>
      </c>
      <c r="V331" s="273">
        <f>IFERROR(INDEX('2. GRI Pricing Inputs'!$C$97:$AI$98,MATCH('3. GRI Pricing'!$V$16,'2. GRI Pricing Inputs'!$C$97:$C$98,0),MATCH('1. Accomodation'!X335,'2. GRI Pricing Inputs'!$C$97:$AI$97,0)),0)</f>
        <v>0</v>
      </c>
      <c r="W331" s="273">
        <f>IFERROR(INDEX('2. GRI Pricing Inputs'!$C$104:$AI$105,MATCH('3. GRI Pricing'!$W$16,'2. GRI Pricing Inputs'!$C$104:$C$105,0),MATCH('1. Accomodation'!Y335,'2. GRI Pricing Inputs'!$C$104:$AI$104,0)),0)</f>
        <v>0</v>
      </c>
      <c r="X331" s="274"/>
      <c r="Y331" s="275">
        <f t="shared" si="11"/>
        <v>0</v>
      </c>
      <c r="Z331" s="276"/>
      <c r="AA331" s="276"/>
      <c r="AB331" s="276"/>
      <c r="AC331" s="272">
        <f>Y331*(1+'2. GRI Pricing Inputs'!$D$114)^(($AC$16-$AB$15)/365)</f>
        <v>0</v>
      </c>
      <c r="AD331" s="273">
        <f>AC331*(1+'2. GRI Pricing Inputs'!$D$114)^((AD$16-AC$16)/365)</f>
        <v>0</v>
      </c>
      <c r="AE331" s="273">
        <f>AD331*(1+'2. GRI Pricing Inputs'!$D$114)^((AE$16-AD$16)/365)</f>
        <v>0</v>
      </c>
      <c r="AF331" s="273">
        <f>AE331*(1+'2. GRI Pricing Inputs'!$D$114)^((AF$16-AE$16)/365)</f>
        <v>0</v>
      </c>
      <c r="AG331" s="273">
        <f>AF331*(1+'2. GRI Pricing Inputs'!$D$114)^((AG$16-AF$16)/365)</f>
        <v>0</v>
      </c>
      <c r="AH331" s="273">
        <f>AG331*(1+'2. GRI Pricing Inputs'!$D$114)^((AH$16-AG$16)/365)</f>
        <v>0</v>
      </c>
      <c r="AI331" s="273">
        <f>AH331*(1+'2. GRI Pricing Inputs'!$D$114)^((AI$16-AH$16)/365)</f>
        <v>0</v>
      </c>
      <c r="AJ331" s="273">
        <f>AI331*(1+'2. GRI Pricing Inputs'!$D$114)^((AJ$16-AI$16)/365)</f>
        <v>0</v>
      </c>
      <c r="AK331" s="273">
        <f>AJ331*(1+'2. GRI Pricing Inputs'!$D$114)^((AK$16-AJ$16)/365)</f>
        <v>0</v>
      </c>
      <c r="AL331" s="273">
        <f>AK331*(1+'2. GRI Pricing Inputs'!$D$114)^((AL$16-AK$16)/365)</f>
        <v>0</v>
      </c>
      <c r="AM331" s="273">
        <f>AL331*(1+'2. GRI Pricing Inputs'!$D$114)^((AM$16-AL$16)/365)</f>
        <v>0</v>
      </c>
      <c r="AN331" s="273">
        <f>AM331*(1+'2. GRI Pricing Inputs'!$D$114)^((AN$16-AM$16)/365)</f>
        <v>0</v>
      </c>
      <c r="AO331" s="273">
        <f>AN331*(1+'2. GRI Pricing Inputs'!$D$114)^((AO$16-AN$16)/365)</f>
        <v>0</v>
      </c>
    </row>
    <row r="332" spans="3:41" ht="12" x14ac:dyDescent="0.2">
      <c r="C332" s="76">
        <f>'1. Accomodation'!N336</f>
        <v>0</v>
      </c>
      <c r="D332" s="69">
        <f>'1. Accomodation'!P336</f>
        <v>0</v>
      </c>
      <c r="E332" s="69">
        <f>'1. Accomodation'!Q336</f>
        <v>0</v>
      </c>
      <c r="F332" s="77">
        <f>'1. Accomodation'!O336</f>
        <v>0</v>
      </c>
      <c r="G332" s="69">
        <f>'1. Accomodation'!R336</f>
        <v>0</v>
      </c>
      <c r="H332" s="69">
        <f>'1. Accomodation'!S336</f>
        <v>0</v>
      </c>
      <c r="I332" s="62"/>
      <c r="K332" s="272">
        <f>IFERROR(INDEX('2. GRI Pricing Inputs'!$C$15:$AI$16,MATCH($K$16,'2. GRI Pricing Inputs'!$C$15:$C$16,0),MATCH(D332,'2. GRI Pricing Inputs'!$C$15:$AI$15,0)),0)</f>
        <v>0</v>
      </c>
      <c r="L332" s="273">
        <f>IFERROR(INDEX('2. GRI Pricing Inputs'!$C$22:$AI$23,MATCH($L$16,'2. GRI Pricing Inputs'!$C$22:$C$23,0),MATCH(E332,'2. GRI Pricing Inputs'!$C$22:$AI$22,0)),0)</f>
        <v>0</v>
      </c>
      <c r="M332" s="328">
        <f>IF(AND('3. GRI Pricing'!$F332&gt;='2. GRI Pricing Inputs'!$D$33,'3. GRI Pricing'!$F332&lt;='2. GRI Pricing Inputs'!$E$33),'2. GRI Pricing Inputs'!$D$32,IF(AND('3. GRI Pricing'!$F332&gt;='2. GRI Pricing Inputs'!$F$33,'3. GRI Pricing'!$F332&lt;='2. GRI Pricing Inputs'!$G$33),'2. GRI Pricing Inputs'!$F$32,IF(AND('3. GRI Pricing'!$F332&gt;='2. GRI Pricing Inputs'!$H$33,'3. GRI Pricing'!$F332&lt;='2. GRI Pricing Inputs'!$I$33),'2. GRI Pricing Inputs'!$H$32,IF(AND('3. GRI Pricing'!$F332&gt;='2. GRI Pricing Inputs'!$J$33,'3. GRI Pricing'!$F332&lt;='2. GRI Pricing Inputs'!$K$33),'2. GRI Pricing Inputs'!$J$32,IF(AND('3. GRI Pricing'!$F332&gt;='2. GRI Pricing Inputs'!$L$33,'3. GRI Pricing'!$F332&lt;='2. GRI Pricing Inputs'!$M$33),'2. GRI Pricing Inputs'!$L$32,IF(AND('3. GRI Pricing'!$F332&gt;='2. GRI Pricing Inputs'!$N$33,'3. GRI Pricing'!$F332&lt;='2. GRI Pricing Inputs'!$O$33),'2. GRI Pricing Inputs'!$N$32,IF(AND('3. GRI Pricing'!$F332&gt;='2. GRI Pricing Inputs'!$P$33,'3. GRI Pricing'!$F332&lt;='2. GRI Pricing Inputs'!$Q$33),'2. GRI Pricing Inputs'!$P$32,IF(AND('3. GRI Pricing'!$F332&gt;='2. GRI Pricing Inputs'!$R$33,'3. GRI Pricing'!$F332&lt;='2. GRI Pricing Inputs'!$S$33),'2. GRI Pricing Inputs'!$R$32,IF(AND('3. GRI Pricing'!$F332&gt;='2. GRI Pricing Inputs'!$T$33,'3. GRI Pricing'!$F332&lt;='2. GRI Pricing Inputs'!$U$33),'2. GRI Pricing Inputs'!$T$32,IF(AND('3. GRI Pricing'!$F332&gt;='2. GRI Pricing Inputs'!$V$33,'3. GRI Pricing'!$F332&lt;='2. GRI Pricing Inputs'!$W$33),'2. GRI Pricing Inputs'!$V$32,IF(AND('3. GRI Pricing'!$F332&gt;='2. GRI Pricing Inputs'!$X$33,'3. GRI Pricing'!$F332&lt;='2. GRI Pricing Inputs'!$Y$33),'2. GRI Pricing Inputs'!$X$32,IF(AND('3. GRI Pricing'!$F332&gt;='2. GRI Pricing Inputs'!$Z$33,'3. GRI Pricing'!$F332&lt;='2. GRI Pricing Inputs'!$AA$33),'2. GRI Pricing Inputs'!$Z$32,IF(AND('3. GRI Pricing'!$F332&gt;='2. GRI Pricing Inputs'!$AB$33,'3. GRI Pricing'!$F332&lt;='2. GRI Pricing Inputs'!$AC$33),'2. GRI Pricing Inputs'!$AB$32,IF(AND('3. GRI Pricing'!$F332&gt;='2. GRI Pricing Inputs'!$AD$33,'3. GRI Pricing'!$F332&lt;='2. GRI Pricing Inputs'!$AE$33),'2. GRI Pricing Inputs'!$AD$32,IF(AND('3. GRI Pricing'!$F332&gt;='2. GRI Pricing Inputs'!$AF$33,'3. GRI Pricing'!$F332&lt;='2. GRI Pricing Inputs'!$AG$33),'2. GRI Pricing Inputs'!$AF$32,IF(AND('3. GRI Pricing'!$F332&gt;='2. GRI Pricing Inputs'!$AH$33,'3. GRI Pricing'!$F332&lt;='2. GRI Pricing Inputs'!$AI$33),'2. GRI Pricing Inputs'!$AH$32,0))))))))))))))))</f>
        <v>0</v>
      </c>
      <c r="N332" s="273" cm="1">
        <f t="array" ref="N332">IFERROR(INDEX('2. GRI Pricing Inputs'!$C$32:$AI$39,MATCH('3. GRI Pricing'!D332,'2. GRI Pricing Inputs'!$C$32:$C$39,0),(MATCH('3. GRI Pricing'!M332,'2. GRI Pricing Inputs'!$D$32:$AI$32,0)+1)),0)</f>
        <v>0</v>
      </c>
      <c r="O332" s="273">
        <f>IFERROR(INDEX('2. GRI Pricing Inputs'!$C$45:$AI$46,MATCH($O$16,'2. GRI Pricing Inputs'!$C$45:$C$46,0),MATCH(G332,'2. GRI Pricing Inputs'!$C$45:$AI$45,0)),0)</f>
        <v>0</v>
      </c>
      <c r="P332" s="273">
        <f>IFERROR(INDEX('2. GRI Pricing Inputs'!$C$53:$AI$54,MATCH('3. GRI Pricing'!$P$16,'2. GRI Pricing Inputs'!$C$53:$C$54,0),MATCH('3. GRI Pricing'!H332,'2. GRI Pricing Inputs'!$C$53:$AI$53,0)),0)</f>
        <v>0</v>
      </c>
      <c r="Q332" s="273">
        <f>IFERROR(INDEX('2. GRI Pricing Inputs'!$C$60:$AI$61,MATCH('3. GRI Pricing'!$Q$16,'2. GRI Pricing Inputs'!$C$60:$C$61,0),MATCH('1. Accomodation'!T336,'2. GRI Pricing Inputs'!$C$60:$AI$60,0)),0)</f>
        <v>0</v>
      </c>
      <c r="R332" s="273">
        <f>IFERROR(INDEX('2. GRI Pricing Inputs'!$C$67:$AI$68,MATCH('3. GRI Pricing'!$R$16,'2. GRI Pricing Inputs'!$C$67:$C$68,0),MATCH('1. Accomodation'!U336,'2. GRI Pricing Inputs'!$C$67:$AI$67,0)),0)</f>
        <v>0</v>
      </c>
      <c r="S332" s="273">
        <f>IF(D332=0,0,'2. GRI Pricing Inputs'!$AI$75)</f>
        <v>0</v>
      </c>
      <c r="T332" s="273">
        <f>IFERROR(INDEX('2. GRI Pricing Inputs'!$C$82:$AI$83,MATCH('3. GRI Pricing'!$T$16,'2. GRI Pricing Inputs'!$C$82:$C$83,0),MATCH('1. Accomodation'!V336,'2. GRI Pricing Inputs'!$C$82:$AI$82,0)),0)</f>
        <v>0</v>
      </c>
      <c r="U332" s="273">
        <f>IFERROR(INDEX('2. GRI Pricing Inputs'!$C$89:$AI$90,MATCH('3. GRI Pricing'!$U$16,'2. GRI Pricing Inputs'!$C$89:$C$90,0),MATCH('1. Accomodation'!W336,'2. GRI Pricing Inputs'!$C$89:$AI$89,0)),0)</f>
        <v>0</v>
      </c>
      <c r="V332" s="273">
        <f>IFERROR(INDEX('2. GRI Pricing Inputs'!$C$97:$AI$98,MATCH('3. GRI Pricing'!$V$16,'2. GRI Pricing Inputs'!$C$97:$C$98,0),MATCH('1. Accomodation'!X336,'2. GRI Pricing Inputs'!$C$97:$AI$97,0)),0)</f>
        <v>0</v>
      </c>
      <c r="W332" s="273">
        <f>IFERROR(INDEX('2. GRI Pricing Inputs'!$C$104:$AI$105,MATCH('3. GRI Pricing'!$W$16,'2. GRI Pricing Inputs'!$C$104:$C$105,0),MATCH('1. Accomodation'!Y336,'2. GRI Pricing Inputs'!$C$104:$AI$104,0)),0)</f>
        <v>0</v>
      </c>
      <c r="X332" s="274"/>
      <c r="Y332" s="275">
        <f t="shared" si="11"/>
        <v>0</v>
      </c>
      <c r="Z332" s="276"/>
      <c r="AA332" s="276"/>
      <c r="AB332" s="276"/>
      <c r="AC332" s="272">
        <f>Y332*(1+'2. GRI Pricing Inputs'!$D$114)^(($AC$16-$AB$15)/365)</f>
        <v>0</v>
      </c>
      <c r="AD332" s="273">
        <f>AC332*(1+'2. GRI Pricing Inputs'!$D$114)^((AD$16-AC$16)/365)</f>
        <v>0</v>
      </c>
      <c r="AE332" s="273">
        <f>AD332*(1+'2. GRI Pricing Inputs'!$D$114)^((AE$16-AD$16)/365)</f>
        <v>0</v>
      </c>
      <c r="AF332" s="273">
        <f>AE332*(1+'2. GRI Pricing Inputs'!$D$114)^((AF$16-AE$16)/365)</f>
        <v>0</v>
      </c>
      <c r="AG332" s="273">
        <f>AF332*(1+'2. GRI Pricing Inputs'!$D$114)^((AG$16-AF$16)/365)</f>
        <v>0</v>
      </c>
      <c r="AH332" s="273">
        <f>AG332*(1+'2. GRI Pricing Inputs'!$D$114)^((AH$16-AG$16)/365)</f>
        <v>0</v>
      </c>
      <c r="AI332" s="273">
        <f>AH332*(1+'2. GRI Pricing Inputs'!$D$114)^((AI$16-AH$16)/365)</f>
        <v>0</v>
      </c>
      <c r="AJ332" s="273">
        <f>AI332*(1+'2. GRI Pricing Inputs'!$D$114)^((AJ$16-AI$16)/365)</f>
        <v>0</v>
      </c>
      <c r="AK332" s="273">
        <f>AJ332*(1+'2. GRI Pricing Inputs'!$D$114)^((AK$16-AJ$16)/365)</f>
        <v>0</v>
      </c>
      <c r="AL332" s="273">
        <f>AK332*(1+'2. GRI Pricing Inputs'!$D$114)^((AL$16-AK$16)/365)</f>
        <v>0</v>
      </c>
      <c r="AM332" s="273">
        <f>AL332*(1+'2. GRI Pricing Inputs'!$D$114)^((AM$16-AL$16)/365)</f>
        <v>0</v>
      </c>
      <c r="AN332" s="273">
        <f>AM332*(1+'2. GRI Pricing Inputs'!$D$114)^((AN$16-AM$16)/365)</f>
        <v>0</v>
      </c>
      <c r="AO332" s="273">
        <f>AN332*(1+'2. GRI Pricing Inputs'!$D$114)^((AO$16-AN$16)/365)</f>
        <v>0</v>
      </c>
    </row>
    <row r="333" spans="3:41" ht="12" x14ac:dyDescent="0.2">
      <c r="C333" s="76">
        <f>'1. Accomodation'!N337</f>
        <v>0</v>
      </c>
      <c r="D333" s="69">
        <f>'1. Accomodation'!P337</f>
        <v>0</v>
      </c>
      <c r="E333" s="69">
        <f>'1. Accomodation'!Q337</f>
        <v>0</v>
      </c>
      <c r="F333" s="77">
        <f>'1. Accomodation'!O337</f>
        <v>0</v>
      </c>
      <c r="G333" s="69">
        <f>'1. Accomodation'!R337</f>
        <v>0</v>
      </c>
      <c r="H333" s="69">
        <f>'1. Accomodation'!S337</f>
        <v>0</v>
      </c>
      <c r="I333" s="62"/>
      <c r="K333" s="272">
        <f>IFERROR(INDEX('2. GRI Pricing Inputs'!$C$15:$AI$16,MATCH($K$16,'2. GRI Pricing Inputs'!$C$15:$C$16,0),MATCH(D333,'2. GRI Pricing Inputs'!$C$15:$AI$15,0)),0)</f>
        <v>0</v>
      </c>
      <c r="L333" s="273">
        <f>IFERROR(INDEX('2. GRI Pricing Inputs'!$C$22:$AI$23,MATCH($L$16,'2. GRI Pricing Inputs'!$C$22:$C$23,0),MATCH(E333,'2. GRI Pricing Inputs'!$C$22:$AI$22,0)),0)</f>
        <v>0</v>
      </c>
      <c r="M333" s="328">
        <f>IF(AND('3. GRI Pricing'!$F333&gt;='2. GRI Pricing Inputs'!$D$33,'3. GRI Pricing'!$F333&lt;='2. GRI Pricing Inputs'!$E$33),'2. GRI Pricing Inputs'!$D$32,IF(AND('3. GRI Pricing'!$F333&gt;='2. GRI Pricing Inputs'!$F$33,'3. GRI Pricing'!$F333&lt;='2. GRI Pricing Inputs'!$G$33),'2. GRI Pricing Inputs'!$F$32,IF(AND('3. GRI Pricing'!$F333&gt;='2. GRI Pricing Inputs'!$H$33,'3. GRI Pricing'!$F333&lt;='2. GRI Pricing Inputs'!$I$33),'2. GRI Pricing Inputs'!$H$32,IF(AND('3. GRI Pricing'!$F333&gt;='2. GRI Pricing Inputs'!$J$33,'3. GRI Pricing'!$F333&lt;='2. GRI Pricing Inputs'!$K$33),'2. GRI Pricing Inputs'!$J$32,IF(AND('3. GRI Pricing'!$F333&gt;='2. GRI Pricing Inputs'!$L$33,'3. GRI Pricing'!$F333&lt;='2. GRI Pricing Inputs'!$M$33),'2. GRI Pricing Inputs'!$L$32,IF(AND('3. GRI Pricing'!$F333&gt;='2. GRI Pricing Inputs'!$N$33,'3. GRI Pricing'!$F333&lt;='2. GRI Pricing Inputs'!$O$33),'2. GRI Pricing Inputs'!$N$32,IF(AND('3. GRI Pricing'!$F333&gt;='2. GRI Pricing Inputs'!$P$33,'3. GRI Pricing'!$F333&lt;='2. GRI Pricing Inputs'!$Q$33),'2. GRI Pricing Inputs'!$P$32,IF(AND('3. GRI Pricing'!$F333&gt;='2. GRI Pricing Inputs'!$R$33,'3. GRI Pricing'!$F333&lt;='2. GRI Pricing Inputs'!$S$33),'2. GRI Pricing Inputs'!$R$32,IF(AND('3. GRI Pricing'!$F333&gt;='2. GRI Pricing Inputs'!$T$33,'3. GRI Pricing'!$F333&lt;='2. GRI Pricing Inputs'!$U$33),'2. GRI Pricing Inputs'!$T$32,IF(AND('3. GRI Pricing'!$F333&gt;='2. GRI Pricing Inputs'!$V$33,'3. GRI Pricing'!$F333&lt;='2. GRI Pricing Inputs'!$W$33),'2. GRI Pricing Inputs'!$V$32,IF(AND('3. GRI Pricing'!$F333&gt;='2. GRI Pricing Inputs'!$X$33,'3. GRI Pricing'!$F333&lt;='2. GRI Pricing Inputs'!$Y$33),'2. GRI Pricing Inputs'!$X$32,IF(AND('3. GRI Pricing'!$F333&gt;='2. GRI Pricing Inputs'!$Z$33,'3. GRI Pricing'!$F333&lt;='2. GRI Pricing Inputs'!$AA$33),'2. GRI Pricing Inputs'!$Z$32,IF(AND('3. GRI Pricing'!$F333&gt;='2. GRI Pricing Inputs'!$AB$33,'3. GRI Pricing'!$F333&lt;='2. GRI Pricing Inputs'!$AC$33),'2. GRI Pricing Inputs'!$AB$32,IF(AND('3. GRI Pricing'!$F333&gt;='2. GRI Pricing Inputs'!$AD$33,'3. GRI Pricing'!$F333&lt;='2. GRI Pricing Inputs'!$AE$33),'2. GRI Pricing Inputs'!$AD$32,IF(AND('3. GRI Pricing'!$F333&gt;='2. GRI Pricing Inputs'!$AF$33,'3. GRI Pricing'!$F333&lt;='2. GRI Pricing Inputs'!$AG$33),'2. GRI Pricing Inputs'!$AF$32,IF(AND('3. GRI Pricing'!$F333&gt;='2. GRI Pricing Inputs'!$AH$33,'3. GRI Pricing'!$F333&lt;='2. GRI Pricing Inputs'!$AI$33),'2. GRI Pricing Inputs'!$AH$32,0))))))))))))))))</f>
        <v>0</v>
      </c>
      <c r="N333" s="273" cm="1">
        <f t="array" ref="N333">IFERROR(INDEX('2. GRI Pricing Inputs'!$C$32:$AI$39,MATCH('3. GRI Pricing'!D333,'2. GRI Pricing Inputs'!$C$32:$C$39,0),(MATCH('3. GRI Pricing'!M333,'2. GRI Pricing Inputs'!$D$32:$AI$32,0)+1)),0)</f>
        <v>0</v>
      </c>
      <c r="O333" s="273">
        <f>IFERROR(INDEX('2. GRI Pricing Inputs'!$C$45:$AI$46,MATCH($O$16,'2. GRI Pricing Inputs'!$C$45:$C$46,0),MATCH(G333,'2. GRI Pricing Inputs'!$C$45:$AI$45,0)),0)</f>
        <v>0</v>
      </c>
      <c r="P333" s="273">
        <f>IFERROR(INDEX('2. GRI Pricing Inputs'!$C$53:$AI$54,MATCH('3. GRI Pricing'!$P$16,'2. GRI Pricing Inputs'!$C$53:$C$54,0),MATCH('3. GRI Pricing'!H333,'2. GRI Pricing Inputs'!$C$53:$AI$53,0)),0)</f>
        <v>0</v>
      </c>
      <c r="Q333" s="273">
        <f>IFERROR(INDEX('2. GRI Pricing Inputs'!$C$60:$AI$61,MATCH('3. GRI Pricing'!$Q$16,'2. GRI Pricing Inputs'!$C$60:$C$61,0),MATCH('1. Accomodation'!T337,'2. GRI Pricing Inputs'!$C$60:$AI$60,0)),0)</f>
        <v>0</v>
      </c>
      <c r="R333" s="273">
        <f>IFERROR(INDEX('2. GRI Pricing Inputs'!$C$67:$AI$68,MATCH('3. GRI Pricing'!$R$16,'2. GRI Pricing Inputs'!$C$67:$C$68,0),MATCH('1. Accomodation'!U337,'2. GRI Pricing Inputs'!$C$67:$AI$67,0)),0)</f>
        <v>0</v>
      </c>
      <c r="S333" s="273">
        <f>IF(D333=0,0,'2. GRI Pricing Inputs'!$AI$75)</f>
        <v>0</v>
      </c>
      <c r="T333" s="273">
        <f>IFERROR(INDEX('2. GRI Pricing Inputs'!$C$82:$AI$83,MATCH('3. GRI Pricing'!$T$16,'2. GRI Pricing Inputs'!$C$82:$C$83,0),MATCH('1. Accomodation'!V337,'2. GRI Pricing Inputs'!$C$82:$AI$82,0)),0)</f>
        <v>0</v>
      </c>
      <c r="U333" s="273">
        <f>IFERROR(INDEX('2. GRI Pricing Inputs'!$C$89:$AI$90,MATCH('3. GRI Pricing'!$U$16,'2. GRI Pricing Inputs'!$C$89:$C$90,0),MATCH('1. Accomodation'!W337,'2. GRI Pricing Inputs'!$C$89:$AI$89,0)),0)</f>
        <v>0</v>
      </c>
      <c r="V333" s="273">
        <f>IFERROR(INDEX('2. GRI Pricing Inputs'!$C$97:$AI$98,MATCH('3. GRI Pricing'!$V$16,'2. GRI Pricing Inputs'!$C$97:$C$98,0),MATCH('1. Accomodation'!X337,'2. GRI Pricing Inputs'!$C$97:$AI$97,0)),0)</f>
        <v>0</v>
      </c>
      <c r="W333" s="273">
        <f>IFERROR(INDEX('2. GRI Pricing Inputs'!$C$104:$AI$105,MATCH('3. GRI Pricing'!$W$16,'2. GRI Pricing Inputs'!$C$104:$C$105,0),MATCH('1. Accomodation'!Y337,'2. GRI Pricing Inputs'!$C$104:$AI$104,0)),0)</f>
        <v>0</v>
      </c>
      <c r="X333" s="274"/>
      <c r="Y333" s="275">
        <f t="shared" si="11"/>
        <v>0</v>
      </c>
      <c r="Z333" s="276"/>
      <c r="AA333" s="276"/>
      <c r="AB333" s="276"/>
      <c r="AC333" s="272">
        <f>Y333*(1+'2. GRI Pricing Inputs'!$D$114)^(($AC$16-$AB$15)/365)</f>
        <v>0</v>
      </c>
      <c r="AD333" s="273">
        <f>AC333*(1+'2. GRI Pricing Inputs'!$D$114)^((AD$16-AC$16)/365)</f>
        <v>0</v>
      </c>
      <c r="AE333" s="273">
        <f>AD333*(1+'2. GRI Pricing Inputs'!$D$114)^((AE$16-AD$16)/365)</f>
        <v>0</v>
      </c>
      <c r="AF333" s="273">
        <f>AE333*(1+'2. GRI Pricing Inputs'!$D$114)^((AF$16-AE$16)/365)</f>
        <v>0</v>
      </c>
      <c r="AG333" s="273">
        <f>AF333*(1+'2. GRI Pricing Inputs'!$D$114)^((AG$16-AF$16)/365)</f>
        <v>0</v>
      </c>
      <c r="AH333" s="273">
        <f>AG333*(1+'2. GRI Pricing Inputs'!$D$114)^((AH$16-AG$16)/365)</f>
        <v>0</v>
      </c>
      <c r="AI333" s="273">
        <f>AH333*(1+'2. GRI Pricing Inputs'!$D$114)^((AI$16-AH$16)/365)</f>
        <v>0</v>
      </c>
      <c r="AJ333" s="273">
        <f>AI333*(1+'2. GRI Pricing Inputs'!$D$114)^((AJ$16-AI$16)/365)</f>
        <v>0</v>
      </c>
      <c r="AK333" s="273">
        <f>AJ333*(1+'2. GRI Pricing Inputs'!$D$114)^((AK$16-AJ$16)/365)</f>
        <v>0</v>
      </c>
      <c r="AL333" s="273">
        <f>AK333*(1+'2. GRI Pricing Inputs'!$D$114)^((AL$16-AK$16)/365)</f>
        <v>0</v>
      </c>
      <c r="AM333" s="273">
        <f>AL333*(1+'2. GRI Pricing Inputs'!$D$114)^((AM$16-AL$16)/365)</f>
        <v>0</v>
      </c>
      <c r="AN333" s="273">
        <f>AM333*(1+'2. GRI Pricing Inputs'!$D$114)^((AN$16-AM$16)/365)</f>
        <v>0</v>
      </c>
      <c r="AO333" s="273">
        <f>AN333*(1+'2. GRI Pricing Inputs'!$D$114)^((AO$16-AN$16)/365)</f>
        <v>0</v>
      </c>
    </row>
    <row r="334" spans="3:41" ht="12" x14ac:dyDescent="0.2">
      <c r="C334" s="76">
        <f>'1. Accomodation'!N338</f>
        <v>0</v>
      </c>
      <c r="D334" s="69">
        <f>'1. Accomodation'!P338</f>
        <v>0</v>
      </c>
      <c r="E334" s="69">
        <f>'1. Accomodation'!Q338</f>
        <v>0</v>
      </c>
      <c r="F334" s="77">
        <f>'1. Accomodation'!O338</f>
        <v>0</v>
      </c>
      <c r="G334" s="69">
        <f>'1. Accomodation'!R338</f>
        <v>0</v>
      </c>
      <c r="H334" s="69">
        <f>'1. Accomodation'!S338</f>
        <v>0</v>
      </c>
      <c r="I334" s="62"/>
      <c r="K334" s="272">
        <f>IFERROR(INDEX('2. GRI Pricing Inputs'!$C$15:$AI$16,MATCH($K$16,'2. GRI Pricing Inputs'!$C$15:$C$16,0),MATCH(D334,'2. GRI Pricing Inputs'!$C$15:$AI$15,0)),0)</f>
        <v>0</v>
      </c>
      <c r="L334" s="273">
        <f>IFERROR(INDEX('2. GRI Pricing Inputs'!$C$22:$AI$23,MATCH($L$16,'2. GRI Pricing Inputs'!$C$22:$C$23,0),MATCH(E334,'2. GRI Pricing Inputs'!$C$22:$AI$22,0)),0)</f>
        <v>0</v>
      </c>
      <c r="M334" s="328">
        <f>IF(AND('3. GRI Pricing'!$F334&gt;='2. GRI Pricing Inputs'!$D$33,'3. GRI Pricing'!$F334&lt;='2. GRI Pricing Inputs'!$E$33),'2. GRI Pricing Inputs'!$D$32,IF(AND('3. GRI Pricing'!$F334&gt;='2. GRI Pricing Inputs'!$F$33,'3. GRI Pricing'!$F334&lt;='2. GRI Pricing Inputs'!$G$33),'2. GRI Pricing Inputs'!$F$32,IF(AND('3. GRI Pricing'!$F334&gt;='2. GRI Pricing Inputs'!$H$33,'3. GRI Pricing'!$F334&lt;='2. GRI Pricing Inputs'!$I$33),'2. GRI Pricing Inputs'!$H$32,IF(AND('3. GRI Pricing'!$F334&gt;='2. GRI Pricing Inputs'!$J$33,'3. GRI Pricing'!$F334&lt;='2. GRI Pricing Inputs'!$K$33),'2. GRI Pricing Inputs'!$J$32,IF(AND('3. GRI Pricing'!$F334&gt;='2. GRI Pricing Inputs'!$L$33,'3. GRI Pricing'!$F334&lt;='2. GRI Pricing Inputs'!$M$33),'2. GRI Pricing Inputs'!$L$32,IF(AND('3. GRI Pricing'!$F334&gt;='2. GRI Pricing Inputs'!$N$33,'3. GRI Pricing'!$F334&lt;='2. GRI Pricing Inputs'!$O$33),'2. GRI Pricing Inputs'!$N$32,IF(AND('3. GRI Pricing'!$F334&gt;='2. GRI Pricing Inputs'!$P$33,'3. GRI Pricing'!$F334&lt;='2. GRI Pricing Inputs'!$Q$33),'2. GRI Pricing Inputs'!$P$32,IF(AND('3. GRI Pricing'!$F334&gt;='2. GRI Pricing Inputs'!$R$33,'3. GRI Pricing'!$F334&lt;='2. GRI Pricing Inputs'!$S$33),'2. GRI Pricing Inputs'!$R$32,IF(AND('3. GRI Pricing'!$F334&gt;='2. GRI Pricing Inputs'!$T$33,'3. GRI Pricing'!$F334&lt;='2. GRI Pricing Inputs'!$U$33),'2. GRI Pricing Inputs'!$T$32,IF(AND('3. GRI Pricing'!$F334&gt;='2. GRI Pricing Inputs'!$V$33,'3. GRI Pricing'!$F334&lt;='2. GRI Pricing Inputs'!$W$33),'2. GRI Pricing Inputs'!$V$32,IF(AND('3. GRI Pricing'!$F334&gt;='2. GRI Pricing Inputs'!$X$33,'3. GRI Pricing'!$F334&lt;='2. GRI Pricing Inputs'!$Y$33),'2. GRI Pricing Inputs'!$X$32,IF(AND('3. GRI Pricing'!$F334&gt;='2. GRI Pricing Inputs'!$Z$33,'3. GRI Pricing'!$F334&lt;='2. GRI Pricing Inputs'!$AA$33),'2. GRI Pricing Inputs'!$Z$32,IF(AND('3. GRI Pricing'!$F334&gt;='2. GRI Pricing Inputs'!$AB$33,'3. GRI Pricing'!$F334&lt;='2. GRI Pricing Inputs'!$AC$33),'2. GRI Pricing Inputs'!$AB$32,IF(AND('3. GRI Pricing'!$F334&gt;='2. GRI Pricing Inputs'!$AD$33,'3. GRI Pricing'!$F334&lt;='2. GRI Pricing Inputs'!$AE$33),'2. GRI Pricing Inputs'!$AD$32,IF(AND('3. GRI Pricing'!$F334&gt;='2. GRI Pricing Inputs'!$AF$33,'3. GRI Pricing'!$F334&lt;='2. GRI Pricing Inputs'!$AG$33),'2. GRI Pricing Inputs'!$AF$32,IF(AND('3. GRI Pricing'!$F334&gt;='2. GRI Pricing Inputs'!$AH$33,'3. GRI Pricing'!$F334&lt;='2. GRI Pricing Inputs'!$AI$33),'2. GRI Pricing Inputs'!$AH$32,0))))))))))))))))</f>
        <v>0</v>
      </c>
      <c r="N334" s="273" cm="1">
        <f t="array" ref="N334">IFERROR(INDEX('2. GRI Pricing Inputs'!$C$32:$AI$39,MATCH('3. GRI Pricing'!D334,'2. GRI Pricing Inputs'!$C$32:$C$39,0),(MATCH('3. GRI Pricing'!M334,'2. GRI Pricing Inputs'!$D$32:$AI$32,0)+1)),0)</f>
        <v>0</v>
      </c>
      <c r="O334" s="273">
        <f>IFERROR(INDEX('2. GRI Pricing Inputs'!$C$45:$AI$46,MATCH($O$16,'2. GRI Pricing Inputs'!$C$45:$C$46,0),MATCH(G334,'2. GRI Pricing Inputs'!$C$45:$AI$45,0)),0)</f>
        <v>0</v>
      </c>
      <c r="P334" s="273">
        <f>IFERROR(INDEX('2. GRI Pricing Inputs'!$C$53:$AI$54,MATCH('3. GRI Pricing'!$P$16,'2. GRI Pricing Inputs'!$C$53:$C$54,0),MATCH('3. GRI Pricing'!H334,'2. GRI Pricing Inputs'!$C$53:$AI$53,0)),0)</f>
        <v>0</v>
      </c>
      <c r="Q334" s="273">
        <f>IFERROR(INDEX('2. GRI Pricing Inputs'!$C$60:$AI$61,MATCH('3. GRI Pricing'!$Q$16,'2. GRI Pricing Inputs'!$C$60:$C$61,0),MATCH('1. Accomodation'!T338,'2. GRI Pricing Inputs'!$C$60:$AI$60,0)),0)</f>
        <v>0</v>
      </c>
      <c r="R334" s="273">
        <f>IFERROR(INDEX('2. GRI Pricing Inputs'!$C$67:$AI$68,MATCH('3. GRI Pricing'!$R$16,'2. GRI Pricing Inputs'!$C$67:$C$68,0),MATCH('1. Accomodation'!U338,'2. GRI Pricing Inputs'!$C$67:$AI$67,0)),0)</f>
        <v>0</v>
      </c>
      <c r="S334" s="273">
        <f>IF(D334=0,0,'2. GRI Pricing Inputs'!$AI$75)</f>
        <v>0</v>
      </c>
      <c r="T334" s="273">
        <f>IFERROR(INDEX('2. GRI Pricing Inputs'!$C$82:$AI$83,MATCH('3. GRI Pricing'!$T$16,'2. GRI Pricing Inputs'!$C$82:$C$83,0),MATCH('1. Accomodation'!V338,'2. GRI Pricing Inputs'!$C$82:$AI$82,0)),0)</f>
        <v>0</v>
      </c>
      <c r="U334" s="273">
        <f>IFERROR(INDEX('2. GRI Pricing Inputs'!$C$89:$AI$90,MATCH('3. GRI Pricing'!$U$16,'2. GRI Pricing Inputs'!$C$89:$C$90,0),MATCH('1. Accomodation'!W338,'2. GRI Pricing Inputs'!$C$89:$AI$89,0)),0)</f>
        <v>0</v>
      </c>
      <c r="V334" s="273">
        <f>IFERROR(INDEX('2. GRI Pricing Inputs'!$C$97:$AI$98,MATCH('3. GRI Pricing'!$V$16,'2. GRI Pricing Inputs'!$C$97:$C$98,0),MATCH('1. Accomodation'!X338,'2. GRI Pricing Inputs'!$C$97:$AI$97,0)),0)</f>
        <v>0</v>
      </c>
      <c r="W334" s="273">
        <f>IFERROR(INDEX('2. GRI Pricing Inputs'!$C$104:$AI$105,MATCH('3. GRI Pricing'!$W$16,'2. GRI Pricing Inputs'!$C$104:$C$105,0),MATCH('1. Accomodation'!Y338,'2. GRI Pricing Inputs'!$C$104:$AI$104,0)),0)</f>
        <v>0</v>
      </c>
      <c r="X334" s="274"/>
      <c r="Y334" s="275">
        <f t="shared" si="11"/>
        <v>0</v>
      </c>
      <c r="Z334" s="276"/>
      <c r="AA334" s="276"/>
      <c r="AB334" s="276"/>
      <c r="AC334" s="272">
        <f>Y334*(1+'2. GRI Pricing Inputs'!$D$114)^(($AC$16-$AB$15)/365)</f>
        <v>0</v>
      </c>
      <c r="AD334" s="273">
        <f>AC334*(1+'2. GRI Pricing Inputs'!$D$114)^((AD$16-AC$16)/365)</f>
        <v>0</v>
      </c>
      <c r="AE334" s="273">
        <f>AD334*(1+'2. GRI Pricing Inputs'!$D$114)^((AE$16-AD$16)/365)</f>
        <v>0</v>
      </c>
      <c r="AF334" s="273">
        <f>AE334*(1+'2. GRI Pricing Inputs'!$D$114)^((AF$16-AE$16)/365)</f>
        <v>0</v>
      </c>
      <c r="AG334" s="273">
        <f>AF334*(1+'2. GRI Pricing Inputs'!$D$114)^((AG$16-AF$16)/365)</f>
        <v>0</v>
      </c>
      <c r="AH334" s="273">
        <f>AG334*(1+'2. GRI Pricing Inputs'!$D$114)^((AH$16-AG$16)/365)</f>
        <v>0</v>
      </c>
      <c r="AI334" s="273">
        <f>AH334*(1+'2. GRI Pricing Inputs'!$D$114)^((AI$16-AH$16)/365)</f>
        <v>0</v>
      </c>
      <c r="AJ334" s="273">
        <f>AI334*(1+'2. GRI Pricing Inputs'!$D$114)^((AJ$16-AI$16)/365)</f>
        <v>0</v>
      </c>
      <c r="AK334" s="273">
        <f>AJ334*(1+'2. GRI Pricing Inputs'!$D$114)^((AK$16-AJ$16)/365)</f>
        <v>0</v>
      </c>
      <c r="AL334" s="273">
        <f>AK334*(1+'2. GRI Pricing Inputs'!$D$114)^((AL$16-AK$16)/365)</f>
        <v>0</v>
      </c>
      <c r="AM334" s="273">
        <f>AL334*(1+'2. GRI Pricing Inputs'!$D$114)^((AM$16-AL$16)/365)</f>
        <v>0</v>
      </c>
      <c r="AN334" s="273">
        <f>AM334*(1+'2. GRI Pricing Inputs'!$D$114)^((AN$16-AM$16)/365)</f>
        <v>0</v>
      </c>
      <c r="AO334" s="273">
        <f>AN334*(1+'2. GRI Pricing Inputs'!$D$114)^((AO$16-AN$16)/365)</f>
        <v>0</v>
      </c>
    </row>
    <row r="335" spans="3:41" ht="12" x14ac:dyDescent="0.2">
      <c r="C335" s="76">
        <f>'1. Accomodation'!N339</f>
        <v>0</v>
      </c>
      <c r="D335" s="69">
        <f>'1. Accomodation'!P339</f>
        <v>0</v>
      </c>
      <c r="E335" s="69">
        <f>'1. Accomodation'!Q339</f>
        <v>0</v>
      </c>
      <c r="F335" s="77">
        <f>'1. Accomodation'!O339</f>
        <v>0</v>
      </c>
      <c r="G335" s="69">
        <f>'1. Accomodation'!R339</f>
        <v>0</v>
      </c>
      <c r="H335" s="69">
        <f>'1. Accomodation'!S339</f>
        <v>0</v>
      </c>
      <c r="I335" s="62"/>
      <c r="K335" s="272">
        <f>IFERROR(INDEX('2. GRI Pricing Inputs'!$C$15:$AI$16,MATCH($K$16,'2. GRI Pricing Inputs'!$C$15:$C$16,0),MATCH(D335,'2. GRI Pricing Inputs'!$C$15:$AI$15,0)),0)</f>
        <v>0</v>
      </c>
      <c r="L335" s="273">
        <f>IFERROR(INDEX('2. GRI Pricing Inputs'!$C$22:$AI$23,MATCH($L$16,'2. GRI Pricing Inputs'!$C$22:$C$23,0),MATCH(E335,'2. GRI Pricing Inputs'!$C$22:$AI$22,0)),0)</f>
        <v>0</v>
      </c>
      <c r="M335" s="328">
        <f>IF(AND('3. GRI Pricing'!$F335&gt;='2. GRI Pricing Inputs'!$D$33,'3. GRI Pricing'!$F335&lt;='2. GRI Pricing Inputs'!$E$33),'2. GRI Pricing Inputs'!$D$32,IF(AND('3. GRI Pricing'!$F335&gt;='2. GRI Pricing Inputs'!$F$33,'3. GRI Pricing'!$F335&lt;='2. GRI Pricing Inputs'!$G$33),'2. GRI Pricing Inputs'!$F$32,IF(AND('3. GRI Pricing'!$F335&gt;='2. GRI Pricing Inputs'!$H$33,'3. GRI Pricing'!$F335&lt;='2. GRI Pricing Inputs'!$I$33),'2. GRI Pricing Inputs'!$H$32,IF(AND('3. GRI Pricing'!$F335&gt;='2. GRI Pricing Inputs'!$J$33,'3. GRI Pricing'!$F335&lt;='2. GRI Pricing Inputs'!$K$33),'2. GRI Pricing Inputs'!$J$32,IF(AND('3. GRI Pricing'!$F335&gt;='2. GRI Pricing Inputs'!$L$33,'3. GRI Pricing'!$F335&lt;='2. GRI Pricing Inputs'!$M$33),'2. GRI Pricing Inputs'!$L$32,IF(AND('3. GRI Pricing'!$F335&gt;='2. GRI Pricing Inputs'!$N$33,'3. GRI Pricing'!$F335&lt;='2. GRI Pricing Inputs'!$O$33),'2. GRI Pricing Inputs'!$N$32,IF(AND('3. GRI Pricing'!$F335&gt;='2. GRI Pricing Inputs'!$P$33,'3. GRI Pricing'!$F335&lt;='2. GRI Pricing Inputs'!$Q$33),'2. GRI Pricing Inputs'!$P$32,IF(AND('3. GRI Pricing'!$F335&gt;='2. GRI Pricing Inputs'!$R$33,'3. GRI Pricing'!$F335&lt;='2. GRI Pricing Inputs'!$S$33),'2. GRI Pricing Inputs'!$R$32,IF(AND('3. GRI Pricing'!$F335&gt;='2. GRI Pricing Inputs'!$T$33,'3. GRI Pricing'!$F335&lt;='2. GRI Pricing Inputs'!$U$33),'2. GRI Pricing Inputs'!$T$32,IF(AND('3. GRI Pricing'!$F335&gt;='2. GRI Pricing Inputs'!$V$33,'3. GRI Pricing'!$F335&lt;='2. GRI Pricing Inputs'!$W$33),'2. GRI Pricing Inputs'!$V$32,IF(AND('3. GRI Pricing'!$F335&gt;='2. GRI Pricing Inputs'!$X$33,'3. GRI Pricing'!$F335&lt;='2. GRI Pricing Inputs'!$Y$33),'2. GRI Pricing Inputs'!$X$32,IF(AND('3. GRI Pricing'!$F335&gt;='2. GRI Pricing Inputs'!$Z$33,'3. GRI Pricing'!$F335&lt;='2. GRI Pricing Inputs'!$AA$33),'2. GRI Pricing Inputs'!$Z$32,IF(AND('3. GRI Pricing'!$F335&gt;='2. GRI Pricing Inputs'!$AB$33,'3. GRI Pricing'!$F335&lt;='2. GRI Pricing Inputs'!$AC$33),'2. GRI Pricing Inputs'!$AB$32,IF(AND('3. GRI Pricing'!$F335&gt;='2. GRI Pricing Inputs'!$AD$33,'3. GRI Pricing'!$F335&lt;='2. GRI Pricing Inputs'!$AE$33),'2. GRI Pricing Inputs'!$AD$32,IF(AND('3. GRI Pricing'!$F335&gt;='2. GRI Pricing Inputs'!$AF$33,'3. GRI Pricing'!$F335&lt;='2. GRI Pricing Inputs'!$AG$33),'2. GRI Pricing Inputs'!$AF$32,IF(AND('3. GRI Pricing'!$F335&gt;='2. GRI Pricing Inputs'!$AH$33,'3. GRI Pricing'!$F335&lt;='2. GRI Pricing Inputs'!$AI$33),'2. GRI Pricing Inputs'!$AH$32,0))))))))))))))))</f>
        <v>0</v>
      </c>
      <c r="N335" s="273" cm="1">
        <f t="array" ref="N335">IFERROR(INDEX('2. GRI Pricing Inputs'!$C$32:$AI$39,MATCH('3. GRI Pricing'!D335,'2. GRI Pricing Inputs'!$C$32:$C$39,0),(MATCH('3. GRI Pricing'!M335,'2. GRI Pricing Inputs'!$D$32:$AI$32,0)+1)),0)</f>
        <v>0</v>
      </c>
      <c r="O335" s="273">
        <f>IFERROR(INDEX('2. GRI Pricing Inputs'!$C$45:$AI$46,MATCH($O$16,'2. GRI Pricing Inputs'!$C$45:$C$46,0),MATCH(G335,'2. GRI Pricing Inputs'!$C$45:$AI$45,0)),0)</f>
        <v>0</v>
      </c>
      <c r="P335" s="273">
        <f>IFERROR(INDEX('2. GRI Pricing Inputs'!$C$53:$AI$54,MATCH('3. GRI Pricing'!$P$16,'2. GRI Pricing Inputs'!$C$53:$C$54,0),MATCH('3. GRI Pricing'!H335,'2. GRI Pricing Inputs'!$C$53:$AI$53,0)),0)</f>
        <v>0</v>
      </c>
      <c r="Q335" s="273">
        <f>IFERROR(INDEX('2. GRI Pricing Inputs'!$C$60:$AI$61,MATCH('3. GRI Pricing'!$Q$16,'2. GRI Pricing Inputs'!$C$60:$C$61,0),MATCH('1. Accomodation'!T339,'2. GRI Pricing Inputs'!$C$60:$AI$60,0)),0)</f>
        <v>0</v>
      </c>
      <c r="R335" s="273">
        <f>IFERROR(INDEX('2. GRI Pricing Inputs'!$C$67:$AI$68,MATCH('3. GRI Pricing'!$R$16,'2. GRI Pricing Inputs'!$C$67:$C$68,0),MATCH('1. Accomodation'!U339,'2. GRI Pricing Inputs'!$C$67:$AI$67,0)),0)</f>
        <v>0</v>
      </c>
      <c r="S335" s="273">
        <f>IF(D335=0,0,'2. GRI Pricing Inputs'!$AI$75)</f>
        <v>0</v>
      </c>
      <c r="T335" s="273">
        <f>IFERROR(INDEX('2. GRI Pricing Inputs'!$C$82:$AI$83,MATCH('3. GRI Pricing'!$T$16,'2. GRI Pricing Inputs'!$C$82:$C$83,0),MATCH('1. Accomodation'!V339,'2. GRI Pricing Inputs'!$C$82:$AI$82,0)),0)</f>
        <v>0</v>
      </c>
      <c r="U335" s="273">
        <f>IFERROR(INDEX('2. GRI Pricing Inputs'!$C$89:$AI$90,MATCH('3. GRI Pricing'!$U$16,'2. GRI Pricing Inputs'!$C$89:$C$90,0),MATCH('1. Accomodation'!W339,'2. GRI Pricing Inputs'!$C$89:$AI$89,0)),0)</f>
        <v>0</v>
      </c>
      <c r="V335" s="273">
        <f>IFERROR(INDEX('2. GRI Pricing Inputs'!$C$97:$AI$98,MATCH('3. GRI Pricing'!$V$16,'2. GRI Pricing Inputs'!$C$97:$C$98,0),MATCH('1. Accomodation'!X339,'2. GRI Pricing Inputs'!$C$97:$AI$97,0)),0)</f>
        <v>0</v>
      </c>
      <c r="W335" s="273">
        <f>IFERROR(INDEX('2. GRI Pricing Inputs'!$C$104:$AI$105,MATCH('3. GRI Pricing'!$W$16,'2. GRI Pricing Inputs'!$C$104:$C$105,0),MATCH('1. Accomodation'!Y339,'2. GRI Pricing Inputs'!$C$104:$AI$104,0)),0)</f>
        <v>0</v>
      </c>
      <c r="X335" s="274"/>
      <c r="Y335" s="275">
        <f t="shared" si="11"/>
        <v>0</v>
      </c>
      <c r="Z335" s="276"/>
      <c r="AA335" s="276"/>
      <c r="AB335" s="276"/>
      <c r="AC335" s="272">
        <f>Y335*(1+'2. GRI Pricing Inputs'!$D$114)^(($AC$16-$AB$15)/365)</f>
        <v>0</v>
      </c>
      <c r="AD335" s="273">
        <f>AC335*(1+'2. GRI Pricing Inputs'!$D$114)^((AD$16-AC$16)/365)</f>
        <v>0</v>
      </c>
      <c r="AE335" s="273">
        <f>AD335*(1+'2. GRI Pricing Inputs'!$D$114)^((AE$16-AD$16)/365)</f>
        <v>0</v>
      </c>
      <c r="AF335" s="273">
        <f>AE335*(1+'2. GRI Pricing Inputs'!$D$114)^((AF$16-AE$16)/365)</f>
        <v>0</v>
      </c>
      <c r="AG335" s="273">
        <f>AF335*(1+'2. GRI Pricing Inputs'!$D$114)^((AG$16-AF$16)/365)</f>
        <v>0</v>
      </c>
      <c r="AH335" s="273">
        <f>AG335*(1+'2. GRI Pricing Inputs'!$D$114)^((AH$16-AG$16)/365)</f>
        <v>0</v>
      </c>
      <c r="AI335" s="273">
        <f>AH335*(1+'2. GRI Pricing Inputs'!$D$114)^((AI$16-AH$16)/365)</f>
        <v>0</v>
      </c>
      <c r="AJ335" s="273">
        <f>AI335*(1+'2. GRI Pricing Inputs'!$D$114)^((AJ$16-AI$16)/365)</f>
        <v>0</v>
      </c>
      <c r="AK335" s="273">
        <f>AJ335*(1+'2. GRI Pricing Inputs'!$D$114)^((AK$16-AJ$16)/365)</f>
        <v>0</v>
      </c>
      <c r="AL335" s="273">
        <f>AK335*(1+'2. GRI Pricing Inputs'!$D$114)^((AL$16-AK$16)/365)</f>
        <v>0</v>
      </c>
      <c r="AM335" s="273">
        <f>AL335*(1+'2. GRI Pricing Inputs'!$D$114)^((AM$16-AL$16)/365)</f>
        <v>0</v>
      </c>
      <c r="AN335" s="273">
        <f>AM335*(1+'2. GRI Pricing Inputs'!$D$114)^((AN$16-AM$16)/365)</f>
        <v>0</v>
      </c>
      <c r="AO335" s="273">
        <f>AN335*(1+'2. GRI Pricing Inputs'!$D$114)^((AO$16-AN$16)/365)</f>
        <v>0</v>
      </c>
    </row>
    <row r="336" spans="3:41" ht="12" x14ac:dyDescent="0.2">
      <c r="C336" s="76">
        <f>'1. Accomodation'!N340</f>
        <v>0</v>
      </c>
      <c r="D336" s="69">
        <f>'1. Accomodation'!P340</f>
        <v>0</v>
      </c>
      <c r="E336" s="69">
        <f>'1. Accomodation'!Q340</f>
        <v>0</v>
      </c>
      <c r="F336" s="77">
        <f>'1. Accomodation'!O340</f>
        <v>0</v>
      </c>
      <c r="G336" s="69">
        <f>'1. Accomodation'!R340</f>
        <v>0</v>
      </c>
      <c r="H336" s="69">
        <f>'1. Accomodation'!S340</f>
        <v>0</v>
      </c>
      <c r="I336" s="62"/>
      <c r="K336" s="272">
        <f>IFERROR(INDEX('2. GRI Pricing Inputs'!$C$15:$AI$16,MATCH($K$16,'2. GRI Pricing Inputs'!$C$15:$C$16,0),MATCH(D336,'2. GRI Pricing Inputs'!$C$15:$AI$15,0)),0)</f>
        <v>0</v>
      </c>
      <c r="L336" s="273">
        <f>IFERROR(INDEX('2. GRI Pricing Inputs'!$C$22:$AI$23,MATCH($L$16,'2. GRI Pricing Inputs'!$C$22:$C$23,0),MATCH(E336,'2. GRI Pricing Inputs'!$C$22:$AI$22,0)),0)</f>
        <v>0</v>
      </c>
      <c r="M336" s="328">
        <f>IF(AND('3. GRI Pricing'!$F336&gt;='2. GRI Pricing Inputs'!$D$33,'3. GRI Pricing'!$F336&lt;='2. GRI Pricing Inputs'!$E$33),'2. GRI Pricing Inputs'!$D$32,IF(AND('3. GRI Pricing'!$F336&gt;='2. GRI Pricing Inputs'!$F$33,'3. GRI Pricing'!$F336&lt;='2. GRI Pricing Inputs'!$G$33),'2. GRI Pricing Inputs'!$F$32,IF(AND('3. GRI Pricing'!$F336&gt;='2. GRI Pricing Inputs'!$H$33,'3. GRI Pricing'!$F336&lt;='2. GRI Pricing Inputs'!$I$33),'2. GRI Pricing Inputs'!$H$32,IF(AND('3. GRI Pricing'!$F336&gt;='2. GRI Pricing Inputs'!$J$33,'3. GRI Pricing'!$F336&lt;='2. GRI Pricing Inputs'!$K$33),'2. GRI Pricing Inputs'!$J$32,IF(AND('3. GRI Pricing'!$F336&gt;='2. GRI Pricing Inputs'!$L$33,'3. GRI Pricing'!$F336&lt;='2. GRI Pricing Inputs'!$M$33),'2. GRI Pricing Inputs'!$L$32,IF(AND('3. GRI Pricing'!$F336&gt;='2. GRI Pricing Inputs'!$N$33,'3. GRI Pricing'!$F336&lt;='2. GRI Pricing Inputs'!$O$33),'2. GRI Pricing Inputs'!$N$32,IF(AND('3. GRI Pricing'!$F336&gt;='2. GRI Pricing Inputs'!$P$33,'3. GRI Pricing'!$F336&lt;='2. GRI Pricing Inputs'!$Q$33),'2. GRI Pricing Inputs'!$P$32,IF(AND('3. GRI Pricing'!$F336&gt;='2. GRI Pricing Inputs'!$R$33,'3. GRI Pricing'!$F336&lt;='2. GRI Pricing Inputs'!$S$33),'2. GRI Pricing Inputs'!$R$32,IF(AND('3. GRI Pricing'!$F336&gt;='2. GRI Pricing Inputs'!$T$33,'3. GRI Pricing'!$F336&lt;='2. GRI Pricing Inputs'!$U$33),'2. GRI Pricing Inputs'!$T$32,IF(AND('3. GRI Pricing'!$F336&gt;='2. GRI Pricing Inputs'!$V$33,'3. GRI Pricing'!$F336&lt;='2. GRI Pricing Inputs'!$W$33),'2. GRI Pricing Inputs'!$V$32,IF(AND('3. GRI Pricing'!$F336&gt;='2. GRI Pricing Inputs'!$X$33,'3. GRI Pricing'!$F336&lt;='2. GRI Pricing Inputs'!$Y$33),'2. GRI Pricing Inputs'!$X$32,IF(AND('3. GRI Pricing'!$F336&gt;='2. GRI Pricing Inputs'!$Z$33,'3. GRI Pricing'!$F336&lt;='2. GRI Pricing Inputs'!$AA$33),'2. GRI Pricing Inputs'!$Z$32,IF(AND('3. GRI Pricing'!$F336&gt;='2. GRI Pricing Inputs'!$AB$33,'3. GRI Pricing'!$F336&lt;='2. GRI Pricing Inputs'!$AC$33),'2. GRI Pricing Inputs'!$AB$32,IF(AND('3. GRI Pricing'!$F336&gt;='2. GRI Pricing Inputs'!$AD$33,'3. GRI Pricing'!$F336&lt;='2. GRI Pricing Inputs'!$AE$33),'2. GRI Pricing Inputs'!$AD$32,IF(AND('3. GRI Pricing'!$F336&gt;='2. GRI Pricing Inputs'!$AF$33,'3. GRI Pricing'!$F336&lt;='2. GRI Pricing Inputs'!$AG$33),'2. GRI Pricing Inputs'!$AF$32,IF(AND('3. GRI Pricing'!$F336&gt;='2. GRI Pricing Inputs'!$AH$33,'3. GRI Pricing'!$F336&lt;='2. GRI Pricing Inputs'!$AI$33),'2. GRI Pricing Inputs'!$AH$32,0))))))))))))))))</f>
        <v>0</v>
      </c>
      <c r="N336" s="273" cm="1">
        <f t="array" ref="N336">IFERROR(INDEX('2. GRI Pricing Inputs'!$C$32:$AI$39,MATCH('3. GRI Pricing'!D336,'2. GRI Pricing Inputs'!$C$32:$C$39,0),(MATCH('3. GRI Pricing'!M336,'2. GRI Pricing Inputs'!$D$32:$AI$32,0)+1)),0)</f>
        <v>0</v>
      </c>
      <c r="O336" s="273">
        <f>IFERROR(INDEX('2. GRI Pricing Inputs'!$C$45:$AI$46,MATCH($O$16,'2. GRI Pricing Inputs'!$C$45:$C$46,0),MATCH(G336,'2. GRI Pricing Inputs'!$C$45:$AI$45,0)),0)</f>
        <v>0</v>
      </c>
      <c r="P336" s="273">
        <f>IFERROR(INDEX('2. GRI Pricing Inputs'!$C$53:$AI$54,MATCH('3. GRI Pricing'!$P$16,'2. GRI Pricing Inputs'!$C$53:$C$54,0),MATCH('3. GRI Pricing'!H336,'2. GRI Pricing Inputs'!$C$53:$AI$53,0)),0)</f>
        <v>0</v>
      </c>
      <c r="Q336" s="273">
        <f>IFERROR(INDEX('2. GRI Pricing Inputs'!$C$60:$AI$61,MATCH('3. GRI Pricing'!$Q$16,'2. GRI Pricing Inputs'!$C$60:$C$61,0),MATCH('1. Accomodation'!T340,'2. GRI Pricing Inputs'!$C$60:$AI$60,0)),0)</f>
        <v>0</v>
      </c>
      <c r="R336" s="273">
        <f>IFERROR(INDEX('2. GRI Pricing Inputs'!$C$67:$AI$68,MATCH('3. GRI Pricing'!$R$16,'2. GRI Pricing Inputs'!$C$67:$C$68,0),MATCH('1. Accomodation'!U340,'2. GRI Pricing Inputs'!$C$67:$AI$67,0)),0)</f>
        <v>0</v>
      </c>
      <c r="S336" s="273">
        <f>IF(D336=0,0,'2. GRI Pricing Inputs'!$AI$75)</f>
        <v>0</v>
      </c>
      <c r="T336" s="273">
        <f>IFERROR(INDEX('2. GRI Pricing Inputs'!$C$82:$AI$83,MATCH('3. GRI Pricing'!$T$16,'2. GRI Pricing Inputs'!$C$82:$C$83,0),MATCH('1. Accomodation'!V340,'2. GRI Pricing Inputs'!$C$82:$AI$82,0)),0)</f>
        <v>0</v>
      </c>
      <c r="U336" s="273">
        <f>IFERROR(INDEX('2. GRI Pricing Inputs'!$C$89:$AI$90,MATCH('3. GRI Pricing'!$U$16,'2. GRI Pricing Inputs'!$C$89:$C$90,0),MATCH('1. Accomodation'!W340,'2. GRI Pricing Inputs'!$C$89:$AI$89,0)),0)</f>
        <v>0</v>
      </c>
      <c r="V336" s="273">
        <f>IFERROR(INDEX('2. GRI Pricing Inputs'!$C$97:$AI$98,MATCH('3. GRI Pricing'!$V$16,'2. GRI Pricing Inputs'!$C$97:$C$98,0),MATCH('1. Accomodation'!X340,'2. GRI Pricing Inputs'!$C$97:$AI$97,0)),0)</f>
        <v>0</v>
      </c>
      <c r="W336" s="273">
        <f>IFERROR(INDEX('2. GRI Pricing Inputs'!$C$104:$AI$105,MATCH('3. GRI Pricing'!$W$16,'2. GRI Pricing Inputs'!$C$104:$C$105,0),MATCH('1. Accomodation'!Y340,'2. GRI Pricing Inputs'!$C$104:$AI$104,0)),0)</f>
        <v>0</v>
      </c>
      <c r="X336" s="274"/>
      <c r="Y336" s="275">
        <f t="shared" si="11"/>
        <v>0</v>
      </c>
      <c r="Z336" s="276"/>
      <c r="AA336" s="276"/>
      <c r="AB336" s="276"/>
      <c r="AC336" s="272">
        <f>Y336*(1+'2. GRI Pricing Inputs'!$D$114)^(($AC$16-$AB$15)/365)</f>
        <v>0</v>
      </c>
      <c r="AD336" s="273">
        <f>AC336*(1+'2. GRI Pricing Inputs'!$D$114)^((AD$16-AC$16)/365)</f>
        <v>0</v>
      </c>
      <c r="AE336" s="273">
        <f>AD336*(1+'2. GRI Pricing Inputs'!$D$114)^((AE$16-AD$16)/365)</f>
        <v>0</v>
      </c>
      <c r="AF336" s="273">
        <f>AE336*(1+'2. GRI Pricing Inputs'!$D$114)^((AF$16-AE$16)/365)</f>
        <v>0</v>
      </c>
      <c r="AG336" s="273">
        <f>AF336*(1+'2. GRI Pricing Inputs'!$D$114)^((AG$16-AF$16)/365)</f>
        <v>0</v>
      </c>
      <c r="AH336" s="273">
        <f>AG336*(1+'2. GRI Pricing Inputs'!$D$114)^((AH$16-AG$16)/365)</f>
        <v>0</v>
      </c>
      <c r="AI336" s="273">
        <f>AH336*(1+'2. GRI Pricing Inputs'!$D$114)^((AI$16-AH$16)/365)</f>
        <v>0</v>
      </c>
      <c r="AJ336" s="273">
        <f>AI336*(1+'2. GRI Pricing Inputs'!$D$114)^((AJ$16-AI$16)/365)</f>
        <v>0</v>
      </c>
      <c r="AK336" s="273">
        <f>AJ336*(1+'2. GRI Pricing Inputs'!$D$114)^((AK$16-AJ$16)/365)</f>
        <v>0</v>
      </c>
      <c r="AL336" s="273">
        <f>AK336*(1+'2. GRI Pricing Inputs'!$D$114)^((AL$16-AK$16)/365)</f>
        <v>0</v>
      </c>
      <c r="AM336" s="273">
        <f>AL336*(1+'2. GRI Pricing Inputs'!$D$114)^((AM$16-AL$16)/365)</f>
        <v>0</v>
      </c>
      <c r="AN336" s="273">
        <f>AM336*(1+'2. GRI Pricing Inputs'!$D$114)^((AN$16-AM$16)/365)</f>
        <v>0</v>
      </c>
      <c r="AO336" s="273">
        <f>AN336*(1+'2. GRI Pricing Inputs'!$D$114)^((AO$16-AN$16)/365)</f>
        <v>0</v>
      </c>
    </row>
    <row r="337" spans="3:41" ht="12" x14ac:dyDescent="0.2">
      <c r="C337" s="76">
        <f>'1. Accomodation'!N341</f>
        <v>0</v>
      </c>
      <c r="D337" s="69">
        <f>'1. Accomodation'!P341</f>
        <v>0</v>
      </c>
      <c r="E337" s="69">
        <f>'1. Accomodation'!Q341</f>
        <v>0</v>
      </c>
      <c r="F337" s="77">
        <f>'1. Accomodation'!O341</f>
        <v>0</v>
      </c>
      <c r="G337" s="69">
        <f>'1. Accomodation'!R341</f>
        <v>0</v>
      </c>
      <c r="H337" s="69">
        <f>'1. Accomodation'!S341</f>
        <v>0</v>
      </c>
      <c r="I337" s="62"/>
      <c r="K337" s="272">
        <f>IFERROR(INDEX('2. GRI Pricing Inputs'!$C$15:$AI$16,MATCH($K$16,'2. GRI Pricing Inputs'!$C$15:$C$16,0),MATCH(D337,'2. GRI Pricing Inputs'!$C$15:$AI$15,0)),0)</f>
        <v>0</v>
      </c>
      <c r="L337" s="273">
        <f>IFERROR(INDEX('2. GRI Pricing Inputs'!$C$22:$AI$23,MATCH($L$16,'2. GRI Pricing Inputs'!$C$22:$C$23,0),MATCH(E337,'2. GRI Pricing Inputs'!$C$22:$AI$22,0)),0)</f>
        <v>0</v>
      </c>
      <c r="M337" s="328">
        <f>IF(AND('3. GRI Pricing'!$F337&gt;='2. GRI Pricing Inputs'!$D$33,'3. GRI Pricing'!$F337&lt;='2. GRI Pricing Inputs'!$E$33),'2. GRI Pricing Inputs'!$D$32,IF(AND('3. GRI Pricing'!$F337&gt;='2. GRI Pricing Inputs'!$F$33,'3. GRI Pricing'!$F337&lt;='2. GRI Pricing Inputs'!$G$33),'2. GRI Pricing Inputs'!$F$32,IF(AND('3. GRI Pricing'!$F337&gt;='2. GRI Pricing Inputs'!$H$33,'3. GRI Pricing'!$F337&lt;='2. GRI Pricing Inputs'!$I$33),'2. GRI Pricing Inputs'!$H$32,IF(AND('3. GRI Pricing'!$F337&gt;='2. GRI Pricing Inputs'!$J$33,'3. GRI Pricing'!$F337&lt;='2. GRI Pricing Inputs'!$K$33),'2. GRI Pricing Inputs'!$J$32,IF(AND('3. GRI Pricing'!$F337&gt;='2. GRI Pricing Inputs'!$L$33,'3. GRI Pricing'!$F337&lt;='2. GRI Pricing Inputs'!$M$33),'2. GRI Pricing Inputs'!$L$32,IF(AND('3. GRI Pricing'!$F337&gt;='2. GRI Pricing Inputs'!$N$33,'3. GRI Pricing'!$F337&lt;='2. GRI Pricing Inputs'!$O$33),'2. GRI Pricing Inputs'!$N$32,IF(AND('3. GRI Pricing'!$F337&gt;='2. GRI Pricing Inputs'!$P$33,'3. GRI Pricing'!$F337&lt;='2. GRI Pricing Inputs'!$Q$33),'2. GRI Pricing Inputs'!$P$32,IF(AND('3. GRI Pricing'!$F337&gt;='2. GRI Pricing Inputs'!$R$33,'3. GRI Pricing'!$F337&lt;='2. GRI Pricing Inputs'!$S$33),'2. GRI Pricing Inputs'!$R$32,IF(AND('3. GRI Pricing'!$F337&gt;='2. GRI Pricing Inputs'!$T$33,'3. GRI Pricing'!$F337&lt;='2. GRI Pricing Inputs'!$U$33),'2. GRI Pricing Inputs'!$T$32,IF(AND('3. GRI Pricing'!$F337&gt;='2. GRI Pricing Inputs'!$V$33,'3. GRI Pricing'!$F337&lt;='2. GRI Pricing Inputs'!$W$33),'2. GRI Pricing Inputs'!$V$32,IF(AND('3. GRI Pricing'!$F337&gt;='2. GRI Pricing Inputs'!$X$33,'3. GRI Pricing'!$F337&lt;='2. GRI Pricing Inputs'!$Y$33),'2. GRI Pricing Inputs'!$X$32,IF(AND('3. GRI Pricing'!$F337&gt;='2. GRI Pricing Inputs'!$Z$33,'3. GRI Pricing'!$F337&lt;='2. GRI Pricing Inputs'!$AA$33),'2. GRI Pricing Inputs'!$Z$32,IF(AND('3. GRI Pricing'!$F337&gt;='2. GRI Pricing Inputs'!$AB$33,'3. GRI Pricing'!$F337&lt;='2. GRI Pricing Inputs'!$AC$33),'2. GRI Pricing Inputs'!$AB$32,IF(AND('3. GRI Pricing'!$F337&gt;='2. GRI Pricing Inputs'!$AD$33,'3. GRI Pricing'!$F337&lt;='2. GRI Pricing Inputs'!$AE$33),'2. GRI Pricing Inputs'!$AD$32,IF(AND('3. GRI Pricing'!$F337&gt;='2. GRI Pricing Inputs'!$AF$33,'3. GRI Pricing'!$F337&lt;='2. GRI Pricing Inputs'!$AG$33),'2. GRI Pricing Inputs'!$AF$32,IF(AND('3. GRI Pricing'!$F337&gt;='2. GRI Pricing Inputs'!$AH$33,'3. GRI Pricing'!$F337&lt;='2. GRI Pricing Inputs'!$AI$33),'2. GRI Pricing Inputs'!$AH$32,0))))))))))))))))</f>
        <v>0</v>
      </c>
      <c r="N337" s="273" cm="1">
        <f t="array" ref="N337">IFERROR(INDEX('2. GRI Pricing Inputs'!$C$32:$AI$39,MATCH('3. GRI Pricing'!D337,'2. GRI Pricing Inputs'!$C$32:$C$39,0),(MATCH('3. GRI Pricing'!M337,'2. GRI Pricing Inputs'!$D$32:$AI$32,0)+1)),0)</f>
        <v>0</v>
      </c>
      <c r="O337" s="273">
        <f>IFERROR(INDEX('2. GRI Pricing Inputs'!$C$45:$AI$46,MATCH($O$16,'2. GRI Pricing Inputs'!$C$45:$C$46,0),MATCH(G337,'2. GRI Pricing Inputs'!$C$45:$AI$45,0)),0)</f>
        <v>0</v>
      </c>
      <c r="P337" s="273">
        <f>IFERROR(INDEX('2. GRI Pricing Inputs'!$C$53:$AI$54,MATCH('3. GRI Pricing'!$P$16,'2. GRI Pricing Inputs'!$C$53:$C$54,0),MATCH('3. GRI Pricing'!H337,'2. GRI Pricing Inputs'!$C$53:$AI$53,0)),0)</f>
        <v>0</v>
      </c>
      <c r="Q337" s="273">
        <f>IFERROR(INDEX('2. GRI Pricing Inputs'!$C$60:$AI$61,MATCH('3. GRI Pricing'!$Q$16,'2. GRI Pricing Inputs'!$C$60:$C$61,0),MATCH('1. Accomodation'!T341,'2. GRI Pricing Inputs'!$C$60:$AI$60,0)),0)</f>
        <v>0</v>
      </c>
      <c r="R337" s="273">
        <f>IFERROR(INDEX('2. GRI Pricing Inputs'!$C$67:$AI$68,MATCH('3. GRI Pricing'!$R$16,'2. GRI Pricing Inputs'!$C$67:$C$68,0),MATCH('1. Accomodation'!U341,'2. GRI Pricing Inputs'!$C$67:$AI$67,0)),0)</f>
        <v>0</v>
      </c>
      <c r="S337" s="273">
        <f>IF(D337=0,0,'2. GRI Pricing Inputs'!$AI$75)</f>
        <v>0</v>
      </c>
      <c r="T337" s="273">
        <f>IFERROR(INDEX('2. GRI Pricing Inputs'!$C$82:$AI$83,MATCH('3. GRI Pricing'!$T$16,'2. GRI Pricing Inputs'!$C$82:$C$83,0),MATCH('1. Accomodation'!V341,'2. GRI Pricing Inputs'!$C$82:$AI$82,0)),0)</f>
        <v>0</v>
      </c>
      <c r="U337" s="273">
        <f>IFERROR(INDEX('2. GRI Pricing Inputs'!$C$89:$AI$90,MATCH('3. GRI Pricing'!$U$16,'2. GRI Pricing Inputs'!$C$89:$C$90,0),MATCH('1. Accomodation'!W341,'2. GRI Pricing Inputs'!$C$89:$AI$89,0)),0)</f>
        <v>0</v>
      </c>
      <c r="V337" s="273">
        <f>IFERROR(INDEX('2. GRI Pricing Inputs'!$C$97:$AI$98,MATCH('3. GRI Pricing'!$V$16,'2. GRI Pricing Inputs'!$C$97:$C$98,0),MATCH('1. Accomodation'!X341,'2. GRI Pricing Inputs'!$C$97:$AI$97,0)),0)</f>
        <v>0</v>
      </c>
      <c r="W337" s="273">
        <f>IFERROR(INDEX('2. GRI Pricing Inputs'!$C$104:$AI$105,MATCH('3. GRI Pricing'!$W$16,'2. GRI Pricing Inputs'!$C$104:$C$105,0),MATCH('1. Accomodation'!Y341,'2. GRI Pricing Inputs'!$C$104:$AI$104,0)),0)</f>
        <v>0</v>
      </c>
      <c r="X337" s="274"/>
      <c r="Y337" s="275">
        <f t="shared" si="11"/>
        <v>0</v>
      </c>
      <c r="Z337" s="276"/>
      <c r="AA337" s="276"/>
      <c r="AB337" s="276"/>
      <c r="AC337" s="272">
        <f>Y337*(1+'2. GRI Pricing Inputs'!$D$114)^(($AC$16-$AB$15)/365)</f>
        <v>0</v>
      </c>
      <c r="AD337" s="273">
        <f>AC337*(1+'2. GRI Pricing Inputs'!$D$114)^((AD$16-AC$16)/365)</f>
        <v>0</v>
      </c>
      <c r="AE337" s="273">
        <f>AD337*(1+'2. GRI Pricing Inputs'!$D$114)^((AE$16-AD$16)/365)</f>
        <v>0</v>
      </c>
      <c r="AF337" s="273">
        <f>AE337*(1+'2. GRI Pricing Inputs'!$D$114)^((AF$16-AE$16)/365)</f>
        <v>0</v>
      </c>
      <c r="AG337" s="273">
        <f>AF337*(1+'2. GRI Pricing Inputs'!$D$114)^((AG$16-AF$16)/365)</f>
        <v>0</v>
      </c>
      <c r="AH337" s="273">
        <f>AG337*(1+'2. GRI Pricing Inputs'!$D$114)^((AH$16-AG$16)/365)</f>
        <v>0</v>
      </c>
      <c r="AI337" s="273">
        <f>AH337*(1+'2. GRI Pricing Inputs'!$D$114)^((AI$16-AH$16)/365)</f>
        <v>0</v>
      </c>
      <c r="AJ337" s="273">
        <f>AI337*(1+'2. GRI Pricing Inputs'!$D$114)^((AJ$16-AI$16)/365)</f>
        <v>0</v>
      </c>
      <c r="AK337" s="273">
        <f>AJ337*(1+'2. GRI Pricing Inputs'!$D$114)^((AK$16-AJ$16)/365)</f>
        <v>0</v>
      </c>
      <c r="AL337" s="273">
        <f>AK337*(1+'2. GRI Pricing Inputs'!$D$114)^((AL$16-AK$16)/365)</f>
        <v>0</v>
      </c>
      <c r="AM337" s="273">
        <f>AL337*(1+'2. GRI Pricing Inputs'!$D$114)^((AM$16-AL$16)/365)</f>
        <v>0</v>
      </c>
      <c r="AN337" s="273">
        <f>AM337*(1+'2. GRI Pricing Inputs'!$D$114)^((AN$16-AM$16)/365)</f>
        <v>0</v>
      </c>
      <c r="AO337" s="273">
        <f>AN337*(1+'2. GRI Pricing Inputs'!$D$114)^((AO$16-AN$16)/365)</f>
        <v>0</v>
      </c>
    </row>
    <row r="338" spans="3:41" ht="12" x14ac:dyDescent="0.2">
      <c r="C338" s="76">
        <f>'1. Accomodation'!N342</f>
        <v>0</v>
      </c>
      <c r="D338" s="69">
        <f>'1. Accomodation'!P342</f>
        <v>0</v>
      </c>
      <c r="E338" s="69">
        <f>'1. Accomodation'!Q342</f>
        <v>0</v>
      </c>
      <c r="F338" s="77">
        <f>'1. Accomodation'!O342</f>
        <v>0</v>
      </c>
      <c r="G338" s="69">
        <f>'1. Accomodation'!R342</f>
        <v>0</v>
      </c>
      <c r="H338" s="69">
        <f>'1. Accomodation'!S342</f>
        <v>0</v>
      </c>
      <c r="I338" s="62"/>
      <c r="K338" s="272">
        <f>IFERROR(INDEX('2. GRI Pricing Inputs'!$C$15:$AI$16,MATCH($K$16,'2. GRI Pricing Inputs'!$C$15:$C$16,0),MATCH(D338,'2. GRI Pricing Inputs'!$C$15:$AI$15,0)),0)</f>
        <v>0</v>
      </c>
      <c r="L338" s="273">
        <f>IFERROR(INDEX('2. GRI Pricing Inputs'!$C$22:$AI$23,MATCH($L$16,'2. GRI Pricing Inputs'!$C$22:$C$23,0),MATCH(E338,'2. GRI Pricing Inputs'!$C$22:$AI$22,0)),0)</f>
        <v>0</v>
      </c>
      <c r="M338" s="328">
        <f>IF(AND('3. GRI Pricing'!$F338&gt;='2. GRI Pricing Inputs'!$D$33,'3. GRI Pricing'!$F338&lt;='2. GRI Pricing Inputs'!$E$33),'2. GRI Pricing Inputs'!$D$32,IF(AND('3. GRI Pricing'!$F338&gt;='2. GRI Pricing Inputs'!$F$33,'3. GRI Pricing'!$F338&lt;='2. GRI Pricing Inputs'!$G$33),'2. GRI Pricing Inputs'!$F$32,IF(AND('3. GRI Pricing'!$F338&gt;='2. GRI Pricing Inputs'!$H$33,'3. GRI Pricing'!$F338&lt;='2. GRI Pricing Inputs'!$I$33),'2. GRI Pricing Inputs'!$H$32,IF(AND('3. GRI Pricing'!$F338&gt;='2. GRI Pricing Inputs'!$J$33,'3. GRI Pricing'!$F338&lt;='2. GRI Pricing Inputs'!$K$33),'2. GRI Pricing Inputs'!$J$32,IF(AND('3. GRI Pricing'!$F338&gt;='2. GRI Pricing Inputs'!$L$33,'3. GRI Pricing'!$F338&lt;='2. GRI Pricing Inputs'!$M$33),'2. GRI Pricing Inputs'!$L$32,IF(AND('3. GRI Pricing'!$F338&gt;='2. GRI Pricing Inputs'!$N$33,'3. GRI Pricing'!$F338&lt;='2. GRI Pricing Inputs'!$O$33),'2. GRI Pricing Inputs'!$N$32,IF(AND('3. GRI Pricing'!$F338&gt;='2. GRI Pricing Inputs'!$P$33,'3. GRI Pricing'!$F338&lt;='2. GRI Pricing Inputs'!$Q$33),'2. GRI Pricing Inputs'!$P$32,IF(AND('3. GRI Pricing'!$F338&gt;='2. GRI Pricing Inputs'!$R$33,'3. GRI Pricing'!$F338&lt;='2. GRI Pricing Inputs'!$S$33),'2. GRI Pricing Inputs'!$R$32,IF(AND('3. GRI Pricing'!$F338&gt;='2. GRI Pricing Inputs'!$T$33,'3. GRI Pricing'!$F338&lt;='2. GRI Pricing Inputs'!$U$33),'2. GRI Pricing Inputs'!$T$32,IF(AND('3. GRI Pricing'!$F338&gt;='2. GRI Pricing Inputs'!$V$33,'3. GRI Pricing'!$F338&lt;='2. GRI Pricing Inputs'!$W$33),'2. GRI Pricing Inputs'!$V$32,IF(AND('3. GRI Pricing'!$F338&gt;='2. GRI Pricing Inputs'!$X$33,'3. GRI Pricing'!$F338&lt;='2. GRI Pricing Inputs'!$Y$33),'2. GRI Pricing Inputs'!$X$32,IF(AND('3. GRI Pricing'!$F338&gt;='2. GRI Pricing Inputs'!$Z$33,'3. GRI Pricing'!$F338&lt;='2. GRI Pricing Inputs'!$AA$33),'2. GRI Pricing Inputs'!$Z$32,IF(AND('3. GRI Pricing'!$F338&gt;='2. GRI Pricing Inputs'!$AB$33,'3. GRI Pricing'!$F338&lt;='2. GRI Pricing Inputs'!$AC$33),'2. GRI Pricing Inputs'!$AB$32,IF(AND('3. GRI Pricing'!$F338&gt;='2. GRI Pricing Inputs'!$AD$33,'3. GRI Pricing'!$F338&lt;='2. GRI Pricing Inputs'!$AE$33),'2. GRI Pricing Inputs'!$AD$32,IF(AND('3. GRI Pricing'!$F338&gt;='2. GRI Pricing Inputs'!$AF$33,'3. GRI Pricing'!$F338&lt;='2. GRI Pricing Inputs'!$AG$33),'2. GRI Pricing Inputs'!$AF$32,IF(AND('3. GRI Pricing'!$F338&gt;='2. GRI Pricing Inputs'!$AH$33,'3. GRI Pricing'!$F338&lt;='2. GRI Pricing Inputs'!$AI$33),'2. GRI Pricing Inputs'!$AH$32,0))))))))))))))))</f>
        <v>0</v>
      </c>
      <c r="N338" s="273" cm="1">
        <f t="array" ref="N338">IFERROR(INDEX('2. GRI Pricing Inputs'!$C$32:$AI$39,MATCH('3. GRI Pricing'!D338,'2. GRI Pricing Inputs'!$C$32:$C$39,0),(MATCH('3. GRI Pricing'!M338,'2. GRI Pricing Inputs'!$D$32:$AI$32,0)+1)),0)</f>
        <v>0</v>
      </c>
      <c r="O338" s="273">
        <f>IFERROR(INDEX('2. GRI Pricing Inputs'!$C$45:$AI$46,MATCH($O$16,'2. GRI Pricing Inputs'!$C$45:$C$46,0),MATCH(G338,'2. GRI Pricing Inputs'!$C$45:$AI$45,0)),0)</f>
        <v>0</v>
      </c>
      <c r="P338" s="273">
        <f>IFERROR(INDEX('2. GRI Pricing Inputs'!$C$53:$AI$54,MATCH('3. GRI Pricing'!$P$16,'2. GRI Pricing Inputs'!$C$53:$C$54,0),MATCH('3. GRI Pricing'!H338,'2. GRI Pricing Inputs'!$C$53:$AI$53,0)),0)</f>
        <v>0</v>
      </c>
      <c r="Q338" s="273">
        <f>IFERROR(INDEX('2. GRI Pricing Inputs'!$C$60:$AI$61,MATCH('3. GRI Pricing'!$Q$16,'2. GRI Pricing Inputs'!$C$60:$C$61,0),MATCH('1. Accomodation'!T342,'2. GRI Pricing Inputs'!$C$60:$AI$60,0)),0)</f>
        <v>0</v>
      </c>
      <c r="R338" s="273">
        <f>IFERROR(INDEX('2. GRI Pricing Inputs'!$C$67:$AI$68,MATCH('3. GRI Pricing'!$R$16,'2. GRI Pricing Inputs'!$C$67:$C$68,0),MATCH('1. Accomodation'!U342,'2. GRI Pricing Inputs'!$C$67:$AI$67,0)),0)</f>
        <v>0</v>
      </c>
      <c r="S338" s="273">
        <f>IF(D338=0,0,'2. GRI Pricing Inputs'!$AI$75)</f>
        <v>0</v>
      </c>
      <c r="T338" s="273">
        <f>IFERROR(INDEX('2. GRI Pricing Inputs'!$C$82:$AI$83,MATCH('3. GRI Pricing'!$T$16,'2. GRI Pricing Inputs'!$C$82:$C$83,0),MATCH('1. Accomodation'!V342,'2. GRI Pricing Inputs'!$C$82:$AI$82,0)),0)</f>
        <v>0</v>
      </c>
      <c r="U338" s="273">
        <f>IFERROR(INDEX('2. GRI Pricing Inputs'!$C$89:$AI$90,MATCH('3. GRI Pricing'!$U$16,'2. GRI Pricing Inputs'!$C$89:$C$90,0),MATCH('1. Accomodation'!W342,'2. GRI Pricing Inputs'!$C$89:$AI$89,0)),0)</f>
        <v>0</v>
      </c>
      <c r="V338" s="273">
        <f>IFERROR(INDEX('2. GRI Pricing Inputs'!$C$97:$AI$98,MATCH('3. GRI Pricing'!$V$16,'2. GRI Pricing Inputs'!$C$97:$C$98,0),MATCH('1. Accomodation'!X342,'2. GRI Pricing Inputs'!$C$97:$AI$97,0)),0)</f>
        <v>0</v>
      </c>
      <c r="W338" s="273">
        <f>IFERROR(INDEX('2. GRI Pricing Inputs'!$C$104:$AI$105,MATCH('3. GRI Pricing'!$W$16,'2. GRI Pricing Inputs'!$C$104:$C$105,0),MATCH('1. Accomodation'!Y342,'2. GRI Pricing Inputs'!$C$104:$AI$104,0)),0)</f>
        <v>0</v>
      </c>
      <c r="X338" s="274"/>
      <c r="Y338" s="275">
        <f t="shared" ref="Y338:Y401" si="12">K338+L338+N338+O338+P338+Q338+R338+S338+T338+U338+V338+W338+X338</f>
        <v>0</v>
      </c>
      <c r="Z338" s="276"/>
      <c r="AA338" s="276"/>
      <c r="AB338" s="276"/>
      <c r="AC338" s="272">
        <f>Y338*(1+'2. GRI Pricing Inputs'!$D$114)^(($AC$16-$AB$15)/365)</f>
        <v>0</v>
      </c>
      <c r="AD338" s="273">
        <f>AC338*(1+'2. GRI Pricing Inputs'!$D$114)^((AD$16-AC$16)/365)</f>
        <v>0</v>
      </c>
      <c r="AE338" s="273">
        <f>AD338*(1+'2. GRI Pricing Inputs'!$D$114)^((AE$16-AD$16)/365)</f>
        <v>0</v>
      </c>
      <c r="AF338" s="273">
        <f>AE338*(1+'2. GRI Pricing Inputs'!$D$114)^((AF$16-AE$16)/365)</f>
        <v>0</v>
      </c>
      <c r="AG338" s="273">
        <f>AF338*(1+'2. GRI Pricing Inputs'!$D$114)^((AG$16-AF$16)/365)</f>
        <v>0</v>
      </c>
      <c r="AH338" s="273">
        <f>AG338*(1+'2. GRI Pricing Inputs'!$D$114)^((AH$16-AG$16)/365)</f>
        <v>0</v>
      </c>
      <c r="AI338" s="273">
        <f>AH338*(1+'2. GRI Pricing Inputs'!$D$114)^((AI$16-AH$16)/365)</f>
        <v>0</v>
      </c>
      <c r="AJ338" s="273">
        <f>AI338*(1+'2. GRI Pricing Inputs'!$D$114)^((AJ$16-AI$16)/365)</f>
        <v>0</v>
      </c>
      <c r="AK338" s="273">
        <f>AJ338*(1+'2. GRI Pricing Inputs'!$D$114)^((AK$16-AJ$16)/365)</f>
        <v>0</v>
      </c>
      <c r="AL338" s="273">
        <f>AK338*(1+'2. GRI Pricing Inputs'!$D$114)^((AL$16-AK$16)/365)</f>
        <v>0</v>
      </c>
      <c r="AM338" s="273">
        <f>AL338*(1+'2. GRI Pricing Inputs'!$D$114)^((AM$16-AL$16)/365)</f>
        <v>0</v>
      </c>
      <c r="AN338" s="273">
        <f>AM338*(1+'2. GRI Pricing Inputs'!$D$114)^((AN$16-AM$16)/365)</f>
        <v>0</v>
      </c>
      <c r="AO338" s="273">
        <f>AN338*(1+'2. GRI Pricing Inputs'!$D$114)^((AO$16-AN$16)/365)</f>
        <v>0</v>
      </c>
    </row>
    <row r="339" spans="3:41" ht="12" x14ac:dyDescent="0.2">
      <c r="C339" s="76">
        <f>'1. Accomodation'!N343</f>
        <v>0</v>
      </c>
      <c r="D339" s="69">
        <f>'1. Accomodation'!P343</f>
        <v>0</v>
      </c>
      <c r="E339" s="69">
        <f>'1. Accomodation'!Q343</f>
        <v>0</v>
      </c>
      <c r="F339" s="77">
        <f>'1. Accomodation'!O343</f>
        <v>0</v>
      </c>
      <c r="G339" s="69">
        <f>'1. Accomodation'!R343</f>
        <v>0</v>
      </c>
      <c r="H339" s="69">
        <f>'1. Accomodation'!S343</f>
        <v>0</v>
      </c>
      <c r="I339" s="62"/>
      <c r="K339" s="272">
        <f>IFERROR(INDEX('2. GRI Pricing Inputs'!$C$15:$AI$16,MATCH($K$16,'2. GRI Pricing Inputs'!$C$15:$C$16,0),MATCH(D339,'2. GRI Pricing Inputs'!$C$15:$AI$15,0)),0)</f>
        <v>0</v>
      </c>
      <c r="L339" s="273">
        <f>IFERROR(INDEX('2. GRI Pricing Inputs'!$C$22:$AI$23,MATCH($L$16,'2. GRI Pricing Inputs'!$C$22:$C$23,0),MATCH(E339,'2. GRI Pricing Inputs'!$C$22:$AI$22,0)),0)</f>
        <v>0</v>
      </c>
      <c r="M339" s="328">
        <f>IF(AND('3. GRI Pricing'!$F339&gt;='2. GRI Pricing Inputs'!$D$33,'3. GRI Pricing'!$F339&lt;='2. GRI Pricing Inputs'!$E$33),'2. GRI Pricing Inputs'!$D$32,IF(AND('3. GRI Pricing'!$F339&gt;='2. GRI Pricing Inputs'!$F$33,'3. GRI Pricing'!$F339&lt;='2. GRI Pricing Inputs'!$G$33),'2. GRI Pricing Inputs'!$F$32,IF(AND('3. GRI Pricing'!$F339&gt;='2. GRI Pricing Inputs'!$H$33,'3. GRI Pricing'!$F339&lt;='2. GRI Pricing Inputs'!$I$33),'2. GRI Pricing Inputs'!$H$32,IF(AND('3. GRI Pricing'!$F339&gt;='2. GRI Pricing Inputs'!$J$33,'3. GRI Pricing'!$F339&lt;='2. GRI Pricing Inputs'!$K$33),'2. GRI Pricing Inputs'!$J$32,IF(AND('3. GRI Pricing'!$F339&gt;='2. GRI Pricing Inputs'!$L$33,'3. GRI Pricing'!$F339&lt;='2. GRI Pricing Inputs'!$M$33),'2. GRI Pricing Inputs'!$L$32,IF(AND('3. GRI Pricing'!$F339&gt;='2. GRI Pricing Inputs'!$N$33,'3. GRI Pricing'!$F339&lt;='2. GRI Pricing Inputs'!$O$33),'2. GRI Pricing Inputs'!$N$32,IF(AND('3. GRI Pricing'!$F339&gt;='2. GRI Pricing Inputs'!$P$33,'3. GRI Pricing'!$F339&lt;='2. GRI Pricing Inputs'!$Q$33),'2. GRI Pricing Inputs'!$P$32,IF(AND('3. GRI Pricing'!$F339&gt;='2. GRI Pricing Inputs'!$R$33,'3. GRI Pricing'!$F339&lt;='2. GRI Pricing Inputs'!$S$33),'2. GRI Pricing Inputs'!$R$32,IF(AND('3. GRI Pricing'!$F339&gt;='2. GRI Pricing Inputs'!$T$33,'3. GRI Pricing'!$F339&lt;='2. GRI Pricing Inputs'!$U$33),'2. GRI Pricing Inputs'!$T$32,IF(AND('3. GRI Pricing'!$F339&gt;='2. GRI Pricing Inputs'!$V$33,'3. GRI Pricing'!$F339&lt;='2. GRI Pricing Inputs'!$W$33),'2. GRI Pricing Inputs'!$V$32,IF(AND('3. GRI Pricing'!$F339&gt;='2. GRI Pricing Inputs'!$X$33,'3. GRI Pricing'!$F339&lt;='2. GRI Pricing Inputs'!$Y$33),'2. GRI Pricing Inputs'!$X$32,IF(AND('3. GRI Pricing'!$F339&gt;='2. GRI Pricing Inputs'!$Z$33,'3. GRI Pricing'!$F339&lt;='2. GRI Pricing Inputs'!$AA$33),'2. GRI Pricing Inputs'!$Z$32,IF(AND('3. GRI Pricing'!$F339&gt;='2. GRI Pricing Inputs'!$AB$33,'3. GRI Pricing'!$F339&lt;='2. GRI Pricing Inputs'!$AC$33),'2. GRI Pricing Inputs'!$AB$32,IF(AND('3. GRI Pricing'!$F339&gt;='2. GRI Pricing Inputs'!$AD$33,'3. GRI Pricing'!$F339&lt;='2. GRI Pricing Inputs'!$AE$33),'2. GRI Pricing Inputs'!$AD$32,IF(AND('3. GRI Pricing'!$F339&gt;='2. GRI Pricing Inputs'!$AF$33,'3. GRI Pricing'!$F339&lt;='2. GRI Pricing Inputs'!$AG$33),'2. GRI Pricing Inputs'!$AF$32,IF(AND('3. GRI Pricing'!$F339&gt;='2. GRI Pricing Inputs'!$AH$33,'3. GRI Pricing'!$F339&lt;='2. GRI Pricing Inputs'!$AI$33),'2. GRI Pricing Inputs'!$AH$32,0))))))))))))))))</f>
        <v>0</v>
      </c>
      <c r="N339" s="273" cm="1">
        <f t="array" ref="N339">IFERROR(INDEX('2. GRI Pricing Inputs'!$C$32:$AI$39,MATCH('3. GRI Pricing'!D339,'2. GRI Pricing Inputs'!$C$32:$C$39,0),(MATCH('3. GRI Pricing'!M339,'2. GRI Pricing Inputs'!$D$32:$AI$32,0)+1)),0)</f>
        <v>0</v>
      </c>
      <c r="O339" s="273">
        <f>IFERROR(INDEX('2. GRI Pricing Inputs'!$C$45:$AI$46,MATCH($O$16,'2. GRI Pricing Inputs'!$C$45:$C$46,0),MATCH(G339,'2. GRI Pricing Inputs'!$C$45:$AI$45,0)),0)</f>
        <v>0</v>
      </c>
      <c r="P339" s="273">
        <f>IFERROR(INDEX('2. GRI Pricing Inputs'!$C$53:$AI$54,MATCH('3. GRI Pricing'!$P$16,'2. GRI Pricing Inputs'!$C$53:$C$54,0),MATCH('3. GRI Pricing'!H339,'2. GRI Pricing Inputs'!$C$53:$AI$53,0)),0)</f>
        <v>0</v>
      </c>
      <c r="Q339" s="273">
        <f>IFERROR(INDEX('2. GRI Pricing Inputs'!$C$60:$AI$61,MATCH('3. GRI Pricing'!$Q$16,'2. GRI Pricing Inputs'!$C$60:$C$61,0),MATCH('1. Accomodation'!T343,'2. GRI Pricing Inputs'!$C$60:$AI$60,0)),0)</f>
        <v>0</v>
      </c>
      <c r="R339" s="273">
        <f>IFERROR(INDEX('2. GRI Pricing Inputs'!$C$67:$AI$68,MATCH('3. GRI Pricing'!$R$16,'2. GRI Pricing Inputs'!$C$67:$C$68,0),MATCH('1. Accomodation'!U343,'2. GRI Pricing Inputs'!$C$67:$AI$67,0)),0)</f>
        <v>0</v>
      </c>
      <c r="S339" s="273">
        <f>IF(D339=0,0,'2. GRI Pricing Inputs'!$AI$75)</f>
        <v>0</v>
      </c>
      <c r="T339" s="273">
        <f>IFERROR(INDEX('2. GRI Pricing Inputs'!$C$82:$AI$83,MATCH('3. GRI Pricing'!$T$16,'2. GRI Pricing Inputs'!$C$82:$C$83,0),MATCH('1. Accomodation'!V343,'2. GRI Pricing Inputs'!$C$82:$AI$82,0)),0)</f>
        <v>0</v>
      </c>
      <c r="U339" s="273">
        <f>IFERROR(INDEX('2. GRI Pricing Inputs'!$C$89:$AI$90,MATCH('3. GRI Pricing'!$U$16,'2. GRI Pricing Inputs'!$C$89:$C$90,0),MATCH('1. Accomodation'!W343,'2. GRI Pricing Inputs'!$C$89:$AI$89,0)),0)</f>
        <v>0</v>
      </c>
      <c r="V339" s="273">
        <f>IFERROR(INDEX('2. GRI Pricing Inputs'!$C$97:$AI$98,MATCH('3. GRI Pricing'!$V$16,'2. GRI Pricing Inputs'!$C$97:$C$98,0),MATCH('1. Accomodation'!X343,'2. GRI Pricing Inputs'!$C$97:$AI$97,0)),0)</f>
        <v>0</v>
      </c>
      <c r="W339" s="273">
        <f>IFERROR(INDEX('2. GRI Pricing Inputs'!$C$104:$AI$105,MATCH('3. GRI Pricing'!$W$16,'2. GRI Pricing Inputs'!$C$104:$C$105,0),MATCH('1. Accomodation'!Y343,'2. GRI Pricing Inputs'!$C$104:$AI$104,0)),0)</f>
        <v>0</v>
      </c>
      <c r="X339" s="274"/>
      <c r="Y339" s="275">
        <f t="shared" si="12"/>
        <v>0</v>
      </c>
      <c r="Z339" s="276"/>
      <c r="AA339" s="276"/>
      <c r="AB339" s="276"/>
      <c r="AC339" s="272">
        <f>Y339*(1+'2. GRI Pricing Inputs'!$D$114)^(($AC$16-$AB$15)/365)</f>
        <v>0</v>
      </c>
      <c r="AD339" s="273">
        <f>AC339*(1+'2. GRI Pricing Inputs'!$D$114)^((AD$16-AC$16)/365)</f>
        <v>0</v>
      </c>
      <c r="AE339" s="273">
        <f>AD339*(1+'2. GRI Pricing Inputs'!$D$114)^((AE$16-AD$16)/365)</f>
        <v>0</v>
      </c>
      <c r="AF339" s="273">
        <f>AE339*(1+'2. GRI Pricing Inputs'!$D$114)^((AF$16-AE$16)/365)</f>
        <v>0</v>
      </c>
      <c r="AG339" s="273">
        <f>AF339*(1+'2. GRI Pricing Inputs'!$D$114)^((AG$16-AF$16)/365)</f>
        <v>0</v>
      </c>
      <c r="AH339" s="273">
        <f>AG339*(1+'2. GRI Pricing Inputs'!$D$114)^((AH$16-AG$16)/365)</f>
        <v>0</v>
      </c>
      <c r="AI339" s="273">
        <f>AH339*(1+'2. GRI Pricing Inputs'!$D$114)^((AI$16-AH$16)/365)</f>
        <v>0</v>
      </c>
      <c r="AJ339" s="273">
        <f>AI339*(1+'2. GRI Pricing Inputs'!$D$114)^((AJ$16-AI$16)/365)</f>
        <v>0</v>
      </c>
      <c r="AK339" s="273">
        <f>AJ339*(1+'2. GRI Pricing Inputs'!$D$114)^((AK$16-AJ$16)/365)</f>
        <v>0</v>
      </c>
      <c r="AL339" s="273">
        <f>AK339*(1+'2. GRI Pricing Inputs'!$D$114)^((AL$16-AK$16)/365)</f>
        <v>0</v>
      </c>
      <c r="AM339" s="273">
        <f>AL339*(1+'2. GRI Pricing Inputs'!$D$114)^((AM$16-AL$16)/365)</f>
        <v>0</v>
      </c>
      <c r="AN339" s="273">
        <f>AM339*(1+'2. GRI Pricing Inputs'!$D$114)^((AN$16-AM$16)/365)</f>
        <v>0</v>
      </c>
      <c r="AO339" s="273">
        <f>AN339*(1+'2. GRI Pricing Inputs'!$D$114)^((AO$16-AN$16)/365)</f>
        <v>0</v>
      </c>
    </row>
    <row r="340" spans="3:41" ht="12" x14ac:dyDescent="0.2">
      <c r="C340" s="76">
        <f>'1. Accomodation'!N344</f>
        <v>0</v>
      </c>
      <c r="D340" s="69">
        <f>'1. Accomodation'!P344</f>
        <v>0</v>
      </c>
      <c r="E340" s="69">
        <f>'1. Accomodation'!Q344</f>
        <v>0</v>
      </c>
      <c r="F340" s="77">
        <f>'1. Accomodation'!O344</f>
        <v>0</v>
      </c>
      <c r="G340" s="69">
        <f>'1. Accomodation'!R344</f>
        <v>0</v>
      </c>
      <c r="H340" s="69">
        <f>'1. Accomodation'!S344</f>
        <v>0</v>
      </c>
      <c r="I340" s="62"/>
      <c r="K340" s="272">
        <f>IFERROR(INDEX('2. GRI Pricing Inputs'!$C$15:$AI$16,MATCH($K$16,'2. GRI Pricing Inputs'!$C$15:$C$16,0),MATCH(D340,'2. GRI Pricing Inputs'!$C$15:$AI$15,0)),0)</f>
        <v>0</v>
      </c>
      <c r="L340" s="273">
        <f>IFERROR(INDEX('2. GRI Pricing Inputs'!$C$22:$AI$23,MATCH($L$16,'2. GRI Pricing Inputs'!$C$22:$C$23,0),MATCH(E340,'2. GRI Pricing Inputs'!$C$22:$AI$22,0)),0)</f>
        <v>0</v>
      </c>
      <c r="M340" s="328">
        <f>IF(AND('3. GRI Pricing'!$F340&gt;='2. GRI Pricing Inputs'!$D$33,'3. GRI Pricing'!$F340&lt;='2. GRI Pricing Inputs'!$E$33),'2. GRI Pricing Inputs'!$D$32,IF(AND('3. GRI Pricing'!$F340&gt;='2. GRI Pricing Inputs'!$F$33,'3. GRI Pricing'!$F340&lt;='2. GRI Pricing Inputs'!$G$33),'2. GRI Pricing Inputs'!$F$32,IF(AND('3. GRI Pricing'!$F340&gt;='2. GRI Pricing Inputs'!$H$33,'3. GRI Pricing'!$F340&lt;='2. GRI Pricing Inputs'!$I$33),'2. GRI Pricing Inputs'!$H$32,IF(AND('3. GRI Pricing'!$F340&gt;='2. GRI Pricing Inputs'!$J$33,'3. GRI Pricing'!$F340&lt;='2. GRI Pricing Inputs'!$K$33),'2. GRI Pricing Inputs'!$J$32,IF(AND('3. GRI Pricing'!$F340&gt;='2. GRI Pricing Inputs'!$L$33,'3. GRI Pricing'!$F340&lt;='2. GRI Pricing Inputs'!$M$33),'2. GRI Pricing Inputs'!$L$32,IF(AND('3. GRI Pricing'!$F340&gt;='2. GRI Pricing Inputs'!$N$33,'3. GRI Pricing'!$F340&lt;='2. GRI Pricing Inputs'!$O$33),'2. GRI Pricing Inputs'!$N$32,IF(AND('3. GRI Pricing'!$F340&gt;='2. GRI Pricing Inputs'!$P$33,'3. GRI Pricing'!$F340&lt;='2. GRI Pricing Inputs'!$Q$33),'2. GRI Pricing Inputs'!$P$32,IF(AND('3. GRI Pricing'!$F340&gt;='2. GRI Pricing Inputs'!$R$33,'3. GRI Pricing'!$F340&lt;='2. GRI Pricing Inputs'!$S$33),'2. GRI Pricing Inputs'!$R$32,IF(AND('3. GRI Pricing'!$F340&gt;='2. GRI Pricing Inputs'!$T$33,'3. GRI Pricing'!$F340&lt;='2. GRI Pricing Inputs'!$U$33),'2. GRI Pricing Inputs'!$T$32,IF(AND('3. GRI Pricing'!$F340&gt;='2. GRI Pricing Inputs'!$V$33,'3. GRI Pricing'!$F340&lt;='2. GRI Pricing Inputs'!$W$33),'2. GRI Pricing Inputs'!$V$32,IF(AND('3. GRI Pricing'!$F340&gt;='2. GRI Pricing Inputs'!$X$33,'3. GRI Pricing'!$F340&lt;='2. GRI Pricing Inputs'!$Y$33),'2. GRI Pricing Inputs'!$X$32,IF(AND('3. GRI Pricing'!$F340&gt;='2. GRI Pricing Inputs'!$Z$33,'3. GRI Pricing'!$F340&lt;='2. GRI Pricing Inputs'!$AA$33),'2. GRI Pricing Inputs'!$Z$32,IF(AND('3. GRI Pricing'!$F340&gt;='2. GRI Pricing Inputs'!$AB$33,'3. GRI Pricing'!$F340&lt;='2. GRI Pricing Inputs'!$AC$33),'2. GRI Pricing Inputs'!$AB$32,IF(AND('3. GRI Pricing'!$F340&gt;='2. GRI Pricing Inputs'!$AD$33,'3. GRI Pricing'!$F340&lt;='2. GRI Pricing Inputs'!$AE$33),'2. GRI Pricing Inputs'!$AD$32,IF(AND('3. GRI Pricing'!$F340&gt;='2. GRI Pricing Inputs'!$AF$33,'3. GRI Pricing'!$F340&lt;='2. GRI Pricing Inputs'!$AG$33),'2. GRI Pricing Inputs'!$AF$32,IF(AND('3. GRI Pricing'!$F340&gt;='2. GRI Pricing Inputs'!$AH$33,'3. GRI Pricing'!$F340&lt;='2. GRI Pricing Inputs'!$AI$33),'2. GRI Pricing Inputs'!$AH$32,0))))))))))))))))</f>
        <v>0</v>
      </c>
      <c r="N340" s="273" cm="1">
        <f t="array" ref="N340">IFERROR(INDEX('2. GRI Pricing Inputs'!$C$32:$AI$39,MATCH('3. GRI Pricing'!D340,'2. GRI Pricing Inputs'!$C$32:$C$39,0),(MATCH('3. GRI Pricing'!M340,'2. GRI Pricing Inputs'!$D$32:$AI$32,0)+1)),0)</f>
        <v>0</v>
      </c>
      <c r="O340" s="273">
        <f>IFERROR(INDEX('2. GRI Pricing Inputs'!$C$45:$AI$46,MATCH($O$16,'2. GRI Pricing Inputs'!$C$45:$C$46,0),MATCH(G340,'2. GRI Pricing Inputs'!$C$45:$AI$45,0)),0)</f>
        <v>0</v>
      </c>
      <c r="P340" s="273">
        <f>IFERROR(INDEX('2. GRI Pricing Inputs'!$C$53:$AI$54,MATCH('3. GRI Pricing'!$P$16,'2. GRI Pricing Inputs'!$C$53:$C$54,0),MATCH('3. GRI Pricing'!H340,'2. GRI Pricing Inputs'!$C$53:$AI$53,0)),0)</f>
        <v>0</v>
      </c>
      <c r="Q340" s="273">
        <f>IFERROR(INDEX('2. GRI Pricing Inputs'!$C$60:$AI$61,MATCH('3. GRI Pricing'!$Q$16,'2. GRI Pricing Inputs'!$C$60:$C$61,0),MATCH('1. Accomodation'!T344,'2. GRI Pricing Inputs'!$C$60:$AI$60,0)),0)</f>
        <v>0</v>
      </c>
      <c r="R340" s="273">
        <f>IFERROR(INDEX('2. GRI Pricing Inputs'!$C$67:$AI$68,MATCH('3. GRI Pricing'!$R$16,'2. GRI Pricing Inputs'!$C$67:$C$68,0),MATCH('1. Accomodation'!U344,'2. GRI Pricing Inputs'!$C$67:$AI$67,0)),0)</f>
        <v>0</v>
      </c>
      <c r="S340" s="273">
        <f>IF(D340=0,0,'2. GRI Pricing Inputs'!$AI$75)</f>
        <v>0</v>
      </c>
      <c r="T340" s="273">
        <f>IFERROR(INDEX('2. GRI Pricing Inputs'!$C$82:$AI$83,MATCH('3. GRI Pricing'!$T$16,'2. GRI Pricing Inputs'!$C$82:$C$83,0),MATCH('1. Accomodation'!V344,'2. GRI Pricing Inputs'!$C$82:$AI$82,0)),0)</f>
        <v>0</v>
      </c>
      <c r="U340" s="273">
        <f>IFERROR(INDEX('2. GRI Pricing Inputs'!$C$89:$AI$90,MATCH('3. GRI Pricing'!$U$16,'2. GRI Pricing Inputs'!$C$89:$C$90,0),MATCH('1. Accomodation'!W344,'2. GRI Pricing Inputs'!$C$89:$AI$89,0)),0)</f>
        <v>0</v>
      </c>
      <c r="V340" s="273">
        <f>IFERROR(INDEX('2. GRI Pricing Inputs'!$C$97:$AI$98,MATCH('3. GRI Pricing'!$V$16,'2. GRI Pricing Inputs'!$C$97:$C$98,0),MATCH('1. Accomodation'!X344,'2. GRI Pricing Inputs'!$C$97:$AI$97,0)),0)</f>
        <v>0</v>
      </c>
      <c r="W340" s="273">
        <f>IFERROR(INDEX('2. GRI Pricing Inputs'!$C$104:$AI$105,MATCH('3. GRI Pricing'!$W$16,'2. GRI Pricing Inputs'!$C$104:$C$105,0),MATCH('1. Accomodation'!Y344,'2. GRI Pricing Inputs'!$C$104:$AI$104,0)),0)</f>
        <v>0</v>
      </c>
      <c r="X340" s="274"/>
      <c r="Y340" s="275">
        <f t="shared" si="12"/>
        <v>0</v>
      </c>
      <c r="Z340" s="276"/>
      <c r="AA340" s="276"/>
      <c r="AB340" s="276"/>
      <c r="AC340" s="272">
        <f>Y340*(1+'2. GRI Pricing Inputs'!$D$114)^(($AC$16-$AB$15)/365)</f>
        <v>0</v>
      </c>
      <c r="AD340" s="273">
        <f>AC340*(1+'2. GRI Pricing Inputs'!$D$114)^((AD$16-AC$16)/365)</f>
        <v>0</v>
      </c>
      <c r="AE340" s="273">
        <f>AD340*(1+'2. GRI Pricing Inputs'!$D$114)^((AE$16-AD$16)/365)</f>
        <v>0</v>
      </c>
      <c r="AF340" s="273">
        <f>AE340*(1+'2. GRI Pricing Inputs'!$D$114)^((AF$16-AE$16)/365)</f>
        <v>0</v>
      </c>
      <c r="AG340" s="273">
        <f>AF340*(1+'2. GRI Pricing Inputs'!$D$114)^((AG$16-AF$16)/365)</f>
        <v>0</v>
      </c>
      <c r="AH340" s="273">
        <f>AG340*(1+'2. GRI Pricing Inputs'!$D$114)^((AH$16-AG$16)/365)</f>
        <v>0</v>
      </c>
      <c r="AI340" s="273">
        <f>AH340*(1+'2. GRI Pricing Inputs'!$D$114)^((AI$16-AH$16)/365)</f>
        <v>0</v>
      </c>
      <c r="AJ340" s="273">
        <f>AI340*(1+'2. GRI Pricing Inputs'!$D$114)^((AJ$16-AI$16)/365)</f>
        <v>0</v>
      </c>
      <c r="AK340" s="273">
        <f>AJ340*(1+'2. GRI Pricing Inputs'!$D$114)^((AK$16-AJ$16)/365)</f>
        <v>0</v>
      </c>
      <c r="AL340" s="273">
        <f>AK340*(1+'2. GRI Pricing Inputs'!$D$114)^((AL$16-AK$16)/365)</f>
        <v>0</v>
      </c>
      <c r="AM340" s="273">
        <f>AL340*(1+'2. GRI Pricing Inputs'!$D$114)^((AM$16-AL$16)/365)</f>
        <v>0</v>
      </c>
      <c r="AN340" s="273">
        <f>AM340*(1+'2. GRI Pricing Inputs'!$D$114)^((AN$16-AM$16)/365)</f>
        <v>0</v>
      </c>
      <c r="AO340" s="273">
        <f>AN340*(1+'2. GRI Pricing Inputs'!$D$114)^((AO$16-AN$16)/365)</f>
        <v>0</v>
      </c>
    </row>
    <row r="341" spans="3:41" ht="12" x14ac:dyDescent="0.2">
      <c r="C341" s="76">
        <f>'1. Accomodation'!N345</f>
        <v>0</v>
      </c>
      <c r="D341" s="69">
        <f>'1. Accomodation'!P345</f>
        <v>0</v>
      </c>
      <c r="E341" s="69">
        <f>'1. Accomodation'!Q345</f>
        <v>0</v>
      </c>
      <c r="F341" s="77">
        <f>'1. Accomodation'!O345</f>
        <v>0</v>
      </c>
      <c r="G341" s="69">
        <f>'1. Accomodation'!R345</f>
        <v>0</v>
      </c>
      <c r="H341" s="69">
        <f>'1. Accomodation'!S345</f>
        <v>0</v>
      </c>
      <c r="I341" s="62"/>
      <c r="K341" s="272">
        <f>IFERROR(INDEX('2. GRI Pricing Inputs'!$C$15:$AI$16,MATCH($K$16,'2. GRI Pricing Inputs'!$C$15:$C$16,0),MATCH(D341,'2. GRI Pricing Inputs'!$C$15:$AI$15,0)),0)</f>
        <v>0</v>
      </c>
      <c r="L341" s="273">
        <f>IFERROR(INDEX('2. GRI Pricing Inputs'!$C$22:$AI$23,MATCH($L$16,'2. GRI Pricing Inputs'!$C$22:$C$23,0),MATCH(E341,'2. GRI Pricing Inputs'!$C$22:$AI$22,0)),0)</f>
        <v>0</v>
      </c>
      <c r="M341" s="328">
        <f>IF(AND('3. GRI Pricing'!$F341&gt;='2. GRI Pricing Inputs'!$D$33,'3. GRI Pricing'!$F341&lt;='2. GRI Pricing Inputs'!$E$33),'2. GRI Pricing Inputs'!$D$32,IF(AND('3. GRI Pricing'!$F341&gt;='2. GRI Pricing Inputs'!$F$33,'3. GRI Pricing'!$F341&lt;='2. GRI Pricing Inputs'!$G$33),'2. GRI Pricing Inputs'!$F$32,IF(AND('3. GRI Pricing'!$F341&gt;='2. GRI Pricing Inputs'!$H$33,'3. GRI Pricing'!$F341&lt;='2. GRI Pricing Inputs'!$I$33),'2. GRI Pricing Inputs'!$H$32,IF(AND('3. GRI Pricing'!$F341&gt;='2. GRI Pricing Inputs'!$J$33,'3. GRI Pricing'!$F341&lt;='2. GRI Pricing Inputs'!$K$33),'2. GRI Pricing Inputs'!$J$32,IF(AND('3. GRI Pricing'!$F341&gt;='2. GRI Pricing Inputs'!$L$33,'3. GRI Pricing'!$F341&lt;='2. GRI Pricing Inputs'!$M$33),'2. GRI Pricing Inputs'!$L$32,IF(AND('3. GRI Pricing'!$F341&gt;='2. GRI Pricing Inputs'!$N$33,'3. GRI Pricing'!$F341&lt;='2. GRI Pricing Inputs'!$O$33),'2. GRI Pricing Inputs'!$N$32,IF(AND('3. GRI Pricing'!$F341&gt;='2. GRI Pricing Inputs'!$P$33,'3. GRI Pricing'!$F341&lt;='2. GRI Pricing Inputs'!$Q$33),'2. GRI Pricing Inputs'!$P$32,IF(AND('3. GRI Pricing'!$F341&gt;='2. GRI Pricing Inputs'!$R$33,'3. GRI Pricing'!$F341&lt;='2. GRI Pricing Inputs'!$S$33),'2. GRI Pricing Inputs'!$R$32,IF(AND('3. GRI Pricing'!$F341&gt;='2. GRI Pricing Inputs'!$T$33,'3. GRI Pricing'!$F341&lt;='2. GRI Pricing Inputs'!$U$33),'2. GRI Pricing Inputs'!$T$32,IF(AND('3. GRI Pricing'!$F341&gt;='2. GRI Pricing Inputs'!$V$33,'3. GRI Pricing'!$F341&lt;='2. GRI Pricing Inputs'!$W$33),'2. GRI Pricing Inputs'!$V$32,IF(AND('3. GRI Pricing'!$F341&gt;='2. GRI Pricing Inputs'!$X$33,'3. GRI Pricing'!$F341&lt;='2. GRI Pricing Inputs'!$Y$33),'2. GRI Pricing Inputs'!$X$32,IF(AND('3. GRI Pricing'!$F341&gt;='2. GRI Pricing Inputs'!$Z$33,'3. GRI Pricing'!$F341&lt;='2. GRI Pricing Inputs'!$AA$33),'2. GRI Pricing Inputs'!$Z$32,IF(AND('3. GRI Pricing'!$F341&gt;='2. GRI Pricing Inputs'!$AB$33,'3. GRI Pricing'!$F341&lt;='2. GRI Pricing Inputs'!$AC$33),'2. GRI Pricing Inputs'!$AB$32,IF(AND('3. GRI Pricing'!$F341&gt;='2. GRI Pricing Inputs'!$AD$33,'3. GRI Pricing'!$F341&lt;='2. GRI Pricing Inputs'!$AE$33),'2. GRI Pricing Inputs'!$AD$32,IF(AND('3. GRI Pricing'!$F341&gt;='2. GRI Pricing Inputs'!$AF$33,'3. GRI Pricing'!$F341&lt;='2. GRI Pricing Inputs'!$AG$33),'2. GRI Pricing Inputs'!$AF$32,IF(AND('3. GRI Pricing'!$F341&gt;='2. GRI Pricing Inputs'!$AH$33,'3. GRI Pricing'!$F341&lt;='2. GRI Pricing Inputs'!$AI$33),'2. GRI Pricing Inputs'!$AH$32,0))))))))))))))))</f>
        <v>0</v>
      </c>
      <c r="N341" s="273" cm="1">
        <f t="array" ref="N341">IFERROR(INDEX('2. GRI Pricing Inputs'!$C$32:$AI$39,MATCH('3. GRI Pricing'!D341,'2. GRI Pricing Inputs'!$C$32:$C$39,0),(MATCH('3. GRI Pricing'!M341,'2. GRI Pricing Inputs'!$D$32:$AI$32,0)+1)),0)</f>
        <v>0</v>
      </c>
      <c r="O341" s="273">
        <f>IFERROR(INDEX('2. GRI Pricing Inputs'!$C$45:$AI$46,MATCH($O$16,'2. GRI Pricing Inputs'!$C$45:$C$46,0),MATCH(G341,'2. GRI Pricing Inputs'!$C$45:$AI$45,0)),0)</f>
        <v>0</v>
      </c>
      <c r="P341" s="273">
        <f>IFERROR(INDEX('2. GRI Pricing Inputs'!$C$53:$AI$54,MATCH('3. GRI Pricing'!$P$16,'2. GRI Pricing Inputs'!$C$53:$C$54,0),MATCH('3. GRI Pricing'!H341,'2. GRI Pricing Inputs'!$C$53:$AI$53,0)),0)</f>
        <v>0</v>
      </c>
      <c r="Q341" s="273">
        <f>IFERROR(INDEX('2. GRI Pricing Inputs'!$C$60:$AI$61,MATCH('3. GRI Pricing'!$Q$16,'2. GRI Pricing Inputs'!$C$60:$C$61,0),MATCH('1. Accomodation'!T345,'2. GRI Pricing Inputs'!$C$60:$AI$60,0)),0)</f>
        <v>0</v>
      </c>
      <c r="R341" s="273">
        <f>IFERROR(INDEX('2. GRI Pricing Inputs'!$C$67:$AI$68,MATCH('3. GRI Pricing'!$R$16,'2. GRI Pricing Inputs'!$C$67:$C$68,0),MATCH('1. Accomodation'!U345,'2. GRI Pricing Inputs'!$C$67:$AI$67,0)),0)</f>
        <v>0</v>
      </c>
      <c r="S341" s="273">
        <f>IF(D341=0,0,'2. GRI Pricing Inputs'!$AI$75)</f>
        <v>0</v>
      </c>
      <c r="T341" s="273">
        <f>IFERROR(INDEX('2. GRI Pricing Inputs'!$C$82:$AI$83,MATCH('3. GRI Pricing'!$T$16,'2. GRI Pricing Inputs'!$C$82:$C$83,0),MATCH('1. Accomodation'!V345,'2. GRI Pricing Inputs'!$C$82:$AI$82,0)),0)</f>
        <v>0</v>
      </c>
      <c r="U341" s="273">
        <f>IFERROR(INDEX('2. GRI Pricing Inputs'!$C$89:$AI$90,MATCH('3. GRI Pricing'!$U$16,'2. GRI Pricing Inputs'!$C$89:$C$90,0),MATCH('1. Accomodation'!W345,'2. GRI Pricing Inputs'!$C$89:$AI$89,0)),0)</f>
        <v>0</v>
      </c>
      <c r="V341" s="273">
        <f>IFERROR(INDEX('2. GRI Pricing Inputs'!$C$97:$AI$98,MATCH('3. GRI Pricing'!$V$16,'2. GRI Pricing Inputs'!$C$97:$C$98,0),MATCH('1. Accomodation'!X345,'2. GRI Pricing Inputs'!$C$97:$AI$97,0)),0)</f>
        <v>0</v>
      </c>
      <c r="W341" s="273">
        <f>IFERROR(INDEX('2. GRI Pricing Inputs'!$C$104:$AI$105,MATCH('3. GRI Pricing'!$W$16,'2. GRI Pricing Inputs'!$C$104:$C$105,0),MATCH('1. Accomodation'!Y345,'2. GRI Pricing Inputs'!$C$104:$AI$104,0)),0)</f>
        <v>0</v>
      </c>
      <c r="X341" s="274"/>
      <c r="Y341" s="275">
        <f t="shared" si="12"/>
        <v>0</v>
      </c>
      <c r="Z341" s="276"/>
      <c r="AA341" s="276"/>
      <c r="AB341" s="276"/>
      <c r="AC341" s="272">
        <f>Y341*(1+'2. GRI Pricing Inputs'!$D$114)^(($AC$16-$AB$15)/365)</f>
        <v>0</v>
      </c>
      <c r="AD341" s="273">
        <f>AC341*(1+'2. GRI Pricing Inputs'!$D$114)^((AD$16-AC$16)/365)</f>
        <v>0</v>
      </c>
      <c r="AE341" s="273">
        <f>AD341*(1+'2. GRI Pricing Inputs'!$D$114)^((AE$16-AD$16)/365)</f>
        <v>0</v>
      </c>
      <c r="AF341" s="273">
        <f>AE341*(1+'2. GRI Pricing Inputs'!$D$114)^((AF$16-AE$16)/365)</f>
        <v>0</v>
      </c>
      <c r="AG341" s="273">
        <f>AF341*(1+'2. GRI Pricing Inputs'!$D$114)^((AG$16-AF$16)/365)</f>
        <v>0</v>
      </c>
      <c r="AH341" s="273">
        <f>AG341*(1+'2. GRI Pricing Inputs'!$D$114)^((AH$16-AG$16)/365)</f>
        <v>0</v>
      </c>
      <c r="AI341" s="273">
        <f>AH341*(1+'2. GRI Pricing Inputs'!$D$114)^((AI$16-AH$16)/365)</f>
        <v>0</v>
      </c>
      <c r="AJ341" s="273">
        <f>AI341*(1+'2. GRI Pricing Inputs'!$D$114)^((AJ$16-AI$16)/365)</f>
        <v>0</v>
      </c>
      <c r="AK341" s="273">
        <f>AJ341*(1+'2. GRI Pricing Inputs'!$D$114)^((AK$16-AJ$16)/365)</f>
        <v>0</v>
      </c>
      <c r="AL341" s="273">
        <f>AK341*(1+'2. GRI Pricing Inputs'!$D$114)^((AL$16-AK$16)/365)</f>
        <v>0</v>
      </c>
      <c r="AM341" s="273">
        <f>AL341*(1+'2. GRI Pricing Inputs'!$D$114)^((AM$16-AL$16)/365)</f>
        <v>0</v>
      </c>
      <c r="AN341" s="273">
        <f>AM341*(1+'2. GRI Pricing Inputs'!$D$114)^((AN$16-AM$16)/365)</f>
        <v>0</v>
      </c>
      <c r="AO341" s="273">
        <f>AN341*(1+'2. GRI Pricing Inputs'!$D$114)^((AO$16-AN$16)/365)</f>
        <v>0</v>
      </c>
    </row>
    <row r="342" spans="3:41" ht="12" x14ac:dyDescent="0.2">
      <c r="C342" s="76">
        <f>'1. Accomodation'!N346</f>
        <v>0</v>
      </c>
      <c r="D342" s="69">
        <f>'1. Accomodation'!P346</f>
        <v>0</v>
      </c>
      <c r="E342" s="69">
        <f>'1. Accomodation'!Q346</f>
        <v>0</v>
      </c>
      <c r="F342" s="77">
        <f>'1. Accomodation'!O346</f>
        <v>0</v>
      </c>
      <c r="G342" s="69">
        <f>'1. Accomodation'!R346</f>
        <v>0</v>
      </c>
      <c r="H342" s="69">
        <f>'1. Accomodation'!S346</f>
        <v>0</v>
      </c>
      <c r="I342" s="62"/>
      <c r="K342" s="272">
        <f>IFERROR(INDEX('2. GRI Pricing Inputs'!$C$15:$AI$16,MATCH($K$16,'2. GRI Pricing Inputs'!$C$15:$C$16,0),MATCH(D342,'2. GRI Pricing Inputs'!$C$15:$AI$15,0)),0)</f>
        <v>0</v>
      </c>
      <c r="L342" s="273">
        <f>IFERROR(INDEX('2. GRI Pricing Inputs'!$C$22:$AI$23,MATCH($L$16,'2. GRI Pricing Inputs'!$C$22:$C$23,0),MATCH(E342,'2. GRI Pricing Inputs'!$C$22:$AI$22,0)),0)</f>
        <v>0</v>
      </c>
      <c r="M342" s="328">
        <f>IF(AND('3. GRI Pricing'!$F342&gt;='2. GRI Pricing Inputs'!$D$33,'3. GRI Pricing'!$F342&lt;='2. GRI Pricing Inputs'!$E$33),'2. GRI Pricing Inputs'!$D$32,IF(AND('3. GRI Pricing'!$F342&gt;='2. GRI Pricing Inputs'!$F$33,'3. GRI Pricing'!$F342&lt;='2. GRI Pricing Inputs'!$G$33),'2. GRI Pricing Inputs'!$F$32,IF(AND('3. GRI Pricing'!$F342&gt;='2. GRI Pricing Inputs'!$H$33,'3. GRI Pricing'!$F342&lt;='2. GRI Pricing Inputs'!$I$33),'2. GRI Pricing Inputs'!$H$32,IF(AND('3. GRI Pricing'!$F342&gt;='2. GRI Pricing Inputs'!$J$33,'3. GRI Pricing'!$F342&lt;='2. GRI Pricing Inputs'!$K$33),'2. GRI Pricing Inputs'!$J$32,IF(AND('3. GRI Pricing'!$F342&gt;='2. GRI Pricing Inputs'!$L$33,'3. GRI Pricing'!$F342&lt;='2. GRI Pricing Inputs'!$M$33),'2. GRI Pricing Inputs'!$L$32,IF(AND('3. GRI Pricing'!$F342&gt;='2. GRI Pricing Inputs'!$N$33,'3. GRI Pricing'!$F342&lt;='2. GRI Pricing Inputs'!$O$33),'2. GRI Pricing Inputs'!$N$32,IF(AND('3. GRI Pricing'!$F342&gt;='2. GRI Pricing Inputs'!$P$33,'3. GRI Pricing'!$F342&lt;='2. GRI Pricing Inputs'!$Q$33),'2. GRI Pricing Inputs'!$P$32,IF(AND('3. GRI Pricing'!$F342&gt;='2. GRI Pricing Inputs'!$R$33,'3. GRI Pricing'!$F342&lt;='2. GRI Pricing Inputs'!$S$33),'2. GRI Pricing Inputs'!$R$32,IF(AND('3. GRI Pricing'!$F342&gt;='2. GRI Pricing Inputs'!$T$33,'3. GRI Pricing'!$F342&lt;='2. GRI Pricing Inputs'!$U$33),'2. GRI Pricing Inputs'!$T$32,IF(AND('3. GRI Pricing'!$F342&gt;='2. GRI Pricing Inputs'!$V$33,'3. GRI Pricing'!$F342&lt;='2. GRI Pricing Inputs'!$W$33),'2. GRI Pricing Inputs'!$V$32,IF(AND('3. GRI Pricing'!$F342&gt;='2. GRI Pricing Inputs'!$X$33,'3. GRI Pricing'!$F342&lt;='2. GRI Pricing Inputs'!$Y$33),'2. GRI Pricing Inputs'!$X$32,IF(AND('3. GRI Pricing'!$F342&gt;='2. GRI Pricing Inputs'!$Z$33,'3. GRI Pricing'!$F342&lt;='2. GRI Pricing Inputs'!$AA$33),'2. GRI Pricing Inputs'!$Z$32,IF(AND('3. GRI Pricing'!$F342&gt;='2. GRI Pricing Inputs'!$AB$33,'3. GRI Pricing'!$F342&lt;='2. GRI Pricing Inputs'!$AC$33),'2. GRI Pricing Inputs'!$AB$32,IF(AND('3. GRI Pricing'!$F342&gt;='2. GRI Pricing Inputs'!$AD$33,'3. GRI Pricing'!$F342&lt;='2. GRI Pricing Inputs'!$AE$33),'2. GRI Pricing Inputs'!$AD$32,IF(AND('3. GRI Pricing'!$F342&gt;='2. GRI Pricing Inputs'!$AF$33,'3. GRI Pricing'!$F342&lt;='2. GRI Pricing Inputs'!$AG$33),'2. GRI Pricing Inputs'!$AF$32,IF(AND('3. GRI Pricing'!$F342&gt;='2. GRI Pricing Inputs'!$AH$33,'3. GRI Pricing'!$F342&lt;='2. GRI Pricing Inputs'!$AI$33),'2. GRI Pricing Inputs'!$AH$32,0))))))))))))))))</f>
        <v>0</v>
      </c>
      <c r="N342" s="273" cm="1">
        <f t="array" ref="N342">IFERROR(INDEX('2. GRI Pricing Inputs'!$C$32:$AI$39,MATCH('3. GRI Pricing'!D342,'2. GRI Pricing Inputs'!$C$32:$C$39,0),(MATCH('3. GRI Pricing'!M342,'2. GRI Pricing Inputs'!$D$32:$AI$32,0)+1)),0)</f>
        <v>0</v>
      </c>
      <c r="O342" s="273">
        <f>IFERROR(INDEX('2. GRI Pricing Inputs'!$C$45:$AI$46,MATCH($O$16,'2. GRI Pricing Inputs'!$C$45:$C$46,0),MATCH(G342,'2. GRI Pricing Inputs'!$C$45:$AI$45,0)),0)</f>
        <v>0</v>
      </c>
      <c r="P342" s="273">
        <f>IFERROR(INDEX('2. GRI Pricing Inputs'!$C$53:$AI$54,MATCH('3. GRI Pricing'!$P$16,'2. GRI Pricing Inputs'!$C$53:$C$54,0),MATCH('3. GRI Pricing'!H342,'2. GRI Pricing Inputs'!$C$53:$AI$53,0)),0)</f>
        <v>0</v>
      </c>
      <c r="Q342" s="273">
        <f>IFERROR(INDEX('2. GRI Pricing Inputs'!$C$60:$AI$61,MATCH('3. GRI Pricing'!$Q$16,'2. GRI Pricing Inputs'!$C$60:$C$61,0),MATCH('1. Accomodation'!T346,'2. GRI Pricing Inputs'!$C$60:$AI$60,0)),0)</f>
        <v>0</v>
      </c>
      <c r="R342" s="273">
        <f>IFERROR(INDEX('2. GRI Pricing Inputs'!$C$67:$AI$68,MATCH('3. GRI Pricing'!$R$16,'2. GRI Pricing Inputs'!$C$67:$C$68,0),MATCH('1. Accomodation'!U346,'2. GRI Pricing Inputs'!$C$67:$AI$67,0)),0)</f>
        <v>0</v>
      </c>
      <c r="S342" s="273">
        <f>IF(D342=0,0,'2. GRI Pricing Inputs'!$AI$75)</f>
        <v>0</v>
      </c>
      <c r="T342" s="273">
        <f>IFERROR(INDEX('2. GRI Pricing Inputs'!$C$82:$AI$83,MATCH('3. GRI Pricing'!$T$16,'2. GRI Pricing Inputs'!$C$82:$C$83,0),MATCH('1. Accomodation'!V346,'2. GRI Pricing Inputs'!$C$82:$AI$82,0)),0)</f>
        <v>0</v>
      </c>
      <c r="U342" s="273">
        <f>IFERROR(INDEX('2. GRI Pricing Inputs'!$C$89:$AI$90,MATCH('3. GRI Pricing'!$U$16,'2. GRI Pricing Inputs'!$C$89:$C$90,0),MATCH('1. Accomodation'!W346,'2. GRI Pricing Inputs'!$C$89:$AI$89,0)),0)</f>
        <v>0</v>
      </c>
      <c r="V342" s="273">
        <f>IFERROR(INDEX('2. GRI Pricing Inputs'!$C$97:$AI$98,MATCH('3. GRI Pricing'!$V$16,'2. GRI Pricing Inputs'!$C$97:$C$98,0),MATCH('1. Accomodation'!X346,'2. GRI Pricing Inputs'!$C$97:$AI$97,0)),0)</f>
        <v>0</v>
      </c>
      <c r="W342" s="273">
        <f>IFERROR(INDEX('2. GRI Pricing Inputs'!$C$104:$AI$105,MATCH('3. GRI Pricing'!$W$16,'2. GRI Pricing Inputs'!$C$104:$C$105,0),MATCH('1. Accomodation'!Y346,'2. GRI Pricing Inputs'!$C$104:$AI$104,0)),0)</f>
        <v>0</v>
      </c>
      <c r="X342" s="274"/>
      <c r="Y342" s="275">
        <f t="shared" si="12"/>
        <v>0</v>
      </c>
      <c r="Z342" s="276"/>
      <c r="AA342" s="276"/>
      <c r="AB342" s="276"/>
      <c r="AC342" s="272">
        <f>Y342*(1+'2. GRI Pricing Inputs'!$D$114)^(($AC$16-$AB$15)/365)</f>
        <v>0</v>
      </c>
      <c r="AD342" s="273">
        <f>AC342*(1+'2. GRI Pricing Inputs'!$D$114)^((AD$16-AC$16)/365)</f>
        <v>0</v>
      </c>
      <c r="AE342" s="273">
        <f>AD342*(1+'2. GRI Pricing Inputs'!$D$114)^((AE$16-AD$16)/365)</f>
        <v>0</v>
      </c>
      <c r="AF342" s="273">
        <f>AE342*(1+'2. GRI Pricing Inputs'!$D$114)^((AF$16-AE$16)/365)</f>
        <v>0</v>
      </c>
      <c r="AG342" s="273">
        <f>AF342*(1+'2. GRI Pricing Inputs'!$D$114)^((AG$16-AF$16)/365)</f>
        <v>0</v>
      </c>
      <c r="AH342" s="273">
        <f>AG342*(1+'2. GRI Pricing Inputs'!$D$114)^((AH$16-AG$16)/365)</f>
        <v>0</v>
      </c>
      <c r="AI342" s="273">
        <f>AH342*(1+'2. GRI Pricing Inputs'!$D$114)^((AI$16-AH$16)/365)</f>
        <v>0</v>
      </c>
      <c r="AJ342" s="273">
        <f>AI342*(1+'2. GRI Pricing Inputs'!$D$114)^((AJ$16-AI$16)/365)</f>
        <v>0</v>
      </c>
      <c r="AK342" s="273">
        <f>AJ342*(1+'2. GRI Pricing Inputs'!$D$114)^((AK$16-AJ$16)/365)</f>
        <v>0</v>
      </c>
      <c r="AL342" s="273">
        <f>AK342*(1+'2. GRI Pricing Inputs'!$D$114)^((AL$16-AK$16)/365)</f>
        <v>0</v>
      </c>
      <c r="AM342" s="273">
        <f>AL342*(1+'2. GRI Pricing Inputs'!$D$114)^((AM$16-AL$16)/365)</f>
        <v>0</v>
      </c>
      <c r="AN342" s="273">
        <f>AM342*(1+'2. GRI Pricing Inputs'!$D$114)^((AN$16-AM$16)/365)</f>
        <v>0</v>
      </c>
      <c r="AO342" s="273">
        <f>AN342*(1+'2. GRI Pricing Inputs'!$D$114)^((AO$16-AN$16)/365)</f>
        <v>0</v>
      </c>
    </row>
    <row r="343" spans="3:41" ht="12" x14ac:dyDescent="0.2">
      <c r="C343" s="76">
        <f>'1. Accomodation'!N347</f>
        <v>0</v>
      </c>
      <c r="D343" s="69">
        <f>'1. Accomodation'!P347</f>
        <v>0</v>
      </c>
      <c r="E343" s="69">
        <f>'1. Accomodation'!Q347</f>
        <v>0</v>
      </c>
      <c r="F343" s="77">
        <f>'1. Accomodation'!O347</f>
        <v>0</v>
      </c>
      <c r="G343" s="69">
        <f>'1. Accomodation'!R347</f>
        <v>0</v>
      </c>
      <c r="H343" s="69">
        <f>'1. Accomodation'!S347</f>
        <v>0</v>
      </c>
      <c r="I343" s="62"/>
      <c r="K343" s="272">
        <f>IFERROR(INDEX('2. GRI Pricing Inputs'!$C$15:$AI$16,MATCH($K$16,'2. GRI Pricing Inputs'!$C$15:$C$16,0),MATCH(D343,'2. GRI Pricing Inputs'!$C$15:$AI$15,0)),0)</f>
        <v>0</v>
      </c>
      <c r="L343" s="273">
        <f>IFERROR(INDEX('2. GRI Pricing Inputs'!$C$22:$AI$23,MATCH($L$16,'2. GRI Pricing Inputs'!$C$22:$C$23,0),MATCH(E343,'2. GRI Pricing Inputs'!$C$22:$AI$22,0)),0)</f>
        <v>0</v>
      </c>
      <c r="M343" s="328">
        <f>IF(AND('3. GRI Pricing'!$F343&gt;='2. GRI Pricing Inputs'!$D$33,'3. GRI Pricing'!$F343&lt;='2. GRI Pricing Inputs'!$E$33),'2. GRI Pricing Inputs'!$D$32,IF(AND('3. GRI Pricing'!$F343&gt;='2. GRI Pricing Inputs'!$F$33,'3. GRI Pricing'!$F343&lt;='2. GRI Pricing Inputs'!$G$33),'2. GRI Pricing Inputs'!$F$32,IF(AND('3. GRI Pricing'!$F343&gt;='2. GRI Pricing Inputs'!$H$33,'3. GRI Pricing'!$F343&lt;='2. GRI Pricing Inputs'!$I$33),'2. GRI Pricing Inputs'!$H$32,IF(AND('3. GRI Pricing'!$F343&gt;='2. GRI Pricing Inputs'!$J$33,'3. GRI Pricing'!$F343&lt;='2. GRI Pricing Inputs'!$K$33),'2. GRI Pricing Inputs'!$J$32,IF(AND('3. GRI Pricing'!$F343&gt;='2. GRI Pricing Inputs'!$L$33,'3. GRI Pricing'!$F343&lt;='2. GRI Pricing Inputs'!$M$33),'2. GRI Pricing Inputs'!$L$32,IF(AND('3. GRI Pricing'!$F343&gt;='2. GRI Pricing Inputs'!$N$33,'3. GRI Pricing'!$F343&lt;='2. GRI Pricing Inputs'!$O$33),'2. GRI Pricing Inputs'!$N$32,IF(AND('3. GRI Pricing'!$F343&gt;='2. GRI Pricing Inputs'!$P$33,'3. GRI Pricing'!$F343&lt;='2. GRI Pricing Inputs'!$Q$33),'2. GRI Pricing Inputs'!$P$32,IF(AND('3. GRI Pricing'!$F343&gt;='2. GRI Pricing Inputs'!$R$33,'3. GRI Pricing'!$F343&lt;='2. GRI Pricing Inputs'!$S$33),'2. GRI Pricing Inputs'!$R$32,IF(AND('3. GRI Pricing'!$F343&gt;='2. GRI Pricing Inputs'!$T$33,'3. GRI Pricing'!$F343&lt;='2. GRI Pricing Inputs'!$U$33),'2. GRI Pricing Inputs'!$T$32,IF(AND('3. GRI Pricing'!$F343&gt;='2. GRI Pricing Inputs'!$V$33,'3. GRI Pricing'!$F343&lt;='2. GRI Pricing Inputs'!$W$33),'2. GRI Pricing Inputs'!$V$32,IF(AND('3. GRI Pricing'!$F343&gt;='2. GRI Pricing Inputs'!$X$33,'3. GRI Pricing'!$F343&lt;='2. GRI Pricing Inputs'!$Y$33),'2. GRI Pricing Inputs'!$X$32,IF(AND('3. GRI Pricing'!$F343&gt;='2. GRI Pricing Inputs'!$Z$33,'3. GRI Pricing'!$F343&lt;='2. GRI Pricing Inputs'!$AA$33),'2. GRI Pricing Inputs'!$Z$32,IF(AND('3. GRI Pricing'!$F343&gt;='2. GRI Pricing Inputs'!$AB$33,'3. GRI Pricing'!$F343&lt;='2. GRI Pricing Inputs'!$AC$33),'2. GRI Pricing Inputs'!$AB$32,IF(AND('3. GRI Pricing'!$F343&gt;='2. GRI Pricing Inputs'!$AD$33,'3. GRI Pricing'!$F343&lt;='2. GRI Pricing Inputs'!$AE$33),'2. GRI Pricing Inputs'!$AD$32,IF(AND('3. GRI Pricing'!$F343&gt;='2. GRI Pricing Inputs'!$AF$33,'3. GRI Pricing'!$F343&lt;='2. GRI Pricing Inputs'!$AG$33),'2. GRI Pricing Inputs'!$AF$32,IF(AND('3. GRI Pricing'!$F343&gt;='2. GRI Pricing Inputs'!$AH$33,'3. GRI Pricing'!$F343&lt;='2. GRI Pricing Inputs'!$AI$33),'2. GRI Pricing Inputs'!$AH$32,0))))))))))))))))</f>
        <v>0</v>
      </c>
      <c r="N343" s="273" cm="1">
        <f t="array" ref="N343">IFERROR(INDEX('2. GRI Pricing Inputs'!$C$32:$AI$39,MATCH('3. GRI Pricing'!D343,'2. GRI Pricing Inputs'!$C$32:$C$39,0),(MATCH('3. GRI Pricing'!M343,'2. GRI Pricing Inputs'!$D$32:$AI$32,0)+1)),0)</f>
        <v>0</v>
      </c>
      <c r="O343" s="273">
        <f>IFERROR(INDEX('2. GRI Pricing Inputs'!$C$45:$AI$46,MATCH($O$16,'2. GRI Pricing Inputs'!$C$45:$C$46,0),MATCH(G343,'2. GRI Pricing Inputs'!$C$45:$AI$45,0)),0)</f>
        <v>0</v>
      </c>
      <c r="P343" s="273">
        <f>IFERROR(INDEX('2. GRI Pricing Inputs'!$C$53:$AI$54,MATCH('3. GRI Pricing'!$P$16,'2. GRI Pricing Inputs'!$C$53:$C$54,0),MATCH('3. GRI Pricing'!H343,'2. GRI Pricing Inputs'!$C$53:$AI$53,0)),0)</f>
        <v>0</v>
      </c>
      <c r="Q343" s="273">
        <f>IFERROR(INDEX('2. GRI Pricing Inputs'!$C$60:$AI$61,MATCH('3. GRI Pricing'!$Q$16,'2. GRI Pricing Inputs'!$C$60:$C$61,0),MATCH('1. Accomodation'!T347,'2. GRI Pricing Inputs'!$C$60:$AI$60,0)),0)</f>
        <v>0</v>
      </c>
      <c r="R343" s="273">
        <f>IFERROR(INDEX('2. GRI Pricing Inputs'!$C$67:$AI$68,MATCH('3. GRI Pricing'!$R$16,'2. GRI Pricing Inputs'!$C$67:$C$68,0),MATCH('1. Accomodation'!U347,'2. GRI Pricing Inputs'!$C$67:$AI$67,0)),0)</f>
        <v>0</v>
      </c>
      <c r="S343" s="273">
        <f>IF(D343=0,0,'2. GRI Pricing Inputs'!$AI$75)</f>
        <v>0</v>
      </c>
      <c r="T343" s="273">
        <f>IFERROR(INDEX('2. GRI Pricing Inputs'!$C$82:$AI$83,MATCH('3. GRI Pricing'!$T$16,'2. GRI Pricing Inputs'!$C$82:$C$83,0),MATCH('1. Accomodation'!V347,'2. GRI Pricing Inputs'!$C$82:$AI$82,0)),0)</f>
        <v>0</v>
      </c>
      <c r="U343" s="273">
        <f>IFERROR(INDEX('2. GRI Pricing Inputs'!$C$89:$AI$90,MATCH('3. GRI Pricing'!$U$16,'2. GRI Pricing Inputs'!$C$89:$C$90,0),MATCH('1. Accomodation'!W347,'2. GRI Pricing Inputs'!$C$89:$AI$89,0)),0)</f>
        <v>0</v>
      </c>
      <c r="V343" s="273">
        <f>IFERROR(INDEX('2. GRI Pricing Inputs'!$C$97:$AI$98,MATCH('3. GRI Pricing'!$V$16,'2. GRI Pricing Inputs'!$C$97:$C$98,0),MATCH('1. Accomodation'!X347,'2. GRI Pricing Inputs'!$C$97:$AI$97,0)),0)</f>
        <v>0</v>
      </c>
      <c r="W343" s="273">
        <f>IFERROR(INDEX('2. GRI Pricing Inputs'!$C$104:$AI$105,MATCH('3. GRI Pricing'!$W$16,'2. GRI Pricing Inputs'!$C$104:$C$105,0),MATCH('1. Accomodation'!Y347,'2. GRI Pricing Inputs'!$C$104:$AI$104,0)),0)</f>
        <v>0</v>
      </c>
      <c r="X343" s="274"/>
      <c r="Y343" s="275">
        <f t="shared" si="12"/>
        <v>0</v>
      </c>
      <c r="Z343" s="276"/>
      <c r="AA343" s="276"/>
      <c r="AB343" s="276"/>
      <c r="AC343" s="272">
        <f>Y343*(1+'2. GRI Pricing Inputs'!$D$114)^(($AC$16-$AB$15)/365)</f>
        <v>0</v>
      </c>
      <c r="AD343" s="273">
        <f>AC343*(1+'2. GRI Pricing Inputs'!$D$114)^((AD$16-AC$16)/365)</f>
        <v>0</v>
      </c>
      <c r="AE343" s="273">
        <f>AD343*(1+'2. GRI Pricing Inputs'!$D$114)^((AE$16-AD$16)/365)</f>
        <v>0</v>
      </c>
      <c r="AF343" s="273">
        <f>AE343*(1+'2. GRI Pricing Inputs'!$D$114)^((AF$16-AE$16)/365)</f>
        <v>0</v>
      </c>
      <c r="AG343" s="273">
        <f>AF343*(1+'2. GRI Pricing Inputs'!$D$114)^((AG$16-AF$16)/365)</f>
        <v>0</v>
      </c>
      <c r="AH343" s="273">
        <f>AG343*(1+'2. GRI Pricing Inputs'!$D$114)^((AH$16-AG$16)/365)</f>
        <v>0</v>
      </c>
      <c r="AI343" s="273">
        <f>AH343*(1+'2. GRI Pricing Inputs'!$D$114)^((AI$16-AH$16)/365)</f>
        <v>0</v>
      </c>
      <c r="AJ343" s="273">
        <f>AI343*(1+'2. GRI Pricing Inputs'!$D$114)^((AJ$16-AI$16)/365)</f>
        <v>0</v>
      </c>
      <c r="AK343" s="273">
        <f>AJ343*(1+'2. GRI Pricing Inputs'!$D$114)^((AK$16-AJ$16)/365)</f>
        <v>0</v>
      </c>
      <c r="AL343" s="273">
        <f>AK343*(1+'2. GRI Pricing Inputs'!$D$114)^((AL$16-AK$16)/365)</f>
        <v>0</v>
      </c>
      <c r="AM343" s="273">
        <f>AL343*(1+'2. GRI Pricing Inputs'!$D$114)^((AM$16-AL$16)/365)</f>
        <v>0</v>
      </c>
      <c r="AN343" s="273">
        <f>AM343*(1+'2. GRI Pricing Inputs'!$D$114)^((AN$16-AM$16)/365)</f>
        <v>0</v>
      </c>
      <c r="AO343" s="273">
        <f>AN343*(1+'2. GRI Pricing Inputs'!$D$114)^((AO$16-AN$16)/365)</f>
        <v>0</v>
      </c>
    </row>
    <row r="344" spans="3:41" ht="12" x14ac:dyDescent="0.2">
      <c r="C344" s="76">
        <f>'1. Accomodation'!N348</f>
        <v>0</v>
      </c>
      <c r="D344" s="69">
        <f>'1. Accomodation'!P348</f>
        <v>0</v>
      </c>
      <c r="E344" s="69">
        <f>'1. Accomodation'!Q348</f>
        <v>0</v>
      </c>
      <c r="F344" s="77">
        <f>'1. Accomodation'!O348</f>
        <v>0</v>
      </c>
      <c r="G344" s="69">
        <f>'1. Accomodation'!R348</f>
        <v>0</v>
      </c>
      <c r="H344" s="69">
        <f>'1. Accomodation'!S348</f>
        <v>0</v>
      </c>
      <c r="I344" s="62"/>
      <c r="K344" s="272">
        <f>IFERROR(INDEX('2. GRI Pricing Inputs'!$C$15:$AI$16,MATCH($K$16,'2. GRI Pricing Inputs'!$C$15:$C$16,0),MATCH(D344,'2. GRI Pricing Inputs'!$C$15:$AI$15,0)),0)</f>
        <v>0</v>
      </c>
      <c r="L344" s="273">
        <f>IFERROR(INDEX('2. GRI Pricing Inputs'!$C$22:$AI$23,MATCH($L$16,'2. GRI Pricing Inputs'!$C$22:$C$23,0),MATCH(E344,'2. GRI Pricing Inputs'!$C$22:$AI$22,0)),0)</f>
        <v>0</v>
      </c>
      <c r="M344" s="328">
        <f>IF(AND('3. GRI Pricing'!$F344&gt;='2. GRI Pricing Inputs'!$D$33,'3. GRI Pricing'!$F344&lt;='2. GRI Pricing Inputs'!$E$33),'2. GRI Pricing Inputs'!$D$32,IF(AND('3. GRI Pricing'!$F344&gt;='2. GRI Pricing Inputs'!$F$33,'3. GRI Pricing'!$F344&lt;='2. GRI Pricing Inputs'!$G$33),'2. GRI Pricing Inputs'!$F$32,IF(AND('3. GRI Pricing'!$F344&gt;='2. GRI Pricing Inputs'!$H$33,'3. GRI Pricing'!$F344&lt;='2. GRI Pricing Inputs'!$I$33),'2. GRI Pricing Inputs'!$H$32,IF(AND('3. GRI Pricing'!$F344&gt;='2. GRI Pricing Inputs'!$J$33,'3. GRI Pricing'!$F344&lt;='2. GRI Pricing Inputs'!$K$33),'2. GRI Pricing Inputs'!$J$32,IF(AND('3. GRI Pricing'!$F344&gt;='2. GRI Pricing Inputs'!$L$33,'3. GRI Pricing'!$F344&lt;='2. GRI Pricing Inputs'!$M$33),'2. GRI Pricing Inputs'!$L$32,IF(AND('3. GRI Pricing'!$F344&gt;='2. GRI Pricing Inputs'!$N$33,'3. GRI Pricing'!$F344&lt;='2. GRI Pricing Inputs'!$O$33),'2. GRI Pricing Inputs'!$N$32,IF(AND('3. GRI Pricing'!$F344&gt;='2. GRI Pricing Inputs'!$P$33,'3. GRI Pricing'!$F344&lt;='2. GRI Pricing Inputs'!$Q$33),'2. GRI Pricing Inputs'!$P$32,IF(AND('3. GRI Pricing'!$F344&gt;='2. GRI Pricing Inputs'!$R$33,'3. GRI Pricing'!$F344&lt;='2. GRI Pricing Inputs'!$S$33),'2. GRI Pricing Inputs'!$R$32,IF(AND('3. GRI Pricing'!$F344&gt;='2. GRI Pricing Inputs'!$T$33,'3. GRI Pricing'!$F344&lt;='2. GRI Pricing Inputs'!$U$33),'2. GRI Pricing Inputs'!$T$32,IF(AND('3. GRI Pricing'!$F344&gt;='2. GRI Pricing Inputs'!$V$33,'3. GRI Pricing'!$F344&lt;='2. GRI Pricing Inputs'!$W$33),'2. GRI Pricing Inputs'!$V$32,IF(AND('3. GRI Pricing'!$F344&gt;='2. GRI Pricing Inputs'!$X$33,'3. GRI Pricing'!$F344&lt;='2. GRI Pricing Inputs'!$Y$33),'2. GRI Pricing Inputs'!$X$32,IF(AND('3. GRI Pricing'!$F344&gt;='2. GRI Pricing Inputs'!$Z$33,'3. GRI Pricing'!$F344&lt;='2. GRI Pricing Inputs'!$AA$33),'2. GRI Pricing Inputs'!$Z$32,IF(AND('3. GRI Pricing'!$F344&gt;='2. GRI Pricing Inputs'!$AB$33,'3. GRI Pricing'!$F344&lt;='2. GRI Pricing Inputs'!$AC$33),'2. GRI Pricing Inputs'!$AB$32,IF(AND('3. GRI Pricing'!$F344&gt;='2. GRI Pricing Inputs'!$AD$33,'3. GRI Pricing'!$F344&lt;='2. GRI Pricing Inputs'!$AE$33),'2. GRI Pricing Inputs'!$AD$32,IF(AND('3. GRI Pricing'!$F344&gt;='2. GRI Pricing Inputs'!$AF$33,'3. GRI Pricing'!$F344&lt;='2. GRI Pricing Inputs'!$AG$33),'2. GRI Pricing Inputs'!$AF$32,IF(AND('3. GRI Pricing'!$F344&gt;='2. GRI Pricing Inputs'!$AH$33,'3. GRI Pricing'!$F344&lt;='2. GRI Pricing Inputs'!$AI$33),'2. GRI Pricing Inputs'!$AH$32,0))))))))))))))))</f>
        <v>0</v>
      </c>
      <c r="N344" s="273" cm="1">
        <f t="array" ref="N344">IFERROR(INDEX('2. GRI Pricing Inputs'!$C$32:$AI$39,MATCH('3. GRI Pricing'!D344,'2. GRI Pricing Inputs'!$C$32:$C$39,0),(MATCH('3. GRI Pricing'!M344,'2. GRI Pricing Inputs'!$D$32:$AI$32,0)+1)),0)</f>
        <v>0</v>
      </c>
      <c r="O344" s="273">
        <f>IFERROR(INDEX('2. GRI Pricing Inputs'!$C$45:$AI$46,MATCH($O$16,'2. GRI Pricing Inputs'!$C$45:$C$46,0),MATCH(G344,'2. GRI Pricing Inputs'!$C$45:$AI$45,0)),0)</f>
        <v>0</v>
      </c>
      <c r="P344" s="273">
        <f>IFERROR(INDEX('2. GRI Pricing Inputs'!$C$53:$AI$54,MATCH('3. GRI Pricing'!$P$16,'2. GRI Pricing Inputs'!$C$53:$C$54,0),MATCH('3. GRI Pricing'!H344,'2. GRI Pricing Inputs'!$C$53:$AI$53,0)),0)</f>
        <v>0</v>
      </c>
      <c r="Q344" s="273">
        <f>IFERROR(INDEX('2. GRI Pricing Inputs'!$C$60:$AI$61,MATCH('3. GRI Pricing'!$Q$16,'2. GRI Pricing Inputs'!$C$60:$C$61,0),MATCH('1. Accomodation'!T348,'2. GRI Pricing Inputs'!$C$60:$AI$60,0)),0)</f>
        <v>0</v>
      </c>
      <c r="R344" s="273">
        <f>IFERROR(INDEX('2. GRI Pricing Inputs'!$C$67:$AI$68,MATCH('3. GRI Pricing'!$R$16,'2. GRI Pricing Inputs'!$C$67:$C$68,0),MATCH('1. Accomodation'!U348,'2. GRI Pricing Inputs'!$C$67:$AI$67,0)),0)</f>
        <v>0</v>
      </c>
      <c r="S344" s="273">
        <f>IF(D344=0,0,'2. GRI Pricing Inputs'!$AI$75)</f>
        <v>0</v>
      </c>
      <c r="T344" s="273">
        <f>IFERROR(INDEX('2. GRI Pricing Inputs'!$C$82:$AI$83,MATCH('3. GRI Pricing'!$T$16,'2. GRI Pricing Inputs'!$C$82:$C$83,0),MATCH('1. Accomodation'!V348,'2. GRI Pricing Inputs'!$C$82:$AI$82,0)),0)</f>
        <v>0</v>
      </c>
      <c r="U344" s="273">
        <f>IFERROR(INDEX('2. GRI Pricing Inputs'!$C$89:$AI$90,MATCH('3. GRI Pricing'!$U$16,'2. GRI Pricing Inputs'!$C$89:$C$90,0),MATCH('1. Accomodation'!W348,'2. GRI Pricing Inputs'!$C$89:$AI$89,0)),0)</f>
        <v>0</v>
      </c>
      <c r="V344" s="273">
        <f>IFERROR(INDEX('2. GRI Pricing Inputs'!$C$97:$AI$98,MATCH('3. GRI Pricing'!$V$16,'2. GRI Pricing Inputs'!$C$97:$C$98,0),MATCH('1. Accomodation'!X348,'2. GRI Pricing Inputs'!$C$97:$AI$97,0)),0)</f>
        <v>0</v>
      </c>
      <c r="W344" s="273">
        <f>IFERROR(INDEX('2. GRI Pricing Inputs'!$C$104:$AI$105,MATCH('3. GRI Pricing'!$W$16,'2. GRI Pricing Inputs'!$C$104:$C$105,0),MATCH('1. Accomodation'!Y348,'2. GRI Pricing Inputs'!$C$104:$AI$104,0)),0)</f>
        <v>0</v>
      </c>
      <c r="X344" s="274"/>
      <c r="Y344" s="275">
        <f t="shared" si="12"/>
        <v>0</v>
      </c>
      <c r="Z344" s="276"/>
      <c r="AA344" s="276"/>
      <c r="AB344" s="276"/>
      <c r="AC344" s="272">
        <f>Y344*(1+'2. GRI Pricing Inputs'!$D$114)^(($AC$16-$AB$15)/365)</f>
        <v>0</v>
      </c>
      <c r="AD344" s="273">
        <f>AC344*(1+'2. GRI Pricing Inputs'!$D$114)^((AD$16-AC$16)/365)</f>
        <v>0</v>
      </c>
      <c r="AE344" s="273">
        <f>AD344*(1+'2. GRI Pricing Inputs'!$D$114)^((AE$16-AD$16)/365)</f>
        <v>0</v>
      </c>
      <c r="AF344" s="273">
        <f>AE344*(1+'2. GRI Pricing Inputs'!$D$114)^((AF$16-AE$16)/365)</f>
        <v>0</v>
      </c>
      <c r="AG344" s="273">
        <f>AF344*(1+'2. GRI Pricing Inputs'!$D$114)^((AG$16-AF$16)/365)</f>
        <v>0</v>
      </c>
      <c r="AH344" s="273">
        <f>AG344*(1+'2. GRI Pricing Inputs'!$D$114)^((AH$16-AG$16)/365)</f>
        <v>0</v>
      </c>
      <c r="AI344" s="273">
        <f>AH344*(1+'2. GRI Pricing Inputs'!$D$114)^((AI$16-AH$16)/365)</f>
        <v>0</v>
      </c>
      <c r="AJ344" s="273">
        <f>AI344*(1+'2. GRI Pricing Inputs'!$D$114)^((AJ$16-AI$16)/365)</f>
        <v>0</v>
      </c>
      <c r="AK344" s="273">
        <f>AJ344*(1+'2. GRI Pricing Inputs'!$D$114)^((AK$16-AJ$16)/365)</f>
        <v>0</v>
      </c>
      <c r="AL344" s="273">
        <f>AK344*(1+'2. GRI Pricing Inputs'!$D$114)^((AL$16-AK$16)/365)</f>
        <v>0</v>
      </c>
      <c r="AM344" s="273">
        <f>AL344*(1+'2. GRI Pricing Inputs'!$D$114)^((AM$16-AL$16)/365)</f>
        <v>0</v>
      </c>
      <c r="AN344" s="273">
        <f>AM344*(1+'2. GRI Pricing Inputs'!$D$114)^((AN$16-AM$16)/365)</f>
        <v>0</v>
      </c>
      <c r="AO344" s="273">
        <f>AN344*(1+'2. GRI Pricing Inputs'!$D$114)^((AO$16-AN$16)/365)</f>
        <v>0</v>
      </c>
    </row>
    <row r="345" spans="3:41" ht="12" x14ac:dyDescent="0.2">
      <c r="C345" s="76">
        <f>'1. Accomodation'!N349</f>
        <v>0</v>
      </c>
      <c r="D345" s="69">
        <f>'1. Accomodation'!P349</f>
        <v>0</v>
      </c>
      <c r="E345" s="69">
        <f>'1. Accomodation'!Q349</f>
        <v>0</v>
      </c>
      <c r="F345" s="77">
        <f>'1. Accomodation'!O349</f>
        <v>0</v>
      </c>
      <c r="G345" s="69">
        <f>'1. Accomodation'!R349</f>
        <v>0</v>
      </c>
      <c r="H345" s="69">
        <f>'1. Accomodation'!S349</f>
        <v>0</v>
      </c>
      <c r="I345" s="62"/>
      <c r="K345" s="272">
        <f>IFERROR(INDEX('2. GRI Pricing Inputs'!$C$15:$AI$16,MATCH($K$16,'2. GRI Pricing Inputs'!$C$15:$C$16,0),MATCH(D345,'2. GRI Pricing Inputs'!$C$15:$AI$15,0)),0)</f>
        <v>0</v>
      </c>
      <c r="L345" s="273">
        <f>IFERROR(INDEX('2. GRI Pricing Inputs'!$C$22:$AI$23,MATCH($L$16,'2. GRI Pricing Inputs'!$C$22:$C$23,0),MATCH(E345,'2. GRI Pricing Inputs'!$C$22:$AI$22,0)),0)</f>
        <v>0</v>
      </c>
      <c r="M345" s="328">
        <f>IF(AND('3. GRI Pricing'!$F345&gt;='2. GRI Pricing Inputs'!$D$33,'3. GRI Pricing'!$F345&lt;='2. GRI Pricing Inputs'!$E$33),'2. GRI Pricing Inputs'!$D$32,IF(AND('3. GRI Pricing'!$F345&gt;='2. GRI Pricing Inputs'!$F$33,'3. GRI Pricing'!$F345&lt;='2. GRI Pricing Inputs'!$G$33),'2. GRI Pricing Inputs'!$F$32,IF(AND('3. GRI Pricing'!$F345&gt;='2. GRI Pricing Inputs'!$H$33,'3. GRI Pricing'!$F345&lt;='2. GRI Pricing Inputs'!$I$33),'2. GRI Pricing Inputs'!$H$32,IF(AND('3. GRI Pricing'!$F345&gt;='2. GRI Pricing Inputs'!$J$33,'3. GRI Pricing'!$F345&lt;='2. GRI Pricing Inputs'!$K$33),'2. GRI Pricing Inputs'!$J$32,IF(AND('3. GRI Pricing'!$F345&gt;='2. GRI Pricing Inputs'!$L$33,'3. GRI Pricing'!$F345&lt;='2. GRI Pricing Inputs'!$M$33),'2. GRI Pricing Inputs'!$L$32,IF(AND('3. GRI Pricing'!$F345&gt;='2. GRI Pricing Inputs'!$N$33,'3. GRI Pricing'!$F345&lt;='2. GRI Pricing Inputs'!$O$33),'2. GRI Pricing Inputs'!$N$32,IF(AND('3. GRI Pricing'!$F345&gt;='2. GRI Pricing Inputs'!$P$33,'3. GRI Pricing'!$F345&lt;='2. GRI Pricing Inputs'!$Q$33),'2. GRI Pricing Inputs'!$P$32,IF(AND('3. GRI Pricing'!$F345&gt;='2. GRI Pricing Inputs'!$R$33,'3. GRI Pricing'!$F345&lt;='2. GRI Pricing Inputs'!$S$33),'2. GRI Pricing Inputs'!$R$32,IF(AND('3. GRI Pricing'!$F345&gt;='2. GRI Pricing Inputs'!$T$33,'3. GRI Pricing'!$F345&lt;='2. GRI Pricing Inputs'!$U$33),'2. GRI Pricing Inputs'!$T$32,IF(AND('3. GRI Pricing'!$F345&gt;='2. GRI Pricing Inputs'!$V$33,'3. GRI Pricing'!$F345&lt;='2. GRI Pricing Inputs'!$W$33),'2. GRI Pricing Inputs'!$V$32,IF(AND('3. GRI Pricing'!$F345&gt;='2. GRI Pricing Inputs'!$X$33,'3. GRI Pricing'!$F345&lt;='2. GRI Pricing Inputs'!$Y$33),'2. GRI Pricing Inputs'!$X$32,IF(AND('3. GRI Pricing'!$F345&gt;='2. GRI Pricing Inputs'!$Z$33,'3. GRI Pricing'!$F345&lt;='2. GRI Pricing Inputs'!$AA$33),'2. GRI Pricing Inputs'!$Z$32,IF(AND('3. GRI Pricing'!$F345&gt;='2. GRI Pricing Inputs'!$AB$33,'3. GRI Pricing'!$F345&lt;='2. GRI Pricing Inputs'!$AC$33),'2. GRI Pricing Inputs'!$AB$32,IF(AND('3. GRI Pricing'!$F345&gt;='2. GRI Pricing Inputs'!$AD$33,'3. GRI Pricing'!$F345&lt;='2. GRI Pricing Inputs'!$AE$33),'2. GRI Pricing Inputs'!$AD$32,IF(AND('3. GRI Pricing'!$F345&gt;='2. GRI Pricing Inputs'!$AF$33,'3. GRI Pricing'!$F345&lt;='2. GRI Pricing Inputs'!$AG$33),'2. GRI Pricing Inputs'!$AF$32,IF(AND('3. GRI Pricing'!$F345&gt;='2. GRI Pricing Inputs'!$AH$33,'3. GRI Pricing'!$F345&lt;='2. GRI Pricing Inputs'!$AI$33),'2. GRI Pricing Inputs'!$AH$32,0))))))))))))))))</f>
        <v>0</v>
      </c>
      <c r="N345" s="273" cm="1">
        <f t="array" ref="N345">IFERROR(INDEX('2. GRI Pricing Inputs'!$C$32:$AI$39,MATCH('3. GRI Pricing'!D345,'2. GRI Pricing Inputs'!$C$32:$C$39,0),(MATCH('3. GRI Pricing'!M345,'2. GRI Pricing Inputs'!$D$32:$AI$32,0)+1)),0)</f>
        <v>0</v>
      </c>
      <c r="O345" s="273">
        <f>IFERROR(INDEX('2. GRI Pricing Inputs'!$C$45:$AI$46,MATCH($O$16,'2. GRI Pricing Inputs'!$C$45:$C$46,0),MATCH(G345,'2. GRI Pricing Inputs'!$C$45:$AI$45,0)),0)</f>
        <v>0</v>
      </c>
      <c r="P345" s="273">
        <f>IFERROR(INDEX('2. GRI Pricing Inputs'!$C$53:$AI$54,MATCH('3. GRI Pricing'!$P$16,'2. GRI Pricing Inputs'!$C$53:$C$54,0),MATCH('3. GRI Pricing'!H345,'2. GRI Pricing Inputs'!$C$53:$AI$53,0)),0)</f>
        <v>0</v>
      </c>
      <c r="Q345" s="273">
        <f>IFERROR(INDEX('2. GRI Pricing Inputs'!$C$60:$AI$61,MATCH('3. GRI Pricing'!$Q$16,'2. GRI Pricing Inputs'!$C$60:$C$61,0),MATCH('1. Accomodation'!T349,'2. GRI Pricing Inputs'!$C$60:$AI$60,0)),0)</f>
        <v>0</v>
      </c>
      <c r="R345" s="273">
        <f>IFERROR(INDEX('2. GRI Pricing Inputs'!$C$67:$AI$68,MATCH('3. GRI Pricing'!$R$16,'2. GRI Pricing Inputs'!$C$67:$C$68,0),MATCH('1. Accomodation'!U349,'2. GRI Pricing Inputs'!$C$67:$AI$67,0)),0)</f>
        <v>0</v>
      </c>
      <c r="S345" s="273">
        <f>IF(D345=0,0,'2. GRI Pricing Inputs'!$AI$75)</f>
        <v>0</v>
      </c>
      <c r="T345" s="273">
        <f>IFERROR(INDEX('2. GRI Pricing Inputs'!$C$82:$AI$83,MATCH('3. GRI Pricing'!$T$16,'2. GRI Pricing Inputs'!$C$82:$C$83,0),MATCH('1. Accomodation'!V349,'2. GRI Pricing Inputs'!$C$82:$AI$82,0)),0)</f>
        <v>0</v>
      </c>
      <c r="U345" s="273">
        <f>IFERROR(INDEX('2. GRI Pricing Inputs'!$C$89:$AI$90,MATCH('3. GRI Pricing'!$U$16,'2. GRI Pricing Inputs'!$C$89:$C$90,0),MATCH('1. Accomodation'!W349,'2. GRI Pricing Inputs'!$C$89:$AI$89,0)),0)</f>
        <v>0</v>
      </c>
      <c r="V345" s="273">
        <f>IFERROR(INDEX('2. GRI Pricing Inputs'!$C$97:$AI$98,MATCH('3. GRI Pricing'!$V$16,'2. GRI Pricing Inputs'!$C$97:$C$98,0),MATCH('1. Accomodation'!X349,'2. GRI Pricing Inputs'!$C$97:$AI$97,0)),0)</f>
        <v>0</v>
      </c>
      <c r="W345" s="273">
        <f>IFERROR(INDEX('2. GRI Pricing Inputs'!$C$104:$AI$105,MATCH('3. GRI Pricing'!$W$16,'2. GRI Pricing Inputs'!$C$104:$C$105,0),MATCH('1. Accomodation'!Y349,'2. GRI Pricing Inputs'!$C$104:$AI$104,0)),0)</f>
        <v>0</v>
      </c>
      <c r="X345" s="274"/>
      <c r="Y345" s="275">
        <f t="shared" si="12"/>
        <v>0</v>
      </c>
      <c r="Z345" s="276"/>
      <c r="AA345" s="276"/>
      <c r="AB345" s="276"/>
      <c r="AC345" s="272">
        <f>Y345*(1+'2. GRI Pricing Inputs'!$D$114)^(($AC$16-$AB$15)/365)</f>
        <v>0</v>
      </c>
      <c r="AD345" s="273">
        <f>AC345*(1+'2. GRI Pricing Inputs'!$D$114)^((AD$16-AC$16)/365)</f>
        <v>0</v>
      </c>
      <c r="AE345" s="273">
        <f>AD345*(1+'2. GRI Pricing Inputs'!$D$114)^((AE$16-AD$16)/365)</f>
        <v>0</v>
      </c>
      <c r="AF345" s="273">
        <f>AE345*(1+'2. GRI Pricing Inputs'!$D$114)^((AF$16-AE$16)/365)</f>
        <v>0</v>
      </c>
      <c r="AG345" s="273">
        <f>AF345*(1+'2. GRI Pricing Inputs'!$D$114)^((AG$16-AF$16)/365)</f>
        <v>0</v>
      </c>
      <c r="AH345" s="273">
        <f>AG345*(1+'2. GRI Pricing Inputs'!$D$114)^((AH$16-AG$16)/365)</f>
        <v>0</v>
      </c>
      <c r="AI345" s="273">
        <f>AH345*(1+'2. GRI Pricing Inputs'!$D$114)^((AI$16-AH$16)/365)</f>
        <v>0</v>
      </c>
      <c r="AJ345" s="273">
        <f>AI345*(1+'2. GRI Pricing Inputs'!$D$114)^((AJ$16-AI$16)/365)</f>
        <v>0</v>
      </c>
      <c r="AK345" s="273">
        <f>AJ345*(1+'2. GRI Pricing Inputs'!$D$114)^((AK$16-AJ$16)/365)</f>
        <v>0</v>
      </c>
      <c r="AL345" s="273">
        <f>AK345*(1+'2. GRI Pricing Inputs'!$D$114)^((AL$16-AK$16)/365)</f>
        <v>0</v>
      </c>
      <c r="AM345" s="273">
        <f>AL345*(1+'2. GRI Pricing Inputs'!$D$114)^((AM$16-AL$16)/365)</f>
        <v>0</v>
      </c>
      <c r="AN345" s="273">
        <f>AM345*(1+'2. GRI Pricing Inputs'!$D$114)^((AN$16-AM$16)/365)</f>
        <v>0</v>
      </c>
      <c r="AO345" s="273">
        <f>AN345*(1+'2. GRI Pricing Inputs'!$D$114)^((AO$16-AN$16)/365)</f>
        <v>0</v>
      </c>
    </row>
    <row r="346" spans="3:41" ht="12" x14ac:dyDescent="0.2">
      <c r="C346" s="76">
        <f>'1. Accomodation'!N350</f>
        <v>0</v>
      </c>
      <c r="D346" s="69">
        <f>'1. Accomodation'!P350</f>
        <v>0</v>
      </c>
      <c r="E346" s="69">
        <f>'1. Accomodation'!Q350</f>
        <v>0</v>
      </c>
      <c r="F346" s="77">
        <f>'1. Accomodation'!O350</f>
        <v>0</v>
      </c>
      <c r="G346" s="69">
        <f>'1. Accomodation'!R350</f>
        <v>0</v>
      </c>
      <c r="H346" s="69">
        <f>'1. Accomodation'!S350</f>
        <v>0</v>
      </c>
      <c r="I346" s="62"/>
      <c r="K346" s="272">
        <f>IFERROR(INDEX('2. GRI Pricing Inputs'!$C$15:$AI$16,MATCH($K$16,'2. GRI Pricing Inputs'!$C$15:$C$16,0),MATCH(D346,'2. GRI Pricing Inputs'!$C$15:$AI$15,0)),0)</f>
        <v>0</v>
      </c>
      <c r="L346" s="273">
        <f>IFERROR(INDEX('2. GRI Pricing Inputs'!$C$22:$AI$23,MATCH($L$16,'2. GRI Pricing Inputs'!$C$22:$C$23,0),MATCH(E346,'2. GRI Pricing Inputs'!$C$22:$AI$22,0)),0)</f>
        <v>0</v>
      </c>
      <c r="M346" s="328">
        <f>IF(AND('3. GRI Pricing'!$F346&gt;='2. GRI Pricing Inputs'!$D$33,'3. GRI Pricing'!$F346&lt;='2. GRI Pricing Inputs'!$E$33),'2. GRI Pricing Inputs'!$D$32,IF(AND('3. GRI Pricing'!$F346&gt;='2. GRI Pricing Inputs'!$F$33,'3. GRI Pricing'!$F346&lt;='2. GRI Pricing Inputs'!$G$33),'2. GRI Pricing Inputs'!$F$32,IF(AND('3. GRI Pricing'!$F346&gt;='2. GRI Pricing Inputs'!$H$33,'3. GRI Pricing'!$F346&lt;='2. GRI Pricing Inputs'!$I$33),'2. GRI Pricing Inputs'!$H$32,IF(AND('3. GRI Pricing'!$F346&gt;='2. GRI Pricing Inputs'!$J$33,'3. GRI Pricing'!$F346&lt;='2. GRI Pricing Inputs'!$K$33),'2. GRI Pricing Inputs'!$J$32,IF(AND('3. GRI Pricing'!$F346&gt;='2. GRI Pricing Inputs'!$L$33,'3. GRI Pricing'!$F346&lt;='2. GRI Pricing Inputs'!$M$33),'2. GRI Pricing Inputs'!$L$32,IF(AND('3. GRI Pricing'!$F346&gt;='2. GRI Pricing Inputs'!$N$33,'3. GRI Pricing'!$F346&lt;='2. GRI Pricing Inputs'!$O$33),'2. GRI Pricing Inputs'!$N$32,IF(AND('3. GRI Pricing'!$F346&gt;='2. GRI Pricing Inputs'!$P$33,'3. GRI Pricing'!$F346&lt;='2. GRI Pricing Inputs'!$Q$33),'2. GRI Pricing Inputs'!$P$32,IF(AND('3. GRI Pricing'!$F346&gt;='2. GRI Pricing Inputs'!$R$33,'3. GRI Pricing'!$F346&lt;='2. GRI Pricing Inputs'!$S$33),'2. GRI Pricing Inputs'!$R$32,IF(AND('3. GRI Pricing'!$F346&gt;='2. GRI Pricing Inputs'!$T$33,'3. GRI Pricing'!$F346&lt;='2. GRI Pricing Inputs'!$U$33),'2. GRI Pricing Inputs'!$T$32,IF(AND('3. GRI Pricing'!$F346&gt;='2. GRI Pricing Inputs'!$V$33,'3. GRI Pricing'!$F346&lt;='2. GRI Pricing Inputs'!$W$33),'2. GRI Pricing Inputs'!$V$32,IF(AND('3. GRI Pricing'!$F346&gt;='2. GRI Pricing Inputs'!$X$33,'3. GRI Pricing'!$F346&lt;='2. GRI Pricing Inputs'!$Y$33),'2. GRI Pricing Inputs'!$X$32,IF(AND('3. GRI Pricing'!$F346&gt;='2. GRI Pricing Inputs'!$Z$33,'3. GRI Pricing'!$F346&lt;='2. GRI Pricing Inputs'!$AA$33),'2. GRI Pricing Inputs'!$Z$32,IF(AND('3. GRI Pricing'!$F346&gt;='2. GRI Pricing Inputs'!$AB$33,'3. GRI Pricing'!$F346&lt;='2. GRI Pricing Inputs'!$AC$33),'2. GRI Pricing Inputs'!$AB$32,IF(AND('3. GRI Pricing'!$F346&gt;='2. GRI Pricing Inputs'!$AD$33,'3. GRI Pricing'!$F346&lt;='2. GRI Pricing Inputs'!$AE$33),'2. GRI Pricing Inputs'!$AD$32,IF(AND('3. GRI Pricing'!$F346&gt;='2. GRI Pricing Inputs'!$AF$33,'3. GRI Pricing'!$F346&lt;='2. GRI Pricing Inputs'!$AG$33),'2. GRI Pricing Inputs'!$AF$32,IF(AND('3. GRI Pricing'!$F346&gt;='2. GRI Pricing Inputs'!$AH$33,'3. GRI Pricing'!$F346&lt;='2. GRI Pricing Inputs'!$AI$33),'2. GRI Pricing Inputs'!$AH$32,0))))))))))))))))</f>
        <v>0</v>
      </c>
      <c r="N346" s="273" cm="1">
        <f t="array" ref="N346">IFERROR(INDEX('2. GRI Pricing Inputs'!$C$32:$AI$39,MATCH('3. GRI Pricing'!D346,'2. GRI Pricing Inputs'!$C$32:$C$39,0),(MATCH('3. GRI Pricing'!M346,'2. GRI Pricing Inputs'!$D$32:$AI$32,0)+1)),0)</f>
        <v>0</v>
      </c>
      <c r="O346" s="273">
        <f>IFERROR(INDEX('2. GRI Pricing Inputs'!$C$45:$AI$46,MATCH($O$16,'2. GRI Pricing Inputs'!$C$45:$C$46,0),MATCH(G346,'2. GRI Pricing Inputs'!$C$45:$AI$45,0)),0)</f>
        <v>0</v>
      </c>
      <c r="P346" s="273">
        <f>IFERROR(INDEX('2. GRI Pricing Inputs'!$C$53:$AI$54,MATCH('3. GRI Pricing'!$P$16,'2. GRI Pricing Inputs'!$C$53:$C$54,0),MATCH('3. GRI Pricing'!H346,'2. GRI Pricing Inputs'!$C$53:$AI$53,0)),0)</f>
        <v>0</v>
      </c>
      <c r="Q346" s="273">
        <f>IFERROR(INDEX('2. GRI Pricing Inputs'!$C$60:$AI$61,MATCH('3. GRI Pricing'!$Q$16,'2. GRI Pricing Inputs'!$C$60:$C$61,0),MATCH('1. Accomodation'!T350,'2. GRI Pricing Inputs'!$C$60:$AI$60,0)),0)</f>
        <v>0</v>
      </c>
      <c r="R346" s="273">
        <f>IFERROR(INDEX('2. GRI Pricing Inputs'!$C$67:$AI$68,MATCH('3. GRI Pricing'!$R$16,'2. GRI Pricing Inputs'!$C$67:$C$68,0),MATCH('1. Accomodation'!U350,'2. GRI Pricing Inputs'!$C$67:$AI$67,0)),0)</f>
        <v>0</v>
      </c>
      <c r="S346" s="273">
        <f>IF(D346=0,0,'2. GRI Pricing Inputs'!$AI$75)</f>
        <v>0</v>
      </c>
      <c r="T346" s="273">
        <f>IFERROR(INDEX('2. GRI Pricing Inputs'!$C$82:$AI$83,MATCH('3. GRI Pricing'!$T$16,'2. GRI Pricing Inputs'!$C$82:$C$83,0),MATCH('1. Accomodation'!V350,'2. GRI Pricing Inputs'!$C$82:$AI$82,0)),0)</f>
        <v>0</v>
      </c>
      <c r="U346" s="273">
        <f>IFERROR(INDEX('2. GRI Pricing Inputs'!$C$89:$AI$90,MATCH('3. GRI Pricing'!$U$16,'2. GRI Pricing Inputs'!$C$89:$C$90,0),MATCH('1. Accomodation'!W350,'2. GRI Pricing Inputs'!$C$89:$AI$89,0)),0)</f>
        <v>0</v>
      </c>
      <c r="V346" s="273">
        <f>IFERROR(INDEX('2. GRI Pricing Inputs'!$C$97:$AI$98,MATCH('3. GRI Pricing'!$V$16,'2. GRI Pricing Inputs'!$C$97:$C$98,0),MATCH('1. Accomodation'!X350,'2. GRI Pricing Inputs'!$C$97:$AI$97,0)),0)</f>
        <v>0</v>
      </c>
      <c r="W346" s="273">
        <f>IFERROR(INDEX('2. GRI Pricing Inputs'!$C$104:$AI$105,MATCH('3. GRI Pricing'!$W$16,'2. GRI Pricing Inputs'!$C$104:$C$105,0),MATCH('1. Accomodation'!Y350,'2. GRI Pricing Inputs'!$C$104:$AI$104,0)),0)</f>
        <v>0</v>
      </c>
      <c r="X346" s="274"/>
      <c r="Y346" s="275">
        <f t="shared" si="12"/>
        <v>0</v>
      </c>
      <c r="Z346" s="276"/>
      <c r="AA346" s="276"/>
      <c r="AB346" s="276"/>
      <c r="AC346" s="272">
        <f>Y346*(1+'2. GRI Pricing Inputs'!$D$114)^(($AC$16-$AB$15)/365)</f>
        <v>0</v>
      </c>
      <c r="AD346" s="273">
        <f>AC346*(1+'2. GRI Pricing Inputs'!$D$114)^((AD$16-AC$16)/365)</f>
        <v>0</v>
      </c>
      <c r="AE346" s="273">
        <f>AD346*(1+'2. GRI Pricing Inputs'!$D$114)^((AE$16-AD$16)/365)</f>
        <v>0</v>
      </c>
      <c r="AF346" s="273">
        <f>AE346*(1+'2. GRI Pricing Inputs'!$D$114)^((AF$16-AE$16)/365)</f>
        <v>0</v>
      </c>
      <c r="AG346" s="273">
        <f>AF346*(1+'2. GRI Pricing Inputs'!$D$114)^((AG$16-AF$16)/365)</f>
        <v>0</v>
      </c>
      <c r="AH346" s="273">
        <f>AG346*(1+'2. GRI Pricing Inputs'!$D$114)^((AH$16-AG$16)/365)</f>
        <v>0</v>
      </c>
      <c r="AI346" s="273">
        <f>AH346*(1+'2. GRI Pricing Inputs'!$D$114)^((AI$16-AH$16)/365)</f>
        <v>0</v>
      </c>
      <c r="AJ346" s="273">
        <f>AI346*(1+'2. GRI Pricing Inputs'!$D$114)^((AJ$16-AI$16)/365)</f>
        <v>0</v>
      </c>
      <c r="AK346" s="273">
        <f>AJ346*(1+'2. GRI Pricing Inputs'!$D$114)^((AK$16-AJ$16)/365)</f>
        <v>0</v>
      </c>
      <c r="AL346" s="273">
        <f>AK346*(1+'2. GRI Pricing Inputs'!$D$114)^((AL$16-AK$16)/365)</f>
        <v>0</v>
      </c>
      <c r="AM346" s="273">
        <f>AL346*(1+'2. GRI Pricing Inputs'!$D$114)^((AM$16-AL$16)/365)</f>
        <v>0</v>
      </c>
      <c r="AN346" s="273">
        <f>AM346*(1+'2. GRI Pricing Inputs'!$D$114)^((AN$16-AM$16)/365)</f>
        <v>0</v>
      </c>
      <c r="AO346" s="273">
        <f>AN346*(1+'2. GRI Pricing Inputs'!$D$114)^((AO$16-AN$16)/365)</f>
        <v>0</v>
      </c>
    </row>
    <row r="347" spans="3:41" ht="12" x14ac:dyDescent="0.2">
      <c r="C347" s="76">
        <f>'1. Accomodation'!N351</f>
        <v>0</v>
      </c>
      <c r="D347" s="69">
        <f>'1. Accomodation'!P351</f>
        <v>0</v>
      </c>
      <c r="E347" s="69">
        <f>'1. Accomodation'!Q351</f>
        <v>0</v>
      </c>
      <c r="F347" s="77">
        <f>'1. Accomodation'!O351</f>
        <v>0</v>
      </c>
      <c r="G347" s="69">
        <f>'1. Accomodation'!R351</f>
        <v>0</v>
      </c>
      <c r="H347" s="69">
        <f>'1. Accomodation'!S351</f>
        <v>0</v>
      </c>
      <c r="I347" s="62"/>
      <c r="K347" s="272">
        <f>IFERROR(INDEX('2. GRI Pricing Inputs'!$C$15:$AI$16,MATCH($K$16,'2. GRI Pricing Inputs'!$C$15:$C$16,0),MATCH(D347,'2. GRI Pricing Inputs'!$C$15:$AI$15,0)),0)</f>
        <v>0</v>
      </c>
      <c r="L347" s="273">
        <f>IFERROR(INDEX('2. GRI Pricing Inputs'!$C$22:$AI$23,MATCH($L$16,'2. GRI Pricing Inputs'!$C$22:$C$23,0),MATCH(E347,'2. GRI Pricing Inputs'!$C$22:$AI$22,0)),0)</f>
        <v>0</v>
      </c>
      <c r="M347" s="328">
        <f>IF(AND('3. GRI Pricing'!$F347&gt;='2. GRI Pricing Inputs'!$D$33,'3. GRI Pricing'!$F347&lt;='2. GRI Pricing Inputs'!$E$33),'2. GRI Pricing Inputs'!$D$32,IF(AND('3. GRI Pricing'!$F347&gt;='2. GRI Pricing Inputs'!$F$33,'3. GRI Pricing'!$F347&lt;='2. GRI Pricing Inputs'!$G$33),'2. GRI Pricing Inputs'!$F$32,IF(AND('3. GRI Pricing'!$F347&gt;='2. GRI Pricing Inputs'!$H$33,'3. GRI Pricing'!$F347&lt;='2. GRI Pricing Inputs'!$I$33),'2. GRI Pricing Inputs'!$H$32,IF(AND('3. GRI Pricing'!$F347&gt;='2. GRI Pricing Inputs'!$J$33,'3. GRI Pricing'!$F347&lt;='2. GRI Pricing Inputs'!$K$33),'2. GRI Pricing Inputs'!$J$32,IF(AND('3. GRI Pricing'!$F347&gt;='2. GRI Pricing Inputs'!$L$33,'3. GRI Pricing'!$F347&lt;='2. GRI Pricing Inputs'!$M$33),'2. GRI Pricing Inputs'!$L$32,IF(AND('3. GRI Pricing'!$F347&gt;='2. GRI Pricing Inputs'!$N$33,'3. GRI Pricing'!$F347&lt;='2. GRI Pricing Inputs'!$O$33),'2. GRI Pricing Inputs'!$N$32,IF(AND('3. GRI Pricing'!$F347&gt;='2. GRI Pricing Inputs'!$P$33,'3. GRI Pricing'!$F347&lt;='2. GRI Pricing Inputs'!$Q$33),'2. GRI Pricing Inputs'!$P$32,IF(AND('3. GRI Pricing'!$F347&gt;='2. GRI Pricing Inputs'!$R$33,'3. GRI Pricing'!$F347&lt;='2. GRI Pricing Inputs'!$S$33),'2. GRI Pricing Inputs'!$R$32,IF(AND('3. GRI Pricing'!$F347&gt;='2. GRI Pricing Inputs'!$T$33,'3. GRI Pricing'!$F347&lt;='2. GRI Pricing Inputs'!$U$33),'2. GRI Pricing Inputs'!$T$32,IF(AND('3. GRI Pricing'!$F347&gt;='2. GRI Pricing Inputs'!$V$33,'3. GRI Pricing'!$F347&lt;='2. GRI Pricing Inputs'!$W$33),'2. GRI Pricing Inputs'!$V$32,IF(AND('3. GRI Pricing'!$F347&gt;='2. GRI Pricing Inputs'!$X$33,'3. GRI Pricing'!$F347&lt;='2. GRI Pricing Inputs'!$Y$33),'2. GRI Pricing Inputs'!$X$32,IF(AND('3. GRI Pricing'!$F347&gt;='2. GRI Pricing Inputs'!$Z$33,'3. GRI Pricing'!$F347&lt;='2. GRI Pricing Inputs'!$AA$33),'2. GRI Pricing Inputs'!$Z$32,IF(AND('3. GRI Pricing'!$F347&gt;='2. GRI Pricing Inputs'!$AB$33,'3. GRI Pricing'!$F347&lt;='2. GRI Pricing Inputs'!$AC$33),'2. GRI Pricing Inputs'!$AB$32,IF(AND('3. GRI Pricing'!$F347&gt;='2. GRI Pricing Inputs'!$AD$33,'3. GRI Pricing'!$F347&lt;='2. GRI Pricing Inputs'!$AE$33),'2. GRI Pricing Inputs'!$AD$32,IF(AND('3. GRI Pricing'!$F347&gt;='2. GRI Pricing Inputs'!$AF$33,'3. GRI Pricing'!$F347&lt;='2. GRI Pricing Inputs'!$AG$33),'2. GRI Pricing Inputs'!$AF$32,IF(AND('3. GRI Pricing'!$F347&gt;='2. GRI Pricing Inputs'!$AH$33,'3. GRI Pricing'!$F347&lt;='2. GRI Pricing Inputs'!$AI$33),'2. GRI Pricing Inputs'!$AH$32,0))))))))))))))))</f>
        <v>0</v>
      </c>
      <c r="N347" s="273" cm="1">
        <f t="array" ref="N347">IFERROR(INDEX('2. GRI Pricing Inputs'!$C$32:$AI$39,MATCH('3. GRI Pricing'!D347,'2. GRI Pricing Inputs'!$C$32:$C$39,0),(MATCH('3. GRI Pricing'!M347,'2. GRI Pricing Inputs'!$D$32:$AI$32,0)+1)),0)</f>
        <v>0</v>
      </c>
      <c r="O347" s="273">
        <f>IFERROR(INDEX('2. GRI Pricing Inputs'!$C$45:$AI$46,MATCH($O$16,'2. GRI Pricing Inputs'!$C$45:$C$46,0),MATCH(G347,'2. GRI Pricing Inputs'!$C$45:$AI$45,0)),0)</f>
        <v>0</v>
      </c>
      <c r="P347" s="273">
        <f>IFERROR(INDEX('2. GRI Pricing Inputs'!$C$53:$AI$54,MATCH('3. GRI Pricing'!$P$16,'2. GRI Pricing Inputs'!$C$53:$C$54,0),MATCH('3. GRI Pricing'!H347,'2. GRI Pricing Inputs'!$C$53:$AI$53,0)),0)</f>
        <v>0</v>
      </c>
      <c r="Q347" s="273">
        <f>IFERROR(INDEX('2. GRI Pricing Inputs'!$C$60:$AI$61,MATCH('3. GRI Pricing'!$Q$16,'2. GRI Pricing Inputs'!$C$60:$C$61,0),MATCH('1. Accomodation'!T351,'2. GRI Pricing Inputs'!$C$60:$AI$60,0)),0)</f>
        <v>0</v>
      </c>
      <c r="R347" s="273">
        <f>IFERROR(INDEX('2. GRI Pricing Inputs'!$C$67:$AI$68,MATCH('3. GRI Pricing'!$R$16,'2. GRI Pricing Inputs'!$C$67:$C$68,0),MATCH('1. Accomodation'!U351,'2. GRI Pricing Inputs'!$C$67:$AI$67,0)),0)</f>
        <v>0</v>
      </c>
      <c r="S347" s="273">
        <f>IF(D347=0,0,'2. GRI Pricing Inputs'!$AI$75)</f>
        <v>0</v>
      </c>
      <c r="T347" s="273">
        <f>IFERROR(INDEX('2. GRI Pricing Inputs'!$C$82:$AI$83,MATCH('3. GRI Pricing'!$T$16,'2. GRI Pricing Inputs'!$C$82:$C$83,0),MATCH('1. Accomodation'!V351,'2. GRI Pricing Inputs'!$C$82:$AI$82,0)),0)</f>
        <v>0</v>
      </c>
      <c r="U347" s="273">
        <f>IFERROR(INDEX('2. GRI Pricing Inputs'!$C$89:$AI$90,MATCH('3. GRI Pricing'!$U$16,'2. GRI Pricing Inputs'!$C$89:$C$90,0),MATCH('1. Accomodation'!W351,'2. GRI Pricing Inputs'!$C$89:$AI$89,0)),0)</f>
        <v>0</v>
      </c>
      <c r="V347" s="273">
        <f>IFERROR(INDEX('2. GRI Pricing Inputs'!$C$97:$AI$98,MATCH('3. GRI Pricing'!$V$16,'2. GRI Pricing Inputs'!$C$97:$C$98,0),MATCH('1. Accomodation'!X351,'2. GRI Pricing Inputs'!$C$97:$AI$97,0)),0)</f>
        <v>0</v>
      </c>
      <c r="W347" s="273">
        <f>IFERROR(INDEX('2. GRI Pricing Inputs'!$C$104:$AI$105,MATCH('3. GRI Pricing'!$W$16,'2. GRI Pricing Inputs'!$C$104:$C$105,0),MATCH('1. Accomodation'!Y351,'2. GRI Pricing Inputs'!$C$104:$AI$104,0)),0)</f>
        <v>0</v>
      </c>
      <c r="X347" s="274"/>
      <c r="Y347" s="275">
        <f t="shared" si="12"/>
        <v>0</v>
      </c>
      <c r="Z347" s="276"/>
      <c r="AA347" s="276"/>
      <c r="AB347" s="276"/>
      <c r="AC347" s="272">
        <f>Y347*(1+'2. GRI Pricing Inputs'!$D$114)^(($AC$16-$AB$15)/365)</f>
        <v>0</v>
      </c>
      <c r="AD347" s="273">
        <f>AC347*(1+'2. GRI Pricing Inputs'!$D$114)^((AD$16-AC$16)/365)</f>
        <v>0</v>
      </c>
      <c r="AE347" s="273">
        <f>AD347*(1+'2. GRI Pricing Inputs'!$D$114)^((AE$16-AD$16)/365)</f>
        <v>0</v>
      </c>
      <c r="AF347" s="273">
        <f>AE347*(1+'2. GRI Pricing Inputs'!$D$114)^((AF$16-AE$16)/365)</f>
        <v>0</v>
      </c>
      <c r="AG347" s="273">
        <f>AF347*(1+'2. GRI Pricing Inputs'!$D$114)^((AG$16-AF$16)/365)</f>
        <v>0</v>
      </c>
      <c r="AH347" s="273">
        <f>AG347*(1+'2. GRI Pricing Inputs'!$D$114)^((AH$16-AG$16)/365)</f>
        <v>0</v>
      </c>
      <c r="AI347" s="273">
        <f>AH347*(1+'2. GRI Pricing Inputs'!$D$114)^((AI$16-AH$16)/365)</f>
        <v>0</v>
      </c>
      <c r="AJ347" s="273">
        <f>AI347*(1+'2. GRI Pricing Inputs'!$D$114)^((AJ$16-AI$16)/365)</f>
        <v>0</v>
      </c>
      <c r="AK347" s="273">
        <f>AJ347*(1+'2. GRI Pricing Inputs'!$D$114)^((AK$16-AJ$16)/365)</f>
        <v>0</v>
      </c>
      <c r="AL347" s="273">
        <f>AK347*(1+'2. GRI Pricing Inputs'!$D$114)^((AL$16-AK$16)/365)</f>
        <v>0</v>
      </c>
      <c r="AM347" s="273">
        <f>AL347*(1+'2. GRI Pricing Inputs'!$D$114)^((AM$16-AL$16)/365)</f>
        <v>0</v>
      </c>
      <c r="AN347" s="273">
        <f>AM347*(1+'2. GRI Pricing Inputs'!$D$114)^((AN$16-AM$16)/365)</f>
        <v>0</v>
      </c>
      <c r="AO347" s="273">
        <f>AN347*(1+'2. GRI Pricing Inputs'!$D$114)^((AO$16-AN$16)/365)</f>
        <v>0</v>
      </c>
    </row>
    <row r="348" spans="3:41" ht="12" x14ac:dyDescent="0.2">
      <c r="C348" s="76">
        <f>'1. Accomodation'!N352</f>
        <v>0</v>
      </c>
      <c r="D348" s="69">
        <f>'1. Accomodation'!P352</f>
        <v>0</v>
      </c>
      <c r="E348" s="69">
        <f>'1. Accomodation'!Q352</f>
        <v>0</v>
      </c>
      <c r="F348" s="77">
        <f>'1. Accomodation'!O352</f>
        <v>0</v>
      </c>
      <c r="G348" s="69">
        <f>'1. Accomodation'!R352</f>
        <v>0</v>
      </c>
      <c r="H348" s="69">
        <f>'1. Accomodation'!S352</f>
        <v>0</v>
      </c>
      <c r="I348" s="62"/>
      <c r="K348" s="272">
        <f>IFERROR(INDEX('2. GRI Pricing Inputs'!$C$15:$AI$16,MATCH($K$16,'2. GRI Pricing Inputs'!$C$15:$C$16,0),MATCH(D348,'2. GRI Pricing Inputs'!$C$15:$AI$15,0)),0)</f>
        <v>0</v>
      </c>
      <c r="L348" s="273">
        <f>IFERROR(INDEX('2. GRI Pricing Inputs'!$C$22:$AI$23,MATCH($L$16,'2. GRI Pricing Inputs'!$C$22:$C$23,0),MATCH(E348,'2. GRI Pricing Inputs'!$C$22:$AI$22,0)),0)</f>
        <v>0</v>
      </c>
      <c r="M348" s="328">
        <f>IF(AND('3. GRI Pricing'!$F348&gt;='2. GRI Pricing Inputs'!$D$33,'3. GRI Pricing'!$F348&lt;='2. GRI Pricing Inputs'!$E$33),'2. GRI Pricing Inputs'!$D$32,IF(AND('3. GRI Pricing'!$F348&gt;='2. GRI Pricing Inputs'!$F$33,'3. GRI Pricing'!$F348&lt;='2. GRI Pricing Inputs'!$G$33),'2. GRI Pricing Inputs'!$F$32,IF(AND('3. GRI Pricing'!$F348&gt;='2. GRI Pricing Inputs'!$H$33,'3. GRI Pricing'!$F348&lt;='2. GRI Pricing Inputs'!$I$33),'2. GRI Pricing Inputs'!$H$32,IF(AND('3. GRI Pricing'!$F348&gt;='2. GRI Pricing Inputs'!$J$33,'3. GRI Pricing'!$F348&lt;='2. GRI Pricing Inputs'!$K$33),'2. GRI Pricing Inputs'!$J$32,IF(AND('3. GRI Pricing'!$F348&gt;='2. GRI Pricing Inputs'!$L$33,'3. GRI Pricing'!$F348&lt;='2. GRI Pricing Inputs'!$M$33),'2. GRI Pricing Inputs'!$L$32,IF(AND('3. GRI Pricing'!$F348&gt;='2. GRI Pricing Inputs'!$N$33,'3. GRI Pricing'!$F348&lt;='2. GRI Pricing Inputs'!$O$33),'2. GRI Pricing Inputs'!$N$32,IF(AND('3. GRI Pricing'!$F348&gt;='2. GRI Pricing Inputs'!$P$33,'3. GRI Pricing'!$F348&lt;='2. GRI Pricing Inputs'!$Q$33),'2. GRI Pricing Inputs'!$P$32,IF(AND('3. GRI Pricing'!$F348&gt;='2. GRI Pricing Inputs'!$R$33,'3. GRI Pricing'!$F348&lt;='2. GRI Pricing Inputs'!$S$33),'2. GRI Pricing Inputs'!$R$32,IF(AND('3. GRI Pricing'!$F348&gt;='2. GRI Pricing Inputs'!$T$33,'3. GRI Pricing'!$F348&lt;='2. GRI Pricing Inputs'!$U$33),'2. GRI Pricing Inputs'!$T$32,IF(AND('3. GRI Pricing'!$F348&gt;='2. GRI Pricing Inputs'!$V$33,'3. GRI Pricing'!$F348&lt;='2. GRI Pricing Inputs'!$W$33),'2. GRI Pricing Inputs'!$V$32,IF(AND('3. GRI Pricing'!$F348&gt;='2. GRI Pricing Inputs'!$X$33,'3. GRI Pricing'!$F348&lt;='2. GRI Pricing Inputs'!$Y$33),'2. GRI Pricing Inputs'!$X$32,IF(AND('3. GRI Pricing'!$F348&gt;='2. GRI Pricing Inputs'!$Z$33,'3. GRI Pricing'!$F348&lt;='2. GRI Pricing Inputs'!$AA$33),'2. GRI Pricing Inputs'!$Z$32,IF(AND('3. GRI Pricing'!$F348&gt;='2. GRI Pricing Inputs'!$AB$33,'3. GRI Pricing'!$F348&lt;='2. GRI Pricing Inputs'!$AC$33),'2. GRI Pricing Inputs'!$AB$32,IF(AND('3. GRI Pricing'!$F348&gt;='2. GRI Pricing Inputs'!$AD$33,'3. GRI Pricing'!$F348&lt;='2. GRI Pricing Inputs'!$AE$33),'2. GRI Pricing Inputs'!$AD$32,IF(AND('3. GRI Pricing'!$F348&gt;='2. GRI Pricing Inputs'!$AF$33,'3. GRI Pricing'!$F348&lt;='2. GRI Pricing Inputs'!$AG$33),'2. GRI Pricing Inputs'!$AF$32,IF(AND('3. GRI Pricing'!$F348&gt;='2. GRI Pricing Inputs'!$AH$33,'3. GRI Pricing'!$F348&lt;='2. GRI Pricing Inputs'!$AI$33),'2. GRI Pricing Inputs'!$AH$32,0))))))))))))))))</f>
        <v>0</v>
      </c>
      <c r="N348" s="273" cm="1">
        <f t="array" ref="N348">IFERROR(INDEX('2. GRI Pricing Inputs'!$C$32:$AI$39,MATCH('3. GRI Pricing'!D348,'2. GRI Pricing Inputs'!$C$32:$C$39,0),(MATCH('3. GRI Pricing'!M348,'2. GRI Pricing Inputs'!$D$32:$AI$32,0)+1)),0)</f>
        <v>0</v>
      </c>
      <c r="O348" s="273">
        <f>IFERROR(INDEX('2. GRI Pricing Inputs'!$C$45:$AI$46,MATCH($O$16,'2. GRI Pricing Inputs'!$C$45:$C$46,0),MATCH(G348,'2. GRI Pricing Inputs'!$C$45:$AI$45,0)),0)</f>
        <v>0</v>
      </c>
      <c r="P348" s="273">
        <f>IFERROR(INDEX('2. GRI Pricing Inputs'!$C$53:$AI$54,MATCH('3. GRI Pricing'!$P$16,'2. GRI Pricing Inputs'!$C$53:$C$54,0),MATCH('3. GRI Pricing'!H348,'2. GRI Pricing Inputs'!$C$53:$AI$53,0)),0)</f>
        <v>0</v>
      </c>
      <c r="Q348" s="273">
        <f>IFERROR(INDEX('2. GRI Pricing Inputs'!$C$60:$AI$61,MATCH('3. GRI Pricing'!$Q$16,'2. GRI Pricing Inputs'!$C$60:$C$61,0),MATCH('1. Accomodation'!T352,'2. GRI Pricing Inputs'!$C$60:$AI$60,0)),0)</f>
        <v>0</v>
      </c>
      <c r="R348" s="273">
        <f>IFERROR(INDEX('2. GRI Pricing Inputs'!$C$67:$AI$68,MATCH('3. GRI Pricing'!$R$16,'2. GRI Pricing Inputs'!$C$67:$C$68,0),MATCH('1. Accomodation'!U352,'2. GRI Pricing Inputs'!$C$67:$AI$67,0)),0)</f>
        <v>0</v>
      </c>
      <c r="S348" s="273">
        <f>IF(D348=0,0,'2. GRI Pricing Inputs'!$AI$75)</f>
        <v>0</v>
      </c>
      <c r="T348" s="273">
        <f>IFERROR(INDEX('2. GRI Pricing Inputs'!$C$82:$AI$83,MATCH('3. GRI Pricing'!$T$16,'2. GRI Pricing Inputs'!$C$82:$C$83,0),MATCH('1. Accomodation'!V352,'2. GRI Pricing Inputs'!$C$82:$AI$82,0)),0)</f>
        <v>0</v>
      </c>
      <c r="U348" s="273">
        <f>IFERROR(INDEX('2. GRI Pricing Inputs'!$C$89:$AI$90,MATCH('3. GRI Pricing'!$U$16,'2. GRI Pricing Inputs'!$C$89:$C$90,0),MATCH('1. Accomodation'!W352,'2. GRI Pricing Inputs'!$C$89:$AI$89,0)),0)</f>
        <v>0</v>
      </c>
      <c r="V348" s="273">
        <f>IFERROR(INDEX('2. GRI Pricing Inputs'!$C$97:$AI$98,MATCH('3. GRI Pricing'!$V$16,'2. GRI Pricing Inputs'!$C$97:$C$98,0),MATCH('1. Accomodation'!X352,'2. GRI Pricing Inputs'!$C$97:$AI$97,0)),0)</f>
        <v>0</v>
      </c>
      <c r="W348" s="273">
        <f>IFERROR(INDEX('2. GRI Pricing Inputs'!$C$104:$AI$105,MATCH('3. GRI Pricing'!$W$16,'2. GRI Pricing Inputs'!$C$104:$C$105,0),MATCH('1. Accomodation'!Y352,'2. GRI Pricing Inputs'!$C$104:$AI$104,0)),0)</f>
        <v>0</v>
      </c>
      <c r="X348" s="274"/>
      <c r="Y348" s="275">
        <f t="shared" si="12"/>
        <v>0</v>
      </c>
      <c r="Z348" s="276"/>
      <c r="AA348" s="276"/>
      <c r="AB348" s="276"/>
      <c r="AC348" s="272">
        <f>Y348*(1+'2. GRI Pricing Inputs'!$D$114)^(($AC$16-$AB$15)/365)</f>
        <v>0</v>
      </c>
      <c r="AD348" s="273">
        <f>AC348*(1+'2. GRI Pricing Inputs'!$D$114)^((AD$16-AC$16)/365)</f>
        <v>0</v>
      </c>
      <c r="AE348" s="273">
        <f>AD348*(1+'2. GRI Pricing Inputs'!$D$114)^((AE$16-AD$16)/365)</f>
        <v>0</v>
      </c>
      <c r="AF348" s="273">
        <f>AE348*(1+'2. GRI Pricing Inputs'!$D$114)^((AF$16-AE$16)/365)</f>
        <v>0</v>
      </c>
      <c r="AG348" s="273">
        <f>AF348*(1+'2. GRI Pricing Inputs'!$D$114)^((AG$16-AF$16)/365)</f>
        <v>0</v>
      </c>
      <c r="AH348" s="273">
        <f>AG348*(1+'2. GRI Pricing Inputs'!$D$114)^((AH$16-AG$16)/365)</f>
        <v>0</v>
      </c>
      <c r="AI348" s="273">
        <f>AH348*(1+'2. GRI Pricing Inputs'!$D$114)^((AI$16-AH$16)/365)</f>
        <v>0</v>
      </c>
      <c r="AJ348" s="273">
        <f>AI348*(1+'2. GRI Pricing Inputs'!$D$114)^((AJ$16-AI$16)/365)</f>
        <v>0</v>
      </c>
      <c r="AK348" s="273">
        <f>AJ348*(1+'2. GRI Pricing Inputs'!$D$114)^((AK$16-AJ$16)/365)</f>
        <v>0</v>
      </c>
      <c r="AL348" s="273">
        <f>AK348*(1+'2. GRI Pricing Inputs'!$D$114)^((AL$16-AK$16)/365)</f>
        <v>0</v>
      </c>
      <c r="AM348" s="273">
        <f>AL348*(1+'2. GRI Pricing Inputs'!$D$114)^((AM$16-AL$16)/365)</f>
        <v>0</v>
      </c>
      <c r="AN348" s="273">
        <f>AM348*(1+'2. GRI Pricing Inputs'!$D$114)^((AN$16-AM$16)/365)</f>
        <v>0</v>
      </c>
      <c r="AO348" s="273">
        <f>AN348*(1+'2. GRI Pricing Inputs'!$D$114)^((AO$16-AN$16)/365)</f>
        <v>0</v>
      </c>
    </row>
    <row r="349" spans="3:41" ht="12" x14ac:dyDescent="0.2">
      <c r="C349" s="76">
        <f>'1. Accomodation'!N353</f>
        <v>0</v>
      </c>
      <c r="D349" s="69">
        <f>'1. Accomodation'!P353</f>
        <v>0</v>
      </c>
      <c r="E349" s="69">
        <f>'1. Accomodation'!Q353</f>
        <v>0</v>
      </c>
      <c r="F349" s="77">
        <f>'1. Accomodation'!O353</f>
        <v>0</v>
      </c>
      <c r="G349" s="69">
        <f>'1. Accomodation'!R353</f>
        <v>0</v>
      </c>
      <c r="H349" s="69">
        <f>'1. Accomodation'!S353</f>
        <v>0</v>
      </c>
      <c r="I349" s="62"/>
      <c r="K349" s="272">
        <f>IFERROR(INDEX('2. GRI Pricing Inputs'!$C$15:$AI$16,MATCH($K$16,'2. GRI Pricing Inputs'!$C$15:$C$16,0),MATCH(D349,'2. GRI Pricing Inputs'!$C$15:$AI$15,0)),0)</f>
        <v>0</v>
      </c>
      <c r="L349" s="273">
        <f>IFERROR(INDEX('2. GRI Pricing Inputs'!$C$22:$AI$23,MATCH($L$16,'2. GRI Pricing Inputs'!$C$22:$C$23,0),MATCH(E349,'2. GRI Pricing Inputs'!$C$22:$AI$22,0)),0)</f>
        <v>0</v>
      </c>
      <c r="M349" s="328">
        <f>IF(AND('3. GRI Pricing'!$F349&gt;='2. GRI Pricing Inputs'!$D$33,'3. GRI Pricing'!$F349&lt;='2. GRI Pricing Inputs'!$E$33),'2. GRI Pricing Inputs'!$D$32,IF(AND('3. GRI Pricing'!$F349&gt;='2. GRI Pricing Inputs'!$F$33,'3. GRI Pricing'!$F349&lt;='2. GRI Pricing Inputs'!$G$33),'2. GRI Pricing Inputs'!$F$32,IF(AND('3. GRI Pricing'!$F349&gt;='2. GRI Pricing Inputs'!$H$33,'3. GRI Pricing'!$F349&lt;='2. GRI Pricing Inputs'!$I$33),'2. GRI Pricing Inputs'!$H$32,IF(AND('3. GRI Pricing'!$F349&gt;='2. GRI Pricing Inputs'!$J$33,'3. GRI Pricing'!$F349&lt;='2. GRI Pricing Inputs'!$K$33),'2. GRI Pricing Inputs'!$J$32,IF(AND('3. GRI Pricing'!$F349&gt;='2. GRI Pricing Inputs'!$L$33,'3. GRI Pricing'!$F349&lt;='2. GRI Pricing Inputs'!$M$33),'2. GRI Pricing Inputs'!$L$32,IF(AND('3. GRI Pricing'!$F349&gt;='2. GRI Pricing Inputs'!$N$33,'3. GRI Pricing'!$F349&lt;='2. GRI Pricing Inputs'!$O$33),'2. GRI Pricing Inputs'!$N$32,IF(AND('3. GRI Pricing'!$F349&gt;='2. GRI Pricing Inputs'!$P$33,'3. GRI Pricing'!$F349&lt;='2. GRI Pricing Inputs'!$Q$33),'2. GRI Pricing Inputs'!$P$32,IF(AND('3. GRI Pricing'!$F349&gt;='2. GRI Pricing Inputs'!$R$33,'3. GRI Pricing'!$F349&lt;='2. GRI Pricing Inputs'!$S$33),'2. GRI Pricing Inputs'!$R$32,IF(AND('3. GRI Pricing'!$F349&gt;='2. GRI Pricing Inputs'!$T$33,'3. GRI Pricing'!$F349&lt;='2. GRI Pricing Inputs'!$U$33),'2. GRI Pricing Inputs'!$T$32,IF(AND('3. GRI Pricing'!$F349&gt;='2. GRI Pricing Inputs'!$V$33,'3. GRI Pricing'!$F349&lt;='2. GRI Pricing Inputs'!$W$33),'2. GRI Pricing Inputs'!$V$32,IF(AND('3. GRI Pricing'!$F349&gt;='2. GRI Pricing Inputs'!$X$33,'3. GRI Pricing'!$F349&lt;='2. GRI Pricing Inputs'!$Y$33),'2. GRI Pricing Inputs'!$X$32,IF(AND('3. GRI Pricing'!$F349&gt;='2. GRI Pricing Inputs'!$Z$33,'3. GRI Pricing'!$F349&lt;='2. GRI Pricing Inputs'!$AA$33),'2. GRI Pricing Inputs'!$Z$32,IF(AND('3. GRI Pricing'!$F349&gt;='2. GRI Pricing Inputs'!$AB$33,'3. GRI Pricing'!$F349&lt;='2. GRI Pricing Inputs'!$AC$33),'2. GRI Pricing Inputs'!$AB$32,IF(AND('3. GRI Pricing'!$F349&gt;='2. GRI Pricing Inputs'!$AD$33,'3. GRI Pricing'!$F349&lt;='2. GRI Pricing Inputs'!$AE$33),'2. GRI Pricing Inputs'!$AD$32,IF(AND('3. GRI Pricing'!$F349&gt;='2. GRI Pricing Inputs'!$AF$33,'3. GRI Pricing'!$F349&lt;='2. GRI Pricing Inputs'!$AG$33),'2. GRI Pricing Inputs'!$AF$32,IF(AND('3. GRI Pricing'!$F349&gt;='2. GRI Pricing Inputs'!$AH$33,'3. GRI Pricing'!$F349&lt;='2. GRI Pricing Inputs'!$AI$33),'2. GRI Pricing Inputs'!$AH$32,0))))))))))))))))</f>
        <v>0</v>
      </c>
      <c r="N349" s="273" cm="1">
        <f t="array" ref="N349">IFERROR(INDEX('2. GRI Pricing Inputs'!$C$32:$AI$39,MATCH('3. GRI Pricing'!D349,'2. GRI Pricing Inputs'!$C$32:$C$39,0),(MATCH('3. GRI Pricing'!M349,'2. GRI Pricing Inputs'!$D$32:$AI$32,0)+1)),0)</f>
        <v>0</v>
      </c>
      <c r="O349" s="273">
        <f>IFERROR(INDEX('2. GRI Pricing Inputs'!$C$45:$AI$46,MATCH($O$16,'2. GRI Pricing Inputs'!$C$45:$C$46,0),MATCH(G349,'2. GRI Pricing Inputs'!$C$45:$AI$45,0)),0)</f>
        <v>0</v>
      </c>
      <c r="P349" s="273">
        <f>IFERROR(INDEX('2. GRI Pricing Inputs'!$C$53:$AI$54,MATCH('3. GRI Pricing'!$P$16,'2. GRI Pricing Inputs'!$C$53:$C$54,0),MATCH('3. GRI Pricing'!H349,'2. GRI Pricing Inputs'!$C$53:$AI$53,0)),0)</f>
        <v>0</v>
      </c>
      <c r="Q349" s="273">
        <f>IFERROR(INDEX('2. GRI Pricing Inputs'!$C$60:$AI$61,MATCH('3. GRI Pricing'!$Q$16,'2. GRI Pricing Inputs'!$C$60:$C$61,0),MATCH('1. Accomodation'!T353,'2. GRI Pricing Inputs'!$C$60:$AI$60,0)),0)</f>
        <v>0</v>
      </c>
      <c r="R349" s="273">
        <f>IFERROR(INDEX('2. GRI Pricing Inputs'!$C$67:$AI$68,MATCH('3. GRI Pricing'!$R$16,'2. GRI Pricing Inputs'!$C$67:$C$68,0),MATCH('1. Accomodation'!U353,'2. GRI Pricing Inputs'!$C$67:$AI$67,0)),0)</f>
        <v>0</v>
      </c>
      <c r="S349" s="273">
        <f>IF(D349=0,0,'2. GRI Pricing Inputs'!$AI$75)</f>
        <v>0</v>
      </c>
      <c r="T349" s="273">
        <f>IFERROR(INDEX('2. GRI Pricing Inputs'!$C$82:$AI$83,MATCH('3. GRI Pricing'!$T$16,'2. GRI Pricing Inputs'!$C$82:$C$83,0),MATCH('1. Accomodation'!V353,'2. GRI Pricing Inputs'!$C$82:$AI$82,0)),0)</f>
        <v>0</v>
      </c>
      <c r="U349" s="273">
        <f>IFERROR(INDEX('2. GRI Pricing Inputs'!$C$89:$AI$90,MATCH('3. GRI Pricing'!$U$16,'2. GRI Pricing Inputs'!$C$89:$C$90,0),MATCH('1. Accomodation'!W353,'2. GRI Pricing Inputs'!$C$89:$AI$89,0)),0)</f>
        <v>0</v>
      </c>
      <c r="V349" s="273">
        <f>IFERROR(INDEX('2. GRI Pricing Inputs'!$C$97:$AI$98,MATCH('3. GRI Pricing'!$V$16,'2. GRI Pricing Inputs'!$C$97:$C$98,0),MATCH('1. Accomodation'!X353,'2. GRI Pricing Inputs'!$C$97:$AI$97,0)),0)</f>
        <v>0</v>
      </c>
      <c r="W349" s="273">
        <f>IFERROR(INDEX('2. GRI Pricing Inputs'!$C$104:$AI$105,MATCH('3. GRI Pricing'!$W$16,'2. GRI Pricing Inputs'!$C$104:$C$105,0),MATCH('1. Accomodation'!Y353,'2. GRI Pricing Inputs'!$C$104:$AI$104,0)),0)</f>
        <v>0</v>
      </c>
      <c r="X349" s="274"/>
      <c r="Y349" s="275">
        <f t="shared" si="12"/>
        <v>0</v>
      </c>
      <c r="Z349" s="276"/>
      <c r="AA349" s="276"/>
      <c r="AB349" s="276"/>
      <c r="AC349" s="272">
        <f>Y349*(1+'2. GRI Pricing Inputs'!$D$114)^(($AC$16-$AB$15)/365)</f>
        <v>0</v>
      </c>
      <c r="AD349" s="273">
        <f>AC349*(1+'2. GRI Pricing Inputs'!$D$114)^((AD$16-AC$16)/365)</f>
        <v>0</v>
      </c>
      <c r="AE349" s="273">
        <f>AD349*(1+'2. GRI Pricing Inputs'!$D$114)^((AE$16-AD$16)/365)</f>
        <v>0</v>
      </c>
      <c r="AF349" s="273">
        <f>AE349*(1+'2. GRI Pricing Inputs'!$D$114)^((AF$16-AE$16)/365)</f>
        <v>0</v>
      </c>
      <c r="AG349" s="273">
        <f>AF349*(1+'2. GRI Pricing Inputs'!$D$114)^((AG$16-AF$16)/365)</f>
        <v>0</v>
      </c>
      <c r="AH349" s="273">
        <f>AG349*(1+'2. GRI Pricing Inputs'!$D$114)^((AH$16-AG$16)/365)</f>
        <v>0</v>
      </c>
      <c r="AI349" s="273">
        <f>AH349*(1+'2. GRI Pricing Inputs'!$D$114)^((AI$16-AH$16)/365)</f>
        <v>0</v>
      </c>
      <c r="AJ349" s="273">
        <f>AI349*(1+'2. GRI Pricing Inputs'!$D$114)^((AJ$16-AI$16)/365)</f>
        <v>0</v>
      </c>
      <c r="AK349" s="273">
        <f>AJ349*(1+'2. GRI Pricing Inputs'!$D$114)^((AK$16-AJ$16)/365)</f>
        <v>0</v>
      </c>
      <c r="AL349" s="273">
        <f>AK349*(1+'2. GRI Pricing Inputs'!$D$114)^((AL$16-AK$16)/365)</f>
        <v>0</v>
      </c>
      <c r="AM349" s="273">
        <f>AL349*(1+'2. GRI Pricing Inputs'!$D$114)^((AM$16-AL$16)/365)</f>
        <v>0</v>
      </c>
      <c r="AN349" s="273">
        <f>AM349*(1+'2. GRI Pricing Inputs'!$D$114)^((AN$16-AM$16)/365)</f>
        <v>0</v>
      </c>
      <c r="AO349" s="273">
        <f>AN349*(1+'2. GRI Pricing Inputs'!$D$114)^((AO$16-AN$16)/365)</f>
        <v>0</v>
      </c>
    </row>
    <row r="350" spans="3:41" ht="12" x14ac:dyDescent="0.2">
      <c r="C350" s="76">
        <f>'1. Accomodation'!N354</f>
        <v>0</v>
      </c>
      <c r="D350" s="69">
        <f>'1. Accomodation'!P354</f>
        <v>0</v>
      </c>
      <c r="E350" s="69">
        <f>'1. Accomodation'!Q354</f>
        <v>0</v>
      </c>
      <c r="F350" s="77">
        <f>'1. Accomodation'!O354</f>
        <v>0</v>
      </c>
      <c r="G350" s="69">
        <f>'1. Accomodation'!R354</f>
        <v>0</v>
      </c>
      <c r="H350" s="69">
        <f>'1. Accomodation'!S354</f>
        <v>0</v>
      </c>
      <c r="I350" s="62"/>
      <c r="K350" s="272">
        <f>IFERROR(INDEX('2. GRI Pricing Inputs'!$C$15:$AI$16,MATCH($K$16,'2. GRI Pricing Inputs'!$C$15:$C$16,0),MATCH(D350,'2. GRI Pricing Inputs'!$C$15:$AI$15,0)),0)</f>
        <v>0</v>
      </c>
      <c r="L350" s="273">
        <f>IFERROR(INDEX('2. GRI Pricing Inputs'!$C$22:$AI$23,MATCH($L$16,'2. GRI Pricing Inputs'!$C$22:$C$23,0),MATCH(E350,'2. GRI Pricing Inputs'!$C$22:$AI$22,0)),0)</f>
        <v>0</v>
      </c>
      <c r="M350" s="328">
        <f>IF(AND('3. GRI Pricing'!$F350&gt;='2. GRI Pricing Inputs'!$D$33,'3. GRI Pricing'!$F350&lt;='2. GRI Pricing Inputs'!$E$33),'2. GRI Pricing Inputs'!$D$32,IF(AND('3. GRI Pricing'!$F350&gt;='2. GRI Pricing Inputs'!$F$33,'3. GRI Pricing'!$F350&lt;='2. GRI Pricing Inputs'!$G$33),'2. GRI Pricing Inputs'!$F$32,IF(AND('3. GRI Pricing'!$F350&gt;='2. GRI Pricing Inputs'!$H$33,'3. GRI Pricing'!$F350&lt;='2. GRI Pricing Inputs'!$I$33),'2. GRI Pricing Inputs'!$H$32,IF(AND('3. GRI Pricing'!$F350&gt;='2. GRI Pricing Inputs'!$J$33,'3. GRI Pricing'!$F350&lt;='2. GRI Pricing Inputs'!$K$33),'2. GRI Pricing Inputs'!$J$32,IF(AND('3. GRI Pricing'!$F350&gt;='2. GRI Pricing Inputs'!$L$33,'3. GRI Pricing'!$F350&lt;='2. GRI Pricing Inputs'!$M$33),'2. GRI Pricing Inputs'!$L$32,IF(AND('3. GRI Pricing'!$F350&gt;='2. GRI Pricing Inputs'!$N$33,'3. GRI Pricing'!$F350&lt;='2. GRI Pricing Inputs'!$O$33),'2. GRI Pricing Inputs'!$N$32,IF(AND('3. GRI Pricing'!$F350&gt;='2. GRI Pricing Inputs'!$P$33,'3. GRI Pricing'!$F350&lt;='2. GRI Pricing Inputs'!$Q$33),'2. GRI Pricing Inputs'!$P$32,IF(AND('3. GRI Pricing'!$F350&gt;='2. GRI Pricing Inputs'!$R$33,'3. GRI Pricing'!$F350&lt;='2. GRI Pricing Inputs'!$S$33),'2. GRI Pricing Inputs'!$R$32,IF(AND('3. GRI Pricing'!$F350&gt;='2. GRI Pricing Inputs'!$T$33,'3. GRI Pricing'!$F350&lt;='2. GRI Pricing Inputs'!$U$33),'2. GRI Pricing Inputs'!$T$32,IF(AND('3. GRI Pricing'!$F350&gt;='2. GRI Pricing Inputs'!$V$33,'3. GRI Pricing'!$F350&lt;='2. GRI Pricing Inputs'!$W$33),'2. GRI Pricing Inputs'!$V$32,IF(AND('3. GRI Pricing'!$F350&gt;='2. GRI Pricing Inputs'!$X$33,'3. GRI Pricing'!$F350&lt;='2. GRI Pricing Inputs'!$Y$33),'2. GRI Pricing Inputs'!$X$32,IF(AND('3. GRI Pricing'!$F350&gt;='2. GRI Pricing Inputs'!$Z$33,'3. GRI Pricing'!$F350&lt;='2. GRI Pricing Inputs'!$AA$33),'2. GRI Pricing Inputs'!$Z$32,IF(AND('3. GRI Pricing'!$F350&gt;='2. GRI Pricing Inputs'!$AB$33,'3. GRI Pricing'!$F350&lt;='2. GRI Pricing Inputs'!$AC$33),'2. GRI Pricing Inputs'!$AB$32,IF(AND('3. GRI Pricing'!$F350&gt;='2. GRI Pricing Inputs'!$AD$33,'3. GRI Pricing'!$F350&lt;='2. GRI Pricing Inputs'!$AE$33),'2. GRI Pricing Inputs'!$AD$32,IF(AND('3. GRI Pricing'!$F350&gt;='2. GRI Pricing Inputs'!$AF$33,'3. GRI Pricing'!$F350&lt;='2. GRI Pricing Inputs'!$AG$33),'2. GRI Pricing Inputs'!$AF$32,IF(AND('3. GRI Pricing'!$F350&gt;='2. GRI Pricing Inputs'!$AH$33,'3. GRI Pricing'!$F350&lt;='2. GRI Pricing Inputs'!$AI$33),'2. GRI Pricing Inputs'!$AH$32,0))))))))))))))))</f>
        <v>0</v>
      </c>
      <c r="N350" s="273" cm="1">
        <f t="array" ref="N350">IFERROR(INDEX('2. GRI Pricing Inputs'!$C$32:$AI$39,MATCH('3. GRI Pricing'!D350,'2. GRI Pricing Inputs'!$C$32:$C$39,0),(MATCH('3. GRI Pricing'!M350,'2. GRI Pricing Inputs'!$D$32:$AI$32,0)+1)),0)</f>
        <v>0</v>
      </c>
      <c r="O350" s="273">
        <f>IFERROR(INDEX('2. GRI Pricing Inputs'!$C$45:$AI$46,MATCH($O$16,'2. GRI Pricing Inputs'!$C$45:$C$46,0),MATCH(G350,'2. GRI Pricing Inputs'!$C$45:$AI$45,0)),0)</f>
        <v>0</v>
      </c>
      <c r="P350" s="273">
        <f>IFERROR(INDEX('2. GRI Pricing Inputs'!$C$53:$AI$54,MATCH('3. GRI Pricing'!$P$16,'2. GRI Pricing Inputs'!$C$53:$C$54,0),MATCH('3. GRI Pricing'!H350,'2. GRI Pricing Inputs'!$C$53:$AI$53,0)),0)</f>
        <v>0</v>
      </c>
      <c r="Q350" s="273">
        <f>IFERROR(INDEX('2. GRI Pricing Inputs'!$C$60:$AI$61,MATCH('3. GRI Pricing'!$Q$16,'2. GRI Pricing Inputs'!$C$60:$C$61,0),MATCH('1. Accomodation'!T354,'2. GRI Pricing Inputs'!$C$60:$AI$60,0)),0)</f>
        <v>0</v>
      </c>
      <c r="R350" s="273">
        <f>IFERROR(INDEX('2. GRI Pricing Inputs'!$C$67:$AI$68,MATCH('3. GRI Pricing'!$R$16,'2. GRI Pricing Inputs'!$C$67:$C$68,0),MATCH('1. Accomodation'!U354,'2. GRI Pricing Inputs'!$C$67:$AI$67,0)),0)</f>
        <v>0</v>
      </c>
      <c r="S350" s="273">
        <f>IF(D350=0,0,'2. GRI Pricing Inputs'!$AI$75)</f>
        <v>0</v>
      </c>
      <c r="T350" s="273">
        <f>IFERROR(INDEX('2. GRI Pricing Inputs'!$C$82:$AI$83,MATCH('3. GRI Pricing'!$T$16,'2. GRI Pricing Inputs'!$C$82:$C$83,0),MATCH('1. Accomodation'!V354,'2. GRI Pricing Inputs'!$C$82:$AI$82,0)),0)</f>
        <v>0</v>
      </c>
      <c r="U350" s="273">
        <f>IFERROR(INDEX('2. GRI Pricing Inputs'!$C$89:$AI$90,MATCH('3. GRI Pricing'!$U$16,'2. GRI Pricing Inputs'!$C$89:$C$90,0),MATCH('1. Accomodation'!W354,'2. GRI Pricing Inputs'!$C$89:$AI$89,0)),0)</f>
        <v>0</v>
      </c>
      <c r="V350" s="273">
        <f>IFERROR(INDEX('2. GRI Pricing Inputs'!$C$97:$AI$98,MATCH('3. GRI Pricing'!$V$16,'2. GRI Pricing Inputs'!$C$97:$C$98,0),MATCH('1. Accomodation'!X354,'2. GRI Pricing Inputs'!$C$97:$AI$97,0)),0)</f>
        <v>0</v>
      </c>
      <c r="W350" s="273">
        <f>IFERROR(INDEX('2. GRI Pricing Inputs'!$C$104:$AI$105,MATCH('3. GRI Pricing'!$W$16,'2. GRI Pricing Inputs'!$C$104:$C$105,0),MATCH('1. Accomodation'!Y354,'2. GRI Pricing Inputs'!$C$104:$AI$104,0)),0)</f>
        <v>0</v>
      </c>
      <c r="X350" s="274"/>
      <c r="Y350" s="275">
        <f t="shared" si="12"/>
        <v>0</v>
      </c>
      <c r="Z350" s="276"/>
      <c r="AA350" s="276"/>
      <c r="AB350" s="276"/>
      <c r="AC350" s="272">
        <f>Y350*(1+'2. GRI Pricing Inputs'!$D$114)^(($AC$16-$AB$15)/365)</f>
        <v>0</v>
      </c>
      <c r="AD350" s="273">
        <f>AC350*(1+'2. GRI Pricing Inputs'!$D$114)^((AD$16-AC$16)/365)</f>
        <v>0</v>
      </c>
      <c r="AE350" s="273">
        <f>AD350*(1+'2. GRI Pricing Inputs'!$D$114)^((AE$16-AD$16)/365)</f>
        <v>0</v>
      </c>
      <c r="AF350" s="273">
        <f>AE350*(1+'2. GRI Pricing Inputs'!$D$114)^((AF$16-AE$16)/365)</f>
        <v>0</v>
      </c>
      <c r="AG350" s="273">
        <f>AF350*(1+'2. GRI Pricing Inputs'!$D$114)^((AG$16-AF$16)/365)</f>
        <v>0</v>
      </c>
      <c r="AH350" s="273">
        <f>AG350*(1+'2. GRI Pricing Inputs'!$D$114)^((AH$16-AG$16)/365)</f>
        <v>0</v>
      </c>
      <c r="AI350" s="273">
        <f>AH350*(1+'2. GRI Pricing Inputs'!$D$114)^((AI$16-AH$16)/365)</f>
        <v>0</v>
      </c>
      <c r="AJ350" s="273">
        <f>AI350*(1+'2. GRI Pricing Inputs'!$D$114)^((AJ$16-AI$16)/365)</f>
        <v>0</v>
      </c>
      <c r="AK350" s="273">
        <f>AJ350*(1+'2. GRI Pricing Inputs'!$D$114)^((AK$16-AJ$16)/365)</f>
        <v>0</v>
      </c>
      <c r="AL350" s="273">
        <f>AK350*(1+'2. GRI Pricing Inputs'!$D$114)^((AL$16-AK$16)/365)</f>
        <v>0</v>
      </c>
      <c r="AM350" s="273">
        <f>AL350*(1+'2. GRI Pricing Inputs'!$D$114)^((AM$16-AL$16)/365)</f>
        <v>0</v>
      </c>
      <c r="AN350" s="273">
        <f>AM350*(1+'2. GRI Pricing Inputs'!$D$114)^((AN$16-AM$16)/365)</f>
        <v>0</v>
      </c>
      <c r="AO350" s="273">
        <f>AN350*(1+'2. GRI Pricing Inputs'!$D$114)^((AO$16-AN$16)/365)</f>
        <v>0</v>
      </c>
    </row>
    <row r="351" spans="3:41" ht="12" x14ac:dyDescent="0.2">
      <c r="C351" s="76">
        <f>'1. Accomodation'!N355</f>
        <v>0</v>
      </c>
      <c r="D351" s="69">
        <f>'1. Accomodation'!P355</f>
        <v>0</v>
      </c>
      <c r="E351" s="69">
        <f>'1. Accomodation'!Q355</f>
        <v>0</v>
      </c>
      <c r="F351" s="77">
        <f>'1. Accomodation'!O355</f>
        <v>0</v>
      </c>
      <c r="G351" s="69">
        <f>'1. Accomodation'!R355</f>
        <v>0</v>
      </c>
      <c r="H351" s="69">
        <f>'1. Accomodation'!S355</f>
        <v>0</v>
      </c>
      <c r="I351" s="62"/>
      <c r="K351" s="272">
        <f>IFERROR(INDEX('2. GRI Pricing Inputs'!$C$15:$AI$16,MATCH($K$16,'2. GRI Pricing Inputs'!$C$15:$C$16,0),MATCH(D351,'2. GRI Pricing Inputs'!$C$15:$AI$15,0)),0)</f>
        <v>0</v>
      </c>
      <c r="L351" s="273">
        <f>IFERROR(INDEX('2. GRI Pricing Inputs'!$C$22:$AI$23,MATCH($L$16,'2. GRI Pricing Inputs'!$C$22:$C$23,0),MATCH(E351,'2. GRI Pricing Inputs'!$C$22:$AI$22,0)),0)</f>
        <v>0</v>
      </c>
      <c r="M351" s="328">
        <f>IF(AND('3. GRI Pricing'!$F351&gt;='2. GRI Pricing Inputs'!$D$33,'3. GRI Pricing'!$F351&lt;='2. GRI Pricing Inputs'!$E$33),'2. GRI Pricing Inputs'!$D$32,IF(AND('3. GRI Pricing'!$F351&gt;='2. GRI Pricing Inputs'!$F$33,'3. GRI Pricing'!$F351&lt;='2. GRI Pricing Inputs'!$G$33),'2. GRI Pricing Inputs'!$F$32,IF(AND('3. GRI Pricing'!$F351&gt;='2. GRI Pricing Inputs'!$H$33,'3. GRI Pricing'!$F351&lt;='2. GRI Pricing Inputs'!$I$33),'2. GRI Pricing Inputs'!$H$32,IF(AND('3. GRI Pricing'!$F351&gt;='2. GRI Pricing Inputs'!$J$33,'3. GRI Pricing'!$F351&lt;='2. GRI Pricing Inputs'!$K$33),'2. GRI Pricing Inputs'!$J$32,IF(AND('3. GRI Pricing'!$F351&gt;='2. GRI Pricing Inputs'!$L$33,'3. GRI Pricing'!$F351&lt;='2. GRI Pricing Inputs'!$M$33),'2. GRI Pricing Inputs'!$L$32,IF(AND('3. GRI Pricing'!$F351&gt;='2. GRI Pricing Inputs'!$N$33,'3. GRI Pricing'!$F351&lt;='2. GRI Pricing Inputs'!$O$33),'2. GRI Pricing Inputs'!$N$32,IF(AND('3. GRI Pricing'!$F351&gt;='2. GRI Pricing Inputs'!$P$33,'3. GRI Pricing'!$F351&lt;='2. GRI Pricing Inputs'!$Q$33),'2. GRI Pricing Inputs'!$P$32,IF(AND('3. GRI Pricing'!$F351&gt;='2. GRI Pricing Inputs'!$R$33,'3. GRI Pricing'!$F351&lt;='2. GRI Pricing Inputs'!$S$33),'2. GRI Pricing Inputs'!$R$32,IF(AND('3. GRI Pricing'!$F351&gt;='2. GRI Pricing Inputs'!$T$33,'3. GRI Pricing'!$F351&lt;='2. GRI Pricing Inputs'!$U$33),'2. GRI Pricing Inputs'!$T$32,IF(AND('3. GRI Pricing'!$F351&gt;='2. GRI Pricing Inputs'!$V$33,'3. GRI Pricing'!$F351&lt;='2. GRI Pricing Inputs'!$W$33),'2. GRI Pricing Inputs'!$V$32,IF(AND('3. GRI Pricing'!$F351&gt;='2. GRI Pricing Inputs'!$X$33,'3. GRI Pricing'!$F351&lt;='2. GRI Pricing Inputs'!$Y$33),'2. GRI Pricing Inputs'!$X$32,IF(AND('3. GRI Pricing'!$F351&gt;='2. GRI Pricing Inputs'!$Z$33,'3. GRI Pricing'!$F351&lt;='2. GRI Pricing Inputs'!$AA$33),'2. GRI Pricing Inputs'!$Z$32,IF(AND('3. GRI Pricing'!$F351&gt;='2. GRI Pricing Inputs'!$AB$33,'3. GRI Pricing'!$F351&lt;='2. GRI Pricing Inputs'!$AC$33),'2. GRI Pricing Inputs'!$AB$32,IF(AND('3. GRI Pricing'!$F351&gt;='2. GRI Pricing Inputs'!$AD$33,'3. GRI Pricing'!$F351&lt;='2. GRI Pricing Inputs'!$AE$33),'2. GRI Pricing Inputs'!$AD$32,IF(AND('3. GRI Pricing'!$F351&gt;='2. GRI Pricing Inputs'!$AF$33,'3. GRI Pricing'!$F351&lt;='2. GRI Pricing Inputs'!$AG$33),'2. GRI Pricing Inputs'!$AF$32,IF(AND('3. GRI Pricing'!$F351&gt;='2. GRI Pricing Inputs'!$AH$33,'3. GRI Pricing'!$F351&lt;='2. GRI Pricing Inputs'!$AI$33),'2. GRI Pricing Inputs'!$AH$32,0))))))))))))))))</f>
        <v>0</v>
      </c>
      <c r="N351" s="273" cm="1">
        <f t="array" ref="N351">IFERROR(INDEX('2. GRI Pricing Inputs'!$C$32:$AI$39,MATCH('3. GRI Pricing'!D351,'2. GRI Pricing Inputs'!$C$32:$C$39,0),(MATCH('3. GRI Pricing'!M351,'2. GRI Pricing Inputs'!$D$32:$AI$32,0)+1)),0)</f>
        <v>0</v>
      </c>
      <c r="O351" s="273">
        <f>IFERROR(INDEX('2. GRI Pricing Inputs'!$C$45:$AI$46,MATCH($O$16,'2. GRI Pricing Inputs'!$C$45:$C$46,0),MATCH(G351,'2. GRI Pricing Inputs'!$C$45:$AI$45,0)),0)</f>
        <v>0</v>
      </c>
      <c r="P351" s="273">
        <f>IFERROR(INDEX('2. GRI Pricing Inputs'!$C$53:$AI$54,MATCH('3. GRI Pricing'!$P$16,'2. GRI Pricing Inputs'!$C$53:$C$54,0),MATCH('3. GRI Pricing'!H351,'2. GRI Pricing Inputs'!$C$53:$AI$53,0)),0)</f>
        <v>0</v>
      </c>
      <c r="Q351" s="273">
        <f>IFERROR(INDEX('2. GRI Pricing Inputs'!$C$60:$AI$61,MATCH('3. GRI Pricing'!$Q$16,'2. GRI Pricing Inputs'!$C$60:$C$61,0),MATCH('1. Accomodation'!T355,'2. GRI Pricing Inputs'!$C$60:$AI$60,0)),0)</f>
        <v>0</v>
      </c>
      <c r="R351" s="273">
        <f>IFERROR(INDEX('2. GRI Pricing Inputs'!$C$67:$AI$68,MATCH('3. GRI Pricing'!$R$16,'2. GRI Pricing Inputs'!$C$67:$C$68,0),MATCH('1. Accomodation'!U355,'2. GRI Pricing Inputs'!$C$67:$AI$67,0)),0)</f>
        <v>0</v>
      </c>
      <c r="S351" s="273">
        <f>IF(D351=0,0,'2. GRI Pricing Inputs'!$AI$75)</f>
        <v>0</v>
      </c>
      <c r="T351" s="273">
        <f>IFERROR(INDEX('2. GRI Pricing Inputs'!$C$82:$AI$83,MATCH('3. GRI Pricing'!$T$16,'2. GRI Pricing Inputs'!$C$82:$C$83,0),MATCH('1. Accomodation'!V355,'2. GRI Pricing Inputs'!$C$82:$AI$82,0)),0)</f>
        <v>0</v>
      </c>
      <c r="U351" s="273">
        <f>IFERROR(INDEX('2. GRI Pricing Inputs'!$C$89:$AI$90,MATCH('3. GRI Pricing'!$U$16,'2. GRI Pricing Inputs'!$C$89:$C$90,0),MATCH('1. Accomodation'!W355,'2. GRI Pricing Inputs'!$C$89:$AI$89,0)),0)</f>
        <v>0</v>
      </c>
      <c r="V351" s="273">
        <f>IFERROR(INDEX('2. GRI Pricing Inputs'!$C$97:$AI$98,MATCH('3. GRI Pricing'!$V$16,'2. GRI Pricing Inputs'!$C$97:$C$98,0),MATCH('1. Accomodation'!X355,'2. GRI Pricing Inputs'!$C$97:$AI$97,0)),0)</f>
        <v>0</v>
      </c>
      <c r="W351" s="273">
        <f>IFERROR(INDEX('2. GRI Pricing Inputs'!$C$104:$AI$105,MATCH('3. GRI Pricing'!$W$16,'2. GRI Pricing Inputs'!$C$104:$C$105,0),MATCH('1. Accomodation'!Y355,'2. GRI Pricing Inputs'!$C$104:$AI$104,0)),0)</f>
        <v>0</v>
      </c>
      <c r="X351" s="274"/>
      <c r="Y351" s="275">
        <f t="shared" si="12"/>
        <v>0</v>
      </c>
      <c r="Z351" s="276"/>
      <c r="AA351" s="276"/>
      <c r="AB351" s="276"/>
      <c r="AC351" s="272">
        <f>Y351*(1+'2. GRI Pricing Inputs'!$D$114)^(($AC$16-$AB$15)/365)</f>
        <v>0</v>
      </c>
      <c r="AD351" s="273">
        <f>AC351*(1+'2. GRI Pricing Inputs'!$D$114)^((AD$16-AC$16)/365)</f>
        <v>0</v>
      </c>
      <c r="AE351" s="273">
        <f>AD351*(1+'2. GRI Pricing Inputs'!$D$114)^((AE$16-AD$16)/365)</f>
        <v>0</v>
      </c>
      <c r="AF351" s="273">
        <f>AE351*(1+'2. GRI Pricing Inputs'!$D$114)^((AF$16-AE$16)/365)</f>
        <v>0</v>
      </c>
      <c r="AG351" s="273">
        <f>AF351*(1+'2. GRI Pricing Inputs'!$D$114)^((AG$16-AF$16)/365)</f>
        <v>0</v>
      </c>
      <c r="AH351" s="273">
        <f>AG351*(1+'2. GRI Pricing Inputs'!$D$114)^((AH$16-AG$16)/365)</f>
        <v>0</v>
      </c>
      <c r="AI351" s="273">
        <f>AH351*(1+'2. GRI Pricing Inputs'!$D$114)^((AI$16-AH$16)/365)</f>
        <v>0</v>
      </c>
      <c r="AJ351" s="273">
        <f>AI351*(1+'2. GRI Pricing Inputs'!$D$114)^((AJ$16-AI$16)/365)</f>
        <v>0</v>
      </c>
      <c r="AK351" s="273">
        <f>AJ351*(1+'2. GRI Pricing Inputs'!$D$114)^((AK$16-AJ$16)/365)</f>
        <v>0</v>
      </c>
      <c r="AL351" s="273">
        <f>AK351*(1+'2. GRI Pricing Inputs'!$D$114)^((AL$16-AK$16)/365)</f>
        <v>0</v>
      </c>
      <c r="AM351" s="273">
        <f>AL351*(1+'2. GRI Pricing Inputs'!$D$114)^((AM$16-AL$16)/365)</f>
        <v>0</v>
      </c>
      <c r="AN351" s="273">
        <f>AM351*(1+'2. GRI Pricing Inputs'!$D$114)^((AN$16-AM$16)/365)</f>
        <v>0</v>
      </c>
      <c r="AO351" s="273">
        <f>AN351*(1+'2. GRI Pricing Inputs'!$D$114)^((AO$16-AN$16)/365)</f>
        <v>0</v>
      </c>
    </row>
    <row r="352" spans="3:41" ht="12" x14ac:dyDescent="0.2">
      <c r="C352" s="76">
        <f>'1. Accomodation'!N356</f>
        <v>0</v>
      </c>
      <c r="D352" s="69">
        <f>'1. Accomodation'!P356</f>
        <v>0</v>
      </c>
      <c r="E352" s="69">
        <f>'1. Accomodation'!Q356</f>
        <v>0</v>
      </c>
      <c r="F352" s="77">
        <f>'1. Accomodation'!O356</f>
        <v>0</v>
      </c>
      <c r="G352" s="69">
        <f>'1. Accomodation'!R356</f>
        <v>0</v>
      </c>
      <c r="H352" s="69">
        <f>'1. Accomodation'!S356</f>
        <v>0</v>
      </c>
      <c r="I352" s="62"/>
      <c r="K352" s="272">
        <f>IFERROR(INDEX('2. GRI Pricing Inputs'!$C$15:$AI$16,MATCH($K$16,'2. GRI Pricing Inputs'!$C$15:$C$16,0),MATCH(D352,'2. GRI Pricing Inputs'!$C$15:$AI$15,0)),0)</f>
        <v>0</v>
      </c>
      <c r="L352" s="273">
        <f>IFERROR(INDEX('2. GRI Pricing Inputs'!$C$22:$AI$23,MATCH($L$16,'2. GRI Pricing Inputs'!$C$22:$C$23,0),MATCH(E352,'2. GRI Pricing Inputs'!$C$22:$AI$22,0)),0)</f>
        <v>0</v>
      </c>
      <c r="M352" s="328">
        <f>IF(AND('3. GRI Pricing'!$F352&gt;='2. GRI Pricing Inputs'!$D$33,'3. GRI Pricing'!$F352&lt;='2. GRI Pricing Inputs'!$E$33),'2. GRI Pricing Inputs'!$D$32,IF(AND('3. GRI Pricing'!$F352&gt;='2. GRI Pricing Inputs'!$F$33,'3. GRI Pricing'!$F352&lt;='2. GRI Pricing Inputs'!$G$33),'2. GRI Pricing Inputs'!$F$32,IF(AND('3. GRI Pricing'!$F352&gt;='2. GRI Pricing Inputs'!$H$33,'3. GRI Pricing'!$F352&lt;='2. GRI Pricing Inputs'!$I$33),'2. GRI Pricing Inputs'!$H$32,IF(AND('3. GRI Pricing'!$F352&gt;='2. GRI Pricing Inputs'!$J$33,'3. GRI Pricing'!$F352&lt;='2. GRI Pricing Inputs'!$K$33),'2. GRI Pricing Inputs'!$J$32,IF(AND('3. GRI Pricing'!$F352&gt;='2. GRI Pricing Inputs'!$L$33,'3. GRI Pricing'!$F352&lt;='2. GRI Pricing Inputs'!$M$33),'2. GRI Pricing Inputs'!$L$32,IF(AND('3. GRI Pricing'!$F352&gt;='2. GRI Pricing Inputs'!$N$33,'3. GRI Pricing'!$F352&lt;='2. GRI Pricing Inputs'!$O$33),'2. GRI Pricing Inputs'!$N$32,IF(AND('3. GRI Pricing'!$F352&gt;='2. GRI Pricing Inputs'!$P$33,'3. GRI Pricing'!$F352&lt;='2. GRI Pricing Inputs'!$Q$33),'2. GRI Pricing Inputs'!$P$32,IF(AND('3. GRI Pricing'!$F352&gt;='2. GRI Pricing Inputs'!$R$33,'3. GRI Pricing'!$F352&lt;='2. GRI Pricing Inputs'!$S$33),'2. GRI Pricing Inputs'!$R$32,IF(AND('3. GRI Pricing'!$F352&gt;='2. GRI Pricing Inputs'!$T$33,'3. GRI Pricing'!$F352&lt;='2. GRI Pricing Inputs'!$U$33),'2. GRI Pricing Inputs'!$T$32,IF(AND('3. GRI Pricing'!$F352&gt;='2. GRI Pricing Inputs'!$V$33,'3. GRI Pricing'!$F352&lt;='2. GRI Pricing Inputs'!$W$33),'2. GRI Pricing Inputs'!$V$32,IF(AND('3. GRI Pricing'!$F352&gt;='2. GRI Pricing Inputs'!$X$33,'3. GRI Pricing'!$F352&lt;='2. GRI Pricing Inputs'!$Y$33),'2. GRI Pricing Inputs'!$X$32,IF(AND('3. GRI Pricing'!$F352&gt;='2. GRI Pricing Inputs'!$Z$33,'3. GRI Pricing'!$F352&lt;='2. GRI Pricing Inputs'!$AA$33),'2. GRI Pricing Inputs'!$Z$32,IF(AND('3. GRI Pricing'!$F352&gt;='2. GRI Pricing Inputs'!$AB$33,'3. GRI Pricing'!$F352&lt;='2. GRI Pricing Inputs'!$AC$33),'2. GRI Pricing Inputs'!$AB$32,IF(AND('3. GRI Pricing'!$F352&gt;='2. GRI Pricing Inputs'!$AD$33,'3. GRI Pricing'!$F352&lt;='2. GRI Pricing Inputs'!$AE$33),'2. GRI Pricing Inputs'!$AD$32,IF(AND('3. GRI Pricing'!$F352&gt;='2. GRI Pricing Inputs'!$AF$33,'3. GRI Pricing'!$F352&lt;='2. GRI Pricing Inputs'!$AG$33),'2. GRI Pricing Inputs'!$AF$32,IF(AND('3. GRI Pricing'!$F352&gt;='2. GRI Pricing Inputs'!$AH$33,'3. GRI Pricing'!$F352&lt;='2. GRI Pricing Inputs'!$AI$33),'2. GRI Pricing Inputs'!$AH$32,0))))))))))))))))</f>
        <v>0</v>
      </c>
      <c r="N352" s="273" cm="1">
        <f t="array" ref="N352">IFERROR(INDEX('2. GRI Pricing Inputs'!$C$32:$AI$39,MATCH('3. GRI Pricing'!D352,'2. GRI Pricing Inputs'!$C$32:$C$39,0),(MATCH('3. GRI Pricing'!M352,'2. GRI Pricing Inputs'!$D$32:$AI$32,0)+1)),0)</f>
        <v>0</v>
      </c>
      <c r="O352" s="273">
        <f>IFERROR(INDEX('2. GRI Pricing Inputs'!$C$45:$AI$46,MATCH($O$16,'2. GRI Pricing Inputs'!$C$45:$C$46,0),MATCH(G352,'2. GRI Pricing Inputs'!$C$45:$AI$45,0)),0)</f>
        <v>0</v>
      </c>
      <c r="P352" s="273">
        <f>IFERROR(INDEX('2. GRI Pricing Inputs'!$C$53:$AI$54,MATCH('3. GRI Pricing'!$P$16,'2. GRI Pricing Inputs'!$C$53:$C$54,0),MATCH('3. GRI Pricing'!H352,'2. GRI Pricing Inputs'!$C$53:$AI$53,0)),0)</f>
        <v>0</v>
      </c>
      <c r="Q352" s="273">
        <f>IFERROR(INDEX('2. GRI Pricing Inputs'!$C$60:$AI$61,MATCH('3. GRI Pricing'!$Q$16,'2. GRI Pricing Inputs'!$C$60:$C$61,0),MATCH('1. Accomodation'!T356,'2. GRI Pricing Inputs'!$C$60:$AI$60,0)),0)</f>
        <v>0</v>
      </c>
      <c r="R352" s="273">
        <f>IFERROR(INDEX('2. GRI Pricing Inputs'!$C$67:$AI$68,MATCH('3. GRI Pricing'!$R$16,'2. GRI Pricing Inputs'!$C$67:$C$68,0),MATCH('1. Accomodation'!U356,'2. GRI Pricing Inputs'!$C$67:$AI$67,0)),0)</f>
        <v>0</v>
      </c>
      <c r="S352" s="273">
        <f>IF(D352=0,0,'2. GRI Pricing Inputs'!$AI$75)</f>
        <v>0</v>
      </c>
      <c r="T352" s="273">
        <f>IFERROR(INDEX('2. GRI Pricing Inputs'!$C$82:$AI$83,MATCH('3. GRI Pricing'!$T$16,'2. GRI Pricing Inputs'!$C$82:$C$83,0),MATCH('1. Accomodation'!V356,'2. GRI Pricing Inputs'!$C$82:$AI$82,0)),0)</f>
        <v>0</v>
      </c>
      <c r="U352" s="273">
        <f>IFERROR(INDEX('2. GRI Pricing Inputs'!$C$89:$AI$90,MATCH('3. GRI Pricing'!$U$16,'2. GRI Pricing Inputs'!$C$89:$C$90,0),MATCH('1. Accomodation'!W356,'2. GRI Pricing Inputs'!$C$89:$AI$89,0)),0)</f>
        <v>0</v>
      </c>
      <c r="V352" s="273">
        <f>IFERROR(INDEX('2. GRI Pricing Inputs'!$C$97:$AI$98,MATCH('3. GRI Pricing'!$V$16,'2. GRI Pricing Inputs'!$C$97:$C$98,0),MATCH('1. Accomodation'!X356,'2. GRI Pricing Inputs'!$C$97:$AI$97,0)),0)</f>
        <v>0</v>
      </c>
      <c r="W352" s="273">
        <f>IFERROR(INDEX('2. GRI Pricing Inputs'!$C$104:$AI$105,MATCH('3. GRI Pricing'!$W$16,'2. GRI Pricing Inputs'!$C$104:$C$105,0),MATCH('1. Accomodation'!Y356,'2. GRI Pricing Inputs'!$C$104:$AI$104,0)),0)</f>
        <v>0</v>
      </c>
      <c r="X352" s="274"/>
      <c r="Y352" s="275">
        <f t="shared" si="12"/>
        <v>0</v>
      </c>
      <c r="Z352" s="276"/>
      <c r="AA352" s="276"/>
      <c r="AB352" s="276"/>
      <c r="AC352" s="272">
        <f>Y352*(1+'2. GRI Pricing Inputs'!$D$114)^(($AC$16-$AB$15)/365)</f>
        <v>0</v>
      </c>
      <c r="AD352" s="273">
        <f>AC352*(1+'2. GRI Pricing Inputs'!$D$114)^((AD$16-AC$16)/365)</f>
        <v>0</v>
      </c>
      <c r="AE352" s="273">
        <f>AD352*(1+'2. GRI Pricing Inputs'!$D$114)^((AE$16-AD$16)/365)</f>
        <v>0</v>
      </c>
      <c r="AF352" s="273">
        <f>AE352*(1+'2. GRI Pricing Inputs'!$D$114)^((AF$16-AE$16)/365)</f>
        <v>0</v>
      </c>
      <c r="AG352" s="273">
        <f>AF352*(1+'2. GRI Pricing Inputs'!$D$114)^((AG$16-AF$16)/365)</f>
        <v>0</v>
      </c>
      <c r="AH352" s="273">
        <f>AG352*(1+'2. GRI Pricing Inputs'!$D$114)^((AH$16-AG$16)/365)</f>
        <v>0</v>
      </c>
      <c r="AI352" s="273">
        <f>AH352*(1+'2. GRI Pricing Inputs'!$D$114)^((AI$16-AH$16)/365)</f>
        <v>0</v>
      </c>
      <c r="AJ352" s="273">
        <f>AI352*(1+'2. GRI Pricing Inputs'!$D$114)^((AJ$16-AI$16)/365)</f>
        <v>0</v>
      </c>
      <c r="AK352" s="273">
        <f>AJ352*(1+'2. GRI Pricing Inputs'!$D$114)^((AK$16-AJ$16)/365)</f>
        <v>0</v>
      </c>
      <c r="AL352" s="273">
        <f>AK352*(1+'2. GRI Pricing Inputs'!$D$114)^((AL$16-AK$16)/365)</f>
        <v>0</v>
      </c>
      <c r="AM352" s="273">
        <f>AL352*(1+'2. GRI Pricing Inputs'!$D$114)^((AM$16-AL$16)/365)</f>
        <v>0</v>
      </c>
      <c r="AN352" s="273">
        <f>AM352*(1+'2. GRI Pricing Inputs'!$D$114)^((AN$16-AM$16)/365)</f>
        <v>0</v>
      </c>
      <c r="AO352" s="273">
        <f>AN352*(1+'2. GRI Pricing Inputs'!$D$114)^((AO$16-AN$16)/365)</f>
        <v>0</v>
      </c>
    </row>
    <row r="353" spans="3:41" ht="12" x14ac:dyDescent="0.2">
      <c r="C353" s="76">
        <f>'1. Accomodation'!N357</f>
        <v>0</v>
      </c>
      <c r="D353" s="69">
        <f>'1. Accomodation'!P357</f>
        <v>0</v>
      </c>
      <c r="E353" s="69">
        <f>'1. Accomodation'!Q357</f>
        <v>0</v>
      </c>
      <c r="F353" s="77">
        <f>'1. Accomodation'!O357</f>
        <v>0</v>
      </c>
      <c r="G353" s="69">
        <f>'1. Accomodation'!R357</f>
        <v>0</v>
      </c>
      <c r="H353" s="69">
        <f>'1. Accomodation'!S357</f>
        <v>0</v>
      </c>
      <c r="I353" s="62"/>
      <c r="K353" s="272">
        <f>IFERROR(INDEX('2. GRI Pricing Inputs'!$C$15:$AI$16,MATCH($K$16,'2. GRI Pricing Inputs'!$C$15:$C$16,0),MATCH(D353,'2. GRI Pricing Inputs'!$C$15:$AI$15,0)),0)</f>
        <v>0</v>
      </c>
      <c r="L353" s="273">
        <f>IFERROR(INDEX('2. GRI Pricing Inputs'!$C$22:$AI$23,MATCH($L$16,'2. GRI Pricing Inputs'!$C$22:$C$23,0),MATCH(E353,'2. GRI Pricing Inputs'!$C$22:$AI$22,0)),0)</f>
        <v>0</v>
      </c>
      <c r="M353" s="328">
        <f>IF(AND('3. GRI Pricing'!$F353&gt;='2. GRI Pricing Inputs'!$D$33,'3. GRI Pricing'!$F353&lt;='2. GRI Pricing Inputs'!$E$33),'2. GRI Pricing Inputs'!$D$32,IF(AND('3. GRI Pricing'!$F353&gt;='2. GRI Pricing Inputs'!$F$33,'3. GRI Pricing'!$F353&lt;='2. GRI Pricing Inputs'!$G$33),'2. GRI Pricing Inputs'!$F$32,IF(AND('3. GRI Pricing'!$F353&gt;='2. GRI Pricing Inputs'!$H$33,'3. GRI Pricing'!$F353&lt;='2. GRI Pricing Inputs'!$I$33),'2. GRI Pricing Inputs'!$H$32,IF(AND('3. GRI Pricing'!$F353&gt;='2. GRI Pricing Inputs'!$J$33,'3. GRI Pricing'!$F353&lt;='2. GRI Pricing Inputs'!$K$33),'2. GRI Pricing Inputs'!$J$32,IF(AND('3. GRI Pricing'!$F353&gt;='2. GRI Pricing Inputs'!$L$33,'3. GRI Pricing'!$F353&lt;='2. GRI Pricing Inputs'!$M$33),'2. GRI Pricing Inputs'!$L$32,IF(AND('3. GRI Pricing'!$F353&gt;='2. GRI Pricing Inputs'!$N$33,'3. GRI Pricing'!$F353&lt;='2. GRI Pricing Inputs'!$O$33),'2. GRI Pricing Inputs'!$N$32,IF(AND('3. GRI Pricing'!$F353&gt;='2. GRI Pricing Inputs'!$P$33,'3. GRI Pricing'!$F353&lt;='2. GRI Pricing Inputs'!$Q$33),'2. GRI Pricing Inputs'!$P$32,IF(AND('3. GRI Pricing'!$F353&gt;='2. GRI Pricing Inputs'!$R$33,'3. GRI Pricing'!$F353&lt;='2. GRI Pricing Inputs'!$S$33),'2. GRI Pricing Inputs'!$R$32,IF(AND('3. GRI Pricing'!$F353&gt;='2. GRI Pricing Inputs'!$T$33,'3. GRI Pricing'!$F353&lt;='2. GRI Pricing Inputs'!$U$33),'2. GRI Pricing Inputs'!$T$32,IF(AND('3. GRI Pricing'!$F353&gt;='2. GRI Pricing Inputs'!$V$33,'3. GRI Pricing'!$F353&lt;='2. GRI Pricing Inputs'!$W$33),'2. GRI Pricing Inputs'!$V$32,IF(AND('3. GRI Pricing'!$F353&gt;='2. GRI Pricing Inputs'!$X$33,'3. GRI Pricing'!$F353&lt;='2. GRI Pricing Inputs'!$Y$33),'2. GRI Pricing Inputs'!$X$32,IF(AND('3. GRI Pricing'!$F353&gt;='2. GRI Pricing Inputs'!$Z$33,'3. GRI Pricing'!$F353&lt;='2. GRI Pricing Inputs'!$AA$33),'2. GRI Pricing Inputs'!$Z$32,IF(AND('3. GRI Pricing'!$F353&gt;='2. GRI Pricing Inputs'!$AB$33,'3. GRI Pricing'!$F353&lt;='2. GRI Pricing Inputs'!$AC$33),'2. GRI Pricing Inputs'!$AB$32,IF(AND('3. GRI Pricing'!$F353&gt;='2. GRI Pricing Inputs'!$AD$33,'3. GRI Pricing'!$F353&lt;='2. GRI Pricing Inputs'!$AE$33),'2. GRI Pricing Inputs'!$AD$32,IF(AND('3. GRI Pricing'!$F353&gt;='2. GRI Pricing Inputs'!$AF$33,'3. GRI Pricing'!$F353&lt;='2. GRI Pricing Inputs'!$AG$33),'2. GRI Pricing Inputs'!$AF$32,IF(AND('3. GRI Pricing'!$F353&gt;='2. GRI Pricing Inputs'!$AH$33,'3. GRI Pricing'!$F353&lt;='2. GRI Pricing Inputs'!$AI$33),'2. GRI Pricing Inputs'!$AH$32,0))))))))))))))))</f>
        <v>0</v>
      </c>
      <c r="N353" s="273" cm="1">
        <f t="array" ref="N353">IFERROR(INDEX('2. GRI Pricing Inputs'!$C$32:$AI$39,MATCH('3. GRI Pricing'!D353,'2. GRI Pricing Inputs'!$C$32:$C$39,0),(MATCH('3. GRI Pricing'!M353,'2. GRI Pricing Inputs'!$D$32:$AI$32,0)+1)),0)</f>
        <v>0</v>
      </c>
      <c r="O353" s="273">
        <f>IFERROR(INDEX('2. GRI Pricing Inputs'!$C$45:$AI$46,MATCH($O$16,'2. GRI Pricing Inputs'!$C$45:$C$46,0),MATCH(G353,'2. GRI Pricing Inputs'!$C$45:$AI$45,0)),0)</f>
        <v>0</v>
      </c>
      <c r="P353" s="273">
        <f>IFERROR(INDEX('2. GRI Pricing Inputs'!$C$53:$AI$54,MATCH('3. GRI Pricing'!$P$16,'2. GRI Pricing Inputs'!$C$53:$C$54,0),MATCH('3. GRI Pricing'!H353,'2. GRI Pricing Inputs'!$C$53:$AI$53,0)),0)</f>
        <v>0</v>
      </c>
      <c r="Q353" s="273">
        <f>IFERROR(INDEX('2. GRI Pricing Inputs'!$C$60:$AI$61,MATCH('3. GRI Pricing'!$Q$16,'2. GRI Pricing Inputs'!$C$60:$C$61,0),MATCH('1. Accomodation'!T357,'2. GRI Pricing Inputs'!$C$60:$AI$60,0)),0)</f>
        <v>0</v>
      </c>
      <c r="R353" s="273">
        <f>IFERROR(INDEX('2. GRI Pricing Inputs'!$C$67:$AI$68,MATCH('3. GRI Pricing'!$R$16,'2. GRI Pricing Inputs'!$C$67:$C$68,0),MATCH('1. Accomodation'!U357,'2. GRI Pricing Inputs'!$C$67:$AI$67,0)),0)</f>
        <v>0</v>
      </c>
      <c r="S353" s="273">
        <f>IF(D353=0,0,'2. GRI Pricing Inputs'!$AI$75)</f>
        <v>0</v>
      </c>
      <c r="T353" s="273">
        <f>IFERROR(INDEX('2. GRI Pricing Inputs'!$C$82:$AI$83,MATCH('3. GRI Pricing'!$T$16,'2. GRI Pricing Inputs'!$C$82:$C$83,0),MATCH('1. Accomodation'!V357,'2. GRI Pricing Inputs'!$C$82:$AI$82,0)),0)</f>
        <v>0</v>
      </c>
      <c r="U353" s="273">
        <f>IFERROR(INDEX('2. GRI Pricing Inputs'!$C$89:$AI$90,MATCH('3. GRI Pricing'!$U$16,'2. GRI Pricing Inputs'!$C$89:$C$90,0),MATCH('1. Accomodation'!W357,'2. GRI Pricing Inputs'!$C$89:$AI$89,0)),0)</f>
        <v>0</v>
      </c>
      <c r="V353" s="273">
        <f>IFERROR(INDEX('2. GRI Pricing Inputs'!$C$97:$AI$98,MATCH('3. GRI Pricing'!$V$16,'2. GRI Pricing Inputs'!$C$97:$C$98,0),MATCH('1. Accomodation'!X357,'2. GRI Pricing Inputs'!$C$97:$AI$97,0)),0)</f>
        <v>0</v>
      </c>
      <c r="W353" s="273">
        <f>IFERROR(INDEX('2. GRI Pricing Inputs'!$C$104:$AI$105,MATCH('3. GRI Pricing'!$W$16,'2. GRI Pricing Inputs'!$C$104:$C$105,0),MATCH('1. Accomodation'!Y357,'2. GRI Pricing Inputs'!$C$104:$AI$104,0)),0)</f>
        <v>0</v>
      </c>
      <c r="X353" s="274"/>
      <c r="Y353" s="275">
        <f t="shared" si="12"/>
        <v>0</v>
      </c>
      <c r="Z353" s="276"/>
      <c r="AA353" s="276"/>
      <c r="AB353" s="276"/>
      <c r="AC353" s="272">
        <f>Y353*(1+'2. GRI Pricing Inputs'!$D$114)^(($AC$16-$AB$15)/365)</f>
        <v>0</v>
      </c>
      <c r="AD353" s="273">
        <f>AC353*(1+'2. GRI Pricing Inputs'!$D$114)^((AD$16-AC$16)/365)</f>
        <v>0</v>
      </c>
      <c r="AE353" s="273">
        <f>AD353*(1+'2. GRI Pricing Inputs'!$D$114)^((AE$16-AD$16)/365)</f>
        <v>0</v>
      </c>
      <c r="AF353" s="273">
        <f>AE353*(1+'2. GRI Pricing Inputs'!$D$114)^((AF$16-AE$16)/365)</f>
        <v>0</v>
      </c>
      <c r="AG353" s="273">
        <f>AF353*(1+'2. GRI Pricing Inputs'!$D$114)^((AG$16-AF$16)/365)</f>
        <v>0</v>
      </c>
      <c r="AH353" s="273">
        <f>AG353*(1+'2. GRI Pricing Inputs'!$D$114)^((AH$16-AG$16)/365)</f>
        <v>0</v>
      </c>
      <c r="AI353" s="273">
        <f>AH353*(1+'2. GRI Pricing Inputs'!$D$114)^((AI$16-AH$16)/365)</f>
        <v>0</v>
      </c>
      <c r="AJ353" s="273">
        <f>AI353*(1+'2. GRI Pricing Inputs'!$D$114)^((AJ$16-AI$16)/365)</f>
        <v>0</v>
      </c>
      <c r="AK353" s="273">
        <f>AJ353*(1+'2. GRI Pricing Inputs'!$D$114)^((AK$16-AJ$16)/365)</f>
        <v>0</v>
      </c>
      <c r="AL353" s="273">
        <f>AK353*(1+'2. GRI Pricing Inputs'!$D$114)^((AL$16-AK$16)/365)</f>
        <v>0</v>
      </c>
      <c r="AM353" s="273">
        <f>AL353*(1+'2. GRI Pricing Inputs'!$D$114)^((AM$16-AL$16)/365)</f>
        <v>0</v>
      </c>
      <c r="AN353" s="273">
        <f>AM353*(1+'2. GRI Pricing Inputs'!$D$114)^((AN$16-AM$16)/365)</f>
        <v>0</v>
      </c>
      <c r="AO353" s="273">
        <f>AN353*(1+'2. GRI Pricing Inputs'!$D$114)^((AO$16-AN$16)/365)</f>
        <v>0</v>
      </c>
    </row>
    <row r="354" spans="3:41" ht="12" x14ac:dyDescent="0.2">
      <c r="C354" s="76">
        <f>'1. Accomodation'!N358</f>
        <v>0</v>
      </c>
      <c r="D354" s="69">
        <f>'1. Accomodation'!P358</f>
        <v>0</v>
      </c>
      <c r="E354" s="69">
        <f>'1. Accomodation'!Q358</f>
        <v>0</v>
      </c>
      <c r="F354" s="77">
        <f>'1. Accomodation'!O358</f>
        <v>0</v>
      </c>
      <c r="G354" s="69">
        <f>'1. Accomodation'!R358</f>
        <v>0</v>
      </c>
      <c r="H354" s="69">
        <f>'1. Accomodation'!S358</f>
        <v>0</v>
      </c>
      <c r="I354" s="62"/>
      <c r="K354" s="272">
        <f>IFERROR(INDEX('2. GRI Pricing Inputs'!$C$15:$AI$16,MATCH($K$16,'2. GRI Pricing Inputs'!$C$15:$C$16,0),MATCH(D354,'2. GRI Pricing Inputs'!$C$15:$AI$15,0)),0)</f>
        <v>0</v>
      </c>
      <c r="L354" s="273">
        <f>IFERROR(INDEX('2. GRI Pricing Inputs'!$C$22:$AI$23,MATCH($L$16,'2. GRI Pricing Inputs'!$C$22:$C$23,0),MATCH(E354,'2. GRI Pricing Inputs'!$C$22:$AI$22,0)),0)</f>
        <v>0</v>
      </c>
      <c r="M354" s="328">
        <f>IF(AND('3. GRI Pricing'!$F354&gt;='2. GRI Pricing Inputs'!$D$33,'3. GRI Pricing'!$F354&lt;='2. GRI Pricing Inputs'!$E$33),'2. GRI Pricing Inputs'!$D$32,IF(AND('3. GRI Pricing'!$F354&gt;='2. GRI Pricing Inputs'!$F$33,'3. GRI Pricing'!$F354&lt;='2. GRI Pricing Inputs'!$G$33),'2. GRI Pricing Inputs'!$F$32,IF(AND('3. GRI Pricing'!$F354&gt;='2. GRI Pricing Inputs'!$H$33,'3. GRI Pricing'!$F354&lt;='2. GRI Pricing Inputs'!$I$33),'2. GRI Pricing Inputs'!$H$32,IF(AND('3. GRI Pricing'!$F354&gt;='2. GRI Pricing Inputs'!$J$33,'3. GRI Pricing'!$F354&lt;='2. GRI Pricing Inputs'!$K$33),'2. GRI Pricing Inputs'!$J$32,IF(AND('3. GRI Pricing'!$F354&gt;='2. GRI Pricing Inputs'!$L$33,'3. GRI Pricing'!$F354&lt;='2. GRI Pricing Inputs'!$M$33),'2. GRI Pricing Inputs'!$L$32,IF(AND('3. GRI Pricing'!$F354&gt;='2. GRI Pricing Inputs'!$N$33,'3. GRI Pricing'!$F354&lt;='2. GRI Pricing Inputs'!$O$33),'2. GRI Pricing Inputs'!$N$32,IF(AND('3. GRI Pricing'!$F354&gt;='2. GRI Pricing Inputs'!$P$33,'3. GRI Pricing'!$F354&lt;='2. GRI Pricing Inputs'!$Q$33),'2. GRI Pricing Inputs'!$P$32,IF(AND('3. GRI Pricing'!$F354&gt;='2. GRI Pricing Inputs'!$R$33,'3. GRI Pricing'!$F354&lt;='2. GRI Pricing Inputs'!$S$33),'2. GRI Pricing Inputs'!$R$32,IF(AND('3. GRI Pricing'!$F354&gt;='2. GRI Pricing Inputs'!$T$33,'3. GRI Pricing'!$F354&lt;='2. GRI Pricing Inputs'!$U$33),'2. GRI Pricing Inputs'!$T$32,IF(AND('3. GRI Pricing'!$F354&gt;='2. GRI Pricing Inputs'!$V$33,'3. GRI Pricing'!$F354&lt;='2. GRI Pricing Inputs'!$W$33),'2. GRI Pricing Inputs'!$V$32,IF(AND('3. GRI Pricing'!$F354&gt;='2. GRI Pricing Inputs'!$X$33,'3. GRI Pricing'!$F354&lt;='2. GRI Pricing Inputs'!$Y$33),'2. GRI Pricing Inputs'!$X$32,IF(AND('3. GRI Pricing'!$F354&gt;='2. GRI Pricing Inputs'!$Z$33,'3. GRI Pricing'!$F354&lt;='2. GRI Pricing Inputs'!$AA$33),'2. GRI Pricing Inputs'!$Z$32,IF(AND('3. GRI Pricing'!$F354&gt;='2. GRI Pricing Inputs'!$AB$33,'3. GRI Pricing'!$F354&lt;='2. GRI Pricing Inputs'!$AC$33),'2. GRI Pricing Inputs'!$AB$32,IF(AND('3. GRI Pricing'!$F354&gt;='2. GRI Pricing Inputs'!$AD$33,'3. GRI Pricing'!$F354&lt;='2. GRI Pricing Inputs'!$AE$33),'2. GRI Pricing Inputs'!$AD$32,IF(AND('3. GRI Pricing'!$F354&gt;='2. GRI Pricing Inputs'!$AF$33,'3. GRI Pricing'!$F354&lt;='2. GRI Pricing Inputs'!$AG$33),'2. GRI Pricing Inputs'!$AF$32,IF(AND('3. GRI Pricing'!$F354&gt;='2. GRI Pricing Inputs'!$AH$33,'3. GRI Pricing'!$F354&lt;='2. GRI Pricing Inputs'!$AI$33),'2. GRI Pricing Inputs'!$AH$32,0))))))))))))))))</f>
        <v>0</v>
      </c>
      <c r="N354" s="273" cm="1">
        <f t="array" ref="N354">IFERROR(INDEX('2. GRI Pricing Inputs'!$C$32:$AI$39,MATCH('3. GRI Pricing'!D354,'2. GRI Pricing Inputs'!$C$32:$C$39,0),(MATCH('3. GRI Pricing'!M354,'2. GRI Pricing Inputs'!$D$32:$AI$32,0)+1)),0)</f>
        <v>0</v>
      </c>
      <c r="O354" s="273">
        <f>IFERROR(INDEX('2. GRI Pricing Inputs'!$C$45:$AI$46,MATCH($O$16,'2. GRI Pricing Inputs'!$C$45:$C$46,0),MATCH(G354,'2. GRI Pricing Inputs'!$C$45:$AI$45,0)),0)</f>
        <v>0</v>
      </c>
      <c r="P354" s="273">
        <f>IFERROR(INDEX('2. GRI Pricing Inputs'!$C$53:$AI$54,MATCH('3. GRI Pricing'!$P$16,'2. GRI Pricing Inputs'!$C$53:$C$54,0),MATCH('3. GRI Pricing'!H354,'2. GRI Pricing Inputs'!$C$53:$AI$53,0)),0)</f>
        <v>0</v>
      </c>
      <c r="Q354" s="273">
        <f>IFERROR(INDEX('2. GRI Pricing Inputs'!$C$60:$AI$61,MATCH('3. GRI Pricing'!$Q$16,'2. GRI Pricing Inputs'!$C$60:$C$61,0),MATCH('1. Accomodation'!T358,'2. GRI Pricing Inputs'!$C$60:$AI$60,0)),0)</f>
        <v>0</v>
      </c>
      <c r="R354" s="273">
        <f>IFERROR(INDEX('2. GRI Pricing Inputs'!$C$67:$AI$68,MATCH('3. GRI Pricing'!$R$16,'2. GRI Pricing Inputs'!$C$67:$C$68,0),MATCH('1. Accomodation'!U358,'2. GRI Pricing Inputs'!$C$67:$AI$67,0)),0)</f>
        <v>0</v>
      </c>
      <c r="S354" s="273">
        <f>IF(D354=0,0,'2. GRI Pricing Inputs'!$AI$75)</f>
        <v>0</v>
      </c>
      <c r="T354" s="273">
        <f>IFERROR(INDEX('2. GRI Pricing Inputs'!$C$82:$AI$83,MATCH('3. GRI Pricing'!$T$16,'2. GRI Pricing Inputs'!$C$82:$C$83,0),MATCH('1. Accomodation'!V358,'2. GRI Pricing Inputs'!$C$82:$AI$82,0)),0)</f>
        <v>0</v>
      </c>
      <c r="U354" s="273">
        <f>IFERROR(INDEX('2. GRI Pricing Inputs'!$C$89:$AI$90,MATCH('3. GRI Pricing'!$U$16,'2. GRI Pricing Inputs'!$C$89:$C$90,0),MATCH('1. Accomodation'!W358,'2. GRI Pricing Inputs'!$C$89:$AI$89,0)),0)</f>
        <v>0</v>
      </c>
      <c r="V354" s="273">
        <f>IFERROR(INDEX('2. GRI Pricing Inputs'!$C$97:$AI$98,MATCH('3. GRI Pricing'!$V$16,'2. GRI Pricing Inputs'!$C$97:$C$98,0),MATCH('1. Accomodation'!X358,'2. GRI Pricing Inputs'!$C$97:$AI$97,0)),0)</f>
        <v>0</v>
      </c>
      <c r="W354" s="273">
        <f>IFERROR(INDEX('2. GRI Pricing Inputs'!$C$104:$AI$105,MATCH('3. GRI Pricing'!$W$16,'2. GRI Pricing Inputs'!$C$104:$C$105,0),MATCH('1. Accomodation'!Y358,'2. GRI Pricing Inputs'!$C$104:$AI$104,0)),0)</f>
        <v>0</v>
      </c>
      <c r="X354" s="274"/>
      <c r="Y354" s="275">
        <f t="shared" si="12"/>
        <v>0</v>
      </c>
      <c r="Z354" s="276"/>
      <c r="AA354" s="276"/>
      <c r="AB354" s="276"/>
      <c r="AC354" s="272">
        <f>Y354*(1+'2. GRI Pricing Inputs'!$D$114)^(($AC$16-$AB$15)/365)</f>
        <v>0</v>
      </c>
      <c r="AD354" s="273">
        <f>AC354*(1+'2. GRI Pricing Inputs'!$D$114)^((AD$16-AC$16)/365)</f>
        <v>0</v>
      </c>
      <c r="AE354" s="273">
        <f>AD354*(1+'2. GRI Pricing Inputs'!$D$114)^((AE$16-AD$16)/365)</f>
        <v>0</v>
      </c>
      <c r="AF354" s="273">
        <f>AE354*(1+'2. GRI Pricing Inputs'!$D$114)^((AF$16-AE$16)/365)</f>
        <v>0</v>
      </c>
      <c r="AG354" s="273">
        <f>AF354*(1+'2. GRI Pricing Inputs'!$D$114)^((AG$16-AF$16)/365)</f>
        <v>0</v>
      </c>
      <c r="AH354" s="273">
        <f>AG354*(1+'2. GRI Pricing Inputs'!$D$114)^((AH$16-AG$16)/365)</f>
        <v>0</v>
      </c>
      <c r="AI354" s="273">
        <f>AH354*(1+'2. GRI Pricing Inputs'!$D$114)^((AI$16-AH$16)/365)</f>
        <v>0</v>
      </c>
      <c r="AJ354" s="273">
        <f>AI354*(1+'2. GRI Pricing Inputs'!$D$114)^((AJ$16-AI$16)/365)</f>
        <v>0</v>
      </c>
      <c r="AK354" s="273">
        <f>AJ354*(1+'2. GRI Pricing Inputs'!$D$114)^((AK$16-AJ$16)/365)</f>
        <v>0</v>
      </c>
      <c r="AL354" s="273">
        <f>AK354*(1+'2. GRI Pricing Inputs'!$D$114)^((AL$16-AK$16)/365)</f>
        <v>0</v>
      </c>
      <c r="AM354" s="273">
        <f>AL354*(1+'2. GRI Pricing Inputs'!$D$114)^((AM$16-AL$16)/365)</f>
        <v>0</v>
      </c>
      <c r="AN354" s="273">
        <f>AM354*(1+'2. GRI Pricing Inputs'!$D$114)^((AN$16-AM$16)/365)</f>
        <v>0</v>
      </c>
      <c r="AO354" s="273">
        <f>AN354*(1+'2. GRI Pricing Inputs'!$D$114)^((AO$16-AN$16)/365)</f>
        <v>0</v>
      </c>
    </row>
    <row r="355" spans="3:41" ht="12" x14ac:dyDescent="0.2">
      <c r="C355" s="76">
        <f>'1. Accomodation'!N359</f>
        <v>0</v>
      </c>
      <c r="D355" s="69">
        <f>'1. Accomodation'!P359</f>
        <v>0</v>
      </c>
      <c r="E355" s="69">
        <f>'1. Accomodation'!Q359</f>
        <v>0</v>
      </c>
      <c r="F355" s="77">
        <f>'1. Accomodation'!O359</f>
        <v>0</v>
      </c>
      <c r="G355" s="69">
        <f>'1. Accomodation'!R359</f>
        <v>0</v>
      </c>
      <c r="H355" s="69">
        <f>'1. Accomodation'!S359</f>
        <v>0</v>
      </c>
      <c r="I355" s="62"/>
      <c r="K355" s="272">
        <f>IFERROR(INDEX('2. GRI Pricing Inputs'!$C$15:$AI$16,MATCH($K$16,'2. GRI Pricing Inputs'!$C$15:$C$16,0),MATCH(D355,'2. GRI Pricing Inputs'!$C$15:$AI$15,0)),0)</f>
        <v>0</v>
      </c>
      <c r="L355" s="273">
        <f>IFERROR(INDEX('2. GRI Pricing Inputs'!$C$22:$AI$23,MATCH($L$16,'2. GRI Pricing Inputs'!$C$22:$C$23,0),MATCH(E355,'2. GRI Pricing Inputs'!$C$22:$AI$22,0)),0)</f>
        <v>0</v>
      </c>
      <c r="M355" s="328">
        <f>IF(AND('3. GRI Pricing'!$F355&gt;='2. GRI Pricing Inputs'!$D$33,'3. GRI Pricing'!$F355&lt;='2. GRI Pricing Inputs'!$E$33),'2. GRI Pricing Inputs'!$D$32,IF(AND('3. GRI Pricing'!$F355&gt;='2. GRI Pricing Inputs'!$F$33,'3. GRI Pricing'!$F355&lt;='2. GRI Pricing Inputs'!$G$33),'2. GRI Pricing Inputs'!$F$32,IF(AND('3. GRI Pricing'!$F355&gt;='2. GRI Pricing Inputs'!$H$33,'3. GRI Pricing'!$F355&lt;='2. GRI Pricing Inputs'!$I$33),'2. GRI Pricing Inputs'!$H$32,IF(AND('3. GRI Pricing'!$F355&gt;='2. GRI Pricing Inputs'!$J$33,'3. GRI Pricing'!$F355&lt;='2. GRI Pricing Inputs'!$K$33),'2. GRI Pricing Inputs'!$J$32,IF(AND('3. GRI Pricing'!$F355&gt;='2. GRI Pricing Inputs'!$L$33,'3. GRI Pricing'!$F355&lt;='2. GRI Pricing Inputs'!$M$33),'2. GRI Pricing Inputs'!$L$32,IF(AND('3. GRI Pricing'!$F355&gt;='2. GRI Pricing Inputs'!$N$33,'3. GRI Pricing'!$F355&lt;='2. GRI Pricing Inputs'!$O$33),'2. GRI Pricing Inputs'!$N$32,IF(AND('3. GRI Pricing'!$F355&gt;='2. GRI Pricing Inputs'!$P$33,'3. GRI Pricing'!$F355&lt;='2. GRI Pricing Inputs'!$Q$33),'2. GRI Pricing Inputs'!$P$32,IF(AND('3. GRI Pricing'!$F355&gt;='2. GRI Pricing Inputs'!$R$33,'3. GRI Pricing'!$F355&lt;='2. GRI Pricing Inputs'!$S$33),'2. GRI Pricing Inputs'!$R$32,IF(AND('3. GRI Pricing'!$F355&gt;='2. GRI Pricing Inputs'!$T$33,'3. GRI Pricing'!$F355&lt;='2. GRI Pricing Inputs'!$U$33),'2. GRI Pricing Inputs'!$T$32,IF(AND('3. GRI Pricing'!$F355&gt;='2. GRI Pricing Inputs'!$V$33,'3. GRI Pricing'!$F355&lt;='2. GRI Pricing Inputs'!$W$33),'2. GRI Pricing Inputs'!$V$32,IF(AND('3. GRI Pricing'!$F355&gt;='2. GRI Pricing Inputs'!$X$33,'3. GRI Pricing'!$F355&lt;='2. GRI Pricing Inputs'!$Y$33),'2. GRI Pricing Inputs'!$X$32,IF(AND('3. GRI Pricing'!$F355&gt;='2. GRI Pricing Inputs'!$Z$33,'3. GRI Pricing'!$F355&lt;='2. GRI Pricing Inputs'!$AA$33),'2. GRI Pricing Inputs'!$Z$32,IF(AND('3. GRI Pricing'!$F355&gt;='2. GRI Pricing Inputs'!$AB$33,'3. GRI Pricing'!$F355&lt;='2. GRI Pricing Inputs'!$AC$33),'2. GRI Pricing Inputs'!$AB$32,IF(AND('3. GRI Pricing'!$F355&gt;='2. GRI Pricing Inputs'!$AD$33,'3. GRI Pricing'!$F355&lt;='2. GRI Pricing Inputs'!$AE$33),'2. GRI Pricing Inputs'!$AD$32,IF(AND('3. GRI Pricing'!$F355&gt;='2. GRI Pricing Inputs'!$AF$33,'3. GRI Pricing'!$F355&lt;='2. GRI Pricing Inputs'!$AG$33),'2. GRI Pricing Inputs'!$AF$32,IF(AND('3. GRI Pricing'!$F355&gt;='2. GRI Pricing Inputs'!$AH$33,'3. GRI Pricing'!$F355&lt;='2. GRI Pricing Inputs'!$AI$33),'2. GRI Pricing Inputs'!$AH$32,0))))))))))))))))</f>
        <v>0</v>
      </c>
      <c r="N355" s="273" cm="1">
        <f t="array" ref="N355">IFERROR(INDEX('2. GRI Pricing Inputs'!$C$32:$AI$39,MATCH('3. GRI Pricing'!D355,'2. GRI Pricing Inputs'!$C$32:$C$39,0),(MATCH('3. GRI Pricing'!M355,'2. GRI Pricing Inputs'!$D$32:$AI$32,0)+1)),0)</f>
        <v>0</v>
      </c>
      <c r="O355" s="273">
        <f>IFERROR(INDEX('2. GRI Pricing Inputs'!$C$45:$AI$46,MATCH($O$16,'2. GRI Pricing Inputs'!$C$45:$C$46,0),MATCH(G355,'2. GRI Pricing Inputs'!$C$45:$AI$45,0)),0)</f>
        <v>0</v>
      </c>
      <c r="P355" s="273">
        <f>IFERROR(INDEX('2. GRI Pricing Inputs'!$C$53:$AI$54,MATCH('3. GRI Pricing'!$P$16,'2. GRI Pricing Inputs'!$C$53:$C$54,0),MATCH('3. GRI Pricing'!H355,'2. GRI Pricing Inputs'!$C$53:$AI$53,0)),0)</f>
        <v>0</v>
      </c>
      <c r="Q355" s="273">
        <f>IFERROR(INDEX('2. GRI Pricing Inputs'!$C$60:$AI$61,MATCH('3. GRI Pricing'!$Q$16,'2. GRI Pricing Inputs'!$C$60:$C$61,0),MATCH('1. Accomodation'!T359,'2. GRI Pricing Inputs'!$C$60:$AI$60,0)),0)</f>
        <v>0</v>
      </c>
      <c r="R355" s="273">
        <f>IFERROR(INDEX('2. GRI Pricing Inputs'!$C$67:$AI$68,MATCH('3. GRI Pricing'!$R$16,'2. GRI Pricing Inputs'!$C$67:$C$68,0),MATCH('1. Accomodation'!U359,'2. GRI Pricing Inputs'!$C$67:$AI$67,0)),0)</f>
        <v>0</v>
      </c>
      <c r="S355" s="273">
        <f>IF(D355=0,0,'2. GRI Pricing Inputs'!$AI$75)</f>
        <v>0</v>
      </c>
      <c r="T355" s="273">
        <f>IFERROR(INDEX('2. GRI Pricing Inputs'!$C$82:$AI$83,MATCH('3. GRI Pricing'!$T$16,'2. GRI Pricing Inputs'!$C$82:$C$83,0),MATCH('1. Accomodation'!V359,'2. GRI Pricing Inputs'!$C$82:$AI$82,0)),0)</f>
        <v>0</v>
      </c>
      <c r="U355" s="273">
        <f>IFERROR(INDEX('2. GRI Pricing Inputs'!$C$89:$AI$90,MATCH('3. GRI Pricing'!$U$16,'2. GRI Pricing Inputs'!$C$89:$C$90,0),MATCH('1. Accomodation'!W359,'2. GRI Pricing Inputs'!$C$89:$AI$89,0)),0)</f>
        <v>0</v>
      </c>
      <c r="V355" s="273">
        <f>IFERROR(INDEX('2. GRI Pricing Inputs'!$C$97:$AI$98,MATCH('3. GRI Pricing'!$V$16,'2. GRI Pricing Inputs'!$C$97:$C$98,0),MATCH('1. Accomodation'!X359,'2. GRI Pricing Inputs'!$C$97:$AI$97,0)),0)</f>
        <v>0</v>
      </c>
      <c r="W355" s="273">
        <f>IFERROR(INDEX('2. GRI Pricing Inputs'!$C$104:$AI$105,MATCH('3. GRI Pricing'!$W$16,'2. GRI Pricing Inputs'!$C$104:$C$105,0),MATCH('1. Accomodation'!Y359,'2. GRI Pricing Inputs'!$C$104:$AI$104,0)),0)</f>
        <v>0</v>
      </c>
      <c r="X355" s="274"/>
      <c r="Y355" s="275">
        <f t="shared" si="12"/>
        <v>0</v>
      </c>
      <c r="Z355" s="276"/>
      <c r="AA355" s="276"/>
      <c r="AB355" s="276"/>
      <c r="AC355" s="272">
        <f>Y355*(1+'2. GRI Pricing Inputs'!$D$114)^(($AC$16-$AB$15)/365)</f>
        <v>0</v>
      </c>
      <c r="AD355" s="273">
        <f>AC355*(1+'2. GRI Pricing Inputs'!$D$114)^((AD$16-AC$16)/365)</f>
        <v>0</v>
      </c>
      <c r="AE355" s="273">
        <f>AD355*(1+'2. GRI Pricing Inputs'!$D$114)^((AE$16-AD$16)/365)</f>
        <v>0</v>
      </c>
      <c r="AF355" s="273">
        <f>AE355*(1+'2. GRI Pricing Inputs'!$D$114)^((AF$16-AE$16)/365)</f>
        <v>0</v>
      </c>
      <c r="AG355" s="273">
        <f>AF355*(1+'2. GRI Pricing Inputs'!$D$114)^((AG$16-AF$16)/365)</f>
        <v>0</v>
      </c>
      <c r="AH355" s="273">
        <f>AG355*(1+'2. GRI Pricing Inputs'!$D$114)^((AH$16-AG$16)/365)</f>
        <v>0</v>
      </c>
      <c r="AI355" s="273">
        <f>AH355*(1+'2. GRI Pricing Inputs'!$D$114)^((AI$16-AH$16)/365)</f>
        <v>0</v>
      </c>
      <c r="AJ355" s="273">
        <f>AI355*(1+'2. GRI Pricing Inputs'!$D$114)^((AJ$16-AI$16)/365)</f>
        <v>0</v>
      </c>
      <c r="AK355" s="273">
        <f>AJ355*(1+'2. GRI Pricing Inputs'!$D$114)^((AK$16-AJ$16)/365)</f>
        <v>0</v>
      </c>
      <c r="AL355" s="273">
        <f>AK355*(1+'2. GRI Pricing Inputs'!$D$114)^((AL$16-AK$16)/365)</f>
        <v>0</v>
      </c>
      <c r="AM355" s="273">
        <f>AL355*(1+'2. GRI Pricing Inputs'!$D$114)^((AM$16-AL$16)/365)</f>
        <v>0</v>
      </c>
      <c r="AN355" s="273">
        <f>AM355*(1+'2. GRI Pricing Inputs'!$D$114)^((AN$16-AM$16)/365)</f>
        <v>0</v>
      </c>
      <c r="AO355" s="273">
        <f>AN355*(1+'2. GRI Pricing Inputs'!$D$114)^((AO$16-AN$16)/365)</f>
        <v>0</v>
      </c>
    </row>
    <row r="356" spans="3:41" ht="12" x14ac:dyDescent="0.2">
      <c r="C356" s="76">
        <f>'1. Accomodation'!N360</f>
        <v>0</v>
      </c>
      <c r="D356" s="69">
        <f>'1. Accomodation'!P360</f>
        <v>0</v>
      </c>
      <c r="E356" s="69">
        <f>'1. Accomodation'!Q360</f>
        <v>0</v>
      </c>
      <c r="F356" s="77">
        <f>'1. Accomodation'!O360</f>
        <v>0</v>
      </c>
      <c r="G356" s="69">
        <f>'1. Accomodation'!R360</f>
        <v>0</v>
      </c>
      <c r="H356" s="69">
        <f>'1. Accomodation'!S360</f>
        <v>0</v>
      </c>
      <c r="I356" s="62"/>
      <c r="K356" s="272">
        <f>IFERROR(INDEX('2. GRI Pricing Inputs'!$C$15:$AI$16,MATCH($K$16,'2. GRI Pricing Inputs'!$C$15:$C$16,0),MATCH(D356,'2. GRI Pricing Inputs'!$C$15:$AI$15,0)),0)</f>
        <v>0</v>
      </c>
      <c r="L356" s="273">
        <f>IFERROR(INDEX('2. GRI Pricing Inputs'!$C$22:$AI$23,MATCH($L$16,'2. GRI Pricing Inputs'!$C$22:$C$23,0),MATCH(E356,'2. GRI Pricing Inputs'!$C$22:$AI$22,0)),0)</f>
        <v>0</v>
      </c>
      <c r="M356" s="328">
        <f>IF(AND('3. GRI Pricing'!$F356&gt;='2. GRI Pricing Inputs'!$D$33,'3. GRI Pricing'!$F356&lt;='2. GRI Pricing Inputs'!$E$33),'2. GRI Pricing Inputs'!$D$32,IF(AND('3. GRI Pricing'!$F356&gt;='2. GRI Pricing Inputs'!$F$33,'3. GRI Pricing'!$F356&lt;='2. GRI Pricing Inputs'!$G$33),'2. GRI Pricing Inputs'!$F$32,IF(AND('3. GRI Pricing'!$F356&gt;='2. GRI Pricing Inputs'!$H$33,'3. GRI Pricing'!$F356&lt;='2. GRI Pricing Inputs'!$I$33),'2. GRI Pricing Inputs'!$H$32,IF(AND('3. GRI Pricing'!$F356&gt;='2. GRI Pricing Inputs'!$J$33,'3. GRI Pricing'!$F356&lt;='2. GRI Pricing Inputs'!$K$33),'2. GRI Pricing Inputs'!$J$32,IF(AND('3. GRI Pricing'!$F356&gt;='2. GRI Pricing Inputs'!$L$33,'3. GRI Pricing'!$F356&lt;='2. GRI Pricing Inputs'!$M$33),'2. GRI Pricing Inputs'!$L$32,IF(AND('3. GRI Pricing'!$F356&gt;='2. GRI Pricing Inputs'!$N$33,'3. GRI Pricing'!$F356&lt;='2. GRI Pricing Inputs'!$O$33),'2. GRI Pricing Inputs'!$N$32,IF(AND('3. GRI Pricing'!$F356&gt;='2. GRI Pricing Inputs'!$P$33,'3. GRI Pricing'!$F356&lt;='2. GRI Pricing Inputs'!$Q$33),'2. GRI Pricing Inputs'!$P$32,IF(AND('3. GRI Pricing'!$F356&gt;='2. GRI Pricing Inputs'!$R$33,'3. GRI Pricing'!$F356&lt;='2. GRI Pricing Inputs'!$S$33),'2. GRI Pricing Inputs'!$R$32,IF(AND('3. GRI Pricing'!$F356&gt;='2. GRI Pricing Inputs'!$T$33,'3. GRI Pricing'!$F356&lt;='2. GRI Pricing Inputs'!$U$33),'2. GRI Pricing Inputs'!$T$32,IF(AND('3. GRI Pricing'!$F356&gt;='2. GRI Pricing Inputs'!$V$33,'3. GRI Pricing'!$F356&lt;='2. GRI Pricing Inputs'!$W$33),'2. GRI Pricing Inputs'!$V$32,IF(AND('3. GRI Pricing'!$F356&gt;='2. GRI Pricing Inputs'!$X$33,'3. GRI Pricing'!$F356&lt;='2. GRI Pricing Inputs'!$Y$33),'2. GRI Pricing Inputs'!$X$32,IF(AND('3. GRI Pricing'!$F356&gt;='2. GRI Pricing Inputs'!$Z$33,'3. GRI Pricing'!$F356&lt;='2. GRI Pricing Inputs'!$AA$33),'2. GRI Pricing Inputs'!$Z$32,IF(AND('3. GRI Pricing'!$F356&gt;='2. GRI Pricing Inputs'!$AB$33,'3. GRI Pricing'!$F356&lt;='2. GRI Pricing Inputs'!$AC$33),'2. GRI Pricing Inputs'!$AB$32,IF(AND('3. GRI Pricing'!$F356&gt;='2. GRI Pricing Inputs'!$AD$33,'3. GRI Pricing'!$F356&lt;='2. GRI Pricing Inputs'!$AE$33),'2. GRI Pricing Inputs'!$AD$32,IF(AND('3. GRI Pricing'!$F356&gt;='2. GRI Pricing Inputs'!$AF$33,'3. GRI Pricing'!$F356&lt;='2. GRI Pricing Inputs'!$AG$33),'2. GRI Pricing Inputs'!$AF$32,IF(AND('3. GRI Pricing'!$F356&gt;='2. GRI Pricing Inputs'!$AH$33,'3. GRI Pricing'!$F356&lt;='2. GRI Pricing Inputs'!$AI$33),'2. GRI Pricing Inputs'!$AH$32,0))))))))))))))))</f>
        <v>0</v>
      </c>
      <c r="N356" s="273" cm="1">
        <f t="array" ref="N356">IFERROR(INDEX('2. GRI Pricing Inputs'!$C$32:$AI$39,MATCH('3. GRI Pricing'!D356,'2. GRI Pricing Inputs'!$C$32:$C$39,0),(MATCH('3. GRI Pricing'!M356,'2. GRI Pricing Inputs'!$D$32:$AI$32,0)+1)),0)</f>
        <v>0</v>
      </c>
      <c r="O356" s="273">
        <f>IFERROR(INDEX('2. GRI Pricing Inputs'!$C$45:$AI$46,MATCH($O$16,'2. GRI Pricing Inputs'!$C$45:$C$46,0),MATCH(G356,'2. GRI Pricing Inputs'!$C$45:$AI$45,0)),0)</f>
        <v>0</v>
      </c>
      <c r="P356" s="273">
        <f>IFERROR(INDEX('2. GRI Pricing Inputs'!$C$53:$AI$54,MATCH('3. GRI Pricing'!$P$16,'2. GRI Pricing Inputs'!$C$53:$C$54,0),MATCH('3. GRI Pricing'!H356,'2. GRI Pricing Inputs'!$C$53:$AI$53,0)),0)</f>
        <v>0</v>
      </c>
      <c r="Q356" s="273">
        <f>IFERROR(INDEX('2. GRI Pricing Inputs'!$C$60:$AI$61,MATCH('3. GRI Pricing'!$Q$16,'2. GRI Pricing Inputs'!$C$60:$C$61,0),MATCH('1. Accomodation'!T360,'2. GRI Pricing Inputs'!$C$60:$AI$60,0)),0)</f>
        <v>0</v>
      </c>
      <c r="R356" s="273">
        <f>IFERROR(INDEX('2. GRI Pricing Inputs'!$C$67:$AI$68,MATCH('3. GRI Pricing'!$R$16,'2. GRI Pricing Inputs'!$C$67:$C$68,0),MATCH('1. Accomodation'!U360,'2. GRI Pricing Inputs'!$C$67:$AI$67,0)),0)</f>
        <v>0</v>
      </c>
      <c r="S356" s="273">
        <f>IF(D356=0,0,'2. GRI Pricing Inputs'!$AI$75)</f>
        <v>0</v>
      </c>
      <c r="T356" s="273">
        <f>IFERROR(INDEX('2. GRI Pricing Inputs'!$C$82:$AI$83,MATCH('3. GRI Pricing'!$T$16,'2. GRI Pricing Inputs'!$C$82:$C$83,0),MATCH('1. Accomodation'!V360,'2. GRI Pricing Inputs'!$C$82:$AI$82,0)),0)</f>
        <v>0</v>
      </c>
      <c r="U356" s="273">
        <f>IFERROR(INDEX('2. GRI Pricing Inputs'!$C$89:$AI$90,MATCH('3. GRI Pricing'!$U$16,'2. GRI Pricing Inputs'!$C$89:$C$90,0),MATCH('1. Accomodation'!W360,'2. GRI Pricing Inputs'!$C$89:$AI$89,0)),0)</f>
        <v>0</v>
      </c>
      <c r="V356" s="273">
        <f>IFERROR(INDEX('2. GRI Pricing Inputs'!$C$97:$AI$98,MATCH('3. GRI Pricing'!$V$16,'2. GRI Pricing Inputs'!$C$97:$C$98,0),MATCH('1. Accomodation'!X360,'2. GRI Pricing Inputs'!$C$97:$AI$97,0)),0)</f>
        <v>0</v>
      </c>
      <c r="W356" s="273">
        <f>IFERROR(INDEX('2. GRI Pricing Inputs'!$C$104:$AI$105,MATCH('3. GRI Pricing'!$W$16,'2. GRI Pricing Inputs'!$C$104:$C$105,0),MATCH('1. Accomodation'!Y360,'2. GRI Pricing Inputs'!$C$104:$AI$104,0)),0)</f>
        <v>0</v>
      </c>
      <c r="X356" s="274"/>
      <c r="Y356" s="275">
        <f t="shared" si="12"/>
        <v>0</v>
      </c>
      <c r="Z356" s="276"/>
      <c r="AA356" s="276"/>
      <c r="AB356" s="276"/>
      <c r="AC356" s="272">
        <f>Y356*(1+'2. GRI Pricing Inputs'!$D$114)^(($AC$16-$AB$15)/365)</f>
        <v>0</v>
      </c>
      <c r="AD356" s="273">
        <f>AC356*(1+'2. GRI Pricing Inputs'!$D$114)^((AD$16-AC$16)/365)</f>
        <v>0</v>
      </c>
      <c r="AE356" s="273">
        <f>AD356*(1+'2. GRI Pricing Inputs'!$D$114)^((AE$16-AD$16)/365)</f>
        <v>0</v>
      </c>
      <c r="AF356" s="273">
        <f>AE356*(1+'2. GRI Pricing Inputs'!$D$114)^((AF$16-AE$16)/365)</f>
        <v>0</v>
      </c>
      <c r="AG356" s="273">
        <f>AF356*(1+'2. GRI Pricing Inputs'!$D$114)^((AG$16-AF$16)/365)</f>
        <v>0</v>
      </c>
      <c r="AH356" s="273">
        <f>AG356*(1+'2. GRI Pricing Inputs'!$D$114)^((AH$16-AG$16)/365)</f>
        <v>0</v>
      </c>
      <c r="AI356" s="273">
        <f>AH356*(1+'2. GRI Pricing Inputs'!$D$114)^((AI$16-AH$16)/365)</f>
        <v>0</v>
      </c>
      <c r="AJ356" s="273">
        <f>AI356*(1+'2. GRI Pricing Inputs'!$D$114)^((AJ$16-AI$16)/365)</f>
        <v>0</v>
      </c>
      <c r="AK356" s="273">
        <f>AJ356*(1+'2. GRI Pricing Inputs'!$D$114)^((AK$16-AJ$16)/365)</f>
        <v>0</v>
      </c>
      <c r="AL356" s="273">
        <f>AK356*(1+'2. GRI Pricing Inputs'!$D$114)^((AL$16-AK$16)/365)</f>
        <v>0</v>
      </c>
      <c r="AM356" s="273">
        <f>AL356*(1+'2. GRI Pricing Inputs'!$D$114)^((AM$16-AL$16)/365)</f>
        <v>0</v>
      </c>
      <c r="AN356" s="273">
        <f>AM356*(1+'2. GRI Pricing Inputs'!$D$114)^((AN$16-AM$16)/365)</f>
        <v>0</v>
      </c>
      <c r="AO356" s="273">
        <f>AN356*(1+'2. GRI Pricing Inputs'!$D$114)^((AO$16-AN$16)/365)</f>
        <v>0</v>
      </c>
    </row>
    <row r="357" spans="3:41" ht="12" x14ac:dyDescent="0.2">
      <c r="C357" s="76">
        <f>'1. Accomodation'!N361</f>
        <v>0</v>
      </c>
      <c r="D357" s="69">
        <f>'1. Accomodation'!P361</f>
        <v>0</v>
      </c>
      <c r="E357" s="69">
        <f>'1. Accomodation'!Q361</f>
        <v>0</v>
      </c>
      <c r="F357" s="77">
        <f>'1. Accomodation'!O361</f>
        <v>0</v>
      </c>
      <c r="G357" s="69">
        <f>'1. Accomodation'!R361</f>
        <v>0</v>
      </c>
      <c r="H357" s="69">
        <f>'1. Accomodation'!S361</f>
        <v>0</v>
      </c>
      <c r="I357" s="62"/>
      <c r="K357" s="272">
        <f>IFERROR(INDEX('2. GRI Pricing Inputs'!$C$15:$AI$16,MATCH($K$16,'2. GRI Pricing Inputs'!$C$15:$C$16,0),MATCH(D357,'2. GRI Pricing Inputs'!$C$15:$AI$15,0)),0)</f>
        <v>0</v>
      </c>
      <c r="L357" s="273">
        <f>IFERROR(INDEX('2. GRI Pricing Inputs'!$C$22:$AI$23,MATCH($L$16,'2. GRI Pricing Inputs'!$C$22:$C$23,0),MATCH(E357,'2. GRI Pricing Inputs'!$C$22:$AI$22,0)),0)</f>
        <v>0</v>
      </c>
      <c r="M357" s="328">
        <f>IF(AND('3. GRI Pricing'!$F357&gt;='2. GRI Pricing Inputs'!$D$33,'3. GRI Pricing'!$F357&lt;='2. GRI Pricing Inputs'!$E$33),'2. GRI Pricing Inputs'!$D$32,IF(AND('3. GRI Pricing'!$F357&gt;='2. GRI Pricing Inputs'!$F$33,'3. GRI Pricing'!$F357&lt;='2. GRI Pricing Inputs'!$G$33),'2. GRI Pricing Inputs'!$F$32,IF(AND('3. GRI Pricing'!$F357&gt;='2. GRI Pricing Inputs'!$H$33,'3. GRI Pricing'!$F357&lt;='2. GRI Pricing Inputs'!$I$33),'2. GRI Pricing Inputs'!$H$32,IF(AND('3. GRI Pricing'!$F357&gt;='2. GRI Pricing Inputs'!$J$33,'3. GRI Pricing'!$F357&lt;='2. GRI Pricing Inputs'!$K$33),'2. GRI Pricing Inputs'!$J$32,IF(AND('3. GRI Pricing'!$F357&gt;='2. GRI Pricing Inputs'!$L$33,'3. GRI Pricing'!$F357&lt;='2. GRI Pricing Inputs'!$M$33),'2. GRI Pricing Inputs'!$L$32,IF(AND('3. GRI Pricing'!$F357&gt;='2. GRI Pricing Inputs'!$N$33,'3. GRI Pricing'!$F357&lt;='2. GRI Pricing Inputs'!$O$33),'2. GRI Pricing Inputs'!$N$32,IF(AND('3. GRI Pricing'!$F357&gt;='2. GRI Pricing Inputs'!$P$33,'3. GRI Pricing'!$F357&lt;='2. GRI Pricing Inputs'!$Q$33),'2. GRI Pricing Inputs'!$P$32,IF(AND('3. GRI Pricing'!$F357&gt;='2. GRI Pricing Inputs'!$R$33,'3. GRI Pricing'!$F357&lt;='2. GRI Pricing Inputs'!$S$33),'2. GRI Pricing Inputs'!$R$32,IF(AND('3. GRI Pricing'!$F357&gt;='2. GRI Pricing Inputs'!$T$33,'3. GRI Pricing'!$F357&lt;='2. GRI Pricing Inputs'!$U$33),'2. GRI Pricing Inputs'!$T$32,IF(AND('3. GRI Pricing'!$F357&gt;='2. GRI Pricing Inputs'!$V$33,'3. GRI Pricing'!$F357&lt;='2. GRI Pricing Inputs'!$W$33),'2. GRI Pricing Inputs'!$V$32,IF(AND('3. GRI Pricing'!$F357&gt;='2. GRI Pricing Inputs'!$X$33,'3. GRI Pricing'!$F357&lt;='2. GRI Pricing Inputs'!$Y$33),'2. GRI Pricing Inputs'!$X$32,IF(AND('3. GRI Pricing'!$F357&gt;='2. GRI Pricing Inputs'!$Z$33,'3. GRI Pricing'!$F357&lt;='2. GRI Pricing Inputs'!$AA$33),'2. GRI Pricing Inputs'!$Z$32,IF(AND('3. GRI Pricing'!$F357&gt;='2. GRI Pricing Inputs'!$AB$33,'3. GRI Pricing'!$F357&lt;='2. GRI Pricing Inputs'!$AC$33),'2. GRI Pricing Inputs'!$AB$32,IF(AND('3. GRI Pricing'!$F357&gt;='2. GRI Pricing Inputs'!$AD$33,'3. GRI Pricing'!$F357&lt;='2. GRI Pricing Inputs'!$AE$33),'2. GRI Pricing Inputs'!$AD$32,IF(AND('3. GRI Pricing'!$F357&gt;='2. GRI Pricing Inputs'!$AF$33,'3. GRI Pricing'!$F357&lt;='2. GRI Pricing Inputs'!$AG$33),'2. GRI Pricing Inputs'!$AF$32,IF(AND('3. GRI Pricing'!$F357&gt;='2. GRI Pricing Inputs'!$AH$33,'3. GRI Pricing'!$F357&lt;='2. GRI Pricing Inputs'!$AI$33),'2. GRI Pricing Inputs'!$AH$32,0))))))))))))))))</f>
        <v>0</v>
      </c>
      <c r="N357" s="273" cm="1">
        <f t="array" ref="N357">IFERROR(INDEX('2. GRI Pricing Inputs'!$C$32:$AI$39,MATCH('3. GRI Pricing'!D357,'2. GRI Pricing Inputs'!$C$32:$C$39,0),(MATCH('3. GRI Pricing'!M357,'2. GRI Pricing Inputs'!$D$32:$AI$32,0)+1)),0)</f>
        <v>0</v>
      </c>
      <c r="O357" s="273">
        <f>IFERROR(INDEX('2. GRI Pricing Inputs'!$C$45:$AI$46,MATCH($O$16,'2. GRI Pricing Inputs'!$C$45:$C$46,0),MATCH(G357,'2. GRI Pricing Inputs'!$C$45:$AI$45,0)),0)</f>
        <v>0</v>
      </c>
      <c r="P357" s="273">
        <f>IFERROR(INDEX('2. GRI Pricing Inputs'!$C$53:$AI$54,MATCH('3. GRI Pricing'!$P$16,'2. GRI Pricing Inputs'!$C$53:$C$54,0),MATCH('3. GRI Pricing'!H357,'2. GRI Pricing Inputs'!$C$53:$AI$53,0)),0)</f>
        <v>0</v>
      </c>
      <c r="Q357" s="273">
        <f>IFERROR(INDEX('2. GRI Pricing Inputs'!$C$60:$AI$61,MATCH('3. GRI Pricing'!$Q$16,'2. GRI Pricing Inputs'!$C$60:$C$61,0),MATCH('1. Accomodation'!T361,'2. GRI Pricing Inputs'!$C$60:$AI$60,0)),0)</f>
        <v>0</v>
      </c>
      <c r="R357" s="273">
        <f>IFERROR(INDEX('2. GRI Pricing Inputs'!$C$67:$AI$68,MATCH('3. GRI Pricing'!$R$16,'2. GRI Pricing Inputs'!$C$67:$C$68,0),MATCH('1. Accomodation'!U361,'2. GRI Pricing Inputs'!$C$67:$AI$67,0)),0)</f>
        <v>0</v>
      </c>
      <c r="S357" s="273">
        <f>IF(D357=0,0,'2. GRI Pricing Inputs'!$AI$75)</f>
        <v>0</v>
      </c>
      <c r="T357" s="273">
        <f>IFERROR(INDEX('2. GRI Pricing Inputs'!$C$82:$AI$83,MATCH('3. GRI Pricing'!$T$16,'2. GRI Pricing Inputs'!$C$82:$C$83,0),MATCH('1. Accomodation'!V361,'2. GRI Pricing Inputs'!$C$82:$AI$82,0)),0)</f>
        <v>0</v>
      </c>
      <c r="U357" s="273">
        <f>IFERROR(INDEX('2. GRI Pricing Inputs'!$C$89:$AI$90,MATCH('3. GRI Pricing'!$U$16,'2. GRI Pricing Inputs'!$C$89:$C$90,0),MATCH('1. Accomodation'!W361,'2. GRI Pricing Inputs'!$C$89:$AI$89,0)),0)</f>
        <v>0</v>
      </c>
      <c r="V357" s="273">
        <f>IFERROR(INDEX('2. GRI Pricing Inputs'!$C$97:$AI$98,MATCH('3. GRI Pricing'!$V$16,'2. GRI Pricing Inputs'!$C$97:$C$98,0),MATCH('1. Accomodation'!X361,'2. GRI Pricing Inputs'!$C$97:$AI$97,0)),0)</f>
        <v>0</v>
      </c>
      <c r="W357" s="273">
        <f>IFERROR(INDEX('2. GRI Pricing Inputs'!$C$104:$AI$105,MATCH('3. GRI Pricing'!$W$16,'2. GRI Pricing Inputs'!$C$104:$C$105,0),MATCH('1. Accomodation'!Y361,'2. GRI Pricing Inputs'!$C$104:$AI$104,0)),0)</f>
        <v>0</v>
      </c>
      <c r="X357" s="274"/>
      <c r="Y357" s="275">
        <f t="shared" si="12"/>
        <v>0</v>
      </c>
      <c r="Z357" s="276"/>
      <c r="AA357" s="276"/>
      <c r="AB357" s="276"/>
      <c r="AC357" s="272">
        <f>Y357*(1+'2. GRI Pricing Inputs'!$D$114)^(($AC$16-$AB$15)/365)</f>
        <v>0</v>
      </c>
      <c r="AD357" s="273">
        <f>AC357*(1+'2. GRI Pricing Inputs'!$D$114)^((AD$16-AC$16)/365)</f>
        <v>0</v>
      </c>
      <c r="AE357" s="273">
        <f>AD357*(1+'2. GRI Pricing Inputs'!$D$114)^((AE$16-AD$16)/365)</f>
        <v>0</v>
      </c>
      <c r="AF357" s="273">
        <f>AE357*(1+'2. GRI Pricing Inputs'!$D$114)^((AF$16-AE$16)/365)</f>
        <v>0</v>
      </c>
      <c r="AG357" s="273">
        <f>AF357*(1+'2. GRI Pricing Inputs'!$D$114)^((AG$16-AF$16)/365)</f>
        <v>0</v>
      </c>
      <c r="AH357" s="273">
        <f>AG357*(1+'2. GRI Pricing Inputs'!$D$114)^((AH$16-AG$16)/365)</f>
        <v>0</v>
      </c>
      <c r="AI357" s="273">
        <f>AH357*(1+'2. GRI Pricing Inputs'!$D$114)^((AI$16-AH$16)/365)</f>
        <v>0</v>
      </c>
      <c r="AJ357" s="273">
        <f>AI357*(1+'2. GRI Pricing Inputs'!$D$114)^((AJ$16-AI$16)/365)</f>
        <v>0</v>
      </c>
      <c r="AK357" s="273">
        <f>AJ357*(1+'2. GRI Pricing Inputs'!$D$114)^((AK$16-AJ$16)/365)</f>
        <v>0</v>
      </c>
      <c r="AL357" s="273">
        <f>AK357*(1+'2. GRI Pricing Inputs'!$D$114)^((AL$16-AK$16)/365)</f>
        <v>0</v>
      </c>
      <c r="AM357" s="273">
        <f>AL357*(1+'2. GRI Pricing Inputs'!$D$114)^((AM$16-AL$16)/365)</f>
        <v>0</v>
      </c>
      <c r="AN357" s="273">
        <f>AM357*(1+'2. GRI Pricing Inputs'!$D$114)^((AN$16-AM$16)/365)</f>
        <v>0</v>
      </c>
      <c r="AO357" s="273">
        <f>AN357*(1+'2. GRI Pricing Inputs'!$D$114)^((AO$16-AN$16)/365)</f>
        <v>0</v>
      </c>
    </row>
    <row r="358" spans="3:41" ht="12" x14ac:dyDescent="0.2">
      <c r="C358" s="76">
        <f>'1. Accomodation'!N362</f>
        <v>0</v>
      </c>
      <c r="D358" s="69">
        <f>'1. Accomodation'!P362</f>
        <v>0</v>
      </c>
      <c r="E358" s="69">
        <f>'1. Accomodation'!Q362</f>
        <v>0</v>
      </c>
      <c r="F358" s="77">
        <f>'1. Accomodation'!O362</f>
        <v>0</v>
      </c>
      <c r="G358" s="69">
        <f>'1. Accomodation'!R362</f>
        <v>0</v>
      </c>
      <c r="H358" s="69">
        <f>'1. Accomodation'!S362</f>
        <v>0</v>
      </c>
      <c r="I358" s="62"/>
      <c r="K358" s="272">
        <f>IFERROR(INDEX('2. GRI Pricing Inputs'!$C$15:$AI$16,MATCH($K$16,'2. GRI Pricing Inputs'!$C$15:$C$16,0),MATCH(D358,'2. GRI Pricing Inputs'!$C$15:$AI$15,0)),0)</f>
        <v>0</v>
      </c>
      <c r="L358" s="273">
        <f>IFERROR(INDEX('2. GRI Pricing Inputs'!$C$22:$AI$23,MATCH($L$16,'2. GRI Pricing Inputs'!$C$22:$C$23,0),MATCH(E358,'2. GRI Pricing Inputs'!$C$22:$AI$22,0)),0)</f>
        <v>0</v>
      </c>
      <c r="M358" s="328">
        <f>IF(AND('3. GRI Pricing'!$F358&gt;='2. GRI Pricing Inputs'!$D$33,'3. GRI Pricing'!$F358&lt;='2. GRI Pricing Inputs'!$E$33),'2. GRI Pricing Inputs'!$D$32,IF(AND('3. GRI Pricing'!$F358&gt;='2. GRI Pricing Inputs'!$F$33,'3. GRI Pricing'!$F358&lt;='2. GRI Pricing Inputs'!$G$33),'2. GRI Pricing Inputs'!$F$32,IF(AND('3. GRI Pricing'!$F358&gt;='2. GRI Pricing Inputs'!$H$33,'3. GRI Pricing'!$F358&lt;='2. GRI Pricing Inputs'!$I$33),'2. GRI Pricing Inputs'!$H$32,IF(AND('3. GRI Pricing'!$F358&gt;='2. GRI Pricing Inputs'!$J$33,'3. GRI Pricing'!$F358&lt;='2. GRI Pricing Inputs'!$K$33),'2. GRI Pricing Inputs'!$J$32,IF(AND('3. GRI Pricing'!$F358&gt;='2. GRI Pricing Inputs'!$L$33,'3. GRI Pricing'!$F358&lt;='2. GRI Pricing Inputs'!$M$33),'2. GRI Pricing Inputs'!$L$32,IF(AND('3. GRI Pricing'!$F358&gt;='2. GRI Pricing Inputs'!$N$33,'3. GRI Pricing'!$F358&lt;='2. GRI Pricing Inputs'!$O$33),'2. GRI Pricing Inputs'!$N$32,IF(AND('3. GRI Pricing'!$F358&gt;='2. GRI Pricing Inputs'!$P$33,'3. GRI Pricing'!$F358&lt;='2. GRI Pricing Inputs'!$Q$33),'2. GRI Pricing Inputs'!$P$32,IF(AND('3. GRI Pricing'!$F358&gt;='2. GRI Pricing Inputs'!$R$33,'3. GRI Pricing'!$F358&lt;='2. GRI Pricing Inputs'!$S$33),'2. GRI Pricing Inputs'!$R$32,IF(AND('3. GRI Pricing'!$F358&gt;='2. GRI Pricing Inputs'!$T$33,'3. GRI Pricing'!$F358&lt;='2. GRI Pricing Inputs'!$U$33),'2. GRI Pricing Inputs'!$T$32,IF(AND('3. GRI Pricing'!$F358&gt;='2. GRI Pricing Inputs'!$V$33,'3. GRI Pricing'!$F358&lt;='2. GRI Pricing Inputs'!$W$33),'2. GRI Pricing Inputs'!$V$32,IF(AND('3. GRI Pricing'!$F358&gt;='2. GRI Pricing Inputs'!$X$33,'3. GRI Pricing'!$F358&lt;='2. GRI Pricing Inputs'!$Y$33),'2. GRI Pricing Inputs'!$X$32,IF(AND('3. GRI Pricing'!$F358&gt;='2. GRI Pricing Inputs'!$Z$33,'3. GRI Pricing'!$F358&lt;='2. GRI Pricing Inputs'!$AA$33),'2. GRI Pricing Inputs'!$Z$32,IF(AND('3. GRI Pricing'!$F358&gt;='2. GRI Pricing Inputs'!$AB$33,'3. GRI Pricing'!$F358&lt;='2. GRI Pricing Inputs'!$AC$33),'2. GRI Pricing Inputs'!$AB$32,IF(AND('3. GRI Pricing'!$F358&gt;='2. GRI Pricing Inputs'!$AD$33,'3. GRI Pricing'!$F358&lt;='2. GRI Pricing Inputs'!$AE$33),'2. GRI Pricing Inputs'!$AD$32,IF(AND('3. GRI Pricing'!$F358&gt;='2. GRI Pricing Inputs'!$AF$33,'3. GRI Pricing'!$F358&lt;='2. GRI Pricing Inputs'!$AG$33),'2. GRI Pricing Inputs'!$AF$32,IF(AND('3. GRI Pricing'!$F358&gt;='2. GRI Pricing Inputs'!$AH$33,'3. GRI Pricing'!$F358&lt;='2. GRI Pricing Inputs'!$AI$33),'2. GRI Pricing Inputs'!$AH$32,0))))))))))))))))</f>
        <v>0</v>
      </c>
      <c r="N358" s="273" cm="1">
        <f t="array" ref="N358">IFERROR(INDEX('2. GRI Pricing Inputs'!$C$32:$AI$39,MATCH('3. GRI Pricing'!D358,'2. GRI Pricing Inputs'!$C$32:$C$39,0),(MATCH('3. GRI Pricing'!M358,'2. GRI Pricing Inputs'!$D$32:$AI$32,0)+1)),0)</f>
        <v>0</v>
      </c>
      <c r="O358" s="273">
        <f>IFERROR(INDEX('2. GRI Pricing Inputs'!$C$45:$AI$46,MATCH($O$16,'2. GRI Pricing Inputs'!$C$45:$C$46,0),MATCH(G358,'2. GRI Pricing Inputs'!$C$45:$AI$45,0)),0)</f>
        <v>0</v>
      </c>
      <c r="P358" s="273">
        <f>IFERROR(INDEX('2. GRI Pricing Inputs'!$C$53:$AI$54,MATCH('3. GRI Pricing'!$P$16,'2. GRI Pricing Inputs'!$C$53:$C$54,0),MATCH('3. GRI Pricing'!H358,'2. GRI Pricing Inputs'!$C$53:$AI$53,0)),0)</f>
        <v>0</v>
      </c>
      <c r="Q358" s="273">
        <f>IFERROR(INDEX('2. GRI Pricing Inputs'!$C$60:$AI$61,MATCH('3. GRI Pricing'!$Q$16,'2. GRI Pricing Inputs'!$C$60:$C$61,0),MATCH('1. Accomodation'!T362,'2. GRI Pricing Inputs'!$C$60:$AI$60,0)),0)</f>
        <v>0</v>
      </c>
      <c r="R358" s="273">
        <f>IFERROR(INDEX('2. GRI Pricing Inputs'!$C$67:$AI$68,MATCH('3. GRI Pricing'!$R$16,'2. GRI Pricing Inputs'!$C$67:$C$68,0),MATCH('1. Accomodation'!U362,'2. GRI Pricing Inputs'!$C$67:$AI$67,0)),0)</f>
        <v>0</v>
      </c>
      <c r="S358" s="273">
        <f>IF(D358=0,0,'2. GRI Pricing Inputs'!$AI$75)</f>
        <v>0</v>
      </c>
      <c r="T358" s="273">
        <f>IFERROR(INDEX('2. GRI Pricing Inputs'!$C$82:$AI$83,MATCH('3. GRI Pricing'!$T$16,'2. GRI Pricing Inputs'!$C$82:$C$83,0),MATCH('1. Accomodation'!V362,'2. GRI Pricing Inputs'!$C$82:$AI$82,0)),0)</f>
        <v>0</v>
      </c>
      <c r="U358" s="273">
        <f>IFERROR(INDEX('2. GRI Pricing Inputs'!$C$89:$AI$90,MATCH('3. GRI Pricing'!$U$16,'2. GRI Pricing Inputs'!$C$89:$C$90,0),MATCH('1. Accomodation'!W362,'2. GRI Pricing Inputs'!$C$89:$AI$89,0)),0)</f>
        <v>0</v>
      </c>
      <c r="V358" s="273">
        <f>IFERROR(INDEX('2. GRI Pricing Inputs'!$C$97:$AI$98,MATCH('3. GRI Pricing'!$V$16,'2. GRI Pricing Inputs'!$C$97:$C$98,0),MATCH('1. Accomodation'!X362,'2. GRI Pricing Inputs'!$C$97:$AI$97,0)),0)</f>
        <v>0</v>
      </c>
      <c r="W358" s="273">
        <f>IFERROR(INDEX('2. GRI Pricing Inputs'!$C$104:$AI$105,MATCH('3. GRI Pricing'!$W$16,'2. GRI Pricing Inputs'!$C$104:$C$105,0),MATCH('1. Accomodation'!Y362,'2. GRI Pricing Inputs'!$C$104:$AI$104,0)),0)</f>
        <v>0</v>
      </c>
      <c r="X358" s="274"/>
      <c r="Y358" s="275">
        <f t="shared" si="12"/>
        <v>0</v>
      </c>
      <c r="Z358" s="276"/>
      <c r="AA358" s="276"/>
      <c r="AB358" s="276"/>
      <c r="AC358" s="272">
        <f>Y358*(1+'2. GRI Pricing Inputs'!$D$114)^(($AC$16-$AB$15)/365)</f>
        <v>0</v>
      </c>
      <c r="AD358" s="273">
        <f>AC358*(1+'2. GRI Pricing Inputs'!$D$114)^((AD$16-AC$16)/365)</f>
        <v>0</v>
      </c>
      <c r="AE358" s="273">
        <f>AD358*(1+'2. GRI Pricing Inputs'!$D$114)^((AE$16-AD$16)/365)</f>
        <v>0</v>
      </c>
      <c r="AF358" s="273">
        <f>AE358*(1+'2. GRI Pricing Inputs'!$D$114)^((AF$16-AE$16)/365)</f>
        <v>0</v>
      </c>
      <c r="AG358" s="273">
        <f>AF358*(1+'2. GRI Pricing Inputs'!$D$114)^((AG$16-AF$16)/365)</f>
        <v>0</v>
      </c>
      <c r="AH358" s="273">
        <f>AG358*(1+'2. GRI Pricing Inputs'!$D$114)^((AH$16-AG$16)/365)</f>
        <v>0</v>
      </c>
      <c r="AI358" s="273">
        <f>AH358*(1+'2. GRI Pricing Inputs'!$D$114)^((AI$16-AH$16)/365)</f>
        <v>0</v>
      </c>
      <c r="AJ358" s="273">
        <f>AI358*(1+'2. GRI Pricing Inputs'!$D$114)^((AJ$16-AI$16)/365)</f>
        <v>0</v>
      </c>
      <c r="AK358" s="273">
        <f>AJ358*(1+'2. GRI Pricing Inputs'!$D$114)^((AK$16-AJ$16)/365)</f>
        <v>0</v>
      </c>
      <c r="AL358" s="273">
        <f>AK358*(1+'2. GRI Pricing Inputs'!$D$114)^((AL$16-AK$16)/365)</f>
        <v>0</v>
      </c>
      <c r="AM358" s="273">
        <f>AL358*(1+'2. GRI Pricing Inputs'!$D$114)^((AM$16-AL$16)/365)</f>
        <v>0</v>
      </c>
      <c r="AN358" s="273">
        <f>AM358*(1+'2. GRI Pricing Inputs'!$D$114)^((AN$16-AM$16)/365)</f>
        <v>0</v>
      </c>
      <c r="AO358" s="273">
        <f>AN358*(1+'2. GRI Pricing Inputs'!$D$114)^((AO$16-AN$16)/365)</f>
        <v>0</v>
      </c>
    </row>
    <row r="359" spans="3:41" ht="12" x14ac:dyDescent="0.2">
      <c r="C359" s="76">
        <f>'1. Accomodation'!N363</f>
        <v>0</v>
      </c>
      <c r="D359" s="69">
        <f>'1. Accomodation'!P363</f>
        <v>0</v>
      </c>
      <c r="E359" s="69">
        <f>'1. Accomodation'!Q363</f>
        <v>0</v>
      </c>
      <c r="F359" s="77">
        <f>'1. Accomodation'!O363</f>
        <v>0</v>
      </c>
      <c r="G359" s="69">
        <f>'1. Accomodation'!R363</f>
        <v>0</v>
      </c>
      <c r="H359" s="69">
        <f>'1. Accomodation'!S363</f>
        <v>0</v>
      </c>
      <c r="I359" s="62"/>
      <c r="K359" s="272">
        <f>IFERROR(INDEX('2. GRI Pricing Inputs'!$C$15:$AI$16,MATCH($K$16,'2. GRI Pricing Inputs'!$C$15:$C$16,0),MATCH(D359,'2. GRI Pricing Inputs'!$C$15:$AI$15,0)),0)</f>
        <v>0</v>
      </c>
      <c r="L359" s="273">
        <f>IFERROR(INDEX('2. GRI Pricing Inputs'!$C$22:$AI$23,MATCH($L$16,'2. GRI Pricing Inputs'!$C$22:$C$23,0),MATCH(E359,'2. GRI Pricing Inputs'!$C$22:$AI$22,0)),0)</f>
        <v>0</v>
      </c>
      <c r="M359" s="328">
        <f>IF(AND('3. GRI Pricing'!$F359&gt;='2. GRI Pricing Inputs'!$D$33,'3. GRI Pricing'!$F359&lt;='2. GRI Pricing Inputs'!$E$33),'2. GRI Pricing Inputs'!$D$32,IF(AND('3. GRI Pricing'!$F359&gt;='2. GRI Pricing Inputs'!$F$33,'3. GRI Pricing'!$F359&lt;='2. GRI Pricing Inputs'!$G$33),'2. GRI Pricing Inputs'!$F$32,IF(AND('3. GRI Pricing'!$F359&gt;='2. GRI Pricing Inputs'!$H$33,'3. GRI Pricing'!$F359&lt;='2. GRI Pricing Inputs'!$I$33),'2. GRI Pricing Inputs'!$H$32,IF(AND('3. GRI Pricing'!$F359&gt;='2. GRI Pricing Inputs'!$J$33,'3. GRI Pricing'!$F359&lt;='2. GRI Pricing Inputs'!$K$33),'2. GRI Pricing Inputs'!$J$32,IF(AND('3. GRI Pricing'!$F359&gt;='2. GRI Pricing Inputs'!$L$33,'3. GRI Pricing'!$F359&lt;='2. GRI Pricing Inputs'!$M$33),'2. GRI Pricing Inputs'!$L$32,IF(AND('3. GRI Pricing'!$F359&gt;='2. GRI Pricing Inputs'!$N$33,'3. GRI Pricing'!$F359&lt;='2. GRI Pricing Inputs'!$O$33),'2. GRI Pricing Inputs'!$N$32,IF(AND('3. GRI Pricing'!$F359&gt;='2. GRI Pricing Inputs'!$P$33,'3. GRI Pricing'!$F359&lt;='2. GRI Pricing Inputs'!$Q$33),'2. GRI Pricing Inputs'!$P$32,IF(AND('3. GRI Pricing'!$F359&gt;='2. GRI Pricing Inputs'!$R$33,'3. GRI Pricing'!$F359&lt;='2. GRI Pricing Inputs'!$S$33),'2. GRI Pricing Inputs'!$R$32,IF(AND('3. GRI Pricing'!$F359&gt;='2. GRI Pricing Inputs'!$T$33,'3. GRI Pricing'!$F359&lt;='2. GRI Pricing Inputs'!$U$33),'2. GRI Pricing Inputs'!$T$32,IF(AND('3. GRI Pricing'!$F359&gt;='2. GRI Pricing Inputs'!$V$33,'3. GRI Pricing'!$F359&lt;='2. GRI Pricing Inputs'!$W$33),'2. GRI Pricing Inputs'!$V$32,IF(AND('3. GRI Pricing'!$F359&gt;='2. GRI Pricing Inputs'!$X$33,'3. GRI Pricing'!$F359&lt;='2. GRI Pricing Inputs'!$Y$33),'2. GRI Pricing Inputs'!$X$32,IF(AND('3. GRI Pricing'!$F359&gt;='2. GRI Pricing Inputs'!$Z$33,'3. GRI Pricing'!$F359&lt;='2. GRI Pricing Inputs'!$AA$33),'2. GRI Pricing Inputs'!$Z$32,IF(AND('3. GRI Pricing'!$F359&gt;='2. GRI Pricing Inputs'!$AB$33,'3. GRI Pricing'!$F359&lt;='2. GRI Pricing Inputs'!$AC$33),'2. GRI Pricing Inputs'!$AB$32,IF(AND('3. GRI Pricing'!$F359&gt;='2. GRI Pricing Inputs'!$AD$33,'3. GRI Pricing'!$F359&lt;='2. GRI Pricing Inputs'!$AE$33),'2. GRI Pricing Inputs'!$AD$32,IF(AND('3. GRI Pricing'!$F359&gt;='2. GRI Pricing Inputs'!$AF$33,'3. GRI Pricing'!$F359&lt;='2. GRI Pricing Inputs'!$AG$33),'2. GRI Pricing Inputs'!$AF$32,IF(AND('3. GRI Pricing'!$F359&gt;='2. GRI Pricing Inputs'!$AH$33,'3. GRI Pricing'!$F359&lt;='2. GRI Pricing Inputs'!$AI$33),'2. GRI Pricing Inputs'!$AH$32,0))))))))))))))))</f>
        <v>0</v>
      </c>
      <c r="N359" s="273" cm="1">
        <f t="array" ref="N359">IFERROR(INDEX('2. GRI Pricing Inputs'!$C$32:$AI$39,MATCH('3. GRI Pricing'!D359,'2. GRI Pricing Inputs'!$C$32:$C$39,0),(MATCH('3. GRI Pricing'!M359,'2. GRI Pricing Inputs'!$D$32:$AI$32,0)+1)),0)</f>
        <v>0</v>
      </c>
      <c r="O359" s="273">
        <f>IFERROR(INDEX('2. GRI Pricing Inputs'!$C$45:$AI$46,MATCH($O$16,'2. GRI Pricing Inputs'!$C$45:$C$46,0),MATCH(G359,'2. GRI Pricing Inputs'!$C$45:$AI$45,0)),0)</f>
        <v>0</v>
      </c>
      <c r="P359" s="273">
        <f>IFERROR(INDEX('2. GRI Pricing Inputs'!$C$53:$AI$54,MATCH('3. GRI Pricing'!$P$16,'2. GRI Pricing Inputs'!$C$53:$C$54,0),MATCH('3. GRI Pricing'!H359,'2. GRI Pricing Inputs'!$C$53:$AI$53,0)),0)</f>
        <v>0</v>
      </c>
      <c r="Q359" s="273">
        <f>IFERROR(INDEX('2. GRI Pricing Inputs'!$C$60:$AI$61,MATCH('3. GRI Pricing'!$Q$16,'2. GRI Pricing Inputs'!$C$60:$C$61,0),MATCH('1. Accomodation'!T363,'2. GRI Pricing Inputs'!$C$60:$AI$60,0)),0)</f>
        <v>0</v>
      </c>
      <c r="R359" s="273">
        <f>IFERROR(INDEX('2. GRI Pricing Inputs'!$C$67:$AI$68,MATCH('3. GRI Pricing'!$R$16,'2. GRI Pricing Inputs'!$C$67:$C$68,0),MATCH('1. Accomodation'!U363,'2. GRI Pricing Inputs'!$C$67:$AI$67,0)),0)</f>
        <v>0</v>
      </c>
      <c r="S359" s="273">
        <f>IF(D359=0,0,'2. GRI Pricing Inputs'!$AI$75)</f>
        <v>0</v>
      </c>
      <c r="T359" s="273">
        <f>IFERROR(INDEX('2. GRI Pricing Inputs'!$C$82:$AI$83,MATCH('3. GRI Pricing'!$T$16,'2. GRI Pricing Inputs'!$C$82:$C$83,0),MATCH('1. Accomodation'!V363,'2. GRI Pricing Inputs'!$C$82:$AI$82,0)),0)</f>
        <v>0</v>
      </c>
      <c r="U359" s="273">
        <f>IFERROR(INDEX('2. GRI Pricing Inputs'!$C$89:$AI$90,MATCH('3. GRI Pricing'!$U$16,'2. GRI Pricing Inputs'!$C$89:$C$90,0),MATCH('1. Accomodation'!W363,'2. GRI Pricing Inputs'!$C$89:$AI$89,0)),0)</f>
        <v>0</v>
      </c>
      <c r="V359" s="273">
        <f>IFERROR(INDEX('2. GRI Pricing Inputs'!$C$97:$AI$98,MATCH('3. GRI Pricing'!$V$16,'2. GRI Pricing Inputs'!$C$97:$C$98,0),MATCH('1. Accomodation'!X363,'2. GRI Pricing Inputs'!$C$97:$AI$97,0)),0)</f>
        <v>0</v>
      </c>
      <c r="W359" s="273">
        <f>IFERROR(INDEX('2. GRI Pricing Inputs'!$C$104:$AI$105,MATCH('3. GRI Pricing'!$W$16,'2. GRI Pricing Inputs'!$C$104:$C$105,0),MATCH('1. Accomodation'!Y363,'2. GRI Pricing Inputs'!$C$104:$AI$104,0)),0)</f>
        <v>0</v>
      </c>
      <c r="X359" s="274"/>
      <c r="Y359" s="275">
        <f t="shared" si="12"/>
        <v>0</v>
      </c>
      <c r="Z359" s="276"/>
      <c r="AA359" s="276"/>
      <c r="AB359" s="276"/>
      <c r="AC359" s="272">
        <f>Y359*(1+'2. GRI Pricing Inputs'!$D$114)^(($AC$16-$AB$15)/365)</f>
        <v>0</v>
      </c>
      <c r="AD359" s="273">
        <f>AC359*(1+'2. GRI Pricing Inputs'!$D$114)^((AD$16-AC$16)/365)</f>
        <v>0</v>
      </c>
      <c r="AE359" s="273">
        <f>AD359*(1+'2. GRI Pricing Inputs'!$D$114)^((AE$16-AD$16)/365)</f>
        <v>0</v>
      </c>
      <c r="AF359" s="273">
        <f>AE359*(1+'2. GRI Pricing Inputs'!$D$114)^((AF$16-AE$16)/365)</f>
        <v>0</v>
      </c>
      <c r="AG359" s="273">
        <f>AF359*(1+'2. GRI Pricing Inputs'!$D$114)^((AG$16-AF$16)/365)</f>
        <v>0</v>
      </c>
      <c r="AH359" s="273">
        <f>AG359*(1+'2. GRI Pricing Inputs'!$D$114)^((AH$16-AG$16)/365)</f>
        <v>0</v>
      </c>
      <c r="AI359" s="273">
        <f>AH359*(1+'2. GRI Pricing Inputs'!$D$114)^((AI$16-AH$16)/365)</f>
        <v>0</v>
      </c>
      <c r="AJ359" s="273">
        <f>AI359*(1+'2. GRI Pricing Inputs'!$D$114)^((AJ$16-AI$16)/365)</f>
        <v>0</v>
      </c>
      <c r="AK359" s="273">
        <f>AJ359*(1+'2. GRI Pricing Inputs'!$D$114)^((AK$16-AJ$16)/365)</f>
        <v>0</v>
      </c>
      <c r="AL359" s="273">
        <f>AK359*(1+'2. GRI Pricing Inputs'!$D$114)^((AL$16-AK$16)/365)</f>
        <v>0</v>
      </c>
      <c r="AM359" s="273">
        <f>AL359*(1+'2. GRI Pricing Inputs'!$D$114)^((AM$16-AL$16)/365)</f>
        <v>0</v>
      </c>
      <c r="AN359" s="273">
        <f>AM359*(1+'2. GRI Pricing Inputs'!$D$114)^((AN$16-AM$16)/365)</f>
        <v>0</v>
      </c>
      <c r="AO359" s="273">
        <f>AN359*(1+'2. GRI Pricing Inputs'!$D$114)^((AO$16-AN$16)/365)</f>
        <v>0</v>
      </c>
    </row>
    <row r="360" spans="3:41" ht="12" x14ac:dyDescent="0.2">
      <c r="C360" s="76">
        <f>'1. Accomodation'!N364</f>
        <v>0</v>
      </c>
      <c r="D360" s="69">
        <f>'1. Accomodation'!P364</f>
        <v>0</v>
      </c>
      <c r="E360" s="69">
        <f>'1. Accomodation'!Q364</f>
        <v>0</v>
      </c>
      <c r="F360" s="77">
        <f>'1. Accomodation'!O364</f>
        <v>0</v>
      </c>
      <c r="G360" s="69">
        <f>'1. Accomodation'!R364</f>
        <v>0</v>
      </c>
      <c r="H360" s="69">
        <f>'1. Accomodation'!S364</f>
        <v>0</v>
      </c>
      <c r="I360" s="62"/>
      <c r="K360" s="272">
        <f>IFERROR(INDEX('2. GRI Pricing Inputs'!$C$15:$AI$16,MATCH($K$16,'2. GRI Pricing Inputs'!$C$15:$C$16,0),MATCH(D360,'2. GRI Pricing Inputs'!$C$15:$AI$15,0)),0)</f>
        <v>0</v>
      </c>
      <c r="L360" s="273">
        <f>IFERROR(INDEX('2. GRI Pricing Inputs'!$C$22:$AI$23,MATCH($L$16,'2. GRI Pricing Inputs'!$C$22:$C$23,0),MATCH(E360,'2. GRI Pricing Inputs'!$C$22:$AI$22,0)),0)</f>
        <v>0</v>
      </c>
      <c r="M360" s="328">
        <f>IF(AND('3. GRI Pricing'!$F360&gt;='2. GRI Pricing Inputs'!$D$33,'3. GRI Pricing'!$F360&lt;='2. GRI Pricing Inputs'!$E$33),'2. GRI Pricing Inputs'!$D$32,IF(AND('3. GRI Pricing'!$F360&gt;='2. GRI Pricing Inputs'!$F$33,'3. GRI Pricing'!$F360&lt;='2. GRI Pricing Inputs'!$G$33),'2. GRI Pricing Inputs'!$F$32,IF(AND('3. GRI Pricing'!$F360&gt;='2. GRI Pricing Inputs'!$H$33,'3. GRI Pricing'!$F360&lt;='2. GRI Pricing Inputs'!$I$33),'2. GRI Pricing Inputs'!$H$32,IF(AND('3. GRI Pricing'!$F360&gt;='2. GRI Pricing Inputs'!$J$33,'3. GRI Pricing'!$F360&lt;='2. GRI Pricing Inputs'!$K$33),'2. GRI Pricing Inputs'!$J$32,IF(AND('3. GRI Pricing'!$F360&gt;='2. GRI Pricing Inputs'!$L$33,'3. GRI Pricing'!$F360&lt;='2. GRI Pricing Inputs'!$M$33),'2. GRI Pricing Inputs'!$L$32,IF(AND('3. GRI Pricing'!$F360&gt;='2. GRI Pricing Inputs'!$N$33,'3. GRI Pricing'!$F360&lt;='2. GRI Pricing Inputs'!$O$33),'2. GRI Pricing Inputs'!$N$32,IF(AND('3. GRI Pricing'!$F360&gt;='2. GRI Pricing Inputs'!$P$33,'3. GRI Pricing'!$F360&lt;='2. GRI Pricing Inputs'!$Q$33),'2. GRI Pricing Inputs'!$P$32,IF(AND('3. GRI Pricing'!$F360&gt;='2. GRI Pricing Inputs'!$R$33,'3. GRI Pricing'!$F360&lt;='2. GRI Pricing Inputs'!$S$33),'2. GRI Pricing Inputs'!$R$32,IF(AND('3. GRI Pricing'!$F360&gt;='2. GRI Pricing Inputs'!$T$33,'3. GRI Pricing'!$F360&lt;='2. GRI Pricing Inputs'!$U$33),'2. GRI Pricing Inputs'!$T$32,IF(AND('3. GRI Pricing'!$F360&gt;='2. GRI Pricing Inputs'!$V$33,'3. GRI Pricing'!$F360&lt;='2. GRI Pricing Inputs'!$W$33),'2. GRI Pricing Inputs'!$V$32,IF(AND('3. GRI Pricing'!$F360&gt;='2. GRI Pricing Inputs'!$X$33,'3. GRI Pricing'!$F360&lt;='2. GRI Pricing Inputs'!$Y$33),'2. GRI Pricing Inputs'!$X$32,IF(AND('3. GRI Pricing'!$F360&gt;='2. GRI Pricing Inputs'!$Z$33,'3. GRI Pricing'!$F360&lt;='2. GRI Pricing Inputs'!$AA$33),'2. GRI Pricing Inputs'!$Z$32,IF(AND('3. GRI Pricing'!$F360&gt;='2. GRI Pricing Inputs'!$AB$33,'3. GRI Pricing'!$F360&lt;='2. GRI Pricing Inputs'!$AC$33),'2. GRI Pricing Inputs'!$AB$32,IF(AND('3. GRI Pricing'!$F360&gt;='2. GRI Pricing Inputs'!$AD$33,'3. GRI Pricing'!$F360&lt;='2. GRI Pricing Inputs'!$AE$33),'2. GRI Pricing Inputs'!$AD$32,IF(AND('3. GRI Pricing'!$F360&gt;='2. GRI Pricing Inputs'!$AF$33,'3. GRI Pricing'!$F360&lt;='2. GRI Pricing Inputs'!$AG$33),'2. GRI Pricing Inputs'!$AF$32,IF(AND('3. GRI Pricing'!$F360&gt;='2. GRI Pricing Inputs'!$AH$33,'3. GRI Pricing'!$F360&lt;='2. GRI Pricing Inputs'!$AI$33),'2. GRI Pricing Inputs'!$AH$32,0))))))))))))))))</f>
        <v>0</v>
      </c>
      <c r="N360" s="273" cm="1">
        <f t="array" ref="N360">IFERROR(INDEX('2. GRI Pricing Inputs'!$C$32:$AI$39,MATCH('3. GRI Pricing'!D360,'2. GRI Pricing Inputs'!$C$32:$C$39,0),(MATCH('3. GRI Pricing'!M360,'2. GRI Pricing Inputs'!$D$32:$AI$32,0)+1)),0)</f>
        <v>0</v>
      </c>
      <c r="O360" s="273">
        <f>IFERROR(INDEX('2. GRI Pricing Inputs'!$C$45:$AI$46,MATCH($O$16,'2. GRI Pricing Inputs'!$C$45:$C$46,0),MATCH(G360,'2. GRI Pricing Inputs'!$C$45:$AI$45,0)),0)</f>
        <v>0</v>
      </c>
      <c r="P360" s="273">
        <f>IFERROR(INDEX('2. GRI Pricing Inputs'!$C$53:$AI$54,MATCH('3. GRI Pricing'!$P$16,'2. GRI Pricing Inputs'!$C$53:$C$54,0),MATCH('3. GRI Pricing'!H360,'2. GRI Pricing Inputs'!$C$53:$AI$53,0)),0)</f>
        <v>0</v>
      </c>
      <c r="Q360" s="273">
        <f>IFERROR(INDEX('2. GRI Pricing Inputs'!$C$60:$AI$61,MATCH('3. GRI Pricing'!$Q$16,'2. GRI Pricing Inputs'!$C$60:$C$61,0),MATCH('1. Accomodation'!T364,'2. GRI Pricing Inputs'!$C$60:$AI$60,0)),0)</f>
        <v>0</v>
      </c>
      <c r="R360" s="273">
        <f>IFERROR(INDEX('2. GRI Pricing Inputs'!$C$67:$AI$68,MATCH('3. GRI Pricing'!$R$16,'2. GRI Pricing Inputs'!$C$67:$C$68,0),MATCH('1. Accomodation'!U364,'2. GRI Pricing Inputs'!$C$67:$AI$67,0)),0)</f>
        <v>0</v>
      </c>
      <c r="S360" s="273">
        <f>IF(D360=0,0,'2. GRI Pricing Inputs'!$AI$75)</f>
        <v>0</v>
      </c>
      <c r="T360" s="273">
        <f>IFERROR(INDEX('2. GRI Pricing Inputs'!$C$82:$AI$83,MATCH('3. GRI Pricing'!$T$16,'2. GRI Pricing Inputs'!$C$82:$C$83,0),MATCH('1. Accomodation'!V364,'2. GRI Pricing Inputs'!$C$82:$AI$82,0)),0)</f>
        <v>0</v>
      </c>
      <c r="U360" s="273">
        <f>IFERROR(INDEX('2. GRI Pricing Inputs'!$C$89:$AI$90,MATCH('3. GRI Pricing'!$U$16,'2. GRI Pricing Inputs'!$C$89:$C$90,0),MATCH('1. Accomodation'!W364,'2. GRI Pricing Inputs'!$C$89:$AI$89,0)),0)</f>
        <v>0</v>
      </c>
      <c r="V360" s="273">
        <f>IFERROR(INDEX('2. GRI Pricing Inputs'!$C$97:$AI$98,MATCH('3. GRI Pricing'!$V$16,'2. GRI Pricing Inputs'!$C$97:$C$98,0),MATCH('1. Accomodation'!X364,'2. GRI Pricing Inputs'!$C$97:$AI$97,0)),0)</f>
        <v>0</v>
      </c>
      <c r="W360" s="273">
        <f>IFERROR(INDEX('2. GRI Pricing Inputs'!$C$104:$AI$105,MATCH('3. GRI Pricing'!$W$16,'2. GRI Pricing Inputs'!$C$104:$C$105,0),MATCH('1. Accomodation'!Y364,'2. GRI Pricing Inputs'!$C$104:$AI$104,0)),0)</f>
        <v>0</v>
      </c>
      <c r="X360" s="274"/>
      <c r="Y360" s="275">
        <f t="shared" si="12"/>
        <v>0</v>
      </c>
      <c r="Z360" s="276"/>
      <c r="AA360" s="276"/>
      <c r="AB360" s="276"/>
      <c r="AC360" s="272">
        <f>Y360*(1+'2. GRI Pricing Inputs'!$D$114)^(($AC$16-$AB$15)/365)</f>
        <v>0</v>
      </c>
      <c r="AD360" s="273">
        <f>AC360*(1+'2. GRI Pricing Inputs'!$D$114)^((AD$16-AC$16)/365)</f>
        <v>0</v>
      </c>
      <c r="AE360" s="273">
        <f>AD360*(1+'2. GRI Pricing Inputs'!$D$114)^((AE$16-AD$16)/365)</f>
        <v>0</v>
      </c>
      <c r="AF360" s="273">
        <f>AE360*(1+'2. GRI Pricing Inputs'!$D$114)^((AF$16-AE$16)/365)</f>
        <v>0</v>
      </c>
      <c r="AG360" s="273">
        <f>AF360*(1+'2. GRI Pricing Inputs'!$D$114)^((AG$16-AF$16)/365)</f>
        <v>0</v>
      </c>
      <c r="AH360" s="273">
        <f>AG360*(1+'2. GRI Pricing Inputs'!$D$114)^((AH$16-AG$16)/365)</f>
        <v>0</v>
      </c>
      <c r="AI360" s="273">
        <f>AH360*(1+'2. GRI Pricing Inputs'!$D$114)^((AI$16-AH$16)/365)</f>
        <v>0</v>
      </c>
      <c r="AJ360" s="273">
        <f>AI360*(1+'2. GRI Pricing Inputs'!$D$114)^((AJ$16-AI$16)/365)</f>
        <v>0</v>
      </c>
      <c r="AK360" s="273">
        <f>AJ360*(1+'2. GRI Pricing Inputs'!$D$114)^((AK$16-AJ$16)/365)</f>
        <v>0</v>
      </c>
      <c r="AL360" s="273">
        <f>AK360*(1+'2. GRI Pricing Inputs'!$D$114)^((AL$16-AK$16)/365)</f>
        <v>0</v>
      </c>
      <c r="AM360" s="273">
        <f>AL360*(1+'2. GRI Pricing Inputs'!$D$114)^((AM$16-AL$16)/365)</f>
        <v>0</v>
      </c>
      <c r="AN360" s="273">
        <f>AM360*(1+'2. GRI Pricing Inputs'!$D$114)^((AN$16-AM$16)/365)</f>
        <v>0</v>
      </c>
      <c r="AO360" s="273">
        <f>AN360*(1+'2. GRI Pricing Inputs'!$D$114)^((AO$16-AN$16)/365)</f>
        <v>0</v>
      </c>
    </row>
    <row r="361" spans="3:41" ht="12" x14ac:dyDescent="0.2">
      <c r="C361" s="76">
        <f>'1. Accomodation'!N365</f>
        <v>0</v>
      </c>
      <c r="D361" s="69">
        <f>'1. Accomodation'!P365</f>
        <v>0</v>
      </c>
      <c r="E361" s="69">
        <f>'1. Accomodation'!Q365</f>
        <v>0</v>
      </c>
      <c r="F361" s="77">
        <f>'1. Accomodation'!O365</f>
        <v>0</v>
      </c>
      <c r="G361" s="69">
        <f>'1. Accomodation'!R365</f>
        <v>0</v>
      </c>
      <c r="H361" s="69">
        <f>'1. Accomodation'!S365</f>
        <v>0</v>
      </c>
      <c r="I361" s="62"/>
      <c r="K361" s="272">
        <f>IFERROR(INDEX('2. GRI Pricing Inputs'!$C$15:$AI$16,MATCH($K$16,'2. GRI Pricing Inputs'!$C$15:$C$16,0),MATCH(D361,'2. GRI Pricing Inputs'!$C$15:$AI$15,0)),0)</f>
        <v>0</v>
      </c>
      <c r="L361" s="273">
        <f>IFERROR(INDEX('2. GRI Pricing Inputs'!$C$22:$AI$23,MATCH($L$16,'2. GRI Pricing Inputs'!$C$22:$C$23,0),MATCH(E361,'2. GRI Pricing Inputs'!$C$22:$AI$22,0)),0)</f>
        <v>0</v>
      </c>
      <c r="M361" s="328">
        <f>IF(AND('3. GRI Pricing'!$F361&gt;='2. GRI Pricing Inputs'!$D$33,'3. GRI Pricing'!$F361&lt;='2. GRI Pricing Inputs'!$E$33),'2. GRI Pricing Inputs'!$D$32,IF(AND('3. GRI Pricing'!$F361&gt;='2. GRI Pricing Inputs'!$F$33,'3. GRI Pricing'!$F361&lt;='2. GRI Pricing Inputs'!$G$33),'2. GRI Pricing Inputs'!$F$32,IF(AND('3. GRI Pricing'!$F361&gt;='2. GRI Pricing Inputs'!$H$33,'3. GRI Pricing'!$F361&lt;='2. GRI Pricing Inputs'!$I$33),'2. GRI Pricing Inputs'!$H$32,IF(AND('3. GRI Pricing'!$F361&gt;='2. GRI Pricing Inputs'!$J$33,'3. GRI Pricing'!$F361&lt;='2. GRI Pricing Inputs'!$K$33),'2. GRI Pricing Inputs'!$J$32,IF(AND('3. GRI Pricing'!$F361&gt;='2. GRI Pricing Inputs'!$L$33,'3. GRI Pricing'!$F361&lt;='2. GRI Pricing Inputs'!$M$33),'2. GRI Pricing Inputs'!$L$32,IF(AND('3. GRI Pricing'!$F361&gt;='2. GRI Pricing Inputs'!$N$33,'3. GRI Pricing'!$F361&lt;='2. GRI Pricing Inputs'!$O$33),'2. GRI Pricing Inputs'!$N$32,IF(AND('3. GRI Pricing'!$F361&gt;='2. GRI Pricing Inputs'!$P$33,'3. GRI Pricing'!$F361&lt;='2. GRI Pricing Inputs'!$Q$33),'2. GRI Pricing Inputs'!$P$32,IF(AND('3. GRI Pricing'!$F361&gt;='2. GRI Pricing Inputs'!$R$33,'3. GRI Pricing'!$F361&lt;='2. GRI Pricing Inputs'!$S$33),'2. GRI Pricing Inputs'!$R$32,IF(AND('3. GRI Pricing'!$F361&gt;='2. GRI Pricing Inputs'!$T$33,'3. GRI Pricing'!$F361&lt;='2. GRI Pricing Inputs'!$U$33),'2. GRI Pricing Inputs'!$T$32,IF(AND('3. GRI Pricing'!$F361&gt;='2. GRI Pricing Inputs'!$V$33,'3. GRI Pricing'!$F361&lt;='2. GRI Pricing Inputs'!$W$33),'2. GRI Pricing Inputs'!$V$32,IF(AND('3. GRI Pricing'!$F361&gt;='2. GRI Pricing Inputs'!$X$33,'3. GRI Pricing'!$F361&lt;='2. GRI Pricing Inputs'!$Y$33),'2. GRI Pricing Inputs'!$X$32,IF(AND('3. GRI Pricing'!$F361&gt;='2. GRI Pricing Inputs'!$Z$33,'3. GRI Pricing'!$F361&lt;='2. GRI Pricing Inputs'!$AA$33),'2. GRI Pricing Inputs'!$Z$32,IF(AND('3. GRI Pricing'!$F361&gt;='2. GRI Pricing Inputs'!$AB$33,'3. GRI Pricing'!$F361&lt;='2. GRI Pricing Inputs'!$AC$33),'2. GRI Pricing Inputs'!$AB$32,IF(AND('3. GRI Pricing'!$F361&gt;='2. GRI Pricing Inputs'!$AD$33,'3. GRI Pricing'!$F361&lt;='2. GRI Pricing Inputs'!$AE$33),'2. GRI Pricing Inputs'!$AD$32,IF(AND('3. GRI Pricing'!$F361&gt;='2. GRI Pricing Inputs'!$AF$33,'3. GRI Pricing'!$F361&lt;='2. GRI Pricing Inputs'!$AG$33),'2. GRI Pricing Inputs'!$AF$32,IF(AND('3. GRI Pricing'!$F361&gt;='2. GRI Pricing Inputs'!$AH$33,'3. GRI Pricing'!$F361&lt;='2. GRI Pricing Inputs'!$AI$33),'2. GRI Pricing Inputs'!$AH$32,0))))))))))))))))</f>
        <v>0</v>
      </c>
      <c r="N361" s="273" cm="1">
        <f t="array" ref="N361">IFERROR(INDEX('2. GRI Pricing Inputs'!$C$32:$AI$39,MATCH('3. GRI Pricing'!D361,'2. GRI Pricing Inputs'!$C$32:$C$39,0),(MATCH('3. GRI Pricing'!M361,'2. GRI Pricing Inputs'!$D$32:$AI$32,0)+1)),0)</f>
        <v>0</v>
      </c>
      <c r="O361" s="273">
        <f>IFERROR(INDEX('2. GRI Pricing Inputs'!$C$45:$AI$46,MATCH($O$16,'2. GRI Pricing Inputs'!$C$45:$C$46,0),MATCH(G361,'2. GRI Pricing Inputs'!$C$45:$AI$45,0)),0)</f>
        <v>0</v>
      </c>
      <c r="P361" s="273">
        <f>IFERROR(INDEX('2. GRI Pricing Inputs'!$C$53:$AI$54,MATCH('3. GRI Pricing'!$P$16,'2. GRI Pricing Inputs'!$C$53:$C$54,0),MATCH('3. GRI Pricing'!H361,'2. GRI Pricing Inputs'!$C$53:$AI$53,0)),0)</f>
        <v>0</v>
      </c>
      <c r="Q361" s="273">
        <f>IFERROR(INDEX('2. GRI Pricing Inputs'!$C$60:$AI$61,MATCH('3. GRI Pricing'!$Q$16,'2. GRI Pricing Inputs'!$C$60:$C$61,0),MATCH('1. Accomodation'!T365,'2. GRI Pricing Inputs'!$C$60:$AI$60,0)),0)</f>
        <v>0</v>
      </c>
      <c r="R361" s="273">
        <f>IFERROR(INDEX('2. GRI Pricing Inputs'!$C$67:$AI$68,MATCH('3. GRI Pricing'!$R$16,'2. GRI Pricing Inputs'!$C$67:$C$68,0),MATCH('1. Accomodation'!U365,'2. GRI Pricing Inputs'!$C$67:$AI$67,0)),0)</f>
        <v>0</v>
      </c>
      <c r="S361" s="273">
        <f>IF(D361=0,0,'2. GRI Pricing Inputs'!$AI$75)</f>
        <v>0</v>
      </c>
      <c r="T361" s="273">
        <f>IFERROR(INDEX('2. GRI Pricing Inputs'!$C$82:$AI$83,MATCH('3. GRI Pricing'!$T$16,'2. GRI Pricing Inputs'!$C$82:$C$83,0),MATCH('1. Accomodation'!V365,'2. GRI Pricing Inputs'!$C$82:$AI$82,0)),0)</f>
        <v>0</v>
      </c>
      <c r="U361" s="273">
        <f>IFERROR(INDEX('2. GRI Pricing Inputs'!$C$89:$AI$90,MATCH('3. GRI Pricing'!$U$16,'2. GRI Pricing Inputs'!$C$89:$C$90,0),MATCH('1. Accomodation'!W365,'2. GRI Pricing Inputs'!$C$89:$AI$89,0)),0)</f>
        <v>0</v>
      </c>
      <c r="V361" s="273">
        <f>IFERROR(INDEX('2. GRI Pricing Inputs'!$C$97:$AI$98,MATCH('3. GRI Pricing'!$V$16,'2. GRI Pricing Inputs'!$C$97:$C$98,0),MATCH('1. Accomodation'!X365,'2. GRI Pricing Inputs'!$C$97:$AI$97,0)),0)</f>
        <v>0</v>
      </c>
      <c r="W361" s="273">
        <f>IFERROR(INDEX('2. GRI Pricing Inputs'!$C$104:$AI$105,MATCH('3. GRI Pricing'!$W$16,'2. GRI Pricing Inputs'!$C$104:$C$105,0),MATCH('1. Accomodation'!Y365,'2. GRI Pricing Inputs'!$C$104:$AI$104,0)),0)</f>
        <v>0</v>
      </c>
      <c r="X361" s="274"/>
      <c r="Y361" s="275">
        <f t="shared" si="12"/>
        <v>0</v>
      </c>
      <c r="Z361" s="276"/>
      <c r="AA361" s="276"/>
      <c r="AB361" s="276"/>
      <c r="AC361" s="272">
        <f>Y361*(1+'2. GRI Pricing Inputs'!$D$114)^(($AC$16-$AB$15)/365)</f>
        <v>0</v>
      </c>
      <c r="AD361" s="273">
        <f>AC361*(1+'2. GRI Pricing Inputs'!$D$114)^((AD$16-AC$16)/365)</f>
        <v>0</v>
      </c>
      <c r="AE361" s="273">
        <f>AD361*(1+'2. GRI Pricing Inputs'!$D$114)^((AE$16-AD$16)/365)</f>
        <v>0</v>
      </c>
      <c r="AF361" s="273">
        <f>AE361*(1+'2. GRI Pricing Inputs'!$D$114)^((AF$16-AE$16)/365)</f>
        <v>0</v>
      </c>
      <c r="AG361" s="273">
        <f>AF361*(1+'2. GRI Pricing Inputs'!$D$114)^((AG$16-AF$16)/365)</f>
        <v>0</v>
      </c>
      <c r="AH361" s="273">
        <f>AG361*(1+'2. GRI Pricing Inputs'!$D$114)^((AH$16-AG$16)/365)</f>
        <v>0</v>
      </c>
      <c r="AI361" s="273">
        <f>AH361*(1+'2. GRI Pricing Inputs'!$D$114)^((AI$16-AH$16)/365)</f>
        <v>0</v>
      </c>
      <c r="AJ361" s="273">
        <f>AI361*(1+'2. GRI Pricing Inputs'!$D$114)^((AJ$16-AI$16)/365)</f>
        <v>0</v>
      </c>
      <c r="AK361" s="273">
        <f>AJ361*(1+'2. GRI Pricing Inputs'!$D$114)^((AK$16-AJ$16)/365)</f>
        <v>0</v>
      </c>
      <c r="AL361" s="273">
        <f>AK361*(1+'2. GRI Pricing Inputs'!$D$114)^((AL$16-AK$16)/365)</f>
        <v>0</v>
      </c>
      <c r="AM361" s="273">
        <f>AL361*(1+'2. GRI Pricing Inputs'!$D$114)^((AM$16-AL$16)/365)</f>
        <v>0</v>
      </c>
      <c r="AN361" s="273">
        <f>AM361*(1+'2. GRI Pricing Inputs'!$D$114)^((AN$16-AM$16)/365)</f>
        <v>0</v>
      </c>
      <c r="AO361" s="273">
        <f>AN361*(1+'2. GRI Pricing Inputs'!$D$114)^((AO$16-AN$16)/365)</f>
        <v>0</v>
      </c>
    </row>
    <row r="362" spans="3:41" ht="12" x14ac:dyDescent="0.2">
      <c r="C362" s="76">
        <f>'1. Accomodation'!N366</f>
        <v>0</v>
      </c>
      <c r="D362" s="69">
        <f>'1. Accomodation'!P366</f>
        <v>0</v>
      </c>
      <c r="E362" s="69">
        <f>'1. Accomodation'!Q366</f>
        <v>0</v>
      </c>
      <c r="F362" s="77">
        <f>'1. Accomodation'!O366</f>
        <v>0</v>
      </c>
      <c r="G362" s="69">
        <f>'1. Accomodation'!R366</f>
        <v>0</v>
      </c>
      <c r="H362" s="69">
        <f>'1. Accomodation'!S366</f>
        <v>0</v>
      </c>
      <c r="I362" s="62"/>
      <c r="K362" s="272">
        <f>IFERROR(INDEX('2. GRI Pricing Inputs'!$C$15:$AI$16,MATCH($K$16,'2. GRI Pricing Inputs'!$C$15:$C$16,0),MATCH(D362,'2. GRI Pricing Inputs'!$C$15:$AI$15,0)),0)</f>
        <v>0</v>
      </c>
      <c r="L362" s="273">
        <f>IFERROR(INDEX('2. GRI Pricing Inputs'!$C$22:$AI$23,MATCH($L$16,'2. GRI Pricing Inputs'!$C$22:$C$23,0),MATCH(E362,'2. GRI Pricing Inputs'!$C$22:$AI$22,0)),0)</f>
        <v>0</v>
      </c>
      <c r="M362" s="328">
        <f>IF(AND('3. GRI Pricing'!$F362&gt;='2. GRI Pricing Inputs'!$D$33,'3. GRI Pricing'!$F362&lt;='2. GRI Pricing Inputs'!$E$33),'2. GRI Pricing Inputs'!$D$32,IF(AND('3. GRI Pricing'!$F362&gt;='2. GRI Pricing Inputs'!$F$33,'3. GRI Pricing'!$F362&lt;='2. GRI Pricing Inputs'!$G$33),'2. GRI Pricing Inputs'!$F$32,IF(AND('3. GRI Pricing'!$F362&gt;='2. GRI Pricing Inputs'!$H$33,'3. GRI Pricing'!$F362&lt;='2. GRI Pricing Inputs'!$I$33),'2. GRI Pricing Inputs'!$H$32,IF(AND('3. GRI Pricing'!$F362&gt;='2. GRI Pricing Inputs'!$J$33,'3. GRI Pricing'!$F362&lt;='2. GRI Pricing Inputs'!$K$33),'2. GRI Pricing Inputs'!$J$32,IF(AND('3. GRI Pricing'!$F362&gt;='2. GRI Pricing Inputs'!$L$33,'3. GRI Pricing'!$F362&lt;='2. GRI Pricing Inputs'!$M$33),'2. GRI Pricing Inputs'!$L$32,IF(AND('3. GRI Pricing'!$F362&gt;='2. GRI Pricing Inputs'!$N$33,'3. GRI Pricing'!$F362&lt;='2. GRI Pricing Inputs'!$O$33),'2. GRI Pricing Inputs'!$N$32,IF(AND('3. GRI Pricing'!$F362&gt;='2. GRI Pricing Inputs'!$P$33,'3. GRI Pricing'!$F362&lt;='2. GRI Pricing Inputs'!$Q$33),'2. GRI Pricing Inputs'!$P$32,IF(AND('3. GRI Pricing'!$F362&gt;='2. GRI Pricing Inputs'!$R$33,'3. GRI Pricing'!$F362&lt;='2. GRI Pricing Inputs'!$S$33),'2. GRI Pricing Inputs'!$R$32,IF(AND('3. GRI Pricing'!$F362&gt;='2. GRI Pricing Inputs'!$T$33,'3. GRI Pricing'!$F362&lt;='2. GRI Pricing Inputs'!$U$33),'2. GRI Pricing Inputs'!$T$32,IF(AND('3. GRI Pricing'!$F362&gt;='2. GRI Pricing Inputs'!$V$33,'3. GRI Pricing'!$F362&lt;='2. GRI Pricing Inputs'!$W$33),'2. GRI Pricing Inputs'!$V$32,IF(AND('3. GRI Pricing'!$F362&gt;='2. GRI Pricing Inputs'!$X$33,'3. GRI Pricing'!$F362&lt;='2. GRI Pricing Inputs'!$Y$33),'2. GRI Pricing Inputs'!$X$32,IF(AND('3. GRI Pricing'!$F362&gt;='2. GRI Pricing Inputs'!$Z$33,'3. GRI Pricing'!$F362&lt;='2. GRI Pricing Inputs'!$AA$33),'2. GRI Pricing Inputs'!$Z$32,IF(AND('3. GRI Pricing'!$F362&gt;='2. GRI Pricing Inputs'!$AB$33,'3. GRI Pricing'!$F362&lt;='2. GRI Pricing Inputs'!$AC$33),'2. GRI Pricing Inputs'!$AB$32,IF(AND('3. GRI Pricing'!$F362&gt;='2. GRI Pricing Inputs'!$AD$33,'3. GRI Pricing'!$F362&lt;='2. GRI Pricing Inputs'!$AE$33),'2. GRI Pricing Inputs'!$AD$32,IF(AND('3. GRI Pricing'!$F362&gt;='2. GRI Pricing Inputs'!$AF$33,'3. GRI Pricing'!$F362&lt;='2. GRI Pricing Inputs'!$AG$33),'2. GRI Pricing Inputs'!$AF$32,IF(AND('3. GRI Pricing'!$F362&gt;='2. GRI Pricing Inputs'!$AH$33,'3. GRI Pricing'!$F362&lt;='2. GRI Pricing Inputs'!$AI$33),'2. GRI Pricing Inputs'!$AH$32,0))))))))))))))))</f>
        <v>0</v>
      </c>
      <c r="N362" s="273" cm="1">
        <f t="array" ref="N362">IFERROR(INDEX('2. GRI Pricing Inputs'!$C$32:$AI$39,MATCH('3. GRI Pricing'!D362,'2. GRI Pricing Inputs'!$C$32:$C$39,0),(MATCH('3. GRI Pricing'!M362,'2. GRI Pricing Inputs'!$D$32:$AI$32,0)+1)),0)</f>
        <v>0</v>
      </c>
      <c r="O362" s="273">
        <f>IFERROR(INDEX('2. GRI Pricing Inputs'!$C$45:$AI$46,MATCH($O$16,'2. GRI Pricing Inputs'!$C$45:$C$46,0),MATCH(G362,'2. GRI Pricing Inputs'!$C$45:$AI$45,0)),0)</f>
        <v>0</v>
      </c>
      <c r="P362" s="273">
        <f>IFERROR(INDEX('2. GRI Pricing Inputs'!$C$53:$AI$54,MATCH('3. GRI Pricing'!$P$16,'2. GRI Pricing Inputs'!$C$53:$C$54,0),MATCH('3. GRI Pricing'!H362,'2. GRI Pricing Inputs'!$C$53:$AI$53,0)),0)</f>
        <v>0</v>
      </c>
      <c r="Q362" s="273">
        <f>IFERROR(INDEX('2. GRI Pricing Inputs'!$C$60:$AI$61,MATCH('3. GRI Pricing'!$Q$16,'2. GRI Pricing Inputs'!$C$60:$C$61,0),MATCH('1. Accomodation'!T366,'2. GRI Pricing Inputs'!$C$60:$AI$60,0)),0)</f>
        <v>0</v>
      </c>
      <c r="R362" s="273">
        <f>IFERROR(INDEX('2. GRI Pricing Inputs'!$C$67:$AI$68,MATCH('3. GRI Pricing'!$R$16,'2. GRI Pricing Inputs'!$C$67:$C$68,0),MATCH('1. Accomodation'!U366,'2. GRI Pricing Inputs'!$C$67:$AI$67,0)),0)</f>
        <v>0</v>
      </c>
      <c r="S362" s="273">
        <f>IF(D362=0,0,'2. GRI Pricing Inputs'!$AI$75)</f>
        <v>0</v>
      </c>
      <c r="T362" s="273">
        <f>IFERROR(INDEX('2. GRI Pricing Inputs'!$C$82:$AI$83,MATCH('3. GRI Pricing'!$T$16,'2. GRI Pricing Inputs'!$C$82:$C$83,0),MATCH('1. Accomodation'!V366,'2. GRI Pricing Inputs'!$C$82:$AI$82,0)),0)</f>
        <v>0</v>
      </c>
      <c r="U362" s="273">
        <f>IFERROR(INDEX('2. GRI Pricing Inputs'!$C$89:$AI$90,MATCH('3. GRI Pricing'!$U$16,'2. GRI Pricing Inputs'!$C$89:$C$90,0),MATCH('1. Accomodation'!W366,'2. GRI Pricing Inputs'!$C$89:$AI$89,0)),0)</f>
        <v>0</v>
      </c>
      <c r="V362" s="273">
        <f>IFERROR(INDEX('2. GRI Pricing Inputs'!$C$97:$AI$98,MATCH('3. GRI Pricing'!$V$16,'2. GRI Pricing Inputs'!$C$97:$C$98,0),MATCH('1. Accomodation'!X366,'2. GRI Pricing Inputs'!$C$97:$AI$97,0)),0)</f>
        <v>0</v>
      </c>
      <c r="W362" s="273">
        <f>IFERROR(INDEX('2. GRI Pricing Inputs'!$C$104:$AI$105,MATCH('3. GRI Pricing'!$W$16,'2. GRI Pricing Inputs'!$C$104:$C$105,0),MATCH('1. Accomodation'!Y366,'2. GRI Pricing Inputs'!$C$104:$AI$104,0)),0)</f>
        <v>0</v>
      </c>
      <c r="X362" s="274"/>
      <c r="Y362" s="275">
        <f t="shared" si="12"/>
        <v>0</v>
      </c>
      <c r="Z362" s="276"/>
      <c r="AA362" s="276"/>
      <c r="AB362" s="276"/>
      <c r="AC362" s="272">
        <f>Y362*(1+'2. GRI Pricing Inputs'!$D$114)^(($AC$16-$AB$15)/365)</f>
        <v>0</v>
      </c>
      <c r="AD362" s="273">
        <f>AC362*(1+'2. GRI Pricing Inputs'!$D$114)^((AD$16-AC$16)/365)</f>
        <v>0</v>
      </c>
      <c r="AE362" s="273">
        <f>AD362*(1+'2. GRI Pricing Inputs'!$D$114)^((AE$16-AD$16)/365)</f>
        <v>0</v>
      </c>
      <c r="AF362" s="273">
        <f>AE362*(1+'2. GRI Pricing Inputs'!$D$114)^((AF$16-AE$16)/365)</f>
        <v>0</v>
      </c>
      <c r="AG362" s="273">
        <f>AF362*(1+'2. GRI Pricing Inputs'!$D$114)^((AG$16-AF$16)/365)</f>
        <v>0</v>
      </c>
      <c r="AH362" s="273">
        <f>AG362*(1+'2. GRI Pricing Inputs'!$D$114)^((AH$16-AG$16)/365)</f>
        <v>0</v>
      </c>
      <c r="AI362" s="273">
        <f>AH362*(1+'2. GRI Pricing Inputs'!$D$114)^((AI$16-AH$16)/365)</f>
        <v>0</v>
      </c>
      <c r="AJ362" s="273">
        <f>AI362*(1+'2. GRI Pricing Inputs'!$D$114)^((AJ$16-AI$16)/365)</f>
        <v>0</v>
      </c>
      <c r="AK362" s="273">
        <f>AJ362*(1+'2. GRI Pricing Inputs'!$D$114)^((AK$16-AJ$16)/365)</f>
        <v>0</v>
      </c>
      <c r="AL362" s="273">
        <f>AK362*(1+'2. GRI Pricing Inputs'!$D$114)^((AL$16-AK$16)/365)</f>
        <v>0</v>
      </c>
      <c r="AM362" s="273">
        <f>AL362*(1+'2. GRI Pricing Inputs'!$D$114)^((AM$16-AL$16)/365)</f>
        <v>0</v>
      </c>
      <c r="AN362" s="273">
        <f>AM362*(1+'2. GRI Pricing Inputs'!$D$114)^((AN$16-AM$16)/365)</f>
        <v>0</v>
      </c>
      <c r="AO362" s="273">
        <f>AN362*(1+'2. GRI Pricing Inputs'!$D$114)^((AO$16-AN$16)/365)</f>
        <v>0</v>
      </c>
    </row>
    <row r="363" spans="3:41" ht="12" x14ac:dyDescent="0.2">
      <c r="C363" s="76">
        <f>'1. Accomodation'!N367</f>
        <v>0</v>
      </c>
      <c r="D363" s="69">
        <f>'1. Accomodation'!P367</f>
        <v>0</v>
      </c>
      <c r="E363" s="69">
        <f>'1. Accomodation'!Q367</f>
        <v>0</v>
      </c>
      <c r="F363" s="77">
        <f>'1. Accomodation'!O367</f>
        <v>0</v>
      </c>
      <c r="G363" s="69">
        <f>'1. Accomodation'!R367</f>
        <v>0</v>
      </c>
      <c r="H363" s="69">
        <f>'1. Accomodation'!S367</f>
        <v>0</v>
      </c>
      <c r="I363" s="62"/>
      <c r="K363" s="272">
        <f>IFERROR(INDEX('2. GRI Pricing Inputs'!$C$15:$AI$16,MATCH($K$16,'2. GRI Pricing Inputs'!$C$15:$C$16,0),MATCH(D363,'2. GRI Pricing Inputs'!$C$15:$AI$15,0)),0)</f>
        <v>0</v>
      </c>
      <c r="L363" s="273">
        <f>IFERROR(INDEX('2. GRI Pricing Inputs'!$C$22:$AI$23,MATCH($L$16,'2. GRI Pricing Inputs'!$C$22:$C$23,0),MATCH(E363,'2. GRI Pricing Inputs'!$C$22:$AI$22,0)),0)</f>
        <v>0</v>
      </c>
      <c r="M363" s="328">
        <f>IF(AND('3. GRI Pricing'!$F363&gt;='2. GRI Pricing Inputs'!$D$33,'3. GRI Pricing'!$F363&lt;='2. GRI Pricing Inputs'!$E$33),'2. GRI Pricing Inputs'!$D$32,IF(AND('3. GRI Pricing'!$F363&gt;='2. GRI Pricing Inputs'!$F$33,'3. GRI Pricing'!$F363&lt;='2. GRI Pricing Inputs'!$G$33),'2. GRI Pricing Inputs'!$F$32,IF(AND('3. GRI Pricing'!$F363&gt;='2. GRI Pricing Inputs'!$H$33,'3. GRI Pricing'!$F363&lt;='2. GRI Pricing Inputs'!$I$33),'2. GRI Pricing Inputs'!$H$32,IF(AND('3. GRI Pricing'!$F363&gt;='2. GRI Pricing Inputs'!$J$33,'3. GRI Pricing'!$F363&lt;='2. GRI Pricing Inputs'!$K$33),'2. GRI Pricing Inputs'!$J$32,IF(AND('3. GRI Pricing'!$F363&gt;='2. GRI Pricing Inputs'!$L$33,'3. GRI Pricing'!$F363&lt;='2. GRI Pricing Inputs'!$M$33),'2. GRI Pricing Inputs'!$L$32,IF(AND('3. GRI Pricing'!$F363&gt;='2. GRI Pricing Inputs'!$N$33,'3. GRI Pricing'!$F363&lt;='2. GRI Pricing Inputs'!$O$33),'2. GRI Pricing Inputs'!$N$32,IF(AND('3. GRI Pricing'!$F363&gt;='2. GRI Pricing Inputs'!$P$33,'3. GRI Pricing'!$F363&lt;='2. GRI Pricing Inputs'!$Q$33),'2. GRI Pricing Inputs'!$P$32,IF(AND('3. GRI Pricing'!$F363&gt;='2. GRI Pricing Inputs'!$R$33,'3. GRI Pricing'!$F363&lt;='2. GRI Pricing Inputs'!$S$33),'2. GRI Pricing Inputs'!$R$32,IF(AND('3. GRI Pricing'!$F363&gt;='2. GRI Pricing Inputs'!$T$33,'3. GRI Pricing'!$F363&lt;='2. GRI Pricing Inputs'!$U$33),'2. GRI Pricing Inputs'!$T$32,IF(AND('3. GRI Pricing'!$F363&gt;='2. GRI Pricing Inputs'!$V$33,'3. GRI Pricing'!$F363&lt;='2. GRI Pricing Inputs'!$W$33),'2. GRI Pricing Inputs'!$V$32,IF(AND('3. GRI Pricing'!$F363&gt;='2. GRI Pricing Inputs'!$X$33,'3. GRI Pricing'!$F363&lt;='2. GRI Pricing Inputs'!$Y$33),'2. GRI Pricing Inputs'!$X$32,IF(AND('3. GRI Pricing'!$F363&gt;='2. GRI Pricing Inputs'!$Z$33,'3. GRI Pricing'!$F363&lt;='2. GRI Pricing Inputs'!$AA$33),'2. GRI Pricing Inputs'!$Z$32,IF(AND('3. GRI Pricing'!$F363&gt;='2. GRI Pricing Inputs'!$AB$33,'3. GRI Pricing'!$F363&lt;='2. GRI Pricing Inputs'!$AC$33),'2. GRI Pricing Inputs'!$AB$32,IF(AND('3. GRI Pricing'!$F363&gt;='2. GRI Pricing Inputs'!$AD$33,'3. GRI Pricing'!$F363&lt;='2. GRI Pricing Inputs'!$AE$33),'2. GRI Pricing Inputs'!$AD$32,IF(AND('3. GRI Pricing'!$F363&gt;='2. GRI Pricing Inputs'!$AF$33,'3. GRI Pricing'!$F363&lt;='2. GRI Pricing Inputs'!$AG$33),'2. GRI Pricing Inputs'!$AF$32,IF(AND('3. GRI Pricing'!$F363&gt;='2. GRI Pricing Inputs'!$AH$33,'3. GRI Pricing'!$F363&lt;='2. GRI Pricing Inputs'!$AI$33),'2. GRI Pricing Inputs'!$AH$32,0))))))))))))))))</f>
        <v>0</v>
      </c>
      <c r="N363" s="273" cm="1">
        <f t="array" ref="N363">IFERROR(INDEX('2. GRI Pricing Inputs'!$C$32:$AI$39,MATCH('3. GRI Pricing'!D363,'2. GRI Pricing Inputs'!$C$32:$C$39,0),(MATCH('3. GRI Pricing'!M363,'2. GRI Pricing Inputs'!$D$32:$AI$32,0)+1)),0)</f>
        <v>0</v>
      </c>
      <c r="O363" s="273">
        <f>IFERROR(INDEX('2. GRI Pricing Inputs'!$C$45:$AI$46,MATCH($O$16,'2. GRI Pricing Inputs'!$C$45:$C$46,0),MATCH(G363,'2. GRI Pricing Inputs'!$C$45:$AI$45,0)),0)</f>
        <v>0</v>
      </c>
      <c r="P363" s="273">
        <f>IFERROR(INDEX('2. GRI Pricing Inputs'!$C$53:$AI$54,MATCH('3. GRI Pricing'!$P$16,'2. GRI Pricing Inputs'!$C$53:$C$54,0),MATCH('3. GRI Pricing'!H363,'2. GRI Pricing Inputs'!$C$53:$AI$53,0)),0)</f>
        <v>0</v>
      </c>
      <c r="Q363" s="273">
        <f>IFERROR(INDEX('2. GRI Pricing Inputs'!$C$60:$AI$61,MATCH('3. GRI Pricing'!$Q$16,'2. GRI Pricing Inputs'!$C$60:$C$61,0),MATCH('1. Accomodation'!T367,'2. GRI Pricing Inputs'!$C$60:$AI$60,0)),0)</f>
        <v>0</v>
      </c>
      <c r="R363" s="273">
        <f>IFERROR(INDEX('2. GRI Pricing Inputs'!$C$67:$AI$68,MATCH('3. GRI Pricing'!$R$16,'2. GRI Pricing Inputs'!$C$67:$C$68,0),MATCH('1. Accomodation'!U367,'2. GRI Pricing Inputs'!$C$67:$AI$67,0)),0)</f>
        <v>0</v>
      </c>
      <c r="S363" s="273">
        <f>IF(D363=0,0,'2. GRI Pricing Inputs'!$AI$75)</f>
        <v>0</v>
      </c>
      <c r="T363" s="273">
        <f>IFERROR(INDEX('2. GRI Pricing Inputs'!$C$82:$AI$83,MATCH('3. GRI Pricing'!$T$16,'2. GRI Pricing Inputs'!$C$82:$C$83,0),MATCH('1. Accomodation'!V367,'2. GRI Pricing Inputs'!$C$82:$AI$82,0)),0)</f>
        <v>0</v>
      </c>
      <c r="U363" s="273">
        <f>IFERROR(INDEX('2. GRI Pricing Inputs'!$C$89:$AI$90,MATCH('3. GRI Pricing'!$U$16,'2. GRI Pricing Inputs'!$C$89:$C$90,0),MATCH('1. Accomodation'!W367,'2. GRI Pricing Inputs'!$C$89:$AI$89,0)),0)</f>
        <v>0</v>
      </c>
      <c r="V363" s="273">
        <f>IFERROR(INDEX('2. GRI Pricing Inputs'!$C$97:$AI$98,MATCH('3. GRI Pricing'!$V$16,'2. GRI Pricing Inputs'!$C$97:$C$98,0),MATCH('1. Accomodation'!X367,'2. GRI Pricing Inputs'!$C$97:$AI$97,0)),0)</f>
        <v>0</v>
      </c>
      <c r="W363" s="273">
        <f>IFERROR(INDEX('2. GRI Pricing Inputs'!$C$104:$AI$105,MATCH('3. GRI Pricing'!$W$16,'2. GRI Pricing Inputs'!$C$104:$C$105,0),MATCH('1. Accomodation'!Y367,'2. GRI Pricing Inputs'!$C$104:$AI$104,0)),0)</f>
        <v>0</v>
      </c>
      <c r="X363" s="274"/>
      <c r="Y363" s="275">
        <f t="shared" si="12"/>
        <v>0</v>
      </c>
      <c r="Z363" s="276"/>
      <c r="AA363" s="276"/>
      <c r="AB363" s="276"/>
      <c r="AC363" s="272">
        <f>Y363*(1+'2. GRI Pricing Inputs'!$D$114)^(($AC$16-$AB$15)/365)</f>
        <v>0</v>
      </c>
      <c r="AD363" s="273">
        <f>AC363*(1+'2. GRI Pricing Inputs'!$D$114)^((AD$16-AC$16)/365)</f>
        <v>0</v>
      </c>
      <c r="AE363" s="273">
        <f>AD363*(1+'2. GRI Pricing Inputs'!$D$114)^((AE$16-AD$16)/365)</f>
        <v>0</v>
      </c>
      <c r="AF363" s="273">
        <f>AE363*(1+'2. GRI Pricing Inputs'!$D$114)^((AF$16-AE$16)/365)</f>
        <v>0</v>
      </c>
      <c r="AG363" s="273">
        <f>AF363*(1+'2. GRI Pricing Inputs'!$D$114)^((AG$16-AF$16)/365)</f>
        <v>0</v>
      </c>
      <c r="AH363" s="273">
        <f>AG363*(1+'2. GRI Pricing Inputs'!$D$114)^((AH$16-AG$16)/365)</f>
        <v>0</v>
      </c>
      <c r="AI363" s="273">
        <f>AH363*(1+'2. GRI Pricing Inputs'!$D$114)^((AI$16-AH$16)/365)</f>
        <v>0</v>
      </c>
      <c r="AJ363" s="273">
        <f>AI363*(1+'2. GRI Pricing Inputs'!$D$114)^((AJ$16-AI$16)/365)</f>
        <v>0</v>
      </c>
      <c r="AK363" s="273">
        <f>AJ363*(1+'2. GRI Pricing Inputs'!$D$114)^((AK$16-AJ$16)/365)</f>
        <v>0</v>
      </c>
      <c r="AL363" s="273">
        <f>AK363*(1+'2. GRI Pricing Inputs'!$D$114)^((AL$16-AK$16)/365)</f>
        <v>0</v>
      </c>
      <c r="AM363" s="273">
        <f>AL363*(1+'2. GRI Pricing Inputs'!$D$114)^((AM$16-AL$16)/365)</f>
        <v>0</v>
      </c>
      <c r="AN363" s="273">
        <f>AM363*(1+'2. GRI Pricing Inputs'!$D$114)^((AN$16-AM$16)/365)</f>
        <v>0</v>
      </c>
      <c r="AO363" s="273">
        <f>AN363*(1+'2. GRI Pricing Inputs'!$D$114)^((AO$16-AN$16)/365)</f>
        <v>0</v>
      </c>
    </row>
    <row r="364" spans="3:41" ht="12" x14ac:dyDescent="0.2">
      <c r="C364" s="76">
        <f>'1. Accomodation'!N368</f>
        <v>0</v>
      </c>
      <c r="D364" s="69">
        <f>'1. Accomodation'!P368</f>
        <v>0</v>
      </c>
      <c r="E364" s="69">
        <f>'1. Accomodation'!Q368</f>
        <v>0</v>
      </c>
      <c r="F364" s="77">
        <f>'1. Accomodation'!O368</f>
        <v>0</v>
      </c>
      <c r="G364" s="69">
        <f>'1. Accomodation'!R368</f>
        <v>0</v>
      </c>
      <c r="H364" s="69">
        <f>'1. Accomodation'!S368</f>
        <v>0</v>
      </c>
      <c r="I364" s="62"/>
      <c r="K364" s="272">
        <f>IFERROR(INDEX('2. GRI Pricing Inputs'!$C$15:$AI$16,MATCH($K$16,'2. GRI Pricing Inputs'!$C$15:$C$16,0),MATCH(D364,'2. GRI Pricing Inputs'!$C$15:$AI$15,0)),0)</f>
        <v>0</v>
      </c>
      <c r="L364" s="273">
        <f>IFERROR(INDEX('2. GRI Pricing Inputs'!$C$22:$AI$23,MATCH($L$16,'2. GRI Pricing Inputs'!$C$22:$C$23,0),MATCH(E364,'2. GRI Pricing Inputs'!$C$22:$AI$22,0)),0)</f>
        <v>0</v>
      </c>
      <c r="M364" s="328">
        <f>IF(AND('3. GRI Pricing'!$F364&gt;='2. GRI Pricing Inputs'!$D$33,'3. GRI Pricing'!$F364&lt;='2. GRI Pricing Inputs'!$E$33),'2. GRI Pricing Inputs'!$D$32,IF(AND('3. GRI Pricing'!$F364&gt;='2. GRI Pricing Inputs'!$F$33,'3. GRI Pricing'!$F364&lt;='2. GRI Pricing Inputs'!$G$33),'2. GRI Pricing Inputs'!$F$32,IF(AND('3. GRI Pricing'!$F364&gt;='2. GRI Pricing Inputs'!$H$33,'3. GRI Pricing'!$F364&lt;='2. GRI Pricing Inputs'!$I$33),'2. GRI Pricing Inputs'!$H$32,IF(AND('3. GRI Pricing'!$F364&gt;='2. GRI Pricing Inputs'!$J$33,'3. GRI Pricing'!$F364&lt;='2. GRI Pricing Inputs'!$K$33),'2. GRI Pricing Inputs'!$J$32,IF(AND('3. GRI Pricing'!$F364&gt;='2. GRI Pricing Inputs'!$L$33,'3. GRI Pricing'!$F364&lt;='2. GRI Pricing Inputs'!$M$33),'2. GRI Pricing Inputs'!$L$32,IF(AND('3. GRI Pricing'!$F364&gt;='2. GRI Pricing Inputs'!$N$33,'3. GRI Pricing'!$F364&lt;='2. GRI Pricing Inputs'!$O$33),'2. GRI Pricing Inputs'!$N$32,IF(AND('3. GRI Pricing'!$F364&gt;='2. GRI Pricing Inputs'!$P$33,'3. GRI Pricing'!$F364&lt;='2. GRI Pricing Inputs'!$Q$33),'2. GRI Pricing Inputs'!$P$32,IF(AND('3. GRI Pricing'!$F364&gt;='2. GRI Pricing Inputs'!$R$33,'3. GRI Pricing'!$F364&lt;='2. GRI Pricing Inputs'!$S$33),'2. GRI Pricing Inputs'!$R$32,IF(AND('3. GRI Pricing'!$F364&gt;='2. GRI Pricing Inputs'!$T$33,'3. GRI Pricing'!$F364&lt;='2. GRI Pricing Inputs'!$U$33),'2. GRI Pricing Inputs'!$T$32,IF(AND('3. GRI Pricing'!$F364&gt;='2. GRI Pricing Inputs'!$V$33,'3. GRI Pricing'!$F364&lt;='2. GRI Pricing Inputs'!$W$33),'2. GRI Pricing Inputs'!$V$32,IF(AND('3. GRI Pricing'!$F364&gt;='2. GRI Pricing Inputs'!$X$33,'3. GRI Pricing'!$F364&lt;='2. GRI Pricing Inputs'!$Y$33),'2. GRI Pricing Inputs'!$X$32,IF(AND('3. GRI Pricing'!$F364&gt;='2. GRI Pricing Inputs'!$Z$33,'3. GRI Pricing'!$F364&lt;='2. GRI Pricing Inputs'!$AA$33),'2. GRI Pricing Inputs'!$Z$32,IF(AND('3. GRI Pricing'!$F364&gt;='2. GRI Pricing Inputs'!$AB$33,'3. GRI Pricing'!$F364&lt;='2. GRI Pricing Inputs'!$AC$33),'2. GRI Pricing Inputs'!$AB$32,IF(AND('3. GRI Pricing'!$F364&gt;='2. GRI Pricing Inputs'!$AD$33,'3. GRI Pricing'!$F364&lt;='2. GRI Pricing Inputs'!$AE$33),'2. GRI Pricing Inputs'!$AD$32,IF(AND('3. GRI Pricing'!$F364&gt;='2. GRI Pricing Inputs'!$AF$33,'3. GRI Pricing'!$F364&lt;='2. GRI Pricing Inputs'!$AG$33),'2. GRI Pricing Inputs'!$AF$32,IF(AND('3. GRI Pricing'!$F364&gt;='2. GRI Pricing Inputs'!$AH$33,'3. GRI Pricing'!$F364&lt;='2. GRI Pricing Inputs'!$AI$33),'2. GRI Pricing Inputs'!$AH$32,0))))))))))))))))</f>
        <v>0</v>
      </c>
      <c r="N364" s="273" cm="1">
        <f t="array" ref="N364">IFERROR(INDEX('2. GRI Pricing Inputs'!$C$32:$AI$39,MATCH('3. GRI Pricing'!D364,'2. GRI Pricing Inputs'!$C$32:$C$39,0),(MATCH('3. GRI Pricing'!M364,'2. GRI Pricing Inputs'!$D$32:$AI$32,0)+1)),0)</f>
        <v>0</v>
      </c>
      <c r="O364" s="273">
        <f>IFERROR(INDEX('2. GRI Pricing Inputs'!$C$45:$AI$46,MATCH($O$16,'2. GRI Pricing Inputs'!$C$45:$C$46,0),MATCH(G364,'2. GRI Pricing Inputs'!$C$45:$AI$45,0)),0)</f>
        <v>0</v>
      </c>
      <c r="P364" s="273">
        <f>IFERROR(INDEX('2. GRI Pricing Inputs'!$C$53:$AI$54,MATCH('3. GRI Pricing'!$P$16,'2. GRI Pricing Inputs'!$C$53:$C$54,0),MATCH('3. GRI Pricing'!H364,'2. GRI Pricing Inputs'!$C$53:$AI$53,0)),0)</f>
        <v>0</v>
      </c>
      <c r="Q364" s="273">
        <f>IFERROR(INDEX('2. GRI Pricing Inputs'!$C$60:$AI$61,MATCH('3. GRI Pricing'!$Q$16,'2. GRI Pricing Inputs'!$C$60:$C$61,0),MATCH('1. Accomodation'!T368,'2. GRI Pricing Inputs'!$C$60:$AI$60,0)),0)</f>
        <v>0</v>
      </c>
      <c r="R364" s="273">
        <f>IFERROR(INDEX('2. GRI Pricing Inputs'!$C$67:$AI$68,MATCH('3. GRI Pricing'!$R$16,'2. GRI Pricing Inputs'!$C$67:$C$68,0),MATCH('1. Accomodation'!U368,'2. GRI Pricing Inputs'!$C$67:$AI$67,0)),0)</f>
        <v>0</v>
      </c>
      <c r="S364" s="273">
        <f>IF(D364=0,0,'2. GRI Pricing Inputs'!$AI$75)</f>
        <v>0</v>
      </c>
      <c r="T364" s="273">
        <f>IFERROR(INDEX('2. GRI Pricing Inputs'!$C$82:$AI$83,MATCH('3. GRI Pricing'!$T$16,'2. GRI Pricing Inputs'!$C$82:$C$83,0),MATCH('1. Accomodation'!V368,'2. GRI Pricing Inputs'!$C$82:$AI$82,0)),0)</f>
        <v>0</v>
      </c>
      <c r="U364" s="273">
        <f>IFERROR(INDEX('2. GRI Pricing Inputs'!$C$89:$AI$90,MATCH('3. GRI Pricing'!$U$16,'2. GRI Pricing Inputs'!$C$89:$C$90,0),MATCH('1. Accomodation'!W368,'2. GRI Pricing Inputs'!$C$89:$AI$89,0)),0)</f>
        <v>0</v>
      </c>
      <c r="V364" s="273">
        <f>IFERROR(INDEX('2. GRI Pricing Inputs'!$C$97:$AI$98,MATCH('3. GRI Pricing'!$V$16,'2. GRI Pricing Inputs'!$C$97:$C$98,0),MATCH('1. Accomodation'!X368,'2. GRI Pricing Inputs'!$C$97:$AI$97,0)),0)</f>
        <v>0</v>
      </c>
      <c r="W364" s="273">
        <f>IFERROR(INDEX('2. GRI Pricing Inputs'!$C$104:$AI$105,MATCH('3. GRI Pricing'!$W$16,'2. GRI Pricing Inputs'!$C$104:$C$105,0),MATCH('1. Accomodation'!Y368,'2. GRI Pricing Inputs'!$C$104:$AI$104,0)),0)</f>
        <v>0</v>
      </c>
      <c r="X364" s="274"/>
      <c r="Y364" s="275">
        <f t="shared" si="12"/>
        <v>0</v>
      </c>
      <c r="Z364" s="276"/>
      <c r="AA364" s="276"/>
      <c r="AB364" s="276"/>
      <c r="AC364" s="272">
        <f>Y364*(1+'2. GRI Pricing Inputs'!$D$114)^(($AC$16-$AB$15)/365)</f>
        <v>0</v>
      </c>
      <c r="AD364" s="273">
        <f>AC364*(1+'2. GRI Pricing Inputs'!$D$114)^((AD$16-AC$16)/365)</f>
        <v>0</v>
      </c>
      <c r="AE364" s="273">
        <f>AD364*(1+'2. GRI Pricing Inputs'!$D$114)^((AE$16-AD$16)/365)</f>
        <v>0</v>
      </c>
      <c r="AF364" s="273">
        <f>AE364*(1+'2. GRI Pricing Inputs'!$D$114)^((AF$16-AE$16)/365)</f>
        <v>0</v>
      </c>
      <c r="AG364" s="273">
        <f>AF364*(1+'2. GRI Pricing Inputs'!$D$114)^((AG$16-AF$16)/365)</f>
        <v>0</v>
      </c>
      <c r="AH364" s="273">
        <f>AG364*(1+'2. GRI Pricing Inputs'!$D$114)^((AH$16-AG$16)/365)</f>
        <v>0</v>
      </c>
      <c r="AI364" s="273">
        <f>AH364*(1+'2. GRI Pricing Inputs'!$D$114)^((AI$16-AH$16)/365)</f>
        <v>0</v>
      </c>
      <c r="AJ364" s="273">
        <f>AI364*(1+'2. GRI Pricing Inputs'!$D$114)^((AJ$16-AI$16)/365)</f>
        <v>0</v>
      </c>
      <c r="AK364" s="273">
        <f>AJ364*(1+'2. GRI Pricing Inputs'!$D$114)^((AK$16-AJ$16)/365)</f>
        <v>0</v>
      </c>
      <c r="AL364" s="273">
        <f>AK364*(1+'2. GRI Pricing Inputs'!$D$114)^((AL$16-AK$16)/365)</f>
        <v>0</v>
      </c>
      <c r="AM364" s="273">
        <f>AL364*(1+'2. GRI Pricing Inputs'!$D$114)^((AM$16-AL$16)/365)</f>
        <v>0</v>
      </c>
      <c r="AN364" s="273">
        <f>AM364*(1+'2. GRI Pricing Inputs'!$D$114)^((AN$16-AM$16)/365)</f>
        <v>0</v>
      </c>
      <c r="AO364" s="273">
        <f>AN364*(1+'2. GRI Pricing Inputs'!$D$114)^((AO$16-AN$16)/365)</f>
        <v>0</v>
      </c>
    </row>
    <row r="365" spans="3:41" ht="12" x14ac:dyDescent="0.2">
      <c r="C365" s="76">
        <f>'1. Accomodation'!N369</f>
        <v>0</v>
      </c>
      <c r="D365" s="69">
        <f>'1. Accomodation'!P369</f>
        <v>0</v>
      </c>
      <c r="E365" s="69">
        <f>'1. Accomodation'!Q369</f>
        <v>0</v>
      </c>
      <c r="F365" s="77">
        <f>'1. Accomodation'!O369</f>
        <v>0</v>
      </c>
      <c r="G365" s="69">
        <f>'1. Accomodation'!R369</f>
        <v>0</v>
      </c>
      <c r="H365" s="69">
        <f>'1. Accomodation'!S369</f>
        <v>0</v>
      </c>
      <c r="I365" s="62"/>
      <c r="K365" s="272">
        <f>IFERROR(INDEX('2. GRI Pricing Inputs'!$C$15:$AI$16,MATCH($K$16,'2. GRI Pricing Inputs'!$C$15:$C$16,0),MATCH(D365,'2. GRI Pricing Inputs'!$C$15:$AI$15,0)),0)</f>
        <v>0</v>
      </c>
      <c r="L365" s="273">
        <f>IFERROR(INDEX('2. GRI Pricing Inputs'!$C$22:$AI$23,MATCH($L$16,'2. GRI Pricing Inputs'!$C$22:$C$23,0),MATCH(E365,'2. GRI Pricing Inputs'!$C$22:$AI$22,0)),0)</f>
        <v>0</v>
      </c>
      <c r="M365" s="328">
        <f>IF(AND('3. GRI Pricing'!$F365&gt;='2. GRI Pricing Inputs'!$D$33,'3. GRI Pricing'!$F365&lt;='2. GRI Pricing Inputs'!$E$33),'2. GRI Pricing Inputs'!$D$32,IF(AND('3. GRI Pricing'!$F365&gt;='2. GRI Pricing Inputs'!$F$33,'3. GRI Pricing'!$F365&lt;='2. GRI Pricing Inputs'!$G$33),'2. GRI Pricing Inputs'!$F$32,IF(AND('3. GRI Pricing'!$F365&gt;='2. GRI Pricing Inputs'!$H$33,'3. GRI Pricing'!$F365&lt;='2. GRI Pricing Inputs'!$I$33),'2. GRI Pricing Inputs'!$H$32,IF(AND('3. GRI Pricing'!$F365&gt;='2. GRI Pricing Inputs'!$J$33,'3. GRI Pricing'!$F365&lt;='2. GRI Pricing Inputs'!$K$33),'2. GRI Pricing Inputs'!$J$32,IF(AND('3. GRI Pricing'!$F365&gt;='2. GRI Pricing Inputs'!$L$33,'3. GRI Pricing'!$F365&lt;='2. GRI Pricing Inputs'!$M$33),'2. GRI Pricing Inputs'!$L$32,IF(AND('3. GRI Pricing'!$F365&gt;='2. GRI Pricing Inputs'!$N$33,'3. GRI Pricing'!$F365&lt;='2. GRI Pricing Inputs'!$O$33),'2. GRI Pricing Inputs'!$N$32,IF(AND('3. GRI Pricing'!$F365&gt;='2. GRI Pricing Inputs'!$P$33,'3. GRI Pricing'!$F365&lt;='2. GRI Pricing Inputs'!$Q$33),'2. GRI Pricing Inputs'!$P$32,IF(AND('3. GRI Pricing'!$F365&gt;='2. GRI Pricing Inputs'!$R$33,'3. GRI Pricing'!$F365&lt;='2. GRI Pricing Inputs'!$S$33),'2. GRI Pricing Inputs'!$R$32,IF(AND('3. GRI Pricing'!$F365&gt;='2. GRI Pricing Inputs'!$T$33,'3. GRI Pricing'!$F365&lt;='2. GRI Pricing Inputs'!$U$33),'2. GRI Pricing Inputs'!$T$32,IF(AND('3. GRI Pricing'!$F365&gt;='2. GRI Pricing Inputs'!$V$33,'3. GRI Pricing'!$F365&lt;='2. GRI Pricing Inputs'!$W$33),'2. GRI Pricing Inputs'!$V$32,IF(AND('3. GRI Pricing'!$F365&gt;='2. GRI Pricing Inputs'!$X$33,'3. GRI Pricing'!$F365&lt;='2. GRI Pricing Inputs'!$Y$33),'2. GRI Pricing Inputs'!$X$32,IF(AND('3. GRI Pricing'!$F365&gt;='2. GRI Pricing Inputs'!$Z$33,'3. GRI Pricing'!$F365&lt;='2. GRI Pricing Inputs'!$AA$33),'2. GRI Pricing Inputs'!$Z$32,IF(AND('3. GRI Pricing'!$F365&gt;='2. GRI Pricing Inputs'!$AB$33,'3. GRI Pricing'!$F365&lt;='2. GRI Pricing Inputs'!$AC$33),'2. GRI Pricing Inputs'!$AB$32,IF(AND('3. GRI Pricing'!$F365&gt;='2. GRI Pricing Inputs'!$AD$33,'3. GRI Pricing'!$F365&lt;='2. GRI Pricing Inputs'!$AE$33),'2. GRI Pricing Inputs'!$AD$32,IF(AND('3. GRI Pricing'!$F365&gt;='2. GRI Pricing Inputs'!$AF$33,'3. GRI Pricing'!$F365&lt;='2. GRI Pricing Inputs'!$AG$33),'2. GRI Pricing Inputs'!$AF$32,IF(AND('3. GRI Pricing'!$F365&gt;='2. GRI Pricing Inputs'!$AH$33,'3. GRI Pricing'!$F365&lt;='2. GRI Pricing Inputs'!$AI$33),'2. GRI Pricing Inputs'!$AH$32,0))))))))))))))))</f>
        <v>0</v>
      </c>
      <c r="N365" s="273" cm="1">
        <f t="array" ref="N365">IFERROR(INDEX('2. GRI Pricing Inputs'!$C$32:$AI$39,MATCH('3. GRI Pricing'!D365,'2. GRI Pricing Inputs'!$C$32:$C$39,0),(MATCH('3. GRI Pricing'!M365,'2. GRI Pricing Inputs'!$D$32:$AI$32,0)+1)),0)</f>
        <v>0</v>
      </c>
      <c r="O365" s="273">
        <f>IFERROR(INDEX('2. GRI Pricing Inputs'!$C$45:$AI$46,MATCH($O$16,'2. GRI Pricing Inputs'!$C$45:$C$46,0),MATCH(G365,'2. GRI Pricing Inputs'!$C$45:$AI$45,0)),0)</f>
        <v>0</v>
      </c>
      <c r="P365" s="273">
        <f>IFERROR(INDEX('2. GRI Pricing Inputs'!$C$53:$AI$54,MATCH('3. GRI Pricing'!$P$16,'2. GRI Pricing Inputs'!$C$53:$C$54,0),MATCH('3. GRI Pricing'!H365,'2. GRI Pricing Inputs'!$C$53:$AI$53,0)),0)</f>
        <v>0</v>
      </c>
      <c r="Q365" s="273">
        <f>IFERROR(INDEX('2. GRI Pricing Inputs'!$C$60:$AI$61,MATCH('3. GRI Pricing'!$Q$16,'2. GRI Pricing Inputs'!$C$60:$C$61,0),MATCH('1. Accomodation'!T369,'2. GRI Pricing Inputs'!$C$60:$AI$60,0)),0)</f>
        <v>0</v>
      </c>
      <c r="R365" s="273">
        <f>IFERROR(INDEX('2. GRI Pricing Inputs'!$C$67:$AI$68,MATCH('3. GRI Pricing'!$R$16,'2. GRI Pricing Inputs'!$C$67:$C$68,0),MATCH('1. Accomodation'!U369,'2. GRI Pricing Inputs'!$C$67:$AI$67,0)),0)</f>
        <v>0</v>
      </c>
      <c r="S365" s="273">
        <f>IF(D365=0,0,'2. GRI Pricing Inputs'!$AI$75)</f>
        <v>0</v>
      </c>
      <c r="T365" s="273">
        <f>IFERROR(INDEX('2. GRI Pricing Inputs'!$C$82:$AI$83,MATCH('3. GRI Pricing'!$T$16,'2. GRI Pricing Inputs'!$C$82:$C$83,0),MATCH('1. Accomodation'!V369,'2. GRI Pricing Inputs'!$C$82:$AI$82,0)),0)</f>
        <v>0</v>
      </c>
      <c r="U365" s="273">
        <f>IFERROR(INDEX('2. GRI Pricing Inputs'!$C$89:$AI$90,MATCH('3. GRI Pricing'!$U$16,'2. GRI Pricing Inputs'!$C$89:$C$90,0),MATCH('1. Accomodation'!W369,'2. GRI Pricing Inputs'!$C$89:$AI$89,0)),0)</f>
        <v>0</v>
      </c>
      <c r="V365" s="273">
        <f>IFERROR(INDEX('2. GRI Pricing Inputs'!$C$97:$AI$98,MATCH('3. GRI Pricing'!$V$16,'2. GRI Pricing Inputs'!$C$97:$C$98,0),MATCH('1. Accomodation'!X369,'2. GRI Pricing Inputs'!$C$97:$AI$97,0)),0)</f>
        <v>0</v>
      </c>
      <c r="W365" s="273">
        <f>IFERROR(INDEX('2. GRI Pricing Inputs'!$C$104:$AI$105,MATCH('3. GRI Pricing'!$W$16,'2. GRI Pricing Inputs'!$C$104:$C$105,0),MATCH('1. Accomodation'!Y369,'2. GRI Pricing Inputs'!$C$104:$AI$104,0)),0)</f>
        <v>0</v>
      </c>
      <c r="X365" s="274"/>
      <c r="Y365" s="275">
        <f t="shared" si="12"/>
        <v>0</v>
      </c>
      <c r="Z365" s="276"/>
      <c r="AA365" s="276"/>
      <c r="AB365" s="276"/>
      <c r="AC365" s="272">
        <f>Y365*(1+'2. GRI Pricing Inputs'!$D$114)^(($AC$16-$AB$15)/365)</f>
        <v>0</v>
      </c>
      <c r="AD365" s="273">
        <f>AC365*(1+'2. GRI Pricing Inputs'!$D$114)^((AD$16-AC$16)/365)</f>
        <v>0</v>
      </c>
      <c r="AE365" s="273">
        <f>AD365*(1+'2. GRI Pricing Inputs'!$D$114)^((AE$16-AD$16)/365)</f>
        <v>0</v>
      </c>
      <c r="AF365" s="273">
        <f>AE365*(1+'2. GRI Pricing Inputs'!$D$114)^((AF$16-AE$16)/365)</f>
        <v>0</v>
      </c>
      <c r="AG365" s="273">
        <f>AF365*(1+'2. GRI Pricing Inputs'!$D$114)^((AG$16-AF$16)/365)</f>
        <v>0</v>
      </c>
      <c r="AH365" s="273">
        <f>AG365*(1+'2. GRI Pricing Inputs'!$D$114)^((AH$16-AG$16)/365)</f>
        <v>0</v>
      </c>
      <c r="AI365" s="273">
        <f>AH365*(1+'2. GRI Pricing Inputs'!$D$114)^((AI$16-AH$16)/365)</f>
        <v>0</v>
      </c>
      <c r="AJ365" s="273">
        <f>AI365*(1+'2. GRI Pricing Inputs'!$D$114)^((AJ$16-AI$16)/365)</f>
        <v>0</v>
      </c>
      <c r="AK365" s="273">
        <f>AJ365*(1+'2. GRI Pricing Inputs'!$D$114)^((AK$16-AJ$16)/365)</f>
        <v>0</v>
      </c>
      <c r="AL365" s="273">
        <f>AK365*(1+'2. GRI Pricing Inputs'!$D$114)^((AL$16-AK$16)/365)</f>
        <v>0</v>
      </c>
      <c r="AM365" s="273">
        <f>AL365*(1+'2. GRI Pricing Inputs'!$D$114)^((AM$16-AL$16)/365)</f>
        <v>0</v>
      </c>
      <c r="AN365" s="273">
        <f>AM365*(1+'2. GRI Pricing Inputs'!$D$114)^((AN$16-AM$16)/365)</f>
        <v>0</v>
      </c>
      <c r="AO365" s="273">
        <f>AN365*(1+'2. GRI Pricing Inputs'!$D$114)^((AO$16-AN$16)/365)</f>
        <v>0</v>
      </c>
    </row>
    <row r="366" spans="3:41" ht="12" x14ac:dyDescent="0.2">
      <c r="C366" s="76">
        <f>'1. Accomodation'!N370</f>
        <v>0</v>
      </c>
      <c r="D366" s="69">
        <f>'1. Accomodation'!P370</f>
        <v>0</v>
      </c>
      <c r="E366" s="69">
        <f>'1. Accomodation'!Q370</f>
        <v>0</v>
      </c>
      <c r="F366" s="77">
        <f>'1. Accomodation'!O370</f>
        <v>0</v>
      </c>
      <c r="G366" s="69">
        <f>'1. Accomodation'!R370</f>
        <v>0</v>
      </c>
      <c r="H366" s="69">
        <f>'1. Accomodation'!S370</f>
        <v>0</v>
      </c>
      <c r="I366" s="62"/>
      <c r="K366" s="272">
        <f>IFERROR(INDEX('2. GRI Pricing Inputs'!$C$15:$AI$16,MATCH($K$16,'2. GRI Pricing Inputs'!$C$15:$C$16,0),MATCH(D366,'2. GRI Pricing Inputs'!$C$15:$AI$15,0)),0)</f>
        <v>0</v>
      </c>
      <c r="L366" s="273">
        <f>IFERROR(INDEX('2. GRI Pricing Inputs'!$C$22:$AI$23,MATCH($L$16,'2. GRI Pricing Inputs'!$C$22:$C$23,0),MATCH(E366,'2. GRI Pricing Inputs'!$C$22:$AI$22,0)),0)</f>
        <v>0</v>
      </c>
      <c r="M366" s="328">
        <f>IF(AND('3. GRI Pricing'!$F366&gt;='2. GRI Pricing Inputs'!$D$33,'3. GRI Pricing'!$F366&lt;='2. GRI Pricing Inputs'!$E$33),'2. GRI Pricing Inputs'!$D$32,IF(AND('3. GRI Pricing'!$F366&gt;='2. GRI Pricing Inputs'!$F$33,'3. GRI Pricing'!$F366&lt;='2. GRI Pricing Inputs'!$G$33),'2. GRI Pricing Inputs'!$F$32,IF(AND('3. GRI Pricing'!$F366&gt;='2. GRI Pricing Inputs'!$H$33,'3. GRI Pricing'!$F366&lt;='2. GRI Pricing Inputs'!$I$33),'2. GRI Pricing Inputs'!$H$32,IF(AND('3. GRI Pricing'!$F366&gt;='2. GRI Pricing Inputs'!$J$33,'3. GRI Pricing'!$F366&lt;='2. GRI Pricing Inputs'!$K$33),'2. GRI Pricing Inputs'!$J$32,IF(AND('3. GRI Pricing'!$F366&gt;='2. GRI Pricing Inputs'!$L$33,'3. GRI Pricing'!$F366&lt;='2. GRI Pricing Inputs'!$M$33),'2. GRI Pricing Inputs'!$L$32,IF(AND('3. GRI Pricing'!$F366&gt;='2. GRI Pricing Inputs'!$N$33,'3. GRI Pricing'!$F366&lt;='2. GRI Pricing Inputs'!$O$33),'2. GRI Pricing Inputs'!$N$32,IF(AND('3. GRI Pricing'!$F366&gt;='2. GRI Pricing Inputs'!$P$33,'3. GRI Pricing'!$F366&lt;='2. GRI Pricing Inputs'!$Q$33),'2. GRI Pricing Inputs'!$P$32,IF(AND('3. GRI Pricing'!$F366&gt;='2. GRI Pricing Inputs'!$R$33,'3. GRI Pricing'!$F366&lt;='2. GRI Pricing Inputs'!$S$33),'2. GRI Pricing Inputs'!$R$32,IF(AND('3. GRI Pricing'!$F366&gt;='2. GRI Pricing Inputs'!$T$33,'3. GRI Pricing'!$F366&lt;='2. GRI Pricing Inputs'!$U$33),'2. GRI Pricing Inputs'!$T$32,IF(AND('3. GRI Pricing'!$F366&gt;='2. GRI Pricing Inputs'!$V$33,'3. GRI Pricing'!$F366&lt;='2. GRI Pricing Inputs'!$W$33),'2. GRI Pricing Inputs'!$V$32,IF(AND('3. GRI Pricing'!$F366&gt;='2. GRI Pricing Inputs'!$X$33,'3. GRI Pricing'!$F366&lt;='2. GRI Pricing Inputs'!$Y$33),'2. GRI Pricing Inputs'!$X$32,IF(AND('3. GRI Pricing'!$F366&gt;='2. GRI Pricing Inputs'!$Z$33,'3. GRI Pricing'!$F366&lt;='2. GRI Pricing Inputs'!$AA$33),'2. GRI Pricing Inputs'!$Z$32,IF(AND('3. GRI Pricing'!$F366&gt;='2. GRI Pricing Inputs'!$AB$33,'3. GRI Pricing'!$F366&lt;='2. GRI Pricing Inputs'!$AC$33),'2. GRI Pricing Inputs'!$AB$32,IF(AND('3. GRI Pricing'!$F366&gt;='2. GRI Pricing Inputs'!$AD$33,'3. GRI Pricing'!$F366&lt;='2. GRI Pricing Inputs'!$AE$33),'2. GRI Pricing Inputs'!$AD$32,IF(AND('3. GRI Pricing'!$F366&gt;='2. GRI Pricing Inputs'!$AF$33,'3. GRI Pricing'!$F366&lt;='2. GRI Pricing Inputs'!$AG$33),'2. GRI Pricing Inputs'!$AF$32,IF(AND('3. GRI Pricing'!$F366&gt;='2. GRI Pricing Inputs'!$AH$33,'3. GRI Pricing'!$F366&lt;='2. GRI Pricing Inputs'!$AI$33),'2. GRI Pricing Inputs'!$AH$32,0))))))))))))))))</f>
        <v>0</v>
      </c>
      <c r="N366" s="273" cm="1">
        <f t="array" ref="N366">IFERROR(INDEX('2. GRI Pricing Inputs'!$C$32:$AI$39,MATCH('3. GRI Pricing'!D366,'2. GRI Pricing Inputs'!$C$32:$C$39,0),(MATCH('3. GRI Pricing'!M366,'2. GRI Pricing Inputs'!$D$32:$AI$32,0)+1)),0)</f>
        <v>0</v>
      </c>
      <c r="O366" s="273">
        <f>IFERROR(INDEX('2. GRI Pricing Inputs'!$C$45:$AI$46,MATCH($O$16,'2. GRI Pricing Inputs'!$C$45:$C$46,0),MATCH(G366,'2. GRI Pricing Inputs'!$C$45:$AI$45,0)),0)</f>
        <v>0</v>
      </c>
      <c r="P366" s="273">
        <f>IFERROR(INDEX('2. GRI Pricing Inputs'!$C$53:$AI$54,MATCH('3. GRI Pricing'!$P$16,'2. GRI Pricing Inputs'!$C$53:$C$54,0),MATCH('3. GRI Pricing'!H366,'2. GRI Pricing Inputs'!$C$53:$AI$53,0)),0)</f>
        <v>0</v>
      </c>
      <c r="Q366" s="273">
        <f>IFERROR(INDEX('2. GRI Pricing Inputs'!$C$60:$AI$61,MATCH('3. GRI Pricing'!$Q$16,'2. GRI Pricing Inputs'!$C$60:$C$61,0),MATCH('1. Accomodation'!T370,'2. GRI Pricing Inputs'!$C$60:$AI$60,0)),0)</f>
        <v>0</v>
      </c>
      <c r="R366" s="273">
        <f>IFERROR(INDEX('2. GRI Pricing Inputs'!$C$67:$AI$68,MATCH('3. GRI Pricing'!$R$16,'2. GRI Pricing Inputs'!$C$67:$C$68,0),MATCH('1. Accomodation'!U370,'2. GRI Pricing Inputs'!$C$67:$AI$67,0)),0)</f>
        <v>0</v>
      </c>
      <c r="S366" s="273">
        <f>IF(D366=0,0,'2. GRI Pricing Inputs'!$AI$75)</f>
        <v>0</v>
      </c>
      <c r="T366" s="273">
        <f>IFERROR(INDEX('2. GRI Pricing Inputs'!$C$82:$AI$83,MATCH('3. GRI Pricing'!$T$16,'2. GRI Pricing Inputs'!$C$82:$C$83,0),MATCH('1. Accomodation'!V370,'2. GRI Pricing Inputs'!$C$82:$AI$82,0)),0)</f>
        <v>0</v>
      </c>
      <c r="U366" s="273">
        <f>IFERROR(INDEX('2. GRI Pricing Inputs'!$C$89:$AI$90,MATCH('3. GRI Pricing'!$U$16,'2. GRI Pricing Inputs'!$C$89:$C$90,0),MATCH('1. Accomodation'!W370,'2. GRI Pricing Inputs'!$C$89:$AI$89,0)),0)</f>
        <v>0</v>
      </c>
      <c r="V366" s="273">
        <f>IFERROR(INDEX('2. GRI Pricing Inputs'!$C$97:$AI$98,MATCH('3. GRI Pricing'!$V$16,'2. GRI Pricing Inputs'!$C$97:$C$98,0),MATCH('1. Accomodation'!X370,'2. GRI Pricing Inputs'!$C$97:$AI$97,0)),0)</f>
        <v>0</v>
      </c>
      <c r="W366" s="273">
        <f>IFERROR(INDEX('2. GRI Pricing Inputs'!$C$104:$AI$105,MATCH('3. GRI Pricing'!$W$16,'2. GRI Pricing Inputs'!$C$104:$C$105,0),MATCH('1. Accomodation'!Y370,'2. GRI Pricing Inputs'!$C$104:$AI$104,0)),0)</f>
        <v>0</v>
      </c>
      <c r="X366" s="274"/>
      <c r="Y366" s="275">
        <f t="shared" si="12"/>
        <v>0</v>
      </c>
      <c r="Z366" s="276"/>
      <c r="AA366" s="276"/>
      <c r="AB366" s="276"/>
      <c r="AC366" s="272">
        <f>Y366*(1+'2. GRI Pricing Inputs'!$D$114)^(($AC$16-$AB$15)/365)</f>
        <v>0</v>
      </c>
      <c r="AD366" s="273">
        <f>AC366*(1+'2. GRI Pricing Inputs'!$D$114)^((AD$16-AC$16)/365)</f>
        <v>0</v>
      </c>
      <c r="AE366" s="273">
        <f>AD366*(1+'2. GRI Pricing Inputs'!$D$114)^((AE$16-AD$16)/365)</f>
        <v>0</v>
      </c>
      <c r="AF366" s="273">
        <f>AE366*(1+'2. GRI Pricing Inputs'!$D$114)^((AF$16-AE$16)/365)</f>
        <v>0</v>
      </c>
      <c r="AG366" s="273">
        <f>AF366*(1+'2. GRI Pricing Inputs'!$D$114)^((AG$16-AF$16)/365)</f>
        <v>0</v>
      </c>
      <c r="AH366" s="273">
        <f>AG366*(1+'2. GRI Pricing Inputs'!$D$114)^((AH$16-AG$16)/365)</f>
        <v>0</v>
      </c>
      <c r="AI366" s="273">
        <f>AH366*(1+'2. GRI Pricing Inputs'!$D$114)^((AI$16-AH$16)/365)</f>
        <v>0</v>
      </c>
      <c r="AJ366" s="273">
        <f>AI366*(1+'2. GRI Pricing Inputs'!$D$114)^((AJ$16-AI$16)/365)</f>
        <v>0</v>
      </c>
      <c r="AK366" s="273">
        <f>AJ366*(1+'2. GRI Pricing Inputs'!$D$114)^((AK$16-AJ$16)/365)</f>
        <v>0</v>
      </c>
      <c r="AL366" s="273">
        <f>AK366*(1+'2. GRI Pricing Inputs'!$D$114)^((AL$16-AK$16)/365)</f>
        <v>0</v>
      </c>
      <c r="AM366" s="273">
        <f>AL366*(1+'2. GRI Pricing Inputs'!$D$114)^((AM$16-AL$16)/365)</f>
        <v>0</v>
      </c>
      <c r="AN366" s="273">
        <f>AM366*(1+'2. GRI Pricing Inputs'!$D$114)^((AN$16-AM$16)/365)</f>
        <v>0</v>
      </c>
      <c r="AO366" s="273">
        <f>AN366*(1+'2. GRI Pricing Inputs'!$D$114)^((AO$16-AN$16)/365)</f>
        <v>0</v>
      </c>
    </row>
    <row r="367" spans="3:41" ht="12" x14ac:dyDescent="0.2">
      <c r="C367" s="76">
        <f>'1. Accomodation'!N371</f>
        <v>0</v>
      </c>
      <c r="D367" s="69">
        <f>'1. Accomodation'!P371</f>
        <v>0</v>
      </c>
      <c r="E367" s="69">
        <f>'1. Accomodation'!Q371</f>
        <v>0</v>
      </c>
      <c r="F367" s="77">
        <f>'1. Accomodation'!O371</f>
        <v>0</v>
      </c>
      <c r="G367" s="69">
        <f>'1. Accomodation'!R371</f>
        <v>0</v>
      </c>
      <c r="H367" s="69">
        <f>'1. Accomodation'!S371</f>
        <v>0</v>
      </c>
      <c r="I367" s="62"/>
      <c r="K367" s="272">
        <f>IFERROR(INDEX('2. GRI Pricing Inputs'!$C$15:$AI$16,MATCH($K$16,'2. GRI Pricing Inputs'!$C$15:$C$16,0),MATCH(D367,'2. GRI Pricing Inputs'!$C$15:$AI$15,0)),0)</f>
        <v>0</v>
      </c>
      <c r="L367" s="273">
        <f>IFERROR(INDEX('2. GRI Pricing Inputs'!$C$22:$AI$23,MATCH($L$16,'2. GRI Pricing Inputs'!$C$22:$C$23,0),MATCH(E367,'2. GRI Pricing Inputs'!$C$22:$AI$22,0)),0)</f>
        <v>0</v>
      </c>
      <c r="M367" s="328">
        <f>IF(AND('3. GRI Pricing'!$F367&gt;='2. GRI Pricing Inputs'!$D$33,'3. GRI Pricing'!$F367&lt;='2. GRI Pricing Inputs'!$E$33),'2. GRI Pricing Inputs'!$D$32,IF(AND('3. GRI Pricing'!$F367&gt;='2. GRI Pricing Inputs'!$F$33,'3. GRI Pricing'!$F367&lt;='2. GRI Pricing Inputs'!$G$33),'2. GRI Pricing Inputs'!$F$32,IF(AND('3. GRI Pricing'!$F367&gt;='2. GRI Pricing Inputs'!$H$33,'3. GRI Pricing'!$F367&lt;='2. GRI Pricing Inputs'!$I$33),'2. GRI Pricing Inputs'!$H$32,IF(AND('3. GRI Pricing'!$F367&gt;='2. GRI Pricing Inputs'!$J$33,'3. GRI Pricing'!$F367&lt;='2. GRI Pricing Inputs'!$K$33),'2. GRI Pricing Inputs'!$J$32,IF(AND('3. GRI Pricing'!$F367&gt;='2. GRI Pricing Inputs'!$L$33,'3. GRI Pricing'!$F367&lt;='2. GRI Pricing Inputs'!$M$33),'2. GRI Pricing Inputs'!$L$32,IF(AND('3. GRI Pricing'!$F367&gt;='2. GRI Pricing Inputs'!$N$33,'3. GRI Pricing'!$F367&lt;='2. GRI Pricing Inputs'!$O$33),'2. GRI Pricing Inputs'!$N$32,IF(AND('3. GRI Pricing'!$F367&gt;='2. GRI Pricing Inputs'!$P$33,'3. GRI Pricing'!$F367&lt;='2. GRI Pricing Inputs'!$Q$33),'2. GRI Pricing Inputs'!$P$32,IF(AND('3. GRI Pricing'!$F367&gt;='2. GRI Pricing Inputs'!$R$33,'3. GRI Pricing'!$F367&lt;='2. GRI Pricing Inputs'!$S$33),'2. GRI Pricing Inputs'!$R$32,IF(AND('3. GRI Pricing'!$F367&gt;='2. GRI Pricing Inputs'!$T$33,'3. GRI Pricing'!$F367&lt;='2. GRI Pricing Inputs'!$U$33),'2. GRI Pricing Inputs'!$T$32,IF(AND('3. GRI Pricing'!$F367&gt;='2. GRI Pricing Inputs'!$V$33,'3. GRI Pricing'!$F367&lt;='2. GRI Pricing Inputs'!$W$33),'2. GRI Pricing Inputs'!$V$32,IF(AND('3. GRI Pricing'!$F367&gt;='2. GRI Pricing Inputs'!$X$33,'3. GRI Pricing'!$F367&lt;='2. GRI Pricing Inputs'!$Y$33),'2. GRI Pricing Inputs'!$X$32,IF(AND('3. GRI Pricing'!$F367&gt;='2. GRI Pricing Inputs'!$Z$33,'3. GRI Pricing'!$F367&lt;='2. GRI Pricing Inputs'!$AA$33),'2. GRI Pricing Inputs'!$Z$32,IF(AND('3. GRI Pricing'!$F367&gt;='2. GRI Pricing Inputs'!$AB$33,'3. GRI Pricing'!$F367&lt;='2. GRI Pricing Inputs'!$AC$33),'2. GRI Pricing Inputs'!$AB$32,IF(AND('3. GRI Pricing'!$F367&gt;='2. GRI Pricing Inputs'!$AD$33,'3. GRI Pricing'!$F367&lt;='2. GRI Pricing Inputs'!$AE$33),'2. GRI Pricing Inputs'!$AD$32,IF(AND('3. GRI Pricing'!$F367&gt;='2. GRI Pricing Inputs'!$AF$33,'3. GRI Pricing'!$F367&lt;='2. GRI Pricing Inputs'!$AG$33),'2. GRI Pricing Inputs'!$AF$32,IF(AND('3. GRI Pricing'!$F367&gt;='2. GRI Pricing Inputs'!$AH$33,'3. GRI Pricing'!$F367&lt;='2. GRI Pricing Inputs'!$AI$33),'2. GRI Pricing Inputs'!$AH$32,0))))))))))))))))</f>
        <v>0</v>
      </c>
      <c r="N367" s="273" cm="1">
        <f t="array" ref="N367">IFERROR(INDEX('2. GRI Pricing Inputs'!$C$32:$AI$39,MATCH('3. GRI Pricing'!D367,'2. GRI Pricing Inputs'!$C$32:$C$39,0),(MATCH('3. GRI Pricing'!M367,'2. GRI Pricing Inputs'!$D$32:$AI$32,0)+1)),0)</f>
        <v>0</v>
      </c>
      <c r="O367" s="273">
        <f>IFERROR(INDEX('2. GRI Pricing Inputs'!$C$45:$AI$46,MATCH($O$16,'2. GRI Pricing Inputs'!$C$45:$C$46,0),MATCH(G367,'2. GRI Pricing Inputs'!$C$45:$AI$45,0)),0)</f>
        <v>0</v>
      </c>
      <c r="P367" s="273">
        <f>IFERROR(INDEX('2. GRI Pricing Inputs'!$C$53:$AI$54,MATCH('3. GRI Pricing'!$P$16,'2. GRI Pricing Inputs'!$C$53:$C$54,0),MATCH('3. GRI Pricing'!H367,'2. GRI Pricing Inputs'!$C$53:$AI$53,0)),0)</f>
        <v>0</v>
      </c>
      <c r="Q367" s="273">
        <f>IFERROR(INDEX('2. GRI Pricing Inputs'!$C$60:$AI$61,MATCH('3. GRI Pricing'!$Q$16,'2. GRI Pricing Inputs'!$C$60:$C$61,0),MATCH('1. Accomodation'!T371,'2. GRI Pricing Inputs'!$C$60:$AI$60,0)),0)</f>
        <v>0</v>
      </c>
      <c r="R367" s="273">
        <f>IFERROR(INDEX('2. GRI Pricing Inputs'!$C$67:$AI$68,MATCH('3. GRI Pricing'!$R$16,'2. GRI Pricing Inputs'!$C$67:$C$68,0),MATCH('1. Accomodation'!U371,'2. GRI Pricing Inputs'!$C$67:$AI$67,0)),0)</f>
        <v>0</v>
      </c>
      <c r="S367" s="273">
        <f>IF(D367=0,0,'2. GRI Pricing Inputs'!$AI$75)</f>
        <v>0</v>
      </c>
      <c r="T367" s="273">
        <f>IFERROR(INDEX('2. GRI Pricing Inputs'!$C$82:$AI$83,MATCH('3. GRI Pricing'!$T$16,'2. GRI Pricing Inputs'!$C$82:$C$83,0),MATCH('1. Accomodation'!V371,'2. GRI Pricing Inputs'!$C$82:$AI$82,0)),0)</f>
        <v>0</v>
      </c>
      <c r="U367" s="273">
        <f>IFERROR(INDEX('2. GRI Pricing Inputs'!$C$89:$AI$90,MATCH('3. GRI Pricing'!$U$16,'2. GRI Pricing Inputs'!$C$89:$C$90,0),MATCH('1. Accomodation'!W371,'2. GRI Pricing Inputs'!$C$89:$AI$89,0)),0)</f>
        <v>0</v>
      </c>
      <c r="V367" s="273">
        <f>IFERROR(INDEX('2. GRI Pricing Inputs'!$C$97:$AI$98,MATCH('3. GRI Pricing'!$V$16,'2. GRI Pricing Inputs'!$C$97:$C$98,0),MATCH('1. Accomodation'!X371,'2. GRI Pricing Inputs'!$C$97:$AI$97,0)),0)</f>
        <v>0</v>
      </c>
      <c r="W367" s="273">
        <f>IFERROR(INDEX('2. GRI Pricing Inputs'!$C$104:$AI$105,MATCH('3. GRI Pricing'!$W$16,'2. GRI Pricing Inputs'!$C$104:$C$105,0),MATCH('1. Accomodation'!Y371,'2. GRI Pricing Inputs'!$C$104:$AI$104,0)),0)</f>
        <v>0</v>
      </c>
      <c r="X367" s="274"/>
      <c r="Y367" s="275">
        <f t="shared" si="12"/>
        <v>0</v>
      </c>
      <c r="Z367" s="276"/>
      <c r="AA367" s="276"/>
      <c r="AB367" s="276"/>
      <c r="AC367" s="272">
        <f>Y367*(1+'2. GRI Pricing Inputs'!$D$114)^(($AC$16-$AB$15)/365)</f>
        <v>0</v>
      </c>
      <c r="AD367" s="273">
        <f>AC367*(1+'2. GRI Pricing Inputs'!$D$114)^((AD$16-AC$16)/365)</f>
        <v>0</v>
      </c>
      <c r="AE367" s="273">
        <f>AD367*(1+'2. GRI Pricing Inputs'!$D$114)^((AE$16-AD$16)/365)</f>
        <v>0</v>
      </c>
      <c r="AF367" s="273">
        <f>AE367*(1+'2. GRI Pricing Inputs'!$D$114)^((AF$16-AE$16)/365)</f>
        <v>0</v>
      </c>
      <c r="AG367" s="273">
        <f>AF367*(1+'2. GRI Pricing Inputs'!$D$114)^((AG$16-AF$16)/365)</f>
        <v>0</v>
      </c>
      <c r="AH367" s="273">
        <f>AG367*(1+'2. GRI Pricing Inputs'!$D$114)^((AH$16-AG$16)/365)</f>
        <v>0</v>
      </c>
      <c r="AI367" s="273">
        <f>AH367*(1+'2. GRI Pricing Inputs'!$D$114)^((AI$16-AH$16)/365)</f>
        <v>0</v>
      </c>
      <c r="AJ367" s="273">
        <f>AI367*(1+'2. GRI Pricing Inputs'!$D$114)^((AJ$16-AI$16)/365)</f>
        <v>0</v>
      </c>
      <c r="AK367" s="273">
        <f>AJ367*(1+'2. GRI Pricing Inputs'!$D$114)^((AK$16-AJ$16)/365)</f>
        <v>0</v>
      </c>
      <c r="AL367" s="273">
        <f>AK367*(1+'2. GRI Pricing Inputs'!$D$114)^((AL$16-AK$16)/365)</f>
        <v>0</v>
      </c>
      <c r="AM367" s="273">
        <f>AL367*(1+'2. GRI Pricing Inputs'!$D$114)^((AM$16-AL$16)/365)</f>
        <v>0</v>
      </c>
      <c r="AN367" s="273">
        <f>AM367*(1+'2. GRI Pricing Inputs'!$D$114)^((AN$16-AM$16)/365)</f>
        <v>0</v>
      </c>
      <c r="AO367" s="273">
        <f>AN367*(1+'2. GRI Pricing Inputs'!$D$114)^((AO$16-AN$16)/365)</f>
        <v>0</v>
      </c>
    </row>
    <row r="368" spans="3:41" ht="12" x14ac:dyDescent="0.2">
      <c r="C368" s="76">
        <f>'1. Accomodation'!N372</f>
        <v>0</v>
      </c>
      <c r="D368" s="69">
        <f>'1. Accomodation'!P372</f>
        <v>0</v>
      </c>
      <c r="E368" s="69">
        <f>'1. Accomodation'!Q372</f>
        <v>0</v>
      </c>
      <c r="F368" s="77">
        <f>'1. Accomodation'!O372</f>
        <v>0</v>
      </c>
      <c r="G368" s="69">
        <f>'1. Accomodation'!R372</f>
        <v>0</v>
      </c>
      <c r="H368" s="69">
        <f>'1. Accomodation'!S372</f>
        <v>0</v>
      </c>
      <c r="I368" s="62"/>
      <c r="K368" s="272">
        <f>IFERROR(INDEX('2. GRI Pricing Inputs'!$C$15:$AI$16,MATCH($K$16,'2. GRI Pricing Inputs'!$C$15:$C$16,0),MATCH(D368,'2. GRI Pricing Inputs'!$C$15:$AI$15,0)),0)</f>
        <v>0</v>
      </c>
      <c r="L368" s="273">
        <f>IFERROR(INDEX('2. GRI Pricing Inputs'!$C$22:$AI$23,MATCH($L$16,'2. GRI Pricing Inputs'!$C$22:$C$23,0),MATCH(E368,'2. GRI Pricing Inputs'!$C$22:$AI$22,0)),0)</f>
        <v>0</v>
      </c>
      <c r="M368" s="328">
        <f>IF(AND('3. GRI Pricing'!$F368&gt;='2. GRI Pricing Inputs'!$D$33,'3. GRI Pricing'!$F368&lt;='2. GRI Pricing Inputs'!$E$33),'2. GRI Pricing Inputs'!$D$32,IF(AND('3. GRI Pricing'!$F368&gt;='2. GRI Pricing Inputs'!$F$33,'3. GRI Pricing'!$F368&lt;='2. GRI Pricing Inputs'!$G$33),'2. GRI Pricing Inputs'!$F$32,IF(AND('3. GRI Pricing'!$F368&gt;='2. GRI Pricing Inputs'!$H$33,'3. GRI Pricing'!$F368&lt;='2. GRI Pricing Inputs'!$I$33),'2. GRI Pricing Inputs'!$H$32,IF(AND('3. GRI Pricing'!$F368&gt;='2. GRI Pricing Inputs'!$J$33,'3. GRI Pricing'!$F368&lt;='2. GRI Pricing Inputs'!$K$33),'2. GRI Pricing Inputs'!$J$32,IF(AND('3. GRI Pricing'!$F368&gt;='2. GRI Pricing Inputs'!$L$33,'3. GRI Pricing'!$F368&lt;='2. GRI Pricing Inputs'!$M$33),'2. GRI Pricing Inputs'!$L$32,IF(AND('3. GRI Pricing'!$F368&gt;='2. GRI Pricing Inputs'!$N$33,'3. GRI Pricing'!$F368&lt;='2. GRI Pricing Inputs'!$O$33),'2. GRI Pricing Inputs'!$N$32,IF(AND('3. GRI Pricing'!$F368&gt;='2. GRI Pricing Inputs'!$P$33,'3. GRI Pricing'!$F368&lt;='2. GRI Pricing Inputs'!$Q$33),'2. GRI Pricing Inputs'!$P$32,IF(AND('3. GRI Pricing'!$F368&gt;='2. GRI Pricing Inputs'!$R$33,'3. GRI Pricing'!$F368&lt;='2. GRI Pricing Inputs'!$S$33),'2. GRI Pricing Inputs'!$R$32,IF(AND('3. GRI Pricing'!$F368&gt;='2. GRI Pricing Inputs'!$T$33,'3. GRI Pricing'!$F368&lt;='2. GRI Pricing Inputs'!$U$33),'2. GRI Pricing Inputs'!$T$32,IF(AND('3. GRI Pricing'!$F368&gt;='2. GRI Pricing Inputs'!$V$33,'3. GRI Pricing'!$F368&lt;='2. GRI Pricing Inputs'!$W$33),'2. GRI Pricing Inputs'!$V$32,IF(AND('3. GRI Pricing'!$F368&gt;='2. GRI Pricing Inputs'!$X$33,'3. GRI Pricing'!$F368&lt;='2. GRI Pricing Inputs'!$Y$33),'2. GRI Pricing Inputs'!$X$32,IF(AND('3. GRI Pricing'!$F368&gt;='2. GRI Pricing Inputs'!$Z$33,'3. GRI Pricing'!$F368&lt;='2. GRI Pricing Inputs'!$AA$33),'2. GRI Pricing Inputs'!$Z$32,IF(AND('3. GRI Pricing'!$F368&gt;='2. GRI Pricing Inputs'!$AB$33,'3. GRI Pricing'!$F368&lt;='2. GRI Pricing Inputs'!$AC$33),'2. GRI Pricing Inputs'!$AB$32,IF(AND('3. GRI Pricing'!$F368&gt;='2. GRI Pricing Inputs'!$AD$33,'3. GRI Pricing'!$F368&lt;='2. GRI Pricing Inputs'!$AE$33),'2. GRI Pricing Inputs'!$AD$32,IF(AND('3. GRI Pricing'!$F368&gt;='2. GRI Pricing Inputs'!$AF$33,'3. GRI Pricing'!$F368&lt;='2. GRI Pricing Inputs'!$AG$33),'2. GRI Pricing Inputs'!$AF$32,IF(AND('3. GRI Pricing'!$F368&gt;='2. GRI Pricing Inputs'!$AH$33,'3. GRI Pricing'!$F368&lt;='2. GRI Pricing Inputs'!$AI$33),'2. GRI Pricing Inputs'!$AH$32,0))))))))))))))))</f>
        <v>0</v>
      </c>
      <c r="N368" s="273" cm="1">
        <f t="array" ref="N368">IFERROR(INDEX('2. GRI Pricing Inputs'!$C$32:$AI$39,MATCH('3. GRI Pricing'!D368,'2. GRI Pricing Inputs'!$C$32:$C$39,0),(MATCH('3. GRI Pricing'!M368,'2. GRI Pricing Inputs'!$D$32:$AI$32,0)+1)),0)</f>
        <v>0</v>
      </c>
      <c r="O368" s="273">
        <f>IFERROR(INDEX('2. GRI Pricing Inputs'!$C$45:$AI$46,MATCH($O$16,'2. GRI Pricing Inputs'!$C$45:$C$46,0),MATCH(G368,'2. GRI Pricing Inputs'!$C$45:$AI$45,0)),0)</f>
        <v>0</v>
      </c>
      <c r="P368" s="273">
        <f>IFERROR(INDEX('2. GRI Pricing Inputs'!$C$53:$AI$54,MATCH('3. GRI Pricing'!$P$16,'2. GRI Pricing Inputs'!$C$53:$C$54,0),MATCH('3. GRI Pricing'!H368,'2. GRI Pricing Inputs'!$C$53:$AI$53,0)),0)</f>
        <v>0</v>
      </c>
      <c r="Q368" s="273">
        <f>IFERROR(INDEX('2. GRI Pricing Inputs'!$C$60:$AI$61,MATCH('3. GRI Pricing'!$Q$16,'2. GRI Pricing Inputs'!$C$60:$C$61,0),MATCH('1. Accomodation'!T372,'2. GRI Pricing Inputs'!$C$60:$AI$60,0)),0)</f>
        <v>0</v>
      </c>
      <c r="R368" s="273">
        <f>IFERROR(INDEX('2. GRI Pricing Inputs'!$C$67:$AI$68,MATCH('3. GRI Pricing'!$R$16,'2. GRI Pricing Inputs'!$C$67:$C$68,0),MATCH('1. Accomodation'!U372,'2. GRI Pricing Inputs'!$C$67:$AI$67,0)),0)</f>
        <v>0</v>
      </c>
      <c r="S368" s="273">
        <f>IF(D368=0,0,'2. GRI Pricing Inputs'!$AI$75)</f>
        <v>0</v>
      </c>
      <c r="T368" s="273">
        <f>IFERROR(INDEX('2. GRI Pricing Inputs'!$C$82:$AI$83,MATCH('3. GRI Pricing'!$T$16,'2. GRI Pricing Inputs'!$C$82:$C$83,0),MATCH('1. Accomodation'!V372,'2. GRI Pricing Inputs'!$C$82:$AI$82,0)),0)</f>
        <v>0</v>
      </c>
      <c r="U368" s="273">
        <f>IFERROR(INDEX('2. GRI Pricing Inputs'!$C$89:$AI$90,MATCH('3. GRI Pricing'!$U$16,'2. GRI Pricing Inputs'!$C$89:$C$90,0),MATCH('1. Accomodation'!W372,'2. GRI Pricing Inputs'!$C$89:$AI$89,0)),0)</f>
        <v>0</v>
      </c>
      <c r="V368" s="273">
        <f>IFERROR(INDEX('2. GRI Pricing Inputs'!$C$97:$AI$98,MATCH('3. GRI Pricing'!$V$16,'2. GRI Pricing Inputs'!$C$97:$C$98,0),MATCH('1. Accomodation'!X372,'2. GRI Pricing Inputs'!$C$97:$AI$97,0)),0)</f>
        <v>0</v>
      </c>
      <c r="W368" s="273">
        <f>IFERROR(INDEX('2. GRI Pricing Inputs'!$C$104:$AI$105,MATCH('3. GRI Pricing'!$W$16,'2. GRI Pricing Inputs'!$C$104:$C$105,0),MATCH('1. Accomodation'!Y372,'2. GRI Pricing Inputs'!$C$104:$AI$104,0)),0)</f>
        <v>0</v>
      </c>
      <c r="X368" s="274"/>
      <c r="Y368" s="275">
        <f t="shared" si="12"/>
        <v>0</v>
      </c>
      <c r="Z368" s="276"/>
      <c r="AA368" s="276"/>
      <c r="AB368" s="276"/>
      <c r="AC368" s="272">
        <f>Y368*(1+'2. GRI Pricing Inputs'!$D$114)^(($AC$16-$AB$15)/365)</f>
        <v>0</v>
      </c>
      <c r="AD368" s="273">
        <f>AC368*(1+'2. GRI Pricing Inputs'!$D$114)^((AD$16-AC$16)/365)</f>
        <v>0</v>
      </c>
      <c r="AE368" s="273">
        <f>AD368*(1+'2. GRI Pricing Inputs'!$D$114)^((AE$16-AD$16)/365)</f>
        <v>0</v>
      </c>
      <c r="AF368" s="273">
        <f>AE368*(1+'2. GRI Pricing Inputs'!$D$114)^((AF$16-AE$16)/365)</f>
        <v>0</v>
      </c>
      <c r="AG368" s="273">
        <f>AF368*(1+'2. GRI Pricing Inputs'!$D$114)^((AG$16-AF$16)/365)</f>
        <v>0</v>
      </c>
      <c r="AH368" s="273">
        <f>AG368*(1+'2. GRI Pricing Inputs'!$D$114)^((AH$16-AG$16)/365)</f>
        <v>0</v>
      </c>
      <c r="AI368" s="273">
        <f>AH368*(1+'2. GRI Pricing Inputs'!$D$114)^((AI$16-AH$16)/365)</f>
        <v>0</v>
      </c>
      <c r="AJ368" s="273">
        <f>AI368*(1+'2. GRI Pricing Inputs'!$D$114)^((AJ$16-AI$16)/365)</f>
        <v>0</v>
      </c>
      <c r="AK368" s="273">
        <f>AJ368*(1+'2. GRI Pricing Inputs'!$D$114)^((AK$16-AJ$16)/365)</f>
        <v>0</v>
      </c>
      <c r="AL368" s="273">
        <f>AK368*(1+'2. GRI Pricing Inputs'!$D$114)^((AL$16-AK$16)/365)</f>
        <v>0</v>
      </c>
      <c r="AM368" s="273">
        <f>AL368*(1+'2. GRI Pricing Inputs'!$D$114)^((AM$16-AL$16)/365)</f>
        <v>0</v>
      </c>
      <c r="AN368" s="273">
        <f>AM368*(1+'2. GRI Pricing Inputs'!$D$114)^((AN$16-AM$16)/365)</f>
        <v>0</v>
      </c>
      <c r="AO368" s="273">
        <f>AN368*(1+'2. GRI Pricing Inputs'!$D$114)^((AO$16-AN$16)/365)</f>
        <v>0</v>
      </c>
    </row>
    <row r="369" spans="3:41" ht="12" x14ac:dyDescent="0.2">
      <c r="C369" s="76">
        <f>'1. Accomodation'!N373</f>
        <v>0</v>
      </c>
      <c r="D369" s="69">
        <f>'1. Accomodation'!P373</f>
        <v>0</v>
      </c>
      <c r="E369" s="69">
        <f>'1. Accomodation'!Q373</f>
        <v>0</v>
      </c>
      <c r="F369" s="77">
        <f>'1. Accomodation'!O373</f>
        <v>0</v>
      </c>
      <c r="G369" s="69">
        <f>'1. Accomodation'!R373</f>
        <v>0</v>
      </c>
      <c r="H369" s="69">
        <f>'1. Accomodation'!S373</f>
        <v>0</v>
      </c>
      <c r="I369" s="62"/>
      <c r="K369" s="272">
        <f>IFERROR(INDEX('2. GRI Pricing Inputs'!$C$15:$AI$16,MATCH($K$16,'2. GRI Pricing Inputs'!$C$15:$C$16,0),MATCH(D369,'2. GRI Pricing Inputs'!$C$15:$AI$15,0)),0)</f>
        <v>0</v>
      </c>
      <c r="L369" s="273">
        <f>IFERROR(INDEX('2. GRI Pricing Inputs'!$C$22:$AI$23,MATCH($L$16,'2. GRI Pricing Inputs'!$C$22:$C$23,0),MATCH(E369,'2. GRI Pricing Inputs'!$C$22:$AI$22,0)),0)</f>
        <v>0</v>
      </c>
      <c r="M369" s="328">
        <f>IF(AND('3. GRI Pricing'!$F369&gt;='2. GRI Pricing Inputs'!$D$33,'3. GRI Pricing'!$F369&lt;='2. GRI Pricing Inputs'!$E$33),'2. GRI Pricing Inputs'!$D$32,IF(AND('3. GRI Pricing'!$F369&gt;='2. GRI Pricing Inputs'!$F$33,'3. GRI Pricing'!$F369&lt;='2. GRI Pricing Inputs'!$G$33),'2. GRI Pricing Inputs'!$F$32,IF(AND('3. GRI Pricing'!$F369&gt;='2. GRI Pricing Inputs'!$H$33,'3. GRI Pricing'!$F369&lt;='2. GRI Pricing Inputs'!$I$33),'2. GRI Pricing Inputs'!$H$32,IF(AND('3. GRI Pricing'!$F369&gt;='2. GRI Pricing Inputs'!$J$33,'3. GRI Pricing'!$F369&lt;='2. GRI Pricing Inputs'!$K$33),'2. GRI Pricing Inputs'!$J$32,IF(AND('3. GRI Pricing'!$F369&gt;='2. GRI Pricing Inputs'!$L$33,'3. GRI Pricing'!$F369&lt;='2. GRI Pricing Inputs'!$M$33),'2. GRI Pricing Inputs'!$L$32,IF(AND('3. GRI Pricing'!$F369&gt;='2. GRI Pricing Inputs'!$N$33,'3. GRI Pricing'!$F369&lt;='2. GRI Pricing Inputs'!$O$33),'2. GRI Pricing Inputs'!$N$32,IF(AND('3. GRI Pricing'!$F369&gt;='2. GRI Pricing Inputs'!$P$33,'3. GRI Pricing'!$F369&lt;='2. GRI Pricing Inputs'!$Q$33),'2. GRI Pricing Inputs'!$P$32,IF(AND('3. GRI Pricing'!$F369&gt;='2. GRI Pricing Inputs'!$R$33,'3. GRI Pricing'!$F369&lt;='2. GRI Pricing Inputs'!$S$33),'2. GRI Pricing Inputs'!$R$32,IF(AND('3. GRI Pricing'!$F369&gt;='2. GRI Pricing Inputs'!$T$33,'3. GRI Pricing'!$F369&lt;='2. GRI Pricing Inputs'!$U$33),'2. GRI Pricing Inputs'!$T$32,IF(AND('3. GRI Pricing'!$F369&gt;='2. GRI Pricing Inputs'!$V$33,'3. GRI Pricing'!$F369&lt;='2. GRI Pricing Inputs'!$W$33),'2. GRI Pricing Inputs'!$V$32,IF(AND('3. GRI Pricing'!$F369&gt;='2. GRI Pricing Inputs'!$X$33,'3. GRI Pricing'!$F369&lt;='2. GRI Pricing Inputs'!$Y$33),'2. GRI Pricing Inputs'!$X$32,IF(AND('3. GRI Pricing'!$F369&gt;='2. GRI Pricing Inputs'!$Z$33,'3. GRI Pricing'!$F369&lt;='2. GRI Pricing Inputs'!$AA$33),'2. GRI Pricing Inputs'!$Z$32,IF(AND('3. GRI Pricing'!$F369&gt;='2. GRI Pricing Inputs'!$AB$33,'3. GRI Pricing'!$F369&lt;='2. GRI Pricing Inputs'!$AC$33),'2. GRI Pricing Inputs'!$AB$32,IF(AND('3. GRI Pricing'!$F369&gt;='2. GRI Pricing Inputs'!$AD$33,'3. GRI Pricing'!$F369&lt;='2. GRI Pricing Inputs'!$AE$33),'2. GRI Pricing Inputs'!$AD$32,IF(AND('3. GRI Pricing'!$F369&gt;='2. GRI Pricing Inputs'!$AF$33,'3. GRI Pricing'!$F369&lt;='2. GRI Pricing Inputs'!$AG$33),'2. GRI Pricing Inputs'!$AF$32,IF(AND('3. GRI Pricing'!$F369&gt;='2. GRI Pricing Inputs'!$AH$33,'3. GRI Pricing'!$F369&lt;='2. GRI Pricing Inputs'!$AI$33),'2. GRI Pricing Inputs'!$AH$32,0))))))))))))))))</f>
        <v>0</v>
      </c>
      <c r="N369" s="273" cm="1">
        <f t="array" ref="N369">IFERROR(INDEX('2. GRI Pricing Inputs'!$C$32:$AI$39,MATCH('3. GRI Pricing'!D369,'2. GRI Pricing Inputs'!$C$32:$C$39,0),(MATCH('3. GRI Pricing'!M369,'2. GRI Pricing Inputs'!$D$32:$AI$32,0)+1)),0)</f>
        <v>0</v>
      </c>
      <c r="O369" s="273">
        <f>IFERROR(INDEX('2. GRI Pricing Inputs'!$C$45:$AI$46,MATCH($O$16,'2. GRI Pricing Inputs'!$C$45:$C$46,0),MATCH(G369,'2. GRI Pricing Inputs'!$C$45:$AI$45,0)),0)</f>
        <v>0</v>
      </c>
      <c r="P369" s="273">
        <f>IFERROR(INDEX('2. GRI Pricing Inputs'!$C$53:$AI$54,MATCH('3. GRI Pricing'!$P$16,'2. GRI Pricing Inputs'!$C$53:$C$54,0),MATCH('3. GRI Pricing'!H369,'2. GRI Pricing Inputs'!$C$53:$AI$53,0)),0)</f>
        <v>0</v>
      </c>
      <c r="Q369" s="273">
        <f>IFERROR(INDEX('2. GRI Pricing Inputs'!$C$60:$AI$61,MATCH('3. GRI Pricing'!$Q$16,'2. GRI Pricing Inputs'!$C$60:$C$61,0),MATCH('1. Accomodation'!T373,'2. GRI Pricing Inputs'!$C$60:$AI$60,0)),0)</f>
        <v>0</v>
      </c>
      <c r="R369" s="273">
        <f>IFERROR(INDEX('2. GRI Pricing Inputs'!$C$67:$AI$68,MATCH('3. GRI Pricing'!$R$16,'2. GRI Pricing Inputs'!$C$67:$C$68,0),MATCH('1. Accomodation'!U373,'2. GRI Pricing Inputs'!$C$67:$AI$67,0)),0)</f>
        <v>0</v>
      </c>
      <c r="S369" s="273">
        <f>IF(D369=0,0,'2. GRI Pricing Inputs'!$AI$75)</f>
        <v>0</v>
      </c>
      <c r="T369" s="273">
        <f>IFERROR(INDEX('2. GRI Pricing Inputs'!$C$82:$AI$83,MATCH('3. GRI Pricing'!$T$16,'2. GRI Pricing Inputs'!$C$82:$C$83,0),MATCH('1. Accomodation'!V373,'2. GRI Pricing Inputs'!$C$82:$AI$82,0)),0)</f>
        <v>0</v>
      </c>
      <c r="U369" s="273">
        <f>IFERROR(INDEX('2. GRI Pricing Inputs'!$C$89:$AI$90,MATCH('3. GRI Pricing'!$U$16,'2. GRI Pricing Inputs'!$C$89:$C$90,0),MATCH('1. Accomodation'!W373,'2. GRI Pricing Inputs'!$C$89:$AI$89,0)),0)</f>
        <v>0</v>
      </c>
      <c r="V369" s="273">
        <f>IFERROR(INDEX('2. GRI Pricing Inputs'!$C$97:$AI$98,MATCH('3. GRI Pricing'!$V$16,'2. GRI Pricing Inputs'!$C$97:$C$98,0),MATCH('1. Accomodation'!X373,'2. GRI Pricing Inputs'!$C$97:$AI$97,0)),0)</f>
        <v>0</v>
      </c>
      <c r="W369" s="273">
        <f>IFERROR(INDEX('2. GRI Pricing Inputs'!$C$104:$AI$105,MATCH('3. GRI Pricing'!$W$16,'2. GRI Pricing Inputs'!$C$104:$C$105,0),MATCH('1. Accomodation'!Y373,'2. GRI Pricing Inputs'!$C$104:$AI$104,0)),0)</f>
        <v>0</v>
      </c>
      <c r="X369" s="274"/>
      <c r="Y369" s="275">
        <f t="shared" si="12"/>
        <v>0</v>
      </c>
      <c r="Z369" s="276"/>
      <c r="AA369" s="276"/>
      <c r="AB369" s="276"/>
      <c r="AC369" s="272">
        <f>Y369*(1+'2. GRI Pricing Inputs'!$D$114)^(($AC$16-$AB$15)/365)</f>
        <v>0</v>
      </c>
      <c r="AD369" s="273">
        <f>AC369*(1+'2. GRI Pricing Inputs'!$D$114)^((AD$16-AC$16)/365)</f>
        <v>0</v>
      </c>
      <c r="AE369" s="273">
        <f>AD369*(1+'2. GRI Pricing Inputs'!$D$114)^((AE$16-AD$16)/365)</f>
        <v>0</v>
      </c>
      <c r="AF369" s="273">
        <f>AE369*(1+'2. GRI Pricing Inputs'!$D$114)^((AF$16-AE$16)/365)</f>
        <v>0</v>
      </c>
      <c r="AG369" s="273">
        <f>AF369*(1+'2. GRI Pricing Inputs'!$D$114)^((AG$16-AF$16)/365)</f>
        <v>0</v>
      </c>
      <c r="AH369" s="273">
        <f>AG369*(1+'2. GRI Pricing Inputs'!$D$114)^((AH$16-AG$16)/365)</f>
        <v>0</v>
      </c>
      <c r="AI369" s="273">
        <f>AH369*(1+'2. GRI Pricing Inputs'!$D$114)^((AI$16-AH$16)/365)</f>
        <v>0</v>
      </c>
      <c r="AJ369" s="273">
        <f>AI369*(1+'2. GRI Pricing Inputs'!$D$114)^((AJ$16-AI$16)/365)</f>
        <v>0</v>
      </c>
      <c r="AK369" s="273">
        <f>AJ369*(1+'2. GRI Pricing Inputs'!$D$114)^((AK$16-AJ$16)/365)</f>
        <v>0</v>
      </c>
      <c r="AL369" s="273">
        <f>AK369*(1+'2. GRI Pricing Inputs'!$D$114)^((AL$16-AK$16)/365)</f>
        <v>0</v>
      </c>
      <c r="AM369" s="273">
        <f>AL369*(1+'2. GRI Pricing Inputs'!$D$114)^((AM$16-AL$16)/365)</f>
        <v>0</v>
      </c>
      <c r="AN369" s="273">
        <f>AM369*(1+'2. GRI Pricing Inputs'!$D$114)^((AN$16-AM$16)/365)</f>
        <v>0</v>
      </c>
      <c r="AO369" s="273">
        <f>AN369*(1+'2. GRI Pricing Inputs'!$D$114)^((AO$16-AN$16)/365)</f>
        <v>0</v>
      </c>
    </row>
    <row r="370" spans="3:41" ht="12" x14ac:dyDescent="0.2">
      <c r="C370" s="76">
        <f>'1. Accomodation'!N374</f>
        <v>0</v>
      </c>
      <c r="D370" s="69">
        <f>'1. Accomodation'!P374</f>
        <v>0</v>
      </c>
      <c r="E370" s="69">
        <f>'1. Accomodation'!Q374</f>
        <v>0</v>
      </c>
      <c r="F370" s="77">
        <f>'1. Accomodation'!O374</f>
        <v>0</v>
      </c>
      <c r="G370" s="69">
        <f>'1. Accomodation'!R374</f>
        <v>0</v>
      </c>
      <c r="H370" s="69">
        <f>'1. Accomodation'!S374</f>
        <v>0</v>
      </c>
      <c r="I370" s="62"/>
      <c r="K370" s="272">
        <f>IFERROR(INDEX('2. GRI Pricing Inputs'!$C$15:$AI$16,MATCH($K$16,'2. GRI Pricing Inputs'!$C$15:$C$16,0),MATCH(D370,'2. GRI Pricing Inputs'!$C$15:$AI$15,0)),0)</f>
        <v>0</v>
      </c>
      <c r="L370" s="273">
        <f>IFERROR(INDEX('2. GRI Pricing Inputs'!$C$22:$AI$23,MATCH($L$16,'2. GRI Pricing Inputs'!$C$22:$C$23,0),MATCH(E370,'2. GRI Pricing Inputs'!$C$22:$AI$22,0)),0)</f>
        <v>0</v>
      </c>
      <c r="M370" s="328">
        <f>IF(AND('3. GRI Pricing'!$F370&gt;='2. GRI Pricing Inputs'!$D$33,'3. GRI Pricing'!$F370&lt;='2. GRI Pricing Inputs'!$E$33),'2. GRI Pricing Inputs'!$D$32,IF(AND('3. GRI Pricing'!$F370&gt;='2. GRI Pricing Inputs'!$F$33,'3. GRI Pricing'!$F370&lt;='2. GRI Pricing Inputs'!$G$33),'2. GRI Pricing Inputs'!$F$32,IF(AND('3. GRI Pricing'!$F370&gt;='2. GRI Pricing Inputs'!$H$33,'3. GRI Pricing'!$F370&lt;='2. GRI Pricing Inputs'!$I$33),'2. GRI Pricing Inputs'!$H$32,IF(AND('3. GRI Pricing'!$F370&gt;='2. GRI Pricing Inputs'!$J$33,'3. GRI Pricing'!$F370&lt;='2. GRI Pricing Inputs'!$K$33),'2. GRI Pricing Inputs'!$J$32,IF(AND('3. GRI Pricing'!$F370&gt;='2. GRI Pricing Inputs'!$L$33,'3. GRI Pricing'!$F370&lt;='2. GRI Pricing Inputs'!$M$33),'2. GRI Pricing Inputs'!$L$32,IF(AND('3. GRI Pricing'!$F370&gt;='2. GRI Pricing Inputs'!$N$33,'3. GRI Pricing'!$F370&lt;='2. GRI Pricing Inputs'!$O$33),'2. GRI Pricing Inputs'!$N$32,IF(AND('3. GRI Pricing'!$F370&gt;='2. GRI Pricing Inputs'!$P$33,'3. GRI Pricing'!$F370&lt;='2. GRI Pricing Inputs'!$Q$33),'2. GRI Pricing Inputs'!$P$32,IF(AND('3. GRI Pricing'!$F370&gt;='2. GRI Pricing Inputs'!$R$33,'3. GRI Pricing'!$F370&lt;='2. GRI Pricing Inputs'!$S$33),'2. GRI Pricing Inputs'!$R$32,IF(AND('3. GRI Pricing'!$F370&gt;='2. GRI Pricing Inputs'!$T$33,'3. GRI Pricing'!$F370&lt;='2. GRI Pricing Inputs'!$U$33),'2. GRI Pricing Inputs'!$T$32,IF(AND('3. GRI Pricing'!$F370&gt;='2. GRI Pricing Inputs'!$V$33,'3. GRI Pricing'!$F370&lt;='2. GRI Pricing Inputs'!$W$33),'2. GRI Pricing Inputs'!$V$32,IF(AND('3. GRI Pricing'!$F370&gt;='2. GRI Pricing Inputs'!$X$33,'3. GRI Pricing'!$F370&lt;='2. GRI Pricing Inputs'!$Y$33),'2. GRI Pricing Inputs'!$X$32,IF(AND('3. GRI Pricing'!$F370&gt;='2. GRI Pricing Inputs'!$Z$33,'3. GRI Pricing'!$F370&lt;='2. GRI Pricing Inputs'!$AA$33),'2. GRI Pricing Inputs'!$Z$32,IF(AND('3. GRI Pricing'!$F370&gt;='2. GRI Pricing Inputs'!$AB$33,'3. GRI Pricing'!$F370&lt;='2. GRI Pricing Inputs'!$AC$33),'2. GRI Pricing Inputs'!$AB$32,IF(AND('3. GRI Pricing'!$F370&gt;='2. GRI Pricing Inputs'!$AD$33,'3. GRI Pricing'!$F370&lt;='2. GRI Pricing Inputs'!$AE$33),'2. GRI Pricing Inputs'!$AD$32,IF(AND('3. GRI Pricing'!$F370&gt;='2. GRI Pricing Inputs'!$AF$33,'3. GRI Pricing'!$F370&lt;='2. GRI Pricing Inputs'!$AG$33),'2. GRI Pricing Inputs'!$AF$32,IF(AND('3. GRI Pricing'!$F370&gt;='2. GRI Pricing Inputs'!$AH$33,'3. GRI Pricing'!$F370&lt;='2. GRI Pricing Inputs'!$AI$33),'2. GRI Pricing Inputs'!$AH$32,0))))))))))))))))</f>
        <v>0</v>
      </c>
      <c r="N370" s="273" cm="1">
        <f t="array" ref="N370">IFERROR(INDEX('2. GRI Pricing Inputs'!$C$32:$AI$39,MATCH('3. GRI Pricing'!D370,'2. GRI Pricing Inputs'!$C$32:$C$39,0),(MATCH('3. GRI Pricing'!M370,'2. GRI Pricing Inputs'!$D$32:$AI$32,0)+1)),0)</f>
        <v>0</v>
      </c>
      <c r="O370" s="273">
        <f>IFERROR(INDEX('2. GRI Pricing Inputs'!$C$45:$AI$46,MATCH($O$16,'2. GRI Pricing Inputs'!$C$45:$C$46,0),MATCH(G370,'2. GRI Pricing Inputs'!$C$45:$AI$45,0)),0)</f>
        <v>0</v>
      </c>
      <c r="P370" s="273">
        <f>IFERROR(INDEX('2. GRI Pricing Inputs'!$C$53:$AI$54,MATCH('3. GRI Pricing'!$P$16,'2. GRI Pricing Inputs'!$C$53:$C$54,0),MATCH('3. GRI Pricing'!H370,'2. GRI Pricing Inputs'!$C$53:$AI$53,0)),0)</f>
        <v>0</v>
      </c>
      <c r="Q370" s="273">
        <f>IFERROR(INDEX('2. GRI Pricing Inputs'!$C$60:$AI$61,MATCH('3. GRI Pricing'!$Q$16,'2. GRI Pricing Inputs'!$C$60:$C$61,0),MATCH('1. Accomodation'!T374,'2. GRI Pricing Inputs'!$C$60:$AI$60,0)),0)</f>
        <v>0</v>
      </c>
      <c r="R370" s="273">
        <f>IFERROR(INDEX('2. GRI Pricing Inputs'!$C$67:$AI$68,MATCH('3. GRI Pricing'!$R$16,'2. GRI Pricing Inputs'!$C$67:$C$68,0),MATCH('1. Accomodation'!U374,'2. GRI Pricing Inputs'!$C$67:$AI$67,0)),0)</f>
        <v>0</v>
      </c>
      <c r="S370" s="273">
        <f>IF(D370=0,0,'2. GRI Pricing Inputs'!$AI$75)</f>
        <v>0</v>
      </c>
      <c r="T370" s="273">
        <f>IFERROR(INDEX('2. GRI Pricing Inputs'!$C$82:$AI$83,MATCH('3. GRI Pricing'!$T$16,'2. GRI Pricing Inputs'!$C$82:$C$83,0),MATCH('1. Accomodation'!V374,'2. GRI Pricing Inputs'!$C$82:$AI$82,0)),0)</f>
        <v>0</v>
      </c>
      <c r="U370" s="273">
        <f>IFERROR(INDEX('2. GRI Pricing Inputs'!$C$89:$AI$90,MATCH('3. GRI Pricing'!$U$16,'2. GRI Pricing Inputs'!$C$89:$C$90,0),MATCH('1. Accomodation'!W374,'2. GRI Pricing Inputs'!$C$89:$AI$89,0)),0)</f>
        <v>0</v>
      </c>
      <c r="V370" s="273">
        <f>IFERROR(INDEX('2. GRI Pricing Inputs'!$C$97:$AI$98,MATCH('3. GRI Pricing'!$V$16,'2. GRI Pricing Inputs'!$C$97:$C$98,0),MATCH('1. Accomodation'!X374,'2. GRI Pricing Inputs'!$C$97:$AI$97,0)),0)</f>
        <v>0</v>
      </c>
      <c r="W370" s="273">
        <f>IFERROR(INDEX('2. GRI Pricing Inputs'!$C$104:$AI$105,MATCH('3. GRI Pricing'!$W$16,'2. GRI Pricing Inputs'!$C$104:$C$105,0),MATCH('1. Accomodation'!Y374,'2. GRI Pricing Inputs'!$C$104:$AI$104,0)),0)</f>
        <v>0</v>
      </c>
      <c r="X370" s="274"/>
      <c r="Y370" s="275">
        <f t="shared" si="12"/>
        <v>0</v>
      </c>
      <c r="Z370" s="276"/>
      <c r="AA370" s="276"/>
      <c r="AB370" s="276"/>
      <c r="AC370" s="272">
        <f>Y370*(1+'2. GRI Pricing Inputs'!$D$114)^(($AC$16-$AB$15)/365)</f>
        <v>0</v>
      </c>
      <c r="AD370" s="273">
        <f>AC370*(1+'2. GRI Pricing Inputs'!$D$114)^((AD$16-AC$16)/365)</f>
        <v>0</v>
      </c>
      <c r="AE370" s="273">
        <f>AD370*(1+'2. GRI Pricing Inputs'!$D$114)^((AE$16-AD$16)/365)</f>
        <v>0</v>
      </c>
      <c r="AF370" s="273">
        <f>AE370*(1+'2. GRI Pricing Inputs'!$D$114)^((AF$16-AE$16)/365)</f>
        <v>0</v>
      </c>
      <c r="AG370" s="273">
        <f>AF370*(1+'2. GRI Pricing Inputs'!$D$114)^((AG$16-AF$16)/365)</f>
        <v>0</v>
      </c>
      <c r="AH370" s="273">
        <f>AG370*(1+'2. GRI Pricing Inputs'!$D$114)^((AH$16-AG$16)/365)</f>
        <v>0</v>
      </c>
      <c r="AI370" s="273">
        <f>AH370*(1+'2. GRI Pricing Inputs'!$D$114)^((AI$16-AH$16)/365)</f>
        <v>0</v>
      </c>
      <c r="AJ370" s="273">
        <f>AI370*(1+'2. GRI Pricing Inputs'!$D$114)^((AJ$16-AI$16)/365)</f>
        <v>0</v>
      </c>
      <c r="AK370" s="273">
        <f>AJ370*(1+'2. GRI Pricing Inputs'!$D$114)^((AK$16-AJ$16)/365)</f>
        <v>0</v>
      </c>
      <c r="AL370" s="273">
        <f>AK370*(1+'2. GRI Pricing Inputs'!$D$114)^((AL$16-AK$16)/365)</f>
        <v>0</v>
      </c>
      <c r="AM370" s="273">
        <f>AL370*(1+'2. GRI Pricing Inputs'!$D$114)^((AM$16-AL$16)/365)</f>
        <v>0</v>
      </c>
      <c r="AN370" s="273">
        <f>AM370*(1+'2. GRI Pricing Inputs'!$D$114)^((AN$16-AM$16)/365)</f>
        <v>0</v>
      </c>
      <c r="AO370" s="273">
        <f>AN370*(1+'2. GRI Pricing Inputs'!$D$114)^((AO$16-AN$16)/365)</f>
        <v>0</v>
      </c>
    </row>
    <row r="371" spans="3:41" ht="12" x14ac:dyDescent="0.2">
      <c r="C371" s="76">
        <f>'1. Accomodation'!N375</f>
        <v>0</v>
      </c>
      <c r="D371" s="69">
        <f>'1. Accomodation'!P375</f>
        <v>0</v>
      </c>
      <c r="E371" s="69">
        <f>'1. Accomodation'!Q375</f>
        <v>0</v>
      </c>
      <c r="F371" s="77">
        <f>'1. Accomodation'!O375</f>
        <v>0</v>
      </c>
      <c r="G371" s="69">
        <f>'1. Accomodation'!R375</f>
        <v>0</v>
      </c>
      <c r="H371" s="69">
        <f>'1. Accomodation'!S375</f>
        <v>0</v>
      </c>
      <c r="I371" s="62"/>
      <c r="K371" s="272">
        <f>IFERROR(INDEX('2. GRI Pricing Inputs'!$C$15:$AI$16,MATCH($K$16,'2. GRI Pricing Inputs'!$C$15:$C$16,0),MATCH(D371,'2. GRI Pricing Inputs'!$C$15:$AI$15,0)),0)</f>
        <v>0</v>
      </c>
      <c r="L371" s="273">
        <f>IFERROR(INDEX('2. GRI Pricing Inputs'!$C$22:$AI$23,MATCH($L$16,'2. GRI Pricing Inputs'!$C$22:$C$23,0),MATCH(E371,'2. GRI Pricing Inputs'!$C$22:$AI$22,0)),0)</f>
        <v>0</v>
      </c>
      <c r="M371" s="328">
        <f>IF(AND('3. GRI Pricing'!$F371&gt;='2. GRI Pricing Inputs'!$D$33,'3. GRI Pricing'!$F371&lt;='2. GRI Pricing Inputs'!$E$33),'2. GRI Pricing Inputs'!$D$32,IF(AND('3. GRI Pricing'!$F371&gt;='2. GRI Pricing Inputs'!$F$33,'3. GRI Pricing'!$F371&lt;='2. GRI Pricing Inputs'!$G$33),'2. GRI Pricing Inputs'!$F$32,IF(AND('3. GRI Pricing'!$F371&gt;='2. GRI Pricing Inputs'!$H$33,'3. GRI Pricing'!$F371&lt;='2. GRI Pricing Inputs'!$I$33),'2. GRI Pricing Inputs'!$H$32,IF(AND('3. GRI Pricing'!$F371&gt;='2. GRI Pricing Inputs'!$J$33,'3. GRI Pricing'!$F371&lt;='2. GRI Pricing Inputs'!$K$33),'2. GRI Pricing Inputs'!$J$32,IF(AND('3. GRI Pricing'!$F371&gt;='2. GRI Pricing Inputs'!$L$33,'3. GRI Pricing'!$F371&lt;='2. GRI Pricing Inputs'!$M$33),'2. GRI Pricing Inputs'!$L$32,IF(AND('3. GRI Pricing'!$F371&gt;='2. GRI Pricing Inputs'!$N$33,'3. GRI Pricing'!$F371&lt;='2. GRI Pricing Inputs'!$O$33),'2. GRI Pricing Inputs'!$N$32,IF(AND('3. GRI Pricing'!$F371&gt;='2. GRI Pricing Inputs'!$P$33,'3. GRI Pricing'!$F371&lt;='2. GRI Pricing Inputs'!$Q$33),'2. GRI Pricing Inputs'!$P$32,IF(AND('3. GRI Pricing'!$F371&gt;='2. GRI Pricing Inputs'!$R$33,'3. GRI Pricing'!$F371&lt;='2. GRI Pricing Inputs'!$S$33),'2. GRI Pricing Inputs'!$R$32,IF(AND('3. GRI Pricing'!$F371&gt;='2. GRI Pricing Inputs'!$T$33,'3. GRI Pricing'!$F371&lt;='2. GRI Pricing Inputs'!$U$33),'2. GRI Pricing Inputs'!$T$32,IF(AND('3. GRI Pricing'!$F371&gt;='2. GRI Pricing Inputs'!$V$33,'3. GRI Pricing'!$F371&lt;='2. GRI Pricing Inputs'!$W$33),'2. GRI Pricing Inputs'!$V$32,IF(AND('3. GRI Pricing'!$F371&gt;='2. GRI Pricing Inputs'!$X$33,'3. GRI Pricing'!$F371&lt;='2. GRI Pricing Inputs'!$Y$33),'2. GRI Pricing Inputs'!$X$32,IF(AND('3. GRI Pricing'!$F371&gt;='2. GRI Pricing Inputs'!$Z$33,'3. GRI Pricing'!$F371&lt;='2. GRI Pricing Inputs'!$AA$33),'2. GRI Pricing Inputs'!$Z$32,IF(AND('3. GRI Pricing'!$F371&gt;='2. GRI Pricing Inputs'!$AB$33,'3. GRI Pricing'!$F371&lt;='2. GRI Pricing Inputs'!$AC$33),'2. GRI Pricing Inputs'!$AB$32,IF(AND('3. GRI Pricing'!$F371&gt;='2. GRI Pricing Inputs'!$AD$33,'3. GRI Pricing'!$F371&lt;='2. GRI Pricing Inputs'!$AE$33),'2. GRI Pricing Inputs'!$AD$32,IF(AND('3. GRI Pricing'!$F371&gt;='2. GRI Pricing Inputs'!$AF$33,'3. GRI Pricing'!$F371&lt;='2. GRI Pricing Inputs'!$AG$33),'2. GRI Pricing Inputs'!$AF$32,IF(AND('3. GRI Pricing'!$F371&gt;='2. GRI Pricing Inputs'!$AH$33,'3. GRI Pricing'!$F371&lt;='2. GRI Pricing Inputs'!$AI$33),'2. GRI Pricing Inputs'!$AH$32,0))))))))))))))))</f>
        <v>0</v>
      </c>
      <c r="N371" s="273" cm="1">
        <f t="array" ref="N371">IFERROR(INDEX('2. GRI Pricing Inputs'!$C$32:$AI$39,MATCH('3. GRI Pricing'!D371,'2. GRI Pricing Inputs'!$C$32:$C$39,0),(MATCH('3. GRI Pricing'!M371,'2. GRI Pricing Inputs'!$D$32:$AI$32,0)+1)),0)</f>
        <v>0</v>
      </c>
      <c r="O371" s="273">
        <f>IFERROR(INDEX('2. GRI Pricing Inputs'!$C$45:$AI$46,MATCH($O$16,'2. GRI Pricing Inputs'!$C$45:$C$46,0),MATCH(G371,'2. GRI Pricing Inputs'!$C$45:$AI$45,0)),0)</f>
        <v>0</v>
      </c>
      <c r="P371" s="273">
        <f>IFERROR(INDEX('2. GRI Pricing Inputs'!$C$53:$AI$54,MATCH('3. GRI Pricing'!$P$16,'2. GRI Pricing Inputs'!$C$53:$C$54,0),MATCH('3. GRI Pricing'!H371,'2. GRI Pricing Inputs'!$C$53:$AI$53,0)),0)</f>
        <v>0</v>
      </c>
      <c r="Q371" s="273">
        <f>IFERROR(INDEX('2. GRI Pricing Inputs'!$C$60:$AI$61,MATCH('3. GRI Pricing'!$Q$16,'2. GRI Pricing Inputs'!$C$60:$C$61,0),MATCH('1. Accomodation'!T375,'2. GRI Pricing Inputs'!$C$60:$AI$60,0)),0)</f>
        <v>0</v>
      </c>
      <c r="R371" s="273">
        <f>IFERROR(INDEX('2. GRI Pricing Inputs'!$C$67:$AI$68,MATCH('3. GRI Pricing'!$R$16,'2. GRI Pricing Inputs'!$C$67:$C$68,0),MATCH('1. Accomodation'!U375,'2. GRI Pricing Inputs'!$C$67:$AI$67,0)),0)</f>
        <v>0</v>
      </c>
      <c r="S371" s="273">
        <f>IF(D371=0,0,'2. GRI Pricing Inputs'!$AI$75)</f>
        <v>0</v>
      </c>
      <c r="T371" s="273">
        <f>IFERROR(INDEX('2. GRI Pricing Inputs'!$C$82:$AI$83,MATCH('3. GRI Pricing'!$T$16,'2. GRI Pricing Inputs'!$C$82:$C$83,0),MATCH('1. Accomodation'!V375,'2. GRI Pricing Inputs'!$C$82:$AI$82,0)),0)</f>
        <v>0</v>
      </c>
      <c r="U371" s="273">
        <f>IFERROR(INDEX('2. GRI Pricing Inputs'!$C$89:$AI$90,MATCH('3. GRI Pricing'!$U$16,'2. GRI Pricing Inputs'!$C$89:$C$90,0),MATCH('1. Accomodation'!W375,'2. GRI Pricing Inputs'!$C$89:$AI$89,0)),0)</f>
        <v>0</v>
      </c>
      <c r="V371" s="273">
        <f>IFERROR(INDEX('2. GRI Pricing Inputs'!$C$97:$AI$98,MATCH('3. GRI Pricing'!$V$16,'2. GRI Pricing Inputs'!$C$97:$C$98,0),MATCH('1. Accomodation'!X375,'2. GRI Pricing Inputs'!$C$97:$AI$97,0)),0)</f>
        <v>0</v>
      </c>
      <c r="W371" s="273">
        <f>IFERROR(INDEX('2. GRI Pricing Inputs'!$C$104:$AI$105,MATCH('3. GRI Pricing'!$W$16,'2. GRI Pricing Inputs'!$C$104:$C$105,0),MATCH('1. Accomodation'!Y375,'2. GRI Pricing Inputs'!$C$104:$AI$104,0)),0)</f>
        <v>0</v>
      </c>
      <c r="X371" s="274"/>
      <c r="Y371" s="275">
        <f t="shared" si="12"/>
        <v>0</v>
      </c>
      <c r="Z371" s="276"/>
      <c r="AA371" s="276"/>
      <c r="AB371" s="276"/>
      <c r="AC371" s="272">
        <f>Y371*(1+'2. GRI Pricing Inputs'!$D$114)^(($AC$16-$AB$15)/365)</f>
        <v>0</v>
      </c>
      <c r="AD371" s="273">
        <f>AC371*(1+'2. GRI Pricing Inputs'!$D$114)^((AD$16-AC$16)/365)</f>
        <v>0</v>
      </c>
      <c r="AE371" s="273">
        <f>AD371*(1+'2. GRI Pricing Inputs'!$D$114)^((AE$16-AD$16)/365)</f>
        <v>0</v>
      </c>
      <c r="AF371" s="273">
        <f>AE371*(1+'2. GRI Pricing Inputs'!$D$114)^((AF$16-AE$16)/365)</f>
        <v>0</v>
      </c>
      <c r="AG371" s="273">
        <f>AF371*(1+'2. GRI Pricing Inputs'!$D$114)^((AG$16-AF$16)/365)</f>
        <v>0</v>
      </c>
      <c r="AH371" s="273">
        <f>AG371*(1+'2. GRI Pricing Inputs'!$D$114)^((AH$16-AG$16)/365)</f>
        <v>0</v>
      </c>
      <c r="AI371" s="273">
        <f>AH371*(1+'2. GRI Pricing Inputs'!$D$114)^((AI$16-AH$16)/365)</f>
        <v>0</v>
      </c>
      <c r="AJ371" s="273">
        <f>AI371*(1+'2. GRI Pricing Inputs'!$D$114)^((AJ$16-AI$16)/365)</f>
        <v>0</v>
      </c>
      <c r="AK371" s="273">
        <f>AJ371*(1+'2. GRI Pricing Inputs'!$D$114)^((AK$16-AJ$16)/365)</f>
        <v>0</v>
      </c>
      <c r="AL371" s="273">
        <f>AK371*(1+'2. GRI Pricing Inputs'!$D$114)^((AL$16-AK$16)/365)</f>
        <v>0</v>
      </c>
      <c r="AM371" s="273">
        <f>AL371*(1+'2. GRI Pricing Inputs'!$D$114)^((AM$16-AL$16)/365)</f>
        <v>0</v>
      </c>
      <c r="AN371" s="273">
        <f>AM371*(1+'2. GRI Pricing Inputs'!$D$114)^((AN$16-AM$16)/365)</f>
        <v>0</v>
      </c>
      <c r="AO371" s="273">
        <f>AN371*(1+'2. GRI Pricing Inputs'!$D$114)^((AO$16-AN$16)/365)</f>
        <v>0</v>
      </c>
    </row>
    <row r="372" spans="3:41" ht="12" x14ac:dyDescent="0.2">
      <c r="C372" s="76">
        <f>'1. Accomodation'!N376</f>
        <v>0</v>
      </c>
      <c r="D372" s="69">
        <f>'1. Accomodation'!P376</f>
        <v>0</v>
      </c>
      <c r="E372" s="69">
        <f>'1. Accomodation'!Q376</f>
        <v>0</v>
      </c>
      <c r="F372" s="77">
        <f>'1. Accomodation'!O376</f>
        <v>0</v>
      </c>
      <c r="G372" s="69">
        <f>'1. Accomodation'!R376</f>
        <v>0</v>
      </c>
      <c r="H372" s="69">
        <f>'1. Accomodation'!S376</f>
        <v>0</v>
      </c>
      <c r="I372" s="62"/>
      <c r="K372" s="272">
        <f>IFERROR(INDEX('2. GRI Pricing Inputs'!$C$15:$AI$16,MATCH($K$16,'2. GRI Pricing Inputs'!$C$15:$C$16,0),MATCH(D372,'2. GRI Pricing Inputs'!$C$15:$AI$15,0)),0)</f>
        <v>0</v>
      </c>
      <c r="L372" s="273">
        <f>IFERROR(INDEX('2. GRI Pricing Inputs'!$C$22:$AI$23,MATCH($L$16,'2. GRI Pricing Inputs'!$C$22:$C$23,0),MATCH(E372,'2. GRI Pricing Inputs'!$C$22:$AI$22,0)),0)</f>
        <v>0</v>
      </c>
      <c r="M372" s="328">
        <f>IF(AND('3. GRI Pricing'!$F372&gt;='2. GRI Pricing Inputs'!$D$33,'3. GRI Pricing'!$F372&lt;='2. GRI Pricing Inputs'!$E$33),'2. GRI Pricing Inputs'!$D$32,IF(AND('3. GRI Pricing'!$F372&gt;='2. GRI Pricing Inputs'!$F$33,'3. GRI Pricing'!$F372&lt;='2. GRI Pricing Inputs'!$G$33),'2. GRI Pricing Inputs'!$F$32,IF(AND('3. GRI Pricing'!$F372&gt;='2. GRI Pricing Inputs'!$H$33,'3. GRI Pricing'!$F372&lt;='2. GRI Pricing Inputs'!$I$33),'2. GRI Pricing Inputs'!$H$32,IF(AND('3. GRI Pricing'!$F372&gt;='2. GRI Pricing Inputs'!$J$33,'3. GRI Pricing'!$F372&lt;='2. GRI Pricing Inputs'!$K$33),'2. GRI Pricing Inputs'!$J$32,IF(AND('3. GRI Pricing'!$F372&gt;='2. GRI Pricing Inputs'!$L$33,'3. GRI Pricing'!$F372&lt;='2. GRI Pricing Inputs'!$M$33),'2. GRI Pricing Inputs'!$L$32,IF(AND('3. GRI Pricing'!$F372&gt;='2. GRI Pricing Inputs'!$N$33,'3. GRI Pricing'!$F372&lt;='2. GRI Pricing Inputs'!$O$33),'2. GRI Pricing Inputs'!$N$32,IF(AND('3. GRI Pricing'!$F372&gt;='2. GRI Pricing Inputs'!$P$33,'3. GRI Pricing'!$F372&lt;='2. GRI Pricing Inputs'!$Q$33),'2. GRI Pricing Inputs'!$P$32,IF(AND('3. GRI Pricing'!$F372&gt;='2. GRI Pricing Inputs'!$R$33,'3. GRI Pricing'!$F372&lt;='2. GRI Pricing Inputs'!$S$33),'2. GRI Pricing Inputs'!$R$32,IF(AND('3. GRI Pricing'!$F372&gt;='2. GRI Pricing Inputs'!$T$33,'3. GRI Pricing'!$F372&lt;='2. GRI Pricing Inputs'!$U$33),'2. GRI Pricing Inputs'!$T$32,IF(AND('3. GRI Pricing'!$F372&gt;='2. GRI Pricing Inputs'!$V$33,'3. GRI Pricing'!$F372&lt;='2. GRI Pricing Inputs'!$W$33),'2. GRI Pricing Inputs'!$V$32,IF(AND('3. GRI Pricing'!$F372&gt;='2. GRI Pricing Inputs'!$X$33,'3. GRI Pricing'!$F372&lt;='2. GRI Pricing Inputs'!$Y$33),'2. GRI Pricing Inputs'!$X$32,IF(AND('3. GRI Pricing'!$F372&gt;='2. GRI Pricing Inputs'!$Z$33,'3. GRI Pricing'!$F372&lt;='2. GRI Pricing Inputs'!$AA$33),'2. GRI Pricing Inputs'!$Z$32,IF(AND('3. GRI Pricing'!$F372&gt;='2. GRI Pricing Inputs'!$AB$33,'3. GRI Pricing'!$F372&lt;='2. GRI Pricing Inputs'!$AC$33),'2. GRI Pricing Inputs'!$AB$32,IF(AND('3. GRI Pricing'!$F372&gt;='2. GRI Pricing Inputs'!$AD$33,'3. GRI Pricing'!$F372&lt;='2. GRI Pricing Inputs'!$AE$33),'2. GRI Pricing Inputs'!$AD$32,IF(AND('3. GRI Pricing'!$F372&gt;='2. GRI Pricing Inputs'!$AF$33,'3. GRI Pricing'!$F372&lt;='2. GRI Pricing Inputs'!$AG$33),'2. GRI Pricing Inputs'!$AF$32,IF(AND('3. GRI Pricing'!$F372&gt;='2. GRI Pricing Inputs'!$AH$33,'3. GRI Pricing'!$F372&lt;='2. GRI Pricing Inputs'!$AI$33),'2. GRI Pricing Inputs'!$AH$32,0))))))))))))))))</f>
        <v>0</v>
      </c>
      <c r="N372" s="273" cm="1">
        <f t="array" ref="N372">IFERROR(INDEX('2. GRI Pricing Inputs'!$C$32:$AI$39,MATCH('3. GRI Pricing'!D372,'2. GRI Pricing Inputs'!$C$32:$C$39,0),(MATCH('3. GRI Pricing'!M372,'2. GRI Pricing Inputs'!$D$32:$AI$32,0)+1)),0)</f>
        <v>0</v>
      </c>
      <c r="O372" s="273">
        <f>IFERROR(INDEX('2. GRI Pricing Inputs'!$C$45:$AI$46,MATCH($O$16,'2. GRI Pricing Inputs'!$C$45:$C$46,0),MATCH(G372,'2. GRI Pricing Inputs'!$C$45:$AI$45,0)),0)</f>
        <v>0</v>
      </c>
      <c r="P372" s="273">
        <f>IFERROR(INDEX('2. GRI Pricing Inputs'!$C$53:$AI$54,MATCH('3. GRI Pricing'!$P$16,'2. GRI Pricing Inputs'!$C$53:$C$54,0),MATCH('3. GRI Pricing'!H372,'2. GRI Pricing Inputs'!$C$53:$AI$53,0)),0)</f>
        <v>0</v>
      </c>
      <c r="Q372" s="273">
        <f>IFERROR(INDEX('2. GRI Pricing Inputs'!$C$60:$AI$61,MATCH('3. GRI Pricing'!$Q$16,'2. GRI Pricing Inputs'!$C$60:$C$61,0),MATCH('1. Accomodation'!T376,'2. GRI Pricing Inputs'!$C$60:$AI$60,0)),0)</f>
        <v>0</v>
      </c>
      <c r="R372" s="273">
        <f>IFERROR(INDEX('2. GRI Pricing Inputs'!$C$67:$AI$68,MATCH('3. GRI Pricing'!$R$16,'2. GRI Pricing Inputs'!$C$67:$C$68,0),MATCH('1. Accomodation'!U376,'2. GRI Pricing Inputs'!$C$67:$AI$67,0)),0)</f>
        <v>0</v>
      </c>
      <c r="S372" s="273">
        <f>IF(D372=0,0,'2. GRI Pricing Inputs'!$AI$75)</f>
        <v>0</v>
      </c>
      <c r="T372" s="273">
        <f>IFERROR(INDEX('2. GRI Pricing Inputs'!$C$82:$AI$83,MATCH('3. GRI Pricing'!$T$16,'2. GRI Pricing Inputs'!$C$82:$C$83,0),MATCH('1. Accomodation'!V376,'2. GRI Pricing Inputs'!$C$82:$AI$82,0)),0)</f>
        <v>0</v>
      </c>
      <c r="U372" s="273">
        <f>IFERROR(INDEX('2. GRI Pricing Inputs'!$C$89:$AI$90,MATCH('3. GRI Pricing'!$U$16,'2. GRI Pricing Inputs'!$C$89:$C$90,0),MATCH('1. Accomodation'!W376,'2. GRI Pricing Inputs'!$C$89:$AI$89,0)),0)</f>
        <v>0</v>
      </c>
      <c r="V372" s="273">
        <f>IFERROR(INDEX('2. GRI Pricing Inputs'!$C$97:$AI$98,MATCH('3. GRI Pricing'!$V$16,'2. GRI Pricing Inputs'!$C$97:$C$98,0),MATCH('1. Accomodation'!X376,'2. GRI Pricing Inputs'!$C$97:$AI$97,0)),0)</f>
        <v>0</v>
      </c>
      <c r="W372" s="273">
        <f>IFERROR(INDEX('2. GRI Pricing Inputs'!$C$104:$AI$105,MATCH('3. GRI Pricing'!$W$16,'2. GRI Pricing Inputs'!$C$104:$C$105,0),MATCH('1. Accomodation'!Y376,'2. GRI Pricing Inputs'!$C$104:$AI$104,0)),0)</f>
        <v>0</v>
      </c>
      <c r="X372" s="274"/>
      <c r="Y372" s="275">
        <f t="shared" si="12"/>
        <v>0</v>
      </c>
      <c r="Z372" s="276"/>
      <c r="AA372" s="276"/>
      <c r="AB372" s="276"/>
      <c r="AC372" s="272">
        <f>Y372*(1+'2. GRI Pricing Inputs'!$D$114)^(($AC$16-$AB$15)/365)</f>
        <v>0</v>
      </c>
      <c r="AD372" s="273">
        <f>AC372*(1+'2. GRI Pricing Inputs'!$D$114)^((AD$16-AC$16)/365)</f>
        <v>0</v>
      </c>
      <c r="AE372" s="273">
        <f>AD372*(1+'2. GRI Pricing Inputs'!$D$114)^((AE$16-AD$16)/365)</f>
        <v>0</v>
      </c>
      <c r="AF372" s="273">
        <f>AE372*(1+'2. GRI Pricing Inputs'!$D$114)^((AF$16-AE$16)/365)</f>
        <v>0</v>
      </c>
      <c r="AG372" s="273">
        <f>AF372*(1+'2. GRI Pricing Inputs'!$D$114)^((AG$16-AF$16)/365)</f>
        <v>0</v>
      </c>
      <c r="AH372" s="273">
        <f>AG372*(1+'2. GRI Pricing Inputs'!$D$114)^((AH$16-AG$16)/365)</f>
        <v>0</v>
      </c>
      <c r="AI372" s="273">
        <f>AH372*(1+'2. GRI Pricing Inputs'!$D$114)^((AI$16-AH$16)/365)</f>
        <v>0</v>
      </c>
      <c r="AJ372" s="273">
        <f>AI372*(1+'2. GRI Pricing Inputs'!$D$114)^((AJ$16-AI$16)/365)</f>
        <v>0</v>
      </c>
      <c r="AK372" s="273">
        <f>AJ372*(1+'2. GRI Pricing Inputs'!$D$114)^((AK$16-AJ$16)/365)</f>
        <v>0</v>
      </c>
      <c r="AL372" s="273">
        <f>AK372*(1+'2. GRI Pricing Inputs'!$D$114)^((AL$16-AK$16)/365)</f>
        <v>0</v>
      </c>
      <c r="AM372" s="273">
        <f>AL372*(1+'2. GRI Pricing Inputs'!$D$114)^((AM$16-AL$16)/365)</f>
        <v>0</v>
      </c>
      <c r="AN372" s="273">
        <f>AM372*(1+'2. GRI Pricing Inputs'!$D$114)^((AN$16-AM$16)/365)</f>
        <v>0</v>
      </c>
      <c r="AO372" s="273">
        <f>AN372*(1+'2. GRI Pricing Inputs'!$D$114)^((AO$16-AN$16)/365)</f>
        <v>0</v>
      </c>
    </row>
    <row r="373" spans="3:41" ht="12" x14ac:dyDescent="0.2">
      <c r="C373" s="76">
        <f>'1. Accomodation'!N377</f>
        <v>0</v>
      </c>
      <c r="D373" s="69">
        <f>'1. Accomodation'!P377</f>
        <v>0</v>
      </c>
      <c r="E373" s="69">
        <f>'1. Accomodation'!Q377</f>
        <v>0</v>
      </c>
      <c r="F373" s="77">
        <f>'1. Accomodation'!O377</f>
        <v>0</v>
      </c>
      <c r="G373" s="69">
        <f>'1. Accomodation'!R377</f>
        <v>0</v>
      </c>
      <c r="H373" s="69">
        <f>'1. Accomodation'!S377</f>
        <v>0</v>
      </c>
      <c r="I373" s="62"/>
      <c r="K373" s="272">
        <f>IFERROR(INDEX('2. GRI Pricing Inputs'!$C$15:$AI$16,MATCH($K$16,'2. GRI Pricing Inputs'!$C$15:$C$16,0),MATCH(D373,'2. GRI Pricing Inputs'!$C$15:$AI$15,0)),0)</f>
        <v>0</v>
      </c>
      <c r="L373" s="273">
        <f>IFERROR(INDEX('2. GRI Pricing Inputs'!$C$22:$AI$23,MATCH($L$16,'2. GRI Pricing Inputs'!$C$22:$C$23,0),MATCH(E373,'2. GRI Pricing Inputs'!$C$22:$AI$22,0)),0)</f>
        <v>0</v>
      </c>
      <c r="M373" s="328">
        <f>IF(AND('3. GRI Pricing'!$F373&gt;='2. GRI Pricing Inputs'!$D$33,'3. GRI Pricing'!$F373&lt;='2. GRI Pricing Inputs'!$E$33),'2. GRI Pricing Inputs'!$D$32,IF(AND('3. GRI Pricing'!$F373&gt;='2. GRI Pricing Inputs'!$F$33,'3. GRI Pricing'!$F373&lt;='2. GRI Pricing Inputs'!$G$33),'2. GRI Pricing Inputs'!$F$32,IF(AND('3. GRI Pricing'!$F373&gt;='2. GRI Pricing Inputs'!$H$33,'3. GRI Pricing'!$F373&lt;='2. GRI Pricing Inputs'!$I$33),'2. GRI Pricing Inputs'!$H$32,IF(AND('3. GRI Pricing'!$F373&gt;='2. GRI Pricing Inputs'!$J$33,'3. GRI Pricing'!$F373&lt;='2. GRI Pricing Inputs'!$K$33),'2. GRI Pricing Inputs'!$J$32,IF(AND('3. GRI Pricing'!$F373&gt;='2. GRI Pricing Inputs'!$L$33,'3. GRI Pricing'!$F373&lt;='2. GRI Pricing Inputs'!$M$33),'2. GRI Pricing Inputs'!$L$32,IF(AND('3. GRI Pricing'!$F373&gt;='2. GRI Pricing Inputs'!$N$33,'3. GRI Pricing'!$F373&lt;='2. GRI Pricing Inputs'!$O$33),'2. GRI Pricing Inputs'!$N$32,IF(AND('3. GRI Pricing'!$F373&gt;='2. GRI Pricing Inputs'!$P$33,'3. GRI Pricing'!$F373&lt;='2. GRI Pricing Inputs'!$Q$33),'2. GRI Pricing Inputs'!$P$32,IF(AND('3. GRI Pricing'!$F373&gt;='2. GRI Pricing Inputs'!$R$33,'3. GRI Pricing'!$F373&lt;='2. GRI Pricing Inputs'!$S$33),'2. GRI Pricing Inputs'!$R$32,IF(AND('3. GRI Pricing'!$F373&gt;='2. GRI Pricing Inputs'!$T$33,'3. GRI Pricing'!$F373&lt;='2. GRI Pricing Inputs'!$U$33),'2. GRI Pricing Inputs'!$T$32,IF(AND('3. GRI Pricing'!$F373&gt;='2. GRI Pricing Inputs'!$V$33,'3. GRI Pricing'!$F373&lt;='2. GRI Pricing Inputs'!$W$33),'2. GRI Pricing Inputs'!$V$32,IF(AND('3. GRI Pricing'!$F373&gt;='2. GRI Pricing Inputs'!$X$33,'3. GRI Pricing'!$F373&lt;='2. GRI Pricing Inputs'!$Y$33),'2. GRI Pricing Inputs'!$X$32,IF(AND('3. GRI Pricing'!$F373&gt;='2. GRI Pricing Inputs'!$Z$33,'3. GRI Pricing'!$F373&lt;='2. GRI Pricing Inputs'!$AA$33),'2. GRI Pricing Inputs'!$Z$32,IF(AND('3. GRI Pricing'!$F373&gt;='2. GRI Pricing Inputs'!$AB$33,'3. GRI Pricing'!$F373&lt;='2. GRI Pricing Inputs'!$AC$33),'2. GRI Pricing Inputs'!$AB$32,IF(AND('3. GRI Pricing'!$F373&gt;='2. GRI Pricing Inputs'!$AD$33,'3. GRI Pricing'!$F373&lt;='2. GRI Pricing Inputs'!$AE$33),'2. GRI Pricing Inputs'!$AD$32,IF(AND('3. GRI Pricing'!$F373&gt;='2. GRI Pricing Inputs'!$AF$33,'3. GRI Pricing'!$F373&lt;='2. GRI Pricing Inputs'!$AG$33),'2. GRI Pricing Inputs'!$AF$32,IF(AND('3. GRI Pricing'!$F373&gt;='2. GRI Pricing Inputs'!$AH$33,'3. GRI Pricing'!$F373&lt;='2. GRI Pricing Inputs'!$AI$33),'2. GRI Pricing Inputs'!$AH$32,0))))))))))))))))</f>
        <v>0</v>
      </c>
      <c r="N373" s="273" cm="1">
        <f t="array" ref="N373">IFERROR(INDEX('2. GRI Pricing Inputs'!$C$32:$AI$39,MATCH('3. GRI Pricing'!D373,'2. GRI Pricing Inputs'!$C$32:$C$39,0),(MATCH('3. GRI Pricing'!M373,'2. GRI Pricing Inputs'!$D$32:$AI$32,0)+1)),0)</f>
        <v>0</v>
      </c>
      <c r="O373" s="273">
        <f>IFERROR(INDEX('2. GRI Pricing Inputs'!$C$45:$AI$46,MATCH($O$16,'2. GRI Pricing Inputs'!$C$45:$C$46,0),MATCH(G373,'2. GRI Pricing Inputs'!$C$45:$AI$45,0)),0)</f>
        <v>0</v>
      </c>
      <c r="P373" s="273">
        <f>IFERROR(INDEX('2. GRI Pricing Inputs'!$C$53:$AI$54,MATCH('3. GRI Pricing'!$P$16,'2. GRI Pricing Inputs'!$C$53:$C$54,0),MATCH('3. GRI Pricing'!H373,'2. GRI Pricing Inputs'!$C$53:$AI$53,0)),0)</f>
        <v>0</v>
      </c>
      <c r="Q373" s="273">
        <f>IFERROR(INDEX('2. GRI Pricing Inputs'!$C$60:$AI$61,MATCH('3. GRI Pricing'!$Q$16,'2. GRI Pricing Inputs'!$C$60:$C$61,0),MATCH('1. Accomodation'!T377,'2. GRI Pricing Inputs'!$C$60:$AI$60,0)),0)</f>
        <v>0</v>
      </c>
      <c r="R373" s="273">
        <f>IFERROR(INDEX('2. GRI Pricing Inputs'!$C$67:$AI$68,MATCH('3. GRI Pricing'!$R$16,'2. GRI Pricing Inputs'!$C$67:$C$68,0),MATCH('1. Accomodation'!U377,'2. GRI Pricing Inputs'!$C$67:$AI$67,0)),0)</f>
        <v>0</v>
      </c>
      <c r="S373" s="273">
        <f>IF(D373=0,0,'2. GRI Pricing Inputs'!$AI$75)</f>
        <v>0</v>
      </c>
      <c r="T373" s="273">
        <f>IFERROR(INDEX('2. GRI Pricing Inputs'!$C$82:$AI$83,MATCH('3. GRI Pricing'!$T$16,'2. GRI Pricing Inputs'!$C$82:$C$83,0),MATCH('1. Accomodation'!V377,'2. GRI Pricing Inputs'!$C$82:$AI$82,0)),0)</f>
        <v>0</v>
      </c>
      <c r="U373" s="273">
        <f>IFERROR(INDEX('2. GRI Pricing Inputs'!$C$89:$AI$90,MATCH('3. GRI Pricing'!$U$16,'2. GRI Pricing Inputs'!$C$89:$C$90,0),MATCH('1. Accomodation'!W377,'2. GRI Pricing Inputs'!$C$89:$AI$89,0)),0)</f>
        <v>0</v>
      </c>
      <c r="V373" s="273">
        <f>IFERROR(INDEX('2. GRI Pricing Inputs'!$C$97:$AI$98,MATCH('3. GRI Pricing'!$V$16,'2. GRI Pricing Inputs'!$C$97:$C$98,0),MATCH('1. Accomodation'!X377,'2. GRI Pricing Inputs'!$C$97:$AI$97,0)),0)</f>
        <v>0</v>
      </c>
      <c r="W373" s="273">
        <f>IFERROR(INDEX('2. GRI Pricing Inputs'!$C$104:$AI$105,MATCH('3. GRI Pricing'!$W$16,'2. GRI Pricing Inputs'!$C$104:$C$105,0),MATCH('1. Accomodation'!Y377,'2. GRI Pricing Inputs'!$C$104:$AI$104,0)),0)</f>
        <v>0</v>
      </c>
      <c r="X373" s="274"/>
      <c r="Y373" s="275">
        <f t="shared" si="12"/>
        <v>0</v>
      </c>
      <c r="Z373" s="276"/>
      <c r="AA373" s="276"/>
      <c r="AB373" s="276"/>
      <c r="AC373" s="272">
        <f>Y373*(1+'2. GRI Pricing Inputs'!$D$114)^(($AC$16-$AB$15)/365)</f>
        <v>0</v>
      </c>
      <c r="AD373" s="273">
        <f>AC373*(1+'2. GRI Pricing Inputs'!$D$114)^((AD$16-AC$16)/365)</f>
        <v>0</v>
      </c>
      <c r="AE373" s="273">
        <f>AD373*(1+'2. GRI Pricing Inputs'!$D$114)^((AE$16-AD$16)/365)</f>
        <v>0</v>
      </c>
      <c r="AF373" s="273">
        <f>AE373*(1+'2. GRI Pricing Inputs'!$D$114)^((AF$16-AE$16)/365)</f>
        <v>0</v>
      </c>
      <c r="AG373" s="273">
        <f>AF373*(1+'2. GRI Pricing Inputs'!$D$114)^((AG$16-AF$16)/365)</f>
        <v>0</v>
      </c>
      <c r="AH373" s="273">
        <f>AG373*(1+'2. GRI Pricing Inputs'!$D$114)^((AH$16-AG$16)/365)</f>
        <v>0</v>
      </c>
      <c r="AI373" s="273">
        <f>AH373*(1+'2. GRI Pricing Inputs'!$D$114)^((AI$16-AH$16)/365)</f>
        <v>0</v>
      </c>
      <c r="AJ373" s="273">
        <f>AI373*(1+'2. GRI Pricing Inputs'!$D$114)^((AJ$16-AI$16)/365)</f>
        <v>0</v>
      </c>
      <c r="AK373" s="273">
        <f>AJ373*(1+'2. GRI Pricing Inputs'!$D$114)^((AK$16-AJ$16)/365)</f>
        <v>0</v>
      </c>
      <c r="AL373" s="273">
        <f>AK373*(1+'2. GRI Pricing Inputs'!$D$114)^((AL$16-AK$16)/365)</f>
        <v>0</v>
      </c>
      <c r="AM373" s="273">
        <f>AL373*(1+'2. GRI Pricing Inputs'!$D$114)^((AM$16-AL$16)/365)</f>
        <v>0</v>
      </c>
      <c r="AN373" s="273">
        <f>AM373*(1+'2. GRI Pricing Inputs'!$D$114)^((AN$16-AM$16)/365)</f>
        <v>0</v>
      </c>
      <c r="AO373" s="273">
        <f>AN373*(1+'2. GRI Pricing Inputs'!$D$114)^((AO$16-AN$16)/365)</f>
        <v>0</v>
      </c>
    </row>
    <row r="374" spans="3:41" ht="12" x14ac:dyDescent="0.2">
      <c r="C374" s="76">
        <f>'1. Accomodation'!N378</f>
        <v>0</v>
      </c>
      <c r="D374" s="69">
        <f>'1. Accomodation'!P378</f>
        <v>0</v>
      </c>
      <c r="E374" s="69">
        <f>'1. Accomodation'!Q378</f>
        <v>0</v>
      </c>
      <c r="F374" s="77">
        <f>'1. Accomodation'!O378</f>
        <v>0</v>
      </c>
      <c r="G374" s="69">
        <f>'1. Accomodation'!R378</f>
        <v>0</v>
      </c>
      <c r="H374" s="69">
        <f>'1. Accomodation'!S378</f>
        <v>0</v>
      </c>
      <c r="I374" s="62"/>
      <c r="K374" s="272">
        <f>IFERROR(INDEX('2. GRI Pricing Inputs'!$C$15:$AI$16,MATCH($K$16,'2. GRI Pricing Inputs'!$C$15:$C$16,0),MATCH(D374,'2. GRI Pricing Inputs'!$C$15:$AI$15,0)),0)</f>
        <v>0</v>
      </c>
      <c r="L374" s="273">
        <f>IFERROR(INDEX('2. GRI Pricing Inputs'!$C$22:$AI$23,MATCH($L$16,'2. GRI Pricing Inputs'!$C$22:$C$23,0),MATCH(E374,'2. GRI Pricing Inputs'!$C$22:$AI$22,0)),0)</f>
        <v>0</v>
      </c>
      <c r="M374" s="328">
        <f>IF(AND('3. GRI Pricing'!$F374&gt;='2. GRI Pricing Inputs'!$D$33,'3. GRI Pricing'!$F374&lt;='2. GRI Pricing Inputs'!$E$33),'2. GRI Pricing Inputs'!$D$32,IF(AND('3. GRI Pricing'!$F374&gt;='2. GRI Pricing Inputs'!$F$33,'3. GRI Pricing'!$F374&lt;='2. GRI Pricing Inputs'!$G$33),'2. GRI Pricing Inputs'!$F$32,IF(AND('3. GRI Pricing'!$F374&gt;='2. GRI Pricing Inputs'!$H$33,'3. GRI Pricing'!$F374&lt;='2. GRI Pricing Inputs'!$I$33),'2. GRI Pricing Inputs'!$H$32,IF(AND('3. GRI Pricing'!$F374&gt;='2. GRI Pricing Inputs'!$J$33,'3. GRI Pricing'!$F374&lt;='2. GRI Pricing Inputs'!$K$33),'2. GRI Pricing Inputs'!$J$32,IF(AND('3. GRI Pricing'!$F374&gt;='2. GRI Pricing Inputs'!$L$33,'3. GRI Pricing'!$F374&lt;='2. GRI Pricing Inputs'!$M$33),'2. GRI Pricing Inputs'!$L$32,IF(AND('3. GRI Pricing'!$F374&gt;='2. GRI Pricing Inputs'!$N$33,'3. GRI Pricing'!$F374&lt;='2. GRI Pricing Inputs'!$O$33),'2. GRI Pricing Inputs'!$N$32,IF(AND('3. GRI Pricing'!$F374&gt;='2. GRI Pricing Inputs'!$P$33,'3. GRI Pricing'!$F374&lt;='2. GRI Pricing Inputs'!$Q$33),'2. GRI Pricing Inputs'!$P$32,IF(AND('3. GRI Pricing'!$F374&gt;='2. GRI Pricing Inputs'!$R$33,'3. GRI Pricing'!$F374&lt;='2. GRI Pricing Inputs'!$S$33),'2. GRI Pricing Inputs'!$R$32,IF(AND('3. GRI Pricing'!$F374&gt;='2. GRI Pricing Inputs'!$T$33,'3. GRI Pricing'!$F374&lt;='2. GRI Pricing Inputs'!$U$33),'2. GRI Pricing Inputs'!$T$32,IF(AND('3. GRI Pricing'!$F374&gt;='2. GRI Pricing Inputs'!$V$33,'3. GRI Pricing'!$F374&lt;='2. GRI Pricing Inputs'!$W$33),'2. GRI Pricing Inputs'!$V$32,IF(AND('3. GRI Pricing'!$F374&gt;='2. GRI Pricing Inputs'!$X$33,'3. GRI Pricing'!$F374&lt;='2. GRI Pricing Inputs'!$Y$33),'2. GRI Pricing Inputs'!$X$32,IF(AND('3. GRI Pricing'!$F374&gt;='2. GRI Pricing Inputs'!$Z$33,'3. GRI Pricing'!$F374&lt;='2. GRI Pricing Inputs'!$AA$33),'2. GRI Pricing Inputs'!$Z$32,IF(AND('3. GRI Pricing'!$F374&gt;='2. GRI Pricing Inputs'!$AB$33,'3. GRI Pricing'!$F374&lt;='2. GRI Pricing Inputs'!$AC$33),'2. GRI Pricing Inputs'!$AB$32,IF(AND('3. GRI Pricing'!$F374&gt;='2. GRI Pricing Inputs'!$AD$33,'3. GRI Pricing'!$F374&lt;='2. GRI Pricing Inputs'!$AE$33),'2. GRI Pricing Inputs'!$AD$32,IF(AND('3. GRI Pricing'!$F374&gt;='2. GRI Pricing Inputs'!$AF$33,'3. GRI Pricing'!$F374&lt;='2. GRI Pricing Inputs'!$AG$33),'2. GRI Pricing Inputs'!$AF$32,IF(AND('3. GRI Pricing'!$F374&gt;='2. GRI Pricing Inputs'!$AH$33,'3. GRI Pricing'!$F374&lt;='2. GRI Pricing Inputs'!$AI$33),'2. GRI Pricing Inputs'!$AH$32,0))))))))))))))))</f>
        <v>0</v>
      </c>
      <c r="N374" s="273" cm="1">
        <f t="array" ref="N374">IFERROR(INDEX('2. GRI Pricing Inputs'!$C$32:$AI$39,MATCH('3. GRI Pricing'!D374,'2. GRI Pricing Inputs'!$C$32:$C$39,0),(MATCH('3. GRI Pricing'!M374,'2. GRI Pricing Inputs'!$D$32:$AI$32,0)+1)),0)</f>
        <v>0</v>
      </c>
      <c r="O374" s="273">
        <f>IFERROR(INDEX('2. GRI Pricing Inputs'!$C$45:$AI$46,MATCH($O$16,'2. GRI Pricing Inputs'!$C$45:$C$46,0),MATCH(G374,'2. GRI Pricing Inputs'!$C$45:$AI$45,0)),0)</f>
        <v>0</v>
      </c>
      <c r="P374" s="273">
        <f>IFERROR(INDEX('2. GRI Pricing Inputs'!$C$53:$AI$54,MATCH('3. GRI Pricing'!$P$16,'2. GRI Pricing Inputs'!$C$53:$C$54,0),MATCH('3. GRI Pricing'!H374,'2. GRI Pricing Inputs'!$C$53:$AI$53,0)),0)</f>
        <v>0</v>
      </c>
      <c r="Q374" s="273">
        <f>IFERROR(INDEX('2. GRI Pricing Inputs'!$C$60:$AI$61,MATCH('3. GRI Pricing'!$Q$16,'2. GRI Pricing Inputs'!$C$60:$C$61,0),MATCH('1. Accomodation'!T378,'2. GRI Pricing Inputs'!$C$60:$AI$60,0)),0)</f>
        <v>0</v>
      </c>
      <c r="R374" s="273">
        <f>IFERROR(INDEX('2. GRI Pricing Inputs'!$C$67:$AI$68,MATCH('3. GRI Pricing'!$R$16,'2. GRI Pricing Inputs'!$C$67:$C$68,0),MATCH('1. Accomodation'!U378,'2. GRI Pricing Inputs'!$C$67:$AI$67,0)),0)</f>
        <v>0</v>
      </c>
      <c r="S374" s="273">
        <f>IF(D374=0,0,'2. GRI Pricing Inputs'!$AI$75)</f>
        <v>0</v>
      </c>
      <c r="T374" s="273">
        <f>IFERROR(INDEX('2. GRI Pricing Inputs'!$C$82:$AI$83,MATCH('3. GRI Pricing'!$T$16,'2. GRI Pricing Inputs'!$C$82:$C$83,0),MATCH('1. Accomodation'!V378,'2. GRI Pricing Inputs'!$C$82:$AI$82,0)),0)</f>
        <v>0</v>
      </c>
      <c r="U374" s="273">
        <f>IFERROR(INDEX('2. GRI Pricing Inputs'!$C$89:$AI$90,MATCH('3. GRI Pricing'!$U$16,'2. GRI Pricing Inputs'!$C$89:$C$90,0),MATCH('1. Accomodation'!W378,'2. GRI Pricing Inputs'!$C$89:$AI$89,0)),0)</f>
        <v>0</v>
      </c>
      <c r="V374" s="273">
        <f>IFERROR(INDEX('2. GRI Pricing Inputs'!$C$97:$AI$98,MATCH('3. GRI Pricing'!$V$16,'2. GRI Pricing Inputs'!$C$97:$C$98,0),MATCH('1. Accomodation'!X378,'2. GRI Pricing Inputs'!$C$97:$AI$97,0)),0)</f>
        <v>0</v>
      </c>
      <c r="W374" s="273">
        <f>IFERROR(INDEX('2. GRI Pricing Inputs'!$C$104:$AI$105,MATCH('3. GRI Pricing'!$W$16,'2. GRI Pricing Inputs'!$C$104:$C$105,0),MATCH('1. Accomodation'!Y378,'2. GRI Pricing Inputs'!$C$104:$AI$104,0)),0)</f>
        <v>0</v>
      </c>
      <c r="X374" s="274"/>
      <c r="Y374" s="275">
        <f t="shared" si="12"/>
        <v>0</v>
      </c>
      <c r="Z374" s="276"/>
      <c r="AA374" s="276"/>
      <c r="AB374" s="276"/>
      <c r="AC374" s="272">
        <f>Y374*(1+'2. GRI Pricing Inputs'!$D$114)^(($AC$16-$AB$15)/365)</f>
        <v>0</v>
      </c>
      <c r="AD374" s="273">
        <f>AC374*(1+'2. GRI Pricing Inputs'!$D$114)^((AD$16-AC$16)/365)</f>
        <v>0</v>
      </c>
      <c r="AE374" s="273">
        <f>AD374*(1+'2. GRI Pricing Inputs'!$D$114)^((AE$16-AD$16)/365)</f>
        <v>0</v>
      </c>
      <c r="AF374" s="273">
        <f>AE374*(1+'2. GRI Pricing Inputs'!$D$114)^((AF$16-AE$16)/365)</f>
        <v>0</v>
      </c>
      <c r="AG374" s="273">
        <f>AF374*(1+'2. GRI Pricing Inputs'!$D$114)^((AG$16-AF$16)/365)</f>
        <v>0</v>
      </c>
      <c r="AH374" s="273">
        <f>AG374*(1+'2. GRI Pricing Inputs'!$D$114)^((AH$16-AG$16)/365)</f>
        <v>0</v>
      </c>
      <c r="AI374" s="273">
        <f>AH374*(1+'2. GRI Pricing Inputs'!$D$114)^((AI$16-AH$16)/365)</f>
        <v>0</v>
      </c>
      <c r="AJ374" s="273">
        <f>AI374*(1+'2. GRI Pricing Inputs'!$D$114)^((AJ$16-AI$16)/365)</f>
        <v>0</v>
      </c>
      <c r="AK374" s="273">
        <f>AJ374*(1+'2. GRI Pricing Inputs'!$D$114)^((AK$16-AJ$16)/365)</f>
        <v>0</v>
      </c>
      <c r="AL374" s="273">
        <f>AK374*(1+'2. GRI Pricing Inputs'!$D$114)^((AL$16-AK$16)/365)</f>
        <v>0</v>
      </c>
      <c r="AM374" s="273">
        <f>AL374*(1+'2. GRI Pricing Inputs'!$D$114)^((AM$16-AL$16)/365)</f>
        <v>0</v>
      </c>
      <c r="AN374" s="273">
        <f>AM374*(1+'2. GRI Pricing Inputs'!$D$114)^((AN$16-AM$16)/365)</f>
        <v>0</v>
      </c>
      <c r="AO374" s="273">
        <f>AN374*(1+'2. GRI Pricing Inputs'!$D$114)^((AO$16-AN$16)/365)</f>
        <v>0</v>
      </c>
    </row>
    <row r="375" spans="3:41" ht="12" x14ac:dyDescent="0.2">
      <c r="C375" s="76">
        <f>'1. Accomodation'!N379</f>
        <v>0</v>
      </c>
      <c r="D375" s="69">
        <f>'1. Accomodation'!P379</f>
        <v>0</v>
      </c>
      <c r="E375" s="69">
        <f>'1. Accomodation'!Q379</f>
        <v>0</v>
      </c>
      <c r="F375" s="77">
        <f>'1. Accomodation'!O379</f>
        <v>0</v>
      </c>
      <c r="G375" s="69">
        <f>'1. Accomodation'!R379</f>
        <v>0</v>
      </c>
      <c r="H375" s="69">
        <f>'1. Accomodation'!S379</f>
        <v>0</v>
      </c>
      <c r="I375" s="62"/>
      <c r="K375" s="272">
        <f>IFERROR(INDEX('2. GRI Pricing Inputs'!$C$15:$AI$16,MATCH($K$16,'2. GRI Pricing Inputs'!$C$15:$C$16,0),MATCH(D375,'2. GRI Pricing Inputs'!$C$15:$AI$15,0)),0)</f>
        <v>0</v>
      </c>
      <c r="L375" s="273">
        <f>IFERROR(INDEX('2. GRI Pricing Inputs'!$C$22:$AI$23,MATCH($L$16,'2. GRI Pricing Inputs'!$C$22:$C$23,0),MATCH(E375,'2. GRI Pricing Inputs'!$C$22:$AI$22,0)),0)</f>
        <v>0</v>
      </c>
      <c r="M375" s="328">
        <f>IF(AND('3. GRI Pricing'!$F375&gt;='2. GRI Pricing Inputs'!$D$33,'3. GRI Pricing'!$F375&lt;='2. GRI Pricing Inputs'!$E$33),'2. GRI Pricing Inputs'!$D$32,IF(AND('3. GRI Pricing'!$F375&gt;='2. GRI Pricing Inputs'!$F$33,'3. GRI Pricing'!$F375&lt;='2. GRI Pricing Inputs'!$G$33),'2. GRI Pricing Inputs'!$F$32,IF(AND('3. GRI Pricing'!$F375&gt;='2. GRI Pricing Inputs'!$H$33,'3. GRI Pricing'!$F375&lt;='2. GRI Pricing Inputs'!$I$33),'2. GRI Pricing Inputs'!$H$32,IF(AND('3. GRI Pricing'!$F375&gt;='2. GRI Pricing Inputs'!$J$33,'3. GRI Pricing'!$F375&lt;='2. GRI Pricing Inputs'!$K$33),'2. GRI Pricing Inputs'!$J$32,IF(AND('3. GRI Pricing'!$F375&gt;='2. GRI Pricing Inputs'!$L$33,'3. GRI Pricing'!$F375&lt;='2. GRI Pricing Inputs'!$M$33),'2. GRI Pricing Inputs'!$L$32,IF(AND('3. GRI Pricing'!$F375&gt;='2. GRI Pricing Inputs'!$N$33,'3. GRI Pricing'!$F375&lt;='2. GRI Pricing Inputs'!$O$33),'2. GRI Pricing Inputs'!$N$32,IF(AND('3. GRI Pricing'!$F375&gt;='2. GRI Pricing Inputs'!$P$33,'3. GRI Pricing'!$F375&lt;='2. GRI Pricing Inputs'!$Q$33),'2. GRI Pricing Inputs'!$P$32,IF(AND('3. GRI Pricing'!$F375&gt;='2. GRI Pricing Inputs'!$R$33,'3. GRI Pricing'!$F375&lt;='2. GRI Pricing Inputs'!$S$33),'2. GRI Pricing Inputs'!$R$32,IF(AND('3. GRI Pricing'!$F375&gt;='2. GRI Pricing Inputs'!$T$33,'3. GRI Pricing'!$F375&lt;='2. GRI Pricing Inputs'!$U$33),'2. GRI Pricing Inputs'!$T$32,IF(AND('3. GRI Pricing'!$F375&gt;='2. GRI Pricing Inputs'!$V$33,'3. GRI Pricing'!$F375&lt;='2. GRI Pricing Inputs'!$W$33),'2. GRI Pricing Inputs'!$V$32,IF(AND('3. GRI Pricing'!$F375&gt;='2. GRI Pricing Inputs'!$X$33,'3. GRI Pricing'!$F375&lt;='2. GRI Pricing Inputs'!$Y$33),'2. GRI Pricing Inputs'!$X$32,IF(AND('3. GRI Pricing'!$F375&gt;='2. GRI Pricing Inputs'!$Z$33,'3. GRI Pricing'!$F375&lt;='2. GRI Pricing Inputs'!$AA$33),'2. GRI Pricing Inputs'!$Z$32,IF(AND('3. GRI Pricing'!$F375&gt;='2. GRI Pricing Inputs'!$AB$33,'3. GRI Pricing'!$F375&lt;='2. GRI Pricing Inputs'!$AC$33),'2. GRI Pricing Inputs'!$AB$32,IF(AND('3. GRI Pricing'!$F375&gt;='2. GRI Pricing Inputs'!$AD$33,'3. GRI Pricing'!$F375&lt;='2. GRI Pricing Inputs'!$AE$33),'2. GRI Pricing Inputs'!$AD$32,IF(AND('3. GRI Pricing'!$F375&gt;='2. GRI Pricing Inputs'!$AF$33,'3. GRI Pricing'!$F375&lt;='2. GRI Pricing Inputs'!$AG$33),'2. GRI Pricing Inputs'!$AF$32,IF(AND('3. GRI Pricing'!$F375&gt;='2. GRI Pricing Inputs'!$AH$33,'3. GRI Pricing'!$F375&lt;='2. GRI Pricing Inputs'!$AI$33),'2. GRI Pricing Inputs'!$AH$32,0))))))))))))))))</f>
        <v>0</v>
      </c>
      <c r="N375" s="273" cm="1">
        <f t="array" ref="N375">IFERROR(INDEX('2. GRI Pricing Inputs'!$C$32:$AI$39,MATCH('3. GRI Pricing'!D375,'2. GRI Pricing Inputs'!$C$32:$C$39,0),(MATCH('3. GRI Pricing'!M375,'2. GRI Pricing Inputs'!$D$32:$AI$32,0)+1)),0)</f>
        <v>0</v>
      </c>
      <c r="O375" s="273">
        <f>IFERROR(INDEX('2. GRI Pricing Inputs'!$C$45:$AI$46,MATCH($O$16,'2. GRI Pricing Inputs'!$C$45:$C$46,0),MATCH(G375,'2. GRI Pricing Inputs'!$C$45:$AI$45,0)),0)</f>
        <v>0</v>
      </c>
      <c r="P375" s="273">
        <f>IFERROR(INDEX('2. GRI Pricing Inputs'!$C$53:$AI$54,MATCH('3. GRI Pricing'!$P$16,'2. GRI Pricing Inputs'!$C$53:$C$54,0),MATCH('3. GRI Pricing'!H375,'2. GRI Pricing Inputs'!$C$53:$AI$53,0)),0)</f>
        <v>0</v>
      </c>
      <c r="Q375" s="273">
        <f>IFERROR(INDEX('2. GRI Pricing Inputs'!$C$60:$AI$61,MATCH('3. GRI Pricing'!$Q$16,'2. GRI Pricing Inputs'!$C$60:$C$61,0),MATCH('1. Accomodation'!T379,'2. GRI Pricing Inputs'!$C$60:$AI$60,0)),0)</f>
        <v>0</v>
      </c>
      <c r="R375" s="273">
        <f>IFERROR(INDEX('2. GRI Pricing Inputs'!$C$67:$AI$68,MATCH('3. GRI Pricing'!$R$16,'2. GRI Pricing Inputs'!$C$67:$C$68,0),MATCH('1. Accomodation'!U379,'2. GRI Pricing Inputs'!$C$67:$AI$67,0)),0)</f>
        <v>0</v>
      </c>
      <c r="S375" s="273">
        <f>IF(D375=0,0,'2. GRI Pricing Inputs'!$AI$75)</f>
        <v>0</v>
      </c>
      <c r="T375" s="273">
        <f>IFERROR(INDEX('2. GRI Pricing Inputs'!$C$82:$AI$83,MATCH('3. GRI Pricing'!$T$16,'2. GRI Pricing Inputs'!$C$82:$C$83,0),MATCH('1. Accomodation'!V379,'2. GRI Pricing Inputs'!$C$82:$AI$82,0)),0)</f>
        <v>0</v>
      </c>
      <c r="U375" s="273">
        <f>IFERROR(INDEX('2. GRI Pricing Inputs'!$C$89:$AI$90,MATCH('3. GRI Pricing'!$U$16,'2. GRI Pricing Inputs'!$C$89:$C$90,0),MATCH('1. Accomodation'!W379,'2. GRI Pricing Inputs'!$C$89:$AI$89,0)),0)</f>
        <v>0</v>
      </c>
      <c r="V375" s="273">
        <f>IFERROR(INDEX('2. GRI Pricing Inputs'!$C$97:$AI$98,MATCH('3. GRI Pricing'!$V$16,'2. GRI Pricing Inputs'!$C$97:$C$98,0),MATCH('1. Accomodation'!X379,'2. GRI Pricing Inputs'!$C$97:$AI$97,0)),0)</f>
        <v>0</v>
      </c>
      <c r="W375" s="273">
        <f>IFERROR(INDEX('2. GRI Pricing Inputs'!$C$104:$AI$105,MATCH('3. GRI Pricing'!$W$16,'2. GRI Pricing Inputs'!$C$104:$C$105,0),MATCH('1. Accomodation'!Y379,'2. GRI Pricing Inputs'!$C$104:$AI$104,0)),0)</f>
        <v>0</v>
      </c>
      <c r="X375" s="274"/>
      <c r="Y375" s="275">
        <f t="shared" si="12"/>
        <v>0</v>
      </c>
      <c r="Z375" s="276"/>
      <c r="AA375" s="276"/>
      <c r="AB375" s="276"/>
      <c r="AC375" s="272">
        <f>Y375*(1+'2. GRI Pricing Inputs'!$D$114)^(($AC$16-$AB$15)/365)</f>
        <v>0</v>
      </c>
      <c r="AD375" s="273">
        <f>AC375*(1+'2. GRI Pricing Inputs'!$D$114)^((AD$16-AC$16)/365)</f>
        <v>0</v>
      </c>
      <c r="AE375" s="273">
        <f>AD375*(1+'2. GRI Pricing Inputs'!$D$114)^((AE$16-AD$16)/365)</f>
        <v>0</v>
      </c>
      <c r="AF375" s="273">
        <f>AE375*(1+'2. GRI Pricing Inputs'!$D$114)^((AF$16-AE$16)/365)</f>
        <v>0</v>
      </c>
      <c r="AG375" s="273">
        <f>AF375*(1+'2. GRI Pricing Inputs'!$D$114)^((AG$16-AF$16)/365)</f>
        <v>0</v>
      </c>
      <c r="AH375" s="273">
        <f>AG375*(1+'2. GRI Pricing Inputs'!$D$114)^((AH$16-AG$16)/365)</f>
        <v>0</v>
      </c>
      <c r="AI375" s="273">
        <f>AH375*(1+'2. GRI Pricing Inputs'!$D$114)^((AI$16-AH$16)/365)</f>
        <v>0</v>
      </c>
      <c r="AJ375" s="273">
        <f>AI375*(1+'2. GRI Pricing Inputs'!$D$114)^((AJ$16-AI$16)/365)</f>
        <v>0</v>
      </c>
      <c r="AK375" s="273">
        <f>AJ375*(1+'2. GRI Pricing Inputs'!$D$114)^((AK$16-AJ$16)/365)</f>
        <v>0</v>
      </c>
      <c r="AL375" s="273">
        <f>AK375*(1+'2. GRI Pricing Inputs'!$D$114)^((AL$16-AK$16)/365)</f>
        <v>0</v>
      </c>
      <c r="AM375" s="273">
        <f>AL375*(1+'2. GRI Pricing Inputs'!$D$114)^((AM$16-AL$16)/365)</f>
        <v>0</v>
      </c>
      <c r="AN375" s="273">
        <f>AM375*(1+'2. GRI Pricing Inputs'!$D$114)^((AN$16-AM$16)/365)</f>
        <v>0</v>
      </c>
      <c r="AO375" s="273">
        <f>AN375*(1+'2. GRI Pricing Inputs'!$D$114)^((AO$16-AN$16)/365)</f>
        <v>0</v>
      </c>
    </row>
    <row r="376" spans="3:41" ht="12" x14ac:dyDescent="0.2">
      <c r="C376" s="76">
        <f>'1. Accomodation'!N380</f>
        <v>0</v>
      </c>
      <c r="D376" s="69">
        <f>'1. Accomodation'!P380</f>
        <v>0</v>
      </c>
      <c r="E376" s="69">
        <f>'1. Accomodation'!Q380</f>
        <v>0</v>
      </c>
      <c r="F376" s="77">
        <f>'1. Accomodation'!O380</f>
        <v>0</v>
      </c>
      <c r="G376" s="69">
        <f>'1. Accomodation'!R380</f>
        <v>0</v>
      </c>
      <c r="H376" s="69">
        <f>'1. Accomodation'!S380</f>
        <v>0</v>
      </c>
      <c r="I376" s="62"/>
      <c r="K376" s="272">
        <f>IFERROR(INDEX('2. GRI Pricing Inputs'!$C$15:$AI$16,MATCH($K$16,'2. GRI Pricing Inputs'!$C$15:$C$16,0),MATCH(D376,'2. GRI Pricing Inputs'!$C$15:$AI$15,0)),0)</f>
        <v>0</v>
      </c>
      <c r="L376" s="273">
        <f>IFERROR(INDEX('2. GRI Pricing Inputs'!$C$22:$AI$23,MATCH($L$16,'2. GRI Pricing Inputs'!$C$22:$C$23,0),MATCH(E376,'2. GRI Pricing Inputs'!$C$22:$AI$22,0)),0)</f>
        <v>0</v>
      </c>
      <c r="M376" s="328">
        <f>IF(AND('3. GRI Pricing'!$F376&gt;='2. GRI Pricing Inputs'!$D$33,'3. GRI Pricing'!$F376&lt;='2. GRI Pricing Inputs'!$E$33),'2. GRI Pricing Inputs'!$D$32,IF(AND('3. GRI Pricing'!$F376&gt;='2. GRI Pricing Inputs'!$F$33,'3. GRI Pricing'!$F376&lt;='2. GRI Pricing Inputs'!$G$33),'2. GRI Pricing Inputs'!$F$32,IF(AND('3. GRI Pricing'!$F376&gt;='2. GRI Pricing Inputs'!$H$33,'3. GRI Pricing'!$F376&lt;='2. GRI Pricing Inputs'!$I$33),'2. GRI Pricing Inputs'!$H$32,IF(AND('3. GRI Pricing'!$F376&gt;='2. GRI Pricing Inputs'!$J$33,'3. GRI Pricing'!$F376&lt;='2. GRI Pricing Inputs'!$K$33),'2. GRI Pricing Inputs'!$J$32,IF(AND('3. GRI Pricing'!$F376&gt;='2. GRI Pricing Inputs'!$L$33,'3. GRI Pricing'!$F376&lt;='2. GRI Pricing Inputs'!$M$33),'2. GRI Pricing Inputs'!$L$32,IF(AND('3. GRI Pricing'!$F376&gt;='2. GRI Pricing Inputs'!$N$33,'3. GRI Pricing'!$F376&lt;='2. GRI Pricing Inputs'!$O$33),'2. GRI Pricing Inputs'!$N$32,IF(AND('3. GRI Pricing'!$F376&gt;='2. GRI Pricing Inputs'!$P$33,'3. GRI Pricing'!$F376&lt;='2. GRI Pricing Inputs'!$Q$33),'2. GRI Pricing Inputs'!$P$32,IF(AND('3. GRI Pricing'!$F376&gt;='2. GRI Pricing Inputs'!$R$33,'3. GRI Pricing'!$F376&lt;='2. GRI Pricing Inputs'!$S$33),'2. GRI Pricing Inputs'!$R$32,IF(AND('3. GRI Pricing'!$F376&gt;='2. GRI Pricing Inputs'!$T$33,'3. GRI Pricing'!$F376&lt;='2. GRI Pricing Inputs'!$U$33),'2. GRI Pricing Inputs'!$T$32,IF(AND('3. GRI Pricing'!$F376&gt;='2. GRI Pricing Inputs'!$V$33,'3. GRI Pricing'!$F376&lt;='2. GRI Pricing Inputs'!$W$33),'2. GRI Pricing Inputs'!$V$32,IF(AND('3. GRI Pricing'!$F376&gt;='2. GRI Pricing Inputs'!$X$33,'3. GRI Pricing'!$F376&lt;='2. GRI Pricing Inputs'!$Y$33),'2. GRI Pricing Inputs'!$X$32,IF(AND('3. GRI Pricing'!$F376&gt;='2. GRI Pricing Inputs'!$Z$33,'3. GRI Pricing'!$F376&lt;='2. GRI Pricing Inputs'!$AA$33),'2. GRI Pricing Inputs'!$Z$32,IF(AND('3. GRI Pricing'!$F376&gt;='2. GRI Pricing Inputs'!$AB$33,'3. GRI Pricing'!$F376&lt;='2. GRI Pricing Inputs'!$AC$33),'2. GRI Pricing Inputs'!$AB$32,IF(AND('3. GRI Pricing'!$F376&gt;='2. GRI Pricing Inputs'!$AD$33,'3. GRI Pricing'!$F376&lt;='2. GRI Pricing Inputs'!$AE$33),'2. GRI Pricing Inputs'!$AD$32,IF(AND('3. GRI Pricing'!$F376&gt;='2. GRI Pricing Inputs'!$AF$33,'3. GRI Pricing'!$F376&lt;='2. GRI Pricing Inputs'!$AG$33),'2. GRI Pricing Inputs'!$AF$32,IF(AND('3. GRI Pricing'!$F376&gt;='2. GRI Pricing Inputs'!$AH$33,'3. GRI Pricing'!$F376&lt;='2. GRI Pricing Inputs'!$AI$33),'2. GRI Pricing Inputs'!$AH$32,0))))))))))))))))</f>
        <v>0</v>
      </c>
      <c r="N376" s="273" cm="1">
        <f t="array" ref="N376">IFERROR(INDEX('2. GRI Pricing Inputs'!$C$32:$AI$39,MATCH('3. GRI Pricing'!D376,'2. GRI Pricing Inputs'!$C$32:$C$39,0),(MATCH('3. GRI Pricing'!M376,'2. GRI Pricing Inputs'!$D$32:$AI$32,0)+1)),0)</f>
        <v>0</v>
      </c>
      <c r="O376" s="273">
        <f>IFERROR(INDEX('2. GRI Pricing Inputs'!$C$45:$AI$46,MATCH($O$16,'2. GRI Pricing Inputs'!$C$45:$C$46,0),MATCH(G376,'2. GRI Pricing Inputs'!$C$45:$AI$45,0)),0)</f>
        <v>0</v>
      </c>
      <c r="P376" s="273">
        <f>IFERROR(INDEX('2. GRI Pricing Inputs'!$C$53:$AI$54,MATCH('3. GRI Pricing'!$P$16,'2. GRI Pricing Inputs'!$C$53:$C$54,0),MATCH('3. GRI Pricing'!H376,'2. GRI Pricing Inputs'!$C$53:$AI$53,0)),0)</f>
        <v>0</v>
      </c>
      <c r="Q376" s="273">
        <f>IFERROR(INDEX('2. GRI Pricing Inputs'!$C$60:$AI$61,MATCH('3. GRI Pricing'!$Q$16,'2. GRI Pricing Inputs'!$C$60:$C$61,0),MATCH('1. Accomodation'!T380,'2. GRI Pricing Inputs'!$C$60:$AI$60,0)),0)</f>
        <v>0</v>
      </c>
      <c r="R376" s="273">
        <f>IFERROR(INDEX('2. GRI Pricing Inputs'!$C$67:$AI$68,MATCH('3. GRI Pricing'!$R$16,'2. GRI Pricing Inputs'!$C$67:$C$68,0),MATCH('1. Accomodation'!U380,'2. GRI Pricing Inputs'!$C$67:$AI$67,0)),0)</f>
        <v>0</v>
      </c>
      <c r="S376" s="273">
        <f>IF(D376=0,0,'2. GRI Pricing Inputs'!$AI$75)</f>
        <v>0</v>
      </c>
      <c r="T376" s="273">
        <f>IFERROR(INDEX('2. GRI Pricing Inputs'!$C$82:$AI$83,MATCH('3. GRI Pricing'!$T$16,'2. GRI Pricing Inputs'!$C$82:$C$83,0),MATCH('1. Accomodation'!V380,'2. GRI Pricing Inputs'!$C$82:$AI$82,0)),0)</f>
        <v>0</v>
      </c>
      <c r="U376" s="273">
        <f>IFERROR(INDEX('2. GRI Pricing Inputs'!$C$89:$AI$90,MATCH('3. GRI Pricing'!$U$16,'2. GRI Pricing Inputs'!$C$89:$C$90,0),MATCH('1. Accomodation'!W380,'2. GRI Pricing Inputs'!$C$89:$AI$89,0)),0)</f>
        <v>0</v>
      </c>
      <c r="V376" s="273">
        <f>IFERROR(INDEX('2. GRI Pricing Inputs'!$C$97:$AI$98,MATCH('3. GRI Pricing'!$V$16,'2. GRI Pricing Inputs'!$C$97:$C$98,0),MATCH('1. Accomodation'!X380,'2. GRI Pricing Inputs'!$C$97:$AI$97,0)),0)</f>
        <v>0</v>
      </c>
      <c r="W376" s="273">
        <f>IFERROR(INDEX('2. GRI Pricing Inputs'!$C$104:$AI$105,MATCH('3. GRI Pricing'!$W$16,'2. GRI Pricing Inputs'!$C$104:$C$105,0),MATCH('1. Accomodation'!Y380,'2. GRI Pricing Inputs'!$C$104:$AI$104,0)),0)</f>
        <v>0</v>
      </c>
      <c r="X376" s="274"/>
      <c r="Y376" s="275">
        <f t="shared" si="12"/>
        <v>0</v>
      </c>
      <c r="Z376" s="276"/>
      <c r="AA376" s="276"/>
      <c r="AB376" s="276"/>
      <c r="AC376" s="272">
        <f>Y376*(1+'2. GRI Pricing Inputs'!$D$114)^(($AC$16-$AB$15)/365)</f>
        <v>0</v>
      </c>
      <c r="AD376" s="273">
        <f>AC376*(1+'2. GRI Pricing Inputs'!$D$114)^((AD$16-AC$16)/365)</f>
        <v>0</v>
      </c>
      <c r="AE376" s="273">
        <f>AD376*(1+'2. GRI Pricing Inputs'!$D$114)^((AE$16-AD$16)/365)</f>
        <v>0</v>
      </c>
      <c r="AF376" s="273">
        <f>AE376*(1+'2. GRI Pricing Inputs'!$D$114)^((AF$16-AE$16)/365)</f>
        <v>0</v>
      </c>
      <c r="AG376" s="273">
        <f>AF376*(1+'2. GRI Pricing Inputs'!$D$114)^((AG$16-AF$16)/365)</f>
        <v>0</v>
      </c>
      <c r="AH376" s="273">
        <f>AG376*(1+'2. GRI Pricing Inputs'!$D$114)^((AH$16-AG$16)/365)</f>
        <v>0</v>
      </c>
      <c r="AI376" s="273">
        <f>AH376*(1+'2. GRI Pricing Inputs'!$D$114)^((AI$16-AH$16)/365)</f>
        <v>0</v>
      </c>
      <c r="AJ376" s="273">
        <f>AI376*(1+'2. GRI Pricing Inputs'!$D$114)^((AJ$16-AI$16)/365)</f>
        <v>0</v>
      </c>
      <c r="AK376" s="273">
        <f>AJ376*(1+'2. GRI Pricing Inputs'!$D$114)^((AK$16-AJ$16)/365)</f>
        <v>0</v>
      </c>
      <c r="AL376" s="273">
        <f>AK376*(1+'2. GRI Pricing Inputs'!$D$114)^((AL$16-AK$16)/365)</f>
        <v>0</v>
      </c>
      <c r="AM376" s="273">
        <f>AL376*(1+'2. GRI Pricing Inputs'!$D$114)^((AM$16-AL$16)/365)</f>
        <v>0</v>
      </c>
      <c r="AN376" s="273">
        <f>AM376*(1+'2. GRI Pricing Inputs'!$D$114)^((AN$16-AM$16)/365)</f>
        <v>0</v>
      </c>
      <c r="AO376" s="273">
        <f>AN376*(1+'2. GRI Pricing Inputs'!$D$114)^((AO$16-AN$16)/365)</f>
        <v>0</v>
      </c>
    </row>
    <row r="377" spans="3:41" ht="12" x14ac:dyDescent="0.2">
      <c r="C377" s="76">
        <f>'1. Accomodation'!N381</f>
        <v>0</v>
      </c>
      <c r="D377" s="69">
        <f>'1. Accomodation'!P381</f>
        <v>0</v>
      </c>
      <c r="E377" s="69">
        <f>'1. Accomodation'!Q381</f>
        <v>0</v>
      </c>
      <c r="F377" s="77">
        <f>'1. Accomodation'!O381</f>
        <v>0</v>
      </c>
      <c r="G377" s="69">
        <f>'1. Accomodation'!R381</f>
        <v>0</v>
      </c>
      <c r="H377" s="69">
        <f>'1. Accomodation'!S381</f>
        <v>0</v>
      </c>
      <c r="I377" s="62"/>
      <c r="K377" s="272">
        <f>IFERROR(INDEX('2. GRI Pricing Inputs'!$C$15:$AI$16,MATCH($K$16,'2. GRI Pricing Inputs'!$C$15:$C$16,0),MATCH(D377,'2. GRI Pricing Inputs'!$C$15:$AI$15,0)),0)</f>
        <v>0</v>
      </c>
      <c r="L377" s="273">
        <f>IFERROR(INDEX('2. GRI Pricing Inputs'!$C$22:$AI$23,MATCH($L$16,'2. GRI Pricing Inputs'!$C$22:$C$23,0),MATCH(E377,'2. GRI Pricing Inputs'!$C$22:$AI$22,0)),0)</f>
        <v>0</v>
      </c>
      <c r="M377" s="328">
        <f>IF(AND('3. GRI Pricing'!$F377&gt;='2. GRI Pricing Inputs'!$D$33,'3. GRI Pricing'!$F377&lt;='2. GRI Pricing Inputs'!$E$33),'2. GRI Pricing Inputs'!$D$32,IF(AND('3. GRI Pricing'!$F377&gt;='2. GRI Pricing Inputs'!$F$33,'3. GRI Pricing'!$F377&lt;='2. GRI Pricing Inputs'!$G$33),'2. GRI Pricing Inputs'!$F$32,IF(AND('3. GRI Pricing'!$F377&gt;='2. GRI Pricing Inputs'!$H$33,'3. GRI Pricing'!$F377&lt;='2. GRI Pricing Inputs'!$I$33),'2. GRI Pricing Inputs'!$H$32,IF(AND('3. GRI Pricing'!$F377&gt;='2. GRI Pricing Inputs'!$J$33,'3. GRI Pricing'!$F377&lt;='2. GRI Pricing Inputs'!$K$33),'2. GRI Pricing Inputs'!$J$32,IF(AND('3. GRI Pricing'!$F377&gt;='2. GRI Pricing Inputs'!$L$33,'3. GRI Pricing'!$F377&lt;='2. GRI Pricing Inputs'!$M$33),'2. GRI Pricing Inputs'!$L$32,IF(AND('3. GRI Pricing'!$F377&gt;='2. GRI Pricing Inputs'!$N$33,'3. GRI Pricing'!$F377&lt;='2. GRI Pricing Inputs'!$O$33),'2. GRI Pricing Inputs'!$N$32,IF(AND('3. GRI Pricing'!$F377&gt;='2. GRI Pricing Inputs'!$P$33,'3. GRI Pricing'!$F377&lt;='2. GRI Pricing Inputs'!$Q$33),'2. GRI Pricing Inputs'!$P$32,IF(AND('3. GRI Pricing'!$F377&gt;='2. GRI Pricing Inputs'!$R$33,'3. GRI Pricing'!$F377&lt;='2. GRI Pricing Inputs'!$S$33),'2. GRI Pricing Inputs'!$R$32,IF(AND('3. GRI Pricing'!$F377&gt;='2. GRI Pricing Inputs'!$T$33,'3. GRI Pricing'!$F377&lt;='2. GRI Pricing Inputs'!$U$33),'2. GRI Pricing Inputs'!$T$32,IF(AND('3. GRI Pricing'!$F377&gt;='2. GRI Pricing Inputs'!$V$33,'3. GRI Pricing'!$F377&lt;='2. GRI Pricing Inputs'!$W$33),'2. GRI Pricing Inputs'!$V$32,IF(AND('3. GRI Pricing'!$F377&gt;='2. GRI Pricing Inputs'!$X$33,'3. GRI Pricing'!$F377&lt;='2. GRI Pricing Inputs'!$Y$33),'2. GRI Pricing Inputs'!$X$32,IF(AND('3. GRI Pricing'!$F377&gt;='2. GRI Pricing Inputs'!$Z$33,'3. GRI Pricing'!$F377&lt;='2. GRI Pricing Inputs'!$AA$33),'2. GRI Pricing Inputs'!$Z$32,IF(AND('3. GRI Pricing'!$F377&gt;='2. GRI Pricing Inputs'!$AB$33,'3. GRI Pricing'!$F377&lt;='2. GRI Pricing Inputs'!$AC$33),'2. GRI Pricing Inputs'!$AB$32,IF(AND('3. GRI Pricing'!$F377&gt;='2. GRI Pricing Inputs'!$AD$33,'3. GRI Pricing'!$F377&lt;='2. GRI Pricing Inputs'!$AE$33),'2. GRI Pricing Inputs'!$AD$32,IF(AND('3. GRI Pricing'!$F377&gt;='2. GRI Pricing Inputs'!$AF$33,'3. GRI Pricing'!$F377&lt;='2. GRI Pricing Inputs'!$AG$33),'2. GRI Pricing Inputs'!$AF$32,IF(AND('3. GRI Pricing'!$F377&gt;='2. GRI Pricing Inputs'!$AH$33,'3. GRI Pricing'!$F377&lt;='2. GRI Pricing Inputs'!$AI$33),'2. GRI Pricing Inputs'!$AH$32,0))))))))))))))))</f>
        <v>0</v>
      </c>
      <c r="N377" s="273" cm="1">
        <f t="array" ref="N377">IFERROR(INDEX('2. GRI Pricing Inputs'!$C$32:$AI$39,MATCH('3. GRI Pricing'!D377,'2. GRI Pricing Inputs'!$C$32:$C$39,0),(MATCH('3. GRI Pricing'!M377,'2. GRI Pricing Inputs'!$D$32:$AI$32,0)+1)),0)</f>
        <v>0</v>
      </c>
      <c r="O377" s="273">
        <f>IFERROR(INDEX('2. GRI Pricing Inputs'!$C$45:$AI$46,MATCH($O$16,'2. GRI Pricing Inputs'!$C$45:$C$46,0),MATCH(G377,'2. GRI Pricing Inputs'!$C$45:$AI$45,0)),0)</f>
        <v>0</v>
      </c>
      <c r="P377" s="273">
        <f>IFERROR(INDEX('2. GRI Pricing Inputs'!$C$53:$AI$54,MATCH('3. GRI Pricing'!$P$16,'2. GRI Pricing Inputs'!$C$53:$C$54,0),MATCH('3. GRI Pricing'!H377,'2. GRI Pricing Inputs'!$C$53:$AI$53,0)),0)</f>
        <v>0</v>
      </c>
      <c r="Q377" s="273">
        <f>IFERROR(INDEX('2. GRI Pricing Inputs'!$C$60:$AI$61,MATCH('3. GRI Pricing'!$Q$16,'2. GRI Pricing Inputs'!$C$60:$C$61,0),MATCH('1. Accomodation'!T381,'2. GRI Pricing Inputs'!$C$60:$AI$60,0)),0)</f>
        <v>0</v>
      </c>
      <c r="R377" s="273">
        <f>IFERROR(INDEX('2. GRI Pricing Inputs'!$C$67:$AI$68,MATCH('3. GRI Pricing'!$R$16,'2. GRI Pricing Inputs'!$C$67:$C$68,0),MATCH('1. Accomodation'!U381,'2. GRI Pricing Inputs'!$C$67:$AI$67,0)),0)</f>
        <v>0</v>
      </c>
      <c r="S377" s="273">
        <f>IF(D377=0,0,'2. GRI Pricing Inputs'!$AI$75)</f>
        <v>0</v>
      </c>
      <c r="T377" s="273">
        <f>IFERROR(INDEX('2. GRI Pricing Inputs'!$C$82:$AI$83,MATCH('3. GRI Pricing'!$T$16,'2. GRI Pricing Inputs'!$C$82:$C$83,0),MATCH('1. Accomodation'!V381,'2. GRI Pricing Inputs'!$C$82:$AI$82,0)),0)</f>
        <v>0</v>
      </c>
      <c r="U377" s="273">
        <f>IFERROR(INDEX('2. GRI Pricing Inputs'!$C$89:$AI$90,MATCH('3. GRI Pricing'!$U$16,'2. GRI Pricing Inputs'!$C$89:$C$90,0),MATCH('1. Accomodation'!W381,'2. GRI Pricing Inputs'!$C$89:$AI$89,0)),0)</f>
        <v>0</v>
      </c>
      <c r="V377" s="273">
        <f>IFERROR(INDEX('2. GRI Pricing Inputs'!$C$97:$AI$98,MATCH('3. GRI Pricing'!$V$16,'2. GRI Pricing Inputs'!$C$97:$C$98,0),MATCH('1. Accomodation'!X381,'2. GRI Pricing Inputs'!$C$97:$AI$97,0)),0)</f>
        <v>0</v>
      </c>
      <c r="W377" s="273">
        <f>IFERROR(INDEX('2. GRI Pricing Inputs'!$C$104:$AI$105,MATCH('3. GRI Pricing'!$W$16,'2. GRI Pricing Inputs'!$C$104:$C$105,0),MATCH('1. Accomodation'!Y381,'2. GRI Pricing Inputs'!$C$104:$AI$104,0)),0)</f>
        <v>0</v>
      </c>
      <c r="X377" s="274"/>
      <c r="Y377" s="275">
        <f t="shared" si="12"/>
        <v>0</v>
      </c>
      <c r="Z377" s="276"/>
      <c r="AA377" s="276"/>
      <c r="AB377" s="276"/>
      <c r="AC377" s="272">
        <f>Y377*(1+'2. GRI Pricing Inputs'!$D$114)^(($AC$16-$AB$15)/365)</f>
        <v>0</v>
      </c>
      <c r="AD377" s="273">
        <f>AC377*(1+'2. GRI Pricing Inputs'!$D$114)^((AD$16-AC$16)/365)</f>
        <v>0</v>
      </c>
      <c r="AE377" s="273">
        <f>AD377*(1+'2. GRI Pricing Inputs'!$D$114)^((AE$16-AD$16)/365)</f>
        <v>0</v>
      </c>
      <c r="AF377" s="273">
        <f>AE377*(1+'2. GRI Pricing Inputs'!$D$114)^((AF$16-AE$16)/365)</f>
        <v>0</v>
      </c>
      <c r="AG377" s="273">
        <f>AF377*(1+'2. GRI Pricing Inputs'!$D$114)^((AG$16-AF$16)/365)</f>
        <v>0</v>
      </c>
      <c r="AH377" s="273">
        <f>AG377*(1+'2. GRI Pricing Inputs'!$D$114)^((AH$16-AG$16)/365)</f>
        <v>0</v>
      </c>
      <c r="AI377" s="273">
        <f>AH377*(1+'2. GRI Pricing Inputs'!$D$114)^((AI$16-AH$16)/365)</f>
        <v>0</v>
      </c>
      <c r="AJ377" s="273">
        <f>AI377*(1+'2. GRI Pricing Inputs'!$D$114)^((AJ$16-AI$16)/365)</f>
        <v>0</v>
      </c>
      <c r="AK377" s="273">
        <f>AJ377*(1+'2. GRI Pricing Inputs'!$D$114)^((AK$16-AJ$16)/365)</f>
        <v>0</v>
      </c>
      <c r="AL377" s="273">
        <f>AK377*(1+'2. GRI Pricing Inputs'!$D$114)^((AL$16-AK$16)/365)</f>
        <v>0</v>
      </c>
      <c r="AM377" s="273">
        <f>AL377*(1+'2. GRI Pricing Inputs'!$D$114)^((AM$16-AL$16)/365)</f>
        <v>0</v>
      </c>
      <c r="AN377" s="273">
        <f>AM377*(1+'2. GRI Pricing Inputs'!$D$114)^((AN$16-AM$16)/365)</f>
        <v>0</v>
      </c>
      <c r="AO377" s="273">
        <f>AN377*(1+'2. GRI Pricing Inputs'!$D$114)^((AO$16-AN$16)/365)</f>
        <v>0</v>
      </c>
    </row>
    <row r="378" spans="3:41" ht="12" x14ac:dyDescent="0.2">
      <c r="C378" s="76">
        <f>'1. Accomodation'!N382</f>
        <v>0</v>
      </c>
      <c r="D378" s="69">
        <f>'1. Accomodation'!P382</f>
        <v>0</v>
      </c>
      <c r="E378" s="69">
        <f>'1. Accomodation'!Q382</f>
        <v>0</v>
      </c>
      <c r="F378" s="77">
        <f>'1. Accomodation'!O382</f>
        <v>0</v>
      </c>
      <c r="G378" s="69">
        <f>'1. Accomodation'!R382</f>
        <v>0</v>
      </c>
      <c r="H378" s="69">
        <f>'1. Accomodation'!S382</f>
        <v>0</v>
      </c>
      <c r="I378" s="62"/>
      <c r="K378" s="272">
        <f>IFERROR(INDEX('2. GRI Pricing Inputs'!$C$15:$AI$16,MATCH($K$16,'2. GRI Pricing Inputs'!$C$15:$C$16,0),MATCH(D378,'2. GRI Pricing Inputs'!$C$15:$AI$15,0)),0)</f>
        <v>0</v>
      </c>
      <c r="L378" s="273">
        <f>IFERROR(INDEX('2. GRI Pricing Inputs'!$C$22:$AI$23,MATCH($L$16,'2. GRI Pricing Inputs'!$C$22:$C$23,0),MATCH(E378,'2. GRI Pricing Inputs'!$C$22:$AI$22,0)),0)</f>
        <v>0</v>
      </c>
      <c r="M378" s="328">
        <f>IF(AND('3. GRI Pricing'!$F378&gt;='2. GRI Pricing Inputs'!$D$33,'3. GRI Pricing'!$F378&lt;='2. GRI Pricing Inputs'!$E$33),'2. GRI Pricing Inputs'!$D$32,IF(AND('3. GRI Pricing'!$F378&gt;='2. GRI Pricing Inputs'!$F$33,'3. GRI Pricing'!$F378&lt;='2. GRI Pricing Inputs'!$G$33),'2. GRI Pricing Inputs'!$F$32,IF(AND('3. GRI Pricing'!$F378&gt;='2. GRI Pricing Inputs'!$H$33,'3. GRI Pricing'!$F378&lt;='2. GRI Pricing Inputs'!$I$33),'2. GRI Pricing Inputs'!$H$32,IF(AND('3. GRI Pricing'!$F378&gt;='2. GRI Pricing Inputs'!$J$33,'3. GRI Pricing'!$F378&lt;='2. GRI Pricing Inputs'!$K$33),'2. GRI Pricing Inputs'!$J$32,IF(AND('3. GRI Pricing'!$F378&gt;='2. GRI Pricing Inputs'!$L$33,'3. GRI Pricing'!$F378&lt;='2. GRI Pricing Inputs'!$M$33),'2. GRI Pricing Inputs'!$L$32,IF(AND('3. GRI Pricing'!$F378&gt;='2. GRI Pricing Inputs'!$N$33,'3. GRI Pricing'!$F378&lt;='2. GRI Pricing Inputs'!$O$33),'2. GRI Pricing Inputs'!$N$32,IF(AND('3. GRI Pricing'!$F378&gt;='2. GRI Pricing Inputs'!$P$33,'3. GRI Pricing'!$F378&lt;='2. GRI Pricing Inputs'!$Q$33),'2. GRI Pricing Inputs'!$P$32,IF(AND('3. GRI Pricing'!$F378&gt;='2. GRI Pricing Inputs'!$R$33,'3. GRI Pricing'!$F378&lt;='2. GRI Pricing Inputs'!$S$33),'2. GRI Pricing Inputs'!$R$32,IF(AND('3. GRI Pricing'!$F378&gt;='2. GRI Pricing Inputs'!$T$33,'3. GRI Pricing'!$F378&lt;='2. GRI Pricing Inputs'!$U$33),'2. GRI Pricing Inputs'!$T$32,IF(AND('3. GRI Pricing'!$F378&gt;='2. GRI Pricing Inputs'!$V$33,'3. GRI Pricing'!$F378&lt;='2. GRI Pricing Inputs'!$W$33),'2. GRI Pricing Inputs'!$V$32,IF(AND('3. GRI Pricing'!$F378&gt;='2. GRI Pricing Inputs'!$X$33,'3. GRI Pricing'!$F378&lt;='2. GRI Pricing Inputs'!$Y$33),'2. GRI Pricing Inputs'!$X$32,IF(AND('3. GRI Pricing'!$F378&gt;='2. GRI Pricing Inputs'!$Z$33,'3. GRI Pricing'!$F378&lt;='2. GRI Pricing Inputs'!$AA$33),'2. GRI Pricing Inputs'!$Z$32,IF(AND('3. GRI Pricing'!$F378&gt;='2. GRI Pricing Inputs'!$AB$33,'3. GRI Pricing'!$F378&lt;='2. GRI Pricing Inputs'!$AC$33),'2. GRI Pricing Inputs'!$AB$32,IF(AND('3. GRI Pricing'!$F378&gt;='2. GRI Pricing Inputs'!$AD$33,'3. GRI Pricing'!$F378&lt;='2. GRI Pricing Inputs'!$AE$33),'2. GRI Pricing Inputs'!$AD$32,IF(AND('3. GRI Pricing'!$F378&gt;='2. GRI Pricing Inputs'!$AF$33,'3. GRI Pricing'!$F378&lt;='2. GRI Pricing Inputs'!$AG$33),'2. GRI Pricing Inputs'!$AF$32,IF(AND('3. GRI Pricing'!$F378&gt;='2. GRI Pricing Inputs'!$AH$33,'3. GRI Pricing'!$F378&lt;='2. GRI Pricing Inputs'!$AI$33),'2. GRI Pricing Inputs'!$AH$32,0))))))))))))))))</f>
        <v>0</v>
      </c>
      <c r="N378" s="273" cm="1">
        <f t="array" ref="N378">IFERROR(INDEX('2. GRI Pricing Inputs'!$C$32:$AI$39,MATCH('3. GRI Pricing'!D378,'2. GRI Pricing Inputs'!$C$32:$C$39,0),(MATCH('3. GRI Pricing'!M378,'2. GRI Pricing Inputs'!$D$32:$AI$32,0)+1)),0)</f>
        <v>0</v>
      </c>
      <c r="O378" s="273">
        <f>IFERROR(INDEX('2. GRI Pricing Inputs'!$C$45:$AI$46,MATCH($O$16,'2. GRI Pricing Inputs'!$C$45:$C$46,0),MATCH(G378,'2. GRI Pricing Inputs'!$C$45:$AI$45,0)),0)</f>
        <v>0</v>
      </c>
      <c r="P378" s="273">
        <f>IFERROR(INDEX('2. GRI Pricing Inputs'!$C$53:$AI$54,MATCH('3. GRI Pricing'!$P$16,'2. GRI Pricing Inputs'!$C$53:$C$54,0),MATCH('3. GRI Pricing'!H378,'2. GRI Pricing Inputs'!$C$53:$AI$53,0)),0)</f>
        <v>0</v>
      </c>
      <c r="Q378" s="273">
        <f>IFERROR(INDEX('2. GRI Pricing Inputs'!$C$60:$AI$61,MATCH('3. GRI Pricing'!$Q$16,'2. GRI Pricing Inputs'!$C$60:$C$61,0),MATCH('1. Accomodation'!T382,'2. GRI Pricing Inputs'!$C$60:$AI$60,0)),0)</f>
        <v>0</v>
      </c>
      <c r="R378" s="273">
        <f>IFERROR(INDEX('2. GRI Pricing Inputs'!$C$67:$AI$68,MATCH('3. GRI Pricing'!$R$16,'2. GRI Pricing Inputs'!$C$67:$C$68,0),MATCH('1. Accomodation'!U382,'2. GRI Pricing Inputs'!$C$67:$AI$67,0)),0)</f>
        <v>0</v>
      </c>
      <c r="S378" s="273">
        <f>IF(D378=0,0,'2. GRI Pricing Inputs'!$AI$75)</f>
        <v>0</v>
      </c>
      <c r="T378" s="273">
        <f>IFERROR(INDEX('2. GRI Pricing Inputs'!$C$82:$AI$83,MATCH('3. GRI Pricing'!$T$16,'2. GRI Pricing Inputs'!$C$82:$C$83,0),MATCH('1. Accomodation'!V382,'2. GRI Pricing Inputs'!$C$82:$AI$82,0)),0)</f>
        <v>0</v>
      </c>
      <c r="U378" s="273">
        <f>IFERROR(INDEX('2. GRI Pricing Inputs'!$C$89:$AI$90,MATCH('3. GRI Pricing'!$U$16,'2. GRI Pricing Inputs'!$C$89:$C$90,0),MATCH('1. Accomodation'!W382,'2. GRI Pricing Inputs'!$C$89:$AI$89,0)),0)</f>
        <v>0</v>
      </c>
      <c r="V378" s="273">
        <f>IFERROR(INDEX('2. GRI Pricing Inputs'!$C$97:$AI$98,MATCH('3. GRI Pricing'!$V$16,'2. GRI Pricing Inputs'!$C$97:$C$98,0),MATCH('1. Accomodation'!X382,'2. GRI Pricing Inputs'!$C$97:$AI$97,0)),0)</f>
        <v>0</v>
      </c>
      <c r="W378" s="273">
        <f>IFERROR(INDEX('2. GRI Pricing Inputs'!$C$104:$AI$105,MATCH('3. GRI Pricing'!$W$16,'2. GRI Pricing Inputs'!$C$104:$C$105,0),MATCH('1. Accomodation'!Y382,'2. GRI Pricing Inputs'!$C$104:$AI$104,0)),0)</f>
        <v>0</v>
      </c>
      <c r="X378" s="274"/>
      <c r="Y378" s="275">
        <f t="shared" si="12"/>
        <v>0</v>
      </c>
      <c r="Z378" s="276"/>
      <c r="AA378" s="276"/>
      <c r="AB378" s="276"/>
      <c r="AC378" s="272">
        <f>Y378*(1+'2. GRI Pricing Inputs'!$D$114)^(($AC$16-$AB$15)/365)</f>
        <v>0</v>
      </c>
      <c r="AD378" s="273">
        <f>AC378*(1+'2. GRI Pricing Inputs'!$D$114)^((AD$16-AC$16)/365)</f>
        <v>0</v>
      </c>
      <c r="AE378" s="273">
        <f>AD378*(1+'2. GRI Pricing Inputs'!$D$114)^((AE$16-AD$16)/365)</f>
        <v>0</v>
      </c>
      <c r="AF378" s="273">
        <f>AE378*(1+'2. GRI Pricing Inputs'!$D$114)^((AF$16-AE$16)/365)</f>
        <v>0</v>
      </c>
      <c r="AG378" s="273">
        <f>AF378*(1+'2. GRI Pricing Inputs'!$D$114)^((AG$16-AF$16)/365)</f>
        <v>0</v>
      </c>
      <c r="AH378" s="273">
        <f>AG378*(1+'2. GRI Pricing Inputs'!$D$114)^((AH$16-AG$16)/365)</f>
        <v>0</v>
      </c>
      <c r="AI378" s="273">
        <f>AH378*(1+'2. GRI Pricing Inputs'!$D$114)^((AI$16-AH$16)/365)</f>
        <v>0</v>
      </c>
      <c r="AJ378" s="273">
        <f>AI378*(1+'2. GRI Pricing Inputs'!$D$114)^((AJ$16-AI$16)/365)</f>
        <v>0</v>
      </c>
      <c r="AK378" s="273">
        <f>AJ378*(1+'2. GRI Pricing Inputs'!$D$114)^((AK$16-AJ$16)/365)</f>
        <v>0</v>
      </c>
      <c r="AL378" s="273">
        <f>AK378*(1+'2. GRI Pricing Inputs'!$D$114)^((AL$16-AK$16)/365)</f>
        <v>0</v>
      </c>
      <c r="AM378" s="273">
        <f>AL378*(1+'2. GRI Pricing Inputs'!$D$114)^((AM$16-AL$16)/365)</f>
        <v>0</v>
      </c>
      <c r="AN378" s="273">
        <f>AM378*(1+'2. GRI Pricing Inputs'!$D$114)^((AN$16-AM$16)/365)</f>
        <v>0</v>
      </c>
      <c r="AO378" s="273">
        <f>AN378*(1+'2. GRI Pricing Inputs'!$D$114)^((AO$16-AN$16)/365)</f>
        <v>0</v>
      </c>
    </row>
    <row r="379" spans="3:41" ht="12" x14ac:dyDescent="0.2">
      <c r="C379" s="76">
        <f>'1. Accomodation'!N383</f>
        <v>0</v>
      </c>
      <c r="D379" s="69">
        <f>'1. Accomodation'!P383</f>
        <v>0</v>
      </c>
      <c r="E379" s="69">
        <f>'1. Accomodation'!Q383</f>
        <v>0</v>
      </c>
      <c r="F379" s="77">
        <f>'1. Accomodation'!O383</f>
        <v>0</v>
      </c>
      <c r="G379" s="69">
        <f>'1. Accomodation'!R383</f>
        <v>0</v>
      </c>
      <c r="H379" s="69">
        <f>'1. Accomodation'!S383</f>
        <v>0</v>
      </c>
      <c r="I379" s="62"/>
      <c r="K379" s="272">
        <f>IFERROR(INDEX('2. GRI Pricing Inputs'!$C$15:$AI$16,MATCH($K$16,'2. GRI Pricing Inputs'!$C$15:$C$16,0),MATCH(D379,'2. GRI Pricing Inputs'!$C$15:$AI$15,0)),0)</f>
        <v>0</v>
      </c>
      <c r="L379" s="273">
        <f>IFERROR(INDEX('2. GRI Pricing Inputs'!$C$22:$AI$23,MATCH($L$16,'2. GRI Pricing Inputs'!$C$22:$C$23,0),MATCH(E379,'2. GRI Pricing Inputs'!$C$22:$AI$22,0)),0)</f>
        <v>0</v>
      </c>
      <c r="M379" s="328">
        <f>IF(AND('3. GRI Pricing'!$F379&gt;='2. GRI Pricing Inputs'!$D$33,'3. GRI Pricing'!$F379&lt;='2. GRI Pricing Inputs'!$E$33),'2. GRI Pricing Inputs'!$D$32,IF(AND('3. GRI Pricing'!$F379&gt;='2. GRI Pricing Inputs'!$F$33,'3. GRI Pricing'!$F379&lt;='2. GRI Pricing Inputs'!$G$33),'2. GRI Pricing Inputs'!$F$32,IF(AND('3. GRI Pricing'!$F379&gt;='2. GRI Pricing Inputs'!$H$33,'3. GRI Pricing'!$F379&lt;='2. GRI Pricing Inputs'!$I$33),'2. GRI Pricing Inputs'!$H$32,IF(AND('3. GRI Pricing'!$F379&gt;='2. GRI Pricing Inputs'!$J$33,'3. GRI Pricing'!$F379&lt;='2. GRI Pricing Inputs'!$K$33),'2. GRI Pricing Inputs'!$J$32,IF(AND('3. GRI Pricing'!$F379&gt;='2. GRI Pricing Inputs'!$L$33,'3. GRI Pricing'!$F379&lt;='2. GRI Pricing Inputs'!$M$33),'2. GRI Pricing Inputs'!$L$32,IF(AND('3. GRI Pricing'!$F379&gt;='2. GRI Pricing Inputs'!$N$33,'3. GRI Pricing'!$F379&lt;='2. GRI Pricing Inputs'!$O$33),'2. GRI Pricing Inputs'!$N$32,IF(AND('3. GRI Pricing'!$F379&gt;='2. GRI Pricing Inputs'!$P$33,'3. GRI Pricing'!$F379&lt;='2. GRI Pricing Inputs'!$Q$33),'2. GRI Pricing Inputs'!$P$32,IF(AND('3. GRI Pricing'!$F379&gt;='2. GRI Pricing Inputs'!$R$33,'3. GRI Pricing'!$F379&lt;='2. GRI Pricing Inputs'!$S$33),'2. GRI Pricing Inputs'!$R$32,IF(AND('3. GRI Pricing'!$F379&gt;='2. GRI Pricing Inputs'!$T$33,'3. GRI Pricing'!$F379&lt;='2. GRI Pricing Inputs'!$U$33),'2. GRI Pricing Inputs'!$T$32,IF(AND('3. GRI Pricing'!$F379&gt;='2. GRI Pricing Inputs'!$V$33,'3. GRI Pricing'!$F379&lt;='2. GRI Pricing Inputs'!$W$33),'2. GRI Pricing Inputs'!$V$32,IF(AND('3. GRI Pricing'!$F379&gt;='2. GRI Pricing Inputs'!$X$33,'3. GRI Pricing'!$F379&lt;='2. GRI Pricing Inputs'!$Y$33),'2. GRI Pricing Inputs'!$X$32,IF(AND('3. GRI Pricing'!$F379&gt;='2. GRI Pricing Inputs'!$Z$33,'3. GRI Pricing'!$F379&lt;='2. GRI Pricing Inputs'!$AA$33),'2. GRI Pricing Inputs'!$Z$32,IF(AND('3. GRI Pricing'!$F379&gt;='2. GRI Pricing Inputs'!$AB$33,'3. GRI Pricing'!$F379&lt;='2. GRI Pricing Inputs'!$AC$33),'2. GRI Pricing Inputs'!$AB$32,IF(AND('3. GRI Pricing'!$F379&gt;='2. GRI Pricing Inputs'!$AD$33,'3. GRI Pricing'!$F379&lt;='2. GRI Pricing Inputs'!$AE$33),'2. GRI Pricing Inputs'!$AD$32,IF(AND('3. GRI Pricing'!$F379&gt;='2. GRI Pricing Inputs'!$AF$33,'3. GRI Pricing'!$F379&lt;='2. GRI Pricing Inputs'!$AG$33),'2. GRI Pricing Inputs'!$AF$32,IF(AND('3. GRI Pricing'!$F379&gt;='2. GRI Pricing Inputs'!$AH$33,'3. GRI Pricing'!$F379&lt;='2. GRI Pricing Inputs'!$AI$33),'2. GRI Pricing Inputs'!$AH$32,0))))))))))))))))</f>
        <v>0</v>
      </c>
      <c r="N379" s="273" cm="1">
        <f t="array" ref="N379">IFERROR(INDEX('2. GRI Pricing Inputs'!$C$32:$AI$39,MATCH('3. GRI Pricing'!D379,'2. GRI Pricing Inputs'!$C$32:$C$39,0),(MATCH('3. GRI Pricing'!M379,'2. GRI Pricing Inputs'!$D$32:$AI$32,0)+1)),0)</f>
        <v>0</v>
      </c>
      <c r="O379" s="273">
        <f>IFERROR(INDEX('2. GRI Pricing Inputs'!$C$45:$AI$46,MATCH($O$16,'2. GRI Pricing Inputs'!$C$45:$C$46,0),MATCH(G379,'2. GRI Pricing Inputs'!$C$45:$AI$45,0)),0)</f>
        <v>0</v>
      </c>
      <c r="P379" s="273">
        <f>IFERROR(INDEX('2. GRI Pricing Inputs'!$C$53:$AI$54,MATCH('3. GRI Pricing'!$P$16,'2. GRI Pricing Inputs'!$C$53:$C$54,0),MATCH('3. GRI Pricing'!H379,'2. GRI Pricing Inputs'!$C$53:$AI$53,0)),0)</f>
        <v>0</v>
      </c>
      <c r="Q379" s="273">
        <f>IFERROR(INDEX('2. GRI Pricing Inputs'!$C$60:$AI$61,MATCH('3. GRI Pricing'!$Q$16,'2. GRI Pricing Inputs'!$C$60:$C$61,0),MATCH('1. Accomodation'!T383,'2. GRI Pricing Inputs'!$C$60:$AI$60,0)),0)</f>
        <v>0</v>
      </c>
      <c r="R379" s="273">
        <f>IFERROR(INDEX('2. GRI Pricing Inputs'!$C$67:$AI$68,MATCH('3. GRI Pricing'!$R$16,'2. GRI Pricing Inputs'!$C$67:$C$68,0),MATCH('1. Accomodation'!U383,'2. GRI Pricing Inputs'!$C$67:$AI$67,0)),0)</f>
        <v>0</v>
      </c>
      <c r="S379" s="273">
        <f>IF(D379=0,0,'2. GRI Pricing Inputs'!$AI$75)</f>
        <v>0</v>
      </c>
      <c r="T379" s="273">
        <f>IFERROR(INDEX('2. GRI Pricing Inputs'!$C$82:$AI$83,MATCH('3. GRI Pricing'!$T$16,'2. GRI Pricing Inputs'!$C$82:$C$83,0),MATCH('1. Accomodation'!V383,'2. GRI Pricing Inputs'!$C$82:$AI$82,0)),0)</f>
        <v>0</v>
      </c>
      <c r="U379" s="273">
        <f>IFERROR(INDEX('2. GRI Pricing Inputs'!$C$89:$AI$90,MATCH('3. GRI Pricing'!$U$16,'2. GRI Pricing Inputs'!$C$89:$C$90,0),MATCH('1. Accomodation'!W383,'2. GRI Pricing Inputs'!$C$89:$AI$89,0)),0)</f>
        <v>0</v>
      </c>
      <c r="V379" s="273">
        <f>IFERROR(INDEX('2. GRI Pricing Inputs'!$C$97:$AI$98,MATCH('3. GRI Pricing'!$V$16,'2. GRI Pricing Inputs'!$C$97:$C$98,0),MATCH('1. Accomodation'!X383,'2. GRI Pricing Inputs'!$C$97:$AI$97,0)),0)</f>
        <v>0</v>
      </c>
      <c r="W379" s="273">
        <f>IFERROR(INDEX('2. GRI Pricing Inputs'!$C$104:$AI$105,MATCH('3. GRI Pricing'!$W$16,'2. GRI Pricing Inputs'!$C$104:$C$105,0),MATCH('1. Accomodation'!Y383,'2. GRI Pricing Inputs'!$C$104:$AI$104,0)),0)</f>
        <v>0</v>
      </c>
      <c r="X379" s="274"/>
      <c r="Y379" s="275">
        <f t="shared" si="12"/>
        <v>0</v>
      </c>
      <c r="Z379" s="276"/>
      <c r="AA379" s="276"/>
      <c r="AB379" s="276"/>
      <c r="AC379" s="272">
        <f>Y379*(1+'2. GRI Pricing Inputs'!$D$114)^(($AC$16-$AB$15)/365)</f>
        <v>0</v>
      </c>
      <c r="AD379" s="273">
        <f>AC379*(1+'2. GRI Pricing Inputs'!$D$114)^((AD$16-AC$16)/365)</f>
        <v>0</v>
      </c>
      <c r="AE379" s="273">
        <f>AD379*(1+'2. GRI Pricing Inputs'!$D$114)^((AE$16-AD$16)/365)</f>
        <v>0</v>
      </c>
      <c r="AF379" s="273">
        <f>AE379*(1+'2. GRI Pricing Inputs'!$D$114)^((AF$16-AE$16)/365)</f>
        <v>0</v>
      </c>
      <c r="AG379" s="273">
        <f>AF379*(1+'2. GRI Pricing Inputs'!$D$114)^((AG$16-AF$16)/365)</f>
        <v>0</v>
      </c>
      <c r="AH379" s="273">
        <f>AG379*(1+'2. GRI Pricing Inputs'!$D$114)^((AH$16-AG$16)/365)</f>
        <v>0</v>
      </c>
      <c r="AI379" s="273">
        <f>AH379*(1+'2. GRI Pricing Inputs'!$D$114)^((AI$16-AH$16)/365)</f>
        <v>0</v>
      </c>
      <c r="AJ379" s="273">
        <f>AI379*(1+'2. GRI Pricing Inputs'!$D$114)^((AJ$16-AI$16)/365)</f>
        <v>0</v>
      </c>
      <c r="AK379" s="273">
        <f>AJ379*(1+'2. GRI Pricing Inputs'!$D$114)^((AK$16-AJ$16)/365)</f>
        <v>0</v>
      </c>
      <c r="AL379" s="273">
        <f>AK379*(1+'2. GRI Pricing Inputs'!$D$114)^((AL$16-AK$16)/365)</f>
        <v>0</v>
      </c>
      <c r="AM379" s="273">
        <f>AL379*(1+'2. GRI Pricing Inputs'!$D$114)^((AM$16-AL$16)/365)</f>
        <v>0</v>
      </c>
      <c r="AN379" s="273">
        <f>AM379*(1+'2. GRI Pricing Inputs'!$D$114)^((AN$16-AM$16)/365)</f>
        <v>0</v>
      </c>
      <c r="AO379" s="273">
        <f>AN379*(1+'2. GRI Pricing Inputs'!$D$114)^((AO$16-AN$16)/365)</f>
        <v>0</v>
      </c>
    </row>
    <row r="380" spans="3:41" ht="12" x14ac:dyDescent="0.2">
      <c r="C380" s="76">
        <f>'1. Accomodation'!N384</f>
        <v>0</v>
      </c>
      <c r="D380" s="69">
        <f>'1. Accomodation'!P384</f>
        <v>0</v>
      </c>
      <c r="E380" s="69">
        <f>'1. Accomodation'!Q384</f>
        <v>0</v>
      </c>
      <c r="F380" s="77">
        <f>'1. Accomodation'!O384</f>
        <v>0</v>
      </c>
      <c r="G380" s="69">
        <f>'1. Accomodation'!R384</f>
        <v>0</v>
      </c>
      <c r="H380" s="69">
        <f>'1. Accomodation'!S384</f>
        <v>0</v>
      </c>
      <c r="I380" s="62"/>
      <c r="K380" s="272">
        <f>IFERROR(INDEX('2. GRI Pricing Inputs'!$C$15:$AI$16,MATCH($K$16,'2. GRI Pricing Inputs'!$C$15:$C$16,0),MATCH(D380,'2. GRI Pricing Inputs'!$C$15:$AI$15,0)),0)</f>
        <v>0</v>
      </c>
      <c r="L380" s="273">
        <f>IFERROR(INDEX('2. GRI Pricing Inputs'!$C$22:$AI$23,MATCH($L$16,'2. GRI Pricing Inputs'!$C$22:$C$23,0),MATCH(E380,'2. GRI Pricing Inputs'!$C$22:$AI$22,0)),0)</f>
        <v>0</v>
      </c>
      <c r="M380" s="328">
        <f>IF(AND('3. GRI Pricing'!$F380&gt;='2. GRI Pricing Inputs'!$D$33,'3. GRI Pricing'!$F380&lt;='2. GRI Pricing Inputs'!$E$33),'2. GRI Pricing Inputs'!$D$32,IF(AND('3. GRI Pricing'!$F380&gt;='2. GRI Pricing Inputs'!$F$33,'3. GRI Pricing'!$F380&lt;='2. GRI Pricing Inputs'!$G$33),'2. GRI Pricing Inputs'!$F$32,IF(AND('3. GRI Pricing'!$F380&gt;='2. GRI Pricing Inputs'!$H$33,'3. GRI Pricing'!$F380&lt;='2. GRI Pricing Inputs'!$I$33),'2. GRI Pricing Inputs'!$H$32,IF(AND('3. GRI Pricing'!$F380&gt;='2. GRI Pricing Inputs'!$J$33,'3. GRI Pricing'!$F380&lt;='2. GRI Pricing Inputs'!$K$33),'2. GRI Pricing Inputs'!$J$32,IF(AND('3. GRI Pricing'!$F380&gt;='2. GRI Pricing Inputs'!$L$33,'3. GRI Pricing'!$F380&lt;='2. GRI Pricing Inputs'!$M$33),'2. GRI Pricing Inputs'!$L$32,IF(AND('3. GRI Pricing'!$F380&gt;='2. GRI Pricing Inputs'!$N$33,'3. GRI Pricing'!$F380&lt;='2. GRI Pricing Inputs'!$O$33),'2. GRI Pricing Inputs'!$N$32,IF(AND('3. GRI Pricing'!$F380&gt;='2. GRI Pricing Inputs'!$P$33,'3. GRI Pricing'!$F380&lt;='2. GRI Pricing Inputs'!$Q$33),'2. GRI Pricing Inputs'!$P$32,IF(AND('3. GRI Pricing'!$F380&gt;='2. GRI Pricing Inputs'!$R$33,'3. GRI Pricing'!$F380&lt;='2. GRI Pricing Inputs'!$S$33),'2. GRI Pricing Inputs'!$R$32,IF(AND('3. GRI Pricing'!$F380&gt;='2. GRI Pricing Inputs'!$T$33,'3. GRI Pricing'!$F380&lt;='2. GRI Pricing Inputs'!$U$33),'2. GRI Pricing Inputs'!$T$32,IF(AND('3. GRI Pricing'!$F380&gt;='2. GRI Pricing Inputs'!$V$33,'3. GRI Pricing'!$F380&lt;='2. GRI Pricing Inputs'!$W$33),'2. GRI Pricing Inputs'!$V$32,IF(AND('3. GRI Pricing'!$F380&gt;='2. GRI Pricing Inputs'!$X$33,'3. GRI Pricing'!$F380&lt;='2. GRI Pricing Inputs'!$Y$33),'2. GRI Pricing Inputs'!$X$32,IF(AND('3. GRI Pricing'!$F380&gt;='2. GRI Pricing Inputs'!$Z$33,'3. GRI Pricing'!$F380&lt;='2. GRI Pricing Inputs'!$AA$33),'2. GRI Pricing Inputs'!$Z$32,IF(AND('3. GRI Pricing'!$F380&gt;='2. GRI Pricing Inputs'!$AB$33,'3. GRI Pricing'!$F380&lt;='2. GRI Pricing Inputs'!$AC$33),'2. GRI Pricing Inputs'!$AB$32,IF(AND('3. GRI Pricing'!$F380&gt;='2. GRI Pricing Inputs'!$AD$33,'3. GRI Pricing'!$F380&lt;='2. GRI Pricing Inputs'!$AE$33),'2. GRI Pricing Inputs'!$AD$32,IF(AND('3. GRI Pricing'!$F380&gt;='2. GRI Pricing Inputs'!$AF$33,'3. GRI Pricing'!$F380&lt;='2. GRI Pricing Inputs'!$AG$33),'2. GRI Pricing Inputs'!$AF$32,IF(AND('3. GRI Pricing'!$F380&gt;='2. GRI Pricing Inputs'!$AH$33,'3. GRI Pricing'!$F380&lt;='2. GRI Pricing Inputs'!$AI$33),'2. GRI Pricing Inputs'!$AH$32,0))))))))))))))))</f>
        <v>0</v>
      </c>
      <c r="N380" s="273" cm="1">
        <f t="array" ref="N380">IFERROR(INDEX('2. GRI Pricing Inputs'!$C$32:$AI$39,MATCH('3. GRI Pricing'!D380,'2. GRI Pricing Inputs'!$C$32:$C$39,0),(MATCH('3. GRI Pricing'!M380,'2. GRI Pricing Inputs'!$D$32:$AI$32,0)+1)),0)</f>
        <v>0</v>
      </c>
      <c r="O380" s="273">
        <f>IFERROR(INDEX('2. GRI Pricing Inputs'!$C$45:$AI$46,MATCH($O$16,'2. GRI Pricing Inputs'!$C$45:$C$46,0),MATCH(G380,'2. GRI Pricing Inputs'!$C$45:$AI$45,0)),0)</f>
        <v>0</v>
      </c>
      <c r="P380" s="273">
        <f>IFERROR(INDEX('2. GRI Pricing Inputs'!$C$53:$AI$54,MATCH('3. GRI Pricing'!$P$16,'2. GRI Pricing Inputs'!$C$53:$C$54,0),MATCH('3. GRI Pricing'!H380,'2. GRI Pricing Inputs'!$C$53:$AI$53,0)),0)</f>
        <v>0</v>
      </c>
      <c r="Q380" s="273">
        <f>IFERROR(INDEX('2. GRI Pricing Inputs'!$C$60:$AI$61,MATCH('3. GRI Pricing'!$Q$16,'2. GRI Pricing Inputs'!$C$60:$C$61,0),MATCH('1. Accomodation'!T384,'2. GRI Pricing Inputs'!$C$60:$AI$60,0)),0)</f>
        <v>0</v>
      </c>
      <c r="R380" s="273">
        <f>IFERROR(INDEX('2. GRI Pricing Inputs'!$C$67:$AI$68,MATCH('3. GRI Pricing'!$R$16,'2. GRI Pricing Inputs'!$C$67:$C$68,0),MATCH('1. Accomodation'!U384,'2. GRI Pricing Inputs'!$C$67:$AI$67,0)),0)</f>
        <v>0</v>
      </c>
      <c r="S380" s="273">
        <f>IF(D380=0,0,'2. GRI Pricing Inputs'!$AI$75)</f>
        <v>0</v>
      </c>
      <c r="T380" s="273">
        <f>IFERROR(INDEX('2. GRI Pricing Inputs'!$C$82:$AI$83,MATCH('3. GRI Pricing'!$T$16,'2. GRI Pricing Inputs'!$C$82:$C$83,0),MATCH('1. Accomodation'!V384,'2. GRI Pricing Inputs'!$C$82:$AI$82,0)),0)</f>
        <v>0</v>
      </c>
      <c r="U380" s="273">
        <f>IFERROR(INDEX('2. GRI Pricing Inputs'!$C$89:$AI$90,MATCH('3. GRI Pricing'!$U$16,'2. GRI Pricing Inputs'!$C$89:$C$90,0),MATCH('1. Accomodation'!W384,'2. GRI Pricing Inputs'!$C$89:$AI$89,0)),0)</f>
        <v>0</v>
      </c>
      <c r="V380" s="273">
        <f>IFERROR(INDEX('2. GRI Pricing Inputs'!$C$97:$AI$98,MATCH('3. GRI Pricing'!$V$16,'2. GRI Pricing Inputs'!$C$97:$C$98,0),MATCH('1. Accomodation'!X384,'2. GRI Pricing Inputs'!$C$97:$AI$97,0)),0)</f>
        <v>0</v>
      </c>
      <c r="W380" s="273">
        <f>IFERROR(INDEX('2. GRI Pricing Inputs'!$C$104:$AI$105,MATCH('3. GRI Pricing'!$W$16,'2. GRI Pricing Inputs'!$C$104:$C$105,0),MATCH('1. Accomodation'!Y384,'2. GRI Pricing Inputs'!$C$104:$AI$104,0)),0)</f>
        <v>0</v>
      </c>
      <c r="X380" s="274"/>
      <c r="Y380" s="275">
        <f t="shared" si="12"/>
        <v>0</v>
      </c>
      <c r="Z380" s="276"/>
      <c r="AA380" s="276"/>
      <c r="AB380" s="276"/>
      <c r="AC380" s="272">
        <f>Y380*(1+'2. GRI Pricing Inputs'!$D$114)^(($AC$16-$AB$15)/365)</f>
        <v>0</v>
      </c>
      <c r="AD380" s="273">
        <f>AC380*(1+'2. GRI Pricing Inputs'!$D$114)^((AD$16-AC$16)/365)</f>
        <v>0</v>
      </c>
      <c r="AE380" s="273">
        <f>AD380*(1+'2. GRI Pricing Inputs'!$D$114)^((AE$16-AD$16)/365)</f>
        <v>0</v>
      </c>
      <c r="AF380" s="273">
        <f>AE380*(1+'2. GRI Pricing Inputs'!$D$114)^((AF$16-AE$16)/365)</f>
        <v>0</v>
      </c>
      <c r="AG380" s="273">
        <f>AF380*(1+'2. GRI Pricing Inputs'!$D$114)^((AG$16-AF$16)/365)</f>
        <v>0</v>
      </c>
      <c r="AH380" s="273">
        <f>AG380*(1+'2. GRI Pricing Inputs'!$D$114)^((AH$16-AG$16)/365)</f>
        <v>0</v>
      </c>
      <c r="AI380" s="273">
        <f>AH380*(1+'2. GRI Pricing Inputs'!$D$114)^((AI$16-AH$16)/365)</f>
        <v>0</v>
      </c>
      <c r="AJ380" s="273">
        <f>AI380*(1+'2. GRI Pricing Inputs'!$D$114)^((AJ$16-AI$16)/365)</f>
        <v>0</v>
      </c>
      <c r="AK380" s="273">
        <f>AJ380*(1+'2. GRI Pricing Inputs'!$D$114)^((AK$16-AJ$16)/365)</f>
        <v>0</v>
      </c>
      <c r="AL380" s="273">
        <f>AK380*(1+'2. GRI Pricing Inputs'!$D$114)^((AL$16-AK$16)/365)</f>
        <v>0</v>
      </c>
      <c r="AM380" s="273">
        <f>AL380*(1+'2. GRI Pricing Inputs'!$D$114)^((AM$16-AL$16)/365)</f>
        <v>0</v>
      </c>
      <c r="AN380" s="273">
        <f>AM380*(1+'2. GRI Pricing Inputs'!$D$114)^((AN$16-AM$16)/365)</f>
        <v>0</v>
      </c>
      <c r="AO380" s="273">
        <f>AN380*(1+'2. GRI Pricing Inputs'!$D$114)^((AO$16-AN$16)/365)</f>
        <v>0</v>
      </c>
    </row>
    <row r="381" spans="3:41" ht="12" x14ac:dyDescent="0.2">
      <c r="C381" s="76">
        <f>'1. Accomodation'!N385</f>
        <v>0</v>
      </c>
      <c r="D381" s="69">
        <f>'1. Accomodation'!P385</f>
        <v>0</v>
      </c>
      <c r="E381" s="69">
        <f>'1. Accomodation'!Q385</f>
        <v>0</v>
      </c>
      <c r="F381" s="77">
        <f>'1. Accomodation'!O385</f>
        <v>0</v>
      </c>
      <c r="G381" s="69">
        <f>'1. Accomodation'!R385</f>
        <v>0</v>
      </c>
      <c r="H381" s="69">
        <f>'1. Accomodation'!S385</f>
        <v>0</v>
      </c>
      <c r="I381" s="62"/>
      <c r="K381" s="272">
        <f>IFERROR(INDEX('2. GRI Pricing Inputs'!$C$15:$AI$16,MATCH($K$16,'2. GRI Pricing Inputs'!$C$15:$C$16,0),MATCH(D381,'2. GRI Pricing Inputs'!$C$15:$AI$15,0)),0)</f>
        <v>0</v>
      </c>
      <c r="L381" s="273">
        <f>IFERROR(INDEX('2. GRI Pricing Inputs'!$C$22:$AI$23,MATCH($L$16,'2. GRI Pricing Inputs'!$C$22:$C$23,0),MATCH(E381,'2. GRI Pricing Inputs'!$C$22:$AI$22,0)),0)</f>
        <v>0</v>
      </c>
      <c r="M381" s="328">
        <f>IF(AND('3. GRI Pricing'!$F381&gt;='2. GRI Pricing Inputs'!$D$33,'3. GRI Pricing'!$F381&lt;='2. GRI Pricing Inputs'!$E$33),'2. GRI Pricing Inputs'!$D$32,IF(AND('3. GRI Pricing'!$F381&gt;='2. GRI Pricing Inputs'!$F$33,'3. GRI Pricing'!$F381&lt;='2. GRI Pricing Inputs'!$G$33),'2. GRI Pricing Inputs'!$F$32,IF(AND('3. GRI Pricing'!$F381&gt;='2. GRI Pricing Inputs'!$H$33,'3. GRI Pricing'!$F381&lt;='2. GRI Pricing Inputs'!$I$33),'2. GRI Pricing Inputs'!$H$32,IF(AND('3. GRI Pricing'!$F381&gt;='2. GRI Pricing Inputs'!$J$33,'3. GRI Pricing'!$F381&lt;='2. GRI Pricing Inputs'!$K$33),'2. GRI Pricing Inputs'!$J$32,IF(AND('3. GRI Pricing'!$F381&gt;='2. GRI Pricing Inputs'!$L$33,'3. GRI Pricing'!$F381&lt;='2. GRI Pricing Inputs'!$M$33),'2. GRI Pricing Inputs'!$L$32,IF(AND('3. GRI Pricing'!$F381&gt;='2. GRI Pricing Inputs'!$N$33,'3. GRI Pricing'!$F381&lt;='2. GRI Pricing Inputs'!$O$33),'2. GRI Pricing Inputs'!$N$32,IF(AND('3. GRI Pricing'!$F381&gt;='2. GRI Pricing Inputs'!$P$33,'3. GRI Pricing'!$F381&lt;='2. GRI Pricing Inputs'!$Q$33),'2. GRI Pricing Inputs'!$P$32,IF(AND('3. GRI Pricing'!$F381&gt;='2. GRI Pricing Inputs'!$R$33,'3. GRI Pricing'!$F381&lt;='2. GRI Pricing Inputs'!$S$33),'2. GRI Pricing Inputs'!$R$32,IF(AND('3. GRI Pricing'!$F381&gt;='2. GRI Pricing Inputs'!$T$33,'3. GRI Pricing'!$F381&lt;='2. GRI Pricing Inputs'!$U$33),'2. GRI Pricing Inputs'!$T$32,IF(AND('3. GRI Pricing'!$F381&gt;='2. GRI Pricing Inputs'!$V$33,'3. GRI Pricing'!$F381&lt;='2. GRI Pricing Inputs'!$W$33),'2. GRI Pricing Inputs'!$V$32,IF(AND('3. GRI Pricing'!$F381&gt;='2. GRI Pricing Inputs'!$X$33,'3. GRI Pricing'!$F381&lt;='2. GRI Pricing Inputs'!$Y$33),'2. GRI Pricing Inputs'!$X$32,IF(AND('3. GRI Pricing'!$F381&gt;='2. GRI Pricing Inputs'!$Z$33,'3. GRI Pricing'!$F381&lt;='2. GRI Pricing Inputs'!$AA$33),'2. GRI Pricing Inputs'!$Z$32,IF(AND('3. GRI Pricing'!$F381&gt;='2. GRI Pricing Inputs'!$AB$33,'3. GRI Pricing'!$F381&lt;='2. GRI Pricing Inputs'!$AC$33),'2. GRI Pricing Inputs'!$AB$32,IF(AND('3. GRI Pricing'!$F381&gt;='2. GRI Pricing Inputs'!$AD$33,'3. GRI Pricing'!$F381&lt;='2. GRI Pricing Inputs'!$AE$33),'2. GRI Pricing Inputs'!$AD$32,IF(AND('3. GRI Pricing'!$F381&gt;='2. GRI Pricing Inputs'!$AF$33,'3. GRI Pricing'!$F381&lt;='2. GRI Pricing Inputs'!$AG$33),'2. GRI Pricing Inputs'!$AF$32,IF(AND('3. GRI Pricing'!$F381&gt;='2. GRI Pricing Inputs'!$AH$33,'3. GRI Pricing'!$F381&lt;='2. GRI Pricing Inputs'!$AI$33),'2. GRI Pricing Inputs'!$AH$32,0))))))))))))))))</f>
        <v>0</v>
      </c>
      <c r="N381" s="273" cm="1">
        <f t="array" ref="N381">IFERROR(INDEX('2. GRI Pricing Inputs'!$C$32:$AI$39,MATCH('3. GRI Pricing'!D381,'2. GRI Pricing Inputs'!$C$32:$C$39,0),(MATCH('3. GRI Pricing'!M381,'2. GRI Pricing Inputs'!$D$32:$AI$32,0)+1)),0)</f>
        <v>0</v>
      </c>
      <c r="O381" s="273">
        <f>IFERROR(INDEX('2. GRI Pricing Inputs'!$C$45:$AI$46,MATCH($O$16,'2. GRI Pricing Inputs'!$C$45:$C$46,0),MATCH(G381,'2. GRI Pricing Inputs'!$C$45:$AI$45,0)),0)</f>
        <v>0</v>
      </c>
      <c r="P381" s="273">
        <f>IFERROR(INDEX('2. GRI Pricing Inputs'!$C$53:$AI$54,MATCH('3. GRI Pricing'!$P$16,'2. GRI Pricing Inputs'!$C$53:$C$54,0),MATCH('3. GRI Pricing'!H381,'2. GRI Pricing Inputs'!$C$53:$AI$53,0)),0)</f>
        <v>0</v>
      </c>
      <c r="Q381" s="273">
        <f>IFERROR(INDEX('2. GRI Pricing Inputs'!$C$60:$AI$61,MATCH('3. GRI Pricing'!$Q$16,'2. GRI Pricing Inputs'!$C$60:$C$61,0),MATCH('1. Accomodation'!T385,'2. GRI Pricing Inputs'!$C$60:$AI$60,0)),0)</f>
        <v>0</v>
      </c>
      <c r="R381" s="273">
        <f>IFERROR(INDEX('2. GRI Pricing Inputs'!$C$67:$AI$68,MATCH('3. GRI Pricing'!$R$16,'2. GRI Pricing Inputs'!$C$67:$C$68,0),MATCH('1. Accomodation'!U385,'2. GRI Pricing Inputs'!$C$67:$AI$67,0)),0)</f>
        <v>0</v>
      </c>
      <c r="S381" s="273">
        <f>IF(D381=0,0,'2. GRI Pricing Inputs'!$AI$75)</f>
        <v>0</v>
      </c>
      <c r="T381" s="273">
        <f>IFERROR(INDEX('2. GRI Pricing Inputs'!$C$82:$AI$83,MATCH('3. GRI Pricing'!$T$16,'2. GRI Pricing Inputs'!$C$82:$C$83,0),MATCH('1. Accomodation'!V385,'2. GRI Pricing Inputs'!$C$82:$AI$82,0)),0)</f>
        <v>0</v>
      </c>
      <c r="U381" s="273">
        <f>IFERROR(INDEX('2. GRI Pricing Inputs'!$C$89:$AI$90,MATCH('3. GRI Pricing'!$U$16,'2. GRI Pricing Inputs'!$C$89:$C$90,0),MATCH('1. Accomodation'!W385,'2. GRI Pricing Inputs'!$C$89:$AI$89,0)),0)</f>
        <v>0</v>
      </c>
      <c r="V381" s="273">
        <f>IFERROR(INDEX('2. GRI Pricing Inputs'!$C$97:$AI$98,MATCH('3. GRI Pricing'!$V$16,'2. GRI Pricing Inputs'!$C$97:$C$98,0),MATCH('1. Accomodation'!X385,'2. GRI Pricing Inputs'!$C$97:$AI$97,0)),0)</f>
        <v>0</v>
      </c>
      <c r="W381" s="273">
        <f>IFERROR(INDEX('2. GRI Pricing Inputs'!$C$104:$AI$105,MATCH('3. GRI Pricing'!$W$16,'2. GRI Pricing Inputs'!$C$104:$C$105,0),MATCH('1. Accomodation'!Y385,'2. GRI Pricing Inputs'!$C$104:$AI$104,0)),0)</f>
        <v>0</v>
      </c>
      <c r="X381" s="274"/>
      <c r="Y381" s="275">
        <f t="shared" si="12"/>
        <v>0</v>
      </c>
      <c r="Z381" s="276"/>
      <c r="AA381" s="276"/>
      <c r="AB381" s="276"/>
      <c r="AC381" s="272">
        <f>Y381*(1+'2. GRI Pricing Inputs'!$D$114)^(($AC$16-$AB$15)/365)</f>
        <v>0</v>
      </c>
      <c r="AD381" s="273">
        <f>AC381*(1+'2. GRI Pricing Inputs'!$D$114)^((AD$16-AC$16)/365)</f>
        <v>0</v>
      </c>
      <c r="AE381" s="273">
        <f>AD381*(1+'2. GRI Pricing Inputs'!$D$114)^((AE$16-AD$16)/365)</f>
        <v>0</v>
      </c>
      <c r="AF381" s="273">
        <f>AE381*(1+'2. GRI Pricing Inputs'!$D$114)^((AF$16-AE$16)/365)</f>
        <v>0</v>
      </c>
      <c r="AG381" s="273">
        <f>AF381*(1+'2. GRI Pricing Inputs'!$D$114)^((AG$16-AF$16)/365)</f>
        <v>0</v>
      </c>
      <c r="AH381" s="273">
        <f>AG381*(1+'2. GRI Pricing Inputs'!$D$114)^((AH$16-AG$16)/365)</f>
        <v>0</v>
      </c>
      <c r="AI381" s="273">
        <f>AH381*(1+'2. GRI Pricing Inputs'!$D$114)^((AI$16-AH$16)/365)</f>
        <v>0</v>
      </c>
      <c r="AJ381" s="273">
        <f>AI381*(1+'2. GRI Pricing Inputs'!$D$114)^((AJ$16-AI$16)/365)</f>
        <v>0</v>
      </c>
      <c r="AK381" s="273">
        <f>AJ381*(1+'2. GRI Pricing Inputs'!$D$114)^((AK$16-AJ$16)/365)</f>
        <v>0</v>
      </c>
      <c r="AL381" s="273">
        <f>AK381*(1+'2. GRI Pricing Inputs'!$D$114)^((AL$16-AK$16)/365)</f>
        <v>0</v>
      </c>
      <c r="AM381" s="273">
        <f>AL381*(1+'2. GRI Pricing Inputs'!$D$114)^((AM$16-AL$16)/365)</f>
        <v>0</v>
      </c>
      <c r="AN381" s="273">
        <f>AM381*(1+'2. GRI Pricing Inputs'!$D$114)^((AN$16-AM$16)/365)</f>
        <v>0</v>
      </c>
      <c r="AO381" s="273">
        <f>AN381*(1+'2. GRI Pricing Inputs'!$D$114)^((AO$16-AN$16)/365)</f>
        <v>0</v>
      </c>
    </row>
    <row r="382" spans="3:41" ht="12" x14ac:dyDescent="0.2">
      <c r="C382" s="76">
        <f>'1. Accomodation'!N386</f>
        <v>0</v>
      </c>
      <c r="D382" s="69">
        <f>'1. Accomodation'!P386</f>
        <v>0</v>
      </c>
      <c r="E382" s="69">
        <f>'1. Accomodation'!Q386</f>
        <v>0</v>
      </c>
      <c r="F382" s="77">
        <f>'1. Accomodation'!O386</f>
        <v>0</v>
      </c>
      <c r="G382" s="69">
        <f>'1. Accomodation'!R386</f>
        <v>0</v>
      </c>
      <c r="H382" s="69">
        <f>'1. Accomodation'!S386</f>
        <v>0</v>
      </c>
      <c r="I382" s="62"/>
      <c r="K382" s="272">
        <f>IFERROR(INDEX('2. GRI Pricing Inputs'!$C$15:$AI$16,MATCH($K$16,'2. GRI Pricing Inputs'!$C$15:$C$16,0),MATCH(D382,'2. GRI Pricing Inputs'!$C$15:$AI$15,0)),0)</f>
        <v>0</v>
      </c>
      <c r="L382" s="273">
        <f>IFERROR(INDEX('2. GRI Pricing Inputs'!$C$22:$AI$23,MATCH($L$16,'2. GRI Pricing Inputs'!$C$22:$C$23,0),MATCH(E382,'2. GRI Pricing Inputs'!$C$22:$AI$22,0)),0)</f>
        <v>0</v>
      </c>
      <c r="M382" s="328">
        <f>IF(AND('3. GRI Pricing'!$F382&gt;='2. GRI Pricing Inputs'!$D$33,'3. GRI Pricing'!$F382&lt;='2. GRI Pricing Inputs'!$E$33),'2. GRI Pricing Inputs'!$D$32,IF(AND('3. GRI Pricing'!$F382&gt;='2. GRI Pricing Inputs'!$F$33,'3. GRI Pricing'!$F382&lt;='2. GRI Pricing Inputs'!$G$33),'2. GRI Pricing Inputs'!$F$32,IF(AND('3. GRI Pricing'!$F382&gt;='2. GRI Pricing Inputs'!$H$33,'3. GRI Pricing'!$F382&lt;='2. GRI Pricing Inputs'!$I$33),'2. GRI Pricing Inputs'!$H$32,IF(AND('3. GRI Pricing'!$F382&gt;='2. GRI Pricing Inputs'!$J$33,'3. GRI Pricing'!$F382&lt;='2. GRI Pricing Inputs'!$K$33),'2. GRI Pricing Inputs'!$J$32,IF(AND('3. GRI Pricing'!$F382&gt;='2. GRI Pricing Inputs'!$L$33,'3. GRI Pricing'!$F382&lt;='2. GRI Pricing Inputs'!$M$33),'2. GRI Pricing Inputs'!$L$32,IF(AND('3. GRI Pricing'!$F382&gt;='2. GRI Pricing Inputs'!$N$33,'3. GRI Pricing'!$F382&lt;='2. GRI Pricing Inputs'!$O$33),'2. GRI Pricing Inputs'!$N$32,IF(AND('3. GRI Pricing'!$F382&gt;='2. GRI Pricing Inputs'!$P$33,'3. GRI Pricing'!$F382&lt;='2. GRI Pricing Inputs'!$Q$33),'2. GRI Pricing Inputs'!$P$32,IF(AND('3. GRI Pricing'!$F382&gt;='2. GRI Pricing Inputs'!$R$33,'3. GRI Pricing'!$F382&lt;='2. GRI Pricing Inputs'!$S$33),'2. GRI Pricing Inputs'!$R$32,IF(AND('3. GRI Pricing'!$F382&gt;='2. GRI Pricing Inputs'!$T$33,'3. GRI Pricing'!$F382&lt;='2. GRI Pricing Inputs'!$U$33),'2. GRI Pricing Inputs'!$T$32,IF(AND('3. GRI Pricing'!$F382&gt;='2. GRI Pricing Inputs'!$V$33,'3. GRI Pricing'!$F382&lt;='2. GRI Pricing Inputs'!$W$33),'2. GRI Pricing Inputs'!$V$32,IF(AND('3. GRI Pricing'!$F382&gt;='2. GRI Pricing Inputs'!$X$33,'3. GRI Pricing'!$F382&lt;='2. GRI Pricing Inputs'!$Y$33),'2. GRI Pricing Inputs'!$X$32,IF(AND('3. GRI Pricing'!$F382&gt;='2. GRI Pricing Inputs'!$Z$33,'3. GRI Pricing'!$F382&lt;='2. GRI Pricing Inputs'!$AA$33),'2. GRI Pricing Inputs'!$Z$32,IF(AND('3. GRI Pricing'!$F382&gt;='2. GRI Pricing Inputs'!$AB$33,'3. GRI Pricing'!$F382&lt;='2. GRI Pricing Inputs'!$AC$33),'2. GRI Pricing Inputs'!$AB$32,IF(AND('3. GRI Pricing'!$F382&gt;='2. GRI Pricing Inputs'!$AD$33,'3. GRI Pricing'!$F382&lt;='2. GRI Pricing Inputs'!$AE$33),'2. GRI Pricing Inputs'!$AD$32,IF(AND('3. GRI Pricing'!$F382&gt;='2. GRI Pricing Inputs'!$AF$33,'3. GRI Pricing'!$F382&lt;='2. GRI Pricing Inputs'!$AG$33),'2. GRI Pricing Inputs'!$AF$32,IF(AND('3. GRI Pricing'!$F382&gt;='2. GRI Pricing Inputs'!$AH$33,'3. GRI Pricing'!$F382&lt;='2. GRI Pricing Inputs'!$AI$33),'2. GRI Pricing Inputs'!$AH$32,0))))))))))))))))</f>
        <v>0</v>
      </c>
      <c r="N382" s="273" cm="1">
        <f t="array" ref="N382">IFERROR(INDEX('2. GRI Pricing Inputs'!$C$32:$AI$39,MATCH('3. GRI Pricing'!D382,'2. GRI Pricing Inputs'!$C$32:$C$39,0),(MATCH('3. GRI Pricing'!M382,'2. GRI Pricing Inputs'!$D$32:$AI$32,0)+1)),0)</f>
        <v>0</v>
      </c>
      <c r="O382" s="273">
        <f>IFERROR(INDEX('2. GRI Pricing Inputs'!$C$45:$AI$46,MATCH($O$16,'2. GRI Pricing Inputs'!$C$45:$C$46,0),MATCH(G382,'2. GRI Pricing Inputs'!$C$45:$AI$45,0)),0)</f>
        <v>0</v>
      </c>
      <c r="P382" s="273">
        <f>IFERROR(INDEX('2. GRI Pricing Inputs'!$C$53:$AI$54,MATCH('3. GRI Pricing'!$P$16,'2. GRI Pricing Inputs'!$C$53:$C$54,0),MATCH('3. GRI Pricing'!H382,'2. GRI Pricing Inputs'!$C$53:$AI$53,0)),0)</f>
        <v>0</v>
      </c>
      <c r="Q382" s="273">
        <f>IFERROR(INDEX('2. GRI Pricing Inputs'!$C$60:$AI$61,MATCH('3. GRI Pricing'!$Q$16,'2. GRI Pricing Inputs'!$C$60:$C$61,0),MATCH('1. Accomodation'!T386,'2. GRI Pricing Inputs'!$C$60:$AI$60,0)),0)</f>
        <v>0</v>
      </c>
      <c r="R382" s="273">
        <f>IFERROR(INDEX('2. GRI Pricing Inputs'!$C$67:$AI$68,MATCH('3. GRI Pricing'!$R$16,'2. GRI Pricing Inputs'!$C$67:$C$68,0),MATCH('1. Accomodation'!U386,'2. GRI Pricing Inputs'!$C$67:$AI$67,0)),0)</f>
        <v>0</v>
      </c>
      <c r="S382" s="273">
        <f>IF(D382=0,0,'2. GRI Pricing Inputs'!$AI$75)</f>
        <v>0</v>
      </c>
      <c r="T382" s="273">
        <f>IFERROR(INDEX('2. GRI Pricing Inputs'!$C$82:$AI$83,MATCH('3. GRI Pricing'!$T$16,'2. GRI Pricing Inputs'!$C$82:$C$83,0),MATCH('1. Accomodation'!V386,'2. GRI Pricing Inputs'!$C$82:$AI$82,0)),0)</f>
        <v>0</v>
      </c>
      <c r="U382" s="273">
        <f>IFERROR(INDEX('2. GRI Pricing Inputs'!$C$89:$AI$90,MATCH('3. GRI Pricing'!$U$16,'2. GRI Pricing Inputs'!$C$89:$C$90,0),MATCH('1. Accomodation'!W386,'2. GRI Pricing Inputs'!$C$89:$AI$89,0)),0)</f>
        <v>0</v>
      </c>
      <c r="V382" s="273">
        <f>IFERROR(INDEX('2. GRI Pricing Inputs'!$C$97:$AI$98,MATCH('3. GRI Pricing'!$V$16,'2. GRI Pricing Inputs'!$C$97:$C$98,0),MATCH('1. Accomodation'!X386,'2. GRI Pricing Inputs'!$C$97:$AI$97,0)),0)</f>
        <v>0</v>
      </c>
      <c r="W382" s="273">
        <f>IFERROR(INDEX('2. GRI Pricing Inputs'!$C$104:$AI$105,MATCH('3. GRI Pricing'!$W$16,'2. GRI Pricing Inputs'!$C$104:$C$105,0),MATCH('1. Accomodation'!Y386,'2. GRI Pricing Inputs'!$C$104:$AI$104,0)),0)</f>
        <v>0</v>
      </c>
      <c r="X382" s="274"/>
      <c r="Y382" s="275">
        <f t="shared" si="12"/>
        <v>0</v>
      </c>
      <c r="Z382" s="276"/>
      <c r="AA382" s="276"/>
      <c r="AB382" s="276"/>
      <c r="AC382" s="272">
        <f>Y382*(1+'2. GRI Pricing Inputs'!$D$114)^(($AC$16-$AB$15)/365)</f>
        <v>0</v>
      </c>
      <c r="AD382" s="273">
        <f>AC382*(1+'2. GRI Pricing Inputs'!$D$114)^((AD$16-AC$16)/365)</f>
        <v>0</v>
      </c>
      <c r="AE382" s="273">
        <f>AD382*(1+'2. GRI Pricing Inputs'!$D$114)^((AE$16-AD$16)/365)</f>
        <v>0</v>
      </c>
      <c r="AF382" s="273">
        <f>AE382*(1+'2. GRI Pricing Inputs'!$D$114)^((AF$16-AE$16)/365)</f>
        <v>0</v>
      </c>
      <c r="AG382" s="273">
        <f>AF382*(1+'2. GRI Pricing Inputs'!$D$114)^((AG$16-AF$16)/365)</f>
        <v>0</v>
      </c>
      <c r="AH382" s="273">
        <f>AG382*(1+'2. GRI Pricing Inputs'!$D$114)^((AH$16-AG$16)/365)</f>
        <v>0</v>
      </c>
      <c r="AI382" s="273">
        <f>AH382*(1+'2. GRI Pricing Inputs'!$D$114)^((AI$16-AH$16)/365)</f>
        <v>0</v>
      </c>
      <c r="AJ382" s="273">
        <f>AI382*(1+'2. GRI Pricing Inputs'!$D$114)^((AJ$16-AI$16)/365)</f>
        <v>0</v>
      </c>
      <c r="AK382" s="273">
        <f>AJ382*(1+'2. GRI Pricing Inputs'!$D$114)^((AK$16-AJ$16)/365)</f>
        <v>0</v>
      </c>
      <c r="AL382" s="273">
        <f>AK382*(1+'2. GRI Pricing Inputs'!$D$114)^((AL$16-AK$16)/365)</f>
        <v>0</v>
      </c>
      <c r="AM382" s="273">
        <f>AL382*(1+'2. GRI Pricing Inputs'!$D$114)^((AM$16-AL$16)/365)</f>
        <v>0</v>
      </c>
      <c r="AN382" s="273">
        <f>AM382*(1+'2. GRI Pricing Inputs'!$D$114)^((AN$16-AM$16)/365)</f>
        <v>0</v>
      </c>
      <c r="AO382" s="273">
        <f>AN382*(1+'2. GRI Pricing Inputs'!$D$114)^((AO$16-AN$16)/365)</f>
        <v>0</v>
      </c>
    </row>
    <row r="383" spans="3:41" ht="12" x14ac:dyDescent="0.2">
      <c r="C383" s="76">
        <f>'1. Accomodation'!N387</f>
        <v>0</v>
      </c>
      <c r="D383" s="69">
        <f>'1. Accomodation'!P387</f>
        <v>0</v>
      </c>
      <c r="E383" s="69">
        <f>'1. Accomodation'!Q387</f>
        <v>0</v>
      </c>
      <c r="F383" s="77">
        <f>'1. Accomodation'!O387</f>
        <v>0</v>
      </c>
      <c r="G383" s="69">
        <f>'1. Accomodation'!R387</f>
        <v>0</v>
      </c>
      <c r="H383" s="69">
        <f>'1. Accomodation'!S387</f>
        <v>0</v>
      </c>
      <c r="I383" s="62"/>
      <c r="K383" s="272">
        <f>IFERROR(INDEX('2. GRI Pricing Inputs'!$C$15:$AI$16,MATCH($K$16,'2. GRI Pricing Inputs'!$C$15:$C$16,0),MATCH(D383,'2. GRI Pricing Inputs'!$C$15:$AI$15,0)),0)</f>
        <v>0</v>
      </c>
      <c r="L383" s="273">
        <f>IFERROR(INDEX('2. GRI Pricing Inputs'!$C$22:$AI$23,MATCH($L$16,'2. GRI Pricing Inputs'!$C$22:$C$23,0),MATCH(E383,'2. GRI Pricing Inputs'!$C$22:$AI$22,0)),0)</f>
        <v>0</v>
      </c>
      <c r="M383" s="328">
        <f>IF(AND('3. GRI Pricing'!$F383&gt;='2. GRI Pricing Inputs'!$D$33,'3. GRI Pricing'!$F383&lt;='2. GRI Pricing Inputs'!$E$33),'2. GRI Pricing Inputs'!$D$32,IF(AND('3. GRI Pricing'!$F383&gt;='2. GRI Pricing Inputs'!$F$33,'3. GRI Pricing'!$F383&lt;='2. GRI Pricing Inputs'!$G$33),'2. GRI Pricing Inputs'!$F$32,IF(AND('3. GRI Pricing'!$F383&gt;='2. GRI Pricing Inputs'!$H$33,'3. GRI Pricing'!$F383&lt;='2. GRI Pricing Inputs'!$I$33),'2. GRI Pricing Inputs'!$H$32,IF(AND('3. GRI Pricing'!$F383&gt;='2. GRI Pricing Inputs'!$J$33,'3. GRI Pricing'!$F383&lt;='2. GRI Pricing Inputs'!$K$33),'2. GRI Pricing Inputs'!$J$32,IF(AND('3. GRI Pricing'!$F383&gt;='2. GRI Pricing Inputs'!$L$33,'3. GRI Pricing'!$F383&lt;='2. GRI Pricing Inputs'!$M$33),'2. GRI Pricing Inputs'!$L$32,IF(AND('3. GRI Pricing'!$F383&gt;='2. GRI Pricing Inputs'!$N$33,'3. GRI Pricing'!$F383&lt;='2. GRI Pricing Inputs'!$O$33),'2. GRI Pricing Inputs'!$N$32,IF(AND('3. GRI Pricing'!$F383&gt;='2. GRI Pricing Inputs'!$P$33,'3. GRI Pricing'!$F383&lt;='2. GRI Pricing Inputs'!$Q$33),'2. GRI Pricing Inputs'!$P$32,IF(AND('3. GRI Pricing'!$F383&gt;='2. GRI Pricing Inputs'!$R$33,'3. GRI Pricing'!$F383&lt;='2. GRI Pricing Inputs'!$S$33),'2. GRI Pricing Inputs'!$R$32,IF(AND('3. GRI Pricing'!$F383&gt;='2. GRI Pricing Inputs'!$T$33,'3. GRI Pricing'!$F383&lt;='2. GRI Pricing Inputs'!$U$33),'2. GRI Pricing Inputs'!$T$32,IF(AND('3. GRI Pricing'!$F383&gt;='2. GRI Pricing Inputs'!$V$33,'3. GRI Pricing'!$F383&lt;='2. GRI Pricing Inputs'!$W$33),'2. GRI Pricing Inputs'!$V$32,IF(AND('3. GRI Pricing'!$F383&gt;='2. GRI Pricing Inputs'!$X$33,'3. GRI Pricing'!$F383&lt;='2. GRI Pricing Inputs'!$Y$33),'2. GRI Pricing Inputs'!$X$32,IF(AND('3. GRI Pricing'!$F383&gt;='2. GRI Pricing Inputs'!$Z$33,'3. GRI Pricing'!$F383&lt;='2. GRI Pricing Inputs'!$AA$33),'2. GRI Pricing Inputs'!$Z$32,IF(AND('3. GRI Pricing'!$F383&gt;='2. GRI Pricing Inputs'!$AB$33,'3. GRI Pricing'!$F383&lt;='2. GRI Pricing Inputs'!$AC$33),'2. GRI Pricing Inputs'!$AB$32,IF(AND('3. GRI Pricing'!$F383&gt;='2. GRI Pricing Inputs'!$AD$33,'3. GRI Pricing'!$F383&lt;='2. GRI Pricing Inputs'!$AE$33),'2. GRI Pricing Inputs'!$AD$32,IF(AND('3. GRI Pricing'!$F383&gt;='2. GRI Pricing Inputs'!$AF$33,'3. GRI Pricing'!$F383&lt;='2. GRI Pricing Inputs'!$AG$33),'2. GRI Pricing Inputs'!$AF$32,IF(AND('3. GRI Pricing'!$F383&gt;='2. GRI Pricing Inputs'!$AH$33,'3. GRI Pricing'!$F383&lt;='2. GRI Pricing Inputs'!$AI$33),'2. GRI Pricing Inputs'!$AH$32,0))))))))))))))))</f>
        <v>0</v>
      </c>
      <c r="N383" s="273" cm="1">
        <f t="array" ref="N383">IFERROR(INDEX('2. GRI Pricing Inputs'!$C$32:$AI$39,MATCH('3. GRI Pricing'!D383,'2. GRI Pricing Inputs'!$C$32:$C$39,0),(MATCH('3. GRI Pricing'!M383,'2. GRI Pricing Inputs'!$D$32:$AI$32,0)+1)),0)</f>
        <v>0</v>
      </c>
      <c r="O383" s="273">
        <f>IFERROR(INDEX('2. GRI Pricing Inputs'!$C$45:$AI$46,MATCH($O$16,'2. GRI Pricing Inputs'!$C$45:$C$46,0),MATCH(G383,'2. GRI Pricing Inputs'!$C$45:$AI$45,0)),0)</f>
        <v>0</v>
      </c>
      <c r="P383" s="273">
        <f>IFERROR(INDEX('2. GRI Pricing Inputs'!$C$53:$AI$54,MATCH('3. GRI Pricing'!$P$16,'2. GRI Pricing Inputs'!$C$53:$C$54,0),MATCH('3. GRI Pricing'!H383,'2. GRI Pricing Inputs'!$C$53:$AI$53,0)),0)</f>
        <v>0</v>
      </c>
      <c r="Q383" s="273">
        <f>IFERROR(INDEX('2. GRI Pricing Inputs'!$C$60:$AI$61,MATCH('3. GRI Pricing'!$Q$16,'2. GRI Pricing Inputs'!$C$60:$C$61,0),MATCH('1. Accomodation'!T387,'2. GRI Pricing Inputs'!$C$60:$AI$60,0)),0)</f>
        <v>0</v>
      </c>
      <c r="R383" s="273">
        <f>IFERROR(INDEX('2. GRI Pricing Inputs'!$C$67:$AI$68,MATCH('3. GRI Pricing'!$R$16,'2. GRI Pricing Inputs'!$C$67:$C$68,0),MATCH('1. Accomodation'!U387,'2. GRI Pricing Inputs'!$C$67:$AI$67,0)),0)</f>
        <v>0</v>
      </c>
      <c r="S383" s="273">
        <f>IF(D383=0,0,'2. GRI Pricing Inputs'!$AI$75)</f>
        <v>0</v>
      </c>
      <c r="T383" s="273">
        <f>IFERROR(INDEX('2. GRI Pricing Inputs'!$C$82:$AI$83,MATCH('3. GRI Pricing'!$T$16,'2. GRI Pricing Inputs'!$C$82:$C$83,0),MATCH('1. Accomodation'!V387,'2. GRI Pricing Inputs'!$C$82:$AI$82,0)),0)</f>
        <v>0</v>
      </c>
      <c r="U383" s="273">
        <f>IFERROR(INDEX('2. GRI Pricing Inputs'!$C$89:$AI$90,MATCH('3. GRI Pricing'!$U$16,'2. GRI Pricing Inputs'!$C$89:$C$90,0),MATCH('1. Accomodation'!W387,'2. GRI Pricing Inputs'!$C$89:$AI$89,0)),0)</f>
        <v>0</v>
      </c>
      <c r="V383" s="273">
        <f>IFERROR(INDEX('2. GRI Pricing Inputs'!$C$97:$AI$98,MATCH('3. GRI Pricing'!$V$16,'2. GRI Pricing Inputs'!$C$97:$C$98,0),MATCH('1. Accomodation'!X387,'2. GRI Pricing Inputs'!$C$97:$AI$97,0)),0)</f>
        <v>0</v>
      </c>
      <c r="W383" s="273">
        <f>IFERROR(INDEX('2. GRI Pricing Inputs'!$C$104:$AI$105,MATCH('3. GRI Pricing'!$W$16,'2. GRI Pricing Inputs'!$C$104:$C$105,0),MATCH('1. Accomodation'!Y387,'2. GRI Pricing Inputs'!$C$104:$AI$104,0)),0)</f>
        <v>0</v>
      </c>
      <c r="X383" s="274"/>
      <c r="Y383" s="275">
        <f t="shared" si="12"/>
        <v>0</v>
      </c>
      <c r="Z383" s="276"/>
      <c r="AA383" s="276"/>
      <c r="AB383" s="276"/>
      <c r="AC383" s="272">
        <f>Y383*(1+'2. GRI Pricing Inputs'!$D$114)^(($AC$16-$AB$15)/365)</f>
        <v>0</v>
      </c>
      <c r="AD383" s="273">
        <f>AC383*(1+'2. GRI Pricing Inputs'!$D$114)^((AD$16-AC$16)/365)</f>
        <v>0</v>
      </c>
      <c r="AE383" s="273">
        <f>AD383*(1+'2. GRI Pricing Inputs'!$D$114)^((AE$16-AD$16)/365)</f>
        <v>0</v>
      </c>
      <c r="AF383" s="273">
        <f>AE383*(1+'2. GRI Pricing Inputs'!$D$114)^((AF$16-AE$16)/365)</f>
        <v>0</v>
      </c>
      <c r="AG383" s="273">
        <f>AF383*(1+'2. GRI Pricing Inputs'!$D$114)^((AG$16-AF$16)/365)</f>
        <v>0</v>
      </c>
      <c r="AH383" s="273">
        <f>AG383*(1+'2. GRI Pricing Inputs'!$D$114)^((AH$16-AG$16)/365)</f>
        <v>0</v>
      </c>
      <c r="AI383" s="273">
        <f>AH383*(1+'2. GRI Pricing Inputs'!$D$114)^((AI$16-AH$16)/365)</f>
        <v>0</v>
      </c>
      <c r="AJ383" s="273">
        <f>AI383*(1+'2. GRI Pricing Inputs'!$D$114)^((AJ$16-AI$16)/365)</f>
        <v>0</v>
      </c>
      <c r="AK383" s="273">
        <f>AJ383*(1+'2. GRI Pricing Inputs'!$D$114)^((AK$16-AJ$16)/365)</f>
        <v>0</v>
      </c>
      <c r="AL383" s="273">
        <f>AK383*(1+'2. GRI Pricing Inputs'!$D$114)^((AL$16-AK$16)/365)</f>
        <v>0</v>
      </c>
      <c r="AM383" s="273">
        <f>AL383*(1+'2. GRI Pricing Inputs'!$D$114)^((AM$16-AL$16)/365)</f>
        <v>0</v>
      </c>
      <c r="AN383" s="273">
        <f>AM383*(1+'2. GRI Pricing Inputs'!$D$114)^((AN$16-AM$16)/365)</f>
        <v>0</v>
      </c>
      <c r="AO383" s="273">
        <f>AN383*(1+'2. GRI Pricing Inputs'!$D$114)^((AO$16-AN$16)/365)</f>
        <v>0</v>
      </c>
    </row>
    <row r="384" spans="3:41" ht="12" x14ac:dyDescent="0.2">
      <c r="C384" s="76">
        <f>'1. Accomodation'!N388</f>
        <v>0</v>
      </c>
      <c r="D384" s="69">
        <f>'1. Accomodation'!P388</f>
        <v>0</v>
      </c>
      <c r="E384" s="69">
        <f>'1. Accomodation'!Q388</f>
        <v>0</v>
      </c>
      <c r="F384" s="77">
        <f>'1. Accomodation'!O388</f>
        <v>0</v>
      </c>
      <c r="G384" s="69">
        <f>'1. Accomodation'!R388</f>
        <v>0</v>
      </c>
      <c r="H384" s="69">
        <f>'1. Accomodation'!S388</f>
        <v>0</v>
      </c>
      <c r="I384" s="62"/>
      <c r="K384" s="272">
        <f>IFERROR(INDEX('2. GRI Pricing Inputs'!$C$15:$AI$16,MATCH($K$16,'2. GRI Pricing Inputs'!$C$15:$C$16,0),MATCH(D384,'2. GRI Pricing Inputs'!$C$15:$AI$15,0)),0)</f>
        <v>0</v>
      </c>
      <c r="L384" s="273">
        <f>IFERROR(INDEX('2. GRI Pricing Inputs'!$C$22:$AI$23,MATCH($L$16,'2. GRI Pricing Inputs'!$C$22:$C$23,0),MATCH(E384,'2. GRI Pricing Inputs'!$C$22:$AI$22,0)),0)</f>
        <v>0</v>
      </c>
      <c r="M384" s="328">
        <f>IF(AND('3. GRI Pricing'!$F384&gt;='2. GRI Pricing Inputs'!$D$33,'3. GRI Pricing'!$F384&lt;='2. GRI Pricing Inputs'!$E$33),'2. GRI Pricing Inputs'!$D$32,IF(AND('3. GRI Pricing'!$F384&gt;='2. GRI Pricing Inputs'!$F$33,'3. GRI Pricing'!$F384&lt;='2. GRI Pricing Inputs'!$G$33),'2. GRI Pricing Inputs'!$F$32,IF(AND('3. GRI Pricing'!$F384&gt;='2. GRI Pricing Inputs'!$H$33,'3. GRI Pricing'!$F384&lt;='2. GRI Pricing Inputs'!$I$33),'2. GRI Pricing Inputs'!$H$32,IF(AND('3. GRI Pricing'!$F384&gt;='2. GRI Pricing Inputs'!$J$33,'3. GRI Pricing'!$F384&lt;='2. GRI Pricing Inputs'!$K$33),'2. GRI Pricing Inputs'!$J$32,IF(AND('3. GRI Pricing'!$F384&gt;='2. GRI Pricing Inputs'!$L$33,'3. GRI Pricing'!$F384&lt;='2. GRI Pricing Inputs'!$M$33),'2. GRI Pricing Inputs'!$L$32,IF(AND('3. GRI Pricing'!$F384&gt;='2. GRI Pricing Inputs'!$N$33,'3. GRI Pricing'!$F384&lt;='2. GRI Pricing Inputs'!$O$33),'2. GRI Pricing Inputs'!$N$32,IF(AND('3. GRI Pricing'!$F384&gt;='2. GRI Pricing Inputs'!$P$33,'3. GRI Pricing'!$F384&lt;='2. GRI Pricing Inputs'!$Q$33),'2. GRI Pricing Inputs'!$P$32,IF(AND('3. GRI Pricing'!$F384&gt;='2. GRI Pricing Inputs'!$R$33,'3. GRI Pricing'!$F384&lt;='2. GRI Pricing Inputs'!$S$33),'2. GRI Pricing Inputs'!$R$32,IF(AND('3. GRI Pricing'!$F384&gt;='2. GRI Pricing Inputs'!$T$33,'3. GRI Pricing'!$F384&lt;='2. GRI Pricing Inputs'!$U$33),'2. GRI Pricing Inputs'!$T$32,IF(AND('3. GRI Pricing'!$F384&gt;='2. GRI Pricing Inputs'!$V$33,'3. GRI Pricing'!$F384&lt;='2. GRI Pricing Inputs'!$W$33),'2. GRI Pricing Inputs'!$V$32,IF(AND('3. GRI Pricing'!$F384&gt;='2. GRI Pricing Inputs'!$X$33,'3. GRI Pricing'!$F384&lt;='2. GRI Pricing Inputs'!$Y$33),'2. GRI Pricing Inputs'!$X$32,IF(AND('3. GRI Pricing'!$F384&gt;='2. GRI Pricing Inputs'!$Z$33,'3. GRI Pricing'!$F384&lt;='2. GRI Pricing Inputs'!$AA$33),'2. GRI Pricing Inputs'!$Z$32,IF(AND('3. GRI Pricing'!$F384&gt;='2. GRI Pricing Inputs'!$AB$33,'3. GRI Pricing'!$F384&lt;='2. GRI Pricing Inputs'!$AC$33),'2. GRI Pricing Inputs'!$AB$32,IF(AND('3. GRI Pricing'!$F384&gt;='2. GRI Pricing Inputs'!$AD$33,'3. GRI Pricing'!$F384&lt;='2. GRI Pricing Inputs'!$AE$33),'2. GRI Pricing Inputs'!$AD$32,IF(AND('3. GRI Pricing'!$F384&gt;='2. GRI Pricing Inputs'!$AF$33,'3. GRI Pricing'!$F384&lt;='2. GRI Pricing Inputs'!$AG$33),'2. GRI Pricing Inputs'!$AF$32,IF(AND('3. GRI Pricing'!$F384&gt;='2. GRI Pricing Inputs'!$AH$33,'3. GRI Pricing'!$F384&lt;='2. GRI Pricing Inputs'!$AI$33),'2. GRI Pricing Inputs'!$AH$32,0))))))))))))))))</f>
        <v>0</v>
      </c>
      <c r="N384" s="273" cm="1">
        <f t="array" ref="N384">IFERROR(INDEX('2. GRI Pricing Inputs'!$C$32:$AI$39,MATCH('3. GRI Pricing'!D384,'2. GRI Pricing Inputs'!$C$32:$C$39,0),(MATCH('3. GRI Pricing'!M384,'2. GRI Pricing Inputs'!$D$32:$AI$32,0)+1)),0)</f>
        <v>0</v>
      </c>
      <c r="O384" s="273">
        <f>IFERROR(INDEX('2. GRI Pricing Inputs'!$C$45:$AI$46,MATCH($O$16,'2. GRI Pricing Inputs'!$C$45:$C$46,0),MATCH(G384,'2. GRI Pricing Inputs'!$C$45:$AI$45,0)),0)</f>
        <v>0</v>
      </c>
      <c r="P384" s="273">
        <f>IFERROR(INDEX('2. GRI Pricing Inputs'!$C$53:$AI$54,MATCH('3. GRI Pricing'!$P$16,'2. GRI Pricing Inputs'!$C$53:$C$54,0),MATCH('3. GRI Pricing'!H384,'2. GRI Pricing Inputs'!$C$53:$AI$53,0)),0)</f>
        <v>0</v>
      </c>
      <c r="Q384" s="273">
        <f>IFERROR(INDEX('2. GRI Pricing Inputs'!$C$60:$AI$61,MATCH('3. GRI Pricing'!$Q$16,'2. GRI Pricing Inputs'!$C$60:$C$61,0),MATCH('1. Accomodation'!T388,'2. GRI Pricing Inputs'!$C$60:$AI$60,0)),0)</f>
        <v>0</v>
      </c>
      <c r="R384" s="273">
        <f>IFERROR(INDEX('2. GRI Pricing Inputs'!$C$67:$AI$68,MATCH('3. GRI Pricing'!$R$16,'2. GRI Pricing Inputs'!$C$67:$C$68,0),MATCH('1. Accomodation'!U388,'2. GRI Pricing Inputs'!$C$67:$AI$67,0)),0)</f>
        <v>0</v>
      </c>
      <c r="S384" s="273">
        <f>IF(D384=0,0,'2. GRI Pricing Inputs'!$AI$75)</f>
        <v>0</v>
      </c>
      <c r="T384" s="273">
        <f>IFERROR(INDEX('2. GRI Pricing Inputs'!$C$82:$AI$83,MATCH('3. GRI Pricing'!$T$16,'2. GRI Pricing Inputs'!$C$82:$C$83,0),MATCH('1. Accomodation'!V388,'2. GRI Pricing Inputs'!$C$82:$AI$82,0)),0)</f>
        <v>0</v>
      </c>
      <c r="U384" s="273">
        <f>IFERROR(INDEX('2. GRI Pricing Inputs'!$C$89:$AI$90,MATCH('3. GRI Pricing'!$U$16,'2. GRI Pricing Inputs'!$C$89:$C$90,0),MATCH('1. Accomodation'!W388,'2. GRI Pricing Inputs'!$C$89:$AI$89,0)),0)</f>
        <v>0</v>
      </c>
      <c r="V384" s="273">
        <f>IFERROR(INDEX('2. GRI Pricing Inputs'!$C$97:$AI$98,MATCH('3. GRI Pricing'!$V$16,'2. GRI Pricing Inputs'!$C$97:$C$98,0),MATCH('1. Accomodation'!X388,'2. GRI Pricing Inputs'!$C$97:$AI$97,0)),0)</f>
        <v>0</v>
      </c>
      <c r="W384" s="273">
        <f>IFERROR(INDEX('2. GRI Pricing Inputs'!$C$104:$AI$105,MATCH('3. GRI Pricing'!$W$16,'2. GRI Pricing Inputs'!$C$104:$C$105,0),MATCH('1. Accomodation'!Y388,'2. GRI Pricing Inputs'!$C$104:$AI$104,0)),0)</f>
        <v>0</v>
      </c>
      <c r="X384" s="274"/>
      <c r="Y384" s="275">
        <f t="shared" si="12"/>
        <v>0</v>
      </c>
      <c r="Z384" s="276"/>
      <c r="AA384" s="276"/>
      <c r="AB384" s="276"/>
      <c r="AC384" s="272">
        <f>Y384*(1+'2. GRI Pricing Inputs'!$D$114)^(($AC$16-$AB$15)/365)</f>
        <v>0</v>
      </c>
      <c r="AD384" s="273">
        <f>AC384*(1+'2. GRI Pricing Inputs'!$D$114)^((AD$16-AC$16)/365)</f>
        <v>0</v>
      </c>
      <c r="AE384" s="273">
        <f>AD384*(1+'2. GRI Pricing Inputs'!$D$114)^((AE$16-AD$16)/365)</f>
        <v>0</v>
      </c>
      <c r="AF384" s="273">
        <f>AE384*(1+'2. GRI Pricing Inputs'!$D$114)^((AF$16-AE$16)/365)</f>
        <v>0</v>
      </c>
      <c r="AG384" s="273">
        <f>AF384*(1+'2. GRI Pricing Inputs'!$D$114)^((AG$16-AF$16)/365)</f>
        <v>0</v>
      </c>
      <c r="AH384" s="273">
        <f>AG384*(1+'2. GRI Pricing Inputs'!$D$114)^((AH$16-AG$16)/365)</f>
        <v>0</v>
      </c>
      <c r="AI384" s="273">
        <f>AH384*(1+'2. GRI Pricing Inputs'!$D$114)^((AI$16-AH$16)/365)</f>
        <v>0</v>
      </c>
      <c r="AJ384" s="273">
        <f>AI384*(1+'2. GRI Pricing Inputs'!$D$114)^((AJ$16-AI$16)/365)</f>
        <v>0</v>
      </c>
      <c r="AK384" s="273">
        <f>AJ384*(1+'2. GRI Pricing Inputs'!$D$114)^((AK$16-AJ$16)/365)</f>
        <v>0</v>
      </c>
      <c r="AL384" s="273">
        <f>AK384*(1+'2. GRI Pricing Inputs'!$D$114)^((AL$16-AK$16)/365)</f>
        <v>0</v>
      </c>
      <c r="AM384" s="273">
        <f>AL384*(1+'2. GRI Pricing Inputs'!$D$114)^((AM$16-AL$16)/365)</f>
        <v>0</v>
      </c>
      <c r="AN384" s="273">
        <f>AM384*(1+'2. GRI Pricing Inputs'!$D$114)^((AN$16-AM$16)/365)</f>
        <v>0</v>
      </c>
      <c r="AO384" s="273">
        <f>AN384*(1+'2. GRI Pricing Inputs'!$D$114)^((AO$16-AN$16)/365)</f>
        <v>0</v>
      </c>
    </row>
    <row r="385" spans="3:41" ht="12" x14ac:dyDescent="0.2">
      <c r="C385" s="76">
        <f>'1. Accomodation'!N389</f>
        <v>0</v>
      </c>
      <c r="D385" s="69">
        <f>'1. Accomodation'!P389</f>
        <v>0</v>
      </c>
      <c r="E385" s="69">
        <f>'1. Accomodation'!Q389</f>
        <v>0</v>
      </c>
      <c r="F385" s="77">
        <f>'1. Accomodation'!O389</f>
        <v>0</v>
      </c>
      <c r="G385" s="69">
        <f>'1. Accomodation'!R389</f>
        <v>0</v>
      </c>
      <c r="H385" s="69">
        <f>'1. Accomodation'!S389</f>
        <v>0</v>
      </c>
      <c r="I385" s="62"/>
      <c r="K385" s="272">
        <f>IFERROR(INDEX('2. GRI Pricing Inputs'!$C$15:$AI$16,MATCH($K$16,'2. GRI Pricing Inputs'!$C$15:$C$16,0),MATCH(D385,'2. GRI Pricing Inputs'!$C$15:$AI$15,0)),0)</f>
        <v>0</v>
      </c>
      <c r="L385" s="273">
        <f>IFERROR(INDEX('2. GRI Pricing Inputs'!$C$22:$AI$23,MATCH($L$16,'2. GRI Pricing Inputs'!$C$22:$C$23,0),MATCH(E385,'2. GRI Pricing Inputs'!$C$22:$AI$22,0)),0)</f>
        <v>0</v>
      </c>
      <c r="M385" s="328">
        <f>IF(AND('3. GRI Pricing'!$F385&gt;='2. GRI Pricing Inputs'!$D$33,'3. GRI Pricing'!$F385&lt;='2. GRI Pricing Inputs'!$E$33),'2. GRI Pricing Inputs'!$D$32,IF(AND('3. GRI Pricing'!$F385&gt;='2. GRI Pricing Inputs'!$F$33,'3. GRI Pricing'!$F385&lt;='2. GRI Pricing Inputs'!$G$33),'2. GRI Pricing Inputs'!$F$32,IF(AND('3. GRI Pricing'!$F385&gt;='2. GRI Pricing Inputs'!$H$33,'3. GRI Pricing'!$F385&lt;='2. GRI Pricing Inputs'!$I$33),'2. GRI Pricing Inputs'!$H$32,IF(AND('3. GRI Pricing'!$F385&gt;='2. GRI Pricing Inputs'!$J$33,'3. GRI Pricing'!$F385&lt;='2. GRI Pricing Inputs'!$K$33),'2. GRI Pricing Inputs'!$J$32,IF(AND('3. GRI Pricing'!$F385&gt;='2. GRI Pricing Inputs'!$L$33,'3. GRI Pricing'!$F385&lt;='2. GRI Pricing Inputs'!$M$33),'2. GRI Pricing Inputs'!$L$32,IF(AND('3. GRI Pricing'!$F385&gt;='2. GRI Pricing Inputs'!$N$33,'3. GRI Pricing'!$F385&lt;='2. GRI Pricing Inputs'!$O$33),'2. GRI Pricing Inputs'!$N$32,IF(AND('3. GRI Pricing'!$F385&gt;='2. GRI Pricing Inputs'!$P$33,'3. GRI Pricing'!$F385&lt;='2. GRI Pricing Inputs'!$Q$33),'2. GRI Pricing Inputs'!$P$32,IF(AND('3. GRI Pricing'!$F385&gt;='2. GRI Pricing Inputs'!$R$33,'3. GRI Pricing'!$F385&lt;='2. GRI Pricing Inputs'!$S$33),'2. GRI Pricing Inputs'!$R$32,IF(AND('3. GRI Pricing'!$F385&gt;='2. GRI Pricing Inputs'!$T$33,'3. GRI Pricing'!$F385&lt;='2. GRI Pricing Inputs'!$U$33),'2. GRI Pricing Inputs'!$T$32,IF(AND('3. GRI Pricing'!$F385&gt;='2. GRI Pricing Inputs'!$V$33,'3. GRI Pricing'!$F385&lt;='2. GRI Pricing Inputs'!$W$33),'2. GRI Pricing Inputs'!$V$32,IF(AND('3. GRI Pricing'!$F385&gt;='2. GRI Pricing Inputs'!$X$33,'3. GRI Pricing'!$F385&lt;='2. GRI Pricing Inputs'!$Y$33),'2. GRI Pricing Inputs'!$X$32,IF(AND('3. GRI Pricing'!$F385&gt;='2. GRI Pricing Inputs'!$Z$33,'3. GRI Pricing'!$F385&lt;='2. GRI Pricing Inputs'!$AA$33),'2. GRI Pricing Inputs'!$Z$32,IF(AND('3. GRI Pricing'!$F385&gt;='2. GRI Pricing Inputs'!$AB$33,'3. GRI Pricing'!$F385&lt;='2. GRI Pricing Inputs'!$AC$33),'2. GRI Pricing Inputs'!$AB$32,IF(AND('3. GRI Pricing'!$F385&gt;='2. GRI Pricing Inputs'!$AD$33,'3. GRI Pricing'!$F385&lt;='2. GRI Pricing Inputs'!$AE$33),'2. GRI Pricing Inputs'!$AD$32,IF(AND('3. GRI Pricing'!$F385&gt;='2. GRI Pricing Inputs'!$AF$33,'3. GRI Pricing'!$F385&lt;='2. GRI Pricing Inputs'!$AG$33),'2. GRI Pricing Inputs'!$AF$32,IF(AND('3. GRI Pricing'!$F385&gt;='2. GRI Pricing Inputs'!$AH$33,'3. GRI Pricing'!$F385&lt;='2. GRI Pricing Inputs'!$AI$33),'2. GRI Pricing Inputs'!$AH$32,0))))))))))))))))</f>
        <v>0</v>
      </c>
      <c r="N385" s="273" cm="1">
        <f t="array" ref="N385">IFERROR(INDEX('2. GRI Pricing Inputs'!$C$32:$AI$39,MATCH('3. GRI Pricing'!D385,'2. GRI Pricing Inputs'!$C$32:$C$39,0),(MATCH('3. GRI Pricing'!M385,'2. GRI Pricing Inputs'!$D$32:$AI$32,0)+1)),0)</f>
        <v>0</v>
      </c>
      <c r="O385" s="273">
        <f>IFERROR(INDEX('2. GRI Pricing Inputs'!$C$45:$AI$46,MATCH($O$16,'2. GRI Pricing Inputs'!$C$45:$C$46,0),MATCH(G385,'2. GRI Pricing Inputs'!$C$45:$AI$45,0)),0)</f>
        <v>0</v>
      </c>
      <c r="P385" s="273">
        <f>IFERROR(INDEX('2. GRI Pricing Inputs'!$C$53:$AI$54,MATCH('3. GRI Pricing'!$P$16,'2. GRI Pricing Inputs'!$C$53:$C$54,0),MATCH('3. GRI Pricing'!H385,'2. GRI Pricing Inputs'!$C$53:$AI$53,0)),0)</f>
        <v>0</v>
      </c>
      <c r="Q385" s="273">
        <f>IFERROR(INDEX('2. GRI Pricing Inputs'!$C$60:$AI$61,MATCH('3. GRI Pricing'!$Q$16,'2. GRI Pricing Inputs'!$C$60:$C$61,0),MATCH('1. Accomodation'!T389,'2. GRI Pricing Inputs'!$C$60:$AI$60,0)),0)</f>
        <v>0</v>
      </c>
      <c r="R385" s="273">
        <f>IFERROR(INDEX('2. GRI Pricing Inputs'!$C$67:$AI$68,MATCH('3. GRI Pricing'!$R$16,'2. GRI Pricing Inputs'!$C$67:$C$68,0),MATCH('1. Accomodation'!U389,'2. GRI Pricing Inputs'!$C$67:$AI$67,0)),0)</f>
        <v>0</v>
      </c>
      <c r="S385" s="273">
        <f>IF(D385=0,0,'2. GRI Pricing Inputs'!$AI$75)</f>
        <v>0</v>
      </c>
      <c r="T385" s="273">
        <f>IFERROR(INDEX('2. GRI Pricing Inputs'!$C$82:$AI$83,MATCH('3. GRI Pricing'!$T$16,'2. GRI Pricing Inputs'!$C$82:$C$83,0),MATCH('1. Accomodation'!V389,'2. GRI Pricing Inputs'!$C$82:$AI$82,0)),0)</f>
        <v>0</v>
      </c>
      <c r="U385" s="273">
        <f>IFERROR(INDEX('2. GRI Pricing Inputs'!$C$89:$AI$90,MATCH('3. GRI Pricing'!$U$16,'2. GRI Pricing Inputs'!$C$89:$C$90,0),MATCH('1. Accomodation'!W389,'2. GRI Pricing Inputs'!$C$89:$AI$89,0)),0)</f>
        <v>0</v>
      </c>
      <c r="V385" s="273">
        <f>IFERROR(INDEX('2. GRI Pricing Inputs'!$C$97:$AI$98,MATCH('3. GRI Pricing'!$V$16,'2. GRI Pricing Inputs'!$C$97:$C$98,0),MATCH('1. Accomodation'!X389,'2. GRI Pricing Inputs'!$C$97:$AI$97,0)),0)</f>
        <v>0</v>
      </c>
      <c r="W385" s="273">
        <f>IFERROR(INDEX('2. GRI Pricing Inputs'!$C$104:$AI$105,MATCH('3. GRI Pricing'!$W$16,'2. GRI Pricing Inputs'!$C$104:$C$105,0),MATCH('1. Accomodation'!Y389,'2. GRI Pricing Inputs'!$C$104:$AI$104,0)),0)</f>
        <v>0</v>
      </c>
      <c r="X385" s="274"/>
      <c r="Y385" s="275">
        <f t="shared" si="12"/>
        <v>0</v>
      </c>
      <c r="Z385" s="276"/>
      <c r="AA385" s="276"/>
      <c r="AB385" s="276"/>
      <c r="AC385" s="272">
        <f>Y385*(1+'2. GRI Pricing Inputs'!$D$114)^(($AC$16-$AB$15)/365)</f>
        <v>0</v>
      </c>
      <c r="AD385" s="273">
        <f>AC385*(1+'2. GRI Pricing Inputs'!$D$114)^((AD$16-AC$16)/365)</f>
        <v>0</v>
      </c>
      <c r="AE385" s="273">
        <f>AD385*(1+'2. GRI Pricing Inputs'!$D$114)^((AE$16-AD$16)/365)</f>
        <v>0</v>
      </c>
      <c r="AF385" s="273">
        <f>AE385*(1+'2. GRI Pricing Inputs'!$D$114)^((AF$16-AE$16)/365)</f>
        <v>0</v>
      </c>
      <c r="AG385" s="273">
        <f>AF385*(1+'2. GRI Pricing Inputs'!$D$114)^((AG$16-AF$16)/365)</f>
        <v>0</v>
      </c>
      <c r="AH385" s="273">
        <f>AG385*(1+'2. GRI Pricing Inputs'!$D$114)^((AH$16-AG$16)/365)</f>
        <v>0</v>
      </c>
      <c r="AI385" s="273">
        <f>AH385*(1+'2. GRI Pricing Inputs'!$D$114)^((AI$16-AH$16)/365)</f>
        <v>0</v>
      </c>
      <c r="AJ385" s="273">
        <f>AI385*(1+'2. GRI Pricing Inputs'!$D$114)^((AJ$16-AI$16)/365)</f>
        <v>0</v>
      </c>
      <c r="AK385" s="273">
        <f>AJ385*(1+'2. GRI Pricing Inputs'!$D$114)^((AK$16-AJ$16)/365)</f>
        <v>0</v>
      </c>
      <c r="AL385" s="273">
        <f>AK385*(1+'2. GRI Pricing Inputs'!$D$114)^((AL$16-AK$16)/365)</f>
        <v>0</v>
      </c>
      <c r="AM385" s="273">
        <f>AL385*(1+'2. GRI Pricing Inputs'!$D$114)^((AM$16-AL$16)/365)</f>
        <v>0</v>
      </c>
      <c r="AN385" s="273">
        <f>AM385*(1+'2. GRI Pricing Inputs'!$D$114)^((AN$16-AM$16)/365)</f>
        <v>0</v>
      </c>
      <c r="AO385" s="273">
        <f>AN385*(1+'2. GRI Pricing Inputs'!$D$114)^((AO$16-AN$16)/365)</f>
        <v>0</v>
      </c>
    </row>
    <row r="386" spans="3:41" ht="12" x14ac:dyDescent="0.2">
      <c r="C386" s="76">
        <f>'1. Accomodation'!N390</f>
        <v>0</v>
      </c>
      <c r="D386" s="69">
        <f>'1. Accomodation'!P390</f>
        <v>0</v>
      </c>
      <c r="E386" s="69">
        <f>'1. Accomodation'!Q390</f>
        <v>0</v>
      </c>
      <c r="F386" s="77">
        <f>'1. Accomodation'!O390</f>
        <v>0</v>
      </c>
      <c r="G386" s="69">
        <f>'1. Accomodation'!R390</f>
        <v>0</v>
      </c>
      <c r="H386" s="69">
        <f>'1. Accomodation'!S390</f>
        <v>0</v>
      </c>
      <c r="I386" s="62"/>
      <c r="K386" s="272">
        <f>IFERROR(INDEX('2. GRI Pricing Inputs'!$C$15:$AI$16,MATCH($K$16,'2. GRI Pricing Inputs'!$C$15:$C$16,0),MATCH(D386,'2. GRI Pricing Inputs'!$C$15:$AI$15,0)),0)</f>
        <v>0</v>
      </c>
      <c r="L386" s="273">
        <f>IFERROR(INDEX('2. GRI Pricing Inputs'!$C$22:$AI$23,MATCH($L$16,'2. GRI Pricing Inputs'!$C$22:$C$23,0),MATCH(E386,'2. GRI Pricing Inputs'!$C$22:$AI$22,0)),0)</f>
        <v>0</v>
      </c>
      <c r="M386" s="328">
        <f>IF(AND('3. GRI Pricing'!$F386&gt;='2. GRI Pricing Inputs'!$D$33,'3. GRI Pricing'!$F386&lt;='2. GRI Pricing Inputs'!$E$33),'2. GRI Pricing Inputs'!$D$32,IF(AND('3. GRI Pricing'!$F386&gt;='2. GRI Pricing Inputs'!$F$33,'3. GRI Pricing'!$F386&lt;='2. GRI Pricing Inputs'!$G$33),'2. GRI Pricing Inputs'!$F$32,IF(AND('3. GRI Pricing'!$F386&gt;='2. GRI Pricing Inputs'!$H$33,'3. GRI Pricing'!$F386&lt;='2. GRI Pricing Inputs'!$I$33),'2. GRI Pricing Inputs'!$H$32,IF(AND('3. GRI Pricing'!$F386&gt;='2. GRI Pricing Inputs'!$J$33,'3. GRI Pricing'!$F386&lt;='2. GRI Pricing Inputs'!$K$33),'2. GRI Pricing Inputs'!$J$32,IF(AND('3. GRI Pricing'!$F386&gt;='2. GRI Pricing Inputs'!$L$33,'3. GRI Pricing'!$F386&lt;='2. GRI Pricing Inputs'!$M$33),'2. GRI Pricing Inputs'!$L$32,IF(AND('3. GRI Pricing'!$F386&gt;='2. GRI Pricing Inputs'!$N$33,'3. GRI Pricing'!$F386&lt;='2. GRI Pricing Inputs'!$O$33),'2. GRI Pricing Inputs'!$N$32,IF(AND('3. GRI Pricing'!$F386&gt;='2. GRI Pricing Inputs'!$P$33,'3. GRI Pricing'!$F386&lt;='2. GRI Pricing Inputs'!$Q$33),'2. GRI Pricing Inputs'!$P$32,IF(AND('3. GRI Pricing'!$F386&gt;='2. GRI Pricing Inputs'!$R$33,'3. GRI Pricing'!$F386&lt;='2. GRI Pricing Inputs'!$S$33),'2. GRI Pricing Inputs'!$R$32,IF(AND('3. GRI Pricing'!$F386&gt;='2. GRI Pricing Inputs'!$T$33,'3. GRI Pricing'!$F386&lt;='2. GRI Pricing Inputs'!$U$33),'2. GRI Pricing Inputs'!$T$32,IF(AND('3. GRI Pricing'!$F386&gt;='2. GRI Pricing Inputs'!$V$33,'3. GRI Pricing'!$F386&lt;='2. GRI Pricing Inputs'!$W$33),'2. GRI Pricing Inputs'!$V$32,IF(AND('3. GRI Pricing'!$F386&gt;='2. GRI Pricing Inputs'!$X$33,'3. GRI Pricing'!$F386&lt;='2. GRI Pricing Inputs'!$Y$33),'2. GRI Pricing Inputs'!$X$32,IF(AND('3. GRI Pricing'!$F386&gt;='2. GRI Pricing Inputs'!$Z$33,'3. GRI Pricing'!$F386&lt;='2. GRI Pricing Inputs'!$AA$33),'2. GRI Pricing Inputs'!$Z$32,IF(AND('3. GRI Pricing'!$F386&gt;='2. GRI Pricing Inputs'!$AB$33,'3. GRI Pricing'!$F386&lt;='2. GRI Pricing Inputs'!$AC$33),'2. GRI Pricing Inputs'!$AB$32,IF(AND('3. GRI Pricing'!$F386&gt;='2. GRI Pricing Inputs'!$AD$33,'3. GRI Pricing'!$F386&lt;='2. GRI Pricing Inputs'!$AE$33),'2. GRI Pricing Inputs'!$AD$32,IF(AND('3. GRI Pricing'!$F386&gt;='2. GRI Pricing Inputs'!$AF$33,'3. GRI Pricing'!$F386&lt;='2. GRI Pricing Inputs'!$AG$33),'2. GRI Pricing Inputs'!$AF$32,IF(AND('3. GRI Pricing'!$F386&gt;='2. GRI Pricing Inputs'!$AH$33,'3. GRI Pricing'!$F386&lt;='2. GRI Pricing Inputs'!$AI$33),'2. GRI Pricing Inputs'!$AH$32,0))))))))))))))))</f>
        <v>0</v>
      </c>
      <c r="N386" s="273" cm="1">
        <f t="array" ref="N386">IFERROR(INDEX('2. GRI Pricing Inputs'!$C$32:$AI$39,MATCH('3. GRI Pricing'!D386,'2. GRI Pricing Inputs'!$C$32:$C$39,0),(MATCH('3. GRI Pricing'!M386,'2. GRI Pricing Inputs'!$D$32:$AI$32,0)+1)),0)</f>
        <v>0</v>
      </c>
      <c r="O386" s="273">
        <f>IFERROR(INDEX('2. GRI Pricing Inputs'!$C$45:$AI$46,MATCH($O$16,'2. GRI Pricing Inputs'!$C$45:$C$46,0),MATCH(G386,'2. GRI Pricing Inputs'!$C$45:$AI$45,0)),0)</f>
        <v>0</v>
      </c>
      <c r="P386" s="273">
        <f>IFERROR(INDEX('2. GRI Pricing Inputs'!$C$53:$AI$54,MATCH('3. GRI Pricing'!$P$16,'2. GRI Pricing Inputs'!$C$53:$C$54,0),MATCH('3. GRI Pricing'!H386,'2. GRI Pricing Inputs'!$C$53:$AI$53,0)),0)</f>
        <v>0</v>
      </c>
      <c r="Q386" s="273">
        <f>IFERROR(INDEX('2. GRI Pricing Inputs'!$C$60:$AI$61,MATCH('3. GRI Pricing'!$Q$16,'2. GRI Pricing Inputs'!$C$60:$C$61,0),MATCH('1. Accomodation'!T390,'2. GRI Pricing Inputs'!$C$60:$AI$60,0)),0)</f>
        <v>0</v>
      </c>
      <c r="R386" s="273">
        <f>IFERROR(INDEX('2. GRI Pricing Inputs'!$C$67:$AI$68,MATCH('3. GRI Pricing'!$R$16,'2. GRI Pricing Inputs'!$C$67:$C$68,0),MATCH('1. Accomodation'!U390,'2. GRI Pricing Inputs'!$C$67:$AI$67,0)),0)</f>
        <v>0</v>
      </c>
      <c r="S386" s="273">
        <f>IF(D386=0,0,'2. GRI Pricing Inputs'!$AI$75)</f>
        <v>0</v>
      </c>
      <c r="T386" s="273">
        <f>IFERROR(INDEX('2. GRI Pricing Inputs'!$C$82:$AI$83,MATCH('3. GRI Pricing'!$T$16,'2. GRI Pricing Inputs'!$C$82:$C$83,0),MATCH('1. Accomodation'!V390,'2. GRI Pricing Inputs'!$C$82:$AI$82,0)),0)</f>
        <v>0</v>
      </c>
      <c r="U386" s="273">
        <f>IFERROR(INDEX('2. GRI Pricing Inputs'!$C$89:$AI$90,MATCH('3. GRI Pricing'!$U$16,'2. GRI Pricing Inputs'!$C$89:$C$90,0),MATCH('1. Accomodation'!W390,'2. GRI Pricing Inputs'!$C$89:$AI$89,0)),0)</f>
        <v>0</v>
      </c>
      <c r="V386" s="273">
        <f>IFERROR(INDEX('2. GRI Pricing Inputs'!$C$97:$AI$98,MATCH('3. GRI Pricing'!$V$16,'2. GRI Pricing Inputs'!$C$97:$C$98,0),MATCH('1. Accomodation'!X390,'2. GRI Pricing Inputs'!$C$97:$AI$97,0)),0)</f>
        <v>0</v>
      </c>
      <c r="W386" s="273">
        <f>IFERROR(INDEX('2. GRI Pricing Inputs'!$C$104:$AI$105,MATCH('3. GRI Pricing'!$W$16,'2. GRI Pricing Inputs'!$C$104:$C$105,0),MATCH('1. Accomodation'!Y390,'2. GRI Pricing Inputs'!$C$104:$AI$104,0)),0)</f>
        <v>0</v>
      </c>
      <c r="X386" s="274"/>
      <c r="Y386" s="275">
        <f t="shared" si="12"/>
        <v>0</v>
      </c>
      <c r="Z386" s="276"/>
      <c r="AA386" s="276"/>
      <c r="AB386" s="276"/>
      <c r="AC386" s="272">
        <f>Y386*(1+'2. GRI Pricing Inputs'!$D$114)^(($AC$16-$AB$15)/365)</f>
        <v>0</v>
      </c>
      <c r="AD386" s="273">
        <f>AC386*(1+'2. GRI Pricing Inputs'!$D$114)^((AD$16-AC$16)/365)</f>
        <v>0</v>
      </c>
      <c r="AE386" s="273">
        <f>AD386*(1+'2. GRI Pricing Inputs'!$D$114)^((AE$16-AD$16)/365)</f>
        <v>0</v>
      </c>
      <c r="AF386" s="273">
        <f>AE386*(1+'2. GRI Pricing Inputs'!$D$114)^((AF$16-AE$16)/365)</f>
        <v>0</v>
      </c>
      <c r="AG386" s="273">
        <f>AF386*(1+'2. GRI Pricing Inputs'!$D$114)^((AG$16-AF$16)/365)</f>
        <v>0</v>
      </c>
      <c r="AH386" s="273">
        <f>AG386*(1+'2. GRI Pricing Inputs'!$D$114)^((AH$16-AG$16)/365)</f>
        <v>0</v>
      </c>
      <c r="AI386" s="273">
        <f>AH386*(1+'2. GRI Pricing Inputs'!$D$114)^((AI$16-AH$16)/365)</f>
        <v>0</v>
      </c>
      <c r="AJ386" s="273">
        <f>AI386*(1+'2. GRI Pricing Inputs'!$D$114)^((AJ$16-AI$16)/365)</f>
        <v>0</v>
      </c>
      <c r="AK386" s="273">
        <f>AJ386*(1+'2. GRI Pricing Inputs'!$D$114)^((AK$16-AJ$16)/365)</f>
        <v>0</v>
      </c>
      <c r="AL386" s="273">
        <f>AK386*(1+'2. GRI Pricing Inputs'!$D$114)^((AL$16-AK$16)/365)</f>
        <v>0</v>
      </c>
      <c r="AM386" s="273">
        <f>AL386*(1+'2. GRI Pricing Inputs'!$D$114)^((AM$16-AL$16)/365)</f>
        <v>0</v>
      </c>
      <c r="AN386" s="273">
        <f>AM386*(1+'2. GRI Pricing Inputs'!$D$114)^((AN$16-AM$16)/365)</f>
        <v>0</v>
      </c>
      <c r="AO386" s="273">
        <f>AN386*(1+'2. GRI Pricing Inputs'!$D$114)^((AO$16-AN$16)/365)</f>
        <v>0</v>
      </c>
    </row>
    <row r="387" spans="3:41" ht="12" x14ac:dyDescent="0.2">
      <c r="C387" s="76">
        <f>'1. Accomodation'!N391</f>
        <v>0</v>
      </c>
      <c r="D387" s="69">
        <f>'1. Accomodation'!P391</f>
        <v>0</v>
      </c>
      <c r="E387" s="69">
        <f>'1. Accomodation'!Q391</f>
        <v>0</v>
      </c>
      <c r="F387" s="77">
        <f>'1. Accomodation'!O391</f>
        <v>0</v>
      </c>
      <c r="G387" s="69">
        <f>'1. Accomodation'!R391</f>
        <v>0</v>
      </c>
      <c r="H387" s="69">
        <f>'1. Accomodation'!S391</f>
        <v>0</v>
      </c>
      <c r="I387" s="62"/>
      <c r="K387" s="272">
        <f>IFERROR(INDEX('2. GRI Pricing Inputs'!$C$15:$AI$16,MATCH($K$16,'2. GRI Pricing Inputs'!$C$15:$C$16,0),MATCH(D387,'2. GRI Pricing Inputs'!$C$15:$AI$15,0)),0)</f>
        <v>0</v>
      </c>
      <c r="L387" s="273">
        <f>IFERROR(INDEX('2. GRI Pricing Inputs'!$C$22:$AI$23,MATCH($L$16,'2. GRI Pricing Inputs'!$C$22:$C$23,0),MATCH(E387,'2. GRI Pricing Inputs'!$C$22:$AI$22,0)),0)</f>
        <v>0</v>
      </c>
      <c r="M387" s="328">
        <f>IF(AND('3. GRI Pricing'!$F387&gt;='2. GRI Pricing Inputs'!$D$33,'3. GRI Pricing'!$F387&lt;='2. GRI Pricing Inputs'!$E$33),'2. GRI Pricing Inputs'!$D$32,IF(AND('3. GRI Pricing'!$F387&gt;='2. GRI Pricing Inputs'!$F$33,'3. GRI Pricing'!$F387&lt;='2. GRI Pricing Inputs'!$G$33),'2. GRI Pricing Inputs'!$F$32,IF(AND('3. GRI Pricing'!$F387&gt;='2. GRI Pricing Inputs'!$H$33,'3. GRI Pricing'!$F387&lt;='2. GRI Pricing Inputs'!$I$33),'2. GRI Pricing Inputs'!$H$32,IF(AND('3. GRI Pricing'!$F387&gt;='2. GRI Pricing Inputs'!$J$33,'3. GRI Pricing'!$F387&lt;='2. GRI Pricing Inputs'!$K$33),'2. GRI Pricing Inputs'!$J$32,IF(AND('3. GRI Pricing'!$F387&gt;='2. GRI Pricing Inputs'!$L$33,'3. GRI Pricing'!$F387&lt;='2. GRI Pricing Inputs'!$M$33),'2. GRI Pricing Inputs'!$L$32,IF(AND('3. GRI Pricing'!$F387&gt;='2. GRI Pricing Inputs'!$N$33,'3. GRI Pricing'!$F387&lt;='2. GRI Pricing Inputs'!$O$33),'2. GRI Pricing Inputs'!$N$32,IF(AND('3. GRI Pricing'!$F387&gt;='2. GRI Pricing Inputs'!$P$33,'3. GRI Pricing'!$F387&lt;='2. GRI Pricing Inputs'!$Q$33),'2. GRI Pricing Inputs'!$P$32,IF(AND('3. GRI Pricing'!$F387&gt;='2. GRI Pricing Inputs'!$R$33,'3. GRI Pricing'!$F387&lt;='2. GRI Pricing Inputs'!$S$33),'2. GRI Pricing Inputs'!$R$32,IF(AND('3. GRI Pricing'!$F387&gt;='2. GRI Pricing Inputs'!$T$33,'3. GRI Pricing'!$F387&lt;='2. GRI Pricing Inputs'!$U$33),'2. GRI Pricing Inputs'!$T$32,IF(AND('3. GRI Pricing'!$F387&gt;='2. GRI Pricing Inputs'!$V$33,'3. GRI Pricing'!$F387&lt;='2. GRI Pricing Inputs'!$W$33),'2. GRI Pricing Inputs'!$V$32,IF(AND('3. GRI Pricing'!$F387&gt;='2. GRI Pricing Inputs'!$X$33,'3. GRI Pricing'!$F387&lt;='2. GRI Pricing Inputs'!$Y$33),'2. GRI Pricing Inputs'!$X$32,IF(AND('3. GRI Pricing'!$F387&gt;='2. GRI Pricing Inputs'!$Z$33,'3. GRI Pricing'!$F387&lt;='2. GRI Pricing Inputs'!$AA$33),'2. GRI Pricing Inputs'!$Z$32,IF(AND('3. GRI Pricing'!$F387&gt;='2. GRI Pricing Inputs'!$AB$33,'3. GRI Pricing'!$F387&lt;='2. GRI Pricing Inputs'!$AC$33),'2. GRI Pricing Inputs'!$AB$32,IF(AND('3. GRI Pricing'!$F387&gt;='2. GRI Pricing Inputs'!$AD$33,'3. GRI Pricing'!$F387&lt;='2. GRI Pricing Inputs'!$AE$33),'2. GRI Pricing Inputs'!$AD$32,IF(AND('3. GRI Pricing'!$F387&gt;='2. GRI Pricing Inputs'!$AF$33,'3. GRI Pricing'!$F387&lt;='2. GRI Pricing Inputs'!$AG$33),'2. GRI Pricing Inputs'!$AF$32,IF(AND('3. GRI Pricing'!$F387&gt;='2. GRI Pricing Inputs'!$AH$33,'3. GRI Pricing'!$F387&lt;='2. GRI Pricing Inputs'!$AI$33),'2. GRI Pricing Inputs'!$AH$32,0))))))))))))))))</f>
        <v>0</v>
      </c>
      <c r="N387" s="273" cm="1">
        <f t="array" ref="N387">IFERROR(INDEX('2. GRI Pricing Inputs'!$C$32:$AI$39,MATCH('3. GRI Pricing'!D387,'2. GRI Pricing Inputs'!$C$32:$C$39,0),(MATCH('3. GRI Pricing'!M387,'2. GRI Pricing Inputs'!$D$32:$AI$32,0)+1)),0)</f>
        <v>0</v>
      </c>
      <c r="O387" s="273">
        <f>IFERROR(INDEX('2. GRI Pricing Inputs'!$C$45:$AI$46,MATCH($O$16,'2. GRI Pricing Inputs'!$C$45:$C$46,0),MATCH(G387,'2. GRI Pricing Inputs'!$C$45:$AI$45,0)),0)</f>
        <v>0</v>
      </c>
      <c r="P387" s="273">
        <f>IFERROR(INDEX('2. GRI Pricing Inputs'!$C$53:$AI$54,MATCH('3. GRI Pricing'!$P$16,'2. GRI Pricing Inputs'!$C$53:$C$54,0),MATCH('3. GRI Pricing'!H387,'2. GRI Pricing Inputs'!$C$53:$AI$53,0)),0)</f>
        <v>0</v>
      </c>
      <c r="Q387" s="273">
        <f>IFERROR(INDEX('2. GRI Pricing Inputs'!$C$60:$AI$61,MATCH('3. GRI Pricing'!$Q$16,'2. GRI Pricing Inputs'!$C$60:$C$61,0),MATCH('1. Accomodation'!T391,'2. GRI Pricing Inputs'!$C$60:$AI$60,0)),0)</f>
        <v>0</v>
      </c>
      <c r="R387" s="273">
        <f>IFERROR(INDEX('2. GRI Pricing Inputs'!$C$67:$AI$68,MATCH('3. GRI Pricing'!$R$16,'2. GRI Pricing Inputs'!$C$67:$C$68,0),MATCH('1. Accomodation'!U391,'2. GRI Pricing Inputs'!$C$67:$AI$67,0)),0)</f>
        <v>0</v>
      </c>
      <c r="S387" s="273">
        <f>IF(D387=0,0,'2. GRI Pricing Inputs'!$AI$75)</f>
        <v>0</v>
      </c>
      <c r="T387" s="273">
        <f>IFERROR(INDEX('2. GRI Pricing Inputs'!$C$82:$AI$83,MATCH('3. GRI Pricing'!$T$16,'2. GRI Pricing Inputs'!$C$82:$C$83,0),MATCH('1. Accomodation'!V391,'2. GRI Pricing Inputs'!$C$82:$AI$82,0)),0)</f>
        <v>0</v>
      </c>
      <c r="U387" s="273">
        <f>IFERROR(INDEX('2. GRI Pricing Inputs'!$C$89:$AI$90,MATCH('3. GRI Pricing'!$U$16,'2. GRI Pricing Inputs'!$C$89:$C$90,0),MATCH('1. Accomodation'!W391,'2. GRI Pricing Inputs'!$C$89:$AI$89,0)),0)</f>
        <v>0</v>
      </c>
      <c r="V387" s="273">
        <f>IFERROR(INDEX('2. GRI Pricing Inputs'!$C$97:$AI$98,MATCH('3. GRI Pricing'!$V$16,'2. GRI Pricing Inputs'!$C$97:$C$98,0),MATCH('1. Accomodation'!X391,'2. GRI Pricing Inputs'!$C$97:$AI$97,0)),0)</f>
        <v>0</v>
      </c>
      <c r="W387" s="273">
        <f>IFERROR(INDEX('2. GRI Pricing Inputs'!$C$104:$AI$105,MATCH('3. GRI Pricing'!$W$16,'2. GRI Pricing Inputs'!$C$104:$C$105,0),MATCH('1. Accomodation'!Y391,'2. GRI Pricing Inputs'!$C$104:$AI$104,0)),0)</f>
        <v>0</v>
      </c>
      <c r="X387" s="274"/>
      <c r="Y387" s="275">
        <f t="shared" si="12"/>
        <v>0</v>
      </c>
      <c r="Z387" s="276"/>
      <c r="AA387" s="276"/>
      <c r="AB387" s="276"/>
      <c r="AC387" s="272">
        <f>Y387*(1+'2. GRI Pricing Inputs'!$D$114)^(($AC$16-$AB$15)/365)</f>
        <v>0</v>
      </c>
      <c r="AD387" s="273">
        <f>AC387*(1+'2. GRI Pricing Inputs'!$D$114)^((AD$16-AC$16)/365)</f>
        <v>0</v>
      </c>
      <c r="AE387" s="273">
        <f>AD387*(1+'2. GRI Pricing Inputs'!$D$114)^((AE$16-AD$16)/365)</f>
        <v>0</v>
      </c>
      <c r="AF387" s="273">
        <f>AE387*(1+'2. GRI Pricing Inputs'!$D$114)^((AF$16-AE$16)/365)</f>
        <v>0</v>
      </c>
      <c r="AG387" s="273">
        <f>AF387*(1+'2. GRI Pricing Inputs'!$D$114)^((AG$16-AF$16)/365)</f>
        <v>0</v>
      </c>
      <c r="AH387" s="273">
        <f>AG387*(1+'2. GRI Pricing Inputs'!$D$114)^((AH$16-AG$16)/365)</f>
        <v>0</v>
      </c>
      <c r="AI387" s="273">
        <f>AH387*(1+'2. GRI Pricing Inputs'!$D$114)^((AI$16-AH$16)/365)</f>
        <v>0</v>
      </c>
      <c r="AJ387" s="273">
        <f>AI387*(1+'2. GRI Pricing Inputs'!$D$114)^((AJ$16-AI$16)/365)</f>
        <v>0</v>
      </c>
      <c r="AK387" s="273">
        <f>AJ387*(1+'2. GRI Pricing Inputs'!$D$114)^((AK$16-AJ$16)/365)</f>
        <v>0</v>
      </c>
      <c r="AL387" s="273">
        <f>AK387*(1+'2. GRI Pricing Inputs'!$D$114)^((AL$16-AK$16)/365)</f>
        <v>0</v>
      </c>
      <c r="AM387" s="273">
        <f>AL387*(1+'2. GRI Pricing Inputs'!$D$114)^((AM$16-AL$16)/365)</f>
        <v>0</v>
      </c>
      <c r="AN387" s="273">
        <f>AM387*(1+'2. GRI Pricing Inputs'!$D$114)^((AN$16-AM$16)/365)</f>
        <v>0</v>
      </c>
      <c r="AO387" s="273">
        <f>AN387*(1+'2. GRI Pricing Inputs'!$D$114)^((AO$16-AN$16)/365)</f>
        <v>0</v>
      </c>
    </row>
    <row r="388" spans="3:41" ht="12" x14ac:dyDescent="0.2">
      <c r="C388" s="76">
        <f>'1. Accomodation'!N392</f>
        <v>0</v>
      </c>
      <c r="D388" s="69">
        <f>'1. Accomodation'!P392</f>
        <v>0</v>
      </c>
      <c r="E388" s="69">
        <f>'1. Accomodation'!Q392</f>
        <v>0</v>
      </c>
      <c r="F388" s="77">
        <f>'1. Accomodation'!O392</f>
        <v>0</v>
      </c>
      <c r="G388" s="69">
        <f>'1. Accomodation'!R392</f>
        <v>0</v>
      </c>
      <c r="H388" s="69">
        <f>'1. Accomodation'!S392</f>
        <v>0</v>
      </c>
      <c r="I388" s="62"/>
      <c r="K388" s="272">
        <f>IFERROR(INDEX('2. GRI Pricing Inputs'!$C$15:$AI$16,MATCH($K$16,'2. GRI Pricing Inputs'!$C$15:$C$16,0),MATCH(D388,'2. GRI Pricing Inputs'!$C$15:$AI$15,0)),0)</f>
        <v>0</v>
      </c>
      <c r="L388" s="273">
        <f>IFERROR(INDEX('2. GRI Pricing Inputs'!$C$22:$AI$23,MATCH($L$16,'2. GRI Pricing Inputs'!$C$22:$C$23,0),MATCH(E388,'2. GRI Pricing Inputs'!$C$22:$AI$22,0)),0)</f>
        <v>0</v>
      </c>
      <c r="M388" s="328">
        <f>IF(AND('3. GRI Pricing'!$F388&gt;='2. GRI Pricing Inputs'!$D$33,'3. GRI Pricing'!$F388&lt;='2. GRI Pricing Inputs'!$E$33),'2. GRI Pricing Inputs'!$D$32,IF(AND('3. GRI Pricing'!$F388&gt;='2. GRI Pricing Inputs'!$F$33,'3. GRI Pricing'!$F388&lt;='2. GRI Pricing Inputs'!$G$33),'2. GRI Pricing Inputs'!$F$32,IF(AND('3. GRI Pricing'!$F388&gt;='2. GRI Pricing Inputs'!$H$33,'3. GRI Pricing'!$F388&lt;='2. GRI Pricing Inputs'!$I$33),'2. GRI Pricing Inputs'!$H$32,IF(AND('3. GRI Pricing'!$F388&gt;='2. GRI Pricing Inputs'!$J$33,'3. GRI Pricing'!$F388&lt;='2. GRI Pricing Inputs'!$K$33),'2. GRI Pricing Inputs'!$J$32,IF(AND('3. GRI Pricing'!$F388&gt;='2. GRI Pricing Inputs'!$L$33,'3. GRI Pricing'!$F388&lt;='2. GRI Pricing Inputs'!$M$33),'2. GRI Pricing Inputs'!$L$32,IF(AND('3. GRI Pricing'!$F388&gt;='2. GRI Pricing Inputs'!$N$33,'3. GRI Pricing'!$F388&lt;='2. GRI Pricing Inputs'!$O$33),'2. GRI Pricing Inputs'!$N$32,IF(AND('3. GRI Pricing'!$F388&gt;='2. GRI Pricing Inputs'!$P$33,'3. GRI Pricing'!$F388&lt;='2. GRI Pricing Inputs'!$Q$33),'2. GRI Pricing Inputs'!$P$32,IF(AND('3. GRI Pricing'!$F388&gt;='2. GRI Pricing Inputs'!$R$33,'3. GRI Pricing'!$F388&lt;='2. GRI Pricing Inputs'!$S$33),'2. GRI Pricing Inputs'!$R$32,IF(AND('3. GRI Pricing'!$F388&gt;='2. GRI Pricing Inputs'!$T$33,'3. GRI Pricing'!$F388&lt;='2. GRI Pricing Inputs'!$U$33),'2. GRI Pricing Inputs'!$T$32,IF(AND('3. GRI Pricing'!$F388&gt;='2. GRI Pricing Inputs'!$V$33,'3. GRI Pricing'!$F388&lt;='2. GRI Pricing Inputs'!$W$33),'2. GRI Pricing Inputs'!$V$32,IF(AND('3. GRI Pricing'!$F388&gt;='2. GRI Pricing Inputs'!$X$33,'3. GRI Pricing'!$F388&lt;='2. GRI Pricing Inputs'!$Y$33),'2. GRI Pricing Inputs'!$X$32,IF(AND('3. GRI Pricing'!$F388&gt;='2. GRI Pricing Inputs'!$Z$33,'3. GRI Pricing'!$F388&lt;='2. GRI Pricing Inputs'!$AA$33),'2. GRI Pricing Inputs'!$Z$32,IF(AND('3. GRI Pricing'!$F388&gt;='2. GRI Pricing Inputs'!$AB$33,'3. GRI Pricing'!$F388&lt;='2. GRI Pricing Inputs'!$AC$33),'2. GRI Pricing Inputs'!$AB$32,IF(AND('3. GRI Pricing'!$F388&gt;='2. GRI Pricing Inputs'!$AD$33,'3. GRI Pricing'!$F388&lt;='2. GRI Pricing Inputs'!$AE$33),'2. GRI Pricing Inputs'!$AD$32,IF(AND('3. GRI Pricing'!$F388&gt;='2. GRI Pricing Inputs'!$AF$33,'3. GRI Pricing'!$F388&lt;='2. GRI Pricing Inputs'!$AG$33),'2. GRI Pricing Inputs'!$AF$32,IF(AND('3. GRI Pricing'!$F388&gt;='2. GRI Pricing Inputs'!$AH$33,'3. GRI Pricing'!$F388&lt;='2. GRI Pricing Inputs'!$AI$33),'2. GRI Pricing Inputs'!$AH$32,0))))))))))))))))</f>
        <v>0</v>
      </c>
      <c r="N388" s="273" cm="1">
        <f t="array" ref="N388">IFERROR(INDEX('2. GRI Pricing Inputs'!$C$32:$AI$39,MATCH('3. GRI Pricing'!D388,'2. GRI Pricing Inputs'!$C$32:$C$39,0),(MATCH('3. GRI Pricing'!M388,'2. GRI Pricing Inputs'!$D$32:$AI$32,0)+1)),0)</f>
        <v>0</v>
      </c>
      <c r="O388" s="273">
        <f>IFERROR(INDEX('2. GRI Pricing Inputs'!$C$45:$AI$46,MATCH($O$16,'2. GRI Pricing Inputs'!$C$45:$C$46,0),MATCH(G388,'2. GRI Pricing Inputs'!$C$45:$AI$45,0)),0)</f>
        <v>0</v>
      </c>
      <c r="P388" s="273">
        <f>IFERROR(INDEX('2. GRI Pricing Inputs'!$C$53:$AI$54,MATCH('3. GRI Pricing'!$P$16,'2. GRI Pricing Inputs'!$C$53:$C$54,0),MATCH('3. GRI Pricing'!H388,'2. GRI Pricing Inputs'!$C$53:$AI$53,0)),0)</f>
        <v>0</v>
      </c>
      <c r="Q388" s="273">
        <f>IFERROR(INDEX('2. GRI Pricing Inputs'!$C$60:$AI$61,MATCH('3. GRI Pricing'!$Q$16,'2. GRI Pricing Inputs'!$C$60:$C$61,0),MATCH('1. Accomodation'!T392,'2. GRI Pricing Inputs'!$C$60:$AI$60,0)),0)</f>
        <v>0</v>
      </c>
      <c r="R388" s="273">
        <f>IFERROR(INDEX('2. GRI Pricing Inputs'!$C$67:$AI$68,MATCH('3. GRI Pricing'!$R$16,'2. GRI Pricing Inputs'!$C$67:$C$68,0),MATCH('1. Accomodation'!U392,'2. GRI Pricing Inputs'!$C$67:$AI$67,0)),0)</f>
        <v>0</v>
      </c>
      <c r="S388" s="273">
        <f>IF(D388=0,0,'2. GRI Pricing Inputs'!$AI$75)</f>
        <v>0</v>
      </c>
      <c r="T388" s="273">
        <f>IFERROR(INDEX('2. GRI Pricing Inputs'!$C$82:$AI$83,MATCH('3. GRI Pricing'!$T$16,'2. GRI Pricing Inputs'!$C$82:$C$83,0),MATCH('1. Accomodation'!V392,'2. GRI Pricing Inputs'!$C$82:$AI$82,0)),0)</f>
        <v>0</v>
      </c>
      <c r="U388" s="273">
        <f>IFERROR(INDEX('2. GRI Pricing Inputs'!$C$89:$AI$90,MATCH('3. GRI Pricing'!$U$16,'2. GRI Pricing Inputs'!$C$89:$C$90,0),MATCH('1. Accomodation'!W392,'2. GRI Pricing Inputs'!$C$89:$AI$89,0)),0)</f>
        <v>0</v>
      </c>
      <c r="V388" s="273">
        <f>IFERROR(INDEX('2. GRI Pricing Inputs'!$C$97:$AI$98,MATCH('3. GRI Pricing'!$V$16,'2. GRI Pricing Inputs'!$C$97:$C$98,0),MATCH('1. Accomodation'!X392,'2. GRI Pricing Inputs'!$C$97:$AI$97,0)),0)</f>
        <v>0</v>
      </c>
      <c r="W388" s="273">
        <f>IFERROR(INDEX('2. GRI Pricing Inputs'!$C$104:$AI$105,MATCH('3. GRI Pricing'!$W$16,'2. GRI Pricing Inputs'!$C$104:$C$105,0),MATCH('1. Accomodation'!Y392,'2. GRI Pricing Inputs'!$C$104:$AI$104,0)),0)</f>
        <v>0</v>
      </c>
      <c r="X388" s="274"/>
      <c r="Y388" s="275">
        <f t="shared" si="12"/>
        <v>0</v>
      </c>
      <c r="Z388" s="276"/>
      <c r="AA388" s="276"/>
      <c r="AB388" s="276"/>
      <c r="AC388" s="272">
        <f>Y388*(1+'2. GRI Pricing Inputs'!$D$114)^(($AC$16-$AB$15)/365)</f>
        <v>0</v>
      </c>
      <c r="AD388" s="273">
        <f>AC388*(1+'2. GRI Pricing Inputs'!$D$114)^((AD$16-AC$16)/365)</f>
        <v>0</v>
      </c>
      <c r="AE388" s="273">
        <f>AD388*(1+'2. GRI Pricing Inputs'!$D$114)^((AE$16-AD$16)/365)</f>
        <v>0</v>
      </c>
      <c r="AF388" s="273">
        <f>AE388*(1+'2. GRI Pricing Inputs'!$D$114)^((AF$16-AE$16)/365)</f>
        <v>0</v>
      </c>
      <c r="AG388" s="273">
        <f>AF388*(1+'2. GRI Pricing Inputs'!$D$114)^((AG$16-AF$16)/365)</f>
        <v>0</v>
      </c>
      <c r="AH388" s="273">
        <f>AG388*(1+'2. GRI Pricing Inputs'!$D$114)^((AH$16-AG$16)/365)</f>
        <v>0</v>
      </c>
      <c r="AI388" s="273">
        <f>AH388*(1+'2. GRI Pricing Inputs'!$D$114)^((AI$16-AH$16)/365)</f>
        <v>0</v>
      </c>
      <c r="AJ388" s="273">
        <f>AI388*(1+'2. GRI Pricing Inputs'!$D$114)^((AJ$16-AI$16)/365)</f>
        <v>0</v>
      </c>
      <c r="AK388" s="273">
        <f>AJ388*(1+'2. GRI Pricing Inputs'!$D$114)^((AK$16-AJ$16)/365)</f>
        <v>0</v>
      </c>
      <c r="AL388" s="273">
        <f>AK388*(1+'2. GRI Pricing Inputs'!$D$114)^((AL$16-AK$16)/365)</f>
        <v>0</v>
      </c>
      <c r="AM388" s="273">
        <f>AL388*(1+'2. GRI Pricing Inputs'!$D$114)^((AM$16-AL$16)/365)</f>
        <v>0</v>
      </c>
      <c r="AN388" s="273">
        <f>AM388*(1+'2. GRI Pricing Inputs'!$D$114)^((AN$16-AM$16)/365)</f>
        <v>0</v>
      </c>
      <c r="AO388" s="273">
        <f>AN388*(1+'2. GRI Pricing Inputs'!$D$114)^((AO$16-AN$16)/365)</f>
        <v>0</v>
      </c>
    </row>
    <row r="389" spans="3:41" ht="12" x14ac:dyDescent="0.2">
      <c r="C389" s="76">
        <f>'1. Accomodation'!N393</f>
        <v>0</v>
      </c>
      <c r="D389" s="69">
        <f>'1. Accomodation'!P393</f>
        <v>0</v>
      </c>
      <c r="E389" s="69">
        <f>'1. Accomodation'!Q393</f>
        <v>0</v>
      </c>
      <c r="F389" s="77">
        <f>'1. Accomodation'!O393</f>
        <v>0</v>
      </c>
      <c r="G389" s="69">
        <f>'1. Accomodation'!R393</f>
        <v>0</v>
      </c>
      <c r="H389" s="69">
        <f>'1. Accomodation'!S393</f>
        <v>0</v>
      </c>
      <c r="I389" s="62"/>
      <c r="K389" s="272">
        <f>IFERROR(INDEX('2. GRI Pricing Inputs'!$C$15:$AI$16,MATCH($K$16,'2. GRI Pricing Inputs'!$C$15:$C$16,0),MATCH(D389,'2. GRI Pricing Inputs'!$C$15:$AI$15,0)),0)</f>
        <v>0</v>
      </c>
      <c r="L389" s="273">
        <f>IFERROR(INDEX('2. GRI Pricing Inputs'!$C$22:$AI$23,MATCH($L$16,'2. GRI Pricing Inputs'!$C$22:$C$23,0),MATCH(E389,'2. GRI Pricing Inputs'!$C$22:$AI$22,0)),0)</f>
        <v>0</v>
      </c>
      <c r="M389" s="328">
        <f>IF(AND('3. GRI Pricing'!$F389&gt;='2. GRI Pricing Inputs'!$D$33,'3. GRI Pricing'!$F389&lt;='2. GRI Pricing Inputs'!$E$33),'2. GRI Pricing Inputs'!$D$32,IF(AND('3. GRI Pricing'!$F389&gt;='2. GRI Pricing Inputs'!$F$33,'3. GRI Pricing'!$F389&lt;='2. GRI Pricing Inputs'!$G$33),'2. GRI Pricing Inputs'!$F$32,IF(AND('3. GRI Pricing'!$F389&gt;='2. GRI Pricing Inputs'!$H$33,'3. GRI Pricing'!$F389&lt;='2. GRI Pricing Inputs'!$I$33),'2. GRI Pricing Inputs'!$H$32,IF(AND('3. GRI Pricing'!$F389&gt;='2. GRI Pricing Inputs'!$J$33,'3. GRI Pricing'!$F389&lt;='2. GRI Pricing Inputs'!$K$33),'2. GRI Pricing Inputs'!$J$32,IF(AND('3. GRI Pricing'!$F389&gt;='2. GRI Pricing Inputs'!$L$33,'3. GRI Pricing'!$F389&lt;='2. GRI Pricing Inputs'!$M$33),'2. GRI Pricing Inputs'!$L$32,IF(AND('3. GRI Pricing'!$F389&gt;='2. GRI Pricing Inputs'!$N$33,'3. GRI Pricing'!$F389&lt;='2. GRI Pricing Inputs'!$O$33),'2. GRI Pricing Inputs'!$N$32,IF(AND('3. GRI Pricing'!$F389&gt;='2. GRI Pricing Inputs'!$P$33,'3. GRI Pricing'!$F389&lt;='2. GRI Pricing Inputs'!$Q$33),'2. GRI Pricing Inputs'!$P$32,IF(AND('3. GRI Pricing'!$F389&gt;='2. GRI Pricing Inputs'!$R$33,'3. GRI Pricing'!$F389&lt;='2. GRI Pricing Inputs'!$S$33),'2. GRI Pricing Inputs'!$R$32,IF(AND('3. GRI Pricing'!$F389&gt;='2. GRI Pricing Inputs'!$T$33,'3. GRI Pricing'!$F389&lt;='2. GRI Pricing Inputs'!$U$33),'2. GRI Pricing Inputs'!$T$32,IF(AND('3. GRI Pricing'!$F389&gt;='2. GRI Pricing Inputs'!$V$33,'3. GRI Pricing'!$F389&lt;='2. GRI Pricing Inputs'!$W$33),'2. GRI Pricing Inputs'!$V$32,IF(AND('3. GRI Pricing'!$F389&gt;='2. GRI Pricing Inputs'!$X$33,'3. GRI Pricing'!$F389&lt;='2. GRI Pricing Inputs'!$Y$33),'2. GRI Pricing Inputs'!$X$32,IF(AND('3. GRI Pricing'!$F389&gt;='2. GRI Pricing Inputs'!$Z$33,'3. GRI Pricing'!$F389&lt;='2. GRI Pricing Inputs'!$AA$33),'2. GRI Pricing Inputs'!$Z$32,IF(AND('3. GRI Pricing'!$F389&gt;='2. GRI Pricing Inputs'!$AB$33,'3. GRI Pricing'!$F389&lt;='2. GRI Pricing Inputs'!$AC$33),'2. GRI Pricing Inputs'!$AB$32,IF(AND('3. GRI Pricing'!$F389&gt;='2. GRI Pricing Inputs'!$AD$33,'3. GRI Pricing'!$F389&lt;='2. GRI Pricing Inputs'!$AE$33),'2. GRI Pricing Inputs'!$AD$32,IF(AND('3. GRI Pricing'!$F389&gt;='2. GRI Pricing Inputs'!$AF$33,'3. GRI Pricing'!$F389&lt;='2. GRI Pricing Inputs'!$AG$33),'2. GRI Pricing Inputs'!$AF$32,IF(AND('3. GRI Pricing'!$F389&gt;='2. GRI Pricing Inputs'!$AH$33,'3. GRI Pricing'!$F389&lt;='2. GRI Pricing Inputs'!$AI$33),'2. GRI Pricing Inputs'!$AH$32,0))))))))))))))))</f>
        <v>0</v>
      </c>
      <c r="N389" s="273" cm="1">
        <f t="array" ref="N389">IFERROR(INDEX('2. GRI Pricing Inputs'!$C$32:$AI$39,MATCH('3. GRI Pricing'!D389,'2. GRI Pricing Inputs'!$C$32:$C$39,0),(MATCH('3. GRI Pricing'!M389,'2. GRI Pricing Inputs'!$D$32:$AI$32,0)+1)),0)</f>
        <v>0</v>
      </c>
      <c r="O389" s="273">
        <f>IFERROR(INDEX('2. GRI Pricing Inputs'!$C$45:$AI$46,MATCH($O$16,'2. GRI Pricing Inputs'!$C$45:$C$46,0),MATCH(G389,'2. GRI Pricing Inputs'!$C$45:$AI$45,0)),0)</f>
        <v>0</v>
      </c>
      <c r="P389" s="273">
        <f>IFERROR(INDEX('2. GRI Pricing Inputs'!$C$53:$AI$54,MATCH('3. GRI Pricing'!$P$16,'2. GRI Pricing Inputs'!$C$53:$C$54,0),MATCH('3. GRI Pricing'!H389,'2. GRI Pricing Inputs'!$C$53:$AI$53,0)),0)</f>
        <v>0</v>
      </c>
      <c r="Q389" s="273">
        <f>IFERROR(INDEX('2. GRI Pricing Inputs'!$C$60:$AI$61,MATCH('3. GRI Pricing'!$Q$16,'2. GRI Pricing Inputs'!$C$60:$C$61,0),MATCH('1. Accomodation'!T393,'2. GRI Pricing Inputs'!$C$60:$AI$60,0)),0)</f>
        <v>0</v>
      </c>
      <c r="R389" s="273">
        <f>IFERROR(INDEX('2. GRI Pricing Inputs'!$C$67:$AI$68,MATCH('3. GRI Pricing'!$R$16,'2. GRI Pricing Inputs'!$C$67:$C$68,0),MATCH('1. Accomodation'!U393,'2. GRI Pricing Inputs'!$C$67:$AI$67,0)),0)</f>
        <v>0</v>
      </c>
      <c r="S389" s="273">
        <f>IF(D389=0,0,'2. GRI Pricing Inputs'!$AI$75)</f>
        <v>0</v>
      </c>
      <c r="T389" s="273">
        <f>IFERROR(INDEX('2. GRI Pricing Inputs'!$C$82:$AI$83,MATCH('3. GRI Pricing'!$T$16,'2. GRI Pricing Inputs'!$C$82:$C$83,0),MATCH('1. Accomodation'!V393,'2. GRI Pricing Inputs'!$C$82:$AI$82,0)),0)</f>
        <v>0</v>
      </c>
      <c r="U389" s="273">
        <f>IFERROR(INDEX('2. GRI Pricing Inputs'!$C$89:$AI$90,MATCH('3. GRI Pricing'!$U$16,'2. GRI Pricing Inputs'!$C$89:$C$90,0),MATCH('1. Accomodation'!W393,'2. GRI Pricing Inputs'!$C$89:$AI$89,0)),0)</f>
        <v>0</v>
      </c>
      <c r="V389" s="273">
        <f>IFERROR(INDEX('2. GRI Pricing Inputs'!$C$97:$AI$98,MATCH('3. GRI Pricing'!$V$16,'2. GRI Pricing Inputs'!$C$97:$C$98,0),MATCH('1. Accomodation'!X393,'2. GRI Pricing Inputs'!$C$97:$AI$97,0)),0)</f>
        <v>0</v>
      </c>
      <c r="W389" s="273">
        <f>IFERROR(INDEX('2. GRI Pricing Inputs'!$C$104:$AI$105,MATCH('3. GRI Pricing'!$W$16,'2. GRI Pricing Inputs'!$C$104:$C$105,0),MATCH('1. Accomodation'!Y393,'2. GRI Pricing Inputs'!$C$104:$AI$104,0)),0)</f>
        <v>0</v>
      </c>
      <c r="X389" s="274"/>
      <c r="Y389" s="275">
        <f t="shared" si="12"/>
        <v>0</v>
      </c>
      <c r="Z389" s="276"/>
      <c r="AA389" s="276"/>
      <c r="AB389" s="276"/>
      <c r="AC389" s="272">
        <f>Y389*(1+'2. GRI Pricing Inputs'!$D$114)^(($AC$16-$AB$15)/365)</f>
        <v>0</v>
      </c>
      <c r="AD389" s="273">
        <f>AC389*(1+'2. GRI Pricing Inputs'!$D$114)^((AD$16-AC$16)/365)</f>
        <v>0</v>
      </c>
      <c r="AE389" s="273">
        <f>AD389*(1+'2. GRI Pricing Inputs'!$D$114)^((AE$16-AD$16)/365)</f>
        <v>0</v>
      </c>
      <c r="AF389" s="273">
        <f>AE389*(1+'2. GRI Pricing Inputs'!$D$114)^((AF$16-AE$16)/365)</f>
        <v>0</v>
      </c>
      <c r="AG389" s="273">
        <f>AF389*(1+'2. GRI Pricing Inputs'!$D$114)^((AG$16-AF$16)/365)</f>
        <v>0</v>
      </c>
      <c r="AH389" s="273">
        <f>AG389*(1+'2. GRI Pricing Inputs'!$D$114)^((AH$16-AG$16)/365)</f>
        <v>0</v>
      </c>
      <c r="AI389" s="273">
        <f>AH389*(1+'2. GRI Pricing Inputs'!$D$114)^((AI$16-AH$16)/365)</f>
        <v>0</v>
      </c>
      <c r="AJ389" s="273">
        <f>AI389*(1+'2. GRI Pricing Inputs'!$D$114)^((AJ$16-AI$16)/365)</f>
        <v>0</v>
      </c>
      <c r="AK389" s="273">
        <f>AJ389*(1+'2. GRI Pricing Inputs'!$D$114)^((AK$16-AJ$16)/365)</f>
        <v>0</v>
      </c>
      <c r="AL389" s="273">
        <f>AK389*(1+'2. GRI Pricing Inputs'!$D$114)^((AL$16-AK$16)/365)</f>
        <v>0</v>
      </c>
      <c r="AM389" s="273">
        <f>AL389*(1+'2. GRI Pricing Inputs'!$D$114)^((AM$16-AL$16)/365)</f>
        <v>0</v>
      </c>
      <c r="AN389" s="273">
        <f>AM389*(1+'2. GRI Pricing Inputs'!$D$114)^((AN$16-AM$16)/365)</f>
        <v>0</v>
      </c>
      <c r="AO389" s="273">
        <f>AN389*(1+'2. GRI Pricing Inputs'!$D$114)^((AO$16-AN$16)/365)</f>
        <v>0</v>
      </c>
    </row>
    <row r="390" spans="3:41" ht="12" x14ac:dyDescent="0.2">
      <c r="C390" s="76">
        <f>'1. Accomodation'!N394</f>
        <v>0</v>
      </c>
      <c r="D390" s="69">
        <f>'1. Accomodation'!P394</f>
        <v>0</v>
      </c>
      <c r="E390" s="69">
        <f>'1. Accomodation'!Q394</f>
        <v>0</v>
      </c>
      <c r="F390" s="77">
        <f>'1. Accomodation'!O394</f>
        <v>0</v>
      </c>
      <c r="G390" s="69">
        <f>'1. Accomodation'!R394</f>
        <v>0</v>
      </c>
      <c r="H390" s="69">
        <f>'1. Accomodation'!S394</f>
        <v>0</v>
      </c>
      <c r="I390" s="62"/>
      <c r="K390" s="272">
        <f>IFERROR(INDEX('2. GRI Pricing Inputs'!$C$15:$AI$16,MATCH($K$16,'2. GRI Pricing Inputs'!$C$15:$C$16,0),MATCH(D390,'2. GRI Pricing Inputs'!$C$15:$AI$15,0)),0)</f>
        <v>0</v>
      </c>
      <c r="L390" s="273">
        <f>IFERROR(INDEX('2. GRI Pricing Inputs'!$C$22:$AI$23,MATCH($L$16,'2. GRI Pricing Inputs'!$C$22:$C$23,0),MATCH(E390,'2. GRI Pricing Inputs'!$C$22:$AI$22,0)),0)</f>
        <v>0</v>
      </c>
      <c r="M390" s="328">
        <f>IF(AND('3. GRI Pricing'!$F390&gt;='2. GRI Pricing Inputs'!$D$33,'3. GRI Pricing'!$F390&lt;='2. GRI Pricing Inputs'!$E$33),'2. GRI Pricing Inputs'!$D$32,IF(AND('3. GRI Pricing'!$F390&gt;='2. GRI Pricing Inputs'!$F$33,'3. GRI Pricing'!$F390&lt;='2. GRI Pricing Inputs'!$G$33),'2. GRI Pricing Inputs'!$F$32,IF(AND('3. GRI Pricing'!$F390&gt;='2. GRI Pricing Inputs'!$H$33,'3. GRI Pricing'!$F390&lt;='2. GRI Pricing Inputs'!$I$33),'2. GRI Pricing Inputs'!$H$32,IF(AND('3. GRI Pricing'!$F390&gt;='2. GRI Pricing Inputs'!$J$33,'3. GRI Pricing'!$F390&lt;='2. GRI Pricing Inputs'!$K$33),'2. GRI Pricing Inputs'!$J$32,IF(AND('3. GRI Pricing'!$F390&gt;='2. GRI Pricing Inputs'!$L$33,'3. GRI Pricing'!$F390&lt;='2. GRI Pricing Inputs'!$M$33),'2. GRI Pricing Inputs'!$L$32,IF(AND('3. GRI Pricing'!$F390&gt;='2. GRI Pricing Inputs'!$N$33,'3. GRI Pricing'!$F390&lt;='2. GRI Pricing Inputs'!$O$33),'2. GRI Pricing Inputs'!$N$32,IF(AND('3. GRI Pricing'!$F390&gt;='2. GRI Pricing Inputs'!$P$33,'3. GRI Pricing'!$F390&lt;='2. GRI Pricing Inputs'!$Q$33),'2. GRI Pricing Inputs'!$P$32,IF(AND('3. GRI Pricing'!$F390&gt;='2. GRI Pricing Inputs'!$R$33,'3. GRI Pricing'!$F390&lt;='2. GRI Pricing Inputs'!$S$33),'2. GRI Pricing Inputs'!$R$32,IF(AND('3. GRI Pricing'!$F390&gt;='2. GRI Pricing Inputs'!$T$33,'3. GRI Pricing'!$F390&lt;='2. GRI Pricing Inputs'!$U$33),'2. GRI Pricing Inputs'!$T$32,IF(AND('3. GRI Pricing'!$F390&gt;='2. GRI Pricing Inputs'!$V$33,'3. GRI Pricing'!$F390&lt;='2. GRI Pricing Inputs'!$W$33),'2. GRI Pricing Inputs'!$V$32,IF(AND('3. GRI Pricing'!$F390&gt;='2. GRI Pricing Inputs'!$X$33,'3. GRI Pricing'!$F390&lt;='2. GRI Pricing Inputs'!$Y$33),'2. GRI Pricing Inputs'!$X$32,IF(AND('3. GRI Pricing'!$F390&gt;='2. GRI Pricing Inputs'!$Z$33,'3. GRI Pricing'!$F390&lt;='2. GRI Pricing Inputs'!$AA$33),'2. GRI Pricing Inputs'!$Z$32,IF(AND('3. GRI Pricing'!$F390&gt;='2. GRI Pricing Inputs'!$AB$33,'3. GRI Pricing'!$F390&lt;='2. GRI Pricing Inputs'!$AC$33),'2. GRI Pricing Inputs'!$AB$32,IF(AND('3. GRI Pricing'!$F390&gt;='2. GRI Pricing Inputs'!$AD$33,'3. GRI Pricing'!$F390&lt;='2. GRI Pricing Inputs'!$AE$33),'2. GRI Pricing Inputs'!$AD$32,IF(AND('3. GRI Pricing'!$F390&gt;='2. GRI Pricing Inputs'!$AF$33,'3. GRI Pricing'!$F390&lt;='2. GRI Pricing Inputs'!$AG$33),'2. GRI Pricing Inputs'!$AF$32,IF(AND('3. GRI Pricing'!$F390&gt;='2. GRI Pricing Inputs'!$AH$33,'3. GRI Pricing'!$F390&lt;='2. GRI Pricing Inputs'!$AI$33),'2. GRI Pricing Inputs'!$AH$32,0))))))))))))))))</f>
        <v>0</v>
      </c>
      <c r="N390" s="273" cm="1">
        <f t="array" ref="N390">IFERROR(INDEX('2. GRI Pricing Inputs'!$C$32:$AI$39,MATCH('3. GRI Pricing'!D390,'2. GRI Pricing Inputs'!$C$32:$C$39,0),(MATCH('3. GRI Pricing'!M390,'2. GRI Pricing Inputs'!$D$32:$AI$32,0)+1)),0)</f>
        <v>0</v>
      </c>
      <c r="O390" s="273">
        <f>IFERROR(INDEX('2. GRI Pricing Inputs'!$C$45:$AI$46,MATCH($O$16,'2. GRI Pricing Inputs'!$C$45:$C$46,0),MATCH(G390,'2. GRI Pricing Inputs'!$C$45:$AI$45,0)),0)</f>
        <v>0</v>
      </c>
      <c r="P390" s="273">
        <f>IFERROR(INDEX('2. GRI Pricing Inputs'!$C$53:$AI$54,MATCH('3. GRI Pricing'!$P$16,'2. GRI Pricing Inputs'!$C$53:$C$54,0),MATCH('3. GRI Pricing'!H390,'2. GRI Pricing Inputs'!$C$53:$AI$53,0)),0)</f>
        <v>0</v>
      </c>
      <c r="Q390" s="273">
        <f>IFERROR(INDEX('2. GRI Pricing Inputs'!$C$60:$AI$61,MATCH('3. GRI Pricing'!$Q$16,'2. GRI Pricing Inputs'!$C$60:$C$61,0),MATCH('1. Accomodation'!T394,'2. GRI Pricing Inputs'!$C$60:$AI$60,0)),0)</f>
        <v>0</v>
      </c>
      <c r="R390" s="273">
        <f>IFERROR(INDEX('2. GRI Pricing Inputs'!$C$67:$AI$68,MATCH('3. GRI Pricing'!$R$16,'2. GRI Pricing Inputs'!$C$67:$C$68,0),MATCH('1. Accomodation'!U394,'2. GRI Pricing Inputs'!$C$67:$AI$67,0)),0)</f>
        <v>0</v>
      </c>
      <c r="S390" s="273">
        <f>IF(D390=0,0,'2. GRI Pricing Inputs'!$AI$75)</f>
        <v>0</v>
      </c>
      <c r="T390" s="273">
        <f>IFERROR(INDEX('2. GRI Pricing Inputs'!$C$82:$AI$83,MATCH('3. GRI Pricing'!$T$16,'2. GRI Pricing Inputs'!$C$82:$C$83,0),MATCH('1. Accomodation'!V394,'2. GRI Pricing Inputs'!$C$82:$AI$82,0)),0)</f>
        <v>0</v>
      </c>
      <c r="U390" s="273">
        <f>IFERROR(INDEX('2. GRI Pricing Inputs'!$C$89:$AI$90,MATCH('3. GRI Pricing'!$U$16,'2. GRI Pricing Inputs'!$C$89:$C$90,0),MATCH('1. Accomodation'!W394,'2. GRI Pricing Inputs'!$C$89:$AI$89,0)),0)</f>
        <v>0</v>
      </c>
      <c r="V390" s="273">
        <f>IFERROR(INDEX('2. GRI Pricing Inputs'!$C$97:$AI$98,MATCH('3. GRI Pricing'!$V$16,'2. GRI Pricing Inputs'!$C$97:$C$98,0),MATCH('1. Accomodation'!X394,'2. GRI Pricing Inputs'!$C$97:$AI$97,0)),0)</f>
        <v>0</v>
      </c>
      <c r="W390" s="273">
        <f>IFERROR(INDEX('2. GRI Pricing Inputs'!$C$104:$AI$105,MATCH('3. GRI Pricing'!$W$16,'2. GRI Pricing Inputs'!$C$104:$C$105,0),MATCH('1. Accomodation'!Y394,'2. GRI Pricing Inputs'!$C$104:$AI$104,0)),0)</f>
        <v>0</v>
      </c>
      <c r="X390" s="274"/>
      <c r="Y390" s="275">
        <f t="shared" si="12"/>
        <v>0</v>
      </c>
      <c r="Z390" s="276"/>
      <c r="AA390" s="276"/>
      <c r="AB390" s="276"/>
      <c r="AC390" s="272">
        <f>Y390*(1+'2. GRI Pricing Inputs'!$D$114)^(($AC$16-$AB$15)/365)</f>
        <v>0</v>
      </c>
      <c r="AD390" s="273">
        <f>AC390*(1+'2. GRI Pricing Inputs'!$D$114)^((AD$16-AC$16)/365)</f>
        <v>0</v>
      </c>
      <c r="AE390" s="273">
        <f>AD390*(1+'2. GRI Pricing Inputs'!$D$114)^((AE$16-AD$16)/365)</f>
        <v>0</v>
      </c>
      <c r="AF390" s="273">
        <f>AE390*(1+'2. GRI Pricing Inputs'!$D$114)^((AF$16-AE$16)/365)</f>
        <v>0</v>
      </c>
      <c r="AG390" s="273">
        <f>AF390*(1+'2. GRI Pricing Inputs'!$D$114)^((AG$16-AF$16)/365)</f>
        <v>0</v>
      </c>
      <c r="AH390" s="273">
        <f>AG390*(1+'2. GRI Pricing Inputs'!$D$114)^((AH$16-AG$16)/365)</f>
        <v>0</v>
      </c>
      <c r="AI390" s="273">
        <f>AH390*(1+'2. GRI Pricing Inputs'!$D$114)^((AI$16-AH$16)/365)</f>
        <v>0</v>
      </c>
      <c r="AJ390" s="273">
        <f>AI390*(1+'2. GRI Pricing Inputs'!$D$114)^((AJ$16-AI$16)/365)</f>
        <v>0</v>
      </c>
      <c r="AK390" s="273">
        <f>AJ390*(1+'2. GRI Pricing Inputs'!$D$114)^((AK$16-AJ$16)/365)</f>
        <v>0</v>
      </c>
      <c r="AL390" s="273">
        <f>AK390*(1+'2. GRI Pricing Inputs'!$D$114)^((AL$16-AK$16)/365)</f>
        <v>0</v>
      </c>
      <c r="AM390" s="273">
        <f>AL390*(1+'2. GRI Pricing Inputs'!$D$114)^((AM$16-AL$16)/365)</f>
        <v>0</v>
      </c>
      <c r="AN390" s="273">
        <f>AM390*(1+'2. GRI Pricing Inputs'!$D$114)^((AN$16-AM$16)/365)</f>
        <v>0</v>
      </c>
      <c r="AO390" s="273">
        <f>AN390*(1+'2. GRI Pricing Inputs'!$D$114)^((AO$16-AN$16)/365)</f>
        <v>0</v>
      </c>
    </row>
    <row r="391" spans="3:41" ht="12" x14ac:dyDescent="0.2">
      <c r="C391" s="76">
        <f>'1. Accomodation'!N395</f>
        <v>0</v>
      </c>
      <c r="D391" s="69">
        <f>'1. Accomodation'!P395</f>
        <v>0</v>
      </c>
      <c r="E391" s="69">
        <f>'1. Accomodation'!Q395</f>
        <v>0</v>
      </c>
      <c r="F391" s="77">
        <f>'1. Accomodation'!O395</f>
        <v>0</v>
      </c>
      <c r="G391" s="69">
        <f>'1. Accomodation'!R395</f>
        <v>0</v>
      </c>
      <c r="H391" s="69">
        <f>'1. Accomodation'!S395</f>
        <v>0</v>
      </c>
      <c r="I391" s="62"/>
      <c r="K391" s="272">
        <f>IFERROR(INDEX('2. GRI Pricing Inputs'!$C$15:$AI$16,MATCH($K$16,'2. GRI Pricing Inputs'!$C$15:$C$16,0),MATCH(D391,'2. GRI Pricing Inputs'!$C$15:$AI$15,0)),0)</f>
        <v>0</v>
      </c>
      <c r="L391" s="273">
        <f>IFERROR(INDEX('2. GRI Pricing Inputs'!$C$22:$AI$23,MATCH($L$16,'2. GRI Pricing Inputs'!$C$22:$C$23,0),MATCH(E391,'2. GRI Pricing Inputs'!$C$22:$AI$22,0)),0)</f>
        <v>0</v>
      </c>
      <c r="M391" s="328">
        <f>IF(AND('3. GRI Pricing'!$F391&gt;='2. GRI Pricing Inputs'!$D$33,'3. GRI Pricing'!$F391&lt;='2. GRI Pricing Inputs'!$E$33),'2. GRI Pricing Inputs'!$D$32,IF(AND('3. GRI Pricing'!$F391&gt;='2. GRI Pricing Inputs'!$F$33,'3. GRI Pricing'!$F391&lt;='2. GRI Pricing Inputs'!$G$33),'2. GRI Pricing Inputs'!$F$32,IF(AND('3. GRI Pricing'!$F391&gt;='2. GRI Pricing Inputs'!$H$33,'3. GRI Pricing'!$F391&lt;='2. GRI Pricing Inputs'!$I$33),'2. GRI Pricing Inputs'!$H$32,IF(AND('3. GRI Pricing'!$F391&gt;='2. GRI Pricing Inputs'!$J$33,'3. GRI Pricing'!$F391&lt;='2. GRI Pricing Inputs'!$K$33),'2. GRI Pricing Inputs'!$J$32,IF(AND('3. GRI Pricing'!$F391&gt;='2. GRI Pricing Inputs'!$L$33,'3. GRI Pricing'!$F391&lt;='2. GRI Pricing Inputs'!$M$33),'2. GRI Pricing Inputs'!$L$32,IF(AND('3. GRI Pricing'!$F391&gt;='2. GRI Pricing Inputs'!$N$33,'3. GRI Pricing'!$F391&lt;='2. GRI Pricing Inputs'!$O$33),'2. GRI Pricing Inputs'!$N$32,IF(AND('3. GRI Pricing'!$F391&gt;='2. GRI Pricing Inputs'!$P$33,'3. GRI Pricing'!$F391&lt;='2. GRI Pricing Inputs'!$Q$33),'2. GRI Pricing Inputs'!$P$32,IF(AND('3. GRI Pricing'!$F391&gt;='2. GRI Pricing Inputs'!$R$33,'3. GRI Pricing'!$F391&lt;='2. GRI Pricing Inputs'!$S$33),'2. GRI Pricing Inputs'!$R$32,IF(AND('3. GRI Pricing'!$F391&gt;='2. GRI Pricing Inputs'!$T$33,'3. GRI Pricing'!$F391&lt;='2. GRI Pricing Inputs'!$U$33),'2. GRI Pricing Inputs'!$T$32,IF(AND('3. GRI Pricing'!$F391&gt;='2. GRI Pricing Inputs'!$V$33,'3. GRI Pricing'!$F391&lt;='2. GRI Pricing Inputs'!$W$33),'2. GRI Pricing Inputs'!$V$32,IF(AND('3. GRI Pricing'!$F391&gt;='2. GRI Pricing Inputs'!$X$33,'3. GRI Pricing'!$F391&lt;='2. GRI Pricing Inputs'!$Y$33),'2. GRI Pricing Inputs'!$X$32,IF(AND('3. GRI Pricing'!$F391&gt;='2. GRI Pricing Inputs'!$Z$33,'3. GRI Pricing'!$F391&lt;='2. GRI Pricing Inputs'!$AA$33),'2. GRI Pricing Inputs'!$Z$32,IF(AND('3. GRI Pricing'!$F391&gt;='2. GRI Pricing Inputs'!$AB$33,'3. GRI Pricing'!$F391&lt;='2. GRI Pricing Inputs'!$AC$33),'2. GRI Pricing Inputs'!$AB$32,IF(AND('3. GRI Pricing'!$F391&gt;='2. GRI Pricing Inputs'!$AD$33,'3. GRI Pricing'!$F391&lt;='2. GRI Pricing Inputs'!$AE$33),'2. GRI Pricing Inputs'!$AD$32,IF(AND('3. GRI Pricing'!$F391&gt;='2. GRI Pricing Inputs'!$AF$33,'3. GRI Pricing'!$F391&lt;='2. GRI Pricing Inputs'!$AG$33),'2. GRI Pricing Inputs'!$AF$32,IF(AND('3. GRI Pricing'!$F391&gt;='2. GRI Pricing Inputs'!$AH$33,'3. GRI Pricing'!$F391&lt;='2. GRI Pricing Inputs'!$AI$33),'2. GRI Pricing Inputs'!$AH$32,0))))))))))))))))</f>
        <v>0</v>
      </c>
      <c r="N391" s="273" cm="1">
        <f t="array" ref="N391">IFERROR(INDEX('2. GRI Pricing Inputs'!$C$32:$AI$39,MATCH('3. GRI Pricing'!D391,'2. GRI Pricing Inputs'!$C$32:$C$39,0),(MATCH('3. GRI Pricing'!M391,'2. GRI Pricing Inputs'!$D$32:$AI$32,0)+1)),0)</f>
        <v>0</v>
      </c>
      <c r="O391" s="273">
        <f>IFERROR(INDEX('2. GRI Pricing Inputs'!$C$45:$AI$46,MATCH($O$16,'2. GRI Pricing Inputs'!$C$45:$C$46,0),MATCH(G391,'2. GRI Pricing Inputs'!$C$45:$AI$45,0)),0)</f>
        <v>0</v>
      </c>
      <c r="P391" s="273">
        <f>IFERROR(INDEX('2. GRI Pricing Inputs'!$C$53:$AI$54,MATCH('3. GRI Pricing'!$P$16,'2. GRI Pricing Inputs'!$C$53:$C$54,0),MATCH('3. GRI Pricing'!H391,'2. GRI Pricing Inputs'!$C$53:$AI$53,0)),0)</f>
        <v>0</v>
      </c>
      <c r="Q391" s="273">
        <f>IFERROR(INDEX('2. GRI Pricing Inputs'!$C$60:$AI$61,MATCH('3. GRI Pricing'!$Q$16,'2. GRI Pricing Inputs'!$C$60:$C$61,0),MATCH('1. Accomodation'!T395,'2. GRI Pricing Inputs'!$C$60:$AI$60,0)),0)</f>
        <v>0</v>
      </c>
      <c r="R391" s="273">
        <f>IFERROR(INDEX('2. GRI Pricing Inputs'!$C$67:$AI$68,MATCH('3. GRI Pricing'!$R$16,'2. GRI Pricing Inputs'!$C$67:$C$68,0),MATCH('1. Accomodation'!U395,'2. GRI Pricing Inputs'!$C$67:$AI$67,0)),0)</f>
        <v>0</v>
      </c>
      <c r="S391" s="273">
        <f>IF(D391=0,0,'2. GRI Pricing Inputs'!$AI$75)</f>
        <v>0</v>
      </c>
      <c r="T391" s="273">
        <f>IFERROR(INDEX('2. GRI Pricing Inputs'!$C$82:$AI$83,MATCH('3. GRI Pricing'!$T$16,'2. GRI Pricing Inputs'!$C$82:$C$83,0),MATCH('1. Accomodation'!V395,'2. GRI Pricing Inputs'!$C$82:$AI$82,0)),0)</f>
        <v>0</v>
      </c>
      <c r="U391" s="273">
        <f>IFERROR(INDEX('2. GRI Pricing Inputs'!$C$89:$AI$90,MATCH('3. GRI Pricing'!$U$16,'2. GRI Pricing Inputs'!$C$89:$C$90,0),MATCH('1. Accomodation'!W395,'2. GRI Pricing Inputs'!$C$89:$AI$89,0)),0)</f>
        <v>0</v>
      </c>
      <c r="V391" s="273">
        <f>IFERROR(INDEX('2. GRI Pricing Inputs'!$C$97:$AI$98,MATCH('3. GRI Pricing'!$V$16,'2. GRI Pricing Inputs'!$C$97:$C$98,0),MATCH('1. Accomodation'!X395,'2. GRI Pricing Inputs'!$C$97:$AI$97,0)),0)</f>
        <v>0</v>
      </c>
      <c r="W391" s="273">
        <f>IFERROR(INDEX('2. GRI Pricing Inputs'!$C$104:$AI$105,MATCH('3. GRI Pricing'!$W$16,'2. GRI Pricing Inputs'!$C$104:$C$105,0),MATCH('1. Accomodation'!Y395,'2. GRI Pricing Inputs'!$C$104:$AI$104,0)),0)</f>
        <v>0</v>
      </c>
      <c r="X391" s="274"/>
      <c r="Y391" s="275">
        <f t="shared" si="12"/>
        <v>0</v>
      </c>
      <c r="Z391" s="276"/>
      <c r="AA391" s="276"/>
      <c r="AB391" s="276"/>
      <c r="AC391" s="272">
        <f>Y391*(1+'2. GRI Pricing Inputs'!$D$114)^(($AC$16-$AB$15)/365)</f>
        <v>0</v>
      </c>
      <c r="AD391" s="273">
        <f>AC391*(1+'2. GRI Pricing Inputs'!$D$114)^((AD$16-AC$16)/365)</f>
        <v>0</v>
      </c>
      <c r="AE391" s="273">
        <f>AD391*(1+'2. GRI Pricing Inputs'!$D$114)^((AE$16-AD$16)/365)</f>
        <v>0</v>
      </c>
      <c r="AF391" s="273">
        <f>AE391*(1+'2. GRI Pricing Inputs'!$D$114)^((AF$16-AE$16)/365)</f>
        <v>0</v>
      </c>
      <c r="AG391" s="273">
        <f>AF391*(1+'2. GRI Pricing Inputs'!$D$114)^((AG$16-AF$16)/365)</f>
        <v>0</v>
      </c>
      <c r="AH391" s="273">
        <f>AG391*(1+'2. GRI Pricing Inputs'!$D$114)^((AH$16-AG$16)/365)</f>
        <v>0</v>
      </c>
      <c r="AI391" s="273">
        <f>AH391*(1+'2. GRI Pricing Inputs'!$D$114)^((AI$16-AH$16)/365)</f>
        <v>0</v>
      </c>
      <c r="AJ391" s="273">
        <f>AI391*(1+'2. GRI Pricing Inputs'!$D$114)^((AJ$16-AI$16)/365)</f>
        <v>0</v>
      </c>
      <c r="AK391" s="273">
        <f>AJ391*(1+'2. GRI Pricing Inputs'!$D$114)^((AK$16-AJ$16)/365)</f>
        <v>0</v>
      </c>
      <c r="AL391" s="273">
        <f>AK391*(1+'2. GRI Pricing Inputs'!$D$114)^((AL$16-AK$16)/365)</f>
        <v>0</v>
      </c>
      <c r="AM391" s="273">
        <f>AL391*(1+'2. GRI Pricing Inputs'!$D$114)^((AM$16-AL$16)/365)</f>
        <v>0</v>
      </c>
      <c r="AN391" s="273">
        <f>AM391*(1+'2. GRI Pricing Inputs'!$D$114)^((AN$16-AM$16)/365)</f>
        <v>0</v>
      </c>
      <c r="AO391" s="273">
        <f>AN391*(1+'2. GRI Pricing Inputs'!$D$114)^((AO$16-AN$16)/365)</f>
        <v>0</v>
      </c>
    </row>
    <row r="392" spans="3:41" ht="12" x14ac:dyDescent="0.2">
      <c r="C392" s="76">
        <f>'1. Accomodation'!N396</f>
        <v>0</v>
      </c>
      <c r="D392" s="69">
        <f>'1. Accomodation'!P396</f>
        <v>0</v>
      </c>
      <c r="E392" s="69">
        <f>'1. Accomodation'!Q396</f>
        <v>0</v>
      </c>
      <c r="F392" s="77">
        <f>'1. Accomodation'!O396</f>
        <v>0</v>
      </c>
      <c r="G392" s="69">
        <f>'1. Accomodation'!R396</f>
        <v>0</v>
      </c>
      <c r="H392" s="69">
        <f>'1. Accomodation'!S396</f>
        <v>0</v>
      </c>
      <c r="I392" s="62"/>
      <c r="K392" s="272">
        <f>IFERROR(INDEX('2. GRI Pricing Inputs'!$C$15:$AI$16,MATCH($K$16,'2. GRI Pricing Inputs'!$C$15:$C$16,0),MATCH(D392,'2. GRI Pricing Inputs'!$C$15:$AI$15,0)),0)</f>
        <v>0</v>
      </c>
      <c r="L392" s="273">
        <f>IFERROR(INDEX('2. GRI Pricing Inputs'!$C$22:$AI$23,MATCH($L$16,'2. GRI Pricing Inputs'!$C$22:$C$23,0),MATCH(E392,'2. GRI Pricing Inputs'!$C$22:$AI$22,0)),0)</f>
        <v>0</v>
      </c>
      <c r="M392" s="328">
        <f>IF(AND('3. GRI Pricing'!$F392&gt;='2. GRI Pricing Inputs'!$D$33,'3. GRI Pricing'!$F392&lt;='2. GRI Pricing Inputs'!$E$33),'2. GRI Pricing Inputs'!$D$32,IF(AND('3. GRI Pricing'!$F392&gt;='2. GRI Pricing Inputs'!$F$33,'3. GRI Pricing'!$F392&lt;='2. GRI Pricing Inputs'!$G$33),'2. GRI Pricing Inputs'!$F$32,IF(AND('3. GRI Pricing'!$F392&gt;='2. GRI Pricing Inputs'!$H$33,'3. GRI Pricing'!$F392&lt;='2. GRI Pricing Inputs'!$I$33),'2. GRI Pricing Inputs'!$H$32,IF(AND('3. GRI Pricing'!$F392&gt;='2. GRI Pricing Inputs'!$J$33,'3. GRI Pricing'!$F392&lt;='2. GRI Pricing Inputs'!$K$33),'2. GRI Pricing Inputs'!$J$32,IF(AND('3. GRI Pricing'!$F392&gt;='2. GRI Pricing Inputs'!$L$33,'3. GRI Pricing'!$F392&lt;='2. GRI Pricing Inputs'!$M$33),'2. GRI Pricing Inputs'!$L$32,IF(AND('3. GRI Pricing'!$F392&gt;='2. GRI Pricing Inputs'!$N$33,'3. GRI Pricing'!$F392&lt;='2. GRI Pricing Inputs'!$O$33),'2. GRI Pricing Inputs'!$N$32,IF(AND('3. GRI Pricing'!$F392&gt;='2. GRI Pricing Inputs'!$P$33,'3. GRI Pricing'!$F392&lt;='2. GRI Pricing Inputs'!$Q$33),'2. GRI Pricing Inputs'!$P$32,IF(AND('3. GRI Pricing'!$F392&gt;='2. GRI Pricing Inputs'!$R$33,'3. GRI Pricing'!$F392&lt;='2. GRI Pricing Inputs'!$S$33),'2. GRI Pricing Inputs'!$R$32,IF(AND('3. GRI Pricing'!$F392&gt;='2. GRI Pricing Inputs'!$T$33,'3. GRI Pricing'!$F392&lt;='2. GRI Pricing Inputs'!$U$33),'2. GRI Pricing Inputs'!$T$32,IF(AND('3. GRI Pricing'!$F392&gt;='2. GRI Pricing Inputs'!$V$33,'3. GRI Pricing'!$F392&lt;='2. GRI Pricing Inputs'!$W$33),'2. GRI Pricing Inputs'!$V$32,IF(AND('3. GRI Pricing'!$F392&gt;='2. GRI Pricing Inputs'!$X$33,'3. GRI Pricing'!$F392&lt;='2. GRI Pricing Inputs'!$Y$33),'2. GRI Pricing Inputs'!$X$32,IF(AND('3. GRI Pricing'!$F392&gt;='2. GRI Pricing Inputs'!$Z$33,'3. GRI Pricing'!$F392&lt;='2. GRI Pricing Inputs'!$AA$33),'2. GRI Pricing Inputs'!$Z$32,IF(AND('3. GRI Pricing'!$F392&gt;='2. GRI Pricing Inputs'!$AB$33,'3. GRI Pricing'!$F392&lt;='2. GRI Pricing Inputs'!$AC$33),'2. GRI Pricing Inputs'!$AB$32,IF(AND('3. GRI Pricing'!$F392&gt;='2. GRI Pricing Inputs'!$AD$33,'3. GRI Pricing'!$F392&lt;='2. GRI Pricing Inputs'!$AE$33),'2. GRI Pricing Inputs'!$AD$32,IF(AND('3. GRI Pricing'!$F392&gt;='2. GRI Pricing Inputs'!$AF$33,'3. GRI Pricing'!$F392&lt;='2. GRI Pricing Inputs'!$AG$33),'2. GRI Pricing Inputs'!$AF$32,IF(AND('3. GRI Pricing'!$F392&gt;='2. GRI Pricing Inputs'!$AH$33,'3. GRI Pricing'!$F392&lt;='2. GRI Pricing Inputs'!$AI$33),'2. GRI Pricing Inputs'!$AH$32,0))))))))))))))))</f>
        <v>0</v>
      </c>
      <c r="N392" s="273" cm="1">
        <f t="array" ref="N392">IFERROR(INDEX('2. GRI Pricing Inputs'!$C$32:$AI$39,MATCH('3. GRI Pricing'!D392,'2. GRI Pricing Inputs'!$C$32:$C$39,0),(MATCH('3. GRI Pricing'!M392,'2. GRI Pricing Inputs'!$D$32:$AI$32,0)+1)),0)</f>
        <v>0</v>
      </c>
      <c r="O392" s="273">
        <f>IFERROR(INDEX('2. GRI Pricing Inputs'!$C$45:$AI$46,MATCH($O$16,'2. GRI Pricing Inputs'!$C$45:$C$46,0),MATCH(G392,'2. GRI Pricing Inputs'!$C$45:$AI$45,0)),0)</f>
        <v>0</v>
      </c>
      <c r="P392" s="273">
        <f>IFERROR(INDEX('2. GRI Pricing Inputs'!$C$53:$AI$54,MATCH('3. GRI Pricing'!$P$16,'2. GRI Pricing Inputs'!$C$53:$C$54,0),MATCH('3. GRI Pricing'!H392,'2. GRI Pricing Inputs'!$C$53:$AI$53,0)),0)</f>
        <v>0</v>
      </c>
      <c r="Q392" s="273">
        <f>IFERROR(INDEX('2. GRI Pricing Inputs'!$C$60:$AI$61,MATCH('3. GRI Pricing'!$Q$16,'2. GRI Pricing Inputs'!$C$60:$C$61,0),MATCH('1. Accomodation'!T396,'2. GRI Pricing Inputs'!$C$60:$AI$60,0)),0)</f>
        <v>0</v>
      </c>
      <c r="R392" s="273">
        <f>IFERROR(INDEX('2. GRI Pricing Inputs'!$C$67:$AI$68,MATCH('3. GRI Pricing'!$R$16,'2. GRI Pricing Inputs'!$C$67:$C$68,0),MATCH('1. Accomodation'!U396,'2. GRI Pricing Inputs'!$C$67:$AI$67,0)),0)</f>
        <v>0</v>
      </c>
      <c r="S392" s="273">
        <f>IF(D392=0,0,'2. GRI Pricing Inputs'!$AI$75)</f>
        <v>0</v>
      </c>
      <c r="T392" s="273">
        <f>IFERROR(INDEX('2. GRI Pricing Inputs'!$C$82:$AI$83,MATCH('3. GRI Pricing'!$T$16,'2. GRI Pricing Inputs'!$C$82:$C$83,0),MATCH('1. Accomodation'!V396,'2. GRI Pricing Inputs'!$C$82:$AI$82,0)),0)</f>
        <v>0</v>
      </c>
      <c r="U392" s="273">
        <f>IFERROR(INDEX('2. GRI Pricing Inputs'!$C$89:$AI$90,MATCH('3. GRI Pricing'!$U$16,'2. GRI Pricing Inputs'!$C$89:$C$90,0),MATCH('1. Accomodation'!W396,'2. GRI Pricing Inputs'!$C$89:$AI$89,0)),0)</f>
        <v>0</v>
      </c>
      <c r="V392" s="273">
        <f>IFERROR(INDEX('2. GRI Pricing Inputs'!$C$97:$AI$98,MATCH('3. GRI Pricing'!$V$16,'2. GRI Pricing Inputs'!$C$97:$C$98,0),MATCH('1. Accomodation'!X396,'2. GRI Pricing Inputs'!$C$97:$AI$97,0)),0)</f>
        <v>0</v>
      </c>
      <c r="W392" s="273">
        <f>IFERROR(INDEX('2. GRI Pricing Inputs'!$C$104:$AI$105,MATCH('3. GRI Pricing'!$W$16,'2. GRI Pricing Inputs'!$C$104:$C$105,0),MATCH('1. Accomodation'!Y396,'2. GRI Pricing Inputs'!$C$104:$AI$104,0)),0)</f>
        <v>0</v>
      </c>
      <c r="X392" s="274"/>
      <c r="Y392" s="275">
        <f t="shared" si="12"/>
        <v>0</v>
      </c>
      <c r="Z392" s="276"/>
      <c r="AA392" s="276"/>
      <c r="AB392" s="276"/>
      <c r="AC392" s="272">
        <f>Y392*(1+'2. GRI Pricing Inputs'!$D$114)^(($AC$16-$AB$15)/365)</f>
        <v>0</v>
      </c>
      <c r="AD392" s="273">
        <f>AC392*(1+'2. GRI Pricing Inputs'!$D$114)^((AD$16-AC$16)/365)</f>
        <v>0</v>
      </c>
      <c r="AE392" s="273">
        <f>AD392*(1+'2. GRI Pricing Inputs'!$D$114)^((AE$16-AD$16)/365)</f>
        <v>0</v>
      </c>
      <c r="AF392" s="273">
        <f>AE392*(1+'2. GRI Pricing Inputs'!$D$114)^((AF$16-AE$16)/365)</f>
        <v>0</v>
      </c>
      <c r="AG392" s="273">
        <f>AF392*(1+'2. GRI Pricing Inputs'!$D$114)^((AG$16-AF$16)/365)</f>
        <v>0</v>
      </c>
      <c r="AH392" s="273">
        <f>AG392*(1+'2. GRI Pricing Inputs'!$D$114)^((AH$16-AG$16)/365)</f>
        <v>0</v>
      </c>
      <c r="AI392" s="273">
        <f>AH392*(1+'2. GRI Pricing Inputs'!$D$114)^((AI$16-AH$16)/365)</f>
        <v>0</v>
      </c>
      <c r="AJ392" s="273">
        <f>AI392*(1+'2. GRI Pricing Inputs'!$D$114)^((AJ$16-AI$16)/365)</f>
        <v>0</v>
      </c>
      <c r="AK392" s="273">
        <f>AJ392*(1+'2. GRI Pricing Inputs'!$D$114)^((AK$16-AJ$16)/365)</f>
        <v>0</v>
      </c>
      <c r="AL392" s="273">
        <f>AK392*(1+'2. GRI Pricing Inputs'!$D$114)^((AL$16-AK$16)/365)</f>
        <v>0</v>
      </c>
      <c r="AM392" s="273">
        <f>AL392*(1+'2. GRI Pricing Inputs'!$D$114)^((AM$16-AL$16)/365)</f>
        <v>0</v>
      </c>
      <c r="AN392" s="273">
        <f>AM392*(1+'2. GRI Pricing Inputs'!$D$114)^((AN$16-AM$16)/365)</f>
        <v>0</v>
      </c>
      <c r="AO392" s="273">
        <f>AN392*(1+'2. GRI Pricing Inputs'!$D$114)^((AO$16-AN$16)/365)</f>
        <v>0</v>
      </c>
    </row>
    <row r="393" spans="3:41" ht="12" x14ac:dyDescent="0.2">
      <c r="C393" s="76">
        <f>'1. Accomodation'!N397</f>
        <v>0</v>
      </c>
      <c r="D393" s="69">
        <f>'1. Accomodation'!P397</f>
        <v>0</v>
      </c>
      <c r="E393" s="69">
        <f>'1. Accomodation'!Q397</f>
        <v>0</v>
      </c>
      <c r="F393" s="77">
        <f>'1. Accomodation'!O397</f>
        <v>0</v>
      </c>
      <c r="G393" s="69">
        <f>'1. Accomodation'!R397</f>
        <v>0</v>
      </c>
      <c r="H393" s="69">
        <f>'1. Accomodation'!S397</f>
        <v>0</v>
      </c>
      <c r="I393" s="62"/>
      <c r="K393" s="272">
        <f>IFERROR(INDEX('2. GRI Pricing Inputs'!$C$15:$AI$16,MATCH($K$16,'2. GRI Pricing Inputs'!$C$15:$C$16,0),MATCH(D393,'2. GRI Pricing Inputs'!$C$15:$AI$15,0)),0)</f>
        <v>0</v>
      </c>
      <c r="L393" s="273">
        <f>IFERROR(INDEX('2. GRI Pricing Inputs'!$C$22:$AI$23,MATCH($L$16,'2. GRI Pricing Inputs'!$C$22:$C$23,0),MATCH(E393,'2. GRI Pricing Inputs'!$C$22:$AI$22,0)),0)</f>
        <v>0</v>
      </c>
      <c r="M393" s="328">
        <f>IF(AND('3. GRI Pricing'!$F393&gt;='2. GRI Pricing Inputs'!$D$33,'3. GRI Pricing'!$F393&lt;='2. GRI Pricing Inputs'!$E$33),'2. GRI Pricing Inputs'!$D$32,IF(AND('3. GRI Pricing'!$F393&gt;='2. GRI Pricing Inputs'!$F$33,'3. GRI Pricing'!$F393&lt;='2. GRI Pricing Inputs'!$G$33),'2. GRI Pricing Inputs'!$F$32,IF(AND('3. GRI Pricing'!$F393&gt;='2. GRI Pricing Inputs'!$H$33,'3. GRI Pricing'!$F393&lt;='2. GRI Pricing Inputs'!$I$33),'2. GRI Pricing Inputs'!$H$32,IF(AND('3. GRI Pricing'!$F393&gt;='2. GRI Pricing Inputs'!$J$33,'3. GRI Pricing'!$F393&lt;='2. GRI Pricing Inputs'!$K$33),'2. GRI Pricing Inputs'!$J$32,IF(AND('3. GRI Pricing'!$F393&gt;='2. GRI Pricing Inputs'!$L$33,'3. GRI Pricing'!$F393&lt;='2. GRI Pricing Inputs'!$M$33),'2. GRI Pricing Inputs'!$L$32,IF(AND('3. GRI Pricing'!$F393&gt;='2. GRI Pricing Inputs'!$N$33,'3. GRI Pricing'!$F393&lt;='2. GRI Pricing Inputs'!$O$33),'2. GRI Pricing Inputs'!$N$32,IF(AND('3. GRI Pricing'!$F393&gt;='2. GRI Pricing Inputs'!$P$33,'3. GRI Pricing'!$F393&lt;='2. GRI Pricing Inputs'!$Q$33),'2. GRI Pricing Inputs'!$P$32,IF(AND('3. GRI Pricing'!$F393&gt;='2. GRI Pricing Inputs'!$R$33,'3. GRI Pricing'!$F393&lt;='2. GRI Pricing Inputs'!$S$33),'2. GRI Pricing Inputs'!$R$32,IF(AND('3. GRI Pricing'!$F393&gt;='2. GRI Pricing Inputs'!$T$33,'3. GRI Pricing'!$F393&lt;='2. GRI Pricing Inputs'!$U$33),'2. GRI Pricing Inputs'!$T$32,IF(AND('3. GRI Pricing'!$F393&gt;='2. GRI Pricing Inputs'!$V$33,'3. GRI Pricing'!$F393&lt;='2. GRI Pricing Inputs'!$W$33),'2. GRI Pricing Inputs'!$V$32,IF(AND('3. GRI Pricing'!$F393&gt;='2. GRI Pricing Inputs'!$X$33,'3. GRI Pricing'!$F393&lt;='2. GRI Pricing Inputs'!$Y$33),'2. GRI Pricing Inputs'!$X$32,IF(AND('3. GRI Pricing'!$F393&gt;='2. GRI Pricing Inputs'!$Z$33,'3. GRI Pricing'!$F393&lt;='2. GRI Pricing Inputs'!$AA$33),'2. GRI Pricing Inputs'!$Z$32,IF(AND('3. GRI Pricing'!$F393&gt;='2. GRI Pricing Inputs'!$AB$33,'3. GRI Pricing'!$F393&lt;='2. GRI Pricing Inputs'!$AC$33),'2. GRI Pricing Inputs'!$AB$32,IF(AND('3. GRI Pricing'!$F393&gt;='2. GRI Pricing Inputs'!$AD$33,'3. GRI Pricing'!$F393&lt;='2. GRI Pricing Inputs'!$AE$33),'2. GRI Pricing Inputs'!$AD$32,IF(AND('3. GRI Pricing'!$F393&gt;='2. GRI Pricing Inputs'!$AF$33,'3. GRI Pricing'!$F393&lt;='2. GRI Pricing Inputs'!$AG$33),'2. GRI Pricing Inputs'!$AF$32,IF(AND('3. GRI Pricing'!$F393&gt;='2. GRI Pricing Inputs'!$AH$33,'3. GRI Pricing'!$F393&lt;='2. GRI Pricing Inputs'!$AI$33),'2. GRI Pricing Inputs'!$AH$32,0))))))))))))))))</f>
        <v>0</v>
      </c>
      <c r="N393" s="273" cm="1">
        <f t="array" ref="N393">IFERROR(INDEX('2. GRI Pricing Inputs'!$C$32:$AI$39,MATCH('3. GRI Pricing'!D393,'2. GRI Pricing Inputs'!$C$32:$C$39,0),(MATCH('3. GRI Pricing'!M393,'2. GRI Pricing Inputs'!$D$32:$AI$32,0)+1)),0)</f>
        <v>0</v>
      </c>
      <c r="O393" s="273">
        <f>IFERROR(INDEX('2. GRI Pricing Inputs'!$C$45:$AI$46,MATCH($O$16,'2. GRI Pricing Inputs'!$C$45:$C$46,0),MATCH(G393,'2. GRI Pricing Inputs'!$C$45:$AI$45,0)),0)</f>
        <v>0</v>
      </c>
      <c r="P393" s="273">
        <f>IFERROR(INDEX('2. GRI Pricing Inputs'!$C$53:$AI$54,MATCH('3. GRI Pricing'!$P$16,'2. GRI Pricing Inputs'!$C$53:$C$54,0),MATCH('3. GRI Pricing'!H393,'2. GRI Pricing Inputs'!$C$53:$AI$53,0)),0)</f>
        <v>0</v>
      </c>
      <c r="Q393" s="273">
        <f>IFERROR(INDEX('2. GRI Pricing Inputs'!$C$60:$AI$61,MATCH('3. GRI Pricing'!$Q$16,'2. GRI Pricing Inputs'!$C$60:$C$61,0),MATCH('1. Accomodation'!T397,'2. GRI Pricing Inputs'!$C$60:$AI$60,0)),0)</f>
        <v>0</v>
      </c>
      <c r="R393" s="273">
        <f>IFERROR(INDEX('2. GRI Pricing Inputs'!$C$67:$AI$68,MATCH('3. GRI Pricing'!$R$16,'2. GRI Pricing Inputs'!$C$67:$C$68,0),MATCH('1. Accomodation'!U397,'2. GRI Pricing Inputs'!$C$67:$AI$67,0)),0)</f>
        <v>0</v>
      </c>
      <c r="S393" s="273">
        <f>IF(D393=0,0,'2. GRI Pricing Inputs'!$AI$75)</f>
        <v>0</v>
      </c>
      <c r="T393" s="273">
        <f>IFERROR(INDEX('2. GRI Pricing Inputs'!$C$82:$AI$83,MATCH('3. GRI Pricing'!$T$16,'2. GRI Pricing Inputs'!$C$82:$C$83,0),MATCH('1. Accomodation'!V397,'2. GRI Pricing Inputs'!$C$82:$AI$82,0)),0)</f>
        <v>0</v>
      </c>
      <c r="U393" s="273">
        <f>IFERROR(INDEX('2. GRI Pricing Inputs'!$C$89:$AI$90,MATCH('3. GRI Pricing'!$U$16,'2. GRI Pricing Inputs'!$C$89:$C$90,0),MATCH('1. Accomodation'!W397,'2. GRI Pricing Inputs'!$C$89:$AI$89,0)),0)</f>
        <v>0</v>
      </c>
      <c r="V393" s="273">
        <f>IFERROR(INDEX('2. GRI Pricing Inputs'!$C$97:$AI$98,MATCH('3. GRI Pricing'!$V$16,'2. GRI Pricing Inputs'!$C$97:$C$98,0),MATCH('1. Accomodation'!X397,'2. GRI Pricing Inputs'!$C$97:$AI$97,0)),0)</f>
        <v>0</v>
      </c>
      <c r="W393" s="273">
        <f>IFERROR(INDEX('2. GRI Pricing Inputs'!$C$104:$AI$105,MATCH('3. GRI Pricing'!$W$16,'2. GRI Pricing Inputs'!$C$104:$C$105,0),MATCH('1. Accomodation'!Y397,'2. GRI Pricing Inputs'!$C$104:$AI$104,0)),0)</f>
        <v>0</v>
      </c>
      <c r="X393" s="274"/>
      <c r="Y393" s="275">
        <f t="shared" si="12"/>
        <v>0</v>
      </c>
      <c r="Z393" s="276"/>
      <c r="AA393" s="276"/>
      <c r="AB393" s="276"/>
      <c r="AC393" s="272">
        <f>Y393*(1+'2. GRI Pricing Inputs'!$D$114)^(($AC$16-$AB$15)/365)</f>
        <v>0</v>
      </c>
      <c r="AD393" s="273">
        <f>AC393*(1+'2. GRI Pricing Inputs'!$D$114)^((AD$16-AC$16)/365)</f>
        <v>0</v>
      </c>
      <c r="AE393" s="273">
        <f>AD393*(1+'2. GRI Pricing Inputs'!$D$114)^((AE$16-AD$16)/365)</f>
        <v>0</v>
      </c>
      <c r="AF393" s="273">
        <f>AE393*(1+'2. GRI Pricing Inputs'!$D$114)^((AF$16-AE$16)/365)</f>
        <v>0</v>
      </c>
      <c r="AG393" s="273">
        <f>AF393*(1+'2. GRI Pricing Inputs'!$D$114)^((AG$16-AF$16)/365)</f>
        <v>0</v>
      </c>
      <c r="AH393" s="273">
        <f>AG393*(1+'2. GRI Pricing Inputs'!$D$114)^((AH$16-AG$16)/365)</f>
        <v>0</v>
      </c>
      <c r="AI393" s="273">
        <f>AH393*(1+'2. GRI Pricing Inputs'!$D$114)^((AI$16-AH$16)/365)</f>
        <v>0</v>
      </c>
      <c r="AJ393" s="273">
        <f>AI393*(1+'2. GRI Pricing Inputs'!$D$114)^((AJ$16-AI$16)/365)</f>
        <v>0</v>
      </c>
      <c r="AK393" s="273">
        <f>AJ393*(1+'2. GRI Pricing Inputs'!$D$114)^((AK$16-AJ$16)/365)</f>
        <v>0</v>
      </c>
      <c r="AL393" s="273">
        <f>AK393*(1+'2. GRI Pricing Inputs'!$D$114)^((AL$16-AK$16)/365)</f>
        <v>0</v>
      </c>
      <c r="AM393" s="273">
        <f>AL393*(1+'2. GRI Pricing Inputs'!$D$114)^((AM$16-AL$16)/365)</f>
        <v>0</v>
      </c>
      <c r="AN393" s="273">
        <f>AM393*(1+'2. GRI Pricing Inputs'!$D$114)^((AN$16-AM$16)/365)</f>
        <v>0</v>
      </c>
      <c r="AO393" s="273">
        <f>AN393*(1+'2. GRI Pricing Inputs'!$D$114)^((AO$16-AN$16)/365)</f>
        <v>0</v>
      </c>
    </row>
    <row r="394" spans="3:41" ht="12" x14ac:dyDescent="0.2">
      <c r="C394" s="76">
        <f>'1. Accomodation'!N398</f>
        <v>0</v>
      </c>
      <c r="D394" s="69">
        <f>'1. Accomodation'!P398</f>
        <v>0</v>
      </c>
      <c r="E394" s="69">
        <f>'1. Accomodation'!Q398</f>
        <v>0</v>
      </c>
      <c r="F394" s="77">
        <f>'1. Accomodation'!O398</f>
        <v>0</v>
      </c>
      <c r="G394" s="69">
        <f>'1. Accomodation'!R398</f>
        <v>0</v>
      </c>
      <c r="H394" s="69">
        <f>'1. Accomodation'!S398</f>
        <v>0</v>
      </c>
      <c r="I394" s="62"/>
      <c r="K394" s="272">
        <f>IFERROR(INDEX('2. GRI Pricing Inputs'!$C$15:$AI$16,MATCH($K$16,'2. GRI Pricing Inputs'!$C$15:$C$16,0),MATCH(D394,'2. GRI Pricing Inputs'!$C$15:$AI$15,0)),0)</f>
        <v>0</v>
      </c>
      <c r="L394" s="273">
        <f>IFERROR(INDEX('2. GRI Pricing Inputs'!$C$22:$AI$23,MATCH($L$16,'2. GRI Pricing Inputs'!$C$22:$C$23,0),MATCH(E394,'2. GRI Pricing Inputs'!$C$22:$AI$22,0)),0)</f>
        <v>0</v>
      </c>
      <c r="M394" s="328">
        <f>IF(AND('3. GRI Pricing'!$F394&gt;='2. GRI Pricing Inputs'!$D$33,'3. GRI Pricing'!$F394&lt;='2. GRI Pricing Inputs'!$E$33),'2. GRI Pricing Inputs'!$D$32,IF(AND('3. GRI Pricing'!$F394&gt;='2. GRI Pricing Inputs'!$F$33,'3. GRI Pricing'!$F394&lt;='2. GRI Pricing Inputs'!$G$33),'2. GRI Pricing Inputs'!$F$32,IF(AND('3. GRI Pricing'!$F394&gt;='2. GRI Pricing Inputs'!$H$33,'3. GRI Pricing'!$F394&lt;='2. GRI Pricing Inputs'!$I$33),'2. GRI Pricing Inputs'!$H$32,IF(AND('3. GRI Pricing'!$F394&gt;='2. GRI Pricing Inputs'!$J$33,'3. GRI Pricing'!$F394&lt;='2. GRI Pricing Inputs'!$K$33),'2. GRI Pricing Inputs'!$J$32,IF(AND('3. GRI Pricing'!$F394&gt;='2. GRI Pricing Inputs'!$L$33,'3. GRI Pricing'!$F394&lt;='2. GRI Pricing Inputs'!$M$33),'2. GRI Pricing Inputs'!$L$32,IF(AND('3. GRI Pricing'!$F394&gt;='2. GRI Pricing Inputs'!$N$33,'3. GRI Pricing'!$F394&lt;='2. GRI Pricing Inputs'!$O$33),'2. GRI Pricing Inputs'!$N$32,IF(AND('3. GRI Pricing'!$F394&gt;='2. GRI Pricing Inputs'!$P$33,'3. GRI Pricing'!$F394&lt;='2. GRI Pricing Inputs'!$Q$33),'2. GRI Pricing Inputs'!$P$32,IF(AND('3. GRI Pricing'!$F394&gt;='2. GRI Pricing Inputs'!$R$33,'3. GRI Pricing'!$F394&lt;='2. GRI Pricing Inputs'!$S$33),'2. GRI Pricing Inputs'!$R$32,IF(AND('3. GRI Pricing'!$F394&gt;='2. GRI Pricing Inputs'!$T$33,'3. GRI Pricing'!$F394&lt;='2. GRI Pricing Inputs'!$U$33),'2. GRI Pricing Inputs'!$T$32,IF(AND('3. GRI Pricing'!$F394&gt;='2. GRI Pricing Inputs'!$V$33,'3. GRI Pricing'!$F394&lt;='2. GRI Pricing Inputs'!$W$33),'2. GRI Pricing Inputs'!$V$32,IF(AND('3. GRI Pricing'!$F394&gt;='2. GRI Pricing Inputs'!$X$33,'3. GRI Pricing'!$F394&lt;='2. GRI Pricing Inputs'!$Y$33),'2. GRI Pricing Inputs'!$X$32,IF(AND('3. GRI Pricing'!$F394&gt;='2. GRI Pricing Inputs'!$Z$33,'3. GRI Pricing'!$F394&lt;='2. GRI Pricing Inputs'!$AA$33),'2. GRI Pricing Inputs'!$Z$32,IF(AND('3. GRI Pricing'!$F394&gt;='2. GRI Pricing Inputs'!$AB$33,'3. GRI Pricing'!$F394&lt;='2. GRI Pricing Inputs'!$AC$33),'2. GRI Pricing Inputs'!$AB$32,IF(AND('3. GRI Pricing'!$F394&gt;='2. GRI Pricing Inputs'!$AD$33,'3. GRI Pricing'!$F394&lt;='2. GRI Pricing Inputs'!$AE$33),'2. GRI Pricing Inputs'!$AD$32,IF(AND('3. GRI Pricing'!$F394&gt;='2. GRI Pricing Inputs'!$AF$33,'3. GRI Pricing'!$F394&lt;='2. GRI Pricing Inputs'!$AG$33),'2. GRI Pricing Inputs'!$AF$32,IF(AND('3. GRI Pricing'!$F394&gt;='2. GRI Pricing Inputs'!$AH$33,'3. GRI Pricing'!$F394&lt;='2. GRI Pricing Inputs'!$AI$33),'2. GRI Pricing Inputs'!$AH$32,0))))))))))))))))</f>
        <v>0</v>
      </c>
      <c r="N394" s="273" cm="1">
        <f t="array" ref="N394">IFERROR(INDEX('2. GRI Pricing Inputs'!$C$32:$AI$39,MATCH('3. GRI Pricing'!D394,'2. GRI Pricing Inputs'!$C$32:$C$39,0),(MATCH('3. GRI Pricing'!M394,'2. GRI Pricing Inputs'!$D$32:$AI$32,0)+1)),0)</f>
        <v>0</v>
      </c>
      <c r="O394" s="273">
        <f>IFERROR(INDEX('2. GRI Pricing Inputs'!$C$45:$AI$46,MATCH($O$16,'2. GRI Pricing Inputs'!$C$45:$C$46,0),MATCH(G394,'2. GRI Pricing Inputs'!$C$45:$AI$45,0)),0)</f>
        <v>0</v>
      </c>
      <c r="P394" s="273">
        <f>IFERROR(INDEX('2. GRI Pricing Inputs'!$C$53:$AI$54,MATCH('3. GRI Pricing'!$P$16,'2. GRI Pricing Inputs'!$C$53:$C$54,0),MATCH('3. GRI Pricing'!H394,'2. GRI Pricing Inputs'!$C$53:$AI$53,0)),0)</f>
        <v>0</v>
      </c>
      <c r="Q394" s="273">
        <f>IFERROR(INDEX('2. GRI Pricing Inputs'!$C$60:$AI$61,MATCH('3. GRI Pricing'!$Q$16,'2. GRI Pricing Inputs'!$C$60:$C$61,0),MATCH('1. Accomodation'!T398,'2. GRI Pricing Inputs'!$C$60:$AI$60,0)),0)</f>
        <v>0</v>
      </c>
      <c r="R394" s="273">
        <f>IFERROR(INDEX('2. GRI Pricing Inputs'!$C$67:$AI$68,MATCH('3. GRI Pricing'!$R$16,'2. GRI Pricing Inputs'!$C$67:$C$68,0),MATCH('1. Accomodation'!U398,'2. GRI Pricing Inputs'!$C$67:$AI$67,0)),0)</f>
        <v>0</v>
      </c>
      <c r="S394" s="273">
        <f>IF(D394=0,0,'2. GRI Pricing Inputs'!$AI$75)</f>
        <v>0</v>
      </c>
      <c r="T394" s="273">
        <f>IFERROR(INDEX('2. GRI Pricing Inputs'!$C$82:$AI$83,MATCH('3. GRI Pricing'!$T$16,'2. GRI Pricing Inputs'!$C$82:$C$83,0),MATCH('1. Accomodation'!V398,'2. GRI Pricing Inputs'!$C$82:$AI$82,0)),0)</f>
        <v>0</v>
      </c>
      <c r="U394" s="273">
        <f>IFERROR(INDEX('2. GRI Pricing Inputs'!$C$89:$AI$90,MATCH('3. GRI Pricing'!$U$16,'2. GRI Pricing Inputs'!$C$89:$C$90,0),MATCH('1. Accomodation'!W398,'2. GRI Pricing Inputs'!$C$89:$AI$89,0)),0)</f>
        <v>0</v>
      </c>
      <c r="V394" s="273">
        <f>IFERROR(INDEX('2. GRI Pricing Inputs'!$C$97:$AI$98,MATCH('3. GRI Pricing'!$V$16,'2. GRI Pricing Inputs'!$C$97:$C$98,0),MATCH('1. Accomodation'!X398,'2. GRI Pricing Inputs'!$C$97:$AI$97,0)),0)</f>
        <v>0</v>
      </c>
      <c r="W394" s="273">
        <f>IFERROR(INDEX('2. GRI Pricing Inputs'!$C$104:$AI$105,MATCH('3. GRI Pricing'!$W$16,'2. GRI Pricing Inputs'!$C$104:$C$105,0),MATCH('1. Accomodation'!Y398,'2. GRI Pricing Inputs'!$C$104:$AI$104,0)),0)</f>
        <v>0</v>
      </c>
      <c r="X394" s="274"/>
      <c r="Y394" s="275">
        <f t="shared" si="12"/>
        <v>0</v>
      </c>
      <c r="Z394" s="276"/>
      <c r="AA394" s="276"/>
      <c r="AB394" s="276"/>
      <c r="AC394" s="272">
        <f>Y394*(1+'2. GRI Pricing Inputs'!$D$114)^(($AC$16-$AB$15)/365)</f>
        <v>0</v>
      </c>
      <c r="AD394" s="273">
        <f>AC394*(1+'2. GRI Pricing Inputs'!$D$114)^((AD$16-AC$16)/365)</f>
        <v>0</v>
      </c>
      <c r="AE394" s="273">
        <f>AD394*(1+'2. GRI Pricing Inputs'!$D$114)^((AE$16-AD$16)/365)</f>
        <v>0</v>
      </c>
      <c r="AF394" s="273">
        <f>AE394*(1+'2. GRI Pricing Inputs'!$D$114)^((AF$16-AE$16)/365)</f>
        <v>0</v>
      </c>
      <c r="AG394" s="273">
        <f>AF394*(1+'2. GRI Pricing Inputs'!$D$114)^((AG$16-AF$16)/365)</f>
        <v>0</v>
      </c>
      <c r="AH394" s="273">
        <f>AG394*(1+'2. GRI Pricing Inputs'!$D$114)^((AH$16-AG$16)/365)</f>
        <v>0</v>
      </c>
      <c r="AI394" s="273">
        <f>AH394*(1+'2. GRI Pricing Inputs'!$D$114)^((AI$16-AH$16)/365)</f>
        <v>0</v>
      </c>
      <c r="AJ394" s="273">
        <f>AI394*(1+'2. GRI Pricing Inputs'!$D$114)^((AJ$16-AI$16)/365)</f>
        <v>0</v>
      </c>
      <c r="AK394" s="273">
        <f>AJ394*(1+'2. GRI Pricing Inputs'!$D$114)^((AK$16-AJ$16)/365)</f>
        <v>0</v>
      </c>
      <c r="AL394" s="273">
        <f>AK394*(1+'2. GRI Pricing Inputs'!$D$114)^((AL$16-AK$16)/365)</f>
        <v>0</v>
      </c>
      <c r="AM394" s="273">
        <f>AL394*(1+'2. GRI Pricing Inputs'!$D$114)^((AM$16-AL$16)/365)</f>
        <v>0</v>
      </c>
      <c r="AN394" s="273">
        <f>AM394*(1+'2. GRI Pricing Inputs'!$D$114)^((AN$16-AM$16)/365)</f>
        <v>0</v>
      </c>
      <c r="AO394" s="273">
        <f>AN394*(1+'2. GRI Pricing Inputs'!$D$114)^((AO$16-AN$16)/365)</f>
        <v>0</v>
      </c>
    </row>
    <row r="395" spans="3:41" ht="12" x14ac:dyDescent="0.2">
      <c r="C395" s="76">
        <f>'1. Accomodation'!N399</f>
        <v>0</v>
      </c>
      <c r="D395" s="69">
        <f>'1. Accomodation'!P399</f>
        <v>0</v>
      </c>
      <c r="E395" s="69">
        <f>'1. Accomodation'!Q399</f>
        <v>0</v>
      </c>
      <c r="F395" s="77">
        <f>'1. Accomodation'!O399</f>
        <v>0</v>
      </c>
      <c r="G395" s="69">
        <f>'1. Accomodation'!R399</f>
        <v>0</v>
      </c>
      <c r="H395" s="69">
        <f>'1. Accomodation'!S399</f>
        <v>0</v>
      </c>
      <c r="I395" s="62"/>
      <c r="K395" s="272">
        <f>IFERROR(INDEX('2. GRI Pricing Inputs'!$C$15:$AI$16,MATCH($K$16,'2. GRI Pricing Inputs'!$C$15:$C$16,0),MATCH(D395,'2. GRI Pricing Inputs'!$C$15:$AI$15,0)),0)</f>
        <v>0</v>
      </c>
      <c r="L395" s="273">
        <f>IFERROR(INDEX('2. GRI Pricing Inputs'!$C$22:$AI$23,MATCH($L$16,'2. GRI Pricing Inputs'!$C$22:$C$23,0),MATCH(E395,'2. GRI Pricing Inputs'!$C$22:$AI$22,0)),0)</f>
        <v>0</v>
      </c>
      <c r="M395" s="328">
        <f>IF(AND('3. GRI Pricing'!$F395&gt;='2. GRI Pricing Inputs'!$D$33,'3. GRI Pricing'!$F395&lt;='2. GRI Pricing Inputs'!$E$33),'2. GRI Pricing Inputs'!$D$32,IF(AND('3. GRI Pricing'!$F395&gt;='2. GRI Pricing Inputs'!$F$33,'3. GRI Pricing'!$F395&lt;='2. GRI Pricing Inputs'!$G$33),'2. GRI Pricing Inputs'!$F$32,IF(AND('3. GRI Pricing'!$F395&gt;='2. GRI Pricing Inputs'!$H$33,'3. GRI Pricing'!$F395&lt;='2. GRI Pricing Inputs'!$I$33),'2. GRI Pricing Inputs'!$H$32,IF(AND('3. GRI Pricing'!$F395&gt;='2. GRI Pricing Inputs'!$J$33,'3. GRI Pricing'!$F395&lt;='2. GRI Pricing Inputs'!$K$33),'2. GRI Pricing Inputs'!$J$32,IF(AND('3. GRI Pricing'!$F395&gt;='2. GRI Pricing Inputs'!$L$33,'3. GRI Pricing'!$F395&lt;='2. GRI Pricing Inputs'!$M$33),'2. GRI Pricing Inputs'!$L$32,IF(AND('3. GRI Pricing'!$F395&gt;='2. GRI Pricing Inputs'!$N$33,'3. GRI Pricing'!$F395&lt;='2. GRI Pricing Inputs'!$O$33),'2. GRI Pricing Inputs'!$N$32,IF(AND('3. GRI Pricing'!$F395&gt;='2. GRI Pricing Inputs'!$P$33,'3. GRI Pricing'!$F395&lt;='2. GRI Pricing Inputs'!$Q$33),'2. GRI Pricing Inputs'!$P$32,IF(AND('3. GRI Pricing'!$F395&gt;='2. GRI Pricing Inputs'!$R$33,'3. GRI Pricing'!$F395&lt;='2. GRI Pricing Inputs'!$S$33),'2. GRI Pricing Inputs'!$R$32,IF(AND('3. GRI Pricing'!$F395&gt;='2. GRI Pricing Inputs'!$T$33,'3. GRI Pricing'!$F395&lt;='2. GRI Pricing Inputs'!$U$33),'2. GRI Pricing Inputs'!$T$32,IF(AND('3. GRI Pricing'!$F395&gt;='2. GRI Pricing Inputs'!$V$33,'3. GRI Pricing'!$F395&lt;='2. GRI Pricing Inputs'!$W$33),'2. GRI Pricing Inputs'!$V$32,IF(AND('3. GRI Pricing'!$F395&gt;='2. GRI Pricing Inputs'!$X$33,'3. GRI Pricing'!$F395&lt;='2. GRI Pricing Inputs'!$Y$33),'2. GRI Pricing Inputs'!$X$32,IF(AND('3. GRI Pricing'!$F395&gt;='2. GRI Pricing Inputs'!$Z$33,'3. GRI Pricing'!$F395&lt;='2. GRI Pricing Inputs'!$AA$33),'2. GRI Pricing Inputs'!$Z$32,IF(AND('3. GRI Pricing'!$F395&gt;='2. GRI Pricing Inputs'!$AB$33,'3. GRI Pricing'!$F395&lt;='2. GRI Pricing Inputs'!$AC$33),'2. GRI Pricing Inputs'!$AB$32,IF(AND('3. GRI Pricing'!$F395&gt;='2. GRI Pricing Inputs'!$AD$33,'3. GRI Pricing'!$F395&lt;='2. GRI Pricing Inputs'!$AE$33),'2. GRI Pricing Inputs'!$AD$32,IF(AND('3. GRI Pricing'!$F395&gt;='2. GRI Pricing Inputs'!$AF$33,'3. GRI Pricing'!$F395&lt;='2. GRI Pricing Inputs'!$AG$33),'2. GRI Pricing Inputs'!$AF$32,IF(AND('3. GRI Pricing'!$F395&gt;='2. GRI Pricing Inputs'!$AH$33,'3. GRI Pricing'!$F395&lt;='2. GRI Pricing Inputs'!$AI$33),'2. GRI Pricing Inputs'!$AH$32,0))))))))))))))))</f>
        <v>0</v>
      </c>
      <c r="N395" s="273" cm="1">
        <f t="array" ref="N395">IFERROR(INDEX('2. GRI Pricing Inputs'!$C$32:$AI$39,MATCH('3. GRI Pricing'!D395,'2. GRI Pricing Inputs'!$C$32:$C$39,0),(MATCH('3. GRI Pricing'!M395,'2. GRI Pricing Inputs'!$D$32:$AI$32,0)+1)),0)</f>
        <v>0</v>
      </c>
      <c r="O395" s="273">
        <f>IFERROR(INDEX('2. GRI Pricing Inputs'!$C$45:$AI$46,MATCH($O$16,'2. GRI Pricing Inputs'!$C$45:$C$46,0),MATCH(G395,'2. GRI Pricing Inputs'!$C$45:$AI$45,0)),0)</f>
        <v>0</v>
      </c>
      <c r="P395" s="273">
        <f>IFERROR(INDEX('2. GRI Pricing Inputs'!$C$53:$AI$54,MATCH('3. GRI Pricing'!$P$16,'2. GRI Pricing Inputs'!$C$53:$C$54,0),MATCH('3. GRI Pricing'!H395,'2. GRI Pricing Inputs'!$C$53:$AI$53,0)),0)</f>
        <v>0</v>
      </c>
      <c r="Q395" s="273">
        <f>IFERROR(INDEX('2. GRI Pricing Inputs'!$C$60:$AI$61,MATCH('3. GRI Pricing'!$Q$16,'2. GRI Pricing Inputs'!$C$60:$C$61,0),MATCH('1. Accomodation'!T399,'2. GRI Pricing Inputs'!$C$60:$AI$60,0)),0)</f>
        <v>0</v>
      </c>
      <c r="R395" s="273">
        <f>IFERROR(INDEX('2. GRI Pricing Inputs'!$C$67:$AI$68,MATCH('3. GRI Pricing'!$R$16,'2. GRI Pricing Inputs'!$C$67:$C$68,0),MATCH('1. Accomodation'!U399,'2. GRI Pricing Inputs'!$C$67:$AI$67,0)),0)</f>
        <v>0</v>
      </c>
      <c r="S395" s="273">
        <f>IF(D395=0,0,'2. GRI Pricing Inputs'!$AI$75)</f>
        <v>0</v>
      </c>
      <c r="T395" s="273">
        <f>IFERROR(INDEX('2. GRI Pricing Inputs'!$C$82:$AI$83,MATCH('3. GRI Pricing'!$T$16,'2. GRI Pricing Inputs'!$C$82:$C$83,0),MATCH('1. Accomodation'!V399,'2. GRI Pricing Inputs'!$C$82:$AI$82,0)),0)</f>
        <v>0</v>
      </c>
      <c r="U395" s="273">
        <f>IFERROR(INDEX('2. GRI Pricing Inputs'!$C$89:$AI$90,MATCH('3. GRI Pricing'!$U$16,'2. GRI Pricing Inputs'!$C$89:$C$90,0),MATCH('1. Accomodation'!W399,'2. GRI Pricing Inputs'!$C$89:$AI$89,0)),0)</f>
        <v>0</v>
      </c>
      <c r="V395" s="273">
        <f>IFERROR(INDEX('2. GRI Pricing Inputs'!$C$97:$AI$98,MATCH('3. GRI Pricing'!$V$16,'2. GRI Pricing Inputs'!$C$97:$C$98,0),MATCH('1. Accomodation'!X399,'2. GRI Pricing Inputs'!$C$97:$AI$97,0)),0)</f>
        <v>0</v>
      </c>
      <c r="W395" s="273">
        <f>IFERROR(INDEX('2. GRI Pricing Inputs'!$C$104:$AI$105,MATCH('3. GRI Pricing'!$W$16,'2. GRI Pricing Inputs'!$C$104:$C$105,0),MATCH('1. Accomodation'!Y399,'2. GRI Pricing Inputs'!$C$104:$AI$104,0)),0)</f>
        <v>0</v>
      </c>
      <c r="X395" s="274"/>
      <c r="Y395" s="275">
        <f t="shared" si="12"/>
        <v>0</v>
      </c>
      <c r="Z395" s="276"/>
      <c r="AA395" s="276"/>
      <c r="AB395" s="276"/>
      <c r="AC395" s="272">
        <f>Y395*(1+'2. GRI Pricing Inputs'!$D$114)^(($AC$16-$AB$15)/365)</f>
        <v>0</v>
      </c>
      <c r="AD395" s="273">
        <f>AC395*(1+'2. GRI Pricing Inputs'!$D$114)^((AD$16-AC$16)/365)</f>
        <v>0</v>
      </c>
      <c r="AE395" s="273">
        <f>AD395*(1+'2. GRI Pricing Inputs'!$D$114)^((AE$16-AD$16)/365)</f>
        <v>0</v>
      </c>
      <c r="AF395" s="273">
        <f>AE395*(1+'2. GRI Pricing Inputs'!$D$114)^((AF$16-AE$16)/365)</f>
        <v>0</v>
      </c>
      <c r="AG395" s="273">
        <f>AF395*(1+'2. GRI Pricing Inputs'!$D$114)^((AG$16-AF$16)/365)</f>
        <v>0</v>
      </c>
      <c r="AH395" s="273">
        <f>AG395*(1+'2. GRI Pricing Inputs'!$D$114)^((AH$16-AG$16)/365)</f>
        <v>0</v>
      </c>
      <c r="AI395" s="273">
        <f>AH395*(1+'2. GRI Pricing Inputs'!$D$114)^((AI$16-AH$16)/365)</f>
        <v>0</v>
      </c>
      <c r="AJ395" s="273">
        <f>AI395*(1+'2. GRI Pricing Inputs'!$D$114)^((AJ$16-AI$16)/365)</f>
        <v>0</v>
      </c>
      <c r="AK395" s="273">
        <f>AJ395*(1+'2. GRI Pricing Inputs'!$D$114)^((AK$16-AJ$16)/365)</f>
        <v>0</v>
      </c>
      <c r="AL395" s="273">
        <f>AK395*(1+'2. GRI Pricing Inputs'!$D$114)^((AL$16-AK$16)/365)</f>
        <v>0</v>
      </c>
      <c r="AM395" s="273">
        <f>AL395*(1+'2. GRI Pricing Inputs'!$D$114)^((AM$16-AL$16)/365)</f>
        <v>0</v>
      </c>
      <c r="AN395" s="273">
        <f>AM395*(1+'2. GRI Pricing Inputs'!$D$114)^((AN$16-AM$16)/365)</f>
        <v>0</v>
      </c>
      <c r="AO395" s="273">
        <f>AN395*(1+'2. GRI Pricing Inputs'!$D$114)^((AO$16-AN$16)/365)</f>
        <v>0</v>
      </c>
    </row>
    <row r="396" spans="3:41" ht="12" x14ac:dyDescent="0.2">
      <c r="C396" s="76">
        <f>'1. Accomodation'!N400</f>
        <v>0</v>
      </c>
      <c r="D396" s="69">
        <f>'1. Accomodation'!P400</f>
        <v>0</v>
      </c>
      <c r="E396" s="69">
        <f>'1. Accomodation'!Q400</f>
        <v>0</v>
      </c>
      <c r="F396" s="77">
        <f>'1. Accomodation'!O400</f>
        <v>0</v>
      </c>
      <c r="G396" s="69">
        <f>'1. Accomodation'!R400</f>
        <v>0</v>
      </c>
      <c r="H396" s="69">
        <f>'1. Accomodation'!S400</f>
        <v>0</v>
      </c>
      <c r="I396" s="62"/>
      <c r="K396" s="272">
        <f>IFERROR(INDEX('2. GRI Pricing Inputs'!$C$15:$AI$16,MATCH($K$16,'2. GRI Pricing Inputs'!$C$15:$C$16,0),MATCH(D396,'2. GRI Pricing Inputs'!$C$15:$AI$15,0)),0)</f>
        <v>0</v>
      </c>
      <c r="L396" s="273">
        <f>IFERROR(INDEX('2. GRI Pricing Inputs'!$C$22:$AI$23,MATCH($L$16,'2. GRI Pricing Inputs'!$C$22:$C$23,0),MATCH(E396,'2. GRI Pricing Inputs'!$C$22:$AI$22,0)),0)</f>
        <v>0</v>
      </c>
      <c r="M396" s="328">
        <f>IF(AND('3. GRI Pricing'!$F396&gt;='2. GRI Pricing Inputs'!$D$33,'3. GRI Pricing'!$F396&lt;='2. GRI Pricing Inputs'!$E$33),'2. GRI Pricing Inputs'!$D$32,IF(AND('3. GRI Pricing'!$F396&gt;='2. GRI Pricing Inputs'!$F$33,'3. GRI Pricing'!$F396&lt;='2. GRI Pricing Inputs'!$G$33),'2. GRI Pricing Inputs'!$F$32,IF(AND('3. GRI Pricing'!$F396&gt;='2. GRI Pricing Inputs'!$H$33,'3. GRI Pricing'!$F396&lt;='2. GRI Pricing Inputs'!$I$33),'2. GRI Pricing Inputs'!$H$32,IF(AND('3. GRI Pricing'!$F396&gt;='2. GRI Pricing Inputs'!$J$33,'3. GRI Pricing'!$F396&lt;='2. GRI Pricing Inputs'!$K$33),'2. GRI Pricing Inputs'!$J$32,IF(AND('3. GRI Pricing'!$F396&gt;='2. GRI Pricing Inputs'!$L$33,'3. GRI Pricing'!$F396&lt;='2. GRI Pricing Inputs'!$M$33),'2. GRI Pricing Inputs'!$L$32,IF(AND('3. GRI Pricing'!$F396&gt;='2. GRI Pricing Inputs'!$N$33,'3. GRI Pricing'!$F396&lt;='2. GRI Pricing Inputs'!$O$33),'2. GRI Pricing Inputs'!$N$32,IF(AND('3. GRI Pricing'!$F396&gt;='2. GRI Pricing Inputs'!$P$33,'3. GRI Pricing'!$F396&lt;='2. GRI Pricing Inputs'!$Q$33),'2. GRI Pricing Inputs'!$P$32,IF(AND('3. GRI Pricing'!$F396&gt;='2. GRI Pricing Inputs'!$R$33,'3. GRI Pricing'!$F396&lt;='2. GRI Pricing Inputs'!$S$33),'2. GRI Pricing Inputs'!$R$32,IF(AND('3. GRI Pricing'!$F396&gt;='2. GRI Pricing Inputs'!$T$33,'3. GRI Pricing'!$F396&lt;='2. GRI Pricing Inputs'!$U$33),'2. GRI Pricing Inputs'!$T$32,IF(AND('3. GRI Pricing'!$F396&gt;='2. GRI Pricing Inputs'!$V$33,'3. GRI Pricing'!$F396&lt;='2. GRI Pricing Inputs'!$W$33),'2. GRI Pricing Inputs'!$V$32,IF(AND('3. GRI Pricing'!$F396&gt;='2. GRI Pricing Inputs'!$X$33,'3. GRI Pricing'!$F396&lt;='2. GRI Pricing Inputs'!$Y$33),'2. GRI Pricing Inputs'!$X$32,IF(AND('3. GRI Pricing'!$F396&gt;='2. GRI Pricing Inputs'!$Z$33,'3. GRI Pricing'!$F396&lt;='2. GRI Pricing Inputs'!$AA$33),'2. GRI Pricing Inputs'!$Z$32,IF(AND('3. GRI Pricing'!$F396&gt;='2. GRI Pricing Inputs'!$AB$33,'3. GRI Pricing'!$F396&lt;='2. GRI Pricing Inputs'!$AC$33),'2. GRI Pricing Inputs'!$AB$32,IF(AND('3. GRI Pricing'!$F396&gt;='2. GRI Pricing Inputs'!$AD$33,'3. GRI Pricing'!$F396&lt;='2. GRI Pricing Inputs'!$AE$33),'2. GRI Pricing Inputs'!$AD$32,IF(AND('3. GRI Pricing'!$F396&gt;='2. GRI Pricing Inputs'!$AF$33,'3. GRI Pricing'!$F396&lt;='2. GRI Pricing Inputs'!$AG$33),'2. GRI Pricing Inputs'!$AF$32,IF(AND('3. GRI Pricing'!$F396&gt;='2. GRI Pricing Inputs'!$AH$33,'3. GRI Pricing'!$F396&lt;='2. GRI Pricing Inputs'!$AI$33),'2. GRI Pricing Inputs'!$AH$32,0))))))))))))))))</f>
        <v>0</v>
      </c>
      <c r="N396" s="273" cm="1">
        <f t="array" ref="N396">IFERROR(INDEX('2. GRI Pricing Inputs'!$C$32:$AI$39,MATCH('3. GRI Pricing'!D396,'2. GRI Pricing Inputs'!$C$32:$C$39,0),(MATCH('3. GRI Pricing'!M396,'2. GRI Pricing Inputs'!$D$32:$AI$32,0)+1)),0)</f>
        <v>0</v>
      </c>
      <c r="O396" s="273">
        <f>IFERROR(INDEX('2. GRI Pricing Inputs'!$C$45:$AI$46,MATCH($O$16,'2. GRI Pricing Inputs'!$C$45:$C$46,0),MATCH(G396,'2. GRI Pricing Inputs'!$C$45:$AI$45,0)),0)</f>
        <v>0</v>
      </c>
      <c r="P396" s="273">
        <f>IFERROR(INDEX('2. GRI Pricing Inputs'!$C$53:$AI$54,MATCH('3. GRI Pricing'!$P$16,'2. GRI Pricing Inputs'!$C$53:$C$54,0),MATCH('3. GRI Pricing'!H396,'2. GRI Pricing Inputs'!$C$53:$AI$53,0)),0)</f>
        <v>0</v>
      </c>
      <c r="Q396" s="273">
        <f>IFERROR(INDEX('2. GRI Pricing Inputs'!$C$60:$AI$61,MATCH('3. GRI Pricing'!$Q$16,'2. GRI Pricing Inputs'!$C$60:$C$61,0),MATCH('1. Accomodation'!T400,'2. GRI Pricing Inputs'!$C$60:$AI$60,0)),0)</f>
        <v>0</v>
      </c>
      <c r="R396" s="273">
        <f>IFERROR(INDEX('2. GRI Pricing Inputs'!$C$67:$AI$68,MATCH('3. GRI Pricing'!$R$16,'2. GRI Pricing Inputs'!$C$67:$C$68,0),MATCH('1. Accomodation'!U400,'2. GRI Pricing Inputs'!$C$67:$AI$67,0)),0)</f>
        <v>0</v>
      </c>
      <c r="S396" s="273">
        <f>IF(D396=0,0,'2. GRI Pricing Inputs'!$AI$75)</f>
        <v>0</v>
      </c>
      <c r="T396" s="273">
        <f>IFERROR(INDEX('2. GRI Pricing Inputs'!$C$82:$AI$83,MATCH('3. GRI Pricing'!$T$16,'2. GRI Pricing Inputs'!$C$82:$C$83,0),MATCH('1. Accomodation'!V400,'2. GRI Pricing Inputs'!$C$82:$AI$82,0)),0)</f>
        <v>0</v>
      </c>
      <c r="U396" s="273">
        <f>IFERROR(INDEX('2. GRI Pricing Inputs'!$C$89:$AI$90,MATCH('3. GRI Pricing'!$U$16,'2. GRI Pricing Inputs'!$C$89:$C$90,0),MATCH('1. Accomodation'!W400,'2. GRI Pricing Inputs'!$C$89:$AI$89,0)),0)</f>
        <v>0</v>
      </c>
      <c r="V396" s="273">
        <f>IFERROR(INDEX('2. GRI Pricing Inputs'!$C$97:$AI$98,MATCH('3. GRI Pricing'!$V$16,'2. GRI Pricing Inputs'!$C$97:$C$98,0),MATCH('1. Accomodation'!X400,'2. GRI Pricing Inputs'!$C$97:$AI$97,0)),0)</f>
        <v>0</v>
      </c>
      <c r="W396" s="273">
        <f>IFERROR(INDEX('2. GRI Pricing Inputs'!$C$104:$AI$105,MATCH('3. GRI Pricing'!$W$16,'2. GRI Pricing Inputs'!$C$104:$C$105,0),MATCH('1. Accomodation'!Y400,'2. GRI Pricing Inputs'!$C$104:$AI$104,0)),0)</f>
        <v>0</v>
      </c>
      <c r="X396" s="274"/>
      <c r="Y396" s="275">
        <f t="shared" si="12"/>
        <v>0</v>
      </c>
      <c r="Z396" s="276"/>
      <c r="AA396" s="276"/>
      <c r="AB396" s="276"/>
      <c r="AC396" s="272">
        <f>Y396*(1+'2. GRI Pricing Inputs'!$D$114)^(($AC$16-$AB$15)/365)</f>
        <v>0</v>
      </c>
      <c r="AD396" s="273">
        <f>AC396*(1+'2. GRI Pricing Inputs'!$D$114)^((AD$16-AC$16)/365)</f>
        <v>0</v>
      </c>
      <c r="AE396" s="273">
        <f>AD396*(1+'2. GRI Pricing Inputs'!$D$114)^((AE$16-AD$16)/365)</f>
        <v>0</v>
      </c>
      <c r="AF396" s="273">
        <f>AE396*(1+'2. GRI Pricing Inputs'!$D$114)^((AF$16-AE$16)/365)</f>
        <v>0</v>
      </c>
      <c r="AG396" s="273">
        <f>AF396*(1+'2. GRI Pricing Inputs'!$D$114)^((AG$16-AF$16)/365)</f>
        <v>0</v>
      </c>
      <c r="AH396" s="273">
        <f>AG396*(1+'2. GRI Pricing Inputs'!$D$114)^((AH$16-AG$16)/365)</f>
        <v>0</v>
      </c>
      <c r="AI396" s="273">
        <f>AH396*(1+'2. GRI Pricing Inputs'!$D$114)^((AI$16-AH$16)/365)</f>
        <v>0</v>
      </c>
      <c r="AJ396" s="273">
        <f>AI396*(1+'2. GRI Pricing Inputs'!$D$114)^((AJ$16-AI$16)/365)</f>
        <v>0</v>
      </c>
      <c r="AK396" s="273">
        <f>AJ396*(1+'2. GRI Pricing Inputs'!$D$114)^((AK$16-AJ$16)/365)</f>
        <v>0</v>
      </c>
      <c r="AL396" s="273">
        <f>AK396*(1+'2. GRI Pricing Inputs'!$D$114)^((AL$16-AK$16)/365)</f>
        <v>0</v>
      </c>
      <c r="AM396" s="273">
        <f>AL396*(1+'2. GRI Pricing Inputs'!$D$114)^((AM$16-AL$16)/365)</f>
        <v>0</v>
      </c>
      <c r="AN396" s="273">
        <f>AM396*(1+'2. GRI Pricing Inputs'!$D$114)^((AN$16-AM$16)/365)</f>
        <v>0</v>
      </c>
      <c r="AO396" s="273">
        <f>AN396*(1+'2. GRI Pricing Inputs'!$D$114)^((AO$16-AN$16)/365)</f>
        <v>0</v>
      </c>
    </row>
    <row r="397" spans="3:41" ht="12" x14ac:dyDescent="0.2">
      <c r="C397" s="76">
        <f>'1. Accomodation'!N401</f>
        <v>0</v>
      </c>
      <c r="D397" s="69">
        <f>'1. Accomodation'!P401</f>
        <v>0</v>
      </c>
      <c r="E397" s="69">
        <f>'1. Accomodation'!Q401</f>
        <v>0</v>
      </c>
      <c r="F397" s="77">
        <f>'1. Accomodation'!O401</f>
        <v>0</v>
      </c>
      <c r="G397" s="69">
        <f>'1. Accomodation'!R401</f>
        <v>0</v>
      </c>
      <c r="H397" s="69">
        <f>'1. Accomodation'!S401</f>
        <v>0</v>
      </c>
      <c r="I397" s="62"/>
      <c r="K397" s="272">
        <f>IFERROR(INDEX('2. GRI Pricing Inputs'!$C$15:$AI$16,MATCH($K$16,'2. GRI Pricing Inputs'!$C$15:$C$16,0),MATCH(D397,'2. GRI Pricing Inputs'!$C$15:$AI$15,0)),0)</f>
        <v>0</v>
      </c>
      <c r="L397" s="273">
        <f>IFERROR(INDEX('2. GRI Pricing Inputs'!$C$22:$AI$23,MATCH($L$16,'2. GRI Pricing Inputs'!$C$22:$C$23,0),MATCH(E397,'2. GRI Pricing Inputs'!$C$22:$AI$22,0)),0)</f>
        <v>0</v>
      </c>
      <c r="M397" s="328">
        <f>IF(AND('3. GRI Pricing'!$F397&gt;='2. GRI Pricing Inputs'!$D$33,'3. GRI Pricing'!$F397&lt;='2. GRI Pricing Inputs'!$E$33),'2. GRI Pricing Inputs'!$D$32,IF(AND('3. GRI Pricing'!$F397&gt;='2. GRI Pricing Inputs'!$F$33,'3. GRI Pricing'!$F397&lt;='2. GRI Pricing Inputs'!$G$33),'2. GRI Pricing Inputs'!$F$32,IF(AND('3. GRI Pricing'!$F397&gt;='2. GRI Pricing Inputs'!$H$33,'3. GRI Pricing'!$F397&lt;='2. GRI Pricing Inputs'!$I$33),'2. GRI Pricing Inputs'!$H$32,IF(AND('3. GRI Pricing'!$F397&gt;='2. GRI Pricing Inputs'!$J$33,'3. GRI Pricing'!$F397&lt;='2. GRI Pricing Inputs'!$K$33),'2. GRI Pricing Inputs'!$J$32,IF(AND('3. GRI Pricing'!$F397&gt;='2. GRI Pricing Inputs'!$L$33,'3. GRI Pricing'!$F397&lt;='2. GRI Pricing Inputs'!$M$33),'2. GRI Pricing Inputs'!$L$32,IF(AND('3. GRI Pricing'!$F397&gt;='2. GRI Pricing Inputs'!$N$33,'3. GRI Pricing'!$F397&lt;='2. GRI Pricing Inputs'!$O$33),'2. GRI Pricing Inputs'!$N$32,IF(AND('3. GRI Pricing'!$F397&gt;='2. GRI Pricing Inputs'!$P$33,'3. GRI Pricing'!$F397&lt;='2. GRI Pricing Inputs'!$Q$33),'2. GRI Pricing Inputs'!$P$32,IF(AND('3. GRI Pricing'!$F397&gt;='2. GRI Pricing Inputs'!$R$33,'3. GRI Pricing'!$F397&lt;='2. GRI Pricing Inputs'!$S$33),'2. GRI Pricing Inputs'!$R$32,IF(AND('3. GRI Pricing'!$F397&gt;='2. GRI Pricing Inputs'!$T$33,'3. GRI Pricing'!$F397&lt;='2. GRI Pricing Inputs'!$U$33),'2. GRI Pricing Inputs'!$T$32,IF(AND('3. GRI Pricing'!$F397&gt;='2. GRI Pricing Inputs'!$V$33,'3. GRI Pricing'!$F397&lt;='2. GRI Pricing Inputs'!$W$33),'2. GRI Pricing Inputs'!$V$32,IF(AND('3. GRI Pricing'!$F397&gt;='2. GRI Pricing Inputs'!$X$33,'3. GRI Pricing'!$F397&lt;='2. GRI Pricing Inputs'!$Y$33),'2. GRI Pricing Inputs'!$X$32,IF(AND('3. GRI Pricing'!$F397&gt;='2. GRI Pricing Inputs'!$Z$33,'3. GRI Pricing'!$F397&lt;='2. GRI Pricing Inputs'!$AA$33),'2. GRI Pricing Inputs'!$Z$32,IF(AND('3. GRI Pricing'!$F397&gt;='2. GRI Pricing Inputs'!$AB$33,'3. GRI Pricing'!$F397&lt;='2. GRI Pricing Inputs'!$AC$33),'2. GRI Pricing Inputs'!$AB$32,IF(AND('3. GRI Pricing'!$F397&gt;='2. GRI Pricing Inputs'!$AD$33,'3. GRI Pricing'!$F397&lt;='2. GRI Pricing Inputs'!$AE$33),'2. GRI Pricing Inputs'!$AD$32,IF(AND('3. GRI Pricing'!$F397&gt;='2. GRI Pricing Inputs'!$AF$33,'3. GRI Pricing'!$F397&lt;='2. GRI Pricing Inputs'!$AG$33),'2. GRI Pricing Inputs'!$AF$32,IF(AND('3. GRI Pricing'!$F397&gt;='2. GRI Pricing Inputs'!$AH$33,'3. GRI Pricing'!$F397&lt;='2. GRI Pricing Inputs'!$AI$33),'2. GRI Pricing Inputs'!$AH$32,0))))))))))))))))</f>
        <v>0</v>
      </c>
      <c r="N397" s="273" cm="1">
        <f t="array" ref="N397">IFERROR(INDEX('2. GRI Pricing Inputs'!$C$32:$AI$39,MATCH('3. GRI Pricing'!D397,'2. GRI Pricing Inputs'!$C$32:$C$39,0),(MATCH('3. GRI Pricing'!M397,'2. GRI Pricing Inputs'!$D$32:$AI$32,0)+1)),0)</f>
        <v>0</v>
      </c>
      <c r="O397" s="273">
        <f>IFERROR(INDEX('2. GRI Pricing Inputs'!$C$45:$AI$46,MATCH($O$16,'2. GRI Pricing Inputs'!$C$45:$C$46,0),MATCH(G397,'2. GRI Pricing Inputs'!$C$45:$AI$45,0)),0)</f>
        <v>0</v>
      </c>
      <c r="P397" s="273">
        <f>IFERROR(INDEX('2. GRI Pricing Inputs'!$C$53:$AI$54,MATCH('3. GRI Pricing'!$P$16,'2. GRI Pricing Inputs'!$C$53:$C$54,0),MATCH('3. GRI Pricing'!H397,'2. GRI Pricing Inputs'!$C$53:$AI$53,0)),0)</f>
        <v>0</v>
      </c>
      <c r="Q397" s="273">
        <f>IFERROR(INDEX('2. GRI Pricing Inputs'!$C$60:$AI$61,MATCH('3. GRI Pricing'!$Q$16,'2. GRI Pricing Inputs'!$C$60:$C$61,0),MATCH('1. Accomodation'!T401,'2. GRI Pricing Inputs'!$C$60:$AI$60,0)),0)</f>
        <v>0</v>
      </c>
      <c r="R397" s="273">
        <f>IFERROR(INDEX('2. GRI Pricing Inputs'!$C$67:$AI$68,MATCH('3. GRI Pricing'!$R$16,'2. GRI Pricing Inputs'!$C$67:$C$68,0),MATCH('1. Accomodation'!U401,'2. GRI Pricing Inputs'!$C$67:$AI$67,0)),0)</f>
        <v>0</v>
      </c>
      <c r="S397" s="273">
        <f>IF(D397=0,0,'2. GRI Pricing Inputs'!$AI$75)</f>
        <v>0</v>
      </c>
      <c r="T397" s="273">
        <f>IFERROR(INDEX('2. GRI Pricing Inputs'!$C$82:$AI$83,MATCH('3. GRI Pricing'!$T$16,'2. GRI Pricing Inputs'!$C$82:$C$83,0),MATCH('1. Accomodation'!V401,'2. GRI Pricing Inputs'!$C$82:$AI$82,0)),0)</f>
        <v>0</v>
      </c>
      <c r="U397" s="273">
        <f>IFERROR(INDEX('2. GRI Pricing Inputs'!$C$89:$AI$90,MATCH('3. GRI Pricing'!$U$16,'2. GRI Pricing Inputs'!$C$89:$C$90,0),MATCH('1. Accomodation'!W401,'2. GRI Pricing Inputs'!$C$89:$AI$89,0)),0)</f>
        <v>0</v>
      </c>
      <c r="V397" s="273">
        <f>IFERROR(INDEX('2. GRI Pricing Inputs'!$C$97:$AI$98,MATCH('3. GRI Pricing'!$V$16,'2. GRI Pricing Inputs'!$C$97:$C$98,0),MATCH('1. Accomodation'!X401,'2. GRI Pricing Inputs'!$C$97:$AI$97,0)),0)</f>
        <v>0</v>
      </c>
      <c r="W397" s="273">
        <f>IFERROR(INDEX('2. GRI Pricing Inputs'!$C$104:$AI$105,MATCH('3. GRI Pricing'!$W$16,'2. GRI Pricing Inputs'!$C$104:$C$105,0),MATCH('1. Accomodation'!Y401,'2. GRI Pricing Inputs'!$C$104:$AI$104,0)),0)</f>
        <v>0</v>
      </c>
      <c r="X397" s="274"/>
      <c r="Y397" s="275">
        <f t="shared" si="12"/>
        <v>0</v>
      </c>
      <c r="Z397" s="276"/>
      <c r="AA397" s="276"/>
      <c r="AB397" s="276"/>
      <c r="AC397" s="272">
        <f>Y397*(1+'2. GRI Pricing Inputs'!$D$114)^(($AC$16-$AB$15)/365)</f>
        <v>0</v>
      </c>
      <c r="AD397" s="273">
        <f>AC397*(1+'2. GRI Pricing Inputs'!$D$114)^((AD$16-AC$16)/365)</f>
        <v>0</v>
      </c>
      <c r="AE397" s="273">
        <f>AD397*(1+'2. GRI Pricing Inputs'!$D$114)^((AE$16-AD$16)/365)</f>
        <v>0</v>
      </c>
      <c r="AF397" s="273">
        <f>AE397*(1+'2. GRI Pricing Inputs'!$D$114)^((AF$16-AE$16)/365)</f>
        <v>0</v>
      </c>
      <c r="AG397" s="273">
        <f>AF397*(1+'2. GRI Pricing Inputs'!$D$114)^((AG$16-AF$16)/365)</f>
        <v>0</v>
      </c>
      <c r="AH397" s="273">
        <f>AG397*(1+'2. GRI Pricing Inputs'!$D$114)^((AH$16-AG$16)/365)</f>
        <v>0</v>
      </c>
      <c r="AI397" s="273">
        <f>AH397*(1+'2. GRI Pricing Inputs'!$D$114)^((AI$16-AH$16)/365)</f>
        <v>0</v>
      </c>
      <c r="AJ397" s="273">
        <f>AI397*(1+'2. GRI Pricing Inputs'!$D$114)^((AJ$16-AI$16)/365)</f>
        <v>0</v>
      </c>
      <c r="AK397" s="273">
        <f>AJ397*(1+'2. GRI Pricing Inputs'!$D$114)^((AK$16-AJ$16)/365)</f>
        <v>0</v>
      </c>
      <c r="AL397" s="273">
        <f>AK397*(1+'2. GRI Pricing Inputs'!$D$114)^((AL$16-AK$16)/365)</f>
        <v>0</v>
      </c>
      <c r="AM397" s="273">
        <f>AL397*(1+'2. GRI Pricing Inputs'!$D$114)^((AM$16-AL$16)/365)</f>
        <v>0</v>
      </c>
      <c r="AN397" s="273">
        <f>AM397*(1+'2. GRI Pricing Inputs'!$D$114)^((AN$16-AM$16)/365)</f>
        <v>0</v>
      </c>
      <c r="AO397" s="273">
        <f>AN397*(1+'2. GRI Pricing Inputs'!$D$114)^((AO$16-AN$16)/365)</f>
        <v>0</v>
      </c>
    </row>
    <row r="398" spans="3:41" ht="12" x14ac:dyDescent="0.2">
      <c r="C398" s="76">
        <f>'1. Accomodation'!N402</f>
        <v>0</v>
      </c>
      <c r="D398" s="69">
        <f>'1. Accomodation'!P402</f>
        <v>0</v>
      </c>
      <c r="E398" s="69">
        <f>'1. Accomodation'!Q402</f>
        <v>0</v>
      </c>
      <c r="F398" s="77">
        <f>'1. Accomodation'!O402</f>
        <v>0</v>
      </c>
      <c r="G398" s="69">
        <f>'1. Accomodation'!R402</f>
        <v>0</v>
      </c>
      <c r="H398" s="69">
        <f>'1. Accomodation'!S402</f>
        <v>0</v>
      </c>
      <c r="I398" s="62"/>
      <c r="K398" s="272">
        <f>IFERROR(INDEX('2. GRI Pricing Inputs'!$C$15:$AI$16,MATCH($K$16,'2. GRI Pricing Inputs'!$C$15:$C$16,0),MATCH(D398,'2. GRI Pricing Inputs'!$C$15:$AI$15,0)),0)</f>
        <v>0</v>
      </c>
      <c r="L398" s="273">
        <f>IFERROR(INDEX('2. GRI Pricing Inputs'!$C$22:$AI$23,MATCH($L$16,'2. GRI Pricing Inputs'!$C$22:$C$23,0),MATCH(E398,'2. GRI Pricing Inputs'!$C$22:$AI$22,0)),0)</f>
        <v>0</v>
      </c>
      <c r="M398" s="328">
        <f>IF(AND('3. GRI Pricing'!$F398&gt;='2. GRI Pricing Inputs'!$D$33,'3. GRI Pricing'!$F398&lt;='2. GRI Pricing Inputs'!$E$33),'2. GRI Pricing Inputs'!$D$32,IF(AND('3. GRI Pricing'!$F398&gt;='2. GRI Pricing Inputs'!$F$33,'3. GRI Pricing'!$F398&lt;='2. GRI Pricing Inputs'!$G$33),'2. GRI Pricing Inputs'!$F$32,IF(AND('3. GRI Pricing'!$F398&gt;='2. GRI Pricing Inputs'!$H$33,'3. GRI Pricing'!$F398&lt;='2. GRI Pricing Inputs'!$I$33),'2. GRI Pricing Inputs'!$H$32,IF(AND('3. GRI Pricing'!$F398&gt;='2. GRI Pricing Inputs'!$J$33,'3. GRI Pricing'!$F398&lt;='2. GRI Pricing Inputs'!$K$33),'2. GRI Pricing Inputs'!$J$32,IF(AND('3. GRI Pricing'!$F398&gt;='2. GRI Pricing Inputs'!$L$33,'3. GRI Pricing'!$F398&lt;='2. GRI Pricing Inputs'!$M$33),'2. GRI Pricing Inputs'!$L$32,IF(AND('3. GRI Pricing'!$F398&gt;='2. GRI Pricing Inputs'!$N$33,'3. GRI Pricing'!$F398&lt;='2. GRI Pricing Inputs'!$O$33),'2. GRI Pricing Inputs'!$N$32,IF(AND('3. GRI Pricing'!$F398&gt;='2. GRI Pricing Inputs'!$P$33,'3. GRI Pricing'!$F398&lt;='2. GRI Pricing Inputs'!$Q$33),'2. GRI Pricing Inputs'!$P$32,IF(AND('3. GRI Pricing'!$F398&gt;='2. GRI Pricing Inputs'!$R$33,'3. GRI Pricing'!$F398&lt;='2. GRI Pricing Inputs'!$S$33),'2. GRI Pricing Inputs'!$R$32,IF(AND('3. GRI Pricing'!$F398&gt;='2. GRI Pricing Inputs'!$T$33,'3. GRI Pricing'!$F398&lt;='2. GRI Pricing Inputs'!$U$33),'2. GRI Pricing Inputs'!$T$32,IF(AND('3. GRI Pricing'!$F398&gt;='2. GRI Pricing Inputs'!$V$33,'3. GRI Pricing'!$F398&lt;='2. GRI Pricing Inputs'!$W$33),'2. GRI Pricing Inputs'!$V$32,IF(AND('3. GRI Pricing'!$F398&gt;='2. GRI Pricing Inputs'!$X$33,'3. GRI Pricing'!$F398&lt;='2. GRI Pricing Inputs'!$Y$33),'2. GRI Pricing Inputs'!$X$32,IF(AND('3. GRI Pricing'!$F398&gt;='2. GRI Pricing Inputs'!$Z$33,'3. GRI Pricing'!$F398&lt;='2. GRI Pricing Inputs'!$AA$33),'2. GRI Pricing Inputs'!$Z$32,IF(AND('3. GRI Pricing'!$F398&gt;='2. GRI Pricing Inputs'!$AB$33,'3. GRI Pricing'!$F398&lt;='2. GRI Pricing Inputs'!$AC$33),'2. GRI Pricing Inputs'!$AB$32,IF(AND('3. GRI Pricing'!$F398&gt;='2. GRI Pricing Inputs'!$AD$33,'3. GRI Pricing'!$F398&lt;='2. GRI Pricing Inputs'!$AE$33),'2. GRI Pricing Inputs'!$AD$32,IF(AND('3. GRI Pricing'!$F398&gt;='2. GRI Pricing Inputs'!$AF$33,'3. GRI Pricing'!$F398&lt;='2. GRI Pricing Inputs'!$AG$33),'2. GRI Pricing Inputs'!$AF$32,IF(AND('3. GRI Pricing'!$F398&gt;='2. GRI Pricing Inputs'!$AH$33,'3. GRI Pricing'!$F398&lt;='2. GRI Pricing Inputs'!$AI$33),'2. GRI Pricing Inputs'!$AH$32,0))))))))))))))))</f>
        <v>0</v>
      </c>
      <c r="N398" s="273" cm="1">
        <f t="array" ref="N398">IFERROR(INDEX('2. GRI Pricing Inputs'!$C$32:$AI$39,MATCH('3. GRI Pricing'!D398,'2. GRI Pricing Inputs'!$C$32:$C$39,0),(MATCH('3. GRI Pricing'!M398,'2. GRI Pricing Inputs'!$D$32:$AI$32,0)+1)),0)</f>
        <v>0</v>
      </c>
      <c r="O398" s="273">
        <f>IFERROR(INDEX('2. GRI Pricing Inputs'!$C$45:$AI$46,MATCH($O$16,'2. GRI Pricing Inputs'!$C$45:$C$46,0),MATCH(G398,'2. GRI Pricing Inputs'!$C$45:$AI$45,0)),0)</f>
        <v>0</v>
      </c>
      <c r="P398" s="273">
        <f>IFERROR(INDEX('2. GRI Pricing Inputs'!$C$53:$AI$54,MATCH('3. GRI Pricing'!$P$16,'2. GRI Pricing Inputs'!$C$53:$C$54,0),MATCH('3. GRI Pricing'!H398,'2. GRI Pricing Inputs'!$C$53:$AI$53,0)),0)</f>
        <v>0</v>
      </c>
      <c r="Q398" s="273">
        <f>IFERROR(INDEX('2. GRI Pricing Inputs'!$C$60:$AI$61,MATCH('3. GRI Pricing'!$Q$16,'2. GRI Pricing Inputs'!$C$60:$C$61,0),MATCH('1. Accomodation'!T402,'2. GRI Pricing Inputs'!$C$60:$AI$60,0)),0)</f>
        <v>0</v>
      </c>
      <c r="R398" s="273">
        <f>IFERROR(INDEX('2. GRI Pricing Inputs'!$C$67:$AI$68,MATCH('3. GRI Pricing'!$R$16,'2. GRI Pricing Inputs'!$C$67:$C$68,0),MATCH('1. Accomodation'!U402,'2. GRI Pricing Inputs'!$C$67:$AI$67,0)),0)</f>
        <v>0</v>
      </c>
      <c r="S398" s="273">
        <f>IF(D398=0,0,'2. GRI Pricing Inputs'!$AI$75)</f>
        <v>0</v>
      </c>
      <c r="T398" s="273">
        <f>IFERROR(INDEX('2. GRI Pricing Inputs'!$C$82:$AI$83,MATCH('3. GRI Pricing'!$T$16,'2. GRI Pricing Inputs'!$C$82:$C$83,0),MATCH('1. Accomodation'!V402,'2. GRI Pricing Inputs'!$C$82:$AI$82,0)),0)</f>
        <v>0</v>
      </c>
      <c r="U398" s="273">
        <f>IFERROR(INDEX('2. GRI Pricing Inputs'!$C$89:$AI$90,MATCH('3. GRI Pricing'!$U$16,'2. GRI Pricing Inputs'!$C$89:$C$90,0),MATCH('1. Accomodation'!W402,'2. GRI Pricing Inputs'!$C$89:$AI$89,0)),0)</f>
        <v>0</v>
      </c>
      <c r="V398" s="273">
        <f>IFERROR(INDEX('2. GRI Pricing Inputs'!$C$97:$AI$98,MATCH('3. GRI Pricing'!$V$16,'2. GRI Pricing Inputs'!$C$97:$C$98,0),MATCH('1. Accomodation'!X402,'2. GRI Pricing Inputs'!$C$97:$AI$97,0)),0)</f>
        <v>0</v>
      </c>
      <c r="W398" s="273">
        <f>IFERROR(INDEX('2. GRI Pricing Inputs'!$C$104:$AI$105,MATCH('3. GRI Pricing'!$W$16,'2. GRI Pricing Inputs'!$C$104:$C$105,0),MATCH('1. Accomodation'!Y402,'2. GRI Pricing Inputs'!$C$104:$AI$104,0)),0)</f>
        <v>0</v>
      </c>
      <c r="X398" s="274"/>
      <c r="Y398" s="275">
        <f t="shared" si="12"/>
        <v>0</v>
      </c>
      <c r="Z398" s="276"/>
      <c r="AA398" s="276"/>
      <c r="AB398" s="276"/>
      <c r="AC398" s="272">
        <f>Y398*(1+'2. GRI Pricing Inputs'!$D$114)^(($AC$16-$AB$15)/365)</f>
        <v>0</v>
      </c>
      <c r="AD398" s="273">
        <f>AC398*(1+'2. GRI Pricing Inputs'!$D$114)^((AD$16-AC$16)/365)</f>
        <v>0</v>
      </c>
      <c r="AE398" s="273">
        <f>AD398*(1+'2. GRI Pricing Inputs'!$D$114)^((AE$16-AD$16)/365)</f>
        <v>0</v>
      </c>
      <c r="AF398" s="273">
        <f>AE398*(1+'2. GRI Pricing Inputs'!$D$114)^((AF$16-AE$16)/365)</f>
        <v>0</v>
      </c>
      <c r="AG398" s="273">
        <f>AF398*(1+'2. GRI Pricing Inputs'!$D$114)^((AG$16-AF$16)/365)</f>
        <v>0</v>
      </c>
      <c r="AH398" s="273">
        <f>AG398*(1+'2. GRI Pricing Inputs'!$D$114)^((AH$16-AG$16)/365)</f>
        <v>0</v>
      </c>
      <c r="AI398" s="273">
        <f>AH398*(1+'2. GRI Pricing Inputs'!$D$114)^((AI$16-AH$16)/365)</f>
        <v>0</v>
      </c>
      <c r="AJ398" s="273">
        <f>AI398*(1+'2. GRI Pricing Inputs'!$D$114)^((AJ$16-AI$16)/365)</f>
        <v>0</v>
      </c>
      <c r="AK398" s="273">
        <f>AJ398*(1+'2. GRI Pricing Inputs'!$D$114)^((AK$16-AJ$16)/365)</f>
        <v>0</v>
      </c>
      <c r="AL398" s="273">
        <f>AK398*(1+'2. GRI Pricing Inputs'!$D$114)^((AL$16-AK$16)/365)</f>
        <v>0</v>
      </c>
      <c r="AM398" s="273">
        <f>AL398*(1+'2. GRI Pricing Inputs'!$D$114)^((AM$16-AL$16)/365)</f>
        <v>0</v>
      </c>
      <c r="AN398" s="273">
        <f>AM398*(1+'2. GRI Pricing Inputs'!$D$114)^((AN$16-AM$16)/365)</f>
        <v>0</v>
      </c>
      <c r="AO398" s="273">
        <f>AN398*(1+'2. GRI Pricing Inputs'!$D$114)^((AO$16-AN$16)/365)</f>
        <v>0</v>
      </c>
    </row>
    <row r="399" spans="3:41" ht="12" x14ac:dyDescent="0.2">
      <c r="C399" s="76">
        <f>'1. Accomodation'!N403</f>
        <v>0</v>
      </c>
      <c r="D399" s="69">
        <f>'1. Accomodation'!P403</f>
        <v>0</v>
      </c>
      <c r="E399" s="69">
        <f>'1. Accomodation'!Q403</f>
        <v>0</v>
      </c>
      <c r="F399" s="77">
        <f>'1. Accomodation'!O403</f>
        <v>0</v>
      </c>
      <c r="G399" s="69">
        <f>'1. Accomodation'!R403</f>
        <v>0</v>
      </c>
      <c r="H399" s="69">
        <f>'1. Accomodation'!S403</f>
        <v>0</v>
      </c>
      <c r="I399" s="62"/>
      <c r="K399" s="272">
        <f>IFERROR(INDEX('2. GRI Pricing Inputs'!$C$15:$AI$16,MATCH($K$16,'2. GRI Pricing Inputs'!$C$15:$C$16,0),MATCH(D399,'2. GRI Pricing Inputs'!$C$15:$AI$15,0)),0)</f>
        <v>0</v>
      </c>
      <c r="L399" s="273">
        <f>IFERROR(INDEX('2. GRI Pricing Inputs'!$C$22:$AI$23,MATCH($L$16,'2. GRI Pricing Inputs'!$C$22:$C$23,0),MATCH(E399,'2. GRI Pricing Inputs'!$C$22:$AI$22,0)),0)</f>
        <v>0</v>
      </c>
      <c r="M399" s="328">
        <f>IF(AND('3. GRI Pricing'!$F399&gt;='2. GRI Pricing Inputs'!$D$33,'3. GRI Pricing'!$F399&lt;='2. GRI Pricing Inputs'!$E$33),'2. GRI Pricing Inputs'!$D$32,IF(AND('3. GRI Pricing'!$F399&gt;='2. GRI Pricing Inputs'!$F$33,'3. GRI Pricing'!$F399&lt;='2. GRI Pricing Inputs'!$G$33),'2. GRI Pricing Inputs'!$F$32,IF(AND('3. GRI Pricing'!$F399&gt;='2. GRI Pricing Inputs'!$H$33,'3. GRI Pricing'!$F399&lt;='2. GRI Pricing Inputs'!$I$33),'2. GRI Pricing Inputs'!$H$32,IF(AND('3. GRI Pricing'!$F399&gt;='2. GRI Pricing Inputs'!$J$33,'3. GRI Pricing'!$F399&lt;='2. GRI Pricing Inputs'!$K$33),'2. GRI Pricing Inputs'!$J$32,IF(AND('3. GRI Pricing'!$F399&gt;='2. GRI Pricing Inputs'!$L$33,'3. GRI Pricing'!$F399&lt;='2. GRI Pricing Inputs'!$M$33),'2. GRI Pricing Inputs'!$L$32,IF(AND('3. GRI Pricing'!$F399&gt;='2. GRI Pricing Inputs'!$N$33,'3. GRI Pricing'!$F399&lt;='2. GRI Pricing Inputs'!$O$33),'2. GRI Pricing Inputs'!$N$32,IF(AND('3. GRI Pricing'!$F399&gt;='2. GRI Pricing Inputs'!$P$33,'3. GRI Pricing'!$F399&lt;='2. GRI Pricing Inputs'!$Q$33),'2. GRI Pricing Inputs'!$P$32,IF(AND('3. GRI Pricing'!$F399&gt;='2. GRI Pricing Inputs'!$R$33,'3. GRI Pricing'!$F399&lt;='2. GRI Pricing Inputs'!$S$33),'2. GRI Pricing Inputs'!$R$32,IF(AND('3. GRI Pricing'!$F399&gt;='2. GRI Pricing Inputs'!$T$33,'3. GRI Pricing'!$F399&lt;='2. GRI Pricing Inputs'!$U$33),'2. GRI Pricing Inputs'!$T$32,IF(AND('3. GRI Pricing'!$F399&gt;='2. GRI Pricing Inputs'!$V$33,'3. GRI Pricing'!$F399&lt;='2. GRI Pricing Inputs'!$W$33),'2. GRI Pricing Inputs'!$V$32,IF(AND('3. GRI Pricing'!$F399&gt;='2. GRI Pricing Inputs'!$X$33,'3. GRI Pricing'!$F399&lt;='2. GRI Pricing Inputs'!$Y$33),'2. GRI Pricing Inputs'!$X$32,IF(AND('3. GRI Pricing'!$F399&gt;='2. GRI Pricing Inputs'!$Z$33,'3. GRI Pricing'!$F399&lt;='2. GRI Pricing Inputs'!$AA$33),'2. GRI Pricing Inputs'!$Z$32,IF(AND('3. GRI Pricing'!$F399&gt;='2. GRI Pricing Inputs'!$AB$33,'3. GRI Pricing'!$F399&lt;='2. GRI Pricing Inputs'!$AC$33),'2. GRI Pricing Inputs'!$AB$32,IF(AND('3. GRI Pricing'!$F399&gt;='2. GRI Pricing Inputs'!$AD$33,'3. GRI Pricing'!$F399&lt;='2. GRI Pricing Inputs'!$AE$33),'2. GRI Pricing Inputs'!$AD$32,IF(AND('3. GRI Pricing'!$F399&gt;='2. GRI Pricing Inputs'!$AF$33,'3. GRI Pricing'!$F399&lt;='2. GRI Pricing Inputs'!$AG$33),'2. GRI Pricing Inputs'!$AF$32,IF(AND('3. GRI Pricing'!$F399&gt;='2. GRI Pricing Inputs'!$AH$33,'3. GRI Pricing'!$F399&lt;='2. GRI Pricing Inputs'!$AI$33),'2. GRI Pricing Inputs'!$AH$32,0))))))))))))))))</f>
        <v>0</v>
      </c>
      <c r="N399" s="273" cm="1">
        <f t="array" ref="N399">IFERROR(INDEX('2. GRI Pricing Inputs'!$C$32:$AI$39,MATCH('3. GRI Pricing'!D399,'2. GRI Pricing Inputs'!$C$32:$C$39,0),(MATCH('3. GRI Pricing'!M399,'2. GRI Pricing Inputs'!$D$32:$AI$32,0)+1)),0)</f>
        <v>0</v>
      </c>
      <c r="O399" s="273">
        <f>IFERROR(INDEX('2. GRI Pricing Inputs'!$C$45:$AI$46,MATCH($O$16,'2. GRI Pricing Inputs'!$C$45:$C$46,0),MATCH(G399,'2. GRI Pricing Inputs'!$C$45:$AI$45,0)),0)</f>
        <v>0</v>
      </c>
      <c r="P399" s="273">
        <f>IFERROR(INDEX('2. GRI Pricing Inputs'!$C$53:$AI$54,MATCH('3. GRI Pricing'!$P$16,'2. GRI Pricing Inputs'!$C$53:$C$54,0),MATCH('3. GRI Pricing'!H399,'2. GRI Pricing Inputs'!$C$53:$AI$53,0)),0)</f>
        <v>0</v>
      </c>
      <c r="Q399" s="273">
        <f>IFERROR(INDEX('2. GRI Pricing Inputs'!$C$60:$AI$61,MATCH('3. GRI Pricing'!$Q$16,'2. GRI Pricing Inputs'!$C$60:$C$61,0),MATCH('1. Accomodation'!T403,'2. GRI Pricing Inputs'!$C$60:$AI$60,0)),0)</f>
        <v>0</v>
      </c>
      <c r="R399" s="273">
        <f>IFERROR(INDEX('2. GRI Pricing Inputs'!$C$67:$AI$68,MATCH('3. GRI Pricing'!$R$16,'2. GRI Pricing Inputs'!$C$67:$C$68,0),MATCH('1. Accomodation'!U403,'2. GRI Pricing Inputs'!$C$67:$AI$67,0)),0)</f>
        <v>0</v>
      </c>
      <c r="S399" s="273">
        <f>IF(D399=0,0,'2. GRI Pricing Inputs'!$AI$75)</f>
        <v>0</v>
      </c>
      <c r="T399" s="273">
        <f>IFERROR(INDEX('2. GRI Pricing Inputs'!$C$82:$AI$83,MATCH('3. GRI Pricing'!$T$16,'2. GRI Pricing Inputs'!$C$82:$C$83,0),MATCH('1. Accomodation'!V403,'2. GRI Pricing Inputs'!$C$82:$AI$82,0)),0)</f>
        <v>0</v>
      </c>
      <c r="U399" s="273">
        <f>IFERROR(INDEX('2. GRI Pricing Inputs'!$C$89:$AI$90,MATCH('3. GRI Pricing'!$U$16,'2. GRI Pricing Inputs'!$C$89:$C$90,0),MATCH('1. Accomodation'!W403,'2. GRI Pricing Inputs'!$C$89:$AI$89,0)),0)</f>
        <v>0</v>
      </c>
      <c r="V399" s="273">
        <f>IFERROR(INDEX('2. GRI Pricing Inputs'!$C$97:$AI$98,MATCH('3. GRI Pricing'!$V$16,'2. GRI Pricing Inputs'!$C$97:$C$98,0),MATCH('1. Accomodation'!X403,'2. GRI Pricing Inputs'!$C$97:$AI$97,0)),0)</f>
        <v>0</v>
      </c>
      <c r="W399" s="273">
        <f>IFERROR(INDEX('2. GRI Pricing Inputs'!$C$104:$AI$105,MATCH('3. GRI Pricing'!$W$16,'2. GRI Pricing Inputs'!$C$104:$C$105,0),MATCH('1. Accomodation'!Y403,'2. GRI Pricing Inputs'!$C$104:$AI$104,0)),0)</f>
        <v>0</v>
      </c>
      <c r="X399" s="274"/>
      <c r="Y399" s="275">
        <f t="shared" si="12"/>
        <v>0</v>
      </c>
      <c r="Z399" s="276"/>
      <c r="AA399" s="276"/>
      <c r="AB399" s="276"/>
      <c r="AC399" s="272">
        <f>Y399*(1+'2. GRI Pricing Inputs'!$D$114)^(($AC$16-$AB$15)/365)</f>
        <v>0</v>
      </c>
      <c r="AD399" s="273">
        <f>AC399*(1+'2. GRI Pricing Inputs'!$D$114)^((AD$16-AC$16)/365)</f>
        <v>0</v>
      </c>
      <c r="AE399" s="273">
        <f>AD399*(1+'2. GRI Pricing Inputs'!$D$114)^((AE$16-AD$16)/365)</f>
        <v>0</v>
      </c>
      <c r="AF399" s="273">
        <f>AE399*(1+'2. GRI Pricing Inputs'!$D$114)^((AF$16-AE$16)/365)</f>
        <v>0</v>
      </c>
      <c r="AG399" s="273">
        <f>AF399*(1+'2. GRI Pricing Inputs'!$D$114)^((AG$16-AF$16)/365)</f>
        <v>0</v>
      </c>
      <c r="AH399" s="273">
        <f>AG399*(1+'2. GRI Pricing Inputs'!$D$114)^((AH$16-AG$16)/365)</f>
        <v>0</v>
      </c>
      <c r="AI399" s="273">
        <f>AH399*(1+'2. GRI Pricing Inputs'!$D$114)^((AI$16-AH$16)/365)</f>
        <v>0</v>
      </c>
      <c r="AJ399" s="273">
        <f>AI399*(1+'2. GRI Pricing Inputs'!$D$114)^((AJ$16-AI$16)/365)</f>
        <v>0</v>
      </c>
      <c r="AK399" s="273">
        <f>AJ399*(1+'2. GRI Pricing Inputs'!$D$114)^((AK$16-AJ$16)/365)</f>
        <v>0</v>
      </c>
      <c r="AL399" s="273">
        <f>AK399*(1+'2. GRI Pricing Inputs'!$D$114)^((AL$16-AK$16)/365)</f>
        <v>0</v>
      </c>
      <c r="AM399" s="273">
        <f>AL399*(1+'2. GRI Pricing Inputs'!$D$114)^((AM$16-AL$16)/365)</f>
        <v>0</v>
      </c>
      <c r="AN399" s="273">
        <f>AM399*(1+'2. GRI Pricing Inputs'!$D$114)^((AN$16-AM$16)/365)</f>
        <v>0</v>
      </c>
      <c r="AO399" s="273">
        <f>AN399*(1+'2. GRI Pricing Inputs'!$D$114)^((AO$16-AN$16)/365)</f>
        <v>0</v>
      </c>
    </row>
    <row r="400" spans="3:41" ht="12" x14ac:dyDescent="0.2">
      <c r="C400" s="76">
        <f>'1. Accomodation'!N404</f>
        <v>0</v>
      </c>
      <c r="D400" s="69">
        <f>'1. Accomodation'!P404</f>
        <v>0</v>
      </c>
      <c r="E400" s="69">
        <f>'1. Accomodation'!Q404</f>
        <v>0</v>
      </c>
      <c r="F400" s="77">
        <f>'1. Accomodation'!O404</f>
        <v>0</v>
      </c>
      <c r="G400" s="69">
        <f>'1. Accomodation'!R404</f>
        <v>0</v>
      </c>
      <c r="H400" s="69">
        <f>'1. Accomodation'!S404</f>
        <v>0</v>
      </c>
      <c r="I400" s="62"/>
      <c r="K400" s="272">
        <f>IFERROR(INDEX('2. GRI Pricing Inputs'!$C$15:$AI$16,MATCH($K$16,'2. GRI Pricing Inputs'!$C$15:$C$16,0),MATCH(D400,'2. GRI Pricing Inputs'!$C$15:$AI$15,0)),0)</f>
        <v>0</v>
      </c>
      <c r="L400" s="273">
        <f>IFERROR(INDEX('2. GRI Pricing Inputs'!$C$22:$AI$23,MATCH($L$16,'2. GRI Pricing Inputs'!$C$22:$C$23,0),MATCH(E400,'2. GRI Pricing Inputs'!$C$22:$AI$22,0)),0)</f>
        <v>0</v>
      </c>
      <c r="M400" s="328">
        <f>IF(AND('3. GRI Pricing'!$F400&gt;='2. GRI Pricing Inputs'!$D$33,'3. GRI Pricing'!$F400&lt;='2. GRI Pricing Inputs'!$E$33),'2. GRI Pricing Inputs'!$D$32,IF(AND('3. GRI Pricing'!$F400&gt;='2. GRI Pricing Inputs'!$F$33,'3. GRI Pricing'!$F400&lt;='2. GRI Pricing Inputs'!$G$33),'2. GRI Pricing Inputs'!$F$32,IF(AND('3. GRI Pricing'!$F400&gt;='2. GRI Pricing Inputs'!$H$33,'3. GRI Pricing'!$F400&lt;='2. GRI Pricing Inputs'!$I$33),'2. GRI Pricing Inputs'!$H$32,IF(AND('3. GRI Pricing'!$F400&gt;='2. GRI Pricing Inputs'!$J$33,'3. GRI Pricing'!$F400&lt;='2. GRI Pricing Inputs'!$K$33),'2. GRI Pricing Inputs'!$J$32,IF(AND('3. GRI Pricing'!$F400&gt;='2. GRI Pricing Inputs'!$L$33,'3. GRI Pricing'!$F400&lt;='2. GRI Pricing Inputs'!$M$33),'2. GRI Pricing Inputs'!$L$32,IF(AND('3. GRI Pricing'!$F400&gt;='2. GRI Pricing Inputs'!$N$33,'3. GRI Pricing'!$F400&lt;='2. GRI Pricing Inputs'!$O$33),'2. GRI Pricing Inputs'!$N$32,IF(AND('3. GRI Pricing'!$F400&gt;='2. GRI Pricing Inputs'!$P$33,'3. GRI Pricing'!$F400&lt;='2. GRI Pricing Inputs'!$Q$33),'2. GRI Pricing Inputs'!$P$32,IF(AND('3. GRI Pricing'!$F400&gt;='2. GRI Pricing Inputs'!$R$33,'3. GRI Pricing'!$F400&lt;='2. GRI Pricing Inputs'!$S$33),'2. GRI Pricing Inputs'!$R$32,IF(AND('3. GRI Pricing'!$F400&gt;='2. GRI Pricing Inputs'!$T$33,'3. GRI Pricing'!$F400&lt;='2. GRI Pricing Inputs'!$U$33),'2. GRI Pricing Inputs'!$T$32,IF(AND('3. GRI Pricing'!$F400&gt;='2. GRI Pricing Inputs'!$V$33,'3. GRI Pricing'!$F400&lt;='2. GRI Pricing Inputs'!$W$33),'2. GRI Pricing Inputs'!$V$32,IF(AND('3. GRI Pricing'!$F400&gt;='2. GRI Pricing Inputs'!$X$33,'3. GRI Pricing'!$F400&lt;='2. GRI Pricing Inputs'!$Y$33),'2. GRI Pricing Inputs'!$X$32,IF(AND('3. GRI Pricing'!$F400&gt;='2. GRI Pricing Inputs'!$Z$33,'3. GRI Pricing'!$F400&lt;='2. GRI Pricing Inputs'!$AA$33),'2. GRI Pricing Inputs'!$Z$32,IF(AND('3. GRI Pricing'!$F400&gt;='2. GRI Pricing Inputs'!$AB$33,'3. GRI Pricing'!$F400&lt;='2. GRI Pricing Inputs'!$AC$33),'2. GRI Pricing Inputs'!$AB$32,IF(AND('3. GRI Pricing'!$F400&gt;='2. GRI Pricing Inputs'!$AD$33,'3. GRI Pricing'!$F400&lt;='2. GRI Pricing Inputs'!$AE$33),'2. GRI Pricing Inputs'!$AD$32,IF(AND('3. GRI Pricing'!$F400&gt;='2. GRI Pricing Inputs'!$AF$33,'3. GRI Pricing'!$F400&lt;='2. GRI Pricing Inputs'!$AG$33),'2. GRI Pricing Inputs'!$AF$32,IF(AND('3. GRI Pricing'!$F400&gt;='2. GRI Pricing Inputs'!$AH$33,'3. GRI Pricing'!$F400&lt;='2. GRI Pricing Inputs'!$AI$33),'2. GRI Pricing Inputs'!$AH$32,0))))))))))))))))</f>
        <v>0</v>
      </c>
      <c r="N400" s="273" cm="1">
        <f t="array" ref="N400">IFERROR(INDEX('2. GRI Pricing Inputs'!$C$32:$AI$39,MATCH('3. GRI Pricing'!D400,'2. GRI Pricing Inputs'!$C$32:$C$39,0),(MATCH('3. GRI Pricing'!M400,'2. GRI Pricing Inputs'!$D$32:$AI$32,0)+1)),0)</f>
        <v>0</v>
      </c>
      <c r="O400" s="273">
        <f>IFERROR(INDEX('2. GRI Pricing Inputs'!$C$45:$AI$46,MATCH($O$16,'2. GRI Pricing Inputs'!$C$45:$C$46,0),MATCH(G400,'2. GRI Pricing Inputs'!$C$45:$AI$45,0)),0)</f>
        <v>0</v>
      </c>
      <c r="P400" s="273">
        <f>IFERROR(INDEX('2. GRI Pricing Inputs'!$C$53:$AI$54,MATCH('3. GRI Pricing'!$P$16,'2. GRI Pricing Inputs'!$C$53:$C$54,0),MATCH('3. GRI Pricing'!H400,'2. GRI Pricing Inputs'!$C$53:$AI$53,0)),0)</f>
        <v>0</v>
      </c>
      <c r="Q400" s="273">
        <f>IFERROR(INDEX('2. GRI Pricing Inputs'!$C$60:$AI$61,MATCH('3. GRI Pricing'!$Q$16,'2. GRI Pricing Inputs'!$C$60:$C$61,0),MATCH('1. Accomodation'!T404,'2. GRI Pricing Inputs'!$C$60:$AI$60,0)),0)</f>
        <v>0</v>
      </c>
      <c r="R400" s="273">
        <f>IFERROR(INDEX('2. GRI Pricing Inputs'!$C$67:$AI$68,MATCH('3. GRI Pricing'!$R$16,'2. GRI Pricing Inputs'!$C$67:$C$68,0),MATCH('1. Accomodation'!U404,'2. GRI Pricing Inputs'!$C$67:$AI$67,0)),0)</f>
        <v>0</v>
      </c>
      <c r="S400" s="273">
        <f>IF(D400=0,0,'2. GRI Pricing Inputs'!$AI$75)</f>
        <v>0</v>
      </c>
      <c r="T400" s="273">
        <f>IFERROR(INDEX('2. GRI Pricing Inputs'!$C$82:$AI$83,MATCH('3. GRI Pricing'!$T$16,'2. GRI Pricing Inputs'!$C$82:$C$83,0),MATCH('1. Accomodation'!V404,'2. GRI Pricing Inputs'!$C$82:$AI$82,0)),0)</f>
        <v>0</v>
      </c>
      <c r="U400" s="273">
        <f>IFERROR(INDEX('2. GRI Pricing Inputs'!$C$89:$AI$90,MATCH('3. GRI Pricing'!$U$16,'2. GRI Pricing Inputs'!$C$89:$C$90,0),MATCH('1. Accomodation'!W404,'2. GRI Pricing Inputs'!$C$89:$AI$89,0)),0)</f>
        <v>0</v>
      </c>
      <c r="V400" s="273">
        <f>IFERROR(INDEX('2. GRI Pricing Inputs'!$C$97:$AI$98,MATCH('3. GRI Pricing'!$V$16,'2. GRI Pricing Inputs'!$C$97:$C$98,0),MATCH('1. Accomodation'!X404,'2. GRI Pricing Inputs'!$C$97:$AI$97,0)),0)</f>
        <v>0</v>
      </c>
      <c r="W400" s="273">
        <f>IFERROR(INDEX('2. GRI Pricing Inputs'!$C$104:$AI$105,MATCH('3. GRI Pricing'!$W$16,'2. GRI Pricing Inputs'!$C$104:$C$105,0),MATCH('1. Accomodation'!Y404,'2. GRI Pricing Inputs'!$C$104:$AI$104,0)),0)</f>
        <v>0</v>
      </c>
      <c r="X400" s="274"/>
      <c r="Y400" s="275">
        <f t="shared" si="12"/>
        <v>0</v>
      </c>
      <c r="Z400" s="276"/>
      <c r="AA400" s="276"/>
      <c r="AB400" s="276"/>
      <c r="AC400" s="272">
        <f>Y400*(1+'2. GRI Pricing Inputs'!$D$114)^(($AC$16-$AB$15)/365)</f>
        <v>0</v>
      </c>
      <c r="AD400" s="273">
        <f>AC400*(1+'2. GRI Pricing Inputs'!$D$114)^((AD$16-AC$16)/365)</f>
        <v>0</v>
      </c>
      <c r="AE400" s="273">
        <f>AD400*(1+'2. GRI Pricing Inputs'!$D$114)^((AE$16-AD$16)/365)</f>
        <v>0</v>
      </c>
      <c r="AF400" s="273">
        <f>AE400*(1+'2. GRI Pricing Inputs'!$D$114)^((AF$16-AE$16)/365)</f>
        <v>0</v>
      </c>
      <c r="AG400" s="273">
        <f>AF400*(1+'2. GRI Pricing Inputs'!$D$114)^((AG$16-AF$16)/365)</f>
        <v>0</v>
      </c>
      <c r="AH400" s="273">
        <f>AG400*(1+'2. GRI Pricing Inputs'!$D$114)^((AH$16-AG$16)/365)</f>
        <v>0</v>
      </c>
      <c r="AI400" s="273">
        <f>AH400*(1+'2. GRI Pricing Inputs'!$D$114)^((AI$16-AH$16)/365)</f>
        <v>0</v>
      </c>
      <c r="AJ400" s="273">
        <f>AI400*(1+'2. GRI Pricing Inputs'!$D$114)^((AJ$16-AI$16)/365)</f>
        <v>0</v>
      </c>
      <c r="AK400" s="273">
        <f>AJ400*(1+'2. GRI Pricing Inputs'!$D$114)^((AK$16-AJ$16)/365)</f>
        <v>0</v>
      </c>
      <c r="AL400" s="273">
        <f>AK400*(1+'2. GRI Pricing Inputs'!$D$114)^((AL$16-AK$16)/365)</f>
        <v>0</v>
      </c>
      <c r="AM400" s="273">
        <f>AL400*(1+'2. GRI Pricing Inputs'!$D$114)^((AM$16-AL$16)/365)</f>
        <v>0</v>
      </c>
      <c r="AN400" s="273">
        <f>AM400*(1+'2. GRI Pricing Inputs'!$D$114)^((AN$16-AM$16)/365)</f>
        <v>0</v>
      </c>
      <c r="AO400" s="273">
        <f>AN400*(1+'2. GRI Pricing Inputs'!$D$114)^((AO$16-AN$16)/365)</f>
        <v>0</v>
      </c>
    </row>
    <row r="401" spans="3:41" ht="12" x14ac:dyDescent="0.2">
      <c r="C401" s="76">
        <f>'1. Accomodation'!N405</f>
        <v>0</v>
      </c>
      <c r="D401" s="69">
        <f>'1. Accomodation'!P405</f>
        <v>0</v>
      </c>
      <c r="E401" s="69">
        <f>'1. Accomodation'!Q405</f>
        <v>0</v>
      </c>
      <c r="F401" s="77">
        <f>'1. Accomodation'!O405</f>
        <v>0</v>
      </c>
      <c r="G401" s="69">
        <f>'1. Accomodation'!R405</f>
        <v>0</v>
      </c>
      <c r="H401" s="69">
        <f>'1. Accomodation'!S405</f>
        <v>0</v>
      </c>
      <c r="I401" s="62"/>
      <c r="K401" s="272">
        <f>IFERROR(INDEX('2. GRI Pricing Inputs'!$C$15:$AI$16,MATCH($K$16,'2. GRI Pricing Inputs'!$C$15:$C$16,0),MATCH(D401,'2. GRI Pricing Inputs'!$C$15:$AI$15,0)),0)</f>
        <v>0</v>
      </c>
      <c r="L401" s="273">
        <f>IFERROR(INDEX('2. GRI Pricing Inputs'!$C$22:$AI$23,MATCH($L$16,'2. GRI Pricing Inputs'!$C$22:$C$23,0),MATCH(E401,'2. GRI Pricing Inputs'!$C$22:$AI$22,0)),0)</f>
        <v>0</v>
      </c>
      <c r="M401" s="328">
        <f>IF(AND('3. GRI Pricing'!$F401&gt;='2. GRI Pricing Inputs'!$D$33,'3. GRI Pricing'!$F401&lt;='2. GRI Pricing Inputs'!$E$33),'2. GRI Pricing Inputs'!$D$32,IF(AND('3. GRI Pricing'!$F401&gt;='2. GRI Pricing Inputs'!$F$33,'3. GRI Pricing'!$F401&lt;='2. GRI Pricing Inputs'!$G$33),'2. GRI Pricing Inputs'!$F$32,IF(AND('3. GRI Pricing'!$F401&gt;='2. GRI Pricing Inputs'!$H$33,'3. GRI Pricing'!$F401&lt;='2. GRI Pricing Inputs'!$I$33),'2. GRI Pricing Inputs'!$H$32,IF(AND('3. GRI Pricing'!$F401&gt;='2. GRI Pricing Inputs'!$J$33,'3. GRI Pricing'!$F401&lt;='2. GRI Pricing Inputs'!$K$33),'2. GRI Pricing Inputs'!$J$32,IF(AND('3. GRI Pricing'!$F401&gt;='2. GRI Pricing Inputs'!$L$33,'3. GRI Pricing'!$F401&lt;='2. GRI Pricing Inputs'!$M$33),'2. GRI Pricing Inputs'!$L$32,IF(AND('3. GRI Pricing'!$F401&gt;='2. GRI Pricing Inputs'!$N$33,'3. GRI Pricing'!$F401&lt;='2. GRI Pricing Inputs'!$O$33),'2. GRI Pricing Inputs'!$N$32,IF(AND('3. GRI Pricing'!$F401&gt;='2. GRI Pricing Inputs'!$P$33,'3. GRI Pricing'!$F401&lt;='2. GRI Pricing Inputs'!$Q$33),'2. GRI Pricing Inputs'!$P$32,IF(AND('3. GRI Pricing'!$F401&gt;='2. GRI Pricing Inputs'!$R$33,'3. GRI Pricing'!$F401&lt;='2. GRI Pricing Inputs'!$S$33),'2. GRI Pricing Inputs'!$R$32,IF(AND('3. GRI Pricing'!$F401&gt;='2. GRI Pricing Inputs'!$T$33,'3. GRI Pricing'!$F401&lt;='2. GRI Pricing Inputs'!$U$33),'2. GRI Pricing Inputs'!$T$32,IF(AND('3. GRI Pricing'!$F401&gt;='2. GRI Pricing Inputs'!$V$33,'3. GRI Pricing'!$F401&lt;='2. GRI Pricing Inputs'!$W$33),'2. GRI Pricing Inputs'!$V$32,IF(AND('3. GRI Pricing'!$F401&gt;='2. GRI Pricing Inputs'!$X$33,'3. GRI Pricing'!$F401&lt;='2. GRI Pricing Inputs'!$Y$33),'2. GRI Pricing Inputs'!$X$32,IF(AND('3. GRI Pricing'!$F401&gt;='2. GRI Pricing Inputs'!$Z$33,'3. GRI Pricing'!$F401&lt;='2. GRI Pricing Inputs'!$AA$33),'2. GRI Pricing Inputs'!$Z$32,IF(AND('3. GRI Pricing'!$F401&gt;='2. GRI Pricing Inputs'!$AB$33,'3. GRI Pricing'!$F401&lt;='2. GRI Pricing Inputs'!$AC$33),'2. GRI Pricing Inputs'!$AB$32,IF(AND('3. GRI Pricing'!$F401&gt;='2. GRI Pricing Inputs'!$AD$33,'3. GRI Pricing'!$F401&lt;='2. GRI Pricing Inputs'!$AE$33),'2. GRI Pricing Inputs'!$AD$32,IF(AND('3. GRI Pricing'!$F401&gt;='2. GRI Pricing Inputs'!$AF$33,'3. GRI Pricing'!$F401&lt;='2. GRI Pricing Inputs'!$AG$33),'2. GRI Pricing Inputs'!$AF$32,IF(AND('3. GRI Pricing'!$F401&gt;='2. GRI Pricing Inputs'!$AH$33,'3. GRI Pricing'!$F401&lt;='2. GRI Pricing Inputs'!$AI$33),'2. GRI Pricing Inputs'!$AH$32,0))))))))))))))))</f>
        <v>0</v>
      </c>
      <c r="N401" s="273" cm="1">
        <f t="array" ref="N401">IFERROR(INDEX('2. GRI Pricing Inputs'!$C$32:$AI$39,MATCH('3. GRI Pricing'!D401,'2. GRI Pricing Inputs'!$C$32:$C$39,0),(MATCH('3. GRI Pricing'!M401,'2. GRI Pricing Inputs'!$D$32:$AI$32,0)+1)),0)</f>
        <v>0</v>
      </c>
      <c r="O401" s="273">
        <f>IFERROR(INDEX('2. GRI Pricing Inputs'!$C$45:$AI$46,MATCH($O$16,'2. GRI Pricing Inputs'!$C$45:$C$46,0),MATCH(G401,'2. GRI Pricing Inputs'!$C$45:$AI$45,0)),0)</f>
        <v>0</v>
      </c>
      <c r="P401" s="273">
        <f>IFERROR(INDEX('2. GRI Pricing Inputs'!$C$53:$AI$54,MATCH('3. GRI Pricing'!$P$16,'2. GRI Pricing Inputs'!$C$53:$C$54,0),MATCH('3. GRI Pricing'!H401,'2. GRI Pricing Inputs'!$C$53:$AI$53,0)),0)</f>
        <v>0</v>
      </c>
      <c r="Q401" s="273">
        <f>IFERROR(INDEX('2. GRI Pricing Inputs'!$C$60:$AI$61,MATCH('3. GRI Pricing'!$Q$16,'2. GRI Pricing Inputs'!$C$60:$C$61,0),MATCH('1. Accomodation'!T405,'2. GRI Pricing Inputs'!$C$60:$AI$60,0)),0)</f>
        <v>0</v>
      </c>
      <c r="R401" s="273">
        <f>IFERROR(INDEX('2. GRI Pricing Inputs'!$C$67:$AI$68,MATCH('3. GRI Pricing'!$R$16,'2. GRI Pricing Inputs'!$C$67:$C$68,0),MATCH('1. Accomodation'!U405,'2. GRI Pricing Inputs'!$C$67:$AI$67,0)),0)</f>
        <v>0</v>
      </c>
      <c r="S401" s="273">
        <f>IF(D401=0,0,'2. GRI Pricing Inputs'!$AI$75)</f>
        <v>0</v>
      </c>
      <c r="T401" s="273">
        <f>IFERROR(INDEX('2. GRI Pricing Inputs'!$C$82:$AI$83,MATCH('3. GRI Pricing'!$T$16,'2. GRI Pricing Inputs'!$C$82:$C$83,0),MATCH('1. Accomodation'!V405,'2. GRI Pricing Inputs'!$C$82:$AI$82,0)),0)</f>
        <v>0</v>
      </c>
      <c r="U401" s="273">
        <f>IFERROR(INDEX('2. GRI Pricing Inputs'!$C$89:$AI$90,MATCH('3. GRI Pricing'!$U$16,'2. GRI Pricing Inputs'!$C$89:$C$90,0),MATCH('1. Accomodation'!W405,'2. GRI Pricing Inputs'!$C$89:$AI$89,0)),0)</f>
        <v>0</v>
      </c>
      <c r="V401" s="273">
        <f>IFERROR(INDEX('2. GRI Pricing Inputs'!$C$97:$AI$98,MATCH('3. GRI Pricing'!$V$16,'2. GRI Pricing Inputs'!$C$97:$C$98,0),MATCH('1. Accomodation'!X405,'2. GRI Pricing Inputs'!$C$97:$AI$97,0)),0)</f>
        <v>0</v>
      </c>
      <c r="W401" s="273">
        <f>IFERROR(INDEX('2. GRI Pricing Inputs'!$C$104:$AI$105,MATCH('3. GRI Pricing'!$W$16,'2. GRI Pricing Inputs'!$C$104:$C$105,0),MATCH('1. Accomodation'!Y405,'2. GRI Pricing Inputs'!$C$104:$AI$104,0)),0)</f>
        <v>0</v>
      </c>
      <c r="X401" s="274"/>
      <c r="Y401" s="275">
        <f t="shared" si="12"/>
        <v>0</v>
      </c>
      <c r="Z401" s="276"/>
      <c r="AA401" s="276"/>
      <c r="AB401" s="276"/>
      <c r="AC401" s="272">
        <f>Y401*(1+'2. GRI Pricing Inputs'!$D$114)^(($AC$16-$AB$15)/365)</f>
        <v>0</v>
      </c>
      <c r="AD401" s="273">
        <f>AC401*(1+'2. GRI Pricing Inputs'!$D$114)^((AD$16-AC$16)/365)</f>
        <v>0</v>
      </c>
      <c r="AE401" s="273">
        <f>AD401*(1+'2. GRI Pricing Inputs'!$D$114)^((AE$16-AD$16)/365)</f>
        <v>0</v>
      </c>
      <c r="AF401" s="273">
        <f>AE401*(1+'2. GRI Pricing Inputs'!$D$114)^((AF$16-AE$16)/365)</f>
        <v>0</v>
      </c>
      <c r="AG401" s="273">
        <f>AF401*(1+'2. GRI Pricing Inputs'!$D$114)^((AG$16-AF$16)/365)</f>
        <v>0</v>
      </c>
      <c r="AH401" s="273">
        <f>AG401*(1+'2. GRI Pricing Inputs'!$D$114)^((AH$16-AG$16)/365)</f>
        <v>0</v>
      </c>
      <c r="AI401" s="273">
        <f>AH401*(1+'2. GRI Pricing Inputs'!$D$114)^((AI$16-AH$16)/365)</f>
        <v>0</v>
      </c>
      <c r="AJ401" s="273">
        <f>AI401*(1+'2. GRI Pricing Inputs'!$D$114)^((AJ$16-AI$16)/365)</f>
        <v>0</v>
      </c>
      <c r="AK401" s="273">
        <f>AJ401*(1+'2. GRI Pricing Inputs'!$D$114)^((AK$16-AJ$16)/365)</f>
        <v>0</v>
      </c>
      <c r="AL401" s="273">
        <f>AK401*(1+'2. GRI Pricing Inputs'!$D$114)^((AL$16-AK$16)/365)</f>
        <v>0</v>
      </c>
      <c r="AM401" s="273">
        <f>AL401*(1+'2. GRI Pricing Inputs'!$D$114)^((AM$16-AL$16)/365)</f>
        <v>0</v>
      </c>
      <c r="AN401" s="273">
        <f>AM401*(1+'2. GRI Pricing Inputs'!$D$114)^((AN$16-AM$16)/365)</f>
        <v>0</v>
      </c>
      <c r="AO401" s="273">
        <f>AN401*(1+'2. GRI Pricing Inputs'!$D$114)^((AO$16-AN$16)/365)</f>
        <v>0</v>
      </c>
    </row>
    <row r="402" spans="3:41" ht="12" x14ac:dyDescent="0.2">
      <c r="C402" s="76">
        <f>'1. Accomodation'!N406</f>
        <v>0</v>
      </c>
      <c r="D402" s="69">
        <f>'1. Accomodation'!P406</f>
        <v>0</v>
      </c>
      <c r="E402" s="69">
        <f>'1. Accomodation'!Q406</f>
        <v>0</v>
      </c>
      <c r="F402" s="77">
        <f>'1. Accomodation'!O406</f>
        <v>0</v>
      </c>
      <c r="G402" s="69">
        <f>'1. Accomodation'!R406</f>
        <v>0</v>
      </c>
      <c r="H402" s="69">
        <f>'1. Accomodation'!S406</f>
        <v>0</v>
      </c>
      <c r="I402" s="62"/>
      <c r="K402" s="272">
        <f>IFERROR(INDEX('2. GRI Pricing Inputs'!$C$15:$AI$16,MATCH($K$16,'2. GRI Pricing Inputs'!$C$15:$C$16,0),MATCH(D402,'2. GRI Pricing Inputs'!$C$15:$AI$15,0)),0)</f>
        <v>0</v>
      </c>
      <c r="L402" s="273">
        <f>IFERROR(INDEX('2. GRI Pricing Inputs'!$C$22:$AI$23,MATCH($L$16,'2. GRI Pricing Inputs'!$C$22:$C$23,0),MATCH(E402,'2. GRI Pricing Inputs'!$C$22:$AI$22,0)),0)</f>
        <v>0</v>
      </c>
      <c r="M402" s="328">
        <f>IF(AND('3. GRI Pricing'!$F402&gt;='2. GRI Pricing Inputs'!$D$33,'3. GRI Pricing'!$F402&lt;='2. GRI Pricing Inputs'!$E$33),'2. GRI Pricing Inputs'!$D$32,IF(AND('3. GRI Pricing'!$F402&gt;='2. GRI Pricing Inputs'!$F$33,'3. GRI Pricing'!$F402&lt;='2. GRI Pricing Inputs'!$G$33),'2. GRI Pricing Inputs'!$F$32,IF(AND('3. GRI Pricing'!$F402&gt;='2. GRI Pricing Inputs'!$H$33,'3. GRI Pricing'!$F402&lt;='2. GRI Pricing Inputs'!$I$33),'2. GRI Pricing Inputs'!$H$32,IF(AND('3. GRI Pricing'!$F402&gt;='2. GRI Pricing Inputs'!$J$33,'3. GRI Pricing'!$F402&lt;='2. GRI Pricing Inputs'!$K$33),'2. GRI Pricing Inputs'!$J$32,IF(AND('3. GRI Pricing'!$F402&gt;='2. GRI Pricing Inputs'!$L$33,'3. GRI Pricing'!$F402&lt;='2. GRI Pricing Inputs'!$M$33),'2. GRI Pricing Inputs'!$L$32,IF(AND('3. GRI Pricing'!$F402&gt;='2. GRI Pricing Inputs'!$N$33,'3. GRI Pricing'!$F402&lt;='2. GRI Pricing Inputs'!$O$33),'2. GRI Pricing Inputs'!$N$32,IF(AND('3. GRI Pricing'!$F402&gt;='2. GRI Pricing Inputs'!$P$33,'3. GRI Pricing'!$F402&lt;='2. GRI Pricing Inputs'!$Q$33),'2. GRI Pricing Inputs'!$P$32,IF(AND('3. GRI Pricing'!$F402&gt;='2. GRI Pricing Inputs'!$R$33,'3. GRI Pricing'!$F402&lt;='2. GRI Pricing Inputs'!$S$33),'2. GRI Pricing Inputs'!$R$32,IF(AND('3. GRI Pricing'!$F402&gt;='2. GRI Pricing Inputs'!$T$33,'3. GRI Pricing'!$F402&lt;='2. GRI Pricing Inputs'!$U$33),'2. GRI Pricing Inputs'!$T$32,IF(AND('3. GRI Pricing'!$F402&gt;='2. GRI Pricing Inputs'!$V$33,'3. GRI Pricing'!$F402&lt;='2. GRI Pricing Inputs'!$W$33),'2. GRI Pricing Inputs'!$V$32,IF(AND('3. GRI Pricing'!$F402&gt;='2. GRI Pricing Inputs'!$X$33,'3. GRI Pricing'!$F402&lt;='2. GRI Pricing Inputs'!$Y$33),'2. GRI Pricing Inputs'!$X$32,IF(AND('3. GRI Pricing'!$F402&gt;='2. GRI Pricing Inputs'!$Z$33,'3. GRI Pricing'!$F402&lt;='2. GRI Pricing Inputs'!$AA$33),'2. GRI Pricing Inputs'!$Z$32,IF(AND('3. GRI Pricing'!$F402&gt;='2. GRI Pricing Inputs'!$AB$33,'3. GRI Pricing'!$F402&lt;='2. GRI Pricing Inputs'!$AC$33),'2. GRI Pricing Inputs'!$AB$32,IF(AND('3. GRI Pricing'!$F402&gt;='2. GRI Pricing Inputs'!$AD$33,'3. GRI Pricing'!$F402&lt;='2. GRI Pricing Inputs'!$AE$33),'2. GRI Pricing Inputs'!$AD$32,IF(AND('3. GRI Pricing'!$F402&gt;='2. GRI Pricing Inputs'!$AF$33,'3. GRI Pricing'!$F402&lt;='2. GRI Pricing Inputs'!$AG$33),'2. GRI Pricing Inputs'!$AF$32,IF(AND('3. GRI Pricing'!$F402&gt;='2. GRI Pricing Inputs'!$AH$33,'3. GRI Pricing'!$F402&lt;='2. GRI Pricing Inputs'!$AI$33),'2. GRI Pricing Inputs'!$AH$32,0))))))))))))))))</f>
        <v>0</v>
      </c>
      <c r="N402" s="273" cm="1">
        <f t="array" ref="N402">IFERROR(INDEX('2. GRI Pricing Inputs'!$C$32:$AI$39,MATCH('3. GRI Pricing'!D402,'2. GRI Pricing Inputs'!$C$32:$C$39,0),(MATCH('3. GRI Pricing'!M402,'2. GRI Pricing Inputs'!$D$32:$AI$32,0)+1)),0)</f>
        <v>0</v>
      </c>
      <c r="O402" s="273">
        <f>IFERROR(INDEX('2. GRI Pricing Inputs'!$C$45:$AI$46,MATCH($O$16,'2. GRI Pricing Inputs'!$C$45:$C$46,0),MATCH(G402,'2. GRI Pricing Inputs'!$C$45:$AI$45,0)),0)</f>
        <v>0</v>
      </c>
      <c r="P402" s="273">
        <f>IFERROR(INDEX('2. GRI Pricing Inputs'!$C$53:$AI$54,MATCH('3. GRI Pricing'!$P$16,'2. GRI Pricing Inputs'!$C$53:$C$54,0),MATCH('3. GRI Pricing'!H402,'2. GRI Pricing Inputs'!$C$53:$AI$53,0)),0)</f>
        <v>0</v>
      </c>
      <c r="Q402" s="273">
        <f>IFERROR(INDEX('2. GRI Pricing Inputs'!$C$60:$AI$61,MATCH('3. GRI Pricing'!$Q$16,'2. GRI Pricing Inputs'!$C$60:$C$61,0),MATCH('1. Accomodation'!T406,'2. GRI Pricing Inputs'!$C$60:$AI$60,0)),0)</f>
        <v>0</v>
      </c>
      <c r="R402" s="273">
        <f>IFERROR(INDEX('2. GRI Pricing Inputs'!$C$67:$AI$68,MATCH('3. GRI Pricing'!$R$16,'2. GRI Pricing Inputs'!$C$67:$C$68,0),MATCH('1. Accomodation'!U406,'2. GRI Pricing Inputs'!$C$67:$AI$67,0)),0)</f>
        <v>0</v>
      </c>
      <c r="S402" s="273">
        <f>IF(D402=0,0,'2. GRI Pricing Inputs'!$AI$75)</f>
        <v>0</v>
      </c>
      <c r="T402" s="273">
        <f>IFERROR(INDEX('2. GRI Pricing Inputs'!$C$82:$AI$83,MATCH('3. GRI Pricing'!$T$16,'2. GRI Pricing Inputs'!$C$82:$C$83,0),MATCH('1. Accomodation'!V406,'2. GRI Pricing Inputs'!$C$82:$AI$82,0)),0)</f>
        <v>0</v>
      </c>
      <c r="U402" s="273">
        <f>IFERROR(INDEX('2. GRI Pricing Inputs'!$C$89:$AI$90,MATCH('3. GRI Pricing'!$U$16,'2. GRI Pricing Inputs'!$C$89:$C$90,0),MATCH('1. Accomodation'!W406,'2. GRI Pricing Inputs'!$C$89:$AI$89,0)),0)</f>
        <v>0</v>
      </c>
      <c r="V402" s="273">
        <f>IFERROR(INDEX('2. GRI Pricing Inputs'!$C$97:$AI$98,MATCH('3. GRI Pricing'!$V$16,'2. GRI Pricing Inputs'!$C$97:$C$98,0),MATCH('1. Accomodation'!X406,'2. GRI Pricing Inputs'!$C$97:$AI$97,0)),0)</f>
        <v>0</v>
      </c>
      <c r="W402" s="273">
        <f>IFERROR(INDEX('2. GRI Pricing Inputs'!$C$104:$AI$105,MATCH('3. GRI Pricing'!$W$16,'2. GRI Pricing Inputs'!$C$104:$C$105,0),MATCH('1. Accomodation'!Y406,'2. GRI Pricing Inputs'!$C$104:$AI$104,0)),0)</f>
        <v>0</v>
      </c>
      <c r="X402" s="274"/>
      <c r="Y402" s="275">
        <f t="shared" ref="Y402:Y465" si="13">K402+L402+N402+O402+P402+Q402+R402+S402+T402+U402+V402+W402+X402</f>
        <v>0</v>
      </c>
      <c r="Z402" s="276"/>
      <c r="AA402" s="276"/>
      <c r="AB402" s="276"/>
      <c r="AC402" s="272">
        <f>Y402*(1+'2. GRI Pricing Inputs'!$D$114)^(($AC$16-$AB$15)/365)</f>
        <v>0</v>
      </c>
      <c r="AD402" s="273">
        <f>AC402*(1+'2. GRI Pricing Inputs'!$D$114)^((AD$16-AC$16)/365)</f>
        <v>0</v>
      </c>
      <c r="AE402" s="273">
        <f>AD402*(1+'2. GRI Pricing Inputs'!$D$114)^((AE$16-AD$16)/365)</f>
        <v>0</v>
      </c>
      <c r="AF402" s="273">
        <f>AE402*(1+'2. GRI Pricing Inputs'!$D$114)^((AF$16-AE$16)/365)</f>
        <v>0</v>
      </c>
      <c r="AG402" s="273">
        <f>AF402*(1+'2. GRI Pricing Inputs'!$D$114)^((AG$16-AF$16)/365)</f>
        <v>0</v>
      </c>
      <c r="AH402" s="273">
        <f>AG402*(1+'2. GRI Pricing Inputs'!$D$114)^((AH$16-AG$16)/365)</f>
        <v>0</v>
      </c>
      <c r="AI402" s="273">
        <f>AH402*(1+'2. GRI Pricing Inputs'!$D$114)^((AI$16-AH$16)/365)</f>
        <v>0</v>
      </c>
      <c r="AJ402" s="273">
        <f>AI402*(1+'2. GRI Pricing Inputs'!$D$114)^((AJ$16-AI$16)/365)</f>
        <v>0</v>
      </c>
      <c r="AK402" s="273">
        <f>AJ402*(1+'2. GRI Pricing Inputs'!$D$114)^((AK$16-AJ$16)/365)</f>
        <v>0</v>
      </c>
      <c r="AL402" s="273">
        <f>AK402*(1+'2. GRI Pricing Inputs'!$D$114)^((AL$16-AK$16)/365)</f>
        <v>0</v>
      </c>
      <c r="AM402" s="273">
        <f>AL402*(1+'2. GRI Pricing Inputs'!$D$114)^((AM$16-AL$16)/365)</f>
        <v>0</v>
      </c>
      <c r="AN402" s="273">
        <f>AM402*(1+'2. GRI Pricing Inputs'!$D$114)^((AN$16-AM$16)/365)</f>
        <v>0</v>
      </c>
      <c r="AO402" s="273">
        <f>AN402*(1+'2. GRI Pricing Inputs'!$D$114)^((AO$16-AN$16)/365)</f>
        <v>0</v>
      </c>
    </row>
    <row r="403" spans="3:41" ht="12" x14ac:dyDescent="0.2">
      <c r="C403" s="76">
        <f>'1. Accomodation'!N407</f>
        <v>0</v>
      </c>
      <c r="D403" s="69">
        <f>'1. Accomodation'!P407</f>
        <v>0</v>
      </c>
      <c r="E403" s="69">
        <f>'1. Accomodation'!Q407</f>
        <v>0</v>
      </c>
      <c r="F403" s="77">
        <f>'1. Accomodation'!O407</f>
        <v>0</v>
      </c>
      <c r="G403" s="69">
        <f>'1. Accomodation'!R407</f>
        <v>0</v>
      </c>
      <c r="H403" s="69">
        <f>'1. Accomodation'!S407</f>
        <v>0</v>
      </c>
      <c r="I403" s="62"/>
      <c r="K403" s="272">
        <f>IFERROR(INDEX('2. GRI Pricing Inputs'!$C$15:$AI$16,MATCH($K$16,'2. GRI Pricing Inputs'!$C$15:$C$16,0),MATCH(D403,'2. GRI Pricing Inputs'!$C$15:$AI$15,0)),0)</f>
        <v>0</v>
      </c>
      <c r="L403" s="273">
        <f>IFERROR(INDEX('2. GRI Pricing Inputs'!$C$22:$AI$23,MATCH($L$16,'2. GRI Pricing Inputs'!$C$22:$C$23,0),MATCH(E403,'2. GRI Pricing Inputs'!$C$22:$AI$22,0)),0)</f>
        <v>0</v>
      </c>
      <c r="M403" s="328">
        <f>IF(AND('3. GRI Pricing'!$F403&gt;='2. GRI Pricing Inputs'!$D$33,'3. GRI Pricing'!$F403&lt;='2. GRI Pricing Inputs'!$E$33),'2. GRI Pricing Inputs'!$D$32,IF(AND('3. GRI Pricing'!$F403&gt;='2. GRI Pricing Inputs'!$F$33,'3. GRI Pricing'!$F403&lt;='2. GRI Pricing Inputs'!$G$33),'2. GRI Pricing Inputs'!$F$32,IF(AND('3. GRI Pricing'!$F403&gt;='2. GRI Pricing Inputs'!$H$33,'3. GRI Pricing'!$F403&lt;='2. GRI Pricing Inputs'!$I$33),'2. GRI Pricing Inputs'!$H$32,IF(AND('3. GRI Pricing'!$F403&gt;='2. GRI Pricing Inputs'!$J$33,'3. GRI Pricing'!$F403&lt;='2. GRI Pricing Inputs'!$K$33),'2. GRI Pricing Inputs'!$J$32,IF(AND('3. GRI Pricing'!$F403&gt;='2. GRI Pricing Inputs'!$L$33,'3. GRI Pricing'!$F403&lt;='2. GRI Pricing Inputs'!$M$33),'2. GRI Pricing Inputs'!$L$32,IF(AND('3. GRI Pricing'!$F403&gt;='2. GRI Pricing Inputs'!$N$33,'3. GRI Pricing'!$F403&lt;='2. GRI Pricing Inputs'!$O$33),'2. GRI Pricing Inputs'!$N$32,IF(AND('3. GRI Pricing'!$F403&gt;='2. GRI Pricing Inputs'!$P$33,'3. GRI Pricing'!$F403&lt;='2. GRI Pricing Inputs'!$Q$33),'2. GRI Pricing Inputs'!$P$32,IF(AND('3. GRI Pricing'!$F403&gt;='2. GRI Pricing Inputs'!$R$33,'3. GRI Pricing'!$F403&lt;='2. GRI Pricing Inputs'!$S$33),'2. GRI Pricing Inputs'!$R$32,IF(AND('3. GRI Pricing'!$F403&gt;='2. GRI Pricing Inputs'!$T$33,'3. GRI Pricing'!$F403&lt;='2. GRI Pricing Inputs'!$U$33),'2. GRI Pricing Inputs'!$T$32,IF(AND('3. GRI Pricing'!$F403&gt;='2. GRI Pricing Inputs'!$V$33,'3. GRI Pricing'!$F403&lt;='2. GRI Pricing Inputs'!$W$33),'2. GRI Pricing Inputs'!$V$32,IF(AND('3. GRI Pricing'!$F403&gt;='2. GRI Pricing Inputs'!$X$33,'3. GRI Pricing'!$F403&lt;='2. GRI Pricing Inputs'!$Y$33),'2. GRI Pricing Inputs'!$X$32,IF(AND('3. GRI Pricing'!$F403&gt;='2. GRI Pricing Inputs'!$Z$33,'3. GRI Pricing'!$F403&lt;='2. GRI Pricing Inputs'!$AA$33),'2. GRI Pricing Inputs'!$Z$32,IF(AND('3. GRI Pricing'!$F403&gt;='2. GRI Pricing Inputs'!$AB$33,'3. GRI Pricing'!$F403&lt;='2. GRI Pricing Inputs'!$AC$33),'2. GRI Pricing Inputs'!$AB$32,IF(AND('3. GRI Pricing'!$F403&gt;='2. GRI Pricing Inputs'!$AD$33,'3. GRI Pricing'!$F403&lt;='2. GRI Pricing Inputs'!$AE$33),'2. GRI Pricing Inputs'!$AD$32,IF(AND('3. GRI Pricing'!$F403&gt;='2. GRI Pricing Inputs'!$AF$33,'3. GRI Pricing'!$F403&lt;='2. GRI Pricing Inputs'!$AG$33),'2. GRI Pricing Inputs'!$AF$32,IF(AND('3. GRI Pricing'!$F403&gt;='2. GRI Pricing Inputs'!$AH$33,'3. GRI Pricing'!$F403&lt;='2. GRI Pricing Inputs'!$AI$33),'2. GRI Pricing Inputs'!$AH$32,0))))))))))))))))</f>
        <v>0</v>
      </c>
      <c r="N403" s="273" cm="1">
        <f t="array" ref="N403">IFERROR(INDEX('2. GRI Pricing Inputs'!$C$32:$AI$39,MATCH('3. GRI Pricing'!D403,'2. GRI Pricing Inputs'!$C$32:$C$39,0),(MATCH('3. GRI Pricing'!M403,'2. GRI Pricing Inputs'!$D$32:$AI$32,0)+1)),0)</f>
        <v>0</v>
      </c>
      <c r="O403" s="273">
        <f>IFERROR(INDEX('2. GRI Pricing Inputs'!$C$45:$AI$46,MATCH($O$16,'2. GRI Pricing Inputs'!$C$45:$C$46,0),MATCH(G403,'2. GRI Pricing Inputs'!$C$45:$AI$45,0)),0)</f>
        <v>0</v>
      </c>
      <c r="P403" s="273">
        <f>IFERROR(INDEX('2. GRI Pricing Inputs'!$C$53:$AI$54,MATCH('3. GRI Pricing'!$P$16,'2. GRI Pricing Inputs'!$C$53:$C$54,0),MATCH('3. GRI Pricing'!H403,'2. GRI Pricing Inputs'!$C$53:$AI$53,0)),0)</f>
        <v>0</v>
      </c>
      <c r="Q403" s="273">
        <f>IFERROR(INDEX('2. GRI Pricing Inputs'!$C$60:$AI$61,MATCH('3. GRI Pricing'!$Q$16,'2. GRI Pricing Inputs'!$C$60:$C$61,0),MATCH('1. Accomodation'!T407,'2. GRI Pricing Inputs'!$C$60:$AI$60,0)),0)</f>
        <v>0</v>
      </c>
      <c r="R403" s="273">
        <f>IFERROR(INDEX('2. GRI Pricing Inputs'!$C$67:$AI$68,MATCH('3. GRI Pricing'!$R$16,'2. GRI Pricing Inputs'!$C$67:$C$68,0),MATCH('1. Accomodation'!U407,'2. GRI Pricing Inputs'!$C$67:$AI$67,0)),0)</f>
        <v>0</v>
      </c>
      <c r="S403" s="273">
        <f>IF(D403=0,0,'2. GRI Pricing Inputs'!$AI$75)</f>
        <v>0</v>
      </c>
      <c r="T403" s="273">
        <f>IFERROR(INDEX('2. GRI Pricing Inputs'!$C$82:$AI$83,MATCH('3. GRI Pricing'!$T$16,'2. GRI Pricing Inputs'!$C$82:$C$83,0),MATCH('1. Accomodation'!V407,'2. GRI Pricing Inputs'!$C$82:$AI$82,0)),0)</f>
        <v>0</v>
      </c>
      <c r="U403" s="273">
        <f>IFERROR(INDEX('2. GRI Pricing Inputs'!$C$89:$AI$90,MATCH('3. GRI Pricing'!$U$16,'2. GRI Pricing Inputs'!$C$89:$C$90,0),MATCH('1. Accomodation'!W407,'2. GRI Pricing Inputs'!$C$89:$AI$89,0)),0)</f>
        <v>0</v>
      </c>
      <c r="V403" s="273">
        <f>IFERROR(INDEX('2. GRI Pricing Inputs'!$C$97:$AI$98,MATCH('3. GRI Pricing'!$V$16,'2. GRI Pricing Inputs'!$C$97:$C$98,0),MATCH('1. Accomodation'!X407,'2. GRI Pricing Inputs'!$C$97:$AI$97,0)),0)</f>
        <v>0</v>
      </c>
      <c r="W403" s="273">
        <f>IFERROR(INDEX('2. GRI Pricing Inputs'!$C$104:$AI$105,MATCH('3. GRI Pricing'!$W$16,'2. GRI Pricing Inputs'!$C$104:$C$105,0),MATCH('1. Accomodation'!Y407,'2. GRI Pricing Inputs'!$C$104:$AI$104,0)),0)</f>
        <v>0</v>
      </c>
      <c r="X403" s="274"/>
      <c r="Y403" s="275">
        <f t="shared" si="13"/>
        <v>0</v>
      </c>
      <c r="Z403" s="276"/>
      <c r="AA403" s="276"/>
      <c r="AB403" s="276"/>
      <c r="AC403" s="272">
        <f>Y403*(1+'2. GRI Pricing Inputs'!$D$114)^(($AC$16-$AB$15)/365)</f>
        <v>0</v>
      </c>
      <c r="AD403" s="273">
        <f>AC403*(1+'2. GRI Pricing Inputs'!$D$114)^((AD$16-AC$16)/365)</f>
        <v>0</v>
      </c>
      <c r="AE403" s="273">
        <f>AD403*(1+'2. GRI Pricing Inputs'!$D$114)^((AE$16-AD$16)/365)</f>
        <v>0</v>
      </c>
      <c r="AF403" s="273">
        <f>AE403*(1+'2. GRI Pricing Inputs'!$D$114)^((AF$16-AE$16)/365)</f>
        <v>0</v>
      </c>
      <c r="AG403" s="273">
        <f>AF403*(1+'2. GRI Pricing Inputs'!$D$114)^((AG$16-AF$16)/365)</f>
        <v>0</v>
      </c>
      <c r="AH403" s="273">
        <f>AG403*(1+'2. GRI Pricing Inputs'!$D$114)^((AH$16-AG$16)/365)</f>
        <v>0</v>
      </c>
      <c r="AI403" s="273">
        <f>AH403*(1+'2. GRI Pricing Inputs'!$D$114)^((AI$16-AH$16)/365)</f>
        <v>0</v>
      </c>
      <c r="AJ403" s="273">
        <f>AI403*(1+'2. GRI Pricing Inputs'!$D$114)^((AJ$16-AI$16)/365)</f>
        <v>0</v>
      </c>
      <c r="AK403" s="273">
        <f>AJ403*(1+'2. GRI Pricing Inputs'!$D$114)^((AK$16-AJ$16)/365)</f>
        <v>0</v>
      </c>
      <c r="AL403" s="273">
        <f>AK403*(1+'2. GRI Pricing Inputs'!$D$114)^((AL$16-AK$16)/365)</f>
        <v>0</v>
      </c>
      <c r="AM403" s="273">
        <f>AL403*(1+'2. GRI Pricing Inputs'!$D$114)^((AM$16-AL$16)/365)</f>
        <v>0</v>
      </c>
      <c r="AN403" s="273">
        <f>AM403*(1+'2. GRI Pricing Inputs'!$D$114)^((AN$16-AM$16)/365)</f>
        <v>0</v>
      </c>
      <c r="AO403" s="273">
        <f>AN403*(1+'2. GRI Pricing Inputs'!$D$114)^((AO$16-AN$16)/365)</f>
        <v>0</v>
      </c>
    </row>
    <row r="404" spans="3:41" ht="12" x14ac:dyDescent="0.2">
      <c r="C404" s="76">
        <f>'1. Accomodation'!N408</f>
        <v>0</v>
      </c>
      <c r="D404" s="69">
        <f>'1. Accomodation'!P408</f>
        <v>0</v>
      </c>
      <c r="E404" s="69">
        <f>'1. Accomodation'!Q408</f>
        <v>0</v>
      </c>
      <c r="F404" s="77">
        <f>'1. Accomodation'!O408</f>
        <v>0</v>
      </c>
      <c r="G404" s="69">
        <f>'1. Accomodation'!R408</f>
        <v>0</v>
      </c>
      <c r="H404" s="69">
        <f>'1. Accomodation'!S408</f>
        <v>0</v>
      </c>
      <c r="I404" s="62"/>
      <c r="K404" s="272">
        <f>IFERROR(INDEX('2. GRI Pricing Inputs'!$C$15:$AI$16,MATCH($K$16,'2. GRI Pricing Inputs'!$C$15:$C$16,0),MATCH(D404,'2. GRI Pricing Inputs'!$C$15:$AI$15,0)),0)</f>
        <v>0</v>
      </c>
      <c r="L404" s="273">
        <f>IFERROR(INDEX('2. GRI Pricing Inputs'!$C$22:$AI$23,MATCH($L$16,'2. GRI Pricing Inputs'!$C$22:$C$23,0),MATCH(E404,'2. GRI Pricing Inputs'!$C$22:$AI$22,0)),0)</f>
        <v>0</v>
      </c>
      <c r="M404" s="328">
        <f>IF(AND('3. GRI Pricing'!$F404&gt;='2. GRI Pricing Inputs'!$D$33,'3. GRI Pricing'!$F404&lt;='2. GRI Pricing Inputs'!$E$33),'2. GRI Pricing Inputs'!$D$32,IF(AND('3. GRI Pricing'!$F404&gt;='2. GRI Pricing Inputs'!$F$33,'3. GRI Pricing'!$F404&lt;='2. GRI Pricing Inputs'!$G$33),'2. GRI Pricing Inputs'!$F$32,IF(AND('3. GRI Pricing'!$F404&gt;='2. GRI Pricing Inputs'!$H$33,'3. GRI Pricing'!$F404&lt;='2. GRI Pricing Inputs'!$I$33),'2. GRI Pricing Inputs'!$H$32,IF(AND('3. GRI Pricing'!$F404&gt;='2. GRI Pricing Inputs'!$J$33,'3. GRI Pricing'!$F404&lt;='2. GRI Pricing Inputs'!$K$33),'2. GRI Pricing Inputs'!$J$32,IF(AND('3. GRI Pricing'!$F404&gt;='2. GRI Pricing Inputs'!$L$33,'3. GRI Pricing'!$F404&lt;='2. GRI Pricing Inputs'!$M$33),'2. GRI Pricing Inputs'!$L$32,IF(AND('3. GRI Pricing'!$F404&gt;='2. GRI Pricing Inputs'!$N$33,'3. GRI Pricing'!$F404&lt;='2. GRI Pricing Inputs'!$O$33),'2. GRI Pricing Inputs'!$N$32,IF(AND('3. GRI Pricing'!$F404&gt;='2. GRI Pricing Inputs'!$P$33,'3. GRI Pricing'!$F404&lt;='2. GRI Pricing Inputs'!$Q$33),'2. GRI Pricing Inputs'!$P$32,IF(AND('3. GRI Pricing'!$F404&gt;='2. GRI Pricing Inputs'!$R$33,'3. GRI Pricing'!$F404&lt;='2. GRI Pricing Inputs'!$S$33),'2. GRI Pricing Inputs'!$R$32,IF(AND('3. GRI Pricing'!$F404&gt;='2. GRI Pricing Inputs'!$T$33,'3. GRI Pricing'!$F404&lt;='2. GRI Pricing Inputs'!$U$33),'2. GRI Pricing Inputs'!$T$32,IF(AND('3. GRI Pricing'!$F404&gt;='2. GRI Pricing Inputs'!$V$33,'3. GRI Pricing'!$F404&lt;='2. GRI Pricing Inputs'!$W$33),'2. GRI Pricing Inputs'!$V$32,IF(AND('3. GRI Pricing'!$F404&gt;='2. GRI Pricing Inputs'!$X$33,'3. GRI Pricing'!$F404&lt;='2. GRI Pricing Inputs'!$Y$33),'2. GRI Pricing Inputs'!$X$32,IF(AND('3. GRI Pricing'!$F404&gt;='2. GRI Pricing Inputs'!$Z$33,'3. GRI Pricing'!$F404&lt;='2. GRI Pricing Inputs'!$AA$33),'2. GRI Pricing Inputs'!$Z$32,IF(AND('3. GRI Pricing'!$F404&gt;='2. GRI Pricing Inputs'!$AB$33,'3. GRI Pricing'!$F404&lt;='2. GRI Pricing Inputs'!$AC$33),'2. GRI Pricing Inputs'!$AB$32,IF(AND('3. GRI Pricing'!$F404&gt;='2. GRI Pricing Inputs'!$AD$33,'3. GRI Pricing'!$F404&lt;='2. GRI Pricing Inputs'!$AE$33),'2. GRI Pricing Inputs'!$AD$32,IF(AND('3. GRI Pricing'!$F404&gt;='2. GRI Pricing Inputs'!$AF$33,'3. GRI Pricing'!$F404&lt;='2. GRI Pricing Inputs'!$AG$33),'2. GRI Pricing Inputs'!$AF$32,IF(AND('3. GRI Pricing'!$F404&gt;='2. GRI Pricing Inputs'!$AH$33,'3. GRI Pricing'!$F404&lt;='2. GRI Pricing Inputs'!$AI$33),'2. GRI Pricing Inputs'!$AH$32,0))))))))))))))))</f>
        <v>0</v>
      </c>
      <c r="N404" s="273" cm="1">
        <f t="array" ref="N404">IFERROR(INDEX('2. GRI Pricing Inputs'!$C$32:$AI$39,MATCH('3. GRI Pricing'!D404,'2. GRI Pricing Inputs'!$C$32:$C$39,0),(MATCH('3. GRI Pricing'!M404,'2. GRI Pricing Inputs'!$D$32:$AI$32,0)+1)),0)</f>
        <v>0</v>
      </c>
      <c r="O404" s="273">
        <f>IFERROR(INDEX('2. GRI Pricing Inputs'!$C$45:$AI$46,MATCH($O$16,'2. GRI Pricing Inputs'!$C$45:$C$46,0),MATCH(G404,'2. GRI Pricing Inputs'!$C$45:$AI$45,0)),0)</f>
        <v>0</v>
      </c>
      <c r="P404" s="273">
        <f>IFERROR(INDEX('2. GRI Pricing Inputs'!$C$53:$AI$54,MATCH('3. GRI Pricing'!$P$16,'2. GRI Pricing Inputs'!$C$53:$C$54,0),MATCH('3. GRI Pricing'!H404,'2. GRI Pricing Inputs'!$C$53:$AI$53,0)),0)</f>
        <v>0</v>
      </c>
      <c r="Q404" s="273">
        <f>IFERROR(INDEX('2. GRI Pricing Inputs'!$C$60:$AI$61,MATCH('3. GRI Pricing'!$Q$16,'2. GRI Pricing Inputs'!$C$60:$C$61,0),MATCH('1. Accomodation'!T408,'2. GRI Pricing Inputs'!$C$60:$AI$60,0)),0)</f>
        <v>0</v>
      </c>
      <c r="R404" s="273">
        <f>IFERROR(INDEX('2. GRI Pricing Inputs'!$C$67:$AI$68,MATCH('3. GRI Pricing'!$R$16,'2. GRI Pricing Inputs'!$C$67:$C$68,0),MATCH('1. Accomodation'!U408,'2. GRI Pricing Inputs'!$C$67:$AI$67,0)),0)</f>
        <v>0</v>
      </c>
      <c r="S404" s="273">
        <f>IF(D404=0,0,'2. GRI Pricing Inputs'!$AI$75)</f>
        <v>0</v>
      </c>
      <c r="T404" s="273">
        <f>IFERROR(INDEX('2. GRI Pricing Inputs'!$C$82:$AI$83,MATCH('3. GRI Pricing'!$T$16,'2. GRI Pricing Inputs'!$C$82:$C$83,0),MATCH('1. Accomodation'!V408,'2. GRI Pricing Inputs'!$C$82:$AI$82,0)),0)</f>
        <v>0</v>
      </c>
      <c r="U404" s="273">
        <f>IFERROR(INDEX('2. GRI Pricing Inputs'!$C$89:$AI$90,MATCH('3. GRI Pricing'!$U$16,'2. GRI Pricing Inputs'!$C$89:$C$90,0),MATCH('1. Accomodation'!W408,'2. GRI Pricing Inputs'!$C$89:$AI$89,0)),0)</f>
        <v>0</v>
      </c>
      <c r="V404" s="273">
        <f>IFERROR(INDEX('2. GRI Pricing Inputs'!$C$97:$AI$98,MATCH('3. GRI Pricing'!$V$16,'2. GRI Pricing Inputs'!$C$97:$C$98,0),MATCH('1. Accomodation'!X408,'2. GRI Pricing Inputs'!$C$97:$AI$97,0)),0)</f>
        <v>0</v>
      </c>
      <c r="W404" s="273">
        <f>IFERROR(INDEX('2. GRI Pricing Inputs'!$C$104:$AI$105,MATCH('3. GRI Pricing'!$W$16,'2. GRI Pricing Inputs'!$C$104:$C$105,0),MATCH('1. Accomodation'!Y408,'2. GRI Pricing Inputs'!$C$104:$AI$104,0)),0)</f>
        <v>0</v>
      </c>
      <c r="X404" s="274"/>
      <c r="Y404" s="275">
        <f t="shared" si="13"/>
        <v>0</v>
      </c>
      <c r="Z404" s="276"/>
      <c r="AA404" s="276"/>
      <c r="AB404" s="276"/>
      <c r="AC404" s="272">
        <f>Y404*(1+'2. GRI Pricing Inputs'!$D$114)^(($AC$16-$AB$15)/365)</f>
        <v>0</v>
      </c>
      <c r="AD404" s="273">
        <f>AC404*(1+'2. GRI Pricing Inputs'!$D$114)^((AD$16-AC$16)/365)</f>
        <v>0</v>
      </c>
      <c r="AE404" s="273">
        <f>AD404*(1+'2. GRI Pricing Inputs'!$D$114)^((AE$16-AD$16)/365)</f>
        <v>0</v>
      </c>
      <c r="AF404" s="273">
        <f>AE404*(1+'2. GRI Pricing Inputs'!$D$114)^((AF$16-AE$16)/365)</f>
        <v>0</v>
      </c>
      <c r="AG404" s="273">
        <f>AF404*(1+'2. GRI Pricing Inputs'!$D$114)^((AG$16-AF$16)/365)</f>
        <v>0</v>
      </c>
      <c r="AH404" s="273">
        <f>AG404*(1+'2. GRI Pricing Inputs'!$D$114)^((AH$16-AG$16)/365)</f>
        <v>0</v>
      </c>
      <c r="AI404" s="273">
        <f>AH404*(1+'2. GRI Pricing Inputs'!$D$114)^((AI$16-AH$16)/365)</f>
        <v>0</v>
      </c>
      <c r="AJ404" s="273">
        <f>AI404*(1+'2. GRI Pricing Inputs'!$D$114)^((AJ$16-AI$16)/365)</f>
        <v>0</v>
      </c>
      <c r="AK404" s="273">
        <f>AJ404*(1+'2. GRI Pricing Inputs'!$D$114)^((AK$16-AJ$16)/365)</f>
        <v>0</v>
      </c>
      <c r="AL404" s="273">
        <f>AK404*(1+'2. GRI Pricing Inputs'!$D$114)^((AL$16-AK$16)/365)</f>
        <v>0</v>
      </c>
      <c r="AM404" s="273">
        <f>AL404*(1+'2. GRI Pricing Inputs'!$D$114)^((AM$16-AL$16)/365)</f>
        <v>0</v>
      </c>
      <c r="AN404" s="273">
        <f>AM404*(1+'2. GRI Pricing Inputs'!$D$114)^((AN$16-AM$16)/365)</f>
        <v>0</v>
      </c>
      <c r="AO404" s="273">
        <f>AN404*(1+'2. GRI Pricing Inputs'!$D$114)^((AO$16-AN$16)/365)</f>
        <v>0</v>
      </c>
    </row>
    <row r="405" spans="3:41" ht="12" x14ac:dyDescent="0.2">
      <c r="C405" s="76">
        <f>'1. Accomodation'!N409</f>
        <v>0</v>
      </c>
      <c r="D405" s="69">
        <f>'1. Accomodation'!P409</f>
        <v>0</v>
      </c>
      <c r="E405" s="69">
        <f>'1. Accomodation'!Q409</f>
        <v>0</v>
      </c>
      <c r="F405" s="77">
        <f>'1. Accomodation'!O409</f>
        <v>0</v>
      </c>
      <c r="G405" s="69">
        <f>'1. Accomodation'!R409</f>
        <v>0</v>
      </c>
      <c r="H405" s="69">
        <f>'1. Accomodation'!S409</f>
        <v>0</v>
      </c>
      <c r="I405" s="62"/>
      <c r="K405" s="272">
        <f>IFERROR(INDEX('2. GRI Pricing Inputs'!$C$15:$AI$16,MATCH($K$16,'2. GRI Pricing Inputs'!$C$15:$C$16,0),MATCH(D405,'2. GRI Pricing Inputs'!$C$15:$AI$15,0)),0)</f>
        <v>0</v>
      </c>
      <c r="L405" s="273">
        <f>IFERROR(INDEX('2. GRI Pricing Inputs'!$C$22:$AI$23,MATCH($L$16,'2. GRI Pricing Inputs'!$C$22:$C$23,0),MATCH(E405,'2. GRI Pricing Inputs'!$C$22:$AI$22,0)),0)</f>
        <v>0</v>
      </c>
      <c r="M405" s="328">
        <f>IF(AND('3. GRI Pricing'!$F405&gt;='2. GRI Pricing Inputs'!$D$33,'3. GRI Pricing'!$F405&lt;='2. GRI Pricing Inputs'!$E$33),'2. GRI Pricing Inputs'!$D$32,IF(AND('3. GRI Pricing'!$F405&gt;='2. GRI Pricing Inputs'!$F$33,'3. GRI Pricing'!$F405&lt;='2. GRI Pricing Inputs'!$G$33),'2. GRI Pricing Inputs'!$F$32,IF(AND('3. GRI Pricing'!$F405&gt;='2. GRI Pricing Inputs'!$H$33,'3. GRI Pricing'!$F405&lt;='2. GRI Pricing Inputs'!$I$33),'2. GRI Pricing Inputs'!$H$32,IF(AND('3. GRI Pricing'!$F405&gt;='2. GRI Pricing Inputs'!$J$33,'3. GRI Pricing'!$F405&lt;='2. GRI Pricing Inputs'!$K$33),'2. GRI Pricing Inputs'!$J$32,IF(AND('3. GRI Pricing'!$F405&gt;='2. GRI Pricing Inputs'!$L$33,'3. GRI Pricing'!$F405&lt;='2. GRI Pricing Inputs'!$M$33),'2. GRI Pricing Inputs'!$L$32,IF(AND('3. GRI Pricing'!$F405&gt;='2. GRI Pricing Inputs'!$N$33,'3. GRI Pricing'!$F405&lt;='2. GRI Pricing Inputs'!$O$33),'2. GRI Pricing Inputs'!$N$32,IF(AND('3. GRI Pricing'!$F405&gt;='2. GRI Pricing Inputs'!$P$33,'3. GRI Pricing'!$F405&lt;='2. GRI Pricing Inputs'!$Q$33),'2. GRI Pricing Inputs'!$P$32,IF(AND('3. GRI Pricing'!$F405&gt;='2. GRI Pricing Inputs'!$R$33,'3. GRI Pricing'!$F405&lt;='2. GRI Pricing Inputs'!$S$33),'2. GRI Pricing Inputs'!$R$32,IF(AND('3. GRI Pricing'!$F405&gt;='2. GRI Pricing Inputs'!$T$33,'3. GRI Pricing'!$F405&lt;='2. GRI Pricing Inputs'!$U$33),'2. GRI Pricing Inputs'!$T$32,IF(AND('3. GRI Pricing'!$F405&gt;='2. GRI Pricing Inputs'!$V$33,'3. GRI Pricing'!$F405&lt;='2. GRI Pricing Inputs'!$W$33),'2. GRI Pricing Inputs'!$V$32,IF(AND('3. GRI Pricing'!$F405&gt;='2. GRI Pricing Inputs'!$X$33,'3. GRI Pricing'!$F405&lt;='2. GRI Pricing Inputs'!$Y$33),'2. GRI Pricing Inputs'!$X$32,IF(AND('3. GRI Pricing'!$F405&gt;='2. GRI Pricing Inputs'!$Z$33,'3. GRI Pricing'!$F405&lt;='2. GRI Pricing Inputs'!$AA$33),'2. GRI Pricing Inputs'!$Z$32,IF(AND('3. GRI Pricing'!$F405&gt;='2. GRI Pricing Inputs'!$AB$33,'3. GRI Pricing'!$F405&lt;='2. GRI Pricing Inputs'!$AC$33),'2. GRI Pricing Inputs'!$AB$32,IF(AND('3. GRI Pricing'!$F405&gt;='2. GRI Pricing Inputs'!$AD$33,'3. GRI Pricing'!$F405&lt;='2. GRI Pricing Inputs'!$AE$33),'2. GRI Pricing Inputs'!$AD$32,IF(AND('3. GRI Pricing'!$F405&gt;='2. GRI Pricing Inputs'!$AF$33,'3. GRI Pricing'!$F405&lt;='2. GRI Pricing Inputs'!$AG$33),'2. GRI Pricing Inputs'!$AF$32,IF(AND('3. GRI Pricing'!$F405&gt;='2. GRI Pricing Inputs'!$AH$33,'3. GRI Pricing'!$F405&lt;='2. GRI Pricing Inputs'!$AI$33),'2. GRI Pricing Inputs'!$AH$32,0))))))))))))))))</f>
        <v>0</v>
      </c>
      <c r="N405" s="273" cm="1">
        <f t="array" ref="N405">IFERROR(INDEX('2. GRI Pricing Inputs'!$C$32:$AI$39,MATCH('3. GRI Pricing'!D405,'2. GRI Pricing Inputs'!$C$32:$C$39,0),(MATCH('3. GRI Pricing'!M405,'2. GRI Pricing Inputs'!$D$32:$AI$32,0)+1)),0)</f>
        <v>0</v>
      </c>
      <c r="O405" s="273">
        <f>IFERROR(INDEX('2. GRI Pricing Inputs'!$C$45:$AI$46,MATCH($O$16,'2. GRI Pricing Inputs'!$C$45:$C$46,0),MATCH(G405,'2. GRI Pricing Inputs'!$C$45:$AI$45,0)),0)</f>
        <v>0</v>
      </c>
      <c r="P405" s="273">
        <f>IFERROR(INDEX('2. GRI Pricing Inputs'!$C$53:$AI$54,MATCH('3. GRI Pricing'!$P$16,'2. GRI Pricing Inputs'!$C$53:$C$54,0),MATCH('3. GRI Pricing'!H405,'2. GRI Pricing Inputs'!$C$53:$AI$53,0)),0)</f>
        <v>0</v>
      </c>
      <c r="Q405" s="273">
        <f>IFERROR(INDEX('2. GRI Pricing Inputs'!$C$60:$AI$61,MATCH('3. GRI Pricing'!$Q$16,'2. GRI Pricing Inputs'!$C$60:$C$61,0),MATCH('1. Accomodation'!T409,'2. GRI Pricing Inputs'!$C$60:$AI$60,0)),0)</f>
        <v>0</v>
      </c>
      <c r="R405" s="273">
        <f>IFERROR(INDEX('2. GRI Pricing Inputs'!$C$67:$AI$68,MATCH('3. GRI Pricing'!$R$16,'2. GRI Pricing Inputs'!$C$67:$C$68,0),MATCH('1. Accomodation'!U409,'2. GRI Pricing Inputs'!$C$67:$AI$67,0)),0)</f>
        <v>0</v>
      </c>
      <c r="S405" s="273">
        <f>IF(D405=0,0,'2. GRI Pricing Inputs'!$AI$75)</f>
        <v>0</v>
      </c>
      <c r="T405" s="273">
        <f>IFERROR(INDEX('2. GRI Pricing Inputs'!$C$82:$AI$83,MATCH('3. GRI Pricing'!$T$16,'2. GRI Pricing Inputs'!$C$82:$C$83,0),MATCH('1. Accomodation'!V409,'2. GRI Pricing Inputs'!$C$82:$AI$82,0)),0)</f>
        <v>0</v>
      </c>
      <c r="U405" s="273">
        <f>IFERROR(INDEX('2. GRI Pricing Inputs'!$C$89:$AI$90,MATCH('3. GRI Pricing'!$U$16,'2. GRI Pricing Inputs'!$C$89:$C$90,0),MATCH('1. Accomodation'!W409,'2. GRI Pricing Inputs'!$C$89:$AI$89,0)),0)</f>
        <v>0</v>
      </c>
      <c r="V405" s="273">
        <f>IFERROR(INDEX('2. GRI Pricing Inputs'!$C$97:$AI$98,MATCH('3. GRI Pricing'!$V$16,'2. GRI Pricing Inputs'!$C$97:$C$98,0),MATCH('1. Accomodation'!X409,'2. GRI Pricing Inputs'!$C$97:$AI$97,0)),0)</f>
        <v>0</v>
      </c>
      <c r="W405" s="273">
        <f>IFERROR(INDEX('2. GRI Pricing Inputs'!$C$104:$AI$105,MATCH('3. GRI Pricing'!$W$16,'2. GRI Pricing Inputs'!$C$104:$C$105,0),MATCH('1. Accomodation'!Y409,'2. GRI Pricing Inputs'!$C$104:$AI$104,0)),0)</f>
        <v>0</v>
      </c>
      <c r="X405" s="274"/>
      <c r="Y405" s="275">
        <f t="shared" si="13"/>
        <v>0</v>
      </c>
      <c r="Z405" s="276"/>
      <c r="AA405" s="276"/>
      <c r="AB405" s="276"/>
      <c r="AC405" s="272">
        <f>Y405*(1+'2. GRI Pricing Inputs'!$D$114)^(($AC$16-$AB$15)/365)</f>
        <v>0</v>
      </c>
      <c r="AD405" s="273">
        <f>AC405*(1+'2. GRI Pricing Inputs'!$D$114)^((AD$16-AC$16)/365)</f>
        <v>0</v>
      </c>
      <c r="AE405" s="273">
        <f>AD405*(1+'2. GRI Pricing Inputs'!$D$114)^((AE$16-AD$16)/365)</f>
        <v>0</v>
      </c>
      <c r="AF405" s="273">
        <f>AE405*(1+'2. GRI Pricing Inputs'!$D$114)^((AF$16-AE$16)/365)</f>
        <v>0</v>
      </c>
      <c r="AG405" s="273">
        <f>AF405*(1+'2. GRI Pricing Inputs'!$D$114)^((AG$16-AF$16)/365)</f>
        <v>0</v>
      </c>
      <c r="AH405" s="273">
        <f>AG405*(1+'2. GRI Pricing Inputs'!$D$114)^((AH$16-AG$16)/365)</f>
        <v>0</v>
      </c>
      <c r="AI405" s="273">
        <f>AH405*(1+'2. GRI Pricing Inputs'!$D$114)^((AI$16-AH$16)/365)</f>
        <v>0</v>
      </c>
      <c r="AJ405" s="273">
        <f>AI405*(1+'2. GRI Pricing Inputs'!$D$114)^((AJ$16-AI$16)/365)</f>
        <v>0</v>
      </c>
      <c r="AK405" s="273">
        <f>AJ405*(1+'2. GRI Pricing Inputs'!$D$114)^((AK$16-AJ$16)/365)</f>
        <v>0</v>
      </c>
      <c r="AL405" s="273">
        <f>AK405*(1+'2. GRI Pricing Inputs'!$D$114)^((AL$16-AK$16)/365)</f>
        <v>0</v>
      </c>
      <c r="AM405" s="273">
        <f>AL405*(1+'2. GRI Pricing Inputs'!$D$114)^((AM$16-AL$16)/365)</f>
        <v>0</v>
      </c>
      <c r="AN405" s="273">
        <f>AM405*(1+'2. GRI Pricing Inputs'!$D$114)^((AN$16-AM$16)/365)</f>
        <v>0</v>
      </c>
      <c r="AO405" s="273">
        <f>AN405*(1+'2. GRI Pricing Inputs'!$D$114)^((AO$16-AN$16)/365)</f>
        <v>0</v>
      </c>
    </row>
    <row r="406" spans="3:41" ht="12" x14ac:dyDescent="0.2">
      <c r="C406" s="76">
        <f>'1. Accomodation'!N410</f>
        <v>0</v>
      </c>
      <c r="D406" s="69">
        <f>'1. Accomodation'!P410</f>
        <v>0</v>
      </c>
      <c r="E406" s="69">
        <f>'1. Accomodation'!Q410</f>
        <v>0</v>
      </c>
      <c r="F406" s="77">
        <f>'1. Accomodation'!O410</f>
        <v>0</v>
      </c>
      <c r="G406" s="69">
        <f>'1. Accomodation'!R410</f>
        <v>0</v>
      </c>
      <c r="H406" s="69">
        <f>'1. Accomodation'!S410</f>
        <v>0</v>
      </c>
      <c r="I406" s="62"/>
      <c r="K406" s="272">
        <f>IFERROR(INDEX('2. GRI Pricing Inputs'!$C$15:$AI$16,MATCH($K$16,'2. GRI Pricing Inputs'!$C$15:$C$16,0),MATCH(D406,'2. GRI Pricing Inputs'!$C$15:$AI$15,0)),0)</f>
        <v>0</v>
      </c>
      <c r="L406" s="273">
        <f>IFERROR(INDEX('2. GRI Pricing Inputs'!$C$22:$AI$23,MATCH($L$16,'2. GRI Pricing Inputs'!$C$22:$C$23,0),MATCH(E406,'2. GRI Pricing Inputs'!$C$22:$AI$22,0)),0)</f>
        <v>0</v>
      </c>
      <c r="M406" s="328">
        <f>IF(AND('3. GRI Pricing'!$F406&gt;='2. GRI Pricing Inputs'!$D$33,'3. GRI Pricing'!$F406&lt;='2. GRI Pricing Inputs'!$E$33),'2. GRI Pricing Inputs'!$D$32,IF(AND('3. GRI Pricing'!$F406&gt;='2. GRI Pricing Inputs'!$F$33,'3. GRI Pricing'!$F406&lt;='2. GRI Pricing Inputs'!$G$33),'2. GRI Pricing Inputs'!$F$32,IF(AND('3. GRI Pricing'!$F406&gt;='2. GRI Pricing Inputs'!$H$33,'3. GRI Pricing'!$F406&lt;='2. GRI Pricing Inputs'!$I$33),'2. GRI Pricing Inputs'!$H$32,IF(AND('3. GRI Pricing'!$F406&gt;='2. GRI Pricing Inputs'!$J$33,'3. GRI Pricing'!$F406&lt;='2. GRI Pricing Inputs'!$K$33),'2. GRI Pricing Inputs'!$J$32,IF(AND('3. GRI Pricing'!$F406&gt;='2. GRI Pricing Inputs'!$L$33,'3. GRI Pricing'!$F406&lt;='2. GRI Pricing Inputs'!$M$33),'2. GRI Pricing Inputs'!$L$32,IF(AND('3. GRI Pricing'!$F406&gt;='2. GRI Pricing Inputs'!$N$33,'3. GRI Pricing'!$F406&lt;='2. GRI Pricing Inputs'!$O$33),'2. GRI Pricing Inputs'!$N$32,IF(AND('3. GRI Pricing'!$F406&gt;='2. GRI Pricing Inputs'!$P$33,'3. GRI Pricing'!$F406&lt;='2. GRI Pricing Inputs'!$Q$33),'2. GRI Pricing Inputs'!$P$32,IF(AND('3. GRI Pricing'!$F406&gt;='2. GRI Pricing Inputs'!$R$33,'3. GRI Pricing'!$F406&lt;='2. GRI Pricing Inputs'!$S$33),'2. GRI Pricing Inputs'!$R$32,IF(AND('3. GRI Pricing'!$F406&gt;='2. GRI Pricing Inputs'!$T$33,'3. GRI Pricing'!$F406&lt;='2. GRI Pricing Inputs'!$U$33),'2. GRI Pricing Inputs'!$T$32,IF(AND('3. GRI Pricing'!$F406&gt;='2. GRI Pricing Inputs'!$V$33,'3. GRI Pricing'!$F406&lt;='2. GRI Pricing Inputs'!$W$33),'2. GRI Pricing Inputs'!$V$32,IF(AND('3. GRI Pricing'!$F406&gt;='2. GRI Pricing Inputs'!$X$33,'3. GRI Pricing'!$F406&lt;='2. GRI Pricing Inputs'!$Y$33),'2. GRI Pricing Inputs'!$X$32,IF(AND('3. GRI Pricing'!$F406&gt;='2. GRI Pricing Inputs'!$Z$33,'3. GRI Pricing'!$F406&lt;='2. GRI Pricing Inputs'!$AA$33),'2. GRI Pricing Inputs'!$Z$32,IF(AND('3. GRI Pricing'!$F406&gt;='2. GRI Pricing Inputs'!$AB$33,'3. GRI Pricing'!$F406&lt;='2. GRI Pricing Inputs'!$AC$33),'2. GRI Pricing Inputs'!$AB$32,IF(AND('3. GRI Pricing'!$F406&gt;='2. GRI Pricing Inputs'!$AD$33,'3. GRI Pricing'!$F406&lt;='2. GRI Pricing Inputs'!$AE$33),'2. GRI Pricing Inputs'!$AD$32,IF(AND('3. GRI Pricing'!$F406&gt;='2. GRI Pricing Inputs'!$AF$33,'3. GRI Pricing'!$F406&lt;='2. GRI Pricing Inputs'!$AG$33),'2. GRI Pricing Inputs'!$AF$32,IF(AND('3. GRI Pricing'!$F406&gt;='2. GRI Pricing Inputs'!$AH$33,'3. GRI Pricing'!$F406&lt;='2. GRI Pricing Inputs'!$AI$33),'2. GRI Pricing Inputs'!$AH$32,0))))))))))))))))</f>
        <v>0</v>
      </c>
      <c r="N406" s="273" cm="1">
        <f t="array" ref="N406">IFERROR(INDEX('2. GRI Pricing Inputs'!$C$32:$AI$39,MATCH('3. GRI Pricing'!D406,'2. GRI Pricing Inputs'!$C$32:$C$39,0),(MATCH('3. GRI Pricing'!M406,'2. GRI Pricing Inputs'!$D$32:$AI$32,0)+1)),0)</f>
        <v>0</v>
      </c>
      <c r="O406" s="273">
        <f>IFERROR(INDEX('2. GRI Pricing Inputs'!$C$45:$AI$46,MATCH($O$16,'2. GRI Pricing Inputs'!$C$45:$C$46,0),MATCH(G406,'2. GRI Pricing Inputs'!$C$45:$AI$45,0)),0)</f>
        <v>0</v>
      </c>
      <c r="P406" s="273">
        <f>IFERROR(INDEX('2. GRI Pricing Inputs'!$C$53:$AI$54,MATCH('3. GRI Pricing'!$P$16,'2. GRI Pricing Inputs'!$C$53:$C$54,0),MATCH('3. GRI Pricing'!H406,'2. GRI Pricing Inputs'!$C$53:$AI$53,0)),0)</f>
        <v>0</v>
      </c>
      <c r="Q406" s="273">
        <f>IFERROR(INDEX('2. GRI Pricing Inputs'!$C$60:$AI$61,MATCH('3. GRI Pricing'!$Q$16,'2. GRI Pricing Inputs'!$C$60:$C$61,0),MATCH('1. Accomodation'!T410,'2. GRI Pricing Inputs'!$C$60:$AI$60,0)),0)</f>
        <v>0</v>
      </c>
      <c r="R406" s="273">
        <f>IFERROR(INDEX('2. GRI Pricing Inputs'!$C$67:$AI$68,MATCH('3. GRI Pricing'!$R$16,'2. GRI Pricing Inputs'!$C$67:$C$68,0),MATCH('1. Accomodation'!U410,'2. GRI Pricing Inputs'!$C$67:$AI$67,0)),0)</f>
        <v>0</v>
      </c>
      <c r="S406" s="273">
        <f>IF(D406=0,0,'2. GRI Pricing Inputs'!$AI$75)</f>
        <v>0</v>
      </c>
      <c r="T406" s="273">
        <f>IFERROR(INDEX('2. GRI Pricing Inputs'!$C$82:$AI$83,MATCH('3. GRI Pricing'!$T$16,'2. GRI Pricing Inputs'!$C$82:$C$83,0),MATCH('1. Accomodation'!V410,'2. GRI Pricing Inputs'!$C$82:$AI$82,0)),0)</f>
        <v>0</v>
      </c>
      <c r="U406" s="273">
        <f>IFERROR(INDEX('2. GRI Pricing Inputs'!$C$89:$AI$90,MATCH('3. GRI Pricing'!$U$16,'2. GRI Pricing Inputs'!$C$89:$C$90,0),MATCH('1. Accomodation'!W410,'2. GRI Pricing Inputs'!$C$89:$AI$89,0)),0)</f>
        <v>0</v>
      </c>
      <c r="V406" s="273">
        <f>IFERROR(INDEX('2. GRI Pricing Inputs'!$C$97:$AI$98,MATCH('3. GRI Pricing'!$V$16,'2. GRI Pricing Inputs'!$C$97:$C$98,0),MATCH('1. Accomodation'!X410,'2. GRI Pricing Inputs'!$C$97:$AI$97,0)),0)</f>
        <v>0</v>
      </c>
      <c r="W406" s="273">
        <f>IFERROR(INDEX('2. GRI Pricing Inputs'!$C$104:$AI$105,MATCH('3. GRI Pricing'!$W$16,'2. GRI Pricing Inputs'!$C$104:$C$105,0),MATCH('1. Accomodation'!Y410,'2. GRI Pricing Inputs'!$C$104:$AI$104,0)),0)</f>
        <v>0</v>
      </c>
      <c r="X406" s="274"/>
      <c r="Y406" s="275">
        <f t="shared" si="13"/>
        <v>0</v>
      </c>
      <c r="Z406" s="276"/>
      <c r="AA406" s="276"/>
      <c r="AB406" s="276"/>
      <c r="AC406" s="272">
        <f>Y406*(1+'2. GRI Pricing Inputs'!$D$114)^(($AC$16-$AB$15)/365)</f>
        <v>0</v>
      </c>
      <c r="AD406" s="273">
        <f>AC406*(1+'2. GRI Pricing Inputs'!$D$114)^((AD$16-AC$16)/365)</f>
        <v>0</v>
      </c>
      <c r="AE406" s="273">
        <f>AD406*(1+'2. GRI Pricing Inputs'!$D$114)^((AE$16-AD$16)/365)</f>
        <v>0</v>
      </c>
      <c r="AF406" s="273">
        <f>AE406*(1+'2. GRI Pricing Inputs'!$D$114)^((AF$16-AE$16)/365)</f>
        <v>0</v>
      </c>
      <c r="AG406" s="273">
        <f>AF406*(1+'2. GRI Pricing Inputs'!$D$114)^((AG$16-AF$16)/365)</f>
        <v>0</v>
      </c>
      <c r="AH406" s="273">
        <f>AG406*(1+'2. GRI Pricing Inputs'!$D$114)^((AH$16-AG$16)/365)</f>
        <v>0</v>
      </c>
      <c r="AI406" s="273">
        <f>AH406*(1+'2. GRI Pricing Inputs'!$D$114)^((AI$16-AH$16)/365)</f>
        <v>0</v>
      </c>
      <c r="AJ406" s="273">
        <f>AI406*(1+'2. GRI Pricing Inputs'!$D$114)^((AJ$16-AI$16)/365)</f>
        <v>0</v>
      </c>
      <c r="AK406" s="273">
        <f>AJ406*(1+'2. GRI Pricing Inputs'!$D$114)^((AK$16-AJ$16)/365)</f>
        <v>0</v>
      </c>
      <c r="AL406" s="273">
        <f>AK406*(1+'2. GRI Pricing Inputs'!$D$114)^((AL$16-AK$16)/365)</f>
        <v>0</v>
      </c>
      <c r="AM406" s="273">
        <f>AL406*(1+'2. GRI Pricing Inputs'!$D$114)^((AM$16-AL$16)/365)</f>
        <v>0</v>
      </c>
      <c r="AN406" s="273">
        <f>AM406*(1+'2. GRI Pricing Inputs'!$D$114)^((AN$16-AM$16)/365)</f>
        <v>0</v>
      </c>
      <c r="AO406" s="273">
        <f>AN406*(1+'2. GRI Pricing Inputs'!$D$114)^((AO$16-AN$16)/365)</f>
        <v>0</v>
      </c>
    </row>
    <row r="407" spans="3:41" ht="12" x14ac:dyDescent="0.2">
      <c r="C407" s="76">
        <f>'1. Accomodation'!N411</f>
        <v>0</v>
      </c>
      <c r="D407" s="69">
        <f>'1. Accomodation'!P411</f>
        <v>0</v>
      </c>
      <c r="E407" s="69">
        <f>'1. Accomodation'!Q411</f>
        <v>0</v>
      </c>
      <c r="F407" s="77">
        <f>'1. Accomodation'!O411</f>
        <v>0</v>
      </c>
      <c r="G407" s="69">
        <f>'1. Accomodation'!R411</f>
        <v>0</v>
      </c>
      <c r="H407" s="69">
        <f>'1. Accomodation'!S411</f>
        <v>0</v>
      </c>
      <c r="I407" s="62"/>
      <c r="K407" s="272">
        <f>IFERROR(INDEX('2. GRI Pricing Inputs'!$C$15:$AI$16,MATCH($K$16,'2. GRI Pricing Inputs'!$C$15:$C$16,0),MATCH(D407,'2. GRI Pricing Inputs'!$C$15:$AI$15,0)),0)</f>
        <v>0</v>
      </c>
      <c r="L407" s="273">
        <f>IFERROR(INDEX('2. GRI Pricing Inputs'!$C$22:$AI$23,MATCH($L$16,'2. GRI Pricing Inputs'!$C$22:$C$23,0),MATCH(E407,'2. GRI Pricing Inputs'!$C$22:$AI$22,0)),0)</f>
        <v>0</v>
      </c>
      <c r="M407" s="328">
        <f>IF(AND('3. GRI Pricing'!$F407&gt;='2. GRI Pricing Inputs'!$D$33,'3. GRI Pricing'!$F407&lt;='2. GRI Pricing Inputs'!$E$33),'2. GRI Pricing Inputs'!$D$32,IF(AND('3. GRI Pricing'!$F407&gt;='2. GRI Pricing Inputs'!$F$33,'3. GRI Pricing'!$F407&lt;='2. GRI Pricing Inputs'!$G$33),'2. GRI Pricing Inputs'!$F$32,IF(AND('3. GRI Pricing'!$F407&gt;='2. GRI Pricing Inputs'!$H$33,'3. GRI Pricing'!$F407&lt;='2. GRI Pricing Inputs'!$I$33),'2. GRI Pricing Inputs'!$H$32,IF(AND('3. GRI Pricing'!$F407&gt;='2. GRI Pricing Inputs'!$J$33,'3. GRI Pricing'!$F407&lt;='2. GRI Pricing Inputs'!$K$33),'2. GRI Pricing Inputs'!$J$32,IF(AND('3. GRI Pricing'!$F407&gt;='2. GRI Pricing Inputs'!$L$33,'3. GRI Pricing'!$F407&lt;='2. GRI Pricing Inputs'!$M$33),'2. GRI Pricing Inputs'!$L$32,IF(AND('3. GRI Pricing'!$F407&gt;='2. GRI Pricing Inputs'!$N$33,'3. GRI Pricing'!$F407&lt;='2. GRI Pricing Inputs'!$O$33),'2. GRI Pricing Inputs'!$N$32,IF(AND('3. GRI Pricing'!$F407&gt;='2. GRI Pricing Inputs'!$P$33,'3. GRI Pricing'!$F407&lt;='2. GRI Pricing Inputs'!$Q$33),'2. GRI Pricing Inputs'!$P$32,IF(AND('3. GRI Pricing'!$F407&gt;='2. GRI Pricing Inputs'!$R$33,'3. GRI Pricing'!$F407&lt;='2. GRI Pricing Inputs'!$S$33),'2. GRI Pricing Inputs'!$R$32,IF(AND('3. GRI Pricing'!$F407&gt;='2. GRI Pricing Inputs'!$T$33,'3. GRI Pricing'!$F407&lt;='2. GRI Pricing Inputs'!$U$33),'2. GRI Pricing Inputs'!$T$32,IF(AND('3. GRI Pricing'!$F407&gt;='2. GRI Pricing Inputs'!$V$33,'3. GRI Pricing'!$F407&lt;='2. GRI Pricing Inputs'!$W$33),'2. GRI Pricing Inputs'!$V$32,IF(AND('3. GRI Pricing'!$F407&gt;='2. GRI Pricing Inputs'!$X$33,'3. GRI Pricing'!$F407&lt;='2. GRI Pricing Inputs'!$Y$33),'2. GRI Pricing Inputs'!$X$32,IF(AND('3. GRI Pricing'!$F407&gt;='2. GRI Pricing Inputs'!$Z$33,'3. GRI Pricing'!$F407&lt;='2. GRI Pricing Inputs'!$AA$33),'2. GRI Pricing Inputs'!$Z$32,IF(AND('3. GRI Pricing'!$F407&gt;='2. GRI Pricing Inputs'!$AB$33,'3. GRI Pricing'!$F407&lt;='2. GRI Pricing Inputs'!$AC$33),'2. GRI Pricing Inputs'!$AB$32,IF(AND('3. GRI Pricing'!$F407&gt;='2. GRI Pricing Inputs'!$AD$33,'3. GRI Pricing'!$F407&lt;='2. GRI Pricing Inputs'!$AE$33),'2. GRI Pricing Inputs'!$AD$32,IF(AND('3. GRI Pricing'!$F407&gt;='2. GRI Pricing Inputs'!$AF$33,'3. GRI Pricing'!$F407&lt;='2. GRI Pricing Inputs'!$AG$33),'2. GRI Pricing Inputs'!$AF$32,IF(AND('3. GRI Pricing'!$F407&gt;='2. GRI Pricing Inputs'!$AH$33,'3. GRI Pricing'!$F407&lt;='2. GRI Pricing Inputs'!$AI$33),'2. GRI Pricing Inputs'!$AH$32,0))))))))))))))))</f>
        <v>0</v>
      </c>
      <c r="N407" s="273" cm="1">
        <f t="array" ref="N407">IFERROR(INDEX('2. GRI Pricing Inputs'!$C$32:$AI$39,MATCH('3. GRI Pricing'!D407,'2. GRI Pricing Inputs'!$C$32:$C$39,0),(MATCH('3. GRI Pricing'!M407,'2. GRI Pricing Inputs'!$D$32:$AI$32,0)+1)),0)</f>
        <v>0</v>
      </c>
      <c r="O407" s="273">
        <f>IFERROR(INDEX('2. GRI Pricing Inputs'!$C$45:$AI$46,MATCH($O$16,'2. GRI Pricing Inputs'!$C$45:$C$46,0),MATCH(G407,'2. GRI Pricing Inputs'!$C$45:$AI$45,0)),0)</f>
        <v>0</v>
      </c>
      <c r="P407" s="273">
        <f>IFERROR(INDEX('2. GRI Pricing Inputs'!$C$53:$AI$54,MATCH('3. GRI Pricing'!$P$16,'2. GRI Pricing Inputs'!$C$53:$C$54,0),MATCH('3. GRI Pricing'!H407,'2. GRI Pricing Inputs'!$C$53:$AI$53,0)),0)</f>
        <v>0</v>
      </c>
      <c r="Q407" s="273">
        <f>IFERROR(INDEX('2. GRI Pricing Inputs'!$C$60:$AI$61,MATCH('3. GRI Pricing'!$Q$16,'2. GRI Pricing Inputs'!$C$60:$C$61,0),MATCH('1. Accomodation'!T411,'2. GRI Pricing Inputs'!$C$60:$AI$60,0)),0)</f>
        <v>0</v>
      </c>
      <c r="R407" s="273">
        <f>IFERROR(INDEX('2. GRI Pricing Inputs'!$C$67:$AI$68,MATCH('3. GRI Pricing'!$R$16,'2. GRI Pricing Inputs'!$C$67:$C$68,0),MATCH('1. Accomodation'!U411,'2. GRI Pricing Inputs'!$C$67:$AI$67,0)),0)</f>
        <v>0</v>
      </c>
      <c r="S407" s="273">
        <f>IF(D407=0,0,'2. GRI Pricing Inputs'!$AI$75)</f>
        <v>0</v>
      </c>
      <c r="T407" s="273">
        <f>IFERROR(INDEX('2. GRI Pricing Inputs'!$C$82:$AI$83,MATCH('3. GRI Pricing'!$T$16,'2. GRI Pricing Inputs'!$C$82:$C$83,0),MATCH('1. Accomodation'!V411,'2. GRI Pricing Inputs'!$C$82:$AI$82,0)),0)</f>
        <v>0</v>
      </c>
      <c r="U407" s="273">
        <f>IFERROR(INDEX('2. GRI Pricing Inputs'!$C$89:$AI$90,MATCH('3. GRI Pricing'!$U$16,'2. GRI Pricing Inputs'!$C$89:$C$90,0),MATCH('1. Accomodation'!W411,'2. GRI Pricing Inputs'!$C$89:$AI$89,0)),0)</f>
        <v>0</v>
      </c>
      <c r="V407" s="273">
        <f>IFERROR(INDEX('2. GRI Pricing Inputs'!$C$97:$AI$98,MATCH('3. GRI Pricing'!$V$16,'2. GRI Pricing Inputs'!$C$97:$C$98,0),MATCH('1. Accomodation'!X411,'2. GRI Pricing Inputs'!$C$97:$AI$97,0)),0)</f>
        <v>0</v>
      </c>
      <c r="W407" s="273">
        <f>IFERROR(INDEX('2. GRI Pricing Inputs'!$C$104:$AI$105,MATCH('3. GRI Pricing'!$W$16,'2. GRI Pricing Inputs'!$C$104:$C$105,0),MATCH('1. Accomodation'!Y411,'2. GRI Pricing Inputs'!$C$104:$AI$104,0)),0)</f>
        <v>0</v>
      </c>
      <c r="X407" s="274"/>
      <c r="Y407" s="275">
        <f t="shared" si="13"/>
        <v>0</v>
      </c>
      <c r="Z407" s="276"/>
      <c r="AA407" s="276"/>
      <c r="AB407" s="276"/>
      <c r="AC407" s="272">
        <f>Y407*(1+'2. GRI Pricing Inputs'!$D$114)^(($AC$16-$AB$15)/365)</f>
        <v>0</v>
      </c>
      <c r="AD407" s="273">
        <f>AC407*(1+'2. GRI Pricing Inputs'!$D$114)^((AD$16-AC$16)/365)</f>
        <v>0</v>
      </c>
      <c r="AE407" s="273">
        <f>AD407*(1+'2. GRI Pricing Inputs'!$D$114)^((AE$16-AD$16)/365)</f>
        <v>0</v>
      </c>
      <c r="AF407" s="273">
        <f>AE407*(1+'2. GRI Pricing Inputs'!$D$114)^((AF$16-AE$16)/365)</f>
        <v>0</v>
      </c>
      <c r="AG407" s="273">
        <f>AF407*(1+'2. GRI Pricing Inputs'!$D$114)^((AG$16-AF$16)/365)</f>
        <v>0</v>
      </c>
      <c r="AH407" s="273">
        <f>AG407*(1+'2. GRI Pricing Inputs'!$D$114)^((AH$16-AG$16)/365)</f>
        <v>0</v>
      </c>
      <c r="AI407" s="273">
        <f>AH407*(1+'2. GRI Pricing Inputs'!$D$114)^((AI$16-AH$16)/365)</f>
        <v>0</v>
      </c>
      <c r="AJ407" s="273">
        <f>AI407*(1+'2. GRI Pricing Inputs'!$D$114)^((AJ$16-AI$16)/365)</f>
        <v>0</v>
      </c>
      <c r="AK407" s="273">
        <f>AJ407*(1+'2. GRI Pricing Inputs'!$D$114)^((AK$16-AJ$16)/365)</f>
        <v>0</v>
      </c>
      <c r="AL407" s="273">
        <f>AK407*(1+'2. GRI Pricing Inputs'!$D$114)^((AL$16-AK$16)/365)</f>
        <v>0</v>
      </c>
      <c r="AM407" s="273">
        <f>AL407*(1+'2. GRI Pricing Inputs'!$D$114)^((AM$16-AL$16)/365)</f>
        <v>0</v>
      </c>
      <c r="AN407" s="273">
        <f>AM407*(1+'2. GRI Pricing Inputs'!$D$114)^((AN$16-AM$16)/365)</f>
        <v>0</v>
      </c>
      <c r="AO407" s="273">
        <f>AN407*(1+'2. GRI Pricing Inputs'!$D$114)^((AO$16-AN$16)/365)</f>
        <v>0</v>
      </c>
    </row>
    <row r="408" spans="3:41" ht="12" x14ac:dyDescent="0.2">
      <c r="C408" s="76">
        <f>'1. Accomodation'!N412</f>
        <v>0</v>
      </c>
      <c r="D408" s="69">
        <f>'1. Accomodation'!P412</f>
        <v>0</v>
      </c>
      <c r="E408" s="69">
        <f>'1. Accomodation'!Q412</f>
        <v>0</v>
      </c>
      <c r="F408" s="77">
        <f>'1. Accomodation'!O412</f>
        <v>0</v>
      </c>
      <c r="G408" s="69">
        <f>'1. Accomodation'!R412</f>
        <v>0</v>
      </c>
      <c r="H408" s="69">
        <f>'1. Accomodation'!S412</f>
        <v>0</v>
      </c>
      <c r="I408" s="62"/>
      <c r="K408" s="272">
        <f>IFERROR(INDEX('2. GRI Pricing Inputs'!$C$15:$AI$16,MATCH($K$16,'2. GRI Pricing Inputs'!$C$15:$C$16,0),MATCH(D408,'2. GRI Pricing Inputs'!$C$15:$AI$15,0)),0)</f>
        <v>0</v>
      </c>
      <c r="L408" s="273">
        <f>IFERROR(INDEX('2. GRI Pricing Inputs'!$C$22:$AI$23,MATCH($L$16,'2. GRI Pricing Inputs'!$C$22:$C$23,0),MATCH(E408,'2. GRI Pricing Inputs'!$C$22:$AI$22,0)),0)</f>
        <v>0</v>
      </c>
      <c r="M408" s="328">
        <f>IF(AND('3. GRI Pricing'!$F408&gt;='2. GRI Pricing Inputs'!$D$33,'3. GRI Pricing'!$F408&lt;='2. GRI Pricing Inputs'!$E$33),'2. GRI Pricing Inputs'!$D$32,IF(AND('3. GRI Pricing'!$F408&gt;='2. GRI Pricing Inputs'!$F$33,'3. GRI Pricing'!$F408&lt;='2. GRI Pricing Inputs'!$G$33),'2. GRI Pricing Inputs'!$F$32,IF(AND('3. GRI Pricing'!$F408&gt;='2. GRI Pricing Inputs'!$H$33,'3. GRI Pricing'!$F408&lt;='2. GRI Pricing Inputs'!$I$33),'2. GRI Pricing Inputs'!$H$32,IF(AND('3. GRI Pricing'!$F408&gt;='2. GRI Pricing Inputs'!$J$33,'3. GRI Pricing'!$F408&lt;='2. GRI Pricing Inputs'!$K$33),'2. GRI Pricing Inputs'!$J$32,IF(AND('3. GRI Pricing'!$F408&gt;='2. GRI Pricing Inputs'!$L$33,'3. GRI Pricing'!$F408&lt;='2. GRI Pricing Inputs'!$M$33),'2. GRI Pricing Inputs'!$L$32,IF(AND('3. GRI Pricing'!$F408&gt;='2. GRI Pricing Inputs'!$N$33,'3. GRI Pricing'!$F408&lt;='2. GRI Pricing Inputs'!$O$33),'2. GRI Pricing Inputs'!$N$32,IF(AND('3. GRI Pricing'!$F408&gt;='2. GRI Pricing Inputs'!$P$33,'3. GRI Pricing'!$F408&lt;='2. GRI Pricing Inputs'!$Q$33),'2. GRI Pricing Inputs'!$P$32,IF(AND('3. GRI Pricing'!$F408&gt;='2. GRI Pricing Inputs'!$R$33,'3. GRI Pricing'!$F408&lt;='2. GRI Pricing Inputs'!$S$33),'2. GRI Pricing Inputs'!$R$32,IF(AND('3. GRI Pricing'!$F408&gt;='2. GRI Pricing Inputs'!$T$33,'3. GRI Pricing'!$F408&lt;='2. GRI Pricing Inputs'!$U$33),'2. GRI Pricing Inputs'!$T$32,IF(AND('3. GRI Pricing'!$F408&gt;='2. GRI Pricing Inputs'!$V$33,'3. GRI Pricing'!$F408&lt;='2. GRI Pricing Inputs'!$W$33),'2. GRI Pricing Inputs'!$V$32,IF(AND('3. GRI Pricing'!$F408&gt;='2. GRI Pricing Inputs'!$X$33,'3. GRI Pricing'!$F408&lt;='2. GRI Pricing Inputs'!$Y$33),'2. GRI Pricing Inputs'!$X$32,IF(AND('3. GRI Pricing'!$F408&gt;='2. GRI Pricing Inputs'!$Z$33,'3. GRI Pricing'!$F408&lt;='2. GRI Pricing Inputs'!$AA$33),'2. GRI Pricing Inputs'!$Z$32,IF(AND('3. GRI Pricing'!$F408&gt;='2. GRI Pricing Inputs'!$AB$33,'3. GRI Pricing'!$F408&lt;='2. GRI Pricing Inputs'!$AC$33),'2. GRI Pricing Inputs'!$AB$32,IF(AND('3. GRI Pricing'!$F408&gt;='2. GRI Pricing Inputs'!$AD$33,'3. GRI Pricing'!$F408&lt;='2. GRI Pricing Inputs'!$AE$33),'2. GRI Pricing Inputs'!$AD$32,IF(AND('3. GRI Pricing'!$F408&gt;='2. GRI Pricing Inputs'!$AF$33,'3. GRI Pricing'!$F408&lt;='2. GRI Pricing Inputs'!$AG$33),'2. GRI Pricing Inputs'!$AF$32,IF(AND('3. GRI Pricing'!$F408&gt;='2. GRI Pricing Inputs'!$AH$33,'3. GRI Pricing'!$F408&lt;='2. GRI Pricing Inputs'!$AI$33),'2. GRI Pricing Inputs'!$AH$32,0))))))))))))))))</f>
        <v>0</v>
      </c>
      <c r="N408" s="273" cm="1">
        <f t="array" ref="N408">IFERROR(INDEX('2. GRI Pricing Inputs'!$C$32:$AI$39,MATCH('3. GRI Pricing'!D408,'2. GRI Pricing Inputs'!$C$32:$C$39,0),(MATCH('3. GRI Pricing'!M408,'2. GRI Pricing Inputs'!$D$32:$AI$32,0)+1)),0)</f>
        <v>0</v>
      </c>
      <c r="O408" s="273">
        <f>IFERROR(INDEX('2. GRI Pricing Inputs'!$C$45:$AI$46,MATCH($O$16,'2. GRI Pricing Inputs'!$C$45:$C$46,0),MATCH(G408,'2. GRI Pricing Inputs'!$C$45:$AI$45,0)),0)</f>
        <v>0</v>
      </c>
      <c r="P408" s="273">
        <f>IFERROR(INDEX('2. GRI Pricing Inputs'!$C$53:$AI$54,MATCH('3. GRI Pricing'!$P$16,'2. GRI Pricing Inputs'!$C$53:$C$54,0),MATCH('3. GRI Pricing'!H408,'2. GRI Pricing Inputs'!$C$53:$AI$53,0)),0)</f>
        <v>0</v>
      </c>
      <c r="Q408" s="273">
        <f>IFERROR(INDEX('2. GRI Pricing Inputs'!$C$60:$AI$61,MATCH('3. GRI Pricing'!$Q$16,'2. GRI Pricing Inputs'!$C$60:$C$61,0),MATCH('1. Accomodation'!T412,'2. GRI Pricing Inputs'!$C$60:$AI$60,0)),0)</f>
        <v>0</v>
      </c>
      <c r="R408" s="273">
        <f>IFERROR(INDEX('2. GRI Pricing Inputs'!$C$67:$AI$68,MATCH('3. GRI Pricing'!$R$16,'2. GRI Pricing Inputs'!$C$67:$C$68,0),MATCH('1. Accomodation'!U412,'2. GRI Pricing Inputs'!$C$67:$AI$67,0)),0)</f>
        <v>0</v>
      </c>
      <c r="S408" s="273">
        <f>IF(D408=0,0,'2. GRI Pricing Inputs'!$AI$75)</f>
        <v>0</v>
      </c>
      <c r="T408" s="273">
        <f>IFERROR(INDEX('2. GRI Pricing Inputs'!$C$82:$AI$83,MATCH('3. GRI Pricing'!$T$16,'2. GRI Pricing Inputs'!$C$82:$C$83,0),MATCH('1. Accomodation'!V412,'2. GRI Pricing Inputs'!$C$82:$AI$82,0)),0)</f>
        <v>0</v>
      </c>
      <c r="U408" s="273">
        <f>IFERROR(INDEX('2. GRI Pricing Inputs'!$C$89:$AI$90,MATCH('3. GRI Pricing'!$U$16,'2. GRI Pricing Inputs'!$C$89:$C$90,0),MATCH('1. Accomodation'!W412,'2. GRI Pricing Inputs'!$C$89:$AI$89,0)),0)</f>
        <v>0</v>
      </c>
      <c r="V408" s="273">
        <f>IFERROR(INDEX('2. GRI Pricing Inputs'!$C$97:$AI$98,MATCH('3. GRI Pricing'!$V$16,'2. GRI Pricing Inputs'!$C$97:$C$98,0),MATCH('1. Accomodation'!X412,'2. GRI Pricing Inputs'!$C$97:$AI$97,0)),0)</f>
        <v>0</v>
      </c>
      <c r="W408" s="273">
        <f>IFERROR(INDEX('2. GRI Pricing Inputs'!$C$104:$AI$105,MATCH('3. GRI Pricing'!$W$16,'2. GRI Pricing Inputs'!$C$104:$C$105,0),MATCH('1. Accomodation'!Y412,'2. GRI Pricing Inputs'!$C$104:$AI$104,0)),0)</f>
        <v>0</v>
      </c>
      <c r="X408" s="274"/>
      <c r="Y408" s="275">
        <f t="shared" si="13"/>
        <v>0</v>
      </c>
      <c r="Z408" s="276"/>
      <c r="AA408" s="276"/>
      <c r="AB408" s="276"/>
      <c r="AC408" s="272">
        <f>Y408*(1+'2. GRI Pricing Inputs'!$D$114)^(($AC$16-$AB$15)/365)</f>
        <v>0</v>
      </c>
      <c r="AD408" s="273">
        <f>AC408*(1+'2. GRI Pricing Inputs'!$D$114)^((AD$16-AC$16)/365)</f>
        <v>0</v>
      </c>
      <c r="AE408" s="273">
        <f>AD408*(1+'2. GRI Pricing Inputs'!$D$114)^((AE$16-AD$16)/365)</f>
        <v>0</v>
      </c>
      <c r="AF408" s="273">
        <f>AE408*(1+'2. GRI Pricing Inputs'!$D$114)^((AF$16-AE$16)/365)</f>
        <v>0</v>
      </c>
      <c r="AG408" s="273">
        <f>AF408*(1+'2. GRI Pricing Inputs'!$D$114)^((AG$16-AF$16)/365)</f>
        <v>0</v>
      </c>
      <c r="AH408" s="273">
        <f>AG408*(1+'2. GRI Pricing Inputs'!$D$114)^((AH$16-AG$16)/365)</f>
        <v>0</v>
      </c>
      <c r="AI408" s="273">
        <f>AH408*(1+'2. GRI Pricing Inputs'!$D$114)^((AI$16-AH$16)/365)</f>
        <v>0</v>
      </c>
      <c r="AJ408" s="273">
        <f>AI408*(1+'2. GRI Pricing Inputs'!$D$114)^((AJ$16-AI$16)/365)</f>
        <v>0</v>
      </c>
      <c r="AK408" s="273">
        <f>AJ408*(1+'2. GRI Pricing Inputs'!$D$114)^((AK$16-AJ$16)/365)</f>
        <v>0</v>
      </c>
      <c r="AL408" s="273">
        <f>AK408*(1+'2. GRI Pricing Inputs'!$D$114)^((AL$16-AK$16)/365)</f>
        <v>0</v>
      </c>
      <c r="AM408" s="273">
        <f>AL408*(1+'2. GRI Pricing Inputs'!$D$114)^((AM$16-AL$16)/365)</f>
        <v>0</v>
      </c>
      <c r="AN408" s="273">
        <f>AM408*(1+'2. GRI Pricing Inputs'!$D$114)^((AN$16-AM$16)/365)</f>
        <v>0</v>
      </c>
      <c r="AO408" s="273">
        <f>AN408*(1+'2. GRI Pricing Inputs'!$D$114)^((AO$16-AN$16)/365)</f>
        <v>0</v>
      </c>
    </row>
    <row r="409" spans="3:41" ht="12" x14ac:dyDescent="0.2">
      <c r="C409" s="76">
        <f>'1. Accomodation'!N413</f>
        <v>0</v>
      </c>
      <c r="D409" s="69">
        <f>'1. Accomodation'!P413</f>
        <v>0</v>
      </c>
      <c r="E409" s="69">
        <f>'1. Accomodation'!Q413</f>
        <v>0</v>
      </c>
      <c r="F409" s="77">
        <f>'1. Accomodation'!O413</f>
        <v>0</v>
      </c>
      <c r="G409" s="69">
        <f>'1. Accomodation'!R413</f>
        <v>0</v>
      </c>
      <c r="H409" s="69">
        <f>'1. Accomodation'!S413</f>
        <v>0</v>
      </c>
      <c r="I409" s="62"/>
      <c r="K409" s="272">
        <f>IFERROR(INDEX('2. GRI Pricing Inputs'!$C$15:$AI$16,MATCH($K$16,'2. GRI Pricing Inputs'!$C$15:$C$16,0),MATCH(D409,'2. GRI Pricing Inputs'!$C$15:$AI$15,0)),0)</f>
        <v>0</v>
      </c>
      <c r="L409" s="273">
        <f>IFERROR(INDEX('2. GRI Pricing Inputs'!$C$22:$AI$23,MATCH($L$16,'2. GRI Pricing Inputs'!$C$22:$C$23,0),MATCH(E409,'2. GRI Pricing Inputs'!$C$22:$AI$22,0)),0)</f>
        <v>0</v>
      </c>
      <c r="M409" s="328">
        <f>IF(AND('3. GRI Pricing'!$F409&gt;='2. GRI Pricing Inputs'!$D$33,'3. GRI Pricing'!$F409&lt;='2. GRI Pricing Inputs'!$E$33),'2. GRI Pricing Inputs'!$D$32,IF(AND('3. GRI Pricing'!$F409&gt;='2. GRI Pricing Inputs'!$F$33,'3. GRI Pricing'!$F409&lt;='2. GRI Pricing Inputs'!$G$33),'2. GRI Pricing Inputs'!$F$32,IF(AND('3. GRI Pricing'!$F409&gt;='2. GRI Pricing Inputs'!$H$33,'3. GRI Pricing'!$F409&lt;='2. GRI Pricing Inputs'!$I$33),'2. GRI Pricing Inputs'!$H$32,IF(AND('3. GRI Pricing'!$F409&gt;='2. GRI Pricing Inputs'!$J$33,'3. GRI Pricing'!$F409&lt;='2. GRI Pricing Inputs'!$K$33),'2. GRI Pricing Inputs'!$J$32,IF(AND('3. GRI Pricing'!$F409&gt;='2. GRI Pricing Inputs'!$L$33,'3. GRI Pricing'!$F409&lt;='2. GRI Pricing Inputs'!$M$33),'2. GRI Pricing Inputs'!$L$32,IF(AND('3. GRI Pricing'!$F409&gt;='2. GRI Pricing Inputs'!$N$33,'3. GRI Pricing'!$F409&lt;='2. GRI Pricing Inputs'!$O$33),'2. GRI Pricing Inputs'!$N$32,IF(AND('3. GRI Pricing'!$F409&gt;='2. GRI Pricing Inputs'!$P$33,'3. GRI Pricing'!$F409&lt;='2. GRI Pricing Inputs'!$Q$33),'2. GRI Pricing Inputs'!$P$32,IF(AND('3. GRI Pricing'!$F409&gt;='2. GRI Pricing Inputs'!$R$33,'3. GRI Pricing'!$F409&lt;='2. GRI Pricing Inputs'!$S$33),'2. GRI Pricing Inputs'!$R$32,IF(AND('3. GRI Pricing'!$F409&gt;='2. GRI Pricing Inputs'!$T$33,'3. GRI Pricing'!$F409&lt;='2. GRI Pricing Inputs'!$U$33),'2. GRI Pricing Inputs'!$T$32,IF(AND('3. GRI Pricing'!$F409&gt;='2. GRI Pricing Inputs'!$V$33,'3. GRI Pricing'!$F409&lt;='2. GRI Pricing Inputs'!$W$33),'2. GRI Pricing Inputs'!$V$32,IF(AND('3. GRI Pricing'!$F409&gt;='2. GRI Pricing Inputs'!$X$33,'3. GRI Pricing'!$F409&lt;='2. GRI Pricing Inputs'!$Y$33),'2. GRI Pricing Inputs'!$X$32,IF(AND('3. GRI Pricing'!$F409&gt;='2. GRI Pricing Inputs'!$Z$33,'3. GRI Pricing'!$F409&lt;='2. GRI Pricing Inputs'!$AA$33),'2. GRI Pricing Inputs'!$Z$32,IF(AND('3. GRI Pricing'!$F409&gt;='2. GRI Pricing Inputs'!$AB$33,'3. GRI Pricing'!$F409&lt;='2. GRI Pricing Inputs'!$AC$33),'2. GRI Pricing Inputs'!$AB$32,IF(AND('3. GRI Pricing'!$F409&gt;='2. GRI Pricing Inputs'!$AD$33,'3. GRI Pricing'!$F409&lt;='2. GRI Pricing Inputs'!$AE$33),'2. GRI Pricing Inputs'!$AD$32,IF(AND('3. GRI Pricing'!$F409&gt;='2. GRI Pricing Inputs'!$AF$33,'3. GRI Pricing'!$F409&lt;='2. GRI Pricing Inputs'!$AG$33),'2. GRI Pricing Inputs'!$AF$32,IF(AND('3. GRI Pricing'!$F409&gt;='2. GRI Pricing Inputs'!$AH$33,'3. GRI Pricing'!$F409&lt;='2. GRI Pricing Inputs'!$AI$33),'2. GRI Pricing Inputs'!$AH$32,0))))))))))))))))</f>
        <v>0</v>
      </c>
      <c r="N409" s="273" cm="1">
        <f t="array" ref="N409">IFERROR(INDEX('2. GRI Pricing Inputs'!$C$32:$AI$39,MATCH('3. GRI Pricing'!D409,'2. GRI Pricing Inputs'!$C$32:$C$39,0),(MATCH('3. GRI Pricing'!M409,'2. GRI Pricing Inputs'!$D$32:$AI$32,0)+1)),0)</f>
        <v>0</v>
      </c>
      <c r="O409" s="273">
        <f>IFERROR(INDEX('2. GRI Pricing Inputs'!$C$45:$AI$46,MATCH($O$16,'2. GRI Pricing Inputs'!$C$45:$C$46,0),MATCH(G409,'2. GRI Pricing Inputs'!$C$45:$AI$45,0)),0)</f>
        <v>0</v>
      </c>
      <c r="P409" s="273">
        <f>IFERROR(INDEX('2. GRI Pricing Inputs'!$C$53:$AI$54,MATCH('3. GRI Pricing'!$P$16,'2. GRI Pricing Inputs'!$C$53:$C$54,0),MATCH('3. GRI Pricing'!H409,'2. GRI Pricing Inputs'!$C$53:$AI$53,0)),0)</f>
        <v>0</v>
      </c>
      <c r="Q409" s="273">
        <f>IFERROR(INDEX('2. GRI Pricing Inputs'!$C$60:$AI$61,MATCH('3. GRI Pricing'!$Q$16,'2. GRI Pricing Inputs'!$C$60:$C$61,0),MATCH('1. Accomodation'!T413,'2. GRI Pricing Inputs'!$C$60:$AI$60,0)),0)</f>
        <v>0</v>
      </c>
      <c r="R409" s="273">
        <f>IFERROR(INDEX('2. GRI Pricing Inputs'!$C$67:$AI$68,MATCH('3. GRI Pricing'!$R$16,'2. GRI Pricing Inputs'!$C$67:$C$68,0),MATCH('1. Accomodation'!U413,'2. GRI Pricing Inputs'!$C$67:$AI$67,0)),0)</f>
        <v>0</v>
      </c>
      <c r="S409" s="273">
        <f>IF(D409=0,0,'2. GRI Pricing Inputs'!$AI$75)</f>
        <v>0</v>
      </c>
      <c r="T409" s="273">
        <f>IFERROR(INDEX('2. GRI Pricing Inputs'!$C$82:$AI$83,MATCH('3. GRI Pricing'!$T$16,'2. GRI Pricing Inputs'!$C$82:$C$83,0),MATCH('1. Accomodation'!V413,'2. GRI Pricing Inputs'!$C$82:$AI$82,0)),0)</f>
        <v>0</v>
      </c>
      <c r="U409" s="273">
        <f>IFERROR(INDEX('2. GRI Pricing Inputs'!$C$89:$AI$90,MATCH('3. GRI Pricing'!$U$16,'2. GRI Pricing Inputs'!$C$89:$C$90,0),MATCH('1. Accomodation'!W413,'2. GRI Pricing Inputs'!$C$89:$AI$89,0)),0)</f>
        <v>0</v>
      </c>
      <c r="V409" s="273">
        <f>IFERROR(INDEX('2. GRI Pricing Inputs'!$C$97:$AI$98,MATCH('3. GRI Pricing'!$V$16,'2. GRI Pricing Inputs'!$C$97:$C$98,0),MATCH('1. Accomodation'!X413,'2. GRI Pricing Inputs'!$C$97:$AI$97,0)),0)</f>
        <v>0</v>
      </c>
      <c r="W409" s="273">
        <f>IFERROR(INDEX('2. GRI Pricing Inputs'!$C$104:$AI$105,MATCH('3. GRI Pricing'!$W$16,'2. GRI Pricing Inputs'!$C$104:$C$105,0),MATCH('1. Accomodation'!Y413,'2. GRI Pricing Inputs'!$C$104:$AI$104,0)),0)</f>
        <v>0</v>
      </c>
      <c r="X409" s="274"/>
      <c r="Y409" s="275">
        <f t="shared" si="13"/>
        <v>0</v>
      </c>
      <c r="Z409" s="276"/>
      <c r="AA409" s="276"/>
      <c r="AB409" s="276"/>
      <c r="AC409" s="272">
        <f>Y409*(1+'2. GRI Pricing Inputs'!$D$114)^(($AC$16-$AB$15)/365)</f>
        <v>0</v>
      </c>
      <c r="AD409" s="273">
        <f>AC409*(1+'2. GRI Pricing Inputs'!$D$114)^((AD$16-AC$16)/365)</f>
        <v>0</v>
      </c>
      <c r="AE409" s="273">
        <f>AD409*(1+'2. GRI Pricing Inputs'!$D$114)^((AE$16-AD$16)/365)</f>
        <v>0</v>
      </c>
      <c r="AF409" s="273">
        <f>AE409*(1+'2. GRI Pricing Inputs'!$D$114)^((AF$16-AE$16)/365)</f>
        <v>0</v>
      </c>
      <c r="AG409" s="273">
        <f>AF409*(1+'2. GRI Pricing Inputs'!$D$114)^((AG$16-AF$16)/365)</f>
        <v>0</v>
      </c>
      <c r="AH409" s="273">
        <f>AG409*(1+'2. GRI Pricing Inputs'!$D$114)^((AH$16-AG$16)/365)</f>
        <v>0</v>
      </c>
      <c r="AI409" s="273">
        <f>AH409*(1+'2. GRI Pricing Inputs'!$D$114)^((AI$16-AH$16)/365)</f>
        <v>0</v>
      </c>
      <c r="AJ409" s="273">
        <f>AI409*(1+'2. GRI Pricing Inputs'!$D$114)^((AJ$16-AI$16)/365)</f>
        <v>0</v>
      </c>
      <c r="AK409" s="273">
        <f>AJ409*(1+'2. GRI Pricing Inputs'!$D$114)^((AK$16-AJ$16)/365)</f>
        <v>0</v>
      </c>
      <c r="AL409" s="273">
        <f>AK409*(1+'2. GRI Pricing Inputs'!$D$114)^((AL$16-AK$16)/365)</f>
        <v>0</v>
      </c>
      <c r="AM409" s="273">
        <f>AL409*(1+'2. GRI Pricing Inputs'!$D$114)^((AM$16-AL$16)/365)</f>
        <v>0</v>
      </c>
      <c r="AN409" s="273">
        <f>AM409*(1+'2. GRI Pricing Inputs'!$D$114)^((AN$16-AM$16)/365)</f>
        <v>0</v>
      </c>
      <c r="AO409" s="273">
        <f>AN409*(1+'2. GRI Pricing Inputs'!$D$114)^((AO$16-AN$16)/365)</f>
        <v>0</v>
      </c>
    </row>
    <row r="410" spans="3:41" ht="12" x14ac:dyDescent="0.2">
      <c r="C410" s="76">
        <f>'1. Accomodation'!N414</f>
        <v>0</v>
      </c>
      <c r="D410" s="69">
        <f>'1. Accomodation'!P414</f>
        <v>0</v>
      </c>
      <c r="E410" s="69">
        <f>'1. Accomodation'!Q414</f>
        <v>0</v>
      </c>
      <c r="F410" s="77">
        <f>'1. Accomodation'!O414</f>
        <v>0</v>
      </c>
      <c r="G410" s="69">
        <f>'1. Accomodation'!R414</f>
        <v>0</v>
      </c>
      <c r="H410" s="69">
        <f>'1. Accomodation'!S414</f>
        <v>0</v>
      </c>
      <c r="I410" s="62"/>
      <c r="K410" s="272">
        <f>IFERROR(INDEX('2. GRI Pricing Inputs'!$C$15:$AI$16,MATCH($K$16,'2. GRI Pricing Inputs'!$C$15:$C$16,0),MATCH(D410,'2. GRI Pricing Inputs'!$C$15:$AI$15,0)),0)</f>
        <v>0</v>
      </c>
      <c r="L410" s="273">
        <f>IFERROR(INDEX('2. GRI Pricing Inputs'!$C$22:$AI$23,MATCH($L$16,'2. GRI Pricing Inputs'!$C$22:$C$23,0),MATCH(E410,'2. GRI Pricing Inputs'!$C$22:$AI$22,0)),0)</f>
        <v>0</v>
      </c>
      <c r="M410" s="328">
        <f>IF(AND('3. GRI Pricing'!$F410&gt;='2. GRI Pricing Inputs'!$D$33,'3. GRI Pricing'!$F410&lt;='2. GRI Pricing Inputs'!$E$33),'2. GRI Pricing Inputs'!$D$32,IF(AND('3. GRI Pricing'!$F410&gt;='2. GRI Pricing Inputs'!$F$33,'3. GRI Pricing'!$F410&lt;='2. GRI Pricing Inputs'!$G$33),'2. GRI Pricing Inputs'!$F$32,IF(AND('3. GRI Pricing'!$F410&gt;='2. GRI Pricing Inputs'!$H$33,'3. GRI Pricing'!$F410&lt;='2. GRI Pricing Inputs'!$I$33),'2. GRI Pricing Inputs'!$H$32,IF(AND('3. GRI Pricing'!$F410&gt;='2. GRI Pricing Inputs'!$J$33,'3. GRI Pricing'!$F410&lt;='2. GRI Pricing Inputs'!$K$33),'2. GRI Pricing Inputs'!$J$32,IF(AND('3. GRI Pricing'!$F410&gt;='2. GRI Pricing Inputs'!$L$33,'3. GRI Pricing'!$F410&lt;='2. GRI Pricing Inputs'!$M$33),'2. GRI Pricing Inputs'!$L$32,IF(AND('3. GRI Pricing'!$F410&gt;='2. GRI Pricing Inputs'!$N$33,'3. GRI Pricing'!$F410&lt;='2. GRI Pricing Inputs'!$O$33),'2. GRI Pricing Inputs'!$N$32,IF(AND('3. GRI Pricing'!$F410&gt;='2. GRI Pricing Inputs'!$P$33,'3. GRI Pricing'!$F410&lt;='2. GRI Pricing Inputs'!$Q$33),'2. GRI Pricing Inputs'!$P$32,IF(AND('3. GRI Pricing'!$F410&gt;='2. GRI Pricing Inputs'!$R$33,'3. GRI Pricing'!$F410&lt;='2. GRI Pricing Inputs'!$S$33),'2. GRI Pricing Inputs'!$R$32,IF(AND('3. GRI Pricing'!$F410&gt;='2. GRI Pricing Inputs'!$T$33,'3. GRI Pricing'!$F410&lt;='2. GRI Pricing Inputs'!$U$33),'2. GRI Pricing Inputs'!$T$32,IF(AND('3. GRI Pricing'!$F410&gt;='2. GRI Pricing Inputs'!$V$33,'3. GRI Pricing'!$F410&lt;='2. GRI Pricing Inputs'!$W$33),'2. GRI Pricing Inputs'!$V$32,IF(AND('3. GRI Pricing'!$F410&gt;='2. GRI Pricing Inputs'!$X$33,'3. GRI Pricing'!$F410&lt;='2. GRI Pricing Inputs'!$Y$33),'2. GRI Pricing Inputs'!$X$32,IF(AND('3. GRI Pricing'!$F410&gt;='2. GRI Pricing Inputs'!$Z$33,'3. GRI Pricing'!$F410&lt;='2. GRI Pricing Inputs'!$AA$33),'2. GRI Pricing Inputs'!$Z$32,IF(AND('3. GRI Pricing'!$F410&gt;='2. GRI Pricing Inputs'!$AB$33,'3. GRI Pricing'!$F410&lt;='2. GRI Pricing Inputs'!$AC$33),'2. GRI Pricing Inputs'!$AB$32,IF(AND('3. GRI Pricing'!$F410&gt;='2. GRI Pricing Inputs'!$AD$33,'3. GRI Pricing'!$F410&lt;='2. GRI Pricing Inputs'!$AE$33),'2. GRI Pricing Inputs'!$AD$32,IF(AND('3. GRI Pricing'!$F410&gt;='2. GRI Pricing Inputs'!$AF$33,'3. GRI Pricing'!$F410&lt;='2. GRI Pricing Inputs'!$AG$33),'2. GRI Pricing Inputs'!$AF$32,IF(AND('3. GRI Pricing'!$F410&gt;='2. GRI Pricing Inputs'!$AH$33,'3. GRI Pricing'!$F410&lt;='2. GRI Pricing Inputs'!$AI$33),'2. GRI Pricing Inputs'!$AH$32,0))))))))))))))))</f>
        <v>0</v>
      </c>
      <c r="N410" s="273" cm="1">
        <f t="array" ref="N410">IFERROR(INDEX('2. GRI Pricing Inputs'!$C$32:$AI$39,MATCH('3. GRI Pricing'!D410,'2. GRI Pricing Inputs'!$C$32:$C$39,0),(MATCH('3. GRI Pricing'!M410,'2. GRI Pricing Inputs'!$D$32:$AI$32,0)+1)),0)</f>
        <v>0</v>
      </c>
      <c r="O410" s="273">
        <f>IFERROR(INDEX('2. GRI Pricing Inputs'!$C$45:$AI$46,MATCH($O$16,'2. GRI Pricing Inputs'!$C$45:$C$46,0),MATCH(G410,'2. GRI Pricing Inputs'!$C$45:$AI$45,0)),0)</f>
        <v>0</v>
      </c>
      <c r="P410" s="273">
        <f>IFERROR(INDEX('2. GRI Pricing Inputs'!$C$53:$AI$54,MATCH('3. GRI Pricing'!$P$16,'2. GRI Pricing Inputs'!$C$53:$C$54,0),MATCH('3. GRI Pricing'!H410,'2. GRI Pricing Inputs'!$C$53:$AI$53,0)),0)</f>
        <v>0</v>
      </c>
      <c r="Q410" s="273">
        <f>IFERROR(INDEX('2. GRI Pricing Inputs'!$C$60:$AI$61,MATCH('3. GRI Pricing'!$Q$16,'2. GRI Pricing Inputs'!$C$60:$C$61,0),MATCH('1. Accomodation'!T414,'2. GRI Pricing Inputs'!$C$60:$AI$60,0)),0)</f>
        <v>0</v>
      </c>
      <c r="R410" s="273">
        <f>IFERROR(INDEX('2. GRI Pricing Inputs'!$C$67:$AI$68,MATCH('3. GRI Pricing'!$R$16,'2. GRI Pricing Inputs'!$C$67:$C$68,0),MATCH('1. Accomodation'!U414,'2. GRI Pricing Inputs'!$C$67:$AI$67,0)),0)</f>
        <v>0</v>
      </c>
      <c r="S410" s="273">
        <f>IF(D410=0,0,'2. GRI Pricing Inputs'!$AI$75)</f>
        <v>0</v>
      </c>
      <c r="T410" s="273">
        <f>IFERROR(INDEX('2. GRI Pricing Inputs'!$C$82:$AI$83,MATCH('3. GRI Pricing'!$T$16,'2. GRI Pricing Inputs'!$C$82:$C$83,0),MATCH('1. Accomodation'!V414,'2. GRI Pricing Inputs'!$C$82:$AI$82,0)),0)</f>
        <v>0</v>
      </c>
      <c r="U410" s="273">
        <f>IFERROR(INDEX('2. GRI Pricing Inputs'!$C$89:$AI$90,MATCH('3. GRI Pricing'!$U$16,'2. GRI Pricing Inputs'!$C$89:$C$90,0),MATCH('1. Accomodation'!W414,'2. GRI Pricing Inputs'!$C$89:$AI$89,0)),0)</f>
        <v>0</v>
      </c>
      <c r="V410" s="273">
        <f>IFERROR(INDEX('2. GRI Pricing Inputs'!$C$97:$AI$98,MATCH('3. GRI Pricing'!$V$16,'2. GRI Pricing Inputs'!$C$97:$C$98,0),MATCH('1. Accomodation'!X414,'2. GRI Pricing Inputs'!$C$97:$AI$97,0)),0)</f>
        <v>0</v>
      </c>
      <c r="W410" s="273">
        <f>IFERROR(INDEX('2. GRI Pricing Inputs'!$C$104:$AI$105,MATCH('3. GRI Pricing'!$W$16,'2. GRI Pricing Inputs'!$C$104:$C$105,0),MATCH('1. Accomodation'!Y414,'2. GRI Pricing Inputs'!$C$104:$AI$104,0)),0)</f>
        <v>0</v>
      </c>
      <c r="X410" s="274"/>
      <c r="Y410" s="275">
        <f t="shared" si="13"/>
        <v>0</v>
      </c>
      <c r="Z410" s="276"/>
      <c r="AA410" s="276"/>
      <c r="AB410" s="276"/>
      <c r="AC410" s="272">
        <f>Y410*(1+'2. GRI Pricing Inputs'!$D$114)^(($AC$16-$AB$15)/365)</f>
        <v>0</v>
      </c>
      <c r="AD410" s="273">
        <f>AC410*(1+'2. GRI Pricing Inputs'!$D$114)^((AD$16-AC$16)/365)</f>
        <v>0</v>
      </c>
      <c r="AE410" s="273">
        <f>AD410*(1+'2. GRI Pricing Inputs'!$D$114)^((AE$16-AD$16)/365)</f>
        <v>0</v>
      </c>
      <c r="AF410" s="273">
        <f>AE410*(1+'2. GRI Pricing Inputs'!$D$114)^((AF$16-AE$16)/365)</f>
        <v>0</v>
      </c>
      <c r="AG410" s="273">
        <f>AF410*(1+'2. GRI Pricing Inputs'!$D$114)^((AG$16-AF$16)/365)</f>
        <v>0</v>
      </c>
      <c r="AH410" s="273">
        <f>AG410*(1+'2. GRI Pricing Inputs'!$D$114)^((AH$16-AG$16)/365)</f>
        <v>0</v>
      </c>
      <c r="AI410" s="273">
        <f>AH410*(1+'2. GRI Pricing Inputs'!$D$114)^((AI$16-AH$16)/365)</f>
        <v>0</v>
      </c>
      <c r="AJ410" s="273">
        <f>AI410*(1+'2. GRI Pricing Inputs'!$D$114)^((AJ$16-AI$16)/365)</f>
        <v>0</v>
      </c>
      <c r="AK410" s="273">
        <f>AJ410*(1+'2. GRI Pricing Inputs'!$D$114)^((AK$16-AJ$16)/365)</f>
        <v>0</v>
      </c>
      <c r="AL410" s="273">
        <f>AK410*(1+'2. GRI Pricing Inputs'!$D$114)^((AL$16-AK$16)/365)</f>
        <v>0</v>
      </c>
      <c r="AM410" s="273">
        <f>AL410*(1+'2. GRI Pricing Inputs'!$D$114)^((AM$16-AL$16)/365)</f>
        <v>0</v>
      </c>
      <c r="AN410" s="273">
        <f>AM410*(1+'2. GRI Pricing Inputs'!$D$114)^((AN$16-AM$16)/365)</f>
        <v>0</v>
      </c>
      <c r="AO410" s="273">
        <f>AN410*(1+'2. GRI Pricing Inputs'!$D$114)^((AO$16-AN$16)/365)</f>
        <v>0</v>
      </c>
    </row>
    <row r="411" spans="3:41" ht="12" x14ac:dyDescent="0.2">
      <c r="C411" s="76">
        <f>'1. Accomodation'!N415</f>
        <v>0</v>
      </c>
      <c r="D411" s="69">
        <f>'1. Accomodation'!P415</f>
        <v>0</v>
      </c>
      <c r="E411" s="69">
        <f>'1. Accomodation'!Q415</f>
        <v>0</v>
      </c>
      <c r="F411" s="77">
        <f>'1. Accomodation'!O415</f>
        <v>0</v>
      </c>
      <c r="G411" s="69">
        <f>'1. Accomodation'!R415</f>
        <v>0</v>
      </c>
      <c r="H411" s="69">
        <f>'1. Accomodation'!S415</f>
        <v>0</v>
      </c>
      <c r="I411" s="62"/>
      <c r="K411" s="272">
        <f>IFERROR(INDEX('2. GRI Pricing Inputs'!$C$15:$AI$16,MATCH($K$16,'2. GRI Pricing Inputs'!$C$15:$C$16,0),MATCH(D411,'2. GRI Pricing Inputs'!$C$15:$AI$15,0)),0)</f>
        <v>0</v>
      </c>
      <c r="L411" s="273">
        <f>IFERROR(INDEX('2. GRI Pricing Inputs'!$C$22:$AI$23,MATCH($L$16,'2. GRI Pricing Inputs'!$C$22:$C$23,0),MATCH(E411,'2. GRI Pricing Inputs'!$C$22:$AI$22,0)),0)</f>
        <v>0</v>
      </c>
      <c r="M411" s="328">
        <f>IF(AND('3. GRI Pricing'!$F411&gt;='2. GRI Pricing Inputs'!$D$33,'3. GRI Pricing'!$F411&lt;='2. GRI Pricing Inputs'!$E$33),'2. GRI Pricing Inputs'!$D$32,IF(AND('3. GRI Pricing'!$F411&gt;='2. GRI Pricing Inputs'!$F$33,'3. GRI Pricing'!$F411&lt;='2. GRI Pricing Inputs'!$G$33),'2. GRI Pricing Inputs'!$F$32,IF(AND('3. GRI Pricing'!$F411&gt;='2. GRI Pricing Inputs'!$H$33,'3. GRI Pricing'!$F411&lt;='2. GRI Pricing Inputs'!$I$33),'2. GRI Pricing Inputs'!$H$32,IF(AND('3. GRI Pricing'!$F411&gt;='2. GRI Pricing Inputs'!$J$33,'3. GRI Pricing'!$F411&lt;='2. GRI Pricing Inputs'!$K$33),'2. GRI Pricing Inputs'!$J$32,IF(AND('3. GRI Pricing'!$F411&gt;='2. GRI Pricing Inputs'!$L$33,'3. GRI Pricing'!$F411&lt;='2. GRI Pricing Inputs'!$M$33),'2. GRI Pricing Inputs'!$L$32,IF(AND('3. GRI Pricing'!$F411&gt;='2. GRI Pricing Inputs'!$N$33,'3. GRI Pricing'!$F411&lt;='2. GRI Pricing Inputs'!$O$33),'2. GRI Pricing Inputs'!$N$32,IF(AND('3. GRI Pricing'!$F411&gt;='2. GRI Pricing Inputs'!$P$33,'3. GRI Pricing'!$F411&lt;='2. GRI Pricing Inputs'!$Q$33),'2. GRI Pricing Inputs'!$P$32,IF(AND('3. GRI Pricing'!$F411&gt;='2. GRI Pricing Inputs'!$R$33,'3. GRI Pricing'!$F411&lt;='2. GRI Pricing Inputs'!$S$33),'2. GRI Pricing Inputs'!$R$32,IF(AND('3. GRI Pricing'!$F411&gt;='2. GRI Pricing Inputs'!$T$33,'3. GRI Pricing'!$F411&lt;='2. GRI Pricing Inputs'!$U$33),'2. GRI Pricing Inputs'!$T$32,IF(AND('3. GRI Pricing'!$F411&gt;='2. GRI Pricing Inputs'!$V$33,'3. GRI Pricing'!$F411&lt;='2. GRI Pricing Inputs'!$W$33),'2. GRI Pricing Inputs'!$V$32,IF(AND('3. GRI Pricing'!$F411&gt;='2. GRI Pricing Inputs'!$X$33,'3. GRI Pricing'!$F411&lt;='2. GRI Pricing Inputs'!$Y$33),'2. GRI Pricing Inputs'!$X$32,IF(AND('3. GRI Pricing'!$F411&gt;='2. GRI Pricing Inputs'!$Z$33,'3. GRI Pricing'!$F411&lt;='2. GRI Pricing Inputs'!$AA$33),'2. GRI Pricing Inputs'!$Z$32,IF(AND('3. GRI Pricing'!$F411&gt;='2. GRI Pricing Inputs'!$AB$33,'3. GRI Pricing'!$F411&lt;='2. GRI Pricing Inputs'!$AC$33),'2. GRI Pricing Inputs'!$AB$32,IF(AND('3. GRI Pricing'!$F411&gt;='2. GRI Pricing Inputs'!$AD$33,'3. GRI Pricing'!$F411&lt;='2. GRI Pricing Inputs'!$AE$33),'2. GRI Pricing Inputs'!$AD$32,IF(AND('3. GRI Pricing'!$F411&gt;='2. GRI Pricing Inputs'!$AF$33,'3. GRI Pricing'!$F411&lt;='2. GRI Pricing Inputs'!$AG$33),'2. GRI Pricing Inputs'!$AF$32,IF(AND('3. GRI Pricing'!$F411&gt;='2. GRI Pricing Inputs'!$AH$33,'3. GRI Pricing'!$F411&lt;='2. GRI Pricing Inputs'!$AI$33),'2. GRI Pricing Inputs'!$AH$32,0))))))))))))))))</f>
        <v>0</v>
      </c>
      <c r="N411" s="273" cm="1">
        <f t="array" ref="N411">IFERROR(INDEX('2. GRI Pricing Inputs'!$C$32:$AI$39,MATCH('3. GRI Pricing'!D411,'2. GRI Pricing Inputs'!$C$32:$C$39,0),(MATCH('3. GRI Pricing'!M411,'2. GRI Pricing Inputs'!$D$32:$AI$32,0)+1)),0)</f>
        <v>0</v>
      </c>
      <c r="O411" s="273">
        <f>IFERROR(INDEX('2. GRI Pricing Inputs'!$C$45:$AI$46,MATCH($O$16,'2. GRI Pricing Inputs'!$C$45:$C$46,0),MATCH(G411,'2. GRI Pricing Inputs'!$C$45:$AI$45,0)),0)</f>
        <v>0</v>
      </c>
      <c r="P411" s="273">
        <f>IFERROR(INDEX('2. GRI Pricing Inputs'!$C$53:$AI$54,MATCH('3. GRI Pricing'!$P$16,'2. GRI Pricing Inputs'!$C$53:$C$54,0),MATCH('3. GRI Pricing'!H411,'2. GRI Pricing Inputs'!$C$53:$AI$53,0)),0)</f>
        <v>0</v>
      </c>
      <c r="Q411" s="273">
        <f>IFERROR(INDEX('2. GRI Pricing Inputs'!$C$60:$AI$61,MATCH('3. GRI Pricing'!$Q$16,'2. GRI Pricing Inputs'!$C$60:$C$61,0),MATCH('1. Accomodation'!T415,'2. GRI Pricing Inputs'!$C$60:$AI$60,0)),0)</f>
        <v>0</v>
      </c>
      <c r="R411" s="273">
        <f>IFERROR(INDEX('2. GRI Pricing Inputs'!$C$67:$AI$68,MATCH('3. GRI Pricing'!$R$16,'2. GRI Pricing Inputs'!$C$67:$C$68,0),MATCH('1. Accomodation'!U415,'2. GRI Pricing Inputs'!$C$67:$AI$67,0)),0)</f>
        <v>0</v>
      </c>
      <c r="S411" s="273">
        <f>IF(D411=0,0,'2. GRI Pricing Inputs'!$AI$75)</f>
        <v>0</v>
      </c>
      <c r="T411" s="273">
        <f>IFERROR(INDEX('2. GRI Pricing Inputs'!$C$82:$AI$83,MATCH('3. GRI Pricing'!$T$16,'2. GRI Pricing Inputs'!$C$82:$C$83,0),MATCH('1. Accomodation'!V415,'2. GRI Pricing Inputs'!$C$82:$AI$82,0)),0)</f>
        <v>0</v>
      </c>
      <c r="U411" s="273">
        <f>IFERROR(INDEX('2. GRI Pricing Inputs'!$C$89:$AI$90,MATCH('3. GRI Pricing'!$U$16,'2. GRI Pricing Inputs'!$C$89:$C$90,0),MATCH('1. Accomodation'!W415,'2. GRI Pricing Inputs'!$C$89:$AI$89,0)),0)</f>
        <v>0</v>
      </c>
      <c r="V411" s="273">
        <f>IFERROR(INDEX('2. GRI Pricing Inputs'!$C$97:$AI$98,MATCH('3. GRI Pricing'!$V$16,'2. GRI Pricing Inputs'!$C$97:$C$98,0),MATCH('1. Accomodation'!X415,'2. GRI Pricing Inputs'!$C$97:$AI$97,0)),0)</f>
        <v>0</v>
      </c>
      <c r="W411" s="273">
        <f>IFERROR(INDEX('2. GRI Pricing Inputs'!$C$104:$AI$105,MATCH('3. GRI Pricing'!$W$16,'2. GRI Pricing Inputs'!$C$104:$C$105,0),MATCH('1. Accomodation'!Y415,'2. GRI Pricing Inputs'!$C$104:$AI$104,0)),0)</f>
        <v>0</v>
      </c>
      <c r="X411" s="274"/>
      <c r="Y411" s="275">
        <f t="shared" si="13"/>
        <v>0</v>
      </c>
      <c r="Z411" s="276"/>
      <c r="AA411" s="276"/>
      <c r="AB411" s="276"/>
      <c r="AC411" s="272">
        <f>Y411*(1+'2. GRI Pricing Inputs'!$D$114)^(($AC$16-$AB$15)/365)</f>
        <v>0</v>
      </c>
      <c r="AD411" s="273">
        <f>AC411*(1+'2. GRI Pricing Inputs'!$D$114)^((AD$16-AC$16)/365)</f>
        <v>0</v>
      </c>
      <c r="AE411" s="273">
        <f>AD411*(1+'2. GRI Pricing Inputs'!$D$114)^((AE$16-AD$16)/365)</f>
        <v>0</v>
      </c>
      <c r="AF411" s="273">
        <f>AE411*(1+'2. GRI Pricing Inputs'!$D$114)^((AF$16-AE$16)/365)</f>
        <v>0</v>
      </c>
      <c r="AG411" s="273">
        <f>AF411*(1+'2. GRI Pricing Inputs'!$D$114)^((AG$16-AF$16)/365)</f>
        <v>0</v>
      </c>
      <c r="AH411" s="273">
        <f>AG411*(1+'2. GRI Pricing Inputs'!$D$114)^((AH$16-AG$16)/365)</f>
        <v>0</v>
      </c>
      <c r="AI411" s="273">
        <f>AH411*(1+'2. GRI Pricing Inputs'!$D$114)^((AI$16-AH$16)/365)</f>
        <v>0</v>
      </c>
      <c r="AJ411" s="273">
        <f>AI411*(1+'2. GRI Pricing Inputs'!$D$114)^((AJ$16-AI$16)/365)</f>
        <v>0</v>
      </c>
      <c r="AK411" s="273">
        <f>AJ411*(1+'2. GRI Pricing Inputs'!$D$114)^((AK$16-AJ$16)/365)</f>
        <v>0</v>
      </c>
      <c r="AL411" s="273">
        <f>AK411*(1+'2. GRI Pricing Inputs'!$D$114)^((AL$16-AK$16)/365)</f>
        <v>0</v>
      </c>
      <c r="AM411" s="273">
        <f>AL411*(1+'2. GRI Pricing Inputs'!$D$114)^((AM$16-AL$16)/365)</f>
        <v>0</v>
      </c>
      <c r="AN411" s="273">
        <f>AM411*(1+'2. GRI Pricing Inputs'!$D$114)^((AN$16-AM$16)/365)</f>
        <v>0</v>
      </c>
      <c r="AO411" s="273">
        <f>AN411*(1+'2. GRI Pricing Inputs'!$D$114)^((AO$16-AN$16)/365)</f>
        <v>0</v>
      </c>
    </row>
    <row r="412" spans="3:41" ht="12" x14ac:dyDescent="0.2">
      <c r="C412" s="76">
        <f>'1. Accomodation'!N416</f>
        <v>0</v>
      </c>
      <c r="D412" s="69">
        <f>'1. Accomodation'!P416</f>
        <v>0</v>
      </c>
      <c r="E412" s="69">
        <f>'1. Accomodation'!Q416</f>
        <v>0</v>
      </c>
      <c r="F412" s="77">
        <f>'1. Accomodation'!O416</f>
        <v>0</v>
      </c>
      <c r="G412" s="69">
        <f>'1. Accomodation'!R416</f>
        <v>0</v>
      </c>
      <c r="H412" s="69">
        <f>'1. Accomodation'!S416</f>
        <v>0</v>
      </c>
      <c r="I412" s="62"/>
      <c r="K412" s="272">
        <f>IFERROR(INDEX('2. GRI Pricing Inputs'!$C$15:$AI$16,MATCH($K$16,'2. GRI Pricing Inputs'!$C$15:$C$16,0),MATCH(D412,'2. GRI Pricing Inputs'!$C$15:$AI$15,0)),0)</f>
        <v>0</v>
      </c>
      <c r="L412" s="273">
        <f>IFERROR(INDEX('2. GRI Pricing Inputs'!$C$22:$AI$23,MATCH($L$16,'2. GRI Pricing Inputs'!$C$22:$C$23,0),MATCH(E412,'2. GRI Pricing Inputs'!$C$22:$AI$22,0)),0)</f>
        <v>0</v>
      </c>
      <c r="M412" s="328">
        <f>IF(AND('3. GRI Pricing'!$F412&gt;='2. GRI Pricing Inputs'!$D$33,'3. GRI Pricing'!$F412&lt;='2. GRI Pricing Inputs'!$E$33),'2. GRI Pricing Inputs'!$D$32,IF(AND('3. GRI Pricing'!$F412&gt;='2. GRI Pricing Inputs'!$F$33,'3. GRI Pricing'!$F412&lt;='2. GRI Pricing Inputs'!$G$33),'2. GRI Pricing Inputs'!$F$32,IF(AND('3. GRI Pricing'!$F412&gt;='2. GRI Pricing Inputs'!$H$33,'3. GRI Pricing'!$F412&lt;='2. GRI Pricing Inputs'!$I$33),'2. GRI Pricing Inputs'!$H$32,IF(AND('3. GRI Pricing'!$F412&gt;='2. GRI Pricing Inputs'!$J$33,'3. GRI Pricing'!$F412&lt;='2. GRI Pricing Inputs'!$K$33),'2. GRI Pricing Inputs'!$J$32,IF(AND('3. GRI Pricing'!$F412&gt;='2. GRI Pricing Inputs'!$L$33,'3. GRI Pricing'!$F412&lt;='2. GRI Pricing Inputs'!$M$33),'2. GRI Pricing Inputs'!$L$32,IF(AND('3. GRI Pricing'!$F412&gt;='2. GRI Pricing Inputs'!$N$33,'3. GRI Pricing'!$F412&lt;='2. GRI Pricing Inputs'!$O$33),'2. GRI Pricing Inputs'!$N$32,IF(AND('3. GRI Pricing'!$F412&gt;='2. GRI Pricing Inputs'!$P$33,'3. GRI Pricing'!$F412&lt;='2. GRI Pricing Inputs'!$Q$33),'2. GRI Pricing Inputs'!$P$32,IF(AND('3. GRI Pricing'!$F412&gt;='2. GRI Pricing Inputs'!$R$33,'3. GRI Pricing'!$F412&lt;='2. GRI Pricing Inputs'!$S$33),'2. GRI Pricing Inputs'!$R$32,IF(AND('3. GRI Pricing'!$F412&gt;='2. GRI Pricing Inputs'!$T$33,'3. GRI Pricing'!$F412&lt;='2. GRI Pricing Inputs'!$U$33),'2. GRI Pricing Inputs'!$T$32,IF(AND('3. GRI Pricing'!$F412&gt;='2. GRI Pricing Inputs'!$V$33,'3. GRI Pricing'!$F412&lt;='2. GRI Pricing Inputs'!$W$33),'2. GRI Pricing Inputs'!$V$32,IF(AND('3. GRI Pricing'!$F412&gt;='2. GRI Pricing Inputs'!$X$33,'3. GRI Pricing'!$F412&lt;='2. GRI Pricing Inputs'!$Y$33),'2. GRI Pricing Inputs'!$X$32,IF(AND('3. GRI Pricing'!$F412&gt;='2. GRI Pricing Inputs'!$Z$33,'3. GRI Pricing'!$F412&lt;='2. GRI Pricing Inputs'!$AA$33),'2. GRI Pricing Inputs'!$Z$32,IF(AND('3. GRI Pricing'!$F412&gt;='2. GRI Pricing Inputs'!$AB$33,'3. GRI Pricing'!$F412&lt;='2. GRI Pricing Inputs'!$AC$33),'2. GRI Pricing Inputs'!$AB$32,IF(AND('3. GRI Pricing'!$F412&gt;='2. GRI Pricing Inputs'!$AD$33,'3. GRI Pricing'!$F412&lt;='2. GRI Pricing Inputs'!$AE$33),'2. GRI Pricing Inputs'!$AD$32,IF(AND('3. GRI Pricing'!$F412&gt;='2. GRI Pricing Inputs'!$AF$33,'3. GRI Pricing'!$F412&lt;='2. GRI Pricing Inputs'!$AG$33),'2. GRI Pricing Inputs'!$AF$32,IF(AND('3. GRI Pricing'!$F412&gt;='2. GRI Pricing Inputs'!$AH$33,'3. GRI Pricing'!$F412&lt;='2. GRI Pricing Inputs'!$AI$33),'2. GRI Pricing Inputs'!$AH$32,0))))))))))))))))</f>
        <v>0</v>
      </c>
      <c r="N412" s="273" cm="1">
        <f t="array" ref="N412">IFERROR(INDEX('2. GRI Pricing Inputs'!$C$32:$AI$39,MATCH('3. GRI Pricing'!D412,'2. GRI Pricing Inputs'!$C$32:$C$39,0),(MATCH('3. GRI Pricing'!M412,'2. GRI Pricing Inputs'!$D$32:$AI$32,0)+1)),0)</f>
        <v>0</v>
      </c>
      <c r="O412" s="273">
        <f>IFERROR(INDEX('2. GRI Pricing Inputs'!$C$45:$AI$46,MATCH($O$16,'2. GRI Pricing Inputs'!$C$45:$C$46,0),MATCH(G412,'2. GRI Pricing Inputs'!$C$45:$AI$45,0)),0)</f>
        <v>0</v>
      </c>
      <c r="P412" s="273">
        <f>IFERROR(INDEX('2. GRI Pricing Inputs'!$C$53:$AI$54,MATCH('3. GRI Pricing'!$P$16,'2. GRI Pricing Inputs'!$C$53:$C$54,0),MATCH('3. GRI Pricing'!H412,'2. GRI Pricing Inputs'!$C$53:$AI$53,0)),0)</f>
        <v>0</v>
      </c>
      <c r="Q412" s="273">
        <f>IFERROR(INDEX('2. GRI Pricing Inputs'!$C$60:$AI$61,MATCH('3. GRI Pricing'!$Q$16,'2. GRI Pricing Inputs'!$C$60:$C$61,0),MATCH('1. Accomodation'!T416,'2. GRI Pricing Inputs'!$C$60:$AI$60,0)),0)</f>
        <v>0</v>
      </c>
      <c r="R412" s="273">
        <f>IFERROR(INDEX('2. GRI Pricing Inputs'!$C$67:$AI$68,MATCH('3. GRI Pricing'!$R$16,'2. GRI Pricing Inputs'!$C$67:$C$68,0),MATCH('1. Accomodation'!U416,'2. GRI Pricing Inputs'!$C$67:$AI$67,0)),0)</f>
        <v>0</v>
      </c>
      <c r="S412" s="273">
        <f>IF(D412=0,0,'2. GRI Pricing Inputs'!$AI$75)</f>
        <v>0</v>
      </c>
      <c r="T412" s="273">
        <f>IFERROR(INDEX('2. GRI Pricing Inputs'!$C$82:$AI$83,MATCH('3. GRI Pricing'!$T$16,'2. GRI Pricing Inputs'!$C$82:$C$83,0),MATCH('1. Accomodation'!V416,'2. GRI Pricing Inputs'!$C$82:$AI$82,0)),0)</f>
        <v>0</v>
      </c>
      <c r="U412" s="273">
        <f>IFERROR(INDEX('2. GRI Pricing Inputs'!$C$89:$AI$90,MATCH('3. GRI Pricing'!$U$16,'2. GRI Pricing Inputs'!$C$89:$C$90,0),MATCH('1. Accomodation'!W416,'2. GRI Pricing Inputs'!$C$89:$AI$89,0)),0)</f>
        <v>0</v>
      </c>
      <c r="V412" s="273">
        <f>IFERROR(INDEX('2. GRI Pricing Inputs'!$C$97:$AI$98,MATCH('3. GRI Pricing'!$V$16,'2. GRI Pricing Inputs'!$C$97:$C$98,0),MATCH('1. Accomodation'!X416,'2. GRI Pricing Inputs'!$C$97:$AI$97,0)),0)</f>
        <v>0</v>
      </c>
      <c r="W412" s="273">
        <f>IFERROR(INDEX('2. GRI Pricing Inputs'!$C$104:$AI$105,MATCH('3. GRI Pricing'!$W$16,'2. GRI Pricing Inputs'!$C$104:$C$105,0),MATCH('1. Accomodation'!Y416,'2. GRI Pricing Inputs'!$C$104:$AI$104,0)),0)</f>
        <v>0</v>
      </c>
      <c r="X412" s="274"/>
      <c r="Y412" s="275">
        <f t="shared" si="13"/>
        <v>0</v>
      </c>
      <c r="Z412" s="276"/>
      <c r="AA412" s="276"/>
      <c r="AB412" s="276"/>
      <c r="AC412" s="272">
        <f>Y412*(1+'2. GRI Pricing Inputs'!$D$114)^(($AC$16-$AB$15)/365)</f>
        <v>0</v>
      </c>
      <c r="AD412" s="273">
        <f>AC412*(1+'2. GRI Pricing Inputs'!$D$114)^((AD$16-AC$16)/365)</f>
        <v>0</v>
      </c>
      <c r="AE412" s="273">
        <f>AD412*(1+'2. GRI Pricing Inputs'!$D$114)^((AE$16-AD$16)/365)</f>
        <v>0</v>
      </c>
      <c r="AF412" s="273">
        <f>AE412*(1+'2. GRI Pricing Inputs'!$D$114)^((AF$16-AE$16)/365)</f>
        <v>0</v>
      </c>
      <c r="AG412" s="273">
        <f>AF412*(1+'2. GRI Pricing Inputs'!$D$114)^((AG$16-AF$16)/365)</f>
        <v>0</v>
      </c>
      <c r="AH412" s="273">
        <f>AG412*(1+'2. GRI Pricing Inputs'!$D$114)^((AH$16-AG$16)/365)</f>
        <v>0</v>
      </c>
      <c r="AI412" s="273">
        <f>AH412*(1+'2. GRI Pricing Inputs'!$D$114)^((AI$16-AH$16)/365)</f>
        <v>0</v>
      </c>
      <c r="AJ412" s="273">
        <f>AI412*(1+'2. GRI Pricing Inputs'!$D$114)^((AJ$16-AI$16)/365)</f>
        <v>0</v>
      </c>
      <c r="AK412" s="273">
        <f>AJ412*(1+'2. GRI Pricing Inputs'!$D$114)^((AK$16-AJ$16)/365)</f>
        <v>0</v>
      </c>
      <c r="AL412" s="273">
        <f>AK412*(1+'2. GRI Pricing Inputs'!$D$114)^((AL$16-AK$16)/365)</f>
        <v>0</v>
      </c>
      <c r="AM412" s="273">
        <f>AL412*(1+'2. GRI Pricing Inputs'!$D$114)^((AM$16-AL$16)/365)</f>
        <v>0</v>
      </c>
      <c r="AN412" s="273">
        <f>AM412*(1+'2. GRI Pricing Inputs'!$D$114)^((AN$16-AM$16)/365)</f>
        <v>0</v>
      </c>
      <c r="AO412" s="273">
        <f>AN412*(1+'2. GRI Pricing Inputs'!$D$114)^((AO$16-AN$16)/365)</f>
        <v>0</v>
      </c>
    </row>
    <row r="413" spans="3:41" ht="12" x14ac:dyDescent="0.2">
      <c r="C413" s="76">
        <f>'1. Accomodation'!N417</f>
        <v>0</v>
      </c>
      <c r="D413" s="69">
        <f>'1. Accomodation'!P417</f>
        <v>0</v>
      </c>
      <c r="E413" s="69">
        <f>'1. Accomodation'!Q417</f>
        <v>0</v>
      </c>
      <c r="F413" s="77">
        <f>'1. Accomodation'!O417</f>
        <v>0</v>
      </c>
      <c r="G413" s="69">
        <f>'1. Accomodation'!R417</f>
        <v>0</v>
      </c>
      <c r="H413" s="69">
        <f>'1. Accomodation'!S417</f>
        <v>0</v>
      </c>
      <c r="I413" s="62"/>
      <c r="K413" s="272">
        <f>IFERROR(INDEX('2. GRI Pricing Inputs'!$C$15:$AI$16,MATCH($K$16,'2. GRI Pricing Inputs'!$C$15:$C$16,0),MATCH(D413,'2. GRI Pricing Inputs'!$C$15:$AI$15,0)),0)</f>
        <v>0</v>
      </c>
      <c r="L413" s="273">
        <f>IFERROR(INDEX('2. GRI Pricing Inputs'!$C$22:$AI$23,MATCH($L$16,'2. GRI Pricing Inputs'!$C$22:$C$23,0),MATCH(E413,'2. GRI Pricing Inputs'!$C$22:$AI$22,0)),0)</f>
        <v>0</v>
      </c>
      <c r="M413" s="328">
        <f>IF(AND('3. GRI Pricing'!$F413&gt;='2. GRI Pricing Inputs'!$D$33,'3. GRI Pricing'!$F413&lt;='2. GRI Pricing Inputs'!$E$33),'2. GRI Pricing Inputs'!$D$32,IF(AND('3. GRI Pricing'!$F413&gt;='2. GRI Pricing Inputs'!$F$33,'3. GRI Pricing'!$F413&lt;='2. GRI Pricing Inputs'!$G$33),'2. GRI Pricing Inputs'!$F$32,IF(AND('3. GRI Pricing'!$F413&gt;='2. GRI Pricing Inputs'!$H$33,'3. GRI Pricing'!$F413&lt;='2. GRI Pricing Inputs'!$I$33),'2. GRI Pricing Inputs'!$H$32,IF(AND('3. GRI Pricing'!$F413&gt;='2. GRI Pricing Inputs'!$J$33,'3. GRI Pricing'!$F413&lt;='2. GRI Pricing Inputs'!$K$33),'2. GRI Pricing Inputs'!$J$32,IF(AND('3. GRI Pricing'!$F413&gt;='2. GRI Pricing Inputs'!$L$33,'3. GRI Pricing'!$F413&lt;='2. GRI Pricing Inputs'!$M$33),'2. GRI Pricing Inputs'!$L$32,IF(AND('3. GRI Pricing'!$F413&gt;='2. GRI Pricing Inputs'!$N$33,'3. GRI Pricing'!$F413&lt;='2. GRI Pricing Inputs'!$O$33),'2. GRI Pricing Inputs'!$N$32,IF(AND('3. GRI Pricing'!$F413&gt;='2. GRI Pricing Inputs'!$P$33,'3. GRI Pricing'!$F413&lt;='2. GRI Pricing Inputs'!$Q$33),'2. GRI Pricing Inputs'!$P$32,IF(AND('3. GRI Pricing'!$F413&gt;='2. GRI Pricing Inputs'!$R$33,'3. GRI Pricing'!$F413&lt;='2. GRI Pricing Inputs'!$S$33),'2. GRI Pricing Inputs'!$R$32,IF(AND('3. GRI Pricing'!$F413&gt;='2. GRI Pricing Inputs'!$T$33,'3. GRI Pricing'!$F413&lt;='2. GRI Pricing Inputs'!$U$33),'2. GRI Pricing Inputs'!$T$32,IF(AND('3. GRI Pricing'!$F413&gt;='2. GRI Pricing Inputs'!$V$33,'3. GRI Pricing'!$F413&lt;='2. GRI Pricing Inputs'!$W$33),'2. GRI Pricing Inputs'!$V$32,IF(AND('3. GRI Pricing'!$F413&gt;='2. GRI Pricing Inputs'!$X$33,'3. GRI Pricing'!$F413&lt;='2. GRI Pricing Inputs'!$Y$33),'2. GRI Pricing Inputs'!$X$32,IF(AND('3. GRI Pricing'!$F413&gt;='2. GRI Pricing Inputs'!$Z$33,'3. GRI Pricing'!$F413&lt;='2. GRI Pricing Inputs'!$AA$33),'2. GRI Pricing Inputs'!$Z$32,IF(AND('3. GRI Pricing'!$F413&gt;='2. GRI Pricing Inputs'!$AB$33,'3. GRI Pricing'!$F413&lt;='2. GRI Pricing Inputs'!$AC$33),'2. GRI Pricing Inputs'!$AB$32,IF(AND('3. GRI Pricing'!$F413&gt;='2. GRI Pricing Inputs'!$AD$33,'3. GRI Pricing'!$F413&lt;='2. GRI Pricing Inputs'!$AE$33),'2. GRI Pricing Inputs'!$AD$32,IF(AND('3. GRI Pricing'!$F413&gt;='2. GRI Pricing Inputs'!$AF$33,'3. GRI Pricing'!$F413&lt;='2. GRI Pricing Inputs'!$AG$33),'2. GRI Pricing Inputs'!$AF$32,IF(AND('3. GRI Pricing'!$F413&gt;='2. GRI Pricing Inputs'!$AH$33,'3. GRI Pricing'!$F413&lt;='2. GRI Pricing Inputs'!$AI$33),'2. GRI Pricing Inputs'!$AH$32,0))))))))))))))))</f>
        <v>0</v>
      </c>
      <c r="N413" s="273" cm="1">
        <f t="array" ref="N413">IFERROR(INDEX('2. GRI Pricing Inputs'!$C$32:$AI$39,MATCH('3. GRI Pricing'!D413,'2. GRI Pricing Inputs'!$C$32:$C$39,0),(MATCH('3. GRI Pricing'!M413,'2. GRI Pricing Inputs'!$D$32:$AI$32,0)+1)),0)</f>
        <v>0</v>
      </c>
      <c r="O413" s="273">
        <f>IFERROR(INDEX('2. GRI Pricing Inputs'!$C$45:$AI$46,MATCH($O$16,'2. GRI Pricing Inputs'!$C$45:$C$46,0),MATCH(G413,'2. GRI Pricing Inputs'!$C$45:$AI$45,0)),0)</f>
        <v>0</v>
      </c>
      <c r="P413" s="273">
        <f>IFERROR(INDEX('2. GRI Pricing Inputs'!$C$53:$AI$54,MATCH('3. GRI Pricing'!$P$16,'2. GRI Pricing Inputs'!$C$53:$C$54,0),MATCH('3. GRI Pricing'!H413,'2. GRI Pricing Inputs'!$C$53:$AI$53,0)),0)</f>
        <v>0</v>
      </c>
      <c r="Q413" s="273">
        <f>IFERROR(INDEX('2. GRI Pricing Inputs'!$C$60:$AI$61,MATCH('3. GRI Pricing'!$Q$16,'2. GRI Pricing Inputs'!$C$60:$C$61,0),MATCH('1. Accomodation'!T417,'2. GRI Pricing Inputs'!$C$60:$AI$60,0)),0)</f>
        <v>0</v>
      </c>
      <c r="R413" s="273">
        <f>IFERROR(INDEX('2. GRI Pricing Inputs'!$C$67:$AI$68,MATCH('3. GRI Pricing'!$R$16,'2. GRI Pricing Inputs'!$C$67:$C$68,0),MATCH('1. Accomodation'!U417,'2. GRI Pricing Inputs'!$C$67:$AI$67,0)),0)</f>
        <v>0</v>
      </c>
      <c r="S413" s="273">
        <f>IF(D413=0,0,'2. GRI Pricing Inputs'!$AI$75)</f>
        <v>0</v>
      </c>
      <c r="T413" s="273">
        <f>IFERROR(INDEX('2. GRI Pricing Inputs'!$C$82:$AI$83,MATCH('3. GRI Pricing'!$T$16,'2. GRI Pricing Inputs'!$C$82:$C$83,0),MATCH('1. Accomodation'!V417,'2. GRI Pricing Inputs'!$C$82:$AI$82,0)),0)</f>
        <v>0</v>
      </c>
      <c r="U413" s="273">
        <f>IFERROR(INDEX('2. GRI Pricing Inputs'!$C$89:$AI$90,MATCH('3. GRI Pricing'!$U$16,'2. GRI Pricing Inputs'!$C$89:$C$90,0),MATCH('1. Accomodation'!W417,'2. GRI Pricing Inputs'!$C$89:$AI$89,0)),0)</f>
        <v>0</v>
      </c>
      <c r="V413" s="273">
        <f>IFERROR(INDEX('2. GRI Pricing Inputs'!$C$97:$AI$98,MATCH('3. GRI Pricing'!$V$16,'2. GRI Pricing Inputs'!$C$97:$C$98,0),MATCH('1. Accomodation'!X417,'2. GRI Pricing Inputs'!$C$97:$AI$97,0)),0)</f>
        <v>0</v>
      </c>
      <c r="W413" s="273">
        <f>IFERROR(INDEX('2. GRI Pricing Inputs'!$C$104:$AI$105,MATCH('3. GRI Pricing'!$W$16,'2. GRI Pricing Inputs'!$C$104:$C$105,0),MATCH('1. Accomodation'!Y417,'2. GRI Pricing Inputs'!$C$104:$AI$104,0)),0)</f>
        <v>0</v>
      </c>
      <c r="X413" s="274"/>
      <c r="Y413" s="275">
        <f t="shared" si="13"/>
        <v>0</v>
      </c>
      <c r="Z413" s="276"/>
      <c r="AA413" s="276"/>
      <c r="AB413" s="276"/>
      <c r="AC413" s="272">
        <f>Y413*(1+'2. GRI Pricing Inputs'!$D$114)^(($AC$16-$AB$15)/365)</f>
        <v>0</v>
      </c>
      <c r="AD413" s="273">
        <f>AC413*(1+'2. GRI Pricing Inputs'!$D$114)^((AD$16-AC$16)/365)</f>
        <v>0</v>
      </c>
      <c r="AE413" s="273">
        <f>AD413*(1+'2. GRI Pricing Inputs'!$D$114)^((AE$16-AD$16)/365)</f>
        <v>0</v>
      </c>
      <c r="AF413" s="273">
        <f>AE413*(1+'2. GRI Pricing Inputs'!$D$114)^((AF$16-AE$16)/365)</f>
        <v>0</v>
      </c>
      <c r="AG413" s="273">
        <f>AF413*(1+'2. GRI Pricing Inputs'!$D$114)^((AG$16-AF$16)/365)</f>
        <v>0</v>
      </c>
      <c r="AH413" s="273">
        <f>AG413*(1+'2. GRI Pricing Inputs'!$D$114)^((AH$16-AG$16)/365)</f>
        <v>0</v>
      </c>
      <c r="AI413" s="273">
        <f>AH413*(1+'2. GRI Pricing Inputs'!$D$114)^((AI$16-AH$16)/365)</f>
        <v>0</v>
      </c>
      <c r="AJ413" s="273">
        <f>AI413*(1+'2. GRI Pricing Inputs'!$D$114)^((AJ$16-AI$16)/365)</f>
        <v>0</v>
      </c>
      <c r="AK413" s="273">
        <f>AJ413*(1+'2. GRI Pricing Inputs'!$D$114)^((AK$16-AJ$16)/365)</f>
        <v>0</v>
      </c>
      <c r="AL413" s="273">
        <f>AK413*(1+'2. GRI Pricing Inputs'!$D$114)^((AL$16-AK$16)/365)</f>
        <v>0</v>
      </c>
      <c r="AM413" s="273">
        <f>AL413*(1+'2. GRI Pricing Inputs'!$D$114)^((AM$16-AL$16)/365)</f>
        <v>0</v>
      </c>
      <c r="AN413" s="273">
        <f>AM413*(1+'2. GRI Pricing Inputs'!$D$114)^((AN$16-AM$16)/365)</f>
        <v>0</v>
      </c>
      <c r="AO413" s="273">
        <f>AN413*(1+'2. GRI Pricing Inputs'!$D$114)^((AO$16-AN$16)/365)</f>
        <v>0</v>
      </c>
    </row>
    <row r="414" spans="3:41" ht="12" x14ac:dyDescent="0.2">
      <c r="C414" s="76">
        <f>'1. Accomodation'!N418</f>
        <v>0</v>
      </c>
      <c r="D414" s="69">
        <f>'1. Accomodation'!P418</f>
        <v>0</v>
      </c>
      <c r="E414" s="69">
        <f>'1. Accomodation'!Q418</f>
        <v>0</v>
      </c>
      <c r="F414" s="77">
        <f>'1. Accomodation'!O418</f>
        <v>0</v>
      </c>
      <c r="G414" s="69">
        <f>'1. Accomodation'!R418</f>
        <v>0</v>
      </c>
      <c r="H414" s="69">
        <f>'1. Accomodation'!S418</f>
        <v>0</v>
      </c>
      <c r="I414" s="62"/>
      <c r="K414" s="272">
        <f>IFERROR(INDEX('2. GRI Pricing Inputs'!$C$15:$AI$16,MATCH($K$16,'2. GRI Pricing Inputs'!$C$15:$C$16,0),MATCH(D414,'2. GRI Pricing Inputs'!$C$15:$AI$15,0)),0)</f>
        <v>0</v>
      </c>
      <c r="L414" s="273">
        <f>IFERROR(INDEX('2. GRI Pricing Inputs'!$C$22:$AI$23,MATCH($L$16,'2. GRI Pricing Inputs'!$C$22:$C$23,0),MATCH(E414,'2. GRI Pricing Inputs'!$C$22:$AI$22,0)),0)</f>
        <v>0</v>
      </c>
      <c r="M414" s="328">
        <f>IF(AND('3. GRI Pricing'!$F414&gt;='2. GRI Pricing Inputs'!$D$33,'3. GRI Pricing'!$F414&lt;='2. GRI Pricing Inputs'!$E$33),'2. GRI Pricing Inputs'!$D$32,IF(AND('3. GRI Pricing'!$F414&gt;='2. GRI Pricing Inputs'!$F$33,'3. GRI Pricing'!$F414&lt;='2. GRI Pricing Inputs'!$G$33),'2. GRI Pricing Inputs'!$F$32,IF(AND('3. GRI Pricing'!$F414&gt;='2. GRI Pricing Inputs'!$H$33,'3. GRI Pricing'!$F414&lt;='2. GRI Pricing Inputs'!$I$33),'2. GRI Pricing Inputs'!$H$32,IF(AND('3. GRI Pricing'!$F414&gt;='2. GRI Pricing Inputs'!$J$33,'3. GRI Pricing'!$F414&lt;='2. GRI Pricing Inputs'!$K$33),'2. GRI Pricing Inputs'!$J$32,IF(AND('3. GRI Pricing'!$F414&gt;='2. GRI Pricing Inputs'!$L$33,'3. GRI Pricing'!$F414&lt;='2. GRI Pricing Inputs'!$M$33),'2. GRI Pricing Inputs'!$L$32,IF(AND('3. GRI Pricing'!$F414&gt;='2. GRI Pricing Inputs'!$N$33,'3. GRI Pricing'!$F414&lt;='2. GRI Pricing Inputs'!$O$33),'2. GRI Pricing Inputs'!$N$32,IF(AND('3. GRI Pricing'!$F414&gt;='2. GRI Pricing Inputs'!$P$33,'3. GRI Pricing'!$F414&lt;='2. GRI Pricing Inputs'!$Q$33),'2. GRI Pricing Inputs'!$P$32,IF(AND('3. GRI Pricing'!$F414&gt;='2. GRI Pricing Inputs'!$R$33,'3. GRI Pricing'!$F414&lt;='2. GRI Pricing Inputs'!$S$33),'2. GRI Pricing Inputs'!$R$32,IF(AND('3. GRI Pricing'!$F414&gt;='2. GRI Pricing Inputs'!$T$33,'3. GRI Pricing'!$F414&lt;='2. GRI Pricing Inputs'!$U$33),'2. GRI Pricing Inputs'!$T$32,IF(AND('3. GRI Pricing'!$F414&gt;='2. GRI Pricing Inputs'!$V$33,'3. GRI Pricing'!$F414&lt;='2. GRI Pricing Inputs'!$W$33),'2. GRI Pricing Inputs'!$V$32,IF(AND('3. GRI Pricing'!$F414&gt;='2. GRI Pricing Inputs'!$X$33,'3. GRI Pricing'!$F414&lt;='2. GRI Pricing Inputs'!$Y$33),'2. GRI Pricing Inputs'!$X$32,IF(AND('3. GRI Pricing'!$F414&gt;='2. GRI Pricing Inputs'!$Z$33,'3. GRI Pricing'!$F414&lt;='2. GRI Pricing Inputs'!$AA$33),'2. GRI Pricing Inputs'!$Z$32,IF(AND('3. GRI Pricing'!$F414&gt;='2. GRI Pricing Inputs'!$AB$33,'3. GRI Pricing'!$F414&lt;='2. GRI Pricing Inputs'!$AC$33),'2. GRI Pricing Inputs'!$AB$32,IF(AND('3. GRI Pricing'!$F414&gt;='2. GRI Pricing Inputs'!$AD$33,'3. GRI Pricing'!$F414&lt;='2. GRI Pricing Inputs'!$AE$33),'2. GRI Pricing Inputs'!$AD$32,IF(AND('3. GRI Pricing'!$F414&gt;='2. GRI Pricing Inputs'!$AF$33,'3. GRI Pricing'!$F414&lt;='2. GRI Pricing Inputs'!$AG$33),'2. GRI Pricing Inputs'!$AF$32,IF(AND('3. GRI Pricing'!$F414&gt;='2. GRI Pricing Inputs'!$AH$33,'3. GRI Pricing'!$F414&lt;='2. GRI Pricing Inputs'!$AI$33),'2. GRI Pricing Inputs'!$AH$32,0))))))))))))))))</f>
        <v>0</v>
      </c>
      <c r="N414" s="273" cm="1">
        <f t="array" ref="N414">IFERROR(INDEX('2. GRI Pricing Inputs'!$C$32:$AI$39,MATCH('3. GRI Pricing'!D414,'2. GRI Pricing Inputs'!$C$32:$C$39,0),(MATCH('3. GRI Pricing'!M414,'2. GRI Pricing Inputs'!$D$32:$AI$32,0)+1)),0)</f>
        <v>0</v>
      </c>
      <c r="O414" s="273">
        <f>IFERROR(INDEX('2. GRI Pricing Inputs'!$C$45:$AI$46,MATCH($O$16,'2. GRI Pricing Inputs'!$C$45:$C$46,0),MATCH(G414,'2. GRI Pricing Inputs'!$C$45:$AI$45,0)),0)</f>
        <v>0</v>
      </c>
      <c r="P414" s="273">
        <f>IFERROR(INDEX('2. GRI Pricing Inputs'!$C$53:$AI$54,MATCH('3. GRI Pricing'!$P$16,'2. GRI Pricing Inputs'!$C$53:$C$54,0),MATCH('3. GRI Pricing'!H414,'2. GRI Pricing Inputs'!$C$53:$AI$53,0)),0)</f>
        <v>0</v>
      </c>
      <c r="Q414" s="273">
        <f>IFERROR(INDEX('2. GRI Pricing Inputs'!$C$60:$AI$61,MATCH('3. GRI Pricing'!$Q$16,'2. GRI Pricing Inputs'!$C$60:$C$61,0),MATCH('1. Accomodation'!T418,'2. GRI Pricing Inputs'!$C$60:$AI$60,0)),0)</f>
        <v>0</v>
      </c>
      <c r="R414" s="273">
        <f>IFERROR(INDEX('2. GRI Pricing Inputs'!$C$67:$AI$68,MATCH('3. GRI Pricing'!$R$16,'2. GRI Pricing Inputs'!$C$67:$C$68,0),MATCH('1. Accomodation'!U418,'2. GRI Pricing Inputs'!$C$67:$AI$67,0)),0)</f>
        <v>0</v>
      </c>
      <c r="S414" s="273">
        <f>IF(D414=0,0,'2. GRI Pricing Inputs'!$AI$75)</f>
        <v>0</v>
      </c>
      <c r="T414" s="273">
        <f>IFERROR(INDEX('2. GRI Pricing Inputs'!$C$82:$AI$83,MATCH('3. GRI Pricing'!$T$16,'2. GRI Pricing Inputs'!$C$82:$C$83,0),MATCH('1. Accomodation'!V418,'2. GRI Pricing Inputs'!$C$82:$AI$82,0)),0)</f>
        <v>0</v>
      </c>
      <c r="U414" s="273">
        <f>IFERROR(INDEX('2. GRI Pricing Inputs'!$C$89:$AI$90,MATCH('3. GRI Pricing'!$U$16,'2. GRI Pricing Inputs'!$C$89:$C$90,0),MATCH('1. Accomodation'!W418,'2. GRI Pricing Inputs'!$C$89:$AI$89,0)),0)</f>
        <v>0</v>
      </c>
      <c r="V414" s="273">
        <f>IFERROR(INDEX('2. GRI Pricing Inputs'!$C$97:$AI$98,MATCH('3. GRI Pricing'!$V$16,'2. GRI Pricing Inputs'!$C$97:$C$98,0),MATCH('1. Accomodation'!X418,'2. GRI Pricing Inputs'!$C$97:$AI$97,0)),0)</f>
        <v>0</v>
      </c>
      <c r="W414" s="273">
        <f>IFERROR(INDEX('2. GRI Pricing Inputs'!$C$104:$AI$105,MATCH('3. GRI Pricing'!$W$16,'2. GRI Pricing Inputs'!$C$104:$C$105,0),MATCH('1. Accomodation'!Y418,'2. GRI Pricing Inputs'!$C$104:$AI$104,0)),0)</f>
        <v>0</v>
      </c>
      <c r="X414" s="274"/>
      <c r="Y414" s="275">
        <f t="shared" si="13"/>
        <v>0</v>
      </c>
      <c r="Z414" s="276"/>
      <c r="AA414" s="276"/>
      <c r="AB414" s="276"/>
      <c r="AC414" s="272">
        <f>Y414*(1+'2. GRI Pricing Inputs'!$D$114)^(($AC$16-$AB$15)/365)</f>
        <v>0</v>
      </c>
      <c r="AD414" s="273">
        <f>AC414*(1+'2. GRI Pricing Inputs'!$D$114)^((AD$16-AC$16)/365)</f>
        <v>0</v>
      </c>
      <c r="AE414" s="273">
        <f>AD414*(1+'2. GRI Pricing Inputs'!$D$114)^((AE$16-AD$16)/365)</f>
        <v>0</v>
      </c>
      <c r="AF414" s="273">
        <f>AE414*(1+'2. GRI Pricing Inputs'!$D$114)^((AF$16-AE$16)/365)</f>
        <v>0</v>
      </c>
      <c r="AG414" s="273">
        <f>AF414*(1+'2. GRI Pricing Inputs'!$D$114)^((AG$16-AF$16)/365)</f>
        <v>0</v>
      </c>
      <c r="AH414" s="273">
        <f>AG414*(1+'2. GRI Pricing Inputs'!$D$114)^((AH$16-AG$16)/365)</f>
        <v>0</v>
      </c>
      <c r="AI414" s="273">
        <f>AH414*(1+'2. GRI Pricing Inputs'!$D$114)^((AI$16-AH$16)/365)</f>
        <v>0</v>
      </c>
      <c r="AJ414" s="273">
        <f>AI414*(1+'2. GRI Pricing Inputs'!$D$114)^((AJ$16-AI$16)/365)</f>
        <v>0</v>
      </c>
      <c r="AK414" s="273">
        <f>AJ414*(1+'2. GRI Pricing Inputs'!$D$114)^((AK$16-AJ$16)/365)</f>
        <v>0</v>
      </c>
      <c r="AL414" s="273">
        <f>AK414*(1+'2. GRI Pricing Inputs'!$D$114)^((AL$16-AK$16)/365)</f>
        <v>0</v>
      </c>
      <c r="AM414" s="273">
        <f>AL414*(1+'2. GRI Pricing Inputs'!$D$114)^((AM$16-AL$16)/365)</f>
        <v>0</v>
      </c>
      <c r="AN414" s="273">
        <f>AM414*(1+'2. GRI Pricing Inputs'!$D$114)^((AN$16-AM$16)/365)</f>
        <v>0</v>
      </c>
      <c r="AO414" s="273">
        <f>AN414*(1+'2. GRI Pricing Inputs'!$D$114)^((AO$16-AN$16)/365)</f>
        <v>0</v>
      </c>
    </row>
    <row r="415" spans="3:41" ht="12" x14ac:dyDescent="0.2">
      <c r="C415" s="76">
        <f>'1. Accomodation'!N419</f>
        <v>0</v>
      </c>
      <c r="D415" s="69">
        <f>'1. Accomodation'!P419</f>
        <v>0</v>
      </c>
      <c r="E415" s="69">
        <f>'1. Accomodation'!Q419</f>
        <v>0</v>
      </c>
      <c r="F415" s="77">
        <f>'1. Accomodation'!O419</f>
        <v>0</v>
      </c>
      <c r="G415" s="69">
        <f>'1. Accomodation'!R419</f>
        <v>0</v>
      </c>
      <c r="H415" s="69">
        <f>'1. Accomodation'!S419</f>
        <v>0</v>
      </c>
      <c r="I415" s="62"/>
      <c r="K415" s="272">
        <f>IFERROR(INDEX('2. GRI Pricing Inputs'!$C$15:$AI$16,MATCH($K$16,'2. GRI Pricing Inputs'!$C$15:$C$16,0),MATCH(D415,'2. GRI Pricing Inputs'!$C$15:$AI$15,0)),0)</f>
        <v>0</v>
      </c>
      <c r="L415" s="273">
        <f>IFERROR(INDEX('2. GRI Pricing Inputs'!$C$22:$AI$23,MATCH($L$16,'2. GRI Pricing Inputs'!$C$22:$C$23,0),MATCH(E415,'2. GRI Pricing Inputs'!$C$22:$AI$22,0)),0)</f>
        <v>0</v>
      </c>
      <c r="M415" s="328">
        <f>IF(AND('3. GRI Pricing'!$F415&gt;='2. GRI Pricing Inputs'!$D$33,'3. GRI Pricing'!$F415&lt;='2. GRI Pricing Inputs'!$E$33),'2. GRI Pricing Inputs'!$D$32,IF(AND('3. GRI Pricing'!$F415&gt;='2. GRI Pricing Inputs'!$F$33,'3. GRI Pricing'!$F415&lt;='2. GRI Pricing Inputs'!$G$33),'2. GRI Pricing Inputs'!$F$32,IF(AND('3. GRI Pricing'!$F415&gt;='2. GRI Pricing Inputs'!$H$33,'3. GRI Pricing'!$F415&lt;='2. GRI Pricing Inputs'!$I$33),'2. GRI Pricing Inputs'!$H$32,IF(AND('3. GRI Pricing'!$F415&gt;='2. GRI Pricing Inputs'!$J$33,'3. GRI Pricing'!$F415&lt;='2. GRI Pricing Inputs'!$K$33),'2. GRI Pricing Inputs'!$J$32,IF(AND('3. GRI Pricing'!$F415&gt;='2. GRI Pricing Inputs'!$L$33,'3. GRI Pricing'!$F415&lt;='2. GRI Pricing Inputs'!$M$33),'2. GRI Pricing Inputs'!$L$32,IF(AND('3. GRI Pricing'!$F415&gt;='2. GRI Pricing Inputs'!$N$33,'3. GRI Pricing'!$F415&lt;='2. GRI Pricing Inputs'!$O$33),'2. GRI Pricing Inputs'!$N$32,IF(AND('3. GRI Pricing'!$F415&gt;='2. GRI Pricing Inputs'!$P$33,'3. GRI Pricing'!$F415&lt;='2. GRI Pricing Inputs'!$Q$33),'2. GRI Pricing Inputs'!$P$32,IF(AND('3. GRI Pricing'!$F415&gt;='2. GRI Pricing Inputs'!$R$33,'3. GRI Pricing'!$F415&lt;='2. GRI Pricing Inputs'!$S$33),'2. GRI Pricing Inputs'!$R$32,IF(AND('3. GRI Pricing'!$F415&gt;='2. GRI Pricing Inputs'!$T$33,'3. GRI Pricing'!$F415&lt;='2. GRI Pricing Inputs'!$U$33),'2. GRI Pricing Inputs'!$T$32,IF(AND('3. GRI Pricing'!$F415&gt;='2. GRI Pricing Inputs'!$V$33,'3. GRI Pricing'!$F415&lt;='2. GRI Pricing Inputs'!$W$33),'2. GRI Pricing Inputs'!$V$32,IF(AND('3. GRI Pricing'!$F415&gt;='2. GRI Pricing Inputs'!$X$33,'3. GRI Pricing'!$F415&lt;='2. GRI Pricing Inputs'!$Y$33),'2. GRI Pricing Inputs'!$X$32,IF(AND('3. GRI Pricing'!$F415&gt;='2. GRI Pricing Inputs'!$Z$33,'3. GRI Pricing'!$F415&lt;='2. GRI Pricing Inputs'!$AA$33),'2. GRI Pricing Inputs'!$Z$32,IF(AND('3. GRI Pricing'!$F415&gt;='2. GRI Pricing Inputs'!$AB$33,'3. GRI Pricing'!$F415&lt;='2. GRI Pricing Inputs'!$AC$33),'2. GRI Pricing Inputs'!$AB$32,IF(AND('3. GRI Pricing'!$F415&gt;='2. GRI Pricing Inputs'!$AD$33,'3. GRI Pricing'!$F415&lt;='2. GRI Pricing Inputs'!$AE$33),'2. GRI Pricing Inputs'!$AD$32,IF(AND('3. GRI Pricing'!$F415&gt;='2. GRI Pricing Inputs'!$AF$33,'3. GRI Pricing'!$F415&lt;='2. GRI Pricing Inputs'!$AG$33),'2. GRI Pricing Inputs'!$AF$32,IF(AND('3. GRI Pricing'!$F415&gt;='2. GRI Pricing Inputs'!$AH$33,'3. GRI Pricing'!$F415&lt;='2. GRI Pricing Inputs'!$AI$33),'2. GRI Pricing Inputs'!$AH$32,0))))))))))))))))</f>
        <v>0</v>
      </c>
      <c r="N415" s="273" cm="1">
        <f t="array" ref="N415">IFERROR(INDEX('2. GRI Pricing Inputs'!$C$32:$AI$39,MATCH('3. GRI Pricing'!D415,'2. GRI Pricing Inputs'!$C$32:$C$39,0),(MATCH('3. GRI Pricing'!M415,'2. GRI Pricing Inputs'!$D$32:$AI$32,0)+1)),0)</f>
        <v>0</v>
      </c>
      <c r="O415" s="273">
        <f>IFERROR(INDEX('2. GRI Pricing Inputs'!$C$45:$AI$46,MATCH($O$16,'2. GRI Pricing Inputs'!$C$45:$C$46,0),MATCH(G415,'2. GRI Pricing Inputs'!$C$45:$AI$45,0)),0)</f>
        <v>0</v>
      </c>
      <c r="P415" s="273">
        <f>IFERROR(INDEX('2. GRI Pricing Inputs'!$C$53:$AI$54,MATCH('3. GRI Pricing'!$P$16,'2. GRI Pricing Inputs'!$C$53:$C$54,0),MATCH('3. GRI Pricing'!H415,'2. GRI Pricing Inputs'!$C$53:$AI$53,0)),0)</f>
        <v>0</v>
      </c>
      <c r="Q415" s="273">
        <f>IFERROR(INDEX('2. GRI Pricing Inputs'!$C$60:$AI$61,MATCH('3. GRI Pricing'!$Q$16,'2. GRI Pricing Inputs'!$C$60:$C$61,0),MATCH('1. Accomodation'!T419,'2. GRI Pricing Inputs'!$C$60:$AI$60,0)),0)</f>
        <v>0</v>
      </c>
      <c r="R415" s="273">
        <f>IFERROR(INDEX('2. GRI Pricing Inputs'!$C$67:$AI$68,MATCH('3. GRI Pricing'!$R$16,'2. GRI Pricing Inputs'!$C$67:$C$68,0),MATCH('1. Accomodation'!U419,'2. GRI Pricing Inputs'!$C$67:$AI$67,0)),0)</f>
        <v>0</v>
      </c>
      <c r="S415" s="273">
        <f>IF(D415=0,0,'2. GRI Pricing Inputs'!$AI$75)</f>
        <v>0</v>
      </c>
      <c r="T415" s="273">
        <f>IFERROR(INDEX('2. GRI Pricing Inputs'!$C$82:$AI$83,MATCH('3. GRI Pricing'!$T$16,'2. GRI Pricing Inputs'!$C$82:$C$83,0),MATCH('1. Accomodation'!V419,'2. GRI Pricing Inputs'!$C$82:$AI$82,0)),0)</f>
        <v>0</v>
      </c>
      <c r="U415" s="273">
        <f>IFERROR(INDEX('2. GRI Pricing Inputs'!$C$89:$AI$90,MATCH('3. GRI Pricing'!$U$16,'2. GRI Pricing Inputs'!$C$89:$C$90,0),MATCH('1. Accomodation'!W419,'2. GRI Pricing Inputs'!$C$89:$AI$89,0)),0)</f>
        <v>0</v>
      </c>
      <c r="V415" s="273">
        <f>IFERROR(INDEX('2. GRI Pricing Inputs'!$C$97:$AI$98,MATCH('3. GRI Pricing'!$V$16,'2. GRI Pricing Inputs'!$C$97:$C$98,0),MATCH('1. Accomodation'!X419,'2. GRI Pricing Inputs'!$C$97:$AI$97,0)),0)</f>
        <v>0</v>
      </c>
      <c r="W415" s="273">
        <f>IFERROR(INDEX('2. GRI Pricing Inputs'!$C$104:$AI$105,MATCH('3. GRI Pricing'!$W$16,'2. GRI Pricing Inputs'!$C$104:$C$105,0),MATCH('1. Accomodation'!Y419,'2. GRI Pricing Inputs'!$C$104:$AI$104,0)),0)</f>
        <v>0</v>
      </c>
      <c r="X415" s="274"/>
      <c r="Y415" s="275">
        <f t="shared" si="13"/>
        <v>0</v>
      </c>
      <c r="Z415" s="276"/>
      <c r="AA415" s="276"/>
      <c r="AB415" s="276"/>
      <c r="AC415" s="272">
        <f>Y415*(1+'2. GRI Pricing Inputs'!$D$114)^(($AC$16-$AB$15)/365)</f>
        <v>0</v>
      </c>
      <c r="AD415" s="273">
        <f>AC415*(1+'2. GRI Pricing Inputs'!$D$114)^((AD$16-AC$16)/365)</f>
        <v>0</v>
      </c>
      <c r="AE415" s="273">
        <f>AD415*(1+'2. GRI Pricing Inputs'!$D$114)^((AE$16-AD$16)/365)</f>
        <v>0</v>
      </c>
      <c r="AF415" s="273">
        <f>AE415*(1+'2. GRI Pricing Inputs'!$D$114)^((AF$16-AE$16)/365)</f>
        <v>0</v>
      </c>
      <c r="AG415" s="273">
        <f>AF415*(1+'2. GRI Pricing Inputs'!$D$114)^((AG$16-AF$16)/365)</f>
        <v>0</v>
      </c>
      <c r="AH415" s="273">
        <f>AG415*(1+'2. GRI Pricing Inputs'!$D$114)^((AH$16-AG$16)/365)</f>
        <v>0</v>
      </c>
      <c r="AI415" s="273">
        <f>AH415*(1+'2. GRI Pricing Inputs'!$D$114)^((AI$16-AH$16)/365)</f>
        <v>0</v>
      </c>
      <c r="AJ415" s="273">
        <f>AI415*(1+'2. GRI Pricing Inputs'!$D$114)^((AJ$16-AI$16)/365)</f>
        <v>0</v>
      </c>
      <c r="AK415" s="273">
        <f>AJ415*(1+'2. GRI Pricing Inputs'!$D$114)^((AK$16-AJ$16)/365)</f>
        <v>0</v>
      </c>
      <c r="AL415" s="273">
        <f>AK415*(1+'2. GRI Pricing Inputs'!$D$114)^((AL$16-AK$16)/365)</f>
        <v>0</v>
      </c>
      <c r="AM415" s="273">
        <f>AL415*(1+'2. GRI Pricing Inputs'!$D$114)^((AM$16-AL$16)/365)</f>
        <v>0</v>
      </c>
      <c r="AN415" s="273">
        <f>AM415*(1+'2. GRI Pricing Inputs'!$D$114)^((AN$16-AM$16)/365)</f>
        <v>0</v>
      </c>
      <c r="AO415" s="273">
        <f>AN415*(1+'2. GRI Pricing Inputs'!$D$114)^((AO$16-AN$16)/365)</f>
        <v>0</v>
      </c>
    </row>
    <row r="416" spans="3:41" ht="12" x14ac:dyDescent="0.2">
      <c r="C416" s="76">
        <f>'1. Accomodation'!N420</f>
        <v>0</v>
      </c>
      <c r="D416" s="69">
        <f>'1. Accomodation'!P420</f>
        <v>0</v>
      </c>
      <c r="E416" s="69">
        <f>'1. Accomodation'!Q420</f>
        <v>0</v>
      </c>
      <c r="F416" s="77">
        <f>'1. Accomodation'!O420</f>
        <v>0</v>
      </c>
      <c r="G416" s="69">
        <f>'1. Accomodation'!R420</f>
        <v>0</v>
      </c>
      <c r="H416" s="69">
        <f>'1. Accomodation'!S420</f>
        <v>0</v>
      </c>
      <c r="I416" s="62"/>
      <c r="K416" s="272">
        <f>IFERROR(INDEX('2. GRI Pricing Inputs'!$C$15:$AI$16,MATCH($K$16,'2. GRI Pricing Inputs'!$C$15:$C$16,0),MATCH(D416,'2. GRI Pricing Inputs'!$C$15:$AI$15,0)),0)</f>
        <v>0</v>
      </c>
      <c r="L416" s="273">
        <f>IFERROR(INDEX('2. GRI Pricing Inputs'!$C$22:$AI$23,MATCH($L$16,'2. GRI Pricing Inputs'!$C$22:$C$23,0),MATCH(E416,'2. GRI Pricing Inputs'!$C$22:$AI$22,0)),0)</f>
        <v>0</v>
      </c>
      <c r="M416" s="328">
        <f>IF(AND('3. GRI Pricing'!$F416&gt;='2. GRI Pricing Inputs'!$D$33,'3. GRI Pricing'!$F416&lt;='2. GRI Pricing Inputs'!$E$33),'2. GRI Pricing Inputs'!$D$32,IF(AND('3. GRI Pricing'!$F416&gt;='2. GRI Pricing Inputs'!$F$33,'3. GRI Pricing'!$F416&lt;='2. GRI Pricing Inputs'!$G$33),'2. GRI Pricing Inputs'!$F$32,IF(AND('3. GRI Pricing'!$F416&gt;='2. GRI Pricing Inputs'!$H$33,'3. GRI Pricing'!$F416&lt;='2. GRI Pricing Inputs'!$I$33),'2. GRI Pricing Inputs'!$H$32,IF(AND('3. GRI Pricing'!$F416&gt;='2. GRI Pricing Inputs'!$J$33,'3. GRI Pricing'!$F416&lt;='2. GRI Pricing Inputs'!$K$33),'2. GRI Pricing Inputs'!$J$32,IF(AND('3. GRI Pricing'!$F416&gt;='2. GRI Pricing Inputs'!$L$33,'3. GRI Pricing'!$F416&lt;='2. GRI Pricing Inputs'!$M$33),'2. GRI Pricing Inputs'!$L$32,IF(AND('3. GRI Pricing'!$F416&gt;='2. GRI Pricing Inputs'!$N$33,'3. GRI Pricing'!$F416&lt;='2. GRI Pricing Inputs'!$O$33),'2. GRI Pricing Inputs'!$N$32,IF(AND('3. GRI Pricing'!$F416&gt;='2. GRI Pricing Inputs'!$P$33,'3. GRI Pricing'!$F416&lt;='2. GRI Pricing Inputs'!$Q$33),'2. GRI Pricing Inputs'!$P$32,IF(AND('3. GRI Pricing'!$F416&gt;='2. GRI Pricing Inputs'!$R$33,'3. GRI Pricing'!$F416&lt;='2. GRI Pricing Inputs'!$S$33),'2. GRI Pricing Inputs'!$R$32,IF(AND('3. GRI Pricing'!$F416&gt;='2. GRI Pricing Inputs'!$T$33,'3. GRI Pricing'!$F416&lt;='2. GRI Pricing Inputs'!$U$33),'2. GRI Pricing Inputs'!$T$32,IF(AND('3. GRI Pricing'!$F416&gt;='2. GRI Pricing Inputs'!$V$33,'3. GRI Pricing'!$F416&lt;='2. GRI Pricing Inputs'!$W$33),'2. GRI Pricing Inputs'!$V$32,IF(AND('3. GRI Pricing'!$F416&gt;='2. GRI Pricing Inputs'!$X$33,'3. GRI Pricing'!$F416&lt;='2. GRI Pricing Inputs'!$Y$33),'2. GRI Pricing Inputs'!$X$32,IF(AND('3. GRI Pricing'!$F416&gt;='2. GRI Pricing Inputs'!$Z$33,'3. GRI Pricing'!$F416&lt;='2. GRI Pricing Inputs'!$AA$33),'2. GRI Pricing Inputs'!$Z$32,IF(AND('3. GRI Pricing'!$F416&gt;='2. GRI Pricing Inputs'!$AB$33,'3. GRI Pricing'!$F416&lt;='2. GRI Pricing Inputs'!$AC$33),'2. GRI Pricing Inputs'!$AB$32,IF(AND('3. GRI Pricing'!$F416&gt;='2. GRI Pricing Inputs'!$AD$33,'3. GRI Pricing'!$F416&lt;='2. GRI Pricing Inputs'!$AE$33),'2. GRI Pricing Inputs'!$AD$32,IF(AND('3. GRI Pricing'!$F416&gt;='2. GRI Pricing Inputs'!$AF$33,'3. GRI Pricing'!$F416&lt;='2. GRI Pricing Inputs'!$AG$33),'2. GRI Pricing Inputs'!$AF$32,IF(AND('3. GRI Pricing'!$F416&gt;='2. GRI Pricing Inputs'!$AH$33,'3. GRI Pricing'!$F416&lt;='2. GRI Pricing Inputs'!$AI$33),'2. GRI Pricing Inputs'!$AH$32,0))))))))))))))))</f>
        <v>0</v>
      </c>
      <c r="N416" s="273" cm="1">
        <f t="array" ref="N416">IFERROR(INDEX('2. GRI Pricing Inputs'!$C$32:$AI$39,MATCH('3. GRI Pricing'!D416,'2. GRI Pricing Inputs'!$C$32:$C$39,0),(MATCH('3. GRI Pricing'!M416,'2. GRI Pricing Inputs'!$D$32:$AI$32,0)+1)),0)</f>
        <v>0</v>
      </c>
      <c r="O416" s="273">
        <f>IFERROR(INDEX('2. GRI Pricing Inputs'!$C$45:$AI$46,MATCH($O$16,'2. GRI Pricing Inputs'!$C$45:$C$46,0),MATCH(G416,'2. GRI Pricing Inputs'!$C$45:$AI$45,0)),0)</f>
        <v>0</v>
      </c>
      <c r="P416" s="273">
        <f>IFERROR(INDEX('2. GRI Pricing Inputs'!$C$53:$AI$54,MATCH('3. GRI Pricing'!$P$16,'2. GRI Pricing Inputs'!$C$53:$C$54,0),MATCH('3. GRI Pricing'!H416,'2. GRI Pricing Inputs'!$C$53:$AI$53,0)),0)</f>
        <v>0</v>
      </c>
      <c r="Q416" s="273">
        <f>IFERROR(INDEX('2. GRI Pricing Inputs'!$C$60:$AI$61,MATCH('3. GRI Pricing'!$Q$16,'2. GRI Pricing Inputs'!$C$60:$C$61,0),MATCH('1. Accomodation'!T420,'2. GRI Pricing Inputs'!$C$60:$AI$60,0)),0)</f>
        <v>0</v>
      </c>
      <c r="R416" s="273">
        <f>IFERROR(INDEX('2. GRI Pricing Inputs'!$C$67:$AI$68,MATCH('3. GRI Pricing'!$R$16,'2. GRI Pricing Inputs'!$C$67:$C$68,0),MATCH('1. Accomodation'!U420,'2. GRI Pricing Inputs'!$C$67:$AI$67,0)),0)</f>
        <v>0</v>
      </c>
      <c r="S416" s="273">
        <f>IF(D416=0,0,'2. GRI Pricing Inputs'!$AI$75)</f>
        <v>0</v>
      </c>
      <c r="T416" s="273">
        <f>IFERROR(INDEX('2. GRI Pricing Inputs'!$C$82:$AI$83,MATCH('3. GRI Pricing'!$T$16,'2. GRI Pricing Inputs'!$C$82:$C$83,0),MATCH('1. Accomodation'!V420,'2. GRI Pricing Inputs'!$C$82:$AI$82,0)),0)</f>
        <v>0</v>
      </c>
      <c r="U416" s="273">
        <f>IFERROR(INDEX('2. GRI Pricing Inputs'!$C$89:$AI$90,MATCH('3. GRI Pricing'!$U$16,'2. GRI Pricing Inputs'!$C$89:$C$90,0),MATCH('1. Accomodation'!W420,'2. GRI Pricing Inputs'!$C$89:$AI$89,0)),0)</f>
        <v>0</v>
      </c>
      <c r="V416" s="273">
        <f>IFERROR(INDEX('2. GRI Pricing Inputs'!$C$97:$AI$98,MATCH('3. GRI Pricing'!$V$16,'2. GRI Pricing Inputs'!$C$97:$C$98,0),MATCH('1. Accomodation'!X420,'2. GRI Pricing Inputs'!$C$97:$AI$97,0)),0)</f>
        <v>0</v>
      </c>
      <c r="W416" s="273">
        <f>IFERROR(INDEX('2. GRI Pricing Inputs'!$C$104:$AI$105,MATCH('3. GRI Pricing'!$W$16,'2. GRI Pricing Inputs'!$C$104:$C$105,0),MATCH('1. Accomodation'!Y420,'2. GRI Pricing Inputs'!$C$104:$AI$104,0)),0)</f>
        <v>0</v>
      </c>
      <c r="X416" s="274"/>
      <c r="Y416" s="275">
        <f t="shared" si="13"/>
        <v>0</v>
      </c>
      <c r="Z416" s="276"/>
      <c r="AA416" s="276"/>
      <c r="AB416" s="276"/>
      <c r="AC416" s="272">
        <f>Y416*(1+'2. GRI Pricing Inputs'!$D$114)^(($AC$16-$AB$15)/365)</f>
        <v>0</v>
      </c>
      <c r="AD416" s="273">
        <f>AC416*(1+'2. GRI Pricing Inputs'!$D$114)^((AD$16-AC$16)/365)</f>
        <v>0</v>
      </c>
      <c r="AE416" s="273">
        <f>AD416*(1+'2. GRI Pricing Inputs'!$D$114)^((AE$16-AD$16)/365)</f>
        <v>0</v>
      </c>
      <c r="AF416" s="273">
        <f>AE416*(1+'2. GRI Pricing Inputs'!$D$114)^((AF$16-AE$16)/365)</f>
        <v>0</v>
      </c>
      <c r="AG416" s="273">
        <f>AF416*(1+'2. GRI Pricing Inputs'!$D$114)^((AG$16-AF$16)/365)</f>
        <v>0</v>
      </c>
      <c r="AH416" s="273">
        <f>AG416*(1+'2. GRI Pricing Inputs'!$D$114)^((AH$16-AG$16)/365)</f>
        <v>0</v>
      </c>
      <c r="AI416" s="273">
        <f>AH416*(1+'2. GRI Pricing Inputs'!$D$114)^((AI$16-AH$16)/365)</f>
        <v>0</v>
      </c>
      <c r="AJ416" s="273">
        <f>AI416*(1+'2. GRI Pricing Inputs'!$D$114)^((AJ$16-AI$16)/365)</f>
        <v>0</v>
      </c>
      <c r="AK416" s="273">
        <f>AJ416*(1+'2. GRI Pricing Inputs'!$D$114)^((AK$16-AJ$16)/365)</f>
        <v>0</v>
      </c>
      <c r="AL416" s="273">
        <f>AK416*(1+'2. GRI Pricing Inputs'!$D$114)^((AL$16-AK$16)/365)</f>
        <v>0</v>
      </c>
      <c r="AM416" s="273">
        <f>AL416*(1+'2. GRI Pricing Inputs'!$D$114)^((AM$16-AL$16)/365)</f>
        <v>0</v>
      </c>
      <c r="AN416" s="273">
        <f>AM416*(1+'2. GRI Pricing Inputs'!$D$114)^((AN$16-AM$16)/365)</f>
        <v>0</v>
      </c>
      <c r="AO416" s="273">
        <f>AN416*(1+'2. GRI Pricing Inputs'!$D$114)^((AO$16-AN$16)/365)</f>
        <v>0</v>
      </c>
    </row>
    <row r="417" spans="3:41" ht="12" x14ac:dyDescent="0.2">
      <c r="C417" s="76">
        <f>'1. Accomodation'!N421</f>
        <v>0</v>
      </c>
      <c r="D417" s="69">
        <f>'1. Accomodation'!P421</f>
        <v>0</v>
      </c>
      <c r="E417" s="69">
        <f>'1. Accomodation'!Q421</f>
        <v>0</v>
      </c>
      <c r="F417" s="77">
        <f>'1. Accomodation'!O421</f>
        <v>0</v>
      </c>
      <c r="G417" s="69">
        <f>'1. Accomodation'!R421</f>
        <v>0</v>
      </c>
      <c r="H417" s="69">
        <f>'1. Accomodation'!S421</f>
        <v>0</v>
      </c>
      <c r="I417" s="62"/>
      <c r="K417" s="272">
        <f>IFERROR(INDEX('2. GRI Pricing Inputs'!$C$15:$AI$16,MATCH($K$16,'2. GRI Pricing Inputs'!$C$15:$C$16,0),MATCH(D417,'2. GRI Pricing Inputs'!$C$15:$AI$15,0)),0)</f>
        <v>0</v>
      </c>
      <c r="L417" s="273">
        <f>IFERROR(INDEX('2. GRI Pricing Inputs'!$C$22:$AI$23,MATCH($L$16,'2. GRI Pricing Inputs'!$C$22:$C$23,0),MATCH(E417,'2. GRI Pricing Inputs'!$C$22:$AI$22,0)),0)</f>
        <v>0</v>
      </c>
      <c r="M417" s="328">
        <f>IF(AND('3. GRI Pricing'!$F417&gt;='2. GRI Pricing Inputs'!$D$33,'3. GRI Pricing'!$F417&lt;='2. GRI Pricing Inputs'!$E$33),'2. GRI Pricing Inputs'!$D$32,IF(AND('3. GRI Pricing'!$F417&gt;='2. GRI Pricing Inputs'!$F$33,'3. GRI Pricing'!$F417&lt;='2. GRI Pricing Inputs'!$G$33),'2. GRI Pricing Inputs'!$F$32,IF(AND('3. GRI Pricing'!$F417&gt;='2. GRI Pricing Inputs'!$H$33,'3. GRI Pricing'!$F417&lt;='2. GRI Pricing Inputs'!$I$33),'2. GRI Pricing Inputs'!$H$32,IF(AND('3. GRI Pricing'!$F417&gt;='2. GRI Pricing Inputs'!$J$33,'3. GRI Pricing'!$F417&lt;='2. GRI Pricing Inputs'!$K$33),'2. GRI Pricing Inputs'!$J$32,IF(AND('3. GRI Pricing'!$F417&gt;='2. GRI Pricing Inputs'!$L$33,'3. GRI Pricing'!$F417&lt;='2. GRI Pricing Inputs'!$M$33),'2. GRI Pricing Inputs'!$L$32,IF(AND('3. GRI Pricing'!$F417&gt;='2. GRI Pricing Inputs'!$N$33,'3. GRI Pricing'!$F417&lt;='2. GRI Pricing Inputs'!$O$33),'2. GRI Pricing Inputs'!$N$32,IF(AND('3. GRI Pricing'!$F417&gt;='2. GRI Pricing Inputs'!$P$33,'3. GRI Pricing'!$F417&lt;='2. GRI Pricing Inputs'!$Q$33),'2. GRI Pricing Inputs'!$P$32,IF(AND('3. GRI Pricing'!$F417&gt;='2. GRI Pricing Inputs'!$R$33,'3. GRI Pricing'!$F417&lt;='2. GRI Pricing Inputs'!$S$33),'2. GRI Pricing Inputs'!$R$32,IF(AND('3. GRI Pricing'!$F417&gt;='2. GRI Pricing Inputs'!$T$33,'3. GRI Pricing'!$F417&lt;='2. GRI Pricing Inputs'!$U$33),'2. GRI Pricing Inputs'!$T$32,IF(AND('3. GRI Pricing'!$F417&gt;='2. GRI Pricing Inputs'!$V$33,'3. GRI Pricing'!$F417&lt;='2. GRI Pricing Inputs'!$W$33),'2. GRI Pricing Inputs'!$V$32,IF(AND('3. GRI Pricing'!$F417&gt;='2. GRI Pricing Inputs'!$X$33,'3. GRI Pricing'!$F417&lt;='2. GRI Pricing Inputs'!$Y$33),'2. GRI Pricing Inputs'!$X$32,IF(AND('3. GRI Pricing'!$F417&gt;='2. GRI Pricing Inputs'!$Z$33,'3. GRI Pricing'!$F417&lt;='2. GRI Pricing Inputs'!$AA$33),'2. GRI Pricing Inputs'!$Z$32,IF(AND('3. GRI Pricing'!$F417&gt;='2. GRI Pricing Inputs'!$AB$33,'3. GRI Pricing'!$F417&lt;='2. GRI Pricing Inputs'!$AC$33),'2. GRI Pricing Inputs'!$AB$32,IF(AND('3. GRI Pricing'!$F417&gt;='2. GRI Pricing Inputs'!$AD$33,'3. GRI Pricing'!$F417&lt;='2. GRI Pricing Inputs'!$AE$33),'2. GRI Pricing Inputs'!$AD$32,IF(AND('3. GRI Pricing'!$F417&gt;='2. GRI Pricing Inputs'!$AF$33,'3. GRI Pricing'!$F417&lt;='2. GRI Pricing Inputs'!$AG$33),'2. GRI Pricing Inputs'!$AF$32,IF(AND('3. GRI Pricing'!$F417&gt;='2. GRI Pricing Inputs'!$AH$33,'3. GRI Pricing'!$F417&lt;='2. GRI Pricing Inputs'!$AI$33),'2. GRI Pricing Inputs'!$AH$32,0))))))))))))))))</f>
        <v>0</v>
      </c>
      <c r="N417" s="273" cm="1">
        <f t="array" ref="N417">IFERROR(INDEX('2. GRI Pricing Inputs'!$C$32:$AI$39,MATCH('3. GRI Pricing'!D417,'2. GRI Pricing Inputs'!$C$32:$C$39,0),(MATCH('3. GRI Pricing'!M417,'2. GRI Pricing Inputs'!$D$32:$AI$32,0)+1)),0)</f>
        <v>0</v>
      </c>
      <c r="O417" s="273">
        <f>IFERROR(INDEX('2. GRI Pricing Inputs'!$C$45:$AI$46,MATCH($O$16,'2. GRI Pricing Inputs'!$C$45:$C$46,0),MATCH(G417,'2. GRI Pricing Inputs'!$C$45:$AI$45,0)),0)</f>
        <v>0</v>
      </c>
      <c r="P417" s="273">
        <f>IFERROR(INDEX('2. GRI Pricing Inputs'!$C$53:$AI$54,MATCH('3. GRI Pricing'!$P$16,'2. GRI Pricing Inputs'!$C$53:$C$54,0),MATCH('3. GRI Pricing'!H417,'2. GRI Pricing Inputs'!$C$53:$AI$53,0)),0)</f>
        <v>0</v>
      </c>
      <c r="Q417" s="273">
        <f>IFERROR(INDEX('2. GRI Pricing Inputs'!$C$60:$AI$61,MATCH('3. GRI Pricing'!$Q$16,'2. GRI Pricing Inputs'!$C$60:$C$61,0),MATCH('1. Accomodation'!T421,'2. GRI Pricing Inputs'!$C$60:$AI$60,0)),0)</f>
        <v>0</v>
      </c>
      <c r="R417" s="273">
        <f>IFERROR(INDEX('2. GRI Pricing Inputs'!$C$67:$AI$68,MATCH('3. GRI Pricing'!$R$16,'2. GRI Pricing Inputs'!$C$67:$C$68,0),MATCH('1. Accomodation'!U421,'2. GRI Pricing Inputs'!$C$67:$AI$67,0)),0)</f>
        <v>0</v>
      </c>
      <c r="S417" s="273">
        <f>IF(D417=0,0,'2. GRI Pricing Inputs'!$AI$75)</f>
        <v>0</v>
      </c>
      <c r="T417" s="273">
        <f>IFERROR(INDEX('2. GRI Pricing Inputs'!$C$82:$AI$83,MATCH('3. GRI Pricing'!$T$16,'2. GRI Pricing Inputs'!$C$82:$C$83,0),MATCH('1. Accomodation'!V421,'2. GRI Pricing Inputs'!$C$82:$AI$82,0)),0)</f>
        <v>0</v>
      </c>
      <c r="U417" s="273">
        <f>IFERROR(INDEX('2. GRI Pricing Inputs'!$C$89:$AI$90,MATCH('3. GRI Pricing'!$U$16,'2. GRI Pricing Inputs'!$C$89:$C$90,0),MATCH('1. Accomodation'!W421,'2. GRI Pricing Inputs'!$C$89:$AI$89,0)),0)</f>
        <v>0</v>
      </c>
      <c r="V417" s="273">
        <f>IFERROR(INDEX('2. GRI Pricing Inputs'!$C$97:$AI$98,MATCH('3. GRI Pricing'!$V$16,'2. GRI Pricing Inputs'!$C$97:$C$98,0),MATCH('1. Accomodation'!X421,'2. GRI Pricing Inputs'!$C$97:$AI$97,0)),0)</f>
        <v>0</v>
      </c>
      <c r="W417" s="273">
        <f>IFERROR(INDEX('2. GRI Pricing Inputs'!$C$104:$AI$105,MATCH('3. GRI Pricing'!$W$16,'2. GRI Pricing Inputs'!$C$104:$C$105,0),MATCH('1. Accomodation'!Y421,'2. GRI Pricing Inputs'!$C$104:$AI$104,0)),0)</f>
        <v>0</v>
      </c>
      <c r="X417" s="274"/>
      <c r="Y417" s="275">
        <f t="shared" si="13"/>
        <v>0</v>
      </c>
      <c r="Z417" s="276"/>
      <c r="AA417" s="276"/>
      <c r="AB417" s="276"/>
      <c r="AC417" s="272">
        <f>Y417*(1+'2. GRI Pricing Inputs'!$D$114)^(($AC$16-$AB$15)/365)</f>
        <v>0</v>
      </c>
      <c r="AD417" s="273">
        <f>AC417*(1+'2. GRI Pricing Inputs'!$D$114)^((AD$16-AC$16)/365)</f>
        <v>0</v>
      </c>
      <c r="AE417" s="273">
        <f>AD417*(1+'2. GRI Pricing Inputs'!$D$114)^((AE$16-AD$16)/365)</f>
        <v>0</v>
      </c>
      <c r="AF417" s="273">
        <f>AE417*(1+'2. GRI Pricing Inputs'!$D$114)^((AF$16-AE$16)/365)</f>
        <v>0</v>
      </c>
      <c r="AG417" s="273">
        <f>AF417*(1+'2. GRI Pricing Inputs'!$D$114)^((AG$16-AF$16)/365)</f>
        <v>0</v>
      </c>
      <c r="AH417" s="273">
        <f>AG417*(1+'2. GRI Pricing Inputs'!$D$114)^((AH$16-AG$16)/365)</f>
        <v>0</v>
      </c>
      <c r="AI417" s="273">
        <f>AH417*(1+'2. GRI Pricing Inputs'!$D$114)^((AI$16-AH$16)/365)</f>
        <v>0</v>
      </c>
      <c r="AJ417" s="273">
        <f>AI417*(1+'2. GRI Pricing Inputs'!$D$114)^((AJ$16-AI$16)/365)</f>
        <v>0</v>
      </c>
      <c r="AK417" s="273">
        <f>AJ417*(1+'2. GRI Pricing Inputs'!$D$114)^((AK$16-AJ$16)/365)</f>
        <v>0</v>
      </c>
      <c r="AL417" s="273">
        <f>AK417*(1+'2. GRI Pricing Inputs'!$D$114)^((AL$16-AK$16)/365)</f>
        <v>0</v>
      </c>
      <c r="AM417" s="273">
        <f>AL417*(1+'2. GRI Pricing Inputs'!$D$114)^((AM$16-AL$16)/365)</f>
        <v>0</v>
      </c>
      <c r="AN417" s="273">
        <f>AM417*(1+'2. GRI Pricing Inputs'!$D$114)^((AN$16-AM$16)/365)</f>
        <v>0</v>
      </c>
      <c r="AO417" s="273">
        <f>AN417*(1+'2. GRI Pricing Inputs'!$D$114)^((AO$16-AN$16)/365)</f>
        <v>0</v>
      </c>
    </row>
    <row r="418" spans="3:41" ht="12" x14ac:dyDescent="0.2">
      <c r="C418" s="76">
        <f>'1. Accomodation'!N422</f>
        <v>0</v>
      </c>
      <c r="D418" s="69">
        <f>'1. Accomodation'!P422</f>
        <v>0</v>
      </c>
      <c r="E418" s="69">
        <f>'1. Accomodation'!Q422</f>
        <v>0</v>
      </c>
      <c r="F418" s="77">
        <f>'1. Accomodation'!O422</f>
        <v>0</v>
      </c>
      <c r="G418" s="69">
        <f>'1. Accomodation'!R422</f>
        <v>0</v>
      </c>
      <c r="H418" s="69">
        <f>'1. Accomodation'!S422</f>
        <v>0</v>
      </c>
      <c r="I418" s="62"/>
      <c r="K418" s="272">
        <f>IFERROR(INDEX('2. GRI Pricing Inputs'!$C$15:$AI$16,MATCH($K$16,'2. GRI Pricing Inputs'!$C$15:$C$16,0),MATCH(D418,'2. GRI Pricing Inputs'!$C$15:$AI$15,0)),0)</f>
        <v>0</v>
      </c>
      <c r="L418" s="273">
        <f>IFERROR(INDEX('2. GRI Pricing Inputs'!$C$22:$AI$23,MATCH($L$16,'2. GRI Pricing Inputs'!$C$22:$C$23,0),MATCH(E418,'2. GRI Pricing Inputs'!$C$22:$AI$22,0)),0)</f>
        <v>0</v>
      </c>
      <c r="M418" s="328">
        <f>IF(AND('3. GRI Pricing'!$F418&gt;='2. GRI Pricing Inputs'!$D$33,'3. GRI Pricing'!$F418&lt;='2. GRI Pricing Inputs'!$E$33),'2. GRI Pricing Inputs'!$D$32,IF(AND('3. GRI Pricing'!$F418&gt;='2. GRI Pricing Inputs'!$F$33,'3. GRI Pricing'!$F418&lt;='2. GRI Pricing Inputs'!$G$33),'2. GRI Pricing Inputs'!$F$32,IF(AND('3. GRI Pricing'!$F418&gt;='2. GRI Pricing Inputs'!$H$33,'3. GRI Pricing'!$F418&lt;='2. GRI Pricing Inputs'!$I$33),'2. GRI Pricing Inputs'!$H$32,IF(AND('3. GRI Pricing'!$F418&gt;='2. GRI Pricing Inputs'!$J$33,'3. GRI Pricing'!$F418&lt;='2. GRI Pricing Inputs'!$K$33),'2. GRI Pricing Inputs'!$J$32,IF(AND('3. GRI Pricing'!$F418&gt;='2. GRI Pricing Inputs'!$L$33,'3. GRI Pricing'!$F418&lt;='2. GRI Pricing Inputs'!$M$33),'2. GRI Pricing Inputs'!$L$32,IF(AND('3. GRI Pricing'!$F418&gt;='2. GRI Pricing Inputs'!$N$33,'3. GRI Pricing'!$F418&lt;='2. GRI Pricing Inputs'!$O$33),'2. GRI Pricing Inputs'!$N$32,IF(AND('3. GRI Pricing'!$F418&gt;='2. GRI Pricing Inputs'!$P$33,'3. GRI Pricing'!$F418&lt;='2. GRI Pricing Inputs'!$Q$33),'2. GRI Pricing Inputs'!$P$32,IF(AND('3. GRI Pricing'!$F418&gt;='2. GRI Pricing Inputs'!$R$33,'3. GRI Pricing'!$F418&lt;='2. GRI Pricing Inputs'!$S$33),'2. GRI Pricing Inputs'!$R$32,IF(AND('3. GRI Pricing'!$F418&gt;='2. GRI Pricing Inputs'!$T$33,'3. GRI Pricing'!$F418&lt;='2. GRI Pricing Inputs'!$U$33),'2. GRI Pricing Inputs'!$T$32,IF(AND('3. GRI Pricing'!$F418&gt;='2. GRI Pricing Inputs'!$V$33,'3. GRI Pricing'!$F418&lt;='2. GRI Pricing Inputs'!$W$33),'2. GRI Pricing Inputs'!$V$32,IF(AND('3. GRI Pricing'!$F418&gt;='2. GRI Pricing Inputs'!$X$33,'3. GRI Pricing'!$F418&lt;='2. GRI Pricing Inputs'!$Y$33),'2. GRI Pricing Inputs'!$X$32,IF(AND('3. GRI Pricing'!$F418&gt;='2. GRI Pricing Inputs'!$Z$33,'3. GRI Pricing'!$F418&lt;='2. GRI Pricing Inputs'!$AA$33),'2. GRI Pricing Inputs'!$Z$32,IF(AND('3. GRI Pricing'!$F418&gt;='2. GRI Pricing Inputs'!$AB$33,'3. GRI Pricing'!$F418&lt;='2. GRI Pricing Inputs'!$AC$33),'2. GRI Pricing Inputs'!$AB$32,IF(AND('3. GRI Pricing'!$F418&gt;='2. GRI Pricing Inputs'!$AD$33,'3. GRI Pricing'!$F418&lt;='2. GRI Pricing Inputs'!$AE$33),'2. GRI Pricing Inputs'!$AD$32,IF(AND('3. GRI Pricing'!$F418&gt;='2. GRI Pricing Inputs'!$AF$33,'3. GRI Pricing'!$F418&lt;='2. GRI Pricing Inputs'!$AG$33),'2. GRI Pricing Inputs'!$AF$32,IF(AND('3. GRI Pricing'!$F418&gt;='2. GRI Pricing Inputs'!$AH$33,'3. GRI Pricing'!$F418&lt;='2. GRI Pricing Inputs'!$AI$33),'2. GRI Pricing Inputs'!$AH$32,0))))))))))))))))</f>
        <v>0</v>
      </c>
      <c r="N418" s="273" cm="1">
        <f t="array" ref="N418">IFERROR(INDEX('2. GRI Pricing Inputs'!$C$32:$AI$39,MATCH('3. GRI Pricing'!D418,'2. GRI Pricing Inputs'!$C$32:$C$39,0),(MATCH('3. GRI Pricing'!M418,'2. GRI Pricing Inputs'!$D$32:$AI$32,0)+1)),0)</f>
        <v>0</v>
      </c>
      <c r="O418" s="273">
        <f>IFERROR(INDEX('2. GRI Pricing Inputs'!$C$45:$AI$46,MATCH($O$16,'2. GRI Pricing Inputs'!$C$45:$C$46,0),MATCH(G418,'2. GRI Pricing Inputs'!$C$45:$AI$45,0)),0)</f>
        <v>0</v>
      </c>
      <c r="P418" s="273">
        <f>IFERROR(INDEX('2. GRI Pricing Inputs'!$C$53:$AI$54,MATCH('3. GRI Pricing'!$P$16,'2. GRI Pricing Inputs'!$C$53:$C$54,0),MATCH('3. GRI Pricing'!H418,'2. GRI Pricing Inputs'!$C$53:$AI$53,0)),0)</f>
        <v>0</v>
      </c>
      <c r="Q418" s="273">
        <f>IFERROR(INDEX('2. GRI Pricing Inputs'!$C$60:$AI$61,MATCH('3. GRI Pricing'!$Q$16,'2. GRI Pricing Inputs'!$C$60:$C$61,0),MATCH('1. Accomodation'!T422,'2. GRI Pricing Inputs'!$C$60:$AI$60,0)),0)</f>
        <v>0</v>
      </c>
      <c r="R418" s="273">
        <f>IFERROR(INDEX('2. GRI Pricing Inputs'!$C$67:$AI$68,MATCH('3. GRI Pricing'!$R$16,'2. GRI Pricing Inputs'!$C$67:$C$68,0),MATCH('1. Accomodation'!U422,'2. GRI Pricing Inputs'!$C$67:$AI$67,0)),0)</f>
        <v>0</v>
      </c>
      <c r="S418" s="273">
        <f>IF(D418=0,0,'2. GRI Pricing Inputs'!$AI$75)</f>
        <v>0</v>
      </c>
      <c r="T418" s="273">
        <f>IFERROR(INDEX('2. GRI Pricing Inputs'!$C$82:$AI$83,MATCH('3. GRI Pricing'!$T$16,'2. GRI Pricing Inputs'!$C$82:$C$83,0),MATCH('1. Accomodation'!V422,'2. GRI Pricing Inputs'!$C$82:$AI$82,0)),0)</f>
        <v>0</v>
      </c>
      <c r="U418" s="273">
        <f>IFERROR(INDEX('2. GRI Pricing Inputs'!$C$89:$AI$90,MATCH('3. GRI Pricing'!$U$16,'2. GRI Pricing Inputs'!$C$89:$C$90,0),MATCH('1. Accomodation'!W422,'2. GRI Pricing Inputs'!$C$89:$AI$89,0)),0)</f>
        <v>0</v>
      </c>
      <c r="V418" s="273">
        <f>IFERROR(INDEX('2. GRI Pricing Inputs'!$C$97:$AI$98,MATCH('3. GRI Pricing'!$V$16,'2. GRI Pricing Inputs'!$C$97:$C$98,0),MATCH('1. Accomodation'!X422,'2. GRI Pricing Inputs'!$C$97:$AI$97,0)),0)</f>
        <v>0</v>
      </c>
      <c r="W418" s="273">
        <f>IFERROR(INDEX('2. GRI Pricing Inputs'!$C$104:$AI$105,MATCH('3. GRI Pricing'!$W$16,'2. GRI Pricing Inputs'!$C$104:$C$105,0),MATCH('1. Accomodation'!Y422,'2. GRI Pricing Inputs'!$C$104:$AI$104,0)),0)</f>
        <v>0</v>
      </c>
      <c r="X418" s="274"/>
      <c r="Y418" s="275">
        <f t="shared" si="13"/>
        <v>0</v>
      </c>
      <c r="Z418" s="276"/>
      <c r="AA418" s="276"/>
      <c r="AB418" s="276"/>
      <c r="AC418" s="272">
        <f>Y418*(1+'2. GRI Pricing Inputs'!$D$114)^(($AC$16-$AB$15)/365)</f>
        <v>0</v>
      </c>
      <c r="AD418" s="273">
        <f>AC418*(1+'2. GRI Pricing Inputs'!$D$114)^((AD$16-AC$16)/365)</f>
        <v>0</v>
      </c>
      <c r="AE418" s="273">
        <f>AD418*(1+'2. GRI Pricing Inputs'!$D$114)^((AE$16-AD$16)/365)</f>
        <v>0</v>
      </c>
      <c r="AF418" s="273">
        <f>AE418*(1+'2. GRI Pricing Inputs'!$D$114)^((AF$16-AE$16)/365)</f>
        <v>0</v>
      </c>
      <c r="AG418" s="273">
        <f>AF418*(1+'2. GRI Pricing Inputs'!$D$114)^((AG$16-AF$16)/365)</f>
        <v>0</v>
      </c>
      <c r="AH418" s="273">
        <f>AG418*(1+'2. GRI Pricing Inputs'!$D$114)^((AH$16-AG$16)/365)</f>
        <v>0</v>
      </c>
      <c r="AI418" s="273">
        <f>AH418*(1+'2. GRI Pricing Inputs'!$D$114)^((AI$16-AH$16)/365)</f>
        <v>0</v>
      </c>
      <c r="AJ418" s="273">
        <f>AI418*(1+'2. GRI Pricing Inputs'!$D$114)^((AJ$16-AI$16)/365)</f>
        <v>0</v>
      </c>
      <c r="AK418" s="273">
        <f>AJ418*(1+'2. GRI Pricing Inputs'!$D$114)^((AK$16-AJ$16)/365)</f>
        <v>0</v>
      </c>
      <c r="AL418" s="273">
        <f>AK418*(1+'2. GRI Pricing Inputs'!$D$114)^((AL$16-AK$16)/365)</f>
        <v>0</v>
      </c>
      <c r="AM418" s="273">
        <f>AL418*(1+'2. GRI Pricing Inputs'!$D$114)^((AM$16-AL$16)/365)</f>
        <v>0</v>
      </c>
      <c r="AN418" s="273">
        <f>AM418*(1+'2. GRI Pricing Inputs'!$D$114)^((AN$16-AM$16)/365)</f>
        <v>0</v>
      </c>
      <c r="AO418" s="273">
        <f>AN418*(1+'2. GRI Pricing Inputs'!$D$114)^((AO$16-AN$16)/365)</f>
        <v>0</v>
      </c>
    </row>
    <row r="419" spans="3:41" ht="12" x14ac:dyDescent="0.2">
      <c r="C419" s="76">
        <f>'1. Accomodation'!N423</f>
        <v>0</v>
      </c>
      <c r="D419" s="69">
        <f>'1. Accomodation'!P423</f>
        <v>0</v>
      </c>
      <c r="E419" s="69">
        <f>'1. Accomodation'!Q423</f>
        <v>0</v>
      </c>
      <c r="F419" s="77">
        <f>'1. Accomodation'!O423</f>
        <v>0</v>
      </c>
      <c r="G419" s="69">
        <f>'1. Accomodation'!R423</f>
        <v>0</v>
      </c>
      <c r="H419" s="69">
        <f>'1. Accomodation'!S423</f>
        <v>0</v>
      </c>
      <c r="I419" s="62"/>
      <c r="K419" s="272">
        <f>IFERROR(INDEX('2. GRI Pricing Inputs'!$C$15:$AI$16,MATCH($K$16,'2. GRI Pricing Inputs'!$C$15:$C$16,0),MATCH(D419,'2. GRI Pricing Inputs'!$C$15:$AI$15,0)),0)</f>
        <v>0</v>
      </c>
      <c r="L419" s="273">
        <f>IFERROR(INDEX('2. GRI Pricing Inputs'!$C$22:$AI$23,MATCH($L$16,'2. GRI Pricing Inputs'!$C$22:$C$23,0),MATCH(E419,'2. GRI Pricing Inputs'!$C$22:$AI$22,0)),0)</f>
        <v>0</v>
      </c>
      <c r="M419" s="328">
        <f>IF(AND('3. GRI Pricing'!$F419&gt;='2. GRI Pricing Inputs'!$D$33,'3. GRI Pricing'!$F419&lt;='2. GRI Pricing Inputs'!$E$33),'2. GRI Pricing Inputs'!$D$32,IF(AND('3. GRI Pricing'!$F419&gt;='2. GRI Pricing Inputs'!$F$33,'3. GRI Pricing'!$F419&lt;='2. GRI Pricing Inputs'!$G$33),'2. GRI Pricing Inputs'!$F$32,IF(AND('3. GRI Pricing'!$F419&gt;='2. GRI Pricing Inputs'!$H$33,'3. GRI Pricing'!$F419&lt;='2. GRI Pricing Inputs'!$I$33),'2. GRI Pricing Inputs'!$H$32,IF(AND('3. GRI Pricing'!$F419&gt;='2. GRI Pricing Inputs'!$J$33,'3. GRI Pricing'!$F419&lt;='2. GRI Pricing Inputs'!$K$33),'2. GRI Pricing Inputs'!$J$32,IF(AND('3. GRI Pricing'!$F419&gt;='2. GRI Pricing Inputs'!$L$33,'3. GRI Pricing'!$F419&lt;='2. GRI Pricing Inputs'!$M$33),'2. GRI Pricing Inputs'!$L$32,IF(AND('3. GRI Pricing'!$F419&gt;='2. GRI Pricing Inputs'!$N$33,'3. GRI Pricing'!$F419&lt;='2. GRI Pricing Inputs'!$O$33),'2. GRI Pricing Inputs'!$N$32,IF(AND('3. GRI Pricing'!$F419&gt;='2. GRI Pricing Inputs'!$P$33,'3. GRI Pricing'!$F419&lt;='2. GRI Pricing Inputs'!$Q$33),'2. GRI Pricing Inputs'!$P$32,IF(AND('3. GRI Pricing'!$F419&gt;='2. GRI Pricing Inputs'!$R$33,'3. GRI Pricing'!$F419&lt;='2. GRI Pricing Inputs'!$S$33),'2. GRI Pricing Inputs'!$R$32,IF(AND('3. GRI Pricing'!$F419&gt;='2. GRI Pricing Inputs'!$T$33,'3. GRI Pricing'!$F419&lt;='2. GRI Pricing Inputs'!$U$33),'2. GRI Pricing Inputs'!$T$32,IF(AND('3. GRI Pricing'!$F419&gt;='2. GRI Pricing Inputs'!$V$33,'3. GRI Pricing'!$F419&lt;='2. GRI Pricing Inputs'!$W$33),'2. GRI Pricing Inputs'!$V$32,IF(AND('3. GRI Pricing'!$F419&gt;='2. GRI Pricing Inputs'!$X$33,'3. GRI Pricing'!$F419&lt;='2. GRI Pricing Inputs'!$Y$33),'2. GRI Pricing Inputs'!$X$32,IF(AND('3. GRI Pricing'!$F419&gt;='2. GRI Pricing Inputs'!$Z$33,'3. GRI Pricing'!$F419&lt;='2. GRI Pricing Inputs'!$AA$33),'2. GRI Pricing Inputs'!$Z$32,IF(AND('3. GRI Pricing'!$F419&gt;='2. GRI Pricing Inputs'!$AB$33,'3. GRI Pricing'!$F419&lt;='2. GRI Pricing Inputs'!$AC$33),'2. GRI Pricing Inputs'!$AB$32,IF(AND('3. GRI Pricing'!$F419&gt;='2. GRI Pricing Inputs'!$AD$33,'3. GRI Pricing'!$F419&lt;='2. GRI Pricing Inputs'!$AE$33),'2. GRI Pricing Inputs'!$AD$32,IF(AND('3. GRI Pricing'!$F419&gt;='2. GRI Pricing Inputs'!$AF$33,'3. GRI Pricing'!$F419&lt;='2. GRI Pricing Inputs'!$AG$33),'2. GRI Pricing Inputs'!$AF$32,IF(AND('3. GRI Pricing'!$F419&gt;='2. GRI Pricing Inputs'!$AH$33,'3. GRI Pricing'!$F419&lt;='2. GRI Pricing Inputs'!$AI$33),'2. GRI Pricing Inputs'!$AH$32,0))))))))))))))))</f>
        <v>0</v>
      </c>
      <c r="N419" s="273" cm="1">
        <f t="array" ref="N419">IFERROR(INDEX('2. GRI Pricing Inputs'!$C$32:$AI$39,MATCH('3. GRI Pricing'!D419,'2. GRI Pricing Inputs'!$C$32:$C$39,0),(MATCH('3. GRI Pricing'!M419,'2. GRI Pricing Inputs'!$D$32:$AI$32,0)+1)),0)</f>
        <v>0</v>
      </c>
      <c r="O419" s="273">
        <f>IFERROR(INDEX('2. GRI Pricing Inputs'!$C$45:$AI$46,MATCH($O$16,'2. GRI Pricing Inputs'!$C$45:$C$46,0),MATCH(G419,'2. GRI Pricing Inputs'!$C$45:$AI$45,0)),0)</f>
        <v>0</v>
      </c>
      <c r="P419" s="273">
        <f>IFERROR(INDEX('2. GRI Pricing Inputs'!$C$53:$AI$54,MATCH('3. GRI Pricing'!$P$16,'2. GRI Pricing Inputs'!$C$53:$C$54,0),MATCH('3. GRI Pricing'!H419,'2. GRI Pricing Inputs'!$C$53:$AI$53,0)),0)</f>
        <v>0</v>
      </c>
      <c r="Q419" s="273">
        <f>IFERROR(INDEX('2. GRI Pricing Inputs'!$C$60:$AI$61,MATCH('3. GRI Pricing'!$Q$16,'2. GRI Pricing Inputs'!$C$60:$C$61,0),MATCH('1. Accomodation'!T423,'2. GRI Pricing Inputs'!$C$60:$AI$60,0)),0)</f>
        <v>0</v>
      </c>
      <c r="R419" s="273">
        <f>IFERROR(INDEX('2. GRI Pricing Inputs'!$C$67:$AI$68,MATCH('3. GRI Pricing'!$R$16,'2. GRI Pricing Inputs'!$C$67:$C$68,0),MATCH('1. Accomodation'!U423,'2. GRI Pricing Inputs'!$C$67:$AI$67,0)),0)</f>
        <v>0</v>
      </c>
      <c r="S419" s="273">
        <f>IF(D419=0,0,'2. GRI Pricing Inputs'!$AI$75)</f>
        <v>0</v>
      </c>
      <c r="T419" s="273">
        <f>IFERROR(INDEX('2. GRI Pricing Inputs'!$C$82:$AI$83,MATCH('3. GRI Pricing'!$T$16,'2. GRI Pricing Inputs'!$C$82:$C$83,0),MATCH('1. Accomodation'!V423,'2. GRI Pricing Inputs'!$C$82:$AI$82,0)),0)</f>
        <v>0</v>
      </c>
      <c r="U419" s="273">
        <f>IFERROR(INDEX('2. GRI Pricing Inputs'!$C$89:$AI$90,MATCH('3. GRI Pricing'!$U$16,'2. GRI Pricing Inputs'!$C$89:$C$90,0),MATCH('1. Accomodation'!W423,'2. GRI Pricing Inputs'!$C$89:$AI$89,0)),0)</f>
        <v>0</v>
      </c>
      <c r="V419" s="273">
        <f>IFERROR(INDEX('2. GRI Pricing Inputs'!$C$97:$AI$98,MATCH('3. GRI Pricing'!$V$16,'2. GRI Pricing Inputs'!$C$97:$C$98,0),MATCH('1. Accomodation'!X423,'2. GRI Pricing Inputs'!$C$97:$AI$97,0)),0)</f>
        <v>0</v>
      </c>
      <c r="W419" s="273">
        <f>IFERROR(INDEX('2. GRI Pricing Inputs'!$C$104:$AI$105,MATCH('3. GRI Pricing'!$W$16,'2. GRI Pricing Inputs'!$C$104:$C$105,0),MATCH('1. Accomodation'!Y423,'2. GRI Pricing Inputs'!$C$104:$AI$104,0)),0)</f>
        <v>0</v>
      </c>
      <c r="X419" s="274"/>
      <c r="Y419" s="275">
        <f t="shared" si="13"/>
        <v>0</v>
      </c>
      <c r="Z419" s="276"/>
      <c r="AA419" s="276"/>
      <c r="AB419" s="276"/>
      <c r="AC419" s="272">
        <f>Y419*(1+'2. GRI Pricing Inputs'!$D$114)^(($AC$16-$AB$15)/365)</f>
        <v>0</v>
      </c>
      <c r="AD419" s="273">
        <f>AC419*(1+'2. GRI Pricing Inputs'!$D$114)^((AD$16-AC$16)/365)</f>
        <v>0</v>
      </c>
      <c r="AE419" s="273">
        <f>AD419*(1+'2. GRI Pricing Inputs'!$D$114)^((AE$16-AD$16)/365)</f>
        <v>0</v>
      </c>
      <c r="AF419" s="273">
        <f>AE419*(1+'2. GRI Pricing Inputs'!$D$114)^((AF$16-AE$16)/365)</f>
        <v>0</v>
      </c>
      <c r="AG419" s="273">
        <f>AF419*(1+'2. GRI Pricing Inputs'!$D$114)^((AG$16-AF$16)/365)</f>
        <v>0</v>
      </c>
      <c r="AH419" s="273">
        <f>AG419*(1+'2. GRI Pricing Inputs'!$D$114)^((AH$16-AG$16)/365)</f>
        <v>0</v>
      </c>
      <c r="AI419" s="273">
        <f>AH419*(1+'2. GRI Pricing Inputs'!$D$114)^((AI$16-AH$16)/365)</f>
        <v>0</v>
      </c>
      <c r="AJ419" s="273">
        <f>AI419*(1+'2. GRI Pricing Inputs'!$D$114)^((AJ$16-AI$16)/365)</f>
        <v>0</v>
      </c>
      <c r="AK419" s="273">
        <f>AJ419*(1+'2. GRI Pricing Inputs'!$D$114)^((AK$16-AJ$16)/365)</f>
        <v>0</v>
      </c>
      <c r="AL419" s="273">
        <f>AK419*(1+'2. GRI Pricing Inputs'!$D$114)^((AL$16-AK$16)/365)</f>
        <v>0</v>
      </c>
      <c r="AM419" s="273">
        <f>AL419*(1+'2. GRI Pricing Inputs'!$D$114)^((AM$16-AL$16)/365)</f>
        <v>0</v>
      </c>
      <c r="AN419" s="273">
        <f>AM419*(1+'2. GRI Pricing Inputs'!$D$114)^((AN$16-AM$16)/365)</f>
        <v>0</v>
      </c>
      <c r="AO419" s="273">
        <f>AN419*(1+'2. GRI Pricing Inputs'!$D$114)^((AO$16-AN$16)/365)</f>
        <v>0</v>
      </c>
    </row>
    <row r="420" spans="3:41" ht="12" x14ac:dyDescent="0.2">
      <c r="C420" s="76">
        <f>'1. Accomodation'!N424</f>
        <v>0</v>
      </c>
      <c r="D420" s="69">
        <f>'1. Accomodation'!P424</f>
        <v>0</v>
      </c>
      <c r="E420" s="69">
        <f>'1. Accomodation'!Q424</f>
        <v>0</v>
      </c>
      <c r="F420" s="77">
        <f>'1. Accomodation'!O424</f>
        <v>0</v>
      </c>
      <c r="G420" s="69">
        <f>'1. Accomodation'!R424</f>
        <v>0</v>
      </c>
      <c r="H420" s="69">
        <f>'1. Accomodation'!S424</f>
        <v>0</v>
      </c>
      <c r="I420" s="62"/>
      <c r="K420" s="272">
        <f>IFERROR(INDEX('2. GRI Pricing Inputs'!$C$15:$AI$16,MATCH($K$16,'2. GRI Pricing Inputs'!$C$15:$C$16,0),MATCH(D420,'2. GRI Pricing Inputs'!$C$15:$AI$15,0)),0)</f>
        <v>0</v>
      </c>
      <c r="L420" s="273">
        <f>IFERROR(INDEX('2. GRI Pricing Inputs'!$C$22:$AI$23,MATCH($L$16,'2. GRI Pricing Inputs'!$C$22:$C$23,0),MATCH(E420,'2. GRI Pricing Inputs'!$C$22:$AI$22,0)),0)</f>
        <v>0</v>
      </c>
      <c r="M420" s="328">
        <f>IF(AND('3. GRI Pricing'!$F420&gt;='2. GRI Pricing Inputs'!$D$33,'3. GRI Pricing'!$F420&lt;='2. GRI Pricing Inputs'!$E$33),'2. GRI Pricing Inputs'!$D$32,IF(AND('3. GRI Pricing'!$F420&gt;='2. GRI Pricing Inputs'!$F$33,'3. GRI Pricing'!$F420&lt;='2. GRI Pricing Inputs'!$G$33),'2. GRI Pricing Inputs'!$F$32,IF(AND('3. GRI Pricing'!$F420&gt;='2. GRI Pricing Inputs'!$H$33,'3. GRI Pricing'!$F420&lt;='2. GRI Pricing Inputs'!$I$33),'2. GRI Pricing Inputs'!$H$32,IF(AND('3. GRI Pricing'!$F420&gt;='2. GRI Pricing Inputs'!$J$33,'3. GRI Pricing'!$F420&lt;='2. GRI Pricing Inputs'!$K$33),'2. GRI Pricing Inputs'!$J$32,IF(AND('3. GRI Pricing'!$F420&gt;='2. GRI Pricing Inputs'!$L$33,'3. GRI Pricing'!$F420&lt;='2. GRI Pricing Inputs'!$M$33),'2. GRI Pricing Inputs'!$L$32,IF(AND('3. GRI Pricing'!$F420&gt;='2. GRI Pricing Inputs'!$N$33,'3. GRI Pricing'!$F420&lt;='2. GRI Pricing Inputs'!$O$33),'2. GRI Pricing Inputs'!$N$32,IF(AND('3. GRI Pricing'!$F420&gt;='2. GRI Pricing Inputs'!$P$33,'3. GRI Pricing'!$F420&lt;='2. GRI Pricing Inputs'!$Q$33),'2. GRI Pricing Inputs'!$P$32,IF(AND('3. GRI Pricing'!$F420&gt;='2. GRI Pricing Inputs'!$R$33,'3. GRI Pricing'!$F420&lt;='2. GRI Pricing Inputs'!$S$33),'2. GRI Pricing Inputs'!$R$32,IF(AND('3. GRI Pricing'!$F420&gt;='2. GRI Pricing Inputs'!$T$33,'3. GRI Pricing'!$F420&lt;='2. GRI Pricing Inputs'!$U$33),'2. GRI Pricing Inputs'!$T$32,IF(AND('3. GRI Pricing'!$F420&gt;='2. GRI Pricing Inputs'!$V$33,'3. GRI Pricing'!$F420&lt;='2. GRI Pricing Inputs'!$W$33),'2. GRI Pricing Inputs'!$V$32,IF(AND('3. GRI Pricing'!$F420&gt;='2. GRI Pricing Inputs'!$X$33,'3. GRI Pricing'!$F420&lt;='2. GRI Pricing Inputs'!$Y$33),'2. GRI Pricing Inputs'!$X$32,IF(AND('3. GRI Pricing'!$F420&gt;='2. GRI Pricing Inputs'!$Z$33,'3. GRI Pricing'!$F420&lt;='2. GRI Pricing Inputs'!$AA$33),'2. GRI Pricing Inputs'!$Z$32,IF(AND('3. GRI Pricing'!$F420&gt;='2. GRI Pricing Inputs'!$AB$33,'3. GRI Pricing'!$F420&lt;='2. GRI Pricing Inputs'!$AC$33),'2. GRI Pricing Inputs'!$AB$32,IF(AND('3. GRI Pricing'!$F420&gt;='2. GRI Pricing Inputs'!$AD$33,'3. GRI Pricing'!$F420&lt;='2. GRI Pricing Inputs'!$AE$33),'2. GRI Pricing Inputs'!$AD$32,IF(AND('3. GRI Pricing'!$F420&gt;='2. GRI Pricing Inputs'!$AF$33,'3. GRI Pricing'!$F420&lt;='2. GRI Pricing Inputs'!$AG$33),'2. GRI Pricing Inputs'!$AF$32,IF(AND('3. GRI Pricing'!$F420&gt;='2. GRI Pricing Inputs'!$AH$33,'3. GRI Pricing'!$F420&lt;='2. GRI Pricing Inputs'!$AI$33),'2. GRI Pricing Inputs'!$AH$32,0))))))))))))))))</f>
        <v>0</v>
      </c>
      <c r="N420" s="273" cm="1">
        <f t="array" ref="N420">IFERROR(INDEX('2. GRI Pricing Inputs'!$C$32:$AI$39,MATCH('3. GRI Pricing'!D420,'2. GRI Pricing Inputs'!$C$32:$C$39,0),(MATCH('3. GRI Pricing'!M420,'2. GRI Pricing Inputs'!$D$32:$AI$32,0)+1)),0)</f>
        <v>0</v>
      </c>
      <c r="O420" s="273">
        <f>IFERROR(INDEX('2. GRI Pricing Inputs'!$C$45:$AI$46,MATCH($O$16,'2. GRI Pricing Inputs'!$C$45:$C$46,0),MATCH(G420,'2. GRI Pricing Inputs'!$C$45:$AI$45,0)),0)</f>
        <v>0</v>
      </c>
      <c r="P420" s="273">
        <f>IFERROR(INDEX('2. GRI Pricing Inputs'!$C$53:$AI$54,MATCH('3. GRI Pricing'!$P$16,'2. GRI Pricing Inputs'!$C$53:$C$54,0),MATCH('3. GRI Pricing'!H420,'2. GRI Pricing Inputs'!$C$53:$AI$53,0)),0)</f>
        <v>0</v>
      </c>
      <c r="Q420" s="273">
        <f>IFERROR(INDEX('2. GRI Pricing Inputs'!$C$60:$AI$61,MATCH('3. GRI Pricing'!$Q$16,'2. GRI Pricing Inputs'!$C$60:$C$61,0),MATCH('1. Accomodation'!T424,'2. GRI Pricing Inputs'!$C$60:$AI$60,0)),0)</f>
        <v>0</v>
      </c>
      <c r="R420" s="273">
        <f>IFERROR(INDEX('2. GRI Pricing Inputs'!$C$67:$AI$68,MATCH('3. GRI Pricing'!$R$16,'2. GRI Pricing Inputs'!$C$67:$C$68,0),MATCH('1. Accomodation'!U424,'2. GRI Pricing Inputs'!$C$67:$AI$67,0)),0)</f>
        <v>0</v>
      </c>
      <c r="S420" s="273">
        <f>IF(D420=0,0,'2. GRI Pricing Inputs'!$AI$75)</f>
        <v>0</v>
      </c>
      <c r="T420" s="273">
        <f>IFERROR(INDEX('2. GRI Pricing Inputs'!$C$82:$AI$83,MATCH('3. GRI Pricing'!$T$16,'2. GRI Pricing Inputs'!$C$82:$C$83,0),MATCH('1. Accomodation'!V424,'2. GRI Pricing Inputs'!$C$82:$AI$82,0)),0)</f>
        <v>0</v>
      </c>
      <c r="U420" s="273">
        <f>IFERROR(INDEX('2. GRI Pricing Inputs'!$C$89:$AI$90,MATCH('3. GRI Pricing'!$U$16,'2. GRI Pricing Inputs'!$C$89:$C$90,0),MATCH('1. Accomodation'!W424,'2. GRI Pricing Inputs'!$C$89:$AI$89,0)),0)</f>
        <v>0</v>
      </c>
      <c r="V420" s="273">
        <f>IFERROR(INDEX('2. GRI Pricing Inputs'!$C$97:$AI$98,MATCH('3. GRI Pricing'!$V$16,'2. GRI Pricing Inputs'!$C$97:$C$98,0),MATCH('1. Accomodation'!X424,'2. GRI Pricing Inputs'!$C$97:$AI$97,0)),0)</f>
        <v>0</v>
      </c>
      <c r="W420" s="273">
        <f>IFERROR(INDEX('2. GRI Pricing Inputs'!$C$104:$AI$105,MATCH('3. GRI Pricing'!$W$16,'2. GRI Pricing Inputs'!$C$104:$C$105,0),MATCH('1. Accomodation'!Y424,'2. GRI Pricing Inputs'!$C$104:$AI$104,0)),0)</f>
        <v>0</v>
      </c>
      <c r="X420" s="274"/>
      <c r="Y420" s="275">
        <f t="shared" si="13"/>
        <v>0</v>
      </c>
      <c r="Z420" s="276"/>
      <c r="AA420" s="276"/>
      <c r="AB420" s="276"/>
      <c r="AC420" s="272">
        <f>Y420*(1+'2. GRI Pricing Inputs'!$D$114)^(($AC$16-$AB$15)/365)</f>
        <v>0</v>
      </c>
      <c r="AD420" s="273">
        <f>AC420*(1+'2. GRI Pricing Inputs'!$D$114)^((AD$16-AC$16)/365)</f>
        <v>0</v>
      </c>
      <c r="AE420" s="273">
        <f>AD420*(1+'2. GRI Pricing Inputs'!$D$114)^((AE$16-AD$16)/365)</f>
        <v>0</v>
      </c>
      <c r="AF420" s="273">
        <f>AE420*(1+'2. GRI Pricing Inputs'!$D$114)^((AF$16-AE$16)/365)</f>
        <v>0</v>
      </c>
      <c r="AG420" s="273">
        <f>AF420*(1+'2. GRI Pricing Inputs'!$D$114)^((AG$16-AF$16)/365)</f>
        <v>0</v>
      </c>
      <c r="AH420" s="273">
        <f>AG420*(1+'2. GRI Pricing Inputs'!$D$114)^((AH$16-AG$16)/365)</f>
        <v>0</v>
      </c>
      <c r="AI420" s="273">
        <f>AH420*(1+'2. GRI Pricing Inputs'!$D$114)^((AI$16-AH$16)/365)</f>
        <v>0</v>
      </c>
      <c r="AJ420" s="273">
        <f>AI420*(1+'2. GRI Pricing Inputs'!$D$114)^((AJ$16-AI$16)/365)</f>
        <v>0</v>
      </c>
      <c r="AK420" s="273">
        <f>AJ420*(1+'2. GRI Pricing Inputs'!$D$114)^((AK$16-AJ$16)/365)</f>
        <v>0</v>
      </c>
      <c r="AL420" s="273">
        <f>AK420*(1+'2. GRI Pricing Inputs'!$D$114)^((AL$16-AK$16)/365)</f>
        <v>0</v>
      </c>
      <c r="AM420" s="273">
        <f>AL420*(1+'2. GRI Pricing Inputs'!$D$114)^((AM$16-AL$16)/365)</f>
        <v>0</v>
      </c>
      <c r="AN420" s="273">
        <f>AM420*(1+'2. GRI Pricing Inputs'!$D$114)^((AN$16-AM$16)/365)</f>
        <v>0</v>
      </c>
      <c r="AO420" s="273">
        <f>AN420*(1+'2. GRI Pricing Inputs'!$D$114)^((AO$16-AN$16)/365)</f>
        <v>0</v>
      </c>
    </row>
    <row r="421" spans="3:41" ht="12" x14ac:dyDescent="0.2">
      <c r="C421" s="76">
        <f>'1. Accomodation'!N425</f>
        <v>0</v>
      </c>
      <c r="D421" s="69">
        <f>'1. Accomodation'!P425</f>
        <v>0</v>
      </c>
      <c r="E421" s="69">
        <f>'1. Accomodation'!Q425</f>
        <v>0</v>
      </c>
      <c r="F421" s="77">
        <f>'1. Accomodation'!O425</f>
        <v>0</v>
      </c>
      <c r="G421" s="69">
        <f>'1. Accomodation'!R425</f>
        <v>0</v>
      </c>
      <c r="H421" s="69">
        <f>'1. Accomodation'!S425</f>
        <v>0</v>
      </c>
      <c r="I421" s="62"/>
      <c r="K421" s="272">
        <f>IFERROR(INDEX('2. GRI Pricing Inputs'!$C$15:$AI$16,MATCH($K$16,'2. GRI Pricing Inputs'!$C$15:$C$16,0),MATCH(D421,'2. GRI Pricing Inputs'!$C$15:$AI$15,0)),0)</f>
        <v>0</v>
      </c>
      <c r="L421" s="273">
        <f>IFERROR(INDEX('2. GRI Pricing Inputs'!$C$22:$AI$23,MATCH($L$16,'2. GRI Pricing Inputs'!$C$22:$C$23,0),MATCH(E421,'2. GRI Pricing Inputs'!$C$22:$AI$22,0)),0)</f>
        <v>0</v>
      </c>
      <c r="M421" s="328">
        <f>IF(AND('3. GRI Pricing'!$F421&gt;='2. GRI Pricing Inputs'!$D$33,'3. GRI Pricing'!$F421&lt;='2. GRI Pricing Inputs'!$E$33),'2. GRI Pricing Inputs'!$D$32,IF(AND('3. GRI Pricing'!$F421&gt;='2. GRI Pricing Inputs'!$F$33,'3. GRI Pricing'!$F421&lt;='2. GRI Pricing Inputs'!$G$33),'2. GRI Pricing Inputs'!$F$32,IF(AND('3. GRI Pricing'!$F421&gt;='2. GRI Pricing Inputs'!$H$33,'3. GRI Pricing'!$F421&lt;='2. GRI Pricing Inputs'!$I$33),'2. GRI Pricing Inputs'!$H$32,IF(AND('3. GRI Pricing'!$F421&gt;='2. GRI Pricing Inputs'!$J$33,'3. GRI Pricing'!$F421&lt;='2. GRI Pricing Inputs'!$K$33),'2. GRI Pricing Inputs'!$J$32,IF(AND('3. GRI Pricing'!$F421&gt;='2. GRI Pricing Inputs'!$L$33,'3. GRI Pricing'!$F421&lt;='2. GRI Pricing Inputs'!$M$33),'2. GRI Pricing Inputs'!$L$32,IF(AND('3. GRI Pricing'!$F421&gt;='2. GRI Pricing Inputs'!$N$33,'3. GRI Pricing'!$F421&lt;='2. GRI Pricing Inputs'!$O$33),'2. GRI Pricing Inputs'!$N$32,IF(AND('3. GRI Pricing'!$F421&gt;='2. GRI Pricing Inputs'!$P$33,'3. GRI Pricing'!$F421&lt;='2. GRI Pricing Inputs'!$Q$33),'2. GRI Pricing Inputs'!$P$32,IF(AND('3. GRI Pricing'!$F421&gt;='2. GRI Pricing Inputs'!$R$33,'3. GRI Pricing'!$F421&lt;='2. GRI Pricing Inputs'!$S$33),'2. GRI Pricing Inputs'!$R$32,IF(AND('3. GRI Pricing'!$F421&gt;='2. GRI Pricing Inputs'!$T$33,'3. GRI Pricing'!$F421&lt;='2. GRI Pricing Inputs'!$U$33),'2. GRI Pricing Inputs'!$T$32,IF(AND('3. GRI Pricing'!$F421&gt;='2. GRI Pricing Inputs'!$V$33,'3. GRI Pricing'!$F421&lt;='2. GRI Pricing Inputs'!$W$33),'2. GRI Pricing Inputs'!$V$32,IF(AND('3. GRI Pricing'!$F421&gt;='2. GRI Pricing Inputs'!$X$33,'3. GRI Pricing'!$F421&lt;='2. GRI Pricing Inputs'!$Y$33),'2. GRI Pricing Inputs'!$X$32,IF(AND('3. GRI Pricing'!$F421&gt;='2. GRI Pricing Inputs'!$Z$33,'3. GRI Pricing'!$F421&lt;='2. GRI Pricing Inputs'!$AA$33),'2. GRI Pricing Inputs'!$Z$32,IF(AND('3. GRI Pricing'!$F421&gt;='2. GRI Pricing Inputs'!$AB$33,'3. GRI Pricing'!$F421&lt;='2. GRI Pricing Inputs'!$AC$33),'2. GRI Pricing Inputs'!$AB$32,IF(AND('3. GRI Pricing'!$F421&gt;='2. GRI Pricing Inputs'!$AD$33,'3. GRI Pricing'!$F421&lt;='2. GRI Pricing Inputs'!$AE$33),'2. GRI Pricing Inputs'!$AD$32,IF(AND('3. GRI Pricing'!$F421&gt;='2. GRI Pricing Inputs'!$AF$33,'3. GRI Pricing'!$F421&lt;='2. GRI Pricing Inputs'!$AG$33),'2. GRI Pricing Inputs'!$AF$32,IF(AND('3. GRI Pricing'!$F421&gt;='2. GRI Pricing Inputs'!$AH$33,'3. GRI Pricing'!$F421&lt;='2. GRI Pricing Inputs'!$AI$33),'2. GRI Pricing Inputs'!$AH$32,0))))))))))))))))</f>
        <v>0</v>
      </c>
      <c r="N421" s="273" cm="1">
        <f t="array" ref="N421">IFERROR(INDEX('2. GRI Pricing Inputs'!$C$32:$AI$39,MATCH('3. GRI Pricing'!D421,'2. GRI Pricing Inputs'!$C$32:$C$39,0),(MATCH('3. GRI Pricing'!M421,'2. GRI Pricing Inputs'!$D$32:$AI$32,0)+1)),0)</f>
        <v>0</v>
      </c>
      <c r="O421" s="273">
        <f>IFERROR(INDEX('2. GRI Pricing Inputs'!$C$45:$AI$46,MATCH($O$16,'2. GRI Pricing Inputs'!$C$45:$C$46,0),MATCH(G421,'2. GRI Pricing Inputs'!$C$45:$AI$45,0)),0)</f>
        <v>0</v>
      </c>
      <c r="P421" s="273">
        <f>IFERROR(INDEX('2. GRI Pricing Inputs'!$C$53:$AI$54,MATCH('3. GRI Pricing'!$P$16,'2. GRI Pricing Inputs'!$C$53:$C$54,0),MATCH('3. GRI Pricing'!H421,'2. GRI Pricing Inputs'!$C$53:$AI$53,0)),0)</f>
        <v>0</v>
      </c>
      <c r="Q421" s="273">
        <f>IFERROR(INDEX('2. GRI Pricing Inputs'!$C$60:$AI$61,MATCH('3. GRI Pricing'!$Q$16,'2. GRI Pricing Inputs'!$C$60:$C$61,0),MATCH('1. Accomodation'!T425,'2. GRI Pricing Inputs'!$C$60:$AI$60,0)),0)</f>
        <v>0</v>
      </c>
      <c r="R421" s="273">
        <f>IFERROR(INDEX('2. GRI Pricing Inputs'!$C$67:$AI$68,MATCH('3. GRI Pricing'!$R$16,'2. GRI Pricing Inputs'!$C$67:$C$68,0),MATCH('1. Accomodation'!U425,'2. GRI Pricing Inputs'!$C$67:$AI$67,0)),0)</f>
        <v>0</v>
      </c>
      <c r="S421" s="273">
        <f>IF(D421=0,0,'2. GRI Pricing Inputs'!$AI$75)</f>
        <v>0</v>
      </c>
      <c r="T421" s="273">
        <f>IFERROR(INDEX('2. GRI Pricing Inputs'!$C$82:$AI$83,MATCH('3. GRI Pricing'!$T$16,'2. GRI Pricing Inputs'!$C$82:$C$83,0),MATCH('1. Accomodation'!V425,'2. GRI Pricing Inputs'!$C$82:$AI$82,0)),0)</f>
        <v>0</v>
      </c>
      <c r="U421" s="273">
        <f>IFERROR(INDEX('2. GRI Pricing Inputs'!$C$89:$AI$90,MATCH('3. GRI Pricing'!$U$16,'2. GRI Pricing Inputs'!$C$89:$C$90,0),MATCH('1. Accomodation'!W425,'2. GRI Pricing Inputs'!$C$89:$AI$89,0)),0)</f>
        <v>0</v>
      </c>
      <c r="V421" s="273">
        <f>IFERROR(INDEX('2. GRI Pricing Inputs'!$C$97:$AI$98,MATCH('3. GRI Pricing'!$V$16,'2. GRI Pricing Inputs'!$C$97:$C$98,0),MATCH('1. Accomodation'!X425,'2. GRI Pricing Inputs'!$C$97:$AI$97,0)),0)</f>
        <v>0</v>
      </c>
      <c r="W421" s="273">
        <f>IFERROR(INDEX('2. GRI Pricing Inputs'!$C$104:$AI$105,MATCH('3. GRI Pricing'!$W$16,'2. GRI Pricing Inputs'!$C$104:$C$105,0),MATCH('1. Accomodation'!Y425,'2. GRI Pricing Inputs'!$C$104:$AI$104,0)),0)</f>
        <v>0</v>
      </c>
      <c r="X421" s="274"/>
      <c r="Y421" s="275">
        <f t="shared" si="13"/>
        <v>0</v>
      </c>
      <c r="Z421" s="276"/>
      <c r="AA421" s="276"/>
      <c r="AB421" s="276"/>
      <c r="AC421" s="272">
        <f>Y421*(1+'2. GRI Pricing Inputs'!$D$114)^(($AC$16-$AB$15)/365)</f>
        <v>0</v>
      </c>
      <c r="AD421" s="273">
        <f>AC421*(1+'2. GRI Pricing Inputs'!$D$114)^((AD$16-AC$16)/365)</f>
        <v>0</v>
      </c>
      <c r="AE421" s="273">
        <f>AD421*(1+'2. GRI Pricing Inputs'!$D$114)^((AE$16-AD$16)/365)</f>
        <v>0</v>
      </c>
      <c r="AF421" s="273">
        <f>AE421*(1+'2. GRI Pricing Inputs'!$D$114)^((AF$16-AE$16)/365)</f>
        <v>0</v>
      </c>
      <c r="AG421" s="273">
        <f>AF421*(1+'2. GRI Pricing Inputs'!$D$114)^((AG$16-AF$16)/365)</f>
        <v>0</v>
      </c>
      <c r="AH421" s="273">
        <f>AG421*(1+'2. GRI Pricing Inputs'!$D$114)^((AH$16-AG$16)/365)</f>
        <v>0</v>
      </c>
      <c r="AI421" s="273">
        <f>AH421*(1+'2. GRI Pricing Inputs'!$D$114)^((AI$16-AH$16)/365)</f>
        <v>0</v>
      </c>
      <c r="AJ421" s="273">
        <f>AI421*(1+'2. GRI Pricing Inputs'!$D$114)^((AJ$16-AI$16)/365)</f>
        <v>0</v>
      </c>
      <c r="AK421" s="273">
        <f>AJ421*(1+'2. GRI Pricing Inputs'!$D$114)^((AK$16-AJ$16)/365)</f>
        <v>0</v>
      </c>
      <c r="AL421" s="273">
        <f>AK421*(1+'2. GRI Pricing Inputs'!$D$114)^((AL$16-AK$16)/365)</f>
        <v>0</v>
      </c>
      <c r="AM421" s="273">
        <f>AL421*(1+'2. GRI Pricing Inputs'!$D$114)^((AM$16-AL$16)/365)</f>
        <v>0</v>
      </c>
      <c r="AN421" s="273">
        <f>AM421*(1+'2. GRI Pricing Inputs'!$D$114)^((AN$16-AM$16)/365)</f>
        <v>0</v>
      </c>
      <c r="AO421" s="273">
        <f>AN421*(1+'2. GRI Pricing Inputs'!$D$114)^((AO$16-AN$16)/365)</f>
        <v>0</v>
      </c>
    </row>
    <row r="422" spans="3:41" ht="12" x14ac:dyDescent="0.2">
      <c r="C422" s="76">
        <f>'1. Accomodation'!N426</f>
        <v>0</v>
      </c>
      <c r="D422" s="69">
        <f>'1. Accomodation'!P426</f>
        <v>0</v>
      </c>
      <c r="E422" s="69">
        <f>'1. Accomodation'!Q426</f>
        <v>0</v>
      </c>
      <c r="F422" s="77">
        <f>'1. Accomodation'!O426</f>
        <v>0</v>
      </c>
      <c r="G422" s="69">
        <f>'1. Accomodation'!R426</f>
        <v>0</v>
      </c>
      <c r="H422" s="69">
        <f>'1. Accomodation'!S426</f>
        <v>0</v>
      </c>
      <c r="I422" s="62"/>
      <c r="K422" s="272">
        <f>IFERROR(INDEX('2. GRI Pricing Inputs'!$C$15:$AI$16,MATCH($K$16,'2. GRI Pricing Inputs'!$C$15:$C$16,0),MATCH(D422,'2. GRI Pricing Inputs'!$C$15:$AI$15,0)),0)</f>
        <v>0</v>
      </c>
      <c r="L422" s="273">
        <f>IFERROR(INDEX('2. GRI Pricing Inputs'!$C$22:$AI$23,MATCH($L$16,'2. GRI Pricing Inputs'!$C$22:$C$23,0),MATCH(E422,'2. GRI Pricing Inputs'!$C$22:$AI$22,0)),0)</f>
        <v>0</v>
      </c>
      <c r="M422" s="328">
        <f>IF(AND('3. GRI Pricing'!$F422&gt;='2. GRI Pricing Inputs'!$D$33,'3. GRI Pricing'!$F422&lt;='2. GRI Pricing Inputs'!$E$33),'2. GRI Pricing Inputs'!$D$32,IF(AND('3. GRI Pricing'!$F422&gt;='2. GRI Pricing Inputs'!$F$33,'3. GRI Pricing'!$F422&lt;='2. GRI Pricing Inputs'!$G$33),'2. GRI Pricing Inputs'!$F$32,IF(AND('3. GRI Pricing'!$F422&gt;='2. GRI Pricing Inputs'!$H$33,'3. GRI Pricing'!$F422&lt;='2. GRI Pricing Inputs'!$I$33),'2. GRI Pricing Inputs'!$H$32,IF(AND('3. GRI Pricing'!$F422&gt;='2. GRI Pricing Inputs'!$J$33,'3. GRI Pricing'!$F422&lt;='2. GRI Pricing Inputs'!$K$33),'2. GRI Pricing Inputs'!$J$32,IF(AND('3. GRI Pricing'!$F422&gt;='2. GRI Pricing Inputs'!$L$33,'3. GRI Pricing'!$F422&lt;='2. GRI Pricing Inputs'!$M$33),'2. GRI Pricing Inputs'!$L$32,IF(AND('3. GRI Pricing'!$F422&gt;='2. GRI Pricing Inputs'!$N$33,'3. GRI Pricing'!$F422&lt;='2. GRI Pricing Inputs'!$O$33),'2. GRI Pricing Inputs'!$N$32,IF(AND('3. GRI Pricing'!$F422&gt;='2. GRI Pricing Inputs'!$P$33,'3. GRI Pricing'!$F422&lt;='2. GRI Pricing Inputs'!$Q$33),'2. GRI Pricing Inputs'!$P$32,IF(AND('3. GRI Pricing'!$F422&gt;='2. GRI Pricing Inputs'!$R$33,'3. GRI Pricing'!$F422&lt;='2. GRI Pricing Inputs'!$S$33),'2. GRI Pricing Inputs'!$R$32,IF(AND('3. GRI Pricing'!$F422&gt;='2. GRI Pricing Inputs'!$T$33,'3. GRI Pricing'!$F422&lt;='2. GRI Pricing Inputs'!$U$33),'2. GRI Pricing Inputs'!$T$32,IF(AND('3. GRI Pricing'!$F422&gt;='2. GRI Pricing Inputs'!$V$33,'3. GRI Pricing'!$F422&lt;='2. GRI Pricing Inputs'!$W$33),'2. GRI Pricing Inputs'!$V$32,IF(AND('3. GRI Pricing'!$F422&gt;='2. GRI Pricing Inputs'!$X$33,'3. GRI Pricing'!$F422&lt;='2. GRI Pricing Inputs'!$Y$33),'2. GRI Pricing Inputs'!$X$32,IF(AND('3. GRI Pricing'!$F422&gt;='2. GRI Pricing Inputs'!$Z$33,'3. GRI Pricing'!$F422&lt;='2. GRI Pricing Inputs'!$AA$33),'2. GRI Pricing Inputs'!$Z$32,IF(AND('3. GRI Pricing'!$F422&gt;='2. GRI Pricing Inputs'!$AB$33,'3. GRI Pricing'!$F422&lt;='2. GRI Pricing Inputs'!$AC$33),'2. GRI Pricing Inputs'!$AB$32,IF(AND('3. GRI Pricing'!$F422&gt;='2. GRI Pricing Inputs'!$AD$33,'3. GRI Pricing'!$F422&lt;='2. GRI Pricing Inputs'!$AE$33),'2. GRI Pricing Inputs'!$AD$32,IF(AND('3. GRI Pricing'!$F422&gt;='2. GRI Pricing Inputs'!$AF$33,'3. GRI Pricing'!$F422&lt;='2. GRI Pricing Inputs'!$AG$33),'2. GRI Pricing Inputs'!$AF$32,IF(AND('3. GRI Pricing'!$F422&gt;='2. GRI Pricing Inputs'!$AH$33,'3. GRI Pricing'!$F422&lt;='2. GRI Pricing Inputs'!$AI$33),'2. GRI Pricing Inputs'!$AH$32,0))))))))))))))))</f>
        <v>0</v>
      </c>
      <c r="N422" s="273" cm="1">
        <f t="array" ref="N422">IFERROR(INDEX('2. GRI Pricing Inputs'!$C$32:$AI$39,MATCH('3. GRI Pricing'!D422,'2. GRI Pricing Inputs'!$C$32:$C$39,0),(MATCH('3. GRI Pricing'!M422,'2. GRI Pricing Inputs'!$D$32:$AI$32,0)+1)),0)</f>
        <v>0</v>
      </c>
      <c r="O422" s="273">
        <f>IFERROR(INDEX('2. GRI Pricing Inputs'!$C$45:$AI$46,MATCH($O$16,'2. GRI Pricing Inputs'!$C$45:$C$46,0),MATCH(G422,'2. GRI Pricing Inputs'!$C$45:$AI$45,0)),0)</f>
        <v>0</v>
      </c>
      <c r="P422" s="273">
        <f>IFERROR(INDEX('2. GRI Pricing Inputs'!$C$53:$AI$54,MATCH('3. GRI Pricing'!$P$16,'2. GRI Pricing Inputs'!$C$53:$C$54,0),MATCH('3. GRI Pricing'!H422,'2. GRI Pricing Inputs'!$C$53:$AI$53,0)),0)</f>
        <v>0</v>
      </c>
      <c r="Q422" s="273">
        <f>IFERROR(INDEX('2. GRI Pricing Inputs'!$C$60:$AI$61,MATCH('3. GRI Pricing'!$Q$16,'2. GRI Pricing Inputs'!$C$60:$C$61,0),MATCH('1. Accomodation'!T426,'2. GRI Pricing Inputs'!$C$60:$AI$60,0)),0)</f>
        <v>0</v>
      </c>
      <c r="R422" s="273">
        <f>IFERROR(INDEX('2. GRI Pricing Inputs'!$C$67:$AI$68,MATCH('3. GRI Pricing'!$R$16,'2. GRI Pricing Inputs'!$C$67:$C$68,0),MATCH('1. Accomodation'!U426,'2. GRI Pricing Inputs'!$C$67:$AI$67,0)),0)</f>
        <v>0</v>
      </c>
      <c r="S422" s="273">
        <f>IF(D422=0,0,'2. GRI Pricing Inputs'!$AI$75)</f>
        <v>0</v>
      </c>
      <c r="T422" s="273">
        <f>IFERROR(INDEX('2. GRI Pricing Inputs'!$C$82:$AI$83,MATCH('3. GRI Pricing'!$T$16,'2. GRI Pricing Inputs'!$C$82:$C$83,0),MATCH('1. Accomodation'!V426,'2. GRI Pricing Inputs'!$C$82:$AI$82,0)),0)</f>
        <v>0</v>
      </c>
      <c r="U422" s="273">
        <f>IFERROR(INDEX('2. GRI Pricing Inputs'!$C$89:$AI$90,MATCH('3. GRI Pricing'!$U$16,'2. GRI Pricing Inputs'!$C$89:$C$90,0),MATCH('1. Accomodation'!W426,'2. GRI Pricing Inputs'!$C$89:$AI$89,0)),0)</f>
        <v>0</v>
      </c>
      <c r="V422" s="273">
        <f>IFERROR(INDEX('2. GRI Pricing Inputs'!$C$97:$AI$98,MATCH('3. GRI Pricing'!$V$16,'2. GRI Pricing Inputs'!$C$97:$C$98,0),MATCH('1. Accomodation'!X426,'2. GRI Pricing Inputs'!$C$97:$AI$97,0)),0)</f>
        <v>0</v>
      </c>
      <c r="W422" s="273">
        <f>IFERROR(INDEX('2. GRI Pricing Inputs'!$C$104:$AI$105,MATCH('3. GRI Pricing'!$W$16,'2. GRI Pricing Inputs'!$C$104:$C$105,0),MATCH('1. Accomodation'!Y426,'2. GRI Pricing Inputs'!$C$104:$AI$104,0)),0)</f>
        <v>0</v>
      </c>
      <c r="X422" s="274"/>
      <c r="Y422" s="275">
        <f t="shared" si="13"/>
        <v>0</v>
      </c>
      <c r="Z422" s="276"/>
      <c r="AA422" s="276"/>
      <c r="AB422" s="276"/>
      <c r="AC422" s="272">
        <f>Y422*(1+'2. GRI Pricing Inputs'!$D$114)^(($AC$16-$AB$15)/365)</f>
        <v>0</v>
      </c>
      <c r="AD422" s="273">
        <f>AC422*(1+'2. GRI Pricing Inputs'!$D$114)^((AD$16-AC$16)/365)</f>
        <v>0</v>
      </c>
      <c r="AE422" s="273">
        <f>AD422*(1+'2. GRI Pricing Inputs'!$D$114)^((AE$16-AD$16)/365)</f>
        <v>0</v>
      </c>
      <c r="AF422" s="273">
        <f>AE422*(1+'2. GRI Pricing Inputs'!$D$114)^((AF$16-AE$16)/365)</f>
        <v>0</v>
      </c>
      <c r="AG422" s="273">
        <f>AF422*(1+'2. GRI Pricing Inputs'!$D$114)^((AG$16-AF$16)/365)</f>
        <v>0</v>
      </c>
      <c r="AH422" s="273">
        <f>AG422*(1+'2. GRI Pricing Inputs'!$D$114)^((AH$16-AG$16)/365)</f>
        <v>0</v>
      </c>
      <c r="AI422" s="273">
        <f>AH422*(1+'2. GRI Pricing Inputs'!$D$114)^((AI$16-AH$16)/365)</f>
        <v>0</v>
      </c>
      <c r="AJ422" s="273">
        <f>AI422*(1+'2. GRI Pricing Inputs'!$D$114)^((AJ$16-AI$16)/365)</f>
        <v>0</v>
      </c>
      <c r="AK422" s="273">
        <f>AJ422*(1+'2. GRI Pricing Inputs'!$D$114)^((AK$16-AJ$16)/365)</f>
        <v>0</v>
      </c>
      <c r="AL422" s="273">
        <f>AK422*(1+'2. GRI Pricing Inputs'!$D$114)^((AL$16-AK$16)/365)</f>
        <v>0</v>
      </c>
      <c r="AM422" s="273">
        <f>AL422*(1+'2. GRI Pricing Inputs'!$D$114)^((AM$16-AL$16)/365)</f>
        <v>0</v>
      </c>
      <c r="AN422" s="273">
        <f>AM422*(1+'2. GRI Pricing Inputs'!$D$114)^((AN$16-AM$16)/365)</f>
        <v>0</v>
      </c>
      <c r="AO422" s="273">
        <f>AN422*(1+'2. GRI Pricing Inputs'!$D$114)^((AO$16-AN$16)/365)</f>
        <v>0</v>
      </c>
    </row>
    <row r="423" spans="3:41" ht="12" x14ac:dyDescent="0.2">
      <c r="C423" s="76">
        <f>'1. Accomodation'!N427</f>
        <v>0</v>
      </c>
      <c r="D423" s="69">
        <f>'1. Accomodation'!P427</f>
        <v>0</v>
      </c>
      <c r="E423" s="69">
        <f>'1. Accomodation'!Q427</f>
        <v>0</v>
      </c>
      <c r="F423" s="77">
        <f>'1. Accomodation'!O427</f>
        <v>0</v>
      </c>
      <c r="G423" s="69">
        <f>'1. Accomodation'!R427</f>
        <v>0</v>
      </c>
      <c r="H423" s="69">
        <f>'1. Accomodation'!S427</f>
        <v>0</v>
      </c>
      <c r="I423" s="62"/>
      <c r="K423" s="272">
        <f>IFERROR(INDEX('2. GRI Pricing Inputs'!$C$15:$AI$16,MATCH($K$16,'2. GRI Pricing Inputs'!$C$15:$C$16,0),MATCH(D423,'2. GRI Pricing Inputs'!$C$15:$AI$15,0)),0)</f>
        <v>0</v>
      </c>
      <c r="L423" s="273">
        <f>IFERROR(INDEX('2. GRI Pricing Inputs'!$C$22:$AI$23,MATCH($L$16,'2. GRI Pricing Inputs'!$C$22:$C$23,0),MATCH(E423,'2. GRI Pricing Inputs'!$C$22:$AI$22,0)),0)</f>
        <v>0</v>
      </c>
      <c r="M423" s="328">
        <f>IF(AND('3. GRI Pricing'!$F423&gt;='2. GRI Pricing Inputs'!$D$33,'3. GRI Pricing'!$F423&lt;='2. GRI Pricing Inputs'!$E$33),'2. GRI Pricing Inputs'!$D$32,IF(AND('3. GRI Pricing'!$F423&gt;='2. GRI Pricing Inputs'!$F$33,'3. GRI Pricing'!$F423&lt;='2. GRI Pricing Inputs'!$G$33),'2. GRI Pricing Inputs'!$F$32,IF(AND('3. GRI Pricing'!$F423&gt;='2. GRI Pricing Inputs'!$H$33,'3. GRI Pricing'!$F423&lt;='2. GRI Pricing Inputs'!$I$33),'2. GRI Pricing Inputs'!$H$32,IF(AND('3. GRI Pricing'!$F423&gt;='2. GRI Pricing Inputs'!$J$33,'3. GRI Pricing'!$F423&lt;='2. GRI Pricing Inputs'!$K$33),'2. GRI Pricing Inputs'!$J$32,IF(AND('3. GRI Pricing'!$F423&gt;='2. GRI Pricing Inputs'!$L$33,'3. GRI Pricing'!$F423&lt;='2. GRI Pricing Inputs'!$M$33),'2. GRI Pricing Inputs'!$L$32,IF(AND('3. GRI Pricing'!$F423&gt;='2. GRI Pricing Inputs'!$N$33,'3. GRI Pricing'!$F423&lt;='2. GRI Pricing Inputs'!$O$33),'2. GRI Pricing Inputs'!$N$32,IF(AND('3. GRI Pricing'!$F423&gt;='2. GRI Pricing Inputs'!$P$33,'3. GRI Pricing'!$F423&lt;='2. GRI Pricing Inputs'!$Q$33),'2. GRI Pricing Inputs'!$P$32,IF(AND('3. GRI Pricing'!$F423&gt;='2. GRI Pricing Inputs'!$R$33,'3. GRI Pricing'!$F423&lt;='2. GRI Pricing Inputs'!$S$33),'2. GRI Pricing Inputs'!$R$32,IF(AND('3. GRI Pricing'!$F423&gt;='2. GRI Pricing Inputs'!$T$33,'3. GRI Pricing'!$F423&lt;='2. GRI Pricing Inputs'!$U$33),'2. GRI Pricing Inputs'!$T$32,IF(AND('3. GRI Pricing'!$F423&gt;='2. GRI Pricing Inputs'!$V$33,'3. GRI Pricing'!$F423&lt;='2. GRI Pricing Inputs'!$W$33),'2. GRI Pricing Inputs'!$V$32,IF(AND('3. GRI Pricing'!$F423&gt;='2. GRI Pricing Inputs'!$X$33,'3. GRI Pricing'!$F423&lt;='2. GRI Pricing Inputs'!$Y$33),'2. GRI Pricing Inputs'!$X$32,IF(AND('3. GRI Pricing'!$F423&gt;='2. GRI Pricing Inputs'!$Z$33,'3. GRI Pricing'!$F423&lt;='2. GRI Pricing Inputs'!$AA$33),'2. GRI Pricing Inputs'!$Z$32,IF(AND('3. GRI Pricing'!$F423&gt;='2. GRI Pricing Inputs'!$AB$33,'3. GRI Pricing'!$F423&lt;='2. GRI Pricing Inputs'!$AC$33),'2. GRI Pricing Inputs'!$AB$32,IF(AND('3. GRI Pricing'!$F423&gt;='2. GRI Pricing Inputs'!$AD$33,'3. GRI Pricing'!$F423&lt;='2. GRI Pricing Inputs'!$AE$33),'2. GRI Pricing Inputs'!$AD$32,IF(AND('3. GRI Pricing'!$F423&gt;='2. GRI Pricing Inputs'!$AF$33,'3. GRI Pricing'!$F423&lt;='2. GRI Pricing Inputs'!$AG$33),'2. GRI Pricing Inputs'!$AF$32,IF(AND('3. GRI Pricing'!$F423&gt;='2. GRI Pricing Inputs'!$AH$33,'3. GRI Pricing'!$F423&lt;='2. GRI Pricing Inputs'!$AI$33),'2. GRI Pricing Inputs'!$AH$32,0))))))))))))))))</f>
        <v>0</v>
      </c>
      <c r="N423" s="273" cm="1">
        <f t="array" ref="N423">IFERROR(INDEX('2. GRI Pricing Inputs'!$C$32:$AI$39,MATCH('3. GRI Pricing'!D423,'2. GRI Pricing Inputs'!$C$32:$C$39,0),(MATCH('3. GRI Pricing'!M423,'2. GRI Pricing Inputs'!$D$32:$AI$32,0)+1)),0)</f>
        <v>0</v>
      </c>
      <c r="O423" s="273">
        <f>IFERROR(INDEX('2. GRI Pricing Inputs'!$C$45:$AI$46,MATCH($O$16,'2. GRI Pricing Inputs'!$C$45:$C$46,0),MATCH(G423,'2. GRI Pricing Inputs'!$C$45:$AI$45,0)),0)</f>
        <v>0</v>
      </c>
      <c r="P423" s="273">
        <f>IFERROR(INDEX('2. GRI Pricing Inputs'!$C$53:$AI$54,MATCH('3. GRI Pricing'!$P$16,'2. GRI Pricing Inputs'!$C$53:$C$54,0),MATCH('3. GRI Pricing'!H423,'2. GRI Pricing Inputs'!$C$53:$AI$53,0)),0)</f>
        <v>0</v>
      </c>
      <c r="Q423" s="273">
        <f>IFERROR(INDEX('2. GRI Pricing Inputs'!$C$60:$AI$61,MATCH('3. GRI Pricing'!$Q$16,'2. GRI Pricing Inputs'!$C$60:$C$61,0),MATCH('1. Accomodation'!T427,'2. GRI Pricing Inputs'!$C$60:$AI$60,0)),0)</f>
        <v>0</v>
      </c>
      <c r="R423" s="273">
        <f>IFERROR(INDEX('2. GRI Pricing Inputs'!$C$67:$AI$68,MATCH('3. GRI Pricing'!$R$16,'2. GRI Pricing Inputs'!$C$67:$C$68,0),MATCH('1. Accomodation'!U427,'2. GRI Pricing Inputs'!$C$67:$AI$67,0)),0)</f>
        <v>0</v>
      </c>
      <c r="S423" s="273">
        <f>IF(D423=0,0,'2. GRI Pricing Inputs'!$AI$75)</f>
        <v>0</v>
      </c>
      <c r="T423" s="273">
        <f>IFERROR(INDEX('2. GRI Pricing Inputs'!$C$82:$AI$83,MATCH('3. GRI Pricing'!$T$16,'2. GRI Pricing Inputs'!$C$82:$C$83,0),MATCH('1. Accomodation'!V427,'2. GRI Pricing Inputs'!$C$82:$AI$82,0)),0)</f>
        <v>0</v>
      </c>
      <c r="U423" s="273">
        <f>IFERROR(INDEX('2. GRI Pricing Inputs'!$C$89:$AI$90,MATCH('3. GRI Pricing'!$U$16,'2. GRI Pricing Inputs'!$C$89:$C$90,0),MATCH('1. Accomodation'!W427,'2. GRI Pricing Inputs'!$C$89:$AI$89,0)),0)</f>
        <v>0</v>
      </c>
      <c r="V423" s="273">
        <f>IFERROR(INDEX('2. GRI Pricing Inputs'!$C$97:$AI$98,MATCH('3. GRI Pricing'!$V$16,'2. GRI Pricing Inputs'!$C$97:$C$98,0),MATCH('1. Accomodation'!X427,'2. GRI Pricing Inputs'!$C$97:$AI$97,0)),0)</f>
        <v>0</v>
      </c>
      <c r="W423" s="273">
        <f>IFERROR(INDEX('2. GRI Pricing Inputs'!$C$104:$AI$105,MATCH('3. GRI Pricing'!$W$16,'2. GRI Pricing Inputs'!$C$104:$C$105,0),MATCH('1. Accomodation'!Y427,'2. GRI Pricing Inputs'!$C$104:$AI$104,0)),0)</f>
        <v>0</v>
      </c>
      <c r="X423" s="274"/>
      <c r="Y423" s="275">
        <f t="shared" si="13"/>
        <v>0</v>
      </c>
      <c r="Z423" s="276"/>
      <c r="AA423" s="276"/>
      <c r="AB423" s="276"/>
      <c r="AC423" s="272">
        <f>Y423*(1+'2. GRI Pricing Inputs'!$D$114)^(($AC$16-$AB$15)/365)</f>
        <v>0</v>
      </c>
      <c r="AD423" s="273">
        <f>AC423*(1+'2. GRI Pricing Inputs'!$D$114)^((AD$16-AC$16)/365)</f>
        <v>0</v>
      </c>
      <c r="AE423" s="273">
        <f>AD423*(1+'2. GRI Pricing Inputs'!$D$114)^((AE$16-AD$16)/365)</f>
        <v>0</v>
      </c>
      <c r="AF423" s="273">
        <f>AE423*(1+'2. GRI Pricing Inputs'!$D$114)^((AF$16-AE$16)/365)</f>
        <v>0</v>
      </c>
      <c r="AG423" s="273">
        <f>AF423*(1+'2. GRI Pricing Inputs'!$D$114)^((AG$16-AF$16)/365)</f>
        <v>0</v>
      </c>
      <c r="AH423" s="273">
        <f>AG423*(1+'2. GRI Pricing Inputs'!$D$114)^((AH$16-AG$16)/365)</f>
        <v>0</v>
      </c>
      <c r="AI423" s="273">
        <f>AH423*(1+'2. GRI Pricing Inputs'!$D$114)^((AI$16-AH$16)/365)</f>
        <v>0</v>
      </c>
      <c r="AJ423" s="273">
        <f>AI423*(1+'2. GRI Pricing Inputs'!$D$114)^((AJ$16-AI$16)/365)</f>
        <v>0</v>
      </c>
      <c r="AK423" s="273">
        <f>AJ423*(1+'2. GRI Pricing Inputs'!$D$114)^((AK$16-AJ$16)/365)</f>
        <v>0</v>
      </c>
      <c r="AL423" s="273">
        <f>AK423*(1+'2. GRI Pricing Inputs'!$D$114)^((AL$16-AK$16)/365)</f>
        <v>0</v>
      </c>
      <c r="AM423" s="273">
        <f>AL423*(1+'2. GRI Pricing Inputs'!$D$114)^((AM$16-AL$16)/365)</f>
        <v>0</v>
      </c>
      <c r="AN423" s="273">
        <f>AM423*(1+'2. GRI Pricing Inputs'!$D$114)^((AN$16-AM$16)/365)</f>
        <v>0</v>
      </c>
      <c r="AO423" s="273">
        <f>AN423*(1+'2. GRI Pricing Inputs'!$D$114)^((AO$16-AN$16)/365)</f>
        <v>0</v>
      </c>
    </row>
    <row r="424" spans="3:41" ht="12" x14ac:dyDescent="0.2">
      <c r="C424" s="76">
        <f>'1. Accomodation'!N428</f>
        <v>0</v>
      </c>
      <c r="D424" s="69">
        <f>'1. Accomodation'!P428</f>
        <v>0</v>
      </c>
      <c r="E424" s="69">
        <f>'1. Accomodation'!Q428</f>
        <v>0</v>
      </c>
      <c r="F424" s="77">
        <f>'1. Accomodation'!O428</f>
        <v>0</v>
      </c>
      <c r="G424" s="69">
        <f>'1. Accomodation'!R428</f>
        <v>0</v>
      </c>
      <c r="H424" s="69">
        <f>'1. Accomodation'!S428</f>
        <v>0</v>
      </c>
      <c r="I424" s="62"/>
      <c r="K424" s="272">
        <f>IFERROR(INDEX('2. GRI Pricing Inputs'!$C$15:$AI$16,MATCH($K$16,'2. GRI Pricing Inputs'!$C$15:$C$16,0),MATCH(D424,'2. GRI Pricing Inputs'!$C$15:$AI$15,0)),0)</f>
        <v>0</v>
      </c>
      <c r="L424" s="273">
        <f>IFERROR(INDEX('2. GRI Pricing Inputs'!$C$22:$AI$23,MATCH($L$16,'2. GRI Pricing Inputs'!$C$22:$C$23,0),MATCH(E424,'2. GRI Pricing Inputs'!$C$22:$AI$22,0)),0)</f>
        <v>0</v>
      </c>
      <c r="M424" s="328">
        <f>IF(AND('3. GRI Pricing'!$F424&gt;='2. GRI Pricing Inputs'!$D$33,'3. GRI Pricing'!$F424&lt;='2. GRI Pricing Inputs'!$E$33),'2. GRI Pricing Inputs'!$D$32,IF(AND('3. GRI Pricing'!$F424&gt;='2. GRI Pricing Inputs'!$F$33,'3. GRI Pricing'!$F424&lt;='2. GRI Pricing Inputs'!$G$33),'2. GRI Pricing Inputs'!$F$32,IF(AND('3. GRI Pricing'!$F424&gt;='2. GRI Pricing Inputs'!$H$33,'3. GRI Pricing'!$F424&lt;='2. GRI Pricing Inputs'!$I$33),'2. GRI Pricing Inputs'!$H$32,IF(AND('3. GRI Pricing'!$F424&gt;='2. GRI Pricing Inputs'!$J$33,'3. GRI Pricing'!$F424&lt;='2. GRI Pricing Inputs'!$K$33),'2. GRI Pricing Inputs'!$J$32,IF(AND('3. GRI Pricing'!$F424&gt;='2. GRI Pricing Inputs'!$L$33,'3. GRI Pricing'!$F424&lt;='2. GRI Pricing Inputs'!$M$33),'2. GRI Pricing Inputs'!$L$32,IF(AND('3. GRI Pricing'!$F424&gt;='2. GRI Pricing Inputs'!$N$33,'3. GRI Pricing'!$F424&lt;='2. GRI Pricing Inputs'!$O$33),'2. GRI Pricing Inputs'!$N$32,IF(AND('3. GRI Pricing'!$F424&gt;='2. GRI Pricing Inputs'!$P$33,'3. GRI Pricing'!$F424&lt;='2. GRI Pricing Inputs'!$Q$33),'2. GRI Pricing Inputs'!$P$32,IF(AND('3. GRI Pricing'!$F424&gt;='2. GRI Pricing Inputs'!$R$33,'3. GRI Pricing'!$F424&lt;='2. GRI Pricing Inputs'!$S$33),'2. GRI Pricing Inputs'!$R$32,IF(AND('3. GRI Pricing'!$F424&gt;='2. GRI Pricing Inputs'!$T$33,'3. GRI Pricing'!$F424&lt;='2. GRI Pricing Inputs'!$U$33),'2. GRI Pricing Inputs'!$T$32,IF(AND('3. GRI Pricing'!$F424&gt;='2. GRI Pricing Inputs'!$V$33,'3. GRI Pricing'!$F424&lt;='2. GRI Pricing Inputs'!$W$33),'2. GRI Pricing Inputs'!$V$32,IF(AND('3. GRI Pricing'!$F424&gt;='2. GRI Pricing Inputs'!$X$33,'3. GRI Pricing'!$F424&lt;='2. GRI Pricing Inputs'!$Y$33),'2. GRI Pricing Inputs'!$X$32,IF(AND('3. GRI Pricing'!$F424&gt;='2. GRI Pricing Inputs'!$Z$33,'3. GRI Pricing'!$F424&lt;='2. GRI Pricing Inputs'!$AA$33),'2. GRI Pricing Inputs'!$Z$32,IF(AND('3. GRI Pricing'!$F424&gt;='2. GRI Pricing Inputs'!$AB$33,'3. GRI Pricing'!$F424&lt;='2. GRI Pricing Inputs'!$AC$33),'2. GRI Pricing Inputs'!$AB$32,IF(AND('3. GRI Pricing'!$F424&gt;='2. GRI Pricing Inputs'!$AD$33,'3. GRI Pricing'!$F424&lt;='2. GRI Pricing Inputs'!$AE$33),'2. GRI Pricing Inputs'!$AD$32,IF(AND('3. GRI Pricing'!$F424&gt;='2. GRI Pricing Inputs'!$AF$33,'3. GRI Pricing'!$F424&lt;='2. GRI Pricing Inputs'!$AG$33),'2. GRI Pricing Inputs'!$AF$32,IF(AND('3. GRI Pricing'!$F424&gt;='2. GRI Pricing Inputs'!$AH$33,'3. GRI Pricing'!$F424&lt;='2. GRI Pricing Inputs'!$AI$33),'2. GRI Pricing Inputs'!$AH$32,0))))))))))))))))</f>
        <v>0</v>
      </c>
      <c r="N424" s="273" cm="1">
        <f t="array" ref="N424">IFERROR(INDEX('2. GRI Pricing Inputs'!$C$32:$AI$39,MATCH('3. GRI Pricing'!D424,'2. GRI Pricing Inputs'!$C$32:$C$39,0),(MATCH('3. GRI Pricing'!M424,'2. GRI Pricing Inputs'!$D$32:$AI$32,0)+1)),0)</f>
        <v>0</v>
      </c>
      <c r="O424" s="273">
        <f>IFERROR(INDEX('2. GRI Pricing Inputs'!$C$45:$AI$46,MATCH($O$16,'2. GRI Pricing Inputs'!$C$45:$C$46,0),MATCH(G424,'2. GRI Pricing Inputs'!$C$45:$AI$45,0)),0)</f>
        <v>0</v>
      </c>
      <c r="P424" s="273">
        <f>IFERROR(INDEX('2. GRI Pricing Inputs'!$C$53:$AI$54,MATCH('3. GRI Pricing'!$P$16,'2. GRI Pricing Inputs'!$C$53:$C$54,0),MATCH('3. GRI Pricing'!H424,'2. GRI Pricing Inputs'!$C$53:$AI$53,0)),0)</f>
        <v>0</v>
      </c>
      <c r="Q424" s="273">
        <f>IFERROR(INDEX('2. GRI Pricing Inputs'!$C$60:$AI$61,MATCH('3. GRI Pricing'!$Q$16,'2. GRI Pricing Inputs'!$C$60:$C$61,0),MATCH('1. Accomodation'!T428,'2. GRI Pricing Inputs'!$C$60:$AI$60,0)),0)</f>
        <v>0</v>
      </c>
      <c r="R424" s="273">
        <f>IFERROR(INDEX('2. GRI Pricing Inputs'!$C$67:$AI$68,MATCH('3. GRI Pricing'!$R$16,'2. GRI Pricing Inputs'!$C$67:$C$68,0),MATCH('1. Accomodation'!U428,'2. GRI Pricing Inputs'!$C$67:$AI$67,0)),0)</f>
        <v>0</v>
      </c>
      <c r="S424" s="273">
        <f>IF(D424=0,0,'2. GRI Pricing Inputs'!$AI$75)</f>
        <v>0</v>
      </c>
      <c r="T424" s="273">
        <f>IFERROR(INDEX('2. GRI Pricing Inputs'!$C$82:$AI$83,MATCH('3. GRI Pricing'!$T$16,'2. GRI Pricing Inputs'!$C$82:$C$83,0),MATCH('1. Accomodation'!V428,'2. GRI Pricing Inputs'!$C$82:$AI$82,0)),0)</f>
        <v>0</v>
      </c>
      <c r="U424" s="273">
        <f>IFERROR(INDEX('2. GRI Pricing Inputs'!$C$89:$AI$90,MATCH('3. GRI Pricing'!$U$16,'2. GRI Pricing Inputs'!$C$89:$C$90,0),MATCH('1. Accomodation'!W428,'2. GRI Pricing Inputs'!$C$89:$AI$89,0)),0)</f>
        <v>0</v>
      </c>
      <c r="V424" s="273">
        <f>IFERROR(INDEX('2. GRI Pricing Inputs'!$C$97:$AI$98,MATCH('3. GRI Pricing'!$V$16,'2. GRI Pricing Inputs'!$C$97:$C$98,0),MATCH('1. Accomodation'!X428,'2. GRI Pricing Inputs'!$C$97:$AI$97,0)),0)</f>
        <v>0</v>
      </c>
      <c r="W424" s="273">
        <f>IFERROR(INDEX('2. GRI Pricing Inputs'!$C$104:$AI$105,MATCH('3. GRI Pricing'!$W$16,'2. GRI Pricing Inputs'!$C$104:$C$105,0),MATCH('1. Accomodation'!Y428,'2. GRI Pricing Inputs'!$C$104:$AI$104,0)),0)</f>
        <v>0</v>
      </c>
      <c r="X424" s="274"/>
      <c r="Y424" s="275">
        <f t="shared" si="13"/>
        <v>0</v>
      </c>
      <c r="Z424" s="276"/>
      <c r="AA424" s="276"/>
      <c r="AB424" s="276"/>
      <c r="AC424" s="272">
        <f>Y424*(1+'2. GRI Pricing Inputs'!$D$114)^(($AC$16-$AB$15)/365)</f>
        <v>0</v>
      </c>
      <c r="AD424" s="273">
        <f>AC424*(1+'2. GRI Pricing Inputs'!$D$114)^((AD$16-AC$16)/365)</f>
        <v>0</v>
      </c>
      <c r="AE424" s="273">
        <f>AD424*(1+'2. GRI Pricing Inputs'!$D$114)^((AE$16-AD$16)/365)</f>
        <v>0</v>
      </c>
      <c r="AF424" s="273">
        <f>AE424*(1+'2. GRI Pricing Inputs'!$D$114)^((AF$16-AE$16)/365)</f>
        <v>0</v>
      </c>
      <c r="AG424" s="273">
        <f>AF424*(1+'2. GRI Pricing Inputs'!$D$114)^((AG$16-AF$16)/365)</f>
        <v>0</v>
      </c>
      <c r="AH424" s="273">
        <f>AG424*(1+'2. GRI Pricing Inputs'!$D$114)^((AH$16-AG$16)/365)</f>
        <v>0</v>
      </c>
      <c r="AI424" s="273">
        <f>AH424*(1+'2. GRI Pricing Inputs'!$D$114)^((AI$16-AH$16)/365)</f>
        <v>0</v>
      </c>
      <c r="AJ424" s="273">
        <f>AI424*(1+'2. GRI Pricing Inputs'!$D$114)^((AJ$16-AI$16)/365)</f>
        <v>0</v>
      </c>
      <c r="AK424" s="273">
        <f>AJ424*(1+'2. GRI Pricing Inputs'!$D$114)^((AK$16-AJ$16)/365)</f>
        <v>0</v>
      </c>
      <c r="AL424" s="273">
        <f>AK424*(1+'2. GRI Pricing Inputs'!$D$114)^((AL$16-AK$16)/365)</f>
        <v>0</v>
      </c>
      <c r="AM424" s="273">
        <f>AL424*(1+'2. GRI Pricing Inputs'!$D$114)^((AM$16-AL$16)/365)</f>
        <v>0</v>
      </c>
      <c r="AN424" s="273">
        <f>AM424*(1+'2. GRI Pricing Inputs'!$D$114)^((AN$16-AM$16)/365)</f>
        <v>0</v>
      </c>
      <c r="AO424" s="273">
        <f>AN424*(1+'2. GRI Pricing Inputs'!$D$114)^((AO$16-AN$16)/365)</f>
        <v>0</v>
      </c>
    </row>
    <row r="425" spans="3:41" ht="12" x14ac:dyDescent="0.2">
      <c r="C425" s="76">
        <f>'1. Accomodation'!N429</f>
        <v>0</v>
      </c>
      <c r="D425" s="69">
        <f>'1. Accomodation'!P429</f>
        <v>0</v>
      </c>
      <c r="E425" s="69">
        <f>'1. Accomodation'!Q429</f>
        <v>0</v>
      </c>
      <c r="F425" s="77">
        <f>'1. Accomodation'!O429</f>
        <v>0</v>
      </c>
      <c r="G425" s="69">
        <f>'1. Accomodation'!R429</f>
        <v>0</v>
      </c>
      <c r="H425" s="69">
        <f>'1. Accomodation'!S429</f>
        <v>0</v>
      </c>
      <c r="I425" s="62"/>
      <c r="K425" s="272">
        <f>IFERROR(INDEX('2. GRI Pricing Inputs'!$C$15:$AI$16,MATCH($K$16,'2. GRI Pricing Inputs'!$C$15:$C$16,0),MATCH(D425,'2. GRI Pricing Inputs'!$C$15:$AI$15,0)),0)</f>
        <v>0</v>
      </c>
      <c r="L425" s="273">
        <f>IFERROR(INDEX('2. GRI Pricing Inputs'!$C$22:$AI$23,MATCH($L$16,'2. GRI Pricing Inputs'!$C$22:$C$23,0),MATCH(E425,'2. GRI Pricing Inputs'!$C$22:$AI$22,0)),0)</f>
        <v>0</v>
      </c>
      <c r="M425" s="328">
        <f>IF(AND('3. GRI Pricing'!$F425&gt;='2. GRI Pricing Inputs'!$D$33,'3. GRI Pricing'!$F425&lt;='2. GRI Pricing Inputs'!$E$33),'2. GRI Pricing Inputs'!$D$32,IF(AND('3. GRI Pricing'!$F425&gt;='2. GRI Pricing Inputs'!$F$33,'3. GRI Pricing'!$F425&lt;='2. GRI Pricing Inputs'!$G$33),'2. GRI Pricing Inputs'!$F$32,IF(AND('3. GRI Pricing'!$F425&gt;='2. GRI Pricing Inputs'!$H$33,'3. GRI Pricing'!$F425&lt;='2. GRI Pricing Inputs'!$I$33),'2. GRI Pricing Inputs'!$H$32,IF(AND('3. GRI Pricing'!$F425&gt;='2. GRI Pricing Inputs'!$J$33,'3. GRI Pricing'!$F425&lt;='2. GRI Pricing Inputs'!$K$33),'2. GRI Pricing Inputs'!$J$32,IF(AND('3. GRI Pricing'!$F425&gt;='2. GRI Pricing Inputs'!$L$33,'3. GRI Pricing'!$F425&lt;='2. GRI Pricing Inputs'!$M$33),'2. GRI Pricing Inputs'!$L$32,IF(AND('3. GRI Pricing'!$F425&gt;='2. GRI Pricing Inputs'!$N$33,'3. GRI Pricing'!$F425&lt;='2. GRI Pricing Inputs'!$O$33),'2. GRI Pricing Inputs'!$N$32,IF(AND('3. GRI Pricing'!$F425&gt;='2. GRI Pricing Inputs'!$P$33,'3. GRI Pricing'!$F425&lt;='2. GRI Pricing Inputs'!$Q$33),'2. GRI Pricing Inputs'!$P$32,IF(AND('3. GRI Pricing'!$F425&gt;='2. GRI Pricing Inputs'!$R$33,'3. GRI Pricing'!$F425&lt;='2. GRI Pricing Inputs'!$S$33),'2. GRI Pricing Inputs'!$R$32,IF(AND('3. GRI Pricing'!$F425&gt;='2. GRI Pricing Inputs'!$T$33,'3. GRI Pricing'!$F425&lt;='2. GRI Pricing Inputs'!$U$33),'2. GRI Pricing Inputs'!$T$32,IF(AND('3. GRI Pricing'!$F425&gt;='2. GRI Pricing Inputs'!$V$33,'3. GRI Pricing'!$F425&lt;='2. GRI Pricing Inputs'!$W$33),'2. GRI Pricing Inputs'!$V$32,IF(AND('3. GRI Pricing'!$F425&gt;='2. GRI Pricing Inputs'!$X$33,'3. GRI Pricing'!$F425&lt;='2. GRI Pricing Inputs'!$Y$33),'2. GRI Pricing Inputs'!$X$32,IF(AND('3. GRI Pricing'!$F425&gt;='2. GRI Pricing Inputs'!$Z$33,'3. GRI Pricing'!$F425&lt;='2. GRI Pricing Inputs'!$AA$33),'2. GRI Pricing Inputs'!$Z$32,IF(AND('3. GRI Pricing'!$F425&gt;='2. GRI Pricing Inputs'!$AB$33,'3. GRI Pricing'!$F425&lt;='2. GRI Pricing Inputs'!$AC$33),'2. GRI Pricing Inputs'!$AB$32,IF(AND('3. GRI Pricing'!$F425&gt;='2. GRI Pricing Inputs'!$AD$33,'3. GRI Pricing'!$F425&lt;='2. GRI Pricing Inputs'!$AE$33),'2. GRI Pricing Inputs'!$AD$32,IF(AND('3. GRI Pricing'!$F425&gt;='2. GRI Pricing Inputs'!$AF$33,'3. GRI Pricing'!$F425&lt;='2. GRI Pricing Inputs'!$AG$33),'2. GRI Pricing Inputs'!$AF$32,IF(AND('3. GRI Pricing'!$F425&gt;='2. GRI Pricing Inputs'!$AH$33,'3. GRI Pricing'!$F425&lt;='2. GRI Pricing Inputs'!$AI$33),'2. GRI Pricing Inputs'!$AH$32,0))))))))))))))))</f>
        <v>0</v>
      </c>
      <c r="N425" s="273" cm="1">
        <f t="array" ref="N425">IFERROR(INDEX('2. GRI Pricing Inputs'!$C$32:$AI$39,MATCH('3. GRI Pricing'!D425,'2. GRI Pricing Inputs'!$C$32:$C$39,0),(MATCH('3. GRI Pricing'!M425,'2. GRI Pricing Inputs'!$D$32:$AI$32,0)+1)),0)</f>
        <v>0</v>
      </c>
      <c r="O425" s="273">
        <f>IFERROR(INDEX('2. GRI Pricing Inputs'!$C$45:$AI$46,MATCH($O$16,'2. GRI Pricing Inputs'!$C$45:$C$46,0),MATCH(G425,'2. GRI Pricing Inputs'!$C$45:$AI$45,0)),0)</f>
        <v>0</v>
      </c>
      <c r="P425" s="273">
        <f>IFERROR(INDEX('2. GRI Pricing Inputs'!$C$53:$AI$54,MATCH('3. GRI Pricing'!$P$16,'2. GRI Pricing Inputs'!$C$53:$C$54,0),MATCH('3. GRI Pricing'!H425,'2. GRI Pricing Inputs'!$C$53:$AI$53,0)),0)</f>
        <v>0</v>
      </c>
      <c r="Q425" s="273">
        <f>IFERROR(INDEX('2. GRI Pricing Inputs'!$C$60:$AI$61,MATCH('3. GRI Pricing'!$Q$16,'2. GRI Pricing Inputs'!$C$60:$C$61,0),MATCH('1. Accomodation'!T429,'2. GRI Pricing Inputs'!$C$60:$AI$60,0)),0)</f>
        <v>0</v>
      </c>
      <c r="R425" s="273">
        <f>IFERROR(INDEX('2. GRI Pricing Inputs'!$C$67:$AI$68,MATCH('3. GRI Pricing'!$R$16,'2. GRI Pricing Inputs'!$C$67:$C$68,0),MATCH('1. Accomodation'!U429,'2. GRI Pricing Inputs'!$C$67:$AI$67,0)),0)</f>
        <v>0</v>
      </c>
      <c r="S425" s="273">
        <f>IF(D425=0,0,'2. GRI Pricing Inputs'!$AI$75)</f>
        <v>0</v>
      </c>
      <c r="T425" s="273">
        <f>IFERROR(INDEX('2. GRI Pricing Inputs'!$C$82:$AI$83,MATCH('3. GRI Pricing'!$T$16,'2. GRI Pricing Inputs'!$C$82:$C$83,0),MATCH('1. Accomodation'!V429,'2. GRI Pricing Inputs'!$C$82:$AI$82,0)),0)</f>
        <v>0</v>
      </c>
      <c r="U425" s="273">
        <f>IFERROR(INDEX('2. GRI Pricing Inputs'!$C$89:$AI$90,MATCH('3. GRI Pricing'!$U$16,'2. GRI Pricing Inputs'!$C$89:$C$90,0),MATCH('1. Accomodation'!W429,'2. GRI Pricing Inputs'!$C$89:$AI$89,0)),0)</f>
        <v>0</v>
      </c>
      <c r="V425" s="273">
        <f>IFERROR(INDEX('2. GRI Pricing Inputs'!$C$97:$AI$98,MATCH('3. GRI Pricing'!$V$16,'2. GRI Pricing Inputs'!$C$97:$C$98,0),MATCH('1. Accomodation'!X429,'2. GRI Pricing Inputs'!$C$97:$AI$97,0)),0)</f>
        <v>0</v>
      </c>
      <c r="W425" s="273">
        <f>IFERROR(INDEX('2. GRI Pricing Inputs'!$C$104:$AI$105,MATCH('3. GRI Pricing'!$W$16,'2. GRI Pricing Inputs'!$C$104:$C$105,0),MATCH('1. Accomodation'!Y429,'2. GRI Pricing Inputs'!$C$104:$AI$104,0)),0)</f>
        <v>0</v>
      </c>
      <c r="X425" s="274"/>
      <c r="Y425" s="275">
        <f t="shared" si="13"/>
        <v>0</v>
      </c>
      <c r="Z425" s="276"/>
      <c r="AA425" s="276"/>
      <c r="AB425" s="276"/>
      <c r="AC425" s="272">
        <f>Y425*(1+'2. GRI Pricing Inputs'!$D$114)^(($AC$16-$AB$15)/365)</f>
        <v>0</v>
      </c>
      <c r="AD425" s="273">
        <f>AC425*(1+'2. GRI Pricing Inputs'!$D$114)^((AD$16-AC$16)/365)</f>
        <v>0</v>
      </c>
      <c r="AE425" s="273">
        <f>AD425*(1+'2. GRI Pricing Inputs'!$D$114)^((AE$16-AD$16)/365)</f>
        <v>0</v>
      </c>
      <c r="AF425" s="273">
        <f>AE425*(1+'2. GRI Pricing Inputs'!$D$114)^((AF$16-AE$16)/365)</f>
        <v>0</v>
      </c>
      <c r="AG425" s="273">
        <f>AF425*(1+'2. GRI Pricing Inputs'!$D$114)^((AG$16-AF$16)/365)</f>
        <v>0</v>
      </c>
      <c r="AH425" s="273">
        <f>AG425*(1+'2. GRI Pricing Inputs'!$D$114)^((AH$16-AG$16)/365)</f>
        <v>0</v>
      </c>
      <c r="AI425" s="273">
        <f>AH425*(1+'2. GRI Pricing Inputs'!$D$114)^((AI$16-AH$16)/365)</f>
        <v>0</v>
      </c>
      <c r="AJ425" s="273">
        <f>AI425*(1+'2. GRI Pricing Inputs'!$D$114)^((AJ$16-AI$16)/365)</f>
        <v>0</v>
      </c>
      <c r="AK425" s="273">
        <f>AJ425*(1+'2. GRI Pricing Inputs'!$D$114)^((AK$16-AJ$16)/365)</f>
        <v>0</v>
      </c>
      <c r="AL425" s="273">
        <f>AK425*(1+'2. GRI Pricing Inputs'!$D$114)^((AL$16-AK$16)/365)</f>
        <v>0</v>
      </c>
      <c r="AM425" s="273">
        <f>AL425*(1+'2. GRI Pricing Inputs'!$D$114)^((AM$16-AL$16)/365)</f>
        <v>0</v>
      </c>
      <c r="AN425" s="273">
        <f>AM425*(1+'2. GRI Pricing Inputs'!$D$114)^((AN$16-AM$16)/365)</f>
        <v>0</v>
      </c>
      <c r="AO425" s="273">
        <f>AN425*(1+'2. GRI Pricing Inputs'!$D$114)^((AO$16-AN$16)/365)</f>
        <v>0</v>
      </c>
    </row>
    <row r="426" spans="3:41" ht="12" x14ac:dyDescent="0.2">
      <c r="C426" s="76">
        <f>'1. Accomodation'!N430</f>
        <v>0</v>
      </c>
      <c r="D426" s="69">
        <f>'1. Accomodation'!P430</f>
        <v>0</v>
      </c>
      <c r="E426" s="69">
        <f>'1. Accomodation'!Q430</f>
        <v>0</v>
      </c>
      <c r="F426" s="77">
        <f>'1. Accomodation'!O430</f>
        <v>0</v>
      </c>
      <c r="G426" s="69">
        <f>'1. Accomodation'!R430</f>
        <v>0</v>
      </c>
      <c r="H426" s="69">
        <f>'1. Accomodation'!S430</f>
        <v>0</v>
      </c>
      <c r="I426" s="62"/>
      <c r="K426" s="272">
        <f>IFERROR(INDEX('2. GRI Pricing Inputs'!$C$15:$AI$16,MATCH($K$16,'2. GRI Pricing Inputs'!$C$15:$C$16,0),MATCH(D426,'2. GRI Pricing Inputs'!$C$15:$AI$15,0)),0)</f>
        <v>0</v>
      </c>
      <c r="L426" s="273">
        <f>IFERROR(INDEX('2. GRI Pricing Inputs'!$C$22:$AI$23,MATCH($L$16,'2. GRI Pricing Inputs'!$C$22:$C$23,0),MATCH(E426,'2. GRI Pricing Inputs'!$C$22:$AI$22,0)),0)</f>
        <v>0</v>
      </c>
      <c r="M426" s="328">
        <f>IF(AND('3. GRI Pricing'!$F426&gt;='2. GRI Pricing Inputs'!$D$33,'3. GRI Pricing'!$F426&lt;='2. GRI Pricing Inputs'!$E$33),'2. GRI Pricing Inputs'!$D$32,IF(AND('3. GRI Pricing'!$F426&gt;='2. GRI Pricing Inputs'!$F$33,'3. GRI Pricing'!$F426&lt;='2. GRI Pricing Inputs'!$G$33),'2. GRI Pricing Inputs'!$F$32,IF(AND('3. GRI Pricing'!$F426&gt;='2. GRI Pricing Inputs'!$H$33,'3. GRI Pricing'!$F426&lt;='2. GRI Pricing Inputs'!$I$33),'2. GRI Pricing Inputs'!$H$32,IF(AND('3. GRI Pricing'!$F426&gt;='2. GRI Pricing Inputs'!$J$33,'3. GRI Pricing'!$F426&lt;='2. GRI Pricing Inputs'!$K$33),'2. GRI Pricing Inputs'!$J$32,IF(AND('3. GRI Pricing'!$F426&gt;='2. GRI Pricing Inputs'!$L$33,'3. GRI Pricing'!$F426&lt;='2. GRI Pricing Inputs'!$M$33),'2. GRI Pricing Inputs'!$L$32,IF(AND('3. GRI Pricing'!$F426&gt;='2. GRI Pricing Inputs'!$N$33,'3. GRI Pricing'!$F426&lt;='2. GRI Pricing Inputs'!$O$33),'2. GRI Pricing Inputs'!$N$32,IF(AND('3. GRI Pricing'!$F426&gt;='2. GRI Pricing Inputs'!$P$33,'3. GRI Pricing'!$F426&lt;='2. GRI Pricing Inputs'!$Q$33),'2. GRI Pricing Inputs'!$P$32,IF(AND('3. GRI Pricing'!$F426&gt;='2. GRI Pricing Inputs'!$R$33,'3. GRI Pricing'!$F426&lt;='2. GRI Pricing Inputs'!$S$33),'2. GRI Pricing Inputs'!$R$32,IF(AND('3. GRI Pricing'!$F426&gt;='2. GRI Pricing Inputs'!$T$33,'3. GRI Pricing'!$F426&lt;='2. GRI Pricing Inputs'!$U$33),'2. GRI Pricing Inputs'!$T$32,IF(AND('3. GRI Pricing'!$F426&gt;='2. GRI Pricing Inputs'!$V$33,'3. GRI Pricing'!$F426&lt;='2. GRI Pricing Inputs'!$W$33),'2. GRI Pricing Inputs'!$V$32,IF(AND('3. GRI Pricing'!$F426&gt;='2. GRI Pricing Inputs'!$X$33,'3. GRI Pricing'!$F426&lt;='2. GRI Pricing Inputs'!$Y$33),'2. GRI Pricing Inputs'!$X$32,IF(AND('3. GRI Pricing'!$F426&gt;='2. GRI Pricing Inputs'!$Z$33,'3. GRI Pricing'!$F426&lt;='2. GRI Pricing Inputs'!$AA$33),'2. GRI Pricing Inputs'!$Z$32,IF(AND('3. GRI Pricing'!$F426&gt;='2. GRI Pricing Inputs'!$AB$33,'3. GRI Pricing'!$F426&lt;='2. GRI Pricing Inputs'!$AC$33),'2. GRI Pricing Inputs'!$AB$32,IF(AND('3. GRI Pricing'!$F426&gt;='2. GRI Pricing Inputs'!$AD$33,'3. GRI Pricing'!$F426&lt;='2. GRI Pricing Inputs'!$AE$33),'2. GRI Pricing Inputs'!$AD$32,IF(AND('3. GRI Pricing'!$F426&gt;='2. GRI Pricing Inputs'!$AF$33,'3. GRI Pricing'!$F426&lt;='2. GRI Pricing Inputs'!$AG$33),'2. GRI Pricing Inputs'!$AF$32,IF(AND('3. GRI Pricing'!$F426&gt;='2. GRI Pricing Inputs'!$AH$33,'3. GRI Pricing'!$F426&lt;='2. GRI Pricing Inputs'!$AI$33),'2. GRI Pricing Inputs'!$AH$32,0))))))))))))))))</f>
        <v>0</v>
      </c>
      <c r="N426" s="273" cm="1">
        <f t="array" ref="N426">IFERROR(INDEX('2. GRI Pricing Inputs'!$C$32:$AI$39,MATCH('3. GRI Pricing'!D426,'2. GRI Pricing Inputs'!$C$32:$C$39,0),(MATCH('3. GRI Pricing'!M426,'2. GRI Pricing Inputs'!$D$32:$AI$32,0)+1)),0)</f>
        <v>0</v>
      </c>
      <c r="O426" s="273">
        <f>IFERROR(INDEX('2. GRI Pricing Inputs'!$C$45:$AI$46,MATCH($O$16,'2. GRI Pricing Inputs'!$C$45:$C$46,0),MATCH(G426,'2. GRI Pricing Inputs'!$C$45:$AI$45,0)),0)</f>
        <v>0</v>
      </c>
      <c r="P426" s="273">
        <f>IFERROR(INDEX('2. GRI Pricing Inputs'!$C$53:$AI$54,MATCH('3. GRI Pricing'!$P$16,'2. GRI Pricing Inputs'!$C$53:$C$54,0),MATCH('3. GRI Pricing'!H426,'2. GRI Pricing Inputs'!$C$53:$AI$53,0)),0)</f>
        <v>0</v>
      </c>
      <c r="Q426" s="273">
        <f>IFERROR(INDEX('2. GRI Pricing Inputs'!$C$60:$AI$61,MATCH('3. GRI Pricing'!$Q$16,'2. GRI Pricing Inputs'!$C$60:$C$61,0),MATCH('1. Accomodation'!T430,'2. GRI Pricing Inputs'!$C$60:$AI$60,0)),0)</f>
        <v>0</v>
      </c>
      <c r="R426" s="273">
        <f>IFERROR(INDEX('2. GRI Pricing Inputs'!$C$67:$AI$68,MATCH('3. GRI Pricing'!$R$16,'2. GRI Pricing Inputs'!$C$67:$C$68,0),MATCH('1. Accomodation'!U430,'2. GRI Pricing Inputs'!$C$67:$AI$67,0)),0)</f>
        <v>0</v>
      </c>
      <c r="S426" s="273">
        <f>IF(D426=0,0,'2. GRI Pricing Inputs'!$AI$75)</f>
        <v>0</v>
      </c>
      <c r="T426" s="273">
        <f>IFERROR(INDEX('2. GRI Pricing Inputs'!$C$82:$AI$83,MATCH('3. GRI Pricing'!$T$16,'2. GRI Pricing Inputs'!$C$82:$C$83,0),MATCH('1. Accomodation'!V430,'2. GRI Pricing Inputs'!$C$82:$AI$82,0)),0)</f>
        <v>0</v>
      </c>
      <c r="U426" s="273">
        <f>IFERROR(INDEX('2. GRI Pricing Inputs'!$C$89:$AI$90,MATCH('3. GRI Pricing'!$U$16,'2. GRI Pricing Inputs'!$C$89:$C$90,0),MATCH('1. Accomodation'!W430,'2. GRI Pricing Inputs'!$C$89:$AI$89,0)),0)</f>
        <v>0</v>
      </c>
      <c r="V426" s="273">
        <f>IFERROR(INDEX('2. GRI Pricing Inputs'!$C$97:$AI$98,MATCH('3. GRI Pricing'!$V$16,'2. GRI Pricing Inputs'!$C$97:$C$98,0),MATCH('1. Accomodation'!X430,'2. GRI Pricing Inputs'!$C$97:$AI$97,0)),0)</f>
        <v>0</v>
      </c>
      <c r="W426" s="273">
        <f>IFERROR(INDEX('2. GRI Pricing Inputs'!$C$104:$AI$105,MATCH('3. GRI Pricing'!$W$16,'2. GRI Pricing Inputs'!$C$104:$C$105,0),MATCH('1. Accomodation'!Y430,'2. GRI Pricing Inputs'!$C$104:$AI$104,0)),0)</f>
        <v>0</v>
      </c>
      <c r="X426" s="274"/>
      <c r="Y426" s="275">
        <f t="shared" si="13"/>
        <v>0</v>
      </c>
      <c r="Z426" s="276"/>
      <c r="AA426" s="276"/>
      <c r="AB426" s="276"/>
      <c r="AC426" s="272">
        <f>Y426*(1+'2. GRI Pricing Inputs'!$D$114)^(($AC$16-$AB$15)/365)</f>
        <v>0</v>
      </c>
      <c r="AD426" s="273">
        <f>AC426*(1+'2. GRI Pricing Inputs'!$D$114)^((AD$16-AC$16)/365)</f>
        <v>0</v>
      </c>
      <c r="AE426" s="273">
        <f>AD426*(1+'2. GRI Pricing Inputs'!$D$114)^((AE$16-AD$16)/365)</f>
        <v>0</v>
      </c>
      <c r="AF426" s="273">
        <f>AE426*(1+'2. GRI Pricing Inputs'!$D$114)^((AF$16-AE$16)/365)</f>
        <v>0</v>
      </c>
      <c r="AG426" s="273">
        <f>AF426*(1+'2. GRI Pricing Inputs'!$D$114)^((AG$16-AF$16)/365)</f>
        <v>0</v>
      </c>
      <c r="AH426" s="273">
        <f>AG426*(1+'2. GRI Pricing Inputs'!$D$114)^((AH$16-AG$16)/365)</f>
        <v>0</v>
      </c>
      <c r="AI426" s="273">
        <f>AH426*(1+'2. GRI Pricing Inputs'!$D$114)^((AI$16-AH$16)/365)</f>
        <v>0</v>
      </c>
      <c r="AJ426" s="273">
        <f>AI426*(1+'2. GRI Pricing Inputs'!$D$114)^((AJ$16-AI$16)/365)</f>
        <v>0</v>
      </c>
      <c r="AK426" s="273">
        <f>AJ426*(1+'2. GRI Pricing Inputs'!$D$114)^((AK$16-AJ$16)/365)</f>
        <v>0</v>
      </c>
      <c r="AL426" s="273">
        <f>AK426*(1+'2. GRI Pricing Inputs'!$D$114)^((AL$16-AK$16)/365)</f>
        <v>0</v>
      </c>
      <c r="AM426" s="273">
        <f>AL426*(1+'2. GRI Pricing Inputs'!$D$114)^((AM$16-AL$16)/365)</f>
        <v>0</v>
      </c>
      <c r="AN426" s="273">
        <f>AM426*(1+'2. GRI Pricing Inputs'!$D$114)^((AN$16-AM$16)/365)</f>
        <v>0</v>
      </c>
      <c r="AO426" s="273">
        <f>AN426*(1+'2. GRI Pricing Inputs'!$D$114)^((AO$16-AN$16)/365)</f>
        <v>0</v>
      </c>
    </row>
    <row r="427" spans="3:41" ht="12" x14ac:dyDescent="0.2">
      <c r="C427" s="76">
        <f>'1. Accomodation'!N431</f>
        <v>0</v>
      </c>
      <c r="D427" s="69">
        <f>'1. Accomodation'!P431</f>
        <v>0</v>
      </c>
      <c r="E427" s="69">
        <f>'1. Accomodation'!Q431</f>
        <v>0</v>
      </c>
      <c r="F427" s="77">
        <f>'1. Accomodation'!O431</f>
        <v>0</v>
      </c>
      <c r="G427" s="69">
        <f>'1. Accomodation'!R431</f>
        <v>0</v>
      </c>
      <c r="H427" s="69">
        <f>'1. Accomodation'!S431</f>
        <v>0</v>
      </c>
      <c r="I427" s="62"/>
      <c r="K427" s="272">
        <f>IFERROR(INDEX('2. GRI Pricing Inputs'!$C$15:$AI$16,MATCH($K$16,'2. GRI Pricing Inputs'!$C$15:$C$16,0),MATCH(D427,'2. GRI Pricing Inputs'!$C$15:$AI$15,0)),0)</f>
        <v>0</v>
      </c>
      <c r="L427" s="273">
        <f>IFERROR(INDEX('2. GRI Pricing Inputs'!$C$22:$AI$23,MATCH($L$16,'2. GRI Pricing Inputs'!$C$22:$C$23,0),MATCH(E427,'2. GRI Pricing Inputs'!$C$22:$AI$22,0)),0)</f>
        <v>0</v>
      </c>
      <c r="M427" s="328">
        <f>IF(AND('3. GRI Pricing'!$F427&gt;='2. GRI Pricing Inputs'!$D$33,'3. GRI Pricing'!$F427&lt;='2. GRI Pricing Inputs'!$E$33),'2. GRI Pricing Inputs'!$D$32,IF(AND('3. GRI Pricing'!$F427&gt;='2. GRI Pricing Inputs'!$F$33,'3. GRI Pricing'!$F427&lt;='2. GRI Pricing Inputs'!$G$33),'2. GRI Pricing Inputs'!$F$32,IF(AND('3. GRI Pricing'!$F427&gt;='2. GRI Pricing Inputs'!$H$33,'3. GRI Pricing'!$F427&lt;='2. GRI Pricing Inputs'!$I$33),'2. GRI Pricing Inputs'!$H$32,IF(AND('3. GRI Pricing'!$F427&gt;='2. GRI Pricing Inputs'!$J$33,'3. GRI Pricing'!$F427&lt;='2. GRI Pricing Inputs'!$K$33),'2. GRI Pricing Inputs'!$J$32,IF(AND('3. GRI Pricing'!$F427&gt;='2. GRI Pricing Inputs'!$L$33,'3. GRI Pricing'!$F427&lt;='2. GRI Pricing Inputs'!$M$33),'2. GRI Pricing Inputs'!$L$32,IF(AND('3. GRI Pricing'!$F427&gt;='2. GRI Pricing Inputs'!$N$33,'3. GRI Pricing'!$F427&lt;='2. GRI Pricing Inputs'!$O$33),'2. GRI Pricing Inputs'!$N$32,IF(AND('3. GRI Pricing'!$F427&gt;='2. GRI Pricing Inputs'!$P$33,'3. GRI Pricing'!$F427&lt;='2. GRI Pricing Inputs'!$Q$33),'2. GRI Pricing Inputs'!$P$32,IF(AND('3. GRI Pricing'!$F427&gt;='2. GRI Pricing Inputs'!$R$33,'3. GRI Pricing'!$F427&lt;='2. GRI Pricing Inputs'!$S$33),'2. GRI Pricing Inputs'!$R$32,IF(AND('3. GRI Pricing'!$F427&gt;='2. GRI Pricing Inputs'!$T$33,'3. GRI Pricing'!$F427&lt;='2. GRI Pricing Inputs'!$U$33),'2. GRI Pricing Inputs'!$T$32,IF(AND('3. GRI Pricing'!$F427&gt;='2. GRI Pricing Inputs'!$V$33,'3. GRI Pricing'!$F427&lt;='2. GRI Pricing Inputs'!$W$33),'2. GRI Pricing Inputs'!$V$32,IF(AND('3. GRI Pricing'!$F427&gt;='2. GRI Pricing Inputs'!$X$33,'3. GRI Pricing'!$F427&lt;='2. GRI Pricing Inputs'!$Y$33),'2. GRI Pricing Inputs'!$X$32,IF(AND('3. GRI Pricing'!$F427&gt;='2. GRI Pricing Inputs'!$Z$33,'3. GRI Pricing'!$F427&lt;='2. GRI Pricing Inputs'!$AA$33),'2. GRI Pricing Inputs'!$Z$32,IF(AND('3. GRI Pricing'!$F427&gt;='2. GRI Pricing Inputs'!$AB$33,'3. GRI Pricing'!$F427&lt;='2. GRI Pricing Inputs'!$AC$33),'2. GRI Pricing Inputs'!$AB$32,IF(AND('3. GRI Pricing'!$F427&gt;='2. GRI Pricing Inputs'!$AD$33,'3. GRI Pricing'!$F427&lt;='2. GRI Pricing Inputs'!$AE$33),'2. GRI Pricing Inputs'!$AD$32,IF(AND('3. GRI Pricing'!$F427&gt;='2. GRI Pricing Inputs'!$AF$33,'3. GRI Pricing'!$F427&lt;='2. GRI Pricing Inputs'!$AG$33),'2. GRI Pricing Inputs'!$AF$32,IF(AND('3. GRI Pricing'!$F427&gt;='2. GRI Pricing Inputs'!$AH$33,'3. GRI Pricing'!$F427&lt;='2. GRI Pricing Inputs'!$AI$33),'2. GRI Pricing Inputs'!$AH$32,0))))))))))))))))</f>
        <v>0</v>
      </c>
      <c r="N427" s="273" cm="1">
        <f t="array" ref="N427">IFERROR(INDEX('2. GRI Pricing Inputs'!$C$32:$AI$39,MATCH('3. GRI Pricing'!D427,'2. GRI Pricing Inputs'!$C$32:$C$39,0),(MATCH('3. GRI Pricing'!M427,'2. GRI Pricing Inputs'!$D$32:$AI$32,0)+1)),0)</f>
        <v>0</v>
      </c>
      <c r="O427" s="273">
        <f>IFERROR(INDEX('2. GRI Pricing Inputs'!$C$45:$AI$46,MATCH($O$16,'2. GRI Pricing Inputs'!$C$45:$C$46,0),MATCH(G427,'2. GRI Pricing Inputs'!$C$45:$AI$45,0)),0)</f>
        <v>0</v>
      </c>
      <c r="P427" s="273">
        <f>IFERROR(INDEX('2. GRI Pricing Inputs'!$C$53:$AI$54,MATCH('3. GRI Pricing'!$P$16,'2. GRI Pricing Inputs'!$C$53:$C$54,0),MATCH('3. GRI Pricing'!H427,'2. GRI Pricing Inputs'!$C$53:$AI$53,0)),0)</f>
        <v>0</v>
      </c>
      <c r="Q427" s="273">
        <f>IFERROR(INDEX('2. GRI Pricing Inputs'!$C$60:$AI$61,MATCH('3. GRI Pricing'!$Q$16,'2. GRI Pricing Inputs'!$C$60:$C$61,0),MATCH('1. Accomodation'!T431,'2. GRI Pricing Inputs'!$C$60:$AI$60,0)),0)</f>
        <v>0</v>
      </c>
      <c r="R427" s="273">
        <f>IFERROR(INDEX('2. GRI Pricing Inputs'!$C$67:$AI$68,MATCH('3. GRI Pricing'!$R$16,'2. GRI Pricing Inputs'!$C$67:$C$68,0),MATCH('1. Accomodation'!U431,'2. GRI Pricing Inputs'!$C$67:$AI$67,0)),0)</f>
        <v>0</v>
      </c>
      <c r="S427" s="273">
        <f>IF(D427=0,0,'2. GRI Pricing Inputs'!$AI$75)</f>
        <v>0</v>
      </c>
      <c r="T427" s="273">
        <f>IFERROR(INDEX('2. GRI Pricing Inputs'!$C$82:$AI$83,MATCH('3. GRI Pricing'!$T$16,'2. GRI Pricing Inputs'!$C$82:$C$83,0),MATCH('1. Accomodation'!V431,'2. GRI Pricing Inputs'!$C$82:$AI$82,0)),0)</f>
        <v>0</v>
      </c>
      <c r="U427" s="273">
        <f>IFERROR(INDEX('2. GRI Pricing Inputs'!$C$89:$AI$90,MATCH('3. GRI Pricing'!$U$16,'2. GRI Pricing Inputs'!$C$89:$C$90,0),MATCH('1. Accomodation'!W431,'2. GRI Pricing Inputs'!$C$89:$AI$89,0)),0)</f>
        <v>0</v>
      </c>
      <c r="V427" s="273">
        <f>IFERROR(INDEX('2. GRI Pricing Inputs'!$C$97:$AI$98,MATCH('3. GRI Pricing'!$V$16,'2. GRI Pricing Inputs'!$C$97:$C$98,0),MATCH('1. Accomodation'!X431,'2. GRI Pricing Inputs'!$C$97:$AI$97,0)),0)</f>
        <v>0</v>
      </c>
      <c r="W427" s="273">
        <f>IFERROR(INDEX('2. GRI Pricing Inputs'!$C$104:$AI$105,MATCH('3. GRI Pricing'!$W$16,'2. GRI Pricing Inputs'!$C$104:$C$105,0),MATCH('1. Accomodation'!Y431,'2. GRI Pricing Inputs'!$C$104:$AI$104,0)),0)</f>
        <v>0</v>
      </c>
      <c r="X427" s="274"/>
      <c r="Y427" s="275">
        <f t="shared" si="13"/>
        <v>0</v>
      </c>
      <c r="Z427" s="276"/>
      <c r="AA427" s="276"/>
      <c r="AB427" s="276"/>
      <c r="AC427" s="272">
        <f>Y427*(1+'2. GRI Pricing Inputs'!$D$114)^(($AC$16-$AB$15)/365)</f>
        <v>0</v>
      </c>
      <c r="AD427" s="273">
        <f>AC427*(1+'2. GRI Pricing Inputs'!$D$114)^((AD$16-AC$16)/365)</f>
        <v>0</v>
      </c>
      <c r="AE427" s="273">
        <f>AD427*(1+'2. GRI Pricing Inputs'!$D$114)^((AE$16-AD$16)/365)</f>
        <v>0</v>
      </c>
      <c r="AF427" s="273">
        <f>AE427*(1+'2. GRI Pricing Inputs'!$D$114)^((AF$16-AE$16)/365)</f>
        <v>0</v>
      </c>
      <c r="AG427" s="273">
        <f>AF427*(1+'2. GRI Pricing Inputs'!$D$114)^((AG$16-AF$16)/365)</f>
        <v>0</v>
      </c>
      <c r="AH427" s="273">
        <f>AG427*(1+'2. GRI Pricing Inputs'!$D$114)^((AH$16-AG$16)/365)</f>
        <v>0</v>
      </c>
      <c r="AI427" s="273">
        <f>AH427*(1+'2. GRI Pricing Inputs'!$D$114)^((AI$16-AH$16)/365)</f>
        <v>0</v>
      </c>
      <c r="AJ427" s="273">
        <f>AI427*(1+'2. GRI Pricing Inputs'!$D$114)^((AJ$16-AI$16)/365)</f>
        <v>0</v>
      </c>
      <c r="AK427" s="273">
        <f>AJ427*(1+'2. GRI Pricing Inputs'!$D$114)^((AK$16-AJ$16)/365)</f>
        <v>0</v>
      </c>
      <c r="AL427" s="273">
        <f>AK427*(1+'2. GRI Pricing Inputs'!$D$114)^((AL$16-AK$16)/365)</f>
        <v>0</v>
      </c>
      <c r="AM427" s="273">
        <f>AL427*(1+'2. GRI Pricing Inputs'!$D$114)^((AM$16-AL$16)/365)</f>
        <v>0</v>
      </c>
      <c r="AN427" s="273">
        <f>AM427*(1+'2. GRI Pricing Inputs'!$D$114)^((AN$16-AM$16)/365)</f>
        <v>0</v>
      </c>
      <c r="AO427" s="273">
        <f>AN427*(1+'2. GRI Pricing Inputs'!$D$114)^((AO$16-AN$16)/365)</f>
        <v>0</v>
      </c>
    </row>
    <row r="428" spans="3:41" ht="12" x14ac:dyDescent="0.2">
      <c r="C428" s="76">
        <f>'1. Accomodation'!N432</f>
        <v>0</v>
      </c>
      <c r="D428" s="69">
        <f>'1. Accomodation'!P432</f>
        <v>0</v>
      </c>
      <c r="E428" s="69">
        <f>'1. Accomodation'!Q432</f>
        <v>0</v>
      </c>
      <c r="F428" s="77">
        <f>'1. Accomodation'!O432</f>
        <v>0</v>
      </c>
      <c r="G428" s="69">
        <f>'1. Accomodation'!R432</f>
        <v>0</v>
      </c>
      <c r="H428" s="69">
        <f>'1. Accomodation'!S432</f>
        <v>0</v>
      </c>
      <c r="I428" s="62"/>
      <c r="K428" s="272">
        <f>IFERROR(INDEX('2. GRI Pricing Inputs'!$C$15:$AI$16,MATCH($K$16,'2. GRI Pricing Inputs'!$C$15:$C$16,0),MATCH(D428,'2. GRI Pricing Inputs'!$C$15:$AI$15,0)),0)</f>
        <v>0</v>
      </c>
      <c r="L428" s="273">
        <f>IFERROR(INDEX('2. GRI Pricing Inputs'!$C$22:$AI$23,MATCH($L$16,'2. GRI Pricing Inputs'!$C$22:$C$23,0),MATCH(E428,'2. GRI Pricing Inputs'!$C$22:$AI$22,0)),0)</f>
        <v>0</v>
      </c>
      <c r="M428" s="328">
        <f>IF(AND('3. GRI Pricing'!$F428&gt;='2. GRI Pricing Inputs'!$D$33,'3. GRI Pricing'!$F428&lt;='2. GRI Pricing Inputs'!$E$33),'2. GRI Pricing Inputs'!$D$32,IF(AND('3. GRI Pricing'!$F428&gt;='2. GRI Pricing Inputs'!$F$33,'3. GRI Pricing'!$F428&lt;='2. GRI Pricing Inputs'!$G$33),'2. GRI Pricing Inputs'!$F$32,IF(AND('3. GRI Pricing'!$F428&gt;='2. GRI Pricing Inputs'!$H$33,'3. GRI Pricing'!$F428&lt;='2. GRI Pricing Inputs'!$I$33),'2. GRI Pricing Inputs'!$H$32,IF(AND('3. GRI Pricing'!$F428&gt;='2. GRI Pricing Inputs'!$J$33,'3. GRI Pricing'!$F428&lt;='2. GRI Pricing Inputs'!$K$33),'2. GRI Pricing Inputs'!$J$32,IF(AND('3. GRI Pricing'!$F428&gt;='2. GRI Pricing Inputs'!$L$33,'3. GRI Pricing'!$F428&lt;='2. GRI Pricing Inputs'!$M$33),'2. GRI Pricing Inputs'!$L$32,IF(AND('3. GRI Pricing'!$F428&gt;='2. GRI Pricing Inputs'!$N$33,'3. GRI Pricing'!$F428&lt;='2. GRI Pricing Inputs'!$O$33),'2. GRI Pricing Inputs'!$N$32,IF(AND('3. GRI Pricing'!$F428&gt;='2. GRI Pricing Inputs'!$P$33,'3. GRI Pricing'!$F428&lt;='2. GRI Pricing Inputs'!$Q$33),'2. GRI Pricing Inputs'!$P$32,IF(AND('3. GRI Pricing'!$F428&gt;='2. GRI Pricing Inputs'!$R$33,'3. GRI Pricing'!$F428&lt;='2. GRI Pricing Inputs'!$S$33),'2. GRI Pricing Inputs'!$R$32,IF(AND('3. GRI Pricing'!$F428&gt;='2. GRI Pricing Inputs'!$T$33,'3. GRI Pricing'!$F428&lt;='2. GRI Pricing Inputs'!$U$33),'2. GRI Pricing Inputs'!$T$32,IF(AND('3. GRI Pricing'!$F428&gt;='2. GRI Pricing Inputs'!$V$33,'3. GRI Pricing'!$F428&lt;='2. GRI Pricing Inputs'!$W$33),'2. GRI Pricing Inputs'!$V$32,IF(AND('3. GRI Pricing'!$F428&gt;='2. GRI Pricing Inputs'!$X$33,'3. GRI Pricing'!$F428&lt;='2. GRI Pricing Inputs'!$Y$33),'2. GRI Pricing Inputs'!$X$32,IF(AND('3. GRI Pricing'!$F428&gt;='2. GRI Pricing Inputs'!$Z$33,'3. GRI Pricing'!$F428&lt;='2. GRI Pricing Inputs'!$AA$33),'2. GRI Pricing Inputs'!$Z$32,IF(AND('3. GRI Pricing'!$F428&gt;='2. GRI Pricing Inputs'!$AB$33,'3. GRI Pricing'!$F428&lt;='2. GRI Pricing Inputs'!$AC$33),'2. GRI Pricing Inputs'!$AB$32,IF(AND('3. GRI Pricing'!$F428&gt;='2. GRI Pricing Inputs'!$AD$33,'3. GRI Pricing'!$F428&lt;='2. GRI Pricing Inputs'!$AE$33),'2. GRI Pricing Inputs'!$AD$32,IF(AND('3. GRI Pricing'!$F428&gt;='2. GRI Pricing Inputs'!$AF$33,'3. GRI Pricing'!$F428&lt;='2. GRI Pricing Inputs'!$AG$33),'2. GRI Pricing Inputs'!$AF$32,IF(AND('3. GRI Pricing'!$F428&gt;='2. GRI Pricing Inputs'!$AH$33,'3. GRI Pricing'!$F428&lt;='2. GRI Pricing Inputs'!$AI$33),'2. GRI Pricing Inputs'!$AH$32,0))))))))))))))))</f>
        <v>0</v>
      </c>
      <c r="N428" s="273" cm="1">
        <f t="array" ref="N428">IFERROR(INDEX('2. GRI Pricing Inputs'!$C$32:$AI$39,MATCH('3. GRI Pricing'!D428,'2. GRI Pricing Inputs'!$C$32:$C$39,0),(MATCH('3. GRI Pricing'!M428,'2. GRI Pricing Inputs'!$D$32:$AI$32,0)+1)),0)</f>
        <v>0</v>
      </c>
      <c r="O428" s="273">
        <f>IFERROR(INDEX('2. GRI Pricing Inputs'!$C$45:$AI$46,MATCH($O$16,'2. GRI Pricing Inputs'!$C$45:$C$46,0),MATCH(G428,'2. GRI Pricing Inputs'!$C$45:$AI$45,0)),0)</f>
        <v>0</v>
      </c>
      <c r="P428" s="273">
        <f>IFERROR(INDEX('2. GRI Pricing Inputs'!$C$53:$AI$54,MATCH('3. GRI Pricing'!$P$16,'2. GRI Pricing Inputs'!$C$53:$C$54,0),MATCH('3. GRI Pricing'!H428,'2. GRI Pricing Inputs'!$C$53:$AI$53,0)),0)</f>
        <v>0</v>
      </c>
      <c r="Q428" s="273">
        <f>IFERROR(INDEX('2. GRI Pricing Inputs'!$C$60:$AI$61,MATCH('3. GRI Pricing'!$Q$16,'2. GRI Pricing Inputs'!$C$60:$C$61,0),MATCH('1. Accomodation'!T432,'2. GRI Pricing Inputs'!$C$60:$AI$60,0)),0)</f>
        <v>0</v>
      </c>
      <c r="R428" s="273">
        <f>IFERROR(INDEX('2. GRI Pricing Inputs'!$C$67:$AI$68,MATCH('3. GRI Pricing'!$R$16,'2. GRI Pricing Inputs'!$C$67:$C$68,0),MATCH('1. Accomodation'!U432,'2. GRI Pricing Inputs'!$C$67:$AI$67,0)),0)</f>
        <v>0</v>
      </c>
      <c r="S428" s="273">
        <f>IF(D428=0,0,'2. GRI Pricing Inputs'!$AI$75)</f>
        <v>0</v>
      </c>
      <c r="T428" s="273">
        <f>IFERROR(INDEX('2. GRI Pricing Inputs'!$C$82:$AI$83,MATCH('3. GRI Pricing'!$T$16,'2. GRI Pricing Inputs'!$C$82:$C$83,0),MATCH('1. Accomodation'!V432,'2. GRI Pricing Inputs'!$C$82:$AI$82,0)),0)</f>
        <v>0</v>
      </c>
      <c r="U428" s="273">
        <f>IFERROR(INDEX('2. GRI Pricing Inputs'!$C$89:$AI$90,MATCH('3. GRI Pricing'!$U$16,'2. GRI Pricing Inputs'!$C$89:$C$90,0),MATCH('1. Accomodation'!W432,'2. GRI Pricing Inputs'!$C$89:$AI$89,0)),0)</f>
        <v>0</v>
      </c>
      <c r="V428" s="273">
        <f>IFERROR(INDEX('2. GRI Pricing Inputs'!$C$97:$AI$98,MATCH('3. GRI Pricing'!$V$16,'2. GRI Pricing Inputs'!$C$97:$C$98,0),MATCH('1. Accomodation'!X432,'2. GRI Pricing Inputs'!$C$97:$AI$97,0)),0)</f>
        <v>0</v>
      </c>
      <c r="W428" s="273">
        <f>IFERROR(INDEX('2. GRI Pricing Inputs'!$C$104:$AI$105,MATCH('3. GRI Pricing'!$W$16,'2. GRI Pricing Inputs'!$C$104:$C$105,0),MATCH('1. Accomodation'!Y432,'2. GRI Pricing Inputs'!$C$104:$AI$104,0)),0)</f>
        <v>0</v>
      </c>
      <c r="X428" s="274"/>
      <c r="Y428" s="275">
        <f t="shared" si="13"/>
        <v>0</v>
      </c>
      <c r="Z428" s="276"/>
      <c r="AA428" s="276"/>
      <c r="AB428" s="276"/>
      <c r="AC428" s="272">
        <f>Y428*(1+'2. GRI Pricing Inputs'!$D$114)^(($AC$16-$AB$15)/365)</f>
        <v>0</v>
      </c>
      <c r="AD428" s="273">
        <f>AC428*(1+'2. GRI Pricing Inputs'!$D$114)^((AD$16-AC$16)/365)</f>
        <v>0</v>
      </c>
      <c r="AE428" s="273">
        <f>AD428*(1+'2. GRI Pricing Inputs'!$D$114)^((AE$16-AD$16)/365)</f>
        <v>0</v>
      </c>
      <c r="AF428" s="273">
        <f>AE428*(1+'2. GRI Pricing Inputs'!$D$114)^((AF$16-AE$16)/365)</f>
        <v>0</v>
      </c>
      <c r="AG428" s="273">
        <f>AF428*(1+'2. GRI Pricing Inputs'!$D$114)^((AG$16-AF$16)/365)</f>
        <v>0</v>
      </c>
      <c r="AH428" s="273">
        <f>AG428*(1+'2. GRI Pricing Inputs'!$D$114)^((AH$16-AG$16)/365)</f>
        <v>0</v>
      </c>
      <c r="AI428" s="273">
        <f>AH428*(1+'2. GRI Pricing Inputs'!$D$114)^((AI$16-AH$16)/365)</f>
        <v>0</v>
      </c>
      <c r="AJ428" s="273">
        <f>AI428*(1+'2. GRI Pricing Inputs'!$D$114)^((AJ$16-AI$16)/365)</f>
        <v>0</v>
      </c>
      <c r="AK428" s="273">
        <f>AJ428*(1+'2. GRI Pricing Inputs'!$D$114)^((AK$16-AJ$16)/365)</f>
        <v>0</v>
      </c>
      <c r="AL428" s="273">
        <f>AK428*(1+'2. GRI Pricing Inputs'!$D$114)^((AL$16-AK$16)/365)</f>
        <v>0</v>
      </c>
      <c r="AM428" s="273">
        <f>AL428*(1+'2. GRI Pricing Inputs'!$D$114)^((AM$16-AL$16)/365)</f>
        <v>0</v>
      </c>
      <c r="AN428" s="273">
        <f>AM428*(1+'2. GRI Pricing Inputs'!$D$114)^((AN$16-AM$16)/365)</f>
        <v>0</v>
      </c>
      <c r="AO428" s="273">
        <f>AN428*(1+'2. GRI Pricing Inputs'!$D$114)^((AO$16-AN$16)/365)</f>
        <v>0</v>
      </c>
    </row>
    <row r="429" spans="3:41" ht="12" x14ac:dyDescent="0.2">
      <c r="C429" s="76">
        <f>'1. Accomodation'!N433</f>
        <v>0</v>
      </c>
      <c r="D429" s="69">
        <f>'1. Accomodation'!P433</f>
        <v>0</v>
      </c>
      <c r="E429" s="69">
        <f>'1. Accomodation'!Q433</f>
        <v>0</v>
      </c>
      <c r="F429" s="77">
        <f>'1. Accomodation'!O433</f>
        <v>0</v>
      </c>
      <c r="G429" s="69">
        <f>'1. Accomodation'!R433</f>
        <v>0</v>
      </c>
      <c r="H429" s="69">
        <f>'1. Accomodation'!S433</f>
        <v>0</v>
      </c>
      <c r="I429" s="62"/>
      <c r="K429" s="272">
        <f>IFERROR(INDEX('2. GRI Pricing Inputs'!$C$15:$AI$16,MATCH($K$16,'2. GRI Pricing Inputs'!$C$15:$C$16,0),MATCH(D429,'2. GRI Pricing Inputs'!$C$15:$AI$15,0)),0)</f>
        <v>0</v>
      </c>
      <c r="L429" s="273">
        <f>IFERROR(INDEX('2. GRI Pricing Inputs'!$C$22:$AI$23,MATCH($L$16,'2. GRI Pricing Inputs'!$C$22:$C$23,0),MATCH(E429,'2. GRI Pricing Inputs'!$C$22:$AI$22,0)),0)</f>
        <v>0</v>
      </c>
      <c r="M429" s="328">
        <f>IF(AND('3. GRI Pricing'!$F429&gt;='2. GRI Pricing Inputs'!$D$33,'3. GRI Pricing'!$F429&lt;='2. GRI Pricing Inputs'!$E$33),'2. GRI Pricing Inputs'!$D$32,IF(AND('3. GRI Pricing'!$F429&gt;='2. GRI Pricing Inputs'!$F$33,'3. GRI Pricing'!$F429&lt;='2. GRI Pricing Inputs'!$G$33),'2. GRI Pricing Inputs'!$F$32,IF(AND('3. GRI Pricing'!$F429&gt;='2. GRI Pricing Inputs'!$H$33,'3. GRI Pricing'!$F429&lt;='2. GRI Pricing Inputs'!$I$33),'2. GRI Pricing Inputs'!$H$32,IF(AND('3. GRI Pricing'!$F429&gt;='2. GRI Pricing Inputs'!$J$33,'3. GRI Pricing'!$F429&lt;='2. GRI Pricing Inputs'!$K$33),'2. GRI Pricing Inputs'!$J$32,IF(AND('3. GRI Pricing'!$F429&gt;='2. GRI Pricing Inputs'!$L$33,'3. GRI Pricing'!$F429&lt;='2. GRI Pricing Inputs'!$M$33),'2. GRI Pricing Inputs'!$L$32,IF(AND('3. GRI Pricing'!$F429&gt;='2. GRI Pricing Inputs'!$N$33,'3. GRI Pricing'!$F429&lt;='2. GRI Pricing Inputs'!$O$33),'2. GRI Pricing Inputs'!$N$32,IF(AND('3. GRI Pricing'!$F429&gt;='2. GRI Pricing Inputs'!$P$33,'3. GRI Pricing'!$F429&lt;='2. GRI Pricing Inputs'!$Q$33),'2. GRI Pricing Inputs'!$P$32,IF(AND('3. GRI Pricing'!$F429&gt;='2. GRI Pricing Inputs'!$R$33,'3. GRI Pricing'!$F429&lt;='2. GRI Pricing Inputs'!$S$33),'2. GRI Pricing Inputs'!$R$32,IF(AND('3. GRI Pricing'!$F429&gt;='2. GRI Pricing Inputs'!$T$33,'3. GRI Pricing'!$F429&lt;='2. GRI Pricing Inputs'!$U$33),'2. GRI Pricing Inputs'!$T$32,IF(AND('3. GRI Pricing'!$F429&gt;='2. GRI Pricing Inputs'!$V$33,'3. GRI Pricing'!$F429&lt;='2. GRI Pricing Inputs'!$W$33),'2. GRI Pricing Inputs'!$V$32,IF(AND('3. GRI Pricing'!$F429&gt;='2. GRI Pricing Inputs'!$X$33,'3. GRI Pricing'!$F429&lt;='2. GRI Pricing Inputs'!$Y$33),'2. GRI Pricing Inputs'!$X$32,IF(AND('3. GRI Pricing'!$F429&gt;='2. GRI Pricing Inputs'!$Z$33,'3. GRI Pricing'!$F429&lt;='2. GRI Pricing Inputs'!$AA$33),'2. GRI Pricing Inputs'!$Z$32,IF(AND('3. GRI Pricing'!$F429&gt;='2. GRI Pricing Inputs'!$AB$33,'3. GRI Pricing'!$F429&lt;='2. GRI Pricing Inputs'!$AC$33),'2. GRI Pricing Inputs'!$AB$32,IF(AND('3. GRI Pricing'!$F429&gt;='2. GRI Pricing Inputs'!$AD$33,'3. GRI Pricing'!$F429&lt;='2. GRI Pricing Inputs'!$AE$33),'2. GRI Pricing Inputs'!$AD$32,IF(AND('3. GRI Pricing'!$F429&gt;='2. GRI Pricing Inputs'!$AF$33,'3. GRI Pricing'!$F429&lt;='2. GRI Pricing Inputs'!$AG$33),'2. GRI Pricing Inputs'!$AF$32,IF(AND('3. GRI Pricing'!$F429&gt;='2. GRI Pricing Inputs'!$AH$33,'3. GRI Pricing'!$F429&lt;='2. GRI Pricing Inputs'!$AI$33),'2. GRI Pricing Inputs'!$AH$32,0))))))))))))))))</f>
        <v>0</v>
      </c>
      <c r="N429" s="273" cm="1">
        <f t="array" ref="N429">IFERROR(INDEX('2. GRI Pricing Inputs'!$C$32:$AI$39,MATCH('3. GRI Pricing'!D429,'2. GRI Pricing Inputs'!$C$32:$C$39,0),(MATCH('3. GRI Pricing'!M429,'2. GRI Pricing Inputs'!$D$32:$AI$32,0)+1)),0)</f>
        <v>0</v>
      </c>
      <c r="O429" s="273">
        <f>IFERROR(INDEX('2. GRI Pricing Inputs'!$C$45:$AI$46,MATCH($O$16,'2. GRI Pricing Inputs'!$C$45:$C$46,0),MATCH(G429,'2. GRI Pricing Inputs'!$C$45:$AI$45,0)),0)</f>
        <v>0</v>
      </c>
      <c r="P429" s="273">
        <f>IFERROR(INDEX('2. GRI Pricing Inputs'!$C$53:$AI$54,MATCH('3. GRI Pricing'!$P$16,'2. GRI Pricing Inputs'!$C$53:$C$54,0),MATCH('3. GRI Pricing'!H429,'2. GRI Pricing Inputs'!$C$53:$AI$53,0)),0)</f>
        <v>0</v>
      </c>
      <c r="Q429" s="273">
        <f>IFERROR(INDEX('2. GRI Pricing Inputs'!$C$60:$AI$61,MATCH('3. GRI Pricing'!$Q$16,'2. GRI Pricing Inputs'!$C$60:$C$61,0),MATCH('1. Accomodation'!T433,'2. GRI Pricing Inputs'!$C$60:$AI$60,0)),0)</f>
        <v>0</v>
      </c>
      <c r="R429" s="273">
        <f>IFERROR(INDEX('2. GRI Pricing Inputs'!$C$67:$AI$68,MATCH('3. GRI Pricing'!$R$16,'2. GRI Pricing Inputs'!$C$67:$C$68,0),MATCH('1. Accomodation'!U433,'2. GRI Pricing Inputs'!$C$67:$AI$67,0)),0)</f>
        <v>0</v>
      </c>
      <c r="S429" s="273">
        <f>IF(D429=0,0,'2. GRI Pricing Inputs'!$AI$75)</f>
        <v>0</v>
      </c>
      <c r="T429" s="273">
        <f>IFERROR(INDEX('2. GRI Pricing Inputs'!$C$82:$AI$83,MATCH('3. GRI Pricing'!$T$16,'2. GRI Pricing Inputs'!$C$82:$C$83,0),MATCH('1. Accomodation'!V433,'2. GRI Pricing Inputs'!$C$82:$AI$82,0)),0)</f>
        <v>0</v>
      </c>
      <c r="U429" s="273">
        <f>IFERROR(INDEX('2. GRI Pricing Inputs'!$C$89:$AI$90,MATCH('3. GRI Pricing'!$U$16,'2. GRI Pricing Inputs'!$C$89:$C$90,0),MATCH('1. Accomodation'!W433,'2. GRI Pricing Inputs'!$C$89:$AI$89,0)),0)</f>
        <v>0</v>
      </c>
      <c r="V429" s="273">
        <f>IFERROR(INDEX('2. GRI Pricing Inputs'!$C$97:$AI$98,MATCH('3. GRI Pricing'!$V$16,'2. GRI Pricing Inputs'!$C$97:$C$98,0),MATCH('1. Accomodation'!X433,'2. GRI Pricing Inputs'!$C$97:$AI$97,0)),0)</f>
        <v>0</v>
      </c>
      <c r="W429" s="273">
        <f>IFERROR(INDEX('2. GRI Pricing Inputs'!$C$104:$AI$105,MATCH('3. GRI Pricing'!$W$16,'2. GRI Pricing Inputs'!$C$104:$C$105,0),MATCH('1. Accomodation'!Y433,'2. GRI Pricing Inputs'!$C$104:$AI$104,0)),0)</f>
        <v>0</v>
      </c>
      <c r="X429" s="274"/>
      <c r="Y429" s="275">
        <f t="shared" si="13"/>
        <v>0</v>
      </c>
      <c r="Z429" s="276"/>
      <c r="AA429" s="276"/>
      <c r="AB429" s="276"/>
      <c r="AC429" s="272">
        <f>Y429*(1+'2. GRI Pricing Inputs'!$D$114)^(($AC$16-$AB$15)/365)</f>
        <v>0</v>
      </c>
      <c r="AD429" s="273">
        <f>AC429*(1+'2. GRI Pricing Inputs'!$D$114)^((AD$16-AC$16)/365)</f>
        <v>0</v>
      </c>
      <c r="AE429" s="273">
        <f>AD429*(1+'2. GRI Pricing Inputs'!$D$114)^((AE$16-AD$16)/365)</f>
        <v>0</v>
      </c>
      <c r="AF429" s="273">
        <f>AE429*(1+'2. GRI Pricing Inputs'!$D$114)^((AF$16-AE$16)/365)</f>
        <v>0</v>
      </c>
      <c r="AG429" s="273">
        <f>AF429*(1+'2. GRI Pricing Inputs'!$D$114)^((AG$16-AF$16)/365)</f>
        <v>0</v>
      </c>
      <c r="AH429" s="273">
        <f>AG429*(1+'2. GRI Pricing Inputs'!$D$114)^((AH$16-AG$16)/365)</f>
        <v>0</v>
      </c>
      <c r="AI429" s="273">
        <f>AH429*(1+'2. GRI Pricing Inputs'!$D$114)^((AI$16-AH$16)/365)</f>
        <v>0</v>
      </c>
      <c r="AJ429" s="273">
        <f>AI429*(1+'2. GRI Pricing Inputs'!$D$114)^((AJ$16-AI$16)/365)</f>
        <v>0</v>
      </c>
      <c r="AK429" s="273">
        <f>AJ429*(1+'2. GRI Pricing Inputs'!$D$114)^((AK$16-AJ$16)/365)</f>
        <v>0</v>
      </c>
      <c r="AL429" s="273">
        <f>AK429*(1+'2. GRI Pricing Inputs'!$D$114)^((AL$16-AK$16)/365)</f>
        <v>0</v>
      </c>
      <c r="AM429" s="273">
        <f>AL429*(1+'2. GRI Pricing Inputs'!$D$114)^((AM$16-AL$16)/365)</f>
        <v>0</v>
      </c>
      <c r="AN429" s="273">
        <f>AM429*(1+'2. GRI Pricing Inputs'!$D$114)^((AN$16-AM$16)/365)</f>
        <v>0</v>
      </c>
      <c r="AO429" s="273">
        <f>AN429*(1+'2. GRI Pricing Inputs'!$D$114)^((AO$16-AN$16)/365)</f>
        <v>0</v>
      </c>
    </row>
    <row r="430" spans="3:41" ht="12" x14ac:dyDescent="0.2">
      <c r="C430" s="76">
        <f>'1. Accomodation'!N434</f>
        <v>0</v>
      </c>
      <c r="D430" s="69">
        <f>'1. Accomodation'!P434</f>
        <v>0</v>
      </c>
      <c r="E430" s="69">
        <f>'1. Accomodation'!Q434</f>
        <v>0</v>
      </c>
      <c r="F430" s="77">
        <f>'1. Accomodation'!O434</f>
        <v>0</v>
      </c>
      <c r="G430" s="69">
        <f>'1. Accomodation'!R434</f>
        <v>0</v>
      </c>
      <c r="H430" s="69">
        <f>'1. Accomodation'!S434</f>
        <v>0</v>
      </c>
      <c r="I430" s="62"/>
      <c r="K430" s="272">
        <f>IFERROR(INDEX('2. GRI Pricing Inputs'!$C$15:$AI$16,MATCH($K$16,'2. GRI Pricing Inputs'!$C$15:$C$16,0),MATCH(D430,'2. GRI Pricing Inputs'!$C$15:$AI$15,0)),0)</f>
        <v>0</v>
      </c>
      <c r="L430" s="273">
        <f>IFERROR(INDEX('2. GRI Pricing Inputs'!$C$22:$AI$23,MATCH($L$16,'2. GRI Pricing Inputs'!$C$22:$C$23,0),MATCH(E430,'2. GRI Pricing Inputs'!$C$22:$AI$22,0)),0)</f>
        <v>0</v>
      </c>
      <c r="M430" s="328">
        <f>IF(AND('3. GRI Pricing'!$F430&gt;='2. GRI Pricing Inputs'!$D$33,'3. GRI Pricing'!$F430&lt;='2. GRI Pricing Inputs'!$E$33),'2. GRI Pricing Inputs'!$D$32,IF(AND('3. GRI Pricing'!$F430&gt;='2. GRI Pricing Inputs'!$F$33,'3. GRI Pricing'!$F430&lt;='2. GRI Pricing Inputs'!$G$33),'2. GRI Pricing Inputs'!$F$32,IF(AND('3. GRI Pricing'!$F430&gt;='2. GRI Pricing Inputs'!$H$33,'3. GRI Pricing'!$F430&lt;='2. GRI Pricing Inputs'!$I$33),'2. GRI Pricing Inputs'!$H$32,IF(AND('3. GRI Pricing'!$F430&gt;='2. GRI Pricing Inputs'!$J$33,'3. GRI Pricing'!$F430&lt;='2. GRI Pricing Inputs'!$K$33),'2. GRI Pricing Inputs'!$J$32,IF(AND('3. GRI Pricing'!$F430&gt;='2. GRI Pricing Inputs'!$L$33,'3. GRI Pricing'!$F430&lt;='2. GRI Pricing Inputs'!$M$33),'2. GRI Pricing Inputs'!$L$32,IF(AND('3. GRI Pricing'!$F430&gt;='2. GRI Pricing Inputs'!$N$33,'3. GRI Pricing'!$F430&lt;='2. GRI Pricing Inputs'!$O$33),'2. GRI Pricing Inputs'!$N$32,IF(AND('3. GRI Pricing'!$F430&gt;='2. GRI Pricing Inputs'!$P$33,'3. GRI Pricing'!$F430&lt;='2. GRI Pricing Inputs'!$Q$33),'2. GRI Pricing Inputs'!$P$32,IF(AND('3. GRI Pricing'!$F430&gt;='2. GRI Pricing Inputs'!$R$33,'3. GRI Pricing'!$F430&lt;='2. GRI Pricing Inputs'!$S$33),'2. GRI Pricing Inputs'!$R$32,IF(AND('3. GRI Pricing'!$F430&gt;='2. GRI Pricing Inputs'!$T$33,'3. GRI Pricing'!$F430&lt;='2. GRI Pricing Inputs'!$U$33),'2. GRI Pricing Inputs'!$T$32,IF(AND('3. GRI Pricing'!$F430&gt;='2. GRI Pricing Inputs'!$V$33,'3. GRI Pricing'!$F430&lt;='2. GRI Pricing Inputs'!$W$33),'2. GRI Pricing Inputs'!$V$32,IF(AND('3. GRI Pricing'!$F430&gt;='2. GRI Pricing Inputs'!$X$33,'3. GRI Pricing'!$F430&lt;='2. GRI Pricing Inputs'!$Y$33),'2. GRI Pricing Inputs'!$X$32,IF(AND('3. GRI Pricing'!$F430&gt;='2. GRI Pricing Inputs'!$Z$33,'3. GRI Pricing'!$F430&lt;='2. GRI Pricing Inputs'!$AA$33),'2. GRI Pricing Inputs'!$Z$32,IF(AND('3. GRI Pricing'!$F430&gt;='2. GRI Pricing Inputs'!$AB$33,'3. GRI Pricing'!$F430&lt;='2. GRI Pricing Inputs'!$AC$33),'2. GRI Pricing Inputs'!$AB$32,IF(AND('3. GRI Pricing'!$F430&gt;='2. GRI Pricing Inputs'!$AD$33,'3. GRI Pricing'!$F430&lt;='2. GRI Pricing Inputs'!$AE$33),'2. GRI Pricing Inputs'!$AD$32,IF(AND('3. GRI Pricing'!$F430&gt;='2. GRI Pricing Inputs'!$AF$33,'3. GRI Pricing'!$F430&lt;='2. GRI Pricing Inputs'!$AG$33),'2. GRI Pricing Inputs'!$AF$32,IF(AND('3. GRI Pricing'!$F430&gt;='2. GRI Pricing Inputs'!$AH$33,'3. GRI Pricing'!$F430&lt;='2. GRI Pricing Inputs'!$AI$33),'2. GRI Pricing Inputs'!$AH$32,0))))))))))))))))</f>
        <v>0</v>
      </c>
      <c r="N430" s="273" cm="1">
        <f t="array" ref="N430">IFERROR(INDEX('2. GRI Pricing Inputs'!$C$32:$AI$39,MATCH('3. GRI Pricing'!D430,'2. GRI Pricing Inputs'!$C$32:$C$39,0),(MATCH('3. GRI Pricing'!M430,'2. GRI Pricing Inputs'!$D$32:$AI$32,0)+1)),0)</f>
        <v>0</v>
      </c>
      <c r="O430" s="273">
        <f>IFERROR(INDEX('2. GRI Pricing Inputs'!$C$45:$AI$46,MATCH($O$16,'2. GRI Pricing Inputs'!$C$45:$C$46,0),MATCH(G430,'2. GRI Pricing Inputs'!$C$45:$AI$45,0)),0)</f>
        <v>0</v>
      </c>
      <c r="P430" s="273">
        <f>IFERROR(INDEX('2. GRI Pricing Inputs'!$C$53:$AI$54,MATCH('3. GRI Pricing'!$P$16,'2. GRI Pricing Inputs'!$C$53:$C$54,0),MATCH('3. GRI Pricing'!H430,'2. GRI Pricing Inputs'!$C$53:$AI$53,0)),0)</f>
        <v>0</v>
      </c>
      <c r="Q430" s="273">
        <f>IFERROR(INDEX('2. GRI Pricing Inputs'!$C$60:$AI$61,MATCH('3. GRI Pricing'!$Q$16,'2. GRI Pricing Inputs'!$C$60:$C$61,0),MATCH('1. Accomodation'!T434,'2. GRI Pricing Inputs'!$C$60:$AI$60,0)),0)</f>
        <v>0</v>
      </c>
      <c r="R430" s="273">
        <f>IFERROR(INDEX('2. GRI Pricing Inputs'!$C$67:$AI$68,MATCH('3. GRI Pricing'!$R$16,'2. GRI Pricing Inputs'!$C$67:$C$68,0),MATCH('1. Accomodation'!U434,'2. GRI Pricing Inputs'!$C$67:$AI$67,0)),0)</f>
        <v>0</v>
      </c>
      <c r="S430" s="273">
        <f>IF(D430=0,0,'2. GRI Pricing Inputs'!$AI$75)</f>
        <v>0</v>
      </c>
      <c r="T430" s="273">
        <f>IFERROR(INDEX('2. GRI Pricing Inputs'!$C$82:$AI$83,MATCH('3. GRI Pricing'!$T$16,'2. GRI Pricing Inputs'!$C$82:$C$83,0),MATCH('1. Accomodation'!V434,'2. GRI Pricing Inputs'!$C$82:$AI$82,0)),0)</f>
        <v>0</v>
      </c>
      <c r="U430" s="273">
        <f>IFERROR(INDEX('2. GRI Pricing Inputs'!$C$89:$AI$90,MATCH('3. GRI Pricing'!$U$16,'2. GRI Pricing Inputs'!$C$89:$C$90,0),MATCH('1. Accomodation'!W434,'2. GRI Pricing Inputs'!$C$89:$AI$89,0)),0)</f>
        <v>0</v>
      </c>
      <c r="V430" s="273">
        <f>IFERROR(INDEX('2. GRI Pricing Inputs'!$C$97:$AI$98,MATCH('3. GRI Pricing'!$V$16,'2. GRI Pricing Inputs'!$C$97:$C$98,0),MATCH('1. Accomodation'!X434,'2. GRI Pricing Inputs'!$C$97:$AI$97,0)),0)</f>
        <v>0</v>
      </c>
      <c r="W430" s="273">
        <f>IFERROR(INDEX('2. GRI Pricing Inputs'!$C$104:$AI$105,MATCH('3. GRI Pricing'!$W$16,'2. GRI Pricing Inputs'!$C$104:$C$105,0),MATCH('1. Accomodation'!Y434,'2. GRI Pricing Inputs'!$C$104:$AI$104,0)),0)</f>
        <v>0</v>
      </c>
      <c r="X430" s="274"/>
      <c r="Y430" s="275">
        <f t="shared" si="13"/>
        <v>0</v>
      </c>
      <c r="Z430" s="276"/>
      <c r="AA430" s="276"/>
      <c r="AB430" s="276"/>
      <c r="AC430" s="272">
        <f>Y430*(1+'2. GRI Pricing Inputs'!$D$114)^(($AC$16-$AB$15)/365)</f>
        <v>0</v>
      </c>
      <c r="AD430" s="273">
        <f>AC430*(1+'2. GRI Pricing Inputs'!$D$114)^((AD$16-AC$16)/365)</f>
        <v>0</v>
      </c>
      <c r="AE430" s="273">
        <f>AD430*(1+'2. GRI Pricing Inputs'!$D$114)^((AE$16-AD$16)/365)</f>
        <v>0</v>
      </c>
      <c r="AF430" s="273">
        <f>AE430*(1+'2. GRI Pricing Inputs'!$D$114)^((AF$16-AE$16)/365)</f>
        <v>0</v>
      </c>
      <c r="AG430" s="273">
        <f>AF430*(1+'2. GRI Pricing Inputs'!$D$114)^((AG$16-AF$16)/365)</f>
        <v>0</v>
      </c>
      <c r="AH430" s="273">
        <f>AG430*(1+'2. GRI Pricing Inputs'!$D$114)^((AH$16-AG$16)/365)</f>
        <v>0</v>
      </c>
      <c r="AI430" s="273">
        <f>AH430*(1+'2. GRI Pricing Inputs'!$D$114)^((AI$16-AH$16)/365)</f>
        <v>0</v>
      </c>
      <c r="AJ430" s="273">
        <f>AI430*(1+'2. GRI Pricing Inputs'!$D$114)^((AJ$16-AI$16)/365)</f>
        <v>0</v>
      </c>
      <c r="AK430" s="273">
        <f>AJ430*(1+'2. GRI Pricing Inputs'!$D$114)^((AK$16-AJ$16)/365)</f>
        <v>0</v>
      </c>
      <c r="AL430" s="273">
        <f>AK430*(1+'2. GRI Pricing Inputs'!$D$114)^((AL$16-AK$16)/365)</f>
        <v>0</v>
      </c>
      <c r="AM430" s="273">
        <f>AL430*(1+'2. GRI Pricing Inputs'!$D$114)^((AM$16-AL$16)/365)</f>
        <v>0</v>
      </c>
      <c r="AN430" s="273">
        <f>AM430*(1+'2. GRI Pricing Inputs'!$D$114)^((AN$16-AM$16)/365)</f>
        <v>0</v>
      </c>
      <c r="AO430" s="273">
        <f>AN430*(1+'2. GRI Pricing Inputs'!$D$114)^((AO$16-AN$16)/365)</f>
        <v>0</v>
      </c>
    </row>
    <row r="431" spans="3:41" ht="12" x14ac:dyDescent="0.2">
      <c r="C431" s="76">
        <f>'1. Accomodation'!N435</f>
        <v>0</v>
      </c>
      <c r="D431" s="69">
        <f>'1. Accomodation'!P435</f>
        <v>0</v>
      </c>
      <c r="E431" s="69">
        <f>'1. Accomodation'!Q435</f>
        <v>0</v>
      </c>
      <c r="F431" s="77">
        <f>'1. Accomodation'!O435</f>
        <v>0</v>
      </c>
      <c r="G431" s="69">
        <f>'1. Accomodation'!R435</f>
        <v>0</v>
      </c>
      <c r="H431" s="69">
        <f>'1. Accomodation'!S435</f>
        <v>0</v>
      </c>
      <c r="I431" s="62"/>
      <c r="K431" s="272">
        <f>IFERROR(INDEX('2. GRI Pricing Inputs'!$C$15:$AI$16,MATCH($K$16,'2. GRI Pricing Inputs'!$C$15:$C$16,0),MATCH(D431,'2. GRI Pricing Inputs'!$C$15:$AI$15,0)),0)</f>
        <v>0</v>
      </c>
      <c r="L431" s="273">
        <f>IFERROR(INDEX('2. GRI Pricing Inputs'!$C$22:$AI$23,MATCH($L$16,'2. GRI Pricing Inputs'!$C$22:$C$23,0),MATCH(E431,'2. GRI Pricing Inputs'!$C$22:$AI$22,0)),0)</f>
        <v>0</v>
      </c>
      <c r="M431" s="328">
        <f>IF(AND('3. GRI Pricing'!$F431&gt;='2. GRI Pricing Inputs'!$D$33,'3. GRI Pricing'!$F431&lt;='2. GRI Pricing Inputs'!$E$33),'2. GRI Pricing Inputs'!$D$32,IF(AND('3. GRI Pricing'!$F431&gt;='2. GRI Pricing Inputs'!$F$33,'3. GRI Pricing'!$F431&lt;='2. GRI Pricing Inputs'!$G$33),'2. GRI Pricing Inputs'!$F$32,IF(AND('3. GRI Pricing'!$F431&gt;='2. GRI Pricing Inputs'!$H$33,'3. GRI Pricing'!$F431&lt;='2. GRI Pricing Inputs'!$I$33),'2. GRI Pricing Inputs'!$H$32,IF(AND('3. GRI Pricing'!$F431&gt;='2. GRI Pricing Inputs'!$J$33,'3. GRI Pricing'!$F431&lt;='2. GRI Pricing Inputs'!$K$33),'2. GRI Pricing Inputs'!$J$32,IF(AND('3. GRI Pricing'!$F431&gt;='2. GRI Pricing Inputs'!$L$33,'3. GRI Pricing'!$F431&lt;='2. GRI Pricing Inputs'!$M$33),'2. GRI Pricing Inputs'!$L$32,IF(AND('3. GRI Pricing'!$F431&gt;='2. GRI Pricing Inputs'!$N$33,'3. GRI Pricing'!$F431&lt;='2. GRI Pricing Inputs'!$O$33),'2. GRI Pricing Inputs'!$N$32,IF(AND('3. GRI Pricing'!$F431&gt;='2. GRI Pricing Inputs'!$P$33,'3. GRI Pricing'!$F431&lt;='2. GRI Pricing Inputs'!$Q$33),'2. GRI Pricing Inputs'!$P$32,IF(AND('3. GRI Pricing'!$F431&gt;='2. GRI Pricing Inputs'!$R$33,'3. GRI Pricing'!$F431&lt;='2. GRI Pricing Inputs'!$S$33),'2. GRI Pricing Inputs'!$R$32,IF(AND('3. GRI Pricing'!$F431&gt;='2. GRI Pricing Inputs'!$T$33,'3. GRI Pricing'!$F431&lt;='2. GRI Pricing Inputs'!$U$33),'2. GRI Pricing Inputs'!$T$32,IF(AND('3. GRI Pricing'!$F431&gt;='2. GRI Pricing Inputs'!$V$33,'3. GRI Pricing'!$F431&lt;='2. GRI Pricing Inputs'!$W$33),'2. GRI Pricing Inputs'!$V$32,IF(AND('3. GRI Pricing'!$F431&gt;='2. GRI Pricing Inputs'!$X$33,'3. GRI Pricing'!$F431&lt;='2. GRI Pricing Inputs'!$Y$33),'2. GRI Pricing Inputs'!$X$32,IF(AND('3. GRI Pricing'!$F431&gt;='2. GRI Pricing Inputs'!$Z$33,'3. GRI Pricing'!$F431&lt;='2. GRI Pricing Inputs'!$AA$33),'2. GRI Pricing Inputs'!$Z$32,IF(AND('3. GRI Pricing'!$F431&gt;='2. GRI Pricing Inputs'!$AB$33,'3. GRI Pricing'!$F431&lt;='2. GRI Pricing Inputs'!$AC$33),'2. GRI Pricing Inputs'!$AB$32,IF(AND('3. GRI Pricing'!$F431&gt;='2. GRI Pricing Inputs'!$AD$33,'3. GRI Pricing'!$F431&lt;='2. GRI Pricing Inputs'!$AE$33),'2. GRI Pricing Inputs'!$AD$32,IF(AND('3. GRI Pricing'!$F431&gt;='2. GRI Pricing Inputs'!$AF$33,'3. GRI Pricing'!$F431&lt;='2. GRI Pricing Inputs'!$AG$33),'2. GRI Pricing Inputs'!$AF$32,IF(AND('3. GRI Pricing'!$F431&gt;='2. GRI Pricing Inputs'!$AH$33,'3. GRI Pricing'!$F431&lt;='2. GRI Pricing Inputs'!$AI$33),'2. GRI Pricing Inputs'!$AH$32,0))))))))))))))))</f>
        <v>0</v>
      </c>
      <c r="N431" s="273" cm="1">
        <f t="array" ref="N431">IFERROR(INDEX('2. GRI Pricing Inputs'!$C$32:$AI$39,MATCH('3. GRI Pricing'!D431,'2. GRI Pricing Inputs'!$C$32:$C$39,0),(MATCH('3. GRI Pricing'!M431,'2. GRI Pricing Inputs'!$D$32:$AI$32,0)+1)),0)</f>
        <v>0</v>
      </c>
      <c r="O431" s="273">
        <f>IFERROR(INDEX('2. GRI Pricing Inputs'!$C$45:$AI$46,MATCH($O$16,'2. GRI Pricing Inputs'!$C$45:$C$46,0),MATCH(G431,'2. GRI Pricing Inputs'!$C$45:$AI$45,0)),0)</f>
        <v>0</v>
      </c>
      <c r="P431" s="273">
        <f>IFERROR(INDEX('2. GRI Pricing Inputs'!$C$53:$AI$54,MATCH('3. GRI Pricing'!$P$16,'2. GRI Pricing Inputs'!$C$53:$C$54,0),MATCH('3. GRI Pricing'!H431,'2. GRI Pricing Inputs'!$C$53:$AI$53,0)),0)</f>
        <v>0</v>
      </c>
      <c r="Q431" s="273">
        <f>IFERROR(INDEX('2. GRI Pricing Inputs'!$C$60:$AI$61,MATCH('3. GRI Pricing'!$Q$16,'2. GRI Pricing Inputs'!$C$60:$C$61,0),MATCH('1. Accomodation'!T435,'2. GRI Pricing Inputs'!$C$60:$AI$60,0)),0)</f>
        <v>0</v>
      </c>
      <c r="R431" s="273">
        <f>IFERROR(INDEX('2. GRI Pricing Inputs'!$C$67:$AI$68,MATCH('3. GRI Pricing'!$R$16,'2. GRI Pricing Inputs'!$C$67:$C$68,0),MATCH('1. Accomodation'!U435,'2. GRI Pricing Inputs'!$C$67:$AI$67,0)),0)</f>
        <v>0</v>
      </c>
      <c r="S431" s="273">
        <f>IF(D431=0,0,'2. GRI Pricing Inputs'!$AI$75)</f>
        <v>0</v>
      </c>
      <c r="T431" s="273">
        <f>IFERROR(INDEX('2. GRI Pricing Inputs'!$C$82:$AI$83,MATCH('3. GRI Pricing'!$T$16,'2. GRI Pricing Inputs'!$C$82:$C$83,0),MATCH('1. Accomodation'!V435,'2. GRI Pricing Inputs'!$C$82:$AI$82,0)),0)</f>
        <v>0</v>
      </c>
      <c r="U431" s="273">
        <f>IFERROR(INDEX('2. GRI Pricing Inputs'!$C$89:$AI$90,MATCH('3. GRI Pricing'!$U$16,'2. GRI Pricing Inputs'!$C$89:$C$90,0),MATCH('1. Accomodation'!W435,'2. GRI Pricing Inputs'!$C$89:$AI$89,0)),0)</f>
        <v>0</v>
      </c>
      <c r="V431" s="273">
        <f>IFERROR(INDEX('2. GRI Pricing Inputs'!$C$97:$AI$98,MATCH('3. GRI Pricing'!$V$16,'2. GRI Pricing Inputs'!$C$97:$C$98,0),MATCH('1. Accomodation'!X435,'2. GRI Pricing Inputs'!$C$97:$AI$97,0)),0)</f>
        <v>0</v>
      </c>
      <c r="W431" s="273">
        <f>IFERROR(INDEX('2. GRI Pricing Inputs'!$C$104:$AI$105,MATCH('3. GRI Pricing'!$W$16,'2. GRI Pricing Inputs'!$C$104:$C$105,0),MATCH('1. Accomodation'!Y435,'2. GRI Pricing Inputs'!$C$104:$AI$104,0)),0)</f>
        <v>0</v>
      </c>
      <c r="X431" s="274"/>
      <c r="Y431" s="275">
        <f t="shared" si="13"/>
        <v>0</v>
      </c>
      <c r="Z431" s="276"/>
      <c r="AA431" s="276"/>
      <c r="AB431" s="276"/>
      <c r="AC431" s="272">
        <f>Y431*(1+'2. GRI Pricing Inputs'!$D$114)^(($AC$16-$AB$15)/365)</f>
        <v>0</v>
      </c>
      <c r="AD431" s="273">
        <f>AC431*(1+'2. GRI Pricing Inputs'!$D$114)^((AD$16-AC$16)/365)</f>
        <v>0</v>
      </c>
      <c r="AE431" s="273">
        <f>AD431*(1+'2. GRI Pricing Inputs'!$D$114)^((AE$16-AD$16)/365)</f>
        <v>0</v>
      </c>
      <c r="AF431" s="273">
        <f>AE431*(1+'2. GRI Pricing Inputs'!$D$114)^((AF$16-AE$16)/365)</f>
        <v>0</v>
      </c>
      <c r="AG431" s="273">
        <f>AF431*(1+'2. GRI Pricing Inputs'!$D$114)^((AG$16-AF$16)/365)</f>
        <v>0</v>
      </c>
      <c r="AH431" s="273">
        <f>AG431*(1+'2. GRI Pricing Inputs'!$D$114)^((AH$16-AG$16)/365)</f>
        <v>0</v>
      </c>
      <c r="AI431" s="273">
        <f>AH431*(1+'2. GRI Pricing Inputs'!$D$114)^((AI$16-AH$16)/365)</f>
        <v>0</v>
      </c>
      <c r="AJ431" s="273">
        <f>AI431*(1+'2. GRI Pricing Inputs'!$D$114)^((AJ$16-AI$16)/365)</f>
        <v>0</v>
      </c>
      <c r="AK431" s="273">
        <f>AJ431*(1+'2. GRI Pricing Inputs'!$D$114)^((AK$16-AJ$16)/365)</f>
        <v>0</v>
      </c>
      <c r="AL431" s="273">
        <f>AK431*(1+'2. GRI Pricing Inputs'!$D$114)^((AL$16-AK$16)/365)</f>
        <v>0</v>
      </c>
      <c r="AM431" s="273">
        <f>AL431*(1+'2. GRI Pricing Inputs'!$D$114)^((AM$16-AL$16)/365)</f>
        <v>0</v>
      </c>
      <c r="AN431" s="273">
        <f>AM431*(1+'2. GRI Pricing Inputs'!$D$114)^((AN$16-AM$16)/365)</f>
        <v>0</v>
      </c>
      <c r="AO431" s="273">
        <f>AN431*(1+'2. GRI Pricing Inputs'!$D$114)^((AO$16-AN$16)/365)</f>
        <v>0</v>
      </c>
    </row>
    <row r="432" spans="3:41" ht="12" x14ac:dyDescent="0.2">
      <c r="C432" s="76">
        <f>'1. Accomodation'!N436</f>
        <v>0</v>
      </c>
      <c r="D432" s="69">
        <f>'1. Accomodation'!P436</f>
        <v>0</v>
      </c>
      <c r="E432" s="69">
        <f>'1. Accomodation'!Q436</f>
        <v>0</v>
      </c>
      <c r="F432" s="77">
        <f>'1. Accomodation'!O436</f>
        <v>0</v>
      </c>
      <c r="G432" s="69">
        <f>'1. Accomodation'!R436</f>
        <v>0</v>
      </c>
      <c r="H432" s="69">
        <f>'1. Accomodation'!S436</f>
        <v>0</v>
      </c>
      <c r="I432" s="62"/>
      <c r="K432" s="272">
        <f>IFERROR(INDEX('2. GRI Pricing Inputs'!$C$15:$AI$16,MATCH($K$16,'2. GRI Pricing Inputs'!$C$15:$C$16,0),MATCH(D432,'2. GRI Pricing Inputs'!$C$15:$AI$15,0)),0)</f>
        <v>0</v>
      </c>
      <c r="L432" s="273">
        <f>IFERROR(INDEX('2. GRI Pricing Inputs'!$C$22:$AI$23,MATCH($L$16,'2. GRI Pricing Inputs'!$C$22:$C$23,0),MATCH(E432,'2. GRI Pricing Inputs'!$C$22:$AI$22,0)),0)</f>
        <v>0</v>
      </c>
      <c r="M432" s="328">
        <f>IF(AND('3. GRI Pricing'!$F432&gt;='2. GRI Pricing Inputs'!$D$33,'3. GRI Pricing'!$F432&lt;='2. GRI Pricing Inputs'!$E$33),'2. GRI Pricing Inputs'!$D$32,IF(AND('3. GRI Pricing'!$F432&gt;='2. GRI Pricing Inputs'!$F$33,'3. GRI Pricing'!$F432&lt;='2. GRI Pricing Inputs'!$G$33),'2. GRI Pricing Inputs'!$F$32,IF(AND('3. GRI Pricing'!$F432&gt;='2. GRI Pricing Inputs'!$H$33,'3. GRI Pricing'!$F432&lt;='2. GRI Pricing Inputs'!$I$33),'2. GRI Pricing Inputs'!$H$32,IF(AND('3. GRI Pricing'!$F432&gt;='2. GRI Pricing Inputs'!$J$33,'3. GRI Pricing'!$F432&lt;='2. GRI Pricing Inputs'!$K$33),'2. GRI Pricing Inputs'!$J$32,IF(AND('3. GRI Pricing'!$F432&gt;='2. GRI Pricing Inputs'!$L$33,'3. GRI Pricing'!$F432&lt;='2. GRI Pricing Inputs'!$M$33),'2. GRI Pricing Inputs'!$L$32,IF(AND('3. GRI Pricing'!$F432&gt;='2. GRI Pricing Inputs'!$N$33,'3. GRI Pricing'!$F432&lt;='2. GRI Pricing Inputs'!$O$33),'2. GRI Pricing Inputs'!$N$32,IF(AND('3. GRI Pricing'!$F432&gt;='2. GRI Pricing Inputs'!$P$33,'3. GRI Pricing'!$F432&lt;='2. GRI Pricing Inputs'!$Q$33),'2. GRI Pricing Inputs'!$P$32,IF(AND('3. GRI Pricing'!$F432&gt;='2. GRI Pricing Inputs'!$R$33,'3. GRI Pricing'!$F432&lt;='2. GRI Pricing Inputs'!$S$33),'2. GRI Pricing Inputs'!$R$32,IF(AND('3. GRI Pricing'!$F432&gt;='2. GRI Pricing Inputs'!$T$33,'3. GRI Pricing'!$F432&lt;='2. GRI Pricing Inputs'!$U$33),'2. GRI Pricing Inputs'!$T$32,IF(AND('3. GRI Pricing'!$F432&gt;='2. GRI Pricing Inputs'!$V$33,'3. GRI Pricing'!$F432&lt;='2. GRI Pricing Inputs'!$W$33),'2. GRI Pricing Inputs'!$V$32,IF(AND('3. GRI Pricing'!$F432&gt;='2. GRI Pricing Inputs'!$X$33,'3. GRI Pricing'!$F432&lt;='2. GRI Pricing Inputs'!$Y$33),'2. GRI Pricing Inputs'!$X$32,IF(AND('3. GRI Pricing'!$F432&gt;='2. GRI Pricing Inputs'!$Z$33,'3. GRI Pricing'!$F432&lt;='2. GRI Pricing Inputs'!$AA$33),'2. GRI Pricing Inputs'!$Z$32,IF(AND('3. GRI Pricing'!$F432&gt;='2. GRI Pricing Inputs'!$AB$33,'3. GRI Pricing'!$F432&lt;='2. GRI Pricing Inputs'!$AC$33),'2. GRI Pricing Inputs'!$AB$32,IF(AND('3. GRI Pricing'!$F432&gt;='2. GRI Pricing Inputs'!$AD$33,'3. GRI Pricing'!$F432&lt;='2. GRI Pricing Inputs'!$AE$33),'2. GRI Pricing Inputs'!$AD$32,IF(AND('3. GRI Pricing'!$F432&gt;='2. GRI Pricing Inputs'!$AF$33,'3. GRI Pricing'!$F432&lt;='2. GRI Pricing Inputs'!$AG$33),'2. GRI Pricing Inputs'!$AF$32,IF(AND('3. GRI Pricing'!$F432&gt;='2. GRI Pricing Inputs'!$AH$33,'3. GRI Pricing'!$F432&lt;='2. GRI Pricing Inputs'!$AI$33),'2. GRI Pricing Inputs'!$AH$32,0))))))))))))))))</f>
        <v>0</v>
      </c>
      <c r="N432" s="273" cm="1">
        <f t="array" ref="N432">IFERROR(INDEX('2. GRI Pricing Inputs'!$C$32:$AI$39,MATCH('3. GRI Pricing'!D432,'2. GRI Pricing Inputs'!$C$32:$C$39,0),(MATCH('3. GRI Pricing'!M432,'2. GRI Pricing Inputs'!$D$32:$AI$32,0)+1)),0)</f>
        <v>0</v>
      </c>
      <c r="O432" s="273">
        <f>IFERROR(INDEX('2. GRI Pricing Inputs'!$C$45:$AI$46,MATCH($O$16,'2. GRI Pricing Inputs'!$C$45:$C$46,0),MATCH(G432,'2. GRI Pricing Inputs'!$C$45:$AI$45,0)),0)</f>
        <v>0</v>
      </c>
      <c r="P432" s="273">
        <f>IFERROR(INDEX('2. GRI Pricing Inputs'!$C$53:$AI$54,MATCH('3. GRI Pricing'!$P$16,'2. GRI Pricing Inputs'!$C$53:$C$54,0),MATCH('3. GRI Pricing'!H432,'2. GRI Pricing Inputs'!$C$53:$AI$53,0)),0)</f>
        <v>0</v>
      </c>
      <c r="Q432" s="273">
        <f>IFERROR(INDEX('2. GRI Pricing Inputs'!$C$60:$AI$61,MATCH('3. GRI Pricing'!$Q$16,'2. GRI Pricing Inputs'!$C$60:$C$61,0),MATCH('1. Accomodation'!T436,'2. GRI Pricing Inputs'!$C$60:$AI$60,0)),0)</f>
        <v>0</v>
      </c>
      <c r="R432" s="273">
        <f>IFERROR(INDEX('2. GRI Pricing Inputs'!$C$67:$AI$68,MATCH('3. GRI Pricing'!$R$16,'2. GRI Pricing Inputs'!$C$67:$C$68,0),MATCH('1. Accomodation'!U436,'2. GRI Pricing Inputs'!$C$67:$AI$67,0)),0)</f>
        <v>0</v>
      </c>
      <c r="S432" s="273">
        <f>IF(D432=0,0,'2. GRI Pricing Inputs'!$AI$75)</f>
        <v>0</v>
      </c>
      <c r="T432" s="273">
        <f>IFERROR(INDEX('2. GRI Pricing Inputs'!$C$82:$AI$83,MATCH('3. GRI Pricing'!$T$16,'2. GRI Pricing Inputs'!$C$82:$C$83,0),MATCH('1. Accomodation'!V436,'2. GRI Pricing Inputs'!$C$82:$AI$82,0)),0)</f>
        <v>0</v>
      </c>
      <c r="U432" s="273">
        <f>IFERROR(INDEX('2. GRI Pricing Inputs'!$C$89:$AI$90,MATCH('3. GRI Pricing'!$U$16,'2. GRI Pricing Inputs'!$C$89:$C$90,0),MATCH('1. Accomodation'!W436,'2. GRI Pricing Inputs'!$C$89:$AI$89,0)),0)</f>
        <v>0</v>
      </c>
      <c r="V432" s="273">
        <f>IFERROR(INDEX('2. GRI Pricing Inputs'!$C$97:$AI$98,MATCH('3. GRI Pricing'!$V$16,'2. GRI Pricing Inputs'!$C$97:$C$98,0),MATCH('1. Accomodation'!X436,'2. GRI Pricing Inputs'!$C$97:$AI$97,0)),0)</f>
        <v>0</v>
      </c>
      <c r="W432" s="273">
        <f>IFERROR(INDEX('2. GRI Pricing Inputs'!$C$104:$AI$105,MATCH('3. GRI Pricing'!$W$16,'2. GRI Pricing Inputs'!$C$104:$C$105,0),MATCH('1. Accomodation'!Y436,'2. GRI Pricing Inputs'!$C$104:$AI$104,0)),0)</f>
        <v>0</v>
      </c>
      <c r="X432" s="274"/>
      <c r="Y432" s="275">
        <f t="shared" si="13"/>
        <v>0</v>
      </c>
      <c r="Z432" s="276"/>
      <c r="AA432" s="276"/>
      <c r="AB432" s="276"/>
      <c r="AC432" s="272">
        <f>Y432*(1+'2. GRI Pricing Inputs'!$D$114)^(($AC$16-$AB$15)/365)</f>
        <v>0</v>
      </c>
      <c r="AD432" s="273">
        <f>AC432*(1+'2. GRI Pricing Inputs'!$D$114)^((AD$16-AC$16)/365)</f>
        <v>0</v>
      </c>
      <c r="AE432" s="273">
        <f>AD432*(1+'2. GRI Pricing Inputs'!$D$114)^((AE$16-AD$16)/365)</f>
        <v>0</v>
      </c>
      <c r="AF432" s="273">
        <f>AE432*(1+'2. GRI Pricing Inputs'!$D$114)^((AF$16-AE$16)/365)</f>
        <v>0</v>
      </c>
      <c r="AG432" s="273">
        <f>AF432*(1+'2. GRI Pricing Inputs'!$D$114)^((AG$16-AF$16)/365)</f>
        <v>0</v>
      </c>
      <c r="AH432" s="273">
        <f>AG432*(1+'2. GRI Pricing Inputs'!$D$114)^((AH$16-AG$16)/365)</f>
        <v>0</v>
      </c>
      <c r="AI432" s="273">
        <f>AH432*(1+'2. GRI Pricing Inputs'!$D$114)^((AI$16-AH$16)/365)</f>
        <v>0</v>
      </c>
      <c r="AJ432" s="273">
        <f>AI432*(1+'2. GRI Pricing Inputs'!$D$114)^((AJ$16-AI$16)/365)</f>
        <v>0</v>
      </c>
      <c r="AK432" s="273">
        <f>AJ432*(1+'2. GRI Pricing Inputs'!$D$114)^((AK$16-AJ$16)/365)</f>
        <v>0</v>
      </c>
      <c r="AL432" s="273">
        <f>AK432*(1+'2. GRI Pricing Inputs'!$D$114)^((AL$16-AK$16)/365)</f>
        <v>0</v>
      </c>
      <c r="AM432" s="273">
        <f>AL432*(1+'2. GRI Pricing Inputs'!$D$114)^((AM$16-AL$16)/365)</f>
        <v>0</v>
      </c>
      <c r="AN432" s="273">
        <f>AM432*(1+'2. GRI Pricing Inputs'!$D$114)^((AN$16-AM$16)/365)</f>
        <v>0</v>
      </c>
      <c r="AO432" s="273">
        <f>AN432*(1+'2. GRI Pricing Inputs'!$D$114)^((AO$16-AN$16)/365)</f>
        <v>0</v>
      </c>
    </row>
    <row r="433" spans="3:41" ht="12" x14ac:dyDescent="0.2">
      <c r="C433" s="76">
        <f>'1. Accomodation'!N437</f>
        <v>0</v>
      </c>
      <c r="D433" s="69">
        <f>'1. Accomodation'!P437</f>
        <v>0</v>
      </c>
      <c r="E433" s="69">
        <f>'1. Accomodation'!Q437</f>
        <v>0</v>
      </c>
      <c r="F433" s="77">
        <f>'1. Accomodation'!O437</f>
        <v>0</v>
      </c>
      <c r="G433" s="69">
        <f>'1. Accomodation'!R437</f>
        <v>0</v>
      </c>
      <c r="H433" s="69">
        <f>'1. Accomodation'!S437</f>
        <v>0</v>
      </c>
      <c r="I433" s="62"/>
      <c r="K433" s="272">
        <f>IFERROR(INDEX('2. GRI Pricing Inputs'!$C$15:$AI$16,MATCH($K$16,'2. GRI Pricing Inputs'!$C$15:$C$16,0),MATCH(D433,'2. GRI Pricing Inputs'!$C$15:$AI$15,0)),0)</f>
        <v>0</v>
      </c>
      <c r="L433" s="273">
        <f>IFERROR(INDEX('2. GRI Pricing Inputs'!$C$22:$AI$23,MATCH($L$16,'2. GRI Pricing Inputs'!$C$22:$C$23,0),MATCH(E433,'2. GRI Pricing Inputs'!$C$22:$AI$22,0)),0)</f>
        <v>0</v>
      </c>
      <c r="M433" s="328">
        <f>IF(AND('3. GRI Pricing'!$F433&gt;='2. GRI Pricing Inputs'!$D$33,'3. GRI Pricing'!$F433&lt;='2. GRI Pricing Inputs'!$E$33),'2. GRI Pricing Inputs'!$D$32,IF(AND('3. GRI Pricing'!$F433&gt;='2. GRI Pricing Inputs'!$F$33,'3. GRI Pricing'!$F433&lt;='2. GRI Pricing Inputs'!$G$33),'2. GRI Pricing Inputs'!$F$32,IF(AND('3. GRI Pricing'!$F433&gt;='2. GRI Pricing Inputs'!$H$33,'3. GRI Pricing'!$F433&lt;='2. GRI Pricing Inputs'!$I$33),'2. GRI Pricing Inputs'!$H$32,IF(AND('3. GRI Pricing'!$F433&gt;='2. GRI Pricing Inputs'!$J$33,'3. GRI Pricing'!$F433&lt;='2. GRI Pricing Inputs'!$K$33),'2. GRI Pricing Inputs'!$J$32,IF(AND('3. GRI Pricing'!$F433&gt;='2. GRI Pricing Inputs'!$L$33,'3. GRI Pricing'!$F433&lt;='2. GRI Pricing Inputs'!$M$33),'2. GRI Pricing Inputs'!$L$32,IF(AND('3. GRI Pricing'!$F433&gt;='2. GRI Pricing Inputs'!$N$33,'3. GRI Pricing'!$F433&lt;='2. GRI Pricing Inputs'!$O$33),'2. GRI Pricing Inputs'!$N$32,IF(AND('3. GRI Pricing'!$F433&gt;='2. GRI Pricing Inputs'!$P$33,'3. GRI Pricing'!$F433&lt;='2. GRI Pricing Inputs'!$Q$33),'2. GRI Pricing Inputs'!$P$32,IF(AND('3. GRI Pricing'!$F433&gt;='2. GRI Pricing Inputs'!$R$33,'3. GRI Pricing'!$F433&lt;='2. GRI Pricing Inputs'!$S$33),'2. GRI Pricing Inputs'!$R$32,IF(AND('3. GRI Pricing'!$F433&gt;='2. GRI Pricing Inputs'!$T$33,'3. GRI Pricing'!$F433&lt;='2. GRI Pricing Inputs'!$U$33),'2. GRI Pricing Inputs'!$T$32,IF(AND('3. GRI Pricing'!$F433&gt;='2. GRI Pricing Inputs'!$V$33,'3. GRI Pricing'!$F433&lt;='2. GRI Pricing Inputs'!$W$33),'2. GRI Pricing Inputs'!$V$32,IF(AND('3. GRI Pricing'!$F433&gt;='2. GRI Pricing Inputs'!$X$33,'3. GRI Pricing'!$F433&lt;='2. GRI Pricing Inputs'!$Y$33),'2. GRI Pricing Inputs'!$X$32,IF(AND('3. GRI Pricing'!$F433&gt;='2. GRI Pricing Inputs'!$Z$33,'3. GRI Pricing'!$F433&lt;='2. GRI Pricing Inputs'!$AA$33),'2. GRI Pricing Inputs'!$Z$32,IF(AND('3. GRI Pricing'!$F433&gt;='2. GRI Pricing Inputs'!$AB$33,'3. GRI Pricing'!$F433&lt;='2. GRI Pricing Inputs'!$AC$33),'2. GRI Pricing Inputs'!$AB$32,IF(AND('3. GRI Pricing'!$F433&gt;='2. GRI Pricing Inputs'!$AD$33,'3. GRI Pricing'!$F433&lt;='2. GRI Pricing Inputs'!$AE$33),'2. GRI Pricing Inputs'!$AD$32,IF(AND('3. GRI Pricing'!$F433&gt;='2. GRI Pricing Inputs'!$AF$33,'3. GRI Pricing'!$F433&lt;='2. GRI Pricing Inputs'!$AG$33),'2. GRI Pricing Inputs'!$AF$32,IF(AND('3. GRI Pricing'!$F433&gt;='2. GRI Pricing Inputs'!$AH$33,'3. GRI Pricing'!$F433&lt;='2. GRI Pricing Inputs'!$AI$33),'2. GRI Pricing Inputs'!$AH$32,0))))))))))))))))</f>
        <v>0</v>
      </c>
      <c r="N433" s="273" cm="1">
        <f t="array" ref="N433">IFERROR(INDEX('2. GRI Pricing Inputs'!$C$32:$AI$39,MATCH('3. GRI Pricing'!D433,'2. GRI Pricing Inputs'!$C$32:$C$39,0),(MATCH('3. GRI Pricing'!M433,'2. GRI Pricing Inputs'!$D$32:$AI$32,0)+1)),0)</f>
        <v>0</v>
      </c>
      <c r="O433" s="273">
        <f>IFERROR(INDEX('2. GRI Pricing Inputs'!$C$45:$AI$46,MATCH($O$16,'2. GRI Pricing Inputs'!$C$45:$C$46,0),MATCH(G433,'2. GRI Pricing Inputs'!$C$45:$AI$45,0)),0)</f>
        <v>0</v>
      </c>
      <c r="P433" s="273">
        <f>IFERROR(INDEX('2. GRI Pricing Inputs'!$C$53:$AI$54,MATCH('3. GRI Pricing'!$P$16,'2. GRI Pricing Inputs'!$C$53:$C$54,0),MATCH('3. GRI Pricing'!H433,'2. GRI Pricing Inputs'!$C$53:$AI$53,0)),0)</f>
        <v>0</v>
      </c>
      <c r="Q433" s="273">
        <f>IFERROR(INDEX('2. GRI Pricing Inputs'!$C$60:$AI$61,MATCH('3. GRI Pricing'!$Q$16,'2. GRI Pricing Inputs'!$C$60:$C$61,0),MATCH('1. Accomodation'!T437,'2. GRI Pricing Inputs'!$C$60:$AI$60,0)),0)</f>
        <v>0</v>
      </c>
      <c r="R433" s="273">
        <f>IFERROR(INDEX('2. GRI Pricing Inputs'!$C$67:$AI$68,MATCH('3. GRI Pricing'!$R$16,'2. GRI Pricing Inputs'!$C$67:$C$68,0),MATCH('1. Accomodation'!U437,'2. GRI Pricing Inputs'!$C$67:$AI$67,0)),0)</f>
        <v>0</v>
      </c>
      <c r="S433" s="273">
        <f>IF(D433=0,0,'2. GRI Pricing Inputs'!$AI$75)</f>
        <v>0</v>
      </c>
      <c r="T433" s="273">
        <f>IFERROR(INDEX('2. GRI Pricing Inputs'!$C$82:$AI$83,MATCH('3. GRI Pricing'!$T$16,'2. GRI Pricing Inputs'!$C$82:$C$83,0),MATCH('1. Accomodation'!V437,'2. GRI Pricing Inputs'!$C$82:$AI$82,0)),0)</f>
        <v>0</v>
      </c>
      <c r="U433" s="273">
        <f>IFERROR(INDEX('2. GRI Pricing Inputs'!$C$89:$AI$90,MATCH('3. GRI Pricing'!$U$16,'2. GRI Pricing Inputs'!$C$89:$C$90,0),MATCH('1. Accomodation'!W437,'2. GRI Pricing Inputs'!$C$89:$AI$89,0)),0)</f>
        <v>0</v>
      </c>
      <c r="V433" s="273">
        <f>IFERROR(INDEX('2. GRI Pricing Inputs'!$C$97:$AI$98,MATCH('3. GRI Pricing'!$V$16,'2. GRI Pricing Inputs'!$C$97:$C$98,0),MATCH('1. Accomodation'!X437,'2. GRI Pricing Inputs'!$C$97:$AI$97,0)),0)</f>
        <v>0</v>
      </c>
      <c r="W433" s="273">
        <f>IFERROR(INDEX('2. GRI Pricing Inputs'!$C$104:$AI$105,MATCH('3. GRI Pricing'!$W$16,'2. GRI Pricing Inputs'!$C$104:$C$105,0),MATCH('1. Accomodation'!Y437,'2. GRI Pricing Inputs'!$C$104:$AI$104,0)),0)</f>
        <v>0</v>
      </c>
      <c r="X433" s="274"/>
      <c r="Y433" s="275">
        <f t="shared" si="13"/>
        <v>0</v>
      </c>
      <c r="Z433" s="276"/>
      <c r="AA433" s="276"/>
      <c r="AB433" s="276"/>
      <c r="AC433" s="272">
        <f>Y433*(1+'2. GRI Pricing Inputs'!$D$114)^(($AC$16-$AB$15)/365)</f>
        <v>0</v>
      </c>
      <c r="AD433" s="273">
        <f>AC433*(1+'2. GRI Pricing Inputs'!$D$114)^((AD$16-AC$16)/365)</f>
        <v>0</v>
      </c>
      <c r="AE433" s="273">
        <f>AD433*(1+'2. GRI Pricing Inputs'!$D$114)^((AE$16-AD$16)/365)</f>
        <v>0</v>
      </c>
      <c r="AF433" s="273">
        <f>AE433*(1+'2. GRI Pricing Inputs'!$D$114)^((AF$16-AE$16)/365)</f>
        <v>0</v>
      </c>
      <c r="AG433" s="273">
        <f>AF433*(1+'2. GRI Pricing Inputs'!$D$114)^((AG$16-AF$16)/365)</f>
        <v>0</v>
      </c>
      <c r="AH433" s="273">
        <f>AG433*(1+'2. GRI Pricing Inputs'!$D$114)^((AH$16-AG$16)/365)</f>
        <v>0</v>
      </c>
      <c r="AI433" s="273">
        <f>AH433*(1+'2. GRI Pricing Inputs'!$D$114)^((AI$16-AH$16)/365)</f>
        <v>0</v>
      </c>
      <c r="AJ433" s="273">
        <f>AI433*(1+'2. GRI Pricing Inputs'!$D$114)^((AJ$16-AI$16)/365)</f>
        <v>0</v>
      </c>
      <c r="AK433" s="273">
        <f>AJ433*(1+'2. GRI Pricing Inputs'!$D$114)^((AK$16-AJ$16)/365)</f>
        <v>0</v>
      </c>
      <c r="AL433" s="273">
        <f>AK433*(1+'2. GRI Pricing Inputs'!$D$114)^((AL$16-AK$16)/365)</f>
        <v>0</v>
      </c>
      <c r="AM433" s="273">
        <f>AL433*(1+'2. GRI Pricing Inputs'!$D$114)^((AM$16-AL$16)/365)</f>
        <v>0</v>
      </c>
      <c r="AN433" s="273">
        <f>AM433*(1+'2. GRI Pricing Inputs'!$D$114)^((AN$16-AM$16)/365)</f>
        <v>0</v>
      </c>
      <c r="AO433" s="273">
        <f>AN433*(1+'2. GRI Pricing Inputs'!$D$114)^((AO$16-AN$16)/365)</f>
        <v>0</v>
      </c>
    </row>
    <row r="434" spans="3:41" ht="12" x14ac:dyDescent="0.2">
      <c r="C434" s="76">
        <f>'1. Accomodation'!N438</f>
        <v>0</v>
      </c>
      <c r="D434" s="69">
        <f>'1. Accomodation'!P438</f>
        <v>0</v>
      </c>
      <c r="E434" s="69">
        <f>'1. Accomodation'!Q438</f>
        <v>0</v>
      </c>
      <c r="F434" s="77">
        <f>'1. Accomodation'!O438</f>
        <v>0</v>
      </c>
      <c r="G434" s="69">
        <f>'1. Accomodation'!R438</f>
        <v>0</v>
      </c>
      <c r="H434" s="69">
        <f>'1. Accomodation'!S438</f>
        <v>0</v>
      </c>
      <c r="I434" s="62"/>
      <c r="K434" s="272">
        <f>IFERROR(INDEX('2. GRI Pricing Inputs'!$C$15:$AI$16,MATCH($K$16,'2. GRI Pricing Inputs'!$C$15:$C$16,0),MATCH(D434,'2. GRI Pricing Inputs'!$C$15:$AI$15,0)),0)</f>
        <v>0</v>
      </c>
      <c r="L434" s="273">
        <f>IFERROR(INDEX('2. GRI Pricing Inputs'!$C$22:$AI$23,MATCH($L$16,'2. GRI Pricing Inputs'!$C$22:$C$23,0),MATCH(E434,'2. GRI Pricing Inputs'!$C$22:$AI$22,0)),0)</f>
        <v>0</v>
      </c>
      <c r="M434" s="328">
        <f>IF(AND('3. GRI Pricing'!$F434&gt;='2. GRI Pricing Inputs'!$D$33,'3. GRI Pricing'!$F434&lt;='2. GRI Pricing Inputs'!$E$33),'2. GRI Pricing Inputs'!$D$32,IF(AND('3. GRI Pricing'!$F434&gt;='2. GRI Pricing Inputs'!$F$33,'3. GRI Pricing'!$F434&lt;='2. GRI Pricing Inputs'!$G$33),'2. GRI Pricing Inputs'!$F$32,IF(AND('3. GRI Pricing'!$F434&gt;='2. GRI Pricing Inputs'!$H$33,'3. GRI Pricing'!$F434&lt;='2. GRI Pricing Inputs'!$I$33),'2. GRI Pricing Inputs'!$H$32,IF(AND('3. GRI Pricing'!$F434&gt;='2. GRI Pricing Inputs'!$J$33,'3. GRI Pricing'!$F434&lt;='2. GRI Pricing Inputs'!$K$33),'2. GRI Pricing Inputs'!$J$32,IF(AND('3. GRI Pricing'!$F434&gt;='2. GRI Pricing Inputs'!$L$33,'3. GRI Pricing'!$F434&lt;='2. GRI Pricing Inputs'!$M$33),'2. GRI Pricing Inputs'!$L$32,IF(AND('3. GRI Pricing'!$F434&gt;='2. GRI Pricing Inputs'!$N$33,'3. GRI Pricing'!$F434&lt;='2. GRI Pricing Inputs'!$O$33),'2. GRI Pricing Inputs'!$N$32,IF(AND('3. GRI Pricing'!$F434&gt;='2. GRI Pricing Inputs'!$P$33,'3. GRI Pricing'!$F434&lt;='2. GRI Pricing Inputs'!$Q$33),'2. GRI Pricing Inputs'!$P$32,IF(AND('3. GRI Pricing'!$F434&gt;='2. GRI Pricing Inputs'!$R$33,'3. GRI Pricing'!$F434&lt;='2. GRI Pricing Inputs'!$S$33),'2. GRI Pricing Inputs'!$R$32,IF(AND('3. GRI Pricing'!$F434&gt;='2. GRI Pricing Inputs'!$T$33,'3. GRI Pricing'!$F434&lt;='2. GRI Pricing Inputs'!$U$33),'2. GRI Pricing Inputs'!$T$32,IF(AND('3. GRI Pricing'!$F434&gt;='2. GRI Pricing Inputs'!$V$33,'3. GRI Pricing'!$F434&lt;='2. GRI Pricing Inputs'!$W$33),'2. GRI Pricing Inputs'!$V$32,IF(AND('3. GRI Pricing'!$F434&gt;='2. GRI Pricing Inputs'!$X$33,'3. GRI Pricing'!$F434&lt;='2. GRI Pricing Inputs'!$Y$33),'2. GRI Pricing Inputs'!$X$32,IF(AND('3. GRI Pricing'!$F434&gt;='2. GRI Pricing Inputs'!$Z$33,'3. GRI Pricing'!$F434&lt;='2. GRI Pricing Inputs'!$AA$33),'2. GRI Pricing Inputs'!$Z$32,IF(AND('3. GRI Pricing'!$F434&gt;='2. GRI Pricing Inputs'!$AB$33,'3. GRI Pricing'!$F434&lt;='2. GRI Pricing Inputs'!$AC$33),'2. GRI Pricing Inputs'!$AB$32,IF(AND('3. GRI Pricing'!$F434&gt;='2. GRI Pricing Inputs'!$AD$33,'3. GRI Pricing'!$F434&lt;='2. GRI Pricing Inputs'!$AE$33),'2. GRI Pricing Inputs'!$AD$32,IF(AND('3. GRI Pricing'!$F434&gt;='2. GRI Pricing Inputs'!$AF$33,'3. GRI Pricing'!$F434&lt;='2. GRI Pricing Inputs'!$AG$33),'2. GRI Pricing Inputs'!$AF$32,IF(AND('3. GRI Pricing'!$F434&gt;='2. GRI Pricing Inputs'!$AH$33,'3. GRI Pricing'!$F434&lt;='2. GRI Pricing Inputs'!$AI$33),'2. GRI Pricing Inputs'!$AH$32,0))))))))))))))))</f>
        <v>0</v>
      </c>
      <c r="N434" s="273" cm="1">
        <f t="array" ref="N434">IFERROR(INDEX('2. GRI Pricing Inputs'!$C$32:$AI$39,MATCH('3. GRI Pricing'!D434,'2. GRI Pricing Inputs'!$C$32:$C$39,0),(MATCH('3. GRI Pricing'!M434,'2. GRI Pricing Inputs'!$D$32:$AI$32,0)+1)),0)</f>
        <v>0</v>
      </c>
      <c r="O434" s="273">
        <f>IFERROR(INDEX('2. GRI Pricing Inputs'!$C$45:$AI$46,MATCH($O$16,'2. GRI Pricing Inputs'!$C$45:$C$46,0),MATCH(G434,'2. GRI Pricing Inputs'!$C$45:$AI$45,0)),0)</f>
        <v>0</v>
      </c>
      <c r="P434" s="273">
        <f>IFERROR(INDEX('2. GRI Pricing Inputs'!$C$53:$AI$54,MATCH('3. GRI Pricing'!$P$16,'2. GRI Pricing Inputs'!$C$53:$C$54,0),MATCH('3. GRI Pricing'!H434,'2. GRI Pricing Inputs'!$C$53:$AI$53,0)),0)</f>
        <v>0</v>
      </c>
      <c r="Q434" s="273">
        <f>IFERROR(INDEX('2. GRI Pricing Inputs'!$C$60:$AI$61,MATCH('3. GRI Pricing'!$Q$16,'2. GRI Pricing Inputs'!$C$60:$C$61,0),MATCH('1. Accomodation'!T438,'2. GRI Pricing Inputs'!$C$60:$AI$60,0)),0)</f>
        <v>0</v>
      </c>
      <c r="R434" s="273">
        <f>IFERROR(INDEX('2. GRI Pricing Inputs'!$C$67:$AI$68,MATCH('3. GRI Pricing'!$R$16,'2. GRI Pricing Inputs'!$C$67:$C$68,0),MATCH('1. Accomodation'!U438,'2. GRI Pricing Inputs'!$C$67:$AI$67,0)),0)</f>
        <v>0</v>
      </c>
      <c r="S434" s="273">
        <f>IF(D434=0,0,'2. GRI Pricing Inputs'!$AI$75)</f>
        <v>0</v>
      </c>
      <c r="T434" s="273">
        <f>IFERROR(INDEX('2. GRI Pricing Inputs'!$C$82:$AI$83,MATCH('3. GRI Pricing'!$T$16,'2. GRI Pricing Inputs'!$C$82:$C$83,0),MATCH('1. Accomodation'!V438,'2. GRI Pricing Inputs'!$C$82:$AI$82,0)),0)</f>
        <v>0</v>
      </c>
      <c r="U434" s="273">
        <f>IFERROR(INDEX('2. GRI Pricing Inputs'!$C$89:$AI$90,MATCH('3. GRI Pricing'!$U$16,'2. GRI Pricing Inputs'!$C$89:$C$90,0),MATCH('1. Accomodation'!W438,'2. GRI Pricing Inputs'!$C$89:$AI$89,0)),0)</f>
        <v>0</v>
      </c>
      <c r="V434" s="273">
        <f>IFERROR(INDEX('2. GRI Pricing Inputs'!$C$97:$AI$98,MATCH('3. GRI Pricing'!$V$16,'2. GRI Pricing Inputs'!$C$97:$C$98,0),MATCH('1. Accomodation'!X438,'2. GRI Pricing Inputs'!$C$97:$AI$97,0)),0)</f>
        <v>0</v>
      </c>
      <c r="W434" s="273">
        <f>IFERROR(INDEX('2. GRI Pricing Inputs'!$C$104:$AI$105,MATCH('3. GRI Pricing'!$W$16,'2. GRI Pricing Inputs'!$C$104:$C$105,0),MATCH('1. Accomodation'!Y438,'2. GRI Pricing Inputs'!$C$104:$AI$104,0)),0)</f>
        <v>0</v>
      </c>
      <c r="X434" s="274"/>
      <c r="Y434" s="275">
        <f t="shared" si="13"/>
        <v>0</v>
      </c>
      <c r="Z434" s="276"/>
      <c r="AA434" s="276"/>
      <c r="AB434" s="276"/>
      <c r="AC434" s="272">
        <f>Y434*(1+'2. GRI Pricing Inputs'!$D$114)^(($AC$16-$AB$15)/365)</f>
        <v>0</v>
      </c>
      <c r="AD434" s="273">
        <f>AC434*(1+'2. GRI Pricing Inputs'!$D$114)^((AD$16-AC$16)/365)</f>
        <v>0</v>
      </c>
      <c r="AE434" s="273">
        <f>AD434*(1+'2. GRI Pricing Inputs'!$D$114)^((AE$16-AD$16)/365)</f>
        <v>0</v>
      </c>
      <c r="AF434" s="273">
        <f>AE434*(1+'2. GRI Pricing Inputs'!$D$114)^((AF$16-AE$16)/365)</f>
        <v>0</v>
      </c>
      <c r="AG434" s="273">
        <f>AF434*(1+'2. GRI Pricing Inputs'!$D$114)^((AG$16-AF$16)/365)</f>
        <v>0</v>
      </c>
      <c r="AH434" s="273">
        <f>AG434*(1+'2. GRI Pricing Inputs'!$D$114)^((AH$16-AG$16)/365)</f>
        <v>0</v>
      </c>
      <c r="AI434" s="273">
        <f>AH434*(1+'2. GRI Pricing Inputs'!$D$114)^((AI$16-AH$16)/365)</f>
        <v>0</v>
      </c>
      <c r="AJ434" s="273">
        <f>AI434*(1+'2. GRI Pricing Inputs'!$D$114)^((AJ$16-AI$16)/365)</f>
        <v>0</v>
      </c>
      <c r="AK434" s="273">
        <f>AJ434*(1+'2. GRI Pricing Inputs'!$D$114)^((AK$16-AJ$16)/365)</f>
        <v>0</v>
      </c>
      <c r="AL434" s="273">
        <f>AK434*(1+'2. GRI Pricing Inputs'!$D$114)^((AL$16-AK$16)/365)</f>
        <v>0</v>
      </c>
      <c r="AM434" s="273">
        <f>AL434*(1+'2. GRI Pricing Inputs'!$D$114)^((AM$16-AL$16)/365)</f>
        <v>0</v>
      </c>
      <c r="AN434" s="273">
        <f>AM434*(1+'2. GRI Pricing Inputs'!$D$114)^((AN$16-AM$16)/365)</f>
        <v>0</v>
      </c>
      <c r="AO434" s="273">
        <f>AN434*(1+'2. GRI Pricing Inputs'!$D$114)^((AO$16-AN$16)/365)</f>
        <v>0</v>
      </c>
    </row>
    <row r="435" spans="3:41" ht="12" x14ac:dyDescent="0.2">
      <c r="C435" s="76">
        <f>'1. Accomodation'!N439</f>
        <v>0</v>
      </c>
      <c r="D435" s="69">
        <f>'1. Accomodation'!P439</f>
        <v>0</v>
      </c>
      <c r="E435" s="69">
        <f>'1. Accomodation'!Q439</f>
        <v>0</v>
      </c>
      <c r="F435" s="77">
        <f>'1. Accomodation'!O439</f>
        <v>0</v>
      </c>
      <c r="G435" s="69">
        <f>'1. Accomodation'!R439</f>
        <v>0</v>
      </c>
      <c r="H435" s="69">
        <f>'1. Accomodation'!S439</f>
        <v>0</v>
      </c>
      <c r="I435" s="62"/>
      <c r="K435" s="272">
        <f>IFERROR(INDEX('2. GRI Pricing Inputs'!$C$15:$AI$16,MATCH($K$16,'2. GRI Pricing Inputs'!$C$15:$C$16,0),MATCH(D435,'2. GRI Pricing Inputs'!$C$15:$AI$15,0)),0)</f>
        <v>0</v>
      </c>
      <c r="L435" s="273">
        <f>IFERROR(INDEX('2. GRI Pricing Inputs'!$C$22:$AI$23,MATCH($L$16,'2. GRI Pricing Inputs'!$C$22:$C$23,0),MATCH(E435,'2. GRI Pricing Inputs'!$C$22:$AI$22,0)),0)</f>
        <v>0</v>
      </c>
      <c r="M435" s="328">
        <f>IF(AND('3. GRI Pricing'!$F435&gt;='2. GRI Pricing Inputs'!$D$33,'3. GRI Pricing'!$F435&lt;='2. GRI Pricing Inputs'!$E$33),'2. GRI Pricing Inputs'!$D$32,IF(AND('3. GRI Pricing'!$F435&gt;='2. GRI Pricing Inputs'!$F$33,'3. GRI Pricing'!$F435&lt;='2. GRI Pricing Inputs'!$G$33),'2. GRI Pricing Inputs'!$F$32,IF(AND('3. GRI Pricing'!$F435&gt;='2. GRI Pricing Inputs'!$H$33,'3. GRI Pricing'!$F435&lt;='2. GRI Pricing Inputs'!$I$33),'2. GRI Pricing Inputs'!$H$32,IF(AND('3. GRI Pricing'!$F435&gt;='2. GRI Pricing Inputs'!$J$33,'3. GRI Pricing'!$F435&lt;='2. GRI Pricing Inputs'!$K$33),'2. GRI Pricing Inputs'!$J$32,IF(AND('3. GRI Pricing'!$F435&gt;='2. GRI Pricing Inputs'!$L$33,'3. GRI Pricing'!$F435&lt;='2. GRI Pricing Inputs'!$M$33),'2. GRI Pricing Inputs'!$L$32,IF(AND('3. GRI Pricing'!$F435&gt;='2. GRI Pricing Inputs'!$N$33,'3. GRI Pricing'!$F435&lt;='2. GRI Pricing Inputs'!$O$33),'2. GRI Pricing Inputs'!$N$32,IF(AND('3. GRI Pricing'!$F435&gt;='2. GRI Pricing Inputs'!$P$33,'3. GRI Pricing'!$F435&lt;='2. GRI Pricing Inputs'!$Q$33),'2. GRI Pricing Inputs'!$P$32,IF(AND('3. GRI Pricing'!$F435&gt;='2. GRI Pricing Inputs'!$R$33,'3. GRI Pricing'!$F435&lt;='2. GRI Pricing Inputs'!$S$33),'2. GRI Pricing Inputs'!$R$32,IF(AND('3. GRI Pricing'!$F435&gt;='2. GRI Pricing Inputs'!$T$33,'3. GRI Pricing'!$F435&lt;='2. GRI Pricing Inputs'!$U$33),'2. GRI Pricing Inputs'!$T$32,IF(AND('3. GRI Pricing'!$F435&gt;='2. GRI Pricing Inputs'!$V$33,'3. GRI Pricing'!$F435&lt;='2. GRI Pricing Inputs'!$W$33),'2. GRI Pricing Inputs'!$V$32,IF(AND('3. GRI Pricing'!$F435&gt;='2. GRI Pricing Inputs'!$X$33,'3. GRI Pricing'!$F435&lt;='2. GRI Pricing Inputs'!$Y$33),'2. GRI Pricing Inputs'!$X$32,IF(AND('3. GRI Pricing'!$F435&gt;='2. GRI Pricing Inputs'!$Z$33,'3. GRI Pricing'!$F435&lt;='2. GRI Pricing Inputs'!$AA$33),'2. GRI Pricing Inputs'!$Z$32,IF(AND('3. GRI Pricing'!$F435&gt;='2. GRI Pricing Inputs'!$AB$33,'3. GRI Pricing'!$F435&lt;='2. GRI Pricing Inputs'!$AC$33),'2. GRI Pricing Inputs'!$AB$32,IF(AND('3. GRI Pricing'!$F435&gt;='2. GRI Pricing Inputs'!$AD$33,'3. GRI Pricing'!$F435&lt;='2. GRI Pricing Inputs'!$AE$33),'2. GRI Pricing Inputs'!$AD$32,IF(AND('3. GRI Pricing'!$F435&gt;='2. GRI Pricing Inputs'!$AF$33,'3. GRI Pricing'!$F435&lt;='2. GRI Pricing Inputs'!$AG$33),'2. GRI Pricing Inputs'!$AF$32,IF(AND('3. GRI Pricing'!$F435&gt;='2. GRI Pricing Inputs'!$AH$33,'3. GRI Pricing'!$F435&lt;='2. GRI Pricing Inputs'!$AI$33),'2. GRI Pricing Inputs'!$AH$32,0))))))))))))))))</f>
        <v>0</v>
      </c>
      <c r="N435" s="273" cm="1">
        <f t="array" ref="N435">IFERROR(INDEX('2. GRI Pricing Inputs'!$C$32:$AI$39,MATCH('3. GRI Pricing'!D435,'2. GRI Pricing Inputs'!$C$32:$C$39,0),(MATCH('3. GRI Pricing'!M435,'2. GRI Pricing Inputs'!$D$32:$AI$32,0)+1)),0)</f>
        <v>0</v>
      </c>
      <c r="O435" s="273">
        <f>IFERROR(INDEX('2. GRI Pricing Inputs'!$C$45:$AI$46,MATCH($O$16,'2. GRI Pricing Inputs'!$C$45:$C$46,0),MATCH(G435,'2. GRI Pricing Inputs'!$C$45:$AI$45,0)),0)</f>
        <v>0</v>
      </c>
      <c r="P435" s="273">
        <f>IFERROR(INDEX('2. GRI Pricing Inputs'!$C$53:$AI$54,MATCH('3. GRI Pricing'!$P$16,'2. GRI Pricing Inputs'!$C$53:$C$54,0),MATCH('3. GRI Pricing'!H435,'2. GRI Pricing Inputs'!$C$53:$AI$53,0)),0)</f>
        <v>0</v>
      </c>
      <c r="Q435" s="273">
        <f>IFERROR(INDEX('2. GRI Pricing Inputs'!$C$60:$AI$61,MATCH('3. GRI Pricing'!$Q$16,'2. GRI Pricing Inputs'!$C$60:$C$61,0),MATCH('1. Accomodation'!T439,'2. GRI Pricing Inputs'!$C$60:$AI$60,0)),0)</f>
        <v>0</v>
      </c>
      <c r="R435" s="273">
        <f>IFERROR(INDEX('2. GRI Pricing Inputs'!$C$67:$AI$68,MATCH('3. GRI Pricing'!$R$16,'2. GRI Pricing Inputs'!$C$67:$C$68,0),MATCH('1. Accomodation'!U439,'2. GRI Pricing Inputs'!$C$67:$AI$67,0)),0)</f>
        <v>0</v>
      </c>
      <c r="S435" s="273">
        <f>IF(D435=0,0,'2. GRI Pricing Inputs'!$AI$75)</f>
        <v>0</v>
      </c>
      <c r="T435" s="273">
        <f>IFERROR(INDEX('2. GRI Pricing Inputs'!$C$82:$AI$83,MATCH('3. GRI Pricing'!$T$16,'2. GRI Pricing Inputs'!$C$82:$C$83,0),MATCH('1. Accomodation'!V439,'2. GRI Pricing Inputs'!$C$82:$AI$82,0)),0)</f>
        <v>0</v>
      </c>
      <c r="U435" s="273">
        <f>IFERROR(INDEX('2. GRI Pricing Inputs'!$C$89:$AI$90,MATCH('3. GRI Pricing'!$U$16,'2. GRI Pricing Inputs'!$C$89:$C$90,0),MATCH('1. Accomodation'!W439,'2. GRI Pricing Inputs'!$C$89:$AI$89,0)),0)</f>
        <v>0</v>
      </c>
      <c r="V435" s="273">
        <f>IFERROR(INDEX('2. GRI Pricing Inputs'!$C$97:$AI$98,MATCH('3. GRI Pricing'!$V$16,'2. GRI Pricing Inputs'!$C$97:$C$98,0),MATCH('1. Accomodation'!X439,'2. GRI Pricing Inputs'!$C$97:$AI$97,0)),0)</f>
        <v>0</v>
      </c>
      <c r="W435" s="273">
        <f>IFERROR(INDEX('2. GRI Pricing Inputs'!$C$104:$AI$105,MATCH('3. GRI Pricing'!$W$16,'2. GRI Pricing Inputs'!$C$104:$C$105,0),MATCH('1. Accomodation'!Y439,'2. GRI Pricing Inputs'!$C$104:$AI$104,0)),0)</f>
        <v>0</v>
      </c>
      <c r="X435" s="274"/>
      <c r="Y435" s="275">
        <f t="shared" si="13"/>
        <v>0</v>
      </c>
      <c r="Z435" s="276"/>
      <c r="AA435" s="276"/>
      <c r="AB435" s="276"/>
      <c r="AC435" s="272">
        <f>Y435*(1+'2. GRI Pricing Inputs'!$D$114)^(($AC$16-$AB$15)/365)</f>
        <v>0</v>
      </c>
      <c r="AD435" s="273">
        <f>AC435*(1+'2. GRI Pricing Inputs'!$D$114)^((AD$16-AC$16)/365)</f>
        <v>0</v>
      </c>
      <c r="AE435" s="273">
        <f>AD435*(1+'2. GRI Pricing Inputs'!$D$114)^((AE$16-AD$16)/365)</f>
        <v>0</v>
      </c>
      <c r="AF435" s="273">
        <f>AE435*(1+'2. GRI Pricing Inputs'!$D$114)^((AF$16-AE$16)/365)</f>
        <v>0</v>
      </c>
      <c r="AG435" s="273">
        <f>AF435*(1+'2. GRI Pricing Inputs'!$D$114)^((AG$16-AF$16)/365)</f>
        <v>0</v>
      </c>
      <c r="AH435" s="273">
        <f>AG435*(1+'2. GRI Pricing Inputs'!$D$114)^((AH$16-AG$16)/365)</f>
        <v>0</v>
      </c>
      <c r="AI435" s="273">
        <f>AH435*(1+'2. GRI Pricing Inputs'!$D$114)^((AI$16-AH$16)/365)</f>
        <v>0</v>
      </c>
      <c r="AJ435" s="273">
        <f>AI435*(1+'2. GRI Pricing Inputs'!$D$114)^((AJ$16-AI$16)/365)</f>
        <v>0</v>
      </c>
      <c r="AK435" s="273">
        <f>AJ435*(1+'2. GRI Pricing Inputs'!$D$114)^((AK$16-AJ$16)/365)</f>
        <v>0</v>
      </c>
      <c r="AL435" s="273">
        <f>AK435*(1+'2. GRI Pricing Inputs'!$D$114)^((AL$16-AK$16)/365)</f>
        <v>0</v>
      </c>
      <c r="AM435" s="273">
        <f>AL435*(1+'2. GRI Pricing Inputs'!$D$114)^((AM$16-AL$16)/365)</f>
        <v>0</v>
      </c>
      <c r="AN435" s="273">
        <f>AM435*(1+'2. GRI Pricing Inputs'!$D$114)^((AN$16-AM$16)/365)</f>
        <v>0</v>
      </c>
      <c r="AO435" s="273">
        <f>AN435*(1+'2. GRI Pricing Inputs'!$D$114)^((AO$16-AN$16)/365)</f>
        <v>0</v>
      </c>
    </row>
    <row r="436" spans="3:41" ht="12" x14ac:dyDescent="0.2">
      <c r="C436" s="76">
        <f>'1. Accomodation'!N440</f>
        <v>0</v>
      </c>
      <c r="D436" s="69">
        <f>'1. Accomodation'!P440</f>
        <v>0</v>
      </c>
      <c r="E436" s="69">
        <f>'1. Accomodation'!Q440</f>
        <v>0</v>
      </c>
      <c r="F436" s="77">
        <f>'1. Accomodation'!O440</f>
        <v>0</v>
      </c>
      <c r="G436" s="69">
        <f>'1. Accomodation'!R440</f>
        <v>0</v>
      </c>
      <c r="H436" s="69">
        <f>'1. Accomodation'!S440</f>
        <v>0</v>
      </c>
      <c r="I436" s="62"/>
      <c r="K436" s="272">
        <f>IFERROR(INDEX('2. GRI Pricing Inputs'!$C$15:$AI$16,MATCH($K$16,'2. GRI Pricing Inputs'!$C$15:$C$16,0),MATCH(D436,'2. GRI Pricing Inputs'!$C$15:$AI$15,0)),0)</f>
        <v>0</v>
      </c>
      <c r="L436" s="273">
        <f>IFERROR(INDEX('2. GRI Pricing Inputs'!$C$22:$AI$23,MATCH($L$16,'2. GRI Pricing Inputs'!$C$22:$C$23,0),MATCH(E436,'2. GRI Pricing Inputs'!$C$22:$AI$22,0)),0)</f>
        <v>0</v>
      </c>
      <c r="M436" s="328">
        <f>IF(AND('3. GRI Pricing'!$F436&gt;='2. GRI Pricing Inputs'!$D$33,'3. GRI Pricing'!$F436&lt;='2. GRI Pricing Inputs'!$E$33),'2. GRI Pricing Inputs'!$D$32,IF(AND('3. GRI Pricing'!$F436&gt;='2. GRI Pricing Inputs'!$F$33,'3. GRI Pricing'!$F436&lt;='2. GRI Pricing Inputs'!$G$33),'2. GRI Pricing Inputs'!$F$32,IF(AND('3. GRI Pricing'!$F436&gt;='2. GRI Pricing Inputs'!$H$33,'3. GRI Pricing'!$F436&lt;='2. GRI Pricing Inputs'!$I$33),'2. GRI Pricing Inputs'!$H$32,IF(AND('3. GRI Pricing'!$F436&gt;='2. GRI Pricing Inputs'!$J$33,'3. GRI Pricing'!$F436&lt;='2. GRI Pricing Inputs'!$K$33),'2. GRI Pricing Inputs'!$J$32,IF(AND('3. GRI Pricing'!$F436&gt;='2. GRI Pricing Inputs'!$L$33,'3. GRI Pricing'!$F436&lt;='2. GRI Pricing Inputs'!$M$33),'2. GRI Pricing Inputs'!$L$32,IF(AND('3. GRI Pricing'!$F436&gt;='2. GRI Pricing Inputs'!$N$33,'3. GRI Pricing'!$F436&lt;='2. GRI Pricing Inputs'!$O$33),'2. GRI Pricing Inputs'!$N$32,IF(AND('3. GRI Pricing'!$F436&gt;='2. GRI Pricing Inputs'!$P$33,'3. GRI Pricing'!$F436&lt;='2. GRI Pricing Inputs'!$Q$33),'2. GRI Pricing Inputs'!$P$32,IF(AND('3. GRI Pricing'!$F436&gt;='2. GRI Pricing Inputs'!$R$33,'3. GRI Pricing'!$F436&lt;='2. GRI Pricing Inputs'!$S$33),'2. GRI Pricing Inputs'!$R$32,IF(AND('3. GRI Pricing'!$F436&gt;='2. GRI Pricing Inputs'!$T$33,'3. GRI Pricing'!$F436&lt;='2. GRI Pricing Inputs'!$U$33),'2. GRI Pricing Inputs'!$T$32,IF(AND('3. GRI Pricing'!$F436&gt;='2. GRI Pricing Inputs'!$V$33,'3. GRI Pricing'!$F436&lt;='2. GRI Pricing Inputs'!$W$33),'2. GRI Pricing Inputs'!$V$32,IF(AND('3. GRI Pricing'!$F436&gt;='2. GRI Pricing Inputs'!$X$33,'3. GRI Pricing'!$F436&lt;='2. GRI Pricing Inputs'!$Y$33),'2. GRI Pricing Inputs'!$X$32,IF(AND('3. GRI Pricing'!$F436&gt;='2. GRI Pricing Inputs'!$Z$33,'3. GRI Pricing'!$F436&lt;='2. GRI Pricing Inputs'!$AA$33),'2. GRI Pricing Inputs'!$Z$32,IF(AND('3. GRI Pricing'!$F436&gt;='2. GRI Pricing Inputs'!$AB$33,'3. GRI Pricing'!$F436&lt;='2. GRI Pricing Inputs'!$AC$33),'2. GRI Pricing Inputs'!$AB$32,IF(AND('3. GRI Pricing'!$F436&gt;='2. GRI Pricing Inputs'!$AD$33,'3. GRI Pricing'!$F436&lt;='2. GRI Pricing Inputs'!$AE$33),'2. GRI Pricing Inputs'!$AD$32,IF(AND('3. GRI Pricing'!$F436&gt;='2. GRI Pricing Inputs'!$AF$33,'3. GRI Pricing'!$F436&lt;='2. GRI Pricing Inputs'!$AG$33),'2. GRI Pricing Inputs'!$AF$32,IF(AND('3. GRI Pricing'!$F436&gt;='2. GRI Pricing Inputs'!$AH$33,'3. GRI Pricing'!$F436&lt;='2. GRI Pricing Inputs'!$AI$33),'2. GRI Pricing Inputs'!$AH$32,0))))))))))))))))</f>
        <v>0</v>
      </c>
      <c r="N436" s="273" cm="1">
        <f t="array" ref="N436">IFERROR(INDEX('2. GRI Pricing Inputs'!$C$32:$AI$39,MATCH('3. GRI Pricing'!D436,'2. GRI Pricing Inputs'!$C$32:$C$39,0),(MATCH('3. GRI Pricing'!M436,'2. GRI Pricing Inputs'!$D$32:$AI$32,0)+1)),0)</f>
        <v>0</v>
      </c>
      <c r="O436" s="273">
        <f>IFERROR(INDEX('2. GRI Pricing Inputs'!$C$45:$AI$46,MATCH($O$16,'2. GRI Pricing Inputs'!$C$45:$C$46,0),MATCH(G436,'2. GRI Pricing Inputs'!$C$45:$AI$45,0)),0)</f>
        <v>0</v>
      </c>
      <c r="P436" s="273">
        <f>IFERROR(INDEX('2. GRI Pricing Inputs'!$C$53:$AI$54,MATCH('3. GRI Pricing'!$P$16,'2. GRI Pricing Inputs'!$C$53:$C$54,0),MATCH('3. GRI Pricing'!H436,'2. GRI Pricing Inputs'!$C$53:$AI$53,0)),0)</f>
        <v>0</v>
      </c>
      <c r="Q436" s="273">
        <f>IFERROR(INDEX('2. GRI Pricing Inputs'!$C$60:$AI$61,MATCH('3. GRI Pricing'!$Q$16,'2. GRI Pricing Inputs'!$C$60:$C$61,0),MATCH('1. Accomodation'!T440,'2. GRI Pricing Inputs'!$C$60:$AI$60,0)),0)</f>
        <v>0</v>
      </c>
      <c r="R436" s="273">
        <f>IFERROR(INDEX('2. GRI Pricing Inputs'!$C$67:$AI$68,MATCH('3. GRI Pricing'!$R$16,'2. GRI Pricing Inputs'!$C$67:$C$68,0),MATCH('1. Accomodation'!U440,'2. GRI Pricing Inputs'!$C$67:$AI$67,0)),0)</f>
        <v>0</v>
      </c>
      <c r="S436" s="273">
        <f>IF(D436=0,0,'2. GRI Pricing Inputs'!$AI$75)</f>
        <v>0</v>
      </c>
      <c r="T436" s="273">
        <f>IFERROR(INDEX('2. GRI Pricing Inputs'!$C$82:$AI$83,MATCH('3. GRI Pricing'!$T$16,'2. GRI Pricing Inputs'!$C$82:$C$83,0),MATCH('1. Accomodation'!V440,'2. GRI Pricing Inputs'!$C$82:$AI$82,0)),0)</f>
        <v>0</v>
      </c>
      <c r="U436" s="273">
        <f>IFERROR(INDEX('2. GRI Pricing Inputs'!$C$89:$AI$90,MATCH('3. GRI Pricing'!$U$16,'2. GRI Pricing Inputs'!$C$89:$C$90,0),MATCH('1. Accomodation'!W440,'2. GRI Pricing Inputs'!$C$89:$AI$89,0)),0)</f>
        <v>0</v>
      </c>
      <c r="V436" s="273">
        <f>IFERROR(INDEX('2. GRI Pricing Inputs'!$C$97:$AI$98,MATCH('3. GRI Pricing'!$V$16,'2. GRI Pricing Inputs'!$C$97:$C$98,0),MATCH('1. Accomodation'!X440,'2. GRI Pricing Inputs'!$C$97:$AI$97,0)),0)</f>
        <v>0</v>
      </c>
      <c r="W436" s="273">
        <f>IFERROR(INDEX('2. GRI Pricing Inputs'!$C$104:$AI$105,MATCH('3. GRI Pricing'!$W$16,'2. GRI Pricing Inputs'!$C$104:$C$105,0),MATCH('1. Accomodation'!Y440,'2. GRI Pricing Inputs'!$C$104:$AI$104,0)),0)</f>
        <v>0</v>
      </c>
      <c r="X436" s="274"/>
      <c r="Y436" s="275">
        <f t="shared" si="13"/>
        <v>0</v>
      </c>
      <c r="Z436" s="276"/>
      <c r="AA436" s="276"/>
      <c r="AB436" s="276"/>
      <c r="AC436" s="272">
        <f>Y436*(1+'2. GRI Pricing Inputs'!$D$114)^(($AC$16-$AB$15)/365)</f>
        <v>0</v>
      </c>
      <c r="AD436" s="273">
        <f>AC436*(1+'2. GRI Pricing Inputs'!$D$114)^((AD$16-AC$16)/365)</f>
        <v>0</v>
      </c>
      <c r="AE436" s="273">
        <f>AD436*(1+'2. GRI Pricing Inputs'!$D$114)^((AE$16-AD$16)/365)</f>
        <v>0</v>
      </c>
      <c r="AF436" s="273">
        <f>AE436*(1+'2. GRI Pricing Inputs'!$D$114)^((AF$16-AE$16)/365)</f>
        <v>0</v>
      </c>
      <c r="AG436" s="273">
        <f>AF436*(1+'2. GRI Pricing Inputs'!$D$114)^((AG$16-AF$16)/365)</f>
        <v>0</v>
      </c>
      <c r="AH436" s="273">
        <f>AG436*(1+'2. GRI Pricing Inputs'!$D$114)^((AH$16-AG$16)/365)</f>
        <v>0</v>
      </c>
      <c r="AI436" s="273">
        <f>AH436*(1+'2. GRI Pricing Inputs'!$D$114)^((AI$16-AH$16)/365)</f>
        <v>0</v>
      </c>
      <c r="AJ436" s="273">
        <f>AI436*(1+'2. GRI Pricing Inputs'!$D$114)^((AJ$16-AI$16)/365)</f>
        <v>0</v>
      </c>
      <c r="AK436" s="273">
        <f>AJ436*(1+'2. GRI Pricing Inputs'!$D$114)^((AK$16-AJ$16)/365)</f>
        <v>0</v>
      </c>
      <c r="AL436" s="273">
        <f>AK436*(1+'2. GRI Pricing Inputs'!$D$114)^((AL$16-AK$16)/365)</f>
        <v>0</v>
      </c>
      <c r="AM436" s="273">
        <f>AL436*(1+'2. GRI Pricing Inputs'!$D$114)^((AM$16-AL$16)/365)</f>
        <v>0</v>
      </c>
      <c r="AN436" s="273">
        <f>AM436*(1+'2. GRI Pricing Inputs'!$D$114)^((AN$16-AM$16)/365)</f>
        <v>0</v>
      </c>
      <c r="AO436" s="273">
        <f>AN436*(1+'2. GRI Pricing Inputs'!$D$114)^((AO$16-AN$16)/365)</f>
        <v>0</v>
      </c>
    </row>
    <row r="437" spans="3:41" ht="12" x14ac:dyDescent="0.2">
      <c r="C437" s="76">
        <f>'1. Accomodation'!N441</f>
        <v>0</v>
      </c>
      <c r="D437" s="69">
        <f>'1. Accomodation'!P441</f>
        <v>0</v>
      </c>
      <c r="E437" s="69">
        <f>'1. Accomodation'!Q441</f>
        <v>0</v>
      </c>
      <c r="F437" s="77">
        <f>'1. Accomodation'!O441</f>
        <v>0</v>
      </c>
      <c r="G437" s="69">
        <f>'1. Accomodation'!R441</f>
        <v>0</v>
      </c>
      <c r="H437" s="69">
        <f>'1. Accomodation'!S441</f>
        <v>0</v>
      </c>
      <c r="I437" s="62"/>
      <c r="K437" s="272">
        <f>IFERROR(INDEX('2. GRI Pricing Inputs'!$C$15:$AI$16,MATCH($K$16,'2. GRI Pricing Inputs'!$C$15:$C$16,0),MATCH(D437,'2. GRI Pricing Inputs'!$C$15:$AI$15,0)),0)</f>
        <v>0</v>
      </c>
      <c r="L437" s="273">
        <f>IFERROR(INDEX('2. GRI Pricing Inputs'!$C$22:$AI$23,MATCH($L$16,'2. GRI Pricing Inputs'!$C$22:$C$23,0),MATCH(E437,'2. GRI Pricing Inputs'!$C$22:$AI$22,0)),0)</f>
        <v>0</v>
      </c>
      <c r="M437" s="328">
        <f>IF(AND('3. GRI Pricing'!$F437&gt;='2. GRI Pricing Inputs'!$D$33,'3. GRI Pricing'!$F437&lt;='2. GRI Pricing Inputs'!$E$33),'2. GRI Pricing Inputs'!$D$32,IF(AND('3. GRI Pricing'!$F437&gt;='2. GRI Pricing Inputs'!$F$33,'3. GRI Pricing'!$F437&lt;='2. GRI Pricing Inputs'!$G$33),'2. GRI Pricing Inputs'!$F$32,IF(AND('3. GRI Pricing'!$F437&gt;='2. GRI Pricing Inputs'!$H$33,'3. GRI Pricing'!$F437&lt;='2. GRI Pricing Inputs'!$I$33),'2. GRI Pricing Inputs'!$H$32,IF(AND('3. GRI Pricing'!$F437&gt;='2. GRI Pricing Inputs'!$J$33,'3. GRI Pricing'!$F437&lt;='2. GRI Pricing Inputs'!$K$33),'2. GRI Pricing Inputs'!$J$32,IF(AND('3. GRI Pricing'!$F437&gt;='2. GRI Pricing Inputs'!$L$33,'3. GRI Pricing'!$F437&lt;='2. GRI Pricing Inputs'!$M$33),'2. GRI Pricing Inputs'!$L$32,IF(AND('3. GRI Pricing'!$F437&gt;='2. GRI Pricing Inputs'!$N$33,'3. GRI Pricing'!$F437&lt;='2. GRI Pricing Inputs'!$O$33),'2. GRI Pricing Inputs'!$N$32,IF(AND('3. GRI Pricing'!$F437&gt;='2. GRI Pricing Inputs'!$P$33,'3. GRI Pricing'!$F437&lt;='2. GRI Pricing Inputs'!$Q$33),'2. GRI Pricing Inputs'!$P$32,IF(AND('3. GRI Pricing'!$F437&gt;='2. GRI Pricing Inputs'!$R$33,'3. GRI Pricing'!$F437&lt;='2. GRI Pricing Inputs'!$S$33),'2. GRI Pricing Inputs'!$R$32,IF(AND('3. GRI Pricing'!$F437&gt;='2. GRI Pricing Inputs'!$T$33,'3. GRI Pricing'!$F437&lt;='2. GRI Pricing Inputs'!$U$33),'2. GRI Pricing Inputs'!$T$32,IF(AND('3. GRI Pricing'!$F437&gt;='2. GRI Pricing Inputs'!$V$33,'3. GRI Pricing'!$F437&lt;='2. GRI Pricing Inputs'!$W$33),'2. GRI Pricing Inputs'!$V$32,IF(AND('3. GRI Pricing'!$F437&gt;='2. GRI Pricing Inputs'!$X$33,'3. GRI Pricing'!$F437&lt;='2. GRI Pricing Inputs'!$Y$33),'2. GRI Pricing Inputs'!$X$32,IF(AND('3. GRI Pricing'!$F437&gt;='2. GRI Pricing Inputs'!$Z$33,'3. GRI Pricing'!$F437&lt;='2. GRI Pricing Inputs'!$AA$33),'2. GRI Pricing Inputs'!$Z$32,IF(AND('3. GRI Pricing'!$F437&gt;='2. GRI Pricing Inputs'!$AB$33,'3. GRI Pricing'!$F437&lt;='2. GRI Pricing Inputs'!$AC$33),'2. GRI Pricing Inputs'!$AB$32,IF(AND('3. GRI Pricing'!$F437&gt;='2. GRI Pricing Inputs'!$AD$33,'3. GRI Pricing'!$F437&lt;='2. GRI Pricing Inputs'!$AE$33),'2. GRI Pricing Inputs'!$AD$32,IF(AND('3. GRI Pricing'!$F437&gt;='2. GRI Pricing Inputs'!$AF$33,'3. GRI Pricing'!$F437&lt;='2. GRI Pricing Inputs'!$AG$33),'2. GRI Pricing Inputs'!$AF$32,IF(AND('3. GRI Pricing'!$F437&gt;='2. GRI Pricing Inputs'!$AH$33,'3. GRI Pricing'!$F437&lt;='2. GRI Pricing Inputs'!$AI$33),'2. GRI Pricing Inputs'!$AH$32,0))))))))))))))))</f>
        <v>0</v>
      </c>
      <c r="N437" s="273" cm="1">
        <f t="array" ref="N437">IFERROR(INDEX('2. GRI Pricing Inputs'!$C$32:$AI$39,MATCH('3. GRI Pricing'!D437,'2. GRI Pricing Inputs'!$C$32:$C$39,0),(MATCH('3. GRI Pricing'!M437,'2. GRI Pricing Inputs'!$D$32:$AI$32,0)+1)),0)</f>
        <v>0</v>
      </c>
      <c r="O437" s="273">
        <f>IFERROR(INDEX('2. GRI Pricing Inputs'!$C$45:$AI$46,MATCH($O$16,'2. GRI Pricing Inputs'!$C$45:$C$46,0),MATCH(G437,'2. GRI Pricing Inputs'!$C$45:$AI$45,0)),0)</f>
        <v>0</v>
      </c>
      <c r="P437" s="273">
        <f>IFERROR(INDEX('2. GRI Pricing Inputs'!$C$53:$AI$54,MATCH('3. GRI Pricing'!$P$16,'2. GRI Pricing Inputs'!$C$53:$C$54,0),MATCH('3. GRI Pricing'!H437,'2. GRI Pricing Inputs'!$C$53:$AI$53,0)),0)</f>
        <v>0</v>
      </c>
      <c r="Q437" s="273">
        <f>IFERROR(INDEX('2. GRI Pricing Inputs'!$C$60:$AI$61,MATCH('3. GRI Pricing'!$Q$16,'2. GRI Pricing Inputs'!$C$60:$C$61,0),MATCH('1. Accomodation'!T441,'2. GRI Pricing Inputs'!$C$60:$AI$60,0)),0)</f>
        <v>0</v>
      </c>
      <c r="R437" s="273">
        <f>IFERROR(INDEX('2. GRI Pricing Inputs'!$C$67:$AI$68,MATCH('3. GRI Pricing'!$R$16,'2. GRI Pricing Inputs'!$C$67:$C$68,0),MATCH('1. Accomodation'!U441,'2. GRI Pricing Inputs'!$C$67:$AI$67,0)),0)</f>
        <v>0</v>
      </c>
      <c r="S437" s="273">
        <f>IF(D437=0,0,'2. GRI Pricing Inputs'!$AI$75)</f>
        <v>0</v>
      </c>
      <c r="T437" s="273">
        <f>IFERROR(INDEX('2. GRI Pricing Inputs'!$C$82:$AI$83,MATCH('3. GRI Pricing'!$T$16,'2. GRI Pricing Inputs'!$C$82:$C$83,0),MATCH('1. Accomodation'!V441,'2. GRI Pricing Inputs'!$C$82:$AI$82,0)),0)</f>
        <v>0</v>
      </c>
      <c r="U437" s="273">
        <f>IFERROR(INDEX('2. GRI Pricing Inputs'!$C$89:$AI$90,MATCH('3. GRI Pricing'!$U$16,'2. GRI Pricing Inputs'!$C$89:$C$90,0),MATCH('1. Accomodation'!W441,'2. GRI Pricing Inputs'!$C$89:$AI$89,0)),0)</f>
        <v>0</v>
      </c>
      <c r="V437" s="273">
        <f>IFERROR(INDEX('2. GRI Pricing Inputs'!$C$97:$AI$98,MATCH('3. GRI Pricing'!$V$16,'2. GRI Pricing Inputs'!$C$97:$C$98,0),MATCH('1. Accomodation'!X441,'2. GRI Pricing Inputs'!$C$97:$AI$97,0)),0)</f>
        <v>0</v>
      </c>
      <c r="W437" s="273">
        <f>IFERROR(INDEX('2. GRI Pricing Inputs'!$C$104:$AI$105,MATCH('3. GRI Pricing'!$W$16,'2. GRI Pricing Inputs'!$C$104:$C$105,0),MATCH('1. Accomodation'!Y441,'2. GRI Pricing Inputs'!$C$104:$AI$104,0)),0)</f>
        <v>0</v>
      </c>
      <c r="X437" s="274"/>
      <c r="Y437" s="275">
        <f t="shared" si="13"/>
        <v>0</v>
      </c>
      <c r="Z437" s="276"/>
      <c r="AA437" s="276"/>
      <c r="AB437" s="276"/>
      <c r="AC437" s="272">
        <f>Y437*(1+'2. GRI Pricing Inputs'!$D$114)^(($AC$16-$AB$15)/365)</f>
        <v>0</v>
      </c>
      <c r="AD437" s="273">
        <f>AC437*(1+'2. GRI Pricing Inputs'!$D$114)^((AD$16-AC$16)/365)</f>
        <v>0</v>
      </c>
      <c r="AE437" s="273">
        <f>AD437*(1+'2. GRI Pricing Inputs'!$D$114)^((AE$16-AD$16)/365)</f>
        <v>0</v>
      </c>
      <c r="AF437" s="273">
        <f>AE437*(1+'2. GRI Pricing Inputs'!$D$114)^((AF$16-AE$16)/365)</f>
        <v>0</v>
      </c>
      <c r="AG437" s="273">
        <f>AF437*(1+'2. GRI Pricing Inputs'!$D$114)^((AG$16-AF$16)/365)</f>
        <v>0</v>
      </c>
      <c r="AH437" s="273">
        <f>AG437*(1+'2. GRI Pricing Inputs'!$D$114)^((AH$16-AG$16)/365)</f>
        <v>0</v>
      </c>
      <c r="AI437" s="273">
        <f>AH437*(1+'2. GRI Pricing Inputs'!$D$114)^((AI$16-AH$16)/365)</f>
        <v>0</v>
      </c>
      <c r="AJ437" s="273">
        <f>AI437*(1+'2. GRI Pricing Inputs'!$D$114)^((AJ$16-AI$16)/365)</f>
        <v>0</v>
      </c>
      <c r="AK437" s="273">
        <f>AJ437*(1+'2. GRI Pricing Inputs'!$D$114)^((AK$16-AJ$16)/365)</f>
        <v>0</v>
      </c>
      <c r="AL437" s="273">
        <f>AK437*(1+'2. GRI Pricing Inputs'!$D$114)^((AL$16-AK$16)/365)</f>
        <v>0</v>
      </c>
      <c r="AM437" s="273">
        <f>AL437*(1+'2. GRI Pricing Inputs'!$D$114)^((AM$16-AL$16)/365)</f>
        <v>0</v>
      </c>
      <c r="AN437" s="273">
        <f>AM437*(1+'2. GRI Pricing Inputs'!$D$114)^((AN$16-AM$16)/365)</f>
        <v>0</v>
      </c>
      <c r="AO437" s="273">
        <f>AN437*(1+'2. GRI Pricing Inputs'!$D$114)^((AO$16-AN$16)/365)</f>
        <v>0</v>
      </c>
    </row>
    <row r="438" spans="3:41" ht="12" x14ac:dyDescent="0.2">
      <c r="C438" s="76">
        <f>'1. Accomodation'!N442</f>
        <v>0</v>
      </c>
      <c r="D438" s="69">
        <f>'1. Accomodation'!P442</f>
        <v>0</v>
      </c>
      <c r="E438" s="69">
        <f>'1. Accomodation'!Q442</f>
        <v>0</v>
      </c>
      <c r="F438" s="77">
        <f>'1. Accomodation'!O442</f>
        <v>0</v>
      </c>
      <c r="G438" s="69">
        <f>'1. Accomodation'!R442</f>
        <v>0</v>
      </c>
      <c r="H438" s="69">
        <f>'1. Accomodation'!S442</f>
        <v>0</v>
      </c>
      <c r="I438" s="62"/>
      <c r="K438" s="272">
        <f>IFERROR(INDEX('2. GRI Pricing Inputs'!$C$15:$AI$16,MATCH($K$16,'2. GRI Pricing Inputs'!$C$15:$C$16,0),MATCH(D438,'2. GRI Pricing Inputs'!$C$15:$AI$15,0)),0)</f>
        <v>0</v>
      </c>
      <c r="L438" s="273">
        <f>IFERROR(INDEX('2. GRI Pricing Inputs'!$C$22:$AI$23,MATCH($L$16,'2. GRI Pricing Inputs'!$C$22:$C$23,0),MATCH(E438,'2. GRI Pricing Inputs'!$C$22:$AI$22,0)),0)</f>
        <v>0</v>
      </c>
      <c r="M438" s="328">
        <f>IF(AND('3. GRI Pricing'!$F438&gt;='2. GRI Pricing Inputs'!$D$33,'3. GRI Pricing'!$F438&lt;='2. GRI Pricing Inputs'!$E$33),'2. GRI Pricing Inputs'!$D$32,IF(AND('3. GRI Pricing'!$F438&gt;='2. GRI Pricing Inputs'!$F$33,'3. GRI Pricing'!$F438&lt;='2. GRI Pricing Inputs'!$G$33),'2. GRI Pricing Inputs'!$F$32,IF(AND('3. GRI Pricing'!$F438&gt;='2. GRI Pricing Inputs'!$H$33,'3. GRI Pricing'!$F438&lt;='2. GRI Pricing Inputs'!$I$33),'2. GRI Pricing Inputs'!$H$32,IF(AND('3. GRI Pricing'!$F438&gt;='2. GRI Pricing Inputs'!$J$33,'3. GRI Pricing'!$F438&lt;='2. GRI Pricing Inputs'!$K$33),'2. GRI Pricing Inputs'!$J$32,IF(AND('3. GRI Pricing'!$F438&gt;='2. GRI Pricing Inputs'!$L$33,'3. GRI Pricing'!$F438&lt;='2. GRI Pricing Inputs'!$M$33),'2. GRI Pricing Inputs'!$L$32,IF(AND('3. GRI Pricing'!$F438&gt;='2. GRI Pricing Inputs'!$N$33,'3. GRI Pricing'!$F438&lt;='2. GRI Pricing Inputs'!$O$33),'2. GRI Pricing Inputs'!$N$32,IF(AND('3. GRI Pricing'!$F438&gt;='2. GRI Pricing Inputs'!$P$33,'3. GRI Pricing'!$F438&lt;='2. GRI Pricing Inputs'!$Q$33),'2. GRI Pricing Inputs'!$P$32,IF(AND('3. GRI Pricing'!$F438&gt;='2. GRI Pricing Inputs'!$R$33,'3. GRI Pricing'!$F438&lt;='2. GRI Pricing Inputs'!$S$33),'2. GRI Pricing Inputs'!$R$32,IF(AND('3. GRI Pricing'!$F438&gt;='2. GRI Pricing Inputs'!$T$33,'3. GRI Pricing'!$F438&lt;='2. GRI Pricing Inputs'!$U$33),'2. GRI Pricing Inputs'!$T$32,IF(AND('3. GRI Pricing'!$F438&gt;='2. GRI Pricing Inputs'!$V$33,'3. GRI Pricing'!$F438&lt;='2. GRI Pricing Inputs'!$W$33),'2. GRI Pricing Inputs'!$V$32,IF(AND('3. GRI Pricing'!$F438&gt;='2. GRI Pricing Inputs'!$X$33,'3. GRI Pricing'!$F438&lt;='2. GRI Pricing Inputs'!$Y$33),'2. GRI Pricing Inputs'!$X$32,IF(AND('3. GRI Pricing'!$F438&gt;='2. GRI Pricing Inputs'!$Z$33,'3. GRI Pricing'!$F438&lt;='2. GRI Pricing Inputs'!$AA$33),'2. GRI Pricing Inputs'!$Z$32,IF(AND('3. GRI Pricing'!$F438&gt;='2. GRI Pricing Inputs'!$AB$33,'3. GRI Pricing'!$F438&lt;='2. GRI Pricing Inputs'!$AC$33),'2. GRI Pricing Inputs'!$AB$32,IF(AND('3. GRI Pricing'!$F438&gt;='2. GRI Pricing Inputs'!$AD$33,'3. GRI Pricing'!$F438&lt;='2. GRI Pricing Inputs'!$AE$33),'2. GRI Pricing Inputs'!$AD$32,IF(AND('3. GRI Pricing'!$F438&gt;='2. GRI Pricing Inputs'!$AF$33,'3. GRI Pricing'!$F438&lt;='2. GRI Pricing Inputs'!$AG$33),'2. GRI Pricing Inputs'!$AF$32,IF(AND('3. GRI Pricing'!$F438&gt;='2. GRI Pricing Inputs'!$AH$33,'3. GRI Pricing'!$F438&lt;='2. GRI Pricing Inputs'!$AI$33),'2. GRI Pricing Inputs'!$AH$32,0))))))))))))))))</f>
        <v>0</v>
      </c>
      <c r="N438" s="273" cm="1">
        <f t="array" ref="N438">IFERROR(INDEX('2. GRI Pricing Inputs'!$C$32:$AI$39,MATCH('3. GRI Pricing'!D438,'2. GRI Pricing Inputs'!$C$32:$C$39,0),(MATCH('3. GRI Pricing'!M438,'2. GRI Pricing Inputs'!$D$32:$AI$32,0)+1)),0)</f>
        <v>0</v>
      </c>
      <c r="O438" s="273">
        <f>IFERROR(INDEX('2. GRI Pricing Inputs'!$C$45:$AI$46,MATCH($O$16,'2. GRI Pricing Inputs'!$C$45:$C$46,0),MATCH(G438,'2. GRI Pricing Inputs'!$C$45:$AI$45,0)),0)</f>
        <v>0</v>
      </c>
      <c r="P438" s="273">
        <f>IFERROR(INDEX('2. GRI Pricing Inputs'!$C$53:$AI$54,MATCH('3. GRI Pricing'!$P$16,'2. GRI Pricing Inputs'!$C$53:$C$54,0),MATCH('3. GRI Pricing'!H438,'2. GRI Pricing Inputs'!$C$53:$AI$53,0)),0)</f>
        <v>0</v>
      </c>
      <c r="Q438" s="273">
        <f>IFERROR(INDEX('2. GRI Pricing Inputs'!$C$60:$AI$61,MATCH('3. GRI Pricing'!$Q$16,'2. GRI Pricing Inputs'!$C$60:$C$61,0),MATCH('1. Accomodation'!T442,'2. GRI Pricing Inputs'!$C$60:$AI$60,0)),0)</f>
        <v>0</v>
      </c>
      <c r="R438" s="273">
        <f>IFERROR(INDEX('2. GRI Pricing Inputs'!$C$67:$AI$68,MATCH('3. GRI Pricing'!$R$16,'2. GRI Pricing Inputs'!$C$67:$C$68,0),MATCH('1. Accomodation'!U442,'2. GRI Pricing Inputs'!$C$67:$AI$67,0)),0)</f>
        <v>0</v>
      </c>
      <c r="S438" s="273">
        <f>IF(D438=0,0,'2. GRI Pricing Inputs'!$AI$75)</f>
        <v>0</v>
      </c>
      <c r="T438" s="273">
        <f>IFERROR(INDEX('2. GRI Pricing Inputs'!$C$82:$AI$83,MATCH('3. GRI Pricing'!$T$16,'2. GRI Pricing Inputs'!$C$82:$C$83,0),MATCH('1. Accomodation'!V442,'2. GRI Pricing Inputs'!$C$82:$AI$82,0)),0)</f>
        <v>0</v>
      </c>
      <c r="U438" s="273">
        <f>IFERROR(INDEX('2. GRI Pricing Inputs'!$C$89:$AI$90,MATCH('3. GRI Pricing'!$U$16,'2. GRI Pricing Inputs'!$C$89:$C$90,0),MATCH('1. Accomodation'!W442,'2. GRI Pricing Inputs'!$C$89:$AI$89,0)),0)</f>
        <v>0</v>
      </c>
      <c r="V438" s="273">
        <f>IFERROR(INDEX('2. GRI Pricing Inputs'!$C$97:$AI$98,MATCH('3. GRI Pricing'!$V$16,'2. GRI Pricing Inputs'!$C$97:$C$98,0),MATCH('1. Accomodation'!X442,'2. GRI Pricing Inputs'!$C$97:$AI$97,0)),0)</f>
        <v>0</v>
      </c>
      <c r="W438" s="273">
        <f>IFERROR(INDEX('2. GRI Pricing Inputs'!$C$104:$AI$105,MATCH('3. GRI Pricing'!$W$16,'2. GRI Pricing Inputs'!$C$104:$C$105,0),MATCH('1. Accomodation'!Y442,'2. GRI Pricing Inputs'!$C$104:$AI$104,0)),0)</f>
        <v>0</v>
      </c>
      <c r="X438" s="274"/>
      <c r="Y438" s="275">
        <f t="shared" si="13"/>
        <v>0</v>
      </c>
      <c r="Z438" s="276"/>
      <c r="AA438" s="276"/>
      <c r="AB438" s="276"/>
      <c r="AC438" s="272">
        <f>Y438*(1+'2. GRI Pricing Inputs'!$D$114)^(($AC$16-$AB$15)/365)</f>
        <v>0</v>
      </c>
      <c r="AD438" s="273">
        <f>AC438*(1+'2. GRI Pricing Inputs'!$D$114)^((AD$16-AC$16)/365)</f>
        <v>0</v>
      </c>
      <c r="AE438" s="273">
        <f>AD438*(1+'2. GRI Pricing Inputs'!$D$114)^((AE$16-AD$16)/365)</f>
        <v>0</v>
      </c>
      <c r="AF438" s="273">
        <f>AE438*(1+'2. GRI Pricing Inputs'!$D$114)^((AF$16-AE$16)/365)</f>
        <v>0</v>
      </c>
      <c r="AG438" s="273">
        <f>AF438*(1+'2. GRI Pricing Inputs'!$D$114)^((AG$16-AF$16)/365)</f>
        <v>0</v>
      </c>
      <c r="AH438" s="273">
        <f>AG438*(1+'2. GRI Pricing Inputs'!$D$114)^((AH$16-AG$16)/365)</f>
        <v>0</v>
      </c>
      <c r="AI438" s="273">
        <f>AH438*(1+'2. GRI Pricing Inputs'!$D$114)^((AI$16-AH$16)/365)</f>
        <v>0</v>
      </c>
      <c r="AJ438" s="273">
        <f>AI438*(1+'2. GRI Pricing Inputs'!$D$114)^((AJ$16-AI$16)/365)</f>
        <v>0</v>
      </c>
      <c r="AK438" s="273">
        <f>AJ438*(1+'2. GRI Pricing Inputs'!$D$114)^((AK$16-AJ$16)/365)</f>
        <v>0</v>
      </c>
      <c r="AL438" s="273">
        <f>AK438*(1+'2. GRI Pricing Inputs'!$D$114)^((AL$16-AK$16)/365)</f>
        <v>0</v>
      </c>
      <c r="AM438" s="273">
        <f>AL438*(1+'2. GRI Pricing Inputs'!$D$114)^((AM$16-AL$16)/365)</f>
        <v>0</v>
      </c>
      <c r="AN438" s="273">
        <f>AM438*(1+'2. GRI Pricing Inputs'!$D$114)^((AN$16-AM$16)/365)</f>
        <v>0</v>
      </c>
      <c r="AO438" s="273">
        <f>AN438*(1+'2. GRI Pricing Inputs'!$D$114)^((AO$16-AN$16)/365)</f>
        <v>0</v>
      </c>
    </row>
    <row r="439" spans="3:41" ht="12" x14ac:dyDescent="0.2">
      <c r="C439" s="76">
        <f>'1. Accomodation'!N443</f>
        <v>0</v>
      </c>
      <c r="D439" s="69">
        <f>'1. Accomodation'!P443</f>
        <v>0</v>
      </c>
      <c r="E439" s="69">
        <f>'1. Accomodation'!Q443</f>
        <v>0</v>
      </c>
      <c r="F439" s="77">
        <f>'1. Accomodation'!O443</f>
        <v>0</v>
      </c>
      <c r="G439" s="69">
        <f>'1. Accomodation'!R443</f>
        <v>0</v>
      </c>
      <c r="H439" s="69">
        <f>'1. Accomodation'!S443</f>
        <v>0</v>
      </c>
      <c r="I439" s="62"/>
      <c r="K439" s="272">
        <f>IFERROR(INDEX('2. GRI Pricing Inputs'!$C$15:$AI$16,MATCH($K$16,'2. GRI Pricing Inputs'!$C$15:$C$16,0),MATCH(D439,'2. GRI Pricing Inputs'!$C$15:$AI$15,0)),0)</f>
        <v>0</v>
      </c>
      <c r="L439" s="273">
        <f>IFERROR(INDEX('2. GRI Pricing Inputs'!$C$22:$AI$23,MATCH($L$16,'2. GRI Pricing Inputs'!$C$22:$C$23,0),MATCH(E439,'2. GRI Pricing Inputs'!$C$22:$AI$22,0)),0)</f>
        <v>0</v>
      </c>
      <c r="M439" s="328">
        <f>IF(AND('3. GRI Pricing'!$F439&gt;='2. GRI Pricing Inputs'!$D$33,'3. GRI Pricing'!$F439&lt;='2. GRI Pricing Inputs'!$E$33),'2. GRI Pricing Inputs'!$D$32,IF(AND('3. GRI Pricing'!$F439&gt;='2. GRI Pricing Inputs'!$F$33,'3. GRI Pricing'!$F439&lt;='2. GRI Pricing Inputs'!$G$33),'2. GRI Pricing Inputs'!$F$32,IF(AND('3. GRI Pricing'!$F439&gt;='2. GRI Pricing Inputs'!$H$33,'3. GRI Pricing'!$F439&lt;='2. GRI Pricing Inputs'!$I$33),'2. GRI Pricing Inputs'!$H$32,IF(AND('3. GRI Pricing'!$F439&gt;='2. GRI Pricing Inputs'!$J$33,'3. GRI Pricing'!$F439&lt;='2. GRI Pricing Inputs'!$K$33),'2. GRI Pricing Inputs'!$J$32,IF(AND('3. GRI Pricing'!$F439&gt;='2. GRI Pricing Inputs'!$L$33,'3. GRI Pricing'!$F439&lt;='2. GRI Pricing Inputs'!$M$33),'2. GRI Pricing Inputs'!$L$32,IF(AND('3. GRI Pricing'!$F439&gt;='2. GRI Pricing Inputs'!$N$33,'3. GRI Pricing'!$F439&lt;='2. GRI Pricing Inputs'!$O$33),'2. GRI Pricing Inputs'!$N$32,IF(AND('3. GRI Pricing'!$F439&gt;='2. GRI Pricing Inputs'!$P$33,'3. GRI Pricing'!$F439&lt;='2. GRI Pricing Inputs'!$Q$33),'2. GRI Pricing Inputs'!$P$32,IF(AND('3. GRI Pricing'!$F439&gt;='2. GRI Pricing Inputs'!$R$33,'3. GRI Pricing'!$F439&lt;='2. GRI Pricing Inputs'!$S$33),'2. GRI Pricing Inputs'!$R$32,IF(AND('3. GRI Pricing'!$F439&gt;='2. GRI Pricing Inputs'!$T$33,'3. GRI Pricing'!$F439&lt;='2. GRI Pricing Inputs'!$U$33),'2. GRI Pricing Inputs'!$T$32,IF(AND('3. GRI Pricing'!$F439&gt;='2. GRI Pricing Inputs'!$V$33,'3. GRI Pricing'!$F439&lt;='2. GRI Pricing Inputs'!$W$33),'2. GRI Pricing Inputs'!$V$32,IF(AND('3. GRI Pricing'!$F439&gt;='2. GRI Pricing Inputs'!$X$33,'3. GRI Pricing'!$F439&lt;='2. GRI Pricing Inputs'!$Y$33),'2. GRI Pricing Inputs'!$X$32,IF(AND('3. GRI Pricing'!$F439&gt;='2. GRI Pricing Inputs'!$Z$33,'3. GRI Pricing'!$F439&lt;='2. GRI Pricing Inputs'!$AA$33),'2. GRI Pricing Inputs'!$Z$32,IF(AND('3. GRI Pricing'!$F439&gt;='2. GRI Pricing Inputs'!$AB$33,'3. GRI Pricing'!$F439&lt;='2. GRI Pricing Inputs'!$AC$33),'2. GRI Pricing Inputs'!$AB$32,IF(AND('3. GRI Pricing'!$F439&gt;='2. GRI Pricing Inputs'!$AD$33,'3. GRI Pricing'!$F439&lt;='2. GRI Pricing Inputs'!$AE$33),'2. GRI Pricing Inputs'!$AD$32,IF(AND('3. GRI Pricing'!$F439&gt;='2. GRI Pricing Inputs'!$AF$33,'3. GRI Pricing'!$F439&lt;='2. GRI Pricing Inputs'!$AG$33),'2. GRI Pricing Inputs'!$AF$32,IF(AND('3. GRI Pricing'!$F439&gt;='2. GRI Pricing Inputs'!$AH$33,'3. GRI Pricing'!$F439&lt;='2. GRI Pricing Inputs'!$AI$33),'2. GRI Pricing Inputs'!$AH$32,0))))))))))))))))</f>
        <v>0</v>
      </c>
      <c r="N439" s="273" cm="1">
        <f t="array" ref="N439">IFERROR(INDEX('2. GRI Pricing Inputs'!$C$32:$AI$39,MATCH('3. GRI Pricing'!D439,'2. GRI Pricing Inputs'!$C$32:$C$39,0),(MATCH('3. GRI Pricing'!M439,'2. GRI Pricing Inputs'!$D$32:$AI$32,0)+1)),0)</f>
        <v>0</v>
      </c>
      <c r="O439" s="273">
        <f>IFERROR(INDEX('2. GRI Pricing Inputs'!$C$45:$AI$46,MATCH($O$16,'2. GRI Pricing Inputs'!$C$45:$C$46,0),MATCH(G439,'2. GRI Pricing Inputs'!$C$45:$AI$45,0)),0)</f>
        <v>0</v>
      </c>
      <c r="P439" s="273">
        <f>IFERROR(INDEX('2. GRI Pricing Inputs'!$C$53:$AI$54,MATCH('3. GRI Pricing'!$P$16,'2. GRI Pricing Inputs'!$C$53:$C$54,0),MATCH('3. GRI Pricing'!H439,'2. GRI Pricing Inputs'!$C$53:$AI$53,0)),0)</f>
        <v>0</v>
      </c>
      <c r="Q439" s="273">
        <f>IFERROR(INDEX('2. GRI Pricing Inputs'!$C$60:$AI$61,MATCH('3. GRI Pricing'!$Q$16,'2. GRI Pricing Inputs'!$C$60:$C$61,0),MATCH('1. Accomodation'!T443,'2. GRI Pricing Inputs'!$C$60:$AI$60,0)),0)</f>
        <v>0</v>
      </c>
      <c r="R439" s="273">
        <f>IFERROR(INDEX('2. GRI Pricing Inputs'!$C$67:$AI$68,MATCH('3. GRI Pricing'!$R$16,'2. GRI Pricing Inputs'!$C$67:$C$68,0),MATCH('1. Accomodation'!U443,'2. GRI Pricing Inputs'!$C$67:$AI$67,0)),0)</f>
        <v>0</v>
      </c>
      <c r="S439" s="273">
        <f>IF(D439=0,0,'2. GRI Pricing Inputs'!$AI$75)</f>
        <v>0</v>
      </c>
      <c r="T439" s="273">
        <f>IFERROR(INDEX('2. GRI Pricing Inputs'!$C$82:$AI$83,MATCH('3. GRI Pricing'!$T$16,'2. GRI Pricing Inputs'!$C$82:$C$83,0),MATCH('1. Accomodation'!V443,'2. GRI Pricing Inputs'!$C$82:$AI$82,0)),0)</f>
        <v>0</v>
      </c>
      <c r="U439" s="273">
        <f>IFERROR(INDEX('2. GRI Pricing Inputs'!$C$89:$AI$90,MATCH('3. GRI Pricing'!$U$16,'2. GRI Pricing Inputs'!$C$89:$C$90,0),MATCH('1. Accomodation'!W443,'2. GRI Pricing Inputs'!$C$89:$AI$89,0)),0)</f>
        <v>0</v>
      </c>
      <c r="V439" s="273">
        <f>IFERROR(INDEX('2. GRI Pricing Inputs'!$C$97:$AI$98,MATCH('3. GRI Pricing'!$V$16,'2. GRI Pricing Inputs'!$C$97:$C$98,0),MATCH('1. Accomodation'!X443,'2. GRI Pricing Inputs'!$C$97:$AI$97,0)),0)</f>
        <v>0</v>
      </c>
      <c r="W439" s="273">
        <f>IFERROR(INDEX('2. GRI Pricing Inputs'!$C$104:$AI$105,MATCH('3. GRI Pricing'!$W$16,'2. GRI Pricing Inputs'!$C$104:$C$105,0),MATCH('1. Accomodation'!Y443,'2. GRI Pricing Inputs'!$C$104:$AI$104,0)),0)</f>
        <v>0</v>
      </c>
      <c r="X439" s="274"/>
      <c r="Y439" s="275">
        <f t="shared" si="13"/>
        <v>0</v>
      </c>
      <c r="Z439" s="276"/>
      <c r="AA439" s="276"/>
      <c r="AB439" s="276"/>
      <c r="AC439" s="272">
        <f>Y439*(1+'2. GRI Pricing Inputs'!$D$114)^(($AC$16-$AB$15)/365)</f>
        <v>0</v>
      </c>
      <c r="AD439" s="273">
        <f>AC439*(1+'2. GRI Pricing Inputs'!$D$114)^((AD$16-AC$16)/365)</f>
        <v>0</v>
      </c>
      <c r="AE439" s="273">
        <f>AD439*(1+'2. GRI Pricing Inputs'!$D$114)^((AE$16-AD$16)/365)</f>
        <v>0</v>
      </c>
      <c r="AF439" s="273">
        <f>AE439*(1+'2. GRI Pricing Inputs'!$D$114)^((AF$16-AE$16)/365)</f>
        <v>0</v>
      </c>
      <c r="AG439" s="273">
        <f>AF439*(1+'2. GRI Pricing Inputs'!$D$114)^((AG$16-AF$16)/365)</f>
        <v>0</v>
      </c>
      <c r="AH439" s="273">
        <f>AG439*(1+'2. GRI Pricing Inputs'!$D$114)^((AH$16-AG$16)/365)</f>
        <v>0</v>
      </c>
      <c r="AI439" s="273">
        <f>AH439*(1+'2. GRI Pricing Inputs'!$D$114)^((AI$16-AH$16)/365)</f>
        <v>0</v>
      </c>
      <c r="AJ439" s="273">
        <f>AI439*(1+'2. GRI Pricing Inputs'!$D$114)^((AJ$16-AI$16)/365)</f>
        <v>0</v>
      </c>
      <c r="AK439" s="273">
        <f>AJ439*(1+'2. GRI Pricing Inputs'!$D$114)^((AK$16-AJ$16)/365)</f>
        <v>0</v>
      </c>
      <c r="AL439" s="273">
        <f>AK439*(1+'2. GRI Pricing Inputs'!$D$114)^((AL$16-AK$16)/365)</f>
        <v>0</v>
      </c>
      <c r="AM439" s="273">
        <f>AL439*(1+'2. GRI Pricing Inputs'!$D$114)^((AM$16-AL$16)/365)</f>
        <v>0</v>
      </c>
      <c r="AN439" s="273">
        <f>AM439*(1+'2. GRI Pricing Inputs'!$D$114)^((AN$16-AM$16)/365)</f>
        <v>0</v>
      </c>
      <c r="AO439" s="273">
        <f>AN439*(1+'2. GRI Pricing Inputs'!$D$114)^((AO$16-AN$16)/365)</f>
        <v>0</v>
      </c>
    </row>
    <row r="440" spans="3:41" ht="12" x14ac:dyDescent="0.2">
      <c r="C440" s="76">
        <f>'1. Accomodation'!N444</f>
        <v>0</v>
      </c>
      <c r="D440" s="69">
        <f>'1. Accomodation'!P444</f>
        <v>0</v>
      </c>
      <c r="E440" s="69">
        <f>'1. Accomodation'!Q444</f>
        <v>0</v>
      </c>
      <c r="F440" s="77">
        <f>'1. Accomodation'!O444</f>
        <v>0</v>
      </c>
      <c r="G440" s="69">
        <f>'1. Accomodation'!R444</f>
        <v>0</v>
      </c>
      <c r="H440" s="69">
        <f>'1. Accomodation'!S444</f>
        <v>0</v>
      </c>
      <c r="I440" s="62"/>
      <c r="K440" s="272">
        <f>IFERROR(INDEX('2. GRI Pricing Inputs'!$C$15:$AI$16,MATCH($K$16,'2. GRI Pricing Inputs'!$C$15:$C$16,0),MATCH(D440,'2. GRI Pricing Inputs'!$C$15:$AI$15,0)),0)</f>
        <v>0</v>
      </c>
      <c r="L440" s="273">
        <f>IFERROR(INDEX('2. GRI Pricing Inputs'!$C$22:$AI$23,MATCH($L$16,'2. GRI Pricing Inputs'!$C$22:$C$23,0),MATCH(E440,'2. GRI Pricing Inputs'!$C$22:$AI$22,0)),0)</f>
        <v>0</v>
      </c>
      <c r="M440" s="328">
        <f>IF(AND('3. GRI Pricing'!$F440&gt;='2. GRI Pricing Inputs'!$D$33,'3. GRI Pricing'!$F440&lt;='2. GRI Pricing Inputs'!$E$33),'2. GRI Pricing Inputs'!$D$32,IF(AND('3. GRI Pricing'!$F440&gt;='2. GRI Pricing Inputs'!$F$33,'3. GRI Pricing'!$F440&lt;='2. GRI Pricing Inputs'!$G$33),'2. GRI Pricing Inputs'!$F$32,IF(AND('3. GRI Pricing'!$F440&gt;='2. GRI Pricing Inputs'!$H$33,'3. GRI Pricing'!$F440&lt;='2. GRI Pricing Inputs'!$I$33),'2. GRI Pricing Inputs'!$H$32,IF(AND('3. GRI Pricing'!$F440&gt;='2. GRI Pricing Inputs'!$J$33,'3. GRI Pricing'!$F440&lt;='2. GRI Pricing Inputs'!$K$33),'2. GRI Pricing Inputs'!$J$32,IF(AND('3. GRI Pricing'!$F440&gt;='2. GRI Pricing Inputs'!$L$33,'3. GRI Pricing'!$F440&lt;='2. GRI Pricing Inputs'!$M$33),'2. GRI Pricing Inputs'!$L$32,IF(AND('3. GRI Pricing'!$F440&gt;='2. GRI Pricing Inputs'!$N$33,'3. GRI Pricing'!$F440&lt;='2. GRI Pricing Inputs'!$O$33),'2. GRI Pricing Inputs'!$N$32,IF(AND('3. GRI Pricing'!$F440&gt;='2. GRI Pricing Inputs'!$P$33,'3. GRI Pricing'!$F440&lt;='2. GRI Pricing Inputs'!$Q$33),'2. GRI Pricing Inputs'!$P$32,IF(AND('3. GRI Pricing'!$F440&gt;='2. GRI Pricing Inputs'!$R$33,'3. GRI Pricing'!$F440&lt;='2. GRI Pricing Inputs'!$S$33),'2. GRI Pricing Inputs'!$R$32,IF(AND('3. GRI Pricing'!$F440&gt;='2. GRI Pricing Inputs'!$T$33,'3. GRI Pricing'!$F440&lt;='2. GRI Pricing Inputs'!$U$33),'2. GRI Pricing Inputs'!$T$32,IF(AND('3. GRI Pricing'!$F440&gt;='2. GRI Pricing Inputs'!$V$33,'3. GRI Pricing'!$F440&lt;='2. GRI Pricing Inputs'!$W$33),'2. GRI Pricing Inputs'!$V$32,IF(AND('3. GRI Pricing'!$F440&gt;='2. GRI Pricing Inputs'!$X$33,'3. GRI Pricing'!$F440&lt;='2. GRI Pricing Inputs'!$Y$33),'2. GRI Pricing Inputs'!$X$32,IF(AND('3. GRI Pricing'!$F440&gt;='2. GRI Pricing Inputs'!$Z$33,'3. GRI Pricing'!$F440&lt;='2. GRI Pricing Inputs'!$AA$33),'2. GRI Pricing Inputs'!$Z$32,IF(AND('3. GRI Pricing'!$F440&gt;='2. GRI Pricing Inputs'!$AB$33,'3. GRI Pricing'!$F440&lt;='2. GRI Pricing Inputs'!$AC$33),'2. GRI Pricing Inputs'!$AB$32,IF(AND('3. GRI Pricing'!$F440&gt;='2. GRI Pricing Inputs'!$AD$33,'3. GRI Pricing'!$F440&lt;='2. GRI Pricing Inputs'!$AE$33),'2. GRI Pricing Inputs'!$AD$32,IF(AND('3. GRI Pricing'!$F440&gt;='2. GRI Pricing Inputs'!$AF$33,'3. GRI Pricing'!$F440&lt;='2. GRI Pricing Inputs'!$AG$33),'2. GRI Pricing Inputs'!$AF$32,IF(AND('3. GRI Pricing'!$F440&gt;='2. GRI Pricing Inputs'!$AH$33,'3. GRI Pricing'!$F440&lt;='2. GRI Pricing Inputs'!$AI$33),'2. GRI Pricing Inputs'!$AH$32,0))))))))))))))))</f>
        <v>0</v>
      </c>
      <c r="N440" s="273" cm="1">
        <f t="array" ref="N440">IFERROR(INDEX('2. GRI Pricing Inputs'!$C$32:$AI$39,MATCH('3. GRI Pricing'!D440,'2. GRI Pricing Inputs'!$C$32:$C$39,0),(MATCH('3. GRI Pricing'!M440,'2. GRI Pricing Inputs'!$D$32:$AI$32,0)+1)),0)</f>
        <v>0</v>
      </c>
      <c r="O440" s="273">
        <f>IFERROR(INDEX('2. GRI Pricing Inputs'!$C$45:$AI$46,MATCH($O$16,'2. GRI Pricing Inputs'!$C$45:$C$46,0),MATCH(G440,'2. GRI Pricing Inputs'!$C$45:$AI$45,0)),0)</f>
        <v>0</v>
      </c>
      <c r="P440" s="273">
        <f>IFERROR(INDEX('2. GRI Pricing Inputs'!$C$53:$AI$54,MATCH('3. GRI Pricing'!$P$16,'2. GRI Pricing Inputs'!$C$53:$C$54,0),MATCH('3. GRI Pricing'!H440,'2. GRI Pricing Inputs'!$C$53:$AI$53,0)),0)</f>
        <v>0</v>
      </c>
      <c r="Q440" s="273">
        <f>IFERROR(INDEX('2. GRI Pricing Inputs'!$C$60:$AI$61,MATCH('3. GRI Pricing'!$Q$16,'2. GRI Pricing Inputs'!$C$60:$C$61,0),MATCH('1. Accomodation'!T444,'2. GRI Pricing Inputs'!$C$60:$AI$60,0)),0)</f>
        <v>0</v>
      </c>
      <c r="R440" s="273">
        <f>IFERROR(INDEX('2. GRI Pricing Inputs'!$C$67:$AI$68,MATCH('3. GRI Pricing'!$R$16,'2. GRI Pricing Inputs'!$C$67:$C$68,0),MATCH('1. Accomodation'!U444,'2. GRI Pricing Inputs'!$C$67:$AI$67,0)),0)</f>
        <v>0</v>
      </c>
      <c r="S440" s="273">
        <f>IF(D440=0,0,'2. GRI Pricing Inputs'!$AI$75)</f>
        <v>0</v>
      </c>
      <c r="T440" s="273">
        <f>IFERROR(INDEX('2. GRI Pricing Inputs'!$C$82:$AI$83,MATCH('3. GRI Pricing'!$T$16,'2. GRI Pricing Inputs'!$C$82:$C$83,0),MATCH('1. Accomodation'!V444,'2. GRI Pricing Inputs'!$C$82:$AI$82,0)),0)</f>
        <v>0</v>
      </c>
      <c r="U440" s="273">
        <f>IFERROR(INDEX('2. GRI Pricing Inputs'!$C$89:$AI$90,MATCH('3. GRI Pricing'!$U$16,'2. GRI Pricing Inputs'!$C$89:$C$90,0),MATCH('1. Accomodation'!W444,'2. GRI Pricing Inputs'!$C$89:$AI$89,0)),0)</f>
        <v>0</v>
      </c>
      <c r="V440" s="273">
        <f>IFERROR(INDEX('2. GRI Pricing Inputs'!$C$97:$AI$98,MATCH('3. GRI Pricing'!$V$16,'2. GRI Pricing Inputs'!$C$97:$C$98,0),MATCH('1. Accomodation'!X444,'2. GRI Pricing Inputs'!$C$97:$AI$97,0)),0)</f>
        <v>0</v>
      </c>
      <c r="W440" s="273">
        <f>IFERROR(INDEX('2. GRI Pricing Inputs'!$C$104:$AI$105,MATCH('3. GRI Pricing'!$W$16,'2. GRI Pricing Inputs'!$C$104:$C$105,0),MATCH('1. Accomodation'!Y444,'2. GRI Pricing Inputs'!$C$104:$AI$104,0)),0)</f>
        <v>0</v>
      </c>
      <c r="X440" s="274"/>
      <c r="Y440" s="275">
        <f t="shared" si="13"/>
        <v>0</v>
      </c>
      <c r="Z440" s="276"/>
      <c r="AA440" s="276"/>
      <c r="AB440" s="276"/>
      <c r="AC440" s="272">
        <f>Y440*(1+'2. GRI Pricing Inputs'!$D$114)^(($AC$16-$AB$15)/365)</f>
        <v>0</v>
      </c>
      <c r="AD440" s="273">
        <f>AC440*(1+'2. GRI Pricing Inputs'!$D$114)^((AD$16-AC$16)/365)</f>
        <v>0</v>
      </c>
      <c r="AE440" s="273">
        <f>AD440*(1+'2. GRI Pricing Inputs'!$D$114)^((AE$16-AD$16)/365)</f>
        <v>0</v>
      </c>
      <c r="AF440" s="273">
        <f>AE440*(1+'2. GRI Pricing Inputs'!$D$114)^((AF$16-AE$16)/365)</f>
        <v>0</v>
      </c>
      <c r="AG440" s="273">
        <f>AF440*(1+'2. GRI Pricing Inputs'!$D$114)^((AG$16-AF$16)/365)</f>
        <v>0</v>
      </c>
      <c r="AH440" s="273">
        <f>AG440*(1+'2. GRI Pricing Inputs'!$D$114)^((AH$16-AG$16)/365)</f>
        <v>0</v>
      </c>
      <c r="AI440" s="273">
        <f>AH440*(1+'2. GRI Pricing Inputs'!$D$114)^((AI$16-AH$16)/365)</f>
        <v>0</v>
      </c>
      <c r="AJ440" s="273">
        <f>AI440*(1+'2. GRI Pricing Inputs'!$D$114)^((AJ$16-AI$16)/365)</f>
        <v>0</v>
      </c>
      <c r="AK440" s="273">
        <f>AJ440*(1+'2. GRI Pricing Inputs'!$D$114)^((AK$16-AJ$16)/365)</f>
        <v>0</v>
      </c>
      <c r="AL440" s="273">
        <f>AK440*(1+'2. GRI Pricing Inputs'!$D$114)^((AL$16-AK$16)/365)</f>
        <v>0</v>
      </c>
      <c r="AM440" s="273">
        <f>AL440*(1+'2. GRI Pricing Inputs'!$D$114)^((AM$16-AL$16)/365)</f>
        <v>0</v>
      </c>
      <c r="AN440" s="273">
        <f>AM440*(1+'2. GRI Pricing Inputs'!$D$114)^((AN$16-AM$16)/365)</f>
        <v>0</v>
      </c>
      <c r="AO440" s="273">
        <f>AN440*(1+'2. GRI Pricing Inputs'!$D$114)^((AO$16-AN$16)/365)</f>
        <v>0</v>
      </c>
    </row>
    <row r="441" spans="3:41" ht="12" x14ac:dyDescent="0.2">
      <c r="C441" s="76">
        <f>'1. Accomodation'!N445</f>
        <v>0</v>
      </c>
      <c r="D441" s="69">
        <f>'1. Accomodation'!P445</f>
        <v>0</v>
      </c>
      <c r="E441" s="69">
        <f>'1. Accomodation'!Q445</f>
        <v>0</v>
      </c>
      <c r="F441" s="77">
        <f>'1. Accomodation'!O445</f>
        <v>0</v>
      </c>
      <c r="G441" s="69">
        <f>'1. Accomodation'!R445</f>
        <v>0</v>
      </c>
      <c r="H441" s="69">
        <f>'1. Accomodation'!S445</f>
        <v>0</v>
      </c>
      <c r="I441" s="62"/>
      <c r="K441" s="272">
        <f>IFERROR(INDEX('2. GRI Pricing Inputs'!$C$15:$AI$16,MATCH($K$16,'2. GRI Pricing Inputs'!$C$15:$C$16,0),MATCH(D441,'2. GRI Pricing Inputs'!$C$15:$AI$15,0)),0)</f>
        <v>0</v>
      </c>
      <c r="L441" s="273">
        <f>IFERROR(INDEX('2. GRI Pricing Inputs'!$C$22:$AI$23,MATCH($L$16,'2. GRI Pricing Inputs'!$C$22:$C$23,0),MATCH(E441,'2. GRI Pricing Inputs'!$C$22:$AI$22,0)),0)</f>
        <v>0</v>
      </c>
      <c r="M441" s="328">
        <f>IF(AND('3. GRI Pricing'!$F441&gt;='2. GRI Pricing Inputs'!$D$33,'3. GRI Pricing'!$F441&lt;='2. GRI Pricing Inputs'!$E$33),'2. GRI Pricing Inputs'!$D$32,IF(AND('3. GRI Pricing'!$F441&gt;='2. GRI Pricing Inputs'!$F$33,'3. GRI Pricing'!$F441&lt;='2. GRI Pricing Inputs'!$G$33),'2. GRI Pricing Inputs'!$F$32,IF(AND('3. GRI Pricing'!$F441&gt;='2. GRI Pricing Inputs'!$H$33,'3. GRI Pricing'!$F441&lt;='2. GRI Pricing Inputs'!$I$33),'2. GRI Pricing Inputs'!$H$32,IF(AND('3. GRI Pricing'!$F441&gt;='2. GRI Pricing Inputs'!$J$33,'3. GRI Pricing'!$F441&lt;='2. GRI Pricing Inputs'!$K$33),'2. GRI Pricing Inputs'!$J$32,IF(AND('3. GRI Pricing'!$F441&gt;='2. GRI Pricing Inputs'!$L$33,'3. GRI Pricing'!$F441&lt;='2. GRI Pricing Inputs'!$M$33),'2. GRI Pricing Inputs'!$L$32,IF(AND('3. GRI Pricing'!$F441&gt;='2. GRI Pricing Inputs'!$N$33,'3. GRI Pricing'!$F441&lt;='2. GRI Pricing Inputs'!$O$33),'2. GRI Pricing Inputs'!$N$32,IF(AND('3. GRI Pricing'!$F441&gt;='2. GRI Pricing Inputs'!$P$33,'3. GRI Pricing'!$F441&lt;='2. GRI Pricing Inputs'!$Q$33),'2. GRI Pricing Inputs'!$P$32,IF(AND('3. GRI Pricing'!$F441&gt;='2. GRI Pricing Inputs'!$R$33,'3. GRI Pricing'!$F441&lt;='2. GRI Pricing Inputs'!$S$33),'2. GRI Pricing Inputs'!$R$32,IF(AND('3. GRI Pricing'!$F441&gt;='2. GRI Pricing Inputs'!$T$33,'3. GRI Pricing'!$F441&lt;='2. GRI Pricing Inputs'!$U$33),'2. GRI Pricing Inputs'!$T$32,IF(AND('3. GRI Pricing'!$F441&gt;='2. GRI Pricing Inputs'!$V$33,'3. GRI Pricing'!$F441&lt;='2. GRI Pricing Inputs'!$W$33),'2. GRI Pricing Inputs'!$V$32,IF(AND('3. GRI Pricing'!$F441&gt;='2. GRI Pricing Inputs'!$X$33,'3. GRI Pricing'!$F441&lt;='2. GRI Pricing Inputs'!$Y$33),'2. GRI Pricing Inputs'!$X$32,IF(AND('3. GRI Pricing'!$F441&gt;='2. GRI Pricing Inputs'!$Z$33,'3. GRI Pricing'!$F441&lt;='2. GRI Pricing Inputs'!$AA$33),'2. GRI Pricing Inputs'!$Z$32,IF(AND('3. GRI Pricing'!$F441&gt;='2. GRI Pricing Inputs'!$AB$33,'3. GRI Pricing'!$F441&lt;='2. GRI Pricing Inputs'!$AC$33),'2. GRI Pricing Inputs'!$AB$32,IF(AND('3. GRI Pricing'!$F441&gt;='2. GRI Pricing Inputs'!$AD$33,'3. GRI Pricing'!$F441&lt;='2. GRI Pricing Inputs'!$AE$33),'2. GRI Pricing Inputs'!$AD$32,IF(AND('3. GRI Pricing'!$F441&gt;='2. GRI Pricing Inputs'!$AF$33,'3. GRI Pricing'!$F441&lt;='2. GRI Pricing Inputs'!$AG$33),'2. GRI Pricing Inputs'!$AF$32,IF(AND('3. GRI Pricing'!$F441&gt;='2. GRI Pricing Inputs'!$AH$33,'3. GRI Pricing'!$F441&lt;='2. GRI Pricing Inputs'!$AI$33),'2. GRI Pricing Inputs'!$AH$32,0))))))))))))))))</f>
        <v>0</v>
      </c>
      <c r="N441" s="273" cm="1">
        <f t="array" ref="N441">IFERROR(INDEX('2. GRI Pricing Inputs'!$C$32:$AI$39,MATCH('3. GRI Pricing'!D441,'2. GRI Pricing Inputs'!$C$32:$C$39,0),(MATCH('3. GRI Pricing'!M441,'2. GRI Pricing Inputs'!$D$32:$AI$32,0)+1)),0)</f>
        <v>0</v>
      </c>
      <c r="O441" s="273">
        <f>IFERROR(INDEX('2. GRI Pricing Inputs'!$C$45:$AI$46,MATCH($O$16,'2. GRI Pricing Inputs'!$C$45:$C$46,0),MATCH(G441,'2. GRI Pricing Inputs'!$C$45:$AI$45,0)),0)</f>
        <v>0</v>
      </c>
      <c r="P441" s="273">
        <f>IFERROR(INDEX('2. GRI Pricing Inputs'!$C$53:$AI$54,MATCH('3. GRI Pricing'!$P$16,'2. GRI Pricing Inputs'!$C$53:$C$54,0),MATCH('3. GRI Pricing'!H441,'2. GRI Pricing Inputs'!$C$53:$AI$53,0)),0)</f>
        <v>0</v>
      </c>
      <c r="Q441" s="273">
        <f>IFERROR(INDEX('2. GRI Pricing Inputs'!$C$60:$AI$61,MATCH('3. GRI Pricing'!$Q$16,'2. GRI Pricing Inputs'!$C$60:$C$61,0),MATCH('1. Accomodation'!T445,'2. GRI Pricing Inputs'!$C$60:$AI$60,0)),0)</f>
        <v>0</v>
      </c>
      <c r="R441" s="273">
        <f>IFERROR(INDEX('2. GRI Pricing Inputs'!$C$67:$AI$68,MATCH('3. GRI Pricing'!$R$16,'2. GRI Pricing Inputs'!$C$67:$C$68,0),MATCH('1. Accomodation'!U445,'2. GRI Pricing Inputs'!$C$67:$AI$67,0)),0)</f>
        <v>0</v>
      </c>
      <c r="S441" s="273">
        <f>IF(D441=0,0,'2. GRI Pricing Inputs'!$AI$75)</f>
        <v>0</v>
      </c>
      <c r="T441" s="273">
        <f>IFERROR(INDEX('2. GRI Pricing Inputs'!$C$82:$AI$83,MATCH('3. GRI Pricing'!$T$16,'2. GRI Pricing Inputs'!$C$82:$C$83,0),MATCH('1. Accomodation'!V445,'2. GRI Pricing Inputs'!$C$82:$AI$82,0)),0)</f>
        <v>0</v>
      </c>
      <c r="U441" s="273">
        <f>IFERROR(INDEX('2. GRI Pricing Inputs'!$C$89:$AI$90,MATCH('3. GRI Pricing'!$U$16,'2. GRI Pricing Inputs'!$C$89:$C$90,0),MATCH('1. Accomodation'!W445,'2. GRI Pricing Inputs'!$C$89:$AI$89,0)),0)</f>
        <v>0</v>
      </c>
      <c r="V441" s="273">
        <f>IFERROR(INDEX('2. GRI Pricing Inputs'!$C$97:$AI$98,MATCH('3. GRI Pricing'!$V$16,'2. GRI Pricing Inputs'!$C$97:$C$98,0),MATCH('1. Accomodation'!X445,'2. GRI Pricing Inputs'!$C$97:$AI$97,0)),0)</f>
        <v>0</v>
      </c>
      <c r="W441" s="273">
        <f>IFERROR(INDEX('2. GRI Pricing Inputs'!$C$104:$AI$105,MATCH('3. GRI Pricing'!$W$16,'2. GRI Pricing Inputs'!$C$104:$C$105,0),MATCH('1. Accomodation'!Y445,'2. GRI Pricing Inputs'!$C$104:$AI$104,0)),0)</f>
        <v>0</v>
      </c>
      <c r="X441" s="274"/>
      <c r="Y441" s="275">
        <f t="shared" si="13"/>
        <v>0</v>
      </c>
      <c r="Z441" s="276"/>
      <c r="AA441" s="276"/>
      <c r="AB441" s="276"/>
      <c r="AC441" s="272">
        <f>Y441*(1+'2. GRI Pricing Inputs'!$D$114)^(($AC$16-$AB$15)/365)</f>
        <v>0</v>
      </c>
      <c r="AD441" s="273">
        <f>AC441*(1+'2. GRI Pricing Inputs'!$D$114)^((AD$16-AC$16)/365)</f>
        <v>0</v>
      </c>
      <c r="AE441" s="273">
        <f>AD441*(1+'2. GRI Pricing Inputs'!$D$114)^((AE$16-AD$16)/365)</f>
        <v>0</v>
      </c>
      <c r="AF441" s="273">
        <f>AE441*(1+'2. GRI Pricing Inputs'!$D$114)^((AF$16-AE$16)/365)</f>
        <v>0</v>
      </c>
      <c r="AG441" s="273">
        <f>AF441*(1+'2. GRI Pricing Inputs'!$D$114)^((AG$16-AF$16)/365)</f>
        <v>0</v>
      </c>
      <c r="AH441" s="273">
        <f>AG441*(1+'2. GRI Pricing Inputs'!$D$114)^((AH$16-AG$16)/365)</f>
        <v>0</v>
      </c>
      <c r="AI441" s="273">
        <f>AH441*(1+'2. GRI Pricing Inputs'!$D$114)^((AI$16-AH$16)/365)</f>
        <v>0</v>
      </c>
      <c r="AJ441" s="273">
        <f>AI441*(1+'2. GRI Pricing Inputs'!$D$114)^((AJ$16-AI$16)/365)</f>
        <v>0</v>
      </c>
      <c r="AK441" s="273">
        <f>AJ441*(1+'2. GRI Pricing Inputs'!$D$114)^((AK$16-AJ$16)/365)</f>
        <v>0</v>
      </c>
      <c r="AL441" s="273">
        <f>AK441*(1+'2. GRI Pricing Inputs'!$D$114)^((AL$16-AK$16)/365)</f>
        <v>0</v>
      </c>
      <c r="AM441" s="273">
        <f>AL441*(1+'2. GRI Pricing Inputs'!$D$114)^((AM$16-AL$16)/365)</f>
        <v>0</v>
      </c>
      <c r="AN441" s="273">
        <f>AM441*(1+'2. GRI Pricing Inputs'!$D$114)^((AN$16-AM$16)/365)</f>
        <v>0</v>
      </c>
      <c r="AO441" s="273">
        <f>AN441*(1+'2. GRI Pricing Inputs'!$D$114)^((AO$16-AN$16)/365)</f>
        <v>0</v>
      </c>
    </row>
    <row r="442" spans="3:41" ht="12" x14ac:dyDescent="0.2">
      <c r="C442" s="76">
        <f>'1. Accomodation'!N446</f>
        <v>0</v>
      </c>
      <c r="D442" s="69">
        <f>'1. Accomodation'!P446</f>
        <v>0</v>
      </c>
      <c r="E442" s="69">
        <f>'1. Accomodation'!Q446</f>
        <v>0</v>
      </c>
      <c r="F442" s="77">
        <f>'1. Accomodation'!O446</f>
        <v>0</v>
      </c>
      <c r="G442" s="69">
        <f>'1. Accomodation'!R446</f>
        <v>0</v>
      </c>
      <c r="H442" s="69">
        <f>'1. Accomodation'!S446</f>
        <v>0</v>
      </c>
      <c r="I442" s="62"/>
      <c r="K442" s="272">
        <f>IFERROR(INDEX('2. GRI Pricing Inputs'!$C$15:$AI$16,MATCH($K$16,'2. GRI Pricing Inputs'!$C$15:$C$16,0),MATCH(D442,'2. GRI Pricing Inputs'!$C$15:$AI$15,0)),0)</f>
        <v>0</v>
      </c>
      <c r="L442" s="273">
        <f>IFERROR(INDEX('2. GRI Pricing Inputs'!$C$22:$AI$23,MATCH($L$16,'2. GRI Pricing Inputs'!$C$22:$C$23,0),MATCH(E442,'2. GRI Pricing Inputs'!$C$22:$AI$22,0)),0)</f>
        <v>0</v>
      </c>
      <c r="M442" s="328">
        <f>IF(AND('3. GRI Pricing'!$F442&gt;='2. GRI Pricing Inputs'!$D$33,'3. GRI Pricing'!$F442&lt;='2. GRI Pricing Inputs'!$E$33),'2. GRI Pricing Inputs'!$D$32,IF(AND('3. GRI Pricing'!$F442&gt;='2. GRI Pricing Inputs'!$F$33,'3. GRI Pricing'!$F442&lt;='2. GRI Pricing Inputs'!$G$33),'2. GRI Pricing Inputs'!$F$32,IF(AND('3. GRI Pricing'!$F442&gt;='2. GRI Pricing Inputs'!$H$33,'3. GRI Pricing'!$F442&lt;='2. GRI Pricing Inputs'!$I$33),'2. GRI Pricing Inputs'!$H$32,IF(AND('3. GRI Pricing'!$F442&gt;='2. GRI Pricing Inputs'!$J$33,'3. GRI Pricing'!$F442&lt;='2. GRI Pricing Inputs'!$K$33),'2. GRI Pricing Inputs'!$J$32,IF(AND('3. GRI Pricing'!$F442&gt;='2. GRI Pricing Inputs'!$L$33,'3. GRI Pricing'!$F442&lt;='2. GRI Pricing Inputs'!$M$33),'2. GRI Pricing Inputs'!$L$32,IF(AND('3. GRI Pricing'!$F442&gt;='2. GRI Pricing Inputs'!$N$33,'3. GRI Pricing'!$F442&lt;='2. GRI Pricing Inputs'!$O$33),'2. GRI Pricing Inputs'!$N$32,IF(AND('3. GRI Pricing'!$F442&gt;='2. GRI Pricing Inputs'!$P$33,'3. GRI Pricing'!$F442&lt;='2. GRI Pricing Inputs'!$Q$33),'2. GRI Pricing Inputs'!$P$32,IF(AND('3. GRI Pricing'!$F442&gt;='2. GRI Pricing Inputs'!$R$33,'3. GRI Pricing'!$F442&lt;='2. GRI Pricing Inputs'!$S$33),'2. GRI Pricing Inputs'!$R$32,IF(AND('3. GRI Pricing'!$F442&gt;='2. GRI Pricing Inputs'!$T$33,'3. GRI Pricing'!$F442&lt;='2. GRI Pricing Inputs'!$U$33),'2. GRI Pricing Inputs'!$T$32,IF(AND('3. GRI Pricing'!$F442&gt;='2. GRI Pricing Inputs'!$V$33,'3. GRI Pricing'!$F442&lt;='2. GRI Pricing Inputs'!$W$33),'2. GRI Pricing Inputs'!$V$32,IF(AND('3. GRI Pricing'!$F442&gt;='2. GRI Pricing Inputs'!$X$33,'3. GRI Pricing'!$F442&lt;='2. GRI Pricing Inputs'!$Y$33),'2. GRI Pricing Inputs'!$X$32,IF(AND('3. GRI Pricing'!$F442&gt;='2. GRI Pricing Inputs'!$Z$33,'3. GRI Pricing'!$F442&lt;='2. GRI Pricing Inputs'!$AA$33),'2. GRI Pricing Inputs'!$Z$32,IF(AND('3. GRI Pricing'!$F442&gt;='2. GRI Pricing Inputs'!$AB$33,'3. GRI Pricing'!$F442&lt;='2. GRI Pricing Inputs'!$AC$33),'2. GRI Pricing Inputs'!$AB$32,IF(AND('3. GRI Pricing'!$F442&gt;='2. GRI Pricing Inputs'!$AD$33,'3. GRI Pricing'!$F442&lt;='2. GRI Pricing Inputs'!$AE$33),'2. GRI Pricing Inputs'!$AD$32,IF(AND('3. GRI Pricing'!$F442&gt;='2. GRI Pricing Inputs'!$AF$33,'3. GRI Pricing'!$F442&lt;='2. GRI Pricing Inputs'!$AG$33),'2. GRI Pricing Inputs'!$AF$32,IF(AND('3. GRI Pricing'!$F442&gt;='2. GRI Pricing Inputs'!$AH$33,'3. GRI Pricing'!$F442&lt;='2. GRI Pricing Inputs'!$AI$33),'2. GRI Pricing Inputs'!$AH$32,0))))))))))))))))</f>
        <v>0</v>
      </c>
      <c r="N442" s="273" cm="1">
        <f t="array" ref="N442">IFERROR(INDEX('2. GRI Pricing Inputs'!$C$32:$AI$39,MATCH('3. GRI Pricing'!D442,'2. GRI Pricing Inputs'!$C$32:$C$39,0),(MATCH('3. GRI Pricing'!M442,'2. GRI Pricing Inputs'!$D$32:$AI$32,0)+1)),0)</f>
        <v>0</v>
      </c>
      <c r="O442" s="273">
        <f>IFERROR(INDEX('2. GRI Pricing Inputs'!$C$45:$AI$46,MATCH($O$16,'2. GRI Pricing Inputs'!$C$45:$C$46,0),MATCH(G442,'2. GRI Pricing Inputs'!$C$45:$AI$45,0)),0)</f>
        <v>0</v>
      </c>
      <c r="P442" s="273">
        <f>IFERROR(INDEX('2. GRI Pricing Inputs'!$C$53:$AI$54,MATCH('3. GRI Pricing'!$P$16,'2. GRI Pricing Inputs'!$C$53:$C$54,0),MATCH('3. GRI Pricing'!H442,'2. GRI Pricing Inputs'!$C$53:$AI$53,0)),0)</f>
        <v>0</v>
      </c>
      <c r="Q442" s="273">
        <f>IFERROR(INDEX('2. GRI Pricing Inputs'!$C$60:$AI$61,MATCH('3. GRI Pricing'!$Q$16,'2. GRI Pricing Inputs'!$C$60:$C$61,0),MATCH('1. Accomodation'!T446,'2. GRI Pricing Inputs'!$C$60:$AI$60,0)),0)</f>
        <v>0</v>
      </c>
      <c r="R442" s="273">
        <f>IFERROR(INDEX('2. GRI Pricing Inputs'!$C$67:$AI$68,MATCH('3. GRI Pricing'!$R$16,'2. GRI Pricing Inputs'!$C$67:$C$68,0),MATCH('1. Accomodation'!U446,'2. GRI Pricing Inputs'!$C$67:$AI$67,0)),0)</f>
        <v>0</v>
      </c>
      <c r="S442" s="273">
        <f>IF(D442=0,0,'2. GRI Pricing Inputs'!$AI$75)</f>
        <v>0</v>
      </c>
      <c r="T442" s="273">
        <f>IFERROR(INDEX('2. GRI Pricing Inputs'!$C$82:$AI$83,MATCH('3. GRI Pricing'!$T$16,'2. GRI Pricing Inputs'!$C$82:$C$83,0),MATCH('1. Accomodation'!V446,'2. GRI Pricing Inputs'!$C$82:$AI$82,0)),0)</f>
        <v>0</v>
      </c>
      <c r="U442" s="273">
        <f>IFERROR(INDEX('2. GRI Pricing Inputs'!$C$89:$AI$90,MATCH('3. GRI Pricing'!$U$16,'2. GRI Pricing Inputs'!$C$89:$C$90,0),MATCH('1. Accomodation'!W446,'2. GRI Pricing Inputs'!$C$89:$AI$89,0)),0)</f>
        <v>0</v>
      </c>
      <c r="V442" s="273">
        <f>IFERROR(INDEX('2. GRI Pricing Inputs'!$C$97:$AI$98,MATCH('3. GRI Pricing'!$V$16,'2. GRI Pricing Inputs'!$C$97:$C$98,0),MATCH('1. Accomodation'!X446,'2. GRI Pricing Inputs'!$C$97:$AI$97,0)),0)</f>
        <v>0</v>
      </c>
      <c r="W442" s="273">
        <f>IFERROR(INDEX('2. GRI Pricing Inputs'!$C$104:$AI$105,MATCH('3. GRI Pricing'!$W$16,'2. GRI Pricing Inputs'!$C$104:$C$105,0),MATCH('1. Accomodation'!Y446,'2. GRI Pricing Inputs'!$C$104:$AI$104,0)),0)</f>
        <v>0</v>
      </c>
      <c r="X442" s="274"/>
      <c r="Y442" s="275">
        <f t="shared" si="13"/>
        <v>0</v>
      </c>
      <c r="Z442" s="276"/>
      <c r="AA442" s="276"/>
      <c r="AB442" s="276"/>
      <c r="AC442" s="272">
        <f>Y442*(1+'2. GRI Pricing Inputs'!$D$114)^(($AC$16-$AB$15)/365)</f>
        <v>0</v>
      </c>
      <c r="AD442" s="273">
        <f>AC442*(1+'2. GRI Pricing Inputs'!$D$114)^((AD$16-AC$16)/365)</f>
        <v>0</v>
      </c>
      <c r="AE442" s="273">
        <f>AD442*(1+'2. GRI Pricing Inputs'!$D$114)^((AE$16-AD$16)/365)</f>
        <v>0</v>
      </c>
      <c r="AF442" s="273">
        <f>AE442*(1+'2. GRI Pricing Inputs'!$D$114)^((AF$16-AE$16)/365)</f>
        <v>0</v>
      </c>
      <c r="AG442" s="273">
        <f>AF442*(1+'2. GRI Pricing Inputs'!$D$114)^((AG$16-AF$16)/365)</f>
        <v>0</v>
      </c>
      <c r="AH442" s="273">
        <f>AG442*(1+'2. GRI Pricing Inputs'!$D$114)^((AH$16-AG$16)/365)</f>
        <v>0</v>
      </c>
      <c r="AI442" s="273">
        <f>AH442*(1+'2. GRI Pricing Inputs'!$D$114)^((AI$16-AH$16)/365)</f>
        <v>0</v>
      </c>
      <c r="AJ442" s="273">
        <f>AI442*(1+'2. GRI Pricing Inputs'!$D$114)^((AJ$16-AI$16)/365)</f>
        <v>0</v>
      </c>
      <c r="AK442" s="273">
        <f>AJ442*(1+'2. GRI Pricing Inputs'!$D$114)^((AK$16-AJ$16)/365)</f>
        <v>0</v>
      </c>
      <c r="AL442" s="273">
        <f>AK442*(1+'2. GRI Pricing Inputs'!$D$114)^((AL$16-AK$16)/365)</f>
        <v>0</v>
      </c>
      <c r="AM442" s="273">
        <f>AL442*(1+'2. GRI Pricing Inputs'!$D$114)^((AM$16-AL$16)/365)</f>
        <v>0</v>
      </c>
      <c r="AN442" s="273">
        <f>AM442*(1+'2. GRI Pricing Inputs'!$D$114)^((AN$16-AM$16)/365)</f>
        <v>0</v>
      </c>
      <c r="AO442" s="273">
        <f>AN442*(1+'2. GRI Pricing Inputs'!$D$114)^((AO$16-AN$16)/365)</f>
        <v>0</v>
      </c>
    </row>
    <row r="443" spans="3:41" ht="12" x14ac:dyDescent="0.2">
      <c r="C443" s="76">
        <f>'1. Accomodation'!N447</f>
        <v>0</v>
      </c>
      <c r="D443" s="69">
        <f>'1. Accomodation'!P447</f>
        <v>0</v>
      </c>
      <c r="E443" s="69">
        <f>'1. Accomodation'!Q447</f>
        <v>0</v>
      </c>
      <c r="F443" s="77">
        <f>'1. Accomodation'!O447</f>
        <v>0</v>
      </c>
      <c r="G443" s="69">
        <f>'1. Accomodation'!R447</f>
        <v>0</v>
      </c>
      <c r="H443" s="69">
        <f>'1. Accomodation'!S447</f>
        <v>0</v>
      </c>
      <c r="I443" s="62"/>
      <c r="K443" s="272">
        <f>IFERROR(INDEX('2. GRI Pricing Inputs'!$C$15:$AI$16,MATCH($K$16,'2. GRI Pricing Inputs'!$C$15:$C$16,0),MATCH(D443,'2. GRI Pricing Inputs'!$C$15:$AI$15,0)),0)</f>
        <v>0</v>
      </c>
      <c r="L443" s="273">
        <f>IFERROR(INDEX('2. GRI Pricing Inputs'!$C$22:$AI$23,MATCH($L$16,'2. GRI Pricing Inputs'!$C$22:$C$23,0),MATCH(E443,'2. GRI Pricing Inputs'!$C$22:$AI$22,0)),0)</f>
        <v>0</v>
      </c>
      <c r="M443" s="328">
        <f>IF(AND('3. GRI Pricing'!$F443&gt;='2. GRI Pricing Inputs'!$D$33,'3. GRI Pricing'!$F443&lt;='2. GRI Pricing Inputs'!$E$33),'2. GRI Pricing Inputs'!$D$32,IF(AND('3. GRI Pricing'!$F443&gt;='2. GRI Pricing Inputs'!$F$33,'3. GRI Pricing'!$F443&lt;='2. GRI Pricing Inputs'!$G$33),'2. GRI Pricing Inputs'!$F$32,IF(AND('3. GRI Pricing'!$F443&gt;='2. GRI Pricing Inputs'!$H$33,'3. GRI Pricing'!$F443&lt;='2. GRI Pricing Inputs'!$I$33),'2. GRI Pricing Inputs'!$H$32,IF(AND('3. GRI Pricing'!$F443&gt;='2. GRI Pricing Inputs'!$J$33,'3. GRI Pricing'!$F443&lt;='2. GRI Pricing Inputs'!$K$33),'2. GRI Pricing Inputs'!$J$32,IF(AND('3. GRI Pricing'!$F443&gt;='2. GRI Pricing Inputs'!$L$33,'3. GRI Pricing'!$F443&lt;='2. GRI Pricing Inputs'!$M$33),'2. GRI Pricing Inputs'!$L$32,IF(AND('3. GRI Pricing'!$F443&gt;='2. GRI Pricing Inputs'!$N$33,'3. GRI Pricing'!$F443&lt;='2. GRI Pricing Inputs'!$O$33),'2. GRI Pricing Inputs'!$N$32,IF(AND('3. GRI Pricing'!$F443&gt;='2. GRI Pricing Inputs'!$P$33,'3. GRI Pricing'!$F443&lt;='2. GRI Pricing Inputs'!$Q$33),'2. GRI Pricing Inputs'!$P$32,IF(AND('3. GRI Pricing'!$F443&gt;='2. GRI Pricing Inputs'!$R$33,'3. GRI Pricing'!$F443&lt;='2. GRI Pricing Inputs'!$S$33),'2. GRI Pricing Inputs'!$R$32,IF(AND('3. GRI Pricing'!$F443&gt;='2. GRI Pricing Inputs'!$T$33,'3. GRI Pricing'!$F443&lt;='2. GRI Pricing Inputs'!$U$33),'2. GRI Pricing Inputs'!$T$32,IF(AND('3. GRI Pricing'!$F443&gt;='2. GRI Pricing Inputs'!$V$33,'3. GRI Pricing'!$F443&lt;='2. GRI Pricing Inputs'!$W$33),'2. GRI Pricing Inputs'!$V$32,IF(AND('3. GRI Pricing'!$F443&gt;='2. GRI Pricing Inputs'!$X$33,'3. GRI Pricing'!$F443&lt;='2. GRI Pricing Inputs'!$Y$33),'2. GRI Pricing Inputs'!$X$32,IF(AND('3. GRI Pricing'!$F443&gt;='2. GRI Pricing Inputs'!$Z$33,'3. GRI Pricing'!$F443&lt;='2. GRI Pricing Inputs'!$AA$33),'2. GRI Pricing Inputs'!$Z$32,IF(AND('3. GRI Pricing'!$F443&gt;='2. GRI Pricing Inputs'!$AB$33,'3. GRI Pricing'!$F443&lt;='2. GRI Pricing Inputs'!$AC$33),'2. GRI Pricing Inputs'!$AB$32,IF(AND('3. GRI Pricing'!$F443&gt;='2. GRI Pricing Inputs'!$AD$33,'3. GRI Pricing'!$F443&lt;='2. GRI Pricing Inputs'!$AE$33),'2. GRI Pricing Inputs'!$AD$32,IF(AND('3. GRI Pricing'!$F443&gt;='2. GRI Pricing Inputs'!$AF$33,'3. GRI Pricing'!$F443&lt;='2. GRI Pricing Inputs'!$AG$33),'2. GRI Pricing Inputs'!$AF$32,IF(AND('3. GRI Pricing'!$F443&gt;='2. GRI Pricing Inputs'!$AH$33,'3. GRI Pricing'!$F443&lt;='2. GRI Pricing Inputs'!$AI$33),'2. GRI Pricing Inputs'!$AH$32,0))))))))))))))))</f>
        <v>0</v>
      </c>
      <c r="N443" s="273" cm="1">
        <f t="array" ref="N443">IFERROR(INDEX('2. GRI Pricing Inputs'!$C$32:$AI$39,MATCH('3. GRI Pricing'!D443,'2. GRI Pricing Inputs'!$C$32:$C$39,0),(MATCH('3. GRI Pricing'!M443,'2. GRI Pricing Inputs'!$D$32:$AI$32,0)+1)),0)</f>
        <v>0</v>
      </c>
      <c r="O443" s="273">
        <f>IFERROR(INDEX('2. GRI Pricing Inputs'!$C$45:$AI$46,MATCH($O$16,'2. GRI Pricing Inputs'!$C$45:$C$46,0),MATCH(G443,'2. GRI Pricing Inputs'!$C$45:$AI$45,0)),0)</f>
        <v>0</v>
      </c>
      <c r="P443" s="273">
        <f>IFERROR(INDEX('2. GRI Pricing Inputs'!$C$53:$AI$54,MATCH('3. GRI Pricing'!$P$16,'2. GRI Pricing Inputs'!$C$53:$C$54,0),MATCH('3. GRI Pricing'!H443,'2. GRI Pricing Inputs'!$C$53:$AI$53,0)),0)</f>
        <v>0</v>
      </c>
      <c r="Q443" s="273">
        <f>IFERROR(INDEX('2. GRI Pricing Inputs'!$C$60:$AI$61,MATCH('3. GRI Pricing'!$Q$16,'2. GRI Pricing Inputs'!$C$60:$C$61,0),MATCH('1. Accomodation'!T447,'2. GRI Pricing Inputs'!$C$60:$AI$60,0)),0)</f>
        <v>0</v>
      </c>
      <c r="R443" s="273">
        <f>IFERROR(INDEX('2. GRI Pricing Inputs'!$C$67:$AI$68,MATCH('3. GRI Pricing'!$R$16,'2. GRI Pricing Inputs'!$C$67:$C$68,0),MATCH('1. Accomodation'!U447,'2. GRI Pricing Inputs'!$C$67:$AI$67,0)),0)</f>
        <v>0</v>
      </c>
      <c r="S443" s="273">
        <f>IF(D443=0,0,'2. GRI Pricing Inputs'!$AI$75)</f>
        <v>0</v>
      </c>
      <c r="T443" s="273">
        <f>IFERROR(INDEX('2. GRI Pricing Inputs'!$C$82:$AI$83,MATCH('3. GRI Pricing'!$T$16,'2. GRI Pricing Inputs'!$C$82:$C$83,0),MATCH('1. Accomodation'!V447,'2. GRI Pricing Inputs'!$C$82:$AI$82,0)),0)</f>
        <v>0</v>
      </c>
      <c r="U443" s="273">
        <f>IFERROR(INDEX('2. GRI Pricing Inputs'!$C$89:$AI$90,MATCH('3. GRI Pricing'!$U$16,'2. GRI Pricing Inputs'!$C$89:$C$90,0),MATCH('1. Accomodation'!W447,'2. GRI Pricing Inputs'!$C$89:$AI$89,0)),0)</f>
        <v>0</v>
      </c>
      <c r="V443" s="273">
        <f>IFERROR(INDEX('2. GRI Pricing Inputs'!$C$97:$AI$98,MATCH('3. GRI Pricing'!$V$16,'2. GRI Pricing Inputs'!$C$97:$C$98,0),MATCH('1. Accomodation'!X447,'2. GRI Pricing Inputs'!$C$97:$AI$97,0)),0)</f>
        <v>0</v>
      </c>
      <c r="W443" s="273">
        <f>IFERROR(INDEX('2. GRI Pricing Inputs'!$C$104:$AI$105,MATCH('3. GRI Pricing'!$W$16,'2. GRI Pricing Inputs'!$C$104:$C$105,0),MATCH('1. Accomodation'!Y447,'2. GRI Pricing Inputs'!$C$104:$AI$104,0)),0)</f>
        <v>0</v>
      </c>
      <c r="X443" s="274"/>
      <c r="Y443" s="275">
        <f t="shared" si="13"/>
        <v>0</v>
      </c>
      <c r="Z443" s="276"/>
      <c r="AA443" s="276"/>
      <c r="AB443" s="276"/>
      <c r="AC443" s="272">
        <f>Y443*(1+'2. GRI Pricing Inputs'!$D$114)^(($AC$16-$AB$15)/365)</f>
        <v>0</v>
      </c>
      <c r="AD443" s="273">
        <f>AC443*(1+'2. GRI Pricing Inputs'!$D$114)^((AD$16-AC$16)/365)</f>
        <v>0</v>
      </c>
      <c r="AE443" s="273">
        <f>AD443*(1+'2. GRI Pricing Inputs'!$D$114)^((AE$16-AD$16)/365)</f>
        <v>0</v>
      </c>
      <c r="AF443" s="273">
        <f>AE443*(1+'2. GRI Pricing Inputs'!$D$114)^((AF$16-AE$16)/365)</f>
        <v>0</v>
      </c>
      <c r="AG443" s="273">
        <f>AF443*(1+'2. GRI Pricing Inputs'!$D$114)^((AG$16-AF$16)/365)</f>
        <v>0</v>
      </c>
      <c r="AH443" s="273">
        <f>AG443*(1+'2. GRI Pricing Inputs'!$D$114)^((AH$16-AG$16)/365)</f>
        <v>0</v>
      </c>
      <c r="AI443" s="273">
        <f>AH443*(1+'2. GRI Pricing Inputs'!$D$114)^((AI$16-AH$16)/365)</f>
        <v>0</v>
      </c>
      <c r="AJ443" s="273">
        <f>AI443*(1+'2. GRI Pricing Inputs'!$D$114)^((AJ$16-AI$16)/365)</f>
        <v>0</v>
      </c>
      <c r="AK443" s="273">
        <f>AJ443*(1+'2. GRI Pricing Inputs'!$D$114)^((AK$16-AJ$16)/365)</f>
        <v>0</v>
      </c>
      <c r="AL443" s="273">
        <f>AK443*(1+'2. GRI Pricing Inputs'!$D$114)^((AL$16-AK$16)/365)</f>
        <v>0</v>
      </c>
      <c r="AM443" s="273">
        <f>AL443*(1+'2. GRI Pricing Inputs'!$D$114)^((AM$16-AL$16)/365)</f>
        <v>0</v>
      </c>
      <c r="AN443" s="273">
        <f>AM443*(1+'2. GRI Pricing Inputs'!$D$114)^((AN$16-AM$16)/365)</f>
        <v>0</v>
      </c>
      <c r="AO443" s="273">
        <f>AN443*(1+'2. GRI Pricing Inputs'!$D$114)^((AO$16-AN$16)/365)</f>
        <v>0</v>
      </c>
    </row>
    <row r="444" spans="3:41" ht="12" x14ac:dyDescent="0.2">
      <c r="C444" s="76">
        <f>'1. Accomodation'!N448</f>
        <v>0</v>
      </c>
      <c r="D444" s="69">
        <f>'1. Accomodation'!P448</f>
        <v>0</v>
      </c>
      <c r="E444" s="69">
        <f>'1. Accomodation'!Q448</f>
        <v>0</v>
      </c>
      <c r="F444" s="77">
        <f>'1. Accomodation'!O448</f>
        <v>0</v>
      </c>
      <c r="G444" s="69">
        <f>'1. Accomodation'!R448</f>
        <v>0</v>
      </c>
      <c r="H444" s="69">
        <f>'1. Accomodation'!S448</f>
        <v>0</v>
      </c>
      <c r="I444" s="62"/>
      <c r="K444" s="272">
        <f>IFERROR(INDEX('2. GRI Pricing Inputs'!$C$15:$AI$16,MATCH($K$16,'2. GRI Pricing Inputs'!$C$15:$C$16,0),MATCH(D444,'2. GRI Pricing Inputs'!$C$15:$AI$15,0)),0)</f>
        <v>0</v>
      </c>
      <c r="L444" s="273">
        <f>IFERROR(INDEX('2. GRI Pricing Inputs'!$C$22:$AI$23,MATCH($L$16,'2. GRI Pricing Inputs'!$C$22:$C$23,0),MATCH(E444,'2. GRI Pricing Inputs'!$C$22:$AI$22,0)),0)</f>
        <v>0</v>
      </c>
      <c r="M444" s="328">
        <f>IF(AND('3. GRI Pricing'!$F444&gt;='2. GRI Pricing Inputs'!$D$33,'3. GRI Pricing'!$F444&lt;='2. GRI Pricing Inputs'!$E$33),'2. GRI Pricing Inputs'!$D$32,IF(AND('3. GRI Pricing'!$F444&gt;='2. GRI Pricing Inputs'!$F$33,'3. GRI Pricing'!$F444&lt;='2. GRI Pricing Inputs'!$G$33),'2. GRI Pricing Inputs'!$F$32,IF(AND('3. GRI Pricing'!$F444&gt;='2. GRI Pricing Inputs'!$H$33,'3. GRI Pricing'!$F444&lt;='2. GRI Pricing Inputs'!$I$33),'2. GRI Pricing Inputs'!$H$32,IF(AND('3. GRI Pricing'!$F444&gt;='2. GRI Pricing Inputs'!$J$33,'3. GRI Pricing'!$F444&lt;='2. GRI Pricing Inputs'!$K$33),'2. GRI Pricing Inputs'!$J$32,IF(AND('3. GRI Pricing'!$F444&gt;='2. GRI Pricing Inputs'!$L$33,'3. GRI Pricing'!$F444&lt;='2. GRI Pricing Inputs'!$M$33),'2. GRI Pricing Inputs'!$L$32,IF(AND('3. GRI Pricing'!$F444&gt;='2. GRI Pricing Inputs'!$N$33,'3. GRI Pricing'!$F444&lt;='2. GRI Pricing Inputs'!$O$33),'2. GRI Pricing Inputs'!$N$32,IF(AND('3. GRI Pricing'!$F444&gt;='2. GRI Pricing Inputs'!$P$33,'3. GRI Pricing'!$F444&lt;='2. GRI Pricing Inputs'!$Q$33),'2. GRI Pricing Inputs'!$P$32,IF(AND('3. GRI Pricing'!$F444&gt;='2. GRI Pricing Inputs'!$R$33,'3. GRI Pricing'!$F444&lt;='2. GRI Pricing Inputs'!$S$33),'2. GRI Pricing Inputs'!$R$32,IF(AND('3. GRI Pricing'!$F444&gt;='2. GRI Pricing Inputs'!$T$33,'3. GRI Pricing'!$F444&lt;='2. GRI Pricing Inputs'!$U$33),'2. GRI Pricing Inputs'!$T$32,IF(AND('3. GRI Pricing'!$F444&gt;='2. GRI Pricing Inputs'!$V$33,'3. GRI Pricing'!$F444&lt;='2. GRI Pricing Inputs'!$W$33),'2. GRI Pricing Inputs'!$V$32,IF(AND('3. GRI Pricing'!$F444&gt;='2. GRI Pricing Inputs'!$X$33,'3. GRI Pricing'!$F444&lt;='2. GRI Pricing Inputs'!$Y$33),'2. GRI Pricing Inputs'!$X$32,IF(AND('3. GRI Pricing'!$F444&gt;='2. GRI Pricing Inputs'!$Z$33,'3. GRI Pricing'!$F444&lt;='2. GRI Pricing Inputs'!$AA$33),'2. GRI Pricing Inputs'!$Z$32,IF(AND('3. GRI Pricing'!$F444&gt;='2. GRI Pricing Inputs'!$AB$33,'3. GRI Pricing'!$F444&lt;='2. GRI Pricing Inputs'!$AC$33),'2. GRI Pricing Inputs'!$AB$32,IF(AND('3. GRI Pricing'!$F444&gt;='2. GRI Pricing Inputs'!$AD$33,'3. GRI Pricing'!$F444&lt;='2. GRI Pricing Inputs'!$AE$33),'2. GRI Pricing Inputs'!$AD$32,IF(AND('3. GRI Pricing'!$F444&gt;='2. GRI Pricing Inputs'!$AF$33,'3. GRI Pricing'!$F444&lt;='2. GRI Pricing Inputs'!$AG$33),'2. GRI Pricing Inputs'!$AF$32,IF(AND('3. GRI Pricing'!$F444&gt;='2. GRI Pricing Inputs'!$AH$33,'3. GRI Pricing'!$F444&lt;='2. GRI Pricing Inputs'!$AI$33),'2. GRI Pricing Inputs'!$AH$32,0))))))))))))))))</f>
        <v>0</v>
      </c>
      <c r="N444" s="273" cm="1">
        <f t="array" ref="N444">IFERROR(INDEX('2. GRI Pricing Inputs'!$C$32:$AI$39,MATCH('3. GRI Pricing'!D444,'2. GRI Pricing Inputs'!$C$32:$C$39,0),(MATCH('3. GRI Pricing'!M444,'2. GRI Pricing Inputs'!$D$32:$AI$32,0)+1)),0)</f>
        <v>0</v>
      </c>
      <c r="O444" s="273">
        <f>IFERROR(INDEX('2. GRI Pricing Inputs'!$C$45:$AI$46,MATCH($O$16,'2. GRI Pricing Inputs'!$C$45:$C$46,0),MATCH(G444,'2. GRI Pricing Inputs'!$C$45:$AI$45,0)),0)</f>
        <v>0</v>
      </c>
      <c r="P444" s="273">
        <f>IFERROR(INDEX('2. GRI Pricing Inputs'!$C$53:$AI$54,MATCH('3. GRI Pricing'!$P$16,'2. GRI Pricing Inputs'!$C$53:$C$54,0),MATCH('3. GRI Pricing'!H444,'2. GRI Pricing Inputs'!$C$53:$AI$53,0)),0)</f>
        <v>0</v>
      </c>
      <c r="Q444" s="273">
        <f>IFERROR(INDEX('2. GRI Pricing Inputs'!$C$60:$AI$61,MATCH('3. GRI Pricing'!$Q$16,'2. GRI Pricing Inputs'!$C$60:$C$61,0),MATCH('1. Accomodation'!T448,'2. GRI Pricing Inputs'!$C$60:$AI$60,0)),0)</f>
        <v>0</v>
      </c>
      <c r="R444" s="273">
        <f>IFERROR(INDEX('2. GRI Pricing Inputs'!$C$67:$AI$68,MATCH('3. GRI Pricing'!$R$16,'2. GRI Pricing Inputs'!$C$67:$C$68,0),MATCH('1. Accomodation'!U448,'2. GRI Pricing Inputs'!$C$67:$AI$67,0)),0)</f>
        <v>0</v>
      </c>
      <c r="S444" s="273">
        <f>IF(D444=0,0,'2. GRI Pricing Inputs'!$AI$75)</f>
        <v>0</v>
      </c>
      <c r="T444" s="273">
        <f>IFERROR(INDEX('2. GRI Pricing Inputs'!$C$82:$AI$83,MATCH('3. GRI Pricing'!$T$16,'2. GRI Pricing Inputs'!$C$82:$C$83,0),MATCH('1. Accomodation'!V448,'2. GRI Pricing Inputs'!$C$82:$AI$82,0)),0)</f>
        <v>0</v>
      </c>
      <c r="U444" s="273">
        <f>IFERROR(INDEX('2. GRI Pricing Inputs'!$C$89:$AI$90,MATCH('3. GRI Pricing'!$U$16,'2. GRI Pricing Inputs'!$C$89:$C$90,0),MATCH('1. Accomodation'!W448,'2. GRI Pricing Inputs'!$C$89:$AI$89,0)),0)</f>
        <v>0</v>
      </c>
      <c r="V444" s="273">
        <f>IFERROR(INDEX('2. GRI Pricing Inputs'!$C$97:$AI$98,MATCH('3. GRI Pricing'!$V$16,'2. GRI Pricing Inputs'!$C$97:$C$98,0),MATCH('1. Accomodation'!X448,'2. GRI Pricing Inputs'!$C$97:$AI$97,0)),0)</f>
        <v>0</v>
      </c>
      <c r="W444" s="273">
        <f>IFERROR(INDEX('2. GRI Pricing Inputs'!$C$104:$AI$105,MATCH('3. GRI Pricing'!$W$16,'2. GRI Pricing Inputs'!$C$104:$C$105,0),MATCH('1. Accomodation'!Y448,'2. GRI Pricing Inputs'!$C$104:$AI$104,0)),0)</f>
        <v>0</v>
      </c>
      <c r="X444" s="274"/>
      <c r="Y444" s="275">
        <f t="shared" si="13"/>
        <v>0</v>
      </c>
      <c r="Z444" s="276"/>
      <c r="AA444" s="276"/>
      <c r="AB444" s="276"/>
      <c r="AC444" s="272">
        <f>Y444*(1+'2. GRI Pricing Inputs'!$D$114)^(($AC$16-$AB$15)/365)</f>
        <v>0</v>
      </c>
      <c r="AD444" s="273">
        <f>AC444*(1+'2. GRI Pricing Inputs'!$D$114)^((AD$16-AC$16)/365)</f>
        <v>0</v>
      </c>
      <c r="AE444" s="273">
        <f>AD444*(1+'2. GRI Pricing Inputs'!$D$114)^((AE$16-AD$16)/365)</f>
        <v>0</v>
      </c>
      <c r="AF444" s="273">
        <f>AE444*(1+'2. GRI Pricing Inputs'!$D$114)^((AF$16-AE$16)/365)</f>
        <v>0</v>
      </c>
      <c r="AG444" s="273">
        <f>AF444*(1+'2. GRI Pricing Inputs'!$D$114)^((AG$16-AF$16)/365)</f>
        <v>0</v>
      </c>
      <c r="AH444" s="273">
        <f>AG444*(1+'2. GRI Pricing Inputs'!$D$114)^((AH$16-AG$16)/365)</f>
        <v>0</v>
      </c>
      <c r="AI444" s="273">
        <f>AH444*(1+'2. GRI Pricing Inputs'!$D$114)^((AI$16-AH$16)/365)</f>
        <v>0</v>
      </c>
      <c r="AJ444" s="273">
        <f>AI444*(1+'2. GRI Pricing Inputs'!$D$114)^((AJ$16-AI$16)/365)</f>
        <v>0</v>
      </c>
      <c r="AK444" s="273">
        <f>AJ444*(1+'2. GRI Pricing Inputs'!$D$114)^((AK$16-AJ$16)/365)</f>
        <v>0</v>
      </c>
      <c r="AL444" s="273">
        <f>AK444*(1+'2. GRI Pricing Inputs'!$D$114)^((AL$16-AK$16)/365)</f>
        <v>0</v>
      </c>
      <c r="AM444" s="273">
        <f>AL444*(1+'2. GRI Pricing Inputs'!$D$114)^((AM$16-AL$16)/365)</f>
        <v>0</v>
      </c>
      <c r="AN444" s="273">
        <f>AM444*(1+'2. GRI Pricing Inputs'!$D$114)^((AN$16-AM$16)/365)</f>
        <v>0</v>
      </c>
      <c r="AO444" s="273">
        <f>AN444*(1+'2. GRI Pricing Inputs'!$D$114)^((AO$16-AN$16)/365)</f>
        <v>0</v>
      </c>
    </row>
    <row r="445" spans="3:41" ht="12" x14ac:dyDescent="0.2">
      <c r="C445" s="76">
        <f>'1. Accomodation'!N449</f>
        <v>0</v>
      </c>
      <c r="D445" s="69">
        <f>'1. Accomodation'!P449</f>
        <v>0</v>
      </c>
      <c r="E445" s="69">
        <f>'1. Accomodation'!Q449</f>
        <v>0</v>
      </c>
      <c r="F445" s="77">
        <f>'1. Accomodation'!O449</f>
        <v>0</v>
      </c>
      <c r="G445" s="69">
        <f>'1. Accomodation'!R449</f>
        <v>0</v>
      </c>
      <c r="H445" s="69">
        <f>'1. Accomodation'!S449</f>
        <v>0</v>
      </c>
      <c r="I445" s="62"/>
      <c r="K445" s="272">
        <f>IFERROR(INDEX('2. GRI Pricing Inputs'!$C$15:$AI$16,MATCH($K$16,'2. GRI Pricing Inputs'!$C$15:$C$16,0),MATCH(D445,'2. GRI Pricing Inputs'!$C$15:$AI$15,0)),0)</f>
        <v>0</v>
      </c>
      <c r="L445" s="273">
        <f>IFERROR(INDEX('2. GRI Pricing Inputs'!$C$22:$AI$23,MATCH($L$16,'2. GRI Pricing Inputs'!$C$22:$C$23,0),MATCH(E445,'2. GRI Pricing Inputs'!$C$22:$AI$22,0)),0)</f>
        <v>0</v>
      </c>
      <c r="M445" s="328">
        <f>IF(AND('3. GRI Pricing'!$F445&gt;='2. GRI Pricing Inputs'!$D$33,'3. GRI Pricing'!$F445&lt;='2. GRI Pricing Inputs'!$E$33),'2. GRI Pricing Inputs'!$D$32,IF(AND('3. GRI Pricing'!$F445&gt;='2. GRI Pricing Inputs'!$F$33,'3. GRI Pricing'!$F445&lt;='2. GRI Pricing Inputs'!$G$33),'2. GRI Pricing Inputs'!$F$32,IF(AND('3. GRI Pricing'!$F445&gt;='2. GRI Pricing Inputs'!$H$33,'3. GRI Pricing'!$F445&lt;='2. GRI Pricing Inputs'!$I$33),'2. GRI Pricing Inputs'!$H$32,IF(AND('3. GRI Pricing'!$F445&gt;='2. GRI Pricing Inputs'!$J$33,'3. GRI Pricing'!$F445&lt;='2. GRI Pricing Inputs'!$K$33),'2. GRI Pricing Inputs'!$J$32,IF(AND('3. GRI Pricing'!$F445&gt;='2. GRI Pricing Inputs'!$L$33,'3. GRI Pricing'!$F445&lt;='2. GRI Pricing Inputs'!$M$33),'2. GRI Pricing Inputs'!$L$32,IF(AND('3. GRI Pricing'!$F445&gt;='2. GRI Pricing Inputs'!$N$33,'3. GRI Pricing'!$F445&lt;='2. GRI Pricing Inputs'!$O$33),'2. GRI Pricing Inputs'!$N$32,IF(AND('3. GRI Pricing'!$F445&gt;='2. GRI Pricing Inputs'!$P$33,'3. GRI Pricing'!$F445&lt;='2. GRI Pricing Inputs'!$Q$33),'2. GRI Pricing Inputs'!$P$32,IF(AND('3. GRI Pricing'!$F445&gt;='2. GRI Pricing Inputs'!$R$33,'3. GRI Pricing'!$F445&lt;='2. GRI Pricing Inputs'!$S$33),'2. GRI Pricing Inputs'!$R$32,IF(AND('3. GRI Pricing'!$F445&gt;='2. GRI Pricing Inputs'!$T$33,'3. GRI Pricing'!$F445&lt;='2. GRI Pricing Inputs'!$U$33),'2. GRI Pricing Inputs'!$T$32,IF(AND('3. GRI Pricing'!$F445&gt;='2. GRI Pricing Inputs'!$V$33,'3. GRI Pricing'!$F445&lt;='2. GRI Pricing Inputs'!$W$33),'2. GRI Pricing Inputs'!$V$32,IF(AND('3. GRI Pricing'!$F445&gt;='2. GRI Pricing Inputs'!$X$33,'3. GRI Pricing'!$F445&lt;='2. GRI Pricing Inputs'!$Y$33),'2. GRI Pricing Inputs'!$X$32,IF(AND('3. GRI Pricing'!$F445&gt;='2. GRI Pricing Inputs'!$Z$33,'3. GRI Pricing'!$F445&lt;='2. GRI Pricing Inputs'!$AA$33),'2. GRI Pricing Inputs'!$Z$32,IF(AND('3. GRI Pricing'!$F445&gt;='2. GRI Pricing Inputs'!$AB$33,'3. GRI Pricing'!$F445&lt;='2. GRI Pricing Inputs'!$AC$33),'2. GRI Pricing Inputs'!$AB$32,IF(AND('3. GRI Pricing'!$F445&gt;='2. GRI Pricing Inputs'!$AD$33,'3. GRI Pricing'!$F445&lt;='2. GRI Pricing Inputs'!$AE$33),'2. GRI Pricing Inputs'!$AD$32,IF(AND('3. GRI Pricing'!$F445&gt;='2. GRI Pricing Inputs'!$AF$33,'3. GRI Pricing'!$F445&lt;='2. GRI Pricing Inputs'!$AG$33),'2. GRI Pricing Inputs'!$AF$32,IF(AND('3. GRI Pricing'!$F445&gt;='2. GRI Pricing Inputs'!$AH$33,'3. GRI Pricing'!$F445&lt;='2. GRI Pricing Inputs'!$AI$33),'2. GRI Pricing Inputs'!$AH$32,0))))))))))))))))</f>
        <v>0</v>
      </c>
      <c r="N445" s="273" cm="1">
        <f t="array" ref="N445">IFERROR(INDEX('2. GRI Pricing Inputs'!$C$32:$AI$39,MATCH('3. GRI Pricing'!D445,'2. GRI Pricing Inputs'!$C$32:$C$39,0),(MATCH('3. GRI Pricing'!M445,'2. GRI Pricing Inputs'!$D$32:$AI$32,0)+1)),0)</f>
        <v>0</v>
      </c>
      <c r="O445" s="273">
        <f>IFERROR(INDEX('2. GRI Pricing Inputs'!$C$45:$AI$46,MATCH($O$16,'2. GRI Pricing Inputs'!$C$45:$C$46,0),MATCH(G445,'2. GRI Pricing Inputs'!$C$45:$AI$45,0)),0)</f>
        <v>0</v>
      </c>
      <c r="P445" s="273">
        <f>IFERROR(INDEX('2. GRI Pricing Inputs'!$C$53:$AI$54,MATCH('3. GRI Pricing'!$P$16,'2. GRI Pricing Inputs'!$C$53:$C$54,0),MATCH('3. GRI Pricing'!H445,'2. GRI Pricing Inputs'!$C$53:$AI$53,0)),0)</f>
        <v>0</v>
      </c>
      <c r="Q445" s="273">
        <f>IFERROR(INDEX('2. GRI Pricing Inputs'!$C$60:$AI$61,MATCH('3. GRI Pricing'!$Q$16,'2. GRI Pricing Inputs'!$C$60:$C$61,0),MATCH('1. Accomodation'!T449,'2. GRI Pricing Inputs'!$C$60:$AI$60,0)),0)</f>
        <v>0</v>
      </c>
      <c r="R445" s="273">
        <f>IFERROR(INDEX('2. GRI Pricing Inputs'!$C$67:$AI$68,MATCH('3. GRI Pricing'!$R$16,'2. GRI Pricing Inputs'!$C$67:$C$68,0),MATCH('1. Accomodation'!U449,'2. GRI Pricing Inputs'!$C$67:$AI$67,0)),0)</f>
        <v>0</v>
      </c>
      <c r="S445" s="273">
        <f>IF(D445=0,0,'2. GRI Pricing Inputs'!$AI$75)</f>
        <v>0</v>
      </c>
      <c r="T445" s="273">
        <f>IFERROR(INDEX('2. GRI Pricing Inputs'!$C$82:$AI$83,MATCH('3. GRI Pricing'!$T$16,'2. GRI Pricing Inputs'!$C$82:$C$83,0),MATCH('1. Accomodation'!V449,'2. GRI Pricing Inputs'!$C$82:$AI$82,0)),0)</f>
        <v>0</v>
      </c>
      <c r="U445" s="273">
        <f>IFERROR(INDEX('2. GRI Pricing Inputs'!$C$89:$AI$90,MATCH('3. GRI Pricing'!$U$16,'2. GRI Pricing Inputs'!$C$89:$C$90,0),MATCH('1. Accomodation'!W449,'2. GRI Pricing Inputs'!$C$89:$AI$89,0)),0)</f>
        <v>0</v>
      </c>
      <c r="V445" s="273">
        <f>IFERROR(INDEX('2. GRI Pricing Inputs'!$C$97:$AI$98,MATCH('3. GRI Pricing'!$V$16,'2. GRI Pricing Inputs'!$C$97:$C$98,0),MATCH('1. Accomodation'!X449,'2. GRI Pricing Inputs'!$C$97:$AI$97,0)),0)</f>
        <v>0</v>
      </c>
      <c r="W445" s="273">
        <f>IFERROR(INDEX('2. GRI Pricing Inputs'!$C$104:$AI$105,MATCH('3. GRI Pricing'!$W$16,'2. GRI Pricing Inputs'!$C$104:$C$105,0),MATCH('1. Accomodation'!Y449,'2. GRI Pricing Inputs'!$C$104:$AI$104,0)),0)</f>
        <v>0</v>
      </c>
      <c r="X445" s="274"/>
      <c r="Y445" s="275">
        <f t="shared" si="13"/>
        <v>0</v>
      </c>
      <c r="Z445" s="276"/>
      <c r="AA445" s="276"/>
      <c r="AB445" s="276"/>
      <c r="AC445" s="272">
        <f>Y445*(1+'2. GRI Pricing Inputs'!$D$114)^(($AC$16-$AB$15)/365)</f>
        <v>0</v>
      </c>
      <c r="AD445" s="273">
        <f>AC445*(1+'2. GRI Pricing Inputs'!$D$114)^((AD$16-AC$16)/365)</f>
        <v>0</v>
      </c>
      <c r="AE445" s="273">
        <f>AD445*(1+'2. GRI Pricing Inputs'!$D$114)^((AE$16-AD$16)/365)</f>
        <v>0</v>
      </c>
      <c r="AF445" s="273">
        <f>AE445*(1+'2. GRI Pricing Inputs'!$D$114)^((AF$16-AE$16)/365)</f>
        <v>0</v>
      </c>
      <c r="AG445" s="273">
        <f>AF445*(1+'2. GRI Pricing Inputs'!$D$114)^((AG$16-AF$16)/365)</f>
        <v>0</v>
      </c>
      <c r="AH445" s="273">
        <f>AG445*(1+'2. GRI Pricing Inputs'!$D$114)^((AH$16-AG$16)/365)</f>
        <v>0</v>
      </c>
      <c r="AI445" s="273">
        <f>AH445*(1+'2. GRI Pricing Inputs'!$D$114)^((AI$16-AH$16)/365)</f>
        <v>0</v>
      </c>
      <c r="AJ445" s="273">
        <f>AI445*(1+'2. GRI Pricing Inputs'!$D$114)^((AJ$16-AI$16)/365)</f>
        <v>0</v>
      </c>
      <c r="AK445" s="273">
        <f>AJ445*(1+'2. GRI Pricing Inputs'!$D$114)^((AK$16-AJ$16)/365)</f>
        <v>0</v>
      </c>
      <c r="AL445" s="273">
        <f>AK445*(1+'2. GRI Pricing Inputs'!$D$114)^((AL$16-AK$16)/365)</f>
        <v>0</v>
      </c>
      <c r="AM445" s="273">
        <f>AL445*(1+'2. GRI Pricing Inputs'!$D$114)^((AM$16-AL$16)/365)</f>
        <v>0</v>
      </c>
      <c r="AN445" s="273">
        <f>AM445*(1+'2. GRI Pricing Inputs'!$D$114)^((AN$16-AM$16)/365)</f>
        <v>0</v>
      </c>
      <c r="AO445" s="273">
        <f>AN445*(1+'2. GRI Pricing Inputs'!$D$114)^((AO$16-AN$16)/365)</f>
        <v>0</v>
      </c>
    </row>
    <row r="446" spans="3:41" ht="12" x14ac:dyDescent="0.2">
      <c r="C446" s="76">
        <f>'1. Accomodation'!N450</f>
        <v>0</v>
      </c>
      <c r="D446" s="69">
        <f>'1. Accomodation'!P450</f>
        <v>0</v>
      </c>
      <c r="E446" s="69">
        <f>'1. Accomodation'!Q450</f>
        <v>0</v>
      </c>
      <c r="F446" s="77">
        <f>'1. Accomodation'!O450</f>
        <v>0</v>
      </c>
      <c r="G446" s="69">
        <f>'1. Accomodation'!R450</f>
        <v>0</v>
      </c>
      <c r="H446" s="69">
        <f>'1. Accomodation'!S450</f>
        <v>0</v>
      </c>
      <c r="I446" s="62"/>
      <c r="K446" s="272">
        <f>IFERROR(INDEX('2. GRI Pricing Inputs'!$C$15:$AI$16,MATCH($K$16,'2. GRI Pricing Inputs'!$C$15:$C$16,0),MATCH(D446,'2. GRI Pricing Inputs'!$C$15:$AI$15,0)),0)</f>
        <v>0</v>
      </c>
      <c r="L446" s="273">
        <f>IFERROR(INDEX('2. GRI Pricing Inputs'!$C$22:$AI$23,MATCH($L$16,'2. GRI Pricing Inputs'!$C$22:$C$23,0),MATCH(E446,'2. GRI Pricing Inputs'!$C$22:$AI$22,0)),0)</f>
        <v>0</v>
      </c>
      <c r="M446" s="328">
        <f>IF(AND('3. GRI Pricing'!$F446&gt;='2. GRI Pricing Inputs'!$D$33,'3. GRI Pricing'!$F446&lt;='2. GRI Pricing Inputs'!$E$33),'2. GRI Pricing Inputs'!$D$32,IF(AND('3. GRI Pricing'!$F446&gt;='2. GRI Pricing Inputs'!$F$33,'3. GRI Pricing'!$F446&lt;='2. GRI Pricing Inputs'!$G$33),'2. GRI Pricing Inputs'!$F$32,IF(AND('3. GRI Pricing'!$F446&gt;='2. GRI Pricing Inputs'!$H$33,'3. GRI Pricing'!$F446&lt;='2. GRI Pricing Inputs'!$I$33),'2. GRI Pricing Inputs'!$H$32,IF(AND('3. GRI Pricing'!$F446&gt;='2. GRI Pricing Inputs'!$J$33,'3. GRI Pricing'!$F446&lt;='2. GRI Pricing Inputs'!$K$33),'2. GRI Pricing Inputs'!$J$32,IF(AND('3. GRI Pricing'!$F446&gt;='2. GRI Pricing Inputs'!$L$33,'3. GRI Pricing'!$F446&lt;='2. GRI Pricing Inputs'!$M$33),'2. GRI Pricing Inputs'!$L$32,IF(AND('3. GRI Pricing'!$F446&gt;='2. GRI Pricing Inputs'!$N$33,'3. GRI Pricing'!$F446&lt;='2. GRI Pricing Inputs'!$O$33),'2. GRI Pricing Inputs'!$N$32,IF(AND('3. GRI Pricing'!$F446&gt;='2. GRI Pricing Inputs'!$P$33,'3. GRI Pricing'!$F446&lt;='2. GRI Pricing Inputs'!$Q$33),'2. GRI Pricing Inputs'!$P$32,IF(AND('3. GRI Pricing'!$F446&gt;='2. GRI Pricing Inputs'!$R$33,'3. GRI Pricing'!$F446&lt;='2. GRI Pricing Inputs'!$S$33),'2. GRI Pricing Inputs'!$R$32,IF(AND('3. GRI Pricing'!$F446&gt;='2. GRI Pricing Inputs'!$T$33,'3. GRI Pricing'!$F446&lt;='2. GRI Pricing Inputs'!$U$33),'2. GRI Pricing Inputs'!$T$32,IF(AND('3. GRI Pricing'!$F446&gt;='2. GRI Pricing Inputs'!$V$33,'3. GRI Pricing'!$F446&lt;='2. GRI Pricing Inputs'!$W$33),'2. GRI Pricing Inputs'!$V$32,IF(AND('3. GRI Pricing'!$F446&gt;='2. GRI Pricing Inputs'!$X$33,'3. GRI Pricing'!$F446&lt;='2. GRI Pricing Inputs'!$Y$33),'2. GRI Pricing Inputs'!$X$32,IF(AND('3. GRI Pricing'!$F446&gt;='2. GRI Pricing Inputs'!$Z$33,'3. GRI Pricing'!$F446&lt;='2. GRI Pricing Inputs'!$AA$33),'2. GRI Pricing Inputs'!$Z$32,IF(AND('3. GRI Pricing'!$F446&gt;='2. GRI Pricing Inputs'!$AB$33,'3. GRI Pricing'!$F446&lt;='2. GRI Pricing Inputs'!$AC$33),'2. GRI Pricing Inputs'!$AB$32,IF(AND('3. GRI Pricing'!$F446&gt;='2. GRI Pricing Inputs'!$AD$33,'3. GRI Pricing'!$F446&lt;='2. GRI Pricing Inputs'!$AE$33),'2. GRI Pricing Inputs'!$AD$32,IF(AND('3. GRI Pricing'!$F446&gt;='2. GRI Pricing Inputs'!$AF$33,'3. GRI Pricing'!$F446&lt;='2. GRI Pricing Inputs'!$AG$33),'2. GRI Pricing Inputs'!$AF$32,IF(AND('3. GRI Pricing'!$F446&gt;='2. GRI Pricing Inputs'!$AH$33,'3. GRI Pricing'!$F446&lt;='2. GRI Pricing Inputs'!$AI$33),'2. GRI Pricing Inputs'!$AH$32,0))))))))))))))))</f>
        <v>0</v>
      </c>
      <c r="N446" s="273" cm="1">
        <f t="array" ref="N446">IFERROR(INDEX('2. GRI Pricing Inputs'!$C$32:$AI$39,MATCH('3. GRI Pricing'!D446,'2. GRI Pricing Inputs'!$C$32:$C$39,0),(MATCH('3. GRI Pricing'!M446,'2. GRI Pricing Inputs'!$D$32:$AI$32,0)+1)),0)</f>
        <v>0</v>
      </c>
      <c r="O446" s="273">
        <f>IFERROR(INDEX('2. GRI Pricing Inputs'!$C$45:$AI$46,MATCH($O$16,'2. GRI Pricing Inputs'!$C$45:$C$46,0),MATCH(G446,'2. GRI Pricing Inputs'!$C$45:$AI$45,0)),0)</f>
        <v>0</v>
      </c>
      <c r="P446" s="273">
        <f>IFERROR(INDEX('2. GRI Pricing Inputs'!$C$53:$AI$54,MATCH('3. GRI Pricing'!$P$16,'2. GRI Pricing Inputs'!$C$53:$C$54,0),MATCH('3. GRI Pricing'!H446,'2. GRI Pricing Inputs'!$C$53:$AI$53,0)),0)</f>
        <v>0</v>
      </c>
      <c r="Q446" s="273">
        <f>IFERROR(INDEX('2. GRI Pricing Inputs'!$C$60:$AI$61,MATCH('3. GRI Pricing'!$Q$16,'2. GRI Pricing Inputs'!$C$60:$C$61,0),MATCH('1. Accomodation'!T450,'2. GRI Pricing Inputs'!$C$60:$AI$60,0)),0)</f>
        <v>0</v>
      </c>
      <c r="R446" s="273">
        <f>IFERROR(INDEX('2. GRI Pricing Inputs'!$C$67:$AI$68,MATCH('3. GRI Pricing'!$R$16,'2. GRI Pricing Inputs'!$C$67:$C$68,0),MATCH('1. Accomodation'!U450,'2. GRI Pricing Inputs'!$C$67:$AI$67,0)),0)</f>
        <v>0</v>
      </c>
      <c r="S446" s="273">
        <f>IF(D446=0,0,'2. GRI Pricing Inputs'!$AI$75)</f>
        <v>0</v>
      </c>
      <c r="T446" s="273">
        <f>IFERROR(INDEX('2. GRI Pricing Inputs'!$C$82:$AI$83,MATCH('3. GRI Pricing'!$T$16,'2. GRI Pricing Inputs'!$C$82:$C$83,0),MATCH('1. Accomodation'!V450,'2. GRI Pricing Inputs'!$C$82:$AI$82,0)),0)</f>
        <v>0</v>
      </c>
      <c r="U446" s="273">
        <f>IFERROR(INDEX('2. GRI Pricing Inputs'!$C$89:$AI$90,MATCH('3. GRI Pricing'!$U$16,'2. GRI Pricing Inputs'!$C$89:$C$90,0),MATCH('1. Accomodation'!W450,'2. GRI Pricing Inputs'!$C$89:$AI$89,0)),0)</f>
        <v>0</v>
      </c>
      <c r="V446" s="273">
        <f>IFERROR(INDEX('2. GRI Pricing Inputs'!$C$97:$AI$98,MATCH('3. GRI Pricing'!$V$16,'2. GRI Pricing Inputs'!$C$97:$C$98,0),MATCH('1. Accomodation'!X450,'2. GRI Pricing Inputs'!$C$97:$AI$97,0)),0)</f>
        <v>0</v>
      </c>
      <c r="W446" s="273">
        <f>IFERROR(INDEX('2. GRI Pricing Inputs'!$C$104:$AI$105,MATCH('3. GRI Pricing'!$W$16,'2. GRI Pricing Inputs'!$C$104:$C$105,0),MATCH('1. Accomodation'!Y450,'2. GRI Pricing Inputs'!$C$104:$AI$104,0)),0)</f>
        <v>0</v>
      </c>
      <c r="X446" s="274"/>
      <c r="Y446" s="275">
        <f t="shared" si="13"/>
        <v>0</v>
      </c>
      <c r="Z446" s="276"/>
      <c r="AA446" s="276"/>
      <c r="AB446" s="276"/>
      <c r="AC446" s="272">
        <f>Y446*(1+'2. GRI Pricing Inputs'!$D$114)^(($AC$16-$AB$15)/365)</f>
        <v>0</v>
      </c>
      <c r="AD446" s="273">
        <f>AC446*(1+'2. GRI Pricing Inputs'!$D$114)^((AD$16-AC$16)/365)</f>
        <v>0</v>
      </c>
      <c r="AE446" s="273">
        <f>AD446*(1+'2. GRI Pricing Inputs'!$D$114)^((AE$16-AD$16)/365)</f>
        <v>0</v>
      </c>
      <c r="AF446" s="273">
        <f>AE446*(1+'2. GRI Pricing Inputs'!$D$114)^((AF$16-AE$16)/365)</f>
        <v>0</v>
      </c>
      <c r="AG446" s="273">
        <f>AF446*(1+'2. GRI Pricing Inputs'!$D$114)^((AG$16-AF$16)/365)</f>
        <v>0</v>
      </c>
      <c r="AH446" s="273">
        <f>AG446*(1+'2. GRI Pricing Inputs'!$D$114)^((AH$16-AG$16)/365)</f>
        <v>0</v>
      </c>
      <c r="AI446" s="273">
        <f>AH446*(1+'2. GRI Pricing Inputs'!$D$114)^((AI$16-AH$16)/365)</f>
        <v>0</v>
      </c>
      <c r="AJ446" s="273">
        <f>AI446*(1+'2. GRI Pricing Inputs'!$D$114)^((AJ$16-AI$16)/365)</f>
        <v>0</v>
      </c>
      <c r="AK446" s="273">
        <f>AJ446*(1+'2. GRI Pricing Inputs'!$D$114)^((AK$16-AJ$16)/365)</f>
        <v>0</v>
      </c>
      <c r="AL446" s="273">
        <f>AK446*(1+'2. GRI Pricing Inputs'!$D$114)^((AL$16-AK$16)/365)</f>
        <v>0</v>
      </c>
      <c r="AM446" s="273">
        <f>AL446*(1+'2. GRI Pricing Inputs'!$D$114)^((AM$16-AL$16)/365)</f>
        <v>0</v>
      </c>
      <c r="AN446" s="273">
        <f>AM446*(1+'2. GRI Pricing Inputs'!$D$114)^((AN$16-AM$16)/365)</f>
        <v>0</v>
      </c>
      <c r="AO446" s="273">
        <f>AN446*(1+'2. GRI Pricing Inputs'!$D$114)^((AO$16-AN$16)/365)</f>
        <v>0</v>
      </c>
    </row>
    <row r="447" spans="3:41" ht="12" x14ac:dyDescent="0.2">
      <c r="C447" s="76">
        <f>'1. Accomodation'!N451</f>
        <v>0</v>
      </c>
      <c r="D447" s="69">
        <f>'1. Accomodation'!P451</f>
        <v>0</v>
      </c>
      <c r="E447" s="69">
        <f>'1. Accomodation'!Q451</f>
        <v>0</v>
      </c>
      <c r="F447" s="77">
        <f>'1. Accomodation'!O451</f>
        <v>0</v>
      </c>
      <c r="G447" s="69">
        <f>'1. Accomodation'!R451</f>
        <v>0</v>
      </c>
      <c r="H447" s="69">
        <f>'1. Accomodation'!S451</f>
        <v>0</v>
      </c>
      <c r="I447" s="62"/>
      <c r="K447" s="272">
        <f>IFERROR(INDEX('2. GRI Pricing Inputs'!$C$15:$AI$16,MATCH($K$16,'2. GRI Pricing Inputs'!$C$15:$C$16,0),MATCH(D447,'2. GRI Pricing Inputs'!$C$15:$AI$15,0)),0)</f>
        <v>0</v>
      </c>
      <c r="L447" s="273">
        <f>IFERROR(INDEX('2. GRI Pricing Inputs'!$C$22:$AI$23,MATCH($L$16,'2. GRI Pricing Inputs'!$C$22:$C$23,0),MATCH(E447,'2. GRI Pricing Inputs'!$C$22:$AI$22,0)),0)</f>
        <v>0</v>
      </c>
      <c r="M447" s="328">
        <f>IF(AND('3. GRI Pricing'!$F447&gt;='2. GRI Pricing Inputs'!$D$33,'3. GRI Pricing'!$F447&lt;='2. GRI Pricing Inputs'!$E$33),'2. GRI Pricing Inputs'!$D$32,IF(AND('3. GRI Pricing'!$F447&gt;='2. GRI Pricing Inputs'!$F$33,'3. GRI Pricing'!$F447&lt;='2. GRI Pricing Inputs'!$G$33),'2. GRI Pricing Inputs'!$F$32,IF(AND('3. GRI Pricing'!$F447&gt;='2. GRI Pricing Inputs'!$H$33,'3. GRI Pricing'!$F447&lt;='2. GRI Pricing Inputs'!$I$33),'2. GRI Pricing Inputs'!$H$32,IF(AND('3. GRI Pricing'!$F447&gt;='2. GRI Pricing Inputs'!$J$33,'3. GRI Pricing'!$F447&lt;='2. GRI Pricing Inputs'!$K$33),'2. GRI Pricing Inputs'!$J$32,IF(AND('3. GRI Pricing'!$F447&gt;='2. GRI Pricing Inputs'!$L$33,'3. GRI Pricing'!$F447&lt;='2. GRI Pricing Inputs'!$M$33),'2. GRI Pricing Inputs'!$L$32,IF(AND('3. GRI Pricing'!$F447&gt;='2. GRI Pricing Inputs'!$N$33,'3. GRI Pricing'!$F447&lt;='2. GRI Pricing Inputs'!$O$33),'2. GRI Pricing Inputs'!$N$32,IF(AND('3. GRI Pricing'!$F447&gt;='2. GRI Pricing Inputs'!$P$33,'3. GRI Pricing'!$F447&lt;='2. GRI Pricing Inputs'!$Q$33),'2. GRI Pricing Inputs'!$P$32,IF(AND('3. GRI Pricing'!$F447&gt;='2. GRI Pricing Inputs'!$R$33,'3. GRI Pricing'!$F447&lt;='2. GRI Pricing Inputs'!$S$33),'2. GRI Pricing Inputs'!$R$32,IF(AND('3. GRI Pricing'!$F447&gt;='2. GRI Pricing Inputs'!$T$33,'3. GRI Pricing'!$F447&lt;='2. GRI Pricing Inputs'!$U$33),'2. GRI Pricing Inputs'!$T$32,IF(AND('3. GRI Pricing'!$F447&gt;='2. GRI Pricing Inputs'!$V$33,'3. GRI Pricing'!$F447&lt;='2. GRI Pricing Inputs'!$W$33),'2. GRI Pricing Inputs'!$V$32,IF(AND('3. GRI Pricing'!$F447&gt;='2. GRI Pricing Inputs'!$X$33,'3. GRI Pricing'!$F447&lt;='2. GRI Pricing Inputs'!$Y$33),'2. GRI Pricing Inputs'!$X$32,IF(AND('3. GRI Pricing'!$F447&gt;='2. GRI Pricing Inputs'!$Z$33,'3. GRI Pricing'!$F447&lt;='2. GRI Pricing Inputs'!$AA$33),'2. GRI Pricing Inputs'!$Z$32,IF(AND('3. GRI Pricing'!$F447&gt;='2. GRI Pricing Inputs'!$AB$33,'3. GRI Pricing'!$F447&lt;='2. GRI Pricing Inputs'!$AC$33),'2. GRI Pricing Inputs'!$AB$32,IF(AND('3. GRI Pricing'!$F447&gt;='2. GRI Pricing Inputs'!$AD$33,'3. GRI Pricing'!$F447&lt;='2. GRI Pricing Inputs'!$AE$33),'2. GRI Pricing Inputs'!$AD$32,IF(AND('3. GRI Pricing'!$F447&gt;='2. GRI Pricing Inputs'!$AF$33,'3. GRI Pricing'!$F447&lt;='2. GRI Pricing Inputs'!$AG$33),'2. GRI Pricing Inputs'!$AF$32,IF(AND('3. GRI Pricing'!$F447&gt;='2. GRI Pricing Inputs'!$AH$33,'3. GRI Pricing'!$F447&lt;='2. GRI Pricing Inputs'!$AI$33),'2. GRI Pricing Inputs'!$AH$32,0))))))))))))))))</f>
        <v>0</v>
      </c>
      <c r="N447" s="273" cm="1">
        <f t="array" ref="N447">IFERROR(INDEX('2. GRI Pricing Inputs'!$C$32:$AI$39,MATCH('3. GRI Pricing'!D447,'2. GRI Pricing Inputs'!$C$32:$C$39,0),(MATCH('3. GRI Pricing'!M447,'2. GRI Pricing Inputs'!$D$32:$AI$32,0)+1)),0)</f>
        <v>0</v>
      </c>
      <c r="O447" s="273">
        <f>IFERROR(INDEX('2. GRI Pricing Inputs'!$C$45:$AI$46,MATCH($O$16,'2. GRI Pricing Inputs'!$C$45:$C$46,0),MATCH(G447,'2. GRI Pricing Inputs'!$C$45:$AI$45,0)),0)</f>
        <v>0</v>
      </c>
      <c r="P447" s="273">
        <f>IFERROR(INDEX('2. GRI Pricing Inputs'!$C$53:$AI$54,MATCH('3. GRI Pricing'!$P$16,'2. GRI Pricing Inputs'!$C$53:$C$54,0),MATCH('3. GRI Pricing'!H447,'2. GRI Pricing Inputs'!$C$53:$AI$53,0)),0)</f>
        <v>0</v>
      </c>
      <c r="Q447" s="273">
        <f>IFERROR(INDEX('2. GRI Pricing Inputs'!$C$60:$AI$61,MATCH('3. GRI Pricing'!$Q$16,'2. GRI Pricing Inputs'!$C$60:$C$61,0),MATCH('1. Accomodation'!T451,'2. GRI Pricing Inputs'!$C$60:$AI$60,0)),0)</f>
        <v>0</v>
      </c>
      <c r="R447" s="273">
        <f>IFERROR(INDEX('2. GRI Pricing Inputs'!$C$67:$AI$68,MATCH('3. GRI Pricing'!$R$16,'2. GRI Pricing Inputs'!$C$67:$C$68,0),MATCH('1. Accomodation'!U451,'2. GRI Pricing Inputs'!$C$67:$AI$67,0)),0)</f>
        <v>0</v>
      </c>
      <c r="S447" s="273">
        <f>IF(D447=0,0,'2. GRI Pricing Inputs'!$AI$75)</f>
        <v>0</v>
      </c>
      <c r="T447" s="273">
        <f>IFERROR(INDEX('2. GRI Pricing Inputs'!$C$82:$AI$83,MATCH('3. GRI Pricing'!$T$16,'2. GRI Pricing Inputs'!$C$82:$C$83,0),MATCH('1. Accomodation'!V451,'2. GRI Pricing Inputs'!$C$82:$AI$82,0)),0)</f>
        <v>0</v>
      </c>
      <c r="U447" s="273">
        <f>IFERROR(INDEX('2. GRI Pricing Inputs'!$C$89:$AI$90,MATCH('3. GRI Pricing'!$U$16,'2. GRI Pricing Inputs'!$C$89:$C$90,0),MATCH('1. Accomodation'!W451,'2. GRI Pricing Inputs'!$C$89:$AI$89,0)),0)</f>
        <v>0</v>
      </c>
      <c r="V447" s="273">
        <f>IFERROR(INDEX('2. GRI Pricing Inputs'!$C$97:$AI$98,MATCH('3. GRI Pricing'!$V$16,'2. GRI Pricing Inputs'!$C$97:$C$98,0),MATCH('1. Accomodation'!X451,'2. GRI Pricing Inputs'!$C$97:$AI$97,0)),0)</f>
        <v>0</v>
      </c>
      <c r="W447" s="273">
        <f>IFERROR(INDEX('2. GRI Pricing Inputs'!$C$104:$AI$105,MATCH('3. GRI Pricing'!$W$16,'2. GRI Pricing Inputs'!$C$104:$C$105,0),MATCH('1. Accomodation'!Y451,'2. GRI Pricing Inputs'!$C$104:$AI$104,0)),0)</f>
        <v>0</v>
      </c>
      <c r="X447" s="274"/>
      <c r="Y447" s="275">
        <f t="shared" si="13"/>
        <v>0</v>
      </c>
      <c r="Z447" s="276"/>
      <c r="AA447" s="276"/>
      <c r="AB447" s="276"/>
      <c r="AC447" s="272">
        <f>Y447*(1+'2. GRI Pricing Inputs'!$D$114)^(($AC$16-$AB$15)/365)</f>
        <v>0</v>
      </c>
      <c r="AD447" s="273">
        <f>AC447*(1+'2. GRI Pricing Inputs'!$D$114)^((AD$16-AC$16)/365)</f>
        <v>0</v>
      </c>
      <c r="AE447" s="273">
        <f>AD447*(1+'2. GRI Pricing Inputs'!$D$114)^((AE$16-AD$16)/365)</f>
        <v>0</v>
      </c>
      <c r="AF447" s="273">
        <f>AE447*(1+'2. GRI Pricing Inputs'!$D$114)^((AF$16-AE$16)/365)</f>
        <v>0</v>
      </c>
      <c r="AG447" s="273">
        <f>AF447*(1+'2. GRI Pricing Inputs'!$D$114)^((AG$16-AF$16)/365)</f>
        <v>0</v>
      </c>
      <c r="AH447" s="273">
        <f>AG447*(1+'2. GRI Pricing Inputs'!$D$114)^((AH$16-AG$16)/365)</f>
        <v>0</v>
      </c>
      <c r="AI447" s="273">
        <f>AH447*(1+'2. GRI Pricing Inputs'!$D$114)^((AI$16-AH$16)/365)</f>
        <v>0</v>
      </c>
      <c r="AJ447" s="273">
        <f>AI447*(1+'2. GRI Pricing Inputs'!$D$114)^((AJ$16-AI$16)/365)</f>
        <v>0</v>
      </c>
      <c r="AK447" s="273">
        <f>AJ447*(1+'2. GRI Pricing Inputs'!$D$114)^((AK$16-AJ$16)/365)</f>
        <v>0</v>
      </c>
      <c r="AL447" s="273">
        <f>AK447*(1+'2. GRI Pricing Inputs'!$D$114)^((AL$16-AK$16)/365)</f>
        <v>0</v>
      </c>
      <c r="AM447" s="273">
        <f>AL447*(1+'2. GRI Pricing Inputs'!$D$114)^((AM$16-AL$16)/365)</f>
        <v>0</v>
      </c>
      <c r="AN447" s="273">
        <f>AM447*(1+'2. GRI Pricing Inputs'!$D$114)^((AN$16-AM$16)/365)</f>
        <v>0</v>
      </c>
      <c r="AO447" s="273">
        <f>AN447*(1+'2. GRI Pricing Inputs'!$D$114)^((AO$16-AN$16)/365)</f>
        <v>0</v>
      </c>
    </row>
    <row r="448" spans="3:41" ht="12" x14ac:dyDescent="0.2">
      <c r="C448" s="76">
        <f>'1. Accomodation'!N452</f>
        <v>0</v>
      </c>
      <c r="D448" s="69">
        <f>'1. Accomodation'!P452</f>
        <v>0</v>
      </c>
      <c r="E448" s="69">
        <f>'1. Accomodation'!Q452</f>
        <v>0</v>
      </c>
      <c r="F448" s="77">
        <f>'1. Accomodation'!O452</f>
        <v>0</v>
      </c>
      <c r="G448" s="69">
        <f>'1. Accomodation'!R452</f>
        <v>0</v>
      </c>
      <c r="H448" s="69">
        <f>'1. Accomodation'!S452</f>
        <v>0</v>
      </c>
      <c r="I448" s="62"/>
      <c r="K448" s="272">
        <f>IFERROR(INDEX('2. GRI Pricing Inputs'!$C$15:$AI$16,MATCH($K$16,'2. GRI Pricing Inputs'!$C$15:$C$16,0),MATCH(D448,'2. GRI Pricing Inputs'!$C$15:$AI$15,0)),0)</f>
        <v>0</v>
      </c>
      <c r="L448" s="273">
        <f>IFERROR(INDEX('2. GRI Pricing Inputs'!$C$22:$AI$23,MATCH($L$16,'2. GRI Pricing Inputs'!$C$22:$C$23,0),MATCH(E448,'2. GRI Pricing Inputs'!$C$22:$AI$22,0)),0)</f>
        <v>0</v>
      </c>
      <c r="M448" s="328">
        <f>IF(AND('3. GRI Pricing'!$F448&gt;='2. GRI Pricing Inputs'!$D$33,'3. GRI Pricing'!$F448&lt;='2. GRI Pricing Inputs'!$E$33),'2. GRI Pricing Inputs'!$D$32,IF(AND('3. GRI Pricing'!$F448&gt;='2. GRI Pricing Inputs'!$F$33,'3. GRI Pricing'!$F448&lt;='2. GRI Pricing Inputs'!$G$33),'2. GRI Pricing Inputs'!$F$32,IF(AND('3. GRI Pricing'!$F448&gt;='2. GRI Pricing Inputs'!$H$33,'3. GRI Pricing'!$F448&lt;='2. GRI Pricing Inputs'!$I$33),'2. GRI Pricing Inputs'!$H$32,IF(AND('3. GRI Pricing'!$F448&gt;='2. GRI Pricing Inputs'!$J$33,'3. GRI Pricing'!$F448&lt;='2. GRI Pricing Inputs'!$K$33),'2. GRI Pricing Inputs'!$J$32,IF(AND('3. GRI Pricing'!$F448&gt;='2. GRI Pricing Inputs'!$L$33,'3. GRI Pricing'!$F448&lt;='2. GRI Pricing Inputs'!$M$33),'2. GRI Pricing Inputs'!$L$32,IF(AND('3. GRI Pricing'!$F448&gt;='2. GRI Pricing Inputs'!$N$33,'3. GRI Pricing'!$F448&lt;='2. GRI Pricing Inputs'!$O$33),'2. GRI Pricing Inputs'!$N$32,IF(AND('3. GRI Pricing'!$F448&gt;='2. GRI Pricing Inputs'!$P$33,'3. GRI Pricing'!$F448&lt;='2. GRI Pricing Inputs'!$Q$33),'2. GRI Pricing Inputs'!$P$32,IF(AND('3. GRI Pricing'!$F448&gt;='2. GRI Pricing Inputs'!$R$33,'3. GRI Pricing'!$F448&lt;='2. GRI Pricing Inputs'!$S$33),'2. GRI Pricing Inputs'!$R$32,IF(AND('3. GRI Pricing'!$F448&gt;='2. GRI Pricing Inputs'!$T$33,'3. GRI Pricing'!$F448&lt;='2. GRI Pricing Inputs'!$U$33),'2. GRI Pricing Inputs'!$T$32,IF(AND('3. GRI Pricing'!$F448&gt;='2. GRI Pricing Inputs'!$V$33,'3. GRI Pricing'!$F448&lt;='2. GRI Pricing Inputs'!$W$33),'2. GRI Pricing Inputs'!$V$32,IF(AND('3. GRI Pricing'!$F448&gt;='2. GRI Pricing Inputs'!$X$33,'3. GRI Pricing'!$F448&lt;='2. GRI Pricing Inputs'!$Y$33),'2. GRI Pricing Inputs'!$X$32,IF(AND('3. GRI Pricing'!$F448&gt;='2. GRI Pricing Inputs'!$Z$33,'3. GRI Pricing'!$F448&lt;='2. GRI Pricing Inputs'!$AA$33),'2. GRI Pricing Inputs'!$Z$32,IF(AND('3. GRI Pricing'!$F448&gt;='2. GRI Pricing Inputs'!$AB$33,'3. GRI Pricing'!$F448&lt;='2. GRI Pricing Inputs'!$AC$33),'2. GRI Pricing Inputs'!$AB$32,IF(AND('3. GRI Pricing'!$F448&gt;='2. GRI Pricing Inputs'!$AD$33,'3. GRI Pricing'!$F448&lt;='2. GRI Pricing Inputs'!$AE$33),'2. GRI Pricing Inputs'!$AD$32,IF(AND('3. GRI Pricing'!$F448&gt;='2. GRI Pricing Inputs'!$AF$33,'3. GRI Pricing'!$F448&lt;='2. GRI Pricing Inputs'!$AG$33),'2. GRI Pricing Inputs'!$AF$32,IF(AND('3. GRI Pricing'!$F448&gt;='2. GRI Pricing Inputs'!$AH$33,'3. GRI Pricing'!$F448&lt;='2. GRI Pricing Inputs'!$AI$33),'2. GRI Pricing Inputs'!$AH$32,0))))))))))))))))</f>
        <v>0</v>
      </c>
      <c r="N448" s="273" cm="1">
        <f t="array" ref="N448">IFERROR(INDEX('2. GRI Pricing Inputs'!$C$32:$AI$39,MATCH('3. GRI Pricing'!D448,'2. GRI Pricing Inputs'!$C$32:$C$39,0),(MATCH('3. GRI Pricing'!M448,'2. GRI Pricing Inputs'!$D$32:$AI$32,0)+1)),0)</f>
        <v>0</v>
      </c>
      <c r="O448" s="273">
        <f>IFERROR(INDEX('2. GRI Pricing Inputs'!$C$45:$AI$46,MATCH($O$16,'2. GRI Pricing Inputs'!$C$45:$C$46,0),MATCH(G448,'2. GRI Pricing Inputs'!$C$45:$AI$45,0)),0)</f>
        <v>0</v>
      </c>
      <c r="P448" s="273">
        <f>IFERROR(INDEX('2. GRI Pricing Inputs'!$C$53:$AI$54,MATCH('3. GRI Pricing'!$P$16,'2. GRI Pricing Inputs'!$C$53:$C$54,0),MATCH('3. GRI Pricing'!H448,'2. GRI Pricing Inputs'!$C$53:$AI$53,0)),0)</f>
        <v>0</v>
      </c>
      <c r="Q448" s="273">
        <f>IFERROR(INDEX('2. GRI Pricing Inputs'!$C$60:$AI$61,MATCH('3. GRI Pricing'!$Q$16,'2. GRI Pricing Inputs'!$C$60:$C$61,0),MATCH('1. Accomodation'!T452,'2. GRI Pricing Inputs'!$C$60:$AI$60,0)),0)</f>
        <v>0</v>
      </c>
      <c r="R448" s="273">
        <f>IFERROR(INDEX('2. GRI Pricing Inputs'!$C$67:$AI$68,MATCH('3. GRI Pricing'!$R$16,'2. GRI Pricing Inputs'!$C$67:$C$68,0),MATCH('1. Accomodation'!U452,'2. GRI Pricing Inputs'!$C$67:$AI$67,0)),0)</f>
        <v>0</v>
      </c>
      <c r="S448" s="273">
        <f>IF(D448=0,0,'2. GRI Pricing Inputs'!$AI$75)</f>
        <v>0</v>
      </c>
      <c r="T448" s="273">
        <f>IFERROR(INDEX('2. GRI Pricing Inputs'!$C$82:$AI$83,MATCH('3. GRI Pricing'!$T$16,'2. GRI Pricing Inputs'!$C$82:$C$83,0),MATCH('1. Accomodation'!V452,'2. GRI Pricing Inputs'!$C$82:$AI$82,0)),0)</f>
        <v>0</v>
      </c>
      <c r="U448" s="273">
        <f>IFERROR(INDEX('2. GRI Pricing Inputs'!$C$89:$AI$90,MATCH('3. GRI Pricing'!$U$16,'2. GRI Pricing Inputs'!$C$89:$C$90,0),MATCH('1. Accomodation'!W452,'2. GRI Pricing Inputs'!$C$89:$AI$89,0)),0)</f>
        <v>0</v>
      </c>
      <c r="V448" s="273">
        <f>IFERROR(INDEX('2. GRI Pricing Inputs'!$C$97:$AI$98,MATCH('3. GRI Pricing'!$V$16,'2. GRI Pricing Inputs'!$C$97:$C$98,0),MATCH('1. Accomodation'!X452,'2. GRI Pricing Inputs'!$C$97:$AI$97,0)),0)</f>
        <v>0</v>
      </c>
      <c r="W448" s="273">
        <f>IFERROR(INDEX('2. GRI Pricing Inputs'!$C$104:$AI$105,MATCH('3. GRI Pricing'!$W$16,'2. GRI Pricing Inputs'!$C$104:$C$105,0),MATCH('1. Accomodation'!Y452,'2. GRI Pricing Inputs'!$C$104:$AI$104,0)),0)</f>
        <v>0</v>
      </c>
      <c r="X448" s="274"/>
      <c r="Y448" s="275">
        <f t="shared" si="13"/>
        <v>0</v>
      </c>
      <c r="Z448" s="276"/>
      <c r="AA448" s="276"/>
      <c r="AB448" s="276"/>
      <c r="AC448" s="272">
        <f>Y448*(1+'2. GRI Pricing Inputs'!$D$114)^(($AC$16-$AB$15)/365)</f>
        <v>0</v>
      </c>
      <c r="AD448" s="273">
        <f>AC448*(1+'2. GRI Pricing Inputs'!$D$114)^((AD$16-AC$16)/365)</f>
        <v>0</v>
      </c>
      <c r="AE448" s="273">
        <f>AD448*(1+'2. GRI Pricing Inputs'!$D$114)^((AE$16-AD$16)/365)</f>
        <v>0</v>
      </c>
      <c r="AF448" s="273">
        <f>AE448*(1+'2. GRI Pricing Inputs'!$D$114)^((AF$16-AE$16)/365)</f>
        <v>0</v>
      </c>
      <c r="AG448" s="273">
        <f>AF448*(1+'2. GRI Pricing Inputs'!$D$114)^((AG$16-AF$16)/365)</f>
        <v>0</v>
      </c>
      <c r="AH448" s="273">
        <f>AG448*(1+'2. GRI Pricing Inputs'!$D$114)^((AH$16-AG$16)/365)</f>
        <v>0</v>
      </c>
      <c r="AI448" s="273">
        <f>AH448*(1+'2. GRI Pricing Inputs'!$D$114)^((AI$16-AH$16)/365)</f>
        <v>0</v>
      </c>
      <c r="AJ448" s="273">
        <f>AI448*(1+'2. GRI Pricing Inputs'!$D$114)^((AJ$16-AI$16)/365)</f>
        <v>0</v>
      </c>
      <c r="AK448" s="273">
        <f>AJ448*(1+'2. GRI Pricing Inputs'!$D$114)^((AK$16-AJ$16)/365)</f>
        <v>0</v>
      </c>
      <c r="AL448" s="273">
        <f>AK448*(1+'2. GRI Pricing Inputs'!$D$114)^((AL$16-AK$16)/365)</f>
        <v>0</v>
      </c>
      <c r="AM448" s="273">
        <f>AL448*(1+'2. GRI Pricing Inputs'!$D$114)^((AM$16-AL$16)/365)</f>
        <v>0</v>
      </c>
      <c r="AN448" s="273">
        <f>AM448*(1+'2. GRI Pricing Inputs'!$D$114)^((AN$16-AM$16)/365)</f>
        <v>0</v>
      </c>
      <c r="AO448" s="273">
        <f>AN448*(1+'2. GRI Pricing Inputs'!$D$114)^((AO$16-AN$16)/365)</f>
        <v>0</v>
      </c>
    </row>
    <row r="449" spans="3:41" ht="12" x14ac:dyDescent="0.2">
      <c r="C449" s="76">
        <f>'1. Accomodation'!N453</f>
        <v>0</v>
      </c>
      <c r="D449" s="69">
        <f>'1. Accomodation'!P453</f>
        <v>0</v>
      </c>
      <c r="E449" s="69">
        <f>'1. Accomodation'!Q453</f>
        <v>0</v>
      </c>
      <c r="F449" s="77">
        <f>'1. Accomodation'!O453</f>
        <v>0</v>
      </c>
      <c r="G449" s="69">
        <f>'1. Accomodation'!R453</f>
        <v>0</v>
      </c>
      <c r="H449" s="69">
        <f>'1. Accomodation'!S453</f>
        <v>0</v>
      </c>
      <c r="I449" s="62"/>
      <c r="K449" s="272">
        <f>IFERROR(INDEX('2. GRI Pricing Inputs'!$C$15:$AI$16,MATCH($K$16,'2. GRI Pricing Inputs'!$C$15:$C$16,0),MATCH(D449,'2. GRI Pricing Inputs'!$C$15:$AI$15,0)),0)</f>
        <v>0</v>
      </c>
      <c r="L449" s="273">
        <f>IFERROR(INDEX('2. GRI Pricing Inputs'!$C$22:$AI$23,MATCH($L$16,'2. GRI Pricing Inputs'!$C$22:$C$23,0),MATCH(E449,'2. GRI Pricing Inputs'!$C$22:$AI$22,0)),0)</f>
        <v>0</v>
      </c>
      <c r="M449" s="328">
        <f>IF(AND('3. GRI Pricing'!$F449&gt;='2. GRI Pricing Inputs'!$D$33,'3. GRI Pricing'!$F449&lt;='2. GRI Pricing Inputs'!$E$33),'2. GRI Pricing Inputs'!$D$32,IF(AND('3. GRI Pricing'!$F449&gt;='2. GRI Pricing Inputs'!$F$33,'3. GRI Pricing'!$F449&lt;='2. GRI Pricing Inputs'!$G$33),'2. GRI Pricing Inputs'!$F$32,IF(AND('3. GRI Pricing'!$F449&gt;='2. GRI Pricing Inputs'!$H$33,'3. GRI Pricing'!$F449&lt;='2. GRI Pricing Inputs'!$I$33),'2. GRI Pricing Inputs'!$H$32,IF(AND('3. GRI Pricing'!$F449&gt;='2. GRI Pricing Inputs'!$J$33,'3. GRI Pricing'!$F449&lt;='2. GRI Pricing Inputs'!$K$33),'2. GRI Pricing Inputs'!$J$32,IF(AND('3. GRI Pricing'!$F449&gt;='2. GRI Pricing Inputs'!$L$33,'3. GRI Pricing'!$F449&lt;='2. GRI Pricing Inputs'!$M$33),'2. GRI Pricing Inputs'!$L$32,IF(AND('3. GRI Pricing'!$F449&gt;='2. GRI Pricing Inputs'!$N$33,'3. GRI Pricing'!$F449&lt;='2. GRI Pricing Inputs'!$O$33),'2. GRI Pricing Inputs'!$N$32,IF(AND('3. GRI Pricing'!$F449&gt;='2. GRI Pricing Inputs'!$P$33,'3. GRI Pricing'!$F449&lt;='2. GRI Pricing Inputs'!$Q$33),'2. GRI Pricing Inputs'!$P$32,IF(AND('3. GRI Pricing'!$F449&gt;='2. GRI Pricing Inputs'!$R$33,'3. GRI Pricing'!$F449&lt;='2. GRI Pricing Inputs'!$S$33),'2. GRI Pricing Inputs'!$R$32,IF(AND('3. GRI Pricing'!$F449&gt;='2. GRI Pricing Inputs'!$T$33,'3. GRI Pricing'!$F449&lt;='2. GRI Pricing Inputs'!$U$33),'2. GRI Pricing Inputs'!$T$32,IF(AND('3. GRI Pricing'!$F449&gt;='2. GRI Pricing Inputs'!$V$33,'3. GRI Pricing'!$F449&lt;='2. GRI Pricing Inputs'!$W$33),'2. GRI Pricing Inputs'!$V$32,IF(AND('3. GRI Pricing'!$F449&gt;='2. GRI Pricing Inputs'!$X$33,'3. GRI Pricing'!$F449&lt;='2. GRI Pricing Inputs'!$Y$33),'2. GRI Pricing Inputs'!$X$32,IF(AND('3. GRI Pricing'!$F449&gt;='2. GRI Pricing Inputs'!$Z$33,'3. GRI Pricing'!$F449&lt;='2. GRI Pricing Inputs'!$AA$33),'2. GRI Pricing Inputs'!$Z$32,IF(AND('3. GRI Pricing'!$F449&gt;='2. GRI Pricing Inputs'!$AB$33,'3. GRI Pricing'!$F449&lt;='2. GRI Pricing Inputs'!$AC$33),'2. GRI Pricing Inputs'!$AB$32,IF(AND('3. GRI Pricing'!$F449&gt;='2. GRI Pricing Inputs'!$AD$33,'3. GRI Pricing'!$F449&lt;='2. GRI Pricing Inputs'!$AE$33),'2. GRI Pricing Inputs'!$AD$32,IF(AND('3. GRI Pricing'!$F449&gt;='2. GRI Pricing Inputs'!$AF$33,'3. GRI Pricing'!$F449&lt;='2. GRI Pricing Inputs'!$AG$33),'2. GRI Pricing Inputs'!$AF$32,IF(AND('3. GRI Pricing'!$F449&gt;='2. GRI Pricing Inputs'!$AH$33,'3. GRI Pricing'!$F449&lt;='2. GRI Pricing Inputs'!$AI$33),'2. GRI Pricing Inputs'!$AH$32,0))))))))))))))))</f>
        <v>0</v>
      </c>
      <c r="N449" s="273" cm="1">
        <f t="array" ref="N449">IFERROR(INDEX('2. GRI Pricing Inputs'!$C$32:$AI$39,MATCH('3. GRI Pricing'!D449,'2. GRI Pricing Inputs'!$C$32:$C$39,0),(MATCH('3. GRI Pricing'!M449,'2. GRI Pricing Inputs'!$D$32:$AI$32,0)+1)),0)</f>
        <v>0</v>
      </c>
      <c r="O449" s="273">
        <f>IFERROR(INDEX('2. GRI Pricing Inputs'!$C$45:$AI$46,MATCH($O$16,'2. GRI Pricing Inputs'!$C$45:$C$46,0),MATCH(G449,'2. GRI Pricing Inputs'!$C$45:$AI$45,0)),0)</f>
        <v>0</v>
      </c>
      <c r="P449" s="273">
        <f>IFERROR(INDEX('2. GRI Pricing Inputs'!$C$53:$AI$54,MATCH('3. GRI Pricing'!$P$16,'2. GRI Pricing Inputs'!$C$53:$C$54,0),MATCH('3. GRI Pricing'!H449,'2. GRI Pricing Inputs'!$C$53:$AI$53,0)),0)</f>
        <v>0</v>
      </c>
      <c r="Q449" s="273">
        <f>IFERROR(INDEX('2. GRI Pricing Inputs'!$C$60:$AI$61,MATCH('3. GRI Pricing'!$Q$16,'2. GRI Pricing Inputs'!$C$60:$C$61,0),MATCH('1. Accomodation'!T453,'2. GRI Pricing Inputs'!$C$60:$AI$60,0)),0)</f>
        <v>0</v>
      </c>
      <c r="R449" s="273">
        <f>IFERROR(INDEX('2. GRI Pricing Inputs'!$C$67:$AI$68,MATCH('3. GRI Pricing'!$R$16,'2. GRI Pricing Inputs'!$C$67:$C$68,0),MATCH('1. Accomodation'!U453,'2. GRI Pricing Inputs'!$C$67:$AI$67,0)),0)</f>
        <v>0</v>
      </c>
      <c r="S449" s="273">
        <f>IF(D449=0,0,'2. GRI Pricing Inputs'!$AI$75)</f>
        <v>0</v>
      </c>
      <c r="T449" s="273">
        <f>IFERROR(INDEX('2. GRI Pricing Inputs'!$C$82:$AI$83,MATCH('3. GRI Pricing'!$T$16,'2. GRI Pricing Inputs'!$C$82:$C$83,0),MATCH('1. Accomodation'!V453,'2. GRI Pricing Inputs'!$C$82:$AI$82,0)),0)</f>
        <v>0</v>
      </c>
      <c r="U449" s="273">
        <f>IFERROR(INDEX('2. GRI Pricing Inputs'!$C$89:$AI$90,MATCH('3. GRI Pricing'!$U$16,'2. GRI Pricing Inputs'!$C$89:$C$90,0),MATCH('1. Accomodation'!W453,'2. GRI Pricing Inputs'!$C$89:$AI$89,0)),0)</f>
        <v>0</v>
      </c>
      <c r="V449" s="273">
        <f>IFERROR(INDEX('2. GRI Pricing Inputs'!$C$97:$AI$98,MATCH('3. GRI Pricing'!$V$16,'2. GRI Pricing Inputs'!$C$97:$C$98,0),MATCH('1. Accomodation'!X453,'2. GRI Pricing Inputs'!$C$97:$AI$97,0)),0)</f>
        <v>0</v>
      </c>
      <c r="W449" s="273">
        <f>IFERROR(INDEX('2. GRI Pricing Inputs'!$C$104:$AI$105,MATCH('3. GRI Pricing'!$W$16,'2. GRI Pricing Inputs'!$C$104:$C$105,0),MATCH('1. Accomodation'!Y453,'2. GRI Pricing Inputs'!$C$104:$AI$104,0)),0)</f>
        <v>0</v>
      </c>
      <c r="X449" s="274"/>
      <c r="Y449" s="275">
        <f t="shared" si="13"/>
        <v>0</v>
      </c>
      <c r="Z449" s="276"/>
      <c r="AA449" s="276"/>
      <c r="AB449" s="276"/>
      <c r="AC449" s="272">
        <f>Y449*(1+'2. GRI Pricing Inputs'!$D$114)^(($AC$16-$AB$15)/365)</f>
        <v>0</v>
      </c>
      <c r="AD449" s="273">
        <f>AC449*(1+'2. GRI Pricing Inputs'!$D$114)^((AD$16-AC$16)/365)</f>
        <v>0</v>
      </c>
      <c r="AE449" s="273">
        <f>AD449*(1+'2. GRI Pricing Inputs'!$D$114)^((AE$16-AD$16)/365)</f>
        <v>0</v>
      </c>
      <c r="AF449" s="273">
        <f>AE449*(1+'2. GRI Pricing Inputs'!$D$114)^((AF$16-AE$16)/365)</f>
        <v>0</v>
      </c>
      <c r="AG449" s="273">
        <f>AF449*(1+'2. GRI Pricing Inputs'!$D$114)^((AG$16-AF$16)/365)</f>
        <v>0</v>
      </c>
      <c r="AH449" s="273">
        <f>AG449*(1+'2. GRI Pricing Inputs'!$D$114)^((AH$16-AG$16)/365)</f>
        <v>0</v>
      </c>
      <c r="AI449" s="273">
        <f>AH449*(1+'2. GRI Pricing Inputs'!$D$114)^((AI$16-AH$16)/365)</f>
        <v>0</v>
      </c>
      <c r="AJ449" s="273">
        <f>AI449*(1+'2. GRI Pricing Inputs'!$D$114)^((AJ$16-AI$16)/365)</f>
        <v>0</v>
      </c>
      <c r="AK449" s="273">
        <f>AJ449*(1+'2. GRI Pricing Inputs'!$D$114)^((AK$16-AJ$16)/365)</f>
        <v>0</v>
      </c>
      <c r="AL449" s="273">
        <f>AK449*(1+'2. GRI Pricing Inputs'!$D$114)^((AL$16-AK$16)/365)</f>
        <v>0</v>
      </c>
      <c r="AM449" s="273">
        <f>AL449*(1+'2. GRI Pricing Inputs'!$D$114)^((AM$16-AL$16)/365)</f>
        <v>0</v>
      </c>
      <c r="AN449" s="273">
        <f>AM449*(1+'2. GRI Pricing Inputs'!$D$114)^((AN$16-AM$16)/365)</f>
        <v>0</v>
      </c>
      <c r="AO449" s="273">
        <f>AN449*(1+'2. GRI Pricing Inputs'!$D$114)^((AO$16-AN$16)/365)</f>
        <v>0</v>
      </c>
    </row>
    <row r="450" spans="3:41" ht="12" x14ac:dyDescent="0.2">
      <c r="C450" s="76">
        <f>'1. Accomodation'!N454</f>
        <v>0</v>
      </c>
      <c r="D450" s="69">
        <f>'1. Accomodation'!P454</f>
        <v>0</v>
      </c>
      <c r="E450" s="69">
        <f>'1. Accomodation'!Q454</f>
        <v>0</v>
      </c>
      <c r="F450" s="77">
        <f>'1. Accomodation'!O454</f>
        <v>0</v>
      </c>
      <c r="G450" s="69">
        <f>'1. Accomodation'!R454</f>
        <v>0</v>
      </c>
      <c r="H450" s="69">
        <f>'1. Accomodation'!S454</f>
        <v>0</v>
      </c>
      <c r="I450" s="62"/>
      <c r="K450" s="272">
        <f>IFERROR(INDEX('2. GRI Pricing Inputs'!$C$15:$AI$16,MATCH($K$16,'2. GRI Pricing Inputs'!$C$15:$C$16,0),MATCH(D450,'2. GRI Pricing Inputs'!$C$15:$AI$15,0)),0)</f>
        <v>0</v>
      </c>
      <c r="L450" s="273">
        <f>IFERROR(INDEX('2. GRI Pricing Inputs'!$C$22:$AI$23,MATCH($L$16,'2. GRI Pricing Inputs'!$C$22:$C$23,0),MATCH(E450,'2. GRI Pricing Inputs'!$C$22:$AI$22,0)),0)</f>
        <v>0</v>
      </c>
      <c r="M450" s="328">
        <f>IF(AND('3. GRI Pricing'!$F450&gt;='2. GRI Pricing Inputs'!$D$33,'3. GRI Pricing'!$F450&lt;='2. GRI Pricing Inputs'!$E$33),'2. GRI Pricing Inputs'!$D$32,IF(AND('3. GRI Pricing'!$F450&gt;='2. GRI Pricing Inputs'!$F$33,'3. GRI Pricing'!$F450&lt;='2. GRI Pricing Inputs'!$G$33),'2. GRI Pricing Inputs'!$F$32,IF(AND('3. GRI Pricing'!$F450&gt;='2. GRI Pricing Inputs'!$H$33,'3. GRI Pricing'!$F450&lt;='2. GRI Pricing Inputs'!$I$33),'2. GRI Pricing Inputs'!$H$32,IF(AND('3. GRI Pricing'!$F450&gt;='2. GRI Pricing Inputs'!$J$33,'3. GRI Pricing'!$F450&lt;='2. GRI Pricing Inputs'!$K$33),'2. GRI Pricing Inputs'!$J$32,IF(AND('3. GRI Pricing'!$F450&gt;='2. GRI Pricing Inputs'!$L$33,'3. GRI Pricing'!$F450&lt;='2. GRI Pricing Inputs'!$M$33),'2. GRI Pricing Inputs'!$L$32,IF(AND('3. GRI Pricing'!$F450&gt;='2. GRI Pricing Inputs'!$N$33,'3. GRI Pricing'!$F450&lt;='2. GRI Pricing Inputs'!$O$33),'2. GRI Pricing Inputs'!$N$32,IF(AND('3. GRI Pricing'!$F450&gt;='2. GRI Pricing Inputs'!$P$33,'3. GRI Pricing'!$F450&lt;='2. GRI Pricing Inputs'!$Q$33),'2. GRI Pricing Inputs'!$P$32,IF(AND('3. GRI Pricing'!$F450&gt;='2. GRI Pricing Inputs'!$R$33,'3. GRI Pricing'!$F450&lt;='2. GRI Pricing Inputs'!$S$33),'2. GRI Pricing Inputs'!$R$32,IF(AND('3. GRI Pricing'!$F450&gt;='2. GRI Pricing Inputs'!$T$33,'3. GRI Pricing'!$F450&lt;='2. GRI Pricing Inputs'!$U$33),'2. GRI Pricing Inputs'!$T$32,IF(AND('3. GRI Pricing'!$F450&gt;='2. GRI Pricing Inputs'!$V$33,'3. GRI Pricing'!$F450&lt;='2. GRI Pricing Inputs'!$W$33),'2. GRI Pricing Inputs'!$V$32,IF(AND('3. GRI Pricing'!$F450&gt;='2. GRI Pricing Inputs'!$X$33,'3. GRI Pricing'!$F450&lt;='2. GRI Pricing Inputs'!$Y$33),'2. GRI Pricing Inputs'!$X$32,IF(AND('3. GRI Pricing'!$F450&gt;='2. GRI Pricing Inputs'!$Z$33,'3. GRI Pricing'!$F450&lt;='2. GRI Pricing Inputs'!$AA$33),'2. GRI Pricing Inputs'!$Z$32,IF(AND('3. GRI Pricing'!$F450&gt;='2. GRI Pricing Inputs'!$AB$33,'3. GRI Pricing'!$F450&lt;='2. GRI Pricing Inputs'!$AC$33),'2. GRI Pricing Inputs'!$AB$32,IF(AND('3. GRI Pricing'!$F450&gt;='2. GRI Pricing Inputs'!$AD$33,'3. GRI Pricing'!$F450&lt;='2. GRI Pricing Inputs'!$AE$33),'2. GRI Pricing Inputs'!$AD$32,IF(AND('3. GRI Pricing'!$F450&gt;='2. GRI Pricing Inputs'!$AF$33,'3. GRI Pricing'!$F450&lt;='2. GRI Pricing Inputs'!$AG$33),'2. GRI Pricing Inputs'!$AF$32,IF(AND('3. GRI Pricing'!$F450&gt;='2. GRI Pricing Inputs'!$AH$33,'3. GRI Pricing'!$F450&lt;='2. GRI Pricing Inputs'!$AI$33),'2. GRI Pricing Inputs'!$AH$32,0))))))))))))))))</f>
        <v>0</v>
      </c>
      <c r="N450" s="273" cm="1">
        <f t="array" ref="N450">IFERROR(INDEX('2. GRI Pricing Inputs'!$C$32:$AI$39,MATCH('3. GRI Pricing'!D450,'2. GRI Pricing Inputs'!$C$32:$C$39,0),(MATCH('3. GRI Pricing'!M450,'2. GRI Pricing Inputs'!$D$32:$AI$32,0)+1)),0)</f>
        <v>0</v>
      </c>
      <c r="O450" s="273">
        <f>IFERROR(INDEX('2. GRI Pricing Inputs'!$C$45:$AI$46,MATCH($O$16,'2. GRI Pricing Inputs'!$C$45:$C$46,0),MATCH(G450,'2. GRI Pricing Inputs'!$C$45:$AI$45,0)),0)</f>
        <v>0</v>
      </c>
      <c r="P450" s="273">
        <f>IFERROR(INDEX('2. GRI Pricing Inputs'!$C$53:$AI$54,MATCH('3. GRI Pricing'!$P$16,'2. GRI Pricing Inputs'!$C$53:$C$54,0),MATCH('3. GRI Pricing'!H450,'2. GRI Pricing Inputs'!$C$53:$AI$53,0)),0)</f>
        <v>0</v>
      </c>
      <c r="Q450" s="273">
        <f>IFERROR(INDEX('2. GRI Pricing Inputs'!$C$60:$AI$61,MATCH('3. GRI Pricing'!$Q$16,'2. GRI Pricing Inputs'!$C$60:$C$61,0),MATCH('1. Accomodation'!T454,'2. GRI Pricing Inputs'!$C$60:$AI$60,0)),0)</f>
        <v>0</v>
      </c>
      <c r="R450" s="273">
        <f>IFERROR(INDEX('2. GRI Pricing Inputs'!$C$67:$AI$68,MATCH('3. GRI Pricing'!$R$16,'2. GRI Pricing Inputs'!$C$67:$C$68,0),MATCH('1. Accomodation'!U454,'2. GRI Pricing Inputs'!$C$67:$AI$67,0)),0)</f>
        <v>0</v>
      </c>
      <c r="S450" s="273">
        <f>IF(D450=0,0,'2. GRI Pricing Inputs'!$AI$75)</f>
        <v>0</v>
      </c>
      <c r="T450" s="273">
        <f>IFERROR(INDEX('2. GRI Pricing Inputs'!$C$82:$AI$83,MATCH('3. GRI Pricing'!$T$16,'2. GRI Pricing Inputs'!$C$82:$C$83,0),MATCH('1. Accomodation'!V454,'2. GRI Pricing Inputs'!$C$82:$AI$82,0)),0)</f>
        <v>0</v>
      </c>
      <c r="U450" s="273">
        <f>IFERROR(INDEX('2. GRI Pricing Inputs'!$C$89:$AI$90,MATCH('3. GRI Pricing'!$U$16,'2. GRI Pricing Inputs'!$C$89:$C$90,0),MATCH('1. Accomodation'!W454,'2. GRI Pricing Inputs'!$C$89:$AI$89,0)),0)</f>
        <v>0</v>
      </c>
      <c r="V450" s="273">
        <f>IFERROR(INDEX('2. GRI Pricing Inputs'!$C$97:$AI$98,MATCH('3. GRI Pricing'!$V$16,'2. GRI Pricing Inputs'!$C$97:$C$98,0),MATCH('1. Accomodation'!X454,'2. GRI Pricing Inputs'!$C$97:$AI$97,0)),0)</f>
        <v>0</v>
      </c>
      <c r="W450" s="273">
        <f>IFERROR(INDEX('2. GRI Pricing Inputs'!$C$104:$AI$105,MATCH('3. GRI Pricing'!$W$16,'2. GRI Pricing Inputs'!$C$104:$C$105,0),MATCH('1. Accomodation'!Y454,'2. GRI Pricing Inputs'!$C$104:$AI$104,0)),0)</f>
        <v>0</v>
      </c>
      <c r="X450" s="274"/>
      <c r="Y450" s="275">
        <f t="shared" si="13"/>
        <v>0</v>
      </c>
      <c r="Z450" s="276"/>
      <c r="AA450" s="276"/>
      <c r="AB450" s="276"/>
      <c r="AC450" s="272">
        <f>Y450*(1+'2. GRI Pricing Inputs'!$D$114)^(($AC$16-$AB$15)/365)</f>
        <v>0</v>
      </c>
      <c r="AD450" s="273">
        <f>AC450*(1+'2. GRI Pricing Inputs'!$D$114)^((AD$16-AC$16)/365)</f>
        <v>0</v>
      </c>
      <c r="AE450" s="273">
        <f>AD450*(1+'2. GRI Pricing Inputs'!$D$114)^((AE$16-AD$16)/365)</f>
        <v>0</v>
      </c>
      <c r="AF450" s="273">
        <f>AE450*(1+'2. GRI Pricing Inputs'!$D$114)^((AF$16-AE$16)/365)</f>
        <v>0</v>
      </c>
      <c r="AG450" s="273">
        <f>AF450*(1+'2. GRI Pricing Inputs'!$D$114)^((AG$16-AF$16)/365)</f>
        <v>0</v>
      </c>
      <c r="AH450" s="273">
        <f>AG450*(1+'2. GRI Pricing Inputs'!$D$114)^((AH$16-AG$16)/365)</f>
        <v>0</v>
      </c>
      <c r="AI450" s="273">
        <f>AH450*(1+'2. GRI Pricing Inputs'!$D$114)^((AI$16-AH$16)/365)</f>
        <v>0</v>
      </c>
      <c r="AJ450" s="273">
        <f>AI450*(1+'2. GRI Pricing Inputs'!$D$114)^((AJ$16-AI$16)/365)</f>
        <v>0</v>
      </c>
      <c r="AK450" s="273">
        <f>AJ450*(1+'2. GRI Pricing Inputs'!$D$114)^((AK$16-AJ$16)/365)</f>
        <v>0</v>
      </c>
      <c r="AL450" s="273">
        <f>AK450*(1+'2. GRI Pricing Inputs'!$D$114)^((AL$16-AK$16)/365)</f>
        <v>0</v>
      </c>
      <c r="AM450" s="273">
        <f>AL450*(1+'2. GRI Pricing Inputs'!$D$114)^((AM$16-AL$16)/365)</f>
        <v>0</v>
      </c>
      <c r="AN450" s="273">
        <f>AM450*(1+'2. GRI Pricing Inputs'!$D$114)^((AN$16-AM$16)/365)</f>
        <v>0</v>
      </c>
      <c r="AO450" s="273">
        <f>AN450*(1+'2. GRI Pricing Inputs'!$D$114)^((AO$16-AN$16)/365)</f>
        <v>0</v>
      </c>
    </row>
    <row r="451" spans="3:41" ht="12" x14ac:dyDescent="0.2">
      <c r="C451" s="76">
        <f>'1. Accomodation'!N455</f>
        <v>0</v>
      </c>
      <c r="D451" s="69">
        <f>'1. Accomodation'!P455</f>
        <v>0</v>
      </c>
      <c r="E451" s="69">
        <f>'1. Accomodation'!Q455</f>
        <v>0</v>
      </c>
      <c r="F451" s="77">
        <f>'1. Accomodation'!O455</f>
        <v>0</v>
      </c>
      <c r="G451" s="69">
        <f>'1. Accomodation'!R455</f>
        <v>0</v>
      </c>
      <c r="H451" s="69">
        <f>'1. Accomodation'!S455</f>
        <v>0</v>
      </c>
      <c r="I451" s="62"/>
      <c r="K451" s="272">
        <f>IFERROR(INDEX('2. GRI Pricing Inputs'!$C$15:$AI$16,MATCH($K$16,'2. GRI Pricing Inputs'!$C$15:$C$16,0),MATCH(D451,'2. GRI Pricing Inputs'!$C$15:$AI$15,0)),0)</f>
        <v>0</v>
      </c>
      <c r="L451" s="273">
        <f>IFERROR(INDEX('2. GRI Pricing Inputs'!$C$22:$AI$23,MATCH($L$16,'2. GRI Pricing Inputs'!$C$22:$C$23,0),MATCH(E451,'2. GRI Pricing Inputs'!$C$22:$AI$22,0)),0)</f>
        <v>0</v>
      </c>
      <c r="M451" s="328">
        <f>IF(AND('3. GRI Pricing'!$F451&gt;='2. GRI Pricing Inputs'!$D$33,'3. GRI Pricing'!$F451&lt;='2. GRI Pricing Inputs'!$E$33),'2. GRI Pricing Inputs'!$D$32,IF(AND('3. GRI Pricing'!$F451&gt;='2. GRI Pricing Inputs'!$F$33,'3. GRI Pricing'!$F451&lt;='2. GRI Pricing Inputs'!$G$33),'2. GRI Pricing Inputs'!$F$32,IF(AND('3. GRI Pricing'!$F451&gt;='2. GRI Pricing Inputs'!$H$33,'3. GRI Pricing'!$F451&lt;='2. GRI Pricing Inputs'!$I$33),'2. GRI Pricing Inputs'!$H$32,IF(AND('3. GRI Pricing'!$F451&gt;='2. GRI Pricing Inputs'!$J$33,'3. GRI Pricing'!$F451&lt;='2. GRI Pricing Inputs'!$K$33),'2. GRI Pricing Inputs'!$J$32,IF(AND('3. GRI Pricing'!$F451&gt;='2. GRI Pricing Inputs'!$L$33,'3. GRI Pricing'!$F451&lt;='2. GRI Pricing Inputs'!$M$33),'2. GRI Pricing Inputs'!$L$32,IF(AND('3. GRI Pricing'!$F451&gt;='2. GRI Pricing Inputs'!$N$33,'3. GRI Pricing'!$F451&lt;='2. GRI Pricing Inputs'!$O$33),'2. GRI Pricing Inputs'!$N$32,IF(AND('3. GRI Pricing'!$F451&gt;='2. GRI Pricing Inputs'!$P$33,'3. GRI Pricing'!$F451&lt;='2. GRI Pricing Inputs'!$Q$33),'2. GRI Pricing Inputs'!$P$32,IF(AND('3. GRI Pricing'!$F451&gt;='2. GRI Pricing Inputs'!$R$33,'3. GRI Pricing'!$F451&lt;='2. GRI Pricing Inputs'!$S$33),'2. GRI Pricing Inputs'!$R$32,IF(AND('3. GRI Pricing'!$F451&gt;='2. GRI Pricing Inputs'!$T$33,'3. GRI Pricing'!$F451&lt;='2. GRI Pricing Inputs'!$U$33),'2. GRI Pricing Inputs'!$T$32,IF(AND('3. GRI Pricing'!$F451&gt;='2. GRI Pricing Inputs'!$V$33,'3. GRI Pricing'!$F451&lt;='2. GRI Pricing Inputs'!$W$33),'2. GRI Pricing Inputs'!$V$32,IF(AND('3. GRI Pricing'!$F451&gt;='2. GRI Pricing Inputs'!$X$33,'3. GRI Pricing'!$F451&lt;='2. GRI Pricing Inputs'!$Y$33),'2. GRI Pricing Inputs'!$X$32,IF(AND('3. GRI Pricing'!$F451&gt;='2. GRI Pricing Inputs'!$Z$33,'3. GRI Pricing'!$F451&lt;='2. GRI Pricing Inputs'!$AA$33),'2. GRI Pricing Inputs'!$Z$32,IF(AND('3. GRI Pricing'!$F451&gt;='2. GRI Pricing Inputs'!$AB$33,'3. GRI Pricing'!$F451&lt;='2. GRI Pricing Inputs'!$AC$33),'2. GRI Pricing Inputs'!$AB$32,IF(AND('3. GRI Pricing'!$F451&gt;='2. GRI Pricing Inputs'!$AD$33,'3. GRI Pricing'!$F451&lt;='2. GRI Pricing Inputs'!$AE$33),'2. GRI Pricing Inputs'!$AD$32,IF(AND('3. GRI Pricing'!$F451&gt;='2. GRI Pricing Inputs'!$AF$33,'3. GRI Pricing'!$F451&lt;='2. GRI Pricing Inputs'!$AG$33),'2. GRI Pricing Inputs'!$AF$32,IF(AND('3. GRI Pricing'!$F451&gt;='2. GRI Pricing Inputs'!$AH$33,'3. GRI Pricing'!$F451&lt;='2. GRI Pricing Inputs'!$AI$33),'2. GRI Pricing Inputs'!$AH$32,0))))))))))))))))</f>
        <v>0</v>
      </c>
      <c r="N451" s="273" cm="1">
        <f t="array" ref="N451">IFERROR(INDEX('2. GRI Pricing Inputs'!$C$32:$AI$39,MATCH('3. GRI Pricing'!D451,'2. GRI Pricing Inputs'!$C$32:$C$39,0),(MATCH('3. GRI Pricing'!M451,'2. GRI Pricing Inputs'!$D$32:$AI$32,0)+1)),0)</f>
        <v>0</v>
      </c>
      <c r="O451" s="273">
        <f>IFERROR(INDEX('2. GRI Pricing Inputs'!$C$45:$AI$46,MATCH($O$16,'2. GRI Pricing Inputs'!$C$45:$C$46,0),MATCH(G451,'2. GRI Pricing Inputs'!$C$45:$AI$45,0)),0)</f>
        <v>0</v>
      </c>
      <c r="P451" s="273">
        <f>IFERROR(INDEX('2. GRI Pricing Inputs'!$C$53:$AI$54,MATCH('3. GRI Pricing'!$P$16,'2. GRI Pricing Inputs'!$C$53:$C$54,0),MATCH('3. GRI Pricing'!H451,'2. GRI Pricing Inputs'!$C$53:$AI$53,0)),0)</f>
        <v>0</v>
      </c>
      <c r="Q451" s="273">
        <f>IFERROR(INDEX('2. GRI Pricing Inputs'!$C$60:$AI$61,MATCH('3. GRI Pricing'!$Q$16,'2. GRI Pricing Inputs'!$C$60:$C$61,0),MATCH('1. Accomodation'!T455,'2. GRI Pricing Inputs'!$C$60:$AI$60,0)),0)</f>
        <v>0</v>
      </c>
      <c r="R451" s="273">
        <f>IFERROR(INDEX('2. GRI Pricing Inputs'!$C$67:$AI$68,MATCH('3. GRI Pricing'!$R$16,'2. GRI Pricing Inputs'!$C$67:$C$68,0),MATCH('1. Accomodation'!U455,'2. GRI Pricing Inputs'!$C$67:$AI$67,0)),0)</f>
        <v>0</v>
      </c>
      <c r="S451" s="273">
        <f>IF(D451=0,0,'2. GRI Pricing Inputs'!$AI$75)</f>
        <v>0</v>
      </c>
      <c r="T451" s="273">
        <f>IFERROR(INDEX('2. GRI Pricing Inputs'!$C$82:$AI$83,MATCH('3. GRI Pricing'!$T$16,'2. GRI Pricing Inputs'!$C$82:$C$83,0),MATCH('1. Accomodation'!V455,'2. GRI Pricing Inputs'!$C$82:$AI$82,0)),0)</f>
        <v>0</v>
      </c>
      <c r="U451" s="273">
        <f>IFERROR(INDEX('2. GRI Pricing Inputs'!$C$89:$AI$90,MATCH('3. GRI Pricing'!$U$16,'2. GRI Pricing Inputs'!$C$89:$C$90,0),MATCH('1. Accomodation'!W455,'2. GRI Pricing Inputs'!$C$89:$AI$89,0)),0)</f>
        <v>0</v>
      </c>
      <c r="V451" s="273">
        <f>IFERROR(INDEX('2. GRI Pricing Inputs'!$C$97:$AI$98,MATCH('3. GRI Pricing'!$V$16,'2. GRI Pricing Inputs'!$C$97:$C$98,0),MATCH('1. Accomodation'!X455,'2. GRI Pricing Inputs'!$C$97:$AI$97,0)),0)</f>
        <v>0</v>
      </c>
      <c r="W451" s="273">
        <f>IFERROR(INDEX('2. GRI Pricing Inputs'!$C$104:$AI$105,MATCH('3. GRI Pricing'!$W$16,'2. GRI Pricing Inputs'!$C$104:$C$105,0),MATCH('1. Accomodation'!Y455,'2. GRI Pricing Inputs'!$C$104:$AI$104,0)),0)</f>
        <v>0</v>
      </c>
      <c r="X451" s="274"/>
      <c r="Y451" s="275">
        <f t="shared" si="13"/>
        <v>0</v>
      </c>
      <c r="Z451" s="276"/>
      <c r="AA451" s="276"/>
      <c r="AB451" s="276"/>
      <c r="AC451" s="272">
        <f>Y451*(1+'2. GRI Pricing Inputs'!$D$114)^(($AC$16-$AB$15)/365)</f>
        <v>0</v>
      </c>
      <c r="AD451" s="273">
        <f>AC451*(1+'2. GRI Pricing Inputs'!$D$114)^((AD$16-AC$16)/365)</f>
        <v>0</v>
      </c>
      <c r="AE451" s="273">
        <f>AD451*(1+'2. GRI Pricing Inputs'!$D$114)^((AE$16-AD$16)/365)</f>
        <v>0</v>
      </c>
      <c r="AF451" s="273">
        <f>AE451*(1+'2. GRI Pricing Inputs'!$D$114)^((AF$16-AE$16)/365)</f>
        <v>0</v>
      </c>
      <c r="AG451" s="273">
        <f>AF451*(1+'2. GRI Pricing Inputs'!$D$114)^((AG$16-AF$16)/365)</f>
        <v>0</v>
      </c>
      <c r="AH451" s="273">
        <f>AG451*(1+'2. GRI Pricing Inputs'!$D$114)^((AH$16-AG$16)/365)</f>
        <v>0</v>
      </c>
      <c r="AI451" s="273">
        <f>AH451*(1+'2. GRI Pricing Inputs'!$D$114)^((AI$16-AH$16)/365)</f>
        <v>0</v>
      </c>
      <c r="AJ451" s="273">
        <f>AI451*(1+'2. GRI Pricing Inputs'!$D$114)^((AJ$16-AI$16)/365)</f>
        <v>0</v>
      </c>
      <c r="AK451" s="273">
        <f>AJ451*(1+'2. GRI Pricing Inputs'!$D$114)^((AK$16-AJ$16)/365)</f>
        <v>0</v>
      </c>
      <c r="AL451" s="273">
        <f>AK451*(1+'2. GRI Pricing Inputs'!$D$114)^((AL$16-AK$16)/365)</f>
        <v>0</v>
      </c>
      <c r="AM451" s="273">
        <f>AL451*(1+'2. GRI Pricing Inputs'!$D$114)^((AM$16-AL$16)/365)</f>
        <v>0</v>
      </c>
      <c r="AN451" s="273">
        <f>AM451*(1+'2. GRI Pricing Inputs'!$D$114)^((AN$16-AM$16)/365)</f>
        <v>0</v>
      </c>
      <c r="AO451" s="273">
        <f>AN451*(1+'2. GRI Pricing Inputs'!$D$114)^((AO$16-AN$16)/365)</f>
        <v>0</v>
      </c>
    </row>
    <row r="452" spans="3:41" ht="12" x14ac:dyDescent="0.2">
      <c r="C452" s="76">
        <f>'1. Accomodation'!N456</f>
        <v>0</v>
      </c>
      <c r="D452" s="69">
        <f>'1. Accomodation'!P456</f>
        <v>0</v>
      </c>
      <c r="E452" s="69">
        <f>'1. Accomodation'!Q456</f>
        <v>0</v>
      </c>
      <c r="F452" s="77">
        <f>'1. Accomodation'!O456</f>
        <v>0</v>
      </c>
      <c r="G452" s="69">
        <f>'1. Accomodation'!R456</f>
        <v>0</v>
      </c>
      <c r="H452" s="69">
        <f>'1. Accomodation'!S456</f>
        <v>0</v>
      </c>
      <c r="I452" s="62"/>
      <c r="K452" s="272">
        <f>IFERROR(INDEX('2. GRI Pricing Inputs'!$C$15:$AI$16,MATCH($K$16,'2. GRI Pricing Inputs'!$C$15:$C$16,0),MATCH(D452,'2. GRI Pricing Inputs'!$C$15:$AI$15,0)),0)</f>
        <v>0</v>
      </c>
      <c r="L452" s="273">
        <f>IFERROR(INDEX('2. GRI Pricing Inputs'!$C$22:$AI$23,MATCH($L$16,'2. GRI Pricing Inputs'!$C$22:$C$23,0),MATCH(E452,'2. GRI Pricing Inputs'!$C$22:$AI$22,0)),0)</f>
        <v>0</v>
      </c>
      <c r="M452" s="328">
        <f>IF(AND('3. GRI Pricing'!$F452&gt;='2. GRI Pricing Inputs'!$D$33,'3. GRI Pricing'!$F452&lt;='2. GRI Pricing Inputs'!$E$33),'2. GRI Pricing Inputs'!$D$32,IF(AND('3. GRI Pricing'!$F452&gt;='2. GRI Pricing Inputs'!$F$33,'3. GRI Pricing'!$F452&lt;='2. GRI Pricing Inputs'!$G$33),'2. GRI Pricing Inputs'!$F$32,IF(AND('3. GRI Pricing'!$F452&gt;='2. GRI Pricing Inputs'!$H$33,'3. GRI Pricing'!$F452&lt;='2. GRI Pricing Inputs'!$I$33),'2. GRI Pricing Inputs'!$H$32,IF(AND('3. GRI Pricing'!$F452&gt;='2. GRI Pricing Inputs'!$J$33,'3. GRI Pricing'!$F452&lt;='2. GRI Pricing Inputs'!$K$33),'2. GRI Pricing Inputs'!$J$32,IF(AND('3. GRI Pricing'!$F452&gt;='2. GRI Pricing Inputs'!$L$33,'3. GRI Pricing'!$F452&lt;='2. GRI Pricing Inputs'!$M$33),'2. GRI Pricing Inputs'!$L$32,IF(AND('3. GRI Pricing'!$F452&gt;='2. GRI Pricing Inputs'!$N$33,'3. GRI Pricing'!$F452&lt;='2. GRI Pricing Inputs'!$O$33),'2. GRI Pricing Inputs'!$N$32,IF(AND('3. GRI Pricing'!$F452&gt;='2. GRI Pricing Inputs'!$P$33,'3. GRI Pricing'!$F452&lt;='2. GRI Pricing Inputs'!$Q$33),'2. GRI Pricing Inputs'!$P$32,IF(AND('3. GRI Pricing'!$F452&gt;='2. GRI Pricing Inputs'!$R$33,'3. GRI Pricing'!$F452&lt;='2. GRI Pricing Inputs'!$S$33),'2. GRI Pricing Inputs'!$R$32,IF(AND('3. GRI Pricing'!$F452&gt;='2. GRI Pricing Inputs'!$T$33,'3. GRI Pricing'!$F452&lt;='2. GRI Pricing Inputs'!$U$33),'2. GRI Pricing Inputs'!$T$32,IF(AND('3. GRI Pricing'!$F452&gt;='2. GRI Pricing Inputs'!$V$33,'3. GRI Pricing'!$F452&lt;='2. GRI Pricing Inputs'!$W$33),'2. GRI Pricing Inputs'!$V$32,IF(AND('3. GRI Pricing'!$F452&gt;='2. GRI Pricing Inputs'!$X$33,'3. GRI Pricing'!$F452&lt;='2. GRI Pricing Inputs'!$Y$33),'2. GRI Pricing Inputs'!$X$32,IF(AND('3. GRI Pricing'!$F452&gt;='2. GRI Pricing Inputs'!$Z$33,'3. GRI Pricing'!$F452&lt;='2. GRI Pricing Inputs'!$AA$33),'2. GRI Pricing Inputs'!$Z$32,IF(AND('3. GRI Pricing'!$F452&gt;='2. GRI Pricing Inputs'!$AB$33,'3. GRI Pricing'!$F452&lt;='2. GRI Pricing Inputs'!$AC$33),'2. GRI Pricing Inputs'!$AB$32,IF(AND('3. GRI Pricing'!$F452&gt;='2. GRI Pricing Inputs'!$AD$33,'3. GRI Pricing'!$F452&lt;='2. GRI Pricing Inputs'!$AE$33),'2. GRI Pricing Inputs'!$AD$32,IF(AND('3. GRI Pricing'!$F452&gt;='2. GRI Pricing Inputs'!$AF$33,'3. GRI Pricing'!$F452&lt;='2. GRI Pricing Inputs'!$AG$33),'2. GRI Pricing Inputs'!$AF$32,IF(AND('3. GRI Pricing'!$F452&gt;='2. GRI Pricing Inputs'!$AH$33,'3. GRI Pricing'!$F452&lt;='2. GRI Pricing Inputs'!$AI$33),'2. GRI Pricing Inputs'!$AH$32,0))))))))))))))))</f>
        <v>0</v>
      </c>
      <c r="N452" s="273" cm="1">
        <f t="array" ref="N452">IFERROR(INDEX('2. GRI Pricing Inputs'!$C$32:$AI$39,MATCH('3. GRI Pricing'!D452,'2. GRI Pricing Inputs'!$C$32:$C$39,0),(MATCH('3. GRI Pricing'!M452,'2. GRI Pricing Inputs'!$D$32:$AI$32,0)+1)),0)</f>
        <v>0</v>
      </c>
      <c r="O452" s="273">
        <f>IFERROR(INDEX('2. GRI Pricing Inputs'!$C$45:$AI$46,MATCH($O$16,'2. GRI Pricing Inputs'!$C$45:$C$46,0),MATCH(G452,'2. GRI Pricing Inputs'!$C$45:$AI$45,0)),0)</f>
        <v>0</v>
      </c>
      <c r="P452" s="273">
        <f>IFERROR(INDEX('2. GRI Pricing Inputs'!$C$53:$AI$54,MATCH('3. GRI Pricing'!$P$16,'2. GRI Pricing Inputs'!$C$53:$C$54,0),MATCH('3. GRI Pricing'!H452,'2. GRI Pricing Inputs'!$C$53:$AI$53,0)),0)</f>
        <v>0</v>
      </c>
      <c r="Q452" s="273">
        <f>IFERROR(INDEX('2. GRI Pricing Inputs'!$C$60:$AI$61,MATCH('3. GRI Pricing'!$Q$16,'2. GRI Pricing Inputs'!$C$60:$C$61,0),MATCH('1. Accomodation'!T456,'2. GRI Pricing Inputs'!$C$60:$AI$60,0)),0)</f>
        <v>0</v>
      </c>
      <c r="R452" s="273">
        <f>IFERROR(INDEX('2. GRI Pricing Inputs'!$C$67:$AI$68,MATCH('3. GRI Pricing'!$R$16,'2. GRI Pricing Inputs'!$C$67:$C$68,0),MATCH('1. Accomodation'!U456,'2. GRI Pricing Inputs'!$C$67:$AI$67,0)),0)</f>
        <v>0</v>
      </c>
      <c r="S452" s="273">
        <f>IF(D452=0,0,'2. GRI Pricing Inputs'!$AI$75)</f>
        <v>0</v>
      </c>
      <c r="T452" s="273">
        <f>IFERROR(INDEX('2. GRI Pricing Inputs'!$C$82:$AI$83,MATCH('3. GRI Pricing'!$T$16,'2. GRI Pricing Inputs'!$C$82:$C$83,0),MATCH('1. Accomodation'!V456,'2. GRI Pricing Inputs'!$C$82:$AI$82,0)),0)</f>
        <v>0</v>
      </c>
      <c r="U452" s="273">
        <f>IFERROR(INDEX('2. GRI Pricing Inputs'!$C$89:$AI$90,MATCH('3. GRI Pricing'!$U$16,'2. GRI Pricing Inputs'!$C$89:$C$90,0),MATCH('1. Accomodation'!W456,'2. GRI Pricing Inputs'!$C$89:$AI$89,0)),0)</f>
        <v>0</v>
      </c>
      <c r="V452" s="273">
        <f>IFERROR(INDEX('2. GRI Pricing Inputs'!$C$97:$AI$98,MATCH('3. GRI Pricing'!$V$16,'2. GRI Pricing Inputs'!$C$97:$C$98,0),MATCH('1. Accomodation'!X456,'2. GRI Pricing Inputs'!$C$97:$AI$97,0)),0)</f>
        <v>0</v>
      </c>
      <c r="W452" s="273">
        <f>IFERROR(INDEX('2. GRI Pricing Inputs'!$C$104:$AI$105,MATCH('3. GRI Pricing'!$W$16,'2. GRI Pricing Inputs'!$C$104:$C$105,0),MATCH('1. Accomodation'!Y456,'2. GRI Pricing Inputs'!$C$104:$AI$104,0)),0)</f>
        <v>0</v>
      </c>
      <c r="X452" s="274"/>
      <c r="Y452" s="275">
        <f t="shared" si="13"/>
        <v>0</v>
      </c>
      <c r="Z452" s="276"/>
      <c r="AA452" s="276"/>
      <c r="AB452" s="276"/>
      <c r="AC452" s="272">
        <f>Y452*(1+'2. GRI Pricing Inputs'!$D$114)^(($AC$16-$AB$15)/365)</f>
        <v>0</v>
      </c>
      <c r="AD452" s="273">
        <f>AC452*(1+'2. GRI Pricing Inputs'!$D$114)^((AD$16-AC$16)/365)</f>
        <v>0</v>
      </c>
      <c r="AE452" s="273">
        <f>AD452*(1+'2. GRI Pricing Inputs'!$D$114)^((AE$16-AD$16)/365)</f>
        <v>0</v>
      </c>
      <c r="AF452" s="273">
        <f>AE452*(1+'2. GRI Pricing Inputs'!$D$114)^((AF$16-AE$16)/365)</f>
        <v>0</v>
      </c>
      <c r="AG452" s="273">
        <f>AF452*(1+'2. GRI Pricing Inputs'!$D$114)^((AG$16-AF$16)/365)</f>
        <v>0</v>
      </c>
      <c r="AH452" s="273">
        <f>AG452*(1+'2. GRI Pricing Inputs'!$D$114)^((AH$16-AG$16)/365)</f>
        <v>0</v>
      </c>
      <c r="AI452" s="273">
        <f>AH452*(1+'2. GRI Pricing Inputs'!$D$114)^((AI$16-AH$16)/365)</f>
        <v>0</v>
      </c>
      <c r="AJ452" s="273">
        <f>AI452*(1+'2. GRI Pricing Inputs'!$D$114)^((AJ$16-AI$16)/365)</f>
        <v>0</v>
      </c>
      <c r="AK452" s="273">
        <f>AJ452*(1+'2. GRI Pricing Inputs'!$D$114)^((AK$16-AJ$16)/365)</f>
        <v>0</v>
      </c>
      <c r="AL452" s="273">
        <f>AK452*(1+'2. GRI Pricing Inputs'!$D$114)^((AL$16-AK$16)/365)</f>
        <v>0</v>
      </c>
      <c r="AM452" s="273">
        <f>AL452*(1+'2. GRI Pricing Inputs'!$D$114)^((AM$16-AL$16)/365)</f>
        <v>0</v>
      </c>
      <c r="AN452" s="273">
        <f>AM452*(1+'2. GRI Pricing Inputs'!$D$114)^((AN$16-AM$16)/365)</f>
        <v>0</v>
      </c>
      <c r="AO452" s="273">
        <f>AN452*(1+'2. GRI Pricing Inputs'!$D$114)^((AO$16-AN$16)/365)</f>
        <v>0</v>
      </c>
    </row>
    <row r="453" spans="3:41" ht="12" x14ac:dyDescent="0.2">
      <c r="C453" s="76">
        <f>'1. Accomodation'!N457</f>
        <v>0</v>
      </c>
      <c r="D453" s="69">
        <f>'1. Accomodation'!P457</f>
        <v>0</v>
      </c>
      <c r="E453" s="69">
        <f>'1. Accomodation'!Q457</f>
        <v>0</v>
      </c>
      <c r="F453" s="77">
        <f>'1. Accomodation'!O457</f>
        <v>0</v>
      </c>
      <c r="G453" s="69">
        <f>'1. Accomodation'!R457</f>
        <v>0</v>
      </c>
      <c r="H453" s="69">
        <f>'1. Accomodation'!S457</f>
        <v>0</v>
      </c>
      <c r="I453" s="62"/>
      <c r="K453" s="272">
        <f>IFERROR(INDEX('2. GRI Pricing Inputs'!$C$15:$AI$16,MATCH($K$16,'2. GRI Pricing Inputs'!$C$15:$C$16,0),MATCH(D453,'2. GRI Pricing Inputs'!$C$15:$AI$15,0)),0)</f>
        <v>0</v>
      </c>
      <c r="L453" s="273">
        <f>IFERROR(INDEX('2. GRI Pricing Inputs'!$C$22:$AI$23,MATCH($L$16,'2. GRI Pricing Inputs'!$C$22:$C$23,0),MATCH(E453,'2. GRI Pricing Inputs'!$C$22:$AI$22,0)),0)</f>
        <v>0</v>
      </c>
      <c r="M453" s="328">
        <f>IF(AND('3. GRI Pricing'!$F453&gt;='2. GRI Pricing Inputs'!$D$33,'3. GRI Pricing'!$F453&lt;='2. GRI Pricing Inputs'!$E$33),'2. GRI Pricing Inputs'!$D$32,IF(AND('3. GRI Pricing'!$F453&gt;='2. GRI Pricing Inputs'!$F$33,'3. GRI Pricing'!$F453&lt;='2. GRI Pricing Inputs'!$G$33),'2. GRI Pricing Inputs'!$F$32,IF(AND('3. GRI Pricing'!$F453&gt;='2. GRI Pricing Inputs'!$H$33,'3. GRI Pricing'!$F453&lt;='2. GRI Pricing Inputs'!$I$33),'2. GRI Pricing Inputs'!$H$32,IF(AND('3. GRI Pricing'!$F453&gt;='2. GRI Pricing Inputs'!$J$33,'3. GRI Pricing'!$F453&lt;='2. GRI Pricing Inputs'!$K$33),'2. GRI Pricing Inputs'!$J$32,IF(AND('3. GRI Pricing'!$F453&gt;='2. GRI Pricing Inputs'!$L$33,'3. GRI Pricing'!$F453&lt;='2. GRI Pricing Inputs'!$M$33),'2. GRI Pricing Inputs'!$L$32,IF(AND('3. GRI Pricing'!$F453&gt;='2. GRI Pricing Inputs'!$N$33,'3. GRI Pricing'!$F453&lt;='2. GRI Pricing Inputs'!$O$33),'2. GRI Pricing Inputs'!$N$32,IF(AND('3. GRI Pricing'!$F453&gt;='2. GRI Pricing Inputs'!$P$33,'3. GRI Pricing'!$F453&lt;='2. GRI Pricing Inputs'!$Q$33),'2. GRI Pricing Inputs'!$P$32,IF(AND('3. GRI Pricing'!$F453&gt;='2. GRI Pricing Inputs'!$R$33,'3. GRI Pricing'!$F453&lt;='2. GRI Pricing Inputs'!$S$33),'2. GRI Pricing Inputs'!$R$32,IF(AND('3. GRI Pricing'!$F453&gt;='2. GRI Pricing Inputs'!$T$33,'3. GRI Pricing'!$F453&lt;='2. GRI Pricing Inputs'!$U$33),'2. GRI Pricing Inputs'!$T$32,IF(AND('3. GRI Pricing'!$F453&gt;='2. GRI Pricing Inputs'!$V$33,'3. GRI Pricing'!$F453&lt;='2. GRI Pricing Inputs'!$W$33),'2. GRI Pricing Inputs'!$V$32,IF(AND('3. GRI Pricing'!$F453&gt;='2. GRI Pricing Inputs'!$X$33,'3. GRI Pricing'!$F453&lt;='2. GRI Pricing Inputs'!$Y$33),'2. GRI Pricing Inputs'!$X$32,IF(AND('3. GRI Pricing'!$F453&gt;='2. GRI Pricing Inputs'!$Z$33,'3. GRI Pricing'!$F453&lt;='2. GRI Pricing Inputs'!$AA$33),'2. GRI Pricing Inputs'!$Z$32,IF(AND('3. GRI Pricing'!$F453&gt;='2. GRI Pricing Inputs'!$AB$33,'3. GRI Pricing'!$F453&lt;='2. GRI Pricing Inputs'!$AC$33),'2. GRI Pricing Inputs'!$AB$32,IF(AND('3. GRI Pricing'!$F453&gt;='2. GRI Pricing Inputs'!$AD$33,'3. GRI Pricing'!$F453&lt;='2. GRI Pricing Inputs'!$AE$33),'2. GRI Pricing Inputs'!$AD$32,IF(AND('3. GRI Pricing'!$F453&gt;='2. GRI Pricing Inputs'!$AF$33,'3. GRI Pricing'!$F453&lt;='2. GRI Pricing Inputs'!$AG$33),'2. GRI Pricing Inputs'!$AF$32,IF(AND('3. GRI Pricing'!$F453&gt;='2. GRI Pricing Inputs'!$AH$33,'3. GRI Pricing'!$F453&lt;='2. GRI Pricing Inputs'!$AI$33),'2. GRI Pricing Inputs'!$AH$32,0))))))))))))))))</f>
        <v>0</v>
      </c>
      <c r="N453" s="273" cm="1">
        <f t="array" ref="N453">IFERROR(INDEX('2. GRI Pricing Inputs'!$C$32:$AI$39,MATCH('3. GRI Pricing'!D453,'2. GRI Pricing Inputs'!$C$32:$C$39,0),(MATCH('3. GRI Pricing'!M453,'2. GRI Pricing Inputs'!$D$32:$AI$32,0)+1)),0)</f>
        <v>0</v>
      </c>
      <c r="O453" s="273">
        <f>IFERROR(INDEX('2. GRI Pricing Inputs'!$C$45:$AI$46,MATCH($O$16,'2. GRI Pricing Inputs'!$C$45:$C$46,0),MATCH(G453,'2. GRI Pricing Inputs'!$C$45:$AI$45,0)),0)</f>
        <v>0</v>
      </c>
      <c r="P453" s="273">
        <f>IFERROR(INDEX('2. GRI Pricing Inputs'!$C$53:$AI$54,MATCH('3. GRI Pricing'!$P$16,'2. GRI Pricing Inputs'!$C$53:$C$54,0),MATCH('3. GRI Pricing'!H453,'2. GRI Pricing Inputs'!$C$53:$AI$53,0)),0)</f>
        <v>0</v>
      </c>
      <c r="Q453" s="273">
        <f>IFERROR(INDEX('2. GRI Pricing Inputs'!$C$60:$AI$61,MATCH('3. GRI Pricing'!$Q$16,'2. GRI Pricing Inputs'!$C$60:$C$61,0),MATCH('1. Accomodation'!T457,'2. GRI Pricing Inputs'!$C$60:$AI$60,0)),0)</f>
        <v>0</v>
      </c>
      <c r="R453" s="273">
        <f>IFERROR(INDEX('2. GRI Pricing Inputs'!$C$67:$AI$68,MATCH('3. GRI Pricing'!$R$16,'2. GRI Pricing Inputs'!$C$67:$C$68,0),MATCH('1. Accomodation'!U457,'2. GRI Pricing Inputs'!$C$67:$AI$67,0)),0)</f>
        <v>0</v>
      </c>
      <c r="S453" s="273">
        <f>IF(D453=0,0,'2. GRI Pricing Inputs'!$AI$75)</f>
        <v>0</v>
      </c>
      <c r="T453" s="273">
        <f>IFERROR(INDEX('2. GRI Pricing Inputs'!$C$82:$AI$83,MATCH('3. GRI Pricing'!$T$16,'2. GRI Pricing Inputs'!$C$82:$C$83,0),MATCH('1. Accomodation'!V457,'2. GRI Pricing Inputs'!$C$82:$AI$82,0)),0)</f>
        <v>0</v>
      </c>
      <c r="U453" s="273">
        <f>IFERROR(INDEX('2. GRI Pricing Inputs'!$C$89:$AI$90,MATCH('3. GRI Pricing'!$U$16,'2. GRI Pricing Inputs'!$C$89:$C$90,0),MATCH('1. Accomodation'!W457,'2. GRI Pricing Inputs'!$C$89:$AI$89,0)),0)</f>
        <v>0</v>
      </c>
      <c r="V453" s="273">
        <f>IFERROR(INDEX('2. GRI Pricing Inputs'!$C$97:$AI$98,MATCH('3. GRI Pricing'!$V$16,'2. GRI Pricing Inputs'!$C$97:$C$98,0),MATCH('1. Accomodation'!X457,'2. GRI Pricing Inputs'!$C$97:$AI$97,0)),0)</f>
        <v>0</v>
      </c>
      <c r="W453" s="273">
        <f>IFERROR(INDEX('2. GRI Pricing Inputs'!$C$104:$AI$105,MATCH('3. GRI Pricing'!$W$16,'2. GRI Pricing Inputs'!$C$104:$C$105,0),MATCH('1. Accomodation'!Y457,'2. GRI Pricing Inputs'!$C$104:$AI$104,0)),0)</f>
        <v>0</v>
      </c>
      <c r="X453" s="274"/>
      <c r="Y453" s="275">
        <f t="shared" si="13"/>
        <v>0</v>
      </c>
      <c r="Z453" s="276"/>
      <c r="AA453" s="276"/>
      <c r="AB453" s="276"/>
      <c r="AC453" s="272">
        <f>Y453*(1+'2. GRI Pricing Inputs'!$D$114)^(($AC$16-$AB$15)/365)</f>
        <v>0</v>
      </c>
      <c r="AD453" s="273">
        <f>AC453*(1+'2. GRI Pricing Inputs'!$D$114)^((AD$16-AC$16)/365)</f>
        <v>0</v>
      </c>
      <c r="AE453" s="273">
        <f>AD453*(1+'2. GRI Pricing Inputs'!$D$114)^((AE$16-AD$16)/365)</f>
        <v>0</v>
      </c>
      <c r="AF453" s="273">
        <f>AE453*(1+'2. GRI Pricing Inputs'!$D$114)^((AF$16-AE$16)/365)</f>
        <v>0</v>
      </c>
      <c r="AG453" s="273">
        <f>AF453*(1+'2. GRI Pricing Inputs'!$D$114)^((AG$16-AF$16)/365)</f>
        <v>0</v>
      </c>
      <c r="AH453" s="273">
        <f>AG453*(1+'2. GRI Pricing Inputs'!$D$114)^((AH$16-AG$16)/365)</f>
        <v>0</v>
      </c>
      <c r="AI453" s="273">
        <f>AH453*(1+'2. GRI Pricing Inputs'!$D$114)^((AI$16-AH$16)/365)</f>
        <v>0</v>
      </c>
      <c r="AJ453" s="273">
        <f>AI453*(1+'2. GRI Pricing Inputs'!$D$114)^((AJ$16-AI$16)/365)</f>
        <v>0</v>
      </c>
      <c r="AK453" s="273">
        <f>AJ453*(1+'2. GRI Pricing Inputs'!$D$114)^((AK$16-AJ$16)/365)</f>
        <v>0</v>
      </c>
      <c r="AL453" s="273">
        <f>AK453*(1+'2. GRI Pricing Inputs'!$D$114)^((AL$16-AK$16)/365)</f>
        <v>0</v>
      </c>
      <c r="AM453" s="273">
        <f>AL453*(1+'2. GRI Pricing Inputs'!$D$114)^((AM$16-AL$16)/365)</f>
        <v>0</v>
      </c>
      <c r="AN453" s="273">
        <f>AM453*(1+'2. GRI Pricing Inputs'!$D$114)^((AN$16-AM$16)/365)</f>
        <v>0</v>
      </c>
      <c r="AO453" s="273">
        <f>AN453*(1+'2. GRI Pricing Inputs'!$D$114)^((AO$16-AN$16)/365)</f>
        <v>0</v>
      </c>
    </row>
    <row r="454" spans="3:41" ht="12" x14ac:dyDescent="0.2">
      <c r="C454" s="76">
        <f>'1. Accomodation'!N458</f>
        <v>0</v>
      </c>
      <c r="D454" s="69">
        <f>'1. Accomodation'!P458</f>
        <v>0</v>
      </c>
      <c r="E454" s="69">
        <f>'1. Accomodation'!Q458</f>
        <v>0</v>
      </c>
      <c r="F454" s="77">
        <f>'1. Accomodation'!O458</f>
        <v>0</v>
      </c>
      <c r="G454" s="69">
        <f>'1. Accomodation'!R458</f>
        <v>0</v>
      </c>
      <c r="H454" s="69">
        <f>'1. Accomodation'!S458</f>
        <v>0</v>
      </c>
      <c r="I454" s="62"/>
      <c r="K454" s="272">
        <f>IFERROR(INDEX('2. GRI Pricing Inputs'!$C$15:$AI$16,MATCH($K$16,'2. GRI Pricing Inputs'!$C$15:$C$16,0),MATCH(D454,'2. GRI Pricing Inputs'!$C$15:$AI$15,0)),0)</f>
        <v>0</v>
      </c>
      <c r="L454" s="273">
        <f>IFERROR(INDEX('2. GRI Pricing Inputs'!$C$22:$AI$23,MATCH($L$16,'2. GRI Pricing Inputs'!$C$22:$C$23,0),MATCH(E454,'2. GRI Pricing Inputs'!$C$22:$AI$22,0)),0)</f>
        <v>0</v>
      </c>
      <c r="M454" s="328">
        <f>IF(AND('3. GRI Pricing'!$F454&gt;='2. GRI Pricing Inputs'!$D$33,'3. GRI Pricing'!$F454&lt;='2. GRI Pricing Inputs'!$E$33),'2. GRI Pricing Inputs'!$D$32,IF(AND('3. GRI Pricing'!$F454&gt;='2. GRI Pricing Inputs'!$F$33,'3. GRI Pricing'!$F454&lt;='2. GRI Pricing Inputs'!$G$33),'2. GRI Pricing Inputs'!$F$32,IF(AND('3. GRI Pricing'!$F454&gt;='2. GRI Pricing Inputs'!$H$33,'3. GRI Pricing'!$F454&lt;='2. GRI Pricing Inputs'!$I$33),'2. GRI Pricing Inputs'!$H$32,IF(AND('3. GRI Pricing'!$F454&gt;='2. GRI Pricing Inputs'!$J$33,'3. GRI Pricing'!$F454&lt;='2. GRI Pricing Inputs'!$K$33),'2. GRI Pricing Inputs'!$J$32,IF(AND('3. GRI Pricing'!$F454&gt;='2. GRI Pricing Inputs'!$L$33,'3. GRI Pricing'!$F454&lt;='2. GRI Pricing Inputs'!$M$33),'2. GRI Pricing Inputs'!$L$32,IF(AND('3. GRI Pricing'!$F454&gt;='2. GRI Pricing Inputs'!$N$33,'3. GRI Pricing'!$F454&lt;='2. GRI Pricing Inputs'!$O$33),'2. GRI Pricing Inputs'!$N$32,IF(AND('3. GRI Pricing'!$F454&gt;='2. GRI Pricing Inputs'!$P$33,'3. GRI Pricing'!$F454&lt;='2. GRI Pricing Inputs'!$Q$33),'2. GRI Pricing Inputs'!$P$32,IF(AND('3. GRI Pricing'!$F454&gt;='2. GRI Pricing Inputs'!$R$33,'3. GRI Pricing'!$F454&lt;='2. GRI Pricing Inputs'!$S$33),'2. GRI Pricing Inputs'!$R$32,IF(AND('3. GRI Pricing'!$F454&gt;='2. GRI Pricing Inputs'!$T$33,'3. GRI Pricing'!$F454&lt;='2. GRI Pricing Inputs'!$U$33),'2. GRI Pricing Inputs'!$T$32,IF(AND('3. GRI Pricing'!$F454&gt;='2. GRI Pricing Inputs'!$V$33,'3. GRI Pricing'!$F454&lt;='2. GRI Pricing Inputs'!$W$33),'2. GRI Pricing Inputs'!$V$32,IF(AND('3. GRI Pricing'!$F454&gt;='2. GRI Pricing Inputs'!$X$33,'3. GRI Pricing'!$F454&lt;='2. GRI Pricing Inputs'!$Y$33),'2. GRI Pricing Inputs'!$X$32,IF(AND('3. GRI Pricing'!$F454&gt;='2. GRI Pricing Inputs'!$Z$33,'3. GRI Pricing'!$F454&lt;='2. GRI Pricing Inputs'!$AA$33),'2. GRI Pricing Inputs'!$Z$32,IF(AND('3. GRI Pricing'!$F454&gt;='2. GRI Pricing Inputs'!$AB$33,'3. GRI Pricing'!$F454&lt;='2. GRI Pricing Inputs'!$AC$33),'2. GRI Pricing Inputs'!$AB$32,IF(AND('3. GRI Pricing'!$F454&gt;='2. GRI Pricing Inputs'!$AD$33,'3. GRI Pricing'!$F454&lt;='2. GRI Pricing Inputs'!$AE$33),'2. GRI Pricing Inputs'!$AD$32,IF(AND('3. GRI Pricing'!$F454&gt;='2. GRI Pricing Inputs'!$AF$33,'3. GRI Pricing'!$F454&lt;='2. GRI Pricing Inputs'!$AG$33),'2. GRI Pricing Inputs'!$AF$32,IF(AND('3. GRI Pricing'!$F454&gt;='2. GRI Pricing Inputs'!$AH$33,'3. GRI Pricing'!$F454&lt;='2. GRI Pricing Inputs'!$AI$33),'2. GRI Pricing Inputs'!$AH$32,0))))))))))))))))</f>
        <v>0</v>
      </c>
      <c r="N454" s="273" cm="1">
        <f t="array" ref="N454">IFERROR(INDEX('2. GRI Pricing Inputs'!$C$32:$AI$39,MATCH('3. GRI Pricing'!D454,'2. GRI Pricing Inputs'!$C$32:$C$39,0),(MATCH('3. GRI Pricing'!M454,'2. GRI Pricing Inputs'!$D$32:$AI$32,0)+1)),0)</f>
        <v>0</v>
      </c>
      <c r="O454" s="273">
        <f>IFERROR(INDEX('2. GRI Pricing Inputs'!$C$45:$AI$46,MATCH($O$16,'2. GRI Pricing Inputs'!$C$45:$C$46,0),MATCH(G454,'2. GRI Pricing Inputs'!$C$45:$AI$45,0)),0)</f>
        <v>0</v>
      </c>
      <c r="P454" s="273">
        <f>IFERROR(INDEX('2. GRI Pricing Inputs'!$C$53:$AI$54,MATCH('3. GRI Pricing'!$P$16,'2. GRI Pricing Inputs'!$C$53:$C$54,0),MATCH('3. GRI Pricing'!H454,'2. GRI Pricing Inputs'!$C$53:$AI$53,0)),0)</f>
        <v>0</v>
      </c>
      <c r="Q454" s="273">
        <f>IFERROR(INDEX('2. GRI Pricing Inputs'!$C$60:$AI$61,MATCH('3. GRI Pricing'!$Q$16,'2. GRI Pricing Inputs'!$C$60:$C$61,0),MATCH('1. Accomodation'!T458,'2. GRI Pricing Inputs'!$C$60:$AI$60,0)),0)</f>
        <v>0</v>
      </c>
      <c r="R454" s="273">
        <f>IFERROR(INDEX('2. GRI Pricing Inputs'!$C$67:$AI$68,MATCH('3. GRI Pricing'!$R$16,'2. GRI Pricing Inputs'!$C$67:$C$68,0),MATCH('1. Accomodation'!U458,'2. GRI Pricing Inputs'!$C$67:$AI$67,0)),0)</f>
        <v>0</v>
      </c>
      <c r="S454" s="273">
        <f>IF(D454=0,0,'2. GRI Pricing Inputs'!$AI$75)</f>
        <v>0</v>
      </c>
      <c r="T454" s="273">
        <f>IFERROR(INDEX('2. GRI Pricing Inputs'!$C$82:$AI$83,MATCH('3. GRI Pricing'!$T$16,'2. GRI Pricing Inputs'!$C$82:$C$83,0),MATCH('1. Accomodation'!V458,'2. GRI Pricing Inputs'!$C$82:$AI$82,0)),0)</f>
        <v>0</v>
      </c>
      <c r="U454" s="273">
        <f>IFERROR(INDEX('2. GRI Pricing Inputs'!$C$89:$AI$90,MATCH('3. GRI Pricing'!$U$16,'2. GRI Pricing Inputs'!$C$89:$C$90,0),MATCH('1. Accomodation'!W458,'2. GRI Pricing Inputs'!$C$89:$AI$89,0)),0)</f>
        <v>0</v>
      </c>
      <c r="V454" s="273">
        <f>IFERROR(INDEX('2. GRI Pricing Inputs'!$C$97:$AI$98,MATCH('3. GRI Pricing'!$V$16,'2. GRI Pricing Inputs'!$C$97:$C$98,0),MATCH('1. Accomodation'!X458,'2. GRI Pricing Inputs'!$C$97:$AI$97,0)),0)</f>
        <v>0</v>
      </c>
      <c r="W454" s="273">
        <f>IFERROR(INDEX('2. GRI Pricing Inputs'!$C$104:$AI$105,MATCH('3. GRI Pricing'!$W$16,'2. GRI Pricing Inputs'!$C$104:$C$105,0),MATCH('1. Accomodation'!Y458,'2. GRI Pricing Inputs'!$C$104:$AI$104,0)),0)</f>
        <v>0</v>
      </c>
      <c r="X454" s="274"/>
      <c r="Y454" s="275">
        <f t="shared" si="13"/>
        <v>0</v>
      </c>
      <c r="Z454" s="276"/>
      <c r="AA454" s="276"/>
      <c r="AB454" s="276"/>
      <c r="AC454" s="272">
        <f>Y454*(1+'2. GRI Pricing Inputs'!$D$114)^(($AC$16-$AB$15)/365)</f>
        <v>0</v>
      </c>
      <c r="AD454" s="273">
        <f>AC454*(1+'2. GRI Pricing Inputs'!$D$114)^((AD$16-AC$16)/365)</f>
        <v>0</v>
      </c>
      <c r="AE454" s="273">
        <f>AD454*(1+'2. GRI Pricing Inputs'!$D$114)^((AE$16-AD$16)/365)</f>
        <v>0</v>
      </c>
      <c r="AF454" s="273">
        <f>AE454*(1+'2. GRI Pricing Inputs'!$D$114)^((AF$16-AE$16)/365)</f>
        <v>0</v>
      </c>
      <c r="AG454" s="273">
        <f>AF454*(1+'2. GRI Pricing Inputs'!$D$114)^((AG$16-AF$16)/365)</f>
        <v>0</v>
      </c>
      <c r="AH454" s="273">
        <f>AG454*(1+'2. GRI Pricing Inputs'!$D$114)^((AH$16-AG$16)/365)</f>
        <v>0</v>
      </c>
      <c r="AI454" s="273">
        <f>AH454*(1+'2. GRI Pricing Inputs'!$D$114)^((AI$16-AH$16)/365)</f>
        <v>0</v>
      </c>
      <c r="AJ454" s="273">
        <f>AI454*(1+'2. GRI Pricing Inputs'!$D$114)^((AJ$16-AI$16)/365)</f>
        <v>0</v>
      </c>
      <c r="AK454" s="273">
        <f>AJ454*(1+'2. GRI Pricing Inputs'!$D$114)^((AK$16-AJ$16)/365)</f>
        <v>0</v>
      </c>
      <c r="AL454" s="273">
        <f>AK454*(1+'2. GRI Pricing Inputs'!$D$114)^((AL$16-AK$16)/365)</f>
        <v>0</v>
      </c>
      <c r="AM454" s="273">
        <f>AL454*(1+'2. GRI Pricing Inputs'!$D$114)^((AM$16-AL$16)/365)</f>
        <v>0</v>
      </c>
      <c r="AN454" s="273">
        <f>AM454*(1+'2. GRI Pricing Inputs'!$D$114)^((AN$16-AM$16)/365)</f>
        <v>0</v>
      </c>
      <c r="AO454" s="273">
        <f>AN454*(1+'2. GRI Pricing Inputs'!$D$114)^((AO$16-AN$16)/365)</f>
        <v>0</v>
      </c>
    </row>
    <row r="455" spans="3:41" ht="12" x14ac:dyDescent="0.2">
      <c r="C455" s="76">
        <f>'1. Accomodation'!N459</f>
        <v>0</v>
      </c>
      <c r="D455" s="69">
        <f>'1. Accomodation'!P459</f>
        <v>0</v>
      </c>
      <c r="E455" s="69">
        <f>'1. Accomodation'!Q459</f>
        <v>0</v>
      </c>
      <c r="F455" s="77">
        <f>'1. Accomodation'!O459</f>
        <v>0</v>
      </c>
      <c r="G455" s="69">
        <f>'1. Accomodation'!R459</f>
        <v>0</v>
      </c>
      <c r="H455" s="69">
        <f>'1. Accomodation'!S459</f>
        <v>0</v>
      </c>
      <c r="I455" s="62"/>
      <c r="K455" s="272">
        <f>IFERROR(INDEX('2. GRI Pricing Inputs'!$C$15:$AI$16,MATCH($K$16,'2. GRI Pricing Inputs'!$C$15:$C$16,0),MATCH(D455,'2. GRI Pricing Inputs'!$C$15:$AI$15,0)),0)</f>
        <v>0</v>
      </c>
      <c r="L455" s="273">
        <f>IFERROR(INDEX('2. GRI Pricing Inputs'!$C$22:$AI$23,MATCH($L$16,'2. GRI Pricing Inputs'!$C$22:$C$23,0),MATCH(E455,'2. GRI Pricing Inputs'!$C$22:$AI$22,0)),0)</f>
        <v>0</v>
      </c>
      <c r="M455" s="328">
        <f>IF(AND('3. GRI Pricing'!$F455&gt;='2. GRI Pricing Inputs'!$D$33,'3. GRI Pricing'!$F455&lt;='2. GRI Pricing Inputs'!$E$33),'2. GRI Pricing Inputs'!$D$32,IF(AND('3. GRI Pricing'!$F455&gt;='2. GRI Pricing Inputs'!$F$33,'3. GRI Pricing'!$F455&lt;='2. GRI Pricing Inputs'!$G$33),'2. GRI Pricing Inputs'!$F$32,IF(AND('3. GRI Pricing'!$F455&gt;='2. GRI Pricing Inputs'!$H$33,'3. GRI Pricing'!$F455&lt;='2. GRI Pricing Inputs'!$I$33),'2. GRI Pricing Inputs'!$H$32,IF(AND('3. GRI Pricing'!$F455&gt;='2. GRI Pricing Inputs'!$J$33,'3. GRI Pricing'!$F455&lt;='2. GRI Pricing Inputs'!$K$33),'2. GRI Pricing Inputs'!$J$32,IF(AND('3. GRI Pricing'!$F455&gt;='2. GRI Pricing Inputs'!$L$33,'3. GRI Pricing'!$F455&lt;='2. GRI Pricing Inputs'!$M$33),'2. GRI Pricing Inputs'!$L$32,IF(AND('3. GRI Pricing'!$F455&gt;='2. GRI Pricing Inputs'!$N$33,'3. GRI Pricing'!$F455&lt;='2. GRI Pricing Inputs'!$O$33),'2. GRI Pricing Inputs'!$N$32,IF(AND('3. GRI Pricing'!$F455&gt;='2. GRI Pricing Inputs'!$P$33,'3. GRI Pricing'!$F455&lt;='2. GRI Pricing Inputs'!$Q$33),'2. GRI Pricing Inputs'!$P$32,IF(AND('3. GRI Pricing'!$F455&gt;='2. GRI Pricing Inputs'!$R$33,'3. GRI Pricing'!$F455&lt;='2. GRI Pricing Inputs'!$S$33),'2. GRI Pricing Inputs'!$R$32,IF(AND('3. GRI Pricing'!$F455&gt;='2. GRI Pricing Inputs'!$T$33,'3. GRI Pricing'!$F455&lt;='2. GRI Pricing Inputs'!$U$33),'2. GRI Pricing Inputs'!$T$32,IF(AND('3. GRI Pricing'!$F455&gt;='2. GRI Pricing Inputs'!$V$33,'3. GRI Pricing'!$F455&lt;='2. GRI Pricing Inputs'!$W$33),'2. GRI Pricing Inputs'!$V$32,IF(AND('3. GRI Pricing'!$F455&gt;='2. GRI Pricing Inputs'!$X$33,'3. GRI Pricing'!$F455&lt;='2. GRI Pricing Inputs'!$Y$33),'2. GRI Pricing Inputs'!$X$32,IF(AND('3. GRI Pricing'!$F455&gt;='2. GRI Pricing Inputs'!$Z$33,'3. GRI Pricing'!$F455&lt;='2. GRI Pricing Inputs'!$AA$33),'2. GRI Pricing Inputs'!$Z$32,IF(AND('3. GRI Pricing'!$F455&gt;='2. GRI Pricing Inputs'!$AB$33,'3. GRI Pricing'!$F455&lt;='2. GRI Pricing Inputs'!$AC$33),'2. GRI Pricing Inputs'!$AB$32,IF(AND('3. GRI Pricing'!$F455&gt;='2. GRI Pricing Inputs'!$AD$33,'3. GRI Pricing'!$F455&lt;='2. GRI Pricing Inputs'!$AE$33),'2. GRI Pricing Inputs'!$AD$32,IF(AND('3. GRI Pricing'!$F455&gt;='2. GRI Pricing Inputs'!$AF$33,'3. GRI Pricing'!$F455&lt;='2. GRI Pricing Inputs'!$AG$33),'2. GRI Pricing Inputs'!$AF$32,IF(AND('3. GRI Pricing'!$F455&gt;='2. GRI Pricing Inputs'!$AH$33,'3. GRI Pricing'!$F455&lt;='2. GRI Pricing Inputs'!$AI$33),'2. GRI Pricing Inputs'!$AH$32,0))))))))))))))))</f>
        <v>0</v>
      </c>
      <c r="N455" s="273" cm="1">
        <f t="array" ref="N455">IFERROR(INDEX('2. GRI Pricing Inputs'!$C$32:$AI$39,MATCH('3. GRI Pricing'!D455,'2. GRI Pricing Inputs'!$C$32:$C$39,0),(MATCH('3. GRI Pricing'!M455,'2. GRI Pricing Inputs'!$D$32:$AI$32,0)+1)),0)</f>
        <v>0</v>
      </c>
      <c r="O455" s="273">
        <f>IFERROR(INDEX('2. GRI Pricing Inputs'!$C$45:$AI$46,MATCH($O$16,'2. GRI Pricing Inputs'!$C$45:$C$46,0),MATCH(G455,'2. GRI Pricing Inputs'!$C$45:$AI$45,0)),0)</f>
        <v>0</v>
      </c>
      <c r="P455" s="273">
        <f>IFERROR(INDEX('2. GRI Pricing Inputs'!$C$53:$AI$54,MATCH('3. GRI Pricing'!$P$16,'2. GRI Pricing Inputs'!$C$53:$C$54,0),MATCH('3. GRI Pricing'!H455,'2. GRI Pricing Inputs'!$C$53:$AI$53,0)),0)</f>
        <v>0</v>
      </c>
      <c r="Q455" s="273">
        <f>IFERROR(INDEX('2. GRI Pricing Inputs'!$C$60:$AI$61,MATCH('3. GRI Pricing'!$Q$16,'2. GRI Pricing Inputs'!$C$60:$C$61,0),MATCH('1. Accomodation'!T459,'2. GRI Pricing Inputs'!$C$60:$AI$60,0)),0)</f>
        <v>0</v>
      </c>
      <c r="R455" s="273">
        <f>IFERROR(INDEX('2. GRI Pricing Inputs'!$C$67:$AI$68,MATCH('3. GRI Pricing'!$R$16,'2. GRI Pricing Inputs'!$C$67:$C$68,0),MATCH('1. Accomodation'!U459,'2. GRI Pricing Inputs'!$C$67:$AI$67,0)),0)</f>
        <v>0</v>
      </c>
      <c r="S455" s="273">
        <f>IF(D455=0,0,'2. GRI Pricing Inputs'!$AI$75)</f>
        <v>0</v>
      </c>
      <c r="T455" s="273">
        <f>IFERROR(INDEX('2. GRI Pricing Inputs'!$C$82:$AI$83,MATCH('3. GRI Pricing'!$T$16,'2. GRI Pricing Inputs'!$C$82:$C$83,0),MATCH('1. Accomodation'!V459,'2. GRI Pricing Inputs'!$C$82:$AI$82,0)),0)</f>
        <v>0</v>
      </c>
      <c r="U455" s="273">
        <f>IFERROR(INDEX('2. GRI Pricing Inputs'!$C$89:$AI$90,MATCH('3. GRI Pricing'!$U$16,'2. GRI Pricing Inputs'!$C$89:$C$90,0),MATCH('1. Accomodation'!W459,'2. GRI Pricing Inputs'!$C$89:$AI$89,0)),0)</f>
        <v>0</v>
      </c>
      <c r="V455" s="273">
        <f>IFERROR(INDEX('2. GRI Pricing Inputs'!$C$97:$AI$98,MATCH('3. GRI Pricing'!$V$16,'2. GRI Pricing Inputs'!$C$97:$C$98,0),MATCH('1. Accomodation'!X459,'2. GRI Pricing Inputs'!$C$97:$AI$97,0)),0)</f>
        <v>0</v>
      </c>
      <c r="W455" s="273">
        <f>IFERROR(INDEX('2. GRI Pricing Inputs'!$C$104:$AI$105,MATCH('3. GRI Pricing'!$W$16,'2. GRI Pricing Inputs'!$C$104:$C$105,0),MATCH('1. Accomodation'!Y459,'2. GRI Pricing Inputs'!$C$104:$AI$104,0)),0)</f>
        <v>0</v>
      </c>
      <c r="X455" s="274"/>
      <c r="Y455" s="275">
        <f t="shared" si="13"/>
        <v>0</v>
      </c>
      <c r="Z455" s="276"/>
      <c r="AA455" s="276"/>
      <c r="AB455" s="276"/>
      <c r="AC455" s="272">
        <f>Y455*(1+'2. GRI Pricing Inputs'!$D$114)^(($AC$16-$AB$15)/365)</f>
        <v>0</v>
      </c>
      <c r="AD455" s="273">
        <f>AC455*(1+'2. GRI Pricing Inputs'!$D$114)^((AD$16-AC$16)/365)</f>
        <v>0</v>
      </c>
      <c r="AE455" s="273">
        <f>AD455*(1+'2. GRI Pricing Inputs'!$D$114)^((AE$16-AD$16)/365)</f>
        <v>0</v>
      </c>
      <c r="AF455" s="273">
        <f>AE455*(1+'2. GRI Pricing Inputs'!$D$114)^((AF$16-AE$16)/365)</f>
        <v>0</v>
      </c>
      <c r="AG455" s="273">
        <f>AF455*(1+'2. GRI Pricing Inputs'!$D$114)^((AG$16-AF$16)/365)</f>
        <v>0</v>
      </c>
      <c r="AH455" s="273">
        <f>AG455*(1+'2. GRI Pricing Inputs'!$D$114)^((AH$16-AG$16)/365)</f>
        <v>0</v>
      </c>
      <c r="AI455" s="273">
        <f>AH455*(1+'2. GRI Pricing Inputs'!$D$114)^((AI$16-AH$16)/365)</f>
        <v>0</v>
      </c>
      <c r="AJ455" s="273">
        <f>AI455*(1+'2. GRI Pricing Inputs'!$D$114)^((AJ$16-AI$16)/365)</f>
        <v>0</v>
      </c>
      <c r="AK455" s="273">
        <f>AJ455*(1+'2. GRI Pricing Inputs'!$D$114)^((AK$16-AJ$16)/365)</f>
        <v>0</v>
      </c>
      <c r="AL455" s="273">
        <f>AK455*(1+'2. GRI Pricing Inputs'!$D$114)^((AL$16-AK$16)/365)</f>
        <v>0</v>
      </c>
      <c r="AM455" s="273">
        <f>AL455*(1+'2. GRI Pricing Inputs'!$D$114)^((AM$16-AL$16)/365)</f>
        <v>0</v>
      </c>
      <c r="AN455" s="273">
        <f>AM455*(1+'2. GRI Pricing Inputs'!$D$114)^((AN$16-AM$16)/365)</f>
        <v>0</v>
      </c>
      <c r="AO455" s="273">
        <f>AN455*(1+'2. GRI Pricing Inputs'!$D$114)^((AO$16-AN$16)/365)</f>
        <v>0</v>
      </c>
    </row>
    <row r="456" spans="3:41" ht="12" x14ac:dyDescent="0.2">
      <c r="C456" s="76">
        <f>'1. Accomodation'!N460</f>
        <v>0</v>
      </c>
      <c r="D456" s="69">
        <f>'1. Accomodation'!P460</f>
        <v>0</v>
      </c>
      <c r="E456" s="69">
        <f>'1. Accomodation'!Q460</f>
        <v>0</v>
      </c>
      <c r="F456" s="77">
        <f>'1. Accomodation'!O460</f>
        <v>0</v>
      </c>
      <c r="G456" s="69">
        <f>'1. Accomodation'!R460</f>
        <v>0</v>
      </c>
      <c r="H456" s="69">
        <f>'1. Accomodation'!S460</f>
        <v>0</v>
      </c>
      <c r="I456" s="62"/>
      <c r="K456" s="272">
        <f>IFERROR(INDEX('2. GRI Pricing Inputs'!$C$15:$AI$16,MATCH($K$16,'2. GRI Pricing Inputs'!$C$15:$C$16,0),MATCH(D456,'2. GRI Pricing Inputs'!$C$15:$AI$15,0)),0)</f>
        <v>0</v>
      </c>
      <c r="L456" s="273">
        <f>IFERROR(INDEX('2. GRI Pricing Inputs'!$C$22:$AI$23,MATCH($L$16,'2. GRI Pricing Inputs'!$C$22:$C$23,0),MATCH(E456,'2. GRI Pricing Inputs'!$C$22:$AI$22,0)),0)</f>
        <v>0</v>
      </c>
      <c r="M456" s="328">
        <f>IF(AND('3. GRI Pricing'!$F456&gt;='2. GRI Pricing Inputs'!$D$33,'3. GRI Pricing'!$F456&lt;='2. GRI Pricing Inputs'!$E$33),'2. GRI Pricing Inputs'!$D$32,IF(AND('3. GRI Pricing'!$F456&gt;='2. GRI Pricing Inputs'!$F$33,'3. GRI Pricing'!$F456&lt;='2. GRI Pricing Inputs'!$G$33),'2. GRI Pricing Inputs'!$F$32,IF(AND('3. GRI Pricing'!$F456&gt;='2. GRI Pricing Inputs'!$H$33,'3. GRI Pricing'!$F456&lt;='2. GRI Pricing Inputs'!$I$33),'2. GRI Pricing Inputs'!$H$32,IF(AND('3. GRI Pricing'!$F456&gt;='2. GRI Pricing Inputs'!$J$33,'3. GRI Pricing'!$F456&lt;='2. GRI Pricing Inputs'!$K$33),'2. GRI Pricing Inputs'!$J$32,IF(AND('3. GRI Pricing'!$F456&gt;='2. GRI Pricing Inputs'!$L$33,'3. GRI Pricing'!$F456&lt;='2. GRI Pricing Inputs'!$M$33),'2. GRI Pricing Inputs'!$L$32,IF(AND('3. GRI Pricing'!$F456&gt;='2. GRI Pricing Inputs'!$N$33,'3. GRI Pricing'!$F456&lt;='2. GRI Pricing Inputs'!$O$33),'2. GRI Pricing Inputs'!$N$32,IF(AND('3. GRI Pricing'!$F456&gt;='2. GRI Pricing Inputs'!$P$33,'3. GRI Pricing'!$F456&lt;='2. GRI Pricing Inputs'!$Q$33),'2. GRI Pricing Inputs'!$P$32,IF(AND('3. GRI Pricing'!$F456&gt;='2. GRI Pricing Inputs'!$R$33,'3. GRI Pricing'!$F456&lt;='2. GRI Pricing Inputs'!$S$33),'2. GRI Pricing Inputs'!$R$32,IF(AND('3. GRI Pricing'!$F456&gt;='2. GRI Pricing Inputs'!$T$33,'3. GRI Pricing'!$F456&lt;='2. GRI Pricing Inputs'!$U$33),'2. GRI Pricing Inputs'!$T$32,IF(AND('3. GRI Pricing'!$F456&gt;='2. GRI Pricing Inputs'!$V$33,'3. GRI Pricing'!$F456&lt;='2. GRI Pricing Inputs'!$W$33),'2. GRI Pricing Inputs'!$V$32,IF(AND('3. GRI Pricing'!$F456&gt;='2. GRI Pricing Inputs'!$X$33,'3. GRI Pricing'!$F456&lt;='2. GRI Pricing Inputs'!$Y$33),'2. GRI Pricing Inputs'!$X$32,IF(AND('3. GRI Pricing'!$F456&gt;='2. GRI Pricing Inputs'!$Z$33,'3. GRI Pricing'!$F456&lt;='2. GRI Pricing Inputs'!$AA$33),'2. GRI Pricing Inputs'!$Z$32,IF(AND('3. GRI Pricing'!$F456&gt;='2. GRI Pricing Inputs'!$AB$33,'3. GRI Pricing'!$F456&lt;='2. GRI Pricing Inputs'!$AC$33),'2. GRI Pricing Inputs'!$AB$32,IF(AND('3. GRI Pricing'!$F456&gt;='2. GRI Pricing Inputs'!$AD$33,'3. GRI Pricing'!$F456&lt;='2. GRI Pricing Inputs'!$AE$33),'2. GRI Pricing Inputs'!$AD$32,IF(AND('3. GRI Pricing'!$F456&gt;='2. GRI Pricing Inputs'!$AF$33,'3. GRI Pricing'!$F456&lt;='2. GRI Pricing Inputs'!$AG$33),'2. GRI Pricing Inputs'!$AF$32,IF(AND('3. GRI Pricing'!$F456&gt;='2. GRI Pricing Inputs'!$AH$33,'3. GRI Pricing'!$F456&lt;='2. GRI Pricing Inputs'!$AI$33),'2. GRI Pricing Inputs'!$AH$32,0))))))))))))))))</f>
        <v>0</v>
      </c>
      <c r="N456" s="273" cm="1">
        <f t="array" ref="N456">IFERROR(INDEX('2. GRI Pricing Inputs'!$C$32:$AI$39,MATCH('3. GRI Pricing'!D456,'2. GRI Pricing Inputs'!$C$32:$C$39,0),(MATCH('3. GRI Pricing'!M456,'2. GRI Pricing Inputs'!$D$32:$AI$32,0)+1)),0)</f>
        <v>0</v>
      </c>
      <c r="O456" s="273">
        <f>IFERROR(INDEX('2. GRI Pricing Inputs'!$C$45:$AI$46,MATCH($O$16,'2. GRI Pricing Inputs'!$C$45:$C$46,0),MATCH(G456,'2. GRI Pricing Inputs'!$C$45:$AI$45,0)),0)</f>
        <v>0</v>
      </c>
      <c r="P456" s="273">
        <f>IFERROR(INDEX('2. GRI Pricing Inputs'!$C$53:$AI$54,MATCH('3. GRI Pricing'!$P$16,'2. GRI Pricing Inputs'!$C$53:$C$54,0),MATCH('3. GRI Pricing'!H456,'2. GRI Pricing Inputs'!$C$53:$AI$53,0)),0)</f>
        <v>0</v>
      </c>
      <c r="Q456" s="273">
        <f>IFERROR(INDEX('2. GRI Pricing Inputs'!$C$60:$AI$61,MATCH('3. GRI Pricing'!$Q$16,'2. GRI Pricing Inputs'!$C$60:$C$61,0),MATCH('1. Accomodation'!T460,'2. GRI Pricing Inputs'!$C$60:$AI$60,0)),0)</f>
        <v>0</v>
      </c>
      <c r="R456" s="273">
        <f>IFERROR(INDEX('2. GRI Pricing Inputs'!$C$67:$AI$68,MATCH('3. GRI Pricing'!$R$16,'2. GRI Pricing Inputs'!$C$67:$C$68,0),MATCH('1. Accomodation'!U460,'2. GRI Pricing Inputs'!$C$67:$AI$67,0)),0)</f>
        <v>0</v>
      </c>
      <c r="S456" s="273">
        <f>IF(D456=0,0,'2. GRI Pricing Inputs'!$AI$75)</f>
        <v>0</v>
      </c>
      <c r="T456" s="273">
        <f>IFERROR(INDEX('2. GRI Pricing Inputs'!$C$82:$AI$83,MATCH('3. GRI Pricing'!$T$16,'2. GRI Pricing Inputs'!$C$82:$C$83,0),MATCH('1. Accomodation'!V460,'2. GRI Pricing Inputs'!$C$82:$AI$82,0)),0)</f>
        <v>0</v>
      </c>
      <c r="U456" s="273">
        <f>IFERROR(INDEX('2. GRI Pricing Inputs'!$C$89:$AI$90,MATCH('3. GRI Pricing'!$U$16,'2. GRI Pricing Inputs'!$C$89:$C$90,0),MATCH('1. Accomodation'!W460,'2. GRI Pricing Inputs'!$C$89:$AI$89,0)),0)</f>
        <v>0</v>
      </c>
      <c r="V456" s="273">
        <f>IFERROR(INDEX('2. GRI Pricing Inputs'!$C$97:$AI$98,MATCH('3. GRI Pricing'!$V$16,'2. GRI Pricing Inputs'!$C$97:$C$98,0),MATCH('1. Accomodation'!X460,'2. GRI Pricing Inputs'!$C$97:$AI$97,0)),0)</f>
        <v>0</v>
      </c>
      <c r="W456" s="273">
        <f>IFERROR(INDEX('2. GRI Pricing Inputs'!$C$104:$AI$105,MATCH('3. GRI Pricing'!$W$16,'2. GRI Pricing Inputs'!$C$104:$C$105,0),MATCH('1. Accomodation'!Y460,'2. GRI Pricing Inputs'!$C$104:$AI$104,0)),0)</f>
        <v>0</v>
      </c>
      <c r="X456" s="274"/>
      <c r="Y456" s="275">
        <f t="shared" si="13"/>
        <v>0</v>
      </c>
      <c r="Z456" s="276"/>
      <c r="AA456" s="276"/>
      <c r="AB456" s="276"/>
      <c r="AC456" s="272">
        <f>Y456*(1+'2. GRI Pricing Inputs'!$D$114)^(($AC$16-$AB$15)/365)</f>
        <v>0</v>
      </c>
      <c r="AD456" s="273">
        <f>AC456*(1+'2. GRI Pricing Inputs'!$D$114)^((AD$16-AC$16)/365)</f>
        <v>0</v>
      </c>
      <c r="AE456" s="273">
        <f>AD456*(1+'2. GRI Pricing Inputs'!$D$114)^((AE$16-AD$16)/365)</f>
        <v>0</v>
      </c>
      <c r="AF456" s="273">
        <f>AE456*(1+'2. GRI Pricing Inputs'!$D$114)^((AF$16-AE$16)/365)</f>
        <v>0</v>
      </c>
      <c r="AG456" s="273">
        <f>AF456*(1+'2. GRI Pricing Inputs'!$D$114)^((AG$16-AF$16)/365)</f>
        <v>0</v>
      </c>
      <c r="AH456" s="273">
        <f>AG456*(1+'2. GRI Pricing Inputs'!$D$114)^((AH$16-AG$16)/365)</f>
        <v>0</v>
      </c>
      <c r="AI456" s="273">
        <f>AH456*(1+'2. GRI Pricing Inputs'!$D$114)^((AI$16-AH$16)/365)</f>
        <v>0</v>
      </c>
      <c r="AJ456" s="273">
        <f>AI456*(1+'2. GRI Pricing Inputs'!$D$114)^((AJ$16-AI$16)/365)</f>
        <v>0</v>
      </c>
      <c r="AK456" s="273">
        <f>AJ456*(1+'2. GRI Pricing Inputs'!$D$114)^((AK$16-AJ$16)/365)</f>
        <v>0</v>
      </c>
      <c r="AL456" s="273">
        <f>AK456*(1+'2. GRI Pricing Inputs'!$D$114)^((AL$16-AK$16)/365)</f>
        <v>0</v>
      </c>
      <c r="AM456" s="273">
        <f>AL456*(1+'2. GRI Pricing Inputs'!$D$114)^((AM$16-AL$16)/365)</f>
        <v>0</v>
      </c>
      <c r="AN456" s="273">
        <f>AM456*(1+'2. GRI Pricing Inputs'!$D$114)^((AN$16-AM$16)/365)</f>
        <v>0</v>
      </c>
      <c r="AO456" s="273">
        <f>AN456*(1+'2. GRI Pricing Inputs'!$D$114)^((AO$16-AN$16)/365)</f>
        <v>0</v>
      </c>
    </row>
    <row r="457" spans="3:41" ht="12" x14ac:dyDescent="0.2">
      <c r="C457" s="76">
        <f>'1. Accomodation'!N461</f>
        <v>0</v>
      </c>
      <c r="D457" s="69">
        <f>'1. Accomodation'!P461</f>
        <v>0</v>
      </c>
      <c r="E457" s="69">
        <f>'1. Accomodation'!Q461</f>
        <v>0</v>
      </c>
      <c r="F457" s="77">
        <f>'1. Accomodation'!O461</f>
        <v>0</v>
      </c>
      <c r="G457" s="69">
        <f>'1. Accomodation'!R461</f>
        <v>0</v>
      </c>
      <c r="H457" s="69">
        <f>'1. Accomodation'!S461</f>
        <v>0</v>
      </c>
      <c r="I457" s="62"/>
      <c r="K457" s="272">
        <f>IFERROR(INDEX('2. GRI Pricing Inputs'!$C$15:$AI$16,MATCH($K$16,'2. GRI Pricing Inputs'!$C$15:$C$16,0),MATCH(D457,'2. GRI Pricing Inputs'!$C$15:$AI$15,0)),0)</f>
        <v>0</v>
      </c>
      <c r="L457" s="273">
        <f>IFERROR(INDEX('2. GRI Pricing Inputs'!$C$22:$AI$23,MATCH($L$16,'2. GRI Pricing Inputs'!$C$22:$C$23,0),MATCH(E457,'2. GRI Pricing Inputs'!$C$22:$AI$22,0)),0)</f>
        <v>0</v>
      </c>
      <c r="M457" s="328">
        <f>IF(AND('3. GRI Pricing'!$F457&gt;='2. GRI Pricing Inputs'!$D$33,'3. GRI Pricing'!$F457&lt;='2. GRI Pricing Inputs'!$E$33),'2. GRI Pricing Inputs'!$D$32,IF(AND('3. GRI Pricing'!$F457&gt;='2. GRI Pricing Inputs'!$F$33,'3. GRI Pricing'!$F457&lt;='2. GRI Pricing Inputs'!$G$33),'2. GRI Pricing Inputs'!$F$32,IF(AND('3. GRI Pricing'!$F457&gt;='2. GRI Pricing Inputs'!$H$33,'3. GRI Pricing'!$F457&lt;='2. GRI Pricing Inputs'!$I$33),'2. GRI Pricing Inputs'!$H$32,IF(AND('3. GRI Pricing'!$F457&gt;='2. GRI Pricing Inputs'!$J$33,'3. GRI Pricing'!$F457&lt;='2. GRI Pricing Inputs'!$K$33),'2. GRI Pricing Inputs'!$J$32,IF(AND('3. GRI Pricing'!$F457&gt;='2. GRI Pricing Inputs'!$L$33,'3. GRI Pricing'!$F457&lt;='2. GRI Pricing Inputs'!$M$33),'2. GRI Pricing Inputs'!$L$32,IF(AND('3. GRI Pricing'!$F457&gt;='2. GRI Pricing Inputs'!$N$33,'3. GRI Pricing'!$F457&lt;='2. GRI Pricing Inputs'!$O$33),'2. GRI Pricing Inputs'!$N$32,IF(AND('3. GRI Pricing'!$F457&gt;='2. GRI Pricing Inputs'!$P$33,'3. GRI Pricing'!$F457&lt;='2. GRI Pricing Inputs'!$Q$33),'2. GRI Pricing Inputs'!$P$32,IF(AND('3. GRI Pricing'!$F457&gt;='2. GRI Pricing Inputs'!$R$33,'3. GRI Pricing'!$F457&lt;='2. GRI Pricing Inputs'!$S$33),'2. GRI Pricing Inputs'!$R$32,IF(AND('3. GRI Pricing'!$F457&gt;='2. GRI Pricing Inputs'!$T$33,'3. GRI Pricing'!$F457&lt;='2. GRI Pricing Inputs'!$U$33),'2. GRI Pricing Inputs'!$T$32,IF(AND('3. GRI Pricing'!$F457&gt;='2. GRI Pricing Inputs'!$V$33,'3. GRI Pricing'!$F457&lt;='2. GRI Pricing Inputs'!$W$33),'2. GRI Pricing Inputs'!$V$32,IF(AND('3. GRI Pricing'!$F457&gt;='2. GRI Pricing Inputs'!$X$33,'3. GRI Pricing'!$F457&lt;='2. GRI Pricing Inputs'!$Y$33),'2. GRI Pricing Inputs'!$X$32,IF(AND('3. GRI Pricing'!$F457&gt;='2. GRI Pricing Inputs'!$Z$33,'3. GRI Pricing'!$F457&lt;='2. GRI Pricing Inputs'!$AA$33),'2. GRI Pricing Inputs'!$Z$32,IF(AND('3. GRI Pricing'!$F457&gt;='2. GRI Pricing Inputs'!$AB$33,'3. GRI Pricing'!$F457&lt;='2. GRI Pricing Inputs'!$AC$33),'2. GRI Pricing Inputs'!$AB$32,IF(AND('3. GRI Pricing'!$F457&gt;='2. GRI Pricing Inputs'!$AD$33,'3. GRI Pricing'!$F457&lt;='2. GRI Pricing Inputs'!$AE$33),'2. GRI Pricing Inputs'!$AD$32,IF(AND('3. GRI Pricing'!$F457&gt;='2. GRI Pricing Inputs'!$AF$33,'3. GRI Pricing'!$F457&lt;='2. GRI Pricing Inputs'!$AG$33),'2. GRI Pricing Inputs'!$AF$32,IF(AND('3. GRI Pricing'!$F457&gt;='2. GRI Pricing Inputs'!$AH$33,'3. GRI Pricing'!$F457&lt;='2. GRI Pricing Inputs'!$AI$33),'2. GRI Pricing Inputs'!$AH$32,0))))))))))))))))</f>
        <v>0</v>
      </c>
      <c r="N457" s="273" cm="1">
        <f t="array" ref="N457">IFERROR(INDEX('2. GRI Pricing Inputs'!$C$32:$AI$39,MATCH('3. GRI Pricing'!D457,'2. GRI Pricing Inputs'!$C$32:$C$39,0),(MATCH('3. GRI Pricing'!M457,'2. GRI Pricing Inputs'!$D$32:$AI$32,0)+1)),0)</f>
        <v>0</v>
      </c>
      <c r="O457" s="273">
        <f>IFERROR(INDEX('2. GRI Pricing Inputs'!$C$45:$AI$46,MATCH($O$16,'2. GRI Pricing Inputs'!$C$45:$C$46,0),MATCH(G457,'2. GRI Pricing Inputs'!$C$45:$AI$45,0)),0)</f>
        <v>0</v>
      </c>
      <c r="P457" s="273">
        <f>IFERROR(INDEX('2. GRI Pricing Inputs'!$C$53:$AI$54,MATCH('3. GRI Pricing'!$P$16,'2. GRI Pricing Inputs'!$C$53:$C$54,0),MATCH('3. GRI Pricing'!H457,'2. GRI Pricing Inputs'!$C$53:$AI$53,0)),0)</f>
        <v>0</v>
      </c>
      <c r="Q457" s="273">
        <f>IFERROR(INDEX('2. GRI Pricing Inputs'!$C$60:$AI$61,MATCH('3. GRI Pricing'!$Q$16,'2. GRI Pricing Inputs'!$C$60:$C$61,0),MATCH('1. Accomodation'!T461,'2. GRI Pricing Inputs'!$C$60:$AI$60,0)),0)</f>
        <v>0</v>
      </c>
      <c r="R457" s="273">
        <f>IFERROR(INDEX('2. GRI Pricing Inputs'!$C$67:$AI$68,MATCH('3. GRI Pricing'!$R$16,'2. GRI Pricing Inputs'!$C$67:$C$68,0),MATCH('1. Accomodation'!U461,'2. GRI Pricing Inputs'!$C$67:$AI$67,0)),0)</f>
        <v>0</v>
      </c>
      <c r="S457" s="273">
        <f>IF(D457=0,0,'2. GRI Pricing Inputs'!$AI$75)</f>
        <v>0</v>
      </c>
      <c r="T457" s="273">
        <f>IFERROR(INDEX('2. GRI Pricing Inputs'!$C$82:$AI$83,MATCH('3. GRI Pricing'!$T$16,'2. GRI Pricing Inputs'!$C$82:$C$83,0),MATCH('1. Accomodation'!V461,'2. GRI Pricing Inputs'!$C$82:$AI$82,0)),0)</f>
        <v>0</v>
      </c>
      <c r="U457" s="273">
        <f>IFERROR(INDEX('2. GRI Pricing Inputs'!$C$89:$AI$90,MATCH('3. GRI Pricing'!$U$16,'2. GRI Pricing Inputs'!$C$89:$C$90,0),MATCH('1. Accomodation'!W461,'2. GRI Pricing Inputs'!$C$89:$AI$89,0)),0)</f>
        <v>0</v>
      </c>
      <c r="V457" s="273">
        <f>IFERROR(INDEX('2. GRI Pricing Inputs'!$C$97:$AI$98,MATCH('3. GRI Pricing'!$V$16,'2. GRI Pricing Inputs'!$C$97:$C$98,0),MATCH('1. Accomodation'!X461,'2. GRI Pricing Inputs'!$C$97:$AI$97,0)),0)</f>
        <v>0</v>
      </c>
      <c r="W457" s="273">
        <f>IFERROR(INDEX('2. GRI Pricing Inputs'!$C$104:$AI$105,MATCH('3. GRI Pricing'!$W$16,'2. GRI Pricing Inputs'!$C$104:$C$105,0),MATCH('1. Accomodation'!Y461,'2. GRI Pricing Inputs'!$C$104:$AI$104,0)),0)</f>
        <v>0</v>
      </c>
      <c r="X457" s="274"/>
      <c r="Y457" s="275">
        <f t="shared" si="13"/>
        <v>0</v>
      </c>
      <c r="Z457" s="276"/>
      <c r="AA457" s="276"/>
      <c r="AB457" s="276"/>
      <c r="AC457" s="272">
        <f>Y457*(1+'2. GRI Pricing Inputs'!$D$114)^(($AC$16-$AB$15)/365)</f>
        <v>0</v>
      </c>
      <c r="AD457" s="273">
        <f>AC457*(1+'2. GRI Pricing Inputs'!$D$114)^((AD$16-AC$16)/365)</f>
        <v>0</v>
      </c>
      <c r="AE457" s="273">
        <f>AD457*(1+'2. GRI Pricing Inputs'!$D$114)^((AE$16-AD$16)/365)</f>
        <v>0</v>
      </c>
      <c r="AF457" s="273">
        <f>AE457*(1+'2. GRI Pricing Inputs'!$D$114)^((AF$16-AE$16)/365)</f>
        <v>0</v>
      </c>
      <c r="AG457" s="273">
        <f>AF457*(1+'2. GRI Pricing Inputs'!$D$114)^((AG$16-AF$16)/365)</f>
        <v>0</v>
      </c>
      <c r="AH457" s="273">
        <f>AG457*(1+'2. GRI Pricing Inputs'!$D$114)^((AH$16-AG$16)/365)</f>
        <v>0</v>
      </c>
      <c r="AI457" s="273">
        <f>AH457*(1+'2. GRI Pricing Inputs'!$D$114)^((AI$16-AH$16)/365)</f>
        <v>0</v>
      </c>
      <c r="AJ457" s="273">
        <f>AI457*(1+'2. GRI Pricing Inputs'!$D$114)^((AJ$16-AI$16)/365)</f>
        <v>0</v>
      </c>
      <c r="AK457" s="273">
        <f>AJ457*(1+'2. GRI Pricing Inputs'!$D$114)^((AK$16-AJ$16)/365)</f>
        <v>0</v>
      </c>
      <c r="AL457" s="273">
        <f>AK457*(1+'2. GRI Pricing Inputs'!$D$114)^((AL$16-AK$16)/365)</f>
        <v>0</v>
      </c>
      <c r="AM457" s="273">
        <f>AL457*(1+'2. GRI Pricing Inputs'!$D$114)^((AM$16-AL$16)/365)</f>
        <v>0</v>
      </c>
      <c r="AN457" s="273">
        <f>AM457*(1+'2. GRI Pricing Inputs'!$D$114)^((AN$16-AM$16)/365)</f>
        <v>0</v>
      </c>
      <c r="AO457" s="273">
        <f>AN457*(1+'2. GRI Pricing Inputs'!$D$114)^((AO$16-AN$16)/365)</f>
        <v>0</v>
      </c>
    </row>
    <row r="458" spans="3:41" ht="12" x14ac:dyDescent="0.2">
      <c r="C458" s="76">
        <f>'1. Accomodation'!N462</f>
        <v>0</v>
      </c>
      <c r="D458" s="69">
        <f>'1. Accomodation'!P462</f>
        <v>0</v>
      </c>
      <c r="E458" s="69">
        <f>'1. Accomodation'!Q462</f>
        <v>0</v>
      </c>
      <c r="F458" s="77">
        <f>'1. Accomodation'!O462</f>
        <v>0</v>
      </c>
      <c r="G458" s="69">
        <f>'1. Accomodation'!R462</f>
        <v>0</v>
      </c>
      <c r="H458" s="69">
        <f>'1. Accomodation'!S462</f>
        <v>0</v>
      </c>
      <c r="I458" s="62"/>
      <c r="K458" s="272">
        <f>IFERROR(INDEX('2. GRI Pricing Inputs'!$C$15:$AI$16,MATCH($K$16,'2. GRI Pricing Inputs'!$C$15:$C$16,0),MATCH(D458,'2. GRI Pricing Inputs'!$C$15:$AI$15,0)),0)</f>
        <v>0</v>
      </c>
      <c r="L458" s="273">
        <f>IFERROR(INDEX('2. GRI Pricing Inputs'!$C$22:$AI$23,MATCH($L$16,'2. GRI Pricing Inputs'!$C$22:$C$23,0),MATCH(E458,'2. GRI Pricing Inputs'!$C$22:$AI$22,0)),0)</f>
        <v>0</v>
      </c>
      <c r="M458" s="328">
        <f>IF(AND('3. GRI Pricing'!$F458&gt;='2. GRI Pricing Inputs'!$D$33,'3. GRI Pricing'!$F458&lt;='2. GRI Pricing Inputs'!$E$33),'2. GRI Pricing Inputs'!$D$32,IF(AND('3. GRI Pricing'!$F458&gt;='2. GRI Pricing Inputs'!$F$33,'3. GRI Pricing'!$F458&lt;='2. GRI Pricing Inputs'!$G$33),'2. GRI Pricing Inputs'!$F$32,IF(AND('3. GRI Pricing'!$F458&gt;='2. GRI Pricing Inputs'!$H$33,'3. GRI Pricing'!$F458&lt;='2. GRI Pricing Inputs'!$I$33),'2. GRI Pricing Inputs'!$H$32,IF(AND('3. GRI Pricing'!$F458&gt;='2. GRI Pricing Inputs'!$J$33,'3. GRI Pricing'!$F458&lt;='2. GRI Pricing Inputs'!$K$33),'2. GRI Pricing Inputs'!$J$32,IF(AND('3. GRI Pricing'!$F458&gt;='2. GRI Pricing Inputs'!$L$33,'3. GRI Pricing'!$F458&lt;='2. GRI Pricing Inputs'!$M$33),'2. GRI Pricing Inputs'!$L$32,IF(AND('3. GRI Pricing'!$F458&gt;='2. GRI Pricing Inputs'!$N$33,'3. GRI Pricing'!$F458&lt;='2. GRI Pricing Inputs'!$O$33),'2. GRI Pricing Inputs'!$N$32,IF(AND('3. GRI Pricing'!$F458&gt;='2. GRI Pricing Inputs'!$P$33,'3. GRI Pricing'!$F458&lt;='2. GRI Pricing Inputs'!$Q$33),'2. GRI Pricing Inputs'!$P$32,IF(AND('3. GRI Pricing'!$F458&gt;='2. GRI Pricing Inputs'!$R$33,'3. GRI Pricing'!$F458&lt;='2. GRI Pricing Inputs'!$S$33),'2. GRI Pricing Inputs'!$R$32,IF(AND('3. GRI Pricing'!$F458&gt;='2. GRI Pricing Inputs'!$T$33,'3. GRI Pricing'!$F458&lt;='2. GRI Pricing Inputs'!$U$33),'2. GRI Pricing Inputs'!$T$32,IF(AND('3. GRI Pricing'!$F458&gt;='2. GRI Pricing Inputs'!$V$33,'3. GRI Pricing'!$F458&lt;='2. GRI Pricing Inputs'!$W$33),'2. GRI Pricing Inputs'!$V$32,IF(AND('3. GRI Pricing'!$F458&gt;='2. GRI Pricing Inputs'!$X$33,'3. GRI Pricing'!$F458&lt;='2. GRI Pricing Inputs'!$Y$33),'2. GRI Pricing Inputs'!$X$32,IF(AND('3. GRI Pricing'!$F458&gt;='2. GRI Pricing Inputs'!$Z$33,'3. GRI Pricing'!$F458&lt;='2. GRI Pricing Inputs'!$AA$33),'2. GRI Pricing Inputs'!$Z$32,IF(AND('3. GRI Pricing'!$F458&gt;='2. GRI Pricing Inputs'!$AB$33,'3. GRI Pricing'!$F458&lt;='2. GRI Pricing Inputs'!$AC$33),'2. GRI Pricing Inputs'!$AB$32,IF(AND('3. GRI Pricing'!$F458&gt;='2. GRI Pricing Inputs'!$AD$33,'3. GRI Pricing'!$F458&lt;='2. GRI Pricing Inputs'!$AE$33),'2. GRI Pricing Inputs'!$AD$32,IF(AND('3. GRI Pricing'!$F458&gt;='2. GRI Pricing Inputs'!$AF$33,'3. GRI Pricing'!$F458&lt;='2. GRI Pricing Inputs'!$AG$33),'2. GRI Pricing Inputs'!$AF$32,IF(AND('3. GRI Pricing'!$F458&gt;='2. GRI Pricing Inputs'!$AH$33,'3. GRI Pricing'!$F458&lt;='2. GRI Pricing Inputs'!$AI$33),'2. GRI Pricing Inputs'!$AH$32,0))))))))))))))))</f>
        <v>0</v>
      </c>
      <c r="N458" s="273" cm="1">
        <f t="array" ref="N458">IFERROR(INDEX('2. GRI Pricing Inputs'!$C$32:$AI$39,MATCH('3. GRI Pricing'!D458,'2. GRI Pricing Inputs'!$C$32:$C$39,0),(MATCH('3. GRI Pricing'!M458,'2. GRI Pricing Inputs'!$D$32:$AI$32,0)+1)),0)</f>
        <v>0</v>
      </c>
      <c r="O458" s="273">
        <f>IFERROR(INDEX('2. GRI Pricing Inputs'!$C$45:$AI$46,MATCH($O$16,'2. GRI Pricing Inputs'!$C$45:$C$46,0),MATCH(G458,'2. GRI Pricing Inputs'!$C$45:$AI$45,0)),0)</f>
        <v>0</v>
      </c>
      <c r="P458" s="273">
        <f>IFERROR(INDEX('2. GRI Pricing Inputs'!$C$53:$AI$54,MATCH('3. GRI Pricing'!$P$16,'2. GRI Pricing Inputs'!$C$53:$C$54,0),MATCH('3. GRI Pricing'!H458,'2. GRI Pricing Inputs'!$C$53:$AI$53,0)),0)</f>
        <v>0</v>
      </c>
      <c r="Q458" s="273">
        <f>IFERROR(INDEX('2. GRI Pricing Inputs'!$C$60:$AI$61,MATCH('3. GRI Pricing'!$Q$16,'2. GRI Pricing Inputs'!$C$60:$C$61,0),MATCH('1. Accomodation'!T462,'2. GRI Pricing Inputs'!$C$60:$AI$60,0)),0)</f>
        <v>0</v>
      </c>
      <c r="R458" s="273">
        <f>IFERROR(INDEX('2. GRI Pricing Inputs'!$C$67:$AI$68,MATCH('3. GRI Pricing'!$R$16,'2. GRI Pricing Inputs'!$C$67:$C$68,0),MATCH('1. Accomodation'!U462,'2. GRI Pricing Inputs'!$C$67:$AI$67,0)),0)</f>
        <v>0</v>
      </c>
      <c r="S458" s="273">
        <f>IF(D458=0,0,'2. GRI Pricing Inputs'!$AI$75)</f>
        <v>0</v>
      </c>
      <c r="T458" s="273">
        <f>IFERROR(INDEX('2. GRI Pricing Inputs'!$C$82:$AI$83,MATCH('3. GRI Pricing'!$T$16,'2. GRI Pricing Inputs'!$C$82:$C$83,0),MATCH('1. Accomodation'!V462,'2. GRI Pricing Inputs'!$C$82:$AI$82,0)),0)</f>
        <v>0</v>
      </c>
      <c r="U458" s="273">
        <f>IFERROR(INDEX('2. GRI Pricing Inputs'!$C$89:$AI$90,MATCH('3. GRI Pricing'!$U$16,'2. GRI Pricing Inputs'!$C$89:$C$90,0),MATCH('1. Accomodation'!W462,'2. GRI Pricing Inputs'!$C$89:$AI$89,0)),0)</f>
        <v>0</v>
      </c>
      <c r="V458" s="273">
        <f>IFERROR(INDEX('2. GRI Pricing Inputs'!$C$97:$AI$98,MATCH('3. GRI Pricing'!$V$16,'2. GRI Pricing Inputs'!$C$97:$C$98,0),MATCH('1. Accomodation'!X462,'2. GRI Pricing Inputs'!$C$97:$AI$97,0)),0)</f>
        <v>0</v>
      </c>
      <c r="W458" s="273">
        <f>IFERROR(INDEX('2. GRI Pricing Inputs'!$C$104:$AI$105,MATCH('3. GRI Pricing'!$W$16,'2. GRI Pricing Inputs'!$C$104:$C$105,0),MATCH('1. Accomodation'!Y462,'2. GRI Pricing Inputs'!$C$104:$AI$104,0)),0)</f>
        <v>0</v>
      </c>
      <c r="X458" s="274"/>
      <c r="Y458" s="275">
        <f t="shared" si="13"/>
        <v>0</v>
      </c>
      <c r="Z458" s="276"/>
      <c r="AA458" s="276"/>
      <c r="AB458" s="276"/>
      <c r="AC458" s="272">
        <f>Y458*(1+'2. GRI Pricing Inputs'!$D$114)^(($AC$16-$AB$15)/365)</f>
        <v>0</v>
      </c>
      <c r="AD458" s="273">
        <f>AC458*(1+'2. GRI Pricing Inputs'!$D$114)^((AD$16-AC$16)/365)</f>
        <v>0</v>
      </c>
      <c r="AE458" s="273">
        <f>AD458*(1+'2. GRI Pricing Inputs'!$D$114)^((AE$16-AD$16)/365)</f>
        <v>0</v>
      </c>
      <c r="AF458" s="273">
        <f>AE458*(1+'2. GRI Pricing Inputs'!$D$114)^((AF$16-AE$16)/365)</f>
        <v>0</v>
      </c>
      <c r="AG458" s="273">
        <f>AF458*(1+'2. GRI Pricing Inputs'!$D$114)^((AG$16-AF$16)/365)</f>
        <v>0</v>
      </c>
      <c r="AH458" s="273">
        <f>AG458*(1+'2. GRI Pricing Inputs'!$D$114)^((AH$16-AG$16)/365)</f>
        <v>0</v>
      </c>
      <c r="AI458" s="273">
        <f>AH458*(1+'2. GRI Pricing Inputs'!$D$114)^((AI$16-AH$16)/365)</f>
        <v>0</v>
      </c>
      <c r="AJ458" s="273">
        <f>AI458*(1+'2. GRI Pricing Inputs'!$D$114)^((AJ$16-AI$16)/365)</f>
        <v>0</v>
      </c>
      <c r="AK458" s="273">
        <f>AJ458*(1+'2. GRI Pricing Inputs'!$D$114)^((AK$16-AJ$16)/365)</f>
        <v>0</v>
      </c>
      <c r="AL458" s="273">
        <f>AK458*(1+'2. GRI Pricing Inputs'!$D$114)^((AL$16-AK$16)/365)</f>
        <v>0</v>
      </c>
      <c r="AM458" s="273">
        <f>AL458*(1+'2. GRI Pricing Inputs'!$D$114)^((AM$16-AL$16)/365)</f>
        <v>0</v>
      </c>
      <c r="AN458" s="273">
        <f>AM458*(1+'2. GRI Pricing Inputs'!$D$114)^((AN$16-AM$16)/365)</f>
        <v>0</v>
      </c>
      <c r="AO458" s="273">
        <f>AN458*(1+'2. GRI Pricing Inputs'!$D$114)^((AO$16-AN$16)/365)</f>
        <v>0</v>
      </c>
    </row>
    <row r="459" spans="3:41" ht="12" x14ac:dyDescent="0.2">
      <c r="C459" s="76">
        <f>'1. Accomodation'!N463</f>
        <v>0</v>
      </c>
      <c r="D459" s="69">
        <f>'1. Accomodation'!P463</f>
        <v>0</v>
      </c>
      <c r="E459" s="69">
        <f>'1. Accomodation'!Q463</f>
        <v>0</v>
      </c>
      <c r="F459" s="77">
        <f>'1. Accomodation'!O463</f>
        <v>0</v>
      </c>
      <c r="G459" s="69">
        <f>'1. Accomodation'!R463</f>
        <v>0</v>
      </c>
      <c r="H459" s="69">
        <f>'1. Accomodation'!S463</f>
        <v>0</v>
      </c>
      <c r="I459" s="62"/>
      <c r="K459" s="272">
        <f>IFERROR(INDEX('2. GRI Pricing Inputs'!$C$15:$AI$16,MATCH($K$16,'2. GRI Pricing Inputs'!$C$15:$C$16,0),MATCH(D459,'2. GRI Pricing Inputs'!$C$15:$AI$15,0)),0)</f>
        <v>0</v>
      </c>
      <c r="L459" s="273">
        <f>IFERROR(INDEX('2. GRI Pricing Inputs'!$C$22:$AI$23,MATCH($L$16,'2. GRI Pricing Inputs'!$C$22:$C$23,0),MATCH(E459,'2. GRI Pricing Inputs'!$C$22:$AI$22,0)),0)</f>
        <v>0</v>
      </c>
      <c r="M459" s="328">
        <f>IF(AND('3. GRI Pricing'!$F459&gt;='2. GRI Pricing Inputs'!$D$33,'3. GRI Pricing'!$F459&lt;='2. GRI Pricing Inputs'!$E$33),'2. GRI Pricing Inputs'!$D$32,IF(AND('3. GRI Pricing'!$F459&gt;='2. GRI Pricing Inputs'!$F$33,'3. GRI Pricing'!$F459&lt;='2. GRI Pricing Inputs'!$G$33),'2. GRI Pricing Inputs'!$F$32,IF(AND('3. GRI Pricing'!$F459&gt;='2. GRI Pricing Inputs'!$H$33,'3. GRI Pricing'!$F459&lt;='2. GRI Pricing Inputs'!$I$33),'2. GRI Pricing Inputs'!$H$32,IF(AND('3. GRI Pricing'!$F459&gt;='2. GRI Pricing Inputs'!$J$33,'3. GRI Pricing'!$F459&lt;='2. GRI Pricing Inputs'!$K$33),'2. GRI Pricing Inputs'!$J$32,IF(AND('3. GRI Pricing'!$F459&gt;='2. GRI Pricing Inputs'!$L$33,'3. GRI Pricing'!$F459&lt;='2. GRI Pricing Inputs'!$M$33),'2. GRI Pricing Inputs'!$L$32,IF(AND('3. GRI Pricing'!$F459&gt;='2. GRI Pricing Inputs'!$N$33,'3. GRI Pricing'!$F459&lt;='2. GRI Pricing Inputs'!$O$33),'2. GRI Pricing Inputs'!$N$32,IF(AND('3. GRI Pricing'!$F459&gt;='2. GRI Pricing Inputs'!$P$33,'3. GRI Pricing'!$F459&lt;='2. GRI Pricing Inputs'!$Q$33),'2. GRI Pricing Inputs'!$P$32,IF(AND('3. GRI Pricing'!$F459&gt;='2. GRI Pricing Inputs'!$R$33,'3. GRI Pricing'!$F459&lt;='2. GRI Pricing Inputs'!$S$33),'2. GRI Pricing Inputs'!$R$32,IF(AND('3. GRI Pricing'!$F459&gt;='2. GRI Pricing Inputs'!$T$33,'3. GRI Pricing'!$F459&lt;='2. GRI Pricing Inputs'!$U$33),'2. GRI Pricing Inputs'!$T$32,IF(AND('3. GRI Pricing'!$F459&gt;='2. GRI Pricing Inputs'!$V$33,'3. GRI Pricing'!$F459&lt;='2. GRI Pricing Inputs'!$W$33),'2. GRI Pricing Inputs'!$V$32,IF(AND('3. GRI Pricing'!$F459&gt;='2. GRI Pricing Inputs'!$X$33,'3. GRI Pricing'!$F459&lt;='2. GRI Pricing Inputs'!$Y$33),'2. GRI Pricing Inputs'!$X$32,IF(AND('3. GRI Pricing'!$F459&gt;='2. GRI Pricing Inputs'!$Z$33,'3. GRI Pricing'!$F459&lt;='2. GRI Pricing Inputs'!$AA$33),'2. GRI Pricing Inputs'!$Z$32,IF(AND('3. GRI Pricing'!$F459&gt;='2. GRI Pricing Inputs'!$AB$33,'3. GRI Pricing'!$F459&lt;='2. GRI Pricing Inputs'!$AC$33),'2. GRI Pricing Inputs'!$AB$32,IF(AND('3. GRI Pricing'!$F459&gt;='2. GRI Pricing Inputs'!$AD$33,'3. GRI Pricing'!$F459&lt;='2. GRI Pricing Inputs'!$AE$33),'2. GRI Pricing Inputs'!$AD$32,IF(AND('3. GRI Pricing'!$F459&gt;='2. GRI Pricing Inputs'!$AF$33,'3. GRI Pricing'!$F459&lt;='2. GRI Pricing Inputs'!$AG$33),'2. GRI Pricing Inputs'!$AF$32,IF(AND('3. GRI Pricing'!$F459&gt;='2. GRI Pricing Inputs'!$AH$33,'3. GRI Pricing'!$F459&lt;='2. GRI Pricing Inputs'!$AI$33),'2. GRI Pricing Inputs'!$AH$32,0))))))))))))))))</f>
        <v>0</v>
      </c>
      <c r="N459" s="273" cm="1">
        <f t="array" ref="N459">IFERROR(INDEX('2. GRI Pricing Inputs'!$C$32:$AI$39,MATCH('3. GRI Pricing'!D459,'2. GRI Pricing Inputs'!$C$32:$C$39,0),(MATCH('3. GRI Pricing'!M459,'2. GRI Pricing Inputs'!$D$32:$AI$32,0)+1)),0)</f>
        <v>0</v>
      </c>
      <c r="O459" s="273">
        <f>IFERROR(INDEX('2. GRI Pricing Inputs'!$C$45:$AI$46,MATCH($O$16,'2. GRI Pricing Inputs'!$C$45:$C$46,0),MATCH(G459,'2. GRI Pricing Inputs'!$C$45:$AI$45,0)),0)</f>
        <v>0</v>
      </c>
      <c r="P459" s="273">
        <f>IFERROR(INDEX('2. GRI Pricing Inputs'!$C$53:$AI$54,MATCH('3. GRI Pricing'!$P$16,'2. GRI Pricing Inputs'!$C$53:$C$54,0),MATCH('3. GRI Pricing'!H459,'2. GRI Pricing Inputs'!$C$53:$AI$53,0)),0)</f>
        <v>0</v>
      </c>
      <c r="Q459" s="273">
        <f>IFERROR(INDEX('2. GRI Pricing Inputs'!$C$60:$AI$61,MATCH('3. GRI Pricing'!$Q$16,'2. GRI Pricing Inputs'!$C$60:$C$61,0),MATCH('1. Accomodation'!T463,'2. GRI Pricing Inputs'!$C$60:$AI$60,0)),0)</f>
        <v>0</v>
      </c>
      <c r="R459" s="273">
        <f>IFERROR(INDEX('2. GRI Pricing Inputs'!$C$67:$AI$68,MATCH('3. GRI Pricing'!$R$16,'2. GRI Pricing Inputs'!$C$67:$C$68,0),MATCH('1. Accomodation'!U463,'2. GRI Pricing Inputs'!$C$67:$AI$67,0)),0)</f>
        <v>0</v>
      </c>
      <c r="S459" s="273">
        <f>IF(D459=0,0,'2. GRI Pricing Inputs'!$AI$75)</f>
        <v>0</v>
      </c>
      <c r="T459" s="273">
        <f>IFERROR(INDEX('2. GRI Pricing Inputs'!$C$82:$AI$83,MATCH('3. GRI Pricing'!$T$16,'2. GRI Pricing Inputs'!$C$82:$C$83,0),MATCH('1. Accomodation'!V463,'2. GRI Pricing Inputs'!$C$82:$AI$82,0)),0)</f>
        <v>0</v>
      </c>
      <c r="U459" s="273">
        <f>IFERROR(INDEX('2. GRI Pricing Inputs'!$C$89:$AI$90,MATCH('3. GRI Pricing'!$U$16,'2. GRI Pricing Inputs'!$C$89:$C$90,0),MATCH('1. Accomodation'!W463,'2. GRI Pricing Inputs'!$C$89:$AI$89,0)),0)</f>
        <v>0</v>
      </c>
      <c r="V459" s="273">
        <f>IFERROR(INDEX('2. GRI Pricing Inputs'!$C$97:$AI$98,MATCH('3. GRI Pricing'!$V$16,'2. GRI Pricing Inputs'!$C$97:$C$98,0),MATCH('1. Accomodation'!X463,'2. GRI Pricing Inputs'!$C$97:$AI$97,0)),0)</f>
        <v>0</v>
      </c>
      <c r="W459" s="273">
        <f>IFERROR(INDEX('2. GRI Pricing Inputs'!$C$104:$AI$105,MATCH('3. GRI Pricing'!$W$16,'2. GRI Pricing Inputs'!$C$104:$C$105,0),MATCH('1. Accomodation'!Y463,'2. GRI Pricing Inputs'!$C$104:$AI$104,0)),0)</f>
        <v>0</v>
      </c>
      <c r="X459" s="274"/>
      <c r="Y459" s="275">
        <f t="shared" si="13"/>
        <v>0</v>
      </c>
      <c r="Z459" s="276"/>
      <c r="AA459" s="276"/>
      <c r="AB459" s="276"/>
      <c r="AC459" s="272">
        <f>Y459*(1+'2. GRI Pricing Inputs'!$D$114)^(($AC$16-$AB$15)/365)</f>
        <v>0</v>
      </c>
      <c r="AD459" s="273">
        <f>AC459*(1+'2. GRI Pricing Inputs'!$D$114)^((AD$16-AC$16)/365)</f>
        <v>0</v>
      </c>
      <c r="AE459" s="273">
        <f>AD459*(1+'2. GRI Pricing Inputs'!$D$114)^((AE$16-AD$16)/365)</f>
        <v>0</v>
      </c>
      <c r="AF459" s="273">
        <f>AE459*(1+'2. GRI Pricing Inputs'!$D$114)^((AF$16-AE$16)/365)</f>
        <v>0</v>
      </c>
      <c r="AG459" s="273">
        <f>AF459*(1+'2. GRI Pricing Inputs'!$D$114)^((AG$16-AF$16)/365)</f>
        <v>0</v>
      </c>
      <c r="AH459" s="273">
        <f>AG459*(1+'2. GRI Pricing Inputs'!$D$114)^((AH$16-AG$16)/365)</f>
        <v>0</v>
      </c>
      <c r="AI459" s="273">
        <f>AH459*(1+'2. GRI Pricing Inputs'!$D$114)^((AI$16-AH$16)/365)</f>
        <v>0</v>
      </c>
      <c r="AJ459" s="273">
        <f>AI459*(1+'2. GRI Pricing Inputs'!$D$114)^((AJ$16-AI$16)/365)</f>
        <v>0</v>
      </c>
      <c r="AK459" s="273">
        <f>AJ459*(1+'2. GRI Pricing Inputs'!$D$114)^((AK$16-AJ$16)/365)</f>
        <v>0</v>
      </c>
      <c r="AL459" s="273">
        <f>AK459*(1+'2. GRI Pricing Inputs'!$D$114)^((AL$16-AK$16)/365)</f>
        <v>0</v>
      </c>
      <c r="AM459" s="273">
        <f>AL459*(1+'2. GRI Pricing Inputs'!$D$114)^((AM$16-AL$16)/365)</f>
        <v>0</v>
      </c>
      <c r="AN459" s="273">
        <f>AM459*(1+'2. GRI Pricing Inputs'!$D$114)^((AN$16-AM$16)/365)</f>
        <v>0</v>
      </c>
      <c r="AO459" s="273">
        <f>AN459*(1+'2. GRI Pricing Inputs'!$D$114)^((AO$16-AN$16)/365)</f>
        <v>0</v>
      </c>
    </row>
    <row r="460" spans="3:41" ht="12" x14ac:dyDescent="0.2">
      <c r="C460" s="76">
        <f>'1. Accomodation'!N464</f>
        <v>0</v>
      </c>
      <c r="D460" s="69">
        <f>'1. Accomodation'!P464</f>
        <v>0</v>
      </c>
      <c r="E460" s="69">
        <f>'1. Accomodation'!Q464</f>
        <v>0</v>
      </c>
      <c r="F460" s="77">
        <f>'1. Accomodation'!O464</f>
        <v>0</v>
      </c>
      <c r="G460" s="69">
        <f>'1. Accomodation'!R464</f>
        <v>0</v>
      </c>
      <c r="H460" s="69">
        <f>'1. Accomodation'!S464</f>
        <v>0</v>
      </c>
      <c r="I460" s="62"/>
      <c r="K460" s="272">
        <f>IFERROR(INDEX('2. GRI Pricing Inputs'!$C$15:$AI$16,MATCH($K$16,'2. GRI Pricing Inputs'!$C$15:$C$16,0),MATCH(D460,'2. GRI Pricing Inputs'!$C$15:$AI$15,0)),0)</f>
        <v>0</v>
      </c>
      <c r="L460" s="273">
        <f>IFERROR(INDEX('2. GRI Pricing Inputs'!$C$22:$AI$23,MATCH($L$16,'2. GRI Pricing Inputs'!$C$22:$C$23,0),MATCH(E460,'2. GRI Pricing Inputs'!$C$22:$AI$22,0)),0)</f>
        <v>0</v>
      </c>
      <c r="M460" s="328">
        <f>IF(AND('3. GRI Pricing'!$F460&gt;='2. GRI Pricing Inputs'!$D$33,'3. GRI Pricing'!$F460&lt;='2. GRI Pricing Inputs'!$E$33),'2. GRI Pricing Inputs'!$D$32,IF(AND('3. GRI Pricing'!$F460&gt;='2. GRI Pricing Inputs'!$F$33,'3. GRI Pricing'!$F460&lt;='2. GRI Pricing Inputs'!$G$33),'2. GRI Pricing Inputs'!$F$32,IF(AND('3. GRI Pricing'!$F460&gt;='2. GRI Pricing Inputs'!$H$33,'3. GRI Pricing'!$F460&lt;='2. GRI Pricing Inputs'!$I$33),'2. GRI Pricing Inputs'!$H$32,IF(AND('3. GRI Pricing'!$F460&gt;='2. GRI Pricing Inputs'!$J$33,'3. GRI Pricing'!$F460&lt;='2. GRI Pricing Inputs'!$K$33),'2. GRI Pricing Inputs'!$J$32,IF(AND('3. GRI Pricing'!$F460&gt;='2. GRI Pricing Inputs'!$L$33,'3. GRI Pricing'!$F460&lt;='2. GRI Pricing Inputs'!$M$33),'2. GRI Pricing Inputs'!$L$32,IF(AND('3. GRI Pricing'!$F460&gt;='2. GRI Pricing Inputs'!$N$33,'3. GRI Pricing'!$F460&lt;='2. GRI Pricing Inputs'!$O$33),'2. GRI Pricing Inputs'!$N$32,IF(AND('3. GRI Pricing'!$F460&gt;='2. GRI Pricing Inputs'!$P$33,'3. GRI Pricing'!$F460&lt;='2. GRI Pricing Inputs'!$Q$33),'2. GRI Pricing Inputs'!$P$32,IF(AND('3. GRI Pricing'!$F460&gt;='2. GRI Pricing Inputs'!$R$33,'3. GRI Pricing'!$F460&lt;='2. GRI Pricing Inputs'!$S$33),'2. GRI Pricing Inputs'!$R$32,IF(AND('3. GRI Pricing'!$F460&gt;='2. GRI Pricing Inputs'!$T$33,'3. GRI Pricing'!$F460&lt;='2. GRI Pricing Inputs'!$U$33),'2. GRI Pricing Inputs'!$T$32,IF(AND('3. GRI Pricing'!$F460&gt;='2. GRI Pricing Inputs'!$V$33,'3. GRI Pricing'!$F460&lt;='2. GRI Pricing Inputs'!$W$33),'2. GRI Pricing Inputs'!$V$32,IF(AND('3. GRI Pricing'!$F460&gt;='2. GRI Pricing Inputs'!$X$33,'3. GRI Pricing'!$F460&lt;='2. GRI Pricing Inputs'!$Y$33),'2. GRI Pricing Inputs'!$X$32,IF(AND('3. GRI Pricing'!$F460&gt;='2. GRI Pricing Inputs'!$Z$33,'3. GRI Pricing'!$F460&lt;='2. GRI Pricing Inputs'!$AA$33),'2. GRI Pricing Inputs'!$Z$32,IF(AND('3. GRI Pricing'!$F460&gt;='2. GRI Pricing Inputs'!$AB$33,'3. GRI Pricing'!$F460&lt;='2. GRI Pricing Inputs'!$AC$33),'2. GRI Pricing Inputs'!$AB$32,IF(AND('3. GRI Pricing'!$F460&gt;='2. GRI Pricing Inputs'!$AD$33,'3. GRI Pricing'!$F460&lt;='2. GRI Pricing Inputs'!$AE$33),'2. GRI Pricing Inputs'!$AD$32,IF(AND('3. GRI Pricing'!$F460&gt;='2. GRI Pricing Inputs'!$AF$33,'3. GRI Pricing'!$F460&lt;='2. GRI Pricing Inputs'!$AG$33),'2. GRI Pricing Inputs'!$AF$32,IF(AND('3. GRI Pricing'!$F460&gt;='2. GRI Pricing Inputs'!$AH$33,'3. GRI Pricing'!$F460&lt;='2. GRI Pricing Inputs'!$AI$33),'2. GRI Pricing Inputs'!$AH$32,0))))))))))))))))</f>
        <v>0</v>
      </c>
      <c r="N460" s="273" cm="1">
        <f t="array" ref="N460">IFERROR(INDEX('2. GRI Pricing Inputs'!$C$32:$AI$39,MATCH('3. GRI Pricing'!D460,'2. GRI Pricing Inputs'!$C$32:$C$39,0),(MATCH('3. GRI Pricing'!M460,'2. GRI Pricing Inputs'!$D$32:$AI$32,0)+1)),0)</f>
        <v>0</v>
      </c>
      <c r="O460" s="273">
        <f>IFERROR(INDEX('2. GRI Pricing Inputs'!$C$45:$AI$46,MATCH($O$16,'2. GRI Pricing Inputs'!$C$45:$C$46,0),MATCH(G460,'2. GRI Pricing Inputs'!$C$45:$AI$45,0)),0)</f>
        <v>0</v>
      </c>
      <c r="P460" s="273">
        <f>IFERROR(INDEX('2. GRI Pricing Inputs'!$C$53:$AI$54,MATCH('3. GRI Pricing'!$P$16,'2. GRI Pricing Inputs'!$C$53:$C$54,0),MATCH('3. GRI Pricing'!H460,'2. GRI Pricing Inputs'!$C$53:$AI$53,0)),0)</f>
        <v>0</v>
      </c>
      <c r="Q460" s="273">
        <f>IFERROR(INDEX('2. GRI Pricing Inputs'!$C$60:$AI$61,MATCH('3. GRI Pricing'!$Q$16,'2. GRI Pricing Inputs'!$C$60:$C$61,0),MATCH('1. Accomodation'!T464,'2. GRI Pricing Inputs'!$C$60:$AI$60,0)),0)</f>
        <v>0</v>
      </c>
      <c r="R460" s="273">
        <f>IFERROR(INDEX('2. GRI Pricing Inputs'!$C$67:$AI$68,MATCH('3. GRI Pricing'!$R$16,'2. GRI Pricing Inputs'!$C$67:$C$68,0),MATCH('1. Accomodation'!U464,'2. GRI Pricing Inputs'!$C$67:$AI$67,0)),0)</f>
        <v>0</v>
      </c>
      <c r="S460" s="273">
        <f>IF(D460=0,0,'2. GRI Pricing Inputs'!$AI$75)</f>
        <v>0</v>
      </c>
      <c r="T460" s="273">
        <f>IFERROR(INDEX('2. GRI Pricing Inputs'!$C$82:$AI$83,MATCH('3. GRI Pricing'!$T$16,'2. GRI Pricing Inputs'!$C$82:$C$83,0),MATCH('1. Accomodation'!V464,'2. GRI Pricing Inputs'!$C$82:$AI$82,0)),0)</f>
        <v>0</v>
      </c>
      <c r="U460" s="273">
        <f>IFERROR(INDEX('2. GRI Pricing Inputs'!$C$89:$AI$90,MATCH('3. GRI Pricing'!$U$16,'2. GRI Pricing Inputs'!$C$89:$C$90,0),MATCH('1. Accomodation'!W464,'2. GRI Pricing Inputs'!$C$89:$AI$89,0)),0)</f>
        <v>0</v>
      </c>
      <c r="V460" s="273">
        <f>IFERROR(INDEX('2. GRI Pricing Inputs'!$C$97:$AI$98,MATCH('3. GRI Pricing'!$V$16,'2. GRI Pricing Inputs'!$C$97:$C$98,0),MATCH('1. Accomodation'!X464,'2. GRI Pricing Inputs'!$C$97:$AI$97,0)),0)</f>
        <v>0</v>
      </c>
      <c r="W460" s="273">
        <f>IFERROR(INDEX('2. GRI Pricing Inputs'!$C$104:$AI$105,MATCH('3. GRI Pricing'!$W$16,'2. GRI Pricing Inputs'!$C$104:$C$105,0),MATCH('1. Accomodation'!Y464,'2. GRI Pricing Inputs'!$C$104:$AI$104,0)),0)</f>
        <v>0</v>
      </c>
      <c r="X460" s="274"/>
      <c r="Y460" s="275">
        <f t="shared" si="13"/>
        <v>0</v>
      </c>
      <c r="Z460" s="276"/>
      <c r="AA460" s="276"/>
      <c r="AB460" s="276"/>
      <c r="AC460" s="272">
        <f>Y460*(1+'2. GRI Pricing Inputs'!$D$114)^(($AC$16-$AB$15)/365)</f>
        <v>0</v>
      </c>
      <c r="AD460" s="273">
        <f>AC460*(1+'2. GRI Pricing Inputs'!$D$114)^((AD$16-AC$16)/365)</f>
        <v>0</v>
      </c>
      <c r="AE460" s="273">
        <f>AD460*(1+'2. GRI Pricing Inputs'!$D$114)^((AE$16-AD$16)/365)</f>
        <v>0</v>
      </c>
      <c r="AF460" s="273">
        <f>AE460*(1+'2. GRI Pricing Inputs'!$D$114)^((AF$16-AE$16)/365)</f>
        <v>0</v>
      </c>
      <c r="AG460" s="273">
        <f>AF460*(1+'2. GRI Pricing Inputs'!$D$114)^((AG$16-AF$16)/365)</f>
        <v>0</v>
      </c>
      <c r="AH460" s="273">
        <f>AG460*(1+'2. GRI Pricing Inputs'!$D$114)^((AH$16-AG$16)/365)</f>
        <v>0</v>
      </c>
      <c r="AI460" s="273">
        <f>AH460*(1+'2. GRI Pricing Inputs'!$D$114)^((AI$16-AH$16)/365)</f>
        <v>0</v>
      </c>
      <c r="AJ460" s="273">
        <f>AI460*(1+'2. GRI Pricing Inputs'!$D$114)^((AJ$16-AI$16)/365)</f>
        <v>0</v>
      </c>
      <c r="AK460" s="273">
        <f>AJ460*(1+'2. GRI Pricing Inputs'!$D$114)^((AK$16-AJ$16)/365)</f>
        <v>0</v>
      </c>
      <c r="AL460" s="273">
        <f>AK460*(1+'2. GRI Pricing Inputs'!$D$114)^((AL$16-AK$16)/365)</f>
        <v>0</v>
      </c>
      <c r="AM460" s="273">
        <f>AL460*(1+'2. GRI Pricing Inputs'!$D$114)^((AM$16-AL$16)/365)</f>
        <v>0</v>
      </c>
      <c r="AN460" s="273">
        <f>AM460*(1+'2. GRI Pricing Inputs'!$D$114)^((AN$16-AM$16)/365)</f>
        <v>0</v>
      </c>
      <c r="AO460" s="273">
        <f>AN460*(1+'2. GRI Pricing Inputs'!$D$114)^((AO$16-AN$16)/365)</f>
        <v>0</v>
      </c>
    </row>
    <row r="461" spans="3:41" ht="12" x14ac:dyDescent="0.2">
      <c r="C461" s="76">
        <f>'1. Accomodation'!N465</f>
        <v>0</v>
      </c>
      <c r="D461" s="69">
        <f>'1. Accomodation'!P465</f>
        <v>0</v>
      </c>
      <c r="E461" s="69">
        <f>'1. Accomodation'!Q465</f>
        <v>0</v>
      </c>
      <c r="F461" s="77">
        <f>'1. Accomodation'!O465</f>
        <v>0</v>
      </c>
      <c r="G461" s="69">
        <f>'1. Accomodation'!R465</f>
        <v>0</v>
      </c>
      <c r="H461" s="69">
        <f>'1. Accomodation'!S465</f>
        <v>0</v>
      </c>
      <c r="I461" s="62"/>
      <c r="K461" s="272">
        <f>IFERROR(INDEX('2. GRI Pricing Inputs'!$C$15:$AI$16,MATCH($K$16,'2. GRI Pricing Inputs'!$C$15:$C$16,0),MATCH(D461,'2. GRI Pricing Inputs'!$C$15:$AI$15,0)),0)</f>
        <v>0</v>
      </c>
      <c r="L461" s="273">
        <f>IFERROR(INDEX('2. GRI Pricing Inputs'!$C$22:$AI$23,MATCH($L$16,'2. GRI Pricing Inputs'!$C$22:$C$23,0),MATCH(E461,'2. GRI Pricing Inputs'!$C$22:$AI$22,0)),0)</f>
        <v>0</v>
      </c>
      <c r="M461" s="328">
        <f>IF(AND('3. GRI Pricing'!$F461&gt;='2. GRI Pricing Inputs'!$D$33,'3. GRI Pricing'!$F461&lt;='2. GRI Pricing Inputs'!$E$33),'2. GRI Pricing Inputs'!$D$32,IF(AND('3. GRI Pricing'!$F461&gt;='2. GRI Pricing Inputs'!$F$33,'3. GRI Pricing'!$F461&lt;='2. GRI Pricing Inputs'!$G$33),'2. GRI Pricing Inputs'!$F$32,IF(AND('3. GRI Pricing'!$F461&gt;='2. GRI Pricing Inputs'!$H$33,'3. GRI Pricing'!$F461&lt;='2. GRI Pricing Inputs'!$I$33),'2. GRI Pricing Inputs'!$H$32,IF(AND('3. GRI Pricing'!$F461&gt;='2. GRI Pricing Inputs'!$J$33,'3. GRI Pricing'!$F461&lt;='2. GRI Pricing Inputs'!$K$33),'2. GRI Pricing Inputs'!$J$32,IF(AND('3. GRI Pricing'!$F461&gt;='2. GRI Pricing Inputs'!$L$33,'3. GRI Pricing'!$F461&lt;='2. GRI Pricing Inputs'!$M$33),'2. GRI Pricing Inputs'!$L$32,IF(AND('3. GRI Pricing'!$F461&gt;='2. GRI Pricing Inputs'!$N$33,'3. GRI Pricing'!$F461&lt;='2. GRI Pricing Inputs'!$O$33),'2. GRI Pricing Inputs'!$N$32,IF(AND('3. GRI Pricing'!$F461&gt;='2. GRI Pricing Inputs'!$P$33,'3. GRI Pricing'!$F461&lt;='2. GRI Pricing Inputs'!$Q$33),'2. GRI Pricing Inputs'!$P$32,IF(AND('3. GRI Pricing'!$F461&gt;='2. GRI Pricing Inputs'!$R$33,'3. GRI Pricing'!$F461&lt;='2. GRI Pricing Inputs'!$S$33),'2. GRI Pricing Inputs'!$R$32,IF(AND('3. GRI Pricing'!$F461&gt;='2. GRI Pricing Inputs'!$T$33,'3. GRI Pricing'!$F461&lt;='2. GRI Pricing Inputs'!$U$33),'2. GRI Pricing Inputs'!$T$32,IF(AND('3. GRI Pricing'!$F461&gt;='2. GRI Pricing Inputs'!$V$33,'3. GRI Pricing'!$F461&lt;='2. GRI Pricing Inputs'!$W$33),'2. GRI Pricing Inputs'!$V$32,IF(AND('3. GRI Pricing'!$F461&gt;='2. GRI Pricing Inputs'!$X$33,'3. GRI Pricing'!$F461&lt;='2. GRI Pricing Inputs'!$Y$33),'2. GRI Pricing Inputs'!$X$32,IF(AND('3. GRI Pricing'!$F461&gt;='2. GRI Pricing Inputs'!$Z$33,'3. GRI Pricing'!$F461&lt;='2. GRI Pricing Inputs'!$AA$33),'2. GRI Pricing Inputs'!$Z$32,IF(AND('3. GRI Pricing'!$F461&gt;='2. GRI Pricing Inputs'!$AB$33,'3. GRI Pricing'!$F461&lt;='2. GRI Pricing Inputs'!$AC$33),'2. GRI Pricing Inputs'!$AB$32,IF(AND('3. GRI Pricing'!$F461&gt;='2. GRI Pricing Inputs'!$AD$33,'3. GRI Pricing'!$F461&lt;='2. GRI Pricing Inputs'!$AE$33),'2. GRI Pricing Inputs'!$AD$32,IF(AND('3. GRI Pricing'!$F461&gt;='2. GRI Pricing Inputs'!$AF$33,'3. GRI Pricing'!$F461&lt;='2. GRI Pricing Inputs'!$AG$33),'2. GRI Pricing Inputs'!$AF$32,IF(AND('3. GRI Pricing'!$F461&gt;='2. GRI Pricing Inputs'!$AH$33,'3. GRI Pricing'!$F461&lt;='2. GRI Pricing Inputs'!$AI$33),'2. GRI Pricing Inputs'!$AH$32,0))))))))))))))))</f>
        <v>0</v>
      </c>
      <c r="N461" s="273" cm="1">
        <f t="array" ref="N461">IFERROR(INDEX('2. GRI Pricing Inputs'!$C$32:$AI$39,MATCH('3. GRI Pricing'!D461,'2. GRI Pricing Inputs'!$C$32:$C$39,0),(MATCH('3. GRI Pricing'!M461,'2. GRI Pricing Inputs'!$D$32:$AI$32,0)+1)),0)</f>
        <v>0</v>
      </c>
      <c r="O461" s="273">
        <f>IFERROR(INDEX('2. GRI Pricing Inputs'!$C$45:$AI$46,MATCH($O$16,'2. GRI Pricing Inputs'!$C$45:$C$46,0),MATCH(G461,'2. GRI Pricing Inputs'!$C$45:$AI$45,0)),0)</f>
        <v>0</v>
      </c>
      <c r="P461" s="273">
        <f>IFERROR(INDEX('2. GRI Pricing Inputs'!$C$53:$AI$54,MATCH('3. GRI Pricing'!$P$16,'2. GRI Pricing Inputs'!$C$53:$C$54,0),MATCH('3. GRI Pricing'!H461,'2. GRI Pricing Inputs'!$C$53:$AI$53,0)),0)</f>
        <v>0</v>
      </c>
      <c r="Q461" s="273">
        <f>IFERROR(INDEX('2. GRI Pricing Inputs'!$C$60:$AI$61,MATCH('3. GRI Pricing'!$Q$16,'2. GRI Pricing Inputs'!$C$60:$C$61,0),MATCH('1. Accomodation'!T465,'2. GRI Pricing Inputs'!$C$60:$AI$60,0)),0)</f>
        <v>0</v>
      </c>
      <c r="R461" s="273">
        <f>IFERROR(INDEX('2. GRI Pricing Inputs'!$C$67:$AI$68,MATCH('3. GRI Pricing'!$R$16,'2. GRI Pricing Inputs'!$C$67:$C$68,0),MATCH('1. Accomodation'!U465,'2. GRI Pricing Inputs'!$C$67:$AI$67,0)),0)</f>
        <v>0</v>
      </c>
      <c r="S461" s="273">
        <f>IF(D461=0,0,'2. GRI Pricing Inputs'!$AI$75)</f>
        <v>0</v>
      </c>
      <c r="T461" s="273">
        <f>IFERROR(INDEX('2. GRI Pricing Inputs'!$C$82:$AI$83,MATCH('3. GRI Pricing'!$T$16,'2. GRI Pricing Inputs'!$C$82:$C$83,0),MATCH('1. Accomodation'!V465,'2. GRI Pricing Inputs'!$C$82:$AI$82,0)),0)</f>
        <v>0</v>
      </c>
      <c r="U461" s="273">
        <f>IFERROR(INDEX('2. GRI Pricing Inputs'!$C$89:$AI$90,MATCH('3. GRI Pricing'!$U$16,'2. GRI Pricing Inputs'!$C$89:$C$90,0),MATCH('1. Accomodation'!W465,'2. GRI Pricing Inputs'!$C$89:$AI$89,0)),0)</f>
        <v>0</v>
      </c>
      <c r="V461" s="273">
        <f>IFERROR(INDEX('2. GRI Pricing Inputs'!$C$97:$AI$98,MATCH('3. GRI Pricing'!$V$16,'2. GRI Pricing Inputs'!$C$97:$C$98,0),MATCH('1. Accomodation'!X465,'2. GRI Pricing Inputs'!$C$97:$AI$97,0)),0)</f>
        <v>0</v>
      </c>
      <c r="W461" s="273">
        <f>IFERROR(INDEX('2. GRI Pricing Inputs'!$C$104:$AI$105,MATCH('3. GRI Pricing'!$W$16,'2. GRI Pricing Inputs'!$C$104:$C$105,0),MATCH('1. Accomodation'!Y465,'2. GRI Pricing Inputs'!$C$104:$AI$104,0)),0)</f>
        <v>0</v>
      </c>
      <c r="X461" s="274"/>
      <c r="Y461" s="275">
        <f t="shared" si="13"/>
        <v>0</v>
      </c>
      <c r="Z461" s="276"/>
      <c r="AA461" s="276"/>
      <c r="AB461" s="276"/>
      <c r="AC461" s="272">
        <f>Y461*(1+'2. GRI Pricing Inputs'!$D$114)^(($AC$16-$AB$15)/365)</f>
        <v>0</v>
      </c>
      <c r="AD461" s="273">
        <f>AC461*(1+'2. GRI Pricing Inputs'!$D$114)^((AD$16-AC$16)/365)</f>
        <v>0</v>
      </c>
      <c r="AE461" s="273">
        <f>AD461*(1+'2. GRI Pricing Inputs'!$D$114)^((AE$16-AD$16)/365)</f>
        <v>0</v>
      </c>
      <c r="AF461" s="273">
        <f>AE461*(1+'2. GRI Pricing Inputs'!$D$114)^((AF$16-AE$16)/365)</f>
        <v>0</v>
      </c>
      <c r="AG461" s="273">
        <f>AF461*(1+'2. GRI Pricing Inputs'!$D$114)^((AG$16-AF$16)/365)</f>
        <v>0</v>
      </c>
      <c r="AH461" s="273">
        <f>AG461*(1+'2. GRI Pricing Inputs'!$D$114)^((AH$16-AG$16)/365)</f>
        <v>0</v>
      </c>
      <c r="AI461" s="273">
        <f>AH461*(1+'2. GRI Pricing Inputs'!$D$114)^((AI$16-AH$16)/365)</f>
        <v>0</v>
      </c>
      <c r="AJ461" s="273">
        <f>AI461*(1+'2. GRI Pricing Inputs'!$D$114)^((AJ$16-AI$16)/365)</f>
        <v>0</v>
      </c>
      <c r="AK461" s="273">
        <f>AJ461*(1+'2. GRI Pricing Inputs'!$D$114)^((AK$16-AJ$16)/365)</f>
        <v>0</v>
      </c>
      <c r="AL461" s="273">
        <f>AK461*(1+'2. GRI Pricing Inputs'!$D$114)^((AL$16-AK$16)/365)</f>
        <v>0</v>
      </c>
      <c r="AM461" s="273">
        <f>AL461*(1+'2. GRI Pricing Inputs'!$D$114)^((AM$16-AL$16)/365)</f>
        <v>0</v>
      </c>
      <c r="AN461" s="273">
        <f>AM461*(1+'2. GRI Pricing Inputs'!$D$114)^((AN$16-AM$16)/365)</f>
        <v>0</v>
      </c>
      <c r="AO461" s="273">
        <f>AN461*(1+'2. GRI Pricing Inputs'!$D$114)^((AO$16-AN$16)/365)</f>
        <v>0</v>
      </c>
    </row>
    <row r="462" spans="3:41" ht="12" x14ac:dyDescent="0.2">
      <c r="C462" s="76">
        <f>'1. Accomodation'!N466</f>
        <v>0</v>
      </c>
      <c r="D462" s="69">
        <f>'1. Accomodation'!P466</f>
        <v>0</v>
      </c>
      <c r="E462" s="69">
        <f>'1. Accomodation'!Q466</f>
        <v>0</v>
      </c>
      <c r="F462" s="77">
        <f>'1. Accomodation'!O466</f>
        <v>0</v>
      </c>
      <c r="G462" s="69">
        <f>'1. Accomodation'!R466</f>
        <v>0</v>
      </c>
      <c r="H462" s="69">
        <f>'1. Accomodation'!S466</f>
        <v>0</v>
      </c>
      <c r="I462" s="62"/>
      <c r="K462" s="272">
        <f>IFERROR(INDEX('2. GRI Pricing Inputs'!$C$15:$AI$16,MATCH($K$16,'2. GRI Pricing Inputs'!$C$15:$C$16,0),MATCH(D462,'2. GRI Pricing Inputs'!$C$15:$AI$15,0)),0)</f>
        <v>0</v>
      </c>
      <c r="L462" s="273">
        <f>IFERROR(INDEX('2. GRI Pricing Inputs'!$C$22:$AI$23,MATCH($L$16,'2. GRI Pricing Inputs'!$C$22:$C$23,0),MATCH(E462,'2. GRI Pricing Inputs'!$C$22:$AI$22,0)),0)</f>
        <v>0</v>
      </c>
      <c r="M462" s="328">
        <f>IF(AND('3. GRI Pricing'!$F462&gt;='2. GRI Pricing Inputs'!$D$33,'3. GRI Pricing'!$F462&lt;='2. GRI Pricing Inputs'!$E$33),'2. GRI Pricing Inputs'!$D$32,IF(AND('3. GRI Pricing'!$F462&gt;='2. GRI Pricing Inputs'!$F$33,'3. GRI Pricing'!$F462&lt;='2. GRI Pricing Inputs'!$G$33),'2. GRI Pricing Inputs'!$F$32,IF(AND('3. GRI Pricing'!$F462&gt;='2. GRI Pricing Inputs'!$H$33,'3. GRI Pricing'!$F462&lt;='2. GRI Pricing Inputs'!$I$33),'2. GRI Pricing Inputs'!$H$32,IF(AND('3. GRI Pricing'!$F462&gt;='2. GRI Pricing Inputs'!$J$33,'3. GRI Pricing'!$F462&lt;='2. GRI Pricing Inputs'!$K$33),'2. GRI Pricing Inputs'!$J$32,IF(AND('3. GRI Pricing'!$F462&gt;='2. GRI Pricing Inputs'!$L$33,'3. GRI Pricing'!$F462&lt;='2. GRI Pricing Inputs'!$M$33),'2. GRI Pricing Inputs'!$L$32,IF(AND('3. GRI Pricing'!$F462&gt;='2. GRI Pricing Inputs'!$N$33,'3. GRI Pricing'!$F462&lt;='2. GRI Pricing Inputs'!$O$33),'2. GRI Pricing Inputs'!$N$32,IF(AND('3. GRI Pricing'!$F462&gt;='2. GRI Pricing Inputs'!$P$33,'3. GRI Pricing'!$F462&lt;='2. GRI Pricing Inputs'!$Q$33),'2. GRI Pricing Inputs'!$P$32,IF(AND('3. GRI Pricing'!$F462&gt;='2. GRI Pricing Inputs'!$R$33,'3. GRI Pricing'!$F462&lt;='2. GRI Pricing Inputs'!$S$33),'2. GRI Pricing Inputs'!$R$32,IF(AND('3. GRI Pricing'!$F462&gt;='2. GRI Pricing Inputs'!$T$33,'3. GRI Pricing'!$F462&lt;='2. GRI Pricing Inputs'!$U$33),'2. GRI Pricing Inputs'!$T$32,IF(AND('3. GRI Pricing'!$F462&gt;='2. GRI Pricing Inputs'!$V$33,'3. GRI Pricing'!$F462&lt;='2. GRI Pricing Inputs'!$W$33),'2. GRI Pricing Inputs'!$V$32,IF(AND('3. GRI Pricing'!$F462&gt;='2. GRI Pricing Inputs'!$X$33,'3. GRI Pricing'!$F462&lt;='2. GRI Pricing Inputs'!$Y$33),'2. GRI Pricing Inputs'!$X$32,IF(AND('3. GRI Pricing'!$F462&gt;='2. GRI Pricing Inputs'!$Z$33,'3. GRI Pricing'!$F462&lt;='2. GRI Pricing Inputs'!$AA$33),'2. GRI Pricing Inputs'!$Z$32,IF(AND('3. GRI Pricing'!$F462&gt;='2. GRI Pricing Inputs'!$AB$33,'3. GRI Pricing'!$F462&lt;='2. GRI Pricing Inputs'!$AC$33),'2. GRI Pricing Inputs'!$AB$32,IF(AND('3. GRI Pricing'!$F462&gt;='2. GRI Pricing Inputs'!$AD$33,'3. GRI Pricing'!$F462&lt;='2. GRI Pricing Inputs'!$AE$33),'2. GRI Pricing Inputs'!$AD$32,IF(AND('3. GRI Pricing'!$F462&gt;='2. GRI Pricing Inputs'!$AF$33,'3. GRI Pricing'!$F462&lt;='2. GRI Pricing Inputs'!$AG$33),'2. GRI Pricing Inputs'!$AF$32,IF(AND('3. GRI Pricing'!$F462&gt;='2. GRI Pricing Inputs'!$AH$33,'3. GRI Pricing'!$F462&lt;='2. GRI Pricing Inputs'!$AI$33),'2. GRI Pricing Inputs'!$AH$32,0))))))))))))))))</f>
        <v>0</v>
      </c>
      <c r="N462" s="273" cm="1">
        <f t="array" ref="N462">IFERROR(INDEX('2. GRI Pricing Inputs'!$C$32:$AI$39,MATCH('3. GRI Pricing'!D462,'2. GRI Pricing Inputs'!$C$32:$C$39,0),(MATCH('3. GRI Pricing'!M462,'2. GRI Pricing Inputs'!$D$32:$AI$32,0)+1)),0)</f>
        <v>0</v>
      </c>
      <c r="O462" s="273">
        <f>IFERROR(INDEX('2. GRI Pricing Inputs'!$C$45:$AI$46,MATCH($O$16,'2. GRI Pricing Inputs'!$C$45:$C$46,0),MATCH(G462,'2. GRI Pricing Inputs'!$C$45:$AI$45,0)),0)</f>
        <v>0</v>
      </c>
      <c r="P462" s="273">
        <f>IFERROR(INDEX('2. GRI Pricing Inputs'!$C$53:$AI$54,MATCH('3. GRI Pricing'!$P$16,'2. GRI Pricing Inputs'!$C$53:$C$54,0),MATCH('3. GRI Pricing'!H462,'2. GRI Pricing Inputs'!$C$53:$AI$53,0)),0)</f>
        <v>0</v>
      </c>
      <c r="Q462" s="273">
        <f>IFERROR(INDEX('2. GRI Pricing Inputs'!$C$60:$AI$61,MATCH('3. GRI Pricing'!$Q$16,'2. GRI Pricing Inputs'!$C$60:$C$61,0),MATCH('1. Accomodation'!T466,'2. GRI Pricing Inputs'!$C$60:$AI$60,0)),0)</f>
        <v>0</v>
      </c>
      <c r="R462" s="273">
        <f>IFERROR(INDEX('2. GRI Pricing Inputs'!$C$67:$AI$68,MATCH('3. GRI Pricing'!$R$16,'2. GRI Pricing Inputs'!$C$67:$C$68,0),MATCH('1. Accomodation'!U466,'2. GRI Pricing Inputs'!$C$67:$AI$67,0)),0)</f>
        <v>0</v>
      </c>
      <c r="S462" s="273">
        <f>IF(D462=0,0,'2. GRI Pricing Inputs'!$AI$75)</f>
        <v>0</v>
      </c>
      <c r="T462" s="273">
        <f>IFERROR(INDEX('2. GRI Pricing Inputs'!$C$82:$AI$83,MATCH('3. GRI Pricing'!$T$16,'2. GRI Pricing Inputs'!$C$82:$C$83,0),MATCH('1. Accomodation'!V466,'2. GRI Pricing Inputs'!$C$82:$AI$82,0)),0)</f>
        <v>0</v>
      </c>
      <c r="U462" s="273">
        <f>IFERROR(INDEX('2. GRI Pricing Inputs'!$C$89:$AI$90,MATCH('3. GRI Pricing'!$U$16,'2. GRI Pricing Inputs'!$C$89:$C$90,0),MATCH('1. Accomodation'!W466,'2. GRI Pricing Inputs'!$C$89:$AI$89,0)),0)</f>
        <v>0</v>
      </c>
      <c r="V462" s="273">
        <f>IFERROR(INDEX('2. GRI Pricing Inputs'!$C$97:$AI$98,MATCH('3. GRI Pricing'!$V$16,'2. GRI Pricing Inputs'!$C$97:$C$98,0),MATCH('1. Accomodation'!X466,'2. GRI Pricing Inputs'!$C$97:$AI$97,0)),0)</f>
        <v>0</v>
      </c>
      <c r="W462" s="273">
        <f>IFERROR(INDEX('2. GRI Pricing Inputs'!$C$104:$AI$105,MATCH('3. GRI Pricing'!$W$16,'2. GRI Pricing Inputs'!$C$104:$C$105,0),MATCH('1. Accomodation'!Y466,'2. GRI Pricing Inputs'!$C$104:$AI$104,0)),0)</f>
        <v>0</v>
      </c>
      <c r="X462" s="274"/>
      <c r="Y462" s="275">
        <f t="shared" si="13"/>
        <v>0</v>
      </c>
      <c r="Z462" s="276"/>
      <c r="AA462" s="276"/>
      <c r="AB462" s="276"/>
      <c r="AC462" s="272">
        <f>Y462*(1+'2. GRI Pricing Inputs'!$D$114)^(($AC$16-$AB$15)/365)</f>
        <v>0</v>
      </c>
      <c r="AD462" s="273">
        <f>AC462*(1+'2. GRI Pricing Inputs'!$D$114)^((AD$16-AC$16)/365)</f>
        <v>0</v>
      </c>
      <c r="AE462" s="273">
        <f>AD462*(1+'2. GRI Pricing Inputs'!$D$114)^((AE$16-AD$16)/365)</f>
        <v>0</v>
      </c>
      <c r="AF462" s="273">
        <f>AE462*(1+'2. GRI Pricing Inputs'!$D$114)^((AF$16-AE$16)/365)</f>
        <v>0</v>
      </c>
      <c r="AG462" s="273">
        <f>AF462*(1+'2. GRI Pricing Inputs'!$D$114)^((AG$16-AF$16)/365)</f>
        <v>0</v>
      </c>
      <c r="AH462" s="273">
        <f>AG462*(1+'2. GRI Pricing Inputs'!$D$114)^((AH$16-AG$16)/365)</f>
        <v>0</v>
      </c>
      <c r="AI462" s="273">
        <f>AH462*(1+'2. GRI Pricing Inputs'!$D$114)^((AI$16-AH$16)/365)</f>
        <v>0</v>
      </c>
      <c r="AJ462" s="273">
        <f>AI462*(1+'2. GRI Pricing Inputs'!$D$114)^((AJ$16-AI$16)/365)</f>
        <v>0</v>
      </c>
      <c r="AK462" s="273">
        <f>AJ462*(1+'2. GRI Pricing Inputs'!$D$114)^((AK$16-AJ$16)/365)</f>
        <v>0</v>
      </c>
      <c r="AL462" s="273">
        <f>AK462*(1+'2. GRI Pricing Inputs'!$D$114)^((AL$16-AK$16)/365)</f>
        <v>0</v>
      </c>
      <c r="AM462" s="273">
        <f>AL462*(1+'2. GRI Pricing Inputs'!$D$114)^((AM$16-AL$16)/365)</f>
        <v>0</v>
      </c>
      <c r="AN462" s="273">
        <f>AM462*(1+'2. GRI Pricing Inputs'!$D$114)^((AN$16-AM$16)/365)</f>
        <v>0</v>
      </c>
      <c r="AO462" s="273">
        <f>AN462*(1+'2. GRI Pricing Inputs'!$D$114)^((AO$16-AN$16)/365)</f>
        <v>0</v>
      </c>
    </row>
    <row r="463" spans="3:41" ht="12" x14ac:dyDescent="0.2">
      <c r="C463" s="76">
        <f>'1. Accomodation'!N467</f>
        <v>0</v>
      </c>
      <c r="D463" s="69">
        <f>'1. Accomodation'!P467</f>
        <v>0</v>
      </c>
      <c r="E463" s="69">
        <f>'1. Accomodation'!Q467</f>
        <v>0</v>
      </c>
      <c r="F463" s="77">
        <f>'1. Accomodation'!O467</f>
        <v>0</v>
      </c>
      <c r="G463" s="69">
        <f>'1. Accomodation'!R467</f>
        <v>0</v>
      </c>
      <c r="H463" s="69">
        <f>'1. Accomodation'!S467</f>
        <v>0</v>
      </c>
      <c r="I463" s="62"/>
      <c r="K463" s="272">
        <f>IFERROR(INDEX('2. GRI Pricing Inputs'!$C$15:$AI$16,MATCH($K$16,'2. GRI Pricing Inputs'!$C$15:$C$16,0),MATCH(D463,'2. GRI Pricing Inputs'!$C$15:$AI$15,0)),0)</f>
        <v>0</v>
      </c>
      <c r="L463" s="273">
        <f>IFERROR(INDEX('2. GRI Pricing Inputs'!$C$22:$AI$23,MATCH($L$16,'2. GRI Pricing Inputs'!$C$22:$C$23,0),MATCH(E463,'2. GRI Pricing Inputs'!$C$22:$AI$22,0)),0)</f>
        <v>0</v>
      </c>
      <c r="M463" s="328">
        <f>IF(AND('3. GRI Pricing'!$F463&gt;='2. GRI Pricing Inputs'!$D$33,'3. GRI Pricing'!$F463&lt;='2. GRI Pricing Inputs'!$E$33),'2. GRI Pricing Inputs'!$D$32,IF(AND('3. GRI Pricing'!$F463&gt;='2. GRI Pricing Inputs'!$F$33,'3. GRI Pricing'!$F463&lt;='2. GRI Pricing Inputs'!$G$33),'2. GRI Pricing Inputs'!$F$32,IF(AND('3. GRI Pricing'!$F463&gt;='2. GRI Pricing Inputs'!$H$33,'3. GRI Pricing'!$F463&lt;='2. GRI Pricing Inputs'!$I$33),'2. GRI Pricing Inputs'!$H$32,IF(AND('3. GRI Pricing'!$F463&gt;='2. GRI Pricing Inputs'!$J$33,'3. GRI Pricing'!$F463&lt;='2. GRI Pricing Inputs'!$K$33),'2. GRI Pricing Inputs'!$J$32,IF(AND('3. GRI Pricing'!$F463&gt;='2. GRI Pricing Inputs'!$L$33,'3. GRI Pricing'!$F463&lt;='2. GRI Pricing Inputs'!$M$33),'2. GRI Pricing Inputs'!$L$32,IF(AND('3. GRI Pricing'!$F463&gt;='2. GRI Pricing Inputs'!$N$33,'3. GRI Pricing'!$F463&lt;='2. GRI Pricing Inputs'!$O$33),'2. GRI Pricing Inputs'!$N$32,IF(AND('3. GRI Pricing'!$F463&gt;='2. GRI Pricing Inputs'!$P$33,'3. GRI Pricing'!$F463&lt;='2. GRI Pricing Inputs'!$Q$33),'2. GRI Pricing Inputs'!$P$32,IF(AND('3. GRI Pricing'!$F463&gt;='2. GRI Pricing Inputs'!$R$33,'3. GRI Pricing'!$F463&lt;='2. GRI Pricing Inputs'!$S$33),'2. GRI Pricing Inputs'!$R$32,IF(AND('3. GRI Pricing'!$F463&gt;='2. GRI Pricing Inputs'!$T$33,'3. GRI Pricing'!$F463&lt;='2. GRI Pricing Inputs'!$U$33),'2. GRI Pricing Inputs'!$T$32,IF(AND('3. GRI Pricing'!$F463&gt;='2. GRI Pricing Inputs'!$V$33,'3. GRI Pricing'!$F463&lt;='2. GRI Pricing Inputs'!$W$33),'2. GRI Pricing Inputs'!$V$32,IF(AND('3. GRI Pricing'!$F463&gt;='2. GRI Pricing Inputs'!$X$33,'3. GRI Pricing'!$F463&lt;='2. GRI Pricing Inputs'!$Y$33),'2. GRI Pricing Inputs'!$X$32,IF(AND('3. GRI Pricing'!$F463&gt;='2. GRI Pricing Inputs'!$Z$33,'3. GRI Pricing'!$F463&lt;='2. GRI Pricing Inputs'!$AA$33),'2. GRI Pricing Inputs'!$Z$32,IF(AND('3. GRI Pricing'!$F463&gt;='2. GRI Pricing Inputs'!$AB$33,'3. GRI Pricing'!$F463&lt;='2. GRI Pricing Inputs'!$AC$33),'2. GRI Pricing Inputs'!$AB$32,IF(AND('3. GRI Pricing'!$F463&gt;='2. GRI Pricing Inputs'!$AD$33,'3. GRI Pricing'!$F463&lt;='2. GRI Pricing Inputs'!$AE$33),'2. GRI Pricing Inputs'!$AD$32,IF(AND('3. GRI Pricing'!$F463&gt;='2. GRI Pricing Inputs'!$AF$33,'3. GRI Pricing'!$F463&lt;='2. GRI Pricing Inputs'!$AG$33),'2. GRI Pricing Inputs'!$AF$32,IF(AND('3. GRI Pricing'!$F463&gt;='2. GRI Pricing Inputs'!$AH$33,'3. GRI Pricing'!$F463&lt;='2. GRI Pricing Inputs'!$AI$33),'2. GRI Pricing Inputs'!$AH$32,0))))))))))))))))</f>
        <v>0</v>
      </c>
      <c r="N463" s="273" cm="1">
        <f t="array" ref="N463">IFERROR(INDEX('2. GRI Pricing Inputs'!$C$32:$AI$39,MATCH('3. GRI Pricing'!D463,'2. GRI Pricing Inputs'!$C$32:$C$39,0),(MATCH('3. GRI Pricing'!M463,'2. GRI Pricing Inputs'!$D$32:$AI$32,0)+1)),0)</f>
        <v>0</v>
      </c>
      <c r="O463" s="273">
        <f>IFERROR(INDEX('2. GRI Pricing Inputs'!$C$45:$AI$46,MATCH($O$16,'2. GRI Pricing Inputs'!$C$45:$C$46,0),MATCH(G463,'2. GRI Pricing Inputs'!$C$45:$AI$45,0)),0)</f>
        <v>0</v>
      </c>
      <c r="P463" s="273">
        <f>IFERROR(INDEX('2. GRI Pricing Inputs'!$C$53:$AI$54,MATCH('3. GRI Pricing'!$P$16,'2. GRI Pricing Inputs'!$C$53:$C$54,0),MATCH('3. GRI Pricing'!H463,'2. GRI Pricing Inputs'!$C$53:$AI$53,0)),0)</f>
        <v>0</v>
      </c>
      <c r="Q463" s="273">
        <f>IFERROR(INDEX('2. GRI Pricing Inputs'!$C$60:$AI$61,MATCH('3. GRI Pricing'!$Q$16,'2. GRI Pricing Inputs'!$C$60:$C$61,0),MATCH('1. Accomodation'!T467,'2. GRI Pricing Inputs'!$C$60:$AI$60,0)),0)</f>
        <v>0</v>
      </c>
      <c r="R463" s="273">
        <f>IFERROR(INDEX('2. GRI Pricing Inputs'!$C$67:$AI$68,MATCH('3. GRI Pricing'!$R$16,'2. GRI Pricing Inputs'!$C$67:$C$68,0),MATCH('1. Accomodation'!U467,'2. GRI Pricing Inputs'!$C$67:$AI$67,0)),0)</f>
        <v>0</v>
      </c>
      <c r="S463" s="273">
        <f>IF(D463=0,0,'2. GRI Pricing Inputs'!$AI$75)</f>
        <v>0</v>
      </c>
      <c r="T463" s="273">
        <f>IFERROR(INDEX('2. GRI Pricing Inputs'!$C$82:$AI$83,MATCH('3. GRI Pricing'!$T$16,'2. GRI Pricing Inputs'!$C$82:$C$83,0),MATCH('1. Accomodation'!V467,'2. GRI Pricing Inputs'!$C$82:$AI$82,0)),0)</f>
        <v>0</v>
      </c>
      <c r="U463" s="273">
        <f>IFERROR(INDEX('2. GRI Pricing Inputs'!$C$89:$AI$90,MATCH('3. GRI Pricing'!$U$16,'2. GRI Pricing Inputs'!$C$89:$C$90,0),MATCH('1. Accomodation'!W467,'2. GRI Pricing Inputs'!$C$89:$AI$89,0)),0)</f>
        <v>0</v>
      </c>
      <c r="V463" s="273">
        <f>IFERROR(INDEX('2. GRI Pricing Inputs'!$C$97:$AI$98,MATCH('3. GRI Pricing'!$V$16,'2. GRI Pricing Inputs'!$C$97:$C$98,0),MATCH('1. Accomodation'!X467,'2. GRI Pricing Inputs'!$C$97:$AI$97,0)),0)</f>
        <v>0</v>
      </c>
      <c r="W463" s="273">
        <f>IFERROR(INDEX('2. GRI Pricing Inputs'!$C$104:$AI$105,MATCH('3. GRI Pricing'!$W$16,'2. GRI Pricing Inputs'!$C$104:$C$105,0),MATCH('1. Accomodation'!Y467,'2. GRI Pricing Inputs'!$C$104:$AI$104,0)),0)</f>
        <v>0</v>
      </c>
      <c r="X463" s="274"/>
      <c r="Y463" s="275">
        <f t="shared" si="13"/>
        <v>0</v>
      </c>
      <c r="Z463" s="276"/>
      <c r="AA463" s="276"/>
      <c r="AB463" s="276"/>
      <c r="AC463" s="272">
        <f>Y463*(1+'2. GRI Pricing Inputs'!$D$114)^(($AC$16-$AB$15)/365)</f>
        <v>0</v>
      </c>
      <c r="AD463" s="273">
        <f>AC463*(1+'2. GRI Pricing Inputs'!$D$114)^((AD$16-AC$16)/365)</f>
        <v>0</v>
      </c>
      <c r="AE463" s="273">
        <f>AD463*(1+'2. GRI Pricing Inputs'!$D$114)^((AE$16-AD$16)/365)</f>
        <v>0</v>
      </c>
      <c r="AF463" s="273">
        <f>AE463*(1+'2. GRI Pricing Inputs'!$D$114)^((AF$16-AE$16)/365)</f>
        <v>0</v>
      </c>
      <c r="AG463" s="273">
        <f>AF463*(1+'2. GRI Pricing Inputs'!$D$114)^((AG$16-AF$16)/365)</f>
        <v>0</v>
      </c>
      <c r="AH463" s="273">
        <f>AG463*(1+'2. GRI Pricing Inputs'!$D$114)^((AH$16-AG$16)/365)</f>
        <v>0</v>
      </c>
      <c r="AI463" s="273">
        <f>AH463*(1+'2. GRI Pricing Inputs'!$D$114)^((AI$16-AH$16)/365)</f>
        <v>0</v>
      </c>
      <c r="AJ463" s="273">
        <f>AI463*(1+'2. GRI Pricing Inputs'!$D$114)^((AJ$16-AI$16)/365)</f>
        <v>0</v>
      </c>
      <c r="AK463" s="273">
        <f>AJ463*(1+'2. GRI Pricing Inputs'!$D$114)^((AK$16-AJ$16)/365)</f>
        <v>0</v>
      </c>
      <c r="AL463" s="273">
        <f>AK463*(1+'2. GRI Pricing Inputs'!$D$114)^((AL$16-AK$16)/365)</f>
        <v>0</v>
      </c>
      <c r="AM463" s="273">
        <f>AL463*(1+'2. GRI Pricing Inputs'!$D$114)^((AM$16-AL$16)/365)</f>
        <v>0</v>
      </c>
      <c r="AN463" s="273">
        <f>AM463*(1+'2. GRI Pricing Inputs'!$D$114)^((AN$16-AM$16)/365)</f>
        <v>0</v>
      </c>
      <c r="AO463" s="273">
        <f>AN463*(1+'2. GRI Pricing Inputs'!$D$114)^((AO$16-AN$16)/365)</f>
        <v>0</v>
      </c>
    </row>
    <row r="464" spans="3:41" ht="12" x14ac:dyDescent="0.2">
      <c r="C464" s="76">
        <f>'1. Accomodation'!N468</f>
        <v>0</v>
      </c>
      <c r="D464" s="69">
        <f>'1. Accomodation'!P468</f>
        <v>0</v>
      </c>
      <c r="E464" s="69">
        <f>'1. Accomodation'!Q468</f>
        <v>0</v>
      </c>
      <c r="F464" s="77">
        <f>'1. Accomodation'!O468</f>
        <v>0</v>
      </c>
      <c r="G464" s="69">
        <f>'1. Accomodation'!R468</f>
        <v>0</v>
      </c>
      <c r="H464" s="69">
        <f>'1. Accomodation'!S468</f>
        <v>0</v>
      </c>
      <c r="I464" s="62"/>
      <c r="K464" s="272">
        <f>IFERROR(INDEX('2. GRI Pricing Inputs'!$C$15:$AI$16,MATCH($K$16,'2. GRI Pricing Inputs'!$C$15:$C$16,0),MATCH(D464,'2. GRI Pricing Inputs'!$C$15:$AI$15,0)),0)</f>
        <v>0</v>
      </c>
      <c r="L464" s="273">
        <f>IFERROR(INDEX('2. GRI Pricing Inputs'!$C$22:$AI$23,MATCH($L$16,'2. GRI Pricing Inputs'!$C$22:$C$23,0),MATCH(E464,'2. GRI Pricing Inputs'!$C$22:$AI$22,0)),0)</f>
        <v>0</v>
      </c>
      <c r="M464" s="328">
        <f>IF(AND('3. GRI Pricing'!$F464&gt;='2. GRI Pricing Inputs'!$D$33,'3. GRI Pricing'!$F464&lt;='2. GRI Pricing Inputs'!$E$33),'2. GRI Pricing Inputs'!$D$32,IF(AND('3. GRI Pricing'!$F464&gt;='2. GRI Pricing Inputs'!$F$33,'3. GRI Pricing'!$F464&lt;='2. GRI Pricing Inputs'!$G$33),'2. GRI Pricing Inputs'!$F$32,IF(AND('3. GRI Pricing'!$F464&gt;='2. GRI Pricing Inputs'!$H$33,'3. GRI Pricing'!$F464&lt;='2. GRI Pricing Inputs'!$I$33),'2. GRI Pricing Inputs'!$H$32,IF(AND('3. GRI Pricing'!$F464&gt;='2. GRI Pricing Inputs'!$J$33,'3. GRI Pricing'!$F464&lt;='2. GRI Pricing Inputs'!$K$33),'2. GRI Pricing Inputs'!$J$32,IF(AND('3. GRI Pricing'!$F464&gt;='2. GRI Pricing Inputs'!$L$33,'3. GRI Pricing'!$F464&lt;='2. GRI Pricing Inputs'!$M$33),'2. GRI Pricing Inputs'!$L$32,IF(AND('3. GRI Pricing'!$F464&gt;='2. GRI Pricing Inputs'!$N$33,'3. GRI Pricing'!$F464&lt;='2. GRI Pricing Inputs'!$O$33),'2. GRI Pricing Inputs'!$N$32,IF(AND('3. GRI Pricing'!$F464&gt;='2. GRI Pricing Inputs'!$P$33,'3. GRI Pricing'!$F464&lt;='2. GRI Pricing Inputs'!$Q$33),'2. GRI Pricing Inputs'!$P$32,IF(AND('3. GRI Pricing'!$F464&gt;='2. GRI Pricing Inputs'!$R$33,'3. GRI Pricing'!$F464&lt;='2. GRI Pricing Inputs'!$S$33),'2. GRI Pricing Inputs'!$R$32,IF(AND('3. GRI Pricing'!$F464&gt;='2. GRI Pricing Inputs'!$T$33,'3. GRI Pricing'!$F464&lt;='2. GRI Pricing Inputs'!$U$33),'2. GRI Pricing Inputs'!$T$32,IF(AND('3. GRI Pricing'!$F464&gt;='2. GRI Pricing Inputs'!$V$33,'3. GRI Pricing'!$F464&lt;='2. GRI Pricing Inputs'!$W$33),'2. GRI Pricing Inputs'!$V$32,IF(AND('3. GRI Pricing'!$F464&gt;='2. GRI Pricing Inputs'!$X$33,'3. GRI Pricing'!$F464&lt;='2. GRI Pricing Inputs'!$Y$33),'2. GRI Pricing Inputs'!$X$32,IF(AND('3. GRI Pricing'!$F464&gt;='2. GRI Pricing Inputs'!$Z$33,'3. GRI Pricing'!$F464&lt;='2. GRI Pricing Inputs'!$AA$33),'2. GRI Pricing Inputs'!$Z$32,IF(AND('3. GRI Pricing'!$F464&gt;='2. GRI Pricing Inputs'!$AB$33,'3. GRI Pricing'!$F464&lt;='2. GRI Pricing Inputs'!$AC$33),'2. GRI Pricing Inputs'!$AB$32,IF(AND('3. GRI Pricing'!$F464&gt;='2. GRI Pricing Inputs'!$AD$33,'3. GRI Pricing'!$F464&lt;='2. GRI Pricing Inputs'!$AE$33),'2. GRI Pricing Inputs'!$AD$32,IF(AND('3. GRI Pricing'!$F464&gt;='2. GRI Pricing Inputs'!$AF$33,'3. GRI Pricing'!$F464&lt;='2. GRI Pricing Inputs'!$AG$33),'2. GRI Pricing Inputs'!$AF$32,IF(AND('3. GRI Pricing'!$F464&gt;='2. GRI Pricing Inputs'!$AH$33,'3. GRI Pricing'!$F464&lt;='2. GRI Pricing Inputs'!$AI$33),'2. GRI Pricing Inputs'!$AH$32,0))))))))))))))))</f>
        <v>0</v>
      </c>
      <c r="N464" s="273" cm="1">
        <f t="array" ref="N464">IFERROR(INDEX('2. GRI Pricing Inputs'!$C$32:$AI$39,MATCH('3. GRI Pricing'!D464,'2. GRI Pricing Inputs'!$C$32:$C$39,0),(MATCH('3. GRI Pricing'!M464,'2. GRI Pricing Inputs'!$D$32:$AI$32,0)+1)),0)</f>
        <v>0</v>
      </c>
      <c r="O464" s="273">
        <f>IFERROR(INDEX('2. GRI Pricing Inputs'!$C$45:$AI$46,MATCH($O$16,'2. GRI Pricing Inputs'!$C$45:$C$46,0),MATCH(G464,'2. GRI Pricing Inputs'!$C$45:$AI$45,0)),0)</f>
        <v>0</v>
      </c>
      <c r="P464" s="273">
        <f>IFERROR(INDEX('2. GRI Pricing Inputs'!$C$53:$AI$54,MATCH('3. GRI Pricing'!$P$16,'2. GRI Pricing Inputs'!$C$53:$C$54,0),MATCH('3. GRI Pricing'!H464,'2. GRI Pricing Inputs'!$C$53:$AI$53,0)),0)</f>
        <v>0</v>
      </c>
      <c r="Q464" s="273">
        <f>IFERROR(INDEX('2. GRI Pricing Inputs'!$C$60:$AI$61,MATCH('3. GRI Pricing'!$Q$16,'2. GRI Pricing Inputs'!$C$60:$C$61,0),MATCH('1. Accomodation'!T468,'2. GRI Pricing Inputs'!$C$60:$AI$60,0)),0)</f>
        <v>0</v>
      </c>
      <c r="R464" s="273">
        <f>IFERROR(INDEX('2. GRI Pricing Inputs'!$C$67:$AI$68,MATCH('3. GRI Pricing'!$R$16,'2. GRI Pricing Inputs'!$C$67:$C$68,0),MATCH('1. Accomodation'!U468,'2. GRI Pricing Inputs'!$C$67:$AI$67,0)),0)</f>
        <v>0</v>
      </c>
      <c r="S464" s="273">
        <f>IF(D464=0,0,'2. GRI Pricing Inputs'!$AI$75)</f>
        <v>0</v>
      </c>
      <c r="T464" s="273">
        <f>IFERROR(INDEX('2. GRI Pricing Inputs'!$C$82:$AI$83,MATCH('3. GRI Pricing'!$T$16,'2. GRI Pricing Inputs'!$C$82:$C$83,0),MATCH('1. Accomodation'!V468,'2. GRI Pricing Inputs'!$C$82:$AI$82,0)),0)</f>
        <v>0</v>
      </c>
      <c r="U464" s="273">
        <f>IFERROR(INDEX('2. GRI Pricing Inputs'!$C$89:$AI$90,MATCH('3. GRI Pricing'!$U$16,'2. GRI Pricing Inputs'!$C$89:$C$90,0),MATCH('1. Accomodation'!W468,'2. GRI Pricing Inputs'!$C$89:$AI$89,0)),0)</f>
        <v>0</v>
      </c>
      <c r="V464" s="273">
        <f>IFERROR(INDEX('2. GRI Pricing Inputs'!$C$97:$AI$98,MATCH('3. GRI Pricing'!$V$16,'2. GRI Pricing Inputs'!$C$97:$C$98,0),MATCH('1. Accomodation'!X468,'2. GRI Pricing Inputs'!$C$97:$AI$97,0)),0)</f>
        <v>0</v>
      </c>
      <c r="W464" s="273">
        <f>IFERROR(INDEX('2. GRI Pricing Inputs'!$C$104:$AI$105,MATCH('3. GRI Pricing'!$W$16,'2. GRI Pricing Inputs'!$C$104:$C$105,0),MATCH('1. Accomodation'!Y468,'2. GRI Pricing Inputs'!$C$104:$AI$104,0)),0)</f>
        <v>0</v>
      </c>
      <c r="X464" s="274"/>
      <c r="Y464" s="275">
        <f t="shared" si="13"/>
        <v>0</v>
      </c>
      <c r="Z464" s="276"/>
      <c r="AA464" s="276"/>
      <c r="AB464" s="276"/>
      <c r="AC464" s="272">
        <f>Y464*(1+'2. GRI Pricing Inputs'!$D$114)^(($AC$16-$AB$15)/365)</f>
        <v>0</v>
      </c>
      <c r="AD464" s="273">
        <f>AC464*(1+'2. GRI Pricing Inputs'!$D$114)^((AD$16-AC$16)/365)</f>
        <v>0</v>
      </c>
      <c r="AE464" s="273">
        <f>AD464*(1+'2. GRI Pricing Inputs'!$D$114)^((AE$16-AD$16)/365)</f>
        <v>0</v>
      </c>
      <c r="AF464" s="273">
        <f>AE464*(1+'2. GRI Pricing Inputs'!$D$114)^((AF$16-AE$16)/365)</f>
        <v>0</v>
      </c>
      <c r="AG464" s="273">
        <f>AF464*(1+'2. GRI Pricing Inputs'!$D$114)^((AG$16-AF$16)/365)</f>
        <v>0</v>
      </c>
      <c r="AH464" s="273">
        <f>AG464*(1+'2. GRI Pricing Inputs'!$D$114)^((AH$16-AG$16)/365)</f>
        <v>0</v>
      </c>
      <c r="AI464" s="273">
        <f>AH464*(1+'2. GRI Pricing Inputs'!$D$114)^((AI$16-AH$16)/365)</f>
        <v>0</v>
      </c>
      <c r="AJ464" s="273">
        <f>AI464*(1+'2. GRI Pricing Inputs'!$D$114)^((AJ$16-AI$16)/365)</f>
        <v>0</v>
      </c>
      <c r="AK464" s="273">
        <f>AJ464*(1+'2. GRI Pricing Inputs'!$D$114)^((AK$16-AJ$16)/365)</f>
        <v>0</v>
      </c>
      <c r="AL464" s="273">
        <f>AK464*(1+'2. GRI Pricing Inputs'!$D$114)^((AL$16-AK$16)/365)</f>
        <v>0</v>
      </c>
      <c r="AM464" s="273">
        <f>AL464*(1+'2. GRI Pricing Inputs'!$D$114)^((AM$16-AL$16)/365)</f>
        <v>0</v>
      </c>
      <c r="AN464" s="273">
        <f>AM464*(1+'2. GRI Pricing Inputs'!$D$114)^((AN$16-AM$16)/365)</f>
        <v>0</v>
      </c>
      <c r="AO464" s="273">
        <f>AN464*(1+'2. GRI Pricing Inputs'!$D$114)^((AO$16-AN$16)/365)</f>
        <v>0</v>
      </c>
    </row>
    <row r="465" spans="3:41" ht="12" x14ac:dyDescent="0.2">
      <c r="C465" s="76">
        <f>'1. Accomodation'!N469</f>
        <v>0</v>
      </c>
      <c r="D465" s="69">
        <f>'1. Accomodation'!P469</f>
        <v>0</v>
      </c>
      <c r="E465" s="69">
        <f>'1. Accomodation'!Q469</f>
        <v>0</v>
      </c>
      <c r="F465" s="77">
        <f>'1. Accomodation'!O469</f>
        <v>0</v>
      </c>
      <c r="G465" s="69">
        <f>'1. Accomodation'!R469</f>
        <v>0</v>
      </c>
      <c r="H465" s="69">
        <f>'1. Accomodation'!S469</f>
        <v>0</v>
      </c>
      <c r="I465" s="62"/>
      <c r="K465" s="272">
        <f>IFERROR(INDEX('2. GRI Pricing Inputs'!$C$15:$AI$16,MATCH($K$16,'2. GRI Pricing Inputs'!$C$15:$C$16,0),MATCH(D465,'2. GRI Pricing Inputs'!$C$15:$AI$15,0)),0)</f>
        <v>0</v>
      </c>
      <c r="L465" s="273">
        <f>IFERROR(INDEX('2. GRI Pricing Inputs'!$C$22:$AI$23,MATCH($L$16,'2. GRI Pricing Inputs'!$C$22:$C$23,0),MATCH(E465,'2. GRI Pricing Inputs'!$C$22:$AI$22,0)),0)</f>
        <v>0</v>
      </c>
      <c r="M465" s="328">
        <f>IF(AND('3. GRI Pricing'!$F465&gt;='2. GRI Pricing Inputs'!$D$33,'3. GRI Pricing'!$F465&lt;='2. GRI Pricing Inputs'!$E$33),'2. GRI Pricing Inputs'!$D$32,IF(AND('3. GRI Pricing'!$F465&gt;='2. GRI Pricing Inputs'!$F$33,'3. GRI Pricing'!$F465&lt;='2. GRI Pricing Inputs'!$G$33),'2. GRI Pricing Inputs'!$F$32,IF(AND('3. GRI Pricing'!$F465&gt;='2. GRI Pricing Inputs'!$H$33,'3. GRI Pricing'!$F465&lt;='2. GRI Pricing Inputs'!$I$33),'2. GRI Pricing Inputs'!$H$32,IF(AND('3. GRI Pricing'!$F465&gt;='2. GRI Pricing Inputs'!$J$33,'3. GRI Pricing'!$F465&lt;='2. GRI Pricing Inputs'!$K$33),'2. GRI Pricing Inputs'!$J$32,IF(AND('3. GRI Pricing'!$F465&gt;='2. GRI Pricing Inputs'!$L$33,'3. GRI Pricing'!$F465&lt;='2. GRI Pricing Inputs'!$M$33),'2. GRI Pricing Inputs'!$L$32,IF(AND('3. GRI Pricing'!$F465&gt;='2. GRI Pricing Inputs'!$N$33,'3. GRI Pricing'!$F465&lt;='2. GRI Pricing Inputs'!$O$33),'2. GRI Pricing Inputs'!$N$32,IF(AND('3. GRI Pricing'!$F465&gt;='2. GRI Pricing Inputs'!$P$33,'3. GRI Pricing'!$F465&lt;='2. GRI Pricing Inputs'!$Q$33),'2. GRI Pricing Inputs'!$P$32,IF(AND('3. GRI Pricing'!$F465&gt;='2. GRI Pricing Inputs'!$R$33,'3. GRI Pricing'!$F465&lt;='2. GRI Pricing Inputs'!$S$33),'2. GRI Pricing Inputs'!$R$32,IF(AND('3. GRI Pricing'!$F465&gt;='2. GRI Pricing Inputs'!$T$33,'3. GRI Pricing'!$F465&lt;='2. GRI Pricing Inputs'!$U$33),'2. GRI Pricing Inputs'!$T$32,IF(AND('3. GRI Pricing'!$F465&gt;='2. GRI Pricing Inputs'!$V$33,'3. GRI Pricing'!$F465&lt;='2. GRI Pricing Inputs'!$W$33),'2. GRI Pricing Inputs'!$V$32,IF(AND('3. GRI Pricing'!$F465&gt;='2. GRI Pricing Inputs'!$X$33,'3. GRI Pricing'!$F465&lt;='2. GRI Pricing Inputs'!$Y$33),'2. GRI Pricing Inputs'!$X$32,IF(AND('3. GRI Pricing'!$F465&gt;='2. GRI Pricing Inputs'!$Z$33,'3. GRI Pricing'!$F465&lt;='2. GRI Pricing Inputs'!$AA$33),'2. GRI Pricing Inputs'!$Z$32,IF(AND('3. GRI Pricing'!$F465&gt;='2. GRI Pricing Inputs'!$AB$33,'3. GRI Pricing'!$F465&lt;='2. GRI Pricing Inputs'!$AC$33),'2. GRI Pricing Inputs'!$AB$32,IF(AND('3. GRI Pricing'!$F465&gt;='2. GRI Pricing Inputs'!$AD$33,'3. GRI Pricing'!$F465&lt;='2. GRI Pricing Inputs'!$AE$33),'2. GRI Pricing Inputs'!$AD$32,IF(AND('3. GRI Pricing'!$F465&gt;='2. GRI Pricing Inputs'!$AF$33,'3. GRI Pricing'!$F465&lt;='2. GRI Pricing Inputs'!$AG$33),'2. GRI Pricing Inputs'!$AF$32,IF(AND('3. GRI Pricing'!$F465&gt;='2. GRI Pricing Inputs'!$AH$33,'3. GRI Pricing'!$F465&lt;='2. GRI Pricing Inputs'!$AI$33),'2. GRI Pricing Inputs'!$AH$32,0))))))))))))))))</f>
        <v>0</v>
      </c>
      <c r="N465" s="273" cm="1">
        <f t="array" ref="N465">IFERROR(INDEX('2. GRI Pricing Inputs'!$C$32:$AI$39,MATCH('3. GRI Pricing'!D465,'2. GRI Pricing Inputs'!$C$32:$C$39,0),(MATCH('3. GRI Pricing'!M465,'2. GRI Pricing Inputs'!$D$32:$AI$32,0)+1)),0)</f>
        <v>0</v>
      </c>
      <c r="O465" s="273">
        <f>IFERROR(INDEX('2. GRI Pricing Inputs'!$C$45:$AI$46,MATCH($O$16,'2. GRI Pricing Inputs'!$C$45:$C$46,0),MATCH(G465,'2. GRI Pricing Inputs'!$C$45:$AI$45,0)),0)</f>
        <v>0</v>
      </c>
      <c r="P465" s="273">
        <f>IFERROR(INDEX('2. GRI Pricing Inputs'!$C$53:$AI$54,MATCH('3. GRI Pricing'!$P$16,'2. GRI Pricing Inputs'!$C$53:$C$54,0),MATCH('3. GRI Pricing'!H465,'2. GRI Pricing Inputs'!$C$53:$AI$53,0)),0)</f>
        <v>0</v>
      </c>
      <c r="Q465" s="273">
        <f>IFERROR(INDEX('2. GRI Pricing Inputs'!$C$60:$AI$61,MATCH('3. GRI Pricing'!$Q$16,'2. GRI Pricing Inputs'!$C$60:$C$61,0),MATCH('1. Accomodation'!T469,'2. GRI Pricing Inputs'!$C$60:$AI$60,0)),0)</f>
        <v>0</v>
      </c>
      <c r="R465" s="273">
        <f>IFERROR(INDEX('2. GRI Pricing Inputs'!$C$67:$AI$68,MATCH('3. GRI Pricing'!$R$16,'2. GRI Pricing Inputs'!$C$67:$C$68,0),MATCH('1. Accomodation'!U469,'2. GRI Pricing Inputs'!$C$67:$AI$67,0)),0)</f>
        <v>0</v>
      </c>
      <c r="S465" s="273">
        <f>IF(D465=0,0,'2. GRI Pricing Inputs'!$AI$75)</f>
        <v>0</v>
      </c>
      <c r="T465" s="273">
        <f>IFERROR(INDEX('2. GRI Pricing Inputs'!$C$82:$AI$83,MATCH('3. GRI Pricing'!$T$16,'2. GRI Pricing Inputs'!$C$82:$C$83,0),MATCH('1. Accomodation'!V469,'2. GRI Pricing Inputs'!$C$82:$AI$82,0)),0)</f>
        <v>0</v>
      </c>
      <c r="U465" s="273">
        <f>IFERROR(INDEX('2. GRI Pricing Inputs'!$C$89:$AI$90,MATCH('3. GRI Pricing'!$U$16,'2. GRI Pricing Inputs'!$C$89:$C$90,0),MATCH('1. Accomodation'!W469,'2. GRI Pricing Inputs'!$C$89:$AI$89,0)),0)</f>
        <v>0</v>
      </c>
      <c r="V465" s="273">
        <f>IFERROR(INDEX('2. GRI Pricing Inputs'!$C$97:$AI$98,MATCH('3. GRI Pricing'!$V$16,'2. GRI Pricing Inputs'!$C$97:$C$98,0),MATCH('1. Accomodation'!X469,'2. GRI Pricing Inputs'!$C$97:$AI$97,0)),0)</f>
        <v>0</v>
      </c>
      <c r="W465" s="273">
        <f>IFERROR(INDEX('2. GRI Pricing Inputs'!$C$104:$AI$105,MATCH('3. GRI Pricing'!$W$16,'2. GRI Pricing Inputs'!$C$104:$C$105,0),MATCH('1. Accomodation'!Y469,'2. GRI Pricing Inputs'!$C$104:$AI$104,0)),0)</f>
        <v>0</v>
      </c>
      <c r="X465" s="274"/>
      <c r="Y465" s="275">
        <f t="shared" si="13"/>
        <v>0</v>
      </c>
      <c r="Z465" s="276"/>
      <c r="AA465" s="276"/>
      <c r="AB465" s="276"/>
      <c r="AC465" s="272">
        <f>Y465*(1+'2. GRI Pricing Inputs'!$D$114)^(($AC$16-$AB$15)/365)</f>
        <v>0</v>
      </c>
      <c r="AD465" s="273">
        <f>AC465*(1+'2. GRI Pricing Inputs'!$D$114)^((AD$16-AC$16)/365)</f>
        <v>0</v>
      </c>
      <c r="AE465" s="273">
        <f>AD465*(1+'2. GRI Pricing Inputs'!$D$114)^((AE$16-AD$16)/365)</f>
        <v>0</v>
      </c>
      <c r="AF465" s="273">
        <f>AE465*(1+'2. GRI Pricing Inputs'!$D$114)^((AF$16-AE$16)/365)</f>
        <v>0</v>
      </c>
      <c r="AG465" s="273">
        <f>AF465*(1+'2. GRI Pricing Inputs'!$D$114)^((AG$16-AF$16)/365)</f>
        <v>0</v>
      </c>
      <c r="AH465" s="273">
        <f>AG465*(1+'2. GRI Pricing Inputs'!$D$114)^((AH$16-AG$16)/365)</f>
        <v>0</v>
      </c>
      <c r="AI465" s="273">
        <f>AH465*(1+'2. GRI Pricing Inputs'!$D$114)^((AI$16-AH$16)/365)</f>
        <v>0</v>
      </c>
      <c r="AJ465" s="273">
        <f>AI465*(1+'2. GRI Pricing Inputs'!$D$114)^((AJ$16-AI$16)/365)</f>
        <v>0</v>
      </c>
      <c r="AK465" s="273">
        <f>AJ465*(1+'2. GRI Pricing Inputs'!$D$114)^((AK$16-AJ$16)/365)</f>
        <v>0</v>
      </c>
      <c r="AL465" s="273">
        <f>AK465*(1+'2. GRI Pricing Inputs'!$D$114)^((AL$16-AK$16)/365)</f>
        <v>0</v>
      </c>
      <c r="AM465" s="273">
        <f>AL465*(1+'2. GRI Pricing Inputs'!$D$114)^((AM$16-AL$16)/365)</f>
        <v>0</v>
      </c>
      <c r="AN465" s="273">
        <f>AM465*(1+'2. GRI Pricing Inputs'!$D$114)^((AN$16-AM$16)/365)</f>
        <v>0</v>
      </c>
      <c r="AO465" s="273">
        <f>AN465*(1+'2. GRI Pricing Inputs'!$D$114)^((AO$16-AN$16)/365)</f>
        <v>0</v>
      </c>
    </row>
    <row r="466" spans="3:41" ht="12" x14ac:dyDescent="0.2">
      <c r="C466" s="76">
        <f>'1. Accomodation'!N470</f>
        <v>0</v>
      </c>
      <c r="D466" s="69">
        <f>'1. Accomodation'!P470</f>
        <v>0</v>
      </c>
      <c r="E466" s="69">
        <f>'1. Accomodation'!Q470</f>
        <v>0</v>
      </c>
      <c r="F466" s="77">
        <f>'1. Accomodation'!O470</f>
        <v>0</v>
      </c>
      <c r="G466" s="69">
        <f>'1. Accomodation'!R470</f>
        <v>0</v>
      </c>
      <c r="H466" s="69">
        <f>'1. Accomodation'!S470</f>
        <v>0</v>
      </c>
      <c r="I466" s="62"/>
      <c r="K466" s="272">
        <f>IFERROR(INDEX('2. GRI Pricing Inputs'!$C$15:$AI$16,MATCH($K$16,'2. GRI Pricing Inputs'!$C$15:$C$16,0),MATCH(D466,'2. GRI Pricing Inputs'!$C$15:$AI$15,0)),0)</f>
        <v>0</v>
      </c>
      <c r="L466" s="273">
        <f>IFERROR(INDEX('2. GRI Pricing Inputs'!$C$22:$AI$23,MATCH($L$16,'2. GRI Pricing Inputs'!$C$22:$C$23,0),MATCH(E466,'2. GRI Pricing Inputs'!$C$22:$AI$22,0)),0)</f>
        <v>0</v>
      </c>
      <c r="M466" s="328">
        <f>IF(AND('3. GRI Pricing'!$F466&gt;='2. GRI Pricing Inputs'!$D$33,'3. GRI Pricing'!$F466&lt;='2. GRI Pricing Inputs'!$E$33),'2. GRI Pricing Inputs'!$D$32,IF(AND('3. GRI Pricing'!$F466&gt;='2. GRI Pricing Inputs'!$F$33,'3. GRI Pricing'!$F466&lt;='2. GRI Pricing Inputs'!$G$33),'2. GRI Pricing Inputs'!$F$32,IF(AND('3. GRI Pricing'!$F466&gt;='2. GRI Pricing Inputs'!$H$33,'3. GRI Pricing'!$F466&lt;='2. GRI Pricing Inputs'!$I$33),'2. GRI Pricing Inputs'!$H$32,IF(AND('3. GRI Pricing'!$F466&gt;='2. GRI Pricing Inputs'!$J$33,'3. GRI Pricing'!$F466&lt;='2. GRI Pricing Inputs'!$K$33),'2. GRI Pricing Inputs'!$J$32,IF(AND('3. GRI Pricing'!$F466&gt;='2. GRI Pricing Inputs'!$L$33,'3. GRI Pricing'!$F466&lt;='2. GRI Pricing Inputs'!$M$33),'2. GRI Pricing Inputs'!$L$32,IF(AND('3. GRI Pricing'!$F466&gt;='2. GRI Pricing Inputs'!$N$33,'3. GRI Pricing'!$F466&lt;='2. GRI Pricing Inputs'!$O$33),'2. GRI Pricing Inputs'!$N$32,IF(AND('3. GRI Pricing'!$F466&gt;='2. GRI Pricing Inputs'!$P$33,'3. GRI Pricing'!$F466&lt;='2. GRI Pricing Inputs'!$Q$33),'2. GRI Pricing Inputs'!$P$32,IF(AND('3. GRI Pricing'!$F466&gt;='2. GRI Pricing Inputs'!$R$33,'3. GRI Pricing'!$F466&lt;='2. GRI Pricing Inputs'!$S$33),'2. GRI Pricing Inputs'!$R$32,IF(AND('3. GRI Pricing'!$F466&gt;='2. GRI Pricing Inputs'!$T$33,'3. GRI Pricing'!$F466&lt;='2. GRI Pricing Inputs'!$U$33),'2. GRI Pricing Inputs'!$T$32,IF(AND('3. GRI Pricing'!$F466&gt;='2. GRI Pricing Inputs'!$V$33,'3. GRI Pricing'!$F466&lt;='2. GRI Pricing Inputs'!$W$33),'2. GRI Pricing Inputs'!$V$32,IF(AND('3. GRI Pricing'!$F466&gt;='2. GRI Pricing Inputs'!$X$33,'3. GRI Pricing'!$F466&lt;='2. GRI Pricing Inputs'!$Y$33),'2. GRI Pricing Inputs'!$X$32,IF(AND('3. GRI Pricing'!$F466&gt;='2. GRI Pricing Inputs'!$Z$33,'3. GRI Pricing'!$F466&lt;='2. GRI Pricing Inputs'!$AA$33),'2. GRI Pricing Inputs'!$Z$32,IF(AND('3. GRI Pricing'!$F466&gt;='2. GRI Pricing Inputs'!$AB$33,'3. GRI Pricing'!$F466&lt;='2. GRI Pricing Inputs'!$AC$33),'2. GRI Pricing Inputs'!$AB$32,IF(AND('3. GRI Pricing'!$F466&gt;='2. GRI Pricing Inputs'!$AD$33,'3. GRI Pricing'!$F466&lt;='2. GRI Pricing Inputs'!$AE$33),'2. GRI Pricing Inputs'!$AD$32,IF(AND('3. GRI Pricing'!$F466&gt;='2. GRI Pricing Inputs'!$AF$33,'3. GRI Pricing'!$F466&lt;='2. GRI Pricing Inputs'!$AG$33),'2. GRI Pricing Inputs'!$AF$32,IF(AND('3. GRI Pricing'!$F466&gt;='2. GRI Pricing Inputs'!$AH$33,'3. GRI Pricing'!$F466&lt;='2. GRI Pricing Inputs'!$AI$33),'2. GRI Pricing Inputs'!$AH$32,0))))))))))))))))</f>
        <v>0</v>
      </c>
      <c r="N466" s="273" cm="1">
        <f t="array" ref="N466">IFERROR(INDEX('2. GRI Pricing Inputs'!$C$32:$AI$39,MATCH('3. GRI Pricing'!D466,'2. GRI Pricing Inputs'!$C$32:$C$39,0),(MATCH('3. GRI Pricing'!M466,'2. GRI Pricing Inputs'!$D$32:$AI$32,0)+1)),0)</f>
        <v>0</v>
      </c>
      <c r="O466" s="273">
        <f>IFERROR(INDEX('2. GRI Pricing Inputs'!$C$45:$AI$46,MATCH($O$16,'2. GRI Pricing Inputs'!$C$45:$C$46,0),MATCH(G466,'2. GRI Pricing Inputs'!$C$45:$AI$45,0)),0)</f>
        <v>0</v>
      </c>
      <c r="P466" s="273">
        <f>IFERROR(INDEX('2. GRI Pricing Inputs'!$C$53:$AI$54,MATCH('3. GRI Pricing'!$P$16,'2. GRI Pricing Inputs'!$C$53:$C$54,0),MATCH('3. GRI Pricing'!H466,'2. GRI Pricing Inputs'!$C$53:$AI$53,0)),0)</f>
        <v>0</v>
      </c>
      <c r="Q466" s="273">
        <f>IFERROR(INDEX('2. GRI Pricing Inputs'!$C$60:$AI$61,MATCH('3. GRI Pricing'!$Q$16,'2. GRI Pricing Inputs'!$C$60:$C$61,0),MATCH('1. Accomodation'!T470,'2. GRI Pricing Inputs'!$C$60:$AI$60,0)),0)</f>
        <v>0</v>
      </c>
      <c r="R466" s="273">
        <f>IFERROR(INDEX('2. GRI Pricing Inputs'!$C$67:$AI$68,MATCH('3. GRI Pricing'!$R$16,'2. GRI Pricing Inputs'!$C$67:$C$68,0),MATCH('1. Accomodation'!U470,'2. GRI Pricing Inputs'!$C$67:$AI$67,0)),0)</f>
        <v>0</v>
      </c>
      <c r="S466" s="273">
        <f>IF(D466=0,0,'2. GRI Pricing Inputs'!$AI$75)</f>
        <v>0</v>
      </c>
      <c r="T466" s="273">
        <f>IFERROR(INDEX('2. GRI Pricing Inputs'!$C$82:$AI$83,MATCH('3. GRI Pricing'!$T$16,'2. GRI Pricing Inputs'!$C$82:$C$83,0),MATCH('1. Accomodation'!V470,'2. GRI Pricing Inputs'!$C$82:$AI$82,0)),0)</f>
        <v>0</v>
      </c>
      <c r="U466" s="273">
        <f>IFERROR(INDEX('2. GRI Pricing Inputs'!$C$89:$AI$90,MATCH('3. GRI Pricing'!$U$16,'2. GRI Pricing Inputs'!$C$89:$C$90,0),MATCH('1. Accomodation'!W470,'2. GRI Pricing Inputs'!$C$89:$AI$89,0)),0)</f>
        <v>0</v>
      </c>
      <c r="V466" s="273">
        <f>IFERROR(INDEX('2. GRI Pricing Inputs'!$C$97:$AI$98,MATCH('3. GRI Pricing'!$V$16,'2. GRI Pricing Inputs'!$C$97:$C$98,0),MATCH('1. Accomodation'!X470,'2. GRI Pricing Inputs'!$C$97:$AI$97,0)),0)</f>
        <v>0</v>
      </c>
      <c r="W466" s="273">
        <f>IFERROR(INDEX('2. GRI Pricing Inputs'!$C$104:$AI$105,MATCH('3. GRI Pricing'!$W$16,'2. GRI Pricing Inputs'!$C$104:$C$105,0),MATCH('1. Accomodation'!Y470,'2. GRI Pricing Inputs'!$C$104:$AI$104,0)),0)</f>
        <v>0</v>
      </c>
      <c r="X466" s="274"/>
      <c r="Y466" s="275">
        <f t="shared" ref="Y466:Y529" si="14">K466+L466+N466+O466+P466+Q466+R466+S466+T466+U466+V466+W466+X466</f>
        <v>0</v>
      </c>
      <c r="Z466" s="276"/>
      <c r="AA466" s="276"/>
      <c r="AB466" s="276"/>
      <c r="AC466" s="272">
        <f>Y466*(1+'2. GRI Pricing Inputs'!$D$114)^(($AC$16-$AB$15)/365)</f>
        <v>0</v>
      </c>
      <c r="AD466" s="273">
        <f>AC466*(1+'2. GRI Pricing Inputs'!$D$114)^((AD$16-AC$16)/365)</f>
        <v>0</v>
      </c>
      <c r="AE466" s="273">
        <f>AD466*(1+'2. GRI Pricing Inputs'!$D$114)^((AE$16-AD$16)/365)</f>
        <v>0</v>
      </c>
      <c r="AF466" s="273">
        <f>AE466*(1+'2. GRI Pricing Inputs'!$D$114)^((AF$16-AE$16)/365)</f>
        <v>0</v>
      </c>
      <c r="AG466" s="273">
        <f>AF466*(1+'2. GRI Pricing Inputs'!$D$114)^((AG$16-AF$16)/365)</f>
        <v>0</v>
      </c>
      <c r="AH466" s="273">
        <f>AG466*(1+'2. GRI Pricing Inputs'!$D$114)^((AH$16-AG$16)/365)</f>
        <v>0</v>
      </c>
      <c r="AI466" s="273">
        <f>AH466*(1+'2. GRI Pricing Inputs'!$D$114)^((AI$16-AH$16)/365)</f>
        <v>0</v>
      </c>
      <c r="AJ466" s="273">
        <f>AI466*(1+'2. GRI Pricing Inputs'!$D$114)^((AJ$16-AI$16)/365)</f>
        <v>0</v>
      </c>
      <c r="AK466" s="273">
        <f>AJ466*(1+'2. GRI Pricing Inputs'!$D$114)^((AK$16-AJ$16)/365)</f>
        <v>0</v>
      </c>
      <c r="AL466" s="273">
        <f>AK466*(1+'2. GRI Pricing Inputs'!$D$114)^((AL$16-AK$16)/365)</f>
        <v>0</v>
      </c>
      <c r="AM466" s="273">
        <f>AL466*(1+'2. GRI Pricing Inputs'!$D$114)^((AM$16-AL$16)/365)</f>
        <v>0</v>
      </c>
      <c r="AN466" s="273">
        <f>AM466*(1+'2. GRI Pricing Inputs'!$D$114)^((AN$16-AM$16)/365)</f>
        <v>0</v>
      </c>
      <c r="AO466" s="273">
        <f>AN466*(1+'2. GRI Pricing Inputs'!$D$114)^((AO$16-AN$16)/365)</f>
        <v>0</v>
      </c>
    </row>
    <row r="467" spans="3:41" ht="12" x14ac:dyDescent="0.2">
      <c r="C467" s="76">
        <f>'1. Accomodation'!N471</f>
        <v>0</v>
      </c>
      <c r="D467" s="69">
        <f>'1. Accomodation'!P471</f>
        <v>0</v>
      </c>
      <c r="E467" s="69">
        <f>'1. Accomodation'!Q471</f>
        <v>0</v>
      </c>
      <c r="F467" s="77">
        <f>'1. Accomodation'!O471</f>
        <v>0</v>
      </c>
      <c r="G467" s="69">
        <f>'1. Accomodation'!R471</f>
        <v>0</v>
      </c>
      <c r="H467" s="69">
        <f>'1. Accomodation'!S471</f>
        <v>0</v>
      </c>
      <c r="I467" s="62"/>
      <c r="K467" s="272">
        <f>IFERROR(INDEX('2. GRI Pricing Inputs'!$C$15:$AI$16,MATCH($K$16,'2. GRI Pricing Inputs'!$C$15:$C$16,0),MATCH(D467,'2. GRI Pricing Inputs'!$C$15:$AI$15,0)),0)</f>
        <v>0</v>
      </c>
      <c r="L467" s="273">
        <f>IFERROR(INDEX('2. GRI Pricing Inputs'!$C$22:$AI$23,MATCH($L$16,'2. GRI Pricing Inputs'!$C$22:$C$23,0),MATCH(E467,'2. GRI Pricing Inputs'!$C$22:$AI$22,0)),0)</f>
        <v>0</v>
      </c>
      <c r="M467" s="328">
        <f>IF(AND('3. GRI Pricing'!$F467&gt;='2. GRI Pricing Inputs'!$D$33,'3. GRI Pricing'!$F467&lt;='2. GRI Pricing Inputs'!$E$33),'2. GRI Pricing Inputs'!$D$32,IF(AND('3. GRI Pricing'!$F467&gt;='2. GRI Pricing Inputs'!$F$33,'3. GRI Pricing'!$F467&lt;='2. GRI Pricing Inputs'!$G$33),'2. GRI Pricing Inputs'!$F$32,IF(AND('3. GRI Pricing'!$F467&gt;='2. GRI Pricing Inputs'!$H$33,'3. GRI Pricing'!$F467&lt;='2. GRI Pricing Inputs'!$I$33),'2. GRI Pricing Inputs'!$H$32,IF(AND('3. GRI Pricing'!$F467&gt;='2. GRI Pricing Inputs'!$J$33,'3. GRI Pricing'!$F467&lt;='2. GRI Pricing Inputs'!$K$33),'2. GRI Pricing Inputs'!$J$32,IF(AND('3. GRI Pricing'!$F467&gt;='2. GRI Pricing Inputs'!$L$33,'3. GRI Pricing'!$F467&lt;='2. GRI Pricing Inputs'!$M$33),'2. GRI Pricing Inputs'!$L$32,IF(AND('3. GRI Pricing'!$F467&gt;='2. GRI Pricing Inputs'!$N$33,'3. GRI Pricing'!$F467&lt;='2. GRI Pricing Inputs'!$O$33),'2. GRI Pricing Inputs'!$N$32,IF(AND('3. GRI Pricing'!$F467&gt;='2. GRI Pricing Inputs'!$P$33,'3. GRI Pricing'!$F467&lt;='2. GRI Pricing Inputs'!$Q$33),'2. GRI Pricing Inputs'!$P$32,IF(AND('3. GRI Pricing'!$F467&gt;='2. GRI Pricing Inputs'!$R$33,'3. GRI Pricing'!$F467&lt;='2. GRI Pricing Inputs'!$S$33),'2. GRI Pricing Inputs'!$R$32,IF(AND('3. GRI Pricing'!$F467&gt;='2. GRI Pricing Inputs'!$T$33,'3. GRI Pricing'!$F467&lt;='2. GRI Pricing Inputs'!$U$33),'2. GRI Pricing Inputs'!$T$32,IF(AND('3. GRI Pricing'!$F467&gt;='2. GRI Pricing Inputs'!$V$33,'3. GRI Pricing'!$F467&lt;='2. GRI Pricing Inputs'!$W$33),'2. GRI Pricing Inputs'!$V$32,IF(AND('3. GRI Pricing'!$F467&gt;='2. GRI Pricing Inputs'!$X$33,'3. GRI Pricing'!$F467&lt;='2. GRI Pricing Inputs'!$Y$33),'2. GRI Pricing Inputs'!$X$32,IF(AND('3. GRI Pricing'!$F467&gt;='2. GRI Pricing Inputs'!$Z$33,'3. GRI Pricing'!$F467&lt;='2. GRI Pricing Inputs'!$AA$33),'2. GRI Pricing Inputs'!$Z$32,IF(AND('3. GRI Pricing'!$F467&gt;='2. GRI Pricing Inputs'!$AB$33,'3. GRI Pricing'!$F467&lt;='2. GRI Pricing Inputs'!$AC$33),'2. GRI Pricing Inputs'!$AB$32,IF(AND('3. GRI Pricing'!$F467&gt;='2. GRI Pricing Inputs'!$AD$33,'3. GRI Pricing'!$F467&lt;='2. GRI Pricing Inputs'!$AE$33),'2. GRI Pricing Inputs'!$AD$32,IF(AND('3. GRI Pricing'!$F467&gt;='2. GRI Pricing Inputs'!$AF$33,'3. GRI Pricing'!$F467&lt;='2. GRI Pricing Inputs'!$AG$33),'2. GRI Pricing Inputs'!$AF$32,IF(AND('3. GRI Pricing'!$F467&gt;='2. GRI Pricing Inputs'!$AH$33,'3. GRI Pricing'!$F467&lt;='2. GRI Pricing Inputs'!$AI$33),'2. GRI Pricing Inputs'!$AH$32,0))))))))))))))))</f>
        <v>0</v>
      </c>
      <c r="N467" s="273" cm="1">
        <f t="array" ref="N467">IFERROR(INDEX('2. GRI Pricing Inputs'!$C$32:$AI$39,MATCH('3. GRI Pricing'!D467,'2. GRI Pricing Inputs'!$C$32:$C$39,0),(MATCH('3. GRI Pricing'!M467,'2. GRI Pricing Inputs'!$D$32:$AI$32,0)+1)),0)</f>
        <v>0</v>
      </c>
      <c r="O467" s="273">
        <f>IFERROR(INDEX('2. GRI Pricing Inputs'!$C$45:$AI$46,MATCH($O$16,'2. GRI Pricing Inputs'!$C$45:$C$46,0),MATCH(G467,'2. GRI Pricing Inputs'!$C$45:$AI$45,0)),0)</f>
        <v>0</v>
      </c>
      <c r="P467" s="273">
        <f>IFERROR(INDEX('2. GRI Pricing Inputs'!$C$53:$AI$54,MATCH('3. GRI Pricing'!$P$16,'2. GRI Pricing Inputs'!$C$53:$C$54,0),MATCH('3. GRI Pricing'!H467,'2. GRI Pricing Inputs'!$C$53:$AI$53,0)),0)</f>
        <v>0</v>
      </c>
      <c r="Q467" s="273">
        <f>IFERROR(INDEX('2. GRI Pricing Inputs'!$C$60:$AI$61,MATCH('3. GRI Pricing'!$Q$16,'2. GRI Pricing Inputs'!$C$60:$C$61,0),MATCH('1. Accomodation'!T471,'2. GRI Pricing Inputs'!$C$60:$AI$60,0)),0)</f>
        <v>0</v>
      </c>
      <c r="R467" s="273">
        <f>IFERROR(INDEX('2. GRI Pricing Inputs'!$C$67:$AI$68,MATCH('3. GRI Pricing'!$R$16,'2. GRI Pricing Inputs'!$C$67:$C$68,0),MATCH('1. Accomodation'!U471,'2. GRI Pricing Inputs'!$C$67:$AI$67,0)),0)</f>
        <v>0</v>
      </c>
      <c r="S467" s="273">
        <f>IF(D467=0,0,'2. GRI Pricing Inputs'!$AI$75)</f>
        <v>0</v>
      </c>
      <c r="T467" s="273">
        <f>IFERROR(INDEX('2. GRI Pricing Inputs'!$C$82:$AI$83,MATCH('3. GRI Pricing'!$T$16,'2. GRI Pricing Inputs'!$C$82:$C$83,0),MATCH('1. Accomodation'!V471,'2. GRI Pricing Inputs'!$C$82:$AI$82,0)),0)</f>
        <v>0</v>
      </c>
      <c r="U467" s="273">
        <f>IFERROR(INDEX('2. GRI Pricing Inputs'!$C$89:$AI$90,MATCH('3. GRI Pricing'!$U$16,'2. GRI Pricing Inputs'!$C$89:$C$90,0),MATCH('1. Accomodation'!W471,'2. GRI Pricing Inputs'!$C$89:$AI$89,0)),0)</f>
        <v>0</v>
      </c>
      <c r="V467" s="273">
        <f>IFERROR(INDEX('2. GRI Pricing Inputs'!$C$97:$AI$98,MATCH('3. GRI Pricing'!$V$16,'2. GRI Pricing Inputs'!$C$97:$C$98,0),MATCH('1. Accomodation'!X471,'2. GRI Pricing Inputs'!$C$97:$AI$97,0)),0)</f>
        <v>0</v>
      </c>
      <c r="W467" s="273">
        <f>IFERROR(INDEX('2. GRI Pricing Inputs'!$C$104:$AI$105,MATCH('3. GRI Pricing'!$W$16,'2. GRI Pricing Inputs'!$C$104:$C$105,0),MATCH('1. Accomodation'!Y471,'2. GRI Pricing Inputs'!$C$104:$AI$104,0)),0)</f>
        <v>0</v>
      </c>
      <c r="X467" s="274"/>
      <c r="Y467" s="275">
        <f t="shared" si="14"/>
        <v>0</v>
      </c>
      <c r="Z467" s="276"/>
      <c r="AA467" s="276"/>
      <c r="AB467" s="276"/>
      <c r="AC467" s="272">
        <f>Y467*(1+'2. GRI Pricing Inputs'!$D$114)^(($AC$16-$AB$15)/365)</f>
        <v>0</v>
      </c>
      <c r="AD467" s="273">
        <f>AC467*(1+'2. GRI Pricing Inputs'!$D$114)^((AD$16-AC$16)/365)</f>
        <v>0</v>
      </c>
      <c r="AE467" s="273">
        <f>AD467*(1+'2. GRI Pricing Inputs'!$D$114)^((AE$16-AD$16)/365)</f>
        <v>0</v>
      </c>
      <c r="AF467" s="273">
        <f>AE467*(1+'2. GRI Pricing Inputs'!$D$114)^((AF$16-AE$16)/365)</f>
        <v>0</v>
      </c>
      <c r="AG467" s="273">
        <f>AF467*(1+'2. GRI Pricing Inputs'!$D$114)^((AG$16-AF$16)/365)</f>
        <v>0</v>
      </c>
      <c r="AH467" s="273">
        <f>AG467*(1+'2. GRI Pricing Inputs'!$D$114)^((AH$16-AG$16)/365)</f>
        <v>0</v>
      </c>
      <c r="AI467" s="273">
        <f>AH467*(1+'2. GRI Pricing Inputs'!$D$114)^((AI$16-AH$16)/365)</f>
        <v>0</v>
      </c>
      <c r="AJ467" s="273">
        <f>AI467*(1+'2. GRI Pricing Inputs'!$D$114)^((AJ$16-AI$16)/365)</f>
        <v>0</v>
      </c>
      <c r="AK467" s="273">
        <f>AJ467*(1+'2. GRI Pricing Inputs'!$D$114)^((AK$16-AJ$16)/365)</f>
        <v>0</v>
      </c>
      <c r="AL467" s="273">
        <f>AK467*(1+'2. GRI Pricing Inputs'!$D$114)^((AL$16-AK$16)/365)</f>
        <v>0</v>
      </c>
      <c r="AM467" s="273">
        <f>AL467*(1+'2. GRI Pricing Inputs'!$D$114)^((AM$16-AL$16)/365)</f>
        <v>0</v>
      </c>
      <c r="AN467" s="273">
        <f>AM467*(1+'2. GRI Pricing Inputs'!$D$114)^((AN$16-AM$16)/365)</f>
        <v>0</v>
      </c>
      <c r="AO467" s="273">
        <f>AN467*(1+'2. GRI Pricing Inputs'!$D$114)^((AO$16-AN$16)/365)</f>
        <v>0</v>
      </c>
    </row>
    <row r="468" spans="3:41" ht="12" x14ac:dyDescent="0.2">
      <c r="C468" s="76">
        <f>'1. Accomodation'!N472</f>
        <v>0</v>
      </c>
      <c r="D468" s="69">
        <f>'1. Accomodation'!P472</f>
        <v>0</v>
      </c>
      <c r="E468" s="69">
        <f>'1. Accomodation'!Q472</f>
        <v>0</v>
      </c>
      <c r="F468" s="77">
        <f>'1. Accomodation'!O472</f>
        <v>0</v>
      </c>
      <c r="G468" s="69">
        <f>'1. Accomodation'!R472</f>
        <v>0</v>
      </c>
      <c r="H468" s="69">
        <f>'1. Accomodation'!S472</f>
        <v>0</v>
      </c>
      <c r="I468" s="62"/>
      <c r="K468" s="272">
        <f>IFERROR(INDEX('2. GRI Pricing Inputs'!$C$15:$AI$16,MATCH($K$16,'2. GRI Pricing Inputs'!$C$15:$C$16,0),MATCH(D468,'2. GRI Pricing Inputs'!$C$15:$AI$15,0)),0)</f>
        <v>0</v>
      </c>
      <c r="L468" s="273">
        <f>IFERROR(INDEX('2. GRI Pricing Inputs'!$C$22:$AI$23,MATCH($L$16,'2. GRI Pricing Inputs'!$C$22:$C$23,0),MATCH(E468,'2. GRI Pricing Inputs'!$C$22:$AI$22,0)),0)</f>
        <v>0</v>
      </c>
      <c r="M468" s="328">
        <f>IF(AND('3. GRI Pricing'!$F468&gt;='2. GRI Pricing Inputs'!$D$33,'3. GRI Pricing'!$F468&lt;='2. GRI Pricing Inputs'!$E$33),'2. GRI Pricing Inputs'!$D$32,IF(AND('3. GRI Pricing'!$F468&gt;='2. GRI Pricing Inputs'!$F$33,'3. GRI Pricing'!$F468&lt;='2. GRI Pricing Inputs'!$G$33),'2. GRI Pricing Inputs'!$F$32,IF(AND('3. GRI Pricing'!$F468&gt;='2. GRI Pricing Inputs'!$H$33,'3. GRI Pricing'!$F468&lt;='2. GRI Pricing Inputs'!$I$33),'2. GRI Pricing Inputs'!$H$32,IF(AND('3. GRI Pricing'!$F468&gt;='2. GRI Pricing Inputs'!$J$33,'3. GRI Pricing'!$F468&lt;='2. GRI Pricing Inputs'!$K$33),'2. GRI Pricing Inputs'!$J$32,IF(AND('3. GRI Pricing'!$F468&gt;='2. GRI Pricing Inputs'!$L$33,'3. GRI Pricing'!$F468&lt;='2. GRI Pricing Inputs'!$M$33),'2. GRI Pricing Inputs'!$L$32,IF(AND('3. GRI Pricing'!$F468&gt;='2. GRI Pricing Inputs'!$N$33,'3. GRI Pricing'!$F468&lt;='2. GRI Pricing Inputs'!$O$33),'2. GRI Pricing Inputs'!$N$32,IF(AND('3. GRI Pricing'!$F468&gt;='2. GRI Pricing Inputs'!$P$33,'3. GRI Pricing'!$F468&lt;='2. GRI Pricing Inputs'!$Q$33),'2. GRI Pricing Inputs'!$P$32,IF(AND('3. GRI Pricing'!$F468&gt;='2. GRI Pricing Inputs'!$R$33,'3. GRI Pricing'!$F468&lt;='2. GRI Pricing Inputs'!$S$33),'2. GRI Pricing Inputs'!$R$32,IF(AND('3. GRI Pricing'!$F468&gt;='2. GRI Pricing Inputs'!$T$33,'3. GRI Pricing'!$F468&lt;='2. GRI Pricing Inputs'!$U$33),'2. GRI Pricing Inputs'!$T$32,IF(AND('3. GRI Pricing'!$F468&gt;='2. GRI Pricing Inputs'!$V$33,'3. GRI Pricing'!$F468&lt;='2. GRI Pricing Inputs'!$W$33),'2. GRI Pricing Inputs'!$V$32,IF(AND('3. GRI Pricing'!$F468&gt;='2. GRI Pricing Inputs'!$X$33,'3. GRI Pricing'!$F468&lt;='2. GRI Pricing Inputs'!$Y$33),'2. GRI Pricing Inputs'!$X$32,IF(AND('3. GRI Pricing'!$F468&gt;='2. GRI Pricing Inputs'!$Z$33,'3. GRI Pricing'!$F468&lt;='2. GRI Pricing Inputs'!$AA$33),'2. GRI Pricing Inputs'!$Z$32,IF(AND('3. GRI Pricing'!$F468&gt;='2. GRI Pricing Inputs'!$AB$33,'3. GRI Pricing'!$F468&lt;='2. GRI Pricing Inputs'!$AC$33),'2. GRI Pricing Inputs'!$AB$32,IF(AND('3. GRI Pricing'!$F468&gt;='2. GRI Pricing Inputs'!$AD$33,'3. GRI Pricing'!$F468&lt;='2. GRI Pricing Inputs'!$AE$33),'2. GRI Pricing Inputs'!$AD$32,IF(AND('3. GRI Pricing'!$F468&gt;='2. GRI Pricing Inputs'!$AF$33,'3. GRI Pricing'!$F468&lt;='2. GRI Pricing Inputs'!$AG$33),'2. GRI Pricing Inputs'!$AF$32,IF(AND('3. GRI Pricing'!$F468&gt;='2. GRI Pricing Inputs'!$AH$33,'3. GRI Pricing'!$F468&lt;='2. GRI Pricing Inputs'!$AI$33),'2. GRI Pricing Inputs'!$AH$32,0))))))))))))))))</f>
        <v>0</v>
      </c>
      <c r="N468" s="273" cm="1">
        <f t="array" ref="N468">IFERROR(INDEX('2. GRI Pricing Inputs'!$C$32:$AI$39,MATCH('3. GRI Pricing'!D468,'2. GRI Pricing Inputs'!$C$32:$C$39,0),(MATCH('3. GRI Pricing'!M468,'2. GRI Pricing Inputs'!$D$32:$AI$32,0)+1)),0)</f>
        <v>0</v>
      </c>
      <c r="O468" s="273">
        <f>IFERROR(INDEX('2. GRI Pricing Inputs'!$C$45:$AI$46,MATCH($O$16,'2. GRI Pricing Inputs'!$C$45:$C$46,0),MATCH(G468,'2. GRI Pricing Inputs'!$C$45:$AI$45,0)),0)</f>
        <v>0</v>
      </c>
      <c r="P468" s="273">
        <f>IFERROR(INDEX('2. GRI Pricing Inputs'!$C$53:$AI$54,MATCH('3. GRI Pricing'!$P$16,'2. GRI Pricing Inputs'!$C$53:$C$54,0),MATCH('3. GRI Pricing'!H468,'2. GRI Pricing Inputs'!$C$53:$AI$53,0)),0)</f>
        <v>0</v>
      </c>
      <c r="Q468" s="273">
        <f>IFERROR(INDEX('2. GRI Pricing Inputs'!$C$60:$AI$61,MATCH('3. GRI Pricing'!$Q$16,'2. GRI Pricing Inputs'!$C$60:$C$61,0),MATCH('1. Accomodation'!T472,'2. GRI Pricing Inputs'!$C$60:$AI$60,0)),0)</f>
        <v>0</v>
      </c>
      <c r="R468" s="273">
        <f>IFERROR(INDEX('2. GRI Pricing Inputs'!$C$67:$AI$68,MATCH('3. GRI Pricing'!$R$16,'2. GRI Pricing Inputs'!$C$67:$C$68,0),MATCH('1. Accomodation'!U472,'2. GRI Pricing Inputs'!$C$67:$AI$67,0)),0)</f>
        <v>0</v>
      </c>
      <c r="S468" s="273">
        <f>IF(D468=0,0,'2. GRI Pricing Inputs'!$AI$75)</f>
        <v>0</v>
      </c>
      <c r="T468" s="273">
        <f>IFERROR(INDEX('2. GRI Pricing Inputs'!$C$82:$AI$83,MATCH('3. GRI Pricing'!$T$16,'2. GRI Pricing Inputs'!$C$82:$C$83,0),MATCH('1. Accomodation'!V472,'2. GRI Pricing Inputs'!$C$82:$AI$82,0)),0)</f>
        <v>0</v>
      </c>
      <c r="U468" s="273">
        <f>IFERROR(INDEX('2. GRI Pricing Inputs'!$C$89:$AI$90,MATCH('3. GRI Pricing'!$U$16,'2. GRI Pricing Inputs'!$C$89:$C$90,0),MATCH('1. Accomodation'!W472,'2. GRI Pricing Inputs'!$C$89:$AI$89,0)),0)</f>
        <v>0</v>
      </c>
      <c r="V468" s="273">
        <f>IFERROR(INDEX('2. GRI Pricing Inputs'!$C$97:$AI$98,MATCH('3. GRI Pricing'!$V$16,'2. GRI Pricing Inputs'!$C$97:$C$98,0),MATCH('1. Accomodation'!X472,'2. GRI Pricing Inputs'!$C$97:$AI$97,0)),0)</f>
        <v>0</v>
      </c>
      <c r="W468" s="273">
        <f>IFERROR(INDEX('2. GRI Pricing Inputs'!$C$104:$AI$105,MATCH('3. GRI Pricing'!$W$16,'2. GRI Pricing Inputs'!$C$104:$C$105,0),MATCH('1. Accomodation'!Y472,'2. GRI Pricing Inputs'!$C$104:$AI$104,0)),0)</f>
        <v>0</v>
      </c>
      <c r="X468" s="274"/>
      <c r="Y468" s="275">
        <f t="shared" si="14"/>
        <v>0</v>
      </c>
      <c r="Z468" s="276"/>
      <c r="AA468" s="276"/>
      <c r="AB468" s="276"/>
      <c r="AC468" s="272">
        <f>Y468*(1+'2. GRI Pricing Inputs'!$D$114)^(($AC$16-$AB$15)/365)</f>
        <v>0</v>
      </c>
      <c r="AD468" s="273">
        <f>AC468*(1+'2. GRI Pricing Inputs'!$D$114)^((AD$16-AC$16)/365)</f>
        <v>0</v>
      </c>
      <c r="AE468" s="273">
        <f>AD468*(1+'2. GRI Pricing Inputs'!$D$114)^((AE$16-AD$16)/365)</f>
        <v>0</v>
      </c>
      <c r="AF468" s="273">
        <f>AE468*(1+'2. GRI Pricing Inputs'!$D$114)^((AF$16-AE$16)/365)</f>
        <v>0</v>
      </c>
      <c r="AG468" s="273">
        <f>AF468*(1+'2. GRI Pricing Inputs'!$D$114)^((AG$16-AF$16)/365)</f>
        <v>0</v>
      </c>
      <c r="AH468" s="273">
        <f>AG468*(1+'2. GRI Pricing Inputs'!$D$114)^((AH$16-AG$16)/365)</f>
        <v>0</v>
      </c>
      <c r="AI468" s="273">
        <f>AH468*(1+'2. GRI Pricing Inputs'!$D$114)^((AI$16-AH$16)/365)</f>
        <v>0</v>
      </c>
      <c r="AJ468" s="273">
        <f>AI468*(1+'2. GRI Pricing Inputs'!$D$114)^((AJ$16-AI$16)/365)</f>
        <v>0</v>
      </c>
      <c r="AK468" s="273">
        <f>AJ468*(1+'2. GRI Pricing Inputs'!$D$114)^((AK$16-AJ$16)/365)</f>
        <v>0</v>
      </c>
      <c r="AL468" s="273">
        <f>AK468*(1+'2. GRI Pricing Inputs'!$D$114)^((AL$16-AK$16)/365)</f>
        <v>0</v>
      </c>
      <c r="AM468" s="273">
        <f>AL468*(1+'2. GRI Pricing Inputs'!$D$114)^((AM$16-AL$16)/365)</f>
        <v>0</v>
      </c>
      <c r="AN468" s="273">
        <f>AM468*(1+'2. GRI Pricing Inputs'!$D$114)^((AN$16-AM$16)/365)</f>
        <v>0</v>
      </c>
      <c r="AO468" s="273">
        <f>AN468*(1+'2. GRI Pricing Inputs'!$D$114)^((AO$16-AN$16)/365)</f>
        <v>0</v>
      </c>
    </row>
    <row r="469" spans="3:41" ht="12" x14ac:dyDescent="0.2">
      <c r="C469" s="76">
        <f>'1. Accomodation'!N473</f>
        <v>0</v>
      </c>
      <c r="D469" s="69">
        <f>'1. Accomodation'!P473</f>
        <v>0</v>
      </c>
      <c r="E469" s="69">
        <f>'1. Accomodation'!Q473</f>
        <v>0</v>
      </c>
      <c r="F469" s="77">
        <f>'1. Accomodation'!O473</f>
        <v>0</v>
      </c>
      <c r="G469" s="69">
        <f>'1. Accomodation'!R473</f>
        <v>0</v>
      </c>
      <c r="H469" s="69">
        <f>'1. Accomodation'!S473</f>
        <v>0</v>
      </c>
      <c r="I469" s="62"/>
      <c r="K469" s="272">
        <f>IFERROR(INDEX('2. GRI Pricing Inputs'!$C$15:$AI$16,MATCH($K$16,'2. GRI Pricing Inputs'!$C$15:$C$16,0),MATCH(D469,'2. GRI Pricing Inputs'!$C$15:$AI$15,0)),0)</f>
        <v>0</v>
      </c>
      <c r="L469" s="273">
        <f>IFERROR(INDEX('2. GRI Pricing Inputs'!$C$22:$AI$23,MATCH($L$16,'2. GRI Pricing Inputs'!$C$22:$C$23,0),MATCH(E469,'2. GRI Pricing Inputs'!$C$22:$AI$22,0)),0)</f>
        <v>0</v>
      </c>
      <c r="M469" s="328">
        <f>IF(AND('3. GRI Pricing'!$F469&gt;='2. GRI Pricing Inputs'!$D$33,'3. GRI Pricing'!$F469&lt;='2. GRI Pricing Inputs'!$E$33),'2. GRI Pricing Inputs'!$D$32,IF(AND('3. GRI Pricing'!$F469&gt;='2. GRI Pricing Inputs'!$F$33,'3. GRI Pricing'!$F469&lt;='2. GRI Pricing Inputs'!$G$33),'2. GRI Pricing Inputs'!$F$32,IF(AND('3. GRI Pricing'!$F469&gt;='2. GRI Pricing Inputs'!$H$33,'3. GRI Pricing'!$F469&lt;='2. GRI Pricing Inputs'!$I$33),'2. GRI Pricing Inputs'!$H$32,IF(AND('3. GRI Pricing'!$F469&gt;='2. GRI Pricing Inputs'!$J$33,'3. GRI Pricing'!$F469&lt;='2. GRI Pricing Inputs'!$K$33),'2. GRI Pricing Inputs'!$J$32,IF(AND('3. GRI Pricing'!$F469&gt;='2. GRI Pricing Inputs'!$L$33,'3. GRI Pricing'!$F469&lt;='2. GRI Pricing Inputs'!$M$33),'2. GRI Pricing Inputs'!$L$32,IF(AND('3. GRI Pricing'!$F469&gt;='2. GRI Pricing Inputs'!$N$33,'3. GRI Pricing'!$F469&lt;='2. GRI Pricing Inputs'!$O$33),'2. GRI Pricing Inputs'!$N$32,IF(AND('3. GRI Pricing'!$F469&gt;='2. GRI Pricing Inputs'!$P$33,'3. GRI Pricing'!$F469&lt;='2. GRI Pricing Inputs'!$Q$33),'2. GRI Pricing Inputs'!$P$32,IF(AND('3. GRI Pricing'!$F469&gt;='2. GRI Pricing Inputs'!$R$33,'3. GRI Pricing'!$F469&lt;='2. GRI Pricing Inputs'!$S$33),'2. GRI Pricing Inputs'!$R$32,IF(AND('3. GRI Pricing'!$F469&gt;='2. GRI Pricing Inputs'!$T$33,'3. GRI Pricing'!$F469&lt;='2. GRI Pricing Inputs'!$U$33),'2. GRI Pricing Inputs'!$T$32,IF(AND('3. GRI Pricing'!$F469&gt;='2. GRI Pricing Inputs'!$V$33,'3. GRI Pricing'!$F469&lt;='2. GRI Pricing Inputs'!$W$33),'2. GRI Pricing Inputs'!$V$32,IF(AND('3. GRI Pricing'!$F469&gt;='2. GRI Pricing Inputs'!$X$33,'3. GRI Pricing'!$F469&lt;='2. GRI Pricing Inputs'!$Y$33),'2. GRI Pricing Inputs'!$X$32,IF(AND('3. GRI Pricing'!$F469&gt;='2. GRI Pricing Inputs'!$Z$33,'3. GRI Pricing'!$F469&lt;='2. GRI Pricing Inputs'!$AA$33),'2. GRI Pricing Inputs'!$Z$32,IF(AND('3. GRI Pricing'!$F469&gt;='2. GRI Pricing Inputs'!$AB$33,'3. GRI Pricing'!$F469&lt;='2. GRI Pricing Inputs'!$AC$33),'2. GRI Pricing Inputs'!$AB$32,IF(AND('3. GRI Pricing'!$F469&gt;='2. GRI Pricing Inputs'!$AD$33,'3. GRI Pricing'!$F469&lt;='2. GRI Pricing Inputs'!$AE$33),'2. GRI Pricing Inputs'!$AD$32,IF(AND('3. GRI Pricing'!$F469&gt;='2. GRI Pricing Inputs'!$AF$33,'3. GRI Pricing'!$F469&lt;='2. GRI Pricing Inputs'!$AG$33),'2. GRI Pricing Inputs'!$AF$32,IF(AND('3. GRI Pricing'!$F469&gt;='2. GRI Pricing Inputs'!$AH$33,'3. GRI Pricing'!$F469&lt;='2. GRI Pricing Inputs'!$AI$33),'2. GRI Pricing Inputs'!$AH$32,0))))))))))))))))</f>
        <v>0</v>
      </c>
      <c r="N469" s="273" cm="1">
        <f t="array" ref="N469">IFERROR(INDEX('2. GRI Pricing Inputs'!$C$32:$AI$39,MATCH('3. GRI Pricing'!D469,'2. GRI Pricing Inputs'!$C$32:$C$39,0),(MATCH('3. GRI Pricing'!M469,'2. GRI Pricing Inputs'!$D$32:$AI$32,0)+1)),0)</f>
        <v>0</v>
      </c>
      <c r="O469" s="273">
        <f>IFERROR(INDEX('2. GRI Pricing Inputs'!$C$45:$AI$46,MATCH($O$16,'2. GRI Pricing Inputs'!$C$45:$C$46,0),MATCH(G469,'2. GRI Pricing Inputs'!$C$45:$AI$45,0)),0)</f>
        <v>0</v>
      </c>
      <c r="P469" s="273">
        <f>IFERROR(INDEX('2. GRI Pricing Inputs'!$C$53:$AI$54,MATCH('3. GRI Pricing'!$P$16,'2. GRI Pricing Inputs'!$C$53:$C$54,0),MATCH('3. GRI Pricing'!H469,'2. GRI Pricing Inputs'!$C$53:$AI$53,0)),0)</f>
        <v>0</v>
      </c>
      <c r="Q469" s="273">
        <f>IFERROR(INDEX('2. GRI Pricing Inputs'!$C$60:$AI$61,MATCH('3. GRI Pricing'!$Q$16,'2. GRI Pricing Inputs'!$C$60:$C$61,0),MATCH('1. Accomodation'!T473,'2. GRI Pricing Inputs'!$C$60:$AI$60,0)),0)</f>
        <v>0</v>
      </c>
      <c r="R469" s="273">
        <f>IFERROR(INDEX('2. GRI Pricing Inputs'!$C$67:$AI$68,MATCH('3. GRI Pricing'!$R$16,'2. GRI Pricing Inputs'!$C$67:$C$68,0),MATCH('1. Accomodation'!U473,'2. GRI Pricing Inputs'!$C$67:$AI$67,0)),0)</f>
        <v>0</v>
      </c>
      <c r="S469" s="273">
        <f>IF(D469=0,0,'2. GRI Pricing Inputs'!$AI$75)</f>
        <v>0</v>
      </c>
      <c r="T469" s="273">
        <f>IFERROR(INDEX('2. GRI Pricing Inputs'!$C$82:$AI$83,MATCH('3. GRI Pricing'!$T$16,'2. GRI Pricing Inputs'!$C$82:$C$83,0),MATCH('1. Accomodation'!V473,'2. GRI Pricing Inputs'!$C$82:$AI$82,0)),0)</f>
        <v>0</v>
      </c>
      <c r="U469" s="273">
        <f>IFERROR(INDEX('2. GRI Pricing Inputs'!$C$89:$AI$90,MATCH('3. GRI Pricing'!$U$16,'2. GRI Pricing Inputs'!$C$89:$C$90,0),MATCH('1. Accomodation'!W473,'2. GRI Pricing Inputs'!$C$89:$AI$89,0)),0)</f>
        <v>0</v>
      </c>
      <c r="V469" s="273">
        <f>IFERROR(INDEX('2. GRI Pricing Inputs'!$C$97:$AI$98,MATCH('3. GRI Pricing'!$V$16,'2. GRI Pricing Inputs'!$C$97:$C$98,0),MATCH('1. Accomodation'!X473,'2. GRI Pricing Inputs'!$C$97:$AI$97,0)),0)</f>
        <v>0</v>
      </c>
      <c r="W469" s="273">
        <f>IFERROR(INDEX('2. GRI Pricing Inputs'!$C$104:$AI$105,MATCH('3. GRI Pricing'!$W$16,'2. GRI Pricing Inputs'!$C$104:$C$105,0),MATCH('1. Accomodation'!Y473,'2. GRI Pricing Inputs'!$C$104:$AI$104,0)),0)</f>
        <v>0</v>
      </c>
      <c r="X469" s="274"/>
      <c r="Y469" s="275">
        <f t="shared" si="14"/>
        <v>0</v>
      </c>
      <c r="Z469" s="276"/>
      <c r="AA469" s="276"/>
      <c r="AB469" s="276"/>
      <c r="AC469" s="272">
        <f>Y469*(1+'2. GRI Pricing Inputs'!$D$114)^(($AC$16-$AB$15)/365)</f>
        <v>0</v>
      </c>
      <c r="AD469" s="273">
        <f>AC469*(1+'2. GRI Pricing Inputs'!$D$114)^((AD$16-AC$16)/365)</f>
        <v>0</v>
      </c>
      <c r="AE469" s="273">
        <f>AD469*(1+'2. GRI Pricing Inputs'!$D$114)^((AE$16-AD$16)/365)</f>
        <v>0</v>
      </c>
      <c r="AF469" s="273">
        <f>AE469*(1+'2. GRI Pricing Inputs'!$D$114)^((AF$16-AE$16)/365)</f>
        <v>0</v>
      </c>
      <c r="AG469" s="273">
        <f>AF469*(1+'2. GRI Pricing Inputs'!$D$114)^((AG$16-AF$16)/365)</f>
        <v>0</v>
      </c>
      <c r="AH469" s="273">
        <f>AG469*(1+'2. GRI Pricing Inputs'!$D$114)^((AH$16-AG$16)/365)</f>
        <v>0</v>
      </c>
      <c r="AI469" s="273">
        <f>AH469*(1+'2. GRI Pricing Inputs'!$D$114)^((AI$16-AH$16)/365)</f>
        <v>0</v>
      </c>
      <c r="AJ469" s="273">
        <f>AI469*(1+'2. GRI Pricing Inputs'!$D$114)^((AJ$16-AI$16)/365)</f>
        <v>0</v>
      </c>
      <c r="AK469" s="273">
        <f>AJ469*(1+'2. GRI Pricing Inputs'!$D$114)^((AK$16-AJ$16)/365)</f>
        <v>0</v>
      </c>
      <c r="AL469" s="273">
        <f>AK469*(1+'2. GRI Pricing Inputs'!$D$114)^((AL$16-AK$16)/365)</f>
        <v>0</v>
      </c>
      <c r="AM469" s="273">
        <f>AL469*(1+'2. GRI Pricing Inputs'!$D$114)^((AM$16-AL$16)/365)</f>
        <v>0</v>
      </c>
      <c r="AN469" s="273">
        <f>AM469*(1+'2. GRI Pricing Inputs'!$D$114)^((AN$16-AM$16)/365)</f>
        <v>0</v>
      </c>
      <c r="AO469" s="273">
        <f>AN469*(1+'2. GRI Pricing Inputs'!$D$114)^((AO$16-AN$16)/365)</f>
        <v>0</v>
      </c>
    </row>
    <row r="470" spans="3:41" ht="12" x14ac:dyDescent="0.2">
      <c r="C470" s="76">
        <f>'1. Accomodation'!N474</f>
        <v>0</v>
      </c>
      <c r="D470" s="69">
        <f>'1. Accomodation'!P474</f>
        <v>0</v>
      </c>
      <c r="E470" s="69">
        <f>'1. Accomodation'!Q474</f>
        <v>0</v>
      </c>
      <c r="F470" s="77">
        <f>'1. Accomodation'!O474</f>
        <v>0</v>
      </c>
      <c r="G470" s="69">
        <f>'1. Accomodation'!R474</f>
        <v>0</v>
      </c>
      <c r="H470" s="69">
        <f>'1. Accomodation'!S474</f>
        <v>0</v>
      </c>
      <c r="I470" s="62"/>
      <c r="K470" s="272">
        <f>IFERROR(INDEX('2. GRI Pricing Inputs'!$C$15:$AI$16,MATCH($K$16,'2. GRI Pricing Inputs'!$C$15:$C$16,0),MATCH(D470,'2. GRI Pricing Inputs'!$C$15:$AI$15,0)),0)</f>
        <v>0</v>
      </c>
      <c r="L470" s="273">
        <f>IFERROR(INDEX('2. GRI Pricing Inputs'!$C$22:$AI$23,MATCH($L$16,'2. GRI Pricing Inputs'!$C$22:$C$23,0),MATCH(E470,'2. GRI Pricing Inputs'!$C$22:$AI$22,0)),0)</f>
        <v>0</v>
      </c>
      <c r="M470" s="328">
        <f>IF(AND('3. GRI Pricing'!$F470&gt;='2. GRI Pricing Inputs'!$D$33,'3. GRI Pricing'!$F470&lt;='2. GRI Pricing Inputs'!$E$33),'2. GRI Pricing Inputs'!$D$32,IF(AND('3. GRI Pricing'!$F470&gt;='2. GRI Pricing Inputs'!$F$33,'3. GRI Pricing'!$F470&lt;='2. GRI Pricing Inputs'!$G$33),'2. GRI Pricing Inputs'!$F$32,IF(AND('3. GRI Pricing'!$F470&gt;='2. GRI Pricing Inputs'!$H$33,'3. GRI Pricing'!$F470&lt;='2. GRI Pricing Inputs'!$I$33),'2. GRI Pricing Inputs'!$H$32,IF(AND('3. GRI Pricing'!$F470&gt;='2. GRI Pricing Inputs'!$J$33,'3. GRI Pricing'!$F470&lt;='2. GRI Pricing Inputs'!$K$33),'2. GRI Pricing Inputs'!$J$32,IF(AND('3. GRI Pricing'!$F470&gt;='2. GRI Pricing Inputs'!$L$33,'3. GRI Pricing'!$F470&lt;='2. GRI Pricing Inputs'!$M$33),'2. GRI Pricing Inputs'!$L$32,IF(AND('3. GRI Pricing'!$F470&gt;='2. GRI Pricing Inputs'!$N$33,'3. GRI Pricing'!$F470&lt;='2. GRI Pricing Inputs'!$O$33),'2. GRI Pricing Inputs'!$N$32,IF(AND('3. GRI Pricing'!$F470&gt;='2. GRI Pricing Inputs'!$P$33,'3. GRI Pricing'!$F470&lt;='2. GRI Pricing Inputs'!$Q$33),'2. GRI Pricing Inputs'!$P$32,IF(AND('3. GRI Pricing'!$F470&gt;='2. GRI Pricing Inputs'!$R$33,'3. GRI Pricing'!$F470&lt;='2. GRI Pricing Inputs'!$S$33),'2. GRI Pricing Inputs'!$R$32,IF(AND('3. GRI Pricing'!$F470&gt;='2. GRI Pricing Inputs'!$T$33,'3. GRI Pricing'!$F470&lt;='2. GRI Pricing Inputs'!$U$33),'2. GRI Pricing Inputs'!$T$32,IF(AND('3. GRI Pricing'!$F470&gt;='2. GRI Pricing Inputs'!$V$33,'3. GRI Pricing'!$F470&lt;='2. GRI Pricing Inputs'!$W$33),'2. GRI Pricing Inputs'!$V$32,IF(AND('3. GRI Pricing'!$F470&gt;='2. GRI Pricing Inputs'!$X$33,'3. GRI Pricing'!$F470&lt;='2. GRI Pricing Inputs'!$Y$33),'2. GRI Pricing Inputs'!$X$32,IF(AND('3. GRI Pricing'!$F470&gt;='2. GRI Pricing Inputs'!$Z$33,'3. GRI Pricing'!$F470&lt;='2. GRI Pricing Inputs'!$AA$33),'2. GRI Pricing Inputs'!$Z$32,IF(AND('3. GRI Pricing'!$F470&gt;='2. GRI Pricing Inputs'!$AB$33,'3. GRI Pricing'!$F470&lt;='2. GRI Pricing Inputs'!$AC$33),'2. GRI Pricing Inputs'!$AB$32,IF(AND('3. GRI Pricing'!$F470&gt;='2. GRI Pricing Inputs'!$AD$33,'3. GRI Pricing'!$F470&lt;='2. GRI Pricing Inputs'!$AE$33),'2. GRI Pricing Inputs'!$AD$32,IF(AND('3. GRI Pricing'!$F470&gt;='2. GRI Pricing Inputs'!$AF$33,'3. GRI Pricing'!$F470&lt;='2. GRI Pricing Inputs'!$AG$33),'2. GRI Pricing Inputs'!$AF$32,IF(AND('3. GRI Pricing'!$F470&gt;='2. GRI Pricing Inputs'!$AH$33,'3. GRI Pricing'!$F470&lt;='2. GRI Pricing Inputs'!$AI$33),'2. GRI Pricing Inputs'!$AH$32,0))))))))))))))))</f>
        <v>0</v>
      </c>
      <c r="N470" s="273" cm="1">
        <f t="array" ref="N470">IFERROR(INDEX('2. GRI Pricing Inputs'!$C$32:$AI$39,MATCH('3. GRI Pricing'!D470,'2. GRI Pricing Inputs'!$C$32:$C$39,0),(MATCH('3. GRI Pricing'!M470,'2. GRI Pricing Inputs'!$D$32:$AI$32,0)+1)),0)</f>
        <v>0</v>
      </c>
      <c r="O470" s="273">
        <f>IFERROR(INDEX('2. GRI Pricing Inputs'!$C$45:$AI$46,MATCH($O$16,'2. GRI Pricing Inputs'!$C$45:$C$46,0),MATCH(G470,'2. GRI Pricing Inputs'!$C$45:$AI$45,0)),0)</f>
        <v>0</v>
      </c>
      <c r="P470" s="273">
        <f>IFERROR(INDEX('2. GRI Pricing Inputs'!$C$53:$AI$54,MATCH('3. GRI Pricing'!$P$16,'2. GRI Pricing Inputs'!$C$53:$C$54,0),MATCH('3. GRI Pricing'!H470,'2. GRI Pricing Inputs'!$C$53:$AI$53,0)),0)</f>
        <v>0</v>
      </c>
      <c r="Q470" s="273">
        <f>IFERROR(INDEX('2. GRI Pricing Inputs'!$C$60:$AI$61,MATCH('3. GRI Pricing'!$Q$16,'2. GRI Pricing Inputs'!$C$60:$C$61,0),MATCH('1. Accomodation'!T474,'2. GRI Pricing Inputs'!$C$60:$AI$60,0)),0)</f>
        <v>0</v>
      </c>
      <c r="R470" s="273">
        <f>IFERROR(INDEX('2. GRI Pricing Inputs'!$C$67:$AI$68,MATCH('3. GRI Pricing'!$R$16,'2. GRI Pricing Inputs'!$C$67:$C$68,0),MATCH('1. Accomodation'!U474,'2. GRI Pricing Inputs'!$C$67:$AI$67,0)),0)</f>
        <v>0</v>
      </c>
      <c r="S470" s="273">
        <f>IF(D470=0,0,'2. GRI Pricing Inputs'!$AI$75)</f>
        <v>0</v>
      </c>
      <c r="T470" s="273">
        <f>IFERROR(INDEX('2. GRI Pricing Inputs'!$C$82:$AI$83,MATCH('3. GRI Pricing'!$T$16,'2. GRI Pricing Inputs'!$C$82:$C$83,0),MATCH('1. Accomodation'!V474,'2. GRI Pricing Inputs'!$C$82:$AI$82,0)),0)</f>
        <v>0</v>
      </c>
      <c r="U470" s="273">
        <f>IFERROR(INDEX('2. GRI Pricing Inputs'!$C$89:$AI$90,MATCH('3. GRI Pricing'!$U$16,'2. GRI Pricing Inputs'!$C$89:$C$90,0),MATCH('1. Accomodation'!W474,'2. GRI Pricing Inputs'!$C$89:$AI$89,0)),0)</f>
        <v>0</v>
      </c>
      <c r="V470" s="273">
        <f>IFERROR(INDEX('2. GRI Pricing Inputs'!$C$97:$AI$98,MATCH('3. GRI Pricing'!$V$16,'2. GRI Pricing Inputs'!$C$97:$C$98,0),MATCH('1. Accomodation'!X474,'2. GRI Pricing Inputs'!$C$97:$AI$97,0)),0)</f>
        <v>0</v>
      </c>
      <c r="W470" s="273">
        <f>IFERROR(INDEX('2. GRI Pricing Inputs'!$C$104:$AI$105,MATCH('3. GRI Pricing'!$W$16,'2. GRI Pricing Inputs'!$C$104:$C$105,0),MATCH('1. Accomodation'!Y474,'2. GRI Pricing Inputs'!$C$104:$AI$104,0)),0)</f>
        <v>0</v>
      </c>
      <c r="X470" s="274"/>
      <c r="Y470" s="275">
        <f t="shared" si="14"/>
        <v>0</v>
      </c>
      <c r="Z470" s="276"/>
      <c r="AA470" s="276"/>
      <c r="AB470" s="276"/>
      <c r="AC470" s="272">
        <f>Y470*(1+'2. GRI Pricing Inputs'!$D$114)^(($AC$16-$AB$15)/365)</f>
        <v>0</v>
      </c>
      <c r="AD470" s="273">
        <f>AC470*(1+'2. GRI Pricing Inputs'!$D$114)^((AD$16-AC$16)/365)</f>
        <v>0</v>
      </c>
      <c r="AE470" s="273">
        <f>AD470*(1+'2. GRI Pricing Inputs'!$D$114)^((AE$16-AD$16)/365)</f>
        <v>0</v>
      </c>
      <c r="AF470" s="273">
        <f>AE470*(1+'2. GRI Pricing Inputs'!$D$114)^((AF$16-AE$16)/365)</f>
        <v>0</v>
      </c>
      <c r="AG470" s="273">
        <f>AF470*(1+'2. GRI Pricing Inputs'!$D$114)^((AG$16-AF$16)/365)</f>
        <v>0</v>
      </c>
      <c r="AH470" s="273">
        <f>AG470*(1+'2. GRI Pricing Inputs'!$D$114)^((AH$16-AG$16)/365)</f>
        <v>0</v>
      </c>
      <c r="AI470" s="273">
        <f>AH470*(1+'2. GRI Pricing Inputs'!$D$114)^((AI$16-AH$16)/365)</f>
        <v>0</v>
      </c>
      <c r="AJ470" s="273">
        <f>AI470*(1+'2. GRI Pricing Inputs'!$D$114)^((AJ$16-AI$16)/365)</f>
        <v>0</v>
      </c>
      <c r="AK470" s="273">
        <f>AJ470*(1+'2. GRI Pricing Inputs'!$D$114)^((AK$16-AJ$16)/365)</f>
        <v>0</v>
      </c>
      <c r="AL470" s="273">
        <f>AK470*(1+'2. GRI Pricing Inputs'!$D$114)^((AL$16-AK$16)/365)</f>
        <v>0</v>
      </c>
      <c r="AM470" s="273">
        <f>AL470*(1+'2. GRI Pricing Inputs'!$D$114)^((AM$16-AL$16)/365)</f>
        <v>0</v>
      </c>
      <c r="AN470" s="273">
        <f>AM470*(1+'2. GRI Pricing Inputs'!$D$114)^((AN$16-AM$16)/365)</f>
        <v>0</v>
      </c>
      <c r="AO470" s="273">
        <f>AN470*(1+'2. GRI Pricing Inputs'!$D$114)^((AO$16-AN$16)/365)</f>
        <v>0</v>
      </c>
    </row>
    <row r="471" spans="3:41" ht="12" x14ac:dyDescent="0.2">
      <c r="C471" s="76">
        <f>'1. Accomodation'!N475</f>
        <v>0</v>
      </c>
      <c r="D471" s="69">
        <f>'1. Accomodation'!P475</f>
        <v>0</v>
      </c>
      <c r="E471" s="69">
        <f>'1. Accomodation'!Q475</f>
        <v>0</v>
      </c>
      <c r="F471" s="77">
        <f>'1. Accomodation'!O475</f>
        <v>0</v>
      </c>
      <c r="G471" s="69">
        <f>'1. Accomodation'!R475</f>
        <v>0</v>
      </c>
      <c r="H471" s="69">
        <f>'1. Accomodation'!S475</f>
        <v>0</v>
      </c>
      <c r="I471" s="62"/>
      <c r="K471" s="272">
        <f>IFERROR(INDEX('2. GRI Pricing Inputs'!$C$15:$AI$16,MATCH($K$16,'2. GRI Pricing Inputs'!$C$15:$C$16,0),MATCH(D471,'2. GRI Pricing Inputs'!$C$15:$AI$15,0)),0)</f>
        <v>0</v>
      </c>
      <c r="L471" s="273">
        <f>IFERROR(INDEX('2. GRI Pricing Inputs'!$C$22:$AI$23,MATCH($L$16,'2. GRI Pricing Inputs'!$C$22:$C$23,0),MATCH(E471,'2. GRI Pricing Inputs'!$C$22:$AI$22,0)),0)</f>
        <v>0</v>
      </c>
      <c r="M471" s="328">
        <f>IF(AND('3. GRI Pricing'!$F471&gt;='2. GRI Pricing Inputs'!$D$33,'3. GRI Pricing'!$F471&lt;='2. GRI Pricing Inputs'!$E$33),'2. GRI Pricing Inputs'!$D$32,IF(AND('3. GRI Pricing'!$F471&gt;='2. GRI Pricing Inputs'!$F$33,'3. GRI Pricing'!$F471&lt;='2. GRI Pricing Inputs'!$G$33),'2. GRI Pricing Inputs'!$F$32,IF(AND('3. GRI Pricing'!$F471&gt;='2. GRI Pricing Inputs'!$H$33,'3. GRI Pricing'!$F471&lt;='2. GRI Pricing Inputs'!$I$33),'2. GRI Pricing Inputs'!$H$32,IF(AND('3. GRI Pricing'!$F471&gt;='2. GRI Pricing Inputs'!$J$33,'3. GRI Pricing'!$F471&lt;='2. GRI Pricing Inputs'!$K$33),'2. GRI Pricing Inputs'!$J$32,IF(AND('3. GRI Pricing'!$F471&gt;='2. GRI Pricing Inputs'!$L$33,'3. GRI Pricing'!$F471&lt;='2. GRI Pricing Inputs'!$M$33),'2. GRI Pricing Inputs'!$L$32,IF(AND('3. GRI Pricing'!$F471&gt;='2. GRI Pricing Inputs'!$N$33,'3. GRI Pricing'!$F471&lt;='2. GRI Pricing Inputs'!$O$33),'2. GRI Pricing Inputs'!$N$32,IF(AND('3. GRI Pricing'!$F471&gt;='2. GRI Pricing Inputs'!$P$33,'3. GRI Pricing'!$F471&lt;='2. GRI Pricing Inputs'!$Q$33),'2. GRI Pricing Inputs'!$P$32,IF(AND('3. GRI Pricing'!$F471&gt;='2. GRI Pricing Inputs'!$R$33,'3. GRI Pricing'!$F471&lt;='2. GRI Pricing Inputs'!$S$33),'2. GRI Pricing Inputs'!$R$32,IF(AND('3. GRI Pricing'!$F471&gt;='2. GRI Pricing Inputs'!$T$33,'3. GRI Pricing'!$F471&lt;='2. GRI Pricing Inputs'!$U$33),'2. GRI Pricing Inputs'!$T$32,IF(AND('3. GRI Pricing'!$F471&gt;='2. GRI Pricing Inputs'!$V$33,'3. GRI Pricing'!$F471&lt;='2. GRI Pricing Inputs'!$W$33),'2. GRI Pricing Inputs'!$V$32,IF(AND('3. GRI Pricing'!$F471&gt;='2. GRI Pricing Inputs'!$X$33,'3. GRI Pricing'!$F471&lt;='2. GRI Pricing Inputs'!$Y$33),'2. GRI Pricing Inputs'!$X$32,IF(AND('3. GRI Pricing'!$F471&gt;='2. GRI Pricing Inputs'!$Z$33,'3. GRI Pricing'!$F471&lt;='2. GRI Pricing Inputs'!$AA$33),'2. GRI Pricing Inputs'!$Z$32,IF(AND('3. GRI Pricing'!$F471&gt;='2. GRI Pricing Inputs'!$AB$33,'3. GRI Pricing'!$F471&lt;='2. GRI Pricing Inputs'!$AC$33),'2. GRI Pricing Inputs'!$AB$32,IF(AND('3. GRI Pricing'!$F471&gt;='2. GRI Pricing Inputs'!$AD$33,'3. GRI Pricing'!$F471&lt;='2. GRI Pricing Inputs'!$AE$33),'2. GRI Pricing Inputs'!$AD$32,IF(AND('3. GRI Pricing'!$F471&gt;='2. GRI Pricing Inputs'!$AF$33,'3. GRI Pricing'!$F471&lt;='2. GRI Pricing Inputs'!$AG$33),'2. GRI Pricing Inputs'!$AF$32,IF(AND('3. GRI Pricing'!$F471&gt;='2. GRI Pricing Inputs'!$AH$33,'3. GRI Pricing'!$F471&lt;='2. GRI Pricing Inputs'!$AI$33),'2. GRI Pricing Inputs'!$AH$32,0))))))))))))))))</f>
        <v>0</v>
      </c>
      <c r="N471" s="273" cm="1">
        <f t="array" ref="N471">IFERROR(INDEX('2. GRI Pricing Inputs'!$C$32:$AI$39,MATCH('3. GRI Pricing'!D471,'2. GRI Pricing Inputs'!$C$32:$C$39,0),(MATCH('3. GRI Pricing'!M471,'2. GRI Pricing Inputs'!$D$32:$AI$32,0)+1)),0)</f>
        <v>0</v>
      </c>
      <c r="O471" s="273">
        <f>IFERROR(INDEX('2. GRI Pricing Inputs'!$C$45:$AI$46,MATCH($O$16,'2. GRI Pricing Inputs'!$C$45:$C$46,0),MATCH(G471,'2. GRI Pricing Inputs'!$C$45:$AI$45,0)),0)</f>
        <v>0</v>
      </c>
      <c r="P471" s="273">
        <f>IFERROR(INDEX('2. GRI Pricing Inputs'!$C$53:$AI$54,MATCH('3. GRI Pricing'!$P$16,'2. GRI Pricing Inputs'!$C$53:$C$54,0),MATCH('3. GRI Pricing'!H471,'2. GRI Pricing Inputs'!$C$53:$AI$53,0)),0)</f>
        <v>0</v>
      </c>
      <c r="Q471" s="273">
        <f>IFERROR(INDEX('2. GRI Pricing Inputs'!$C$60:$AI$61,MATCH('3. GRI Pricing'!$Q$16,'2. GRI Pricing Inputs'!$C$60:$C$61,0),MATCH('1. Accomodation'!T475,'2. GRI Pricing Inputs'!$C$60:$AI$60,0)),0)</f>
        <v>0</v>
      </c>
      <c r="R471" s="273">
        <f>IFERROR(INDEX('2. GRI Pricing Inputs'!$C$67:$AI$68,MATCH('3. GRI Pricing'!$R$16,'2. GRI Pricing Inputs'!$C$67:$C$68,0),MATCH('1. Accomodation'!U475,'2. GRI Pricing Inputs'!$C$67:$AI$67,0)),0)</f>
        <v>0</v>
      </c>
      <c r="S471" s="273">
        <f>IF(D471=0,0,'2. GRI Pricing Inputs'!$AI$75)</f>
        <v>0</v>
      </c>
      <c r="T471" s="273">
        <f>IFERROR(INDEX('2. GRI Pricing Inputs'!$C$82:$AI$83,MATCH('3. GRI Pricing'!$T$16,'2. GRI Pricing Inputs'!$C$82:$C$83,0),MATCH('1. Accomodation'!V475,'2. GRI Pricing Inputs'!$C$82:$AI$82,0)),0)</f>
        <v>0</v>
      </c>
      <c r="U471" s="273">
        <f>IFERROR(INDEX('2. GRI Pricing Inputs'!$C$89:$AI$90,MATCH('3. GRI Pricing'!$U$16,'2. GRI Pricing Inputs'!$C$89:$C$90,0),MATCH('1. Accomodation'!W475,'2. GRI Pricing Inputs'!$C$89:$AI$89,0)),0)</f>
        <v>0</v>
      </c>
      <c r="V471" s="273">
        <f>IFERROR(INDEX('2. GRI Pricing Inputs'!$C$97:$AI$98,MATCH('3. GRI Pricing'!$V$16,'2. GRI Pricing Inputs'!$C$97:$C$98,0),MATCH('1. Accomodation'!X475,'2. GRI Pricing Inputs'!$C$97:$AI$97,0)),0)</f>
        <v>0</v>
      </c>
      <c r="W471" s="273">
        <f>IFERROR(INDEX('2. GRI Pricing Inputs'!$C$104:$AI$105,MATCH('3. GRI Pricing'!$W$16,'2. GRI Pricing Inputs'!$C$104:$C$105,0),MATCH('1. Accomodation'!Y475,'2. GRI Pricing Inputs'!$C$104:$AI$104,0)),0)</f>
        <v>0</v>
      </c>
      <c r="X471" s="274"/>
      <c r="Y471" s="275">
        <f t="shared" si="14"/>
        <v>0</v>
      </c>
      <c r="Z471" s="276"/>
      <c r="AA471" s="276"/>
      <c r="AB471" s="276"/>
      <c r="AC471" s="272">
        <f>Y471*(1+'2. GRI Pricing Inputs'!$D$114)^(($AC$16-$AB$15)/365)</f>
        <v>0</v>
      </c>
      <c r="AD471" s="273">
        <f>AC471*(1+'2. GRI Pricing Inputs'!$D$114)^((AD$16-AC$16)/365)</f>
        <v>0</v>
      </c>
      <c r="AE471" s="273">
        <f>AD471*(1+'2. GRI Pricing Inputs'!$D$114)^((AE$16-AD$16)/365)</f>
        <v>0</v>
      </c>
      <c r="AF471" s="273">
        <f>AE471*(1+'2. GRI Pricing Inputs'!$D$114)^((AF$16-AE$16)/365)</f>
        <v>0</v>
      </c>
      <c r="AG471" s="273">
        <f>AF471*(1+'2. GRI Pricing Inputs'!$D$114)^((AG$16-AF$16)/365)</f>
        <v>0</v>
      </c>
      <c r="AH471" s="273">
        <f>AG471*(1+'2. GRI Pricing Inputs'!$D$114)^((AH$16-AG$16)/365)</f>
        <v>0</v>
      </c>
      <c r="AI471" s="273">
        <f>AH471*(1+'2. GRI Pricing Inputs'!$D$114)^((AI$16-AH$16)/365)</f>
        <v>0</v>
      </c>
      <c r="AJ471" s="273">
        <f>AI471*(1+'2. GRI Pricing Inputs'!$D$114)^((AJ$16-AI$16)/365)</f>
        <v>0</v>
      </c>
      <c r="AK471" s="273">
        <f>AJ471*(1+'2. GRI Pricing Inputs'!$D$114)^((AK$16-AJ$16)/365)</f>
        <v>0</v>
      </c>
      <c r="AL471" s="273">
        <f>AK471*(1+'2. GRI Pricing Inputs'!$D$114)^((AL$16-AK$16)/365)</f>
        <v>0</v>
      </c>
      <c r="AM471" s="273">
        <f>AL471*(1+'2. GRI Pricing Inputs'!$D$114)^((AM$16-AL$16)/365)</f>
        <v>0</v>
      </c>
      <c r="AN471" s="273">
        <f>AM471*(1+'2. GRI Pricing Inputs'!$D$114)^((AN$16-AM$16)/365)</f>
        <v>0</v>
      </c>
      <c r="AO471" s="273">
        <f>AN471*(1+'2. GRI Pricing Inputs'!$D$114)^((AO$16-AN$16)/365)</f>
        <v>0</v>
      </c>
    </row>
    <row r="472" spans="3:41" ht="12" x14ac:dyDescent="0.2">
      <c r="C472" s="76">
        <f>'1. Accomodation'!N476</f>
        <v>0</v>
      </c>
      <c r="D472" s="69">
        <f>'1. Accomodation'!P476</f>
        <v>0</v>
      </c>
      <c r="E472" s="69">
        <f>'1. Accomodation'!Q476</f>
        <v>0</v>
      </c>
      <c r="F472" s="77">
        <f>'1. Accomodation'!O476</f>
        <v>0</v>
      </c>
      <c r="G472" s="69">
        <f>'1. Accomodation'!R476</f>
        <v>0</v>
      </c>
      <c r="H472" s="69">
        <f>'1. Accomodation'!S476</f>
        <v>0</v>
      </c>
      <c r="I472" s="62"/>
      <c r="K472" s="272">
        <f>IFERROR(INDEX('2. GRI Pricing Inputs'!$C$15:$AI$16,MATCH($K$16,'2. GRI Pricing Inputs'!$C$15:$C$16,0),MATCH(D472,'2. GRI Pricing Inputs'!$C$15:$AI$15,0)),0)</f>
        <v>0</v>
      </c>
      <c r="L472" s="273">
        <f>IFERROR(INDEX('2. GRI Pricing Inputs'!$C$22:$AI$23,MATCH($L$16,'2. GRI Pricing Inputs'!$C$22:$C$23,0),MATCH(E472,'2. GRI Pricing Inputs'!$C$22:$AI$22,0)),0)</f>
        <v>0</v>
      </c>
      <c r="M472" s="328">
        <f>IF(AND('3. GRI Pricing'!$F472&gt;='2. GRI Pricing Inputs'!$D$33,'3. GRI Pricing'!$F472&lt;='2. GRI Pricing Inputs'!$E$33),'2. GRI Pricing Inputs'!$D$32,IF(AND('3. GRI Pricing'!$F472&gt;='2. GRI Pricing Inputs'!$F$33,'3. GRI Pricing'!$F472&lt;='2. GRI Pricing Inputs'!$G$33),'2. GRI Pricing Inputs'!$F$32,IF(AND('3. GRI Pricing'!$F472&gt;='2. GRI Pricing Inputs'!$H$33,'3. GRI Pricing'!$F472&lt;='2. GRI Pricing Inputs'!$I$33),'2. GRI Pricing Inputs'!$H$32,IF(AND('3. GRI Pricing'!$F472&gt;='2. GRI Pricing Inputs'!$J$33,'3. GRI Pricing'!$F472&lt;='2. GRI Pricing Inputs'!$K$33),'2. GRI Pricing Inputs'!$J$32,IF(AND('3. GRI Pricing'!$F472&gt;='2. GRI Pricing Inputs'!$L$33,'3. GRI Pricing'!$F472&lt;='2. GRI Pricing Inputs'!$M$33),'2. GRI Pricing Inputs'!$L$32,IF(AND('3. GRI Pricing'!$F472&gt;='2. GRI Pricing Inputs'!$N$33,'3. GRI Pricing'!$F472&lt;='2. GRI Pricing Inputs'!$O$33),'2. GRI Pricing Inputs'!$N$32,IF(AND('3. GRI Pricing'!$F472&gt;='2. GRI Pricing Inputs'!$P$33,'3. GRI Pricing'!$F472&lt;='2. GRI Pricing Inputs'!$Q$33),'2. GRI Pricing Inputs'!$P$32,IF(AND('3. GRI Pricing'!$F472&gt;='2. GRI Pricing Inputs'!$R$33,'3. GRI Pricing'!$F472&lt;='2. GRI Pricing Inputs'!$S$33),'2. GRI Pricing Inputs'!$R$32,IF(AND('3. GRI Pricing'!$F472&gt;='2. GRI Pricing Inputs'!$T$33,'3. GRI Pricing'!$F472&lt;='2. GRI Pricing Inputs'!$U$33),'2. GRI Pricing Inputs'!$T$32,IF(AND('3. GRI Pricing'!$F472&gt;='2. GRI Pricing Inputs'!$V$33,'3. GRI Pricing'!$F472&lt;='2. GRI Pricing Inputs'!$W$33),'2. GRI Pricing Inputs'!$V$32,IF(AND('3. GRI Pricing'!$F472&gt;='2. GRI Pricing Inputs'!$X$33,'3. GRI Pricing'!$F472&lt;='2. GRI Pricing Inputs'!$Y$33),'2. GRI Pricing Inputs'!$X$32,IF(AND('3. GRI Pricing'!$F472&gt;='2. GRI Pricing Inputs'!$Z$33,'3. GRI Pricing'!$F472&lt;='2. GRI Pricing Inputs'!$AA$33),'2. GRI Pricing Inputs'!$Z$32,IF(AND('3. GRI Pricing'!$F472&gt;='2. GRI Pricing Inputs'!$AB$33,'3. GRI Pricing'!$F472&lt;='2. GRI Pricing Inputs'!$AC$33),'2. GRI Pricing Inputs'!$AB$32,IF(AND('3. GRI Pricing'!$F472&gt;='2. GRI Pricing Inputs'!$AD$33,'3. GRI Pricing'!$F472&lt;='2. GRI Pricing Inputs'!$AE$33),'2. GRI Pricing Inputs'!$AD$32,IF(AND('3. GRI Pricing'!$F472&gt;='2. GRI Pricing Inputs'!$AF$33,'3. GRI Pricing'!$F472&lt;='2. GRI Pricing Inputs'!$AG$33),'2. GRI Pricing Inputs'!$AF$32,IF(AND('3. GRI Pricing'!$F472&gt;='2. GRI Pricing Inputs'!$AH$33,'3. GRI Pricing'!$F472&lt;='2. GRI Pricing Inputs'!$AI$33),'2. GRI Pricing Inputs'!$AH$32,0))))))))))))))))</f>
        <v>0</v>
      </c>
      <c r="N472" s="273" cm="1">
        <f t="array" ref="N472">IFERROR(INDEX('2. GRI Pricing Inputs'!$C$32:$AI$39,MATCH('3. GRI Pricing'!D472,'2. GRI Pricing Inputs'!$C$32:$C$39,0),(MATCH('3. GRI Pricing'!M472,'2. GRI Pricing Inputs'!$D$32:$AI$32,0)+1)),0)</f>
        <v>0</v>
      </c>
      <c r="O472" s="273">
        <f>IFERROR(INDEX('2. GRI Pricing Inputs'!$C$45:$AI$46,MATCH($O$16,'2. GRI Pricing Inputs'!$C$45:$C$46,0),MATCH(G472,'2. GRI Pricing Inputs'!$C$45:$AI$45,0)),0)</f>
        <v>0</v>
      </c>
      <c r="P472" s="273">
        <f>IFERROR(INDEX('2. GRI Pricing Inputs'!$C$53:$AI$54,MATCH('3. GRI Pricing'!$P$16,'2. GRI Pricing Inputs'!$C$53:$C$54,0),MATCH('3. GRI Pricing'!H472,'2. GRI Pricing Inputs'!$C$53:$AI$53,0)),0)</f>
        <v>0</v>
      </c>
      <c r="Q472" s="273">
        <f>IFERROR(INDEX('2. GRI Pricing Inputs'!$C$60:$AI$61,MATCH('3. GRI Pricing'!$Q$16,'2. GRI Pricing Inputs'!$C$60:$C$61,0),MATCH('1. Accomodation'!T476,'2. GRI Pricing Inputs'!$C$60:$AI$60,0)),0)</f>
        <v>0</v>
      </c>
      <c r="R472" s="273">
        <f>IFERROR(INDEX('2. GRI Pricing Inputs'!$C$67:$AI$68,MATCH('3. GRI Pricing'!$R$16,'2. GRI Pricing Inputs'!$C$67:$C$68,0),MATCH('1. Accomodation'!U476,'2. GRI Pricing Inputs'!$C$67:$AI$67,0)),0)</f>
        <v>0</v>
      </c>
      <c r="S472" s="273">
        <f>IF(D472=0,0,'2. GRI Pricing Inputs'!$AI$75)</f>
        <v>0</v>
      </c>
      <c r="T472" s="273">
        <f>IFERROR(INDEX('2. GRI Pricing Inputs'!$C$82:$AI$83,MATCH('3. GRI Pricing'!$T$16,'2. GRI Pricing Inputs'!$C$82:$C$83,0),MATCH('1. Accomodation'!V476,'2. GRI Pricing Inputs'!$C$82:$AI$82,0)),0)</f>
        <v>0</v>
      </c>
      <c r="U472" s="273">
        <f>IFERROR(INDEX('2. GRI Pricing Inputs'!$C$89:$AI$90,MATCH('3. GRI Pricing'!$U$16,'2. GRI Pricing Inputs'!$C$89:$C$90,0),MATCH('1. Accomodation'!W476,'2. GRI Pricing Inputs'!$C$89:$AI$89,0)),0)</f>
        <v>0</v>
      </c>
      <c r="V472" s="273">
        <f>IFERROR(INDEX('2. GRI Pricing Inputs'!$C$97:$AI$98,MATCH('3. GRI Pricing'!$V$16,'2. GRI Pricing Inputs'!$C$97:$C$98,0),MATCH('1. Accomodation'!X476,'2. GRI Pricing Inputs'!$C$97:$AI$97,0)),0)</f>
        <v>0</v>
      </c>
      <c r="W472" s="273">
        <f>IFERROR(INDEX('2. GRI Pricing Inputs'!$C$104:$AI$105,MATCH('3. GRI Pricing'!$W$16,'2. GRI Pricing Inputs'!$C$104:$C$105,0),MATCH('1. Accomodation'!Y476,'2. GRI Pricing Inputs'!$C$104:$AI$104,0)),0)</f>
        <v>0</v>
      </c>
      <c r="X472" s="274"/>
      <c r="Y472" s="275">
        <f t="shared" si="14"/>
        <v>0</v>
      </c>
      <c r="Z472" s="276"/>
      <c r="AA472" s="276"/>
      <c r="AB472" s="276"/>
      <c r="AC472" s="272">
        <f>Y472*(1+'2. GRI Pricing Inputs'!$D$114)^(($AC$16-$AB$15)/365)</f>
        <v>0</v>
      </c>
      <c r="AD472" s="273">
        <f>AC472*(1+'2. GRI Pricing Inputs'!$D$114)^((AD$16-AC$16)/365)</f>
        <v>0</v>
      </c>
      <c r="AE472" s="273">
        <f>AD472*(1+'2. GRI Pricing Inputs'!$D$114)^((AE$16-AD$16)/365)</f>
        <v>0</v>
      </c>
      <c r="AF472" s="273">
        <f>AE472*(1+'2. GRI Pricing Inputs'!$D$114)^((AF$16-AE$16)/365)</f>
        <v>0</v>
      </c>
      <c r="AG472" s="273">
        <f>AF472*(1+'2. GRI Pricing Inputs'!$D$114)^((AG$16-AF$16)/365)</f>
        <v>0</v>
      </c>
      <c r="AH472" s="273">
        <f>AG472*(1+'2. GRI Pricing Inputs'!$D$114)^((AH$16-AG$16)/365)</f>
        <v>0</v>
      </c>
      <c r="AI472" s="273">
        <f>AH472*(1+'2. GRI Pricing Inputs'!$D$114)^((AI$16-AH$16)/365)</f>
        <v>0</v>
      </c>
      <c r="AJ472" s="273">
        <f>AI472*(1+'2. GRI Pricing Inputs'!$D$114)^((AJ$16-AI$16)/365)</f>
        <v>0</v>
      </c>
      <c r="AK472" s="273">
        <f>AJ472*(1+'2. GRI Pricing Inputs'!$D$114)^((AK$16-AJ$16)/365)</f>
        <v>0</v>
      </c>
      <c r="AL472" s="273">
        <f>AK472*(1+'2. GRI Pricing Inputs'!$D$114)^((AL$16-AK$16)/365)</f>
        <v>0</v>
      </c>
      <c r="AM472" s="273">
        <f>AL472*(1+'2. GRI Pricing Inputs'!$D$114)^((AM$16-AL$16)/365)</f>
        <v>0</v>
      </c>
      <c r="AN472" s="273">
        <f>AM472*(1+'2. GRI Pricing Inputs'!$D$114)^((AN$16-AM$16)/365)</f>
        <v>0</v>
      </c>
      <c r="AO472" s="273">
        <f>AN472*(1+'2. GRI Pricing Inputs'!$D$114)^((AO$16-AN$16)/365)</f>
        <v>0</v>
      </c>
    </row>
    <row r="473" spans="3:41" ht="12" x14ac:dyDescent="0.2">
      <c r="C473" s="76">
        <f>'1. Accomodation'!N477</f>
        <v>0</v>
      </c>
      <c r="D473" s="69">
        <f>'1. Accomodation'!P477</f>
        <v>0</v>
      </c>
      <c r="E473" s="69">
        <f>'1. Accomodation'!Q477</f>
        <v>0</v>
      </c>
      <c r="F473" s="77">
        <f>'1. Accomodation'!O477</f>
        <v>0</v>
      </c>
      <c r="G473" s="69">
        <f>'1. Accomodation'!R477</f>
        <v>0</v>
      </c>
      <c r="H473" s="69">
        <f>'1. Accomodation'!S477</f>
        <v>0</v>
      </c>
      <c r="I473" s="62"/>
      <c r="K473" s="272">
        <f>IFERROR(INDEX('2. GRI Pricing Inputs'!$C$15:$AI$16,MATCH($K$16,'2. GRI Pricing Inputs'!$C$15:$C$16,0),MATCH(D473,'2. GRI Pricing Inputs'!$C$15:$AI$15,0)),0)</f>
        <v>0</v>
      </c>
      <c r="L473" s="273">
        <f>IFERROR(INDEX('2. GRI Pricing Inputs'!$C$22:$AI$23,MATCH($L$16,'2. GRI Pricing Inputs'!$C$22:$C$23,0),MATCH(E473,'2. GRI Pricing Inputs'!$C$22:$AI$22,0)),0)</f>
        <v>0</v>
      </c>
      <c r="M473" s="328">
        <f>IF(AND('3. GRI Pricing'!$F473&gt;='2. GRI Pricing Inputs'!$D$33,'3. GRI Pricing'!$F473&lt;='2. GRI Pricing Inputs'!$E$33),'2. GRI Pricing Inputs'!$D$32,IF(AND('3. GRI Pricing'!$F473&gt;='2. GRI Pricing Inputs'!$F$33,'3. GRI Pricing'!$F473&lt;='2. GRI Pricing Inputs'!$G$33),'2. GRI Pricing Inputs'!$F$32,IF(AND('3. GRI Pricing'!$F473&gt;='2. GRI Pricing Inputs'!$H$33,'3. GRI Pricing'!$F473&lt;='2. GRI Pricing Inputs'!$I$33),'2. GRI Pricing Inputs'!$H$32,IF(AND('3. GRI Pricing'!$F473&gt;='2. GRI Pricing Inputs'!$J$33,'3. GRI Pricing'!$F473&lt;='2. GRI Pricing Inputs'!$K$33),'2. GRI Pricing Inputs'!$J$32,IF(AND('3. GRI Pricing'!$F473&gt;='2. GRI Pricing Inputs'!$L$33,'3. GRI Pricing'!$F473&lt;='2. GRI Pricing Inputs'!$M$33),'2. GRI Pricing Inputs'!$L$32,IF(AND('3. GRI Pricing'!$F473&gt;='2. GRI Pricing Inputs'!$N$33,'3. GRI Pricing'!$F473&lt;='2. GRI Pricing Inputs'!$O$33),'2. GRI Pricing Inputs'!$N$32,IF(AND('3. GRI Pricing'!$F473&gt;='2. GRI Pricing Inputs'!$P$33,'3. GRI Pricing'!$F473&lt;='2. GRI Pricing Inputs'!$Q$33),'2. GRI Pricing Inputs'!$P$32,IF(AND('3. GRI Pricing'!$F473&gt;='2. GRI Pricing Inputs'!$R$33,'3. GRI Pricing'!$F473&lt;='2. GRI Pricing Inputs'!$S$33),'2. GRI Pricing Inputs'!$R$32,IF(AND('3. GRI Pricing'!$F473&gt;='2. GRI Pricing Inputs'!$T$33,'3. GRI Pricing'!$F473&lt;='2. GRI Pricing Inputs'!$U$33),'2. GRI Pricing Inputs'!$T$32,IF(AND('3. GRI Pricing'!$F473&gt;='2. GRI Pricing Inputs'!$V$33,'3. GRI Pricing'!$F473&lt;='2. GRI Pricing Inputs'!$W$33),'2. GRI Pricing Inputs'!$V$32,IF(AND('3. GRI Pricing'!$F473&gt;='2. GRI Pricing Inputs'!$X$33,'3. GRI Pricing'!$F473&lt;='2. GRI Pricing Inputs'!$Y$33),'2. GRI Pricing Inputs'!$X$32,IF(AND('3. GRI Pricing'!$F473&gt;='2. GRI Pricing Inputs'!$Z$33,'3. GRI Pricing'!$F473&lt;='2. GRI Pricing Inputs'!$AA$33),'2. GRI Pricing Inputs'!$Z$32,IF(AND('3. GRI Pricing'!$F473&gt;='2. GRI Pricing Inputs'!$AB$33,'3. GRI Pricing'!$F473&lt;='2. GRI Pricing Inputs'!$AC$33),'2. GRI Pricing Inputs'!$AB$32,IF(AND('3. GRI Pricing'!$F473&gt;='2. GRI Pricing Inputs'!$AD$33,'3. GRI Pricing'!$F473&lt;='2. GRI Pricing Inputs'!$AE$33),'2. GRI Pricing Inputs'!$AD$32,IF(AND('3. GRI Pricing'!$F473&gt;='2. GRI Pricing Inputs'!$AF$33,'3. GRI Pricing'!$F473&lt;='2. GRI Pricing Inputs'!$AG$33),'2. GRI Pricing Inputs'!$AF$32,IF(AND('3. GRI Pricing'!$F473&gt;='2. GRI Pricing Inputs'!$AH$33,'3. GRI Pricing'!$F473&lt;='2. GRI Pricing Inputs'!$AI$33),'2. GRI Pricing Inputs'!$AH$32,0))))))))))))))))</f>
        <v>0</v>
      </c>
      <c r="N473" s="273" cm="1">
        <f t="array" ref="N473">IFERROR(INDEX('2. GRI Pricing Inputs'!$C$32:$AI$39,MATCH('3. GRI Pricing'!D473,'2. GRI Pricing Inputs'!$C$32:$C$39,0),(MATCH('3. GRI Pricing'!M473,'2. GRI Pricing Inputs'!$D$32:$AI$32,0)+1)),0)</f>
        <v>0</v>
      </c>
      <c r="O473" s="273">
        <f>IFERROR(INDEX('2. GRI Pricing Inputs'!$C$45:$AI$46,MATCH($O$16,'2. GRI Pricing Inputs'!$C$45:$C$46,0),MATCH(G473,'2. GRI Pricing Inputs'!$C$45:$AI$45,0)),0)</f>
        <v>0</v>
      </c>
      <c r="P473" s="273">
        <f>IFERROR(INDEX('2. GRI Pricing Inputs'!$C$53:$AI$54,MATCH('3. GRI Pricing'!$P$16,'2. GRI Pricing Inputs'!$C$53:$C$54,0),MATCH('3. GRI Pricing'!H473,'2. GRI Pricing Inputs'!$C$53:$AI$53,0)),0)</f>
        <v>0</v>
      </c>
      <c r="Q473" s="273">
        <f>IFERROR(INDEX('2. GRI Pricing Inputs'!$C$60:$AI$61,MATCH('3. GRI Pricing'!$Q$16,'2. GRI Pricing Inputs'!$C$60:$C$61,0),MATCH('1. Accomodation'!T477,'2. GRI Pricing Inputs'!$C$60:$AI$60,0)),0)</f>
        <v>0</v>
      </c>
      <c r="R473" s="273">
        <f>IFERROR(INDEX('2. GRI Pricing Inputs'!$C$67:$AI$68,MATCH('3. GRI Pricing'!$R$16,'2. GRI Pricing Inputs'!$C$67:$C$68,0),MATCH('1. Accomodation'!U477,'2. GRI Pricing Inputs'!$C$67:$AI$67,0)),0)</f>
        <v>0</v>
      </c>
      <c r="S473" s="273">
        <f>IF(D473=0,0,'2. GRI Pricing Inputs'!$AI$75)</f>
        <v>0</v>
      </c>
      <c r="T473" s="273">
        <f>IFERROR(INDEX('2. GRI Pricing Inputs'!$C$82:$AI$83,MATCH('3. GRI Pricing'!$T$16,'2. GRI Pricing Inputs'!$C$82:$C$83,0),MATCH('1. Accomodation'!V477,'2. GRI Pricing Inputs'!$C$82:$AI$82,0)),0)</f>
        <v>0</v>
      </c>
      <c r="U473" s="273">
        <f>IFERROR(INDEX('2. GRI Pricing Inputs'!$C$89:$AI$90,MATCH('3. GRI Pricing'!$U$16,'2. GRI Pricing Inputs'!$C$89:$C$90,0),MATCH('1. Accomodation'!W477,'2. GRI Pricing Inputs'!$C$89:$AI$89,0)),0)</f>
        <v>0</v>
      </c>
      <c r="V473" s="273">
        <f>IFERROR(INDEX('2. GRI Pricing Inputs'!$C$97:$AI$98,MATCH('3. GRI Pricing'!$V$16,'2. GRI Pricing Inputs'!$C$97:$C$98,0),MATCH('1. Accomodation'!X477,'2. GRI Pricing Inputs'!$C$97:$AI$97,0)),0)</f>
        <v>0</v>
      </c>
      <c r="W473" s="273">
        <f>IFERROR(INDEX('2. GRI Pricing Inputs'!$C$104:$AI$105,MATCH('3. GRI Pricing'!$W$16,'2. GRI Pricing Inputs'!$C$104:$C$105,0),MATCH('1. Accomodation'!Y477,'2. GRI Pricing Inputs'!$C$104:$AI$104,0)),0)</f>
        <v>0</v>
      </c>
      <c r="X473" s="274"/>
      <c r="Y473" s="275">
        <f t="shared" si="14"/>
        <v>0</v>
      </c>
      <c r="Z473" s="276"/>
      <c r="AA473" s="276"/>
      <c r="AB473" s="276"/>
      <c r="AC473" s="272">
        <f>Y473*(1+'2. GRI Pricing Inputs'!$D$114)^(($AC$16-$AB$15)/365)</f>
        <v>0</v>
      </c>
      <c r="AD473" s="273">
        <f>AC473*(1+'2. GRI Pricing Inputs'!$D$114)^((AD$16-AC$16)/365)</f>
        <v>0</v>
      </c>
      <c r="AE473" s="273">
        <f>AD473*(1+'2. GRI Pricing Inputs'!$D$114)^((AE$16-AD$16)/365)</f>
        <v>0</v>
      </c>
      <c r="AF473" s="273">
        <f>AE473*(1+'2. GRI Pricing Inputs'!$D$114)^((AF$16-AE$16)/365)</f>
        <v>0</v>
      </c>
      <c r="AG473" s="273">
        <f>AF473*(1+'2. GRI Pricing Inputs'!$D$114)^((AG$16-AF$16)/365)</f>
        <v>0</v>
      </c>
      <c r="AH473" s="273">
        <f>AG473*(1+'2. GRI Pricing Inputs'!$D$114)^((AH$16-AG$16)/365)</f>
        <v>0</v>
      </c>
      <c r="AI473" s="273">
        <f>AH473*(1+'2. GRI Pricing Inputs'!$D$114)^((AI$16-AH$16)/365)</f>
        <v>0</v>
      </c>
      <c r="AJ473" s="273">
        <f>AI473*(1+'2. GRI Pricing Inputs'!$D$114)^((AJ$16-AI$16)/365)</f>
        <v>0</v>
      </c>
      <c r="AK473" s="273">
        <f>AJ473*(1+'2. GRI Pricing Inputs'!$D$114)^((AK$16-AJ$16)/365)</f>
        <v>0</v>
      </c>
      <c r="AL473" s="273">
        <f>AK473*(1+'2. GRI Pricing Inputs'!$D$114)^((AL$16-AK$16)/365)</f>
        <v>0</v>
      </c>
      <c r="AM473" s="273">
        <f>AL473*(1+'2. GRI Pricing Inputs'!$D$114)^((AM$16-AL$16)/365)</f>
        <v>0</v>
      </c>
      <c r="AN473" s="273">
        <f>AM473*(1+'2. GRI Pricing Inputs'!$D$114)^((AN$16-AM$16)/365)</f>
        <v>0</v>
      </c>
      <c r="AO473" s="273">
        <f>AN473*(1+'2. GRI Pricing Inputs'!$D$114)^((AO$16-AN$16)/365)</f>
        <v>0</v>
      </c>
    </row>
    <row r="474" spans="3:41" ht="12" x14ac:dyDescent="0.2">
      <c r="C474" s="76">
        <f>'1. Accomodation'!N478</f>
        <v>0</v>
      </c>
      <c r="D474" s="69">
        <f>'1. Accomodation'!P478</f>
        <v>0</v>
      </c>
      <c r="E474" s="69">
        <f>'1. Accomodation'!Q478</f>
        <v>0</v>
      </c>
      <c r="F474" s="77">
        <f>'1. Accomodation'!O478</f>
        <v>0</v>
      </c>
      <c r="G474" s="69">
        <f>'1. Accomodation'!R478</f>
        <v>0</v>
      </c>
      <c r="H474" s="69">
        <f>'1. Accomodation'!S478</f>
        <v>0</v>
      </c>
      <c r="I474" s="62"/>
      <c r="K474" s="272">
        <f>IFERROR(INDEX('2. GRI Pricing Inputs'!$C$15:$AI$16,MATCH($K$16,'2. GRI Pricing Inputs'!$C$15:$C$16,0),MATCH(D474,'2. GRI Pricing Inputs'!$C$15:$AI$15,0)),0)</f>
        <v>0</v>
      </c>
      <c r="L474" s="273">
        <f>IFERROR(INDEX('2. GRI Pricing Inputs'!$C$22:$AI$23,MATCH($L$16,'2. GRI Pricing Inputs'!$C$22:$C$23,0),MATCH(E474,'2. GRI Pricing Inputs'!$C$22:$AI$22,0)),0)</f>
        <v>0</v>
      </c>
      <c r="M474" s="328">
        <f>IF(AND('3. GRI Pricing'!$F474&gt;='2. GRI Pricing Inputs'!$D$33,'3. GRI Pricing'!$F474&lt;='2. GRI Pricing Inputs'!$E$33),'2. GRI Pricing Inputs'!$D$32,IF(AND('3. GRI Pricing'!$F474&gt;='2. GRI Pricing Inputs'!$F$33,'3. GRI Pricing'!$F474&lt;='2. GRI Pricing Inputs'!$G$33),'2. GRI Pricing Inputs'!$F$32,IF(AND('3. GRI Pricing'!$F474&gt;='2. GRI Pricing Inputs'!$H$33,'3. GRI Pricing'!$F474&lt;='2. GRI Pricing Inputs'!$I$33),'2. GRI Pricing Inputs'!$H$32,IF(AND('3. GRI Pricing'!$F474&gt;='2. GRI Pricing Inputs'!$J$33,'3. GRI Pricing'!$F474&lt;='2. GRI Pricing Inputs'!$K$33),'2. GRI Pricing Inputs'!$J$32,IF(AND('3. GRI Pricing'!$F474&gt;='2. GRI Pricing Inputs'!$L$33,'3. GRI Pricing'!$F474&lt;='2. GRI Pricing Inputs'!$M$33),'2. GRI Pricing Inputs'!$L$32,IF(AND('3. GRI Pricing'!$F474&gt;='2. GRI Pricing Inputs'!$N$33,'3. GRI Pricing'!$F474&lt;='2. GRI Pricing Inputs'!$O$33),'2. GRI Pricing Inputs'!$N$32,IF(AND('3. GRI Pricing'!$F474&gt;='2. GRI Pricing Inputs'!$P$33,'3. GRI Pricing'!$F474&lt;='2. GRI Pricing Inputs'!$Q$33),'2. GRI Pricing Inputs'!$P$32,IF(AND('3. GRI Pricing'!$F474&gt;='2. GRI Pricing Inputs'!$R$33,'3. GRI Pricing'!$F474&lt;='2. GRI Pricing Inputs'!$S$33),'2. GRI Pricing Inputs'!$R$32,IF(AND('3. GRI Pricing'!$F474&gt;='2. GRI Pricing Inputs'!$T$33,'3. GRI Pricing'!$F474&lt;='2. GRI Pricing Inputs'!$U$33),'2. GRI Pricing Inputs'!$T$32,IF(AND('3. GRI Pricing'!$F474&gt;='2. GRI Pricing Inputs'!$V$33,'3. GRI Pricing'!$F474&lt;='2. GRI Pricing Inputs'!$W$33),'2. GRI Pricing Inputs'!$V$32,IF(AND('3. GRI Pricing'!$F474&gt;='2. GRI Pricing Inputs'!$X$33,'3. GRI Pricing'!$F474&lt;='2. GRI Pricing Inputs'!$Y$33),'2. GRI Pricing Inputs'!$X$32,IF(AND('3. GRI Pricing'!$F474&gt;='2. GRI Pricing Inputs'!$Z$33,'3. GRI Pricing'!$F474&lt;='2. GRI Pricing Inputs'!$AA$33),'2. GRI Pricing Inputs'!$Z$32,IF(AND('3. GRI Pricing'!$F474&gt;='2. GRI Pricing Inputs'!$AB$33,'3. GRI Pricing'!$F474&lt;='2. GRI Pricing Inputs'!$AC$33),'2. GRI Pricing Inputs'!$AB$32,IF(AND('3. GRI Pricing'!$F474&gt;='2. GRI Pricing Inputs'!$AD$33,'3. GRI Pricing'!$F474&lt;='2. GRI Pricing Inputs'!$AE$33),'2. GRI Pricing Inputs'!$AD$32,IF(AND('3. GRI Pricing'!$F474&gt;='2. GRI Pricing Inputs'!$AF$33,'3. GRI Pricing'!$F474&lt;='2. GRI Pricing Inputs'!$AG$33),'2. GRI Pricing Inputs'!$AF$32,IF(AND('3. GRI Pricing'!$F474&gt;='2. GRI Pricing Inputs'!$AH$33,'3. GRI Pricing'!$F474&lt;='2. GRI Pricing Inputs'!$AI$33),'2. GRI Pricing Inputs'!$AH$32,0))))))))))))))))</f>
        <v>0</v>
      </c>
      <c r="N474" s="273" cm="1">
        <f t="array" ref="N474">IFERROR(INDEX('2. GRI Pricing Inputs'!$C$32:$AI$39,MATCH('3. GRI Pricing'!D474,'2. GRI Pricing Inputs'!$C$32:$C$39,0),(MATCH('3. GRI Pricing'!M474,'2. GRI Pricing Inputs'!$D$32:$AI$32,0)+1)),0)</f>
        <v>0</v>
      </c>
      <c r="O474" s="273">
        <f>IFERROR(INDEX('2. GRI Pricing Inputs'!$C$45:$AI$46,MATCH($O$16,'2. GRI Pricing Inputs'!$C$45:$C$46,0),MATCH(G474,'2. GRI Pricing Inputs'!$C$45:$AI$45,0)),0)</f>
        <v>0</v>
      </c>
      <c r="P474" s="273">
        <f>IFERROR(INDEX('2. GRI Pricing Inputs'!$C$53:$AI$54,MATCH('3. GRI Pricing'!$P$16,'2. GRI Pricing Inputs'!$C$53:$C$54,0),MATCH('3. GRI Pricing'!H474,'2. GRI Pricing Inputs'!$C$53:$AI$53,0)),0)</f>
        <v>0</v>
      </c>
      <c r="Q474" s="273">
        <f>IFERROR(INDEX('2. GRI Pricing Inputs'!$C$60:$AI$61,MATCH('3. GRI Pricing'!$Q$16,'2. GRI Pricing Inputs'!$C$60:$C$61,0),MATCH('1. Accomodation'!T478,'2. GRI Pricing Inputs'!$C$60:$AI$60,0)),0)</f>
        <v>0</v>
      </c>
      <c r="R474" s="273">
        <f>IFERROR(INDEX('2. GRI Pricing Inputs'!$C$67:$AI$68,MATCH('3. GRI Pricing'!$R$16,'2. GRI Pricing Inputs'!$C$67:$C$68,0),MATCH('1. Accomodation'!U478,'2. GRI Pricing Inputs'!$C$67:$AI$67,0)),0)</f>
        <v>0</v>
      </c>
      <c r="S474" s="273">
        <f>IF(D474=0,0,'2. GRI Pricing Inputs'!$AI$75)</f>
        <v>0</v>
      </c>
      <c r="T474" s="273">
        <f>IFERROR(INDEX('2. GRI Pricing Inputs'!$C$82:$AI$83,MATCH('3. GRI Pricing'!$T$16,'2. GRI Pricing Inputs'!$C$82:$C$83,0),MATCH('1. Accomodation'!V478,'2. GRI Pricing Inputs'!$C$82:$AI$82,0)),0)</f>
        <v>0</v>
      </c>
      <c r="U474" s="273">
        <f>IFERROR(INDEX('2. GRI Pricing Inputs'!$C$89:$AI$90,MATCH('3. GRI Pricing'!$U$16,'2. GRI Pricing Inputs'!$C$89:$C$90,0),MATCH('1. Accomodation'!W478,'2. GRI Pricing Inputs'!$C$89:$AI$89,0)),0)</f>
        <v>0</v>
      </c>
      <c r="V474" s="273">
        <f>IFERROR(INDEX('2. GRI Pricing Inputs'!$C$97:$AI$98,MATCH('3. GRI Pricing'!$V$16,'2. GRI Pricing Inputs'!$C$97:$C$98,0),MATCH('1. Accomodation'!X478,'2. GRI Pricing Inputs'!$C$97:$AI$97,0)),0)</f>
        <v>0</v>
      </c>
      <c r="W474" s="273">
        <f>IFERROR(INDEX('2. GRI Pricing Inputs'!$C$104:$AI$105,MATCH('3. GRI Pricing'!$W$16,'2. GRI Pricing Inputs'!$C$104:$C$105,0),MATCH('1. Accomodation'!Y478,'2. GRI Pricing Inputs'!$C$104:$AI$104,0)),0)</f>
        <v>0</v>
      </c>
      <c r="X474" s="274"/>
      <c r="Y474" s="275">
        <f t="shared" si="14"/>
        <v>0</v>
      </c>
      <c r="Z474" s="276"/>
      <c r="AA474" s="276"/>
      <c r="AB474" s="276"/>
      <c r="AC474" s="272">
        <f>Y474*(1+'2. GRI Pricing Inputs'!$D$114)^(($AC$16-$AB$15)/365)</f>
        <v>0</v>
      </c>
      <c r="AD474" s="273">
        <f>AC474*(1+'2. GRI Pricing Inputs'!$D$114)^((AD$16-AC$16)/365)</f>
        <v>0</v>
      </c>
      <c r="AE474" s="273">
        <f>AD474*(1+'2. GRI Pricing Inputs'!$D$114)^((AE$16-AD$16)/365)</f>
        <v>0</v>
      </c>
      <c r="AF474" s="273">
        <f>AE474*(1+'2. GRI Pricing Inputs'!$D$114)^((AF$16-AE$16)/365)</f>
        <v>0</v>
      </c>
      <c r="AG474" s="273">
        <f>AF474*(1+'2. GRI Pricing Inputs'!$D$114)^((AG$16-AF$16)/365)</f>
        <v>0</v>
      </c>
      <c r="AH474" s="273">
        <f>AG474*(1+'2. GRI Pricing Inputs'!$D$114)^((AH$16-AG$16)/365)</f>
        <v>0</v>
      </c>
      <c r="AI474" s="273">
        <f>AH474*(1+'2. GRI Pricing Inputs'!$D$114)^((AI$16-AH$16)/365)</f>
        <v>0</v>
      </c>
      <c r="AJ474" s="273">
        <f>AI474*(1+'2. GRI Pricing Inputs'!$D$114)^((AJ$16-AI$16)/365)</f>
        <v>0</v>
      </c>
      <c r="AK474" s="273">
        <f>AJ474*(1+'2. GRI Pricing Inputs'!$D$114)^((AK$16-AJ$16)/365)</f>
        <v>0</v>
      </c>
      <c r="AL474" s="273">
        <f>AK474*(1+'2. GRI Pricing Inputs'!$D$114)^((AL$16-AK$16)/365)</f>
        <v>0</v>
      </c>
      <c r="AM474" s="273">
        <f>AL474*(1+'2. GRI Pricing Inputs'!$D$114)^((AM$16-AL$16)/365)</f>
        <v>0</v>
      </c>
      <c r="AN474" s="273">
        <f>AM474*(1+'2. GRI Pricing Inputs'!$D$114)^((AN$16-AM$16)/365)</f>
        <v>0</v>
      </c>
      <c r="AO474" s="273">
        <f>AN474*(1+'2. GRI Pricing Inputs'!$D$114)^((AO$16-AN$16)/365)</f>
        <v>0</v>
      </c>
    </row>
    <row r="475" spans="3:41" ht="12" x14ac:dyDescent="0.2">
      <c r="C475" s="76">
        <f>'1. Accomodation'!N479</f>
        <v>0</v>
      </c>
      <c r="D475" s="69">
        <f>'1. Accomodation'!P479</f>
        <v>0</v>
      </c>
      <c r="E475" s="69">
        <f>'1. Accomodation'!Q479</f>
        <v>0</v>
      </c>
      <c r="F475" s="77">
        <f>'1. Accomodation'!O479</f>
        <v>0</v>
      </c>
      <c r="G475" s="69">
        <f>'1. Accomodation'!R479</f>
        <v>0</v>
      </c>
      <c r="H475" s="69">
        <f>'1. Accomodation'!S479</f>
        <v>0</v>
      </c>
      <c r="I475" s="62"/>
      <c r="K475" s="272">
        <f>IFERROR(INDEX('2. GRI Pricing Inputs'!$C$15:$AI$16,MATCH($K$16,'2. GRI Pricing Inputs'!$C$15:$C$16,0),MATCH(D475,'2. GRI Pricing Inputs'!$C$15:$AI$15,0)),0)</f>
        <v>0</v>
      </c>
      <c r="L475" s="273">
        <f>IFERROR(INDEX('2. GRI Pricing Inputs'!$C$22:$AI$23,MATCH($L$16,'2. GRI Pricing Inputs'!$C$22:$C$23,0),MATCH(E475,'2. GRI Pricing Inputs'!$C$22:$AI$22,0)),0)</f>
        <v>0</v>
      </c>
      <c r="M475" s="328">
        <f>IF(AND('3. GRI Pricing'!$F475&gt;='2. GRI Pricing Inputs'!$D$33,'3. GRI Pricing'!$F475&lt;='2. GRI Pricing Inputs'!$E$33),'2. GRI Pricing Inputs'!$D$32,IF(AND('3. GRI Pricing'!$F475&gt;='2. GRI Pricing Inputs'!$F$33,'3. GRI Pricing'!$F475&lt;='2. GRI Pricing Inputs'!$G$33),'2. GRI Pricing Inputs'!$F$32,IF(AND('3. GRI Pricing'!$F475&gt;='2. GRI Pricing Inputs'!$H$33,'3. GRI Pricing'!$F475&lt;='2. GRI Pricing Inputs'!$I$33),'2. GRI Pricing Inputs'!$H$32,IF(AND('3. GRI Pricing'!$F475&gt;='2. GRI Pricing Inputs'!$J$33,'3. GRI Pricing'!$F475&lt;='2. GRI Pricing Inputs'!$K$33),'2. GRI Pricing Inputs'!$J$32,IF(AND('3. GRI Pricing'!$F475&gt;='2. GRI Pricing Inputs'!$L$33,'3. GRI Pricing'!$F475&lt;='2. GRI Pricing Inputs'!$M$33),'2. GRI Pricing Inputs'!$L$32,IF(AND('3. GRI Pricing'!$F475&gt;='2. GRI Pricing Inputs'!$N$33,'3. GRI Pricing'!$F475&lt;='2. GRI Pricing Inputs'!$O$33),'2. GRI Pricing Inputs'!$N$32,IF(AND('3. GRI Pricing'!$F475&gt;='2. GRI Pricing Inputs'!$P$33,'3. GRI Pricing'!$F475&lt;='2. GRI Pricing Inputs'!$Q$33),'2. GRI Pricing Inputs'!$P$32,IF(AND('3. GRI Pricing'!$F475&gt;='2. GRI Pricing Inputs'!$R$33,'3. GRI Pricing'!$F475&lt;='2. GRI Pricing Inputs'!$S$33),'2. GRI Pricing Inputs'!$R$32,IF(AND('3. GRI Pricing'!$F475&gt;='2. GRI Pricing Inputs'!$T$33,'3. GRI Pricing'!$F475&lt;='2. GRI Pricing Inputs'!$U$33),'2. GRI Pricing Inputs'!$T$32,IF(AND('3. GRI Pricing'!$F475&gt;='2. GRI Pricing Inputs'!$V$33,'3. GRI Pricing'!$F475&lt;='2. GRI Pricing Inputs'!$W$33),'2. GRI Pricing Inputs'!$V$32,IF(AND('3. GRI Pricing'!$F475&gt;='2. GRI Pricing Inputs'!$X$33,'3. GRI Pricing'!$F475&lt;='2. GRI Pricing Inputs'!$Y$33),'2. GRI Pricing Inputs'!$X$32,IF(AND('3. GRI Pricing'!$F475&gt;='2. GRI Pricing Inputs'!$Z$33,'3. GRI Pricing'!$F475&lt;='2. GRI Pricing Inputs'!$AA$33),'2. GRI Pricing Inputs'!$Z$32,IF(AND('3. GRI Pricing'!$F475&gt;='2. GRI Pricing Inputs'!$AB$33,'3. GRI Pricing'!$F475&lt;='2. GRI Pricing Inputs'!$AC$33),'2. GRI Pricing Inputs'!$AB$32,IF(AND('3. GRI Pricing'!$F475&gt;='2. GRI Pricing Inputs'!$AD$33,'3. GRI Pricing'!$F475&lt;='2. GRI Pricing Inputs'!$AE$33),'2. GRI Pricing Inputs'!$AD$32,IF(AND('3. GRI Pricing'!$F475&gt;='2. GRI Pricing Inputs'!$AF$33,'3. GRI Pricing'!$F475&lt;='2. GRI Pricing Inputs'!$AG$33),'2. GRI Pricing Inputs'!$AF$32,IF(AND('3. GRI Pricing'!$F475&gt;='2. GRI Pricing Inputs'!$AH$33,'3. GRI Pricing'!$F475&lt;='2. GRI Pricing Inputs'!$AI$33),'2. GRI Pricing Inputs'!$AH$32,0))))))))))))))))</f>
        <v>0</v>
      </c>
      <c r="N475" s="273" cm="1">
        <f t="array" ref="N475">IFERROR(INDEX('2. GRI Pricing Inputs'!$C$32:$AI$39,MATCH('3. GRI Pricing'!D475,'2. GRI Pricing Inputs'!$C$32:$C$39,0),(MATCH('3. GRI Pricing'!M475,'2. GRI Pricing Inputs'!$D$32:$AI$32,0)+1)),0)</f>
        <v>0</v>
      </c>
      <c r="O475" s="273">
        <f>IFERROR(INDEX('2. GRI Pricing Inputs'!$C$45:$AI$46,MATCH($O$16,'2. GRI Pricing Inputs'!$C$45:$C$46,0),MATCH(G475,'2. GRI Pricing Inputs'!$C$45:$AI$45,0)),0)</f>
        <v>0</v>
      </c>
      <c r="P475" s="273">
        <f>IFERROR(INDEX('2. GRI Pricing Inputs'!$C$53:$AI$54,MATCH('3. GRI Pricing'!$P$16,'2. GRI Pricing Inputs'!$C$53:$C$54,0),MATCH('3. GRI Pricing'!H475,'2. GRI Pricing Inputs'!$C$53:$AI$53,0)),0)</f>
        <v>0</v>
      </c>
      <c r="Q475" s="273">
        <f>IFERROR(INDEX('2. GRI Pricing Inputs'!$C$60:$AI$61,MATCH('3. GRI Pricing'!$Q$16,'2. GRI Pricing Inputs'!$C$60:$C$61,0),MATCH('1. Accomodation'!T479,'2. GRI Pricing Inputs'!$C$60:$AI$60,0)),0)</f>
        <v>0</v>
      </c>
      <c r="R475" s="273">
        <f>IFERROR(INDEX('2. GRI Pricing Inputs'!$C$67:$AI$68,MATCH('3. GRI Pricing'!$R$16,'2. GRI Pricing Inputs'!$C$67:$C$68,0),MATCH('1. Accomodation'!U479,'2. GRI Pricing Inputs'!$C$67:$AI$67,0)),0)</f>
        <v>0</v>
      </c>
      <c r="S475" s="273">
        <f>IF(D475=0,0,'2. GRI Pricing Inputs'!$AI$75)</f>
        <v>0</v>
      </c>
      <c r="T475" s="273">
        <f>IFERROR(INDEX('2. GRI Pricing Inputs'!$C$82:$AI$83,MATCH('3. GRI Pricing'!$T$16,'2. GRI Pricing Inputs'!$C$82:$C$83,0),MATCH('1. Accomodation'!V479,'2. GRI Pricing Inputs'!$C$82:$AI$82,0)),0)</f>
        <v>0</v>
      </c>
      <c r="U475" s="273">
        <f>IFERROR(INDEX('2. GRI Pricing Inputs'!$C$89:$AI$90,MATCH('3. GRI Pricing'!$U$16,'2. GRI Pricing Inputs'!$C$89:$C$90,0),MATCH('1. Accomodation'!W479,'2. GRI Pricing Inputs'!$C$89:$AI$89,0)),0)</f>
        <v>0</v>
      </c>
      <c r="V475" s="273">
        <f>IFERROR(INDEX('2. GRI Pricing Inputs'!$C$97:$AI$98,MATCH('3. GRI Pricing'!$V$16,'2. GRI Pricing Inputs'!$C$97:$C$98,0),MATCH('1. Accomodation'!X479,'2. GRI Pricing Inputs'!$C$97:$AI$97,0)),0)</f>
        <v>0</v>
      </c>
      <c r="W475" s="273">
        <f>IFERROR(INDEX('2. GRI Pricing Inputs'!$C$104:$AI$105,MATCH('3. GRI Pricing'!$W$16,'2. GRI Pricing Inputs'!$C$104:$C$105,0),MATCH('1. Accomodation'!Y479,'2. GRI Pricing Inputs'!$C$104:$AI$104,0)),0)</f>
        <v>0</v>
      </c>
      <c r="X475" s="274"/>
      <c r="Y475" s="275">
        <f t="shared" si="14"/>
        <v>0</v>
      </c>
      <c r="Z475" s="276"/>
      <c r="AA475" s="276"/>
      <c r="AB475" s="276"/>
      <c r="AC475" s="272">
        <f>Y475*(1+'2. GRI Pricing Inputs'!$D$114)^(($AC$16-$AB$15)/365)</f>
        <v>0</v>
      </c>
      <c r="AD475" s="273">
        <f>AC475*(1+'2. GRI Pricing Inputs'!$D$114)^((AD$16-AC$16)/365)</f>
        <v>0</v>
      </c>
      <c r="AE475" s="273">
        <f>AD475*(1+'2. GRI Pricing Inputs'!$D$114)^((AE$16-AD$16)/365)</f>
        <v>0</v>
      </c>
      <c r="AF475" s="273">
        <f>AE475*(1+'2. GRI Pricing Inputs'!$D$114)^((AF$16-AE$16)/365)</f>
        <v>0</v>
      </c>
      <c r="AG475" s="273">
        <f>AF475*(1+'2. GRI Pricing Inputs'!$D$114)^((AG$16-AF$16)/365)</f>
        <v>0</v>
      </c>
      <c r="AH475" s="273">
        <f>AG475*(1+'2. GRI Pricing Inputs'!$D$114)^((AH$16-AG$16)/365)</f>
        <v>0</v>
      </c>
      <c r="AI475" s="273">
        <f>AH475*(1+'2. GRI Pricing Inputs'!$D$114)^((AI$16-AH$16)/365)</f>
        <v>0</v>
      </c>
      <c r="AJ475" s="273">
        <f>AI475*(1+'2. GRI Pricing Inputs'!$D$114)^((AJ$16-AI$16)/365)</f>
        <v>0</v>
      </c>
      <c r="AK475" s="273">
        <f>AJ475*(1+'2. GRI Pricing Inputs'!$D$114)^((AK$16-AJ$16)/365)</f>
        <v>0</v>
      </c>
      <c r="AL475" s="273">
        <f>AK475*(1+'2. GRI Pricing Inputs'!$D$114)^((AL$16-AK$16)/365)</f>
        <v>0</v>
      </c>
      <c r="AM475" s="273">
        <f>AL475*(1+'2. GRI Pricing Inputs'!$D$114)^((AM$16-AL$16)/365)</f>
        <v>0</v>
      </c>
      <c r="AN475" s="273">
        <f>AM475*(1+'2. GRI Pricing Inputs'!$D$114)^((AN$16-AM$16)/365)</f>
        <v>0</v>
      </c>
      <c r="AO475" s="273">
        <f>AN475*(1+'2. GRI Pricing Inputs'!$D$114)^((AO$16-AN$16)/365)</f>
        <v>0</v>
      </c>
    </row>
    <row r="476" spans="3:41" ht="12" x14ac:dyDescent="0.2">
      <c r="C476" s="76">
        <f>'1. Accomodation'!N480</f>
        <v>0</v>
      </c>
      <c r="D476" s="69">
        <f>'1. Accomodation'!P480</f>
        <v>0</v>
      </c>
      <c r="E476" s="69">
        <f>'1. Accomodation'!Q480</f>
        <v>0</v>
      </c>
      <c r="F476" s="77">
        <f>'1. Accomodation'!O480</f>
        <v>0</v>
      </c>
      <c r="G476" s="69">
        <f>'1. Accomodation'!R480</f>
        <v>0</v>
      </c>
      <c r="H476" s="69">
        <f>'1. Accomodation'!S480</f>
        <v>0</v>
      </c>
      <c r="I476" s="62"/>
      <c r="K476" s="272">
        <f>IFERROR(INDEX('2. GRI Pricing Inputs'!$C$15:$AI$16,MATCH($K$16,'2. GRI Pricing Inputs'!$C$15:$C$16,0),MATCH(D476,'2. GRI Pricing Inputs'!$C$15:$AI$15,0)),0)</f>
        <v>0</v>
      </c>
      <c r="L476" s="273">
        <f>IFERROR(INDEX('2. GRI Pricing Inputs'!$C$22:$AI$23,MATCH($L$16,'2. GRI Pricing Inputs'!$C$22:$C$23,0),MATCH(E476,'2. GRI Pricing Inputs'!$C$22:$AI$22,0)),0)</f>
        <v>0</v>
      </c>
      <c r="M476" s="328">
        <f>IF(AND('3. GRI Pricing'!$F476&gt;='2. GRI Pricing Inputs'!$D$33,'3. GRI Pricing'!$F476&lt;='2. GRI Pricing Inputs'!$E$33),'2. GRI Pricing Inputs'!$D$32,IF(AND('3. GRI Pricing'!$F476&gt;='2. GRI Pricing Inputs'!$F$33,'3. GRI Pricing'!$F476&lt;='2. GRI Pricing Inputs'!$G$33),'2. GRI Pricing Inputs'!$F$32,IF(AND('3. GRI Pricing'!$F476&gt;='2. GRI Pricing Inputs'!$H$33,'3. GRI Pricing'!$F476&lt;='2. GRI Pricing Inputs'!$I$33),'2. GRI Pricing Inputs'!$H$32,IF(AND('3. GRI Pricing'!$F476&gt;='2. GRI Pricing Inputs'!$J$33,'3. GRI Pricing'!$F476&lt;='2. GRI Pricing Inputs'!$K$33),'2. GRI Pricing Inputs'!$J$32,IF(AND('3. GRI Pricing'!$F476&gt;='2. GRI Pricing Inputs'!$L$33,'3. GRI Pricing'!$F476&lt;='2. GRI Pricing Inputs'!$M$33),'2. GRI Pricing Inputs'!$L$32,IF(AND('3. GRI Pricing'!$F476&gt;='2. GRI Pricing Inputs'!$N$33,'3. GRI Pricing'!$F476&lt;='2. GRI Pricing Inputs'!$O$33),'2. GRI Pricing Inputs'!$N$32,IF(AND('3. GRI Pricing'!$F476&gt;='2. GRI Pricing Inputs'!$P$33,'3. GRI Pricing'!$F476&lt;='2. GRI Pricing Inputs'!$Q$33),'2. GRI Pricing Inputs'!$P$32,IF(AND('3. GRI Pricing'!$F476&gt;='2. GRI Pricing Inputs'!$R$33,'3. GRI Pricing'!$F476&lt;='2. GRI Pricing Inputs'!$S$33),'2. GRI Pricing Inputs'!$R$32,IF(AND('3. GRI Pricing'!$F476&gt;='2. GRI Pricing Inputs'!$T$33,'3. GRI Pricing'!$F476&lt;='2. GRI Pricing Inputs'!$U$33),'2. GRI Pricing Inputs'!$T$32,IF(AND('3. GRI Pricing'!$F476&gt;='2. GRI Pricing Inputs'!$V$33,'3. GRI Pricing'!$F476&lt;='2. GRI Pricing Inputs'!$W$33),'2. GRI Pricing Inputs'!$V$32,IF(AND('3. GRI Pricing'!$F476&gt;='2. GRI Pricing Inputs'!$X$33,'3. GRI Pricing'!$F476&lt;='2. GRI Pricing Inputs'!$Y$33),'2. GRI Pricing Inputs'!$X$32,IF(AND('3. GRI Pricing'!$F476&gt;='2. GRI Pricing Inputs'!$Z$33,'3. GRI Pricing'!$F476&lt;='2. GRI Pricing Inputs'!$AA$33),'2. GRI Pricing Inputs'!$Z$32,IF(AND('3. GRI Pricing'!$F476&gt;='2. GRI Pricing Inputs'!$AB$33,'3. GRI Pricing'!$F476&lt;='2. GRI Pricing Inputs'!$AC$33),'2. GRI Pricing Inputs'!$AB$32,IF(AND('3. GRI Pricing'!$F476&gt;='2. GRI Pricing Inputs'!$AD$33,'3. GRI Pricing'!$F476&lt;='2. GRI Pricing Inputs'!$AE$33),'2. GRI Pricing Inputs'!$AD$32,IF(AND('3. GRI Pricing'!$F476&gt;='2. GRI Pricing Inputs'!$AF$33,'3. GRI Pricing'!$F476&lt;='2. GRI Pricing Inputs'!$AG$33),'2. GRI Pricing Inputs'!$AF$32,IF(AND('3. GRI Pricing'!$F476&gt;='2. GRI Pricing Inputs'!$AH$33,'3. GRI Pricing'!$F476&lt;='2. GRI Pricing Inputs'!$AI$33),'2. GRI Pricing Inputs'!$AH$32,0))))))))))))))))</f>
        <v>0</v>
      </c>
      <c r="N476" s="273" cm="1">
        <f t="array" ref="N476">IFERROR(INDEX('2. GRI Pricing Inputs'!$C$32:$AI$39,MATCH('3. GRI Pricing'!D476,'2. GRI Pricing Inputs'!$C$32:$C$39,0),(MATCH('3. GRI Pricing'!M476,'2. GRI Pricing Inputs'!$D$32:$AI$32,0)+1)),0)</f>
        <v>0</v>
      </c>
      <c r="O476" s="273">
        <f>IFERROR(INDEX('2. GRI Pricing Inputs'!$C$45:$AI$46,MATCH($O$16,'2. GRI Pricing Inputs'!$C$45:$C$46,0),MATCH(G476,'2. GRI Pricing Inputs'!$C$45:$AI$45,0)),0)</f>
        <v>0</v>
      </c>
      <c r="P476" s="273">
        <f>IFERROR(INDEX('2. GRI Pricing Inputs'!$C$53:$AI$54,MATCH('3. GRI Pricing'!$P$16,'2. GRI Pricing Inputs'!$C$53:$C$54,0),MATCH('3. GRI Pricing'!H476,'2. GRI Pricing Inputs'!$C$53:$AI$53,0)),0)</f>
        <v>0</v>
      </c>
      <c r="Q476" s="273">
        <f>IFERROR(INDEX('2. GRI Pricing Inputs'!$C$60:$AI$61,MATCH('3. GRI Pricing'!$Q$16,'2. GRI Pricing Inputs'!$C$60:$C$61,0),MATCH('1. Accomodation'!T480,'2. GRI Pricing Inputs'!$C$60:$AI$60,0)),0)</f>
        <v>0</v>
      </c>
      <c r="R476" s="273">
        <f>IFERROR(INDEX('2. GRI Pricing Inputs'!$C$67:$AI$68,MATCH('3. GRI Pricing'!$R$16,'2. GRI Pricing Inputs'!$C$67:$C$68,0),MATCH('1. Accomodation'!U480,'2. GRI Pricing Inputs'!$C$67:$AI$67,0)),0)</f>
        <v>0</v>
      </c>
      <c r="S476" s="273">
        <f>IF(D476=0,0,'2. GRI Pricing Inputs'!$AI$75)</f>
        <v>0</v>
      </c>
      <c r="T476" s="273">
        <f>IFERROR(INDEX('2. GRI Pricing Inputs'!$C$82:$AI$83,MATCH('3. GRI Pricing'!$T$16,'2. GRI Pricing Inputs'!$C$82:$C$83,0),MATCH('1. Accomodation'!V480,'2. GRI Pricing Inputs'!$C$82:$AI$82,0)),0)</f>
        <v>0</v>
      </c>
      <c r="U476" s="273">
        <f>IFERROR(INDEX('2. GRI Pricing Inputs'!$C$89:$AI$90,MATCH('3. GRI Pricing'!$U$16,'2. GRI Pricing Inputs'!$C$89:$C$90,0),MATCH('1. Accomodation'!W480,'2. GRI Pricing Inputs'!$C$89:$AI$89,0)),0)</f>
        <v>0</v>
      </c>
      <c r="V476" s="273">
        <f>IFERROR(INDEX('2. GRI Pricing Inputs'!$C$97:$AI$98,MATCH('3. GRI Pricing'!$V$16,'2. GRI Pricing Inputs'!$C$97:$C$98,0),MATCH('1. Accomodation'!X480,'2. GRI Pricing Inputs'!$C$97:$AI$97,0)),0)</f>
        <v>0</v>
      </c>
      <c r="W476" s="273">
        <f>IFERROR(INDEX('2. GRI Pricing Inputs'!$C$104:$AI$105,MATCH('3. GRI Pricing'!$W$16,'2. GRI Pricing Inputs'!$C$104:$C$105,0),MATCH('1. Accomodation'!Y480,'2. GRI Pricing Inputs'!$C$104:$AI$104,0)),0)</f>
        <v>0</v>
      </c>
      <c r="X476" s="274"/>
      <c r="Y476" s="275">
        <f t="shared" si="14"/>
        <v>0</v>
      </c>
      <c r="Z476" s="276"/>
      <c r="AA476" s="276"/>
      <c r="AB476" s="276"/>
      <c r="AC476" s="272">
        <f>Y476*(1+'2. GRI Pricing Inputs'!$D$114)^(($AC$16-$AB$15)/365)</f>
        <v>0</v>
      </c>
      <c r="AD476" s="273">
        <f>AC476*(1+'2. GRI Pricing Inputs'!$D$114)^((AD$16-AC$16)/365)</f>
        <v>0</v>
      </c>
      <c r="AE476" s="273">
        <f>AD476*(1+'2. GRI Pricing Inputs'!$D$114)^((AE$16-AD$16)/365)</f>
        <v>0</v>
      </c>
      <c r="AF476" s="273">
        <f>AE476*(1+'2. GRI Pricing Inputs'!$D$114)^((AF$16-AE$16)/365)</f>
        <v>0</v>
      </c>
      <c r="AG476" s="273">
        <f>AF476*(1+'2. GRI Pricing Inputs'!$D$114)^((AG$16-AF$16)/365)</f>
        <v>0</v>
      </c>
      <c r="AH476" s="273">
        <f>AG476*(1+'2. GRI Pricing Inputs'!$D$114)^((AH$16-AG$16)/365)</f>
        <v>0</v>
      </c>
      <c r="AI476" s="273">
        <f>AH476*(1+'2. GRI Pricing Inputs'!$D$114)^((AI$16-AH$16)/365)</f>
        <v>0</v>
      </c>
      <c r="AJ476" s="273">
        <f>AI476*(1+'2. GRI Pricing Inputs'!$D$114)^((AJ$16-AI$16)/365)</f>
        <v>0</v>
      </c>
      <c r="AK476" s="273">
        <f>AJ476*(1+'2. GRI Pricing Inputs'!$D$114)^((AK$16-AJ$16)/365)</f>
        <v>0</v>
      </c>
      <c r="AL476" s="273">
        <f>AK476*(1+'2. GRI Pricing Inputs'!$D$114)^((AL$16-AK$16)/365)</f>
        <v>0</v>
      </c>
      <c r="AM476" s="273">
        <f>AL476*(1+'2. GRI Pricing Inputs'!$D$114)^((AM$16-AL$16)/365)</f>
        <v>0</v>
      </c>
      <c r="AN476" s="273">
        <f>AM476*(1+'2. GRI Pricing Inputs'!$D$114)^((AN$16-AM$16)/365)</f>
        <v>0</v>
      </c>
      <c r="AO476" s="273">
        <f>AN476*(1+'2. GRI Pricing Inputs'!$D$114)^((AO$16-AN$16)/365)</f>
        <v>0</v>
      </c>
    </row>
    <row r="477" spans="3:41" ht="12" x14ac:dyDescent="0.2">
      <c r="C477" s="76">
        <f>'1. Accomodation'!N481</f>
        <v>0</v>
      </c>
      <c r="D477" s="69">
        <f>'1. Accomodation'!P481</f>
        <v>0</v>
      </c>
      <c r="E477" s="69">
        <f>'1. Accomodation'!Q481</f>
        <v>0</v>
      </c>
      <c r="F477" s="77">
        <f>'1. Accomodation'!O481</f>
        <v>0</v>
      </c>
      <c r="G477" s="69">
        <f>'1. Accomodation'!R481</f>
        <v>0</v>
      </c>
      <c r="H477" s="69">
        <f>'1. Accomodation'!S481</f>
        <v>0</v>
      </c>
      <c r="I477" s="62"/>
      <c r="K477" s="272">
        <f>IFERROR(INDEX('2. GRI Pricing Inputs'!$C$15:$AI$16,MATCH($K$16,'2. GRI Pricing Inputs'!$C$15:$C$16,0),MATCH(D477,'2. GRI Pricing Inputs'!$C$15:$AI$15,0)),0)</f>
        <v>0</v>
      </c>
      <c r="L477" s="273">
        <f>IFERROR(INDEX('2. GRI Pricing Inputs'!$C$22:$AI$23,MATCH($L$16,'2. GRI Pricing Inputs'!$C$22:$C$23,0),MATCH(E477,'2. GRI Pricing Inputs'!$C$22:$AI$22,0)),0)</f>
        <v>0</v>
      </c>
      <c r="M477" s="328">
        <f>IF(AND('3. GRI Pricing'!$F477&gt;='2. GRI Pricing Inputs'!$D$33,'3. GRI Pricing'!$F477&lt;='2. GRI Pricing Inputs'!$E$33),'2. GRI Pricing Inputs'!$D$32,IF(AND('3. GRI Pricing'!$F477&gt;='2. GRI Pricing Inputs'!$F$33,'3. GRI Pricing'!$F477&lt;='2. GRI Pricing Inputs'!$G$33),'2. GRI Pricing Inputs'!$F$32,IF(AND('3. GRI Pricing'!$F477&gt;='2. GRI Pricing Inputs'!$H$33,'3. GRI Pricing'!$F477&lt;='2. GRI Pricing Inputs'!$I$33),'2. GRI Pricing Inputs'!$H$32,IF(AND('3. GRI Pricing'!$F477&gt;='2. GRI Pricing Inputs'!$J$33,'3. GRI Pricing'!$F477&lt;='2. GRI Pricing Inputs'!$K$33),'2. GRI Pricing Inputs'!$J$32,IF(AND('3. GRI Pricing'!$F477&gt;='2. GRI Pricing Inputs'!$L$33,'3. GRI Pricing'!$F477&lt;='2. GRI Pricing Inputs'!$M$33),'2. GRI Pricing Inputs'!$L$32,IF(AND('3. GRI Pricing'!$F477&gt;='2. GRI Pricing Inputs'!$N$33,'3. GRI Pricing'!$F477&lt;='2. GRI Pricing Inputs'!$O$33),'2. GRI Pricing Inputs'!$N$32,IF(AND('3. GRI Pricing'!$F477&gt;='2. GRI Pricing Inputs'!$P$33,'3. GRI Pricing'!$F477&lt;='2. GRI Pricing Inputs'!$Q$33),'2. GRI Pricing Inputs'!$P$32,IF(AND('3. GRI Pricing'!$F477&gt;='2. GRI Pricing Inputs'!$R$33,'3. GRI Pricing'!$F477&lt;='2. GRI Pricing Inputs'!$S$33),'2. GRI Pricing Inputs'!$R$32,IF(AND('3. GRI Pricing'!$F477&gt;='2. GRI Pricing Inputs'!$T$33,'3. GRI Pricing'!$F477&lt;='2. GRI Pricing Inputs'!$U$33),'2. GRI Pricing Inputs'!$T$32,IF(AND('3. GRI Pricing'!$F477&gt;='2. GRI Pricing Inputs'!$V$33,'3. GRI Pricing'!$F477&lt;='2. GRI Pricing Inputs'!$W$33),'2. GRI Pricing Inputs'!$V$32,IF(AND('3. GRI Pricing'!$F477&gt;='2. GRI Pricing Inputs'!$X$33,'3. GRI Pricing'!$F477&lt;='2. GRI Pricing Inputs'!$Y$33),'2. GRI Pricing Inputs'!$X$32,IF(AND('3. GRI Pricing'!$F477&gt;='2. GRI Pricing Inputs'!$Z$33,'3. GRI Pricing'!$F477&lt;='2. GRI Pricing Inputs'!$AA$33),'2. GRI Pricing Inputs'!$Z$32,IF(AND('3. GRI Pricing'!$F477&gt;='2. GRI Pricing Inputs'!$AB$33,'3. GRI Pricing'!$F477&lt;='2. GRI Pricing Inputs'!$AC$33),'2. GRI Pricing Inputs'!$AB$32,IF(AND('3. GRI Pricing'!$F477&gt;='2. GRI Pricing Inputs'!$AD$33,'3. GRI Pricing'!$F477&lt;='2. GRI Pricing Inputs'!$AE$33),'2. GRI Pricing Inputs'!$AD$32,IF(AND('3. GRI Pricing'!$F477&gt;='2. GRI Pricing Inputs'!$AF$33,'3. GRI Pricing'!$F477&lt;='2. GRI Pricing Inputs'!$AG$33),'2. GRI Pricing Inputs'!$AF$32,IF(AND('3. GRI Pricing'!$F477&gt;='2. GRI Pricing Inputs'!$AH$33,'3. GRI Pricing'!$F477&lt;='2. GRI Pricing Inputs'!$AI$33),'2. GRI Pricing Inputs'!$AH$32,0))))))))))))))))</f>
        <v>0</v>
      </c>
      <c r="N477" s="273" cm="1">
        <f t="array" ref="N477">IFERROR(INDEX('2. GRI Pricing Inputs'!$C$32:$AI$39,MATCH('3. GRI Pricing'!D477,'2. GRI Pricing Inputs'!$C$32:$C$39,0),(MATCH('3. GRI Pricing'!M477,'2. GRI Pricing Inputs'!$D$32:$AI$32,0)+1)),0)</f>
        <v>0</v>
      </c>
      <c r="O477" s="273">
        <f>IFERROR(INDEX('2. GRI Pricing Inputs'!$C$45:$AI$46,MATCH($O$16,'2. GRI Pricing Inputs'!$C$45:$C$46,0),MATCH(G477,'2. GRI Pricing Inputs'!$C$45:$AI$45,0)),0)</f>
        <v>0</v>
      </c>
      <c r="P477" s="273">
        <f>IFERROR(INDEX('2. GRI Pricing Inputs'!$C$53:$AI$54,MATCH('3. GRI Pricing'!$P$16,'2. GRI Pricing Inputs'!$C$53:$C$54,0),MATCH('3. GRI Pricing'!H477,'2. GRI Pricing Inputs'!$C$53:$AI$53,0)),0)</f>
        <v>0</v>
      </c>
      <c r="Q477" s="273">
        <f>IFERROR(INDEX('2. GRI Pricing Inputs'!$C$60:$AI$61,MATCH('3. GRI Pricing'!$Q$16,'2. GRI Pricing Inputs'!$C$60:$C$61,0),MATCH('1. Accomodation'!T481,'2. GRI Pricing Inputs'!$C$60:$AI$60,0)),0)</f>
        <v>0</v>
      </c>
      <c r="R477" s="273">
        <f>IFERROR(INDEX('2. GRI Pricing Inputs'!$C$67:$AI$68,MATCH('3. GRI Pricing'!$R$16,'2. GRI Pricing Inputs'!$C$67:$C$68,0),MATCH('1. Accomodation'!U481,'2. GRI Pricing Inputs'!$C$67:$AI$67,0)),0)</f>
        <v>0</v>
      </c>
      <c r="S477" s="273">
        <f>IF(D477=0,0,'2. GRI Pricing Inputs'!$AI$75)</f>
        <v>0</v>
      </c>
      <c r="T477" s="273">
        <f>IFERROR(INDEX('2. GRI Pricing Inputs'!$C$82:$AI$83,MATCH('3. GRI Pricing'!$T$16,'2. GRI Pricing Inputs'!$C$82:$C$83,0),MATCH('1. Accomodation'!V481,'2. GRI Pricing Inputs'!$C$82:$AI$82,0)),0)</f>
        <v>0</v>
      </c>
      <c r="U477" s="273">
        <f>IFERROR(INDEX('2. GRI Pricing Inputs'!$C$89:$AI$90,MATCH('3. GRI Pricing'!$U$16,'2. GRI Pricing Inputs'!$C$89:$C$90,0),MATCH('1. Accomodation'!W481,'2. GRI Pricing Inputs'!$C$89:$AI$89,0)),0)</f>
        <v>0</v>
      </c>
      <c r="V477" s="273">
        <f>IFERROR(INDEX('2. GRI Pricing Inputs'!$C$97:$AI$98,MATCH('3. GRI Pricing'!$V$16,'2. GRI Pricing Inputs'!$C$97:$C$98,0),MATCH('1. Accomodation'!X481,'2. GRI Pricing Inputs'!$C$97:$AI$97,0)),0)</f>
        <v>0</v>
      </c>
      <c r="W477" s="273">
        <f>IFERROR(INDEX('2. GRI Pricing Inputs'!$C$104:$AI$105,MATCH('3. GRI Pricing'!$W$16,'2. GRI Pricing Inputs'!$C$104:$C$105,0),MATCH('1. Accomodation'!Y481,'2. GRI Pricing Inputs'!$C$104:$AI$104,0)),0)</f>
        <v>0</v>
      </c>
      <c r="X477" s="274"/>
      <c r="Y477" s="275">
        <f t="shared" si="14"/>
        <v>0</v>
      </c>
      <c r="Z477" s="276"/>
      <c r="AA477" s="276"/>
      <c r="AB477" s="276"/>
      <c r="AC477" s="272">
        <f>Y477*(1+'2. GRI Pricing Inputs'!$D$114)^(($AC$16-$AB$15)/365)</f>
        <v>0</v>
      </c>
      <c r="AD477" s="273">
        <f>AC477*(1+'2. GRI Pricing Inputs'!$D$114)^((AD$16-AC$16)/365)</f>
        <v>0</v>
      </c>
      <c r="AE477" s="273">
        <f>AD477*(1+'2. GRI Pricing Inputs'!$D$114)^((AE$16-AD$16)/365)</f>
        <v>0</v>
      </c>
      <c r="AF477" s="273">
        <f>AE477*(1+'2. GRI Pricing Inputs'!$D$114)^((AF$16-AE$16)/365)</f>
        <v>0</v>
      </c>
      <c r="AG477" s="273">
        <f>AF477*(1+'2. GRI Pricing Inputs'!$D$114)^((AG$16-AF$16)/365)</f>
        <v>0</v>
      </c>
      <c r="AH477" s="273">
        <f>AG477*(1+'2. GRI Pricing Inputs'!$D$114)^((AH$16-AG$16)/365)</f>
        <v>0</v>
      </c>
      <c r="AI477" s="273">
        <f>AH477*(1+'2. GRI Pricing Inputs'!$D$114)^((AI$16-AH$16)/365)</f>
        <v>0</v>
      </c>
      <c r="AJ477" s="273">
        <f>AI477*(1+'2. GRI Pricing Inputs'!$D$114)^((AJ$16-AI$16)/365)</f>
        <v>0</v>
      </c>
      <c r="AK477" s="273">
        <f>AJ477*(1+'2. GRI Pricing Inputs'!$D$114)^((AK$16-AJ$16)/365)</f>
        <v>0</v>
      </c>
      <c r="AL477" s="273">
        <f>AK477*(1+'2. GRI Pricing Inputs'!$D$114)^((AL$16-AK$16)/365)</f>
        <v>0</v>
      </c>
      <c r="AM477" s="273">
        <f>AL477*(1+'2. GRI Pricing Inputs'!$D$114)^((AM$16-AL$16)/365)</f>
        <v>0</v>
      </c>
      <c r="AN477" s="273">
        <f>AM477*(1+'2. GRI Pricing Inputs'!$D$114)^((AN$16-AM$16)/365)</f>
        <v>0</v>
      </c>
      <c r="AO477" s="273">
        <f>AN477*(1+'2. GRI Pricing Inputs'!$D$114)^((AO$16-AN$16)/365)</f>
        <v>0</v>
      </c>
    </row>
    <row r="478" spans="3:41" ht="12" x14ac:dyDescent="0.2">
      <c r="C478" s="76">
        <f>'1. Accomodation'!N482</f>
        <v>0</v>
      </c>
      <c r="D478" s="69">
        <f>'1. Accomodation'!P482</f>
        <v>0</v>
      </c>
      <c r="E478" s="69">
        <f>'1. Accomodation'!Q482</f>
        <v>0</v>
      </c>
      <c r="F478" s="77">
        <f>'1. Accomodation'!O482</f>
        <v>0</v>
      </c>
      <c r="G478" s="69">
        <f>'1. Accomodation'!R482</f>
        <v>0</v>
      </c>
      <c r="H478" s="69">
        <f>'1. Accomodation'!S482</f>
        <v>0</v>
      </c>
      <c r="I478" s="62"/>
      <c r="K478" s="272">
        <f>IFERROR(INDEX('2. GRI Pricing Inputs'!$C$15:$AI$16,MATCH($K$16,'2. GRI Pricing Inputs'!$C$15:$C$16,0),MATCH(D478,'2. GRI Pricing Inputs'!$C$15:$AI$15,0)),0)</f>
        <v>0</v>
      </c>
      <c r="L478" s="273">
        <f>IFERROR(INDEX('2. GRI Pricing Inputs'!$C$22:$AI$23,MATCH($L$16,'2. GRI Pricing Inputs'!$C$22:$C$23,0),MATCH(E478,'2. GRI Pricing Inputs'!$C$22:$AI$22,0)),0)</f>
        <v>0</v>
      </c>
      <c r="M478" s="328">
        <f>IF(AND('3. GRI Pricing'!$F478&gt;='2. GRI Pricing Inputs'!$D$33,'3. GRI Pricing'!$F478&lt;='2. GRI Pricing Inputs'!$E$33),'2. GRI Pricing Inputs'!$D$32,IF(AND('3. GRI Pricing'!$F478&gt;='2. GRI Pricing Inputs'!$F$33,'3. GRI Pricing'!$F478&lt;='2. GRI Pricing Inputs'!$G$33),'2. GRI Pricing Inputs'!$F$32,IF(AND('3. GRI Pricing'!$F478&gt;='2. GRI Pricing Inputs'!$H$33,'3. GRI Pricing'!$F478&lt;='2. GRI Pricing Inputs'!$I$33),'2. GRI Pricing Inputs'!$H$32,IF(AND('3. GRI Pricing'!$F478&gt;='2. GRI Pricing Inputs'!$J$33,'3. GRI Pricing'!$F478&lt;='2. GRI Pricing Inputs'!$K$33),'2. GRI Pricing Inputs'!$J$32,IF(AND('3. GRI Pricing'!$F478&gt;='2. GRI Pricing Inputs'!$L$33,'3. GRI Pricing'!$F478&lt;='2. GRI Pricing Inputs'!$M$33),'2. GRI Pricing Inputs'!$L$32,IF(AND('3. GRI Pricing'!$F478&gt;='2. GRI Pricing Inputs'!$N$33,'3. GRI Pricing'!$F478&lt;='2. GRI Pricing Inputs'!$O$33),'2. GRI Pricing Inputs'!$N$32,IF(AND('3. GRI Pricing'!$F478&gt;='2. GRI Pricing Inputs'!$P$33,'3. GRI Pricing'!$F478&lt;='2. GRI Pricing Inputs'!$Q$33),'2. GRI Pricing Inputs'!$P$32,IF(AND('3. GRI Pricing'!$F478&gt;='2. GRI Pricing Inputs'!$R$33,'3. GRI Pricing'!$F478&lt;='2. GRI Pricing Inputs'!$S$33),'2. GRI Pricing Inputs'!$R$32,IF(AND('3. GRI Pricing'!$F478&gt;='2. GRI Pricing Inputs'!$T$33,'3. GRI Pricing'!$F478&lt;='2. GRI Pricing Inputs'!$U$33),'2. GRI Pricing Inputs'!$T$32,IF(AND('3. GRI Pricing'!$F478&gt;='2. GRI Pricing Inputs'!$V$33,'3. GRI Pricing'!$F478&lt;='2. GRI Pricing Inputs'!$W$33),'2. GRI Pricing Inputs'!$V$32,IF(AND('3. GRI Pricing'!$F478&gt;='2. GRI Pricing Inputs'!$X$33,'3. GRI Pricing'!$F478&lt;='2. GRI Pricing Inputs'!$Y$33),'2. GRI Pricing Inputs'!$X$32,IF(AND('3. GRI Pricing'!$F478&gt;='2. GRI Pricing Inputs'!$Z$33,'3. GRI Pricing'!$F478&lt;='2. GRI Pricing Inputs'!$AA$33),'2. GRI Pricing Inputs'!$Z$32,IF(AND('3. GRI Pricing'!$F478&gt;='2. GRI Pricing Inputs'!$AB$33,'3. GRI Pricing'!$F478&lt;='2. GRI Pricing Inputs'!$AC$33),'2. GRI Pricing Inputs'!$AB$32,IF(AND('3. GRI Pricing'!$F478&gt;='2. GRI Pricing Inputs'!$AD$33,'3. GRI Pricing'!$F478&lt;='2. GRI Pricing Inputs'!$AE$33),'2. GRI Pricing Inputs'!$AD$32,IF(AND('3. GRI Pricing'!$F478&gt;='2. GRI Pricing Inputs'!$AF$33,'3. GRI Pricing'!$F478&lt;='2. GRI Pricing Inputs'!$AG$33),'2. GRI Pricing Inputs'!$AF$32,IF(AND('3. GRI Pricing'!$F478&gt;='2. GRI Pricing Inputs'!$AH$33,'3. GRI Pricing'!$F478&lt;='2. GRI Pricing Inputs'!$AI$33),'2. GRI Pricing Inputs'!$AH$32,0))))))))))))))))</f>
        <v>0</v>
      </c>
      <c r="N478" s="273" cm="1">
        <f t="array" ref="N478">IFERROR(INDEX('2. GRI Pricing Inputs'!$C$32:$AI$39,MATCH('3. GRI Pricing'!D478,'2. GRI Pricing Inputs'!$C$32:$C$39,0),(MATCH('3. GRI Pricing'!M478,'2. GRI Pricing Inputs'!$D$32:$AI$32,0)+1)),0)</f>
        <v>0</v>
      </c>
      <c r="O478" s="273">
        <f>IFERROR(INDEX('2. GRI Pricing Inputs'!$C$45:$AI$46,MATCH($O$16,'2. GRI Pricing Inputs'!$C$45:$C$46,0),MATCH(G478,'2. GRI Pricing Inputs'!$C$45:$AI$45,0)),0)</f>
        <v>0</v>
      </c>
      <c r="P478" s="273">
        <f>IFERROR(INDEX('2. GRI Pricing Inputs'!$C$53:$AI$54,MATCH('3. GRI Pricing'!$P$16,'2. GRI Pricing Inputs'!$C$53:$C$54,0),MATCH('3. GRI Pricing'!H478,'2. GRI Pricing Inputs'!$C$53:$AI$53,0)),0)</f>
        <v>0</v>
      </c>
      <c r="Q478" s="273">
        <f>IFERROR(INDEX('2. GRI Pricing Inputs'!$C$60:$AI$61,MATCH('3. GRI Pricing'!$Q$16,'2. GRI Pricing Inputs'!$C$60:$C$61,0),MATCH('1. Accomodation'!T482,'2. GRI Pricing Inputs'!$C$60:$AI$60,0)),0)</f>
        <v>0</v>
      </c>
      <c r="R478" s="273">
        <f>IFERROR(INDEX('2. GRI Pricing Inputs'!$C$67:$AI$68,MATCH('3. GRI Pricing'!$R$16,'2. GRI Pricing Inputs'!$C$67:$C$68,0),MATCH('1. Accomodation'!U482,'2. GRI Pricing Inputs'!$C$67:$AI$67,0)),0)</f>
        <v>0</v>
      </c>
      <c r="S478" s="273">
        <f>IF(D478=0,0,'2. GRI Pricing Inputs'!$AI$75)</f>
        <v>0</v>
      </c>
      <c r="T478" s="273">
        <f>IFERROR(INDEX('2. GRI Pricing Inputs'!$C$82:$AI$83,MATCH('3. GRI Pricing'!$T$16,'2. GRI Pricing Inputs'!$C$82:$C$83,0),MATCH('1. Accomodation'!V482,'2. GRI Pricing Inputs'!$C$82:$AI$82,0)),0)</f>
        <v>0</v>
      </c>
      <c r="U478" s="273">
        <f>IFERROR(INDEX('2. GRI Pricing Inputs'!$C$89:$AI$90,MATCH('3. GRI Pricing'!$U$16,'2. GRI Pricing Inputs'!$C$89:$C$90,0),MATCH('1. Accomodation'!W482,'2. GRI Pricing Inputs'!$C$89:$AI$89,0)),0)</f>
        <v>0</v>
      </c>
      <c r="V478" s="273">
        <f>IFERROR(INDEX('2. GRI Pricing Inputs'!$C$97:$AI$98,MATCH('3. GRI Pricing'!$V$16,'2. GRI Pricing Inputs'!$C$97:$C$98,0),MATCH('1. Accomodation'!X482,'2. GRI Pricing Inputs'!$C$97:$AI$97,0)),0)</f>
        <v>0</v>
      </c>
      <c r="W478" s="273">
        <f>IFERROR(INDEX('2. GRI Pricing Inputs'!$C$104:$AI$105,MATCH('3. GRI Pricing'!$W$16,'2. GRI Pricing Inputs'!$C$104:$C$105,0),MATCH('1. Accomodation'!Y482,'2. GRI Pricing Inputs'!$C$104:$AI$104,0)),0)</f>
        <v>0</v>
      </c>
      <c r="X478" s="274"/>
      <c r="Y478" s="275">
        <f t="shared" si="14"/>
        <v>0</v>
      </c>
      <c r="Z478" s="276"/>
      <c r="AA478" s="276"/>
      <c r="AB478" s="276"/>
      <c r="AC478" s="272">
        <f>Y478*(1+'2. GRI Pricing Inputs'!$D$114)^(($AC$16-$AB$15)/365)</f>
        <v>0</v>
      </c>
      <c r="AD478" s="273">
        <f>AC478*(1+'2. GRI Pricing Inputs'!$D$114)^((AD$16-AC$16)/365)</f>
        <v>0</v>
      </c>
      <c r="AE478" s="273">
        <f>AD478*(1+'2. GRI Pricing Inputs'!$D$114)^((AE$16-AD$16)/365)</f>
        <v>0</v>
      </c>
      <c r="AF478" s="273">
        <f>AE478*(1+'2. GRI Pricing Inputs'!$D$114)^((AF$16-AE$16)/365)</f>
        <v>0</v>
      </c>
      <c r="AG478" s="273">
        <f>AF478*(1+'2. GRI Pricing Inputs'!$D$114)^((AG$16-AF$16)/365)</f>
        <v>0</v>
      </c>
      <c r="AH478" s="273">
        <f>AG478*(1+'2. GRI Pricing Inputs'!$D$114)^((AH$16-AG$16)/365)</f>
        <v>0</v>
      </c>
      <c r="AI478" s="273">
        <f>AH478*(1+'2. GRI Pricing Inputs'!$D$114)^((AI$16-AH$16)/365)</f>
        <v>0</v>
      </c>
      <c r="AJ478" s="273">
        <f>AI478*(1+'2. GRI Pricing Inputs'!$D$114)^((AJ$16-AI$16)/365)</f>
        <v>0</v>
      </c>
      <c r="AK478" s="273">
        <f>AJ478*(1+'2. GRI Pricing Inputs'!$D$114)^((AK$16-AJ$16)/365)</f>
        <v>0</v>
      </c>
      <c r="AL478" s="273">
        <f>AK478*(1+'2. GRI Pricing Inputs'!$D$114)^((AL$16-AK$16)/365)</f>
        <v>0</v>
      </c>
      <c r="AM478" s="273">
        <f>AL478*(1+'2. GRI Pricing Inputs'!$D$114)^((AM$16-AL$16)/365)</f>
        <v>0</v>
      </c>
      <c r="AN478" s="273">
        <f>AM478*(1+'2. GRI Pricing Inputs'!$D$114)^((AN$16-AM$16)/365)</f>
        <v>0</v>
      </c>
      <c r="AO478" s="273">
        <f>AN478*(1+'2. GRI Pricing Inputs'!$D$114)^((AO$16-AN$16)/365)</f>
        <v>0</v>
      </c>
    </row>
    <row r="479" spans="3:41" ht="12" x14ac:dyDescent="0.2">
      <c r="C479" s="76">
        <f>'1. Accomodation'!N483</f>
        <v>0</v>
      </c>
      <c r="D479" s="69">
        <f>'1. Accomodation'!P483</f>
        <v>0</v>
      </c>
      <c r="E479" s="69">
        <f>'1. Accomodation'!Q483</f>
        <v>0</v>
      </c>
      <c r="F479" s="77">
        <f>'1. Accomodation'!O483</f>
        <v>0</v>
      </c>
      <c r="G479" s="69">
        <f>'1. Accomodation'!R483</f>
        <v>0</v>
      </c>
      <c r="H479" s="69">
        <f>'1. Accomodation'!S483</f>
        <v>0</v>
      </c>
      <c r="I479" s="62"/>
      <c r="K479" s="272">
        <f>IFERROR(INDEX('2. GRI Pricing Inputs'!$C$15:$AI$16,MATCH($K$16,'2. GRI Pricing Inputs'!$C$15:$C$16,0),MATCH(D479,'2. GRI Pricing Inputs'!$C$15:$AI$15,0)),0)</f>
        <v>0</v>
      </c>
      <c r="L479" s="273">
        <f>IFERROR(INDEX('2. GRI Pricing Inputs'!$C$22:$AI$23,MATCH($L$16,'2. GRI Pricing Inputs'!$C$22:$C$23,0),MATCH(E479,'2. GRI Pricing Inputs'!$C$22:$AI$22,0)),0)</f>
        <v>0</v>
      </c>
      <c r="M479" s="328">
        <f>IF(AND('3. GRI Pricing'!$F479&gt;='2. GRI Pricing Inputs'!$D$33,'3. GRI Pricing'!$F479&lt;='2. GRI Pricing Inputs'!$E$33),'2. GRI Pricing Inputs'!$D$32,IF(AND('3. GRI Pricing'!$F479&gt;='2. GRI Pricing Inputs'!$F$33,'3. GRI Pricing'!$F479&lt;='2. GRI Pricing Inputs'!$G$33),'2. GRI Pricing Inputs'!$F$32,IF(AND('3. GRI Pricing'!$F479&gt;='2. GRI Pricing Inputs'!$H$33,'3. GRI Pricing'!$F479&lt;='2. GRI Pricing Inputs'!$I$33),'2. GRI Pricing Inputs'!$H$32,IF(AND('3. GRI Pricing'!$F479&gt;='2. GRI Pricing Inputs'!$J$33,'3. GRI Pricing'!$F479&lt;='2. GRI Pricing Inputs'!$K$33),'2. GRI Pricing Inputs'!$J$32,IF(AND('3. GRI Pricing'!$F479&gt;='2. GRI Pricing Inputs'!$L$33,'3. GRI Pricing'!$F479&lt;='2. GRI Pricing Inputs'!$M$33),'2. GRI Pricing Inputs'!$L$32,IF(AND('3. GRI Pricing'!$F479&gt;='2. GRI Pricing Inputs'!$N$33,'3. GRI Pricing'!$F479&lt;='2. GRI Pricing Inputs'!$O$33),'2. GRI Pricing Inputs'!$N$32,IF(AND('3. GRI Pricing'!$F479&gt;='2. GRI Pricing Inputs'!$P$33,'3. GRI Pricing'!$F479&lt;='2. GRI Pricing Inputs'!$Q$33),'2. GRI Pricing Inputs'!$P$32,IF(AND('3. GRI Pricing'!$F479&gt;='2. GRI Pricing Inputs'!$R$33,'3. GRI Pricing'!$F479&lt;='2. GRI Pricing Inputs'!$S$33),'2. GRI Pricing Inputs'!$R$32,IF(AND('3. GRI Pricing'!$F479&gt;='2. GRI Pricing Inputs'!$T$33,'3. GRI Pricing'!$F479&lt;='2. GRI Pricing Inputs'!$U$33),'2. GRI Pricing Inputs'!$T$32,IF(AND('3. GRI Pricing'!$F479&gt;='2. GRI Pricing Inputs'!$V$33,'3. GRI Pricing'!$F479&lt;='2. GRI Pricing Inputs'!$W$33),'2. GRI Pricing Inputs'!$V$32,IF(AND('3. GRI Pricing'!$F479&gt;='2. GRI Pricing Inputs'!$X$33,'3. GRI Pricing'!$F479&lt;='2. GRI Pricing Inputs'!$Y$33),'2. GRI Pricing Inputs'!$X$32,IF(AND('3. GRI Pricing'!$F479&gt;='2. GRI Pricing Inputs'!$Z$33,'3. GRI Pricing'!$F479&lt;='2. GRI Pricing Inputs'!$AA$33),'2. GRI Pricing Inputs'!$Z$32,IF(AND('3. GRI Pricing'!$F479&gt;='2. GRI Pricing Inputs'!$AB$33,'3. GRI Pricing'!$F479&lt;='2. GRI Pricing Inputs'!$AC$33),'2. GRI Pricing Inputs'!$AB$32,IF(AND('3. GRI Pricing'!$F479&gt;='2. GRI Pricing Inputs'!$AD$33,'3. GRI Pricing'!$F479&lt;='2. GRI Pricing Inputs'!$AE$33),'2. GRI Pricing Inputs'!$AD$32,IF(AND('3. GRI Pricing'!$F479&gt;='2. GRI Pricing Inputs'!$AF$33,'3. GRI Pricing'!$F479&lt;='2. GRI Pricing Inputs'!$AG$33),'2. GRI Pricing Inputs'!$AF$32,IF(AND('3. GRI Pricing'!$F479&gt;='2. GRI Pricing Inputs'!$AH$33,'3. GRI Pricing'!$F479&lt;='2. GRI Pricing Inputs'!$AI$33),'2. GRI Pricing Inputs'!$AH$32,0))))))))))))))))</f>
        <v>0</v>
      </c>
      <c r="N479" s="273" cm="1">
        <f t="array" ref="N479">IFERROR(INDEX('2. GRI Pricing Inputs'!$C$32:$AI$39,MATCH('3. GRI Pricing'!D479,'2. GRI Pricing Inputs'!$C$32:$C$39,0),(MATCH('3. GRI Pricing'!M479,'2. GRI Pricing Inputs'!$D$32:$AI$32,0)+1)),0)</f>
        <v>0</v>
      </c>
      <c r="O479" s="273">
        <f>IFERROR(INDEX('2. GRI Pricing Inputs'!$C$45:$AI$46,MATCH($O$16,'2. GRI Pricing Inputs'!$C$45:$C$46,0),MATCH(G479,'2. GRI Pricing Inputs'!$C$45:$AI$45,0)),0)</f>
        <v>0</v>
      </c>
      <c r="P479" s="273">
        <f>IFERROR(INDEX('2. GRI Pricing Inputs'!$C$53:$AI$54,MATCH('3. GRI Pricing'!$P$16,'2. GRI Pricing Inputs'!$C$53:$C$54,0),MATCH('3. GRI Pricing'!H479,'2. GRI Pricing Inputs'!$C$53:$AI$53,0)),0)</f>
        <v>0</v>
      </c>
      <c r="Q479" s="273">
        <f>IFERROR(INDEX('2. GRI Pricing Inputs'!$C$60:$AI$61,MATCH('3. GRI Pricing'!$Q$16,'2. GRI Pricing Inputs'!$C$60:$C$61,0),MATCH('1. Accomodation'!T483,'2. GRI Pricing Inputs'!$C$60:$AI$60,0)),0)</f>
        <v>0</v>
      </c>
      <c r="R479" s="273">
        <f>IFERROR(INDEX('2. GRI Pricing Inputs'!$C$67:$AI$68,MATCH('3. GRI Pricing'!$R$16,'2. GRI Pricing Inputs'!$C$67:$C$68,0),MATCH('1. Accomodation'!U483,'2. GRI Pricing Inputs'!$C$67:$AI$67,0)),0)</f>
        <v>0</v>
      </c>
      <c r="S479" s="273">
        <f>IF(D479=0,0,'2. GRI Pricing Inputs'!$AI$75)</f>
        <v>0</v>
      </c>
      <c r="T479" s="273">
        <f>IFERROR(INDEX('2. GRI Pricing Inputs'!$C$82:$AI$83,MATCH('3. GRI Pricing'!$T$16,'2. GRI Pricing Inputs'!$C$82:$C$83,0),MATCH('1. Accomodation'!V483,'2. GRI Pricing Inputs'!$C$82:$AI$82,0)),0)</f>
        <v>0</v>
      </c>
      <c r="U479" s="273">
        <f>IFERROR(INDEX('2. GRI Pricing Inputs'!$C$89:$AI$90,MATCH('3. GRI Pricing'!$U$16,'2. GRI Pricing Inputs'!$C$89:$C$90,0),MATCH('1. Accomodation'!W483,'2. GRI Pricing Inputs'!$C$89:$AI$89,0)),0)</f>
        <v>0</v>
      </c>
      <c r="V479" s="273">
        <f>IFERROR(INDEX('2. GRI Pricing Inputs'!$C$97:$AI$98,MATCH('3. GRI Pricing'!$V$16,'2. GRI Pricing Inputs'!$C$97:$C$98,0),MATCH('1. Accomodation'!X483,'2. GRI Pricing Inputs'!$C$97:$AI$97,0)),0)</f>
        <v>0</v>
      </c>
      <c r="W479" s="273">
        <f>IFERROR(INDEX('2. GRI Pricing Inputs'!$C$104:$AI$105,MATCH('3. GRI Pricing'!$W$16,'2. GRI Pricing Inputs'!$C$104:$C$105,0),MATCH('1. Accomodation'!Y483,'2. GRI Pricing Inputs'!$C$104:$AI$104,0)),0)</f>
        <v>0</v>
      </c>
      <c r="X479" s="274"/>
      <c r="Y479" s="275">
        <f t="shared" si="14"/>
        <v>0</v>
      </c>
      <c r="Z479" s="276"/>
      <c r="AA479" s="276"/>
      <c r="AB479" s="276"/>
      <c r="AC479" s="272">
        <f>Y479*(1+'2. GRI Pricing Inputs'!$D$114)^(($AC$16-$AB$15)/365)</f>
        <v>0</v>
      </c>
      <c r="AD479" s="273">
        <f>AC479*(1+'2. GRI Pricing Inputs'!$D$114)^((AD$16-AC$16)/365)</f>
        <v>0</v>
      </c>
      <c r="AE479" s="273">
        <f>AD479*(1+'2. GRI Pricing Inputs'!$D$114)^((AE$16-AD$16)/365)</f>
        <v>0</v>
      </c>
      <c r="AF479" s="273">
        <f>AE479*(1+'2. GRI Pricing Inputs'!$D$114)^((AF$16-AE$16)/365)</f>
        <v>0</v>
      </c>
      <c r="AG479" s="273">
        <f>AF479*(1+'2. GRI Pricing Inputs'!$D$114)^((AG$16-AF$16)/365)</f>
        <v>0</v>
      </c>
      <c r="AH479" s="273">
        <f>AG479*(1+'2. GRI Pricing Inputs'!$D$114)^((AH$16-AG$16)/365)</f>
        <v>0</v>
      </c>
      <c r="AI479" s="273">
        <f>AH479*(1+'2. GRI Pricing Inputs'!$D$114)^((AI$16-AH$16)/365)</f>
        <v>0</v>
      </c>
      <c r="AJ479" s="273">
        <f>AI479*(1+'2. GRI Pricing Inputs'!$D$114)^((AJ$16-AI$16)/365)</f>
        <v>0</v>
      </c>
      <c r="AK479" s="273">
        <f>AJ479*(1+'2. GRI Pricing Inputs'!$D$114)^((AK$16-AJ$16)/365)</f>
        <v>0</v>
      </c>
      <c r="AL479" s="273">
        <f>AK479*(1+'2. GRI Pricing Inputs'!$D$114)^((AL$16-AK$16)/365)</f>
        <v>0</v>
      </c>
      <c r="AM479" s="273">
        <f>AL479*(1+'2. GRI Pricing Inputs'!$D$114)^((AM$16-AL$16)/365)</f>
        <v>0</v>
      </c>
      <c r="AN479" s="273">
        <f>AM479*(1+'2. GRI Pricing Inputs'!$D$114)^((AN$16-AM$16)/365)</f>
        <v>0</v>
      </c>
      <c r="AO479" s="273">
        <f>AN479*(1+'2. GRI Pricing Inputs'!$D$114)^((AO$16-AN$16)/365)</f>
        <v>0</v>
      </c>
    </row>
    <row r="480" spans="3:41" ht="12" x14ac:dyDescent="0.2">
      <c r="C480" s="76">
        <f>'1. Accomodation'!N484</f>
        <v>0</v>
      </c>
      <c r="D480" s="69">
        <f>'1. Accomodation'!P484</f>
        <v>0</v>
      </c>
      <c r="E480" s="69">
        <f>'1. Accomodation'!Q484</f>
        <v>0</v>
      </c>
      <c r="F480" s="77">
        <f>'1. Accomodation'!O484</f>
        <v>0</v>
      </c>
      <c r="G480" s="69">
        <f>'1. Accomodation'!R484</f>
        <v>0</v>
      </c>
      <c r="H480" s="69">
        <f>'1. Accomodation'!S484</f>
        <v>0</v>
      </c>
      <c r="I480" s="62"/>
      <c r="K480" s="272">
        <f>IFERROR(INDEX('2. GRI Pricing Inputs'!$C$15:$AI$16,MATCH($K$16,'2. GRI Pricing Inputs'!$C$15:$C$16,0),MATCH(D480,'2. GRI Pricing Inputs'!$C$15:$AI$15,0)),0)</f>
        <v>0</v>
      </c>
      <c r="L480" s="273">
        <f>IFERROR(INDEX('2. GRI Pricing Inputs'!$C$22:$AI$23,MATCH($L$16,'2. GRI Pricing Inputs'!$C$22:$C$23,0),MATCH(E480,'2. GRI Pricing Inputs'!$C$22:$AI$22,0)),0)</f>
        <v>0</v>
      </c>
      <c r="M480" s="328">
        <f>IF(AND('3. GRI Pricing'!$F480&gt;='2. GRI Pricing Inputs'!$D$33,'3. GRI Pricing'!$F480&lt;='2. GRI Pricing Inputs'!$E$33),'2. GRI Pricing Inputs'!$D$32,IF(AND('3. GRI Pricing'!$F480&gt;='2. GRI Pricing Inputs'!$F$33,'3. GRI Pricing'!$F480&lt;='2. GRI Pricing Inputs'!$G$33),'2. GRI Pricing Inputs'!$F$32,IF(AND('3. GRI Pricing'!$F480&gt;='2. GRI Pricing Inputs'!$H$33,'3. GRI Pricing'!$F480&lt;='2. GRI Pricing Inputs'!$I$33),'2. GRI Pricing Inputs'!$H$32,IF(AND('3. GRI Pricing'!$F480&gt;='2. GRI Pricing Inputs'!$J$33,'3. GRI Pricing'!$F480&lt;='2. GRI Pricing Inputs'!$K$33),'2. GRI Pricing Inputs'!$J$32,IF(AND('3. GRI Pricing'!$F480&gt;='2. GRI Pricing Inputs'!$L$33,'3. GRI Pricing'!$F480&lt;='2. GRI Pricing Inputs'!$M$33),'2. GRI Pricing Inputs'!$L$32,IF(AND('3. GRI Pricing'!$F480&gt;='2. GRI Pricing Inputs'!$N$33,'3. GRI Pricing'!$F480&lt;='2. GRI Pricing Inputs'!$O$33),'2. GRI Pricing Inputs'!$N$32,IF(AND('3. GRI Pricing'!$F480&gt;='2. GRI Pricing Inputs'!$P$33,'3. GRI Pricing'!$F480&lt;='2. GRI Pricing Inputs'!$Q$33),'2. GRI Pricing Inputs'!$P$32,IF(AND('3. GRI Pricing'!$F480&gt;='2. GRI Pricing Inputs'!$R$33,'3. GRI Pricing'!$F480&lt;='2. GRI Pricing Inputs'!$S$33),'2. GRI Pricing Inputs'!$R$32,IF(AND('3. GRI Pricing'!$F480&gt;='2. GRI Pricing Inputs'!$T$33,'3. GRI Pricing'!$F480&lt;='2. GRI Pricing Inputs'!$U$33),'2. GRI Pricing Inputs'!$T$32,IF(AND('3. GRI Pricing'!$F480&gt;='2. GRI Pricing Inputs'!$V$33,'3. GRI Pricing'!$F480&lt;='2. GRI Pricing Inputs'!$W$33),'2. GRI Pricing Inputs'!$V$32,IF(AND('3. GRI Pricing'!$F480&gt;='2. GRI Pricing Inputs'!$X$33,'3. GRI Pricing'!$F480&lt;='2. GRI Pricing Inputs'!$Y$33),'2. GRI Pricing Inputs'!$X$32,IF(AND('3. GRI Pricing'!$F480&gt;='2. GRI Pricing Inputs'!$Z$33,'3. GRI Pricing'!$F480&lt;='2. GRI Pricing Inputs'!$AA$33),'2. GRI Pricing Inputs'!$Z$32,IF(AND('3. GRI Pricing'!$F480&gt;='2. GRI Pricing Inputs'!$AB$33,'3. GRI Pricing'!$F480&lt;='2. GRI Pricing Inputs'!$AC$33),'2. GRI Pricing Inputs'!$AB$32,IF(AND('3. GRI Pricing'!$F480&gt;='2. GRI Pricing Inputs'!$AD$33,'3. GRI Pricing'!$F480&lt;='2. GRI Pricing Inputs'!$AE$33),'2. GRI Pricing Inputs'!$AD$32,IF(AND('3. GRI Pricing'!$F480&gt;='2. GRI Pricing Inputs'!$AF$33,'3. GRI Pricing'!$F480&lt;='2. GRI Pricing Inputs'!$AG$33),'2. GRI Pricing Inputs'!$AF$32,IF(AND('3. GRI Pricing'!$F480&gt;='2. GRI Pricing Inputs'!$AH$33,'3. GRI Pricing'!$F480&lt;='2. GRI Pricing Inputs'!$AI$33),'2. GRI Pricing Inputs'!$AH$32,0))))))))))))))))</f>
        <v>0</v>
      </c>
      <c r="N480" s="273" cm="1">
        <f t="array" ref="N480">IFERROR(INDEX('2. GRI Pricing Inputs'!$C$32:$AI$39,MATCH('3. GRI Pricing'!D480,'2. GRI Pricing Inputs'!$C$32:$C$39,0),(MATCH('3. GRI Pricing'!M480,'2. GRI Pricing Inputs'!$D$32:$AI$32,0)+1)),0)</f>
        <v>0</v>
      </c>
      <c r="O480" s="273">
        <f>IFERROR(INDEX('2. GRI Pricing Inputs'!$C$45:$AI$46,MATCH($O$16,'2. GRI Pricing Inputs'!$C$45:$C$46,0),MATCH(G480,'2. GRI Pricing Inputs'!$C$45:$AI$45,0)),0)</f>
        <v>0</v>
      </c>
      <c r="P480" s="273">
        <f>IFERROR(INDEX('2. GRI Pricing Inputs'!$C$53:$AI$54,MATCH('3. GRI Pricing'!$P$16,'2. GRI Pricing Inputs'!$C$53:$C$54,0),MATCH('3. GRI Pricing'!H480,'2. GRI Pricing Inputs'!$C$53:$AI$53,0)),0)</f>
        <v>0</v>
      </c>
      <c r="Q480" s="273">
        <f>IFERROR(INDEX('2. GRI Pricing Inputs'!$C$60:$AI$61,MATCH('3. GRI Pricing'!$Q$16,'2. GRI Pricing Inputs'!$C$60:$C$61,0),MATCH('1. Accomodation'!T484,'2. GRI Pricing Inputs'!$C$60:$AI$60,0)),0)</f>
        <v>0</v>
      </c>
      <c r="R480" s="273">
        <f>IFERROR(INDEX('2. GRI Pricing Inputs'!$C$67:$AI$68,MATCH('3. GRI Pricing'!$R$16,'2. GRI Pricing Inputs'!$C$67:$C$68,0),MATCH('1. Accomodation'!U484,'2. GRI Pricing Inputs'!$C$67:$AI$67,0)),0)</f>
        <v>0</v>
      </c>
      <c r="S480" s="273">
        <f>IF(D480=0,0,'2. GRI Pricing Inputs'!$AI$75)</f>
        <v>0</v>
      </c>
      <c r="T480" s="273">
        <f>IFERROR(INDEX('2. GRI Pricing Inputs'!$C$82:$AI$83,MATCH('3. GRI Pricing'!$T$16,'2. GRI Pricing Inputs'!$C$82:$C$83,0),MATCH('1. Accomodation'!V484,'2. GRI Pricing Inputs'!$C$82:$AI$82,0)),0)</f>
        <v>0</v>
      </c>
      <c r="U480" s="273">
        <f>IFERROR(INDEX('2. GRI Pricing Inputs'!$C$89:$AI$90,MATCH('3. GRI Pricing'!$U$16,'2. GRI Pricing Inputs'!$C$89:$C$90,0),MATCH('1. Accomodation'!W484,'2. GRI Pricing Inputs'!$C$89:$AI$89,0)),0)</f>
        <v>0</v>
      </c>
      <c r="V480" s="273">
        <f>IFERROR(INDEX('2. GRI Pricing Inputs'!$C$97:$AI$98,MATCH('3. GRI Pricing'!$V$16,'2. GRI Pricing Inputs'!$C$97:$C$98,0),MATCH('1. Accomodation'!X484,'2. GRI Pricing Inputs'!$C$97:$AI$97,0)),0)</f>
        <v>0</v>
      </c>
      <c r="W480" s="273">
        <f>IFERROR(INDEX('2. GRI Pricing Inputs'!$C$104:$AI$105,MATCH('3. GRI Pricing'!$W$16,'2. GRI Pricing Inputs'!$C$104:$C$105,0),MATCH('1. Accomodation'!Y484,'2. GRI Pricing Inputs'!$C$104:$AI$104,0)),0)</f>
        <v>0</v>
      </c>
      <c r="X480" s="274"/>
      <c r="Y480" s="275">
        <f t="shared" si="14"/>
        <v>0</v>
      </c>
      <c r="Z480" s="276"/>
      <c r="AA480" s="276"/>
      <c r="AB480" s="276"/>
      <c r="AC480" s="272">
        <f>Y480*(1+'2. GRI Pricing Inputs'!$D$114)^(($AC$16-$AB$15)/365)</f>
        <v>0</v>
      </c>
      <c r="AD480" s="273">
        <f>AC480*(1+'2. GRI Pricing Inputs'!$D$114)^((AD$16-AC$16)/365)</f>
        <v>0</v>
      </c>
      <c r="AE480" s="273">
        <f>AD480*(1+'2. GRI Pricing Inputs'!$D$114)^((AE$16-AD$16)/365)</f>
        <v>0</v>
      </c>
      <c r="AF480" s="273">
        <f>AE480*(1+'2. GRI Pricing Inputs'!$D$114)^((AF$16-AE$16)/365)</f>
        <v>0</v>
      </c>
      <c r="AG480" s="273">
        <f>AF480*(1+'2. GRI Pricing Inputs'!$D$114)^((AG$16-AF$16)/365)</f>
        <v>0</v>
      </c>
      <c r="AH480" s="273">
        <f>AG480*(1+'2. GRI Pricing Inputs'!$D$114)^((AH$16-AG$16)/365)</f>
        <v>0</v>
      </c>
      <c r="AI480" s="273">
        <f>AH480*(1+'2. GRI Pricing Inputs'!$D$114)^((AI$16-AH$16)/365)</f>
        <v>0</v>
      </c>
      <c r="AJ480" s="273">
        <f>AI480*(1+'2. GRI Pricing Inputs'!$D$114)^((AJ$16-AI$16)/365)</f>
        <v>0</v>
      </c>
      <c r="AK480" s="273">
        <f>AJ480*(1+'2. GRI Pricing Inputs'!$D$114)^((AK$16-AJ$16)/365)</f>
        <v>0</v>
      </c>
      <c r="AL480" s="273">
        <f>AK480*(1+'2. GRI Pricing Inputs'!$D$114)^((AL$16-AK$16)/365)</f>
        <v>0</v>
      </c>
      <c r="AM480" s="273">
        <f>AL480*(1+'2. GRI Pricing Inputs'!$D$114)^((AM$16-AL$16)/365)</f>
        <v>0</v>
      </c>
      <c r="AN480" s="273">
        <f>AM480*(1+'2. GRI Pricing Inputs'!$D$114)^((AN$16-AM$16)/365)</f>
        <v>0</v>
      </c>
      <c r="AO480" s="273">
        <f>AN480*(1+'2. GRI Pricing Inputs'!$D$114)^((AO$16-AN$16)/365)</f>
        <v>0</v>
      </c>
    </row>
    <row r="481" spans="3:41" ht="12" x14ac:dyDescent="0.2">
      <c r="C481" s="76">
        <f>'1. Accomodation'!N485</f>
        <v>0</v>
      </c>
      <c r="D481" s="69">
        <f>'1. Accomodation'!P485</f>
        <v>0</v>
      </c>
      <c r="E481" s="69">
        <f>'1. Accomodation'!Q485</f>
        <v>0</v>
      </c>
      <c r="F481" s="77">
        <f>'1. Accomodation'!O485</f>
        <v>0</v>
      </c>
      <c r="G481" s="69">
        <f>'1. Accomodation'!R485</f>
        <v>0</v>
      </c>
      <c r="H481" s="69">
        <f>'1. Accomodation'!S485</f>
        <v>0</v>
      </c>
      <c r="I481" s="62"/>
      <c r="K481" s="272">
        <f>IFERROR(INDEX('2. GRI Pricing Inputs'!$C$15:$AI$16,MATCH($K$16,'2. GRI Pricing Inputs'!$C$15:$C$16,0),MATCH(D481,'2. GRI Pricing Inputs'!$C$15:$AI$15,0)),0)</f>
        <v>0</v>
      </c>
      <c r="L481" s="273">
        <f>IFERROR(INDEX('2. GRI Pricing Inputs'!$C$22:$AI$23,MATCH($L$16,'2. GRI Pricing Inputs'!$C$22:$C$23,0),MATCH(E481,'2. GRI Pricing Inputs'!$C$22:$AI$22,0)),0)</f>
        <v>0</v>
      </c>
      <c r="M481" s="328">
        <f>IF(AND('3. GRI Pricing'!$F481&gt;='2. GRI Pricing Inputs'!$D$33,'3. GRI Pricing'!$F481&lt;='2. GRI Pricing Inputs'!$E$33),'2. GRI Pricing Inputs'!$D$32,IF(AND('3. GRI Pricing'!$F481&gt;='2. GRI Pricing Inputs'!$F$33,'3. GRI Pricing'!$F481&lt;='2. GRI Pricing Inputs'!$G$33),'2. GRI Pricing Inputs'!$F$32,IF(AND('3. GRI Pricing'!$F481&gt;='2. GRI Pricing Inputs'!$H$33,'3. GRI Pricing'!$F481&lt;='2. GRI Pricing Inputs'!$I$33),'2. GRI Pricing Inputs'!$H$32,IF(AND('3. GRI Pricing'!$F481&gt;='2. GRI Pricing Inputs'!$J$33,'3. GRI Pricing'!$F481&lt;='2. GRI Pricing Inputs'!$K$33),'2. GRI Pricing Inputs'!$J$32,IF(AND('3. GRI Pricing'!$F481&gt;='2. GRI Pricing Inputs'!$L$33,'3. GRI Pricing'!$F481&lt;='2. GRI Pricing Inputs'!$M$33),'2. GRI Pricing Inputs'!$L$32,IF(AND('3. GRI Pricing'!$F481&gt;='2. GRI Pricing Inputs'!$N$33,'3. GRI Pricing'!$F481&lt;='2. GRI Pricing Inputs'!$O$33),'2. GRI Pricing Inputs'!$N$32,IF(AND('3. GRI Pricing'!$F481&gt;='2. GRI Pricing Inputs'!$P$33,'3. GRI Pricing'!$F481&lt;='2. GRI Pricing Inputs'!$Q$33),'2. GRI Pricing Inputs'!$P$32,IF(AND('3. GRI Pricing'!$F481&gt;='2. GRI Pricing Inputs'!$R$33,'3. GRI Pricing'!$F481&lt;='2. GRI Pricing Inputs'!$S$33),'2. GRI Pricing Inputs'!$R$32,IF(AND('3. GRI Pricing'!$F481&gt;='2. GRI Pricing Inputs'!$T$33,'3. GRI Pricing'!$F481&lt;='2. GRI Pricing Inputs'!$U$33),'2. GRI Pricing Inputs'!$T$32,IF(AND('3. GRI Pricing'!$F481&gt;='2. GRI Pricing Inputs'!$V$33,'3. GRI Pricing'!$F481&lt;='2. GRI Pricing Inputs'!$W$33),'2. GRI Pricing Inputs'!$V$32,IF(AND('3. GRI Pricing'!$F481&gt;='2. GRI Pricing Inputs'!$X$33,'3. GRI Pricing'!$F481&lt;='2. GRI Pricing Inputs'!$Y$33),'2. GRI Pricing Inputs'!$X$32,IF(AND('3. GRI Pricing'!$F481&gt;='2. GRI Pricing Inputs'!$Z$33,'3. GRI Pricing'!$F481&lt;='2. GRI Pricing Inputs'!$AA$33),'2. GRI Pricing Inputs'!$Z$32,IF(AND('3. GRI Pricing'!$F481&gt;='2. GRI Pricing Inputs'!$AB$33,'3. GRI Pricing'!$F481&lt;='2. GRI Pricing Inputs'!$AC$33),'2. GRI Pricing Inputs'!$AB$32,IF(AND('3. GRI Pricing'!$F481&gt;='2. GRI Pricing Inputs'!$AD$33,'3. GRI Pricing'!$F481&lt;='2. GRI Pricing Inputs'!$AE$33),'2. GRI Pricing Inputs'!$AD$32,IF(AND('3. GRI Pricing'!$F481&gt;='2. GRI Pricing Inputs'!$AF$33,'3. GRI Pricing'!$F481&lt;='2. GRI Pricing Inputs'!$AG$33),'2. GRI Pricing Inputs'!$AF$32,IF(AND('3. GRI Pricing'!$F481&gt;='2. GRI Pricing Inputs'!$AH$33,'3. GRI Pricing'!$F481&lt;='2. GRI Pricing Inputs'!$AI$33),'2. GRI Pricing Inputs'!$AH$32,0))))))))))))))))</f>
        <v>0</v>
      </c>
      <c r="N481" s="273" cm="1">
        <f t="array" ref="N481">IFERROR(INDEX('2. GRI Pricing Inputs'!$C$32:$AI$39,MATCH('3. GRI Pricing'!D481,'2. GRI Pricing Inputs'!$C$32:$C$39,0),(MATCH('3. GRI Pricing'!M481,'2. GRI Pricing Inputs'!$D$32:$AI$32,0)+1)),0)</f>
        <v>0</v>
      </c>
      <c r="O481" s="273">
        <f>IFERROR(INDEX('2. GRI Pricing Inputs'!$C$45:$AI$46,MATCH($O$16,'2. GRI Pricing Inputs'!$C$45:$C$46,0),MATCH(G481,'2. GRI Pricing Inputs'!$C$45:$AI$45,0)),0)</f>
        <v>0</v>
      </c>
      <c r="P481" s="273">
        <f>IFERROR(INDEX('2. GRI Pricing Inputs'!$C$53:$AI$54,MATCH('3. GRI Pricing'!$P$16,'2. GRI Pricing Inputs'!$C$53:$C$54,0),MATCH('3. GRI Pricing'!H481,'2. GRI Pricing Inputs'!$C$53:$AI$53,0)),0)</f>
        <v>0</v>
      </c>
      <c r="Q481" s="273">
        <f>IFERROR(INDEX('2. GRI Pricing Inputs'!$C$60:$AI$61,MATCH('3. GRI Pricing'!$Q$16,'2. GRI Pricing Inputs'!$C$60:$C$61,0),MATCH('1. Accomodation'!T485,'2. GRI Pricing Inputs'!$C$60:$AI$60,0)),0)</f>
        <v>0</v>
      </c>
      <c r="R481" s="273">
        <f>IFERROR(INDEX('2. GRI Pricing Inputs'!$C$67:$AI$68,MATCH('3. GRI Pricing'!$R$16,'2. GRI Pricing Inputs'!$C$67:$C$68,0),MATCH('1. Accomodation'!U485,'2. GRI Pricing Inputs'!$C$67:$AI$67,0)),0)</f>
        <v>0</v>
      </c>
      <c r="S481" s="273">
        <f>IF(D481=0,0,'2. GRI Pricing Inputs'!$AI$75)</f>
        <v>0</v>
      </c>
      <c r="T481" s="273">
        <f>IFERROR(INDEX('2. GRI Pricing Inputs'!$C$82:$AI$83,MATCH('3. GRI Pricing'!$T$16,'2. GRI Pricing Inputs'!$C$82:$C$83,0),MATCH('1. Accomodation'!V485,'2. GRI Pricing Inputs'!$C$82:$AI$82,0)),0)</f>
        <v>0</v>
      </c>
      <c r="U481" s="273">
        <f>IFERROR(INDEX('2. GRI Pricing Inputs'!$C$89:$AI$90,MATCH('3. GRI Pricing'!$U$16,'2. GRI Pricing Inputs'!$C$89:$C$90,0),MATCH('1. Accomodation'!W485,'2. GRI Pricing Inputs'!$C$89:$AI$89,0)),0)</f>
        <v>0</v>
      </c>
      <c r="V481" s="273">
        <f>IFERROR(INDEX('2. GRI Pricing Inputs'!$C$97:$AI$98,MATCH('3. GRI Pricing'!$V$16,'2. GRI Pricing Inputs'!$C$97:$C$98,0),MATCH('1. Accomodation'!X485,'2. GRI Pricing Inputs'!$C$97:$AI$97,0)),0)</f>
        <v>0</v>
      </c>
      <c r="W481" s="273">
        <f>IFERROR(INDEX('2. GRI Pricing Inputs'!$C$104:$AI$105,MATCH('3. GRI Pricing'!$W$16,'2. GRI Pricing Inputs'!$C$104:$C$105,0),MATCH('1. Accomodation'!Y485,'2. GRI Pricing Inputs'!$C$104:$AI$104,0)),0)</f>
        <v>0</v>
      </c>
      <c r="X481" s="274"/>
      <c r="Y481" s="275">
        <f t="shared" si="14"/>
        <v>0</v>
      </c>
      <c r="Z481" s="276"/>
      <c r="AA481" s="276"/>
      <c r="AB481" s="276"/>
      <c r="AC481" s="272">
        <f>Y481*(1+'2. GRI Pricing Inputs'!$D$114)^(($AC$16-$AB$15)/365)</f>
        <v>0</v>
      </c>
      <c r="AD481" s="273">
        <f>AC481*(1+'2. GRI Pricing Inputs'!$D$114)^((AD$16-AC$16)/365)</f>
        <v>0</v>
      </c>
      <c r="AE481" s="273">
        <f>AD481*(1+'2. GRI Pricing Inputs'!$D$114)^((AE$16-AD$16)/365)</f>
        <v>0</v>
      </c>
      <c r="AF481" s="273">
        <f>AE481*(1+'2. GRI Pricing Inputs'!$D$114)^((AF$16-AE$16)/365)</f>
        <v>0</v>
      </c>
      <c r="AG481" s="273">
        <f>AF481*(1+'2. GRI Pricing Inputs'!$D$114)^((AG$16-AF$16)/365)</f>
        <v>0</v>
      </c>
      <c r="AH481" s="273">
        <f>AG481*(1+'2. GRI Pricing Inputs'!$D$114)^((AH$16-AG$16)/365)</f>
        <v>0</v>
      </c>
      <c r="AI481" s="273">
        <f>AH481*(1+'2. GRI Pricing Inputs'!$D$114)^((AI$16-AH$16)/365)</f>
        <v>0</v>
      </c>
      <c r="AJ481" s="273">
        <f>AI481*(1+'2. GRI Pricing Inputs'!$D$114)^((AJ$16-AI$16)/365)</f>
        <v>0</v>
      </c>
      <c r="AK481" s="273">
        <f>AJ481*(1+'2. GRI Pricing Inputs'!$D$114)^((AK$16-AJ$16)/365)</f>
        <v>0</v>
      </c>
      <c r="AL481" s="273">
        <f>AK481*(1+'2. GRI Pricing Inputs'!$D$114)^((AL$16-AK$16)/365)</f>
        <v>0</v>
      </c>
      <c r="AM481" s="273">
        <f>AL481*(1+'2. GRI Pricing Inputs'!$D$114)^((AM$16-AL$16)/365)</f>
        <v>0</v>
      </c>
      <c r="AN481" s="273">
        <f>AM481*(1+'2. GRI Pricing Inputs'!$D$114)^((AN$16-AM$16)/365)</f>
        <v>0</v>
      </c>
      <c r="AO481" s="273">
        <f>AN481*(1+'2. GRI Pricing Inputs'!$D$114)^((AO$16-AN$16)/365)</f>
        <v>0</v>
      </c>
    </row>
    <row r="482" spans="3:41" ht="12" x14ac:dyDescent="0.2">
      <c r="C482" s="76">
        <f>'1. Accomodation'!N486</f>
        <v>0</v>
      </c>
      <c r="D482" s="69">
        <f>'1. Accomodation'!P486</f>
        <v>0</v>
      </c>
      <c r="E482" s="69">
        <f>'1. Accomodation'!Q486</f>
        <v>0</v>
      </c>
      <c r="F482" s="77">
        <f>'1. Accomodation'!O486</f>
        <v>0</v>
      </c>
      <c r="G482" s="69">
        <f>'1. Accomodation'!R486</f>
        <v>0</v>
      </c>
      <c r="H482" s="69">
        <f>'1. Accomodation'!S486</f>
        <v>0</v>
      </c>
      <c r="I482" s="62"/>
      <c r="K482" s="272">
        <f>IFERROR(INDEX('2. GRI Pricing Inputs'!$C$15:$AI$16,MATCH($K$16,'2. GRI Pricing Inputs'!$C$15:$C$16,0),MATCH(D482,'2. GRI Pricing Inputs'!$C$15:$AI$15,0)),0)</f>
        <v>0</v>
      </c>
      <c r="L482" s="273">
        <f>IFERROR(INDEX('2. GRI Pricing Inputs'!$C$22:$AI$23,MATCH($L$16,'2. GRI Pricing Inputs'!$C$22:$C$23,0),MATCH(E482,'2. GRI Pricing Inputs'!$C$22:$AI$22,0)),0)</f>
        <v>0</v>
      </c>
      <c r="M482" s="328">
        <f>IF(AND('3. GRI Pricing'!$F482&gt;='2. GRI Pricing Inputs'!$D$33,'3. GRI Pricing'!$F482&lt;='2. GRI Pricing Inputs'!$E$33),'2. GRI Pricing Inputs'!$D$32,IF(AND('3. GRI Pricing'!$F482&gt;='2. GRI Pricing Inputs'!$F$33,'3. GRI Pricing'!$F482&lt;='2. GRI Pricing Inputs'!$G$33),'2. GRI Pricing Inputs'!$F$32,IF(AND('3. GRI Pricing'!$F482&gt;='2. GRI Pricing Inputs'!$H$33,'3. GRI Pricing'!$F482&lt;='2. GRI Pricing Inputs'!$I$33),'2. GRI Pricing Inputs'!$H$32,IF(AND('3. GRI Pricing'!$F482&gt;='2. GRI Pricing Inputs'!$J$33,'3. GRI Pricing'!$F482&lt;='2. GRI Pricing Inputs'!$K$33),'2. GRI Pricing Inputs'!$J$32,IF(AND('3. GRI Pricing'!$F482&gt;='2. GRI Pricing Inputs'!$L$33,'3. GRI Pricing'!$F482&lt;='2. GRI Pricing Inputs'!$M$33),'2. GRI Pricing Inputs'!$L$32,IF(AND('3. GRI Pricing'!$F482&gt;='2. GRI Pricing Inputs'!$N$33,'3. GRI Pricing'!$F482&lt;='2. GRI Pricing Inputs'!$O$33),'2. GRI Pricing Inputs'!$N$32,IF(AND('3. GRI Pricing'!$F482&gt;='2. GRI Pricing Inputs'!$P$33,'3. GRI Pricing'!$F482&lt;='2. GRI Pricing Inputs'!$Q$33),'2. GRI Pricing Inputs'!$P$32,IF(AND('3. GRI Pricing'!$F482&gt;='2. GRI Pricing Inputs'!$R$33,'3. GRI Pricing'!$F482&lt;='2. GRI Pricing Inputs'!$S$33),'2. GRI Pricing Inputs'!$R$32,IF(AND('3. GRI Pricing'!$F482&gt;='2. GRI Pricing Inputs'!$T$33,'3. GRI Pricing'!$F482&lt;='2. GRI Pricing Inputs'!$U$33),'2. GRI Pricing Inputs'!$T$32,IF(AND('3. GRI Pricing'!$F482&gt;='2. GRI Pricing Inputs'!$V$33,'3. GRI Pricing'!$F482&lt;='2. GRI Pricing Inputs'!$W$33),'2. GRI Pricing Inputs'!$V$32,IF(AND('3. GRI Pricing'!$F482&gt;='2. GRI Pricing Inputs'!$X$33,'3. GRI Pricing'!$F482&lt;='2. GRI Pricing Inputs'!$Y$33),'2. GRI Pricing Inputs'!$X$32,IF(AND('3. GRI Pricing'!$F482&gt;='2. GRI Pricing Inputs'!$Z$33,'3. GRI Pricing'!$F482&lt;='2. GRI Pricing Inputs'!$AA$33),'2. GRI Pricing Inputs'!$Z$32,IF(AND('3. GRI Pricing'!$F482&gt;='2. GRI Pricing Inputs'!$AB$33,'3. GRI Pricing'!$F482&lt;='2. GRI Pricing Inputs'!$AC$33),'2. GRI Pricing Inputs'!$AB$32,IF(AND('3. GRI Pricing'!$F482&gt;='2. GRI Pricing Inputs'!$AD$33,'3. GRI Pricing'!$F482&lt;='2. GRI Pricing Inputs'!$AE$33),'2. GRI Pricing Inputs'!$AD$32,IF(AND('3. GRI Pricing'!$F482&gt;='2. GRI Pricing Inputs'!$AF$33,'3. GRI Pricing'!$F482&lt;='2. GRI Pricing Inputs'!$AG$33),'2. GRI Pricing Inputs'!$AF$32,IF(AND('3. GRI Pricing'!$F482&gt;='2. GRI Pricing Inputs'!$AH$33,'3. GRI Pricing'!$F482&lt;='2. GRI Pricing Inputs'!$AI$33),'2. GRI Pricing Inputs'!$AH$32,0))))))))))))))))</f>
        <v>0</v>
      </c>
      <c r="N482" s="273" cm="1">
        <f t="array" ref="N482">IFERROR(INDEX('2. GRI Pricing Inputs'!$C$32:$AI$39,MATCH('3. GRI Pricing'!D482,'2. GRI Pricing Inputs'!$C$32:$C$39,0),(MATCH('3. GRI Pricing'!M482,'2. GRI Pricing Inputs'!$D$32:$AI$32,0)+1)),0)</f>
        <v>0</v>
      </c>
      <c r="O482" s="273">
        <f>IFERROR(INDEX('2. GRI Pricing Inputs'!$C$45:$AI$46,MATCH($O$16,'2. GRI Pricing Inputs'!$C$45:$C$46,0),MATCH(G482,'2. GRI Pricing Inputs'!$C$45:$AI$45,0)),0)</f>
        <v>0</v>
      </c>
      <c r="P482" s="273">
        <f>IFERROR(INDEX('2. GRI Pricing Inputs'!$C$53:$AI$54,MATCH('3. GRI Pricing'!$P$16,'2. GRI Pricing Inputs'!$C$53:$C$54,0),MATCH('3. GRI Pricing'!H482,'2. GRI Pricing Inputs'!$C$53:$AI$53,0)),0)</f>
        <v>0</v>
      </c>
      <c r="Q482" s="273">
        <f>IFERROR(INDEX('2. GRI Pricing Inputs'!$C$60:$AI$61,MATCH('3. GRI Pricing'!$Q$16,'2. GRI Pricing Inputs'!$C$60:$C$61,0),MATCH('1. Accomodation'!T486,'2. GRI Pricing Inputs'!$C$60:$AI$60,0)),0)</f>
        <v>0</v>
      </c>
      <c r="R482" s="273">
        <f>IFERROR(INDEX('2. GRI Pricing Inputs'!$C$67:$AI$68,MATCH('3. GRI Pricing'!$R$16,'2. GRI Pricing Inputs'!$C$67:$C$68,0),MATCH('1. Accomodation'!U486,'2. GRI Pricing Inputs'!$C$67:$AI$67,0)),0)</f>
        <v>0</v>
      </c>
      <c r="S482" s="273">
        <f>IF(D482=0,0,'2. GRI Pricing Inputs'!$AI$75)</f>
        <v>0</v>
      </c>
      <c r="T482" s="273">
        <f>IFERROR(INDEX('2. GRI Pricing Inputs'!$C$82:$AI$83,MATCH('3. GRI Pricing'!$T$16,'2. GRI Pricing Inputs'!$C$82:$C$83,0),MATCH('1. Accomodation'!V486,'2. GRI Pricing Inputs'!$C$82:$AI$82,0)),0)</f>
        <v>0</v>
      </c>
      <c r="U482" s="273">
        <f>IFERROR(INDEX('2. GRI Pricing Inputs'!$C$89:$AI$90,MATCH('3. GRI Pricing'!$U$16,'2. GRI Pricing Inputs'!$C$89:$C$90,0),MATCH('1. Accomodation'!W486,'2. GRI Pricing Inputs'!$C$89:$AI$89,0)),0)</f>
        <v>0</v>
      </c>
      <c r="V482" s="273">
        <f>IFERROR(INDEX('2. GRI Pricing Inputs'!$C$97:$AI$98,MATCH('3. GRI Pricing'!$V$16,'2. GRI Pricing Inputs'!$C$97:$C$98,0),MATCH('1. Accomodation'!X486,'2. GRI Pricing Inputs'!$C$97:$AI$97,0)),0)</f>
        <v>0</v>
      </c>
      <c r="W482" s="273">
        <f>IFERROR(INDEX('2. GRI Pricing Inputs'!$C$104:$AI$105,MATCH('3. GRI Pricing'!$W$16,'2. GRI Pricing Inputs'!$C$104:$C$105,0),MATCH('1. Accomodation'!Y486,'2. GRI Pricing Inputs'!$C$104:$AI$104,0)),0)</f>
        <v>0</v>
      </c>
      <c r="X482" s="274"/>
      <c r="Y482" s="275">
        <f t="shared" si="14"/>
        <v>0</v>
      </c>
      <c r="Z482" s="276"/>
      <c r="AA482" s="276"/>
      <c r="AB482" s="276"/>
      <c r="AC482" s="272">
        <f>Y482*(1+'2. GRI Pricing Inputs'!$D$114)^(($AC$16-$AB$15)/365)</f>
        <v>0</v>
      </c>
      <c r="AD482" s="273">
        <f>AC482*(1+'2. GRI Pricing Inputs'!$D$114)^((AD$16-AC$16)/365)</f>
        <v>0</v>
      </c>
      <c r="AE482" s="273">
        <f>AD482*(1+'2. GRI Pricing Inputs'!$D$114)^((AE$16-AD$16)/365)</f>
        <v>0</v>
      </c>
      <c r="AF482" s="273">
        <f>AE482*(1+'2. GRI Pricing Inputs'!$D$114)^((AF$16-AE$16)/365)</f>
        <v>0</v>
      </c>
      <c r="AG482" s="273">
        <f>AF482*(1+'2. GRI Pricing Inputs'!$D$114)^((AG$16-AF$16)/365)</f>
        <v>0</v>
      </c>
      <c r="AH482" s="273">
        <f>AG482*(1+'2. GRI Pricing Inputs'!$D$114)^((AH$16-AG$16)/365)</f>
        <v>0</v>
      </c>
      <c r="AI482" s="273">
        <f>AH482*(1+'2. GRI Pricing Inputs'!$D$114)^((AI$16-AH$16)/365)</f>
        <v>0</v>
      </c>
      <c r="AJ482" s="273">
        <f>AI482*(1+'2. GRI Pricing Inputs'!$D$114)^((AJ$16-AI$16)/365)</f>
        <v>0</v>
      </c>
      <c r="AK482" s="273">
        <f>AJ482*(1+'2. GRI Pricing Inputs'!$D$114)^((AK$16-AJ$16)/365)</f>
        <v>0</v>
      </c>
      <c r="AL482" s="273">
        <f>AK482*(1+'2. GRI Pricing Inputs'!$D$114)^((AL$16-AK$16)/365)</f>
        <v>0</v>
      </c>
      <c r="AM482" s="273">
        <f>AL482*(1+'2. GRI Pricing Inputs'!$D$114)^((AM$16-AL$16)/365)</f>
        <v>0</v>
      </c>
      <c r="AN482" s="273">
        <f>AM482*(1+'2. GRI Pricing Inputs'!$D$114)^((AN$16-AM$16)/365)</f>
        <v>0</v>
      </c>
      <c r="AO482" s="273">
        <f>AN482*(1+'2. GRI Pricing Inputs'!$D$114)^((AO$16-AN$16)/365)</f>
        <v>0</v>
      </c>
    </row>
    <row r="483" spans="3:41" ht="12" x14ac:dyDescent="0.2">
      <c r="C483" s="76">
        <f>'1. Accomodation'!N487</f>
        <v>0</v>
      </c>
      <c r="D483" s="69">
        <f>'1. Accomodation'!P487</f>
        <v>0</v>
      </c>
      <c r="E483" s="69">
        <f>'1. Accomodation'!Q487</f>
        <v>0</v>
      </c>
      <c r="F483" s="77">
        <f>'1. Accomodation'!O487</f>
        <v>0</v>
      </c>
      <c r="G483" s="69">
        <f>'1. Accomodation'!R487</f>
        <v>0</v>
      </c>
      <c r="H483" s="69">
        <f>'1. Accomodation'!S487</f>
        <v>0</v>
      </c>
      <c r="I483" s="62"/>
      <c r="K483" s="272">
        <f>IFERROR(INDEX('2. GRI Pricing Inputs'!$C$15:$AI$16,MATCH($K$16,'2. GRI Pricing Inputs'!$C$15:$C$16,0),MATCH(D483,'2. GRI Pricing Inputs'!$C$15:$AI$15,0)),0)</f>
        <v>0</v>
      </c>
      <c r="L483" s="273">
        <f>IFERROR(INDEX('2. GRI Pricing Inputs'!$C$22:$AI$23,MATCH($L$16,'2. GRI Pricing Inputs'!$C$22:$C$23,0),MATCH(E483,'2. GRI Pricing Inputs'!$C$22:$AI$22,0)),0)</f>
        <v>0</v>
      </c>
      <c r="M483" s="328">
        <f>IF(AND('3. GRI Pricing'!$F483&gt;='2. GRI Pricing Inputs'!$D$33,'3. GRI Pricing'!$F483&lt;='2. GRI Pricing Inputs'!$E$33),'2. GRI Pricing Inputs'!$D$32,IF(AND('3. GRI Pricing'!$F483&gt;='2. GRI Pricing Inputs'!$F$33,'3. GRI Pricing'!$F483&lt;='2. GRI Pricing Inputs'!$G$33),'2. GRI Pricing Inputs'!$F$32,IF(AND('3. GRI Pricing'!$F483&gt;='2. GRI Pricing Inputs'!$H$33,'3. GRI Pricing'!$F483&lt;='2. GRI Pricing Inputs'!$I$33),'2. GRI Pricing Inputs'!$H$32,IF(AND('3. GRI Pricing'!$F483&gt;='2. GRI Pricing Inputs'!$J$33,'3. GRI Pricing'!$F483&lt;='2. GRI Pricing Inputs'!$K$33),'2. GRI Pricing Inputs'!$J$32,IF(AND('3. GRI Pricing'!$F483&gt;='2. GRI Pricing Inputs'!$L$33,'3. GRI Pricing'!$F483&lt;='2. GRI Pricing Inputs'!$M$33),'2. GRI Pricing Inputs'!$L$32,IF(AND('3. GRI Pricing'!$F483&gt;='2. GRI Pricing Inputs'!$N$33,'3. GRI Pricing'!$F483&lt;='2. GRI Pricing Inputs'!$O$33),'2. GRI Pricing Inputs'!$N$32,IF(AND('3. GRI Pricing'!$F483&gt;='2. GRI Pricing Inputs'!$P$33,'3. GRI Pricing'!$F483&lt;='2. GRI Pricing Inputs'!$Q$33),'2. GRI Pricing Inputs'!$P$32,IF(AND('3. GRI Pricing'!$F483&gt;='2. GRI Pricing Inputs'!$R$33,'3. GRI Pricing'!$F483&lt;='2. GRI Pricing Inputs'!$S$33),'2. GRI Pricing Inputs'!$R$32,IF(AND('3. GRI Pricing'!$F483&gt;='2. GRI Pricing Inputs'!$T$33,'3. GRI Pricing'!$F483&lt;='2. GRI Pricing Inputs'!$U$33),'2. GRI Pricing Inputs'!$T$32,IF(AND('3. GRI Pricing'!$F483&gt;='2. GRI Pricing Inputs'!$V$33,'3. GRI Pricing'!$F483&lt;='2. GRI Pricing Inputs'!$W$33),'2. GRI Pricing Inputs'!$V$32,IF(AND('3. GRI Pricing'!$F483&gt;='2. GRI Pricing Inputs'!$X$33,'3. GRI Pricing'!$F483&lt;='2. GRI Pricing Inputs'!$Y$33),'2. GRI Pricing Inputs'!$X$32,IF(AND('3. GRI Pricing'!$F483&gt;='2. GRI Pricing Inputs'!$Z$33,'3. GRI Pricing'!$F483&lt;='2. GRI Pricing Inputs'!$AA$33),'2. GRI Pricing Inputs'!$Z$32,IF(AND('3. GRI Pricing'!$F483&gt;='2. GRI Pricing Inputs'!$AB$33,'3. GRI Pricing'!$F483&lt;='2. GRI Pricing Inputs'!$AC$33),'2. GRI Pricing Inputs'!$AB$32,IF(AND('3. GRI Pricing'!$F483&gt;='2. GRI Pricing Inputs'!$AD$33,'3. GRI Pricing'!$F483&lt;='2. GRI Pricing Inputs'!$AE$33),'2. GRI Pricing Inputs'!$AD$32,IF(AND('3. GRI Pricing'!$F483&gt;='2. GRI Pricing Inputs'!$AF$33,'3. GRI Pricing'!$F483&lt;='2. GRI Pricing Inputs'!$AG$33),'2. GRI Pricing Inputs'!$AF$32,IF(AND('3. GRI Pricing'!$F483&gt;='2. GRI Pricing Inputs'!$AH$33,'3. GRI Pricing'!$F483&lt;='2. GRI Pricing Inputs'!$AI$33),'2. GRI Pricing Inputs'!$AH$32,0))))))))))))))))</f>
        <v>0</v>
      </c>
      <c r="N483" s="273" cm="1">
        <f t="array" ref="N483">IFERROR(INDEX('2. GRI Pricing Inputs'!$C$32:$AI$39,MATCH('3. GRI Pricing'!D483,'2. GRI Pricing Inputs'!$C$32:$C$39,0),(MATCH('3. GRI Pricing'!M483,'2. GRI Pricing Inputs'!$D$32:$AI$32,0)+1)),0)</f>
        <v>0</v>
      </c>
      <c r="O483" s="273">
        <f>IFERROR(INDEX('2. GRI Pricing Inputs'!$C$45:$AI$46,MATCH($O$16,'2. GRI Pricing Inputs'!$C$45:$C$46,0),MATCH(G483,'2. GRI Pricing Inputs'!$C$45:$AI$45,0)),0)</f>
        <v>0</v>
      </c>
      <c r="P483" s="273">
        <f>IFERROR(INDEX('2. GRI Pricing Inputs'!$C$53:$AI$54,MATCH('3. GRI Pricing'!$P$16,'2. GRI Pricing Inputs'!$C$53:$C$54,0),MATCH('3. GRI Pricing'!H483,'2. GRI Pricing Inputs'!$C$53:$AI$53,0)),0)</f>
        <v>0</v>
      </c>
      <c r="Q483" s="273">
        <f>IFERROR(INDEX('2. GRI Pricing Inputs'!$C$60:$AI$61,MATCH('3. GRI Pricing'!$Q$16,'2. GRI Pricing Inputs'!$C$60:$C$61,0),MATCH('1. Accomodation'!T487,'2. GRI Pricing Inputs'!$C$60:$AI$60,0)),0)</f>
        <v>0</v>
      </c>
      <c r="R483" s="273">
        <f>IFERROR(INDEX('2. GRI Pricing Inputs'!$C$67:$AI$68,MATCH('3. GRI Pricing'!$R$16,'2. GRI Pricing Inputs'!$C$67:$C$68,0),MATCH('1. Accomodation'!U487,'2. GRI Pricing Inputs'!$C$67:$AI$67,0)),0)</f>
        <v>0</v>
      </c>
      <c r="S483" s="273">
        <f>IF(D483=0,0,'2. GRI Pricing Inputs'!$AI$75)</f>
        <v>0</v>
      </c>
      <c r="T483" s="273">
        <f>IFERROR(INDEX('2. GRI Pricing Inputs'!$C$82:$AI$83,MATCH('3. GRI Pricing'!$T$16,'2. GRI Pricing Inputs'!$C$82:$C$83,0),MATCH('1. Accomodation'!V487,'2. GRI Pricing Inputs'!$C$82:$AI$82,0)),0)</f>
        <v>0</v>
      </c>
      <c r="U483" s="273">
        <f>IFERROR(INDEX('2. GRI Pricing Inputs'!$C$89:$AI$90,MATCH('3. GRI Pricing'!$U$16,'2. GRI Pricing Inputs'!$C$89:$C$90,0),MATCH('1. Accomodation'!W487,'2. GRI Pricing Inputs'!$C$89:$AI$89,0)),0)</f>
        <v>0</v>
      </c>
      <c r="V483" s="273">
        <f>IFERROR(INDEX('2. GRI Pricing Inputs'!$C$97:$AI$98,MATCH('3. GRI Pricing'!$V$16,'2. GRI Pricing Inputs'!$C$97:$C$98,0),MATCH('1. Accomodation'!X487,'2. GRI Pricing Inputs'!$C$97:$AI$97,0)),0)</f>
        <v>0</v>
      </c>
      <c r="W483" s="273">
        <f>IFERROR(INDEX('2. GRI Pricing Inputs'!$C$104:$AI$105,MATCH('3. GRI Pricing'!$W$16,'2. GRI Pricing Inputs'!$C$104:$C$105,0),MATCH('1. Accomodation'!Y487,'2. GRI Pricing Inputs'!$C$104:$AI$104,0)),0)</f>
        <v>0</v>
      </c>
      <c r="X483" s="274"/>
      <c r="Y483" s="275">
        <f t="shared" si="14"/>
        <v>0</v>
      </c>
      <c r="Z483" s="276"/>
      <c r="AA483" s="276"/>
      <c r="AB483" s="276"/>
      <c r="AC483" s="272">
        <f>Y483*(1+'2. GRI Pricing Inputs'!$D$114)^(($AC$16-$AB$15)/365)</f>
        <v>0</v>
      </c>
      <c r="AD483" s="273">
        <f>AC483*(1+'2. GRI Pricing Inputs'!$D$114)^((AD$16-AC$16)/365)</f>
        <v>0</v>
      </c>
      <c r="AE483" s="273">
        <f>AD483*(1+'2. GRI Pricing Inputs'!$D$114)^((AE$16-AD$16)/365)</f>
        <v>0</v>
      </c>
      <c r="AF483" s="273">
        <f>AE483*(1+'2. GRI Pricing Inputs'!$D$114)^((AF$16-AE$16)/365)</f>
        <v>0</v>
      </c>
      <c r="AG483" s="273">
        <f>AF483*(1+'2. GRI Pricing Inputs'!$D$114)^((AG$16-AF$16)/365)</f>
        <v>0</v>
      </c>
      <c r="AH483" s="273">
        <f>AG483*(1+'2. GRI Pricing Inputs'!$D$114)^((AH$16-AG$16)/365)</f>
        <v>0</v>
      </c>
      <c r="AI483" s="273">
        <f>AH483*(1+'2. GRI Pricing Inputs'!$D$114)^((AI$16-AH$16)/365)</f>
        <v>0</v>
      </c>
      <c r="AJ483" s="273">
        <f>AI483*(1+'2. GRI Pricing Inputs'!$D$114)^((AJ$16-AI$16)/365)</f>
        <v>0</v>
      </c>
      <c r="AK483" s="273">
        <f>AJ483*(1+'2. GRI Pricing Inputs'!$D$114)^((AK$16-AJ$16)/365)</f>
        <v>0</v>
      </c>
      <c r="AL483" s="273">
        <f>AK483*(1+'2. GRI Pricing Inputs'!$D$114)^((AL$16-AK$16)/365)</f>
        <v>0</v>
      </c>
      <c r="AM483" s="273">
        <f>AL483*(1+'2. GRI Pricing Inputs'!$D$114)^((AM$16-AL$16)/365)</f>
        <v>0</v>
      </c>
      <c r="AN483" s="273">
        <f>AM483*(1+'2. GRI Pricing Inputs'!$D$114)^((AN$16-AM$16)/365)</f>
        <v>0</v>
      </c>
      <c r="AO483" s="273">
        <f>AN483*(1+'2. GRI Pricing Inputs'!$D$114)^((AO$16-AN$16)/365)</f>
        <v>0</v>
      </c>
    </row>
    <row r="484" spans="3:41" ht="12" x14ac:dyDescent="0.2">
      <c r="C484" s="76">
        <f>'1. Accomodation'!N488</f>
        <v>0</v>
      </c>
      <c r="D484" s="69">
        <f>'1. Accomodation'!P488</f>
        <v>0</v>
      </c>
      <c r="E484" s="69">
        <f>'1. Accomodation'!Q488</f>
        <v>0</v>
      </c>
      <c r="F484" s="77">
        <f>'1. Accomodation'!O488</f>
        <v>0</v>
      </c>
      <c r="G484" s="69">
        <f>'1. Accomodation'!R488</f>
        <v>0</v>
      </c>
      <c r="H484" s="69">
        <f>'1. Accomodation'!S488</f>
        <v>0</v>
      </c>
      <c r="I484" s="62"/>
      <c r="K484" s="272">
        <f>IFERROR(INDEX('2. GRI Pricing Inputs'!$C$15:$AI$16,MATCH($K$16,'2. GRI Pricing Inputs'!$C$15:$C$16,0),MATCH(D484,'2. GRI Pricing Inputs'!$C$15:$AI$15,0)),0)</f>
        <v>0</v>
      </c>
      <c r="L484" s="273">
        <f>IFERROR(INDEX('2. GRI Pricing Inputs'!$C$22:$AI$23,MATCH($L$16,'2. GRI Pricing Inputs'!$C$22:$C$23,0),MATCH(E484,'2. GRI Pricing Inputs'!$C$22:$AI$22,0)),0)</f>
        <v>0</v>
      </c>
      <c r="M484" s="328">
        <f>IF(AND('3. GRI Pricing'!$F484&gt;='2. GRI Pricing Inputs'!$D$33,'3. GRI Pricing'!$F484&lt;='2. GRI Pricing Inputs'!$E$33),'2. GRI Pricing Inputs'!$D$32,IF(AND('3. GRI Pricing'!$F484&gt;='2. GRI Pricing Inputs'!$F$33,'3. GRI Pricing'!$F484&lt;='2. GRI Pricing Inputs'!$G$33),'2. GRI Pricing Inputs'!$F$32,IF(AND('3. GRI Pricing'!$F484&gt;='2. GRI Pricing Inputs'!$H$33,'3. GRI Pricing'!$F484&lt;='2. GRI Pricing Inputs'!$I$33),'2. GRI Pricing Inputs'!$H$32,IF(AND('3. GRI Pricing'!$F484&gt;='2. GRI Pricing Inputs'!$J$33,'3. GRI Pricing'!$F484&lt;='2. GRI Pricing Inputs'!$K$33),'2. GRI Pricing Inputs'!$J$32,IF(AND('3. GRI Pricing'!$F484&gt;='2. GRI Pricing Inputs'!$L$33,'3. GRI Pricing'!$F484&lt;='2. GRI Pricing Inputs'!$M$33),'2. GRI Pricing Inputs'!$L$32,IF(AND('3. GRI Pricing'!$F484&gt;='2. GRI Pricing Inputs'!$N$33,'3. GRI Pricing'!$F484&lt;='2. GRI Pricing Inputs'!$O$33),'2. GRI Pricing Inputs'!$N$32,IF(AND('3. GRI Pricing'!$F484&gt;='2. GRI Pricing Inputs'!$P$33,'3. GRI Pricing'!$F484&lt;='2. GRI Pricing Inputs'!$Q$33),'2. GRI Pricing Inputs'!$P$32,IF(AND('3. GRI Pricing'!$F484&gt;='2. GRI Pricing Inputs'!$R$33,'3. GRI Pricing'!$F484&lt;='2. GRI Pricing Inputs'!$S$33),'2. GRI Pricing Inputs'!$R$32,IF(AND('3. GRI Pricing'!$F484&gt;='2. GRI Pricing Inputs'!$T$33,'3. GRI Pricing'!$F484&lt;='2. GRI Pricing Inputs'!$U$33),'2. GRI Pricing Inputs'!$T$32,IF(AND('3. GRI Pricing'!$F484&gt;='2. GRI Pricing Inputs'!$V$33,'3. GRI Pricing'!$F484&lt;='2. GRI Pricing Inputs'!$W$33),'2. GRI Pricing Inputs'!$V$32,IF(AND('3. GRI Pricing'!$F484&gt;='2. GRI Pricing Inputs'!$X$33,'3. GRI Pricing'!$F484&lt;='2. GRI Pricing Inputs'!$Y$33),'2. GRI Pricing Inputs'!$X$32,IF(AND('3. GRI Pricing'!$F484&gt;='2. GRI Pricing Inputs'!$Z$33,'3. GRI Pricing'!$F484&lt;='2. GRI Pricing Inputs'!$AA$33),'2. GRI Pricing Inputs'!$Z$32,IF(AND('3. GRI Pricing'!$F484&gt;='2. GRI Pricing Inputs'!$AB$33,'3. GRI Pricing'!$F484&lt;='2. GRI Pricing Inputs'!$AC$33),'2. GRI Pricing Inputs'!$AB$32,IF(AND('3. GRI Pricing'!$F484&gt;='2. GRI Pricing Inputs'!$AD$33,'3. GRI Pricing'!$F484&lt;='2. GRI Pricing Inputs'!$AE$33),'2. GRI Pricing Inputs'!$AD$32,IF(AND('3. GRI Pricing'!$F484&gt;='2. GRI Pricing Inputs'!$AF$33,'3. GRI Pricing'!$F484&lt;='2. GRI Pricing Inputs'!$AG$33),'2. GRI Pricing Inputs'!$AF$32,IF(AND('3. GRI Pricing'!$F484&gt;='2. GRI Pricing Inputs'!$AH$33,'3. GRI Pricing'!$F484&lt;='2. GRI Pricing Inputs'!$AI$33),'2. GRI Pricing Inputs'!$AH$32,0))))))))))))))))</f>
        <v>0</v>
      </c>
      <c r="N484" s="273" cm="1">
        <f t="array" ref="N484">IFERROR(INDEX('2. GRI Pricing Inputs'!$C$32:$AI$39,MATCH('3. GRI Pricing'!D484,'2. GRI Pricing Inputs'!$C$32:$C$39,0),(MATCH('3. GRI Pricing'!M484,'2. GRI Pricing Inputs'!$D$32:$AI$32,0)+1)),0)</f>
        <v>0</v>
      </c>
      <c r="O484" s="273">
        <f>IFERROR(INDEX('2. GRI Pricing Inputs'!$C$45:$AI$46,MATCH($O$16,'2. GRI Pricing Inputs'!$C$45:$C$46,0),MATCH(G484,'2. GRI Pricing Inputs'!$C$45:$AI$45,0)),0)</f>
        <v>0</v>
      </c>
      <c r="P484" s="273">
        <f>IFERROR(INDEX('2. GRI Pricing Inputs'!$C$53:$AI$54,MATCH('3. GRI Pricing'!$P$16,'2. GRI Pricing Inputs'!$C$53:$C$54,0),MATCH('3. GRI Pricing'!H484,'2. GRI Pricing Inputs'!$C$53:$AI$53,0)),0)</f>
        <v>0</v>
      </c>
      <c r="Q484" s="273">
        <f>IFERROR(INDEX('2. GRI Pricing Inputs'!$C$60:$AI$61,MATCH('3. GRI Pricing'!$Q$16,'2. GRI Pricing Inputs'!$C$60:$C$61,0),MATCH('1. Accomodation'!T488,'2. GRI Pricing Inputs'!$C$60:$AI$60,0)),0)</f>
        <v>0</v>
      </c>
      <c r="R484" s="273">
        <f>IFERROR(INDEX('2. GRI Pricing Inputs'!$C$67:$AI$68,MATCH('3. GRI Pricing'!$R$16,'2. GRI Pricing Inputs'!$C$67:$C$68,0),MATCH('1. Accomodation'!U488,'2. GRI Pricing Inputs'!$C$67:$AI$67,0)),0)</f>
        <v>0</v>
      </c>
      <c r="S484" s="273">
        <f>IF(D484=0,0,'2. GRI Pricing Inputs'!$AI$75)</f>
        <v>0</v>
      </c>
      <c r="T484" s="273">
        <f>IFERROR(INDEX('2. GRI Pricing Inputs'!$C$82:$AI$83,MATCH('3. GRI Pricing'!$T$16,'2. GRI Pricing Inputs'!$C$82:$C$83,0),MATCH('1. Accomodation'!V488,'2. GRI Pricing Inputs'!$C$82:$AI$82,0)),0)</f>
        <v>0</v>
      </c>
      <c r="U484" s="273">
        <f>IFERROR(INDEX('2. GRI Pricing Inputs'!$C$89:$AI$90,MATCH('3. GRI Pricing'!$U$16,'2. GRI Pricing Inputs'!$C$89:$C$90,0),MATCH('1. Accomodation'!W488,'2. GRI Pricing Inputs'!$C$89:$AI$89,0)),0)</f>
        <v>0</v>
      </c>
      <c r="V484" s="273">
        <f>IFERROR(INDEX('2. GRI Pricing Inputs'!$C$97:$AI$98,MATCH('3. GRI Pricing'!$V$16,'2. GRI Pricing Inputs'!$C$97:$C$98,0),MATCH('1. Accomodation'!X488,'2. GRI Pricing Inputs'!$C$97:$AI$97,0)),0)</f>
        <v>0</v>
      </c>
      <c r="W484" s="273">
        <f>IFERROR(INDEX('2. GRI Pricing Inputs'!$C$104:$AI$105,MATCH('3. GRI Pricing'!$W$16,'2. GRI Pricing Inputs'!$C$104:$C$105,0),MATCH('1. Accomodation'!Y488,'2. GRI Pricing Inputs'!$C$104:$AI$104,0)),0)</f>
        <v>0</v>
      </c>
      <c r="X484" s="274"/>
      <c r="Y484" s="275">
        <f t="shared" si="14"/>
        <v>0</v>
      </c>
      <c r="Z484" s="276"/>
      <c r="AA484" s="276"/>
      <c r="AB484" s="276"/>
      <c r="AC484" s="272">
        <f>Y484*(1+'2. GRI Pricing Inputs'!$D$114)^(($AC$16-$AB$15)/365)</f>
        <v>0</v>
      </c>
      <c r="AD484" s="273">
        <f>AC484*(1+'2. GRI Pricing Inputs'!$D$114)^((AD$16-AC$16)/365)</f>
        <v>0</v>
      </c>
      <c r="AE484" s="273">
        <f>AD484*(1+'2. GRI Pricing Inputs'!$D$114)^((AE$16-AD$16)/365)</f>
        <v>0</v>
      </c>
      <c r="AF484" s="273">
        <f>AE484*(1+'2. GRI Pricing Inputs'!$D$114)^((AF$16-AE$16)/365)</f>
        <v>0</v>
      </c>
      <c r="AG484" s="273">
        <f>AF484*(1+'2. GRI Pricing Inputs'!$D$114)^((AG$16-AF$16)/365)</f>
        <v>0</v>
      </c>
      <c r="AH484" s="273">
        <f>AG484*(1+'2. GRI Pricing Inputs'!$D$114)^((AH$16-AG$16)/365)</f>
        <v>0</v>
      </c>
      <c r="AI484" s="273">
        <f>AH484*(1+'2. GRI Pricing Inputs'!$D$114)^((AI$16-AH$16)/365)</f>
        <v>0</v>
      </c>
      <c r="AJ484" s="273">
        <f>AI484*(1+'2. GRI Pricing Inputs'!$D$114)^((AJ$16-AI$16)/365)</f>
        <v>0</v>
      </c>
      <c r="AK484" s="273">
        <f>AJ484*(1+'2. GRI Pricing Inputs'!$D$114)^((AK$16-AJ$16)/365)</f>
        <v>0</v>
      </c>
      <c r="AL484" s="273">
        <f>AK484*(1+'2. GRI Pricing Inputs'!$D$114)^((AL$16-AK$16)/365)</f>
        <v>0</v>
      </c>
      <c r="AM484" s="273">
        <f>AL484*(1+'2. GRI Pricing Inputs'!$D$114)^((AM$16-AL$16)/365)</f>
        <v>0</v>
      </c>
      <c r="AN484" s="273">
        <f>AM484*(1+'2. GRI Pricing Inputs'!$D$114)^((AN$16-AM$16)/365)</f>
        <v>0</v>
      </c>
      <c r="AO484" s="273">
        <f>AN484*(1+'2. GRI Pricing Inputs'!$D$114)^((AO$16-AN$16)/365)</f>
        <v>0</v>
      </c>
    </row>
    <row r="485" spans="3:41" ht="12" x14ac:dyDescent="0.2">
      <c r="C485" s="76">
        <f>'1. Accomodation'!N489</f>
        <v>0</v>
      </c>
      <c r="D485" s="69">
        <f>'1. Accomodation'!P489</f>
        <v>0</v>
      </c>
      <c r="E485" s="69">
        <f>'1. Accomodation'!Q489</f>
        <v>0</v>
      </c>
      <c r="F485" s="77">
        <f>'1. Accomodation'!O489</f>
        <v>0</v>
      </c>
      <c r="G485" s="69">
        <f>'1. Accomodation'!R489</f>
        <v>0</v>
      </c>
      <c r="H485" s="69">
        <f>'1. Accomodation'!S489</f>
        <v>0</v>
      </c>
      <c r="I485" s="62"/>
      <c r="K485" s="272">
        <f>IFERROR(INDEX('2. GRI Pricing Inputs'!$C$15:$AI$16,MATCH($K$16,'2. GRI Pricing Inputs'!$C$15:$C$16,0),MATCH(D485,'2. GRI Pricing Inputs'!$C$15:$AI$15,0)),0)</f>
        <v>0</v>
      </c>
      <c r="L485" s="273">
        <f>IFERROR(INDEX('2. GRI Pricing Inputs'!$C$22:$AI$23,MATCH($L$16,'2. GRI Pricing Inputs'!$C$22:$C$23,0),MATCH(E485,'2. GRI Pricing Inputs'!$C$22:$AI$22,0)),0)</f>
        <v>0</v>
      </c>
      <c r="M485" s="328">
        <f>IF(AND('3. GRI Pricing'!$F485&gt;='2. GRI Pricing Inputs'!$D$33,'3. GRI Pricing'!$F485&lt;='2. GRI Pricing Inputs'!$E$33),'2. GRI Pricing Inputs'!$D$32,IF(AND('3. GRI Pricing'!$F485&gt;='2. GRI Pricing Inputs'!$F$33,'3. GRI Pricing'!$F485&lt;='2. GRI Pricing Inputs'!$G$33),'2. GRI Pricing Inputs'!$F$32,IF(AND('3. GRI Pricing'!$F485&gt;='2. GRI Pricing Inputs'!$H$33,'3. GRI Pricing'!$F485&lt;='2. GRI Pricing Inputs'!$I$33),'2. GRI Pricing Inputs'!$H$32,IF(AND('3. GRI Pricing'!$F485&gt;='2. GRI Pricing Inputs'!$J$33,'3. GRI Pricing'!$F485&lt;='2. GRI Pricing Inputs'!$K$33),'2. GRI Pricing Inputs'!$J$32,IF(AND('3. GRI Pricing'!$F485&gt;='2. GRI Pricing Inputs'!$L$33,'3. GRI Pricing'!$F485&lt;='2. GRI Pricing Inputs'!$M$33),'2. GRI Pricing Inputs'!$L$32,IF(AND('3. GRI Pricing'!$F485&gt;='2. GRI Pricing Inputs'!$N$33,'3. GRI Pricing'!$F485&lt;='2. GRI Pricing Inputs'!$O$33),'2. GRI Pricing Inputs'!$N$32,IF(AND('3. GRI Pricing'!$F485&gt;='2. GRI Pricing Inputs'!$P$33,'3. GRI Pricing'!$F485&lt;='2. GRI Pricing Inputs'!$Q$33),'2. GRI Pricing Inputs'!$P$32,IF(AND('3. GRI Pricing'!$F485&gt;='2. GRI Pricing Inputs'!$R$33,'3. GRI Pricing'!$F485&lt;='2. GRI Pricing Inputs'!$S$33),'2. GRI Pricing Inputs'!$R$32,IF(AND('3. GRI Pricing'!$F485&gt;='2. GRI Pricing Inputs'!$T$33,'3. GRI Pricing'!$F485&lt;='2. GRI Pricing Inputs'!$U$33),'2. GRI Pricing Inputs'!$T$32,IF(AND('3. GRI Pricing'!$F485&gt;='2. GRI Pricing Inputs'!$V$33,'3. GRI Pricing'!$F485&lt;='2. GRI Pricing Inputs'!$W$33),'2. GRI Pricing Inputs'!$V$32,IF(AND('3. GRI Pricing'!$F485&gt;='2. GRI Pricing Inputs'!$X$33,'3. GRI Pricing'!$F485&lt;='2. GRI Pricing Inputs'!$Y$33),'2. GRI Pricing Inputs'!$X$32,IF(AND('3. GRI Pricing'!$F485&gt;='2. GRI Pricing Inputs'!$Z$33,'3. GRI Pricing'!$F485&lt;='2. GRI Pricing Inputs'!$AA$33),'2. GRI Pricing Inputs'!$Z$32,IF(AND('3. GRI Pricing'!$F485&gt;='2. GRI Pricing Inputs'!$AB$33,'3. GRI Pricing'!$F485&lt;='2. GRI Pricing Inputs'!$AC$33),'2. GRI Pricing Inputs'!$AB$32,IF(AND('3. GRI Pricing'!$F485&gt;='2. GRI Pricing Inputs'!$AD$33,'3. GRI Pricing'!$F485&lt;='2. GRI Pricing Inputs'!$AE$33),'2. GRI Pricing Inputs'!$AD$32,IF(AND('3. GRI Pricing'!$F485&gt;='2. GRI Pricing Inputs'!$AF$33,'3. GRI Pricing'!$F485&lt;='2. GRI Pricing Inputs'!$AG$33),'2. GRI Pricing Inputs'!$AF$32,IF(AND('3. GRI Pricing'!$F485&gt;='2. GRI Pricing Inputs'!$AH$33,'3. GRI Pricing'!$F485&lt;='2. GRI Pricing Inputs'!$AI$33),'2. GRI Pricing Inputs'!$AH$32,0))))))))))))))))</f>
        <v>0</v>
      </c>
      <c r="N485" s="273" cm="1">
        <f t="array" ref="N485">IFERROR(INDEX('2. GRI Pricing Inputs'!$C$32:$AI$39,MATCH('3. GRI Pricing'!D485,'2. GRI Pricing Inputs'!$C$32:$C$39,0),(MATCH('3. GRI Pricing'!M485,'2. GRI Pricing Inputs'!$D$32:$AI$32,0)+1)),0)</f>
        <v>0</v>
      </c>
      <c r="O485" s="273">
        <f>IFERROR(INDEX('2. GRI Pricing Inputs'!$C$45:$AI$46,MATCH($O$16,'2. GRI Pricing Inputs'!$C$45:$C$46,0),MATCH(G485,'2. GRI Pricing Inputs'!$C$45:$AI$45,0)),0)</f>
        <v>0</v>
      </c>
      <c r="P485" s="273">
        <f>IFERROR(INDEX('2. GRI Pricing Inputs'!$C$53:$AI$54,MATCH('3. GRI Pricing'!$P$16,'2. GRI Pricing Inputs'!$C$53:$C$54,0),MATCH('3. GRI Pricing'!H485,'2. GRI Pricing Inputs'!$C$53:$AI$53,0)),0)</f>
        <v>0</v>
      </c>
      <c r="Q485" s="273">
        <f>IFERROR(INDEX('2. GRI Pricing Inputs'!$C$60:$AI$61,MATCH('3. GRI Pricing'!$Q$16,'2. GRI Pricing Inputs'!$C$60:$C$61,0),MATCH('1. Accomodation'!T489,'2. GRI Pricing Inputs'!$C$60:$AI$60,0)),0)</f>
        <v>0</v>
      </c>
      <c r="R485" s="273">
        <f>IFERROR(INDEX('2. GRI Pricing Inputs'!$C$67:$AI$68,MATCH('3. GRI Pricing'!$R$16,'2. GRI Pricing Inputs'!$C$67:$C$68,0),MATCH('1. Accomodation'!U489,'2. GRI Pricing Inputs'!$C$67:$AI$67,0)),0)</f>
        <v>0</v>
      </c>
      <c r="S485" s="273">
        <f>IF(D485=0,0,'2. GRI Pricing Inputs'!$AI$75)</f>
        <v>0</v>
      </c>
      <c r="T485" s="273">
        <f>IFERROR(INDEX('2. GRI Pricing Inputs'!$C$82:$AI$83,MATCH('3. GRI Pricing'!$T$16,'2. GRI Pricing Inputs'!$C$82:$C$83,0),MATCH('1. Accomodation'!V489,'2. GRI Pricing Inputs'!$C$82:$AI$82,0)),0)</f>
        <v>0</v>
      </c>
      <c r="U485" s="273">
        <f>IFERROR(INDEX('2. GRI Pricing Inputs'!$C$89:$AI$90,MATCH('3. GRI Pricing'!$U$16,'2. GRI Pricing Inputs'!$C$89:$C$90,0),MATCH('1. Accomodation'!W489,'2. GRI Pricing Inputs'!$C$89:$AI$89,0)),0)</f>
        <v>0</v>
      </c>
      <c r="V485" s="273">
        <f>IFERROR(INDEX('2. GRI Pricing Inputs'!$C$97:$AI$98,MATCH('3. GRI Pricing'!$V$16,'2. GRI Pricing Inputs'!$C$97:$C$98,0),MATCH('1. Accomodation'!X489,'2. GRI Pricing Inputs'!$C$97:$AI$97,0)),0)</f>
        <v>0</v>
      </c>
      <c r="W485" s="273">
        <f>IFERROR(INDEX('2. GRI Pricing Inputs'!$C$104:$AI$105,MATCH('3. GRI Pricing'!$W$16,'2. GRI Pricing Inputs'!$C$104:$C$105,0),MATCH('1. Accomodation'!Y489,'2. GRI Pricing Inputs'!$C$104:$AI$104,0)),0)</f>
        <v>0</v>
      </c>
      <c r="X485" s="274"/>
      <c r="Y485" s="275">
        <f t="shared" si="14"/>
        <v>0</v>
      </c>
      <c r="Z485" s="276"/>
      <c r="AA485" s="276"/>
      <c r="AB485" s="276"/>
      <c r="AC485" s="272">
        <f>Y485*(1+'2. GRI Pricing Inputs'!$D$114)^(($AC$16-$AB$15)/365)</f>
        <v>0</v>
      </c>
      <c r="AD485" s="273">
        <f>AC485*(1+'2. GRI Pricing Inputs'!$D$114)^((AD$16-AC$16)/365)</f>
        <v>0</v>
      </c>
      <c r="AE485" s="273">
        <f>AD485*(1+'2. GRI Pricing Inputs'!$D$114)^((AE$16-AD$16)/365)</f>
        <v>0</v>
      </c>
      <c r="AF485" s="273">
        <f>AE485*(1+'2. GRI Pricing Inputs'!$D$114)^((AF$16-AE$16)/365)</f>
        <v>0</v>
      </c>
      <c r="AG485" s="273">
        <f>AF485*(1+'2. GRI Pricing Inputs'!$D$114)^((AG$16-AF$16)/365)</f>
        <v>0</v>
      </c>
      <c r="AH485" s="273">
        <f>AG485*(1+'2. GRI Pricing Inputs'!$D$114)^((AH$16-AG$16)/365)</f>
        <v>0</v>
      </c>
      <c r="AI485" s="273">
        <f>AH485*(1+'2. GRI Pricing Inputs'!$D$114)^((AI$16-AH$16)/365)</f>
        <v>0</v>
      </c>
      <c r="AJ485" s="273">
        <f>AI485*(1+'2. GRI Pricing Inputs'!$D$114)^((AJ$16-AI$16)/365)</f>
        <v>0</v>
      </c>
      <c r="AK485" s="273">
        <f>AJ485*(1+'2. GRI Pricing Inputs'!$D$114)^((AK$16-AJ$16)/365)</f>
        <v>0</v>
      </c>
      <c r="AL485" s="273">
        <f>AK485*(1+'2. GRI Pricing Inputs'!$D$114)^((AL$16-AK$16)/365)</f>
        <v>0</v>
      </c>
      <c r="AM485" s="273">
        <f>AL485*(1+'2. GRI Pricing Inputs'!$D$114)^((AM$16-AL$16)/365)</f>
        <v>0</v>
      </c>
      <c r="AN485" s="273">
        <f>AM485*(1+'2. GRI Pricing Inputs'!$D$114)^((AN$16-AM$16)/365)</f>
        <v>0</v>
      </c>
      <c r="AO485" s="273">
        <f>AN485*(1+'2. GRI Pricing Inputs'!$D$114)^((AO$16-AN$16)/365)</f>
        <v>0</v>
      </c>
    </row>
    <row r="486" spans="3:41" ht="12" x14ac:dyDescent="0.2">
      <c r="C486" s="76">
        <f>'1. Accomodation'!N490</f>
        <v>0</v>
      </c>
      <c r="D486" s="69">
        <f>'1. Accomodation'!P490</f>
        <v>0</v>
      </c>
      <c r="E486" s="69">
        <f>'1. Accomodation'!Q490</f>
        <v>0</v>
      </c>
      <c r="F486" s="77">
        <f>'1. Accomodation'!O490</f>
        <v>0</v>
      </c>
      <c r="G486" s="69">
        <f>'1. Accomodation'!R490</f>
        <v>0</v>
      </c>
      <c r="H486" s="69">
        <f>'1. Accomodation'!S490</f>
        <v>0</v>
      </c>
      <c r="I486" s="62"/>
      <c r="K486" s="272">
        <f>IFERROR(INDEX('2. GRI Pricing Inputs'!$C$15:$AI$16,MATCH($K$16,'2. GRI Pricing Inputs'!$C$15:$C$16,0),MATCH(D486,'2. GRI Pricing Inputs'!$C$15:$AI$15,0)),0)</f>
        <v>0</v>
      </c>
      <c r="L486" s="273">
        <f>IFERROR(INDEX('2. GRI Pricing Inputs'!$C$22:$AI$23,MATCH($L$16,'2. GRI Pricing Inputs'!$C$22:$C$23,0),MATCH(E486,'2. GRI Pricing Inputs'!$C$22:$AI$22,0)),0)</f>
        <v>0</v>
      </c>
      <c r="M486" s="328">
        <f>IF(AND('3. GRI Pricing'!$F486&gt;='2. GRI Pricing Inputs'!$D$33,'3. GRI Pricing'!$F486&lt;='2. GRI Pricing Inputs'!$E$33),'2. GRI Pricing Inputs'!$D$32,IF(AND('3. GRI Pricing'!$F486&gt;='2. GRI Pricing Inputs'!$F$33,'3. GRI Pricing'!$F486&lt;='2. GRI Pricing Inputs'!$G$33),'2. GRI Pricing Inputs'!$F$32,IF(AND('3. GRI Pricing'!$F486&gt;='2. GRI Pricing Inputs'!$H$33,'3. GRI Pricing'!$F486&lt;='2. GRI Pricing Inputs'!$I$33),'2. GRI Pricing Inputs'!$H$32,IF(AND('3. GRI Pricing'!$F486&gt;='2. GRI Pricing Inputs'!$J$33,'3. GRI Pricing'!$F486&lt;='2. GRI Pricing Inputs'!$K$33),'2. GRI Pricing Inputs'!$J$32,IF(AND('3. GRI Pricing'!$F486&gt;='2. GRI Pricing Inputs'!$L$33,'3. GRI Pricing'!$F486&lt;='2. GRI Pricing Inputs'!$M$33),'2. GRI Pricing Inputs'!$L$32,IF(AND('3. GRI Pricing'!$F486&gt;='2. GRI Pricing Inputs'!$N$33,'3. GRI Pricing'!$F486&lt;='2. GRI Pricing Inputs'!$O$33),'2. GRI Pricing Inputs'!$N$32,IF(AND('3. GRI Pricing'!$F486&gt;='2. GRI Pricing Inputs'!$P$33,'3. GRI Pricing'!$F486&lt;='2. GRI Pricing Inputs'!$Q$33),'2. GRI Pricing Inputs'!$P$32,IF(AND('3. GRI Pricing'!$F486&gt;='2. GRI Pricing Inputs'!$R$33,'3. GRI Pricing'!$F486&lt;='2. GRI Pricing Inputs'!$S$33),'2. GRI Pricing Inputs'!$R$32,IF(AND('3. GRI Pricing'!$F486&gt;='2. GRI Pricing Inputs'!$T$33,'3. GRI Pricing'!$F486&lt;='2. GRI Pricing Inputs'!$U$33),'2. GRI Pricing Inputs'!$T$32,IF(AND('3. GRI Pricing'!$F486&gt;='2. GRI Pricing Inputs'!$V$33,'3. GRI Pricing'!$F486&lt;='2. GRI Pricing Inputs'!$W$33),'2. GRI Pricing Inputs'!$V$32,IF(AND('3. GRI Pricing'!$F486&gt;='2. GRI Pricing Inputs'!$X$33,'3. GRI Pricing'!$F486&lt;='2. GRI Pricing Inputs'!$Y$33),'2. GRI Pricing Inputs'!$X$32,IF(AND('3. GRI Pricing'!$F486&gt;='2. GRI Pricing Inputs'!$Z$33,'3. GRI Pricing'!$F486&lt;='2. GRI Pricing Inputs'!$AA$33),'2. GRI Pricing Inputs'!$Z$32,IF(AND('3. GRI Pricing'!$F486&gt;='2. GRI Pricing Inputs'!$AB$33,'3. GRI Pricing'!$F486&lt;='2. GRI Pricing Inputs'!$AC$33),'2. GRI Pricing Inputs'!$AB$32,IF(AND('3. GRI Pricing'!$F486&gt;='2. GRI Pricing Inputs'!$AD$33,'3. GRI Pricing'!$F486&lt;='2. GRI Pricing Inputs'!$AE$33),'2. GRI Pricing Inputs'!$AD$32,IF(AND('3. GRI Pricing'!$F486&gt;='2. GRI Pricing Inputs'!$AF$33,'3. GRI Pricing'!$F486&lt;='2. GRI Pricing Inputs'!$AG$33),'2. GRI Pricing Inputs'!$AF$32,IF(AND('3. GRI Pricing'!$F486&gt;='2. GRI Pricing Inputs'!$AH$33,'3. GRI Pricing'!$F486&lt;='2. GRI Pricing Inputs'!$AI$33),'2. GRI Pricing Inputs'!$AH$32,0))))))))))))))))</f>
        <v>0</v>
      </c>
      <c r="N486" s="273" cm="1">
        <f t="array" ref="N486">IFERROR(INDEX('2. GRI Pricing Inputs'!$C$32:$AI$39,MATCH('3. GRI Pricing'!D486,'2. GRI Pricing Inputs'!$C$32:$C$39,0),(MATCH('3. GRI Pricing'!M486,'2. GRI Pricing Inputs'!$D$32:$AI$32,0)+1)),0)</f>
        <v>0</v>
      </c>
      <c r="O486" s="273">
        <f>IFERROR(INDEX('2. GRI Pricing Inputs'!$C$45:$AI$46,MATCH($O$16,'2. GRI Pricing Inputs'!$C$45:$C$46,0),MATCH(G486,'2. GRI Pricing Inputs'!$C$45:$AI$45,0)),0)</f>
        <v>0</v>
      </c>
      <c r="P486" s="273">
        <f>IFERROR(INDEX('2. GRI Pricing Inputs'!$C$53:$AI$54,MATCH('3. GRI Pricing'!$P$16,'2. GRI Pricing Inputs'!$C$53:$C$54,0),MATCH('3. GRI Pricing'!H486,'2. GRI Pricing Inputs'!$C$53:$AI$53,0)),0)</f>
        <v>0</v>
      </c>
      <c r="Q486" s="273">
        <f>IFERROR(INDEX('2. GRI Pricing Inputs'!$C$60:$AI$61,MATCH('3. GRI Pricing'!$Q$16,'2. GRI Pricing Inputs'!$C$60:$C$61,0),MATCH('1. Accomodation'!T490,'2. GRI Pricing Inputs'!$C$60:$AI$60,0)),0)</f>
        <v>0</v>
      </c>
      <c r="R486" s="273">
        <f>IFERROR(INDEX('2. GRI Pricing Inputs'!$C$67:$AI$68,MATCH('3. GRI Pricing'!$R$16,'2. GRI Pricing Inputs'!$C$67:$C$68,0),MATCH('1. Accomodation'!U490,'2. GRI Pricing Inputs'!$C$67:$AI$67,0)),0)</f>
        <v>0</v>
      </c>
      <c r="S486" s="273">
        <f>IF(D486=0,0,'2. GRI Pricing Inputs'!$AI$75)</f>
        <v>0</v>
      </c>
      <c r="T486" s="273">
        <f>IFERROR(INDEX('2. GRI Pricing Inputs'!$C$82:$AI$83,MATCH('3. GRI Pricing'!$T$16,'2. GRI Pricing Inputs'!$C$82:$C$83,0),MATCH('1. Accomodation'!V490,'2. GRI Pricing Inputs'!$C$82:$AI$82,0)),0)</f>
        <v>0</v>
      </c>
      <c r="U486" s="273">
        <f>IFERROR(INDEX('2. GRI Pricing Inputs'!$C$89:$AI$90,MATCH('3. GRI Pricing'!$U$16,'2. GRI Pricing Inputs'!$C$89:$C$90,0),MATCH('1. Accomodation'!W490,'2. GRI Pricing Inputs'!$C$89:$AI$89,0)),0)</f>
        <v>0</v>
      </c>
      <c r="V486" s="273">
        <f>IFERROR(INDEX('2. GRI Pricing Inputs'!$C$97:$AI$98,MATCH('3. GRI Pricing'!$V$16,'2. GRI Pricing Inputs'!$C$97:$C$98,0),MATCH('1. Accomodation'!X490,'2. GRI Pricing Inputs'!$C$97:$AI$97,0)),0)</f>
        <v>0</v>
      </c>
      <c r="W486" s="273">
        <f>IFERROR(INDEX('2. GRI Pricing Inputs'!$C$104:$AI$105,MATCH('3. GRI Pricing'!$W$16,'2. GRI Pricing Inputs'!$C$104:$C$105,0),MATCH('1. Accomodation'!Y490,'2. GRI Pricing Inputs'!$C$104:$AI$104,0)),0)</f>
        <v>0</v>
      </c>
      <c r="X486" s="274"/>
      <c r="Y486" s="275">
        <f t="shared" si="14"/>
        <v>0</v>
      </c>
      <c r="Z486" s="276"/>
      <c r="AA486" s="276"/>
      <c r="AB486" s="276"/>
      <c r="AC486" s="272">
        <f>Y486*(1+'2. GRI Pricing Inputs'!$D$114)^(($AC$16-$AB$15)/365)</f>
        <v>0</v>
      </c>
      <c r="AD486" s="273">
        <f>AC486*(1+'2. GRI Pricing Inputs'!$D$114)^((AD$16-AC$16)/365)</f>
        <v>0</v>
      </c>
      <c r="AE486" s="273">
        <f>AD486*(1+'2. GRI Pricing Inputs'!$D$114)^((AE$16-AD$16)/365)</f>
        <v>0</v>
      </c>
      <c r="AF486" s="273">
        <f>AE486*(1+'2. GRI Pricing Inputs'!$D$114)^((AF$16-AE$16)/365)</f>
        <v>0</v>
      </c>
      <c r="AG486" s="273">
        <f>AF486*(1+'2. GRI Pricing Inputs'!$D$114)^((AG$16-AF$16)/365)</f>
        <v>0</v>
      </c>
      <c r="AH486" s="273">
        <f>AG486*(1+'2. GRI Pricing Inputs'!$D$114)^((AH$16-AG$16)/365)</f>
        <v>0</v>
      </c>
      <c r="AI486" s="273">
        <f>AH486*(1+'2. GRI Pricing Inputs'!$D$114)^((AI$16-AH$16)/365)</f>
        <v>0</v>
      </c>
      <c r="AJ486" s="273">
        <f>AI486*(1+'2. GRI Pricing Inputs'!$D$114)^((AJ$16-AI$16)/365)</f>
        <v>0</v>
      </c>
      <c r="AK486" s="273">
        <f>AJ486*(1+'2. GRI Pricing Inputs'!$D$114)^((AK$16-AJ$16)/365)</f>
        <v>0</v>
      </c>
      <c r="AL486" s="273">
        <f>AK486*(1+'2. GRI Pricing Inputs'!$D$114)^((AL$16-AK$16)/365)</f>
        <v>0</v>
      </c>
      <c r="AM486" s="273">
        <f>AL486*(1+'2. GRI Pricing Inputs'!$D$114)^((AM$16-AL$16)/365)</f>
        <v>0</v>
      </c>
      <c r="AN486" s="273">
        <f>AM486*(1+'2. GRI Pricing Inputs'!$D$114)^((AN$16-AM$16)/365)</f>
        <v>0</v>
      </c>
      <c r="AO486" s="273">
        <f>AN486*(1+'2. GRI Pricing Inputs'!$D$114)^((AO$16-AN$16)/365)</f>
        <v>0</v>
      </c>
    </row>
    <row r="487" spans="3:41" ht="12" x14ac:dyDescent="0.2">
      <c r="C487" s="76">
        <f>'1. Accomodation'!N491</f>
        <v>0</v>
      </c>
      <c r="D487" s="69">
        <f>'1. Accomodation'!P491</f>
        <v>0</v>
      </c>
      <c r="E487" s="69">
        <f>'1. Accomodation'!Q491</f>
        <v>0</v>
      </c>
      <c r="F487" s="77">
        <f>'1. Accomodation'!O491</f>
        <v>0</v>
      </c>
      <c r="G487" s="69">
        <f>'1. Accomodation'!R491</f>
        <v>0</v>
      </c>
      <c r="H487" s="69">
        <f>'1. Accomodation'!S491</f>
        <v>0</v>
      </c>
      <c r="I487" s="62"/>
      <c r="K487" s="272">
        <f>IFERROR(INDEX('2. GRI Pricing Inputs'!$C$15:$AI$16,MATCH($K$16,'2. GRI Pricing Inputs'!$C$15:$C$16,0),MATCH(D487,'2. GRI Pricing Inputs'!$C$15:$AI$15,0)),0)</f>
        <v>0</v>
      </c>
      <c r="L487" s="273">
        <f>IFERROR(INDEX('2. GRI Pricing Inputs'!$C$22:$AI$23,MATCH($L$16,'2. GRI Pricing Inputs'!$C$22:$C$23,0),MATCH(E487,'2. GRI Pricing Inputs'!$C$22:$AI$22,0)),0)</f>
        <v>0</v>
      </c>
      <c r="M487" s="328">
        <f>IF(AND('3. GRI Pricing'!$F487&gt;='2. GRI Pricing Inputs'!$D$33,'3. GRI Pricing'!$F487&lt;='2. GRI Pricing Inputs'!$E$33),'2. GRI Pricing Inputs'!$D$32,IF(AND('3. GRI Pricing'!$F487&gt;='2. GRI Pricing Inputs'!$F$33,'3. GRI Pricing'!$F487&lt;='2. GRI Pricing Inputs'!$G$33),'2. GRI Pricing Inputs'!$F$32,IF(AND('3. GRI Pricing'!$F487&gt;='2. GRI Pricing Inputs'!$H$33,'3. GRI Pricing'!$F487&lt;='2. GRI Pricing Inputs'!$I$33),'2. GRI Pricing Inputs'!$H$32,IF(AND('3. GRI Pricing'!$F487&gt;='2. GRI Pricing Inputs'!$J$33,'3. GRI Pricing'!$F487&lt;='2. GRI Pricing Inputs'!$K$33),'2. GRI Pricing Inputs'!$J$32,IF(AND('3. GRI Pricing'!$F487&gt;='2. GRI Pricing Inputs'!$L$33,'3. GRI Pricing'!$F487&lt;='2. GRI Pricing Inputs'!$M$33),'2. GRI Pricing Inputs'!$L$32,IF(AND('3. GRI Pricing'!$F487&gt;='2. GRI Pricing Inputs'!$N$33,'3. GRI Pricing'!$F487&lt;='2. GRI Pricing Inputs'!$O$33),'2. GRI Pricing Inputs'!$N$32,IF(AND('3. GRI Pricing'!$F487&gt;='2. GRI Pricing Inputs'!$P$33,'3. GRI Pricing'!$F487&lt;='2. GRI Pricing Inputs'!$Q$33),'2. GRI Pricing Inputs'!$P$32,IF(AND('3. GRI Pricing'!$F487&gt;='2. GRI Pricing Inputs'!$R$33,'3. GRI Pricing'!$F487&lt;='2. GRI Pricing Inputs'!$S$33),'2. GRI Pricing Inputs'!$R$32,IF(AND('3. GRI Pricing'!$F487&gt;='2. GRI Pricing Inputs'!$T$33,'3. GRI Pricing'!$F487&lt;='2. GRI Pricing Inputs'!$U$33),'2. GRI Pricing Inputs'!$T$32,IF(AND('3. GRI Pricing'!$F487&gt;='2. GRI Pricing Inputs'!$V$33,'3. GRI Pricing'!$F487&lt;='2. GRI Pricing Inputs'!$W$33),'2. GRI Pricing Inputs'!$V$32,IF(AND('3. GRI Pricing'!$F487&gt;='2. GRI Pricing Inputs'!$X$33,'3. GRI Pricing'!$F487&lt;='2. GRI Pricing Inputs'!$Y$33),'2. GRI Pricing Inputs'!$X$32,IF(AND('3. GRI Pricing'!$F487&gt;='2. GRI Pricing Inputs'!$Z$33,'3. GRI Pricing'!$F487&lt;='2. GRI Pricing Inputs'!$AA$33),'2. GRI Pricing Inputs'!$Z$32,IF(AND('3. GRI Pricing'!$F487&gt;='2. GRI Pricing Inputs'!$AB$33,'3. GRI Pricing'!$F487&lt;='2. GRI Pricing Inputs'!$AC$33),'2. GRI Pricing Inputs'!$AB$32,IF(AND('3. GRI Pricing'!$F487&gt;='2. GRI Pricing Inputs'!$AD$33,'3. GRI Pricing'!$F487&lt;='2. GRI Pricing Inputs'!$AE$33),'2. GRI Pricing Inputs'!$AD$32,IF(AND('3. GRI Pricing'!$F487&gt;='2. GRI Pricing Inputs'!$AF$33,'3. GRI Pricing'!$F487&lt;='2. GRI Pricing Inputs'!$AG$33),'2. GRI Pricing Inputs'!$AF$32,IF(AND('3. GRI Pricing'!$F487&gt;='2. GRI Pricing Inputs'!$AH$33,'3. GRI Pricing'!$F487&lt;='2. GRI Pricing Inputs'!$AI$33),'2. GRI Pricing Inputs'!$AH$32,0))))))))))))))))</f>
        <v>0</v>
      </c>
      <c r="N487" s="273" cm="1">
        <f t="array" ref="N487">IFERROR(INDEX('2. GRI Pricing Inputs'!$C$32:$AI$39,MATCH('3. GRI Pricing'!D487,'2. GRI Pricing Inputs'!$C$32:$C$39,0),(MATCH('3. GRI Pricing'!M487,'2. GRI Pricing Inputs'!$D$32:$AI$32,0)+1)),0)</f>
        <v>0</v>
      </c>
      <c r="O487" s="273">
        <f>IFERROR(INDEX('2. GRI Pricing Inputs'!$C$45:$AI$46,MATCH($O$16,'2. GRI Pricing Inputs'!$C$45:$C$46,0),MATCH(G487,'2. GRI Pricing Inputs'!$C$45:$AI$45,0)),0)</f>
        <v>0</v>
      </c>
      <c r="P487" s="273">
        <f>IFERROR(INDEX('2. GRI Pricing Inputs'!$C$53:$AI$54,MATCH('3. GRI Pricing'!$P$16,'2. GRI Pricing Inputs'!$C$53:$C$54,0),MATCH('3. GRI Pricing'!H487,'2. GRI Pricing Inputs'!$C$53:$AI$53,0)),0)</f>
        <v>0</v>
      </c>
      <c r="Q487" s="273">
        <f>IFERROR(INDEX('2. GRI Pricing Inputs'!$C$60:$AI$61,MATCH('3. GRI Pricing'!$Q$16,'2. GRI Pricing Inputs'!$C$60:$C$61,0),MATCH('1. Accomodation'!T491,'2. GRI Pricing Inputs'!$C$60:$AI$60,0)),0)</f>
        <v>0</v>
      </c>
      <c r="R487" s="273">
        <f>IFERROR(INDEX('2. GRI Pricing Inputs'!$C$67:$AI$68,MATCH('3. GRI Pricing'!$R$16,'2. GRI Pricing Inputs'!$C$67:$C$68,0),MATCH('1. Accomodation'!U491,'2. GRI Pricing Inputs'!$C$67:$AI$67,0)),0)</f>
        <v>0</v>
      </c>
      <c r="S487" s="273">
        <f>IF(D487=0,0,'2. GRI Pricing Inputs'!$AI$75)</f>
        <v>0</v>
      </c>
      <c r="T487" s="273">
        <f>IFERROR(INDEX('2. GRI Pricing Inputs'!$C$82:$AI$83,MATCH('3. GRI Pricing'!$T$16,'2. GRI Pricing Inputs'!$C$82:$C$83,0),MATCH('1. Accomodation'!V491,'2. GRI Pricing Inputs'!$C$82:$AI$82,0)),0)</f>
        <v>0</v>
      </c>
      <c r="U487" s="273">
        <f>IFERROR(INDEX('2. GRI Pricing Inputs'!$C$89:$AI$90,MATCH('3. GRI Pricing'!$U$16,'2. GRI Pricing Inputs'!$C$89:$C$90,0),MATCH('1. Accomodation'!W491,'2. GRI Pricing Inputs'!$C$89:$AI$89,0)),0)</f>
        <v>0</v>
      </c>
      <c r="V487" s="273">
        <f>IFERROR(INDEX('2. GRI Pricing Inputs'!$C$97:$AI$98,MATCH('3. GRI Pricing'!$V$16,'2. GRI Pricing Inputs'!$C$97:$C$98,0),MATCH('1. Accomodation'!X491,'2. GRI Pricing Inputs'!$C$97:$AI$97,0)),0)</f>
        <v>0</v>
      </c>
      <c r="W487" s="273">
        <f>IFERROR(INDEX('2. GRI Pricing Inputs'!$C$104:$AI$105,MATCH('3. GRI Pricing'!$W$16,'2. GRI Pricing Inputs'!$C$104:$C$105,0),MATCH('1. Accomodation'!Y491,'2. GRI Pricing Inputs'!$C$104:$AI$104,0)),0)</f>
        <v>0</v>
      </c>
      <c r="X487" s="274"/>
      <c r="Y487" s="275">
        <f t="shared" si="14"/>
        <v>0</v>
      </c>
      <c r="Z487" s="276"/>
      <c r="AA487" s="276"/>
      <c r="AB487" s="276"/>
      <c r="AC487" s="272">
        <f>Y487*(1+'2. GRI Pricing Inputs'!$D$114)^(($AC$16-$AB$15)/365)</f>
        <v>0</v>
      </c>
      <c r="AD487" s="273">
        <f>AC487*(1+'2. GRI Pricing Inputs'!$D$114)^((AD$16-AC$16)/365)</f>
        <v>0</v>
      </c>
      <c r="AE487" s="273">
        <f>AD487*(1+'2. GRI Pricing Inputs'!$D$114)^((AE$16-AD$16)/365)</f>
        <v>0</v>
      </c>
      <c r="AF487" s="273">
        <f>AE487*(1+'2. GRI Pricing Inputs'!$D$114)^((AF$16-AE$16)/365)</f>
        <v>0</v>
      </c>
      <c r="AG487" s="273">
        <f>AF487*(1+'2. GRI Pricing Inputs'!$D$114)^((AG$16-AF$16)/365)</f>
        <v>0</v>
      </c>
      <c r="AH487" s="273">
        <f>AG487*(1+'2. GRI Pricing Inputs'!$D$114)^((AH$16-AG$16)/365)</f>
        <v>0</v>
      </c>
      <c r="AI487" s="273">
        <f>AH487*(1+'2. GRI Pricing Inputs'!$D$114)^((AI$16-AH$16)/365)</f>
        <v>0</v>
      </c>
      <c r="AJ487" s="273">
        <f>AI487*(1+'2. GRI Pricing Inputs'!$D$114)^((AJ$16-AI$16)/365)</f>
        <v>0</v>
      </c>
      <c r="AK487" s="273">
        <f>AJ487*(1+'2. GRI Pricing Inputs'!$D$114)^((AK$16-AJ$16)/365)</f>
        <v>0</v>
      </c>
      <c r="AL487" s="273">
        <f>AK487*(1+'2. GRI Pricing Inputs'!$D$114)^((AL$16-AK$16)/365)</f>
        <v>0</v>
      </c>
      <c r="AM487" s="273">
        <f>AL487*(1+'2. GRI Pricing Inputs'!$D$114)^((AM$16-AL$16)/365)</f>
        <v>0</v>
      </c>
      <c r="AN487" s="273">
        <f>AM487*(1+'2. GRI Pricing Inputs'!$D$114)^((AN$16-AM$16)/365)</f>
        <v>0</v>
      </c>
      <c r="AO487" s="273">
        <f>AN487*(1+'2. GRI Pricing Inputs'!$D$114)^((AO$16-AN$16)/365)</f>
        <v>0</v>
      </c>
    </row>
    <row r="488" spans="3:41" ht="12" x14ac:dyDescent="0.2">
      <c r="C488" s="76">
        <f>'1. Accomodation'!N492</f>
        <v>0</v>
      </c>
      <c r="D488" s="69">
        <f>'1. Accomodation'!P492</f>
        <v>0</v>
      </c>
      <c r="E488" s="69">
        <f>'1. Accomodation'!Q492</f>
        <v>0</v>
      </c>
      <c r="F488" s="77">
        <f>'1. Accomodation'!O492</f>
        <v>0</v>
      </c>
      <c r="G488" s="69">
        <f>'1. Accomodation'!R492</f>
        <v>0</v>
      </c>
      <c r="H488" s="69">
        <f>'1. Accomodation'!S492</f>
        <v>0</v>
      </c>
      <c r="I488" s="62"/>
      <c r="K488" s="272">
        <f>IFERROR(INDEX('2. GRI Pricing Inputs'!$C$15:$AI$16,MATCH($K$16,'2. GRI Pricing Inputs'!$C$15:$C$16,0),MATCH(D488,'2. GRI Pricing Inputs'!$C$15:$AI$15,0)),0)</f>
        <v>0</v>
      </c>
      <c r="L488" s="273">
        <f>IFERROR(INDEX('2. GRI Pricing Inputs'!$C$22:$AI$23,MATCH($L$16,'2. GRI Pricing Inputs'!$C$22:$C$23,0),MATCH(E488,'2. GRI Pricing Inputs'!$C$22:$AI$22,0)),0)</f>
        <v>0</v>
      </c>
      <c r="M488" s="328">
        <f>IF(AND('3. GRI Pricing'!$F488&gt;='2. GRI Pricing Inputs'!$D$33,'3. GRI Pricing'!$F488&lt;='2. GRI Pricing Inputs'!$E$33),'2. GRI Pricing Inputs'!$D$32,IF(AND('3. GRI Pricing'!$F488&gt;='2. GRI Pricing Inputs'!$F$33,'3. GRI Pricing'!$F488&lt;='2. GRI Pricing Inputs'!$G$33),'2. GRI Pricing Inputs'!$F$32,IF(AND('3. GRI Pricing'!$F488&gt;='2. GRI Pricing Inputs'!$H$33,'3. GRI Pricing'!$F488&lt;='2. GRI Pricing Inputs'!$I$33),'2. GRI Pricing Inputs'!$H$32,IF(AND('3. GRI Pricing'!$F488&gt;='2. GRI Pricing Inputs'!$J$33,'3. GRI Pricing'!$F488&lt;='2. GRI Pricing Inputs'!$K$33),'2. GRI Pricing Inputs'!$J$32,IF(AND('3. GRI Pricing'!$F488&gt;='2. GRI Pricing Inputs'!$L$33,'3. GRI Pricing'!$F488&lt;='2. GRI Pricing Inputs'!$M$33),'2. GRI Pricing Inputs'!$L$32,IF(AND('3. GRI Pricing'!$F488&gt;='2. GRI Pricing Inputs'!$N$33,'3. GRI Pricing'!$F488&lt;='2. GRI Pricing Inputs'!$O$33),'2. GRI Pricing Inputs'!$N$32,IF(AND('3. GRI Pricing'!$F488&gt;='2. GRI Pricing Inputs'!$P$33,'3. GRI Pricing'!$F488&lt;='2. GRI Pricing Inputs'!$Q$33),'2. GRI Pricing Inputs'!$P$32,IF(AND('3. GRI Pricing'!$F488&gt;='2. GRI Pricing Inputs'!$R$33,'3. GRI Pricing'!$F488&lt;='2. GRI Pricing Inputs'!$S$33),'2. GRI Pricing Inputs'!$R$32,IF(AND('3. GRI Pricing'!$F488&gt;='2. GRI Pricing Inputs'!$T$33,'3. GRI Pricing'!$F488&lt;='2. GRI Pricing Inputs'!$U$33),'2. GRI Pricing Inputs'!$T$32,IF(AND('3. GRI Pricing'!$F488&gt;='2. GRI Pricing Inputs'!$V$33,'3. GRI Pricing'!$F488&lt;='2. GRI Pricing Inputs'!$W$33),'2. GRI Pricing Inputs'!$V$32,IF(AND('3. GRI Pricing'!$F488&gt;='2. GRI Pricing Inputs'!$X$33,'3. GRI Pricing'!$F488&lt;='2. GRI Pricing Inputs'!$Y$33),'2. GRI Pricing Inputs'!$X$32,IF(AND('3. GRI Pricing'!$F488&gt;='2. GRI Pricing Inputs'!$Z$33,'3. GRI Pricing'!$F488&lt;='2. GRI Pricing Inputs'!$AA$33),'2. GRI Pricing Inputs'!$Z$32,IF(AND('3. GRI Pricing'!$F488&gt;='2. GRI Pricing Inputs'!$AB$33,'3. GRI Pricing'!$F488&lt;='2. GRI Pricing Inputs'!$AC$33),'2. GRI Pricing Inputs'!$AB$32,IF(AND('3. GRI Pricing'!$F488&gt;='2. GRI Pricing Inputs'!$AD$33,'3. GRI Pricing'!$F488&lt;='2. GRI Pricing Inputs'!$AE$33),'2. GRI Pricing Inputs'!$AD$32,IF(AND('3. GRI Pricing'!$F488&gt;='2. GRI Pricing Inputs'!$AF$33,'3. GRI Pricing'!$F488&lt;='2. GRI Pricing Inputs'!$AG$33),'2. GRI Pricing Inputs'!$AF$32,IF(AND('3. GRI Pricing'!$F488&gt;='2. GRI Pricing Inputs'!$AH$33,'3. GRI Pricing'!$F488&lt;='2. GRI Pricing Inputs'!$AI$33),'2. GRI Pricing Inputs'!$AH$32,0))))))))))))))))</f>
        <v>0</v>
      </c>
      <c r="N488" s="273" cm="1">
        <f t="array" ref="N488">IFERROR(INDEX('2. GRI Pricing Inputs'!$C$32:$AI$39,MATCH('3. GRI Pricing'!D488,'2. GRI Pricing Inputs'!$C$32:$C$39,0),(MATCH('3. GRI Pricing'!M488,'2. GRI Pricing Inputs'!$D$32:$AI$32,0)+1)),0)</f>
        <v>0</v>
      </c>
      <c r="O488" s="273">
        <f>IFERROR(INDEX('2. GRI Pricing Inputs'!$C$45:$AI$46,MATCH($O$16,'2. GRI Pricing Inputs'!$C$45:$C$46,0),MATCH(G488,'2. GRI Pricing Inputs'!$C$45:$AI$45,0)),0)</f>
        <v>0</v>
      </c>
      <c r="P488" s="273">
        <f>IFERROR(INDEX('2. GRI Pricing Inputs'!$C$53:$AI$54,MATCH('3. GRI Pricing'!$P$16,'2. GRI Pricing Inputs'!$C$53:$C$54,0),MATCH('3. GRI Pricing'!H488,'2. GRI Pricing Inputs'!$C$53:$AI$53,0)),0)</f>
        <v>0</v>
      </c>
      <c r="Q488" s="273">
        <f>IFERROR(INDEX('2. GRI Pricing Inputs'!$C$60:$AI$61,MATCH('3. GRI Pricing'!$Q$16,'2. GRI Pricing Inputs'!$C$60:$C$61,0),MATCH('1. Accomodation'!T492,'2. GRI Pricing Inputs'!$C$60:$AI$60,0)),0)</f>
        <v>0</v>
      </c>
      <c r="R488" s="273">
        <f>IFERROR(INDEX('2. GRI Pricing Inputs'!$C$67:$AI$68,MATCH('3. GRI Pricing'!$R$16,'2. GRI Pricing Inputs'!$C$67:$C$68,0),MATCH('1. Accomodation'!U492,'2. GRI Pricing Inputs'!$C$67:$AI$67,0)),0)</f>
        <v>0</v>
      </c>
      <c r="S488" s="273">
        <f>IF(D488=0,0,'2. GRI Pricing Inputs'!$AI$75)</f>
        <v>0</v>
      </c>
      <c r="T488" s="273">
        <f>IFERROR(INDEX('2. GRI Pricing Inputs'!$C$82:$AI$83,MATCH('3. GRI Pricing'!$T$16,'2. GRI Pricing Inputs'!$C$82:$C$83,0),MATCH('1. Accomodation'!V492,'2. GRI Pricing Inputs'!$C$82:$AI$82,0)),0)</f>
        <v>0</v>
      </c>
      <c r="U488" s="273">
        <f>IFERROR(INDEX('2. GRI Pricing Inputs'!$C$89:$AI$90,MATCH('3. GRI Pricing'!$U$16,'2. GRI Pricing Inputs'!$C$89:$C$90,0),MATCH('1. Accomodation'!W492,'2. GRI Pricing Inputs'!$C$89:$AI$89,0)),0)</f>
        <v>0</v>
      </c>
      <c r="V488" s="273">
        <f>IFERROR(INDEX('2. GRI Pricing Inputs'!$C$97:$AI$98,MATCH('3. GRI Pricing'!$V$16,'2. GRI Pricing Inputs'!$C$97:$C$98,0),MATCH('1. Accomodation'!X492,'2. GRI Pricing Inputs'!$C$97:$AI$97,0)),0)</f>
        <v>0</v>
      </c>
      <c r="W488" s="273">
        <f>IFERROR(INDEX('2. GRI Pricing Inputs'!$C$104:$AI$105,MATCH('3. GRI Pricing'!$W$16,'2. GRI Pricing Inputs'!$C$104:$C$105,0),MATCH('1. Accomodation'!Y492,'2. GRI Pricing Inputs'!$C$104:$AI$104,0)),0)</f>
        <v>0</v>
      </c>
      <c r="X488" s="274"/>
      <c r="Y488" s="275">
        <f t="shared" si="14"/>
        <v>0</v>
      </c>
      <c r="Z488" s="276"/>
      <c r="AA488" s="276"/>
      <c r="AB488" s="276"/>
      <c r="AC488" s="272">
        <f>Y488*(1+'2. GRI Pricing Inputs'!$D$114)^(($AC$16-$AB$15)/365)</f>
        <v>0</v>
      </c>
      <c r="AD488" s="273">
        <f>AC488*(1+'2. GRI Pricing Inputs'!$D$114)^((AD$16-AC$16)/365)</f>
        <v>0</v>
      </c>
      <c r="AE488" s="273">
        <f>AD488*(1+'2. GRI Pricing Inputs'!$D$114)^((AE$16-AD$16)/365)</f>
        <v>0</v>
      </c>
      <c r="AF488" s="273">
        <f>AE488*(1+'2. GRI Pricing Inputs'!$D$114)^((AF$16-AE$16)/365)</f>
        <v>0</v>
      </c>
      <c r="AG488" s="273">
        <f>AF488*(1+'2. GRI Pricing Inputs'!$D$114)^((AG$16-AF$16)/365)</f>
        <v>0</v>
      </c>
      <c r="AH488" s="273">
        <f>AG488*(1+'2. GRI Pricing Inputs'!$D$114)^((AH$16-AG$16)/365)</f>
        <v>0</v>
      </c>
      <c r="AI488" s="273">
        <f>AH488*(1+'2. GRI Pricing Inputs'!$D$114)^((AI$16-AH$16)/365)</f>
        <v>0</v>
      </c>
      <c r="AJ488" s="273">
        <f>AI488*(1+'2. GRI Pricing Inputs'!$D$114)^((AJ$16-AI$16)/365)</f>
        <v>0</v>
      </c>
      <c r="AK488" s="273">
        <f>AJ488*(1+'2. GRI Pricing Inputs'!$D$114)^((AK$16-AJ$16)/365)</f>
        <v>0</v>
      </c>
      <c r="AL488" s="273">
        <f>AK488*(1+'2. GRI Pricing Inputs'!$D$114)^((AL$16-AK$16)/365)</f>
        <v>0</v>
      </c>
      <c r="AM488" s="273">
        <f>AL488*(1+'2. GRI Pricing Inputs'!$D$114)^((AM$16-AL$16)/365)</f>
        <v>0</v>
      </c>
      <c r="AN488" s="273">
        <f>AM488*(1+'2. GRI Pricing Inputs'!$D$114)^((AN$16-AM$16)/365)</f>
        <v>0</v>
      </c>
      <c r="AO488" s="273">
        <f>AN488*(1+'2. GRI Pricing Inputs'!$D$114)^((AO$16-AN$16)/365)</f>
        <v>0</v>
      </c>
    </row>
    <row r="489" spans="3:41" ht="12" x14ac:dyDescent="0.2">
      <c r="C489" s="76">
        <f>'1. Accomodation'!N493</f>
        <v>0</v>
      </c>
      <c r="D489" s="69">
        <f>'1. Accomodation'!P493</f>
        <v>0</v>
      </c>
      <c r="E489" s="69">
        <f>'1. Accomodation'!Q493</f>
        <v>0</v>
      </c>
      <c r="F489" s="77">
        <f>'1. Accomodation'!O493</f>
        <v>0</v>
      </c>
      <c r="G489" s="69">
        <f>'1. Accomodation'!R493</f>
        <v>0</v>
      </c>
      <c r="H489" s="69">
        <f>'1. Accomodation'!S493</f>
        <v>0</v>
      </c>
      <c r="I489" s="62"/>
      <c r="K489" s="272">
        <f>IFERROR(INDEX('2. GRI Pricing Inputs'!$C$15:$AI$16,MATCH($K$16,'2. GRI Pricing Inputs'!$C$15:$C$16,0),MATCH(D489,'2. GRI Pricing Inputs'!$C$15:$AI$15,0)),0)</f>
        <v>0</v>
      </c>
      <c r="L489" s="273">
        <f>IFERROR(INDEX('2. GRI Pricing Inputs'!$C$22:$AI$23,MATCH($L$16,'2. GRI Pricing Inputs'!$C$22:$C$23,0),MATCH(E489,'2. GRI Pricing Inputs'!$C$22:$AI$22,0)),0)</f>
        <v>0</v>
      </c>
      <c r="M489" s="328">
        <f>IF(AND('3. GRI Pricing'!$F489&gt;='2. GRI Pricing Inputs'!$D$33,'3. GRI Pricing'!$F489&lt;='2. GRI Pricing Inputs'!$E$33),'2. GRI Pricing Inputs'!$D$32,IF(AND('3. GRI Pricing'!$F489&gt;='2. GRI Pricing Inputs'!$F$33,'3. GRI Pricing'!$F489&lt;='2. GRI Pricing Inputs'!$G$33),'2. GRI Pricing Inputs'!$F$32,IF(AND('3. GRI Pricing'!$F489&gt;='2. GRI Pricing Inputs'!$H$33,'3. GRI Pricing'!$F489&lt;='2. GRI Pricing Inputs'!$I$33),'2. GRI Pricing Inputs'!$H$32,IF(AND('3. GRI Pricing'!$F489&gt;='2. GRI Pricing Inputs'!$J$33,'3. GRI Pricing'!$F489&lt;='2. GRI Pricing Inputs'!$K$33),'2. GRI Pricing Inputs'!$J$32,IF(AND('3. GRI Pricing'!$F489&gt;='2. GRI Pricing Inputs'!$L$33,'3. GRI Pricing'!$F489&lt;='2. GRI Pricing Inputs'!$M$33),'2. GRI Pricing Inputs'!$L$32,IF(AND('3. GRI Pricing'!$F489&gt;='2. GRI Pricing Inputs'!$N$33,'3. GRI Pricing'!$F489&lt;='2. GRI Pricing Inputs'!$O$33),'2. GRI Pricing Inputs'!$N$32,IF(AND('3. GRI Pricing'!$F489&gt;='2. GRI Pricing Inputs'!$P$33,'3. GRI Pricing'!$F489&lt;='2. GRI Pricing Inputs'!$Q$33),'2. GRI Pricing Inputs'!$P$32,IF(AND('3. GRI Pricing'!$F489&gt;='2. GRI Pricing Inputs'!$R$33,'3. GRI Pricing'!$F489&lt;='2. GRI Pricing Inputs'!$S$33),'2. GRI Pricing Inputs'!$R$32,IF(AND('3. GRI Pricing'!$F489&gt;='2. GRI Pricing Inputs'!$T$33,'3. GRI Pricing'!$F489&lt;='2. GRI Pricing Inputs'!$U$33),'2. GRI Pricing Inputs'!$T$32,IF(AND('3. GRI Pricing'!$F489&gt;='2. GRI Pricing Inputs'!$V$33,'3. GRI Pricing'!$F489&lt;='2. GRI Pricing Inputs'!$W$33),'2. GRI Pricing Inputs'!$V$32,IF(AND('3. GRI Pricing'!$F489&gt;='2. GRI Pricing Inputs'!$X$33,'3. GRI Pricing'!$F489&lt;='2. GRI Pricing Inputs'!$Y$33),'2. GRI Pricing Inputs'!$X$32,IF(AND('3. GRI Pricing'!$F489&gt;='2. GRI Pricing Inputs'!$Z$33,'3. GRI Pricing'!$F489&lt;='2. GRI Pricing Inputs'!$AA$33),'2. GRI Pricing Inputs'!$Z$32,IF(AND('3. GRI Pricing'!$F489&gt;='2. GRI Pricing Inputs'!$AB$33,'3. GRI Pricing'!$F489&lt;='2. GRI Pricing Inputs'!$AC$33),'2. GRI Pricing Inputs'!$AB$32,IF(AND('3. GRI Pricing'!$F489&gt;='2. GRI Pricing Inputs'!$AD$33,'3. GRI Pricing'!$F489&lt;='2. GRI Pricing Inputs'!$AE$33),'2. GRI Pricing Inputs'!$AD$32,IF(AND('3. GRI Pricing'!$F489&gt;='2. GRI Pricing Inputs'!$AF$33,'3. GRI Pricing'!$F489&lt;='2. GRI Pricing Inputs'!$AG$33),'2. GRI Pricing Inputs'!$AF$32,IF(AND('3. GRI Pricing'!$F489&gt;='2. GRI Pricing Inputs'!$AH$33,'3. GRI Pricing'!$F489&lt;='2. GRI Pricing Inputs'!$AI$33),'2. GRI Pricing Inputs'!$AH$32,0))))))))))))))))</f>
        <v>0</v>
      </c>
      <c r="N489" s="273" cm="1">
        <f t="array" ref="N489">IFERROR(INDEX('2. GRI Pricing Inputs'!$C$32:$AI$39,MATCH('3. GRI Pricing'!D489,'2. GRI Pricing Inputs'!$C$32:$C$39,0),(MATCH('3. GRI Pricing'!M489,'2. GRI Pricing Inputs'!$D$32:$AI$32,0)+1)),0)</f>
        <v>0</v>
      </c>
      <c r="O489" s="273">
        <f>IFERROR(INDEX('2. GRI Pricing Inputs'!$C$45:$AI$46,MATCH($O$16,'2. GRI Pricing Inputs'!$C$45:$C$46,0),MATCH(G489,'2. GRI Pricing Inputs'!$C$45:$AI$45,0)),0)</f>
        <v>0</v>
      </c>
      <c r="P489" s="273">
        <f>IFERROR(INDEX('2. GRI Pricing Inputs'!$C$53:$AI$54,MATCH('3. GRI Pricing'!$P$16,'2. GRI Pricing Inputs'!$C$53:$C$54,0),MATCH('3. GRI Pricing'!H489,'2. GRI Pricing Inputs'!$C$53:$AI$53,0)),0)</f>
        <v>0</v>
      </c>
      <c r="Q489" s="273">
        <f>IFERROR(INDEX('2. GRI Pricing Inputs'!$C$60:$AI$61,MATCH('3. GRI Pricing'!$Q$16,'2. GRI Pricing Inputs'!$C$60:$C$61,0),MATCH('1. Accomodation'!T493,'2. GRI Pricing Inputs'!$C$60:$AI$60,0)),0)</f>
        <v>0</v>
      </c>
      <c r="R489" s="273">
        <f>IFERROR(INDEX('2. GRI Pricing Inputs'!$C$67:$AI$68,MATCH('3. GRI Pricing'!$R$16,'2. GRI Pricing Inputs'!$C$67:$C$68,0),MATCH('1. Accomodation'!U493,'2. GRI Pricing Inputs'!$C$67:$AI$67,0)),0)</f>
        <v>0</v>
      </c>
      <c r="S489" s="273">
        <f>IF(D489=0,0,'2. GRI Pricing Inputs'!$AI$75)</f>
        <v>0</v>
      </c>
      <c r="T489" s="273">
        <f>IFERROR(INDEX('2. GRI Pricing Inputs'!$C$82:$AI$83,MATCH('3. GRI Pricing'!$T$16,'2. GRI Pricing Inputs'!$C$82:$C$83,0),MATCH('1. Accomodation'!V493,'2. GRI Pricing Inputs'!$C$82:$AI$82,0)),0)</f>
        <v>0</v>
      </c>
      <c r="U489" s="273">
        <f>IFERROR(INDEX('2. GRI Pricing Inputs'!$C$89:$AI$90,MATCH('3. GRI Pricing'!$U$16,'2. GRI Pricing Inputs'!$C$89:$C$90,0),MATCH('1. Accomodation'!W493,'2. GRI Pricing Inputs'!$C$89:$AI$89,0)),0)</f>
        <v>0</v>
      </c>
      <c r="V489" s="273">
        <f>IFERROR(INDEX('2. GRI Pricing Inputs'!$C$97:$AI$98,MATCH('3. GRI Pricing'!$V$16,'2. GRI Pricing Inputs'!$C$97:$C$98,0),MATCH('1. Accomodation'!X493,'2. GRI Pricing Inputs'!$C$97:$AI$97,0)),0)</f>
        <v>0</v>
      </c>
      <c r="W489" s="273">
        <f>IFERROR(INDEX('2. GRI Pricing Inputs'!$C$104:$AI$105,MATCH('3. GRI Pricing'!$W$16,'2. GRI Pricing Inputs'!$C$104:$C$105,0),MATCH('1. Accomodation'!Y493,'2. GRI Pricing Inputs'!$C$104:$AI$104,0)),0)</f>
        <v>0</v>
      </c>
      <c r="X489" s="274"/>
      <c r="Y489" s="275">
        <f t="shared" si="14"/>
        <v>0</v>
      </c>
      <c r="Z489" s="276"/>
      <c r="AA489" s="276"/>
      <c r="AB489" s="276"/>
      <c r="AC489" s="272">
        <f>Y489*(1+'2. GRI Pricing Inputs'!$D$114)^(($AC$16-$AB$15)/365)</f>
        <v>0</v>
      </c>
      <c r="AD489" s="273">
        <f>AC489*(1+'2. GRI Pricing Inputs'!$D$114)^((AD$16-AC$16)/365)</f>
        <v>0</v>
      </c>
      <c r="AE489" s="273">
        <f>AD489*(1+'2. GRI Pricing Inputs'!$D$114)^((AE$16-AD$16)/365)</f>
        <v>0</v>
      </c>
      <c r="AF489" s="273">
        <f>AE489*(1+'2. GRI Pricing Inputs'!$D$114)^((AF$16-AE$16)/365)</f>
        <v>0</v>
      </c>
      <c r="AG489" s="273">
        <f>AF489*(1+'2. GRI Pricing Inputs'!$D$114)^((AG$16-AF$16)/365)</f>
        <v>0</v>
      </c>
      <c r="AH489" s="273">
        <f>AG489*(1+'2. GRI Pricing Inputs'!$D$114)^((AH$16-AG$16)/365)</f>
        <v>0</v>
      </c>
      <c r="AI489" s="273">
        <f>AH489*(1+'2. GRI Pricing Inputs'!$D$114)^((AI$16-AH$16)/365)</f>
        <v>0</v>
      </c>
      <c r="AJ489" s="273">
        <f>AI489*(1+'2. GRI Pricing Inputs'!$D$114)^((AJ$16-AI$16)/365)</f>
        <v>0</v>
      </c>
      <c r="AK489" s="273">
        <f>AJ489*(1+'2. GRI Pricing Inputs'!$D$114)^((AK$16-AJ$16)/365)</f>
        <v>0</v>
      </c>
      <c r="AL489" s="273">
        <f>AK489*(1+'2. GRI Pricing Inputs'!$D$114)^((AL$16-AK$16)/365)</f>
        <v>0</v>
      </c>
      <c r="AM489" s="273">
        <f>AL489*(1+'2. GRI Pricing Inputs'!$D$114)^((AM$16-AL$16)/365)</f>
        <v>0</v>
      </c>
      <c r="AN489" s="273">
        <f>AM489*(1+'2. GRI Pricing Inputs'!$D$114)^((AN$16-AM$16)/365)</f>
        <v>0</v>
      </c>
      <c r="AO489" s="273">
        <f>AN489*(1+'2. GRI Pricing Inputs'!$D$114)^((AO$16-AN$16)/365)</f>
        <v>0</v>
      </c>
    </row>
    <row r="490" spans="3:41" ht="12" x14ac:dyDescent="0.2">
      <c r="C490" s="76">
        <f>'1. Accomodation'!N494</f>
        <v>0</v>
      </c>
      <c r="D490" s="69">
        <f>'1. Accomodation'!P494</f>
        <v>0</v>
      </c>
      <c r="E490" s="69">
        <f>'1. Accomodation'!Q494</f>
        <v>0</v>
      </c>
      <c r="F490" s="77">
        <f>'1. Accomodation'!O494</f>
        <v>0</v>
      </c>
      <c r="G490" s="69">
        <f>'1. Accomodation'!R494</f>
        <v>0</v>
      </c>
      <c r="H490" s="69">
        <f>'1. Accomodation'!S494</f>
        <v>0</v>
      </c>
      <c r="I490" s="62"/>
      <c r="K490" s="272">
        <f>IFERROR(INDEX('2. GRI Pricing Inputs'!$C$15:$AI$16,MATCH($K$16,'2. GRI Pricing Inputs'!$C$15:$C$16,0),MATCH(D490,'2. GRI Pricing Inputs'!$C$15:$AI$15,0)),0)</f>
        <v>0</v>
      </c>
      <c r="L490" s="273">
        <f>IFERROR(INDEX('2. GRI Pricing Inputs'!$C$22:$AI$23,MATCH($L$16,'2. GRI Pricing Inputs'!$C$22:$C$23,0),MATCH(E490,'2. GRI Pricing Inputs'!$C$22:$AI$22,0)),0)</f>
        <v>0</v>
      </c>
      <c r="M490" s="328">
        <f>IF(AND('3. GRI Pricing'!$F490&gt;='2. GRI Pricing Inputs'!$D$33,'3. GRI Pricing'!$F490&lt;='2. GRI Pricing Inputs'!$E$33),'2. GRI Pricing Inputs'!$D$32,IF(AND('3. GRI Pricing'!$F490&gt;='2. GRI Pricing Inputs'!$F$33,'3. GRI Pricing'!$F490&lt;='2. GRI Pricing Inputs'!$G$33),'2. GRI Pricing Inputs'!$F$32,IF(AND('3. GRI Pricing'!$F490&gt;='2. GRI Pricing Inputs'!$H$33,'3. GRI Pricing'!$F490&lt;='2. GRI Pricing Inputs'!$I$33),'2. GRI Pricing Inputs'!$H$32,IF(AND('3. GRI Pricing'!$F490&gt;='2. GRI Pricing Inputs'!$J$33,'3. GRI Pricing'!$F490&lt;='2. GRI Pricing Inputs'!$K$33),'2. GRI Pricing Inputs'!$J$32,IF(AND('3. GRI Pricing'!$F490&gt;='2. GRI Pricing Inputs'!$L$33,'3. GRI Pricing'!$F490&lt;='2. GRI Pricing Inputs'!$M$33),'2. GRI Pricing Inputs'!$L$32,IF(AND('3. GRI Pricing'!$F490&gt;='2. GRI Pricing Inputs'!$N$33,'3. GRI Pricing'!$F490&lt;='2. GRI Pricing Inputs'!$O$33),'2. GRI Pricing Inputs'!$N$32,IF(AND('3. GRI Pricing'!$F490&gt;='2. GRI Pricing Inputs'!$P$33,'3. GRI Pricing'!$F490&lt;='2. GRI Pricing Inputs'!$Q$33),'2. GRI Pricing Inputs'!$P$32,IF(AND('3. GRI Pricing'!$F490&gt;='2. GRI Pricing Inputs'!$R$33,'3. GRI Pricing'!$F490&lt;='2. GRI Pricing Inputs'!$S$33),'2. GRI Pricing Inputs'!$R$32,IF(AND('3. GRI Pricing'!$F490&gt;='2. GRI Pricing Inputs'!$T$33,'3. GRI Pricing'!$F490&lt;='2. GRI Pricing Inputs'!$U$33),'2. GRI Pricing Inputs'!$T$32,IF(AND('3. GRI Pricing'!$F490&gt;='2. GRI Pricing Inputs'!$V$33,'3. GRI Pricing'!$F490&lt;='2. GRI Pricing Inputs'!$W$33),'2. GRI Pricing Inputs'!$V$32,IF(AND('3. GRI Pricing'!$F490&gt;='2. GRI Pricing Inputs'!$X$33,'3. GRI Pricing'!$F490&lt;='2. GRI Pricing Inputs'!$Y$33),'2. GRI Pricing Inputs'!$X$32,IF(AND('3. GRI Pricing'!$F490&gt;='2. GRI Pricing Inputs'!$Z$33,'3. GRI Pricing'!$F490&lt;='2. GRI Pricing Inputs'!$AA$33),'2. GRI Pricing Inputs'!$Z$32,IF(AND('3. GRI Pricing'!$F490&gt;='2. GRI Pricing Inputs'!$AB$33,'3. GRI Pricing'!$F490&lt;='2. GRI Pricing Inputs'!$AC$33),'2. GRI Pricing Inputs'!$AB$32,IF(AND('3. GRI Pricing'!$F490&gt;='2. GRI Pricing Inputs'!$AD$33,'3. GRI Pricing'!$F490&lt;='2. GRI Pricing Inputs'!$AE$33),'2. GRI Pricing Inputs'!$AD$32,IF(AND('3. GRI Pricing'!$F490&gt;='2. GRI Pricing Inputs'!$AF$33,'3. GRI Pricing'!$F490&lt;='2. GRI Pricing Inputs'!$AG$33),'2. GRI Pricing Inputs'!$AF$32,IF(AND('3. GRI Pricing'!$F490&gt;='2. GRI Pricing Inputs'!$AH$33,'3. GRI Pricing'!$F490&lt;='2. GRI Pricing Inputs'!$AI$33),'2. GRI Pricing Inputs'!$AH$32,0))))))))))))))))</f>
        <v>0</v>
      </c>
      <c r="N490" s="273" cm="1">
        <f t="array" ref="N490">IFERROR(INDEX('2. GRI Pricing Inputs'!$C$32:$AI$39,MATCH('3. GRI Pricing'!D490,'2. GRI Pricing Inputs'!$C$32:$C$39,0),(MATCH('3. GRI Pricing'!M490,'2. GRI Pricing Inputs'!$D$32:$AI$32,0)+1)),0)</f>
        <v>0</v>
      </c>
      <c r="O490" s="273">
        <f>IFERROR(INDEX('2. GRI Pricing Inputs'!$C$45:$AI$46,MATCH($O$16,'2. GRI Pricing Inputs'!$C$45:$C$46,0),MATCH(G490,'2. GRI Pricing Inputs'!$C$45:$AI$45,0)),0)</f>
        <v>0</v>
      </c>
      <c r="P490" s="273">
        <f>IFERROR(INDEX('2. GRI Pricing Inputs'!$C$53:$AI$54,MATCH('3. GRI Pricing'!$P$16,'2. GRI Pricing Inputs'!$C$53:$C$54,0),MATCH('3. GRI Pricing'!H490,'2. GRI Pricing Inputs'!$C$53:$AI$53,0)),0)</f>
        <v>0</v>
      </c>
      <c r="Q490" s="273">
        <f>IFERROR(INDEX('2. GRI Pricing Inputs'!$C$60:$AI$61,MATCH('3. GRI Pricing'!$Q$16,'2. GRI Pricing Inputs'!$C$60:$C$61,0),MATCH('1. Accomodation'!T494,'2. GRI Pricing Inputs'!$C$60:$AI$60,0)),0)</f>
        <v>0</v>
      </c>
      <c r="R490" s="273">
        <f>IFERROR(INDEX('2. GRI Pricing Inputs'!$C$67:$AI$68,MATCH('3. GRI Pricing'!$R$16,'2. GRI Pricing Inputs'!$C$67:$C$68,0),MATCH('1. Accomodation'!U494,'2. GRI Pricing Inputs'!$C$67:$AI$67,0)),0)</f>
        <v>0</v>
      </c>
      <c r="S490" s="273">
        <f>IF(D490=0,0,'2. GRI Pricing Inputs'!$AI$75)</f>
        <v>0</v>
      </c>
      <c r="T490" s="273">
        <f>IFERROR(INDEX('2. GRI Pricing Inputs'!$C$82:$AI$83,MATCH('3. GRI Pricing'!$T$16,'2. GRI Pricing Inputs'!$C$82:$C$83,0),MATCH('1. Accomodation'!V494,'2. GRI Pricing Inputs'!$C$82:$AI$82,0)),0)</f>
        <v>0</v>
      </c>
      <c r="U490" s="273">
        <f>IFERROR(INDEX('2. GRI Pricing Inputs'!$C$89:$AI$90,MATCH('3. GRI Pricing'!$U$16,'2. GRI Pricing Inputs'!$C$89:$C$90,0),MATCH('1. Accomodation'!W494,'2. GRI Pricing Inputs'!$C$89:$AI$89,0)),0)</f>
        <v>0</v>
      </c>
      <c r="V490" s="273">
        <f>IFERROR(INDEX('2. GRI Pricing Inputs'!$C$97:$AI$98,MATCH('3. GRI Pricing'!$V$16,'2. GRI Pricing Inputs'!$C$97:$C$98,0),MATCH('1. Accomodation'!X494,'2. GRI Pricing Inputs'!$C$97:$AI$97,0)),0)</f>
        <v>0</v>
      </c>
      <c r="W490" s="273">
        <f>IFERROR(INDEX('2. GRI Pricing Inputs'!$C$104:$AI$105,MATCH('3. GRI Pricing'!$W$16,'2. GRI Pricing Inputs'!$C$104:$C$105,0),MATCH('1. Accomodation'!Y494,'2. GRI Pricing Inputs'!$C$104:$AI$104,0)),0)</f>
        <v>0</v>
      </c>
      <c r="X490" s="274"/>
      <c r="Y490" s="275">
        <f t="shared" si="14"/>
        <v>0</v>
      </c>
      <c r="Z490" s="276"/>
      <c r="AA490" s="276"/>
      <c r="AB490" s="276"/>
      <c r="AC490" s="272">
        <f>Y490*(1+'2. GRI Pricing Inputs'!$D$114)^(($AC$16-$AB$15)/365)</f>
        <v>0</v>
      </c>
      <c r="AD490" s="273">
        <f>AC490*(1+'2. GRI Pricing Inputs'!$D$114)^((AD$16-AC$16)/365)</f>
        <v>0</v>
      </c>
      <c r="AE490" s="273">
        <f>AD490*(1+'2. GRI Pricing Inputs'!$D$114)^((AE$16-AD$16)/365)</f>
        <v>0</v>
      </c>
      <c r="AF490" s="273">
        <f>AE490*(1+'2. GRI Pricing Inputs'!$D$114)^((AF$16-AE$16)/365)</f>
        <v>0</v>
      </c>
      <c r="AG490" s="273">
        <f>AF490*(1+'2. GRI Pricing Inputs'!$D$114)^((AG$16-AF$16)/365)</f>
        <v>0</v>
      </c>
      <c r="AH490" s="273">
        <f>AG490*(1+'2. GRI Pricing Inputs'!$D$114)^((AH$16-AG$16)/365)</f>
        <v>0</v>
      </c>
      <c r="AI490" s="273">
        <f>AH490*(1+'2. GRI Pricing Inputs'!$D$114)^((AI$16-AH$16)/365)</f>
        <v>0</v>
      </c>
      <c r="AJ490" s="273">
        <f>AI490*(1+'2. GRI Pricing Inputs'!$D$114)^((AJ$16-AI$16)/365)</f>
        <v>0</v>
      </c>
      <c r="AK490" s="273">
        <f>AJ490*(1+'2. GRI Pricing Inputs'!$D$114)^((AK$16-AJ$16)/365)</f>
        <v>0</v>
      </c>
      <c r="AL490" s="273">
        <f>AK490*(1+'2. GRI Pricing Inputs'!$D$114)^((AL$16-AK$16)/365)</f>
        <v>0</v>
      </c>
      <c r="AM490" s="273">
        <f>AL490*(1+'2. GRI Pricing Inputs'!$D$114)^((AM$16-AL$16)/365)</f>
        <v>0</v>
      </c>
      <c r="AN490" s="273">
        <f>AM490*(1+'2. GRI Pricing Inputs'!$D$114)^((AN$16-AM$16)/365)</f>
        <v>0</v>
      </c>
      <c r="AO490" s="273">
        <f>AN490*(1+'2. GRI Pricing Inputs'!$D$114)^((AO$16-AN$16)/365)</f>
        <v>0</v>
      </c>
    </row>
    <row r="491" spans="3:41" ht="12" x14ac:dyDescent="0.2">
      <c r="C491" s="76">
        <f>'1. Accomodation'!N495</f>
        <v>0</v>
      </c>
      <c r="D491" s="69">
        <f>'1. Accomodation'!P495</f>
        <v>0</v>
      </c>
      <c r="E491" s="69">
        <f>'1. Accomodation'!Q495</f>
        <v>0</v>
      </c>
      <c r="F491" s="77">
        <f>'1. Accomodation'!O495</f>
        <v>0</v>
      </c>
      <c r="G491" s="69">
        <f>'1. Accomodation'!R495</f>
        <v>0</v>
      </c>
      <c r="H491" s="69">
        <f>'1. Accomodation'!S495</f>
        <v>0</v>
      </c>
      <c r="I491" s="62"/>
      <c r="K491" s="272">
        <f>IFERROR(INDEX('2. GRI Pricing Inputs'!$C$15:$AI$16,MATCH($K$16,'2. GRI Pricing Inputs'!$C$15:$C$16,0),MATCH(D491,'2. GRI Pricing Inputs'!$C$15:$AI$15,0)),0)</f>
        <v>0</v>
      </c>
      <c r="L491" s="273">
        <f>IFERROR(INDEX('2. GRI Pricing Inputs'!$C$22:$AI$23,MATCH($L$16,'2. GRI Pricing Inputs'!$C$22:$C$23,0),MATCH(E491,'2. GRI Pricing Inputs'!$C$22:$AI$22,0)),0)</f>
        <v>0</v>
      </c>
      <c r="M491" s="328">
        <f>IF(AND('3. GRI Pricing'!$F491&gt;='2. GRI Pricing Inputs'!$D$33,'3. GRI Pricing'!$F491&lt;='2. GRI Pricing Inputs'!$E$33),'2. GRI Pricing Inputs'!$D$32,IF(AND('3. GRI Pricing'!$F491&gt;='2. GRI Pricing Inputs'!$F$33,'3. GRI Pricing'!$F491&lt;='2. GRI Pricing Inputs'!$G$33),'2. GRI Pricing Inputs'!$F$32,IF(AND('3. GRI Pricing'!$F491&gt;='2. GRI Pricing Inputs'!$H$33,'3. GRI Pricing'!$F491&lt;='2. GRI Pricing Inputs'!$I$33),'2. GRI Pricing Inputs'!$H$32,IF(AND('3. GRI Pricing'!$F491&gt;='2. GRI Pricing Inputs'!$J$33,'3. GRI Pricing'!$F491&lt;='2. GRI Pricing Inputs'!$K$33),'2. GRI Pricing Inputs'!$J$32,IF(AND('3. GRI Pricing'!$F491&gt;='2. GRI Pricing Inputs'!$L$33,'3. GRI Pricing'!$F491&lt;='2. GRI Pricing Inputs'!$M$33),'2. GRI Pricing Inputs'!$L$32,IF(AND('3. GRI Pricing'!$F491&gt;='2. GRI Pricing Inputs'!$N$33,'3. GRI Pricing'!$F491&lt;='2. GRI Pricing Inputs'!$O$33),'2. GRI Pricing Inputs'!$N$32,IF(AND('3. GRI Pricing'!$F491&gt;='2. GRI Pricing Inputs'!$P$33,'3. GRI Pricing'!$F491&lt;='2. GRI Pricing Inputs'!$Q$33),'2. GRI Pricing Inputs'!$P$32,IF(AND('3. GRI Pricing'!$F491&gt;='2. GRI Pricing Inputs'!$R$33,'3. GRI Pricing'!$F491&lt;='2. GRI Pricing Inputs'!$S$33),'2. GRI Pricing Inputs'!$R$32,IF(AND('3. GRI Pricing'!$F491&gt;='2. GRI Pricing Inputs'!$T$33,'3. GRI Pricing'!$F491&lt;='2. GRI Pricing Inputs'!$U$33),'2. GRI Pricing Inputs'!$T$32,IF(AND('3. GRI Pricing'!$F491&gt;='2. GRI Pricing Inputs'!$V$33,'3. GRI Pricing'!$F491&lt;='2. GRI Pricing Inputs'!$W$33),'2. GRI Pricing Inputs'!$V$32,IF(AND('3. GRI Pricing'!$F491&gt;='2. GRI Pricing Inputs'!$X$33,'3. GRI Pricing'!$F491&lt;='2. GRI Pricing Inputs'!$Y$33),'2. GRI Pricing Inputs'!$X$32,IF(AND('3. GRI Pricing'!$F491&gt;='2. GRI Pricing Inputs'!$Z$33,'3. GRI Pricing'!$F491&lt;='2. GRI Pricing Inputs'!$AA$33),'2. GRI Pricing Inputs'!$Z$32,IF(AND('3. GRI Pricing'!$F491&gt;='2. GRI Pricing Inputs'!$AB$33,'3. GRI Pricing'!$F491&lt;='2. GRI Pricing Inputs'!$AC$33),'2. GRI Pricing Inputs'!$AB$32,IF(AND('3. GRI Pricing'!$F491&gt;='2. GRI Pricing Inputs'!$AD$33,'3. GRI Pricing'!$F491&lt;='2. GRI Pricing Inputs'!$AE$33),'2. GRI Pricing Inputs'!$AD$32,IF(AND('3. GRI Pricing'!$F491&gt;='2. GRI Pricing Inputs'!$AF$33,'3. GRI Pricing'!$F491&lt;='2. GRI Pricing Inputs'!$AG$33),'2. GRI Pricing Inputs'!$AF$32,IF(AND('3. GRI Pricing'!$F491&gt;='2. GRI Pricing Inputs'!$AH$33,'3. GRI Pricing'!$F491&lt;='2. GRI Pricing Inputs'!$AI$33),'2. GRI Pricing Inputs'!$AH$32,0))))))))))))))))</f>
        <v>0</v>
      </c>
      <c r="N491" s="273" cm="1">
        <f t="array" ref="N491">IFERROR(INDEX('2. GRI Pricing Inputs'!$C$32:$AI$39,MATCH('3. GRI Pricing'!D491,'2. GRI Pricing Inputs'!$C$32:$C$39,0),(MATCH('3. GRI Pricing'!M491,'2. GRI Pricing Inputs'!$D$32:$AI$32,0)+1)),0)</f>
        <v>0</v>
      </c>
      <c r="O491" s="273">
        <f>IFERROR(INDEX('2. GRI Pricing Inputs'!$C$45:$AI$46,MATCH($O$16,'2. GRI Pricing Inputs'!$C$45:$C$46,0),MATCH(G491,'2. GRI Pricing Inputs'!$C$45:$AI$45,0)),0)</f>
        <v>0</v>
      </c>
      <c r="P491" s="273">
        <f>IFERROR(INDEX('2. GRI Pricing Inputs'!$C$53:$AI$54,MATCH('3. GRI Pricing'!$P$16,'2. GRI Pricing Inputs'!$C$53:$C$54,0),MATCH('3. GRI Pricing'!H491,'2. GRI Pricing Inputs'!$C$53:$AI$53,0)),0)</f>
        <v>0</v>
      </c>
      <c r="Q491" s="273">
        <f>IFERROR(INDEX('2. GRI Pricing Inputs'!$C$60:$AI$61,MATCH('3. GRI Pricing'!$Q$16,'2. GRI Pricing Inputs'!$C$60:$C$61,0),MATCH('1. Accomodation'!T495,'2. GRI Pricing Inputs'!$C$60:$AI$60,0)),0)</f>
        <v>0</v>
      </c>
      <c r="R491" s="273">
        <f>IFERROR(INDEX('2. GRI Pricing Inputs'!$C$67:$AI$68,MATCH('3. GRI Pricing'!$R$16,'2. GRI Pricing Inputs'!$C$67:$C$68,0),MATCH('1. Accomodation'!U495,'2. GRI Pricing Inputs'!$C$67:$AI$67,0)),0)</f>
        <v>0</v>
      </c>
      <c r="S491" s="273">
        <f>IF(D491=0,0,'2. GRI Pricing Inputs'!$AI$75)</f>
        <v>0</v>
      </c>
      <c r="T491" s="273">
        <f>IFERROR(INDEX('2. GRI Pricing Inputs'!$C$82:$AI$83,MATCH('3. GRI Pricing'!$T$16,'2. GRI Pricing Inputs'!$C$82:$C$83,0),MATCH('1. Accomodation'!V495,'2. GRI Pricing Inputs'!$C$82:$AI$82,0)),0)</f>
        <v>0</v>
      </c>
      <c r="U491" s="273">
        <f>IFERROR(INDEX('2. GRI Pricing Inputs'!$C$89:$AI$90,MATCH('3. GRI Pricing'!$U$16,'2. GRI Pricing Inputs'!$C$89:$C$90,0),MATCH('1. Accomodation'!W495,'2. GRI Pricing Inputs'!$C$89:$AI$89,0)),0)</f>
        <v>0</v>
      </c>
      <c r="V491" s="273">
        <f>IFERROR(INDEX('2. GRI Pricing Inputs'!$C$97:$AI$98,MATCH('3. GRI Pricing'!$V$16,'2. GRI Pricing Inputs'!$C$97:$C$98,0),MATCH('1. Accomodation'!X495,'2. GRI Pricing Inputs'!$C$97:$AI$97,0)),0)</f>
        <v>0</v>
      </c>
      <c r="W491" s="273">
        <f>IFERROR(INDEX('2. GRI Pricing Inputs'!$C$104:$AI$105,MATCH('3. GRI Pricing'!$W$16,'2. GRI Pricing Inputs'!$C$104:$C$105,0),MATCH('1. Accomodation'!Y495,'2. GRI Pricing Inputs'!$C$104:$AI$104,0)),0)</f>
        <v>0</v>
      </c>
      <c r="X491" s="274"/>
      <c r="Y491" s="275">
        <f t="shared" si="14"/>
        <v>0</v>
      </c>
      <c r="Z491" s="276"/>
      <c r="AA491" s="276"/>
      <c r="AB491" s="276"/>
      <c r="AC491" s="272">
        <f>Y491*(1+'2. GRI Pricing Inputs'!$D$114)^(($AC$16-$AB$15)/365)</f>
        <v>0</v>
      </c>
      <c r="AD491" s="273">
        <f>AC491*(1+'2. GRI Pricing Inputs'!$D$114)^((AD$16-AC$16)/365)</f>
        <v>0</v>
      </c>
      <c r="AE491" s="273">
        <f>AD491*(1+'2. GRI Pricing Inputs'!$D$114)^((AE$16-AD$16)/365)</f>
        <v>0</v>
      </c>
      <c r="AF491" s="273">
        <f>AE491*(1+'2. GRI Pricing Inputs'!$D$114)^((AF$16-AE$16)/365)</f>
        <v>0</v>
      </c>
      <c r="AG491" s="273">
        <f>AF491*(1+'2. GRI Pricing Inputs'!$D$114)^((AG$16-AF$16)/365)</f>
        <v>0</v>
      </c>
      <c r="AH491" s="273">
        <f>AG491*(1+'2. GRI Pricing Inputs'!$D$114)^((AH$16-AG$16)/365)</f>
        <v>0</v>
      </c>
      <c r="AI491" s="273">
        <f>AH491*(1+'2. GRI Pricing Inputs'!$D$114)^((AI$16-AH$16)/365)</f>
        <v>0</v>
      </c>
      <c r="AJ491" s="273">
        <f>AI491*(1+'2. GRI Pricing Inputs'!$D$114)^((AJ$16-AI$16)/365)</f>
        <v>0</v>
      </c>
      <c r="AK491" s="273">
        <f>AJ491*(1+'2. GRI Pricing Inputs'!$D$114)^((AK$16-AJ$16)/365)</f>
        <v>0</v>
      </c>
      <c r="AL491" s="273">
        <f>AK491*(1+'2. GRI Pricing Inputs'!$D$114)^((AL$16-AK$16)/365)</f>
        <v>0</v>
      </c>
      <c r="AM491" s="273">
        <f>AL491*(1+'2. GRI Pricing Inputs'!$D$114)^((AM$16-AL$16)/365)</f>
        <v>0</v>
      </c>
      <c r="AN491" s="273">
        <f>AM491*(1+'2. GRI Pricing Inputs'!$D$114)^((AN$16-AM$16)/365)</f>
        <v>0</v>
      </c>
      <c r="AO491" s="273">
        <f>AN491*(1+'2. GRI Pricing Inputs'!$D$114)^((AO$16-AN$16)/365)</f>
        <v>0</v>
      </c>
    </row>
    <row r="492" spans="3:41" ht="12" x14ac:dyDescent="0.2">
      <c r="C492" s="76">
        <f>'1. Accomodation'!N496</f>
        <v>0</v>
      </c>
      <c r="D492" s="69">
        <f>'1. Accomodation'!P496</f>
        <v>0</v>
      </c>
      <c r="E492" s="69">
        <f>'1. Accomodation'!Q496</f>
        <v>0</v>
      </c>
      <c r="F492" s="77">
        <f>'1. Accomodation'!O496</f>
        <v>0</v>
      </c>
      <c r="G492" s="69">
        <f>'1. Accomodation'!R496</f>
        <v>0</v>
      </c>
      <c r="H492" s="69">
        <f>'1. Accomodation'!S496</f>
        <v>0</v>
      </c>
      <c r="I492" s="62"/>
      <c r="K492" s="272">
        <f>IFERROR(INDEX('2. GRI Pricing Inputs'!$C$15:$AI$16,MATCH($K$16,'2. GRI Pricing Inputs'!$C$15:$C$16,0),MATCH(D492,'2. GRI Pricing Inputs'!$C$15:$AI$15,0)),0)</f>
        <v>0</v>
      </c>
      <c r="L492" s="273">
        <f>IFERROR(INDEX('2. GRI Pricing Inputs'!$C$22:$AI$23,MATCH($L$16,'2. GRI Pricing Inputs'!$C$22:$C$23,0),MATCH(E492,'2. GRI Pricing Inputs'!$C$22:$AI$22,0)),0)</f>
        <v>0</v>
      </c>
      <c r="M492" s="328">
        <f>IF(AND('3. GRI Pricing'!$F492&gt;='2. GRI Pricing Inputs'!$D$33,'3. GRI Pricing'!$F492&lt;='2. GRI Pricing Inputs'!$E$33),'2. GRI Pricing Inputs'!$D$32,IF(AND('3. GRI Pricing'!$F492&gt;='2. GRI Pricing Inputs'!$F$33,'3. GRI Pricing'!$F492&lt;='2. GRI Pricing Inputs'!$G$33),'2. GRI Pricing Inputs'!$F$32,IF(AND('3. GRI Pricing'!$F492&gt;='2. GRI Pricing Inputs'!$H$33,'3. GRI Pricing'!$F492&lt;='2. GRI Pricing Inputs'!$I$33),'2. GRI Pricing Inputs'!$H$32,IF(AND('3. GRI Pricing'!$F492&gt;='2. GRI Pricing Inputs'!$J$33,'3. GRI Pricing'!$F492&lt;='2. GRI Pricing Inputs'!$K$33),'2. GRI Pricing Inputs'!$J$32,IF(AND('3. GRI Pricing'!$F492&gt;='2. GRI Pricing Inputs'!$L$33,'3. GRI Pricing'!$F492&lt;='2. GRI Pricing Inputs'!$M$33),'2. GRI Pricing Inputs'!$L$32,IF(AND('3. GRI Pricing'!$F492&gt;='2. GRI Pricing Inputs'!$N$33,'3. GRI Pricing'!$F492&lt;='2. GRI Pricing Inputs'!$O$33),'2. GRI Pricing Inputs'!$N$32,IF(AND('3. GRI Pricing'!$F492&gt;='2. GRI Pricing Inputs'!$P$33,'3. GRI Pricing'!$F492&lt;='2. GRI Pricing Inputs'!$Q$33),'2. GRI Pricing Inputs'!$P$32,IF(AND('3. GRI Pricing'!$F492&gt;='2. GRI Pricing Inputs'!$R$33,'3. GRI Pricing'!$F492&lt;='2. GRI Pricing Inputs'!$S$33),'2. GRI Pricing Inputs'!$R$32,IF(AND('3. GRI Pricing'!$F492&gt;='2. GRI Pricing Inputs'!$T$33,'3. GRI Pricing'!$F492&lt;='2. GRI Pricing Inputs'!$U$33),'2. GRI Pricing Inputs'!$T$32,IF(AND('3. GRI Pricing'!$F492&gt;='2. GRI Pricing Inputs'!$V$33,'3. GRI Pricing'!$F492&lt;='2. GRI Pricing Inputs'!$W$33),'2. GRI Pricing Inputs'!$V$32,IF(AND('3. GRI Pricing'!$F492&gt;='2. GRI Pricing Inputs'!$X$33,'3. GRI Pricing'!$F492&lt;='2. GRI Pricing Inputs'!$Y$33),'2. GRI Pricing Inputs'!$X$32,IF(AND('3. GRI Pricing'!$F492&gt;='2. GRI Pricing Inputs'!$Z$33,'3. GRI Pricing'!$F492&lt;='2. GRI Pricing Inputs'!$AA$33),'2. GRI Pricing Inputs'!$Z$32,IF(AND('3. GRI Pricing'!$F492&gt;='2. GRI Pricing Inputs'!$AB$33,'3. GRI Pricing'!$F492&lt;='2. GRI Pricing Inputs'!$AC$33),'2. GRI Pricing Inputs'!$AB$32,IF(AND('3. GRI Pricing'!$F492&gt;='2. GRI Pricing Inputs'!$AD$33,'3. GRI Pricing'!$F492&lt;='2. GRI Pricing Inputs'!$AE$33),'2. GRI Pricing Inputs'!$AD$32,IF(AND('3. GRI Pricing'!$F492&gt;='2. GRI Pricing Inputs'!$AF$33,'3. GRI Pricing'!$F492&lt;='2. GRI Pricing Inputs'!$AG$33),'2. GRI Pricing Inputs'!$AF$32,IF(AND('3. GRI Pricing'!$F492&gt;='2. GRI Pricing Inputs'!$AH$33,'3. GRI Pricing'!$F492&lt;='2. GRI Pricing Inputs'!$AI$33),'2. GRI Pricing Inputs'!$AH$32,0))))))))))))))))</f>
        <v>0</v>
      </c>
      <c r="N492" s="273" cm="1">
        <f t="array" ref="N492">IFERROR(INDEX('2. GRI Pricing Inputs'!$C$32:$AI$39,MATCH('3. GRI Pricing'!D492,'2. GRI Pricing Inputs'!$C$32:$C$39,0),(MATCH('3. GRI Pricing'!M492,'2. GRI Pricing Inputs'!$D$32:$AI$32,0)+1)),0)</f>
        <v>0</v>
      </c>
      <c r="O492" s="273">
        <f>IFERROR(INDEX('2. GRI Pricing Inputs'!$C$45:$AI$46,MATCH($O$16,'2. GRI Pricing Inputs'!$C$45:$C$46,0),MATCH(G492,'2. GRI Pricing Inputs'!$C$45:$AI$45,0)),0)</f>
        <v>0</v>
      </c>
      <c r="P492" s="273">
        <f>IFERROR(INDEX('2. GRI Pricing Inputs'!$C$53:$AI$54,MATCH('3. GRI Pricing'!$P$16,'2. GRI Pricing Inputs'!$C$53:$C$54,0),MATCH('3. GRI Pricing'!H492,'2. GRI Pricing Inputs'!$C$53:$AI$53,0)),0)</f>
        <v>0</v>
      </c>
      <c r="Q492" s="273">
        <f>IFERROR(INDEX('2. GRI Pricing Inputs'!$C$60:$AI$61,MATCH('3. GRI Pricing'!$Q$16,'2. GRI Pricing Inputs'!$C$60:$C$61,0),MATCH('1. Accomodation'!T496,'2. GRI Pricing Inputs'!$C$60:$AI$60,0)),0)</f>
        <v>0</v>
      </c>
      <c r="R492" s="273">
        <f>IFERROR(INDEX('2. GRI Pricing Inputs'!$C$67:$AI$68,MATCH('3. GRI Pricing'!$R$16,'2. GRI Pricing Inputs'!$C$67:$C$68,0),MATCH('1. Accomodation'!U496,'2. GRI Pricing Inputs'!$C$67:$AI$67,0)),0)</f>
        <v>0</v>
      </c>
      <c r="S492" s="273">
        <f>IF(D492=0,0,'2. GRI Pricing Inputs'!$AI$75)</f>
        <v>0</v>
      </c>
      <c r="T492" s="273">
        <f>IFERROR(INDEX('2. GRI Pricing Inputs'!$C$82:$AI$83,MATCH('3. GRI Pricing'!$T$16,'2. GRI Pricing Inputs'!$C$82:$C$83,0),MATCH('1. Accomodation'!V496,'2. GRI Pricing Inputs'!$C$82:$AI$82,0)),0)</f>
        <v>0</v>
      </c>
      <c r="U492" s="273">
        <f>IFERROR(INDEX('2. GRI Pricing Inputs'!$C$89:$AI$90,MATCH('3. GRI Pricing'!$U$16,'2. GRI Pricing Inputs'!$C$89:$C$90,0),MATCH('1. Accomodation'!W496,'2. GRI Pricing Inputs'!$C$89:$AI$89,0)),0)</f>
        <v>0</v>
      </c>
      <c r="V492" s="273">
        <f>IFERROR(INDEX('2. GRI Pricing Inputs'!$C$97:$AI$98,MATCH('3. GRI Pricing'!$V$16,'2. GRI Pricing Inputs'!$C$97:$C$98,0),MATCH('1. Accomodation'!X496,'2. GRI Pricing Inputs'!$C$97:$AI$97,0)),0)</f>
        <v>0</v>
      </c>
      <c r="W492" s="273">
        <f>IFERROR(INDEX('2. GRI Pricing Inputs'!$C$104:$AI$105,MATCH('3. GRI Pricing'!$W$16,'2. GRI Pricing Inputs'!$C$104:$C$105,0),MATCH('1. Accomodation'!Y496,'2. GRI Pricing Inputs'!$C$104:$AI$104,0)),0)</f>
        <v>0</v>
      </c>
      <c r="X492" s="274"/>
      <c r="Y492" s="275">
        <f t="shared" si="14"/>
        <v>0</v>
      </c>
      <c r="Z492" s="276"/>
      <c r="AA492" s="276"/>
      <c r="AB492" s="276"/>
      <c r="AC492" s="272">
        <f>Y492*(1+'2. GRI Pricing Inputs'!$D$114)^(($AC$16-$AB$15)/365)</f>
        <v>0</v>
      </c>
      <c r="AD492" s="273">
        <f>AC492*(1+'2. GRI Pricing Inputs'!$D$114)^((AD$16-AC$16)/365)</f>
        <v>0</v>
      </c>
      <c r="AE492" s="273">
        <f>AD492*(1+'2. GRI Pricing Inputs'!$D$114)^((AE$16-AD$16)/365)</f>
        <v>0</v>
      </c>
      <c r="AF492" s="273">
        <f>AE492*(1+'2. GRI Pricing Inputs'!$D$114)^((AF$16-AE$16)/365)</f>
        <v>0</v>
      </c>
      <c r="AG492" s="273">
        <f>AF492*(1+'2. GRI Pricing Inputs'!$D$114)^((AG$16-AF$16)/365)</f>
        <v>0</v>
      </c>
      <c r="AH492" s="273">
        <f>AG492*(1+'2. GRI Pricing Inputs'!$D$114)^((AH$16-AG$16)/365)</f>
        <v>0</v>
      </c>
      <c r="AI492" s="273">
        <f>AH492*(1+'2. GRI Pricing Inputs'!$D$114)^((AI$16-AH$16)/365)</f>
        <v>0</v>
      </c>
      <c r="AJ492" s="273">
        <f>AI492*(1+'2. GRI Pricing Inputs'!$D$114)^((AJ$16-AI$16)/365)</f>
        <v>0</v>
      </c>
      <c r="AK492" s="273">
        <f>AJ492*(1+'2. GRI Pricing Inputs'!$D$114)^((AK$16-AJ$16)/365)</f>
        <v>0</v>
      </c>
      <c r="AL492" s="273">
        <f>AK492*(1+'2. GRI Pricing Inputs'!$D$114)^((AL$16-AK$16)/365)</f>
        <v>0</v>
      </c>
      <c r="AM492" s="273">
        <f>AL492*(1+'2. GRI Pricing Inputs'!$D$114)^((AM$16-AL$16)/365)</f>
        <v>0</v>
      </c>
      <c r="AN492" s="273">
        <f>AM492*(1+'2. GRI Pricing Inputs'!$D$114)^((AN$16-AM$16)/365)</f>
        <v>0</v>
      </c>
      <c r="AO492" s="273">
        <f>AN492*(1+'2. GRI Pricing Inputs'!$D$114)^((AO$16-AN$16)/365)</f>
        <v>0</v>
      </c>
    </row>
    <row r="493" spans="3:41" ht="12" x14ac:dyDescent="0.2">
      <c r="C493" s="76">
        <f>'1. Accomodation'!N497</f>
        <v>0</v>
      </c>
      <c r="D493" s="69">
        <f>'1. Accomodation'!P497</f>
        <v>0</v>
      </c>
      <c r="E493" s="69">
        <f>'1. Accomodation'!Q497</f>
        <v>0</v>
      </c>
      <c r="F493" s="77">
        <f>'1. Accomodation'!O497</f>
        <v>0</v>
      </c>
      <c r="G493" s="69">
        <f>'1. Accomodation'!R497</f>
        <v>0</v>
      </c>
      <c r="H493" s="69">
        <f>'1. Accomodation'!S497</f>
        <v>0</v>
      </c>
      <c r="I493" s="62"/>
      <c r="K493" s="272">
        <f>IFERROR(INDEX('2. GRI Pricing Inputs'!$C$15:$AI$16,MATCH($K$16,'2. GRI Pricing Inputs'!$C$15:$C$16,0),MATCH(D493,'2. GRI Pricing Inputs'!$C$15:$AI$15,0)),0)</f>
        <v>0</v>
      </c>
      <c r="L493" s="273">
        <f>IFERROR(INDEX('2. GRI Pricing Inputs'!$C$22:$AI$23,MATCH($L$16,'2. GRI Pricing Inputs'!$C$22:$C$23,0),MATCH(E493,'2. GRI Pricing Inputs'!$C$22:$AI$22,0)),0)</f>
        <v>0</v>
      </c>
      <c r="M493" s="328">
        <f>IF(AND('3. GRI Pricing'!$F493&gt;='2. GRI Pricing Inputs'!$D$33,'3. GRI Pricing'!$F493&lt;='2. GRI Pricing Inputs'!$E$33),'2. GRI Pricing Inputs'!$D$32,IF(AND('3. GRI Pricing'!$F493&gt;='2. GRI Pricing Inputs'!$F$33,'3. GRI Pricing'!$F493&lt;='2. GRI Pricing Inputs'!$G$33),'2. GRI Pricing Inputs'!$F$32,IF(AND('3. GRI Pricing'!$F493&gt;='2. GRI Pricing Inputs'!$H$33,'3. GRI Pricing'!$F493&lt;='2. GRI Pricing Inputs'!$I$33),'2. GRI Pricing Inputs'!$H$32,IF(AND('3. GRI Pricing'!$F493&gt;='2. GRI Pricing Inputs'!$J$33,'3. GRI Pricing'!$F493&lt;='2. GRI Pricing Inputs'!$K$33),'2. GRI Pricing Inputs'!$J$32,IF(AND('3. GRI Pricing'!$F493&gt;='2. GRI Pricing Inputs'!$L$33,'3. GRI Pricing'!$F493&lt;='2. GRI Pricing Inputs'!$M$33),'2. GRI Pricing Inputs'!$L$32,IF(AND('3. GRI Pricing'!$F493&gt;='2. GRI Pricing Inputs'!$N$33,'3. GRI Pricing'!$F493&lt;='2. GRI Pricing Inputs'!$O$33),'2. GRI Pricing Inputs'!$N$32,IF(AND('3. GRI Pricing'!$F493&gt;='2. GRI Pricing Inputs'!$P$33,'3. GRI Pricing'!$F493&lt;='2. GRI Pricing Inputs'!$Q$33),'2. GRI Pricing Inputs'!$P$32,IF(AND('3. GRI Pricing'!$F493&gt;='2. GRI Pricing Inputs'!$R$33,'3. GRI Pricing'!$F493&lt;='2. GRI Pricing Inputs'!$S$33),'2. GRI Pricing Inputs'!$R$32,IF(AND('3. GRI Pricing'!$F493&gt;='2. GRI Pricing Inputs'!$T$33,'3. GRI Pricing'!$F493&lt;='2. GRI Pricing Inputs'!$U$33),'2. GRI Pricing Inputs'!$T$32,IF(AND('3. GRI Pricing'!$F493&gt;='2. GRI Pricing Inputs'!$V$33,'3. GRI Pricing'!$F493&lt;='2. GRI Pricing Inputs'!$W$33),'2. GRI Pricing Inputs'!$V$32,IF(AND('3. GRI Pricing'!$F493&gt;='2. GRI Pricing Inputs'!$X$33,'3. GRI Pricing'!$F493&lt;='2. GRI Pricing Inputs'!$Y$33),'2. GRI Pricing Inputs'!$X$32,IF(AND('3. GRI Pricing'!$F493&gt;='2. GRI Pricing Inputs'!$Z$33,'3. GRI Pricing'!$F493&lt;='2. GRI Pricing Inputs'!$AA$33),'2. GRI Pricing Inputs'!$Z$32,IF(AND('3. GRI Pricing'!$F493&gt;='2. GRI Pricing Inputs'!$AB$33,'3. GRI Pricing'!$F493&lt;='2. GRI Pricing Inputs'!$AC$33),'2. GRI Pricing Inputs'!$AB$32,IF(AND('3. GRI Pricing'!$F493&gt;='2. GRI Pricing Inputs'!$AD$33,'3. GRI Pricing'!$F493&lt;='2. GRI Pricing Inputs'!$AE$33),'2. GRI Pricing Inputs'!$AD$32,IF(AND('3. GRI Pricing'!$F493&gt;='2. GRI Pricing Inputs'!$AF$33,'3. GRI Pricing'!$F493&lt;='2. GRI Pricing Inputs'!$AG$33),'2. GRI Pricing Inputs'!$AF$32,IF(AND('3. GRI Pricing'!$F493&gt;='2. GRI Pricing Inputs'!$AH$33,'3. GRI Pricing'!$F493&lt;='2. GRI Pricing Inputs'!$AI$33),'2. GRI Pricing Inputs'!$AH$32,0))))))))))))))))</f>
        <v>0</v>
      </c>
      <c r="N493" s="273" cm="1">
        <f t="array" ref="N493">IFERROR(INDEX('2. GRI Pricing Inputs'!$C$32:$AI$39,MATCH('3. GRI Pricing'!D493,'2. GRI Pricing Inputs'!$C$32:$C$39,0),(MATCH('3. GRI Pricing'!M493,'2. GRI Pricing Inputs'!$D$32:$AI$32,0)+1)),0)</f>
        <v>0</v>
      </c>
      <c r="O493" s="273">
        <f>IFERROR(INDEX('2. GRI Pricing Inputs'!$C$45:$AI$46,MATCH($O$16,'2. GRI Pricing Inputs'!$C$45:$C$46,0),MATCH(G493,'2. GRI Pricing Inputs'!$C$45:$AI$45,0)),0)</f>
        <v>0</v>
      </c>
      <c r="P493" s="273">
        <f>IFERROR(INDEX('2. GRI Pricing Inputs'!$C$53:$AI$54,MATCH('3. GRI Pricing'!$P$16,'2. GRI Pricing Inputs'!$C$53:$C$54,0),MATCH('3. GRI Pricing'!H493,'2. GRI Pricing Inputs'!$C$53:$AI$53,0)),0)</f>
        <v>0</v>
      </c>
      <c r="Q493" s="273">
        <f>IFERROR(INDEX('2. GRI Pricing Inputs'!$C$60:$AI$61,MATCH('3. GRI Pricing'!$Q$16,'2. GRI Pricing Inputs'!$C$60:$C$61,0),MATCH('1. Accomodation'!T497,'2. GRI Pricing Inputs'!$C$60:$AI$60,0)),0)</f>
        <v>0</v>
      </c>
      <c r="R493" s="273">
        <f>IFERROR(INDEX('2. GRI Pricing Inputs'!$C$67:$AI$68,MATCH('3. GRI Pricing'!$R$16,'2. GRI Pricing Inputs'!$C$67:$C$68,0),MATCH('1. Accomodation'!U497,'2. GRI Pricing Inputs'!$C$67:$AI$67,0)),0)</f>
        <v>0</v>
      </c>
      <c r="S493" s="273">
        <f>IF(D493=0,0,'2. GRI Pricing Inputs'!$AI$75)</f>
        <v>0</v>
      </c>
      <c r="T493" s="273">
        <f>IFERROR(INDEX('2. GRI Pricing Inputs'!$C$82:$AI$83,MATCH('3. GRI Pricing'!$T$16,'2. GRI Pricing Inputs'!$C$82:$C$83,0),MATCH('1. Accomodation'!V497,'2. GRI Pricing Inputs'!$C$82:$AI$82,0)),0)</f>
        <v>0</v>
      </c>
      <c r="U493" s="273">
        <f>IFERROR(INDEX('2. GRI Pricing Inputs'!$C$89:$AI$90,MATCH('3. GRI Pricing'!$U$16,'2. GRI Pricing Inputs'!$C$89:$C$90,0),MATCH('1. Accomodation'!W497,'2. GRI Pricing Inputs'!$C$89:$AI$89,0)),0)</f>
        <v>0</v>
      </c>
      <c r="V493" s="273">
        <f>IFERROR(INDEX('2. GRI Pricing Inputs'!$C$97:$AI$98,MATCH('3. GRI Pricing'!$V$16,'2. GRI Pricing Inputs'!$C$97:$C$98,0),MATCH('1. Accomodation'!X497,'2. GRI Pricing Inputs'!$C$97:$AI$97,0)),0)</f>
        <v>0</v>
      </c>
      <c r="W493" s="273">
        <f>IFERROR(INDEX('2. GRI Pricing Inputs'!$C$104:$AI$105,MATCH('3. GRI Pricing'!$W$16,'2. GRI Pricing Inputs'!$C$104:$C$105,0),MATCH('1. Accomodation'!Y497,'2. GRI Pricing Inputs'!$C$104:$AI$104,0)),0)</f>
        <v>0</v>
      </c>
      <c r="X493" s="274"/>
      <c r="Y493" s="275">
        <f t="shared" si="14"/>
        <v>0</v>
      </c>
      <c r="Z493" s="276"/>
      <c r="AA493" s="276"/>
      <c r="AB493" s="276"/>
      <c r="AC493" s="272">
        <f>Y493*(1+'2. GRI Pricing Inputs'!$D$114)^(($AC$16-$AB$15)/365)</f>
        <v>0</v>
      </c>
      <c r="AD493" s="273">
        <f>AC493*(1+'2. GRI Pricing Inputs'!$D$114)^((AD$16-AC$16)/365)</f>
        <v>0</v>
      </c>
      <c r="AE493" s="273">
        <f>AD493*(1+'2. GRI Pricing Inputs'!$D$114)^((AE$16-AD$16)/365)</f>
        <v>0</v>
      </c>
      <c r="AF493" s="273">
        <f>AE493*(1+'2. GRI Pricing Inputs'!$D$114)^((AF$16-AE$16)/365)</f>
        <v>0</v>
      </c>
      <c r="AG493" s="273">
        <f>AF493*(1+'2. GRI Pricing Inputs'!$D$114)^((AG$16-AF$16)/365)</f>
        <v>0</v>
      </c>
      <c r="AH493" s="273">
        <f>AG493*(1+'2. GRI Pricing Inputs'!$D$114)^((AH$16-AG$16)/365)</f>
        <v>0</v>
      </c>
      <c r="AI493" s="273">
        <f>AH493*(1+'2. GRI Pricing Inputs'!$D$114)^((AI$16-AH$16)/365)</f>
        <v>0</v>
      </c>
      <c r="AJ493" s="273">
        <f>AI493*(1+'2. GRI Pricing Inputs'!$D$114)^((AJ$16-AI$16)/365)</f>
        <v>0</v>
      </c>
      <c r="AK493" s="273">
        <f>AJ493*(1+'2. GRI Pricing Inputs'!$D$114)^((AK$16-AJ$16)/365)</f>
        <v>0</v>
      </c>
      <c r="AL493" s="273">
        <f>AK493*(1+'2. GRI Pricing Inputs'!$D$114)^((AL$16-AK$16)/365)</f>
        <v>0</v>
      </c>
      <c r="AM493" s="273">
        <f>AL493*(1+'2. GRI Pricing Inputs'!$D$114)^((AM$16-AL$16)/365)</f>
        <v>0</v>
      </c>
      <c r="AN493" s="273">
        <f>AM493*(1+'2. GRI Pricing Inputs'!$D$114)^((AN$16-AM$16)/365)</f>
        <v>0</v>
      </c>
      <c r="AO493" s="273">
        <f>AN493*(1+'2. GRI Pricing Inputs'!$D$114)^((AO$16-AN$16)/365)</f>
        <v>0</v>
      </c>
    </row>
    <row r="494" spans="3:41" ht="12" x14ac:dyDescent="0.2">
      <c r="C494" s="76">
        <f>'1. Accomodation'!N498</f>
        <v>0</v>
      </c>
      <c r="D494" s="69">
        <f>'1. Accomodation'!P498</f>
        <v>0</v>
      </c>
      <c r="E494" s="69">
        <f>'1. Accomodation'!Q498</f>
        <v>0</v>
      </c>
      <c r="F494" s="77">
        <f>'1. Accomodation'!O498</f>
        <v>0</v>
      </c>
      <c r="G494" s="69">
        <f>'1. Accomodation'!R498</f>
        <v>0</v>
      </c>
      <c r="H494" s="69">
        <f>'1. Accomodation'!S498</f>
        <v>0</v>
      </c>
      <c r="I494" s="62"/>
      <c r="K494" s="272">
        <f>IFERROR(INDEX('2. GRI Pricing Inputs'!$C$15:$AI$16,MATCH($K$16,'2. GRI Pricing Inputs'!$C$15:$C$16,0),MATCH(D494,'2. GRI Pricing Inputs'!$C$15:$AI$15,0)),0)</f>
        <v>0</v>
      </c>
      <c r="L494" s="273">
        <f>IFERROR(INDEX('2. GRI Pricing Inputs'!$C$22:$AI$23,MATCH($L$16,'2. GRI Pricing Inputs'!$C$22:$C$23,0),MATCH(E494,'2. GRI Pricing Inputs'!$C$22:$AI$22,0)),0)</f>
        <v>0</v>
      </c>
      <c r="M494" s="328">
        <f>IF(AND('3. GRI Pricing'!$F494&gt;='2. GRI Pricing Inputs'!$D$33,'3. GRI Pricing'!$F494&lt;='2. GRI Pricing Inputs'!$E$33),'2. GRI Pricing Inputs'!$D$32,IF(AND('3. GRI Pricing'!$F494&gt;='2. GRI Pricing Inputs'!$F$33,'3. GRI Pricing'!$F494&lt;='2. GRI Pricing Inputs'!$G$33),'2. GRI Pricing Inputs'!$F$32,IF(AND('3. GRI Pricing'!$F494&gt;='2. GRI Pricing Inputs'!$H$33,'3. GRI Pricing'!$F494&lt;='2. GRI Pricing Inputs'!$I$33),'2. GRI Pricing Inputs'!$H$32,IF(AND('3. GRI Pricing'!$F494&gt;='2. GRI Pricing Inputs'!$J$33,'3. GRI Pricing'!$F494&lt;='2. GRI Pricing Inputs'!$K$33),'2. GRI Pricing Inputs'!$J$32,IF(AND('3. GRI Pricing'!$F494&gt;='2. GRI Pricing Inputs'!$L$33,'3. GRI Pricing'!$F494&lt;='2. GRI Pricing Inputs'!$M$33),'2. GRI Pricing Inputs'!$L$32,IF(AND('3. GRI Pricing'!$F494&gt;='2. GRI Pricing Inputs'!$N$33,'3. GRI Pricing'!$F494&lt;='2. GRI Pricing Inputs'!$O$33),'2. GRI Pricing Inputs'!$N$32,IF(AND('3. GRI Pricing'!$F494&gt;='2. GRI Pricing Inputs'!$P$33,'3. GRI Pricing'!$F494&lt;='2. GRI Pricing Inputs'!$Q$33),'2. GRI Pricing Inputs'!$P$32,IF(AND('3. GRI Pricing'!$F494&gt;='2. GRI Pricing Inputs'!$R$33,'3. GRI Pricing'!$F494&lt;='2. GRI Pricing Inputs'!$S$33),'2. GRI Pricing Inputs'!$R$32,IF(AND('3. GRI Pricing'!$F494&gt;='2. GRI Pricing Inputs'!$T$33,'3. GRI Pricing'!$F494&lt;='2. GRI Pricing Inputs'!$U$33),'2. GRI Pricing Inputs'!$T$32,IF(AND('3. GRI Pricing'!$F494&gt;='2. GRI Pricing Inputs'!$V$33,'3. GRI Pricing'!$F494&lt;='2. GRI Pricing Inputs'!$W$33),'2. GRI Pricing Inputs'!$V$32,IF(AND('3. GRI Pricing'!$F494&gt;='2. GRI Pricing Inputs'!$X$33,'3. GRI Pricing'!$F494&lt;='2. GRI Pricing Inputs'!$Y$33),'2. GRI Pricing Inputs'!$X$32,IF(AND('3. GRI Pricing'!$F494&gt;='2. GRI Pricing Inputs'!$Z$33,'3. GRI Pricing'!$F494&lt;='2. GRI Pricing Inputs'!$AA$33),'2. GRI Pricing Inputs'!$Z$32,IF(AND('3. GRI Pricing'!$F494&gt;='2. GRI Pricing Inputs'!$AB$33,'3. GRI Pricing'!$F494&lt;='2. GRI Pricing Inputs'!$AC$33),'2. GRI Pricing Inputs'!$AB$32,IF(AND('3. GRI Pricing'!$F494&gt;='2. GRI Pricing Inputs'!$AD$33,'3. GRI Pricing'!$F494&lt;='2. GRI Pricing Inputs'!$AE$33),'2. GRI Pricing Inputs'!$AD$32,IF(AND('3. GRI Pricing'!$F494&gt;='2. GRI Pricing Inputs'!$AF$33,'3. GRI Pricing'!$F494&lt;='2. GRI Pricing Inputs'!$AG$33),'2. GRI Pricing Inputs'!$AF$32,IF(AND('3. GRI Pricing'!$F494&gt;='2. GRI Pricing Inputs'!$AH$33,'3. GRI Pricing'!$F494&lt;='2. GRI Pricing Inputs'!$AI$33),'2. GRI Pricing Inputs'!$AH$32,0))))))))))))))))</f>
        <v>0</v>
      </c>
      <c r="N494" s="273" cm="1">
        <f t="array" ref="N494">IFERROR(INDEX('2. GRI Pricing Inputs'!$C$32:$AI$39,MATCH('3. GRI Pricing'!D494,'2. GRI Pricing Inputs'!$C$32:$C$39,0),(MATCH('3. GRI Pricing'!M494,'2. GRI Pricing Inputs'!$D$32:$AI$32,0)+1)),0)</f>
        <v>0</v>
      </c>
      <c r="O494" s="273">
        <f>IFERROR(INDEX('2. GRI Pricing Inputs'!$C$45:$AI$46,MATCH($O$16,'2. GRI Pricing Inputs'!$C$45:$C$46,0),MATCH(G494,'2. GRI Pricing Inputs'!$C$45:$AI$45,0)),0)</f>
        <v>0</v>
      </c>
      <c r="P494" s="273">
        <f>IFERROR(INDEX('2. GRI Pricing Inputs'!$C$53:$AI$54,MATCH('3. GRI Pricing'!$P$16,'2. GRI Pricing Inputs'!$C$53:$C$54,0),MATCH('3. GRI Pricing'!H494,'2. GRI Pricing Inputs'!$C$53:$AI$53,0)),0)</f>
        <v>0</v>
      </c>
      <c r="Q494" s="273">
        <f>IFERROR(INDEX('2. GRI Pricing Inputs'!$C$60:$AI$61,MATCH('3. GRI Pricing'!$Q$16,'2. GRI Pricing Inputs'!$C$60:$C$61,0),MATCH('1. Accomodation'!T498,'2. GRI Pricing Inputs'!$C$60:$AI$60,0)),0)</f>
        <v>0</v>
      </c>
      <c r="R494" s="273">
        <f>IFERROR(INDEX('2. GRI Pricing Inputs'!$C$67:$AI$68,MATCH('3. GRI Pricing'!$R$16,'2. GRI Pricing Inputs'!$C$67:$C$68,0),MATCH('1. Accomodation'!U498,'2. GRI Pricing Inputs'!$C$67:$AI$67,0)),0)</f>
        <v>0</v>
      </c>
      <c r="S494" s="273">
        <f>IF(D494=0,0,'2. GRI Pricing Inputs'!$AI$75)</f>
        <v>0</v>
      </c>
      <c r="T494" s="273">
        <f>IFERROR(INDEX('2. GRI Pricing Inputs'!$C$82:$AI$83,MATCH('3. GRI Pricing'!$T$16,'2. GRI Pricing Inputs'!$C$82:$C$83,0),MATCH('1. Accomodation'!V498,'2. GRI Pricing Inputs'!$C$82:$AI$82,0)),0)</f>
        <v>0</v>
      </c>
      <c r="U494" s="273">
        <f>IFERROR(INDEX('2. GRI Pricing Inputs'!$C$89:$AI$90,MATCH('3. GRI Pricing'!$U$16,'2. GRI Pricing Inputs'!$C$89:$C$90,0),MATCH('1. Accomodation'!W498,'2. GRI Pricing Inputs'!$C$89:$AI$89,0)),0)</f>
        <v>0</v>
      </c>
      <c r="V494" s="273">
        <f>IFERROR(INDEX('2. GRI Pricing Inputs'!$C$97:$AI$98,MATCH('3. GRI Pricing'!$V$16,'2. GRI Pricing Inputs'!$C$97:$C$98,0),MATCH('1. Accomodation'!X498,'2. GRI Pricing Inputs'!$C$97:$AI$97,0)),0)</f>
        <v>0</v>
      </c>
      <c r="W494" s="273">
        <f>IFERROR(INDEX('2. GRI Pricing Inputs'!$C$104:$AI$105,MATCH('3. GRI Pricing'!$W$16,'2. GRI Pricing Inputs'!$C$104:$C$105,0),MATCH('1. Accomodation'!Y498,'2. GRI Pricing Inputs'!$C$104:$AI$104,0)),0)</f>
        <v>0</v>
      </c>
      <c r="X494" s="274"/>
      <c r="Y494" s="275">
        <f t="shared" si="14"/>
        <v>0</v>
      </c>
      <c r="Z494" s="276"/>
      <c r="AA494" s="276"/>
      <c r="AB494" s="276"/>
      <c r="AC494" s="272">
        <f>Y494*(1+'2. GRI Pricing Inputs'!$D$114)^(($AC$16-$AB$15)/365)</f>
        <v>0</v>
      </c>
      <c r="AD494" s="273">
        <f>AC494*(1+'2. GRI Pricing Inputs'!$D$114)^((AD$16-AC$16)/365)</f>
        <v>0</v>
      </c>
      <c r="AE494" s="273">
        <f>AD494*(1+'2. GRI Pricing Inputs'!$D$114)^((AE$16-AD$16)/365)</f>
        <v>0</v>
      </c>
      <c r="AF494" s="273">
        <f>AE494*(1+'2. GRI Pricing Inputs'!$D$114)^((AF$16-AE$16)/365)</f>
        <v>0</v>
      </c>
      <c r="AG494" s="273">
        <f>AF494*(1+'2. GRI Pricing Inputs'!$D$114)^((AG$16-AF$16)/365)</f>
        <v>0</v>
      </c>
      <c r="AH494" s="273">
        <f>AG494*(1+'2. GRI Pricing Inputs'!$D$114)^((AH$16-AG$16)/365)</f>
        <v>0</v>
      </c>
      <c r="AI494" s="273">
        <f>AH494*(1+'2. GRI Pricing Inputs'!$D$114)^((AI$16-AH$16)/365)</f>
        <v>0</v>
      </c>
      <c r="AJ494" s="273">
        <f>AI494*(1+'2. GRI Pricing Inputs'!$D$114)^((AJ$16-AI$16)/365)</f>
        <v>0</v>
      </c>
      <c r="AK494" s="273">
        <f>AJ494*(1+'2. GRI Pricing Inputs'!$D$114)^((AK$16-AJ$16)/365)</f>
        <v>0</v>
      </c>
      <c r="AL494" s="273">
        <f>AK494*(1+'2. GRI Pricing Inputs'!$D$114)^((AL$16-AK$16)/365)</f>
        <v>0</v>
      </c>
      <c r="AM494" s="273">
        <f>AL494*(1+'2. GRI Pricing Inputs'!$D$114)^((AM$16-AL$16)/365)</f>
        <v>0</v>
      </c>
      <c r="AN494" s="273">
        <f>AM494*(1+'2. GRI Pricing Inputs'!$D$114)^((AN$16-AM$16)/365)</f>
        <v>0</v>
      </c>
      <c r="AO494" s="273">
        <f>AN494*(1+'2. GRI Pricing Inputs'!$D$114)^((AO$16-AN$16)/365)</f>
        <v>0</v>
      </c>
    </row>
    <row r="495" spans="3:41" ht="12" x14ac:dyDescent="0.2">
      <c r="C495" s="76">
        <f>'1. Accomodation'!N499</f>
        <v>0</v>
      </c>
      <c r="D495" s="69">
        <f>'1. Accomodation'!P499</f>
        <v>0</v>
      </c>
      <c r="E495" s="69">
        <f>'1. Accomodation'!Q499</f>
        <v>0</v>
      </c>
      <c r="F495" s="77">
        <f>'1. Accomodation'!O499</f>
        <v>0</v>
      </c>
      <c r="G495" s="69">
        <f>'1. Accomodation'!R499</f>
        <v>0</v>
      </c>
      <c r="H495" s="69">
        <f>'1. Accomodation'!S499</f>
        <v>0</v>
      </c>
      <c r="I495" s="62"/>
      <c r="K495" s="272">
        <f>IFERROR(INDEX('2. GRI Pricing Inputs'!$C$15:$AI$16,MATCH($K$16,'2. GRI Pricing Inputs'!$C$15:$C$16,0),MATCH(D495,'2. GRI Pricing Inputs'!$C$15:$AI$15,0)),0)</f>
        <v>0</v>
      </c>
      <c r="L495" s="273">
        <f>IFERROR(INDEX('2. GRI Pricing Inputs'!$C$22:$AI$23,MATCH($L$16,'2. GRI Pricing Inputs'!$C$22:$C$23,0),MATCH(E495,'2. GRI Pricing Inputs'!$C$22:$AI$22,0)),0)</f>
        <v>0</v>
      </c>
      <c r="M495" s="328">
        <f>IF(AND('3. GRI Pricing'!$F495&gt;='2. GRI Pricing Inputs'!$D$33,'3. GRI Pricing'!$F495&lt;='2. GRI Pricing Inputs'!$E$33),'2. GRI Pricing Inputs'!$D$32,IF(AND('3. GRI Pricing'!$F495&gt;='2. GRI Pricing Inputs'!$F$33,'3. GRI Pricing'!$F495&lt;='2. GRI Pricing Inputs'!$G$33),'2. GRI Pricing Inputs'!$F$32,IF(AND('3. GRI Pricing'!$F495&gt;='2. GRI Pricing Inputs'!$H$33,'3. GRI Pricing'!$F495&lt;='2. GRI Pricing Inputs'!$I$33),'2. GRI Pricing Inputs'!$H$32,IF(AND('3. GRI Pricing'!$F495&gt;='2. GRI Pricing Inputs'!$J$33,'3. GRI Pricing'!$F495&lt;='2. GRI Pricing Inputs'!$K$33),'2. GRI Pricing Inputs'!$J$32,IF(AND('3. GRI Pricing'!$F495&gt;='2. GRI Pricing Inputs'!$L$33,'3. GRI Pricing'!$F495&lt;='2. GRI Pricing Inputs'!$M$33),'2. GRI Pricing Inputs'!$L$32,IF(AND('3. GRI Pricing'!$F495&gt;='2. GRI Pricing Inputs'!$N$33,'3. GRI Pricing'!$F495&lt;='2. GRI Pricing Inputs'!$O$33),'2. GRI Pricing Inputs'!$N$32,IF(AND('3. GRI Pricing'!$F495&gt;='2. GRI Pricing Inputs'!$P$33,'3. GRI Pricing'!$F495&lt;='2. GRI Pricing Inputs'!$Q$33),'2. GRI Pricing Inputs'!$P$32,IF(AND('3. GRI Pricing'!$F495&gt;='2. GRI Pricing Inputs'!$R$33,'3. GRI Pricing'!$F495&lt;='2. GRI Pricing Inputs'!$S$33),'2. GRI Pricing Inputs'!$R$32,IF(AND('3. GRI Pricing'!$F495&gt;='2. GRI Pricing Inputs'!$T$33,'3. GRI Pricing'!$F495&lt;='2. GRI Pricing Inputs'!$U$33),'2. GRI Pricing Inputs'!$T$32,IF(AND('3. GRI Pricing'!$F495&gt;='2. GRI Pricing Inputs'!$V$33,'3. GRI Pricing'!$F495&lt;='2. GRI Pricing Inputs'!$W$33),'2. GRI Pricing Inputs'!$V$32,IF(AND('3. GRI Pricing'!$F495&gt;='2. GRI Pricing Inputs'!$X$33,'3. GRI Pricing'!$F495&lt;='2. GRI Pricing Inputs'!$Y$33),'2. GRI Pricing Inputs'!$X$32,IF(AND('3. GRI Pricing'!$F495&gt;='2. GRI Pricing Inputs'!$Z$33,'3. GRI Pricing'!$F495&lt;='2. GRI Pricing Inputs'!$AA$33),'2. GRI Pricing Inputs'!$Z$32,IF(AND('3. GRI Pricing'!$F495&gt;='2. GRI Pricing Inputs'!$AB$33,'3. GRI Pricing'!$F495&lt;='2. GRI Pricing Inputs'!$AC$33),'2. GRI Pricing Inputs'!$AB$32,IF(AND('3. GRI Pricing'!$F495&gt;='2. GRI Pricing Inputs'!$AD$33,'3. GRI Pricing'!$F495&lt;='2. GRI Pricing Inputs'!$AE$33),'2. GRI Pricing Inputs'!$AD$32,IF(AND('3. GRI Pricing'!$F495&gt;='2. GRI Pricing Inputs'!$AF$33,'3. GRI Pricing'!$F495&lt;='2. GRI Pricing Inputs'!$AG$33),'2. GRI Pricing Inputs'!$AF$32,IF(AND('3. GRI Pricing'!$F495&gt;='2. GRI Pricing Inputs'!$AH$33,'3. GRI Pricing'!$F495&lt;='2. GRI Pricing Inputs'!$AI$33),'2. GRI Pricing Inputs'!$AH$32,0))))))))))))))))</f>
        <v>0</v>
      </c>
      <c r="N495" s="273" cm="1">
        <f t="array" ref="N495">IFERROR(INDEX('2. GRI Pricing Inputs'!$C$32:$AI$39,MATCH('3. GRI Pricing'!D495,'2. GRI Pricing Inputs'!$C$32:$C$39,0),(MATCH('3. GRI Pricing'!M495,'2. GRI Pricing Inputs'!$D$32:$AI$32,0)+1)),0)</f>
        <v>0</v>
      </c>
      <c r="O495" s="273">
        <f>IFERROR(INDEX('2. GRI Pricing Inputs'!$C$45:$AI$46,MATCH($O$16,'2. GRI Pricing Inputs'!$C$45:$C$46,0),MATCH(G495,'2. GRI Pricing Inputs'!$C$45:$AI$45,0)),0)</f>
        <v>0</v>
      </c>
      <c r="P495" s="273">
        <f>IFERROR(INDEX('2. GRI Pricing Inputs'!$C$53:$AI$54,MATCH('3. GRI Pricing'!$P$16,'2. GRI Pricing Inputs'!$C$53:$C$54,0),MATCH('3. GRI Pricing'!H495,'2. GRI Pricing Inputs'!$C$53:$AI$53,0)),0)</f>
        <v>0</v>
      </c>
      <c r="Q495" s="273">
        <f>IFERROR(INDEX('2. GRI Pricing Inputs'!$C$60:$AI$61,MATCH('3. GRI Pricing'!$Q$16,'2. GRI Pricing Inputs'!$C$60:$C$61,0),MATCH('1. Accomodation'!T499,'2. GRI Pricing Inputs'!$C$60:$AI$60,0)),0)</f>
        <v>0</v>
      </c>
      <c r="R495" s="273">
        <f>IFERROR(INDEX('2. GRI Pricing Inputs'!$C$67:$AI$68,MATCH('3. GRI Pricing'!$R$16,'2. GRI Pricing Inputs'!$C$67:$C$68,0),MATCH('1. Accomodation'!U499,'2. GRI Pricing Inputs'!$C$67:$AI$67,0)),0)</f>
        <v>0</v>
      </c>
      <c r="S495" s="273">
        <f>IF(D495=0,0,'2. GRI Pricing Inputs'!$AI$75)</f>
        <v>0</v>
      </c>
      <c r="T495" s="273">
        <f>IFERROR(INDEX('2. GRI Pricing Inputs'!$C$82:$AI$83,MATCH('3. GRI Pricing'!$T$16,'2. GRI Pricing Inputs'!$C$82:$C$83,0),MATCH('1. Accomodation'!V499,'2. GRI Pricing Inputs'!$C$82:$AI$82,0)),0)</f>
        <v>0</v>
      </c>
      <c r="U495" s="273">
        <f>IFERROR(INDEX('2. GRI Pricing Inputs'!$C$89:$AI$90,MATCH('3. GRI Pricing'!$U$16,'2. GRI Pricing Inputs'!$C$89:$C$90,0),MATCH('1. Accomodation'!W499,'2. GRI Pricing Inputs'!$C$89:$AI$89,0)),0)</f>
        <v>0</v>
      </c>
      <c r="V495" s="273">
        <f>IFERROR(INDEX('2. GRI Pricing Inputs'!$C$97:$AI$98,MATCH('3. GRI Pricing'!$V$16,'2. GRI Pricing Inputs'!$C$97:$C$98,0),MATCH('1. Accomodation'!X499,'2. GRI Pricing Inputs'!$C$97:$AI$97,0)),0)</f>
        <v>0</v>
      </c>
      <c r="W495" s="273">
        <f>IFERROR(INDEX('2. GRI Pricing Inputs'!$C$104:$AI$105,MATCH('3. GRI Pricing'!$W$16,'2. GRI Pricing Inputs'!$C$104:$C$105,0),MATCH('1. Accomodation'!Y499,'2. GRI Pricing Inputs'!$C$104:$AI$104,0)),0)</f>
        <v>0</v>
      </c>
      <c r="X495" s="274"/>
      <c r="Y495" s="275">
        <f t="shared" si="14"/>
        <v>0</v>
      </c>
      <c r="Z495" s="276"/>
      <c r="AA495" s="276"/>
      <c r="AB495" s="276"/>
      <c r="AC495" s="272">
        <f>Y495*(1+'2. GRI Pricing Inputs'!$D$114)^(($AC$16-$AB$15)/365)</f>
        <v>0</v>
      </c>
      <c r="AD495" s="273">
        <f>AC495*(1+'2. GRI Pricing Inputs'!$D$114)^((AD$16-AC$16)/365)</f>
        <v>0</v>
      </c>
      <c r="AE495" s="273">
        <f>AD495*(1+'2. GRI Pricing Inputs'!$D$114)^((AE$16-AD$16)/365)</f>
        <v>0</v>
      </c>
      <c r="AF495" s="273">
        <f>AE495*(1+'2. GRI Pricing Inputs'!$D$114)^((AF$16-AE$16)/365)</f>
        <v>0</v>
      </c>
      <c r="AG495" s="273">
        <f>AF495*(1+'2. GRI Pricing Inputs'!$D$114)^((AG$16-AF$16)/365)</f>
        <v>0</v>
      </c>
      <c r="AH495" s="273">
        <f>AG495*(1+'2. GRI Pricing Inputs'!$D$114)^((AH$16-AG$16)/365)</f>
        <v>0</v>
      </c>
      <c r="AI495" s="273">
        <f>AH495*(1+'2. GRI Pricing Inputs'!$D$114)^((AI$16-AH$16)/365)</f>
        <v>0</v>
      </c>
      <c r="AJ495" s="273">
        <f>AI495*(1+'2. GRI Pricing Inputs'!$D$114)^((AJ$16-AI$16)/365)</f>
        <v>0</v>
      </c>
      <c r="AK495" s="273">
        <f>AJ495*(1+'2. GRI Pricing Inputs'!$D$114)^((AK$16-AJ$16)/365)</f>
        <v>0</v>
      </c>
      <c r="AL495" s="273">
        <f>AK495*(1+'2. GRI Pricing Inputs'!$D$114)^((AL$16-AK$16)/365)</f>
        <v>0</v>
      </c>
      <c r="AM495" s="273">
        <f>AL495*(1+'2. GRI Pricing Inputs'!$D$114)^((AM$16-AL$16)/365)</f>
        <v>0</v>
      </c>
      <c r="AN495" s="273">
        <f>AM495*(1+'2. GRI Pricing Inputs'!$D$114)^((AN$16-AM$16)/365)</f>
        <v>0</v>
      </c>
      <c r="AO495" s="273">
        <f>AN495*(1+'2. GRI Pricing Inputs'!$D$114)^((AO$16-AN$16)/365)</f>
        <v>0</v>
      </c>
    </row>
    <row r="496" spans="3:41" ht="12" x14ac:dyDescent="0.2">
      <c r="C496" s="76">
        <f>'1. Accomodation'!N500</f>
        <v>0</v>
      </c>
      <c r="D496" s="69">
        <f>'1. Accomodation'!P500</f>
        <v>0</v>
      </c>
      <c r="E496" s="69">
        <f>'1. Accomodation'!Q500</f>
        <v>0</v>
      </c>
      <c r="F496" s="77">
        <f>'1. Accomodation'!O500</f>
        <v>0</v>
      </c>
      <c r="G496" s="69">
        <f>'1. Accomodation'!R500</f>
        <v>0</v>
      </c>
      <c r="H496" s="69">
        <f>'1. Accomodation'!S500</f>
        <v>0</v>
      </c>
      <c r="I496" s="62"/>
      <c r="K496" s="272">
        <f>IFERROR(INDEX('2. GRI Pricing Inputs'!$C$15:$AI$16,MATCH($K$16,'2. GRI Pricing Inputs'!$C$15:$C$16,0),MATCH(D496,'2. GRI Pricing Inputs'!$C$15:$AI$15,0)),0)</f>
        <v>0</v>
      </c>
      <c r="L496" s="273">
        <f>IFERROR(INDEX('2. GRI Pricing Inputs'!$C$22:$AI$23,MATCH($L$16,'2. GRI Pricing Inputs'!$C$22:$C$23,0),MATCH(E496,'2. GRI Pricing Inputs'!$C$22:$AI$22,0)),0)</f>
        <v>0</v>
      </c>
      <c r="M496" s="328">
        <f>IF(AND('3. GRI Pricing'!$F496&gt;='2. GRI Pricing Inputs'!$D$33,'3. GRI Pricing'!$F496&lt;='2. GRI Pricing Inputs'!$E$33),'2. GRI Pricing Inputs'!$D$32,IF(AND('3. GRI Pricing'!$F496&gt;='2. GRI Pricing Inputs'!$F$33,'3. GRI Pricing'!$F496&lt;='2. GRI Pricing Inputs'!$G$33),'2. GRI Pricing Inputs'!$F$32,IF(AND('3. GRI Pricing'!$F496&gt;='2. GRI Pricing Inputs'!$H$33,'3. GRI Pricing'!$F496&lt;='2. GRI Pricing Inputs'!$I$33),'2. GRI Pricing Inputs'!$H$32,IF(AND('3. GRI Pricing'!$F496&gt;='2. GRI Pricing Inputs'!$J$33,'3. GRI Pricing'!$F496&lt;='2. GRI Pricing Inputs'!$K$33),'2. GRI Pricing Inputs'!$J$32,IF(AND('3. GRI Pricing'!$F496&gt;='2. GRI Pricing Inputs'!$L$33,'3. GRI Pricing'!$F496&lt;='2. GRI Pricing Inputs'!$M$33),'2. GRI Pricing Inputs'!$L$32,IF(AND('3. GRI Pricing'!$F496&gt;='2. GRI Pricing Inputs'!$N$33,'3. GRI Pricing'!$F496&lt;='2. GRI Pricing Inputs'!$O$33),'2. GRI Pricing Inputs'!$N$32,IF(AND('3. GRI Pricing'!$F496&gt;='2. GRI Pricing Inputs'!$P$33,'3. GRI Pricing'!$F496&lt;='2. GRI Pricing Inputs'!$Q$33),'2. GRI Pricing Inputs'!$P$32,IF(AND('3. GRI Pricing'!$F496&gt;='2. GRI Pricing Inputs'!$R$33,'3. GRI Pricing'!$F496&lt;='2. GRI Pricing Inputs'!$S$33),'2. GRI Pricing Inputs'!$R$32,IF(AND('3. GRI Pricing'!$F496&gt;='2. GRI Pricing Inputs'!$T$33,'3. GRI Pricing'!$F496&lt;='2. GRI Pricing Inputs'!$U$33),'2. GRI Pricing Inputs'!$T$32,IF(AND('3. GRI Pricing'!$F496&gt;='2. GRI Pricing Inputs'!$V$33,'3. GRI Pricing'!$F496&lt;='2. GRI Pricing Inputs'!$W$33),'2. GRI Pricing Inputs'!$V$32,IF(AND('3. GRI Pricing'!$F496&gt;='2. GRI Pricing Inputs'!$X$33,'3. GRI Pricing'!$F496&lt;='2. GRI Pricing Inputs'!$Y$33),'2. GRI Pricing Inputs'!$X$32,IF(AND('3. GRI Pricing'!$F496&gt;='2. GRI Pricing Inputs'!$Z$33,'3. GRI Pricing'!$F496&lt;='2. GRI Pricing Inputs'!$AA$33),'2. GRI Pricing Inputs'!$Z$32,IF(AND('3. GRI Pricing'!$F496&gt;='2. GRI Pricing Inputs'!$AB$33,'3. GRI Pricing'!$F496&lt;='2. GRI Pricing Inputs'!$AC$33),'2. GRI Pricing Inputs'!$AB$32,IF(AND('3. GRI Pricing'!$F496&gt;='2. GRI Pricing Inputs'!$AD$33,'3. GRI Pricing'!$F496&lt;='2. GRI Pricing Inputs'!$AE$33),'2. GRI Pricing Inputs'!$AD$32,IF(AND('3. GRI Pricing'!$F496&gt;='2. GRI Pricing Inputs'!$AF$33,'3. GRI Pricing'!$F496&lt;='2. GRI Pricing Inputs'!$AG$33),'2. GRI Pricing Inputs'!$AF$32,IF(AND('3. GRI Pricing'!$F496&gt;='2. GRI Pricing Inputs'!$AH$33,'3. GRI Pricing'!$F496&lt;='2. GRI Pricing Inputs'!$AI$33),'2. GRI Pricing Inputs'!$AH$32,0))))))))))))))))</f>
        <v>0</v>
      </c>
      <c r="N496" s="273" cm="1">
        <f t="array" ref="N496">IFERROR(INDEX('2. GRI Pricing Inputs'!$C$32:$AI$39,MATCH('3. GRI Pricing'!D496,'2. GRI Pricing Inputs'!$C$32:$C$39,0),(MATCH('3. GRI Pricing'!M496,'2. GRI Pricing Inputs'!$D$32:$AI$32,0)+1)),0)</f>
        <v>0</v>
      </c>
      <c r="O496" s="273">
        <f>IFERROR(INDEX('2. GRI Pricing Inputs'!$C$45:$AI$46,MATCH($O$16,'2. GRI Pricing Inputs'!$C$45:$C$46,0),MATCH(G496,'2. GRI Pricing Inputs'!$C$45:$AI$45,0)),0)</f>
        <v>0</v>
      </c>
      <c r="P496" s="273">
        <f>IFERROR(INDEX('2. GRI Pricing Inputs'!$C$53:$AI$54,MATCH('3. GRI Pricing'!$P$16,'2. GRI Pricing Inputs'!$C$53:$C$54,0),MATCH('3. GRI Pricing'!H496,'2. GRI Pricing Inputs'!$C$53:$AI$53,0)),0)</f>
        <v>0</v>
      </c>
      <c r="Q496" s="273">
        <f>IFERROR(INDEX('2. GRI Pricing Inputs'!$C$60:$AI$61,MATCH('3. GRI Pricing'!$Q$16,'2. GRI Pricing Inputs'!$C$60:$C$61,0),MATCH('1. Accomodation'!T500,'2. GRI Pricing Inputs'!$C$60:$AI$60,0)),0)</f>
        <v>0</v>
      </c>
      <c r="R496" s="273">
        <f>IFERROR(INDEX('2. GRI Pricing Inputs'!$C$67:$AI$68,MATCH('3. GRI Pricing'!$R$16,'2. GRI Pricing Inputs'!$C$67:$C$68,0),MATCH('1. Accomodation'!U500,'2. GRI Pricing Inputs'!$C$67:$AI$67,0)),0)</f>
        <v>0</v>
      </c>
      <c r="S496" s="273">
        <f>IF(D496=0,0,'2. GRI Pricing Inputs'!$AI$75)</f>
        <v>0</v>
      </c>
      <c r="T496" s="273">
        <f>IFERROR(INDEX('2. GRI Pricing Inputs'!$C$82:$AI$83,MATCH('3. GRI Pricing'!$T$16,'2. GRI Pricing Inputs'!$C$82:$C$83,0),MATCH('1. Accomodation'!V500,'2. GRI Pricing Inputs'!$C$82:$AI$82,0)),0)</f>
        <v>0</v>
      </c>
      <c r="U496" s="273">
        <f>IFERROR(INDEX('2. GRI Pricing Inputs'!$C$89:$AI$90,MATCH('3. GRI Pricing'!$U$16,'2. GRI Pricing Inputs'!$C$89:$C$90,0),MATCH('1. Accomodation'!W500,'2. GRI Pricing Inputs'!$C$89:$AI$89,0)),0)</f>
        <v>0</v>
      </c>
      <c r="V496" s="273">
        <f>IFERROR(INDEX('2. GRI Pricing Inputs'!$C$97:$AI$98,MATCH('3. GRI Pricing'!$V$16,'2. GRI Pricing Inputs'!$C$97:$C$98,0),MATCH('1. Accomodation'!X500,'2. GRI Pricing Inputs'!$C$97:$AI$97,0)),0)</f>
        <v>0</v>
      </c>
      <c r="W496" s="273">
        <f>IFERROR(INDEX('2. GRI Pricing Inputs'!$C$104:$AI$105,MATCH('3. GRI Pricing'!$W$16,'2. GRI Pricing Inputs'!$C$104:$C$105,0),MATCH('1. Accomodation'!Y500,'2. GRI Pricing Inputs'!$C$104:$AI$104,0)),0)</f>
        <v>0</v>
      </c>
      <c r="X496" s="274"/>
      <c r="Y496" s="275">
        <f t="shared" si="14"/>
        <v>0</v>
      </c>
      <c r="Z496" s="276"/>
      <c r="AA496" s="276"/>
      <c r="AB496" s="276"/>
      <c r="AC496" s="272">
        <f>Y496*(1+'2. GRI Pricing Inputs'!$D$114)^(($AC$16-$AB$15)/365)</f>
        <v>0</v>
      </c>
      <c r="AD496" s="273">
        <f>AC496*(1+'2. GRI Pricing Inputs'!$D$114)^((AD$16-AC$16)/365)</f>
        <v>0</v>
      </c>
      <c r="AE496" s="273">
        <f>AD496*(1+'2. GRI Pricing Inputs'!$D$114)^((AE$16-AD$16)/365)</f>
        <v>0</v>
      </c>
      <c r="AF496" s="273">
        <f>AE496*(1+'2. GRI Pricing Inputs'!$D$114)^((AF$16-AE$16)/365)</f>
        <v>0</v>
      </c>
      <c r="AG496" s="273">
        <f>AF496*(1+'2. GRI Pricing Inputs'!$D$114)^((AG$16-AF$16)/365)</f>
        <v>0</v>
      </c>
      <c r="AH496" s="273">
        <f>AG496*(1+'2. GRI Pricing Inputs'!$D$114)^((AH$16-AG$16)/365)</f>
        <v>0</v>
      </c>
      <c r="AI496" s="273">
        <f>AH496*(1+'2. GRI Pricing Inputs'!$D$114)^((AI$16-AH$16)/365)</f>
        <v>0</v>
      </c>
      <c r="AJ496" s="273">
        <f>AI496*(1+'2. GRI Pricing Inputs'!$D$114)^((AJ$16-AI$16)/365)</f>
        <v>0</v>
      </c>
      <c r="AK496" s="273">
        <f>AJ496*(1+'2. GRI Pricing Inputs'!$D$114)^((AK$16-AJ$16)/365)</f>
        <v>0</v>
      </c>
      <c r="AL496" s="273">
        <f>AK496*(1+'2. GRI Pricing Inputs'!$D$114)^((AL$16-AK$16)/365)</f>
        <v>0</v>
      </c>
      <c r="AM496" s="273">
        <f>AL496*(1+'2. GRI Pricing Inputs'!$D$114)^((AM$16-AL$16)/365)</f>
        <v>0</v>
      </c>
      <c r="AN496" s="273">
        <f>AM496*(1+'2. GRI Pricing Inputs'!$D$114)^((AN$16-AM$16)/365)</f>
        <v>0</v>
      </c>
      <c r="AO496" s="273">
        <f>AN496*(1+'2. GRI Pricing Inputs'!$D$114)^((AO$16-AN$16)/365)</f>
        <v>0</v>
      </c>
    </row>
    <row r="497" spans="3:41" ht="12" x14ac:dyDescent="0.2">
      <c r="C497" s="76">
        <f>'1. Accomodation'!N501</f>
        <v>0</v>
      </c>
      <c r="D497" s="69">
        <f>'1. Accomodation'!P501</f>
        <v>0</v>
      </c>
      <c r="E497" s="69">
        <f>'1. Accomodation'!Q501</f>
        <v>0</v>
      </c>
      <c r="F497" s="77">
        <f>'1. Accomodation'!O501</f>
        <v>0</v>
      </c>
      <c r="G497" s="69">
        <f>'1. Accomodation'!R501</f>
        <v>0</v>
      </c>
      <c r="H497" s="69">
        <f>'1. Accomodation'!S501</f>
        <v>0</v>
      </c>
      <c r="I497" s="62"/>
      <c r="K497" s="272">
        <f>IFERROR(INDEX('2. GRI Pricing Inputs'!$C$15:$AI$16,MATCH($K$16,'2. GRI Pricing Inputs'!$C$15:$C$16,0),MATCH(D497,'2. GRI Pricing Inputs'!$C$15:$AI$15,0)),0)</f>
        <v>0</v>
      </c>
      <c r="L497" s="273">
        <f>IFERROR(INDEX('2. GRI Pricing Inputs'!$C$22:$AI$23,MATCH($L$16,'2. GRI Pricing Inputs'!$C$22:$C$23,0),MATCH(E497,'2. GRI Pricing Inputs'!$C$22:$AI$22,0)),0)</f>
        <v>0</v>
      </c>
      <c r="M497" s="328">
        <f>IF(AND('3. GRI Pricing'!$F497&gt;='2. GRI Pricing Inputs'!$D$33,'3. GRI Pricing'!$F497&lt;='2. GRI Pricing Inputs'!$E$33),'2. GRI Pricing Inputs'!$D$32,IF(AND('3. GRI Pricing'!$F497&gt;='2. GRI Pricing Inputs'!$F$33,'3. GRI Pricing'!$F497&lt;='2. GRI Pricing Inputs'!$G$33),'2. GRI Pricing Inputs'!$F$32,IF(AND('3. GRI Pricing'!$F497&gt;='2. GRI Pricing Inputs'!$H$33,'3. GRI Pricing'!$F497&lt;='2. GRI Pricing Inputs'!$I$33),'2. GRI Pricing Inputs'!$H$32,IF(AND('3. GRI Pricing'!$F497&gt;='2. GRI Pricing Inputs'!$J$33,'3. GRI Pricing'!$F497&lt;='2. GRI Pricing Inputs'!$K$33),'2. GRI Pricing Inputs'!$J$32,IF(AND('3. GRI Pricing'!$F497&gt;='2. GRI Pricing Inputs'!$L$33,'3. GRI Pricing'!$F497&lt;='2. GRI Pricing Inputs'!$M$33),'2. GRI Pricing Inputs'!$L$32,IF(AND('3. GRI Pricing'!$F497&gt;='2. GRI Pricing Inputs'!$N$33,'3. GRI Pricing'!$F497&lt;='2. GRI Pricing Inputs'!$O$33),'2. GRI Pricing Inputs'!$N$32,IF(AND('3. GRI Pricing'!$F497&gt;='2. GRI Pricing Inputs'!$P$33,'3. GRI Pricing'!$F497&lt;='2. GRI Pricing Inputs'!$Q$33),'2. GRI Pricing Inputs'!$P$32,IF(AND('3. GRI Pricing'!$F497&gt;='2. GRI Pricing Inputs'!$R$33,'3. GRI Pricing'!$F497&lt;='2. GRI Pricing Inputs'!$S$33),'2. GRI Pricing Inputs'!$R$32,IF(AND('3. GRI Pricing'!$F497&gt;='2. GRI Pricing Inputs'!$T$33,'3. GRI Pricing'!$F497&lt;='2. GRI Pricing Inputs'!$U$33),'2. GRI Pricing Inputs'!$T$32,IF(AND('3. GRI Pricing'!$F497&gt;='2. GRI Pricing Inputs'!$V$33,'3. GRI Pricing'!$F497&lt;='2. GRI Pricing Inputs'!$W$33),'2. GRI Pricing Inputs'!$V$32,IF(AND('3. GRI Pricing'!$F497&gt;='2. GRI Pricing Inputs'!$X$33,'3. GRI Pricing'!$F497&lt;='2. GRI Pricing Inputs'!$Y$33),'2. GRI Pricing Inputs'!$X$32,IF(AND('3. GRI Pricing'!$F497&gt;='2. GRI Pricing Inputs'!$Z$33,'3. GRI Pricing'!$F497&lt;='2. GRI Pricing Inputs'!$AA$33),'2. GRI Pricing Inputs'!$Z$32,IF(AND('3. GRI Pricing'!$F497&gt;='2. GRI Pricing Inputs'!$AB$33,'3. GRI Pricing'!$F497&lt;='2. GRI Pricing Inputs'!$AC$33),'2. GRI Pricing Inputs'!$AB$32,IF(AND('3. GRI Pricing'!$F497&gt;='2. GRI Pricing Inputs'!$AD$33,'3. GRI Pricing'!$F497&lt;='2. GRI Pricing Inputs'!$AE$33),'2. GRI Pricing Inputs'!$AD$32,IF(AND('3. GRI Pricing'!$F497&gt;='2. GRI Pricing Inputs'!$AF$33,'3. GRI Pricing'!$F497&lt;='2. GRI Pricing Inputs'!$AG$33),'2. GRI Pricing Inputs'!$AF$32,IF(AND('3. GRI Pricing'!$F497&gt;='2. GRI Pricing Inputs'!$AH$33,'3. GRI Pricing'!$F497&lt;='2. GRI Pricing Inputs'!$AI$33),'2. GRI Pricing Inputs'!$AH$32,0))))))))))))))))</f>
        <v>0</v>
      </c>
      <c r="N497" s="273" cm="1">
        <f t="array" ref="N497">IFERROR(INDEX('2. GRI Pricing Inputs'!$C$32:$AI$39,MATCH('3. GRI Pricing'!D497,'2. GRI Pricing Inputs'!$C$32:$C$39,0),(MATCH('3. GRI Pricing'!M497,'2. GRI Pricing Inputs'!$D$32:$AI$32,0)+1)),0)</f>
        <v>0</v>
      </c>
      <c r="O497" s="273">
        <f>IFERROR(INDEX('2. GRI Pricing Inputs'!$C$45:$AI$46,MATCH($O$16,'2. GRI Pricing Inputs'!$C$45:$C$46,0),MATCH(G497,'2. GRI Pricing Inputs'!$C$45:$AI$45,0)),0)</f>
        <v>0</v>
      </c>
      <c r="P497" s="273">
        <f>IFERROR(INDEX('2. GRI Pricing Inputs'!$C$53:$AI$54,MATCH('3. GRI Pricing'!$P$16,'2. GRI Pricing Inputs'!$C$53:$C$54,0),MATCH('3. GRI Pricing'!H497,'2. GRI Pricing Inputs'!$C$53:$AI$53,0)),0)</f>
        <v>0</v>
      </c>
      <c r="Q497" s="273">
        <f>IFERROR(INDEX('2. GRI Pricing Inputs'!$C$60:$AI$61,MATCH('3. GRI Pricing'!$Q$16,'2. GRI Pricing Inputs'!$C$60:$C$61,0),MATCH('1. Accomodation'!T501,'2. GRI Pricing Inputs'!$C$60:$AI$60,0)),0)</f>
        <v>0</v>
      </c>
      <c r="R497" s="273">
        <f>IFERROR(INDEX('2. GRI Pricing Inputs'!$C$67:$AI$68,MATCH('3. GRI Pricing'!$R$16,'2. GRI Pricing Inputs'!$C$67:$C$68,0),MATCH('1. Accomodation'!U501,'2. GRI Pricing Inputs'!$C$67:$AI$67,0)),0)</f>
        <v>0</v>
      </c>
      <c r="S497" s="273">
        <f>IF(D497=0,0,'2. GRI Pricing Inputs'!$AI$75)</f>
        <v>0</v>
      </c>
      <c r="T497" s="273">
        <f>IFERROR(INDEX('2. GRI Pricing Inputs'!$C$82:$AI$83,MATCH('3. GRI Pricing'!$T$16,'2. GRI Pricing Inputs'!$C$82:$C$83,0),MATCH('1. Accomodation'!V501,'2. GRI Pricing Inputs'!$C$82:$AI$82,0)),0)</f>
        <v>0</v>
      </c>
      <c r="U497" s="273">
        <f>IFERROR(INDEX('2. GRI Pricing Inputs'!$C$89:$AI$90,MATCH('3. GRI Pricing'!$U$16,'2. GRI Pricing Inputs'!$C$89:$C$90,0),MATCH('1. Accomodation'!W501,'2. GRI Pricing Inputs'!$C$89:$AI$89,0)),0)</f>
        <v>0</v>
      </c>
      <c r="V497" s="273">
        <f>IFERROR(INDEX('2. GRI Pricing Inputs'!$C$97:$AI$98,MATCH('3. GRI Pricing'!$V$16,'2. GRI Pricing Inputs'!$C$97:$C$98,0),MATCH('1. Accomodation'!X501,'2. GRI Pricing Inputs'!$C$97:$AI$97,0)),0)</f>
        <v>0</v>
      </c>
      <c r="W497" s="273">
        <f>IFERROR(INDEX('2. GRI Pricing Inputs'!$C$104:$AI$105,MATCH('3. GRI Pricing'!$W$16,'2. GRI Pricing Inputs'!$C$104:$C$105,0),MATCH('1. Accomodation'!Y501,'2. GRI Pricing Inputs'!$C$104:$AI$104,0)),0)</f>
        <v>0</v>
      </c>
      <c r="X497" s="274"/>
      <c r="Y497" s="275">
        <f t="shared" si="14"/>
        <v>0</v>
      </c>
      <c r="Z497" s="276"/>
      <c r="AA497" s="276"/>
      <c r="AB497" s="276"/>
      <c r="AC497" s="272">
        <f>Y497*(1+'2. GRI Pricing Inputs'!$D$114)^(($AC$16-$AB$15)/365)</f>
        <v>0</v>
      </c>
      <c r="AD497" s="273">
        <f>AC497*(1+'2. GRI Pricing Inputs'!$D$114)^((AD$16-AC$16)/365)</f>
        <v>0</v>
      </c>
      <c r="AE497" s="273">
        <f>AD497*(1+'2. GRI Pricing Inputs'!$D$114)^((AE$16-AD$16)/365)</f>
        <v>0</v>
      </c>
      <c r="AF497" s="273">
        <f>AE497*(1+'2. GRI Pricing Inputs'!$D$114)^((AF$16-AE$16)/365)</f>
        <v>0</v>
      </c>
      <c r="AG497" s="273">
        <f>AF497*(1+'2. GRI Pricing Inputs'!$D$114)^((AG$16-AF$16)/365)</f>
        <v>0</v>
      </c>
      <c r="AH497" s="273">
        <f>AG497*(1+'2. GRI Pricing Inputs'!$D$114)^((AH$16-AG$16)/365)</f>
        <v>0</v>
      </c>
      <c r="AI497" s="273">
        <f>AH497*(1+'2. GRI Pricing Inputs'!$D$114)^((AI$16-AH$16)/365)</f>
        <v>0</v>
      </c>
      <c r="AJ497" s="273">
        <f>AI497*(1+'2. GRI Pricing Inputs'!$D$114)^((AJ$16-AI$16)/365)</f>
        <v>0</v>
      </c>
      <c r="AK497" s="273">
        <f>AJ497*(1+'2. GRI Pricing Inputs'!$D$114)^((AK$16-AJ$16)/365)</f>
        <v>0</v>
      </c>
      <c r="AL497" s="273">
        <f>AK497*(1+'2. GRI Pricing Inputs'!$D$114)^((AL$16-AK$16)/365)</f>
        <v>0</v>
      </c>
      <c r="AM497" s="273">
        <f>AL497*(1+'2. GRI Pricing Inputs'!$D$114)^((AM$16-AL$16)/365)</f>
        <v>0</v>
      </c>
      <c r="AN497" s="273">
        <f>AM497*(1+'2. GRI Pricing Inputs'!$D$114)^((AN$16-AM$16)/365)</f>
        <v>0</v>
      </c>
      <c r="AO497" s="273">
        <f>AN497*(1+'2. GRI Pricing Inputs'!$D$114)^((AO$16-AN$16)/365)</f>
        <v>0</v>
      </c>
    </row>
    <row r="498" spans="3:41" ht="12" x14ac:dyDescent="0.2">
      <c r="C498" s="76">
        <f>'1. Accomodation'!N502</f>
        <v>0</v>
      </c>
      <c r="D498" s="69">
        <f>'1. Accomodation'!P502</f>
        <v>0</v>
      </c>
      <c r="E498" s="69">
        <f>'1. Accomodation'!Q502</f>
        <v>0</v>
      </c>
      <c r="F498" s="77">
        <f>'1. Accomodation'!O502</f>
        <v>0</v>
      </c>
      <c r="G498" s="69">
        <f>'1. Accomodation'!R502</f>
        <v>0</v>
      </c>
      <c r="H498" s="69">
        <f>'1. Accomodation'!S502</f>
        <v>0</v>
      </c>
      <c r="I498" s="62"/>
      <c r="K498" s="272">
        <f>IFERROR(INDEX('2. GRI Pricing Inputs'!$C$15:$AI$16,MATCH($K$16,'2. GRI Pricing Inputs'!$C$15:$C$16,0),MATCH(D498,'2. GRI Pricing Inputs'!$C$15:$AI$15,0)),0)</f>
        <v>0</v>
      </c>
      <c r="L498" s="273">
        <f>IFERROR(INDEX('2. GRI Pricing Inputs'!$C$22:$AI$23,MATCH($L$16,'2. GRI Pricing Inputs'!$C$22:$C$23,0),MATCH(E498,'2. GRI Pricing Inputs'!$C$22:$AI$22,0)),0)</f>
        <v>0</v>
      </c>
      <c r="M498" s="328">
        <f>IF(AND('3. GRI Pricing'!$F498&gt;='2. GRI Pricing Inputs'!$D$33,'3. GRI Pricing'!$F498&lt;='2. GRI Pricing Inputs'!$E$33),'2. GRI Pricing Inputs'!$D$32,IF(AND('3. GRI Pricing'!$F498&gt;='2. GRI Pricing Inputs'!$F$33,'3. GRI Pricing'!$F498&lt;='2. GRI Pricing Inputs'!$G$33),'2. GRI Pricing Inputs'!$F$32,IF(AND('3. GRI Pricing'!$F498&gt;='2. GRI Pricing Inputs'!$H$33,'3. GRI Pricing'!$F498&lt;='2. GRI Pricing Inputs'!$I$33),'2. GRI Pricing Inputs'!$H$32,IF(AND('3. GRI Pricing'!$F498&gt;='2. GRI Pricing Inputs'!$J$33,'3. GRI Pricing'!$F498&lt;='2. GRI Pricing Inputs'!$K$33),'2. GRI Pricing Inputs'!$J$32,IF(AND('3. GRI Pricing'!$F498&gt;='2. GRI Pricing Inputs'!$L$33,'3. GRI Pricing'!$F498&lt;='2. GRI Pricing Inputs'!$M$33),'2. GRI Pricing Inputs'!$L$32,IF(AND('3. GRI Pricing'!$F498&gt;='2. GRI Pricing Inputs'!$N$33,'3. GRI Pricing'!$F498&lt;='2. GRI Pricing Inputs'!$O$33),'2. GRI Pricing Inputs'!$N$32,IF(AND('3. GRI Pricing'!$F498&gt;='2. GRI Pricing Inputs'!$P$33,'3. GRI Pricing'!$F498&lt;='2. GRI Pricing Inputs'!$Q$33),'2. GRI Pricing Inputs'!$P$32,IF(AND('3. GRI Pricing'!$F498&gt;='2. GRI Pricing Inputs'!$R$33,'3. GRI Pricing'!$F498&lt;='2. GRI Pricing Inputs'!$S$33),'2. GRI Pricing Inputs'!$R$32,IF(AND('3. GRI Pricing'!$F498&gt;='2. GRI Pricing Inputs'!$T$33,'3. GRI Pricing'!$F498&lt;='2. GRI Pricing Inputs'!$U$33),'2. GRI Pricing Inputs'!$T$32,IF(AND('3. GRI Pricing'!$F498&gt;='2. GRI Pricing Inputs'!$V$33,'3. GRI Pricing'!$F498&lt;='2. GRI Pricing Inputs'!$W$33),'2. GRI Pricing Inputs'!$V$32,IF(AND('3. GRI Pricing'!$F498&gt;='2. GRI Pricing Inputs'!$X$33,'3. GRI Pricing'!$F498&lt;='2. GRI Pricing Inputs'!$Y$33),'2. GRI Pricing Inputs'!$X$32,IF(AND('3. GRI Pricing'!$F498&gt;='2. GRI Pricing Inputs'!$Z$33,'3. GRI Pricing'!$F498&lt;='2. GRI Pricing Inputs'!$AA$33),'2. GRI Pricing Inputs'!$Z$32,IF(AND('3. GRI Pricing'!$F498&gt;='2. GRI Pricing Inputs'!$AB$33,'3. GRI Pricing'!$F498&lt;='2. GRI Pricing Inputs'!$AC$33),'2. GRI Pricing Inputs'!$AB$32,IF(AND('3. GRI Pricing'!$F498&gt;='2. GRI Pricing Inputs'!$AD$33,'3. GRI Pricing'!$F498&lt;='2. GRI Pricing Inputs'!$AE$33),'2. GRI Pricing Inputs'!$AD$32,IF(AND('3. GRI Pricing'!$F498&gt;='2. GRI Pricing Inputs'!$AF$33,'3. GRI Pricing'!$F498&lt;='2. GRI Pricing Inputs'!$AG$33),'2. GRI Pricing Inputs'!$AF$32,IF(AND('3. GRI Pricing'!$F498&gt;='2. GRI Pricing Inputs'!$AH$33,'3. GRI Pricing'!$F498&lt;='2. GRI Pricing Inputs'!$AI$33),'2. GRI Pricing Inputs'!$AH$32,0))))))))))))))))</f>
        <v>0</v>
      </c>
      <c r="N498" s="273" cm="1">
        <f t="array" ref="N498">IFERROR(INDEX('2. GRI Pricing Inputs'!$C$32:$AI$39,MATCH('3. GRI Pricing'!D498,'2. GRI Pricing Inputs'!$C$32:$C$39,0),(MATCH('3. GRI Pricing'!M498,'2. GRI Pricing Inputs'!$D$32:$AI$32,0)+1)),0)</f>
        <v>0</v>
      </c>
      <c r="O498" s="273">
        <f>IFERROR(INDEX('2. GRI Pricing Inputs'!$C$45:$AI$46,MATCH($O$16,'2. GRI Pricing Inputs'!$C$45:$C$46,0),MATCH(G498,'2. GRI Pricing Inputs'!$C$45:$AI$45,0)),0)</f>
        <v>0</v>
      </c>
      <c r="P498" s="273">
        <f>IFERROR(INDEX('2. GRI Pricing Inputs'!$C$53:$AI$54,MATCH('3. GRI Pricing'!$P$16,'2. GRI Pricing Inputs'!$C$53:$C$54,0),MATCH('3. GRI Pricing'!H498,'2. GRI Pricing Inputs'!$C$53:$AI$53,0)),0)</f>
        <v>0</v>
      </c>
      <c r="Q498" s="273">
        <f>IFERROR(INDEX('2. GRI Pricing Inputs'!$C$60:$AI$61,MATCH('3. GRI Pricing'!$Q$16,'2. GRI Pricing Inputs'!$C$60:$C$61,0),MATCH('1. Accomodation'!T502,'2. GRI Pricing Inputs'!$C$60:$AI$60,0)),0)</f>
        <v>0</v>
      </c>
      <c r="R498" s="273">
        <f>IFERROR(INDEX('2. GRI Pricing Inputs'!$C$67:$AI$68,MATCH('3. GRI Pricing'!$R$16,'2. GRI Pricing Inputs'!$C$67:$C$68,0),MATCH('1. Accomodation'!U502,'2. GRI Pricing Inputs'!$C$67:$AI$67,0)),0)</f>
        <v>0</v>
      </c>
      <c r="S498" s="273">
        <f>IF(D498=0,0,'2. GRI Pricing Inputs'!$AI$75)</f>
        <v>0</v>
      </c>
      <c r="T498" s="273">
        <f>IFERROR(INDEX('2. GRI Pricing Inputs'!$C$82:$AI$83,MATCH('3. GRI Pricing'!$T$16,'2. GRI Pricing Inputs'!$C$82:$C$83,0),MATCH('1. Accomodation'!V502,'2. GRI Pricing Inputs'!$C$82:$AI$82,0)),0)</f>
        <v>0</v>
      </c>
      <c r="U498" s="273">
        <f>IFERROR(INDEX('2. GRI Pricing Inputs'!$C$89:$AI$90,MATCH('3. GRI Pricing'!$U$16,'2. GRI Pricing Inputs'!$C$89:$C$90,0),MATCH('1. Accomodation'!W502,'2. GRI Pricing Inputs'!$C$89:$AI$89,0)),0)</f>
        <v>0</v>
      </c>
      <c r="V498" s="273">
        <f>IFERROR(INDEX('2. GRI Pricing Inputs'!$C$97:$AI$98,MATCH('3. GRI Pricing'!$V$16,'2. GRI Pricing Inputs'!$C$97:$C$98,0),MATCH('1. Accomodation'!X502,'2. GRI Pricing Inputs'!$C$97:$AI$97,0)),0)</f>
        <v>0</v>
      </c>
      <c r="W498" s="273">
        <f>IFERROR(INDEX('2. GRI Pricing Inputs'!$C$104:$AI$105,MATCH('3. GRI Pricing'!$W$16,'2. GRI Pricing Inputs'!$C$104:$C$105,0),MATCH('1. Accomodation'!Y502,'2. GRI Pricing Inputs'!$C$104:$AI$104,0)),0)</f>
        <v>0</v>
      </c>
      <c r="X498" s="274"/>
      <c r="Y498" s="275">
        <f t="shared" si="14"/>
        <v>0</v>
      </c>
      <c r="Z498" s="276"/>
      <c r="AA498" s="276"/>
      <c r="AB498" s="276"/>
      <c r="AC498" s="272">
        <f>Y498*(1+'2. GRI Pricing Inputs'!$D$114)^(($AC$16-$AB$15)/365)</f>
        <v>0</v>
      </c>
      <c r="AD498" s="273">
        <f>AC498*(1+'2. GRI Pricing Inputs'!$D$114)^((AD$16-AC$16)/365)</f>
        <v>0</v>
      </c>
      <c r="AE498" s="273">
        <f>AD498*(1+'2. GRI Pricing Inputs'!$D$114)^((AE$16-AD$16)/365)</f>
        <v>0</v>
      </c>
      <c r="AF498" s="273">
        <f>AE498*(1+'2. GRI Pricing Inputs'!$D$114)^((AF$16-AE$16)/365)</f>
        <v>0</v>
      </c>
      <c r="AG498" s="273">
        <f>AF498*(1+'2. GRI Pricing Inputs'!$D$114)^((AG$16-AF$16)/365)</f>
        <v>0</v>
      </c>
      <c r="AH498" s="273">
        <f>AG498*(1+'2. GRI Pricing Inputs'!$D$114)^((AH$16-AG$16)/365)</f>
        <v>0</v>
      </c>
      <c r="AI498" s="273">
        <f>AH498*(1+'2. GRI Pricing Inputs'!$D$114)^((AI$16-AH$16)/365)</f>
        <v>0</v>
      </c>
      <c r="AJ498" s="273">
        <f>AI498*(1+'2. GRI Pricing Inputs'!$D$114)^((AJ$16-AI$16)/365)</f>
        <v>0</v>
      </c>
      <c r="AK498" s="273">
        <f>AJ498*(1+'2. GRI Pricing Inputs'!$D$114)^((AK$16-AJ$16)/365)</f>
        <v>0</v>
      </c>
      <c r="AL498" s="273">
        <f>AK498*(1+'2. GRI Pricing Inputs'!$D$114)^((AL$16-AK$16)/365)</f>
        <v>0</v>
      </c>
      <c r="AM498" s="273">
        <f>AL498*(1+'2. GRI Pricing Inputs'!$D$114)^((AM$16-AL$16)/365)</f>
        <v>0</v>
      </c>
      <c r="AN498" s="273">
        <f>AM498*(1+'2. GRI Pricing Inputs'!$D$114)^((AN$16-AM$16)/365)</f>
        <v>0</v>
      </c>
      <c r="AO498" s="273">
        <f>AN498*(1+'2. GRI Pricing Inputs'!$D$114)^((AO$16-AN$16)/365)</f>
        <v>0</v>
      </c>
    </row>
    <row r="499" spans="3:41" ht="12" x14ac:dyDescent="0.2">
      <c r="C499" s="76">
        <f>'1. Accomodation'!N503</f>
        <v>0</v>
      </c>
      <c r="D499" s="69">
        <f>'1. Accomodation'!P503</f>
        <v>0</v>
      </c>
      <c r="E499" s="69">
        <f>'1. Accomodation'!Q503</f>
        <v>0</v>
      </c>
      <c r="F499" s="77">
        <f>'1. Accomodation'!O503</f>
        <v>0</v>
      </c>
      <c r="G499" s="69">
        <f>'1. Accomodation'!R503</f>
        <v>0</v>
      </c>
      <c r="H499" s="69">
        <f>'1. Accomodation'!S503</f>
        <v>0</v>
      </c>
      <c r="I499" s="62"/>
      <c r="K499" s="272">
        <f>IFERROR(INDEX('2. GRI Pricing Inputs'!$C$15:$AI$16,MATCH($K$16,'2. GRI Pricing Inputs'!$C$15:$C$16,0),MATCH(D499,'2. GRI Pricing Inputs'!$C$15:$AI$15,0)),0)</f>
        <v>0</v>
      </c>
      <c r="L499" s="273">
        <f>IFERROR(INDEX('2. GRI Pricing Inputs'!$C$22:$AI$23,MATCH($L$16,'2. GRI Pricing Inputs'!$C$22:$C$23,0),MATCH(E499,'2. GRI Pricing Inputs'!$C$22:$AI$22,0)),0)</f>
        <v>0</v>
      </c>
      <c r="M499" s="328">
        <f>IF(AND('3. GRI Pricing'!$F499&gt;='2. GRI Pricing Inputs'!$D$33,'3. GRI Pricing'!$F499&lt;='2. GRI Pricing Inputs'!$E$33),'2. GRI Pricing Inputs'!$D$32,IF(AND('3. GRI Pricing'!$F499&gt;='2. GRI Pricing Inputs'!$F$33,'3. GRI Pricing'!$F499&lt;='2. GRI Pricing Inputs'!$G$33),'2. GRI Pricing Inputs'!$F$32,IF(AND('3. GRI Pricing'!$F499&gt;='2. GRI Pricing Inputs'!$H$33,'3. GRI Pricing'!$F499&lt;='2. GRI Pricing Inputs'!$I$33),'2. GRI Pricing Inputs'!$H$32,IF(AND('3. GRI Pricing'!$F499&gt;='2. GRI Pricing Inputs'!$J$33,'3. GRI Pricing'!$F499&lt;='2. GRI Pricing Inputs'!$K$33),'2. GRI Pricing Inputs'!$J$32,IF(AND('3. GRI Pricing'!$F499&gt;='2. GRI Pricing Inputs'!$L$33,'3. GRI Pricing'!$F499&lt;='2. GRI Pricing Inputs'!$M$33),'2. GRI Pricing Inputs'!$L$32,IF(AND('3. GRI Pricing'!$F499&gt;='2. GRI Pricing Inputs'!$N$33,'3. GRI Pricing'!$F499&lt;='2. GRI Pricing Inputs'!$O$33),'2. GRI Pricing Inputs'!$N$32,IF(AND('3. GRI Pricing'!$F499&gt;='2. GRI Pricing Inputs'!$P$33,'3. GRI Pricing'!$F499&lt;='2. GRI Pricing Inputs'!$Q$33),'2. GRI Pricing Inputs'!$P$32,IF(AND('3. GRI Pricing'!$F499&gt;='2. GRI Pricing Inputs'!$R$33,'3. GRI Pricing'!$F499&lt;='2. GRI Pricing Inputs'!$S$33),'2. GRI Pricing Inputs'!$R$32,IF(AND('3. GRI Pricing'!$F499&gt;='2. GRI Pricing Inputs'!$T$33,'3. GRI Pricing'!$F499&lt;='2. GRI Pricing Inputs'!$U$33),'2. GRI Pricing Inputs'!$T$32,IF(AND('3. GRI Pricing'!$F499&gt;='2. GRI Pricing Inputs'!$V$33,'3. GRI Pricing'!$F499&lt;='2. GRI Pricing Inputs'!$W$33),'2. GRI Pricing Inputs'!$V$32,IF(AND('3. GRI Pricing'!$F499&gt;='2. GRI Pricing Inputs'!$X$33,'3. GRI Pricing'!$F499&lt;='2. GRI Pricing Inputs'!$Y$33),'2. GRI Pricing Inputs'!$X$32,IF(AND('3. GRI Pricing'!$F499&gt;='2. GRI Pricing Inputs'!$Z$33,'3. GRI Pricing'!$F499&lt;='2. GRI Pricing Inputs'!$AA$33),'2. GRI Pricing Inputs'!$Z$32,IF(AND('3. GRI Pricing'!$F499&gt;='2. GRI Pricing Inputs'!$AB$33,'3. GRI Pricing'!$F499&lt;='2. GRI Pricing Inputs'!$AC$33),'2. GRI Pricing Inputs'!$AB$32,IF(AND('3. GRI Pricing'!$F499&gt;='2. GRI Pricing Inputs'!$AD$33,'3. GRI Pricing'!$F499&lt;='2. GRI Pricing Inputs'!$AE$33),'2. GRI Pricing Inputs'!$AD$32,IF(AND('3. GRI Pricing'!$F499&gt;='2. GRI Pricing Inputs'!$AF$33,'3. GRI Pricing'!$F499&lt;='2. GRI Pricing Inputs'!$AG$33),'2. GRI Pricing Inputs'!$AF$32,IF(AND('3. GRI Pricing'!$F499&gt;='2. GRI Pricing Inputs'!$AH$33,'3. GRI Pricing'!$F499&lt;='2. GRI Pricing Inputs'!$AI$33),'2. GRI Pricing Inputs'!$AH$32,0))))))))))))))))</f>
        <v>0</v>
      </c>
      <c r="N499" s="273" cm="1">
        <f t="array" ref="N499">IFERROR(INDEX('2. GRI Pricing Inputs'!$C$32:$AI$39,MATCH('3. GRI Pricing'!D499,'2. GRI Pricing Inputs'!$C$32:$C$39,0),(MATCH('3. GRI Pricing'!M499,'2. GRI Pricing Inputs'!$D$32:$AI$32,0)+1)),0)</f>
        <v>0</v>
      </c>
      <c r="O499" s="273">
        <f>IFERROR(INDEX('2. GRI Pricing Inputs'!$C$45:$AI$46,MATCH($O$16,'2. GRI Pricing Inputs'!$C$45:$C$46,0),MATCH(G499,'2. GRI Pricing Inputs'!$C$45:$AI$45,0)),0)</f>
        <v>0</v>
      </c>
      <c r="P499" s="273">
        <f>IFERROR(INDEX('2. GRI Pricing Inputs'!$C$53:$AI$54,MATCH('3. GRI Pricing'!$P$16,'2. GRI Pricing Inputs'!$C$53:$C$54,0),MATCH('3. GRI Pricing'!H499,'2. GRI Pricing Inputs'!$C$53:$AI$53,0)),0)</f>
        <v>0</v>
      </c>
      <c r="Q499" s="273">
        <f>IFERROR(INDEX('2. GRI Pricing Inputs'!$C$60:$AI$61,MATCH('3. GRI Pricing'!$Q$16,'2. GRI Pricing Inputs'!$C$60:$C$61,0),MATCH('1. Accomodation'!T503,'2. GRI Pricing Inputs'!$C$60:$AI$60,0)),0)</f>
        <v>0</v>
      </c>
      <c r="R499" s="273">
        <f>IFERROR(INDEX('2. GRI Pricing Inputs'!$C$67:$AI$68,MATCH('3. GRI Pricing'!$R$16,'2. GRI Pricing Inputs'!$C$67:$C$68,0),MATCH('1. Accomodation'!U503,'2. GRI Pricing Inputs'!$C$67:$AI$67,0)),0)</f>
        <v>0</v>
      </c>
      <c r="S499" s="273">
        <f>IF(D499=0,0,'2. GRI Pricing Inputs'!$AI$75)</f>
        <v>0</v>
      </c>
      <c r="T499" s="273">
        <f>IFERROR(INDEX('2. GRI Pricing Inputs'!$C$82:$AI$83,MATCH('3. GRI Pricing'!$T$16,'2. GRI Pricing Inputs'!$C$82:$C$83,0),MATCH('1. Accomodation'!V503,'2. GRI Pricing Inputs'!$C$82:$AI$82,0)),0)</f>
        <v>0</v>
      </c>
      <c r="U499" s="273">
        <f>IFERROR(INDEX('2. GRI Pricing Inputs'!$C$89:$AI$90,MATCH('3. GRI Pricing'!$U$16,'2. GRI Pricing Inputs'!$C$89:$C$90,0),MATCH('1. Accomodation'!W503,'2. GRI Pricing Inputs'!$C$89:$AI$89,0)),0)</f>
        <v>0</v>
      </c>
      <c r="V499" s="273">
        <f>IFERROR(INDEX('2. GRI Pricing Inputs'!$C$97:$AI$98,MATCH('3. GRI Pricing'!$V$16,'2. GRI Pricing Inputs'!$C$97:$C$98,0),MATCH('1. Accomodation'!X503,'2. GRI Pricing Inputs'!$C$97:$AI$97,0)),0)</f>
        <v>0</v>
      </c>
      <c r="W499" s="273">
        <f>IFERROR(INDEX('2. GRI Pricing Inputs'!$C$104:$AI$105,MATCH('3. GRI Pricing'!$W$16,'2. GRI Pricing Inputs'!$C$104:$C$105,0),MATCH('1. Accomodation'!Y503,'2. GRI Pricing Inputs'!$C$104:$AI$104,0)),0)</f>
        <v>0</v>
      </c>
      <c r="X499" s="274"/>
      <c r="Y499" s="275">
        <f t="shared" si="14"/>
        <v>0</v>
      </c>
      <c r="Z499" s="276"/>
      <c r="AA499" s="276"/>
      <c r="AB499" s="276"/>
      <c r="AC499" s="272">
        <f>Y499*(1+'2. GRI Pricing Inputs'!$D$114)^(($AC$16-$AB$15)/365)</f>
        <v>0</v>
      </c>
      <c r="AD499" s="273">
        <f>AC499*(1+'2. GRI Pricing Inputs'!$D$114)^((AD$16-AC$16)/365)</f>
        <v>0</v>
      </c>
      <c r="AE499" s="273">
        <f>AD499*(1+'2. GRI Pricing Inputs'!$D$114)^((AE$16-AD$16)/365)</f>
        <v>0</v>
      </c>
      <c r="AF499" s="273">
        <f>AE499*(1+'2. GRI Pricing Inputs'!$D$114)^((AF$16-AE$16)/365)</f>
        <v>0</v>
      </c>
      <c r="AG499" s="273">
        <f>AF499*(1+'2. GRI Pricing Inputs'!$D$114)^((AG$16-AF$16)/365)</f>
        <v>0</v>
      </c>
      <c r="AH499" s="273">
        <f>AG499*(1+'2. GRI Pricing Inputs'!$D$114)^((AH$16-AG$16)/365)</f>
        <v>0</v>
      </c>
      <c r="AI499" s="273">
        <f>AH499*(1+'2. GRI Pricing Inputs'!$D$114)^((AI$16-AH$16)/365)</f>
        <v>0</v>
      </c>
      <c r="AJ499" s="273">
        <f>AI499*(1+'2. GRI Pricing Inputs'!$D$114)^((AJ$16-AI$16)/365)</f>
        <v>0</v>
      </c>
      <c r="AK499" s="273">
        <f>AJ499*(1+'2. GRI Pricing Inputs'!$D$114)^((AK$16-AJ$16)/365)</f>
        <v>0</v>
      </c>
      <c r="AL499" s="273">
        <f>AK499*(1+'2. GRI Pricing Inputs'!$D$114)^((AL$16-AK$16)/365)</f>
        <v>0</v>
      </c>
      <c r="AM499" s="273">
        <f>AL499*(1+'2. GRI Pricing Inputs'!$D$114)^((AM$16-AL$16)/365)</f>
        <v>0</v>
      </c>
      <c r="AN499" s="273">
        <f>AM499*(1+'2. GRI Pricing Inputs'!$D$114)^((AN$16-AM$16)/365)</f>
        <v>0</v>
      </c>
      <c r="AO499" s="273">
        <f>AN499*(1+'2. GRI Pricing Inputs'!$D$114)^((AO$16-AN$16)/365)</f>
        <v>0</v>
      </c>
    </row>
    <row r="500" spans="3:41" ht="12" x14ac:dyDescent="0.2">
      <c r="C500" s="76">
        <f>'1. Accomodation'!N504</f>
        <v>0</v>
      </c>
      <c r="D500" s="69">
        <f>'1. Accomodation'!P504</f>
        <v>0</v>
      </c>
      <c r="E500" s="69">
        <f>'1. Accomodation'!Q504</f>
        <v>0</v>
      </c>
      <c r="F500" s="77">
        <f>'1. Accomodation'!O504</f>
        <v>0</v>
      </c>
      <c r="G500" s="69">
        <f>'1. Accomodation'!R504</f>
        <v>0</v>
      </c>
      <c r="H500" s="69">
        <f>'1. Accomodation'!S504</f>
        <v>0</v>
      </c>
      <c r="I500" s="62"/>
      <c r="K500" s="272">
        <f>IFERROR(INDEX('2. GRI Pricing Inputs'!$C$15:$AI$16,MATCH($K$16,'2. GRI Pricing Inputs'!$C$15:$C$16,0),MATCH(D500,'2. GRI Pricing Inputs'!$C$15:$AI$15,0)),0)</f>
        <v>0</v>
      </c>
      <c r="L500" s="273">
        <f>IFERROR(INDEX('2. GRI Pricing Inputs'!$C$22:$AI$23,MATCH($L$16,'2. GRI Pricing Inputs'!$C$22:$C$23,0),MATCH(E500,'2. GRI Pricing Inputs'!$C$22:$AI$22,0)),0)</f>
        <v>0</v>
      </c>
      <c r="M500" s="328">
        <f>IF(AND('3. GRI Pricing'!$F500&gt;='2. GRI Pricing Inputs'!$D$33,'3. GRI Pricing'!$F500&lt;='2. GRI Pricing Inputs'!$E$33),'2. GRI Pricing Inputs'!$D$32,IF(AND('3. GRI Pricing'!$F500&gt;='2. GRI Pricing Inputs'!$F$33,'3. GRI Pricing'!$F500&lt;='2. GRI Pricing Inputs'!$G$33),'2. GRI Pricing Inputs'!$F$32,IF(AND('3. GRI Pricing'!$F500&gt;='2. GRI Pricing Inputs'!$H$33,'3. GRI Pricing'!$F500&lt;='2. GRI Pricing Inputs'!$I$33),'2. GRI Pricing Inputs'!$H$32,IF(AND('3. GRI Pricing'!$F500&gt;='2. GRI Pricing Inputs'!$J$33,'3. GRI Pricing'!$F500&lt;='2. GRI Pricing Inputs'!$K$33),'2. GRI Pricing Inputs'!$J$32,IF(AND('3. GRI Pricing'!$F500&gt;='2. GRI Pricing Inputs'!$L$33,'3. GRI Pricing'!$F500&lt;='2. GRI Pricing Inputs'!$M$33),'2. GRI Pricing Inputs'!$L$32,IF(AND('3. GRI Pricing'!$F500&gt;='2. GRI Pricing Inputs'!$N$33,'3. GRI Pricing'!$F500&lt;='2. GRI Pricing Inputs'!$O$33),'2. GRI Pricing Inputs'!$N$32,IF(AND('3. GRI Pricing'!$F500&gt;='2. GRI Pricing Inputs'!$P$33,'3. GRI Pricing'!$F500&lt;='2. GRI Pricing Inputs'!$Q$33),'2. GRI Pricing Inputs'!$P$32,IF(AND('3. GRI Pricing'!$F500&gt;='2. GRI Pricing Inputs'!$R$33,'3. GRI Pricing'!$F500&lt;='2. GRI Pricing Inputs'!$S$33),'2. GRI Pricing Inputs'!$R$32,IF(AND('3. GRI Pricing'!$F500&gt;='2. GRI Pricing Inputs'!$T$33,'3. GRI Pricing'!$F500&lt;='2. GRI Pricing Inputs'!$U$33),'2. GRI Pricing Inputs'!$T$32,IF(AND('3. GRI Pricing'!$F500&gt;='2. GRI Pricing Inputs'!$V$33,'3. GRI Pricing'!$F500&lt;='2. GRI Pricing Inputs'!$W$33),'2. GRI Pricing Inputs'!$V$32,IF(AND('3. GRI Pricing'!$F500&gt;='2. GRI Pricing Inputs'!$X$33,'3. GRI Pricing'!$F500&lt;='2. GRI Pricing Inputs'!$Y$33),'2. GRI Pricing Inputs'!$X$32,IF(AND('3. GRI Pricing'!$F500&gt;='2. GRI Pricing Inputs'!$Z$33,'3. GRI Pricing'!$F500&lt;='2. GRI Pricing Inputs'!$AA$33),'2. GRI Pricing Inputs'!$Z$32,IF(AND('3. GRI Pricing'!$F500&gt;='2. GRI Pricing Inputs'!$AB$33,'3. GRI Pricing'!$F500&lt;='2. GRI Pricing Inputs'!$AC$33),'2. GRI Pricing Inputs'!$AB$32,IF(AND('3. GRI Pricing'!$F500&gt;='2. GRI Pricing Inputs'!$AD$33,'3. GRI Pricing'!$F500&lt;='2. GRI Pricing Inputs'!$AE$33),'2. GRI Pricing Inputs'!$AD$32,IF(AND('3. GRI Pricing'!$F500&gt;='2. GRI Pricing Inputs'!$AF$33,'3. GRI Pricing'!$F500&lt;='2. GRI Pricing Inputs'!$AG$33),'2. GRI Pricing Inputs'!$AF$32,IF(AND('3. GRI Pricing'!$F500&gt;='2. GRI Pricing Inputs'!$AH$33,'3. GRI Pricing'!$F500&lt;='2. GRI Pricing Inputs'!$AI$33),'2. GRI Pricing Inputs'!$AH$32,0))))))))))))))))</f>
        <v>0</v>
      </c>
      <c r="N500" s="273" cm="1">
        <f t="array" ref="N500">IFERROR(INDEX('2. GRI Pricing Inputs'!$C$32:$AI$39,MATCH('3. GRI Pricing'!D500,'2. GRI Pricing Inputs'!$C$32:$C$39,0),(MATCH('3. GRI Pricing'!M500,'2. GRI Pricing Inputs'!$D$32:$AI$32,0)+1)),0)</f>
        <v>0</v>
      </c>
      <c r="O500" s="273">
        <f>IFERROR(INDEX('2. GRI Pricing Inputs'!$C$45:$AI$46,MATCH($O$16,'2. GRI Pricing Inputs'!$C$45:$C$46,0),MATCH(G500,'2. GRI Pricing Inputs'!$C$45:$AI$45,0)),0)</f>
        <v>0</v>
      </c>
      <c r="P500" s="273">
        <f>IFERROR(INDEX('2. GRI Pricing Inputs'!$C$53:$AI$54,MATCH('3. GRI Pricing'!$P$16,'2. GRI Pricing Inputs'!$C$53:$C$54,0),MATCH('3. GRI Pricing'!H500,'2. GRI Pricing Inputs'!$C$53:$AI$53,0)),0)</f>
        <v>0</v>
      </c>
      <c r="Q500" s="273">
        <f>IFERROR(INDEX('2. GRI Pricing Inputs'!$C$60:$AI$61,MATCH('3. GRI Pricing'!$Q$16,'2. GRI Pricing Inputs'!$C$60:$C$61,0),MATCH('1. Accomodation'!T504,'2. GRI Pricing Inputs'!$C$60:$AI$60,0)),0)</f>
        <v>0</v>
      </c>
      <c r="R500" s="273">
        <f>IFERROR(INDEX('2. GRI Pricing Inputs'!$C$67:$AI$68,MATCH('3. GRI Pricing'!$R$16,'2. GRI Pricing Inputs'!$C$67:$C$68,0),MATCH('1. Accomodation'!U504,'2. GRI Pricing Inputs'!$C$67:$AI$67,0)),0)</f>
        <v>0</v>
      </c>
      <c r="S500" s="273">
        <f>IF(D500=0,0,'2. GRI Pricing Inputs'!$AI$75)</f>
        <v>0</v>
      </c>
      <c r="T500" s="273">
        <f>IFERROR(INDEX('2. GRI Pricing Inputs'!$C$82:$AI$83,MATCH('3. GRI Pricing'!$T$16,'2. GRI Pricing Inputs'!$C$82:$C$83,0),MATCH('1. Accomodation'!V504,'2. GRI Pricing Inputs'!$C$82:$AI$82,0)),0)</f>
        <v>0</v>
      </c>
      <c r="U500" s="273">
        <f>IFERROR(INDEX('2. GRI Pricing Inputs'!$C$89:$AI$90,MATCH('3. GRI Pricing'!$U$16,'2. GRI Pricing Inputs'!$C$89:$C$90,0),MATCH('1. Accomodation'!W504,'2. GRI Pricing Inputs'!$C$89:$AI$89,0)),0)</f>
        <v>0</v>
      </c>
      <c r="V500" s="273">
        <f>IFERROR(INDEX('2. GRI Pricing Inputs'!$C$97:$AI$98,MATCH('3. GRI Pricing'!$V$16,'2. GRI Pricing Inputs'!$C$97:$C$98,0),MATCH('1. Accomodation'!X504,'2. GRI Pricing Inputs'!$C$97:$AI$97,0)),0)</f>
        <v>0</v>
      </c>
      <c r="W500" s="273">
        <f>IFERROR(INDEX('2. GRI Pricing Inputs'!$C$104:$AI$105,MATCH('3. GRI Pricing'!$W$16,'2. GRI Pricing Inputs'!$C$104:$C$105,0),MATCH('1. Accomodation'!Y504,'2. GRI Pricing Inputs'!$C$104:$AI$104,0)),0)</f>
        <v>0</v>
      </c>
      <c r="X500" s="274"/>
      <c r="Y500" s="275">
        <f t="shared" si="14"/>
        <v>0</v>
      </c>
      <c r="Z500" s="276"/>
      <c r="AA500" s="276"/>
      <c r="AB500" s="276"/>
      <c r="AC500" s="272">
        <f>Y500*(1+'2. GRI Pricing Inputs'!$D$114)^(($AC$16-$AB$15)/365)</f>
        <v>0</v>
      </c>
      <c r="AD500" s="273">
        <f>AC500*(1+'2. GRI Pricing Inputs'!$D$114)^((AD$16-AC$16)/365)</f>
        <v>0</v>
      </c>
      <c r="AE500" s="273">
        <f>AD500*(1+'2. GRI Pricing Inputs'!$D$114)^((AE$16-AD$16)/365)</f>
        <v>0</v>
      </c>
      <c r="AF500" s="273">
        <f>AE500*(1+'2. GRI Pricing Inputs'!$D$114)^((AF$16-AE$16)/365)</f>
        <v>0</v>
      </c>
      <c r="AG500" s="273">
        <f>AF500*(1+'2. GRI Pricing Inputs'!$D$114)^((AG$16-AF$16)/365)</f>
        <v>0</v>
      </c>
      <c r="AH500" s="273">
        <f>AG500*(1+'2. GRI Pricing Inputs'!$D$114)^((AH$16-AG$16)/365)</f>
        <v>0</v>
      </c>
      <c r="AI500" s="273">
        <f>AH500*(1+'2. GRI Pricing Inputs'!$D$114)^((AI$16-AH$16)/365)</f>
        <v>0</v>
      </c>
      <c r="AJ500" s="273">
        <f>AI500*(1+'2. GRI Pricing Inputs'!$D$114)^((AJ$16-AI$16)/365)</f>
        <v>0</v>
      </c>
      <c r="AK500" s="273">
        <f>AJ500*(1+'2. GRI Pricing Inputs'!$D$114)^((AK$16-AJ$16)/365)</f>
        <v>0</v>
      </c>
      <c r="AL500" s="273">
        <f>AK500*(1+'2. GRI Pricing Inputs'!$D$114)^((AL$16-AK$16)/365)</f>
        <v>0</v>
      </c>
      <c r="AM500" s="273">
        <f>AL500*(1+'2. GRI Pricing Inputs'!$D$114)^((AM$16-AL$16)/365)</f>
        <v>0</v>
      </c>
      <c r="AN500" s="273">
        <f>AM500*(1+'2. GRI Pricing Inputs'!$D$114)^((AN$16-AM$16)/365)</f>
        <v>0</v>
      </c>
      <c r="AO500" s="273">
        <f>AN500*(1+'2. GRI Pricing Inputs'!$D$114)^((AO$16-AN$16)/365)</f>
        <v>0</v>
      </c>
    </row>
    <row r="501" spans="3:41" ht="12" x14ac:dyDescent="0.2">
      <c r="C501" s="76">
        <f>'1. Accomodation'!N505</f>
        <v>0</v>
      </c>
      <c r="D501" s="69">
        <f>'1. Accomodation'!P505</f>
        <v>0</v>
      </c>
      <c r="E501" s="69">
        <f>'1. Accomodation'!Q505</f>
        <v>0</v>
      </c>
      <c r="F501" s="77">
        <f>'1. Accomodation'!O505</f>
        <v>0</v>
      </c>
      <c r="G501" s="69">
        <f>'1. Accomodation'!R505</f>
        <v>0</v>
      </c>
      <c r="H501" s="69">
        <f>'1. Accomodation'!S505</f>
        <v>0</v>
      </c>
      <c r="I501" s="62"/>
      <c r="K501" s="272">
        <f>IFERROR(INDEX('2. GRI Pricing Inputs'!$C$15:$AI$16,MATCH($K$16,'2. GRI Pricing Inputs'!$C$15:$C$16,0),MATCH(D501,'2. GRI Pricing Inputs'!$C$15:$AI$15,0)),0)</f>
        <v>0</v>
      </c>
      <c r="L501" s="273">
        <f>IFERROR(INDEX('2. GRI Pricing Inputs'!$C$22:$AI$23,MATCH($L$16,'2. GRI Pricing Inputs'!$C$22:$C$23,0),MATCH(E501,'2. GRI Pricing Inputs'!$C$22:$AI$22,0)),0)</f>
        <v>0</v>
      </c>
      <c r="M501" s="328">
        <f>IF(AND('3. GRI Pricing'!$F501&gt;='2. GRI Pricing Inputs'!$D$33,'3. GRI Pricing'!$F501&lt;='2. GRI Pricing Inputs'!$E$33),'2. GRI Pricing Inputs'!$D$32,IF(AND('3. GRI Pricing'!$F501&gt;='2. GRI Pricing Inputs'!$F$33,'3. GRI Pricing'!$F501&lt;='2. GRI Pricing Inputs'!$G$33),'2. GRI Pricing Inputs'!$F$32,IF(AND('3. GRI Pricing'!$F501&gt;='2. GRI Pricing Inputs'!$H$33,'3. GRI Pricing'!$F501&lt;='2. GRI Pricing Inputs'!$I$33),'2. GRI Pricing Inputs'!$H$32,IF(AND('3. GRI Pricing'!$F501&gt;='2. GRI Pricing Inputs'!$J$33,'3. GRI Pricing'!$F501&lt;='2. GRI Pricing Inputs'!$K$33),'2. GRI Pricing Inputs'!$J$32,IF(AND('3. GRI Pricing'!$F501&gt;='2. GRI Pricing Inputs'!$L$33,'3. GRI Pricing'!$F501&lt;='2. GRI Pricing Inputs'!$M$33),'2. GRI Pricing Inputs'!$L$32,IF(AND('3. GRI Pricing'!$F501&gt;='2. GRI Pricing Inputs'!$N$33,'3. GRI Pricing'!$F501&lt;='2. GRI Pricing Inputs'!$O$33),'2. GRI Pricing Inputs'!$N$32,IF(AND('3. GRI Pricing'!$F501&gt;='2. GRI Pricing Inputs'!$P$33,'3. GRI Pricing'!$F501&lt;='2. GRI Pricing Inputs'!$Q$33),'2. GRI Pricing Inputs'!$P$32,IF(AND('3. GRI Pricing'!$F501&gt;='2. GRI Pricing Inputs'!$R$33,'3. GRI Pricing'!$F501&lt;='2. GRI Pricing Inputs'!$S$33),'2. GRI Pricing Inputs'!$R$32,IF(AND('3. GRI Pricing'!$F501&gt;='2. GRI Pricing Inputs'!$T$33,'3. GRI Pricing'!$F501&lt;='2. GRI Pricing Inputs'!$U$33),'2. GRI Pricing Inputs'!$T$32,IF(AND('3. GRI Pricing'!$F501&gt;='2. GRI Pricing Inputs'!$V$33,'3. GRI Pricing'!$F501&lt;='2. GRI Pricing Inputs'!$W$33),'2. GRI Pricing Inputs'!$V$32,IF(AND('3. GRI Pricing'!$F501&gt;='2. GRI Pricing Inputs'!$X$33,'3. GRI Pricing'!$F501&lt;='2. GRI Pricing Inputs'!$Y$33),'2. GRI Pricing Inputs'!$X$32,IF(AND('3. GRI Pricing'!$F501&gt;='2. GRI Pricing Inputs'!$Z$33,'3. GRI Pricing'!$F501&lt;='2. GRI Pricing Inputs'!$AA$33),'2. GRI Pricing Inputs'!$Z$32,IF(AND('3. GRI Pricing'!$F501&gt;='2. GRI Pricing Inputs'!$AB$33,'3. GRI Pricing'!$F501&lt;='2. GRI Pricing Inputs'!$AC$33),'2. GRI Pricing Inputs'!$AB$32,IF(AND('3. GRI Pricing'!$F501&gt;='2. GRI Pricing Inputs'!$AD$33,'3. GRI Pricing'!$F501&lt;='2. GRI Pricing Inputs'!$AE$33),'2. GRI Pricing Inputs'!$AD$32,IF(AND('3. GRI Pricing'!$F501&gt;='2. GRI Pricing Inputs'!$AF$33,'3. GRI Pricing'!$F501&lt;='2. GRI Pricing Inputs'!$AG$33),'2. GRI Pricing Inputs'!$AF$32,IF(AND('3. GRI Pricing'!$F501&gt;='2. GRI Pricing Inputs'!$AH$33,'3. GRI Pricing'!$F501&lt;='2. GRI Pricing Inputs'!$AI$33),'2. GRI Pricing Inputs'!$AH$32,0))))))))))))))))</f>
        <v>0</v>
      </c>
      <c r="N501" s="273" cm="1">
        <f t="array" ref="N501">IFERROR(INDEX('2. GRI Pricing Inputs'!$C$32:$AI$39,MATCH('3. GRI Pricing'!D501,'2. GRI Pricing Inputs'!$C$32:$C$39,0),(MATCH('3. GRI Pricing'!M501,'2. GRI Pricing Inputs'!$D$32:$AI$32,0)+1)),0)</f>
        <v>0</v>
      </c>
      <c r="O501" s="273">
        <f>IFERROR(INDEX('2. GRI Pricing Inputs'!$C$45:$AI$46,MATCH($O$16,'2. GRI Pricing Inputs'!$C$45:$C$46,0),MATCH(G501,'2. GRI Pricing Inputs'!$C$45:$AI$45,0)),0)</f>
        <v>0</v>
      </c>
      <c r="P501" s="273">
        <f>IFERROR(INDEX('2. GRI Pricing Inputs'!$C$53:$AI$54,MATCH('3. GRI Pricing'!$P$16,'2. GRI Pricing Inputs'!$C$53:$C$54,0),MATCH('3. GRI Pricing'!H501,'2. GRI Pricing Inputs'!$C$53:$AI$53,0)),0)</f>
        <v>0</v>
      </c>
      <c r="Q501" s="273">
        <f>IFERROR(INDEX('2. GRI Pricing Inputs'!$C$60:$AI$61,MATCH('3. GRI Pricing'!$Q$16,'2. GRI Pricing Inputs'!$C$60:$C$61,0),MATCH('1. Accomodation'!T505,'2. GRI Pricing Inputs'!$C$60:$AI$60,0)),0)</f>
        <v>0</v>
      </c>
      <c r="R501" s="273">
        <f>IFERROR(INDEX('2. GRI Pricing Inputs'!$C$67:$AI$68,MATCH('3. GRI Pricing'!$R$16,'2. GRI Pricing Inputs'!$C$67:$C$68,0),MATCH('1. Accomodation'!U505,'2. GRI Pricing Inputs'!$C$67:$AI$67,0)),0)</f>
        <v>0</v>
      </c>
      <c r="S501" s="273">
        <f>IF(D501=0,0,'2. GRI Pricing Inputs'!$AI$75)</f>
        <v>0</v>
      </c>
      <c r="T501" s="273">
        <f>IFERROR(INDEX('2. GRI Pricing Inputs'!$C$82:$AI$83,MATCH('3. GRI Pricing'!$T$16,'2. GRI Pricing Inputs'!$C$82:$C$83,0),MATCH('1. Accomodation'!V505,'2. GRI Pricing Inputs'!$C$82:$AI$82,0)),0)</f>
        <v>0</v>
      </c>
      <c r="U501" s="273">
        <f>IFERROR(INDEX('2. GRI Pricing Inputs'!$C$89:$AI$90,MATCH('3. GRI Pricing'!$U$16,'2. GRI Pricing Inputs'!$C$89:$C$90,0),MATCH('1. Accomodation'!W505,'2. GRI Pricing Inputs'!$C$89:$AI$89,0)),0)</f>
        <v>0</v>
      </c>
      <c r="V501" s="273">
        <f>IFERROR(INDEX('2. GRI Pricing Inputs'!$C$97:$AI$98,MATCH('3. GRI Pricing'!$V$16,'2. GRI Pricing Inputs'!$C$97:$C$98,0),MATCH('1. Accomodation'!X505,'2. GRI Pricing Inputs'!$C$97:$AI$97,0)),0)</f>
        <v>0</v>
      </c>
      <c r="W501" s="273">
        <f>IFERROR(INDEX('2. GRI Pricing Inputs'!$C$104:$AI$105,MATCH('3. GRI Pricing'!$W$16,'2. GRI Pricing Inputs'!$C$104:$C$105,0),MATCH('1. Accomodation'!Y505,'2. GRI Pricing Inputs'!$C$104:$AI$104,0)),0)</f>
        <v>0</v>
      </c>
      <c r="X501" s="274"/>
      <c r="Y501" s="275">
        <f t="shared" si="14"/>
        <v>0</v>
      </c>
      <c r="Z501" s="276"/>
      <c r="AA501" s="276"/>
      <c r="AB501" s="276"/>
      <c r="AC501" s="272">
        <f>Y501*(1+'2. GRI Pricing Inputs'!$D$114)^(($AC$16-$AB$15)/365)</f>
        <v>0</v>
      </c>
      <c r="AD501" s="273">
        <f>AC501*(1+'2. GRI Pricing Inputs'!$D$114)^((AD$16-AC$16)/365)</f>
        <v>0</v>
      </c>
      <c r="AE501" s="273">
        <f>AD501*(1+'2. GRI Pricing Inputs'!$D$114)^((AE$16-AD$16)/365)</f>
        <v>0</v>
      </c>
      <c r="AF501" s="273">
        <f>AE501*(1+'2. GRI Pricing Inputs'!$D$114)^((AF$16-AE$16)/365)</f>
        <v>0</v>
      </c>
      <c r="AG501" s="273">
        <f>AF501*(1+'2. GRI Pricing Inputs'!$D$114)^((AG$16-AF$16)/365)</f>
        <v>0</v>
      </c>
      <c r="AH501" s="273">
        <f>AG501*(1+'2. GRI Pricing Inputs'!$D$114)^((AH$16-AG$16)/365)</f>
        <v>0</v>
      </c>
      <c r="AI501" s="273">
        <f>AH501*(1+'2. GRI Pricing Inputs'!$D$114)^((AI$16-AH$16)/365)</f>
        <v>0</v>
      </c>
      <c r="AJ501" s="273">
        <f>AI501*(1+'2. GRI Pricing Inputs'!$D$114)^((AJ$16-AI$16)/365)</f>
        <v>0</v>
      </c>
      <c r="AK501" s="273">
        <f>AJ501*(1+'2. GRI Pricing Inputs'!$D$114)^((AK$16-AJ$16)/365)</f>
        <v>0</v>
      </c>
      <c r="AL501" s="273">
        <f>AK501*(1+'2. GRI Pricing Inputs'!$D$114)^((AL$16-AK$16)/365)</f>
        <v>0</v>
      </c>
      <c r="AM501" s="273">
        <f>AL501*(1+'2. GRI Pricing Inputs'!$D$114)^((AM$16-AL$16)/365)</f>
        <v>0</v>
      </c>
      <c r="AN501" s="273">
        <f>AM501*(1+'2. GRI Pricing Inputs'!$D$114)^((AN$16-AM$16)/365)</f>
        <v>0</v>
      </c>
      <c r="AO501" s="273">
        <f>AN501*(1+'2. GRI Pricing Inputs'!$D$114)^((AO$16-AN$16)/365)</f>
        <v>0</v>
      </c>
    </row>
    <row r="502" spans="3:41" ht="12" x14ac:dyDescent="0.2">
      <c r="C502" s="76">
        <f>'1. Accomodation'!N506</f>
        <v>0</v>
      </c>
      <c r="D502" s="69">
        <f>'1. Accomodation'!P506</f>
        <v>0</v>
      </c>
      <c r="E502" s="69">
        <f>'1. Accomodation'!Q506</f>
        <v>0</v>
      </c>
      <c r="F502" s="77">
        <f>'1. Accomodation'!O506</f>
        <v>0</v>
      </c>
      <c r="G502" s="69">
        <f>'1. Accomodation'!R506</f>
        <v>0</v>
      </c>
      <c r="H502" s="69">
        <f>'1. Accomodation'!S506</f>
        <v>0</v>
      </c>
      <c r="I502" s="62"/>
      <c r="K502" s="272">
        <f>IFERROR(INDEX('2. GRI Pricing Inputs'!$C$15:$AI$16,MATCH($K$16,'2. GRI Pricing Inputs'!$C$15:$C$16,0),MATCH(D502,'2. GRI Pricing Inputs'!$C$15:$AI$15,0)),0)</f>
        <v>0</v>
      </c>
      <c r="L502" s="273">
        <f>IFERROR(INDEX('2. GRI Pricing Inputs'!$C$22:$AI$23,MATCH($L$16,'2. GRI Pricing Inputs'!$C$22:$C$23,0),MATCH(E502,'2. GRI Pricing Inputs'!$C$22:$AI$22,0)),0)</f>
        <v>0</v>
      </c>
      <c r="M502" s="328">
        <f>IF(AND('3. GRI Pricing'!$F502&gt;='2. GRI Pricing Inputs'!$D$33,'3. GRI Pricing'!$F502&lt;='2. GRI Pricing Inputs'!$E$33),'2. GRI Pricing Inputs'!$D$32,IF(AND('3. GRI Pricing'!$F502&gt;='2. GRI Pricing Inputs'!$F$33,'3. GRI Pricing'!$F502&lt;='2. GRI Pricing Inputs'!$G$33),'2. GRI Pricing Inputs'!$F$32,IF(AND('3. GRI Pricing'!$F502&gt;='2. GRI Pricing Inputs'!$H$33,'3. GRI Pricing'!$F502&lt;='2. GRI Pricing Inputs'!$I$33),'2. GRI Pricing Inputs'!$H$32,IF(AND('3. GRI Pricing'!$F502&gt;='2. GRI Pricing Inputs'!$J$33,'3. GRI Pricing'!$F502&lt;='2. GRI Pricing Inputs'!$K$33),'2. GRI Pricing Inputs'!$J$32,IF(AND('3. GRI Pricing'!$F502&gt;='2. GRI Pricing Inputs'!$L$33,'3. GRI Pricing'!$F502&lt;='2. GRI Pricing Inputs'!$M$33),'2. GRI Pricing Inputs'!$L$32,IF(AND('3. GRI Pricing'!$F502&gt;='2. GRI Pricing Inputs'!$N$33,'3. GRI Pricing'!$F502&lt;='2. GRI Pricing Inputs'!$O$33),'2. GRI Pricing Inputs'!$N$32,IF(AND('3. GRI Pricing'!$F502&gt;='2. GRI Pricing Inputs'!$P$33,'3. GRI Pricing'!$F502&lt;='2. GRI Pricing Inputs'!$Q$33),'2. GRI Pricing Inputs'!$P$32,IF(AND('3. GRI Pricing'!$F502&gt;='2. GRI Pricing Inputs'!$R$33,'3. GRI Pricing'!$F502&lt;='2. GRI Pricing Inputs'!$S$33),'2. GRI Pricing Inputs'!$R$32,IF(AND('3. GRI Pricing'!$F502&gt;='2. GRI Pricing Inputs'!$T$33,'3. GRI Pricing'!$F502&lt;='2. GRI Pricing Inputs'!$U$33),'2. GRI Pricing Inputs'!$T$32,IF(AND('3. GRI Pricing'!$F502&gt;='2. GRI Pricing Inputs'!$V$33,'3. GRI Pricing'!$F502&lt;='2. GRI Pricing Inputs'!$W$33),'2. GRI Pricing Inputs'!$V$32,IF(AND('3. GRI Pricing'!$F502&gt;='2. GRI Pricing Inputs'!$X$33,'3. GRI Pricing'!$F502&lt;='2. GRI Pricing Inputs'!$Y$33),'2. GRI Pricing Inputs'!$X$32,IF(AND('3. GRI Pricing'!$F502&gt;='2. GRI Pricing Inputs'!$Z$33,'3. GRI Pricing'!$F502&lt;='2. GRI Pricing Inputs'!$AA$33),'2. GRI Pricing Inputs'!$Z$32,IF(AND('3. GRI Pricing'!$F502&gt;='2. GRI Pricing Inputs'!$AB$33,'3. GRI Pricing'!$F502&lt;='2. GRI Pricing Inputs'!$AC$33),'2. GRI Pricing Inputs'!$AB$32,IF(AND('3. GRI Pricing'!$F502&gt;='2. GRI Pricing Inputs'!$AD$33,'3. GRI Pricing'!$F502&lt;='2. GRI Pricing Inputs'!$AE$33),'2. GRI Pricing Inputs'!$AD$32,IF(AND('3. GRI Pricing'!$F502&gt;='2. GRI Pricing Inputs'!$AF$33,'3. GRI Pricing'!$F502&lt;='2. GRI Pricing Inputs'!$AG$33),'2. GRI Pricing Inputs'!$AF$32,IF(AND('3. GRI Pricing'!$F502&gt;='2. GRI Pricing Inputs'!$AH$33,'3. GRI Pricing'!$F502&lt;='2. GRI Pricing Inputs'!$AI$33),'2. GRI Pricing Inputs'!$AH$32,0))))))))))))))))</f>
        <v>0</v>
      </c>
      <c r="N502" s="273" cm="1">
        <f t="array" ref="N502">IFERROR(INDEX('2. GRI Pricing Inputs'!$C$32:$AI$39,MATCH('3. GRI Pricing'!D502,'2. GRI Pricing Inputs'!$C$32:$C$39,0),(MATCH('3. GRI Pricing'!M502,'2. GRI Pricing Inputs'!$D$32:$AI$32,0)+1)),0)</f>
        <v>0</v>
      </c>
      <c r="O502" s="273">
        <f>IFERROR(INDEX('2. GRI Pricing Inputs'!$C$45:$AI$46,MATCH($O$16,'2. GRI Pricing Inputs'!$C$45:$C$46,0),MATCH(G502,'2. GRI Pricing Inputs'!$C$45:$AI$45,0)),0)</f>
        <v>0</v>
      </c>
      <c r="P502" s="273">
        <f>IFERROR(INDEX('2. GRI Pricing Inputs'!$C$53:$AI$54,MATCH('3. GRI Pricing'!$P$16,'2. GRI Pricing Inputs'!$C$53:$C$54,0),MATCH('3. GRI Pricing'!H502,'2. GRI Pricing Inputs'!$C$53:$AI$53,0)),0)</f>
        <v>0</v>
      </c>
      <c r="Q502" s="273">
        <f>IFERROR(INDEX('2. GRI Pricing Inputs'!$C$60:$AI$61,MATCH('3. GRI Pricing'!$Q$16,'2. GRI Pricing Inputs'!$C$60:$C$61,0),MATCH('1. Accomodation'!T506,'2. GRI Pricing Inputs'!$C$60:$AI$60,0)),0)</f>
        <v>0</v>
      </c>
      <c r="R502" s="273">
        <f>IFERROR(INDEX('2. GRI Pricing Inputs'!$C$67:$AI$68,MATCH('3. GRI Pricing'!$R$16,'2. GRI Pricing Inputs'!$C$67:$C$68,0),MATCH('1. Accomodation'!U506,'2. GRI Pricing Inputs'!$C$67:$AI$67,0)),0)</f>
        <v>0</v>
      </c>
      <c r="S502" s="273">
        <f>IF(D502=0,0,'2. GRI Pricing Inputs'!$AI$75)</f>
        <v>0</v>
      </c>
      <c r="T502" s="273">
        <f>IFERROR(INDEX('2. GRI Pricing Inputs'!$C$82:$AI$83,MATCH('3. GRI Pricing'!$T$16,'2. GRI Pricing Inputs'!$C$82:$C$83,0),MATCH('1. Accomodation'!V506,'2. GRI Pricing Inputs'!$C$82:$AI$82,0)),0)</f>
        <v>0</v>
      </c>
      <c r="U502" s="273">
        <f>IFERROR(INDEX('2. GRI Pricing Inputs'!$C$89:$AI$90,MATCH('3. GRI Pricing'!$U$16,'2. GRI Pricing Inputs'!$C$89:$C$90,0),MATCH('1. Accomodation'!W506,'2. GRI Pricing Inputs'!$C$89:$AI$89,0)),0)</f>
        <v>0</v>
      </c>
      <c r="V502" s="273">
        <f>IFERROR(INDEX('2. GRI Pricing Inputs'!$C$97:$AI$98,MATCH('3. GRI Pricing'!$V$16,'2. GRI Pricing Inputs'!$C$97:$C$98,0),MATCH('1. Accomodation'!X506,'2. GRI Pricing Inputs'!$C$97:$AI$97,0)),0)</f>
        <v>0</v>
      </c>
      <c r="W502" s="273">
        <f>IFERROR(INDEX('2. GRI Pricing Inputs'!$C$104:$AI$105,MATCH('3. GRI Pricing'!$W$16,'2. GRI Pricing Inputs'!$C$104:$C$105,0),MATCH('1. Accomodation'!Y506,'2. GRI Pricing Inputs'!$C$104:$AI$104,0)),0)</f>
        <v>0</v>
      </c>
      <c r="X502" s="274"/>
      <c r="Y502" s="275">
        <f t="shared" si="14"/>
        <v>0</v>
      </c>
      <c r="Z502" s="276"/>
      <c r="AA502" s="276"/>
      <c r="AB502" s="276"/>
      <c r="AC502" s="272">
        <f>Y502*(1+'2. GRI Pricing Inputs'!$D$114)^(($AC$16-$AB$15)/365)</f>
        <v>0</v>
      </c>
      <c r="AD502" s="273">
        <f>AC502*(1+'2. GRI Pricing Inputs'!$D$114)^((AD$16-AC$16)/365)</f>
        <v>0</v>
      </c>
      <c r="AE502" s="273">
        <f>AD502*(1+'2. GRI Pricing Inputs'!$D$114)^((AE$16-AD$16)/365)</f>
        <v>0</v>
      </c>
      <c r="AF502" s="273">
        <f>AE502*(1+'2. GRI Pricing Inputs'!$D$114)^((AF$16-AE$16)/365)</f>
        <v>0</v>
      </c>
      <c r="AG502" s="273">
        <f>AF502*(1+'2. GRI Pricing Inputs'!$D$114)^((AG$16-AF$16)/365)</f>
        <v>0</v>
      </c>
      <c r="AH502" s="273">
        <f>AG502*(1+'2. GRI Pricing Inputs'!$D$114)^((AH$16-AG$16)/365)</f>
        <v>0</v>
      </c>
      <c r="AI502" s="273">
        <f>AH502*(1+'2. GRI Pricing Inputs'!$D$114)^((AI$16-AH$16)/365)</f>
        <v>0</v>
      </c>
      <c r="AJ502" s="273">
        <f>AI502*(1+'2. GRI Pricing Inputs'!$D$114)^((AJ$16-AI$16)/365)</f>
        <v>0</v>
      </c>
      <c r="AK502" s="273">
        <f>AJ502*(1+'2. GRI Pricing Inputs'!$D$114)^((AK$16-AJ$16)/365)</f>
        <v>0</v>
      </c>
      <c r="AL502" s="273">
        <f>AK502*(1+'2. GRI Pricing Inputs'!$D$114)^((AL$16-AK$16)/365)</f>
        <v>0</v>
      </c>
      <c r="AM502" s="273">
        <f>AL502*(1+'2. GRI Pricing Inputs'!$D$114)^((AM$16-AL$16)/365)</f>
        <v>0</v>
      </c>
      <c r="AN502" s="273">
        <f>AM502*(1+'2. GRI Pricing Inputs'!$D$114)^((AN$16-AM$16)/365)</f>
        <v>0</v>
      </c>
      <c r="AO502" s="273">
        <f>AN502*(1+'2. GRI Pricing Inputs'!$D$114)^((AO$16-AN$16)/365)</f>
        <v>0</v>
      </c>
    </row>
    <row r="503" spans="3:41" ht="12" x14ac:dyDescent="0.2">
      <c r="C503" s="76">
        <f>'1. Accomodation'!N507</f>
        <v>0</v>
      </c>
      <c r="D503" s="69">
        <f>'1. Accomodation'!P507</f>
        <v>0</v>
      </c>
      <c r="E503" s="69">
        <f>'1. Accomodation'!Q507</f>
        <v>0</v>
      </c>
      <c r="F503" s="77">
        <f>'1. Accomodation'!O507</f>
        <v>0</v>
      </c>
      <c r="G503" s="69">
        <f>'1. Accomodation'!R507</f>
        <v>0</v>
      </c>
      <c r="H503" s="69">
        <f>'1. Accomodation'!S507</f>
        <v>0</v>
      </c>
      <c r="I503" s="62"/>
      <c r="K503" s="272">
        <f>IFERROR(INDEX('2. GRI Pricing Inputs'!$C$15:$AI$16,MATCH($K$16,'2. GRI Pricing Inputs'!$C$15:$C$16,0),MATCH(D503,'2. GRI Pricing Inputs'!$C$15:$AI$15,0)),0)</f>
        <v>0</v>
      </c>
      <c r="L503" s="273">
        <f>IFERROR(INDEX('2. GRI Pricing Inputs'!$C$22:$AI$23,MATCH($L$16,'2. GRI Pricing Inputs'!$C$22:$C$23,0),MATCH(E503,'2. GRI Pricing Inputs'!$C$22:$AI$22,0)),0)</f>
        <v>0</v>
      </c>
      <c r="M503" s="328">
        <f>IF(AND('3. GRI Pricing'!$F503&gt;='2. GRI Pricing Inputs'!$D$33,'3. GRI Pricing'!$F503&lt;='2. GRI Pricing Inputs'!$E$33),'2. GRI Pricing Inputs'!$D$32,IF(AND('3. GRI Pricing'!$F503&gt;='2. GRI Pricing Inputs'!$F$33,'3. GRI Pricing'!$F503&lt;='2. GRI Pricing Inputs'!$G$33),'2. GRI Pricing Inputs'!$F$32,IF(AND('3. GRI Pricing'!$F503&gt;='2. GRI Pricing Inputs'!$H$33,'3. GRI Pricing'!$F503&lt;='2. GRI Pricing Inputs'!$I$33),'2. GRI Pricing Inputs'!$H$32,IF(AND('3. GRI Pricing'!$F503&gt;='2. GRI Pricing Inputs'!$J$33,'3. GRI Pricing'!$F503&lt;='2. GRI Pricing Inputs'!$K$33),'2. GRI Pricing Inputs'!$J$32,IF(AND('3. GRI Pricing'!$F503&gt;='2. GRI Pricing Inputs'!$L$33,'3. GRI Pricing'!$F503&lt;='2. GRI Pricing Inputs'!$M$33),'2. GRI Pricing Inputs'!$L$32,IF(AND('3. GRI Pricing'!$F503&gt;='2. GRI Pricing Inputs'!$N$33,'3. GRI Pricing'!$F503&lt;='2. GRI Pricing Inputs'!$O$33),'2. GRI Pricing Inputs'!$N$32,IF(AND('3. GRI Pricing'!$F503&gt;='2. GRI Pricing Inputs'!$P$33,'3. GRI Pricing'!$F503&lt;='2. GRI Pricing Inputs'!$Q$33),'2. GRI Pricing Inputs'!$P$32,IF(AND('3. GRI Pricing'!$F503&gt;='2. GRI Pricing Inputs'!$R$33,'3. GRI Pricing'!$F503&lt;='2. GRI Pricing Inputs'!$S$33),'2. GRI Pricing Inputs'!$R$32,IF(AND('3. GRI Pricing'!$F503&gt;='2. GRI Pricing Inputs'!$T$33,'3. GRI Pricing'!$F503&lt;='2. GRI Pricing Inputs'!$U$33),'2. GRI Pricing Inputs'!$T$32,IF(AND('3. GRI Pricing'!$F503&gt;='2. GRI Pricing Inputs'!$V$33,'3. GRI Pricing'!$F503&lt;='2. GRI Pricing Inputs'!$W$33),'2. GRI Pricing Inputs'!$V$32,IF(AND('3. GRI Pricing'!$F503&gt;='2. GRI Pricing Inputs'!$X$33,'3. GRI Pricing'!$F503&lt;='2. GRI Pricing Inputs'!$Y$33),'2. GRI Pricing Inputs'!$X$32,IF(AND('3. GRI Pricing'!$F503&gt;='2. GRI Pricing Inputs'!$Z$33,'3. GRI Pricing'!$F503&lt;='2. GRI Pricing Inputs'!$AA$33),'2. GRI Pricing Inputs'!$Z$32,IF(AND('3. GRI Pricing'!$F503&gt;='2. GRI Pricing Inputs'!$AB$33,'3. GRI Pricing'!$F503&lt;='2. GRI Pricing Inputs'!$AC$33),'2. GRI Pricing Inputs'!$AB$32,IF(AND('3. GRI Pricing'!$F503&gt;='2. GRI Pricing Inputs'!$AD$33,'3. GRI Pricing'!$F503&lt;='2. GRI Pricing Inputs'!$AE$33),'2. GRI Pricing Inputs'!$AD$32,IF(AND('3. GRI Pricing'!$F503&gt;='2. GRI Pricing Inputs'!$AF$33,'3. GRI Pricing'!$F503&lt;='2. GRI Pricing Inputs'!$AG$33),'2. GRI Pricing Inputs'!$AF$32,IF(AND('3. GRI Pricing'!$F503&gt;='2. GRI Pricing Inputs'!$AH$33,'3. GRI Pricing'!$F503&lt;='2. GRI Pricing Inputs'!$AI$33),'2. GRI Pricing Inputs'!$AH$32,0))))))))))))))))</f>
        <v>0</v>
      </c>
      <c r="N503" s="273" cm="1">
        <f t="array" ref="N503">IFERROR(INDEX('2. GRI Pricing Inputs'!$C$32:$AI$39,MATCH('3. GRI Pricing'!D503,'2. GRI Pricing Inputs'!$C$32:$C$39,0),(MATCH('3. GRI Pricing'!M503,'2. GRI Pricing Inputs'!$D$32:$AI$32,0)+1)),0)</f>
        <v>0</v>
      </c>
      <c r="O503" s="273">
        <f>IFERROR(INDEX('2. GRI Pricing Inputs'!$C$45:$AI$46,MATCH($O$16,'2. GRI Pricing Inputs'!$C$45:$C$46,0),MATCH(G503,'2. GRI Pricing Inputs'!$C$45:$AI$45,0)),0)</f>
        <v>0</v>
      </c>
      <c r="P503" s="273">
        <f>IFERROR(INDEX('2. GRI Pricing Inputs'!$C$53:$AI$54,MATCH('3. GRI Pricing'!$P$16,'2. GRI Pricing Inputs'!$C$53:$C$54,0),MATCH('3. GRI Pricing'!H503,'2. GRI Pricing Inputs'!$C$53:$AI$53,0)),0)</f>
        <v>0</v>
      </c>
      <c r="Q503" s="273">
        <f>IFERROR(INDEX('2. GRI Pricing Inputs'!$C$60:$AI$61,MATCH('3. GRI Pricing'!$Q$16,'2. GRI Pricing Inputs'!$C$60:$C$61,0),MATCH('1. Accomodation'!T507,'2. GRI Pricing Inputs'!$C$60:$AI$60,0)),0)</f>
        <v>0</v>
      </c>
      <c r="R503" s="273">
        <f>IFERROR(INDEX('2. GRI Pricing Inputs'!$C$67:$AI$68,MATCH('3. GRI Pricing'!$R$16,'2. GRI Pricing Inputs'!$C$67:$C$68,0),MATCH('1. Accomodation'!U507,'2. GRI Pricing Inputs'!$C$67:$AI$67,0)),0)</f>
        <v>0</v>
      </c>
      <c r="S503" s="273">
        <f>IF(D503=0,0,'2. GRI Pricing Inputs'!$AI$75)</f>
        <v>0</v>
      </c>
      <c r="T503" s="273">
        <f>IFERROR(INDEX('2. GRI Pricing Inputs'!$C$82:$AI$83,MATCH('3. GRI Pricing'!$T$16,'2. GRI Pricing Inputs'!$C$82:$C$83,0),MATCH('1. Accomodation'!V507,'2. GRI Pricing Inputs'!$C$82:$AI$82,0)),0)</f>
        <v>0</v>
      </c>
      <c r="U503" s="273">
        <f>IFERROR(INDEX('2. GRI Pricing Inputs'!$C$89:$AI$90,MATCH('3. GRI Pricing'!$U$16,'2. GRI Pricing Inputs'!$C$89:$C$90,0),MATCH('1. Accomodation'!W507,'2. GRI Pricing Inputs'!$C$89:$AI$89,0)),0)</f>
        <v>0</v>
      </c>
      <c r="V503" s="273">
        <f>IFERROR(INDEX('2. GRI Pricing Inputs'!$C$97:$AI$98,MATCH('3. GRI Pricing'!$V$16,'2. GRI Pricing Inputs'!$C$97:$C$98,0),MATCH('1. Accomodation'!X507,'2. GRI Pricing Inputs'!$C$97:$AI$97,0)),0)</f>
        <v>0</v>
      </c>
      <c r="W503" s="273">
        <f>IFERROR(INDEX('2. GRI Pricing Inputs'!$C$104:$AI$105,MATCH('3. GRI Pricing'!$W$16,'2. GRI Pricing Inputs'!$C$104:$C$105,0),MATCH('1. Accomodation'!Y507,'2. GRI Pricing Inputs'!$C$104:$AI$104,0)),0)</f>
        <v>0</v>
      </c>
      <c r="X503" s="274"/>
      <c r="Y503" s="275">
        <f t="shared" si="14"/>
        <v>0</v>
      </c>
      <c r="Z503" s="276"/>
      <c r="AA503" s="276"/>
      <c r="AB503" s="276"/>
      <c r="AC503" s="272">
        <f>Y503*(1+'2. GRI Pricing Inputs'!$D$114)^(($AC$16-$AB$15)/365)</f>
        <v>0</v>
      </c>
      <c r="AD503" s="273">
        <f>AC503*(1+'2. GRI Pricing Inputs'!$D$114)^((AD$16-AC$16)/365)</f>
        <v>0</v>
      </c>
      <c r="AE503" s="273">
        <f>AD503*(1+'2. GRI Pricing Inputs'!$D$114)^((AE$16-AD$16)/365)</f>
        <v>0</v>
      </c>
      <c r="AF503" s="273">
        <f>AE503*(1+'2. GRI Pricing Inputs'!$D$114)^((AF$16-AE$16)/365)</f>
        <v>0</v>
      </c>
      <c r="AG503" s="273">
        <f>AF503*(1+'2. GRI Pricing Inputs'!$D$114)^((AG$16-AF$16)/365)</f>
        <v>0</v>
      </c>
      <c r="AH503" s="273">
        <f>AG503*(1+'2. GRI Pricing Inputs'!$D$114)^((AH$16-AG$16)/365)</f>
        <v>0</v>
      </c>
      <c r="AI503" s="273">
        <f>AH503*(1+'2. GRI Pricing Inputs'!$D$114)^((AI$16-AH$16)/365)</f>
        <v>0</v>
      </c>
      <c r="AJ503" s="273">
        <f>AI503*(1+'2. GRI Pricing Inputs'!$D$114)^((AJ$16-AI$16)/365)</f>
        <v>0</v>
      </c>
      <c r="AK503" s="273">
        <f>AJ503*(1+'2. GRI Pricing Inputs'!$D$114)^((AK$16-AJ$16)/365)</f>
        <v>0</v>
      </c>
      <c r="AL503" s="273">
        <f>AK503*(1+'2. GRI Pricing Inputs'!$D$114)^((AL$16-AK$16)/365)</f>
        <v>0</v>
      </c>
      <c r="AM503" s="273">
        <f>AL503*(1+'2. GRI Pricing Inputs'!$D$114)^((AM$16-AL$16)/365)</f>
        <v>0</v>
      </c>
      <c r="AN503" s="273">
        <f>AM503*(1+'2. GRI Pricing Inputs'!$D$114)^((AN$16-AM$16)/365)</f>
        <v>0</v>
      </c>
      <c r="AO503" s="273">
        <f>AN503*(1+'2. GRI Pricing Inputs'!$D$114)^((AO$16-AN$16)/365)</f>
        <v>0</v>
      </c>
    </row>
    <row r="504" spans="3:41" ht="12" x14ac:dyDescent="0.2">
      <c r="C504" s="76">
        <f>'1. Accomodation'!N508</f>
        <v>0</v>
      </c>
      <c r="D504" s="69">
        <f>'1. Accomodation'!P508</f>
        <v>0</v>
      </c>
      <c r="E504" s="69">
        <f>'1. Accomodation'!Q508</f>
        <v>0</v>
      </c>
      <c r="F504" s="77">
        <f>'1. Accomodation'!O508</f>
        <v>0</v>
      </c>
      <c r="G504" s="69">
        <f>'1. Accomodation'!R508</f>
        <v>0</v>
      </c>
      <c r="H504" s="69">
        <f>'1. Accomodation'!S508</f>
        <v>0</v>
      </c>
      <c r="I504" s="62"/>
      <c r="K504" s="272">
        <f>IFERROR(INDEX('2. GRI Pricing Inputs'!$C$15:$AI$16,MATCH($K$16,'2. GRI Pricing Inputs'!$C$15:$C$16,0),MATCH(D504,'2. GRI Pricing Inputs'!$C$15:$AI$15,0)),0)</f>
        <v>0</v>
      </c>
      <c r="L504" s="273">
        <f>IFERROR(INDEX('2. GRI Pricing Inputs'!$C$22:$AI$23,MATCH($L$16,'2. GRI Pricing Inputs'!$C$22:$C$23,0),MATCH(E504,'2. GRI Pricing Inputs'!$C$22:$AI$22,0)),0)</f>
        <v>0</v>
      </c>
      <c r="M504" s="328">
        <f>IF(AND('3. GRI Pricing'!$F504&gt;='2. GRI Pricing Inputs'!$D$33,'3. GRI Pricing'!$F504&lt;='2. GRI Pricing Inputs'!$E$33),'2. GRI Pricing Inputs'!$D$32,IF(AND('3. GRI Pricing'!$F504&gt;='2. GRI Pricing Inputs'!$F$33,'3. GRI Pricing'!$F504&lt;='2. GRI Pricing Inputs'!$G$33),'2. GRI Pricing Inputs'!$F$32,IF(AND('3. GRI Pricing'!$F504&gt;='2. GRI Pricing Inputs'!$H$33,'3. GRI Pricing'!$F504&lt;='2. GRI Pricing Inputs'!$I$33),'2. GRI Pricing Inputs'!$H$32,IF(AND('3. GRI Pricing'!$F504&gt;='2. GRI Pricing Inputs'!$J$33,'3. GRI Pricing'!$F504&lt;='2. GRI Pricing Inputs'!$K$33),'2. GRI Pricing Inputs'!$J$32,IF(AND('3. GRI Pricing'!$F504&gt;='2. GRI Pricing Inputs'!$L$33,'3. GRI Pricing'!$F504&lt;='2. GRI Pricing Inputs'!$M$33),'2. GRI Pricing Inputs'!$L$32,IF(AND('3. GRI Pricing'!$F504&gt;='2. GRI Pricing Inputs'!$N$33,'3. GRI Pricing'!$F504&lt;='2. GRI Pricing Inputs'!$O$33),'2. GRI Pricing Inputs'!$N$32,IF(AND('3. GRI Pricing'!$F504&gt;='2. GRI Pricing Inputs'!$P$33,'3. GRI Pricing'!$F504&lt;='2. GRI Pricing Inputs'!$Q$33),'2. GRI Pricing Inputs'!$P$32,IF(AND('3. GRI Pricing'!$F504&gt;='2. GRI Pricing Inputs'!$R$33,'3. GRI Pricing'!$F504&lt;='2. GRI Pricing Inputs'!$S$33),'2. GRI Pricing Inputs'!$R$32,IF(AND('3. GRI Pricing'!$F504&gt;='2. GRI Pricing Inputs'!$T$33,'3. GRI Pricing'!$F504&lt;='2. GRI Pricing Inputs'!$U$33),'2. GRI Pricing Inputs'!$T$32,IF(AND('3. GRI Pricing'!$F504&gt;='2. GRI Pricing Inputs'!$V$33,'3. GRI Pricing'!$F504&lt;='2. GRI Pricing Inputs'!$W$33),'2. GRI Pricing Inputs'!$V$32,IF(AND('3. GRI Pricing'!$F504&gt;='2. GRI Pricing Inputs'!$X$33,'3. GRI Pricing'!$F504&lt;='2. GRI Pricing Inputs'!$Y$33),'2. GRI Pricing Inputs'!$X$32,IF(AND('3. GRI Pricing'!$F504&gt;='2. GRI Pricing Inputs'!$Z$33,'3. GRI Pricing'!$F504&lt;='2. GRI Pricing Inputs'!$AA$33),'2. GRI Pricing Inputs'!$Z$32,IF(AND('3. GRI Pricing'!$F504&gt;='2. GRI Pricing Inputs'!$AB$33,'3. GRI Pricing'!$F504&lt;='2. GRI Pricing Inputs'!$AC$33),'2. GRI Pricing Inputs'!$AB$32,IF(AND('3. GRI Pricing'!$F504&gt;='2. GRI Pricing Inputs'!$AD$33,'3. GRI Pricing'!$F504&lt;='2. GRI Pricing Inputs'!$AE$33),'2. GRI Pricing Inputs'!$AD$32,IF(AND('3. GRI Pricing'!$F504&gt;='2. GRI Pricing Inputs'!$AF$33,'3. GRI Pricing'!$F504&lt;='2. GRI Pricing Inputs'!$AG$33),'2. GRI Pricing Inputs'!$AF$32,IF(AND('3. GRI Pricing'!$F504&gt;='2. GRI Pricing Inputs'!$AH$33,'3. GRI Pricing'!$F504&lt;='2. GRI Pricing Inputs'!$AI$33),'2. GRI Pricing Inputs'!$AH$32,0))))))))))))))))</f>
        <v>0</v>
      </c>
      <c r="N504" s="273" cm="1">
        <f t="array" ref="N504">IFERROR(INDEX('2. GRI Pricing Inputs'!$C$32:$AI$39,MATCH('3. GRI Pricing'!D504,'2. GRI Pricing Inputs'!$C$32:$C$39,0),(MATCH('3. GRI Pricing'!M504,'2. GRI Pricing Inputs'!$D$32:$AI$32,0)+1)),0)</f>
        <v>0</v>
      </c>
      <c r="O504" s="273">
        <f>IFERROR(INDEX('2. GRI Pricing Inputs'!$C$45:$AI$46,MATCH($O$16,'2. GRI Pricing Inputs'!$C$45:$C$46,0),MATCH(G504,'2. GRI Pricing Inputs'!$C$45:$AI$45,0)),0)</f>
        <v>0</v>
      </c>
      <c r="P504" s="273">
        <f>IFERROR(INDEX('2. GRI Pricing Inputs'!$C$53:$AI$54,MATCH('3. GRI Pricing'!$P$16,'2. GRI Pricing Inputs'!$C$53:$C$54,0),MATCH('3. GRI Pricing'!H504,'2. GRI Pricing Inputs'!$C$53:$AI$53,0)),0)</f>
        <v>0</v>
      </c>
      <c r="Q504" s="273">
        <f>IFERROR(INDEX('2. GRI Pricing Inputs'!$C$60:$AI$61,MATCH('3. GRI Pricing'!$Q$16,'2. GRI Pricing Inputs'!$C$60:$C$61,0),MATCH('1. Accomodation'!T508,'2. GRI Pricing Inputs'!$C$60:$AI$60,0)),0)</f>
        <v>0</v>
      </c>
      <c r="R504" s="273">
        <f>IFERROR(INDEX('2. GRI Pricing Inputs'!$C$67:$AI$68,MATCH('3. GRI Pricing'!$R$16,'2. GRI Pricing Inputs'!$C$67:$C$68,0),MATCH('1. Accomodation'!U508,'2. GRI Pricing Inputs'!$C$67:$AI$67,0)),0)</f>
        <v>0</v>
      </c>
      <c r="S504" s="273">
        <f>IF(D504=0,0,'2. GRI Pricing Inputs'!$AI$75)</f>
        <v>0</v>
      </c>
      <c r="T504" s="273">
        <f>IFERROR(INDEX('2. GRI Pricing Inputs'!$C$82:$AI$83,MATCH('3. GRI Pricing'!$T$16,'2. GRI Pricing Inputs'!$C$82:$C$83,0),MATCH('1. Accomodation'!V508,'2. GRI Pricing Inputs'!$C$82:$AI$82,0)),0)</f>
        <v>0</v>
      </c>
      <c r="U504" s="273">
        <f>IFERROR(INDEX('2. GRI Pricing Inputs'!$C$89:$AI$90,MATCH('3. GRI Pricing'!$U$16,'2. GRI Pricing Inputs'!$C$89:$C$90,0),MATCH('1. Accomodation'!W508,'2. GRI Pricing Inputs'!$C$89:$AI$89,0)),0)</f>
        <v>0</v>
      </c>
      <c r="V504" s="273">
        <f>IFERROR(INDEX('2. GRI Pricing Inputs'!$C$97:$AI$98,MATCH('3. GRI Pricing'!$V$16,'2. GRI Pricing Inputs'!$C$97:$C$98,0),MATCH('1. Accomodation'!X508,'2. GRI Pricing Inputs'!$C$97:$AI$97,0)),0)</f>
        <v>0</v>
      </c>
      <c r="W504" s="273">
        <f>IFERROR(INDEX('2. GRI Pricing Inputs'!$C$104:$AI$105,MATCH('3. GRI Pricing'!$W$16,'2. GRI Pricing Inputs'!$C$104:$C$105,0),MATCH('1. Accomodation'!Y508,'2. GRI Pricing Inputs'!$C$104:$AI$104,0)),0)</f>
        <v>0</v>
      </c>
      <c r="X504" s="274"/>
      <c r="Y504" s="275">
        <f t="shared" si="14"/>
        <v>0</v>
      </c>
      <c r="Z504" s="276"/>
      <c r="AA504" s="276"/>
      <c r="AB504" s="276"/>
      <c r="AC504" s="272">
        <f>Y504*(1+'2. GRI Pricing Inputs'!$D$114)^(($AC$16-$AB$15)/365)</f>
        <v>0</v>
      </c>
      <c r="AD504" s="273">
        <f>AC504*(1+'2. GRI Pricing Inputs'!$D$114)^((AD$16-AC$16)/365)</f>
        <v>0</v>
      </c>
      <c r="AE504" s="273">
        <f>AD504*(1+'2. GRI Pricing Inputs'!$D$114)^((AE$16-AD$16)/365)</f>
        <v>0</v>
      </c>
      <c r="AF504" s="273">
        <f>AE504*(1+'2. GRI Pricing Inputs'!$D$114)^((AF$16-AE$16)/365)</f>
        <v>0</v>
      </c>
      <c r="AG504" s="273">
        <f>AF504*(1+'2. GRI Pricing Inputs'!$D$114)^((AG$16-AF$16)/365)</f>
        <v>0</v>
      </c>
      <c r="AH504" s="273">
        <f>AG504*(1+'2. GRI Pricing Inputs'!$D$114)^((AH$16-AG$16)/365)</f>
        <v>0</v>
      </c>
      <c r="AI504" s="273">
        <f>AH504*(1+'2. GRI Pricing Inputs'!$D$114)^((AI$16-AH$16)/365)</f>
        <v>0</v>
      </c>
      <c r="AJ504" s="273">
        <f>AI504*(1+'2. GRI Pricing Inputs'!$D$114)^((AJ$16-AI$16)/365)</f>
        <v>0</v>
      </c>
      <c r="AK504" s="273">
        <f>AJ504*(1+'2. GRI Pricing Inputs'!$D$114)^((AK$16-AJ$16)/365)</f>
        <v>0</v>
      </c>
      <c r="AL504" s="273">
        <f>AK504*(1+'2. GRI Pricing Inputs'!$D$114)^((AL$16-AK$16)/365)</f>
        <v>0</v>
      </c>
      <c r="AM504" s="273">
        <f>AL504*(1+'2. GRI Pricing Inputs'!$D$114)^((AM$16-AL$16)/365)</f>
        <v>0</v>
      </c>
      <c r="AN504" s="273">
        <f>AM504*(1+'2. GRI Pricing Inputs'!$D$114)^((AN$16-AM$16)/365)</f>
        <v>0</v>
      </c>
      <c r="AO504" s="273">
        <f>AN504*(1+'2. GRI Pricing Inputs'!$D$114)^((AO$16-AN$16)/365)</f>
        <v>0</v>
      </c>
    </row>
    <row r="505" spans="3:41" ht="12" x14ac:dyDescent="0.2">
      <c r="C505" s="76">
        <f>'1. Accomodation'!N509</f>
        <v>0</v>
      </c>
      <c r="D505" s="69">
        <f>'1. Accomodation'!P509</f>
        <v>0</v>
      </c>
      <c r="E505" s="69">
        <f>'1. Accomodation'!Q509</f>
        <v>0</v>
      </c>
      <c r="F505" s="77">
        <f>'1. Accomodation'!O509</f>
        <v>0</v>
      </c>
      <c r="G505" s="69">
        <f>'1. Accomodation'!R509</f>
        <v>0</v>
      </c>
      <c r="H505" s="69">
        <f>'1. Accomodation'!S509</f>
        <v>0</v>
      </c>
      <c r="I505" s="62"/>
      <c r="K505" s="272">
        <f>IFERROR(INDEX('2. GRI Pricing Inputs'!$C$15:$AI$16,MATCH($K$16,'2. GRI Pricing Inputs'!$C$15:$C$16,0),MATCH(D505,'2. GRI Pricing Inputs'!$C$15:$AI$15,0)),0)</f>
        <v>0</v>
      </c>
      <c r="L505" s="273">
        <f>IFERROR(INDEX('2. GRI Pricing Inputs'!$C$22:$AI$23,MATCH($L$16,'2. GRI Pricing Inputs'!$C$22:$C$23,0),MATCH(E505,'2. GRI Pricing Inputs'!$C$22:$AI$22,0)),0)</f>
        <v>0</v>
      </c>
      <c r="M505" s="328">
        <f>IF(AND('3. GRI Pricing'!$F505&gt;='2. GRI Pricing Inputs'!$D$33,'3. GRI Pricing'!$F505&lt;='2. GRI Pricing Inputs'!$E$33),'2. GRI Pricing Inputs'!$D$32,IF(AND('3. GRI Pricing'!$F505&gt;='2. GRI Pricing Inputs'!$F$33,'3. GRI Pricing'!$F505&lt;='2. GRI Pricing Inputs'!$G$33),'2. GRI Pricing Inputs'!$F$32,IF(AND('3. GRI Pricing'!$F505&gt;='2. GRI Pricing Inputs'!$H$33,'3. GRI Pricing'!$F505&lt;='2. GRI Pricing Inputs'!$I$33),'2. GRI Pricing Inputs'!$H$32,IF(AND('3. GRI Pricing'!$F505&gt;='2. GRI Pricing Inputs'!$J$33,'3. GRI Pricing'!$F505&lt;='2. GRI Pricing Inputs'!$K$33),'2. GRI Pricing Inputs'!$J$32,IF(AND('3. GRI Pricing'!$F505&gt;='2. GRI Pricing Inputs'!$L$33,'3. GRI Pricing'!$F505&lt;='2. GRI Pricing Inputs'!$M$33),'2. GRI Pricing Inputs'!$L$32,IF(AND('3. GRI Pricing'!$F505&gt;='2. GRI Pricing Inputs'!$N$33,'3. GRI Pricing'!$F505&lt;='2. GRI Pricing Inputs'!$O$33),'2. GRI Pricing Inputs'!$N$32,IF(AND('3. GRI Pricing'!$F505&gt;='2. GRI Pricing Inputs'!$P$33,'3. GRI Pricing'!$F505&lt;='2. GRI Pricing Inputs'!$Q$33),'2. GRI Pricing Inputs'!$P$32,IF(AND('3. GRI Pricing'!$F505&gt;='2. GRI Pricing Inputs'!$R$33,'3. GRI Pricing'!$F505&lt;='2. GRI Pricing Inputs'!$S$33),'2. GRI Pricing Inputs'!$R$32,IF(AND('3. GRI Pricing'!$F505&gt;='2. GRI Pricing Inputs'!$T$33,'3. GRI Pricing'!$F505&lt;='2. GRI Pricing Inputs'!$U$33),'2. GRI Pricing Inputs'!$T$32,IF(AND('3. GRI Pricing'!$F505&gt;='2. GRI Pricing Inputs'!$V$33,'3. GRI Pricing'!$F505&lt;='2. GRI Pricing Inputs'!$W$33),'2. GRI Pricing Inputs'!$V$32,IF(AND('3. GRI Pricing'!$F505&gt;='2. GRI Pricing Inputs'!$X$33,'3. GRI Pricing'!$F505&lt;='2. GRI Pricing Inputs'!$Y$33),'2. GRI Pricing Inputs'!$X$32,IF(AND('3. GRI Pricing'!$F505&gt;='2. GRI Pricing Inputs'!$Z$33,'3. GRI Pricing'!$F505&lt;='2. GRI Pricing Inputs'!$AA$33),'2. GRI Pricing Inputs'!$Z$32,IF(AND('3. GRI Pricing'!$F505&gt;='2. GRI Pricing Inputs'!$AB$33,'3. GRI Pricing'!$F505&lt;='2. GRI Pricing Inputs'!$AC$33),'2. GRI Pricing Inputs'!$AB$32,IF(AND('3. GRI Pricing'!$F505&gt;='2. GRI Pricing Inputs'!$AD$33,'3. GRI Pricing'!$F505&lt;='2. GRI Pricing Inputs'!$AE$33),'2. GRI Pricing Inputs'!$AD$32,IF(AND('3. GRI Pricing'!$F505&gt;='2. GRI Pricing Inputs'!$AF$33,'3. GRI Pricing'!$F505&lt;='2. GRI Pricing Inputs'!$AG$33),'2. GRI Pricing Inputs'!$AF$32,IF(AND('3. GRI Pricing'!$F505&gt;='2. GRI Pricing Inputs'!$AH$33,'3. GRI Pricing'!$F505&lt;='2. GRI Pricing Inputs'!$AI$33),'2. GRI Pricing Inputs'!$AH$32,0))))))))))))))))</f>
        <v>0</v>
      </c>
      <c r="N505" s="273" cm="1">
        <f t="array" ref="N505">IFERROR(INDEX('2. GRI Pricing Inputs'!$C$32:$AI$39,MATCH('3. GRI Pricing'!D505,'2. GRI Pricing Inputs'!$C$32:$C$39,0),(MATCH('3. GRI Pricing'!M505,'2. GRI Pricing Inputs'!$D$32:$AI$32,0)+1)),0)</f>
        <v>0</v>
      </c>
      <c r="O505" s="273">
        <f>IFERROR(INDEX('2. GRI Pricing Inputs'!$C$45:$AI$46,MATCH($O$16,'2. GRI Pricing Inputs'!$C$45:$C$46,0),MATCH(G505,'2. GRI Pricing Inputs'!$C$45:$AI$45,0)),0)</f>
        <v>0</v>
      </c>
      <c r="P505" s="273">
        <f>IFERROR(INDEX('2. GRI Pricing Inputs'!$C$53:$AI$54,MATCH('3. GRI Pricing'!$P$16,'2. GRI Pricing Inputs'!$C$53:$C$54,0),MATCH('3. GRI Pricing'!H505,'2. GRI Pricing Inputs'!$C$53:$AI$53,0)),0)</f>
        <v>0</v>
      </c>
      <c r="Q505" s="273">
        <f>IFERROR(INDEX('2. GRI Pricing Inputs'!$C$60:$AI$61,MATCH('3. GRI Pricing'!$Q$16,'2. GRI Pricing Inputs'!$C$60:$C$61,0),MATCH('1. Accomodation'!T509,'2. GRI Pricing Inputs'!$C$60:$AI$60,0)),0)</f>
        <v>0</v>
      </c>
      <c r="R505" s="273">
        <f>IFERROR(INDEX('2. GRI Pricing Inputs'!$C$67:$AI$68,MATCH('3. GRI Pricing'!$R$16,'2. GRI Pricing Inputs'!$C$67:$C$68,0),MATCH('1. Accomodation'!U509,'2. GRI Pricing Inputs'!$C$67:$AI$67,0)),0)</f>
        <v>0</v>
      </c>
      <c r="S505" s="273">
        <f>IF(D505=0,0,'2. GRI Pricing Inputs'!$AI$75)</f>
        <v>0</v>
      </c>
      <c r="T505" s="273">
        <f>IFERROR(INDEX('2. GRI Pricing Inputs'!$C$82:$AI$83,MATCH('3. GRI Pricing'!$T$16,'2. GRI Pricing Inputs'!$C$82:$C$83,0),MATCH('1. Accomodation'!V509,'2. GRI Pricing Inputs'!$C$82:$AI$82,0)),0)</f>
        <v>0</v>
      </c>
      <c r="U505" s="273">
        <f>IFERROR(INDEX('2. GRI Pricing Inputs'!$C$89:$AI$90,MATCH('3. GRI Pricing'!$U$16,'2. GRI Pricing Inputs'!$C$89:$C$90,0),MATCH('1. Accomodation'!W509,'2. GRI Pricing Inputs'!$C$89:$AI$89,0)),0)</f>
        <v>0</v>
      </c>
      <c r="V505" s="273">
        <f>IFERROR(INDEX('2. GRI Pricing Inputs'!$C$97:$AI$98,MATCH('3. GRI Pricing'!$V$16,'2. GRI Pricing Inputs'!$C$97:$C$98,0),MATCH('1. Accomodation'!X509,'2. GRI Pricing Inputs'!$C$97:$AI$97,0)),0)</f>
        <v>0</v>
      </c>
      <c r="W505" s="273">
        <f>IFERROR(INDEX('2. GRI Pricing Inputs'!$C$104:$AI$105,MATCH('3. GRI Pricing'!$W$16,'2. GRI Pricing Inputs'!$C$104:$C$105,0),MATCH('1. Accomodation'!Y509,'2. GRI Pricing Inputs'!$C$104:$AI$104,0)),0)</f>
        <v>0</v>
      </c>
      <c r="X505" s="274"/>
      <c r="Y505" s="275">
        <f t="shared" si="14"/>
        <v>0</v>
      </c>
      <c r="Z505" s="276"/>
      <c r="AA505" s="276"/>
      <c r="AB505" s="276"/>
      <c r="AC505" s="272">
        <f>Y505*(1+'2. GRI Pricing Inputs'!$D$114)^(($AC$16-$AB$15)/365)</f>
        <v>0</v>
      </c>
      <c r="AD505" s="273">
        <f>AC505*(1+'2. GRI Pricing Inputs'!$D$114)^((AD$16-AC$16)/365)</f>
        <v>0</v>
      </c>
      <c r="AE505" s="273">
        <f>AD505*(1+'2. GRI Pricing Inputs'!$D$114)^((AE$16-AD$16)/365)</f>
        <v>0</v>
      </c>
      <c r="AF505" s="273">
        <f>AE505*(1+'2. GRI Pricing Inputs'!$D$114)^((AF$16-AE$16)/365)</f>
        <v>0</v>
      </c>
      <c r="AG505" s="273">
        <f>AF505*(1+'2. GRI Pricing Inputs'!$D$114)^((AG$16-AF$16)/365)</f>
        <v>0</v>
      </c>
      <c r="AH505" s="273">
        <f>AG505*(1+'2. GRI Pricing Inputs'!$D$114)^((AH$16-AG$16)/365)</f>
        <v>0</v>
      </c>
      <c r="AI505" s="273">
        <f>AH505*(1+'2. GRI Pricing Inputs'!$D$114)^((AI$16-AH$16)/365)</f>
        <v>0</v>
      </c>
      <c r="AJ505" s="273">
        <f>AI505*(1+'2. GRI Pricing Inputs'!$D$114)^((AJ$16-AI$16)/365)</f>
        <v>0</v>
      </c>
      <c r="AK505" s="273">
        <f>AJ505*(1+'2. GRI Pricing Inputs'!$D$114)^((AK$16-AJ$16)/365)</f>
        <v>0</v>
      </c>
      <c r="AL505" s="273">
        <f>AK505*(1+'2. GRI Pricing Inputs'!$D$114)^((AL$16-AK$16)/365)</f>
        <v>0</v>
      </c>
      <c r="AM505" s="273">
        <f>AL505*(1+'2. GRI Pricing Inputs'!$D$114)^((AM$16-AL$16)/365)</f>
        <v>0</v>
      </c>
      <c r="AN505" s="273">
        <f>AM505*(1+'2. GRI Pricing Inputs'!$D$114)^((AN$16-AM$16)/365)</f>
        <v>0</v>
      </c>
      <c r="AO505" s="273">
        <f>AN505*(1+'2. GRI Pricing Inputs'!$D$114)^((AO$16-AN$16)/365)</f>
        <v>0</v>
      </c>
    </row>
    <row r="506" spans="3:41" ht="12" x14ac:dyDescent="0.2">
      <c r="C506" s="76">
        <f>'1. Accomodation'!N510</f>
        <v>0</v>
      </c>
      <c r="D506" s="69">
        <f>'1. Accomodation'!P510</f>
        <v>0</v>
      </c>
      <c r="E506" s="69">
        <f>'1. Accomodation'!Q510</f>
        <v>0</v>
      </c>
      <c r="F506" s="77">
        <f>'1. Accomodation'!O510</f>
        <v>0</v>
      </c>
      <c r="G506" s="69">
        <f>'1. Accomodation'!R510</f>
        <v>0</v>
      </c>
      <c r="H506" s="69">
        <f>'1. Accomodation'!S510</f>
        <v>0</v>
      </c>
      <c r="I506" s="62"/>
      <c r="K506" s="272">
        <f>IFERROR(INDEX('2. GRI Pricing Inputs'!$C$15:$AI$16,MATCH($K$16,'2. GRI Pricing Inputs'!$C$15:$C$16,0),MATCH(D506,'2. GRI Pricing Inputs'!$C$15:$AI$15,0)),0)</f>
        <v>0</v>
      </c>
      <c r="L506" s="273">
        <f>IFERROR(INDEX('2. GRI Pricing Inputs'!$C$22:$AI$23,MATCH($L$16,'2. GRI Pricing Inputs'!$C$22:$C$23,0),MATCH(E506,'2. GRI Pricing Inputs'!$C$22:$AI$22,0)),0)</f>
        <v>0</v>
      </c>
      <c r="M506" s="328">
        <f>IF(AND('3. GRI Pricing'!$F506&gt;='2. GRI Pricing Inputs'!$D$33,'3. GRI Pricing'!$F506&lt;='2. GRI Pricing Inputs'!$E$33),'2. GRI Pricing Inputs'!$D$32,IF(AND('3. GRI Pricing'!$F506&gt;='2. GRI Pricing Inputs'!$F$33,'3. GRI Pricing'!$F506&lt;='2. GRI Pricing Inputs'!$G$33),'2. GRI Pricing Inputs'!$F$32,IF(AND('3. GRI Pricing'!$F506&gt;='2. GRI Pricing Inputs'!$H$33,'3. GRI Pricing'!$F506&lt;='2. GRI Pricing Inputs'!$I$33),'2. GRI Pricing Inputs'!$H$32,IF(AND('3. GRI Pricing'!$F506&gt;='2. GRI Pricing Inputs'!$J$33,'3. GRI Pricing'!$F506&lt;='2. GRI Pricing Inputs'!$K$33),'2. GRI Pricing Inputs'!$J$32,IF(AND('3. GRI Pricing'!$F506&gt;='2. GRI Pricing Inputs'!$L$33,'3. GRI Pricing'!$F506&lt;='2. GRI Pricing Inputs'!$M$33),'2. GRI Pricing Inputs'!$L$32,IF(AND('3. GRI Pricing'!$F506&gt;='2. GRI Pricing Inputs'!$N$33,'3. GRI Pricing'!$F506&lt;='2. GRI Pricing Inputs'!$O$33),'2. GRI Pricing Inputs'!$N$32,IF(AND('3. GRI Pricing'!$F506&gt;='2. GRI Pricing Inputs'!$P$33,'3. GRI Pricing'!$F506&lt;='2. GRI Pricing Inputs'!$Q$33),'2. GRI Pricing Inputs'!$P$32,IF(AND('3. GRI Pricing'!$F506&gt;='2. GRI Pricing Inputs'!$R$33,'3. GRI Pricing'!$F506&lt;='2. GRI Pricing Inputs'!$S$33),'2. GRI Pricing Inputs'!$R$32,IF(AND('3. GRI Pricing'!$F506&gt;='2. GRI Pricing Inputs'!$T$33,'3. GRI Pricing'!$F506&lt;='2. GRI Pricing Inputs'!$U$33),'2. GRI Pricing Inputs'!$T$32,IF(AND('3. GRI Pricing'!$F506&gt;='2. GRI Pricing Inputs'!$V$33,'3. GRI Pricing'!$F506&lt;='2. GRI Pricing Inputs'!$W$33),'2. GRI Pricing Inputs'!$V$32,IF(AND('3. GRI Pricing'!$F506&gt;='2. GRI Pricing Inputs'!$X$33,'3. GRI Pricing'!$F506&lt;='2. GRI Pricing Inputs'!$Y$33),'2. GRI Pricing Inputs'!$X$32,IF(AND('3. GRI Pricing'!$F506&gt;='2. GRI Pricing Inputs'!$Z$33,'3. GRI Pricing'!$F506&lt;='2. GRI Pricing Inputs'!$AA$33),'2. GRI Pricing Inputs'!$Z$32,IF(AND('3. GRI Pricing'!$F506&gt;='2. GRI Pricing Inputs'!$AB$33,'3. GRI Pricing'!$F506&lt;='2. GRI Pricing Inputs'!$AC$33),'2. GRI Pricing Inputs'!$AB$32,IF(AND('3. GRI Pricing'!$F506&gt;='2. GRI Pricing Inputs'!$AD$33,'3. GRI Pricing'!$F506&lt;='2. GRI Pricing Inputs'!$AE$33),'2. GRI Pricing Inputs'!$AD$32,IF(AND('3. GRI Pricing'!$F506&gt;='2. GRI Pricing Inputs'!$AF$33,'3. GRI Pricing'!$F506&lt;='2. GRI Pricing Inputs'!$AG$33),'2. GRI Pricing Inputs'!$AF$32,IF(AND('3. GRI Pricing'!$F506&gt;='2. GRI Pricing Inputs'!$AH$33,'3. GRI Pricing'!$F506&lt;='2. GRI Pricing Inputs'!$AI$33),'2. GRI Pricing Inputs'!$AH$32,0))))))))))))))))</f>
        <v>0</v>
      </c>
      <c r="N506" s="273" cm="1">
        <f t="array" ref="N506">IFERROR(INDEX('2. GRI Pricing Inputs'!$C$32:$AI$39,MATCH('3. GRI Pricing'!D506,'2. GRI Pricing Inputs'!$C$32:$C$39,0),(MATCH('3. GRI Pricing'!M506,'2. GRI Pricing Inputs'!$D$32:$AI$32,0)+1)),0)</f>
        <v>0</v>
      </c>
      <c r="O506" s="273">
        <f>IFERROR(INDEX('2. GRI Pricing Inputs'!$C$45:$AI$46,MATCH($O$16,'2. GRI Pricing Inputs'!$C$45:$C$46,0),MATCH(G506,'2. GRI Pricing Inputs'!$C$45:$AI$45,0)),0)</f>
        <v>0</v>
      </c>
      <c r="P506" s="273">
        <f>IFERROR(INDEX('2. GRI Pricing Inputs'!$C$53:$AI$54,MATCH('3. GRI Pricing'!$P$16,'2. GRI Pricing Inputs'!$C$53:$C$54,0),MATCH('3. GRI Pricing'!H506,'2. GRI Pricing Inputs'!$C$53:$AI$53,0)),0)</f>
        <v>0</v>
      </c>
      <c r="Q506" s="273">
        <f>IFERROR(INDEX('2. GRI Pricing Inputs'!$C$60:$AI$61,MATCH('3. GRI Pricing'!$Q$16,'2. GRI Pricing Inputs'!$C$60:$C$61,0),MATCH('1. Accomodation'!T510,'2. GRI Pricing Inputs'!$C$60:$AI$60,0)),0)</f>
        <v>0</v>
      </c>
      <c r="R506" s="273">
        <f>IFERROR(INDEX('2. GRI Pricing Inputs'!$C$67:$AI$68,MATCH('3. GRI Pricing'!$R$16,'2. GRI Pricing Inputs'!$C$67:$C$68,0),MATCH('1. Accomodation'!U510,'2. GRI Pricing Inputs'!$C$67:$AI$67,0)),0)</f>
        <v>0</v>
      </c>
      <c r="S506" s="273">
        <f>IF(D506=0,0,'2. GRI Pricing Inputs'!$AI$75)</f>
        <v>0</v>
      </c>
      <c r="T506" s="273">
        <f>IFERROR(INDEX('2. GRI Pricing Inputs'!$C$82:$AI$83,MATCH('3. GRI Pricing'!$T$16,'2. GRI Pricing Inputs'!$C$82:$C$83,0),MATCH('1. Accomodation'!V510,'2. GRI Pricing Inputs'!$C$82:$AI$82,0)),0)</f>
        <v>0</v>
      </c>
      <c r="U506" s="273">
        <f>IFERROR(INDEX('2. GRI Pricing Inputs'!$C$89:$AI$90,MATCH('3. GRI Pricing'!$U$16,'2. GRI Pricing Inputs'!$C$89:$C$90,0),MATCH('1. Accomodation'!W510,'2. GRI Pricing Inputs'!$C$89:$AI$89,0)),0)</f>
        <v>0</v>
      </c>
      <c r="V506" s="273">
        <f>IFERROR(INDEX('2. GRI Pricing Inputs'!$C$97:$AI$98,MATCH('3. GRI Pricing'!$V$16,'2. GRI Pricing Inputs'!$C$97:$C$98,0),MATCH('1. Accomodation'!X510,'2. GRI Pricing Inputs'!$C$97:$AI$97,0)),0)</f>
        <v>0</v>
      </c>
      <c r="W506" s="273">
        <f>IFERROR(INDEX('2. GRI Pricing Inputs'!$C$104:$AI$105,MATCH('3. GRI Pricing'!$W$16,'2. GRI Pricing Inputs'!$C$104:$C$105,0),MATCH('1. Accomodation'!Y510,'2. GRI Pricing Inputs'!$C$104:$AI$104,0)),0)</f>
        <v>0</v>
      </c>
      <c r="X506" s="274"/>
      <c r="Y506" s="275">
        <f t="shared" si="14"/>
        <v>0</v>
      </c>
      <c r="Z506" s="276"/>
      <c r="AA506" s="276"/>
      <c r="AB506" s="276"/>
      <c r="AC506" s="272">
        <f>Y506*(1+'2. GRI Pricing Inputs'!$D$114)^(($AC$16-$AB$15)/365)</f>
        <v>0</v>
      </c>
      <c r="AD506" s="273">
        <f>AC506*(1+'2. GRI Pricing Inputs'!$D$114)^((AD$16-AC$16)/365)</f>
        <v>0</v>
      </c>
      <c r="AE506" s="273">
        <f>AD506*(1+'2. GRI Pricing Inputs'!$D$114)^((AE$16-AD$16)/365)</f>
        <v>0</v>
      </c>
      <c r="AF506" s="273">
        <f>AE506*(1+'2. GRI Pricing Inputs'!$D$114)^((AF$16-AE$16)/365)</f>
        <v>0</v>
      </c>
      <c r="AG506" s="273">
        <f>AF506*(1+'2. GRI Pricing Inputs'!$D$114)^((AG$16-AF$16)/365)</f>
        <v>0</v>
      </c>
      <c r="AH506" s="273">
        <f>AG506*(1+'2. GRI Pricing Inputs'!$D$114)^((AH$16-AG$16)/365)</f>
        <v>0</v>
      </c>
      <c r="AI506" s="273">
        <f>AH506*(1+'2. GRI Pricing Inputs'!$D$114)^((AI$16-AH$16)/365)</f>
        <v>0</v>
      </c>
      <c r="AJ506" s="273">
        <f>AI506*(1+'2. GRI Pricing Inputs'!$D$114)^((AJ$16-AI$16)/365)</f>
        <v>0</v>
      </c>
      <c r="AK506" s="273">
        <f>AJ506*(1+'2. GRI Pricing Inputs'!$D$114)^((AK$16-AJ$16)/365)</f>
        <v>0</v>
      </c>
      <c r="AL506" s="273">
        <f>AK506*(1+'2. GRI Pricing Inputs'!$D$114)^((AL$16-AK$16)/365)</f>
        <v>0</v>
      </c>
      <c r="AM506" s="273">
        <f>AL506*(1+'2. GRI Pricing Inputs'!$D$114)^((AM$16-AL$16)/365)</f>
        <v>0</v>
      </c>
      <c r="AN506" s="273">
        <f>AM506*(1+'2. GRI Pricing Inputs'!$D$114)^((AN$16-AM$16)/365)</f>
        <v>0</v>
      </c>
      <c r="AO506" s="273">
        <f>AN506*(1+'2. GRI Pricing Inputs'!$D$114)^((AO$16-AN$16)/365)</f>
        <v>0</v>
      </c>
    </row>
    <row r="507" spans="3:41" ht="12" x14ac:dyDescent="0.2">
      <c r="C507" s="76">
        <f>'1. Accomodation'!N511</f>
        <v>0</v>
      </c>
      <c r="D507" s="69">
        <f>'1. Accomodation'!P511</f>
        <v>0</v>
      </c>
      <c r="E507" s="69">
        <f>'1. Accomodation'!Q511</f>
        <v>0</v>
      </c>
      <c r="F507" s="77">
        <f>'1. Accomodation'!O511</f>
        <v>0</v>
      </c>
      <c r="G507" s="69">
        <f>'1. Accomodation'!R511</f>
        <v>0</v>
      </c>
      <c r="H507" s="69">
        <f>'1. Accomodation'!S511</f>
        <v>0</v>
      </c>
      <c r="I507" s="62"/>
      <c r="K507" s="272">
        <f>IFERROR(INDEX('2. GRI Pricing Inputs'!$C$15:$AI$16,MATCH($K$16,'2. GRI Pricing Inputs'!$C$15:$C$16,0),MATCH(D507,'2. GRI Pricing Inputs'!$C$15:$AI$15,0)),0)</f>
        <v>0</v>
      </c>
      <c r="L507" s="273">
        <f>IFERROR(INDEX('2. GRI Pricing Inputs'!$C$22:$AI$23,MATCH($L$16,'2. GRI Pricing Inputs'!$C$22:$C$23,0),MATCH(E507,'2. GRI Pricing Inputs'!$C$22:$AI$22,0)),0)</f>
        <v>0</v>
      </c>
      <c r="M507" s="328">
        <f>IF(AND('3. GRI Pricing'!$F507&gt;='2. GRI Pricing Inputs'!$D$33,'3. GRI Pricing'!$F507&lt;='2. GRI Pricing Inputs'!$E$33),'2. GRI Pricing Inputs'!$D$32,IF(AND('3. GRI Pricing'!$F507&gt;='2. GRI Pricing Inputs'!$F$33,'3. GRI Pricing'!$F507&lt;='2. GRI Pricing Inputs'!$G$33),'2. GRI Pricing Inputs'!$F$32,IF(AND('3. GRI Pricing'!$F507&gt;='2. GRI Pricing Inputs'!$H$33,'3. GRI Pricing'!$F507&lt;='2. GRI Pricing Inputs'!$I$33),'2. GRI Pricing Inputs'!$H$32,IF(AND('3. GRI Pricing'!$F507&gt;='2. GRI Pricing Inputs'!$J$33,'3. GRI Pricing'!$F507&lt;='2. GRI Pricing Inputs'!$K$33),'2. GRI Pricing Inputs'!$J$32,IF(AND('3. GRI Pricing'!$F507&gt;='2. GRI Pricing Inputs'!$L$33,'3. GRI Pricing'!$F507&lt;='2. GRI Pricing Inputs'!$M$33),'2. GRI Pricing Inputs'!$L$32,IF(AND('3. GRI Pricing'!$F507&gt;='2. GRI Pricing Inputs'!$N$33,'3. GRI Pricing'!$F507&lt;='2. GRI Pricing Inputs'!$O$33),'2. GRI Pricing Inputs'!$N$32,IF(AND('3. GRI Pricing'!$F507&gt;='2. GRI Pricing Inputs'!$P$33,'3. GRI Pricing'!$F507&lt;='2. GRI Pricing Inputs'!$Q$33),'2. GRI Pricing Inputs'!$P$32,IF(AND('3. GRI Pricing'!$F507&gt;='2. GRI Pricing Inputs'!$R$33,'3. GRI Pricing'!$F507&lt;='2. GRI Pricing Inputs'!$S$33),'2. GRI Pricing Inputs'!$R$32,IF(AND('3. GRI Pricing'!$F507&gt;='2. GRI Pricing Inputs'!$T$33,'3. GRI Pricing'!$F507&lt;='2. GRI Pricing Inputs'!$U$33),'2. GRI Pricing Inputs'!$T$32,IF(AND('3. GRI Pricing'!$F507&gt;='2. GRI Pricing Inputs'!$V$33,'3. GRI Pricing'!$F507&lt;='2. GRI Pricing Inputs'!$W$33),'2. GRI Pricing Inputs'!$V$32,IF(AND('3. GRI Pricing'!$F507&gt;='2. GRI Pricing Inputs'!$X$33,'3. GRI Pricing'!$F507&lt;='2. GRI Pricing Inputs'!$Y$33),'2. GRI Pricing Inputs'!$X$32,IF(AND('3. GRI Pricing'!$F507&gt;='2. GRI Pricing Inputs'!$Z$33,'3. GRI Pricing'!$F507&lt;='2. GRI Pricing Inputs'!$AA$33),'2. GRI Pricing Inputs'!$Z$32,IF(AND('3. GRI Pricing'!$F507&gt;='2. GRI Pricing Inputs'!$AB$33,'3. GRI Pricing'!$F507&lt;='2. GRI Pricing Inputs'!$AC$33),'2. GRI Pricing Inputs'!$AB$32,IF(AND('3. GRI Pricing'!$F507&gt;='2. GRI Pricing Inputs'!$AD$33,'3. GRI Pricing'!$F507&lt;='2. GRI Pricing Inputs'!$AE$33),'2. GRI Pricing Inputs'!$AD$32,IF(AND('3. GRI Pricing'!$F507&gt;='2. GRI Pricing Inputs'!$AF$33,'3. GRI Pricing'!$F507&lt;='2. GRI Pricing Inputs'!$AG$33),'2. GRI Pricing Inputs'!$AF$32,IF(AND('3. GRI Pricing'!$F507&gt;='2. GRI Pricing Inputs'!$AH$33,'3. GRI Pricing'!$F507&lt;='2. GRI Pricing Inputs'!$AI$33),'2. GRI Pricing Inputs'!$AH$32,0))))))))))))))))</f>
        <v>0</v>
      </c>
      <c r="N507" s="273" cm="1">
        <f t="array" ref="N507">IFERROR(INDEX('2. GRI Pricing Inputs'!$C$32:$AI$39,MATCH('3. GRI Pricing'!D507,'2. GRI Pricing Inputs'!$C$32:$C$39,0),(MATCH('3. GRI Pricing'!M507,'2. GRI Pricing Inputs'!$D$32:$AI$32,0)+1)),0)</f>
        <v>0</v>
      </c>
      <c r="O507" s="273">
        <f>IFERROR(INDEX('2. GRI Pricing Inputs'!$C$45:$AI$46,MATCH($O$16,'2. GRI Pricing Inputs'!$C$45:$C$46,0),MATCH(G507,'2. GRI Pricing Inputs'!$C$45:$AI$45,0)),0)</f>
        <v>0</v>
      </c>
      <c r="P507" s="273">
        <f>IFERROR(INDEX('2. GRI Pricing Inputs'!$C$53:$AI$54,MATCH('3. GRI Pricing'!$P$16,'2. GRI Pricing Inputs'!$C$53:$C$54,0),MATCH('3. GRI Pricing'!H507,'2. GRI Pricing Inputs'!$C$53:$AI$53,0)),0)</f>
        <v>0</v>
      </c>
      <c r="Q507" s="273">
        <f>IFERROR(INDEX('2. GRI Pricing Inputs'!$C$60:$AI$61,MATCH('3. GRI Pricing'!$Q$16,'2. GRI Pricing Inputs'!$C$60:$C$61,0),MATCH('1. Accomodation'!T511,'2. GRI Pricing Inputs'!$C$60:$AI$60,0)),0)</f>
        <v>0</v>
      </c>
      <c r="R507" s="273">
        <f>IFERROR(INDEX('2. GRI Pricing Inputs'!$C$67:$AI$68,MATCH('3. GRI Pricing'!$R$16,'2. GRI Pricing Inputs'!$C$67:$C$68,0),MATCH('1. Accomodation'!U511,'2. GRI Pricing Inputs'!$C$67:$AI$67,0)),0)</f>
        <v>0</v>
      </c>
      <c r="S507" s="273">
        <f>IF(D507=0,0,'2. GRI Pricing Inputs'!$AI$75)</f>
        <v>0</v>
      </c>
      <c r="T507" s="273">
        <f>IFERROR(INDEX('2. GRI Pricing Inputs'!$C$82:$AI$83,MATCH('3. GRI Pricing'!$T$16,'2. GRI Pricing Inputs'!$C$82:$C$83,0),MATCH('1. Accomodation'!V511,'2. GRI Pricing Inputs'!$C$82:$AI$82,0)),0)</f>
        <v>0</v>
      </c>
      <c r="U507" s="273">
        <f>IFERROR(INDEX('2. GRI Pricing Inputs'!$C$89:$AI$90,MATCH('3. GRI Pricing'!$U$16,'2. GRI Pricing Inputs'!$C$89:$C$90,0),MATCH('1. Accomodation'!W511,'2. GRI Pricing Inputs'!$C$89:$AI$89,0)),0)</f>
        <v>0</v>
      </c>
      <c r="V507" s="273">
        <f>IFERROR(INDEX('2. GRI Pricing Inputs'!$C$97:$AI$98,MATCH('3. GRI Pricing'!$V$16,'2. GRI Pricing Inputs'!$C$97:$C$98,0),MATCH('1. Accomodation'!X511,'2. GRI Pricing Inputs'!$C$97:$AI$97,0)),0)</f>
        <v>0</v>
      </c>
      <c r="W507" s="273">
        <f>IFERROR(INDEX('2. GRI Pricing Inputs'!$C$104:$AI$105,MATCH('3. GRI Pricing'!$W$16,'2. GRI Pricing Inputs'!$C$104:$C$105,0),MATCH('1. Accomodation'!Y511,'2. GRI Pricing Inputs'!$C$104:$AI$104,0)),0)</f>
        <v>0</v>
      </c>
      <c r="X507" s="274"/>
      <c r="Y507" s="275">
        <f t="shared" si="14"/>
        <v>0</v>
      </c>
      <c r="Z507" s="276"/>
      <c r="AA507" s="276"/>
      <c r="AB507" s="276"/>
      <c r="AC507" s="272">
        <f>Y507*(1+'2. GRI Pricing Inputs'!$D$114)^(($AC$16-$AB$15)/365)</f>
        <v>0</v>
      </c>
      <c r="AD507" s="273">
        <f>AC507*(1+'2. GRI Pricing Inputs'!$D$114)^((AD$16-AC$16)/365)</f>
        <v>0</v>
      </c>
      <c r="AE507" s="273">
        <f>AD507*(1+'2. GRI Pricing Inputs'!$D$114)^((AE$16-AD$16)/365)</f>
        <v>0</v>
      </c>
      <c r="AF507" s="273">
        <f>AE507*(1+'2. GRI Pricing Inputs'!$D$114)^((AF$16-AE$16)/365)</f>
        <v>0</v>
      </c>
      <c r="AG507" s="273">
        <f>AF507*(1+'2. GRI Pricing Inputs'!$D$114)^((AG$16-AF$16)/365)</f>
        <v>0</v>
      </c>
      <c r="AH507" s="273">
        <f>AG507*(1+'2. GRI Pricing Inputs'!$D$114)^((AH$16-AG$16)/365)</f>
        <v>0</v>
      </c>
      <c r="AI507" s="273">
        <f>AH507*(1+'2. GRI Pricing Inputs'!$D$114)^((AI$16-AH$16)/365)</f>
        <v>0</v>
      </c>
      <c r="AJ507" s="273">
        <f>AI507*(1+'2. GRI Pricing Inputs'!$D$114)^((AJ$16-AI$16)/365)</f>
        <v>0</v>
      </c>
      <c r="AK507" s="273">
        <f>AJ507*(1+'2. GRI Pricing Inputs'!$D$114)^((AK$16-AJ$16)/365)</f>
        <v>0</v>
      </c>
      <c r="AL507" s="273">
        <f>AK507*(1+'2. GRI Pricing Inputs'!$D$114)^((AL$16-AK$16)/365)</f>
        <v>0</v>
      </c>
      <c r="AM507" s="273">
        <f>AL507*(1+'2. GRI Pricing Inputs'!$D$114)^((AM$16-AL$16)/365)</f>
        <v>0</v>
      </c>
      <c r="AN507" s="273">
        <f>AM507*(1+'2. GRI Pricing Inputs'!$D$114)^((AN$16-AM$16)/365)</f>
        <v>0</v>
      </c>
      <c r="AO507" s="273">
        <f>AN507*(1+'2. GRI Pricing Inputs'!$D$114)^((AO$16-AN$16)/365)</f>
        <v>0</v>
      </c>
    </row>
    <row r="508" spans="3:41" ht="12" x14ac:dyDescent="0.2">
      <c r="C508" s="76">
        <f>'1. Accomodation'!N512</f>
        <v>0</v>
      </c>
      <c r="D508" s="69">
        <f>'1. Accomodation'!P512</f>
        <v>0</v>
      </c>
      <c r="E508" s="69">
        <f>'1. Accomodation'!Q512</f>
        <v>0</v>
      </c>
      <c r="F508" s="77">
        <f>'1. Accomodation'!O512</f>
        <v>0</v>
      </c>
      <c r="G508" s="69">
        <f>'1. Accomodation'!R512</f>
        <v>0</v>
      </c>
      <c r="H508" s="69">
        <f>'1. Accomodation'!S512</f>
        <v>0</v>
      </c>
      <c r="I508" s="62"/>
      <c r="K508" s="272">
        <f>IFERROR(INDEX('2. GRI Pricing Inputs'!$C$15:$AI$16,MATCH($K$16,'2. GRI Pricing Inputs'!$C$15:$C$16,0),MATCH(D508,'2. GRI Pricing Inputs'!$C$15:$AI$15,0)),0)</f>
        <v>0</v>
      </c>
      <c r="L508" s="273">
        <f>IFERROR(INDEX('2. GRI Pricing Inputs'!$C$22:$AI$23,MATCH($L$16,'2. GRI Pricing Inputs'!$C$22:$C$23,0),MATCH(E508,'2. GRI Pricing Inputs'!$C$22:$AI$22,0)),0)</f>
        <v>0</v>
      </c>
      <c r="M508" s="328">
        <f>IF(AND('3. GRI Pricing'!$F508&gt;='2. GRI Pricing Inputs'!$D$33,'3. GRI Pricing'!$F508&lt;='2. GRI Pricing Inputs'!$E$33),'2. GRI Pricing Inputs'!$D$32,IF(AND('3. GRI Pricing'!$F508&gt;='2. GRI Pricing Inputs'!$F$33,'3. GRI Pricing'!$F508&lt;='2. GRI Pricing Inputs'!$G$33),'2. GRI Pricing Inputs'!$F$32,IF(AND('3. GRI Pricing'!$F508&gt;='2. GRI Pricing Inputs'!$H$33,'3. GRI Pricing'!$F508&lt;='2. GRI Pricing Inputs'!$I$33),'2. GRI Pricing Inputs'!$H$32,IF(AND('3. GRI Pricing'!$F508&gt;='2. GRI Pricing Inputs'!$J$33,'3. GRI Pricing'!$F508&lt;='2. GRI Pricing Inputs'!$K$33),'2. GRI Pricing Inputs'!$J$32,IF(AND('3. GRI Pricing'!$F508&gt;='2. GRI Pricing Inputs'!$L$33,'3. GRI Pricing'!$F508&lt;='2. GRI Pricing Inputs'!$M$33),'2. GRI Pricing Inputs'!$L$32,IF(AND('3. GRI Pricing'!$F508&gt;='2. GRI Pricing Inputs'!$N$33,'3. GRI Pricing'!$F508&lt;='2. GRI Pricing Inputs'!$O$33),'2. GRI Pricing Inputs'!$N$32,IF(AND('3. GRI Pricing'!$F508&gt;='2. GRI Pricing Inputs'!$P$33,'3. GRI Pricing'!$F508&lt;='2. GRI Pricing Inputs'!$Q$33),'2. GRI Pricing Inputs'!$P$32,IF(AND('3. GRI Pricing'!$F508&gt;='2. GRI Pricing Inputs'!$R$33,'3. GRI Pricing'!$F508&lt;='2. GRI Pricing Inputs'!$S$33),'2. GRI Pricing Inputs'!$R$32,IF(AND('3. GRI Pricing'!$F508&gt;='2. GRI Pricing Inputs'!$T$33,'3. GRI Pricing'!$F508&lt;='2. GRI Pricing Inputs'!$U$33),'2. GRI Pricing Inputs'!$T$32,IF(AND('3. GRI Pricing'!$F508&gt;='2. GRI Pricing Inputs'!$V$33,'3. GRI Pricing'!$F508&lt;='2. GRI Pricing Inputs'!$W$33),'2. GRI Pricing Inputs'!$V$32,IF(AND('3. GRI Pricing'!$F508&gt;='2. GRI Pricing Inputs'!$X$33,'3. GRI Pricing'!$F508&lt;='2. GRI Pricing Inputs'!$Y$33),'2. GRI Pricing Inputs'!$X$32,IF(AND('3. GRI Pricing'!$F508&gt;='2. GRI Pricing Inputs'!$Z$33,'3. GRI Pricing'!$F508&lt;='2. GRI Pricing Inputs'!$AA$33),'2. GRI Pricing Inputs'!$Z$32,IF(AND('3. GRI Pricing'!$F508&gt;='2. GRI Pricing Inputs'!$AB$33,'3. GRI Pricing'!$F508&lt;='2. GRI Pricing Inputs'!$AC$33),'2. GRI Pricing Inputs'!$AB$32,IF(AND('3. GRI Pricing'!$F508&gt;='2. GRI Pricing Inputs'!$AD$33,'3. GRI Pricing'!$F508&lt;='2. GRI Pricing Inputs'!$AE$33),'2. GRI Pricing Inputs'!$AD$32,IF(AND('3. GRI Pricing'!$F508&gt;='2. GRI Pricing Inputs'!$AF$33,'3. GRI Pricing'!$F508&lt;='2. GRI Pricing Inputs'!$AG$33),'2. GRI Pricing Inputs'!$AF$32,IF(AND('3. GRI Pricing'!$F508&gt;='2. GRI Pricing Inputs'!$AH$33,'3. GRI Pricing'!$F508&lt;='2. GRI Pricing Inputs'!$AI$33),'2. GRI Pricing Inputs'!$AH$32,0))))))))))))))))</f>
        <v>0</v>
      </c>
      <c r="N508" s="273" cm="1">
        <f t="array" ref="N508">IFERROR(INDEX('2. GRI Pricing Inputs'!$C$32:$AI$39,MATCH('3. GRI Pricing'!D508,'2. GRI Pricing Inputs'!$C$32:$C$39,0),(MATCH('3. GRI Pricing'!M508,'2. GRI Pricing Inputs'!$D$32:$AI$32,0)+1)),0)</f>
        <v>0</v>
      </c>
      <c r="O508" s="273">
        <f>IFERROR(INDEX('2. GRI Pricing Inputs'!$C$45:$AI$46,MATCH($O$16,'2. GRI Pricing Inputs'!$C$45:$C$46,0),MATCH(G508,'2. GRI Pricing Inputs'!$C$45:$AI$45,0)),0)</f>
        <v>0</v>
      </c>
      <c r="P508" s="273">
        <f>IFERROR(INDEX('2. GRI Pricing Inputs'!$C$53:$AI$54,MATCH('3. GRI Pricing'!$P$16,'2. GRI Pricing Inputs'!$C$53:$C$54,0),MATCH('3. GRI Pricing'!H508,'2. GRI Pricing Inputs'!$C$53:$AI$53,0)),0)</f>
        <v>0</v>
      </c>
      <c r="Q508" s="273">
        <f>IFERROR(INDEX('2. GRI Pricing Inputs'!$C$60:$AI$61,MATCH('3. GRI Pricing'!$Q$16,'2. GRI Pricing Inputs'!$C$60:$C$61,0),MATCH('1. Accomodation'!T512,'2. GRI Pricing Inputs'!$C$60:$AI$60,0)),0)</f>
        <v>0</v>
      </c>
      <c r="R508" s="273">
        <f>IFERROR(INDEX('2. GRI Pricing Inputs'!$C$67:$AI$68,MATCH('3. GRI Pricing'!$R$16,'2. GRI Pricing Inputs'!$C$67:$C$68,0),MATCH('1. Accomodation'!U512,'2. GRI Pricing Inputs'!$C$67:$AI$67,0)),0)</f>
        <v>0</v>
      </c>
      <c r="S508" s="273">
        <f>IF(D508=0,0,'2. GRI Pricing Inputs'!$AI$75)</f>
        <v>0</v>
      </c>
      <c r="T508" s="273">
        <f>IFERROR(INDEX('2. GRI Pricing Inputs'!$C$82:$AI$83,MATCH('3. GRI Pricing'!$T$16,'2. GRI Pricing Inputs'!$C$82:$C$83,0),MATCH('1. Accomodation'!V512,'2. GRI Pricing Inputs'!$C$82:$AI$82,0)),0)</f>
        <v>0</v>
      </c>
      <c r="U508" s="273">
        <f>IFERROR(INDEX('2. GRI Pricing Inputs'!$C$89:$AI$90,MATCH('3. GRI Pricing'!$U$16,'2. GRI Pricing Inputs'!$C$89:$C$90,0),MATCH('1. Accomodation'!W512,'2. GRI Pricing Inputs'!$C$89:$AI$89,0)),0)</f>
        <v>0</v>
      </c>
      <c r="V508" s="273">
        <f>IFERROR(INDEX('2. GRI Pricing Inputs'!$C$97:$AI$98,MATCH('3. GRI Pricing'!$V$16,'2. GRI Pricing Inputs'!$C$97:$C$98,0),MATCH('1. Accomodation'!X512,'2. GRI Pricing Inputs'!$C$97:$AI$97,0)),0)</f>
        <v>0</v>
      </c>
      <c r="W508" s="273">
        <f>IFERROR(INDEX('2. GRI Pricing Inputs'!$C$104:$AI$105,MATCH('3. GRI Pricing'!$W$16,'2. GRI Pricing Inputs'!$C$104:$C$105,0),MATCH('1. Accomodation'!Y512,'2. GRI Pricing Inputs'!$C$104:$AI$104,0)),0)</f>
        <v>0</v>
      </c>
      <c r="X508" s="274"/>
      <c r="Y508" s="275">
        <f t="shared" si="14"/>
        <v>0</v>
      </c>
      <c r="Z508" s="276"/>
      <c r="AA508" s="276"/>
      <c r="AB508" s="276"/>
      <c r="AC508" s="272">
        <f>Y508*(1+'2. GRI Pricing Inputs'!$D$114)^(($AC$16-$AB$15)/365)</f>
        <v>0</v>
      </c>
      <c r="AD508" s="273">
        <f>AC508*(1+'2. GRI Pricing Inputs'!$D$114)^((AD$16-AC$16)/365)</f>
        <v>0</v>
      </c>
      <c r="AE508" s="273">
        <f>AD508*(1+'2. GRI Pricing Inputs'!$D$114)^((AE$16-AD$16)/365)</f>
        <v>0</v>
      </c>
      <c r="AF508" s="273">
        <f>AE508*(1+'2. GRI Pricing Inputs'!$D$114)^((AF$16-AE$16)/365)</f>
        <v>0</v>
      </c>
      <c r="AG508" s="273">
        <f>AF508*(1+'2. GRI Pricing Inputs'!$D$114)^((AG$16-AF$16)/365)</f>
        <v>0</v>
      </c>
      <c r="AH508" s="273">
        <f>AG508*(1+'2. GRI Pricing Inputs'!$D$114)^((AH$16-AG$16)/365)</f>
        <v>0</v>
      </c>
      <c r="AI508" s="273">
        <f>AH508*(1+'2. GRI Pricing Inputs'!$D$114)^((AI$16-AH$16)/365)</f>
        <v>0</v>
      </c>
      <c r="AJ508" s="273">
        <f>AI508*(1+'2. GRI Pricing Inputs'!$D$114)^((AJ$16-AI$16)/365)</f>
        <v>0</v>
      </c>
      <c r="AK508" s="273">
        <f>AJ508*(1+'2. GRI Pricing Inputs'!$D$114)^((AK$16-AJ$16)/365)</f>
        <v>0</v>
      </c>
      <c r="AL508" s="273">
        <f>AK508*(1+'2. GRI Pricing Inputs'!$D$114)^((AL$16-AK$16)/365)</f>
        <v>0</v>
      </c>
      <c r="AM508" s="273">
        <f>AL508*(1+'2. GRI Pricing Inputs'!$D$114)^((AM$16-AL$16)/365)</f>
        <v>0</v>
      </c>
      <c r="AN508" s="273">
        <f>AM508*(1+'2. GRI Pricing Inputs'!$D$114)^((AN$16-AM$16)/365)</f>
        <v>0</v>
      </c>
      <c r="AO508" s="273">
        <f>AN508*(1+'2. GRI Pricing Inputs'!$D$114)^((AO$16-AN$16)/365)</f>
        <v>0</v>
      </c>
    </row>
    <row r="509" spans="3:41" ht="12" x14ac:dyDescent="0.2">
      <c r="C509" s="76">
        <f>'1. Accomodation'!N513</f>
        <v>0</v>
      </c>
      <c r="D509" s="69">
        <f>'1. Accomodation'!P513</f>
        <v>0</v>
      </c>
      <c r="E509" s="69">
        <f>'1. Accomodation'!Q513</f>
        <v>0</v>
      </c>
      <c r="F509" s="77">
        <f>'1. Accomodation'!O513</f>
        <v>0</v>
      </c>
      <c r="G509" s="69">
        <f>'1. Accomodation'!R513</f>
        <v>0</v>
      </c>
      <c r="H509" s="69">
        <f>'1. Accomodation'!S513</f>
        <v>0</v>
      </c>
      <c r="I509" s="62"/>
      <c r="K509" s="272">
        <f>IFERROR(INDEX('2. GRI Pricing Inputs'!$C$15:$AI$16,MATCH($K$16,'2. GRI Pricing Inputs'!$C$15:$C$16,0),MATCH(D509,'2. GRI Pricing Inputs'!$C$15:$AI$15,0)),0)</f>
        <v>0</v>
      </c>
      <c r="L509" s="273">
        <f>IFERROR(INDEX('2. GRI Pricing Inputs'!$C$22:$AI$23,MATCH($L$16,'2. GRI Pricing Inputs'!$C$22:$C$23,0),MATCH(E509,'2. GRI Pricing Inputs'!$C$22:$AI$22,0)),0)</f>
        <v>0</v>
      </c>
      <c r="M509" s="328">
        <f>IF(AND('3. GRI Pricing'!$F509&gt;='2. GRI Pricing Inputs'!$D$33,'3. GRI Pricing'!$F509&lt;='2. GRI Pricing Inputs'!$E$33),'2. GRI Pricing Inputs'!$D$32,IF(AND('3. GRI Pricing'!$F509&gt;='2. GRI Pricing Inputs'!$F$33,'3. GRI Pricing'!$F509&lt;='2. GRI Pricing Inputs'!$G$33),'2. GRI Pricing Inputs'!$F$32,IF(AND('3. GRI Pricing'!$F509&gt;='2. GRI Pricing Inputs'!$H$33,'3. GRI Pricing'!$F509&lt;='2. GRI Pricing Inputs'!$I$33),'2. GRI Pricing Inputs'!$H$32,IF(AND('3. GRI Pricing'!$F509&gt;='2. GRI Pricing Inputs'!$J$33,'3. GRI Pricing'!$F509&lt;='2. GRI Pricing Inputs'!$K$33),'2. GRI Pricing Inputs'!$J$32,IF(AND('3. GRI Pricing'!$F509&gt;='2. GRI Pricing Inputs'!$L$33,'3. GRI Pricing'!$F509&lt;='2. GRI Pricing Inputs'!$M$33),'2. GRI Pricing Inputs'!$L$32,IF(AND('3. GRI Pricing'!$F509&gt;='2. GRI Pricing Inputs'!$N$33,'3. GRI Pricing'!$F509&lt;='2. GRI Pricing Inputs'!$O$33),'2. GRI Pricing Inputs'!$N$32,IF(AND('3. GRI Pricing'!$F509&gt;='2. GRI Pricing Inputs'!$P$33,'3. GRI Pricing'!$F509&lt;='2. GRI Pricing Inputs'!$Q$33),'2. GRI Pricing Inputs'!$P$32,IF(AND('3. GRI Pricing'!$F509&gt;='2. GRI Pricing Inputs'!$R$33,'3. GRI Pricing'!$F509&lt;='2. GRI Pricing Inputs'!$S$33),'2. GRI Pricing Inputs'!$R$32,IF(AND('3. GRI Pricing'!$F509&gt;='2. GRI Pricing Inputs'!$T$33,'3. GRI Pricing'!$F509&lt;='2. GRI Pricing Inputs'!$U$33),'2. GRI Pricing Inputs'!$T$32,IF(AND('3. GRI Pricing'!$F509&gt;='2. GRI Pricing Inputs'!$V$33,'3. GRI Pricing'!$F509&lt;='2. GRI Pricing Inputs'!$W$33),'2. GRI Pricing Inputs'!$V$32,IF(AND('3. GRI Pricing'!$F509&gt;='2. GRI Pricing Inputs'!$X$33,'3. GRI Pricing'!$F509&lt;='2. GRI Pricing Inputs'!$Y$33),'2. GRI Pricing Inputs'!$X$32,IF(AND('3. GRI Pricing'!$F509&gt;='2. GRI Pricing Inputs'!$Z$33,'3. GRI Pricing'!$F509&lt;='2. GRI Pricing Inputs'!$AA$33),'2. GRI Pricing Inputs'!$Z$32,IF(AND('3. GRI Pricing'!$F509&gt;='2. GRI Pricing Inputs'!$AB$33,'3. GRI Pricing'!$F509&lt;='2. GRI Pricing Inputs'!$AC$33),'2. GRI Pricing Inputs'!$AB$32,IF(AND('3. GRI Pricing'!$F509&gt;='2. GRI Pricing Inputs'!$AD$33,'3. GRI Pricing'!$F509&lt;='2. GRI Pricing Inputs'!$AE$33),'2. GRI Pricing Inputs'!$AD$32,IF(AND('3. GRI Pricing'!$F509&gt;='2. GRI Pricing Inputs'!$AF$33,'3. GRI Pricing'!$F509&lt;='2. GRI Pricing Inputs'!$AG$33),'2. GRI Pricing Inputs'!$AF$32,IF(AND('3. GRI Pricing'!$F509&gt;='2. GRI Pricing Inputs'!$AH$33,'3. GRI Pricing'!$F509&lt;='2. GRI Pricing Inputs'!$AI$33),'2. GRI Pricing Inputs'!$AH$32,0))))))))))))))))</f>
        <v>0</v>
      </c>
      <c r="N509" s="273" cm="1">
        <f t="array" ref="N509">IFERROR(INDEX('2. GRI Pricing Inputs'!$C$32:$AI$39,MATCH('3. GRI Pricing'!D509,'2. GRI Pricing Inputs'!$C$32:$C$39,0),(MATCH('3. GRI Pricing'!M509,'2. GRI Pricing Inputs'!$D$32:$AI$32,0)+1)),0)</f>
        <v>0</v>
      </c>
      <c r="O509" s="273">
        <f>IFERROR(INDEX('2. GRI Pricing Inputs'!$C$45:$AI$46,MATCH($O$16,'2. GRI Pricing Inputs'!$C$45:$C$46,0),MATCH(G509,'2. GRI Pricing Inputs'!$C$45:$AI$45,0)),0)</f>
        <v>0</v>
      </c>
      <c r="P509" s="273">
        <f>IFERROR(INDEX('2. GRI Pricing Inputs'!$C$53:$AI$54,MATCH('3. GRI Pricing'!$P$16,'2. GRI Pricing Inputs'!$C$53:$C$54,0),MATCH('3. GRI Pricing'!H509,'2. GRI Pricing Inputs'!$C$53:$AI$53,0)),0)</f>
        <v>0</v>
      </c>
      <c r="Q509" s="273">
        <f>IFERROR(INDEX('2. GRI Pricing Inputs'!$C$60:$AI$61,MATCH('3. GRI Pricing'!$Q$16,'2. GRI Pricing Inputs'!$C$60:$C$61,0),MATCH('1. Accomodation'!T513,'2. GRI Pricing Inputs'!$C$60:$AI$60,0)),0)</f>
        <v>0</v>
      </c>
      <c r="R509" s="273">
        <f>IFERROR(INDEX('2. GRI Pricing Inputs'!$C$67:$AI$68,MATCH('3. GRI Pricing'!$R$16,'2. GRI Pricing Inputs'!$C$67:$C$68,0),MATCH('1. Accomodation'!U513,'2. GRI Pricing Inputs'!$C$67:$AI$67,0)),0)</f>
        <v>0</v>
      </c>
      <c r="S509" s="273">
        <f>IF(D509=0,0,'2. GRI Pricing Inputs'!$AI$75)</f>
        <v>0</v>
      </c>
      <c r="T509" s="273">
        <f>IFERROR(INDEX('2. GRI Pricing Inputs'!$C$82:$AI$83,MATCH('3. GRI Pricing'!$T$16,'2. GRI Pricing Inputs'!$C$82:$C$83,0),MATCH('1. Accomodation'!V513,'2. GRI Pricing Inputs'!$C$82:$AI$82,0)),0)</f>
        <v>0</v>
      </c>
      <c r="U509" s="273">
        <f>IFERROR(INDEX('2. GRI Pricing Inputs'!$C$89:$AI$90,MATCH('3. GRI Pricing'!$U$16,'2. GRI Pricing Inputs'!$C$89:$C$90,0),MATCH('1. Accomodation'!W513,'2. GRI Pricing Inputs'!$C$89:$AI$89,0)),0)</f>
        <v>0</v>
      </c>
      <c r="V509" s="273">
        <f>IFERROR(INDEX('2. GRI Pricing Inputs'!$C$97:$AI$98,MATCH('3. GRI Pricing'!$V$16,'2. GRI Pricing Inputs'!$C$97:$C$98,0),MATCH('1. Accomodation'!X513,'2. GRI Pricing Inputs'!$C$97:$AI$97,0)),0)</f>
        <v>0</v>
      </c>
      <c r="W509" s="273">
        <f>IFERROR(INDEX('2. GRI Pricing Inputs'!$C$104:$AI$105,MATCH('3. GRI Pricing'!$W$16,'2. GRI Pricing Inputs'!$C$104:$C$105,0),MATCH('1. Accomodation'!Y513,'2. GRI Pricing Inputs'!$C$104:$AI$104,0)),0)</f>
        <v>0</v>
      </c>
      <c r="X509" s="274"/>
      <c r="Y509" s="275">
        <f t="shared" si="14"/>
        <v>0</v>
      </c>
      <c r="Z509" s="276"/>
      <c r="AA509" s="276"/>
      <c r="AB509" s="276"/>
      <c r="AC509" s="272">
        <f>Y509*(1+'2. GRI Pricing Inputs'!$D$114)^(($AC$16-$AB$15)/365)</f>
        <v>0</v>
      </c>
      <c r="AD509" s="273">
        <f>AC509*(1+'2. GRI Pricing Inputs'!$D$114)^((AD$16-AC$16)/365)</f>
        <v>0</v>
      </c>
      <c r="AE509" s="273">
        <f>AD509*(1+'2. GRI Pricing Inputs'!$D$114)^((AE$16-AD$16)/365)</f>
        <v>0</v>
      </c>
      <c r="AF509" s="273">
        <f>AE509*(1+'2. GRI Pricing Inputs'!$D$114)^((AF$16-AE$16)/365)</f>
        <v>0</v>
      </c>
      <c r="AG509" s="273">
        <f>AF509*(1+'2. GRI Pricing Inputs'!$D$114)^((AG$16-AF$16)/365)</f>
        <v>0</v>
      </c>
      <c r="AH509" s="273">
        <f>AG509*(1+'2. GRI Pricing Inputs'!$D$114)^((AH$16-AG$16)/365)</f>
        <v>0</v>
      </c>
      <c r="AI509" s="273">
        <f>AH509*(1+'2. GRI Pricing Inputs'!$D$114)^((AI$16-AH$16)/365)</f>
        <v>0</v>
      </c>
      <c r="AJ509" s="273">
        <f>AI509*(1+'2. GRI Pricing Inputs'!$D$114)^((AJ$16-AI$16)/365)</f>
        <v>0</v>
      </c>
      <c r="AK509" s="273">
        <f>AJ509*(1+'2. GRI Pricing Inputs'!$D$114)^((AK$16-AJ$16)/365)</f>
        <v>0</v>
      </c>
      <c r="AL509" s="273">
        <f>AK509*(1+'2. GRI Pricing Inputs'!$D$114)^((AL$16-AK$16)/365)</f>
        <v>0</v>
      </c>
      <c r="AM509" s="273">
        <f>AL509*(1+'2. GRI Pricing Inputs'!$D$114)^((AM$16-AL$16)/365)</f>
        <v>0</v>
      </c>
      <c r="AN509" s="273">
        <f>AM509*(1+'2. GRI Pricing Inputs'!$D$114)^((AN$16-AM$16)/365)</f>
        <v>0</v>
      </c>
      <c r="AO509" s="273">
        <f>AN509*(1+'2. GRI Pricing Inputs'!$D$114)^((AO$16-AN$16)/365)</f>
        <v>0</v>
      </c>
    </row>
    <row r="510" spans="3:41" ht="12" x14ac:dyDescent="0.2">
      <c r="C510" s="76">
        <f>'1. Accomodation'!N514</f>
        <v>0</v>
      </c>
      <c r="D510" s="69">
        <f>'1. Accomodation'!P514</f>
        <v>0</v>
      </c>
      <c r="E510" s="69">
        <f>'1. Accomodation'!Q514</f>
        <v>0</v>
      </c>
      <c r="F510" s="77">
        <f>'1. Accomodation'!O514</f>
        <v>0</v>
      </c>
      <c r="G510" s="69">
        <f>'1. Accomodation'!R514</f>
        <v>0</v>
      </c>
      <c r="H510" s="69">
        <f>'1. Accomodation'!S514</f>
        <v>0</v>
      </c>
      <c r="I510" s="62"/>
      <c r="K510" s="272">
        <f>IFERROR(INDEX('2. GRI Pricing Inputs'!$C$15:$AI$16,MATCH($K$16,'2. GRI Pricing Inputs'!$C$15:$C$16,0),MATCH(D510,'2. GRI Pricing Inputs'!$C$15:$AI$15,0)),0)</f>
        <v>0</v>
      </c>
      <c r="L510" s="273">
        <f>IFERROR(INDEX('2. GRI Pricing Inputs'!$C$22:$AI$23,MATCH($L$16,'2. GRI Pricing Inputs'!$C$22:$C$23,0),MATCH(E510,'2. GRI Pricing Inputs'!$C$22:$AI$22,0)),0)</f>
        <v>0</v>
      </c>
      <c r="M510" s="328">
        <f>IF(AND('3. GRI Pricing'!$F510&gt;='2. GRI Pricing Inputs'!$D$33,'3. GRI Pricing'!$F510&lt;='2. GRI Pricing Inputs'!$E$33),'2. GRI Pricing Inputs'!$D$32,IF(AND('3. GRI Pricing'!$F510&gt;='2. GRI Pricing Inputs'!$F$33,'3. GRI Pricing'!$F510&lt;='2. GRI Pricing Inputs'!$G$33),'2. GRI Pricing Inputs'!$F$32,IF(AND('3. GRI Pricing'!$F510&gt;='2. GRI Pricing Inputs'!$H$33,'3. GRI Pricing'!$F510&lt;='2. GRI Pricing Inputs'!$I$33),'2. GRI Pricing Inputs'!$H$32,IF(AND('3. GRI Pricing'!$F510&gt;='2. GRI Pricing Inputs'!$J$33,'3. GRI Pricing'!$F510&lt;='2. GRI Pricing Inputs'!$K$33),'2. GRI Pricing Inputs'!$J$32,IF(AND('3. GRI Pricing'!$F510&gt;='2. GRI Pricing Inputs'!$L$33,'3. GRI Pricing'!$F510&lt;='2. GRI Pricing Inputs'!$M$33),'2. GRI Pricing Inputs'!$L$32,IF(AND('3. GRI Pricing'!$F510&gt;='2. GRI Pricing Inputs'!$N$33,'3. GRI Pricing'!$F510&lt;='2. GRI Pricing Inputs'!$O$33),'2. GRI Pricing Inputs'!$N$32,IF(AND('3. GRI Pricing'!$F510&gt;='2. GRI Pricing Inputs'!$P$33,'3. GRI Pricing'!$F510&lt;='2. GRI Pricing Inputs'!$Q$33),'2. GRI Pricing Inputs'!$P$32,IF(AND('3. GRI Pricing'!$F510&gt;='2. GRI Pricing Inputs'!$R$33,'3. GRI Pricing'!$F510&lt;='2. GRI Pricing Inputs'!$S$33),'2. GRI Pricing Inputs'!$R$32,IF(AND('3. GRI Pricing'!$F510&gt;='2. GRI Pricing Inputs'!$T$33,'3. GRI Pricing'!$F510&lt;='2. GRI Pricing Inputs'!$U$33),'2. GRI Pricing Inputs'!$T$32,IF(AND('3. GRI Pricing'!$F510&gt;='2. GRI Pricing Inputs'!$V$33,'3. GRI Pricing'!$F510&lt;='2. GRI Pricing Inputs'!$W$33),'2. GRI Pricing Inputs'!$V$32,IF(AND('3. GRI Pricing'!$F510&gt;='2. GRI Pricing Inputs'!$X$33,'3. GRI Pricing'!$F510&lt;='2. GRI Pricing Inputs'!$Y$33),'2. GRI Pricing Inputs'!$X$32,IF(AND('3. GRI Pricing'!$F510&gt;='2. GRI Pricing Inputs'!$Z$33,'3. GRI Pricing'!$F510&lt;='2. GRI Pricing Inputs'!$AA$33),'2. GRI Pricing Inputs'!$Z$32,IF(AND('3. GRI Pricing'!$F510&gt;='2. GRI Pricing Inputs'!$AB$33,'3. GRI Pricing'!$F510&lt;='2. GRI Pricing Inputs'!$AC$33),'2. GRI Pricing Inputs'!$AB$32,IF(AND('3. GRI Pricing'!$F510&gt;='2. GRI Pricing Inputs'!$AD$33,'3. GRI Pricing'!$F510&lt;='2. GRI Pricing Inputs'!$AE$33),'2. GRI Pricing Inputs'!$AD$32,IF(AND('3. GRI Pricing'!$F510&gt;='2. GRI Pricing Inputs'!$AF$33,'3. GRI Pricing'!$F510&lt;='2. GRI Pricing Inputs'!$AG$33),'2. GRI Pricing Inputs'!$AF$32,IF(AND('3. GRI Pricing'!$F510&gt;='2. GRI Pricing Inputs'!$AH$33,'3. GRI Pricing'!$F510&lt;='2. GRI Pricing Inputs'!$AI$33),'2. GRI Pricing Inputs'!$AH$32,0))))))))))))))))</f>
        <v>0</v>
      </c>
      <c r="N510" s="273" cm="1">
        <f t="array" ref="N510">IFERROR(INDEX('2. GRI Pricing Inputs'!$C$32:$AI$39,MATCH('3. GRI Pricing'!D510,'2. GRI Pricing Inputs'!$C$32:$C$39,0),(MATCH('3. GRI Pricing'!M510,'2. GRI Pricing Inputs'!$D$32:$AI$32,0)+1)),0)</f>
        <v>0</v>
      </c>
      <c r="O510" s="273">
        <f>IFERROR(INDEX('2. GRI Pricing Inputs'!$C$45:$AI$46,MATCH($O$16,'2. GRI Pricing Inputs'!$C$45:$C$46,0),MATCH(G510,'2. GRI Pricing Inputs'!$C$45:$AI$45,0)),0)</f>
        <v>0</v>
      </c>
      <c r="P510" s="273">
        <f>IFERROR(INDEX('2. GRI Pricing Inputs'!$C$53:$AI$54,MATCH('3. GRI Pricing'!$P$16,'2. GRI Pricing Inputs'!$C$53:$C$54,0),MATCH('3. GRI Pricing'!H510,'2. GRI Pricing Inputs'!$C$53:$AI$53,0)),0)</f>
        <v>0</v>
      </c>
      <c r="Q510" s="273">
        <f>IFERROR(INDEX('2. GRI Pricing Inputs'!$C$60:$AI$61,MATCH('3. GRI Pricing'!$Q$16,'2. GRI Pricing Inputs'!$C$60:$C$61,0),MATCH('1. Accomodation'!T514,'2. GRI Pricing Inputs'!$C$60:$AI$60,0)),0)</f>
        <v>0</v>
      </c>
      <c r="R510" s="273">
        <f>IFERROR(INDEX('2. GRI Pricing Inputs'!$C$67:$AI$68,MATCH('3. GRI Pricing'!$R$16,'2. GRI Pricing Inputs'!$C$67:$C$68,0),MATCH('1. Accomodation'!U514,'2. GRI Pricing Inputs'!$C$67:$AI$67,0)),0)</f>
        <v>0</v>
      </c>
      <c r="S510" s="273">
        <f>IF(D510=0,0,'2. GRI Pricing Inputs'!$AI$75)</f>
        <v>0</v>
      </c>
      <c r="T510" s="273">
        <f>IFERROR(INDEX('2. GRI Pricing Inputs'!$C$82:$AI$83,MATCH('3. GRI Pricing'!$T$16,'2. GRI Pricing Inputs'!$C$82:$C$83,0),MATCH('1. Accomodation'!V514,'2. GRI Pricing Inputs'!$C$82:$AI$82,0)),0)</f>
        <v>0</v>
      </c>
      <c r="U510" s="273">
        <f>IFERROR(INDEX('2. GRI Pricing Inputs'!$C$89:$AI$90,MATCH('3. GRI Pricing'!$U$16,'2. GRI Pricing Inputs'!$C$89:$C$90,0),MATCH('1. Accomodation'!W514,'2. GRI Pricing Inputs'!$C$89:$AI$89,0)),0)</f>
        <v>0</v>
      </c>
      <c r="V510" s="273">
        <f>IFERROR(INDEX('2. GRI Pricing Inputs'!$C$97:$AI$98,MATCH('3. GRI Pricing'!$V$16,'2. GRI Pricing Inputs'!$C$97:$C$98,0),MATCH('1. Accomodation'!X514,'2. GRI Pricing Inputs'!$C$97:$AI$97,0)),0)</f>
        <v>0</v>
      </c>
      <c r="W510" s="273">
        <f>IFERROR(INDEX('2. GRI Pricing Inputs'!$C$104:$AI$105,MATCH('3. GRI Pricing'!$W$16,'2. GRI Pricing Inputs'!$C$104:$C$105,0),MATCH('1. Accomodation'!Y514,'2. GRI Pricing Inputs'!$C$104:$AI$104,0)),0)</f>
        <v>0</v>
      </c>
      <c r="X510" s="274"/>
      <c r="Y510" s="275">
        <f t="shared" si="14"/>
        <v>0</v>
      </c>
      <c r="Z510" s="276"/>
      <c r="AA510" s="276"/>
      <c r="AB510" s="276"/>
      <c r="AC510" s="272">
        <f>Y510*(1+'2. GRI Pricing Inputs'!$D$114)^(($AC$16-$AB$15)/365)</f>
        <v>0</v>
      </c>
      <c r="AD510" s="273">
        <f>AC510*(1+'2. GRI Pricing Inputs'!$D$114)^((AD$16-AC$16)/365)</f>
        <v>0</v>
      </c>
      <c r="AE510" s="273">
        <f>AD510*(1+'2. GRI Pricing Inputs'!$D$114)^((AE$16-AD$16)/365)</f>
        <v>0</v>
      </c>
      <c r="AF510" s="273">
        <f>AE510*(1+'2. GRI Pricing Inputs'!$D$114)^((AF$16-AE$16)/365)</f>
        <v>0</v>
      </c>
      <c r="AG510" s="273">
        <f>AF510*(1+'2. GRI Pricing Inputs'!$D$114)^((AG$16-AF$16)/365)</f>
        <v>0</v>
      </c>
      <c r="AH510" s="273">
        <f>AG510*(1+'2. GRI Pricing Inputs'!$D$114)^((AH$16-AG$16)/365)</f>
        <v>0</v>
      </c>
      <c r="AI510" s="273">
        <f>AH510*(1+'2. GRI Pricing Inputs'!$D$114)^((AI$16-AH$16)/365)</f>
        <v>0</v>
      </c>
      <c r="AJ510" s="273">
        <f>AI510*(1+'2. GRI Pricing Inputs'!$D$114)^((AJ$16-AI$16)/365)</f>
        <v>0</v>
      </c>
      <c r="AK510" s="273">
        <f>AJ510*(1+'2. GRI Pricing Inputs'!$D$114)^((AK$16-AJ$16)/365)</f>
        <v>0</v>
      </c>
      <c r="AL510" s="273">
        <f>AK510*(1+'2. GRI Pricing Inputs'!$D$114)^((AL$16-AK$16)/365)</f>
        <v>0</v>
      </c>
      <c r="AM510" s="273">
        <f>AL510*(1+'2. GRI Pricing Inputs'!$D$114)^((AM$16-AL$16)/365)</f>
        <v>0</v>
      </c>
      <c r="AN510" s="273">
        <f>AM510*(1+'2. GRI Pricing Inputs'!$D$114)^((AN$16-AM$16)/365)</f>
        <v>0</v>
      </c>
      <c r="AO510" s="273">
        <f>AN510*(1+'2. GRI Pricing Inputs'!$D$114)^((AO$16-AN$16)/365)</f>
        <v>0</v>
      </c>
    </row>
    <row r="511" spans="3:41" ht="12" x14ac:dyDescent="0.2">
      <c r="C511" s="76">
        <f>'1. Accomodation'!N515</f>
        <v>0</v>
      </c>
      <c r="D511" s="69">
        <f>'1. Accomodation'!P515</f>
        <v>0</v>
      </c>
      <c r="E511" s="69">
        <f>'1. Accomodation'!Q515</f>
        <v>0</v>
      </c>
      <c r="F511" s="77">
        <f>'1. Accomodation'!O515</f>
        <v>0</v>
      </c>
      <c r="G511" s="69">
        <f>'1. Accomodation'!R515</f>
        <v>0</v>
      </c>
      <c r="H511" s="69">
        <f>'1. Accomodation'!S515</f>
        <v>0</v>
      </c>
      <c r="I511" s="62"/>
      <c r="K511" s="272">
        <f>IFERROR(INDEX('2. GRI Pricing Inputs'!$C$15:$AI$16,MATCH($K$16,'2. GRI Pricing Inputs'!$C$15:$C$16,0),MATCH(D511,'2. GRI Pricing Inputs'!$C$15:$AI$15,0)),0)</f>
        <v>0</v>
      </c>
      <c r="L511" s="273">
        <f>IFERROR(INDEX('2. GRI Pricing Inputs'!$C$22:$AI$23,MATCH($L$16,'2. GRI Pricing Inputs'!$C$22:$C$23,0),MATCH(E511,'2. GRI Pricing Inputs'!$C$22:$AI$22,0)),0)</f>
        <v>0</v>
      </c>
      <c r="M511" s="328">
        <f>IF(AND('3. GRI Pricing'!$F511&gt;='2. GRI Pricing Inputs'!$D$33,'3. GRI Pricing'!$F511&lt;='2. GRI Pricing Inputs'!$E$33),'2. GRI Pricing Inputs'!$D$32,IF(AND('3. GRI Pricing'!$F511&gt;='2. GRI Pricing Inputs'!$F$33,'3. GRI Pricing'!$F511&lt;='2. GRI Pricing Inputs'!$G$33),'2. GRI Pricing Inputs'!$F$32,IF(AND('3. GRI Pricing'!$F511&gt;='2. GRI Pricing Inputs'!$H$33,'3. GRI Pricing'!$F511&lt;='2. GRI Pricing Inputs'!$I$33),'2. GRI Pricing Inputs'!$H$32,IF(AND('3. GRI Pricing'!$F511&gt;='2. GRI Pricing Inputs'!$J$33,'3. GRI Pricing'!$F511&lt;='2. GRI Pricing Inputs'!$K$33),'2. GRI Pricing Inputs'!$J$32,IF(AND('3. GRI Pricing'!$F511&gt;='2. GRI Pricing Inputs'!$L$33,'3. GRI Pricing'!$F511&lt;='2. GRI Pricing Inputs'!$M$33),'2. GRI Pricing Inputs'!$L$32,IF(AND('3. GRI Pricing'!$F511&gt;='2. GRI Pricing Inputs'!$N$33,'3. GRI Pricing'!$F511&lt;='2. GRI Pricing Inputs'!$O$33),'2. GRI Pricing Inputs'!$N$32,IF(AND('3. GRI Pricing'!$F511&gt;='2. GRI Pricing Inputs'!$P$33,'3. GRI Pricing'!$F511&lt;='2. GRI Pricing Inputs'!$Q$33),'2. GRI Pricing Inputs'!$P$32,IF(AND('3. GRI Pricing'!$F511&gt;='2. GRI Pricing Inputs'!$R$33,'3. GRI Pricing'!$F511&lt;='2. GRI Pricing Inputs'!$S$33),'2. GRI Pricing Inputs'!$R$32,IF(AND('3. GRI Pricing'!$F511&gt;='2. GRI Pricing Inputs'!$T$33,'3. GRI Pricing'!$F511&lt;='2. GRI Pricing Inputs'!$U$33),'2. GRI Pricing Inputs'!$T$32,IF(AND('3. GRI Pricing'!$F511&gt;='2. GRI Pricing Inputs'!$V$33,'3. GRI Pricing'!$F511&lt;='2. GRI Pricing Inputs'!$W$33),'2. GRI Pricing Inputs'!$V$32,IF(AND('3. GRI Pricing'!$F511&gt;='2. GRI Pricing Inputs'!$X$33,'3. GRI Pricing'!$F511&lt;='2. GRI Pricing Inputs'!$Y$33),'2. GRI Pricing Inputs'!$X$32,IF(AND('3. GRI Pricing'!$F511&gt;='2. GRI Pricing Inputs'!$Z$33,'3. GRI Pricing'!$F511&lt;='2. GRI Pricing Inputs'!$AA$33),'2. GRI Pricing Inputs'!$Z$32,IF(AND('3. GRI Pricing'!$F511&gt;='2. GRI Pricing Inputs'!$AB$33,'3. GRI Pricing'!$F511&lt;='2. GRI Pricing Inputs'!$AC$33),'2. GRI Pricing Inputs'!$AB$32,IF(AND('3. GRI Pricing'!$F511&gt;='2. GRI Pricing Inputs'!$AD$33,'3. GRI Pricing'!$F511&lt;='2. GRI Pricing Inputs'!$AE$33),'2. GRI Pricing Inputs'!$AD$32,IF(AND('3. GRI Pricing'!$F511&gt;='2. GRI Pricing Inputs'!$AF$33,'3. GRI Pricing'!$F511&lt;='2. GRI Pricing Inputs'!$AG$33),'2. GRI Pricing Inputs'!$AF$32,IF(AND('3. GRI Pricing'!$F511&gt;='2. GRI Pricing Inputs'!$AH$33,'3. GRI Pricing'!$F511&lt;='2. GRI Pricing Inputs'!$AI$33),'2. GRI Pricing Inputs'!$AH$32,0))))))))))))))))</f>
        <v>0</v>
      </c>
      <c r="N511" s="273" cm="1">
        <f t="array" ref="N511">IFERROR(INDEX('2. GRI Pricing Inputs'!$C$32:$AI$39,MATCH('3. GRI Pricing'!D511,'2. GRI Pricing Inputs'!$C$32:$C$39,0),(MATCH('3. GRI Pricing'!M511,'2. GRI Pricing Inputs'!$D$32:$AI$32,0)+1)),0)</f>
        <v>0</v>
      </c>
      <c r="O511" s="273">
        <f>IFERROR(INDEX('2. GRI Pricing Inputs'!$C$45:$AI$46,MATCH($O$16,'2. GRI Pricing Inputs'!$C$45:$C$46,0),MATCH(G511,'2. GRI Pricing Inputs'!$C$45:$AI$45,0)),0)</f>
        <v>0</v>
      </c>
      <c r="P511" s="273">
        <f>IFERROR(INDEX('2. GRI Pricing Inputs'!$C$53:$AI$54,MATCH('3. GRI Pricing'!$P$16,'2. GRI Pricing Inputs'!$C$53:$C$54,0),MATCH('3. GRI Pricing'!H511,'2. GRI Pricing Inputs'!$C$53:$AI$53,0)),0)</f>
        <v>0</v>
      </c>
      <c r="Q511" s="273">
        <f>IFERROR(INDEX('2. GRI Pricing Inputs'!$C$60:$AI$61,MATCH('3. GRI Pricing'!$Q$16,'2. GRI Pricing Inputs'!$C$60:$C$61,0),MATCH('1. Accomodation'!T515,'2. GRI Pricing Inputs'!$C$60:$AI$60,0)),0)</f>
        <v>0</v>
      </c>
      <c r="R511" s="273">
        <f>IFERROR(INDEX('2. GRI Pricing Inputs'!$C$67:$AI$68,MATCH('3. GRI Pricing'!$R$16,'2. GRI Pricing Inputs'!$C$67:$C$68,0),MATCH('1. Accomodation'!U515,'2. GRI Pricing Inputs'!$C$67:$AI$67,0)),0)</f>
        <v>0</v>
      </c>
      <c r="S511" s="273">
        <f>IF(D511=0,0,'2. GRI Pricing Inputs'!$AI$75)</f>
        <v>0</v>
      </c>
      <c r="T511" s="273">
        <f>IFERROR(INDEX('2. GRI Pricing Inputs'!$C$82:$AI$83,MATCH('3. GRI Pricing'!$T$16,'2. GRI Pricing Inputs'!$C$82:$C$83,0),MATCH('1. Accomodation'!V515,'2. GRI Pricing Inputs'!$C$82:$AI$82,0)),0)</f>
        <v>0</v>
      </c>
      <c r="U511" s="273">
        <f>IFERROR(INDEX('2. GRI Pricing Inputs'!$C$89:$AI$90,MATCH('3. GRI Pricing'!$U$16,'2. GRI Pricing Inputs'!$C$89:$C$90,0),MATCH('1. Accomodation'!W515,'2. GRI Pricing Inputs'!$C$89:$AI$89,0)),0)</f>
        <v>0</v>
      </c>
      <c r="V511" s="273">
        <f>IFERROR(INDEX('2. GRI Pricing Inputs'!$C$97:$AI$98,MATCH('3. GRI Pricing'!$V$16,'2. GRI Pricing Inputs'!$C$97:$C$98,0),MATCH('1. Accomodation'!X515,'2. GRI Pricing Inputs'!$C$97:$AI$97,0)),0)</f>
        <v>0</v>
      </c>
      <c r="W511" s="273">
        <f>IFERROR(INDEX('2. GRI Pricing Inputs'!$C$104:$AI$105,MATCH('3. GRI Pricing'!$W$16,'2. GRI Pricing Inputs'!$C$104:$C$105,0),MATCH('1. Accomodation'!Y515,'2. GRI Pricing Inputs'!$C$104:$AI$104,0)),0)</f>
        <v>0</v>
      </c>
      <c r="X511" s="274"/>
      <c r="Y511" s="275">
        <f t="shared" si="14"/>
        <v>0</v>
      </c>
      <c r="Z511" s="276"/>
      <c r="AA511" s="276"/>
      <c r="AB511" s="276"/>
      <c r="AC511" s="272">
        <f>Y511*(1+'2. GRI Pricing Inputs'!$D$114)^(($AC$16-$AB$15)/365)</f>
        <v>0</v>
      </c>
      <c r="AD511" s="273">
        <f>AC511*(1+'2. GRI Pricing Inputs'!$D$114)^((AD$16-AC$16)/365)</f>
        <v>0</v>
      </c>
      <c r="AE511" s="273">
        <f>AD511*(1+'2. GRI Pricing Inputs'!$D$114)^((AE$16-AD$16)/365)</f>
        <v>0</v>
      </c>
      <c r="AF511" s="273">
        <f>AE511*(1+'2. GRI Pricing Inputs'!$D$114)^((AF$16-AE$16)/365)</f>
        <v>0</v>
      </c>
      <c r="AG511" s="273">
        <f>AF511*(1+'2. GRI Pricing Inputs'!$D$114)^((AG$16-AF$16)/365)</f>
        <v>0</v>
      </c>
      <c r="AH511" s="273">
        <f>AG511*(1+'2. GRI Pricing Inputs'!$D$114)^((AH$16-AG$16)/365)</f>
        <v>0</v>
      </c>
      <c r="AI511" s="273">
        <f>AH511*(1+'2. GRI Pricing Inputs'!$D$114)^((AI$16-AH$16)/365)</f>
        <v>0</v>
      </c>
      <c r="AJ511" s="273">
        <f>AI511*(1+'2. GRI Pricing Inputs'!$D$114)^((AJ$16-AI$16)/365)</f>
        <v>0</v>
      </c>
      <c r="AK511" s="273">
        <f>AJ511*(1+'2. GRI Pricing Inputs'!$D$114)^((AK$16-AJ$16)/365)</f>
        <v>0</v>
      </c>
      <c r="AL511" s="273">
        <f>AK511*(1+'2. GRI Pricing Inputs'!$D$114)^((AL$16-AK$16)/365)</f>
        <v>0</v>
      </c>
      <c r="AM511" s="273">
        <f>AL511*(1+'2. GRI Pricing Inputs'!$D$114)^((AM$16-AL$16)/365)</f>
        <v>0</v>
      </c>
      <c r="AN511" s="273">
        <f>AM511*(1+'2. GRI Pricing Inputs'!$D$114)^((AN$16-AM$16)/365)</f>
        <v>0</v>
      </c>
      <c r="AO511" s="273">
        <f>AN511*(1+'2. GRI Pricing Inputs'!$D$114)^((AO$16-AN$16)/365)</f>
        <v>0</v>
      </c>
    </row>
    <row r="512" spans="3:41" ht="12" x14ac:dyDescent="0.2">
      <c r="C512" s="76">
        <f>'1. Accomodation'!N516</f>
        <v>0</v>
      </c>
      <c r="D512" s="69">
        <f>'1. Accomodation'!P516</f>
        <v>0</v>
      </c>
      <c r="E512" s="69">
        <f>'1. Accomodation'!Q516</f>
        <v>0</v>
      </c>
      <c r="F512" s="77">
        <f>'1. Accomodation'!O516</f>
        <v>0</v>
      </c>
      <c r="G512" s="69">
        <f>'1. Accomodation'!R516</f>
        <v>0</v>
      </c>
      <c r="H512" s="69">
        <f>'1. Accomodation'!S516</f>
        <v>0</v>
      </c>
      <c r="I512" s="62"/>
      <c r="K512" s="272">
        <f>IFERROR(INDEX('2. GRI Pricing Inputs'!$C$15:$AI$16,MATCH($K$16,'2. GRI Pricing Inputs'!$C$15:$C$16,0),MATCH(D512,'2. GRI Pricing Inputs'!$C$15:$AI$15,0)),0)</f>
        <v>0</v>
      </c>
      <c r="L512" s="273">
        <f>IFERROR(INDEX('2. GRI Pricing Inputs'!$C$22:$AI$23,MATCH($L$16,'2. GRI Pricing Inputs'!$C$22:$C$23,0),MATCH(E512,'2. GRI Pricing Inputs'!$C$22:$AI$22,0)),0)</f>
        <v>0</v>
      </c>
      <c r="M512" s="328">
        <f>IF(AND('3. GRI Pricing'!$F512&gt;='2. GRI Pricing Inputs'!$D$33,'3. GRI Pricing'!$F512&lt;='2. GRI Pricing Inputs'!$E$33),'2. GRI Pricing Inputs'!$D$32,IF(AND('3. GRI Pricing'!$F512&gt;='2. GRI Pricing Inputs'!$F$33,'3. GRI Pricing'!$F512&lt;='2. GRI Pricing Inputs'!$G$33),'2. GRI Pricing Inputs'!$F$32,IF(AND('3. GRI Pricing'!$F512&gt;='2. GRI Pricing Inputs'!$H$33,'3. GRI Pricing'!$F512&lt;='2. GRI Pricing Inputs'!$I$33),'2. GRI Pricing Inputs'!$H$32,IF(AND('3. GRI Pricing'!$F512&gt;='2. GRI Pricing Inputs'!$J$33,'3. GRI Pricing'!$F512&lt;='2. GRI Pricing Inputs'!$K$33),'2. GRI Pricing Inputs'!$J$32,IF(AND('3. GRI Pricing'!$F512&gt;='2. GRI Pricing Inputs'!$L$33,'3. GRI Pricing'!$F512&lt;='2. GRI Pricing Inputs'!$M$33),'2. GRI Pricing Inputs'!$L$32,IF(AND('3. GRI Pricing'!$F512&gt;='2. GRI Pricing Inputs'!$N$33,'3. GRI Pricing'!$F512&lt;='2. GRI Pricing Inputs'!$O$33),'2. GRI Pricing Inputs'!$N$32,IF(AND('3. GRI Pricing'!$F512&gt;='2. GRI Pricing Inputs'!$P$33,'3. GRI Pricing'!$F512&lt;='2. GRI Pricing Inputs'!$Q$33),'2. GRI Pricing Inputs'!$P$32,IF(AND('3. GRI Pricing'!$F512&gt;='2. GRI Pricing Inputs'!$R$33,'3. GRI Pricing'!$F512&lt;='2. GRI Pricing Inputs'!$S$33),'2. GRI Pricing Inputs'!$R$32,IF(AND('3. GRI Pricing'!$F512&gt;='2. GRI Pricing Inputs'!$T$33,'3. GRI Pricing'!$F512&lt;='2. GRI Pricing Inputs'!$U$33),'2. GRI Pricing Inputs'!$T$32,IF(AND('3. GRI Pricing'!$F512&gt;='2. GRI Pricing Inputs'!$V$33,'3. GRI Pricing'!$F512&lt;='2. GRI Pricing Inputs'!$W$33),'2. GRI Pricing Inputs'!$V$32,IF(AND('3. GRI Pricing'!$F512&gt;='2. GRI Pricing Inputs'!$X$33,'3. GRI Pricing'!$F512&lt;='2. GRI Pricing Inputs'!$Y$33),'2. GRI Pricing Inputs'!$X$32,IF(AND('3. GRI Pricing'!$F512&gt;='2. GRI Pricing Inputs'!$Z$33,'3. GRI Pricing'!$F512&lt;='2. GRI Pricing Inputs'!$AA$33),'2. GRI Pricing Inputs'!$Z$32,IF(AND('3. GRI Pricing'!$F512&gt;='2. GRI Pricing Inputs'!$AB$33,'3. GRI Pricing'!$F512&lt;='2. GRI Pricing Inputs'!$AC$33),'2. GRI Pricing Inputs'!$AB$32,IF(AND('3. GRI Pricing'!$F512&gt;='2. GRI Pricing Inputs'!$AD$33,'3. GRI Pricing'!$F512&lt;='2. GRI Pricing Inputs'!$AE$33),'2. GRI Pricing Inputs'!$AD$32,IF(AND('3. GRI Pricing'!$F512&gt;='2. GRI Pricing Inputs'!$AF$33,'3. GRI Pricing'!$F512&lt;='2. GRI Pricing Inputs'!$AG$33),'2. GRI Pricing Inputs'!$AF$32,IF(AND('3. GRI Pricing'!$F512&gt;='2. GRI Pricing Inputs'!$AH$33,'3. GRI Pricing'!$F512&lt;='2. GRI Pricing Inputs'!$AI$33),'2. GRI Pricing Inputs'!$AH$32,0))))))))))))))))</f>
        <v>0</v>
      </c>
      <c r="N512" s="273" cm="1">
        <f t="array" ref="N512">IFERROR(INDEX('2. GRI Pricing Inputs'!$C$32:$AI$39,MATCH('3. GRI Pricing'!D512,'2. GRI Pricing Inputs'!$C$32:$C$39,0),(MATCH('3. GRI Pricing'!M512,'2. GRI Pricing Inputs'!$D$32:$AI$32,0)+1)),0)</f>
        <v>0</v>
      </c>
      <c r="O512" s="273">
        <f>IFERROR(INDEX('2. GRI Pricing Inputs'!$C$45:$AI$46,MATCH($O$16,'2. GRI Pricing Inputs'!$C$45:$C$46,0),MATCH(G512,'2. GRI Pricing Inputs'!$C$45:$AI$45,0)),0)</f>
        <v>0</v>
      </c>
      <c r="P512" s="273">
        <f>IFERROR(INDEX('2. GRI Pricing Inputs'!$C$53:$AI$54,MATCH('3. GRI Pricing'!$P$16,'2. GRI Pricing Inputs'!$C$53:$C$54,0),MATCH('3. GRI Pricing'!H512,'2. GRI Pricing Inputs'!$C$53:$AI$53,0)),0)</f>
        <v>0</v>
      </c>
      <c r="Q512" s="273">
        <f>IFERROR(INDEX('2. GRI Pricing Inputs'!$C$60:$AI$61,MATCH('3. GRI Pricing'!$Q$16,'2. GRI Pricing Inputs'!$C$60:$C$61,0),MATCH('1. Accomodation'!T516,'2. GRI Pricing Inputs'!$C$60:$AI$60,0)),0)</f>
        <v>0</v>
      </c>
      <c r="R512" s="273">
        <f>IFERROR(INDEX('2. GRI Pricing Inputs'!$C$67:$AI$68,MATCH('3. GRI Pricing'!$R$16,'2. GRI Pricing Inputs'!$C$67:$C$68,0),MATCH('1. Accomodation'!U516,'2. GRI Pricing Inputs'!$C$67:$AI$67,0)),0)</f>
        <v>0</v>
      </c>
      <c r="S512" s="273">
        <f>IF(D512=0,0,'2. GRI Pricing Inputs'!$AI$75)</f>
        <v>0</v>
      </c>
      <c r="T512" s="273">
        <f>IFERROR(INDEX('2. GRI Pricing Inputs'!$C$82:$AI$83,MATCH('3. GRI Pricing'!$T$16,'2. GRI Pricing Inputs'!$C$82:$C$83,0),MATCH('1. Accomodation'!V516,'2. GRI Pricing Inputs'!$C$82:$AI$82,0)),0)</f>
        <v>0</v>
      </c>
      <c r="U512" s="273">
        <f>IFERROR(INDEX('2. GRI Pricing Inputs'!$C$89:$AI$90,MATCH('3. GRI Pricing'!$U$16,'2. GRI Pricing Inputs'!$C$89:$C$90,0),MATCH('1. Accomodation'!W516,'2. GRI Pricing Inputs'!$C$89:$AI$89,0)),0)</f>
        <v>0</v>
      </c>
      <c r="V512" s="273">
        <f>IFERROR(INDEX('2. GRI Pricing Inputs'!$C$97:$AI$98,MATCH('3. GRI Pricing'!$V$16,'2. GRI Pricing Inputs'!$C$97:$C$98,0),MATCH('1. Accomodation'!X516,'2. GRI Pricing Inputs'!$C$97:$AI$97,0)),0)</f>
        <v>0</v>
      </c>
      <c r="W512" s="273">
        <f>IFERROR(INDEX('2. GRI Pricing Inputs'!$C$104:$AI$105,MATCH('3. GRI Pricing'!$W$16,'2. GRI Pricing Inputs'!$C$104:$C$105,0),MATCH('1. Accomodation'!Y516,'2. GRI Pricing Inputs'!$C$104:$AI$104,0)),0)</f>
        <v>0</v>
      </c>
      <c r="X512" s="274"/>
      <c r="Y512" s="275">
        <f t="shared" si="14"/>
        <v>0</v>
      </c>
      <c r="Z512" s="276"/>
      <c r="AA512" s="276"/>
      <c r="AB512" s="276"/>
      <c r="AC512" s="272">
        <f>Y512*(1+'2. GRI Pricing Inputs'!$D$114)^(($AC$16-$AB$15)/365)</f>
        <v>0</v>
      </c>
      <c r="AD512" s="273">
        <f>AC512*(1+'2. GRI Pricing Inputs'!$D$114)^((AD$16-AC$16)/365)</f>
        <v>0</v>
      </c>
      <c r="AE512" s="273">
        <f>AD512*(1+'2. GRI Pricing Inputs'!$D$114)^((AE$16-AD$16)/365)</f>
        <v>0</v>
      </c>
      <c r="AF512" s="273">
        <f>AE512*(1+'2. GRI Pricing Inputs'!$D$114)^((AF$16-AE$16)/365)</f>
        <v>0</v>
      </c>
      <c r="AG512" s="273">
        <f>AF512*(1+'2. GRI Pricing Inputs'!$D$114)^((AG$16-AF$16)/365)</f>
        <v>0</v>
      </c>
      <c r="AH512" s="273">
        <f>AG512*(1+'2. GRI Pricing Inputs'!$D$114)^((AH$16-AG$16)/365)</f>
        <v>0</v>
      </c>
      <c r="AI512" s="273">
        <f>AH512*(1+'2. GRI Pricing Inputs'!$D$114)^((AI$16-AH$16)/365)</f>
        <v>0</v>
      </c>
      <c r="AJ512" s="273">
        <f>AI512*(1+'2. GRI Pricing Inputs'!$D$114)^((AJ$16-AI$16)/365)</f>
        <v>0</v>
      </c>
      <c r="AK512" s="273">
        <f>AJ512*(1+'2. GRI Pricing Inputs'!$D$114)^((AK$16-AJ$16)/365)</f>
        <v>0</v>
      </c>
      <c r="AL512" s="273">
        <f>AK512*(1+'2. GRI Pricing Inputs'!$D$114)^((AL$16-AK$16)/365)</f>
        <v>0</v>
      </c>
      <c r="AM512" s="273">
        <f>AL512*(1+'2. GRI Pricing Inputs'!$D$114)^((AM$16-AL$16)/365)</f>
        <v>0</v>
      </c>
      <c r="AN512" s="273">
        <f>AM512*(1+'2. GRI Pricing Inputs'!$D$114)^((AN$16-AM$16)/365)</f>
        <v>0</v>
      </c>
      <c r="AO512" s="273">
        <f>AN512*(1+'2. GRI Pricing Inputs'!$D$114)^((AO$16-AN$16)/365)</f>
        <v>0</v>
      </c>
    </row>
    <row r="513" spans="3:41" ht="12" x14ac:dyDescent="0.2">
      <c r="C513" s="76">
        <f>'1. Accomodation'!N517</f>
        <v>0</v>
      </c>
      <c r="D513" s="69">
        <f>'1. Accomodation'!P517</f>
        <v>0</v>
      </c>
      <c r="E513" s="69">
        <f>'1. Accomodation'!Q517</f>
        <v>0</v>
      </c>
      <c r="F513" s="77">
        <f>'1. Accomodation'!O517</f>
        <v>0</v>
      </c>
      <c r="G513" s="69">
        <f>'1. Accomodation'!R517</f>
        <v>0</v>
      </c>
      <c r="H513" s="69">
        <f>'1. Accomodation'!S517</f>
        <v>0</v>
      </c>
      <c r="I513" s="62"/>
      <c r="K513" s="272">
        <f>IFERROR(INDEX('2. GRI Pricing Inputs'!$C$15:$AI$16,MATCH($K$16,'2. GRI Pricing Inputs'!$C$15:$C$16,0),MATCH(D513,'2. GRI Pricing Inputs'!$C$15:$AI$15,0)),0)</f>
        <v>0</v>
      </c>
      <c r="L513" s="273">
        <f>IFERROR(INDEX('2. GRI Pricing Inputs'!$C$22:$AI$23,MATCH($L$16,'2. GRI Pricing Inputs'!$C$22:$C$23,0),MATCH(E513,'2. GRI Pricing Inputs'!$C$22:$AI$22,0)),0)</f>
        <v>0</v>
      </c>
      <c r="M513" s="328">
        <f>IF(AND('3. GRI Pricing'!$F513&gt;='2. GRI Pricing Inputs'!$D$33,'3. GRI Pricing'!$F513&lt;='2. GRI Pricing Inputs'!$E$33),'2. GRI Pricing Inputs'!$D$32,IF(AND('3. GRI Pricing'!$F513&gt;='2. GRI Pricing Inputs'!$F$33,'3. GRI Pricing'!$F513&lt;='2. GRI Pricing Inputs'!$G$33),'2. GRI Pricing Inputs'!$F$32,IF(AND('3. GRI Pricing'!$F513&gt;='2. GRI Pricing Inputs'!$H$33,'3. GRI Pricing'!$F513&lt;='2. GRI Pricing Inputs'!$I$33),'2. GRI Pricing Inputs'!$H$32,IF(AND('3. GRI Pricing'!$F513&gt;='2. GRI Pricing Inputs'!$J$33,'3. GRI Pricing'!$F513&lt;='2. GRI Pricing Inputs'!$K$33),'2. GRI Pricing Inputs'!$J$32,IF(AND('3. GRI Pricing'!$F513&gt;='2. GRI Pricing Inputs'!$L$33,'3. GRI Pricing'!$F513&lt;='2. GRI Pricing Inputs'!$M$33),'2. GRI Pricing Inputs'!$L$32,IF(AND('3. GRI Pricing'!$F513&gt;='2. GRI Pricing Inputs'!$N$33,'3. GRI Pricing'!$F513&lt;='2. GRI Pricing Inputs'!$O$33),'2. GRI Pricing Inputs'!$N$32,IF(AND('3. GRI Pricing'!$F513&gt;='2. GRI Pricing Inputs'!$P$33,'3. GRI Pricing'!$F513&lt;='2. GRI Pricing Inputs'!$Q$33),'2. GRI Pricing Inputs'!$P$32,IF(AND('3. GRI Pricing'!$F513&gt;='2. GRI Pricing Inputs'!$R$33,'3. GRI Pricing'!$F513&lt;='2. GRI Pricing Inputs'!$S$33),'2. GRI Pricing Inputs'!$R$32,IF(AND('3. GRI Pricing'!$F513&gt;='2. GRI Pricing Inputs'!$T$33,'3. GRI Pricing'!$F513&lt;='2. GRI Pricing Inputs'!$U$33),'2. GRI Pricing Inputs'!$T$32,IF(AND('3. GRI Pricing'!$F513&gt;='2. GRI Pricing Inputs'!$V$33,'3. GRI Pricing'!$F513&lt;='2. GRI Pricing Inputs'!$W$33),'2. GRI Pricing Inputs'!$V$32,IF(AND('3. GRI Pricing'!$F513&gt;='2. GRI Pricing Inputs'!$X$33,'3. GRI Pricing'!$F513&lt;='2. GRI Pricing Inputs'!$Y$33),'2. GRI Pricing Inputs'!$X$32,IF(AND('3. GRI Pricing'!$F513&gt;='2. GRI Pricing Inputs'!$Z$33,'3. GRI Pricing'!$F513&lt;='2. GRI Pricing Inputs'!$AA$33),'2. GRI Pricing Inputs'!$Z$32,IF(AND('3. GRI Pricing'!$F513&gt;='2. GRI Pricing Inputs'!$AB$33,'3. GRI Pricing'!$F513&lt;='2. GRI Pricing Inputs'!$AC$33),'2. GRI Pricing Inputs'!$AB$32,IF(AND('3. GRI Pricing'!$F513&gt;='2. GRI Pricing Inputs'!$AD$33,'3. GRI Pricing'!$F513&lt;='2. GRI Pricing Inputs'!$AE$33),'2. GRI Pricing Inputs'!$AD$32,IF(AND('3. GRI Pricing'!$F513&gt;='2. GRI Pricing Inputs'!$AF$33,'3. GRI Pricing'!$F513&lt;='2. GRI Pricing Inputs'!$AG$33),'2. GRI Pricing Inputs'!$AF$32,IF(AND('3. GRI Pricing'!$F513&gt;='2. GRI Pricing Inputs'!$AH$33,'3. GRI Pricing'!$F513&lt;='2. GRI Pricing Inputs'!$AI$33),'2. GRI Pricing Inputs'!$AH$32,0))))))))))))))))</f>
        <v>0</v>
      </c>
      <c r="N513" s="273" cm="1">
        <f t="array" ref="N513">IFERROR(INDEX('2. GRI Pricing Inputs'!$C$32:$AI$39,MATCH('3. GRI Pricing'!D513,'2. GRI Pricing Inputs'!$C$32:$C$39,0),(MATCH('3. GRI Pricing'!M513,'2. GRI Pricing Inputs'!$D$32:$AI$32,0)+1)),0)</f>
        <v>0</v>
      </c>
      <c r="O513" s="273">
        <f>IFERROR(INDEX('2. GRI Pricing Inputs'!$C$45:$AI$46,MATCH($O$16,'2. GRI Pricing Inputs'!$C$45:$C$46,0),MATCH(G513,'2. GRI Pricing Inputs'!$C$45:$AI$45,0)),0)</f>
        <v>0</v>
      </c>
      <c r="P513" s="273">
        <f>IFERROR(INDEX('2. GRI Pricing Inputs'!$C$53:$AI$54,MATCH('3. GRI Pricing'!$P$16,'2. GRI Pricing Inputs'!$C$53:$C$54,0),MATCH('3. GRI Pricing'!H513,'2. GRI Pricing Inputs'!$C$53:$AI$53,0)),0)</f>
        <v>0</v>
      </c>
      <c r="Q513" s="273">
        <f>IFERROR(INDEX('2. GRI Pricing Inputs'!$C$60:$AI$61,MATCH('3. GRI Pricing'!$Q$16,'2. GRI Pricing Inputs'!$C$60:$C$61,0),MATCH('1. Accomodation'!T517,'2. GRI Pricing Inputs'!$C$60:$AI$60,0)),0)</f>
        <v>0</v>
      </c>
      <c r="R513" s="273">
        <f>IFERROR(INDEX('2. GRI Pricing Inputs'!$C$67:$AI$68,MATCH('3. GRI Pricing'!$R$16,'2. GRI Pricing Inputs'!$C$67:$C$68,0),MATCH('1. Accomodation'!U517,'2. GRI Pricing Inputs'!$C$67:$AI$67,0)),0)</f>
        <v>0</v>
      </c>
      <c r="S513" s="273">
        <f>IF(D513=0,0,'2. GRI Pricing Inputs'!$AI$75)</f>
        <v>0</v>
      </c>
      <c r="T513" s="273">
        <f>IFERROR(INDEX('2. GRI Pricing Inputs'!$C$82:$AI$83,MATCH('3. GRI Pricing'!$T$16,'2. GRI Pricing Inputs'!$C$82:$C$83,0),MATCH('1. Accomodation'!V517,'2. GRI Pricing Inputs'!$C$82:$AI$82,0)),0)</f>
        <v>0</v>
      </c>
      <c r="U513" s="273">
        <f>IFERROR(INDEX('2. GRI Pricing Inputs'!$C$89:$AI$90,MATCH('3. GRI Pricing'!$U$16,'2. GRI Pricing Inputs'!$C$89:$C$90,0),MATCH('1. Accomodation'!W517,'2. GRI Pricing Inputs'!$C$89:$AI$89,0)),0)</f>
        <v>0</v>
      </c>
      <c r="V513" s="273">
        <f>IFERROR(INDEX('2. GRI Pricing Inputs'!$C$97:$AI$98,MATCH('3. GRI Pricing'!$V$16,'2. GRI Pricing Inputs'!$C$97:$C$98,0),MATCH('1. Accomodation'!X517,'2. GRI Pricing Inputs'!$C$97:$AI$97,0)),0)</f>
        <v>0</v>
      </c>
      <c r="W513" s="273">
        <f>IFERROR(INDEX('2. GRI Pricing Inputs'!$C$104:$AI$105,MATCH('3. GRI Pricing'!$W$16,'2. GRI Pricing Inputs'!$C$104:$C$105,0),MATCH('1. Accomodation'!Y517,'2. GRI Pricing Inputs'!$C$104:$AI$104,0)),0)</f>
        <v>0</v>
      </c>
      <c r="X513" s="274"/>
      <c r="Y513" s="275">
        <f t="shared" si="14"/>
        <v>0</v>
      </c>
      <c r="Z513" s="276"/>
      <c r="AA513" s="276"/>
      <c r="AB513" s="276"/>
      <c r="AC513" s="272">
        <f>Y513*(1+'2. GRI Pricing Inputs'!$D$114)^(($AC$16-$AB$15)/365)</f>
        <v>0</v>
      </c>
      <c r="AD513" s="273">
        <f>AC513*(1+'2. GRI Pricing Inputs'!$D$114)^((AD$16-AC$16)/365)</f>
        <v>0</v>
      </c>
      <c r="AE513" s="273">
        <f>AD513*(1+'2. GRI Pricing Inputs'!$D$114)^((AE$16-AD$16)/365)</f>
        <v>0</v>
      </c>
      <c r="AF513" s="273">
        <f>AE513*(1+'2. GRI Pricing Inputs'!$D$114)^((AF$16-AE$16)/365)</f>
        <v>0</v>
      </c>
      <c r="AG513" s="273">
        <f>AF513*(1+'2. GRI Pricing Inputs'!$D$114)^((AG$16-AF$16)/365)</f>
        <v>0</v>
      </c>
      <c r="AH513" s="273">
        <f>AG513*(1+'2. GRI Pricing Inputs'!$D$114)^((AH$16-AG$16)/365)</f>
        <v>0</v>
      </c>
      <c r="AI513" s="273">
        <f>AH513*(1+'2. GRI Pricing Inputs'!$D$114)^((AI$16-AH$16)/365)</f>
        <v>0</v>
      </c>
      <c r="AJ513" s="273">
        <f>AI513*(1+'2. GRI Pricing Inputs'!$D$114)^((AJ$16-AI$16)/365)</f>
        <v>0</v>
      </c>
      <c r="AK513" s="273">
        <f>AJ513*(1+'2. GRI Pricing Inputs'!$D$114)^((AK$16-AJ$16)/365)</f>
        <v>0</v>
      </c>
      <c r="AL513" s="273">
        <f>AK513*(1+'2. GRI Pricing Inputs'!$D$114)^((AL$16-AK$16)/365)</f>
        <v>0</v>
      </c>
      <c r="AM513" s="273">
        <f>AL513*(1+'2. GRI Pricing Inputs'!$D$114)^((AM$16-AL$16)/365)</f>
        <v>0</v>
      </c>
      <c r="AN513" s="273">
        <f>AM513*(1+'2. GRI Pricing Inputs'!$D$114)^((AN$16-AM$16)/365)</f>
        <v>0</v>
      </c>
      <c r="AO513" s="273">
        <f>AN513*(1+'2. GRI Pricing Inputs'!$D$114)^((AO$16-AN$16)/365)</f>
        <v>0</v>
      </c>
    </row>
    <row r="514" spans="3:41" ht="12" x14ac:dyDescent="0.2">
      <c r="C514" s="76">
        <f>'1. Accomodation'!N518</f>
        <v>0</v>
      </c>
      <c r="D514" s="69">
        <f>'1. Accomodation'!P518</f>
        <v>0</v>
      </c>
      <c r="E514" s="69">
        <f>'1. Accomodation'!Q518</f>
        <v>0</v>
      </c>
      <c r="F514" s="77">
        <f>'1. Accomodation'!O518</f>
        <v>0</v>
      </c>
      <c r="G514" s="69">
        <f>'1. Accomodation'!R518</f>
        <v>0</v>
      </c>
      <c r="H514" s="69">
        <f>'1. Accomodation'!S518</f>
        <v>0</v>
      </c>
      <c r="I514" s="62"/>
      <c r="K514" s="272">
        <f>IFERROR(INDEX('2. GRI Pricing Inputs'!$C$15:$AI$16,MATCH($K$16,'2. GRI Pricing Inputs'!$C$15:$C$16,0),MATCH(D514,'2. GRI Pricing Inputs'!$C$15:$AI$15,0)),0)</f>
        <v>0</v>
      </c>
      <c r="L514" s="273">
        <f>IFERROR(INDEX('2. GRI Pricing Inputs'!$C$22:$AI$23,MATCH($L$16,'2. GRI Pricing Inputs'!$C$22:$C$23,0),MATCH(E514,'2. GRI Pricing Inputs'!$C$22:$AI$22,0)),0)</f>
        <v>0</v>
      </c>
      <c r="M514" s="328">
        <f>IF(AND('3. GRI Pricing'!$F514&gt;='2. GRI Pricing Inputs'!$D$33,'3. GRI Pricing'!$F514&lt;='2. GRI Pricing Inputs'!$E$33),'2. GRI Pricing Inputs'!$D$32,IF(AND('3. GRI Pricing'!$F514&gt;='2. GRI Pricing Inputs'!$F$33,'3. GRI Pricing'!$F514&lt;='2. GRI Pricing Inputs'!$G$33),'2. GRI Pricing Inputs'!$F$32,IF(AND('3. GRI Pricing'!$F514&gt;='2. GRI Pricing Inputs'!$H$33,'3. GRI Pricing'!$F514&lt;='2. GRI Pricing Inputs'!$I$33),'2. GRI Pricing Inputs'!$H$32,IF(AND('3. GRI Pricing'!$F514&gt;='2. GRI Pricing Inputs'!$J$33,'3. GRI Pricing'!$F514&lt;='2. GRI Pricing Inputs'!$K$33),'2. GRI Pricing Inputs'!$J$32,IF(AND('3. GRI Pricing'!$F514&gt;='2. GRI Pricing Inputs'!$L$33,'3. GRI Pricing'!$F514&lt;='2. GRI Pricing Inputs'!$M$33),'2. GRI Pricing Inputs'!$L$32,IF(AND('3. GRI Pricing'!$F514&gt;='2. GRI Pricing Inputs'!$N$33,'3. GRI Pricing'!$F514&lt;='2. GRI Pricing Inputs'!$O$33),'2. GRI Pricing Inputs'!$N$32,IF(AND('3. GRI Pricing'!$F514&gt;='2. GRI Pricing Inputs'!$P$33,'3. GRI Pricing'!$F514&lt;='2. GRI Pricing Inputs'!$Q$33),'2. GRI Pricing Inputs'!$P$32,IF(AND('3. GRI Pricing'!$F514&gt;='2. GRI Pricing Inputs'!$R$33,'3. GRI Pricing'!$F514&lt;='2. GRI Pricing Inputs'!$S$33),'2. GRI Pricing Inputs'!$R$32,IF(AND('3. GRI Pricing'!$F514&gt;='2. GRI Pricing Inputs'!$T$33,'3. GRI Pricing'!$F514&lt;='2. GRI Pricing Inputs'!$U$33),'2. GRI Pricing Inputs'!$T$32,IF(AND('3. GRI Pricing'!$F514&gt;='2. GRI Pricing Inputs'!$V$33,'3. GRI Pricing'!$F514&lt;='2. GRI Pricing Inputs'!$W$33),'2. GRI Pricing Inputs'!$V$32,IF(AND('3. GRI Pricing'!$F514&gt;='2. GRI Pricing Inputs'!$X$33,'3. GRI Pricing'!$F514&lt;='2. GRI Pricing Inputs'!$Y$33),'2. GRI Pricing Inputs'!$X$32,IF(AND('3. GRI Pricing'!$F514&gt;='2. GRI Pricing Inputs'!$Z$33,'3. GRI Pricing'!$F514&lt;='2. GRI Pricing Inputs'!$AA$33),'2. GRI Pricing Inputs'!$Z$32,IF(AND('3. GRI Pricing'!$F514&gt;='2. GRI Pricing Inputs'!$AB$33,'3. GRI Pricing'!$F514&lt;='2. GRI Pricing Inputs'!$AC$33),'2. GRI Pricing Inputs'!$AB$32,IF(AND('3. GRI Pricing'!$F514&gt;='2. GRI Pricing Inputs'!$AD$33,'3. GRI Pricing'!$F514&lt;='2. GRI Pricing Inputs'!$AE$33),'2. GRI Pricing Inputs'!$AD$32,IF(AND('3. GRI Pricing'!$F514&gt;='2. GRI Pricing Inputs'!$AF$33,'3. GRI Pricing'!$F514&lt;='2. GRI Pricing Inputs'!$AG$33),'2. GRI Pricing Inputs'!$AF$32,IF(AND('3. GRI Pricing'!$F514&gt;='2. GRI Pricing Inputs'!$AH$33,'3. GRI Pricing'!$F514&lt;='2. GRI Pricing Inputs'!$AI$33),'2. GRI Pricing Inputs'!$AH$32,0))))))))))))))))</f>
        <v>0</v>
      </c>
      <c r="N514" s="273" cm="1">
        <f t="array" ref="N514">IFERROR(INDEX('2. GRI Pricing Inputs'!$C$32:$AI$39,MATCH('3. GRI Pricing'!D514,'2. GRI Pricing Inputs'!$C$32:$C$39,0),(MATCH('3. GRI Pricing'!M514,'2. GRI Pricing Inputs'!$D$32:$AI$32,0)+1)),0)</f>
        <v>0</v>
      </c>
      <c r="O514" s="273">
        <f>IFERROR(INDEX('2. GRI Pricing Inputs'!$C$45:$AI$46,MATCH($O$16,'2. GRI Pricing Inputs'!$C$45:$C$46,0),MATCH(G514,'2. GRI Pricing Inputs'!$C$45:$AI$45,0)),0)</f>
        <v>0</v>
      </c>
      <c r="P514" s="273">
        <f>IFERROR(INDEX('2. GRI Pricing Inputs'!$C$53:$AI$54,MATCH('3. GRI Pricing'!$P$16,'2. GRI Pricing Inputs'!$C$53:$C$54,0),MATCH('3. GRI Pricing'!H514,'2. GRI Pricing Inputs'!$C$53:$AI$53,0)),0)</f>
        <v>0</v>
      </c>
      <c r="Q514" s="273">
        <f>IFERROR(INDEX('2. GRI Pricing Inputs'!$C$60:$AI$61,MATCH('3. GRI Pricing'!$Q$16,'2. GRI Pricing Inputs'!$C$60:$C$61,0),MATCH('1. Accomodation'!T518,'2. GRI Pricing Inputs'!$C$60:$AI$60,0)),0)</f>
        <v>0</v>
      </c>
      <c r="R514" s="273">
        <f>IFERROR(INDEX('2. GRI Pricing Inputs'!$C$67:$AI$68,MATCH('3. GRI Pricing'!$R$16,'2. GRI Pricing Inputs'!$C$67:$C$68,0),MATCH('1. Accomodation'!U518,'2. GRI Pricing Inputs'!$C$67:$AI$67,0)),0)</f>
        <v>0</v>
      </c>
      <c r="S514" s="273">
        <f>IF(D514=0,0,'2. GRI Pricing Inputs'!$AI$75)</f>
        <v>0</v>
      </c>
      <c r="T514" s="273">
        <f>IFERROR(INDEX('2. GRI Pricing Inputs'!$C$82:$AI$83,MATCH('3. GRI Pricing'!$T$16,'2. GRI Pricing Inputs'!$C$82:$C$83,0),MATCH('1. Accomodation'!V518,'2. GRI Pricing Inputs'!$C$82:$AI$82,0)),0)</f>
        <v>0</v>
      </c>
      <c r="U514" s="273">
        <f>IFERROR(INDEX('2. GRI Pricing Inputs'!$C$89:$AI$90,MATCH('3. GRI Pricing'!$U$16,'2. GRI Pricing Inputs'!$C$89:$C$90,0),MATCH('1. Accomodation'!W518,'2. GRI Pricing Inputs'!$C$89:$AI$89,0)),0)</f>
        <v>0</v>
      </c>
      <c r="V514" s="273">
        <f>IFERROR(INDEX('2. GRI Pricing Inputs'!$C$97:$AI$98,MATCH('3. GRI Pricing'!$V$16,'2. GRI Pricing Inputs'!$C$97:$C$98,0),MATCH('1. Accomodation'!X518,'2. GRI Pricing Inputs'!$C$97:$AI$97,0)),0)</f>
        <v>0</v>
      </c>
      <c r="W514" s="273">
        <f>IFERROR(INDEX('2. GRI Pricing Inputs'!$C$104:$AI$105,MATCH('3. GRI Pricing'!$W$16,'2. GRI Pricing Inputs'!$C$104:$C$105,0),MATCH('1. Accomodation'!Y518,'2. GRI Pricing Inputs'!$C$104:$AI$104,0)),0)</f>
        <v>0</v>
      </c>
      <c r="X514" s="274"/>
      <c r="Y514" s="275">
        <f t="shared" si="14"/>
        <v>0</v>
      </c>
      <c r="Z514" s="276"/>
      <c r="AA514" s="276"/>
      <c r="AB514" s="276"/>
      <c r="AC514" s="272">
        <f>Y514*(1+'2. GRI Pricing Inputs'!$D$114)^(($AC$16-$AB$15)/365)</f>
        <v>0</v>
      </c>
      <c r="AD514" s="273">
        <f>AC514*(1+'2. GRI Pricing Inputs'!$D$114)^((AD$16-AC$16)/365)</f>
        <v>0</v>
      </c>
      <c r="AE514" s="273">
        <f>AD514*(1+'2. GRI Pricing Inputs'!$D$114)^((AE$16-AD$16)/365)</f>
        <v>0</v>
      </c>
      <c r="AF514" s="273">
        <f>AE514*(1+'2. GRI Pricing Inputs'!$D$114)^((AF$16-AE$16)/365)</f>
        <v>0</v>
      </c>
      <c r="AG514" s="273">
        <f>AF514*(1+'2. GRI Pricing Inputs'!$D$114)^((AG$16-AF$16)/365)</f>
        <v>0</v>
      </c>
      <c r="AH514" s="273">
        <f>AG514*(1+'2. GRI Pricing Inputs'!$D$114)^((AH$16-AG$16)/365)</f>
        <v>0</v>
      </c>
      <c r="AI514" s="273">
        <f>AH514*(1+'2. GRI Pricing Inputs'!$D$114)^((AI$16-AH$16)/365)</f>
        <v>0</v>
      </c>
      <c r="AJ514" s="273">
        <f>AI514*(1+'2. GRI Pricing Inputs'!$D$114)^((AJ$16-AI$16)/365)</f>
        <v>0</v>
      </c>
      <c r="AK514" s="273">
        <f>AJ514*(1+'2. GRI Pricing Inputs'!$D$114)^((AK$16-AJ$16)/365)</f>
        <v>0</v>
      </c>
      <c r="AL514" s="273">
        <f>AK514*(1+'2. GRI Pricing Inputs'!$D$114)^((AL$16-AK$16)/365)</f>
        <v>0</v>
      </c>
      <c r="AM514" s="273">
        <f>AL514*(1+'2. GRI Pricing Inputs'!$D$114)^((AM$16-AL$16)/365)</f>
        <v>0</v>
      </c>
      <c r="AN514" s="273">
        <f>AM514*(1+'2. GRI Pricing Inputs'!$D$114)^((AN$16-AM$16)/365)</f>
        <v>0</v>
      </c>
      <c r="AO514" s="273">
        <f>AN514*(1+'2. GRI Pricing Inputs'!$D$114)^((AO$16-AN$16)/365)</f>
        <v>0</v>
      </c>
    </row>
    <row r="515" spans="3:41" ht="12" x14ac:dyDescent="0.2">
      <c r="C515" s="76">
        <f>'1. Accomodation'!N519</f>
        <v>0</v>
      </c>
      <c r="D515" s="69">
        <f>'1. Accomodation'!P519</f>
        <v>0</v>
      </c>
      <c r="E515" s="69">
        <f>'1. Accomodation'!Q519</f>
        <v>0</v>
      </c>
      <c r="F515" s="77">
        <f>'1. Accomodation'!O519</f>
        <v>0</v>
      </c>
      <c r="G515" s="69">
        <f>'1. Accomodation'!R519</f>
        <v>0</v>
      </c>
      <c r="H515" s="69">
        <f>'1. Accomodation'!S519</f>
        <v>0</v>
      </c>
      <c r="I515" s="62"/>
      <c r="K515" s="272">
        <f>IFERROR(INDEX('2. GRI Pricing Inputs'!$C$15:$AI$16,MATCH($K$16,'2. GRI Pricing Inputs'!$C$15:$C$16,0),MATCH(D515,'2. GRI Pricing Inputs'!$C$15:$AI$15,0)),0)</f>
        <v>0</v>
      </c>
      <c r="L515" s="273">
        <f>IFERROR(INDEX('2. GRI Pricing Inputs'!$C$22:$AI$23,MATCH($L$16,'2. GRI Pricing Inputs'!$C$22:$C$23,0),MATCH(E515,'2. GRI Pricing Inputs'!$C$22:$AI$22,0)),0)</f>
        <v>0</v>
      </c>
      <c r="M515" s="328">
        <f>IF(AND('3. GRI Pricing'!$F515&gt;='2. GRI Pricing Inputs'!$D$33,'3. GRI Pricing'!$F515&lt;='2. GRI Pricing Inputs'!$E$33),'2. GRI Pricing Inputs'!$D$32,IF(AND('3. GRI Pricing'!$F515&gt;='2. GRI Pricing Inputs'!$F$33,'3. GRI Pricing'!$F515&lt;='2. GRI Pricing Inputs'!$G$33),'2. GRI Pricing Inputs'!$F$32,IF(AND('3. GRI Pricing'!$F515&gt;='2. GRI Pricing Inputs'!$H$33,'3. GRI Pricing'!$F515&lt;='2. GRI Pricing Inputs'!$I$33),'2. GRI Pricing Inputs'!$H$32,IF(AND('3. GRI Pricing'!$F515&gt;='2. GRI Pricing Inputs'!$J$33,'3. GRI Pricing'!$F515&lt;='2. GRI Pricing Inputs'!$K$33),'2. GRI Pricing Inputs'!$J$32,IF(AND('3. GRI Pricing'!$F515&gt;='2. GRI Pricing Inputs'!$L$33,'3. GRI Pricing'!$F515&lt;='2. GRI Pricing Inputs'!$M$33),'2. GRI Pricing Inputs'!$L$32,IF(AND('3. GRI Pricing'!$F515&gt;='2. GRI Pricing Inputs'!$N$33,'3. GRI Pricing'!$F515&lt;='2. GRI Pricing Inputs'!$O$33),'2. GRI Pricing Inputs'!$N$32,IF(AND('3. GRI Pricing'!$F515&gt;='2. GRI Pricing Inputs'!$P$33,'3. GRI Pricing'!$F515&lt;='2. GRI Pricing Inputs'!$Q$33),'2. GRI Pricing Inputs'!$P$32,IF(AND('3. GRI Pricing'!$F515&gt;='2. GRI Pricing Inputs'!$R$33,'3. GRI Pricing'!$F515&lt;='2. GRI Pricing Inputs'!$S$33),'2. GRI Pricing Inputs'!$R$32,IF(AND('3. GRI Pricing'!$F515&gt;='2. GRI Pricing Inputs'!$T$33,'3. GRI Pricing'!$F515&lt;='2. GRI Pricing Inputs'!$U$33),'2. GRI Pricing Inputs'!$T$32,IF(AND('3. GRI Pricing'!$F515&gt;='2. GRI Pricing Inputs'!$V$33,'3. GRI Pricing'!$F515&lt;='2. GRI Pricing Inputs'!$W$33),'2. GRI Pricing Inputs'!$V$32,IF(AND('3. GRI Pricing'!$F515&gt;='2. GRI Pricing Inputs'!$X$33,'3. GRI Pricing'!$F515&lt;='2. GRI Pricing Inputs'!$Y$33),'2. GRI Pricing Inputs'!$X$32,IF(AND('3. GRI Pricing'!$F515&gt;='2. GRI Pricing Inputs'!$Z$33,'3. GRI Pricing'!$F515&lt;='2. GRI Pricing Inputs'!$AA$33),'2. GRI Pricing Inputs'!$Z$32,IF(AND('3. GRI Pricing'!$F515&gt;='2. GRI Pricing Inputs'!$AB$33,'3. GRI Pricing'!$F515&lt;='2. GRI Pricing Inputs'!$AC$33),'2. GRI Pricing Inputs'!$AB$32,IF(AND('3. GRI Pricing'!$F515&gt;='2. GRI Pricing Inputs'!$AD$33,'3. GRI Pricing'!$F515&lt;='2. GRI Pricing Inputs'!$AE$33),'2. GRI Pricing Inputs'!$AD$32,IF(AND('3. GRI Pricing'!$F515&gt;='2. GRI Pricing Inputs'!$AF$33,'3. GRI Pricing'!$F515&lt;='2. GRI Pricing Inputs'!$AG$33),'2. GRI Pricing Inputs'!$AF$32,IF(AND('3. GRI Pricing'!$F515&gt;='2. GRI Pricing Inputs'!$AH$33,'3. GRI Pricing'!$F515&lt;='2. GRI Pricing Inputs'!$AI$33),'2. GRI Pricing Inputs'!$AH$32,0))))))))))))))))</f>
        <v>0</v>
      </c>
      <c r="N515" s="273" cm="1">
        <f t="array" ref="N515">IFERROR(INDEX('2. GRI Pricing Inputs'!$C$32:$AI$39,MATCH('3. GRI Pricing'!D515,'2. GRI Pricing Inputs'!$C$32:$C$39,0),(MATCH('3. GRI Pricing'!M515,'2. GRI Pricing Inputs'!$D$32:$AI$32,0)+1)),0)</f>
        <v>0</v>
      </c>
      <c r="O515" s="273">
        <f>IFERROR(INDEX('2. GRI Pricing Inputs'!$C$45:$AI$46,MATCH($O$16,'2. GRI Pricing Inputs'!$C$45:$C$46,0),MATCH(G515,'2. GRI Pricing Inputs'!$C$45:$AI$45,0)),0)</f>
        <v>0</v>
      </c>
      <c r="P515" s="273">
        <f>IFERROR(INDEX('2. GRI Pricing Inputs'!$C$53:$AI$54,MATCH('3. GRI Pricing'!$P$16,'2. GRI Pricing Inputs'!$C$53:$C$54,0),MATCH('3. GRI Pricing'!H515,'2. GRI Pricing Inputs'!$C$53:$AI$53,0)),0)</f>
        <v>0</v>
      </c>
      <c r="Q515" s="273">
        <f>IFERROR(INDEX('2. GRI Pricing Inputs'!$C$60:$AI$61,MATCH('3. GRI Pricing'!$Q$16,'2. GRI Pricing Inputs'!$C$60:$C$61,0),MATCH('1. Accomodation'!T519,'2. GRI Pricing Inputs'!$C$60:$AI$60,0)),0)</f>
        <v>0</v>
      </c>
      <c r="R515" s="273">
        <f>IFERROR(INDEX('2. GRI Pricing Inputs'!$C$67:$AI$68,MATCH('3. GRI Pricing'!$R$16,'2. GRI Pricing Inputs'!$C$67:$C$68,0),MATCH('1. Accomodation'!U519,'2. GRI Pricing Inputs'!$C$67:$AI$67,0)),0)</f>
        <v>0</v>
      </c>
      <c r="S515" s="273">
        <f>IF(D515=0,0,'2. GRI Pricing Inputs'!$AI$75)</f>
        <v>0</v>
      </c>
      <c r="T515" s="273">
        <f>IFERROR(INDEX('2. GRI Pricing Inputs'!$C$82:$AI$83,MATCH('3. GRI Pricing'!$T$16,'2. GRI Pricing Inputs'!$C$82:$C$83,0),MATCH('1. Accomodation'!V519,'2. GRI Pricing Inputs'!$C$82:$AI$82,0)),0)</f>
        <v>0</v>
      </c>
      <c r="U515" s="273">
        <f>IFERROR(INDEX('2. GRI Pricing Inputs'!$C$89:$AI$90,MATCH('3. GRI Pricing'!$U$16,'2. GRI Pricing Inputs'!$C$89:$C$90,0),MATCH('1. Accomodation'!W519,'2. GRI Pricing Inputs'!$C$89:$AI$89,0)),0)</f>
        <v>0</v>
      </c>
      <c r="V515" s="273">
        <f>IFERROR(INDEX('2. GRI Pricing Inputs'!$C$97:$AI$98,MATCH('3. GRI Pricing'!$V$16,'2. GRI Pricing Inputs'!$C$97:$C$98,0),MATCH('1. Accomodation'!X519,'2. GRI Pricing Inputs'!$C$97:$AI$97,0)),0)</f>
        <v>0</v>
      </c>
      <c r="W515" s="273">
        <f>IFERROR(INDEX('2. GRI Pricing Inputs'!$C$104:$AI$105,MATCH('3. GRI Pricing'!$W$16,'2. GRI Pricing Inputs'!$C$104:$C$105,0),MATCH('1. Accomodation'!Y519,'2. GRI Pricing Inputs'!$C$104:$AI$104,0)),0)</f>
        <v>0</v>
      </c>
      <c r="X515" s="274"/>
      <c r="Y515" s="275">
        <f t="shared" si="14"/>
        <v>0</v>
      </c>
      <c r="Z515" s="276"/>
      <c r="AA515" s="276"/>
      <c r="AB515" s="276"/>
      <c r="AC515" s="272">
        <f>Y515*(1+'2. GRI Pricing Inputs'!$D$114)^(($AC$16-$AB$15)/365)</f>
        <v>0</v>
      </c>
      <c r="AD515" s="273">
        <f>AC515*(1+'2. GRI Pricing Inputs'!$D$114)^((AD$16-AC$16)/365)</f>
        <v>0</v>
      </c>
      <c r="AE515" s="273">
        <f>AD515*(1+'2. GRI Pricing Inputs'!$D$114)^((AE$16-AD$16)/365)</f>
        <v>0</v>
      </c>
      <c r="AF515" s="273">
        <f>AE515*(1+'2. GRI Pricing Inputs'!$D$114)^((AF$16-AE$16)/365)</f>
        <v>0</v>
      </c>
      <c r="AG515" s="273">
        <f>AF515*(1+'2. GRI Pricing Inputs'!$D$114)^((AG$16-AF$16)/365)</f>
        <v>0</v>
      </c>
      <c r="AH515" s="273">
        <f>AG515*(1+'2. GRI Pricing Inputs'!$D$114)^((AH$16-AG$16)/365)</f>
        <v>0</v>
      </c>
      <c r="AI515" s="273">
        <f>AH515*(1+'2. GRI Pricing Inputs'!$D$114)^((AI$16-AH$16)/365)</f>
        <v>0</v>
      </c>
      <c r="AJ515" s="273">
        <f>AI515*(1+'2. GRI Pricing Inputs'!$D$114)^((AJ$16-AI$16)/365)</f>
        <v>0</v>
      </c>
      <c r="AK515" s="273">
        <f>AJ515*(1+'2. GRI Pricing Inputs'!$D$114)^((AK$16-AJ$16)/365)</f>
        <v>0</v>
      </c>
      <c r="AL515" s="273">
        <f>AK515*(1+'2. GRI Pricing Inputs'!$D$114)^((AL$16-AK$16)/365)</f>
        <v>0</v>
      </c>
      <c r="AM515" s="273">
        <f>AL515*(1+'2. GRI Pricing Inputs'!$D$114)^((AM$16-AL$16)/365)</f>
        <v>0</v>
      </c>
      <c r="AN515" s="273">
        <f>AM515*(1+'2. GRI Pricing Inputs'!$D$114)^((AN$16-AM$16)/365)</f>
        <v>0</v>
      </c>
      <c r="AO515" s="273">
        <f>AN515*(1+'2. GRI Pricing Inputs'!$D$114)^((AO$16-AN$16)/365)</f>
        <v>0</v>
      </c>
    </row>
    <row r="516" spans="3:41" ht="12" x14ac:dyDescent="0.2">
      <c r="C516" s="76">
        <f>'1. Accomodation'!N520</f>
        <v>0</v>
      </c>
      <c r="D516" s="69">
        <f>'1. Accomodation'!P520</f>
        <v>0</v>
      </c>
      <c r="E516" s="69">
        <f>'1. Accomodation'!Q520</f>
        <v>0</v>
      </c>
      <c r="F516" s="77">
        <f>'1. Accomodation'!O520</f>
        <v>0</v>
      </c>
      <c r="G516" s="69">
        <f>'1. Accomodation'!R520</f>
        <v>0</v>
      </c>
      <c r="H516" s="69">
        <f>'1. Accomodation'!S520</f>
        <v>0</v>
      </c>
      <c r="I516" s="62"/>
      <c r="K516" s="272">
        <f>IFERROR(INDEX('2. GRI Pricing Inputs'!$C$15:$AI$16,MATCH($K$16,'2. GRI Pricing Inputs'!$C$15:$C$16,0),MATCH(D516,'2. GRI Pricing Inputs'!$C$15:$AI$15,0)),0)</f>
        <v>0</v>
      </c>
      <c r="L516" s="273">
        <f>IFERROR(INDEX('2. GRI Pricing Inputs'!$C$22:$AI$23,MATCH($L$16,'2. GRI Pricing Inputs'!$C$22:$C$23,0),MATCH(E516,'2. GRI Pricing Inputs'!$C$22:$AI$22,0)),0)</f>
        <v>0</v>
      </c>
      <c r="M516" s="328">
        <f>IF(AND('3. GRI Pricing'!$F516&gt;='2. GRI Pricing Inputs'!$D$33,'3. GRI Pricing'!$F516&lt;='2. GRI Pricing Inputs'!$E$33),'2. GRI Pricing Inputs'!$D$32,IF(AND('3. GRI Pricing'!$F516&gt;='2. GRI Pricing Inputs'!$F$33,'3. GRI Pricing'!$F516&lt;='2. GRI Pricing Inputs'!$G$33),'2. GRI Pricing Inputs'!$F$32,IF(AND('3. GRI Pricing'!$F516&gt;='2. GRI Pricing Inputs'!$H$33,'3. GRI Pricing'!$F516&lt;='2. GRI Pricing Inputs'!$I$33),'2. GRI Pricing Inputs'!$H$32,IF(AND('3. GRI Pricing'!$F516&gt;='2. GRI Pricing Inputs'!$J$33,'3. GRI Pricing'!$F516&lt;='2. GRI Pricing Inputs'!$K$33),'2. GRI Pricing Inputs'!$J$32,IF(AND('3. GRI Pricing'!$F516&gt;='2. GRI Pricing Inputs'!$L$33,'3. GRI Pricing'!$F516&lt;='2. GRI Pricing Inputs'!$M$33),'2. GRI Pricing Inputs'!$L$32,IF(AND('3. GRI Pricing'!$F516&gt;='2. GRI Pricing Inputs'!$N$33,'3. GRI Pricing'!$F516&lt;='2. GRI Pricing Inputs'!$O$33),'2. GRI Pricing Inputs'!$N$32,IF(AND('3. GRI Pricing'!$F516&gt;='2. GRI Pricing Inputs'!$P$33,'3. GRI Pricing'!$F516&lt;='2. GRI Pricing Inputs'!$Q$33),'2. GRI Pricing Inputs'!$P$32,IF(AND('3. GRI Pricing'!$F516&gt;='2. GRI Pricing Inputs'!$R$33,'3. GRI Pricing'!$F516&lt;='2. GRI Pricing Inputs'!$S$33),'2. GRI Pricing Inputs'!$R$32,IF(AND('3. GRI Pricing'!$F516&gt;='2. GRI Pricing Inputs'!$T$33,'3. GRI Pricing'!$F516&lt;='2. GRI Pricing Inputs'!$U$33),'2. GRI Pricing Inputs'!$T$32,IF(AND('3. GRI Pricing'!$F516&gt;='2. GRI Pricing Inputs'!$V$33,'3. GRI Pricing'!$F516&lt;='2. GRI Pricing Inputs'!$W$33),'2. GRI Pricing Inputs'!$V$32,IF(AND('3. GRI Pricing'!$F516&gt;='2. GRI Pricing Inputs'!$X$33,'3. GRI Pricing'!$F516&lt;='2. GRI Pricing Inputs'!$Y$33),'2. GRI Pricing Inputs'!$X$32,IF(AND('3. GRI Pricing'!$F516&gt;='2. GRI Pricing Inputs'!$Z$33,'3. GRI Pricing'!$F516&lt;='2. GRI Pricing Inputs'!$AA$33),'2. GRI Pricing Inputs'!$Z$32,IF(AND('3. GRI Pricing'!$F516&gt;='2. GRI Pricing Inputs'!$AB$33,'3. GRI Pricing'!$F516&lt;='2. GRI Pricing Inputs'!$AC$33),'2. GRI Pricing Inputs'!$AB$32,IF(AND('3. GRI Pricing'!$F516&gt;='2. GRI Pricing Inputs'!$AD$33,'3. GRI Pricing'!$F516&lt;='2. GRI Pricing Inputs'!$AE$33),'2. GRI Pricing Inputs'!$AD$32,IF(AND('3. GRI Pricing'!$F516&gt;='2. GRI Pricing Inputs'!$AF$33,'3. GRI Pricing'!$F516&lt;='2. GRI Pricing Inputs'!$AG$33),'2. GRI Pricing Inputs'!$AF$32,IF(AND('3. GRI Pricing'!$F516&gt;='2. GRI Pricing Inputs'!$AH$33,'3. GRI Pricing'!$F516&lt;='2. GRI Pricing Inputs'!$AI$33),'2. GRI Pricing Inputs'!$AH$32,0))))))))))))))))</f>
        <v>0</v>
      </c>
      <c r="N516" s="273" cm="1">
        <f t="array" ref="N516">IFERROR(INDEX('2. GRI Pricing Inputs'!$C$32:$AI$39,MATCH('3. GRI Pricing'!D516,'2. GRI Pricing Inputs'!$C$32:$C$39,0),(MATCH('3. GRI Pricing'!M516,'2. GRI Pricing Inputs'!$D$32:$AI$32,0)+1)),0)</f>
        <v>0</v>
      </c>
      <c r="O516" s="273">
        <f>IFERROR(INDEX('2. GRI Pricing Inputs'!$C$45:$AI$46,MATCH($O$16,'2. GRI Pricing Inputs'!$C$45:$C$46,0),MATCH(G516,'2. GRI Pricing Inputs'!$C$45:$AI$45,0)),0)</f>
        <v>0</v>
      </c>
      <c r="P516" s="273">
        <f>IFERROR(INDEX('2. GRI Pricing Inputs'!$C$53:$AI$54,MATCH('3. GRI Pricing'!$P$16,'2. GRI Pricing Inputs'!$C$53:$C$54,0),MATCH('3. GRI Pricing'!H516,'2. GRI Pricing Inputs'!$C$53:$AI$53,0)),0)</f>
        <v>0</v>
      </c>
      <c r="Q516" s="273">
        <f>IFERROR(INDEX('2. GRI Pricing Inputs'!$C$60:$AI$61,MATCH('3. GRI Pricing'!$Q$16,'2. GRI Pricing Inputs'!$C$60:$C$61,0),MATCH('1. Accomodation'!T520,'2. GRI Pricing Inputs'!$C$60:$AI$60,0)),0)</f>
        <v>0</v>
      </c>
      <c r="R516" s="273">
        <f>IFERROR(INDEX('2. GRI Pricing Inputs'!$C$67:$AI$68,MATCH('3. GRI Pricing'!$R$16,'2. GRI Pricing Inputs'!$C$67:$C$68,0),MATCH('1. Accomodation'!U520,'2. GRI Pricing Inputs'!$C$67:$AI$67,0)),0)</f>
        <v>0</v>
      </c>
      <c r="S516" s="273">
        <f>IF(D516=0,0,'2. GRI Pricing Inputs'!$AI$75)</f>
        <v>0</v>
      </c>
      <c r="T516" s="273">
        <f>IFERROR(INDEX('2. GRI Pricing Inputs'!$C$82:$AI$83,MATCH('3. GRI Pricing'!$T$16,'2. GRI Pricing Inputs'!$C$82:$C$83,0),MATCH('1. Accomodation'!V520,'2. GRI Pricing Inputs'!$C$82:$AI$82,0)),0)</f>
        <v>0</v>
      </c>
      <c r="U516" s="273">
        <f>IFERROR(INDEX('2. GRI Pricing Inputs'!$C$89:$AI$90,MATCH('3. GRI Pricing'!$U$16,'2. GRI Pricing Inputs'!$C$89:$C$90,0),MATCH('1. Accomodation'!W520,'2. GRI Pricing Inputs'!$C$89:$AI$89,0)),0)</f>
        <v>0</v>
      </c>
      <c r="V516" s="273">
        <f>IFERROR(INDEX('2. GRI Pricing Inputs'!$C$97:$AI$98,MATCH('3. GRI Pricing'!$V$16,'2. GRI Pricing Inputs'!$C$97:$C$98,0),MATCH('1. Accomodation'!X520,'2. GRI Pricing Inputs'!$C$97:$AI$97,0)),0)</f>
        <v>0</v>
      </c>
      <c r="W516" s="273">
        <f>IFERROR(INDEX('2. GRI Pricing Inputs'!$C$104:$AI$105,MATCH('3. GRI Pricing'!$W$16,'2. GRI Pricing Inputs'!$C$104:$C$105,0),MATCH('1. Accomodation'!Y520,'2. GRI Pricing Inputs'!$C$104:$AI$104,0)),0)</f>
        <v>0</v>
      </c>
      <c r="X516" s="274"/>
      <c r="Y516" s="275">
        <f t="shared" si="14"/>
        <v>0</v>
      </c>
      <c r="Z516" s="276"/>
      <c r="AA516" s="276"/>
      <c r="AB516" s="276"/>
      <c r="AC516" s="272">
        <f>Y516*(1+'2. GRI Pricing Inputs'!$D$114)^(($AC$16-$AB$15)/365)</f>
        <v>0</v>
      </c>
      <c r="AD516" s="273">
        <f>AC516*(1+'2. GRI Pricing Inputs'!$D$114)^((AD$16-AC$16)/365)</f>
        <v>0</v>
      </c>
      <c r="AE516" s="273">
        <f>AD516*(1+'2. GRI Pricing Inputs'!$D$114)^((AE$16-AD$16)/365)</f>
        <v>0</v>
      </c>
      <c r="AF516" s="273">
        <f>AE516*(1+'2. GRI Pricing Inputs'!$D$114)^((AF$16-AE$16)/365)</f>
        <v>0</v>
      </c>
      <c r="AG516" s="273">
        <f>AF516*(1+'2. GRI Pricing Inputs'!$D$114)^((AG$16-AF$16)/365)</f>
        <v>0</v>
      </c>
      <c r="AH516" s="273">
        <f>AG516*(1+'2. GRI Pricing Inputs'!$D$114)^((AH$16-AG$16)/365)</f>
        <v>0</v>
      </c>
      <c r="AI516" s="273">
        <f>AH516*(1+'2. GRI Pricing Inputs'!$D$114)^((AI$16-AH$16)/365)</f>
        <v>0</v>
      </c>
      <c r="AJ516" s="273">
        <f>AI516*(1+'2. GRI Pricing Inputs'!$D$114)^((AJ$16-AI$16)/365)</f>
        <v>0</v>
      </c>
      <c r="AK516" s="273">
        <f>AJ516*(1+'2. GRI Pricing Inputs'!$D$114)^((AK$16-AJ$16)/365)</f>
        <v>0</v>
      </c>
      <c r="AL516" s="273">
        <f>AK516*(1+'2. GRI Pricing Inputs'!$D$114)^((AL$16-AK$16)/365)</f>
        <v>0</v>
      </c>
      <c r="AM516" s="273">
        <f>AL516*(1+'2. GRI Pricing Inputs'!$D$114)^((AM$16-AL$16)/365)</f>
        <v>0</v>
      </c>
      <c r="AN516" s="273">
        <f>AM516*(1+'2. GRI Pricing Inputs'!$D$114)^((AN$16-AM$16)/365)</f>
        <v>0</v>
      </c>
      <c r="AO516" s="273">
        <f>AN516*(1+'2. GRI Pricing Inputs'!$D$114)^((AO$16-AN$16)/365)</f>
        <v>0</v>
      </c>
    </row>
    <row r="517" spans="3:41" ht="12" x14ac:dyDescent="0.2">
      <c r="C517" s="76">
        <f>'1. Accomodation'!N521</f>
        <v>0</v>
      </c>
      <c r="D517" s="69">
        <f>'1. Accomodation'!P521</f>
        <v>0</v>
      </c>
      <c r="E517" s="69">
        <f>'1. Accomodation'!Q521</f>
        <v>0</v>
      </c>
      <c r="F517" s="77">
        <f>'1. Accomodation'!O521</f>
        <v>0</v>
      </c>
      <c r="G517" s="69">
        <f>'1. Accomodation'!R521</f>
        <v>0</v>
      </c>
      <c r="H517" s="69">
        <f>'1. Accomodation'!S521</f>
        <v>0</v>
      </c>
      <c r="I517" s="62"/>
      <c r="K517" s="272">
        <f>IFERROR(INDEX('2. GRI Pricing Inputs'!$C$15:$AI$16,MATCH($K$16,'2. GRI Pricing Inputs'!$C$15:$C$16,0),MATCH(D517,'2. GRI Pricing Inputs'!$C$15:$AI$15,0)),0)</f>
        <v>0</v>
      </c>
      <c r="L517" s="273">
        <f>IFERROR(INDEX('2. GRI Pricing Inputs'!$C$22:$AI$23,MATCH($L$16,'2. GRI Pricing Inputs'!$C$22:$C$23,0),MATCH(E517,'2. GRI Pricing Inputs'!$C$22:$AI$22,0)),0)</f>
        <v>0</v>
      </c>
      <c r="M517" s="328">
        <f>IF(AND('3. GRI Pricing'!$F517&gt;='2. GRI Pricing Inputs'!$D$33,'3. GRI Pricing'!$F517&lt;='2. GRI Pricing Inputs'!$E$33),'2. GRI Pricing Inputs'!$D$32,IF(AND('3. GRI Pricing'!$F517&gt;='2. GRI Pricing Inputs'!$F$33,'3. GRI Pricing'!$F517&lt;='2. GRI Pricing Inputs'!$G$33),'2. GRI Pricing Inputs'!$F$32,IF(AND('3. GRI Pricing'!$F517&gt;='2. GRI Pricing Inputs'!$H$33,'3. GRI Pricing'!$F517&lt;='2. GRI Pricing Inputs'!$I$33),'2. GRI Pricing Inputs'!$H$32,IF(AND('3. GRI Pricing'!$F517&gt;='2. GRI Pricing Inputs'!$J$33,'3. GRI Pricing'!$F517&lt;='2. GRI Pricing Inputs'!$K$33),'2. GRI Pricing Inputs'!$J$32,IF(AND('3. GRI Pricing'!$F517&gt;='2. GRI Pricing Inputs'!$L$33,'3. GRI Pricing'!$F517&lt;='2. GRI Pricing Inputs'!$M$33),'2. GRI Pricing Inputs'!$L$32,IF(AND('3. GRI Pricing'!$F517&gt;='2. GRI Pricing Inputs'!$N$33,'3. GRI Pricing'!$F517&lt;='2. GRI Pricing Inputs'!$O$33),'2. GRI Pricing Inputs'!$N$32,IF(AND('3. GRI Pricing'!$F517&gt;='2. GRI Pricing Inputs'!$P$33,'3. GRI Pricing'!$F517&lt;='2. GRI Pricing Inputs'!$Q$33),'2. GRI Pricing Inputs'!$P$32,IF(AND('3. GRI Pricing'!$F517&gt;='2. GRI Pricing Inputs'!$R$33,'3. GRI Pricing'!$F517&lt;='2. GRI Pricing Inputs'!$S$33),'2. GRI Pricing Inputs'!$R$32,IF(AND('3. GRI Pricing'!$F517&gt;='2. GRI Pricing Inputs'!$T$33,'3. GRI Pricing'!$F517&lt;='2. GRI Pricing Inputs'!$U$33),'2. GRI Pricing Inputs'!$T$32,IF(AND('3. GRI Pricing'!$F517&gt;='2. GRI Pricing Inputs'!$V$33,'3. GRI Pricing'!$F517&lt;='2. GRI Pricing Inputs'!$W$33),'2. GRI Pricing Inputs'!$V$32,IF(AND('3. GRI Pricing'!$F517&gt;='2. GRI Pricing Inputs'!$X$33,'3. GRI Pricing'!$F517&lt;='2. GRI Pricing Inputs'!$Y$33),'2. GRI Pricing Inputs'!$X$32,IF(AND('3. GRI Pricing'!$F517&gt;='2. GRI Pricing Inputs'!$Z$33,'3. GRI Pricing'!$F517&lt;='2. GRI Pricing Inputs'!$AA$33),'2. GRI Pricing Inputs'!$Z$32,IF(AND('3. GRI Pricing'!$F517&gt;='2. GRI Pricing Inputs'!$AB$33,'3. GRI Pricing'!$F517&lt;='2. GRI Pricing Inputs'!$AC$33),'2. GRI Pricing Inputs'!$AB$32,IF(AND('3. GRI Pricing'!$F517&gt;='2. GRI Pricing Inputs'!$AD$33,'3. GRI Pricing'!$F517&lt;='2. GRI Pricing Inputs'!$AE$33),'2. GRI Pricing Inputs'!$AD$32,IF(AND('3. GRI Pricing'!$F517&gt;='2. GRI Pricing Inputs'!$AF$33,'3. GRI Pricing'!$F517&lt;='2. GRI Pricing Inputs'!$AG$33),'2. GRI Pricing Inputs'!$AF$32,IF(AND('3. GRI Pricing'!$F517&gt;='2. GRI Pricing Inputs'!$AH$33,'3. GRI Pricing'!$F517&lt;='2. GRI Pricing Inputs'!$AI$33),'2. GRI Pricing Inputs'!$AH$32,0))))))))))))))))</f>
        <v>0</v>
      </c>
      <c r="N517" s="273" cm="1">
        <f t="array" ref="N517">IFERROR(INDEX('2. GRI Pricing Inputs'!$C$32:$AI$39,MATCH('3. GRI Pricing'!D517,'2. GRI Pricing Inputs'!$C$32:$C$39,0),(MATCH('3. GRI Pricing'!M517,'2. GRI Pricing Inputs'!$D$32:$AI$32,0)+1)),0)</f>
        <v>0</v>
      </c>
      <c r="O517" s="273">
        <f>IFERROR(INDEX('2. GRI Pricing Inputs'!$C$45:$AI$46,MATCH($O$16,'2. GRI Pricing Inputs'!$C$45:$C$46,0),MATCH(G517,'2. GRI Pricing Inputs'!$C$45:$AI$45,0)),0)</f>
        <v>0</v>
      </c>
      <c r="P517" s="273">
        <f>IFERROR(INDEX('2. GRI Pricing Inputs'!$C$53:$AI$54,MATCH('3. GRI Pricing'!$P$16,'2. GRI Pricing Inputs'!$C$53:$C$54,0),MATCH('3. GRI Pricing'!H517,'2. GRI Pricing Inputs'!$C$53:$AI$53,0)),0)</f>
        <v>0</v>
      </c>
      <c r="Q517" s="273">
        <f>IFERROR(INDEX('2. GRI Pricing Inputs'!$C$60:$AI$61,MATCH('3. GRI Pricing'!$Q$16,'2. GRI Pricing Inputs'!$C$60:$C$61,0),MATCH('1. Accomodation'!T521,'2. GRI Pricing Inputs'!$C$60:$AI$60,0)),0)</f>
        <v>0</v>
      </c>
      <c r="R517" s="273">
        <f>IFERROR(INDEX('2. GRI Pricing Inputs'!$C$67:$AI$68,MATCH('3. GRI Pricing'!$R$16,'2. GRI Pricing Inputs'!$C$67:$C$68,0),MATCH('1. Accomodation'!U521,'2. GRI Pricing Inputs'!$C$67:$AI$67,0)),0)</f>
        <v>0</v>
      </c>
      <c r="S517" s="273">
        <f>IF(D517=0,0,'2. GRI Pricing Inputs'!$AI$75)</f>
        <v>0</v>
      </c>
      <c r="T517" s="273">
        <f>IFERROR(INDEX('2. GRI Pricing Inputs'!$C$82:$AI$83,MATCH('3. GRI Pricing'!$T$16,'2. GRI Pricing Inputs'!$C$82:$C$83,0),MATCH('1. Accomodation'!V521,'2. GRI Pricing Inputs'!$C$82:$AI$82,0)),0)</f>
        <v>0</v>
      </c>
      <c r="U517" s="273">
        <f>IFERROR(INDEX('2. GRI Pricing Inputs'!$C$89:$AI$90,MATCH('3. GRI Pricing'!$U$16,'2. GRI Pricing Inputs'!$C$89:$C$90,0),MATCH('1. Accomodation'!W521,'2. GRI Pricing Inputs'!$C$89:$AI$89,0)),0)</f>
        <v>0</v>
      </c>
      <c r="V517" s="273">
        <f>IFERROR(INDEX('2. GRI Pricing Inputs'!$C$97:$AI$98,MATCH('3. GRI Pricing'!$V$16,'2. GRI Pricing Inputs'!$C$97:$C$98,0),MATCH('1. Accomodation'!X521,'2. GRI Pricing Inputs'!$C$97:$AI$97,0)),0)</f>
        <v>0</v>
      </c>
      <c r="W517" s="273">
        <f>IFERROR(INDEX('2. GRI Pricing Inputs'!$C$104:$AI$105,MATCH('3. GRI Pricing'!$W$16,'2. GRI Pricing Inputs'!$C$104:$C$105,0),MATCH('1. Accomodation'!Y521,'2. GRI Pricing Inputs'!$C$104:$AI$104,0)),0)</f>
        <v>0</v>
      </c>
      <c r="X517" s="274"/>
      <c r="Y517" s="275">
        <f t="shared" si="14"/>
        <v>0</v>
      </c>
      <c r="Z517" s="276"/>
      <c r="AA517" s="276"/>
      <c r="AB517" s="276"/>
      <c r="AC517" s="272">
        <f>Y517*(1+'2. GRI Pricing Inputs'!$D$114)^(($AC$16-$AB$15)/365)</f>
        <v>0</v>
      </c>
      <c r="AD517" s="273">
        <f>AC517*(1+'2. GRI Pricing Inputs'!$D$114)^((AD$16-AC$16)/365)</f>
        <v>0</v>
      </c>
      <c r="AE517" s="273">
        <f>AD517*(1+'2. GRI Pricing Inputs'!$D$114)^((AE$16-AD$16)/365)</f>
        <v>0</v>
      </c>
      <c r="AF517" s="273">
        <f>AE517*(1+'2. GRI Pricing Inputs'!$D$114)^((AF$16-AE$16)/365)</f>
        <v>0</v>
      </c>
      <c r="AG517" s="273">
        <f>AF517*(1+'2. GRI Pricing Inputs'!$D$114)^((AG$16-AF$16)/365)</f>
        <v>0</v>
      </c>
      <c r="AH517" s="273">
        <f>AG517*(1+'2. GRI Pricing Inputs'!$D$114)^((AH$16-AG$16)/365)</f>
        <v>0</v>
      </c>
      <c r="AI517" s="273">
        <f>AH517*(1+'2. GRI Pricing Inputs'!$D$114)^((AI$16-AH$16)/365)</f>
        <v>0</v>
      </c>
      <c r="AJ517" s="273">
        <f>AI517*(1+'2. GRI Pricing Inputs'!$D$114)^((AJ$16-AI$16)/365)</f>
        <v>0</v>
      </c>
      <c r="AK517" s="273">
        <f>AJ517*(1+'2. GRI Pricing Inputs'!$D$114)^((AK$16-AJ$16)/365)</f>
        <v>0</v>
      </c>
      <c r="AL517" s="273">
        <f>AK517*(1+'2. GRI Pricing Inputs'!$D$114)^((AL$16-AK$16)/365)</f>
        <v>0</v>
      </c>
      <c r="AM517" s="273">
        <f>AL517*(1+'2. GRI Pricing Inputs'!$D$114)^((AM$16-AL$16)/365)</f>
        <v>0</v>
      </c>
      <c r="AN517" s="273">
        <f>AM517*(1+'2. GRI Pricing Inputs'!$D$114)^((AN$16-AM$16)/365)</f>
        <v>0</v>
      </c>
      <c r="AO517" s="273">
        <f>AN517*(1+'2. GRI Pricing Inputs'!$D$114)^((AO$16-AN$16)/365)</f>
        <v>0</v>
      </c>
    </row>
    <row r="518" spans="3:41" ht="12" x14ac:dyDescent="0.2">
      <c r="C518" s="76">
        <f>'1. Accomodation'!N522</f>
        <v>0</v>
      </c>
      <c r="D518" s="69">
        <f>'1. Accomodation'!P522</f>
        <v>0</v>
      </c>
      <c r="E518" s="69">
        <f>'1. Accomodation'!Q522</f>
        <v>0</v>
      </c>
      <c r="F518" s="77">
        <f>'1. Accomodation'!O522</f>
        <v>0</v>
      </c>
      <c r="G518" s="69">
        <f>'1. Accomodation'!R522</f>
        <v>0</v>
      </c>
      <c r="H518" s="69">
        <f>'1. Accomodation'!S522</f>
        <v>0</v>
      </c>
      <c r="I518" s="62"/>
      <c r="K518" s="272">
        <f>IFERROR(INDEX('2. GRI Pricing Inputs'!$C$15:$AI$16,MATCH($K$16,'2. GRI Pricing Inputs'!$C$15:$C$16,0),MATCH(D518,'2. GRI Pricing Inputs'!$C$15:$AI$15,0)),0)</f>
        <v>0</v>
      </c>
      <c r="L518" s="273">
        <f>IFERROR(INDEX('2. GRI Pricing Inputs'!$C$22:$AI$23,MATCH($L$16,'2. GRI Pricing Inputs'!$C$22:$C$23,0),MATCH(E518,'2. GRI Pricing Inputs'!$C$22:$AI$22,0)),0)</f>
        <v>0</v>
      </c>
      <c r="M518" s="328">
        <f>IF(AND('3. GRI Pricing'!$F518&gt;='2. GRI Pricing Inputs'!$D$33,'3. GRI Pricing'!$F518&lt;='2. GRI Pricing Inputs'!$E$33),'2. GRI Pricing Inputs'!$D$32,IF(AND('3. GRI Pricing'!$F518&gt;='2. GRI Pricing Inputs'!$F$33,'3. GRI Pricing'!$F518&lt;='2. GRI Pricing Inputs'!$G$33),'2. GRI Pricing Inputs'!$F$32,IF(AND('3. GRI Pricing'!$F518&gt;='2. GRI Pricing Inputs'!$H$33,'3. GRI Pricing'!$F518&lt;='2. GRI Pricing Inputs'!$I$33),'2. GRI Pricing Inputs'!$H$32,IF(AND('3. GRI Pricing'!$F518&gt;='2. GRI Pricing Inputs'!$J$33,'3. GRI Pricing'!$F518&lt;='2. GRI Pricing Inputs'!$K$33),'2. GRI Pricing Inputs'!$J$32,IF(AND('3. GRI Pricing'!$F518&gt;='2. GRI Pricing Inputs'!$L$33,'3. GRI Pricing'!$F518&lt;='2. GRI Pricing Inputs'!$M$33),'2. GRI Pricing Inputs'!$L$32,IF(AND('3. GRI Pricing'!$F518&gt;='2. GRI Pricing Inputs'!$N$33,'3. GRI Pricing'!$F518&lt;='2. GRI Pricing Inputs'!$O$33),'2. GRI Pricing Inputs'!$N$32,IF(AND('3. GRI Pricing'!$F518&gt;='2. GRI Pricing Inputs'!$P$33,'3. GRI Pricing'!$F518&lt;='2. GRI Pricing Inputs'!$Q$33),'2. GRI Pricing Inputs'!$P$32,IF(AND('3. GRI Pricing'!$F518&gt;='2. GRI Pricing Inputs'!$R$33,'3. GRI Pricing'!$F518&lt;='2. GRI Pricing Inputs'!$S$33),'2. GRI Pricing Inputs'!$R$32,IF(AND('3. GRI Pricing'!$F518&gt;='2. GRI Pricing Inputs'!$T$33,'3. GRI Pricing'!$F518&lt;='2. GRI Pricing Inputs'!$U$33),'2. GRI Pricing Inputs'!$T$32,IF(AND('3. GRI Pricing'!$F518&gt;='2. GRI Pricing Inputs'!$V$33,'3. GRI Pricing'!$F518&lt;='2. GRI Pricing Inputs'!$W$33),'2. GRI Pricing Inputs'!$V$32,IF(AND('3. GRI Pricing'!$F518&gt;='2. GRI Pricing Inputs'!$X$33,'3. GRI Pricing'!$F518&lt;='2. GRI Pricing Inputs'!$Y$33),'2. GRI Pricing Inputs'!$X$32,IF(AND('3. GRI Pricing'!$F518&gt;='2. GRI Pricing Inputs'!$Z$33,'3. GRI Pricing'!$F518&lt;='2. GRI Pricing Inputs'!$AA$33),'2. GRI Pricing Inputs'!$Z$32,IF(AND('3. GRI Pricing'!$F518&gt;='2. GRI Pricing Inputs'!$AB$33,'3. GRI Pricing'!$F518&lt;='2. GRI Pricing Inputs'!$AC$33),'2. GRI Pricing Inputs'!$AB$32,IF(AND('3. GRI Pricing'!$F518&gt;='2. GRI Pricing Inputs'!$AD$33,'3. GRI Pricing'!$F518&lt;='2. GRI Pricing Inputs'!$AE$33),'2. GRI Pricing Inputs'!$AD$32,IF(AND('3. GRI Pricing'!$F518&gt;='2. GRI Pricing Inputs'!$AF$33,'3. GRI Pricing'!$F518&lt;='2. GRI Pricing Inputs'!$AG$33),'2. GRI Pricing Inputs'!$AF$32,IF(AND('3. GRI Pricing'!$F518&gt;='2. GRI Pricing Inputs'!$AH$33,'3. GRI Pricing'!$F518&lt;='2. GRI Pricing Inputs'!$AI$33),'2. GRI Pricing Inputs'!$AH$32,0))))))))))))))))</f>
        <v>0</v>
      </c>
      <c r="N518" s="273" cm="1">
        <f t="array" ref="N518">IFERROR(INDEX('2. GRI Pricing Inputs'!$C$32:$AI$39,MATCH('3. GRI Pricing'!D518,'2. GRI Pricing Inputs'!$C$32:$C$39,0),(MATCH('3. GRI Pricing'!M518,'2. GRI Pricing Inputs'!$D$32:$AI$32,0)+1)),0)</f>
        <v>0</v>
      </c>
      <c r="O518" s="273">
        <f>IFERROR(INDEX('2. GRI Pricing Inputs'!$C$45:$AI$46,MATCH($O$16,'2. GRI Pricing Inputs'!$C$45:$C$46,0),MATCH(G518,'2. GRI Pricing Inputs'!$C$45:$AI$45,0)),0)</f>
        <v>0</v>
      </c>
      <c r="P518" s="273">
        <f>IFERROR(INDEX('2. GRI Pricing Inputs'!$C$53:$AI$54,MATCH('3. GRI Pricing'!$P$16,'2. GRI Pricing Inputs'!$C$53:$C$54,0),MATCH('3. GRI Pricing'!H518,'2. GRI Pricing Inputs'!$C$53:$AI$53,0)),0)</f>
        <v>0</v>
      </c>
      <c r="Q518" s="273">
        <f>IFERROR(INDEX('2. GRI Pricing Inputs'!$C$60:$AI$61,MATCH('3. GRI Pricing'!$Q$16,'2. GRI Pricing Inputs'!$C$60:$C$61,0),MATCH('1. Accomodation'!T522,'2. GRI Pricing Inputs'!$C$60:$AI$60,0)),0)</f>
        <v>0</v>
      </c>
      <c r="R518" s="273">
        <f>IFERROR(INDEX('2. GRI Pricing Inputs'!$C$67:$AI$68,MATCH('3. GRI Pricing'!$R$16,'2. GRI Pricing Inputs'!$C$67:$C$68,0),MATCH('1. Accomodation'!U522,'2. GRI Pricing Inputs'!$C$67:$AI$67,0)),0)</f>
        <v>0</v>
      </c>
      <c r="S518" s="273">
        <f>IF(D518=0,0,'2. GRI Pricing Inputs'!$AI$75)</f>
        <v>0</v>
      </c>
      <c r="T518" s="273">
        <f>IFERROR(INDEX('2. GRI Pricing Inputs'!$C$82:$AI$83,MATCH('3. GRI Pricing'!$T$16,'2. GRI Pricing Inputs'!$C$82:$C$83,0),MATCH('1. Accomodation'!V522,'2. GRI Pricing Inputs'!$C$82:$AI$82,0)),0)</f>
        <v>0</v>
      </c>
      <c r="U518" s="273">
        <f>IFERROR(INDEX('2. GRI Pricing Inputs'!$C$89:$AI$90,MATCH('3. GRI Pricing'!$U$16,'2. GRI Pricing Inputs'!$C$89:$C$90,0),MATCH('1. Accomodation'!W522,'2. GRI Pricing Inputs'!$C$89:$AI$89,0)),0)</f>
        <v>0</v>
      </c>
      <c r="V518" s="273">
        <f>IFERROR(INDEX('2. GRI Pricing Inputs'!$C$97:$AI$98,MATCH('3. GRI Pricing'!$V$16,'2. GRI Pricing Inputs'!$C$97:$C$98,0),MATCH('1. Accomodation'!X522,'2. GRI Pricing Inputs'!$C$97:$AI$97,0)),0)</f>
        <v>0</v>
      </c>
      <c r="W518" s="273">
        <f>IFERROR(INDEX('2. GRI Pricing Inputs'!$C$104:$AI$105,MATCH('3. GRI Pricing'!$W$16,'2. GRI Pricing Inputs'!$C$104:$C$105,0),MATCH('1. Accomodation'!Y522,'2. GRI Pricing Inputs'!$C$104:$AI$104,0)),0)</f>
        <v>0</v>
      </c>
      <c r="X518" s="274"/>
      <c r="Y518" s="275">
        <f t="shared" si="14"/>
        <v>0</v>
      </c>
      <c r="Z518" s="276"/>
      <c r="AA518" s="276"/>
      <c r="AB518" s="276"/>
      <c r="AC518" s="272">
        <f>Y518*(1+'2. GRI Pricing Inputs'!$D$114)^(($AC$16-$AB$15)/365)</f>
        <v>0</v>
      </c>
      <c r="AD518" s="273">
        <f>AC518*(1+'2. GRI Pricing Inputs'!$D$114)^((AD$16-AC$16)/365)</f>
        <v>0</v>
      </c>
      <c r="AE518" s="273">
        <f>AD518*(1+'2. GRI Pricing Inputs'!$D$114)^((AE$16-AD$16)/365)</f>
        <v>0</v>
      </c>
      <c r="AF518" s="273">
        <f>AE518*(1+'2. GRI Pricing Inputs'!$D$114)^((AF$16-AE$16)/365)</f>
        <v>0</v>
      </c>
      <c r="AG518" s="273">
        <f>AF518*(1+'2. GRI Pricing Inputs'!$D$114)^((AG$16-AF$16)/365)</f>
        <v>0</v>
      </c>
      <c r="AH518" s="273">
        <f>AG518*(1+'2. GRI Pricing Inputs'!$D$114)^((AH$16-AG$16)/365)</f>
        <v>0</v>
      </c>
      <c r="AI518" s="273">
        <f>AH518*(1+'2. GRI Pricing Inputs'!$D$114)^((AI$16-AH$16)/365)</f>
        <v>0</v>
      </c>
      <c r="AJ518" s="273">
        <f>AI518*(1+'2. GRI Pricing Inputs'!$D$114)^((AJ$16-AI$16)/365)</f>
        <v>0</v>
      </c>
      <c r="AK518" s="273">
        <f>AJ518*(1+'2. GRI Pricing Inputs'!$D$114)^((AK$16-AJ$16)/365)</f>
        <v>0</v>
      </c>
      <c r="AL518" s="273">
        <f>AK518*(1+'2. GRI Pricing Inputs'!$D$114)^((AL$16-AK$16)/365)</f>
        <v>0</v>
      </c>
      <c r="AM518" s="273">
        <f>AL518*(1+'2. GRI Pricing Inputs'!$D$114)^((AM$16-AL$16)/365)</f>
        <v>0</v>
      </c>
      <c r="AN518" s="273">
        <f>AM518*(1+'2. GRI Pricing Inputs'!$D$114)^((AN$16-AM$16)/365)</f>
        <v>0</v>
      </c>
      <c r="AO518" s="273">
        <f>AN518*(1+'2. GRI Pricing Inputs'!$D$114)^((AO$16-AN$16)/365)</f>
        <v>0</v>
      </c>
    </row>
    <row r="519" spans="3:41" ht="12" x14ac:dyDescent="0.2">
      <c r="C519" s="76">
        <f>'1. Accomodation'!N523</f>
        <v>0</v>
      </c>
      <c r="D519" s="69">
        <f>'1. Accomodation'!P523</f>
        <v>0</v>
      </c>
      <c r="E519" s="69">
        <f>'1. Accomodation'!Q523</f>
        <v>0</v>
      </c>
      <c r="F519" s="77">
        <f>'1. Accomodation'!O523</f>
        <v>0</v>
      </c>
      <c r="G519" s="69">
        <f>'1. Accomodation'!R523</f>
        <v>0</v>
      </c>
      <c r="H519" s="69">
        <f>'1. Accomodation'!S523</f>
        <v>0</v>
      </c>
      <c r="I519" s="62"/>
      <c r="K519" s="272">
        <f>IFERROR(INDEX('2. GRI Pricing Inputs'!$C$15:$AI$16,MATCH($K$16,'2. GRI Pricing Inputs'!$C$15:$C$16,0),MATCH(D519,'2. GRI Pricing Inputs'!$C$15:$AI$15,0)),0)</f>
        <v>0</v>
      </c>
      <c r="L519" s="273">
        <f>IFERROR(INDEX('2. GRI Pricing Inputs'!$C$22:$AI$23,MATCH($L$16,'2. GRI Pricing Inputs'!$C$22:$C$23,0),MATCH(E519,'2. GRI Pricing Inputs'!$C$22:$AI$22,0)),0)</f>
        <v>0</v>
      </c>
      <c r="M519" s="328">
        <f>IF(AND('3. GRI Pricing'!$F519&gt;='2. GRI Pricing Inputs'!$D$33,'3. GRI Pricing'!$F519&lt;='2. GRI Pricing Inputs'!$E$33),'2. GRI Pricing Inputs'!$D$32,IF(AND('3. GRI Pricing'!$F519&gt;='2. GRI Pricing Inputs'!$F$33,'3. GRI Pricing'!$F519&lt;='2. GRI Pricing Inputs'!$G$33),'2. GRI Pricing Inputs'!$F$32,IF(AND('3. GRI Pricing'!$F519&gt;='2. GRI Pricing Inputs'!$H$33,'3. GRI Pricing'!$F519&lt;='2. GRI Pricing Inputs'!$I$33),'2. GRI Pricing Inputs'!$H$32,IF(AND('3. GRI Pricing'!$F519&gt;='2. GRI Pricing Inputs'!$J$33,'3. GRI Pricing'!$F519&lt;='2. GRI Pricing Inputs'!$K$33),'2. GRI Pricing Inputs'!$J$32,IF(AND('3. GRI Pricing'!$F519&gt;='2. GRI Pricing Inputs'!$L$33,'3. GRI Pricing'!$F519&lt;='2. GRI Pricing Inputs'!$M$33),'2. GRI Pricing Inputs'!$L$32,IF(AND('3. GRI Pricing'!$F519&gt;='2. GRI Pricing Inputs'!$N$33,'3. GRI Pricing'!$F519&lt;='2. GRI Pricing Inputs'!$O$33),'2. GRI Pricing Inputs'!$N$32,IF(AND('3. GRI Pricing'!$F519&gt;='2. GRI Pricing Inputs'!$P$33,'3. GRI Pricing'!$F519&lt;='2. GRI Pricing Inputs'!$Q$33),'2. GRI Pricing Inputs'!$P$32,IF(AND('3. GRI Pricing'!$F519&gt;='2. GRI Pricing Inputs'!$R$33,'3. GRI Pricing'!$F519&lt;='2. GRI Pricing Inputs'!$S$33),'2. GRI Pricing Inputs'!$R$32,IF(AND('3. GRI Pricing'!$F519&gt;='2. GRI Pricing Inputs'!$T$33,'3. GRI Pricing'!$F519&lt;='2. GRI Pricing Inputs'!$U$33),'2. GRI Pricing Inputs'!$T$32,IF(AND('3. GRI Pricing'!$F519&gt;='2. GRI Pricing Inputs'!$V$33,'3. GRI Pricing'!$F519&lt;='2. GRI Pricing Inputs'!$W$33),'2. GRI Pricing Inputs'!$V$32,IF(AND('3. GRI Pricing'!$F519&gt;='2. GRI Pricing Inputs'!$X$33,'3. GRI Pricing'!$F519&lt;='2. GRI Pricing Inputs'!$Y$33),'2. GRI Pricing Inputs'!$X$32,IF(AND('3. GRI Pricing'!$F519&gt;='2. GRI Pricing Inputs'!$Z$33,'3. GRI Pricing'!$F519&lt;='2. GRI Pricing Inputs'!$AA$33),'2. GRI Pricing Inputs'!$Z$32,IF(AND('3. GRI Pricing'!$F519&gt;='2. GRI Pricing Inputs'!$AB$33,'3. GRI Pricing'!$F519&lt;='2. GRI Pricing Inputs'!$AC$33),'2. GRI Pricing Inputs'!$AB$32,IF(AND('3. GRI Pricing'!$F519&gt;='2. GRI Pricing Inputs'!$AD$33,'3. GRI Pricing'!$F519&lt;='2. GRI Pricing Inputs'!$AE$33),'2. GRI Pricing Inputs'!$AD$32,IF(AND('3. GRI Pricing'!$F519&gt;='2. GRI Pricing Inputs'!$AF$33,'3. GRI Pricing'!$F519&lt;='2. GRI Pricing Inputs'!$AG$33),'2. GRI Pricing Inputs'!$AF$32,IF(AND('3. GRI Pricing'!$F519&gt;='2. GRI Pricing Inputs'!$AH$33,'3. GRI Pricing'!$F519&lt;='2. GRI Pricing Inputs'!$AI$33),'2. GRI Pricing Inputs'!$AH$32,0))))))))))))))))</f>
        <v>0</v>
      </c>
      <c r="N519" s="273" cm="1">
        <f t="array" ref="N519">IFERROR(INDEX('2. GRI Pricing Inputs'!$C$32:$AI$39,MATCH('3. GRI Pricing'!D519,'2. GRI Pricing Inputs'!$C$32:$C$39,0),(MATCH('3. GRI Pricing'!M519,'2. GRI Pricing Inputs'!$D$32:$AI$32,0)+1)),0)</f>
        <v>0</v>
      </c>
      <c r="O519" s="273">
        <f>IFERROR(INDEX('2. GRI Pricing Inputs'!$C$45:$AI$46,MATCH($O$16,'2. GRI Pricing Inputs'!$C$45:$C$46,0),MATCH(G519,'2. GRI Pricing Inputs'!$C$45:$AI$45,0)),0)</f>
        <v>0</v>
      </c>
      <c r="P519" s="273">
        <f>IFERROR(INDEX('2. GRI Pricing Inputs'!$C$53:$AI$54,MATCH('3. GRI Pricing'!$P$16,'2. GRI Pricing Inputs'!$C$53:$C$54,0),MATCH('3. GRI Pricing'!H519,'2. GRI Pricing Inputs'!$C$53:$AI$53,0)),0)</f>
        <v>0</v>
      </c>
      <c r="Q519" s="273">
        <f>IFERROR(INDEX('2. GRI Pricing Inputs'!$C$60:$AI$61,MATCH('3. GRI Pricing'!$Q$16,'2. GRI Pricing Inputs'!$C$60:$C$61,0),MATCH('1. Accomodation'!T523,'2. GRI Pricing Inputs'!$C$60:$AI$60,0)),0)</f>
        <v>0</v>
      </c>
      <c r="R519" s="273">
        <f>IFERROR(INDEX('2. GRI Pricing Inputs'!$C$67:$AI$68,MATCH('3. GRI Pricing'!$R$16,'2. GRI Pricing Inputs'!$C$67:$C$68,0),MATCH('1. Accomodation'!U523,'2. GRI Pricing Inputs'!$C$67:$AI$67,0)),0)</f>
        <v>0</v>
      </c>
      <c r="S519" s="273">
        <f>IF(D519=0,0,'2. GRI Pricing Inputs'!$AI$75)</f>
        <v>0</v>
      </c>
      <c r="T519" s="273">
        <f>IFERROR(INDEX('2. GRI Pricing Inputs'!$C$82:$AI$83,MATCH('3. GRI Pricing'!$T$16,'2. GRI Pricing Inputs'!$C$82:$C$83,0),MATCH('1. Accomodation'!V523,'2. GRI Pricing Inputs'!$C$82:$AI$82,0)),0)</f>
        <v>0</v>
      </c>
      <c r="U519" s="273">
        <f>IFERROR(INDEX('2. GRI Pricing Inputs'!$C$89:$AI$90,MATCH('3. GRI Pricing'!$U$16,'2. GRI Pricing Inputs'!$C$89:$C$90,0),MATCH('1. Accomodation'!W523,'2. GRI Pricing Inputs'!$C$89:$AI$89,0)),0)</f>
        <v>0</v>
      </c>
      <c r="V519" s="273">
        <f>IFERROR(INDEX('2. GRI Pricing Inputs'!$C$97:$AI$98,MATCH('3. GRI Pricing'!$V$16,'2. GRI Pricing Inputs'!$C$97:$C$98,0),MATCH('1. Accomodation'!X523,'2. GRI Pricing Inputs'!$C$97:$AI$97,0)),0)</f>
        <v>0</v>
      </c>
      <c r="W519" s="273">
        <f>IFERROR(INDEX('2. GRI Pricing Inputs'!$C$104:$AI$105,MATCH('3. GRI Pricing'!$W$16,'2. GRI Pricing Inputs'!$C$104:$C$105,0),MATCH('1. Accomodation'!Y523,'2. GRI Pricing Inputs'!$C$104:$AI$104,0)),0)</f>
        <v>0</v>
      </c>
      <c r="X519" s="274"/>
      <c r="Y519" s="275">
        <f t="shared" si="14"/>
        <v>0</v>
      </c>
      <c r="Z519" s="276"/>
      <c r="AA519" s="276"/>
      <c r="AB519" s="276"/>
      <c r="AC519" s="272">
        <f>Y519*(1+'2. GRI Pricing Inputs'!$D$114)^(($AC$16-$AB$15)/365)</f>
        <v>0</v>
      </c>
      <c r="AD519" s="273">
        <f>AC519*(1+'2. GRI Pricing Inputs'!$D$114)^((AD$16-AC$16)/365)</f>
        <v>0</v>
      </c>
      <c r="AE519" s="273">
        <f>AD519*(1+'2. GRI Pricing Inputs'!$D$114)^((AE$16-AD$16)/365)</f>
        <v>0</v>
      </c>
      <c r="AF519" s="273">
        <f>AE519*(1+'2. GRI Pricing Inputs'!$D$114)^((AF$16-AE$16)/365)</f>
        <v>0</v>
      </c>
      <c r="AG519" s="273">
        <f>AF519*(1+'2. GRI Pricing Inputs'!$D$114)^((AG$16-AF$16)/365)</f>
        <v>0</v>
      </c>
      <c r="AH519" s="273">
        <f>AG519*(1+'2. GRI Pricing Inputs'!$D$114)^((AH$16-AG$16)/365)</f>
        <v>0</v>
      </c>
      <c r="AI519" s="273">
        <f>AH519*(1+'2. GRI Pricing Inputs'!$D$114)^((AI$16-AH$16)/365)</f>
        <v>0</v>
      </c>
      <c r="AJ519" s="273">
        <f>AI519*(1+'2. GRI Pricing Inputs'!$D$114)^((AJ$16-AI$16)/365)</f>
        <v>0</v>
      </c>
      <c r="AK519" s="273">
        <f>AJ519*(1+'2. GRI Pricing Inputs'!$D$114)^((AK$16-AJ$16)/365)</f>
        <v>0</v>
      </c>
      <c r="AL519" s="273">
        <f>AK519*(1+'2. GRI Pricing Inputs'!$D$114)^((AL$16-AK$16)/365)</f>
        <v>0</v>
      </c>
      <c r="AM519" s="273">
        <f>AL519*(1+'2. GRI Pricing Inputs'!$D$114)^((AM$16-AL$16)/365)</f>
        <v>0</v>
      </c>
      <c r="AN519" s="273">
        <f>AM519*(1+'2. GRI Pricing Inputs'!$D$114)^((AN$16-AM$16)/365)</f>
        <v>0</v>
      </c>
      <c r="AO519" s="273">
        <f>AN519*(1+'2. GRI Pricing Inputs'!$D$114)^((AO$16-AN$16)/365)</f>
        <v>0</v>
      </c>
    </row>
    <row r="520" spans="3:41" ht="12" x14ac:dyDescent="0.2">
      <c r="C520" s="76">
        <f>'1. Accomodation'!N524</f>
        <v>0</v>
      </c>
      <c r="D520" s="69">
        <f>'1. Accomodation'!P524</f>
        <v>0</v>
      </c>
      <c r="E520" s="69">
        <f>'1. Accomodation'!Q524</f>
        <v>0</v>
      </c>
      <c r="F520" s="77">
        <f>'1. Accomodation'!O524</f>
        <v>0</v>
      </c>
      <c r="G520" s="69">
        <f>'1. Accomodation'!R524</f>
        <v>0</v>
      </c>
      <c r="H520" s="69">
        <f>'1. Accomodation'!S524</f>
        <v>0</v>
      </c>
      <c r="I520" s="62"/>
      <c r="K520" s="272">
        <f>IFERROR(INDEX('2. GRI Pricing Inputs'!$C$15:$AI$16,MATCH($K$16,'2. GRI Pricing Inputs'!$C$15:$C$16,0),MATCH(D520,'2. GRI Pricing Inputs'!$C$15:$AI$15,0)),0)</f>
        <v>0</v>
      </c>
      <c r="L520" s="273">
        <f>IFERROR(INDEX('2. GRI Pricing Inputs'!$C$22:$AI$23,MATCH($L$16,'2. GRI Pricing Inputs'!$C$22:$C$23,0),MATCH(E520,'2. GRI Pricing Inputs'!$C$22:$AI$22,0)),0)</f>
        <v>0</v>
      </c>
      <c r="M520" s="328">
        <f>IF(AND('3. GRI Pricing'!$F520&gt;='2. GRI Pricing Inputs'!$D$33,'3. GRI Pricing'!$F520&lt;='2. GRI Pricing Inputs'!$E$33),'2. GRI Pricing Inputs'!$D$32,IF(AND('3. GRI Pricing'!$F520&gt;='2. GRI Pricing Inputs'!$F$33,'3. GRI Pricing'!$F520&lt;='2. GRI Pricing Inputs'!$G$33),'2. GRI Pricing Inputs'!$F$32,IF(AND('3. GRI Pricing'!$F520&gt;='2. GRI Pricing Inputs'!$H$33,'3. GRI Pricing'!$F520&lt;='2. GRI Pricing Inputs'!$I$33),'2. GRI Pricing Inputs'!$H$32,IF(AND('3. GRI Pricing'!$F520&gt;='2. GRI Pricing Inputs'!$J$33,'3. GRI Pricing'!$F520&lt;='2. GRI Pricing Inputs'!$K$33),'2. GRI Pricing Inputs'!$J$32,IF(AND('3. GRI Pricing'!$F520&gt;='2. GRI Pricing Inputs'!$L$33,'3. GRI Pricing'!$F520&lt;='2. GRI Pricing Inputs'!$M$33),'2. GRI Pricing Inputs'!$L$32,IF(AND('3. GRI Pricing'!$F520&gt;='2. GRI Pricing Inputs'!$N$33,'3. GRI Pricing'!$F520&lt;='2. GRI Pricing Inputs'!$O$33),'2. GRI Pricing Inputs'!$N$32,IF(AND('3. GRI Pricing'!$F520&gt;='2. GRI Pricing Inputs'!$P$33,'3. GRI Pricing'!$F520&lt;='2. GRI Pricing Inputs'!$Q$33),'2. GRI Pricing Inputs'!$P$32,IF(AND('3. GRI Pricing'!$F520&gt;='2. GRI Pricing Inputs'!$R$33,'3. GRI Pricing'!$F520&lt;='2. GRI Pricing Inputs'!$S$33),'2. GRI Pricing Inputs'!$R$32,IF(AND('3. GRI Pricing'!$F520&gt;='2. GRI Pricing Inputs'!$T$33,'3. GRI Pricing'!$F520&lt;='2. GRI Pricing Inputs'!$U$33),'2. GRI Pricing Inputs'!$T$32,IF(AND('3. GRI Pricing'!$F520&gt;='2. GRI Pricing Inputs'!$V$33,'3. GRI Pricing'!$F520&lt;='2. GRI Pricing Inputs'!$W$33),'2. GRI Pricing Inputs'!$V$32,IF(AND('3. GRI Pricing'!$F520&gt;='2. GRI Pricing Inputs'!$X$33,'3. GRI Pricing'!$F520&lt;='2. GRI Pricing Inputs'!$Y$33),'2. GRI Pricing Inputs'!$X$32,IF(AND('3. GRI Pricing'!$F520&gt;='2. GRI Pricing Inputs'!$Z$33,'3. GRI Pricing'!$F520&lt;='2. GRI Pricing Inputs'!$AA$33),'2. GRI Pricing Inputs'!$Z$32,IF(AND('3. GRI Pricing'!$F520&gt;='2. GRI Pricing Inputs'!$AB$33,'3. GRI Pricing'!$F520&lt;='2. GRI Pricing Inputs'!$AC$33),'2. GRI Pricing Inputs'!$AB$32,IF(AND('3. GRI Pricing'!$F520&gt;='2. GRI Pricing Inputs'!$AD$33,'3. GRI Pricing'!$F520&lt;='2. GRI Pricing Inputs'!$AE$33),'2. GRI Pricing Inputs'!$AD$32,IF(AND('3. GRI Pricing'!$F520&gt;='2. GRI Pricing Inputs'!$AF$33,'3. GRI Pricing'!$F520&lt;='2. GRI Pricing Inputs'!$AG$33),'2. GRI Pricing Inputs'!$AF$32,IF(AND('3. GRI Pricing'!$F520&gt;='2. GRI Pricing Inputs'!$AH$33,'3. GRI Pricing'!$F520&lt;='2. GRI Pricing Inputs'!$AI$33),'2. GRI Pricing Inputs'!$AH$32,0))))))))))))))))</f>
        <v>0</v>
      </c>
      <c r="N520" s="273" cm="1">
        <f t="array" ref="N520">IFERROR(INDEX('2. GRI Pricing Inputs'!$C$32:$AI$39,MATCH('3. GRI Pricing'!D520,'2. GRI Pricing Inputs'!$C$32:$C$39,0),(MATCH('3. GRI Pricing'!M520,'2. GRI Pricing Inputs'!$D$32:$AI$32,0)+1)),0)</f>
        <v>0</v>
      </c>
      <c r="O520" s="273">
        <f>IFERROR(INDEX('2. GRI Pricing Inputs'!$C$45:$AI$46,MATCH($O$16,'2. GRI Pricing Inputs'!$C$45:$C$46,0),MATCH(G520,'2. GRI Pricing Inputs'!$C$45:$AI$45,0)),0)</f>
        <v>0</v>
      </c>
      <c r="P520" s="273">
        <f>IFERROR(INDEX('2. GRI Pricing Inputs'!$C$53:$AI$54,MATCH('3. GRI Pricing'!$P$16,'2. GRI Pricing Inputs'!$C$53:$C$54,0),MATCH('3. GRI Pricing'!H520,'2. GRI Pricing Inputs'!$C$53:$AI$53,0)),0)</f>
        <v>0</v>
      </c>
      <c r="Q520" s="273">
        <f>IFERROR(INDEX('2. GRI Pricing Inputs'!$C$60:$AI$61,MATCH('3. GRI Pricing'!$Q$16,'2. GRI Pricing Inputs'!$C$60:$C$61,0),MATCH('1. Accomodation'!T524,'2. GRI Pricing Inputs'!$C$60:$AI$60,0)),0)</f>
        <v>0</v>
      </c>
      <c r="R520" s="273">
        <f>IFERROR(INDEX('2. GRI Pricing Inputs'!$C$67:$AI$68,MATCH('3. GRI Pricing'!$R$16,'2. GRI Pricing Inputs'!$C$67:$C$68,0),MATCH('1. Accomodation'!U524,'2. GRI Pricing Inputs'!$C$67:$AI$67,0)),0)</f>
        <v>0</v>
      </c>
      <c r="S520" s="273">
        <f>IF(D520=0,0,'2. GRI Pricing Inputs'!$AI$75)</f>
        <v>0</v>
      </c>
      <c r="T520" s="273">
        <f>IFERROR(INDEX('2. GRI Pricing Inputs'!$C$82:$AI$83,MATCH('3. GRI Pricing'!$T$16,'2. GRI Pricing Inputs'!$C$82:$C$83,0),MATCH('1. Accomodation'!V524,'2. GRI Pricing Inputs'!$C$82:$AI$82,0)),0)</f>
        <v>0</v>
      </c>
      <c r="U520" s="273">
        <f>IFERROR(INDEX('2. GRI Pricing Inputs'!$C$89:$AI$90,MATCH('3. GRI Pricing'!$U$16,'2. GRI Pricing Inputs'!$C$89:$C$90,0),MATCH('1. Accomodation'!W524,'2. GRI Pricing Inputs'!$C$89:$AI$89,0)),0)</f>
        <v>0</v>
      </c>
      <c r="V520" s="273">
        <f>IFERROR(INDEX('2. GRI Pricing Inputs'!$C$97:$AI$98,MATCH('3. GRI Pricing'!$V$16,'2. GRI Pricing Inputs'!$C$97:$C$98,0),MATCH('1. Accomodation'!X524,'2. GRI Pricing Inputs'!$C$97:$AI$97,0)),0)</f>
        <v>0</v>
      </c>
      <c r="W520" s="273">
        <f>IFERROR(INDEX('2. GRI Pricing Inputs'!$C$104:$AI$105,MATCH('3. GRI Pricing'!$W$16,'2. GRI Pricing Inputs'!$C$104:$C$105,0),MATCH('1. Accomodation'!Y524,'2. GRI Pricing Inputs'!$C$104:$AI$104,0)),0)</f>
        <v>0</v>
      </c>
      <c r="X520" s="274"/>
      <c r="Y520" s="275">
        <f t="shared" si="14"/>
        <v>0</v>
      </c>
      <c r="Z520" s="276"/>
      <c r="AA520" s="276"/>
      <c r="AB520" s="276"/>
      <c r="AC520" s="272">
        <f>Y520*(1+'2. GRI Pricing Inputs'!$D$114)^(($AC$16-$AB$15)/365)</f>
        <v>0</v>
      </c>
      <c r="AD520" s="273">
        <f>AC520*(1+'2. GRI Pricing Inputs'!$D$114)^((AD$16-AC$16)/365)</f>
        <v>0</v>
      </c>
      <c r="AE520" s="273">
        <f>AD520*(1+'2. GRI Pricing Inputs'!$D$114)^((AE$16-AD$16)/365)</f>
        <v>0</v>
      </c>
      <c r="AF520" s="273">
        <f>AE520*(1+'2. GRI Pricing Inputs'!$D$114)^((AF$16-AE$16)/365)</f>
        <v>0</v>
      </c>
      <c r="AG520" s="273">
        <f>AF520*(1+'2. GRI Pricing Inputs'!$D$114)^((AG$16-AF$16)/365)</f>
        <v>0</v>
      </c>
      <c r="AH520" s="273">
        <f>AG520*(1+'2. GRI Pricing Inputs'!$D$114)^((AH$16-AG$16)/365)</f>
        <v>0</v>
      </c>
      <c r="AI520" s="273">
        <f>AH520*(1+'2. GRI Pricing Inputs'!$D$114)^((AI$16-AH$16)/365)</f>
        <v>0</v>
      </c>
      <c r="AJ520" s="273">
        <f>AI520*(1+'2. GRI Pricing Inputs'!$D$114)^((AJ$16-AI$16)/365)</f>
        <v>0</v>
      </c>
      <c r="AK520" s="273">
        <f>AJ520*(1+'2. GRI Pricing Inputs'!$D$114)^((AK$16-AJ$16)/365)</f>
        <v>0</v>
      </c>
      <c r="AL520" s="273">
        <f>AK520*(1+'2. GRI Pricing Inputs'!$D$114)^((AL$16-AK$16)/365)</f>
        <v>0</v>
      </c>
      <c r="AM520" s="273">
        <f>AL520*(1+'2. GRI Pricing Inputs'!$D$114)^((AM$16-AL$16)/365)</f>
        <v>0</v>
      </c>
      <c r="AN520" s="273">
        <f>AM520*(1+'2. GRI Pricing Inputs'!$D$114)^((AN$16-AM$16)/365)</f>
        <v>0</v>
      </c>
      <c r="AO520" s="273">
        <f>AN520*(1+'2. GRI Pricing Inputs'!$D$114)^((AO$16-AN$16)/365)</f>
        <v>0</v>
      </c>
    </row>
    <row r="521" spans="3:41" ht="12" x14ac:dyDescent="0.2">
      <c r="C521" s="76">
        <f>'1. Accomodation'!N525</f>
        <v>0</v>
      </c>
      <c r="D521" s="69">
        <f>'1. Accomodation'!P525</f>
        <v>0</v>
      </c>
      <c r="E521" s="69">
        <f>'1. Accomodation'!Q525</f>
        <v>0</v>
      </c>
      <c r="F521" s="77">
        <f>'1. Accomodation'!O525</f>
        <v>0</v>
      </c>
      <c r="G521" s="69">
        <f>'1. Accomodation'!R525</f>
        <v>0</v>
      </c>
      <c r="H521" s="69">
        <f>'1. Accomodation'!S525</f>
        <v>0</v>
      </c>
      <c r="I521" s="62"/>
      <c r="K521" s="272">
        <f>IFERROR(INDEX('2. GRI Pricing Inputs'!$C$15:$AI$16,MATCH($K$16,'2. GRI Pricing Inputs'!$C$15:$C$16,0),MATCH(D521,'2. GRI Pricing Inputs'!$C$15:$AI$15,0)),0)</f>
        <v>0</v>
      </c>
      <c r="L521" s="273">
        <f>IFERROR(INDEX('2. GRI Pricing Inputs'!$C$22:$AI$23,MATCH($L$16,'2. GRI Pricing Inputs'!$C$22:$C$23,0),MATCH(E521,'2. GRI Pricing Inputs'!$C$22:$AI$22,0)),0)</f>
        <v>0</v>
      </c>
      <c r="M521" s="328">
        <f>IF(AND('3. GRI Pricing'!$F521&gt;='2. GRI Pricing Inputs'!$D$33,'3. GRI Pricing'!$F521&lt;='2. GRI Pricing Inputs'!$E$33),'2. GRI Pricing Inputs'!$D$32,IF(AND('3. GRI Pricing'!$F521&gt;='2. GRI Pricing Inputs'!$F$33,'3. GRI Pricing'!$F521&lt;='2. GRI Pricing Inputs'!$G$33),'2. GRI Pricing Inputs'!$F$32,IF(AND('3. GRI Pricing'!$F521&gt;='2. GRI Pricing Inputs'!$H$33,'3. GRI Pricing'!$F521&lt;='2. GRI Pricing Inputs'!$I$33),'2. GRI Pricing Inputs'!$H$32,IF(AND('3. GRI Pricing'!$F521&gt;='2. GRI Pricing Inputs'!$J$33,'3. GRI Pricing'!$F521&lt;='2. GRI Pricing Inputs'!$K$33),'2. GRI Pricing Inputs'!$J$32,IF(AND('3. GRI Pricing'!$F521&gt;='2. GRI Pricing Inputs'!$L$33,'3. GRI Pricing'!$F521&lt;='2. GRI Pricing Inputs'!$M$33),'2. GRI Pricing Inputs'!$L$32,IF(AND('3. GRI Pricing'!$F521&gt;='2. GRI Pricing Inputs'!$N$33,'3. GRI Pricing'!$F521&lt;='2. GRI Pricing Inputs'!$O$33),'2. GRI Pricing Inputs'!$N$32,IF(AND('3. GRI Pricing'!$F521&gt;='2. GRI Pricing Inputs'!$P$33,'3. GRI Pricing'!$F521&lt;='2. GRI Pricing Inputs'!$Q$33),'2. GRI Pricing Inputs'!$P$32,IF(AND('3. GRI Pricing'!$F521&gt;='2. GRI Pricing Inputs'!$R$33,'3. GRI Pricing'!$F521&lt;='2. GRI Pricing Inputs'!$S$33),'2. GRI Pricing Inputs'!$R$32,IF(AND('3. GRI Pricing'!$F521&gt;='2. GRI Pricing Inputs'!$T$33,'3. GRI Pricing'!$F521&lt;='2. GRI Pricing Inputs'!$U$33),'2. GRI Pricing Inputs'!$T$32,IF(AND('3. GRI Pricing'!$F521&gt;='2. GRI Pricing Inputs'!$V$33,'3. GRI Pricing'!$F521&lt;='2. GRI Pricing Inputs'!$W$33),'2. GRI Pricing Inputs'!$V$32,IF(AND('3. GRI Pricing'!$F521&gt;='2. GRI Pricing Inputs'!$X$33,'3. GRI Pricing'!$F521&lt;='2. GRI Pricing Inputs'!$Y$33),'2. GRI Pricing Inputs'!$X$32,IF(AND('3. GRI Pricing'!$F521&gt;='2. GRI Pricing Inputs'!$Z$33,'3. GRI Pricing'!$F521&lt;='2. GRI Pricing Inputs'!$AA$33),'2. GRI Pricing Inputs'!$Z$32,IF(AND('3. GRI Pricing'!$F521&gt;='2. GRI Pricing Inputs'!$AB$33,'3. GRI Pricing'!$F521&lt;='2. GRI Pricing Inputs'!$AC$33),'2. GRI Pricing Inputs'!$AB$32,IF(AND('3. GRI Pricing'!$F521&gt;='2. GRI Pricing Inputs'!$AD$33,'3. GRI Pricing'!$F521&lt;='2. GRI Pricing Inputs'!$AE$33),'2. GRI Pricing Inputs'!$AD$32,IF(AND('3. GRI Pricing'!$F521&gt;='2. GRI Pricing Inputs'!$AF$33,'3. GRI Pricing'!$F521&lt;='2. GRI Pricing Inputs'!$AG$33),'2. GRI Pricing Inputs'!$AF$32,IF(AND('3. GRI Pricing'!$F521&gt;='2. GRI Pricing Inputs'!$AH$33,'3. GRI Pricing'!$F521&lt;='2. GRI Pricing Inputs'!$AI$33),'2. GRI Pricing Inputs'!$AH$32,0))))))))))))))))</f>
        <v>0</v>
      </c>
      <c r="N521" s="273" cm="1">
        <f t="array" ref="N521">IFERROR(INDEX('2. GRI Pricing Inputs'!$C$32:$AI$39,MATCH('3. GRI Pricing'!D521,'2. GRI Pricing Inputs'!$C$32:$C$39,0),(MATCH('3. GRI Pricing'!M521,'2. GRI Pricing Inputs'!$D$32:$AI$32,0)+1)),0)</f>
        <v>0</v>
      </c>
      <c r="O521" s="273">
        <f>IFERROR(INDEX('2. GRI Pricing Inputs'!$C$45:$AI$46,MATCH($O$16,'2. GRI Pricing Inputs'!$C$45:$C$46,0),MATCH(G521,'2. GRI Pricing Inputs'!$C$45:$AI$45,0)),0)</f>
        <v>0</v>
      </c>
      <c r="P521" s="273">
        <f>IFERROR(INDEX('2. GRI Pricing Inputs'!$C$53:$AI$54,MATCH('3. GRI Pricing'!$P$16,'2. GRI Pricing Inputs'!$C$53:$C$54,0),MATCH('3. GRI Pricing'!H521,'2. GRI Pricing Inputs'!$C$53:$AI$53,0)),0)</f>
        <v>0</v>
      </c>
      <c r="Q521" s="273">
        <f>IFERROR(INDEX('2. GRI Pricing Inputs'!$C$60:$AI$61,MATCH('3. GRI Pricing'!$Q$16,'2. GRI Pricing Inputs'!$C$60:$C$61,0),MATCH('1. Accomodation'!T525,'2. GRI Pricing Inputs'!$C$60:$AI$60,0)),0)</f>
        <v>0</v>
      </c>
      <c r="R521" s="273">
        <f>IFERROR(INDEX('2. GRI Pricing Inputs'!$C$67:$AI$68,MATCH('3. GRI Pricing'!$R$16,'2. GRI Pricing Inputs'!$C$67:$C$68,0),MATCH('1. Accomodation'!U525,'2. GRI Pricing Inputs'!$C$67:$AI$67,0)),0)</f>
        <v>0</v>
      </c>
      <c r="S521" s="273">
        <f>IF(D521=0,0,'2. GRI Pricing Inputs'!$AI$75)</f>
        <v>0</v>
      </c>
      <c r="T521" s="273">
        <f>IFERROR(INDEX('2. GRI Pricing Inputs'!$C$82:$AI$83,MATCH('3. GRI Pricing'!$T$16,'2. GRI Pricing Inputs'!$C$82:$C$83,0),MATCH('1. Accomodation'!V525,'2. GRI Pricing Inputs'!$C$82:$AI$82,0)),0)</f>
        <v>0</v>
      </c>
      <c r="U521" s="273">
        <f>IFERROR(INDEX('2. GRI Pricing Inputs'!$C$89:$AI$90,MATCH('3. GRI Pricing'!$U$16,'2. GRI Pricing Inputs'!$C$89:$C$90,0),MATCH('1. Accomodation'!W525,'2. GRI Pricing Inputs'!$C$89:$AI$89,0)),0)</f>
        <v>0</v>
      </c>
      <c r="V521" s="273">
        <f>IFERROR(INDEX('2. GRI Pricing Inputs'!$C$97:$AI$98,MATCH('3. GRI Pricing'!$V$16,'2. GRI Pricing Inputs'!$C$97:$C$98,0),MATCH('1. Accomodation'!X525,'2. GRI Pricing Inputs'!$C$97:$AI$97,0)),0)</f>
        <v>0</v>
      </c>
      <c r="W521" s="273">
        <f>IFERROR(INDEX('2. GRI Pricing Inputs'!$C$104:$AI$105,MATCH('3. GRI Pricing'!$W$16,'2. GRI Pricing Inputs'!$C$104:$C$105,0),MATCH('1. Accomodation'!Y525,'2. GRI Pricing Inputs'!$C$104:$AI$104,0)),0)</f>
        <v>0</v>
      </c>
      <c r="X521" s="274"/>
      <c r="Y521" s="275">
        <f t="shared" si="14"/>
        <v>0</v>
      </c>
      <c r="Z521" s="276"/>
      <c r="AA521" s="276"/>
      <c r="AB521" s="276"/>
      <c r="AC521" s="272">
        <f>Y521*(1+'2. GRI Pricing Inputs'!$D$114)^(($AC$16-$AB$15)/365)</f>
        <v>0</v>
      </c>
      <c r="AD521" s="273">
        <f>AC521*(1+'2. GRI Pricing Inputs'!$D$114)^((AD$16-AC$16)/365)</f>
        <v>0</v>
      </c>
      <c r="AE521" s="273">
        <f>AD521*(1+'2. GRI Pricing Inputs'!$D$114)^((AE$16-AD$16)/365)</f>
        <v>0</v>
      </c>
      <c r="AF521" s="273">
        <f>AE521*(1+'2. GRI Pricing Inputs'!$D$114)^((AF$16-AE$16)/365)</f>
        <v>0</v>
      </c>
      <c r="AG521" s="273">
        <f>AF521*(1+'2. GRI Pricing Inputs'!$D$114)^((AG$16-AF$16)/365)</f>
        <v>0</v>
      </c>
      <c r="AH521" s="273">
        <f>AG521*(1+'2. GRI Pricing Inputs'!$D$114)^((AH$16-AG$16)/365)</f>
        <v>0</v>
      </c>
      <c r="AI521" s="273">
        <f>AH521*(1+'2. GRI Pricing Inputs'!$D$114)^((AI$16-AH$16)/365)</f>
        <v>0</v>
      </c>
      <c r="AJ521" s="273">
        <f>AI521*(1+'2. GRI Pricing Inputs'!$D$114)^((AJ$16-AI$16)/365)</f>
        <v>0</v>
      </c>
      <c r="AK521" s="273">
        <f>AJ521*(1+'2. GRI Pricing Inputs'!$D$114)^((AK$16-AJ$16)/365)</f>
        <v>0</v>
      </c>
      <c r="AL521" s="273">
        <f>AK521*(1+'2. GRI Pricing Inputs'!$D$114)^((AL$16-AK$16)/365)</f>
        <v>0</v>
      </c>
      <c r="AM521" s="273">
        <f>AL521*(1+'2. GRI Pricing Inputs'!$D$114)^((AM$16-AL$16)/365)</f>
        <v>0</v>
      </c>
      <c r="AN521" s="273">
        <f>AM521*(1+'2. GRI Pricing Inputs'!$D$114)^((AN$16-AM$16)/365)</f>
        <v>0</v>
      </c>
      <c r="AO521" s="273">
        <f>AN521*(1+'2. GRI Pricing Inputs'!$D$114)^((AO$16-AN$16)/365)</f>
        <v>0</v>
      </c>
    </row>
    <row r="522" spans="3:41" ht="12" x14ac:dyDescent="0.2">
      <c r="C522" s="76">
        <f>'1. Accomodation'!N526</f>
        <v>0</v>
      </c>
      <c r="D522" s="69">
        <f>'1. Accomodation'!P526</f>
        <v>0</v>
      </c>
      <c r="E522" s="69">
        <f>'1. Accomodation'!Q526</f>
        <v>0</v>
      </c>
      <c r="F522" s="77">
        <f>'1. Accomodation'!O526</f>
        <v>0</v>
      </c>
      <c r="G522" s="69">
        <f>'1. Accomodation'!R526</f>
        <v>0</v>
      </c>
      <c r="H522" s="69">
        <f>'1. Accomodation'!S526</f>
        <v>0</v>
      </c>
      <c r="I522" s="62"/>
      <c r="K522" s="272">
        <f>IFERROR(INDEX('2. GRI Pricing Inputs'!$C$15:$AI$16,MATCH($K$16,'2. GRI Pricing Inputs'!$C$15:$C$16,0),MATCH(D522,'2. GRI Pricing Inputs'!$C$15:$AI$15,0)),0)</f>
        <v>0</v>
      </c>
      <c r="L522" s="273">
        <f>IFERROR(INDEX('2. GRI Pricing Inputs'!$C$22:$AI$23,MATCH($L$16,'2. GRI Pricing Inputs'!$C$22:$C$23,0),MATCH(E522,'2. GRI Pricing Inputs'!$C$22:$AI$22,0)),0)</f>
        <v>0</v>
      </c>
      <c r="M522" s="328">
        <f>IF(AND('3. GRI Pricing'!$F522&gt;='2. GRI Pricing Inputs'!$D$33,'3. GRI Pricing'!$F522&lt;='2. GRI Pricing Inputs'!$E$33),'2. GRI Pricing Inputs'!$D$32,IF(AND('3. GRI Pricing'!$F522&gt;='2. GRI Pricing Inputs'!$F$33,'3. GRI Pricing'!$F522&lt;='2. GRI Pricing Inputs'!$G$33),'2. GRI Pricing Inputs'!$F$32,IF(AND('3. GRI Pricing'!$F522&gt;='2. GRI Pricing Inputs'!$H$33,'3. GRI Pricing'!$F522&lt;='2. GRI Pricing Inputs'!$I$33),'2. GRI Pricing Inputs'!$H$32,IF(AND('3. GRI Pricing'!$F522&gt;='2. GRI Pricing Inputs'!$J$33,'3. GRI Pricing'!$F522&lt;='2. GRI Pricing Inputs'!$K$33),'2. GRI Pricing Inputs'!$J$32,IF(AND('3. GRI Pricing'!$F522&gt;='2. GRI Pricing Inputs'!$L$33,'3. GRI Pricing'!$F522&lt;='2. GRI Pricing Inputs'!$M$33),'2. GRI Pricing Inputs'!$L$32,IF(AND('3. GRI Pricing'!$F522&gt;='2. GRI Pricing Inputs'!$N$33,'3. GRI Pricing'!$F522&lt;='2. GRI Pricing Inputs'!$O$33),'2. GRI Pricing Inputs'!$N$32,IF(AND('3. GRI Pricing'!$F522&gt;='2. GRI Pricing Inputs'!$P$33,'3. GRI Pricing'!$F522&lt;='2. GRI Pricing Inputs'!$Q$33),'2. GRI Pricing Inputs'!$P$32,IF(AND('3. GRI Pricing'!$F522&gt;='2. GRI Pricing Inputs'!$R$33,'3. GRI Pricing'!$F522&lt;='2. GRI Pricing Inputs'!$S$33),'2. GRI Pricing Inputs'!$R$32,IF(AND('3. GRI Pricing'!$F522&gt;='2. GRI Pricing Inputs'!$T$33,'3. GRI Pricing'!$F522&lt;='2. GRI Pricing Inputs'!$U$33),'2. GRI Pricing Inputs'!$T$32,IF(AND('3. GRI Pricing'!$F522&gt;='2. GRI Pricing Inputs'!$V$33,'3. GRI Pricing'!$F522&lt;='2. GRI Pricing Inputs'!$W$33),'2. GRI Pricing Inputs'!$V$32,IF(AND('3. GRI Pricing'!$F522&gt;='2. GRI Pricing Inputs'!$X$33,'3. GRI Pricing'!$F522&lt;='2. GRI Pricing Inputs'!$Y$33),'2. GRI Pricing Inputs'!$X$32,IF(AND('3. GRI Pricing'!$F522&gt;='2. GRI Pricing Inputs'!$Z$33,'3. GRI Pricing'!$F522&lt;='2. GRI Pricing Inputs'!$AA$33),'2. GRI Pricing Inputs'!$Z$32,IF(AND('3. GRI Pricing'!$F522&gt;='2. GRI Pricing Inputs'!$AB$33,'3. GRI Pricing'!$F522&lt;='2. GRI Pricing Inputs'!$AC$33),'2. GRI Pricing Inputs'!$AB$32,IF(AND('3. GRI Pricing'!$F522&gt;='2. GRI Pricing Inputs'!$AD$33,'3. GRI Pricing'!$F522&lt;='2. GRI Pricing Inputs'!$AE$33),'2. GRI Pricing Inputs'!$AD$32,IF(AND('3. GRI Pricing'!$F522&gt;='2. GRI Pricing Inputs'!$AF$33,'3. GRI Pricing'!$F522&lt;='2. GRI Pricing Inputs'!$AG$33),'2. GRI Pricing Inputs'!$AF$32,IF(AND('3. GRI Pricing'!$F522&gt;='2. GRI Pricing Inputs'!$AH$33,'3. GRI Pricing'!$F522&lt;='2. GRI Pricing Inputs'!$AI$33),'2. GRI Pricing Inputs'!$AH$32,0))))))))))))))))</f>
        <v>0</v>
      </c>
      <c r="N522" s="273" cm="1">
        <f t="array" ref="N522">IFERROR(INDEX('2. GRI Pricing Inputs'!$C$32:$AI$39,MATCH('3. GRI Pricing'!D522,'2. GRI Pricing Inputs'!$C$32:$C$39,0),(MATCH('3. GRI Pricing'!M522,'2. GRI Pricing Inputs'!$D$32:$AI$32,0)+1)),0)</f>
        <v>0</v>
      </c>
      <c r="O522" s="273">
        <f>IFERROR(INDEX('2. GRI Pricing Inputs'!$C$45:$AI$46,MATCH($O$16,'2. GRI Pricing Inputs'!$C$45:$C$46,0),MATCH(G522,'2. GRI Pricing Inputs'!$C$45:$AI$45,0)),0)</f>
        <v>0</v>
      </c>
      <c r="P522" s="273">
        <f>IFERROR(INDEX('2. GRI Pricing Inputs'!$C$53:$AI$54,MATCH('3. GRI Pricing'!$P$16,'2. GRI Pricing Inputs'!$C$53:$C$54,0),MATCH('3. GRI Pricing'!H522,'2. GRI Pricing Inputs'!$C$53:$AI$53,0)),0)</f>
        <v>0</v>
      </c>
      <c r="Q522" s="273">
        <f>IFERROR(INDEX('2. GRI Pricing Inputs'!$C$60:$AI$61,MATCH('3. GRI Pricing'!$Q$16,'2. GRI Pricing Inputs'!$C$60:$C$61,0),MATCH('1. Accomodation'!T526,'2. GRI Pricing Inputs'!$C$60:$AI$60,0)),0)</f>
        <v>0</v>
      </c>
      <c r="R522" s="273">
        <f>IFERROR(INDEX('2. GRI Pricing Inputs'!$C$67:$AI$68,MATCH('3. GRI Pricing'!$R$16,'2. GRI Pricing Inputs'!$C$67:$C$68,0),MATCH('1. Accomodation'!U526,'2. GRI Pricing Inputs'!$C$67:$AI$67,0)),0)</f>
        <v>0</v>
      </c>
      <c r="S522" s="273">
        <f>IF(D522=0,0,'2. GRI Pricing Inputs'!$AI$75)</f>
        <v>0</v>
      </c>
      <c r="T522" s="273">
        <f>IFERROR(INDEX('2. GRI Pricing Inputs'!$C$82:$AI$83,MATCH('3. GRI Pricing'!$T$16,'2. GRI Pricing Inputs'!$C$82:$C$83,0),MATCH('1. Accomodation'!V526,'2. GRI Pricing Inputs'!$C$82:$AI$82,0)),0)</f>
        <v>0</v>
      </c>
      <c r="U522" s="273">
        <f>IFERROR(INDEX('2. GRI Pricing Inputs'!$C$89:$AI$90,MATCH('3. GRI Pricing'!$U$16,'2. GRI Pricing Inputs'!$C$89:$C$90,0),MATCH('1. Accomodation'!W526,'2. GRI Pricing Inputs'!$C$89:$AI$89,0)),0)</f>
        <v>0</v>
      </c>
      <c r="V522" s="273">
        <f>IFERROR(INDEX('2. GRI Pricing Inputs'!$C$97:$AI$98,MATCH('3. GRI Pricing'!$V$16,'2. GRI Pricing Inputs'!$C$97:$C$98,0),MATCH('1. Accomodation'!X526,'2. GRI Pricing Inputs'!$C$97:$AI$97,0)),0)</f>
        <v>0</v>
      </c>
      <c r="W522" s="273">
        <f>IFERROR(INDEX('2. GRI Pricing Inputs'!$C$104:$AI$105,MATCH('3. GRI Pricing'!$W$16,'2. GRI Pricing Inputs'!$C$104:$C$105,0),MATCH('1. Accomodation'!Y526,'2. GRI Pricing Inputs'!$C$104:$AI$104,0)),0)</f>
        <v>0</v>
      </c>
      <c r="X522" s="274"/>
      <c r="Y522" s="275">
        <f t="shared" si="14"/>
        <v>0</v>
      </c>
      <c r="Z522" s="276"/>
      <c r="AA522" s="276"/>
      <c r="AB522" s="276"/>
      <c r="AC522" s="272">
        <f>Y522*(1+'2. GRI Pricing Inputs'!$D$114)^(($AC$16-$AB$15)/365)</f>
        <v>0</v>
      </c>
      <c r="AD522" s="273">
        <f>AC522*(1+'2. GRI Pricing Inputs'!$D$114)^((AD$16-AC$16)/365)</f>
        <v>0</v>
      </c>
      <c r="AE522" s="273">
        <f>AD522*(1+'2. GRI Pricing Inputs'!$D$114)^((AE$16-AD$16)/365)</f>
        <v>0</v>
      </c>
      <c r="AF522" s="273">
        <f>AE522*(1+'2. GRI Pricing Inputs'!$D$114)^((AF$16-AE$16)/365)</f>
        <v>0</v>
      </c>
      <c r="AG522" s="273">
        <f>AF522*(1+'2. GRI Pricing Inputs'!$D$114)^((AG$16-AF$16)/365)</f>
        <v>0</v>
      </c>
      <c r="AH522" s="273">
        <f>AG522*(1+'2. GRI Pricing Inputs'!$D$114)^((AH$16-AG$16)/365)</f>
        <v>0</v>
      </c>
      <c r="AI522" s="273">
        <f>AH522*(1+'2. GRI Pricing Inputs'!$D$114)^((AI$16-AH$16)/365)</f>
        <v>0</v>
      </c>
      <c r="AJ522" s="273">
        <f>AI522*(1+'2. GRI Pricing Inputs'!$D$114)^((AJ$16-AI$16)/365)</f>
        <v>0</v>
      </c>
      <c r="AK522" s="273">
        <f>AJ522*(1+'2. GRI Pricing Inputs'!$D$114)^((AK$16-AJ$16)/365)</f>
        <v>0</v>
      </c>
      <c r="AL522" s="273">
        <f>AK522*(1+'2. GRI Pricing Inputs'!$D$114)^((AL$16-AK$16)/365)</f>
        <v>0</v>
      </c>
      <c r="AM522" s="273">
        <f>AL522*(1+'2. GRI Pricing Inputs'!$D$114)^((AM$16-AL$16)/365)</f>
        <v>0</v>
      </c>
      <c r="AN522" s="273">
        <f>AM522*(1+'2. GRI Pricing Inputs'!$D$114)^((AN$16-AM$16)/365)</f>
        <v>0</v>
      </c>
      <c r="AO522" s="273">
        <f>AN522*(1+'2. GRI Pricing Inputs'!$D$114)^((AO$16-AN$16)/365)</f>
        <v>0</v>
      </c>
    </row>
    <row r="523" spans="3:41" ht="12" x14ac:dyDescent="0.2">
      <c r="C523" s="76">
        <f>'1. Accomodation'!N527</f>
        <v>0</v>
      </c>
      <c r="D523" s="69">
        <f>'1. Accomodation'!P527</f>
        <v>0</v>
      </c>
      <c r="E523" s="69">
        <f>'1. Accomodation'!Q527</f>
        <v>0</v>
      </c>
      <c r="F523" s="77">
        <f>'1. Accomodation'!O527</f>
        <v>0</v>
      </c>
      <c r="G523" s="69">
        <f>'1. Accomodation'!R527</f>
        <v>0</v>
      </c>
      <c r="H523" s="69">
        <f>'1. Accomodation'!S527</f>
        <v>0</v>
      </c>
      <c r="I523" s="62"/>
      <c r="K523" s="272">
        <f>IFERROR(INDEX('2. GRI Pricing Inputs'!$C$15:$AI$16,MATCH($K$16,'2. GRI Pricing Inputs'!$C$15:$C$16,0),MATCH(D523,'2. GRI Pricing Inputs'!$C$15:$AI$15,0)),0)</f>
        <v>0</v>
      </c>
      <c r="L523" s="273">
        <f>IFERROR(INDEX('2. GRI Pricing Inputs'!$C$22:$AI$23,MATCH($L$16,'2. GRI Pricing Inputs'!$C$22:$C$23,0),MATCH(E523,'2. GRI Pricing Inputs'!$C$22:$AI$22,0)),0)</f>
        <v>0</v>
      </c>
      <c r="M523" s="328">
        <f>IF(AND('3. GRI Pricing'!$F523&gt;='2. GRI Pricing Inputs'!$D$33,'3. GRI Pricing'!$F523&lt;='2. GRI Pricing Inputs'!$E$33),'2. GRI Pricing Inputs'!$D$32,IF(AND('3. GRI Pricing'!$F523&gt;='2. GRI Pricing Inputs'!$F$33,'3. GRI Pricing'!$F523&lt;='2. GRI Pricing Inputs'!$G$33),'2. GRI Pricing Inputs'!$F$32,IF(AND('3. GRI Pricing'!$F523&gt;='2. GRI Pricing Inputs'!$H$33,'3. GRI Pricing'!$F523&lt;='2. GRI Pricing Inputs'!$I$33),'2. GRI Pricing Inputs'!$H$32,IF(AND('3. GRI Pricing'!$F523&gt;='2. GRI Pricing Inputs'!$J$33,'3. GRI Pricing'!$F523&lt;='2. GRI Pricing Inputs'!$K$33),'2. GRI Pricing Inputs'!$J$32,IF(AND('3. GRI Pricing'!$F523&gt;='2. GRI Pricing Inputs'!$L$33,'3. GRI Pricing'!$F523&lt;='2. GRI Pricing Inputs'!$M$33),'2. GRI Pricing Inputs'!$L$32,IF(AND('3. GRI Pricing'!$F523&gt;='2. GRI Pricing Inputs'!$N$33,'3. GRI Pricing'!$F523&lt;='2. GRI Pricing Inputs'!$O$33),'2. GRI Pricing Inputs'!$N$32,IF(AND('3. GRI Pricing'!$F523&gt;='2. GRI Pricing Inputs'!$P$33,'3. GRI Pricing'!$F523&lt;='2. GRI Pricing Inputs'!$Q$33),'2. GRI Pricing Inputs'!$P$32,IF(AND('3. GRI Pricing'!$F523&gt;='2. GRI Pricing Inputs'!$R$33,'3. GRI Pricing'!$F523&lt;='2. GRI Pricing Inputs'!$S$33),'2. GRI Pricing Inputs'!$R$32,IF(AND('3. GRI Pricing'!$F523&gt;='2. GRI Pricing Inputs'!$T$33,'3. GRI Pricing'!$F523&lt;='2. GRI Pricing Inputs'!$U$33),'2. GRI Pricing Inputs'!$T$32,IF(AND('3. GRI Pricing'!$F523&gt;='2. GRI Pricing Inputs'!$V$33,'3. GRI Pricing'!$F523&lt;='2. GRI Pricing Inputs'!$W$33),'2. GRI Pricing Inputs'!$V$32,IF(AND('3. GRI Pricing'!$F523&gt;='2. GRI Pricing Inputs'!$X$33,'3. GRI Pricing'!$F523&lt;='2. GRI Pricing Inputs'!$Y$33),'2. GRI Pricing Inputs'!$X$32,IF(AND('3. GRI Pricing'!$F523&gt;='2. GRI Pricing Inputs'!$Z$33,'3. GRI Pricing'!$F523&lt;='2. GRI Pricing Inputs'!$AA$33),'2. GRI Pricing Inputs'!$Z$32,IF(AND('3. GRI Pricing'!$F523&gt;='2. GRI Pricing Inputs'!$AB$33,'3. GRI Pricing'!$F523&lt;='2. GRI Pricing Inputs'!$AC$33),'2. GRI Pricing Inputs'!$AB$32,IF(AND('3. GRI Pricing'!$F523&gt;='2. GRI Pricing Inputs'!$AD$33,'3. GRI Pricing'!$F523&lt;='2. GRI Pricing Inputs'!$AE$33),'2. GRI Pricing Inputs'!$AD$32,IF(AND('3. GRI Pricing'!$F523&gt;='2. GRI Pricing Inputs'!$AF$33,'3. GRI Pricing'!$F523&lt;='2. GRI Pricing Inputs'!$AG$33),'2. GRI Pricing Inputs'!$AF$32,IF(AND('3. GRI Pricing'!$F523&gt;='2. GRI Pricing Inputs'!$AH$33,'3. GRI Pricing'!$F523&lt;='2. GRI Pricing Inputs'!$AI$33),'2. GRI Pricing Inputs'!$AH$32,0))))))))))))))))</f>
        <v>0</v>
      </c>
      <c r="N523" s="273" cm="1">
        <f t="array" ref="N523">IFERROR(INDEX('2. GRI Pricing Inputs'!$C$32:$AI$39,MATCH('3. GRI Pricing'!D523,'2. GRI Pricing Inputs'!$C$32:$C$39,0),(MATCH('3. GRI Pricing'!M523,'2. GRI Pricing Inputs'!$D$32:$AI$32,0)+1)),0)</f>
        <v>0</v>
      </c>
      <c r="O523" s="273">
        <f>IFERROR(INDEX('2. GRI Pricing Inputs'!$C$45:$AI$46,MATCH($O$16,'2. GRI Pricing Inputs'!$C$45:$C$46,0),MATCH(G523,'2. GRI Pricing Inputs'!$C$45:$AI$45,0)),0)</f>
        <v>0</v>
      </c>
      <c r="P523" s="273">
        <f>IFERROR(INDEX('2. GRI Pricing Inputs'!$C$53:$AI$54,MATCH('3. GRI Pricing'!$P$16,'2. GRI Pricing Inputs'!$C$53:$C$54,0),MATCH('3. GRI Pricing'!H523,'2. GRI Pricing Inputs'!$C$53:$AI$53,0)),0)</f>
        <v>0</v>
      </c>
      <c r="Q523" s="273">
        <f>IFERROR(INDEX('2. GRI Pricing Inputs'!$C$60:$AI$61,MATCH('3. GRI Pricing'!$Q$16,'2. GRI Pricing Inputs'!$C$60:$C$61,0),MATCH('1. Accomodation'!T527,'2. GRI Pricing Inputs'!$C$60:$AI$60,0)),0)</f>
        <v>0</v>
      </c>
      <c r="R523" s="273">
        <f>IFERROR(INDEX('2. GRI Pricing Inputs'!$C$67:$AI$68,MATCH('3. GRI Pricing'!$R$16,'2. GRI Pricing Inputs'!$C$67:$C$68,0),MATCH('1. Accomodation'!U527,'2. GRI Pricing Inputs'!$C$67:$AI$67,0)),0)</f>
        <v>0</v>
      </c>
      <c r="S523" s="273">
        <f>IF(D523=0,0,'2. GRI Pricing Inputs'!$AI$75)</f>
        <v>0</v>
      </c>
      <c r="T523" s="273">
        <f>IFERROR(INDEX('2. GRI Pricing Inputs'!$C$82:$AI$83,MATCH('3. GRI Pricing'!$T$16,'2. GRI Pricing Inputs'!$C$82:$C$83,0),MATCH('1. Accomodation'!V527,'2. GRI Pricing Inputs'!$C$82:$AI$82,0)),0)</f>
        <v>0</v>
      </c>
      <c r="U523" s="273">
        <f>IFERROR(INDEX('2. GRI Pricing Inputs'!$C$89:$AI$90,MATCH('3. GRI Pricing'!$U$16,'2. GRI Pricing Inputs'!$C$89:$C$90,0),MATCH('1. Accomodation'!W527,'2. GRI Pricing Inputs'!$C$89:$AI$89,0)),0)</f>
        <v>0</v>
      </c>
      <c r="V523" s="273">
        <f>IFERROR(INDEX('2. GRI Pricing Inputs'!$C$97:$AI$98,MATCH('3. GRI Pricing'!$V$16,'2. GRI Pricing Inputs'!$C$97:$C$98,0),MATCH('1. Accomodation'!X527,'2. GRI Pricing Inputs'!$C$97:$AI$97,0)),0)</f>
        <v>0</v>
      </c>
      <c r="W523" s="273">
        <f>IFERROR(INDEX('2. GRI Pricing Inputs'!$C$104:$AI$105,MATCH('3. GRI Pricing'!$W$16,'2. GRI Pricing Inputs'!$C$104:$C$105,0),MATCH('1. Accomodation'!Y527,'2. GRI Pricing Inputs'!$C$104:$AI$104,0)),0)</f>
        <v>0</v>
      </c>
      <c r="X523" s="274"/>
      <c r="Y523" s="275">
        <f t="shared" si="14"/>
        <v>0</v>
      </c>
      <c r="Z523" s="276"/>
      <c r="AA523" s="276"/>
      <c r="AB523" s="276"/>
      <c r="AC523" s="272">
        <f>Y523*(1+'2. GRI Pricing Inputs'!$D$114)^(($AC$16-$AB$15)/365)</f>
        <v>0</v>
      </c>
      <c r="AD523" s="273">
        <f>AC523*(1+'2. GRI Pricing Inputs'!$D$114)^((AD$16-AC$16)/365)</f>
        <v>0</v>
      </c>
      <c r="AE523" s="273">
        <f>AD523*(1+'2. GRI Pricing Inputs'!$D$114)^((AE$16-AD$16)/365)</f>
        <v>0</v>
      </c>
      <c r="AF523" s="273">
        <f>AE523*(1+'2. GRI Pricing Inputs'!$D$114)^((AF$16-AE$16)/365)</f>
        <v>0</v>
      </c>
      <c r="AG523" s="273">
        <f>AF523*(1+'2. GRI Pricing Inputs'!$D$114)^((AG$16-AF$16)/365)</f>
        <v>0</v>
      </c>
      <c r="AH523" s="273">
        <f>AG523*(1+'2. GRI Pricing Inputs'!$D$114)^((AH$16-AG$16)/365)</f>
        <v>0</v>
      </c>
      <c r="AI523" s="273">
        <f>AH523*(1+'2. GRI Pricing Inputs'!$D$114)^((AI$16-AH$16)/365)</f>
        <v>0</v>
      </c>
      <c r="AJ523" s="273">
        <f>AI523*(1+'2. GRI Pricing Inputs'!$D$114)^((AJ$16-AI$16)/365)</f>
        <v>0</v>
      </c>
      <c r="AK523" s="273">
        <f>AJ523*(1+'2. GRI Pricing Inputs'!$D$114)^((AK$16-AJ$16)/365)</f>
        <v>0</v>
      </c>
      <c r="AL523" s="273">
        <f>AK523*(1+'2. GRI Pricing Inputs'!$D$114)^((AL$16-AK$16)/365)</f>
        <v>0</v>
      </c>
      <c r="AM523" s="273">
        <f>AL523*(1+'2. GRI Pricing Inputs'!$D$114)^((AM$16-AL$16)/365)</f>
        <v>0</v>
      </c>
      <c r="AN523" s="273">
        <f>AM523*(1+'2. GRI Pricing Inputs'!$D$114)^((AN$16-AM$16)/365)</f>
        <v>0</v>
      </c>
      <c r="AO523" s="273">
        <f>AN523*(1+'2. GRI Pricing Inputs'!$D$114)^((AO$16-AN$16)/365)</f>
        <v>0</v>
      </c>
    </row>
    <row r="524" spans="3:41" ht="12" x14ac:dyDescent="0.2">
      <c r="C524" s="76">
        <f>'1. Accomodation'!N528</f>
        <v>0</v>
      </c>
      <c r="D524" s="69">
        <f>'1. Accomodation'!P528</f>
        <v>0</v>
      </c>
      <c r="E524" s="69">
        <f>'1. Accomodation'!Q528</f>
        <v>0</v>
      </c>
      <c r="F524" s="77">
        <f>'1. Accomodation'!O528</f>
        <v>0</v>
      </c>
      <c r="G524" s="69">
        <f>'1. Accomodation'!R528</f>
        <v>0</v>
      </c>
      <c r="H524" s="69">
        <f>'1. Accomodation'!S528</f>
        <v>0</v>
      </c>
      <c r="I524" s="62"/>
      <c r="K524" s="272">
        <f>IFERROR(INDEX('2. GRI Pricing Inputs'!$C$15:$AI$16,MATCH($K$16,'2. GRI Pricing Inputs'!$C$15:$C$16,0),MATCH(D524,'2. GRI Pricing Inputs'!$C$15:$AI$15,0)),0)</f>
        <v>0</v>
      </c>
      <c r="L524" s="273">
        <f>IFERROR(INDEX('2. GRI Pricing Inputs'!$C$22:$AI$23,MATCH($L$16,'2. GRI Pricing Inputs'!$C$22:$C$23,0),MATCH(E524,'2. GRI Pricing Inputs'!$C$22:$AI$22,0)),0)</f>
        <v>0</v>
      </c>
      <c r="M524" s="328">
        <f>IF(AND('3. GRI Pricing'!$F524&gt;='2. GRI Pricing Inputs'!$D$33,'3. GRI Pricing'!$F524&lt;='2. GRI Pricing Inputs'!$E$33),'2. GRI Pricing Inputs'!$D$32,IF(AND('3. GRI Pricing'!$F524&gt;='2. GRI Pricing Inputs'!$F$33,'3. GRI Pricing'!$F524&lt;='2. GRI Pricing Inputs'!$G$33),'2. GRI Pricing Inputs'!$F$32,IF(AND('3. GRI Pricing'!$F524&gt;='2. GRI Pricing Inputs'!$H$33,'3. GRI Pricing'!$F524&lt;='2. GRI Pricing Inputs'!$I$33),'2. GRI Pricing Inputs'!$H$32,IF(AND('3. GRI Pricing'!$F524&gt;='2. GRI Pricing Inputs'!$J$33,'3. GRI Pricing'!$F524&lt;='2. GRI Pricing Inputs'!$K$33),'2. GRI Pricing Inputs'!$J$32,IF(AND('3. GRI Pricing'!$F524&gt;='2. GRI Pricing Inputs'!$L$33,'3. GRI Pricing'!$F524&lt;='2. GRI Pricing Inputs'!$M$33),'2. GRI Pricing Inputs'!$L$32,IF(AND('3. GRI Pricing'!$F524&gt;='2. GRI Pricing Inputs'!$N$33,'3. GRI Pricing'!$F524&lt;='2. GRI Pricing Inputs'!$O$33),'2. GRI Pricing Inputs'!$N$32,IF(AND('3. GRI Pricing'!$F524&gt;='2. GRI Pricing Inputs'!$P$33,'3. GRI Pricing'!$F524&lt;='2. GRI Pricing Inputs'!$Q$33),'2. GRI Pricing Inputs'!$P$32,IF(AND('3. GRI Pricing'!$F524&gt;='2. GRI Pricing Inputs'!$R$33,'3. GRI Pricing'!$F524&lt;='2. GRI Pricing Inputs'!$S$33),'2. GRI Pricing Inputs'!$R$32,IF(AND('3. GRI Pricing'!$F524&gt;='2. GRI Pricing Inputs'!$T$33,'3. GRI Pricing'!$F524&lt;='2. GRI Pricing Inputs'!$U$33),'2. GRI Pricing Inputs'!$T$32,IF(AND('3. GRI Pricing'!$F524&gt;='2. GRI Pricing Inputs'!$V$33,'3. GRI Pricing'!$F524&lt;='2. GRI Pricing Inputs'!$W$33),'2. GRI Pricing Inputs'!$V$32,IF(AND('3. GRI Pricing'!$F524&gt;='2. GRI Pricing Inputs'!$X$33,'3. GRI Pricing'!$F524&lt;='2. GRI Pricing Inputs'!$Y$33),'2. GRI Pricing Inputs'!$X$32,IF(AND('3. GRI Pricing'!$F524&gt;='2. GRI Pricing Inputs'!$Z$33,'3. GRI Pricing'!$F524&lt;='2. GRI Pricing Inputs'!$AA$33),'2. GRI Pricing Inputs'!$Z$32,IF(AND('3. GRI Pricing'!$F524&gt;='2. GRI Pricing Inputs'!$AB$33,'3. GRI Pricing'!$F524&lt;='2. GRI Pricing Inputs'!$AC$33),'2. GRI Pricing Inputs'!$AB$32,IF(AND('3. GRI Pricing'!$F524&gt;='2. GRI Pricing Inputs'!$AD$33,'3. GRI Pricing'!$F524&lt;='2. GRI Pricing Inputs'!$AE$33),'2. GRI Pricing Inputs'!$AD$32,IF(AND('3. GRI Pricing'!$F524&gt;='2. GRI Pricing Inputs'!$AF$33,'3. GRI Pricing'!$F524&lt;='2. GRI Pricing Inputs'!$AG$33),'2. GRI Pricing Inputs'!$AF$32,IF(AND('3. GRI Pricing'!$F524&gt;='2. GRI Pricing Inputs'!$AH$33,'3. GRI Pricing'!$F524&lt;='2. GRI Pricing Inputs'!$AI$33),'2. GRI Pricing Inputs'!$AH$32,0))))))))))))))))</f>
        <v>0</v>
      </c>
      <c r="N524" s="273" cm="1">
        <f t="array" ref="N524">IFERROR(INDEX('2. GRI Pricing Inputs'!$C$32:$AI$39,MATCH('3. GRI Pricing'!D524,'2. GRI Pricing Inputs'!$C$32:$C$39,0),(MATCH('3. GRI Pricing'!M524,'2. GRI Pricing Inputs'!$D$32:$AI$32,0)+1)),0)</f>
        <v>0</v>
      </c>
      <c r="O524" s="273">
        <f>IFERROR(INDEX('2. GRI Pricing Inputs'!$C$45:$AI$46,MATCH($O$16,'2. GRI Pricing Inputs'!$C$45:$C$46,0),MATCH(G524,'2. GRI Pricing Inputs'!$C$45:$AI$45,0)),0)</f>
        <v>0</v>
      </c>
      <c r="P524" s="273">
        <f>IFERROR(INDEX('2. GRI Pricing Inputs'!$C$53:$AI$54,MATCH('3. GRI Pricing'!$P$16,'2. GRI Pricing Inputs'!$C$53:$C$54,0),MATCH('3. GRI Pricing'!H524,'2. GRI Pricing Inputs'!$C$53:$AI$53,0)),0)</f>
        <v>0</v>
      </c>
      <c r="Q524" s="273">
        <f>IFERROR(INDEX('2. GRI Pricing Inputs'!$C$60:$AI$61,MATCH('3. GRI Pricing'!$Q$16,'2. GRI Pricing Inputs'!$C$60:$C$61,0),MATCH('1. Accomodation'!T528,'2. GRI Pricing Inputs'!$C$60:$AI$60,0)),0)</f>
        <v>0</v>
      </c>
      <c r="R524" s="273">
        <f>IFERROR(INDEX('2. GRI Pricing Inputs'!$C$67:$AI$68,MATCH('3. GRI Pricing'!$R$16,'2. GRI Pricing Inputs'!$C$67:$C$68,0),MATCH('1. Accomodation'!U528,'2. GRI Pricing Inputs'!$C$67:$AI$67,0)),0)</f>
        <v>0</v>
      </c>
      <c r="S524" s="273">
        <f>IF(D524=0,0,'2. GRI Pricing Inputs'!$AI$75)</f>
        <v>0</v>
      </c>
      <c r="T524" s="273">
        <f>IFERROR(INDEX('2. GRI Pricing Inputs'!$C$82:$AI$83,MATCH('3. GRI Pricing'!$T$16,'2. GRI Pricing Inputs'!$C$82:$C$83,0),MATCH('1. Accomodation'!V528,'2. GRI Pricing Inputs'!$C$82:$AI$82,0)),0)</f>
        <v>0</v>
      </c>
      <c r="U524" s="273">
        <f>IFERROR(INDEX('2. GRI Pricing Inputs'!$C$89:$AI$90,MATCH('3. GRI Pricing'!$U$16,'2. GRI Pricing Inputs'!$C$89:$C$90,0),MATCH('1. Accomodation'!W528,'2. GRI Pricing Inputs'!$C$89:$AI$89,0)),0)</f>
        <v>0</v>
      </c>
      <c r="V524" s="273">
        <f>IFERROR(INDEX('2. GRI Pricing Inputs'!$C$97:$AI$98,MATCH('3. GRI Pricing'!$V$16,'2. GRI Pricing Inputs'!$C$97:$C$98,0),MATCH('1. Accomodation'!X528,'2. GRI Pricing Inputs'!$C$97:$AI$97,0)),0)</f>
        <v>0</v>
      </c>
      <c r="W524" s="273">
        <f>IFERROR(INDEX('2. GRI Pricing Inputs'!$C$104:$AI$105,MATCH('3. GRI Pricing'!$W$16,'2. GRI Pricing Inputs'!$C$104:$C$105,0),MATCH('1. Accomodation'!Y528,'2. GRI Pricing Inputs'!$C$104:$AI$104,0)),0)</f>
        <v>0</v>
      </c>
      <c r="X524" s="274"/>
      <c r="Y524" s="275">
        <f t="shared" si="14"/>
        <v>0</v>
      </c>
      <c r="Z524" s="276"/>
      <c r="AA524" s="276"/>
      <c r="AB524" s="276"/>
      <c r="AC524" s="272">
        <f>Y524*(1+'2. GRI Pricing Inputs'!$D$114)^(($AC$16-$AB$15)/365)</f>
        <v>0</v>
      </c>
      <c r="AD524" s="273">
        <f>AC524*(1+'2. GRI Pricing Inputs'!$D$114)^((AD$16-AC$16)/365)</f>
        <v>0</v>
      </c>
      <c r="AE524" s="273">
        <f>AD524*(1+'2. GRI Pricing Inputs'!$D$114)^((AE$16-AD$16)/365)</f>
        <v>0</v>
      </c>
      <c r="AF524" s="273">
        <f>AE524*(1+'2. GRI Pricing Inputs'!$D$114)^((AF$16-AE$16)/365)</f>
        <v>0</v>
      </c>
      <c r="AG524" s="273">
        <f>AF524*(1+'2. GRI Pricing Inputs'!$D$114)^((AG$16-AF$16)/365)</f>
        <v>0</v>
      </c>
      <c r="AH524" s="273">
        <f>AG524*(1+'2. GRI Pricing Inputs'!$D$114)^((AH$16-AG$16)/365)</f>
        <v>0</v>
      </c>
      <c r="AI524" s="273">
        <f>AH524*(1+'2. GRI Pricing Inputs'!$D$114)^((AI$16-AH$16)/365)</f>
        <v>0</v>
      </c>
      <c r="AJ524" s="273">
        <f>AI524*(1+'2. GRI Pricing Inputs'!$D$114)^((AJ$16-AI$16)/365)</f>
        <v>0</v>
      </c>
      <c r="AK524" s="273">
        <f>AJ524*(1+'2. GRI Pricing Inputs'!$D$114)^((AK$16-AJ$16)/365)</f>
        <v>0</v>
      </c>
      <c r="AL524" s="273">
        <f>AK524*(1+'2. GRI Pricing Inputs'!$D$114)^((AL$16-AK$16)/365)</f>
        <v>0</v>
      </c>
      <c r="AM524" s="273">
        <f>AL524*(1+'2. GRI Pricing Inputs'!$D$114)^((AM$16-AL$16)/365)</f>
        <v>0</v>
      </c>
      <c r="AN524" s="273">
        <f>AM524*(1+'2. GRI Pricing Inputs'!$D$114)^((AN$16-AM$16)/365)</f>
        <v>0</v>
      </c>
      <c r="AO524" s="273">
        <f>AN524*(1+'2. GRI Pricing Inputs'!$D$114)^((AO$16-AN$16)/365)</f>
        <v>0</v>
      </c>
    </row>
    <row r="525" spans="3:41" ht="12" x14ac:dyDescent="0.2">
      <c r="C525" s="76">
        <f>'1. Accomodation'!N529</f>
        <v>0</v>
      </c>
      <c r="D525" s="69">
        <f>'1. Accomodation'!P529</f>
        <v>0</v>
      </c>
      <c r="E525" s="69">
        <f>'1. Accomodation'!Q529</f>
        <v>0</v>
      </c>
      <c r="F525" s="77">
        <f>'1. Accomodation'!O529</f>
        <v>0</v>
      </c>
      <c r="G525" s="69">
        <f>'1. Accomodation'!R529</f>
        <v>0</v>
      </c>
      <c r="H525" s="69">
        <f>'1. Accomodation'!S529</f>
        <v>0</v>
      </c>
      <c r="I525" s="62"/>
      <c r="K525" s="272">
        <f>IFERROR(INDEX('2. GRI Pricing Inputs'!$C$15:$AI$16,MATCH($K$16,'2. GRI Pricing Inputs'!$C$15:$C$16,0),MATCH(D525,'2. GRI Pricing Inputs'!$C$15:$AI$15,0)),0)</f>
        <v>0</v>
      </c>
      <c r="L525" s="273">
        <f>IFERROR(INDEX('2. GRI Pricing Inputs'!$C$22:$AI$23,MATCH($L$16,'2. GRI Pricing Inputs'!$C$22:$C$23,0),MATCH(E525,'2. GRI Pricing Inputs'!$C$22:$AI$22,0)),0)</f>
        <v>0</v>
      </c>
      <c r="M525" s="328">
        <f>IF(AND('3. GRI Pricing'!$F525&gt;='2. GRI Pricing Inputs'!$D$33,'3. GRI Pricing'!$F525&lt;='2. GRI Pricing Inputs'!$E$33),'2. GRI Pricing Inputs'!$D$32,IF(AND('3. GRI Pricing'!$F525&gt;='2. GRI Pricing Inputs'!$F$33,'3. GRI Pricing'!$F525&lt;='2. GRI Pricing Inputs'!$G$33),'2. GRI Pricing Inputs'!$F$32,IF(AND('3. GRI Pricing'!$F525&gt;='2. GRI Pricing Inputs'!$H$33,'3. GRI Pricing'!$F525&lt;='2. GRI Pricing Inputs'!$I$33),'2. GRI Pricing Inputs'!$H$32,IF(AND('3. GRI Pricing'!$F525&gt;='2. GRI Pricing Inputs'!$J$33,'3. GRI Pricing'!$F525&lt;='2. GRI Pricing Inputs'!$K$33),'2. GRI Pricing Inputs'!$J$32,IF(AND('3. GRI Pricing'!$F525&gt;='2. GRI Pricing Inputs'!$L$33,'3. GRI Pricing'!$F525&lt;='2. GRI Pricing Inputs'!$M$33),'2. GRI Pricing Inputs'!$L$32,IF(AND('3. GRI Pricing'!$F525&gt;='2. GRI Pricing Inputs'!$N$33,'3. GRI Pricing'!$F525&lt;='2. GRI Pricing Inputs'!$O$33),'2. GRI Pricing Inputs'!$N$32,IF(AND('3. GRI Pricing'!$F525&gt;='2. GRI Pricing Inputs'!$P$33,'3. GRI Pricing'!$F525&lt;='2. GRI Pricing Inputs'!$Q$33),'2. GRI Pricing Inputs'!$P$32,IF(AND('3. GRI Pricing'!$F525&gt;='2. GRI Pricing Inputs'!$R$33,'3. GRI Pricing'!$F525&lt;='2. GRI Pricing Inputs'!$S$33),'2. GRI Pricing Inputs'!$R$32,IF(AND('3. GRI Pricing'!$F525&gt;='2. GRI Pricing Inputs'!$T$33,'3. GRI Pricing'!$F525&lt;='2. GRI Pricing Inputs'!$U$33),'2. GRI Pricing Inputs'!$T$32,IF(AND('3. GRI Pricing'!$F525&gt;='2. GRI Pricing Inputs'!$V$33,'3. GRI Pricing'!$F525&lt;='2. GRI Pricing Inputs'!$W$33),'2. GRI Pricing Inputs'!$V$32,IF(AND('3. GRI Pricing'!$F525&gt;='2. GRI Pricing Inputs'!$X$33,'3. GRI Pricing'!$F525&lt;='2. GRI Pricing Inputs'!$Y$33),'2. GRI Pricing Inputs'!$X$32,IF(AND('3. GRI Pricing'!$F525&gt;='2. GRI Pricing Inputs'!$Z$33,'3. GRI Pricing'!$F525&lt;='2. GRI Pricing Inputs'!$AA$33),'2. GRI Pricing Inputs'!$Z$32,IF(AND('3. GRI Pricing'!$F525&gt;='2. GRI Pricing Inputs'!$AB$33,'3. GRI Pricing'!$F525&lt;='2. GRI Pricing Inputs'!$AC$33),'2. GRI Pricing Inputs'!$AB$32,IF(AND('3. GRI Pricing'!$F525&gt;='2. GRI Pricing Inputs'!$AD$33,'3. GRI Pricing'!$F525&lt;='2. GRI Pricing Inputs'!$AE$33),'2. GRI Pricing Inputs'!$AD$32,IF(AND('3. GRI Pricing'!$F525&gt;='2. GRI Pricing Inputs'!$AF$33,'3. GRI Pricing'!$F525&lt;='2. GRI Pricing Inputs'!$AG$33),'2. GRI Pricing Inputs'!$AF$32,IF(AND('3. GRI Pricing'!$F525&gt;='2. GRI Pricing Inputs'!$AH$33,'3. GRI Pricing'!$F525&lt;='2. GRI Pricing Inputs'!$AI$33),'2. GRI Pricing Inputs'!$AH$32,0))))))))))))))))</f>
        <v>0</v>
      </c>
      <c r="N525" s="273" cm="1">
        <f t="array" ref="N525">IFERROR(INDEX('2. GRI Pricing Inputs'!$C$32:$AI$39,MATCH('3. GRI Pricing'!D525,'2. GRI Pricing Inputs'!$C$32:$C$39,0),(MATCH('3. GRI Pricing'!M525,'2. GRI Pricing Inputs'!$D$32:$AI$32,0)+1)),0)</f>
        <v>0</v>
      </c>
      <c r="O525" s="273">
        <f>IFERROR(INDEX('2. GRI Pricing Inputs'!$C$45:$AI$46,MATCH($O$16,'2. GRI Pricing Inputs'!$C$45:$C$46,0),MATCH(G525,'2. GRI Pricing Inputs'!$C$45:$AI$45,0)),0)</f>
        <v>0</v>
      </c>
      <c r="P525" s="273">
        <f>IFERROR(INDEX('2. GRI Pricing Inputs'!$C$53:$AI$54,MATCH('3. GRI Pricing'!$P$16,'2. GRI Pricing Inputs'!$C$53:$C$54,0),MATCH('3. GRI Pricing'!H525,'2. GRI Pricing Inputs'!$C$53:$AI$53,0)),0)</f>
        <v>0</v>
      </c>
      <c r="Q525" s="273">
        <f>IFERROR(INDEX('2. GRI Pricing Inputs'!$C$60:$AI$61,MATCH('3. GRI Pricing'!$Q$16,'2. GRI Pricing Inputs'!$C$60:$C$61,0),MATCH('1. Accomodation'!T529,'2. GRI Pricing Inputs'!$C$60:$AI$60,0)),0)</f>
        <v>0</v>
      </c>
      <c r="R525" s="273">
        <f>IFERROR(INDEX('2. GRI Pricing Inputs'!$C$67:$AI$68,MATCH('3. GRI Pricing'!$R$16,'2. GRI Pricing Inputs'!$C$67:$C$68,0),MATCH('1. Accomodation'!U529,'2. GRI Pricing Inputs'!$C$67:$AI$67,0)),0)</f>
        <v>0</v>
      </c>
      <c r="S525" s="273">
        <f>IF(D525=0,0,'2. GRI Pricing Inputs'!$AI$75)</f>
        <v>0</v>
      </c>
      <c r="T525" s="273">
        <f>IFERROR(INDEX('2. GRI Pricing Inputs'!$C$82:$AI$83,MATCH('3. GRI Pricing'!$T$16,'2. GRI Pricing Inputs'!$C$82:$C$83,0),MATCH('1. Accomodation'!V529,'2. GRI Pricing Inputs'!$C$82:$AI$82,0)),0)</f>
        <v>0</v>
      </c>
      <c r="U525" s="273">
        <f>IFERROR(INDEX('2. GRI Pricing Inputs'!$C$89:$AI$90,MATCH('3. GRI Pricing'!$U$16,'2. GRI Pricing Inputs'!$C$89:$C$90,0),MATCH('1. Accomodation'!W529,'2. GRI Pricing Inputs'!$C$89:$AI$89,0)),0)</f>
        <v>0</v>
      </c>
      <c r="V525" s="273">
        <f>IFERROR(INDEX('2. GRI Pricing Inputs'!$C$97:$AI$98,MATCH('3. GRI Pricing'!$V$16,'2. GRI Pricing Inputs'!$C$97:$C$98,0),MATCH('1. Accomodation'!X529,'2. GRI Pricing Inputs'!$C$97:$AI$97,0)),0)</f>
        <v>0</v>
      </c>
      <c r="W525" s="273">
        <f>IFERROR(INDEX('2. GRI Pricing Inputs'!$C$104:$AI$105,MATCH('3. GRI Pricing'!$W$16,'2. GRI Pricing Inputs'!$C$104:$C$105,0),MATCH('1. Accomodation'!Y529,'2. GRI Pricing Inputs'!$C$104:$AI$104,0)),0)</f>
        <v>0</v>
      </c>
      <c r="X525" s="274"/>
      <c r="Y525" s="275">
        <f t="shared" si="14"/>
        <v>0</v>
      </c>
      <c r="Z525" s="276"/>
      <c r="AA525" s="276"/>
      <c r="AB525" s="276"/>
      <c r="AC525" s="272">
        <f>Y525*(1+'2. GRI Pricing Inputs'!$D$114)^(($AC$16-$AB$15)/365)</f>
        <v>0</v>
      </c>
      <c r="AD525" s="273">
        <f>AC525*(1+'2. GRI Pricing Inputs'!$D$114)^((AD$16-AC$16)/365)</f>
        <v>0</v>
      </c>
      <c r="AE525" s="273">
        <f>AD525*(1+'2. GRI Pricing Inputs'!$D$114)^((AE$16-AD$16)/365)</f>
        <v>0</v>
      </c>
      <c r="AF525" s="273">
        <f>AE525*(1+'2. GRI Pricing Inputs'!$D$114)^((AF$16-AE$16)/365)</f>
        <v>0</v>
      </c>
      <c r="AG525" s="273">
        <f>AF525*(1+'2. GRI Pricing Inputs'!$D$114)^((AG$16-AF$16)/365)</f>
        <v>0</v>
      </c>
      <c r="AH525" s="273">
        <f>AG525*(1+'2. GRI Pricing Inputs'!$D$114)^((AH$16-AG$16)/365)</f>
        <v>0</v>
      </c>
      <c r="AI525" s="273">
        <f>AH525*(1+'2. GRI Pricing Inputs'!$D$114)^((AI$16-AH$16)/365)</f>
        <v>0</v>
      </c>
      <c r="AJ525" s="273">
        <f>AI525*(1+'2. GRI Pricing Inputs'!$D$114)^((AJ$16-AI$16)/365)</f>
        <v>0</v>
      </c>
      <c r="AK525" s="273">
        <f>AJ525*(1+'2. GRI Pricing Inputs'!$D$114)^((AK$16-AJ$16)/365)</f>
        <v>0</v>
      </c>
      <c r="AL525" s="273">
        <f>AK525*(1+'2. GRI Pricing Inputs'!$D$114)^((AL$16-AK$16)/365)</f>
        <v>0</v>
      </c>
      <c r="AM525" s="273">
        <f>AL525*(1+'2. GRI Pricing Inputs'!$D$114)^((AM$16-AL$16)/365)</f>
        <v>0</v>
      </c>
      <c r="AN525" s="273">
        <f>AM525*(1+'2. GRI Pricing Inputs'!$D$114)^((AN$16-AM$16)/365)</f>
        <v>0</v>
      </c>
      <c r="AO525" s="273">
        <f>AN525*(1+'2. GRI Pricing Inputs'!$D$114)^((AO$16-AN$16)/365)</f>
        <v>0</v>
      </c>
    </row>
    <row r="526" spans="3:41" ht="12" x14ac:dyDescent="0.2">
      <c r="C526" s="76">
        <f>'1. Accomodation'!N530</f>
        <v>0</v>
      </c>
      <c r="D526" s="69">
        <f>'1. Accomodation'!P530</f>
        <v>0</v>
      </c>
      <c r="E526" s="69">
        <f>'1. Accomodation'!Q530</f>
        <v>0</v>
      </c>
      <c r="F526" s="77">
        <f>'1. Accomodation'!O530</f>
        <v>0</v>
      </c>
      <c r="G526" s="69">
        <f>'1. Accomodation'!R530</f>
        <v>0</v>
      </c>
      <c r="H526" s="69">
        <f>'1. Accomodation'!S530</f>
        <v>0</v>
      </c>
      <c r="I526" s="62"/>
      <c r="K526" s="272">
        <f>IFERROR(INDEX('2. GRI Pricing Inputs'!$C$15:$AI$16,MATCH($K$16,'2. GRI Pricing Inputs'!$C$15:$C$16,0),MATCH(D526,'2. GRI Pricing Inputs'!$C$15:$AI$15,0)),0)</f>
        <v>0</v>
      </c>
      <c r="L526" s="273">
        <f>IFERROR(INDEX('2. GRI Pricing Inputs'!$C$22:$AI$23,MATCH($L$16,'2. GRI Pricing Inputs'!$C$22:$C$23,0),MATCH(E526,'2. GRI Pricing Inputs'!$C$22:$AI$22,0)),0)</f>
        <v>0</v>
      </c>
      <c r="M526" s="328">
        <f>IF(AND('3. GRI Pricing'!$F526&gt;='2. GRI Pricing Inputs'!$D$33,'3. GRI Pricing'!$F526&lt;='2. GRI Pricing Inputs'!$E$33),'2. GRI Pricing Inputs'!$D$32,IF(AND('3. GRI Pricing'!$F526&gt;='2. GRI Pricing Inputs'!$F$33,'3. GRI Pricing'!$F526&lt;='2. GRI Pricing Inputs'!$G$33),'2. GRI Pricing Inputs'!$F$32,IF(AND('3. GRI Pricing'!$F526&gt;='2. GRI Pricing Inputs'!$H$33,'3. GRI Pricing'!$F526&lt;='2. GRI Pricing Inputs'!$I$33),'2. GRI Pricing Inputs'!$H$32,IF(AND('3. GRI Pricing'!$F526&gt;='2. GRI Pricing Inputs'!$J$33,'3. GRI Pricing'!$F526&lt;='2. GRI Pricing Inputs'!$K$33),'2. GRI Pricing Inputs'!$J$32,IF(AND('3. GRI Pricing'!$F526&gt;='2. GRI Pricing Inputs'!$L$33,'3. GRI Pricing'!$F526&lt;='2. GRI Pricing Inputs'!$M$33),'2. GRI Pricing Inputs'!$L$32,IF(AND('3. GRI Pricing'!$F526&gt;='2. GRI Pricing Inputs'!$N$33,'3. GRI Pricing'!$F526&lt;='2. GRI Pricing Inputs'!$O$33),'2. GRI Pricing Inputs'!$N$32,IF(AND('3. GRI Pricing'!$F526&gt;='2. GRI Pricing Inputs'!$P$33,'3. GRI Pricing'!$F526&lt;='2. GRI Pricing Inputs'!$Q$33),'2. GRI Pricing Inputs'!$P$32,IF(AND('3. GRI Pricing'!$F526&gt;='2. GRI Pricing Inputs'!$R$33,'3. GRI Pricing'!$F526&lt;='2. GRI Pricing Inputs'!$S$33),'2. GRI Pricing Inputs'!$R$32,IF(AND('3. GRI Pricing'!$F526&gt;='2. GRI Pricing Inputs'!$T$33,'3. GRI Pricing'!$F526&lt;='2. GRI Pricing Inputs'!$U$33),'2. GRI Pricing Inputs'!$T$32,IF(AND('3. GRI Pricing'!$F526&gt;='2. GRI Pricing Inputs'!$V$33,'3. GRI Pricing'!$F526&lt;='2. GRI Pricing Inputs'!$W$33),'2. GRI Pricing Inputs'!$V$32,IF(AND('3. GRI Pricing'!$F526&gt;='2. GRI Pricing Inputs'!$X$33,'3. GRI Pricing'!$F526&lt;='2. GRI Pricing Inputs'!$Y$33),'2. GRI Pricing Inputs'!$X$32,IF(AND('3. GRI Pricing'!$F526&gt;='2. GRI Pricing Inputs'!$Z$33,'3. GRI Pricing'!$F526&lt;='2. GRI Pricing Inputs'!$AA$33),'2. GRI Pricing Inputs'!$Z$32,IF(AND('3. GRI Pricing'!$F526&gt;='2. GRI Pricing Inputs'!$AB$33,'3. GRI Pricing'!$F526&lt;='2. GRI Pricing Inputs'!$AC$33),'2. GRI Pricing Inputs'!$AB$32,IF(AND('3. GRI Pricing'!$F526&gt;='2. GRI Pricing Inputs'!$AD$33,'3. GRI Pricing'!$F526&lt;='2. GRI Pricing Inputs'!$AE$33),'2. GRI Pricing Inputs'!$AD$32,IF(AND('3. GRI Pricing'!$F526&gt;='2. GRI Pricing Inputs'!$AF$33,'3. GRI Pricing'!$F526&lt;='2. GRI Pricing Inputs'!$AG$33),'2. GRI Pricing Inputs'!$AF$32,IF(AND('3. GRI Pricing'!$F526&gt;='2. GRI Pricing Inputs'!$AH$33,'3. GRI Pricing'!$F526&lt;='2. GRI Pricing Inputs'!$AI$33),'2. GRI Pricing Inputs'!$AH$32,0))))))))))))))))</f>
        <v>0</v>
      </c>
      <c r="N526" s="273" cm="1">
        <f t="array" ref="N526">IFERROR(INDEX('2. GRI Pricing Inputs'!$C$32:$AI$39,MATCH('3. GRI Pricing'!D526,'2. GRI Pricing Inputs'!$C$32:$C$39,0),(MATCH('3. GRI Pricing'!M526,'2. GRI Pricing Inputs'!$D$32:$AI$32,0)+1)),0)</f>
        <v>0</v>
      </c>
      <c r="O526" s="273">
        <f>IFERROR(INDEX('2. GRI Pricing Inputs'!$C$45:$AI$46,MATCH($O$16,'2. GRI Pricing Inputs'!$C$45:$C$46,0),MATCH(G526,'2. GRI Pricing Inputs'!$C$45:$AI$45,0)),0)</f>
        <v>0</v>
      </c>
      <c r="P526" s="273">
        <f>IFERROR(INDEX('2. GRI Pricing Inputs'!$C$53:$AI$54,MATCH('3. GRI Pricing'!$P$16,'2. GRI Pricing Inputs'!$C$53:$C$54,0),MATCH('3. GRI Pricing'!H526,'2. GRI Pricing Inputs'!$C$53:$AI$53,0)),0)</f>
        <v>0</v>
      </c>
      <c r="Q526" s="273">
        <f>IFERROR(INDEX('2. GRI Pricing Inputs'!$C$60:$AI$61,MATCH('3. GRI Pricing'!$Q$16,'2. GRI Pricing Inputs'!$C$60:$C$61,0),MATCH('1. Accomodation'!T530,'2. GRI Pricing Inputs'!$C$60:$AI$60,0)),0)</f>
        <v>0</v>
      </c>
      <c r="R526" s="273">
        <f>IFERROR(INDEX('2. GRI Pricing Inputs'!$C$67:$AI$68,MATCH('3. GRI Pricing'!$R$16,'2. GRI Pricing Inputs'!$C$67:$C$68,0),MATCH('1. Accomodation'!U530,'2. GRI Pricing Inputs'!$C$67:$AI$67,0)),0)</f>
        <v>0</v>
      </c>
      <c r="S526" s="273">
        <f>IF(D526=0,0,'2. GRI Pricing Inputs'!$AI$75)</f>
        <v>0</v>
      </c>
      <c r="T526" s="273">
        <f>IFERROR(INDEX('2. GRI Pricing Inputs'!$C$82:$AI$83,MATCH('3. GRI Pricing'!$T$16,'2. GRI Pricing Inputs'!$C$82:$C$83,0),MATCH('1. Accomodation'!V530,'2. GRI Pricing Inputs'!$C$82:$AI$82,0)),0)</f>
        <v>0</v>
      </c>
      <c r="U526" s="273">
        <f>IFERROR(INDEX('2. GRI Pricing Inputs'!$C$89:$AI$90,MATCH('3. GRI Pricing'!$U$16,'2. GRI Pricing Inputs'!$C$89:$C$90,0),MATCH('1. Accomodation'!W530,'2. GRI Pricing Inputs'!$C$89:$AI$89,0)),0)</f>
        <v>0</v>
      </c>
      <c r="V526" s="273">
        <f>IFERROR(INDEX('2. GRI Pricing Inputs'!$C$97:$AI$98,MATCH('3. GRI Pricing'!$V$16,'2. GRI Pricing Inputs'!$C$97:$C$98,0),MATCH('1. Accomodation'!X530,'2. GRI Pricing Inputs'!$C$97:$AI$97,0)),0)</f>
        <v>0</v>
      </c>
      <c r="W526" s="273">
        <f>IFERROR(INDEX('2. GRI Pricing Inputs'!$C$104:$AI$105,MATCH('3. GRI Pricing'!$W$16,'2. GRI Pricing Inputs'!$C$104:$C$105,0),MATCH('1. Accomodation'!Y530,'2. GRI Pricing Inputs'!$C$104:$AI$104,0)),0)</f>
        <v>0</v>
      </c>
      <c r="X526" s="274"/>
      <c r="Y526" s="275">
        <f t="shared" si="14"/>
        <v>0</v>
      </c>
      <c r="Z526" s="276"/>
      <c r="AA526" s="276"/>
      <c r="AB526" s="276"/>
      <c r="AC526" s="272">
        <f>Y526*(1+'2. GRI Pricing Inputs'!$D$114)^(($AC$16-$AB$15)/365)</f>
        <v>0</v>
      </c>
      <c r="AD526" s="273">
        <f>AC526*(1+'2. GRI Pricing Inputs'!$D$114)^((AD$16-AC$16)/365)</f>
        <v>0</v>
      </c>
      <c r="AE526" s="273">
        <f>AD526*(1+'2. GRI Pricing Inputs'!$D$114)^((AE$16-AD$16)/365)</f>
        <v>0</v>
      </c>
      <c r="AF526" s="273">
        <f>AE526*(1+'2. GRI Pricing Inputs'!$D$114)^((AF$16-AE$16)/365)</f>
        <v>0</v>
      </c>
      <c r="AG526" s="273">
        <f>AF526*(1+'2. GRI Pricing Inputs'!$D$114)^((AG$16-AF$16)/365)</f>
        <v>0</v>
      </c>
      <c r="AH526" s="273">
        <f>AG526*(1+'2. GRI Pricing Inputs'!$D$114)^((AH$16-AG$16)/365)</f>
        <v>0</v>
      </c>
      <c r="AI526" s="273">
        <f>AH526*(1+'2. GRI Pricing Inputs'!$D$114)^((AI$16-AH$16)/365)</f>
        <v>0</v>
      </c>
      <c r="AJ526" s="273">
        <f>AI526*(1+'2. GRI Pricing Inputs'!$D$114)^((AJ$16-AI$16)/365)</f>
        <v>0</v>
      </c>
      <c r="AK526" s="273">
        <f>AJ526*(1+'2. GRI Pricing Inputs'!$D$114)^((AK$16-AJ$16)/365)</f>
        <v>0</v>
      </c>
      <c r="AL526" s="273">
        <f>AK526*(1+'2. GRI Pricing Inputs'!$D$114)^((AL$16-AK$16)/365)</f>
        <v>0</v>
      </c>
      <c r="AM526" s="273">
        <f>AL526*(1+'2. GRI Pricing Inputs'!$D$114)^((AM$16-AL$16)/365)</f>
        <v>0</v>
      </c>
      <c r="AN526" s="273">
        <f>AM526*(1+'2. GRI Pricing Inputs'!$D$114)^((AN$16-AM$16)/365)</f>
        <v>0</v>
      </c>
      <c r="AO526" s="273">
        <f>AN526*(1+'2. GRI Pricing Inputs'!$D$114)^((AO$16-AN$16)/365)</f>
        <v>0</v>
      </c>
    </row>
    <row r="527" spans="3:41" ht="12" x14ac:dyDescent="0.2">
      <c r="C527" s="76">
        <f>'1. Accomodation'!N531</f>
        <v>0</v>
      </c>
      <c r="D527" s="69">
        <f>'1. Accomodation'!P531</f>
        <v>0</v>
      </c>
      <c r="E527" s="69">
        <f>'1. Accomodation'!Q531</f>
        <v>0</v>
      </c>
      <c r="F527" s="77">
        <f>'1. Accomodation'!O531</f>
        <v>0</v>
      </c>
      <c r="G527" s="69">
        <f>'1. Accomodation'!R531</f>
        <v>0</v>
      </c>
      <c r="H527" s="69">
        <f>'1. Accomodation'!S531</f>
        <v>0</v>
      </c>
      <c r="I527" s="62"/>
      <c r="K527" s="272">
        <f>IFERROR(INDEX('2. GRI Pricing Inputs'!$C$15:$AI$16,MATCH($K$16,'2. GRI Pricing Inputs'!$C$15:$C$16,0),MATCH(D527,'2. GRI Pricing Inputs'!$C$15:$AI$15,0)),0)</f>
        <v>0</v>
      </c>
      <c r="L527" s="273">
        <f>IFERROR(INDEX('2. GRI Pricing Inputs'!$C$22:$AI$23,MATCH($L$16,'2. GRI Pricing Inputs'!$C$22:$C$23,0),MATCH(E527,'2. GRI Pricing Inputs'!$C$22:$AI$22,0)),0)</f>
        <v>0</v>
      </c>
      <c r="M527" s="328">
        <f>IF(AND('3. GRI Pricing'!$F527&gt;='2. GRI Pricing Inputs'!$D$33,'3. GRI Pricing'!$F527&lt;='2. GRI Pricing Inputs'!$E$33),'2. GRI Pricing Inputs'!$D$32,IF(AND('3. GRI Pricing'!$F527&gt;='2. GRI Pricing Inputs'!$F$33,'3. GRI Pricing'!$F527&lt;='2. GRI Pricing Inputs'!$G$33),'2. GRI Pricing Inputs'!$F$32,IF(AND('3. GRI Pricing'!$F527&gt;='2. GRI Pricing Inputs'!$H$33,'3. GRI Pricing'!$F527&lt;='2. GRI Pricing Inputs'!$I$33),'2. GRI Pricing Inputs'!$H$32,IF(AND('3. GRI Pricing'!$F527&gt;='2. GRI Pricing Inputs'!$J$33,'3. GRI Pricing'!$F527&lt;='2. GRI Pricing Inputs'!$K$33),'2. GRI Pricing Inputs'!$J$32,IF(AND('3. GRI Pricing'!$F527&gt;='2. GRI Pricing Inputs'!$L$33,'3. GRI Pricing'!$F527&lt;='2. GRI Pricing Inputs'!$M$33),'2. GRI Pricing Inputs'!$L$32,IF(AND('3. GRI Pricing'!$F527&gt;='2. GRI Pricing Inputs'!$N$33,'3. GRI Pricing'!$F527&lt;='2. GRI Pricing Inputs'!$O$33),'2. GRI Pricing Inputs'!$N$32,IF(AND('3. GRI Pricing'!$F527&gt;='2. GRI Pricing Inputs'!$P$33,'3. GRI Pricing'!$F527&lt;='2. GRI Pricing Inputs'!$Q$33),'2. GRI Pricing Inputs'!$P$32,IF(AND('3. GRI Pricing'!$F527&gt;='2. GRI Pricing Inputs'!$R$33,'3. GRI Pricing'!$F527&lt;='2. GRI Pricing Inputs'!$S$33),'2. GRI Pricing Inputs'!$R$32,IF(AND('3. GRI Pricing'!$F527&gt;='2. GRI Pricing Inputs'!$T$33,'3. GRI Pricing'!$F527&lt;='2. GRI Pricing Inputs'!$U$33),'2. GRI Pricing Inputs'!$T$32,IF(AND('3. GRI Pricing'!$F527&gt;='2. GRI Pricing Inputs'!$V$33,'3. GRI Pricing'!$F527&lt;='2. GRI Pricing Inputs'!$W$33),'2. GRI Pricing Inputs'!$V$32,IF(AND('3. GRI Pricing'!$F527&gt;='2. GRI Pricing Inputs'!$X$33,'3. GRI Pricing'!$F527&lt;='2. GRI Pricing Inputs'!$Y$33),'2. GRI Pricing Inputs'!$X$32,IF(AND('3. GRI Pricing'!$F527&gt;='2. GRI Pricing Inputs'!$Z$33,'3. GRI Pricing'!$F527&lt;='2. GRI Pricing Inputs'!$AA$33),'2. GRI Pricing Inputs'!$Z$32,IF(AND('3. GRI Pricing'!$F527&gt;='2. GRI Pricing Inputs'!$AB$33,'3. GRI Pricing'!$F527&lt;='2. GRI Pricing Inputs'!$AC$33),'2. GRI Pricing Inputs'!$AB$32,IF(AND('3. GRI Pricing'!$F527&gt;='2. GRI Pricing Inputs'!$AD$33,'3. GRI Pricing'!$F527&lt;='2. GRI Pricing Inputs'!$AE$33),'2. GRI Pricing Inputs'!$AD$32,IF(AND('3. GRI Pricing'!$F527&gt;='2. GRI Pricing Inputs'!$AF$33,'3. GRI Pricing'!$F527&lt;='2. GRI Pricing Inputs'!$AG$33),'2. GRI Pricing Inputs'!$AF$32,IF(AND('3. GRI Pricing'!$F527&gt;='2. GRI Pricing Inputs'!$AH$33,'3. GRI Pricing'!$F527&lt;='2. GRI Pricing Inputs'!$AI$33),'2. GRI Pricing Inputs'!$AH$32,0))))))))))))))))</f>
        <v>0</v>
      </c>
      <c r="N527" s="273" cm="1">
        <f t="array" ref="N527">IFERROR(INDEX('2. GRI Pricing Inputs'!$C$32:$AI$39,MATCH('3. GRI Pricing'!D527,'2. GRI Pricing Inputs'!$C$32:$C$39,0),(MATCH('3. GRI Pricing'!M527,'2. GRI Pricing Inputs'!$D$32:$AI$32,0)+1)),0)</f>
        <v>0</v>
      </c>
      <c r="O527" s="273">
        <f>IFERROR(INDEX('2. GRI Pricing Inputs'!$C$45:$AI$46,MATCH($O$16,'2. GRI Pricing Inputs'!$C$45:$C$46,0),MATCH(G527,'2. GRI Pricing Inputs'!$C$45:$AI$45,0)),0)</f>
        <v>0</v>
      </c>
      <c r="P527" s="273">
        <f>IFERROR(INDEX('2. GRI Pricing Inputs'!$C$53:$AI$54,MATCH('3. GRI Pricing'!$P$16,'2. GRI Pricing Inputs'!$C$53:$C$54,0),MATCH('3. GRI Pricing'!H527,'2. GRI Pricing Inputs'!$C$53:$AI$53,0)),0)</f>
        <v>0</v>
      </c>
      <c r="Q527" s="273">
        <f>IFERROR(INDEX('2. GRI Pricing Inputs'!$C$60:$AI$61,MATCH('3. GRI Pricing'!$Q$16,'2. GRI Pricing Inputs'!$C$60:$C$61,0),MATCH('1. Accomodation'!T531,'2. GRI Pricing Inputs'!$C$60:$AI$60,0)),0)</f>
        <v>0</v>
      </c>
      <c r="R527" s="273">
        <f>IFERROR(INDEX('2. GRI Pricing Inputs'!$C$67:$AI$68,MATCH('3. GRI Pricing'!$R$16,'2. GRI Pricing Inputs'!$C$67:$C$68,0),MATCH('1. Accomodation'!U531,'2. GRI Pricing Inputs'!$C$67:$AI$67,0)),0)</f>
        <v>0</v>
      </c>
      <c r="S527" s="273">
        <f>IF(D527=0,0,'2. GRI Pricing Inputs'!$AI$75)</f>
        <v>0</v>
      </c>
      <c r="T527" s="273">
        <f>IFERROR(INDEX('2. GRI Pricing Inputs'!$C$82:$AI$83,MATCH('3. GRI Pricing'!$T$16,'2. GRI Pricing Inputs'!$C$82:$C$83,0),MATCH('1. Accomodation'!V531,'2. GRI Pricing Inputs'!$C$82:$AI$82,0)),0)</f>
        <v>0</v>
      </c>
      <c r="U527" s="273">
        <f>IFERROR(INDEX('2. GRI Pricing Inputs'!$C$89:$AI$90,MATCH('3. GRI Pricing'!$U$16,'2. GRI Pricing Inputs'!$C$89:$C$90,0),MATCH('1. Accomodation'!W531,'2. GRI Pricing Inputs'!$C$89:$AI$89,0)),0)</f>
        <v>0</v>
      </c>
      <c r="V527" s="273">
        <f>IFERROR(INDEX('2. GRI Pricing Inputs'!$C$97:$AI$98,MATCH('3. GRI Pricing'!$V$16,'2. GRI Pricing Inputs'!$C$97:$C$98,0),MATCH('1. Accomodation'!X531,'2. GRI Pricing Inputs'!$C$97:$AI$97,0)),0)</f>
        <v>0</v>
      </c>
      <c r="W527" s="273">
        <f>IFERROR(INDEX('2. GRI Pricing Inputs'!$C$104:$AI$105,MATCH('3. GRI Pricing'!$W$16,'2. GRI Pricing Inputs'!$C$104:$C$105,0),MATCH('1. Accomodation'!Y531,'2. GRI Pricing Inputs'!$C$104:$AI$104,0)),0)</f>
        <v>0</v>
      </c>
      <c r="X527" s="274"/>
      <c r="Y527" s="275">
        <f t="shared" si="14"/>
        <v>0</v>
      </c>
      <c r="Z527" s="276"/>
      <c r="AA527" s="276"/>
      <c r="AB527" s="276"/>
      <c r="AC527" s="272">
        <f>Y527*(1+'2. GRI Pricing Inputs'!$D$114)^(($AC$16-$AB$15)/365)</f>
        <v>0</v>
      </c>
      <c r="AD527" s="273">
        <f>AC527*(1+'2. GRI Pricing Inputs'!$D$114)^((AD$16-AC$16)/365)</f>
        <v>0</v>
      </c>
      <c r="AE527" s="273">
        <f>AD527*(1+'2. GRI Pricing Inputs'!$D$114)^((AE$16-AD$16)/365)</f>
        <v>0</v>
      </c>
      <c r="AF527" s="273">
        <f>AE527*(1+'2. GRI Pricing Inputs'!$D$114)^((AF$16-AE$16)/365)</f>
        <v>0</v>
      </c>
      <c r="AG527" s="273">
        <f>AF527*(1+'2. GRI Pricing Inputs'!$D$114)^((AG$16-AF$16)/365)</f>
        <v>0</v>
      </c>
      <c r="AH527" s="273">
        <f>AG527*(1+'2. GRI Pricing Inputs'!$D$114)^((AH$16-AG$16)/365)</f>
        <v>0</v>
      </c>
      <c r="AI527" s="273">
        <f>AH527*(1+'2. GRI Pricing Inputs'!$D$114)^((AI$16-AH$16)/365)</f>
        <v>0</v>
      </c>
      <c r="AJ527" s="273">
        <f>AI527*(1+'2. GRI Pricing Inputs'!$D$114)^((AJ$16-AI$16)/365)</f>
        <v>0</v>
      </c>
      <c r="AK527" s="273">
        <f>AJ527*(1+'2. GRI Pricing Inputs'!$D$114)^((AK$16-AJ$16)/365)</f>
        <v>0</v>
      </c>
      <c r="AL527" s="273">
        <f>AK527*(1+'2. GRI Pricing Inputs'!$D$114)^((AL$16-AK$16)/365)</f>
        <v>0</v>
      </c>
      <c r="AM527" s="273">
        <f>AL527*(1+'2. GRI Pricing Inputs'!$D$114)^((AM$16-AL$16)/365)</f>
        <v>0</v>
      </c>
      <c r="AN527" s="273">
        <f>AM527*(1+'2. GRI Pricing Inputs'!$D$114)^((AN$16-AM$16)/365)</f>
        <v>0</v>
      </c>
      <c r="AO527" s="273">
        <f>AN527*(1+'2. GRI Pricing Inputs'!$D$114)^((AO$16-AN$16)/365)</f>
        <v>0</v>
      </c>
    </row>
    <row r="528" spans="3:41" ht="12" x14ac:dyDescent="0.2">
      <c r="C528" s="76">
        <f>'1. Accomodation'!N532</f>
        <v>0</v>
      </c>
      <c r="D528" s="69">
        <f>'1. Accomodation'!P532</f>
        <v>0</v>
      </c>
      <c r="E528" s="69">
        <f>'1. Accomodation'!Q532</f>
        <v>0</v>
      </c>
      <c r="F528" s="77">
        <f>'1. Accomodation'!O532</f>
        <v>0</v>
      </c>
      <c r="G528" s="69">
        <f>'1. Accomodation'!R532</f>
        <v>0</v>
      </c>
      <c r="H528" s="69">
        <f>'1. Accomodation'!S532</f>
        <v>0</v>
      </c>
      <c r="I528" s="62"/>
      <c r="K528" s="272">
        <f>IFERROR(INDEX('2. GRI Pricing Inputs'!$C$15:$AI$16,MATCH($K$16,'2. GRI Pricing Inputs'!$C$15:$C$16,0),MATCH(D528,'2. GRI Pricing Inputs'!$C$15:$AI$15,0)),0)</f>
        <v>0</v>
      </c>
      <c r="L528" s="273">
        <f>IFERROR(INDEX('2. GRI Pricing Inputs'!$C$22:$AI$23,MATCH($L$16,'2. GRI Pricing Inputs'!$C$22:$C$23,0),MATCH(E528,'2. GRI Pricing Inputs'!$C$22:$AI$22,0)),0)</f>
        <v>0</v>
      </c>
      <c r="M528" s="328">
        <f>IF(AND('3. GRI Pricing'!$F528&gt;='2. GRI Pricing Inputs'!$D$33,'3. GRI Pricing'!$F528&lt;='2. GRI Pricing Inputs'!$E$33),'2. GRI Pricing Inputs'!$D$32,IF(AND('3. GRI Pricing'!$F528&gt;='2. GRI Pricing Inputs'!$F$33,'3. GRI Pricing'!$F528&lt;='2. GRI Pricing Inputs'!$G$33),'2. GRI Pricing Inputs'!$F$32,IF(AND('3. GRI Pricing'!$F528&gt;='2. GRI Pricing Inputs'!$H$33,'3. GRI Pricing'!$F528&lt;='2. GRI Pricing Inputs'!$I$33),'2. GRI Pricing Inputs'!$H$32,IF(AND('3. GRI Pricing'!$F528&gt;='2. GRI Pricing Inputs'!$J$33,'3. GRI Pricing'!$F528&lt;='2. GRI Pricing Inputs'!$K$33),'2. GRI Pricing Inputs'!$J$32,IF(AND('3. GRI Pricing'!$F528&gt;='2. GRI Pricing Inputs'!$L$33,'3. GRI Pricing'!$F528&lt;='2. GRI Pricing Inputs'!$M$33),'2. GRI Pricing Inputs'!$L$32,IF(AND('3. GRI Pricing'!$F528&gt;='2. GRI Pricing Inputs'!$N$33,'3. GRI Pricing'!$F528&lt;='2. GRI Pricing Inputs'!$O$33),'2. GRI Pricing Inputs'!$N$32,IF(AND('3. GRI Pricing'!$F528&gt;='2. GRI Pricing Inputs'!$P$33,'3. GRI Pricing'!$F528&lt;='2. GRI Pricing Inputs'!$Q$33),'2. GRI Pricing Inputs'!$P$32,IF(AND('3. GRI Pricing'!$F528&gt;='2. GRI Pricing Inputs'!$R$33,'3. GRI Pricing'!$F528&lt;='2. GRI Pricing Inputs'!$S$33),'2. GRI Pricing Inputs'!$R$32,IF(AND('3. GRI Pricing'!$F528&gt;='2. GRI Pricing Inputs'!$T$33,'3. GRI Pricing'!$F528&lt;='2. GRI Pricing Inputs'!$U$33),'2. GRI Pricing Inputs'!$T$32,IF(AND('3. GRI Pricing'!$F528&gt;='2. GRI Pricing Inputs'!$V$33,'3. GRI Pricing'!$F528&lt;='2. GRI Pricing Inputs'!$W$33),'2. GRI Pricing Inputs'!$V$32,IF(AND('3. GRI Pricing'!$F528&gt;='2. GRI Pricing Inputs'!$X$33,'3. GRI Pricing'!$F528&lt;='2. GRI Pricing Inputs'!$Y$33),'2. GRI Pricing Inputs'!$X$32,IF(AND('3. GRI Pricing'!$F528&gt;='2. GRI Pricing Inputs'!$Z$33,'3. GRI Pricing'!$F528&lt;='2. GRI Pricing Inputs'!$AA$33),'2. GRI Pricing Inputs'!$Z$32,IF(AND('3. GRI Pricing'!$F528&gt;='2. GRI Pricing Inputs'!$AB$33,'3. GRI Pricing'!$F528&lt;='2. GRI Pricing Inputs'!$AC$33),'2. GRI Pricing Inputs'!$AB$32,IF(AND('3. GRI Pricing'!$F528&gt;='2. GRI Pricing Inputs'!$AD$33,'3. GRI Pricing'!$F528&lt;='2. GRI Pricing Inputs'!$AE$33),'2. GRI Pricing Inputs'!$AD$32,IF(AND('3. GRI Pricing'!$F528&gt;='2. GRI Pricing Inputs'!$AF$33,'3. GRI Pricing'!$F528&lt;='2. GRI Pricing Inputs'!$AG$33),'2. GRI Pricing Inputs'!$AF$32,IF(AND('3. GRI Pricing'!$F528&gt;='2. GRI Pricing Inputs'!$AH$33,'3. GRI Pricing'!$F528&lt;='2. GRI Pricing Inputs'!$AI$33),'2. GRI Pricing Inputs'!$AH$32,0))))))))))))))))</f>
        <v>0</v>
      </c>
      <c r="N528" s="273" cm="1">
        <f t="array" ref="N528">IFERROR(INDEX('2. GRI Pricing Inputs'!$C$32:$AI$39,MATCH('3. GRI Pricing'!D528,'2. GRI Pricing Inputs'!$C$32:$C$39,0),(MATCH('3. GRI Pricing'!M528,'2. GRI Pricing Inputs'!$D$32:$AI$32,0)+1)),0)</f>
        <v>0</v>
      </c>
      <c r="O528" s="273">
        <f>IFERROR(INDEX('2. GRI Pricing Inputs'!$C$45:$AI$46,MATCH($O$16,'2. GRI Pricing Inputs'!$C$45:$C$46,0),MATCH(G528,'2. GRI Pricing Inputs'!$C$45:$AI$45,0)),0)</f>
        <v>0</v>
      </c>
      <c r="P528" s="273">
        <f>IFERROR(INDEX('2. GRI Pricing Inputs'!$C$53:$AI$54,MATCH('3. GRI Pricing'!$P$16,'2. GRI Pricing Inputs'!$C$53:$C$54,0),MATCH('3. GRI Pricing'!H528,'2. GRI Pricing Inputs'!$C$53:$AI$53,0)),0)</f>
        <v>0</v>
      </c>
      <c r="Q528" s="273">
        <f>IFERROR(INDEX('2. GRI Pricing Inputs'!$C$60:$AI$61,MATCH('3. GRI Pricing'!$Q$16,'2. GRI Pricing Inputs'!$C$60:$C$61,0),MATCH('1. Accomodation'!T532,'2. GRI Pricing Inputs'!$C$60:$AI$60,0)),0)</f>
        <v>0</v>
      </c>
      <c r="R528" s="273">
        <f>IFERROR(INDEX('2. GRI Pricing Inputs'!$C$67:$AI$68,MATCH('3. GRI Pricing'!$R$16,'2. GRI Pricing Inputs'!$C$67:$C$68,0),MATCH('1. Accomodation'!U532,'2. GRI Pricing Inputs'!$C$67:$AI$67,0)),0)</f>
        <v>0</v>
      </c>
      <c r="S528" s="273">
        <f>IF(D528=0,0,'2. GRI Pricing Inputs'!$AI$75)</f>
        <v>0</v>
      </c>
      <c r="T528" s="273">
        <f>IFERROR(INDEX('2. GRI Pricing Inputs'!$C$82:$AI$83,MATCH('3. GRI Pricing'!$T$16,'2. GRI Pricing Inputs'!$C$82:$C$83,0),MATCH('1. Accomodation'!V532,'2. GRI Pricing Inputs'!$C$82:$AI$82,0)),0)</f>
        <v>0</v>
      </c>
      <c r="U528" s="273">
        <f>IFERROR(INDEX('2. GRI Pricing Inputs'!$C$89:$AI$90,MATCH('3. GRI Pricing'!$U$16,'2. GRI Pricing Inputs'!$C$89:$C$90,0),MATCH('1. Accomodation'!W532,'2. GRI Pricing Inputs'!$C$89:$AI$89,0)),0)</f>
        <v>0</v>
      </c>
      <c r="V528" s="273">
        <f>IFERROR(INDEX('2. GRI Pricing Inputs'!$C$97:$AI$98,MATCH('3. GRI Pricing'!$V$16,'2. GRI Pricing Inputs'!$C$97:$C$98,0),MATCH('1. Accomodation'!X532,'2. GRI Pricing Inputs'!$C$97:$AI$97,0)),0)</f>
        <v>0</v>
      </c>
      <c r="W528" s="273">
        <f>IFERROR(INDEX('2. GRI Pricing Inputs'!$C$104:$AI$105,MATCH('3. GRI Pricing'!$W$16,'2. GRI Pricing Inputs'!$C$104:$C$105,0),MATCH('1. Accomodation'!Y532,'2. GRI Pricing Inputs'!$C$104:$AI$104,0)),0)</f>
        <v>0</v>
      </c>
      <c r="X528" s="274"/>
      <c r="Y528" s="275">
        <f t="shared" si="14"/>
        <v>0</v>
      </c>
      <c r="Z528" s="276"/>
      <c r="AA528" s="276"/>
      <c r="AB528" s="276"/>
      <c r="AC528" s="272">
        <f>Y528*(1+'2. GRI Pricing Inputs'!$D$114)^(($AC$16-$AB$15)/365)</f>
        <v>0</v>
      </c>
      <c r="AD528" s="273">
        <f>AC528*(1+'2. GRI Pricing Inputs'!$D$114)^((AD$16-AC$16)/365)</f>
        <v>0</v>
      </c>
      <c r="AE528" s="273">
        <f>AD528*(1+'2. GRI Pricing Inputs'!$D$114)^((AE$16-AD$16)/365)</f>
        <v>0</v>
      </c>
      <c r="AF528" s="273">
        <f>AE528*(1+'2. GRI Pricing Inputs'!$D$114)^((AF$16-AE$16)/365)</f>
        <v>0</v>
      </c>
      <c r="AG528" s="273">
        <f>AF528*(1+'2. GRI Pricing Inputs'!$D$114)^((AG$16-AF$16)/365)</f>
        <v>0</v>
      </c>
      <c r="AH528" s="273">
        <f>AG528*(1+'2. GRI Pricing Inputs'!$D$114)^((AH$16-AG$16)/365)</f>
        <v>0</v>
      </c>
      <c r="AI528" s="273">
        <f>AH528*(1+'2. GRI Pricing Inputs'!$D$114)^((AI$16-AH$16)/365)</f>
        <v>0</v>
      </c>
      <c r="AJ528" s="273">
        <f>AI528*(1+'2. GRI Pricing Inputs'!$D$114)^((AJ$16-AI$16)/365)</f>
        <v>0</v>
      </c>
      <c r="AK528" s="273">
        <f>AJ528*(1+'2. GRI Pricing Inputs'!$D$114)^((AK$16-AJ$16)/365)</f>
        <v>0</v>
      </c>
      <c r="AL528" s="273">
        <f>AK528*(1+'2. GRI Pricing Inputs'!$D$114)^((AL$16-AK$16)/365)</f>
        <v>0</v>
      </c>
      <c r="AM528" s="273">
        <f>AL528*(1+'2. GRI Pricing Inputs'!$D$114)^((AM$16-AL$16)/365)</f>
        <v>0</v>
      </c>
      <c r="AN528" s="273">
        <f>AM528*(1+'2. GRI Pricing Inputs'!$D$114)^((AN$16-AM$16)/365)</f>
        <v>0</v>
      </c>
      <c r="AO528" s="273">
        <f>AN528*(1+'2. GRI Pricing Inputs'!$D$114)^((AO$16-AN$16)/365)</f>
        <v>0</v>
      </c>
    </row>
    <row r="529" spans="3:41" ht="12" x14ac:dyDescent="0.2">
      <c r="C529" s="76">
        <f>'1. Accomodation'!N533</f>
        <v>0</v>
      </c>
      <c r="D529" s="69">
        <f>'1. Accomodation'!P533</f>
        <v>0</v>
      </c>
      <c r="E529" s="69">
        <f>'1. Accomodation'!Q533</f>
        <v>0</v>
      </c>
      <c r="F529" s="77">
        <f>'1. Accomodation'!O533</f>
        <v>0</v>
      </c>
      <c r="G529" s="69">
        <f>'1. Accomodation'!R533</f>
        <v>0</v>
      </c>
      <c r="H529" s="69">
        <f>'1. Accomodation'!S533</f>
        <v>0</v>
      </c>
      <c r="I529" s="62"/>
      <c r="K529" s="272">
        <f>IFERROR(INDEX('2. GRI Pricing Inputs'!$C$15:$AI$16,MATCH($K$16,'2. GRI Pricing Inputs'!$C$15:$C$16,0),MATCH(D529,'2. GRI Pricing Inputs'!$C$15:$AI$15,0)),0)</f>
        <v>0</v>
      </c>
      <c r="L529" s="273">
        <f>IFERROR(INDEX('2. GRI Pricing Inputs'!$C$22:$AI$23,MATCH($L$16,'2. GRI Pricing Inputs'!$C$22:$C$23,0),MATCH(E529,'2. GRI Pricing Inputs'!$C$22:$AI$22,0)),0)</f>
        <v>0</v>
      </c>
      <c r="M529" s="328">
        <f>IF(AND('3. GRI Pricing'!$F529&gt;='2. GRI Pricing Inputs'!$D$33,'3. GRI Pricing'!$F529&lt;='2. GRI Pricing Inputs'!$E$33),'2. GRI Pricing Inputs'!$D$32,IF(AND('3. GRI Pricing'!$F529&gt;='2. GRI Pricing Inputs'!$F$33,'3. GRI Pricing'!$F529&lt;='2. GRI Pricing Inputs'!$G$33),'2. GRI Pricing Inputs'!$F$32,IF(AND('3. GRI Pricing'!$F529&gt;='2. GRI Pricing Inputs'!$H$33,'3. GRI Pricing'!$F529&lt;='2. GRI Pricing Inputs'!$I$33),'2. GRI Pricing Inputs'!$H$32,IF(AND('3. GRI Pricing'!$F529&gt;='2. GRI Pricing Inputs'!$J$33,'3. GRI Pricing'!$F529&lt;='2. GRI Pricing Inputs'!$K$33),'2. GRI Pricing Inputs'!$J$32,IF(AND('3. GRI Pricing'!$F529&gt;='2. GRI Pricing Inputs'!$L$33,'3. GRI Pricing'!$F529&lt;='2. GRI Pricing Inputs'!$M$33),'2. GRI Pricing Inputs'!$L$32,IF(AND('3. GRI Pricing'!$F529&gt;='2. GRI Pricing Inputs'!$N$33,'3. GRI Pricing'!$F529&lt;='2. GRI Pricing Inputs'!$O$33),'2. GRI Pricing Inputs'!$N$32,IF(AND('3. GRI Pricing'!$F529&gt;='2. GRI Pricing Inputs'!$P$33,'3. GRI Pricing'!$F529&lt;='2. GRI Pricing Inputs'!$Q$33),'2. GRI Pricing Inputs'!$P$32,IF(AND('3. GRI Pricing'!$F529&gt;='2. GRI Pricing Inputs'!$R$33,'3. GRI Pricing'!$F529&lt;='2. GRI Pricing Inputs'!$S$33),'2. GRI Pricing Inputs'!$R$32,IF(AND('3. GRI Pricing'!$F529&gt;='2. GRI Pricing Inputs'!$T$33,'3. GRI Pricing'!$F529&lt;='2. GRI Pricing Inputs'!$U$33),'2. GRI Pricing Inputs'!$T$32,IF(AND('3. GRI Pricing'!$F529&gt;='2. GRI Pricing Inputs'!$V$33,'3. GRI Pricing'!$F529&lt;='2. GRI Pricing Inputs'!$W$33),'2. GRI Pricing Inputs'!$V$32,IF(AND('3. GRI Pricing'!$F529&gt;='2. GRI Pricing Inputs'!$X$33,'3. GRI Pricing'!$F529&lt;='2. GRI Pricing Inputs'!$Y$33),'2. GRI Pricing Inputs'!$X$32,IF(AND('3. GRI Pricing'!$F529&gt;='2. GRI Pricing Inputs'!$Z$33,'3. GRI Pricing'!$F529&lt;='2. GRI Pricing Inputs'!$AA$33),'2. GRI Pricing Inputs'!$Z$32,IF(AND('3. GRI Pricing'!$F529&gt;='2. GRI Pricing Inputs'!$AB$33,'3. GRI Pricing'!$F529&lt;='2. GRI Pricing Inputs'!$AC$33),'2. GRI Pricing Inputs'!$AB$32,IF(AND('3. GRI Pricing'!$F529&gt;='2. GRI Pricing Inputs'!$AD$33,'3. GRI Pricing'!$F529&lt;='2. GRI Pricing Inputs'!$AE$33),'2. GRI Pricing Inputs'!$AD$32,IF(AND('3. GRI Pricing'!$F529&gt;='2. GRI Pricing Inputs'!$AF$33,'3. GRI Pricing'!$F529&lt;='2. GRI Pricing Inputs'!$AG$33),'2. GRI Pricing Inputs'!$AF$32,IF(AND('3. GRI Pricing'!$F529&gt;='2. GRI Pricing Inputs'!$AH$33,'3. GRI Pricing'!$F529&lt;='2. GRI Pricing Inputs'!$AI$33),'2. GRI Pricing Inputs'!$AH$32,0))))))))))))))))</f>
        <v>0</v>
      </c>
      <c r="N529" s="273" cm="1">
        <f t="array" ref="N529">IFERROR(INDEX('2. GRI Pricing Inputs'!$C$32:$AI$39,MATCH('3. GRI Pricing'!D529,'2. GRI Pricing Inputs'!$C$32:$C$39,0),(MATCH('3. GRI Pricing'!M529,'2. GRI Pricing Inputs'!$D$32:$AI$32,0)+1)),0)</f>
        <v>0</v>
      </c>
      <c r="O529" s="273">
        <f>IFERROR(INDEX('2. GRI Pricing Inputs'!$C$45:$AI$46,MATCH($O$16,'2. GRI Pricing Inputs'!$C$45:$C$46,0),MATCH(G529,'2. GRI Pricing Inputs'!$C$45:$AI$45,0)),0)</f>
        <v>0</v>
      </c>
      <c r="P529" s="273">
        <f>IFERROR(INDEX('2. GRI Pricing Inputs'!$C$53:$AI$54,MATCH('3. GRI Pricing'!$P$16,'2. GRI Pricing Inputs'!$C$53:$C$54,0),MATCH('3. GRI Pricing'!H529,'2. GRI Pricing Inputs'!$C$53:$AI$53,0)),0)</f>
        <v>0</v>
      </c>
      <c r="Q529" s="273">
        <f>IFERROR(INDEX('2. GRI Pricing Inputs'!$C$60:$AI$61,MATCH('3. GRI Pricing'!$Q$16,'2. GRI Pricing Inputs'!$C$60:$C$61,0),MATCH('1. Accomodation'!T533,'2. GRI Pricing Inputs'!$C$60:$AI$60,0)),0)</f>
        <v>0</v>
      </c>
      <c r="R529" s="273">
        <f>IFERROR(INDEX('2. GRI Pricing Inputs'!$C$67:$AI$68,MATCH('3. GRI Pricing'!$R$16,'2. GRI Pricing Inputs'!$C$67:$C$68,0),MATCH('1. Accomodation'!U533,'2. GRI Pricing Inputs'!$C$67:$AI$67,0)),0)</f>
        <v>0</v>
      </c>
      <c r="S529" s="273">
        <f>IF(D529=0,0,'2. GRI Pricing Inputs'!$AI$75)</f>
        <v>0</v>
      </c>
      <c r="T529" s="273">
        <f>IFERROR(INDEX('2. GRI Pricing Inputs'!$C$82:$AI$83,MATCH('3. GRI Pricing'!$T$16,'2. GRI Pricing Inputs'!$C$82:$C$83,0),MATCH('1. Accomodation'!V533,'2. GRI Pricing Inputs'!$C$82:$AI$82,0)),0)</f>
        <v>0</v>
      </c>
      <c r="U529" s="273">
        <f>IFERROR(INDEX('2. GRI Pricing Inputs'!$C$89:$AI$90,MATCH('3. GRI Pricing'!$U$16,'2. GRI Pricing Inputs'!$C$89:$C$90,0),MATCH('1. Accomodation'!W533,'2. GRI Pricing Inputs'!$C$89:$AI$89,0)),0)</f>
        <v>0</v>
      </c>
      <c r="V529" s="273">
        <f>IFERROR(INDEX('2. GRI Pricing Inputs'!$C$97:$AI$98,MATCH('3. GRI Pricing'!$V$16,'2. GRI Pricing Inputs'!$C$97:$C$98,0),MATCH('1. Accomodation'!X533,'2. GRI Pricing Inputs'!$C$97:$AI$97,0)),0)</f>
        <v>0</v>
      </c>
      <c r="W529" s="273">
        <f>IFERROR(INDEX('2. GRI Pricing Inputs'!$C$104:$AI$105,MATCH('3. GRI Pricing'!$W$16,'2. GRI Pricing Inputs'!$C$104:$C$105,0),MATCH('1. Accomodation'!Y533,'2. GRI Pricing Inputs'!$C$104:$AI$104,0)),0)</f>
        <v>0</v>
      </c>
      <c r="X529" s="274"/>
      <c r="Y529" s="275">
        <f t="shared" si="14"/>
        <v>0</v>
      </c>
      <c r="Z529" s="276"/>
      <c r="AA529" s="276"/>
      <c r="AB529" s="276"/>
      <c r="AC529" s="272">
        <f>Y529*(1+'2. GRI Pricing Inputs'!$D$114)^(($AC$16-$AB$15)/365)</f>
        <v>0</v>
      </c>
      <c r="AD529" s="273">
        <f>AC529*(1+'2. GRI Pricing Inputs'!$D$114)^((AD$16-AC$16)/365)</f>
        <v>0</v>
      </c>
      <c r="AE529" s="273">
        <f>AD529*(1+'2. GRI Pricing Inputs'!$D$114)^((AE$16-AD$16)/365)</f>
        <v>0</v>
      </c>
      <c r="AF529" s="273">
        <f>AE529*(1+'2. GRI Pricing Inputs'!$D$114)^((AF$16-AE$16)/365)</f>
        <v>0</v>
      </c>
      <c r="AG529" s="273">
        <f>AF529*(1+'2. GRI Pricing Inputs'!$D$114)^((AG$16-AF$16)/365)</f>
        <v>0</v>
      </c>
      <c r="AH529" s="273">
        <f>AG529*(1+'2. GRI Pricing Inputs'!$D$114)^((AH$16-AG$16)/365)</f>
        <v>0</v>
      </c>
      <c r="AI529" s="273">
        <f>AH529*(1+'2. GRI Pricing Inputs'!$D$114)^((AI$16-AH$16)/365)</f>
        <v>0</v>
      </c>
      <c r="AJ529" s="273">
        <f>AI529*(1+'2. GRI Pricing Inputs'!$D$114)^((AJ$16-AI$16)/365)</f>
        <v>0</v>
      </c>
      <c r="AK529" s="273">
        <f>AJ529*(1+'2. GRI Pricing Inputs'!$D$114)^((AK$16-AJ$16)/365)</f>
        <v>0</v>
      </c>
      <c r="AL529" s="273">
        <f>AK529*(1+'2. GRI Pricing Inputs'!$D$114)^((AL$16-AK$16)/365)</f>
        <v>0</v>
      </c>
      <c r="AM529" s="273">
        <f>AL529*(1+'2. GRI Pricing Inputs'!$D$114)^((AM$16-AL$16)/365)</f>
        <v>0</v>
      </c>
      <c r="AN529" s="273">
        <f>AM529*(1+'2. GRI Pricing Inputs'!$D$114)^((AN$16-AM$16)/365)</f>
        <v>0</v>
      </c>
      <c r="AO529" s="273">
        <f>AN529*(1+'2. GRI Pricing Inputs'!$D$114)^((AO$16-AN$16)/365)</f>
        <v>0</v>
      </c>
    </row>
    <row r="530" spans="3:41" ht="12" x14ac:dyDescent="0.2">
      <c r="C530" s="76">
        <f>'1. Accomodation'!N534</f>
        <v>0</v>
      </c>
      <c r="D530" s="69">
        <f>'1. Accomodation'!P534</f>
        <v>0</v>
      </c>
      <c r="E530" s="69">
        <f>'1. Accomodation'!Q534</f>
        <v>0</v>
      </c>
      <c r="F530" s="77">
        <f>'1. Accomodation'!O534</f>
        <v>0</v>
      </c>
      <c r="G530" s="69">
        <f>'1. Accomodation'!R534</f>
        <v>0</v>
      </c>
      <c r="H530" s="69">
        <f>'1. Accomodation'!S534</f>
        <v>0</v>
      </c>
      <c r="I530" s="62"/>
      <c r="K530" s="272">
        <f>IFERROR(INDEX('2. GRI Pricing Inputs'!$C$15:$AI$16,MATCH($K$16,'2. GRI Pricing Inputs'!$C$15:$C$16,0),MATCH(D530,'2. GRI Pricing Inputs'!$C$15:$AI$15,0)),0)</f>
        <v>0</v>
      </c>
      <c r="L530" s="273">
        <f>IFERROR(INDEX('2. GRI Pricing Inputs'!$C$22:$AI$23,MATCH($L$16,'2. GRI Pricing Inputs'!$C$22:$C$23,0),MATCH(E530,'2. GRI Pricing Inputs'!$C$22:$AI$22,0)),0)</f>
        <v>0</v>
      </c>
      <c r="M530" s="328">
        <f>IF(AND('3. GRI Pricing'!$F530&gt;='2. GRI Pricing Inputs'!$D$33,'3. GRI Pricing'!$F530&lt;='2. GRI Pricing Inputs'!$E$33),'2. GRI Pricing Inputs'!$D$32,IF(AND('3. GRI Pricing'!$F530&gt;='2. GRI Pricing Inputs'!$F$33,'3. GRI Pricing'!$F530&lt;='2. GRI Pricing Inputs'!$G$33),'2. GRI Pricing Inputs'!$F$32,IF(AND('3. GRI Pricing'!$F530&gt;='2. GRI Pricing Inputs'!$H$33,'3. GRI Pricing'!$F530&lt;='2. GRI Pricing Inputs'!$I$33),'2. GRI Pricing Inputs'!$H$32,IF(AND('3. GRI Pricing'!$F530&gt;='2. GRI Pricing Inputs'!$J$33,'3. GRI Pricing'!$F530&lt;='2. GRI Pricing Inputs'!$K$33),'2. GRI Pricing Inputs'!$J$32,IF(AND('3. GRI Pricing'!$F530&gt;='2. GRI Pricing Inputs'!$L$33,'3. GRI Pricing'!$F530&lt;='2. GRI Pricing Inputs'!$M$33),'2. GRI Pricing Inputs'!$L$32,IF(AND('3. GRI Pricing'!$F530&gt;='2. GRI Pricing Inputs'!$N$33,'3. GRI Pricing'!$F530&lt;='2. GRI Pricing Inputs'!$O$33),'2. GRI Pricing Inputs'!$N$32,IF(AND('3. GRI Pricing'!$F530&gt;='2. GRI Pricing Inputs'!$P$33,'3. GRI Pricing'!$F530&lt;='2. GRI Pricing Inputs'!$Q$33),'2. GRI Pricing Inputs'!$P$32,IF(AND('3. GRI Pricing'!$F530&gt;='2. GRI Pricing Inputs'!$R$33,'3. GRI Pricing'!$F530&lt;='2. GRI Pricing Inputs'!$S$33),'2. GRI Pricing Inputs'!$R$32,IF(AND('3. GRI Pricing'!$F530&gt;='2. GRI Pricing Inputs'!$T$33,'3. GRI Pricing'!$F530&lt;='2. GRI Pricing Inputs'!$U$33),'2. GRI Pricing Inputs'!$T$32,IF(AND('3. GRI Pricing'!$F530&gt;='2. GRI Pricing Inputs'!$V$33,'3. GRI Pricing'!$F530&lt;='2. GRI Pricing Inputs'!$W$33),'2. GRI Pricing Inputs'!$V$32,IF(AND('3. GRI Pricing'!$F530&gt;='2. GRI Pricing Inputs'!$X$33,'3. GRI Pricing'!$F530&lt;='2. GRI Pricing Inputs'!$Y$33),'2. GRI Pricing Inputs'!$X$32,IF(AND('3. GRI Pricing'!$F530&gt;='2. GRI Pricing Inputs'!$Z$33,'3. GRI Pricing'!$F530&lt;='2. GRI Pricing Inputs'!$AA$33),'2. GRI Pricing Inputs'!$Z$32,IF(AND('3. GRI Pricing'!$F530&gt;='2. GRI Pricing Inputs'!$AB$33,'3. GRI Pricing'!$F530&lt;='2. GRI Pricing Inputs'!$AC$33),'2. GRI Pricing Inputs'!$AB$32,IF(AND('3. GRI Pricing'!$F530&gt;='2. GRI Pricing Inputs'!$AD$33,'3. GRI Pricing'!$F530&lt;='2. GRI Pricing Inputs'!$AE$33),'2. GRI Pricing Inputs'!$AD$32,IF(AND('3. GRI Pricing'!$F530&gt;='2. GRI Pricing Inputs'!$AF$33,'3. GRI Pricing'!$F530&lt;='2. GRI Pricing Inputs'!$AG$33),'2. GRI Pricing Inputs'!$AF$32,IF(AND('3. GRI Pricing'!$F530&gt;='2. GRI Pricing Inputs'!$AH$33,'3. GRI Pricing'!$F530&lt;='2. GRI Pricing Inputs'!$AI$33),'2. GRI Pricing Inputs'!$AH$32,0))))))))))))))))</f>
        <v>0</v>
      </c>
      <c r="N530" s="273" cm="1">
        <f t="array" ref="N530">IFERROR(INDEX('2. GRI Pricing Inputs'!$C$32:$AI$39,MATCH('3. GRI Pricing'!D530,'2. GRI Pricing Inputs'!$C$32:$C$39,0),(MATCH('3. GRI Pricing'!M530,'2. GRI Pricing Inputs'!$D$32:$AI$32,0)+1)),0)</f>
        <v>0</v>
      </c>
      <c r="O530" s="273">
        <f>IFERROR(INDEX('2. GRI Pricing Inputs'!$C$45:$AI$46,MATCH($O$16,'2. GRI Pricing Inputs'!$C$45:$C$46,0),MATCH(G530,'2. GRI Pricing Inputs'!$C$45:$AI$45,0)),0)</f>
        <v>0</v>
      </c>
      <c r="P530" s="273">
        <f>IFERROR(INDEX('2. GRI Pricing Inputs'!$C$53:$AI$54,MATCH('3. GRI Pricing'!$P$16,'2. GRI Pricing Inputs'!$C$53:$C$54,0),MATCH('3. GRI Pricing'!H530,'2. GRI Pricing Inputs'!$C$53:$AI$53,0)),0)</f>
        <v>0</v>
      </c>
      <c r="Q530" s="273">
        <f>IFERROR(INDEX('2. GRI Pricing Inputs'!$C$60:$AI$61,MATCH('3. GRI Pricing'!$Q$16,'2. GRI Pricing Inputs'!$C$60:$C$61,0),MATCH('1. Accomodation'!T534,'2. GRI Pricing Inputs'!$C$60:$AI$60,0)),0)</f>
        <v>0</v>
      </c>
      <c r="R530" s="273">
        <f>IFERROR(INDEX('2. GRI Pricing Inputs'!$C$67:$AI$68,MATCH('3. GRI Pricing'!$R$16,'2. GRI Pricing Inputs'!$C$67:$C$68,0),MATCH('1. Accomodation'!U534,'2. GRI Pricing Inputs'!$C$67:$AI$67,0)),0)</f>
        <v>0</v>
      </c>
      <c r="S530" s="273">
        <f>IF(D530=0,0,'2. GRI Pricing Inputs'!$AI$75)</f>
        <v>0</v>
      </c>
      <c r="T530" s="273">
        <f>IFERROR(INDEX('2. GRI Pricing Inputs'!$C$82:$AI$83,MATCH('3. GRI Pricing'!$T$16,'2. GRI Pricing Inputs'!$C$82:$C$83,0),MATCH('1. Accomodation'!V534,'2. GRI Pricing Inputs'!$C$82:$AI$82,0)),0)</f>
        <v>0</v>
      </c>
      <c r="U530" s="273">
        <f>IFERROR(INDEX('2. GRI Pricing Inputs'!$C$89:$AI$90,MATCH('3. GRI Pricing'!$U$16,'2. GRI Pricing Inputs'!$C$89:$C$90,0),MATCH('1. Accomodation'!W534,'2. GRI Pricing Inputs'!$C$89:$AI$89,0)),0)</f>
        <v>0</v>
      </c>
      <c r="V530" s="273">
        <f>IFERROR(INDEX('2. GRI Pricing Inputs'!$C$97:$AI$98,MATCH('3. GRI Pricing'!$V$16,'2. GRI Pricing Inputs'!$C$97:$C$98,0),MATCH('1. Accomodation'!X534,'2. GRI Pricing Inputs'!$C$97:$AI$97,0)),0)</f>
        <v>0</v>
      </c>
      <c r="W530" s="273">
        <f>IFERROR(INDEX('2. GRI Pricing Inputs'!$C$104:$AI$105,MATCH('3. GRI Pricing'!$W$16,'2. GRI Pricing Inputs'!$C$104:$C$105,0),MATCH('1. Accomodation'!Y534,'2. GRI Pricing Inputs'!$C$104:$AI$104,0)),0)</f>
        <v>0</v>
      </c>
      <c r="X530" s="274"/>
      <c r="Y530" s="275">
        <f t="shared" ref="Y530:Y593" si="15">K530+L530+N530+O530+P530+Q530+R530+S530+T530+U530+V530+W530+X530</f>
        <v>0</v>
      </c>
      <c r="Z530" s="276"/>
      <c r="AA530" s="276"/>
      <c r="AB530" s="276"/>
      <c r="AC530" s="272">
        <f>Y530*(1+'2. GRI Pricing Inputs'!$D$114)^(($AC$16-$AB$15)/365)</f>
        <v>0</v>
      </c>
      <c r="AD530" s="273">
        <f>AC530*(1+'2. GRI Pricing Inputs'!$D$114)^((AD$16-AC$16)/365)</f>
        <v>0</v>
      </c>
      <c r="AE530" s="273">
        <f>AD530*(1+'2. GRI Pricing Inputs'!$D$114)^((AE$16-AD$16)/365)</f>
        <v>0</v>
      </c>
      <c r="AF530" s="273">
        <f>AE530*(1+'2. GRI Pricing Inputs'!$D$114)^((AF$16-AE$16)/365)</f>
        <v>0</v>
      </c>
      <c r="AG530" s="273">
        <f>AF530*(1+'2. GRI Pricing Inputs'!$D$114)^((AG$16-AF$16)/365)</f>
        <v>0</v>
      </c>
      <c r="AH530" s="273">
        <f>AG530*(1+'2. GRI Pricing Inputs'!$D$114)^((AH$16-AG$16)/365)</f>
        <v>0</v>
      </c>
      <c r="AI530" s="273">
        <f>AH530*(1+'2. GRI Pricing Inputs'!$D$114)^((AI$16-AH$16)/365)</f>
        <v>0</v>
      </c>
      <c r="AJ530" s="273">
        <f>AI530*(1+'2. GRI Pricing Inputs'!$D$114)^((AJ$16-AI$16)/365)</f>
        <v>0</v>
      </c>
      <c r="AK530" s="273">
        <f>AJ530*(1+'2. GRI Pricing Inputs'!$D$114)^((AK$16-AJ$16)/365)</f>
        <v>0</v>
      </c>
      <c r="AL530" s="273">
        <f>AK530*(1+'2. GRI Pricing Inputs'!$D$114)^((AL$16-AK$16)/365)</f>
        <v>0</v>
      </c>
      <c r="AM530" s="273">
        <f>AL530*(1+'2. GRI Pricing Inputs'!$D$114)^((AM$16-AL$16)/365)</f>
        <v>0</v>
      </c>
      <c r="AN530" s="273">
        <f>AM530*(1+'2. GRI Pricing Inputs'!$D$114)^((AN$16-AM$16)/365)</f>
        <v>0</v>
      </c>
      <c r="AO530" s="273">
        <f>AN530*(1+'2. GRI Pricing Inputs'!$D$114)^((AO$16-AN$16)/365)</f>
        <v>0</v>
      </c>
    </row>
    <row r="531" spans="3:41" ht="12" x14ac:dyDescent="0.2">
      <c r="C531" s="76">
        <f>'1. Accomodation'!N535</f>
        <v>0</v>
      </c>
      <c r="D531" s="69">
        <f>'1. Accomodation'!P535</f>
        <v>0</v>
      </c>
      <c r="E531" s="69">
        <f>'1. Accomodation'!Q535</f>
        <v>0</v>
      </c>
      <c r="F531" s="77">
        <f>'1. Accomodation'!O535</f>
        <v>0</v>
      </c>
      <c r="G531" s="69">
        <f>'1. Accomodation'!R535</f>
        <v>0</v>
      </c>
      <c r="H531" s="69">
        <f>'1. Accomodation'!S535</f>
        <v>0</v>
      </c>
      <c r="I531" s="62"/>
      <c r="K531" s="272">
        <f>IFERROR(INDEX('2. GRI Pricing Inputs'!$C$15:$AI$16,MATCH($K$16,'2. GRI Pricing Inputs'!$C$15:$C$16,0),MATCH(D531,'2. GRI Pricing Inputs'!$C$15:$AI$15,0)),0)</f>
        <v>0</v>
      </c>
      <c r="L531" s="273">
        <f>IFERROR(INDEX('2. GRI Pricing Inputs'!$C$22:$AI$23,MATCH($L$16,'2. GRI Pricing Inputs'!$C$22:$C$23,0),MATCH(E531,'2. GRI Pricing Inputs'!$C$22:$AI$22,0)),0)</f>
        <v>0</v>
      </c>
      <c r="M531" s="328">
        <f>IF(AND('3. GRI Pricing'!$F531&gt;='2. GRI Pricing Inputs'!$D$33,'3. GRI Pricing'!$F531&lt;='2. GRI Pricing Inputs'!$E$33),'2. GRI Pricing Inputs'!$D$32,IF(AND('3. GRI Pricing'!$F531&gt;='2. GRI Pricing Inputs'!$F$33,'3. GRI Pricing'!$F531&lt;='2. GRI Pricing Inputs'!$G$33),'2. GRI Pricing Inputs'!$F$32,IF(AND('3. GRI Pricing'!$F531&gt;='2. GRI Pricing Inputs'!$H$33,'3. GRI Pricing'!$F531&lt;='2. GRI Pricing Inputs'!$I$33),'2. GRI Pricing Inputs'!$H$32,IF(AND('3. GRI Pricing'!$F531&gt;='2. GRI Pricing Inputs'!$J$33,'3. GRI Pricing'!$F531&lt;='2. GRI Pricing Inputs'!$K$33),'2. GRI Pricing Inputs'!$J$32,IF(AND('3. GRI Pricing'!$F531&gt;='2. GRI Pricing Inputs'!$L$33,'3. GRI Pricing'!$F531&lt;='2. GRI Pricing Inputs'!$M$33),'2. GRI Pricing Inputs'!$L$32,IF(AND('3. GRI Pricing'!$F531&gt;='2. GRI Pricing Inputs'!$N$33,'3. GRI Pricing'!$F531&lt;='2. GRI Pricing Inputs'!$O$33),'2. GRI Pricing Inputs'!$N$32,IF(AND('3. GRI Pricing'!$F531&gt;='2. GRI Pricing Inputs'!$P$33,'3. GRI Pricing'!$F531&lt;='2. GRI Pricing Inputs'!$Q$33),'2. GRI Pricing Inputs'!$P$32,IF(AND('3. GRI Pricing'!$F531&gt;='2. GRI Pricing Inputs'!$R$33,'3. GRI Pricing'!$F531&lt;='2. GRI Pricing Inputs'!$S$33),'2. GRI Pricing Inputs'!$R$32,IF(AND('3. GRI Pricing'!$F531&gt;='2. GRI Pricing Inputs'!$T$33,'3. GRI Pricing'!$F531&lt;='2. GRI Pricing Inputs'!$U$33),'2. GRI Pricing Inputs'!$T$32,IF(AND('3. GRI Pricing'!$F531&gt;='2. GRI Pricing Inputs'!$V$33,'3. GRI Pricing'!$F531&lt;='2. GRI Pricing Inputs'!$W$33),'2. GRI Pricing Inputs'!$V$32,IF(AND('3. GRI Pricing'!$F531&gt;='2. GRI Pricing Inputs'!$X$33,'3. GRI Pricing'!$F531&lt;='2. GRI Pricing Inputs'!$Y$33),'2. GRI Pricing Inputs'!$X$32,IF(AND('3. GRI Pricing'!$F531&gt;='2. GRI Pricing Inputs'!$Z$33,'3. GRI Pricing'!$F531&lt;='2. GRI Pricing Inputs'!$AA$33),'2. GRI Pricing Inputs'!$Z$32,IF(AND('3. GRI Pricing'!$F531&gt;='2. GRI Pricing Inputs'!$AB$33,'3. GRI Pricing'!$F531&lt;='2. GRI Pricing Inputs'!$AC$33),'2. GRI Pricing Inputs'!$AB$32,IF(AND('3. GRI Pricing'!$F531&gt;='2. GRI Pricing Inputs'!$AD$33,'3. GRI Pricing'!$F531&lt;='2. GRI Pricing Inputs'!$AE$33),'2. GRI Pricing Inputs'!$AD$32,IF(AND('3. GRI Pricing'!$F531&gt;='2. GRI Pricing Inputs'!$AF$33,'3. GRI Pricing'!$F531&lt;='2. GRI Pricing Inputs'!$AG$33),'2. GRI Pricing Inputs'!$AF$32,IF(AND('3. GRI Pricing'!$F531&gt;='2. GRI Pricing Inputs'!$AH$33,'3. GRI Pricing'!$F531&lt;='2. GRI Pricing Inputs'!$AI$33),'2. GRI Pricing Inputs'!$AH$32,0))))))))))))))))</f>
        <v>0</v>
      </c>
      <c r="N531" s="273" cm="1">
        <f t="array" ref="N531">IFERROR(INDEX('2. GRI Pricing Inputs'!$C$32:$AI$39,MATCH('3. GRI Pricing'!D531,'2. GRI Pricing Inputs'!$C$32:$C$39,0),(MATCH('3. GRI Pricing'!M531,'2. GRI Pricing Inputs'!$D$32:$AI$32,0)+1)),0)</f>
        <v>0</v>
      </c>
      <c r="O531" s="273">
        <f>IFERROR(INDEX('2. GRI Pricing Inputs'!$C$45:$AI$46,MATCH($O$16,'2. GRI Pricing Inputs'!$C$45:$C$46,0),MATCH(G531,'2. GRI Pricing Inputs'!$C$45:$AI$45,0)),0)</f>
        <v>0</v>
      </c>
      <c r="P531" s="273">
        <f>IFERROR(INDEX('2. GRI Pricing Inputs'!$C$53:$AI$54,MATCH('3. GRI Pricing'!$P$16,'2. GRI Pricing Inputs'!$C$53:$C$54,0),MATCH('3. GRI Pricing'!H531,'2. GRI Pricing Inputs'!$C$53:$AI$53,0)),0)</f>
        <v>0</v>
      </c>
      <c r="Q531" s="273">
        <f>IFERROR(INDEX('2. GRI Pricing Inputs'!$C$60:$AI$61,MATCH('3. GRI Pricing'!$Q$16,'2. GRI Pricing Inputs'!$C$60:$C$61,0),MATCH('1. Accomodation'!T535,'2. GRI Pricing Inputs'!$C$60:$AI$60,0)),0)</f>
        <v>0</v>
      </c>
      <c r="R531" s="273">
        <f>IFERROR(INDEX('2. GRI Pricing Inputs'!$C$67:$AI$68,MATCH('3. GRI Pricing'!$R$16,'2. GRI Pricing Inputs'!$C$67:$C$68,0),MATCH('1. Accomodation'!U535,'2. GRI Pricing Inputs'!$C$67:$AI$67,0)),0)</f>
        <v>0</v>
      </c>
      <c r="S531" s="273">
        <f>IF(D531=0,0,'2. GRI Pricing Inputs'!$AI$75)</f>
        <v>0</v>
      </c>
      <c r="T531" s="273">
        <f>IFERROR(INDEX('2. GRI Pricing Inputs'!$C$82:$AI$83,MATCH('3. GRI Pricing'!$T$16,'2. GRI Pricing Inputs'!$C$82:$C$83,0),MATCH('1. Accomodation'!V535,'2. GRI Pricing Inputs'!$C$82:$AI$82,0)),0)</f>
        <v>0</v>
      </c>
      <c r="U531" s="273">
        <f>IFERROR(INDEX('2. GRI Pricing Inputs'!$C$89:$AI$90,MATCH('3. GRI Pricing'!$U$16,'2. GRI Pricing Inputs'!$C$89:$C$90,0),MATCH('1. Accomodation'!W535,'2. GRI Pricing Inputs'!$C$89:$AI$89,0)),0)</f>
        <v>0</v>
      </c>
      <c r="V531" s="273">
        <f>IFERROR(INDEX('2. GRI Pricing Inputs'!$C$97:$AI$98,MATCH('3. GRI Pricing'!$V$16,'2. GRI Pricing Inputs'!$C$97:$C$98,0),MATCH('1. Accomodation'!X535,'2. GRI Pricing Inputs'!$C$97:$AI$97,0)),0)</f>
        <v>0</v>
      </c>
      <c r="W531" s="273">
        <f>IFERROR(INDEX('2. GRI Pricing Inputs'!$C$104:$AI$105,MATCH('3. GRI Pricing'!$W$16,'2. GRI Pricing Inputs'!$C$104:$C$105,0),MATCH('1. Accomodation'!Y535,'2. GRI Pricing Inputs'!$C$104:$AI$104,0)),0)</f>
        <v>0</v>
      </c>
      <c r="X531" s="274"/>
      <c r="Y531" s="275">
        <f t="shared" si="15"/>
        <v>0</v>
      </c>
      <c r="Z531" s="276"/>
      <c r="AA531" s="276"/>
      <c r="AB531" s="276"/>
      <c r="AC531" s="272">
        <f>Y531*(1+'2. GRI Pricing Inputs'!$D$114)^(($AC$16-$AB$15)/365)</f>
        <v>0</v>
      </c>
      <c r="AD531" s="273">
        <f>AC531*(1+'2. GRI Pricing Inputs'!$D$114)^((AD$16-AC$16)/365)</f>
        <v>0</v>
      </c>
      <c r="AE531" s="273">
        <f>AD531*(1+'2. GRI Pricing Inputs'!$D$114)^((AE$16-AD$16)/365)</f>
        <v>0</v>
      </c>
      <c r="AF531" s="273">
        <f>AE531*(1+'2. GRI Pricing Inputs'!$D$114)^((AF$16-AE$16)/365)</f>
        <v>0</v>
      </c>
      <c r="AG531" s="273">
        <f>AF531*(1+'2. GRI Pricing Inputs'!$D$114)^((AG$16-AF$16)/365)</f>
        <v>0</v>
      </c>
      <c r="AH531" s="273">
        <f>AG531*(1+'2. GRI Pricing Inputs'!$D$114)^((AH$16-AG$16)/365)</f>
        <v>0</v>
      </c>
      <c r="AI531" s="273">
        <f>AH531*(1+'2. GRI Pricing Inputs'!$D$114)^((AI$16-AH$16)/365)</f>
        <v>0</v>
      </c>
      <c r="AJ531" s="273">
        <f>AI531*(1+'2. GRI Pricing Inputs'!$D$114)^((AJ$16-AI$16)/365)</f>
        <v>0</v>
      </c>
      <c r="AK531" s="273">
        <f>AJ531*(1+'2. GRI Pricing Inputs'!$D$114)^((AK$16-AJ$16)/365)</f>
        <v>0</v>
      </c>
      <c r="AL531" s="273">
        <f>AK531*(1+'2. GRI Pricing Inputs'!$D$114)^((AL$16-AK$16)/365)</f>
        <v>0</v>
      </c>
      <c r="AM531" s="273">
        <f>AL531*(1+'2. GRI Pricing Inputs'!$D$114)^((AM$16-AL$16)/365)</f>
        <v>0</v>
      </c>
      <c r="AN531" s="273">
        <f>AM531*(1+'2. GRI Pricing Inputs'!$D$114)^((AN$16-AM$16)/365)</f>
        <v>0</v>
      </c>
      <c r="AO531" s="273">
        <f>AN531*(1+'2. GRI Pricing Inputs'!$D$114)^((AO$16-AN$16)/365)</f>
        <v>0</v>
      </c>
    </row>
    <row r="532" spans="3:41" ht="12" x14ac:dyDescent="0.2">
      <c r="C532" s="76">
        <f>'1. Accomodation'!N536</f>
        <v>0</v>
      </c>
      <c r="D532" s="69">
        <f>'1. Accomodation'!P536</f>
        <v>0</v>
      </c>
      <c r="E532" s="69">
        <f>'1. Accomodation'!Q536</f>
        <v>0</v>
      </c>
      <c r="F532" s="77">
        <f>'1. Accomodation'!O536</f>
        <v>0</v>
      </c>
      <c r="G532" s="69">
        <f>'1. Accomodation'!R536</f>
        <v>0</v>
      </c>
      <c r="H532" s="69">
        <f>'1. Accomodation'!S536</f>
        <v>0</v>
      </c>
      <c r="I532" s="62"/>
      <c r="K532" s="272">
        <f>IFERROR(INDEX('2. GRI Pricing Inputs'!$C$15:$AI$16,MATCH($K$16,'2. GRI Pricing Inputs'!$C$15:$C$16,0),MATCH(D532,'2. GRI Pricing Inputs'!$C$15:$AI$15,0)),0)</f>
        <v>0</v>
      </c>
      <c r="L532" s="273">
        <f>IFERROR(INDEX('2. GRI Pricing Inputs'!$C$22:$AI$23,MATCH($L$16,'2. GRI Pricing Inputs'!$C$22:$C$23,0),MATCH(E532,'2. GRI Pricing Inputs'!$C$22:$AI$22,0)),0)</f>
        <v>0</v>
      </c>
      <c r="M532" s="328">
        <f>IF(AND('3. GRI Pricing'!$F532&gt;='2. GRI Pricing Inputs'!$D$33,'3. GRI Pricing'!$F532&lt;='2. GRI Pricing Inputs'!$E$33),'2. GRI Pricing Inputs'!$D$32,IF(AND('3. GRI Pricing'!$F532&gt;='2. GRI Pricing Inputs'!$F$33,'3. GRI Pricing'!$F532&lt;='2. GRI Pricing Inputs'!$G$33),'2. GRI Pricing Inputs'!$F$32,IF(AND('3. GRI Pricing'!$F532&gt;='2. GRI Pricing Inputs'!$H$33,'3. GRI Pricing'!$F532&lt;='2. GRI Pricing Inputs'!$I$33),'2. GRI Pricing Inputs'!$H$32,IF(AND('3. GRI Pricing'!$F532&gt;='2. GRI Pricing Inputs'!$J$33,'3. GRI Pricing'!$F532&lt;='2. GRI Pricing Inputs'!$K$33),'2. GRI Pricing Inputs'!$J$32,IF(AND('3. GRI Pricing'!$F532&gt;='2. GRI Pricing Inputs'!$L$33,'3. GRI Pricing'!$F532&lt;='2. GRI Pricing Inputs'!$M$33),'2. GRI Pricing Inputs'!$L$32,IF(AND('3. GRI Pricing'!$F532&gt;='2. GRI Pricing Inputs'!$N$33,'3. GRI Pricing'!$F532&lt;='2. GRI Pricing Inputs'!$O$33),'2. GRI Pricing Inputs'!$N$32,IF(AND('3. GRI Pricing'!$F532&gt;='2. GRI Pricing Inputs'!$P$33,'3. GRI Pricing'!$F532&lt;='2. GRI Pricing Inputs'!$Q$33),'2. GRI Pricing Inputs'!$P$32,IF(AND('3. GRI Pricing'!$F532&gt;='2. GRI Pricing Inputs'!$R$33,'3. GRI Pricing'!$F532&lt;='2. GRI Pricing Inputs'!$S$33),'2. GRI Pricing Inputs'!$R$32,IF(AND('3. GRI Pricing'!$F532&gt;='2. GRI Pricing Inputs'!$T$33,'3. GRI Pricing'!$F532&lt;='2. GRI Pricing Inputs'!$U$33),'2. GRI Pricing Inputs'!$T$32,IF(AND('3. GRI Pricing'!$F532&gt;='2. GRI Pricing Inputs'!$V$33,'3. GRI Pricing'!$F532&lt;='2. GRI Pricing Inputs'!$W$33),'2. GRI Pricing Inputs'!$V$32,IF(AND('3. GRI Pricing'!$F532&gt;='2. GRI Pricing Inputs'!$X$33,'3. GRI Pricing'!$F532&lt;='2. GRI Pricing Inputs'!$Y$33),'2. GRI Pricing Inputs'!$X$32,IF(AND('3. GRI Pricing'!$F532&gt;='2. GRI Pricing Inputs'!$Z$33,'3. GRI Pricing'!$F532&lt;='2. GRI Pricing Inputs'!$AA$33),'2. GRI Pricing Inputs'!$Z$32,IF(AND('3. GRI Pricing'!$F532&gt;='2. GRI Pricing Inputs'!$AB$33,'3. GRI Pricing'!$F532&lt;='2. GRI Pricing Inputs'!$AC$33),'2. GRI Pricing Inputs'!$AB$32,IF(AND('3. GRI Pricing'!$F532&gt;='2. GRI Pricing Inputs'!$AD$33,'3. GRI Pricing'!$F532&lt;='2. GRI Pricing Inputs'!$AE$33),'2. GRI Pricing Inputs'!$AD$32,IF(AND('3. GRI Pricing'!$F532&gt;='2. GRI Pricing Inputs'!$AF$33,'3. GRI Pricing'!$F532&lt;='2. GRI Pricing Inputs'!$AG$33),'2. GRI Pricing Inputs'!$AF$32,IF(AND('3. GRI Pricing'!$F532&gt;='2. GRI Pricing Inputs'!$AH$33,'3. GRI Pricing'!$F532&lt;='2. GRI Pricing Inputs'!$AI$33),'2. GRI Pricing Inputs'!$AH$32,0))))))))))))))))</f>
        <v>0</v>
      </c>
      <c r="N532" s="273" cm="1">
        <f t="array" ref="N532">IFERROR(INDEX('2. GRI Pricing Inputs'!$C$32:$AI$39,MATCH('3. GRI Pricing'!D532,'2. GRI Pricing Inputs'!$C$32:$C$39,0),(MATCH('3. GRI Pricing'!M532,'2. GRI Pricing Inputs'!$D$32:$AI$32,0)+1)),0)</f>
        <v>0</v>
      </c>
      <c r="O532" s="273">
        <f>IFERROR(INDEX('2. GRI Pricing Inputs'!$C$45:$AI$46,MATCH($O$16,'2. GRI Pricing Inputs'!$C$45:$C$46,0),MATCH(G532,'2. GRI Pricing Inputs'!$C$45:$AI$45,0)),0)</f>
        <v>0</v>
      </c>
      <c r="P532" s="273">
        <f>IFERROR(INDEX('2. GRI Pricing Inputs'!$C$53:$AI$54,MATCH('3. GRI Pricing'!$P$16,'2. GRI Pricing Inputs'!$C$53:$C$54,0),MATCH('3. GRI Pricing'!H532,'2. GRI Pricing Inputs'!$C$53:$AI$53,0)),0)</f>
        <v>0</v>
      </c>
      <c r="Q532" s="273">
        <f>IFERROR(INDEX('2. GRI Pricing Inputs'!$C$60:$AI$61,MATCH('3. GRI Pricing'!$Q$16,'2. GRI Pricing Inputs'!$C$60:$C$61,0),MATCH('1. Accomodation'!T536,'2. GRI Pricing Inputs'!$C$60:$AI$60,0)),0)</f>
        <v>0</v>
      </c>
      <c r="R532" s="273">
        <f>IFERROR(INDEX('2. GRI Pricing Inputs'!$C$67:$AI$68,MATCH('3. GRI Pricing'!$R$16,'2. GRI Pricing Inputs'!$C$67:$C$68,0),MATCH('1. Accomodation'!U536,'2. GRI Pricing Inputs'!$C$67:$AI$67,0)),0)</f>
        <v>0</v>
      </c>
      <c r="S532" s="273">
        <f>IF(D532=0,0,'2. GRI Pricing Inputs'!$AI$75)</f>
        <v>0</v>
      </c>
      <c r="T532" s="273">
        <f>IFERROR(INDEX('2. GRI Pricing Inputs'!$C$82:$AI$83,MATCH('3. GRI Pricing'!$T$16,'2. GRI Pricing Inputs'!$C$82:$C$83,0),MATCH('1. Accomodation'!V536,'2. GRI Pricing Inputs'!$C$82:$AI$82,0)),0)</f>
        <v>0</v>
      </c>
      <c r="U532" s="273">
        <f>IFERROR(INDEX('2. GRI Pricing Inputs'!$C$89:$AI$90,MATCH('3. GRI Pricing'!$U$16,'2. GRI Pricing Inputs'!$C$89:$C$90,0),MATCH('1. Accomodation'!W536,'2. GRI Pricing Inputs'!$C$89:$AI$89,0)),0)</f>
        <v>0</v>
      </c>
      <c r="V532" s="273">
        <f>IFERROR(INDEX('2. GRI Pricing Inputs'!$C$97:$AI$98,MATCH('3. GRI Pricing'!$V$16,'2. GRI Pricing Inputs'!$C$97:$C$98,0),MATCH('1. Accomodation'!X536,'2. GRI Pricing Inputs'!$C$97:$AI$97,0)),0)</f>
        <v>0</v>
      </c>
      <c r="W532" s="273">
        <f>IFERROR(INDEX('2. GRI Pricing Inputs'!$C$104:$AI$105,MATCH('3. GRI Pricing'!$W$16,'2. GRI Pricing Inputs'!$C$104:$C$105,0),MATCH('1. Accomodation'!Y536,'2. GRI Pricing Inputs'!$C$104:$AI$104,0)),0)</f>
        <v>0</v>
      </c>
      <c r="X532" s="274"/>
      <c r="Y532" s="275">
        <f t="shared" si="15"/>
        <v>0</v>
      </c>
      <c r="Z532" s="276"/>
      <c r="AA532" s="276"/>
      <c r="AB532" s="276"/>
      <c r="AC532" s="272">
        <f>Y532*(1+'2. GRI Pricing Inputs'!$D$114)^(($AC$16-$AB$15)/365)</f>
        <v>0</v>
      </c>
      <c r="AD532" s="273">
        <f>AC532*(1+'2. GRI Pricing Inputs'!$D$114)^((AD$16-AC$16)/365)</f>
        <v>0</v>
      </c>
      <c r="AE532" s="273">
        <f>AD532*(1+'2. GRI Pricing Inputs'!$D$114)^((AE$16-AD$16)/365)</f>
        <v>0</v>
      </c>
      <c r="AF532" s="273">
        <f>AE532*(1+'2. GRI Pricing Inputs'!$D$114)^((AF$16-AE$16)/365)</f>
        <v>0</v>
      </c>
      <c r="AG532" s="273">
        <f>AF532*(1+'2. GRI Pricing Inputs'!$D$114)^((AG$16-AF$16)/365)</f>
        <v>0</v>
      </c>
      <c r="AH532" s="273">
        <f>AG532*(1+'2. GRI Pricing Inputs'!$D$114)^((AH$16-AG$16)/365)</f>
        <v>0</v>
      </c>
      <c r="AI532" s="273">
        <f>AH532*(1+'2. GRI Pricing Inputs'!$D$114)^((AI$16-AH$16)/365)</f>
        <v>0</v>
      </c>
      <c r="AJ532" s="273">
        <f>AI532*(1+'2. GRI Pricing Inputs'!$D$114)^((AJ$16-AI$16)/365)</f>
        <v>0</v>
      </c>
      <c r="AK532" s="273">
        <f>AJ532*(1+'2. GRI Pricing Inputs'!$D$114)^((AK$16-AJ$16)/365)</f>
        <v>0</v>
      </c>
      <c r="AL532" s="273">
        <f>AK532*(1+'2. GRI Pricing Inputs'!$D$114)^((AL$16-AK$16)/365)</f>
        <v>0</v>
      </c>
      <c r="AM532" s="273">
        <f>AL532*(1+'2. GRI Pricing Inputs'!$D$114)^((AM$16-AL$16)/365)</f>
        <v>0</v>
      </c>
      <c r="AN532" s="273">
        <f>AM532*(1+'2. GRI Pricing Inputs'!$D$114)^((AN$16-AM$16)/365)</f>
        <v>0</v>
      </c>
      <c r="AO532" s="273">
        <f>AN532*(1+'2. GRI Pricing Inputs'!$D$114)^((AO$16-AN$16)/365)</f>
        <v>0</v>
      </c>
    </row>
    <row r="533" spans="3:41" ht="12" x14ac:dyDescent="0.2">
      <c r="C533" s="76">
        <f>'1. Accomodation'!N537</f>
        <v>0</v>
      </c>
      <c r="D533" s="69">
        <f>'1. Accomodation'!P537</f>
        <v>0</v>
      </c>
      <c r="E533" s="69">
        <f>'1. Accomodation'!Q537</f>
        <v>0</v>
      </c>
      <c r="F533" s="77">
        <f>'1. Accomodation'!O537</f>
        <v>0</v>
      </c>
      <c r="G533" s="69">
        <f>'1. Accomodation'!R537</f>
        <v>0</v>
      </c>
      <c r="H533" s="69">
        <f>'1. Accomodation'!S537</f>
        <v>0</v>
      </c>
      <c r="I533" s="62"/>
      <c r="K533" s="272">
        <f>IFERROR(INDEX('2. GRI Pricing Inputs'!$C$15:$AI$16,MATCH($K$16,'2. GRI Pricing Inputs'!$C$15:$C$16,0),MATCH(D533,'2. GRI Pricing Inputs'!$C$15:$AI$15,0)),0)</f>
        <v>0</v>
      </c>
      <c r="L533" s="273">
        <f>IFERROR(INDEX('2. GRI Pricing Inputs'!$C$22:$AI$23,MATCH($L$16,'2. GRI Pricing Inputs'!$C$22:$C$23,0),MATCH(E533,'2. GRI Pricing Inputs'!$C$22:$AI$22,0)),0)</f>
        <v>0</v>
      </c>
      <c r="M533" s="328">
        <f>IF(AND('3. GRI Pricing'!$F533&gt;='2. GRI Pricing Inputs'!$D$33,'3. GRI Pricing'!$F533&lt;='2. GRI Pricing Inputs'!$E$33),'2. GRI Pricing Inputs'!$D$32,IF(AND('3. GRI Pricing'!$F533&gt;='2. GRI Pricing Inputs'!$F$33,'3. GRI Pricing'!$F533&lt;='2. GRI Pricing Inputs'!$G$33),'2. GRI Pricing Inputs'!$F$32,IF(AND('3. GRI Pricing'!$F533&gt;='2. GRI Pricing Inputs'!$H$33,'3. GRI Pricing'!$F533&lt;='2. GRI Pricing Inputs'!$I$33),'2. GRI Pricing Inputs'!$H$32,IF(AND('3. GRI Pricing'!$F533&gt;='2. GRI Pricing Inputs'!$J$33,'3. GRI Pricing'!$F533&lt;='2. GRI Pricing Inputs'!$K$33),'2. GRI Pricing Inputs'!$J$32,IF(AND('3. GRI Pricing'!$F533&gt;='2. GRI Pricing Inputs'!$L$33,'3. GRI Pricing'!$F533&lt;='2. GRI Pricing Inputs'!$M$33),'2. GRI Pricing Inputs'!$L$32,IF(AND('3. GRI Pricing'!$F533&gt;='2. GRI Pricing Inputs'!$N$33,'3. GRI Pricing'!$F533&lt;='2. GRI Pricing Inputs'!$O$33),'2. GRI Pricing Inputs'!$N$32,IF(AND('3. GRI Pricing'!$F533&gt;='2. GRI Pricing Inputs'!$P$33,'3. GRI Pricing'!$F533&lt;='2. GRI Pricing Inputs'!$Q$33),'2. GRI Pricing Inputs'!$P$32,IF(AND('3. GRI Pricing'!$F533&gt;='2. GRI Pricing Inputs'!$R$33,'3. GRI Pricing'!$F533&lt;='2. GRI Pricing Inputs'!$S$33),'2. GRI Pricing Inputs'!$R$32,IF(AND('3. GRI Pricing'!$F533&gt;='2. GRI Pricing Inputs'!$T$33,'3. GRI Pricing'!$F533&lt;='2. GRI Pricing Inputs'!$U$33),'2. GRI Pricing Inputs'!$T$32,IF(AND('3. GRI Pricing'!$F533&gt;='2. GRI Pricing Inputs'!$V$33,'3. GRI Pricing'!$F533&lt;='2. GRI Pricing Inputs'!$W$33),'2. GRI Pricing Inputs'!$V$32,IF(AND('3. GRI Pricing'!$F533&gt;='2. GRI Pricing Inputs'!$X$33,'3. GRI Pricing'!$F533&lt;='2. GRI Pricing Inputs'!$Y$33),'2. GRI Pricing Inputs'!$X$32,IF(AND('3. GRI Pricing'!$F533&gt;='2. GRI Pricing Inputs'!$Z$33,'3. GRI Pricing'!$F533&lt;='2. GRI Pricing Inputs'!$AA$33),'2. GRI Pricing Inputs'!$Z$32,IF(AND('3. GRI Pricing'!$F533&gt;='2. GRI Pricing Inputs'!$AB$33,'3. GRI Pricing'!$F533&lt;='2. GRI Pricing Inputs'!$AC$33),'2. GRI Pricing Inputs'!$AB$32,IF(AND('3. GRI Pricing'!$F533&gt;='2. GRI Pricing Inputs'!$AD$33,'3. GRI Pricing'!$F533&lt;='2. GRI Pricing Inputs'!$AE$33),'2. GRI Pricing Inputs'!$AD$32,IF(AND('3. GRI Pricing'!$F533&gt;='2. GRI Pricing Inputs'!$AF$33,'3. GRI Pricing'!$F533&lt;='2. GRI Pricing Inputs'!$AG$33),'2. GRI Pricing Inputs'!$AF$32,IF(AND('3. GRI Pricing'!$F533&gt;='2. GRI Pricing Inputs'!$AH$33,'3. GRI Pricing'!$F533&lt;='2. GRI Pricing Inputs'!$AI$33),'2. GRI Pricing Inputs'!$AH$32,0))))))))))))))))</f>
        <v>0</v>
      </c>
      <c r="N533" s="273" cm="1">
        <f t="array" ref="N533">IFERROR(INDEX('2. GRI Pricing Inputs'!$C$32:$AI$39,MATCH('3. GRI Pricing'!D533,'2. GRI Pricing Inputs'!$C$32:$C$39,0),(MATCH('3. GRI Pricing'!M533,'2. GRI Pricing Inputs'!$D$32:$AI$32,0)+1)),0)</f>
        <v>0</v>
      </c>
      <c r="O533" s="273">
        <f>IFERROR(INDEX('2. GRI Pricing Inputs'!$C$45:$AI$46,MATCH($O$16,'2. GRI Pricing Inputs'!$C$45:$C$46,0),MATCH(G533,'2. GRI Pricing Inputs'!$C$45:$AI$45,0)),0)</f>
        <v>0</v>
      </c>
      <c r="P533" s="273">
        <f>IFERROR(INDEX('2. GRI Pricing Inputs'!$C$53:$AI$54,MATCH('3. GRI Pricing'!$P$16,'2. GRI Pricing Inputs'!$C$53:$C$54,0),MATCH('3. GRI Pricing'!H533,'2. GRI Pricing Inputs'!$C$53:$AI$53,0)),0)</f>
        <v>0</v>
      </c>
      <c r="Q533" s="273">
        <f>IFERROR(INDEX('2. GRI Pricing Inputs'!$C$60:$AI$61,MATCH('3. GRI Pricing'!$Q$16,'2. GRI Pricing Inputs'!$C$60:$C$61,0),MATCH('1. Accomodation'!T537,'2. GRI Pricing Inputs'!$C$60:$AI$60,0)),0)</f>
        <v>0</v>
      </c>
      <c r="R533" s="273">
        <f>IFERROR(INDEX('2. GRI Pricing Inputs'!$C$67:$AI$68,MATCH('3. GRI Pricing'!$R$16,'2. GRI Pricing Inputs'!$C$67:$C$68,0),MATCH('1. Accomodation'!U537,'2. GRI Pricing Inputs'!$C$67:$AI$67,0)),0)</f>
        <v>0</v>
      </c>
      <c r="S533" s="273">
        <f>IF(D533=0,0,'2. GRI Pricing Inputs'!$AI$75)</f>
        <v>0</v>
      </c>
      <c r="T533" s="273">
        <f>IFERROR(INDEX('2. GRI Pricing Inputs'!$C$82:$AI$83,MATCH('3. GRI Pricing'!$T$16,'2. GRI Pricing Inputs'!$C$82:$C$83,0),MATCH('1. Accomodation'!V537,'2. GRI Pricing Inputs'!$C$82:$AI$82,0)),0)</f>
        <v>0</v>
      </c>
      <c r="U533" s="273">
        <f>IFERROR(INDEX('2. GRI Pricing Inputs'!$C$89:$AI$90,MATCH('3. GRI Pricing'!$U$16,'2. GRI Pricing Inputs'!$C$89:$C$90,0),MATCH('1. Accomodation'!W537,'2. GRI Pricing Inputs'!$C$89:$AI$89,0)),0)</f>
        <v>0</v>
      </c>
      <c r="V533" s="273">
        <f>IFERROR(INDEX('2. GRI Pricing Inputs'!$C$97:$AI$98,MATCH('3. GRI Pricing'!$V$16,'2. GRI Pricing Inputs'!$C$97:$C$98,0),MATCH('1. Accomodation'!X537,'2. GRI Pricing Inputs'!$C$97:$AI$97,0)),0)</f>
        <v>0</v>
      </c>
      <c r="W533" s="273">
        <f>IFERROR(INDEX('2. GRI Pricing Inputs'!$C$104:$AI$105,MATCH('3. GRI Pricing'!$W$16,'2. GRI Pricing Inputs'!$C$104:$C$105,0),MATCH('1. Accomodation'!Y537,'2. GRI Pricing Inputs'!$C$104:$AI$104,0)),0)</f>
        <v>0</v>
      </c>
      <c r="X533" s="274"/>
      <c r="Y533" s="275">
        <f t="shared" si="15"/>
        <v>0</v>
      </c>
      <c r="Z533" s="276"/>
      <c r="AA533" s="276"/>
      <c r="AB533" s="276"/>
      <c r="AC533" s="272">
        <f>Y533*(1+'2. GRI Pricing Inputs'!$D$114)^(($AC$16-$AB$15)/365)</f>
        <v>0</v>
      </c>
      <c r="AD533" s="273">
        <f>AC533*(1+'2. GRI Pricing Inputs'!$D$114)^((AD$16-AC$16)/365)</f>
        <v>0</v>
      </c>
      <c r="AE533" s="273">
        <f>AD533*(1+'2. GRI Pricing Inputs'!$D$114)^((AE$16-AD$16)/365)</f>
        <v>0</v>
      </c>
      <c r="AF533" s="273">
        <f>AE533*(1+'2. GRI Pricing Inputs'!$D$114)^((AF$16-AE$16)/365)</f>
        <v>0</v>
      </c>
      <c r="AG533" s="273">
        <f>AF533*(1+'2. GRI Pricing Inputs'!$D$114)^((AG$16-AF$16)/365)</f>
        <v>0</v>
      </c>
      <c r="AH533" s="273">
        <f>AG533*(1+'2. GRI Pricing Inputs'!$D$114)^((AH$16-AG$16)/365)</f>
        <v>0</v>
      </c>
      <c r="AI533" s="273">
        <f>AH533*(1+'2. GRI Pricing Inputs'!$D$114)^((AI$16-AH$16)/365)</f>
        <v>0</v>
      </c>
      <c r="AJ533" s="273">
        <f>AI533*(1+'2. GRI Pricing Inputs'!$D$114)^((AJ$16-AI$16)/365)</f>
        <v>0</v>
      </c>
      <c r="AK533" s="273">
        <f>AJ533*(1+'2. GRI Pricing Inputs'!$D$114)^((AK$16-AJ$16)/365)</f>
        <v>0</v>
      </c>
      <c r="AL533" s="273">
        <f>AK533*(1+'2. GRI Pricing Inputs'!$D$114)^((AL$16-AK$16)/365)</f>
        <v>0</v>
      </c>
      <c r="AM533" s="273">
        <f>AL533*(1+'2. GRI Pricing Inputs'!$D$114)^((AM$16-AL$16)/365)</f>
        <v>0</v>
      </c>
      <c r="AN533" s="273">
        <f>AM533*(1+'2. GRI Pricing Inputs'!$D$114)^((AN$16-AM$16)/365)</f>
        <v>0</v>
      </c>
      <c r="AO533" s="273">
        <f>AN533*(1+'2. GRI Pricing Inputs'!$D$114)^((AO$16-AN$16)/365)</f>
        <v>0</v>
      </c>
    </row>
    <row r="534" spans="3:41" ht="12" x14ac:dyDescent="0.2">
      <c r="C534" s="76">
        <f>'1. Accomodation'!N538</f>
        <v>0</v>
      </c>
      <c r="D534" s="69">
        <f>'1. Accomodation'!P538</f>
        <v>0</v>
      </c>
      <c r="E534" s="69">
        <f>'1. Accomodation'!Q538</f>
        <v>0</v>
      </c>
      <c r="F534" s="77">
        <f>'1. Accomodation'!O538</f>
        <v>0</v>
      </c>
      <c r="G534" s="69">
        <f>'1. Accomodation'!R538</f>
        <v>0</v>
      </c>
      <c r="H534" s="69">
        <f>'1. Accomodation'!S538</f>
        <v>0</v>
      </c>
      <c r="I534" s="62"/>
      <c r="K534" s="272">
        <f>IFERROR(INDEX('2. GRI Pricing Inputs'!$C$15:$AI$16,MATCH($K$16,'2. GRI Pricing Inputs'!$C$15:$C$16,0),MATCH(D534,'2. GRI Pricing Inputs'!$C$15:$AI$15,0)),0)</f>
        <v>0</v>
      </c>
      <c r="L534" s="273">
        <f>IFERROR(INDEX('2. GRI Pricing Inputs'!$C$22:$AI$23,MATCH($L$16,'2. GRI Pricing Inputs'!$C$22:$C$23,0),MATCH(E534,'2. GRI Pricing Inputs'!$C$22:$AI$22,0)),0)</f>
        <v>0</v>
      </c>
      <c r="M534" s="328">
        <f>IF(AND('3. GRI Pricing'!$F534&gt;='2. GRI Pricing Inputs'!$D$33,'3. GRI Pricing'!$F534&lt;='2. GRI Pricing Inputs'!$E$33),'2. GRI Pricing Inputs'!$D$32,IF(AND('3. GRI Pricing'!$F534&gt;='2. GRI Pricing Inputs'!$F$33,'3. GRI Pricing'!$F534&lt;='2. GRI Pricing Inputs'!$G$33),'2. GRI Pricing Inputs'!$F$32,IF(AND('3. GRI Pricing'!$F534&gt;='2. GRI Pricing Inputs'!$H$33,'3. GRI Pricing'!$F534&lt;='2. GRI Pricing Inputs'!$I$33),'2. GRI Pricing Inputs'!$H$32,IF(AND('3. GRI Pricing'!$F534&gt;='2. GRI Pricing Inputs'!$J$33,'3. GRI Pricing'!$F534&lt;='2. GRI Pricing Inputs'!$K$33),'2. GRI Pricing Inputs'!$J$32,IF(AND('3. GRI Pricing'!$F534&gt;='2. GRI Pricing Inputs'!$L$33,'3. GRI Pricing'!$F534&lt;='2. GRI Pricing Inputs'!$M$33),'2. GRI Pricing Inputs'!$L$32,IF(AND('3. GRI Pricing'!$F534&gt;='2. GRI Pricing Inputs'!$N$33,'3. GRI Pricing'!$F534&lt;='2. GRI Pricing Inputs'!$O$33),'2. GRI Pricing Inputs'!$N$32,IF(AND('3. GRI Pricing'!$F534&gt;='2. GRI Pricing Inputs'!$P$33,'3. GRI Pricing'!$F534&lt;='2. GRI Pricing Inputs'!$Q$33),'2. GRI Pricing Inputs'!$P$32,IF(AND('3. GRI Pricing'!$F534&gt;='2. GRI Pricing Inputs'!$R$33,'3. GRI Pricing'!$F534&lt;='2. GRI Pricing Inputs'!$S$33),'2. GRI Pricing Inputs'!$R$32,IF(AND('3. GRI Pricing'!$F534&gt;='2. GRI Pricing Inputs'!$T$33,'3. GRI Pricing'!$F534&lt;='2. GRI Pricing Inputs'!$U$33),'2. GRI Pricing Inputs'!$T$32,IF(AND('3. GRI Pricing'!$F534&gt;='2. GRI Pricing Inputs'!$V$33,'3. GRI Pricing'!$F534&lt;='2. GRI Pricing Inputs'!$W$33),'2. GRI Pricing Inputs'!$V$32,IF(AND('3. GRI Pricing'!$F534&gt;='2. GRI Pricing Inputs'!$X$33,'3. GRI Pricing'!$F534&lt;='2. GRI Pricing Inputs'!$Y$33),'2. GRI Pricing Inputs'!$X$32,IF(AND('3. GRI Pricing'!$F534&gt;='2. GRI Pricing Inputs'!$Z$33,'3. GRI Pricing'!$F534&lt;='2. GRI Pricing Inputs'!$AA$33),'2. GRI Pricing Inputs'!$Z$32,IF(AND('3. GRI Pricing'!$F534&gt;='2. GRI Pricing Inputs'!$AB$33,'3. GRI Pricing'!$F534&lt;='2. GRI Pricing Inputs'!$AC$33),'2. GRI Pricing Inputs'!$AB$32,IF(AND('3. GRI Pricing'!$F534&gt;='2. GRI Pricing Inputs'!$AD$33,'3. GRI Pricing'!$F534&lt;='2. GRI Pricing Inputs'!$AE$33),'2. GRI Pricing Inputs'!$AD$32,IF(AND('3. GRI Pricing'!$F534&gt;='2. GRI Pricing Inputs'!$AF$33,'3. GRI Pricing'!$F534&lt;='2. GRI Pricing Inputs'!$AG$33),'2. GRI Pricing Inputs'!$AF$32,IF(AND('3. GRI Pricing'!$F534&gt;='2. GRI Pricing Inputs'!$AH$33,'3. GRI Pricing'!$F534&lt;='2. GRI Pricing Inputs'!$AI$33),'2. GRI Pricing Inputs'!$AH$32,0))))))))))))))))</f>
        <v>0</v>
      </c>
      <c r="N534" s="273" cm="1">
        <f t="array" ref="N534">IFERROR(INDEX('2. GRI Pricing Inputs'!$C$32:$AI$39,MATCH('3. GRI Pricing'!D534,'2. GRI Pricing Inputs'!$C$32:$C$39,0),(MATCH('3. GRI Pricing'!M534,'2. GRI Pricing Inputs'!$D$32:$AI$32,0)+1)),0)</f>
        <v>0</v>
      </c>
      <c r="O534" s="273">
        <f>IFERROR(INDEX('2. GRI Pricing Inputs'!$C$45:$AI$46,MATCH($O$16,'2. GRI Pricing Inputs'!$C$45:$C$46,0),MATCH(G534,'2. GRI Pricing Inputs'!$C$45:$AI$45,0)),0)</f>
        <v>0</v>
      </c>
      <c r="P534" s="273">
        <f>IFERROR(INDEX('2. GRI Pricing Inputs'!$C$53:$AI$54,MATCH('3. GRI Pricing'!$P$16,'2. GRI Pricing Inputs'!$C$53:$C$54,0),MATCH('3. GRI Pricing'!H534,'2. GRI Pricing Inputs'!$C$53:$AI$53,0)),0)</f>
        <v>0</v>
      </c>
      <c r="Q534" s="273">
        <f>IFERROR(INDEX('2. GRI Pricing Inputs'!$C$60:$AI$61,MATCH('3. GRI Pricing'!$Q$16,'2. GRI Pricing Inputs'!$C$60:$C$61,0),MATCH('1. Accomodation'!T538,'2. GRI Pricing Inputs'!$C$60:$AI$60,0)),0)</f>
        <v>0</v>
      </c>
      <c r="R534" s="273">
        <f>IFERROR(INDEX('2. GRI Pricing Inputs'!$C$67:$AI$68,MATCH('3. GRI Pricing'!$R$16,'2. GRI Pricing Inputs'!$C$67:$C$68,0),MATCH('1. Accomodation'!U538,'2. GRI Pricing Inputs'!$C$67:$AI$67,0)),0)</f>
        <v>0</v>
      </c>
      <c r="S534" s="273">
        <f>IF(D534=0,0,'2. GRI Pricing Inputs'!$AI$75)</f>
        <v>0</v>
      </c>
      <c r="T534" s="273">
        <f>IFERROR(INDEX('2. GRI Pricing Inputs'!$C$82:$AI$83,MATCH('3. GRI Pricing'!$T$16,'2. GRI Pricing Inputs'!$C$82:$C$83,0),MATCH('1. Accomodation'!V538,'2. GRI Pricing Inputs'!$C$82:$AI$82,0)),0)</f>
        <v>0</v>
      </c>
      <c r="U534" s="273">
        <f>IFERROR(INDEX('2. GRI Pricing Inputs'!$C$89:$AI$90,MATCH('3. GRI Pricing'!$U$16,'2. GRI Pricing Inputs'!$C$89:$C$90,0),MATCH('1. Accomodation'!W538,'2. GRI Pricing Inputs'!$C$89:$AI$89,0)),0)</f>
        <v>0</v>
      </c>
      <c r="V534" s="273">
        <f>IFERROR(INDEX('2. GRI Pricing Inputs'!$C$97:$AI$98,MATCH('3. GRI Pricing'!$V$16,'2. GRI Pricing Inputs'!$C$97:$C$98,0),MATCH('1. Accomodation'!X538,'2. GRI Pricing Inputs'!$C$97:$AI$97,0)),0)</f>
        <v>0</v>
      </c>
      <c r="W534" s="273">
        <f>IFERROR(INDEX('2. GRI Pricing Inputs'!$C$104:$AI$105,MATCH('3. GRI Pricing'!$W$16,'2. GRI Pricing Inputs'!$C$104:$C$105,0),MATCH('1. Accomodation'!Y538,'2. GRI Pricing Inputs'!$C$104:$AI$104,0)),0)</f>
        <v>0</v>
      </c>
      <c r="X534" s="274"/>
      <c r="Y534" s="275">
        <f t="shared" si="15"/>
        <v>0</v>
      </c>
      <c r="Z534" s="276"/>
      <c r="AA534" s="276"/>
      <c r="AB534" s="276"/>
      <c r="AC534" s="272">
        <f>Y534*(1+'2. GRI Pricing Inputs'!$D$114)^(($AC$16-$AB$15)/365)</f>
        <v>0</v>
      </c>
      <c r="AD534" s="273">
        <f>AC534*(1+'2. GRI Pricing Inputs'!$D$114)^((AD$16-AC$16)/365)</f>
        <v>0</v>
      </c>
      <c r="AE534" s="273">
        <f>AD534*(1+'2. GRI Pricing Inputs'!$D$114)^((AE$16-AD$16)/365)</f>
        <v>0</v>
      </c>
      <c r="AF534" s="273">
        <f>AE534*(1+'2. GRI Pricing Inputs'!$D$114)^((AF$16-AE$16)/365)</f>
        <v>0</v>
      </c>
      <c r="AG534" s="273">
        <f>AF534*(1+'2. GRI Pricing Inputs'!$D$114)^((AG$16-AF$16)/365)</f>
        <v>0</v>
      </c>
      <c r="AH534" s="273">
        <f>AG534*(1+'2. GRI Pricing Inputs'!$D$114)^((AH$16-AG$16)/365)</f>
        <v>0</v>
      </c>
      <c r="AI534" s="273">
        <f>AH534*(1+'2. GRI Pricing Inputs'!$D$114)^((AI$16-AH$16)/365)</f>
        <v>0</v>
      </c>
      <c r="AJ534" s="273">
        <f>AI534*(1+'2. GRI Pricing Inputs'!$D$114)^((AJ$16-AI$16)/365)</f>
        <v>0</v>
      </c>
      <c r="AK534" s="273">
        <f>AJ534*(1+'2. GRI Pricing Inputs'!$D$114)^((AK$16-AJ$16)/365)</f>
        <v>0</v>
      </c>
      <c r="AL534" s="273">
        <f>AK534*(1+'2. GRI Pricing Inputs'!$D$114)^((AL$16-AK$16)/365)</f>
        <v>0</v>
      </c>
      <c r="AM534" s="273">
        <f>AL534*(1+'2. GRI Pricing Inputs'!$D$114)^((AM$16-AL$16)/365)</f>
        <v>0</v>
      </c>
      <c r="AN534" s="273">
        <f>AM534*(1+'2. GRI Pricing Inputs'!$D$114)^((AN$16-AM$16)/365)</f>
        <v>0</v>
      </c>
      <c r="AO534" s="273">
        <f>AN534*(1+'2. GRI Pricing Inputs'!$D$114)^((AO$16-AN$16)/365)</f>
        <v>0</v>
      </c>
    </row>
    <row r="535" spans="3:41" ht="12" x14ac:dyDescent="0.2">
      <c r="C535" s="76">
        <f>'1. Accomodation'!N539</f>
        <v>0</v>
      </c>
      <c r="D535" s="69">
        <f>'1. Accomodation'!P539</f>
        <v>0</v>
      </c>
      <c r="E535" s="69">
        <f>'1. Accomodation'!Q539</f>
        <v>0</v>
      </c>
      <c r="F535" s="77">
        <f>'1. Accomodation'!O539</f>
        <v>0</v>
      </c>
      <c r="G535" s="69">
        <f>'1. Accomodation'!R539</f>
        <v>0</v>
      </c>
      <c r="H535" s="69">
        <f>'1. Accomodation'!S539</f>
        <v>0</v>
      </c>
      <c r="I535" s="62"/>
      <c r="K535" s="272">
        <f>IFERROR(INDEX('2. GRI Pricing Inputs'!$C$15:$AI$16,MATCH($K$16,'2. GRI Pricing Inputs'!$C$15:$C$16,0),MATCH(D535,'2. GRI Pricing Inputs'!$C$15:$AI$15,0)),0)</f>
        <v>0</v>
      </c>
      <c r="L535" s="273">
        <f>IFERROR(INDEX('2. GRI Pricing Inputs'!$C$22:$AI$23,MATCH($L$16,'2. GRI Pricing Inputs'!$C$22:$C$23,0),MATCH(E535,'2. GRI Pricing Inputs'!$C$22:$AI$22,0)),0)</f>
        <v>0</v>
      </c>
      <c r="M535" s="328">
        <f>IF(AND('3. GRI Pricing'!$F535&gt;='2. GRI Pricing Inputs'!$D$33,'3. GRI Pricing'!$F535&lt;='2. GRI Pricing Inputs'!$E$33),'2. GRI Pricing Inputs'!$D$32,IF(AND('3. GRI Pricing'!$F535&gt;='2. GRI Pricing Inputs'!$F$33,'3. GRI Pricing'!$F535&lt;='2. GRI Pricing Inputs'!$G$33),'2. GRI Pricing Inputs'!$F$32,IF(AND('3. GRI Pricing'!$F535&gt;='2. GRI Pricing Inputs'!$H$33,'3. GRI Pricing'!$F535&lt;='2. GRI Pricing Inputs'!$I$33),'2. GRI Pricing Inputs'!$H$32,IF(AND('3. GRI Pricing'!$F535&gt;='2. GRI Pricing Inputs'!$J$33,'3. GRI Pricing'!$F535&lt;='2. GRI Pricing Inputs'!$K$33),'2. GRI Pricing Inputs'!$J$32,IF(AND('3. GRI Pricing'!$F535&gt;='2. GRI Pricing Inputs'!$L$33,'3. GRI Pricing'!$F535&lt;='2. GRI Pricing Inputs'!$M$33),'2. GRI Pricing Inputs'!$L$32,IF(AND('3. GRI Pricing'!$F535&gt;='2. GRI Pricing Inputs'!$N$33,'3. GRI Pricing'!$F535&lt;='2. GRI Pricing Inputs'!$O$33),'2. GRI Pricing Inputs'!$N$32,IF(AND('3. GRI Pricing'!$F535&gt;='2. GRI Pricing Inputs'!$P$33,'3. GRI Pricing'!$F535&lt;='2. GRI Pricing Inputs'!$Q$33),'2. GRI Pricing Inputs'!$P$32,IF(AND('3. GRI Pricing'!$F535&gt;='2. GRI Pricing Inputs'!$R$33,'3. GRI Pricing'!$F535&lt;='2. GRI Pricing Inputs'!$S$33),'2. GRI Pricing Inputs'!$R$32,IF(AND('3. GRI Pricing'!$F535&gt;='2. GRI Pricing Inputs'!$T$33,'3. GRI Pricing'!$F535&lt;='2. GRI Pricing Inputs'!$U$33),'2. GRI Pricing Inputs'!$T$32,IF(AND('3. GRI Pricing'!$F535&gt;='2. GRI Pricing Inputs'!$V$33,'3. GRI Pricing'!$F535&lt;='2. GRI Pricing Inputs'!$W$33),'2. GRI Pricing Inputs'!$V$32,IF(AND('3. GRI Pricing'!$F535&gt;='2. GRI Pricing Inputs'!$X$33,'3. GRI Pricing'!$F535&lt;='2. GRI Pricing Inputs'!$Y$33),'2. GRI Pricing Inputs'!$X$32,IF(AND('3. GRI Pricing'!$F535&gt;='2. GRI Pricing Inputs'!$Z$33,'3. GRI Pricing'!$F535&lt;='2. GRI Pricing Inputs'!$AA$33),'2. GRI Pricing Inputs'!$Z$32,IF(AND('3. GRI Pricing'!$F535&gt;='2. GRI Pricing Inputs'!$AB$33,'3. GRI Pricing'!$F535&lt;='2. GRI Pricing Inputs'!$AC$33),'2. GRI Pricing Inputs'!$AB$32,IF(AND('3. GRI Pricing'!$F535&gt;='2. GRI Pricing Inputs'!$AD$33,'3. GRI Pricing'!$F535&lt;='2. GRI Pricing Inputs'!$AE$33),'2. GRI Pricing Inputs'!$AD$32,IF(AND('3. GRI Pricing'!$F535&gt;='2. GRI Pricing Inputs'!$AF$33,'3. GRI Pricing'!$F535&lt;='2. GRI Pricing Inputs'!$AG$33),'2. GRI Pricing Inputs'!$AF$32,IF(AND('3. GRI Pricing'!$F535&gt;='2. GRI Pricing Inputs'!$AH$33,'3. GRI Pricing'!$F535&lt;='2. GRI Pricing Inputs'!$AI$33),'2. GRI Pricing Inputs'!$AH$32,0))))))))))))))))</f>
        <v>0</v>
      </c>
      <c r="N535" s="273" cm="1">
        <f t="array" ref="N535">IFERROR(INDEX('2. GRI Pricing Inputs'!$C$32:$AI$39,MATCH('3. GRI Pricing'!D535,'2. GRI Pricing Inputs'!$C$32:$C$39,0),(MATCH('3. GRI Pricing'!M535,'2. GRI Pricing Inputs'!$D$32:$AI$32,0)+1)),0)</f>
        <v>0</v>
      </c>
      <c r="O535" s="273">
        <f>IFERROR(INDEX('2. GRI Pricing Inputs'!$C$45:$AI$46,MATCH($O$16,'2. GRI Pricing Inputs'!$C$45:$C$46,0),MATCH(G535,'2. GRI Pricing Inputs'!$C$45:$AI$45,0)),0)</f>
        <v>0</v>
      </c>
      <c r="P535" s="273">
        <f>IFERROR(INDEX('2. GRI Pricing Inputs'!$C$53:$AI$54,MATCH('3. GRI Pricing'!$P$16,'2. GRI Pricing Inputs'!$C$53:$C$54,0),MATCH('3. GRI Pricing'!H535,'2. GRI Pricing Inputs'!$C$53:$AI$53,0)),0)</f>
        <v>0</v>
      </c>
      <c r="Q535" s="273">
        <f>IFERROR(INDEX('2. GRI Pricing Inputs'!$C$60:$AI$61,MATCH('3. GRI Pricing'!$Q$16,'2. GRI Pricing Inputs'!$C$60:$C$61,0),MATCH('1. Accomodation'!T539,'2. GRI Pricing Inputs'!$C$60:$AI$60,0)),0)</f>
        <v>0</v>
      </c>
      <c r="R535" s="273">
        <f>IFERROR(INDEX('2. GRI Pricing Inputs'!$C$67:$AI$68,MATCH('3. GRI Pricing'!$R$16,'2. GRI Pricing Inputs'!$C$67:$C$68,0),MATCH('1. Accomodation'!U539,'2. GRI Pricing Inputs'!$C$67:$AI$67,0)),0)</f>
        <v>0</v>
      </c>
      <c r="S535" s="273">
        <f>IF(D535=0,0,'2. GRI Pricing Inputs'!$AI$75)</f>
        <v>0</v>
      </c>
      <c r="T535" s="273">
        <f>IFERROR(INDEX('2. GRI Pricing Inputs'!$C$82:$AI$83,MATCH('3. GRI Pricing'!$T$16,'2. GRI Pricing Inputs'!$C$82:$C$83,0),MATCH('1. Accomodation'!V539,'2. GRI Pricing Inputs'!$C$82:$AI$82,0)),0)</f>
        <v>0</v>
      </c>
      <c r="U535" s="273">
        <f>IFERROR(INDEX('2. GRI Pricing Inputs'!$C$89:$AI$90,MATCH('3. GRI Pricing'!$U$16,'2. GRI Pricing Inputs'!$C$89:$C$90,0),MATCH('1. Accomodation'!W539,'2. GRI Pricing Inputs'!$C$89:$AI$89,0)),0)</f>
        <v>0</v>
      </c>
      <c r="V535" s="273">
        <f>IFERROR(INDEX('2. GRI Pricing Inputs'!$C$97:$AI$98,MATCH('3. GRI Pricing'!$V$16,'2. GRI Pricing Inputs'!$C$97:$C$98,0),MATCH('1. Accomodation'!X539,'2. GRI Pricing Inputs'!$C$97:$AI$97,0)),0)</f>
        <v>0</v>
      </c>
      <c r="W535" s="273">
        <f>IFERROR(INDEX('2. GRI Pricing Inputs'!$C$104:$AI$105,MATCH('3. GRI Pricing'!$W$16,'2. GRI Pricing Inputs'!$C$104:$C$105,0),MATCH('1. Accomodation'!Y539,'2. GRI Pricing Inputs'!$C$104:$AI$104,0)),0)</f>
        <v>0</v>
      </c>
      <c r="X535" s="274"/>
      <c r="Y535" s="275">
        <f t="shared" si="15"/>
        <v>0</v>
      </c>
      <c r="Z535" s="276"/>
      <c r="AA535" s="276"/>
      <c r="AB535" s="276"/>
      <c r="AC535" s="272">
        <f>Y535*(1+'2. GRI Pricing Inputs'!$D$114)^(($AC$16-$AB$15)/365)</f>
        <v>0</v>
      </c>
      <c r="AD535" s="273">
        <f>AC535*(1+'2. GRI Pricing Inputs'!$D$114)^((AD$16-AC$16)/365)</f>
        <v>0</v>
      </c>
      <c r="AE535" s="273">
        <f>AD535*(1+'2. GRI Pricing Inputs'!$D$114)^((AE$16-AD$16)/365)</f>
        <v>0</v>
      </c>
      <c r="AF535" s="273">
        <f>AE535*(1+'2. GRI Pricing Inputs'!$D$114)^((AF$16-AE$16)/365)</f>
        <v>0</v>
      </c>
      <c r="AG535" s="273">
        <f>AF535*(1+'2. GRI Pricing Inputs'!$D$114)^((AG$16-AF$16)/365)</f>
        <v>0</v>
      </c>
      <c r="AH535" s="273">
        <f>AG535*(1+'2. GRI Pricing Inputs'!$D$114)^((AH$16-AG$16)/365)</f>
        <v>0</v>
      </c>
      <c r="AI535" s="273">
        <f>AH535*(1+'2. GRI Pricing Inputs'!$D$114)^((AI$16-AH$16)/365)</f>
        <v>0</v>
      </c>
      <c r="AJ535" s="273">
        <f>AI535*(1+'2. GRI Pricing Inputs'!$D$114)^((AJ$16-AI$16)/365)</f>
        <v>0</v>
      </c>
      <c r="AK535" s="273">
        <f>AJ535*(1+'2. GRI Pricing Inputs'!$D$114)^((AK$16-AJ$16)/365)</f>
        <v>0</v>
      </c>
      <c r="AL535" s="273">
        <f>AK535*(1+'2. GRI Pricing Inputs'!$D$114)^((AL$16-AK$16)/365)</f>
        <v>0</v>
      </c>
      <c r="AM535" s="273">
        <f>AL535*(1+'2. GRI Pricing Inputs'!$D$114)^((AM$16-AL$16)/365)</f>
        <v>0</v>
      </c>
      <c r="AN535" s="273">
        <f>AM535*(1+'2. GRI Pricing Inputs'!$D$114)^((AN$16-AM$16)/365)</f>
        <v>0</v>
      </c>
      <c r="AO535" s="273">
        <f>AN535*(1+'2. GRI Pricing Inputs'!$D$114)^((AO$16-AN$16)/365)</f>
        <v>0</v>
      </c>
    </row>
    <row r="536" spans="3:41" ht="12" x14ac:dyDescent="0.2">
      <c r="C536" s="76">
        <f>'1. Accomodation'!N540</f>
        <v>0</v>
      </c>
      <c r="D536" s="69">
        <f>'1. Accomodation'!P540</f>
        <v>0</v>
      </c>
      <c r="E536" s="69">
        <f>'1. Accomodation'!Q540</f>
        <v>0</v>
      </c>
      <c r="F536" s="77">
        <f>'1. Accomodation'!O540</f>
        <v>0</v>
      </c>
      <c r="G536" s="69">
        <f>'1. Accomodation'!R540</f>
        <v>0</v>
      </c>
      <c r="H536" s="69">
        <f>'1. Accomodation'!S540</f>
        <v>0</v>
      </c>
      <c r="I536" s="62"/>
      <c r="K536" s="272">
        <f>IFERROR(INDEX('2. GRI Pricing Inputs'!$C$15:$AI$16,MATCH($K$16,'2. GRI Pricing Inputs'!$C$15:$C$16,0),MATCH(D536,'2. GRI Pricing Inputs'!$C$15:$AI$15,0)),0)</f>
        <v>0</v>
      </c>
      <c r="L536" s="273">
        <f>IFERROR(INDEX('2. GRI Pricing Inputs'!$C$22:$AI$23,MATCH($L$16,'2. GRI Pricing Inputs'!$C$22:$C$23,0),MATCH(E536,'2. GRI Pricing Inputs'!$C$22:$AI$22,0)),0)</f>
        <v>0</v>
      </c>
      <c r="M536" s="328">
        <f>IF(AND('3. GRI Pricing'!$F536&gt;='2. GRI Pricing Inputs'!$D$33,'3. GRI Pricing'!$F536&lt;='2. GRI Pricing Inputs'!$E$33),'2. GRI Pricing Inputs'!$D$32,IF(AND('3. GRI Pricing'!$F536&gt;='2. GRI Pricing Inputs'!$F$33,'3. GRI Pricing'!$F536&lt;='2. GRI Pricing Inputs'!$G$33),'2. GRI Pricing Inputs'!$F$32,IF(AND('3. GRI Pricing'!$F536&gt;='2. GRI Pricing Inputs'!$H$33,'3. GRI Pricing'!$F536&lt;='2. GRI Pricing Inputs'!$I$33),'2. GRI Pricing Inputs'!$H$32,IF(AND('3. GRI Pricing'!$F536&gt;='2. GRI Pricing Inputs'!$J$33,'3. GRI Pricing'!$F536&lt;='2. GRI Pricing Inputs'!$K$33),'2. GRI Pricing Inputs'!$J$32,IF(AND('3. GRI Pricing'!$F536&gt;='2. GRI Pricing Inputs'!$L$33,'3. GRI Pricing'!$F536&lt;='2. GRI Pricing Inputs'!$M$33),'2. GRI Pricing Inputs'!$L$32,IF(AND('3. GRI Pricing'!$F536&gt;='2. GRI Pricing Inputs'!$N$33,'3. GRI Pricing'!$F536&lt;='2. GRI Pricing Inputs'!$O$33),'2. GRI Pricing Inputs'!$N$32,IF(AND('3. GRI Pricing'!$F536&gt;='2. GRI Pricing Inputs'!$P$33,'3. GRI Pricing'!$F536&lt;='2. GRI Pricing Inputs'!$Q$33),'2. GRI Pricing Inputs'!$P$32,IF(AND('3. GRI Pricing'!$F536&gt;='2. GRI Pricing Inputs'!$R$33,'3. GRI Pricing'!$F536&lt;='2. GRI Pricing Inputs'!$S$33),'2. GRI Pricing Inputs'!$R$32,IF(AND('3. GRI Pricing'!$F536&gt;='2. GRI Pricing Inputs'!$T$33,'3. GRI Pricing'!$F536&lt;='2. GRI Pricing Inputs'!$U$33),'2. GRI Pricing Inputs'!$T$32,IF(AND('3. GRI Pricing'!$F536&gt;='2. GRI Pricing Inputs'!$V$33,'3. GRI Pricing'!$F536&lt;='2. GRI Pricing Inputs'!$W$33),'2. GRI Pricing Inputs'!$V$32,IF(AND('3. GRI Pricing'!$F536&gt;='2. GRI Pricing Inputs'!$X$33,'3. GRI Pricing'!$F536&lt;='2. GRI Pricing Inputs'!$Y$33),'2. GRI Pricing Inputs'!$X$32,IF(AND('3. GRI Pricing'!$F536&gt;='2. GRI Pricing Inputs'!$Z$33,'3. GRI Pricing'!$F536&lt;='2. GRI Pricing Inputs'!$AA$33),'2. GRI Pricing Inputs'!$Z$32,IF(AND('3. GRI Pricing'!$F536&gt;='2. GRI Pricing Inputs'!$AB$33,'3. GRI Pricing'!$F536&lt;='2. GRI Pricing Inputs'!$AC$33),'2. GRI Pricing Inputs'!$AB$32,IF(AND('3. GRI Pricing'!$F536&gt;='2. GRI Pricing Inputs'!$AD$33,'3. GRI Pricing'!$F536&lt;='2. GRI Pricing Inputs'!$AE$33),'2. GRI Pricing Inputs'!$AD$32,IF(AND('3. GRI Pricing'!$F536&gt;='2. GRI Pricing Inputs'!$AF$33,'3. GRI Pricing'!$F536&lt;='2. GRI Pricing Inputs'!$AG$33),'2. GRI Pricing Inputs'!$AF$32,IF(AND('3. GRI Pricing'!$F536&gt;='2. GRI Pricing Inputs'!$AH$33,'3. GRI Pricing'!$F536&lt;='2. GRI Pricing Inputs'!$AI$33),'2. GRI Pricing Inputs'!$AH$32,0))))))))))))))))</f>
        <v>0</v>
      </c>
      <c r="N536" s="273" cm="1">
        <f t="array" ref="N536">IFERROR(INDEX('2. GRI Pricing Inputs'!$C$32:$AI$39,MATCH('3. GRI Pricing'!D536,'2. GRI Pricing Inputs'!$C$32:$C$39,0),(MATCH('3. GRI Pricing'!M536,'2. GRI Pricing Inputs'!$D$32:$AI$32,0)+1)),0)</f>
        <v>0</v>
      </c>
      <c r="O536" s="273">
        <f>IFERROR(INDEX('2. GRI Pricing Inputs'!$C$45:$AI$46,MATCH($O$16,'2. GRI Pricing Inputs'!$C$45:$C$46,0),MATCH(G536,'2. GRI Pricing Inputs'!$C$45:$AI$45,0)),0)</f>
        <v>0</v>
      </c>
      <c r="P536" s="273">
        <f>IFERROR(INDEX('2. GRI Pricing Inputs'!$C$53:$AI$54,MATCH('3. GRI Pricing'!$P$16,'2. GRI Pricing Inputs'!$C$53:$C$54,0),MATCH('3. GRI Pricing'!H536,'2. GRI Pricing Inputs'!$C$53:$AI$53,0)),0)</f>
        <v>0</v>
      </c>
      <c r="Q536" s="273">
        <f>IFERROR(INDEX('2. GRI Pricing Inputs'!$C$60:$AI$61,MATCH('3. GRI Pricing'!$Q$16,'2. GRI Pricing Inputs'!$C$60:$C$61,0),MATCH('1. Accomodation'!T540,'2. GRI Pricing Inputs'!$C$60:$AI$60,0)),0)</f>
        <v>0</v>
      </c>
      <c r="R536" s="273">
        <f>IFERROR(INDEX('2. GRI Pricing Inputs'!$C$67:$AI$68,MATCH('3. GRI Pricing'!$R$16,'2. GRI Pricing Inputs'!$C$67:$C$68,0),MATCH('1. Accomodation'!U540,'2. GRI Pricing Inputs'!$C$67:$AI$67,0)),0)</f>
        <v>0</v>
      </c>
      <c r="S536" s="273">
        <f>IF(D536=0,0,'2. GRI Pricing Inputs'!$AI$75)</f>
        <v>0</v>
      </c>
      <c r="T536" s="273">
        <f>IFERROR(INDEX('2. GRI Pricing Inputs'!$C$82:$AI$83,MATCH('3. GRI Pricing'!$T$16,'2. GRI Pricing Inputs'!$C$82:$C$83,0),MATCH('1. Accomodation'!V540,'2. GRI Pricing Inputs'!$C$82:$AI$82,0)),0)</f>
        <v>0</v>
      </c>
      <c r="U536" s="273">
        <f>IFERROR(INDEX('2. GRI Pricing Inputs'!$C$89:$AI$90,MATCH('3. GRI Pricing'!$U$16,'2. GRI Pricing Inputs'!$C$89:$C$90,0),MATCH('1. Accomodation'!W540,'2. GRI Pricing Inputs'!$C$89:$AI$89,0)),0)</f>
        <v>0</v>
      </c>
      <c r="V536" s="273">
        <f>IFERROR(INDEX('2. GRI Pricing Inputs'!$C$97:$AI$98,MATCH('3. GRI Pricing'!$V$16,'2. GRI Pricing Inputs'!$C$97:$C$98,0),MATCH('1. Accomodation'!X540,'2. GRI Pricing Inputs'!$C$97:$AI$97,0)),0)</f>
        <v>0</v>
      </c>
      <c r="W536" s="273">
        <f>IFERROR(INDEX('2. GRI Pricing Inputs'!$C$104:$AI$105,MATCH('3. GRI Pricing'!$W$16,'2. GRI Pricing Inputs'!$C$104:$C$105,0),MATCH('1. Accomodation'!Y540,'2. GRI Pricing Inputs'!$C$104:$AI$104,0)),0)</f>
        <v>0</v>
      </c>
      <c r="X536" s="274"/>
      <c r="Y536" s="275">
        <f t="shared" si="15"/>
        <v>0</v>
      </c>
      <c r="Z536" s="276"/>
      <c r="AA536" s="276"/>
      <c r="AB536" s="276"/>
      <c r="AC536" s="272">
        <f>Y536*(1+'2. GRI Pricing Inputs'!$D$114)^(($AC$16-$AB$15)/365)</f>
        <v>0</v>
      </c>
      <c r="AD536" s="273">
        <f>AC536*(1+'2. GRI Pricing Inputs'!$D$114)^((AD$16-AC$16)/365)</f>
        <v>0</v>
      </c>
      <c r="AE536" s="273">
        <f>AD536*(1+'2. GRI Pricing Inputs'!$D$114)^((AE$16-AD$16)/365)</f>
        <v>0</v>
      </c>
      <c r="AF536" s="273">
        <f>AE536*(1+'2. GRI Pricing Inputs'!$D$114)^((AF$16-AE$16)/365)</f>
        <v>0</v>
      </c>
      <c r="AG536" s="273">
        <f>AF536*(1+'2. GRI Pricing Inputs'!$D$114)^((AG$16-AF$16)/365)</f>
        <v>0</v>
      </c>
      <c r="AH536" s="273">
        <f>AG536*(1+'2. GRI Pricing Inputs'!$D$114)^((AH$16-AG$16)/365)</f>
        <v>0</v>
      </c>
      <c r="AI536" s="273">
        <f>AH536*(1+'2. GRI Pricing Inputs'!$D$114)^((AI$16-AH$16)/365)</f>
        <v>0</v>
      </c>
      <c r="AJ536" s="273">
        <f>AI536*(1+'2. GRI Pricing Inputs'!$D$114)^((AJ$16-AI$16)/365)</f>
        <v>0</v>
      </c>
      <c r="AK536" s="273">
        <f>AJ536*(1+'2. GRI Pricing Inputs'!$D$114)^((AK$16-AJ$16)/365)</f>
        <v>0</v>
      </c>
      <c r="AL536" s="273">
        <f>AK536*(1+'2. GRI Pricing Inputs'!$D$114)^((AL$16-AK$16)/365)</f>
        <v>0</v>
      </c>
      <c r="AM536" s="273">
        <f>AL536*(1+'2. GRI Pricing Inputs'!$D$114)^((AM$16-AL$16)/365)</f>
        <v>0</v>
      </c>
      <c r="AN536" s="273">
        <f>AM536*(1+'2. GRI Pricing Inputs'!$D$114)^((AN$16-AM$16)/365)</f>
        <v>0</v>
      </c>
      <c r="AO536" s="273">
        <f>AN536*(1+'2. GRI Pricing Inputs'!$D$114)^((AO$16-AN$16)/365)</f>
        <v>0</v>
      </c>
    </row>
    <row r="537" spans="3:41" ht="12" x14ac:dyDescent="0.2">
      <c r="C537" s="76">
        <f>'1. Accomodation'!N541</f>
        <v>0</v>
      </c>
      <c r="D537" s="69">
        <f>'1. Accomodation'!P541</f>
        <v>0</v>
      </c>
      <c r="E537" s="69">
        <f>'1. Accomodation'!Q541</f>
        <v>0</v>
      </c>
      <c r="F537" s="77">
        <f>'1. Accomodation'!O541</f>
        <v>0</v>
      </c>
      <c r="G537" s="69">
        <f>'1. Accomodation'!R541</f>
        <v>0</v>
      </c>
      <c r="H537" s="69">
        <f>'1. Accomodation'!S541</f>
        <v>0</v>
      </c>
      <c r="I537" s="62"/>
      <c r="K537" s="272">
        <f>IFERROR(INDEX('2. GRI Pricing Inputs'!$C$15:$AI$16,MATCH($K$16,'2. GRI Pricing Inputs'!$C$15:$C$16,0),MATCH(D537,'2. GRI Pricing Inputs'!$C$15:$AI$15,0)),0)</f>
        <v>0</v>
      </c>
      <c r="L537" s="273">
        <f>IFERROR(INDEX('2. GRI Pricing Inputs'!$C$22:$AI$23,MATCH($L$16,'2. GRI Pricing Inputs'!$C$22:$C$23,0),MATCH(E537,'2. GRI Pricing Inputs'!$C$22:$AI$22,0)),0)</f>
        <v>0</v>
      </c>
      <c r="M537" s="328">
        <f>IF(AND('3. GRI Pricing'!$F537&gt;='2. GRI Pricing Inputs'!$D$33,'3. GRI Pricing'!$F537&lt;='2. GRI Pricing Inputs'!$E$33),'2. GRI Pricing Inputs'!$D$32,IF(AND('3. GRI Pricing'!$F537&gt;='2. GRI Pricing Inputs'!$F$33,'3. GRI Pricing'!$F537&lt;='2. GRI Pricing Inputs'!$G$33),'2. GRI Pricing Inputs'!$F$32,IF(AND('3. GRI Pricing'!$F537&gt;='2. GRI Pricing Inputs'!$H$33,'3. GRI Pricing'!$F537&lt;='2. GRI Pricing Inputs'!$I$33),'2. GRI Pricing Inputs'!$H$32,IF(AND('3. GRI Pricing'!$F537&gt;='2. GRI Pricing Inputs'!$J$33,'3. GRI Pricing'!$F537&lt;='2. GRI Pricing Inputs'!$K$33),'2. GRI Pricing Inputs'!$J$32,IF(AND('3. GRI Pricing'!$F537&gt;='2. GRI Pricing Inputs'!$L$33,'3. GRI Pricing'!$F537&lt;='2. GRI Pricing Inputs'!$M$33),'2. GRI Pricing Inputs'!$L$32,IF(AND('3. GRI Pricing'!$F537&gt;='2. GRI Pricing Inputs'!$N$33,'3. GRI Pricing'!$F537&lt;='2. GRI Pricing Inputs'!$O$33),'2. GRI Pricing Inputs'!$N$32,IF(AND('3. GRI Pricing'!$F537&gt;='2. GRI Pricing Inputs'!$P$33,'3. GRI Pricing'!$F537&lt;='2. GRI Pricing Inputs'!$Q$33),'2. GRI Pricing Inputs'!$P$32,IF(AND('3. GRI Pricing'!$F537&gt;='2. GRI Pricing Inputs'!$R$33,'3. GRI Pricing'!$F537&lt;='2. GRI Pricing Inputs'!$S$33),'2. GRI Pricing Inputs'!$R$32,IF(AND('3. GRI Pricing'!$F537&gt;='2. GRI Pricing Inputs'!$T$33,'3. GRI Pricing'!$F537&lt;='2. GRI Pricing Inputs'!$U$33),'2. GRI Pricing Inputs'!$T$32,IF(AND('3. GRI Pricing'!$F537&gt;='2. GRI Pricing Inputs'!$V$33,'3. GRI Pricing'!$F537&lt;='2. GRI Pricing Inputs'!$W$33),'2. GRI Pricing Inputs'!$V$32,IF(AND('3. GRI Pricing'!$F537&gt;='2. GRI Pricing Inputs'!$X$33,'3. GRI Pricing'!$F537&lt;='2. GRI Pricing Inputs'!$Y$33),'2. GRI Pricing Inputs'!$X$32,IF(AND('3. GRI Pricing'!$F537&gt;='2. GRI Pricing Inputs'!$Z$33,'3. GRI Pricing'!$F537&lt;='2. GRI Pricing Inputs'!$AA$33),'2. GRI Pricing Inputs'!$Z$32,IF(AND('3. GRI Pricing'!$F537&gt;='2. GRI Pricing Inputs'!$AB$33,'3. GRI Pricing'!$F537&lt;='2. GRI Pricing Inputs'!$AC$33),'2. GRI Pricing Inputs'!$AB$32,IF(AND('3. GRI Pricing'!$F537&gt;='2. GRI Pricing Inputs'!$AD$33,'3. GRI Pricing'!$F537&lt;='2. GRI Pricing Inputs'!$AE$33),'2. GRI Pricing Inputs'!$AD$32,IF(AND('3. GRI Pricing'!$F537&gt;='2. GRI Pricing Inputs'!$AF$33,'3. GRI Pricing'!$F537&lt;='2. GRI Pricing Inputs'!$AG$33),'2. GRI Pricing Inputs'!$AF$32,IF(AND('3. GRI Pricing'!$F537&gt;='2. GRI Pricing Inputs'!$AH$33,'3. GRI Pricing'!$F537&lt;='2. GRI Pricing Inputs'!$AI$33),'2. GRI Pricing Inputs'!$AH$32,0))))))))))))))))</f>
        <v>0</v>
      </c>
      <c r="N537" s="273" cm="1">
        <f t="array" ref="N537">IFERROR(INDEX('2. GRI Pricing Inputs'!$C$32:$AI$39,MATCH('3. GRI Pricing'!D537,'2. GRI Pricing Inputs'!$C$32:$C$39,0),(MATCH('3. GRI Pricing'!M537,'2. GRI Pricing Inputs'!$D$32:$AI$32,0)+1)),0)</f>
        <v>0</v>
      </c>
      <c r="O537" s="273">
        <f>IFERROR(INDEX('2. GRI Pricing Inputs'!$C$45:$AI$46,MATCH($O$16,'2. GRI Pricing Inputs'!$C$45:$C$46,0),MATCH(G537,'2. GRI Pricing Inputs'!$C$45:$AI$45,0)),0)</f>
        <v>0</v>
      </c>
      <c r="P537" s="273">
        <f>IFERROR(INDEX('2. GRI Pricing Inputs'!$C$53:$AI$54,MATCH('3. GRI Pricing'!$P$16,'2. GRI Pricing Inputs'!$C$53:$C$54,0),MATCH('3. GRI Pricing'!H537,'2. GRI Pricing Inputs'!$C$53:$AI$53,0)),0)</f>
        <v>0</v>
      </c>
      <c r="Q537" s="273">
        <f>IFERROR(INDEX('2. GRI Pricing Inputs'!$C$60:$AI$61,MATCH('3. GRI Pricing'!$Q$16,'2. GRI Pricing Inputs'!$C$60:$C$61,0),MATCH('1. Accomodation'!T541,'2. GRI Pricing Inputs'!$C$60:$AI$60,0)),0)</f>
        <v>0</v>
      </c>
      <c r="R537" s="273">
        <f>IFERROR(INDEX('2. GRI Pricing Inputs'!$C$67:$AI$68,MATCH('3. GRI Pricing'!$R$16,'2. GRI Pricing Inputs'!$C$67:$C$68,0),MATCH('1. Accomodation'!U541,'2. GRI Pricing Inputs'!$C$67:$AI$67,0)),0)</f>
        <v>0</v>
      </c>
      <c r="S537" s="273">
        <f>IF(D537=0,0,'2. GRI Pricing Inputs'!$AI$75)</f>
        <v>0</v>
      </c>
      <c r="T537" s="273">
        <f>IFERROR(INDEX('2. GRI Pricing Inputs'!$C$82:$AI$83,MATCH('3. GRI Pricing'!$T$16,'2. GRI Pricing Inputs'!$C$82:$C$83,0),MATCH('1. Accomodation'!V541,'2. GRI Pricing Inputs'!$C$82:$AI$82,0)),0)</f>
        <v>0</v>
      </c>
      <c r="U537" s="273">
        <f>IFERROR(INDEX('2. GRI Pricing Inputs'!$C$89:$AI$90,MATCH('3. GRI Pricing'!$U$16,'2. GRI Pricing Inputs'!$C$89:$C$90,0),MATCH('1. Accomodation'!W541,'2. GRI Pricing Inputs'!$C$89:$AI$89,0)),0)</f>
        <v>0</v>
      </c>
      <c r="V537" s="273">
        <f>IFERROR(INDEX('2. GRI Pricing Inputs'!$C$97:$AI$98,MATCH('3. GRI Pricing'!$V$16,'2. GRI Pricing Inputs'!$C$97:$C$98,0),MATCH('1. Accomodation'!X541,'2. GRI Pricing Inputs'!$C$97:$AI$97,0)),0)</f>
        <v>0</v>
      </c>
      <c r="W537" s="273">
        <f>IFERROR(INDEX('2. GRI Pricing Inputs'!$C$104:$AI$105,MATCH('3. GRI Pricing'!$W$16,'2. GRI Pricing Inputs'!$C$104:$C$105,0),MATCH('1. Accomodation'!Y541,'2. GRI Pricing Inputs'!$C$104:$AI$104,0)),0)</f>
        <v>0</v>
      </c>
      <c r="X537" s="274"/>
      <c r="Y537" s="275">
        <f t="shared" si="15"/>
        <v>0</v>
      </c>
      <c r="Z537" s="276"/>
      <c r="AA537" s="276"/>
      <c r="AB537" s="276"/>
      <c r="AC537" s="272">
        <f>Y537*(1+'2. GRI Pricing Inputs'!$D$114)^(($AC$16-$AB$15)/365)</f>
        <v>0</v>
      </c>
      <c r="AD537" s="273">
        <f>AC537*(1+'2. GRI Pricing Inputs'!$D$114)^((AD$16-AC$16)/365)</f>
        <v>0</v>
      </c>
      <c r="AE537" s="273">
        <f>AD537*(1+'2. GRI Pricing Inputs'!$D$114)^((AE$16-AD$16)/365)</f>
        <v>0</v>
      </c>
      <c r="AF537" s="273">
        <f>AE537*(1+'2. GRI Pricing Inputs'!$D$114)^((AF$16-AE$16)/365)</f>
        <v>0</v>
      </c>
      <c r="AG537" s="273">
        <f>AF537*(1+'2. GRI Pricing Inputs'!$D$114)^((AG$16-AF$16)/365)</f>
        <v>0</v>
      </c>
      <c r="AH537" s="273">
        <f>AG537*(1+'2. GRI Pricing Inputs'!$D$114)^((AH$16-AG$16)/365)</f>
        <v>0</v>
      </c>
      <c r="AI537" s="273">
        <f>AH537*(1+'2. GRI Pricing Inputs'!$D$114)^((AI$16-AH$16)/365)</f>
        <v>0</v>
      </c>
      <c r="AJ537" s="273">
        <f>AI537*(1+'2. GRI Pricing Inputs'!$D$114)^((AJ$16-AI$16)/365)</f>
        <v>0</v>
      </c>
      <c r="AK537" s="273">
        <f>AJ537*(1+'2. GRI Pricing Inputs'!$D$114)^((AK$16-AJ$16)/365)</f>
        <v>0</v>
      </c>
      <c r="AL537" s="273">
        <f>AK537*(1+'2. GRI Pricing Inputs'!$D$114)^((AL$16-AK$16)/365)</f>
        <v>0</v>
      </c>
      <c r="AM537" s="273">
        <f>AL537*(1+'2. GRI Pricing Inputs'!$D$114)^((AM$16-AL$16)/365)</f>
        <v>0</v>
      </c>
      <c r="AN537" s="273">
        <f>AM537*(1+'2. GRI Pricing Inputs'!$D$114)^((AN$16-AM$16)/365)</f>
        <v>0</v>
      </c>
      <c r="AO537" s="273">
        <f>AN537*(1+'2. GRI Pricing Inputs'!$D$114)^((AO$16-AN$16)/365)</f>
        <v>0</v>
      </c>
    </row>
    <row r="538" spans="3:41" ht="12" x14ac:dyDescent="0.2">
      <c r="C538" s="76">
        <f>'1. Accomodation'!N542</f>
        <v>0</v>
      </c>
      <c r="D538" s="69">
        <f>'1. Accomodation'!P542</f>
        <v>0</v>
      </c>
      <c r="E538" s="69">
        <f>'1. Accomodation'!Q542</f>
        <v>0</v>
      </c>
      <c r="F538" s="77">
        <f>'1. Accomodation'!O542</f>
        <v>0</v>
      </c>
      <c r="G538" s="69">
        <f>'1. Accomodation'!R542</f>
        <v>0</v>
      </c>
      <c r="H538" s="69">
        <f>'1. Accomodation'!S542</f>
        <v>0</v>
      </c>
      <c r="I538" s="62"/>
      <c r="K538" s="272">
        <f>IFERROR(INDEX('2. GRI Pricing Inputs'!$C$15:$AI$16,MATCH($K$16,'2. GRI Pricing Inputs'!$C$15:$C$16,0),MATCH(D538,'2. GRI Pricing Inputs'!$C$15:$AI$15,0)),0)</f>
        <v>0</v>
      </c>
      <c r="L538" s="273">
        <f>IFERROR(INDEX('2. GRI Pricing Inputs'!$C$22:$AI$23,MATCH($L$16,'2. GRI Pricing Inputs'!$C$22:$C$23,0),MATCH(E538,'2. GRI Pricing Inputs'!$C$22:$AI$22,0)),0)</f>
        <v>0</v>
      </c>
      <c r="M538" s="328">
        <f>IF(AND('3. GRI Pricing'!$F538&gt;='2. GRI Pricing Inputs'!$D$33,'3. GRI Pricing'!$F538&lt;='2. GRI Pricing Inputs'!$E$33),'2. GRI Pricing Inputs'!$D$32,IF(AND('3. GRI Pricing'!$F538&gt;='2. GRI Pricing Inputs'!$F$33,'3. GRI Pricing'!$F538&lt;='2. GRI Pricing Inputs'!$G$33),'2. GRI Pricing Inputs'!$F$32,IF(AND('3. GRI Pricing'!$F538&gt;='2. GRI Pricing Inputs'!$H$33,'3. GRI Pricing'!$F538&lt;='2. GRI Pricing Inputs'!$I$33),'2. GRI Pricing Inputs'!$H$32,IF(AND('3. GRI Pricing'!$F538&gt;='2. GRI Pricing Inputs'!$J$33,'3. GRI Pricing'!$F538&lt;='2. GRI Pricing Inputs'!$K$33),'2. GRI Pricing Inputs'!$J$32,IF(AND('3. GRI Pricing'!$F538&gt;='2. GRI Pricing Inputs'!$L$33,'3. GRI Pricing'!$F538&lt;='2. GRI Pricing Inputs'!$M$33),'2. GRI Pricing Inputs'!$L$32,IF(AND('3. GRI Pricing'!$F538&gt;='2. GRI Pricing Inputs'!$N$33,'3. GRI Pricing'!$F538&lt;='2. GRI Pricing Inputs'!$O$33),'2. GRI Pricing Inputs'!$N$32,IF(AND('3. GRI Pricing'!$F538&gt;='2. GRI Pricing Inputs'!$P$33,'3. GRI Pricing'!$F538&lt;='2. GRI Pricing Inputs'!$Q$33),'2. GRI Pricing Inputs'!$P$32,IF(AND('3. GRI Pricing'!$F538&gt;='2. GRI Pricing Inputs'!$R$33,'3. GRI Pricing'!$F538&lt;='2. GRI Pricing Inputs'!$S$33),'2. GRI Pricing Inputs'!$R$32,IF(AND('3. GRI Pricing'!$F538&gt;='2. GRI Pricing Inputs'!$T$33,'3. GRI Pricing'!$F538&lt;='2. GRI Pricing Inputs'!$U$33),'2. GRI Pricing Inputs'!$T$32,IF(AND('3. GRI Pricing'!$F538&gt;='2. GRI Pricing Inputs'!$V$33,'3. GRI Pricing'!$F538&lt;='2. GRI Pricing Inputs'!$W$33),'2. GRI Pricing Inputs'!$V$32,IF(AND('3. GRI Pricing'!$F538&gt;='2. GRI Pricing Inputs'!$X$33,'3. GRI Pricing'!$F538&lt;='2. GRI Pricing Inputs'!$Y$33),'2. GRI Pricing Inputs'!$X$32,IF(AND('3. GRI Pricing'!$F538&gt;='2. GRI Pricing Inputs'!$Z$33,'3. GRI Pricing'!$F538&lt;='2. GRI Pricing Inputs'!$AA$33),'2. GRI Pricing Inputs'!$Z$32,IF(AND('3. GRI Pricing'!$F538&gt;='2. GRI Pricing Inputs'!$AB$33,'3. GRI Pricing'!$F538&lt;='2. GRI Pricing Inputs'!$AC$33),'2. GRI Pricing Inputs'!$AB$32,IF(AND('3. GRI Pricing'!$F538&gt;='2. GRI Pricing Inputs'!$AD$33,'3. GRI Pricing'!$F538&lt;='2. GRI Pricing Inputs'!$AE$33),'2. GRI Pricing Inputs'!$AD$32,IF(AND('3. GRI Pricing'!$F538&gt;='2. GRI Pricing Inputs'!$AF$33,'3. GRI Pricing'!$F538&lt;='2. GRI Pricing Inputs'!$AG$33),'2. GRI Pricing Inputs'!$AF$32,IF(AND('3. GRI Pricing'!$F538&gt;='2. GRI Pricing Inputs'!$AH$33,'3. GRI Pricing'!$F538&lt;='2. GRI Pricing Inputs'!$AI$33),'2. GRI Pricing Inputs'!$AH$32,0))))))))))))))))</f>
        <v>0</v>
      </c>
      <c r="N538" s="273" cm="1">
        <f t="array" ref="N538">IFERROR(INDEX('2. GRI Pricing Inputs'!$C$32:$AI$39,MATCH('3. GRI Pricing'!D538,'2. GRI Pricing Inputs'!$C$32:$C$39,0),(MATCH('3. GRI Pricing'!M538,'2. GRI Pricing Inputs'!$D$32:$AI$32,0)+1)),0)</f>
        <v>0</v>
      </c>
      <c r="O538" s="273">
        <f>IFERROR(INDEX('2. GRI Pricing Inputs'!$C$45:$AI$46,MATCH($O$16,'2. GRI Pricing Inputs'!$C$45:$C$46,0),MATCH(G538,'2. GRI Pricing Inputs'!$C$45:$AI$45,0)),0)</f>
        <v>0</v>
      </c>
      <c r="P538" s="273">
        <f>IFERROR(INDEX('2. GRI Pricing Inputs'!$C$53:$AI$54,MATCH('3. GRI Pricing'!$P$16,'2. GRI Pricing Inputs'!$C$53:$C$54,0),MATCH('3. GRI Pricing'!H538,'2. GRI Pricing Inputs'!$C$53:$AI$53,0)),0)</f>
        <v>0</v>
      </c>
      <c r="Q538" s="273">
        <f>IFERROR(INDEX('2. GRI Pricing Inputs'!$C$60:$AI$61,MATCH('3. GRI Pricing'!$Q$16,'2. GRI Pricing Inputs'!$C$60:$C$61,0),MATCH('1. Accomodation'!T542,'2. GRI Pricing Inputs'!$C$60:$AI$60,0)),0)</f>
        <v>0</v>
      </c>
      <c r="R538" s="273">
        <f>IFERROR(INDEX('2. GRI Pricing Inputs'!$C$67:$AI$68,MATCH('3. GRI Pricing'!$R$16,'2. GRI Pricing Inputs'!$C$67:$C$68,0),MATCH('1. Accomodation'!U542,'2. GRI Pricing Inputs'!$C$67:$AI$67,0)),0)</f>
        <v>0</v>
      </c>
      <c r="S538" s="273">
        <f>IF(D538=0,0,'2. GRI Pricing Inputs'!$AI$75)</f>
        <v>0</v>
      </c>
      <c r="T538" s="273">
        <f>IFERROR(INDEX('2. GRI Pricing Inputs'!$C$82:$AI$83,MATCH('3. GRI Pricing'!$T$16,'2. GRI Pricing Inputs'!$C$82:$C$83,0),MATCH('1. Accomodation'!V542,'2. GRI Pricing Inputs'!$C$82:$AI$82,0)),0)</f>
        <v>0</v>
      </c>
      <c r="U538" s="273">
        <f>IFERROR(INDEX('2. GRI Pricing Inputs'!$C$89:$AI$90,MATCH('3. GRI Pricing'!$U$16,'2. GRI Pricing Inputs'!$C$89:$C$90,0),MATCH('1. Accomodation'!W542,'2. GRI Pricing Inputs'!$C$89:$AI$89,0)),0)</f>
        <v>0</v>
      </c>
      <c r="V538" s="273">
        <f>IFERROR(INDEX('2. GRI Pricing Inputs'!$C$97:$AI$98,MATCH('3. GRI Pricing'!$V$16,'2. GRI Pricing Inputs'!$C$97:$C$98,0),MATCH('1. Accomodation'!X542,'2. GRI Pricing Inputs'!$C$97:$AI$97,0)),0)</f>
        <v>0</v>
      </c>
      <c r="W538" s="273">
        <f>IFERROR(INDEX('2. GRI Pricing Inputs'!$C$104:$AI$105,MATCH('3. GRI Pricing'!$W$16,'2. GRI Pricing Inputs'!$C$104:$C$105,0),MATCH('1. Accomodation'!Y542,'2. GRI Pricing Inputs'!$C$104:$AI$104,0)),0)</f>
        <v>0</v>
      </c>
      <c r="X538" s="274"/>
      <c r="Y538" s="275">
        <f t="shared" si="15"/>
        <v>0</v>
      </c>
      <c r="Z538" s="276"/>
      <c r="AA538" s="276"/>
      <c r="AB538" s="276"/>
      <c r="AC538" s="272">
        <f>Y538*(1+'2. GRI Pricing Inputs'!$D$114)^(($AC$16-$AB$15)/365)</f>
        <v>0</v>
      </c>
      <c r="AD538" s="273">
        <f>AC538*(1+'2. GRI Pricing Inputs'!$D$114)^((AD$16-AC$16)/365)</f>
        <v>0</v>
      </c>
      <c r="AE538" s="273">
        <f>AD538*(1+'2. GRI Pricing Inputs'!$D$114)^((AE$16-AD$16)/365)</f>
        <v>0</v>
      </c>
      <c r="AF538" s="273">
        <f>AE538*(1+'2. GRI Pricing Inputs'!$D$114)^((AF$16-AE$16)/365)</f>
        <v>0</v>
      </c>
      <c r="AG538" s="273">
        <f>AF538*(1+'2. GRI Pricing Inputs'!$D$114)^((AG$16-AF$16)/365)</f>
        <v>0</v>
      </c>
      <c r="AH538" s="273">
        <f>AG538*(1+'2. GRI Pricing Inputs'!$D$114)^((AH$16-AG$16)/365)</f>
        <v>0</v>
      </c>
      <c r="AI538" s="273">
        <f>AH538*(1+'2. GRI Pricing Inputs'!$D$114)^((AI$16-AH$16)/365)</f>
        <v>0</v>
      </c>
      <c r="AJ538" s="273">
        <f>AI538*(1+'2. GRI Pricing Inputs'!$D$114)^((AJ$16-AI$16)/365)</f>
        <v>0</v>
      </c>
      <c r="AK538" s="273">
        <f>AJ538*(1+'2. GRI Pricing Inputs'!$D$114)^((AK$16-AJ$16)/365)</f>
        <v>0</v>
      </c>
      <c r="AL538" s="273">
        <f>AK538*(1+'2. GRI Pricing Inputs'!$D$114)^((AL$16-AK$16)/365)</f>
        <v>0</v>
      </c>
      <c r="AM538" s="273">
        <f>AL538*(1+'2. GRI Pricing Inputs'!$D$114)^((AM$16-AL$16)/365)</f>
        <v>0</v>
      </c>
      <c r="AN538" s="273">
        <f>AM538*(1+'2. GRI Pricing Inputs'!$D$114)^((AN$16-AM$16)/365)</f>
        <v>0</v>
      </c>
      <c r="AO538" s="273">
        <f>AN538*(1+'2. GRI Pricing Inputs'!$D$114)^((AO$16-AN$16)/365)</f>
        <v>0</v>
      </c>
    </row>
    <row r="539" spans="3:41" ht="12" x14ac:dyDescent="0.2">
      <c r="C539" s="76">
        <f>'1. Accomodation'!N543</f>
        <v>0</v>
      </c>
      <c r="D539" s="69">
        <f>'1. Accomodation'!P543</f>
        <v>0</v>
      </c>
      <c r="E539" s="69">
        <f>'1. Accomodation'!Q543</f>
        <v>0</v>
      </c>
      <c r="F539" s="77">
        <f>'1. Accomodation'!O543</f>
        <v>0</v>
      </c>
      <c r="G539" s="69">
        <f>'1. Accomodation'!R543</f>
        <v>0</v>
      </c>
      <c r="H539" s="69">
        <f>'1. Accomodation'!S543</f>
        <v>0</v>
      </c>
      <c r="I539" s="62"/>
      <c r="K539" s="272">
        <f>IFERROR(INDEX('2. GRI Pricing Inputs'!$C$15:$AI$16,MATCH($K$16,'2. GRI Pricing Inputs'!$C$15:$C$16,0),MATCH(D539,'2. GRI Pricing Inputs'!$C$15:$AI$15,0)),0)</f>
        <v>0</v>
      </c>
      <c r="L539" s="273">
        <f>IFERROR(INDEX('2. GRI Pricing Inputs'!$C$22:$AI$23,MATCH($L$16,'2. GRI Pricing Inputs'!$C$22:$C$23,0),MATCH(E539,'2. GRI Pricing Inputs'!$C$22:$AI$22,0)),0)</f>
        <v>0</v>
      </c>
      <c r="M539" s="328">
        <f>IF(AND('3. GRI Pricing'!$F539&gt;='2. GRI Pricing Inputs'!$D$33,'3. GRI Pricing'!$F539&lt;='2. GRI Pricing Inputs'!$E$33),'2. GRI Pricing Inputs'!$D$32,IF(AND('3. GRI Pricing'!$F539&gt;='2. GRI Pricing Inputs'!$F$33,'3. GRI Pricing'!$F539&lt;='2. GRI Pricing Inputs'!$G$33),'2. GRI Pricing Inputs'!$F$32,IF(AND('3. GRI Pricing'!$F539&gt;='2. GRI Pricing Inputs'!$H$33,'3. GRI Pricing'!$F539&lt;='2. GRI Pricing Inputs'!$I$33),'2. GRI Pricing Inputs'!$H$32,IF(AND('3. GRI Pricing'!$F539&gt;='2. GRI Pricing Inputs'!$J$33,'3. GRI Pricing'!$F539&lt;='2. GRI Pricing Inputs'!$K$33),'2. GRI Pricing Inputs'!$J$32,IF(AND('3. GRI Pricing'!$F539&gt;='2. GRI Pricing Inputs'!$L$33,'3. GRI Pricing'!$F539&lt;='2. GRI Pricing Inputs'!$M$33),'2. GRI Pricing Inputs'!$L$32,IF(AND('3. GRI Pricing'!$F539&gt;='2. GRI Pricing Inputs'!$N$33,'3. GRI Pricing'!$F539&lt;='2. GRI Pricing Inputs'!$O$33),'2. GRI Pricing Inputs'!$N$32,IF(AND('3. GRI Pricing'!$F539&gt;='2. GRI Pricing Inputs'!$P$33,'3. GRI Pricing'!$F539&lt;='2. GRI Pricing Inputs'!$Q$33),'2. GRI Pricing Inputs'!$P$32,IF(AND('3. GRI Pricing'!$F539&gt;='2. GRI Pricing Inputs'!$R$33,'3. GRI Pricing'!$F539&lt;='2. GRI Pricing Inputs'!$S$33),'2. GRI Pricing Inputs'!$R$32,IF(AND('3. GRI Pricing'!$F539&gt;='2. GRI Pricing Inputs'!$T$33,'3. GRI Pricing'!$F539&lt;='2. GRI Pricing Inputs'!$U$33),'2. GRI Pricing Inputs'!$T$32,IF(AND('3. GRI Pricing'!$F539&gt;='2. GRI Pricing Inputs'!$V$33,'3. GRI Pricing'!$F539&lt;='2. GRI Pricing Inputs'!$W$33),'2. GRI Pricing Inputs'!$V$32,IF(AND('3. GRI Pricing'!$F539&gt;='2. GRI Pricing Inputs'!$X$33,'3. GRI Pricing'!$F539&lt;='2. GRI Pricing Inputs'!$Y$33),'2. GRI Pricing Inputs'!$X$32,IF(AND('3. GRI Pricing'!$F539&gt;='2. GRI Pricing Inputs'!$Z$33,'3. GRI Pricing'!$F539&lt;='2. GRI Pricing Inputs'!$AA$33),'2. GRI Pricing Inputs'!$Z$32,IF(AND('3. GRI Pricing'!$F539&gt;='2. GRI Pricing Inputs'!$AB$33,'3. GRI Pricing'!$F539&lt;='2. GRI Pricing Inputs'!$AC$33),'2. GRI Pricing Inputs'!$AB$32,IF(AND('3. GRI Pricing'!$F539&gt;='2. GRI Pricing Inputs'!$AD$33,'3. GRI Pricing'!$F539&lt;='2. GRI Pricing Inputs'!$AE$33),'2. GRI Pricing Inputs'!$AD$32,IF(AND('3. GRI Pricing'!$F539&gt;='2. GRI Pricing Inputs'!$AF$33,'3. GRI Pricing'!$F539&lt;='2. GRI Pricing Inputs'!$AG$33),'2. GRI Pricing Inputs'!$AF$32,IF(AND('3. GRI Pricing'!$F539&gt;='2. GRI Pricing Inputs'!$AH$33,'3. GRI Pricing'!$F539&lt;='2. GRI Pricing Inputs'!$AI$33),'2. GRI Pricing Inputs'!$AH$32,0))))))))))))))))</f>
        <v>0</v>
      </c>
      <c r="N539" s="273" cm="1">
        <f t="array" ref="N539">IFERROR(INDEX('2. GRI Pricing Inputs'!$C$32:$AI$39,MATCH('3. GRI Pricing'!D539,'2. GRI Pricing Inputs'!$C$32:$C$39,0),(MATCH('3. GRI Pricing'!M539,'2. GRI Pricing Inputs'!$D$32:$AI$32,0)+1)),0)</f>
        <v>0</v>
      </c>
      <c r="O539" s="273">
        <f>IFERROR(INDEX('2. GRI Pricing Inputs'!$C$45:$AI$46,MATCH($O$16,'2. GRI Pricing Inputs'!$C$45:$C$46,0),MATCH(G539,'2. GRI Pricing Inputs'!$C$45:$AI$45,0)),0)</f>
        <v>0</v>
      </c>
      <c r="P539" s="273">
        <f>IFERROR(INDEX('2. GRI Pricing Inputs'!$C$53:$AI$54,MATCH('3. GRI Pricing'!$P$16,'2. GRI Pricing Inputs'!$C$53:$C$54,0),MATCH('3. GRI Pricing'!H539,'2. GRI Pricing Inputs'!$C$53:$AI$53,0)),0)</f>
        <v>0</v>
      </c>
      <c r="Q539" s="273">
        <f>IFERROR(INDEX('2. GRI Pricing Inputs'!$C$60:$AI$61,MATCH('3. GRI Pricing'!$Q$16,'2. GRI Pricing Inputs'!$C$60:$C$61,0),MATCH('1. Accomodation'!T543,'2. GRI Pricing Inputs'!$C$60:$AI$60,0)),0)</f>
        <v>0</v>
      </c>
      <c r="R539" s="273">
        <f>IFERROR(INDEX('2. GRI Pricing Inputs'!$C$67:$AI$68,MATCH('3. GRI Pricing'!$R$16,'2. GRI Pricing Inputs'!$C$67:$C$68,0),MATCH('1. Accomodation'!U543,'2. GRI Pricing Inputs'!$C$67:$AI$67,0)),0)</f>
        <v>0</v>
      </c>
      <c r="S539" s="273">
        <f>IF(D539=0,0,'2. GRI Pricing Inputs'!$AI$75)</f>
        <v>0</v>
      </c>
      <c r="T539" s="273">
        <f>IFERROR(INDEX('2. GRI Pricing Inputs'!$C$82:$AI$83,MATCH('3. GRI Pricing'!$T$16,'2. GRI Pricing Inputs'!$C$82:$C$83,0),MATCH('1. Accomodation'!V543,'2. GRI Pricing Inputs'!$C$82:$AI$82,0)),0)</f>
        <v>0</v>
      </c>
      <c r="U539" s="273">
        <f>IFERROR(INDEX('2. GRI Pricing Inputs'!$C$89:$AI$90,MATCH('3. GRI Pricing'!$U$16,'2. GRI Pricing Inputs'!$C$89:$C$90,0),MATCH('1. Accomodation'!W543,'2. GRI Pricing Inputs'!$C$89:$AI$89,0)),0)</f>
        <v>0</v>
      </c>
      <c r="V539" s="273">
        <f>IFERROR(INDEX('2. GRI Pricing Inputs'!$C$97:$AI$98,MATCH('3. GRI Pricing'!$V$16,'2. GRI Pricing Inputs'!$C$97:$C$98,0),MATCH('1. Accomodation'!X543,'2. GRI Pricing Inputs'!$C$97:$AI$97,0)),0)</f>
        <v>0</v>
      </c>
      <c r="W539" s="273">
        <f>IFERROR(INDEX('2. GRI Pricing Inputs'!$C$104:$AI$105,MATCH('3. GRI Pricing'!$W$16,'2. GRI Pricing Inputs'!$C$104:$C$105,0),MATCH('1. Accomodation'!Y543,'2. GRI Pricing Inputs'!$C$104:$AI$104,0)),0)</f>
        <v>0</v>
      </c>
      <c r="X539" s="274"/>
      <c r="Y539" s="275">
        <f t="shared" si="15"/>
        <v>0</v>
      </c>
      <c r="Z539" s="276"/>
      <c r="AA539" s="276"/>
      <c r="AB539" s="276"/>
      <c r="AC539" s="272">
        <f>Y539*(1+'2. GRI Pricing Inputs'!$D$114)^(($AC$16-$AB$15)/365)</f>
        <v>0</v>
      </c>
      <c r="AD539" s="273">
        <f>AC539*(1+'2. GRI Pricing Inputs'!$D$114)^((AD$16-AC$16)/365)</f>
        <v>0</v>
      </c>
      <c r="AE539" s="273">
        <f>AD539*(1+'2. GRI Pricing Inputs'!$D$114)^((AE$16-AD$16)/365)</f>
        <v>0</v>
      </c>
      <c r="AF539" s="273">
        <f>AE539*(1+'2. GRI Pricing Inputs'!$D$114)^((AF$16-AE$16)/365)</f>
        <v>0</v>
      </c>
      <c r="AG539" s="273">
        <f>AF539*(1+'2. GRI Pricing Inputs'!$D$114)^((AG$16-AF$16)/365)</f>
        <v>0</v>
      </c>
      <c r="AH539" s="273">
        <f>AG539*(1+'2. GRI Pricing Inputs'!$D$114)^((AH$16-AG$16)/365)</f>
        <v>0</v>
      </c>
      <c r="AI539" s="273">
        <f>AH539*(1+'2. GRI Pricing Inputs'!$D$114)^((AI$16-AH$16)/365)</f>
        <v>0</v>
      </c>
      <c r="AJ539" s="273">
        <f>AI539*(1+'2. GRI Pricing Inputs'!$D$114)^((AJ$16-AI$16)/365)</f>
        <v>0</v>
      </c>
      <c r="AK539" s="273">
        <f>AJ539*(1+'2. GRI Pricing Inputs'!$D$114)^((AK$16-AJ$16)/365)</f>
        <v>0</v>
      </c>
      <c r="AL539" s="273">
        <f>AK539*(1+'2. GRI Pricing Inputs'!$D$114)^((AL$16-AK$16)/365)</f>
        <v>0</v>
      </c>
      <c r="AM539" s="273">
        <f>AL539*(1+'2. GRI Pricing Inputs'!$D$114)^((AM$16-AL$16)/365)</f>
        <v>0</v>
      </c>
      <c r="AN539" s="273">
        <f>AM539*(1+'2. GRI Pricing Inputs'!$D$114)^((AN$16-AM$16)/365)</f>
        <v>0</v>
      </c>
      <c r="AO539" s="273">
        <f>AN539*(1+'2. GRI Pricing Inputs'!$D$114)^((AO$16-AN$16)/365)</f>
        <v>0</v>
      </c>
    </row>
    <row r="540" spans="3:41" ht="12" x14ac:dyDescent="0.2">
      <c r="C540" s="76">
        <f>'1. Accomodation'!N544</f>
        <v>0</v>
      </c>
      <c r="D540" s="69">
        <f>'1. Accomodation'!P544</f>
        <v>0</v>
      </c>
      <c r="E540" s="69">
        <f>'1. Accomodation'!Q544</f>
        <v>0</v>
      </c>
      <c r="F540" s="77">
        <f>'1. Accomodation'!O544</f>
        <v>0</v>
      </c>
      <c r="G540" s="69">
        <f>'1. Accomodation'!R544</f>
        <v>0</v>
      </c>
      <c r="H540" s="69">
        <f>'1. Accomodation'!S544</f>
        <v>0</v>
      </c>
      <c r="I540" s="62"/>
      <c r="K540" s="272">
        <f>IFERROR(INDEX('2. GRI Pricing Inputs'!$C$15:$AI$16,MATCH($K$16,'2. GRI Pricing Inputs'!$C$15:$C$16,0),MATCH(D540,'2. GRI Pricing Inputs'!$C$15:$AI$15,0)),0)</f>
        <v>0</v>
      </c>
      <c r="L540" s="273">
        <f>IFERROR(INDEX('2. GRI Pricing Inputs'!$C$22:$AI$23,MATCH($L$16,'2. GRI Pricing Inputs'!$C$22:$C$23,0),MATCH(E540,'2. GRI Pricing Inputs'!$C$22:$AI$22,0)),0)</f>
        <v>0</v>
      </c>
      <c r="M540" s="328">
        <f>IF(AND('3. GRI Pricing'!$F540&gt;='2. GRI Pricing Inputs'!$D$33,'3. GRI Pricing'!$F540&lt;='2. GRI Pricing Inputs'!$E$33),'2. GRI Pricing Inputs'!$D$32,IF(AND('3. GRI Pricing'!$F540&gt;='2. GRI Pricing Inputs'!$F$33,'3. GRI Pricing'!$F540&lt;='2. GRI Pricing Inputs'!$G$33),'2. GRI Pricing Inputs'!$F$32,IF(AND('3. GRI Pricing'!$F540&gt;='2. GRI Pricing Inputs'!$H$33,'3. GRI Pricing'!$F540&lt;='2. GRI Pricing Inputs'!$I$33),'2. GRI Pricing Inputs'!$H$32,IF(AND('3. GRI Pricing'!$F540&gt;='2. GRI Pricing Inputs'!$J$33,'3. GRI Pricing'!$F540&lt;='2. GRI Pricing Inputs'!$K$33),'2. GRI Pricing Inputs'!$J$32,IF(AND('3. GRI Pricing'!$F540&gt;='2. GRI Pricing Inputs'!$L$33,'3. GRI Pricing'!$F540&lt;='2. GRI Pricing Inputs'!$M$33),'2. GRI Pricing Inputs'!$L$32,IF(AND('3. GRI Pricing'!$F540&gt;='2. GRI Pricing Inputs'!$N$33,'3. GRI Pricing'!$F540&lt;='2. GRI Pricing Inputs'!$O$33),'2. GRI Pricing Inputs'!$N$32,IF(AND('3. GRI Pricing'!$F540&gt;='2. GRI Pricing Inputs'!$P$33,'3. GRI Pricing'!$F540&lt;='2. GRI Pricing Inputs'!$Q$33),'2. GRI Pricing Inputs'!$P$32,IF(AND('3. GRI Pricing'!$F540&gt;='2. GRI Pricing Inputs'!$R$33,'3. GRI Pricing'!$F540&lt;='2. GRI Pricing Inputs'!$S$33),'2. GRI Pricing Inputs'!$R$32,IF(AND('3. GRI Pricing'!$F540&gt;='2. GRI Pricing Inputs'!$T$33,'3. GRI Pricing'!$F540&lt;='2. GRI Pricing Inputs'!$U$33),'2. GRI Pricing Inputs'!$T$32,IF(AND('3. GRI Pricing'!$F540&gt;='2. GRI Pricing Inputs'!$V$33,'3. GRI Pricing'!$F540&lt;='2. GRI Pricing Inputs'!$W$33),'2. GRI Pricing Inputs'!$V$32,IF(AND('3. GRI Pricing'!$F540&gt;='2. GRI Pricing Inputs'!$X$33,'3. GRI Pricing'!$F540&lt;='2. GRI Pricing Inputs'!$Y$33),'2. GRI Pricing Inputs'!$X$32,IF(AND('3. GRI Pricing'!$F540&gt;='2. GRI Pricing Inputs'!$Z$33,'3. GRI Pricing'!$F540&lt;='2. GRI Pricing Inputs'!$AA$33),'2. GRI Pricing Inputs'!$Z$32,IF(AND('3. GRI Pricing'!$F540&gt;='2. GRI Pricing Inputs'!$AB$33,'3. GRI Pricing'!$F540&lt;='2. GRI Pricing Inputs'!$AC$33),'2. GRI Pricing Inputs'!$AB$32,IF(AND('3. GRI Pricing'!$F540&gt;='2. GRI Pricing Inputs'!$AD$33,'3. GRI Pricing'!$F540&lt;='2. GRI Pricing Inputs'!$AE$33),'2. GRI Pricing Inputs'!$AD$32,IF(AND('3. GRI Pricing'!$F540&gt;='2. GRI Pricing Inputs'!$AF$33,'3. GRI Pricing'!$F540&lt;='2. GRI Pricing Inputs'!$AG$33),'2. GRI Pricing Inputs'!$AF$32,IF(AND('3. GRI Pricing'!$F540&gt;='2. GRI Pricing Inputs'!$AH$33,'3. GRI Pricing'!$F540&lt;='2. GRI Pricing Inputs'!$AI$33),'2. GRI Pricing Inputs'!$AH$32,0))))))))))))))))</f>
        <v>0</v>
      </c>
      <c r="N540" s="273" cm="1">
        <f t="array" ref="N540">IFERROR(INDEX('2. GRI Pricing Inputs'!$C$32:$AI$39,MATCH('3. GRI Pricing'!D540,'2. GRI Pricing Inputs'!$C$32:$C$39,0),(MATCH('3. GRI Pricing'!M540,'2. GRI Pricing Inputs'!$D$32:$AI$32,0)+1)),0)</f>
        <v>0</v>
      </c>
      <c r="O540" s="273">
        <f>IFERROR(INDEX('2. GRI Pricing Inputs'!$C$45:$AI$46,MATCH($O$16,'2. GRI Pricing Inputs'!$C$45:$C$46,0),MATCH(G540,'2. GRI Pricing Inputs'!$C$45:$AI$45,0)),0)</f>
        <v>0</v>
      </c>
      <c r="P540" s="273">
        <f>IFERROR(INDEX('2. GRI Pricing Inputs'!$C$53:$AI$54,MATCH('3. GRI Pricing'!$P$16,'2. GRI Pricing Inputs'!$C$53:$C$54,0),MATCH('3. GRI Pricing'!H540,'2. GRI Pricing Inputs'!$C$53:$AI$53,0)),0)</f>
        <v>0</v>
      </c>
      <c r="Q540" s="273">
        <f>IFERROR(INDEX('2. GRI Pricing Inputs'!$C$60:$AI$61,MATCH('3. GRI Pricing'!$Q$16,'2. GRI Pricing Inputs'!$C$60:$C$61,0),MATCH('1. Accomodation'!T544,'2. GRI Pricing Inputs'!$C$60:$AI$60,0)),0)</f>
        <v>0</v>
      </c>
      <c r="R540" s="273">
        <f>IFERROR(INDEX('2. GRI Pricing Inputs'!$C$67:$AI$68,MATCH('3. GRI Pricing'!$R$16,'2. GRI Pricing Inputs'!$C$67:$C$68,0),MATCH('1. Accomodation'!U544,'2. GRI Pricing Inputs'!$C$67:$AI$67,0)),0)</f>
        <v>0</v>
      </c>
      <c r="S540" s="273">
        <f>IF(D540=0,0,'2. GRI Pricing Inputs'!$AI$75)</f>
        <v>0</v>
      </c>
      <c r="T540" s="273">
        <f>IFERROR(INDEX('2. GRI Pricing Inputs'!$C$82:$AI$83,MATCH('3. GRI Pricing'!$T$16,'2. GRI Pricing Inputs'!$C$82:$C$83,0),MATCH('1. Accomodation'!V544,'2. GRI Pricing Inputs'!$C$82:$AI$82,0)),0)</f>
        <v>0</v>
      </c>
      <c r="U540" s="273">
        <f>IFERROR(INDEX('2. GRI Pricing Inputs'!$C$89:$AI$90,MATCH('3. GRI Pricing'!$U$16,'2. GRI Pricing Inputs'!$C$89:$C$90,0),MATCH('1. Accomodation'!W544,'2. GRI Pricing Inputs'!$C$89:$AI$89,0)),0)</f>
        <v>0</v>
      </c>
      <c r="V540" s="273">
        <f>IFERROR(INDEX('2. GRI Pricing Inputs'!$C$97:$AI$98,MATCH('3. GRI Pricing'!$V$16,'2. GRI Pricing Inputs'!$C$97:$C$98,0),MATCH('1. Accomodation'!X544,'2. GRI Pricing Inputs'!$C$97:$AI$97,0)),0)</f>
        <v>0</v>
      </c>
      <c r="W540" s="273">
        <f>IFERROR(INDEX('2. GRI Pricing Inputs'!$C$104:$AI$105,MATCH('3. GRI Pricing'!$W$16,'2. GRI Pricing Inputs'!$C$104:$C$105,0),MATCH('1. Accomodation'!Y544,'2. GRI Pricing Inputs'!$C$104:$AI$104,0)),0)</f>
        <v>0</v>
      </c>
      <c r="X540" s="274"/>
      <c r="Y540" s="275">
        <f t="shared" si="15"/>
        <v>0</v>
      </c>
      <c r="Z540" s="276"/>
      <c r="AA540" s="276"/>
      <c r="AB540" s="276"/>
      <c r="AC540" s="272">
        <f>Y540*(1+'2. GRI Pricing Inputs'!$D$114)^(($AC$16-$AB$15)/365)</f>
        <v>0</v>
      </c>
      <c r="AD540" s="273">
        <f>AC540*(1+'2. GRI Pricing Inputs'!$D$114)^((AD$16-AC$16)/365)</f>
        <v>0</v>
      </c>
      <c r="AE540" s="273">
        <f>AD540*(1+'2. GRI Pricing Inputs'!$D$114)^((AE$16-AD$16)/365)</f>
        <v>0</v>
      </c>
      <c r="AF540" s="273">
        <f>AE540*(1+'2. GRI Pricing Inputs'!$D$114)^((AF$16-AE$16)/365)</f>
        <v>0</v>
      </c>
      <c r="AG540" s="273">
        <f>AF540*(1+'2. GRI Pricing Inputs'!$D$114)^((AG$16-AF$16)/365)</f>
        <v>0</v>
      </c>
      <c r="AH540" s="273">
        <f>AG540*(1+'2. GRI Pricing Inputs'!$D$114)^((AH$16-AG$16)/365)</f>
        <v>0</v>
      </c>
      <c r="AI540" s="273">
        <f>AH540*(1+'2. GRI Pricing Inputs'!$D$114)^((AI$16-AH$16)/365)</f>
        <v>0</v>
      </c>
      <c r="AJ540" s="273">
        <f>AI540*(1+'2. GRI Pricing Inputs'!$D$114)^((AJ$16-AI$16)/365)</f>
        <v>0</v>
      </c>
      <c r="AK540" s="273">
        <f>AJ540*(1+'2. GRI Pricing Inputs'!$D$114)^((AK$16-AJ$16)/365)</f>
        <v>0</v>
      </c>
      <c r="AL540" s="273">
        <f>AK540*(1+'2. GRI Pricing Inputs'!$D$114)^((AL$16-AK$16)/365)</f>
        <v>0</v>
      </c>
      <c r="AM540" s="273">
        <f>AL540*(1+'2. GRI Pricing Inputs'!$D$114)^((AM$16-AL$16)/365)</f>
        <v>0</v>
      </c>
      <c r="AN540" s="273">
        <f>AM540*(1+'2. GRI Pricing Inputs'!$D$114)^((AN$16-AM$16)/365)</f>
        <v>0</v>
      </c>
      <c r="AO540" s="273">
        <f>AN540*(1+'2. GRI Pricing Inputs'!$D$114)^((AO$16-AN$16)/365)</f>
        <v>0</v>
      </c>
    </row>
    <row r="541" spans="3:41" ht="12" x14ac:dyDescent="0.2">
      <c r="C541" s="76">
        <f>'1. Accomodation'!N545</f>
        <v>0</v>
      </c>
      <c r="D541" s="69">
        <f>'1. Accomodation'!P545</f>
        <v>0</v>
      </c>
      <c r="E541" s="69">
        <f>'1. Accomodation'!Q545</f>
        <v>0</v>
      </c>
      <c r="F541" s="77">
        <f>'1. Accomodation'!O545</f>
        <v>0</v>
      </c>
      <c r="G541" s="69">
        <f>'1. Accomodation'!R545</f>
        <v>0</v>
      </c>
      <c r="H541" s="69">
        <f>'1. Accomodation'!S545</f>
        <v>0</v>
      </c>
      <c r="I541" s="62"/>
      <c r="K541" s="272">
        <f>IFERROR(INDEX('2. GRI Pricing Inputs'!$C$15:$AI$16,MATCH($K$16,'2. GRI Pricing Inputs'!$C$15:$C$16,0),MATCH(D541,'2. GRI Pricing Inputs'!$C$15:$AI$15,0)),0)</f>
        <v>0</v>
      </c>
      <c r="L541" s="273">
        <f>IFERROR(INDEX('2. GRI Pricing Inputs'!$C$22:$AI$23,MATCH($L$16,'2. GRI Pricing Inputs'!$C$22:$C$23,0),MATCH(E541,'2. GRI Pricing Inputs'!$C$22:$AI$22,0)),0)</f>
        <v>0</v>
      </c>
      <c r="M541" s="328">
        <f>IF(AND('3. GRI Pricing'!$F541&gt;='2. GRI Pricing Inputs'!$D$33,'3. GRI Pricing'!$F541&lt;='2. GRI Pricing Inputs'!$E$33),'2. GRI Pricing Inputs'!$D$32,IF(AND('3. GRI Pricing'!$F541&gt;='2. GRI Pricing Inputs'!$F$33,'3. GRI Pricing'!$F541&lt;='2. GRI Pricing Inputs'!$G$33),'2. GRI Pricing Inputs'!$F$32,IF(AND('3. GRI Pricing'!$F541&gt;='2. GRI Pricing Inputs'!$H$33,'3. GRI Pricing'!$F541&lt;='2. GRI Pricing Inputs'!$I$33),'2. GRI Pricing Inputs'!$H$32,IF(AND('3. GRI Pricing'!$F541&gt;='2. GRI Pricing Inputs'!$J$33,'3. GRI Pricing'!$F541&lt;='2. GRI Pricing Inputs'!$K$33),'2. GRI Pricing Inputs'!$J$32,IF(AND('3. GRI Pricing'!$F541&gt;='2. GRI Pricing Inputs'!$L$33,'3. GRI Pricing'!$F541&lt;='2. GRI Pricing Inputs'!$M$33),'2. GRI Pricing Inputs'!$L$32,IF(AND('3. GRI Pricing'!$F541&gt;='2. GRI Pricing Inputs'!$N$33,'3. GRI Pricing'!$F541&lt;='2. GRI Pricing Inputs'!$O$33),'2. GRI Pricing Inputs'!$N$32,IF(AND('3. GRI Pricing'!$F541&gt;='2. GRI Pricing Inputs'!$P$33,'3. GRI Pricing'!$F541&lt;='2. GRI Pricing Inputs'!$Q$33),'2. GRI Pricing Inputs'!$P$32,IF(AND('3. GRI Pricing'!$F541&gt;='2. GRI Pricing Inputs'!$R$33,'3. GRI Pricing'!$F541&lt;='2. GRI Pricing Inputs'!$S$33),'2. GRI Pricing Inputs'!$R$32,IF(AND('3. GRI Pricing'!$F541&gt;='2. GRI Pricing Inputs'!$T$33,'3. GRI Pricing'!$F541&lt;='2. GRI Pricing Inputs'!$U$33),'2. GRI Pricing Inputs'!$T$32,IF(AND('3. GRI Pricing'!$F541&gt;='2. GRI Pricing Inputs'!$V$33,'3. GRI Pricing'!$F541&lt;='2. GRI Pricing Inputs'!$W$33),'2. GRI Pricing Inputs'!$V$32,IF(AND('3. GRI Pricing'!$F541&gt;='2. GRI Pricing Inputs'!$X$33,'3. GRI Pricing'!$F541&lt;='2. GRI Pricing Inputs'!$Y$33),'2. GRI Pricing Inputs'!$X$32,IF(AND('3. GRI Pricing'!$F541&gt;='2. GRI Pricing Inputs'!$Z$33,'3. GRI Pricing'!$F541&lt;='2. GRI Pricing Inputs'!$AA$33),'2. GRI Pricing Inputs'!$Z$32,IF(AND('3. GRI Pricing'!$F541&gt;='2. GRI Pricing Inputs'!$AB$33,'3. GRI Pricing'!$F541&lt;='2. GRI Pricing Inputs'!$AC$33),'2. GRI Pricing Inputs'!$AB$32,IF(AND('3. GRI Pricing'!$F541&gt;='2. GRI Pricing Inputs'!$AD$33,'3. GRI Pricing'!$F541&lt;='2. GRI Pricing Inputs'!$AE$33),'2. GRI Pricing Inputs'!$AD$32,IF(AND('3. GRI Pricing'!$F541&gt;='2. GRI Pricing Inputs'!$AF$33,'3. GRI Pricing'!$F541&lt;='2. GRI Pricing Inputs'!$AG$33),'2. GRI Pricing Inputs'!$AF$32,IF(AND('3. GRI Pricing'!$F541&gt;='2. GRI Pricing Inputs'!$AH$33,'3. GRI Pricing'!$F541&lt;='2. GRI Pricing Inputs'!$AI$33),'2. GRI Pricing Inputs'!$AH$32,0))))))))))))))))</f>
        <v>0</v>
      </c>
      <c r="N541" s="273" cm="1">
        <f t="array" ref="N541">IFERROR(INDEX('2. GRI Pricing Inputs'!$C$32:$AI$39,MATCH('3. GRI Pricing'!D541,'2. GRI Pricing Inputs'!$C$32:$C$39,0),(MATCH('3. GRI Pricing'!M541,'2. GRI Pricing Inputs'!$D$32:$AI$32,0)+1)),0)</f>
        <v>0</v>
      </c>
      <c r="O541" s="273">
        <f>IFERROR(INDEX('2. GRI Pricing Inputs'!$C$45:$AI$46,MATCH($O$16,'2. GRI Pricing Inputs'!$C$45:$C$46,0),MATCH(G541,'2. GRI Pricing Inputs'!$C$45:$AI$45,0)),0)</f>
        <v>0</v>
      </c>
      <c r="P541" s="273">
        <f>IFERROR(INDEX('2. GRI Pricing Inputs'!$C$53:$AI$54,MATCH('3. GRI Pricing'!$P$16,'2. GRI Pricing Inputs'!$C$53:$C$54,0),MATCH('3. GRI Pricing'!H541,'2. GRI Pricing Inputs'!$C$53:$AI$53,0)),0)</f>
        <v>0</v>
      </c>
      <c r="Q541" s="273">
        <f>IFERROR(INDEX('2. GRI Pricing Inputs'!$C$60:$AI$61,MATCH('3. GRI Pricing'!$Q$16,'2. GRI Pricing Inputs'!$C$60:$C$61,0),MATCH('1. Accomodation'!T545,'2. GRI Pricing Inputs'!$C$60:$AI$60,0)),0)</f>
        <v>0</v>
      </c>
      <c r="R541" s="273">
        <f>IFERROR(INDEX('2. GRI Pricing Inputs'!$C$67:$AI$68,MATCH('3. GRI Pricing'!$R$16,'2. GRI Pricing Inputs'!$C$67:$C$68,0),MATCH('1. Accomodation'!U545,'2. GRI Pricing Inputs'!$C$67:$AI$67,0)),0)</f>
        <v>0</v>
      </c>
      <c r="S541" s="273">
        <f>IF(D541=0,0,'2. GRI Pricing Inputs'!$AI$75)</f>
        <v>0</v>
      </c>
      <c r="T541" s="273">
        <f>IFERROR(INDEX('2. GRI Pricing Inputs'!$C$82:$AI$83,MATCH('3. GRI Pricing'!$T$16,'2. GRI Pricing Inputs'!$C$82:$C$83,0),MATCH('1. Accomodation'!V545,'2. GRI Pricing Inputs'!$C$82:$AI$82,0)),0)</f>
        <v>0</v>
      </c>
      <c r="U541" s="273">
        <f>IFERROR(INDEX('2. GRI Pricing Inputs'!$C$89:$AI$90,MATCH('3. GRI Pricing'!$U$16,'2. GRI Pricing Inputs'!$C$89:$C$90,0),MATCH('1. Accomodation'!W545,'2. GRI Pricing Inputs'!$C$89:$AI$89,0)),0)</f>
        <v>0</v>
      </c>
      <c r="V541" s="273">
        <f>IFERROR(INDEX('2. GRI Pricing Inputs'!$C$97:$AI$98,MATCH('3. GRI Pricing'!$V$16,'2. GRI Pricing Inputs'!$C$97:$C$98,0),MATCH('1. Accomodation'!X545,'2. GRI Pricing Inputs'!$C$97:$AI$97,0)),0)</f>
        <v>0</v>
      </c>
      <c r="W541" s="273">
        <f>IFERROR(INDEX('2. GRI Pricing Inputs'!$C$104:$AI$105,MATCH('3. GRI Pricing'!$W$16,'2. GRI Pricing Inputs'!$C$104:$C$105,0),MATCH('1. Accomodation'!Y545,'2. GRI Pricing Inputs'!$C$104:$AI$104,0)),0)</f>
        <v>0</v>
      </c>
      <c r="X541" s="274"/>
      <c r="Y541" s="275">
        <f t="shared" si="15"/>
        <v>0</v>
      </c>
      <c r="Z541" s="276"/>
      <c r="AA541" s="276"/>
      <c r="AB541" s="276"/>
      <c r="AC541" s="272">
        <f>Y541*(1+'2. GRI Pricing Inputs'!$D$114)^(($AC$16-$AB$15)/365)</f>
        <v>0</v>
      </c>
      <c r="AD541" s="273">
        <f>AC541*(1+'2. GRI Pricing Inputs'!$D$114)^((AD$16-AC$16)/365)</f>
        <v>0</v>
      </c>
      <c r="AE541" s="273">
        <f>AD541*(1+'2. GRI Pricing Inputs'!$D$114)^((AE$16-AD$16)/365)</f>
        <v>0</v>
      </c>
      <c r="AF541" s="273">
        <f>AE541*(1+'2. GRI Pricing Inputs'!$D$114)^((AF$16-AE$16)/365)</f>
        <v>0</v>
      </c>
      <c r="AG541" s="273">
        <f>AF541*(1+'2. GRI Pricing Inputs'!$D$114)^((AG$16-AF$16)/365)</f>
        <v>0</v>
      </c>
      <c r="AH541" s="273">
        <f>AG541*(1+'2. GRI Pricing Inputs'!$D$114)^((AH$16-AG$16)/365)</f>
        <v>0</v>
      </c>
      <c r="AI541" s="273">
        <f>AH541*(1+'2. GRI Pricing Inputs'!$D$114)^((AI$16-AH$16)/365)</f>
        <v>0</v>
      </c>
      <c r="AJ541" s="273">
        <f>AI541*(1+'2. GRI Pricing Inputs'!$D$114)^((AJ$16-AI$16)/365)</f>
        <v>0</v>
      </c>
      <c r="AK541" s="273">
        <f>AJ541*(1+'2. GRI Pricing Inputs'!$D$114)^((AK$16-AJ$16)/365)</f>
        <v>0</v>
      </c>
      <c r="AL541" s="273">
        <f>AK541*(1+'2. GRI Pricing Inputs'!$D$114)^((AL$16-AK$16)/365)</f>
        <v>0</v>
      </c>
      <c r="AM541" s="273">
        <f>AL541*(1+'2. GRI Pricing Inputs'!$D$114)^((AM$16-AL$16)/365)</f>
        <v>0</v>
      </c>
      <c r="AN541" s="273">
        <f>AM541*(1+'2. GRI Pricing Inputs'!$D$114)^((AN$16-AM$16)/365)</f>
        <v>0</v>
      </c>
      <c r="AO541" s="273">
        <f>AN541*(1+'2. GRI Pricing Inputs'!$D$114)^((AO$16-AN$16)/365)</f>
        <v>0</v>
      </c>
    </row>
    <row r="542" spans="3:41" ht="12" x14ac:dyDescent="0.2">
      <c r="C542" s="76">
        <f>'1. Accomodation'!N546</f>
        <v>0</v>
      </c>
      <c r="D542" s="69">
        <f>'1. Accomodation'!P546</f>
        <v>0</v>
      </c>
      <c r="E542" s="69">
        <f>'1. Accomodation'!Q546</f>
        <v>0</v>
      </c>
      <c r="F542" s="77">
        <f>'1. Accomodation'!O546</f>
        <v>0</v>
      </c>
      <c r="G542" s="69">
        <f>'1. Accomodation'!R546</f>
        <v>0</v>
      </c>
      <c r="H542" s="69">
        <f>'1. Accomodation'!S546</f>
        <v>0</v>
      </c>
      <c r="I542" s="62"/>
      <c r="K542" s="272">
        <f>IFERROR(INDEX('2. GRI Pricing Inputs'!$C$15:$AI$16,MATCH($K$16,'2. GRI Pricing Inputs'!$C$15:$C$16,0),MATCH(D542,'2. GRI Pricing Inputs'!$C$15:$AI$15,0)),0)</f>
        <v>0</v>
      </c>
      <c r="L542" s="273">
        <f>IFERROR(INDEX('2. GRI Pricing Inputs'!$C$22:$AI$23,MATCH($L$16,'2. GRI Pricing Inputs'!$C$22:$C$23,0),MATCH(E542,'2. GRI Pricing Inputs'!$C$22:$AI$22,0)),0)</f>
        <v>0</v>
      </c>
      <c r="M542" s="328">
        <f>IF(AND('3. GRI Pricing'!$F542&gt;='2. GRI Pricing Inputs'!$D$33,'3. GRI Pricing'!$F542&lt;='2. GRI Pricing Inputs'!$E$33),'2. GRI Pricing Inputs'!$D$32,IF(AND('3. GRI Pricing'!$F542&gt;='2. GRI Pricing Inputs'!$F$33,'3. GRI Pricing'!$F542&lt;='2. GRI Pricing Inputs'!$G$33),'2. GRI Pricing Inputs'!$F$32,IF(AND('3. GRI Pricing'!$F542&gt;='2. GRI Pricing Inputs'!$H$33,'3. GRI Pricing'!$F542&lt;='2. GRI Pricing Inputs'!$I$33),'2. GRI Pricing Inputs'!$H$32,IF(AND('3. GRI Pricing'!$F542&gt;='2. GRI Pricing Inputs'!$J$33,'3. GRI Pricing'!$F542&lt;='2. GRI Pricing Inputs'!$K$33),'2. GRI Pricing Inputs'!$J$32,IF(AND('3. GRI Pricing'!$F542&gt;='2. GRI Pricing Inputs'!$L$33,'3. GRI Pricing'!$F542&lt;='2. GRI Pricing Inputs'!$M$33),'2. GRI Pricing Inputs'!$L$32,IF(AND('3. GRI Pricing'!$F542&gt;='2. GRI Pricing Inputs'!$N$33,'3. GRI Pricing'!$F542&lt;='2. GRI Pricing Inputs'!$O$33),'2. GRI Pricing Inputs'!$N$32,IF(AND('3. GRI Pricing'!$F542&gt;='2. GRI Pricing Inputs'!$P$33,'3. GRI Pricing'!$F542&lt;='2. GRI Pricing Inputs'!$Q$33),'2. GRI Pricing Inputs'!$P$32,IF(AND('3. GRI Pricing'!$F542&gt;='2. GRI Pricing Inputs'!$R$33,'3. GRI Pricing'!$F542&lt;='2. GRI Pricing Inputs'!$S$33),'2. GRI Pricing Inputs'!$R$32,IF(AND('3. GRI Pricing'!$F542&gt;='2. GRI Pricing Inputs'!$T$33,'3. GRI Pricing'!$F542&lt;='2. GRI Pricing Inputs'!$U$33),'2. GRI Pricing Inputs'!$T$32,IF(AND('3. GRI Pricing'!$F542&gt;='2. GRI Pricing Inputs'!$V$33,'3. GRI Pricing'!$F542&lt;='2. GRI Pricing Inputs'!$W$33),'2. GRI Pricing Inputs'!$V$32,IF(AND('3. GRI Pricing'!$F542&gt;='2. GRI Pricing Inputs'!$X$33,'3. GRI Pricing'!$F542&lt;='2. GRI Pricing Inputs'!$Y$33),'2. GRI Pricing Inputs'!$X$32,IF(AND('3. GRI Pricing'!$F542&gt;='2. GRI Pricing Inputs'!$Z$33,'3. GRI Pricing'!$F542&lt;='2. GRI Pricing Inputs'!$AA$33),'2. GRI Pricing Inputs'!$Z$32,IF(AND('3. GRI Pricing'!$F542&gt;='2. GRI Pricing Inputs'!$AB$33,'3. GRI Pricing'!$F542&lt;='2. GRI Pricing Inputs'!$AC$33),'2. GRI Pricing Inputs'!$AB$32,IF(AND('3. GRI Pricing'!$F542&gt;='2. GRI Pricing Inputs'!$AD$33,'3. GRI Pricing'!$F542&lt;='2. GRI Pricing Inputs'!$AE$33),'2. GRI Pricing Inputs'!$AD$32,IF(AND('3. GRI Pricing'!$F542&gt;='2. GRI Pricing Inputs'!$AF$33,'3. GRI Pricing'!$F542&lt;='2. GRI Pricing Inputs'!$AG$33),'2. GRI Pricing Inputs'!$AF$32,IF(AND('3. GRI Pricing'!$F542&gt;='2. GRI Pricing Inputs'!$AH$33,'3. GRI Pricing'!$F542&lt;='2. GRI Pricing Inputs'!$AI$33),'2. GRI Pricing Inputs'!$AH$32,0))))))))))))))))</f>
        <v>0</v>
      </c>
      <c r="N542" s="273" cm="1">
        <f t="array" ref="N542">IFERROR(INDEX('2. GRI Pricing Inputs'!$C$32:$AI$39,MATCH('3. GRI Pricing'!D542,'2. GRI Pricing Inputs'!$C$32:$C$39,0),(MATCH('3. GRI Pricing'!M542,'2. GRI Pricing Inputs'!$D$32:$AI$32,0)+1)),0)</f>
        <v>0</v>
      </c>
      <c r="O542" s="273">
        <f>IFERROR(INDEX('2. GRI Pricing Inputs'!$C$45:$AI$46,MATCH($O$16,'2. GRI Pricing Inputs'!$C$45:$C$46,0),MATCH(G542,'2. GRI Pricing Inputs'!$C$45:$AI$45,0)),0)</f>
        <v>0</v>
      </c>
      <c r="P542" s="273">
        <f>IFERROR(INDEX('2. GRI Pricing Inputs'!$C$53:$AI$54,MATCH('3. GRI Pricing'!$P$16,'2. GRI Pricing Inputs'!$C$53:$C$54,0),MATCH('3. GRI Pricing'!H542,'2. GRI Pricing Inputs'!$C$53:$AI$53,0)),0)</f>
        <v>0</v>
      </c>
      <c r="Q542" s="273">
        <f>IFERROR(INDEX('2. GRI Pricing Inputs'!$C$60:$AI$61,MATCH('3. GRI Pricing'!$Q$16,'2. GRI Pricing Inputs'!$C$60:$C$61,0),MATCH('1. Accomodation'!T546,'2. GRI Pricing Inputs'!$C$60:$AI$60,0)),0)</f>
        <v>0</v>
      </c>
      <c r="R542" s="273">
        <f>IFERROR(INDEX('2. GRI Pricing Inputs'!$C$67:$AI$68,MATCH('3. GRI Pricing'!$R$16,'2. GRI Pricing Inputs'!$C$67:$C$68,0),MATCH('1. Accomodation'!U546,'2. GRI Pricing Inputs'!$C$67:$AI$67,0)),0)</f>
        <v>0</v>
      </c>
      <c r="S542" s="273">
        <f>IF(D542=0,0,'2. GRI Pricing Inputs'!$AI$75)</f>
        <v>0</v>
      </c>
      <c r="T542" s="273">
        <f>IFERROR(INDEX('2. GRI Pricing Inputs'!$C$82:$AI$83,MATCH('3. GRI Pricing'!$T$16,'2. GRI Pricing Inputs'!$C$82:$C$83,0),MATCH('1. Accomodation'!V546,'2. GRI Pricing Inputs'!$C$82:$AI$82,0)),0)</f>
        <v>0</v>
      </c>
      <c r="U542" s="273">
        <f>IFERROR(INDEX('2. GRI Pricing Inputs'!$C$89:$AI$90,MATCH('3. GRI Pricing'!$U$16,'2. GRI Pricing Inputs'!$C$89:$C$90,0),MATCH('1. Accomodation'!W546,'2. GRI Pricing Inputs'!$C$89:$AI$89,0)),0)</f>
        <v>0</v>
      </c>
      <c r="V542" s="273">
        <f>IFERROR(INDEX('2. GRI Pricing Inputs'!$C$97:$AI$98,MATCH('3. GRI Pricing'!$V$16,'2. GRI Pricing Inputs'!$C$97:$C$98,0),MATCH('1. Accomodation'!X546,'2. GRI Pricing Inputs'!$C$97:$AI$97,0)),0)</f>
        <v>0</v>
      </c>
      <c r="W542" s="273">
        <f>IFERROR(INDEX('2. GRI Pricing Inputs'!$C$104:$AI$105,MATCH('3. GRI Pricing'!$W$16,'2. GRI Pricing Inputs'!$C$104:$C$105,0),MATCH('1. Accomodation'!Y546,'2. GRI Pricing Inputs'!$C$104:$AI$104,0)),0)</f>
        <v>0</v>
      </c>
      <c r="X542" s="274"/>
      <c r="Y542" s="275">
        <f t="shared" si="15"/>
        <v>0</v>
      </c>
      <c r="Z542" s="276"/>
      <c r="AA542" s="276"/>
      <c r="AB542" s="276"/>
      <c r="AC542" s="272">
        <f>Y542*(1+'2. GRI Pricing Inputs'!$D$114)^(($AC$16-$AB$15)/365)</f>
        <v>0</v>
      </c>
      <c r="AD542" s="273">
        <f>AC542*(1+'2. GRI Pricing Inputs'!$D$114)^((AD$16-AC$16)/365)</f>
        <v>0</v>
      </c>
      <c r="AE542" s="273">
        <f>AD542*(1+'2. GRI Pricing Inputs'!$D$114)^((AE$16-AD$16)/365)</f>
        <v>0</v>
      </c>
      <c r="AF542" s="273">
        <f>AE542*(1+'2. GRI Pricing Inputs'!$D$114)^((AF$16-AE$16)/365)</f>
        <v>0</v>
      </c>
      <c r="AG542" s="273">
        <f>AF542*(1+'2. GRI Pricing Inputs'!$D$114)^((AG$16-AF$16)/365)</f>
        <v>0</v>
      </c>
      <c r="AH542" s="273">
        <f>AG542*(1+'2. GRI Pricing Inputs'!$D$114)^((AH$16-AG$16)/365)</f>
        <v>0</v>
      </c>
      <c r="AI542" s="273">
        <f>AH542*(1+'2. GRI Pricing Inputs'!$D$114)^((AI$16-AH$16)/365)</f>
        <v>0</v>
      </c>
      <c r="AJ542" s="273">
        <f>AI542*(1+'2. GRI Pricing Inputs'!$D$114)^((AJ$16-AI$16)/365)</f>
        <v>0</v>
      </c>
      <c r="AK542" s="273">
        <f>AJ542*(1+'2. GRI Pricing Inputs'!$D$114)^((AK$16-AJ$16)/365)</f>
        <v>0</v>
      </c>
      <c r="AL542" s="273">
        <f>AK542*(1+'2. GRI Pricing Inputs'!$D$114)^((AL$16-AK$16)/365)</f>
        <v>0</v>
      </c>
      <c r="AM542" s="273">
        <f>AL542*(1+'2. GRI Pricing Inputs'!$D$114)^((AM$16-AL$16)/365)</f>
        <v>0</v>
      </c>
      <c r="AN542" s="273">
        <f>AM542*(1+'2. GRI Pricing Inputs'!$D$114)^((AN$16-AM$16)/365)</f>
        <v>0</v>
      </c>
      <c r="AO542" s="273">
        <f>AN542*(1+'2. GRI Pricing Inputs'!$D$114)^((AO$16-AN$16)/365)</f>
        <v>0</v>
      </c>
    </row>
    <row r="543" spans="3:41" ht="12" x14ac:dyDescent="0.2">
      <c r="C543" s="76">
        <f>'1. Accomodation'!N547</f>
        <v>0</v>
      </c>
      <c r="D543" s="69">
        <f>'1. Accomodation'!P547</f>
        <v>0</v>
      </c>
      <c r="E543" s="69">
        <f>'1. Accomodation'!Q547</f>
        <v>0</v>
      </c>
      <c r="F543" s="77">
        <f>'1. Accomodation'!O547</f>
        <v>0</v>
      </c>
      <c r="G543" s="69">
        <f>'1. Accomodation'!R547</f>
        <v>0</v>
      </c>
      <c r="H543" s="69">
        <f>'1. Accomodation'!S547</f>
        <v>0</v>
      </c>
      <c r="I543" s="62"/>
      <c r="K543" s="272">
        <f>IFERROR(INDEX('2. GRI Pricing Inputs'!$C$15:$AI$16,MATCH($K$16,'2. GRI Pricing Inputs'!$C$15:$C$16,0),MATCH(D543,'2. GRI Pricing Inputs'!$C$15:$AI$15,0)),0)</f>
        <v>0</v>
      </c>
      <c r="L543" s="273">
        <f>IFERROR(INDEX('2. GRI Pricing Inputs'!$C$22:$AI$23,MATCH($L$16,'2. GRI Pricing Inputs'!$C$22:$C$23,0),MATCH(E543,'2. GRI Pricing Inputs'!$C$22:$AI$22,0)),0)</f>
        <v>0</v>
      </c>
      <c r="M543" s="328">
        <f>IF(AND('3. GRI Pricing'!$F543&gt;='2. GRI Pricing Inputs'!$D$33,'3. GRI Pricing'!$F543&lt;='2. GRI Pricing Inputs'!$E$33),'2. GRI Pricing Inputs'!$D$32,IF(AND('3. GRI Pricing'!$F543&gt;='2. GRI Pricing Inputs'!$F$33,'3. GRI Pricing'!$F543&lt;='2. GRI Pricing Inputs'!$G$33),'2. GRI Pricing Inputs'!$F$32,IF(AND('3. GRI Pricing'!$F543&gt;='2. GRI Pricing Inputs'!$H$33,'3. GRI Pricing'!$F543&lt;='2. GRI Pricing Inputs'!$I$33),'2. GRI Pricing Inputs'!$H$32,IF(AND('3. GRI Pricing'!$F543&gt;='2. GRI Pricing Inputs'!$J$33,'3. GRI Pricing'!$F543&lt;='2. GRI Pricing Inputs'!$K$33),'2. GRI Pricing Inputs'!$J$32,IF(AND('3. GRI Pricing'!$F543&gt;='2. GRI Pricing Inputs'!$L$33,'3. GRI Pricing'!$F543&lt;='2. GRI Pricing Inputs'!$M$33),'2. GRI Pricing Inputs'!$L$32,IF(AND('3. GRI Pricing'!$F543&gt;='2. GRI Pricing Inputs'!$N$33,'3. GRI Pricing'!$F543&lt;='2. GRI Pricing Inputs'!$O$33),'2. GRI Pricing Inputs'!$N$32,IF(AND('3. GRI Pricing'!$F543&gt;='2. GRI Pricing Inputs'!$P$33,'3. GRI Pricing'!$F543&lt;='2. GRI Pricing Inputs'!$Q$33),'2. GRI Pricing Inputs'!$P$32,IF(AND('3. GRI Pricing'!$F543&gt;='2. GRI Pricing Inputs'!$R$33,'3. GRI Pricing'!$F543&lt;='2. GRI Pricing Inputs'!$S$33),'2. GRI Pricing Inputs'!$R$32,IF(AND('3. GRI Pricing'!$F543&gt;='2. GRI Pricing Inputs'!$T$33,'3. GRI Pricing'!$F543&lt;='2. GRI Pricing Inputs'!$U$33),'2. GRI Pricing Inputs'!$T$32,IF(AND('3. GRI Pricing'!$F543&gt;='2. GRI Pricing Inputs'!$V$33,'3. GRI Pricing'!$F543&lt;='2. GRI Pricing Inputs'!$W$33),'2. GRI Pricing Inputs'!$V$32,IF(AND('3. GRI Pricing'!$F543&gt;='2. GRI Pricing Inputs'!$X$33,'3. GRI Pricing'!$F543&lt;='2. GRI Pricing Inputs'!$Y$33),'2. GRI Pricing Inputs'!$X$32,IF(AND('3. GRI Pricing'!$F543&gt;='2. GRI Pricing Inputs'!$Z$33,'3. GRI Pricing'!$F543&lt;='2. GRI Pricing Inputs'!$AA$33),'2. GRI Pricing Inputs'!$Z$32,IF(AND('3. GRI Pricing'!$F543&gt;='2. GRI Pricing Inputs'!$AB$33,'3. GRI Pricing'!$F543&lt;='2. GRI Pricing Inputs'!$AC$33),'2. GRI Pricing Inputs'!$AB$32,IF(AND('3. GRI Pricing'!$F543&gt;='2. GRI Pricing Inputs'!$AD$33,'3. GRI Pricing'!$F543&lt;='2. GRI Pricing Inputs'!$AE$33),'2. GRI Pricing Inputs'!$AD$32,IF(AND('3. GRI Pricing'!$F543&gt;='2. GRI Pricing Inputs'!$AF$33,'3. GRI Pricing'!$F543&lt;='2. GRI Pricing Inputs'!$AG$33),'2. GRI Pricing Inputs'!$AF$32,IF(AND('3. GRI Pricing'!$F543&gt;='2. GRI Pricing Inputs'!$AH$33,'3. GRI Pricing'!$F543&lt;='2. GRI Pricing Inputs'!$AI$33),'2. GRI Pricing Inputs'!$AH$32,0))))))))))))))))</f>
        <v>0</v>
      </c>
      <c r="N543" s="273" cm="1">
        <f t="array" ref="N543">IFERROR(INDEX('2. GRI Pricing Inputs'!$C$32:$AI$39,MATCH('3. GRI Pricing'!D543,'2. GRI Pricing Inputs'!$C$32:$C$39,0),(MATCH('3. GRI Pricing'!M543,'2. GRI Pricing Inputs'!$D$32:$AI$32,0)+1)),0)</f>
        <v>0</v>
      </c>
      <c r="O543" s="273">
        <f>IFERROR(INDEX('2. GRI Pricing Inputs'!$C$45:$AI$46,MATCH($O$16,'2. GRI Pricing Inputs'!$C$45:$C$46,0),MATCH(G543,'2. GRI Pricing Inputs'!$C$45:$AI$45,0)),0)</f>
        <v>0</v>
      </c>
      <c r="P543" s="273">
        <f>IFERROR(INDEX('2. GRI Pricing Inputs'!$C$53:$AI$54,MATCH('3. GRI Pricing'!$P$16,'2. GRI Pricing Inputs'!$C$53:$C$54,0),MATCH('3. GRI Pricing'!H543,'2. GRI Pricing Inputs'!$C$53:$AI$53,0)),0)</f>
        <v>0</v>
      </c>
      <c r="Q543" s="273">
        <f>IFERROR(INDEX('2. GRI Pricing Inputs'!$C$60:$AI$61,MATCH('3. GRI Pricing'!$Q$16,'2. GRI Pricing Inputs'!$C$60:$C$61,0),MATCH('1. Accomodation'!T547,'2. GRI Pricing Inputs'!$C$60:$AI$60,0)),0)</f>
        <v>0</v>
      </c>
      <c r="R543" s="273">
        <f>IFERROR(INDEX('2. GRI Pricing Inputs'!$C$67:$AI$68,MATCH('3. GRI Pricing'!$R$16,'2. GRI Pricing Inputs'!$C$67:$C$68,0),MATCH('1. Accomodation'!U547,'2. GRI Pricing Inputs'!$C$67:$AI$67,0)),0)</f>
        <v>0</v>
      </c>
      <c r="S543" s="273">
        <f>IF(D543=0,0,'2. GRI Pricing Inputs'!$AI$75)</f>
        <v>0</v>
      </c>
      <c r="T543" s="273">
        <f>IFERROR(INDEX('2. GRI Pricing Inputs'!$C$82:$AI$83,MATCH('3. GRI Pricing'!$T$16,'2. GRI Pricing Inputs'!$C$82:$C$83,0),MATCH('1. Accomodation'!V547,'2. GRI Pricing Inputs'!$C$82:$AI$82,0)),0)</f>
        <v>0</v>
      </c>
      <c r="U543" s="273">
        <f>IFERROR(INDEX('2. GRI Pricing Inputs'!$C$89:$AI$90,MATCH('3. GRI Pricing'!$U$16,'2. GRI Pricing Inputs'!$C$89:$C$90,0),MATCH('1. Accomodation'!W547,'2. GRI Pricing Inputs'!$C$89:$AI$89,0)),0)</f>
        <v>0</v>
      </c>
      <c r="V543" s="273">
        <f>IFERROR(INDEX('2. GRI Pricing Inputs'!$C$97:$AI$98,MATCH('3. GRI Pricing'!$V$16,'2. GRI Pricing Inputs'!$C$97:$C$98,0),MATCH('1. Accomodation'!X547,'2. GRI Pricing Inputs'!$C$97:$AI$97,0)),0)</f>
        <v>0</v>
      </c>
      <c r="W543" s="273">
        <f>IFERROR(INDEX('2. GRI Pricing Inputs'!$C$104:$AI$105,MATCH('3. GRI Pricing'!$W$16,'2. GRI Pricing Inputs'!$C$104:$C$105,0),MATCH('1. Accomodation'!Y547,'2. GRI Pricing Inputs'!$C$104:$AI$104,0)),0)</f>
        <v>0</v>
      </c>
      <c r="X543" s="274"/>
      <c r="Y543" s="275">
        <f t="shared" si="15"/>
        <v>0</v>
      </c>
      <c r="Z543" s="276"/>
      <c r="AA543" s="276"/>
      <c r="AB543" s="276"/>
      <c r="AC543" s="272">
        <f>Y543*(1+'2. GRI Pricing Inputs'!$D$114)^(($AC$16-$AB$15)/365)</f>
        <v>0</v>
      </c>
      <c r="AD543" s="273">
        <f>AC543*(1+'2. GRI Pricing Inputs'!$D$114)^((AD$16-AC$16)/365)</f>
        <v>0</v>
      </c>
      <c r="AE543" s="273">
        <f>AD543*(1+'2. GRI Pricing Inputs'!$D$114)^((AE$16-AD$16)/365)</f>
        <v>0</v>
      </c>
      <c r="AF543" s="273">
        <f>AE543*(1+'2. GRI Pricing Inputs'!$D$114)^((AF$16-AE$16)/365)</f>
        <v>0</v>
      </c>
      <c r="AG543" s="273">
        <f>AF543*(1+'2. GRI Pricing Inputs'!$D$114)^((AG$16-AF$16)/365)</f>
        <v>0</v>
      </c>
      <c r="AH543" s="273">
        <f>AG543*(1+'2. GRI Pricing Inputs'!$D$114)^((AH$16-AG$16)/365)</f>
        <v>0</v>
      </c>
      <c r="AI543" s="273">
        <f>AH543*(1+'2. GRI Pricing Inputs'!$D$114)^((AI$16-AH$16)/365)</f>
        <v>0</v>
      </c>
      <c r="AJ543" s="273">
        <f>AI543*(1+'2. GRI Pricing Inputs'!$D$114)^((AJ$16-AI$16)/365)</f>
        <v>0</v>
      </c>
      <c r="AK543" s="273">
        <f>AJ543*(1+'2. GRI Pricing Inputs'!$D$114)^((AK$16-AJ$16)/365)</f>
        <v>0</v>
      </c>
      <c r="AL543" s="273">
        <f>AK543*(1+'2. GRI Pricing Inputs'!$D$114)^((AL$16-AK$16)/365)</f>
        <v>0</v>
      </c>
      <c r="AM543" s="273">
        <f>AL543*(1+'2. GRI Pricing Inputs'!$D$114)^((AM$16-AL$16)/365)</f>
        <v>0</v>
      </c>
      <c r="AN543" s="273">
        <f>AM543*(1+'2. GRI Pricing Inputs'!$D$114)^((AN$16-AM$16)/365)</f>
        <v>0</v>
      </c>
      <c r="AO543" s="273">
        <f>AN543*(1+'2. GRI Pricing Inputs'!$D$114)^((AO$16-AN$16)/365)</f>
        <v>0</v>
      </c>
    </row>
    <row r="544" spans="3:41" ht="12" x14ac:dyDescent="0.2">
      <c r="C544" s="76">
        <f>'1. Accomodation'!N548</f>
        <v>0</v>
      </c>
      <c r="D544" s="69">
        <f>'1. Accomodation'!P548</f>
        <v>0</v>
      </c>
      <c r="E544" s="69">
        <f>'1. Accomodation'!Q548</f>
        <v>0</v>
      </c>
      <c r="F544" s="77">
        <f>'1. Accomodation'!O548</f>
        <v>0</v>
      </c>
      <c r="G544" s="69">
        <f>'1. Accomodation'!R548</f>
        <v>0</v>
      </c>
      <c r="H544" s="69">
        <f>'1. Accomodation'!S548</f>
        <v>0</v>
      </c>
      <c r="I544" s="62"/>
      <c r="K544" s="272">
        <f>IFERROR(INDEX('2. GRI Pricing Inputs'!$C$15:$AI$16,MATCH($K$16,'2. GRI Pricing Inputs'!$C$15:$C$16,0),MATCH(D544,'2. GRI Pricing Inputs'!$C$15:$AI$15,0)),0)</f>
        <v>0</v>
      </c>
      <c r="L544" s="273">
        <f>IFERROR(INDEX('2. GRI Pricing Inputs'!$C$22:$AI$23,MATCH($L$16,'2. GRI Pricing Inputs'!$C$22:$C$23,0),MATCH(E544,'2. GRI Pricing Inputs'!$C$22:$AI$22,0)),0)</f>
        <v>0</v>
      </c>
      <c r="M544" s="328">
        <f>IF(AND('3. GRI Pricing'!$F544&gt;='2. GRI Pricing Inputs'!$D$33,'3. GRI Pricing'!$F544&lt;='2. GRI Pricing Inputs'!$E$33),'2. GRI Pricing Inputs'!$D$32,IF(AND('3. GRI Pricing'!$F544&gt;='2. GRI Pricing Inputs'!$F$33,'3. GRI Pricing'!$F544&lt;='2. GRI Pricing Inputs'!$G$33),'2. GRI Pricing Inputs'!$F$32,IF(AND('3. GRI Pricing'!$F544&gt;='2. GRI Pricing Inputs'!$H$33,'3. GRI Pricing'!$F544&lt;='2. GRI Pricing Inputs'!$I$33),'2. GRI Pricing Inputs'!$H$32,IF(AND('3. GRI Pricing'!$F544&gt;='2. GRI Pricing Inputs'!$J$33,'3. GRI Pricing'!$F544&lt;='2. GRI Pricing Inputs'!$K$33),'2. GRI Pricing Inputs'!$J$32,IF(AND('3. GRI Pricing'!$F544&gt;='2. GRI Pricing Inputs'!$L$33,'3. GRI Pricing'!$F544&lt;='2. GRI Pricing Inputs'!$M$33),'2. GRI Pricing Inputs'!$L$32,IF(AND('3. GRI Pricing'!$F544&gt;='2. GRI Pricing Inputs'!$N$33,'3. GRI Pricing'!$F544&lt;='2. GRI Pricing Inputs'!$O$33),'2. GRI Pricing Inputs'!$N$32,IF(AND('3. GRI Pricing'!$F544&gt;='2. GRI Pricing Inputs'!$P$33,'3. GRI Pricing'!$F544&lt;='2. GRI Pricing Inputs'!$Q$33),'2. GRI Pricing Inputs'!$P$32,IF(AND('3. GRI Pricing'!$F544&gt;='2. GRI Pricing Inputs'!$R$33,'3. GRI Pricing'!$F544&lt;='2. GRI Pricing Inputs'!$S$33),'2. GRI Pricing Inputs'!$R$32,IF(AND('3. GRI Pricing'!$F544&gt;='2. GRI Pricing Inputs'!$T$33,'3. GRI Pricing'!$F544&lt;='2. GRI Pricing Inputs'!$U$33),'2. GRI Pricing Inputs'!$T$32,IF(AND('3. GRI Pricing'!$F544&gt;='2. GRI Pricing Inputs'!$V$33,'3. GRI Pricing'!$F544&lt;='2. GRI Pricing Inputs'!$W$33),'2. GRI Pricing Inputs'!$V$32,IF(AND('3. GRI Pricing'!$F544&gt;='2. GRI Pricing Inputs'!$X$33,'3. GRI Pricing'!$F544&lt;='2. GRI Pricing Inputs'!$Y$33),'2. GRI Pricing Inputs'!$X$32,IF(AND('3. GRI Pricing'!$F544&gt;='2. GRI Pricing Inputs'!$Z$33,'3. GRI Pricing'!$F544&lt;='2. GRI Pricing Inputs'!$AA$33),'2. GRI Pricing Inputs'!$Z$32,IF(AND('3. GRI Pricing'!$F544&gt;='2. GRI Pricing Inputs'!$AB$33,'3. GRI Pricing'!$F544&lt;='2. GRI Pricing Inputs'!$AC$33),'2. GRI Pricing Inputs'!$AB$32,IF(AND('3. GRI Pricing'!$F544&gt;='2. GRI Pricing Inputs'!$AD$33,'3. GRI Pricing'!$F544&lt;='2. GRI Pricing Inputs'!$AE$33),'2. GRI Pricing Inputs'!$AD$32,IF(AND('3. GRI Pricing'!$F544&gt;='2. GRI Pricing Inputs'!$AF$33,'3. GRI Pricing'!$F544&lt;='2. GRI Pricing Inputs'!$AG$33),'2. GRI Pricing Inputs'!$AF$32,IF(AND('3. GRI Pricing'!$F544&gt;='2. GRI Pricing Inputs'!$AH$33,'3. GRI Pricing'!$F544&lt;='2. GRI Pricing Inputs'!$AI$33),'2. GRI Pricing Inputs'!$AH$32,0))))))))))))))))</f>
        <v>0</v>
      </c>
      <c r="N544" s="273" cm="1">
        <f t="array" ref="N544">IFERROR(INDEX('2. GRI Pricing Inputs'!$C$32:$AI$39,MATCH('3. GRI Pricing'!D544,'2. GRI Pricing Inputs'!$C$32:$C$39,0),(MATCH('3. GRI Pricing'!M544,'2. GRI Pricing Inputs'!$D$32:$AI$32,0)+1)),0)</f>
        <v>0</v>
      </c>
      <c r="O544" s="273">
        <f>IFERROR(INDEX('2. GRI Pricing Inputs'!$C$45:$AI$46,MATCH($O$16,'2. GRI Pricing Inputs'!$C$45:$C$46,0),MATCH(G544,'2. GRI Pricing Inputs'!$C$45:$AI$45,0)),0)</f>
        <v>0</v>
      </c>
      <c r="P544" s="273">
        <f>IFERROR(INDEX('2. GRI Pricing Inputs'!$C$53:$AI$54,MATCH('3. GRI Pricing'!$P$16,'2. GRI Pricing Inputs'!$C$53:$C$54,0),MATCH('3. GRI Pricing'!H544,'2. GRI Pricing Inputs'!$C$53:$AI$53,0)),0)</f>
        <v>0</v>
      </c>
      <c r="Q544" s="273">
        <f>IFERROR(INDEX('2. GRI Pricing Inputs'!$C$60:$AI$61,MATCH('3. GRI Pricing'!$Q$16,'2. GRI Pricing Inputs'!$C$60:$C$61,0),MATCH('1. Accomodation'!T548,'2. GRI Pricing Inputs'!$C$60:$AI$60,0)),0)</f>
        <v>0</v>
      </c>
      <c r="R544" s="273">
        <f>IFERROR(INDEX('2. GRI Pricing Inputs'!$C$67:$AI$68,MATCH('3. GRI Pricing'!$R$16,'2. GRI Pricing Inputs'!$C$67:$C$68,0),MATCH('1. Accomodation'!U548,'2. GRI Pricing Inputs'!$C$67:$AI$67,0)),0)</f>
        <v>0</v>
      </c>
      <c r="S544" s="273">
        <f>IF(D544=0,0,'2. GRI Pricing Inputs'!$AI$75)</f>
        <v>0</v>
      </c>
      <c r="T544" s="273">
        <f>IFERROR(INDEX('2. GRI Pricing Inputs'!$C$82:$AI$83,MATCH('3. GRI Pricing'!$T$16,'2. GRI Pricing Inputs'!$C$82:$C$83,0),MATCH('1. Accomodation'!V548,'2. GRI Pricing Inputs'!$C$82:$AI$82,0)),0)</f>
        <v>0</v>
      </c>
      <c r="U544" s="273">
        <f>IFERROR(INDEX('2. GRI Pricing Inputs'!$C$89:$AI$90,MATCH('3. GRI Pricing'!$U$16,'2. GRI Pricing Inputs'!$C$89:$C$90,0),MATCH('1. Accomodation'!W548,'2. GRI Pricing Inputs'!$C$89:$AI$89,0)),0)</f>
        <v>0</v>
      </c>
      <c r="V544" s="273">
        <f>IFERROR(INDEX('2. GRI Pricing Inputs'!$C$97:$AI$98,MATCH('3. GRI Pricing'!$V$16,'2. GRI Pricing Inputs'!$C$97:$C$98,0),MATCH('1. Accomodation'!X548,'2. GRI Pricing Inputs'!$C$97:$AI$97,0)),0)</f>
        <v>0</v>
      </c>
      <c r="W544" s="273">
        <f>IFERROR(INDEX('2. GRI Pricing Inputs'!$C$104:$AI$105,MATCH('3. GRI Pricing'!$W$16,'2. GRI Pricing Inputs'!$C$104:$C$105,0),MATCH('1. Accomodation'!Y548,'2. GRI Pricing Inputs'!$C$104:$AI$104,0)),0)</f>
        <v>0</v>
      </c>
      <c r="X544" s="274"/>
      <c r="Y544" s="275">
        <f t="shared" si="15"/>
        <v>0</v>
      </c>
      <c r="Z544" s="276"/>
      <c r="AA544" s="276"/>
      <c r="AB544" s="276"/>
      <c r="AC544" s="272">
        <f>Y544*(1+'2. GRI Pricing Inputs'!$D$114)^(($AC$16-$AB$15)/365)</f>
        <v>0</v>
      </c>
      <c r="AD544" s="273">
        <f>AC544*(1+'2. GRI Pricing Inputs'!$D$114)^((AD$16-AC$16)/365)</f>
        <v>0</v>
      </c>
      <c r="AE544" s="273">
        <f>AD544*(1+'2. GRI Pricing Inputs'!$D$114)^((AE$16-AD$16)/365)</f>
        <v>0</v>
      </c>
      <c r="AF544" s="273">
        <f>AE544*(1+'2. GRI Pricing Inputs'!$D$114)^((AF$16-AE$16)/365)</f>
        <v>0</v>
      </c>
      <c r="AG544" s="273">
        <f>AF544*(1+'2. GRI Pricing Inputs'!$D$114)^((AG$16-AF$16)/365)</f>
        <v>0</v>
      </c>
      <c r="AH544" s="273">
        <f>AG544*(1+'2. GRI Pricing Inputs'!$D$114)^((AH$16-AG$16)/365)</f>
        <v>0</v>
      </c>
      <c r="AI544" s="273">
        <f>AH544*(1+'2. GRI Pricing Inputs'!$D$114)^((AI$16-AH$16)/365)</f>
        <v>0</v>
      </c>
      <c r="AJ544" s="273">
        <f>AI544*(1+'2. GRI Pricing Inputs'!$D$114)^((AJ$16-AI$16)/365)</f>
        <v>0</v>
      </c>
      <c r="AK544" s="273">
        <f>AJ544*(1+'2. GRI Pricing Inputs'!$D$114)^((AK$16-AJ$16)/365)</f>
        <v>0</v>
      </c>
      <c r="AL544" s="273">
        <f>AK544*(1+'2. GRI Pricing Inputs'!$D$114)^((AL$16-AK$16)/365)</f>
        <v>0</v>
      </c>
      <c r="AM544" s="273">
        <f>AL544*(1+'2. GRI Pricing Inputs'!$D$114)^((AM$16-AL$16)/365)</f>
        <v>0</v>
      </c>
      <c r="AN544" s="273">
        <f>AM544*(1+'2. GRI Pricing Inputs'!$D$114)^((AN$16-AM$16)/365)</f>
        <v>0</v>
      </c>
      <c r="AO544" s="273">
        <f>AN544*(1+'2. GRI Pricing Inputs'!$D$114)^((AO$16-AN$16)/365)</f>
        <v>0</v>
      </c>
    </row>
    <row r="545" spans="3:41" ht="12" x14ac:dyDescent="0.2">
      <c r="C545" s="76">
        <f>'1. Accomodation'!N549</f>
        <v>0</v>
      </c>
      <c r="D545" s="69">
        <f>'1. Accomodation'!P549</f>
        <v>0</v>
      </c>
      <c r="E545" s="69">
        <f>'1. Accomodation'!Q549</f>
        <v>0</v>
      </c>
      <c r="F545" s="77">
        <f>'1. Accomodation'!O549</f>
        <v>0</v>
      </c>
      <c r="G545" s="69">
        <f>'1. Accomodation'!R549</f>
        <v>0</v>
      </c>
      <c r="H545" s="69">
        <f>'1. Accomodation'!S549</f>
        <v>0</v>
      </c>
      <c r="I545" s="62"/>
      <c r="K545" s="272">
        <f>IFERROR(INDEX('2. GRI Pricing Inputs'!$C$15:$AI$16,MATCH($K$16,'2. GRI Pricing Inputs'!$C$15:$C$16,0),MATCH(D545,'2. GRI Pricing Inputs'!$C$15:$AI$15,0)),0)</f>
        <v>0</v>
      </c>
      <c r="L545" s="273">
        <f>IFERROR(INDEX('2. GRI Pricing Inputs'!$C$22:$AI$23,MATCH($L$16,'2. GRI Pricing Inputs'!$C$22:$C$23,0),MATCH(E545,'2. GRI Pricing Inputs'!$C$22:$AI$22,0)),0)</f>
        <v>0</v>
      </c>
      <c r="M545" s="328">
        <f>IF(AND('3. GRI Pricing'!$F545&gt;='2. GRI Pricing Inputs'!$D$33,'3. GRI Pricing'!$F545&lt;='2. GRI Pricing Inputs'!$E$33),'2. GRI Pricing Inputs'!$D$32,IF(AND('3. GRI Pricing'!$F545&gt;='2. GRI Pricing Inputs'!$F$33,'3. GRI Pricing'!$F545&lt;='2. GRI Pricing Inputs'!$G$33),'2. GRI Pricing Inputs'!$F$32,IF(AND('3. GRI Pricing'!$F545&gt;='2. GRI Pricing Inputs'!$H$33,'3. GRI Pricing'!$F545&lt;='2. GRI Pricing Inputs'!$I$33),'2. GRI Pricing Inputs'!$H$32,IF(AND('3. GRI Pricing'!$F545&gt;='2. GRI Pricing Inputs'!$J$33,'3. GRI Pricing'!$F545&lt;='2. GRI Pricing Inputs'!$K$33),'2. GRI Pricing Inputs'!$J$32,IF(AND('3. GRI Pricing'!$F545&gt;='2. GRI Pricing Inputs'!$L$33,'3. GRI Pricing'!$F545&lt;='2. GRI Pricing Inputs'!$M$33),'2. GRI Pricing Inputs'!$L$32,IF(AND('3. GRI Pricing'!$F545&gt;='2. GRI Pricing Inputs'!$N$33,'3. GRI Pricing'!$F545&lt;='2. GRI Pricing Inputs'!$O$33),'2. GRI Pricing Inputs'!$N$32,IF(AND('3. GRI Pricing'!$F545&gt;='2. GRI Pricing Inputs'!$P$33,'3. GRI Pricing'!$F545&lt;='2. GRI Pricing Inputs'!$Q$33),'2. GRI Pricing Inputs'!$P$32,IF(AND('3. GRI Pricing'!$F545&gt;='2. GRI Pricing Inputs'!$R$33,'3. GRI Pricing'!$F545&lt;='2. GRI Pricing Inputs'!$S$33),'2. GRI Pricing Inputs'!$R$32,IF(AND('3. GRI Pricing'!$F545&gt;='2. GRI Pricing Inputs'!$T$33,'3. GRI Pricing'!$F545&lt;='2. GRI Pricing Inputs'!$U$33),'2. GRI Pricing Inputs'!$T$32,IF(AND('3. GRI Pricing'!$F545&gt;='2. GRI Pricing Inputs'!$V$33,'3. GRI Pricing'!$F545&lt;='2. GRI Pricing Inputs'!$W$33),'2. GRI Pricing Inputs'!$V$32,IF(AND('3. GRI Pricing'!$F545&gt;='2. GRI Pricing Inputs'!$X$33,'3. GRI Pricing'!$F545&lt;='2. GRI Pricing Inputs'!$Y$33),'2. GRI Pricing Inputs'!$X$32,IF(AND('3. GRI Pricing'!$F545&gt;='2. GRI Pricing Inputs'!$Z$33,'3. GRI Pricing'!$F545&lt;='2. GRI Pricing Inputs'!$AA$33),'2. GRI Pricing Inputs'!$Z$32,IF(AND('3. GRI Pricing'!$F545&gt;='2. GRI Pricing Inputs'!$AB$33,'3. GRI Pricing'!$F545&lt;='2. GRI Pricing Inputs'!$AC$33),'2. GRI Pricing Inputs'!$AB$32,IF(AND('3. GRI Pricing'!$F545&gt;='2. GRI Pricing Inputs'!$AD$33,'3. GRI Pricing'!$F545&lt;='2. GRI Pricing Inputs'!$AE$33),'2. GRI Pricing Inputs'!$AD$32,IF(AND('3. GRI Pricing'!$F545&gt;='2. GRI Pricing Inputs'!$AF$33,'3. GRI Pricing'!$F545&lt;='2. GRI Pricing Inputs'!$AG$33),'2. GRI Pricing Inputs'!$AF$32,IF(AND('3. GRI Pricing'!$F545&gt;='2. GRI Pricing Inputs'!$AH$33,'3. GRI Pricing'!$F545&lt;='2. GRI Pricing Inputs'!$AI$33),'2. GRI Pricing Inputs'!$AH$32,0))))))))))))))))</f>
        <v>0</v>
      </c>
      <c r="N545" s="273" cm="1">
        <f t="array" ref="N545">IFERROR(INDEX('2. GRI Pricing Inputs'!$C$32:$AI$39,MATCH('3. GRI Pricing'!D545,'2. GRI Pricing Inputs'!$C$32:$C$39,0),(MATCH('3. GRI Pricing'!M545,'2. GRI Pricing Inputs'!$D$32:$AI$32,0)+1)),0)</f>
        <v>0</v>
      </c>
      <c r="O545" s="273">
        <f>IFERROR(INDEX('2. GRI Pricing Inputs'!$C$45:$AI$46,MATCH($O$16,'2. GRI Pricing Inputs'!$C$45:$C$46,0),MATCH(G545,'2. GRI Pricing Inputs'!$C$45:$AI$45,0)),0)</f>
        <v>0</v>
      </c>
      <c r="P545" s="273">
        <f>IFERROR(INDEX('2. GRI Pricing Inputs'!$C$53:$AI$54,MATCH('3. GRI Pricing'!$P$16,'2. GRI Pricing Inputs'!$C$53:$C$54,0),MATCH('3. GRI Pricing'!H545,'2. GRI Pricing Inputs'!$C$53:$AI$53,0)),0)</f>
        <v>0</v>
      </c>
      <c r="Q545" s="273">
        <f>IFERROR(INDEX('2. GRI Pricing Inputs'!$C$60:$AI$61,MATCH('3. GRI Pricing'!$Q$16,'2. GRI Pricing Inputs'!$C$60:$C$61,0),MATCH('1. Accomodation'!T549,'2. GRI Pricing Inputs'!$C$60:$AI$60,0)),0)</f>
        <v>0</v>
      </c>
      <c r="R545" s="273">
        <f>IFERROR(INDEX('2. GRI Pricing Inputs'!$C$67:$AI$68,MATCH('3. GRI Pricing'!$R$16,'2. GRI Pricing Inputs'!$C$67:$C$68,0),MATCH('1. Accomodation'!U549,'2. GRI Pricing Inputs'!$C$67:$AI$67,0)),0)</f>
        <v>0</v>
      </c>
      <c r="S545" s="273">
        <f>IF(D545=0,0,'2. GRI Pricing Inputs'!$AI$75)</f>
        <v>0</v>
      </c>
      <c r="T545" s="273">
        <f>IFERROR(INDEX('2. GRI Pricing Inputs'!$C$82:$AI$83,MATCH('3. GRI Pricing'!$T$16,'2. GRI Pricing Inputs'!$C$82:$C$83,0),MATCH('1. Accomodation'!V549,'2. GRI Pricing Inputs'!$C$82:$AI$82,0)),0)</f>
        <v>0</v>
      </c>
      <c r="U545" s="273">
        <f>IFERROR(INDEX('2. GRI Pricing Inputs'!$C$89:$AI$90,MATCH('3. GRI Pricing'!$U$16,'2. GRI Pricing Inputs'!$C$89:$C$90,0),MATCH('1. Accomodation'!W549,'2. GRI Pricing Inputs'!$C$89:$AI$89,0)),0)</f>
        <v>0</v>
      </c>
      <c r="V545" s="273">
        <f>IFERROR(INDEX('2. GRI Pricing Inputs'!$C$97:$AI$98,MATCH('3. GRI Pricing'!$V$16,'2. GRI Pricing Inputs'!$C$97:$C$98,0),MATCH('1. Accomodation'!X549,'2. GRI Pricing Inputs'!$C$97:$AI$97,0)),0)</f>
        <v>0</v>
      </c>
      <c r="W545" s="273">
        <f>IFERROR(INDEX('2. GRI Pricing Inputs'!$C$104:$AI$105,MATCH('3. GRI Pricing'!$W$16,'2. GRI Pricing Inputs'!$C$104:$C$105,0),MATCH('1. Accomodation'!Y549,'2. GRI Pricing Inputs'!$C$104:$AI$104,0)),0)</f>
        <v>0</v>
      </c>
      <c r="X545" s="274"/>
      <c r="Y545" s="275">
        <f t="shared" si="15"/>
        <v>0</v>
      </c>
      <c r="Z545" s="276"/>
      <c r="AA545" s="276"/>
      <c r="AB545" s="276"/>
      <c r="AC545" s="272">
        <f>Y545*(1+'2. GRI Pricing Inputs'!$D$114)^(($AC$16-$AB$15)/365)</f>
        <v>0</v>
      </c>
      <c r="AD545" s="273">
        <f>AC545*(1+'2. GRI Pricing Inputs'!$D$114)^((AD$16-AC$16)/365)</f>
        <v>0</v>
      </c>
      <c r="AE545" s="273">
        <f>AD545*(1+'2. GRI Pricing Inputs'!$D$114)^((AE$16-AD$16)/365)</f>
        <v>0</v>
      </c>
      <c r="AF545" s="273">
        <f>AE545*(1+'2. GRI Pricing Inputs'!$D$114)^((AF$16-AE$16)/365)</f>
        <v>0</v>
      </c>
      <c r="AG545" s="273">
        <f>AF545*(1+'2. GRI Pricing Inputs'!$D$114)^((AG$16-AF$16)/365)</f>
        <v>0</v>
      </c>
      <c r="AH545" s="273">
        <f>AG545*(1+'2. GRI Pricing Inputs'!$D$114)^((AH$16-AG$16)/365)</f>
        <v>0</v>
      </c>
      <c r="AI545" s="273">
        <f>AH545*(1+'2. GRI Pricing Inputs'!$D$114)^((AI$16-AH$16)/365)</f>
        <v>0</v>
      </c>
      <c r="AJ545" s="273">
        <f>AI545*(1+'2. GRI Pricing Inputs'!$D$114)^((AJ$16-AI$16)/365)</f>
        <v>0</v>
      </c>
      <c r="AK545" s="273">
        <f>AJ545*(1+'2. GRI Pricing Inputs'!$D$114)^((AK$16-AJ$16)/365)</f>
        <v>0</v>
      </c>
      <c r="AL545" s="273">
        <f>AK545*(1+'2. GRI Pricing Inputs'!$D$114)^((AL$16-AK$16)/365)</f>
        <v>0</v>
      </c>
      <c r="AM545" s="273">
        <f>AL545*(1+'2. GRI Pricing Inputs'!$D$114)^((AM$16-AL$16)/365)</f>
        <v>0</v>
      </c>
      <c r="AN545" s="273">
        <f>AM545*(1+'2. GRI Pricing Inputs'!$D$114)^((AN$16-AM$16)/365)</f>
        <v>0</v>
      </c>
      <c r="AO545" s="273">
        <f>AN545*(1+'2. GRI Pricing Inputs'!$D$114)^((AO$16-AN$16)/365)</f>
        <v>0</v>
      </c>
    </row>
    <row r="546" spans="3:41" ht="12" x14ac:dyDescent="0.2">
      <c r="C546" s="76">
        <f>'1. Accomodation'!N550</f>
        <v>0</v>
      </c>
      <c r="D546" s="69">
        <f>'1. Accomodation'!P550</f>
        <v>0</v>
      </c>
      <c r="E546" s="69">
        <f>'1. Accomodation'!Q550</f>
        <v>0</v>
      </c>
      <c r="F546" s="77">
        <f>'1. Accomodation'!O550</f>
        <v>0</v>
      </c>
      <c r="G546" s="69">
        <f>'1. Accomodation'!R550</f>
        <v>0</v>
      </c>
      <c r="H546" s="69">
        <f>'1. Accomodation'!S550</f>
        <v>0</v>
      </c>
      <c r="I546" s="62"/>
      <c r="K546" s="272">
        <f>IFERROR(INDEX('2. GRI Pricing Inputs'!$C$15:$AI$16,MATCH($K$16,'2. GRI Pricing Inputs'!$C$15:$C$16,0),MATCH(D546,'2. GRI Pricing Inputs'!$C$15:$AI$15,0)),0)</f>
        <v>0</v>
      </c>
      <c r="L546" s="273">
        <f>IFERROR(INDEX('2. GRI Pricing Inputs'!$C$22:$AI$23,MATCH($L$16,'2. GRI Pricing Inputs'!$C$22:$C$23,0),MATCH(E546,'2. GRI Pricing Inputs'!$C$22:$AI$22,0)),0)</f>
        <v>0</v>
      </c>
      <c r="M546" s="328">
        <f>IF(AND('3. GRI Pricing'!$F546&gt;='2. GRI Pricing Inputs'!$D$33,'3. GRI Pricing'!$F546&lt;='2. GRI Pricing Inputs'!$E$33),'2. GRI Pricing Inputs'!$D$32,IF(AND('3. GRI Pricing'!$F546&gt;='2. GRI Pricing Inputs'!$F$33,'3. GRI Pricing'!$F546&lt;='2. GRI Pricing Inputs'!$G$33),'2. GRI Pricing Inputs'!$F$32,IF(AND('3. GRI Pricing'!$F546&gt;='2. GRI Pricing Inputs'!$H$33,'3. GRI Pricing'!$F546&lt;='2. GRI Pricing Inputs'!$I$33),'2. GRI Pricing Inputs'!$H$32,IF(AND('3. GRI Pricing'!$F546&gt;='2. GRI Pricing Inputs'!$J$33,'3. GRI Pricing'!$F546&lt;='2. GRI Pricing Inputs'!$K$33),'2. GRI Pricing Inputs'!$J$32,IF(AND('3. GRI Pricing'!$F546&gt;='2. GRI Pricing Inputs'!$L$33,'3. GRI Pricing'!$F546&lt;='2. GRI Pricing Inputs'!$M$33),'2. GRI Pricing Inputs'!$L$32,IF(AND('3. GRI Pricing'!$F546&gt;='2. GRI Pricing Inputs'!$N$33,'3. GRI Pricing'!$F546&lt;='2. GRI Pricing Inputs'!$O$33),'2. GRI Pricing Inputs'!$N$32,IF(AND('3. GRI Pricing'!$F546&gt;='2. GRI Pricing Inputs'!$P$33,'3. GRI Pricing'!$F546&lt;='2. GRI Pricing Inputs'!$Q$33),'2. GRI Pricing Inputs'!$P$32,IF(AND('3. GRI Pricing'!$F546&gt;='2. GRI Pricing Inputs'!$R$33,'3. GRI Pricing'!$F546&lt;='2. GRI Pricing Inputs'!$S$33),'2. GRI Pricing Inputs'!$R$32,IF(AND('3. GRI Pricing'!$F546&gt;='2. GRI Pricing Inputs'!$T$33,'3. GRI Pricing'!$F546&lt;='2. GRI Pricing Inputs'!$U$33),'2. GRI Pricing Inputs'!$T$32,IF(AND('3. GRI Pricing'!$F546&gt;='2. GRI Pricing Inputs'!$V$33,'3. GRI Pricing'!$F546&lt;='2. GRI Pricing Inputs'!$W$33),'2. GRI Pricing Inputs'!$V$32,IF(AND('3. GRI Pricing'!$F546&gt;='2. GRI Pricing Inputs'!$X$33,'3. GRI Pricing'!$F546&lt;='2. GRI Pricing Inputs'!$Y$33),'2. GRI Pricing Inputs'!$X$32,IF(AND('3. GRI Pricing'!$F546&gt;='2. GRI Pricing Inputs'!$Z$33,'3. GRI Pricing'!$F546&lt;='2. GRI Pricing Inputs'!$AA$33),'2. GRI Pricing Inputs'!$Z$32,IF(AND('3. GRI Pricing'!$F546&gt;='2. GRI Pricing Inputs'!$AB$33,'3. GRI Pricing'!$F546&lt;='2. GRI Pricing Inputs'!$AC$33),'2. GRI Pricing Inputs'!$AB$32,IF(AND('3. GRI Pricing'!$F546&gt;='2. GRI Pricing Inputs'!$AD$33,'3. GRI Pricing'!$F546&lt;='2. GRI Pricing Inputs'!$AE$33),'2. GRI Pricing Inputs'!$AD$32,IF(AND('3. GRI Pricing'!$F546&gt;='2. GRI Pricing Inputs'!$AF$33,'3. GRI Pricing'!$F546&lt;='2. GRI Pricing Inputs'!$AG$33),'2. GRI Pricing Inputs'!$AF$32,IF(AND('3. GRI Pricing'!$F546&gt;='2. GRI Pricing Inputs'!$AH$33,'3. GRI Pricing'!$F546&lt;='2. GRI Pricing Inputs'!$AI$33),'2. GRI Pricing Inputs'!$AH$32,0))))))))))))))))</f>
        <v>0</v>
      </c>
      <c r="N546" s="273" cm="1">
        <f t="array" ref="N546">IFERROR(INDEX('2. GRI Pricing Inputs'!$C$32:$AI$39,MATCH('3. GRI Pricing'!D546,'2. GRI Pricing Inputs'!$C$32:$C$39,0),(MATCH('3. GRI Pricing'!M546,'2. GRI Pricing Inputs'!$D$32:$AI$32,0)+1)),0)</f>
        <v>0</v>
      </c>
      <c r="O546" s="273">
        <f>IFERROR(INDEX('2. GRI Pricing Inputs'!$C$45:$AI$46,MATCH($O$16,'2. GRI Pricing Inputs'!$C$45:$C$46,0),MATCH(G546,'2. GRI Pricing Inputs'!$C$45:$AI$45,0)),0)</f>
        <v>0</v>
      </c>
      <c r="P546" s="273">
        <f>IFERROR(INDEX('2. GRI Pricing Inputs'!$C$53:$AI$54,MATCH('3. GRI Pricing'!$P$16,'2. GRI Pricing Inputs'!$C$53:$C$54,0),MATCH('3. GRI Pricing'!H546,'2. GRI Pricing Inputs'!$C$53:$AI$53,0)),0)</f>
        <v>0</v>
      </c>
      <c r="Q546" s="273">
        <f>IFERROR(INDEX('2. GRI Pricing Inputs'!$C$60:$AI$61,MATCH('3. GRI Pricing'!$Q$16,'2. GRI Pricing Inputs'!$C$60:$C$61,0),MATCH('1. Accomodation'!T550,'2. GRI Pricing Inputs'!$C$60:$AI$60,0)),0)</f>
        <v>0</v>
      </c>
      <c r="R546" s="273">
        <f>IFERROR(INDEX('2. GRI Pricing Inputs'!$C$67:$AI$68,MATCH('3. GRI Pricing'!$R$16,'2. GRI Pricing Inputs'!$C$67:$C$68,0),MATCH('1. Accomodation'!U550,'2. GRI Pricing Inputs'!$C$67:$AI$67,0)),0)</f>
        <v>0</v>
      </c>
      <c r="S546" s="273">
        <f>IF(D546=0,0,'2. GRI Pricing Inputs'!$AI$75)</f>
        <v>0</v>
      </c>
      <c r="T546" s="273">
        <f>IFERROR(INDEX('2. GRI Pricing Inputs'!$C$82:$AI$83,MATCH('3. GRI Pricing'!$T$16,'2. GRI Pricing Inputs'!$C$82:$C$83,0),MATCH('1. Accomodation'!V550,'2. GRI Pricing Inputs'!$C$82:$AI$82,0)),0)</f>
        <v>0</v>
      </c>
      <c r="U546" s="273">
        <f>IFERROR(INDEX('2. GRI Pricing Inputs'!$C$89:$AI$90,MATCH('3. GRI Pricing'!$U$16,'2. GRI Pricing Inputs'!$C$89:$C$90,0),MATCH('1. Accomodation'!W550,'2. GRI Pricing Inputs'!$C$89:$AI$89,0)),0)</f>
        <v>0</v>
      </c>
      <c r="V546" s="273">
        <f>IFERROR(INDEX('2. GRI Pricing Inputs'!$C$97:$AI$98,MATCH('3. GRI Pricing'!$V$16,'2. GRI Pricing Inputs'!$C$97:$C$98,0),MATCH('1. Accomodation'!X550,'2. GRI Pricing Inputs'!$C$97:$AI$97,0)),0)</f>
        <v>0</v>
      </c>
      <c r="W546" s="273">
        <f>IFERROR(INDEX('2. GRI Pricing Inputs'!$C$104:$AI$105,MATCH('3. GRI Pricing'!$W$16,'2. GRI Pricing Inputs'!$C$104:$C$105,0),MATCH('1. Accomodation'!Y550,'2. GRI Pricing Inputs'!$C$104:$AI$104,0)),0)</f>
        <v>0</v>
      </c>
      <c r="X546" s="274"/>
      <c r="Y546" s="275">
        <f t="shared" si="15"/>
        <v>0</v>
      </c>
      <c r="Z546" s="276"/>
      <c r="AA546" s="276"/>
      <c r="AB546" s="276"/>
      <c r="AC546" s="272">
        <f>Y546*(1+'2. GRI Pricing Inputs'!$D$114)^(($AC$16-$AB$15)/365)</f>
        <v>0</v>
      </c>
      <c r="AD546" s="273">
        <f>AC546*(1+'2. GRI Pricing Inputs'!$D$114)^((AD$16-AC$16)/365)</f>
        <v>0</v>
      </c>
      <c r="AE546" s="273">
        <f>AD546*(1+'2. GRI Pricing Inputs'!$D$114)^((AE$16-AD$16)/365)</f>
        <v>0</v>
      </c>
      <c r="AF546" s="273">
        <f>AE546*(1+'2. GRI Pricing Inputs'!$D$114)^((AF$16-AE$16)/365)</f>
        <v>0</v>
      </c>
      <c r="AG546" s="273">
        <f>AF546*(1+'2. GRI Pricing Inputs'!$D$114)^((AG$16-AF$16)/365)</f>
        <v>0</v>
      </c>
      <c r="AH546" s="273">
        <f>AG546*(1+'2. GRI Pricing Inputs'!$D$114)^((AH$16-AG$16)/365)</f>
        <v>0</v>
      </c>
      <c r="AI546" s="273">
        <f>AH546*(1+'2. GRI Pricing Inputs'!$D$114)^((AI$16-AH$16)/365)</f>
        <v>0</v>
      </c>
      <c r="AJ546" s="273">
        <f>AI546*(1+'2. GRI Pricing Inputs'!$D$114)^((AJ$16-AI$16)/365)</f>
        <v>0</v>
      </c>
      <c r="AK546" s="273">
        <f>AJ546*(1+'2. GRI Pricing Inputs'!$D$114)^((AK$16-AJ$16)/365)</f>
        <v>0</v>
      </c>
      <c r="AL546" s="273">
        <f>AK546*(1+'2. GRI Pricing Inputs'!$D$114)^((AL$16-AK$16)/365)</f>
        <v>0</v>
      </c>
      <c r="AM546" s="273">
        <f>AL546*(1+'2. GRI Pricing Inputs'!$D$114)^((AM$16-AL$16)/365)</f>
        <v>0</v>
      </c>
      <c r="AN546" s="273">
        <f>AM546*(1+'2. GRI Pricing Inputs'!$D$114)^((AN$16-AM$16)/365)</f>
        <v>0</v>
      </c>
      <c r="AO546" s="273">
        <f>AN546*(1+'2. GRI Pricing Inputs'!$D$114)^((AO$16-AN$16)/365)</f>
        <v>0</v>
      </c>
    </row>
    <row r="547" spans="3:41" ht="12" x14ac:dyDescent="0.2">
      <c r="C547" s="76">
        <f>'1. Accomodation'!N551</f>
        <v>0</v>
      </c>
      <c r="D547" s="69">
        <f>'1. Accomodation'!P551</f>
        <v>0</v>
      </c>
      <c r="E547" s="69">
        <f>'1. Accomodation'!Q551</f>
        <v>0</v>
      </c>
      <c r="F547" s="77">
        <f>'1. Accomodation'!O551</f>
        <v>0</v>
      </c>
      <c r="G547" s="69">
        <f>'1. Accomodation'!R551</f>
        <v>0</v>
      </c>
      <c r="H547" s="69">
        <f>'1. Accomodation'!S551</f>
        <v>0</v>
      </c>
      <c r="I547" s="62"/>
      <c r="K547" s="272">
        <f>IFERROR(INDEX('2. GRI Pricing Inputs'!$C$15:$AI$16,MATCH($K$16,'2. GRI Pricing Inputs'!$C$15:$C$16,0),MATCH(D547,'2. GRI Pricing Inputs'!$C$15:$AI$15,0)),0)</f>
        <v>0</v>
      </c>
      <c r="L547" s="273">
        <f>IFERROR(INDEX('2. GRI Pricing Inputs'!$C$22:$AI$23,MATCH($L$16,'2. GRI Pricing Inputs'!$C$22:$C$23,0),MATCH(E547,'2. GRI Pricing Inputs'!$C$22:$AI$22,0)),0)</f>
        <v>0</v>
      </c>
      <c r="M547" s="328">
        <f>IF(AND('3. GRI Pricing'!$F547&gt;='2. GRI Pricing Inputs'!$D$33,'3. GRI Pricing'!$F547&lt;='2. GRI Pricing Inputs'!$E$33),'2. GRI Pricing Inputs'!$D$32,IF(AND('3. GRI Pricing'!$F547&gt;='2. GRI Pricing Inputs'!$F$33,'3. GRI Pricing'!$F547&lt;='2. GRI Pricing Inputs'!$G$33),'2. GRI Pricing Inputs'!$F$32,IF(AND('3. GRI Pricing'!$F547&gt;='2. GRI Pricing Inputs'!$H$33,'3. GRI Pricing'!$F547&lt;='2. GRI Pricing Inputs'!$I$33),'2. GRI Pricing Inputs'!$H$32,IF(AND('3. GRI Pricing'!$F547&gt;='2. GRI Pricing Inputs'!$J$33,'3. GRI Pricing'!$F547&lt;='2. GRI Pricing Inputs'!$K$33),'2. GRI Pricing Inputs'!$J$32,IF(AND('3. GRI Pricing'!$F547&gt;='2. GRI Pricing Inputs'!$L$33,'3. GRI Pricing'!$F547&lt;='2. GRI Pricing Inputs'!$M$33),'2. GRI Pricing Inputs'!$L$32,IF(AND('3. GRI Pricing'!$F547&gt;='2. GRI Pricing Inputs'!$N$33,'3. GRI Pricing'!$F547&lt;='2. GRI Pricing Inputs'!$O$33),'2. GRI Pricing Inputs'!$N$32,IF(AND('3. GRI Pricing'!$F547&gt;='2. GRI Pricing Inputs'!$P$33,'3. GRI Pricing'!$F547&lt;='2. GRI Pricing Inputs'!$Q$33),'2. GRI Pricing Inputs'!$P$32,IF(AND('3. GRI Pricing'!$F547&gt;='2. GRI Pricing Inputs'!$R$33,'3. GRI Pricing'!$F547&lt;='2. GRI Pricing Inputs'!$S$33),'2. GRI Pricing Inputs'!$R$32,IF(AND('3. GRI Pricing'!$F547&gt;='2. GRI Pricing Inputs'!$T$33,'3. GRI Pricing'!$F547&lt;='2. GRI Pricing Inputs'!$U$33),'2. GRI Pricing Inputs'!$T$32,IF(AND('3. GRI Pricing'!$F547&gt;='2. GRI Pricing Inputs'!$V$33,'3. GRI Pricing'!$F547&lt;='2. GRI Pricing Inputs'!$W$33),'2. GRI Pricing Inputs'!$V$32,IF(AND('3. GRI Pricing'!$F547&gt;='2. GRI Pricing Inputs'!$X$33,'3. GRI Pricing'!$F547&lt;='2. GRI Pricing Inputs'!$Y$33),'2. GRI Pricing Inputs'!$X$32,IF(AND('3. GRI Pricing'!$F547&gt;='2. GRI Pricing Inputs'!$Z$33,'3. GRI Pricing'!$F547&lt;='2. GRI Pricing Inputs'!$AA$33),'2. GRI Pricing Inputs'!$Z$32,IF(AND('3. GRI Pricing'!$F547&gt;='2. GRI Pricing Inputs'!$AB$33,'3. GRI Pricing'!$F547&lt;='2. GRI Pricing Inputs'!$AC$33),'2. GRI Pricing Inputs'!$AB$32,IF(AND('3. GRI Pricing'!$F547&gt;='2. GRI Pricing Inputs'!$AD$33,'3. GRI Pricing'!$F547&lt;='2. GRI Pricing Inputs'!$AE$33),'2. GRI Pricing Inputs'!$AD$32,IF(AND('3. GRI Pricing'!$F547&gt;='2. GRI Pricing Inputs'!$AF$33,'3. GRI Pricing'!$F547&lt;='2. GRI Pricing Inputs'!$AG$33),'2. GRI Pricing Inputs'!$AF$32,IF(AND('3. GRI Pricing'!$F547&gt;='2. GRI Pricing Inputs'!$AH$33,'3. GRI Pricing'!$F547&lt;='2. GRI Pricing Inputs'!$AI$33),'2. GRI Pricing Inputs'!$AH$32,0))))))))))))))))</f>
        <v>0</v>
      </c>
      <c r="N547" s="273" cm="1">
        <f t="array" ref="N547">IFERROR(INDEX('2. GRI Pricing Inputs'!$C$32:$AI$39,MATCH('3. GRI Pricing'!D547,'2. GRI Pricing Inputs'!$C$32:$C$39,0),(MATCH('3. GRI Pricing'!M547,'2. GRI Pricing Inputs'!$D$32:$AI$32,0)+1)),0)</f>
        <v>0</v>
      </c>
      <c r="O547" s="273">
        <f>IFERROR(INDEX('2. GRI Pricing Inputs'!$C$45:$AI$46,MATCH($O$16,'2. GRI Pricing Inputs'!$C$45:$C$46,0),MATCH(G547,'2. GRI Pricing Inputs'!$C$45:$AI$45,0)),0)</f>
        <v>0</v>
      </c>
      <c r="P547" s="273">
        <f>IFERROR(INDEX('2. GRI Pricing Inputs'!$C$53:$AI$54,MATCH('3. GRI Pricing'!$P$16,'2. GRI Pricing Inputs'!$C$53:$C$54,0),MATCH('3. GRI Pricing'!H547,'2. GRI Pricing Inputs'!$C$53:$AI$53,0)),0)</f>
        <v>0</v>
      </c>
      <c r="Q547" s="273">
        <f>IFERROR(INDEX('2. GRI Pricing Inputs'!$C$60:$AI$61,MATCH('3. GRI Pricing'!$Q$16,'2. GRI Pricing Inputs'!$C$60:$C$61,0),MATCH('1. Accomodation'!T551,'2. GRI Pricing Inputs'!$C$60:$AI$60,0)),0)</f>
        <v>0</v>
      </c>
      <c r="R547" s="273">
        <f>IFERROR(INDEX('2. GRI Pricing Inputs'!$C$67:$AI$68,MATCH('3. GRI Pricing'!$R$16,'2. GRI Pricing Inputs'!$C$67:$C$68,0),MATCH('1. Accomodation'!U551,'2. GRI Pricing Inputs'!$C$67:$AI$67,0)),0)</f>
        <v>0</v>
      </c>
      <c r="S547" s="273">
        <f>IF(D547=0,0,'2. GRI Pricing Inputs'!$AI$75)</f>
        <v>0</v>
      </c>
      <c r="T547" s="273">
        <f>IFERROR(INDEX('2. GRI Pricing Inputs'!$C$82:$AI$83,MATCH('3. GRI Pricing'!$T$16,'2. GRI Pricing Inputs'!$C$82:$C$83,0),MATCH('1. Accomodation'!V551,'2. GRI Pricing Inputs'!$C$82:$AI$82,0)),0)</f>
        <v>0</v>
      </c>
      <c r="U547" s="273">
        <f>IFERROR(INDEX('2. GRI Pricing Inputs'!$C$89:$AI$90,MATCH('3. GRI Pricing'!$U$16,'2. GRI Pricing Inputs'!$C$89:$C$90,0),MATCH('1. Accomodation'!W551,'2. GRI Pricing Inputs'!$C$89:$AI$89,0)),0)</f>
        <v>0</v>
      </c>
      <c r="V547" s="273">
        <f>IFERROR(INDEX('2. GRI Pricing Inputs'!$C$97:$AI$98,MATCH('3. GRI Pricing'!$V$16,'2. GRI Pricing Inputs'!$C$97:$C$98,0),MATCH('1. Accomodation'!X551,'2. GRI Pricing Inputs'!$C$97:$AI$97,0)),0)</f>
        <v>0</v>
      </c>
      <c r="W547" s="273">
        <f>IFERROR(INDEX('2. GRI Pricing Inputs'!$C$104:$AI$105,MATCH('3. GRI Pricing'!$W$16,'2. GRI Pricing Inputs'!$C$104:$C$105,0),MATCH('1. Accomodation'!Y551,'2. GRI Pricing Inputs'!$C$104:$AI$104,0)),0)</f>
        <v>0</v>
      </c>
      <c r="X547" s="274"/>
      <c r="Y547" s="275">
        <f t="shared" si="15"/>
        <v>0</v>
      </c>
      <c r="Z547" s="276"/>
      <c r="AA547" s="276"/>
      <c r="AB547" s="276"/>
      <c r="AC547" s="272">
        <f>Y547*(1+'2. GRI Pricing Inputs'!$D$114)^(($AC$16-$AB$15)/365)</f>
        <v>0</v>
      </c>
      <c r="AD547" s="273">
        <f>AC547*(1+'2. GRI Pricing Inputs'!$D$114)^((AD$16-AC$16)/365)</f>
        <v>0</v>
      </c>
      <c r="AE547" s="273">
        <f>AD547*(1+'2. GRI Pricing Inputs'!$D$114)^((AE$16-AD$16)/365)</f>
        <v>0</v>
      </c>
      <c r="AF547" s="273">
        <f>AE547*(1+'2. GRI Pricing Inputs'!$D$114)^((AF$16-AE$16)/365)</f>
        <v>0</v>
      </c>
      <c r="AG547" s="273">
        <f>AF547*(1+'2. GRI Pricing Inputs'!$D$114)^((AG$16-AF$16)/365)</f>
        <v>0</v>
      </c>
      <c r="AH547" s="273">
        <f>AG547*(1+'2. GRI Pricing Inputs'!$D$114)^((AH$16-AG$16)/365)</f>
        <v>0</v>
      </c>
      <c r="AI547" s="273">
        <f>AH547*(1+'2. GRI Pricing Inputs'!$D$114)^((AI$16-AH$16)/365)</f>
        <v>0</v>
      </c>
      <c r="AJ547" s="273">
        <f>AI547*(1+'2. GRI Pricing Inputs'!$D$114)^((AJ$16-AI$16)/365)</f>
        <v>0</v>
      </c>
      <c r="AK547" s="273">
        <f>AJ547*(1+'2. GRI Pricing Inputs'!$D$114)^((AK$16-AJ$16)/365)</f>
        <v>0</v>
      </c>
      <c r="AL547" s="273">
        <f>AK547*(1+'2. GRI Pricing Inputs'!$D$114)^((AL$16-AK$16)/365)</f>
        <v>0</v>
      </c>
      <c r="AM547" s="273">
        <f>AL547*(1+'2. GRI Pricing Inputs'!$D$114)^((AM$16-AL$16)/365)</f>
        <v>0</v>
      </c>
      <c r="AN547" s="273">
        <f>AM547*(1+'2. GRI Pricing Inputs'!$D$114)^((AN$16-AM$16)/365)</f>
        <v>0</v>
      </c>
      <c r="AO547" s="273">
        <f>AN547*(1+'2. GRI Pricing Inputs'!$D$114)^((AO$16-AN$16)/365)</f>
        <v>0</v>
      </c>
    </row>
    <row r="548" spans="3:41" ht="12" x14ac:dyDescent="0.2">
      <c r="C548" s="76">
        <f>'1. Accomodation'!N552</f>
        <v>0</v>
      </c>
      <c r="D548" s="69">
        <f>'1. Accomodation'!P552</f>
        <v>0</v>
      </c>
      <c r="E548" s="69">
        <f>'1. Accomodation'!Q552</f>
        <v>0</v>
      </c>
      <c r="F548" s="77">
        <f>'1. Accomodation'!O552</f>
        <v>0</v>
      </c>
      <c r="G548" s="69">
        <f>'1. Accomodation'!R552</f>
        <v>0</v>
      </c>
      <c r="H548" s="69">
        <f>'1. Accomodation'!S552</f>
        <v>0</v>
      </c>
      <c r="I548" s="62"/>
      <c r="K548" s="272">
        <f>IFERROR(INDEX('2. GRI Pricing Inputs'!$C$15:$AI$16,MATCH($K$16,'2. GRI Pricing Inputs'!$C$15:$C$16,0),MATCH(D548,'2. GRI Pricing Inputs'!$C$15:$AI$15,0)),0)</f>
        <v>0</v>
      </c>
      <c r="L548" s="273">
        <f>IFERROR(INDEX('2. GRI Pricing Inputs'!$C$22:$AI$23,MATCH($L$16,'2. GRI Pricing Inputs'!$C$22:$C$23,0),MATCH(E548,'2. GRI Pricing Inputs'!$C$22:$AI$22,0)),0)</f>
        <v>0</v>
      </c>
      <c r="M548" s="328">
        <f>IF(AND('3. GRI Pricing'!$F548&gt;='2. GRI Pricing Inputs'!$D$33,'3. GRI Pricing'!$F548&lt;='2. GRI Pricing Inputs'!$E$33),'2. GRI Pricing Inputs'!$D$32,IF(AND('3. GRI Pricing'!$F548&gt;='2. GRI Pricing Inputs'!$F$33,'3. GRI Pricing'!$F548&lt;='2. GRI Pricing Inputs'!$G$33),'2. GRI Pricing Inputs'!$F$32,IF(AND('3. GRI Pricing'!$F548&gt;='2. GRI Pricing Inputs'!$H$33,'3. GRI Pricing'!$F548&lt;='2. GRI Pricing Inputs'!$I$33),'2. GRI Pricing Inputs'!$H$32,IF(AND('3. GRI Pricing'!$F548&gt;='2. GRI Pricing Inputs'!$J$33,'3. GRI Pricing'!$F548&lt;='2. GRI Pricing Inputs'!$K$33),'2. GRI Pricing Inputs'!$J$32,IF(AND('3. GRI Pricing'!$F548&gt;='2. GRI Pricing Inputs'!$L$33,'3. GRI Pricing'!$F548&lt;='2. GRI Pricing Inputs'!$M$33),'2. GRI Pricing Inputs'!$L$32,IF(AND('3. GRI Pricing'!$F548&gt;='2. GRI Pricing Inputs'!$N$33,'3. GRI Pricing'!$F548&lt;='2. GRI Pricing Inputs'!$O$33),'2. GRI Pricing Inputs'!$N$32,IF(AND('3. GRI Pricing'!$F548&gt;='2. GRI Pricing Inputs'!$P$33,'3. GRI Pricing'!$F548&lt;='2. GRI Pricing Inputs'!$Q$33),'2. GRI Pricing Inputs'!$P$32,IF(AND('3. GRI Pricing'!$F548&gt;='2. GRI Pricing Inputs'!$R$33,'3. GRI Pricing'!$F548&lt;='2. GRI Pricing Inputs'!$S$33),'2. GRI Pricing Inputs'!$R$32,IF(AND('3. GRI Pricing'!$F548&gt;='2. GRI Pricing Inputs'!$T$33,'3. GRI Pricing'!$F548&lt;='2. GRI Pricing Inputs'!$U$33),'2. GRI Pricing Inputs'!$T$32,IF(AND('3. GRI Pricing'!$F548&gt;='2. GRI Pricing Inputs'!$V$33,'3. GRI Pricing'!$F548&lt;='2. GRI Pricing Inputs'!$W$33),'2. GRI Pricing Inputs'!$V$32,IF(AND('3. GRI Pricing'!$F548&gt;='2. GRI Pricing Inputs'!$X$33,'3. GRI Pricing'!$F548&lt;='2. GRI Pricing Inputs'!$Y$33),'2. GRI Pricing Inputs'!$X$32,IF(AND('3. GRI Pricing'!$F548&gt;='2. GRI Pricing Inputs'!$Z$33,'3. GRI Pricing'!$F548&lt;='2. GRI Pricing Inputs'!$AA$33),'2. GRI Pricing Inputs'!$Z$32,IF(AND('3. GRI Pricing'!$F548&gt;='2. GRI Pricing Inputs'!$AB$33,'3. GRI Pricing'!$F548&lt;='2. GRI Pricing Inputs'!$AC$33),'2. GRI Pricing Inputs'!$AB$32,IF(AND('3. GRI Pricing'!$F548&gt;='2. GRI Pricing Inputs'!$AD$33,'3. GRI Pricing'!$F548&lt;='2. GRI Pricing Inputs'!$AE$33),'2. GRI Pricing Inputs'!$AD$32,IF(AND('3. GRI Pricing'!$F548&gt;='2. GRI Pricing Inputs'!$AF$33,'3. GRI Pricing'!$F548&lt;='2. GRI Pricing Inputs'!$AG$33),'2. GRI Pricing Inputs'!$AF$32,IF(AND('3. GRI Pricing'!$F548&gt;='2. GRI Pricing Inputs'!$AH$33,'3. GRI Pricing'!$F548&lt;='2. GRI Pricing Inputs'!$AI$33),'2. GRI Pricing Inputs'!$AH$32,0))))))))))))))))</f>
        <v>0</v>
      </c>
      <c r="N548" s="273" cm="1">
        <f t="array" ref="N548">IFERROR(INDEX('2. GRI Pricing Inputs'!$C$32:$AI$39,MATCH('3. GRI Pricing'!D548,'2. GRI Pricing Inputs'!$C$32:$C$39,0),(MATCH('3. GRI Pricing'!M548,'2. GRI Pricing Inputs'!$D$32:$AI$32,0)+1)),0)</f>
        <v>0</v>
      </c>
      <c r="O548" s="273">
        <f>IFERROR(INDEX('2. GRI Pricing Inputs'!$C$45:$AI$46,MATCH($O$16,'2. GRI Pricing Inputs'!$C$45:$C$46,0),MATCH(G548,'2. GRI Pricing Inputs'!$C$45:$AI$45,0)),0)</f>
        <v>0</v>
      </c>
      <c r="P548" s="273">
        <f>IFERROR(INDEX('2. GRI Pricing Inputs'!$C$53:$AI$54,MATCH('3. GRI Pricing'!$P$16,'2. GRI Pricing Inputs'!$C$53:$C$54,0),MATCH('3. GRI Pricing'!H548,'2. GRI Pricing Inputs'!$C$53:$AI$53,0)),0)</f>
        <v>0</v>
      </c>
      <c r="Q548" s="273">
        <f>IFERROR(INDEX('2. GRI Pricing Inputs'!$C$60:$AI$61,MATCH('3. GRI Pricing'!$Q$16,'2. GRI Pricing Inputs'!$C$60:$C$61,0),MATCH('1. Accomodation'!T552,'2. GRI Pricing Inputs'!$C$60:$AI$60,0)),0)</f>
        <v>0</v>
      </c>
      <c r="R548" s="273">
        <f>IFERROR(INDEX('2. GRI Pricing Inputs'!$C$67:$AI$68,MATCH('3. GRI Pricing'!$R$16,'2. GRI Pricing Inputs'!$C$67:$C$68,0),MATCH('1. Accomodation'!U552,'2. GRI Pricing Inputs'!$C$67:$AI$67,0)),0)</f>
        <v>0</v>
      </c>
      <c r="S548" s="273">
        <f>IF(D548=0,0,'2. GRI Pricing Inputs'!$AI$75)</f>
        <v>0</v>
      </c>
      <c r="T548" s="273">
        <f>IFERROR(INDEX('2. GRI Pricing Inputs'!$C$82:$AI$83,MATCH('3. GRI Pricing'!$T$16,'2. GRI Pricing Inputs'!$C$82:$C$83,0),MATCH('1. Accomodation'!V552,'2. GRI Pricing Inputs'!$C$82:$AI$82,0)),0)</f>
        <v>0</v>
      </c>
      <c r="U548" s="273">
        <f>IFERROR(INDEX('2. GRI Pricing Inputs'!$C$89:$AI$90,MATCH('3. GRI Pricing'!$U$16,'2. GRI Pricing Inputs'!$C$89:$C$90,0),MATCH('1. Accomodation'!W552,'2. GRI Pricing Inputs'!$C$89:$AI$89,0)),0)</f>
        <v>0</v>
      </c>
      <c r="V548" s="273">
        <f>IFERROR(INDEX('2. GRI Pricing Inputs'!$C$97:$AI$98,MATCH('3. GRI Pricing'!$V$16,'2. GRI Pricing Inputs'!$C$97:$C$98,0),MATCH('1. Accomodation'!X552,'2. GRI Pricing Inputs'!$C$97:$AI$97,0)),0)</f>
        <v>0</v>
      </c>
      <c r="W548" s="273">
        <f>IFERROR(INDEX('2. GRI Pricing Inputs'!$C$104:$AI$105,MATCH('3. GRI Pricing'!$W$16,'2. GRI Pricing Inputs'!$C$104:$C$105,0),MATCH('1. Accomodation'!Y552,'2. GRI Pricing Inputs'!$C$104:$AI$104,0)),0)</f>
        <v>0</v>
      </c>
      <c r="X548" s="274"/>
      <c r="Y548" s="275">
        <f t="shared" si="15"/>
        <v>0</v>
      </c>
      <c r="Z548" s="276"/>
      <c r="AA548" s="276"/>
      <c r="AB548" s="276"/>
      <c r="AC548" s="272">
        <f>Y548*(1+'2. GRI Pricing Inputs'!$D$114)^(($AC$16-$AB$15)/365)</f>
        <v>0</v>
      </c>
      <c r="AD548" s="273">
        <f>AC548*(1+'2. GRI Pricing Inputs'!$D$114)^((AD$16-AC$16)/365)</f>
        <v>0</v>
      </c>
      <c r="AE548" s="273">
        <f>AD548*(1+'2. GRI Pricing Inputs'!$D$114)^((AE$16-AD$16)/365)</f>
        <v>0</v>
      </c>
      <c r="AF548" s="273">
        <f>AE548*(1+'2. GRI Pricing Inputs'!$D$114)^((AF$16-AE$16)/365)</f>
        <v>0</v>
      </c>
      <c r="AG548" s="273">
        <f>AF548*(1+'2. GRI Pricing Inputs'!$D$114)^((AG$16-AF$16)/365)</f>
        <v>0</v>
      </c>
      <c r="AH548" s="273">
        <f>AG548*(1+'2. GRI Pricing Inputs'!$D$114)^((AH$16-AG$16)/365)</f>
        <v>0</v>
      </c>
      <c r="AI548" s="273">
        <f>AH548*(1+'2. GRI Pricing Inputs'!$D$114)^((AI$16-AH$16)/365)</f>
        <v>0</v>
      </c>
      <c r="AJ548" s="273">
        <f>AI548*(1+'2. GRI Pricing Inputs'!$D$114)^((AJ$16-AI$16)/365)</f>
        <v>0</v>
      </c>
      <c r="AK548" s="273">
        <f>AJ548*(1+'2. GRI Pricing Inputs'!$D$114)^((AK$16-AJ$16)/365)</f>
        <v>0</v>
      </c>
      <c r="AL548" s="273">
        <f>AK548*(1+'2. GRI Pricing Inputs'!$D$114)^((AL$16-AK$16)/365)</f>
        <v>0</v>
      </c>
      <c r="AM548" s="273">
        <f>AL548*(1+'2. GRI Pricing Inputs'!$D$114)^((AM$16-AL$16)/365)</f>
        <v>0</v>
      </c>
      <c r="AN548" s="273">
        <f>AM548*(1+'2. GRI Pricing Inputs'!$D$114)^((AN$16-AM$16)/365)</f>
        <v>0</v>
      </c>
      <c r="AO548" s="273">
        <f>AN548*(1+'2. GRI Pricing Inputs'!$D$114)^((AO$16-AN$16)/365)</f>
        <v>0</v>
      </c>
    </row>
    <row r="549" spans="3:41" ht="12" x14ac:dyDescent="0.2">
      <c r="C549" s="76">
        <f>'1. Accomodation'!N553</f>
        <v>0</v>
      </c>
      <c r="D549" s="69">
        <f>'1. Accomodation'!P553</f>
        <v>0</v>
      </c>
      <c r="E549" s="69">
        <f>'1. Accomodation'!Q553</f>
        <v>0</v>
      </c>
      <c r="F549" s="77">
        <f>'1. Accomodation'!O553</f>
        <v>0</v>
      </c>
      <c r="G549" s="69">
        <f>'1. Accomodation'!R553</f>
        <v>0</v>
      </c>
      <c r="H549" s="69">
        <f>'1. Accomodation'!S553</f>
        <v>0</v>
      </c>
      <c r="I549" s="62"/>
      <c r="K549" s="272">
        <f>IFERROR(INDEX('2. GRI Pricing Inputs'!$C$15:$AI$16,MATCH($K$16,'2. GRI Pricing Inputs'!$C$15:$C$16,0),MATCH(D549,'2. GRI Pricing Inputs'!$C$15:$AI$15,0)),0)</f>
        <v>0</v>
      </c>
      <c r="L549" s="273">
        <f>IFERROR(INDEX('2. GRI Pricing Inputs'!$C$22:$AI$23,MATCH($L$16,'2. GRI Pricing Inputs'!$C$22:$C$23,0),MATCH(E549,'2. GRI Pricing Inputs'!$C$22:$AI$22,0)),0)</f>
        <v>0</v>
      </c>
      <c r="M549" s="328">
        <f>IF(AND('3. GRI Pricing'!$F549&gt;='2. GRI Pricing Inputs'!$D$33,'3. GRI Pricing'!$F549&lt;='2. GRI Pricing Inputs'!$E$33),'2. GRI Pricing Inputs'!$D$32,IF(AND('3. GRI Pricing'!$F549&gt;='2. GRI Pricing Inputs'!$F$33,'3. GRI Pricing'!$F549&lt;='2. GRI Pricing Inputs'!$G$33),'2. GRI Pricing Inputs'!$F$32,IF(AND('3. GRI Pricing'!$F549&gt;='2. GRI Pricing Inputs'!$H$33,'3. GRI Pricing'!$F549&lt;='2. GRI Pricing Inputs'!$I$33),'2. GRI Pricing Inputs'!$H$32,IF(AND('3. GRI Pricing'!$F549&gt;='2. GRI Pricing Inputs'!$J$33,'3. GRI Pricing'!$F549&lt;='2. GRI Pricing Inputs'!$K$33),'2. GRI Pricing Inputs'!$J$32,IF(AND('3. GRI Pricing'!$F549&gt;='2. GRI Pricing Inputs'!$L$33,'3. GRI Pricing'!$F549&lt;='2. GRI Pricing Inputs'!$M$33),'2. GRI Pricing Inputs'!$L$32,IF(AND('3. GRI Pricing'!$F549&gt;='2. GRI Pricing Inputs'!$N$33,'3. GRI Pricing'!$F549&lt;='2. GRI Pricing Inputs'!$O$33),'2. GRI Pricing Inputs'!$N$32,IF(AND('3. GRI Pricing'!$F549&gt;='2. GRI Pricing Inputs'!$P$33,'3. GRI Pricing'!$F549&lt;='2. GRI Pricing Inputs'!$Q$33),'2. GRI Pricing Inputs'!$P$32,IF(AND('3. GRI Pricing'!$F549&gt;='2. GRI Pricing Inputs'!$R$33,'3. GRI Pricing'!$F549&lt;='2. GRI Pricing Inputs'!$S$33),'2. GRI Pricing Inputs'!$R$32,IF(AND('3. GRI Pricing'!$F549&gt;='2. GRI Pricing Inputs'!$T$33,'3. GRI Pricing'!$F549&lt;='2. GRI Pricing Inputs'!$U$33),'2. GRI Pricing Inputs'!$T$32,IF(AND('3. GRI Pricing'!$F549&gt;='2. GRI Pricing Inputs'!$V$33,'3. GRI Pricing'!$F549&lt;='2. GRI Pricing Inputs'!$W$33),'2. GRI Pricing Inputs'!$V$32,IF(AND('3. GRI Pricing'!$F549&gt;='2. GRI Pricing Inputs'!$X$33,'3. GRI Pricing'!$F549&lt;='2. GRI Pricing Inputs'!$Y$33),'2. GRI Pricing Inputs'!$X$32,IF(AND('3. GRI Pricing'!$F549&gt;='2. GRI Pricing Inputs'!$Z$33,'3. GRI Pricing'!$F549&lt;='2. GRI Pricing Inputs'!$AA$33),'2. GRI Pricing Inputs'!$Z$32,IF(AND('3. GRI Pricing'!$F549&gt;='2. GRI Pricing Inputs'!$AB$33,'3. GRI Pricing'!$F549&lt;='2. GRI Pricing Inputs'!$AC$33),'2. GRI Pricing Inputs'!$AB$32,IF(AND('3. GRI Pricing'!$F549&gt;='2. GRI Pricing Inputs'!$AD$33,'3. GRI Pricing'!$F549&lt;='2. GRI Pricing Inputs'!$AE$33),'2. GRI Pricing Inputs'!$AD$32,IF(AND('3. GRI Pricing'!$F549&gt;='2. GRI Pricing Inputs'!$AF$33,'3. GRI Pricing'!$F549&lt;='2. GRI Pricing Inputs'!$AG$33),'2. GRI Pricing Inputs'!$AF$32,IF(AND('3. GRI Pricing'!$F549&gt;='2. GRI Pricing Inputs'!$AH$33,'3. GRI Pricing'!$F549&lt;='2. GRI Pricing Inputs'!$AI$33),'2. GRI Pricing Inputs'!$AH$32,0))))))))))))))))</f>
        <v>0</v>
      </c>
      <c r="N549" s="273" cm="1">
        <f t="array" ref="N549">IFERROR(INDEX('2. GRI Pricing Inputs'!$C$32:$AI$39,MATCH('3. GRI Pricing'!D549,'2. GRI Pricing Inputs'!$C$32:$C$39,0),(MATCH('3. GRI Pricing'!M549,'2. GRI Pricing Inputs'!$D$32:$AI$32,0)+1)),0)</f>
        <v>0</v>
      </c>
      <c r="O549" s="273">
        <f>IFERROR(INDEX('2. GRI Pricing Inputs'!$C$45:$AI$46,MATCH($O$16,'2. GRI Pricing Inputs'!$C$45:$C$46,0),MATCH(G549,'2. GRI Pricing Inputs'!$C$45:$AI$45,0)),0)</f>
        <v>0</v>
      </c>
      <c r="P549" s="273">
        <f>IFERROR(INDEX('2. GRI Pricing Inputs'!$C$53:$AI$54,MATCH('3. GRI Pricing'!$P$16,'2. GRI Pricing Inputs'!$C$53:$C$54,0),MATCH('3. GRI Pricing'!H549,'2. GRI Pricing Inputs'!$C$53:$AI$53,0)),0)</f>
        <v>0</v>
      </c>
      <c r="Q549" s="273">
        <f>IFERROR(INDEX('2. GRI Pricing Inputs'!$C$60:$AI$61,MATCH('3. GRI Pricing'!$Q$16,'2. GRI Pricing Inputs'!$C$60:$C$61,0),MATCH('1. Accomodation'!T553,'2. GRI Pricing Inputs'!$C$60:$AI$60,0)),0)</f>
        <v>0</v>
      </c>
      <c r="R549" s="273">
        <f>IFERROR(INDEX('2. GRI Pricing Inputs'!$C$67:$AI$68,MATCH('3. GRI Pricing'!$R$16,'2. GRI Pricing Inputs'!$C$67:$C$68,0),MATCH('1. Accomodation'!U553,'2. GRI Pricing Inputs'!$C$67:$AI$67,0)),0)</f>
        <v>0</v>
      </c>
      <c r="S549" s="273">
        <f>IF(D549=0,0,'2. GRI Pricing Inputs'!$AI$75)</f>
        <v>0</v>
      </c>
      <c r="T549" s="273">
        <f>IFERROR(INDEX('2. GRI Pricing Inputs'!$C$82:$AI$83,MATCH('3. GRI Pricing'!$T$16,'2. GRI Pricing Inputs'!$C$82:$C$83,0),MATCH('1. Accomodation'!V553,'2. GRI Pricing Inputs'!$C$82:$AI$82,0)),0)</f>
        <v>0</v>
      </c>
      <c r="U549" s="273">
        <f>IFERROR(INDEX('2. GRI Pricing Inputs'!$C$89:$AI$90,MATCH('3. GRI Pricing'!$U$16,'2. GRI Pricing Inputs'!$C$89:$C$90,0),MATCH('1. Accomodation'!W553,'2. GRI Pricing Inputs'!$C$89:$AI$89,0)),0)</f>
        <v>0</v>
      </c>
      <c r="V549" s="273">
        <f>IFERROR(INDEX('2. GRI Pricing Inputs'!$C$97:$AI$98,MATCH('3. GRI Pricing'!$V$16,'2. GRI Pricing Inputs'!$C$97:$C$98,0),MATCH('1. Accomodation'!X553,'2. GRI Pricing Inputs'!$C$97:$AI$97,0)),0)</f>
        <v>0</v>
      </c>
      <c r="W549" s="273">
        <f>IFERROR(INDEX('2. GRI Pricing Inputs'!$C$104:$AI$105,MATCH('3. GRI Pricing'!$W$16,'2. GRI Pricing Inputs'!$C$104:$C$105,0),MATCH('1. Accomodation'!Y553,'2. GRI Pricing Inputs'!$C$104:$AI$104,0)),0)</f>
        <v>0</v>
      </c>
      <c r="X549" s="274"/>
      <c r="Y549" s="275">
        <f t="shared" si="15"/>
        <v>0</v>
      </c>
      <c r="Z549" s="276"/>
      <c r="AA549" s="276"/>
      <c r="AB549" s="276"/>
      <c r="AC549" s="272">
        <f>Y549*(1+'2. GRI Pricing Inputs'!$D$114)^(($AC$16-$AB$15)/365)</f>
        <v>0</v>
      </c>
      <c r="AD549" s="273">
        <f>AC549*(1+'2. GRI Pricing Inputs'!$D$114)^((AD$16-AC$16)/365)</f>
        <v>0</v>
      </c>
      <c r="AE549" s="273">
        <f>AD549*(1+'2. GRI Pricing Inputs'!$D$114)^((AE$16-AD$16)/365)</f>
        <v>0</v>
      </c>
      <c r="AF549" s="273">
        <f>AE549*(1+'2. GRI Pricing Inputs'!$D$114)^((AF$16-AE$16)/365)</f>
        <v>0</v>
      </c>
      <c r="AG549" s="273">
        <f>AF549*(1+'2. GRI Pricing Inputs'!$D$114)^((AG$16-AF$16)/365)</f>
        <v>0</v>
      </c>
      <c r="AH549" s="273">
        <f>AG549*(1+'2. GRI Pricing Inputs'!$D$114)^((AH$16-AG$16)/365)</f>
        <v>0</v>
      </c>
      <c r="AI549" s="273">
        <f>AH549*(1+'2. GRI Pricing Inputs'!$D$114)^((AI$16-AH$16)/365)</f>
        <v>0</v>
      </c>
      <c r="AJ549" s="273">
        <f>AI549*(1+'2. GRI Pricing Inputs'!$D$114)^((AJ$16-AI$16)/365)</f>
        <v>0</v>
      </c>
      <c r="AK549" s="273">
        <f>AJ549*(1+'2. GRI Pricing Inputs'!$D$114)^((AK$16-AJ$16)/365)</f>
        <v>0</v>
      </c>
      <c r="AL549" s="273">
        <f>AK549*(1+'2. GRI Pricing Inputs'!$D$114)^((AL$16-AK$16)/365)</f>
        <v>0</v>
      </c>
      <c r="AM549" s="273">
        <f>AL549*(1+'2. GRI Pricing Inputs'!$D$114)^((AM$16-AL$16)/365)</f>
        <v>0</v>
      </c>
      <c r="AN549" s="273">
        <f>AM549*(1+'2. GRI Pricing Inputs'!$D$114)^((AN$16-AM$16)/365)</f>
        <v>0</v>
      </c>
      <c r="AO549" s="273">
        <f>AN549*(1+'2. GRI Pricing Inputs'!$D$114)^((AO$16-AN$16)/365)</f>
        <v>0</v>
      </c>
    </row>
    <row r="550" spans="3:41" ht="12" x14ac:dyDescent="0.2">
      <c r="C550" s="76">
        <f>'1. Accomodation'!N554</f>
        <v>0</v>
      </c>
      <c r="D550" s="69">
        <f>'1. Accomodation'!P554</f>
        <v>0</v>
      </c>
      <c r="E550" s="69">
        <f>'1. Accomodation'!Q554</f>
        <v>0</v>
      </c>
      <c r="F550" s="77">
        <f>'1. Accomodation'!O554</f>
        <v>0</v>
      </c>
      <c r="G550" s="69">
        <f>'1. Accomodation'!R554</f>
        <v>0</v>
      </c>
      <c r="H550" s="69">
        <f>'1. Accomodation'!S554</f>
        <v>0</v>
      </c>
      <c r="I550" s="62"/>
      <c r="K550" s="272">
        <f>IFERROR(INDEX('2. GRI Pricing Inputs'!$C$15:$AI$16,MATCH($K$16,'2. GRI Pricing Inputs'!$C$15:$C$16,0),MATCH(D550,'2. GRI Pricing Inputs'!$C$15:$AI$15,0)),0)</f>
        <v>0</v>
      </c>
      <c r="L550" s="273">
        <f>IFERROR(INDEX('2. GRI Pricing Inputs'!$C$22:$AI$23,MATCH($L$16,'2. GRI Pricing Inputs'!$C$22:$C$23,0),MATCH(E550,'2. GRI Pricing Inputs'!$C$22:$AI$22,0)),0)</f>
        <v>0</v>
      </c>
      <c r="M550" s="328">
        <f>IF(AND('3. GRI Pricing'!$F550&gt;='2. GRI Pricing Inputs'!$D$33,'3. GRI Pricing'!$F550&lt;='2. GRI Pricing Inputs'!$E$33),'2. GRI Pricing Inputs'!$D$32,IF(AND('3. GRI Pricing'!$F550&gt;='2. GRI Pricing Inputs'!$F$33,'3. GRI Pricing'!$F550&lt;='2. GRI Pricing Inputs'!$G$33),'2. GRI Pricing Inputs'!$F$32,IF(AND('3. GRI Pricing'!$F550&gt;='2. GRI Pricing Inputs'!$H$33,'3. GRI Pricing'!$F550&lt;='2. GRI Pricing Inputs'!$I$33),'2. GRI Pricing Inputs'!$H$32,IF(AND('3. GRI Pricing'!$F550&gt;='2. GRI Pricing Inputs'!$J$33,'3. GRI Pricing'!$F550&lt;='2. GRI Pricing Inputs'!$K$33),'2. GRI Pricing Inputs'!$J$32,IF(AND('3. GRI Pricing'!$F550&gt;='2. GRI Pricing Inputs'!$L$33,'3. GRI Pricing'!$F550&lt;='2. GRI Pricing Inputs'!$M$33),'2. GRI Pricing Inputs'!$L$32,IF(AND('3. GRI Pricing'!$F550&gt;='2. GRI Pricing Inputs'!$N$33,'3. GRI Pricing'!$F550&lt;='2. GRI Pricing Inputs'!$O$33),'2. GRI Pricing Inputs'!$N$32,IF(AND('3. GRI Pricing'!$F550&gt;='2. GRI Pricing Inputs'!$P$33,'3. GRI Pricing'!$F550&lt;='2. GRI Pricing Inputs'!$Q$33),'2. GRI Pricing Inputs'!$P$32,IF(AND('3. GRI Pricing'!$F550&gt;='2. GRI Pricing Inputs'!$R$33,'3. GRI Pricing'!$F550&lt;='2. GRI Pricing Inputs'!$S$33),'2. GRI Pricing Inputs'!$R$32,IF(AND('3. GRI Pricing'!$F550&gt;='2. GRI Pricing Inputs'!$T$33,'3. GRI Pricing'!$F550&lt;='2. GRI Pricing Inputs'!$U$33),'2. GRI Pricing Inputs'!$T$32,IF(AND('3. GRI Pricing'!$F550&gt;='2. GRI Pricing Inputs'!$V$33,'3. GRI Pricing'!$F550&lt;='2. GRI Pricing Inputs'!$W$33),'2. GRI Pricing Inputs'!$V$32,IF(AND('3. GRI Pricing'!$F550&gt;='2. GRI Pricing Inputs'!$X$33,'3. GRI Pricing'!$F550&lt;='2. GRI Pricing Inputs'!$Y$33),'2. GRI Pricing Inputs'!$X$32,IF(AND('3. GRI Pricing'!$F550&gt;='2. GRI Pricing Inputs'!$Z$33,'3. GRI Pricing'!$F550&lt;='2. GRI Pricing Inputs'!$AA$33),'2. GRI Pricing Inputs'!$Z$32,IF(AND('3. GRI Pricing'!$F550&gt;='2. GRI Pricing Inputs'!$AB$33,'3. GRI Pricing'!$F550&lt;='2. GRI Pricing Inputs'!$AC$33),'2. GRI Pricing Inputs'!$AB$32,IF(AND('3. GRI Pricing'!$F550&gt;='2. GRI Pricing Inputs'!$AD$33,'3. GRI Pricing'!$F550&lt;='2. GRI Pricing Inputs'!$AE$33),'2. GRI Pricing Inputs'!$AD$32,IF(AND('3. GRI Pricing'!$F550&gt;='2. GRI Pricing Inputs'!$AF$33,'3. GRI Pricing'!$F550&lt;='2. GRI Pricing Inputs'!$AG$33),'2. GRI Pricing Inputs'!$AF$32,IF(AND('3. GRI Pricing'!$F550&gt;='2. GRI Pricing Inputs'!$AH$33,'3. GRI Pricing'!$F550&lt;='2. GRI Pricing Inputs'!$AI$33),'2. GRI Pricing Inputs'!$AH$32,0))))))))))))))))</f>
        <v>0</v>
      </c>
      <c r="N550" s="273" cm="1">
        <f t="array" ref="N550">IFERROR(INDEX('2. GRI Pricing Inputs'!$C$32:$AI$39,MATCH('3. GRI Pricing'!D550,'2. GRI Pricing Inputs'!$C$32:$C$39,0),(MATCH('3. GRI Pricing'!M550,'2. GRI Pricing Inputs'!$D$32:$AI$32,0)+1)),0)</f>
        <v>0</v>
      </c>
      <c r="O550" s="273">
        <f>IFERROR(INDEX('2. GRI Pricing Inputs'!$C$45:$AI$46,MATCH($O$16,'2. GRI Pricing Inputs'!$C$45:$C$46,0),MATCH(G550,'2. GRI Pricing Inputs'!$C$45:$AI$45,0)),0)</f>
        <v>0</v>
      </c>
      <c r="P550" s="273">
        <f>IFERROR(INDEX('2. GRI Pricing Inputs'!$C$53:$AI$54,MATCH('3. GRI Pricing'!$P$16,'2. GRI Pricing Inputs'!$C$53:$C$54,0),MATCH('3. GRI Pricing'!H550,'2. GRI Pricing Inputs'!$C$53:$AI$53,0)),0)</f>
        <v>0</v>
      </c>
      <c r="Q550" s="273">
        <f>IFERROR(INDEX('2. GRI Pricing Inputs'!$C$60:$AI$61,MATCH('3. GRI Pricing'!$Q$16,'2. GRI Pricing Inputs'!$C$60:$C$61,0),MATCH('1. Accomodation'!T554,'2. GRI Pricing Inputs'!$C$60:$AI$60,0)),0)</f>
        <v>0</v>
      </c>
      <c r="R550" s="273">
        <f>IFERROR(INDEX('2. GRI Pricing Inputs'!$C$67:$AI$68,MATCH('3. GRI Pricing'!$R$16,'2. GRI Pricing Inputs'!$C$67:$C$68,0),MATCH('1. Accomodation'!U554,'2. GRI Pricing Inputs'!$C$67:$AI$67,0)),0)</f>
        <v>0</v>
      </c>
      <c r="S550" s="273">
        <f>IF(D550=0,0,'2. GRI Pricing Inputs'!$AI$75)</f>
        <v>0</v>
      </c>
      <c r="T550" s="273">
        <f>IFERROR(INDEX('2. GRI Pricing Inputs'!$C$82:$AI$83,MATCH('3. GRI Pricing'!$T$16,'2. GRI Pricing Inputs'!$C$82:$C$83,0),MATCH('1. Accomodation'!V554,'2. GRI Pricing Inputs'!$C$82:$AI$82,0)),0)</f>
        <v>0</v>
      </c>
      <c r="U550" s="273">
        <f>IFERROR(INDEX('2. GRI Pricing Inputs'!$C$89:$AI$90,MATCH('3. GRI Pricing'!$U$16,'2. GRI Pricing Inputs'!$C$89:$C$90,0),MATCH('1. Accomodation'!W554,'2. GRI Pricing Inputs'!$C$89:$AI$89,0)),0)</f>
        <v>0</v>
      </c>
      <c r="V550" s="273">
        <f>IFERROR(INDEX('2. GRI Pricing Inputs'!$C$97:$AI$98,MATCH('3. GRI Pricing'!$V$16,'2. GRI Pricing Inputs'!$C$97:$C$98,0),MATCH('1. Accomodation'!X554,'2. GRI Pricing Inputs'!$C$97:$AI$97,0)),0)</f>
        <v>0</v>
      </c>
      <c r="W550" s="273">
        <f>IFERROR(INDEX('2. GRI Pricing Inputs'!$C$104:$AI$105,MATCH('3. GRI Pricing'!$W$16,'2. GRI Pricing Inputs'!$C$104:$C$105,0),MATCH('1. Accomodation'!Y554,'2. GRI Pricing Inputs'!$C$104:$AI$104,0)),0)</f>
        <v>0</v>
      </c>
      <c r="X550" s="274"/>
      <c r="Y550" s="275">
        <f t="shared" si="15"/>
        <v>0</v>
      </c>
      <c r="Z550" s="276"/>
      <c r="AA550" s="276"/>
      <c r="AB550" s="276"/>
      <c r="AC550" s="272">
        <f>Y550*(1+'2. GRI Pricing Inputs'!$D$114)^(($AC$16-$AB$15)/365)</f>
        <v>0</v>
      </c>
      <c r="AD550" s="273">
        <f>AC550*(1+'2. GRI Pricing Inputs'!$D$114)^((AD$16-AC$16)/365)</f>
        <v>0</v>
      </c>
      <c r="AE550" s="273">
        <f>AD550*(1+'2. GRI Pricing Inputs'!$D$114)^((AE$16-AD$16)/365)</f>
        <v>0</v>
      </c>
      <c r="AF550" s="273">
        <f>AE550*(1+'2. GRI Pricing Inputs'!$D$114)^((AF$16-AE$16)/365)</f>
        <v>0</v>
      </c>
      <c r="AG550" s="273">
        <f>AF550*(1+'2. GRI Pricing Inputs'!$D$114)^((AG$16-AF$16)/365)</f>
        <v>0</v>
      </c>
      <c r="AH550" s="273">
        <f>AG550*(1+'2. GRI Pricing Inputs'!$D$114)^((AH$16-AG$16)/365)</f>
        <v>0</v>
      </c>
      <c r="AI550" s="273">
        <f>AH550*(1+'2. GRI Pricing Inputs'!$D$114)^((AI$16-AH$16)/365)</f>
        <v>0</v>
      </c>
      <c r="AJ550" s="273">
        <f>AI550*(1+'2. GRI Pricing Inputs'!$D$114)^((AJ$16-AI$16)/365)</f>
        <v>0</v>
      </c>
      <c r="AK550" s="273">
        <f>AJ550*(1+'2. GRI Pricing Inputs'!$D$114)^((AK$16-AJ$16)/365)</f>
        <v>0</v>
      </c>
      <c r="AL550" s="273">
        <f>AK550*(1+'2. GRI Pricing Inputs'!$D$114)^((AL$16-AK$16)/365)</f>
        <v>0</v>
      </c>
      <c r="AM550" s="273">
        <f>AL550*(1+'2. GRI Pricing Inputs'!$D$114)^((AM$16-AL$16)/365)</f>
        <v>0</v>
      </c>
      <c r="AN550" s="273">
        <f>AM550*(1+'2. GRI Pricing Inputs'!$D$114)^((AN$16-AM$16)/365)</f>
        <v>0</v>
      </c>
      <c r="AO550" s="273">
        <f>AN550*(1+'2. GRI Pricing Inputs'!$D$114)^((AO$16-AN$16)/365)</f>
        <v>0</v>
      </c>
    </row>
    <row r="551" spans="3:41" ht="12" x14ac:dyDescent="0.2">
      <c r="C551" s="76">
        <f>'1. Accomodation'!N555</f>
        <v>0</v>
      </c>
      <c r="D551" s="69">
        <f>'1. Accomodation'!P555</f>
        <v>0</v>
      </c>
      <c r="E551" s="69">
        <f>'1. Accomodation'!Q555</f>
        <v>0</v>
      </c>
      <c r="F551" s="77">
        <f>'1. Accomodation'!O555</f>
        <v>0</v>
      </c>
      <c r="G551" s="69">
        <f>'1. Accomodation'!R555</f>
        <v>0</v>
      </c>
      <c r="H551" s="69">
        <f>'1. Accomodation'!S555</f>
        <v>0</v>
      </c>
      <c r="I551" s="62"/>
      <c r="K551" s="272">
        <f>IFERROR(INDEX('2. GRI Pricing Inputs'!$C$15:$AI$16,MATCH($K$16,'2. GRI Pricing Inputs'!$C$15:$C$16,0),MATCH(D551,'2. GRI Pricing Inputs'!$C$15:$AI$15,0)),0)</f>
        <v>0</v>
      </c>
      <c r="L551" s="273">
        <f>IFERROR(INDEX('2. GRI Pricing Inputs'!$C$22:$AI$23,MATCH($L$16,'2. GRI Pricing Inputs'!$C$22:$C$23,0),MATCH(E551,'2. GRI Pricing Inputs'!$C$22:$AI$22,0)),0)</f>
        <v>0</v>
      </c>
      <c r="M551" s="328">
        <f>IF(AND('3. GRI Pricing'!$F551&gt;='2. GRI Pricing Inputs'!$D$33,'3. GRI Pricing'!$F551&lt;='2. GRI Pricing Inputs'!$E$33),'2. GRI Pricing Inputs'!$D$32,IF(AND('3. GRI Pricing'!$F551&gt;='2. GRI Pricing Inputs'!$F$33,'3. GRI Pricing'!$F551&lt;='2. GRI Pricing Inputs'!$G$33),'2. GRI Pricing Inputs'!$F$32,IF(AND('3. GRI Pricing'!$F551&gt;='2. GRI Pricing Inputs'!$H$33,'3. GRI Pricing'!$F551&lt;='2. GRI Pricing Inputs'!$I$33),'2. GRI Pricing Inputs'!$H$32,IF(AND('3. GRI Pricing'!$F551&gt;='2. GRI Pricing Inputs'!$J$33,'3. GRI Pricing'!$F551&lt;='2. GRI Pricing Inputs'!$K$33),'2. GRI Pricing Inputs'!$J$32,IF(AND('3. GRI Pricing'!$F551&gt;='2. GRI Pricing Inputs'!$L$33,'3. GRI Pricing'!$F551&lt;='2. GRI Pricing Inputs'!$M$33),'2. GRI Pricing Inputs'!$L$32,IF(AND('3. GRI Pricing'!$F551&gt;='2. GRI Pricing Inputs'!$N$33,'3. GRI Pricing'!$F551&lt;='2. GRI Pricing Inputs'!$O$33),'2. GRI Pricing Inputs'!$N$32,IF(AND('3. GRI Pricing'!$F551&gt;='2. GRI Pricing Inputs'!$P$33,'3. GRI Pricing'!$F551&lt;='2. GRI Pricing Inputs'!$Q$33),'2. GRI Pricing Inputs'!$P$32,IF(AND('3. GRI Pricing'!$F551&gt;='2. GRI Pricing Inputs'!$R$33,'3. GRI Pricing'!$F551&lt;='2. GRI Pricing Inputs'!$S$33),'2. GRI Pricing Inputs'!$R$32,IF(AND('3. GRI Pricing'!$F551&gt;='2. GRI Pricing Inputs'!$T$33,'3. GRI Pricing'!$F551&lt;='2. GRI Pricing Inputs'!$U$33),'2. GRI Pricing Inputs'!$T$32,IF(AND('3. GRI Pricing'!$F551&gt;='2. GRI Pricing Inputs'!$V$33,'3. GRI Pricing'!$F551&lt;='2. GRI Pricing Inputs'!$W$33),'2. GRI Pricing Inputs'!$V$32,IF(AND('3. GRI Pricing'!$F551&gt;='2. GRI Pricing Inputs'!$X$33,'3. GRI Pricing'!$F551&lt;='2. GRI Pricing Inputs'!$Y$33),'2. GRI Pricing Inputs'!$X$32,IF(AND('3. GRI Pricing'!$F551&gt;='2. GRI Pricing Inputs'!$Z$33,'3. GRI Pricing'!$F551&lt;='2. GRI Pricing Inputs'!$AA$33),'2. GRI Pricing Inputs'!$Z$32,IF(AND('3. GRI Pricing'!$F551&gt;='2. GRI Pricing Inputs'!$AB$33,'3. GRI Pricing'!$F551&lt;='2. GRI Pricing Inputs'!$AC$33),'2. GRI Pricing Inputs'!$AB$32,IF(AND('3. GRI Pricing'!$F551&gt;='2. GRI Pricing Inputs'!$AD$33,'3. GRI Pricing'!$F551&lt;='2. GRI Pricing Inputs'!$AE$33),'2. GRI Pricing Inputs'!$AD$32,IF(AND('3. GRI Pricing'!$F551&gt;='2. GRI Pricing Inputs'!$AF$33,'3. GRI Pricing'!$F551&lt;='2. GRI Pricing Inputs'!$AG$33),'2. GRI Pricing Inputs'!$AF$32,IF(AND('3. GRI Pricing'!$F551&gt;='2. GRI Pricing Inputs'!$AH$33,'3. GRI Pricing'!$F551&lt;='2. GRI Pricing Inputs'!$AI$33),'2. GRI Pricing Inputs'!$AH$32,0))))))))))))))))</f>
        <v>0</v>
      </c>
      <c r="N551" s="273" cm="1">
        <f t="array" ref="N551">IFERROR(INDEX('2. GRI Pricing Inputs'!$C$32:$AI$39,MATCH('3. GRI Pricing'!D551,'2. GRI Pricing Inputs'!$C$32:$C$39,0),(MATCH('3. GRI Pricing'!M551,'2. GRI Pricing Inputs'!$D$32:$AI$32,0)+1)),0)</f>
        <v>0</v>
      </c>
      <c r="O551" s="273">
        <f>IFERROR(INDEX('2. GRI Pricing Inputs'!$C$45:$AI$46,MATCH($O$16,'2. GRI Pricing Inputs'!$C$45:$C$46,0),MATCH(G551,'2. GRI Pricing Inputs'!$C$45:$AI$45,0)),0)</f>
        <v>0</v>
      </c>
      <c r="P551" s="273">
        <f>IFERROR(INDEX('2. GRI Pricing Inputs'!$C$53:$AI$54,MATCH('3. GRI Pricing'!$P$16,'2. GRI Pricing Inputs'!$C$53:$C$54,0),MATCH('3. GRI Pricing'!H551,'2. GRI Pricing Inputs'!$C$53:$AI$53,0)),0)</f>
        <v>0</v>
      </c>
      <c r="Q551" s="273">
        <f>IFERROR(INDEX('2. GRI Pricing Inputs'!$C$60:$AI$61,MATCH('3. GRI Pricing'!$Q$16,'2. GRI Pricing Inputs'!$C$60:$C$61,0),MATCH('1. Accomodation'!T555,'2. GRI Pricing Inputs'!$C$60:$AI$60,0)),0)</f>
        <v>0</v>
      </c>
      <c r="R551" s="273">
        <f>IFERROR(INDEX('2. GRI Pricing Inputs'!$C$67:$AI$68,MATCH('3. GRI Pricing'!$R$16,'2. GRI Pricing Inputs'!$C$67:$C$68,0),MATCH('1. Accomodation'!U555,'2. GRI Pricing Inputs'!$C$67:$AI$67,0)),0)</f>
        <v>0</v>
      </c>
      <c r="S551" s="273">
        <f>IF(D551=0,0,'2. GRI Pricing Inputs'!$AI$75)</f>
        <v>0</v>
      </c>
      <c r="T551" s="273">
        <f>IFERROR(INDEX('2. GRI Pricing Inputs'!$C$82:$AI$83,MATCH('3. GRI Pricing'!$T$16,'2. GRI Pricing Inputs'!$C$82:$C$83,0),MATCH('1. Accomodation'!V555,'2. GRI Pricing Inputs'!$C$82:$AI$82,0)),0)</f>
        <v>0</v>
      </c>
      <c r="U551" s="273">
        <f>IFERROR(INDEX('2. GRI Pricing Inputs'!$C$89:$AI$90,MATCH('3. GRI Pricing'!$U$16,'2. GRI Pricing Inputs'!$C$89:$C$90,0),MATCH('1. Accomodation'!W555,'2. GRI Pricing Inputs'!$C$89:$AI$89,0)),0)</f>
        <v>0</v>
      </c>
      <c r="V551" s="273">
        <f>IFERROR(INDEX('2. GRI Pricing Inputs'!$C$97:$AI$98,MATCH('3. GRI Pricing'!$V$16,'2. GRI Pricing Inputs'!$C$97:$C$98,0),MATCH('1. Accomodation'!X555,'2. GRI Pricing Inputs'!$C$97:$AI$97,0)),0)</f>
        <v>0</v>
      </c>
      <c r="W551" s="273">
        <f>IFERROR(INDEX('2. GRI Pricing Inputs'!$C$104:$AI$105,MATCH('3. GRI Pricing'!$W$16,'2. GRI Pricing Inputs'!$C$104:$C$105,0),MATCH('1. Accomodation'!Y555,'2. GRI Pricing Inputs'!$C$104:$AI$104,0)),0)</f>
        <v>0</v>
      </c>
      <c r="X551" s="274"/>
      <c r="Y551" s="275">
        <f t="shared" si="15"/>
        <v>0</v>
      </c>
      <c r="Z551" s="276"/>
      <c r="AA551" s="276"/>
      <c r="AB551" s="276"/>
      <c r="AC551" s="272">
        <f>Y551*(1+'2. GRI Pricing Inputs'!$D$114)^(($AC$16-$AB$15)/365)</f>
        <v>0</v>
      </c>
      <c r="AD551" s="273">
        <f>AC551*(1+'2. GRI Pricing Inputs'!$D$114)^((AD$16-AC$16)/365)</f>
        <v>0</v>
      </c>
      <c r="AE551" s="273">
        <f>AD551*(1+'2. GRI Pricing Inputs'!$D$114)^((AE$16-AD$16)/365)</f>
        <v>0</v>
      </c>
      <c r="AF551" s="273">
        <f>AE551*(1+'2. GRI Pricing Inputs'!$D$114)^((AF$16-AE$16)/365)</f>
        <v>0</v>
      </c>
      <c r="AG551" s="273">
        <f>AF551*(1+'2. GRI Pricing Inputs'!$D$114)^((AG$16-AF$16)/365)</f>
        <v>0</v>
      </c>
      <c r="AH551" s="273">
        <f>AG551*(1+'2. GRI Pricing Inputs'!$D$114)^((AH$16-AG$16)/365)</f>
        <v>0</v>
      </c>
      <c r="AI551" s="273">
        <f>AH551*(1+'2. GRI Pricing Inputs'!$D$114)^((AI$16-AH$16)/365)</f>
        <v>0</v>
      </c>
      <c r="AJ551" s="273">
        <f>AI551*(1+'2. GRI Pricing Inputs'!$D$114)^((AJ$16-AI$16)/365)</f>
        <v>0</v>
      </c>
      <c r="AK551" s="273">
        <f>AJ551*(1+'2. GRI Pricing Inputs'!$D$114)^((AK$16-AJ$16)/365)</f>
        <v>0</v>
      </c>
      <c r="AL551" s="273">
        <f>AK551*(1+'2. GRI Pricing Inputs'!$D$114)^((AL$16-AK$16)/365)</f>
        <v>0</v>
      </c>
      <c r="AM551" s="273">
        <f>AL551*(1+'2. GRI Pricing Inputs'!$D$114)^((AM$16-AL$16)/365)</f>
        <v>0</v>
      </c>
      <c r="AN551" s="273">
        <f>AM551*(1+'2. GRI Pricing Inputs'!$D$114)^((AN$16-AM$16)/365)</f>
        <v>0</v>
      </c>
      <c r="AO551" s="273">
        <f>AN551*(1+'2. GRI Pricing Inputs'!$D$114)^((AO$16-AN$16)/365)</f>
        <v>0</v>
      </c>
    </row>
    <row r="552" spans="3:41" ht="12" x14ac:dyDescent="0.2">
      <c r="C552" s="76">
        <f>'1. Accomodation'!N556</f>
        <v>0</v>
      </c>
      <c r="D552" s="69">
        <f>'1. Accomodation'!P556</f>
        <v>0</v>
      </c>
      <c r="E552" s="69">
        <f>'1. Accomodation'!Q556</f>
        <v>0</v>
      </c>
      <c r="F552" s="77">
        <f>'1. Accomodation'!O556</f>
        <v>0</v>
      </c>
      <c r="G552" s="69">
        <f>'1. Accomodation'!R556</f>
        <v>0</v>
      </c>
      <c r="H552" s="69">
        <f>'1. Accomodation'!S556</f>
        <v>0</v>
      </c>
      <c r="I552" s="62"/>
      <c r="K552" s="272">
        <f>IFERROR(INDEX('2. GRI Pricing Inputs'!$C$15:$AI$16,MATCH($K$16,'2. GRI Pricing Inputs'!$C$15:$C$16,0),MATCH(D552,'2. GRI Pricing Inputs'!$C$15:$AI$15,0)),0)</f>
        <v>0</v>
      </c>
      <c r="L552" s="273">
        <f>IFERROR(INDEX('2. GRI Pricing Inputs'!$C$22:$AI$23,MATCH($L$16,'2. GRI Pricing Inputs'!$C$22:$C$23,0),MATCH(E552,'2. GRI Pricing Inputs'!$C$22:$AI$22,0)),0)</f>
        <v>0</v>
      </c>
      <c r="M552" s="328">
        <f>IF(AND('3. GRI Pricing'!$F552&gt;='2. GRI Pricing Inputs'!$D$33,'3. GRI Pricing'!$F552&lt;='2. GRI Pricing Inputs'!$E$33),'2. GRI Pricing Inputs'!$D$32,IF(AND('3. GRI Pricing'!$F552&gt;='2. GRI Pricing Inputs'!$F$33,'3. GRI Pricing'!$F552&lt;='2. GRI Pricing Inputs'!$G$33),'2. GRI Pricing Inputs'!$F$32,IF(AND('3. GRI Pricing'!$F552&gt;='2. GRI Pricing Inputs'!$H$33,'3. GRI Pricing'!$F552&lt;='2. GRI Pricing Inputs'!$I$33),'2. GRI Pricing Inputs'!$H$32,IF(AND('3. GRI Pricing'!$F552&gt;='2. GRI Pricing Inputs'!$J$33,'3. GRI Pricing'!$F552&lt;='2. GRI Pricing Inputs'!$K$33),'2. GRI Pricing Inputs'!$J$32,IF(AND('3. GRI Pricing'!$F552&gt;='2. GRI Pricing Inputs'!$L$33,'3. GRI Pricing'!$F552&lt;='2. GRI Pricing Inputs'!$M$33),'2. GRI Pricing Inputs'!$L$32,IF(AND('3. GRI Pricing'!$F552&gt;='2. GRI Pricing Inputs'!$N$33,'3. GRI Pricing'!$F552&lt;='2. GRI Pricing Inputs'!$O$33),'2. GRI Pricing Inputs'!$N$32,IF(AND('3. GRI Pricing'!$F552&gt;='2. GRI Pricing Inputs'!$P$33,'3. GRI Pricing'!$F552&lt;='2. GRI Pricing Inputs'!$Q$33),'2. GRI Pricing Inputs'!$P$32,IF(AND('3. GRI Pricing'!$F552&gt;='2. GRI Pricing Inputs'!$R$33,'3. GRI Pricing'!$F552&lt;='2. GRI Pricing Inputs'!$S$33),'2. GRI Pricing Inputs'!$R$32,IF(AND('3. GRI Pricing'!$F552&gt;='2. GRI Pricing Inputs'!$T$33,'3. GRI Pricing'!$F552&lt;='2. GRI Pricing Inputs'!$U$33),'2. GRI Pricing Inputs'!$T$32,IF(AND('3. GRI Pricing'!$F552&gt;='2. GRI Pricing Inputs'!$V$33,'3. GRI Pricing'!$F552&lt;='2. GRI Pricing Inputs'!$W$33),'2. GRI Pricing Inputs'!$V$32,IF(AND('3. GRI Pricing'!$F552&gt;='2. GRI Pricing Inputs'!$X$33,'3. GRI Pricing'!$F552&lt;='2. GRI Pricing Inputs'!$Y$33),'2. GRI Pricing Inputs'!$X$32,IF(AND('3. GRI Pricing'!$F552&gt;='2. GRI Pricing Inputs'!$Z$33,'3. GRI Pricing'!$F552&lt;='2. GRI Pricing Inputs'!$AA$33),'2. GRI Pricing Inputs'!$Z$32,IF(AND('3. GRI Pricing'!$F552&gt;='2. GRI Pricing Inputs'!$AB$33,'3. GRI Pricing'!$F552&lt;='2. GRI Pricing Inputs'!$AC$33),'2. GRI Pricing Inputs'!$AB$32,IF(AND('3. GRI Pricing'!$F552&gt;='2. GRI Pricing Inputs'!$AD$33,'3. GRI Pricing'!$F552&lt;='2. GRI Pricing Inputs'!$AE$33),'2. GRI Pricing Inputs'!$AD$32,IF(AND('3. GRI Pricing'!$F552&gt;='2. GRI Pricing Inputs'!$AF$33,'3. GRI Pricing'!$F552&lt;='2. GRI Pricing Inputs'!$AG$33),'2. GRI Pricing Inputs'!$AF$32,IF(AND('3. GRI Pricing'!$F552&gt;='2. GRI Pricing Inputs'!$AH$33,'3. GRI Pricing'!$F552&lt;='2. GRI Pricing Inputs'!$AI$33),'2. GRI Pricing Inputs'!$AH$32,0))))))))))))))))</f>
        <v>0</v>
      </c>
      <c r="N552" s="273" cm="1">
        <f t="array" ref="N552">IFERROR(INDEX('2. GRI Pricing Inputs'!$C$32:$AI$39,MATCH('3. GRI Pricing'!D552,'2. GRI Pricing Inputs'!$C$32:$C$39,0),(MATCH('3. GRI Pricing'!M552,'2. GRI Pricing Inputs'!$D$32:$AI$32,0)+1)),0)</f>
        <v>0</v>
      </c>
      <c r="O552" s="273">
        <f>IFERROR(INDEX('2. GRI Pricing Inputs'!$C$45:$AI$46,MATCH($O$16,'2. GRI Pricing Inputs'!$C$45:$C$46,0),MATCH(G552,'2. GRI Pricing Inputs'!$C$45:$AI$45,0)),0)</f>
        <v>0</v>
      </c>
      <c r="P552" s="273">
        <f>IFERROR(INDEX('2. GRI Pricing Inputs'!$C$53:$AI$54,MATCH('3. GRI Pricing'!$P$16,'2. GRI Pricing Inputs'!$C$53:$C$54,0),MATCH('3. GRI Pricing'!H552,'2. GRI Pricing Inputs'!$C$53:$AI$53,0)),0)</f>
        <v>0</v>
      </c>
      <c r="Q552" s="273">
        <f>IFERROR(INDEX('2. GRI Pricing Inputs'!$C$60:$AI$61,MATCH('3. GRI Pricing'!$Q$16,'2. GRI Pricing Inputs'!$C$60:$C$61,0),MATCH('1. Accomodation'!T556,'2. GRI Pricing Inputs'!$C$60:$AI$60,0)),0)</f>
        <v>0</v>
      </c>
      <c r="R552" s="273">
        <f>IFERROR(INDEX('2. GRI Pricing Inputs'!$C$67:$AI$68,MATCH('3. GRI Pricing'!$R$16,'2. GRI Pricing Inputs'!$C$67:$C$68,0),MATCH('1. Accomodation'!U556,'2. GRI Pricing Inputs'!$C$67:$AI$67,0)),0)</f>
        <v>0</v>
      </c>
      <c r="S552" s="273">
        <f>IF(D552=0,0,'2. GRI Pricing Inputs'!$AI$75)</f>
        <v>0</v>
      </c>
      <c r="T552" s="273">
        <f>IFERROR(INDEX('2. GRI Pricing Inputs'!$C$82:$AI$83,MATCH('3. GRI Pricing'!$T$16,'2. GRI Pricing Inputs'!$C$82:$C$83,0),MATCH('1. Accomodation'!V556,'2. GRI Pricing Inputs'!$C$82:$AI$82,0)),0)</f>
        <v>0</v>
      </c>
      <c r="U552" s="273">
        <f>IFERROR(INDEX('2. GRI Pricing Inputs'!$C$89:$AI$90,MATCH('3. GRI Pricing'!$U$16,'2. GRI Pricing Inputs'!$C$89:$C$90,0),MATCH('1. Accomodation'!W556,'2. GRI Pricing Inputs'!$C$89:$AI$89,0)),0)</f>
        <v>0</v>
      </c>
      <c r="V552" s="273">
        <f>IFERROR(INDEX('2. GRI Pricing Inputs'!$C$97:$AI$98,MATCH('3. GRI Pricing'!$V$16,'2. GRI Pricing Inputs'!$C$97:$C$98,0),MATCH('1. Accomodation'!X556,'2. GRI Pricing Inputs'!$C$97:$AI$97,0)),0)</f>
        <v>0</v>
      </c>
      <c r="W552" s="273">
        <f>IFERROR(INDEX('2. GRI Pricing Inputs'!$C$104:$AI$105,MATCH('3. GRI Pricing'!$W$16,'2. GRI Pricing Inputs'!$C$104:$C$105,0),MATCH('1. Accomodation'!Y556,'2. GRI Pricing Inputs'!$C$104:$AI$104,0)),0)</f>
        <v>0</v>
      </c>
      <c r="X552" s="274"/>
      <c r="Y552" s="275">
        <f t="shared" si="15"/>
        <v>0</v>
      </c>
      <c r="Z552" s="276"/>
      <c r="AA552" s="276"/>
      <c r="AB552" s="276"/>
      <c r="AC552" s="272">
        <f>Y552*(1+'2. GRI Pricing Inputs'!$D$114)^(($AC$16-$AB$15)/365)</f>
        <v>0</v>
      </c>
      <c r="AD552" s="273">
        <f>AC552*(1+'2. GRI Pricing Inputs'!$D$114)^((AD$16-AC$16)/365)</f>
        <v>0</v>
      </c>
      <c r="AE552" s="273">
        <f>AD552*(1+'2. GRI Pricing Inputs'!$D$114)^((AE$16-AD$16)/365)</f>
        <v>0</v>
      </c>
      <c r="AF552" s="273">
        <f>AE552*(1+'2. GRI Pricing Inputs'!$D$114)^((AF$16-AE$16)/365)</f>
        <v>0</v>
      </c>
      <c r="AG552" s="273">
        <f>AF552*(1+'2. GRI Pricing Inputs'!$D$114)^((AG$16-AF$16)/365)</f>
        <v>0</v>
      </c>
      <c r="AH552" s="273">
        <f>AG552*(1+'2. GRI Pricing Inputs'!$D$114)^((AH$16-AG$16)/365)</f>
        <v>0</v>
      </c>
      <c r="AI552" s="273">
        <f>AH552*(1+'2. GRI Pricing Inputs'!$D$114)^((AI$16-AH$16)/365)</f>
        <v>0</v>
      </c>
      <c r="AJ552" s="273">
        <f>AI552*(1+'2. GRI Pricing Inputs'!$D$114)^((AJ$16-AI$16)/365)</f>
        <v>0</v>
      </c>
      <c r="AK552" s="273">
        <f>AJ552*(1+'2. GRI Pricing Inputs'!$D$114)^((AK$16-AJ$16)/365)</f>
        <v>0</v>
      </c>
      <c r="AL552" s="273">
        <f>AK552*(1+'2. GRI Pricing Inputs'!$D$114)^((AL$16-AK$16)/365)</f>
        <v>0</v>
      </c>
      <c r="AM552" s="273">
        <f>AL552*(1+'2. GRI Pricing Inputs'!$D$114)^((AM$16-AL$16)/365)</f>
        <v>0</v>
      </c>
      <c r="AN552" s="273">
        <f>AM552*(1+'2. GRI Pricing Inputs'!$D$114)^((AN$16-AM$16)/365)</f>
        <v>0</v>
      </c>
      <c r="AO552" s="273">
        <f>AN552*(1+'2. GRI Pricing Inputs'!$D$114)^((AO$16-AN$16)/365)</f>
        <v>0</v>
      </c>
    </row>
    <row r="553" spans="3:41" ht="12" x14ac:dyDescent="0.2">
      <c r="C553" s="76">
        <f>'1. Accomodation'!N557</f>
        <v>0</v>
      </c>
      <c r="D553" s="69">
        <f>'1. Accomodation'!P557</f>
        <v>0</v>
      </c>
      <c r="E553" s="69">
        <f>'1. Accomodation'!Q557</f>
        <v>0</v>
      </c>
      <c r="F553" s="77">
        <f>'1. Accomodation'!O557</f>
        <v>0</v>
      </c>
      <c r="G553" s="69">
        <f>'1. Accomodation'!R557</f>
        <v>0</v>
      </c>
      <c r="H553" s="69">
        <f>'1. Accomodation'!S557</f>
        <v>0</v>
      </c>
      <c r="I553" s="62"/>
      <c r="K553" s="272">
        <f>IFERROR(INDEX('2. GRI Pricing Inputs'!$C$15:$AI$16,MATCH($K$16,'2. GRI Pricing Inputs'!$C$15:$C$16,0),MATCH(D553,'2. GRI Pricing Inputs'!$C$15:$AI$15,0)),0)</f>
        <v>0</v>
      </c>
      <c r="L553" s="273">
        <f>IFERROR(INDEX('2. GRI Pricing Inputs'!$C$22:$AI$23,MATCH($L$16,'2. GRI Pricing Inputs'!$C$22:$C$23,0),MATCH(E553,'2. GRI Pricing Inputs'!$C$22:$AI$22,0)),0)</f>
        <v>0</v>
      </c>
      <c r="M553" s="328">
        <f>IF(AND('3. GRI Pricing'!$F553&gt;='2. GRI Pricing Inputs'!$D$33,'3. GRI Pricing'!$F553&lt;='2. GRI Pricing Inputs'!$E$33),'2. GRI Pricing Inputs'!$D$32,IF(AND('3. GRI Pricing'!$F553&gt;='2. GRI Pricing Inputs'!$F$33,'3. GRI Pricing'!$F553&lt;='2. GRI Pricing Inputs'!$G$33),'2. GRI Pricing Inputs'!$F$32,IF(AND('3. GRI Pricing'!$F553&gt;='2. GRI Pricing Inputs'!$H$33,'3. GRI Pricing'!$F553&lt;='2. GRI Pricing Inputs'!$I$33),'2. GRI Pricing Inputs'!$H$32,IF(AND('3. GRI Pricing'!$F553&gt;='2. GRI Pricing Inputs'!$J$33,'3. GRI Pricing'!$F553&lt;='2. GRI Pricing Inputs'!$K$33),'2. GRI Pricing Inputs'!$J$32,IF(AND('3. GRI Pricing'!$F553&gt;='2. GRI Pricing Inputs'!$L$33,'3. GRI Pricing'!$F553&lt;='2. GRI Pricing Inputs'!$M$33),'2. GRI Pricing Inputs'!$L$32,IF(AND('3. GRI Pricing'!$F553&gt;='2. GRI Pricing Inputs'!$N$33,'3. GRI Pricing'!$F553&lt;='2. GRI Pricing Inputs'!$O$33),'2. GRI Pricing Inputs'!$N$32,IF(AND('3. GRI Pricing'!$F553&gt;='2. GRI Pricing Inputs'!$P$33,'3. GRI Pricing'!$F553&lt;='2. GRI Pricing Inputs'!$Q$33),'2. GRI Pricing Inputs'!$P$32,IF(AND('3. GRI Pricing'!$F553&gt;='2. GRI Pricing Inputs'!$R$33,'3. GRI Pricing'!$F553&lt;='2. GRI Pricing Inputs'!$S$33),'2. GRI Pricing Inputs'!$R$32,IF(AND('3. GRI Pricing'!$F553&gt;='2. GRI Pricing Inputs'!$T$33,'3. GRI Pricing'!$F553&lt;='2. GRI Pricing Inputs'!$U$33),'2. GRI Pricing Inputs'!$T$32,IF(AND('3. GRI Pricing'!$F553&gt;='2. GRI Pricing Inputs'!$V$33,'3. GRI Pricing'!$F553&lt;='2. GRI Pricing Inputs'!$W$33),'2. GRI Pricing Inputs'!$V$32,IF(AND('3. GRI Pricing'!$F553&gt;='2. GRI Pricing Inputs'!$X$33,'3. GRI Pricing'!$F553&lt;='2. GRI Pricing Inputs'!$Y$33),'2. GRI Pricing Inputs'!$X$32,IF(AND('3. GRI Pricing'!$F553&gt;='2. GRI Pricing Inputs'!$Z$33,'3. GRI Pricing'!$F553&lt;='2. GRI Pricing Inputs'!$AA$33),'2. GRI Pricing Inputs'!$Z$32,IF(AND('3. GRI Pricing'!$F553&gt;='2. GRI Pricing Inputs'!$AB$33,'3. GRI Pricing'!$F553&lt;='2. GRI Pricing Inputs'!$AC$33),'2. GRI Pricing Inputs'!$AB$32,IF(AND('3. GRI Pricing'!$F553&gt;='2. GRI Pricing Inputs'!$AD$33,'3. GRI Pricing'!$F553&lt;='2. GRI Pricing Inputs'!$AE$33),'2. GRI Pricing Inputs'!$AD$32,IF(AND('3. GRI Pricing'!$F553&gt;='2. GRI Pricing Inputs'!$AF$33,'3. GRI Pricing'!$F553&lt;='2. GRI Pricing Inputs'!$AG$33),'2. GRI Pricing Inputs'!$AF$32,IF(AND('3. GRI Pricing'!$F553&gt;='2. GRI Pricing Inputs'!$AH$33,'3. GRI Pricing'!$F553&lt;='2. GRI Pricing Inputs'!$AI$33),'2. GRI Pricing Inputs'!$AH$32,0))))))))))))))))</f>
        <v>0</v>
      </c>
      <c r="N553" s="273" cm="1">
        <f t="array" ref="N553">IFERROR(INDEX('2. GRI Pricing Inputs'!$C$32:$AI$39,MATCH('3. GRI Pricing'!D553,'2. GRI Pricing Inputs'!$C$32:$C$39,0),(MATCH('3. GRI Pricing'!M553,'2. GRI Pricing Inputs'!$D$32:$AI$32,0)+1)),0)</f>
        <v>0</v>
      </c>
      <c r="O553" s="273">
        <f>IFERROR(INDEX('2. GRI Pricing Inputs'!$C$45:$AI$46,MATCH($O$16,'2. GRI Pricing Inputs'!$C$45:$C$46,0),MATCH(G553,'2. GRI Pricing Inputs'!$C$45:$AI$45,0)),0)</f>
        <v>0</v>
      </c>
      <c r="P553" s="273">
        <f>IFERROR(INDEX('2. GRI Pricing Inputs'!$C$53:$AI$54,MATCH('3. GRI Pricing'!$P$16,'2. GRI Pricing Inputs'!$C$53:$C$54,0),MATCH('3. GRI Pricing'!H553,'2. GRI Pricing Inputs'!$C$53:$AI$53,0)),0)</f>
        <v>0</v>
      </c>
      <c r="Q553" s="273">
        <f>IFERROR(INDEX('2. GRI Pricing Inputs'!$C$60:$AI$61,MATCH('3. GRI Pricing'!$Q$16,'2. GRI Pricing Inputs'!$C$60:$C$61,0),MATCH('1. Accomodation'!T557,'2. GRI Pricing Inputs'!$C$60:$AI$60,0)),0)</f>
        <v>0</v>
      </c>
      <c r="R553" s="273">
        <f>IFERROR(INDEX('2. GRI Pricing Inputs'!$C$67:$AI$68,MATCH('3. GRI Pricing'!$R$16,'2. GRI Pricing Inputs'!$C$67:$C$68,0),MATCH('1. Accomodation'!U557,'2. GRI Pricing Inputs'!$C$67:$AI$67,0)),0)</f>
        <v>0</v>
      </c>
      <c r="S553" s="273">
        <f>IF(D553=0,0,'2. GRI Pricing Inputs'!$AI$75)</f>
        <v>0</v>
      </c>
      <c r="T553" s="273">
        <f>IFERROR(INDEX('2. GRI Pricing Inputs'!$C$82:$AI$83,MATCH('3. GRI Pricing'!$T$16,'2. GRI Pricing Inputs'!$C$82:$C$83,0),MATCH('1. Accomodation'!V557,'2. GRI Pricing Inputs'!$C$82:$AI$82,0)),0)</f>
        <v>0</v>
      </c>
      <c r="U553" s="273">
        <f>IFERROR(INDEX('2. GRI Pricing Inputs'!$C$89:$AI$90,MATCH('3. GRI Pricing'!$U$16,'2. GRI Pricing Inputs'!$C$89:$C$90,0),MATCH('1. Accomodation'!W557,'2. GRI Pricing Inputs'!$C$89:$AI$89,0)),0)</f>
        <v>0</v>
      </c>
      <c r="V553" s="273">
        <f>IFERROR(INDEX('2. GRI Pricing Inputs'!$C$97:$AI$98,MATCH('3. GRI Pricing'!$V$16,'2. GRI Pricing Inputs'!$C$97:$C$98,0),MATCH('1. Accomodation'!X557,'2. GRI Pricing Inputs'!$C$97:$AI$97,0)),0)</f>
        <v>0</v>
      </c>
      <c r="W553" s="273">
        <f>IFERROR(INDEX('2. GRI Pricing Inputs'!$C$104:$AI$105,MATCH('3. GRI Pricing'!$W$16,'2. GRI Pricing Inputs'!$C$104:$C$105,0),MATCH('1. Accomodation'!Y557,'2. GRI Pricing Inputs'!$C$104:$AI$104,0)),0)</f>
        <v>0</v>
      </c>
      <c r="X553" s="274"/>
      <c r="Y553" s="275">
        <f t="shared" si="15"/>
        <v>0</v>
      </c>
      <c r="Z553" s="276"/>
      <c r="AA553" s="276"/>
      <c r="AB553" s="276"/>
      <c r="AC553" s="272">
        <f>Y553*(1+'2. GRI Pricing Inputs'!$D$114)^(($AC$16-$AB$15)/365)</f>
        <v>0</v>
      </c>
      <c r="AD553" s="273">
        <f>AC553*(1+'2. GRI Pricing Inputs'!$D$114)^((AD$16-AC$16)/365)</f>
        <v>0</v>
      </c>
      <c r="AE553" s="273">
        <f>AD553*(1+'2. GRI Pricing Inputs'!$D$114)^((AE$16-AD$16)/365)</f>
        <v>0</v>
      </c>
      <c r="AF553" s="273">
        <f>AE553*(1+'2. GRI Pricing Inputs'!$D$114)^((AF$16-AE$16)/365)</f>
        <v>0</v>
      </c>
      <c r="AG553" s="273">
        <f>AF553*(1+'2. GRI Pricing Inputs'!$D$114)^((AG$16-AF$16)/365)</f>
        <v>0</v>
      </c>
      <c r="AH553" s="273">
        <f>AG553*(1+'2. GRI Pricing Inputs'!$D$114)^((AH$16-AG$16)/365)</f>
        <v>0</v>
      </c>
      <c r="AI553" s="273">
        <f>AH553*(1+'2. GRI Pricing Inputs'!$D$114)^((AI$16-AH$16)/365)</f>
        <v>0</v>
      </c>
      <c r="AJ553" s="273">
        <f>AI553*(1+'2. GRI Pricing Inputs'!$D$114)^((AJ$16-AI$16)/365)</f>
        <v>0</v>
      </c>
      <c r="AK553" s="273">
        <f>AJ553*(1+'2. GRI Pricing Inputs'!$D$114)^((AK$16-AJ$16)/365)</f>
        <v>0</v>
      </c>
      <c r="AL553" s="273">
        <f>AK553*(1+'2. GRI Pricing Inputs'!$D$114)^((AL$16-AK$16)/365)</f>
        <v>0</v>
      </c>
      <c r="AM553" s="273">
        <f>AL553*(1+'2. GRI Pricing Inputs'!$D$114)^((AM$16-AL$16)/365)</f>
        <v>0</v>
      </c>
      <c r="AN553" s="273">
        <f>AM553*(1+'2. GRI Pricing Inputs'!$D$114)^((AN$16-AM$16)/365)</f>
        <v>0</v>
      </c>
      <c r="AO553" s="273">
        <f>AN553*(1+'2. GRI Pricing Inputs'!$D$114)^((AO$16-AN$16)/365)</f>
        <v>0</v>
      </c>
    </row>
    <row r="554" spans="3:41" ht="12" x14ac:dyDescent="0.2">
      <c r="C554" s="76">
        <f>'1. Accomodation'!N558</f>
        <v>0</v>
      </c>
      <c r="D554" s="69">
        <f>'1. Accomodation'!P558</f>
        <v>0</v>
      </c>
      <c r="E554" s="69">
        <f>'1. Accomodation'!Q558</f>
        <v>0</v>
      </c>
      <c r="F554" s="77">
        <f>'1. Accomodation'!O558</f>
        <v>0</v>
      </c>
      <c r="G554" s="69">
        <f>'1. Accomodation'!R558</f>
        <v>0</v>
      </c>
      <c r="H554" s="69">
        <f>'1. Accomodation'!S558</f>
        <v>0</v>
      </c>
      <c r="I554" s="62"/>
      <c r="K554" s="272">
        <f>IFERROR(INDEX('2. GRI Pricing Inputs'!$C$15:$AI$16,MATCH($K$16,'2. GRI Pricing Inputs'!$C$15:$C$16,0),MATCH(D554,'2. GRI Pricing Inputs'!$C$15:$AI$15,0)),0)</f>
        <v>0</v>
      </c>
      <c r="L554" s="273">
        <f>IFERROR(INDEX('2. GRI Pricing Inputs'!$C$22:$AI$23,MATCH($L$16,'2. GRI Pricing Inputs'!$C$22:$C$23,0),MATCH(E554,'2. GRI Pricing Inputs'!$C$22:$AI$22,0)),0)</f>
        <v>0</v>
      </c>
      <c r="M554" s="328">
        <f>IF(AND('3. GRI Pricing'!$F554&gt;='2. GRI Pricing Inputs'!$D$33,'3. GRI Pricing'!$F554&lt;='2. GRI Pricing Inputs'!$E$33),'2. GRI Pricing Inputs'!$D$32,IF(AND('3. GRI Pricing'!$F554&gt;='2. GRI Pricing Inputs'!$F$33,'3. GRI Pricing'!$F554&lt;='2. GRI Pricing Inputs'!$G$33),'2. GRI Pricing Inputs'!$F$32,IF(AND('3. GRI Pricing'!$F554&gt;='2. GRI Pricing Inputs'!$H$33,'3. GRI Pricing'!$F554&lt;='2. GRI Pricing Inputs'!$I$33),'2. GRI Pricing Inputs'!$H$32,IF(AND('3. GRI Pricing'!$F554&gt;='2. GRI Pricing Inputs'!$J$33,'3. GRI Pricing'!$F554&lt;='2. GRI Pricing Inputs'!$K$33),'2. GRI Pricing Inputs'!$J$32,IF(AND('3. GRI Pricing'!$F554&gt;='2. GRI Pricing Inputs'!$L$33,'3. GRI Pricing'!$F554&lt;='2. GRI Pricing Inputs'!$M$33),'2. GRI Pricing Inputs'!$L$32,IF(AND('3. GRI Pricing'!$F554&gt;='2. GRI Pricing Inputs'!$N$33,'3. GRI Pricing'!$F554&lt;='2. GRI Pricing Inputs'!$O$33),'2. GRI Pricing Inputs'!$N$32,IF(AND('3. GRI Pricing'!$F554&gt;='2. GRI Pricing Inputs'!$P$33,'3. GRI Pricing'!$F554&lt;='2. GRI Pricing Inputs'!$Q$33),'2. GRI Pricing Inputs'!$P$32,IF(AND('3. GRI Pricing'!$F554&gt;='2. GRI Pricing Inputs'!$R$33,'3. GRI Pricing'!$F554&lt;='2. GRI Pricing Inputs'!$S$33),'2. GRI Pricing Inputs'!$R$32,IF(AND('3. GRI Pricing'!$F554&gt;='2. GRI Pricing Inputs'!$T$33,'3. GRI Pricing'!$F554&lt;='2. GRI Pricing Inputs'!$U$33),'2. GRI Pricing Inputs'!$T$32,IF(AND('3. GRI Pricing'!$F554&gt;='2. GRI Pricing Inputs'!$V$33,'3. GRI Pricing'!$F554&lt;='2. GRI Pricing Inputs'!$W$33),'2. GRI Pricing Inputs'!$V$32,IF(AND('3. GRI Pricing'!$F554&gt;='2. GRI Pricing Inputs'!$X$33,'3. GRI Pricing'!$F554&lt;='2. GRI Pricing Inputs'!$Y$33),'2. GRI Pricing Inputs'!$X$32,IF(AND('3. GRI Pricing'!$F554&gt;='2. GRI Pricing Inputs'!$Z$33,'3. GRI Pricing'!$F554&lt;='2. GRI Pricing Inputs'!$AA$33),'2. GRI Pricing Inputs'!$Z$32,IF(AND('3. GRI Pricing'!$F554&gt;='2. GRI Pricing Inputs'!$AB$33,'3. GRI Pricing'!$F554&lt;='2. GRI Pricing Inputs'!$AC$33),'2. GRI Pricing Inputs'!$AB$32,IF(AND('3. GRI Pricing'!$F554&gt;='2. GRI Pricing Inputs'!$AD$33,'3. GRI Pricing'!$F554&lt;='2. GRI Pricing Inputs'!$AE$33),'2. GRI Pricing Inputs'!$AD$32,IF(AND('3. GRI Pricing'!$F554&gt;='2. GRI Pricing Inputs'!$AF$33,'3. GRI Pricing'!$F554&lt;='2. GRI Pricing Inputs'!$AG$33),'2. GRI Pricing Inputs'!$AF$32,IF(AND('3. GRI Pricing'!$F554&gt;='2. GRI Pricing Inputs'!$AH$33,'3. GRI Pricing'!$F554&lt;='2. GRI Pricing Inputs'!$AI$33),'2. GRI Pricing Inputs'!$AH$32,0))))))))))))))))</f>
        <v>0</v>
      </c>
      <c r="N554" s="273" cm="1">
        <f t="array" ref="N554">IFERROR(INDEX('2. GRI Pricing Inputs'!$C$32:$AI$39,MATCH('3. GRI Pricing'!D554,'2. GRI Pricing Inputs'!$C$32:$C$39,0),(MATCH('3. GRI Pricing'!M554,'2. GRI Pricing Inputs'!$D$32:$AI$32,0)+1)),0)</f>
        <v>0</v>
      </c>
      <c r="O554" s="273">
        <f>IFERROR(INDEX('2. GRI Pricing Inputs'!$C$45:$AI$46,MATCH($O$16,'2. GRI Pricing Inputs'!$C$45:$C$46,0),MATCH(G554,'2. GRI Pricing Inputs'!$C$45:$AI$45,0)),0)</f>
        <v>0</v>
      </c>
      <c r="P554" s="273">
        <f>IFERROR(INDEX('2. GRI Pricing Inputs'!$C$53:$AI$54,MATCH('3. GRI Pricing'!$P$16,'2. GRI Pricing Inputs'!$C$53:$C$54,0),MATCH('3. GRI Pricing'!H554,'2. GRI Pricing Inputs'!$C$53:$AI$53,0)),0)</f>
        <v>0</v>
      </c>
      <c r="Q554" s="273">
        <f>IFERROR(INDEX('2. GRI Pricing Inputs'!$C$60:$AI$61,MATCH('3. GRI Pricing'!$Q$16,'2. GRI Pricing Inputs'!$C$60:$C$61,0),MATCH('1. Accomodation'!T558,'2. GRI Pricing Inputs'!$C$60:$AI$60,0)),0)</f>
        <v>0</v>
      </c>
      <c r="R554" s="273">
        <f>IFERROR(INDEX('2. GRI Pricing Inputs'!$C$67:$AI$68,MATCH('3. GRI Pricing'!$R$16,'2. GRI Pricing Inputs'!$C$67:$C$68,0),MATCH('1. Accomodation'!U558,'2. GRI Pricing Inputs'!$C$67:$AI$67,0)),0)</f>
        <v>0</v>
      </c>
      <c r="S554" s="273">
        <f>IF(D554=0,0,'2. GRI Pricing Inputs'!$AI$75)</f>
        <v>0</v>
      </c>
      <c r="T554" s="273">
        <f>IFERROR(INDEX('2. GRI Pricing Inputs'!$C$82:$AI$83,MATCH('3. GRI Pricing'!$T$16,'2. GRI Pricing Inputs'!$C$82:$C$83,0),MATCH('1. Accomodation'!V558,'2. GRI Pricing Inputs'!$C$82:$AI$82,0)),0)</f>
        <v>0</v>
      </c>
      <c r="U554" s="273">
        <f>IFERROR(INDEX('2. GRI Pricing Inputs'!$C$89:$AI$90,MATCH('3. GRI Pricing'!$U$16,'2. GRI Pricing Inputs'!$C$89:$C$90,0),MATCH('1. Accomodation'!W558,'2. GRI Pricing Inputs'!$C$89:$AI$89,0)),0)</f>
        <v>0</v>
      </c>
      <c r="V554" s="273">
        <f>IFERROR(INDEX('2. GRI Pricing Inputs'!$C$97:$AI$98,MATCH('3. GRI Pricing'!$V$16,'2. GRI Pricing Inputs'!$C$97:$C$98,0),MATCH('1. Accomodation'!X558,'2. GRI Pricing Inputs'!$C$97:$AI$97,0)),0)</f>
        <v>0</v>
      </c>
      <c r="W554" s="273">
        <f>IFERROR(INDEX('2. GRI Pricing Inputs'!$C$104:$AI$105,MATCH('3. GRI Pricing'!$W$16,'2. GRI Pricing Inputs'!$C$104:$C$105,0),MATCH('1. Accomodation'!Y558,'2. GRI Pricing Inputs'!$C$104:$AI$104,0)),0)</f>
        <v>0</v>
      </c>
      <c r="X554" s="274"/>
      <c r="Y554" s="275">
        <f t="shared" si="15"/>
        <v>0</v>
      </c>
      <c r="Z554" s="276"/>
      <c r="AA554" s="276"/>
      <c r="AB554" s="276"/>
      <c r="AC554" s="272">
        <f>Y554*(1+'2. GRI Pricing Inputs'!$D$114)^(($AC$16-$AB$15)/365)</f>
        <v>0</v>
      </c>
      <c r="AD554" s="273">
        <f>AC554*(1+'2. GRI Pricing Inputs'!$D$114)^((AD$16-AC$16)/365)</f>
        <v>0</v>
      </c>
      <c r="AE554" s="273">
        <f>AD554*(1+'2. GRI Pricing Inputs'!$D$114)^((AE$16-AD$16)/365)</f>
        <v>0</v>
      </c>
      <c r="AF554" s="273">
        <f>AE554*(1+'2. GRI Pricing Inputs'!$D$114)^((AF$16-AE$16)/365)</f>
        <v>0</v>
      </c>
      <c r="AG554" s="273">
        <f>AF554*(1+'2. GRI Pricing Inputs'!$D$114)^((AG$16-AF$16)/365)</f>
        <v>0</v>
      </c>
      <c r="AH554" s="273">
        <f>AG554*(1+'2. GRI Pricing Inputs'!$D$114)^((AH$16-AG$16)/365)</f>
        <v>0</v>
      </c>
      <c r="AI554" s="273">
        <f>AH554*(1+'2. GRI Pricing Inputs'!$D$114)^((AI$16-AH$16)/365)</f>
        <v>0</v>
      </c>
      <c r="AJ554" s="273">
        <f>AI554*(1+'2. GRI Pricing Inputs'!$D$114)^((AJ$16-AI$16)/365)</f>
        <v>0</v>
      </c>
      <c r="AK554" s="273">
        <f>AJ554*(1+'2. GRI Pricing Inputs'!$D$114)^((AK$16-AJ$16)/365)</f>
        <v>0</v>
      </c>
      <c r="AL554" s="273">
        <f>AK554*(1+'2. GRI Pricing Inputs'!$D$114)^((AL$16-AK$16)/365)</f>
        <v>0</v>
      </c>
      <c r="AM554" s="273">
        <f>AL554*(1+'2. GRI Pricing Inputs'!$D$114)^((AM$16-AL$16)/365)</f>
        <v>0</v>
      </c>
      <c r="AN554" s="273">
        <f>AM554*(1+'2. GRI Pricing Inputs'!$D$114)^((AN$16-AM$16)/365)</f>
        <v>0</v>
      </c>
      <c r="AO554" s="273">
        <f>AN554*(1+'2. GRI Pricing Inputs'!$D$114)^((AO$16-AN$16)/365)</f>
        <v>0</v>
      </c>
    </row>
    <row r="555" spans="3:41" ht="12" x14ac:dyDescent="0.2">
      <c r="C555" s="76">
        <f>'1. Accomodation'!N559</f>
        <v>0</v>
      </c>
      <c r="D555" s="69">
        <f>'1. Accomodation'!P559</f>
        <v>0</v>
      </c>
      <c r="E555" s="69">
        <f>'1. Accomodation'!Q559</f>
        <v>0</v>
      </c>
      <c r="F555" s="77">
        <f>'1. Accomodation'!O559</f>
        <v>0</v>
      </c>
      <c r="G555" s="69">
        <f>'1. Accomodation'!R559</f>
        <v>0</v>
      </c>
      <c r="H555" s="69">
        <f>'1. Accomodation'!S559</f>
        <v>0</v>
      </c>
      <c r="I555" s="62"/>
      <c r="K555" s="272">
        <f>IFERROR(INDEX('2. GRI Pricing Inputs'!$C$15:$AI$16,MATCH($K$16,'2. GRI Pricing Inputs'!$C$15:$C$16,0),MATCH(D555,'2. GRI Pricing Inputs'!$C$15:$AI$15,0)),0)</f>
        <v>0</v>
      </c>
      <c r="L555" s="273">
        <f>IFERROR(INDEX('2. GRI Pricing Inputs'!$C$22:$AI$23,MATCH($L$16,'2. GRI Pricing Inputs'!$C$22:$C$23,0),MATCH(E555,'2. GRI Pricing Inputs'!$C$22:$AI$22,0)),0)</f>
        <v>0</v>
      </c>
      <c r="M555" s="328">
        <f>IF(AND('3. GRI Pricing'!$F555&gt;='2. GRI Pricing Inputs'!$D$33,'3. GRI Pricing'!$F555&lt;='2. GRI Pricing Inputs'!$E$33),'2. GRI Pricing Inputs'!$D$32,IF(AND('3. GRI Pricing'!$F555&gt;='2. GRI Pricing Inputs'!$F$33,'3. GRI Pricing'!$F555&lt;='2. GRI Pricing Inputs'!$G$33),'2. GRI Pricing Inputs'!$F$32,IF(AND('3. GRI Pricing'!$F555&gt;='2. GRI Pricing Inputs'!$H$33,'3. GRI Pricing'!$F555&lt;='2. GRI Pricing Inputs'!$I$33),'2. GRI Pricing Inputs'!$H$32,IF(AND('3. GRI Pricing'!$F555&gt;='2. GRI Pricing Inputs'!$J$33,'3. GRI Pricing'!$F555&lt;='2. GRI Pricing Inputs'!$K$33),'2. GRI Pricing Inputs'!$J$32,IF(AND('3. GRI Pricing'!$F555&gt;='2. GRI Pricing Inputs'!$L$33,'3. GRI Pricing'!$F555&lt;='2. GRI Pricing Inputs'!$M$33),'2. GRI Pricing Inputs'!$L$32,IF(AND('3. GRI Pricing'!$F555&gt;='2. GRI Pricing Inputs'!$N$33,'3. GRI Pricing'!$F555&lt;='2. GRI Pricing Inputs'!$O$33),'2. GRI Pricing Inputs'!$N$32,IF(AND('3. GRI Pricing'!$F555&gt;='2. GRI Pricing Inputs'!$P$33,'3. GRI Pricing'!$F555&lt;='2. GRI Pricing Inputs'!$Q$33),'2. GRI Pricing Inputs'!$P$32,IF(AND('3. GRI Pricing'!$F555&gt;='2. GRI Pricing Inputs'!$R$33,'3. GRI Pricing'!$F555&lt;='2. GRI Pricing Inputs'!$S$33),'2. GRI Pricing Inputs'!$R$32,IF(AND('3. GRI Pricing'!$F555&gt;='2. GRI Pricing Inputs'!$T$33,'3. GRI Pricing'!$F555&lt;='2. GRI Pricing Inputs'!$U$33),'2. GRI Pricing Inputs'!$T$32,IF(AND('3. GRI Pricing'!$F555&gt;='2. GRI Pricing Inputs'!$V$33,'3. GRI Pricing'!$F555&lt;='2. GRI Pricing Inputs'!$W$33),'2. GRI Pricing Inputs'!$V$32,IF(AND('3. GRI Pricing'!$F555&gt;='2. GRI Pricing Inputs'!$X$33,'3. GRI Pricing'!$F555&lt;='2. GRI Pricing Inputs'!$Y$33),'2. GRI Pricing Inputs'!$X$32,IF(AND('3. GRI Pricing'!$F555&gt;='2. GRI Pricing Inputs'!$Z$33,'3. GRI Pricing'!$F555&lt;='2. GRI Pricing Inputs'!$AA$33),'2. GRI Pricing Inputs'!$Z$32,IF(AND('3. GRI Pricing'!$F555&gt;='2. GRI Pricing Inputs'!$AB$33,'3. GRI Pricing'!$F555&lt;='2. GRI Pricing Inputs'!$AC$33),'2. GRI Pricing Inputs'!$AB$32,IF(AND('3. GRI Pricing'!$F555&gt;='2. GRI Pricing Inputs'!$AD$33,'3. GRI Pricing'!$F555&lt;='2. GRI Pricing Inputs'!$AE$33),'2. GRI Pricing Inputs'!$AD$32,IF(AND('3. GRI Pricing'!$F555&gt;='2. GRI Pricing Inputs'!$AF$33,'3. GRI Pricing'!$F555&lt;='2. GRI Pricing Inputs'!$AG$33),'2. GRI Pricing Inputs'!$AF$32,IF(AND('3. GRI Pricing'!$F555&gt;='2. GRI Pricing Inputs'!$AH$33,'3. GRI Pricing'!$F555&lt;='2. GRI Pricing Inputs'!$AI$33),'2. GRI Pricing Inputs'!$AH$32,0))))))))))))))))</f>
        <v>0</v>
      </c>
      <c r="N555" s="273" cm="1">
        <f t="array" ref="N555">IFERROR(INDEX('2. GRI Pricing Inputs'!$C$32:$AI$39,MATCH('3. GRI Pricing'!D555,'2. GRI Pricing Inputs'!$C$32:$C$39,0),(MATCH('3. GRI Pricing'!M555,'2. GRI Pricing Inputs'!$D$32:$AI$32,0)+1)),0)</f>
        <v>0</v>
      </c>
      <c r="O555" s="273">
        <f>IFERROR(INDEX('2. GRI Pricing Inputs'!$C$45:$AI$46,MATCH($O$16,'2. GRI Pricing Inputs'!$C$45:$C$46,0),MATCH(G555,'2. GRI Pricing Inputs'!$C$45:$AI$45,0)),0)</f>
        <v>0</v>
      </c>
      <c r="P555" s="273">
        <f>IFERROR(INDEX('2. GRI Pricing Inputs'!$C$53:$AI$54,MATCH('3. GRI Pricing'!$P$16,'2. GRI Pricing Inputs'!$C$53:$C$54,0),MATCH('3. GRI Pricing'!H555,'2. GRI Pricing Inputs'!$C$53:$AI$53,0)),0)</f>
        <v>0</v>
      </c>
      <c r="Q555" s="273">
        <f>IFERROR(INDEX('2. GRI Pricing Inputs'!$C$60:$AI$61,MATCH('3. GRI Pricing'!$Q$16,'2. GRI Pricing Inputs'!$C$60:$C$61,0),MATCH('1. Accomodation'!T559,'2. GRI Pricing Inputs'!$C$60:$AI$60,0)),0)</f>
        <v>0</v>
      </c>
      <c r="R555" s="273">
        <f>IFERROR(INDEX('2. GRI Pricing Inputs'!$C$67:$AI$68,MATCH('3. GRI Pricing'!$R$16,'2. GRI Pricing Inputs'!$C$67:$C$68,0),MATCH('1. Accomodation'!U559,'2. GRI Pricing Inputs'!$C$67:$AI$67,0)),0)</f>
        <v>0</v>
      </c>
      <c r="S555" s="273">
        <f>IF(D555=0,0,'2. GRI Pricing Inputs'!$AI$75)</f>
        <v>0</v>
      </c>
      <c r="T555" s="273">
        <f>IFERROR(INDEX('2. GRI Pricing Inputs'!$C$82:$AI$83,MATCH('3. GRI Pricing'!$T$16,'2. GRI Pricing Inputs'!$C$82:$C$83,0),MATCH('1. Accomodation'!V559,'2. GRI Pricing Inputs'!$C$82:$AI$82,0)),0)</f>
        <v>0</v>
      </c>
      <c r="U555" s="273">
        <f>IFERROR(INDEX('2. GRI Pricing Inputs'!$C$89:$AI$90,MATCH('3. GRI Pricing'!$U$16,'2. GRI Pricing Inputs'!$C$89:$C$90,0),MATCH('1. Accomodation'!W559,'2. GRI Pricing Inputs'!$C$89:$AI$89,0)),0)</f>
        <v>0</v>
      </c>
      <c r="V555" s="273">
        <f>IFERROR(INDEX('2. GRI Pricing Inputs'!$C$97:$AI$98,MATCH('3. GRI Pricing'!$V$16,'2. GRI Pricing Inputs'!$C$97:$C$98,0),MATCH('1. Accomodation'!X559,'2. GRI Pricing Inputs'!$C$97:$AI$97,0)),0)</f>
        <v>0</v>
      </c>
      <c r="W555" s="273">
        <f>IFERROR(INDEX('2. GRI Pricing Inputs'!$C$104:$AI$105,MATCH('3. GRI Pricing'!$W$16,'2. GRI Pricing Inputs'!$C$104:$C$105,0),MATCH('1. Accomodation'!Y559,'2. GRI Pricing Inputs'!$C$104:$AI$104,0)),0)</f>
        <v>0</v>
      </c>
      <c r="X555" s="274"/>
      <c r="Y555" s="275">
        <f t="shared" si="15"/>
        <v>0</v>
      </c>
      <c r="Z555" s="276"/>
      <c r="AA555" s="276"/>
      <c r="AB555" s="276"/>
      <c r="AC555" s="272">
        <f>Y555*(1+'2. GRI Pricing Inputs'!$D$114)^(($AC$16-$AB$15)/365)</f>
        <v>0</v>
      </c>
      <c r="AD555" s="273">
        <f>AC555*(1+'2. GRI Pricing Inputs'!$D$114)^((AD$16-AC$16)/365)</f>
        <v>0</v>
      </c>
      <c r="AE555" s="273">
        <f>AD555*(1+'2. GRI Pricing Inputs'!$D$114)^((AE$16-AD$16)/365)</f>
        <v>0</v>
      </c>
      <c r="AF555" s="273">
        <f>AE555*(1+'2. GRI Pricing Inputs'!$D$114)^((AF$16-AE$16)/365)</f>
        <v>0</v>
      </c>
      <c r="AG555" s="273">
        <f>AF555*(1+'2. GRI Pricing Inputs'!$D$114)^((AG$16-AF$16)/365)</f>
        <v>0</v>
      </c>
      <c r="AH555" s="273">
        <f>AG555*(1+'2. GRI Pricing Inputs'!$D$114)^((AH$16-AG$16)/365)</f>
        <v>0</v>
      </c>
      <c r="AI555" s="273">
        <f>AH555*(1+'2. GRI Pricing Inputs'!$D$114)^((AI$16-AH$16)/365)</f>
        <v>0</v>
      </c>
      <c r="AJ555" s="273">
        <f>AI555*(1+'2. GRI Pricing Inputs'!$D$114)^((AJ$16-AI$16)/365)</f>
        <v>0</v>
      </c>
      <c r="AK555" s="273">
        <f>AJ555*(1+'2. GRI Pricing Inputs'!$D$114)^((AK$16-AJ$16)/365)</f>
        <v>0</v>
      </c>
      <c r="AL555" s="273">
        <f>AK555*(1+'2. GRI Pricing Inputs'!$D$114)^((AL$16-AK$16)/365)</f>
        <v>0</v>
      </c>
      <c r="AM555" s="273">
        <f>AL555*(1+'2. GRI Pricing Inputs'!$D$114)^((AM$16-AL$16)/365)</f>
        <v>0</v>
      </c>
      <c r="AN555" s="273">
        <f>AM555*(1+'2. GRI Pricing Inputs'!$D$114)^((AN$16-AM$16)/365)</f>
        <v>0</v>
      </c>
      <c r="AO555" s="273">
        <f>AN555*(1+'2. GRI Pricing Inputs'!$D$114)^((AO$16-AN$16)/365)</f>
        <v>0</v>
      </c>
    </row>
    <row r="556" spans="3:41" ht="12" x14ac:dyDescent="0.2">
      <c r="C556" s="76">
        <f>'1. Accomodation'!N560</f>
        <v>0</v>
      </c>
      <c r="D556" s="69">
        <f>'1. Accomodation'!P560</f>
        <v>0</v>
      </c>
      <c r="E556" s="69">
        <f>'1. Accomodation'!Q560</f>
        <v>0</v>
      </c>
      <c r="F556" s="77">
        <f>'1. Accomodation'!O560</f>
        <v>0</v>
      </c>
      <c r="G556" s="69">
        <f>'1. Accomodation'!R560</f>
        <v>0</v>
      </c>
      <c r="H556" s="69">
        <f>'1. Accomodation'!S560</f>
        <v>0</v>
      </c>
      <c r="I556" s="62"/>
      <c r="K556" s="272">
        <f>IFERROR(INDEX('2. GRI Pricing Inputs'!$C$15:$AI$16,MATCH($K$16,'2. GRI Pricing Inputs'!$C$15:$C$16,0),MATCH(D556,'2. GRI Pricing Inputs'!$C$15:$AI$15,0)),0)</f>
        <v>0</v>
      </c>
      <c r="L556" s="273">
        <f>IFERROR(INDEX('2. GRI Pricing Inputs'!$C$22:$AI$23,MATCH($L$16,'2. GRI Pricing Inputs'!$C$22:$C$23,0),MATCH(E556,'2. GRI Pricing Inputs'!$C$22:$AI$22,0)),0)</f>
        <v>0</v>
      </c>
      <c r="M556" s="328">
        <f>IF(AND('3. GRI Pricing'!$F556&gt;='2. GRI Pricing Inputs'!$D$33,'3. GRI Pricing'!$F556&lt;='2. GRI Pricing Inputs'!$E$33),'2. GRI Pricing Inputs'!$D$32,IF(AND('3. GRI Pricing'!$F556&gt;='2. GRI Pricing Inputs'!$F$33,'3. GRI Pricing'!$F556&lt;='2. GRI Pricing Inputs'!$G$33),'2. GRI Pricing Inputs'!$F$32,IF(AND('3. GRI Pricing'!$F556&gt;='2. GRI Pricing Inputs'!$H$33,'3. GRI Pricing'!$F556&lt;='2. GRI Pricing Inputs'!$I$33),'2. GRI Pricing Inputs'!$H$32,IF(AND('3. GRI Pricing'!$F556&gt;='2. GRI Pricing Inputs'!$J$33,'3. GRI Pricing'!$F556&lt;='2. GRI Pricing Inputs'!$K$33),'2. GRI Pricing Inputs'!$J$32,IF(AND('3. GRI Pricing'!$F556&gt;='2. GRI Pricing Inputs'!$L$33,'3. GRI Pricing'!$F556&lt;='2. GRI Pricing Inputs'!$M$33),'2. GRI Pricing Inputs'!$L$32,IF(AND('3. GRI Pricing'!$F556&gt;='2. GRI Pricing Inputs'!$N$33,'3. GRI Pricing'!$F556&lt;='2. GRI Pricing Inputs'!$O$33),'2. GRI Pricing Inputs'!$N$32,IF(AND('3. GRI Pricing'!$F556&gt;='2. GRI Pricing Inputs'!$P$33,'3. GRI Pricing'!$F556&lt;='2. GRI Pricing Inputs'!$Q$33),'2. GRI Pricing Inputs'!$P$32,IF(AND('3. GRI Pricing'!$F556&gt;='2. GRI Pricing Inputs'!$R$33,'3. GRI Pricing'!$F556&lt;='2. GRI Pricing Inputs'!$S$33),'2. GRI Pricing Inputs'!$R$32,IF(AND('3. GRI Pricing'!$F556&gt;='2. GRI Pricing Inputs'!$T$33,'3. GRI Pricing'!$F556&lt;='2. GRI Pricing Inputs'!$U$33),'2. GRI Pricing Inputs'!$T$32,IF(AND('3. GRI Pricing'!$F556&gt;='2. GRI Pricing Inputs'!$V$33,'3. GRI Pricing'!$F556&lt;='2. GRI Pricing Inputs'!$W$33),'2. GRI Pricing Inputs'!$V$32,IF(AND('3. GRI Pricing'!$F556&gt;='2. GRI Pricing Inputs'!$X$33,'3. GRI Pricing'!$F556&lt;='2. GRI Pricing Inputs'!$Y$33),'2. GRI Pricing Inputs'!$X$32,IF(AND('3. GRI Pricing'!$F556&gt;='2. GRI Pricing Inputs'!$Z$33,'3. GRI Pricing'!$F556&lt;='2. GRI Pricing Inputs'!$AA$33),'2. GRI Pricing Inputs'!$Z$32,IF(AND('3. GRI Pricing'!$F556&gt;='2. GRI Pricing Inputs'!$AB$33,'3. GRI Pricing'!$F556&lt;='2. GRI Pricing Inputs'!$AC$33),'2. GRI Pricing Inputs'!$AB$32,IF(AND('3. GRI Pricing'!$F556&gt;='2. GRI Pricing Inputs'!$AD$33,'3. GRI Pricing'!$F556&lt;='2. GRI Pricing Inputs'!$AE$33),'2. GRI Pricing Inputs'!$AD$32,IF(AND('3. GRI Pricing'!$F556&gt;='2. GRI Pricing Inputs'!$AF$33,'3. GRI Pricing'!$F556&lt;='2. GRI Pricing Inputs'!$AG$33),'2. GRI Pricing Inputs'!$AF$32,IF(AND('3. GRI Pricing'!$F556&gt;='2. GRI Pricing Inputs'!$AH$33,'3. GRI Pricing'!$F556&lt;='2. GRI Pricing Inputs'!$AI$33),'2. GRI Pricing Inputs'!$AH$32,0))))))))))))))))</f>
        <v>0</v>
      </c>
      <c r="N556" s="273" cm="1">
        <f t="array" ref="N556">IFERROR(INDEX('2. GRI Pricing Inputs'!$C$32:$AI$39,MATCH('3. GRI Pricing'!D556,'2. GRI Pricing Inputs'!$C$32:$C$39,0),(MATCH('3. GRI Pricing'!M556,'2. GRI Pricing Inputs'!$D$32:$AI$32,0)+1)),0)</f>
        <v>0</v>
      </c>
      <c r="O556" s="273">
        <f>IFERROR(INDEX('2. GRI Pricing Inputs'!$C$45:$AI$46,MATCH($O$16,'2. GRI Pricing Inputs'!$C$45:$C$46,0),MATCH(G556,'2. GRI Pricing Inputs'!$C$45:$AI$45,0)),0)</f>
        <v>0</v>
      </c>
      <c r="P556" s="273">
        <f>IFERROR(INDEX('2. GRI Pricing Inputs'!$C$53:$AI$54,MATCH('3. GRI Pricing'!$P$16,'2. GRI Pricing Inputs'!$C$53:$C$54,0),MATCH('3. GRI Pricing'!H556,'2. GRI Pricing Inputs'!$C$53:$AI$53,0)),0)</f>
        <v>0</v>
      </c>
      <c r="Q556" s="273">
        <f>IFERROR(INDEX('2. GRI Pricing Inputs'!$C$60:$AI$61,MATCH('3. GRI Pricing'!$Q$16,'2. GRI Pricing Inputs'!$C$60:$C$61,0),MATCH('1. Accomodation'!T560,'2. GRI Pricing Inputs'!$C$60:$AI$60,0)),0)</f>
        <v>0</v>
      </c>
      <c r="R556" s="273">
        <f>IFERROR(INDEX('2. GRI Pricing Inputs'!$C$67:$AI$68,MATCH('3. GRI Pricing'!$R$16,'2. GRI Pricing Inputs'!$C$67:$C$68,0),MATCH('1. Accomodation'!U560,'2. GRI Pricing Inputs'!$C$67:$AI$67,0)),0)</f>
        <v>0</v>
      </c>
      <c r="S556" s="273">
        <f>IF(D556=0,0,'2. GRI Pricing Inputs'!$AI$75)</f>
        <v>0</v>
      </c>
      <c r="T556" s="273">
        <f>IFERROR(INDEX('2. GRI Pricing Inputs'!$C$82:$AI$83,MATCH('3. GRI Pricing'!$T$16,'2. GRI Pricing Inputs'!$C$82:$C$83,0),MATCH('1. Accomodation'!V560,'2. GRI Pricing Inputs'!$C$82:$AI$82,0)),0)</f>
        <v>0</v>
      </c>
      <c r="U556" s="273">
        <f>IFERROR(INDEX('2. GRI Pricing Inputs'!$C$89:$AI$90,MATCH('3. GRI Pricing'!$U$16,'2. GRI Pricing Inputs'!$C$89:$C$90,0),MATCH('1. Accomodation'!W560,'2. GRI Pricing Inputs'!$C$89:$AI$89,0)),0)</f>
        <v>0</v>
      </c>
      <c r="V556" s="273">
        <f>IFERROR(INDEX('2. GRI Pricing Inputs'!$C$97:$AI$98,MATCH('3. GRI Pricing'!$V$16,'2. GRI Pricing Inputs'!$C$97:$C$98,0),MATCH('1. Accomodation'!X560,'2. GRI Pricing Inputs'!$C$97:$AI$97,0)),0)</f>
        <v>0</v>
      </c>
      <c r="W556" s="273">
        <f>IFERROR(INDEX('2. GRI Pricing Inputs'!$C$104:$AI$105,MATCH('3. GRI Pricing'!$W$16,'2. GRI Pricing Inputs'!$C$104:$C$105,0),MATCH('1. Accomodation'!Y560,'2. GRI Pricing Inputs'!$C$104:$AI$104,0)),0)</f>
        <v>0</v>
      </c>
      <c r="X556" s="274"/>
      <c r="Y556" s="275">
        <f t="shared" si="15"/>
        <v>0</v>
      </c>
      <c r="Z556" s="276"/>
      <c r="AA556" s="276"/>
      <c r="AB556" s="276"/>
      <c r="AC556" s="272">
        <f>Y556*(1+'2. GRI Pricing Inputs'!$D$114)^(($AC$16-$AB$15)/365)</f>
        <v>0</v>
      </c>
      <c r="AD556" s="273">
        <f>AC556*(1+'2. GRI Pricing Inputs'!$D$114)^((AD$16-AC$16)/365)</f>
        <v>0</v>
      </c>
      <c r="AE556" s="273">
        <f>AD556*(1+'2. GRI Pricing Inputs'!$D$114)^((AE$16-AD$16)/365)</f>
        <v>0</v>
      </c>
      <c r="AF556" s="273">
        <f>AE556*(1+'2. GRI Pricing Inputs'!$D$114)^((AF$16-AE$16)/365)</f>
        <v>0</v>
      </c>
      <c r="AG556" s="273">
        <f>AF556*(1+'2. GRI Pricing Inputs'!$D$114)^((AG$16-AF$16)/365)</f>
        <v>0</v>
      </c>
      <c r="AH556" s="273">
        <f>AG556*(1+'2. GRI Pricing Inputs'!$D$114)^((AH$16-AG$16)/365)</f>
        <v>0</v>
      </c>
      <c r="AI556" s="273">
        <f>AH556*(1+'2. GRI Pricing Inputs'!$D$114)^((AI$16-AH$16)/365)</f>
        <v>0</v>
      </c>
      <c r="AJ556" s="273">
        <f>AI556*(1+'2. GRI Pricing Inputs'!$D$114)^((AJ$16-AI$16)/365)</f>
        <v>0</v>
      </c>
      <c r="AK556" s="273">
        <f>AJ556*(1+'2. GRI Pricing Inputs'!$D$114)^((AK$16-AJ$16)/365)</f>
        <v>0</v>
      </c>
      <c r="AL556" s="273">
        <f>AK556*(1+'2. GRI Pricing Inputs'!$D$114)^((AL$16-AK$16)/365)</f>
        <v>0</v>
      </c>
      <c r="AM556" s="273">
        <f>AL556*(1+'2. GRI Pricing Inputs'!$D$114)^((AM$16-AL$16)/365)</f>
        <v>0</v>
      </c>
      <c r="AN556" s="273">
        <f>AM556*(1+'2. GRI Pricing Inputs'!$D$114)^((AN$16-AM$16)/365)</f>
        <v>0</v>
      </c>
      <c r="AO556" s="273">
        <f>AN556*(1+'2. GRI Pricing Inputs'!$D$114)^((AO$16-AN$16)/365)</f>
        <v>0</v>
      </c>
    </row>
    <row r="557" spans="3:41" ht="12" x14ac:dyDescent="0.2">
      <c r="C557" s="76">
        <f>'1. Accomodation'!N561</f>
        <v>0</v>
      </c>
      <c r="D557" s="69">
        <f>'1. Accomodation'!P561</f>
        <v>0</v>
      </c>
      <c r="E557" s="69">
        <f>'1. Accomodation'!Q561</f>
        <v>0</v>
      </c>
      <c r="F557" s="77">
        <f>'1. Accomodation'!O561</f>
        <v>0</v>
      </c>
      <c r="G557" s="69">
        <f>'1. Accomodation'!R561</f>
        <v>0</v>
      </c>
      <c r="H557" s="69">
        <f>'1. Accomodation'!S561</f>
        <v>0</v>
      </c>
      <c r="I557" s="62"/>
      <c r="K557" s="272">
        <f>IFERROR(INDEX('2. GRI Pricing Inputs'!$C$15:$AI$16,MATCH($K$16,'2. GRI Pricing Inputs'!$C$15:$C$16,0),MATCH(D557,'2. GRI Pricing Inputs'!$C$15:$AI$15,0)),0)</f>
        <v>0</v>
      </c>
      <c r="L557" s="273">
        <f>IFERROR(INDEX('2. GRI Pricing Inputs'!$C$22:$AI$23,MATCH($L$16,'2. GRI Pricing Inputs'!$C$22:$C$23,0),MATCH(E557,'2. GRI Pricing Inputs'!$C$22:$AI$22,0)),0)</f>
        <v>0</v>
      </c>
      <c r="M557" s="328">
        <f>IF(AND('3. GRI Pricing'!$F557&gt;='2. GRI Pricing Inputs'!$D$33,'3. GRI Pricing'!$F557&lt;='2. GRI Pricing Inputs'!$E$33),'2. GRI Pricing Inputs'!$D$32,IF(AND('3. GRI Pricing'!$F557&gt;='2. GRI Pricing Inputs'!$F$33,'3. GRI Pricing'!$F557&lt;='2. GRI Pricing Inputs'!$G$33),'2. GRI Pricing Inputs'!$F$32,IF(AND('3. GRI Pricing'!$F557&gt;='2. GRI Pricing Inputs'!$H$33,'3. GRI Pricing'!$F557&lt;='2. GRI Pricing Inputs'!$I$33),'2. GRI Pricing Inputs'!$H$32,IF(AND('3. GRI Pricing'!$F557&gt;='2. GRI Pricing Inputs'!$J$33,'3. GRI Pricing'!$F557&lt;='2. GRI Pricing Inputs'!$K$33),'2. GRI Pricing Inputs'!$J$32,IF(AND('3. GRI Pricing'!$F557&gt;='2. GRI Pricing Inputs'!$L$33,'3. GRI Pricing'!$F557&lt;='2. GRI Pricing Inputs'!$M$33),'2. GRI Pricing Inputs'!$L$32,IF(AND('3. GRI Pricing'!$F557&gt;='2. GRI Pricing Inputs'!$N$33,'3. GRI Pricing'!$F557&lt;='2. GRI Pricing Inputs'!$O$33),'2. GRI Pricing Inputs'!$N$32,IF(AND('3. GRI Pricing'!$F557&gt;='2. GRI Pricing Inputs'!$P$33,'3. GRI Pricing'!$F557&lt;='2. GRI Pricing Inputs'!$Q$33),'2. GRI Pricing Inputs'!$P$32,IF(AND('3. GRI Pricing'!$F557&gt;='2. GRI Pricing Inputs'!$R$33,'3. GRI Pricing'!$F557&lt;='2. GRI Pricing Inputs'!$S$33),'2. GRI Pricing Inputs'!$R$32,IF(AND('3. GRI Pricing'!$F557&gt;='2. GRI Pricing Inputs'!$T$33,'3. GRI Pricing'!$F557&lt;='2. GRI Pricing Inputs'!$U$33),'2. GRI Pricing Inputs'!$T$32,IF(AND('3. GRI Pricing'!$F557&gt;='2. GRI Pricing Inputs'!$V$33,'3. GRI Pricing'!$F557&lt;='2. GRI Pricing Inputs'!$W$33),'2. GRI Pricing Inputs'!$V$32,IF(AND('3. GRI Pricing'!$F557&gt;='2. GRI Pricing Inputs'!$X$33,'3. GRI Pricing'!$F557&lt;='2. GRI Pricing Inputs'!$Y$33),'2. GRI Pricing Inputs'!$X$32,IF(AND('3. GRI Pricing'!$F557&gt;='2. GRI Pricing Inputs'!$Z$33,'3. GRI Pricing'!$F557&lt;='2. GRI Pricing Inputs'!$AA$33),'2. GRI Pricing Inputs'!$Z$32,IF(AND('3. GRI Pricing'!$F557&gt;='2. GRI Pricing Inputs'!$AB$33,'3. GRI Pricing'!$F557&lt;='2. GRI Pricing Inputs'!$AC$33),'2. GRI Pricing Inputs'!$AB$32,IF(AND('3. GRI Pricing'!$F557&gt;='2. GRI Pricing Inputs'!$AD$33,'3. GRI Pricing'!$F557&lt;='2. GRI Pricing Inputs'!$AE$33),'2. GRI Pricing Inputs'!$AD$32,IF(AND('3. GRI Pricing'!$F557&gt;='2. GRI Pricing Inputs'!$AF$33,'3. GRI Pricing'!$F557&lt;='2. GRI Pricing Inputs'!$AG$33),'2. GRI Pricing Inputs'!$AF$32,IF(AND('3. GRI Pricing'!$F557&gt;='2. GRI Pricing Inputs'!$AH$33,'3. GRI Pricing'!$F557&lt;='2. GRI Pricing Inputs'!$AI$33),'2. GRI Pricing Inputs'!$AH$32,0))))))))))))))))</f>
        <v>0</v>
      </c>
      <c r="N557" s="273" cm="1">
        <f t="array" ref="N557">IFERROR(INDEX('2. GRI Pricing Inputs'!$C$32:$AI$39,MATCH('3. GRI Pricing'!D557,'2. GRI Pricing Inputs'!$C$32:$C$39,0),(MATCH('3. GRI Pricing'!M557,'2. GRI Pricing Inputs'!$D$32:$AI$32,0)+1)),0)</f>
        <v>0</v>
      </c>
      <c r="O557" s="273">
        <f>IFERROR(INDEX('2. GRI Pricing Inputs'!$C$45:$AI$46,MATCH($O$16,'2. GRI Pricing Inputs'!$C$45:$C$46,0),MATCH(G557,'2. GRI Pricing Inputs'!$C$45:$AI$45,0)),0)</f>
        <v>0</v>
      </c>
      <c r="P557" s="273">
        <f>IFERROR(INDEX('2. GRI Pricing Inputs'!$C$53:$AI$54,MATCH('3. GRI Pricing'!$P$16,'2. GRI Pricing Inputs'!$C$53:$C$54,0),MATCH('3. GRI Pricing'!H557,'2. GRI Pricing Inputs'!$C$53:$AI$53,0)),0)</f>
        <v>0</v>
      </c>
      <c r="Q557" s="273">
        <f>IFERROR(INDEX('2. GRI Pricing Inputs'!$C$60:$AI$61,MATCH('3. GRI Pricing'!$Q$16,'2. GRI Pricing Inputs'!$C$60:$C$61,0),MATCH('1. Accomodation'!T561,'2. GRI Pricing Inputs'!$C$60:$AI$60,0)),0)</f>
        <v>0</v>
      </c>
      <c r="R557" s="273">
        <f>IFERROR(INDEX('2. GRI Pricing Inputs'!$C$67:$AI$68,MATCH('3. GRI Pricing'!$R$16,'2. GRI Pricing Inputs'!$C$67:$C$68,0),MATCH('1. Accomodation'!U561,'2. GRI Pricing Inputs'!$C$67:$AI$67,0)),0)</f>
        <v>0</v>
      </c>
      <c r="S557" s="273">
        <f>IF(D557=0,0,'2. GRI Pricing Inputs'!$AI$75)</f>
        <v>0</v>
      </c>
      <c r="T557" s="273">
        <f>IFERROR(INDEX('2. GRI Pricing Inputs'!$C$82:$AI$83,MATCH('3. GRI Pricing'!$T$16,'2. GRI Pricing Inputs'!$C$82:$C$83,0),MATCH('1. Accomodation'!V561,'2. GRI Pricing Inputs'!$C$82:$AI$82,0)),0)</f>
        <v>0</v>
      </c>
      <c r="U557" s="273">
        <f>IFERROR(INDEX('2. GRI Pricing Inputs'!$C$89:$AI$90,MATCH('3. GRI Pricing'!$U$16,'2. GRI Pricing Inputs'!$C$89:$C$90,0),MATCH('1. Accomodation'!W561,'2. GRI Pricing Inputs'!$C$89:$AI$89,0)),0)</f>
        <v>0</v>
      </c>
      <c r="V557" s="273">
        <f>IFERROR(INDEX('2. GRI Pricing Inputs'!$C$97:$AI$98,MATCH('3. GRI Pricing'!$V$16,'2. GRI Pricing Inputs'!$C$97:$C$98,0),MATCH('1. Accomodation'!X561,'2. GRI Pricing Inputs'!$C$97:$AI$97,0)),0)</f>
        <v>0</v>
      </c>
      <c r="W557" s="273">
        <f>IFERROR(INDEX('2. GRI Pricing Inputs'!$C$104:$AI$105,MATCH('3. GRI Pricing'!$W$16,'2. GRI Pricing Inputs'!$C$104:$C$105,0),MATCH('1. Accomodation'!Y561,'2. GRI Pricing Inputs'!$C$104:$AI$104,0)),0)</f>
        <v>0</v>
      </c>
      <c r="X557" s="274"/>
      <c r="Y557" s="275">
        <f t="shared" si="15"/>
        <v>0</v>
      </c>
      <c r="Z557" s="276"/>
      <c r="AA557" s="276"/>
      <c r="AB557" s="276"/>
      <c r="AC557" s="272">
        <f>Y557*(1+'2. GRI Pricing Inputs'!$D$114)^(($AC$16-$AB$15)/365)</f>
        <v>0</v>
      </c>
      <c r="AD557" s="273">
        <f>AC557*(1+'2. GRI Pricing Inputs'!$D$114)^((AD$16-AC$16)/365)</f>
        <v>0</v>
      </c>
      <c r="AE557" s="273">
        <f>AD557*(1+'2. GRI Pricing Inputs'!$D$114)^((AE$16-AD$16)/365)</f>
        <v>0</v>
      </c>
      <c r="AF557" s="273">
        <f>AE557*(1+'2. GRI Pricing Inputs'!$D$114)^((AF$16-AE$16)/365)</f>
        <v>0</v>
      </c>
      <c r="AG557" s="273">
        <f>AF557*(1+'2. GRI Pricing Inputs'!$D$114)^((AG$16-AF$16)/365)</f>
        <v>0</v>
      </c>
      <c r="AH557" s="273">
        <f>AG557*(1+'2. GRI Pricing Inputs'!$D$114)^((AH$16-AG$16)/365)</f>
        <v>0</v>
      </c>
      <c r="AI557" s="273">
        <f>AH557*(1+'2. GRI Pricing Inputs'!$D$114)^((AI$16-AH$16)/365)</f>
        <v>0</v>
      </c>
      <c r="AJ557" s="273">
        <f>AI557*(1+'2. GRI Pricing Inputs'!$D$114)^((AJ$16-AI$16)/365)</f>
        <v>0</v>
      </c>
      <c r="AK557" s="273">
        <f>AJ557*(1+'2. GRI Pricing Inputs'!$D$114)^((AK$16-AJ$16)/365)</f>
        <v>0</v>
      </c>
      <c r="AL557" s="273">
        <f>AK557*(1+'2. GRI Pricing Inputs'!$D$114)^((AL$16-AK$16)/365)</f>
        <v>0</v>
      </c>
      <c r="AM557" s="273">
        <f>AL557*(1+'2. GRI Pricing Inputs'!$D$114)^((AM$16-AL$16)/365)</f>
        <v>0</v>
      </c>
      <c r="AN557" s="273">
        <f>AM557*(1+'2. GRI Pricing Inputs'!$D$114)^((AN$16-AM$16)/365)</f>
        <v>0</v>
      </c>
      <c r="AO557" s="273">
        <f>AN557*(1+'2. GRI Pricing Inputs'!$D$114)^((AO$16-AN$16)/365)</f>
        <v>0</v>
      </c>
    </row>
    <row r="558" spans="3:41" ht="12" x14ac:dyDescent="0.2">
      <c r="C558" s="76">
        <f>'1. Accomodation'!N562</f>
        <v>0</v>
      </c>
      <c r="D558" s="69">
        <f>'1. Accomodation'!P562</f>
        <v>0</v>
      </c>
      <c r="E558" s="69">
        <f>'1. Accomodation'!Q562</f>
        <v>0</v>
      </c>
      <c r="F558" s="77">
        <f>'1. Accomodation'!O562</f>
        <v>0</v>
      </c>
      <c r="G558" s="69">
        <f>'1. Accomodation'!R562</f>
        <v>0</v>
      </c>
      <c r="H558" s="69">
        <f>'1. Accomodation'!S562</f>
        <v>0</v>
      </c>
      <c r="I558" s="62"/>
      <c r="K558" s="272">
        <f>IFERROR(INDEX('2. GRI Pricing Inputs'!$C$15:$AI$16,MATCH($K$16,'2. GRI Pricing Inputs'!$C$15:$C$16,0),MATCH(D558,'2. GRI Pricing Inputs'!$C$15:$AI$15,0)),0)</f>
        <v>0</v>
      </c>
      <c r="L558" s="273">
        <f>IFERROR(INDEX('2. GRI Pricing Inputs'!$C$22:$AI$23,MATCH($L$16,'2. GRI Pricing Inputs'!$C$22:$C$23,0),MATCH(E558,'2. GRI Pricing Inputs'!$C$22:$AI$22,0)),0)</f>
        <v>0</v>
      </c>
      <c r="M558" s="328">
        <f>IF(AND('3. GRI Pricing'!$F558&gt;='2. GRI Pricing Inputs'!$D$33,'3. GRI Pricing'!$F558&lt;='2. GRI Pricing Inputs'!$E$33),'2. GRI Pricing Inputs'!$D$32,IF(AND('3. GRI Pricing'!$F558&gt;='2. GRI Pricing Inputs'!$F$33,'3. GRI Pricing'!$F558&lt;='2. GRI Pricing Inputs'!$G$33),'2. GRI Pricing Inputs'!$F$32,IF(AND('3. GRI Pricing'!$F558&gt;='2. GRI Pricing Inputs'!$H$33,'3. GRI Pricing'!$F558&lt;='2. GRI Pricing Inputs'!$I$33),'2. GRI Pricing Inputs'!$H$32,IF(AND('3. GRI Pricing'!$F558&gt;='2. GRI Pricing Inputs'!$J$33,'3. GRI Pricing'!$F558&lt;='2. GRI Pricing Inputs'!$K$33),'2. GRI Pricing Inputs'!$J$32,IF(AND('3. GRI Pricing'!$F558&gt;='2. GRI Pricing Inputs'!$L$33,'3. GRI Pricing'!$F558&lt;='2. GRI Pricing Inputs'!$M$33),'2. GRI Pricing Inputs'!$L$32,IF(AND('3. GRI Pricing'!$F558&gt;='2. GRI Pricing Inputs'!$N$33,'3. GRI Pricing'!$F558&lt;='2. GRI Pricing Inputs'!$O$33),'2. GRI Pricing Inputs'!$N$32,IF(AND('3. GRI Pricing'!$F558&gt;='2. GRI Pricing Inputs'!$P$33,'3. GRI Pricing'!$F558&lt;='2. GRI Pricing Inputs'!$Q$33),'2. GRI Pricing Inputs'!$P$32,IF(AND('3. GRI Pricing'!$F558&gt;='2. GRI Pricing Inputs'!$R$33,'3. GRI Pricing'!$F558&lt;='2. GRI Pricing Inputs'!$S$33),'2. GRI Pricing Inputs'!$R$32,IF(AND('3. GRI Pricing'!$F558&gt;='2. GRI Pricing Inputs'!$T$33,'3. GRI Pricing'!$F558&lt;='2. GRI Pricing Inputs'!$U$33),'2. GRI Pricing Inputs'!$T$32,IF(AND('3. GRI Pricing'!$F558&gt;='2. GRI Pricing Inputs'!$V$33,'3. GRI Pricing'!$F558&lt;='2. GRI Pricing Inputs'!$W$33),'2. GRI Pricing Inputs'!$V$32,IF(AND('3. GRI Pricing'!$F558&gt;='2. GRI Pricing Inputs'!$X$33,'3. GRI Pricing'!$F558&lt;='2. GRI Pricing Inputs'!$Y$33),'2. GRI Pricing Inputs'!$X$32,IF(AND('3. GRI Pricing'!$F558&gt;='2. GRI Pricing Inputs'!$Z$33,'3. GRI Pricing'!$F558&lt;='2. GRI Pricing Inputs'!$AA$33),'2. GRI Pricing Inputs'!$Z$32,IF(AND('3. GRI Pricing'!$F558&gt;='2. GRI Pricing Inputs'!$AB$33,'3. GRI Pricing'!$F558&lt;='2. GRI Pricing Inputs'!$AC$33),'2. GRI Pricing Inputs'!$AB$32,IF(AND('3. GRI Pricing'!$F558&gt;='2. GRI Pricing Inputs'!$AD$33,'3. GRI Pricing'!$F558&lt;='2. GRI Pricing Inputs'!$AE$33),'2. GRI Pricing Inputs'!$AD$32,IF(AND('3. GRI Pricing'!$F558&gt;='2. GRI Pricing Inputs'!$AF$33,'3. GRI Pricing'!$F558&lt;='2. GRI Pricing Inputs'!$AG$33),'2. GRI Pricing Inputs'!$AF$32,IF(AND('3. GRI Pricing'!$F558&gt;='2. GRI Pricing Inputs'!$AH$33,'3. GRI Pricing'!$F558&lt;='2. GRI Pricing Inputs'!$AI$33),'2. GRI Pricing Inputs'!$AH$32,0))))))))))))))))</f>
        <v>0</v>
      </c>
      <c r="N558" s="273" cm="1">
        <f t="array" ref="N558">IFERROR(INDEX('2. GRI Pricing Inputs'!$C$32:$AI$39,MATCH('3. GRI Pricing'!D558,'2. GRI Pricing Inputs'!$C$32:$C$39,0),(MATCH('3. GRI Pricing'!M558,'2. GRI Pricing Inputs'!$D$32:$AI$32,0)+1)),0)</f>
        <v>0</v>
      </c>
      <c r="O558" s="273">
        <f>IFERROR(INDEX('2. GRI Pricing Inputs'!$C$45:$AI$46,MATCH($O$16,'2. GRI Pricing Inputs'!$C$45:$C$46,0),MATCH(G558,'2. GRI Pricing Inputs'!$C$45:$AI$45,0)),0)</f>
        <v>0</v>
      </c>
      <c r="P558" s="273">
        <f>IFERROR(INDEX('2. GRI Pricing Inputs'!$C$53:$AI$54,MATCH('3. GRI Pricing'!$P$16,'2. GRI Pricing Inputs'!$C$53:$C$54,0),MATCH('3. GRI Pricing'!H558,'2. GRI Pricing Inputs'!$C$53:$AI$53,0)),0)</f>
        <v>0</v>
      </c>
      <c r="Q558" s="273">
        <f>IFERROR(INDEX('2. GRI Pricing Inputs'!$C$60:$AI$61,MATCH('3. GRI Pricing'!$Q$16,'2. GRI Pricing Inputs'!$C$60:$C$61,0),MATCH('1. Accomodation'!T562,'2. GRI Pricing Inputs'!$C$60:$AI$60,0)),0)</f>
        <v>0</v>
      </c>
      <c r="R558" s="273">
        <f>IFERROR(INDEX('2. GRI Pricing Inputs'!$C$67:$AI$68,MATCH('3. GRI Pricing'!$R$16,'2. GRI Pricing Inputs'!$C$67:$C$68,0),MATCH('1. Accomodation'!U562,'2. GRI Pricing Inputs'!$C$67:$AI$67,0)),0)</f>
        <v>0</v>
      </c>
      <c r="S558" s="273">
        <f>IF(D558=0,0,'2. GRI Pricing Inputs'!$AI$75)</f>
        <v>0</v>
      </c>
      <c r="T558" s="273">
        <f>IFERROR(INDEX('2. GRI Pricing Inputs'!$C$82:$AI$83,MATCH('3. GRI Pricing'!$T$16,'2. GRI Pricing Inputs'!$C$82:$C$83,0),MATCH('1. Accomodation'!V562,'2. GRI Pricing Inputs'!$C$82:$AI$82,0)),0)</f>
        <v>0</v>
      </c>
      <c r="U558" s="273">
        <f>IFERROR(INDEX('2. GRI Pricing Inputs'!$C$89:$AI$90,MATCH('3. GRI Pricing'!$U$16,'2. GRI Pricing Inputs'!$C$89:$C$90,0),MATCH('1. Accomodation'!W562,'2. GRI Pricing Inputs'!$C$89:$AI$89,0)),0)</f>
        <v>0</v>
      </c>
      <c r="V558" s="273">
        <f>IFERROR(INDEX('2. GRI Pricing Inputs'!$C$97:$AI$98,MATCH('3. GRI Pricing'!$V$16,'2. GRI Pricing Inputs'!$C$97:$C$98,0),MATCH('1. Accomodation'!X562,'2. GRI Pricing Inputs'!$C$97:$AI$97,0)),0)</f>
        <v>0</v>
      </c>
      <c r="W558" s="273">
        <f>IFERROR(INDEX('2. GRI Pricing Inputs'!$C$104:$AI$105,MATCH('3. GRI Pricing'!$W$16,'2. GRI Pricing Inputs'!$C$104:$C$105,0),MATCH('1. Accomodation'!Y562,'2. GRI Pricing Inputs'!$C$104:$AI$104,0)),0)</f>
        <v>0</v>
      </c>
      <c r="X558" s="274"/>
      <c r="Y558" s="275">
        <f t="shared" si="15"/>
        <v>0</v>
      </c>
      <c r="Z558" s="276"/>
      <c r="AA558" s="276"/>
      <c r="AB558" s="276"/>
      <c r="AC558" s="272">
        <f>Y558*(1+'2. GRI Pricing Inputs'!$D$114)^(($AC$16-$AB$15)/365)</f>
        <v>0</v>
      </c>
      <c r="AD558" s="273">
        <f>AC558*(1+'2. GRI Pricing Inputs'!$D$114)^((AD$16-AC$16)/365)</f>
        <v>0</v>
      </c>
      <c r="AE558" s="273">
        <f>AD558*(1+'2. GRI Pricing Inputs'!$D$114)^((AE$16-AD$16)/365)</f>
        <v>0</v>
      </c>
      <c r="AF558" s="273">
        <f>AE558*(1+'2. GRI Pricing Inputs'!$D$114)^((AF$16-AE$16)/365)</f>
        <v>0</v>
      </c>
      <c r="AG558" s="273">
        <f>AF558*(1+'2. GRI Pricing Inputs'!$D$114)^((AG$16-AF$16)/365)</f>
        <v>0</v>
      </c>
      <c r="AH558" s="273">
        <f>AG558*(1+'2. GRI Pricing Inputs'!$D$114)^((AH$16-AG$16)/365)</f>
        <v>0</v>
      </c>
      <c r="AI558" s="273">
        <f>AH558*(1+'2. GRI Pricing Inputs'!$D$114)^((AI$16-AH$16)/365)</f>
        <v>0</v>
      </c>
      <c r="AJ558" s="273">
        <f>AI558*(1+'2. GRI Pricing Inputs'!$D$114)^((AJ$16-AI$16)/365)</f>
        <v>0</v>
      </c>
      <c r="AK558" s="273">
        <f>AJ558*(1+'2. GRI Pricing Inputs'!$D$114)^((AK$16-AJ$16)/365)</f>
        <v>0</v>
      </c>
      <c r="AL558" s="273">
        <f>AK558*(1+'2. GRI Pricing Inputs'!$D$114)^((AL$16-AK$16)/365)</f>
        <v>0</v>
      </c>
      <c r="AM558" s="273">
        <f>AL558*(1+'2. GRI Pricing Inputs'!$D$114)^((AM$16-AL$16)/365)</f>
        <v>0</v>
      </c>
      <c r="AN558" s="273">
        <f>AM558*(1+'2. GRI Pricing Inputs'!$D$114)^((AN$16-AM$16)/365)</f>
        <v>0</v>
      </c>
      <c r="AO558" s="273">
        <f>AN558*(1+'2. GRI Pricing Inputs'!$D$114)^((AO$16-AN$16)/365)</f>
        <v>0</v>
      </c>
    </row>
    <row r="559" spans="3:41" ht="12" x14ac:dyDescent="0.2">
      <c r="C559" s="76">
        <f>'1. Accomodation'!N563</f>
        <v>0</v>
      </c>
      <c r="D559" s="69">
        <f>'1. Accomodation'!P563</f>
        <v>0</v>
      </c>
      <c r="E559" s="69">
        <f>'1. Accomodation'!Q563</f>
        <v>0</v>
      </c>
      <c r="F559" s="77">
        <f>'1. Accomodation'!O563</f>
        <v>0</v>
      </c>
      <c r="G559" s="69">
        <f>'1. Accomodation'!R563</f>
        <v>0</v>
      </c>
      <c r="H559" s="69">
        <f>'1. Accomodation'!S563</f>
        <v>0</v>
      </c>
      <c r="I559" s="62"/>
      <c r="K559" s="272">
        <f>IFERROR(INDEX('2. GRI Pricing Inputs'!$C$15:$AI$16,MATCH($K$16,'2. GRI Pricing Inputs'!$C$15:$C$16,0),MATCH(D559,'2. GRI Pricing Inputs'!$C$15:$AI$15,0)),0)</f>
        <v>0</v>
      </c>
      <c r="L559" s="273">
        <f>IFERROR(INDEX('2. GRI Pricing Inputs'!$C$22:$AI$23,MATCH($L$16,'2. GRI Pricing Inputs'!$C$22:$C$23,0),MATCH(E559,'2. GRI Pricing Inputs'!$C$22:$AI$22,0)),0)</f>
        <v>0</v>
      </c>
      <c r="M559" s="328">
        <f>IF(AND('3. GRI Pricing'!$F559&gt;='2. GRI Pricing Inputs'!$D$33,'3. GRI Pricing'!$F559&lt;='2. GRI Pricing Inputs'!$E$33),'2. GRI Pricing Inputs'!$D$32,IF(AND('3. GRI Pricing'!$F559&gt;='2. GRI Pricing Inputs'!$F$33,'3. GRI Pricing'!$F559&lt;='2. GRI Pricing Inputs'!$G$33),'2. GRI Pricing Inputs'!$F$32,IF(AND('3. GRI Pricing'!$F559&gt;='2. GRI Pricing Inputs'!$H$33,'3. GRI Pricing'!$F559&lt;='2. GRI Pricing Inputs'!$I$33),'2. GRI Pricing Inputs'!$H$32,IF(AND('3. GRI Pricing'!$F559&gt;='2. GRI Pricing Inputs'!$J$33,'3. GRI Pricing'!$F559&lt;='2. GRI Pricing Inputs'!$K$33),'2. GRI Pricing Inputs'!$J$32,IF(AND('3. GRI Pricing'!$F559&gt;='2. GRI Pricing Inputs'!$L$33,'3. GRI Pricing'!$F559&lt;='2. GRI Pricing Inputs'!$M$33),'2. GRI Pricing Inputs'!$L$32,IF(AND('3. GRI Pricing'!$F559&gt;='2. GRI Pricing Inputs'!$N$33,'3. GRI Pricing'!$F559&lt;='2. GRI Pricing Inputs'!$O$33),'2. GRI Pricing Inputs'!$N$32,IF(AND('3. GRI Pricing'!$F559&gt;='2. GRI Pricing Inputs'!$P$33,'3. GRI Pricing'!$F559&lt;='2. GRI Pricing Inputs'!$Q$33),'2. GRI Pricing Inputs'!$P$32,IF(AND('3. GRI Pricing'!$F559&gt;='2. GRI Pricing Inputs'!$R$33,'3. GRI Pricing'!$F559&lt;='2. GRI Pricing Inputs'!$S$33),'2. GRI Pricing Inputs'!$R$32,IF(AND('3. GRI Pricing'!$F559&gt;='2. GRI Pricing Inputs'!$T$33,'3. GRI Pricing'!$F559&lt;='2. GRI Pricing Inputs'!$U$33),'2. GRI Pricing Inputs'!$T$32,IF(AND('3. GRI Pricing'!$F559&gt;='2. GRI Pricing Inputs'!$V$33,'3. GRI Pricing'!$F559&lt;='2. GRI Pricing Inputs'!$W$33),'2. GRI Pricing Inputs'!$V$32,IF(AND('3. GRI Pricing'!$F559&gt;='2. GRI Pricing Inputs'!$X$33,'3. GRI Pricing'!$F559&lt;='2. GRI Pricing Inputs'!$Y$33),'2. GRI Pricing Inputs'!$X$32,IF(AND('3. GRI Pricing'!$F559&gt;='2. GRI Pricing Inputs'!$Z$33,'3. GRI Pricing'!$F559&lt;='2. GRI Pricing Inputs'!$AA$33),'2. GRI Pricing Inputs'!$Z$32,IF(AND('3. GRI Pricing'!$F559&gt;='2. GRI Pricing Inputs'!$AB$33,'3. GRI Pricing'!$F559&lt;='2. GRI Pricing Inputs'!$AC$33),'2. GRI Pricing Inputs'!$AB$32,IF(AND('3. GRI Pricing'!$F559&gt;='2. GRI Pricing Inputs'!$AD$33,'3. GRI Pricing'!$F559&lt;='2. GRI Pricing Inputs'!$AE$33),'2. GRI Pricing Inputs'!$AD$32,IF(AND('3. GRI Pricing'!$F559&gt;='2. GRI Pricing Inputs'!$AF$33,'3. GRI Pricing'!$F559&lt;='2. GRI Pricing Inputs'!$AG$33),'2. GRI Pricing Inputs'!$AF$32,IF(AND('3. GRI Pricing'!$F559&gt;='2. GRI Pricing Inputs'!$AH$33,'3. GRI Pricing'!$F559&lt;='2. GRI Pricing Inputs'!$AI$33),'2. GRI Pricing Inputs'!$AH$32,0))))))))))))))))</f>
        <v>0</v>
      </c>
      <c r="N559" s="273" cm="1">
        <f t="array" ref="N559">IFERROR(INDEX('2. GRI Pricing Inputs'!$C$32:$AI$39,MATCH('3. GRI Pricing'!D559,'2. GRI Pricing Inputs'!$C$32:$C$39,0),(MATCH('3. GRI Pricing'!M559,'2. GRI Pricing Inputs'!$D$32:$AI$32,0)+1)),0)</f>
        <v>0</v>
      </c>
      <c r="O559" s="273">
        <f>IFERROR(INDEX('2. GRI Pricing Inputs'!$C$45:$AI$46,MATCH($O$16,'2. GRI Pricing Inputs'!$C$45:$C$46,0),MATCH(G559,'2. GRI Pricing Inputs'!$C$45:$AI$45,0)),0)</f>
        <v>0</v>
      </c>
      <c r="P559" s="273">
        <f>IFERROR(INDEX('2. GRI Pricing Inputs'!$C$53:$AI$54,MATCH('3. GRI Pricing'!$P$16,'2. GRI Pricing Inputs'!$C$53:$C$54,0),MATCH('3. GRI Pricing'!H559,'2. GRI Pricing Inputs'!$C$53:$AI$53,0)),0)</f>
        <v>0</v>
      </c>
      <c r="Q559" s="273">
        <f>IFERROR(INDEX('2. GRI Pricing Inputs'!$C$60:$AI$61,MATCH('3. GRI Pricing'!$Q$16,'2. GRI Pricing Inputs'!$C$60:$C$61,0),MATCH('1. Accomodation'!T563,'2. GRI Pricing Inputs'!$C$60:$AI$60,0)),0)</f>
        <v>0</v>
      </c>
      <c r="R559" s="273">
        <f>IFERROR(INDEX('2. GRI Pricing Inputs'!$C$67:$AI$68,MATCH('3. GRI Pricing'!$R$16,'2. GRI Pricing Inputs'!$C$67:$C$68,0),MATCH('1. Accomodation'!U563,'2. GRI Pricing Inputs'!$C$67:$AI$67,0)),0)</f>
        <v>0</v>
      </c>
      <c r="S559" s="273">
        <f>IF(D559=0,0,'2. GRI Pricing Inputs'!$AI$75)</f>
        <v>0</v>
      </c>
      <c r="T559" s="273">
        <f>IFERROR(INDEX('2. GRI Pricing Inputs'!$C$82:$AI$83,MATCH('3. GRI Pricing'!$T$16,'2. GRI Pricing Inputs'!$C$82:$C$83,0),MATCH('1. Accomodation'!V563,'2. GRI Pricing Inputs'!$C$82:$AI$82,0)),0)</f>
        <v>0</v>
      </c>
      <c r="U559" s="273">
        <f>IFERROR(INDEX('2. GRI Pricing Inputs'!$C$89:$AI$90,MATCH('3. GRI Pricing'!$U$16,'2. GRI Pricing Inputs'!$C$89:$C$90,0),MATCH('1. Accomodation'!W563,'2. GRI Pricing Inputs'!$C$89:$AI$89,0)),0)</f>
        <v>0</v>
      </c>
      <c r="V559" s="273">
        <f>IFERROR(INDEX('2. GRI Pricing Inputs'!$C$97:$AI$98,MATCH('3. GRI Pricing'!$V$16,'2. GRI Pricing Inputs'!$C$97:$C$98,0),MATCH('1. Accomodation'!X563,'2. GRI Pricing Inputs'!$C$97:$AI$97,0)),0)</f>
        <v>0</v>
      </c>
      <c r="W559" s="273">
        <f>IFERROR(INDEX('2. GRI Pricing Inputs'!$C$104:$AI$105,MATCH('3. GRI Pricing'!$W$16,'2. GRI Pricing Inputs'!$C$104:$C$105,0),MATCH('1. Accomodation'!Y563,'2. GRI Pricing Inputs'!$C$104:$AI$104,0)),0)</f>
        <v>0</v>
      </c>
      <c r="X559" s="274"/>
      <c r="Y559" s="275">
        <f t="shared" si="15"/>
        <v>0</v>
      </c>
      <c r="Z559" s="276"/>
      <c r="AA559" s="276"/>
      <c r="AB559" s="276"/>
      <c r="AC559" s="272">
        <f>Y559*(1+'2. GRI Pricing Inputs'!$D$114)^(($AC$16-$AB$15)/365)</f>
        <v>0</v>
      </c>
      <c r="AD559" s="273">
        <f>AC559*(1+'2. GRI Pricing Inputs'!$D$114)^((AD$16-AC$16)/365)</f>
        <v>0</v>
      </c>
      <c r="AE559" s="273">
        <f>AD559*(1+'2. GRI Pricing Inputs'!$D$114)^((AE$16-AD$16)/365)</f>
        <v>0</v>
      </c>
      <c r="AF559" s="273">
        <f>AE559*(1+'2. GRI Pricing Inputs'!$D$114)^((AF$16-AE$16)/365)</f>
        <v>0</v>
      </c>
      <c r="AG559" s="273">
        <f>AF559*(1+'2. GRI Pricing Inputs'!$D$114)^((AG$16-AF$16)/365)</f>
        <v>0</v>
      </c>
      <c r="AH559" s="273">
        <f>AG559*(1+'2. GRI Pricing Inputs'!$D$114)^((AH$16-AG$16)/365)</f>
        <v>0</v>
      </c>
      <c r="AI559" s="273">
        <f>AH559*(1+'2. GRI Pricing Inputs'!$D$114)^((AI$16-AH$16)/365)</f>
        <v>0</v>
      </c>
      <c r="AJ559" s="273">
        <f>AI559*(1+'2. GRI Pricing Inputs'!$D$114)^((AJ$16-AI$16)/365)</f>
        <v>0</v>
      </c>
      <c r="AK559" s="273">
        <f>AJ559*(1+'2. GRI Pricing Inputs'!$D$114)^((AK$16-AJ$16)/365)</f>
        <v>0</v>
      </c>
      <c r="AL559" s="273">
        <f>AK559*(1+'2. GRI Pricing Inputs'!$D$114)^((AL$16-AK$16)/365)</f>
        <v>0</v>
      </c>
      <c r="AM559" s="273">
        <f>AL559*(1+'2. GRI Pricing Inputs'!$D$114)^((AM$16-AL$16)/365)</f>
        <v>0</v>
      </c>
      <c r="AN559" s="273">
        <f>AM559*(1+'2. GRI Pricing Inputs'!$D$114)^((AN$16-AM$16)/365)</f>
        <v>0</v>
      </c>
      <c r="AO559" s="273">
        <f>AN559*(1+'2. GRI Pricing Inputs'!$D$114)^((AO$16-AN$16)/365)</f>
        <v>0</v>
      </c>
    </row>
    <row r="560" spans="3:41" ht="12" x14ac:dyDescent="0.2">
      <c r="C560" s="76">
        <f>'1. Accomodation'!N564</f>
        <v>0</v>
      </c>
      <c r="D560" s="69">
        <f>'1. Accomodation'!P564</f>
        <v>0</v>
      </c>
      <c r="E560" s="69">
        <f>'1. Accomodation'!Q564</f>
        <v>0</v>
      </c>
      <c r="F560" s="77">
        <f>'1. Accomodation'!O564</f>
        <v>0</v>
      </c>
      <c r="G560" s="69">
        <f>'1. Accomodation'!R564</f>
        <v>0</v>
      </c>
      <c r="H560" s="69">
        <f>'1. Accomodation'!S564</f>
        <v>0</v>
      </c>
      <c r="I560" s="62"/>
      <c r="K560" s="272">
        <f>IFERROR(INDEX('2. GRI Pricing Inputs'!$C$15:$AI$16,MATCH($K$16,'2. GRI Pricing Inputs'!$C$15:$C$16,0),MATCH(D560,'2. GRI Pricing Inputs'!$C$15:$AI$15,0)),0)</f>
        <v>0</v>
      </c>
      <c r="L560" s="273">
        <f>IFERROR(INDEX('2. GRI Pricing Inputs'!$C$22:$AI$23,MATCH($L$16,'2. GRI Pricing Inputs'!$C$22:$C$23,0),MATCH(E560,'2. GRI Pricing Inputs'!$C$22:$AI$22,0)),0)</f>
        <v>0</v>
      </c>
      <c r="M560" s="328">
        <f>IF(AND('3. GRI Pricing'!$F560&gt;='2. GRI Pricing Inputs'!$D$33,'3. GRI Pricing'!$F560&lt;='2. GRI Pricing Inputs'!$E$33),'2. GRI Pricing Inputs'!$D$32,IF(AND('3. GRI Pricing'!$F560&gt;='2. GRI Pricing Inputs'!$F$33,'3. GRI Pricing'!$F560&lt;='2. GRI Pricing Inputs'!$G$33),'2. GRI Pricing Inputs'!$F$32,IF(AND('3. GRI Pricing'!$F560&gt;='2. GRI Pricing Inputs'!$H$33,'3. GRI Pricing'!$F560&lt;='2. GRI Pricing Inputs'!$I$33),'2. GRI Pricing Inputs'!$H$32,IF(AND('3. GRI Pricing'!$F560&gt;='2. GRI Pricing Inputs'!$J$33,'3. GRI Pricing'!$F560&lt;='2. GRI Pricing Inputs'!$K$33),'2. GRI Pricing Inputs'!$J$32,IF(AND('3. GRI Pricing'!$F560&gt;='2. GRI Pricing Inputs'!$L$33,'3. GRI Pricing'!$F560&lt;='2. GRI Pricing Inputs'!$M$33),'2. GRI Pricing Inputs'!$L$32,IF(AND('3. GRI Pricing'!$F560&gt;='2. GRI Pricing Inputs'!$N$33,'3. GRI Pricing'!$F560&lt;='2. GRI Pricing Inputs'!$O$33),'2. GRI Pricing Inputs'!$N$32,IF(AND('3. GRI Pricing'!$F560&gt;='2. GRI Pricing Inputs'!$P$33,'3. GRI Pricing'!$F560&lt;='2. GRI Pricing Inputs'!$Q$33),'2. GRI Pricing Inputs'!$P$32,IF(AND('3. GRI Pricing'!$F560&gt;='2. GRI Pricing Inputs'!$R$33,'3. GRI Pricing'!$F560&lt;='2. GRI Pricing Inputs'!$S$33),'2. GRI Pricing Inputs'!$R$32,IF(AND('3. GRI Pricing'!$F560&gt;='2. GRI Pricing Inputs'!$T$33,'3. GRI Pricing'!$F560&lt;='2. GRI Pricing Inputs'!$U$33),'2. GRI Pricing Inputs'!$T$32,IF(AND('3. GRI Pricing'!$F560&gt;='2. GRI Pricing Inputs'!$V$33,'3. GRI Pricing'!$F560&lt;='2. GRI Pricing Inputs'!$W$33),'2. GRI Pricing Inputs'!$V$32,IF(AND('3. GRI Pricing'!$F560&gt;='2. GRI Pricing Inputs'!$X$33,'3. GRI Pricing'!$F560&lt;='2. GRI Pricing Inputs'!$Y$33),'2. GRI Pricing Inputs'!$X$32,IF(AND('3. GRI Pricing'!$F560&gt;='2. GRI Pricing Inputs'!$Z$33,'3. GRI Pricing'!$F560&lt;='2. GRI Pricing Inputs'!$AA$33),'2. GRI Pricing Inputs'!$Z$32,IF(AND('3. GRI Pricing'!$F560&gt;='2. GRI Pricing Inputs'!$AB$33,'3. GRI Pricing'!$F560&lt;='2. GRI Pricing Inputs'!$AC$33),'2. GRI Pricing Inputs'!$AB$32,IF(AND('3. GRI Pricing'!$F560&gt;='2. GRI Pricing Inputs'!$AD$33,'3. GRI Pricing'!$F560&lt;='2. GRI Pricing Inputs'!$AE$33),'2. GRI Pricing Inputs'!$AD$32,IF(AND('3. GRI Pricing'!$F560&gt;='2. GRI Pricing Inputs'!$AF$33,'3. GRI Pricing'!$F560&lt;='2. GRI Pricing Inputs'!$AG$33),'2. GRI Pricing Inputs'!$AF$32,IF(AND('3. GRI Pricing'!$F560&gt;='2. GRI Pricing Inputs'!$AH$33,'3. GRI Pricing'!$F560&lt;='2. GRI Pricing Inputs'!$AI$33),'2. GRI Pricing Inputs'!$AH$32,0))))))))))))))))</f>
        <v>0</v>
      </c>
      <c r="N560" s="273" cm="1">
        <f t="array" ref="N560">IFERROR(INDEX('2. GRI Pricing Inputs'!$C$32:$AI$39,MATCH('3. GRI Pricing'!D560,'2. GRI Pricing Inputs'!$C$32:$C$39,0),(MATCH('3. GRI Pricing'!M560,'2. GRI Pricing Inputs'!$D$32:$AI$32,0)+1)),0)</f>
        <v>0</v>
      </c>
      <c r="O560" s="273">
        <f>IFERROR(INDEX('2. GRI Pricing Inputs'!$C$45:$AI$46,MATCH($O$16,'2. GRI Pricing Inputs'!$C$45:$C$46,0),MATCH(G560,'2. GRI Pricing Inputs'!$C$45:$AI$45,0)),0)</f>
        <v>0</v>
      </c>
      <c r="P560" s="273">
        <f>IFERROR(INDEX('2. GRI Pricing Inputs'!$C$53:$AI$54,MATCH('3. GRI Pricing'!$P$16,'2. GRI Pricing Inputs'!$C$53:$C$54,0),MATCH('3. GRI Pricing'!H560,'2. GRI Pricing Inputs'!$C$53:$AI$53,0)),0)</f>
        <v>0</v>
      </c>
      <c r="Q560" s="273">
        <f>IFERROR(INDEX('2. GRI Pricing Inputs'!$C$60:$AI$61,MATCH('3. GRI Pricing'!$Q$16,'2. GRI Pricing Inputs'!$C$60:$C$61,0),MATCH('1. Accomodation'!T564,'2. GRI Pricing Inputs'!$C$60:$AI$60,0)),0)</f>
        <v>0</v>
      </c>
      <c r="R560" s="273">
        <f>IFERROR(INDEX('2. GRI Pricing Inputs'!$C$67:$AI$68,MATCH('3. GRI Pricing'!$R$16,'2. GRI Pricing Inputs'!$C$67:$C$68,0),MATCH('1. Accomodation'!U564,'2. GRI Pricing Inputs'!$C$67:$AI$67,0)),0)</f>
        <v>0</v>
      </c>
      <c r="S560" s="273">
        <f>IF(D560=0,0,'2. GRI Pricing Inputs'!$AI$75)</f>
        <v>0</v>
      </c>
      <c r="T560" s="273">
        <f>IFERROR(INDEX('2. GRI Pricing Inputs'!$C$82:$AI$83,MATCH('3. GRI Pricing'!$T$16,'2. GRI Pricing Inputs'!$C$82:$C$83,0),MATCH('1. Accomodation'!V564,'2. GRI Pricing Inputs'!$C$82:$AI$82,0)),0)</f>
        <v>0</v>
      </c>
      <c r="U560" s="273">
        <f>IFERROR(INDEX('2. GRI Pricing Inputs'!$C$89:$AI$90,MATCH('3. GRI Pricing'!$U$16,'2. GRI Pricing Inputs'!$C$89:$C$90,0),MATCH('1. Accomodation'!W564,'2. GRI Pricing Inputs'!$C$89:$AI$89,0)),0)</f>
        <v>0</v>
      </c>
      <c r="V560" s="273">
        <f>IFERROR(INDEX('2. GRI Pricing Inputs'!$C$97:$AI$98,MATCH('3. GRI Pricing'!$V$16,'2. GRI Pricing Inputs'!$C$97:$C$98,0),MATCH('1. Accomodation'!X564,'2. GRI Pricing Inputs'!$C$97:$AI$97,0)),0)</f>
        <v>0</v>
      </c>
      <c r="W560" s="273">
        <f>IFERROR(INDEX('2. GRI Pricing Inputs'!$C$104:$AI$105,MATCH('3. GRI Pricing'!$W$16,'2. GRI Pricing Inputs'!$C$104:$C$105,0),MATCH('1. Accomodation'!Y564,'2. GRI Pricing Inputs'!$C$104:$AI$104,0)),0)</f>
        <v>0</v>
      </c>
      <c r="X560" s="274"/>
      <c r="Y560" s="275">
        <f t="shared" si="15"/>
        <v>0</v>
      </c>
      <c r="Z560" s="276"/>
      <c r="AA560" s="276"/>
      <c r="AB560" s="276"/>
      <c r="AC560" s="272">
        <f>Y560*(1+'2. GRI Pricing Inputs'!$D$114)^(($AC$16-$AB$15)/365)</f>
        <v>0</v>
      </c>
      <c r="AD560" s="273">
        <f>AC560*(1+'2. GRI Pricing Inputs'!$D$114)^((AD$16-AC$16)/365)</f>
        <v>0</v>
      </c>
      <c r="AE560" s="273">
        <f>AD560*(1+'2. GRI Pricing Inputs'!$D$114)^((AE$16-AD$16)/365)</f>
        <v>0</v>
      </c>
      <c r="AF560" s="273">
        <f>AE560*(1+'2. GRI Pricing Inputs'!$D$114)^((AF$16-AE$16)/365)</f>
        <v>0</v>
      </c>
      <c r="AG560" s="273">
        <f>AF560*(1+'2. GRI Pricing Inputs'!$D$114)^((AG$16-AF$16)/365)</f>
        <v>0</v>
      </c>
      <c r="AH560" s="273">
        <f>AG560*(1+'2. GRI Pricing Inputs'!$D$114)^((AH$16-AG$16)/365)</f>
        <v>0</v>
      </c>
      <c r="AI560" s="273">
        <f>AH560*(1+'2. GRI Pricing Inputs'!$D$114)^((AI$16-AH$16)/365)</f>
        <v>0</v>
      </c>
      <c r="AJ560" s="273">
        <f>AI560*(1+'2. GRI Pricing Inputs'!$D$114)^((AJ$16-AI$16)/365)</f>
        <v>0</v>
      </c>
      <c r="AK560" s="273">
        <f>AJ560*(1+'2. GRI Pricing Inputs'!$D$114)^((AK$16-AJ$16)/365)</f>
        <v>0</v>
      </c>
      <c r="AL560" s="273">
        <f>AK560*(1+'2. GRI Pricing Inputs'!$D$114)^((AL$16-AK$16)/365)</f>
        <v>0</v>
      </c>
      <c r="AM560" s="273">
        <f>AL560*(1+'2. GRI Pricing Inputs'!$D$114)^((AM$16-AL$16)/365)</f>
        <v>0</v>
      </c>
      <c r="AN560" s="273">
        <f>AM560*(1+'2. GRI Pricing Inputs'!$D$114)^((AN$16-AM$16)/365)</f>
        <v>0</v>
      </c>
      <c r="AO560" s="273">
        <f>AN560*(1+'2. GRI Pricing Inputs'!$D$114)^((AO$16-AN$16)/365)</f>
        <v>0</v>
      </c>
    </row>
    <row r="561" spans="3:41" ht="12" x14ac:dyDescent="0.2">
      <c r="C561" s="76">
        <f>'1. Accomodation'!N565</f>
        <v>0</v>
      </c>
      <c r="D561" s="69">
        <f>'1. Accomodation'!P565</f>
        <v>0</v>
      </c>
      <c r="E561" s="69">
        <f>'1. Accomodation'!Q565</f>
        <v>0</v>
      </c>
      <c r="F561" s="77">
        <f>'1. Accomodation'!O565</f>
        <v>0</v>
      </c>
      <c r="G561" s="69">
        <f>'1. Accomodation'!R565</f>
        <v>0</v>
      </c>
      <c r="H561" s="69">
        <f>'1. Accomodation'!S565</f>
        <v>0</v>
      </c>
      <c r="I561" s="62"/>
      <c r="K561" s="272">
        <f>IFERROR(INDEX('2. GRI Pricing Inputs'!$C$15:$AI$16,MATCH($K$16,'2. GRI Pricing Inputs'!$C$15:$C$16,0),MATCH(D561,'2. GRI Pricing Inputs'!$C$15:$AI$15,0)),0)</f>
        <v>0</v>
      </c>
      <c r="L561" s="273">
        <f>IFERROR(INDEX('2. GRI Pricing Inputs'!$C$22:$AI$23,MATCH($L$16,'2. GRI Pricing Inputs'!$C$22:$C$23,0),MATCH(E561,'2. GRI Pricing Inputs'!$C$22:$AI$22,0)),0)</f>
        <v>0</v>
      </c>
      <c r="M561" s="328">
        <f>IF(AND('3. GRI Pricing'!$F561&gt;='2. GRI Pricing Inputs'!$D$33,'3. GRI Pricing'!$F561&lt;='2. GRI Pricing Inputs'!$E$33),'2. GRI Pricing Inputs'!$D$32,IF(AND('3. GRI Pricing'!$F561&gt;='2. GRI Pricing Inputs'!$F$33,'3. GRI Pricing'!$F561&lt;='2. GRI Pricing Inputs'!$G$33),'2. GRI Pricing Inputs'!$F$32,IF(AND('3. GRI Pricing'!$F561&gt;='2. GRI Pricing Inputs'!$H$33,'3. GRI Pricing'!$F561&lt;='2. GRI Pricing Inputs'!$I$33),'2. GRI Pricing Inputs'!$H$32,IF(AND('3. GRI Pricing'!$F561&gt;='2. GRI Pricing Inputs'!$J$33,'3. GRI Pricing'!$F561&lt;='2. GRI Pricing Inputs'!$K$33),'2. GRI Pricing Inputs'!$J$32,IF(AND('3. GRI Pricing'!$F561&gt;='2. GRI Pricing Inputs'!$L$33,'3. GRI Pricing'!$F561&lt;='2. GRI Pricing Inputs'!$M$33),'2. GRI Pricing Inputs'!$L$32,IF(AND('3. GRI Pricing'!$F561&gt;='2. GRI Pricing Inputs'!$N$33,'3. GRI Pricing'!$F561&lt;='2. GRI Pricing Inputs'!$O$33),'2. GRI Pricing Inputs'!$N$32,IF(AND('3. GRI Pricing'!$F561&gt;='2. GRI Pricing Inputs'!$P$33,'3. GRI Pricing'!$F561&lt;='2. GRI Pricing Inputs'!$Q$33),'2. GRI Pricing Inputs'!$P$32,IF(AND('3. GRI Pricing'!$F561&gt;='2. GRI Pricing Inputs'!$R$33,'3. GRI Pricing'!$F561&lt;='2. GRI Pricing Inputs'!$S$33),'2. GRI Pricing Inputs'!$R$32,IF(AND('3. GRI Pricing'!$F561&gt;='2. GRI Pricing Inputs'!$T$33,'3. GRI Pricing'!$F561&lt;='2. GRI Pricing Inputs'!$U$33),'2. GRI Pricing Inputs'!$T$32,IF(AND('3. GRI Pricing'!$F561&gt;='2. GRI Pricing Inputs'!$V$33,'3. GRI Pricing'!$F561&lt;='2. GRI Pricing Inputs'!$W$33),'2. GRI Pricing Inputs'!$V$32,IF(AND('3. GRI Pricing'!$F561&gt;='2. GRI Pricing Inputs'!$X$33,'3. GRI Pricing'!$F561&lt;='2. GRI Pricing Inputs'!$Y$33),'2. GRI Pricing Inputs'!$X$32,IF(AND('3. GRI Pricing'!$F561&gt;='2. GRI Pricing Inputs'!$Z$33,'3. GRI Pricing'!$F561&lt;='2. GRI Pricing Inputs'!$AA$33),'2. GRI Pricing Inputs'!$Z$32,IF(AND('3. GRI Pricing'!$F561&gt;='2. GRI Pricing Inputs'!$AB$33,'3. GRI Pricing'!$F561&lt;='2. GRI Pricing Inputs'!$AC$33),'2. GRI Pricing Inputs'!$AB$32,IF(AND('3. GRI Pricing'!$F561&gt;='2. GRI Pricing Inputs'!$AD$33,'3. GRI Pricing'!$F561&lt;='2. GRI Pricing Inputs'!$AE$33),'2. GRI Pricing Inputs'!$AD$32,IF(AND('3. GRI Pricing'!$F561&gt;='2. GRI Pricing Inputs'!$AF$33,'3. GRI Pricing'!$F561&lt;='2. GRI Pricing Inputs'!$AG$33),'2. GRI Pricing Inputs'!$AF$32,IF(AND('3. GRI Pricing'!$F561&gt;='2. GRI Pricing Inputs'!$AH$33,'3. GRI Pricing'!$F561&lt;='2. GRI Pricing Inputs'!$AI$33),'2. GRI Pricing Inputs'!$AH$32,0))))))))))))))))</f>
        <v>0</v>
      </c>
      <c r="N561" s="273" cm="1">
        <f t="array" ref="N561">IFERROR(INDEX('2. GRI Pricing Inputs'!$C$32:$AI$39,MATCH('3. GRI Pricing'!D561,'2. GRI Pricing Inputs'!$C$32:$C$39,0),(MATCH('3. GRI Pricing'!M561,'2. GRI Pricing Inputs'!$D$32:$AI$32,0)+1)),0)</f>
        <v>0</v>
      </c>
      <c r="O561" s="273">
        <f>IFERROR(INDEX('2. GRI Pricing Inputs'!$C$45:$AI$46,MATCH($O$16,'2. GRI Pricing Inputs'!$C$45:$C$46,0),MATCH(G561,'2. GRI Pricing Inputs'!$C$45:$AI$45,0)),0)</f>
        <v>0</v>
      </c>
      <c r="P561" s="273">
        <f>IFERROR(INDEX('2. GRI Pricing Inputs'!$C$53:$AI$54,MATCH('3. GRI Pricing'!$P$16,'2. GRI Pricing Inputs'!$C$53:$C$54,0),MATCH('3. GRI Pricing'!H561,'2. GRI Pricing Inputs'!$C$53:$AI$53,0)),0)</f>
        <v>0</v>
      </c>
      <c r="Q561" s="273">
        <f>IFERROR(INDEX('2. GRI Pricing Inputs'!$C$60:$AI$61,MATCH('3. GRI Pricing'!$Q$16,'2. GRI Pricing Inputs'!$C$60:$C$61,0),MATCH('1. Accomodation'!T565,'2. GRI Pricing Inputs'!$C$60:$AI$60,0)),0)</f>
        <v>0</v>
      </c>
      <c r="R561" s="273">
        <f>IFERROR(INDEX('2. GRI Pricing Inputs'!$C$67:$AI$68,MATCH('3. GRI Pricing'!$R$16,'2. GRI Pricing Inputs'!$C$67:$C$68,0),MATCH('1. Accomodation'!U565,'2. GRI Pricing Inputs'!$C$67:$AI$67,0)),0)</f>
        <v>0</v>
      </c>
      <c r="S561" s="273">
        <f>IF(D561=0,0,'2. GRI Pricing Inputs'!$AI$75)</f>
        <v>0</v>
      </c>
      <c r="T561" s="273">
        <f>IFERROR(INDEX('2. GRI Pricing Inputs'!$C$82:$AI$83,MATCH('3. GRI Pricing'!$T$16,'2. GRI Pricing Inputs'!$C$82:$C$83,0),MATCH('1. Accomodation'!V565,'2. GRI Pricing Inputs'!$C$82:$AI$82,0)),0)</f>
        <v>0</v>
      </c>
      <c r="U561" s="273">
        <f>IFERROR(INDEX('2. GRI Pricing Inputs'!$C$89:$AI$90,MATCH('3. GRI Pricing'!$U$16,'2. GRI Pricing Inputs'!$C$89:$C$90,0),MATCH('1. Accomodation'!W565,'2. GRI Pricing Inputs'!$C$89:$AI$89,0)),0)</f>
        <v>0</v>
      </c>
      <c r="V561" s="273">
        <f>IFERROR(INDEX('2. GRI Pricing Inputs'!$C$97:$AI$98,MATCH('3. GRI Pricing'!$V$16,'2. GRI Pricing Inputs'!$C$97:$C$98,0),MATCH('1. Accomodation'!X565,'2. GRI Pricing Inputs'!$C$97:$AI$97,0)),0)</f>
        <v>0</v>
      </c>
      <c r="W561" s="273">
        <f>IFERROR(INDEX('2. GRI Pricing Inputs'!$C$104:$AI$105,MATCH('3. GRI Pricing'!$W$16,'2. GRI Pricing Inputs'!$C$104:$C$105,0),MATCH('1. Accomodation'!Y565,'2. GRI Pricing Inputs'!$C$104:$AI$104,0)),0)</f>
        <v>0</v>
      </c>
      <c r="X561" s="274"/>
      <c r="Y561" s="275">
        <f t="shared" si="15"/>
        <v>0</v>
      </c>
      <c r="Z561" s="276"/>
      <c r="AA561" s="276"/>
      <c r="AB561" s="276"/>
      <c r="AC561" s="272">
        <f>Y561*(1+'2. GRI Pricing Inputs'!$D$114)^(($AC$16-$AB$15)/365)</f>
        <v>0</v>
      </c>
      <c r="AD561" s="273">
        <f>AC561*(1+'2. GRI Pricing Inputs'!$D$114)^((AD$16-AC$16)/365)</f>
        <v>0</v>
      </c>
      <c r="AE561" s="273">
        <f>AD561*(1+'2. GRI Pricing Inputs'!$D$114)^((AE$16-AD$16)/365)</f>
        <v>0</v>
      </c>
      <c r="AF561" s="273">
        <f>AE561*(1+'2. GRI Pricing Inputs'!$D$114)^((AF$16-AE$16)/365)</f>
        <v>0</v>
      </c>
      <c r="AG561" s="273">
        <f>AF561*(1+'2. GRI Pricing Inputs'!$D$114)^((AG$16-AF$16)/365)</f>
        <v>0</v>
      </c>
      <c r="AH561" s="273">
        <f>AG561*(1+'2. GRI Pricing Inputs'!$D$114)^((AH$16-AG$16)/365)</f>
        <v>0</v>
      </c>
      <c r="AI561" s="273">
        <f>AH561*(1+'2. GRI Pricing Inputs'!$D$114)^((AI$16-AH$16)/365)</f>
        <v>0</v>
      </c>
      <c r="AJ561" s="273">
        <f>AI561*(1+'2. GRI Pricing Inputs'!$D$114)^((AJ$16-AI$16)/365)</f>
        <v>0</v>
      </c>
      <c r="AK561" s="273">
        <f>AJ561*(1+'2. GRI Pricing Inputs'!$D$114)^((AK$16-AJ$16)/365)</f>
        <v>0</v>
      </c>
      <c r="AL561" s="273">
        <f>AK561*(1+'2. GRI Pricing Inputs'!$D$114)^((AL$16-AK$16)/365)</f>
        <v>0</v>
      </c>
      <c r="AM561" s="273">
        <f>AL561*(1+'2. GRI Pricing Inputs'!$D$114)^((AM$16-AL$16)/365)</f>
        <v>0</v>
      </c>
      <c r="AN561" s="273">
        <f>AM561*(1+'2. GRI Pricing Inputs'!$D$114)^((AN$16-AM$16)/365)</f>
        <v>0</v>
      </c>
      <c r="AO561" s="273">
        <f>AN561*(1+'2. GRI Pricing Inputs'!$D$114)^((AO$16-AN$16)/365)</f>
        <v>0</v>
      </c>
    </row>
    <row r="562" spans="3:41" ht="12" x14ac:dyDescent="0.2">
      <c r="C562" s="76">
        <f>'1. Accomodation'!N566</f>
        <v>0</v>
      </c>
      <c r="D562" s="69">
        <f>'1. Accomodation'!P566</f>
        <v>0</v>
      </c>
      <c r="E562" s="69">
        <f>'1. Accomodation'!Q566</f>
        <v>0</v>
      </c>
      <c r="F562" s="77">
        <f>'1. Accomodation'!O566</f>
        <v>0</v>
      </c>
      <c r="G562" s="69">
        <f>'1. Accomodation'!R566</f>
        <v>0</v>
      </c>
      <c r="H562" s="69">
        <f>'1. Accomodation'!S566</f>
        <v>0</v>
      </c>
      <c r="I562" s="62"/>
      <c r="K562" s="272">
        <f>IFERROR(INDEX('2. GRI Pricing Inputs'!$C$15:$AI$16,MATCH($K$16,'2. GRI Pricing Inputs'!$C$15:$C$16,0),MATCH(D562,'2. GRI Pricing Inputs'!$C$15:$AI$15,0)),0)</f>
        <v>0</v>
      </c>
      <c r="L562" s="273">
        <f>IFERROR(INDEX('2. GRI Pricing Inputs'!$C$22:$AI$23,MATCH($L$16,'2. GRI Pricing Inputs'!$C$22:$C$23,0),MATCH(E562,'2. GRI Pricing Inputs'!$C$22:$AI$22,0)),0)</f>
        <v>0</v>
      </c>
      <c r="M562" s="328">
        <f>IF(AND('3. GRI Pricing'!$F562&gt;='2. GRI Pricing Inputs'!$D$33,'3. GRI Pricing'!$F562&lt;='2. GRI Pricing Inputs'!$E$33),'2. GRI Pricing Inputs'!$D$32,IF(AND('3. GRI Pricing'!$F562&gt;='2. GRI Pricing Inputs'!$F$33,'3. GRI Pricing'!$F562&lt;='2. GRI Pricing Inputs'!$G$33),'2. GRI Pricing Inputs'!$F$32,IF(AND('3. GRI Pricing'!$F562&gt;='2. GRI Pricing Inputs'!$H$33,'3. GRI Pricing'!$F562&lt;='2. GRI Pricing Inputs'!$I$33),'2. GRI Pricing Inputs'!$H$32,IF(AND('3. GRI Pricing'!$F562&gt;='2. GRI Pricing Inputs'!$J$33,'3. GRI Pricing'!$F562&lt;='2. GRI Pricing Inputs'!$K$33),'2. GRI Pricing Inputs'!$J$32,IF(AND('3. GRI Pricing'!$F562&gt;='2. GRI Pricing Inputs'!$L$33,'3. GRI Pricing'!$F562&lt;='2. GRI Pricing Inputs'!$M$33),'2. GRI Pricing Inputs'!$L$32,IF(AND('3. GRI Pricing'!$F562&gt;='2. GRI Pricing Inputs'!$N$33,'3. GRI Pricing'!$F562&lt;='2. GRI Pricing Inputs'!$O$33),'2. GRI Pricing Inputs'!$N$32,IF(AND('3. GRI Pricing'!$F562&gt;='2. GRI Pricing Inputs'!$P$33,'3. GRI Pricing'!$F562&lt;='2. GRI Pricing Inputs'!$Q$33),'2. GRI Pricing Inputs'!$P$32,IF(AND('3. GRI Pricing'!$F562&gt;='2. GRI Pricing Inputs'!$R$33,'3. GRI Pricing'!$F562&lt;='2. GRI Pricing Inputs'!$S$33),'2. GRI Pricing Inputs'!$R$32,IF(AND('3. GRI Pricing'!$F562&gt;='2. GRI Pricing Inputs'!$T$33,'3. GRI Pricing'!$F562&lt;='2. GRI Pricing Inputs'!$U$33),'2. GRI Pricing Inputs'!$T$32,IF(AND('3. GRI Pricing'!$F562&gt;='2. GRI Pricing Inputs'!$V$33,'3. GRI Pricing'!$F562&lt;='2. GRI Pricing Inputs'!$W$33),'2. GRI Pricing Inputs'!$V$32,IF(AND('3. GRI Pricing'!$F562&gt;='2. GRI Pricing Inputs'!$X$33,'3. GRI Pricing'!$F562&lt;='2. GRI Pricing Inputs'!$Y$33),'2. GRI Pricing Inputs'!$X$32,IF(AND('3. GRI Pricing'!$F562&gt;='2. GRI Pricing Inputs'!$Z$33,'3. GRI Pricing'!$F562&lt;='2. GRI Pricing Inputs'!$AA$33),'2. GRI Pricing Inputs'!$Z$32,IF(AND('3. GRI Pricing'!$F562&gt;='2. GRI Pricing Inputs'!$AB$33,'3. GRI Pricing'!$F562&lt;='2. GRI Pricing Inputs'!$AC$33),'2. GRI Pricing Inputs'!$AB$32,IF(AND('3. GRI Pricing'!$F562&gt;='2. GRI Pricing Inputs'!$AD$33,'3. GRI Pricing'!$F562&lt;='2. GRI Pricing Inputs'!$AE$33),'2. GRI Pricing Inputs'!$AD$32,IF(AND('3. GRI Pricing'!$F562&gt;='2. GRI Pricing Inputs'!$AF$33,'3. GRI Pricing'!$F562&lt;='2. GRI Pricing Inputs'!$AG$33),'2. GRI Pricing Inputs'!$AF$32,IF(AND('3. GRI Pricing'!$F562&gt;='2. GRI Pricing Inputs'!$AH$33,'3. GRI Pricing'!$F562&lt;='2. GRI Pricing Inputs'!$AI$33),'2. GRI Pricing Inputs'!$AH$32,0))))))))))))))))</f>
        <v>0</v>
      </c>
      <c r="N562" s="273" cm="1">
        <f t="array" ref="N562">IFERROR(INDEX('2. GRI Pricing Inputs'!$C$32:$AI$39,MATCH('3. GRI Pricing'!D562,'2. GRI Pricing Inputs'!$C$32:$C$39,0),(MATCH('3. GRI Pricing'!M562,'2. GRI Pricing Inputs'!$D$32:$AI$32,0)+1)),0)</f>
        <v>0</v>
      </c>
      <c r="O562" s="273">
        <f>IFERROR(INDEX('2. GRI Pricing Inputs'!$C$45:$AI$46,MATCH($O$16,'2. GRI Pricing Inputs'!$C$45:$C$46,0),MATCH(G562,'2. GRI Pricing Inputs'!$C$45:$AI$45,0)),0)</f>
        <v>0</v>
      </c>
      <c r="P562" s="273">
        <f>IFERROR(INDEX('2. GRI Pricing Inputs'!$C$53:$AI$54,MATCH('3. GRI Pricing'!$P$16,'2. GRI Pricing Inputs'!$C$53:$C$54,0),MATCH('3. GRI Pricing'!H562,'2. GRI Pricing Inputs'!$C$53:$AI$53,0)),0)</f>
        <v>0</v>
      </c>
      <c r="Q562" s="273">
        <f>IFERROR(INDEX('2. GRI Pricing Inputs'!$C$60:$AI$61,MATCH('3. GRI Pricing'!$Q$16,'2. GRI Pricing Inputs'!$C$60:$C$61,0),MATCH('1. Accomodation'!T566,'2. GRI Pricing Inputs'!$C$60:$AI$60,0)),0)</f>
        <v>0</v>
      </c>
      <c r="R562" s="273">
        <f>IFERROR(INDEX('2. GRI Pricing Inputs'!$C$67:$AI$68,MATCH('3. GRI Pricing'!$R$16,'2. GRI Pricing Inputs'!$C$67:$C$68,0),MATCH('1. Accomodation'!U566,'2. GRI Pricing Inputs'!$C$67:$AI$67,0)),0)</f>
        <v>0</v>
      </c>
      <c r="S562" s="273">
        <f>IF(D562=0,0,'2. GRI Pricing Inputs'!$AI$75)</f>
        <v>0</v>
      </c>
      <c r="T562" s="273">
        <f>IFERROR(INDEX('2. GRI Pricing Inputs'!$C$82:$AI$83,MATCH('3. GRI Pricing'!$T$16,'2. GRI Pricing Inputs'!$C$82:$C$83,0),MATCH('1. Accomodation'!V566,'2. GRI Pricing Inputs'!$C$82:$AI$82,0)),0)</f>
        <v>0</v>
      </c>
      <c r="U562" s="273">
        <f>IFERROR(INDEX('2. GRI Pricing Inputs'!$C$89:$AI$90,MATCH('3. GRI Pricing'!$U$16,'2. GRI Pricing Inputs'!$C$89:$C$90,0),MATCH('1. Accomodation'!W566,'2. GRI Pricing Inputs'!$C$89:$AI$89,0)),0)</f>
        <v>0</v>
      </c>
      <c r="V562" s="273">
        <f>IFERROR(INDEX('2. GRI Pricing Inputs'!$C$97:$AI$98,MATCH('3. GRI Pricing'!$V$16,'2. GRI Pricing Inputs'!$C$97:$C$98,0),MATCH('1. Accomodation'!X566,'2. GRI Pricing Inputs'!$C$97:$AI$97,0)),0)</f>
        <v>0</v>
      </c>
      <c r="W562" s="273">
        <f>IFERROR(INDEX('2. GRI Pricing Inputs'!$C$104:$AI$105,MATCH('3. GRI Pricing'!$W$16,'2. GRI Pricing Inputs'!$C$104:$C$105,0),MATCH('1. Accomodation'!Y566,'2. GRI Pricing Inputs'!$C$104:$AI$104,0)),0)</f>
        <v>0</v>
      </c>
      <c r="X562" s="274"/>
      <c r="Y562" s="275">
        <f t="shared" si="15"/>
        <v>0</v>
      </c>
      <c r="Z562" s="276"/>
      <c r="AA562" s="276"/>
      <c r="AB562" s="276"/>
      <c r="AC562" s="272">
        <f>Y562*(1+'2. GRI Pricing Inputs'!$D$114)^(($AC$16-$AB$15)/365)</f>
        <v>0</v>
      </c>
      <c r="AD562" s="273">
        <f>AC562*(1+'2. GRI Pricing Inputs'!$D$114)^((AD$16-AC$16)/365)</f>
        <v>0</v>
      </c>
      <c r="AE562" s="273">
        <f>AD562*(1+'2. GRI Pricing Inputs'!$D$114)^((AE$16-AD$16)/365)</f>
        <v>0</v>
      </c>
      <c r="AF562" s="273">
        <f>AE562*(1+'2. GRI Pricing Inputs'!$D$114)^((AF$16-AE$16)/365)</f>
        <v>0</v>
      </c>
      <c r="AG562" s="273">
        <f>AF562*(1+'2. GRI Pricing Inputs'!$D$114)^((AG$16-AF$16)/365)</f>
        <v>0</v>
      </c>
      <c r="AH562" s="273">
        <f>AG562*(1+'2. GRI Pricing Inputs'!$D$114)^((AH$16-AG$16)/365)</f>
        <v>0</v>
      </c>
      <c r="AI562" s="273">
        <f>AH562*(1+'2. GRI Pricing Inputs'!$D$114)^((AI$16-AH$16)/365)</f>
        <v>0</v>
      </c>
      <c r="AJ562" s="273">
        <f>AI562*(1+'2. GRI Pricing Inputs'!$D$114)^((AJ$16-AI$16)/365)</f>
        <v>0</v>
      </c>
      <c r="AK562" s="273">
        <f>AJ562*(1+'2. GRI Pricing Inputs'!$D$114)^((AK$16-AJ$16)/365)</f>
        <v>0</v>
      </c>
      <c r="AL562" s="273">
        <f>AK562*(1+'2. GRI Pricing Inputs'!$D$114)^((AL$16-AK$16)/365)</f>
        <v>0</v>
      </c>
      <c r="AM562" s="273">
        <f>AL562*(1+'2. GRI Pricing Inputs'!$D$114)^((AM$16-AL$16)/365)</f>
        <v>0</v>
      </c>
      <c r="AN562" s="273">
        <f>AM562*(1+'2. GRI Pricing Inputs'!$D$114)^((AN$16-AM$16)/365)</f>
        <v>0</v>
      </c>
      <c r="AO562" s="273">
        <f>AN562*(1+'2. GRI Pricing Inputs'!$D$114)^((AO$16-AN$16)/365)</f>
        <v>0</v>
      </c>
    </row>
    <row r="563" spans="3:41" ht="12" x14ac:dyDescent="0.2">
      <c r="C563" s="76">
        <f>'1. Accomodation'!N567</f>
        <v>0</v>
      </c>
      <c r="D563" s="69">
        <f>'1. Accomodation'!P567</f>
        <v>0</v>
      </c>
      <c r="E563" s="69">
        <f>'1. Accomodation'!Q567</f>
        <v>0</v>
      </c>
      <c r="F563" s="77">
        <f>'1. Accomodation'!O567</f>
        <v>0</v>
      </c>
      <c r="G563" s="69">
        <f>'1. Accomodation'!R567</f>
        <v>0</v>
      </c>
      <c r="H563" s="69">
        <f>'1. Accomodation'!S567</f>
        <v>0</v>
      </c>
      <c r="I563" s="62"/>
      <c r="K563" s="272">
        <f>IFERROR(INDEX('2. GRI Pricing Inputs'!$C$15:$AI$16,MATCH($K$16,'2. GRI Pricing Inputs'!$C$15:$C$16,0),MATCH(D563,'2. GRI Pricing Inputs'!$C$15:$AI$15,0)),0)</f>
        <v>0</v>
      </c>
      <c r="L563" s="273">
        <f>IFERROR(INDEX('2. GRI Pricing Inputs'!$C$22:$AI$23,MATCH($L$16,'2. GRI Pricing Inputs'!$C$22:$C$23,0),MATCH(E563,'2. GRI Pricing Inputs'!$C$22:$AI$22,0)),0)</f>
        <v>0</v>
      </c>
      <c r="M563" s="328">
        <f>IF(AND('3. GRI Pricing'!$F563&gt;='2. GRI Pricing Inputs'!$D$33,'3. GRI Pricing'!$F563&lt;='2. GRI Pricing Inputs'!$E$33),'2. GRI Pricing Inputs'!$D$32,IF(AND('3. GRI Pricing'!$F563&gt;='2. GRI Pricing Inputs'!$F$33,'3. GRI Pricing'!$F563&lt;='2. GRI Pricing Inputs'!$G$33),'2. GRI Pricing Inputs'!$F$32,IF(AND('3. GRI Pricing'!$F563&gt;='2. GRI Pricing Inputs'!$H$33,'3. GRI Pricing'!$F563&lt;='2. GRI Pricing Inputs'!$I$33),'2. GRI Pricing Inputs'!$H$32,IF(AND('3. GRI Pricing'!$F563&gt;='2. GRI Pricing Inputs'!$J$33,'3. GRI Pricing'!$F563&lt;='2. GRI Pricing Inputs'!$K$33),'2. GRI Pricing Inputs'!$J$32,IF(AND('3. GRI Pricing'!$F563&gt;='2. GRI Pricing Inputs'!$L$33,'3. GRI Pricing'!$F563&lt;='2. GRI Pricing Inputs'!$M$33),'2. GRI Pricing Inputs'!$L$32,IF(AND('3. GRI Pricing'!$F563&gt;='2. GRI Pricing Inputs'!$N$33,'3. GRI Pricing'!$F563&lt;='2. GRI Pricing Inputs'!$O$33),'2. GRI Pricing Inputs'!$N$32,IF(AND('3. GRI Pricing'!$F563&gt;='2. GRI Pricing Inputs'!$P$33,'3. GRI Pricing'!$F563&lt;='2. GRI Pricing Inputs'!$Q$33),'2. GRI Pricing Inputs'!$P$32,IF(AND('3. GRI Pricing'!$F563&gt;='2. GRI Pricing Inputs'!$R$33,'3. GRI Pricing'!$F563&lt;='2. GRI Pricing Inputs'!$S$33),'2. GRI Pricing Inputs'!$R$32,IF(AND('3. GRI Pricing'!$F563&gt;='2. GRI Pricing Inputs'!$T$33,'3. GRI Pricing'!$F563&lt;='2. GRI Pricing Inputs'!$U$33),'2. GRI Pricing Inputs'!$T$32,IF(AND('3. GRI Pricing'!$F563&gt;='2. GRI Pricing Inputs'!$V$33,'3. GRI Pricing'!$F563&lt;='2. GRI Pricing Inputs'!$W$33),'2. GRI Pricing Inputs'!$V$32,IF(AND('3. GRI Pricing'!$F563&gt;='2. GRI Pricing Inputs'!$X$33,'3. GRI Pricing'!$F563&lt;='2. GRI Pricing Inputs'!$Y$33),'2. GRI Pricing Inputs'!$X$32,IF(AND('3. GRI Pricing'!$F563&gt;='2. GRI Pricing Inputs'!$Z$33,'3. GRI Pricing'!$F563&lt;='2. GRI Pricing Inputs'!$AA$33),'2. GRI Pricing Inputs'!$Z$32,IF(AND('3. GRI Pricing'!$F563&gt;='2. GRI Pricing Inputs'!$AB$33,'3. GRI Pricing'!$F563&lt;='2. GRI Pricing Inputs'!$AC$33),'2. GRI Pricing Inputs'!$AB$32,IF(AND('3. GRI Pricing'!$F563&gt;='2. GRI Pricing Inputs'!$AD$33,'3. GRI Pricing'!$F563&lt;='2. GRI Pricing Inputs'!$AE$33),'2. GRI Pricing Inputs'!$AD$32,IF(AND('3. GRI Pricing'!$F563&gt;='2. GRI Pricing Inputs'!$AF$33,'3. GRI Pricing'!$F563&lt;='2. GRI Pricing Inputs'!$AG$33),'2. GRI Pricing Inputs'!$AF$32,IF(AND('3. GRI Pricing'!$F563&gt;='2. GRI Pricing Inputs'!$AH$33,'3. GRI Pricing'!$F563&lt;='2. GRI Pricing Inputs'!$AI$33),'2. GRI Pricing Inputs'!$AH$32,0))))))))))))))))</f>
        <v>0</v>
      </c>
      <c r="N563" s="273" cm="1">
        <f t="array" ref="N563">IFERROR(INDEX('2. GRI Pricing Inputs'!$C$32:$AI$39,MATCH('3. GRI Pricing'!D563,'2. GRI Pricing Inputs'!$C$32:$C$39,0),(MATCH('3. GRI Pricing'!M563,'2. GRI Pricing Inputs'!$D$32:$AI$32,0)+1)),0)</f>
        <v>0</v>
      </c>
      <c r="O563" s="273">
        <f>IFERROR(INDEX('2. GRI Pricing Inputs'!$C$45:$AI$46,MATCH($O$16,'2. GRI Pricing Inputs'!$C$45:$C$46,0),MATCH(G563,'2. GRI Pricing Inputs'!$C$45:$AI$45,0)),0)</f>
        <v>0</v>
      </c>
      <c r="P563" s="273">
        <f>IFERROR(INDEX('2. GRI Pricing Inputs'!$C$53:$AI$54,MATCH('3. GRI Pricing'!$P$16,'2. GRI Pricing Inputs'!$C$53:$C$54,0),MATCH('3. GRI Pricing'!H563,'2. GRI Pricing Inputs'!$C$53:$AI$53,0)),0)</f>
        <v>0</v>
      </c>
      <c r="Q563" s="273">
        <f>IFERROR(INDEX('2. GRI Pricing Inputs'!$C$60:$AI$61,MATCH('3. GRI Pricing'!$Q$16,'2. GRI Pricing Inputs'!$C$60:$C$61,0),MATCH('1. Accomodation'!T567,'2. GRI Pricing Inputs'!$C$60:$AI$60,0)),0)</f>
        <v>0</v>
      </c>
      <c r="R563" s="273">
        <f>IFERROR(INDEX('2. GRI Pricing Inputs'!$C$67:$AI$68,MATCH('3. GRI Pricing'!$R$16,'2. GRI Pricing Inputs'!$C$67:$C$68,0),MATCH('1. Accomodation'!U567,'2. GRI Pricing Inputs'!$C$67:$AI$67,0)),0)</f>
        <v>0</v>
      </c>
      <c r="S563" s="273">
        <f>IF(D563=0,0,'2. GRI Pricing Inputs'!$AI$75)</f>
        <v>0</v>
      </c>
      <c r="T563" s="273">
        <f>IFERROR(INDEX('2. GRI Pricing Inputs'!$C$82:$AI$83,MATCH('3. GRI Pricing'!$T$16,'2. GRI Pricing Inputs'!$C$82:$C$83,0),MATCH('1. Accomodation'!V567,'2. GRI Pricing Inputs'!$C$82:$AI$82,0)),0)</f>
        <v>0</v>
      </c>
      <c r="U563" s="273">
        <f>IFERROR(INDEX('2. GRI Pricing Inputs'!$C$89:$AI$90,MATCH('3. GRI Pricing'!$U$16,'2. GRI Pricing Inputs'!$C$89:$C$90,0),MATCH('1. Accomodation'!W567,'2. GRI Pricing Inputs'!$C$89:$AI$89,0)),0)</f>
        <v>0</v>
      </c>
      <c r="V563" s="273">
        <f>IFERROR(INDEX('2. GRI Pricing Inputs'!$C$97:$AI$98,MATCH('3. GRI Pricing'!$V$16,'2. GRI Pricing Inputs'!$C$97:$C$98,0),MATCH('1. Accomodation'!X567,'2. GRI Pricing Inputs'!$C$97:$AI$97,0)),0)</f>
        <v>0</v>
      </c>
      <c r="W563" s="273">
        <f>IFERROR(INDEX('2. GRI Pricing Inputs'!$C$104:$AI$105,MATCH('3. GRI Pricing'!$W$16,'2. GRI Pricing Inputs'!$C$104:$C$105,0),MATCH('1. Accomodation'!Y567,'2. GRI Pricing Inputs'!$C$104:$AI$104,0)),0)</f>
        <v>0</v>
      </c>
      <c r="X563" s="274"/>
      <c r="Y563" s="275">
        <f t="shared" si="15"/>
        <v>0</v>
      </c>
      <c r="Z563" s="276"/>
      <c r="AA563" s="276"/>
      <c r="AB563" s="276"/>
      <c r="AC563" s="272">
        <f>Y563*(1+'2. GRI Pricing Inputs'!$D$114)^(($AC$16-$AB$15)/365)</f>
        <v>0</v>
      </c>
      <c r="AD563" s="273">
        <f>AC563*(1+'2. GRI Pricing Inputs'!$D$114)^((AD$16-AC$16)/365)</f>
        <v>0</v>
      </c>
      <c r="AE563" s="273">
        <f>AD563*(1+'2. GRI Pricing Inputs'!$D$114)^((AE$16-AD$16)/365)</f>
        <v>0</v>
      </c>
      <c r="AF563" s="273">
        <f>AE563*(1+'2. GRI Pricing Inputs'!$D$114)^((AF$16-AE$16)/365)</f>
        <v>0</v>
      </c>
      <c r="AG563" s="273">
        <f>AF563*(1+'2. GRI Pricing Inputs'!$D$114)^((AG$16-AF$16)/365)</f>
        <v>0</v>
      </c>
      <c r="AH563" s="273">
        <f>AG563*(1+'2. GRI Pricing Inputs'!$D$114)^((AH$16-AG$16)/365)</f>
        <v>0</v>
      </c>
      <c r="AI563" s="273">
        <f>AH563*(1+'2. GRI Pricing Inputs'!$D$114)^((AI$16-AH$16)/365)</f>
        <v>0</v>
      </c>
      <c r="AJ563" s="273">
        <f>AI563*(1+'2. GRI Pricing Inputs'!$D$114)^((AJ$16-AI$16)/365)</f>
        <v>0</v>
      </c>
      <c r="AK563" s="273">
        <f>AJ563*(1+'2. GRI Pricing Inputs'!$D$114)^((AK$16-AJ$16)/365)</f>
        <v>0</v>
      </c>
      <c r="AL563" s="273">
        <f>AK563*(1+'2. GRI Pricing Inputs'!$D$114)^((AL$16-AK$16)/365)</f>
        <v>0</v>
      </c>
      <c r="AM563" s="273">
        <f>AL563*(1+'2. GRI Pricing Inputs'!$D$114)^((AM$16-AL$16)/365)</f>
        <v>0</v>
      </c>
      <c r="AN563" s="273">
        <f>AM563*(1+'2. GRI Pricing Inputs'!$D$114)^((AN$16-AM$16)/365)</f>
        <v>0</v>
      </c>
      <c r="AO563" s="273">
        <f>AN563*(1+'2. GRI Pricing Inputs'!$D$114)^((AO$16-AN$16)/365)</f>
        <v>0</v>
      </c>
    </row>
    <row r="564" spans="3:41" ht="12" x14ac:dyDescent="0.2">
      <c r="C564" s="76">
        <f>'1. Accomodation'!N568</f>
        <v>0</v>
      </c>
      <c r="D564" s="69">
        <f>'1. Accomodation'!P568</f>
        <v>0</v>
      </c>
      <c r="E564" s="69">
        <f>'1. Accomodation'!Q568</f>
        <v>0</v>
      </c>
      <c r="F564" s="77">
        <f>'1. Accomodation'!O568</f>
        <v>0</v>
      </c>
      <c r="G564" s="69">
        <f>'1. Accomodation'!R568</f>
        <v>0</v>
      </c>
      <c r="H564" s="69">
        <f>'1. Accomodation'!S568</f>
        <v>0</v>
      </c>
      <c r="I564" s="62"/>
      <c r="K564" s="272">
        <f>IFERROR(INDEX('2. GRI Pricing Inputs'!$C$15:$AI$16,MATCH($K$16,'2. GRI Pricing Inputs'!$C$15:$C$16,0),MATCH(D564,'2. GRI Pricing Inputs'!$C$15:$AI$15,0)),0)</f>
        <v>0</v>
      </c>
      <c r="L564" s="273">
        <f>IFERROR(INDEX('2. GRI Pricing Inputs'!$C$22:$AI$23,MATCH($L$16,'2. GRI Pricing Inputs'!$C$22:$C$23,0),MATCH(E564,'2. GRI Pricing Inputs'!$C$22:$AI$22,0)),0)</f>
        <v>0</v>
      </c>
      <c r="M564" s="328">
        <f>IF(AND('3. GRI Pricing'!$F564&gt;='2. GRI Pricing Inputs'!$D$33,'3. GRI Pricing'!$F564&lt;='2. GRI Pricing Inputs'!$E$33),'2. GRI Pricing Inputs'!$D$32,IF(AND('3. GRI Pricing'!$F564&gt;='2. GRI Pricing Inputs'!$F$33,'3. GRI Pricing'!$F564&lt;='2. GRI Pricing Inputs'!$G$33),'2. GRI Pricing Inputs'!$F$32,IF(AND('3. GRI Pricing'!$F564&gt;='2. GRI Pricing Inputs'!$H$33,'3. GRI Pricing'!$F564&lt;='2. GRI Pricing Inputs'!$I$33),'2. GRI Pricing Inputs'!$H$32,IF(AND('3. GRI Pricing'!$F564&gt;='2. GRI Pricing Inputs'!$J$33,'3. GRI Pricing'!$F564&lt;='2. GRI Pricing Inputs'!$K$33),'2. GRI Pricing Inputs'!$J$32,IF(AND('3. GRI Pricing'!$F564&gt;='2. GRI Pricing Inputs'!$L$33,'3. GRI Pricing'!$F564&lt;='2. GRI Pricing Inputs'!$M$33),'2. GRI Pricing Inputs'!$L$32,IF(AND('3. GRI Pricing'!$F564&gt;='2. GRI Pricing Inputs'!$N$33,'3. GRI Pricing'!$F564&lt;='2. GRI Pricing Inputs'!$O$33),'2. GRI Pricing Inputs'!$N$32,IF(AND('3. GRI Pricing'!$F564&gt;='2. GRI Pricing Inputs'!$P$33,'3. GRI Pricing'!$F564&lt;='2. GRI Pricing Inputs'!$Q$33),'2. GRI Pricing Inputs'!$P$32,IF(AND('3. GRI Pricing'!$F564&gt;='2. GRI Pricing Inputs'!$R$33,'3. GRI Pricing'!$F564&lt;='2. GRI Pricing Inputs'!$S$33),'2. GRI Pricing Inputs'!$R$32,IF(AND('3. GRI Pricing'!$F564&gt;='2. GRI Pricing Inputs'!$T$33,'3. GRI Pricing'!$F564&lt;='2. GRI Pricing Inputs'!$U$33),'2. GRI Pricing Inputs'!$T$32,IF(AND('3. GRI Pricing'!$F564&gt;='2. GRI Pricing Inputs'!$V$33,'3. GRI Pricing'!$F564&lt;='2. GRI Pricing Inputs'!$W$33),'2. GRI Pricing Inputs'!$V$32,IF(AND('3. GRI Pricing'!$F564&gt;='2. GRI Pricing Inputs'!$X$33,'3. GRI Pricing'!$F564&lt;='2. GRI Pricing Inputs'!$Y$33),'2. GRI Pricing Inputs'!$X$32,IF(AND('3. GRI Pricing'!$F564&gt;='2. GRI Pricing Inputs'!$Z$33,'3. GRI Pricing'!$F564&lt;='2. GRI Pricing Inputs'!$AA$33),'2. GRI Pricing Inputs'!$Z$32,IF(AND('3. GRI Pricing'!$F564&gt;='2. GRI Pricing Inputs'!$AB$33,'3. GRI Pricing'!$F564&lt;='2. GRI Pricing Inputs'!$AC$33),'2. GRI Pricing Inputs'!$AB$32,IF(AND('3. GRI Pricing'!$F564&gt;='2. GRI Pricing Inputs'!$AD$33,'3. GRI Pricing'!$F564&lt;='2. GRI Pricing Inputs'!$AE$33),'2. GRI Pricing Inputs'!$AD$32,IF(AND('3. GRI Pricing'!$F564&gt;='2. GRI Pricing Inputs'!$AF$33,'3. GRI Pricing'!$F564&lt;='2. GRI Pricing Inputs'!$AG$33),'2. GRI Pricing Inputs'!$AF$32,IF(AND('3. GRI Pricing'!$F564&gt;='2. GRI Pricing Inputs'!$AH$33,'3. GRI Pricing'!$F564&lt;='2. GRI Pricing Inputs'!$AI$33),'2. GRI Pricing Inputs'!$AH$32,0))))))))))))))))</f>
        <v>0</v>
      </c>
      <c r="N564" s="273" cm="1">
        <f t="array" ref="N564">IFERROR(INDEX('2. GRI Pricing Inputs'!$C$32:$AI$39,MATCH('3. GRI Pricing'!D564,'2. GRI Pricing Inputs'!$C$32:$C$39,0),(MATCH('3. GRI Pricing'!M564,'2. GRI Pricing Inputs'!$D$32:$AI$32,0)+1)),0)</f>
        <v>0</v>
      </c>
      <c r="O564" s="273">
        <f>IFERROR(INDEX('2. GRI Pricing Inputs'!$C$45:$AI$46,MATCH($O$16,'2. GRI Pricing Inputs'!$C$45:$C$46,0),MATCH(G564,'2. GRI Pricing Inputs'!$C$45:$AI$45,0)),0)</f>
        <v>0</v>
      </c>
      <c r="P564" s="273">
        <f>IFERROR(INDEX('2. GRI Pricing Inputs'!$C$53:$AI$54,MATCH('3. GRI Pricing'!$P$16,'2. GRI Pricing Inputs'!$C$53:$C$54,0),MATCH('3. GRI Pricing'!H564,'2. GRI Pricing Inputs'!$C$53:$AI$53,0)),0)</f>
        <v>0</v>
      </c>
      <c r="Q564" s="273">
        <f>IFERROR(INDEX('2. GRI Pricing Inputs'!$C$60:$AI$61,MATCH('3. GRI Pricing'!$Q$16,'2. GRI Pricing Inputs'!$C$60:$C$61,0),MATCH('1. Accomodation'!T568,'2. GRI Pricing Inputs'!$C$60:$AI$60,0)),0)</f>
        <v>0</v>
      </c>
      <c r="R564" s="273">
        <f>IFERROR(INDEX('2. GRI Pricing Inputs'!$C$67:$AI$68,MATCH('3. GRI Pricing'!$R$16,'2. GRI Pricing Inputs'!$C$67:$C$68,0),MATCH('1. Accomodation'!U568,'2. GRI Pricing Inputs'!$C$67:$AI$67,0)),0)</f>
        <v>0</v>
      </c>
      <c r="S564" s="273">
        <f>IF(D564=0,0,'2. GRI Pricing Inputs'!$AI$75)</f>
        <v>0</v>
      </c>
      <c r="T564" s="273">
        <f>IFERROR(INDEX('2. GRI Pricing Inputs'!$C$82:$AI$83,MATCH('3. GRI Pricing'!$T$16,'2. GRI Pricing Inputs'!$C$82:$C$83,0),MATCH('1. Accomodation'!V568,'2. GRI Pricing Inputs'!$C$82:$AI$82,0)),0)</f>
        <v>0</v>
      </c>
      <c r="U564" s="273">
        <f>IFERROR(INDEX('2. GRI Pricing Inputs'!$C$89:$AI$90,MATCH('3. GRI Pricing'!$U$16,'2. GRI Pricing Inputs'!$C$89:$C$90,0),MATCH('1. Accomodation'!W568,'2. GRI Pricing Inputs'!$C$89:$AI$89,0)),0)</f>
        <v>0</v>
      </c>
      <c r="V564" s="273">
        <f>IFERROR(INDEX('2. GRI Pricing Inputs'!$C$97:$AI$98,MATCH('3. GRI Pricing'!$V$16,'2. GRI Pricing Inputs'!$C$97:$C$98,0),MATCH('1. Accomodation'!X568,'2. GRI Pricing Inputs'!$C$97:$AI$97,0)),0)</f>
        <v>0</v>
      </c>
      <c r="W564" s="273">
        <f>IFERROR(INDEX('2. GRI Pricing Inputs'!$C$104:$AI$105,MATCH('3. GRI Pricing'!$W$16,'2. GRI Pricing Inputs'!$C$104:$C$105,0),MATCH('1. Accomodation'!Y568,'2. GRI Pricing Inputs'!$C$104:$AI$104,0)),0)</f>
        <v>0</v>
      </c>
      <c r="X564" s="274"/>
      <c r="Y564" s="275">
        <f t="shared" si="15"/>
        <v>0</v>
      </c>
      <c r="Z564" s="276"/>
      <c r="AA564" s="276"/>
      <c r="AB564" s="276"/>
      <c r="AC564" s="272">
        <f>Y564*(1+'2. GRI Pricing Inputs'!$D$114)^(($AC$16-$AB$15)/365)</f>
        <v>0</v>
      </c>
      <c r="AD564" s="273">
        <f>AC564*(1+'2. GRI Pricing Inputs'!$D$114)^((AD$16-AC$16)/365)</f>
        <v>0</v>
      </c>
      <c r="AE564" s="273">
        <f>AD564*(1+'2. GRI Pricing Inputs'!$D$114)^((AE$16-AD$16)/365)</f>
        <v>0</v>
      </c>
      <c r="AF564" s="273">
        <f>AE564*(1+'2. GRI Pricing Inputs'!$D$114)^((AF$16-AE$16)/365)</f>
        <v>0</v>
      </c>
      <c r="AG564" s="273">
        <f>AF564*(1+'2. GRI Pricing Inputs'!$D$114)^((AG$16-AF$16)/365)</f>
        <v>0</v>
      </c>
      <c r="AH564" s="273">
        <f>AG564*(1+'2. GRI Pricing Inputs'!$D$114)^((AH$16-AG$16)/365)</f>
        <v>0</v>
      </c>
      <c r="AI564" s="273">
        <f>AH564*(1+'2. GRI Pricing Inputs'!$D$114)^((AI$16-AH$16)/365)</f>
        <v>0</v>
      </c>
      <c r="AJ564" s="273">
        <f>AI564*(1+'2. GRI Pricing Inputs'!$D$114)^((AJ$16-AI$16)/365)</f>
        <v>0</v>
      </c>
      <c r="AK564" s="273">
        <f>AJ564*(1+'2. GRI Pricing Inputs'!$D$114)^((AK$16-AJ$16)/365)</f>
        <v>0</v>
      </c>
      <c r="AL564" s="273">
        <f>AK564*(1+'2. GRI Pricing Inputs'!$D$114)^((AL$16-AK$16)/365)</f>
        <v>0</v>
      </c>
      <c r="AM564" s="273">
        <f>AL564*(1+'2. GRI Pricing Inputs'!$D$114)^((AM$16-AL$16)/365)</f>
        <v>0</v>
      </c>
      <c r="AN564" s="273">
        <f>AM564*(1+'2. GRI Pricing Inputs'!$D$114)^((AN$16-AM$16)/365)</f>
        <v>0</v>
      </c>
      <c r="AO564" s="273">
        <f>AN564*(1+'2. GRI Pricing Inputs'!$D$114)^((AO$16-AN$16)/365)</f>
        <v>0</v>
      </c>
    </row>
    <row r="565" spans="3:41" ht="12" x14ac:dyDescent="0.2">
      <c r="C565" s="76">
        <f>'1. Accomodation'!N569</f>
        <v>0</v>
      </c>
      <c r="D565" s="69">
        <f>'1. Accomodation'!P569</f>
        <v>0</v>
      </c>
      <c r="E565" s="69">
        <f>'1. Accomodation'!Q569</f>
        <v>0</v>
      </c>
      <c r="F565" s="77">
        <f>'1. Accomodation'!O569</f>
        <v>0</v>
      </c>
      <c r="G565" s="69">
        <f>'1. Accomodation'!R569</f>
        <v>0</v>
      </c>
      <c r="H565" s="69">
        <f>'1. Accomodation'!S569</f>
        <v>0</v>
      </c>
      <c r="I565" s="62"/>
      <c r="K565" s="272">
        <f>IFERROR(INDEX('2. GRI Pricing Inputs'!$C$15:$AI$16,MATCH($K$16,'2. GRI Pricing Inputs'!$C$15:$C$16,0),MATCH(D565,'2. GRI Pricing Inputs'!$C$15:$AI$15,0)),0)</f>
        <v>0</v>
      </c>
      <c r="L565" s="273">
        <f>IFERROR(INDEX('2. GRI Pricing Inputs'!$C$22:$AI$23,MATCH($L$16,'2. GRI Pricing Inputs'!$C$22:$C$23,0),MATCH(E565,'2. GRI Pricing Inputs'!$C$22:$AI$22,0)),0)</f>
        <v>0</v>
      </c>
      <c r="M565" s="328">
        <f>IF(AND('3. GRI Pricing'!$F565&gt;='2. GRI Pricing Inputs'!$D$33,'3. GRI Pricing'!$F565&lt;='2. GRI Pricing Inputs'!$E$33),'2. GRI Pricing Inputs'!$D$32,IF(AND('3. GRI Pricing'!$F565&gt;='2. GRI Pricing Inputs'!$F$33,'3. GRI Pricing'!$F565&lt;='2. GRI Pricing Inputs'!$G$33),'2. GRI Pricing Inputs'!$F$32,IF(AND('3. GRI Pricing'!$F565&gt;='2. GRI Pricing Inputs'!$H$33,'3. GRI Pricing'!$F565&lt;='2. GRI Pricing Inputs'!$I$33),'2. GRI Pricing Inputs'!$H$32,IF(AND('3. GRI Pricing'!$F565&gt;='2. GRI Pricing Inputs'!$J$33,'3. GRI Pricing'!$F565&lt;='2. GRI Pricing Inputs'!$K$33),'2. GRI Pricing Inputs'!$J$32,IF(AND('3. GRI Pricing'!$F565&gt;='2. GRI Pricing Inputs'!$L$33,'3. GRI Pricing'!$F565&lt;='2. GRI Pricing Inputs'!$M$33),'2. GRI Pricing Inputs'!$L$32,IF(AND('3. GRI Pricing'!$F565&gt;='2. GRI Pricing Inputs'!$N$33,'3. GRI Pricing'!$F565&lt;='2. GRI Pricing Inputs'!$O$33),'2. GRI Pricing Inputs'!$N$32,IF(AND('3. GRI Pricing'!$F565&gt;='2. GRI Pricing Inputs'!$P$33,'3. GRI Pricing'!$F565&lt;='2. GRI Pricing Inputs'!$Q$33),'2. GRI Pricing Inputs'!$P$32,IF(AND('3. GRI Pricing'!$F565&gt;='2. GRI Pricing Inputs'!$R$33,'3. GRI Pricing'!$F565&lt;='2. GRI Pricing Inputs'!$S$33),'2. GRI Pricing Inputs'!$R$32,IF(AND('3. GRI Pricing'!$F565&gt;='2. GRI Pricing Inputs'!$T$33,'3. GRI Pricing'!$F565&lt;='2. GRI Pricing Inputs'!$U$33),'2. GRI Pricing Inputs'!$T$32,IF(AND('3. GRI Pricing'!$F565&gt;='2. GRI Pricing Inputs'!$V$33,'3. GRI Pricing'!$F565&lt;='2. GRI Pricing Inputs'!$W$33),'2. GRI Pricing Inputs'!$V$32,IF(AND('3. GRI Pricing'!$F565&gt;='2. GRI Pricing Inputs'!$X$33,'3. GRI Pricing'!$F565&lt;='2. GRI Pricing Inputs'!$Y$33),'2. GRI Pricing Inputs'!$X$32,IF(AND('3. GRI Pricing'!$F565&gt;='2. GRI Pricing Inputs'!$Z$33,'3. GRI Pricing'!$F565&lt;='2. GRI Pricing Inputs'!$AA$33),'2. GRI Pricing Inputs'!$Z$32,IF(AND('3. GRI Pricing'!$F565&gt;='2. GRI Pricing Inputs'!$AB$33,'3. GRI Pricing'!$F565&lt;='2. GRI Pricing Inputs'!$AC$33),'2. GRI Pricing Inputs'!$AB$32,IF(AND('3. GRI Pricing'!$F565&gt;='2. GRI Pricing Inputs'!$AD$33,'3. GRI Pricing'!$F565&lt;='2. GRI Pricing Inputs'!$AE$33),'2. GRI Pricing Inputs'!$AD$32,IF(AND('3. GRI Pricing'!$F565&gt;='2. GRI Pricing Inputs'!$AF$33,'3. GRI Pricing'!$F565&lt;='2. GRI Pricing Inputs'!$AG$33),'2. GRI Pricing Inputs'!$AF$32,IF(AND('3. GRI Pricing'!$F565&gt;='2. GRI Pricing Inputs'!$AH$33,'3. GRI Pricing'!$F565&lt;='2. GRI Pricing Inputs'!$AI$33),'2. GRI Pricing Inputs'!$AH$32,0))))))))))))))))</f>
        <v>0</v>
      </c>
      <c r="N565" s="273" cm="1">
        <f t="array" ref="N565">IFERROR(INDEX('2. GRI Pricing Inputs'!$C$32:$AI$39,MATCH('3. GRI Pricing'!D565,'2. GRI Pricing Inputs'!$C$32:$C$39,0),(MATCH('3. GRI Pricing'!M565,'2. GRI Pricing Inputs'!$D$32:$AI$32,0)+1)),0)</f>
        <v>0</v>
      </c>
      <c r="O565" s="273">
        <f>IFERROR(INDEX('2. GRI Pricing Inputs'!$C$45:$AI$46,MATCH($O$16,'2. GRI Pricing Inputs'!$C$45:$C$46,0),MATCH(G565,'2. GRI Pricing Inputs'!$C$45:$AI$45,0)),0)</f>
        <v>0</v>
      </c>
      <c r="P565" s="273">
        <f>IFERROR(INDEX('2. GRI Pricing Inputs'!$C$53:$AI$54,MATCH('3. GRI Pricing'!$P$16,'2. GRI Pricing Inputs'!$C$53:$C$54,0),MATCH('3. GRI Pricing'!H565,'2. GRI Pricing Inputs'!$C$53:$AI$53,0)),0)</f>
        <v>0</v>
      </c>
      <c r="Q565" s="273">
        <f>IFERROR(INDEX('2. GRI Pricing Inputs'!$C$60:$AI$61,MATCH('3. GRI Pricing'!$Q$16,'2. GRI Pricing Inputs'!$C$60:$C$61,0),MATCH('1. Accomodation'!T569,'2. GRI Pricing Inputs'!$C$60:$AI$60,0)),0)</f>
        <v>0</v>
      </c>
      <c r="R565" s="273">
        <f>IFERROR(INDEX('2. GRI Pricing Inputs'!$C$67:$AI$68,MATCH('3. GRI Pricing'!$R$16,'2. GRI Pricing Inputs'!$C$67:$C$68,0),MATCH('1. Accomodation'!U569,'2. GRI Pricing Inputs'!$C$67:$AI$67,0)),0)</f>
        <v>0</v>
      </c>
      <c r="S565" s="273">
        <f>IF(D565=0,0,'2. GRI Pricing Inputs'!$AI$75)</f>
        <v>0</v>
      </c>
      <c r="T565" s="273">
        <f>IFERROR(INDEX('2. GRI Pricing Inputs'!$C$82:$AI$83,MATCH('3. GRI Pricing'!$T$16,'2. GRI Pricing Inputs'!$C$82:$C$83,0),MATCH('1. Accomodation'!V569,'2. GRI Pricing Inputs'!$C$82:$AI$82,0)),0)</f>
        <v>0</v>
      </c>
      <c r="U565" s="273">
        <f>IFERROR(INDEX('2. GRI Pricing Inputs'!$C$89:$AI$90,MATCH('3. GRI Pricing'!$U$16,'2. GRI Pricing Inputs'!$C$89:$C$90,0),MATCH('1. Accomodation'!W569,'2. GRI Pricing Inputs'!$C$89:$AI$89,0)),0)</f>
        <v>0</v>
      </c>
      <c r="V565" s="273">
        <f>IFERROR(INDEX('2. GRI Pricing Inputs'!$C$97:$AI$98,MATCH('3. GRI Pricing'!$V$16,'2. GRI Pricing Inputs'!$C$97:$C$98,0),MATCH('1. Accomodation'!X569,'2. GRI Pricing Inputs'!$C$97:$AI$97,0)),0)</f>
        <v>0</v>
      </c>
      <c r="W565" s="273">
        <f>IFERROR(INDEX('2. GRI Pricing Inputs'!$C$104:$AI$105,MATCH('3. GRI Pricing'!$W$16,'2. GRI Pricing Inputs'!$C$104:$C$105,0),MATCH('1. Accomodation'!Y569,'2. GRI Pricing Inputs'!$C$104:$AI$104,0)),0)</f>
        <v>0</v>
      </c>
      <c r="X565" s="274"/>
      <c r="Y565" s="275">
        <f t="shared" si="15"/>
        <v>0</v>
      </c>
      <c r="Z565" s="276"/>
      <c r="AA565" s="276"/>
      <c r="AB565" s="276"/>
      <c r="AC565" s="272">
        <f>Y565*(1+'2. GRI Pricing Inputs'!$D$114)^(($AC$16-$AB$15)/365)</f>
        <v>0</v>
      </c>
      <c r="AD565" s="273">
        <f>AC565*(1+'2. GRI Pricing Inputs'!$D$114)^((AD$16-AC$16)/365)</f>
        <v>0</v>
      </c>
      <c r="AE565" s="273">
        <f>AD565*(1+'2. GRI Pricing Inputs'!$D$114)^((AE$16-AD$16)/365)</f>
        <v>0</v>
      </c>
      <c r="AF565" s="273">
        <f>AE565*(1+'2. GRI Pricing Inputs'!$D$114)^((AF$16-AE$16)/365)</f>
        <v>0</v>
      </c>
      <c r="AG565" s="273">
        <f>AF565*(1+'2. GRI Pricing Inputs'!$D$114)^((AG$16-AF$16)/365)</f>
        <v>0</v>
      </c>
      <c r="AH565" s="273">
        <f>AG565*(1+'2. GRI Pricing Inputs'!$D$114)^((AH$16-AG$16)/365)</f>
        <v>0</v>
      </c>
      <c r="AI565" s="273">
        <f>AH565*(1+'2. GRI Pricing Inputs'!$D$114)^((AI$16-AH$16)/365)</f>
        <v>0</v>
      </c>
      <c r="AJ565" s="273">
        <f>AI565*(1+'2. GRI Pricing Inputs'!$D$114)^((AJ$16-AI$16)/365)</f>
        <v>0</v>
      </c>
      <c r="AK565" s="273">
        <f>AJ565*(1+'2. GRI Pricing Inputs'!$D$114)^((AK$16-AJ$16)/365)</f>
        <v>0</v>
      </c>
      <c r="AL565" s="273">
        <f>AK565*(1+'2. GRI Pricing Inputs'!$D$114)^((AL$16-AK$16)/365)</f>
        <v>0</v>
      </c>
      <c r="AM565" s="273">
        <f>AL565*(1+'2. GRI Pricing Inputs'!$D$114)^((AM$16-AL$16)/365)</f>
        <v>0</v>
      </c>
      <c r="AN565" s="273">
        <f>AM565*(1+'2. GRI Pricing Inputs'!$D$114)^((AN$16-AM$16)/365)</f>
        <v>0</v>
      </c>
      <c r="AO565" s="273">
        <f>AN565*(1+'2. GRI Pricing Inputs'!$D$114)^((AO$16-AN$16)/365)</f>
        <v>0</v>
      </c>
    </row>
    <row r="566" spans="3:41" ht="12" x14ac:dyDescent="0.2">
      <c r="C566" s="76">
        <f>'1. Accomodation'!N570</f>
        <v>0</v>
      </c>
      <c r="D566" s="69">
        <f>'1. Accomodation'!P570</f>
        <v>0</v>
      </c>
      <c r="E566" s="69">
        <f>'1. Accomodation'!Q570</f>
        <v>0</v>
      </c>
      <c r="F566" s="77">
        <f>'1. Accomodation'!O570</f>
        <v>0</v>
      </c>
      <c r="G566" s="69">
        <f>'1. Accomodation'!R570</f>
        <v>0</v>
      </c>
      <c r="H566" s="69">
        <f>'1. Accomodation'!S570</f>
        <v>0</v>
      </c>
      <c r="I566" s="62"/>
      <c r="K566" s="272">
        <f>IFERROR(INDEX('2. GRI Pricing Inputs'!$C$15:$AI$16,MATCH($K$16,'2. GRI Pricing Inputs'!$C$15:$C$16,0),MATCH(D566,'2. GRI Pricing Inputs'!$C$15:$AI$15,0)),0)</f>
        <v>0</v>
      </c>
      <c r="L566" s="273">
        <f>IFERROR(INDEX('2. GRI Pricing Inputs'!$C$22:$AI$23,MATCH($L$16,'2. GRI Pricing Inputs'!$C$22:$C$23,0),MATCH(E566,'2. GRI Pricing Inputs'!$C$22:$AI$22,0)),0)</f>
        <v>0</v>
      </c>
      <c r="M566" s="328">
        <f>IF(AND('3. GRI Pricing'!$F566&gt;='2. GRI Pricing Inputs'!$D$33,'3. GRI Pricing'!$F566&lt;='2. GRI Pricing Inputs'!$E$33),'2. GRI Pricing Inputs'!$D$32,IF(AND('3. GRI Pricing'!$F566&gt;='2. GRI Pricing Inputs'!$F$33,'3. GRI Pricing'!$F566&lt;='2. GRI Pricing Inputs'!$G$33),'2. GRI Pricing Inputs'!$F$32,IF(AND('3. GRI Pricing'!$F566&gt;='2. GRI Pricing Inputs'!$H$33,'3. GRI Pricing'!$F566&lt;='2. GRI Pricing Inputs'!$I$33),'2. GRI Pricing Inputs'!$H$32,IF(AND('3. GRI Pricing'!$F566&gt;='2. GRI Pricing Inputs'!$J$33,'3. GRI Pricing'!$F566&lt;='2. GRI Pricing Inputs'!$K$33),'2. GRI Pricing Inputs'!$J$32,IF(AND('3. GRI Pricing'!$F566&gt;='2. GRI Pricing Inputs'!$L$33,'3. GRI Pricing'!$F566&lt;='2. GRI Pricing Inputs'!$M$33),'2. GRI Pricing Inputs'!$L$32,IF(AND('3. GRI Pricing'!$F566&gt;='2. GRI Pricing Inputs'!$N$33,'3. GRI Pricing'!$F566&lt;='2. GRI Pricing Inputs'!$O$33),'2. GRI Pricing Inputs'!$N$32,IF(AND('3. GRI Pricing'!$F566&gt;='2. GRI Pricing Inputs'!$P$33,'3. GRI Pricing'!$F566&lt;='2. GRI Pricing Inputs'!$Q$33),'2. GRI Pricing Inputs'!$P$32,IF(AND('3. GRI Pricing'!$F566&gt;='2. GRI Pricing Inputs'!$R$33,'3. GRI Pricing'!$F566&lt;='2. GRI Pricing Inputs'!$S$33),'2. GRI Pricing Inputs'!$R$32,IF(AND('3. GRI Pricing'!$F566&gt;='2. GRI Pricing Inputs'!$T$33,'3. GRI Pricing'!$F566&lt;='2. GRI Pricing Inputs'!$U$33),'2. GRI Pricing Inputs'!$T$32,IF(AND('3. GRI Pricing'!$F566&gt;='2. GRI Pricing Inputs'!$V$33,'3. GRI Pricing'!$F566&lt;='2. GRI Pricing Inputs'!$W$33),'2. GRI Pricing Inputs'!$V$32,IF(AND('3. GRI Pricing'!$F566&gt;='2. GRI Pricing Inputs'!$X$33,'3. GRI Pricing'!$F566&lt;='2. GRI Pricing Inputs'!$Y$33),'2. GRI Pricing Inputs'!$X$32,IF(AND('3. GRI Pricing'!$F566&gt;='2. GRI Pricing Inputs'!$Z$33,'3. GRI Pricing'!$F566&lt;='2. GRI Pricing Inputs'!$AA$33),'2. GRI Pricing Inputs'!$Z$32,IF(AND('3. GRI Pricing'!$F566&gt;='2. GRI Pricing Inputs'!$AB$33,'3. GRI Pricing'!$F566&lt;='2. GRI Pricing Inputs'!$AC$33),'2. GRI Pricing Inputs'!$AB$32,IF(AND('3. GRI Pricing'!$F566&gt;='2. GRI Pricing Inputs'!$AD$33,'3. GRI Pricing'!$F566&lt;='2. GRI Pricing Inputs'!$AE$33),'2. GRI Pricing Inputs'!$AD$32,IF(AND('3. GRI Pricing'!$F566&gt;='2. GRI Pricing Inputs'!$AF$33,'3. GRI Pricing'!$F566&lt;='2. GRI Pricing Inputs'!$AG$33),'2. GRI Pricing Inputs'!$AF$32,IF(AND('3. GRI Pricing'!$F566&gt;='2. GRI Pricing Inputs'!$AH$33,'3. GRI Pricing'!$F566&lt;='2. GRI Pricing Inputs'!$AI$33),'2. GRI Pricing Inputs'!$AH$32,0))))))))))))))))</f>
        <v>0</v>
      </c>
      <c r="N566" s="273" cm="1">
        <f t="array" ref="N566">IFERROR(INDEX('2. GRI Pricing Inputs'!$C$32:$AI$39,MATCH('3. GRI Pricing'!D566,'2. GRI Pricing Inputs'!$C$32:$C$39,0),(MATCH('3. GRI Pricing'!M566,'2. GRI Pricing Inputs'!$D$32:$AI$32,0)+1)),0)</f>
        <v>0</v>
      </c>
      <c r="O566" s="273">
        <f>IFERROR(INDEX('2. GRI Pricing Inputs'!$C$45:$AI$46,MATCH($O$16,'2. GRI Pricing Inputs'!$C$45:$C$46,0),MATCH(G566,'2. GRI Pricing Inputs'!$C$45:$AI$45,0)),0)</f>
        <v>0</v>
      </c>
      <c r="P566" s="273">
        <f>IFERROR(INDEX('2. GRI Pricing Inputs'!$C$53:$AI$54,MATCH('3. GRI Pricing'!$P$16,'2. GRI Pricing Inputs'!$C$53:$C$54,0),MATCH('3. GRI Pricing'!H566,'2. GRI Pricing Inputs'!$C$53:$AI$53,0)),0)</f>
        <v>0</v>
      </c>
      <c r="Q566" s="273">
        <f>IFERROR(INDEX('2. GRI Pricing Inputs'!$C$60:$AI$61,MATCH('3. GRI Pricing'!$Q$16,'2. GRI Pricing Inputs'!$C$60:$C$61,0),MATCH('1. Accomodation'!T570,'2. GRI Pricing Inputs'!$C$60:$AI$60,0)),0)</f>
        <v>0</v>
      </c>
      <c r="R566" s="273">
        <f>IFERROR(INDEX('2. GRI Pricing Inputs'!$C$67:$AI$68,MATCH('3. GRI Pricing'!$R$16,'2. GRI Pricing Inputs'!$C$67:$C$68,0),MATCH('1. Accomodation'!U570,'2. GRI Pricing Inputs'!$C$67:$AI$67,0)),0)</f>
        <v>0</v>
      </c>
      <c r="S566" s="273">
        <f>IF(D566=0,0,'2. GRI Pricing Inputs'!$AI$75)</f>
        <v>0</v>
      </c>
      <c r="T566" s="273">
        <f>IFERROR(INDEX('2. GRI Pricing Inputs'!$C$82:$AI$83,MATCH('3. GRI Pricing'!$T$16,'2. GRI Pricing Inputs'!$C$82:$C$83,0),MATCH('1. Accomodation'!V570,'2. GRI Pricing Inputs'!$C$82:$AI$82,0)),0)</f>
        <v>0</v>
      </c>
      <c r="U566" s="273">
        <f>IFERROR(INDEX('2. GRI Pricing Inputs'!$C$89:$AI$90,MATCH('3. GRI Pricing'!$U$16,'2. GRI Pricing Inputs'!$C$89:$C$90,0),MATCH('1. Accomodation'!W570,'2. GRI Pricing Inputs'!$C$89:$AI$89,0)),0)</f>
        <v>0</v>
      </c>
      <c r="V566" s="273">
        <f>IFERROR(INDEX('2. GRI Pricing Inputs'!$C$97:$AI$98,MATCH('3. GRI Pricing'!$V$16,'2. GRI Pricing Inputs'!$C$97:$C$98,0),MATCH('1. Accomodation'!X570,'2. GRI Pricing Inputs'!$C$97:$AI$97,0)),0)</f>
        <v>0</v>
      </c>
      <c r="W566" s="273">
        <f>IFERROR(INDEX('2. GRI Pricing Inputs'!$C$104:$AI$105,MATCH('3. GRI Pricing'!$W$16,'2. GRI Pricing Inputs'!$C$104:$C$105,0),MATCH('1. Accomodation'!Y570,'2. GRI Pricing Inputs'!$C$104:$AI$104,0)),0)</f>
        <v>0</v>
      </c>
      <c r="X566" s="274"/>
      <c r="Y566" s="275">
        <f t="shared" si="15"/>
        <v>0</v>
      </c>
      <c r="Z566" s="276"/>
      <c r="AA566" s="276"/>
      <c r="AB566" s="276"/>
      <c r="AC566" s="272">
        <f>Y566*(1+'2. GRI Pricing Inputs'!$D$114)^(($AC$16-$AB$15)/365)</f>
        <v>0</v>
      </c>
      <c r="AD566" s="273">
        <f>AC566*(1+'2. GRI Pricing Inputs'!$D$114)^((AD$16-AC$16)/365)</f>
        <v>0</v>
      </c>
      <c r="AE566" s="273">
        <f>AD566*(1+'2. GRI Pricing Inputs'!$D$114)^((AE$16-AD$16)/365)</f>
        <v>0</v>
      </c>
      <c r="AF566" s="273">
        <f>AE566*(1+'2. GRI Pricing Inputs'!$D$114)^((AF$16-AE$16)/365)</f>
        <v>0</v>
      </c>
      <c r="AG566" s="273">
        <f>AF566*(1+'2. GRI Pricing Inputs'!$D$114)^((AG$16-AF$16)/365)</f>
        <v>0</v>
      </c>
      <c r="AH566" s="273">
        <f>AG566*(1+'2. GRI Pricing Inputs'!$D$114)^((AH$16-AG$16)/365)</f>
        <v>0</v>
      </c>
      <c r="AI566" s="273">
        <f>AH566*(1+'2. GRI Pricing Inputs'!$D$114)^((AI$16-AH$16)/365)</f>
        <v>0</v>
      </c>
      <c r="AJ566" s="273">
        <f>AI566*(1+'2. GRI Pricing Inputs'!$D$114)^((AJ$16-AI$16)/365)</f>
        <v>0</v>
      </c>
      <c r="AK566" s="273">
        <f>AJ566*(1+'2. GRI Pricing Inputs'!$D$114)^((AK$16-AJ$16)/365)</f>
        <v>0</v>
      </c>
      <c r="AL566" s="273">
        <f>AK566*(1+'2. GRI Pricing Inputs'!$D$114)^((AL$16-AK$16)/365)</f>
        <v>0</v>
      </c>
      <c r="AM566" s="273">
        <f>AL566*(1+'2. GRI Pricing Inputs'!$D$114)^((AM$16-AL$16)/365)</f>
        <v>0</v>
      </c>
      <c r="AN566" s="273">
        <f>AM566*(1+'2. GRI Pricing Inputs'!$D$114)^((AN$16-AM$16)/365)</f>
        <v>0</v>
      </c>
      <c r="AO566" s="273">
        <f>AN566*(1+'2. GRI Pricing Inputs'!$D$114)^((AO$16-AN$16)/365)</f>
        <v>0</v>
      </c>
    </row>
    <row r="567" spans="3:41" ht="12" x14ac:dyDescent="0.2">
      <c r="C567" s="76">
        <f>'1. Accomodation'!N571</f>
        <v>0</v>
      </c>
      <c r="D567" s="69">
        <f>'1. Accomodation'!P571</f>
        <v>0</v>
      </c>
      <c r="E567" s="69">
        <f>'1. Accomodation'!Q571</f>
        <v>0</v>
      </c>
      <c r="F567" s="77">
        <f>'1. Accomodation'!O571</f>
        <v>0</v>
      </c>
      <c r="G567" s="69">
        <f>'1. Accomodation'!R571</f>
        <v>0</v>
      </c>
      <c r="H567" s="69">
        <f>'1. Accomodation'!S571</f>
        <v>0</v>
      </c>
      <c r="I567" s="62"/>
      <c r="K567" s="272">
        <f>IFERROR(INDEX('2. GRI Pricing Inputs'!$C$15:$AI$16,MATCH($K$16,'2. GRI Pricing Inputs'!$C$15:$C$16,0),MATCH(D567,'2. GRI Pricing Inputs'!$C$15:$AI$15,0)),0)</f>
        <v>0</v>
      </c>
      <c r="L567" s="273">
        <f>IFERROR(INDEX('2. GRI Pricing Inputs'!$C$22:$AI$23,MATCH($L$16,'2. GRI Pricing Inputs'!$C$22:$C$23,0),MATCH(E567,'2. GRI Pricing Inputs'!$C$22:$AI$22,0)),0)</f>
        <v>0</v>
      </c>
      <c r="M567" s="328">
        <f>IF(AND('3. GRI Pricing'!$F567&gt;='2. GRI Pricing Inputs'!$D$33,'3. GRI Pricing'!$F567&lt;='2. GRI Pricing Inputs'!$E$33),'2. GRI Pricing Inputs'!$D$32,IF(AND('3. GRI Pricing'!$F567&gt;='2. GRI Pricing Inputs'!$F$33,'3. GRI Pricing'!$F567&lt;='2. GRI Pricing Inputs'!$G$33),'2. GRI Pricing Inputs'!$F$32,IF(AND('3. GRI Pricing'!$F567&gt;='2. GRI Pricing Inputs'!$H$33,'3. GRI Pricing'!$F567&lt;='2. GRI Pricing Inputs'!$I$33),'2. GRI Pricing Inputs'!$H$32,IF(AND('3. GRI Pricing'!$F567&gt;='2. GRI Pricing Inputs'!$J$33,'3. GRI Pricing'!$F567&lt;='2. GRI Pricing Inputs'!$K$33),'2. GRI Pricing Inputs'!$J$32,IF(AND('3. GRI Pricing'!$F567&gt;='2. GRI Pricing Inputs'!$L$33,'3. GRI Pricing'!$F567&lt;='2. GRI Pricing Inputs'!$M$33),'2. GRI Pricing Inputs'!$L$32,IF(AND('3. GRI Pricing'!$F567&gt;='2. GRI Pricing Inputs'!$N$33,'3. GRI Pricing'!$F567&lt;='2. GRI Pricing Inputs'!$O$33),'2. GRI Pricing Inputs'!$N$32,IF(AND('3. GRI Pricing'!$F567&gt;='2. GRI Pricing Inputs'!$P$33,'3. GRI Pricing'!$F567&lt;='2. GRI Pricing Inputs'!$Q$33),'2. GRI Pricing Inputs'!$P$32,IF(AND('3. GRI Pricing'!$F567&gt;='2. GRI Pricing Inputs'!$R$33,'3. GRI Pricing'!$F567&lt;='2. GRI Pricing Inputs'!$S$33),'2. GRI Pricing Inputs'!$R$32,IF(AND('3. GRI Pricing'!$F567&gt;='2. GRI Pricing Inputs'!$T$33,'3. GRI Pricing'!$F567&lt;='2. GRI Pricing Inputs'!$U$33),'2. GRI Pricing Inputs'!$T$32,IF(AND('3. GRI Pricing'!$F567&gt;='2. GRI Pricing Inputs'!$V$33,'3. GRI Pricing'!$F567&lt;='2. GRI Pricing Inputs'!$W$33),'2. GRI Pricing Inputs'!$V$32,IF(AND('3. GRI Pricing'!$F567&gt;='2. GRI Pricing Inputs'!$X$33,'3. GRI Pricing'!$F567&lt;='2. GRI Pricing Inputs'!$Y$33),'2. GRI Pricing Inputs'!$X$32,IF(AND('3. GRI Pricing'!$F567&gt;='2. GRI Pricing Inputs'!$Z$33,'3. GRI Pricing'!$F567&lt;='2. GRI Pricing Inputs'!$AA$33),'2. GRI Pricing Inputs'!$Z$32,IF(AND('3. GRI Pricing'!$F567&gt;='2. GRI Pricing Inputs'!$AB$33,'3. GRI Pricing'!$F567&lt;='2. GRI Pricing Inputs'!$AC$33),'2. GRI Pricing Inputs'!$AB$32,IF(AND('3. GRI Pricing'!$F567&gt;='2. GRI Pricing Inputs'!$AD$33,'3. GRI Pricing'!$F567&lt;='2. GRI Pricing Inputs'!$AE$33),'2. GRI Pricing Inputs'!$AD$32,IF(AND('3. GRI Pricing'!$F567&gt;='2. GRI Pricing Inputs'!$AF$33,'3. GRI Pricing'!$F567&lt;='2. GRI Pricing Inputs'!$AG$33),'2. GRI Pricing Inputs'!$AF$32,IF(AND('3. GRI Pricing'!$F567&gt;='2. GRI Pricing Inputs'!$AH$33,'3. GRI Pricing'!$F567&lt;='2. GRI Pricing Inputs'!$AI$33),'2. GRI Pricing Inputs'!$AH$32,0))))))))))))))))</f>
        <v>0</v>
      </c>
      <c r="N567" s="273" cm="1">
        <f t="array" ref="N567">IFERROR(INDEX('2. GRI Pricing Inputs'!$C$32:$AI$39,MATCH('3. GRI Pricing'!D567,'2. GRI Pricing Inputs'!$C$32:$C$39,0),(MATCH('3. GRI Pricing'!M567,'2. GRI Pricing Inputs'!$D$32:$AI$32,0)+1)),0)</f>
        <v>0</v>
      </c>
      <c r="O567" s="273">
        <f>IFERROR(INDEX('2. GRI Pricing Inputs'!$C$45:$AI$46,MATCH($O$16,'2. GRI Pricing Inputs'!$C$45:$C$46,0),MATCH(G567,'2. GRI Pricing Inputs'!$C$45:$AI$45,0)),0)</f>
        <v>0</v>
      </c>
      <c r="P567" s="273">
        <f>IFERROR(INDEX('2. GRI Pricing Inputs'!$C$53:$AI$54,MATCH('3. GRI Pricing'!$P$16,'2. GRI Pricing Inputs'!$C$53:$C$54,0),MATCH('3. GRI Pricing'!H567,'2. GRI Pricing Inputs'!$C$53:$AI$53,0)),0)</f>
        <v>0</v>
      </c>
      <c r="Q567" s="273">
        <f>IFERROR(INDEX('2. GRI Pricing Inputs'!$C$60:$AI$61,MATCH('3. GRI Pricing'!$Q$16,'2. GRI Pricing Inputs'!$C$60:$C$61,0),MATCH('1. Accomodation'!T571,'2. GRI Pricing Inputs'!$C$60:$AI$60,0)),0)</f>
        <v>0</v>
      </c>
      <c r="R567" s="273">
        <f>IFERROR(INDEX('2. GRI Pricing Inputs'!$C$67:$AI$68,MATCH('3. GRI Pricing'!$R$16,'2. GRI Pricing Inputs'!$C$67:$C$68,0),MATCH('1. Accomodation'!U571,'2. GRI Pricing Inputs'!$C$67:$AI$67,0)),0)</f>
        <v>0</v>
      </c>
      <c r="S567" s="273">
        <f>IF(D567=0,0,'2. GRI Pricing Inputs'!$AI$75)</f>
        <v>0</v>
      </c>
      <c r="T567" s="273">
        <f>IFERROR(INDEX('2. GRI Pricing Inputs'!$C$82:$AI$83,MATCH('3. GRI Pricing'!$T$16,'2. GRI Pricing Inputs'!$C$82:$C$83,0),MATCH('1. Accomodation'!V571,'2. GRI Pricing Inputs'!$C$82:$AI$82,0)),0)</f>
        <v>0</v>
      </c>
      <c r="U567" s="273">
        <f>IFERROR(INDEX('2. GRI Pricing Inputs'!$C$89:$AI$90,MATCH('3. GRI Pricing'!$U$16,'2. GRI Pricing Inputs'!$C$89:$C$90,0),MATCH('1. Accomodation'!W571,'2. GRI Pricing Inputs'!$C$89:$AI$89,0)),0)</f>
        <v>0</v>
      </c>
      <c r="V567" s="273">
        <f>IFERROR(INDEX('2. GRI Pricing Inputs'!$C$97:$AI$98,MATCH('3. GRI Pricing'!$V$16,'2. GRI Pricing Inputs'!$C$97:$C$98,0),MATCH('1. Accomodation'!X571,'2. GRI Pricing Inputs'!$C$97:$AI$97,0)),0)</f>
        <v>0</v>
      </c>
      <c r="W567" s="273">
        <f>IFERROR(INDEX('2. GRI Pricing Inputs'!$C$104:$AI$105,MATCH('3. GRI Pricing'!$W$16,'2. GRI Pricing Inputs'!$C$104:$C$105,0),MATCH('1. Accomodation'!Y571,'2. GRI Pricing Inputs'!$C$104:$AI$104,0)),0)</f>
        <v>0</v>
      </c>
      <c r="X567" s="274"/>
      <c r="Y567" s="275">
        <f t="shared" si="15"/>
        <v>0</v>
      </c>
      <c r="Z567" s="276"/>
      <c r="AA567" s="276"/>
      <c r="AB567" s="276"/>
      <c r="AC567" s="272">
        <f>Y567*(1+'2. GRI Pricing Inputs'!$D$114)^(($AC$16-$AB$15)/365)</f>
        <v>0</v>
      </c>
      <c r="AD567" s="273">
        <f>AC567*(1+'2. GRI Pricing Inputs'!$D$114)^((AD$16-AC$16)/365)</f>
        <v>0</v>
      </c>
      <c r="AE567" s="273">
        <f>AD567*(1+'2. GRI Pricing Inputs'!$D$114)^((AE$16-AD$16)/365)</f>
        <v>0</v>
      </c>
      <c r="AF567" s="273">
        <f>AE567*(1+'2. GRI Pricing Inputs'!$D$114)^((AF$16-AE$16)/365)</f>
        <v>0</v>
      </c>
      <c r="AG567" s="273">
        <f>AF567*(1+'2. GRI Pricing Inputs'!$D$114)^((AG$16-AF$16)/365)</f>
        <v>0</v>
      </c>
      <c r="AH567" s="273">
        <f>AG567*(1+'2. GRI Pricing Inputs'!$D$114)^((AH$16-AG$16)/365)</f>
        <v>0</v>
      </c>
      <c r="AI567" s="273">
        <f>AH567*(1+'2. GRI Pricing Inputs'!$D$114)^((AI$16-AH$16)/365)</f>
        <v>0</v>
      </c>
      <c r="AJ567" s="273">
        <f>AI567*(1+'2. GRI Pricing Inputs'!$D$114)^((AJ$16-AI$16)/365)</f>
        <v>0</v>
      </c>
      <c r="AK567" s="273">
        <f>AJ567*(1+'2. GRI Pricing Inputs'!$D$114)^((AK$16-AJ$16)/365)</f>
        <v>0</v>
      </c>
      <c r="AL567" s="273">
        <f>AK567*(1+'2. GRI Pricing Inputs'!$D$114)^((AL$16-AK$16)/365)</f>
        <v>0</v>
      </c>
      <c r="AM567" s="273">
        <f>AL567*(1+'2. GRI Pricing Inputs'!$D$114)^((AM$16-AL$16)/365)</f>
        <v>0</v>
      </c>
      <c r="AN567" s="273">
        <f>AM567*(1+'2. GRI Pricing Inputs'!$D$114)^((AN$16-AM$16)/365)</f>
        <v>0</v>
      </c>
      <c r="AO567" s="273">
        <f>AN567*(1+'2. GRI Pricing Inputs'!$D$114)^((AO$16-AN$16)/365)</f>
        <v>0</v>
      </c>
    </row>
    <row r="568" spans="3:41" ht="12" x14ac:dyDescent="0.2">
      <c r="C568" s="76">
        <f>'1. Accomodation'!N572</f>
        <v>0</v>
      </c>
      <c r="D568" s="69">
        <f>'1. Accomodation'!P572</f>
        <v>0</v>
      </c>
      <c r="E568" s="69">
        <f>'1. Accomodation'!Q572</f>
        <v>0</v>
      </c>
      <c r="F568" s="77">
        <f>'1. Accomodation'!O572</f>
        <v>0</v>
      </c>
      <c r="G568" s="69">
        <f>'1. Accomodation'!R572</f>
        <v>0</v>
      </c>
      <c r="H568" s="69">
        <f>'1. Accomodation'!S572</f>
        <v>0</v>
      </c>
      <c r="I568" s="62"/>
      <c r="K568" s="272">
        <f>IFERROR(INDEX('2. GRI Pricing Inputs'!$C$15:$AI$16,MATCH($K$16,'2. GRI Pricing Inputs'!$C$15:$C$16,0),MATCH(D568,'2. GRI Pricing Inputs'!$C$15:$AI$15,0)),0)</f>
        <v>0</v>
      </c>
      <c r="L568" s="273">
        <f>IFERROR(INDEX('2. GRI Pricing Inputs'!$C$22:$AI$23,MATCH($L$16,'2. GRI Pricing Inputs'!$C$22:$C$23,0),MATCH(E568,'2. GRI Pricing Inputs'!$C$22:$AI$22,0)),0)</f>
        <v>0</v>
      </c>
      <c r="M568" s="328">
        <f>IF(AND('3. GRI Pricing'!$F568&gt;='2. GRI Pricing Inputs'!$D$33,'3. GRI Pricing'!$F568&lt;='2. GRI Pricing Inputs'!$E$33),'2. GRI Pricing Inputs'!$D$32,IF(AND('3. GRI Pricing'!$F568&gt;='2. GRI Pricing Inputs'!$F$33,'3. GRI Pricing'!$F568&lt;='2. GRI Pricing Inputs'!$G$33),'2. GRI Pricing Inputs'!$F$32,IF(AND('3. GRI Pricing'!$F568&gt;='2. GRI Pricing Inputs'!$H$33,'3. GRI Pricing'!$F568&lt;='2. GRI Pricing Inputs'!$I$33),'2. GRI Pricing Inputs'!$H$32,IF(AND('3. GRI Pricing'!$F568&gt;='2. GRI Pricing Inputs'!$J$33,'3. GRI Pricing'!$F568&lt;='2. GRI Pricing Inputs'!$K$33),'2. GRI Pricing Inputs'!$J$32,IF(AND('3. GRI Pricing'!$F568&gt;='2. GRI Pricing Inputs'!$L$33,'3. GRI Pricing'!$F568&lt;='2. GRI Pricing Inputs'!$M$33),'2. GRI Pricing Inputs'!$L$32,IF(AND('3. GRI Pricing'!$F568&gt;='2. GRI Pricing Inputs'!$N$33,'3. GRI Pricing'!$F568&lt;='2. GRI Pricing Inputs'!$O$33),'2. GRI Pricing Inputs'!$N$32,IF(AND('3. GRI Pricing'!$F568&gt;='2. GRI Pricing Inputs'!$P$33,'3. GRI Pricing'!$F568&lt;='2. GRI Pricing Inputs'!$Q$33),'2. GRI Pricing Inputs'!$P$32,IF(AND('3. GRI Pricing'!$F568&gt;='2. GRI Pricing Inputs'!$R$33,'3. GRI Pricing'!$F568&lt;='2. GRI Pricing Inputs'!$S$33),'2. GRI Pricing Inputs'!$R$32,IF(AND('3. GRI Pricing'!$F568&gt;='2. GRI Pricing Inputs'!$T$33,'3. GRI Pricing'!$F568&lt;='2. GRI Pricing Inputs'!$U$33),'2. GRI Pricing Inputs'!$T$32,IF(AND('3. GRI Pricing'!$F568&gt;='2. GRI Pricing Inputs'!$V$33,'3. GRI Pricing'!$F568&lt;='2. GRI Pricing Inputs'!$W$33),'2. GRI Pricing Inputs'!$V$32,IF(AND('3. GRI Pricing'!$F568&gt;='2. GRI Pricing Inputs'!$X$33,'3. GRI Pricing'!$F568&lt;='2. GRI Pricing Inputs'!$Y$33),'2. GRI Pricing Inputs'!$X$32,IF(AND('3. GRI Pricing'!$F568&gt;='2. GRI Pricing Inputs'!$Z$33,'3. GRI Pricing'!$F568&lt;='2. GRI Pricing Inputs'!$AA$33),'2. GRI Pricing Inputs'!$Z$32,IF(AND('3. GRI Pricing'!$F568&gt;='2. GRI Pricing Inputs'!$AB$33,'3. GRI Pricing'!$F568&lt;='2. GRI Pricing Inputs'!$AC$33),'2. GRI Pricing Inputs'!$AB$32,IF(AND('3. GRI Pricing'!$F568&gt;='2. GRI Pricing Inputs'!$AD$33,'3. GRI Pricing'!$F568&lt;='2. GRI Pricing Inputs'!$AE$33),'2. GRI Pricing Inputs'!$AD$32,IF(AND('3. GRI Pricing'!$F568&gt;='2. GRI Pricing Inputs'!$AF$33,'3. GRI Pricing'!$F568&lt;='2. GRI Pricing Inputs'!$AG$33),'2. GRI Pricing Inputs'!$AF$32,IF(AND('3. GRI Pricing'!$F568&gt;='2. GRI Pricing Inputs'!$AH$33,'3. GRI Pricing'!$F568&lt;='2. GRI Pricing Inputs'!$AI$33),'2. GRI Pricing Inputs'!$AH$32,0))))))))))))))))</f>
        <v>0</v>
      </c>
      <c r="N568" s="273" cm="1">
        <f t="array" ref="N568">IFERROR(INDEX('2. GRI Pricing Inputs'!$C$32:$AI$39,MATCH('3. GRI Pricing'!D568,'2. GRI Pricing Inputs'!$C$32:$C$39,0),(MATCH('3. GRI Pricing'!M568,'2. GRI Pricing Inputs'!$D$32:$AI$32,0)+1)),0)</f>
        <v>0</v>
      </c>
      <c r="O568" s="273">
        <f>IFERROR(INDEX('2. GRI Pricing Inputs'!$C$45:$AI$46,MATCH($O$16,'2. GRI Pricing Inputs'!$C$45:$C$46,0),MATCH(G568,'2. GRI Pricing Inputs'!$C$45:$AI$45,0)),0)</f>
        <v>0</v>
      </c>
      <c r="P568" s="273">
        <f>IFERROR(INDEX('2. GRI Pricing Inputs'!$C$53:$AI$54,MATCH('3. GRI Pricing'!$P$16,'2. GRI Pricing Inputs'!$C$53:$C$54,0),MATCH('3. GRI Pricing'!H568,'2. GRI Pricing Inputs'!$C$53:$AI$53,0)),0)</f>
        <v>0</v>
      </c>
      <c r="Q568" s="273">
        <f>IFERROR(INDEX('2. GRI Pricing Inputs'!$C$60:$AI$61,MATCH('3. GRI Pricing'!$Q$16,'2. GRI Pricing Inputs'!$C$60:$C$61,0),MATCH('1. Accomodation'!T572,'2. GRI Pricing Inputs'!$C$60:$AI$60,0)),0)</f>
        <v>0</v>
      </c>
      <c r="R568" s="273">
        <f>IFERROR(INDEX('2. GRI Pricing Inputs'!$C$67:$AI$68,MATCH('3. GRI Pricing'!$R$16,'2. GRI Pricing Inputs'!$C$67:$C$68,0),MATCH('1. Accomodation'!U572,'2. GRI Pricing Inputs'!$C$67:$AI$67,0)),0)</f>
        <v>0</v>
      </c>
      <c r="S568" s="273">
        <f>IF(D568=0,0,'2. GRI Pricing Inputs'!$AI$75)</f>
        <v>0</v>
      </c>
      <c r="T568" s="273">
        <f>IFERROR(INDEX('2. GRI Pricing Inputs'!$C$82:$AI$83,MATCH('3. GRI Pricing'!$T$16,'2. GRI Pricing Inputs'!$C$82:$C$83,0),MATCH('1. Accomodation'!V572,'2. GRI Pricing Inputs'!$C$82:$AI$82,0)),0)</f>
        <v>0</v>
      </c>
      <c r="U568" s="273">
        <f>IFERROR(INDEX('2. GRI Pricing Inputs'!$C$89:$AI$90,MATCH('3. GRI Pricing'!$U$16,'2. GRI Pricing Inputs'!$C$89:$C$90,0),MATCH('1. Accomodation'!W572,'2. GRI Pricing Inputs'!$C$89:$AI$89,0)),0)</f>
        <v>0</v>
      </c>
      <c r="V568" s="273">
        <f>IFERROR(INDEX('2. GRI Pricing Inputs'!$C$97:$AI$98,MATCH('3. GRI Pricing'!$V$16,'2. GRI Pricing Inputs'!$C$97:$C$98,0),MATCH('1. Accomodation'!X572,'2. GRI Pricing Inputs'!$C$97:$AI$97,0)),0)</f>
        <v>0</v>
      </c>
      <c r="W568" s="273">
        <f>IFERROR(INDEX('2. GRI Pricing Inputs'!$C$104:$AI$105,MATCH('3. GRI Pricing'!$W$16,'2. GRI Pricing Inputs'!$C$104:$C$105,0),MATCH('1. Accomodation'!Y572,'2. GRI Pricing Inputs'!$C$104:$AI$104,0)),0)</f>
        <v>0</v>
      </c>
      <c r="X568" s="274"/>
      <c r="Y568" s="275">
        <f t="shared" si="15"/>
        <v>0</v>
      </c>
      <c r="Z568" s="276"/>
      <c r="AA568" s="276"/>
      <c r="AB568" s="276"/>
      <c r="AC568" s="272">
        <f>Y568*(1+'2. GRI Pricing Inputs'!$D$114)^(($AC$16-$AB$15)/365)</f>
        <v>0</v>
      </c>
      <c r="AD568" s="273">
        <f>AC568*(1+'2. GRI Pricing Inputs'!$D$114)^((AD$16-AC$16)/365)</f>
        <v>0</v>
      </c>
      <c r="AE568" s="273">
        <f>AD568*(1+'2. GRI Pricing Inputs'!$D$114)^((AE$16-AD$16)/365)</f>
        <v>0</v>
      </c>
      <c r="AF568" s="273">
        <f>AE568*(1+'2. GRI Pricing Inputs'!$D$114)^((AF$16-AE$16)/365)</f>
        <v>0</v>
      </c>
      <c r="AG568" s="273">
        <f>AF568*(1+'2. GRI Pricing Inputs'!$D$114)^((AG$16-AF$16)/365)</f>
        <v>0</v>
      </c>
      <c r="AH568" s="273">
        <f>AG568*(1+'2. GRI Pricing Inputs'!$D$114)^((AH$16-AG$16)/365)</f>
        <v>0</v>
      </c>
      <c r="AI568" s="273">
        <f>AH568*(1+'2. GRI Pricing Inputs'!$D$114)^((AI$16-AH$16)/365)</f>
        <v>0</v>
      </c>
      <c r="AJ568" s="273">
        <f>AI568*(1+'2. GRI Pricing Inputs'!$D$114)^((AJ$16-AI$16)/365)</f>
        <v>0</v>
      </c>
      <c r="AK568" s="273">
        <f>AJ568*(1+'2. GRI Pricing Inputs'!$D$114)^((AK$16-AJ$16)/365)</f>
        <v>0</v>
      </c>
      <c r="AL568" s="273">
        <f>AK568*(1+'2. GRI Pricing Inputs'!$D$114)^((AL$16-AK$16)/365)</f>
        <v>0</v>
      </c>
      <c r="AM568" s="273">
        <f>AL568*(1+'2. GRI Pricing Inputs'!$D$114)^((AM$16-AL$16)/365)</f>
        <v>0</v>
      </c>
      <c r="AN568" s="273">
        <f>AM568*(1+'2. GRI Pricing Inputs'!$D$114)^((AN$16-AM$16)/365)</f>
        <v>0</v>
      </c>
      <c r="AO568" s="273">
        <f>AN568*(1+'2. GRI Pricing Inputs'!$D$114)^((AO$16-AN$16)/365)</f>
        <v>0</v>
      </c>
    </row>
    <row r="569" spans="3:41" ht="12" x14ac:dyDescent="0.2">
      <c r="C569" s="76">
        <f>'1. Accomodation'!N573</f>
        <v>0</v>
      </c>
      <c r="D569" s="69">
        <f>'1. Accomodation'!P573</f>
        <v>0</v>
      </c>
      <c r="E569" s="69">
        <f>'1. Accomodation'!Q573</f>
        <v>0</v>
      </c>
      <c r="F569" s="77">
        <f>'1. Accomodation'!O573</f>
        <v>0</v>
      </c>
      <c r="G569" s="69">
        <f>'1. Accomodation'!R573</f>
        <v>0</v>
      </c>
      <c r="H569" s="69">
        <f>'1. Accomodation'!S573</f>
        <v>0</v>
      </c>
      <c r="I569" s="62"/>
      <c r="K569" s="272">
        <f>IFERROR(INDEX('2. GRI Pricing Inputs'!$C$15:$AI$16,MATCH($K$16,'2. GRI Pricing Inputs'!$C$15:$C$16,0),MATCH(D569,'2. GRI Pricing Inputs'!$C$15:$AI$15,0)),0)</f>
        <v>0</v>
      </c>
      <c r="L569" s="273">
        <f>IFERROR(INDEX('2. GRI Pricing Inputs'!$C$22:$AI$23,MATCH($L$16,'2. GRI Pricing Inputs'!$C$22:$C$23,0),MATCH(E569,'2. GRI Pricing Inputs'!$C$22:$AI$22,0)),0)</f>
        <v>0</v>
      </c>
      <c r="M569" s="328">
        <f>IF(AND('3. GRI Pricing'!$F569&gt;='2. GRI Pricing Inputs'!$D$33,'3. GRI Pricing'!$F569&lt;='2. GRI Pricing Inputs'!$E$33),'2. GRI Pricing Inputs'!$D$32,IF(AND('3. GRI Pricing'!$F569&gt;='2. GRI Pricing Inputs'!$F$33,'3. GRI Pricing'!$F569&lt;='2. GRI Pricing Inputs'!$G$33),'2. GRI Pricing Inputs'!$F$32,IF(AND('3. GRI Pricing'!$F569&gt;='2. GRI Pricing Inputs'!$H$33,'3. GRI Pricing'!$F569&lt;='2. GRI Pricing Inputs'!$I$33),'2. GRI Pricing Inputs'!$H$32,IF(AND('3. GRI Pricing'!$F569&gt;='2. GRI Pricing Inputs'!$J$33,'3. GRI Pricing'!$F569&lt;='2. GRI Pricing Inputs'!$K$33),'2. GRI Pricing Inputs'!$J$32,IF(AND('3. GRI Pricing'!$F569&gt;='2. GRI Pricing Inputs'!$L$33,'3. GRI Pricing'!$F569&lt;='2. GRI Pricing Inputs'!$M$33),'2. GRI Pricing Inputs'!$L$32,IF(AND('3. GRI Pricing'!$F569&gt;='2. GRI Pricing Inputs'!$N$33,'3. GRI Pricing'!$F569&lt;='2. GRI Pricing Inputs'!$O$33),'2. GRI Pricing Inputs'!$N$32,IF(AND('3. GRI Pricing'!$F569&gt;='2. GRI Pricing Inputs'!$P$33,'3. GRI Pricing'!$F569&lt;='2. GRI Pricing Inputs'!$Q$33),'2. GRI Pricing Inputs'!$P$32,IF(AND('3. GRI Pricing'!$F569&gt;='2. GRI Pricing Inputs'!$R$33,'3. GRI Pricing'!$F569&lt;='2. GRI Pricing Inputs'!$S$33),'2. GRI Pricing Inputs'!$R$32,IF(AND('3. GRI Pricing'!$F569&gt;='2. GRI Pricing Inputs'!$T$33,'3. GRI Pricing'!$F569&lt;='2. GRI Pricing Inputs'!$U$33),'2. GRI Pricing Inputs'!$T$32,IF(AND('3. GRI Pricing'!$F569&gt;='2. GRI Pricing Inputs'!$V$33,'3. GRI Pricing'!$F569&lt;='2. GRI Pricing Inputs'!$W$33),'2. GRI Pricing Inputs'!$V$32,IF(AND('3. GRI Pricing'!$F569&gt;='2. GRI Pricing Inputs'!$X$33,'3. GRI Pricing'!$F569&lt;='2. GRI Pricing Inputs'!$Y$33),'2. GRI Pricing Inputs'!$X$32,IF(AND('3. GRI Pricing'!$F569&gt;='2. GRI Pricing Inputs'!$Z$33,'3. GRI Pricing'!$F569&lt;='2. GRI Pricing Inputs'!$AA$33),'2. GRI Pricing Inputs'!$Z$32,IF(AND('3. GRI Pricing'!$F569&gt;='2. GRI Pricing Inputs'!$AB$33,'3. GRI Pricing'!$F569&lt;='2. GRI Pricing Inputs'!$AC$33),'2. GRI Pricing Inputs'!$AB$32,IF(AND('3. GRI Pricing'!$F569&gt;='2. GRI Pricing Inputs'!$AD$33,'3. GRI Pricing'!$F569&lt;='2. GRI Pricing Inputs'!$AE$33),'2. GRI Pricing Inputs'!$AD$32,IF(AND('3. GRI Pricing'!$F569&gt;='2. GRI Pricing Inputs'!$AF$33,'3. GRI Pricing'!$F569&lt;='2. GRI Pricing Inputs'!$AG$33),'2. GRI Pricing Inputs'!$AF$32,IF(AND('3. GRI Pricing'!$F569&gt;='2. GRI Pricing Inputs'!$AH$33,'3. GRI Pricing'!$F569&lt;='2. GRI Pricing Inputs'!$AI$33),'2. GRI Pricing Inputs'!$AH$32,0))))))))))))))))</f>
        <v>0</v>
      </c>
      <c r="N569" s="273" cm="1">
        <f t="array" ref="N569">IFERROR(INDEX('2. GRI Pricing Inputs'!$C$32:$AI$39,MATCH('3. GRI Pricing'!D569,'2. GRI Pricing Inputs'!$C$32:$C$39,0),(MATCH('3. GRI Pricing'!M569,'2. GRI Pricing Inputs'!$D$32:$AI$32,0)+1)),0)</f>
        <v>0</v>
      </c>
      <c r="O569" s="273">
        <f>IFERROR(INDEX('2. GRI Pricing Inputs'!$C$45:$AI$46,MATCH($O$16,'2. GRI Pricing Inputs'!$C$45:$C$46,0),MATCH(G569,'2. GRI Pricing Inputs'!$C$45:$AI$45,0)),0)</f>
        <v>0</v>
      </c>
      <c r="P569" s="273">
        <f>IFERROR(INDEX('2. GRI Pricing Inputs'!$C$53:$AI$54,MATCH('3. GRI Pricing'!$P$16,'2. GRI Pricing Inputs'!$C$53:$C$54,0),MATCH('3. GRI Pricing'!H569,'2. GRI Pricing Inputs'!$C$53:$AI$53,0)),0)</f>
        <v>0</v>
      </c>
      <c r="Q569" s="273">
        <f>IFERROR(INDEX('2. GRI Pricing Inputs'!$C$60:$AI$61,MATCH('3. GRI Pricing'!$Q$16,'2. GRI Pricing Inputs'!$C$60:$C$61,0),MATCH('1. Accomodation'!T573,'2. GRI Pricing Inputs'!$C$60:$AI$60,0)),0)</f>
        <v>0</v>
      </c>
      <c r="R569" s="273">
        <f>IFERROR(INDEX('2. GRI Pricing Inputs'!$C$67:$AI$68,MATCH('3. GRI Pricing'!$R$16,'2. GRI Pricing Inputs'!$C$67:$C$68,0),MATCH('1. Accomodation'!U573,'2. GRI Pricing Inputs'!$C$67:$AI$67,0)),0)</f>
        <v>0</v>
      </c>
      <c r="S569" s="273">
        <f>IF(D569=0,0,'2. GRI Pricing Inputs'!$AI$75)</f>
        <v>0</v>
      </c>
      <c r="T569" s="273">
        <f>IFERROR(INDEX('2. GRI Pricing Inputs'!$C$82:$AI$83,MATCH('3. GRI Pricing'!$T$16,'2. GRI Pricing Inputs'!$C$82:$C$83,0),MATCH('1. Accomodation'!V573,'2. GRI Pricing Inputs'!$C$82:$AI$82,0)),0)</f>
        <v>0</v>
      </c>
      <c r="U569" s="273">
        <f>IFERROR(INDEX('2. GRI Pricing Inputs'!$C$89:$AI$90,MATCH('3. GRI Pricing'!$U$16,'2. GRI Pricing Inputs'!$C$89:$C$90,0),MATCH('1. Accomodation'!W573,'2. GRI Pricing Inputs'!$C$89:$AI$89,0)),0)</f>
        <v>0</v>
      </c>
      <c r="V569" s="273">
        <f>IFERROR(INDEX('2. GRI Pricing Inputs'!$C$97:$AI$98,MATCH('3. GRI Pricing'!$V$16,'2. GRI Pricing Inputs'!$C$97:$C$98,0),MATCH('1. Accomodation'!X573,'2. GRI Pricing Inputs'!$C$97:$AI$97,0)),0)</f>
        <v>0</v>
      </c>
      <c r="W569" s="273">
        <f>IFERROR(INDEX('2. GRI Pricing Inputs'!$C$104:$AI$105,MATCH('3. GRI Pricing'!$W$16,'2. GRI Pricing Inputs'!$C$104:$C$105,0),MATCH('1. Accomodation'!Y573,'2. GRI Pricing Inputs'!$C$104:$AI$104,0)),0)</f>
        <v>0</v>
      </c>
      <c r="X569" s="274"/>
      <c r="Y569" s="275">
        <f t="shared" si="15"/>
        <v>0</v>
      </c>
      <c r="Z569" s="276"/>
      <c r="AA569" s="276"/>
      <c r="AB569" s="276"/>
      <c r="AC569" s="272">
        <f>Y569*(1+'2. GRI Pricing Inputs'!$D$114)^(($AC$16-$AB$15)/365)</f>
        <v>0</v>
      </c>
      <c r="AD569" s="273">
        <f>AC569*(1+'2. GRI Pricing Inputs'!$D$114)^((AD$16-AC$16)/365)</f>
        <v>0</v>
      </c>
      <c r="AE569" s="273">
        <f>AD569*(1+'2. GRI Pricing Inputs'!$D$114)^((AE$16-AD$16)/365)</f>
        <v>0</v>
      </c>
      <c r="AF569" s="273">
        <f>AE569*(1+'2. GRI Pricing Inputs'!$D$114)^((AF$16-AE$16)/365)</f>
        <v>0</v>
      </c>
      <c r="AG569" s="273">
        <f>AF569*(1+'2. GRI Pricing Inputs'!$D$114)^((AG$16-AF$16)/365)</f>
        <v>0</v>
      </c>
      <c r="AH569" s="273">
        <f>AG569*(1+'2. GRI Pricing Inputs'!$D$114)^((AH$16-AG$16)/365)</f>
        <v>0</v>
      </c>
      <c r="AI569" s="273">
        <f>AH569*(1+'2. GRI Pricing Inputs'!$D$114)^((AI$16-AH$16)/365)</f>
        <v>0</v>
      </c>
      <c r="AJ569" s="273">
        <f>AI569*(1+'2. GRI Pricing Inputs'!$D$114)^((AJ$16-AI$16)/365)</f>
        <v>0</v>
      </c>
      <c r="AK569" s="273">
        <f>AJ569*(1+'2. GRI Pricing Inputs'!$D$114)^((AK$16-AJ$16)/365)</f>
        <v>0</v>
      </c>
      <c r="AL569" s="273">
        <f>AK569*(1+'2. GRI Pricing Inputs'!$D$114)^((AL$16-AK$16)/365)</f>
        <v>0</v>
      </c>
      <c r="AM569" s="273">
        <f>AL569*(1+'2. GRI Pricing Inputs'!$D$114)^((AM$16-AL$16)/365)</f>
        <v>0</v>
      </c>
      <c r="AN569" s="273">
        <f>AM569*(1+'2. GRI Pricing Inputs'!$D$114)^((AN$16-AM$16)/365)</f>
        <v>0</v>
      </c>
      <c r="AO569" s="273">
        <f>AN569*(1+'2. GRI Pricing Inputs'!$D$114)^((AO$16-AN$16)/365)</f>
        <v>0</v>
      </c>
    </row>
    <row r="570" spans="3:41" ht="12" x14ac:dyDescent="0.2">
      <c r="C570" s="76">
        <f>'1. Accomodation'!N574</f>
        <v>0</v>
      </c>
      <c r="D570" s="69">
        <f>'1. Accomodation'!P574</f>
        <v>0</v>
      </c>
      <c r="E570" s="69">
        <f>'1. Accomodation'!Q574</f>
        <v>0</v>
      </c>
      <c r="F570" s="77">
        <f>'1. Accomodation'!O574</f>
        <v>0</v>
      </c>
      <c r="G570" s="69">
        <f>'1. Accomodation'!R574</f>
        <v>0</v>
      </c>
      <c r="H570" s="69">
        <f>'1. Accomodation'!S574</f>
        <v>0</v>
      </c>
      <c r="I570" s="62"/>
      <c r="K570" s="272">
        <f>IFERROR(INDEX('2. GRI Pricing Inputs'!$C$15:$AI$16,MATCH($K$16,'2. GRI Pricing Inputs'!$C$15:$C$16,0),MATCH(D570,'2. GRI Pricing Inputs'!$C$15:$AI$15,0)),0)</f>
        <v>0</v>
      </c>
      <c r="L570" s="273">
        <f>IFERROR(INDEX('2. GRI Pricing Inputs'!$C$22:$AI$23,MATCH($L$16,'2. GRI Pricing Inputs'!$C$22:$C$23,0),MATCH(E570,'2. GRI Pricing Inputs'!$C$22:$AI$22,0)),0)</f>
        <v>0</v>
      </c>
      <c r="M570" s="328">
        <f>IF(AND('3. GRI Pricing'!$F570&gt;='2. GRI Pricing Inputs'!$D$33,'3. GRI Pricing'!$F570&lt;='2. GRI Pricing Inputs'!$E$33),'2. GRI Pricing Inputs'!$D$32,IF(AND('3. GRI Pricing'!$F570&gt;='2. GRI Pricing Inputs'!$F$33,'3. GRI Pricing'!$F570&lt;='2. GRI Pricing Inputs'!$G$33),'2. GRI Pricing Inputs'!$F$32,IF(AND('3. GRI Pricing'!$F570&gt;='2. GRI Pricing Inputs'!$H$33,'3. GRI Pricing'!$F570&lt;='2. GRI Pricing Inputs'!$I$33),'2. GRI Pricing Inputs'!$H$32,IF(AND('3. GRI Pricing'!$F570&gt;='2. GRI Pricing Inputs'!$J$33,'3. GRI Pricing'!$F570&lt;='2. GRI Pricing Inputs'!$K$33),'2. GRI Pricing Inputs'!$J$32,IF(AND('3. GRI Pricing'!$F570&gt;='2. GRI Pricing Inputs'!$L$33,'3. GRI Pricing'!$F570&lt;='2. GRI Pricing Inputs'!$M$33),'2. GRI Pricing Inputs'!$L$32,IF(AND('3. GRI Pricing'!$F570&gt;='2. GRI Pricing Inputs'!$N$33,'3. GRI Pricing'!$F570&lt;='2. GRI Pricing Inputs'!$O$33),'2. GRI Pricing Inputs'!$N$32,IF(AND('3. GRI Pricing'!$F570&gt;='2. GRI Pricing Inputs'!$P$33,'3. GRI Pricing'!$F570&lt;='2. GRI Pricing Inputs'!$Q$33),'2. GRI Pricing Inputs'!$P$32,IF(AND('3. GRI Pricing'!$F570&gt;='2. GRI Pricing Inputs'!$R$33,'3. GRI Pricing'!$F570&lt;='2. GRI Pricing Inputs'!$S$33),'2. GRI Pricing Inputs'!$R$32,IF(AND('3. GRI Pricing'!$F570&gt;='2. GRI Pricing Inputs'!$T$33,'3. GRI Pricing'!$F570&lt;='2. GRI Pricing Inputs'!$U$33),'2. GRI Pricing Inputs'!$T$32,IF(AND('3. GRI Pricing'!$F570&gt;='2. GRI Pricing Inputs'!$V$33,'3. GRI Pricing'!$F570&lt;='2. GRI Pricing Inputs'!$W$33),'2. GRI Pricing Inputs'!$V$32,IF(AND('3. GRI Pricing'!$F570&gt;='2. GRI Pricing Inputs'!$X$33,'3. GRI Pricing'!$F570&lt;='2. GRI Pricing Inputs'!$Y$33),'2. GRI Pricing Inputs'!$X$32,IF(AND('3. GRI Pricing'!$F570&gt;='2. GRI Pricing Inputs'!$Z$33,'3. GRI Pricing'!$F570&lt;='2. GRI Pricing Inputs'!$AA$33),'2. GRI Pricing Inputs'!$Z$32,IF(AND('3. GRI Pricing'!$F570&gt;='2. GRI Pricing Inputs'!$AB$33,'3. GRI Pricing'!$F570&lt;='2. GRI Pricing Inputs'!$AC$33),'2. GRI Pricing Inputs'!$AB$32,IF(AND('3. GRI Pricing'!$F570&gt;='2. GRI Pricing Inputs'!$AD$33,'3. GRI Pricing'!$F570&lt;='2. GRI Pricing Inputs'!$AE$33),'2. GRI Pricing Inputs'!$AD$32,IF(AND('3. GRI Pricing'!$F570&gt;='2. GRI Pricing Inputs'!$AF$33,'3. GRI Pricing'!$F570&lt;='2. GRI Pricing Inputs'!$AG$33),'2. GRI Pricing Inputs'!$AF$32,IF(AND('3. GRI Pricing'!$F570&gt;='2. GRI Pricing Inputs'!$AH$33,'3. GRI Pricing'!$F570&lt;='2. GRI Pricing Inputs'!$AI$33),'2. GRI Pricing Inputs'!$AH$32,0))))))))))))))))</f>
        <v>0</v>
      </c>
      <c r="N570" s="273" cm="1">
        <f t="array" ref="N570">IFERROR(INDEX('2. GRI Pricing Inputs'!$C$32:$AI$39,MATCH('3. GRI Pricing'!D570,'2. GRI Pricing Inputs'!$C$32:$C$39,0),(MATCH('3. GRI Pricing'!M570,'2. GRI Pricing Inputs'!$D$32:$AI$32,0)+1)),0)</f>
        <v>0</v>
      </c>
      <c r="O570" s="273">
        <f>IFERROR(INDEX('2. GRI Pricing Inputs'!$C$45:$AI$46,MATCH($O$16,'2. GRI Pricing Inputs'!$C$45:$C$46,0),MATCH(G570,'2. GRI Pricing Inputs'!$C$45:$AI$45,0)),0)</f>
        <v>0</v>
      </c>
      <c r="P570" s="273">
        <f>IFERROR(INDEX('2. GRI Pricing Inputs'!$C$53:$AI$54,MATCH('3. GRI Pricing'!$P$16,'2. GRI Pricing Inputs'!$C$53:$C$54,0),MATCH('3. GRI Pricing'!H570,'2. GRI Pricing Inputs'!$C$53:$AI$53,0)),0)</f>
        <v>0</v>
      </c>
      <c r="Q570" s="273">
        <f>IFERROR(INDEX('2. GRI Pricing Inputs'!$C$60:$AI$61,MATCH('3. GRI Pricing'!$Q$16,'2. GRI Pricing Inputs'!$C$60:$C$61,0),MATCH('1. Accomodation'!T574,'2. GRI Pricing Inputs'!$C$60:$AI$60,0)),0)</f>
        <v>0</v>
      </c>
      <c r="R570" s="273">
        <f>IFERROR(INDEX('2. GRI Pricing Inputs'!$C$67:$AI$68,MATCH('3. GRI Pricing'!$R$16,'2. GRI Pricing Inputs'!$C$67:$C$68,0),MATCH('1. Accomodation'!U574,'2. GRI Pricing Inputs'!$C$67:$AI$67,0)),0)</f>
        <v>0</v>
      </c>
      <c r="S570" s="273">
        <f>IF(D570=0,0,'2. GRI Pricing Inputs'!$AI$75)</f>
        <v>0</v>
      </c>
      <c r="T570" s="273">
        <f>IFERROR(INDEX('2. GRI Pricing Inputs'!$C$82:$AI$83,MATCH('3. GRI Pricing'!$T$16,'2. GRI Pricing Inputs'!$C$82:$C$83,0),MATCH('1. Accomodation'!V574,'2. GRI Pricing Inputs'!$C$82:$AI$82,0)),0)</f>
        <v>0</v>
      </c>
      <c r="U570" s="273">
        <f>IFERROR(INDEX('2. GRI Pricing Inputs'!$C$89:$AI$90,MATCH('3. GRI Pricing'!$U$16,'2. GRI Pricing Inputs'!$C$89:$C$90,0),MATCH('1. Accomodation'!W574,'2. GRI Pricing Inputs'!$C$89:$AI$89,0)),0)</f>
        <v>0</v>
      </c>
      <c r="V570" s="273">
        <f>IFERROR(INDEX('2. GRI Pricing Inputs'!$C$97:$AI$98,MATCH('3. GRI Pricing'!$V$16,'2. GRI Pricing Inputs'!$C$97:$C$98,0),MATCH('1. Accomodation'!X574,'2. GRI Pricing Inputs'!$C$97:$AI$97,0)),0)</f>
        <v>0</v>
      </c>
      <c r="W570" s="273">
        <f>IFERROR(INDEX('2. GRI Pricing Inputs'!$C$104:$AI$105,MATCH('3. GRI Pricing'!$W$16,'2. GRI Pricing Inputs'!$C$104:$C$105,0),MATCH('1. Accomodation'!Y574,'2. GRI Pricing Inputs'!$C$104:$AI$104,0)),0)</f>
        <v>0</v>
      </c>
      <c r="X570" s="274"/>
      <c r="Y570" s="275">
        <f t="shared" si="15"/>
        <v>0</v>
      </c>
      <c r="Z570" s="276"/>
      <c r="AA570" s="276"/>
      <c r="AB570" s="276"/>
      <c r="AC570" s="272">
        <f>Y570*(1+'2. GRI Pricing Inputs'!$D$114)^(($AC$16-$AB$15)/365)</f>
        <v>0</v>
      </c>
      <c r="AD570" s="273">
        <f>AC570*(1+'2. GRI Pricing Inputs'!$D$114)^((AD$16-AC$16)/365)</f>
        <v>0</v>
      </c>
      <c r="AE570" s="273">
        <f>AD570*(1+'2. GRI Pricing Inputs'!$D$114)^((AE$16-AD$16)/365)</f>
        <v>0</v>
      </c>
      <c r="AF570" s="273">
        <f>AE570*(1+'2. GRI Pricing Inputs'!$D$114)^((AF$16-AE$16)/365)</f>
        <v>0</v>
      </c>
      <c r="AG570" s="273">
        <f>AF570*(1+'2. GRI Pricing Inputs'!$D$114)^((AG$16-AF$16)/365)</f>
        <v>0</v>
      </c>
      <c r="AH570" s="273">
        <f>AG570*(1+'2. GRI Pricing Inputs'!$D$114)^((AH$16-AG$16)/365)</f>
        <v>0</v>
      </c>
      <c r="AI570" s="273">
        <f>AH570*(1+'2. GRI Pricing Inputs'!$D$114)^((AI$16-AH$16)/365)</f>
        <v>0</v>
      </c>
      <c r="AJ570" s="273">
        <f>AI570*(1+'2. GRI Pricing Inputs'!$D$114)^((AJ$16-AI$16)/365)</f>
        <v>0</v>
      </c>
      <c r="AK570" s="273">
        <f>AJ570*(1+'2. GRI Pricing Inputs'!$D$114)^((AK$16-AJ$16)/365)</f>
        <v>0</v>
      </c>
      <c r="AL570" s="273">
        <f>AK570*(1+'2. GRI Pricing Inputs'!$D$114)^((AL$16-AK$16)/365)</f>
        <v>0</v>
      </c>
      <c r="AM570" s="273">
        <f>AL570*(1+'2. GRI Pricing Inputs'!$D$114)^((AM$16-AL$16)/365)</f>
        <v>0</v>
      </c>
      <c r="AN570" s="273">
        <f>AM570*(1+'2. GRI Pricing Inputs'!$D$114)^((AN$16-AM$16)/365)</f>
        <v>0</v>
      </c>
      <c r="AO570" s="273">
        <f>AN570*(1+'2. GRI Pricing Inputs'!$D$114)^((AO$16-AN$16)/365)</f>
        <v>0</v>
      </c>
    </row>
    <row r="571" spans="3:41" ht="12" x14ac:dyDescent="0.2">
      <c r="C571" s="76">
        <f>'1. Accomodation'!N575</f>
        <v>0</v>
      </c>
      <c r="D571" s="69">
        <f>'1. Accomodation'!P575</f>
        <v>0</v>
      </c>
      <c r="E571" s="69">
        <f>'1. Accomodation'!Q575</f>
        <v>0</v>
      </c>
      <c r="F571" s="77">
        <f>'1. Accomodation'!O575</f>
        <v>0</v>
      </c>
      <c r="G571" s="69">
        <f>'1. Accomodation'!R575</f>
        <v>0</v>
      </c>
      <c r="H571" s="69">
        <f>'1. Accomodation'!S575</f>
        <v>0</v>
      </c>
      <c r="I571" s="62"/>
      <c r="K571" s="272">
        <f>IFERROR(INDEX('2. GRI Pricing Inputs'!$C$15:$AI$16,MATCH($K$16,'2. GRI Pricing Inputs'!$C$15:$C$16,0),MATCH(D571,'2. GRI Pricing Inputs'!$C$15:$AI$15,0)),0)</f>
        <v>0</v>
      </c>
      <c r="L571" s="273">
        <f>IFERROR(INDEX('2. GRI Pricing Inputs'!$C$22:$AI$23,MATCH($L$16,'2. GRI Pricing Inputs'!$C$22:$C$23,0),MATCH(E571,'2. GRI Pricing Inputs'!$C$22:$AI$22,0)),0)</f>
        <v>0</v>
      </c>
      <c r="M571" s="328">
        <f>IF(AND('3. GRI Pricing'!$F571&gt;='2. GRI Pricing Inputs'!$D$33,'3. GRI Pricing'!$F571&lt;='2. GRI Pricing Inputs'!$E$33),'2. GRI Pricing Inputs'!$D$32,IF(AND('3. GRI Pricing'!$F571&gt;='2. GRI Pricing Inputs'!$F$33,'3. GRI Pricing'!$F571&lt;='2. GRI Pricing Inputs'!$G$33),'2. GRI Pricing Inputs'!$F$32,IF(AND('3. GRI Pricing'!$F571&gt;='2. GRI Pricing Inputs'!$H$33,'3. GRI Pricing'!$F571&lt;='2. GRI Pricing Inputs'!$I$33),'2. GRI Pricing Inputs'!$H$32,IF(AND('3. GRI Pricing'!$F571&gt;='2. GRI Pricing Inputs'!$J$33,'3. GRI Pricing'!$F571&lt;='2. GRI Pricing Inputs'!$K$33),'2. GRI Pricing Inputs'!$J$32,IF(AND('3. GRI Pricing'!$F571&gt;='2. GRI Pricing Inputs'!$L$33,'3. GRI Pricing'!$F571&lt;='2. GRI Pricing Inputs'!$M$33),'2. GRI Pricing Inputs'!$L$32,IF(AND('3. GRI Pricing'!$F571&gt;='2. GRI Pricing Inputs'!$N$33,'3. GRI Pricing'!$F571&lt;='2. GRI Pricing Inputs'!$O$33),'2. GRI Pricing Inputs'!$N$32,IF(AND('3. GRI Pricing'!$F571&gt;='2. GRI Pricing Inputs'!$P$33,'3. GRI Pricing'!$F571&lt;='2. GRI Pricing Inputs'!$Q$33),'2. GRI Pricing Inputs'!$P$32,IF(AND('3. GRI Pricing'!$F571&gt;='2. GRI Pricing Inputs'!$R$33,'3. GRI Pricing'!$F571&lt;='2. GRI Pricing Inputs'!$S$33),'2. GRI Pricing Inputs'!$R$32,IF(AND('3. GRI Pricing'!$F571&gt;='2. GRI Pricing Inputs'!$T$33,'3. GRI Pricing'!$F571&lt;='2. GRI Pricing Inputs'!$U$33),'2. GRI Pricing Inputs'!$T$32,IF(AND('3. GRI Pricing'!$F571&gt;='2. GRI Pricing Inputs'!$V$33,'3. GRI Pricing'!$F571&lt;='2. GRI Pricing Inputs'!$W$33),'2. GRI Pricing Inputs'!$V$32,IF(AND('3. GRI Pricing'!$F571&gt;='2. GRI Pricing Inputs'!$X$33,'3. GRI Pricing'!$F571&lt;='2. GRI Pricing Inputs'!$Y$33),'2. GRI Pricing Inputs'!$X$32,IF(AND('3. GRI Pricing'!$F571&gt;='2. GRI Pricing Inputs'!$Z$33,'3. GRI Pricing'!$F571&lt;='2. GRI Pricing Inputs'!$AA$33),'2. GRI Pricing Inputs'!$Z$32,IF(AND('3. GRI Pricing'!$F571&gt;='2. GRI Pricing Inputs'!$AB$33,'3. GRI Pricing'!$F571&lt;='2. GRI Pricing Inputs'!$AC$33),'2. GRI Pricing Inputs'!$AB$32,IF(AND('3. GRI Pricing'!$F571&gt;='2. GRI Pricing Inputs'!$AD$33,'3. GRI Pricing'!$F571&lt;='2. GRI Pricing Inputs'!$AE$33),'2. GRI Pricing Inputs'!$AD$32,IF(AND('3. GRI Pricing'!$F571&gt;='2. GRI Pricing Inputs'!$AF$33,'3. GRI Pricing'!$F571&lt;='2. GRI Pricing Inputs'!$AG$33),'2. GRI Pricing Inputs'!$AF$32,IF(AND('3. GRI Pricing'!$F571&gt;='2. GRI Pricing Inputs'!$AH$33,'3. GRI Pricing'!$F571&lt;='2. GRI Pricing Inputs'!$AI$33),'2. GRI Pricing Inputs'!$AH$32,0))))))))))))))))</f>
        <v>0</v>
      </c>
      <c r="N571" s="273" cm="1">
        <f t="array" ref="N571">IFERROR(INDEX('2. GRI Pricing Inputs'!$C$32:$AI$39,MATCH('3. GRI Pricing'!D571,'2. GRI Pricing Inputs'!$C$32:$C$39,0),(MATCH('3. GRI Pricing'!M571,'2. GRI Pricing Inputs'!$D$32:$AI$32,0)+1)),0)</f>
        <v>0</v>
      </c>
      <c r="O571" s="273">
        <f>IFERROR(INDEX('2. GRI Pricing Inputs'!$C$45:$AI$46,MATCH($O$16,'2. GRI Pricing Inputs'!$C$45:$C$46,0),MATCH(G571,'2. GRI Pricing Inputs'!$C$45:$AI$45,0)),0)</f>
        <v>0</v>
      </c>
      <c r="P571" s="273">
        <f>IFERROR(INDEX('2. GRI Pricing Inputs'!$C$53:$AI$54,MATCH('3. GRI Pricing'!$P$16,'2. GRI Pricing Inputs'!$C$53:$C$54,0),MATCH('3. GRI Pricing'!H571,'2. GRI Pricing Inputs'!$C$53:$AI$53,0)),0)</f>
        <v>0</v>
      </c>
      <c r="Q571" s="273">
        <f>IFERROR(INDEX('2. GRI Pricing Inputs'!$C$60:$AI$61,MATCH('3. GRI Pricing'!$Q$16,'2. GRI Pricing Inputs'!$C$60:$C$61,0),MATCH('1. Accomodation'!T575,'2. GRI Pricing Inputs'!$C$60:$AI$60,0)),0)</f>
        <v>0</v>
      </c>
      <c r="R571" s="273">
        <f>IFERROR(INDEX('2. GRI Pricing Inputs'!$C$67:$AI$68,MATCH('3. GRI Pricing'!$R$16,'2. GRI Pricing Inputs'!$C$67:$C$68,0),MATCH('1. Accomodation'!U575,'2. GRI Pricing Inputs'!$C$67:$AI$67,0)),0)</f>
        <v>0</v>
      </c>
      <c r="S571" s="273">
        <f>IF(D571=0,0,'2. GRI Pricing Inputs'!$AI$75)</f>
        <v>0</v>
      </c>
      <c r="T571" s="273">
        <f>IFERROR(INDEX('2. GRI Pricing Inputs'!$C$82:$AI$83,MATCH('3. GRI Pricing'!$T$16,'2. GRI Pricing Inputs'!$C$82:$C$83,0),MATCH('1. Accomodation'!V575,'2. GRI Pricing Inputs'!$C$82:$AI$82,0)),0)</f>
        <v>0</v>
      </c>
      <c r="U571" s="273">
        <f>IFERROR(INDEX('2. GRI Pricing Inputs'!$C$89:$AI$90,MATCH('3. GRI Pricing'!$U$16,'2. GRI Pricing Inputs'!$C$89:$C$90,0),MATCH('1. Accomodation'!W575,'2. GRI Pricing Inputs'!$C$89:$AI$89,0)),0)</f>
        <v>0</v>
      </c>
      <c r="V571" s="273">
        <f>IFERROR(INDEX('2. GRI Pricing Inputs'!$C$97:$AI$98,MATCH('3. GRI Pricing'!$V$16,'2. GRI Pricing Inputs'!$C$97:$C$98,0),MATCH('1. Accomodation'!X575,'2. GRI Pricing Inputs'!$C$97:$AI$97,0)),0)</f>
        <v>0</v>
      </c>
      <c r="W571" s="273">
        <f>IFERROR(INDEX('2. GRI Pricing Inputs'!$C$104:$AI$105,MATCH('3. GRI Pricing'!$W$16,'2. GRI Pricing Inputs'!$C$104:$C$105,0),MATCH('1. Accomodation'!Y575,'2. GRI Pricing Inputs'!$C$104:$AI$104,0)),0)</f>
        <v>0</v>
      </c>
      <c r="X571" s="274"/>
      <c r="Y571" s="275">
        <f t="shared" si="15"/>
        <v>0</v>
      </c>
      <c r="Z571" s="276"/>
      <c r="AA571" s="276"/>
      <c r="AB571" s="276"/>
      <c r="AC571" s="272">
        <f>Y571*(1+'2. GRI Pricing Inputs'!$D$114)^(($AC$16-$AB$15)/365)</f>
        <v>0</v>
      </c>
      <c r="AD571" s="273">
        <f>AC571*(1+'2. GRI Pricing Inputs'!$D$114)^((AD$16-AC$16)/365)</f>
        <v>0</v>
      </c>
      <c r="AE571" s="273">
        <f>AD571*(1+'2. GRI Pricing Inputs'!$D$114)^((AE$16-AD$16)/365)</f>
        <v>0</v>
      </c>
      <c r="AF571" s="273">
        <f>AE571*(1+'2. GRI Pricing Inputs'!$D$114)^((AF$16-AE$16)/365)</f>
        <v>0</v>
      </c>
      <c r="AG571" s="273">
        <f>AF571*(1+'2. GRI Pricing Inputs'!$D$114)^((AG$16-AF$16)/365)</f>
        <v>0</v>
      </c>
      <c r="AH571" s="273">
        <f>AG571*(1+'2. GRI Pricing Inputs'!$D$114)^((AH$16-AG$16)/365)</f>
        <v>0</v>
      </c>
      <c r="AI571" s="273">
        <f>AH571*(1+'2. GRI Pricing Inputs'!$D$114)^((AI$16-AH$16)/365)</f>
        <v>0</v>
      </c>
      <c r="AJ571" s="273">
        <f>AI571*(1+'2. GRI Pricing Inputs'!$D$114)^((AJ$16-AI$16)/365)</f>
        <v>0</v>
      </c>
      <c r="AK571" s="273">
        <f>AJ571*(1+'2. GRI Pricing Inputs'!$D$114)^((AK$16-AJ$16)/365)</f>
        <v>0</v>
      </c>
      <c r="AL571" s="273">
        <f>AK571*(1+'2. GRI Pricing Inputs'!$D$114)^((AL$16-AK$16)/365)</f>
        <v>0</v>
      </c>
      <c r="AM571" s="273">
        <f>AL571*(1+'2. GRI Pricing Inputs'!$D$114)^((AM$16-AL$16)/365)</f>
        <v>0</v>
      </c>
      <c r="AN571" s="273">
        <f>AM571*(1+'2. GRI Pricing Inputs'!$D$114)^((AN$16-AM$16)/365)</f>
        <v>0</v>
      </c>
      <c r="AO571" s="273">
        <f>AN571*(1+'2. GRI Pricing Inputs'!$D$114)^((AO$16-AN$16)/365)</f>
        <v>0</v>
      </c>
    </row>
    <row r="572" spans="3:41" ht="12" x14ac:dyDescent="0.2">
      <c r="C572" s="76">
        <f>'1. Accomodation'!N576</f>
        <v>0</v>
      </c>
      <c r="D572" s="69">
        <f>'1. Accomodation'!P576</f>
        <v>0</v>
      </c>
      <c r="E572" s="69">
        <f>'1. Accomodation'!Q576</f>
        <v>0</v>
      </c>
      <c r="F572" s="77">
        <f>'1. Accomodation'!O576</f>
        <v>0</v>
      </c>
      <c r="G572" s="69">
        <f>'1. Accomodation'!R576</f>
        <v>0</v>
      </c>
      <c r="H572" s="69">
        <f>'1. Accomodation'!S576</f>
        <v>0</v>
      </c>
      <c r="I572" s="62"/>
      <c r="K572" s="272">
        <f>IFERROR(INDEX('2. GRI Pricing Inputs'!$C$15:$AI$16,MATCH($K$16,'2. GRI Pricing Inputs'!$C$15:$C$16,0),MATCH(D572,'2. GRI Pricing Inputs'!$C$15:$AI$15,0)),0)</f>
        <v>0</v>
      </c>
      <c r="L572" s="273">
        <f>IFERROR(INDEX('2. GRI Pricing Inputs'!$C$22:$AI$23,MATCH($L$16,'2. GRI Pricing Inputs'!$C$22:$C$23,0),MATCH(E572,'2. GRI Pricing Inputs'!$C$22:$AI$22,0)),0)</f>
        <v>0</v>
      </c>
      <c r="M572" s="328">
        <f>IF(AND('3. GRI Pricing'!$F572&gt;='2. GRI Pricing Inputs'!$D$33,'3. GRI Pricing'!$F572&lt;='2. GRI Pricing Inputs'!$E$33),'2. GRI Pricing Inputs'!$D$32,IF(AND('3. GRI Pricing'!$F572&gt;='2. GRI Pricing Inputs'!$F$33,'3. GRI Pricing'!$F572&lt;='2. GRI Pricing Inputs'!$G$33),'2. GRI Pricing Inputs'!$F$32,IF(AND('3. GRI Pricing'!$F572&gt;='2. GRI Pricing Inputs'!$H$33,'3. GRI Pricing'!$F572&lt;='2. GRI Pricing Inputs'!$I$33),'2. GRI Pricing Inputs'!$H$32,IF(AND('3. GRI Pricing'!$F572&gt;='2. GRI Pricing Inputs'!$J$33,'3. GRI Pricing'!$F572&lt;='2. GRI Pricing Inputs'!$K$33),'2. GRI Pricing Inputs'!$J$32,IF(AND('3. GRI Pricing'!$F572&gt;='2. GRI Pricing Inputs'!$L$33,'3. GRI Pricing'!$F572&lt;='2. GRI Pricing Inputs'!$M$33),'2. GRI Pricing Inputs'!$L$32,IF(AND('3. GRI Pricing'!$F572&gt;='2. GRI Pricing Inputs'!$N$33,'3. GRI Pricing'!$F572&lt;='2. GRI Pricing Inputs'!$O$33),'2. GRI Pricing Inputs'!$N$32,IF(AND('3. GRI Pricing'!$F572&gt;='2. GRI Pricing Inputs'!$P$33,'3. GRI Pricing'!$F572&lt;='2. GRI Pricing Inputs'!$Q$33),'2. GRI Pricing Inputs'!$P$32,IF(AND('3. GRI Pricing'!$F572&gt;='2. GRI Pricing Inputs'!$R$33,'3. GRI Pricing'!$F572&lt;='2. GRI Pricing Inputs'!$S$33),'2. GRI Pricing Inputs'!$R$32,IF(AND('3. GRI Pricing'!$F572&gt;='2. GRI Pricing Inputs'!$T$33,'3. GRI Pricing'!$F572&lt;='2. GRI Pricing Inputs'!$U$33),'2. GRI Pricing Inputs'!$T$32,IF(AND('3. GRI Pricing'!$F572&gt;='2. GRI Pricing Inputs'!$V$33,'3. GRI Pricing'!$F572&lt;='2. GRI Pricing Inputs'!$W$33),'2. GRI Pricing Inputs'!$V$32,IF(AND('3. GRI Pricing'!$F572&gt;='2. GRI Pricing Inputs'!$X$33,'3. GRI Pricing'!$F572&lt;='2. GRI Pricing Inputs'!$Y$33),'2. GRI Pricing Inputs'!$X$32,IF(AND('3. GRI Pricing'!$F572&gt;='2. GRI Pricing Inputs'!$Z$33,'3. GRI Pricing'!$F572&lt;='2. GRI Pricing Inputs'!$AA$33),'2. GRI Pricing Inputs'!$Z$32,IF(AND('3. GRI Pricing'!$F572&gt;='2. GRI Pricing Inputs'!$AB$33,'3. GRI Pricing'!$F572&lt;='2. GRI Pricing Inputs'!$AC$33),'2. GRI Pricing Inputs'!$AB$32,IF(AND('3. GRI Pricing'!$F572&gt;='2. GRI Pricing Inputs'!$AD$33,'3. GRI Pricing'!$F572&lt;='2. GRI Pricing Inputs'!$AE$33),'2. GRI Pricing Inputs'!$AD$32,IF(AND('3. GRI Pricing'!$F572&gt;='2. GRI Pricing Inputs'!$AF$33,'3. GRI Pricing'!$F572&lt;='2. GRI Pricing Inputs'!$AG$33),'2. GRI Pricing Inputs'!$AF$32,IF(AND('3. GRI Pricing'!$F572&gt;='2. GRI Pricing Inputs'!$AH$33,'3. GRI Pricing'!$F572&lt;='2. GRI Pricing Inputs'!$AI$33),'2. GRI Pricing Inputs'!$AH$32,0))))))))))))))))</f>
        <v>0</v>
      </c>
      <c r="N572" s="273" cm="1">
        <f t="array" ref="N572">IFERROR(INDEX('2. GRI Pricing Inputs'!$C$32:$AI$39,MATCH('3. GRI Pricing'!D572,'2. GRI Pricing Inputs'!$C$32:$C$39,0),(MATCH('3. GRI Pricing'!M572,'2. GRI Pricing Inputs'!$D$32:$AI$32,0)+1)),0)</f>
        <v>0</v>
      </c>
      <c r="O572" s="273">
        <f>IFERROR(INDEX('2. GRI Pricing Inputs'!$C$45:$AI$46,MATCH($O$16,'2. GRI Pricing Inputs'!$C$45:$C$46,0),MATCH(G572,'2. GRI Pricing Inputs'!$C$45:$AI$45,0)),0)</f>
        <v>0</v>
      </c>
      <c r="P572" s="273">
        <f>IFERROR(INDEX('2. GRI Pricing Inputs'!$C$53:$AI$54,MATCH('3. GRI Pricing'!$P$16,'2. GRI Pricing Inputs'!$C$53:$C$54,0),MATCH('3. GRI Pricing'!H572,'2. GRI Pricing Inputs'!$C$53:$AI$53,0)),0)</f>
        <v>0</v>
      </c>
      <c r="Q572" s="273">
        <f>IFERROR(INDEX('2. GRI Pricing Inputs'!$C$60:$AI$61,MATCH('3. GRI Pricing'!$Q$16,'2. GRI Pricing Inputs'!$C$60:$C$61,0),MATCH('1. Accomodation'!T576,'2. GRI Pricing Inputs'!$C$60:$AI$60,0)),0)</f>
        <v>0</v>
      </c>
      <c r="R572" s="273">
        <f>IFERROR(INDEX('2. GRI Pricing Inputs'!$C$67:$AI$68,MATCH('3. GRI Pricing'!$R$16,'2. GRI Pricing Inputs'!$C$67:$C$68,0),MATCH('1. Accomodation'!U576,'2. GRI Pricing Inputs'!$C$67:$AI$67,0)),0)</f>
        <v>0</v>
      </c>
      <c r="S572" s="273">
        <f>IF(D572=0,0,'2. GRI Pricing Inputs'!$AI$75)</f>
        <v>0</v>
      </c>
      <c r="T572" s="273">
        <f>IFERROR(INDEX('2. GRI Pricing Inputs'!$C$82:$AI$83,MATCH('3. GRI Pricing'!$T$16,'2. GRI Pricing Inputs'!$C$82:$C$83,0),MATCH('1. Accomodation'!V576,'2. GRI Pricing Inputs'!$C$82:$AI$82,0)),0)</f>
        <v>0</v>
      </c>
      <c r="U572" s="273">
        <f>IFERROR(INDEX('2. GRI Pricing Inputs'!$C$89:$AI$90,MATCH('3. GRI Pricing'!$U$16,'2. GRI Pricing Inputs'!$C$89:$C$90,0),MATCH('1. Accomodation'!W576,'2. GRI Pricing Inputs'!$C$89:$AI$89,0)),0)</f>
        <v>0</v>
      </c>
      <c r="V572" s="273">
        <f>IFERROR(INDEX('2. GRI Pricing Inputs'!$C$97:$AI$98,MATCH('3. GRI Pricing'!$V$16,'2. GRI Pricing Inputs'!$C$97:$C$98,0),MATCH('1. Accomodation'!X576,'2. GRI Pricing Inputs'!$C$97:$AI$97,0)),0)</f>
        <v>0</v>
      </c>
      <c r="W572" s="273">
        <f>IFERROR(INDEX('2. GRI Pricing Inputs'!$C$104:$AI$105,MATCH('3. GRI Pricing'!$W$16,'2. GRI Pricing Inputs'!$C$104:$C$105,0),MATCH('1. Accomodation'!Y576,'2. GRI Pricing Inputs'!$C$104:$AI$104,0)),0)</f>
        <v>0</v>
      </c>
      <c r="X572" s="274"/>
      <c r="Y572" s="275">
        <f t="shared" si="15"/>
        <v>0</v>
      </c>
      <c r="Z572" s="276"/>
      <c r="AA572" s="276"/>
      <c r="AB572" s="276"/>
      <c r="AC572" s="272">
        <f>Y572*(1+'2. GRI Pricing Inputs'!$D$114)^(($AC$16-$AB$15)/365)</f>
        <v>0</v>
      </c>
      <c r="AD572" s="273">
        <f>AC572*(1+'2. GRI Pricing Inputs'!$D$114)^((AD$16-AC$16)/365)</f>
        <v>0</v>
      </c>
      <c r="AE572" s="273">
        <f>AD572*(1+'2. GRI Pricing Inputs'!$D$114)^((AE$16-AD$16)/365)</f>
        <v>0</v>
      </c>
      <c r="AF572" s="273">
        <f>AE572*(1+'2. GRI Pricing Inputs'!$D$114)^((AF$16-AE$16)/365)</f>
        <v>0</v>
      </c>
      <c r="AG572" s="273">
        <f>AF572*(1+'2. GRI Pricing Inputs'!$D$114)^((AG$16-AF$16)/365)</f>
        <v>0</v>
      </c>
      <c r="AH572" s="273">
        <f>AG572*(1+'2. GRI Pricing Inputs'!$D$114)^((AH$16-AG$16)/365)</f>
        <v>0</v>
      </c>
      <c r="AI572" s="273">
        <f>AH572*(1+'2. GRI Pricing Inputs'!$D$114)^((AI$16-AH$16)/365)</f>
        <v>0</v>
      </c>
      <c r="AJ572" s="273">
        <f>AI572*(1+'2. GRI Pricing Inputs'!$D$114)^((AJ$16-AI$16)/365)</f>
        <v>0</v>
      </c>
      <c r="AK572" s="273">
        <f>AJ572*(1+'2. GRI Pricing Inputs'!$D$114)^((AK$16-AJ$16)/365)</f>
        <v>0</v>
      </c>
      <c r="AL572" s="273">
        <f>AK572*(1+'2. GRI Pricing Inputs'!$D$114)^((AL$16-AK$16)/365)</f>
        <v>0</v>
      </c>
      <c r="AM572" s="273">
        <f>AL572*(1+'2. GRI Pricing Inputs'!$D$114)^((AM$16-AL$16)/365)</f>
        <v>0</v>
      </c>
      <c r="AN572" s="273">
        <f>AM572*(1+'2. GRI Pricing Inputs'!$D$114)^((AN$16-AM$16)/365)</f>
        <v>0</v>
      </c>
      <c r="AO572" s="273">
        <f>AN572*(1+'2. GRI Pricing Inputs'!$D$114)^((AO$16-AN$16)/365)</f>
        <v>0</v>
      </c>
    </row>
    <row r="573" spans="3:41" ht="12" x14ac:dyDescent="0.2">
      <c r="C573" s="76">
        <f>'1. Accomodation'!N577</f>
        <v>0</v>
      </c>
      <c r="D573" s="69">
        <f>'1. Accomodation'!P577</f>
        <v>0</v>
      </c>
      <c r="E573" s="69">
        <f>'1. Accomodation'!Q577</f>
        <v>0</v>
      </c>
      <c r="F573" s="77">
        <f>'1. Accomodation'!O577</f>
        <v>0</v>
      </c>
      <c r="G573" s="69">
        <f>'1. Accomodation'!R577</f>
        <v>0</v>
      </c>
      <c r="H573" s="69">
        <f>'1. Accomodation'!S577</f>
        <v>0</v>
      </c>
      <c r="I573" s="62"/>
      <c r="K573" s="272">
        <f>IFERROR(INDEX('2. GRI Pricing Inputs'!$C$15:$AI$16,MATCH($K$16,'2. GRI Pricing Inputs'!$C$15:$C$16,0),MATCH(D573,'2. GRI Pricing Inputs'!$C$15:$AI$15,0)),0)</f>
        <v>0</v>
      </c>
      <c r="L573" s="273">
        <f>IFERROR(INDEX('2. GRI Pricing Inputs'!$C$22:$AI$23,MATCH($L$16,'2. GRI Pricing Inputs'!$C$22:$C$23,0),MATCH(E573,'2. GRI Pricing Inputs'!$C$22:$AI$22,0)),0)</f>
        <v>0</v>
      </c>
      <c r="M573" s="328">
        <f>IF(AND('3. GRI Pricing'!$F573&gt;='2. GRI Pricing Inputs'!$D$33,'3. GRI Pricing'!$F573&lt;='2. GRI Pricing Inputs'!$E$33),'2. GRI Pricing Inputs'!$D$32,IF(AND('3. GRI Pricing'!$F573&gt;='2. GRI Pricing Inputs'!$F$33,'3. GRI Pricing'!$F573&lt;='2. GRI Pricing Inputs'!$G$33),'2. GRI Pricing Inputs'!$F$32,IF(AND('3. GRI Pricing'!$F573&gt;='2. GRI Pricing Inputs'!$H$33,'3. GRI Pricing'!$F573&lt;='2. GRI Pricing Inputs'!$I$33),'2. GRI Pricing Inputs'!$H$32,IF(AND('3. GRI Pricing'!$F573&gt;='2. GRI Pricing Inputs'!$J$33,'3. GRI Pricing'!$F573&lt;='2. GRI Pricing Inputs'!$K$33),'2. GRI Pricing Inputs'!$J$32,IF(AND('3. GRI Pricing'!$F573&gt;='2. GRI Pricing Inputs'!$L$33,'3. GRI Pricing'!$F573&lt;='2. GRI Pricing Inputs'!$M$33),'2. GRI Pricing Inputs'!$L$32,IF(AND('3. GRI Pricing'!$F573&gt;='2. GRI Pricing Inputs'!$N$33,'3. GRI Pricing'!$F573&lt;='2. GRI Pricing Inputs'!$O$33),'2. GRI Pricing Inputs'!$N$32,IF(AND('3. GRI Pricing'!$F573&gt;='2. GRI Pricing Inputs'!$P$33,'3. GRI Pricing'!$F573&lt;='2. GRI Pricing Inputs'!$Q$33),'2. GRI Pricing Inputs'!$P$32,IF(AND('3. GRI Pricing'!$F573&gt;='2. GRI Pricing Inputs'!$R$33,'3. GRI Pricing'!$F573&lt;='2. GRI Pricing Inputs'!$S$33),'2. GRI Pricing Inputs'!$R$32,IF(AND('3. GRI Pricing'!$F573&gt;='2. GRI Pricing Inputs'!$T$33,'3. GRI Pricing'!$F573&lt;='2. GRI Pricing Inputs'!$U$33),'2. GRI Pricing Inputs'!$T$32,IF(AND('3. GRI Pricing'!$F573&gt;='2. GRI Pricing Inputs'!$V$33,'3. GRI Pricing'!$F573&lt;='2. GRI Pricing Inputs'!$W$33),'2. GRI Pricing Inputs'!$V$32,IF(AND('3. GRI Pricing'!$F573&gt;='2. GRI Pricing Inputs'!$X$33,'3. GRI Pricing'!$F573&lt;='2. GRI Pricing Inputs'!$Y$33),'2. GRI Pricing Inputs'!$X$32,IF(AND('3. GRI Pricing'!$F573&gt;='2. GRI Pricing Inputs'!$Z$33,'3. GRI Pricing'!$F573&lt;='2. GRI Pricing Inputs'!$AA$33),'2. GRI Pricing Inputs'!$Z$32,IF(AND('3. GRI Pricing'!$F573&gt;='2. GRI Pricing Inputs'!$AB$33,'3. GRI Pricing'!$F573&lt;='2. GRI Pricing Inputs'!$AC$33),'2. GRI Pricing Inputs'!$AB$32,IF(AND('3. GRI Pricing'!$F573&gt;='2. GRI Pricing Inputs'!$AD$33,'3. GRI Pricing'!$F573&lt;='2. GRI Pricing Inputs'!$AE$33),'2. GRI Pricing Inputs'!$AD$32,IF(AND('3. GRI Pricing'!$F573&gt;='2. GRI Pricing Inputs'!$AF$33,'3. GRI Pricing'!$F573&lt;='2. GRI Pricing Inputs'!$AG$33),'2. GRI Pricing Inputs'!$AF$32,IF(AND('3. GRI Pricing'!$F573&gt;='2. GRI Pricing Inputs'!$AH$33,'3. GRI Pricing'!$F573&lt;='2. GRI Pricing Inputs'!$AI$33),'2. GRI Pricing Inputs'!$AH$32,0))))))))))))))))</f>
        <v>0</v>
      </c>
      <c r="N573" s="273" cm="1">
        <f t="array" ref="N573">IFERROR(INDEX('2. GRI Pricing Inputs'!$C$32:$AI$39,MATCH('3. GRI Pricing'!D573,'2. GRI Pricing Inputs'!$C$32:$C$39,0),(MATCH('3. GRI Pricing'!M573,'2. GRI Pricing Inputs'!$D$32:$AI$32,0)+1)),0)</f>
        <v>0</v>
      </c>
      <c r="O573" s="273">
        <f>IFERROR(INDEX('2. GRI Pricing Inputs'!$C$45:$AI$46,MATCH($O$16,'2. GRI Pricing Inputs'!$C$45:$C$46,0),MATCH(G573,'2. GRI Pricing Inputs'!$C$45:$AI$45,0)),0)</f>
        <v>0</v>
      </c>
      <c r="P573" s="273">
        <f>IFERROR(INDEX('2. GRI Pricing Inputs'!$C$53:$AI$54,MATCH('3. GRI Pricing'!$P$16,'2. GRI Pricing Inputs'!$C$53:$C$54,0),MATCH('3. GRI Pricing'!H573,'2. GRI Pricing Inputs'!$C$53:$AI$53,0)),0)</f>
        <v>0</v>
      </c>
      <c r="Q573" s="273">
        <f>IFERROR(INDEX('2. GRI Pricing Inputs'!$C$60:$AI$61,MATCH('3. GRI Pricing'!$Q$16,'2. GRI Pricing Inputs'!$C$60:$C$61,0),MATCH('1. Accomodation'!T577,'2. GRI Pricing Inputs'!$C$60:$AI$60,0)),0)</f>
        <v>0</v>
      </c>
      <c r="R573" s="273">
        <f>IFERROR(INDEX('2. GRI Pricing Inputs'!$C$67:$AI$68,MATCH('3. GRI Pricing'!$R$16,'2. GRI Pricing Inputs'!$C$67:$C$68,0),MATCH('1. Accomodation'!U577,'2. GRI Pricing Inputs'!$C$67:$AI$67,0)),0)</f>
        <v>0</v>
      </c>
      <c r="S573" s="273">
        <f>IF(D573=0,0,'2. GRI Pricing Inputs'!$AI$75)</f>
        <v>0</v>
      </c>
      <c r="T573" s="273">
        <f>IFERROR(INDEX('2. GRI Pricing Inputs'!$C$82:$AI$83,MATCH('3. GRI Pricing'!$T$16,'2. GRI Pricing Inputs'!$C$82:$C$83,0),MATCH('1. Accomodation'!V577,'2. GRI Pricing Inputs'!$C$82:$AI$82,0)),0)</f>
        <v>0</v>
      </c>
      <c r="U573" s="273">
        <f>IFERROR(INDEX('2. GRI Pricing Inputs'!$C$89:$AI$90,MATCH('3. GRI Pricing'!$U$16,'2. GRI Pricing Inputs'!$C$89:$C$90,0),MATCH('1. Accomodation'!W577,'2. GRI Pricing Inputs'!$C$89:$AI$89,0)),0)</f>
        <v>0</v>
      </c>
      <c r="V573" s="273">
        <f>IFERROR(INDEX('2. GRI Pricing Inputs'!$C$97:$AI$98,MATCH('3. GRI Pricing'!$V$16,'2. GRI Pricing Inputs'!$C$97:$C$98,0),MATCH('1. Accomodation'!X577,'2. GRI Pricing Inputs'!$C$97:$AI$97,0)),0)</f>
        <v>0</v>
      </c>
      <c r="W573" s="273">
        <f>IFERROR(INDEX('2. GRI Pricing Inputs'!$C$104:$AI$105,MATCH('3. GRI Pricing'!$W$16,'2. GRI Pricing Inputs'!$C$104:$C$105,0),MATCH('1. Accomodation'!Y577,'2. GRI Pricing Inputs'!$C$104:$AI$104,0)),0)</f>
        <v>0</v>
      </c>
      <c r="X573" s="274"/>
      <c r="Y573" s="275">
        <f t="shared" si="15"/>
        <v>0</v>
      </c>
      <c r="Z573" s="276"/>
      <c r="AA573" s="276"/>
      <c r="AB573" s="276"/>
      <c r="AC573" s="272">
        <f>Y573*(1+'2. GRI Pricing Inputs'!$D$114)^(($AC$16-$AB$15)/365)</f>
        <v>0</v>
      </c>
      <c r="AD573" s="273">
        <f>AC573*(1+'2. GRI Pricing Inputs'!$D$114)^((AD$16-AC$16)/365)</f>
        <v>0</v>
      </c>
      <c r="AE573" s="273">
        <f>AD573*(1+'2. GRI Pricing Inputs'!$D$114)^((AE$16-AD$16)/365)</f>
        <v>0</v>
      </c>
      <c r="AF573" s="273">
        <f>AE573*(1+'2. GRI Pricing Inputs'!$D$114)^((AF$16-AE$16)/365)</f>
        <v>0</v>
      </c>
      <c r="AG573" s="273">
        <f>AF573*(1+'2. GRI Pricing Inputs'!$D$114)^((AG$16-AF$16)/365)</f>
        <v>0</v>
      </c>
      <c r="AH573" s="273">
        <f>AG573*(1+'2. GRI Pricing Inputs'!$D$114)^((AH$16-AG$16)/365)</f>
        <v>0</v>
      </c>
      <c r="AI573" s="273">
        <f>AH573*(1+'2. GRI Pricing Inputs'!$D$114)^((AI$16-AH$16)/365)</f>
        <v>0</v>
      </c>
      <c r="AJ573" s="273">
        <f>AI573*(1+'2. GRI Pricing Inputs'!$D$114)^((AJ$16-AI$16)/365)</f>
        <v>0</v>
      </c>
      <c r="AK573" s="273">
        <f>AJ573*(1+'2. GRI Pricing Inputs'!$D$114)^((AK$16-AJ$16)/365)</f>
        <v>0</v>
      </c>
      <c r="AL573" s="273">
        <f>AK573*(1+'2. GRI Pricing Inputs'!$D$114)^((AL$16-AK$16)/365)</f>
        <v>0</v>
      </c>
      <c r="AM573" s="273">
        <f>AL573*(1+'2. GRI Pricing Inputs'!$D$114)^((AM$16-AL$16)/365)</f>
        <v>0</v>
      </c>
      <c r="AN573" s="273">
        <f>AM573*(1+'2. GRI Pricing Inputs'!$D$114)^((AN$16-AM$16)/365)</f>
        <v>0</v>
      </c>
      <c r="AO573" s="273">
        <f>AN573*(1+'2. GRI Pricing Inputs'!$D$114)^((AO$16-AN$16)/365)</f>
        <v>0</v>
      </c>
    </row>
    <row r="574" spans="3:41" ht="12" x14ac:dyDescent="0.2">
      <c r="C574" s="76">
        <f>'1. Accomodation'!N578</f>
        <v>0</v>
      </c>
      <c r="D574" s="69">
        <f>'1. Accomodation'!P578</f>
        <v>0</v>
      </c>
      <c r="E574" s="69">
        <f>'1. Accomodation'!Q578</f>
        <v>0</v>
      </c>
      <c r="F574" s="77">
        <f>'1. Accomodation'!O578</f>
        <v>0</v>
      </c>
      <c r="G574" s="69">
        <f>'1. Accomodation'!R578</f>
        <v>0</v>
      </c>
      <c r="H574" s="69">
        <f>'1. Accomodation'!S578</f>
        <v>0</v>
      </c>
      <c r="I574" s="62"/>
      <c r="K574" s="272">
        <f>IFERROR(INDEX('2. GRI Pricing Inputs'!$C$15:$AI$16,MATCH($K$16,'2. GRI Pricing Inputs'!$C$15:$C$16,0),MATCH(D574,'2. GRI Pricing Inputs'!$C$15:$AI$15,0)),0)</f>
        <v>0</v>
      </c>
      <c r="L574" s="273">
        <f>IFERROR(INDEX('2. GRI Pricing Inputs'!$C$22:$AI$23,MATCH($L$16,'2. GRI Pricing Inputs'!$C$22:$C$23,0),MATCH(E574,'2. GRI Pricing Inputs'!$C$22:$AI$22,0)),0)</f>
        <v>0</v>
      </c>
      <c r="M574" s="328">
        <f>IF(AND('3. GRI Pricing'!$F574&gt;='2. GRI Pricing Inputs'!$D$33,'3. GRI Pricing'!$F574&lt;='2. GRI Pricing Inputs'!$E$33),'2. GRI Pricing Inputs'!$D$32,IF(AND('3. GRI Pricing'!$F574&gt;='2. GRI Pricing Inputs'!$F$33,'3. GRI Pricing'!$F574&lt;='2. GRI Pricing Inputs'!$G$33),'2. GRI Pricing Inputs'!$F$32,IF(AND('3. GRI Pricing'!$F574&gt;='2. GRI Pricing Inputs'!$H$33,'3. GRI Pricing'!$F574&lt;='2. GRI Pricing Inputs'!$I$33),'2. GRI Pricing Inputs'!$H$32,IF(AND('3. GRI Pricing'!$F574&gt;='2. GRI Pricing Inputs'!$J$33,'3. GRI Pricing'!$F574&lt;='2. GRI Pricing Inputs'!$K$33),'2. GRI Pricing Inputs'!$J$32,IF(AND('3. GRI Pricing'!$F574&gt;='2. GRI Pricing Inputs'!$L$33,'3. GRI Pricing'!$F574&lt;='2. GRI Pricing Inputs'!$M$33),'2. GRI Pricing Inputs'!$L$32,IF(AND('3. GRI Pricing'!$F574&gt;='2. GRI Pricing Inputs'!$N$33,'3. GRI Pricing'!$F574&lt;='2. GRI Pricing Inputs'!$O$33),'2. GRI Pricing Inputs'!$N$32,IF(AND('3. GRI Pricing'!$F574&gt;='2. GRI Pricing Inputs'!$P$33,'3. GRI Pricing'!$F574&lt;='2. GRI Pricing Inputs'!$Q$33),'2. GRI Pricing Inputs'!$P$32,IF(AND('3. GRI Pricing'!$F574&gt;='2. GRI Pricing Inputs'!$R$33,'3. GRI Pricing'!$F574&lt;='2. GRI Pricing Inputs'!$S$33),'2. GRI Pricing Inputs'!$R$32,IF(AND('3. GRI Pricing'!$F574&gt;='2. GRI Pricing Inputs'!$T$33,'3. GRI Pricing'!$F574&lt;='2. GRI Pricing Inputs'!$U$33),'2. GRI Pricing Inputs'!$T$32,IF(AND('3. GRI Pricing'!$F574&gt;='2. GRI Pricing Inputs'!$V$33,'3. GRI Pricing'!$F574&lt;='2. GRI Pricing Inputs'!$W$33),'2. GRI Pricing Inputs'!$V$32,IF(AND('3. GRI Pricing'!$F574&gt;='2. GRI Pricing Inputs'!$X$33,'3. GRI Pricing'!$F574&lt;='2. GRI Pricing Inputs'!$Y$33),'2. GRI Pricing Inputs'!$X$32,IF(AND('3. GRI Pricing'!$F574&gt;='2. GRI Pricing Inputs'!$Z$33,'3. GRI Pricing'!$F574&lt;='2. GRI Pricing Inputs'!$AA$33),'2. GRI Pricing Inputs'!$Z$32,IF(AND('3. GRI Pricing'!$F574&gt;='2. GRI Pricing Inputs'!$AB$33,'3. GRI Pricing'!$F574&lt;='2. GRI Pricing Inputs'!$AC$33),'2. GRI Pricing Inputs'!$AB$32,IF(AND('3. GRI Pricing'!$F574&gt;='2. GRI Pricing Inputs'!$AD$33,'3. GRI Pricing'!$F574&lt;='2. GRI Pricing Inputs'!$AE$33),'2. GRI Pricing Inputs'!$AD$32,IF(AND('3. GRI Pricing'!$F574&gt;='2. GRI Pricing Inputs'!$AF$33,'3. GRI Pricing'!$F574&lt;='2. GRI Pricing Inputs'!$AG$33),'2. GRI Pricing Inputs'!$AF$32,IF(AND('3. GRI Pricing'!$F574&gt;='2. GRI Pricing Inputs'!$AH$33,'3. GRI Pricing'!$F574&lt;='2. GRI Pricing Inputs'!$AI$33),'2. GRI Pricing Inputs'!$AH$32,0))))))))))))))))</f>
        <v>0</v>
      </c>
      <c r="N574" s="273" cm="1">
        <f t="array" ref="N574">IFERROR(INDEX('2. GRI Pricing Inputs'!$C$32:$AI$39,MATCH('3. GRI Pricing'!D574,'2. GRI Pricing Inputs'!$C$32:$C$39,0),(MATCH('3. GRI Pricing'!M574,'2. GRI Pricing Inputs'!$D$32:$AI$32,0)+1)),0)</f>
        <v>0</v>
      </c>
      <c r="O574" s="273">
        <f>IFERROR(INDEX('2. GRI Pricing Inputs'!$C$45:$AI$46,MATCH($O$16,'2. GRI Pricing Inputs'!$C$45:$C$46,0),MATCH(G574,'2. GRI Pricing Inputs'!$C$45:$AI$45,0)),0)</f>
        <v>0</v>
      </c>
      <c r="P574" s="273">
        <f>IFERROR(INDEX('2. GRI Pricing Inputs'!$C$53:$AI$54,MATCH('3. GRI Pricing'!$P$16,'2. GRI Pricing Inputs'!$C$53:$C$54,0),MATCH('3. GRI Pricing'!H574,'2. GRI Pricing Inputs'!$C$53:$AI$53,0)),0)</f>
        <v>0</v>
      </c>
      <c r="Q574" s="273">
        <f>IFERROR(INDEX('2. GRI Pricing Inputs'!$C$60:$AI$61,MATCH('3. GRI Pricing'!$Q$16,'2. GRI Pricing Inputs'!$C$60:$C$61,0),MATCH('1. Accomodation'!T578,'2. GRI Pricing Inputs'!$C$60:$AI$60,0)),0)</f>
        <v>0</v>
      </c>
      <c r="R574" s="273">
        <f>IFERROR(INDEX('2. GRI Pricing Inputs'!$C$67:$AI$68,MATCH('3. GRI Pricing'!$R$16,'2. GRI Pricing Inputs'!$C$67:$C$68,0),MATCH('1. Accomodation'!U578,'2. GRI Pricing Inputs'!$C$67:$AI$67,0)),0)</f>
        <v>0</v>
      </c>
      <c r="S574" s="273">
        <f>IF(D574=0,0,'2. GRI Pricing Inputs'!$AI$75)</f>
        <v>0</v>
      </c>
      <c r="T574" s="273">
        <f>IFERROR(INDEX('2. GRI Pricing Inputs'!$C$82:$AI$83,MATCH('3. GRI Pricing'!$T$16,'2. GRI Pricing Inputs'!$C$82:$C$83,0),MATCH('1. Accomodation'!V578,'2. GRI Pricing Inputs'!$C$82:$AI$82,0)),0)</f>
        <v>0</v>
      </c>
      <c r="U574" s="273">
        <f>IFERROR(INDEX('2. GRI Pricing Inputs'!$C$89:$AI$90,MATCH('3. GRI Pricing'!$U$16,'2. GRI Pricing Inputs'!$C$89:$C$90,0),MATCH('1. Accomodation'!W578,'2. GRI Pricing Inputs'!$C$89:$AI$89,0)),0)</f>
        <v>0</v>
      </c>
      <c r="V574" s="273">
        <f>IFERROR(INDEX('2. GRI Pricing Inputs'!$C$97:$AI$98,MATCH('3. GRI Pricing'!$V$16,'2. GRI Pricing Inputs'!$C$97:$C$98,0),MATCH('1. Accomodation'!X578,'2. GRI Pricing Inputs'!$C$97:$AI$97,0)),0)</f>
        <v>0</v>
      </c>
      <c r="W574" s="273">
        <f>IFERROR(INDEX('2. GRI Pricing Inputs'!$C$104:$AI$105,MATCH('3. GRI Pricing'!$W$16,'2. GRI Pricing Inputs'!$C$104:$C$105,0),MATCH('1. Accomodation'!Y578,'2. GRI Pricing Inputs'!$C$104:$AI$104,0)),0)</f>
        <v>0</v>
      </c>
      <c r="X574" s="274"/>
      <c r="Y574" s="275">
        <f t="shared" si="15"/>
        <v>0</v>
      </c>
      <c r="Z574" s="276"/>
      <c r="AA574" s="276"/>
      <c r="AB574" s="276"/>
      <c r="AC574" s="272">
        <f>Y574*(1+'2. GRI Pricing Inputs'!$D$114)^(($AC$16-$AB$15)/365)</f>
        <v>0</v>
      </c>
      <c r="AD574" s="273">
        <f>AC574*(1+'2. GRI Pricing Inputs'!$D$114)^((AD$16-AC$16)/365)</f>
        <v>0</v>
      </c>
      <c r="AE574" s="273">
        <f>AD574*(1+'2. GRI Pricing Inputs'!$D$114)^((AE$16-AD$16)/365)</f>
        <v>0</v>
      </c>
      <c r="AF574" s="273">
        <f>AE574*(1+'2. GRI Pricing Inputs'!$D$114)^((AF$16-AE$16)/365)</f>
        <v>0</v>
      </c>
      <c r="AG574" s="273">
        <f>AF574*(1+'2. GRI Pricing Inputs'!$D$114)^((AG$16-AF$16)/365)</f>
        <v>0</v>
      </c>
      <c r="AH574" s="273">
        <f>AG574*(1+'2. GRI Pricing Inputs'!$D$114)^((AH$16-AG$16)/365)</f>
        <v>0</v>
      </c>
      <c r="AI574" s="273">
        <f>AH574*(1+'2. GRI Pricing Inputs'!$D$114)^((AI$16-AH$16)/365)</f>
        <v>0</v>
      </c>
      <c r="AJ574" s="273">
        <f>AI574*(1+'2. GRI Pricing Inputs'!$D$114)^((AJ$16-AI$16)/365)</f>
        <v>0</v>
      </c>
      <c r="AK574" s="273">
        <f>AJ574*(1+'2. GRI Pricing Inputs'!$D$114)^((AK$16-AJ$16)/365)</f>
        <v>0</v>
      </c>
      <c r="AL574" s="273">
        <f>AK574*(1+'2. GRI Pricing Inputs'!$D$114)^((AL$16-AK$16)/365)</f>
        <v>0</v>
      </c>
      <c r="AM574" s="273">
        <f>AL574*(1+'2. GRI Pricing Inputs'!$D$114)^((AM$16-AL$16)/365)</f>
        <v>0</v>
      </c>
      <c r="AN574" s="273">
        <f>AM574*(1+'2. GRI Pricing Inputs'!$D$114)^((AN$16-AM$16)/365)</f>
        <v>0</v>
      </c>
      <c r="AO574" s="273">
        <f>AN574*(1+'2. GRI Pricing Inputs'!$D$114)^((AO$16-AN$16)/365)</f>
        <v>0</v>
      </c>
    </row>
    <row r="575" spans="3:41" ht="12" x14ac:dyDescent="0.2">
      <c r="C575" s="76">
        <f>'1. Accomodation'!N579</f>
        <v>0</v>
      </c>
      <c r="D575" s="69">
        <f>'1. Accomodation'!P579</f>
        <v>0</v>
      </c>
      <c r="E575" s="69">
        <f>'1. Accomodation'!Q579</f>
        <v>0</v>
      </c>
      <c r="F575" s="77">
        <f>'1. Accomodation'!O579</f>
        <v>0</v>
      </c>
      <c r="G575" s="69">
        <f>'1. Accomodation'!R579</f>
        <v>0</v>
      </c>
      <c r="H575" s="69">
        <f>'1. Accomodation'!S579</f>
        <v>0</v>
      </c>
      <c r="I575" s="62"/>
      <c r="K575" s="272">
        <f>IFERROR(INDEX('2. GRI Pricing Inputs'!$C$15:$AI$16,MATCH($K$16,'2. GRI Pricing Inputs'!$C$15:$C$16,0),MATCH(D575,'2. GRI Pricing Inputs'!$C$15:$AI$15,0)),0)</f>
        <v>0</v>
      </c>
      <c r="L575" s="273">
        <f>IFERROR(INDEX('2. GRI Pricing Inputs'!$C$22:$AI$23,MATCH($L$16,'2. GRI Pricing Inputs'!$C$22:$C$23,0),MATCH(E575,'2. GRI Pricing Inputs'!$C$22:$AI$22,0)),0)</f>
        <v>0</v>
      </c>
      <c r="M575" s="328">
        <f>IF(AND('3. GRI Pricing'!$F575&gt;='2. GRI Pricing Inputs'!$D$33,'3. GRI Pricing'!$F575&lt;='2. GRI Pricing Inputs'!$E$33),'2. GRI Pricing Inputs'!$D$32,IF(AND('3. GRI Pricing'!$F575&gt;='2. GRI Pricing Inputs'!$F$33,'3. GRI Pricing'!$F575&lt;='2. GRI Pricing Inputs'!$G$33),'2. GRI Pricing Inputs'!$F$32,IF(AND('3. GRI Pricing'!$F575&gt;='2. GRI Pricing Inputs'!$H$33,'3. GRI Pricing'!$F575&lt;='2. GRI Pricing Inputs'!$I$33),'2. GRI Pricing Inputs'!$H$32,IF(AND('3. GRI Pricing'!$F575&gt;='2. GRI Pricing Inputs'!$J$33,'3. GRI Pricing'!$F575&lt;='2. GRI Pricing Inputs'!$K$33),'2. GRI Pricing Inputs'!$J$32,IF(AND('3. GRI Pricing'!$F575&gt;='2. GRI Pricing Inputs'!$L$33,'3. GRI Pricing'!$F575&lt;='2. GRI Pricing Inputs'!$M$33),'2. GRI Pricing Inputs'!$L$32,IF(AND('3. GRI Pricing'!$F575&gt;='2. GRI Pricing Inputs'!$N$33,'3. GRI Pricing'!$F575&lt;='2. GRI Pricing Inputs'!$O$33),'2. GRI Pricing Inputs'!$N$32,IF(AND('3. GRI Pricing'!$F575&gt;='2. GRI Pricing Inputs'!$P$33,'3. GRI Pricing'!$F575&lt;='2. GRI Pricing Inputs'!$Q$33),'2. GRI Pricing Inputs'!$P$32,IF(AND('3. GRI Pricing'!$F575&gt;='2. GRI Pricing Inputs'!$R$33,'3. GRI Pricing'!$F575&lt;='2. GRI Pricing Inputs'!$S$33),'2. GRI Pricing Inputs'!$R$32,IF(AND('3. GRI Pricing'!$F575&gt;='2. GRI Pricing Inputs'!$T$33,'3. GRI Pricing'!$F575&lt;='2. GRI Pricing Inputs'!$U$33),'2. GRI Pricing Inputs'!$T$32,IF(AND('3. GRI Pricing'!$F575&gt;='2. GRI Pricing Inputs'!$V$33,'3. GRI Pricing'!$F575&lt;='2. GRI Pricing Inputs'!$W$33),'2. GRI Pricing Inputs'!$V$32,IF(AND('3. GRI Pricing'!$F575&gt;='2. GRI Pricing Inputs'!$X$33,'3. GRI Pricing'!$F575&lt;='2. GRI Pricing Inputs'!$Y$33),'2. GRI Pricing Inputs'!$X$32,IF(AND('3. GRI Pricing'!$F575&gt;='2. GRI Pricing Inputs'!$Z$33,'3. GRI Pricing'!$F575&lt;='2. GRI Pricing Inputs'!$AA$33),'2. GRI Pricing Inputs'!$Z$32,IF(AND('3. GRI Pricing'!$F575&gt;='2. GRI Pricing Inputs'!$AB$33,'3. GRI Pricing'!$F575&lt;='2. GRI Pricing Inputs'!$AC$33),'2. GRI Pricing Inputs'!$AB$32,IF(AND('3. GRI Pricing'!$F575&gt;='2. GRI Pricing Inputs'!$AD$33,'3. GRI Pricing'!$F575&lt;='2. GRI Pricing Inputs'!$AE$33),'2. GRI Pricing Inputs'!$AD$32,IF(AND('3. GRI Pricing'!$F575&gt;='2. GRI Pricing Inputs'!$AF$33,'3. GRI Pricing'!$F575&lt;='2. GRI Pricing Inputs'!$AG$33),'2. GRI Pricing Inputs'!$AF$32,IF(AND('3. GRI Pricing'!$F575&gt;='2. GRI Pricing Inputs'!$AH$33,'3. GRI Pricing'!$F575&lt;='2. GRI Pricing Inputs'!$AI$33),'2. GRI Pricing Inputs'!$AH$32,0))))))))))))))))</f>
        <v>0</v>
      </c>
      <c r="N575" s="273" cm="1">
        <f t="array" ref="N575">IFERROR(INDEX('2. GRI Pricing Inputs'!$C$32:$AI$39,MATCH('3. GRI Pricing'!D575,'2. GRI Pricing Inputs'!$C$32:$C$39,0),(MATCH('3. GRI Pricing'!M575,'2. GRI Pricing Inputs'!$D$32:$AI$32,0)+1)),0)</f>
        <v>0</v>
      </c>
      <c r="O575" s="273">
        <f>IFERROR(INDEX('2. GRI Pricing Inputs'!$C$45:$AI$46,MATCH($O$16,'2. GRI Pricing Inputs'!$C$45:$C$46,0),MATCH(G575,'2. GRI Pricing Inputs'!$C$45:$AI$45,0)),0)</f>
        <v>0</v>
      </c>
      <c r="P575" s="273">
        <f>IFERROR(INDEX('2. GRI Pricing Inputs'!$C$53:$AI$54,MATCH('3. GRI Pricing'!$P$16,'2. GRI Pricing Inputs'!$C$53:$C$54,0),MATCH('3. GRI Pricing'!H575,'2. GRI Pricing Inputs'!$C$53:$AI$53,0)),0)</f>
        <v>0</v>
      </c>
      <c r="Q575" s="273">
        <f>IFERROR(INDEX('2. GRI Pricing Inputs'!$C$60:$AI$61,MATCH('3. GRI Pricing'!$Q$16,'2. GRI Pricing Inputs'!$C$60:$C$61,0),MATCH('1. Accomodation'!T579,'2. GRI Pricing Inputs'!$C$60:$AI$60,0)),0)</f>
        <v>0</v>
      </c>
      <c r="R575" s="273">
        <f>IFERROR(INDEX('2. GRI Pricing Inputs'!$C$67:$AI$68,MATCH('3. GRI Pricing'!$R$16,'2. GRI Pricing Inputs'!$C$67:$C$68,0),MATCH('1. Accomodation'!U579,'2. GRI Pricing Inputs'!$C$67:$AI$67,0)),0)</f>
        <v>0</v>
      </c>
      <c r="S575" s="273">
        <f>IF(D575=0,0,'2. GRI Pricing Inputs'!$AI$75)</f>
        <v>0</v>
      </c>
      <c r="T575" s="273">
        <f>IFERROR(INDEX('2. GRI Pricing Inputs'!$C$82:$AI$83,MATCH('3. GRI Pricing'!$T$16,'2. GRI Pricing Inputs'!$C$82:$C$83,0),MATCH('1. Accomodation'!V579,'2. GRI Pricing Inputs'!$C$82:$AI$82,0)),0)</f>
        <v>0</v>
      </c>
      <c r="U575" s="273">
        <f>IFERROR(INDEX('2. GRI Pricing Inputs'!$C$89:$AI$90,MATCH('3. GRI Pricing'!$U$16,'2. GRI Pricing Inputs'!$C$89:$C$90,0),MATCH('1. Accomodation'!W579,'2. GRI Pricing Inputs'!$C$89:$AI$89,0)),0)</f>
        <v>0</v>
      </c>
      <c r="V575" s="273">
        <f>IFERROR(INDEX('2. GRI Pricing Inputs'!$C$97:$AI$98,MATCH('3. GRI Pricing'!$V$16,'2. GRI Pricing Inputs'!$C$97:$C$98,0),MATCH('1. Accomodation'!X579,'2. GRI Pricing Inputs'!$C$97:$AI$97,0)),0)</f>
        <v>0</v>
      </c>
      <c r="W575" s="273">
        <f>IFERROR(INDEX('2. GRI Pricing Inputs'!$C$104:$AI$105,MATCH('3. GRI Pricing'!$W$16,'2. GRI Pricing Inputs'!$C$104:$C$105,0),MATCH('1. Accomodation'!Y579,'2. GRI Pricing Inputs'!$C$104:$AI$104,0)),0)</f>
        <v>0</v>
      </c>
      <c r="X575" s="274"/>
      <c r="Y575" s="275">
        <f t="shared" si="15"/>
        <v>0</v>
      </c>
      <c r="Z575" s="276"/>
      <c r="AA575" s="276"/>
      <c r="AB575" s="276"/>
      <c r="AC575" s="272">
        <f>Y575*(1+'2. GRI Pricing Inputs'!$D$114)^(($AC$16-$AB$15)/365)</f>
        <v>0</v>
      </c>
      <c r="AD575" s="273">
        <f>AC575*(1+'2. GRI Pricing Inputs'!$D$114)^((AD$16-AC$16)/365)</f>
        <v>0</v>
      </c>
      <c r="AE575" s="273">
        <f>AD575*(1+'2. GRI Pricing Inputs'!$D$114)^((AE$16-AD$16)/365)</f>
        <v>0</v>
      </c>
      <c r="AF575" s="273">
        <f>AE575*(1+'2. GRI Pricing Inputs'!$D$114)^((AF$16-AE$16)/365)</f>
        <v>0</v>
      </c>
      <c r="AG575" s="273">
        <f>AF575*(1+'2. GRI Pricing Inputs'!$D$114)^((AG$16-AF$16)/365)</f>
        <v>0</v>
      </c>
      <c r="AH575" s="273">
        <f>AG575*(1+'2. GRI Pricing Inputs'!$D$114)^((AH$16-AG$16)/365)</f>
        <v>0</v>
      </c>
      <c r="AI575" s="273">
        <f>AH575*(1+'2. GRI Pricing Inputs'!$D$114)^((AI$16-AH$16)/365)</f>
        <v>0</v>
      </c>
      <c r="AJ575" s="273">
        <f>AI575*(1+'2. GRI Pricing Inputs'!$D$114)^((AJ$16-AI$16)/365)</f>
        <v>0</v>
      </c>
      <c r="AK575" s="273">
        <f>AJ575*(1+'2. GRI Pricing Inputs'!$D$114)^((AK$16-AJ$16)/365)</f>
        <v>0</v>
      </c>
      <c r="AL575" s="273">
        <f>AK575*(1+'2. GRI Pricing Inputs'!$D$114)^((AL$16-AK$16)/365)</f>
        <v>0</v>
      </c>
      <c r="AM575" s="273">
        <f>AL575*(1+'2. GRI Pricing Inputs'!$D$114)^((AM$16-AL$16)/365)</f>
        <v>0</v>
      </c>
      <c r="AN575" s="273">
        <f>AM575*(1+'2. GRI Pricing Inputs'!$D$114)^((AN$16-AM$16)/365)</f>
        <v>0</v>
      </c>
      <c r="AO575" s="273">
        <f>AN575*(1+'2. GRI Pricing Inputs'!$D$114)^((AO$16-AN$16)/365)</f>
        <v>0</v>
      </c>
    </row>
    <row r="576" spans="3:41" ht="12" x14ac:dyDescent="0.2">
      <c r="C576" s="76">
        <f>'1. Accomodation'!N580</f>
        <v>0</v>
      </c>
      <c r="D576" s="69">
        <f>'1. Accomodation'!P580</f>
        <v>0</v>
      </c>
      <c r="E576" s="69">
        <f>'1. Accomodation'!Q580</f>
        <v>0</v>
      </c>
      <c r="F576" s="77">
        <f>'1. Accomodation'!O580</f>
        <v>0</v>
      </c>
      <c r="G576" s="69">
        <f>'1. Accomodation'!R580</f>
        <v>0</v>
      </c>
      <c r="H576" s="69">
        <f>'1. Accomodation'!S580</f>
        <v>0</v>
      </c>
      <c r="I576" s="62"/>
      <c r="K576" s="272">
        <f>IFERROR(INDEX('2. GRI Pricing Inputs'!$C$15:$AI$16,MATCH($K$16,'2. GRI Pricing Inputs'!$C$15:$C$16,0),MATCH(D576,'2. GRI Pricing Inputs'!$C$15:$AI$15,0)),0)</f>
        <v>0</v>
      </c>
      <c r="L576" s="273">
        <f>IFERROR(INDEX('2. GRI Pricing Inputs'!$C$22:$AI$23,MATCH($L$16,'2. GRI Pricing Inputs'!$C$22:$C$23,0),MATCH(E576,'2. GRI Pricing Inputs'!$C$22:$AI$22,0)),0)</f>
        <v>0</v>
      </c>
      <c r="M576" s="328">
        <f>IF(AND('3. GRI Pricing'!$F576&gt;='2. GRI Pricing Inputs'!$D$33,'3. GRI Pricing'!$F576&lt;='2. GRI Pricing Inputs'!$E$33),'2. GRI Pricing Inputs'!$D$32,IF(AND('3. GRI Pricing'!$F576&gt;='2. GRI Pricing Inputs'!$F$33,'3. GRI Pricing'!$F576&lt;='2. GRI Pricing Inputs'!$G$33),'2. GRI Pricing Inputs'!$F$32,IF(AND('3. GRI Pricing'!$F576&gt;='2. GRI Pricing Inputs'!$H$33,'3. GRI Pricing'!$F576&lt;='2. GRI Pricing Inputs'!$I$33),'2. GRI Pricing Inputs'!$H$32,IF(AND('3. GRI Pricing'!$F576&gt;='2. GRI Pricing Inputs'!$J$33,'3. GRI Pricing'!$F576&lt;='2. GRI Pricing Inputs'!$K$33),'2. GRI Pricing Inputs'!$J$32,IF(AND('3. GRI Pricing'!$F576&gt;='2. GRI Pricing Inputs'!$L$33,'3. GRI Pricing'!$F576&lt;='2. GRI Pricing Inputs'!$M$33),'2. GRI Pricing Inputs'!$L$32,IF(AND('3. GRI Pricing'!$F576&gt;='2. GRI Pricing Inputs'!$N$33,'3. GRI Pricing'!$F576&lt;='2. GRI Pricing Inputs'!$O$33),'2. GRI Pricing Inputs'!$N$32,IF(AND('3. GRI Pricing'!$F576&gt;='2. GRI Pricing Inputs'!$P$33,'3. GRI Pricing'!$F576&lt;='2. GRI Pricing Inputs'!$Q$33),'2. GRI Pricing Inputs'!$P$32,IF(AND('3. GRI Pricing'!$F576&gt;='2. GRI Pricing Inputs'!$R$33,'3. GRI Pricing'!$F576&lt;='2. GRI Pricing Inputs'!$S$33),'2. GRI Pricing Inputs'!$R$32,IF(AND('3. GRI Pricing'!$F576&gt;='2. GRI Pricing Inputs'!$T$33,'3. GRI Pricing'!$F576&lt;='2. GRI Pricing Inputs'!$U$33),'2. GRI Pricing Inputs'!$T$32,IF(AND('3. GRI Pricing'!$F576&gt;='2. GRI Pricing Inputs'!$V$33,'3. GRI Pricing'!$F576&lt;='2. GRI Pricing Inputs'!$W$33),'2. GRI Pricing Inputs'!$V$32,IF(AND('3. GRI Pricing'!$F576&gt;='2. GRI Pricing Inputs'!$X$33,'3. GRI Pricing'!$F576&lt;='2. GRI Pricing Inputs'!$Y$33),'2. GRI Pricing Inputs'!$X$32,IF(AND('3. GRI Pricing'!$F576&gt;='2. GRI Pricing Inputs'!$Z$33,'3. GRI Pricing'!$F576&lt;='2. GRI Pricing Inputs'!$AA$33),'2. GRI Pricing Inputs'!$Z$32,IF(AND('3. GRI Pricing'!$F576&gt;='2. GRI Pricing Inputs'!$AB$33,'3. GRI Pricing'!$F576&lt;='2. GRI Pricing Inputs'!$AC$33),'2. GRI Pricing Inputs'!$AB$32,IF(AND('3. GRI Pricing'!$F576&gt;='2. GRI Pricing Inputs'!$AD$33,'3. GRI Pricing'!$F576&lt;='2. GRI Pricing Inputs'!$AE$33),'2. GRI Pricing Inputs'!$AD$32,IF(AND('3. GRI Pricing'!$F576&gt;='2. GRI Pricing Inputs'!$AF$33,'3. GRI Pricing'!$F576&lt;='2. GRI Pricing Inputs'!$AG$33),'2. GRI Pricing Inputs'!$AF$32,IF(AND('3. GRI Pricing'!$F576&gt;='2. GRI Pricing Inputs'!$AH$33,'3. GRI Pricing'!$F576&lt;='2. GRI Pricing Inputs'!$AI$33),'2. GRI Pricing Inputs'!$AH$32,0))))))))))))))))</f>
        <v>0</v>
      </c>
      <c r="N576" s="273" cm="1">
        <f t="array" ref="N576">IFERROR(INDEX('2. GRI Pricing Inputs'!$C$32:$AI$39,MATCH('3. GRI Pricing'!D576,'2. GRI Pricing Inputs'!$C$32:$C$39,0),(MATCH('3. GRI Pricing'!M576,'2. GRI Pricing Inputs'!$D$32:$AI$32,0)+1)),0)</f>
        <v>0</v>
      </c>
      <c r="O576" s="273">
        <f>IFERROR(INDEX('2. GRI Pricing Inputs'!$C$45:$AI$46,MATCH($O$16,'2. GRI Pricing Inputs'!$C$45:$C$46,0),MATCH(G576,'2. GRI Pricing Inputs'!$C$45:$AI$45,0)),0)</f>
        <v>0</v>
      </c>
      <c r="P576" s="273">
        <f>IFERROR(INDEX('2. GRI Pricing Inputs'!$C$53:$AI$54,MATCH('3. GRI Pricing'!$P$16,'2. GRI Pricing Inputs'!$C$53:$C$54,0),MATCH('3. GRI Pricing'!H576,'2. GRI Pricing Inputs'!$C$53:$AI$53,0)),0)</f>
        <v>0</v>
      </c>
      <c r="Q576" s="273">
        <f>IFERROR(INDEX('2. GRI Pricing Inputs'!$C$60:$AI$61,MATCH('3. GRI Pricing'!$Q$16,'2. GRI Pricing Inputs'!$C$60:$C$61,0),MATCH('1. Accomodation'!T580,'2. GRI Pricing Inputs'!$C$60:$AI$60,0)),0)</f>
        <v>0</v>
      </c>
      <c r="R576" s="273">
        <f>IFERROR(INDEX('2. GRI Pricing Inputs'!$C$67:$AI$68,MATCH('3. GRI Pricing'!$R$16,'2. GRI Pricing Inputs'!$C$67:$C$68,0),MATCH('1. Accomodation'!U580,'2. GRI Pricing Inputs'!$C$67:$AI$67,0)),0)</f>
        <v>0</v>
      </c>
      <c r="S576" s="273">
        <f>IF(D576=0,0,'2. GRI Pricing Inputs'!$AI$75)</f>
        <v>0</v>
      </c>
      <c r="T576" s="273">
        <f>IFERROR(INDEX('2. GRI Pricing Inputs'!$C$82:$AI$83,MATCH('3. GRI Pricing'!$T$16,'2. GRI Pricing Inputs'!$C$82:$C$83,0),MATCH('1. Accomodation'!V580,'2. GRI Pricing Inputs'!$C$82:$AI$82,0)),0)</f>
        <v>0</v>
      </c>
      <c r="U576" s="273">
        <f>IFERROR(INDEX('2. GRI Pricing Inputs'!$C$89:$AI$90,MATCH('3. GRI Pricing'!$U$16,'2. GRI Pricing Inputs'!$C$89:$C$90,0),MATCH('1. Accomodation'!W580,'2. GRI Pricing Inputs'!$C$89:$AI$89,0)),0)</f>
        <v>0</v>
      </c>
      <c r="V576" s="273">
        <f>IFERROR(INDEX('2. GRI Pricing Inputs'!$C$97:$AI$98,MATCH('3. GRI Pricing'!$V$16,'2. GRI Pricing Inputs'!$C$97:$C$98,0),MATCH('1. Accomodation'!X580,'2. GRI Pricing Inputs'!$C$97:$AI$97,0)),0)</f>
        <v>0</v>
      </c>
      <c r="W576" s="273">
        <f>IFERROR(INDEX('2. GRI Pricing Inputs'!$C$104:$AI$105,MATCH('3. GRI Pricing'!$W$16,'2. GRI Pricing Inputs'!$C$104:$C$105,0),MATCH('1. Accomodation'!Y580,'2. GRI Pricing Inputs'!$C$104:$AI$104,0)),0)</f>
        <v>0</v>
      </c>
      <c r="X576" s="274"/>
      <c r="Y576" s="275">
        <f t="shared" si="15"/>
        <v>0</v>
      </c>
      <c r="Z576" s="276"/>
      <c r="AA576" s="276"/>
      <c r="AB576" s="276"/>
      <c r="AC576" s="272">
        <f>Y576*(1+'2. GRI Pricing Inputs'!$D$114)^(($AC$16-$AB$15)/365)</f>
        <v>0</v>
      </c>
      <c r="AD576" s="273">
        <f>AC576*(1+'2. GRI Pricing Inputs'!$D$114)^((AD$16-AC$16)/365)</f>
        <v>0</v>
      </c>
      <c r="AE576" s="273">
        <f>AD576*(1+'2. GRI Pricing Inputs'!$D$114)^((AE$16-AD$16)/365)</f>
        <v>0</v>
      </c>
      <c r="AF576" s="273">
        <f>AE576*(1+'2. GRI Pricing Inputs'!$D$114)^((AF$16-AE$16)/365)</f>
        <v>0</v>
      </c>
      <c r="AG576" s="273">
        <f>AF576*(1+'2. GRI Pricing Inputs'!$D$114)^((AG$16-AF$16)/365)</f>
        <v>0</v>
      </c>
      <c r="AH576" s="273">
        <f>AG576*(1+'2. GRI Pricing Inputs'!$D$114)^((AH$16-AG$16)/365)</f>
        <v>0</v>
      </c>
      <c r="AI576" s="273">
        <f>AH576*(1+'2. GRI Pricing Inputs'!$D$114)^((AI$16-AH$16)/365)</f>
        <v>0</v>
      </c>
      <c r="AJ576" s="273">
        <f>AI576*(1+'2. GRI Pricing Inputs'!$D$114)^((AJ$16-AI$16)/365)</f>
        <v>0</v>
      </c>
      <c r="AK576" s="273">
        <f>AJ576*(1+'2. GRI Pricing Inputs'!$D$114)^((AK$16-AJ$16)/365)</f>
        <v>0</v>
      </c>
      <c r="AL576" s="273">
        <f>AK576*(1+'2. GRI Pricing Inputs'!$D$114)^((AL$16-AK$16)/365)</f>
        <v>0</v>
      </c>
      <c r="AM576" s="273">
        <f>AL576*(1+'2. GRI Pricing Inputs'!$D$114)^((AM$16-AL$16)/365)</f>
        <v>0</v>
      </c>
      <c r="AN576" s="273">
        <f>AM576*(1+'2. GRI Pricing Inputs'!$D$114)^((AN$16-AM$16)/365)</f>
        <v>0</v>
      </c>
      <c r="AO576" s="273">
        <f>AN576*(1+'2. GRI Pricing Inputs'!$D$114)^((AO$16-AN$16)/365)</f>
        <v>0</v>
      </c>
    </row>
    <row r="577" spans="3:41" ht="12" x14ac:dyDescent="0.2">
      <c r="C577" s="76">
        <f>'1. Accomodation'!N581</f>
        <v>0</v>
      </c>
      <c r="D577" s="69">
        <f>'1. Accomodation'!P581</f>
        <v>0</v>
      </c>
      <c r="E577" s="69">
        <f>'1. Accomodation'!Q581</f>
        <v>0</v>
      </c>
      <c r="F577" s="77">
        <f>'1. Accomodation'!O581</f>
        <v>0</v>
      </c>
      <c r="G577" s="69">
        <f>'1. Accomodation'!R581</f>
        <v>0</v>
      </c>
      <c r="H577" s="69">
        <f>'1. Accomodation'!S581</f>
        <v>0</v>
      </c>
      <c r="I577" s="62"/>
      <c r="K577" s="272">
        <f>IFERROR(INDEX('2. GRI Pricing Inputs'!$C$15:$AI$16,MATCH($K$16,'2. GRI Pricing Inputs'!$C$15:$C$16,0),MATCH(D577,'2. GRI Pricing Inputs'!$C$15:$AI$15,0)),0)</f>
        <v>0</v>
      </c>
      <c r="L577" s="273">
        <f>IFERROR(INDEX('2. GRI Pricing Inputs'!$C$22:$AI$23,MATCH($L$16,'2. GRI Pricing Inputs'!$C$22:$C$23,0),MATCH(E577,'2. GRI Pricing Inputs'!$C$22:$AI$22,0)),0)</f>
        <v>0</v>
      </c>
      <c r="M577" s="328">
        <f>IF(AND('3. GRI Pricing'!$F577&gt;='2. GRI Pricing Inputs'!$D$33,'3. GRI Pricing'!$F577&lt;='2. GRI Pricing Inputs'!$E$33),'2. GRI Pricing Inputs'!$D$32,IF(AND('3. GRI Pricing'!$F577&gt;='2. GRI Pricing Inputs'!$F$33,'3. GRI Pricing'!$F577&lt;='2. GRI Pricing Inputs'!$G$33),'2. GRI Pricing Inputs'!$F$32,IF(AND('3. GRI Pricing'!$F577&gt;='2. GRI Pricing Inputs'!$H$33,'3. GRI Pricing'!$F577&lt;='2. GRI Pricing Inputs'!$I$33),'2. GRI Pricing Inputs'!$H$32,IF(AND('3. GRI Pricing'!$F577&gt;='2. GRI Pricing Inputs'!$J$33,'3. GRI Pricing'!$F577&lt;='2. GRI Pricing Inputs'!$K$33),'2. GRI Pricing Inputs'!$J$32,IF(AND('3. GRI Pricing'!$F577&gt;='2. GRI Pricing Inputs'!$L$33,'3. GRI Pricing'!$F577&lt;='2. GRI Pricing Inputs'!$M$33),'2. GRI Pricing Inputs'!$L$32,IF(AND('3. GRI Pricing'!$F577&gt;='2. GRI Pricing Inputs'!$N$33,'3. GRI Pricing'!$F577&lt;='2. GRI Pricing Inputs'!$O$33),'2. GRI Pricing Inputs'!$N$32,IF(AND('3. GRI Pricing'!$F577&gt;='2. GRI Pricing Inputs'!$P$33,'3. GRI Pricing'!$F577&lt;='2. GRI Pricing Inputs'!$Q$33),'2. GRI Pricing Inputs'!$P$32,IF(AND('3. GRI Pricing'!$F577&gt;='2. GRI Pricing Inputs'!$R$33,'3. GRI Pricing'!$F577&lt;='2. GRI Pricing Inputs'!$S$33),'2. GRI Pricing Inputs'!$R$32,IF(AND('3. GRI Pricing'!$F577&gt;='2. GRI Pricing Inputs'!$T$33,'3. GRI Pricing'!$F577&lt;='2. GRI Pricing Inputs'!$U$33),'2. GRI Pricing Inputs'!$T$32,IF(AND('3. GRI Pricing'!$F577&gt;='2. GRI Pricing Inputs'!$V$33,'3. GRI Pricing'!$F577&lt;='2. GRI Pricing Inputs'!$W$33),'2. GRI Pricing Inputs'!$V$32,IF(AND('3. GRI Pricing'!$F577&gt;='2. GRI Pricing Inputs'!$X$33,'3. GRI Pricing'!$F577&lt;='2. GRI Pricing Inputs'!$Y$33),'2. GRI Pricing Inputs'!$X$32,IF(AND('3. GRI Pricing'!$F577&gt;='2. GRI Pricing Inputs'!$Z$33,'3. GRI Pricing'!$F577&lt;='2. GRI Pricing Inputs'!$AA$33),'2. GRI Pricing Inputs'!$Z$32,IF(AND('3. GRI Pricing'!$F577&gt;='2. GRI Pricing Inputs'!$AB$33,'3. GRI Pricing'!$F577&lt;='2. GRI Pricing Inputs'!$AC$33),'2. GRI Pricing Inputs'!$AB$32,IF(AND('3. GRI Pricing'!$F577&gt;='2. GRI Pricing Inputs'!$AD$33,'3. GRI Pricing'!$F577&lt;='2. GRI Pricing Inputs'!$AE$33),'2. GRI Pricing Inputs'!$AD$32,IF(AND('3. GRI Pricing'!$F577&gt;='2. GRI Pricing Inputs'!$AF$33,'3. GRI Pricing'!$F577&lt;='2. GRI Pricing Inputs'!$AG$33),'2. GRI Pricing Inputs'!$AF$32,IF(AND('3. GRI Pricing'!$F577&gt;='2. GRI Pricing Inputs'!$AH$33,'3. GRI Pricing'!$F577&lt;='2. GRI Pricing Inputs'!$AI$33),'2. GRI Pricing Inputs'!$AH$32,0))))))))))))))))</f>
        <v>0</v>
      </c>
      <c r="N577" s="273" cm="1">
        <f t="array" ref="N577">IFERROR(INDEX('2. GRI Pricing Inputs'!$C$32:$AI$39,MATCH('3. GRI Pricing'!D577,'2. GRI Pricing Inputs'!$C$32:$C$39,0),(MATCH('3. GRI Pricing'!M577,'2. GRI Pricing Inputs'!$D$32:$AI$32,0)+1)),0)</f>
        <v>0</v>
      </c>
      <c r="O577" s="273">
        <f>IFERROR(INDEX('2. GRI Pricing Inputs'!$C$45:$AI$46,MATCH($O$16,'2. GRI Pricing Inputs'!$C$45:$C$46,0),MATCH(G577,'2. GRI Pricing Inputs'!$C$45:$AI$45,0)),0)</f>
        <v>0</v>
      </c>
      <c r="P577" s="273">
        <f>IFERROR(INDEX('2. GRI Pricing Inputs'!$C$53:$AI$54,MATCH('3. GRI Pricing'!$P$16,'2. GRI Pricing Inputs'!$C$53:$C$54,0),MATCH('3. GRI Pricing'!H577,'2. GRI Pricing Inputs'!$C$53:$AI$53,0)),0)</f>
        <v>0</v>
      </c>
      <c r="Q577" s="273">
        <f>IFERROR(INDEX('2. GRI Pricing Inputs'!$C$60:$AI$61,MATCH('3. GRI Pricing'!$Q$16,'2. GRI Pricing Inputs'!$C$60:$C$61,0),MATCH('1. Accomodation'!T581,'2. GRI Pricing Inputs'!$C$60:$AI$60,0)),0)</f>
        <v>0</v>
      </c>
      <c r="R577" s="273">
        <f>IFERROR(INDEX('2. GRI Pricing Inputs'!$C$67:$AI$68,MATCH('3. GRI Pricing'!$R$16,'2. GRI Pricing Inputs'!$C$67:$C$68,0),MATCH('1. Accomodation'!U581,'2. GRI Pricing Inputs'!$C$67:$AI$67,0)),0)</f>
        <v>0</v>
      </c>
      <c r="S577" s="273">
        <f>IF(D577=0,0,'2. GRI Pricing Inputs'!$AI$75)</f>
        <v>0</v>
      </c>
      <c r="T577" s="273">
        <f>IFERROR(INDEX('2. GRI Pricing Inputs'!$C$82:$AI$83,MATCH('3. GRI Pricing'!$T$16,'2. GRI Pricing Inputs'!$C$82:$C$83,0),MATCH('1. Accomodation'!V581,'2. GRI Pricing Inputs'!$C$82:$AI$82,0)),0)</f>
        <v>0</v>
      </c>
      <c r="U577" s="273">
        <f>IFERROR(INDEX('2. GRI Pricing Inputs'!$C$89:$AI$90,MATCH('3. GRI Pricing'!$U$16,'2. GRI Pricing Inputs'!$C$89:$C$90,0),MATCH('1. Accomodation'!W581,'2. GRI Pricing Inputs'!$C$89:$AI$89,0)),0)</f>
        <v>0</v>
      </c>
      <c r="V577" s="273">
        <f>IFERROR(INDEX('2. GRI Pricing Inputs'!$C$97:$AI$98,MATCH('3. GRI Pricing'!$V$16,'2. GRI Pricing Inputs'!$C$97:$C$98,0),MATCH('1. Accomodation'!X581,'2. GRI Pricing Inputs'!$C$97:$AI$97,0)),0)</f>
        <v>0</v>
      </c>
      <c r="W577" s="273">
        <f>IFERROR(INDEX('2. GRI Pricing Inputs'!$C$104:$AI$105,MATCH('3. GRI Pricing'!$W$16,'2. GRI Pricing Inputs'!$C$104:$C$105,0),MATCH('1. Accomodation'!Y581,'2. GRI Pricing Inputs'!$C$104:$AI$104,0)),0)</f>
        <v>0</v>
      </c>
      <c r="X577" s="274"/>
      <c r="Y577" s="275">
        <f t="shared" si="15"/>
        <v>0</v>
      </c>
      <c r="Z577" s="276"/>
      <c r="AA577" s="276"/>
      <c r="AB577" s="276"/>
      <c r="AC577" s="272">
        <f>Y577*(1+'2. GRI Pricing Inputs'!$D$114)^(($AC$16-$AB$15)/365)</f>
        <v>0</v>
      </c>
      <c r="AD577" s="273">
        <f>AC577*(1+'2. GRI Pricing Inputs'!$D$114)^((AD$16-AC$16)/365)</f>
        <v>0</v>
      </c>
      <c r="AE577" s="273">
        <f>AD577*(1+'2. GRI Pricing Inputs'!$D$114)^((AE$16-AD$16)/365)</f>
        <v>0</v>
      </c>
      <c r="AF577" s="273">
        <f>AE577*(1+'2. GRI Pricing Inputs'!$D$114)^((AF$16-AE$16)/365)</f>
        <v>0</v>
      </c>
      <c r="AG577" s="273">
        <f>AF577*(1+'2. GRI Pricing Inputs'!$D$114)^((AG$16-AF$16)/365)</f>
        <v>0</v>
      </c>
      <c r="AH577" s="273">
        <f>AG577*(1+'2. GRI Pricing Inputs'!$D$114)^((AH$16-AG$16)/365)</f>
        <v>0</v>
      </c>
      <c r="AI577" s="273">
        <f>AH577*(1+'2. GRI Pricing Inputs'!$D$114)^((AI$16-AH$16)/365)</f>
        <v>0</v>
      </c>
      <c r="AJ577" s="273">
        <f>AI577*(1+'2. GRI Pricing Inputs'!$D$114)^((AJ$16-AI$16)/365)</f>
        <v>0</v>
      </c>
      <c r="AK577" s="273">
        <f>AJ577*(1+'2. GRI Pricing Inputs'!$D$114)^((AK$16-AJ$16)/365)</f>
        <v>0</v>
      </c>
      <c r="AL577" s="273">
        <f>AK577*(1+'2. GRI Pricing Inputs'!$D$114)^((AL$16-AK$16)/365)</f>
        <v>0</v>
      </c>
      <c r="AM577" s="273">
        <f>AL577*(1+'2. GRI Pricing Inputs'!$D$114)^((AM$16-AL$16)/365)</f>
        <v>0</v>
      </c>
      <c r="AN577" s="273">
        <f>AM577*(1+'2. GRI Pricing Inputs'!$D$114)^((AN$16-AM$16)/365)</f>
        <v>0</v>
      </c>
      <c r="AO577" s="273">
        <f>AN577*(1+'2. GRI Pricing Inputs'!$D$114)^((AO$16-AN$16)/365)</f>
        <v>0</v>
      </c>
    </row>
    <row r="578" spans="3:41" ht="12" x14ac:dyDescent="0.2">
      <c r="C578" s="76">
        <f>'1. Accomodation'!N582</f>
        <v>0</v>
      </c>
      <c r="D578" s="69">
        <f>'1. Accomodation'!P582</f>
        <v>0</v>
      </c>
      <c r="E578" s="69">
        <f>'1. Accomodation'!Q582</f>
        <v>0</v>
      </c>
      <c r="F578" s="77">
        <f>'1. Accomodation'!O582</f>
        <v>0</v>
      </c>
      <c r="G578" s="69">
        <f>'1. Accomodation'!R582</f>
        <v>0</v>
      </c>
      <c r="H578" s="69">
        <f>'1. Accomodation'!S582</f>
        <v>0</v>
      </c>
      <c r="I578" s="62"/>
      <c r="K578" s="272">
        <f>IFERROR(INDEX('2. GRI Pricing Inputs'!$C$15:$AI$16,MATCH($K$16,'2. GRI Pricing Inputs'!$C$15:$C$16,0),MATCH(D578,'2. GRI Pricing Inputs'!$C$15:$AI$15,0)),0)</f>
        <v>0</v>
      </c>
      <c r="L578" s="273">
        <f>IFERROR(INDEX('2. GRI Pricing Inputs'!$C$22:$AI$23,MATCH($L$16,'2. GRI Pricing Inputs'!$C$22:$C$23,0),MATCH(E578,'2. GRI Pricing Inputs'!$C$22:$AI$22,0)),0)</f>
        <v>0</v>
      </c>
      <c r="M578" s="328">
        <f>IF(AND('3. GRI Pricing'!$F578&gt;='2. GRI Pricing Inputs'!$D$33,'3. GRI Pricing'!$F578&lt;='2. GRI Pricing Inputs'!$E$33),'2. GRI Pricing Inputs'!$D$32,IF(AND('3. GRI Pricing'!$F578&gt;='2. GRI Pricing Inputs'!$F$33,'3. GRI Pricing'!$F578&lt;='2. GRI Pricing Inputs'!$G$33),'2. GRI Pricing Inputs'!$F$32,IF(AND('3. GRI Pricing'!$F578&gt;='2. GRI Pricing Inputs'!$H$33,'3. GRI Pricing'!$F578&lt;='2. GRI Pricing Inputs'!$I$33),'2. GRI Pricing Inputs'!$H$32,IF(AND('3. GRI Pricing'!$F578&gt;='2. GRI Pricing Inputs'!$J$33,'3. GRI Pricing'!$F578&lt;='2. GRI Pricing Inputs'!$K$33),'2. GRI Pricing Inputs'!$J$32,IF(AND('3. GRI Pricing'!$F578&gt;='2. GRI Pricing Inputs'!$L$33,'3. GRI Pricing'!$F578&lt;='2. GRI Pricing Inputs'!$M$33),'2. GRI Pricing Inputs'!$L$32,IF(AND('3. GRI Pricing'!$F578&gt;='2. GRI Pricing Inputs'!$N$33,'3. GRI Pricing'!$F578&lt;='2. GRI Pricing Inputs'!$O$33),'2. GRI Pricing Inputs'!$N$32,IF(AND('3. GRI Pricing'!$F578&gt;='2. GRI Pricing Inputs'!$P$33,'3. GRI Pricing'!$F578&lt;='2. GRI Pricing Inputs'!$Q$33),'2. GRI Pricing Inputs'!$P$32,IF(AND('3. GRI Pricing'!$F578&gt;='2. GRI Pricing Inputs'!$R$33,'3. GRI Pricing'!$F578&lt;='2. GRI Pricing Inputs'!$S$33),'2. GRI Pricing Inputs'!$R$32,IF(AND('3. GRI Pricing'!$F578&gt;='2. GRI Pricing Inputs'!$T$33,'3. GRI Pricing'!$F578&lt;='2. GRI Pricing Inputs'!$U$33),'2. GRI Pricing Inputs'!$T$32,IF(AND('3. GRI Pricing'!$F578&gt;='2. GRI Pricing Inputs'!$V$33,'3. GRI Pricing'!$F578&lt;='2. GRI Pricing Inputs'!$W$33),'2. GRI Pricing Inputs'!$V$32,IF(AND('3. GRI Pricing'!$F578&gt;='2. GRI Pricing Inputs'!$X$33,'3. GRI Pricing'!$F578&lt;='2. GRI Pricing Inputs'!$Y$33),'2. GRI Pricing Inputs'!$X$32,IF(AND('3. GRI Pricing'!$F578&gt;='2. GRI Pricing Inputs'!$Z$33,'3. GRI Pricing'!$F578&lt;='2. GRI Pricing Inputs'!$AA$33),'2. GRI Pricing Inputs'!$Z$32,IF(AND('3. GRI Pricing'!$F578&gt;='2. GRI Pricing Inputs'!$AB$33,'3. GRI Pricing'!$F578&lt;='2. GRI Pricing Inputs'!$AC$33),'2. GRI Pricing Inputs'!$AB$32,IF(AND('3. GRI Pricing'!$F578&gt;='2. GRI Pricing Inputs'!$AD$33,'3. GRI Pricing'!$F578&lt;='2. GRI Pricing Inputs'!$AE$33),'2. GRI Pricing Inputs'!$AD$32,IF(AND('3. GRI Pricing'!$F578&gt;='2. GRI Pricing Inputs'!$AF$33,'3. GRI Pricing'!$F578&lt;='2. GRI Pricing Inputs'!$AG$33),'2. GRI Pricing Inputs'!$AF$32,IF(AND('3. GRI Pricing'!$F578&gt;='2. GRI Pricing Inputs'!$AH$33,'3. GRI Pricing'!$F578&lt;='2. GRI Pricing Inputs'!$AI$33),'2. GRI Pricing Inputs'!$AH$32,0))))))))))))))))</f>
        <v>0</v>
      </c>
      <c r="N578" s="273" cm="1">
        <f t="array" ref="N578">IFERROR(INDEX('2. GRI Pricing Inputs'!$C$32:$AI$39,MATCH('3. GRI Pricing'!D578,'2. GRI Pricing Inputs'!$C$32:$C$39,0),(MATCH('3. GRI Pricing'!M578,'2. GRI Pricing Inputs'!$D$32:$AI$32,0)+1)),0)</f>
        <v>0</v>
      </c>
      <c r="O578" s="273">
        <f>IFERROR(INDEX('2. GRI Pricing Inputs'!$C$45:$AI$46,MATCH($O$16,'2. GRI Pricing Inputs'!$C$45:$C$46,0),MATCH(G578,'2. GRI Pricing Inputs'!$C$45:$AI$45,0)),0)</f>
        <v>0</v>
      </c>
      <c r="P578" s="273">
        <f>IFERROR(INDEX('2. GRI Pricing Inputs'!$C$53:$AI$54,MATCH('3. GRI Pricing'!$P$16,'2. GRI Pricing Inputs'!$C$53:$C$54,0),MATCH('3. GRI Pricing'!H578,'2. GRI Pricing Inputs'!$C$53:$AI$53,0)),0)</f>
        <v>0</v>
      </c>
      <c r="Q578" s="273">
        <f>IFERROR(INDEX('2. GRI Pricing Inputs'!$C$60:$AI$61,MATCH('3. GRI Pricing'!$Q$16,'2. GRI Pricing Inputs'!$C$60:$C$61,0),MATCH('1. Accomodation'!T582,'2. GRI Pricing Inputs'!$C$60:$AI$60,0)),0)</f>
        <v>0</v>
      </c>
      <c r="R578" s="273">
        <f>IFERROR(INDEX('2. GRI Pricing Inputs'!$C$67:$AI$68,MATCH('3. GRI Pricing'!$R$16,'2. GRI Pricing Inputs'!$C$67:$C$68,0),MATCH('1. Accomodation'!U582,'2. GRI Pricing Inputs'!$C$67:$AI$67,0)),0)</f>
        <v>0</v>
      </c>
      <c r="S578" s="273">
        <f>IF(D578=0,0,'2. GRI Pricing Inputs'!$AI$75)</f>
        <v>0</v>
      </c>
      <c r="T578" s="273">
        <f>IFERROR(INDEX('2. GRI Pricing Inputs'!$C$82:$AI$83,MATCH('3. GRI Pricing'!$T$16,'2. GRI Pricing Inputs'!$C$82:$C$83,0),MATCH('1. Accomodation'!V582,'2. GRI Pricing Inputs'!$C$82:$AI$82,0)),0)</f>
        <v>0</v>
      </c>
      <c r="U578" s="273">
        <f>IFERROR(INDEX('2. GRI Pricing Inputs'!$C$89:$AI$90,MATCH('3. GRI Pricing'!$U$16,'2. GRI Pricing Inputs'!$C$89:$C$90,0),MATCH('1. Accomodation'!W582,'2. GRI Pricing Inputs'!$C$89:$AI$89,0)),0)</f>
        <v>0</v>
      </c>
      <c r="V578" s="273">
        <f>IFERROR(INDEX('2. GRI Pricing Inputs'!$C$97:$AI$98,MATCH('3. GRI Pricing'!$V$16,'2. GRI Pricing Inputs'!$C$97:$C$98,0),MATCH('1. Accomodation'!X582,'2. GRI Pricing Inputs'!$C$97:$AI$97,0)),0)</f>
        <v>0</v>
      </c>
      <c r="W578" s="273">
        <f>IFERROR(INDEX('2. GRI Pricing Inputs'!$C$104:$AI$105,MATCH('3. GRI Pricing'!$W$16,'2. GRI Pricing Inputs'!$C$104:$C$105,0),MATCH('1. Accomodation'!Y582,'2. GRI Pricing Inputs'!$C$104:$AI$104,0)),0)</f>
        <v>0</v>
      </c>
      <c r="X578" s="274"/>
      <c r="Y578" s="275">
        <f t="shared" si="15"/>
        <v>0</v>
      </c>
      <c r="Z578" s="276"/>
      <c r="AA578" s="276"/>
      <c r="AB578" s="276"/>
      <c r="AC578" s="272">
        <f>Y578*(1+'2. GRI Pricing Inputs'!$D$114)^(($AC$16-$AB$15)/365)</f>
        <v>0</v>
      </c>
      <c r="AD578" s="273">
        <f>AC578*(1+'2. GRI Pricing Inputs'!$D$114)^((AD$16-AC$16)/365)</f>
        <v>0</v>
      </c>
      <c r="AE578" s="273">
        <f>AD578*(1+'2. GRI Pricing Inputs'!$D$114)^((AE$16-AD$16)/365)</f>
        <v>0</v>
      </c>
      <c r="AF578" s="273">
        <f>AE578*(1+'2. GRI Pricing Inputs'!$D$114)^((AF$16-AE$16)/365)</f>
        <v>0</v>
      </c>
      <c r="AG578" s="273">
        <f>AF578*(1+'2. GRI Pricing Inputs'!$D$114)^((AG$16-AF$16)/365)</f>
        <v>0</v>
      </c>
      <c r="AH578" s="273">
        <f>AG578*(1+'2. GRI Pricing Inputs'!$D$114)^((AH$16-AG$16)/365)</f>
        <v>0</v>
      </c>
      <c r="AI578" s="273">
        <f>AH578*(1+'2. GRI Pricing Inputs'!$D$114)^((AI$16-AH$16)/365)</f>
        <v>0</v>
      </c>
      <c r="AJ578" s="273">
        <f>AI578*(1+'2. GRI Pricing Inputs'!$D$114)^((AJ$16-AI$16)/365)</f>
        <v>0</v>
      </c>
      <c r="AK578" s="273">
        <f>AJ578*(1+'2. GRI Pricing Inputs'!$D$114)^((AK$16-AJ$16)/365)</f>
        <v>0</v>
      </c>
      <c r="AL578" s="273">
        <f>AK578*(1+'2. GRI Pricing Inputs'!$D$114)^((AL$16-AK$16)/365)</f>
        <v>0</v>
      </c>
      <c r="AM578" s="273">
        <f>AL578*(1+'2. GRI Pricing Inputs'!$D$114)^((AM$16-AL$16)/365)</f>
        <v>0</v>
      </c>
      <c r="AN578" s="273">
        <f>AM578*(1+'2. GRI Pricing Inputs'!$D$114)^((AN$16-AM$16)/365)</f>
        <v>0</v>
      </c>
      <c r="AO578" s="273">
        <f>AN578*(1+'2. GRI Pricing Inputs'!$D$114)^((AO$16-AN$16)/365)</f>
        <v>0</v>
      </c>
    </row>
    <row r="579" spans="3:41" ht="12" x14ac:dyDescent="0.2">
      <c r="C579" s="76">
        <f>'1. Accomodation'!N583</f>
        <v>0</v>
      </c>
      <c r="D579" s="69">
        <f>'1. Accomodation'!P583</f>
        <v>0</v>
      </c>
      <c r="E579" s="69">
        <f>'1. Accomodation'!Q583</f>
        <v>0</v>
      </c>
      <c r="F579" s="77">
        <f>'1. Accomodation'!O583</f>
        <v>0</v>
      </c>
      <c r="G579" s="69">
        <f>'1. Accomodation'!R583</f>
        <v>0</v>
      </c>
      <c r="H579" s="69">
        <f>'1. Accomodation'!S583</f>
        <v>0</v>
      </c>
      <c r="I579" s="62"/>
      <c r="K579" s="272">
        <f>IFERROR(INDEX('2. GRI Pricing Inputs'!$C$15:$AI$16,MATCH($K$16,'2. GRI Pricing Inputs'!$C$15:$C$16,0),MATCH(D579,'2. GRI Pricing Inputs'!$C$15:$AI$15,0)),0)</f>
        <v>0</v>
      </c>
      <c r="L579" s="273">
        <f>IFERROR(INDEX('2. GRI Pricing Inputs'!$C$22:$AI$23,MATCH($L$16,'2. GRI Pricing Inputs'!$C$22:$C$23,0),MATCH(E579,'2. GRI Pricing Inputs'!$C$22:$AI$22,0)),0)</f>
        <v>0</v>
      </c>
      <c r="M579" s="328">
        <f>IF(AND('3. GRI Pricing'!$F579&gt;='2. GRI Pricing Inputs'!$D$33,'3. GRI Pricing'!$F579&lt;='2. GRI Pricing Inputs'!$E$33),'2. GRI Pricing Inputs'!$D$32,IF(AND('3. GRI Pricing'!$F579&gt;='2. GRI Pricing Inputs'!$F$33,'3. GRI Pricing'!$F579&lt;='2. GRI Pricing Inputs'!$G$33),'2. GRI Pricing Inputs'!$F$32,IF(AND('3. GRI Pricing'!$F579&gt;='2. GRI Pricing Inputs'!$H$33,'3. GRI Pricing'!$F579&lt;='2. GRI Pricing Inputs'!$I$33),'2. GRI Pricing Inputs'!$H$32,IF(AND('3. GRI Pricing'!$F579&gt;='2. GRI Pricing Inputs'!$J$33,'3. GRI Pricing'!$F579&lt;='2. GRI Pricing Inputs'!$K$33),'2. GRI Pricing Inputs'!$J$32,IF(AND('3. GRI Pricing'!$F579&gt;='2. GRI Pricing Inputs'!$L$33,'3. GRI Pricing'!$F579&lt;='2. GRI Pricing Inputs'!$M$33),'2. GRI Pricing Inputs'!$L$32,IF(AND('3. GRI Pricing'!$F579&gt;='2. GRI Pricing Inputs'!$N$33,'3. GRI Pricing'!$F579&lt;='2. GRI Pricing Inputs'!$O$33),'2. GRI Pricing Inputs'!$N$32,IF(AND('3. GRI Pricing'!$F579&gt;='2. GRI Pricing Inputs'!$P$33,'3. GRI Pricing'!$F579&lt;='2. GRI Pricing Inputs'!$Q$33),'2. GRI Pricing Inputs'!$P$32,IF(AND('3. GRI Pricing'!$F579&gt;='2. GRI Pricing Inputs'!$R$33,'3. GRI Pricing'!$F579&lt;='2. GRI Pricing Inputs'!$S$33),'2. GRI Pricing Inputs'!$R$32,IF(AND('3. GRI Pricing'!$F579&gt;='2. GRI Pricing Inputs'!$T$33,'3. GRI Pricing'!$F579&lt;='2. GRI Pricing Inputs'!$U$33),'2. GRI Pricing Inputs'!$T$32,IF(AND('3. GRI Pricing'!$F579&gt;='2. GRI Pricing Inputs'!$V$33,'3. GRI Pricing'!$F579&lt;='2. GRI Pricing Inputs'!$W$33),'2. GRI Pricing Inputs'!$V$32,IF(AND('3. GRI Pricing'!$F579&gt;='2. GRI Pricing Inputs'!$X$33,'3. GRI Pricing'!$F579&lt;='2. GRI Pricing Inputs'!$Y$33),'2. GRI Pricing Inputs'!$X$32,IF(AND('3. GRI Pricing'!$F579&gt;='2. GRI Pricing Inputs'!$Z$33,'3. GRI Pricing'!$F579&lt;='2. GRI Pricing Inputs'!$AA$33),'2. GRI Pricing Inputs'!$Z$32,IF(AND('3. GRI Pricing'!$F579&gt;='2. GRI Pricing Inputs'!$AB$33,'3. GRI Pricing'!$F579&lt;='2. GRI Pricing Inputs'!$AC$33),'2. GRI Pricing Inputs'!$AB$32,IF(AND('3. GRI Pricing'!$F579&gt;='2. GRI Pricing Inputs'!$AD$33,'3. GRI Pricing'!$F579&lt;='2. GRI Pricing Inputs'!$AE$33),'2. GRI Pricing Inputs'!$AD$32,IF(AND('3. GRI Pricing'!$F579&gt;='2. GRI Pricing Inputs'!$AF$33,'3. GRI Pricing'!$F579&lt;='2. GRI Pricing Inputs'!$AG$33),'2. GRI Pricing Inputs'!$AF$32,IF(AND('3. GRI Pricing'!$F579&gt;='2. GRI Pricing Inputs'!$AH$33,'3. GRI Pricing'!$F579&lt;='2. GRI Pricing Inputs'!$AI$33),'2. GRI Pricing Inputs'!$AH$32,0))))))))))))))))</f>
        <v>0</v>
      </c>
      <c r="N579" s="273" cm="1">
        <f t="array" ref="N579">IFERROR(INDEX('2. GRI Pricing Inputs'!$C$32:$AI$39,MATCH('3. GRI Pricing'!D579,'2. GRI Pricing Inputs'!$C$32:$C$39,0),(MATCH('3. GRI Pricing'!M579,'2. GRI Pricing Inputs'!$D$32:$AI$32,0)+1)),0)</f>
        <v>0</v>
      </c>
      <c r="O579" s="273">
        <f>IFERROR(INDEX('2. GRI Pricing Inputs'!$C$45:$AI$46,MATCH($O$16,'2. GRI Pricing Inputs'!$C$45:$C$46,0),MATCH(G579,'2. GRI Pricing Inputs'!$C$45:$AI$45,0)),0)</f>
        <v>0</v>
      </c>
      <c r="P579" s="273">
        <f>IFERROR(INDEX('2. GRI Pricing Inputs'!$C$53:$AI$54,MATCH('3. GRI Pricing'!$P$16,'2. GRI Pricing Inputs'!$C$53:$C$54,0),MATCH('3. GRI Pricing'!H579,'2. GRI Pricing Inputs'!$C$53:$AI$53,0)),0)</f>
        <v>0</v>
      </c>
      <c r="Q579" s="273">
        <f>IFERROR(INDEX('2. GRI Pricing Inputs'!$C$60:$AI$61,MATCH('3. GRI Pricing'!$Q$16,'2. GRI Pricing Inputs'!$C$60:$C$61,0),MATCH('1. Accomodation'!T583,'2. GRI Pricing Inputs'!$C$60:$AI$60,0)),0)</f>
        <v>0</v>
      </c>
      <c r="R579" s="273">
        <f>IFERROR(INDEX('2. GRI Pricing Inputs'!$C$67:$AI$68,MATCH('3. GRI Pricing'!$R$16,'2. GRI Pricing Inputs'!$C$67:$C$68,0),MATCH('1. Accomodation'!U583,'2. GRI Pricing Inputs'!$C$67:$AI$67,0)),0)</f>
        <v>0</v>
      </c>
      <c r="S579" s="273">
        <f>IF(D579=0,0,'2. GRI Pricing Inputs'!$AI$75)</f>
        <v>0</v>
      </c>
      <c r="T579" s="273">
        <f>IFERROR(INDEX('2. GRI Pricing Inputs'!$C$82:$AI$83,MATCH('3. GRI Pricing'!$T$16,'2. GRI Pricing Inputs'!$C$82:$C$83,0),MATCH('1. Accomodation'!V583,'2. GRI Pricing Inputs'!$C$82:$AI$82,0)),0)</f>
        <v>0</v>
      </c>
      <c r="U579" s="273">
        <f>IFERROR(INDEX('2. GRI Pricing Inputs'!$C$89:$AI$90,MATCH('3. GRI Pricing'!$U$16,'2. GRI Pricing Inputs'!$C$89:$C$90,0),MATCH('1. Accomodation'!W583,'2. GRI Pricing Inputs'!$C$89:$AI$89,0)),0)</f>
        <v>0</v>
      </c>
      <c r="V579" s="273">
        <f>IFERROR(INDEX('2. GRI Pricing Inputs'!$C$97:$AI$98,MATCH('3. GRI Pricing'!$V$16,'2. GRI Pricing Inputs'!$C$97:$C$98,0),MATCH('1. Accomodation'!X583,'2. GRI Pricing Inputs'!$C$97:$AI$97,0)),0)</f>
        <v>0</v>
      </c>
      <c r="W579" s="273">
        <f>IFERROR(INDEX('2. GRI Pricing Inputs'!$C$104:$AI$105,MATCH('3. GRI Pricing'!$W$16,'2. GRI Pricing Inputs'!$C$104:$C$105,0),MATCH('1. Accomodation'!Y583,'2. GRI Pricing Inputs'!$C$104:$AI$104,0)),0)</f>
        <v>0</v>
      </c>
      <c r="X579" s="274"/>
      <c r="Y579" s="275">
        <f t="shared" si="15"/>
        <v>0</v>
      </c>
      <c r="Z579" s="276"/>
      <c r="AA579" s="276"/>
      <c r="AB579" s="276"/>
      <c r="AC579" s="272">
        <f>Y579*(1+'2. GRI Pricing Inputs'!$D$114)^(($AC$16-$AB$15)/365)</f>
        <v>0</v>
      </c>
      <c r="AD579" s="273">
        <f>AC579*(1+'2. GRI Pricing Inputs'!$D$114)^((AD$16-AC$16)/365)</f>
        <v>0</v>
      </c>
      <c r="AE579" s="273">
        <f>AD579*(1+'2. GRI Pricing Inputs'!$D$114)^((AE$16-AD$16)/365)</f>
        <v>0</v>
      </c>
      <c r="AF579" s="273">
        <f>AE579*(1+'2. GRI Pricing Inputs'!$D$114)^((AF$16-AE$16)/365)</f>
        <v>0</v>
      </c>
      <c r="AG579" s="273">
        <f>AF579*(1+'2. GRI Pricing Inputs'!$D$114)^((AG$16-AF$16)/365)</f>
        <v>0</v>
      </c>
      <c r="AH579" s="273">
        <f>AG579*(1+'2. GRI Pricing Inputs'!$D$114)^((AH$16-AG$16)/365)</f>
        <v>0</v>
      </c>
      <c r="AI579" s="273">
        <f>AH579*(1+'2. GRI Pricing Inputs'!$D$114)^((AI$16-AH$16)/365)</f>
        <v>0</v>
      </c>
      <c r="AJ579" s="273">
        <f>AI579*(1+'2. GRI Pricing Inputs'!$D$114)^((AJ$16-AI$16)/365)</f>
        <v>0</v>
      </c>
      <c r="AK579" s="273">
        <f>AJ579*(1+'2. GRI Pricing Inputs'!$D$114)^((AK$16-AJ$16)/365)</f>
        <v>0</v>
      </c>
      <c r="AL579" s="273">
        <f>AK579*(1+'2. GRI Pricing Inputs'!$D$114)^((AL$16-AK$16)/365)</f>
        <v>0</v>
      </c>
      <c r="AM579" s="273">
        <f>AL579*(1+'2. GRI Pricing Inputs'!$D$114)^((AM$16-AL$16)/365)</f>
        <v>0</v>
      </c>
      <c r="AN579" s="273">
        <f>AM579*(1+'2. GRI Pricing Inputs'!$D$114)^((AN$16-AM$16)/365)</f>
        <v>0</v>
      </c>
      <c r="AO579" s="273">
        <f>AN579*(1+'2. GRI Pricing Inputs'!$D$114)^((AO$16-AN$16)/365)</f>
        <v>0</v>
      </c>
    </row>
    <row r="580" spans="3:41" ht="12" x14ac:dyDescent="0.2">
      <c r="C580" s="76">
        <f>'1. Accomodation'!N584</f>
        <v>0</v>
      </c>
      <c r="D580" s="69">
        <f>'1. Accomodation'!P584</f>
        <v>0</v>
      </c>
      <c r="E580" s="69">
        <f>'1. Accomodation'!Q584</f>
        <v>0</v>
      </c>
      <c r="F580" s="77">
        <f>'1. Accomodation'!O584</f>
        <v>0</v>
      </c>
      <c r="G580" s="69">
        <f>'1. Accomodation'!R584</f>
        <v>0</v>
      </c>
      <c r="H580" s="69">
        <f>'1. Accomodation'!S584</f>
        <v>0</v>
      </c>
      <c r="I580" s="62"/>
      <c r="K580" s="272">
        <f>IFERROR(INDEX('2. GRI Pricing Inputs'!$C$15:$AI$16,MATCH($K$16,'2. GRI Pricing Inputs'!$C$15:$C$16,0),MATCH(D580,'2. GRI Pricing Inputs'!$C$15:$AI$15,0)),0)</f>
        <v>0</v>
      </c>
      <c r="L580" s="273">
        <f>IFERROR(INDEX('2. GRI Pricing Inputs'!$C$22:$AI$23,MATCH($L$16,'2. GRI Pricing Inputs'!$C$22:$C$23,0),MATCH(E580,'2. GRI Pricing Inputs'!$C$22:$AI$22,0)),0)</f>
        <v>0</v>
      </c>
      <c r="M580" s="328">
        <f>IF(AND('3. GRI Pricing'!$F580&gt;='2. GRI Pricing Inputs'!$D$33,'3. GRI Pricing'!$F580&lt;='2. GRI Pricing Inputs'!$E$33),'2. GRI Pricing Inputs'!$D$32,IF(AND('3. GRI Pricing'!$F580&gt;='2. GRI Pricing Inputs'!$F$33,'3. GRI Pricing'!$F580&lt;='2. GRI Pricing Inputs'!$G$33),'2. GRI Pricing Inputs'!$F$32,IF(AND('3. GRI Pricing'!$F580&gt;='2. GRI Pricing Inputs'!$H$33,'3. GRI Pricing'!$F580&lt;='2. GRI Pricing Inputs'!$I$33),'2. GRI Pricing Inputs'!$H$32,IF(AND('3. GRI Pricing'!$F580&gt;='2. GRI Pricing Inputs'!$J$33,'3. GRI Pricing'!$F580&lt;='2. GRI Pricing Inputs'!$K$33),'2. GRI Pricing Inputs'!$J$32,IF(AND('3. GRI Pricing'!$F580&gt;='2. GRI Pricing Inputs'!$L$33,'3. GRI Pricing'!$F580&lt;='2. GRI Pricing Inputs'!$M$33),'2. GRI Pricing Inputs'!$L$32,IF(AND('3. GRI Pricing'!$F580&gt;='2. GRI Pricing Inputs'!$N$33,'3. GRI Pricing'!$F580&lt;='2. GRI Pricing Inputs'!$O$33),'2. GRI Pricing Inputs'!$N$32,IF(AND('3. GRI Pricing'!$F580&gt;='2. GRI Pricing Inputs'!$P$33,'3. GRI Pricing'!$F580&lt;='2. GRI Pricing Inputs'!$Q$33),'2. GRI Pricing Inputs'!$P$32,IF(AND('3. GRI Pricing'!$F580&gt;='2. GRI Pricing Inputs'!$R$33,'3. GRI Pricing'!$F580&lt;='2. GRI Pricing Inputs'!$S$33),'2. GRI Pricing Inputs'!$R$32,IF(AND('3. GRI Pricing'!$F580&gt;='2. GRI Pricing Inputs'!$T$33,'3. GRI Pricing'!$F580&lt;='2. GRI Pricing Inputs'!$U$33),'2. GRI Pricing Inputs'!$T$32,IF(AND('3. GRI Pricing'!$F580&gt;='2. GRI Pricing Inputs'!$V$33,'3. GRI Pricing'!$F580&lt;='2. GRI Pricing Inputs'!$W$33),'2. GRI Pricing Inputs'!$V$32,IF(AND('3. GRI Pricing'!$F580&gt;='2. GRI Pricing Inputs'!$X$33,'3. GRI Pricing'!$F580&lt;='2. GRI Pricing Inputs'!$Y$33),'2. GRI Pricing Inputs'!$X$32,IF(AND('3. GRI Pricing'!$F580&gt;='2. GRI Pricing Inputs'!$Z$33,'3. GRI Pricing'!$F580&lt;='2. GRI Pricing Inputs'!$AA$33),'2. GRI Pricing Inputs'!$Z$32,IF(AND('3. GRI Pricing'!$F580&gt;='2. GRI Pricing Inputs'!$AB$33,'3. GRI Pricing'!$F580&lt;='2. GRI Pricing Inputs'!$AC$33),'2. GRI Pricing Inputs'!$AB$32,IF(AND('3. GRI Pricing'!$F580&gt;='2. GRI Pricing Inputs'!$AD$33,'3. GRI Pricing'!$F580&lt;='2. GRI Pricing Inputs'!$AE$33),'2. GRI Pricing Inputs'!$AD$32,IF(AND('3. GRI Pricing'!$F580&gt;='2. GRI Pricing Inputs'!$AF$33,'3. GRI Pricing'!$F580&lt;='2. GRI Pricing Inputs'!$AG$33),'2. GRI Pricing Inputs'!$AF$32,IF(AND('3. GRI Pricing'!$F580&gt;='2. GRI Pricing Inputs'!$AH$33,'3. GRI Pricing'!$F580&lt;='2. GRI Pricing Inputs'!$AI$33),'2. GRI Pricing Inputs'!$AH$32,0))))))))))))))))</f>
        <v>0</v>
      </c>
      <c r="N580" s="273" cm="1">
        <f t="array" ref="N580">IFERROR(INDEX('2. GRI Pricing Inputs'!$C$32:$AI$39,MATCH('3. GRI Pricing'!D580,'2. GRI Pricing Inputs'!$C$32:$C$39,0),(MATCH('3. GRI Pricing'!M580,'2. GRI Pricing Inputs'!$D$32:$AI$32,0)+1)),0)</f>
        <v>0</v>
      </c>
      <c r="O580" s="273">
        <f>IFERROR(INDEX('2. GRI Pricing Inputs'!$C$45:$AI$46,MATCH($O$16,'2. GRI Pricing Inputs'!$C$45:$C$46,0),MATCH(G580,'2. GRI Pricing Inputs'!$C$45:$AI$45,0)),0)</f>
        <v>0</v>
      </c>
      <c r="P580" s="273">
        <f>IFERROR(INDEX('2. GRI Pricing Inputs'!$C$53:$AI$54,MATCH('3. GRI Pricing'!$P$16,'2. GRI Pricing Inputs'!$C$53:$C$54,0),MATCH('3. GRI Pricing'!H580,'2. GRI Pricing Inputs'!$C$53:$AI$53,0)),0)</f>
        <v>0</v>
      </c>
      <c r="Q580" s="273">
        <f>IFERROR(INDEX('2. GRI Pricing Inputs'!$C$60:$AI$61,MATCH('3. GRI Pricing'!$Q$16,'2. GRI Pricing Inputs'!$C$60:$C$61,0),MATCH('1. Accomodation'!T584,'2. GRI Pricing Inputs'!$C$60:$AI$60,0)),0)</f>
        <v>0</v>
      </c>
      <c r="R580" s="273">
        <f>IFERROR(INDEX('2. GRI Pricing Inputs'!$C$67:$AI$68,MATCH('3. GRI Pricing'!$R$16,'2. GRI Pricing Inputs'!$C$67:$C$68,0),MATCH('1. Accomodation'!U584,'2. GRI Pricing Inputs'!$C$67:$AI$67,0)),0)</f>
        <v>0</v>
      </c>
      <c r="S580" s="273">
        <f>IF(D580=0,0,'2. GRI Pricing Inputs'!$AI$75)</f>
        <v>0</v>
      </c>
      <c r="T580" s="273">
        <f>IFERROR(INDEX('2. GRI Pricing Inputs'!$C$82:$AI$83,MATCH('3. GRI Pricing'!$T$16,'2. GRI Pricing Inputs'!$C$82:$C$83,0),MATCH('1. Accomodation'!V584,'2. GRI Pricing Inputs'!$C$82:$AI$82,0)),0)</f>
        <v>0</v>
      </c>
      <c r="U580" s="273">
        <f>IFERROR(INDEX('2. GRI Pricing Inputs'!$C$89:$AI$90,MATCH('3. GRI Pricing'!$U$16,'2. GRI Pricing Inputs'!$C$89:$C$90,0),MATCH('1. Accomodation'!W584,'2. GRI Pricing Inputs'!$C$89:$AI$89,0)),0)</f>
        <v>0</v>
      </c>
      <c r="V580" s="273">
        <f>IFERROR(INDEX('2. GRI Pricing Inputs'!$C$97:$AI$98,MATCH('3. GRI Pricing'!$V$16,'2. GRI Pricing Inputs'!$C$97:$C$98,0),MATCH('1. Accomodation'!X584,'2. GRI Pricing Inputs'!$C$97:$AI$97,0)),0)</f>
        <v>0</v>
      </c>
      <c r="W580" s="273">
        <f>IFERROR(INDEX('2. GRI Pricing Inputs'!$C$104:$AI$105,MATCH('3. GRI Pricing'!$W$16,'2. GRI Pricing Inputs'!$C$104:$C$105,0),MATCH('1. Accomodation'!Y584,'2. GRI Pricing Inputs'!$C$104:$AI$104,0)),0)</f>
        <v>0</v>
      </c>
      <c r="X580" s="274"/>
      <c r="Y580" s="275">
        <f t="shared" si="15"/>
        <v>0</v>
      </c>
      <c r="Z580" s="276"/>
      <c r="AA580" s="276"/>
      <c r="AB580" s="276"/>
      <c r="AC580" s="272">
        <f>Y580*(1+'2. GRI Pricing Inputs'!$D$114)^(($AC$16-$AB$15)/365)</f>
        <v>0</v>
      </c>
      <c r="AD580" s="273">
        <f>AC580*(1+'2. GRI Pricing Inputs'!$D$114)^((AD$16-AC$16)/365)</f>
        <v>0</v>
      </c>
      <c r="AE580" s="273">
        <f>AD580*(1+'2. GRI Pricing Inputs'!$D$114)^((AE$16-AD$16)/365)</f>
        <v>0</v>
      </c>
      <c r="AF580" s="273">
        <f>AE580*(1+'2. GRI Pricing Inputs'!$D$114)^((AF$16-AE$16)/365)</f>
        <v>0</v>
      </c>
      <c r="AG580" s="273">
        <f>AF580*(1+'2. GRI Pricing Inputs'!$D$114)^((AG$16-AF$16)/365)</f>
        <v>0</v>
      </c>
      <c r="AH580" s="273">
        <f>AG580*(1+'2. GRI Pricing Inputs'!$D$114)^((AH$16-AG$16)/365)</f>
        <v>0</v>
      </c>
      <c r="AI580" s="273">
        <f>AH580*(1+'2. GRI Pricing Inputs'!$D$114)^((AI$16-AH$16)/365)</f>
        <v>0</v>
      </c>
      <c r="AJ580" s="273">
        <f>AI580*(1+'2. GRI Pricing Inputs'!$D$114)^((AJ$16-AI$16)/365)</f>
        <v>0</v>
      </c>
      <c r="AK580" s="273">
        <f>AJ580*(1+'2. GRI Pricing Inputs'!$D$114)^((AK$16-AJ$16)/365)</f>
        <v>0</v>
      </c>
      <c r="AL580" s="273">
        <f>AK580*(1+'2. GRI Pricing Inputs'!$D$114)^((AL$16-AK$16)/365)</f>
        <v>0</v>
      </c>
      <c r="AM580" s="273">
        <f>AL580*(1+'2. GRI Pricing Inputs'!$D$114)^((AM$16-AL$16)/365)</f>
        <v>0</v>
      </c>
      <c r="AN580" s="273">
        <f>AM580*(1+'2. GRI Pricing Inputs'!$D$114)^((AN$16-AM$16)/365)</f>
        <v>0</v>
      </c>
      <c r="AO580" s="273">
        <f>AN580*(1+'2. GRI Pricing Inputs'!$D$114)^((AO$16-AN$16)/365)</f>
        <v>0</v>
      </c>
    </row>
    <row r="581" spans="3:41" ht="12" x14ac:dyDescent="0.2">
      <c r="C581" s="76">
        <f>'1. Accomodation'!N585</f>
        <v>0</v>
      </c>
      <c r="D581" s="69">
        <f>'1. Accomodation'!P585</f>
        <v>0</v>
      </c>
      <c r="E581" s="69">
        <f>'1. Accomodation'!Q585</f>
        <v>0</v>
      </c>
      <c r="F581" s="77">
        <f>'1. Accomodation'!O585</f>
        <v>0</v>
      </c>
      <c r="G581" s="69">
        <f>'1. Accomodation'!R585</f>
        <v>0</v>
      </c>
      <c r="H581" s="69">
        <f>'1. Accomodation'!S585</f>
        <v>0</v>
      </c>
      <c r="I581" s="62"/>
      <c r="K581" s="272">
        <f>IFERROR(INDEX('2. GRI Pricing Inputs'!$C$15:$AI$16,MATCH($K$16,'2. GRI Pricing Inputs'!$C$15:$C$16,0),MATCH(D581,'2. GRI Pricing Inputs'!$C$15:$AI$15,0)),0)</f>
        <v>0</v>
      </c>
      <c r="L581" s="273">
        <f>IFERROR(INDEX('2. GRI Pricing Inputs'!$C$22:$AI$23,MATCH($L$16,'2. GRI Pricing Inputs'!$C$22:$C$23,0),MATCH(E581,'2. GRI Pricing Inputs'!$C$22:$AI$22,0)),0)</f>
        <v>0</v>
      </c>
      <c r="M581" s="328">
        <f>IF(AND('3. GRI Pricing'!$F581&gt;='2. GRI Pricing Inputs'!$D$33,'3. GRI Pricing'!$F581&lt;='2. GRI Pricing Inputs'!$E$33),'2. GRI Pricing Inputs'!$D$32,IF(AND('3. GRI Pricing'!$F581&gt;='2. GRI Pricing Inputs'!$F$33,'3. GRI Pricing'!$F581&lt;='2. GRI Pricing Inputs'!$G$33),'2. GRI Pricing Inputs'!$F$32,IF(AND('3. GRI Pricing'!$F581&gt;='2. GRI Pricing Inputs'!$H$33,'3. GRI Pricing'!$F581&lt;='2. GRI Pricing Inputs'!$I$33),'2. GRI Pricing Inputs'!$H$32,IF(AND('3. GRI Pricing'!$F581&gt;='2. GRI Pricing Inputs'!$J$33,'3. GRI Pricing'!$F581&lt;='2. GRI Pricing Inputs'!$K$33),'2. GRI Pricing Inputs'!$J$32,IF(AND('3. GRI Pricing'!$F581&gt;='2. GRI Pricing Inputs'!$L$33,'3. GRI Pricing'!$F581&lt;='2. GRI Pricing Inputs'!$M$33),'2. GRI Pricing Inputs'!$L$32,IF(AND('3. GRI Pricing'!$F581&gt;='2. GRI Pricing Inputs'!$N$33,'3. GRI Pricing'!$F581&lt;='2. GRI Pricing Inputs'!$O$33),'2. GRI Pricing Inputs'!$N$32,IF(AND('3. GRI Pricing'!$F581&gt;='2. GRI Pricing Inputs'!$P$33,'3. GRI Pricing'!$F581&lt;='2. GRI Pricing Inputs'!$Q$33),'2. GRI Pricing Inputs'!$P$32,IF(AND('3. GRI Pricing'!$F581&gt;='2. GRI Pricing Inputs'!$R$33,'3. GRI Pricing'!$F581&lt;='2. GRI Pricing Inputs'!$S$33),'2. GRI Pricing Inputs'!$R$32,IF(AND('3. GRI Pricing'!$F581&gt;='2. GRI Pricing Inputs'!$T$33,'3. GRI Pricing'!$F581&lt;='2. GRI Pricing Inputs'!$U$33),'2. GRI Pricing Inputs'!$T$32,IF(AND('3. GRI Pricing'!$F581&gt;='2. GRI Pricing Inputs'!$V$33,'3. GRI Pricing'!$F581&lt;='2. GRI Pricing Inputs'!$W$33),'2. GRI Pricing Inputs'!$V$32,IF(AND('3. GRI Pricing'!$F581&gt;='2. GRI Pricing Inputs'!$X$33,'3. GRI Pricing'!$F581&lt;='2. GRI Pricing Inputs'!$Y$33),'2. GRI Pricing Inputs'!$X$32,IF(AND('3. GRI Pricing'!$F581&gt;='2. GRI Pricing Inputs'!$Z$33,'3. GRI Pricing'!$F581&lt;='2. GRI Pricing Inputs'!$AA$33),'2. GRI Pricing Inputs'!$Z$32,IF(AND('3. GRI Pricing'!$F581&gt;='2. GRI Pricing Inputs'!$AB$33,'3. GRI Pricing'!$F581&lt;='2. GRI Pricing Inputs'!$AC$33),'2. GRI Pricing Inputs'!$AB$32,IF(AND('3. GRI Pricing'!$F581&gt;='2. GRI Pricing Inputs'!$AD$33,'3. GRI Pricing'!$F581&lt;='2. GRI Pricing Inputs'!$AE$33),'2. GRI Pricing Inputs'!$AD$32,IF(AND('3. GRI Pricing'!$F581&gt;='2. GRI Pricing Inputs'!$AF$33,'3. GRI Pricing'!$F581&lt;='2. GRI Pricing Inputs'!$AG$33),'2. GRI Pricing Inputs'!$AF$32,IF(AND('3. GRI Pricing'!$F581&gt;='2. GRI Pricing Inputs'!$AH$33,'3. GRI Pricing'!$F581&lt;='2. GRI Pricing Inputs'!$AI$33),'2. GRI Pricing Inputs'!$AH$32,0))))))))))))))))</f>
        <v>0</v>
      </c>
      <c r="N581" s="273" cm="1">
        <f t="array" ref="N581">IFERROR(INDEX('2. GRI Pricing Inputs'!$C$32:$AI$39,MATCH('3. GRI Pricing'!D581,'2. GRI Pricing Inputs'!$C$32:$C$39,0),(MATCH('3. GRI Pricing'!M581,'2. GRI Pricing Inputs'!$D$32:$AI$32,0)+1)),0)</f>
        <v>0</v>
      </c>
      <c r="O581" s="273">
        <f>IFERROR(INDEX('2. GRI Pricing Inputs'!$C$45:$AI$46,MATCH($O$16,'2. GRI Pricing Inputs'!$C$45:$C$46,0),MATCH(G581,'2. GRI Pricing Inputs'!$C$45:$AI$45,0)),0)</f>
        <v>0</v>
      </c>
      <c r="P581" s="273">
        <f>IFERROR(INDEX('2. GRI Pricing Inputs'!$C$53:$AI$54,MATCH('3. GRI Pricing'!$P$16,'2. GRI Pricing Inputs'!$C$53:$C$54,0),MATCH('3. GRI Pricing'!H581,'2. GRI Pricing Inputs'!$C$53:$AI$53,0)),0)</f>
        <v>0</v>
      </c>
      <c r="Q581" s="273">
        <f>IFERROR(INDEX('2. GRI Pricing Inputs'!$C$60:$AI$61,MATCH('3. GRI Pricing'!$Q$16,'2. GRI Pricing Inputs'!$C$60:$C$61,0),MATCH('1. Accomodation'!T585,'2. GRI Pricing Inputs'!$C$60:$AI$60,0)),0)</f>
        <v>0</v>
      </c>
      <c r="R581" s="273">
        <f>IFERROR(INDEX('2. GRI Pricing Inputs'!$C$67:$AI$68,MATCH('3. GRI Pricing'!$R$16,'2. GRI Pricing Inputs'!$C$67:$C$68,0),MATCH('1. Accomodation'!U585,'2. GRI Pricing Inputs'!$C$67:$AI$67,0)),0)</f>
        <v>0</v>
      </c>
      <c r="S581" s="273">
        <f>IF(D581=0,0,'2. GRI Pricing Inputs'!$AI$75)</f>
        <v>0</v>
      </c>
      <c r="T581" s="273">
        <f>IFERROR(INDEX('2. GRI Pricing Inputs'!$C$82:$AI$83,MATCH('3. GRI Pricing'!$T$16,'2. GRI Pricing Inputs'!$C$82:$C$83,0),MATCH('1. Accomodation'!V585,'2. GRI Pricing Inputs'!$C$82:$AI$82,0)),0)</f>
        <v>0</v>
      </c>
      <c r="U581" s="273">
        <f>IFERROR(INDEX('2. GRI Pricing Inputs'!$C$89:$AI$90,MATCH('3. GRI Pricing'!$U$16,'2. GRI Pricing Inputs'!$C$89:$C$90,0),MATCH('1. Accomodation'!W585,'2. GRI Pricing Inputs'!$C$89:$AI$89,0)),0)</f>
        <v>0</v>
      </c>
      <c r="V581" s="273">
        <f>IFERROR(INDEX('2. GRI Pricing Inputs'!$C$97:$AI$98,MATCH('3. GRI Pricing'!$V$16,'2. GRI Pricing Inputs'!$C$97:$C$98,0),MATCH('1. Accomodation'!X585,'2. GRI Pricing Inputs'!$C$97:$AI$97,0)),0)</f>
        <v>0</v>
      </c>
      <c r="W581" s="273">
        <f>IFERROR(INDEX('2. GRI Pricing Inputs'!$C$104:$AI$105,MATCH('3. GRI Pricing'!$W$16,'2. GRI Pricing Inputs'!$C$104:$C$105,0),MATCH('1. Accomodation'!Y585,'2. GRI Pricing Inputs'!$C$104:$AI$104,0)),0)</f>
        <v>0</v>
      </c>
      <c r="X581" s="274"/>
      <c r="Y581" s="275">
        <f t="shared" si="15"/>
        <v>0</v>
      </c>
      <c r="Z581" s="276"/>
      <c r="AA581" s="276"/>
      <c r="AB581" s="276"/>
      <c r="AC581" s="272">
        <f>Y581*(1+'2. GRI Pricing Inputs'!$D$114)^(($AC$16-$AB$15)/365)</f>
        <v>0</v>
      </c>
      <c r="AD581" s="273">
        <f>AC581*(1+'2. GRI Pricing Inputs'!$D$114)^((AD$16-AC$16)/365)</f>
        <v>0</v>
      </c>
      <c r="AE581" s="273">
        <f>AD581*(1+'2. GRI Pricing Inputs'!$D$114)^((AE$16-AD$16)/365)</f>
        <v>0</v>
      </c>
      <c r="AF581" s="273">
        <f>AE581*(1+'2. GRI Pricing Inputs'!$D$114)^((AF$16-AE$16)/365)</f>
        <v>0</v>
      </c>
      <c r="AG581" s="273">
        <f>AF581*(1+'2. GRI Pricing Inputs'!$D$114)^((AG$16-AF$16)/365)</f>
        <v>0</v>
      </c>
      <c r="AH581" s="273">
        <f>AG581*(1+'2. GRI Pricing Inputs'!$D$114)^((AH$16-AG$16)/365)</f>
        <v>0</v>
      </c>
      <c r="AI581" s="273">
        <f>AH581*(1+'2. GRI Pricing Inputs'!$D$114)^((AI$16-AH$16)/365)</f>
        <v>0</v>
      </c>
      <c r="AJ581" s="273">
        <f>AI581*(1+'2. GRI Pricing Inputs'!$D$114)^((AJ$16-AI$16)/365)</f>
        <v>0</v>
      </c>
      <c r="AK581" s="273">
        <f>AJ581*(1+'2. GRI Pricing Inputs'!$D$114)^((AK$16-AJ$16)/365)</f>
        <v>0</v>
      </c>
      <c r="AL581" s="273">
        <f>AK581*(1+'2. GRI Pricing Inputs'!$D$114)^((AL$16-AK$16)/365)</f>
        <v>0</v>
      </c>
      <c r="AM581" s="273">
        <f>AL581*(1+'2. GRI Pricing Inputs'!$D$114)^((AM$16-AL$16)/365)</f>
        <v>0</v>
      </c>
      <c r="AN581" s="273">
        <f>AM581*(1+'2. GRI Pricing Inputs'!$D$114)^((AN$16-AM$16)/365)</f>
        <v>0</v>
      </c>
      <c r="AO581" s="273">
        <f>AN581*(1+'2. GRI Pricing Inputs'!$D$114)^((AO$16-AN$16)/365)</f>
        <v>0</v>
      </c>
    </row>
    <row r="582" spans="3:41" ht="12" x14ac:dyDescent="0.2">
      <c r="C582" s="76">
        <f>'1. Accomodation'!N586</f>
        <v>0</v>
      </c>
      <c r="D582" s="69">
        <f>'1. Accomodation'!P586</f>
        <v>0</v>
      </c>
      <c r="E582" s="69">
        <f>'1. Accomodation'!Q586</f>
        <v>0</v>
      </c>
      <c r="F582" s="77">
        <f>'1. Accomodation'!O586</f>
        <v>0</v>
      </c>
      <c r="G582" s="69">
        <f>'1. Accomodation'!R586</f>
        <v>0</v>
      </c>
      <c r="H582" s="69">
        <f>'1. Accomodation'!S586</f>
        <v>0</v>
      </c>
      <c r="I582" s="62"/>
      <c r="K582" s="272">
        <f>IFERROR(INDEX('2. GRI Pricing Inputs'!$C$15:$AI$16,MATCH($K$16,'2. GRI Pricing Inputs'!$C$15:$C$16,0),MATCH(D582,'2. GRI Pricing Inputs'!$C$15:$AI$15,0)),0)</f>
        <v>0</v>
      </c>
      <c r="L582" s="273">
        <f>IFERROR(INDEX('2. GRI Pricing Inputs'!$C$22:$AI$23,MATCH($L$16,'2. GRI Pricing Inputs'!$C$22:$C$23,0),MATCH(E582,'2. GRI Pricing Inputs'!$C$22:$AI$22,0)),0)</f>
        <v>0</v>
      </c>
      <c r="M582" s="328">
        <f>IF(AND('3. GRI Pricing'!$F582&gt;='2. GRI Pricing Inputs'!$D$33,'3. GRI Pricing'!$F582&lt;='2. GRI Pricing Inputs'!$E$33),'2. GRI Pricing Inputs'!$D$32,IF(AND('3. GRI Pricing'!$F582&gt;='2. GRI Pricing Inputs'!$F$33,'3. GRI Pricing'!$F582&lt;='2. GRI Pricing Inputs'!$G$33),'2. GRI Pricing Inputs'!$F$32,IF(AND('3. GRI Pricing'!$F582&gt;='2. GRI Pricing Inputs'!$H$33,'3. GRI Pricing'!$F582&lt;='2. GRI Pricing Inputs'!$I$33),'2. GRI Pricing Inputs'!$H$32,IF(AND('3. GRI Pricing'!$F582&gt;='2. GRI Pricing Inputs'!$J$33,'3. GRI Pricing'!$F582&lt;='2. GRI Pricing Inputs'!$K$33),'2. GRI Pricing Inputs'!$J$32,IF(AND('3. GRI Pricing'!$F582&gt;='2. GRI Pricing Inputs'!$L$33,'3. GRI Pricing'!$F582&lt;='2. GRI Pricing Inputs'!$M$33),'2. GRI Pricing Inputs'!$L$32,IF(AND('3. GRI Pricing'!$F582&gt;='2. GRI Pricing Inputs'!$N$33,'3. GRI Pricing'!$F582&lt;='2. GRI Pricing Inputs'!$O$33),'2. GRI Pricing Inputs'!$N$32,IF(AND('3. GRI Pricing'!$F582&gt;='2. GRI Pricing Inputs'!$P$33,'3. GRI Pricing'!$F582&lt;='2. GRI Pricing Inputs'!$Q$33),'2. GRI Pricing Inputs'!$P$32,IF(AND('3. GRI Pricing'!$F582&gt;='2. GRI Pricing Inputs'!$R$33,'3. GRI Pricing'!$F582&lt;='2. GRI Pricing Inputs'!$S$33),'2. GRI Pricing Inputs'!$R$32,IF(AND('3. GRI Pricing'!$F582&gt;='2. GRI Pricing Inputs'!$T$33,'3. GRI Pricing'!$F582&lt;='2. GRI Pricing Inputs'!$U$33),'2. GRI Pricing Inputs'!$T$32,IF(AND('3. GRI Pricing'!$F582&gt;='2. GRI Pricing Inputs'!$V$33,'3. GRI Pricing'!$F582&lt;='2. GRI Pricing Inputs'!$W$33),'2. GRI Pricing Inputs'!$V$32,IF(AND('3. GRI Pricing'!$F582&gt;='2. GRI Pricing Inputs'!$X$33,'3. GRI Pricing'!$F582&lt;='2. GRI Pricing Inputs'!$Y$33),'2. GRI Pricing Inputs'!$X$32,IF(AND('3. GRI Pricing'!$F582&gt;='2. GRI Pricing Inputs'!$Z$33,'3. GRI Pricing'!$F582&lt;='2. GRI Pricing Inputs'!$AA$33),'2. GRI Pricing Inputs'!$Z$32,IF(AND('3. GRI Pricing'!$F582&gt;='2. GRI Pricing Inputs'!$AB$33,'3. GRI Pricing'!$F582&lt;='2. GRI Pricing Inputs'!$AC$33),'2. GRI Pricing Inputs'!$AB$32,IF(AND('3. GRI Pricing'!$F582&gt;='2. GRI Pricing Inputs'!$AD$33,'3. GRI Pricing'!$F582&lt;='2. GRI Pricing Inputs'!$AE$33),'2. GRI Pricing Inputs'!$AD$32,IF(AND('3. GRI Pricing'!$F582&gt;='2. GRI Pricing Inputs'!$AF$33,'3. GRI Pricing'!$F582&lt;='2. GRI Pricing Inputs'!$AG$33),'2. GRI Pricing Inputs'!$AF$32,IF(AND('3. GRI Pricing'!$F582&gt;='2. GRI Pricing Inputs'!$AH$33,'3. GRI Pricing'!$F582&lt;='2. GRI Pricing Inputs'!$AI$33),'2. GRI Pricing Inputs'!$AH$32,0))))))))))))))))</f>
        <v>0</v>
      </c>
      <c r="N582" s="273" cm="1">
        <f t="array" ref="N582">IFERROR(INDEX('2. GRI Pricing Inputs'!$C$32:$AI$39,MATCH('3. GRI Pricing'!D582,'2. GRI Pricing Inputs'!$C$32:$C$39,0),(MATCH('3. GRI Pricing'!M582,'2. GRI Pricing Inputs'!$D$32:$AI$32,0)+1)),0)</f>
        <v>0</v>
      </c>
      <c r="O582" s="273">
        <f>IFERROR(INDEX('2. GRI Pricing Inputs'!$C$45:$AI$46,MATCH($O$16,'2. GRI Pricing Inputs'!$C$45:$C$46,0),MATCH(G582,'2. GRI Pricing Inputs'!$C$45:$AI$45,0)),0)</f>
        <v>0</v>
      </c>
      <c r="P582" s="273">
        <f>IFERROR(INDEX('2. GRI Pricing Inputs'!$C$53:$AI$54,MATCH('3. GRI Pricing'!$P$16,'2. GRI Pricing Inputs'!$C$53:$C$54,0),MATCH('3. GRI Pricing'!H582,'2. GRI Pricing Inputs'!$C$53:$AI$53,0)),0)</f>
        <v>0</v>
      </c>
      <c r="Q582" s="273">
        <f>IFERROR(INDEX('2. GRI Pricing Inputs'!$C$60:$AI$61,MATCH('3. GRI Pricing'!$Q$16,'2. GRI Pricing Inputs'!$C$60:$C$61,0),MATCH('1. Accomodation'!T586,'2. GRI Pricing Inputs'!$C$60:$AI$60,0)),0)</f>
        <v>0</v>
      </c>
      <c r="R582" s="273">
        <f>IFERROR(INDEX('2. GRI Pricing Inputs'!$C$67:$AI$68,MATCH('3. GRI Pricing'!$R$16,'2. GRI Pricing Inputs'!$C$67:$C$68,0),MATCH('1. Accomodation'!U586,'2. GRI Pricing Inputs'!$C$67:$AI$67,0)),0)</f>
        <v>0</v>
      </c>
      <c r="S582" s="273">
        <f>IF(D582=0,0,'2. GRI Pricing Inputs'!$AI$75)</f>
        <v>0</v>
      </c>
      <c r="T582" s="273">
        <f>IFERROR(INDEX('2. GRI Pricing Inputs'!$C$82:$AI$83,MATCH('3. GRI Pricing'!$T$16,'2. GRI Pricing Inputs'!$C$82:$C$83,0),MATCH('1. Accomodation'!V586,'2. GRI Pricing Inputs'!$C$82:$AI$82,0)),0)</f>
        <v>0</v>
      </c>
      <c r="U582" s="273">
        <f>IFERROR(INDEX('2. GRI Pricing Inputs'!$C$89:$AI$90,MATCH('3. GRI Pricing'!$U$16,'2. GRI Pricing Inputs'!$C$89:$C$90,0),MATCH('1. Accomodation'!W586,'2. GRI Pricing Inputs'!$C$89:$AI$89,0)),0)</f>
        <v>0</v>
      </c>
      <c r="V582" s="273">
        <f>IFERROR(INDEX('2. GRI Pricing Inputs'!$C$97:$AI$98,MATCH('3. GRI Pricing'!$V$16,'2. GRI Pricing Inputs'!$C$97:$C$98,0),MATCH('1. Accomodation'!X586,'2. GRI Pricing Inputs'!$C$97:$AI$97,0)),0)</f>
        <v>0</v>
      </c>
      <c r="W582" s="273">
        <f>IFERROR(INDEX('2. GRI Pricing Inputs'!$C$104:$AI$105,MATCH('3. GRI Pricing'!$W$16,'2. GRI Pricing Inputs'!$C$104:$C$105,0),MATCH('1. Accomodation'!Y586,'2. GRI Pricing Inputs'!$C$104:$AI$104,0)),0)</f>
        <v>0</v>
      </c>
      <c r="X582" s="274"/>
      <c r="Y582" s="275">
        <f t="shared" si="15"/>
        <v>0</v>
      </c>
      <c r="Z582" s="276"/>
      <c r="AA582" s="276"/>
      <c r="AB582" s="276"/>
      <c r="AC582" s="272">
        <f>Y582*(1+'2. GRI Pricing Inputs'!$D$114)^(($AC$16-$AB$15)/365)</f>
        <v>0</v>
      </c>
      <c r="AD582" s="273">
        <f>AC582*(1+'2. GRI Pricing Inputs'!$D$114)^((AD$16-AC$16)/365)</f>
        <v>0</v>
      </c>
      <c r="AE582" s="273">
        <f>AD582*(1+'2. GRI Pricing Inputs'!$D$114)^((AE$16-AD$16)/365)</f>
        <v>0</v>
      </c>
      <c r="AF582" s="273">
        <f>AE582*(1+'2. GRI Pricing Inputs'!$D$114)^((AF$16-AE$16)/365)</f>
        <v>0</v>
      </c>
      <c r="AG582" s="273">
        <f>AF582*(1+'2. GRI Pricing Inputs'!$D$114)^((AG$16-AF$16)/365)</f>
        <v>0</v>
      </c>
      <c r="AH582" s="273">
        <f>AG582*(1+'2. GRI Pricing Inputs'!$D$114)^((AH$16-AG$16)/365)</f>
        <v>0</v>
      </c>
      <c r="AI582" s="273">
        <f>AH582*(1+'2. GRI Pricing Inputs'!$D$114)^((AI$16-AH$16)/365)</f>
        <v>0</v>
      </c>
      <c r="AJ582" s="273">
        <f>AI582*(1+'2. GRI Pricing Inputs'!$D$114)^((AJ$16-AI$16)/365)</f>
        <v>0</v>
      </c>
      <c r="AK582" s="273">
        <f>AJ582*(1+'2. GRI Pricing Inputs'!$D$114)^((AK$16-AJ$16)/365)</f>
        <v>0</v>
      </c>
      <c r="AL582" s="273">
        <f>AK582*(1+'2. GRI Pricing Inputs'!$D$114)^((AL$16-AK$16)/365)</f>
        <v>0</v>
      </c>
      <c r="AM582" s="273">
        <f>AL582*(1+'2. GRI Pricing Inputs'!$D$114)^((AM$16-AL$16)/365)</f>
        <v>0</v>
      </c>
      <c r="AN582" s="273">
        <f>AM582*(1+'2. GRI Pricing Inputs'!$D$114)^((AN$16-AM$16)/365)</f>
        <v>0</v>
      </c>
      <c r="AO582" s="273">
        <f>AN582*(1+'2. GRI Pricing Inputs'!$D$114)^((AO$16-AN$16)/365)</f>
        <v>0</v>
      </c>
    </row>
    <row r="583" spans="3:41" ht="12" x14ac:dyDescent="0.2">
      <c r="C583" s="76">
        <f>'1. Accomodation'!N587</f>
        <v>0</v>
      </c>
      <c r="D583" s="69">
        <f>'1. Accomodation'!P587</f>
        <v>0</v>
      </c>
      <c r="E583" s="69">
        <f>'1. Accomodation'!Q587</f>
        <v>0</v>
      </c>
      <c r="F583" s="77">
        <f>'1. Accomodation'!O587</f>
        <v>0</v>
      </c>
      <c r="G583" s="69">
        <f>'1. Accomodation'!R587</f>
        <v>0</v>
      </c>
      <c r="H583" s="69">
        <f>'1. Accomodation'!S587</f>
        <v>0</v>
      </c>
      <c r="I583" s="62"/>
      <c r="K583" s="272">
        <f>IFERROR(INDEX('2. GRI Pricing Inputs'!$C$15:$AI$16,MATCH($K$16,'2. GRI Pricing Inputs'!$C$15:$C$16,0),MATCH(D583,'2. GRI Pricing Inputs'!$C$15:$AI$15,0)),0)</f>
        <v>0</v>
      </c>
      <c r="L583" s="273">
        <f>IFERROR(INDEX('2. GRI Pricing Inputs'!$C$22:$AI$23,MATCH($L$16,'2. GRI Pricing Inputs'!$C$22:$C$23,0),MATCH(E583,'2. GRI Pricing Inputs'!$C$22:$AI$22,0)),0)</f>
        <v>0</v>
      </c>
      <c r="M583" s="328">
        <f>IF(AND('3. GRI Pricing'!$F583&gt;='2. GRI Pricing Inputs'!$D$33,'3. GRI Pricing'!$F583&lt;='2. GRI Pricing Inputs'!$E$33),'2. GRI Pricing Inputs'!$D$32,IF(AND('3. GRI Pricing'!$F583&gt;='2. GRI Pricing Inputs'!$F$33,'3. GRI Pricing'!$F583&lt;='2. GRI Pricing Inputs'!$G$33),'2. GRI Pricing Inputs'!$F$32,IF(AND('3. GRI Pricing'!$F583&gt;='2. GRI Pricing Inputs'!$H$33,'3. GRI Pricing'!$F583&lt;='2. GRI Pricing Inputs'!$I$33),'2. GRI Pricing Inputs'!$H$32,IF(AND('3. GRI Pricing'!$F583&gt;='2. GRI Pricing Inputs'!$J$33,'3. GRI Pricing'!$F583&lt;='2. GRI Pricing Inputs'!$K$33),'2. GRI Pricing Inputs'!$J$32,IF(AND('3. GRI Pricing'!$F583&gt;='2. GRI Pricing Inputs'!$L$33,'3. GRI Pricing'!$F583&lt;='2. GRI Pricing Inputs'!$M$33),'2. GRI Pricing Inputs'!$L$32,IF(AND('3. GRI Pricing'!$F583&gt;='2. GRI Pricing Inputs'!$N$33,'3. GRI Pricing'!$F583&lt;='2. GRI Pricing Inputs'!$O$33),'2. GRI Pricing Inputs'!$N$32,IF(AND('3. GRI Pricing'!$F583&gt;='2. GRI Pricing Inputs'!$P$33,'3. GRI Pricing'!$F583&lt;='2. GRI Pricing Inputs'!$Q$33),'2. GRI Pricing Inputs'!$P$32,IF(AND('3. GRI Pricing'!$F583&gt;='2. GRI Pricing Inputs'!$R$33,'3. GRI Pricing'!$F583&lt;='2. GRI Pricing Inputs'!$S$33),'2. GRI Pricing Inputs'!$R$32,IF(AND('3. GRI Pricing'!$F583&gt;='2. GRI Pricing Inputs'!$T$33,'3. GRI Pricing'!$F583&lt;='2. GRI Pricing Inputs'!$U$33),'2. GRI Pricing Inputs'!$T$32,IF(AND('3. GRI Pricing'!$F583&gt;='2. GRI Pricing Inputs'!$V$33,'3. GRI Pricing'!$F583&lt;='2. GRI Pricing Inputs'!$W$33),'2. GRI Pricing Inputs'!$V$32,IF(AND('3. GRI Pricing'!$F583&gt;='2. GRI Pricing Inputs'!$X$33,'3. GRI Pricing'!$F583&lt;='2. GRI Pricing Inputs'!$Y$33),'2. GRI Pricing Inputs'!$X$32,IF(AND('3. GRI Pricing'!$F583&gt;='2. GRI Pricing Inputs'!$Z$33,'3. GRI Pricing'!$F583&lt;='2. GRI Pricing Inputs'!$AA$33),'2. GRI Pricing Inputs'!$Z$32,IF(AND('3. GRI Pricing'!$F583&gt;='2. GRI Pricing Inputs'!$AB$33,'3. GRI Pricing'!$F583&lt;='2. GRI Pricing Inputs'!$AC$33),'2. GRI Pricing Inputs'!$AB$32,IF(AND('3. GRI Pricing'!$F583&gt;='2. GRI Pricing Inputs'!$AD$33,'3. GRI Pricing'!$F583&lt;='2. GRI Pricing Inputs'!$AE$33),'2. GRI Pricing Inputs'!$AD$32,IF(AND('3. GRI Pricing'!$F583&gt;='2. GRI Pricing Inputs'!$AF$33,'3. GRI Pricing'!$F583&lt;='2. GRI Pricing Inputs'!$AG$33),'2. GRI Pricing Inputs'!$AF$32,IF(AND('3. GRI Pricing'!$F583&gt;='2. GRI Pricing Inputs'!$AH$33,'3. GRI Pricing'!$F583&lt;='2. GRI Pricing Inputs'!$AI$33),'2. GRI Pricing Inputs'!$AH$32,0))))))))))))))))</f>
        <v>0</v>
      </c>
      <c r="N583" s="273" cm="1">
        <f t="array" ref="N583">IFERROR(INDEX('2. GRI Pricing Inputs'!$C$32:$AI$39,MATCH('3. GRI Pricing'!D583,'2. GRI Pricing Inputs'!$C$32:$C$39,0),(MATCH('3. GRI Pricing'!M583,'2. GRI Pricing Inputs'!$D$32:$AI$32,0)+1)),0)</f>
        <v>0</v>
      </c>
      <c r="O583" s="273">
        <f>IFERROR(INDEX('2. GRI Pricing Inputs'!$C$45:$AI$46,MATCH($O$16,'2. GRI Pricing Inputs'!$C$45:$C$46,0),MATCH(G583,'2. GRI Pricing Inputs'!$C$45:$AI$45,0)),0)</f>
        <v>0</v>
      </c>
      <c r="P583" s="273">
        <f>IFERROR(INDEX('2. GRI Pricing Inputs'!$C$53:$AI$54,MATCH('3. GRI Pricing'!$P$16,'2. GRI Pricing Inputs'!$C$53:$C$54,0),MATCH('3. GRI Pricing'!H583,'2. GRI Pricing Inputs'!$C$53:$AI$53,0)),0)</f>
        <v>0</v>
      </c>
      <c r="Q583" s="273">
        <f>IFERROR(INDEX('2. GRI Pricing Inputs'!$C$60:$AI$61,MATCH('3. GRI Pricing'!$Q$16,'2. GRI Pricing Inputs'!$C$60:$C$61,0),MATCH('1. Accomodation'!T587,'2. GRI Pricing Inputs'!$C$60:$AI$60,0)),0)</f>
        <v>0</v>
      </c>
      <c r="R583" s="273">
        <f>IFERROR(INDEX('2. GRI Pricing Inputs'!$C$67:$AI$68,MATCH('3. GRI Pricing'!$R$16,'2. GRI Pricing Inputs'!$C$67:$C$68,0),MATCH('1. Accomodation'!U587,'2. GRI Pricing Inputs'!$C$67:$AI$67,0)),0)</f>
        <v>0</v>
      </c>
      <c r="S583" s="273">
        <f>IF(D583=0,0,'2. GRI Pricing Inputs'!$AI$75)</f>
        <v>0</v>
      </c>
      <c r="T583" s="273">
        <f>IFERROR(INDEX('2. GRI Pricing Inputs'!$C$82:$AI$83,MATCH('3. GRI Pricing'!$T$16,'2. GRI Pricing Inputs'!$C$82:$C$83,0),MATCH('1. Accomodation'!V587,'2. GRI Pricing Inputs'!$C$82:$AI$82,0)),0)</f>
        <v>0</v>
      </c>
      <c r="U583" s="273">
        <f>IFERROR(INDEX('2. GRI Pricing Inputs'!$C$89:$AI$90,MATCH('3. GRI Pricing'!$U$16,'2. GRI Pricing Inputs'!$C$89:$C$90,0),MATCH('1. Accomodation'!W587,'2. GRI Pricing Inputs'!$C$89:$AI$89,0)),0)</f>
        <v>0</v>
      </c>
      <c r="V583" s="273">
        <f>IFERROR(INDEX('2. GRI Pricing Inputs'!$C$97:$AI$98,MATCH('3. GRI Pricing'!$V$16,'2. GRI Pricing Inputs'!$C$97:$C$98,0),MATCH('1. Accomodation'!X587,'2. GRI Pricing Inputs'!$C$97:$AI$97,0)),0)</f>
        <v>0</v>
      </c>
      <c r="W583" s="273">
        <f>IFERROR(INDEX('2. GRI Pricing Inputs'!$C$104:$AI$105,MATCH('3. GRI Pricing'!$W$16,'2. GRI Pricing Inputs'!$C$104:$C$105,0),MATCH('1. Accomodation'!Y587,'2. GRI Pricing Inputs'!$C$104:$AI$104,0)),0)</f>
        <v>0</v>
      </c>
      <c r="X583" s="274"/>
      <c r="Y583" s="275">
        <f t="shared" si="15"/>
        <v>0</v>
      </c>
      <c r="Z583" s="276"/>
      <c r="AA583" s="276"/>
      <c r="AB583" s="276"/>
      <c r="AC583" s="272">
        <f>Y583*(1+'2. GRI Pricing Inputs'!$D$114)^(($AC$16-$AB$15)/365)</f>
        <v>0</v>
      </c>
      <c r="AD583" s="273">
        <f>AC583*(1+'2. GRI Pricing Inputs'!$D$114)^((AD$16-AC$16)/365)</f>
        <v>0</v>
      </c>
      <c r="AE583" s="273">
        <f>AD583*(1+'2. GRI Pricing Inputs'!$D$114)^((AE$16-AD$16)/365)</f>
        <v>0</v>
      </c>
      <c r="AF583" s="273">
        <f>AE583*(1+'2. GRI Pricing Inputs'!$D$114)^((AF$16-AE$16)/365)</f>
        <v>0</v>
      </c>
      <c r="AG583" s="273">
        <f>AF583*(1+'2. GRI Pricing Inputs'!$D$114)^((AG$16-AF$16)/365)</f>
        <v>0</v>
      </c>
      <c r="AH583" s="273">
        <f>AG583*(1+'2. GRI Pricing Inputs'!$D$114)^((AH$16-AG$16)/365)</f>
        <v>0</v>
      </c>
      <c r="AI583" s="273">
        <f>AH583*(1+'2. GRI Pricing Inputs'!$D$114)^((AI$16-AH$16)/365)</f>
        <v>0</v>
      </c>
      <c r="AJ583" s="273">
        <f>AI583*(1+'2. GRI Pricing Inputs'!$D$114)^((AJ$16-AI$16)/365)</f>
        <v>0</v>
      </c>
      <c r="AK583" s="273">
        <f>AJ583*(1+'2. GRI Pricing Inputs'!$D$114)^((AK$16-AJ$16)/365)</f>
        <v>0</v>
      </c>
      <c r="AL583" s="273">
        <f>AK583*(1+'2. GRI Pricing Inputs'!$D$114)^((AL$16-AK$16)/365)</f>
        <v>0</v>
      </c>
      <c r="AM583" s="273">
        <f>AL583*(1+'2. GRI Pricing Inputs'!$D$114)^((AM$16-AL$16)/365)</f>
        <v>0</v>
      </c>
      <c r="AN583" s="273">
        <f>AM583*(1+'2. GRI Pricing Inputs'!$D$114)^((AN$16-AM$16)/365)</f>
        <v>0</v>
      </c>
      <c r="AO583" s="273">
        <f>AN583*(1+'2. GRI Pricing Inputs'!$D$114)^((AO$16-AN$16)/365)</f>
        <v>0</v>
      </c>
    </row>
    <row r="584" spans="3:41" ht="12" x14ac:dyDescent="0.2">
      <c r="C584" s="76">
        <f>'1. Accomodation'!N588</f>
        <v>0</v>
      </c>
      <c r="D584" s="69">
        <f>'1. Accomodation'!P588</f>
        <v>0</v>
      </c>
      <c r="E584" s="69">
        <f>'1. Accomodation'!Q588</f>
        <v>0</v>
      </c>
      <c r="F584" s="77">
        <f>'1. Accomodation'!O588</f>
        <v>0</v>
      </c>
      <c r="G584" s="69">
        <f>'1. Accomodation'!R588</f>
        <v>0</v>
      </c>
      <c r="H584" s="69">
        <f>'1. Accomodation'!S588</f>
        <v>0</v>
      </c>
      <c r="I584" s="62"/>
      <c r="K584" s="272">
        <f>IFERROR(INDEX('2. GRI Pricing Inputs'!$C$15:$AI$16,MATCH($K$16,'2. GRI Pricing Inputs'!$C$15:$C$16,0),MATCH(D584,'2. GRI Pricing Inputs'!$C$15:$AI$15,0)),0)</f>
        <v>0</v>
      </c>
      <c r="L584" s="273">
        <f>IFERROR(INDEX('2. GRI Pricing Inputs'!$C$22:$AI$23,MATCH($L$16,'2. GRI Pricing Inputs'!$C$22:$C$23,0),MATCH(E584,'2. GRI Pricing Inputs'!$C$22:$AI$22,0)),0)</f>
        <v>0</v>
      </c>
      <c r="M584" s="328">
        <f>IF(AND('3. GRI Pricing'!$F584&gt;='2. GRI Pricing Inputs'!$D$33,'3. GRI Pricing'!$F584&lt;='2. GRI Pricing Inputs'!$E$33),'2. GRI Pricing Inputs'!$D$32,IF(AND('3. GRI Pricing'!$F584&gt;='2. GRI Pricing Inputs'!$F$33,'3. GRI Pricing'!$F584&lt;='2. GRI Pricing Inputs'!$G$33),'2. GRI Pricing Inputs'!$F$32,IF(AND('3. GRI Pricing'!$F584&gt;='2. GRI Pricing Inputs'!$H$33,'3. GRI Pricing'!$F584&lt;='2. GRI Pricing Inputs'!$I$33),'2. GRI Pricing Inputs'!$H$32,IF(AND('3. GRI Pricing'!$F584&gt;='2. GRI Pricing Inputs'!$J$33,'3. GRI Pricing'!$F584&lt;='2. GRI Pricing Inputs'!$K$33),'2. GRI Pricing Inputs'!$J$32,IF(AND('3. GRI Pricing'!$F584&gt;='2. GRI Pricing Inputs'!$L$33,'3. GRI Pricing'!$F584&lt;='2. GRI Pricing Inputs'!$M$33),'2. GRI Pricing Inputs'!$L$32,IF(AND('3. GRI Pricing'!$F584&gt;='2. GRI Pricing Inputs'!$N$33,'3. GRI Pricing'!$F584&lt;='2. GRI Pricing Inputs'!$O$33),'2. GRI Pricing Inputs'!$N$32,IF(AND('3. GRI Pricing'!$F584&gt;='2. GRI Pricing Inputs'!$P$33,'3. GRI Pricing'!$F584&lt;='2. GRI Pricing Inputs'!$Q$33),'2. GRI Pricing Inputs'!$P$32,IF(AND('3. GRI Pricing'!$F584&gt;='2. GRI Pricing Inputs'!$R$33,'3. GRI Pricing'!$F584&lt;='2. GRI Pricing Inputs'!$S$33),'2. GRI Pricing Inputs'!$R$32,IF(AND('3. GRI Pricing'!$F584&gt;='2. GRI Pricing Inputs'!$T$33,'3. GRI Pricing'!$F584&lt;='2. GRI Pricing Inputs'!$U$33),'2. GRI Pricing Inputs'!$T$32,IF(AND('3. GRI Pricing'!$F584&gt;='2. GRI Pricing Inputs'!$V$33,'3. GRI Pricing'!$F584&lt;='2. GRI Pricing Inputs'!$W$33),'2. GRI Pricing Inputs'!$V$32,IF(AND('3. GRI Pricing'!$F584&gt;='2. GRI Pricing Inputs'!$X$33,'3. GRI Pricing'!$F584&lt;='2. GRI Pricing Inputs'!$Y$33),'2. GRI Pricing Inputs'!$X$32,IF(AND('3. GRI Pricing'!$F584&gt;='2. GRI Pricing Inputs'!$Z$33,'3. GRI Pricing'!$F584&lt;='2. GRI Pricing Inputs'!$AA$33),'2. GRI Pricing Inputs'!$Z$32,IF(AND('3. GRI Pricing'!$F584&gt;='2. GRI Pricing Inputs'!$AB$33,'3. GRI Pricing'!$F584&lt;='2. GRI Pricing Inputs'!$AC$33),'2. GRI Pricing Inputs'!$AB$32,IF(AND('3. GRI Pricing'!$F584&gt;='2. GRI Pricing Inputs'!$AD$33,'3. GRI Pricing'!$F584&lt;='2. GRI Pricing Inputs'!$AE$33),'2. GRI Pricing Inputs'!$AD$32,IF(AND('3. GRI Pricing'!$F584&gt;='2. GRI Pricing Inputs'!$AF$33,'3. GRI Pricing'!$F584&lt;='2. GRI Pricing Inputs'!$AG$33),'2. GRI Pricing Inputs'!$AF$32,IF(AND('3. GRI Pricing'!$F584&gt;='2. GRI Pricing Inputs'!$AH$33,'3. GRI Pricing'!$F584&lt;='2. GRI Pricing Inputs'!$AI$33),'2. GRI Pricing Inputs'!$AH$32,0))))))))))))))))</f>
        <v>0</v>
      </c>
      <c r="N584" s="273" cm="1">
        <f t="array" ref="N584">IFERROR(INDEX('2. GRI Pricing Inputs'!$C$32:$AI$39,MATCH('3. GRI Pricing'!D584,'2. GRI Pricing Inputs'!$C$32:$C$39,0),(MATCH('3. GRI Pricing'!M584,'2. GRI Pricing Inputs'!$D$32:$AI$32,0)+1)),0)</f>
        <v>0</v>
      </c>
      <c r="O584" s="273">
        <f>IFERROR(INDEX('2. GRI Pricing Inputs'!$C$45:$AI$46,MATCH($O$16,'2. GRI Pricing Inputs'!$C$45:$C$46,0),MATCH(G584,'2. GRI Pricing Inputs'!$C$45:$AI$45,0)),0)</f>
        <v>0</v>
      </c>
      <c r="P584" s="273">
        <f>IFERROR(INDEX('2. GRI Pricing Inputs'!$C$53:$AI$54,MATCH('3. GRI Pricing'!$P$16,'2. GRI Pricing Inputs'!$C$53:$C$54,0),MATCH('3. GRI Pricing'!H584,'2. GRI Pricing Inputs'!$C$53:$AI$53,0)),0)</f>
        <v>0</v>
      </c>
      <c r="Q584" s="273">
        <f>IFERROR(INDEX('2. GRI Pricing Inputs'!$C$60:$AI$61,MATCH('3. GRI Pricing'!$Q$16,'2. GRI Pricing Inputs'!$C$60:$C$61,0),MATCH('1. Accomodation'!T588,'2. GRI Pricing Inputs'!$C$60:$AI$60,0)),0)</f>
        <v>0</v>
      </c>
      <c r="R584" s="273">
        <f>IFERROR(INDEX('2. GRI Pricing Inputs'!$C$67:$AI$68,MATCH('3. GRI Pricing'!$R$16,'2. GRI Pricing Inputs'!$C$67:$C$68,0),MATCH('1. Accomodation'!U588,'2. GRI Pricing Inputs'!$C$67:$AI$67,0)),0)</f>
        <v>0</v>
      </c>
      <c r="S584" s="273">
        <f>IF(D584=0,0,'2. GRI Pricing Inputs'!$AI$75)</f>
        <v>0</v>
      </c>
      <c r="T584" s="273">
        <f>IFERROR(INDEX('2. GRI Pricing Inputs'!$C$82:$AI$83,MATCH('3. GRI Pricing'!$T$16,'2. GRI Pricing Inputs'!$C$82:$C$83,0),MATCH('1. Accomodation'!V588,'2. GRI Pricing Inputs'!$C$82:$AI$82,0)),0)</f>
        <v>0</v>
      </c>
      <c r="U584" s="273">
        <f>IFERROR(INDEX('2. GRI Pricing Inputs'!$C$89:$AI$90,MATCH('3. GRI Pricing'!$U$16,'2. GRI Pricing Inputs'!$C$89:$C$90,0),MATCH('1. Accomodation'!W588,'2. GRI Pricing Inputs'!$C$89:$AI$89,0)),0)</f>
        <v>0</v>
      </c>
      <c r="V584" s="273">
        <f>IFERROR(INDEX('2. GRI Pricing Inputs'!$C$97:$AI$98,MATCH('3. GRI Pricing'!$V$16,'2. GRI Pricing Inputs'!$C$97:$C$98,0),MATCH('1. Accomodation'!X588,'2. GRI Pricing Inputs'!$C$97:$AI$97,0)),0)</f>
        <v>0</v>
      </c>
      <c r="W584" s="273">
        <f>IFERROR(INDEX('2. GRI Pricing Inputs'!$C$104:$AI$105,MATCH('3. GRI Pricing'!$W$16,'2. GRI Pricing Inputs'!$C$104:$C$105,0),MATCH('1. Accomodation'!Y588,'2. GRI Pricing Inputs'!$C$104:$AI$104,0)),0)</f>
        <v>0</v>
      </c>
      <c r="X584" s="274"/>
      <c r="Y584" s="275">
        <f t="shared" si="15"/>
        <v>0</v>
      </c>
      <c r="Z584" s="276"/>
      <c r="AA584" s="276"/>
      <c r="AB584" s="276"/>
      <c r="AC584" s="272">
        <f>Y584*(1+'2. GRI Pricing Inputs'!$D$114)^(($AC$16-$AB$15)/365)</f>
        <v>0</v>
      </c>
      <c r="AD584" s="273">
        <f>AC584*(1+'2. GRI Pricing Inputs'!$D$114)^((AD$16-AC$16)/365)</f>
        <v>0</v>
      </c>
      <c r="AE584" s="273">
        <f>AD584*(1+'2. GRI Pricing Inputs'!$D$114)^((AE$16-AD$16)/365)</f>
        <v>0</v>
      </c>
      <c r="AF584" s="273">
        <f>AE584*(1+'2. GRI Pricing Inputs'!$D$114)^((AF$16-AE$16)/365)</f>
        <v>0</v>
      </c>
      <c r="AG584" s="273">
        <f>AF584*(1+'2. GRI Pricing Inputs'!$D$114)^((AG$16-AF$16)/365)</f>
        <v>0</v>
      </c>
      <c r="AH584" s="273">
        <f>AG584*(1+'2. GRI Pricing Inputs'!$D$114)^((AH$16-AG$16)/365)</f>
        <v>0</v>
      </c>
      <c r="AI584" s="273">
        <f>AH584*(1+'2. GRI Pricing Inputs'!$D$114)^((AI$16-AH$16)/365)</f>
        <v>0</v>
      </c>
      <c r="AJ584" s="273">
        <f>AI584*(1+'2. GRI Pricing Inputs'!$D$114)^((AJ$16-AI$16)/365)</f>
        <v>0</v>
      </c>
      <c r="AK584" s="273">
        <f>AJ584*(1+'2. GRI Pricing Inputs'!$D$114)^((AK$16-AJ$16)/365)</f>
        <v>0</v>
      </c>
      <c r="AL584" s="273">
        <f>AK584*(1+'2. GRI Pricing Inputs'!$D$114)^((AL$16-AK$16)/365)</f>
        <v>0</v>
      </c>
      <c r="AM584" s="273">
        <f>AL584*(1+'2. GRI Pricing Inputs'!$D$114)^((AM$16-AL$16)/365)</f>
        <v>0</v>
      </c>
      <c r="AN584" s="273">
        <f>AM584*(1+'2. GRI Pricing Inputs'!$D$114)^((AN$16-AM$16)/365)</f>
        <v>0</v>
      </c>
      <c r="AO584" s="273">
        <f>AN584*(1+'2. GRI Pricing Inputs'!$D$114)^((AO$16-AN$16)/365)</f>
        <v>0</v>
      </c>
    </row>
    <row r="585" spans="3:41" ht="12" x14ac:dyDescent="0.2">
      <c r="C585" s="76">
        <f>'1. Accomodation'!N589</f>
        <v>0</v>
      </c>
      <c r="D585" s="69">
        <f>'1. Accomodation'!P589</f>
        <v>0</v>
      </c>
      <c r="E585" s="69">
        <f>'1. Accomodation'!Q589</f>
        <v>0</v>
      </c>
      <c r="F585" s="77">
        <f>'1. Accomodation'!O589</f>
        <v>0</v>
      </c>
      <c r="G585" s="69">
        <f>'1. Accomodation'!R589</f>
        <v>0</v>
      </c>
      <c r="H585" s="69">
        <f>'1. Accomodation'!S589</f>
        <v>0</v>
      </c>
      <c r="I585" s="62"/>
      <c r="K585" s="272">
        <f>IFERROR(INDEX('2. GRI Pricing Inputs'!$C$15:$AI$16,MATCH($K$16,'2. GRI Pricing Inputs'!$C$15:$C$16,0),MATCH(D585,'2. GRI Pricing Inputs'!$C$15:$AI$15,0)),0)</f>
        <v>0</v>
      </c>
      <c r="L585" s="273">
        <f>IFERROR(INDEX('2. GRI Pricing Inputs'!$C$22:$AI$23,MATCH($L$16,'2. GRI Pricing Inputs'!$C$22:$C$23,0),MATCH(E585,'2. GRI Pricing Inputs'!$C$22:$AI$22,0)),0)</f>
        <v>0</v>
      </c>
      <c r="M585" s="328">
        <f>IF(AND('3. GRI Pricing'!$F585&gt;='2. GRI Pricing Inputs'!$D$33,'3. GRI Pricing'!$F585&lt;='2. GRI Pricing Inputs'!$E$33),'2. GRI Pricing Inputs'!$D$32,IF(AND('3. GRI Pricing'!$F585&gt;='2. GRI Pricing Inputs'!$F$33,'3. GRI Pricing'!$F585&lt;='2. GRI Pricing Inputs'!$G$33),'2. GRI Pricing Inputs'!$F$32,IF(AND('3. GRI Pricing'!$F585&gt;='2. GRI Pricing Inputs'!$H$33,'3. GRI Pricing'!$F585&lt;='2. GRI Pricing Inputs'!$I$33),'2. GRI Pricing Inputs'!$H$32,IF(AND('3. GRI Pricing'!$F585&gt;='2. GRI Pricing Inputs'!$J$33,'3. GRI Pricing'!$F585&lt;='2. GRI Pricing Inputs'!$K$33),'2. GRI Pricing Inputs'!$J$32,IF(AND('3. GRI Pricing'!$F585&gt;='2. GRI Pricing Inputs'!$L$33,'3. GRI Pricing'!$F585&lt;='2. GRI Pricing Inputs'!$M$33),'2. GRI Pricing Inputs'!$L$32,IF(AND('3. GRI Pricing'!$F585&gt;='2. GRI Pricing Inputs'!$N$33,'3. GRI Pricing'!$F585&lt;='2. GRI Pricing Inputs'!$O$33),'2. GRI Pricing Inputs'!$N$32,IF(AND('3. GRI Pricing'!$F585&gt;='2. GRI Pricing Inputs'!$P$33,'3. GRI Pricing'!$F585&lt;='2. GRI Pricing Inputs'!$Q$33),'2. GRI Pricing Inputs'!$P$32,IF(AND('3. GRI Pricing'!$F585&gt;='2. GRI Pricing Inputs'!$R$33,'3. GRI Pricing'!$F585&lt;='2. GRI Pricing Inputs'!$S$33),'2. GRI Pricing Inputs'!$R$32,IF(AND('3. GRI Pricing'!$F585&gt;='2. GRI Pricing Inputs'!$T$33,'3. GRI Pricing'!$F585&lt;='2. GRI Pricing Inputs'!$U$33),'2. GRI Pricing Inputs'!$T$32,IF(AND('3. GRI Pricing'!$F585&gt;='2. GRI Pricing Inputs'!$V$33,'3. GRI Pricing'!$F585&lt;='2. GRI Pricing Inputs'!$W$33),'2. GRI Pricing Inputs'!$V$32,IF(AND('3. GRI Pricing'!$F585&gt;='2. GRI Pricing Inputs'!$X$33,'3. GRI Pricing'!$F585&lt;='2. GRI Pricing Inputs'!$Y$33),'2. GRI Pricing Inputs'!$X$32,IF(AND('3. GRI Pricing'!$F585&gt;='2. GRI Pricing Inputs'!$Z$33,'3. GRI Pricing'!$F585&lt;='2. GRI Pricing Inputs'!$AA$33),'2. GRI Pricing Inputs'!$Z$32,IF(AND('3. GRI Pricing'!$F585&gt;='2. GRI Pricing Inputs'!$AB$33,'3. GRI Pricing'!$F585&lt;='2. GRI Pricing Inputs'!$AC$33),'2. GRI Pricing Inputs'!$AB$32,IF(AND('3. GRI Pricing'!$F585&gt;='2. GRI Pricing Inputs'!$AD$33,'3. GRI Pricing'!$F585&lt;='2. GRI Pricing Inputs'!$AE$33),'2. GRI Pricing Inputs'!$AD$32,IF(AND('3. GRI Pricing'!$F585&gt;='2. GRI Pricing Inputs'!$AF$33,'3. GRI Pricing'!$F585&lt;='2. GRI Pricing Inputs'!$AG$33),'2. GRI Pricing Inputs'!$AF$32,IF(AND('3. GRI Pricing'!$F585&gt;='2. GRI Pricing Inputs'!$AH$33,'3. GRI Pricing'!$F585&lt;='2. GRI Pricing Inputs'!$AI$33),'2. GRI Pricing Inputs'!$AH$32,0))))))))))))))))</f>
        <v>0</v>
      </c>
      <c r="N585" s="273" cm="1">
        <f t="array" ref="N585">IFERROR(INDEX('2. GRI Pricing Inputs'!$C$32:$AI$39,MATCH('3. GRI Pricing'!D585,'2. GRI Pricing Inputs'!$C$32:$C$39,0),(MATCH('3. GRI Pricing'!M585,'2. GRI Pricing Inputs'!$D$32:$AI$32,0)+1)),0)</f>
        <v>0</v>
      </c>
      <c r="O585" s="273">
        <f>IFERROR(INDEX('2. GRI Pricing Inputs'!$C$45:$AI$46,MATCH($O$16,'2. GRI Pricing Inputs'!$C$45:$C$46,0),MATCH(G585,'2. GRI Pricing Inputs'!$C$45:$AI$45,0)),0)</f>
        <v>0</v>
      </c>
      <c r="P585" s="273">
        <f>IFERROR(INDEX('2. GRI Pricing Inputs'!$C$53:$AI$54,MATCH('3. GRI Pricing'!$P$16,'2. GRI Pricing Inputs'!$C$53:$C$54,0),MATCH('3. GRI Pricing'!H585,'2. GRI Pricing Inputs'!$C$53:$AI$53,0)),0)</f>
        <v>0</v>
      </c>
      <c r="Q585" s="273">
        <f>IFERROR(INDEX('2. GRI Pricing Inputs'!$C$60:$AI$61,MATCH('3. GRI Pricing'!$Q$16,'2. GRI Pricing Inputs'!$C$60:$C$61,0),MATCH('1. Accomodation'!T589,'2. GRI Pricing Inputs'!$C$60:$AI$60,0)),0)</f>
        <v>0</v>
      </c>
      <c r="R585" s="273">
        <f>IFERROR(INDEX('2. GRI Pricing Inputs'!$C$67:$AI$68,MATCH('3. GRI Pricing'!$R$16,'2. GRI Pricing Inputs'!$C$67:$C$68,0),MATCH('1. Accomodation'!U589,'2. GRI Pricing Inputs'!$C$67:$AI$67,0)),0)</f>
        <v>0</v>
      </c>
      <c r="S585" s="273">
        <f>IF(D585=0,0,'2. GRI Pricing Inputs'!$AI$75)</f>
        <v>0</v>
      </c>
      <c r="T585" s="273">
        <f>IFERROR(INDEX('2. GRI Pricing Inputs'!$C$82:$AI$83,MATCH('3. GRI Pricing'!$T$16,'2. GRI Pricing Inputs'!$C$82:$C$83,0),MATCH('1. Accomodation'!V589,'2. GRI Pricing Inputs'!$C$82:$AI$82,0)),0)</f>
        <v>0</v>
      </c>
      <c r="U585" s="273">
        <f>IFERROR(INDEX('2. GRI Pricing Inputs'!$C$89:$AI$90,MATCH('3. GRI Pricing'!$U$16,'2. GRI Pricing Inputs'!$C$89:$C$90,0),MATCH('1. Accomodation'!W589,'2. GRI Pricing Inputs'!$C$89:$AI$89,0)),0)</f>
        <v>0</v>
      </c>
      <c r="V585" s="273">
        <f>IFERROR(INDEX('2. GRI Pricing Inputs'!$C$97:$AI$98,MATCH('3. GRI Pricing'!$V$16,'2. GRI Pricing Inputs'!$C$97:$C$98,0),MATCH('1. Accomodation'!X589,'2. GRI Pricing Inputs'!$C$97:$AI$97,0)),0)</f>
        <v>0</v>
      </c>
      <c r="W585" s="273">
        <f>IFERROR(INDEX('2. GRI Pricing Inputs'!$C$104:$AI$105,MATCH('3. GRI Pricing'!$W$16,'2. GRI Pricing Inputs'!$C$104:$C$105,0),MATCH('1. Accomodation'!Y589,'2. GRI Pricing Inputs'!$C$104:$AI$104,0)),0)</f>
        <v>0</v>
      </c>
      <c r="X585" s="274"/>
      <c r="Y585" s="275">
        <f t="shared" si="15"/>
        <v>0</v>
      </c>
      <c r="Z585" s="276"/>
      <c r="AA585" s="276"/>
      <c r="AB585" s="276"/>
      <c r="AC585" s="272">
        <f>Y585*(1+'2. GRI Pricing Inputs'!$D$114)^(($AC$16-$AB$15)/365)</f>
        <v>0</v>
      </c>
      <c r="AD585" s="273">
        <f>AC585*(1+'2. GRI Pricing Inputs'!$D$114)^((AD$16-AC$16)/365)</f>
        <v>0</v>
      </c>
      <c r="AE585" s="273">
        <f>AD585*(1+'2. GRI Pricing Inputs'!$D$114)^((AE$16-AD$16)/365)</f>
        <v>0</v>
      </c>
      <c r="AF585" s="273">
        <f>AE585*(1+'2. GRI Pricing Inputs'!$D$114)^((AF$16-AE$16)/365)</f>
        <v>0</v>
      </c>
      <c r="AG585" s="273">
        <f>AF585*(1+'2. GRI Pricing Inputs'!$D$114)^((AG$16-AF$16)/365)</f>
        <v>0</v>
      </c>
      <c r="AH585" s="273">
        <f>AG585*(1+'2. GRI Pricing Inputs'!$D$114)^((AH$16-AG$16)/365)</f>
        <v>0</v>
      </c>
      <c r="AI585" s="273">
        <f>AH585*(1+'2. GRI Pricing Inputs'!$D$114)^((AI$16-AH$16)/365)</f>
        <v>0</v>
      </c>
      <c r="AJ585" s="273">
        <f>AI585*(1+'2. GRI Pricing Inputs'!$D$114)^((AJ$16-AI$16)/365)</f>
        <v>0</v>
      </c>
      <c r="AK585" s="273">
        <f>AJ585*(1+'2. GRI Pricing Inputs'!$D$114)^((AK$16-AJ$16)/365)</f>
        <v>0</v>
      </c>
      <c r="AL585" s="273">
        <f>AK585*(1+'2. GRI Pricing Inputs'!$D$114)^((AL$16-AK$16)/365)</f>
        <v>0</v>
      </c>
      <c r="AM585" s="273">
        <f>AL585*(1+'2. GRI Pricing Inputs'!$D$114)^((AM$16-AL$16)/365)</f>
        <v>0</v>
      </c>
      <c r="AN585" s="273">
        <f>AM585*(1+'2. GRI Pricing Inputs'!$D$114)^((AN$16-AM$16)/365)</f>
        <v>0</v>
      </c>
      <c r="AO585" s="273">
        <f>AN585*(1+'2. GRI Pricing Inputs'!$D$114)^((AO$16-AN$16)/365)</f>
        <v>0</v>
      </c>
    </row>
    <row r="586" spans="3:41" ht="12" x14ac:dyDescent="0.2">
      <c r="C586" s="76">
        <f>'1. Accomodation'!N590</f>
        <v>0</v>
      </c>
      <c r="D586" s="69">
        <f>'1. Accomodation'!P590</f>
        <v>0</v>
      </c>
      <c r="E586" s="69">
        <f>'1. Accomodation'!Q590</f>
        <v>0</v>
      </c>
      <c r="F586" s="77">
        <f>'1. Accomodation'!O590</f>
        <v>0</v>
      </c>
      <c r="G586" s="69">
        <f>'1. Accomodation'!R590</f>
        <v>0</v>
      </c>
      <c r="H586" s="69">
        <f>'1. Accomodation'!S590</f>
        <v>0</v>
      </c>
      <c r="I586" s="62"/>
      <c r="K586" s="272">
        <f>IFERROR(INDEX('2. GRI Pricing Inputs'!$C$15:$AI$16,MATCH($K$16,'2. GRI Pricing Inputs'!$C$15:$C$16,0),MATCH(D586,'2. GRI Pricing Inputs'!$C$15:$AI$15,0)),0)</f>
        <v>0</v>
      </c>
      <c r="L586" s="273">
        <f>IFERROR(INDEX('2. GRI Pricing Inputs'!$C$22:$AI$23,MATCH($L$16,'2. GRI Pricing Inputs'!$C$22:$C$23,0),MATCH(E586,'2. GRI Pricing Inputs'!$C$22:$AI$22,0)),0)</f>
        <v>0</v>
      </c>
      <c r="M586" s="328">
        <f>IF(AND('3. GRI Pricing'!$F586&gt;='2. GRI Pricing Inputs'!$D$33,'3. GRI Pricing'!$F586&lt;='2. GRI Pricing Inputs'!$E$33),'2. GRI Pricing Inputs'!$D$32,IF(AND('3. GRI Pricing'!$F586&gt;='2. GRI Pricing Inputs'!$F$33,'3. GRI Pricing'!$F586&lt;='2. GRI Pricing Inputs'!$G$33),'2. GRI Pricing Inputs'!$F$32,IF(AND('3. GRI Pricing'!$F586&gt;='2. GRI Pricing Inputs'!$H$33,'3. GRI Pricing'!$F586&lt;='2. GRI Pricing Inputs'!$I$33),'2. GRI Pricing Inputs'!$H$32,IF(AND('3. GRI Pricing'!$F586&gt;='2. GRI Pricing Inputs'!$J$33,'3. GRI Pricing'!$F586&lt;='2. GRI Pricing Inputs'!$K$33),'2. GRI Pricing Inputs'!$J$32,IF(AND('3. GRI Pricing'!$F586&gt;='2. GRI Pricing Inputs'!$L$33,'3. GRI Pricing'!$F586&lt;='2. GRI Pricing Inputs'!$M$33),'2. GRI Pricing Inputs'!$L$32,IF(AND('3. GRI Pricing'!$F586&gt;='2. GRI Pricing Inputs'!$N$33,'3. GRI Pricing'!$F586&lt;='2. GRI Pricing Inputs'!$O$33),'2. GRI Pricing Inputs'!$N$32,IF(AND('3. GRI Pricing'!$F586&gt;='2. GRI Pricing Inputs'!$P$33,'3. GRI Pricing'!$F586&lt;='2. GRI Pricing Inputs'!$Q$33),'2. GRI Pricing Inputs'!$P$32,IF(AND('3. GRI Pricing'!$F586&gt;='2. GRI Pricing Inputs'!$R$33,'3. GRI Pricing'!$F586&lt;='2. GRI Pricing Inputs'!$S$33),'2. GRI Pricing Inputs'!$R$32,IF(AND('3. GRI Pricing'!$F586&gt;='2. GRI Pricing Inputs'!$T$33,'3. GRI Pricing'!$F586&lt;='2. GRI Pricing Inputs'!$U$33),'2. GRI Pricing Inputs'!$T$32,IF(AND('3. GRI Pricing'!$F586&gt;='2. GRI Pricing Inputs'!$V$33,'3. GRI Pricing'!$F586&lt;='2. GRI Pricing Inputs'!$W$33),'2. GRI Pricing Inputs'!$V$32,IF(AND('3. GRI Pricing'!$F586&gt;='2. GRI Pricing Inputs'!$X$33,'3. GRI Pricing'!$F586&lt;='2. GRI Pricing Inputs'!$Y$33),'2. GRI Pricing Inputs'!$X$32,IF(AND('3. GRI Pricing'!$F586&gt;='2. GRI Pricing Inputs'!$Z$33,'3. GRI Pricing'!$F586&lt;='2. GRI Pricing Inputs'!$AA$33),'2. GRI Pricing Inputs'!$Z$32,IF(AND('3. GRI Pricing'!$F586&gt;='2. GRI Pricing Inputs'!$AB$33,'3. GRI Pricing'!$F586&lt;='2. GRI Pricing Inputs'!$AC$33),'2. GRI Pricing Inputs'!$AB$32,IF(AND('3. GRI Pricing'!$F586&gt;='2. GRI Pricing Inputs'!$AD$33,'3. GRI Pricing'!$F586&lt;='2. GRI Pricing Inputs'!$AE$33),'2. GRI Pricing Inputs'!$AD$32,IF(AND('3. GRI Pricing'!$F586&gt;='2. GRI Pricing Inputs'!$AF$33,'3. GRI Pricing'!$F586&lt;='2. GRI Pricing Inputs'!$AG$33),'2. GRI Pricing Inputs'!$AF$32,IF(AND('3. GRI Pricing'!$F586&gt;='2. GRI Pricing Inputs'!$AH$33,'3. GRI Pricing'!$F586&lt;='2. GRI Pricing Inputs'!$AI$33),'2. GRI Pricing Inputs'!$AH$32,0))))))))))))))))</f>
        <v>0</v>
      </c>
      <c r="N586" s="273" cm="1">
        <f t="array" ref="N586">IFERROR(INDEX('2. GRI Pricing Inputs'!$C$32:$AI$39,MATCH('3. GRI Pricing'!D586,'2. GRI Pricing Inputs'!$C$32:$C$39,0),(MATCH('3. GRI Pricing'!M586,'2. GRI Pricing Inputs'!$D$32:$AI$32,0)+1)),0)</f>
        <v>0</v>
      </c>
      <c r="O586" s="273">
        <f>IFERROR(INDEX('2. GRI Pricing Inputs'!$C$45:$AI$46,MATCH($O$16,'2. GRI Pricing Inputs'!$C$45:$C$46,0),MATCH(G586,'2. GRI Pricing Inputs'!$C$45:$AI$45,0)),0)</f>
        <v>0</v>
      </c>
      <c r="P586" s="273">
        <f>IFERROR(INDEX('2. GRI Pricing Inputs'!$C$53:$AI$54,MATCH('3. GRI Pricing'!$P$16,'2. GRI Pricing Inputs'!$C$53:$C$54,0),MATCH('3. GRI Pricing'!H586,'2. GRI Pricing Inputs'!$C$53:$AI$53,0)),0)</f>
        <v>0</v>
      </c>
      <c r="Q586" s="273">
        <f>IFERROR(INDEX('2. GRI Pricing Inputs'!$C$60:$AI$61,MATCH('3. GRI Pricing'!$Q$16,'2. GRI Pricing Inputs'!$C$60:$C$61,0),MATCH('1. Accomodation'!T590,'2. GRI Pricing Inputs'!$C$60:$AI$60,0)),0)</f>
        <v>0</v>
      </c>
      <c r="R586" s="273">
        <f>IFERROR(INDEX('2. GRI Pricing Inputs'!$C$67:$AI$68,MATCH('3. GRI Pricing'!$R$16,'2. GRI Pricing Inputs'!$C$67:$C$68,0),MATCH('1. Accomodation'!U590,'2. GRI Pricing Inputs'!$C$67:$AI$67,0)),0)</f>
        <v>0</v>
      </c>
      <c r="S586" s="273">
        <f>IF(D586=0,0,'2. GRI Pricing Inputs'!$AI$75)</f>
        <v>0</v>
      </c>
      <c r="T586" s="273">
        <f>IFERROR(INDEX('2. GRI Pricing Inputs'!$C$82:$AI$83,MATCH('3. GRI Pricing'!$T$16,'2. GRI Pricing Inputs'!$C$82:$C$83,0),MATCH('1. Accomodation'!V590,'2. GRI Pricing Inputs'!$C$82:$AI$82,0)),0)</f>
        <v>0</v>
      </c>
      <c r="U586" s="273">
        <f>IFERROR(INDEX('2. GRI Pricing Inputs'!$C$89:$AI$90,MATCH('3. GRI Pricing'!$U$16,'2. GRI Pricing Inputs'!$C$89:$C$90,0),MATCH('1. Accomodation'!W590,'2. GRI Pricing Inputs'!$C$89:$AI$89,0)),0)</f>
        <v>0</v>
      </c>
      <c r="V586" s="273">
        <f>IFERROR(INDEX('2. GRI Pricing Inputs'!$C$97:$AI$98,MATCH('3. GRI Pricing'!$V$16,'2. GRI Pricing Inputs'!$C$97:$C$98,0),MATCH('1. Accomodation'!X590,'2. GRI Pricing Inputs'!$C$97:$AI$97,0)),0)</f>
        <v>0</v>
      </c>
      <c r="W586" s="273">
        <f>IFERROR(INDEX('2. GRI Pricing Inputs'!$C$104:$AI$105,MATCH('3. GRI Pricing'!$W$16,'2. GRI Pricing Inputs'!$C$104:$C$105,0),MATCH('1. Accomodation'!Y590,'2. GRI Pricing Inputs'!$C$104:$AI$104,0)),0)</f>
        <v>0</v>
      </c>
      <c r="X586" s="274"/>
      <c r="Y586" s="275">
        <f t="shared" si="15"/>
        <v>0</v>
      </c>
      <c r="Z586" s="276"/>
      <c r="AA586" s="276"/>
      <c r="AB586" s="276"/>
      <c r="AC586" s="272">
        <f>Y586*(1+'2. GRI Pricing Inputs'!$D$114)^(($AC$16-$AB$15)/365)</f>
        <v>0</v>
      </c>
      <c r="AD586" s="273">
        <f>AC586*(1+'2. GRI Pricing Inputs'!$D$114)^((AD$16-AC$16)/365)</f>
        <v>0</v>
      </c>
      <c r="AE586" s="273">
        <f>AD586*(1+'2. GRI Pricing Inputs'!$D$114)^((AE$16-AD$16)/365)</f>
        <v>0</v>
      </c>
      <c r="AF586" s="273">
        <f>AE586*(1+'2. GRI Pricing Inputs'!$D$114)^((AF$16-AE$16)/365)</f>
        <v>0</v>
      </c>
      <c r="AG586" s="273">
        <f>AF586*(1+'2. GRI Pricing Inputs'!$D$114)^((AG$16-AF$16)/365)</f>
        <v>0</v>
      </c>
      <c r="AH586" s="273">
        <f>AG586*(1+'2. GRI Pricing Inputs'!$D$114)^((AH$16-AG$16)/365)</f>
        <v>0</v>
      </c>
      <c r="AI586" s="273">
        <f>AH586*(1+'2. GRI Pricing Inputs'!$D$114)^((AI$16-AH$16)/365)</f>
        <v>0</v>
      </c>
      <c r="AJ586" s="273">
        <f>AI586*(1+'2. GRI Pricing Inputs'!$D$114)^((AJ$16-AI$16)/365)</f>
        <v>0</v>
      </c>
      <c r="AK586" s="273">
        <f>AJ586*(1+'2. GRI Pricing Inputs'!$D$114)^((AK$16-AJ$16)/365)</f>
        <v>0</v>
      </c>
      <c r="AL586" s="273">
        <f>AK586*(1+'2. GRI Pricing Inputs'!$D$114)^((AL$16-AK$16)/365)</f>
        <v>0</v>
      </c>
      <c r="AM586" s="273">
        <f>AL586*(1+'2. GRI Pricing Inputs'!$D$114)^((AM$16-AL$16)/365)</f>
        <v>0</v>
      </c>
      <c r="AN586" s="273">
        <f>AM586*(1+'2. GRI Pricing Inputs'!$D$114)^((AN$16-AM$16)/365)</f>
        <v>0</v>
      </c>
      <c r="AO586" s="273">
        <f>AN586*(1+'2. GRI Pricing Inputs'!$D$114)^((AO$16-AN$16)/365)</f>
        <v>0</v>
      </c>
    </row>
    <row r="587" spans="3:41" ht="12" x14ac:dyDescent="0.2">
      <c r="C587" s="76">
        <f>'1. Accomodation'!N591</f>
        <v>0</v>
      </c>
      <c r="D587" s="69">
        <f>'1. Accomodation'!P591</f>
        <v>0</v>
      </c>
      <c r="E587" s="69">
        <f>'1. Accomodation'!Q591</f>
        <v>0</v>
      </c>
      <c r="F587" s="77">
        <f>'1. Accomodation'!O591</f>
        <v>0</v>
      </c>
      <c r="G587" s="69">
        <f>'1. Accomodation'!R591</f>
        <v>0</v>
      </c>
      <c r="H587" s="69">
        <f>'1. Accomodation'!S591</f>
        <v>0</v>
      </c>
      <c r="I587" s="62"/>
      <c r="K587" s="272">
        <f>IFERROR(INDEX('2. GRI Pricing Inputs'!$C$15:$AI$16,MATCH($K$16,'2. GRI Pricing Inputs'!$C$15:$C$16,0),MATCH(D587,'2. GRI Pricing Inputs'!$C$15:$AI$15,0)),0)</f>
        <v>0</v>
      </c>
      <c r="L587" s="273">
        <f>IFERROR(INDEX('2. GRI Pricing Inputs'!$C$22:$AI$23,MATCH($L$16,'2. GRI Pricing Inputs'!$C$22:$C$23,0),MATCH(E587,'2. GRI Pricing Inputs'!$C$22:$AI$22,0)),0)</f>
        <v>0</v>
      </c>
      <c r="M587" s="328">
        <f>IF(AND('3. GRI Pricing'!$F587&gt;='2. GRI Pricing Inputs'!$D$33,'3. GRI Pricing'!$F587&lt;='2. GRI Pricing Inputs'!$E$33),'2. GRI Pricing Inputs'!$D$32,IF(AND('3. GRI Pricing'!$F587&gt;='2. GRI Pricing Inputs'!$F$33,'3. GRI Pricing'!$F587&lt;='2. GRI Pricing Inputs'!$G$33),'2. GRI Pricing Inputs'!$F$32,IF(AND('3. GRI Pricing'!$F587&gt;='2. GRI Pricing Inputs'!$H$33,'3. GRI Pricing'!$F587&lt;='2. GRI Pricing Inputs'!$I$33),'2. GRI Pricing Inputs'!$H$32,IF(AND('3. GRI Pricing'!$F587&gt;='2. GRI Pricing Inputs'!$J$33,'3. GRI Pricing'!$F587&lt;='2. GRI Pricing Inputs'!$K$33),'2. GRI Pricing Inputs'!$J$32,IF(AND('3. GRI Pricing'!$F587&gt;='2. GRI Pricing Inputs'!$L$33,'3. GRI Pricing'!$F587&lt;='2. GRI Pricing Inputs'!$M$33),'2. GRI Pricing Inputs'!$L$32,IF(AND('3. GRI Pricing'!$F587&gt;='2. GRI Pricing Inputs'!$N$33,'3. GRI Pricing'!$F587&lt;='2. GRI Pricing Inputs'!$O$33),'2. GRI Pricing Inputs'!$N$32,IF(AND('3. GRI Pricing'!$F587&gt;='2. GRI Pricing Inputs'!$P$33,'3. GRI Pricing'!$F587&lt;='2. GRI Pricing Inputs'!$Q$33),'2. GRI Pricing Inputs'!$P$32,IF(AND('3. GRI Pricing'!$F587&gt;='2. GRI Pricing Inputs'!$R$33,'3. GRI Pricing'!$F587&lt;='2. GRI Pricing Inputs'!$S$33),'2. GRI Pricing Inputs'!$R$32,IF(AND('3. GRI Pricing'!$F587&gt;='2. GRI Pricing Inputs'!$T$33,'3. GRI Pricing'!$F587&lt;='2. GRI Pricing Inputs'!$U$33),'2. GRI Pricing Inputs'!$T$32,IF(AND('3. GRI Pricing'!$F587&gt;='2. GRI Pricing Inputs'!$V$33,'3. GRI Pricing'!$F587&lt;='2. GRI Pricing Inputs'!$W$33),'2. GRI Pricing Inputs'!$V$32,IF(AND('3. GRI Pricing'!$F587&gt;='2. GRI Pricing Inputs'!$X$33,'3. GRI Pricing'!$F587&lt;='2. GRI Pricing Inputs'!$Y$33),'2. GRI Pricing Inputs'!$X$32,IF(AND('3. GRI Pricing'!$F587&gt;='2. GRI Pricing Inputs'!$Z$33,'3. GRI Pricing'!$F587&lt;='2. GRI Pricing Inputs'!$AA$33),'2. GRI Pricing Inputs'!$Z$32,IF(AND('3. GRI Pricing'!$F587&gt;='2. GRI Pricing Inputs'!$AB$33,'3. GRI Pricing'!$F587&lt;='2. GRI Pricing Inputs'!$AC$33),'2. GRI Pricing Inputs'!$AB$32,IF(AND('3. GRI Pricing'!$F587&gt;='2. GRI Pricing Inputs'!$AD$33,'3. GRI Pricing'!$F587&lt;='2. GRI Pricing Inputs'!$AE$33),'2. GRI Pricing Inputs'!$AD$32,IF(AND('3. GRI Pricing'!$F587&gt;='2. GRI Pricing Inputs'!$AF$33,'3. GRI Pricing'!$F587&lt;='2. GRI Pricing Inputs'!$AG$33),'2. GRI Pricing Inputs'!$AF$32,IF(AND('3. GRI Pricing'!$F587&gt;='2. GRI Pricing Inputs'!$AH$33,'3. GRI Pricing'!$F587&lt;='2. GRI Pricing Inputs'!$AI$33),'2. GRI Pricing Inputs'!$AH$32,0))))))))))))))))</f>
        <v>0</v>
      </c>
      <c r="N587" s="273" cm="1">
        <f t="array" ref="N587">IFERROR(INDEX('2. GRI Pricing Inputs'!$C$32:$AI$39,MATCH('3. GRI Pricing'!D587,'2. GRI Pricing Inputs'!$C$32:$C$39,0),(MATCH('3. GRI Pricing'!M587,'2. GRI Pricing Inputs'!$D$32:$AI$32,0)+1)),0)</f>
        <v>0</v>
      </c>
      <c r="O587" s="273">
        <f>IFERROR(INDEX('2. GRI Pricing Inputs'!$C$45:$AI$46,MATCH($O$16,'2. GRI Pricing Inputs'!$C$45:$C$46,0),MATCH(G587,'2. GRI Pricing Inputs'!$C$45:$AI$45,0)),0)</f>
        <v>0</v>
      </c>
      <c r="P587" s="273">
        <f>IFERROR(INDEX('2. GRI Pricing Inputs'!$C$53:$AI$54,MATCH('3. GRI Pricing'!$P$16,'2. GRI Pricing Inputs'!$C$53:$C$54,0),MATCH('3. GRI Pricing'!H587,'2. GRI Pricing Inputs'!$C$53:$AI$53,0)),0)</f>
        <v>0</v>
      </c>
      <c r="Q587" s="273">
        <f>IFERROR(INDEX('2. GRI Pricing Inputs'!$C$60:$AI$61,MATCH('3. GRI Pricing'!$Q$16,'2. GRI Pricing Inputs'!$C$60:$C$61,0),MATCH('1. Accomodation'!T591,'2. GRI Pricing Inputs'!$C$60:$AI$60,0)),0)</f>
        <v>0</v>
      </c>
      <c r="R587" s="273">
        <f>IFERROR(INDEX('2. GRI Pricing Inputs'!$C$67:$AI$68,MATCH('3. GRI Pricing'!$R$16,'2. GRI Pricing Inputs'!$C$67:$C$68,0),MATCH('1. Accomodation'!U591,'2. GRI Pricing Inputs'!$C$67:$AI$67,0)),0)</f>
        <v>0</v>
      </c>
      <c r="S587" s="273">
        <f>IF(D587=0,0,'2. GRI Pricing Inputs'!$AI$75)</f>
        <v>0</v>
      </c>
      <c r="T587" s="273">
        <f>IFERROR(INDEX('2. GRI Pricing Inputs'!$C$82:$AI$83,MATCH('3. GRI Pricing'!$T$16,'2. GRI Pricing Inputs'!$C$82:$C$83,0),MATCH('1. Accomodation'!V591,'2. GRI Pricing Inputs'!$C$82:$AI$82,0)),0)</f>
        <v>0</v>
      </c>
      <c r="U587" s="273">
        <f>IFERROR(INDEX('2. GRI Pricing Inputs'!$C$89:$AI$90,MATCH('3. GRI Pricing'!$U$16,'2. GRI Pricing Inputs'!$C$89:$C$90,0),MATCH('1. Accomodation'!W591,'2. GRI Pricing Inputs'!$C$89:$AI$89,0)),0)</f>
        <v>0</v>
      </c>
      <c r="V587" s="273">
        <f>IFERROR(INDEX('2. GRI Pricing Inputs'!$C$97:$AI$98,MATCH('3. GRI Pricing'!$V$16,'2. GRI Pricing Inputs'!$C$97:$C$98,0),MATCH('1. Accomodation'!X591,'2. GRI Pricing Inputs'!$C$97:$AI$97,0)),0)</f>
        <v>0</v>
      </c>
      <c r="W587" s="273">
        <f>IFERROR(INDEX('2. GRI Pricing Inputs'!$C$104:$AI$105,MATCH('3. GRI Pricing'!$W$16,'2. GRI Pricing Inputs'!$C$104:$C$105,0),MATCH('1. Accomodation'!Y591,'2. GRI Pricing Inputs'!$C$104:$AI$104,0)),0)</f>
        <v>0</v>
      </c>
      <c r="X587" s="274"/>
      <c r="Y587" s="275">
        <f t="shared" si="15"/>
        <v>0</v>
      </c>
      <c r="Z587" s="276"/>
      <c r="AA587" s="276"/>
      <c r="AB587" s="276"/>
      <c r="AC587" s="272">
        <f>Y587*(1+'2. GRI Pricing Inputs'!$D$114)^(($AC$16-$AB$15)/365)</f>
        <v>0</v>
      </c>
      <c r="AD587" s="273">
        <f>AC587*(1+'2. GRI Pricing Inputs'!$D$114)^((AD$16-AC$16)/365)</f>
        <v>0</v>
      </c>
      <c r="AE587" s="273">
        <f>AD587*(1+'2. GRI Pricing Inputs'!$D$114)^((AE$16-AD$16)/365)</f>
        <v>0</v>
      </c>
      <c r="AF587" s="273">
        <f>AE587*(1+'2. GRI Pricing Inputs'!$D$114)^((AF$16-AE$16)/365)</f>
        <v>0</v>
      </c>
      <c r="AG587" s="273">
        <f>AF587*(1+'2. GRI Pricing Inputs'!$D$114)^((AG$16-AF$16)/365)</f>
        <v>0</v>
      </c>
      <c r="AH587" s="273">
        <f>AG587*(1+'2. GRI Pricing Inputs'!$D$114)^((AH$16-AG$16)/365)</f>
        <v>0</v>
      </c>
      <c r="AI587" s="273">
        <f>AH587*(1+'2. GRI Pricing Inputs'!$D$114)^((AI$16-AH$16)/365)</f>
        <v>0</v>
      </c>
      <c r="AJ587" s="273">
        <f>AI587*(1+'2. GRI Pricing Inputs'!$D$114)^((AJ$16-AI$16)/365)</f>
        <v>0</v>
      </c>
      <c r="AK587" s="273">
        <f>AJ587*(1+'2. GRI Pricing Inputs'!$D$114)^((AK$16-AJ$16)/365)</f>
        <v>0</v>
      </c>
      <c r="AL587" s="273">
        <f>AK587*(1+'2. GRI Pricing Inputs'!$D$114)^((AL$16-AK$16)/365)</f>
        <v>0</v>
      </c>
      <c r="AM587" s="273">
        <f>AL587*(1+'2. GRI Pricing Inputs'!$D$114)^((AM$16-AL$16)/365)</f>
        <v>0</v>
      </c>
      <c r="AN587" s="273">
        <f>AM587*(1+'2. GRI Pricing Inputs'!$D$114)^((AN$16-AM$16)/365)</f>
        <v>0</v>
      </c>
      <c r="AO587" s="273">
        <f>AN587*(1+'2. GRI Pricing Inputs'!$D$114)^((AO$16-AN$16)/365)</f>
        <v>0</v>
      </c>
    </row>
    <row r="588" spans="3:41" ht="12" x14ac:dyDescent="0.2">
      <c r="C588" s="76">
        <f>'1. Accomodation'!N592</f>
        <v>0</v>
      </c>
      <c r="D588" s="69">
        <f>'1. Accomodation'!P592</f>
        <v>0</v>
      </c>
      <c r="E588" s="69">
        <f>'1. Accomodation'!Q592</f>
        <v>0</v>
      </c>
      <c r="F588" s="77">
        <f>'1. Accomodation'!O592</f>
        <v>0</v>
      </c>
      <c r="G588" s="69">
        <f>'1. Accomodation'!R592</f>
        <v>0</v>
      </c>
      <c r="H588" s="69">
        <f>'1. Accomodation'!S592</f>
        <v>0</v>
      </c>
      <c r="I588" s="62"/>
      <c r="K588" s="272">
        <f>IFERROR(INDEX('2. GRI Pricing Inputs'!$C$15:$AI$16,MATCH($K$16,'2. GRI Pricing Inputs'!$C$15:$C$16,0),MATCH(D588,'2. GRI Pricing Inputs'!$C$15:$AI$15,0)),0)</f>
        <v>0</v>
      </c>
      <c r="L588" s="273">
        <f>IFERROR(INDEX('2. GRI Pricing Inputs'!$C$22:$AI$23,MATCH($L$16,'2. GRI Pricing Inputs'!$C$22:$C$23,0),MATCH(E588,'2. GRI Pricing Inputs'!$C$22:$AI$22,0)),0)</f>
        <v>0</v>
      </c>
      <c r="M588" s="328">
        <f>IF(AND('3. GRI Pricing'!$F588&gt;='2. GRI Pricing Inputs'!$D$33,'3. GRI Pricing'!$F588&lt;='2. GRI Pricing Inputs'!$E$33),'2. GRI Pricing Inputs'!$D$32,IF(AND('3. GRI Pricing'!$F588&gt;='2. GRI Pricing Inputs'!$F$33,'3. GRI Pricing'!$F588&lt;='2. GRI Pricing Inputs'!$G$33),'2. GRI Pricing Inputs'!$F$32,IF(AND('3. GRI Pricing'!$F588&gt;='2. GRI Pricing Inputs'!$H$33,'3. GRI Pricing'!$F588&lt;='2. GRI Pricing Inputs'!$I$33),'2. GRI Pricing Inputs'!$H$32,IF(AND('3. GRI Pricing'!$F588&gt;='2. GRI Pricing Inputs'!$J$33,'3. GRI Pricing'!$F588&lt;='2. GRI Pricing Inputs'!$K$33),'2. GRI Pricing Inputs'!$J$32,IF(AND('3. GRI Pricing'!$F588&gt;='2. GRI Pricing Inputs'!$L$33,'3. GRI Pricing'!$F588&lt;='2. GRI Pricing Inputs'!$M$33),'2. GRI Pricing Inputs'!$L$32,IF(AND('3. GRI Pricing'!$F588&gt;='2. GRI Pricing Inputs'!$N$33,'3. GRI Pricing'!$F588&lt;='2. GRI Pricing Inputs'!$O$33),'2. GRI Pricing Inputs'!$N$32,IF(AND('3. GRI Pricing'!$F588&gt;='2. GRI Pricing Inputs'!$P$33,'3. GRI Pricing'!$F588&lt;='2. GRI Pricing Inputs'!$Q$33),'2. GRI Pricing Inputs'!$P$32,IF(AND('3. GRI Pricing'!$F588&gt;='2. GRI Pricing Inputs'!$R$33,'3. GRI Pricing'!$F588&lt;='2. GRI Pricing Inputs'!$S$33),'2. GRI Pricing Inputs'!$R$32,IF(AND('3. GRI Pricing'!$F588&gt;='2. GRI Pricing Inputs'!$T$33,'3. GRI Pricing'!$F588&lt;='2. GRI Pricing Inputs'!$U$33),'2. GRI Pricing Inputs'!$T$32,IF(AND('3. GRI Pricing'!$F588&gt;='2. GRI Pricing Inputs'!$V$33,'3. GRI Pricing'!$F588&lt;='2. GRI Pricing Inputs'!$W$33),'2. GRI Pricing Inputs'!$V$32,IF(AND('3. GRI Pricing'!$F588&gt;='2. GRI Pricing Inputs'!$X$33,'3. GRI Pricing'!$F588&lt;='2. GRI Pricing Inputs'!$Y$33),'2. GRI Pricing Inputs'!$X$32,IF(AND('3. GRI Pricing'!$F588&gt;='2. GRI Pricing Inputs'!$Z$33,'3. GRI Pricing'!$F588&lt;='2. GRI Pricing Inputs'!$AA$33),'2. GRI Pricing Inputs'!$Z$32,IF(AND('3. GRI Pricing'!$F588&gt;='2. GRI Pricing Inputs'!$AB$33,'3. GRI Pricing'!$F588&lt;='2. GRI Pricing Inputs'!$AC$33),'2. GRI Pricing Inputs'!$AB$32,IF(AND('3. GRI Pricing'!$F588&gt;='2. GRI Pricing Inputs'!$AD$33,'3. GRI Pricing'!$F588&lt;='2. GRI Pricing Inputs'!$AE$33),'2. GRI Pricing Inputs'!$AD$32,IF(AND('3. GRI Pricing'!$F588&gt;='2. GRI Pricing Inputs'!$AF$33,'3. GRI Pricing'!$F588&lt;='2. GRI Pricing Inputs'!$AG$33),'2. GRI Pricing Inputs'!$AF$32,IF(AND('3. GRI Pricing'!$F588&gt;='2. GRI Pricing Inputs'!$AH$33,'3. GRI Pricing'!$F588&lt;='2. GRI Pricing Inputs'!$AI$33),'2. GRI Pricing Inputs'!$AH$32,0))))))))))))))))</f>
        <v>0</v>
      </c>
      <c r="N588" s="273" cm="1">
        <f t="array" ref="N588">IFERROR(INDEX('2. GRI Pricing Inputs'!$C$32:$AI$39,MATCH('3. GRI Pricing'!D588,'2. GRI Pricing Inputs'!$C$32:$C$39,0),(MATCH('3. GRI Pricing'!M588,'2. GRI Pricing Inputs'!$D$32:$AI$32,0)+1)),0)</f>
        <v>0</v>
      </c>
      <c r="O588" s="273">
        <f>IFERROR(INDEX('2. GRI Pricing Inputs'!$C$45:$AI$46,MATCH($O$16,'2. GRI Pricing Inputs'!$C$45:$C$46,0),MATCH(G588,'2. GRI Pricing Inputs'!$C$45:$AI$45,0)),0)</f>
        <v>0</v>
      </c>
      <c r="P588" s="273">
        <f>IFERROR(INDEX('2. GRI Pricing Inputs'!$C$53:$AI$54,MATCH('3. GRI Pricing'!$P$16,'2. GRI Pricing Inputs'!$C$53:$C$54,0),MATCH('3. GRI Pricing'!H588,'2. GRI Pricing Inputs'!$C$53:$AI$53,0)),0)</f>
        <v>0</v>
      </c>
      <c r="Q588" s="273">
        <f>IFERROR(INDEX('2. GRI Pricing Inputs'!$C$60:$AI$61,MATCH('3. GRI Pricing'!$Q$16,'2. GRI Pricing Inputs'!$C$60:$C$61,0),MATCH('1. Accomodation'!T592,'2. GRI Pricing Inputs'!$C$60:$AI$60,0)),0)</f>
        <v>0</v>
      </c>
      <c r="R588" s="273">
        <f>IFERROR(INDEX('2. GRI Pricing Inputs'!$C$67:$AI$68,MATCH('3. GRI Pricing'!$R$16,'2. GRI Pricing Inputs'!$C$67:$C$68,0),MATCH('1. Accomodation'!U592,'2. GRI Pricing Inputs'!$C$67:$AI$67,0)),0)</f>
        <v>0</v>
      </c>
      <c r="S588" s="273">
        <f>IF(D588=0,0,'2. GRI Pricing Inputs'!$AI$75)</f>
        <v>0</v>
      </c>
      <c r="T588" s="273">
        <f>IFERROR(INDEX('2. GRI Pricing Inputs'!$C$82:$AI$83,MATCH('3. GRI Pricing'!$T$16,'2. GRI Pricing Inputs'!$C$82:$C$83,0),MATCH('1. Accomodation'!V592,'2. GRI Pricing Inputs'!$C$82:$AI$82,0)),0)</f>
        <v>0</v>
      </c>
      <c r="U588" s="273">
        <f>IFERROR(INDEX('2. GRI Pricing Inputs'!$C$89:$AI$90,MATCH('3. GRI Pricing'!$U$16,'2. GRI Pricing Inputs'!$C$89:$C$90,0),MATCH('1. Accomodation'!W592,'2. GRI Pricing Inputs'!$C$89:$AI$89,0)),0)</f>
        <v>0</v>
      </c>
      <c r="V588" s="273">
        <f>IFERROR(INDEX('2. GRI Pricing Inputs'!$C$97:$AI$98,MATCH('3. GRI Pricing'!$V$16,'2. GRI Pricing Inputs'!$C$97:$C$98,0),MATCH('1. Accomodation'!X592,'2. GRI Pricing Inputs'!$C$97:$AI$97,0)),0)</f>
        <v>0</v>
      </c>
      <c r="W588" s="273">
        <f>IFERROR(INDEX('2. GRI Pricing Inputs'!$C$104:$AI$105,MATCH('3. GRI Pricing'!$W$16,'2. GRI Pricing Inputs'!$C$104:$C$105,0),MATCH('1. Accomodation'!Y592,'2. GRI Pricing Inputs'!$C$104:$AI$104,0)),0)</f>
        <v>0</v>
      </c>
      <c r="X588" s="274"/>
      <c r="Y588" s="275">
        <f t="shared" si="15"/>
        <v>0</v>
      </c>
      <c r="Z588" s="276"/>
      <c r="AA588" s="276"/>
      <c r="AB588" s="276"/>
      <c r="AC588" s="272">
        <f>Y588*(1+'2. GRI Pricing Inputs'!$D$114)^(($AC$16-$AB$15)/365)</f>
        <v>0</v>
      </c>
      <c r="AD588" s="273">
        <f>AC588*(1+'2. GRI Pricing Inputs'!$D$114)^((AD$16-AC$16)/365)</f>
        <v>0</v>
      </c>
      <c r="AE588" s="273">
        <f>AD588*(1+'2. GRI Pricing Inputs'!$D$114)^((AE$16-AD$16)/365)</f>
        <v>0</v>
      </c>
      <c r="AF588" s="273">
        <f>AE588*(1+'2. GRI Pricing Inputs'!$D$114)^((AF$16-AE$16)/365)</f>
        <v>0</v>
      </c>
      <c r="AG588" s="273">
        <f>AF588*(1+'2. GRI Pricing Inputs'!$D$114)^((AG$16-AF$16)/365)</f>
        <v>0</v>
      </c>
      <c r="AH588" s="273">
        <f>AG588*(1+'2. GRI Pricing Inputs'!$D$114)^((AH$16-AG$16)/365)</f>
        <v>0</v>
      </c>
      <c r="AI588" s="273">
        <f>AH588*(1+'2. GRI Pricing Inputs'!$D$114)^((AI$16-AH$16)/365)</f>
        <v>0</v>
      </c>
      <c r="AJ588" s="273">
        <f>AI588*(1+'2. GRI Pricing Inputs'!$D$114)^((AJ$16-AI$16)/365)</f>
        <v>0</v>
      </c>
      <c r="AK588" s="273">
        <f>AJ588*(1+'2. GRI Pricing Inputs'!$D$114)^((AK$16-AJ$16)/365)</f>
        <v>0</v>
      </c>
      <c r="AL588" s="273">
        <f>AK588*(1+'2. GRI Pricing Inputs'!$D$114)^((AL$16-AK$16)/365)</f>
        <v>0</v>
      </c>
      <c r="AM588" s="273">
        <f>AL588*(1+'2. GRI Pricing Inputs'!$D$114)^((AM$16-AL$16)/365)</f>
        <v>0</v>
      </c>
      <c r="AN588" s="273">
        <f>AM588*(1+'2. GRI Pricing Inputs'!$D$114)^((AN$16-AM$16)/365)</f>
        <v>0</v>
      </c>
      <c r="AO588" s="273">
        <f>AN588*(1+'2. GRI Pricing Inputs'!$D$114)^((AO$16-AN$16)/365)</f>
        <v>0</v>
      </c>
    </row>
    <row r="589" spans="3:41" ht="12" x14ac:dyDescent="0.2">
      <c r="C589" s="76">
        <f>'1. Accomodation'!N593</f>
        <v>0</v>
      </c>
      <c r="D589" s="69">
        <f>'1. Accomodation'!P593</f>
        <v>0</v>
      </c>
      <c r="E589" s="69">
        <f>'1. Accomodation'!Q593</f>
        <v>0</v>
      </c>
      <c r="F589" s="77">
        <f>'1. Accomodation'!O593</f>
        <v>0</v>
      </c>
      <c r="G589" s="69">
        <f>'1. Accomodation'!R593</f>
        <v>0</v>
      </c>
      <c r="H589" s="69">
        <f>'1. Accomodation'!S593</f>
        <v>0</v>
      </c>
      <c r="I589" s="62"/>
      <c r="K589" s="272">
        <f>IFERROR(INDEX('2. GRI Pricing Inputs'!$C$15:$AI$16,MATCH($K$16,'2. GRI Pricing Inputs'!$C$15:$C$16,0),MATCH(D589,'2. GRI Pricing Inputs'!$C$15:$AI$15,0)),0)</f>
        <v>0</v>
      </c>
      <c r="L589" s="273">
        <f>IFERROR(INDEX('2. GRI Pricing Inputs'!$C$22:$AI$23,MATCH($L$16,'2. GRI Pricing Inputs'!$C$22:$C$23,0),MATCH(E589,'2. GRI Pricing Inputs'!$C$22:$AI$22,0)),0)</f>
        <v>0</v>
      </c>
      <c r="M589" s="328">
        <f>IF(AND('3. GRI Pricing'!$F589&gt;='2. GRI Pricing Inputs'!$D$33,'3. GRI Pricing'!$F589&lt;='2. GRI Pricing Inputs'!$E$33),'2. GRI Pricing Inputs'!$D$32,IF(AND('3. GRI Pricing'!$F589&gt;='2. GRI Pricing Inputs'!$F$33,'3. GRI Pricing'!$F589&lt;='2. GRI Pricing Inputs'!$G$33),'2. GRI Pricing Inputs'!$F$32,IF(AND('3. GRI Pricing'!$F589&gt;='2. GRI Pricing Inputs'!$H$33,'3. GRI Pricing'!$F589&lt;='2. GRI Pricing Inputs'!$I$33),'2. GRI Pricing Inputs'!$H$32,IF(AND('3. GRI Pricing'!$F589&gt;='2. GRI Pricing Inputs'!$J$33,'3. GRI Pricing'!$F589&lt;='2. GRI Pricing Inputs'!$K$33),'2. GRI Pricing Inputs'!$J$32,IF(AND('3. GRI Pricing'!$F589&gt;='2. GRI Pricing Inputs'!$L$33,'3. GRI Pricing'!$F589&lt;='2. GRI Pricing Inputs'!$M$33),'2. GRI Pricing Inputs'!$L$32,IF(AND('3. GRI Pricing'!$F589&gt;='2. GRI Pricing Inputs'!$N$33,'3. GRI Pricing'!$F589&lt;='2. GRI Pricing Inputs'!$O$33),'2. GRI Pricing Inputs'!$N$32,IF(AND('3. GRI Pricing'!$F589&gt;='2. GRI Pricing Inputs'!$P$33,'3. GRI Pricing'!$F589&lt;='2. GRI Pricing Inputs'!$Q$33),'2. GRI Pricing Inputs'!$P$32,IF(AND('3. GRI Pricing'!$F589&gt;='2. GRI Pricing Inputs'!$R$33,'3. GRI Pricing'!$F589&lt;='2. GRI Pricing Inputs'!$S$33),'2. GRI Pricing Inputs'!$R$32,IF(AND('3. GRI Pricing'!$F589&gt;='2. GRI Pricing Inputs'!$T$33,'3. GRI Pricing'!$F589&lt;='2. GRI Pricing Inputs'!$U$33),'2. GRI Pricing Inputs'!$T$32,IF(AND('3. GRI Pricing'!$F589&gt;='2. GRI Pricing Inputs'!$V$33,'3. GRI Pricing'!$F589&lt;='2. GRI Pricing Inputs'!$W$33),'2. GRI Pricing Inputs'!$V$32,IF(AND('3. GRI Pricing'!$F589&gt;='2. GRI Pricing Inputs'!$X$33,'3. GRI Pricing'!$F589&lt;='2. GRI Pricing Inputs'!$Y$33),'2. GRI Pricing Inputs'!$X$32,IF(AND('3. GRI Pricing'!$F589&gt;='2. GRI Pricing Inputs'!$Z$33,'3. GRI Pricing'!$F589&lt;='2. GRI Pricing Inputs'!$AA$33),'2. GRI Pricing Inputs'!$Z$32,IF(AND('3. GRI Pricing'!$F589&gt;='2. GRI Pricing Inputs'!$AB$33,'3. GRI Pricing'!$F589&lt;='2. GRI Pricing Inputs'!$AC$33),'2. GRI Pricing Inputs'!$AB$32,IF(AND('3. GRI Pricing'!$F589&gt;='2. GRI Pricing Inputs'!$AD$33,'3. GRI Pricing'!$F589&lt;='2. GRI Pricing Inputs'!$AE$33),'2. GRI Pricing Inputs'!$AD$32,IF(AND('3. GRI Pricing'!$F589&gt;='2. GRI Pricing Inputs'!$AF$33,'3. GRI Pricing'!$F589&lt;='2. GRI Pricing Inputs'!$AG$33),'2. GRI Pricing Inputs'!$AF$32,IF(AND('3. GRI Pricing'!$F589&gt;='2. GRI Pricing Inputs'!$AH$33,'3. GRI Pricing'!$F589&lt;='2. GRI Pricing Inputs'!$AI$33),'2. GRI Pricing Inputs'!$AH$32,0))))))))))))))))</f>
        <v>0</v>
      </c>
      <c r="N589" s="273" cm="1">
        <f t="array" ref="N589">IFERROR(INDEX('2. GRI Pricing Inputs'!$C$32:$AI$39,MATCH('3. GRI Pricing'!D589,'2. GRI Pricing Inputs'!$C$32:$C$39,0),(MATCH('3. GRI Pricing'!M589,'2. GRI Pricing Inputs'!$D$32:$AI$32,0)+1)),0)</f>
        <v>0</v>
      </c>
      <c r="O589" s="273">
        <f>IFERROR(INDEX('2. GRI Pricing Inputs'!$C$45:$AI$46,MATCH($O$16,'2. GRI Pricing Inputs'!$C$45:$C$46,0),MATCH(G589,'2. GRI Pricing Inputs'!$C$45:$AI$45,0)),0)</f>
        <v>0</v>
      </c>
      <c r="P589" s="273">
        <f>IFERROR(INDEX('2. GRI Pricing Inputs'!$C$53:$AI$54,MATCH('3. GRI Pricing'!$P$16,'2. GRI Pricing Inputs'!$C$53:$C$54,0),MATCH('3. GRI Pricing'!H589,'2. GRI Pricing Inputs'!$C$53:$AI$53,0)),0)</f>
        <v>0</v>
      </c>
      <c r="Q589" s="273">
        <f>IFERROR(INDEX('2. GRI Pricing Inputs'!$C$60:$AI$61,MATCH('3. GRI Pricing'!$Q$16,'2. GRI Pricing Inputs'!$C$60:$C$61,0),MATCH('1. Accomodation'!T593,'2. GRI Pricing Inputs'!$C$60:$AI$60,0)),0)</f>
        <v>0</v>
      </c>
      <c r="R589" s="273">
        <f>IFERROR(INDEX('2. GRI Pricing Inputs'!$C$67:$AI$68,MATCH('3. GRI Pricing'!$R$16,'2. GRI Pricing Inputs'!$C$67:$C$68,0),MATCH('1. Accomodation'!U593,'2. GRI Pricing Inputs'!$C$67:$AI$67,0)),0)</f>
        <v>0</v>
      </c>
      <c r="S589" s="273">
        <f>IF(D589=0,0,'2. GRI Pricing Inputs'!$AI$75)</f>
        <v>0</v>
      </c>
      <c r="T589" s="273">
        <f>IFERROR(INDEX('2. GRI Pricing Inputs'!$C$82:$AI$83,MATCH('3. GRI Pricing'!$T$16,'2. GRI Pricing Inputs'!$C$82:$C$83,0),MATCH('1. Accomodation'!V593,'2. GRI Pricing Inputs'!$C$82:$AI$82,0)),0)</f>
        <v>0</v>
      </c>
      <c r="U589" s="273">
        <f>IFERROR(INDEX('2. GRI Pricing Inputs'!$C$89:$AI$90,MATCH('3. GRI Pricing'!$U$16,'2. GRI Pricing Inputs'!$C$89:$C$90,0),MATCH('1. Accomodation'!W593,'2. GRI Pricing Inputs'!$C$89:$AI$89,0)),0)</f>
        <v>0</v>
      </c>
      <c r="V589" s="273">
        <f>IFERROR(INDEX('2. GRI Pricing Inputs'!$C$97:$AI$98,MATCH('3. GRI Pricing'!$V$16,'2. GRI Pricing Inputs'!$C$97:$C$98,0),MATCH('1. Accomodation'!X593,'2. GRI Pricing Inputs'!$C$97:$AI$97,0)),0)</f>
        <v>0</v>
      </c>
      <c r="W589" s="273">
        <f>IFERROR(INDEX('2. GRI Pricing Inputs'!$C$104:$AI$105,MATCH('3. GRI Pricing'!$W$16,'2. GRI Pricing Inputs'!$C$104:$C$105,0),MATCH('1. Accomodation'!Y593,'2. GRI Pricing Inputs'!$C$104:$AI$104,0)),0)</f>
        <v>0</v>
      </c>
      <c r="X589" s="274"/>
      <c r="Y589" s="275">
        <f t="shared" si="15"/>
        <v>0</v>
      </c>
      <c r="Z589" s="276"/>
      <c r="AA589" s="276"/>
      <c r="AB589" s="276"/>
      <c r="AC589" s="272">
        <f>Y589*(1+'2. GRI Pricing Inputs'!$D$114)^(($AC$16-$AB$15)/365)</f>
        <v>0</v>
      </c>
      <c r="AD589" s="273">
        <f>AC589*(1+'2. GRI Pricing Inputs'!$D$114)^((AD$16-AC$16)/365)</f>
        <v>0</v>
      </c>
      <c r="AE589" s="273">
        <f>AD589*(1+'2. GRI Pricing Inputs'!$D$114)^((AE$16-AD$16)/365)</f>
        <v>0</v>
      </c>
      <c r="AF589" s="273">
        <f>AE589*(1+'2. GRI Pricing Inputs'!$D$114)^((AF$16-AE$16)/365)</f>
        <v>0</v>
      </c>
      <c r="AG589" s="273">
        <f>AF589*(1+'2. GRI Pricing Inputs'!$D$114)^((AG$16-AF$16)/365)</f>
        <v>0</v>
      </c>
      <c r="AH589" s="273">
        <f>AG589*(1+'2. GRI Pricing Inputs'!$D$114)^((AH$16-AG$16)/365)</f>
        <v>0</v>
      </c>
      <c r="AI589" s="273">
        <f>AH589*(1+'2. GRI Pricing Inputs'!$D$114)^((AI$16-AH$16)/365)</f>
        <v>0</v>
      </c>
      <c r="AJ589" s="273">
        <f>AI589*(1+'2. GRI Pricing Inputs'!$D$114)^((AJ$16-AI$16)/365)</f>
        <v>0</v>
      </c>
      <c r="AK589" s="273">
        <f>AJ589*(1+'2. GRI Pricing Inputs'!$D$114)^((AK$16-AJ$16)/365)</f>
        <v>0</v>
      </c>
      <c r="AL589" s="273">
        <f>AK589*(1+'2. GRI Pricing Inputs'!$D$114)^((AL$16-AK$16)/365)</f>
        <v>0</v>
      </c>
      <c r="AM589" s="273">
        <f>AL589*(1+'2. GRI Pricing Inputs'!$D$114)^((AM$16-AL$16)/365)</f>
        <v>0</v>
      </c>
      <c r="AN589" s="273">
        <f>AM589*(1+'2. GRI Pricing Inputs'!$D$114)^((AN$16-AM$16)/365)</f>
        <v>0</v>
      </c>
      <c r="AO589" s="273">
        <f>AN589*(1+'2. GRI Pricing Inputs'!$D$114)^((AO$16-AN$16)/365)</f>
        <v>0</v>
      </c>
    </row>
    <row r="590" spans="3:41" ht="12" x14ac:dyDescent="0.2">
      <c r="C590" s="76">
        <f>'1. Accomodation'!N594</f>
        <v>0</v>
      </c>
      <c r="D590" s="69">
        <f>'1. Accomodation'!P594</f>
        <v>0</v>
      </c>
      <c r="E590" s="69">
        <f>'1. Accomodation'!Q594</f>
        <v>0</v>
      </c>
      <c r="F590" s="77">
        <f>'1. Accomodation'!O594</f>
        <v>0</v>
      </c>
      <c r="G590" s="69">
        <f>'1. Accomodation'!R594</f>
        <v>0</v>
      </c>
      <c r="H590" s="69">
        <f>'1. Accomodation'!S594</f>
        <v>0</v>
      </c>
      <c r="I590" s="62"/>
      <c r="K590" s="272">
        <f>IFERROR(INDEX('2. GRI Pricing Inputs'!$C$15:$AI$16,MATCH($K$16,'2. GRI Pricing Inputs'!$C$15:$C$16,0),MATCH(D590,'2. GRI Pricing Inputs'!$C$15:$AI$15,0)),0)</f>
        <v>0</v>
      </c>
      <c r="L590" s="273">
        <f>IFERROR(INDEX('2. GRI Pricing Inputs'!$C$22:$AI$23,MATCH($L$16,'2. GRI Pricing Inputs'!$C$22:$C$23,0),MATCH(E590,'2. GRI Pricing Inputs'!$C$22:$AI$22,0)),0)</f>
        <v>0</v>
      </c>
      <c r="M590" s="328">
        <f>IF(AND('3. GRI Pricing'!$F590&gt;='2. GRI Pricing Inputs'!$D$33,'3. GRI Pricing'!$F590&lt;='2. GRI Pricing Inputs'!$E$33),'2. GRI Pricing Inputs'!$D$32,IF(AND('3. GRI Pricing'!$F590&gt;='2. GRI Pricing Inputs'!$F$33,'3. GRI Pricing'!$F590&lt;='2. GRI Pricing Inputs'!$G$33),'2. GRI Pricing Inputs'!$F$32,IF(AND('3. GRI Pricing'!$F590&gt;='2. GRI Pricing Inputs'!$H$33,'3. GRI Pricing'!$F590&lt;='2. GRI Pricing Inputs'!$I$33),'2. GRI Pricing Inputs'!$H$32,IF(AND('3. GRI Pricing'!$F590&gt;='2. GRI Pricing Inputs'!$J$33,'3. GRI Pricing'!$F590&lt;='2. GRI Pricing Inputs'!$K$33),'2. GRI Pricing Inputs'!$J$32,IF(AND('3. GRI Pricing'!$F590&gt;='2. GRI Pricing Inputs'!$L$33,'3. GRI Pricing'!$F590&lt;='2. GRI Pricing Inputs'!$M$33),'2. GRI Pricing Inputs'!$L$32,IF(AND('3. GRI Pricing'!$F590&gt;='2. GRI Pricing Inputs'!$N$33,'3. GRI Pricing'!$F590&lt;='2. GRI Pricing Inputs'!$O$33),'2. GRI Pricing Inputs'!$N$32,IF(AND('3. GRI Pricing'!$F590&gt;='2. GRI Pricing Inputs'!$P$33,'3. GRI Pricing'!$F590&lt;='2. GRI Pricing Inputs'!$Q$33),'2. GRI Pricing Inputs'!$P$32,IF(AND('3. GRI Pricing'!$F590&gt;='2. GRI Pricing Inputs'!$R$33,'3. GRI Pricing'!$F590&lt;='2. GRI Pricing Inputs'!$S$33),'2. GRI Pricing Inputs'!$R$32,IF(AND('3. GRI Pricing'!$F590&gt;='2. GRI Pricing Inputs'!$T$33,'3. GRI Pricing'!$F590&lt;='2. GRI Pricing Inputs'!$U$33),'2. GRI Pricing Inputs'!$T$32,IF(AND('3. GRI Pricing'!$F590&gt;='2. GRI Pricing Inputs'!$V$33,'3. GRI Pricing'!$F590&lt;='2. GRI Pricing Inputs'!$W$33),'2. GRI Pricing Inputs'!$V$32,IF(AND('3. GRI Pricing'!$F590&gt;='2. GRI Pricing Inputs'!$X$33,'3. GRI Pricing'!$F590&lt;='2. GRI Pricing Inputs'!$Y$33),'2. GRI Pricing Inputs'!$X$32,IF(AND('3. GRI Pricing'!$F590&gt;='2. GRI Pricing Inputs'!$Z$33,'3. GRI Pricing'!$F590&lt;='2. GRI Pricing Inputs'!$AA$33),'2. GRI Pricing Inputs'!$Z$32,IF(AND('3. GRI Pricing'!$F590&gt;='2. GRI Pricing Inputs'!$AB$33,'3. GRI Pricing'!$F590&lt;='2. GRI Pricing Inputs'!$AC$33),'2. GRI Pricing Inputs'!$AB$32,IF(AND('3. GRI Pricing'!$F590&gt;='2. GRI Pricing Inputs'!$AD$33,'3. GRI Pricing'!$F590&lt;='2. GRI Pricing Inputs'!$AE$33),'2. GRI Pricing Inputs'!$AD$32,IF(AND('3. GRI Pricing'!$F590&gt;='2. GRI Pricing Inputs'!$AF$33,'3. GRI Pricing'!$F590&lt;='2. GRI Pricing Inputs'!$AG$33),'2. GRI Pricing Inputs'!$AF$32,IF(AND('3. GRI Pricing'!$F590&gt;='2. GRI Pricing Inputs'!$AH$33,'3. GRI Pricing'!$F590&lt;='2. GRI Pricing Inputs'!$AI$33),'2. GRI Pricing Inputs'!$AH$32,0))))))))))))))))</f>
        <v>0</v>
      </c>
      <c r="N590" s="273" cm="1">
        <f t="array" ref="N590">IFERROR(INDEX('2. GRI Pricing Inputs'!$C$32:$AI$39,MATCH('3. GRI Pricing'!D590,'2. GRI Pricing Inputs'!$C$32:$C$39,0),(MATCH('3. GRI Pricing'!M590,'2. GRI Pricing Inputs'!$D$32:$AI$32,0)+1)),0)</f>
        <v>0</v>
      </c>
      <c r="O590" s="273">
        <f>IFERROR(INDEX('2. GRI Pricing Inputs'!$C$45:$AI$46,MATCH($O$16,'2. GRI Pricing Inputs'!$C$45:$C$46,0),MATCH(G590,'2. GRI Pricing Inputs'!$C$45:$AI$45,0)),0)</f>
        <v>0</v>
      </c>
      <c r="P590" s="273">
        <f>IFERROR(INDEX('2. GRI Pricing Inputs'!$C$53:$AI$54,MATCH('3. GRI Pricing'!$P$16,'2. GRI Pricing Inputs'!$C$53:$C$54,0),MATCH('3. GRI Pricing'!H590,'2. GRI Pricing Inputs'!$C$53:$AI$53,0)),0)</f>
        <v>0</v>
      </c>
      <c r="Q590" s="273">
        <f>IFERROR(INDEX('2. GRI Pricing Inputs'!$C$60:$AI$61,MATCH('3. GRI Pricing'!$Q$16,'2. GRI Pricing Inputs'!$C$60:$C$61,0),MATCH('1. Accomodation'!T594,'2. GRI Pricing Inputs'!$C$60:$AI$60,0)),0)</f>
        <v>0</v>
      </c>
      <c r="R590" s="273">
        <f>IFERROR(INDEX('2. GRI Pricing Inputs'!$C$67:$AI$68,MATCH('3. GRI Pricing'!$R$16,'2. GRI Pricing Inputs'!$C$67:$C$68,0),MATCH('1. Accomodation'!U594,'2. GRI Pricing Inputs'!$C$67:$AI$67,0)),0)</f>
        <v>0</v>
      </c>
      <c r="S590" s="273">
        <f>IF(D590=0,0,'2. GRI Pricing Inputs'!$AI$75)</f>
        <v>0</v>
      </c>
      <c r="T590" s="273">
        <f>IFERROR(INDEX('2. GRI Pricing Inputs'!$C$82:$AI$83,MATCH('3. GRI Pricing'!$T$16,'2. GRI Pricing Inputs'!$C$82:$C$83,0),MATCH('1. Accomodation'!V594,'2. GRI Pricing Inputs'!$C$82:$AI$82,0)),0)</f>
        <v>0</v>
      </c>
      <c r="U590" s="273">
        <f>IFERROR(INDEX('2. GRI Pricing Inputs'!$C$89:$AI$90,MATCH('3. GRI Pricing'!$U$16,'2. GRI Pricing Inputs'!$C$89:$C$90,0),MATCH('1. Accomodation'!W594,'2. GRI Pricing Inputs'!$C$89:$AI$89,0)),0)</f>
        <v>0</v>
      </c>
      <c r="V590" s="273">
        <f>IFERROR(INDEX('2. GRI Pricing Inputs'!$C$97:$AI$98,MATCH('3. GRI Pricing'!$V$16,'2. GRI Pricing Inputs'!$C$97:$C$98,0),MATCH('1. Accomodation'!X594,'2. GRI Pricing Inputs'!$C$97:$AI$97,0)),0)</f>
        <v>0</v>
      </c>
      <c r="W590" s="273">
        <f>IFERROR(INDEX('2. GRI Pricing Inputs'!$C$104:$AI$105,MATCH('3. GRI Pricing'!$W$16,'2. GRI Pricing Inputs'!$C$104:$C$105,0),MATCH('1. Accomodation'!Y594,'2. GRI Pricing Inputs'!$C$104:$AI$104,0)),0)</f>
        <v>0</v>
      </c>
      <c r="X590" s="274"/>
      <c r="Y590" s="275">
        <f t="shared" si="15"/>
        <v>0</v>
      </c>
      <c r="Z590" s="276"/>
      <c r="AA590" s="276"/>
      <c r="AB590" s="276"/>
      <c r="AC590" s="272">
        <f>Y590*(1+'2. GRI Pricing Inputs'!$D$114)^(($AC$16-$AB$15)/365)</f>
        <v>0</v>
      </c>
      <c r="AD590" s="273">
        <f>AC590*(1+'2. GRI Pricing Inputs'!$D$114)^((AD$16-AC$16)/365)</f>
        <v>0</v>
      </c>
      <c r="AE590" s="273">
        <f>AD590*(1+'2. GRI Pricing Inputs'!$D$114)^((AE$16-AD$16)/365)</f>
        <v>0</v>
      </c>
      <c r="AF590" s="273">
        <f>AE590*(1+'2. GRI Pricing Inputs'!$D$114)^((AF$16-AE$16)/365)</f>
        <v>0</v>
      </c>
      <c r="AG590" s="273">
        <f>AF590*(1+'2. GRI Pricing Inputs'!$D$114)^((AG$16-AF$16)/365)</f>
        <v>0</v>
      </c>
      <c r="AH590" s="273">
        <f>AG590*(1+'2. GRI Pricing Inputs'!$D$114)^((AH$16-AG$16)/365)</f>
        <v>0</v>
      </c>
      <c r="AI590" s="273">
        <f>AH590*(1+'2. GRI Pricing Inputs'!$D$114)^((AI$16-AH$16)/365)</f>
        <v>0</v>
      </c>
      <c r="AJ590" s="273">
        <f>AI590*(1+'2. GRI Pricing Inputs'!$D$114)^((AJ$16-AI$16)/365)</f>
        <v>0</v>
      </c>
      <c r="AK590" s="273">
        <f>AJ590*(1+'2. GRI Pricing Inputs'!$D$114)^((AK$16-AJ$16)/365)</f>
        <v>0</v>
      </c>
      <c r="AL590" s="273">
        <f>AK590*(1+'2. GRI Pricing Inputs'!$D$114)^((AL$16-AK$16)/365)</f>
        <v>0</v>
      </c>
      <c r="AM590" s="273">
        <f>AL590*(1+'2. GRI Pricing Inputs'!$D$114)^((AM$16-AL$16)/365)</f>
        <v>0</v>
      </c>
      <c r="AN590" s="273">
        <f>AM590*(1+'2. GRI Pricing Inputs'!$D$114)^((AN$16-AM$16)/365)</f>
        <v>0</v>
      </c>
      <c r="AO590" s="273">
        <f>AN590*(1+'2. GRI Pricing Inputs'!$D$114)^((AO$16-AN$16)/365)</f>
        <v>0</v>
      </c>
    </row>
    <row r="591" spans="3:41" ht="12" x14ac:dyDescent="0.2">
      <c r="C591" s="76">
        <f>'1. Accomodation'!N595</f>
        <v>0</v>
      </c>
      <c r="D591" s="69">
        <f>'1. Accomodation'!P595</f>
        <v>0</v>
      </c>
      <c r="E591" s="69">
        <f>'1. Accomodation'!Q595</f>
        <v>0</v>
      </c>
      <c r="F591" s="77">
        <f>'1. Accomodation'!O595</f>
        <v>0</v>
      </c>
      <c r="G591" s="69">
        <f>'1. Accomodation'!R595</f>
        <v>0</v>
      </c>
      <c r="H591" s="69">
        <f>'1. Accomodation'!S595</f>
        <v>0</v>
      </c>
      <c r="I591" s="62"/>
      <c r="K591" s="272">
        <f>IFERROR(INDEX('2. GRI Pricing Inputs'!$C$15:$AI$16,MATCH($K$16,'2. GRI Pricing Inputs'!$C$15:$C$16,0),MATCH(D591,'2. GRI Pricing Inputs'!$C$15:$AI$15,0)),0)</f>
        <v>0</v>
      </c>
      <c r="L591" s="273">
        <f>IFERROR(INDEX('2. GRI Pricing Inputs'!$C$22:$AI$23,MATCH($L$16,'2. GRI Pricing Inputs'!$C$22:$C$23,0),MATCH(E591,'2. GRI Pricing Inputs'!$C$22:$AI$22,0)),0)</f>
        <v>0</v>
      </c>
      <c r="M591" s="328">
        <f>IF(AND('3. GRI Pricing'!$F591&gt;='2. GRI Pricing Inputs'!$D$33,'3. GRI Pricing'!$F591&lt;='2. GRI Pricing Inputs'!$E$33),'2. GRI Pricing Inputs'!$D$32,IF(AND('3. GRI Pricing'!$F591&gt;='2. GRI Pricing Inputs'!$F$33,'3. GRI Pricing'!$F591&lt;='2. GRI Pricing Inputs'!$G$33),'2. GRI Pricing Inputs'!$F$32,IF(AND('3. GRI Pricing'!$F591&gt;='2. GRI Pricing Inputs'!$H$33,'3. GRI Pricing'!$F591&lt;='2. GRI Pricing Inputs'!$I$33),'2. GRI Pricing Inputs'!$H$32,IF(AND('3. GRI Pricing'!$F591&gt;='2. GRI Pricing Inputs'!$J$33,'3. GRI Pricing'!$F591&lt;='2. GRI Pricing Inputs'!$K$33),'2. GRI Pricing Inputs'!$J$32,IF(AND('3. GRI Pricing'!$F591&gt;='2. GRI Pricing Inputs'!$L$33,'3. GRI Pricing'!$F591&lt;='2. GRI Pricing Inputs'!$M$33),'2. GRI Pricing Inputs'!$L$32,IF(AND('3. GRI Pricing'!$F591&gt;='2. GRI Pricing Inputs'!$N$33,'3. GRI Pricing'!$F591&lt;='2. GRI Pricing Inputs'!$O$33),'2. GRI Pricing Inputs'!$N$32,IF(AND('3. GRI Pricing'!$F591&gt;='2. GRI Pricing Inputs'!$P$33,'3. GRI Pricing'!$F591&lt;='2. GRI Pricing Inputs'!$Q$33),'2. GRI Pricing Inputs'!$P$32,IF(AND('3. GRI Pricing'!$F591&gt;='2. GRI Pricing Inputs'!$R$33,'3. GRI Pricing'!$F591&lt;='2. GRI Pricing Inputs'!$S$33),'2. GRI Pricing Inputs'!$R$32,IF(AND('3. GRI Pricing'!$F591&gt;='2. GRI Pricing Inputs'!$T$33,'3. GRI Pricing'!$F591&lt;='2. GRI Pricing Inputs'!$U$33),'2. GRI Pricing Inputs'!$T$32,IF(AND('3. GRI Pricing'!$F591&gt;='2. GRI Pricing Inputs'!$V$33,'3. GRI Pricing'!$F591&lt;='2. GRI Pricing Inputs'!$W$33),'2. GRI Pricing Inputs'!$V$32,IF(AND('3. GRI Pricing'!$F591&gt;='2. GRI Pricing Inputs'!$X$33,'3. GRI Pricing'!$F591&lt;='2. GRI Pricing Inputs'!$Y$33),'2. GRI Pricing Inputs'!$X$32,IF(AND('3. GRI Pricing'!$F591&gt;='2. GRI Pricing Inputs'!$Z$33,'3. GRI Pricing'!$F591&lt;='2. GRI Pricing Inputs'!$AA$33),'2. GRI Pricing Inputs'!$Z$32,IF(AND('3. GRI Pricing'!$F591&gt;='2. GRI Pricing Inputs'!$AB$33,'3. GRI Pricing'!$F591&lt;='2. GRI Pricing Inputs'!$AC$33),'2. GRI Pricing Inputs'!$AB$32,IF(AND('3. GRI Pricing'!$F591&gt;='2. GRI Pricing Inputs'!$AD$33,'3. GRI Pricing'!$F591&lt;='2. GRI Pricing Inputs'!$AE$33),'2. GRI Pricing Inputs'!$AD$32,IF(AND('3. GRI Pricing'!$F591&gt;='2. GRI Pricing Inputs'!$AF$33,'3. GRI Pricing'!$F591&lt;='2. GRI Pricing Inputs'!$AG$33),'2. GRI Pricing Inputs'!$AF$32,IF(AND('3. GRI Pricing'!$F591&gt;='2. GRI Pricing Inputs'!$AH$33,'3. GRI Pricing'!$F591&lt;='2. GRI Pricing Inputs'!$AI$33),'2. GRI Pricing Inputs'!$AH$32,0))))))))))))))))</f>
        <v>0</v>
      </c>
      <c r="N591" s="273" cm="1">
        <f t="array" ref="N591">IFERROR(INDEX('2. GRI Pricing Inputs'!$C$32:$AI$39,MATCH('3. GRI Pricing'!D591,'2. GRI Pricing Inputs'!$C$32:$C$39,0),(MATCH('3. GRI Pricing'!M591,'2. GRI Pricing Inputs'!$D$32:$AI$32,0)+1)),0)</f>
        <v>0</v>
      </c>
      <c r="O591" s="273">
        <f>IFERROR(INDEX('2. GRI Pricing Inputs'!$C$45:$AI$46,MATCH($O$16,'2. GRI Pricing Inputs'!$C$45:$C$46,0),MATCH(G591,'2. GRI Pricing Inputs'!$C$45:$AI$45,0)),0)</f>
        <v>0</v>
      </c>
      <c r="P591" s="273">
        <f>IFERROR(INDEX('2. GRI Pricing Inputs'!$C$53:$AI$54,MATCH('3. GRI Pricing'!$P$16,'2. GRI Pricing Inputs'!$C$53:$C$54,0),MATCH('3. GRI Pricing'!H591,'2. GRI Pricing Inputs'!$C$53:$AI$53,0)),0)</f>
        <v>0</v>
      </c>
      <c r="Q591" s="273">
        <f>IFERROR(INDEX('2. GRI Pricing Inputs'!$C$60:$AI$61,MATCH('3. GRI Pricing'!$Q$16,'2. GRI Pricing Inputs'!$C$60:$C$61,0),MATCH('1. Accomodation'!T595,'2. GRI Pricing Inputs'!$C$60:$AI$60,0)),0)</f>
        <v>0</v>
      </c>
      <c r="R591" s="273">
        <f>IFERROR(INDEX('2. GRI Pricing Inputs'!$C$67:$AI$68,MATCH('3. GRI Pricing'!$R$16,'2. GRI Pricing Inputs'!$C$67:$C$68,0),MATCH('1. Accomodation'!U595,'2. GRI Pricing Inputs'!$C$67:$AI$67,0)),0)</f>
        <v>0</v>
      </c>
      <c r="S591" s="273">
        <f>IF(D591=0,0,'2. GRI Pricing Inputs'!$AI$75)</f>
        <v>0</v>
      </c>
      <c r="T591" s="273">
        <f>IFERROR(INDEX('2. GRI Pricing Inputs'!$C$82:$AI$83,MATCH('3. GRI Pricing'!$T$16,'2. GRI Pricing Inputs'!$C$82:$C$83,0),MATCH('1. Accomodation'!V595,'2. GRI Pricing Inputs'!$C$82:$AI$82,0)),0)</f>
        <v>0</v>
      </c>
      <c r="U591" s="273">
        <f>IFERROR(INDEX('2. GRI Pricing Inputs'!$C$89:$AI$90,MATCH('3. GRI Pricing'!$U$16,'2. GRI Pricing Inputs'!$C$89:$C$90,0),MATCH('1. Accomodation'!W595,'2. GRI Pricing Inputs'!$C$89:$AI$89,0)),0)</f>
        <v>0</v>
      </c>
      <c r="V591" s="273">
        <f>IFERROR(INDEX('2. GRI Pricing Inputs'!$C$97:$AI$98,MATCH('3. GRI Pricing'!$V$16,'2. GRI Pricing Inputs'!$C$97:$C$98,0),MATCH('1. Accomodation'!X595,'2. GRI Pricing Inputs'!$C$97:$AI$97,0)),0)</f>
        <v>0</v>
      </c>
      <c r="W591" s="273">
        <f>IFERROR(INDEX('2. GRI Pricing Inputs'!$C$104:$AI$105,MATCH('3. GRI Pricing'!$W$16,'2. GRI Pricing Inputs'!$C$104:$C$105,0),MATCH('1. Accomodation'!Y595,'2. GRI Pricing Inputs'!$C$104:$AI$104,0)),0)</f>
        <v>0</v>
      </c>
      <c r="X591" s="274"/>
      <c r="Y591" s="275">
        <f t="shared" si="15"/>
        <v>0</v>
      </c>
      <c r="Z591" s="276"/>
      <c r="AA591" s="276"/>
      <c r="AB591" s="276"/>
      <c r="AC591" s="272">
        <f>Y591*(1+'2. GRI Pricing Inputs'!$D$114)^(($AC$16-$AB$15)/365)</f>
        <v>0</v>
      </c>
      <c r="AD591" s="273">
        <f>AC591*(1+'2. GRI Pricing Inputs'!$D$114)^((AD$16-AC$16)/365)</f>
        <v>0</v>
      </c>
      <c r="AE591" s="273">
        <f>AD591*(1+'2. GRI Pricing Inputs'!$D$114)^((AE$16-AD$16)/365)</f>
        <v>0</v>
      </c>
      <c r="AF591" s="273">
        <f>AE591*(1+'2. GRI Pricing Inputs'!$D$114)^((AF$16-AE$16)/365)</f>
        <v>0</v>
      </c>
      <c r="AG591" s="273">
        <f>AF591*(1+'2. GRI Pricing Inputs'!$D$114)^((AG$16-AF$16)/365)</f>
        <v>0</v>
      </c>
      <c r="AH591" s="273">
        <f>AG591*(1+'2. GRI Pricing Inputs'!$D$114)^((AH$16-AG$16)/365)</f>
        <v>0</v>
      </c>
      <c r="AI591" s="273">
        <f>AH591*(1+'2. GRI Pricing Inputs'!$D$114)^((AI$16-AH$16)/365)</f>
        <v>0</v>
      </c>
      <c r="AJ591" s="273">
        <f>AI591*(1+'2. GRI Pricing Inputs'!$D$114)^((AJ$16-AI$16)/365)</f>
        <v>0</v>
      </c>
      <c r="AK591" s="273">
        <f>AJ591*(1+'2. GRI Pricing Inputs'!$D$114)^((AK$16-AJ$16)/365)</f>
        <v>0</v>
      </c>
      <c r="AL591" s="273">
        <f>AK591*(1+'2. GRI Pricing Inputs'!$D$114)^((AL$16-AK$16)/365)</f>
        <v>0</v>
      </c>
      <c r="AM591" s="273">
        <f>AL591*(1+'2. GRI Pricing Inputs'!$D$114)^((AM$16-AL$16)/365)</f>
        <v>0</v>
      </c>
      <c r="AN591" s="273">
        <f>AM591*(1+'2. GRI Pricing Inputs'!$D$114)^((AN$16-AM$16)/365)</f>
        <v>0</v>
      </c>
      <c r="AO591" s="273">
        <f>AN591*(1+'2. GRI Pricing Inputs'!$D$114)^((AO$16-AN$16)/365)</f>
        <v>0</v>
      </c>
    </row>
    <row r="592" spans="3:41" ht="12" x14ac:dyDescent="0.2">
      <c r="C592" s="76">
        <f>'1. Accomodation'!N596</f>
        <v>0</v>
      </c>
      <c r="D592" s="69">
        <f>'1. Accomodation'!P596</f>
        <v>0</v>
      </c>
      <c r="E592" s="69">
        <f>'1. Accomodation'!Q596</f>
        <v>0</v>
      </c>
      <c r="F592" s="77">
        <f>'1. Accomodation'!O596</f>
        <v>0</v>
      </c>
      <c r="G592" s="69">
        <f>'1. Accomodation'!R596</f>
        <v>0</v>
      </c>
      <c r="H592" s="69">
        <f>'1. Accomodation'!S596</f>
        <v>0</v>
      </c>
      <c r="I592" s="62"/>
      <c r="K592" s="272">
        <f>IFERROR(INDEX('2. GRI Pricing Inputs'!$C$15:$AI$16,MATCH($K$16,'2. GRI Pricing Inputs'!$C$15:$C$16,0),MATCH(D592,'2. GRI Pricing Inputs'!$C$15:$AI$15,0)),0)</f>
        <v>0</v>
      </c>
      <c r="L592" s="273">
        <f>IFERROR(INDEX('2. GRI Pricing Inputs'!$C$22:$AI$23,MATCH($L$16,'2. GRI Pricing Inputs'!$C$22:$C$23,0),MATCH(E592,'2. GRI Pricing Inputs'!$C$22:$AI$22,0)),0)</f>
        <v>0</v>
      </c>
      <c r="M592" s="328">
        <f>IF(AND('3. GRI Pricing'!$F592&gt;='2. GRI Pricing Inputs'!$D$33,'3. GRI Pricing'!$F592&lt;='2. GRI Pricing Inputs'!$E$33),'2. GRI Pricing Inputs'!$D$32,IF(AND('3. GRI Pricing'!$F592&gt;='2. GRI Pricing Inputs'!$F$33,'3. GRI Pricing'!$F592&lt;='2. GRI Pricing Inputs'!$G$33),'2. GRI Pricing Inputs'!$F$32,IF(AND('3. GRI Pricing'!$F592&gt;='2. GRI Pricing Inputs'!$H$33,'3. GRI Pricing'!$F592&lt;='2. GRI Pricing Inputs'!$I$33),'2. GRI Pricing Inputs'!$H$32,IF(AND('3. GRI Pricing'!$F592&gt;='2. GRI Pricing Inputs'!$J$33,'3. GRI Pricing'!$F592&lt;='2. GRI Pricing Inputs'!$K$33),'2. GRI Pricing Inputs'!$J$32,IF(AND('3. GRI Pricing'!$F592&gt;='2. GRI Pricing Inputs'!$L$33,'3. GRI Pricing'!$F592&lt;='2. GRI Pricing Inputs'!$M$33),'2. GRI Pricing Inputs'!$L$32,IF(AND('3. GRI Pricing'!$F592&gt;='2. GRI Pricing Inputs'!$N$33,'3. GRI Pricing'!$F592&lt;='2. GRI Pricing Inputs'!$O$33),'2. GRI Pricing Inputs'!$N$32,IF(AND('3. GRI Pricing'!$F592&gt;='2. GRI Pricing Inputs'!$P$33,'3. GRI Pricing'!$F592&lt;='2. GRI Pricing Inputs'!$Q$33),'2. GRI Pricing Inputs'!$P$32,IF(AND('3. GRI Pricing'!$F592&gt;='2. GRI Pricing Inputs'!$R$33,'3. GRI Pricing'!$F592&lt;='2. GRI Pricing Inputs'!$S$33),'2. GRI Pricing Inputs'!$R$32,IF(AND('3. GRI Pricing'!$F592&gt;='2. GRI Pricing Inputs'!$T$33,'3. GRI Pricing'!$F592&lt;='2. GRI Pricing Inputs'!$U$33),'2. GRI Pricing Inputs'!$T$32,IF(AND('3. GRI Pricing'!$F592&gt;='2. GRI Pricing Inputs'!$V$33,'3. GRI Pricing'!$F592&lt;='2. GRI Pricing Inputs'!$W$33),'2. GRI Pricing Inputs'!$V$32,IF(AND('3. GRI Pricing'!$F592&gt;='2. GRI Pricing Inputs'!$X$33,'3. GRI Pricing'!$F592&lt;='2. GRI Pricing Inputs'!$Y$33),'2. GRI Pricing Inputs'!$X$32,IF(AND('3. GRI Pricing'!$F592&gt;='2. GRI Pricing Inputs'!$Z$33,'3. GRI Pricing'!$F592&lt;='2. GRI Pricing Inputs'!$AA$33),'2. GRI Pricing Inputs'!$Z$32,IF(AND('3. GRI Pricing'!$F592&gt;='2. GRI Pricing Inputs'!$AB$33,'3. GRI Pricing'!$F592&lt;='2. GRI Pricing Inputs'!$AC$33),'2. GRI Pricing Inputs'!$AB$32,IF(AND('3. GRI Pricing'!$F592&gt;='2. GRI Pricing Inputs'!$AD$33,'3. GRI Pricing'!$F592&lt;='2. GRI Pricing Inputs'!$AE$33),'2. GRI Pricing Inputs'!$AD$32,IF(AND('3. GRI Pricing'!$F592&gt;='2. GRI Pricing Inputs'!$AF$33,'3. GRI Pricing'!$F592&lt;='2. GRI Pricing Inputs'!$AG$33),'2. GRI Pricing Inputs'!$AF$32,IF(AND('3. GRI Pricing'!$F592&gt;='2. GRI Pricing Inputs'!$AH$33,'3. GRI Pricing'!$F592&lt;='2. GRI Pricing Inputs'!$AI$33),'2. GRI Pricing Inputs'!$AH$32,0))))))))))))))))</f>
        <v>0</v>
      </c>
      <c r="N592" s="273" cm="1">
        <f t="array" ref="N592">IFERROR(INDEX('2. GRI Pricing Inputs'!$C$32:$AI$39,MATCH('3. GRI Pricing'!D592,'2. GRI Pricing Inputs'!$C$32:$C$39,0),(MATCH('3. GRI Pricing'!M592,'2. GRI Pricing Inputs'!$D$32:$AI$32,0)+1)),0)</f>
        <v>0</v>
      </c>
      <c r="O592" s="273">
        <f>IFERROR(INDEX('2. GRI Pricing Inputs'!$C$45:$AI$46,MATCH($O$16,'2. GRI Pricing Inputs'!$C$45:$C$46,0),MATCH(G592,'2. GRI Pricing Inputs'!$C$45:$AI$45,0)),0)</f>
        <v>0</v>
      </c>
      <c r="P592" s="273">
        <f>IFERROR(INDEX('2. GRI Pricing Inputs'!$C$53:$AI$54,MATCH('3. GRI Pricing'!$P$16,'2. GRI Pricing Inputs'!$C$53:$C$54,0),MATCH('3. GRI Pricing'!H592,'2. GRI Pricing Inputs'!$C$53:$AI$53,0)),0)</f>
        <v>0</v>
      </c>
      <c r="Q592" s="273">
        <f>IFERROR(INDEX('2. GRI Pricing Inputs'!$C$60:$AI$61,MATCH('3. GRI Pricing'!$Q$16,'2. GRI Pricing Inputs'!$C$60:$C$61,0),MATCH('1. Accomodation'!T596,'2. GRI Pricing Inputs'!$C$60:$AI$60,0)),0)</f>
        <v>0</v>
      </c>
      <c r="R592" s="273">
        <f>IFERROR(INDEX('2. GRI Pricing Inputs'!$C$67:$AI$68,MATCH('3. GRI Pricing'!$R$16,'2. GRI Pricing Inputs'!$C$67:$C$68,0),MATCH('1. Accomodation'!U596,'2. GRI Pricing Inputs'!$C$67:$AI$67,0)),0)</f>
        <v>0</v>
      </c>
      <c r="S592" s="273">
        <f>IF(D592=0,0,'2. GRI Pricing Inputs'!$AI$75)</f>
        <v>0</v>
      </c>
      <c r="T592" s="273">
        <f>IFERROR(INDEX('2. GRI Pricing Inputs'!$C$82:$AI$83,MATCH('3. GRI Pricing'!$T$16,'2. GRI Pricing Inputs'!$C$82:$C$83,0),MATCH('1. Accomodation'!V596,'2. GRI Pricing Inputs'!$C$82:$AI$82,0)),0)</f>
        <v>0</v>
      </c>
      <c r="U592" s="273">
        <f>IFERROR(INDEX('2. GRI Pricing Inputs'!$C$89:$AI$90,MATCH('3. GRI Pricing'!$U$16,'2. GRI Pricing Inputs'!$C$89:$C$90,0),MATCH('1. Accomodation'!W596,'2. GRI Pricing Inputs'!$C$89:$AI$89,0)),0)</f>
        <v>0</v>
      </c>
      <c r="V592" s="273">
        <f>IFERROR(INDEX('2. GRI Pricing Inputs'!$C$97:$AI$98,MATCH('3. GRI Pricing'!$V$16,'2. GRI Pricing Inputs'!$C$97:$C$98,0),MATCH('1. Accomodation'!X596,'2. GRI Pricing Inputs'!$C$97:$AI$97,0)),0)</f>
        <v>0</v>
      </c>
      <c r="W592" s="273">
        <f>IFERROR(INDEX('2. GRI Pricing Inputs'!$C$104:$AI$105,MATCH('3. GRI Pricing'!$W$16,'2. GRI Pricing Inputs'!$C$104:$C$105,0),MATCH('1. Accomodation'!Y596,'2. GRI Pricing Inputs'!$C$104:$AI$104,0)),0)</f>
        <v>0</v>
      </c>
      <c r="X592" s="274"/>
      <c r="Y592" s="275">
        <f t="shared" si="15"/>
        <v>0</v>
      </c>
      <c r="Z592" s="276"/>
      <c r="AA592" s="276"/>
      <c r="AB592" s="276"/>
      <c r="AC592" s="272">
        <f>Y592*(1+'2. GRI Pricing Inputs'!$D$114)^(($AC$16-$AB$15)/365)</f>
        <v>0</v>
      </c>
      <c r="AD592" s="273">
        <f>AC592*(1+'2. GRI Pricing Inputs'!$D$114)^((AD$16-AC$16)/365)</f>
        <v>0</v>
      </c>
      <c r="AE592" s="273">
        <f>AD592*(1+'2. GRI Pricing Inputs'!$D$114)^((AE$16-AD$16)/365)</f>
        <v>0</v>
      </c>
      <c r="AF592" s="273">
        <f>AE592*(1+'2. GRI Pricing Inputs'!$D$114)^((AF$16-AE$16)/365)</f>
        <v>0</v>
      </c>
      <c r="AG592" s="273">
        <f>AF592*(1+'2. GRI Pricing Inputs'!$D$114)^((AG$16-AF$16)/365)</f>
        <v>0</v>
      </c>
      <c r="AH592" s="273">
        <f>AG592*(1+'2. GRI Pricing Inputs'!$D$114)^((AH$16-AG$16)/365)</f>
        <v>0</v>
      </c>
      <c r="AI592" s="273">
        <f>AH592*(1+'2. GRI Pricing Inputs'!$D$114)^((AI$16-AH$16)/365)</f>
        <v>0</v>
      </c>
      <c r="AJ592" s="273">
        <f>AI592*(1+'2. GRI Pricing Inputs'!$D$114)^((AJ$16-AI$16)/365)</f>
        <v>0</v>
      </c>
      <c r="AK592" s="273">
        <f>AJ592*(1+'2. GRI Pricing Inputs'!$D$114)^((AK$16-AJ$16)/365)</f>
        <v>0</v>
      </c>
      <c r="AL592" s="273">
        <f>AK592*(1+'2. GRI Pricing Inputs'!$D$114)^((AL$16-AK$16)/365)</f>
        <v>0</v>
      </c>
      <c r="AM592" s="273">
        <f>AL592*(1+'2. GRI Pricing Inputs'!$D$114)^((AM$16-AL$16)/365)</f>
        <v>0</v>
      </c>
      <c r="AN592" s="273">
        <f>AM592*(1+'2. GRI Pricing Inputs'!$D$114)^((AN$16-AM$16)/365)</f>
        <v>0</v>
      </c>
      <c r="AO592" s="273">
        <f>AN592*(1+'2. GRI Pricing Inputs'!$D$114)^((AO$16-AN$16)/365)</f>
        <v>0</v>
      </c>
    </row>
    <row r="593" spans="3:41" ht="12" x14ac:dyDescent="0.2">
      <c r="C593" s="76">
        <f>'1. Accomodation'!N597</f>
        <v>0</v>
      </c>
      <c r="D593" s="69">
        <f>'1. Accomodation'!P597</f>
        <v>0</v>
      </c>
      <c r="E593" s="69">
        <f>'1. Accomodation'!Q597</f>
        <v>0</v>
      </c>
      <c r="F593" s="77">
        <f>'1. Accomodation'!O597</f>
        <v>0</v>
      </c>
      <c r="G593" s="69">
        <f>'1. Accomodation'!R597</f>
        <v>0</v>
      </c>
      <c r="H593" s="69">
        <f>'1. Accomodation'!S597</f>
        <v>0</v>
      </c>
      <c r="I593" s="62"/>
      <c r="K593" s="272">
        <f>IFERROR(INDEX('2. GRI Pricing Inputs'!$C$15:$AI$16,MATCH($K$16,'2. GRI Pricing Inputs'!$C$15:$C$16,0),MATCH(D593,'2. GRI Pricing Inputs'!$C$15:$AI$15,0)),0)</f>
        <v>0</v>
      </c>
      <c r="L593" s="273">
        <f>IFERROR(INDEX('2. GRI Pricing Inputs'!$C$22:$AI$23,MATCH($L$16,'2. GRI Pricing Inputs'!$C$22:$C$23,0),MATCH(E593,'2. GRI Pricing Inputs'!$C$22:$AI$22,0)),0)</f>
        <v>0</v>
      </c>
      <c r="M593" s="328">
        <f>IF(AND('3. GRI Pricing'!$F593&gt;='2. GRI Pricing Inputs'!$D$33,'3. GRI Pricing'!$F593&lt;='2. GRI Pricing Inputs'!$E$33),'2. GRI Pricing Inputs'!$D$32,IF(AND('3. GRI Pricing'!$F593&gt;='2. GRI Pricing Inputs'!$F$33,'3. GRI Pricing'!$F593&lt;='2. GRI Pricing Inputs'!$G$33),'2. GRI Pricing Inputs'!$F$32,IF(AND('3. GRI Pricing'!$F593&gt;='2. GRI Pricing Inputs'!$H$33,'3. GRI Pricing'!$F593&lt;='2. GRI Pricing Inputs'!$I$33),'2. GRI Pricing Inputs'!$H$32,IF(AND('3. GRI Pricing'!$F593&gt;='2. GRI Pricing Inputs'!$J$33,'3. GRI Pricing'!$F593&lt;='2. GRI Pricing Inputs'!$K$33),'2. GRI Pricing Inputs'!$J$32,IF(AND('3. GRI Pricing'!$F593&gt;='2. GRI Pricing Inputs'!$L$33,'3. GRI Pricing'!$F593&lt;='2. GRI Pricing Inputs'!$M$33),'2. GRI Pricing Inputs'!$L$32,IF(AND('3. GRI Pricing'!$F593&gt;='2. GRI Pricing Inputs'!$N$33,'3. GRI Pricing'!$F593&lt;='2. GRI Pricing Inputs'!$O$33),'2. GRI Pricing Inputs'!$N$32,IF(AND('3. GRI Pricing'!$F593&gt;='2. GRI Pricing Inputs'!$P$33,'3. GRI Pricing'!$F593&lt;='2. GRI Pricing Inputs'!$Q$33),'2. GRI Pricing Inputs'!$P$32,IF(AND('3. GRI Pricing'!$F593&gt;='2. GRI Pricing Inputs'!$R$33,'3. GRI Pricing'!$F593&lt;='2. GRI Pricing Inputs'!$S$33),'2. GRI Pricing Inputs'!$R$32,IF(AND('3. GRI Pricing'!$F593&gt;='2. GRI Pricing Inputs'!$T$33,'3. GRI Pricing'!$F593&lt;='2. GRI Pricing Inputs'!$U$33),'2. GRI Pricing Inputs'!$T$32,IF(AND('3. GRI Pricing'!$F593&gt;='2. GRI Pricing Inputs'!$V$33,'3. GRI Pricing'!$F593&lt;='2. GRI Pricing Inputs'!$W$33),'2. GRI Pricing Inputs'!$V$32,IF(AND('3. GRI Pricing'!$F593&gt;='2. GRI Pricing Inputs'!$X$33,'3. GRI Pricing'!$F593&lt;='2. GRI Pricing Inputs'!$Y$33),'2. GRI Pricing Inputs'!$X$32,IF(AND('3. GRI Pricing'!$F593&gt;='2. GRI Pricing Inputs'!$Z$33,'3. GRI Pricing'!$F593&lt;='2. GRI Pricing Inputs'!$AA$33),'2. GRI Pricing Inputs'!$Z$32,IF(AND('3. GRI Pricing'!$F593&gt;='2. GRI Pricing Inputs'!$AB$33,'3. GRI Pricing'!$F593&lt;='2. GRI Pricing Inputs'!$AC$33),'2. GRI Pricing Inputs'!$AB$32,IF(AND('3. GRI Pricing'!$F593&gt;='2. GRI Pricing Inputs'!$AD$33,'3. GRI Pricing'!$F593&lt;='2. GRI Pricing Inputs'!$AE$33),'2. GRI Pricing Inputs'!$AD$32,IF(AND('3. GRI Pricing'!$F593&gt;='2. GRI Pricing Inputs'!$AF$33,'3. GRI Pricing'!$F593&lt;='2. GRI Pricing Inputs'!$AG$33),'2. GRI Pricing Inputs'!$AF$32,IF(AND('3. GRI Pricing'!$F593&gt;='2. GRI Pricing Inputs'!$AH$33,'3. GRI Pricing'!$F593&lt;='2. GRI Pricing Inputs'!$AI$33),'2. GRI Pricing Inputs'!$AH$32,0))))))))))))))))</f>
        <v>0</v>
      </c>
      <c r="N593" s="273" cm="1">
        <f t="array" ref="N593">IFERROR(INDEX('2. GRI Pricing Inputs'!$C$32:$AI$39,MATCH('3. GRI Pricing'!D593,'2. GRI Pricing Inputs'!$C$32:$C$39,0),(MATCH('3. GRI Pricing'!M593,'2. GRI Pricing Inputs'!$D$32:$AI$32,0)+1)),0)</f>
        <v>0</v>
      </c>
      <c r="O593" s="273">
        <f>IFERROR(INDEX('2. GRI Pricing Inputs'!$C$45:$AI$46,MATCH($O$16,'2. GRI Pricing Inputs'!$C$45:$C$46,0),MATCH(G593,'2. GRI Pricing Inputs'!$C$45:$AI$45,0)),0)</f>
        <v>0</v>
      </c>
      <c r="P593" s="273">
        <f>IFERROR(INDEX('2. GRI Pricing Inputs'!$C$53:$AI$54,MATCH('3. GRI Pricing'!$P$16,'2. GRI Pricing Inputs'!$C$53:$C$54,0),MATCH('3. GRI Pricing'!H593,'2. GRI Pricing Inputs'!$C$53:$AI$53,0)),0)</f>
        <v>0</v>
      </c>
      <c r="Q593" s="273">
        <f>IFERROR(INDEX('2. GRI Pricing Inputs'!$C$60:$AI$61,MATCH('3. GRI Pricing'!$Q$16,'2. GRI Pricing Inputs'!$C$60:$C$61,0),MATCH('1. Accomodation'!T597,'2. GRI Pricing Inputs'!$C$60:$AI$60,0)),0)</f>
        <v>0</v>
      </c>
      <c r="R593" s="273">
        <f>IFERROR(INDEX('2. GRI Pricing Inputs'!$C$67:$AI$68,MATCH('3. GRI Pricing'!$R$16,'2. GRI Pricing Inputs'!$C$67:$C$68,0),MATCH('1. Accomodation'!U597,'2. GRI Pricing Inputs'!$C$67:$AI$67,0)),0)</f>
        <v>0</v>
      </c>
      <c r="S593" s="273">
        <f>IF(D593=0,0,'2. GRI Pricing Inputs'!$AI$75)</f>
        <v>0</v>
      </c>
      <c r="T593" s="273">
        <f>IFERROR(INDEX('2. GRI Pricing Inputs'!$C$82:$AI$83,MATCH('3. GRI Pricing'!$T$16,'2. GRI Pricing Inputs'!$C$82:$C$83,0),MATCH('1. Accomodation'!V597,'2. GRI Pricing Inputs'!$C$82:$AI$82,0)),0)</f>
        <v>0</v>
      </c>
      <c r="U593" s="273">
        <f>IFERROR(INDEX('2. GRI Pricing Inputs'!$C$89:$AI$90,MATCH('3. GRI Pricing'!$U$16,'2. GRI Pricing Inputs'!$C$89:$C$90,0),MATCH('1. Accomodation'!W597,'2. GRI Pricing Inputs'!$C$89:$AI$89,0)),0)</f>
        <v>0</v>
      </c>
      <c r="V593" s="273">
        <f>IFERROR(INDEX('2. GRI Pricing Inputs'!$C$97:$AI$98,MATCH('3. GRI Pricing'!$V$16,'2. GRI Pricing Inputs'!$C$97:$C$98,0),MATCH('1. Accomodation'!X597,'2. GRI Pricing Inputs'!$C$97:$AI$97,0)),0)</f>
        <v>0</v>
      </c>
      <c r="W593" s="273">
        <f>IFERROR(INDEX('2. GRI Pricing Inputs'!$C$104:$AI$105,MATCH('3. GRI Pricing'!$W$16,'2. GRI Pricing Inputs'!$C$104:$C$105,0),MATCH('1. Accomodation'!Y597,'2. GRI Pricing Inputs'!$C$104:$AI$104,0)),0)</f>
        <v>0</v>
      </c>
      <c r="X593" s="274"/>
      <c r="Y593" s="275">
        <f t="shared" si="15"/>
        <v>0</v>
      </c>
      <c r="Z593" s="276"/>
      <c r="AA593" s="276"/>
      <c r="AB593" s="276"/>
      <c r="AC593" s="272">
        <f>Y593*(1+'2. GRI Pricing Inputs'!$D$114)^(($AC$16-$AB$15)/365)</f>
        <v>0</v>
      </c>
      <c r="AD593" s="273">
        <f>AC593*(1+'2. GRI Pricing Inputs'!$D$114)^((AD$16-AC$16)/365)</f>
        <v>0</v>
      </c>
      <c r="AE593" s="273">
        <f>AD593*(1+'2. GRI Pricing Inputs'!$D$114)^((AE$16-AD$16)/365)</f>
        <v>0</v>
      </c>
      <c r="AF593" s="273">
        <f>AE593*(1+'2. GRI Pricing Inputs'!$D$114)^((AF$16-AE$16)/365)</f>
        <v>0</v>
      </c>
      <c r="AG593" s="273">
        <f>AF593*(1+'2. GRI Pricing Inputs'!$D$114)^((AG$16-AF$16)/365)</f>
        <v>0</v>
      </c>
      <c r="AH593" s="273">
        <f>AG593*(1+'2. GRI Pricing Inputs'!$D$114)^((AH$16-AG$16)/365)</f>
        <v>0</v>
      </c>
      <c r="AI593" s="273">
        <f>AH593*(1+'2. GRI Pricing Inputs'!$D$114)^((AI$16-AH$16)/365)</f>
        <v>0</v>
      </c>
      <c r="AJ593" s="273">
        <f>AI593*(1+'2. GRI Pricing Inputs'!$D$114)^((AJ$16-AI$16)/365)</f>
        <v>0</v>
      </c>
      <c r="AK593" s="273">
        <f>AJ593*(1+'2. GRI Pricing Inputs'!$D$114)^((AK$16-AJ$16)/365)</f>
        <v>0</v>
      </c>
      <c r="AL593" s="273">
        <f>AK593*(1+'2. GRI Pricing Inputs'!$D$114)^((AL$16-AK$16)/365)</f>
        <v>0</v>
      </c>
      <c r="AM593" s="273">
        <f>AL593*(1+'2. GRI Pricing Inputs'!$D$114)^((AM$16-AL$16)/365)</f>
        <v>0</v>
      </c>
      <c r="AN593" s="273">
        <f>AM593*(1+'2. GRI Pricing Inputs'!$D$114)^((AN$16-AM$16)/365)</f>
        <v>0</v>
      </c>
      <c r="AO593" s="273">
        <f>AN593*(1+'2. GRI Pricing Inputs'!$D$114)^((AO$16-AN$16)/365)</f>
        <v>0</v>
      </c>
    </row>
    <row r="594" spans="3:41" ht="12" x14ac:dyDescent="0.2">
      <c r="C594" s="76">
        <f>'1. Accomodation'!N598</f>
        <v>0</v>
      </c>
      <c r="D594" s="69">
        <f>'1. Accomodation'!P598</f>
        <v>0</v>
      </c>
      <c r="E594" s="69">
        <f>'1. Accomodation'!Q598</f>
        <v>0</v>
      </c>
      <c r="F594" s="77">
        <f>'1. Accomodation'!O598</f>
        <v>0</v>
      </c>
      <c r="G594" s="69">
        <f>'1. Accomodation'!R598</f>
        <v>0</v>
      </c>
      <c r="H594" s="69">
        <f>'1. Accomodation'!S598</f>
        <v>0</v>
      </c>
      <c r="I594" s="62"/>
      <c r="K594" s="272">
        <f>IFERROR(INDEX('2. GRI Pricing Inputs'!$C$15:$AI$16,MATCH($K$16,'2. GRI Pricing Inputs'!$C$15:$C$16,0),MATCH(D594,'2. GRI Pricing Inputs'!$C$15:$AI$15,0)),0)</f>
        <v>0</v>
      </c>
      <c r="L594" s="273">
        <f>IFERROR(INDEX('2. GRI Pricing Inputs'!$C$22:$AI$23,MATCH($L$16,'2. GRI Pricing Inputs'!$C$22:$C$23,0),MATCH(E594,'2. GRI Pricing Inputs'!$C$22:$AI$22,0)),0)</f>
        <v>0</v>
      </c>
      <c r="M594" s="328">
        <f>IF(AND('3. GRI Pricing'!$F594&gt;='2. GRI Pricing Inputs'!$D$33,'3. GRI Pricing'!$F594&lt;='2. GRI Pricing Inputs'!$E$33),'2. GRI Pricing Inputs'!$D$32,IF(AND('3. GRI Pricing'!$F594&gt;='2. GRI Pricing Inputs'!$F$33,'3. GRI Pricing'!$F594&lt;='2. GRI Pricing Inputs'!$G$33),'2. GRI Pricing Inputs'!$F$32,IF(AND('3. GRI Pricing'!$F594&gt;='2. GRI Pricing Inputs'!$H$33,'3. GRI Pricing'!$F594&lt;='2. GRI Pricing Inputs'!$I$33),'2. GRI Pricing Inputs'!$H$32,IF(AND('3. GRI Pricing'!$F594&gt;='2. GRI Pricing Inputs'!$J$33,'3. GRI Pricing'!$F594&lt;='2. GRI Pricing Inputs'!$K$33),'2. GRI Pricing Inputs'!$J$32,IF(AND('3. GRI Pricing'!$F594&gt;='2. GRI Pricing Inputs'!$L$33,'3. GRI Pricing'!$F594&lt;='2. GRI Pricing Inputs'!$M$33),'2. GRI Pricing Inputs'!$L$32,IF(AND('3. GRI Pricing'!$F594&gt;='2. GRI Pricing Inputs'!$N$33,'3. GRI Pricing'!$F594&lt;='2. GRI Pricing Inputs'!$O$33),'2. GRI Pricing Inputs'!$N$32,IF(AND('3. GRI Pricing'!$F594&gt;='2. GRI Pricing Inputs'!$P$33,'3. GRI Pricing'!$F594&lt;='2. GRI Pricing Inputs'!$Q$33),'2. GRI Pricing Inputs'!$P$32,IF(AND('3. GRI Pricing'!$F594&gt;='2. GRI Pricing Inputs'!$R$33,'3. GRI Pricing'!$F594&lt;='2. GRI Pricing Inputs'!$S$33),'2. GRI Pricing Inputs'!$R$32,IF(AND('3. GRI Pricing'!$F594&gt;='2. GRI Pricing Inputs'!$T$33,'3. GRI Pricing'!$F594&lt;='2. GRI Pricing Inputs'!$U$33),'2. GRI Pricing Inputs'!$T$32,IF(AND('3. GRI Pricing'!$F594&gt;='2. GRI Pricing Inputs'!$V$33,'3. GRI Pricing'!$F594&lt;='2. GRI Pricing Inputs'!$W$33),'2. GRI Pricing Inputs'!$V$32,IF(AND('3. GRI Pricing'!$F594&gt;='2. GRI Pricing Inputs'!$X$33,'3. GRI Pricing'!$F594&lt;='2. GRI Pricing Inputs'!$Y$33),'2. GRI Pricing Inputs'!$X$32,IF(AND('3. GRI Pricing'!$F594&gt;='2. GRI Pricing Inputs'!$Z$33,'3. GRI Pricing'!$F594&lt;='2. GRI Pricing Inputs'!$AA$33),'2. GRI Pricing Inputs'!$Z$32,IF(AND('3. GRI Pricing'!$F594&gt;='2. GRI Pricing Inputs'!$AB$33,'3. GRI Pricing'!$F594&lt;='2. GRI Pricing Inputs'!$AC$33),'2. GRI Pricing Inputs'!$AB$32,IF(AND('3. GRI Pricing'!$F594&gt;='2. GRI Pricing Inputs'!$AD$33,'3. GRI Pricing'!$F594&lt;='2. GRI Pricing Inputs'!$AE$33),'2. GRI Pricing Inputs'!$AD$32,IF(AND('3. GRI Pricing'!$F594&gt;='2. GRI Pricing Inputs'!$AF$33,'3. GRI Pricing'!$F594&lt;='2. GRI Pricing Inputs'!$AG$33),'2. GRI Pricing Inputs'!$AF$32,IF(AND('3. GRI Pricing'!$F594&gt;='2. GRI Pricing Inputs'!$AH$33,'3. GRI Pricing'!$F594&lt;='2. GRI Pricing Inputs'!$AI$33),'2. GRI Pricing Inputs'!$AH$32,0))))))))))))))))</f>
        <v>0</v>
      </c>
      <c r="N594" s="273" cm="1">
        <f t="array" ref="N594">IFERROR(INDEX('2. GRI Pricing Inputs'!$C$32:$AI$39,MATCH('3. GRI Pricing'!D594,'2. GRI Pricing Inputs'!$C$32:$C$39,0),(MATCH('3. GRI Pricing'!M594,'2. GRI Pricing Inputs'!$D$32:$AI$32,0)+1)),0)</f>
        <v>0</v>
      </c>
      <c r="O594" s="273">
        <f>IFERROR(INDEX('2. GRI Pricing Inputs'!$C$45:$AI$46,MATCH($O$16,'2. GRI Pricing Inputs'!$C$45:$C$46,0),MATCH(G594,'2. GRI Pricing Inputs'!$C$45:$AI$45,0)),0)</f>
        <v>0</v>
      </c>
      <c r="P594" s="273">
        <f>IFERROR(INDEX('2. GRI Pricing Inputs'!$C$53:$AI$54,MATCH('3. GRI Pricing'!$P$16,'2. GRI Pricing Inputs'!$C$53:$C$54,0),MATCH('3. GRI Pricing'!H594,'2. GRI Pricing Inputs'!$C$53:$AI$53,0)),0)</f>
        <v>0</v>
      </c>
      <c r="Q594" s="273">
        <f>IFERROR(INDEX('2. GRI Pricing Inputs'!$C$60:$AI$61,MATCH('3. GRI Pricing'!$Q$16,'2. GRI Pricing Inputs'!$C$60:$C$61,0),MATCH('1. Accomodation'!T598,'2. GRI Pricing Inputs'!$C$60:$AI$60,0)),0)</f>
        <v>0</v>
      </c>
      <c r="R594" s="273">
        <f>IFERROR(INDEX('2. GRI Pricing Inputs'!$C$67:$AI$68,MATCH('3. GRI Pricing'!$R$16,'2. GRI Pricing Inputs'!$C$67:$C$68,0),MATCH('1. Accomodation'!U598,'2. GRI Pricing Inputs'!$C$67:$AI$67,0)),0)</f>
        <v>0</v>
      </c>
      <c r="S594" s="273">
        <f>IF(D594=0,0,'2. GRI Pricing Inputs'!$AI$75)</f>
        <v>0</v>
      </c>
      <c r="T594" s="273">
        <f>IFERROR(INDEX('2. GRI Pricing Inputs'!$C$82:$AI$83,MATCH('3. GRI Pricing'!$T$16,'2. GRI Pricing Inputs'!$C$82:$C$83,0),MATCH('1. Accomodation'!V598,'2. GRI Pricing Inputs'!$C$82:$AI$82,0)),0)</f>
        <v>0</v>
      </c>
      <c r="U594" s="273">
        <f>IFERROR(INDEX('2. GRI Pricing Inputs'!$C$89:$AI$90,MATCH('3. GRI Pricing'!$U$16,'2. GRI Pricing Inputs'!$C$89:$C$90,0),MATCH('1. Accomodation'!W598,'2. GRI Pricing Inputs'!$C$89:$AI$89,0)),0)</f>
        <v>0</v>
      </c>
      <c r="V594" s="273">
        <f>IFERROR(INDEX('2. GRI Pricing Inputs'!$C$97:$AI$98,MATCH('3. GRI Pricing'!$V$16,'2. GRI Pricing Inputs'!$C$97:$C$98,0),MATCH('1. Accomodation'!X598,'2. GRI Pricing Inputs'!$C$97:$AI$97,0)),0)</f>
        <v>0</v>
      </c>
      <c r="W594" s="273">
        <f>IFERROR(INDEX('2. GRI Pricing Inputs'!$C$104:$AI$105,MATCH('3. GRI Pricing'!$W$16,'2. GRI Pricing Inputs'!$C$104:$C$105,0),MATCH('1. Accomodation'!Y598,'2. GRI Pricing Inputs'!$C$104:$AI$104,0)),0)</f>
        <v>0</v>
      </c>
      <c r="X594" s="274"/>
      <c r="Y594" s="275">
        <f t="shared" ref="Y594:Y616" si="16">K594+L594+N594+O594+P594+Q594+R594+S594+T594+U594+V594+W594+X594</f>
        <v>0</v>
      </c>
      <c r="Z594" s="276"/>
      <c r="AA594" s="276"/>
      <c r="AB594" s="276"/>
      <c r="AC594" s="272">
        <f>Y594*(1+'2. GRI Pricing Inputs'!$D$114)^(($AC$16-$AB$15)/365)</f>
        <v>0</v>
      </c>
      <c r="AD594" s="273">
        <f>AC594*(1+'2. GRI Pricing Inputs'!$D$114)^((AD$16-AC$16)/365)</f>
        <v>0</v>
      </c>
      <c r="AE594" s="273">
        <f>AD594*(1+'2. GRI Pricing Inputs'!$D$114)^((AE$16-AD$16)/365)</f>
        <v>0</v>
      </c>
      <c r="AF594" s="273">
        <f>AE594*(1+'2. GRI Pricing Inputs'!$D$114)^((AF$16-AE$16)/365)</f>
        <v>0</v>
      </c>
      <c r="AG594" s="273">
        <f>AF594*(1+'2. GRI Pricing Inputs'!$D$114)^((AG$16-AF$16)/365)</f>
        <v>0</v>
      </c>
      <c r="AH594" s="273">
        <f>AG594*(1+'2. GRI Pricing Inputs'!$D$114)^((AH$16-AG$16)/365)</f>
        <v>0</v>
      </c>
      <c r="AI594" s="273">
        <f>AH594*(1+'2. GRI Pricing Inputs'!$D$114)^((AI$16-AH$16)/365)</f>
        <v>0</v>
      </c>
      <c r="AJ594" s="273">
        <f>AI594*(1+'2. GRI Pricing Inputs'!$D$114)^((AJ$16-AI$16)/365)</f>
        <v>0</v>
      </c>
      <c r="AK594" s="273">
        <f>AJ594*(1+'2. GRI Pricing Inputs'!$D$114)^((AK$16-AJ$16)/365)</f>
        <v>0</v>
      </c>
      <c r="AL594" s="273">
        <f>AK594*(1+'2. GRI Pricing Inputs'!$D$114)^((AL$16-AK$16)/365)</f>
        <v>0</v>
      </c>
      <c r="AM594" s="273">
        <f>AL594*(1+'2. GRI Pricing Inputs'!$D$114)^((AM$16-AL$16)/365)</f>
        <v>0</v>
      </c>
      <c r="AN594" s="273">
        <f>AM594*(1+'2. GRI Pricing Inputs'!$D$114)^((AN$16-AM$16)/365)</f>
        <v>0</v>
      </c>
      <c r="AO594" s="273">
        <f>AN594*(1+'2. GRI Pricing Inputs'!$D$114)^((AO$16-AN$16)/365)</f>
        <v>0</v>
      </c>
    </row>
    <row r="595" spans="3:41" ht="12" x14ac:dyDescent="0.2">
      <c r="C595" s="76">
        <f>'1. Accomodation'!N599</f>
        <v>0</v>
      </c>
      <c r="D595" s="69">
        <f>'1. Accomodation'!P599</f>
        <v>0</v>
      </c>
      <c r="E595" s="69">
        <f>'1. Accomodation'!Q599</f>
        <v>0</v>
      </c>
      <c r="F595" s="77">
        <f>'1. Accomodation'!O599</f>
        <v>0</v>
      </c>
      <c r="G595" s="69">
        <f>'1. Accomodation'!R599</f>
        <v>0</v>
      </c>
      <c r="H595" s="69">
        <f>'1. Accomodation'!S599</f>
        <v>0</v>
      </c>
      <c r="I595" s="62"/>
      <c r="K595" s="272">
        <f>IFERROR(INDEX('2. GRI Pricing Inputs'!$C$15:$AI$16,MATCH($K$16,'2. GRI Pricing Inputs'!$C$15:$C$16,0),MATCH(D595,'2. GRI Pricing Inputs'!$C$15:$AI$15,0)),0)</f>
        <v>0</v>
      </c>
      <c r="L595" s="273">
        <f>IFERROR(INDEX('2. GRI Pricing Inputs'!$C$22:$AI$23,MATCH($L$16,'2. GRI Pricing Inputs'!$C$22:$C$23,0),MATCH(E595,'2. GRI Pricing Inputs'!$C$22:$AI$22,0)),0)</f>
        <v>0</v>
      </c>
      <c r="M595" s="328">
        <f>IF(AND('3. GRI Pricing'!$F595&gt;='2. GRI Pricing Inputs'!$D$33,'3. GRI Pricing'!$F595&lt;='2. GRI Pricing Inputs'!$E$33),'2. GRI Pricing Inputs'!$D$32,IF(AND('3. GRI Pricing'!$F595&gt;='2. GRI Pricing Inputs'!$F$33,'3. GRI Pricing'!$F595&lt;='2. GRI Pricing Inputs'!$G$33),'2. GRI Pricing Inputs'!$F$32,IF(AND('3. GRI Pricing'!$F595&gt;='2. GRI Pricing Inputs'!$H$33,'3. GRI Pricing'!$F595&lt;='2. GRI Pricing Inputs'!$I$33),'2. GRI Pricing Inputs'!$H$32,IF(AND('3. GRI Pricing'!$F595&gt;='2. GRI Pricing Inputs'!$J$33,'3. GRI Pricing'!$F595&lt;='2. GRI Pricing Inputs'!$K$33),'2. GRI Pricing Inputs'!$J$32,IF(AND('3. GRI Pricing'!$F595&gt;='2. GRI Pricing Inputs'!$L$33,'3. GRI Pricing'!$F595&lt;='2. GRI Pricing Inputs'!$M$33),'2. GRI Pricing Inputs'!$L$32,IF(AND('3. GRI Pricing'!$F595&gt;='2. GRI Pricing Inputs'!$N$33,'3. GRI Pricing'!$F595&lt;='2. GRI Pricing Inputs'!$O$33),'2. GRI Pricing Inputs'!$N$32,IF(AND('3. GRI Pricing'!$F595&gt;='2. GRI Pricing Inputs'!$P$33,'3. GRI Pricing'!$F595&lt;='2. GRI Pricing Inputs'!$Q$33),'2. GRI Pricing Inputs'!$P$32,IF(AND('3. GRI Pricing'!$F595&gt;='2. GRI Pricing Inputs'!$R$33,'3. GRI Pricing'!$F595&lt;='2. GRI Pricing Inputs'!$S$33),'2. GRI Pricing Inputs'!$R$32,IF(AND('3. GRI Pricing'!$F595&gt;='2. GRI Pricing Inputs'!$T$33,'3. GRI Pricing'!$F595&lt;='2. GRI Pricing Inputs'!$U$33),'2. GRI Pricing Inputs'!$T$32,IF(AND('3. GRI Pricing'!$F595&gt;='2. GRI Pricing Inputs'!$V$33,'3. GRI Pricing'!$F595&lt;='2. GRI Pricing Inputs'!$W$33),'2. GRI Pricing Inputs'!$V$32,IF(AND('3. GRI Pricing'!$F595&gt;='2. GRI Pricing Inputs'!$X$33,'3. GRI Pricing'!$F595&lt;='2. GRI Pricing Inputs'!$Y$33),'2. GRI Pricing Inputs'!$X$32,IF(AND('3. GRI Pricing'!$F595&gt;='2. GRI Pricing Inputs'!$Z$33,'3. GRI Pricing'!$F595&lt;='2. GRI Pricing Inputs'!$AA$33),'2. GRI Pricing Inputs'!$Z$32,IF(AND('3. GRI Pricing'!$F595&gt;='2. GRI Pricing Inputs'!$AB$33,'3. GRI Pricing'!$F595&lt;='2. GRI Pricing Inputs'!$AC$33),'2. GRI Pricing Inputs'!$AB$32,IF(AND('3. GRI Pricing'!$F595&gt;='2. GRI Pricing Inputs'!$AD$33,'3. GRI Pricing'!$F595&lt;='2. GRI Pricing Inputs'!$AE$33),'2. GRI Pricing Inputs'!$AD$32,IF(AND('3. GRI Pricing'!$F595&gt;='2. GRI Pricing Inputs'!$AF$33,'3. GRI Pricing'!$F595&lt;='2. GRI Pricing Inputs'!$AG$33),'2. GRI Pricing Inputs'!$AF$32,IF(AND('3. GRI Pricing'!$F595&gt;='2. GRI Pricing Inputs'!$AH$33,'3. GRI Pricing'!$F595&lt;='2. GRI Pricing Inputs'!$AI$33),'2. GRI Pricing Inputs'!$AH$32,0))))))))))))))))</f>
        <v>0</v>
      </c>
      <c r="N595" s="273" cm="1">
        <f t="array" ref="N595">IFERROR(INDEX('2. GRI Pricing Inputs'!$C$32:$AI$39,MATCH('3. GRI Pricing'!D595,'2. GRI Pricing Inputs'!$C$32:$C$39,0),(MATCH('3. GRI Pricing'!M595,'2. GRI Pricing Inputs'!$D$32:$AI$32,0)+1)),0)</f>
        <v>0</v>
      </c>
      <c r="O595" s="273">
        <f>IFERROR(INDEX('2. GRI Pricing Inputs'!$C$45:$AI$46,MATCH($O$16,'2. GRI Pricing Inputs'!$C$45:$C$46,0),MATCH(G595,'2. GRI Pricing Inputs'!$C$45:$AI$45,0)),0)</f>
        <v>0</v>
      </c>
      <c r="P595" s="273">
        <f>IFERROR(INDEX('2. GRI Pricing Inputs'!$C$53:$AI$54,MATCH('3. GRI Pricing'!$P$16,'2. GRI Pricing Inputs'!$C$53:$C$54,0),MATCH('3. GRI Pricing'!H595,'2. GRI Pricing Inputs'!$C$53:$AI$53,0)),0)</f>
        <v>0</v>
      </c>
      <c r="Q595" s="273">
        <f>IFERROR(INDEX('2. GRI Pricing Inputs'!$C$60:$AI$61,MATCH('3. GRI Pricing'!$Q$16,'2. GRI Pricing Inputs'!$C$60:$C$61,0),MATCH('1. Accomodation'!T599,'2. GRI Pricing Inputs'!$C$60:$AI$60,0)),0)</f>
        <v>0</v>
      </c>
      <c r="R595" s="273">
        <f>IFERROR(INDEX('2. GRI Pricing Inputs'!$C$67:$AI$68,MATCH('3. GRI Pricing'!$R$16,'2. GRI Pricing Inputs'!$C$67:$C$68,0),MATCH('1. Accomodation'!U599,'2. GRI Pricing Inputs'!$C$67:$AI$67,0)),0)</f>
        <v>0</v>
      </c>
      <c r="S595" s="273">
        <f>IF(D595=0,0,'2. GRI Pricing Inputs'!$AI$75)</f>
        <v>0</v>
      </c>
      <c r="T595" s="273">
        <f>IFERROR(INDEX('2. GRI Pricing Inputs'!$C$82:$AI$83,MATCH('3. GRI Pricing'!$T$16,'2. GRI Pricing Inputs'!$C$82:$C$83,0),MATCH('1. Accomodation'!V599,'2. GRI Pricing Inputs'!$C$82:$AI$82,0)),0)</f>
        <v>0</v>
      </c>
      <c r="U595" s="273">
        <f>IFERROR(INDEX('2. GRI Pricing Inputs'!$C$89:$AI$90,MATCH('3. GRI Pricing'!$U$16,'2. GRI Pricing Inputs'!$C$89:$C$90,0),MATCH('1. Accomodation'!W599,'2. GRI Pricing Inputs'!$C$89:$AI$89,0)),0)</f>
        <v>0</v>
      </c>
      <c r="V595" s="273">
        <f>IFERROR(INDEX('2. GRI Pricing Inputs'!$C$97:$AI$98,MATCH('3. GRI Pricing'!$V$16,'2. GRI Pricing Inputs'!$C$97:$C$98,0),MATCH('1. Accomodation'!X599,'2. GRI Pricing Inputs'!$C$97:$AI$97,0)),0)</f>
        <v>0</v>
      </c>
      <c r="W595" s="273">
        <f>IFERROR(INDEX('2. GRI Pricing Inputs'!$C$104:$AI$105,MATCH('3. GRI Pricing'!$W$16,'2. GRI Pricing Inputs'!$C$104:$C$105,0),MATCH('1. Accomodation'!Y599,'2. GRI Pricing Inputs'!$C$104:$AI$104,0)),0)</f>
        <v>0</v>
      </c>
      <c r="X595" s="274"/>
      <c r="Y595" s="275">
        <f t="shared" si="16"/>
        <v>0</v>
      </c>
      <c r="Z595" s="276"/>
      <c r="AA595" s="276"/>
      <c r="AB595" s="276"/>
      <c r="AC595" s="272">
        <f>Y595*(1+'2. GRI Pricing Inputs'!$D$114)^(($AC$16-$AB$15)/365)</f>
        <v>0</v>
      </c>
      <c r="AD595" s="273">
        <f>AC595*(1+'2. GRI Pricing Inputs'!$D$114)^((AD$16-AC$16)/365)</f>
        <v>0</v>
      </c>
      <c r="AE595" s="273">
        <f>AD595*(1+'2. GRI Pricing Inputs'!$D$114)^((AE$16-AD$16)/365)</f>
        <v>0</v>
      </c>
      <c r="AF595" s="273">
        <f>AE595*(1+'2. GRI Pricing Inputs'!$D$114)^((AF$16-AE$16)/365)</f>
        <v>0</v>
      </c>
      <c r="AG595" s="273">
        <f>AF595*(1+'2. GRI Pricing Inputs'!$D$114)^((AG$16-AF$16)/365)</f>
        <v>0</v>
      </c>
      <c r="AH595" s="273">
        <f>AG595*(1+'2. GRI Pricing Inputs'!$D$114)^((AH$16-AG$16)/365)</f>
        <v>0</v>
      </c>
      <c r="AI595" s="273">
        <f>AH595*(1+'2. GRI Pricing Inputs'!$D$114)^((AI$16-AH$16)/365)</f>
        <v>0</v>
      </c>
      <c r="AJ595" s="273">
        <f>AI595*(1+'2. GRI Pricing Inputs'!$D$114)^((AJ$16-AI$16)/365)</f>
        <v>0</v>
      </c>
      <c r="AK595" s="273">
        <f>AJ595*(1+'2. GRI Pricing Inputs'!$D$114)^((AK$16-AJ$16)/365)</f>
        <v>0</v>
      </c>
      <c r="AL595" s="273">
        <f>AK595*(1+'2. GRI Pricing Inputs'!$D$114)^((AL$16-AK$16)/365)</f>
        <v>0</v>
      </c>
      <c r="AM595" s="273">
        <f>AL595*(1+'2. GRI Pricing Inputs'!$D$114)^((AM$16-AL$16)/365)</f>
        <v>0</v>
      </c>
      <c r="AN595" s="273">
        <f>AM595*(1+'2. GRI Pricing Inputs'!$D$114)^((AN$16-AM$16)/365)</f>
        <v>0</v>
      </c>
      <c r="AO595" s="273">
        <f>AN595*(1+'2. GRI Pricing Inputs'!$D$114)^((AO$16-AN$16)/365)</f>
        <v>0</v>
      </c>
    </row>
    <row r="596" spans="3:41" ht="12" x14ac:dyDescent="0.2">
      <c r="C596" s="76">
        <f>'1. Accomodation'!N600</f>
        <v>0</v>
      </c>
      <c r="D596" s="69">
        <f>'1. Accomodation'!P600</f>
        <v>0</v>
      </c>
      <c r="E596" s="69">
        <f>'1. Accomodation'!Q600</f>
        <v>0</v>
      </c>
      <c r="F596" s="77">
        <f>'1. Accomodation'!O600</f>
        <v>0</v>
      </c>
      <c r="G596" s="69">
        <f>'1. Accomodation'!R600</f>
        <v>0</v>
      </c>
      <c r="H596" s="69">
        <f>'1. Accomodation'!S600</f>
        <v>0</v>
      </c>
      <c r="I596" s="62"/>
      <c r="K596" s="272">
        <f>IFERROR(INDEX('2. GRI Pricing Inputs'!$C$15:$AI$16,MATCH($K$16,'2. GRI Pricing Inputs'!$C$15:$C$16,0),MATCH(D596,'2. GRI Pricing Inputs'!$C$15:$AI$15,0)),0)</f>
        <v>0</v>
      </c>
      <c r="L596" s="273">
        <f>IFERROR(INDEX('2. GRI Pricing Inputs'!$C$22:$AI$23,MATCH($L$16,'2. GRI Pricing Inputs'!$C$22:$C$23,0),MATCH(E596,'2. GRI Pricing Inputs'!$C$22:$AI$22,0)),0)</f>
        <v>0</v>
      </c>
      <c r="M596" s="328">
        <f>IF(AND('3. GRI Pricing'!$F596&gt;='2. GRI Pricing Inputs'!$D$33,'3. GRI Pricing'!$F596&lt;='2. GRI Pricing Inputs'!$E$33),'2. GRI Pricing Inputs'!$D$32,IF(AND('3. GRI Pricing'!$F596&gt;='2. GRI Pricing Inputs'!$F$33,'3. GRI Pricing'!$F596&lt;='2. GRI Pricing Inputs'!$G$33),'2. GRI Pricing Inputs'!$F$32,IF(AND('3. GRI Pricing'!$F596&gt;='2. GRI Pricing Inputs'!$H$33,'3. GRI Pricing'!$F596&lt;='2. GRI Pricing Inputs'!$I$33),'2. GRI Pricing Inputs'!$H$32,IF(AND('3. GRI Pricing'!$F596&gt;='2. GRI Pricing Inputs'!$J$33,'3. GRI Pricing'!$F596&lt;='2. GRI Pricing Inputs'!$K$33),'2. GRI Pricing Inputs'!$J$32,IF(AND('3. GRI Pricing'!$F596&gt;='2. GRI Pricing Inputs'!$L$33,'3. GRI Pricing'!$F596&lt;='2. GRI Pricing Inputs'!$M$33),'2. GRI Pricing Inputs'!$L$32,IF(AND('3. GRI Pricing'!$F596&gt;='2. GRI Pricing Inputs'!$N$33,'3. GRI Pricing'!$F596&lt;='2. GRI Pricing Inputs'!$O$33),'2. GRI Pricing Inputs'!$N$32,IF(AND('3. GRI Pricing'!$F596&gt;='2. GRI Pricing Inputs'!$P$33,'3. GRI Pricing'!$F596&lt;='2. GRI Pricing Inputs'!$Q$33),'2. GRI Pricing Inputs'!$P$32,IF(AND('3. GRI Pricing'!$F596&gt;='2. GRI Pricing Inputs'!$R$33,'3. GRI Pricing'!$F596&lt;='2. GRI Pricing Inputs'!$S$33),'2. GRI Pricing Inputs'!$R$32,IF(AND('3. GRI Pricing'!$F596&gt;='2. GRI Pricing Inputs'!$T$33,'3. GRI Pricing'!$F596&lt;='2. GRI Pricing Inputs'!$U$33),'2. GRI Pricing Inputs'!$T$32,IF(AND('3. GRI Pricing'!$F596&gt;='2. GRI Pricing Inputs'!$V$33,'3. GRI Pricing'!$F596&lt;='2. GRI Pricing Inputs'!$W$33),'2. GRI Pricing Inputs'!$V$32,IF(AND('3. GRI Pricing'!$F596&gt;='2. GRI Pricing Inputs'!$X$33,'3. GRI Pricing'!$F596&lt;='2. GRI Pricing Inputs'!$Y$33),'2. GRI Pricing Inputs'!$X$32,IF(AND('3. GRI Pricing'!$F596&gt;='2. GRI Pricing Inputs'!$Z$33,'3. GRI Pricing'!$F596&lt;='2. GRI Pricing Inputs'!$AA$33),'2. GRI Pricing Inputs'!$Z$32,IF(AND('3. GRI Pricing'!$F596&gt;='2. GRI Pricing Inputs'!$AB$33,'3. GRI Pricing'!$F596&lt;='2. GRI Pricing Inputs'!$AC$33),'2. GRI Pricing Inputs'!$AB$32,IF(AND('3. GRI Pricing'!$F596&gt;='2. GRI Pricing Inputs'!$AD$33,'3. GRI Pricing'!$F596&lt;='2. GRI Pricing Inputs'!$AE$33),'2. GRI Pricing Inputs'!$AD$32,IF(AND('3. GRI Pricing'!$F596&gt;='2. GRI Pricing Inputs'!$AF$33,'3. GRI Pricing'!$F596&lt;='2. GRI Pricing Inputs'!$AG$33),'2. GRI Pricing Inputs'!$AF$32,IF(AND('3. GRI Pricing'!$F596&gt;='2. GRI Pricing Inputs'!$AH$33,'3. GRI Pricing'!$F596&lt;='2. GRI Pricing Inputs'!$AI$33),'2. GRI Pricing Inputs'!$AH$32,0))))))))))))))))</f>
        <v>0</v>
      </c>
      <c r="N596" s="273" cm="1">
        <f t="array" ref="N596">IFERROR(INDEX('2. GRI Pricing Inputs'!$C$32:$AI$39,MATCH('3. GRI Pricing'!D596,'2. GRI Pricing Inputs'!$C$32:$C$39,0),(MATCH('3. GRI Pricing'!M596,'2. GRI Pricing Inputs'!$D$32:$AI$32,0)+1)),0)</f>
        <v>0</v>
      </c>
      <c r="O596" s="273">
        <f>IFERROR(INDEX('2. GRI Pricing Inputs'!$C$45:$AI$46,MATCH($O$16,'2. GRI Pricing Inputs'!$C$45:$C$46,0),MATCH(G596,'2. GRI Pricing Inputs'!$C$45:$AI$45,0)),0)</f>
        <v>0</v>
      </c>
      <c r="P596" s="273">
        <f>IFERROR(INDEX('2. GRI Pricing Inputs'!$C$53:$AI$54,MATCH('3. GRI Pricing'!$P$16,'2. GRI Pricing Inputs'!$C$53:$C$54,0),MATCH('3. GRI Pricing'!H596,'2. GRI Pricing Inputs'!$C$53:$AI$53,0)),0)</f>
        <v>0</v>
      </c>
      <c r="Q596" s="273">
        <f>IFERROR(INDEX('2. GRI Pricing Inputs'!$C$60:$AI$61,MATCH('3. GRI Pricing'!$Q$16,'2. GRI Pricing Inputs'!$C$60:$C$61,0),MATCH('1. Accomodation'!T600,'2. GRI Pricing Inputs'!$C$60:$AI$60,0)),0)</f>
        <v>0</v>
      </c>
      <c r="R596" s="273">
        <f>IFERROR(INDEX('2. GRI Pricing Inputs'!$C$67:$AI$68,MATCH('3. GRI Pricing'!$R$16,'2. GRI Pricing Inputs'!$C$67:$C$68,0),MATCH('1. Accomodation'!U600,'2. GRI Pricing Inputs'!$C$67:$AI$67,0)),0)</f>
        <v>0</v>
      </c>
      <c r="S596" s="273">
        <f>IF(D596=0,0,'2. GRI Pricing Inputs'!$AI$75)</f>
        <v>0</v>
      </c>
      <c r="T596" s="273">
        <f>IFERROR(INDEX('2. GRI Pricing Inputs'!$C$82:$AI$83,MATCH('3. GRI Pricing'!$T$16,'2. GRI Pricing Inputs'!$C$82:$C$83,0),MATCH('1. Accomodation'!V600,'2. GRI Pricing Inputs'!$C$82:$AI$82,0)),0)</f>
        <v>0</v>
      </c>
      <c r="U596" s="273">
        <f>IFERROR(INDEX('2. GRI Pricing Inputs'!$C$89:$AI$90,MATCH('3. GRI Pricing'!$U$16,'2. GRI Pricing Inputs'!$C$89:$C$90,0),MATCH('1. Accomodation'!W600,'2. GRI Pricing Inputs'!$C$89:$AI$89,0)),0)</f>
        <v>0</v>
      </c>
      <c r="V596" s="273">
        <f>IFERROR(INDEX('2. GRI Pricing Inputs'!$C$97:$AI$98,MATCH('3. GRI Pricing'!$V$16,'2. GRI Pricing Inputs'!$C$97:$C$98,0),MATCH('1. Accomodation'!X600,'2. GRI Pricing Inputs'!$C$97:$AI$97,0)),0)</f>
        <v>0</v>
      </c>
      <c r="W596" s="273">
        <f>IFERROR(INDEX('2. GRI Pricing Inputs'!$C$104:$AI$105,MATCH('3. GRI Pricing'!$W$16,'2. GRI Pricing Inputs'!$C$104:$C$105,0),MATCH('1. Accomodation'!Y600,'2. GRI Pricing Inputs'!$C$104:$AI$104,0)),0)</f>
        <v>0</v>
      </c>
      <c r="X596" s="274"/>
      <c r="Y596" s="275">
        <f t="shared" si="16"/>
        <v>0</v>
      </c>
      <c r="Z596" s="276"/>
      <c r="AA596" s="276"/>
      <c r="AB596" s="276"/>
      <c r="AC596" s="272">
        <f>Y596*(1+'2. GRI Pricing Inputs'!$D$114)^(($AC$16-$AB$15)/365)</f>
        <v>0</v>
      </c>
      <c r="AD596" s="273">
        <f>AC596*(1+'2. GRI Pricing Inputs'!$D$114)^((AD$16-AC$16)/365)</f>
        <v>0</v>
      </c>
      <c r="AE596" s="273">
        <f>AD596*(1+'2. GRI Pricing Inputs'!$D$114)^((AE$16-AD$16)/365)</f>
        <v>0</v>
      </c>
      <c r="AF596" s="273">
        <f>AE596*(1+'2. GRI Pricing Inputs'!$D$114)^((AF$16-AE$16)/365)</f>
        <v>0</v>
      </c>
      <c r="AG596" s="273">
        <f>AF596*(1+'2. GRI Pricing Inputs'!$D$114)^((AG$16-AF$16)/365)</f>
        <v>0</v>
      </c>
      <c r="AH596" s="273">
        <f>AG596*(1+'2. GRI Pricing Inputs'!$D$114)^((AH$16-AG$16)/365)</f>
        <v>0</v>
      </c>
      <c r="AI596" s="273">
        <f>AH596*(1+'2. GRI Pricing Inputs'!$D$114)^((AI$16-AH$16)/365)</f>
        <v>0</v>
      </c>
      <c r="AJ596" s="273">
        <f>AI596*(1+'2. GRI Pricing Inputs'!$D$114)^((AJ$16-AI$16)/365)</f>
        <v>0</v>
      </c>
      <c r="AK596" s="273">
        <f>AJ596*(1+'2. GRI Pricing Inputs'!$D$114)^((AK$16-AJ$16)/365)</f>
        <v>0</v>
      </c>
      <c r="AL596" s="273">
        <f>AK596*(1+'2. GRI Pricing Inputs'!$D$114)^((AL$16-AK$16)/365)</f>
        <v>0</v>
      </c>
      <c r="AM596" s="273">
        <f>AL596*(1+'2. GRI Pricing Inputs'!$D$114)^((AM$16-AL$16)/365)</f>
        <v>0</v>
      </c>
      <c r="AN596" s="273">
        <f>AM596*(1+'2. GRI Pricing Inputs'!$D$114)^((AN$16-AM$16)/365)</f>
        <v>0</v>
      </c>
      <c r="AO596" s="273">
        <f>AN596*(1+'2. GRI Pricing Inputs'!$D$114)^((AO$16-AN$16)/365)</f>
        <v>0</v>
      </c>
    </row>
    <row r="597" spans="3:41" ht="12" x14ac:dyDescent="0.2">
      <c r="C597" s="76">
        <f>'1. Accomodation'!N601</f>
        <v>0</v>
      </c>
      <c r="D597" s="69">
        <f>'1. Accomodation'!P601</f>
        <v>0</v>
      </c>
      <c r="E597" s="69">
        <f>'1. Accomodation'!Q601</f>
        <v>0</v>
      </c>
      <c r="F597" s="77">
        <f>'1. Accomodation'!O601</f>
        <v>0</v>
      </c>
      <c r="G597" s="69">
        <f>'1. Accomodation'!R601</f>
        <v>0</v>
      </c>
      <c r="H597" s="69">
        <f>'1. Accomodation'!S601</f>
        <v>0</v>
      </c>
      <c r="I597" s="62"/>
      <c r="K597" s="272">
        <f>IFERROR(INDEX('2. GRI Pricing Inputs'!$C$15:$AI$16,MATCH($K$16,'2. GRI Pricing Inputs'!$C$15:$C$16,0),MATCH(D597,'2. GRI Pricing Inputs'!$C$15:$AI$15,0)),0)</f>
        <v>0</v>
      </c>
      <c r="L597" s="273">
        <f>IFERROR(INDEX('2. GRI Pricing Inputs'!$C$22:$AI$23,MATCH($L$16,'2. GRI Pricing Inputs'!$C$22:$C$23,0),MATCH(E597,'2. GRI Pricing Inputs'!$C$22:$AI$22,0)),0)</f>
        <v>0</v>
      </c>
      <c r="M597" s="328">
        <f>IF(AND('3. GRI Pricing'!$F597&gt;='2. GRI Pricing Inputs'!$D$33,'3. GRI Pricing'!$F597&lt;='2. GRI Pricing Inputs'!$E$33),'2. GRI Pricing Inputs'!$D$32,IF(AND('3. GRI Pricing'!$F597&gt;='2. GRI Pricing Inputs'!$F$33,'3. GRI Pricing'!$F597&lt;='2. GRI Pricing Inputs'!$G$33),'2. GRI Pricing Inputs'!$F$32,IF(AND('3. GRI Pricing'!$F597&gt;='2. GRI Pricing Inputs'!$H$33,'3. GRI Pricing'!$F597&lt;='2. GRI Pricing Inputs'!$I$33),'2. GRI Pricing Inputs'!$H$32,IF(AND('3. GRI Pricing'!$F597&gt;='2. GRI Pricing Inputs'!$J$33,'3. GRI Pricing'!$F597&lt;='2. GRI Pricing Inputs'!$K$33),'2. GRI Pricing Inputs'!$J$32,IF(AND('3. GRI Pricing'!$F597&gt;='2. GRI Pricing Inputs'!$L$33,'3. GRI Pricing'!$F597&lt;='2. GRI Pricing Inputs'!$M$33),'2. GRI Pricing Inputs'!$L$32,IF(AND('3. GRI Pricing'!$F597&gt;='2. GRI Pricing Inputs'!$N$33,'3. GRI Pricing'!$F597&lt;='2. GRI Pricing Inputs'!$O$33),'2. GRI Pricing Inputs'!$N$32,IF(AND('3. GRI Pricing'!$F597&gt;='2. GRI Pricing Inputs'!$P$33,'3. GRI Pricing'!$F597&lt;='2. GRI Pricing Inputs'!$Q$33),'2. GRI Pricing Inputs'!$P$32,IF(AND('3. GRI Pricing'!$F597&gt;='2. GRI Pricing Inputs'!$R$33,'3. GRI Pricing'!$F597&lt;='2. GRI Pricing Inputs'!$S$33),'2. GRI Pricing Inputs'!$R$32,IF(AND('3. GRI Pricing'!$F597&gt;='2. GRI Pricing Inputs'!$T$33,'3. GRI Pricing'!$F597&lt;='2. GRI Pricing Inputs'!$U$33),'2. GRI Pricing Inputs'!$T$32,IF(AND('3. GRI Pricing'!$F597&gt;='2. GRI Pricing Inputs'!$V$33,'3. GRI Pricing'!$F597&lt;='2. GRI Pricing Inputs'!$W$33),'2. GRI Pricing Inputs'!$V$32,IF(AND('3. GRI Pricing'!$F597&gt;='2. GRI Pricing Inputs'!$X$33,'3. GRI Pricing'!$F597&lt;='2. GRI Pricing Inputs'!$Y$33),'2. GRI Pricing Inputs'!$X$32,IF(AND('3. GRI Pricing'!$F597&gt;='2. GRI Pricing Inputs'!$Z$33,'3. GRI Pricing'!$F597&lt;='2. GRI Pricing Inputs'!$AA$33),'2. GRI Pricing Inputs'!$Z$32,IF(AND('3. GRI Pricing'!$F597&gt;='2. GRI Pricing Inputs'!$AB$33,'3. GRI Pricing'!$F597&lt;='2. GRI Pricing Inputs'!$AC$33),'2. GRI Pricing Inputs'!$AB$32,IF(AND('3. GRI Pricing'!$F597&gt;='2. GRI Pricing Inputs'!$AD$33,'3. GRI Pricing'!$F597&lt;='2. GRI Pricing Inputs'!$AE$33),'2. GRI Pricing Inputs'!$AD$32,IF(AND('3. GRI Pricing'!$F597&gt;='2. GRI Pricing Inputs'!$AF$33,'3. GRI Pricing'!$F597&lt;='2. GRI Pricing Inputs'!$AG$33),'2. GRI Pricing Inputs'!$AF$32,IF(AND('3. GRI Pricing'!$F597&gt;='2. GRI Pricing Inputs'!$AH$33,'3. GRI Pricing'!$F597&lt;='2. GRI Pricing Inputs'!$AI$33),'2. GRI Pricing Inputs'!$AH$32,0))))))))))))))))</f>
        <v>0</v>
      </c>
      <c r="N597" s="273" cm="1">
        <f t="array" ref="N597">IFERROR(INDEX('2. GRI Pricing Inputs'!$C$32:$AI$39,MATCH('3. GRI Pricing'!D597,'2. GRI Pricing Inputs'!$C$32:$C$39,0),(MATCH('3. GRI Pricing'!M597,'2. GRI Pricing Inputs'!$D$32:$AI$32,0)+1)),0)</f>
        <v>0</v>
      </c>
      <c r="O597" s="273">
        <f>IFERROR(INDEX('2. GRI Pricing Inputs'!$C$45:$AI$46,MATCH($O$16,'2. GRI Pricing Inputs'!$C$45:$C$46,0),MATCH(G597,'2. GRI Pricing Inputs'!$C$45:$AI$45,0)),0)</f>
        <v>0</v>
      </c>
      <c r="P597" s="273">
        <f>IFERROR(INDEX('2. GRI Pricing Inputs'!$C$53:$AI$54,MATCH('3. GRI Pricing'!$P$16,'2. GRI Pricing Inputs'!$C$53:$C$54,0),MATCH('3. GRI Pricing'!H597,'2. GRI Pricing Inputs'!$C$53:$AI$53,0)),0)</f>
        <v>0</v>
      </c>
      <c r="Q597" s="273">
        <f>IFERROR(INDEX('2. GRI Pricing Inputs'!$C$60:$AI$61,MATCH('3. GRI Pricing'!$Q$16,'2. GRI Pricing Inputs'!$C$60:$C$61,0),MATCH('1. Accomodation'!T601,'2. GRI Pricing Inputs'!$C$60:$AI$60,0)),0)</f>
        <v>0</v>
      </c>
      <c r="R597" s="273">
        <f>IFERROR(INDEX('2. GRI Pricing Inputs'!$C$67:$AI$68,MATCH('3. GRI Pricing'!$R$16,'2. GRI Pricing Inputs'!$C$67:$C$68,0),MATCH('1. Accomodation'!U601,'2. GRI Pricing Inputs'!$C$67:$AI$67,0)),0)</f>
        <v>0</v>
      </c>
      <c r="S597" s="273">
        <f>IF(D597=0,0,'2. GRI Pricing Inputs'!$AI$75)</f>
        <v>0</v>
      </c>
      <c r="T597" s="273">
        <f>IFERROR(INDEX('2. GRI Pricing Inputs'!$C$82:$AI$83,MATCH('3. GRI Pricing'!$T$16,'2. GRI Pricing Inputs'!$C$82:$C$83,0),MATCH('1. Accomodation'!V601,'2. GRI Pricing Inputs'!$C$82:$AI$82,0)),0)</f>
        <v>0</v>
      </c>
      <c r="U597" s="273">
        <f>IFERROR(INDEX('2. GRI Pricing Inputs'!$C$89:$AI$90,MATCH('3. GRI Pricing'!$U$16,'2. GRI Pricing Inputs'!$C$89:$C$90,0),MATCH('1. Accomodation'!W601,'2. GRI Pricing Inputs'!$C$89:$AI$89,0)),0)</f>
        <v>0</v>
      </c>
      <c r="V597" s="273">
        <f>IFERROR(INDEX('2. GRI Pricing Inputs'!$C$97:$AI$98,MATCH('3. GRI Pricing'!$V$16,'2. GRI Pricing Inputs'!$C$97:$C$98,0),MATCH('1. Accomodation'!X601,'2. GRI Pricing Inputs'!$C$97:$AI$97,0)),0)</f>
        <v>0</v>
      </c>
      <c r="W597" s="273">
        <f>IFERROR(INDEX('2. GRI Pricing Inputs'!$C$104:$AI$105,MATCH('3. GRI Pricing'!$W$16,'2. GRI Pricing Inputs'!$C$104:$C$105,0),MATCH('1. Accomodation'!Y601,'2. GRI Pricing Inputs'!$C$104:$AI$104,0)),0)</f>
        <v>0</v>
      </c>
      <c r="X597" s="274"/>
      <c r="Y597" s="275">
        <f t="shared" si="16"/>
        <v>0</v>
      </c>
      <c r="Z597" s="276"/>
      <c r="AA597" s="276"/>
      <c r="AB597" s="276"/>
      <c r="AC597" s="272">
        <f>Y597*(1+'2. GRI Pricing Inputs'!$D$114)^(($AC$16-$AB$15)/365)</f>
        <v>0</v>
      </c>
      <c r="AD597" s="273">
        <f>AC597*(1+'2. GRI Pricing Inputs'!$D$114)^((AD$16-AC$16)/365)</f>
        <v>0</v>
      </c>
      <c r="AE597" s="273">
        <f>AD597*(1+'2. GRI Pricing Inputs'!$D$114)^((AE$16-AD$16)/365)</f>
        <v>0</v>
      </c>
      <c r="AF597" s="273">
        <f>AE597*(1+'2. GRI Pricing Inputs'!$D$114)^((AF$16-AE$16)/365)</f>
        <v>0</v>
      </c>
      <c r="AG597" s="273">
        <f>AF597*(1+'2. GRI Pricing Inputs'!$D$114)^((AG$16-AF$16)/365)</f>
        <v>0</v>
      </c>
      <c r="AH597" s="273">
        <f>AG597*(1+'2. GRI Pricing Inputs'!$D$114)^((AH$16-AG$16)/365)</f>
        <v>0</v>
      </c>
      <c r="AI597" s="273">
        <f>AH597*(1+'2. GRI Pricing Inputs'!$D$114)^((AI$16-AH$16)/365)</f>
        <v>0</v>
      </c>
      <c r="AJ597" s="273">
        <f>AI597*(1+'2. GRI Pricing Inputs'!$D$114)^((AJ$16-AI$16)/365)</f>
        <v>0</v>
      </c>
      <c r="AK597" s="273">
        <f>AJ597*(1+'2. GRI Pricing Inputs'!$D$114)^((AK$16-AJ$16)/365)</f>
        <v>0</v>
      </c>
      <c r="AL597" s="273">
        <f>AK597*(1+'2. GRI Pricing Inputs'!$D$114)^((AL$16-AK$16)/365)</f>
        <v>0</v>
      </c>
      <c r="AM597" s="273">
        <f>AL597*(1+'2. GRI Pricing Inputs'!$D$114)^((AM$16-AL$16)/365)</f>
        <v>0</v>
      </c>
      <c r="AN597" s="273">
        <f>AM597*(1+'2. GRI Pricing Inputs'!$D$114)^((AN$16-AM$16)/365)</f>
        <v>0</v>
      </c>
      <c r="AO597" s="273">
        <f>AN597*(1+'2. GRI Pricing Inputs'!$D$114)^((AO$16-AN$16)/365)</f>
        <v>0</v>
      </c>
    </row>
    <row r="598" spans="3:41" ht="12" x14ac:dyDescent="0.2">
      <c r="C598" s="76">
        <f>'1. Accomodation'!N602</f>
        <v>0</v>
      </c>
      <c r="D598" s="69">
        <f>'1. Accomodation'!P602</f>
        <v>0</v>
      </c>
      <c r="E598" s="69">
        <f>'1. Accomodation'!Q602</f>
        <v>0</v>
      </c>
      <c r="F598" s="77">
        <f>'1. Accomodation'!O602</f>
        <v>0</v>
      </c>
      <c r="G598" s="69">
        <f>'1. Accomodation'!R602</f>
        <v>0</v>
      </c>
      <c r="H598" s="69">
        <f>'1. Accomodation'!S602</f>
        <v>0</v>
      </c>
      <c r="I598" s="62"/>
      <c r="K598" s="272">
        <f>IFERROR(INDEX('2. GRI Pricing Inputs'!$C$15:$AI$16,MATCH($K$16,'2. GRI Pricing Inputs'!$C$15:$C$16,0),MATCH(D598,'2. GRI Pricing Inputs'!$C$15:$AI$15,0)),0)</f>
        <v>0</v>
      </c>
      <c r="L598" s="273">
        <f>IFERROR(INDEX('2. GRI Pricing Inputs'!$C$22:$AI$23,MATCH($L$16,'2. GRI Pricing Inputs'!$C$22:$C$23,0),MATCH(E598,'2. GRI Pricing Inputs'!$C$22:$AI$22,0)),0)</f>
        <v>0</v>
      </c>
      <c r="M598" s="328">
        <f>IF(AND('3. GRI Pricing'!$F598&gt;='2. GRI Pricing Inputs'!$D$33,'3. GRI Pricing'!$F598&lt;='2. GRI Pricing Inputs'!$E$33),'2. GRI Pricing Inputs'!$D$32,IF(AND('3. GRI Pricing'!$F598&gt;='2. GRI Pricing Inputs'!$F$33,'3. GRI Pricing'!$F598&lt;='2. GRI Pricing Inputs'!$G$33),'2. GRI Pricing Inputs'!$F$32,IF(AND('3. GRI Pricing'!$F598&gt;='2. GRI Pricing Inputs'!$H$33,'3. GRI Pricing'!$F598&lt;='2. GRI Pricing Inputs'!$I$33),'2. GRI Pricing Inputs'!$H$32,IF(AND('3. GRI Pricing'!$F598&gt;='2. GRI Pricing Inputs'!$J$33,'3. GRI Pricing'!$F598&lt;='2. GRI Pricing Inputs'!$K$33),'2. GRI Pricing Inputs'!$J$32,IF(AND('3. GRI Pricing'!$F598&gt;='2. GRI Pricing Inputs'!$L$33,'3. GRI Pricing'!$F598&lt;='2. GRI Pricing Inputs'!$M$33),'2. GRI Pricing Inputs'!$L$32,IF(AND('3. GRI Pricing'!$F598&gt;='2. GRI Pricing Inputs'!$N$33,'3. GRI Pricing'!$F598&lt;='2. GRI Pricing Inputs'!$O$33),'2. GRI Pricing Inputs'!$N$32,IF(AND('3. GRI Pricing'!$F598&gt;='2. GRI Pricing Inputs'!$P$33,'3. GRI Pricing'!$F598&lt;='2. GRI Pricing Inputs'!$Q$33),'2. GRI Pricing Inputs'!$P$32,IF(AND('3. GRI Pricing'!$F598&gt;='2. GRI Pricing Inputs'!$R$33,'3. GRI Pricing'!$F598&lt;='2. GRI Pricing Inputs'!$S$33),'2. GRI Pricing Inputs'!$R$32,IF(AND('3. GRI Pricing'!$F598&gt;='2. GRI Pricing Inputs'!$T$33,'3. GRI Pricing'!$F598&lt;='2. GRI Pricing Inputs'!$U$33),'2. GRI Pricing Inputs'!$T$32,IF(AND('3. GRI Pricing'!$F598&gt;='2. GRI Pricing Inputs'!$V$33,'3. GRI Pricing'!$F598&lt;='2. GRI Pricing Inputs'!$W$33),'2. GRI Pricing Inputs'!$V$32,IF(AND('3. GRI Pricing'!$F598&gt;='2. GRI Pricing Inputs'!$X$33,'3. GRI Pricing'!$F598&lt;='2. GRI Pricing Inputs'!$Y$33),'2. GRI Pricing Inputs'!$X$32,IF(AND('3. GRI Pricing'!$F598&gt;='2. GRI Pricing Inputs'!$Z$33,'3. GRI Pricing'!$F598&lt;='2. GRI Pricing Inputs'!$AA$33),'2. GRI Pricing Inputs'!$Z$32,IF(AND('3. GRI Pricing'!$F598&gt;='2. GRI Pricing Inputs'!$AB$33,'3. GRI Pricing'!$F598&lt;='2. GRI Pricing Inputs'!$AC$33),'2. GRI Pricing Inputs'!$AB$32,IF(AND('3. GRI Pricing'!$F598&gt;='2. GRI Pricing Inputs'!$AD$33,'3. GRI Pricing'!$F598&lt;='2. GRI Pricing Inputs'!$AE$33),'2. GRI Pricing Inputs'!$AD$32,IF(AND('3. GRI Pricing'!$F598&gt;='2. GRI Pricing Inputs'!$AF$33,'3. GRI Pricing'!$F598&lt;='2. GRI Pricing Inputs'!$AG$33),'2. GRI Pricing Inputs'!$AF$32,IF(AND('3. GRI Pricing'!$F598&gt;='2. GRI Pricing Inputs'!$AH$33,'3. GRI Pricing'!$F598&lt;='2. GRI Pricing Inputs'!$AI$33),'2. GRI Pricing Inputs'!$AH$32,0))))))))))))))))</f>
        <v>0</v>
      </c>
      <c r="N598" s="273" cm="1">
        <f t="array" ref="N598">IFERROR(INDEX('2. GRI Pricing Inputs'!$C$32:$AI$39,MATCH('3. GRI Pricing'!D598,'2. GRI Pricing Inputs'!$C$32:$C$39,0),(MATCH('3. GRI Pricing'!M598,'2. GRI Pricing Inputs'!$D$32:$AI$32,0)+1)),0)</f>
        <v>0</v>
      </c>
      <c r="O598" s="273">
        <f>IFERROR(INDEX('2. GRI Pricing Inputs'!$C$45:$AI$46,MATCH($O$16,'2. GRI Pricing Inputs'!$C$45:$C$46,0),MATCH(G598,'2. GRI Pricing Inputs'!$C$45:$AI$45,0)),0)</f>
        <v>0</v>
      </c>
      <c r="P598" s="273">
        <f>IFERROR(INDEX('2. GRI Pricing Inputs'!$C$53:$AI$54,MATCH('3. GRI Pricing'!$P$16,'2. GRI Pricing Inputs'!$C$53:$C$54,0),MATCH('3. GRI Pricing'!H598,'2. GRI Pricing Inputs'!$C$53:$AI$53,0)),0)</f>
        <v>0</v>
      </c>
      <c r="Q598" s="273">
        <f>IFERROR(INDEX('2. GRI Pricing Inputs'!$C$60:$AI$61,MATCH('3. GRI Pricing'!$Q$16,'2. GRI Pricing Inputs'!$C$60:$C$61,0),MATCH('1. Accomodation'!T602,'2. GRI Pricing Inputs'!$C$60:$AI$60,0)),0)</f>
        <v>0</v>
      </c>
      <c r="R598" s="273">
        <f>IFERROR(INDEX('2. GRI Pricing Inputs'!$C$67:$AI$68,MATCH('3. GRI Pricing'!$R$16,'2. GRI Pricing Inputs'!$C$67:$C$68,0),MATCH('1. Accomodation'!U602,'2. GRI Pricing Inputs'!$C$67:$AI$67,0)),0)</f>
        <v>0</v>
      </c>
      <c r="S598" s="273">
        <f>IF(D598=0,0,'2. GRI Pricing Inputs'!$AI$75)</f>
        <v>0</v>
      </c>
      <c r="T598" s="273">
        <f>IFERROR(INDEX('2. GRI Pricing Inputs'!$C$82:$AI$83,MATCH('3. GRI Pricing'!$T$16,'2. GRI Pricing Inputs'!$C$82:$C$83,0),MATCH('1. Accomodation'!V602,'2. GRI Pricing Inputs'!$C$82:$AI$82,0)),0)</f>
        <v>0</v>
      </c>
      <c r="U598" s="273">
        <f>IFERROR(INDEX('2. GRI Pricing Inputs'!$C$89:$AI$90,MATCH('3. GRI Pricing'!$U$16,'2. GRI Pricing Inputs'!$C$89:$C$90,0),MATCH('1. Accomodation'!W602,'2. GRI Pricing Inputs'!$C$89:$AI$89,0)),0)</f>
        <v>0</v>
      </c>
      <c r="V598" s="273">
        <f>IFERROR(INDEX('2. GRI Pricing Inputs'!$C$97:$AI$98,MATCH('3. GRI Pricing'!$V$16,'2. GRI Pricing Inputs'!$C$97:$C$98,0),MATCH('1. Accomodation'!X602,'2. GRI Pricing Inputs'!$C$97:$AI$97,0)),0)</f>
        <v>0</v>
      </c>
      <c r="W598" s="273">
        <f>IFERROR(INDEX('2. GRI Pricing Inputs'!$C$104:$AI$105,MATCH('3. GRI Pricing'!$W$16,'2. GRI Pricing Inputs'!$C$104:$C$105,0),MATCH('1. Accomodation'!Y602,'2. GRI Pricing Inputs'!$C$104:$AI$104,0)),0)</f>
        <v>0</v>
      </c>
      <c r="X598" s="274"/>
      <c r="Y598" s="275">
        <f t="shared" si="16"/>
        <v>0</v>
      </c>
      <c r="Z598" s="276"/>
      <c r="AA598" s="276"/>
      <c r="AB598" s="276"/>
      <c r="AC598" s="272">
        <f>Y598*(1+'2. GRI Pricing Inputs'!$D$114)^(($AC$16-$AB$15)/365)</f>
        <v>0</v>
      </c>
      <c r="AD598" s="273">
        <f>AC598*(1+'2. GRI Pricing Inputs'!$D$114)^((AD$16-AC$16)/365)</f>
        <v>0</v>
      </c>
      <c r="AE598" s="273">
        <f>AD598*(1+'2. GRI Pricing Inputs'!$D$114)^((AE$16-AD$16)/365)</f>
        <v>0</v>
      </c>
      <c r="AF598" s="273">
        <f>AE598*(1+'2. GRI Pricing Inputs'!$D$114)^((AF$16-AE$16)/365)</f>
        <v>0</v>
      </c>
      <c r="AG598" s="273">
        <f>AF598*(1+'2. GRI Pricing Inputs'!$D$114)^((AG$16-AF$16)/365)</f>
        <v>0</v>
      </c>
      <c r="AH598" s="273">
        <f>AG598*(1+'2. GRI Pricing Inputs'!$D$114)^((AH$16-AG$16)/365)</f>
        <v>0</v>
      </c>
      <c r="AI598" s="273">
        <f>AH598*(1+'2. GRI Pricing Inputs'!$D$114)^((AI$16-AH$16)/365)</f>
        <v>0</v>
      </c>
      <c r="AJ598" s="273">
        <f>AI598*(1+'2. GRI Pricing Inputs'!$D$114)^((AJ$16-AI$16)/365)</f>
        <v>0</v>
      </c>
      <c r="AK598" s="273">
        <f>AJ598*(1+'2. GRI Pricing Inputs'!$D$114)^((AK$16-AJ$16)/365)</f>
        <v>0</v>
      </c>
      <c r="AL598" s="273">
        <f>AK598*(1+'2. GRI Pricing Inputs'!$D$114)^((AL$16-AK$16)/365)</f>
        <v>0</v>
      </c>
      <c r="AM598" s="273">
        <f>AL598*(1+'2. GRI Pricing Inputs'!$D$114)^((AM$16-AL$16)/365)</f>
        <v>0</v>
      </c>
      <c r="AN598" s="273">
        <f>AM598*(1+'2. GRI Pricing Inputs'!$D$114)^((AN$16-AM$16)/365)</f>
        <v>0</v>
      </c>
      <c r="AO598" s="273">
        <f>AN598*(1+'2. GRI Pricing Inputs'!$D$114)^((AO$16-AN$16)/365)</f>
        <v>0</v>
      </c>
    </row>
    <row r="599" spans="3:41" ht="12" x14ac:dyDescent="0.2">
      <c r="C599" s="76">
        <f>'1. Accomodation'!N603</f>
        <v>0</v>
      </c>
      <c r="D599" s="69">
        <f>'1. Accomodation'!P603</f>
        <v>0</v>
      </c>
      <c r="E599" s="69">
        <f>'1. Accomodation'!Q603</f>
        <v>0</v>
      </c>
      <c r="F599" s="77">
        <f>'1. Accomodation'!O603</f>
        <v>0</v>
      </c>
      <c r="G599" s="69">
        <f>'1. Accomodation'!R603</f>
        <v>0</v>
      </c>
      <c r="H599" s="69">
        <f>'1. Accomodation'!S603</f>
        <v>0</v>
      </c>
      <c r="I599" s="62"/>
      <c r="K599" s="272">
        <f>IFERROR(INDEX('2. GRI Pricing Inputs'!$C$15:$AI$16,MATCH($K$16,'2. GRI Pricing Inputs'!$C$15:$C$16,0),MATCH(D599,'2. GRI Pricing Inputs'!$C$15:$AI$15,0)),0)</f>
        <v>0</v>
      </c>
      <c r="L599" s="273">
        <f>IFERROR(INDEX('2. GRI Pricing Inputs'!$C$22:$AI$23,MATCH($L$16,'2. GRI Pricing Inputs'!$C$22:$C$23,0),MATCH(E599,'2. GRI Pricing Inputs'!$C$22:$AI$22,0)),0)</f>
        <v>0</v>
      </c>
      <c r="M599" s="328">
        <f>IF(AND('3. GRI Pricing'!$F599&gt;='2. GRI Pricing Inputs'!$D$33,'3. GRI Pricing'!$F599&lt;='2. GRI Pricing Inputs'!$E$33),'2. GRI Pricing Inputs'!$D$32,IF(AND('3. GRI Pricing'!$F599&gt;='2. GRI Pricing Inputs'!$F$33,'3. GRI Pricing'!$F599&lt;='2. GRI Pricing Inputs'!$G$33),'2. GRI Pricing Inputs'!$F$32,IF(AND('3. GRI Pricing'!$F599&gt;='2. GRI Pricing Inputs'!$H$33,'3. GRI Pricing'!$F599&lt;='2. GRI Pricing Inputs'!$I$33),'2. GRI Pricing Inputs'!$H$32,IF(AND('3. GRI Pricing'!$F599&gt;='2. GRI Pricing Inputs'!$J$33,'3. GRI Pricing'!$F599&lt;='2. GRI Pricing Inputs'!$K$33),'2. GRI Pricing Inputs'!$J$32,IF(AND('3. GRI Pricing'!$F599&gt;='2. GRI Pricing Inputs'!$L$33,'3. GRI Pricing'!$F599&lt;='2. GRI Pricing Inputs'!$M$33),'2. GRI Pricing Inputs'!$L$32,IF(AND('3. GRI Pricing'!$F599&gt;='2. GRI Pricing Inputs'!$N$33,'3. GRI Pricing'!$F599&lt;='2. GRI Pricing Inputs'!$O$33),'2. GRI Pricing Inputs'!$N$32,IF(AND('3. GRI Pricing'!$F599&gt;='2. GRI Pricing Inputs'!$P$33,'3. GRI Pricing'!$F599&lt;='2. GRI Pricing Inputs'!$Q$33),'2. GRI Pricing Inputs'!$P$32,IF(AND('3. GRI Pricing'!$F599&gt;='2. GRI Pricing Inputs'!$R$33,'3. GRI Pricing'!$F599&lt;='2. GRI Pricing Inputs'!$S$33),'2. GRI Pricing Inputs'!$R$32,IF(AND('3. GRI Pricing'!$F599&gt;='2. GRI Pricing Inputs'!$T$33,'3. GRI Pricing'!$F599&lt;='2. GRI Pricing Inputs'!$U$33),'2. GRI Pricing Inputs'!$T$32,IF(AND('3. GRI Pricing'!$F599&gt;='2. GRI Pricing Inputs'!$V$33,'3. GRI Pricing'!$F599&lt;='2. GRI Pricing Inputs'!$W$33),'2. GRI Pricing Inputs'!$V$32,IF(AND('3. GRI Pricing'!$F599&gt;='2. GRI Pricing Inputs'!$X$33,'3. GRI Pricing'!$F599&lt;='2. GRI Pricing Inputs'!$Y$33),'2. GRI Pricing Inputs'!$X$32,IF(AND('3. GRI Pricing'!$F599&gt;='2. GRI Pricing Inputs'!$Z$33,'3. GRI Pricing'!$F599&lt;='2. GRI Pricing Inputs'!$AA$33),'2. GRI Pricing Inputs'!$Z$32,IF(AND('3. GRI Pricing'!$F599&gt;='2. GRI Pricing Inputs'!$AB$33,'3. GRI Pricing'!$F599&lt;='2. GRI Pricing Inputs'!$AC$33),'2. GRI Pricing Inputs'!$AB$32,IF(AND('3. GRI Pricing'!$F599&gt;='2. GRI Pricing Inputs'!$AD$33,'3. GRI Pricing'!$F599&lt;='2. GRI Pricing Inputs'!$AE$33),'2. GRI Pricing Inputs'!$AD$32,IF(AND('3. GRI Pricing'!$F599&gt;='2. GRI Pricing Inputs'!$AF$33,'3. GRI Pricing'!$F599&lt;='2. GRI Pricing Inputs'!$AG$33),'2. GRI Pricing Inputs'!$AF$32,IF(AND('3. GRI Pricing'!$F599&gt;='2. GRI Pricing Inputs'!$AH$33,'3. GRI Pricing'!$F599&lt;='2. GRI Pricing Inputs'!$AI$33),'2. GRI Pricing Inputs'!$AH$32,0))))))))))))))))</f>
        <v>0</v>
      </c>
      <c r="N599" s="273" cm="1">
        <f t="array" ref="N599">IFERROR(INDEX('2. GRI Pricing Inputs'!$C$32:$AI$39,MATCH('3. GRI Pricing'!D599,'2. GRI Pricing Inputs'!$C$32:$C$39,0),(MATCH('3. GRI Pricing'!M599,'2. GRI Pricing Inputs'!$D$32:$AI$32,0)+1)),0)</f>
        <v>0</v>
      </c>
      <c r="O599" s="273">
        <f>IFERROR(INDEX('2. GRI Pricing Inputs'!$C$45:$AI$46,MATCH($O$16,'2. GRI Pricing Inputs'!$C$45:$C$46,0),MATCH(G599,'2. GRI Pricing Inputs'!$C$45:$AI$45,0)),0)</f>
        <v>0</v>
      </c>
      <c r="P599" s="273">
        <f>IFERROR(INDEX('2. GRI Pricing Inputs'!$C$53:$AI$54,MATCH('3. GRI Pricing'!$P$16,'2. GRI Pricing Inputs'!$C$53:$C$54,0),MATCH('3. GRI Pricing'!H599,'2. GRI Pricing Inputs'!$C$53:$AI$53,0)),0)</f>
        <v>0</v>
      </c>
      <c r="Q599" s="273">
        <f>IFERROR(INDEX('2. GRI Pricing Inputs'!$C$60:$AI$61,MATCH('3. GRI Pricing'!$Q$16,'2. GRI Pricing Inputs'!$C$60:$C$61,0),MATCH('1. Accomodation'!T603,'2. GRI Pricing Inputs'!$C$60:$AI$60,0)),0)</f>
        <v>0</v>
      </c>
      <c r="R599" s="273">
        <f>IFERROR(INDEX('2. GRI Pricing Inputs'!$C$67:$AI$68,MATCH('3. GRI Pricing'!$R$16,'2. GRI Pricing Inputs'!$C$67:$C$68,0),MATCH('1. Accomodation'!U603,'2. GRI Pricing Inputs'!$C$67:$AI$67,0)),0)</f>
        <v>0</v>
      </c>
      <c r="S599" s="273">
        <f>IF(D599=0,0,'2. GRI Pricing Inputs'!$AI$75)</f>
        <v>0</v>
      </c>
      <c r="T599" s="273">
        <f>IFERROR(INDEX('2. GRI Pricing Inputs'!$C$82:$AI$83,MATCH('3. GRI Pricing'!$T$16,'2. GRI Pricing Inputs'!$C$82:$C$83,0),MATCH('1. Accomodation'!V603,'2. GRI Pricing Inputs'!$C$82:$AI$82,0)),0)</f>
        <v>0</v>
      </c>
      <c r="U599" s="273">
        <f>IFERROR(INDEX('2. GRI Pricing Inputs'!$C$89:$AI$90,MATCH('3. GRI Pricing'!$U$16,'2. GRI Pricing Inputs'!$C$89:$C$90,0),MATCH('1. Accomodation'!W603,'2. GRI Pricing Inputs'!$C$89:$AI$89,0)),0)</f>
        <v>0</v>
      </c>
      <c r="V599" s="273">
        <f>IFERROR(INDEX('2. GRI Pricing Inputs'!$C$97:$AI$98,MATCH('3. GRI Pricing'!$V$16,'2. GRI Pricing Inputs'!$C$97:$C$98,0),MATCH('1. Accomodation'!X603,'2. GRI Pricing Inputs'!$C$97:$AI$97,0)),0)</f>
        <v>0</v>
      </c>
      <c r="W599" s="273">
        <f>IFERROR(INDEX('2. GRI Pricing Inputs'!$C$104:$AI$105,MATCH('3. GRI Pricing'!$W$16,'2. GRI Pricing Inputs'!$C$104:$C$105,0),MATCH('1. Accomodation'!Y603,'2. GRI Pricing Inputs'!$C$104:$AI$104,0)),0)</f>
        <v>0</v>
      </c>
      <c r="X599" s="274"/>
      <c r="Y599" s="275">
        <f t="shared" si="16"/>
        <v>0</v>
      </c>
      <c r="Z599" s="276"/>
      <c r="AA599" s="276"/>
      <c r="AB599" s="276"/>
      <c r="AC599" s="272">
        <f>Y599*(1+'2. GRI Pricing Inputs'!$D$114)^(($AC$16-$AB$15)/365)</f>
        <v>0</v>
      </c>
      <c r="AD599" s="273">
        <f>AC599*(1+'2. GRI Pricing Inputs'!$D$114)^((AD$16-AC$16)/365)</f>
        <v>0</v>
      </c>
      <c r="AE599" s="273">
        <f>AD599*(1+'2. GRI Pricing Inputs'!$D$114)^((AE$16-AD$16)/365)</f>
        <v>0</v>
      </c>
      <c r="AF599" s="273">
        <f>AE599*(1+'2. GRI Pricing Inputs'!$D$114)^((AF$16-AE$16)/365)</f>
        <v>0</v>
      </c>
      <c r="AG599" s="273">
        <f>AF599*(1+'2. GRI Pricing Inputs'!$D$114)^((AG$16-AF$16)/365)</f>
        <v>0</v>
      </c>
      <c r="AH599" s="273">
        <f>AG599*(1+'2. GRI Pricing Inputs'!$D$114)^((AH$16-AG$16)/365)</f>
        <v>0</v>
      </c>
      <c r="AI599" s="273">
        <f>AH599*(1+'2. GRI Pricing Inputs'!$D$114)^((AI$16-AH$16)/365)</f>
        <v>0</v>
      </c>
      <c r="AJ599" s="273">
        <f>AI599*(1+'2. GRI Pricing Inputs'!$D$114)^((AJ$16-AI$16)/365)</f>
        <v>0</v>
      </c>
      <c r="AK599" s="273">
        <f>AJ599*(1+'2. GRI Pricing Inputs'!$D$114)^((AK$16-AJ$16)/365)</f>
        <v>0</v>
      </c>
      <c r="AL599" s="273">
        <f>AK599*(1+'2. GRI Pricing Inputs'!$D$114)^((AL$16-AK$16)/365)</f>
        <v>0</v>
      </c>
      <c r="AM599" s="273">
        <f>AL599*(1+'2. GRI Pricing Inputs'!$D$114)^((AM$16-AL$16)/365)</f>
        <v>0</v>
      </c>
      <c r="AN599" s="273">
        <f>AM599*(1+'2. GRI Pricing Inputs'!$D$114)^((AN$16-AM$16)/365)</f>
        <v>0</v>
      </c>
      <c r="AO599" s="273">
        <f>AN599*(1+'2. GRI Pricing Inputs'!$D$114)^((AO$16-AN$16)/365)</f>
        <v>0</v>
      </c>
    </row>
    <row r="600" spans="3:41" ht="12" x14ac:dyDescent="0.2">
      <c r="C600" s="76">
        <f>'1. Accomodation'!N604</f>
        <v>0</v>
      </c>
      <c r="D600" s="69">
        <f>'1. Accomodation'!P604</f>
        <v>0</v>
      </c>
      <c r="E600" s="69">
        <f>'1. Accomodation'!Q604</f>
        <v>0</v>
      </c>
      <c r="F600" s="77">
        <f>'1. Accomodation'!O604</f>
        <v>0</v>
      </c>
      <c r="G600" s="69">
        <f>'1. Accomodation'!R604</f>
        <v>0</v>
      </c>
      <c r="H600" s="69">
        <f>'1. Accomodation'!S604</f>
        <v>0</v>
      </c>
      <c r="I600" s="62"/>
      <c r="K600" s="272">
        <f>IFERROR(INDEX('2. GRI Pricing Inputs'!$C$15:$AI$16,MATCH($K$16,'2. GRI Pricing Inputs'!$C$15:$C$16,0),MATCH(D600,'2. GRI Pricing Inputs'!$C$15:$AI$15,0)),0)</f>
        <v>0</v>
      </c>
      <c r="L600" s="273">
        <f>IFERROR(INDEX('2. GRI Pricing Inputs'!$C$22:$AI$23,MATCH($L$16,'2. GRI Pricing Inputs'!$C$22:$C$23,0),MATCH(E600,'2. GRI Pricing Inputs'!$C$22:$AI$22,0)),0)</f>
        <v>0</v>
      </c>
      <c r="M600" s="328">
        <f>IF(AND('3. GRI Pricing'!$F600&gt;='2. GRI Pricing Inputs'!$D$33,'3. GRI Pricing'!$F600&lt;='2. GRI Pricing Inputs'!$E$33),'2. GRI Pricing Inputs'!$D$32,IF(AND('3. GRI Pricing'!$F600&gt;='2. GRI Pricing Inputs'!$F$33,'3. GRI Pricing'!$F600&lt;='2. GRI Pricing Inputs'!$G$33),'2. GRI Pricing Inputs'!$F$32,IF(AND('3. GRI Pricing'!$F600&gt;='2. GRI Pricing Inputs'!$H$33,'3. GRI Pricing'!$F600&lt;='2. GRI Pricing Inputs'!$I$33),'2. GRI Pricing Inputs'!$H$32,IF(AND('3. GRI Pricing'!$F600&gt;='2. GRI Pricing Inputs'!$J$33,'3. GRI Pricing'!$F600&lt;='2. GRI Pricing Inputs'!$K$33),'2. GRI Pricing Inputs'!$J$32,IF(AND('3. GRI Pricing'!$F600&gt;='2. GRI Pricing Inputs'!$L$33,'3. GRI Pricing'!$F600&lt;='2. GRI Pricing Inputs'!$M$33),'2. GRI Pricing Inputs'!$L$32,IF(AND('3. GRI Pricing'!$F600&gt;='2. GRI Pricing Inputs'!$N$33,'3. GRI Pricing'!$F600&lt;='2. GRI Pricing Inputs'!$O$33),'2. GRI Pricing Inputs'!$N$32,IF(AND('3. GRI Pricing'!$F600&gt;='2. GRI Pricing Inputs'!$P$33,'3. GRI Pricing'!$F600&lt;='2. GRI Pricing Inputs'!$Q$33),'2. GRI Pricing Inputs'!$P$32,IF(AND('3. GRI Pricing'!$F600&gt;='2. GRI Pricing Inputs'!$R$33,'3. GRI Pricing'!$F600&lt;='2. GRI Pricing Inputs'!$S$33),'2. GRI Pricing Inputs'!$R$32,IF(AND('3. GRI Pricing'!$F600&gt;='2. GRI Pricing Inputs'!$T$33,'3. GRI Pricing'!$F600&lt;='2. GRI Pricing Inputs'!$U$33),'2. GRI Pricing Inputs'!$T$32,IF(AND('3. GRI Pricing'!$F600&gt;='2. GRI Pricing Inputs'!$V$33,'3. GRI Pricing'!$F600&lt;='2. GRI Pricing Inputs'!$W$33),'2. GRI Pricing Inputs'!$V$32,IF(AND('3. GRI Pricing'!$F600&gt;='2. GRI Pricing Inputs'!$X$33,'3. GRI Pricing'!$F600&lt;='2. GRI Pricing Inputs'!$Y$33),'2. GRI Pricing Inputs'!$X$32,IF(AND('3. GRI Pricing'!$F600&gt;='2. GRI Pricing Inputs'!$Z$33,'3. GRI Pricing'!$F600&lt;='2. GRI Pricing Inputs'!$AA$33),'2. GRI Pricing Inputs'!$Z$32,IF(AND('3. GRI Pricing'!$F600&gt;='2. GRI Pricing Inputs'!$AB$33,'3. GRI Pricing'!$F600&lt;='2. GRI Pricing Inputs'!$AC$33),'2. GRI Pricing Inputs'!$AB$32,IF(AND('3. GRI Pricing'!$F600&gt;='2. GRI Pricing Inputs'!$AD$33,'3. GRI Pricing'!$F600&lt;='2. GRI Pricing Inputs'!$AE$33),'2. GRI Pricing Inputs'!$AD$32,IF(AND('3. GRI Pricing'!$F600&gt;='2. GRI Pricing Inputs'!$AF$33,'3. GRI Pricing'!$F600&lt;='2. GRI Pricing Inputs'!$AG$33),'2. GRI Pricing Inputs'!$AF$32,IF(AND('3. GRI Pricing'!$F600&gt;='2. GRI Pricing Inputs'!$AH$33,'3. GRI Pricing'!$F600&lt;='2. GRI Pricing Inputs'!$AI$33),'2. GRI Pricing Inputs'!$AH$32,0))))))))))))))))</f>
        <v>0</v>
      </c>
      <c r="N600" s="273" cm="1">
        <f t="array" ref="N600">IFERROR(INDEX('2. GRI Pricing Inputs'!$C$32:$AI$39,MATCH('3. GRI Pricing'!D600,'2. GRI Pricing Inputs'!$C$32:$C$39,0),(MATCH('3. GRI Pricing'!M600,'2. GRI Pricing Inputs'!$D$32:$AI$32,0)+1)),0)</f>
        <v>0</v>
      </c>
      <c r="O600" s="273">
        <f>IFERROR(INDEX('2. GRI Pricing Inputs'!$C$45:$AI$46,MATCH($O$16,'2. GRI Pricing Inputs'!$C$45:$C$46,0),MATCH(G600,'2. GRI Pricing Inputs'!$C$45:$AI$45,0)),0)</f>
        <v>0</v>
      </c>
      <c r="P600" s="273">
        <f>IFERROR(INDEX('2. GRI Pricing Inputs'!$C$53:$AI$54,MATCH('3. GRI Pricing'!$P$16,'2. GRI Pricing Inputs'!$C$53:$C$54,0),MATCH('3. GRI Pricing'!H600,'2. GRI Pricing Inputs'!$C$53:$AI$53,0)),0)</f>
        <v>0</v>
      </c>
      <c r="Q600" s="273">
        <f>IFERROR(INDEX('2. GRI Pricing Inputs'!$C$60:$AI$61,MATCH('3. GRI Pricing'!$Q$16,'2. GRI Pricing Inputs'!$C$60:$C$61,0),MATCH('1. Accomodation'!T604,'2. GRI Pricing Inputs'!$C$60:$AI$60,0)),0)</f>
        <v>0</v>
      </c>
      <c r="R600" s="273">
        <f>IFERROR(INDEX('2. GRI Pricing Inputs'!$C$67:$AI$68,MATCH('3. GRI Pricing'!$R$16,'2. GRI Pricing Inputs'!$C$67:$C$68,0),MATCH('1. Accomodation'!U604,'2. GRI Pricing Inputs'!$C$67:$AI$67,0)),0)</f>
        <v>0</v>
      </c>
      <c r="S600" s="273">
        <f>IF(D600=0,0,'2. GRI Pricing Inputs'!$AI$75)</f>
        <v>0</v>
      </c>
      <c r="T600" s="273">
        <f>IFERROR(INDEX('2. GRI Pricing Inputs'!$C$82:$AI$83,MATCH('3. GRI Pricing'!$T$16,'2. GRI Pricing Inputs'!$C$82:$C$83,0),MATCH('1. Accomodation'!V604,'2. GRI Pricing Inputs'!$C$82:$AI$82,0)),0)</f>
        <v>0</v>
      </c>
      <c r="U600" s="273">
        <f>IFERROR(INDEX('2. GRI Pricing Inputs'!$C$89:$AI$90,MATCH('3. GRI Pricing'!$U$16,'2. GRI Pricing Inputs'!$C$89:$C$90,0),MATCH('1. Accomodation'!W604,'2. GRI Pricing Inputs'!$C$89:$AI$89,0)),0)</f>
        <v>0</v>
      </c>
      <c r="V600" s="273">
        <f>IFERROR(INDEX('2. GRI Pricing Inputs'!$C$97:$AI$98,MATCH('3. GRI Pricing'!$V$16,'2. GRI Pricing Inputs'!$C$97:$C$98,0),MATCH('1. Accomodation'!X604,'2. GRI Pricing Inputs'!$C$97:$AI$97,0)),0)</f>
        <v>0</v>
      </c>
      <c r="W600" s="273">
        <f>IFERROR(INDEX('2. GRI Pricing Inputs'!$C$104:$AI$105,MATCH('3. GRI Pricing'!$W$16,'2. GRI Pricing Inputs'!$C$104:$C$105,0),MATCH('1. Accomodation'!Y604,'2. GRI Pricing Inputs'!$C$104:$AI$104,0)),0)</f>
        <v>0</v>
      </c>
      <c r="X600" s="274"/>
      <c r="Y600" s="275">
        <f t="shared" si="16"/>
        <v>0</v>
      </c>
      <c r="Z600" s="276"/>
      <c r="AA600" s="276"/>
      <c r="AB600" s="276"/>
      <c r="AC600" s="272">
        <f>Y600*(1+'2. GRI Pricing Inputs'!$D$114)^(($AC$16-$AB$15)/365)</f>
        <v>0</v>
      </c>
      <c r="AD600" s="273">
        <f>AC600*(1+'2. GRI Pricing Inputs'!$D$114)^((AD$16-AC$16)/365)</f>
        <v>0</v>
      </c>
      <c r="AE600" s="273">
        <f>AD600*(1+'2. GRI Pricing Inputs'!$D$114)^((AE$16-AD$16)/365)</f>
        <v>0</v>
      </c>
      <c r="AF600" s="273">
        <f>AE600*(1+'2. GRI Pricing Inputs'!$D$114)^((AF$16-AE$16)/365)</f>
        <v>0</v>
      </c>
      <c r="AG600" s="273">
        <f>AF600*(1+'2. GRI Pricing Inputs'!$D$114)^((AG$16-AF$16)/365)</f>
        <v>0</v>
      </c>
      <c r="AH600" s="273">
        <f>AG600*(1+'2. GRI Pricing Inputs'!$D$114)^((AH$16-AG$16)/365)</f>
        <v>0</v>
      </c>
      <c r="AI600" s="273">
        <f>AH600*(1+'2. GRI Pricing Inputs'!$D$114)^((AI$16-AH$16)/365)</f>
        <v>0</v>
      </c>
      <c r="AJ600" s="273">
        <f>AI600*(1+'2. GRI Pricing Inputs'!$D$114)^((AJ$16-AI$16)/365)</f>
        <v>0</v>
      </c>
      <c r="AK600" s="273">
        <f>AJ600*(1+'2. GRI Pricing Inputs'!$D$114)^((AK$16-AJ$16)/365)</f>
        <v>0</v>
      </c>
      <c r="AL600" s="273">
        <f>AK600*(1+'2. GRI Pricing Inputs'!$D$114)^((AL$16-AK$16)/365)</f>
        <v>0</v>
      </c>
      <c r="AM600" s="273">
        <f>AL600*(1+'2. GRI Pricing Inputs'!$D$114)^((AM$16-AL$16)/365)</f>
        <v>0</v>
      </c>
      <c r="AN600" s="273">
        <f>AM600*(1+'2. GRI Pricing Inputs'!$D$114)^((AN$16-AM$16)/365)</f>
        <v>0</v>
      </c>
      <c r="AO600" s="273">
        <f>AN600*(1+'2. GRI Pricing Inputs'!$D$114)^((AO$16-AN$16)/365)</f>
        <v>0</v>
      </c>
    </row>
    <row r="601" spans="3:41" ht="12" x14ac:dyDescent="0.2">
      <c r="C601" s="76">
        <f>'1. Accomodation'!N605</f>
        <v>0</v>
      </c>
      <c r="D601" s="69">
        <f>'1. Accomodation'!P605</f>
        <v>0</v>
      </c>
      <c r="E601" s="69">
        <f>'1. Accomodation'!Q605</f>
        <v>0</v>
      </c>
      <c r="F601" s="77">
        <f>'1. Accomodation'!O605</f>
        <v>0</v>
      </c>
      <c r="G601" s="69">
        <f>'1. Accomodation'!R605</f>
        <v>0</v>
      </c>
      <c r="H601" s="69">
        <f>'1. Accomodation'!S605</f>
        <v>0</v>
      </c>
      <c r="I601" s="62"/>
      <c r="K601" s="272">
        <f>IFERROR(INDEX('2. GRI Pricing Inputs'!$C$15:$AI$16,MATCH($K$16,'2. GRI Pricing Inputs'!$C$15:$C$16,0),MATCH(D601,'2. GRI Pricing Inputs'!$C$15:$AI$15,0)),0)</f>
        <v>0</v>
      </c>
      <c r="L601" s="273">
        <f>IFERROR(INDEX('2. GRI Pricing Inputs'!$C$22:$AI$23,MATCH($L$16,'2. GRI Pricing Inputs'!$C$22:$C$23,0),MATCH(E601,'2. GRI Pricing Inputs'!$C$22:$AI$22,0)),0)</f>
        <v>0</v>
      </c>
      <c r="M601" s="328">
        <f>IF(AND('3. GRI Pricing'!$F601&gt;='2. GRI Pricing Inputs'!$D$33,'3. GRI Pricing'!$F601&lt;='2. GRI Pricing Inputs'!$E$33),'2. GRI Pricing Inputs'!$D$32,IF(AND('3. GRI Pricing'!$F601&gt;='2. GRI Pricing Inputs'!$F$33,'3. GRI Pricing'!$F601&lt;='2. GRI Pricing Inputs'!$G$33),'2. GRI Pricing Inputs'!$F$32,IF(AND('3. GRI Pricing'!$F601&gt;='2. GRI Pricing Inputs'!$H$33,'3. GRI Pricing'!$F601&lt;='2. GRI Pricing Inputs'!$I$33),'2. GRI Pricing Inputs'!$H$32,IF(AND('3. GRI Pricing'!$F601&gt;='2. GRI Pricing Inputs'!$J$33,'3. GRI Pricing'!$F601&lt;='2. GRI Pricing Inputs'!$K$33),'2. GRI Pricing Inputs'!$J$32,IF(AND('3. GRI Pricing'!$F601&gt;='2. GRI Pricing Inputs'!$L$33,'3. GRI Pricing'!$F601&lt;='2. GRI Pricing Inputs'!$M$33),'2. GRI Pricing Inputs'!$L$32,IF(AND('3. GRI Pricing'!$F601&gt;='2. GRI Pricing Inputs'!$N$33,'3. GRI Pricing'!$F601&lt;='2. GRI Pricing Inputs'!$O$33),'2. GRI Pricing Inputs'!$N$32,IF(AND('3. GRI Pricing'!$F601&gt;='2. GRI Pricing Inputs'!$P$33,'3. GRI Pricing'!$F601&lt;='2. GRI Pricing Inputs'!$Q$33),'2. GRI Pricing Inputs'!$P$32,IF(AND('3. GRI Pricing'!$F601&gt;='2. GRI Pricing Inputs'!$R$33,'3. GRI Pricing'!$F601&lt;='2. GRI Pricing Inputs'!$S$33),'2. GRI Pricing Inputs'!$R$32,IF(AND('3. GRI Pricing'!$F601&gt;='2. GRI Pricing Inputs'!$T$33,'3. GRI Pricing'!$F601&lt;='2. GRI Pricing Inputs'!$U$33),'2. GRI Pricing Inputs'!$T$32,IF(AND('3. GRI Pricing'!$F601&gt;='2. GRI Pricing Inputs'!$V$33,'3. GRI Pricing'!$F601&lt;='2. GRI Pricing Inputs'!$W$33),'2. GRI Pricing Inputs'!$V$32,IF(AND('3. GRI Pricing'!$F601&gt;='2. GRI Pricing Inputs'!$X$33,'3. GRI Pricing'!$F601&lt;='2. GRI Pricing Inputs'!$Y$33),'2. GRI Pricing Inputs'!$X$32,IF(AND('3. GRI Pricing'!$F601&gt;='2. GRI Pricing Inputs'!$Z$33,'3. GRI Pricing'!$F601&lt;='2. GRI Pricing Inputs'!$AA$33),'2. GRI Pricing Inputs'!$Z$32,IF(AND('3. GRI Pricing'!$F601&gt;='2. GRI Pricing Inputs'!$AB$33,'3. GRI Pricing'!$F601&lt;='2. GRI Pricing Inputs'!$AC$33),'2. GRI Pricing Inputs'!$AB$32,IF(AND('3. GRI Pricing'!$F601&gt;='2. GRI Pricing Inputs'!$AD$33,'3. GRI Pricing'!$F601&lt;='2. GRI Pricing Inputs'!$AE$33),'2. GRI Pricing Inputs'!$AD$32,IF(AND('3. GRI Pricing'!$F601&gt;='2. GRI Pricing Inputs'!$AF$33,'3. GRI Pricing'!$F601&lt;='2. GRI Pricing Inputs'!$AG$33),'2. GRI Pricing Inputs'!$AF$32,IF(AND('3. GRI Pricing'!$F601&gt;='2. GRI Pricing Inputs'!$AH$33,'3. GRI Pricing'!$F601&lt;='2. GRI Pricing Inputs'!$AI$33),'2. GRI Pricing Inputs'!$AH$32,0))))))))))))))))</f>
        <v>0</v>
      </c>
      <c r="N601" s="273" cm="1">
        <f t="array" ref="N601">IFERROR(INDEX('2. GRI Pricing Inputs'!$C$32:$AI$39,MATCH('3. GRI Pricing'!D601,'2. GRI Pricing Inputs'!$C$32:$C$39,0),(MATCH('3. GRI Pricing'!M601,'2. GRI Pricing Inputs'!$D$32:$AI$32,0)+1)),0)</f>
        <v>0</v>
      </c>
      <c r="O601" s="273">
        <f>IFERROR(INDEX('2. GRI Pricing Inputs'!$C$45:$AI$46,MATCH($O$16,'2. GRI Pricing Inputs'!$C$45:$C$46,0),MATCH(G601,'2. GRI Pricing Inputs'!$C$45:$AI$45,0)),0)</f>
        <v>0</v>
      </c>
      <c r="P601" s="273">
        <f>IFERROR(INDEX('2. GRI Pricing Inputs'!$C$53:$AI$54,MATCH('3. GRI Pricing'!$P$16,'2. GRI Pricing Inputs'!$C$53:$C$54,0),MATCH('3. GRI Pricing'!H601,'2. GRI Pricing Inputs'!$C$53:$AI$53,0)),0)</f>
        <v>0</v>
      </c>
      <c r="Q601" s="273">
        <f>IFERROR(INDEX('2. GRI Pricing Inputs'!$C$60:$AI$61,MATCH('3. GRI Pricing'!$Q$16,'2. GRI Pricing Inputs'!$C$60:$C$61,0),MATCH('1. Accomodation'!T605,'2. GRI Pricing Inputs'!$C$60:$AI$60,0)),0)</f>
        <v>0</v>
      </c>
      <c r="R601" s="273">
        <f>IFERROR(INDEX('2. GRI Pricing Inputs'!$C$67:$AI$68,MATCH('3. GRI Pricing'!$R$16,'2. GRI Pricing Inputs'!$C$67:$C$68,0),MATCH('1. Accomodation'!U605,'2. GRI Pricing Inputs'!$C$67:$AI$67,0)),0)</f>
        <v>0</v>
      </c>
      <c r="S601" s="273">
        <f>IF(D601=0,0,'2. GRI Pricing Inputs'!$AI$75)</f>
        <v>0</v>
      </c>
      <c r="T601" s="273">
        <f>IFERROR(INDEX('2. GRI Pricing Inputs'!$C$82:$AI$83,MATCH('3. GRI Pricing'!$T$16,'2. GRI Pricing Inputs'!$C$82:$C$83,0),MATCH('1. Accomodation'!V605,'2. GRI Pricing Inputs'!$C$82:$AI$82,0)),0)</f>
        <v>0</v>
      </c>
      <c r="U601" s="273">
        <f>IFERROR(INDEX('2. GRI Pricing Inputs'!$C$89:$AI$90,MATCH('3. GRI Pricing'!$U$16,'2. GRI Pricing Inputs'!$C$89:$C$90,0),MATCH('1. Accomodation'!W605,'2. GRI Pricing Inputs'!$C$89:$AI$89,0)),0)</f>
        <v>0</v>
      </c>
      <c r="V601" s="273">
        <f>IFERROR(INDEX('2. GRI Pricing Inputs'!$C$97:$AI$98,MATCH('3. GRI Pricing'!$V$16,'2. GRI Pricing Inputs'!$C$97:$C$98,0),MATCH('1. Accomodation'!X605,'2. GRI Pricing Inputs'!$C$97:$AI$97,0)),0)</f>
        <v>0</v>
      </c>
      <c r="W601" s="273">
        <f>IFERROR(INDEX('2. GRI Pricing Inputs'!$C$104:$AI$105,MATCH('3. GRI Pricing'!$W$16,'2. GRI Pricing Inputs'!$C$104:$C$105,0),MATCH('1. Accomodation'!Y605,'2. GRI Pricing Inputs'!$C$104:$AI$104,0)),0)</f>
        <v>0</v>
      </c>
      <c r="X601" s="274"/>
      <c r="Y601" s="275">
        <f t="shared" si="16"/>
        <v>0</v>
      </c>
      <c r="Z601" s="276"/>
      <c r="AA601" s="276"/>
      <c r="AB601" s="276"/>
      <c r="AC601" s="272">
        <f>Y601*(1+'2. GRI Pricing Inputs'!$D$114)^(($AC$16-$AB$15)/365)</f>
        <v>0</v>
      </c>
      <c r="AD601" s="273">
        <f>AC601*(1+'2. GRI Pricing Inputs'!$D$114)^((AD$16-AC$16)/365)</f>
        <v>0</v>
      </c>
      <c r="AE601" s="273">
        <f>AD601*(1+'2. GRI Pricing Inputs'!$D$114)^((AE$16-AD$16)/365)</f>
        <v>0</v>
      </c>
      <c r="AF601" s="273">
        <f>AE601*(1+'2. GRI Pricing Inputs'!$D$114)^((AF$16-AE$16)/365)</f>
        <v>0</v>
      </c>
      <c r="AG601" s="273">
        <f>AF601*(1+'2. GRI Pricing Inputs'!$D$114)^((AG$16-AF$16)/365)</f>
        <v>0</v>
      </c>
      <c r="AH601" s="273">
        <f>AG601*(1+'2. GRI Pricing Inputs'!$D$114)^((AH$16-AG$16)/365)</f>
        <v>0</v>
      </c>
      <c r="AI601" s="273">
        <f>AH601*(1+'2. GRI Pricing Inputs'!$D$114)^((AI$16-AH$16)/365)</f>
        <v>0</v>
      </c>
      <c r="AJ601" s="273">
        <f>AI601*(1+'2. GRI Pricing Inputs'!$D$114)^((AJ$16-AI$16)/365)</f>
        <v>0</v>
      </c>
      <c r="AK601" s="273">
        <f>AJ601*(1+'2. GRI Pricing Inputs'!$D$114)^((AK$16-AJ$16)/365)</f>
        <v>0</v>
      </c>
      <c r="AL601" s="273">
        <f>AK601*(1+'2. GRI Pricing Inputs'!$D$114)^((AL$16-AK$16)/365)</f>
        <v>0</v>
      </c>
      <c r="AM601" s="273">
        <f>AL601*(1+'2. GRI Pricing Inputs'!$D$114)^((AM$16-AL$16)/365)</f>
        <v>0</v>
      </c>
      <c r="AN601" s="273">
        <f>AM601*(1+'2. GRI Pricing Inputs'!$D$114)^((AN$16-AM$16)/365)</f>
        <v>0</v>
      </c>
      <c r="AO601" s="273">
        <f>AN601*(1+'2. GRI Pricing Inputs'!$D$114)^((AO$16-AN$16)/365)</f>
        <v>0</v>
      </c>
    </row>
    <row r="602" spans="3:41" ht="12" x14ac:dyDescent="0.2">
      <c r="C602" s="76">
        <f>'1. Accomodation'!N606</f>
        <v>0</v>
      </c>
      <c r="D602" s="69">
        <f>'1. Accomodation'!P606</f>
        <v>0</v>
      </c>
      <c r="E602" s="69">
        <f>'1. Accomodation'!Q606</f>
        <v>0</v>
      </c>
      <c r="F602" s="77">
        <f>'1. Accomodation'!O606</f>
        <v>0</v>
      </c>
      <c r="G602" s="69">
        <f>'1. Accomodation'!R606</f>
        <v>0</v>
      </c>
      <c r="H602" s="69">
        <f>'1. Accomodation'!S606</f>
        <v>0</v>
      </c>
      <c r="I602" s="62"/>
      <c r="K602" s="272">
        <f>IFERROR(INDEX('2. GRI Pricing Inputs'!$C$15:$AI$16,MATCH($K$16,'2. GRI Pricing Inputs'!$C$15:$C$16,0),MATCH(D602,'2. GRI Pricing Inputs'!$C$15:$AI$15,0)),0)</f>
        <v>0</v>
      </c>
      <c r="L602" s="273">
        <f>IFERROR(INDEX('2. GRI Pricing Inputs'!$C$22:$AI$23,MATCH($L$16,'2. GRI Pricing Inputs'!$C$22:$C$23,0),MATCH(E602,'2. GRI Pricing Inputs'!$C$22:$AI$22,0)),0)</f>
        <v>0</v>
      </c>
      <c r="M602" s="328">
        <f>IF(AND('3. GRI Pricing'!$F602&gt;='2. GRI Pricing Inputs'!$D$33,'3. GRI Pricing'!$F602&lt;='2. GRI Pricing Inputs'!$E$33),'2. GRI Pricing Inputs'!$D$32,IF(AND('3. GRI Pricing'!$F602&gt;='2. GRI Pricing Inputs'!$F$33,'3. GRI Pricing'!$F602&lt;='2. GRI Pricing Inputs'!$G$33),'2. GRI Pricing Inputs'!$F$32,IF(AND('3. GRI Pricing'!$F602&gt;='2. GRI Pricing Inputs'!$H$33,'3. GRI Pricing'!$F602&lt;='2. GRI Pricing Inputs'!$I$33),'2. GRI Pricing Inputs'!$H$32,IF(AND('3. GRI Pricing'!$F602&gt;='2. GRI Pricing Inputs'!$J$33,'3. GRI Pricing'!$F602&lt;='2. GRI Pricing Inputs'!$K$33),'2. GRI Pricing Inputs'!$J$32,IF(AND('3. GRI Pricing'!$F602&gt;='2. GRI Pricing Inputs'!$L$33,'3. GRI Pricing'!$F602&lt;='2. GRI Pricing Inputs'!$M$33),'2. GRI Pricing Inputs'!$L$32,IF(AND('3. GRI Pricing'!$F602&gt;='2. GRI Pricing Inputs'!$N$33,'3. GRI Pricing'!$F602&lt;='2. GRI Pricing Inputs'!$O$33),'2. GRI Pricing Inputs'!$N$32,IF(AND('3. GRI Pricing'!$F602&gt;='2. GRI Pricing Inputs'!$P$33,'3. GRI Pricing'!$F602&lt;='2. GRI Pricing Inputs'!$Q$33),'2. GRI Pricing Inputs'!$P$32,IF(AND('3. GRI Pricing'!$F602&gt;='2. GRI Pricing Inputs'!$R$33,'3. GRI Pricing'!$F602&lt;='2. GRI Pricing Inputs'!$S$33),'2. GRI Pricing Inputs'!$R$32,IF(AND('3. GRI Pricing'!$F602&gt;='2. GRI Pricing Inputs'!$T$33,'3. GRI Pricing'!$F602&lt;='2. GRI Pricing Inputs'!$U$33),'2. GRI Pricing Inputs'!$T$32,IF(AND('3. GRI Pricing'!$F602&gt;='2. GRI Pricing Inputs'!$V$33,'3. GRI Pricing'!$F602&lt;='2. GRI Pricing Inputs'!$W$33),'2. GRI Pricing Inputs'!$V$32,IF(AND('3. GRI Pricing'!$F602&gt;='2. GRI Pricing Inputs'!$X$33,'3. GRI Pricing'!$F602&lt;='2. GRI Pricing Inputs'!$Y$33),'2. GRI Pricing Inputs'!$X$32,IF(AND('3. GRI Pricing'!$F602&gt;='2. GRI Pricing Inputs'!$Z$33,'3. GRI Pricing'!$F602&lt;='2. GRI Pricing Inputs'!$AA$33),'2. GRI Pricing Inputs'!$Z$32,IF(AND('3. GRI Pricing'!$F602&gt;='2. GRI Pricing Inputs'!$AB$33,'3. GRI Pricing'!$F602&lt;='2. GRI Pricing Inputs'!$AC$33),'2. GRI Pricing Inputs'!$AB$32,IF(AND('3. GRI Pricing'!$F602&gt;='2. GRI Pricing Inputs'!$AD$33,'3. GRI Pricing'!$F602&lt;='2. GRI Pricing Inputs'!$AE$33),'2. GRI Pricing Inputs'!$AD$32,IF(AND('3. GRI Pricing'!$F602&gt;='2. GRI Pricing Inputs'!$AF$33,'3. GRI Pricing'!$F602&lt;='2. GRI Pricing Inputs'!$AG$33),'2. GRI Pricing Inputs'!$AF$32,IF(AND('3. GRI Pricing'!$F602&gt;='2. GRI Pricing Inputs'!$AH$33,'3. GRI Pricing'!$F602&lt;='2. GRI Pricing Inputs'!$AI$33),'2. GRI Pricing Inputs'!$AH$32,0))))))))))))))))</f>
        <v>0</v>
      </c>
      <c r="N602" s="273" cm="1">
        <f t="array" ref="N602">IFERROR(INDEX('2. GRI Pricing Inputs'!$C$32:$AI$39,MATCH('3. GRI Pricing'!D602,'2. GRI Pricing Inputs'!$C$32:$C$39,0),(MATCH('3. GRI Pricing'!M602,'2. GRI Pricing Inputs'!$D$32:$AI$32,0)+1)),0)</f>
        <v>0</v>
      </c>
      <c r="O602" s="273">
        <f>IFERROR(INDEX('2. GRI Pricing Inputs'!$C$45:$AI$46,MATCH($O$16,'2. GRI Pricing Inputs'!$C$45:$C$46,0),MATCH(G602,'2. GRI Pricing Inputs'!$C$45:$AI$45,0)),0)</f>
        <v>0</v>
      </c>
      <c r="P602" s="273">
        <f>IFERROR(INDEX('2. GRI Pricing Inputs'!$C$53:$AI$54,MATCH('3. GRI Pricing'!$P$16,'2. GRI Pricing Inputs'!$C$53:$C$54,0),MATCH('3. GRI Pricing'!H602,'2. GRI Pricing Inputs'!$C$53:$AI$53,0)),0)</f>
        <v>0</v>
      </c>
      <c r="Q602" s="273">
        <f>IFERROR(INDEX('2. GRI Pricing Inputs'!$C$60:$AI$61,MATCH('3. GRI Pricing'!$Q$16,'2. GRI Pricing Inputs'!$C$60:$C$61,0),MATCH('1. Accomodation'!T606,'2. GRI Pricing Inputs'!$C$60:$AI$60,0)),0)</f>
        <v>0</v>
      </c>
      <c r="R602" s="273">
        <f>IFERROR(INDEX('2. GRI Pricing Inputs'!$C$67:$AI$68,MATCH('3. GRI Pricing'!$R$16,'2. GRI Pricing Inputs'!$C$67:$C$68,0),MATCH('1. Accomodation'!U606,'2. GRI Pricing Inputs'!$C$67:$AI$67,0)),0)</f>
        <v>0</v>
      </c>
      <c r="S602" s="273">
        <f>IF(D602=0,0,'2. GRI Pricing Inputs'!$AI$75)</f>
        <v>0</v>
      </c>
      <c r="T602" s="273">
        <f>IFERROR(INDEX('2. GRI Pricing Inputs'!$C$82:$AI$83,MATCH('3. GRI Pricing'!$T$16,'2. GRI Pricing Inputs'!$C$82:$C$83,0),MATCH('1. Accomodation'!V606,'2. GRI Pricing Inputs'!$C$82:$AI$82,0)),0)</f>
        <v>0</v>
      </c>
      <c r="U602" s="273">
        <f>IFERROR(INDEX('2. GRI Pricing Inputs'!$C$89:$AI$90,MATCH('3. GRI Pricing'!$U$16,'2. GRI Pricing Inputs'!$C$89:$C$90,0),MATCH('1. Accomodation'!W606,'2. GRI Pricing Inputs'!$C$89:$AI$89,0)),0)</f>
        <v>0</v>
      </c>
      <c r="V602" s="273">
        <f>IFERROR(INDEX('2. GRI Pricing Inputs'!$C$97:$AI$98,MATCH('3. GRI Pricing'!$V$16,'2. GRI Pricing Inputs'!$C$97:$C$98,0),MATCH('1. Accomodation'!X606,'2. GRI Pricing Inputs'!$C$97:$AI$97,0)),0)</f>
        <v>0</v>
      </c>
      <c r="W602" s="273">
        <f>IFERROR(INDEX('2. GRI Pricing Inputs'!$C$104:$AI$105,MATCH('3. GRI Pricing'!$W$16,'2. GRI Pricing Inputs'!$C$104:$C$105,0),MATCH('1. Accomodation'!Y606,'2. GRI Pricing Inputs'!$C$104:$AI$104,0)),0)</f>
        <v>0</v>
      </c>
      <c r="X602" s="274"/>
      <c r="Y602" s="275">
        <f t="shared" si="16"/>
        <v>0</v>
      </c>
      <c r="Z602" s="276"/>
      <c r="AA602" s="276"/>
      <c r="AB602" s="276"/>
      <c r="AC602" s="272">
        <f>Y602*(1+'2. GRI Pricing Inputs'!$D$114)^(($AC$16-$AB$15)/365)</f>
        <v>0</v>
      </c>
      <c r="AD602" s="273">
        <f>AC602*(1+'2. GRI Pricing Inputs'!$D$114)^((AD$16-AC$16)/365)</f>
        <v>0</v>
      </c>
      <c r="AE602" s="273">
        <f>AD602*(1+'2. GRI Pricing Inputs'!$D$114)^((AE$16-AD$16)/365)</f>
        <v>0</v>
      </c>
      <c r="AF602" s="273">
        <f>AE602*(1+'2. GRI Pricing Inputs'!$D$114)^((AF$16-AE$16)/365)</f>
        <v>0</v>
      </c>
      <c r="AG602" s="273">
        <f>AF602*(1+'2. GRI Pricing Inputs'!$D$114)^((AG$16-AF$16)/365)</f>
        <v>0</v>
      </c>
      <c r="AH602" s="273">
        <f>AG602*(1+'2. GRI Pricing Inputs'!$D$114)^((AH$16-AG$16)/365)</f>
        <v>0</v>
      </c>
      <c r="AI602" s="273">
        <f>AH602*(1+'2. GRI Pricing Inputs'!$D$114)^((AI$16-AH$16)/365)</f>
        <v>0</v>
      </c>
      <c r="AJ602" s="273">
        <f>AI602*(1+'2. GRI Pricing Inputs'!$D$114)^((AJ$16-AI$16)/365)</f>
        <v>0</v>
      </c>
      <c r="AK602" s="273">
        <f>AJ602*(1+'2. GRI Pricing Inputs'!$D$114)^((AK$16-AJ$16)/365)</f>
        <v>0</v>
      </c>
      <c r="AL602" s="273">
        <f>AK602*(1+'2. GRI Pricing Inputs'!$D$114)^((AL$16-AK$16)/365)</f>
        <v>0</v>
      </c>
      <c r="AM602" s="273">
        <f>AL602*(1+'2. GRI Pricing Inputs'!$D$114)^((AM$16-AL$16)/365)</f>
        <v>0</v>
      </c>
      <c r="AN602" s="273">
        <f>AM602*(1+'2. GRI Pricing Inputs'!$D$114)^((AN$16-AM$16)/365)</f>
        <v>0</v>
      </c>
      <c r="AO602" s="273">
        <f>AN602*(1+'2. GRI Pricing Inputs'!$D$114)^((AO$16-AN$16)/365)</f>
        <v>0</v>
      </c>
    </row>
    <row r="603" spans="3:41" ht="12" x14ac:dyDescent="0.2">
      <c r="C603" s="76">
        <f>'1. Accomodation'!N607</f>
        <v>0</v>
      </c>
      <c r="D603" s="69">
        <f>'1. Accomodation'!P607</f>
        <v>0</v>
      </c>
      <c r="E603" s="69">
        <f>'1. Accomodation'!Q607</f>
        <v>0</v>
      </c>
      <c r="F603" s="77">
        <f>'1. Accomodation'!O607</f>
        <v>0</v>
      </c>
      <c r="G603" s="69">
        <f>'1. Accomodation'!R607</f>
        <v>0</v>
      </c>
      <c r="H603" s="69">
        <f>'1. Accomodation'!S607</f>
        <v>0</v>
      </c>
      <c r="I603" s="62"/>
      <c r="K603" s="272">
        <f>IFERROR(INDEX('2. GRI Pricing Inputs'!$C$15:$AI$16,MATCH($K$16,'2. GRI Pricing Inputs'!$C$15:$C$16,0),MATCH(D603,'2. GRI Pricing Inputs'!$C$15:$AI$15,0)),0)</f>
        <v>0</v>
      </c>
      <c r="L603" s="273">
        <f>IFERROR(INDEX('2. GRI Pricing Inputs'!$C$22:$AI$23,MATCH($L$16,'2. GRI Pricing Inputs'!$C$22:$C$23,0),MATCH(E603,'2. GRI Pricing Inputs'!$C$22:$AI$22,0)),0)</f>
        <v>0</v>
      </c>
      <c r="M603" s="328">
        <f>IF(AND('3. GRI Pricing'!$F603&gt;='2. GRI Pricing Inputs'!$D$33,'3. GRI Pricing'!$F603&lt;='2. GRI Pricing Inputs'!$E$33),'2. GRI Pricing Inputs'!$D$32,IF(AND('3. GRI Pricing'!$F603&gt;='2. GRI Pricing Inputs'!$F$33,'3. GRI Pricing'!$F603&lt;='2. GRI Pricing Inputs'!$G$33),'2. GRI Pricing Inputs'!$F$32,IF(AND('3. GRI Pricing'!$F603&gt;='2. GRI Pricing Inputs'!$H$33,'3. GRI Pricing'!$F603&lt;='2. GRI Pricing Inputs'!$I$33),'2. GRI Pricing Inputs'!$H$32,IF(AND('3. GRI Pricing'!$F603&gt;='2. GRI Pricing Inputs'!$J$33,'3. GRI Pricing'!$F603&lt;='2. GRI Pricing Inputs'!$K$33),'2. GRI Pricing Inputs'!$J$32,IF(AND('3. GRI Pricing'!$F603&gt;='2. GRI Pricing Inputs'!$L$33,'3. GRI Pricing'!$F603&lt;='2. GRI Pricing Inputs'!$M$33),'2. GRI Pricing Inputs'!$L$32,IF(AND('3. GRI Pricing'!$F603&gt;='2. GRI Pricing Inputs'!$N$33,'3. GRI Pricing'!$F603&lt;='2. GRI Pricing Inputs'!$O$33),'2. GRI Pricing Inputs'!$N$32,IF(AND('3. GRI Pricing'!$F603&gt;='2. GRI Pricing Inputs'!$P$33,'3. GRI Pricing'!$F603&lt;='2. GRI Pricing Inputs'!$Q$33),'2. GRI Pricing Inputs'!$P$32,IF(AND('3. GRI Pricing'!$F603&gt;='2. GRI Pricing Inputs'!$R$33,'3. GRI Pricing'!$F603&lt;='2. GRI Pricing Inputs'!$S$33),'2. GRI Pricing Inputs'!$R$32,IF(AND('3. GRI Pricing'!$F603&gt;='2. GRI Pricing Inputs'!$T$33,'3. GRI Pricing'!$F603&lt;='2. GRI Pricing Inputs'!$U$33),'2. GRI Pricing Inputs'!$T$32,IF(AND('3. GRI Pricing'!$F603&gt;='2. GRI Pricing Inputs'!$V$33,'3. GRI Pricing'!$F603&lt;='2. GRI Pricing Inputs'!$W$33),'2. GRI Pricing Inputs'!$V$32,IF(AND('3. GRI Pricing'!$F603&gt;='2. GRI Pricing Inputs'!$X$33,'3. GRI Pricing'!$F603&lt;='2. GRI Pricing Inputs'!$Y$33),'2. GRI Pricing Inputs'!$X$32,IF(AND('3. GRI Pricing'!$F603&gt;='2. GRI Pricing Inputs'!$Z$33,'3. GRI Pricing'!$F603&lt;='2. GRI Pricing Inputs'!$AA$33),'2. GRI Pricing Inputs'!$Z$32,IF(AND('3. GRI Pricing'!$F603&gt;='2. GRI Pricing Inputs'!$AB$33,'3. GRI Pricing'!$F603&lt;='2. GRI Pricing Inputs'!$AC$33),'2. GRI Pricing Inputs'!$AB$32,IF(AND('3. GRI Pricing'!$F603&gt;='2. GRI Pricing Inputs'!$AD$33,'3. GRI Pricing'!$F603&lt;='2. GRI Pricing Inputs'!$AE$33),'2. GRI Pricing Inputs'!$AD$32,IF(AND('3. GRI Pricing'!$F603&gt;='2. GRI Pricing Inputs'!$AF$33,'3. GRI Pricing'!$F603&lt;='2. GRI Pricing Inputs'!$AG$33),'2. GRI Pricing Inputs'!$AF$32,IF(AND('3. GRI Pricing'!$F603&gt;='2. GRI Pricing Inputs'!$AH$33,'3. GRI Pricing'!$F603&lt;='2. GRI Pricing Inputs'!$AI$33),'2. GRI Pricing Inputs'!$AH$32,0))))))))))))))))</f>
        <v>0</v>
      </c>
      <c r="N603" s="273" cm="1">
        <f t="array" ref="N603">IFERROR(INDEX('2. GRI Pricing Inputs'!$C$32:$AI$39,MATCH('3. GRI Pricing'!D603,'2. GRI Pricing Inputs'!$C$32:$C$39,0),(MATCH('3. GRI Pricing'!M603,'2. GRI Pricing Inputs'!$D$32:$AI$32,0)+1)),0)</f>
        <v>0</v>
      </c>
      <c r="O603" s="273">
        <f>IFERROR(INDEX('2. GRI Pricing Inputs'!$C$45:$AI$46,MATCH($O$16,'2. GRI Pricing Inputs'!$C$45:$C$46,0),MATCH(G603,'2. GRI Pricing Inputs'!$C$45:$AI$45,0)),0)</f>
        <v>0</v>
      </c>
      <c r="P603" s="273">
        <f>IFERROR(INDEX('2. GRI Pricing Inputs'!$C$53:$AI$54,MATCH('3. GRI Pricing'!$P$16,'2. GRI Pricing Inputs'!$C$53:$C$54,0),MATCH('3. GRI Pricing'!H603,'2. GRI Pricing Inputs'!$C$53:$AI$53,0)),0)</f>
        <v>0</v>
      </c>
      <c r="Q603" s="273">
        <f>IFERROR(INDEX('2. GRI Pricing Inputs'!$C$60:$AI$61,MATCH('3. GRI Pricing'!$Q$16,'2. GRI Pricing Inputs'!$C$60:$C$61,0),MATCH('1. Accomodation'!T607,'2. GRI Pricing Inputs'!$C$60:$AI$60,0)),0)</f>
        <v>0</v>
      </c>
      <c r="R603" s="273">
        <f>IFERROR(INDEX('2. GRI Pricing Inputs'!$C$67:$AI$68,MATCH('3. GRI Pricing'!$R$16,'2. GRI Pricing Inputs'!$C$67:$C$68,0),MATCH('1. Accomodation'!U607,'2. GRI Pricing Inputs'!$C$67:$AI$67,0)),0)</f>
        <v>0</v>
      </c>
      <c r="S603" s="273">
        <f>IF(D603=0,0,'2. GRI Pricing Inputs'!$AI$75)</f>
        <v>0</v>
      </c>
      <c r="T603" s="273">
        <f>IFERROR(INDEX('2. GRI Pricing Inputs'!$C$82:$AI$83,MATCH('3. GRI Pricing'!$T$16,'2. GRI Pricing Inputs'!$C$82:$C$83,0),MATCH('1. Accomodation'!V607,'2. GRI Pricing Inputs'!$C$82:$AI$82,0)),0)</f>
        <v>0</v>
      </c>
      <c r="U603" s="273">
        <f>IFERROR(INDEX('2. GRI Pricing Inputs'!$C$89:$AI$90,MATCH('3. GRI Pricing'!$U$16,'2. GRI Pricing Inputs'!$C$89:$C$90,0),MATCH('1. Accomodation'!W607,'2. GRI Pricing Inputs'!$C$89:$AI$89,0)),0)</f>
        <v>0</v>
      </c>
      <c r="V603" s="273">
        <f>IFERROR(INDEX('2. GRI Pricing Inputs'!$C$97:$AI$98,MATCH('3. GRI Pricing'!$V$16,'2. GRI Pricing Inputs'!$C$97:$C$98,0),MATCH('1. Accomodation'!X607,'2. GRI Pricing Inputs'!$C$97:$AI$97,0)),0)</f>
        <v>0</v>
      </c>
      <c r="W603" s="273">
        <f>IFERROR(INDEX('2. GRI Pricing Inputs'!$C$104:$AI$105,MATCH('3. GRI Pricing'!$W$16,'2. GRI Pricing Inputs'!$C$104:$C$105,0),MATCH('1. Accomodation'!Y607,'2. GRI Pricing Inputs'!$C$104:$AI$104,0)),0)</f>
        <v>0</v>
      </c>
      <c r="X603" s="274"/>
      <c r="Y603" s="275">
        <f t="shared" si="16"/>
        <v>0</v>
      </c>
      <c r="Z603" s="276"/>
      <c r="AA603" s="276"/>
      <c r="AB603" s="276"/>
      <c r="AC603" s="272">
        <f>Y603*(1+'2. GRI Pricing Inputs'!$D$114)^(($AC$16-$AB$15)/365)</f>
        <v>0</v>
      </c>
      <c r="AD603" s="273">
        <f>AC603*(1+'2. GRI Pricing Inputs'!$D$114)^((AD$16-AC$16)/365)</f>
        <v>0</v>
      </c>
      <c r="AE603" s="273">
        <f>AD603*(1+'2. GRI Pricing Inputs'!$D$114)^((AE$16-AD$16)/365)</f>
        <v>0</v>
      </c>
      <c r="AF603" s="273">
        <f>AE603*(1+'2. GRI Pricing Inputs'!$D$114)^((AF$16-AE$16)/365)</f>
        <v>0</v>
      </c>
      <c r="AG603" s="273">
        <f>AF603*(1+'2. GRI Pricing Inputs'!$D$114)^((AG$16-AF$16)/365)</f>
        <v>0</v>
      </c>
      <c r="AH603" s="273">
        <f>AG603*(1+'2. GRI Pricing Inputs'!$D$114)^((AH$16-AG$16)/365)</f>
        <v>0</v>
      </c>
      <c r="AI603" s="273">
        <f>AH603*(1+'2. GRI Pricing Inputs'!$D$114)^((AI$16-AH$16)/365)</f>
        <v>0</v>
      </c>
      <c r="AJ603" s="273">
        <f>AI603*(1+'2. GRI Pricing Inputs'!$D$114)^((AJ$16-AI$16)/365)</f>
        <v>0</v>
      </c>
      <c r="AK603" s="273">
        <f>AJ603*(1+'2. GRI Pricing Inputs'!$D$114)^((AK$16-AJ$16)/365)</f>
        <v>0</v>
      </c>
      <c r="AL603" s="273">
        <f>AK603*(1+'2. GRI Pricing Inputs'!$D$114)^((AL$16-AK$16)/365)</f>
        <v>0</v>
      </c>
      <c r="AM603" s="273">
        <f>AL603*(1+'2. GRI Pricing Inputs'!$D$114)^((AM$16-AL$16)/365)</f>
        <v>0</v>
      </c>
      <c r="AN603" s="273">
        <f>AM603*(1+'2. GRI Pricing Inputs'!$D$114)^((AN$16-AM$16)/365)</f>
        <v>0</v>
      </c>
      <c r="AO603" s="273">
        <f>AN603*(1+'2. GRI Pricing Inputs'!$D$114)^((AO$16-AN$16)/365)</f>
        <v>0</v>
      </c>
    </row>
    <row r="604" spans="3:41" ht="12" x14ac:dyDescent="0.2">
      <c r="C604" s="76">
        <f>'1. Accomodation'!N608</f>
        <v>0</v>
      </c>
      <c r="D604" s="69">
        <f>'1. Accomodation'!P608</f>
        <v>0</v>
      </c>
      <c r="E604" s="69">
        <f>'1. Accomodation'!Q608</f>
        <v>0</v>
      </c>
      <c r="F604" s="77">
        <f>'1. Accomodation'!O608</f>
        <v>0</v>
      </c>
      <c r="G604" s="69">
        <f>'1. Accomodation'!R608</f>
        <v>0</v>
      </c>
      <c r="H604" s="69">
        <f>'1. Accomodation'!S608</f>
        <v>0</v>
      </c>
      <c r="I604" s="62"/>
      <c r="K604" s="272">
        <f>IFERROR(INDEX('2. GRI Pricing Inputs'!$C$15:$AI$16,MATCH($K$16,'2. GRI Pricing Inputs'!$C$15:$C$16,0),MATCH(D604,'2. GRI Pricing Inputs'!$C$15:$AI$15,0)),0)</f>
        <v>0</v>
      </c>
      <c r="L604" s="273">
        <f>IFERROR(INDEX('2. GRI Pricing Inputs'!$C$22:$AI$23,MATCH($L$16,'2. GRI Pricing Inputs'!$C$22:$C$23,0),MATCH(E604,'2. GRI Pricing Inputs'!$C$22:$AI$22,0)),0)</f>
        <v>0</v>
      </c>
      <c r="M604" s="328">
        <f>IF(AND('3. GRI Pricing'!$F604&gt;='2. GRI Pricing Inputs'!$D$33,'3. GRI Pricing'!$F604&lt;='2. GRI Pricing Inputs'!$E$33),'2. GRI Pricing Inputs'!$D$32,IF(AND('3. GRI Pricing'!$F604&gt;='2. GRI Pricing Inputs'!$F$33,'3. GRI Pricing'!$F604&lt;='2. GRI Pricing Inputs'!$G$33),'2. GRI Pricing Inputs'!$F$32,IF(AND('3. GRI Pricing'!$F604&gt;='2. GRI Pricing Inputs'!$H$33,'3. GRI Pricing'!$F604&lt;='2. GRI Pricing Inputs'!$I$33),'2. GRI Pricing Inputs'!$H$32,IF(AND('3. GRI Pricing'!$F604&gt;='2. GRI Pricing Inputs'!$J$33,'3. GRI Pricing'!$F604&lt;='2. GRI Pricing Inputs'!$K$33),'2. GRI Pricing Inputs'!$J$32,IF(AND('3. GRI Pricing'!$F604&gt;='2. GRI Pricing Inputs'!$L$33,'3. GRI Pricing'!$F604&lt;='2. GRI Pricing Inputs'!$M$33),'2. GRI Pricing Inputs'!$L$32,IF(AND('3. GRI Pricing'!$F604&gt;='2. GRI Pricing Inputs'!$N$33,'3. GRI Pricing'!$F604&lt;='2. GRI Pricing Inputs'!$O$33),'2. GRI Pricing Inputs'!$N$32,IF(AND('3. GRI Pricing'!$F604&gt;='2. GRI Pricing Inputs'!$P$33,'3. GRI Pricing'!$F604&lt;='2. GRI Pricing Inputs'!$Q$33),'2. GRI Pricing Inputs'!$P$32,IF(AND('3. GRI Pricing'!$F604&gt;='2. GRI Pricing Inputs'!$R$33,'3. GRI Pricing'!$F604&lt;='2. GRI Pricing Inputs'!$S$33),'2. GRI Pricing Inputs'!$R$32,IF(AND('3. GRI Pricing'!$F604&gt;='2. GRI Pricing Inputs'!$T$33,'3. GRI Pricing'!$F604&lt;='2. GRI Pricing Inputs'!$U$33),'2. GRI Pricing Inputs'!$T$32,IF(AND('3. GRI Pricing'!$F604&gt;='2. GRI Pricing Inputs'!$V$33,'3. GRI Pricing'!$F604&lt;='2. GRI Pricing Inputs'!$W$33),'2. GRI Pricing Inputs'!$V$32,IF(AND('3. GRI Pricing'!$F604&gt;='2. GRI Pricing Inputs'!$X$33,'3. GRI Pricing'!$F604&lt;='2. GRI Pricing Inputs'!$Y$33),'2. GRI Pricing Inputs'!$X$32,IF(AND('3. GRI Pricing'!$F604&gt;='2. GRI Pricing Inputs'!$Z$33,'3. GRI Pricing'!$F604&lt;='2. GRI Pricing Inputs'!$AA$33),'2. GRI Pricing Inputs'!$Z$32,IF(AND('3. GRI Pricing'!$F604&gt;='2. GRI Pricing Inputs'!$AB$33,'3. GRI Pricing'!$F604&lt;='2. GRI Pricing Inputs'!$AC$33),'2. GRI Pricing Inputs'!$AB$32,IF(AND('3. GRI Pricing'!$F604&gt;='2. GRI Pricing Inputs'!$AD$33,'3. GRI Pricing'!$F604&lt;='2. GRI Pricing Inputs'!$AE$33),'2. GRI Pricing Inputs'!$AD$32,IF(AND('3. GRI Pricing'!$F604&gt;='2. GRI Pricing Inputs'!$AF$33,'3. GRI Pricing'!$F604&lt;='2. GRI Pricing Inputs'!$AG$33),'2. GRI Pricing Inputs'!$AF$32,IF(AND('3. GRI Pricing'!$F604&gt;='2. GRI Pricing Inputs'!$AH$33,'3. GRI Pricing'!$F604&lt;='2. GRI Pricing Inputs'!$AI$33),'2. GRI Pricing Inputs'!$AH$32,0))))))))))))))))</f>
        <v>0</v>
      </c>
      <c r="N604" s="273" cm="1">
        <f t="array" ref="N604">IFERROR(INDEX('2. GRI Pricing Inputs'!$C$32:$AI$39,MATCH('3. GRI Pricing'!D604,'2. GRI Pricing Inputs'!$C$32:$C$39,0),(MATCH('3. GRI Pricing'!M604,'2. GRI Pricing Inputs'!$D$32:$AI$32,0)+1)),0)</f>
        <v>0</v>
      </c>
      <c r="O604" s="273">
        <f>IFERROR(INDEX('2. GRI Pricing Inputs'!$C$45:$AI$46,MATCH($O$16,'2. GRI Pricing Inputs'!$C$45:$C$46,0),MATCH(G604,'2. GRI Pricing Inputs'!$C$45:$AI$45,0)),0)</f>
        <v>0</v>
      </c>
      <c r="P604" s="273">
        <f>IFERROR(INDEX('2. GRI Pricing Inputs'!$C$53:$AI$54,MATCH('3. GRI Pricing'!$P$16,'2. GRI Pricing Inputs'!$C$53:$C$54,0),MATCH('3. GRI Pricing'!H604,'2. GRI Pricing Inputs'!$C$53:$AI$53,0)),0)</f>
        <v>0</v>
      </c>
      <c r="Q604" s="273">
        <f>IFERROR(INDEX('2. GRI Pricing Inputs'!$C$60:$AI$61,MATCH('3. GRI Pricing'!$Q$16,'2. GRI Pricing Inputs'!$C$60:$C$61,0),MATCH('1. Accomodation'!T608,'2. GRI Pricing Inputs'!$C$60:$AI$60,0)),0)</f>
        <v>0</v>
      </c>
      <c r="R604" s="273">
        <f>IFERROR(INDEX('2. GRI Pricing Inputs'!$C$67:$AI$68,MATCH('3. GRI Pricing'!$R$16,'2. GRI Pricing Inputs'!$C$67:$C$68,0),MATCH('1. Accomodation'!U608,'2. GRI Pricing Inputs'!$C$67:$AI$67,0)),0)</f>
        <v>0</v>
      </c>
      <c r="S604" s="273">
        <f>IF(D604=0,0,'2. GRI Pricing Inputs'!$AI$75)</f>
        <v>0</v>
      </c>
      <c r="T604" s="273">
        <f>IFERROR(INDEX('2. GRI Pricing Inputs'!$C$82:$AI$83,MATCH('3. GRI Pricing'!$T$16,'2. GRI Pricing Inputs'!$C$82:$C$83,0),MATCH('1. Accomodation'!V608,'2. GRI Pricing Inputs'!$C$82:$AI$82,0)),0)</f>
        <v>0</v>
      </c>
      <c r="U604" s="273">
        <f>IFERROR(INDEX('2. GRI Pricing Inputs'!$C$89:$AI$90,MATCH('3. GRI Pricing'!$U$16,'2. GRI Pricing Inputs'!$C$89:$C$90,0),MATCH('1. Accomodation'!W608,'2. GRI Pricing Inputs'!$C$89:$AI$89,0)),0)</f>
        <v>0</v>
      </c>
      <c r="V604" s="273">
        <f>IFERROR(INDEX('2. GRI Pricing Inputs'!$C$97:$AI$98,MATCH('3. GRI Pricing'!$V$16,'2. GRI Pricing Inputs'!$C$97:$C$98,0),MATCH('1. Accomodation'!X608,'2. GRI Pricing Inputs'!$C$97:$AI$97,0)),0)</f>
        <v>0</v>
      </c>
      <c r="W604" s="273">
        <f>IFERROR(INDEX('2. GRI Pricing Inputs'!$C$104:$AI$105,MATCH('3. GRI Pricing'!$W$16,'2. GRI Pricing Inputs'!$C$104:$C$105,0),MATCH('1. Accomodation'!Y608,'2. GRI Pricing Inputs'!$C$104:$AI$104,0)),0)</f>
        <v>0</v>
      </c>
      <c r="X604" s="274"/>
      <c r="Y604" s="275">
        <f t="shared" si="16"/>
        <v>0</v>
      </c>
      <c r="Z604" s="276"/>
      <c r="AA604" s="276"/>
      <c r="AB604" s="276"/>
      <c r="AC604" s="272">
        <f>Y604*(1+'2. GRI Pricing Inputs'!$D$114)^(($AC$16-$AB$15)/365)</f>
        <v>0</v>
      </c>
      <c r="AD604" s="273">
        <f>AC604*(1+'2. GRI Pricing Inputs'!$D$114)^((AD$16-AC$16)/365)</f>
        <v>0</v>
      </c>
      <c r="AE604" s="273">
        <f>AD604*(1+'2. GRI Pricing Inputs'!$D$114)^((AE$16-AD$16)/365)</f>
        <v>0</v>
      </c>
      <c r="AF604" s="273">
        <f>AE604*(1+'2. GRI Pricing Inputs'!$D$114)^((AF$16-AE$16)/365)</f>
        <v>0</v>
      </c>
      <c r="AG604" s="273">
        <f>AF604*(1+'2. GRI Pricing Inputs'!$D$114)^((AG$16-AF$16)/365)</f>
        <v>0</v>
      </c>
      <c r="AH604" s="273">
        <f>AG604*(1+'2. GRI Pricing Inputs'!$D$114)^((AH$16-AG$16)/365)</f>
        <v>0</v>
      </c>
      <c r="AI604" s="273">
        <f>AH604*(1+'2. GRI Pricing Inputs'!$D$114)^((AI$16-AH$16)/365)</f>
        <v>0</v>
      </c>
      <c r="AJ604" s="273">
        <f>AI604*(1+'2. GRI Pricing Inputs'!$D$114)^((AJ$16-AI$16)/365)</f>
        <v>0</v>
      </c>
      <c r="AK604" s="273">
        <f>AJ604*(1+'2. GRI Pricing Inputs'!$D$114)^((AK$16-AJ$16)/365)</f>
        <v>0</v>
      </c>
      <c r="AL604" s="273">
        <f>AK604*(1+'2. GRI Pricing Inputs'!$D$114)^((AL$16-AK$16)/365)</f>
        <v>0</v>
      </c>
      <c r="AM604" s="273">
        <f>AL604*(1+'2. GRI Pricing Inputs'!$D$114)^((AM$16-AL$16)/365)</f>
        <v>0</v>
      </c>
      <c r="AN604" s="273">
        <f>AM604*(1+'2. GRI Pricing Inputs'!$D$114)^((AN$16-AM$16)/365)</f>
        <v>0</v>
      </c>
      <c r="AO604" s="273">
        <f>AN604*(1+'2. GRI Pricing Inputs'!$D$114)^((AO$16-AN$16)/365)</f>
        <v>0</v>
      </c>
    </row>
    <row r="605" spans="3:41" ht="12" x14ac:dyDescent="0.2">
      <c r="C605" s="76">
        <f>'1. Accomodation'!N609</f>
        <v>0</v>
      </c>
      <c r="D605" s="69">
        <f>'1. Accomodation'!P609</f>
        <v>0</v>
      </c>
      <c r="E605" s="69">
        <f>'1. Accomodation'!Q609</f>
        <v>0</v>
      </c>
      <c r="F605" s="77">
        <f>'1. Accomodation'!O609</f>
        <v>0</v>
      </c>
      <c r="G605" s="69">
        <f>'1. Accomodation'!R609</f>
        <v>0</v>
      </c>
      <c r="H605" s="69">
        <f>'1. Accomodation'!S609</f>
        <v>0</v>
      </c>
      <c r="I605" s="62"/>
      <c r="K605" s="272">
        <f>IFERROR(INDEX('2. GRI Pricing Inputs'!$C$15:$AI$16,MATCH($K$16,'2. GRI Pricing Inputs'!$C$15:$C$16,0),MATCH(D605,'2. GRI Pricing Inputs'!$C$15:$AI$15,0)),0)</f>
        <v>0</v>
      </c>
      <c r="L605" s="273">
        <f>IFERROR(INDEX('2. GRI Pricing Inputs'!$C$22:$AI$23,MATCH($L$16,'2. GRI Pricing Inputs'!$C$22:$C$23,0),MATCH(E605,'2. GRI Pricing Inputs'!$C$22:$AI$22,0)),0)</f>
        <v>0</v>
      </c>
      <c r="M605" s="328">
        <f>IF(AND('3. GRI Pricing'!$F605&gt;='2. GRI Pricing Inputs'!$D$33,'3. GRI Pricing'!$F605&lt;='2. GRI Pricing Inputs'!$E$33),'2. GRI Pricing Inputs'!$D$32,IF(AND('3. GRI Pricing'!$F605&gt;='2. GRI Pricing Inputs'!$F$33,'3. GRI Pricing'!$F605&lt;='2. GRI Pricing Inputs'!$G$33),'2. GRI Pricing Inputs'!$F$32,IF(AND('3. GRI Pricing'!$F605&gt;='2. GRI Pricing Inputs'!$H$33,'3. GRI Pricing'!$F605&lt;='2. GRI Pricing Inputs'!$I$33),'2. GRI Pricing Inputs'!$H$32,IF(AND('3. GRI Pricing'!$F605&gt;='2. GRI Pricing Inputs'!$J$33,'3. GRI Pricing'!$F605&lt;='2. GRI Pricing Inputs'!$K$33),'2. GRI Pricing Inputs'!$J$32,IF(AND('3. GRI Pricing'!$F605&gt;='2. GRI Pricing Inputs'!$L$33,'3. GRI Pricing'!$F605&lt;='2. GRI Pricing Inputs'!$M$33),'2. GRI Pricing Inputs'!$L$32,IF(AND('3. GRI Pricing'!$F605&gt;='2. GRI Pricing Inputs'!$N$33,'3. GRI Pricing'!$F605&lt;='2. GRI Pricing Inputs'!$O$33),'2. GRI Pricing Inputs'!$N$32,IF(AND('3. GRI Pricing'!$F605&gt;='2. GRI Pricing Inputs'!$P$33,'3. GRI Pricing'!$F605&lt;='2. GRI Pricing Inputs'!$Q$33),'2. GRI Pricing Inputs'!$P$32,IF(AND('3. GRI Pricing'!$F605&gt;='2. GRI Pricing Inputs'!$R$33,'3. GRI Pricing'!$F605&lt;='2. GRI Pricing Inputs'!$S$33),'2. GRI Pricing Inputs'!$R$32,IF(AND('3. GRI Pricing'!$F605&gt;='2. GRI Pricing Inputs'!$T$33,'3. GRI Pricing'!$F605&lt;='2. GRI Pricing Inputs'!$U$33),'2. GRI Pricing Inputs'!$T$32,IF(AND('3. GRI Pricing'!$F605&gt;='2. GRI Pricing Inputs'!$V$33,'3. GRI Pricing'!$F605&lt;='2. GRI Pricing Inputs'!$W$33),'2. GRI Pricing Inputs'!$V$32,IF(AND('3. GRI Pricing'!$F605&gt;='2. GRI Pricing Inputs'!$X$33,'3. GRI Pricing'!$F605&lt;='2. GRI Pricing Inputs'!$Y$33),'2. GRI Pricing Inputs'!$X$32,IF(AND('3. GRI Pricing'!$F605&gt;='2. GRI Pricing Inputs'!$Z$33,'3. GRI Pricing'!$F605&lt;='2. GRI Pricing Inputs'!$AA$33),'2. GRI Pricing Inputs'!$Z$32,IF(AND('3. GRI Pricing'!$F605&gt;='2. GRI Pricing Inputs'!$AB$33,'3. GRI Pricing'!$F605&lt;='2. GRI Pricing Inputs'!$AC$33),'2. GRI Pricing Inputs'!$AB$32,IF(AND('3. GRI Pricing'!$F605&gt;='2. GRI Pricing Inputs'!$AD$33,'3. GRI Pricing'!$F605&lt;='2. GRI Pricing Inputs'!$AE$33),'2. GRI Pricing Inputs'!$AD$32,IF(AND('3. GRI Pricing'!$F605&gt;='2. GRI Pricing Inputs'!$AF$33,'3. GRI Pricing'!$F605&lt;='2. GRI Pricing Inputs'!$AG$33),'2. GRI Pricing Inputs'!$AF$32,IF(AND('3. GRI Pricing'!$F605&gt;='2. GRI Pricing Inputs'!$AH$33,'3. GRI Pricing'!$F605&lt;='2. GRI Pricing Inputs'!$AI$33),'2. GRI Pricing Inputs'!$AH$32,0))))))))))))))))</f>
        <v>0</v>
      </c>
      <c r="N605" s="273" cm="1">
        <f t="array" ref="N605">IFERROR(INDEX('2. GRI Pricing Inputs'!$C$32:$AI$39,MATCH('3. GRI Pricing'!D605,'2. GRI Pricing Inputs'!$C$32:$C$39,0),(MATCH('3. GRI Pricing'!M605,'2. GRI Pricing Inputs'!$D$32:$AI$32,0)+1)),0)</f>
        <v>0</v>
      </c>
      <c r="O605" s="273">
        <f>IFERROR(INDEX('2. GRI Pricing Inputs'!$C$45:$AI$46,MATCH($O$16,'2. GRI Pricing Inputs'!$C$45:$C$46,0),MATCH(G605,'2. GRI Pricing Inputs'!$C$45:$AI$45,0)),0)</f>
        <v>0</v>
      </c>
      <c r="P605" s="273">
        <f>IFERROR(INDEX('2. GRI Pricing Inputs'!$C$53:$AI$54,MATCH('3. GRI Pricing'!$P$16,'2. GRI Pricing Inputs'!$C$53:$C$54,0),MATCH('3. GRI Pricing'!H605,'2. GRI Pricing Inputs'!$C$53:$AI$53,0)),0)</f>
        <v>0</v>
      </c>
      <c r="Q605" s="273">
        <f>IFERROR(INDEX('2. GRI Pricing Inputs'!$C$60:$AI$61,MATCH('3. GRI Pricing'!$Q$16,'2. GRI Pricing Inputs'!$C$60:$C$61,0),MATCH('1. Accomodation'!T609,'2. GRI Pricing Inputs'!$C$60:$AI$60,0)),0)</f>
        <v>0</v>
      </c>
      <c r="R605" s="273">
        <f>IFERROR(INDEX('2. GRI Pricing Inputs'!$C$67:$AI$68,MATCH('3. GRI Pricing'!$R$16,'2. GRI Pricing Inputs'!$C$67:$C$68,0),MATCH('1. Accomodation'!U609,'2. GRI Pricing Inputs'!$C$67:$AI$67,0)),0)</f>
        <v>0</v>
      </c>
      <c r="S605" s="273">
        <f>IF(D605=0,0,'2. GRI Pricing Inputs'!$AI$75)</f>
        <v>0</v>
      </c>
      <c r="T605" s="273">
        <f>IFERROR(INDEX('2. GRI Pricing Inputs'!$C$82:$AI$83,MATCH('3. GRI Pricing'!$T$16,'2. GRI Pricing Inputs'!$C$82:$C$83,0),MATCH('1. Accomodation'!V609,'2. GRI Pricing Inputs'!$C$82:$AI$82,0)),0)</f>
        <v>0</v>
      </c>
      <c r="U605" s="273">
        <f>IFERROR(INDEX('2. GRI Pricing Inputs'!$C$89:$AI$90,MATCH('3. GRI Pricing'!$U$16,'2. GRI Pricing Inputs'!$C$89:$C$90,0),MATCH('1. Accomodation'!W609,'2. GRI Pricing Inputs'!$C$89:$AI$89,0)),0)</f>
        <v>0</v>
      </c>
      <c r="V605" s="273">
        <f>IFERROR(INDEX('2. GRI Pricing Inputs'!$C$97:$AI$98,MATCH('3. GRI Pricing'!$V$16,'2. GRI Pricing Inputs'!$C$97:$C$98,0),MATCH('1. Accomodation'!X609,'2. GRI Pricing Inputs'!$C$97:$AI$97,0)),0)</f>
        <v>0</v>
      </c>
      <c r="W605" s="273">
        <f>IFERROR(INDEX('2. GRI Pricing Inputs'!$C$104:$AI$105,MATCH('3. GRI Pricing'!$W$16,'2. GRI Pricing Inputs'!$C$104:$C$105,0),MATCH('1. Accomodation'!Y609,'2. GRI Pricing Inputs'!$C$104:$AI$104,0)),0)</f>
        <v>0</v>
      </c>
      <c r="X605" s="274"/>
      <c r="Y605" s="275">
        <f t="shared" si="16"/>
        <v>0</v>
      </c>
      <c r="Z605" s="276"/>
      <c r="AA605" s="276"/>
      <c r="AB605" s="276"/>
      <c r="AC605" s="272">
        <f>Y605*(1+'2. GRI Pricing Inputs'!$D$114)^(($AC$16-$AB$15)/365)</f>
        <v>0</v>
      </c>
      <c r="AD605" s="273">
        <f>AC605*(1+'2. GRI Pricing Inputs'!$D$114)^((AD$16-AC$16)/365)</f>
        <v>0</v>
      </c>
      <c r="AE605" s="273">
        <f>AD605*(1+'2. GRI Pricing Inputs'!$D$114)^((AE$16-AD$16)/365)</f>
        <v>0</v>
      </c>
      <c r="AF605" s="273">
        <f>AE605*(1+'2. GRI Pricing Inputs'!$D$114)^((AF$16-AE$16)/365)</f>
        <v>0</v>
      </c>
      <c r="AG605" s="273">
        <f>AF605*(1+'2. GRI Pricing Inputs'!$D$114)^((AG$16-AF$16)/365)</f>
        <v>0</v>
      </c>
      <c r="AH605" s="273">
        <f>AG605*(1+'2. GRI Pricing Inputs'!$D$114)^((AH$16-AG$16)/365)</f>
        <v>0</v>
      </c>
      <c r="AI605" s="273">
        <f>AH605*(1+'2. GRI Pricing Inputs'!$D$114)^((AI$16-AH$16)/365)</f>
        <v>0</v>
      </c>
      <c r="AJ605" s="273">
        <f>AI605*(1+'2. GRI Pricing Inputs'!$D$114)^((AJ$16-AI$16)/365)</f>
        <v>0</v>
      </c>
      <c r="AK605" s="273">
        <f>AJ605*(1+'2. GRI Pricing Inputs'!$D$114)^((AK$16-AJ$16)/365)</f>
        <v>0</v>
      </c>
      <c r="AL605" s="273">
        <f>AK605*(1+'2. GRI Pricing Inputs'!$D$114)^((AL$16-AK$16)/365)</f>
        <v>0</v>
      </c>
      <c r="AM605" s="273">
        <f>AL605*(1+'2. GRI Pricing Inputs'!$D$114)^((AM$16-AL$16)/365)</f>
        <v>0</v>
      </c>
      <c r="AN605" s="273">
        <f>AM605*(1+'2. GRI Pricing Inputs'!$D$114)^((AN$16-AM$16)/365)</f>
        <v>0</v>
      </c>
      <c r="AO605" s="273">
        <f>AN605*(1+'2. GRI Pricing Inputs'!$D$114)^((AO$16-AN$16)/365)</f>
        <v>0</v>
      </c>
    </row>
    <row r="606" spans="3:41" ht="12" x14ac:dyDescent="0.2">
      <c r="C606" s="76">
        <f>'1. Accomodation'!N610</f>
        <v>0</v>
      </c>
      <c r="D606" s="69">
        <f>'1. Accomodation'!P610</f>
        <v>0</v>
      </c>
      <c r="E606" s="69">
        <f>'1. Accomodation'!Q610</f>
        <v>0</v>
      </c>
      <c r="F606" s="77">
        <f>'1. Accomodation'!O610</f>
        <v>0</v>
      </c>
      <c r="G606" s="69">
        <f>'1. Accomodation'!R610</f>
        <v>0</v>
      </c>
      <c r="H606" s="69">
        <f>'1. Accomodation'!S610</f>
        <v>0</v>
      </c>
      <c r="I606" s="62"/>
      <c r="K606" s="272">
        <f>IFERROR(INDEX('2. GRI Pricing Inputs'!$C$15:$AI$16,MATCH($K$16,'2. GRI Pricing Inputs'!$C$15:$C$16,0),MATCH(D606,'2. GRI Pricing Inputs'!$C$15:$AI$15,0)),0)</f>
        <v>0</v>
      </c>
      <c r="L606" s="273">
        <f>IFERROR(INDEX('2. GRI Pricing Inputs'!$C$22:$AI$23,MATCH($L$16,'2. GRI Pricing Inputs'!$C$22:$C$23,0),MATCH(E606,'2. GRI Pricing Inputs'!$C$22:$AI$22,0)),0)</f>
        <v>0</v>
      </c>
      <c r="M606" s="328">
        <f>IF(AND('3. GRI Pricing'!$F606&gt;='2. GRI Pricing Inputs'!$D$33,'3. GRI Pricing'!$F606&lt;='2. GRI Pricing Inputs'!$E$33),'2. GRI Pricing Inputs'!$D$32,IF(AND('3. GRI Pricing'!$F606&gt;='2. GRI Pricing Inputs'!$F$33,'3. GRI Pricing'!$F606&lt;='2. GRI Pricing Inputs'!$G$33),'2. GRI Pricing Inputs'!$F$32,IF(AND('3. GRI Pricing'!$F606&gt;='2. GRI Pricing Inputs'!$H$33,'3. GRI Pricing'!$F606&lt;='2. GRI Pricing Inputs'!$I$33),'2. GRI Pricing Inputs'!$H$32,IF(AND('3. GRI Pricing'!$F606&gt;='2. GRI Pricing Inputs'!$J$33,'3. GRI Pricing'!$F606&lt;='2. GRI Pricing Inputs'!$K$33),'2. GRI Pricing Inputs'!$J$32,IF(AND('3. GRI Pricing'!$F606&gt;='2. GRI Pricing Inputs'!$L$33,'3. GRI Pricing'!$F606&lt;='2. GRI Pricing Inputs'!$M$33),'2. GRI Pricing Inputs'!$L$32,IF(AND('3. GRI Pricing'!$F606&gt;='2. GRI Pricing Inputs'!$N$33,'3. GRI Pricing'!$F606&lt;='2. GRI Pricing Inputs'!$O$33),'2. GRI Pricing Inputs'!$N$32,IF(AND('3. GRI Pricing'!$F606&gt;='2. GRI Pricing Inputs'!$P$33,'3. GRI Pricing'!$F606&lt;='2. GRI Pricing Inputs'!$Q$33),'2. GRI Pricing Inputs'!$P$32,IF(AND('3. GRI Pricing'!$F606&gt;='2. GRI Pricing Inputs'!$R$33,'3. GRI Pricing'!$F606&lt;='2. GRI Pricing Inputs'!$S$33),'2. GRI Pricing Inputs'!$R$32,IF(AND('3. GRI Pricing'!$F606&gt;='2. GRI Pricing Inputs'!$T$33,'3. GRI Pricing'!$F606&lt;='2. GRI Pricing Inputs'!$U$33),'2. GRI Pricing Inputs'!$T$32,IF(AND('3. GRI Pricing'!$F606&gt;='2. GRI Pricing Inputs'!$V$33,'3. GRI Pricing'!$F606&lt;='2. GRI Pricing Inputs'!$W$33),'2. GRI Pricing Inputs'!$V$32,IF(AND('3. GRI Pricing'!$F606&gt;='2. GRI Pricing Inputs'!$X$33,'3. GRI Pricing'!$F606&lt;='2. GRI Pricing Inputs'!$Y$33),'2. GRI Pricing Inputs'!$X$32,IF(AND('3. GRI Pricing'!$F606&gt;='2. GRI Pricing Inputs'!$Z$33,'3. GRI Pricing'!$F606&lt;='2. GRI Pricing Inputs'!$AA$33),'2. GRI Pricing Inputs'!$Z$32,IF(AND('3. GRI Pricing'!$F606&gt;='2. GRI Pricing Inputs'!$AB$33,'3. GRI Pricing'!$F606&lt;='2. GRI Pricing Inputs'!$AC$33),'2. GRI Pricing Inputs'!$AB$32,IF(AND('3. GRI Pricing'!$F606&gt;='2. GRI Pricing Inputs'!$AD$33,'3. GRI Pricing'!$F606&lt;='2. GRI Pricing Inputs'!$AE$33),'2. GRI Pricing Inputs'!$AD$32,IF(AND('3. GRI Pricing'!$F606&gt;='2. GRI Pricing Inputs'!$AF$33,'3. GRI Pricing'!$F606&lt;='2. GRI Pricing Inputs'!$AG$33),'2. GRI Pricing Inputs'!$AF$32,IF(AND('3. GRI Pricing'!$F606&gt;='2. GRI Pricing Inputs'!$AH$33,'3. GRI Pricing'!$F606&lt;='2. GRI Pricing Inputs'!$AI$33),'2. GRI Pricing Inputs'!$AH$32,0))))))))))))))))</f>
        <v>0</v>
      </c>
      <c r="N606" s="273" cm="1">
        <f t="array" ref="N606">IFERROR(INDEX('2. GRI Pricing Inputs'!$C$32:$AI$39,MATCH('3. GRI Pricing'!D606,'2. GRI Pricing Inputs'!$C$32:$C$39,0),(MATCH('3. GRI Pricing'!M606,'2. GRI Pricing Inputs'!$D$32:$AI$32,0)+1)),0)</f>
        <v>0</v>
      </c>
      <c r="O606" s="273">
        <f>IFERROR(INDEX('2. GRI Pricing Inputs'!$C$45:$AI$46,MATCH($O$16,'2. GRI Pricing Inputs'!$C$45:$C$46,0),MATCH(G606,'2. GRI Pricing Inputs'!$C$45:$AI$45,0)),0)</f>
        <v>0</v>
      </c>
      <c r="P606" s="273">
        <f>IFERROR(INDEX('2. GRI Pricing Inputs'!$C$53:$AI$54,MATCH('3. GRI Pricing'!$P$16,'2. GRI Pricing Inputs'!$C$53:$C$54,0),MATCH('3. GRI Pricing'!H606,'2. GRI Pricing Inputs'!$C$53:$AI$53,0)),0)</f>
        <v>0</v>
      </c>
      <c r="Q606" s="273">
        <f>IFERROR(INDEX('2. GRI Pricing Inputs'!$C$60:$AI$61,MATCH('3. GRI Pricing'!$Q$16,'2. GRI Pricing Inputs'!$C$60:$C$61,0),MATCH('1. Accomodation'!T610,'2. GRI Pricing Inputs'!$C$60:$AI$60,0)),0)</f>
        <v>0</v>
      </c>
      <c r="R606" s="273">
        <f>IFERROR(INDEX('2. GRI Pricing Inputs'!$C$67:$AI$68,MATCH('3. GRI Pricing'!$R$16,'2. GRI Pricing Inputs'!$C$67:$C$68,0),MATCH('1. Accomodation'!U610,'2. GRI Pricing Inputs'!$C$67:$AI$67,0)),0)</f>
        <v>0</v>
      </c>
      <c r="S606" s="273">
        <f>IF(D606=0,0,'2. GRI Pricing Inputs'!$AI$75)</f>
        <v>0</v>
      </c>
      <c r="T606" s="273">
        <f>IFERROR(INDEX('2. GRI Pricing Inputs'!$C$82:$AI$83,MATCH('3. GRI Pricing'!$T$16,'2. GRI Pricing Inputs'!$C$82:$C$83,0),MATCH('1. Accomodation'!V610,'2. GRI Pricing Inputs'!$C$82:$AI$82,0)),0)</f>
        <v>0</v>
      </c>
      <c r="U606" s="273">
        <f>IFERROR(INDEX('2. GRI Pricing Inputs'!$C$89:$AI$90,MATCH('3. GRI Pricing'!$U$16,'2. GRI Pricing Inputs'!$C$89:$C$90,0),MATCH('1. Accomodation'!W610,'2. GRI Pricing Inputs'!$C$89:$AI$89,0)),0)</f>
        <v>0</v>
      </c>
      <c r="V606" s="273">
        <f>IFERROR(INDEX('2. GRI Pricing Inputs'!$C$97:$AI$98,MATCH('3. GRI Pricing'!$V$16,'2. GRI Pricing Inputs'!$C$97:$C$98,0),MATCH('1. Accomodation'!X610,'2. GRI Pricing Inputs'!$C$97:$AI$97,0)),0)</f>
        <v>0</v>
      </c>
      <c r="W606" s="273">
        <f>IFERROR(INDEX('2. GRI Pricing Inputs'!$C$104:$AI$105,MATCH('3. GRI Pricing'!$W$16,'2. GRI Pricing Inputs'!$C$104:$C$105,0),MATCH('1. Accomodation'!Y610,'2. GRI Pricing Inputs'!$C$104:$AI$104,0)),0)</f>
        <v>0</v>
      </c>
      <c r="X606" s="274"/>
      <c r="Y606" s="275">
        <f t="shared" si="16"/>
        <v>0</v>
      </c>
      <c r="Z606" s="276"/>
      <c r="AA606" s="276"/>
      <c r="AB606" s="276"/>
      <c r="AC606" s="272">
        <f>Y606*(1+'2. GRI Pricing Inputs'!$D$114)^(($AC$16-$AB$15)/365)</f>
        <v>0</v>
      </c>
      <c r="AD606" s="273">
        <f>AC606*(1+'2. GRI Pricing Inputs'!$D$114)^((AD$16-AC$16)/365)</f>
        <v>0</v>
      </c>
      <c r="AE606" s="273">
        <f>AD606*(1+'2. GRI Pricing Inputs'!$D$114)^((AE$16-AD$16)/365)</f>
        <v>0</v>
      </c>
      <c r="AF606" s="273">
        <f>AE606*(1+'2. GRI Pricing Inputs'!$D$114)^((AF$16-AE$16)/365)</f>
        <v>0</v>
      </c>
      <c r="AG606" s="273">
        <f>AF606*(1+'2. GRI Pricing Inputs'!$D$114)^((AG$16-AF$16)/365)</f>
        <v>0</v>
      </c>
      <c r="AH606" s="273">
        <f>AG606*(1+'2. GRI Pricing Inputs'!$D$114)^((AH$16-AG$16)/365)</f>
        <v>0</v>
      </c>
      <c r="AI606" s="273">
        <f>AH606*(1+'2. GRI Pricing Inputs'!$D$114)^((AI$16-AH$16)/365)</f>
        <v>0</v>
      </c>
      <c r="AJ606" s="273">
        <f>AI606*(1+'2. GRI Pricing Inputs'!$D$114)^((AJ$16-AI$16)/365)</f>
        <v>0</v>
      </c>
      <c r="AK606" s="273">
        <f>AJ606*(1+'2. GRI Pricing Inputs'!$D$114)^((AK$16-AJ$16)/365)</f>
        <v>0</v>
      </c>
      <c r="AL606" s="273">
        <f>AK606*(1+'2. GRI Pricing Inputs'!$D$114)^((AL$16-AK$16)/365)</f>
        <v>0</v>
      </c>
      <c r="AM606" s="273">
        <f>AL606*(1+'2. GRI Pricing Inputs'!$D$114)^((AM$16-AL$16)/365)</f>
        <v>0</v>
      </c>
      <c r="AN606" s="273">
        <f>AM606*(1+'2. GRI Pricing Inputs'!$D$114)^((AN$16-AM$16)/365)</f>
        <v>0</v>
      </c>
      <c r="AO606" s="273">
        <f>AN606*(1+'2. GRI Pricing Inputs'!$D$114)^((AO$16-AN$16)/365)</f>
        <v>0</v>
      </c>
    </row>
    <row r="607" spans="3:41" ht="12" x14ac:dyDescent="0.2">
      <c r="C607" s="76">
        <f>'1. Accomodation'!N611</f>
        <v>0</v>
      </c>
      <c r="D607" s="69">
        <f>'1. Accomodation'!P611</f>
        <v>0</v>
      </c>
      <c r="E607" s="69">
        <f>'1. Accomodation'!Q611</f>
        <v>0</v>
      </c>
      <c r="F607" s="77">
        <f>'1. Accomodation'!O611</f>
        <v>0</v>
      </c>
      <c r="G607" s="69">
        <f>'1. Accomodation'!R611</f>
        <v>0</v>
      </c>
      <c r="H607" s="69">
        <f>'1. Accomodation'!S611</f>
        <v>0</v>
      </c>
      <c r="I607" s="62"/>
      <c r="K607" s="272">
        <f>IFERROR(INDEX('2. GRI Pricing Inputs'!$C$15:$AI$16,MATCH($K$16,'2. GRI Pricing Inputs'!$C$15:$C$16,0),MATCH(D607,'2. GRI Pricing Inputs'!$C$15:$AI$15,0)),0)</f>
        <v>0</v>
      </c>
      <c r="L607" s="273">
        <f>IFERROR(INDEX('2. GRI Pricing Inputs'!$C$22:$AI$23,MATCH($L$16,'2. GRI Pricing Inputs'!$C$22:$C$23,0),MATCH(E607,'2. GRI Pricing Inputs'!$C$22:$AI$22,0)),0)</f>
        <v>0</v>
      </c>
      <c r="M607" s="328">
        <f>IF(AND('3. GRI Pricing'!$F607&gt;='2. GRI Pricing Inputs'!$D$33,'3. GRI Pricing'!$F607&lt;='2. GRI Pricing Inputs'!$E$33),'2. GRI Pricing Inputs'!$D$32,IF(AND('3. GRI Pricing'!$F607&gt;='2. GRI Pricing Inputs'!$F$33,'3. GRI Pricing'!$F607&lt;='2. GRI Pricing Inputs'!$G$33),'2. GRI Pricing Inputs'!$F$32,IF(AND('3. GRI Pricing'!$F607&gt;='2. GRI Pricing Inputs'!$H$33,'3. GRI Pricing'!$F607&lt;='2. GRI Pricing Inputs'!$I$33),'2. GRI Pricing Inputs'!$H$32,IF(AND('3. GRI Pricing'!$F607&gt;='2. GRI Pricing Inputs'!$J$33,'3. GRI Pricing'!$F607&lt;='2. GRI Pricing Inputs'!$K$33),'2. GRI Pricing Inputs'!$J$32,IF(AND('3. GRI Pricing'!$F607&gt;='2. GRI Pricing Inputs'!$L$33,'3. GRI Pricing'!$F607&lt;='2. GRI Pricing Inputs'!$M$33),'2. GRI Pricing Inputs'!$L$32,IF(AND('3. GRI Pricing'!$F607&gt;='2. GRI Pricing Inputs'!$N$33,'3. GRI Pricing'!$F607&lt;='2. GRI Pricing Inputs'!$O$33),'2. GRI Pricing Inputs'!$N$32,IF(AND('3. GRI Pricing'!$F607&gt;='2. GRI Pricing Inputs'!$P$33,'3. GRI Pricing'!$F607&lt;='2. GRI Pricing Inputs'!$Q$33),'2. GRI Pricing Inputs'!$P$32,IF(AND('3. GRI Pricing'!$F607&gt;='2. GRI Pricing Inputs'!$R$33,'3. GRI Pricing'!$F607&lt;='2. GRI Pricing Inputs'!$S$33),'2. GRI Pricing Inputs'!$R$32,IF(AND('3. GRI Pricing'!$F607&gt;='2. GRI Pricing Inputs'!$T$33,'3. GRI Pricing'!$F607&lt;='2. GRI Pricing Inputs'!$U$33),'2. GRI Pricing Inputs'!$T$32,IF(AND('3. GRI Pricing'!$F607&gt;='2. GRI Pricing Inputs'!$V$33,'3. GRI Pricing'!$F607&lt;='2. GRI Pricing Inputs'!$W$33),'2. GRI Pricing Inputs'!$V$32,IF(AND('3. GRI Pricing'!$F607&gt;='2. GRI Pricing Inputs'!$X$33,'3. GRI Pricing'!$F607&lt;='2. GRI Pricing Inputs'!$Y$33),'2. GRI Pricing Inputs'!$X$32,IF(AND('3. GRI Pricing'!$F607&gt;='2. GRI Pricing Inputs'!$Z$33,'3. GRI Pricing'!$F607&lt;='2. GRI Pricing Inputs'!$AA$33),'2. GRI Pricing Inputs'!$Z$32,IF(AND('3. GRI Pricing'!$F607&gt;='2. GRI Pricing Inputs'!$AB$33,'3. GRI Pricing'!$F607&lt;='2. GRI Pricing Inputs'!$AC$33),'2. GRI Pricing Inputs'!$AB$32,IF(AND('3. GRI Pricing'!$F607&gt;='2. GRI Pricing Inputs'!$AD$33,'3. GRI Pricing'!$F607&lt;='2. GRI Pricing Inputs'!$AE$33),'2. GRI Pricing Inputs'!$AD$32,IF(AND('3. GRI Pricing'!$F607&gt;='2. GRI Pricing Inputs'!$AF$33,'3. GRI Pricing'!$F607&lt;='2. GRI Pricing Inputs'!$AG$33),'2. GRI Pricing Inputs'!$AF$32,IF(AND('3. GRI Pricing'!$F607&gt;='2. GRI Pricing Inputs'!$AH$33,'3. GRI Pricing'!$F607&lt;='2. GRI Pricing Inputs'!$AI$33),'2. GRI Pricing Inputs'!$AH$32,0))))))))))))))))</f>
        <v>0</v>
      </c>
      <c r="N607" s="273" cm="1">
        <f t="array" ref="N607">IFERROR(INDEX('2. GRI Pricing Inputs'!$C$32:$AI$39,MATCH('3. GRI Pricing'!D607,'2. GRI Pricing Inputs'!$C$32:$C$39,0),(MATCH('3. GRI Pricing'!M607,'2. GRI Pricing Inputs'!$D$32:$AI$32,0)+1)),0)</f>
        <v>0</v>
      </c>
      <c r="O607" s="273">
        <f>IFERROR(INDEX('2. GRI Pricing Inputs'!$C$45:$AI$46,MATCH($O$16,'2. GRI Pricing Inputs'!$C$45:$C$46,0),MATCH(G607,'2. GRI Pricing Inputs'!$C$45:$AI$45,0)),0)</f>
        <v>0</v>
      </c>
      <c r="P607" s="273">
        <f>IFERROR(INDEX('2. GRI Pricing Inputs'!$C$53:$AI$54,MATCH('3. GRI Pricing'!$P$16,'2. GRI Pricing Inputs'!$C$53:$C$54,0),MATCH('3. GRI Pricing'!H607,'2. GRI Pricing Inputs'!$C$53:$AI$53,0)),0)</f>
        <v>0</v>
      </c>
      <c r="Q607" s="273">
        <f>IFERROR(INDEX('2. GRI Pricing Inputs'!$C$60:$AI$61,MATCH('3. GRI Pricing'!$Q$16,'2. GRI Pricing Inputs'!$C$60:$C$61,0),MATCH('1. Accomodation'!T611,'2. GRI Pricing Inputs'!$C$60:$AI$60,0)),0)</f>
        <v>0</v>
      </c>
      <c r="R607" s="273">
        <f>IFERROR(INDEX('2. GRI Pricing Inputs'!$C$67:$AI$68,MATCH('3. GRI Pricing'!$R$16,'2. GRI Pricing Inputs'!$C$67:$C$68,0),MATCH('1. Accomodation'!U611,'2. GRI Pricing Inputs'!$C$67:$AI$67,0)),0)</f>
        <v>0</v>
      </c>
      <c r="S607" s="273">
        <f>IF(D607=0,0,'2. GRI Pricing Inputs'!$AI$75)</f>
        <v>0</v>
      </c>
      <c r="T607" s="273">
        <f>IFERROR(INDEX('2. GRI Pricing Inputs'!$C$82:$AI$83,MATCH('3. GRI Pricing'!$T$16,'2. GRI Pricing Inputs'!$C$82:$C$83,0),MATCH('1. Accomodation'!V611,'2. GRI Pricing Inputs'!$C$82:$AI$82,0)),0)</f>
        <v>0</v>
      </c>
      <c r="U607" s="273">
        <f>IFERROR(INDEX('2. GRI Pricing Inputs'!$C$89:$AI$90,MATCH('3. GRI Pricing'!$U$16,'2. GRI Pricing Inputs'!$C$89:$C$90,0),MATCH('1. Accomodation'!W611,'2. GRI Pricing Inputs'!$C$89:$AI$89,0)),0)</f>
        <v>0</v>
      </c>
      <c r="V607" s="273">
        <f>IFERROR(INDEX('2. GRI Pricing Inputs'!$C$97:$AI$98,MATCH('3. GRI Pricing'!$V$16,'2. GRI Pricing Inputs'!$C$97:$C$98,0),MATCH('1. Accomodation'!X611,'2. GRI Pricing Inputs'!$C$97:$AI$97,0)),0)</f>
        <v>0</v>
      </c>
      <c r="W607" s="273">
        <f>IFERROR(INDEX('2. GRI Pricing Inputs'!$C$104:$AI$105,MATCH('3. GRI Pricing'!$W$16,'2. GRI Pricing Inputs'!$C$104:$C$105,0),MATCH('1. Accomodation'!Y611,'2. GRI Pricing Inputs'!$C$104:$AI$104,0)),0)</f>
        <v>0</v>
      </c>
      <c r="X607" s="274"/>
      <c r="Y607" s="275">
        <f t="shared" si="16"/>
        <v>0</v>
      </c>
      <c r="Z607" s="276"/>
      <c r="AA607" s="276"/>
      <c r="AB607" s="276"/>
      <c r="AC607" s="272">
        <f>Y607*(1+'2. GRI Pricing Inputs'!$D$114)^(($AC$16-$AB$15)/365)</f>
        <v>0</v>
      </c>
      <c r="AD607" s="273">
        <f>AC607*(1+'2. GRI Pricing Inputs'!$D$114)^((AD$16-AC$16)/365)</f>
        <v>0</v>
      </c>
      <c r="AE607" s="273">
        <f>AD607*(1+'2. GRI Pricing Inputs'!$D$114)^((AE$16-AD$16)/365)</f>
        <v>0</v>
      </c>
      <c r="AF607" s="273">
        <f>AE607*(1+'2. GRI Pricing Inputs'!$D$114)^((AF$16-AE$16)/365)</f>
        <v>0</v>
      </c>
      <c r="AG607" s="273">
        <f>AF607*(1+'2. GRI Pricing Inputs'!$D$114)^((AG$16-AF$16)/365)</f>
        <v>0</v>
      </c>
      <c r="AH607" s="273">
        <f>AG607*(1+'2. GRI Pricing Inputs'!$D$114)^((AH$16-AG$16)/365)</f>
        <v>0</v>
      </c>
      <c r="AI607" s="273">
        <f>AH607*(1+'2. GRI Pricing Inputs'!$D$114)^((AI$16-AH$16)/365)</f>
        <v>0</v>
      </c>
      <c r="AJ607" s="273">
        <f>AI607*(1+'2. GRI Pricing Inputs'!$D$114)^((AJ$16-AI$16)/365)</f>
        <v>0</v>
      </c>
      <c r="AK607" s="273">
        <f>AJ607*(1+'2. GRI Pricing Inputs'!$D$114)^((AK$16-AJ$16)/365)</f>
        <v>0</v>
      </c>
      <c r="AL607" s="273">
        <f>AK607*(1+'2. GRI Pricing Inputs'!$D$114)^((AL$16-AK$16)/365)</f>
        <v>0</v>
      </c>
      <c r="AM607" s="273">
        <f>AL607*(1+'2. GRI Pricing Inputs'!$D$114)^((AM$16-AL$16)/365)</f>
        <v>0</v>
      </c>
      <c r="AN607" s="273">
        <f>AM607*(1+'2. GRI Pricing Inputs'!$D$114)^((AN$16-AM$16)/365)</f>
        <v>0</v>
      </c>
      <c r="AO607" s="273">
        <f>AN607*(1+'2. GRI Pricing Inputs'!$D$114)^((AO$16-AN$16)/365)</f>
        <v>0</v>
      </c>
    </row>
    <row r="608" spans="3:41" ht="12" x14ac:dyDescent="0.2">
      <c r="C608" s="76">
        <f>'1. Accomodation'!N612</f>
        <v>0</v>
      </c>
      <c r="D608" s="69">
        <f>'1. Accomodation'!P612</f>
        <v>0</v>
      </c>
      <c r="E608" s="69">
        <f>'1. Accomodation'!Q612</f>
        <v>0</v>
      </c>
      <c r="F608" s="77">
        <f>'1. Accomodation'!O612</f>
        <v>0</v>
      </c>
      <c r="G608" s="69">
        <f>'1. Accomodation'!R612</f>
        <v>0</v>
      </c>
      <c r="H608" s="69">
        <f>'1. Accomodation'!S612</f>
        <v>0</v>
      </c>
      <c r="I608" s="62"/>
      <c r="K608" s="272">
        <f>IFERROR(INDEX('2. GRI Pricing Inputs'!$C$15:$AI$16,MATCH($K$16,'2. GRI Pricing Inputs'!$C$15:$C$16,0),MATCH(D608,'2. GRI Pricing Inputs'!$C$15:$AI$15,0)),0)</f>
        <v>0</v>
      </c>
      <c r="L608" s="273">
        <f>IFERROR(INDEX('2. GRI Pricing Inputs'!$C$22:$AI$23,MATCH($L$16,'2. GRI Pricing Inputs'!$C$22:$C$23,0),MATCH(E608,'2. GRI Pricing Inputs'!$C$22:$AI$22,0)),0)</f>
        <v>0</v>
      </c>
      <c r="M608" s="328">
        <f>IF(AND('3. GRI Pricing'!$F608&gt;='2. GRI Pricing Inputs'!$D$33,'3. GRI Pricing'!$F608&lt;='2. GRI Pricing Inputs'!$E$33),'2. GRI Pricing Inputs'!$D$32,IF(AND('3. GRI Pricing'!$F608&gt;='2. GRI Pricing Inputs'!$F$33,'3. GRI Pricing'!$F608&lt;='2. GRI Pricing Inputs'!$G$33),'2. GRI Pricing Inputs'!$F$32,IF(AND('3. GRI Pricing'!$F608&gt;='2. GRI Pricing Inputs'!$H$33,'3. GRI Pricing'!$F608&lt;='2. GRI Pricing Inputs'!$I$33),'2. GRI Pricing Inputs'!$H$32,IF(AND('3. GRI Pricing'!$F608&gt;='2. GRI Pricing Inputs'!$J$33,'3. GRI Pricing'!$F608&lt;='2. GRI Pricing Inputs'!$K$33),'2. GRI Pricing Inputs'!$J$32,IF(AND('3. GRI Pricing'!$F608&gt;='2. GRI Pricing Inputs'!$L$33,'3. GRI Pricing'!$F608&lt;='2. GRI Pricing Inputs'!$M$33),'2. GRI Pricing Inputs'!$L$32,IF(AND('3. GRI Pricing'!$F608&gt;='2. GRI Pricing Inputs'!$N$33,'3. GRI Pricing'!$F608&lt;='2. GRI Pricing Inputs'!$O$33),'2. GRI Pricing Inputs'!$N$32,IF(AND('3. GRI Pricing'!$F608&gt;='2. GRI Pricing Inputs'!$P$33,'3. GRI Pricing'!$F608&lt;='2. GRI Pricing Inputs'!$Q$33),'2. GRI Pricing Inputs'!$P$32,IF(AND('3. GRI Pricing'!$F608&gt;='2. GRI Pricing Inputs'!$R$33,'3. GRI Pricing'!$F608&lt;='2. GRI Pricing Inputs'!$S$33),'2. GRI Pricing Inputs'!$R$32,IF(AND('3. GRI Pricing'!$F608&gt;='2. GRI Pricing Inputs'!$T$33,'3. GRI Pricing'!$F608&lt;='2. GRI Pricing Inputs'!$U$33),'2. GRI Pricing Inputs'!$T$32,IF(AND('3. GRI Pricing'!$F608&gt;='2. GRI Pricing Inputs'!$V$33,'3. GRI Pricing'!$F608&lt;='2. GRI Pricing Inputs'!$W$33),'2. GRI Pricing Inputs'!$V$32,IF(AND('3. GRI Pricing'!$F608&gt;='2. GRI Pricing Inputs'!$X$33,'3. GRI Pricing'!$F608&lt;='2. GRI Pricing Inputs'!$Y$33),'2. GRI Pricing Inputs'!$X$32,IF(AND('3. GRI Pricing'!$F608&gt;='2. GRI Pricing Inputs'!$Z$33,'3. GRI Pricing'!$F608&lt;='2. GRI Pricing Inputs'!$AA$33),'2. GRI Pricing Inputs'!$Z$32,IF(AND('3. GRI Pricing'!$F608&gt;='2. GRI Pricing Inputs'!$AB$33,'3. GRI Pricing'!$F608&lt;='2. GRI Pricing Inputs'!$AC$33),'2. GRI Pricing Inputs'!$AB$32,IF(AND('3. GRI Pricing'!$F608&gt;='2. GRI Pricing Inputs'!$AD$33,'3. GRI Pricing'!$F608&lt;='2. GRI Pricing Inputs'!$AE$33),'2. GRI Pricing Inputs'!$AD$32,IF(AND('3. GRI Pricing'!$F608&gt;='2. GRI Pricing Inputs'!$AF$33,'3. GRI Pricing'!$F608&lt;='2. GRI Pricing Inputs'!$AG$33),'2. GRI Pricing Inputs'!$AF$32,IF(AND('3. GRI Pricing'!$F608&gt;='2. GRI Pricing Inputs'!$AH$33,'3. GRI Pricing'!$F608&lt;='2. GRI Pricing Inputs'!$AI$33),'2. GRI Pricing Inputs'!$AH$32,0))))))))))))))))</f>
        <v>0</v>
      </c>
      <c r="N608" s="273" cm="1">
        <f t="array" ref="N608">IFERROR(INDEX('2. GRI Pricing Inputs'!$C$32:$AI$39,MATCH('3. GRI Pricing'!D608,'2. GRI Pricing Inputs'!$C$32:$C$39,0),(MATCH('3. GRI Pricing'!M608,'2. GRI Pricing Inputs'!$D$32:$AI$32,0)+1)),0)</f>
        <v>0</v>
      </c>
      <c r="O608" s="273">
        <f>IFERROR(INDEX('2. GRI Pricing Inputs'!$C$45:$AI$46,MATCH($O$16,'2. GRI Pricing Inputs'!$C$45:$C$46,0),MATCH(G608,'2. GRI Pricing Inputs'!$C$45:$AI$45,0)),0)</f>
        <v>0</v>
      </c>
      <c r="P608" s="273">
        <f>IFERROR(INDEX('2. GRI Pricing Inputs'!$C$53:$AI$54,MATCH('3. GRI Pricing'!$P$16,'2. GRI Pricing Inputs'!$C$53:$C$54,0),MATCH('3. GRI Pricing'!H608,'2. GRI Pricing Inputs'!$C$53:$AI$53,0)),0)</f>
        <v>0</v>
      </c>
      <c r="Q608" s="273">
        <f>IFERROR(INDEX('2. GRI Pricing Inputs'!$C$60:$AI$61,MATCH('3. GRI Pricing'!$Q$16,'2. GRI Pricing Inputs'!$C$60:$C$61,0),MATCH('1. Accomodation'!T612,'2. GRI Pricing Inputs'!$C$60:$AI$60,0)),0)</f>
        <v>0</v>
      </c>
      <c r="R608" s="273">
        <f>IFERROR(INDEX('2. GRI Pricing Inputs'!$C$67:$AI$68,MATCH('3. GRI Pricing'!$R$16,'2. GRI Pricing Inputs'!$C$67:$C$68,0),MATCH('1. Accomodation'!U612,'2. GRI Pricing Inputs'!$C$67:$AI$67,0)),0)</f>
        <v>0</v>
      </c>
      <c r="S608" s="273">
        <f>IF(D608=0,0,'2. GRI Pricing Inputs'!$AI$75)</f>
        <v>0</v>
      </c>
      <c r="T608" s="273">
        <f>IFERROR(INDEX('2. GRI Pricing Inputs'!$C$82:$AI$83,MATCH('3. GRI Pricing'!$T$16,'2. GRI Pricing Inputs'!$C$82:$C$83,0),MATCH('1. Accomodation'!V612,'2. GRI Pricing Inputs'!$C$82:$AI$82,0)),0)</f>
        <v>0</v>
      </c>
      <c r="U608" s="273">
        <f>IFERROR(INDEX('2. GRI Pricing Inputs'!$C$89:$AI$90,MATCH('3. GRI Pricing'!$U$16,'2. GRI Pricing Inputs'!$C$89:$C$90,0),MATCH('1. Accomodation'!W612,'2. GRI Pricing Inputs'!$C$89:$AI$89,0)),0)</f>
        <v>0</v>
      </c>
      <c r="V608" s="273">
        <f>IFERROR(INDEX('2. GRI Pricing Inputs'!$C$97:$AI$98,MATCH('3. GRI Pricing'!$V$16,'2. GRI Pricing Inputs'!$C$97:$C$98,0),MATCH('1. Accomodation'!X612,'2. GRI Pricing Inputs'!$C$97:$AI$97,0)),0)</f>
        <v>0</v>
      </c>
      <c r="W608" s="273">
        <f>IFERROR(INDEX('2. GRI Pricing Inputs'!$C$104:$AI$105,MATCH('3. GRI Pricing'!$W$16,'2. GRI Pricing Inputs'!$C$104:$C$105,0),MATCH('1. Accomodation'!Y612,'2. GRI Pricing Inputs'!$C$104:$AI$104,0)),0)</f>
        <v>0</v>
      </c>
      <c r="X608" s="274"/>
      <c r="Y608" s="275">
        <f t="shared" si="16"/>
        <v>0</v>
      </c>
      <c r="Z608" s="276"/>
      <c r="AA608" s="276"/>
      <c r="AB608" s="276"/>
      <c r="AC608" s="272">
        <f>Y608*(1+'2. GRI Pricing Inputs'!$D$114)^(($AC$16-$AB$15)/365)</f>
        <v>0</v>
      </c>
      <c r="AD608" s="273">
        <f>AC608*(1+'2. GRI Pricing Inputs'!$D$114)^((AD$16-AC$16)/365)</f>
        <v>0</v>
      </c>
      <c r="AE608" s="273">
        <f>AD608*(1+'2. GRI Pricing Inputs'!$D$114)^((AE$16-AD$16)/365)</f>
        <v>0</v>
      </c>
      <c r="AF608" s="273">
        <f>AE608*(1+'2. GRI Pricing Inputs'!$D$114)^((AF$16-AE$16)/365)</f>
        <v>0</v>
      </c>
      <c r="AG608" s="273">
        <f>AF608*(1+'2. GRI Pricing Inputs'!$D$114)^((AG$16-AF$16)/365)</f>
        <v>0</v>
      </c>
      <c r="AH608" s="273">
        <f>AG608*(1+'2. GRI Pricing Inputs'!$D$114)^((AH$16-AG$16)/365)</f>
        <v>0</v>
      </c>
      <c r="AI608" s="273">
        <f>AH608*(1+'2. GRI Pricing Inputs'!$D$114)^((AI$16-AH$16)/365)</f>
        <v>0</v>
      </c>
      <c r="AJ608" s="273">
        <f>AI608*(1+'2. GRI Pricing Inputs'!$D$114)^((AJ$16-AI$16)/365)</f>
        <v>0</v>
      </c>
      <c r="AK608" s="273">
        <f>AJ608*(1+'2. GRI Pricing Inputs'!$D$114)^((AK$16-AJ$16)/365)</f>
        <v>0</v>
      </c>
      <c r="AL608" s="273">
        <f>AK608*(1+'2. GRI Pricing Inputs'!$D$114)^((AL$16-AK$16)/365)</f>
        <v>0</v>
      </c>
      <c r="AM608" s="273">
        <f>AL608*(1+'2. GRI Pricing Inputs'!$D$114)^((AM$16-AL$16)/365)</f>
        <v>0</v>
      </c>
      <c r="AN608" s="273">
        <f>AM608*(1+'2. GRI Pricing Inputs'!$D$114)^((AN$16-AM$16)/365)</f>
        <v>0</v>
      </c>
      <c r="AO608" s="273">
        <f>AN608*(1+'2. GRI Pricing Inputs'!$D$114)^((AO$16-AN$16)/365)</f>
        <v>0</v>
      </c>
    </row>
    <row r="609" spans="3:44" ht="12" x14ac:dyDescent="0.2">
      <c r="C609" s="76">
        <f>'1. Accomodation'!N613</f>
        <v>0</v>
      </c>
      <c r="D609" s="69">
        <f>'1. Accomodation'!P613</f>
        <v>0</v>
      </c>
      <c r="E609" s="69">
        <f>'1. Accomodation'!Q613</f>
        <v>0</v>
      </c>
      <c r="F609" s="77">
        <f>'1. Accomodation'!O613</f>
        <v>0</v>
      </c>
      <c r="G609" s="69">
        <f>'1. Accomodation'!R613</f>
        <v>0</v>
      </c>
      <c r="H609" s="69">
        <f>'1. Accomodation'!S613</f>
        <v>0</v>
      </c>
      <c r="I609" s="62"/>
      <c r="K609" s="272">
        <f>IFERROR(INDEX('2. GRI Pricing Inputs'!$C$15:$AI$16,MATCH($K$16,'2. GRI Pricing Inputs'!$C$15:$C$16,0),MATCH(D609,'2. GRI Pricing Inputs'!$C$15:$AI$15,0)),0)</f>
        <v>0</v>
      </c>
      <c r="L609" s="273">
        <f>IFERROR(INDEX('2. GRI Pricing Inputs'!$C$22:$AI$23,MATCH($L$16,'2. GRI Pricing Inputs'!$C$22:$C$23,0),MATCH(E609,'2. GRI Pricing Inputs'!$C$22:$AI$22,0)),0)</f>
        <v>0</v>
      </c>
      <c r="M609" s="328">
        <f>IF(AND('3. GRI Pricing'!$F609&gt;='2. GRI Pricing Inputs'!$D$33,'3. GRI Pricing'!$F609&lt;='2. GRI Pricing Inputs'!$E$33),'2. GRI Pricing Inputs'!$D$32,IF(AND('3. GRI Pricing'!$F609&gt;='2. GRI Pricing Inputs'!$F$33,'3. GRI Pricing'!$F609&lt;='2. GRI Pricing Inputs'!$G$33),'2. GRI Pricing Inputs'!$F$32,IF(AND('3. GRI Pricing'!$F609&gt;='2. GRI Pricing Inputs'!$H$33,'3. GRI Pricing'!$F609&lt;='2. GRI Pricing Inputs'!$I$33),'2. GRI Pricing Inputs'!$H$32,IF(AND('3. GRI Pricing'!$F609&gt;='2. GRI Pricing Inputs'!$J$33,'3. GRI Pricing'!$F609&lt;='2. GRI Pricing Inputs'!$K$33),'2. GRI Pricing Inputs'!$J$32,IF(AND('3. GRI Pricing'!$F609&gt;='2. GRI Pricing Inputs'!$L$33,'3. GRI Pricing'!$F609&lt;='2. GRI Pricing Inputs'!$M$33),'2. GRI Pricing Inputs'!$L$32,IF(AND('3. GRI Pricing'!$F609&gt;='2. GRI Pricing Inputs'!$N$33,'3. GRI Pricing'!$F609&lt;='2. GRI Pricing Inputs'!$O$33),'2. GRI Pricing Inputs'!$N$32,IF(AND('3. GRI Pricing'!$F609&gt;='2. GRI Pricing Inputs'!$P$33,'3. GRI Pricing'!$F609&lt;='2. GRI Pricing Inputs'!$Q$33),'2. GRI Pricing Inputs'!$P$32,IF(AND('3. GRI Pricing'!$F609&gt;='2. GRI Pricing Inputs'!$R$33,'3. GRI Pricing'!$F609&lt;='2. GRI Pricing Inputs'!$S$33),'2. GRI Pricing Inputs'!$R$32,IF(AND('3. GRI Pricing'!$F609&gt;='2. GRI Pricing Inputs'!$T$33,'3. GRI Pricing'!$F609&lt;='2. GRI Pricing Inputs'!$U$33),'2. GRI Pricing Inputs'!$T$32,IF(AND('3. GRI Pricing'!$F609&gt;='2. GRI Pricing Inputs'!$V$33,'3. GRI Pricing'!$F609&lt;='2. GRI Pricing Inputs'!$W$33),'2. GRI Pricing Inputs'!$V$32,IF(AND('3. GRI Pricing'!$F609&gt;='2. GRI Pricing Inputs'!$X$33,'3. GRI Pricing'!$F609&lt;='2. GRI Pricing Inputs'!$Y$33),'2. GRI Pricing Inputs'!$X$32,IF(AND('3. GRI Pricing'!$F609&gt;='2. GRI Pricing Inputs'!$Z$33,'3. GRI Pricing'!$F609&lt;='2. GRI Pricing Inputs'!$AA$33),'2. GRI Pricing Inputs'!$Z$32,IF(AND('3. GRI Pricing'!$F609&gt;='2. GRI Pricing Inputs'!$AB$33,'3. GRI Pricing'!$F609&lt;='2. GRI Pricing Inputs'!$AC$33),'2. GRI Pricing Inputs'!$AB$32,IF(AND('3. GRI Pricing'!$F609&gt;='2. GRI Pricing Inputs'!$AD$33,'3. GRI Pricing'!$F609&lt;='2. GRI Pricing Inputs'!$AE$33),'2. GRI Pricing Inputs'!$AD$32,IF(AND('3. GRI Pricing'!$F609&gt;='2. GRI Pricing Inputs'!$AF$33,'3. GRI Pricing'!$F609&lt;='2. GRI Pricing Inputs'!$AG$33),'2. GRI Pricing Inputs'!$AF$32,IF(AND('3. GRI Pricing'!$F609&gt;='2. GRI Pricing Inputs'!$AH$33,'3. GRI Pricing'!$F609&lt;='2. GRI Pricing Inputs'!$AI$33),'2. GRI Pricing Inputs'!$AH$32,0))))))))))))))))</f>
        <v>0</v>
      </c>
      <c r="N609" s="273" cm="1">
        <f t="array" ref="N609">IFERROR(INDEX('2. GRI Pricing Inputs'!$C$32:$AI$39,MATCH('3. GRI Pricing'!D609,'2. GRI Pricing Inputs'!$C$32:$C$39,0),(MATCH('3. GRI Pricing'!M609,'2. GRI Pricing Inputs'!$D$32:$AI$32,0)+1)),0)</f>
        <v>0</v>
      </c>
      <c r="O609" s="273">
        <f>IFERROR(INDEX('2. GRI Pricing Inputs'!$C$45:$AI$46,MATCH($O$16,'2. GRI Pricing Inputs'!$C$45:$C$46,0),MATCH(G609,'2. GRI Pricing Inputs'!$C$45:$AI$45,0)),0)</f>
        <v>0</v>
      </c>
      <c r="P609" s="273">
        <f>IFERROR(INDEX('2. GRI Pricing Inputs'!$C$53:$AI$54,MATCH('3. GRI Pricing'!$P$16,'2. GRI Pricing Inputs'!$C$53:$C$54,0),MATCH('3. GRI Pricing'!H609,'2. GRI Pricing Inputs'!$C$53:$AI$53,0)),0)</f>
        <v>0</v>
      </c>
      <c r="Q609" s="273">
        <f>IFERROR(INDEX('2. GRI Pricing Inputs'!$C$60:$AI$61,MATCH('3. GRI Pricing'!$Q$16,'2. GRI Pricing Inputs'!$C$60:$C$61,0),MATCH('1. Accomodation'!T613,'2. GRI Pricing Inputs'!$C$60:$AI$60,0)),0)</f>
        <v>0</v>
      </c>
      <c r="R609" s="273">
        <f>IFERROR(INDEX('2. GRI Pricing Inputs'!$C$67:$AI$68,MATCH('3. GRI Pricing'!$R$16,'2. GRI Pricing Inputs'!$C$67:$C$68,0),MATCH('1. Accomodation'!U613,'2. GRI Pricing Inputs'!$C$67:$AI$67,0)),0)</f>
        <v>0</v>
      </c>
      <c r="S609" s="273">
        <f>IF(D609=0,0,'2. GRI Pricing Inputs'!$AI$75)</f>
        <v>0</v>
      </c>
      <c r="T609" s="273">
        <f>IFERROR(INDEX('2. GRI Pricing Inputs'!$C$82:$AI$83,MATCH('3. GRI Pricing'!$T$16,'2. GRI Pricing Inputs'!$C$82:$C$83,0),MATCH('1. Accomodation'!V613,'2. GRI Pricing Inputs'!$C$82:$AI$82,0)),0)</f>
        <v>0</v>
      </c>
      <c r="U609" s="273">
        <f>IFERROR(INDEX('2. GRI Pricing Inputs'!$C$89:$AI$90,MATCH('3. GRI Pricing'!$U$16,'2. GRI Pricing Inputs'!$C$89:$C$90,0),MATCH('1. Accomodation'!W613,'2. GRI Pricing Inputs'!$C$89:$AI$89,0)),0)</f>
        <v>0</v>
      </c>
      <c r="V609" s="273">
        <f>IFERROR(INDEX('2. GRI Pricing Inputs'!$C$97:$AI$98,MATCH('3. GRI Pricing'!$V$16,'2. GRI Pricing Inputs'!$C$97:$C$98,0),MATCH('1. Accomodation'!X613,'2. GRI Pricing Inputs'!$C$97:$AI$97,0)),0)</f>
        <v>0</v>
      </c>
      <c r="W609" s="273">
        <f>IFERROR(INDEX('2. GRI Pricing Inputs'!$C$104:$AI$105,MATCH('3. GRI Pricing'!$W$16,'2. GRI Pricing Inputs'!$C$104:$C$105,0),MATCH('1. Accomodation'!Y613,'2. GRI Pricing Inputs'!$C$104:$AI$104,0)),0)</f>
        <v>0</v>
      </c>
      <c r="X609" s="274"/>
      <c r="Y609" s="275">
        <f t="shared" si="16"/>
        <v>0</v>
      </c>
      <c r="Z609" s="276"/>
      <c r="AA609" s="276"/>
      <c r="AB609" s="276"/>
      <c r="AC609" s="272">
        <f>Y609*(1+'2. GRI Pricing Inputs'!$D$114)^(($AC$16-$AB$15)/365)</f>
        <v>0</v>
      </c>
      <c r="AD609" s="273">
        <f>AC609*(1+'2. GRI Pricing Inputs'!$D$114)^((AD$16-AC$16)/365)</f>
        <v>0</v>
      </c>
      <c r="AE609" s="273">
        <f>AD609*(1+'2. GRI Pricing Inputs'!$D$114)^((AE$16-AD$16)/365)</f>
        <v>0</v>
      </c>
      <c r="AF609" s="273">
        <f>AE609*(1+'2. GRI Pricing Inputs'!$D$114)^((AF$16-AE$16)/365)</f>
        <v>0</v>
      </c>
      <c r="AG609" s="273">
        <f>AF609*(1+'2. GRI Pricing Inputs'!$D$114)^((AG$16-AF$16)/365)</f>
        <v>0</v>
      </c>
      <c r="AH609" s="273">
        <f>AG609*(1+'2. GRI Pricing Inputs'!$D$114)^((AH$16-AG$16)/365)</f>
        <v>0</v>
      </c>
      <c r="AI609" s="273">
        <f>AH609*(1+'2. GRI Pricing Inputs'!$D$114)^((AI$16-AH$16)/365)</f>
        <v>0</v>
      </c>
      <c r="AJ609" s="273">
        <f>AI609*(1+'2. GRI Pricing Inputs'!$D$114)^((AJ$16-AI$16)/365)</f>
        <v>0</v>
      </c>
      <c r="AK609" s="273">
        <f>AJ609*(1+'2. GRI Pricing Inputs'!$D$114)^((AK$16-AJ$16)/365)</f>
        <v>0</v>
      </c>
      <c r="AL609" s="273">
        <f>AK609*(1+'2. GRI Pricing Inputs'!$D$114)^((AL$16-AK$16)/365)</f>
        <v>0</v>
      </c>
      <c r="AM609" s="273">
        <f>AL609*(1+'2. GRI Pricing Inputs'!$D$114)^((AM$16-AL$16)/365)</f>
        <v>0</v>
      </c>
      <c r="AN609" s="273">
        <f>AM609*(1+'2. GRI Pricing Inputs'!$D$114)^((AN$16-AM$16)/365)</f>
        <v>0</v>
      </c>
      <c r="AO609" s="273">
        <f>AN609*(1+'2. GRI Pricing Inputs'!$D$114)^((AO$16-AN$16)/365)</f>
        <v>0</v>
      </c>
    </row>
    <row r="610" spans="3:44" ht="12" x14ac:dyDescent="0.2">
      <c r="C610" s="76">
        <f>'1. Accomodation'!N614</f>
        <v>0</v>
      </c>
      <c r="D610" s="69">
        <f>'1. Accomodation'!P614</f>
        <v>0</v>
      </c>
      <c r="E610" s="69">
        <f>'1. Accomodation'!Q614</f>
        <v>0</v>
      </c>
      <c r="F610" s="77">
        <f>'1. Accomodation'!O614</f>
        <v>0</v>
      </c>
      <c r="G610" s="69">
        <f>'1. Accomodation'!R614</f>
        <v>0</v>
      </c>
      <c r="H610" s="69">
        <f>'1. Accomodation'!S614</f>
        <v>0</v>
      </c>
      <c r="I610" s="62"/>
      <c r="K610" s="272">
        <f>IFERROR(INDEX('2. GRI Pricing Inputs'!$C$15:$AI$16,MATCH($K$16,'2. GRI Pricing Inputs'!$C$15:$C$16,0),MATCH(D610,'2. GRI Pricing Inputs'!$C$15:$AI$15,0)),0)</f>
        <v>0</v>
      </c>
      <c r="L610" s="273">
        <f>IFERROR(INDEX('2. GRI Pricing Inputs'!$C$22:$AI$23,MATCH($L$16,'2. GRI Pricing Inputs'!$C$22:$C$23,0),MATCH(E610,'2. GRI Pricing Inputs'!$C$22:$AI$22,0)),0)</f>
        <v>0</v>
      </c>
      <c r="M610" s="328">
        <f>IF(AND('3. GRI Pricing'!$F610&gt;='2. GRI Pricing Inputs'!$D$33,'3. GRI Pricing'!$F610&lt;='2. GRI Pricing Inputs'!$E$33),'2. GRI Pricing Inputs'!$D$32,IF(AND('3. GRI Pricing'!$F610&gt;='2. GRI Pricing Inputs'!$F$33,'3. GRI Pricing'!$F610&lt;='2. GRI Pricing Inputs'!$G$33),'2. GRI Pricing Inputs'!$F$32,IF(AND('3. GRI Pricing'!$F610&gt;='2. GRI Pricing Inputs'!$H$33,'3. GRI Pricing'!$F610&lt;='2. GRI Pricing Inputs'!$I$33),'2. GRI Pricing Inputs'!$H$32,IF(AND('3. GRI Pricing'!$F610&gt;='2. GRI Pricing Inputs'!$J$33,'3. GRI Pricing'!$F610&lt;='2. GRI Pricing Inputs'!$K$33),'2. GRI Pricing Inputs'!$J$32,IF(AND('3. GRI Pricing'!$F610&gt;='2. GRI Pricing Inputs'!$L$33,'3. GRI Pricing'!$F610&lt;='2. GRI Pricing Inputs'!$M$33),'2. GRI Pricing Inputs'!$L$32,IF(AND('3. GRI Pricing'!$F610&gt;='2. GRI Pricing Inputs'!$N$33,'3. GRI Pricing'!$F610&lt;='2. GRI Pricing Inputs'!$O$33),'2. GRI Pricing Inputs'!$N$32,IF(AND('3. GRI Pricing'!$F610&gt;='2. GRI Pricing Inputs'!$P$33,'3. GRI Pricing'!$F610&lt;='2. GRI Pricing Inputs'!$Q$33),'2. GRI Pricing Inputs'!$P$32,IF(AND('3. GRI Pricing'!$F610&gt;='2. GRI Pricing Inputs'!$R$33,'3. GRI Pricing'!$F610&lt;='2. GRI Pricing Inputs'!$S$33),'2. GRI Pricing Inputs'!$R$32,IF(AND('3. GRI Pricing'!$F610&gt;='2. GRI Pricing Inputs'!$T$33,'3. GRI Pricing'!$F610&lt;='2. GRI Pricing Inputs'!$U$33),'2. GRI Pricing Inputs'!$T$32,IF(AND('3. GRI Pricing'!$F610&gt;='2. GRI Pricing Inputs'!$V$33,'3. GRI Pricing'!$F610&lt;='2. GRI Pricing Inputs'!$W$33),'2. GRI Pricing Inputs'!$V$32,IF(AND('3. GRI Pricing'!$F610&gt;='2. GRI Pricing Inputs'!$X$33,'3. GRI Pricing'!$F610&lt;='2. GRI Pricing Inputs'!$Y$33),'2. GRI Pricing Inputs'!$X$32,IF(AND('3. GRI Pricing'!$F610&gt;='2. GRI Pricing Inputs'!$Z$33,'3. GRI Pricing'!$F610&lt;='2. GRI Pricing Inputs'!$AA$33),'2. GRI Pricing Inputs'!$Z$32,IF(AND('3. GRI Pricing'!$F610&gt;='2. GRI Pricing Inputs'!$AB$33,'3. GRI Pricing'!$F610&lt;='2. GRI Pricing Inputs'!$AC$33),'2. GRI Pricing Inputs'!$AB$32,IF(AND('3. GRI Pricing'!$F610&gt;='2. GRI Pricing Inputs'!$AD$33,'3. GRI Pricing'!$F610&lt;='2. GRI Pricing Inputs'!$AE$33),'2. GRI Pricing Inputs'!$AD$32,IF(AND('3. GRI Pricing'!$F610&gt;='2. GRI Pricing Inputs'!$AF$33,'3. GRI Pricing'!$F610&lt;='2. GRI Pricing Inputs'!$AG$33),'2. GRI Pricing Inputs'!$AF$32,IF(AND('3. GRI Pricing'!$F610&gt;='2. GRI Pricing Inputs'!$AH$33,'3. GRI Pricing'!$F610&lt;='2. GRI Pricing Inputs'!$AI$33),'2. GRI Pricing Inputs'!$AH$32,0))))))))))))))))</f>
        <v>0</v>
      </c>
      <c r="N610" s="273" cm="1">
        <f t="array" ref="N610">IFERROR(INDEX('2. GRI Pricing Inputs'!$C$32:$AI$39,MATCH('3. GRI Pricing'!D610,'2. GRI Pricing Inputs'!$C$32:$C$39,0),(MATCH('3. GRI Pricing'!M610,'2. GRI Pricing Inputs'!$D$32:$AI$32,0)+1)),0)</f>
        <v>0</v>
      </c>
      <c r="O610" s="273">
        <f>IFERROR(INDEX('2. GRI Pricing Inputs'!$C$45:$AI$46,MATCH($O$16,'2. GRI Pricing Inputs'!$C$45:$C$46,0),MATCH(G610,'2. GRI Pricing Inputs'!$C$45:$AI$45,0)),0)</f>
        <v>0</v>
      </c>
      <c r="P610" s="273">
        <f>IFERROR(INDEX('2. GRI Pricing Inputs'!$C$53:$AI$54,MATCH('3. GRI Pricing'!$P$16,'2. GRI Pricing Inputs'!$C$53:$C$54,0),MATCH('3. GRI Pricing'!H610,'2. GRI Pricing Inputs'!$C$53:$AI$53,0)),0)</f>
        <v>0</v>
      </c>
      <c r="Q610" s="273">
        <f>IFERROR(INDEX('2. GRI Pricing Inputs'!$C$60:$AI$61,MATCH('3. GRI Pricing'!$Q$16,'2. GRI Pricing Inputs'!$C$60:$C$61,0),MATCH('1. Accomodation'!T614,'2. GRI Pricing Inputs'!$C$60:$AI$60,0)),0)</f>
        <v>0</v>
      </c>
      <c r="R610" s="273">
        <f>IFERROR(INDEX('2. GRI Pricing Inputs'!$C$67:$AI$68,MATCH('3. GRI Pricing'!$R$16,'2. GRI Pricing Inputs'!$C$67:$C$68,0),MATCH('1. Accomodation'!U614,'2. GRI Pricing Inputs'!$C$67:$AI$67,0)),0)</f>
        <v>0</v>
      </c>
      <c r="S610" s="273">
        <f>IF(D610=0,0,'2. GRI Pricing Inputs'!$AI$75)</f>
        <v>0</v>
      </c>
      <c r="T610" s="273">
        <f>IFERROR(INDEX('2. GRI Pricing Inputs'!$C$82:$AI$83,MATCH('3. GRI Pricing'!$T$16,'2. GRI Pricing Inputs'!$C$82:$C$83,0),MATCH('1. Accomodation'!V614,'2. GRI Pricing Inputs'!$C$82:$AI$82,0)),0)</f>
        <v>0</v>
      </c>
      <c r="U610" s="273">
        <f>IFERROR(INDEX('2. GRI Pricing Inputs'!$C$89:$AI$90,MATCH('3. GRI Pricing'!$U$16,'2. GRI Pricing Inputs'!$C$89:$C$90,0),MATCH('1. Accomodation'!W614,'2. GRI Pricing Inputs'!$C$89:$AI$89,0)),0)</f>
        <v>0</v>
      </c>
      <c r="V610" s="273">
        <f>IFERROR(INDEX('2. GRI Pricing Inputs'!$C$97:$AI$98,MATCH('3. GRI Pricing'!$V$16,'2. GRI Pricing Inputs'!$C$97:$C$98,0),MATCH('1. Accomodation'!X614,'2. GRI Pricing Inputs'!$C$97:$AI$97,0)),0)</f>
        <v>0</v>
      </c>
      <c r="W610" s="273">
        <f>IFERROR(INDEX('2. GRI Pricing Inputs'!$C$104:$AI$105,MATCH('3. GRI Pricing'!$W$16,'2. GRI Pricing Inputs'!$C$104:$C$105,0),MATCH('1. Accomodation'!Y614,'2. GRI Pricing Inputs'!$C$104:$AI$104,0)),0)</f>
        <v>0</v>
      </c>
      <c r="X610" s="274"/>
      <c r="Y610" s="275">
        <f t="shared" si="16"/>
        <v>0</v>
      </c>
      <c r="Z610" s="276"/>
      <c r="AA610" s="276"/>
      <c r="AB610" s="276"/>
      <c r="AC610" s="272">
        <f>Y610*(1+'2. GRI Pricing Inputs'!$D$114)^(($AC$16-$AB$15)/365)</f>
        <v>0</v>
      </c>
      <c r="AD610" s="273">
        <f>AC610*(1+'2. GRI Pricing Inputs'!$D$114)^((AD$16-AC$16)/365)</f>
        <v>0</v>
      </c>
      <c r="AE610" s="273">
        <f>AD610*(1+'2. GRI Pricing Inputs'!$D$114)^((AE$16-AD$16)/365)</f>
        <v>0</v>
      </c>
      <c r="AF610" s="273">
        <f>AE610*(1+'2. GRI Pricing Inputs'!$D$114)^((AF$16-AE$16)/365)</f>
        <v>0</v>
      </c>
      <c r="AG610" s="273">
        <f>AF610*(1+'2. GRI Pricing Inputs'!$D$114)^((AG$16-AF$16)/365)</f>
        <v>0</v>
      </c>
      <c r="AH610" s="273">
        <f>AG610*(1+'2. GRI Pricing Inputs'!$D$114)^((AH$16-AG$16)/365)</f>
        <v>0</v>
      </c>
      <c r="AI610" s="273">
        <f>AH610*(1+'2. GRI Pricing Inputs'!$D$114)^((AI$16-AH$16)/365)</f>
        <v>0</v>
      </c>
      <c r="AJ610" s="273">
        <f>AI610*(1+'2. GRI Pricing Inputs'!$D$114)^((AJ$16-AI$16)/365)</f>
        <v>0</v>
      </c>
      <c r="AK610" s="273">
        <f>AJ610*(1+'2. GRI Pricing Inputs'!$D$114)^((AK$16-AJ$16)/365)</f>
        <v>0</v>
      </c>
      <c r="AL610" s="273">
        <f>AK610*(1+'2. GRI Pricing Inputs'!$D$114)^((AL$16-AK$16)/365)</f>
        <v>0</v>
      </c>
      <c r="AM610" s="273">
        <f>AL610*(1+'2. GRI Pricing Inputs'!$D$114)^((AM$16-AL$16)/365)</f>
        <v>0</v>
      </c>
      <c r="AN610" s="273">
        <f>AM610*(1+'2. GRI Pricing Inputs'!$D$114)^((AN$16-AM$16)/365)</f>
        <v>0</v>
      </c>
      <c r="AO610" s="273">
        <f>AN610*(1+'2. GRI Pricing Inputs'!$D$114)^((AO$16-AN$16)/365)</f>
        <v>0</v>
      </c>
    </row>
    <row r="611" spans="3:44" ht="12" x14ac:dyDescent="0.2">
      <c r="C611" s="76">
        <f>'1. Accomodation'!N615</f>
        <v>0</v>
      </c>
      <c r="D611" s="69">
        <f>'1. Accomodation'!P615</f>
        <v>0</v>
      </c>
      <c r="E611" s="69">
        <f>'1. Accomodation'!Q615</f>
        <v>0</v>
      </c>
      <c r="F611" s="77">
        <f>'1. Accomodation'!O615</f>
        <v>0</v>
      </c>
      <c r="G611" s="69">
        <f>'1. Accomodation'!R615</f>
        <v>0</v>
      </c>
      <c r="H611" s="69">
        <f>'1. Accomodation'!S615</f>
        <v>0</v>
      </c>
      <c r="I611" s="62"/>
      <c r="K611" s="272">
        <f>IFERROR(INDEX('2. GRI Pricing Inputs'!$C$15:$AI$16,MATCH($K$16,'2. GRI Pricing Inputs'!$C$15:$C$16,0),MATCH(D611,'2. GRI Pricing Inputs'!$C$15:$AI$15,0)),0)</f>
        <v>0</v>
      </c>
      <c r="L611" s="273">
        <f>IFERROR(INDEX('2. GRI Pricing Inputs'!$C$22:$AI$23,MATCH($L$16,'2. GRI Pricing Inputs'!$C$22:$C$23,0),MATCH(E611,'2. GRI Pricing Inputs'!$C$22:$AI$22,0)),0)</f>
        <v>0</v>
      </c>
      <c r="M611" s="328">
        <f>IF(AND('3. GRI Pricing'!$F611&gt;='2. GRI Pricing Inputs'!$D$33,'3. GRI Pricing'!$F611&lt;='2. GRI Pricing Inputs'!$E$33),'2. GRI Pricing Inputs'!$D$32,IF(AND('3. GRI Pricing'!$F611&gt;='2. GRI Pricing Inputs'!$F$33,'3. GRI Pricing'!$F611&lt;='2. GRI Pricing Inputs'!$G$33),'2. GRI Pricing Inputs'!$F$32,IF(AND('3. GRI Pricing'!$F611&gt;='2. GRI Pricing Inputs'!$H$33,'3. GRI Pricing'!$F611&lt;='2. GRI Pricing Inputs'!$I$33),'2. GRI Pricing Inputs'!$H$32,IF(AND('3. GRI Pricing'!$F611&gt;='2. GRI Pricing Inputs'!$J$33,'3. GRI Pricing'!$F611&lt;='2. GRI Pricing Inputs'!$K$33),'2. GRI Pricing Inputs'!$J$32,IF(AND('3. GRI Pricing'!$F611&gt;='2. GRI Pricing Inputs'!$L$33,'3. GRI Pricing'!$F611&lt;='2. GRI Pricing Inputs'!$M$33),'2. GRI Pricing Inputs'!$L$32,IF(AND('3. GRI Pricing'!$F611&gt;='2. GRI Pricing Inputs'!$N$33,'3. GRI Pricing'!$F611&lt;='2. GRI Pricing Inputs'!$O$33),'2. GRI Pricing Inputs'!$N$32,IF(AND('3. GRI Pricing'!$F611&gt;='2. GRI Pricing Inputs'!$P$33,'3. GRI Pricing'!$F611&lt;='2. GRI Pricing Inputs'!$Q$33),'2. GRI Pricing Inputs'!$P$32,IF(AND('3. GRI Pricing'!$F611&gt;='2. GRI Pricing Inputs'!$R$33,'3. GRI Pricing'!$F611&lt;='2. GRI Pricing Inputs'!$S$33),'2. GRI Pricing Inputs'!$R$32,IF(AND('3. GRI Pricing'!$F611&gt;='2. GRI Pricing Inputs'!$T$33,'3. GRI Pricing'!$F611&lt;='2. GRI Pricing Inputs'!$U$33),'2. GRI Pricing Inputs'!$T$32,IF(AND('3. GRI Pricing'!$F611&gt;='2. GRI Pricing Inputs'!$V$33,'3. GRI Pricing'!$F611&lt;='2. GRI Pricing Inputs'!$W$33),'2. GRI Pricing Inputs'!$V$32,IF(AND('3. GRI Pricing'!$F611&gt;='2. GRI Pricing Inputs'!$X$33,'3. GRI Pricing'!$F611&lt;='2. GRI Pricing Inputs'!$Y$33),'2. GRI Pricing Inputs'!$X$32,IF(AND('3. GRI Pricing'!$F611&gt;='2. GRI Pricing Inputs'!$Z$33,'3. GRI Pricing'!$F611&lt;='2. GRI Pricing Inputs'!$AA$33),'2. GRI Pricing Inputs'!$Z$32,IF(AND('3. GRI Pricing'!$F611&gt;='2. GRI Pricing Inputs'!$AB$33,'3. GRI Pricing'!$F611&lt;='2. GRI Pricing Inputs'!$AC$33),'2. GRI Pricing Inputs'!$AB$32,IF(AND('3. GRI Pricing'!$F611&gt;='2. GRI Pricing Inputs'!$AD$33,'3. GRI Pricing'!$F611&lt;='2. GRI Pricing Inputs'!$AE$33),'2. GRI Pricing Inputs'!$AD$32,IF(AND('3. GRI Pricing'!$F611&gt;='2. GRI Pricing Inputs'!$AF$33,'3. GRI Pricing'!$F611&lt;='2. GRI Pricing Inputs'!$AG$33),'2. GRI Pricing Inputs'!$AF$32,IF(AND('3. GRI Pricing'!$F611&gt;='2. GRI Pricing Inputs'!$AH$33,'3. GRI Pricing'!$F611&lt;='2. GRI Pricing Inputs'!$AI$33),'2. GRI Pricing Inputs'!$AH$32,0))))))))))))))))</f>
        <v>0</v>
      </c>
      <c r="N611" s="273" cm="1">
        <f t="array" ref="N611">IFERROR(INDEX('2. GRI Pricing Inputs'!$C$32:$AI$39,MATCH('3. GRI Pricing'!D611,'2. GRI Pricing Inputs'!$C$32:$C$39,0),(MATCH('3. GRI Pricing'!M611,'2. GRI Pricing Inputs'!$D$32:$AI$32,0)+1)),0)</f>
        <v>0</v>
      </c>
      <c r="O611" s="273">
        <f>IFERROR(INDEX('2. GRI Pricing Inputs'!$C$45:$AI$46,MATCH($O$16,'2. GRI Pricing Inputs'!$C$45:$C$46,0),MATCH(G611,'2. GRI Pricing Inputs'!$C$45:$AI$45,0)),0)</f>
        <v>0</v>
      </c>
      <c r="P611" s="273">
        <f>IFERROR(INDEX('2. GRI Pricing Inputs'!$C$53:$AI$54,MATCH('3. GRI Pricing'!$P$16,'2. GRI Pricing Inputs'!$C$53:$C$54,0),MATCH('3. GRI Pricing'!H611,'2. GRI Pricing Inputs'!$C$53:$AI$53,0)),0)</f>
        <v>0</v>
      </c>
      <c r="Q611" s="273">
        <f>IFERROR(INDEX('2. GRI Pricing Inputs'!$C$60:$AI$61,MATCH('3. GRI Pricing'!$Q$16,'2. GRI Pricing Inputs'!$C$60:$C$61,0),MATCH('1. Accomodation'!T615,'2. GRI Pricing Inputs'!$C$60:$AI$60,0)),0)</f>
        <v>0</v>
      </c>
      <c r="R611" s="273">
        <f>IFERROR(INDEX('2. GRI Pricing Inputs'!$C$67:$AI$68,MATCH('3. GRI Pricing'!$R$16,'2. GRI Pricing Inputs'!$C$67:$C$68,0),MATCH('1. Accomodation'!U615,'2. GRI Pricing Inputs'!$C$67:$AI$67,0)),0)</f>
        <v>0</v>
      </c>
      <c r="S611" s="273">
        <f>IF(D611=0,0,'2. GRI Pricing Inputs'!$AI$75)</f>
        <v>0</v>
      </c>
      <c r="T611" s="273">
        <f>IFERROR(INDEX('2. GRI Pricing Inputs'!$C$82:$AI$83,MATCH('3. GRI Pricing'!$T$16,'2. GRI Pricing Inputs'!$C$82:$C$83,0),MATCH('1. Accomodation'!V615,'2. GRI Pricing Inputs'!$C$82:$AI$82,0)),0)</f>
        <v>0</v>
      </c>
      <c r="U611" s="273">
        <f>IFERROR(INDEX('2. GRI Pricing Inputs'!$C$89:$AI$90,MATCH('3. GRI Pricing'!$U$16,'2. GRI Pricing Inputs'!$C$89:$C$90,0),MATCH('1. Accomodation'!W615,'2. GRI Pricing Inputs'!$C$89:$AI$89,0)),0)</f>
        <v>0</v>
      </c>
      <c r="V611" s="273">
        <f>IFERROR(INDEX('2. GRI Pricing Inputs'!$C$97:$AI$98,MATCH('3. GRI Pricing'!$V$16,'2. GRI Pricing Inputs'!$C$97:$C$98,0),MATCH('1. Accomodation'!X615,'2. GRI Pricing Inputs'!$C$97:$AI$97,0)),0)</f>
        <v>0</v>
      </c>
      <c r="W611" s="273">
        <f>IFERROR(INDEX('2. GRI Pricing Inputs'!$C$104:$AI$105,MATCH('3. GRI Pricing'!$W$16,'2. GRI Pricing Inputs'!$C$104:$C$105,0),MATCH('1. Accomodation'!Y615,'2. GRI Pricing Inputs'!$C$104:$AI$104,0)),0)</f>
        <v>0</v>
      </c>
      <c r="X611" s="274"/>
      <c r="Y611" s="275">
        <f t="shared" si="16"/>
        <v>0</v>
      </c>
      <c r="Z611" s="276"/>
      <c r="AA611" s="276"/>
      <c r="AB611" s="276"/>
      <c r="AC611" s="272">
        <f>Y611*(1+'2. GRI Pricing Inputs'!$D$114)^(($AC$16-$AB$15)/365)</f>
        <v>0</v>
      </c>
      <c r="AD611" s="273">
        <f>AC611*(1+'2. GRI Pricing Inputs'!$D$114)^((AD$16-AC$16)/365)</f>
        <v>0</v>
      </c>
      <c r="AE611" s="273">
        <f>AD611*(1+'2. GRI Pricing Inputs'!$D$114)^((AE$16-AD$16)/365)</f>
        <v>0</v>
      </c>
      <c r="AF611" s="273">
        <f>AE611*(1+'2. GRI Pricing Inputs'!$D$114)^((AF$16-AE$16)/365)</f>
        <v>0</v>
      </c>
      <c r="AG611" s="273">
        <f>AF611*(1+'2. GRI Pricing Inputs'!$D$114)^((AG$16-AF$16)/365)</f>
        <v>0</v>
      </c>
      <c r="AH611" s="273">
        <f>AG611*(1+'2. GRI Pricing Inputs'!$D$114)^((AH$16-AG$16)/365)</f>
        <v>0</v>
      </c>
      <c r="AI611" s="273">
        <f>AH611*(1+'2. GRI Pricing Inputs'!$D$114)^((AI$16-AH$16)/365)</f>
        <v>0</v>
      </c>
      <c r="AJ611" s="273">
        <f>AI611*(1+'2. GRI Pricing Inputs'!$D$114)^((AJ$16-AI$16)/365)</f>
        <v>0</v>
      </c>
      <c r="AK611" s="273">
        <f>AJ611*(1+'2. GRI Pricing Inputs'!$D$114)^((AK$16-AJ$16)/365)</f>
        <v>0</v>
      </c>
      <c r="AL611" s="273">
        <f>AK611*(1+'2. GRI Pricing Inputs'!$D$114)^((AL$16-AK$16)/365)</f>
        <v>0</v>
      </c>
      <c r="AM611" s="273">
        <f>AL611*(1+'2. GRI Pricing Inputs'!$D$114)^((AM$16-AL$16)/365)</f>
        <v>0</v>
      </c>
      <c r="AN611" s="273">
        <f>AM611*(1+'2. GRI Pricing Inputs'!$D$114)^((AN$16-AM$16)/365)</f>
        <v>0</v>
      </c>
      <c r="AO611" s="273">
        <f>AN611*(1+'2. GRI Pricing Inputs'!$D$114)^((AO$16-AN$16)/365)</f>
        <v>0</v>
      </c>
    </row>
    <row r="612" spans="3:44" ht="12" x14ac:dyDescent="0.2">
      <c r="C612" s="76">
        <f>'1. Accomodation'!N616</f>
        <v>0</v>
      </c>
      <c r="D612" s="69">
        <f>'1. Accomodation'!P616</f>
        <v>0</v>
      </c>
      <c r="E612" s="69">
        <f>'1. Accomodation'!Q616</f>
        <v>0</v>
      </c>
      <c r="F612" s="77">
        <f>'1. Accomodation'!O616</f>
        <v>0</v>
      </c>
      <c r="G612" s="69">
        <f>'1. Accomodation'!R616</f>
        <v>0</v>
      </c>
      <c r="H612" s="69">
        <f>'1. Accomodation'!S616</f>
        <v>0</v>
      </c>
      <c r="I612" s="62"/>
      <c r="K612" s="272">
        <f>IFERROR(INDEX('2. GRI Pricing Inputs'!$C$15:$AI$16,MATCH($K$16,'2. GRI Pricing Inputs'!$C$15:$C$16,0),MATCH(D612,'2. GRI Pricing Inputs'!$C$15:$AI$15,0)),0)</f>
        <v>0</v>
      </c>
      <c r="L612" s="273">
        <f>IFERROR(INDEX('2. GRI Pricing Inputs'!$C$22:$AI$23,MATCH($L$16,'2. GRI Pricing Inputs'!$C$22:$C$23,0),MATCH(E612,'2. GRI Pricing Inputs'!$C$22:$AI$22,0)),0)</f>
        <v>0</v>
      </c>
      <c r="M612" s="328">
        <f>IF(AND('3. GRI Pricing'!$F612&gt;='2. GRI Pricing Inputs'!$D$33,'3. GRI Pricing'!$F612&lt;='2. GRI Pricing Inputs'!$E$33),'2. GRI Pricing Inputs'!$D$32,IF(AND('3. GRI Pricing'!$F612&gt;='2. GRI Pricing Inputs'!$F$33,'3. GRI Pricing'!$F612&lt;='2. GRI Pricing Inputs'!$G$33),'2. GRI Pricing Inputs'!$F$32,IF(AND('3. GRI Pricing'!$F612&gt;='2. GRI Pricing Inputs'!$H$33,'3. GRI Pricing'!$F612&lt;='2. GRI Pricing Inputs'!$I$33),'2. GRI Pricing Inputs'!$H$32,IF(AND('3. GRI Pricing'!$F612&gt;='2. GRI Pricing Inputs'!$J$33,'3. GRI Pricing'!$F612&lt;='2. GRI Pricing Inputs'!$K$33),'2. GRI Pricing Inputs'!$J$32,IF(AND('3. GRI Pricing'!$F612&gt;='2. GRI Pricing Inputs'!$L$33,'3. GRI Pricing'!$F612&lt;='2. GRI Pricing Inputs'!$M$33),'2. GRI Pricing Inputs'!$L$32,IF(AND('3. GRI Pricing'!$F612&gt;='2. GRI Pricing Inputs'!$N$33,'3. GRI Pricing'!$F612&lt;='2. GRI Pricing Inputs'!$O$33),'2. GRI Pricing Inputs'!$N$32,IF(AND('3. GRI Pricing'!$F612&gt;='2. GRI Pricing Inputs'!$P$33,'3. GRI Pricing'!$F612&lt;='2. GRI Pricing Inputs'!$Q$33),'2. GRI Pricing Inputs'!$P$32,IF(AND('3. GRI Pricing'!$F612&gt;='2. GRI Pricing Inputs'!$R$33,'3. GRI Pricing'!$F612&lt;='2. GRI Pricing Inputs'!$S$33),'2. GRI Pricing Inputs'!$R$32,IF(AND('3. GRI Pricing'!$F612&gt;='2. GRI Pricing Inputs'!$T$33,'3. GRI Pricing'!$F612&lt;='2. GRI Pricing Inputs'!$U$33),'2. GRI Pricing Inputs'!$T$32,IF(AND('3. GRI Pricing'!$F612&gt;='2. GRI Pricing Inputs'!$V$33,'3. GRI Pricing'!$F612&lt;='2. GRI Pricing Inputs'!$W$33),'2. GRI Pricing Inputs'!$V$32,IF(AND('3. GRI Pricing'!$F612&gt;='2. GRI Pricing Inputs'!$X$33,'3. GRI Pricing'!$F612&lt;='2. GRI Pricing Inputs'!$Y$33),'2. GRI Pricing Inputs'!$X$32,IF(AND('3. GRI Pricing'!$F612&gt;='2. GRI Pricing Inputs'!$Z$33,'3. GRI Pricing'!$F612&lt;='2. GRI Pricing Inputs'!$AA$33),'2. GRI Pricing Inputs'!$Z$32,IF(AND('3. GRI Pricing'!$F612&gt;='2. GRI Pricing Inputs'!$AB$33,'3. GRI Pricing'!$F612&lt;='2. GRI Pricing Inputs'!$AC$33),'2. GRI Pricing Inputs'!$AB$32,IF(AND('3. GRI Pricing'!$F612&gt;='2. GRI Pricing Inputs'!$AD$33,'3. GRI Pricing'!$F612&lt;='2. GRI Pricing Inputs'!$AE$33),'2. GRI Pricing Inputs'!$AD$32,IF(AND('3. GRI Pricing'!$F612&gt;='2. GRI Pricing Inputs'!$AF$33,'3. GRI Pricing'!$F612&lt;='2. GRI Pricing Inputs'!$AG$33),'2. GRI Pricing Inputs'!$AF$32,IF(AND('3. GRI Pricing'!$F612&gt;='2. GRI Pricing Inputs'!$AH$33,'3. GRI Pricing'!$F612&lt;='2. GRI Pricing Inputs'!$AI$33),'2. GRI Pricing Inputs'!$AH$32,0))))))))))))))))</f>
        <v>0</v>
      </c>
      <c r="N612" s="273" cm="1">
        <f t="array" ref="N612">IFERROR(INDEX('2. GRI Pricing Inputs'!$C$32:$AI$39,MATCH('3. GRI Pricing'!D612,'2. GRI Pricing Inputs'!$C$32:$C$39,0),(MATCH('3. GRI Pricing'!M612,'2. GRI Pricing Inputs'!$D$32:$AI$32,0)+1)),0)</f>
        <v>0</v>
      </c>
      <c r="O612" s="273">
        <f>IFERROR(INDEX('2. GRI Pricing Inputs'!$C$45:$AI$46,MATCH($O$16,'2. GRI Pricing Inputs'!$C$45:$C$46,0),MATCH(G612,'2. GRI Pricing Inputs'!$C$45:$AI$45,0)),0)</f>
        <v>0</v>
      </c>
      <c r="P612" s="273">
        <f>IFERROR(INDEX('2. GRI Pricing Inputs'!$C$53:$AI$54,MATCH('3. GRI Pricing'!$P$16,'2. GRI Pricing Inputs'!$C$53:$C$54,0),MATCH('3. GRI Pricing'!H612,'2. GRI Pricing Inputs'!$C$53:$AI$53,0)),0)</f>
        <v>0</v>
      </c>
      <c r="Q612" s="273">
        <f>IFERROR(INDEX('2. GRI Pricing Inputs'!$C$60:$AI$61,MATCH('3. GRI Pricing'!$Q$16,'2. GRI Pricing Inputs'!$C$60:$C$61,0),MATCH('1. Accomodation'!T616,'2. GRI Pricing Inputs'!$C$60:$AI$60,0)),0)</f>
        <v>0</v>
      </c>
      <c r="R612" s="273">
        <f>IFERROR(INDEX('2. GRI Pricing Inputs'!$C$67:$AI$68,MATCH('3. GRI Pricing'!$R$16,'2. GRI Pricing Inputs'!$C$67:$C$68,0),MATCH('1. Accomodation'!U616,'2. GRI Pricing Inputs'!$C$67:$AI$67,0)),0)</f>
        <v>0</v>
      </c>
      <c r="S612" s="273">
        <f>IF(D612=0,0,'2. GRI Pricing Inputs'!$AI$75)</f>
        <v>0</v>
      </c>
      <c r="T612" s="273">
        <f>IFERROR(INDEX('2. GRI Pricing Inputs'!$C$82:$AI$83,MATCH('3. GRI Pricing'!$T$16,'2. GRI Pricing Inputs'!$C$82:$C$83,0),MATCH('1. Accomodation'!V616,'2. GRI Pricing Inputs'!$C$82:$AI$82,0)),0)</f>
        <v>0</v>
      </c>
      <c r="U612" s="273">
        <f>IFERROR(INDEX('2. GRI Pricing Inputs'!$C$89:$AI$90,MATCH('3. GRI Pricing'!$U$16,'2. GRI Pricing Inputs'!$C$89:$C$90,0),MATCH('1. Accomodation'!W616,'2. GRI Pricing Inputs'!$C$89:$AI$89,0)),0)</f>
        <v>0</v>
      </c>
      <c r="V612" s="273">
        <f>IFERROR(INDEX('2. GRI Pricing Inputs'!$C$97:$AI$98,MATCH('3. GRI Pricing'!$V$16,'2. GRI Pricing Inputs'!$C$97:$C$98,0),MATCH('1. Accomodation'!X616,'2. GRI Pricing Inputs'!$C$97:$AI$97,0)),0)</f>
        <v>0</v>
      </c>
      <c r="W612" s="273">
        <f>IFERROR(INDEX('2. GRI Pricing Inputs'!$C$104:$AI$105,MATCH('3. GRI Pricing'!$W$16,'2. GRI Pricing Inputs'!$C$104:$C$105,0),MATCH('1. Accomodation'!Y616,'2. GRI Pricing Inputs'!$C$104:$AI$104,0)),0)</f>
        <v>0</v>
      </c>
      <c r="X612" s="274"/>
      <c r="Y612" s="275">
        <f t="shared" si="16"/>
        <v>0</v>
      </c>
      <c r="Z612" s="276"/>
      <c r="AA612" s="276"/>
      <c r="AB612" s="276"/>
      <c r="AC612" s="272">
        <f>Y612*(1+'2. GRI Pricing Inputs'!$D$114)^(($AC$16-$AB$15)/365)</f>
        <v>0</v>
      </c>
      <c r="AD612" s="273">
        <f>AC612*(1+'2. GRI Pricing Inputs'!$D$114)^((AD$16-AC$16)/365)</f>
        <v>0</v>
      </c>
      <c r="AE612" s="273">
        <f>AD612*(1+'2. GRI Pricing Inputs'!$D$114)^((AE$16-AD$16)/365)</f>
        <v>0</v>
      </c>
      <c r="AF612" s="273">
        <f>AE612*(1+'2. GRI Pricing Inputs'!$D$114)^((AF$16-AE$16)/365)</f>
        <v>0</v>
      </c>
      <c r="AG612" s="273">
        <f>AF612*(1+'2. GRI Pricing Inputs'!$D$114)^((AG$16-AF$16)/365)</f>
        <v>0</v>
      </c>
      <c r="AH612" s="273">
        <f>AG612*(1+'2. GRI Pricing Inputs'!$D$114)^((AH$16-AG$16)/365)</f>
        <v>0</v>
      </c>
      <c r="AI612" s="273">
        <f>AH612*(1+'2. GRI Pricing Inputs'!$D$114)^((AI$16-AH$16)/365)</f>
        <v>0</v>
      </c>
      <c r="AJ612" s="273">
        <f>AI612*(1+'2. GRI Pricing Inputs'!$D$114)^((AJ$16-AI$16)/365)</f>
        <v>0</v>
      </c>
      <c r="AK612" s="273">
        <f>AJ612*(1+'2. GRI Pricing Inputs'!$D$114)^((AK$16-AJ$16)/365)</f>
        <v>0</v>
      </c>
      <c r="AL612" s="273">
        <f>AK612*(1+'2. GRI Pricing Inputs'!$D$114)^((AL$16-AK$16)/365)</f>
        <v>0</v>
      </c>
      <c r="AM612" s="273">
        <f>AL612*(1+'2. GRI Pricing Inputs'!$D$114)^((AM$16-AL$16)/365)</f>
        <v>0</v>
      </c>
      <c r="AN612" s="273">
        <f>AM612*(1+'2. GRI Pricing Inputs'!$D$114)^((AN$16-AM$16)/365)</f>
        <v>0</v>
      </c>
      <c r="AO612" s="273">
        <f>AN612*(1+'2. GRI Pricing Inputs'!$D$114)^((AO$16-AN$16)/365)</f>
        <v>0</v>
      </c>
    </row>
    <row r="613" spans="3:44" ht="12" x14ac:dyDescent="0.2">
      <c r="C613" s="76">
        <f>'1. Accomodation'!N617</f>
        <v>0</v>
      </c>
      <c r="D613" s="69">
        <f>'1. Accomodation'!P617</f>
        <v>0</v>
      </c>
      <c r="E613" s="69">
        <f>'1. Accomodation'!Q617</f>
        <v>0</v>
      </c>
      <c r="F613" s="77">
        <f>'1. Accomodation'!O617</f>
        <v>0</v>
      </c>
      <c r="G613" s="69">
        <f>'1. Accomodation'!R617</f>
        <v>0</v>
      </c>
      <c r="H613" s="69">
        <f>'1. Accomodation'!S617</f>
        <v>0</v>
      </c>
      <c r="I613" s="62"/>
      <c r="K613" s="272">
        <f>IFERROR(INDEX('2. GRI Pricing Inputs'!$C$15:$AI$16,MATCH($K$16,'2. GRI Pricing Inputs'!$C$15:$C$16,0),MATCH(D613,'2. GRI Pricing Inputs'!$C$15:$AI$15,0)),0)</f>
        <v>0</v>
      </c>
      <c r="L613" s="273">
        <f>IFERROR(INDEX('2. GRI Pricing Inputs'!$C$22:$AI$23,MATCH($L$16,'2. GRI Pricing Inputs'!$C$22:$C$23,0),MATCH(E613,'2. GRI Pricing Inputs'!$C$22:$AI$22,0)),0)</f>
        <v>0</v>
      </c>
      <c r="M613" s="328">
        <f>IF(AND('3. GRI Pricing'!$F613&gt;='2. GRI Pricing Inputs'!$D$33,'3. GRI Pricing'!$F613&lt;='2. GRI Pricing Inputs'!$E$33),'2. GRI Pricing Inputs'!$D$32,IF(AND('3. GRI Pricing'!$F613&gt;='2. GRI Pricing Inputs'!$F$33,'3. GRI Pricing'!$F613&lt;='2. GRI Pricing Inputs'!$G$33),'2. GRI Pricing Inputs'!$F$32,IF(AND('3. GRI Pricing'!$F613&gt;='2. GRI Pricing Inputs'!$H$33,'3. GRI Pricing'!$F613&lt;='2. GRI Pricing Inputs'!$I$33),'2. GRI Pricing Inputs'!$H$32,IF(AND('3. GRI Pricing'!$F613&gt;='2. GRI Pricing Inputs'!$J$33,'3. GRI Pricing'!$F613&lt;='2. GRI Pricing Inputs'!$K$33),'2. GRI Pricing Inputs'!$J$32,IF(AND('3. GRI Pricing'!$F613&gt;='2. GRI Pricing Inputs'!$L$33,'3. GRI Pricing'!$F613&lt;='2. GRI Pricing Inputs'!$M$33),'2. GRI Pricing Inputs'!$L$32,IF(AND('3. GRI Pricing'!$F613&gt;='2. GRI Pricing Inputs'!$N$33,'3. GRI Pricing'!$F613&lt;='2. GRI Pricing Inputs'!$O$33),'2. GRI Pricing Inputs'!$N$32,IF(AND('3. GRI Pricing'!$F613&gt;='2. GRI Pricing Inputs'!$P$33,'3. GRI Pricing'!$F613&lt;='2. GRI Pricing Inputs'!$Q$33),'2. GRI Pricing Inputs'!$P$32,IF(AND('3. GRI Pricing'!$F613&gt;='2. GRI Pricing Inputs'!$R$33,'3. GRI Pricing'!$F613&lt;='2. GRI Pricing Inputs'!$S$33),'2. GRI Pricing Inputs'!$R$32,IF(AND('3. GRI Pricing'!$F613&gt;='2. GRI Pricing Inputs'!$T$33,'3. GRI Pricing'!$F613&lt;='2. GRI Pricing Inputs'!$U$33),'2. GRI Pricing Inputs'!$T$32,IF(AND('3. GRI Pricing'!$F613&gt;='2. GRI Pricing Inputs'!$V$33,'3. GRI Pricing'!$F613&lt;='2. GRI Pricing Inputs'!$W$33),'2. GRI Pricing Inputs'!$V$32,IF(AND('3. GRI Pricing'!$F613&gt;='2. GRI Pricing Inputs'!$X$33,'3. GRI Pricing'!$F613&lt;='2. GRI Pricing Inputs'!$Y$33),'2. GRI Pricing Inputs'!$X$32,IF(AND('3. GRI Pricing'!$F613&gt;='2. GRI Pricing Inputs'!$Z$33,'3. GRI Pricing'!$F613&lt;='2. GRI Pricing Inputs'!$AA$33),'2. GRI Pricing Inputs'!$Z$32,IF(AND('3. GRI Pricing'!$F613&gt;='2. GRI Pricing Inputs'!$AB$33,'3. GRI Pricing'!$F613&lt;='2. GRI Pricing Inputs'!$AC$33),'2. GRI Pricing Inputs'!$AB$32,IF(AND('3. GRI Pricing'!$F613&gt;='2. GRI Pricing Inputs'!$AD$33,'3. GRI Pricing'!$F613&lt;='2. GRI Pricing Inputs'!$AE$33),'2. GRI Pricing Inputs'!$AD$32,IF(AND('3. GRI Pricing'!$F613&gt;='2. GRI Pricing Inputs'!$AF$33,'3. GRI Pricing'!$F613&lt;='2. GRI Pricing Inputs'!$AG$33),'2. GRI Pricing Inputs'!$AF$32,IF(AND('3. GRI Pricing'!$F613&gt;='2. GRI Pricing Inputs'!$AH$33,'3. GRI Pricing'!$F613&lt;='2. GRI Pricing Inputs'!$AI$33),'2. GRI Pricing Inputs'!$AH$32,0))))))))))))))))</f>
        <v>0</v>
      </c>
      <c r="N613" s="273" cm="1">
        <f t="array" ref="N613">IFERROR(INDEX('2. GRI Pricing Inputs'!$C$32:$AI$39,MATCH('3. GRI Pricing'!D613,'2. GRI Pricing Inputs'!$C$32:$C$39,0),(MATCH('3. GRI Pricing'!M613,'2. GRI Pricing Inputs'!$D$32:$AI$32,0)+1)),0)</f>
        <v>0</v>
      </c>
      <c r="O613" s="273">
        <f>IFERROR(INDEX('2. GRI Pricing Inputs'!$C$45:$AI$46,MATCH($O$16,'2. GRI Pricing Inputs'!$C$45:$C$46,0),MATCH(G613,'2. GRI Pricing Inputs'!$C$45:$AI$45,0)),0)</f>
        <v>0</v>
      </c>
      <c r="P613" s="273">
        <f>IFERROR(INDEX('2. GRI Pricing Inputs'!$C$53:$AI$54,MATCH('3. GRI Pricing'!$P$16,'2. GRI Pricing Inputs'!$C$53:$C$54,0),MATCH('3. GRI Pricing'!H613,'2. GRI Pricing Inputs'!$C$53:$AI$53,0)),0)</f>
        <v>0</v>
      </c>
      <c r="Q613" s="273">
        <f>IFERROR(INDEX('2. GRI Pricing Inputs'!$C$60:$AI$61,MATCH('3. GRI Pricing'!$Q$16,'2. GRI Pricing Inputs'!$C$60:$C$61,0),MATCH('1. Accomodation'!T617,'2. GRI Pricing Inputs'!$C$60:$AI$60,0)),0)</f>
        <v>0</v>
      </c>
      <c r="R613" s="273">
        <f>IFERROR(INDEX('2. GRI Pricing Inputs'!$C$67:$AI$68,MATCH('3. GRI Pricing'!$R$16,'2. GRI Pricing Inputs'!$C$67:$C$68,0),MATCH('1. Accomodation'!U617,'2. GRI Pricing Inputs'!$C$67:$AI$67,0)),0)</f>
        <v>0</v>
      </c>
      <c r="S613" s="273">
        <f>IF(D613=0,0,'2. GRI Pricing Inputs'!$AI$75)</f>
        <v>0</v>
      </c>
      <c r="T613" s="273">
        <f>IFERROR(INDEX('2. GRI Pricing Inputs'!$C$82:$AI$83,MATCH('3. GRI Pricing'!$T$16,'2. GRI Pricing Inputs'!$C$82:$C$83,0),MATCH('1. Accomodation'!V617,'2. GRI Pricing Inputs'!$C$82:$AI$82,0)),0)</f>
        <v>0</v>
      </c>
      <c r="U613" s="273">
        <f>IFERROR(INDEX('2. GRI Pricing Inputs'!$C$89:$AI$90,MATCH('3. GRI Pricing'!$U$16,'2. GRI Pricing Inputs'!$C$89:$C$90,0),MATCH('1. Accomodation'!W617,'2. GRI Pricing Inputs'!$C$89:$AI$89,0)),0)</f>
        <v>0</v>
      </c>
      <c r="V613" s="273">
        <f>IFERROR(INDEX('2. GRI Pricing Inputs'!$C$97:$AI$98,MATCH('3. GRI Pricing'!$V$16,'2. GRI Pricing Inputs'!$C$97:$C$98,0),MATCH('1. Accomodation'!X617,'2. GRI Pricing Inputs'!$C$97:$AI$97,0)),0)</f>
        <v>0</v>
      </c>
      <c r="W613" s="273">
        <f>IFERROR(INDEX('2. GRI Pricing Inputs'!$C$104:$AI$105,MATCH('3. GRI Pricing'!$W$16,'2. GRI Pricing Inputs'!$C$104:$C$105,0),MATCH('1. Accomodation'!Y617,'2. GRI Pricing Inputs'!$C$104:$AI$104,0)),0)</f>
        <v>0</v>
      </c>
      <c r="X613" s="274"/>
      <c r="Y613" s="275">
        <f t="shared" si="16"/>
        <v>0</v>
      </c>
      <c r="Z613" s="276"/>
      <c r="AA613" s="276"/>
      <c r="AB613" s="276"/>
      <c r="AC613" s="272">
        <f>Y613*(1+'2. GRI Pricing Inputs'!$D$114)^(($AC$16-$AB$15)/365)</f>
        <v>0</v>
      </c>
      <c r="AD613" s="273">
        <f>AC613*(1+'2. GRI Pricing Inputs'!$D$114)^((AD$16-AC$16)/365)</f>
        <v>0</v>
      </c>
      <c r="AE613" s="273">
        <f>AD613*(1+'2. GRI Pricing Inputs'!$D$114)^((AE$16-AD$16)/365)</f>
        <v>0</v>
      </c>
      <c r="AF613" s="273">
        <f>AE613*(1+'2. GRI Pricing Inputs'!$D$114)^((AF$16-AE$16)/365)</f>
        <v>0</v>
      </c>
      <c r="AG613" s="273">
        <f>AF613*(1+'2. GRI Pricing Inputs'!$D$114)^((AG$16-AF$16)/365)</f>
        <v>0</v>
      </c>
      <c r="AH613" s="273">
        <f>AG613*(1+'2. GRI Pricing Inputs'!$D$114)^((AH$16-AG$16)/365)</f>
        <v>0</v>
      </c>
      <c r="AI613" s="273">
        <f>AH613*(1+'2. GRI Pricing Inputs'!$D$114)^((AI$16-AH$16)/365)</f>
        <v>0</v>
      </c>
      <c r="AJ613" s="273">
        <f>AI613*(1+'2. GRI Pricing Inputs'!$D$114)^((AJ$16-AI$16)/365)</f>
        <v>0</v>
      </c>
      <c r="AK613" s="273">
        <f>AJ613*(1+'2. GRI Pricing Inputs'!$D$114)^((AK$16-AJ$16)/365)</f>
        <v>0</v>
      </c>
      <c r="AL613" s="273">
        <f>AK613*(1+'2. GRI Pricing Inputs'!$D$114)^((AL$16-AK$16)/365)</f>
        <v>0</v>
      </c>
      <c r="AM613" s="273">
        <f>AL613*(1+'2. GRI Pricing Inputs'!$D$114)^((AM$16-AL$16)/365)</f>
        <v>0</v>
      </c>
      <c r="AN613" s="273">
        <f>AM613*(1+'2. GRI Pricing Inputs'!$D$114)^((AN$16-AM$16)/365)</f>
        <v>0</v>
      </c>
      <c r="AO613" s="273">
        <f>AN613*(1+'2. GRI Pricing Inputs'!$D$114)^((AO$16-AN$16)/365)</f>
        <v>0</v>
      </c>
    </row>
    <row r="614" spans="3:44" ht="12" x14ac:dyDescent="0.2">
      <c r="C614" s="76">
        <f>'1. Accomodation'!N618</f>
        <v>0</v>
      </c>
      <c r="D614" s="69">
        <f>'1. Accomodation'!P618</f>
        <v>0</v>
      </c>
      <c r="E614" s="69">
        <f>'1. Accomodation'!Q618</f>
        <v>0</v>
      </c>
      <c r="F614" s="77">
        <f>'1. Accomodation'!O618</f>
        <v>0</v>
      </c>
      <c r="G614" s="69">
        <f>'1. Accomodation'!R618</f>
        <v>0</v>
      </c>
      <c r="H614" s="69">
        <f>'1. Accomodation'!S618</f>
        <v>0</v>
      </c>
      <c r="I614" s="62"/>
      <c r="K614" s="272">
        <f>IFERROR(INDEX('2. GRI Pricing Inputs'!$C$15:$AI$16,MATCH($K$16,'2. GRI Pricing Inputs'!$C$15:$C$16,0),MATCH(D614,'2. GRI Pricing Inputs'!$C$15:$AI$15,0)),0)</f>
        <v>0</v>
      </c>
      <c r="L614" s="273">
        <f>IFERROR(INDEX('2. GRI Pricing Inputs'!$C$22:$AI$23,MATCH($L$16,'2. GRI Pricing Inputs'!$C$22:$C$23,0),MATCH(E614,'2. GRI Pricing Inputs'!$C$22:$AI$22,0)),0)</f>
        <v>0</v>
      </c>
      <c r="M614" s="328">
        <f>IF(AND('3. GRI Pricing'!$F614&gt;='2. GRI Pricing Inputs'!$D$33,'3. GRI Pricing'!$F614&lt;='2. GRI Pricing Inputs'!$E$33),'2. GRI Pricing Inputs'!$D$32,IF(AND('3. GRI Pricing'!$F614&gt;='2. GRI Pricing Inputs'!$F$33,'3. GRI Pricing'!$F614&lt;='2. GRI Pricing Inputs'!$G$33),'2. GRI Pricing Inputs'!$F$32,IF(AND('3. GRI Pricing'!$F614&gt;='2. GRI Pricing Inputs'!$H$33,'3. GRI Pricing'!$F614&lt;='2. GRI Pricing Inputs'!$I$33),'2. GRI Pricing Inputs'!$H$32,IF(AND('3. GRI Pricing'!$F614&gt;='2. GRI Pricing Inputs'!$J$33,'3. GRI Pricing'!$F614&lt;='2. GRI Pricing Inputs'!$K$33),'2. GRI Pricing Inputs'!$J$32,IF(AND('3. GRI Pricing'!$F614&gt;='2. GRI Pricing Inputs'!$L$33,'3. GRI Pricing'!$F614&lt;='2. GRI Pricing Inputs'!$M$33),'2. GRI Pricing Inputs'!$L$32,IF(AND('3. GRI Pricing'!$F614&gt;='2. GRI Pricing Inputs'!$N$33,'3. GRI Pricing'!$F614&lt;='2. GRI Pricing Inputs'!$O$33),'2. GRI Pricing Inputs'!$N$32,IF(AND('3. GRI Pricing'!$F614&gt;='2. GRI Pricing Inputs'!$P$33,'3. GRI Pricing'!$F614&lt;='2. GRI Pricing Inputs'!$Q$33),'2. GRI Pricing Inputs'!$P$32,IF(AND('3. GRI Pricing'!$F614&gt;='2. GRI Pricing Inputs'!$R$33,'3. GRI Pricing'!$F614&lt;='2. GRI Pricing Inputs'!$S$33),'2. GRI Pricing Inputs'!$R$32,IF(AND('3. GRI Pricing'!$F614&gt;='2. GRI Pricing Inputs'!$T$33,'3. GRI Pricing'!$F614&lt;='2. GRI Pricing Inputs'!$U$33),'2. GRI Pricing Inputs'!$T$32,IF(AND('3. GRI Pricing'!$F614&gt;='2. GRI Pricing Inputs'!$V$33,'3. GRI Pricing'!$F614&lt;='2. GRI Pricing Inputs'!$W$33),'2. GRI Pricing Inputs'!$V$32,IF(AND('3. GRI Pricing'!$F614&gt;='2. GRI Pricing Inputs'!$X$33,'3. GRI Pricing'!$F614&lt;='2. GRI Pricing Inputs'!$Y$33),'2. GRI Pricing Inputs'!$X$32,IF(AND('3. GRI Pricing'!$F614&gt;='2. GRI Pricing Inputs'!$Z$33,'3. GRI Pricing'!$F614&lt;='2. GRI Pricing Inputs'!$AA$33),'2. GRI Pricing Inputs'!$Z$32,IF(AND('3. GRI Pricing'!$F614&gt;='2. GRI Pricing Inputs'!$AB$33,'3. GRI Pricing'!$F614&lt;='2. GRI Pricing Inputs'!$AC$33),'2. GRI Pricing Inputs'!$AB$32,IF(AND('3. GRI Pricing'!$F614&gt;='2. GRI Pricing Inputs'!$AD$33,'3. GRI Pricing'!$F614&lt;='2. GRI Pricing Inputs'!$AE$33),'2. GRI Pricing Inputs'!$AD$32,IF(AND('3. GRI Pricing'!$F614&gt;='2. GRI Pricing Inputs'!$AF$33,'3. GRI Pricing'!$F614&lt;='2. GRI Pricing Inputs'!$AG$33),'2. GRI Pricing Inputs'!$AF$32,IF(AND('3. GRI Pricing'!$F614&gt;='2. GRI Pricing Inputs'!$AH$33,'3. GRI Pricing'!$F614&lt;='2. GRI Pricing Inputs'!$AI$33),'2. GRI Pricing Inputs'!$AH$32,0))))))))))))))))</f>
        <v>0</v>
      </c>
      <c r="N614" s="273" cm="1">
        <f t="array" ref="N614">IFERROR(INDEX('2. GRI Pricing Inputs'!$C$32:$AI$39,MATCH('3. GRI Pricing'!D614,'2. GRI Pricing Inputs'!$C$32:$C$39,0),(MATCH('3. GRI Pricing'!M614,'2. GRI Pricing Inputs'!$D$32:$AI$32,0)+1)),0)</f>
        <v>0</v>
      </c>
      <c r="O614" s="273">
        <f>IFERROR(INDEX('2. GRI Pricing Inputs'!$C$45:$AI$46,MATCH($O$16,'2. GRI Pricing Inputs'!$C$45:$C$46,0),MATCH(G614,'2. GRI Pricing Inputs'!$C$45:$AI$45,0)),0)</f>
        <v>0</v>
      </c>
      <c r="P614" s="273">
        <f>IFERROR(INDEX('2. GRI Pricing Inputs'!$C$53:$AI$54,MATCH('3. GRI Pricing'!$P$16,'2. GRI Pricing Inputs'!$C$53:$C$54,0),MATCH('3. GRI Pricing'!H614,'2. GRI Pricing Inputs'!$C$53:$AI$53,0)),0)</f>
        <v>0</v>
      </c>
      <c r="Q614" s="273">
        <f>IFERROR(INDEX('2. GRI Pricing Inputs'!$C$60:$AI$61,MATCH('3. GRI Pricing'!$Q$16,'2. GRI Pricing Inputs'!$C$60:$C$61,0),MATCH('1. Accomodation'!T618,'2. GRI Pricing Inputs'!$C$60:$AI$60,0)),0)</f>
        <v>0</v>
      </c>
      <c r="R614" s="273">
        <f>IFERROR(INDEX('2. GRI Pricing Inputs'!$C$67:$AI$68,MATCH('3. GRI Pricing'!$R$16,'2. GRI Pricing Inputs'!$C$67:$C$68,0),MATCH('1. Accomodation'!U618,'2. GRI Pricing Inputs'!$C$67:$AI$67,0)),0)</f>
        <v>0</v>
      </c>
      <c r="S614" s="273">
        <f>IF(D614=0,0,'2. GRI Pricing Inputs'!$AI$75)</f>
        <v>0</v>
      </c>
      <c r="T614" s="273">
        <f>IFERROR(INDEX('2. GRI Pricing Inputs'!$C$82:$AI$83,MATCH('3. GRI Pricing'!$T$16,'2. GRI Pricing Inputs'!$C$82:$C$83,0),MATCH('1. Accomodation'!V618,'2. GRI Pricing Inputs'!$C$82:$AI$82,0)),0)</f>
        <v>0</v>
      </c>
      <c r="U614" s="273">
        <f>IFERROR(INDEX('2. GRI Pricing Inputs'!$C$89:$AI$90,MATCH('3. GRI Pricing'!$U$16,'2. GRI Pricing Inputs'!$C$89:$C$90,0),MATCH('1. Accomodation'!W618,'2. GRI Pricing Inputs'!$C$89:$AI$89,0)),0)</f>
        <v>0</v>
      </c>
      <c r="V614" s="273">
        <f>IFERROR(INDEX('2. GRI Pricing Inputs'!$C$97:$AI$98,MATCH('3. GRI Pricing'!$V$16,'2. GRI Pricing Inputs'!$C$97:$C$98,0),MATCH('1. Accomodation'!X618,'2. GRI Pricing Inputs'!$C$97:$AI$97,0)),0)</f>
        <v>0</v>
      </c>
      <c r="W614" s="273">
        <f>IFERROR(INDEX('2. GRI Pricing Inputs'!$C$104:$AI$105,MATCH('3. GRI Pricing'!$W$16,'2. GRI Pricing Inputs'!$C$104:$C$105,0),MATCH('1. Accomodation'!Y618,'2. GRI Pricing Inputs'!$C$104:$AI$104,0)),0)</f>
        <v>0</v>
      </c>
      <c r="X614" s="274"/>
      <c r="Y614" s="275">
        <f t="shared" si="16"/>
        <v>0</v>
      </c>
      <c r="Z614" s="276"/>
      <c r="AA614" s="276"/>
      <c r="AB614" s="276"/>
      <c r="AC614" s="272">
        <f>Y614*(1+'2. GRI Pricing Inputs'!$D$114)^(($AC$16-$AB$15)/365)</f>
        <v>0</v>
      </c>
      <c r="AD614" s="273">
        <f>AC614*(1+'2. GRI Pricing Inputs'!$D$114)^((AD$16-AC$16)/365)</f>
        <v>0</v>
      </c>
      <c r="AE614" s="273">
        <f>AD614*(1+'2. GRI Pricing Inputs'!$D$114)^((AE$16-AD$16)/365)</f>
        <v>0</v>
      </c>
      <c r="AF614" s="273">
        <f>AE614*(1+'2. GRI Pricing Inputs'!$D$114)^((AF$16-AE$16)/365)</f>
        <v>0</v>
      </c>
      <c r="AG614" s="273">
        <f>AF614*(1+'2. GRI Pricing Inputs'!$D$114)^((AG$16-AF$16)/365)</f>
        <v>0</v>
      </c>
      <c r="AH614" s="273">
        <f>AG614*(1+'2. GRI Pricing Inputs'!$D$114)^((AH$16-AG$16)/365)</f>
        <v>0</v>
      </c>
      <c r="AI614" s="273">
        <f>AH614*(1+'2. GRI Pricing Inputs'!$D$114)^((AI$16-AH$16)/365)</f>
        <v>0</v>
      </c>
      <c r="AJ614" s="273">
        <f>AI614*(1+'2. GRI Pricing Inputs'!$D$114)^((AJ$16-AI$16)/365)</f>
        <v>0</v>
      </c>
      <c r="AK614" s="273">
        <f>AJ614*(1+'2. GRI Pricing Inputs'!$D$114)^((AK$16-AJ$16)/365)</f>
        <v>0</v>
      </c>
      <c r="AL614" s="273">
        <f>AK614*(1+'2. GRI Pricing Inputs'!$D$114)^((AL$16-AK$16)/365)</f>
        <v>0</v>
      </c>
      <c r="AM614" s="273">
        <f>AL614*(1+'2. GRI Pricing Inputs'!$D$114)^((AM$16-AL$16)/365)</f>
        <v>0</v>
      </c>
      <c r="AN614" s="273">
        <f>AM614*(1+'2. GRI Pricing Inputs'!$D$114)^((AN$16-AM$16)/365)</f>
        <v>0</v>
      </c>
      <c r="AO614" s="273">
        <f>AN614*(1+'2. GRI Pricing Inputs'!$D$114)^((AO$16-AN$16)/365)</f>
        <v>0</v>
      </c>
    </row>
    <row r="615" spans="3:44" ht="12" x14ac:dyDescent="0.2">
      <c r="C615" s="76">
        <f>'1. Accomodation'!N619</f>
        <v>0</v>
      </c>
      <c r="D615" s="69">
        <f>'1. Accomodation'!P619</f>
        <v>0</v>
      </c>
      <c r="E615" s="69">
        <f>'1. Accomodation'!Q619</f>
        <v>0</v>
      </c>
      <c r="F615" s="77">
        <f>'1. Accomodation'!O619</f>
        <v>0</v>
      </c>
      <c r="G615" s="69">
        <f>'1. Accomodation'!R619</f>
        <v>0</v>
      </c>
      <c r="H615" s="69">
        <f>'1. Accomodation'!S619</f>
        <v>0</v>
      </c>
      <c r="I615" s="62"/>
      <c r="K615" s="272">
        <f>IFERROR(INDEX('2. GRI Pricing Inputs'!$C$15:$AI$16,MATCH($K$16,'2. GRI Pricing Inputs'!$C$15:$C$16,0),MATCH(D615,'2. GRI Pricing Inputs'!$C$15:$AI$15,0)),0)</f>
        <v>0</v>
      </c>
      <c r="L615" s="273">
        <f>IFERROR(INDEX('2. GRI Pricing Inputs'!$C$22:$AI$23,MATCH($L$16,'2. GRI Pricing Inputs'!$C$22:$C$23,0),MATCH(E615,'2. GRI Pricing Inputs'!$C$22:$AI$22,0)),0)</f>
        <v>0</v>
      </c>
      <c r="M615" s="328">
        <f>IF(AND('3. GRI Pricing'!$F615&gt;='2. GRI Pricing Inputs'!$D$33,'3. GRI Pricing'!$F615&lt;='2. GRI Pricing Inputs'!$E$33),'2. GRI Pricing Inputs'!$D$32,IF(AND('3. GRI Pricing'!$F615&gt;='2. GRI Pricing Inputs'!$F$33,'3. GRI Pricing'!$F615&lt;='2. GRI Pricing Inputs'!$G$33),'2. GRI Pricing Inputs'!$F$32,IF(AND('3. GRI Pricing'!$F615&gt;='2. GRI Pricing Inputs'!$H$33,'3. GRI Pricing'!$F615&lt;='2. GRI Pricing Inputs'!$I$33),'2. GRI Pricing Inputs'!$H$32,IF(AND('3. GRI Pricing'!$F615&gt;='2. GRI Pricing Inputs'!$J$33,'3. GRI Pricing'!$F615&lt;='2. GRI Pricing Inputs'!$K$33),'2. GRI Pricing Inputs'!$J$32,IF(AND('3. GRI Pricing'!$F615&gt;='2. GRI Pricing Inputs'!$L$33,'3. GRI Pricing'!$F615&lt;='2. GRI Pricing Inputs'!$M$33),'2. GRI Pricing Inputs'!$L$32,IF(AND('3. GRI Pricing'!$F615&gt;='2. GRI Pricing Inputs'!$N$33,'3. GRI Pricing'!$F615&lt;='2. GRI Pricing Inputs'!$O$33),'2. GRI Pricing Inputs'!$N$32,IF(AND('3. GRI Pricing'!$F615&gt;='2. GRI Pricing Inputs'!$P$33,'3. GRI Pricing'!$F615&lt;='2. GRI Pricing Inputs'!$Q$33),'2. GRI Pricing Inputs'!$P$32,IF(AND('3. GRI Pricing'!$F615&gt;='2. GRI Pricing Inputs'!$R$33,'3. GRI Pricing'!$F615&lt;='2. GRI Pricing Inputs'!$S$33),'2. GRI Pricing Inputs'!$R$32,IF(AND('3. GRI Pricing'!$F615&gt;='2. GRI Pricing Inputs'!$T$33,'3. GRI Pricing'!$F615&lt;='2. GRI Pricing Inputs'!$U$33),'2. GRI Pricing Inputs'!$T$32,IF(AND('3. GRI Pricing'!$F615&gt;='2. GRI Pricing Inputs'!$V$33,'3. GRI Pricing'!$F615&lt;='2. GRI Pricing Inputs'!$W$33),'2. GRI Pricing Inputs'!$V$32,IF(AND('3. GRI Pricing'!$F615&gt;='2. GRI Pricing Inputs'!$X$33,'3. GRI Pricing'!$F615&lt;='2. GRI Pricing Inputs'!$Y$33),'2. GRI Pricing Inputs'!$X$32,IF(AND('3. GRI Pricing'!$F615&gt;='2. GRI Pricing Inputs'!$Z$33,'3. GRI Pricing'!$F615&lt;='2. GRI Pricing Inputs'!$AA$33),'2. GRI Pricing Inputs'!$Z$32,IF(AND('3. GRI Pricing'!$F615&gt;='2. GRI Pricing Inputs'!$AB$33,'3. GRI Pricing'!$F615&lt;='2. GRI Pricing Inputs'!$AC$33),'2. GRI Pricing Inputs'!$AB$32,IF(AND('3. GRI Pricing'!$F615&gt;='2. GRI Pricing Inputs'!$AD$33,'3. GRI Pricing'!$F615&lt;='2. GRI Pricing Inputs'!$AE$33),'2. GRI Pricing Inputs'!$AD$32,IF(AND('3. GRI Pricing'!$F615&gt;='2. GRI Pricing Inputs'!$AF$33,'3. GRI Pricing'!$F615&lt;='2. GRI Pricing Inputs'!$AG$33),'2. GRI Pricing Inputs'!$AF$32,IF(AND('3. GRI Pricing'!$F615&gt;='2. GRI Pricing Inputs'!$AH$33,'3. GRI Pricing'!$F615&lt;='2. GRI Pricing Inputs'!$AI$33),'2. GRI Pricing Inputs'!$AH$32,0))))))))))))))))</f>
        <v>0</v>
      </c>
      <c r="N615" s="273" cm="1">
        <f t="array" ref="N615">IFERROR(INDEX('2. GRI Pricing Inputs'!$C$32:$AI$39,MATCH('3. GRI Pricing'!D615,'2. GRI Pricing Inputs'!$C$32:$C$39,0),(MATCH('3. GRI Pricing'!M615,'2. GRI Pricing Inputs'!$D$32:$AI$32,0)+1)),0)</f>
        <v>0</v>
      </c>
      <c r="O615" s="273">
        <f>IFERROR(INDEX('2. GRI Pricing Inputs'!$C$45:$AI$46,MATCH($O$16,'2. GRI Pricing Inputs'!$C$45:$C$46,0),MATCH(G615,'2. GRI Pricing Inputs'!$C$45:$AI$45,0)),0)</f>
        <v>0</v>
      </c>
      <c r="P615" s="273">
        <f>IFERROR(INDEX('2. GRI Pricing Inputs'!$C$53:$AI$54,MATCH('3. GRI Pricing'!$P$16,'2. GRI Pricing Inputs'!$C$53:$C$54,0),MATCH('3. GRI Pricing'!H615,'2. GRI Pricing Inputs'!$C$53:$AI$53,0)),0)</f>
        <v>0</v>
      </c>
      <c r="Q615" s="273">
        <f>IFERROR(INDEX('2. GRI Pricing Inputs'!$C$60:$AI$61,MATCH('3. GRI Pricing'!$Q$16,'2. GRI Pricing Inputs'!$C$60:$C$61,0),MATCH('1. Accomodation'!T619,'2. GRI Pricing Inputs'!$C$60:$AI$60,0)),0)</f>
        <v>0</v>
      </c>
      <c r="R615" s="273">
        <f>IFERROR(INDEX('2. GRI Pricing Inputs'!$C$67:$AI$68,MATCH('3. GRI Pricing'!$R$16,'2. GRI Pricing Inputs'!$C$67:$C$68,0),MATCH('1. Accomodation'!U619,'2. GRI Pricing Inputs'!$C$67:$AI$67,0)),0)</f>
        <v>0</v>
      </c>
      <c r="S615" s="273">
        <f>IF(D615=0,0,'2. GRI Pricing Inputs'!$AI$75)</f>
        <v>0</v>
      </c>
      <c r="T615" s="273">
        <f>IFERROR(INDEX('2. GRI Pricing Inputs'!$C$82:$AI$83,MATCH('3. GRI Pricing'!$T$16,'2. GRI Pricing Inputs'!$C$82:$C$83,0),MATCH('1. Accomodation'!V619,'2. GRI Pricing Inputs'!$C$82:$AI$82,0)),0)</f>
        <v>0</v>
      </c>
      <c r="U615" s="273">
        <f>IFERROR(INDEX('2. GRI Pricing Inputs'!$C$89:$AI$90,MATCH('3. GRI Pricing'!$U$16,'2. GRI Pricing Inputs'!$C$89:$C$90,0),MATCH('1. Accomodation'!W619,'2. GRI Pricing Inputs'!$C$89:$AI$89,0)),0)</f>
        <v>0</v>
      </c>
      <c r="V615" s="273">
        <f>IFERROR(INDEX('2. GRI Pricing Inputs'!$C$97:$AI$98,MATCH('3. GRI Pricing'!$V$16,'2. GRI Pricing Inputs'!$C$97:$C$98,0),MATCH('1. Accomodation'!X619,'2. GRI Pricing Inputs'!$C$97:$AI$97,0)),0)</f>
        <v>0</v>
      </c>
      <c r="W615" s="273">
        <f>IFERROR(INDEX('2. GRI Pricing Inputs'!$C$104:$AI$105,MATCH('3. GRI Pricing'!$W$16,'2. GRI Pricing Inputs'!$C$104:$C$105,0),MATCH('1. Accomodation'!Y619,'2. GRI Pricing Inputs'!$C$104:$AI$104,0)),0)</f>
        <v>0</v>
      </c>
      <c r="X615" s="274"/>
      <c r="Y615" s="275">
        <f t="shared" si="16"/>
        <v>0</v>
      </c>
      <c r="Z615" s="276"/>
      <c r="AA615" s="276"/>
      <c r="AB615" s="276"/>
      <c r="AC615" s="272">
        <f>Y615*(1+'2. GRI Pricing Inputs'!$D$114)^(($AC$16-$AB$15)/365)</f>
        <v>0</v>
      </c>
      <c r="AD615" s="273">
        <f>AC615*(1+'2. GRI Pricing Inputs'!$D$114)^((AD$16-AC$16)/365)</f>
        <v>0</v>
      </c>
      <c r="AE615" s="273">
        <f>AD615*(1+'2. GRI Pricing Inputs'!$D$114)^((AE$16-AD$16)/365)</f>
        <v>0</v>
      </c>
      <c r="AF615" s="273">
        <f>AE615*(1+'2. GRI Pricing Inputs'!$D$114)^((AF$16-AE$16)/365)</f>
        <v>0</v>
      </c>
      <c r="AG615" s="273">
        <f>AF615*(1+'2. GRI Pricing Inputs'!$D$114)^((AG$16-AF$16)/365)</f>
        <v>0</v>
      </c>
      <c r="AH615" s="273">
        <f>AG615*(1+'2. GRI Pricing Inputs'!$D$114)^((AH$16-AG$16)/365)</f>
        <v>0</v>
      </c>
      <c r="AI615" s="273">
        <f>AH615*(1+'2. GRI Pricing Inputs'!$D$114)^((AI$16-AH$16)/365)</f>
        <v>0</v>
      </c>
      <c r="AJ615" s="273">
        <f>AI615*(1+'2. GRI Pricing Inputs'!$D$114)^((AJ$16-AI$16)/365)</f>
        <v>0</v>
      </c>
      <c r="AK615" s="273">
        <f>AJ615*(1+'2. GRI Pricing Inputs'!$D$114)^((AK$16-AJ$16)/365)</f>
        <v>0</v>
      </c>
      <c r="AL615" s="273">
        <f>AK615*(1+'2. GRI Pricing Inputs'!$D$114)^((AL$16-AK$16)/365)</f>
        <v>0</v>
      </c>
      <c r="AM615" s="273">
        <f>AL615*(1+'2. GRI Pricing Inputs'!$D$114)^((AM$16-AL$16)/365)</f>
        <v>0</v>
      </c>
      <c r="AN615" s="273">
        <f>AM615*(1+'2. GRI Pricing Inputs'!$D$114)^((AN$16-AM$16)/365)</f>
        <v>0</v>
      </c>
      <c r="AO615" s="273">
        <f>AN615*(1+'2. GRI Pricing Inputs'!$D$114)^((AO$16-AN$16)/365)</f>
        <v>0</v>
      </c>
    </row>
    <row r="616" spans="3:44" ht="12" x14ac:dyDescent="0.2">
      <c r="C616" s="76">
        <f>'1. Accomodation'!N620</f>
        <v>0</v>
      </c>
      <c r="D616" s="69">
        <f>'1. Accomodation'!P620</f>
        <v>0</v>
      </c>
      <c r="E616" s="69">
        <f>'1. Accomodation'!Q620</f>
        <v>0</v>
      </c>
      <c r="F616" s="77">
        <f>'1. Accomodation'!O620</f>
        <v>0</v>
      </c>
      <c r="G616" s="69">
        <f>'1. Accomodation'!R620</f>
        <v>0</v>
      </c>
      <c r="H616" s="69">
        <f>'1. Accomodation'!S620</f>
        <v>0</v>
      </c>
      <c r="I616" s="62"/>
      <c r="K616" s="272">
        <f>IFERROR(INDEX('2. GRI Pricing Inputs'!$C$15:$AI$16,MATCH($K$16,'2. GRI Pricing Inputs'!$C$15:$C$16,0),MATCH(D616,'2. GRI Pricing Inputs'!$C$15:$AI$15,0)),0)</f>
        <v>0</v>
      </c>
      <c r="L616" s="273">
        <f>IFERROR(INDEX('2. GRI Pricing Inputs'!$C$22:$AI$23,MATCH($L$16,'2. GRI Pricing Inputs'!$C$22:$C$23,0),MATCH(E616,'2. GRI Pricing Inputs'!$C$22:$AI$22,0)),0)</f>
        <v>0</v>
      </c>
      <c r="M616" s="328">
        <f>IF(AND('3. GRI Pricing'!$F616&gt;='2. GRI Pricing Inputs'!$D$33,'3. GRI Pricing'!$F616&lt;='2. GRI Pricing Inputs'!$E$33),'2. GRI Pricing Inputs'!$D$32,IF(AND('3. GRI Pricing'!$F616&gt;='2. GRI Pricing Inputs'!$F$33,'3. GRI Pricing'!$F616&lt;='2. GRI Pricing Inputs'!$G$33),'2. GRI Pricing Inputs'!$F$32,IF(AND('3. GRI Pricing'!$F616&gt;='2. GRI Pricing Inputs'!$H$33,'3. GRI Pricing'!$F616&lt;='2. GRI Pricing Inputs'!$I$33),'2. GRI Pricing Inputs'!$H$32,IF(AND('3. GRI Pricing'!$F616&gt;='2. GRI Pricing Inputs'!$J$33,'3. GRI Pricing'!$F616&lt;='2. GRI Pricing Inputs'!$K$33),'2. GRI Pricing Inputs'!$J$32,IF(AND('3. GRI Pricing'!$F616&gt;='2. GRI Pricing Inputs'!$L$33,'3. GRI Pricing'!$F616&lt;='2. GRI Pricing Inputs'!$M$33),'2. GRI Pricing Inputs'!$L$32,IF(AND('3. GRI Pricing'!$F616&gt;='2. GRI Pricing Inputs'!$N$33,'3. GRI Pricing'!$F616&lt;='2. GRI Pricing Inputs'!$O$33),'2. GRI Pricing Inputs'!$N$32,IF(AND('3. GRI Pricing'!$F616&gt;='2. GRI Pricing Inputs'!$P$33,'3. GRI Pricing'!$F616&lt;='2. GRI Pricing Inputs'!$Q$33),'2. GRI Pricing Inputs'!$P$32,IF(AND('3. GRI Pricing'!$F616&gt;='2. GRI Pricing Inputs'!$R$33,'3. GRI Pricing'!$F616&lt;='2. GRI Pricing Inputs'!$S$33),'2. GRI Pricing Inputs'!$R$32,IF(AND('3. GRI Pricing'!$F616&gt;='2. GRI Pricing Inputs'!$T$33,'3. GRI Pricing'!$F616&lt;='2. GRI Pricing Inputs'!$U$33),'2. GRI Pricing Inputs'!$T$32,IF(AND('3. GRI Pricing'!$F616&gt;='2. GRI Pricing Inputs'!$V$33,'3. GRI Pricing'!$F616&lt;='2. GRI Pricing Inputs'!$W$33),'2. GRI Pricing Inputs'!$V$32,IF(AND('3. GRI Pricing'!$F616&gt;='2. GRI Pricing Inputs'!$X$33,'3. GRI Pricing'!$F616&lt;='2. GRI Pricing Inputs'!$Y$33),'2. GRI Pricing Inputs'!$X$32,IF(AND('3. GRI Pricing'!$F616&gt;='2. GRI Pricing Inputs'!$Z$33,'3. GRI Pricing'!$F616&lt;='2. GRI Pricing Inputs'!$AA$33),'2. GRI Pricing Inputs'!$Z$32,IF(AND('3. GRI Pricing'!$F616&gt;='2. GRI Pricing Inputs'!$AB$33,'3. GRI Pricing'!$F616&lt;='2. GRI Pricing Inputs'!$AC$33),'2. GRI Pricing Inputs'!$AB$32,IF(AND('3. GRI Pricing'!$F616&gt;='2. GRI Pricing Inputs'!$AD$33,'3. GRI Pricing'!$F616&lt;='2. GRI Pricing Inputs'!$AE$33),'2. GRI Pricing Inputs'!$AD$32,IF(AND('3. GRI Pricing'!$F616&gt;='2. GRI Pricing Inputs'!$AF$33,'3. GRI Pricing'!$F616&lt;='2. GRI Pricing Inputs'!$AG$33),'2. GRI Pricing Inputs'!$AF$32,IF(AND('3. GRI Pricing'!$F616&gt;='2. GRI Pricing Inputs'!$AH$33,'3. GRI Pricing'!$F616&lt;='2. GRI Pricing Inputs'!$AI$33),'2. GRI Pricing Inputs'!$AH$32,0))))))))))))))))</f>
        <v>0</v>
      </c>
      <c r="N616" s="273" cm="1">
        <f t="array" ref="N616">IFERROR(INDEX('2. GRI Pricing Inputs'!$C$32:$AI$39,MATCH('3. GRI Pricing'!D616,'2. GRI Pricing Inputs'!$C$32:$C$39,0),(MATCH('3. GRI Pricing'!M616,'2. GRI Pricing Inputs'!$D$32:$AI$32,0)+1)),0)</f>
        <v>0</v>
      </c>
      <c r="O616" s="273">
        <f>IFERROR(INDEX('2. GRI Pricing Inputs'!$C$45:$AI$46,MATCH($O$16,'2. GRI Pricing Inputs'!$C$45:$C$46,0),MATCH(G616,'2. GRI Pricing Inputs'!$C$45:$AI$45,0)),0)</f>
        <v>0</v>
      </c>
      <c r="P616" s="273">
        <f>IFERROR(INDEX('2. GRI Pricing Inputs'!$C$53:$AI$54,MATCH('3. GRI Pricing'!$P$16,'2. GRI Pricing Inputs'!$C$53:$C$54,0),MATCH('3. GRI Pricing'!H616,'2. GRI Pricing Inputs'!$C$53:$AI$53,0)),0)</f>
        <v>0</v>
      </c>
      <c r="Q616" s="273">
        <f>IFERROR(INDEX('2. GRI Pricing Inputs'!$C$60:$AI$61,MATCH('3. GRI Pricing'!$Q$16,'2. GRI Pricing Inputs'!$C$60:$C$61,0),MATCH('1. Accomodation'!T620,'2. GRI Pricing Inputs'!$C$60:$AI$60,0)),0)</f>
        <v>0</v>
      </c>
      <c r="R616" s="273">
        <f>IFERROR(INDEX('2. GRI Pricing Inputs'!$C$67:$AI$68,MATCH('3. GRI Pricing'!$R$16,'2. GRI Pricing Inputs'!$C$67:$C$68,0),MATCH('1. Accomodation'!U620,'2. GRI Pricing Inputs'!$C$67:$AI$67,0)),0)</f>
        <v>0</v>
      </c>
      <c r="S616" s="273">
        <f>IF(D616=0,0,'2. GRI Pricing Inputs'!$AI$75)</f>
        <v>0</v>
      </c>
      <c r="T616" s="273">
        <f>IFERROR(INDEX('2. GRI Pricing Inputs'!$C$82:$AI$83,MATCH('3. GRI Pricing'!$T$16,'2. GRI Pricing Inputs'!$C$82:$C$83,0),MATCH('1. Accomodation'!V620,'2. GRI Pricing Inputs'!$C$82:$AI$82,0)),0)</f>
        <v>0</v>
      </c>
      <c r="U616" s="273">
        <f>IFERROR(INDEX('2. GRI Pricing Inputs'!$C$89:$AI$90,MATCH('3. GRI Pricing'!$U$16,'2. GRI Pricing Inputs'!$C$89:$C$90,0),MATCH('1. Accomodation'!W620,'2. GRI Pricing Inputs'!$C$89:$AI$89,0)),0)</f>
        <v>0</v>
      </c>
      <c r="V616" s="273">
        <f>IFERROR(INDEX('2. GRI Pricing Inputs'!$C$97:$AI$98,MATCH('3. GRI Pricing'!$V$16,'2. GRI Pricing Inputs'!$C$97:$C$98,0),MATCH('1. Accomodation'!X620,'2. GRI Pricing Inputs'!$C$97:$AI$97,0)),0)</f>
        <v>0</v>
      </c>
      <c r="W616" s="273">
        <f>IFERROR(INDEX('2. GRI Pricing Inputs'!$C$104:$AI$105,MATCH('3. GRI Pricing'!$W$16,'2. GRI Pricing Inputs'!$C$104:$C$105,0),MATCH('1. Accomodation'!Y620,'2. GRI Pricing Inputs'!$C$104:$AI$104,0)),0)</f>
        <v>0</v>
      </c>
      <c r="X616" s="274"/>
      <c r="Y616" s="275">
        <f t="shared" si="16"/>
        <v>0</v>
      </c>
      <c r="Z616" s="276"/>
      <c r="AA616" s="276"/>
      <c r="AB616" s="276"/>
      <c r="AC616" s="272">
        <f>Y616*(1+'2. GRI Pricing Inputs'!$D$114)^(($AC$16-$AB$15)/365)</f>
        <v>0</v>
      </c>
      <c r="AD616" s="273">
        <f>AC616*(1+'2. GRI Pricing Inputs'!$D$114)^((AD$16-AC$16)/365)</f>
        <v>0</v>
      </c>
      <c r="AE616" s="273">
        <f>AD616*(1+'2. GRI Pricing Inputs'!$D$114)^((AE$16-AD$16)/365)</f>
        <v>0</v>
      </c>
      <c r="AF616" s="273">
        <f>AE616*(1+'2. GRI Pricing Inputs'!$D$114)^((AF$16-AE$16)/365)</f>
        <v>0</v>
      </c>
      <c r="AG616" s="273">
        <f>AF616*(1+'2. GRI Pricing Inputs'!$D$114)^((AG$16-AF$16)/365)</f>
        <v>0</v>
      </c>
      <c r="AH616" s="273">
        <f>AG616*(1+'2. GRI Pricing Inputs'!$D$114)^((AH$16-AG$16)/365)</f>
        <v>0</v>
      </c>
      <c r="AI616" s="273">
        <f>AH616*(1+'2. GRI Pricing Inputs'!$D$114)^((AI$16-AH$16)/365)</f>
        <v>0</v>
      </c>
      <c r="AJ616" s="273">
        <f>AI616*(1+'2. GRI Pricing Inputs'!$D$114)^((AJ$16-AI$16)/365)</f>
        <v>0</v>
      </c>
      <c r="AK616" s="273">
        <f>AJ616*(1+'2. GRI Pricing Inputs'!$D$114)^((AK$16-AJ$16)/365)</f>
        <v>0</v>
      </c>
      <c r="AL616" s="273">
        <f>AK616*(1+'2. GRI Pricing Inputs'!$D$114)^((AL$16-AK$16)/365)</f>
        <v>0</v>
      </c>
      <c r="AM616" s="273">
        <f>AL616*(1+'2. GRI Pricing Inputs'!$D$114)^((AM$16-AL$16)/365)</f>
        <v>0</v>
      </c>
      <c r="AN616" s="273">
        <f>AM616*(1+'2. GRI Pricing Inputs'!$D$114)^((AN$16-AM$16)/365)</f>
        <v>0</v>
      </c>
      <c r="AO616" s="273">
        <f>AN616*(1+'2. GRI Pricing Inputs'!$D$114)^((AO$16-AN$16)/365)</f>
        <v>0</v>
      </c>
    </row>
    <row r="617" spans="3:44" ht="12.75" thickBot="1" x14ac:dyDescent="0.25">
      <c r="C617" s="59"/>
      <c r="D617" s="60"/>
      <c r="E617" s="60"/>
      <c r="F617" s="60"/>
      <c r="G617" s="60"/>
      <c r="H617" s="60"/>
      <c r="K617" s="78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79" t="s">
        <v>154</v>
      </c>
      <c r="Y617" s="80">
        <f>SUM(Y17:Y616)*12</f>
        <v>4244100</v>
      </c>
      <c r="AC617" s="81">
        <f>SUM(AC17:AC616)*12</f>
        <v>4258260.984851893</v>
      </c>
      <c r="AD617" s="79">
        <f>SUM(AD17:AD616)*12</f>
        <v>4272010.1503693024</v>
      </c>
      <c r="AE617" s="79">
        <f t="shared" ref="AE617:AO617" si="17">SUM(AE17:AE616)*12</f>
        <v>4286264.2610232737</v>
      </c>
      <c r="AF617" s="79">
        <f t="shared" si="17"/>
        <v>4300565.9323485401</v>
      </c>
      <c r="AG617" s="79">
        <f>SUM(AG17:AG616)*12</f>
        <v>4313988.1127766324</v>
      </c>
      <c r="AH617" s="79">
        <f t="shared" si="17"/>
        <v>4328382.2882947009</v>
      </c>
      <c r="AI617" s="79">
        <f t="shared" si="17"/>
        <v>4342357.8629990453</v>
      </c>
      <c r="AJ617" s="79">
        <f t="shared" si="17"/>
        <v>4356846.6978331544</v>
      </c>
      <c r="AK617" s="79">
        <f t="shared" si="17"/>
        <v>4370914.1790409945</v>
      </c>
      <c r="AL617" s="79">
        <f t="shared" si="17"/>
        <v>4385498.295691953</v>
      </c>
      <c r="AM617" s="79">
        <f t="shared" si="17"/>
        <v>4400131.0741216056</v>
      </c>
      <c r="AN617" s="79">
        <f t="shared" si="17"/>
        <v>4414338.3128633415</v>
      </c>
      <c r="AO617" s="79">
        <f t="shared" si="17"/>
        <v>4429067.3197151115</v>
      </c>
      <c r="AR617" s="11"/>
    </row>
    <row r="621" spans="3:44" ht="15" thickBot="1" x14ac:dyDescent="0.25">
      <c r="C621" s="59">
        <f>COUNT(C17:C616)</f>
        <v>317</v>
      </c>
    </row>
  </sheetData>
  <sheetProtection algorithmName="SHA-512" hashValue="zkLqvLNMm1gJfKVRh21E032KcYeMC7+7VqkGNFnHPed0UTd2H4A/5qy1C83BogUQE68UuFHRZ9CkGGuQhs9VwQ==" saltValue="AMqDpMgd0apZXDT9dBzScA==" spinCount="100000" sheet="1" sort="0"/>
  <mergeCells count="3">
    <mergeCell ref="C15:H15"/>
    <mergeCell ref="AC15:AO15"/>
    <mergeCell ref="K15:Y15"/>
  </mergeCells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CA6-AF11-478A-8701-FA82CB1C3737}">
  <sheetPr codeName="Sheet5">
    <tabColor theme="6" tint="-0.499984740745262"/>
    <pageSetUpPr fitToPage="1"/>
  </sheetPr>
  <dimension ref="C3:AN796"/>
  <sheetViews>
    <sheetView showGridLines="0" zoomScaleNormal="100" zoomScaleSheetLayoutView="70" workbookViewId="0">
      <selection activeCell="L34" sqref="L34"/>
    </sheetView>
  </sheetViews>
  <sheetFormatPr defaultColWidth="8.625" defaultRowHeight="12.75" outlineLevelRow="1" outlineLevelCol="1" x14ac:dyDescent="0.2"/>
  <cols>
    <col min="1" max="1" width="2.5" style="2" customWidth="1"/>
    <col min="2" max="2" width="2.625" style="2" customWidth="1"/>
    <col min="3" max="3" width="21.125" style="2" customWidth="1"/>
    <col min="4" max="4" width="15.5" style="2" bestFit="1" customWidth="1"/>
    <col min="5" max="5" width="8.625" style="2" customWidth="1"/>
    <col min="6" max="6" width="2" style="2" customWidth="1"/>
    <col min="7" max="7" width="17.375" style="2" customWidth="1"/>
    <col min="8" max="9" width="13.625" style="2" customWidth="1"/>
    <col min="10" max="10" width="2.875" style="2" customWidth="1"/>
    <col min="11" max="11" width="20" style="6" bestFit="1" customWidth="1"/>
    <col min="12" max="12" width="15" style="6" customWidth="1"/>
    <col min="13" max="13" width="13.625" style="6" customWidth="1"/>
    <col min="14" max="14" width="4.375" style="2" customWidth="1"/>
    <col min="15" max="17" width="8.625" style="2" hidden="1" customWidth="1" outlineLevel="1"/>
    <col min="18" max="20" width="13.625" style="2" hidden="1" customWidth="1" outlineLevel="1"/>
    <col min="21" max="21" width="3.375" style="2" hidden="1" customWidth="1" outlineLevel="1"/>
    <col min="22" max="22" width="20" style="2" hidden="1" customWidth="1" outlineLevel="1"/>
    <col min="23" max="23" width="15.25" style="2" hidden="1" customWidth="1" outlineLevel="1"/>
    <col min="24" max="24" width="13.625" style="2" hidden="1" customWidth="1" outlineLevel="1"/>
    <col min="25" max="25" width="1.125" style="2" hidden="1" customWidth="1" outlineLevel="1"/>
    <col min="26" max="26" width="12.625" style="2" customWidth="1" collapsed="1"/>
    <col min="27" max="27" width="11.125" style="2" customWidth="1"/>
    <col min="28" max="28" width="12.625" style="2" customWidth="1"/>
    <col min="29" max="33" width="8.625" style="2"/>
    <col min="34" max="36" width="1.625" style="2" customWidth="1"/>
    <col min="37" max="16384" width="8.625" style="2"/>
  </cols>
  <sheetData>
    <row r="3" spans="3:40" ht="28.5" x14ac:dyDescent="0.2">
      <c r="C3" s="152" t="s">
        <v>205</v>
      </c>
      <c r="D3" s="14"/>
      <c r="E3" s="14"/>
      <c r="F3" s="14"/>
      <c r="G3" s="14"/>
      <c r="H3" s="14"/>
      <c r="I3" s="14"/>
      <c r="J3" s="14"/>
      <c r="K3" s="306"/>
      <c r="L3" s="306"/>
      <c r="M3" s="30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E3" s="20"/>
      <c r="AI3" s="7"/>
    </row>
    <row r="4" spans="3:40" ht="8.1" customHeight="1" x14ac:dyDescent="0.2">
      <c r="C4" s="3"/>
      <c r="D4" s="3"/>
      <c r="E4" s="3"/>
      <c r="F4" s="3"/>
      <c r="G4" s="3"/>
      <c r="H4" s="3"/>
      <c r="I4" s="3"/>
      <c r="J4" s="3"/>
      <c r="K4" s="307"/>
      <c r="L4" s="307"/>
      <c r="M4" s="307"/>
      <c r="N4" s="3"/>
      <c r="O4" s="3"/>
      <c r="P4" s="3"/>
      <c r="Q4" s="3"/>
      <c r="W4" s="9"/>
      <c r="X4" s="9"/>
      <c r="Y4" s="9"/>
      <c r="Z4" s="4"/>
      <c r="AA4" s="4"/>
      <c r="AB4" s="4"/>
      <c r="AC4" s="4"/>
      <c r="AD4" s="4"/>
      <c r="AE4" s="4"/>
      <c r="AF4" s="4"/>
    </row>
    <row r="5" spans="3:40" s="30" customFormat="1" ht="12" x14ac:dyDescent="0.2">
      <c r="C5" s="153" t="s">
        <v>206</v>
      </c>
      <c r="D5" s="358" t="s">
        <v>527</v>
      </c>
      <c r="E5" s="40"/>
      <c r="F5" s="40"/>
      <c r="K5" s="62"/>
      <c r="L5" s="62"/>
      <c r="M5" s="62"/>
      <c r="N5" s="40"/>
      <c r="O5" s="40"/>
      <c r="P5" s="40"/>
      <c r="Q5" s="40"/>
      <c r="S5" s="155"/>
      <c r="T5" s="156"/>
      <c r="Y5" s="156"/>
      <c r="Z5" s="98"/>
      <c r="AA5" s="98"/>
      <c r="AB5" s="98"/>
      <c r="AC5" s="98"/>
      <c r="AD5" s="98"/>
      <c r="AE5" s="98"/>
      <c r="AF5" s="98"/>
    </row>
    <row r="6" spans="3:40" s="30" customFormat="1" ht="12" x14ac:dyDescent="0.2">
      <c r="C6" s="153" t="s">
        <v>202</v>
      </c>
      <c r="D6" s="358">
        <v>45199</v>
      </c>
      <c r="E6" s="40"/>
      <c r="F6" s="40"/>
      <c r="G6" s="40"/>
      <c r="H6" s="142" t="s">
        <v>137</v>
      </c>
      <c r="I6" s="142" t="s">
        <v>139</v>
      </c>
      <c r="K6" s="62"/>
      <c r="L6" s="62"/>
      <c r="M6" s="62"/>
      <c r="N6" s="40"/>
      <c r="O6" s="40"/>
      <c r="P6" s="40"/>
      <c r="Q6" s="40"/>
      <c r="V6" s="40"/>
      <c r="W6" s="142" t="s">
        <v>137</v>
      </c>
      <c r="X6" s="142" t="s">
        <v>139</v>
      </c>
      <c r="Y6" s="156"/>
      <c r="Z6" s="98"/>
      <c r="AA6" s="98"/>
      <c r="AB6" s="98"/>
      <c r="AC6" s="98"/>
      <c r="AD6" s="98"/>
      <c r="AE6" s="98"/>
      <c r="AF6" s="98"/>
    </row>
    <row r="7" spans="3:40" s="215" customFormat="1" ht="25.15" customHeight="1" x14ac:dyDescent="0.2">
      <c r="C7" s="301" t="s">
        <v>155</v>
      </c>
      <c r="D7" s="356">
        <v>45199</v>
      </c>
      <c r="E7" s="111"/>
      <c r="F7" s="111"/>
      <c r="G7" s="305" t="str">
        <f>TEXT(D5,0)&amp;" Growth Rate"</f>
        <v>CBRE Growth Rate</v>
      </c>
      <c r="H7" s="302">
        <v>0.03</v>
      </c>
      <c r="I7" s="302">
        <v>0</v>
      </c>
      <c r="K7" s="308"/>
      <c r="L7" s="75"/>
      <c r="M7" s="75"/>
      <c r="N7" s="111"/>
      <c r="O7" s="111"/>
      <c r="P7" s="111"/>
      <c r="Q7" s="111"/>
      <c r="V7" s="305" t="s">
        <v>204</v>
      </c>
      <c r="W7" s="302">
        <v>0.03</v>
      </c>
      <c r="X7" s="302">
        <v>0</v>
      </c>
      <c r="Z7" s="303"/>
    </row>
    <row r="8" spans="3:40" s="30" customFormat="1" ht="12" x14ac:dyDescent="0.2">
      <c r="C8" s="301" t="s">
        <v>528</v>
      </c>
      <c r="D8" s="356">
        <v>45199</v>
      </c>
      <c r="E8" s="40"/>
      <c r="F8" s="40"/>
      <c r="G8" s="40"/>
      <c r="H8" s="40"/>
      <c r="I8" s="40"/>
      <c r="J8" s="40"/>
      <c r="K8" s="309" t="s">
        <v>156</v>
      </c>
      <c r="L8" s="62"/>
      <c r="M8" s="62"/>
      <c r="N8" s="40"/>
      <c r="O8" s="40"/>
      <c r="P8" s="40"/>
      <c r="Q8" s="40"/>
      <c r="R8" s="157" t="s">
        <v>156</v>
      </c>
      <c r="V8" s="157" t="s">
        <v>156</v>
      </c>
      <c r="W8" s="98"/>
      <c r="X8" s="98"/>
      <c r="Y8" s="98"/>
      <c r="Z8" s="157" t="s">
        <v>156</v>
      </c>
      <c r="AA8" s="98"/>
      <c r="AB8" s="98"/>
      <c r="AC8" s="98"/>
      <c r="AD8" s="98"/>
      <c r="AE8" s="98"/>
      <c r="AF8" s="98"/>
    </row>
    <row r="9" spans="3:40" s="30" customFormat="1" ht="12" x14ac:dyDescent="0.2">
      <c r="C9" s="40"/>
      <c r="D9" s="40"/>
      <c r="E9" s="40"/>
      <c r="G9" s="461" t="str">
        <f>TEXT($D$5,0)&amp;" "&amp;TEXT($D$7,"mmm-yy")</f>
        <v>CBRE Sep-23</v>
      </c>
      <c r="H9" s="462"/>
      <c r="I9" s="463"/>
      <c r="K9" s="461" t="str">
        <f>TEXT($D$5,0)&amp;" Grown to "&amp;TEXT(L24,"mmm-yy")</f>
        <v>CBRE Grown to Sep-23</v>
      </c>
      <c r="L9" s="462"/>
      <c r="M9" s="463"/>
      <c r="R9" s="461" t="str">
        <f>TEXT($D$8,0)&amp;" BUDGET"</f>
        <v>45199 BUDGET</v>
      </c>
      <c r="S9" s="462"/>
      <c r="T9" s="463"/>
      <c r="V9" s="461" t="str">
        <f>TEXT($D$8,0)&amp;" BUDGET Grown to "&amp;""&amp;TEXT($W$24, "mmm-yy")</f>
        <v>45199 BUDGET Grown to Sep-22</v>
      </c>
      <c r="W9" s="462"/>
      <c r="X9" s="463"/>
      <c r="Y9" s="98"/>
      <c r="Z9" s="454" t="s">
        <v>157</v>
      </c>
      <c r="AA9" s="455"/>
      <c r="AB9" s="456"/>
      <c r="AC9" s="99"/>
      <c r="AD9" s="99"/>
      <c r="AE9" s="98"/>
      <c r="AF9" s="98"/>
    </row>
    <row r="10" spans="3:40" s="98" customFormat="1" ht="24" x14ac:dyDescent="0.2">
      <c r="C10" s="90" t="str">
        <f>'3. GRI Pricing'!C5</f>
        <v>Bedroom</v>
      </c>
      <c r="D10" s="90" t="str">
        <f>'3. GRI Pricing'!D5</f>
        <v>Door Number</v>
      </c>
      <c r="E10" s="90" t="str">
        <f>'3. GRI Pricing'!E5</f>
        <v>Av. Size (sqft)</v>
      </c>
      <c r="G10" s="90" t="s">
        <v>158</v>
      </c>
      <c r="H10" s="90" t="s">
        <v>159</v>
      </c>
      <c r="I10" s="90" t="s">
        <v>160</v>
      </c>
      <c r="K10" s="68" t="s">
        <v>158</v>
      </c>
      <c r="L10" s="68" t="s">
        <v>159</v>
      </c>
      <c r="M10" s="68" t="s">
        <v>160</v>
      </c>
      <c r="O10" s="100" t="s">
        <v>161</v>
      </c>
      <c r="P10" s="101" t="s">
        <v>162</v>
      </c>
      <c r="Q10" s="102" t="s">
        <v>52</v>
      </c>
      <c r="R10" s="68" t="s">
        <v>158</v>
      </c>
      <c r="S10" s="68" t="s">
        <v>159</v>
      </c>
      <c r="T10" s="68" t="s">
        <v>160</v>
      </c>
      <c r="V10" s="68" t="s">
        <v>158</v>
      </c>
      <c r="W10" s="68" t="s">
        <v>159</v>
      </c>
      <c r="X10" s="68" t="s">
        <v>160</v>
      </c>
      <c r="Z10" s="68" t="s">
        <v>158</v>
      </c>
      <c r="AA10" s="68" t="s">
        <v>159</v>
      </c>
      <c r="AB10" s="68" t="s">
        <v>160</v>
      </c>
      <c r="AE10" s="103" t="str">
        <f>"Extract of latest valuation from"&amp;TEXT(D5,0)&amp;":"</f>
        <v>Extract of latest valuation fromCBRE:</v>
      </c>
      <c r="AF10" s="103"/>
      <c r="AG10" s="103"/>
      <c r="AH10" s="103"/>
      <c r="AI10" s="103"/>
      <c r="AJ10" s="103"/>
      <c r="AK10" s="103"/>
      <c r="AL10" s="103"/>
      <c r="AM10" s="103"/>
      <c r="AN10" s="103"/>
    </row>
    <row r="11" spans="3:40" s="30" customFormat="1" ht="12" x14ac:dyDescent="0.2">
      <c r="C11" s="77" t="str">
        <f>'1. Accomodation'!L9</f>
        <v>1 Bed</v>
      </c>
      <c r="D11" s="77">
        <f>'1. Accomodation'!M9</f>
        <v>78</v>
      </c>
      <c r="E11" s="77">
        <f>'1. Accomodation'!N9</f>
        <v>503.56410256410254</v>
      </c>
      <c r="G11" s="104">
        <v>867</v>
      </c>
      <c r="H11" s="273">
        <f>IFERROR(G11*12,"-")</f>
        <v>10404</v>
      </c>
      <c r="I11" s="273">
        <f>IFERROR(H11/$E11,"-")</f>
        <v>20.660726106217222</v>
      </c>
      <c r="J11" s="277"/>
      <c r="K11" s="273">
        <f ca="1">IFERROR(AVERAGEIF($D$26:$L$625,C11,$L$26:$L$625),0)</f>
        <v>867</v>
      </c>
      <c r="L11" s="273">
        <f ca="1">IFERROR(K11*12,"-")</f>
        <v>10404</v>
      </c>
      <c r="M11" s="273">
        <f ca="1">IFERROR(L11/$E11,"-")</f>
        <v>20.660726106217222</v>
      </c>
      <c r="N11" s="277"/>
      <c r="O11" s="343" t="str">
        <f t="shared" ref="O11:Q12" si="0">C11</f>
        <v>1 Bed</v>
      </c>
      <c r="P11" s="344">
        <f t="shared" si="0"/>
        <v>78</v>
      </c>
      <c r="Q11" s="345">
        <f t="shared" si="0"/>
        <v>503.56410256410254</v>
      </c>
      <c r="R11" s="341"/>
      <c r="S11" s="273">
        <f>IFERROR(R11*12,"-")</f>
        <v>0</v>
      </c>
      <c r="T11" s="273">
        <f>IFERROR(S11/$E11,"-")</f>
        <v>0</v>
      </c>
      <c r="U11" s="277"/>
      <c r="V11" s="273">
        <f ca="1">IFERROR(AVERAGEIF(C26:$X$625,C11,V25:$V$625),0)</f>
        <v>0</v>
      </c>
      <c r="W11" s="273">
        <f ca="1">IFERROR(V11*12,"-")</f>
        <v>0</v>
      </c>
      <c r="X11" s="273">
        <f t="shared" ref="X11:X15" ca="1" si="1">IFERROR(W11/$E11,"-")</f>
        <v>0</v>
      </c>
      <c r="Y11" s="346"/>
      <c r="Z11" s="273">
        <f ca="1">IFERROR(AVERAGEIF(D26:$AB$625,C11,$AA26:AA$625),0)</f>
        <v>999.80769230769226</v>
      </c>
      <c r="AA11" s="273">
        <f ca="1">IFERROR(Z11*12,"-")</f>
        <v>11997.692307692307</v>
      </c>
      <c r="AB11" s="273">
        <f t="shared" ref="AB11:AB15" ca="1" si="2">IFERROR(AA11/$E11,"-")</f>
        <v>23.825551199144559</v>
      </c>
      <c r="AC11" s="98"/>
      <c r="AD11" s="98"/>
      <c r="AE11" s="98"/>
      <c r="AF11" s="98"/>
    </row>
    <row r="12" spans="3:40" s="30" customFormat="1" ht="12" x14ac:dyDescent="0.2">
      <c r="C12" s="77" t="str">
        <f>'1. Accomodation'!L10</f>
        <v>2 Bed</v>
      </c>
      <c r="D12" s="77">
        <f>'1. Accomodation'!M10</f>
        <v>179</v>
      </c>
      <c r="E12" s="77">
        <f>'1. Accomodation'!N10</f>
        <v>652.34636871508383</v>
      </c>
      <c r="G12" s="104">
        <v>1166</v>
      </c>
      <c r="H12" s="273">
        <f t="shared" ref="H12:H15" si="3">IFERROR(G12*12,"-")</f>
        <v>13992</v>
      </c>
      <c r="I12" s="273">
        <f t="shared" ref="I12:I15" si="4">IFERROR(H12/$E12,"-")</f>
        <v>21.448728269247237</v>
      </c>
      <c r="J12" s="277"/>
      <c r="K12" s="273">
        <f t="shared" ref="K12:K15" ca="1" si="5">IFERROR(AVERAGEIF($D$26:$L$625,C12,$L$26:$L$625),0)</f>
        <v>1166</v>
      </c>
      <c r="L12" s="273">
        <f ca="1">IFERROR(K12*12,"-")</f>
        <v>13992</v>
      </c>
      <c r="M12" s="273">
        <f t="shared" ref="M12" ca="1" si="6">IFERROR(L12/$E12,"-")</f>
        <v>21.448728269247237</v>
      </c>
      <c r="N12" s="277"/>
      <c r="O12" s="347" t="str">
        <f t="shared" si="0"/>
        <v>2 Bed</v>
      </c>
      <c r="P12" s="348">
        <f t="shared" si="0"/>
        <v>179</v>
      </c>
      <c r="Q12" s="349">
        <f t="shared" si="0"/>
        <v>652.34636871508383</v>
      </c>
      <c r="R12" s="341"/>
      <c r="S12" s="273">
        <f t="shared" ref="S12" si="7">IFERROR(R12*12,"-")</f>
        <v>0</v>
      </c>
      <c r="T12" s="273">
        <f t="shared" ref="T12:T15" si="8">IFERROR(S12/$E12,"-")</f>
        <v>0</v>
      </c>
      <c r="U12" s="277"/>
      <c r="V12" s="273">
        <f ca="1">IFERROR(AVERAGEIF(C27:$X$625,C12,V26:$V$625),0)</f>
        <v>0</v>
      </c>
      <c r="W12" s="273">
        <f ca="1">IFERROR(V12*12,"-")</f>
        <v>0</v>
      </c>
      <c r="X12" s="273">
        <f t="shared" ca="1" si="1"/>
        <v>0</v>
      </c>
      <c r="Y12" s="278"/>
      <c r="Z12" s="273">
        <f ca="1">IFERROR(AVERAGEIF(D27:$AB$625,C12,$AA27:AA$625),0)</f>
        <v>1293.4357541899442</v>
      </c>
      <c r="AA12" s="273">
        <f ca="1">IFERROR(Z12*12,"-")</f>
        <v>15521.229050279329</v>
      </c>
      <c r="AB12" s="273">
        <f t="shared" ca="1" si="2"/>
        <v>23.792926265307869</v>
      </c>
    </row>
    <row r="13" spans="3:40" s="30" customFormat="1" ht="13.35" customHeight="1" outlineLevel="1" x14ac:dyDescent="0.2">
      <c r="C13" s="77" t="str">
        <f>'1. Accomodation'!L11</f>
        <v>3 Bed</v>
      </c>
      <c r="D13" s="77">
        <f>'1. Accomodation'!M11</f>
        <v>26</v>
      </c>
      <c r="E13" s="77">
        <f>'1. Accomodation'!N11</f>
        <v>823.19230769230774</v>
      </c>
      <c r="G13" s="104">
        <v>1511</v>
      </c>
      <c r="H13" s="273">
        <f t="shared" si="3"/>
        <v>18132</v>
      </c>
      <c r="I13" s="273">
        <f t="shared" si="4"/>
        <v>22.026444890903143</v>
      </c>
      <c r="J13" s="277"/>
      <c r="K13" s="273">
        <f t="shared" ca="1" si="5"/>
        <v>1511</v>
      </c>
      <c r="L13" s="273">
        <f t="shared" ref="L13:L15" ca="1" si="9">IFERROR(K13*12,"-")</f>
        <v>18132</v>
      </c>
      <c r="M13" s="273">
        <f t="shared" ref="M13:M15" ca="1" si="10">IFERROR(L13/$E13,"-")</f>
        <v>22.026444890903143</v>
      </c>
      <c r="N13" s="277"/>
      <c r="O13" s="347" t="str">
        <f t="shared" ref="O13:O15" si="11">C13</f>
        <v>3 Bed</v>
      </c>
      <c r="P13" s="348">
        <f t="shared" ref="P13:P15" si="12">D13</f>
        <v>26</v>
      </c>
      <c r="Q13" s="349">
        <f t="shared" ref="Q13:Q15" si="13">E13</f>
        <v>823.19230769230774</v>
      </c>
      <c r="R13" s="341"/>
      <c r="S13" s="273">
        <f t="shared" ref="S13:S15" si="14">IFERROR(R13*12,"-")</f>
        <v>0</v>
      </c>
      <c r="T13" s="273">
        <f t="shared" si="8"/>
        <v>0</v>
      </c>
      <c r="U13" s="277"/>
      <c r="V13" s="273">
        <f ca="1">IFERROR(AVERAGEIF(C28:$X$625,C13,V27:$V$625),0)</f>
        <v>0</v>
      </c>
      <c r="W13" s="273">
        <f t="shared" ref="W13:W15" ca="1" si="15">IFERROR(V13*12,"-")</f>
        <v>0</v>
      </c>
      <c r="X13" s="273">
        <f t="shared" ca="1" si="1"/>
        <v>0</v>
      </c>
      <c r="Y13" s="278"/>
      <c r="Z13" s="273">
        <f ca="1">IFERROR(AVERAGEIF(D28:$AB$625,C13,$AA28:AA$625),0)</f>
        <v>1698.6538461538462</v>
      </c>
      <c r="AA13" s="273">
        <f t="shared" ref="AA13:AA15" ca="1" si="16">IFERROR(Z13*12,"-")</f>
        <v>20383.846153846156</v>
      </c>
      <c r="AB13" s="273">
        <f t="shared" ca="1" si="2"/>
        <v>24.761949259449612</v>
      </c>
    </row>
    <row r="14" spans="3:40" s="30" customFormat="1" ht="13.35" customHeight="1" outlineLevel="1" x14ac:dyDescent="0.2">
      <c r="C14" s="77">
        <f>'1. Accomodation'!L12</f>
        <v>0</v>
      </c>
      <c r="D14" s="77">
        <f>'1. Accomodation'!M12</f>
        <v>0</v>
      </c>
      <c r="E14" s="77" t="str">
        <f>'1. Accomodation'!N12</f>
        <v>-</v>
      </c>
      <c r="G14" s="341"/>
      <c r="H14" s="273">
        <f t="shared" si="3"/>
        <v>0</v>
      </c>
      <c r="I14" s="273" t="str">
        <f t="shared" si="4"/>
        <v>-</v>
      </c>
      <c r="J14" s="277"/>
      <c r="K14" s="273">
        <f t="shared" ca="1" si="5"/>
        <v>0</v>
      </c>
      <c r="L14" s="273">
        <f t="shared" ca="1" si="9"/>
        <v>0</v>
      </c>
      <c r="M14" s="273" t="str">
        <f t="shared" ca="1" si="10"/>
        <v>-</v>
      </c>
      <c r="N14" s="277"/>
      <c r="O14" s="347">
        <f t="shared" si="11"/>
        <v>0</v>
      </c>
      <c r="P14" s="348">
        <f t="shared" si="12"/>
        <v>0</v>
      </c>
      <c r="Q14" s="349" t="str">
        <f t="shared" si="13"/>
        <v>-</v>
      </c>
      <c r="R14" s="341"/>
      <c r="S14" s="273">
        <f t="shared" si="14"/>
        <v>0</v>
      </c>
      <c r="T14" s="273" t="str">
        <f t="shared" si="8"/>
        <v>-</v>
      </c>
      <c r="U14" s="277"/>
      <c r="V14" s="273">
        <f ca="1">IFERROR(AVERAGEIF(C29:$X$625,C14,V28:$V$625),0)</f>
        <v>14.394321766561514</v>
      </c>
      <c r="W14" s="273">
        <f t="shared" ca="1" si="15"/>
        <v>172.73186119873816</v>
      </c>
      <c r="X14" s="273" t="str">
        <f t="shared" ca="1" si="1"/>
        <v>-</v>
      </c>
      <c r="Y14" s="278"/>
      <c r="Z14" s="273">
        <f ca="1">IFERROR(AVERAGEIF(D29:$AB$625,C14,$AA29:AA$625),0)</f>
        <v>0</v>
      </c>
      <c r="AA14" s="273">
        <f t="shared" ca="1" si="16"/>
        <v>0</v>
      </c>
      <c r="AB14" s="273" t="str">
        <f t="shared" ca="1" si="2"/>
        <v>-</v>
      </c>
    </row>
    <row r="15" spans="3:40" s="30" customFormat="1" ht="13.35" customHeight="1" outlineLevel="1" x14ac:dyDescent="0.2">
      <c r="C15" s="77">
        <f>'1. Accomodation'!L13</f>
        <v>0</v>
      </c>
      <c r="D15" s="77">
        <f>'1. Accomodation'!M13</f>
        <v>0</v>
      </c>
      <c r="E15" s="77" t="str">
        <f>'1. Accomodation'!N13</f>
        <v>-</v>
      </c>
      <c r="G15" s="341"/>
      <c r="H15" s="273">
        <f t="shared" si="3"/>
        <v>0</v>
      </c>
      <c r="I15" s="273" t="str">
        <f t="shared" si="4"/>
        <v>-</v>
      </c>
      <c r="J15" s="277"/>
      <c r="K15" s="273">
        <f t="shared" ca="1" si="5"/>
        <v>0</v>
      </c>
      <c r="L15" s="273">
        <f t="shared" ca="1" si="9"/>
        <v>0</v>
      </c>
      <c r="M15" s="273" t="str">
        <f t="shared" ca="1" si="10"/>
        <v>-</v>
      </c>
      <c r="N15" s="277"/>
      <c r="O15" s="347">
        <f t="shared" si="11"/>
        <v>0</v>
      </c>
      <c r="P15" s="348">
        <f t="shared" si="12"/>
        <v>0</v>
      </c>
      <c r="Q15" s="349" t="str">
        <f t="shared" si="13"/>
        <v>-</v>
      </c>
      <c r="R15" s="341"/>
      <c r="S15" s="273">
        <f t="shared" si="14"/>
        <v>0</v>
      </c>
      <c r="T15" s="273" t="str">
        <f t="shared" si="8"/>
        <v>-</v>
      </c>
      <c r="U15" s="277"/>
      <c r="V15" s="273">
        <f ca="1">IFERROR(AVERAGEIF(C30:$X$625,C15,V29:$V$625),0)</f>
        <v>14.394321766561514</v>
      </c>
      <c r="W15" s="273">
        <f t="shared" ca="1" si="15"/>
        <v>172.73186119873816</v>
      </c>
      <c r="X15" s="273" t="str">
        <f t="shared" ca="1" si="1"/>
        <v>-</v>
      </c>
      <c r="Y15" s="278"/>
      <c r="Z15" s="273">
        <f ca="1">IFERROR(AVERAGEIF(D30:$AB$625,C15,$AA30:AA$625),0)</f>
        <v>0</v>
      </c>
      <c r="AA15" s="273">
        <f t="shared" ca="1" si="16"/>
        <v>0</v>
      </c>
      <c r="AB15" s="273" t="str">
        <f t="shared" ca="1" si="2"/>
        <v>-</v>
      </c>
    </row>
    <row r="16" spans="3:40" s="30" customFormat="1" ht="13.35" customHeight="1" outlineLevel="1" x14ac:dyDescent="0.2">
      <c r="C16" s="77">
        <f>'1. Accomodation'!L14</f>
        <v>0</v>
      </c>
      <c r="D16" s="77">
        <f>'1. Accomodation'!M14</f>
        <v>0</v>
      </c>
      <c r="E16" s="77" t="str">
        <f>'1. Accomodation'!N14</f>
        <v>-</v>
      </c>
      <c r="G16" s="341"/>
      <c r="H16" s="273">
        <f t="shared" ref="H16" si="17">IFERROR(G16*12,"-")</f>
        <v>0</v>
      </c>
      <c r="I16" s="273" t="str">
        <f t="shared" ref="I16" si="18">IFERROR(H16/$E16,"-")</f>
        <v>-</v>
      </c>
      <c r="J16" s="277"/>
      <c r="K16" s="273">
        <f t="shared" ref="K16" ca="1" si="19">IFERROR(AVERAGEIF($D$26:$L$625,C16,$L$26:$L$625),0)</f>
        <v>0</v>
      </c>
      <c r="L16" s="273">
        <f t="shared" ref="L16" ca="1" si="20">IFERROR(K16*12,"-")</f>
        <v>0</v>
      </c>
      <c r="M16" s="273" t="str">
        <f t="shared" ref="M16" ca="1" si="21">IFERROR(L16/$E16,"-")</f>
        <v>-</v>
      </c>
      <c r="N16" s="277"/>
      <c r="O16" s="347">
        <f t="shared" ref="O16" si="22">C16</f>
        <v>0</v>
      </c>
      <c r="P16" s="348">
        <f t="shared" ref="P16" si="23">D16</f>
        <v>0</v>
      </c>
      <c r="Q16" s="349" t="str">
        <f t="shared" ref="Q16" si="24">E16</f>
        <v>-</v>
      </c>
      <c r="R16" s="341"/>
      <c r="S16" s="273">
        <f t="shared" ref="S16" si="25">IFERROR(R16*12,"-")</f>
        <v>0</v>
      </c>
      <c r="T16" s="273" t="str">
        <f t="shared" ref="T16" si="26">IFERROR(S16/$E16,"-")</f>
        <v>-</v>
      </c>
      <c r="U16" s="277"/>
      <c r="V16" s="273">
        <f ca="1">IFERROR(AVERAGEIF(C31:$X$625,C16,V30:$V$625),0)</f>
        <v>14.394321766561514</v>
      </c>
      <c r="W16" s="273">
        <f t="shared" ref="W16" ca="1" si="27">IFERROR(V16*12,"-")</f>
        <v>172.73186119873816</v>
      </c>
      <c r="X16" s="273" t="str">
        <f t="shared" ref="X16" ca="1" si="28">IFERROR(W16/$E16,"-")</f>
        <v>-</v>
      </c>
      <c r="Y16" s="278"/>
      <c r="Z16" s="273">
        <f ca="1">IFERROR(AVERAGEIF(D31:$AB$625,C16,$AA31:AA$625),0)</f>
        <v>0</v>
      </c>
      <c r="AA16" s="273">
        <f t="shared" ref="AA16" ca="1" si="29">IFERROR(Z16*12,"-")</f>
        <v>0</v>
      </c>
      <c r="AB16" s="273" t="str">
        <f t="shared" ref="AB16" ca="1" si="30">IFERROR(AA16/$E16,"-")</f>
        <v>-</v>
      </c>
    </row>
    <row r="17" spans="3:28" s="30" customFormat="1" ht="12" x14ac:dyDescent="0.2">
      <c r="C17" s="106" t="s">
        <v>148</v>
      </c>
      <c r="D17" s="106">
        <f>'1. Accomodation'!M15</f>
        <v>283</v>
      </c>
      <c r="E17" s="106">
        <f>'1. Accomodation'!N15</f>
        <v>627.03533568904595</v>
      </c>
      <c r="G17" s="342"/>
      <c r="H17" s="350">
        <f>IFERROR(G17*12,"-")</f>
        <v>0</v>
      </c>
      <c r="I17" s="350">
        <f>IFERROR(H17/E17,"-")</f>
        <v>0</v>
      </c>
      <c r="J17" s="277"/>
      <c r="K17" s="350">
        <f>L17/12</f>
        <v>1115.2862190812721</v>
      </c>
      <c r="L17" s="350">
        <f>IFERROR(K627/D17,0)</f>
        <v>13383.434628975265</v>
      </c>
      <c r="M17" s="350">
        <f t="shared" ref="M17" si="31">IFERROR(L17/E17,"-")</f>
        <v>21.343987917791388</v>
      </c>
      <c r="N17" s="277"/>
      <c r="O17" s="351" t="s">
        <v>148</v>
      </c>
      <c r="P17" s="352">
        <f>D17</f>
        <v>283</v>
      </c>
      <c r="Q17" s="353">
        <f>E17</f>
        <v>627.03533568904595</v>
      </c>
      <c r="R17" s="342"/>
      <c r="S17" s="350">
        <f>IFERROR(R627/K17,0)</f>
        <v>0</v>
      </c>
      <c r="T17" s="350">
        <f>IFERROR(S17/$E$17,"-")</f>
        <v>0</v>
      </c>
      <c r="U17" s="277"/>
      <c r="V17" s="350">
        <f>W17/12</f>
        <v>0</v>
      </c>
      <c r="W17" s="350">
        <f>IFERROR(V627/P17,0)</f>
        <v>0</v>
      </c>
      <c r="X17" s="350">
        <f>IFERROR(W17/$E$17,"-")</f>
        <v>0</v>
      </c>
      <c r="Y17" s="278"/>
      <c r="Z17" s="350">
        <f>AA17/12</f>
        <v>1249.7349823321554</v>
      </c>
      <c r="AA17" s="350">
        <f>IFERROR(Z627/D17,0)</f>
        <v>14996.819787985865</v>
      </c>
      <c r="AB17" s="350">
        <f>IFERROR(AA17/$E$17,"-")</f>
        <v>23.917024981544198</v>
      </c>
    </row>
    <row r="18" spans="3:28" s="30" customFormat="1" ht="12" x14ac:dyDescent="0.2">
      <c r="C18" s="77" t="str">
        <f>'1. Accomodation'!L16</f>
        <v>Car Park</v>
      </c>
      <c r="D18" s="77">
        <f>'1. Accomodation'!M16</f>
        <v>0</v>
      </c>
      <c r="E18" s="107"/>
      <c r="G18" s="341"/>
      <c r="H18" s="350">
        <f>G18*12</f>
        <v>0</v>
      </c>
      <c r="I18" s="354"/>
      <c r="J18" s="277"/>
      <c r="K18" s="273">
        <f>G18*(1+$H$7)^((L$24-K$24)/365)</f>
        <v>0</v>
      </c>
      <c r="L18" s="273">
        <f>K18*12</f>
        <v>0</v>
      </c>
      <c r="M18" s="354"/>
      <c r="N18" s="277"/>
      <c r="O18" s="351" t="s">
        <v>148</v>
      </c>
      <c r="P18" s="352">
        <f>D18</f>
        <v>0</v>
      </c>
      <c r="Q18" s="353">
        <f>E18</f>
        <v>0</v>
      </c>
      <c r="R18" s="341"/>
      <c r="S18" s="350">
        <f>R18*12</f>
        <v>0</v>
      </c>
      <c r="T18" s="354"/>
      <c r="U18" s="277"/>
      <c r="V18" s="273">
        <f>R18*(1+'2. GRI Pricing Inputs'!$F$114)^((W$24-V$24)/365)</f>
        <v>0</v>
      </c>
      <c r="W18" s="273">
        <f>V18*12</f>
        <v>0</v>
      </c>
      <c r="X18" s="354"/>
      <c r="Y18" s="278"/>
      <c r="Z18" s="273">
        <f>V18*(1+'2. GRI Pricing Inputs'!$F$114)^((AA$24-Z$24)/365)</f>
        <v>0</v>
      </c>
      <c r="AA18" s="273">
        <f>Z18*12</f>
        <v>0</v>
      </c>
      <c r="AB18" s="354"/>
    </row>
    <row r="19" spans="3:28" s="30" customFormat="1" ht="12" x14ac:dyDescent="0.2">
      <c r="K19" s="31"/>
      <c r="L19" s="31"/>
      <c r="M19" s="31"/>
    </row>
    <row r="20" spans="3:28" s="30" customFormat="1" ht="12" x14ac:dyDescent="0.2">
      <c r="C20" s="158" t="s">
        <v>163</v>
      </c>
      <c r="D20" s="159"/>
      <c r="E20" s="159"/>
      <c r="F20" s="159"/>
      <c r="G20" s="159"/>
      <c r="H20" s="159"/>
      <c r="I20" s="159"/>
      <c r="J20" s="158"/>
      <c r="K20" s="310"/>
      <c r="L20" s="311"/>
      <c r="M20" s="311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</row>
    <row r="21" spans="3:28" s="30" customFormat="1" ht="12" x14ac:dyDescent="0.2">
      <c r="K21" s="31"/>
      <c r="L21" s="31"/>
      <c r="M21" s="31"/>
    </row>
    <row r="22" spans="3:28" s="30" customFormat="1" ht="13.35" customHeight="1" x14ac:dyDescent="0.2">
      <c r="G22" s="458" t="str">
        <f>G9</f>
        <v>CBRE Sep-23</v>
      </c>
      <c r="H22" s="459"/>
      <c r="I22" s="460"/>
      <c r="K22" s="451" t="str">
        <f>K9</f>
        <v>CBRE Grown to Sep-23</v>
      </c>
      <c r="L22" s="452"/>
      <c r="M22" s="453"/>
      <c r="R22" s="458" t="str">
        <f>R9</f>
        <v>45199 BUDGET</v>
      </c>
      <c r="S22" s="459"/>
      <c r="T22" s="460"/>
      <c r="V22" s="451" t="str">
        <f>V9</f>
        <v>45199 BUDGET Grown to Sep-22</v>
      </c>
      <c r="W22" s="452"/>
      <c r="X22" s="453"/>
      <c r="Z22" s="451" t="str">
        <f>Z9</f>
        <v>LAUNCH RENTS (MONTH, YEAR)</v>
      </c>
      <c r="AA22" s="452"/>
      <c r="AB22" s="453"/>
    </row>
    <row r="23" spans="3:28" s="30" customFormat="1" ht="12" x14ac:dyDescent="0.2">
      <c r="G23" s="457"/>
      <c r="H23" s="457"/>
      <c r="I23" s="457"/>
      <c r="K23" s="15" t="s">
        <v>164</v>
      </c>
      <c r="L23" s="15" t="s">
        <v>165</v>
      </c>
      <c r="M23" s="15" t="s">
        <v>166</v>
      </c>
      <c r="N23" s="160"/>
      <c r="O23" s="160"/>
      <c r="P23" s="160"/>
      <c r="Q23" s="160"/>
      <c r="R23" s="457"/>
      <c r="S23" s="457"/>
      <c r="T23" s="457"/>
      <c r="V23" s="15" t="s">
        <v>164</v>
      </c>
      <c r="W23" s="15" t="s">
        <v>165</v>
      </c>
      <c r="X23" s="15" t="s">
        <v>166</v>
      </c>
      <c r="Z23" s="457"/>
      <c r="AA23" s="457"/>
      <c r="AB23" s="457"/>
    </row>
    <row r="24" spans="3:28" s="30" customFormat="1" ht="12" x14ac:dyDescent="0.2">
      <c r="G24" s="457"/>
      <c r="H24" s="457"/>
      <c r="I24" s="457"/>
      <c r="K24" s="154">
        <f>$D$7</f>
        <v>45199</v>
      </c>
      <c r="L24" s="154">
        <f>D6</f>
        <v>45199</v>
      </c>
      <c r="M24" s="304">
        <f>H7</f>
        <v>0.03</v>
      </c>
      <c r="N24" s="160"/>
      <c r="O24" s="160"/>
      <c r="P24" s="160"/>
      <c r="Q24" s="160"/>
      <c r="R24" s="457"/>
      <c r="S24" s="457"/>
      <c r="T24" s="457"/>
      <c r="V24" s="154">
        <f>D7</f>
        <v>45199</v>
      </c>
      <c r="W24" s="154">
        <v>44834</v>
      </c>
      <c r="X24" s="304">
        <f>$W$7</f>
        <v>0.03</v>
      </c>
      <c r="Z24" s="457"/>
      <c r="AA24" s="457"/>
      <c r="AB24" s="457"/>
    </row>
    <row r="25" spans="3:28" s="30" customFormat="1" ht="24" x14ac:dyDescent="0.2">
      <c r="C25" s="68" t="str">
        <f>D10</f>
        <v>Door Number</v>
      </c>
      <c r="D25" s="68" t="str">
        <f>C10</f>
        <v>Bedroom</v>
      </c>
      <c r="E25" s="68" t="str">
        <f>E10</f>
        <v>Av. Size (sqft)</v>
      </c>
      <c r="G25" s="131" t="s">
        <v>159</v>
      </c>
      <c r="H25" s="131" t="s">
        <v>158</v>
      </c>
      <c r="I25" s="131" t="s">
        <v>160</v>
      </c>
      <c r="J25" s="161"/>
      <c r="K25" s="68" t="s">
        <v>159</v>
      </c>
      <c r="L25" s="68" t="s">
        <v>158</v>
      </c>
      <c r="M25" s="68" t="s">
        <v>160</v>
      </c>
      <c r="R25" s="68" t="s">
        <v>159</v>
      </c>
      <c r="S25" s="68" t="s">
        <v>158</v>
      </c>
      <c r="T25" s="68" t="s">
        <v>160</v>
      </c>
      <c r="V25" s="68" t="s">
        <v>159</v>
      </c>
      <c r="W25" s="68" t="s">
        <v>158</v>
      </c>
      <c r="X25" s="68" t="s">
        <v>160</v>
      </c>
      <c r="Z25" s="68" t="s">
        <v>159</v>
      </c>
      <c r="AA25" s="68" t="s">
        <v>158</v>
      </c>
      <c r="AB25" s="68" t="s">
        <v>160</v>
      </c>
    </row>
    <row r="26" spans="3:28" s="30" customFormat="1" ht="12" x14ac:dyDescent="0.2">
      <c r="C26" s="77" t="str">
        <f>'1. Accomodation'!N21</f>
        <v>101N</v>
      </c>
      <c r="D26" s="77" t="str">
        <f>'1. Accomodation'!P21</f>
        <v>1 Bed</v>
      </c>
      <c r="E26" s="77">
        <f>'1. Accomodation'!O21</f>
        <v>484</v>
      </c>
      <c r="G26" s="341">
        <v>11340</v>
      </c>
      <c r="H26" s="273">
        <f>IFERROR(INDEX('4. Valuation'!$C$10:$I$17,MATCH($D26,'4. Valuation'!$C$10:$C$17,0),MATCH($H$25,'4. Valuation'!$C$10:$I$10,0)),0)</f>
        <v>867</v>
      </c>
      <c r="I26" s="273">
        <f>IFERROR(INDEX('4. Valuation'!$C$10:$I$17,MATCH($D26,'4. Valuation'!$C$10:$C$17,0),MATCH($I$25,'4. Valuation'!$C$10:$I$10,0)),0)</f>
        <v>20.660726106217222</v>
      </c>
      <c r="J26" s="277"/>
      <c r="K26" s="312">
        <f>L26*12</f>
        <v>10404</v>
      </c>
      <c r="L26" s="312">
        <f t="shared" ref="L26" si="32">H26*(1+$M$24)^((L$24-K$24)/365)</f>
        <v>867</v>
      </c>
      <c r="M26" s="312">
        <f t="shared" ref="M26" si="33">IFERROR(K26/E26,0)</f>
        <v>21.495867768595041</v>
      </c>
      <c r="N26" s="278"/>
      <c r="O26" s="278"/>
      <c r="P26" s="278"/>
      <c r="Q26" s="278"/>
      <c r="R26" s="312">
        <f>IFERROR(INDEX('4. Valuation'!$O$10:$X$17,MATCH($D26,'4. Valuation'!$O$10:$O$17,0),MATCH($R$25,'4. Valuation'!$O$10:$X$10,0)),0)</f>
        <v>0</v>
      </c>
      <c r="S26" s="312">
        <f>IFERROR(INDEX('4. Valuation'!$O$10:$X$17,MATCH($D26,'4. Valuation'!$O$10:$O$17,0),MATCH($S$25,'4. Valuation'!$O$10:$X$10,0)),0)</f>
        <v>0</v>
      </c>
      <c r="T26" s="312">
        <f>IFERROR(INDEX('4. Valuation'!$O$10:$X$17,MATCH($D26,'4. Valuation'!$O$10:$O$17,0),MATCH($T$25,'4. Valuation'!$O$10:$X$10,0)),0)</f>
        <v>0</v>
      </c>
      <c r="U26" s="278"/>
      <c r="V26" s="312">
        <f>W26*12</f>
        <v>0</v>
      </c>
      <c r="W26" s="312">
        <f>S26*(1+$M$24)^((W$24-V$24)/365)</f>
        <v>0</v>
      </c>
      <c r="X26" s="312">
        <f t="shared" ref="X26" si="34">IFERROR(V26/E26,0)</f>
        <v>0</v>
      </c>
      <c r="Y26" s="278"/>
      <c r="Z26" s="312">
        <f>AA26*12</f>
        <v>11640</v>
      </c>
      <c r="AA26" s="312">
        <f>'3. GRI Pricing'!Y17</f>
        <v>970</v>
      </c>
      <c r="AB26" s="359">
        <f>IFERROR(Z26/E26,0)</f>
        <v>24.049586776859503</v>
      </c>
    </row>
    <row r="27" spans="3:28" s="30" customFormat="1" ht="12" x14ac:dyDescent="0.2">
      <c r="C27" s="77" t="str">
        <f>'1. Accomodation'!N22</f>
        <v>102N</v>
      </c>
      <c r="D27" s="77" t="str">
        <f>'1. Accomodation'!P22</f>
        <v>2 Bed</v>
      </c>
      <c r="E27" s="77">
        <f>'1. Accomodation'!O22</f>
        <v>678</v>
      </c>
      <c r="G27" s="341">
        <v>15900</v>
      </c>
      <c r="H27" s="273">
        <f>IFERROR(INDEX('4. Valuation'!$C$10:$I$17,MATCH($D27,'4. Valuation'!$C$10:$C$17,0),MATCH($H$25,'4. Valuation'!$C$10:$I$10,0)),0)</f>
        <v>1166</v>
      </c>
      <c r="I27" s="273">
        <f>IFERROR(INDEX('4. Valuation'!$C$10:$I$17,MATCH($D27,'4. Valuation'!$C$10:$C$17,0),MATCH($I$25,'4. Valuation'!$C$10:$I$10,0)),0)</f>
        <v>21.448728269247237</v>
      </c>
      <c r="J27" s="277"/>
      <c r="K27" s="312">
        <f t="shared" ref="K27:K90" si="35">L27*12</f>
        <v>13992</v>
      </c>
      <c r="L27" s="312">
        <f t="shared" ref="L27:L90" si="36">H27*(1+$M$24)^((L$24-K$24)/365)</f>
        <v>1166</v>
      </c>
      <c r="M27" s="312">
        <f t="shared" ref="M27:M90" si="37">IFERROR(K27/E27,0)</f>
        <v>20.63716814159292</v>
      </c>
      <c r="N27" s="278"/>
      <c r="O27" s="278"/>
      <c r="P27" s="278"/>
      <c r="Q27" s="278"/>
      <c r="R27" s="312">
        <f>IFERROR(INDEX('4. Valuation'!$O$10:$X$17,MATCH($D27,'4. Valuation'!$O$10:$O$17,0),MATCH($R$25,'4. Valuation'!$O$10:$X$10,0)),0)</f>
        <v>0</v>
      </c>
      <c r="S27" s="312">
        <f>IFERROR(INDEX('4. Valuation'!$O$10:$X$17,MATCH($D27,'4. Valuation'!$O$10:$O$17,0),MATCH($S$25,'4. Valuation'!$O$10:$X$10,0)),0)</f>
        <v>0</v>
      </c>
      <c r="T27" s="312">
        <f>IFERROR(INDEX('4. Valuation'!$O$10:$X$17,MATCH($D27,'4. Valuation'!$O$10:$O$17,0),MATCH($T$25,'4. Valuation'!$O$10:$X$10,0)),0)</f>
        <v>0</v>
      </c>
      <c r="U27" s="278"/>
      <c r="V27" s="312">
        <f t="shared" ref="V27:V90" si="38">W27*12</f>
        <v>0</v>
      </c>
      <c r="W27" s="312">
        <f t="shared" ref="W27:W90" si="39">S27*(1+$M$24)^((W$24-V$24)/365)</f>
        <v>0</v>
      </c>
      <c r="X27" s="312">
        <f t="shared" ref="X27:X90" si="40">IFERROR(V27/E27,0)</f>
        <v>0</v>
      </c>
      <c r="Y27" s="278"/>
      <c r="Z27" s="312">
        <f t="shared" ref="Z27:Z90" si="41">AA27*12</f>
        <v>15180</v>
      </c>
      <c r="AA27" s="312">
        <f>'3. GRI Pricing'!Y18</f>
        <v>1265</v>
      </c>
      <c r="AB27" s="359">
        <f t="shared" ref="AB27:AB90" si="42">IFERROR(Z27/E27,0)</f>
        <v>22.389380530973451</v>
      </c>
    </row>
    <row r="28" spans="3:28" s="30" customFormat="1" ht="12" x14ac:dyDescent="0.2">
      <c r="C28" s="77" t="str">
        <f>'1. Accomodation'!N23</f>
        <v>103N</v>
      </c>
      <c r="D28" s="77" t="str">
        <f>'1. Accomodation'!P23</f>
        <v>2 Bed</v>
      </c>
      <c r="E28" s="77">
        <f>'1. Accomodation'!O23</f>
        <v>657</v>
      </c>
      <c r="G28" s="341">
        <v>13980</v>
      </c>
      <c r="H28" s="273">
        <f>IFERROR(INDEX('4. Valuation'!$C$10:$I$17,MATCH($D28,'4. Valuation'!$C$10:$C$17,0),MATCH($H$25,'4. Valuation'!$C$10:$I$10,0)),0)</f>
        <v>1166</v>
      </c>
      <c r="I28" s="273">
        <f>IFERROR(INDEX('4. Valuation'!$C$10:$I$17,MATCH($D28,'4. Valuation'!$C$10:$C$17,0),MATCH($I$25,'4. Valuation'!$C$10:$I$10,0)),0)</f>
        <v>21.448728269247237</v>
      </c>
      <c r="J28" s="277"/>
      <c r="K28" s="312">
        <f t="shared" si="35"/>
        <v>13992</v>
      </c>
      <c r="L28" s="312">
        <f t="shared" si="36"/>
        <v>1166</v>
      </c>
      <c r="M28" s="312">
        <f t="shared" si="37"/>
        <v>21.296803652968038</v>
      </c>
      <c r="N28" s="278"/>
      <c r="O28" s="278"/>
      <c r="P28" s="278"/>
      <c r="Q28" s="278"/>
      <c r="R28" s="312">
        <f>IFERROR(INDEX('4. Valuation'!$O$10:$X$17,MATCH($D28,'4. Valuation'!$O$10:$O$17,0),MATCH($R$25,'4. Valuation'!$O$10:$X$10,0)),0)</f>
        <v>0</v>
      </c>
      <c r="S28" s="312">
        <f>IFERROR(INDEX('4. Valuation'!$O$10:$X$17,MATCH($D28,'4. Valuation'!$O$10:$O$17,0),MATCH($S$25,'4. Valuation'!$O$10:$X$10,0)),0)</f>
        <v>0</v>
      </c>
      <c r="T28" s="312">
        <f>IFERROR(INDEX('4. Valuation'!$O$10:$X$17,MATCH($D28,'4. Valuation'!$O$10:$O$17,0),MATCH($T$25,'4. Valuation'!$O$10:$X$10,0)),0)</f>
        <v>0</v>
      </c>
      <c r="U28" s="278"/>
      <c r="V28" s="312">
        <f t="shared" si="38"/>
        <v>0</v>
      </c>
      <c r="W28" s="312">
        <f t="shared" si="39"/>
        <v>0</v>
      </c>
      <c r="X28" s="312">
        <f t="shared" si="40"/>
        <v>0</v>
      </c>
      <c r="Y28" s="278"/>
      <c r="Z28" s="312">
        <f t="shared" si="41"/>
        <v>14700</v>
      </c>
      <c r="AA28" s="312">
        <f>'3. GRI Pricing'!Y19</f>
        <v>1225</v>
      </c>
      <c r="AB28" s="359">
        <f t="shared" si="42"/>
        <v>22.374429223744293</v>
      </c>
    </row>
    <row r="29" spans="3:28" s="30" customFormat="1" ht="12" x14ac:dyDescent="0.2">
      <c r="C29" s="77" t="str">
        <f>'1. Accomodation'!N24</f>
        <v>104N</v>
      </c>
      <c r="D29" s="77" t="str">
        <f>'1. Accomodation'!P24</f>
        <v>3 Bed</v>
      </c>
      <c r="E29" s="77">
        <f>'1. Accomodation'!O24</f>
        <v>818</v>
      </c>
      <c r="G29" s="341">
        <v>19260</v>
      </c>
      <c r="H29" s="273">
        <f>IFERROR(INDEX('4. Valuation'!$C$10:$I$17,MATCH($D29,'4. Valuation'!$C$10:$C$17,0),MATCH($H$25,'4. Valuation'!$C$10:$I$10,0)),0)</f>
        <v>1511</v>
      </c>
      <c r="I29" s="273">
        <f>IFERROR(INDEX('4. Valuation'!$C$10:$I$17,MATCH($D29,'4. Valuation'!$C$10:$C$17,0),MATCH($I$25,'4. Valuation'!$C$10:$I$10,0)),0)</f>
        <v>22.026444890903143</v>
      </c>
      <c r="J29" s="277"/>
      <c r="K29" s="312">
        <f t="shared" si="35"/>
        <v>18132</v>
      </c>
      <c r="L29" s="312">
        <f t="shared" si="36"/>
        <v>1511</v>
      </c>
      <c r="M29" s="312">
        <f t="shared" si="37"/>
        <v>22.166259168704155</v>
      </c>
      <c r="N29" s="278"/>
      <c r="O29" s="278"/>
      <c r="P29" s="278"/>
      <c r="Q29" s="278"/>
      <c r="R29" s="312">
        <f>IFERROR(INDEX('4. Valuation'!$O$10:$X$17,MATCH($D29,'4. Valuation'!$O$10:$O$17,0),MATCH($R$25,'4. Valuation'!$O$10:$X$10,0)),0)</f>
        <v>0</v>
      </c>
      <c r="S29" s="312">
        <f>IFERROR(INDEX('4. Valuation'!$O$10:$X$17,MATCH($D29,'4. Valuation'!$O$10:$O$17,0),MATCH($S$25,'4. Valuation'!$O$10:$X$10,0)),0)</f>
        <v>0</v>
      </c>
      <c r="T29" s="312">
        <f>IFERROR(INDEX('4. Valuation'!$O$10:$X$17,MATCH($D29,'4. Valuation'!$O$10:$O$17,0),MATCH($T$25,'4. Valuation'!$O$10:$X$10,0)),0)</f>
        <v>0</v>
      </c>
      <c r="U29" s="278"/>
      <c r="V29" s="312">
        <f t="shared" si="38"/>
        <v>0</v>
      </c>
      <c r="W29" s="312">
        <f t="shared" si="39"/>
        <v>0</v>
      </c>
      <c r="X29" s="312">
        <f t="shared" si="40"/>
        <v>0</v>
      </c>
      <c r="Y29" s="278"/>
      <c r="Z29" s="312">
        <f t="shared" si="41"/>
        <v>19740</v>
      </c>
      <c r="AA29" s="312">
        <f>'3. GRI Pricing'!Y20</f>
        <v>1645</v>
      </c>
      <c r="AB29" s="359">
        <f t="shared" si="42"/>
        <v>24.1320293398533</v>
      </c>
    </row>
    <row r="30" spans="3:28" s="30" customFormat="1" ht="12" x14ac:dyDescent="0.2">
      <c r="C30" s="77" t="str">
        <f>'1. Accomodation'!N25</f>
        <v>105N</v>
      </c>
      <c r="D30" s="77" t="str">
        <f>'1. Accomodation'!P25</f>
        <v>2 Bed</v>
      </c>
      <c r="E30" s="77">
        <f>'1. Accomodation'!O25</f>
        <v>667</v>
      </c>
      <c r="G30" s="341">
        <v>15240</v>
      </c>
      <c r="H30" s="273">
        <f>IFERROR(INDEX('4. Valuation'!$C$10:$I$17,MATCH($D30,'4. Valuation'!$C$10:$C$17,0),MATCH($H$25,'4. Valuation'!$C$10:$I$10,0)),0)</f>
        <v>1166</v>
      </c>
      <c r="I30" s="273">
        <f>IFERROR(INDEX('4. Valuation'!$C$10:$I$17,MATCH($D30,'4. Valuation'!$C$10:$C$17,0),MATCH($I$25,'4. Valuation'!$C$10:$I$10,0)),0)</f>
        <v>21.448728269247237</v>
      </c>
      <c r="J30" s="277"/>
      <c r="K30" s="312">
        <f t="shared" si="35"/>
        <v>13992</v>
      </c>
      <c r="L30" s="312">
        <f t="shared" si="36"/>
        <v>1166</v>
      </c>
      <c r="M30" s="312">
        <f t="shared" si="37"/>
        <v>20.977511244377812</v>
      </c>
      <c r="N30" s="278"/>
      <c r="O30" s="278"/>
      <c r="P30" s="278"/>
      <c r="Q30" s="278"/>
      <c r="R30" s="312">
        <f>IFERROR(INDEX('4. Valuation'!$O$10:$X$17,MATCH($D30,'4. Valuation'!$O$10:$O$17,0),MATCH($R$25,'4. Valuation'!$O$10:$X$10,0)),0)</f>
        <v>0</v>
      </c>
      <c r="S30" s="312">
        <f>IFERROR(INDEX('4. Valuation'!$O$10:$X$17,MATCH($D30,'4. Valuation'!$O$10:$O$17,0),MATCH($S$25,'4. Valuation'!$O$10:$X$10,0)),0)</f>
        <v>0</v>
      </c>
      <c r="T30" s="312">
        <f>IFERROR(INDEX('4. Valuation'!$O$10:$X$17,MATCH($D30,'4. Valuation'!$O$10:$O$17,0),MATCH($T$25,'4. Valuation'!$O$10:$X$10,0)),0)</f>
        <v>0</v>
      </c>
      <c r="U30" s="278"/>
      <c r="V30" s="312">
        <f t="shared" si="38"/>
        <v>0</v>
      </c>
      <c r="W30" s="312">
        <f t="shared" si="39"/>
        <v>0</v>
      </c>
      <c r="X30" s="312">
        <f t="shared" si="40"/>
        <v>0</v>
      </c>
      <c r="Y30" s="278"/>
      <c r="Z30" s="312">
        <f t="shared" si="41"/>
        <v>15000</v>
      </c>
      <c r="AA30" s="312">
        <f>'3. GRI Pricing'!Y21</f>
        <v>1250</v>
      </c>
      <c r="AB30" s="359">
        <f t="shared" si="42"/>
        <v>22.488755622188904</v>
      </c>
    </row>
    <row r="31" spans="3:28" s="30" customFormat="1" ht="12" x14ac:dyDescent="0.2">
      <c r="C31" s="77" t="str">
        <f>'1. Accomodation'!N26</f>
        <v>106N</v>
      </c>
      <c r="D31" s="77" t="str">
        <f>'1. Accomodation'!P26</f>
        <v>1 Bed</v>
      </c>
      <c r="E31" s="77">
        <f>'1. Accomodation'!O26</f>
        <v>441</v>
      </c>
      <c r="G31" s="341">
        <v>11040</v>
      </c>
      <c r="H31" s="273">
        <f>IFERROR(INDEX('4. Valuation'!$C$10:$I$17,MATCH($D31,'4. Valuation'!$C$10:$C$17,0),MATCH($H$25,'4. Valuation'!$C$10:$I$10,0)),0)</f>
        <v>867</v>
      </c>
      <c r="I31" s="273">
        <f>IFERROR(INDEX('4. Valuation'!$C$10:$I$17,MATCH($D31,'4. Valuation'!$C$10:$C$17,0),MATCH($I$25,'4. Valuation'!$C$10:$I$10,0)),0)</f>
        <v>20.660726106217222</v>
      </c>
      <c r="J31" s="277"/>
      <c r="K31" s="312">
        <f t="shared" si="35"/>
        <v>10404</v>
      </c>
      <c r="L31" s="312">
        <f t="shared" si="36"/>
        <v>867</v>
      </c>
      <c r="M31" s="312">
        <f t="shared" si="37"/>
        <v>23.591836734693878</v>
      </c>
      <c r="N31" s="278"/>
      <c r="O31" s="278"/>
      <c r="P31" s="278"/>
      <c r="Q31" s="278"/>
      <c r="R31" s="312">
        <f>IFERROR(INDEX('4. Valuation'!$O$10:$X$17,MATCH($D31,'4. Valuation'!$O$10:$O$17,0),MATCH($R$25,'4. Valuation'!$O$10:$X$10,0)),0)</f>
        <v>0</v>
      </c>
      <c r="S31" s="312">
        <f>IFERROR(INDEX('4. Valuation'!$O$10:$X$17,MATCH($D31,'4. Valuation'!$O$10:$O$17,0),MATCH($S$25,'4. Valuation'!$O$10:$X$10,0)),0)</f>
        <v>0</v>
      </c>
      <c r="T31" s="312">
        <f>IFERROR(INDEX('4. Valuation'!$O$10:$X$17,MATCH($D31,'4. Valuation'!$O$10:$O$17,0),MATCH($T$25,'4. Valuation'!$O$10:$X$10,0)),0)</f>
        <v>0</v>
      </c>
      <c r="U31" s="278"/>
      <c r="V31" s="312">
        <f t="shared" si="38"/>
        <v>0</v>
      </c>
      <c r="W31" s="312">
        <f t="shared" si="39"/>
        <v>0</v>
      </c>
      <c r="X31" s="312">
        <f t="shared" si="40"/>
        <v>0</v>
      </c>
      <c r="Y31" s="278"/>
      <c r="Z31" s="312">
        <f t="shared" si="41"/>
        <v>11400</v>
      </c>
      <c r="AA31" s="312">
        <f>'3. GRI Pricing'!Y22</f>
        <v>950</v>
      </c>
      <c r="AB31" s="359">
        <f t="shared" si="42"/>
        <v>25.85034013605442</v>
      </c>
    </row>
    <row r="32" spans="3:28" s="30" customFormat="1" ht="12" x14ac:dyDescent="0.2">
      <c r="C32" s="77" t="str">
        <f>'1. Accomodation'!N27</f>
        <v>107N</v>
      </c>
      <c r="D32" s="77" t="str">
        <f>'1. Accomodation'!P27</f>
        <v>2 Bed</v>
      </c>
      <c r="E32" s="77">
        <f>'1. Accomodation'!O27</f>
        <v>624</v>
      </c>
      <c r="G32" s="341">
        <v>13620</v>
      </c>
      <c r="H32" s="273">
        <f>IFERROR(INDEX('4. Valuation'!$C$10:$I$17,MATCH($D32,'4. Valuation'!$C$10:$C$17,0),MATCH($H$25,'4. Valuation'!$C$10:$I$10,0)),0)</f>
        <v>1166</v>
      </c>
      <c r="I32" s="273">
        <f>IFERROR(INDEX('4. Valuation'!$C$10:$I$17,MATCH($D32,'4. Valuation'!$C$10:$C$17,0),MATCH($I$25,'4. Valuation'!$C$10:$I$10,0)),0)</f>
        <v>21.448728269247237</v>
      </c>
      <c r="J32" s="277"/>
      <c r="K32" s="312">
        <f t="shared" si="35"/>
        <v>13992</v>
      </c>
      <c r="L32" s="312">
        <f t="shared" si="36"/>
        <v>1166</v>
      </c>
      <c r="M32" s="312">
        <f t="shared" si="37"/>
        <v>22.423076923076923</v>
      </c>
      <c r="N32" s="278"/>
      <c r="O32" s="278"/>
      <c r="P32" s="278"/>
      <c r="Q32" s="278"/>
      <c r="R32" s="312">
        <f>IFERROR(INDEX('4. Valuation'!$O$10:$X$17,MATCH($D32,'4. Valuation'!$O$10:$O$17,0),MATCH($R$25,'4. Valuation'!$O$10:$X$10,0)),0)</f>
        <v>0</v>
      </c>
      <c r="S32" s="312">
        <f>IFERROR(INDEX('4. Valuation'!$O$10:$X$17,MATCH($D32,'4. Valuation'!$O$10:$O$17,0),MATCH($S$25,'4. Valuation'!$O$10:$X$10,0)),0)</f>
        <v>0</v>
      </c>
      <c r="T32" s="312">
        <f>IFERROR(INDEX('4. Valuation'!$O$10:$X$17,MATCH($D32,'4. Valuation'!$O$10:$O$17,0),MATCH($T$25,'4. Valuation'!$O$10:$X$10,0)),0)</f>
        <v>0</v>
      </c>
      <c r="U32" s="278"/>
      <c r="V32" s="312">
        <f t="shared" si="38"/>
        <v>0</v>
      </c>
      <c r="W32" s="312">
        <f t="shared" si="39"/>
        <v>0</v>
      </c>
      <c r="X32" s="312">
        <f t="shared" si="40"/>
        <v>0</v>
      </c>
      <c r="Y32" s="278"/>
      <c r="Z32" s="312">
        <f t="shared" si="41"/>
        <v>14700</v>
      </c>
      <c r="AA32" s="312">
        <f>'3. GRI Pricing'!Y23</f>
        <v>1225</v>
      </c>
      <c r="AB32" s="359">
        <f t="shared" si="42"/>
        <v>23.557692307692307</v>
      </c>
    </row>
    <row r="33" spans="3:28" s="30" customFormat="1" ht="12" x14ac:dyDescent="0.2">
      <c r="C33" s="77" t="str">
        <f>'1. Accomodation'!N28</f>
        <v>108N</v>
      </c>
      <c r="D33" s="77" t="str">
        <f>'1. Accomodation'!P28</f>
        <v>2 Bed</v>
      </c>
      <c r="E33" s="77">
        <f>'1. Accomodation'!O28</f>
        <v>624</v>
      </c>
      <c r="G33" s="341">
        <v>14760</v>
      </c>
      <c r="H33" s="273">
        <f>IFERROR(INDEX('4. Valuation'!$C$10:$I$17,MATCH($D33,'4. Valuation'!$C$10:$C$17,0),MATCH($H$25,'4. Valuation'!$C$10:$I$10,0)),0)</f>
        <v>1166</v>
      </c>
      <c r="I33" s="273">
        <f>IFERROR(INDEX('4. Valuation'!$C$10:$I$17,MATCH($D33,'4. Valuation'!$C$10:$C$17,0),MATCH($I$25,'4. Valuation'!$C$10:$I$10,0)),0)</f>
        <v>21.448728269247237</v>
      </c>
      <c r="J33" s="277"/>
      <c r="K33" s="312">
        <f t="shared" si="35"/>
        <v>13992</v>
      </c>
      <c r="L33" s="312">
        <f t="shared" si="36"/>
        <v>1166</v>
      </c>
      <c r="M33" s="312">
        <f t="shared" si="37"/>
        <v>22.423076923076923</v>
      </c>
      <c r="N33" s="278"/>
      <c r="O33" s="278"/>
      <c r="P33" s="278"/>
      <c r="Q33" s="278"/>
      <c r="R33" s="312">
        <f>IFERROR(INDEX('4. Valuation'!$O$10:$X$17,MATCH($D33,'4. Valuation'!$O$10:$O$17,0),MATCH($R$25,'4. Valuation'!$O$10:$X$10,0)),0)</f>
        <v>0</v>
      </c>
      <c r="S33" s="312">
        <f>IFERROR(INDEX('4. Valuation'!$O$10:$X$17,MATCH($D33,'4. Valuation'!$O$10:$O$17,0),MATCH($S$25,'4. Valuation'!$O$10:$X$10,0)),0)</f>
        <v>0</v>
      </c>
      <c r="T33" s="312">
        <f>IFERROR(INDEX('4. Valuation'!$O$10:$X$17,MATCH($D33,'4. Valuation'!$O$10:$O$17,0),MATCH($T$25,'4. Valuation'!$O$10:$X$10,0)),0)</f>
        <v>0</v>
      </c>
      <c r="U33" s="278"/>
      <c r="V33" s="312">
        <f t="shared" si="38"/>
        <v>0</v>
      </c>
      <c r="W33" s="312">
        <f t="shared" si="39"/>
        <v>0</v>
      </c>
      <c r="X33" s="312">
        <f t="shared" si="40"/>
        <v>0</v>
      </c>
      <c r="Y33" s="278"/>
      <c r="Z33" s="312">
        <f t="shared" si="41"/>
        <v>14700</v>
      </c>
      <c r="AA33" s="312">
        <f>'3. GRI Pricing'!Y24</f>
        <v>1225</v>
      </c>
      <c r="AB33" s="359">
        <f t="shared" si="42"/>
        <v>23.557692307692307</v>
      </c>
    </row>
    <row r="34" spans="3:28" s="30" customFormat="1" ht="12" x14ac:dyDescent="0.2">
      <c r="C34" s="77" t="str">
        <f>'1. Accomodation'!N29</f>
        <v>109N</v>
      </c>
      <c r="D34" s="77" t="str">
        <f>'1. Accomodation'!P29</f>
        <v>2 Bed</v>
      </c>
      <c r="E34" s="77">
        <f>'1. Accomodation'!O29</f>
        <v>657</v>
      </c>
      <c r="G34" s="341">
        <v>15360</v>
      </c>
      <c r="H34" s="273">
        <f>IFERROR(INDEX('4. Valuation'!$C$10:$I$17,MATCH($D34,'4. Valuation'!$C$10:$C$17,0),MATCH($H$25,'4. Valuation'!$C$10:$I$10,0)),0)</f>
        <v>1166</v>
      </c>
      <c r="I34" s="273">
        <f>IFERROR(INDEX('4. Valuation'!$C$10:$I$17,MATCH($D34,'4. Valuation'!$C$10:$C$17,0),MATCH($I$25,'4. Valuation'!$C$10:$I$10,0)),0)</f>
        <v>21.448728269247237</v>
      </c>
      <c r="J34" s="277"/>
      <c r="K34" s="312">
        <f t="shared" si="35"/>
        <v>13992</v>
      </c>
      <c r="L34" s="312">
        <f t="shared" si="36"/>
        <v>1166</v>
      </c>
      <c r="M34" s="312">
        <f t="shared" si="37"/>
        <v>21.296803652968038</v>
      </c>
      <c r="N34" s="278"/>
      <c r="O34" s="278"/>
      <c r="P34" s="278"/>
      <c r="Q34" s="278"/>
      <c r="R34" s="312">
        <f>IFERROR(INDEX('4. Valuation'!$O$10:$X$17,MATCH($D34,'4. Valuation'!$O$10:$O$17,0),MATCH($R$25,'4. Valuation'!$O$10:$X$10,0)),0)</f>
        <v>0</v>
      </c>
      <c r="S34" s="312">
        <f>IFERROR(INDEX('4. Valuation'!$O$10:$X$17,MATCH($D34,'4. Valuation'!$O$10:$O$17,0),MATCH($S$25,'4. Valuation'!$O$10:$X$10,0)),0)</f>
        <v>0</v>
      </c>
      <c r="T34" s="312">
        <f>IFERROR(INDEX('4. Valuation'!$O$10:$X$17,MATCH($D34,'4. Valuation'!$O$10:$O$17,0),MATCH($T$25,'4. Valuation'!$O$10:$X$10,0)),0)</f>
        <v>0</v>
      </c>
      <c r="U34" s="278"/>
      <c r="V34" s="312">
        <f t="shared" si="38"/>
        <v>0</v>
      </c>
      <c r="W34" s="312">
        <f t="shared" si="39"/>
        <v>0</v>
      </c>
      <c r="X34" s="312">
        <f t="shared" si="40"/>
        <v>0</v>
      </c>
      <c r="Y34" s="278"/>
      <c r="Z34" s="312">
        <f t="shared" si="41"/>
        <v>15300</v>
      </c>
      <c r="AA34" s="312">
        <f>'3. GRI Pricing'!Y25</f>
        <v>1275</v>
      </c>
      <c r="AB34" s="359">
        <f t="shared" si="42"/>
        <v>23.287671232876711</v>
      </c>
    </row>
    <row r="35" spans="3:28" s="30" customFormat="1" ht="12" x14ac:dyDescent="0.2">
      <c r="C35" s="77" t="str">
        <f>'1. Accomodation'!N30</f>
        <v>110N</v>
      </c>
      <c r="D35" s="77" t="str">
        <f>'1. Accomodation'!P30</f>
        <v>2 Bed</v>
      </c>
      <c r="E35" s="77">
        <f>'1. Accomodation'!O30</f>
        <v>700</v>
      </c>
      <c r="G35" s="341">
        <v>15480</v>
      </c>
      <c r="H35" s="273">
        <f>IFERROR(INDEX('4. Valuation'!$C$10:$I$17,MATCH($D35,'4. Valuation'!$C$10:$C$17,0),MATCH($H$25,'4. Valuation'!$C$10:$I$10,0)),0)</f>
        <v>1166</v>
      </c>
      <c r="I35" s="273">
        <f>IFERROR(INDEX('4. Valuation'!$C$10:$I$17,MATCH($D35,'4. Valuation'!$C$10:$C$17,0),MATCH($I$25,'4. Valuation'!$C$10:$I$10,0)),0)</f>
        <v>21.448728269247237</v>
      </c>
      <c r="J35" s="277"/>
      <c r="K35" s="312">
        <f t="shared" si="35"/>
        <v>13992</v>
      </c>
      <c r="L35" s="312">
        <f t="shared" si="36"/>
        <v>1166</v>
      </c>
      <c r="M35" s="312">
        <f t="shared" si="37"/>
        <v>19.988571428571429</v>
      </c>
      <c r="N35" s="278"/>
      <c r="O35" s="278"/>
      <c r="P35" s="278"/>
      <c r="Q35" s="278"/>
      <c r="R35" s="312">
        <f>IFERROR(INDEX('4. Valuation'!$O$10:$X$17,MATCH($D35,'4. Valuation'!$O$10:$O$17,0),MATCH($R$25,'4. Valuation'!$O$10:$X$10,0)),0)</f>
        <v>0</v>
      </c>
      <c r="S35" s="312">
        <f>IFERROR(INDEX('4. Valuation'!$O$10:$X$17,MATCH($D35,'4. Valuation'!$O$10:$O$17,0),MATCH($S$25,'4. Valuation'!$O$10:$X$10,0)),0)</f>
        <v>0</v>
      </c>
      <c r="T35" s="312">
        <f>IFERROR(INDEX('4. Valuation'!$O$10:$X$17,MATCH($D35,'4. Valuation'!$O$10:$O$17,0),MATCH($T$25,'4. Valuation'!$O$10:$X$10,0)),0)</f>
        <v>0</v>
      </c>
      <c r="U35" s="278"/>
      <c r="V35" s="312">
        <f t="shared" si="38"/>
        <v>0</v>
      </c>
      <c r="W35" s="312">
        <f t="shared" si="39"/>
        <v>0</v>
      </c>
      <c r="X35" s="312">
        <f t="shared" si="40"/>
        <v>0</v>
      </c>
      <c r="Y35" s="278"/>
      <c r="Z35" s="312">
        <f t="shared" si="41"/>
        <v>15840</v>
      </c>
      <c r="AA35" s="312">
        <f>'3. GRI Pricing'!Y26</f>
        <v>1320</v>
      </c>
      <c r="AB35" s="359">
        <f t="shared" si="42"/>
        <v>22.62857142857143</v>
      </c>
    </row>
    <row r="36" spans="3:28" s="30" customFormat="1" ht="12" x14ac:dyDescent="0.2">
      <c r="C36" s="77" t="str">
        <f>'1. Accomodation'!N31</f>
        <v>111N</v>
      </c>
      <c r="D36" s="77" t="str">
        <f>'1. Accomodation'!P31</f>
        <v>2 Bed</v>
      </c>
      <c r="E36" s="77">
        <f>'1. Accomodation'!O31</f>
        <v>689</v>
      </c>
      <c r="G36" s="341">
        <v>16440</v>
      </c>
      <c r="H36" s="273">
        <f>IFERROR(INDEX('4. Valuation'!$C$10:$I$17,MATCH($D36,'4. Valuation'!$C$10:$C$17,0),MATCH($H$25,'4. Valuation'!$C$10:$I$10,0)),0)</f>
        <v>1166</v>
      </c>
      <c r="I36" s="273">
        <f>IFERROR(INDEX('4. Valuation'!$C$10:$I$17,MATCH($D36,'4. Valuation'!$C$10:$C$17,0),MATCH($I$25,'4. Valuation'!$C$10:$I$10,0)),0)</f>
        <v>21.448728269247237</v>
      </c>
      <c r="J36" s="277"/>
      <c r="K36" s="312">
        <f t="shared" si="35"/>
        <v>13992</v>
      </c>
      <c r="L36" s="312">
        <f t="shared" si="36"/>
        <v>1166</v>
      </c>
      <c r="M36" s="312">
        <f t="shared" si="37"/>
        <v>20.307692307692307</v>
      </c>
      <c r="N36" s="278"/>
      <c r="O36" s="278"/>
      <c r="P36" s="278"/>
      <c r="Q36" s="278"/>
      <c r="R36" s="312">
        <f>IFERROR(INDEX('4. Valuation'!$O$10:$X$17,MATCH($D36,'4. Valuation'!$O$10:$O$17,0),MATCH($R$25,'4. Valuation'!$O$10:$X$10,0)),0)</f>
        <v>0</v>
      </c>
      <c r="S36" s="312">
        <f>IFERROR(INDEX('4. Valuation'!$O$10:$X$17,MATCH($D36,'4. Valuation'!$O$10:$O$17,0),MATCH($S$25,'4. Valuation'!$O$10:$X$10,0)),0)</f>
        <v>0</v>
      </c>
      <c r="T36" s="312">
        <f>IFERROR(INDEX('4. Valuation'!$O$10:$X$17,MATCH($D36,'4. Valuation'!$O$10:$O$17,0),MATCH($T$25,'4. Valuation'!$O$10:$X$10,0)),0)</f>
        <v>0</v>
      </c>
      <c r="U36" s="278"/>
      <c r="V36" s="312">
        <f t="shared" si="38"/>
        <v>0</v>
      </c>
      <c r="W36" s="312">
        <f t="shared" si="39"/>
        <v>0</v>
      </c>
      <c r="X36" s="312">
        <f t="shared" si="40"/>
        <v>0</v>
      </c>
      <c r="Y36" s="278"/>
      <c r="Z36" s="312">
        <f t="shared" si="41"/>
        <v>16440</v>
      </c>
      <c r="AA36" s="312">
        <f>'3. GRI Pricing'!Y27</f>
        <v>1370</v>
      </c>
      <c r="AB36" s="359">
        <f t="shared" si="42"/>
        <v>23.86066763425254</v>
      </c>
    </row>
    <row r="37" spans="3:28" s="30" customFormat="1" ht="12" x14ac:dyDescent="0.2">
      <c r="C37" s="77" t="str">
        <f>'1. Accomodation'!N32</f>
        <v>112N</v>
      </c>
      <c r="D37" s="77" t="str">
        <f>'1. Accomodation'!P32</f>
        <v>1 Bed</v>
      </c>
      <c r="E37" s="77">
        <f>'1. Accomodation'!O32</f>
        <v>506</v>
      </c>
      <c r="G37" s="341">
        <v>11340</v>
      </c>
      <c r="H37" s="273">
        <f>IFERROR(INDEX('4. Valuation'!$C$10:$I$17,MATCH($D37,'4. Valuation'!$C$10:$C$17,0),MATCH($H$25,'4. Valuation'!$C$10:$I$10,0)),0)</f>
        <v>867</v>
      </c>
      <c r="I37" s="273">
        <f>IFERROR(INDEX('4. Valuation'!$C$10:$I$17,MATCH($D37,'4. Valuation'!$C$10:$C$17,0),MATCH($I$25,'4. Valuation'!$C$10:$I$10,0)),0)</f>
        <v>20.660726106217222</v>
      </c>
      <c r="J37" s="277"/>
      <c r="K37" s="312">
        <f t="shared" si="35"/>
        <v>10404</v>
      </c>
      <c r="L37" s="312">
        <f t="shared" si="36"/>
        <v>867</v>
      </c>
      <c r="M37" s="312">
        <f t="shared" si="37"/>
        <v>20.561264822134387</v>
      </c>
      <c r="N37" s="278"/>
      <c r="O37" s="278"/>
      <c r="P37" s="278"/>
      <c r="Q37" s="278"/>
      <c r="R37" s="312">
        <f>IFERROR(INDEX('4. Valuation'!$O$10:$X$17,MATCH($D37,'4. Valuation'!$O$10:$O$17,0),MATCH($R$25,'4. Valuation'!$O$10:$X$10,0)),0)</f>
        <v>0</v>
      </c>
      <c r="S37" s="312">
        <f>IFERROR(INDEX('4. Valuation'!$O$10:$X$17,MATCH($D37,'4. Valuation'!$O$10:$O$17,0),MATCH($S$25,'4. Valuation'!$O$10:$X$10,0)),0)</f>
        <v>0</v>
      </c>
      <c r="T37" s="312">
        <f>IFERROR(INDEX('4. Valuation'!$O$10:$X$17,MATCH($D37,'4. Valuation'!$O$10:$O$17,0),MATCH($T$25,'4. Valuation'!$O$10:$X$10,0)),0)</f>
        <v>0</v>
      </c>
      <c r="U37" s="278"/>
      <c r="V37" s="312">
        <f t="shared" si="38"/>
        <v>0</v>
      </c>
      <c r="W37" s="312">
        <f t="shared" si="39"/>
        <v>0</v>
      </c>
      <c r="X37" s="312">
        <f t="shared" si="40"/>
        <v>0</v>
      </c>
      <c r="Y37" s="278"/>
      <c r="Z37" s="312">
        <f t="shared" si="41"/>
        <v>11700</v>
      </c>
      <c r="AA37" s="312">
        <f>'3. GRI Pricing'!Y28</f>
        <v>975</v>
      </c>
      <c r="AB37" s="359">
        <f t="shared" si="42"/>
        <v>23.122529644268774</v>
      </c>
    </row>
    <row r="38" spans="3:28" s="30" customFormat="1" ht="12" x14ac:dyDescent="0.2">
      <c r="C38" s="77" t="str">
        <f>'1. Accomodation'!N33</f>
        <v>113N</v>
      </c>
      <c r="D38" s="77" t="str">
        <f>'1. Accomodation'!P33</f>
        <v>1 Bed</v>
      </c>
      <c r="E38" s="77">
        <f>'1. Accomodation'!O33</f>
        <v>538</v>
      </c>
      <c r="G38" s="341">
        <v>11520</v>
      </c>
      <c r="H38" s="273">
        <f>IFERROR(INDEX('4. Valuation'!$C$10:$I$17,MATCH($D38,'4. Valuation'!$C$10:$C$17,0),MATCH($H$25,'4. Valuation'!$C$10:$I$10,0)),0)</f>
        <v>867</v>
      </c>
      <c r="I38" s="273">
        <f>IFERROR(INDEX('4. Valuation'!$C$10:$I$17,MATCH($D38,'4. Valuation'!$C$10:$C$17,0),MATCH($I$25,'4. Valuation'!$C$10:$I$10,0)),0)</f>
        <v>20.660726106217222</v>
      </c>
      <c r="J38" s="277"/>
      <c r="K38" s="312">
        <f t="shared" si="35"/>
        <v>10404</v>
      </c>
      <c r="L38" s="312">
        <f t="shared" si="36"/>
        <v>867</v>
      </c>
      <c r="M38" s="312">
        <f t="shared" si="37"/>
        <v>19.338289962825279</v>
      </c>
      <c r="N38" s="278"/>
      <c r="O38" s="278"/>
      <c r="P38" s="278"/>
      <c r="Q38" s="278"/>
      <c r="R38" s="312">
        <f>IFERROR(INDEX('4. Valuation'!$O$10:$X$17,MATCH($D38,'4. Valuation'!$O$10:$O$17,0),MATCH($R$25,'4. Valuation'!$O$10:$X$10,0)),0)</f>
        <v>0</v>
      </c>
      <c r="S38" s="312">
        <f>IFERROR(INDEX('4. Valuation'!$O$10:$X$17,MATCH($D38,'4. Valuation'!$O$10:$O$17,0),MATCH($S$25,'4. Valuation'!$O$10:$X$10,0)),0)</f>
        <v>0</v>
      </c>
      <c r="T38" s="312">
        <f>IFERROR(INDEX('4. Valuation'!$O$10:$X$17,MATCH($D38,'4. Valuation'!$O$10:$O$17,0),MATCH($T$25,'4. Valuation'!$O$10:$X$10,0)),0)</f>
        <v>0</v>
      </c>
      <c r="U38" s="278"/>
      <c r="V38" s="312">
        <f t="shared" si="38"/>
        <v>0</v>
      </c>
      <c r="W38" s="312">
        <f t="shared" si="39"/>
        <v>0</v>
      </c>
      <c r="X38" s="312">
        <f t="shared" si="40"/>
        <v>0</v>
      </c>
      <c r="Y38" s="278"/>
      <c r="Z38" s="312">
        <f t="shared" si="41"/>
        <v>11820</v>
      </c>
      <c r="AA38" s="312">
        <f>'3. GRI Pricing'!Y29</f>
        <v>985</v>
      </c>
      <c r="AB38" s="359">
        <f t="shared" si="42"/>
        <v>21.970260223048328</v>
      </c>
    </row>
    <row r="39" spans="3:28" s="30" customFormat="1" ht="12" x14ac:dyDescent="0.2">
      <c r="C39" s="77" t="str">
        <f>'1. Accomodation'!N34</f>
        <v>114N</v>
      </c>
      <c r="D39" s="77" t="str">
        <f>'1. Accomodation'!P34</f>
        <v>1 Bed</v>
      </c>
      <c r="E39" s="77">
        <f>'1. Accomodation'!O34</f>
        <v>560</v>
      </c>
      <c r="G39" s="341">
        <v>10920</v>
      </c>
      <c r="H39" s="273">
        <f>IFERROR(INDEX('4. Valuation'!$C$10:$I$17,MATCH($D39,'4. Valuation'!$C$10:$C$17,0),MATCH($H$25,'4. Valuation'!$C$10:$I$10,0)),0)</f>
        <v>867</v>
      </c>
      <c r="I39" s="273">
        <f>IFERROR(INDEX('4. Valuation'!$C$10:$I$17,MATCH($D39,'4. Valuation'!$C$10:$C$17,0),MATCH($I$25,'4. Valuation'!$C$10:$I$10,0)),0)</f>
        <v>20.660726106217222</v>
      </c>
      <c r="J39" s="277"/>
      <c r="K39" s="312">
        <f t="shared" si="35"/>
        <v>10404</v>
      </c>
      <c r="L39" s="312">
        <f t="shared" si="36"/>
        <v>867</v>
      </c>
      <c r="M39" s="312">
        <f t="shared" si="37"/>
        <v>18.578571428571429</v>
      </c>
      <c r="N39" s="278"/>
      <c r="O39" s="278"/>
      <c r="P39" s="278"/>
      <c r="Q39" s="278"/>
      <c r="R39" s="312">
        <f>IFERROR(INDEX('4. Valuation'!$O$10:$X$17,MATCH($D39,'4. Valuation'!$O$10:$O$17,0),MATCH($R$25,'4. Valuation'!$O$10:$X$10,0)),0)</f>
        <v>0</v>
      </c>
      <c r="S39" s="312">
        <f>IFERROR(INDEX('4. Valuation'!$O$10:$X$17,MATCH($D39,'4. Valuation'!$O$10:$O$17,0),MATCH($S$25,'4. Valuation'!$O$10:$X$10,0)),0)</f>
        <v>0</v>
      </c>
      <c r="T39" s="312">
        <f>IFERROR(INDEX('4. Valuation'!$O$10:$X$17,MATCH($D39,'4. Valuation'!$O$10:$O$17,0),MATCH($T$25,'4. Valuation'!$O$10:$X$10,0)),0)</f>
        <v>0</v>
      </c>
      <c r="U39" s="278"/>
      <c r="V39" s="312">
        <f t="shared" si="38"/>
        <v>0</v>
      </c>
      <c r="W39" s="312">
        <f t="shared" si="39"/>
        <v>0</v>
      </c>
      <c r="X39" s="312">
        <f t="shared" si="40"/>
        <v>0</v>
      </c>
      <c r="Y39" s="278"/>
      <c r="Z39" s="312">
        <f t="shared" si="41"/>
        <v>11640</v>
      </c>
      <c r="AA39" s="312">
        <f>'3. GRI Pricing'!Y30</f>
        <v>970</v>
      </c>
      <c r="AB39" s="359">
        <f t="shared" si="42"/>
        <v>20.785714285714285</v>
      </c>
    </row>
    <row r="40" spans="3:28" s="30" customFormat="1" ht="12" x14ac:dyDescent="0.2">
      <c r="C40" s="77" t="str">
        <f>'1. Accomodation'!N35</f>
        <v>115N</v>
      </c>
      <c r="D40" s="77" t="str">
        <f>'1. Accomodation'!P35</f>
        <v>2 Bed</v>
      </c>
      <c r="E40" s="77">
        <f>'1. Accomodation'!O35</f>
        <v>624</v>
      </c>
      <c r="G40" s="341">
        <v>15240</v>
      </c>
      <c r="H40" s="273">
        <f>IFERROR(INDEX('4. Valuation'!$C$10:$I$17,MATCH($D40,'4. Valuation'!$C$10:$C$17,0),MATCH($H$25,'4. Valuation'!$C$10:$I$10,0)),0)</f>
        <v>1166</v>
      </c>
      <c r="I40" s="273">
        <f>IFERROR(INDEX('4. Valuation'!$C$10:$I$17,MATCH($D40,'4. Valuation'!$C$10:$C$17,0),MATCH($I$25,'4. Valuation'!$C$10:$I$10,0)),0)</f>
        <v>21.448728269247237</v>
      </c>
      <c r="J40" s="277"/>
      <c r="K40" s="312">
        <f t="shared" si="35"/>
        <v>13992</v>
      </c>
      <c r="L40" s="312">
        <f t="shared" si="36"/>
        <v>1166</v>
      </c>
      <c r="M40" s="312">
        <f t="shared" si="37"/>
        <v>22.423076923076923</v>
      </c>
      <c r="N40" s="278"/>
      <c r="O40" s="278"/>
      <c r="P40" s="278"/>
      <c r="Q40" s="278"/>
      <c r="R40" s="312">
        <f>IFERROR(INDEX('4. Valuation'!$O$10:$X$17,MATCH($D40,'4. Valuation'!$O$10:$O$17,0),MATCH($R$25,'4. Valuation'!$O$10:$X$10,0)),0)</f>
        <v>0</v>
      </c>
      <c r="S40" s="312">
        <f>IFERROR(INDEX('4. Valuation'!$O$10:$X$17,MATCH($D40,'4. Valuation'!$O$10:$O$17,0),MATCH($S$25,'4. Valuation'!$O$10:$X$10,0)),0)</f>
        <v>0</v>
      </c>
      <c r="T40" s="312">
        <f>IFERROR(INDEX('4. Valuation'!$O$10:$X$17,MATCH($D40,'4. Valuation'!$O$10:$O$17,0),MATCH($T$25,'4. Valuation'!$O$10:$X$10,0)),0)</f>
        <v>0</v>
      </c>
      <c r="U40" s="278"/>
      <c r="V40" s="312">
        <f t="shared" si="38"/>
        <v>0</v>
      </c>
      <c r="W40" s="312">
        <f t="shared" si="39"/>
        <v>0</v>
      </c>
      <c r="X40" s="312">
        <f t="shared" si="40"/>
        <v>0</v>
      </c>
      <c r="Y40" s="278"/>
      <c r="Z40" s="312">
        <f t="shared" si="41"/>
        <v>14820</v>
      </c>
      <c r="AA40" s="312">
        <f>'3. GRI Pricing'!Y31</f>
        <v>1235</v>
      </c>
      <c r="AB40" s="359">
        <f t="shared" si="42"/>
        <v>23.75</v>
      </c>
    </row>
    <row r="41" spans="3:28" s="30" customFormat="1" ht="12" x14ac:dyDescent="0.2">
      <c r="C41" s="77" t="str">
        <f>'1. Accomodation'!N36</f>
        <v>116N</v>
      </c>
      <c r="D41" s="77" t="str">
        <f>'1. Accomodation'!P36</f>
        <v>2 Bed</v>
      </c>
      <c r="E41" s="77">
        <f>'1. Accomodation'!O36</f>
        <v>624</v>
      </c>
      <c r="G41" s="341">
        <v>15060</v>
      </c>
      <c r="H41" s="273">
        <f>IFERROR(INDEX('4. Valuation'!$C$10:$I$17,MATCH($D41,'4. Valuation'!$C$10:$C$17,0),MATCH($H$25,'4. Valuation'!$C$10:$I$10,0)),0)</f>
        <v>1166</v>
      </c>
      <c r="I41" s="273">
        <f>IFERROR(INDEX('4. Valuation'!$C$10:$I$17,MATCH($D41,'4. Valuation'!$C$10:$C$17,0),MATCH($I$25,'4. Valuation'!$C$10:$I$10,0)),0)</f>
        <v>21.448728269247237</v>
      </c>
      <c r="J41" s="277"/>
      <c r="K41" s="312">
        <f t="shared" si="35"/>
        <v>13992</v>
      </c>
      <c r="L41" s="312">
        <f t="shared" si="36"/>
        <v>1166</v>
      </c>
      <c r="M41" s="312">
        <f t="shared" si="37"/>
        <v>22.423076923076923</v>
      </c>
      <c r="N41" s="278"/>
      <c r="O41" s="278"/>
      <c r="P41" s="278"/>
      <c r="Q41" s="278"/>
      <c r="R41" s="312">
        <f>IFERROR(INDEX('4. Valuation'!$O$10:$X$17,MATCH($D41,'4. Valuation'!$O$10:$O$17,0),MATCH($R$25,'4. Valuation'!$O$10:$X$10,0)),0)</f>
        <v>0</v>
      </c>
      <c r="S41" s="312">
        <f>IFERROR(INDEX('4. Valuation'!$O$10:$X$17,MATCH($D41,'4. Valuation'!$O$10:$O$17,0),MATCH($S$25,'4. Valuation'!$O$10:$X$10,0)),0)</f>
        <v>0</v>
      </c>
      <c r="T41" s="312">
        <f>IFERROR(INDEX('4. Valuation'!$O$10:$X$17,MATCH($D41,'4. Valuation'!$O$10:$O$17,0),MATCH($T$25,'4. Valuation'!$O$10:$X$10,0)),0)</f>
        <v>0</v>
      </c>
      <c r="U41" s="278"/>
      <c r="V41" s="312">
        <f t="shared" si="38"/>
        <v>0</v>
      </c>
      <c r="W41" s="312">
        <f t="shared" si="39"/>
        <v>0</v>
      </c>
      <c r="X41" s="312">
        <f t="shared" si="40"/>
        <v>0</v>
      </c>
      <c r="Y41" s="278"/>
      <c r="Z41" s="312">
        <f t="shared" si="41"/>
        <v>14820</v>
      </c>
      <c r="AA41" s="312">
        <f>'3. GRI Pricing'!Y32</f>
        <v>1235</v>
      </c>
      <c r="AB41" s="359">
        <f t="shared" si="42"/>
        <v>23.75</v>
      </c>
    </row>
    <row r="42" spans="3:28" s="30" customFormat="1" ht="12" x14ac:dyDescent="0.2">
      <c r="C42" s="77" t="str">
        <f>'1. Accomodation'!N37</f>
        <v>201N</v>
      </c>
      <c r="D42" s="77" t="str">
        <f>'1. Accomodation'!P37</f>
        <v>1 Bed</v>
      </c>
      <c r="E42" s="77">
        <f>'1. Accomodation'!O37</f>
        <v>484</v>
      </c>
      <c r="G42" s="341">
        <v>11520</v>
      </c>
      <c r="H42" s="273">
        <f>IFERROR(INDEX('4. Valuation'!$C$10:$I$17,MATCH($D42,'4. Valuation'!$C$10:$C$17,0),MATCH($H$25,'4. Valuation'!$C$10:$I$10,0)),0)</f>
        <v>867</v>
      </c>
      <c r="I42" s="273">
        <f>IFERROR(INDEX('4. Valuation'!$C$10:$I$17,MATCH($D42,'4. Valuation'!$C$10:$C$17,0),MATCH($I$25,'4. Valuation'!$C$10:$I$10,0)),0)</f>
        <v>20.660726106217222</v>
      </c>
      <c r="J42" s="277"/>
      <c r="K42" s="312">
        <f t="shared" si="35"/>
        <v>10404</v>
      </c>
      <c r="L42" s="312">
        <f t="shared" si="36"/>
        <v>867</v>
      </c>
      <c r="M42" s="312">
        <f t="shared" si="37"/>
        <v>21.495867768595041</v>
      </c>
      <c r="N42" s="278"/>
      <c r="O42" s="278"/>
      <c r="P42" s="278"/>
      <c r="Q42" s="278"/>
      <c r="R42" s="312">
        <f>IFERROR(INDEX('4. Valuation'!$O$10:$X$17,MATCH($D42,'4. Valuation'!$O$10:$O$17,0),MATCH($R$25,'4. Valuation'!$O$10:$X$10,0)),0)</f>
        <v>0</v>
      </c>
      <c r="S42" s="312">
        <f>IFERROR(INDEX('4. Valuation'!$O$10:$X$17,MATCH($D42,'4. Valuation'!$O$10:$O$17,0),MATCH($S$25,'4. Valuation'!$O$10:$X$10,0)),0)</f>
        <v>0</v>
      </c>
      <c r="T42" s="312">
        <f>IFERROR(INDEX('4. Valuation'!$O$10:$X$17,MATCH($D42,'4. Valuation'!$O$10:$O$17,0),MATCH($T$25,'4. Valuation'!$O$10:$X$10,0)),0)</f>
        <v>0</v>
      </c>
      <c r="U42" s="278"/>
      <c r="V42" s="312">
        <f t="shared" si="38"/>
        <v>0</v>
      </c>
      <c r="W42" s="312">
        <f t="shared" si="39"/>
        <v>0</v>
      </c>
      <c r="X42" s="312">
        <f t="shared" si="40"/>
        <v>0</v>
      </c>
      <c r="Y42" s="278"/>
      <c r="Z42" s="312">
        <f t="shared" si="41"/>
        <v>11880</v>
      </c>
      <c r="AA42" s="312">
        <f>'3. GRI Pricing'!Y33</f>
        <v>990</v>
      </c>
      <c r="AB42" s="359">
        <f t="shared" si="42"/>
        <v>24.545454545454547</v>
      </c>
    </row>
    <row r="43" spans="3:28" s="30" customFormat="1" ht="12" x14ac:dyDescent="0.2">
      <c r="C43" s="77" t="str">
        <f>'1. Accomodation'!N38</f>
        <v>202N</v>
      </c>
      <c r="D43" s="77" t="str">
        <f>'1. Accomodation'!P38</f>
        <v>2 Bed</v>
      </c>
      <c r="E43" s="77">
        <f>'1. Accomodation'!O38</f>
        <v>678</v>
      </c>
      <c r="G43" s="341">
        <v>15300</v>
      </c>
      <c r="H43" s="273">
        <f>IFERROR(INDEX('4. Valuation'!$C$10:$I$17,MATCH($D43,'4. Valuation'!$C$10:$C$17,0),MATCH($H$25,'4. Valuation'!$C$10:$I$10,0)),0)</f>
        <v>1166</v>
      </c>
      <c r="I43" s="273">
        <f>IFERROR(INDEX('4. Valuation'!$C$10:$I$17,MATCH($D43,'4. Valuation'!$C$10:$C$17,0),MATCH($I$25,'4. Valuation'!$C$10:$I$10,0)),0)</f>
        <v>21.448728269247237</v>
      </c>
      <c r="J43" s="277"/>
      <c r="K43" s="312">
        <f t="shared" si="35"/>
        <v>13992</v>
      </c>
      <c r="L43" s="312">
        <f t="shared" si="36"/>
        <v>1166</v>
      </c>
      <c r="M43" s="312">
        <f t="shared" si="37"/>
        <v>20.63716814159292</v>
      </c>
      <c r="N43" s="278"/>
      <c r="O43" s="278"/>
      <c r="P43" s="278"/>
      <c r="Q43" s="278"/>
      <c r="R43" s="312">
        <f>IFERROR(INDEX('4. Valuation'!$O$10:$X$17,MATCH($D43,'4. Valuation'!$O$10:$O$17,0),MATCH($R$25,'4. Valuation'!$O$10:$X$10,0)),0)</f>
        <v>0</v>
      </c>
      <c r="S43" s="312">
        <f>IFERROR(INDEX('4. Valuation'!$O$10:$X$17,MATCH($D43,'4. Valuation'!$O$10:$O$17,0),MATCH($S$25,'4. Valuation'!$O$10:$X$10,0)),0)</f>
        <v>0</v>
      </c>
      <c r="T43" s="312">
        <f>IFERROR(INDEX('4. Valuation'!$O$10:$X$17,MATCH($D43,'4. Valuation'!$O$10:$O$17,0),MATCH($T$25,'4. Valuation'!$O$10:$X$10,0)),0)</f>
        <v>0</v>
      </c>
      <c r="U43" s="278"/>
      <c r="V43" s="312">
        <f t="shared" si="38"/>
        <v>0</v>
      </c>
      <c r="W43" s="312">
        <f t="shared" si="39"/>
        <v>0</v>
      </c>
      <c r="X43" s="312">
        <f t="shared" si="40"/>
        <v>0</v>
      </c>
      <c r="Y43" s="278"/>
      <c r="Z43" s="312">
        <f t="shared" si="41"/>
        <v>15420</v>
      </c>
      <c r="AA43" s="312">
        <f>'3. GRI Pricing'!Y34</f>
        <v>1285</v>
      </c>
      <c r="AB43" s="359">
        <f t="shared" si="42"/>
        <v>22.743362831858406</v>
      </c>
    </row>
    <row r="44" spans="3:28" s="30" customFormat="1" ht="12" x14ac:dyDescent="0.2">
      <c r="C44" s="77" t="str">
        <f>'1. Accomodation'!N39</f>
        <v>203N</v>
      </c>
      <c r="D44" s="77" t="str">
        <f>'1. Accomodation'!P39</f>
        <v>2 Bed</v>
      </c>
      <c r="E44" s="77">
        <f>'1. Accomodation'!O39</f>
        <v>657</v>
      </c>
      <c r="G44" s="341">
        <v>15120</v>
      </c>
      <c r="H44" s="273">
        <f>IFERROR(INDEX('4. Valuation'!$C$10:$I$17,MATCH($D44,'4. Valuation'!$C$10:$C$17,0),MATCH($H$25,'4. Valuation'!$C$10:$I$10,0)),0)</f>
        <v>1166</v>
      </c>
      <c r="I44" s="273">
        <f>IFERROR(INDEX('4. Valuation'!$C$10:$I$17,MATCH($D44,'4. Valuation'!$C$10:$C$17,0),MATCH($I$25,'4. Valuation'!$C$10:$I$10,0)),0)</f>
        <v>21.448728269247237</v>
      </c>
      <c r="J44" s="277"/>
      <c r="K44" s="312">
        <f t="shared" si="35"/>
        <v>13992</v>
      </c>
      <c r="L44" s="312">
        <f t="shared" si="36"/>
        <v>1166</v>
      </c>
      <c r="M44" s="312">
        <f t="shared" si="37"/>
        <v>21.296803652968038</v>
      </c>
      <c r="N44" s="278"/>
      <c r="O44" s="278"/>
      <c r="P44" s="278"/>
      <c r="Q44" s="278"/>
      <c r="R44" s="312">
        <f>IFERROR(INDEX('4. Valuation'!$O$10:$X$17,MATCH($D44,'4. Valuation'!$O$10:$O$17,0),MATCH($R$25,'4. Valuation'!$O$10:$X$10,0)),0)</f>
        <v>0</v>
      </c>
      <c r="S44" s="312">
        <f>IFERROR(INDEX('4. Valuation'!$O$10:$X$17,MATCH($D44,'4. Valuation'!$O$10:$O$17,0),MATCH($S$25,'4. Valuation'!$O$10:$X$10,0)),0)</f>
        <v>0</v>
      </c>
      <c r="T44" s="312">
        <f>IFERROR(INDEX('4. Valuation'!$O$10:$X$17,MATCH($D44,'4. Valuation'!$O$10:$O$17,0),MATCH($T$25,'4. Valuation'!$O$10:$X$10,0)),0)</f>
        <v>0</v>
      </c>
      <c r="U44" s="278"/>
      <c r="V44" s="312">
        <f t="shared" si="38"/>
        <v>0</v>
      </c>
      <c r="W44" s="312">
        <f t="shared" si="39"/>
        <v>0</v>
      </c>
      <c r="X44" s="312">
        <f t="shared" si="40"/>
        <v>0</v>
      </c>
      <c r="Y44" s="278"/>
      <c r="Z44" s="312">
        <f t="shared" si="41"/>
        <v>15180</v>
      </c>
      <c r="AA44" s="312">
        <f>'3. GRI Pricing'!Y35</f>
        <v>1265</v>
      </c>
      <c r="AB44" s="359">
        <f t="shared" si="42"/>
        <v>23.105022831050228</v>
      </c>
    </row>
    <row r="45" spans="3:28" s="30" customFormat="1" ht="12" x14ac:dyDescent="0.2">
      <c r="C45" s="77" t="str">
        <f>'1. Accomodation'!N40</f>
        <v>204N</v>
      </c>
      <c r="D45" s="77" t="str">
        <f>'1. Accomodation'!P40</f>
        <v>3 Bed</v>
      </c>
      <c r="E45" s="77">
        <f>'1. Accomodation'!O40</f>
        <v>818</v>
      </c>
      <c r="G45" s="341">
        <v>19440</v>
      </c>
      <c r="H45" s="273">
        <f>IFERROR(INDEX('4. Valuation'!$C$10:$I$17,MATCH($D45,'4. Valuation'!$C$10:$C$17,0),MATCH($H$25,'4. Valuation'!$C$10:$I$10,0)),0)</f>
        <v>1511</v>
      </c>
      <c r="I45" s="273">
        <f>IFERROR(INDEX('4. Valuation'!$C$10:$I$17,MATCH($D45,'4. Valuation'!$C$10:$C$17,0),MATCH($I$25,'4. Valuation'!$C$10:$I$10,0)),0)</f>
        <v>22.026444890903143</v>
      </c>
      <c r="J45" s="277"/>
      <c r="K45" s="312">
        <f t="shared" si="35"/>
        <v>18132</v>
      </c>
      <c r="L45" s="312">
        <f t="shared" si="36"/>
        <v>1511</v>
      </c>
      <c r="M45" s="312">
        <f t="shared" si="37"/>
        <v>22.166259168704155</v>
      </c>
      <c r="N45" s="278"/>
      <c r="O45" s="278"/>
      <c r="P45" s="278"/>
      <c r="Q45" s="278"/>
      <c r="R45" s="312">
        <f>IFERROR(INDEX('4. Valuation'!$O$10:$X$17,MATCH($D45,'4. Valuation'!$O$10:$O$17,0),MATCH($R$25,'4. Valuation'!$O$10:$X$10,0)),0)</f>
        <v>0</v>
      </c>
      <c r="S45" s="312">
        <f>IFERROR(INDEX('4. Valuation'!$O$10:$X$17,MATCH($D45,'4. Valuation'!$O$10:$O$17,0),MATCH($S$25,'4. Valuation'!$O$10:$X$10,0)),0)</f>
        <v>0</v>
      </c>
      <c r="T45" s="312">
        <f>IFERROR(INDEX('4. Valuation'!$O$10:$X$17,MATCH($D45,'4. Valuation'!$O$10:$O$17,0),MATCH($T$25,'4. Valuation'!$O$10:$X$10,0)),0)</f>
        <v>0</v>
      </c>
      <c r="U45" s="278"/>
      <c r="V45" s="312">
        <f t="shared" si="38"/>
        <v>0</v>
      </c>
      <c r="W45" s="312">
        <f t="shared" si="39"/>
        <v>0</v>
      </c>
      <c r="X45" s="312">
        <f t="shared" si="40"/>
        <v>0</v>
      </c>
      <c r="Y45" s="278"/>
      <c r="Z45" s="312">
        <f t="shared" si="41"/>
        <v>19860</v>
      </c>
      <c r="AA45" s="312">
        <f>'3. GRI Pricing'!Y36</f>
        <v>1655</v>
      </c>
      <c r="AB45" s="359">
        <f t="shared" si="42"/>
        <v>24.278728606356967</v>
      </c>
    </row>
    <row r="46" spans="3:28" s="30" customFormat="1" ht="12" x14ac:dyDescent="0.2">
      <c r="C46" s="77" t="str">
        <f>'1. Accomodation'!N41</f>
        <v>205N</v>
      </c>
      <c r="D46" s="77" t="str">
        <f>'1. Accomodation'!P41</f>
        <v>2 Bed</v>
      </c>
      <c r="E46" s="77">
        <f>'1. Accomodation'!O41</f>
        <v>667</v>
      </c>
      <c r="G46" s="341">
        <v>15540</v>
      </c>
      <c r="H46" s="273">
        <f>IFERROR(INDEX('4. Valuation'!$C$10:$I$17,MATCH($D46,'4. Valuation'!$C$10:$C$17,0),MATCH($H$25,'4. Valuation'!$C$10:$I$10,0)),0)</f>
        <v>1166</v>
      </c>
      <c r="I46" s="273">
        <f>IFERROR(INDEX('4. Valuation'!$C$10:$I$17,MATCH($D46,'4. Valuation'!$C$10:$C$17,0),MATCH($I$25,'4. Valuation'!$C$10:$I$10,0)),0)</f>
        <v>21.448728269247237</v>
      </c>
      <c r="J46" s="277"/>
      <c r="K46" s="312">
        <f t="shared" si="35"/>
        <v>13992</v>
      </c>
      <c r="L46" s="312">
        <f t="shared" si="36"/>
        <v>1166</v>
      </c>
      <c r="M46" s="312">
        <f t="shared" si="37"/>
        <v>20.977511244377812</v>
      </c>
      <c r="N46" s="278"/>
      <c r="O46" s="278"/>
      <c r="P46" s="278"/>
      <c r="Q46" s="278"/>
      <c r="R46" s="312">
        <f>IFERROR(INDEX('4. Valuation'!$O$10:$X$17,MATCH($D46,'4. Valuation'!$O$10:$O$17,0),MATCH($R$25,'4. Valuation'!$O$10:$X$10,0)),0)</f>
        <v>0</v>
      </c>
      <c r="S46" s="312">
        <f>IFERROR(INDEX('4. Valuation'!$O$10:$X$17,MATCH($D46,'4. Valuation'!$O$10:$O$17,0),MATCH($S$25,'4. Valuation'!$O$10:$X$10,0)),0)</f>
        <v>0</v>
      </c>
      <c r="T46" s="312">
        <f>IFERROR(INDEX('4. Valuation'!$O$10:$X$17,MATCH($D46,'4. Valuation'!$O$10:$O$17,0),MATCH($T$25,'4. Valuation'!$O$10:$X$10,0)),0)</f>
        <v>0</v>
      </c>
      <c r="U46" s="278"/>
      <c r="V46" s="312">
        <f t="shared" si="38"/>
        <v>0</v>
      </c>
      <c r="W46" s="312">
        <f t="shared" si="39"/>
        <v>0</v>
      </c>
      <c r="X46" s="312">
        <f t="shared" si="40"/>
        <v>0</v>
      </c>
      <c r="Y46" s="278"/>
      <c r="Z46" s="312">
        <f t="shared" si="41"/>
        <v>15120</v>
      </c>
      <c r="AA46" s="312">
        <f>'3. GRI Pricing'!Y37</f>
        <v>1260</v>
      </c>
      <c r="AB46" s="359">
        <f t="shared" si="42"/>
        <v>22.668665667166415</v>
      </c>
    </row>
    <row r="47" spans="3:28" s="30" customFormat="1" ht="12" x14ac:dyDescent="0.2">
      <c r="C47" s="77" t="str">
        <f>'1. Accomodation'!N42</f>
        <v>206N</v>
      </c>
      <c r="D47" s="77" t="str">
        <f>'1. Accomodation'!P42</f>
        <v>1 Bed</v>
      </c>
      <c r="E47" s="77">
        <f>'1. Accomodation'!O42</f>
        <v>441</v>
      </c>
      <c r="G47" s="341">
        <v>11160</v>
      </c>
      <c r="H47" s="273">
        <f>IFERROR(INDEX('4. Valuation'!$C$10:$I$17,MATCH($D47,'4. Valuation'!$C$10:$C$17,0),MATCH($H$25,'4. Valuation'!$C$10:$I$10,0)),0)</f>
        <v>867</v>
      </c>
      <c r="I47" s="273">
        <f>IFERROR(INDEX('4. Valuation'!$C$10:$I$17,MATCH($D47,'4. Valuation'!$C$10:$C$17,0),MATCH($I$25,'4. Valuation'!$C$10:$I$10,0)),0)</f>
        <v>20.660726106217222</v>
      </c>
      <c r="J47" s="277"/>
      <c r="K47" s="312">
        <f t="shared" si="35"/>
        <v>10404</v>
      </c>
      <c r="L47" s="312">
        <f t="shared" si="36"/>
        <v>867</v>
      </c>
      <c r="M47" s="312">
        <f t="shared" si="37"/>
        <v>23.591836734693878</v>
      </c>
      <c r="N47" s="278"/>
      <c r="O47" s="278"/>
      <c r="P47" s="278"/>
      <c r="Q47" s="278"/>
      <c r="R47" s="312">
        <f>IFERROR(INDEX('4. Valuation'!$O$10:$X$17,MATCH($D47,'4. Valuation'!$O$10:$O$17,0),MATCH($R$25,'4. Valuation'!$O$10:$X$10,0)),0)</f>
        <v>0</v>
      </c>
      <c r="S47" s="312">
        <f>IFERROR(INDEX('4. Valuation'!$O$10:$X$17,MATCH($D47,'4. Valuation'!$O$10:$O$17,0),MATCH($S$25,'4. Valuation'!$O$10:$X$10,0)),0)</f>
        <v>0</v>
      </c>
      <c r="T47" s="312">
        <f>IFERROR(INDEX('4. Valuation'!$O$10:$X$17,MATCH($D47,'4. Valuation'!$O$10:$O$17,0),MATCH($T$25,'4. Valuation'!$O$10:$X$10,0)),0)</f>
        <v>0</v>
      </c>
      <c r="U47" s="278"/>
      <c r="V47" s="312">
        <f t="shared" si="38"/>
        <v>0</v>
      </c>
      <c r="W47" s="312">
        <f t="shared" si="39"/>
        <v>0</v>
      </c>
      <c r="X47" s="312">
        <f t="shared" si="40"/>
        <v>0</v>
      </c>
      <c r="Y47" s="278"/>
      <c r="Z47" s="312">
        <f t="shared" si="41"/>
        <v>11520</v>
      </c>
      <c r="AA47" s="312">
        <f>'3. GRI Pricing'!Y38</f>
        <v>960</v>
      </c>
      <c r="AB47" s="359">
        <f t="shared" si="42"/>
        <v>26.122448979591837</v>
      </c>
    </row>
    <row r="48" spans="3:28" s="30" customFormat="1" ht="12" x14ac:dyDescent="0.2">
      <c r="C48" s="77" t="str">
        <f>'1. Accomodation'!N43</f>
        <v>207N</v>
      </c>
      <c r="D48" s="77" t="str">
        <f>'1. Accomodation'!P43</f>
        <v>2 Bed</v>
      </c>
      <c r="E48" s="77">
        <f>'1. Accomodation'!O43</f>
        <v>624</v>
      </c>
      <c r="G48" s="341">
        <v>14760</v>
      </c>
      <c r="H48" s="273">
        <f>IFERROR(INDEX('4. Valuation'!$C$10:$I$17,MATCH($D48,'4. Valuation'!$C$10:$C$17,0),MATCH($H$25,'4. Valuation'!$C$10:$I$10,0)),0)</f>
        <v>1166</v>
      </c>
      <c r="I48" s="273">
        <f>IFERROR(INDEX('4. Valuation'!$C$10:$I$17,MATCH($D48,'4. Valuation'!$C$10:$C$17,0),MATCH($I$25,'4. Valuation'!$C$10:$I$10,0)),0)</f>
        <v>21.448728269247237</v>
      </c>
      <c r="J48" s="277"/>
      <c r="K48" s="312">
        <f t="shared" si="35"/>
        <v>13992</v>
      </c>
      <c r="L48" s="312">
        <f t="shared" si="36"/>
        <v>1166</v>
      </c>
      <c r="M48" s="312">
        <f t="shared" si="37"/>
        <v>22.423076923076923</v>
      </c>
      <c r="N48" s="278"/>
      <c r="O48" s="278"/>
      <c r="P48" s="278"/>
      <c r="Q48" s="278"/>
      <c r="R48" s="312">
        <f>IFERROR(INDEX('4. Valuation'!$O$10:$X$17,MATCH($D48,'4. Valuation'!$O$10:$O$17,0),MATCH($R$25,'4. Valuation'!$O$10:$X$10,0)),0)</f>
        <v>0</v>
      </c>
      <c r="S48" s="312">
        <f>IFERROR(INDEX('4. Valuation'!$O$10:$X$17,MATCH($D48,'4. Valuation'!$O$10:$O$17,0),MATCH($S$25,'4. Valuation'!$O$10:$X$10,0)),0)</f>
        <v>0</v>
      </c>
      <c r="T48" s="312">
        <f>IFERROR(INDEX('4. Valuation'!$O$10:$X$17,MATCH($D48,'4. Valuation'!$O$10:$O$17,0),MATCH($T$25,'4. Valuation'!$O$10:$X$10,0)),0)</f>
        <v>0</v>
      </c>
      <c r="U48" s="278"/>
      <c r="V48" s="312">
        <f t="shared" si="38"/>
        <v>0</v>
      </c>
      <c r="W48" s="312">
        <f t="shared" si="39"/>
        <v>0</v>
      </c>
      <c r="X48" s="312">
        <f t="shared" si="40"/>
        <v>0</v>
      </c>
      <c r="Y48" s="278"/>
      <c r="Z48" s="312">
        <f t="shared" si="41"/>
        <v>14820</v>
      </c>
      <c r="AA48" s="312">
        <f>'3. GRI Pricing'!Y39</f>
        <v>1235</v>
      </c>
      <c r="AB48" s="359">
        <f t="shared" si="42"/>
        <v>23.75</v>
      </c>
    </row>
    <row r="49" spans="3:28" s="30" customFormat="1" ht="12" x14ac:dyDescent="0.2">
      <c r="C49" s="77" t="str">
        <f>'1. Accomodation'!N44</f>
        <v>208N</v>
      </c>
      <c r="D49" s="77" t="str">
        <f>'1. Accomodation'!P44</f>
        <v>2 Bed</v>
      </c>
      <c r="E49" s="77">
        <f>'1. Accomodation'!O44</f>
        <v>624</v>
      </c>
      <c r="G49" s="341">
        <v>13680</v>
      </c>
      <c r="H49" s="273">
        <f>IFERROR(INDEX('4. Valuation'!$C$10:$I$17,MATCH($D49,'4. Valuation'!$C$10:$C$17,0),MATCH($H$25,'4. Valuation'!$C$10:$I$10,0)),0)</f>
        <v>1166</v>
      </c>
      <c r="I49" s="273">
        <f>IFERROR(INDEX('4. Valuation'!$C$10:$I$17,MATCH($D49,'4. Valuation'!$C$10:$C$17,0),MATCH($I$25,'4. Valuation'!$C$10:$I$10,0)),0)</f>
        <v>21.448728269247237</v>
      </c>
      <c r="J49" s="277"/>
      <c r="K49" s="312">
        <f t="shared" si="35"/>
        <v>13992</v>
      </c>
      <c r="L49" s="312">
        <f t="shared" si="36"/>
        <v>1166</v>
      </c>
      <c r="M49" s="312">
        <f t="shared" si="37"/>
        <v>22.423076923076923</v>
      </c>
      <c r="N49" s="278"/>
      <c r="O49" s="278"/>
      <c r="P49" s="278"/>
      <c r="Q49" s="278"/>
      <c r="R49" s="312">
        <f>IFERROR(INDEX('4. Valuation'!$O$10:$X$17,MATCH($D49,'4. Valuation'!$O$10:$O$17,0),MATCH($R$25,'4. Valuation'!$O$10:$X$10,0)),0)</f>
        <v>0</v>
      </c>
      <c r="S49" s="312">
        <f>IFERROR(INDEX('4. Valuation'!$O$10:$X$17,MATCH($D49,'4. Valuation'!$O$10:$O$17,0),MATCH($S$25,'4. Valuation'!$O$10:$X$10,0)),0)</f>
        <v>0</v>
      </c>
      <c r="T49" s="312">
        <f>IFERROR(INDEX('4. Valuation'!$O$10:$X$17,MATCH($D49,'4. Valuation'!$O$10:$O$17,0),MATCH($T$25,'4. Valuation'!$O$10:$X$10,0)),0)</f>
        <v>0</v>
      </c>
      <c r="U49" s="278"/>
      <c r="V49" s="312">
        <f t="shared" si="38"/>
        <v>0</v>
      </c>
      <c r="W49" s="312">
        <f t="shared" si="39"/>
        <v>0</v>
      </c>
      <c r="X49" s="312">
        <f t="shared" si="40"/>
        <v>0</v>
      </c>
      <c r="Y49" s="278"/>
      <c r="Z49" s="312">
        <f t="shared" si="41"/>
        <v>14820</v>
      </c>
      <c r="AA49" s="312">
        <f>'3. GRI Pricing'!Y40</f>
        <v>1235</v>
      </c>
      <c r="AB49" s="359">
        <f t="shared" si="42"/>
        <v>23.75</v>
      </c>
    </row>
    <row r="50" spans="3:28" s="30" customFormat="1" ht="12" x14ac:dyDescent="0.2">
      <c r="C50" s="77" t="str">
        <f>'1. Accomodation'!N45</f>
        <v>209N</v>
      </c>
      <c r="D50" s="77" t="str">
        <f>'1. Accomodation'!P45</f>
        <v>2 Bed</v>
      </c>
      <c r="E50" s="77">
        <f>'1. Accomodation'!O45</f>
        <v>657</v>
      </c>
      <c r="G50" s="341">
        <v>15420</v>
      </c>
      <c r="H50" s="273">
        <f>IFERROR(INDEX('4. Valuation'!$C$10:$I$17,MATCH($D50,'4. Valuation'!$C$10:$C$17,0),MATCH($H$25,'4. Valuation'!$C$10:$I$10,0)),0)</f>
        <v>1166</v>
      </c>
      <c r="I50" s="273">
        <f>IFERROR(INDEX('4. Valuation'!$C$10:$I$17,MATCH($D50,'4. Valuation'!$C$10:$C$17,0),MATCH($I$25,'4. Valuation'!$C$10:$I$10,0)),0)</f>
        <v>21.448728269247237</v>
      </c>
      <c r="J50" s="277"/>
      <c r="K50" s="312">
        <f t="shared" si="35"/>
        <v>13992</v>
      </c>
      <c r="L50" s="312">
        <f t="shared" si="36"/>
        <v>1166</v>
      </c>
      <c r="M50" s="312">
        <f t="shared" si="37"/>
        <v>21.296803652968038</v>
      </c>
      <c r="N50" s="278"/>
      <c r="O50" s="278"/>
      <c r="P50" s="278"/>
      <c r="Q50" s="278"/>
      <c r="R50" s="312">
        <f>IFERROR(INDEX('4. Valuation'!$O$10:$X$17,MATCH($D50,'4. Valuation'!$O$10:$O$17,0),MATCH($R$25,'4. Valuation'!$O$10:$X$10,0)),0)</f>
        <v>0</v>
      </c>
      <c r="S50" s="312">
        <f>IFERROR(INDEX('4. Valuation'!$O$10:$X$17,MATCH($D50,'4. Valuation'!$O$10:$O$17,0),MATCH($S$25,'4. Valuation'!$O$10:$X$10,0)),0)</f>
        <v>0</v>
      </c>
      <c r="T50" s="312">
        <f>IFERROR(INDEX('4. Valuation'!$O$10:$X$17,MATCH($D50,'4. Valuation'!$O$10:$O$17,0),MATCH($T$25,'4. Valuation'!$O$10:$X$10,0)),0)</f>
        <v>0</v>
      </c>
      <c r="U50" s="278"/>
      <c r="V50" s="312">
        <f t="shared" si="38"/>
        <v>0</v>
      </c>
      <c r="W50" s="312">
        <f t="shared" si="39"/>
        <v>0</v>
      </c>
      <c r="X50" s="312">
        <f t="shared" si="40"/>
        <v>0</v>
      </c>
      <c r="Y50" s="278"/>
      <c r="Z50" s="312">
        <f t="shared" si="41"/>
        <v>15420</v>
      </c>
      <c r="AA50" s="312">
        <f>'3. GRI Pricing'!Y41</f>
        <v>1285</v>
      </c>
      <c r="AB50" s="359">
        <f t="shared" si="42"/>
        <v>23.470319634703195</v>
      </c>
    </row>
    <row r="51" spans="3:28" s="30" customFormat="1" ht="12" x14ac:dyDescent="0.2">
      <c r="C51" s="77" t="str">
        <f>'1. Accomodation'!N46</f>
        <v>210N</v>
      </c>
      <c r="D51" s="77" t="str">
        <f>'1. Accomodation'!P46</f>
        <v>2 Bed</v>
      </c>
      <c r="E51" s="77">
        <f>'1. Accomodation'!O46</f>
        <v>700</v>
      </c>
      <c r="G51" s="341">
        <v>15600</v>
      </c>
      <c r="H51" s="273">
        <f>IFERROR(INDEX('4. Valuation'!$C$10:$I$17,MATCH($D51,'4. Valuation'!$C$10:$C$17,0),MATCH($H$25,'4. Valuation'!$C$10:$I$10,0)),0)</f>
        <v>1166</v>
      </c>
      <c r="I51" s="273">
        <f>IFERROR(INDEX('4. Valuation'!$C$10:$I$17,MATCH($D51,'4. Valuation'!$C$10:$C$17,0),MATCH($I$25,'4. Valuation'!$C$10:$I$10,0)),0)</f>
        <v>21.448728269247237</v>
      </c>
      <c r="J51" s="277"/>
      <c r="K51" s="312">
        <f t="shared" si="35"/>
        <v>13992</v>
      </c>
      <c r="L51" s="312">
        <f t="shared" si="36"/>
        <v>1166</v>
      </c>
      <c r="M51" s="312">
        <f t="shared" si="37"/>
        <v>19.988571428571429</v>
      </c>
      <c r="N51" s="278"/>
      <c r="O51" s="278"/>
      <c r="P51" s="278"/>
      <c r="Q51" s="278"/>
      <c r="R51" s="312">
        <f>IFERROR(INDEX('4. Valuation'!$O$10:$X$17,MATCH($D51,'4. Valuation'!$O$10:$O$17,0),MATCH($R$25,'4. Valuation'!$O$10:$X$10,0)),0)</f>
        <v>0</v>
      </c>
      <c r="S51" s="312">
        <f>IFERROR(INDEX('4. Valuation'!$O$10:$X$17,MATCH($D51,'4. Valuation'!$O$10:$O$17,0),MATCH($S$25,'4. Valuation'!$O$10:$X$10,0)),0)</f>
        <v>0</v>
      </c>
      <c r="T51" s="312">
        <f>IFERROR(INDEX('4. Valuation'!$O$10:$X$17,MATCH($D51,'4. Valuation'!$O$10:$O$17,0),MATCH($T$25,'4. Valuation'!$O$10:$X$10,0)),0)</f>
        <v>0</v>
      </c>
      <c r="U51" s="278"/>
      <c r="V51" s="312">
        <f t="shared" si="38"/>
        <v>0</v>
      </c>
      <c r="W51" s="312">
        <f t="shared" si="39"/>
        <v>0</v>
      </c>
      <c r="X51" s="312">
        <f t="shared" si="40"/>
        <v>0</v>
      </c>
      <c r="Y51" s="278"/>
      <c r="Z51" s="312">
        <f t="shared" si="41"/>
        <v>15960</v>
      </c>
      <c r="AA51" s="312">
        <f>'3. GRI Pricing'!Y42</f>
        <v>1330</v>
      </c>
      <c r="AB51" s="359">
        <f t="shared" si="42"/>
        <v>22.8</v>
      </c>
    </row>
    <row r="52" spans="3:28" s="30" customFormat="1" ht="12" x14ac:dyDescent="0.2">
      <c r="C52" s="77" t="str">
        <f>'1. Accomodation'!N47</f>
        <v>211N</v>
      </c>
      <c r="D52" s="77" t="str">
        <f>'1. Accomodation'!P47</f>
        <v>2 Bed</v>
      </c>
      <c r="E52" s="77">
        <f>'1. Accomodation'!O47</f>
        <v>689</v>
      </c>
      <c r="G52" s="341">
        <v>16500</v>
      </c>
      <c r="H52" s="273">
        <f>IFERROR(INDEX('4. Valuation'!$C$10:$I$17,MATCH($D52,'4. Valuation'!$C$10:$C$17,0),MATCH($H$25,'4. Valuation'!$C$10:$I$10,0)),0)</f>
        <v>1166</v>
      </c>
      <c r="I52" s="273">
        <f>IFERROR(INDEX('4. Valuation'!$C$10:$I$17,MATCH($D52,'4. Valuation'!$C$10:$C$17,0),MATCH($I$25,'4. Valuation'!$C$10:$I$10,0)),0)</f>
        <v>21.448728269247237</v>
      </c>
      <c r="J52" s="277"/>
      <c r="K52" s="312">
        <f t="shared" si="35"/>
        <v>13992</v>
      </c>
      <c r="L52" s="312">
        <f t="shared" si="36"/>
        <v>1166</v>
      </c>
      <c r="M52" s="312">
        <f t="shared" si="37"/>
        <v>20.307692307692307</v>
      </c>
      <c r="N52" s="278"/>
      <c r="O52" s="278"/>
      <c r="P52" s="278"/>
      <c r="Q52" s="278"/>
      <c r="R52" s="312">
        <f>IFERROR(INDEX('4. Valuation'!$O$10:$X$17,MATCH($D52,'4. Valuation'!$O$10:$O$17,0),MATCH($R$25,'4. Valuation'!$O$10:$X$10,0)),0)</f>
        <v>0</v>
      </c>
      <c r="S52" s="312">
        <f>IFERROR(INDEX('4. Valuation'!$O$10:$X$17,MATCH($D52,'4. Valuation'!$O$10:$O$17,0),MATCH($S$25,'4. Valuation'!$O$10:$X$10,0)),0)</f>
        <v>0</v>
      </c>
      <c r="T52" s="312">
        <f>IFERROR(INDEX('4. Valuation'!$O$10:$X$17,MATCH($D52,'4. Valuation'!$O$10:$O$17,0),MATCH($T$25,'4. Valuation'!$O$10:$X$10,0)),0)</f>
        <v>0</v>
      </c>
      <c r="U52" s="278"/>
      <c r="V52" s="312">
        <f t="shared" si="38"/>
        <v>0</v>
      </c>
      <c r="W52" s="312">
        <f t="shared" si="39"/>
        <v>0</v>
      </c>
      <c r="X52" s="312">
        <f t="shared" si="40"/>
        <v>0</v>
      </c>
      <c r="Y52" s="278"/>
      <c r="Z52" s="312">
        <f t="shared" si="41"/>
        <v>16080</v>
      </c>
      <c r="AA52" s="312">
        <f>'3. GRI Pricing'!Y43</f>
        <v>1340</v>
      </c>
      <c r="AB52" s="359">
        <f t="shared" si="42"/>
        <v>23.338171262699564</v>
      </c>
    </row>
    <row r="53" spans="3:28" s="30" customFormat="1" ht="12" x14ac:dyDescent="0.2">
      <c r="C53" s="77" t="str">
        <f>'1. Accomodation'!N48</f>
        <v>212N</v>
      </c>
      <c r="D53" s="77" t="str">
        <f>'1. Accomodation'!P48</f>
        <v>1 Bed</v>
      </c>
      <c r="E53" s="77">
        <f>'1. Accomodation'!O48</f>
        <v>517</v>
      </c>
      <c r="G53" s="341">
        <v>11760</v>
      </c>
      <c r="H53" s="273">
        <f>IFERROR(INDEX('4. Valuation'!$C$10:$I$17,MATCH($D53,'4. Valuation'!$C$10:$C$17,0),MATCH($H$25,'4. Valuation'!$C$10:$I$10,0)),0)</f>
        <v>867</v>
      </c>
      <c r="I53" s="273">
        <f>IFERROR(INDEX('4. Valuation'!$C$10:$I$17,MATCH($D53,'4. Valuation'!$C$10:$C$17,0),MATCH($I$25,'4. Valuation'!$C$10:$I$10,0)),0)</f>
        <v>20.660726106217222</v>
      </c>
      <c r="J53" s="277"/>
      <c r="K53" s="312">
        <f t="shared" si="35"/>
        <v>10404</v>
      </c>
      <c r="L53" s="312">
        <f t="shared" si="36"/>
        <v>867</v>
      </c>
      <c r="M53" s="312">
        <f t="shared" si="37"/>
        <v>20.123791102514506</v>
      </c>
      <c r="N53" s="278"/>
      <c r="O53" s="278"/>
      <c r="P53" s="278"/>
      <c r="Q53" s="278"/>
      <c r="R53" s="312">
        <f>IFERROR(INDEX('4. Valuation'!$O$10:$X$17,MATCH($D53,'4. Valuation'!$O$10:$O$17,0),MATCH($R$25,'4. Valuation'!$O$10:$X$10,0)),0)</f>
        <v>0</v>
      </c>
      <c r="S53" s="312">
        <f>IFERROR(INDEX('4. Valuation'!$O$10:$X$17,MATCH($D53,'4. Valuation'!$O$10:$O$17,0),MATCH($S$25,'4. Valuation'!$O$10:$X$10,0)),0)</f>
        <v>0</v>
      </c>
      <c r="T53" s="312">
        <f>IFERROR(INDEX('4. Valuation'!$O$10:$X$17,MATCH($D53,'4. Valuation'!$O$10:$O$17,0),MATCH($T$25,'4. Valuation'!$O$10:$X$10,0)),0)</f>
        <v>0</v>
      </c>
      <c r="U53" s="278"/>
      <c r="V53" s="312">
        <f t="shared" si="38"/>
        <v>0</v>
      </c>
      <c r="W53" s="312">
        <f t="shared" si="39"/>
        <v>0</v>
      </c>
      <c r="X53" s="312">
        <f t="shared" si="40"/>
        <v>0</v>
      </c>
      <c r="Y53" s="278"/>
      <c r="Z53" s="312">
        <f t="shared" si="41"/>
        <v>12360</v>
      </c>
      <c r="AA53" s="312">
        <f>'3. GRI Pricing'!Y44</f>
        <v>1030</v>
      </c>
      <c r="AB53" s="359">
        <f t="shared" si="42"/>
        <v>23.90715667311412</v>
      </c>
    </row>
    <row r="54" spans="3:28" s="30" customFormat="1" ht="12" x14ac:dyDescent="0.2">
      <c r="C54" s="77" t="str">
        <f>'1. Accomodation'!N49</f>
        <v>213N</v>
      </c>
      <c r="D54" s="77" t="str">
        <f>'1. Accomodation'!P49</f>
        <v>1 Bed</v>
      </c>
      <c r="E54" s="77">
        <f>'1. Accomodation'!O49</f>
        <v>538</v>
      </c>
      <c r="G54" s="341">
        <v>11160</v>
      </c>
      <c r="H54" s="273">
        <f>IFERROR(INDEX('4. Valuation'!$C$10:$I$17,MATCH($D54,'4. Valuation'!$C$10:$C$17,0),MATCH($H$25,'4. Valuation'!$C$10:$I$10,0)),0)</f>
        <v>867</v>
      </c>
      <c r="I54" s="273">
        <f>IFERROR(INDEX('4. Valuation'!$C$10:$I$17,MATCH($D54,'4. Valuation'!$C$10:$C$17,0),MATCH($I$25,'4. Valuation'!$C$10:$I$10,0)),0)</f>
        <v>20.660726106217222</v>
      </c>
      <c r="J54" s="277"/>
      <c r="K54" s="312">
        <f t="shared" si="35"/>
        <v>10404</v>
      </c>
      <c r="L54" s="312">
        <f t="shared" si="36"/>
        <v>867</v>
      </c>
      <c r="M54" s="312">
        <f t="shared" si="37"/>
        <v>19.338289962825279</v>
      </c>
      <c r="N54" s="278"/>
      <c r="O54" s="278"/>
      <c r="P54" s="278"/>
      <c r="Q54" s="278"/>
      <c r="R54" s="312">
        <f>IFERROR(INDEX('4. Valuation'!$O$10:$X$17,MATCH($D54,'4. Valuation'!$O$10:$O$17,0),MATCH($R$25,'4. Valuation'!$O$10:$X$10,0)),0)</f>
        <v>0</v>
      </c>
      <c r="S54" s="312">
        <f>IFERROR(INDEX('4. Valuation'!$O$10:$X$17,MATCH($D54,'4. Valuation'!$O$10:$O$17,0),MATCH($S$25,'4. Valuation'!$O$10:$X$10,0)),0)</f>
        <v>0</v>
      </c>
      <c r="T54" s="312">
        <f>IFERROR(INDEX('4. Valuation'!$O$10:$X$17,MATCH($D54,'4. Valuation'!$O$10:$O$17,0),MATCH($T$25,'4. Valuation'!$O$10:$X$10,0)),0)</f>
        <v>0</v>
      </c>
      <c r="U54" s="278"/>
      <c r="V54" s="312">
        <f t="shared" si="38"/>
        <v>0</v>
      </c>
      <c r="W54" s="312">
        <f t="shared" si="39"/>
        <v>0</v>
      </c>
      <c r="X54" s="312">
        <f t="shared" si="40"/>
        <v>0</v>
      </c>
      <c r="Y54" s="278"/>
      <c r="Z54" s="312">
        <f t="shared" si="41"/>
        <v>12060</v>
      </c>
      <c r="AA54" s="312">
        <f>'3. GRI Pricing'!Y45</f>
        <v>1005</v>
      </c>
      <c r="AB54" s="359">
        <f t="shared" si="42"/>
        <v>22.41635687732342</v>
      </c>
    </row>
    <row r="55" spans="3:28" s="30" customFormat="1" ht="12" x14ac:dyDescent="0.2">
      <c r="C55" s="77" t="str">
        <f>'1. Accomodation'!N50</f>
        <v>214N</v>
      </c>
      <c r="D55" s="77" t="str">
        <f>'1. Accomodation'!P50</f>
        <v>1 Bed</v>
      </c>
      <c r="E55" s="77">
        <f>'1. Accomodation'!O50</f>
        <v>560</v>
      </c>
      <c r="G55" s="341">
        <v>11280</v>
      </c>
      <c r="H55" s="273">
        <f>IFERROR(INDEX('4. Valuation'!$C$10:$I$17,MATCH($D55,'4. Valuation'!$C$10:$C$17,0),MATCH($H$25,'4. Valuation'!$C$10:$I$10,0)),0)</f>
        <v>867</v>
      </c>
      <c r="I55" s="273">
        <f>IFERROR(INDEX('4. Valuation'!$C$10:$I$17,MATCH($D55,'4. Valuation'!$C$10:$C$17,0),MATCH($I$25,'4. Valuation'!$C$10:$I$10,0)),0)</f>
        <v>20.660726106217222</v>
      </c>
      <c r="J55" s="277"/>
      <c r="K55" s="312">
        <f t="shared" si="35"/>
        <v>10404</v>
      </c>
      <c r="L55" s="312">
        <f t="shared" si="36"/>
        <v>867</v>
      </c>
      <c r="M55" s="312">
        <f t="shared" si="37"/>
        <v>18.578571428571429</v>
      </c>
      <c r="N55" s="278"/>
      <c r="O55" s="278"/>
      <c r="P55" s="278"/>
      <c r="Q55" s="278"/>
      <c r="R55" s="312">
        <f>IFERROR(INDEX('4. Valuation'!$O$10:$X$17,MATCH($D55,'4. Valuation'!$O$10:$O$17,0),MATCH($R$25,'4. Valuation'!$O$10:$X$10,0)),0)</f>
        <v>0</v>
      </c>
      <c r="S55" s="312">
        <f>IFERROR(INDEX('4. Valuation'!$O$10:$X$17,MATCH($D55,'4. Valuation'!$O$10:$O$17,0),MATCH($S$25,'4. Valuation'!$O$10:$X$10,0)),0)</f>
        <v>0</v>
      </c>
      <c r="T55" s="312">
        <f>IFERROR(INDEX('4. Valuation'!$O$10:$X$17,MATCH($D55,'4. Valuation'!$O$10:$O$17,0),MATCH($T$25,'4. Valuation'!$O$10:$X$10,0)),0)</f>
        <v>0</v>
      </c>
      <c r="U55" s="278"/>
      <c r="V55" s="312">
        <f t="shared" si="38"/>
        <v>0</v>
      </c>
      <c r="W55" s="312">
        <f t="shared" si="39"/>
        <v>0</v>
      </c>
      <c r="X55" s="312">
        <f t="shared" si="40"/>
        <v>0</v>
      </c>
      <c r="Y55" s="278"/>
      <c r="Z55" s="312">
        <f t="shared" si="41"/>
        <v>11880</v>
      </c>
      <c r="AA55" s="312">
        <f>'3. GRI Pricing'!Y46</f>
        <v>990</v>
      </c>
      <c r="AB55" s="359">
        <f t="shared" si="42"/>
        <v>21.214285714285715</v>
      </c>
    </row>
    <row r="56" spans="3:28" s="30" customFormat="1" ht="12" x14ac:dyDescent="0.2">
      <c r="C56" s="77" t="str">
        <f>'1. Accomodation'!N51</f>
        <v>215N</v>
      </c>
      <c r="D56" s="77" t="str">
        <f>'1. Accomodation'!P51</f>
        <v>2 Bed</v>
      </c>
      <c r="E56" s="77">
        <f>'1. Accomodation'!O51</f>
        <v>624</v>
      </c>
      <c r="G56" s="341">
        <v>14940</v>
      </c>
      <c r="H56" s="273">
        <f>IFERROR(INDEX('4. Valuation'!$C$10:$I$17,MATCH($D56,'4. Valuation'!$C$10:$C$17,0),MATCH($H$25,'4. Valuation'!$C$10:$I$10,0)),0)</f>
        <v>1166</v>
      </c>
      <c r="I56" s="273">
        <f>IFERROR(INDEX('4. Valuation'!$C$10:$I$17,MATCH($D56,'4. Valuation'!$C$10:$C$17,0),MATCH($I$25,'4. Valuation'!$C$10:$I$10,0)),0)</f>
        <v>21.448728269247237</v>
      </c>
      <c r="J56" s="277"/>
      <c r="K56" s="312">
        <f t="shared" si="35"/>
        <v>13992</v>
      </c>
      <c r="L56" s="312">
        <f t="shared" si="36"/>
        <v>1166</v>
      </c>
      <c r="M56" s="312">
        <f t="shared" si="37"/>
        <v>22.423076923076923</v>
      </c>
      <c r="N56" s="278"/>
      <c r="O56" s="278"/>
      <c r="P56" s="278"/>
      <c r="Q56" s="278"/>
      <c r="R56" s="312">
        <f>IFERROR(INDEX('4. Valuation'!$O$10:$X$17,MATCH($D56,'4. Valuation'!$O$10:$O$17,0),MATCH($R$25,'4. Valuation'!$O$10:$X$10,0)),0)</f>
        <v>0</v>
      </c>
      <c r="S56" s="312">
        <f>IFERROR(INDEX('4. Valuation'!$O$10:$X$17,MATCH($D56,'4. Valuation'!$O$10:$O$17,0),MATCH($S$25,'4. Valuation'!$O$10:$X$10,0)),0)</f>
        <v>0</v>
      </c>
      <c r="T56" s="312">
        <f>IFERROR(INDEX('4. Valuation'!$O$10:$X$17,MATCH($D56,'4. Valuation'!$O$10:$O$17,0),MATCH($T$25,'4. Valuation'!$O$10:$X$10,0)),0)</f>
        <v>0</v>
      </c>
      <c r="U56" s="278"/>
      <c r="V56" s="312">
        <f t="shared" si="38"/>
        <v>0</v>
      </c>
      <c r="W56" s="312">
        <f t="shared" si="39"/>
        <v>0</v>
      </c>
      <c r="X56" s="312">
        <f t="shared" si="40"/>
        <v>0</v>
      </c>
      <c r="Y56" s="278"/>
      <c r="Z56" s="312">
        <f t="shared" si="41"/>
        <v>15060</v>
      </c>
      <c r="AA56" s="312">
        <f>'3. GRI Pricing'!Y47</f>
        <v>1255</v>
      </c>
      <c r="AB56" s="359">
        <f t="shared" si="42"/>
        <v>24.134615384615383</v>
      </c>
    </row>
    <row r="57" spans="3:28" s="30" customFormat="1" ht="12" x14ac:dyDescent="0.2">
      <c r="C57" s="77" t="str">
        <f>'1. Accomodation'!N52</f>
        <v>216N</v>
      </c>
      <c r="D57" s="77" t="str">
        <f>'1. Accomodation'!P52</f>
        <v>2 Bed</v>
      </c>
      <c r="E57" s="77">
        <f>'1. Accomodation'!O52</f>
        <v>624</v>
      </c>
      <c r="G57" s="341">
        <v>15180</v>
      </c>
      <c r="H57" s="273">
        <f>IFERROR(INDEX('4. Valuation'!$C$10:$I$17,MATCH($D57,'4. Valuation'!$C$10:$C$17,0),MATCH($H$25,'4. Valuation'!$C$10:$I$10,0)),0)</f>
        <v>1166</v>
      </c>
      <c r="I57" s="273">
        <f>IFERROR(INDEX('4. Valuation'!$C$10:$I$17,MATCH($D57,'4. Valuation'!$C$10:$C$17,0),MATCH($I$25,'4. Valuation'!$C$10:$I$10,0)),0)</f>
        <v>21.448728269247237</v>
      </c>
      <c r="J57" s="277"/>
      <c r="K57" s="312">
        <f t="shared" si="35"/>
        <v>13992</v>
      </c>
      <c r="L57" s="312">
        <f t="shared" si="36"/>
        <v>1166</v>
      </c>
      <c r="M57" s="312">
        <f t="shared" si="37"/>
        <v>22.423076923076923</v>
      </c>
      <c r="N57" s="278"/>
      <c r="O57" s="278"/>
      <c r="P57" s="278"/>
      <c r="Q57" s="278"/>
      <c r="R57" s="312">
        <f>IFERROR(INDEX('4. Valuation'!$O$10:$X$17,MATCH($D57,'4. Valuation'!$O$10:$O$17,0),MATCH($R$25,'4. Valuation'!$O$10:$X$10,0)),0)</f>
        <v>0</v>
      </c>
      <c r="S57" s="312">
        <f>IFERROR(INDEX('4. Valuation'!$O$10:$X$17,MATCH($D57,'4. Valuation'!$O$10:$O$17,0),MATCH($S$25,'4. Valuation'!$O$10:$X$10,0)),0)</f>
        <v>0</v>
      </c>
      <c r="T57" s="312">
        <f>IFERROR(INDEX('4. Valuation'!$O$10:$X$17,MATCH($D57,'4. Valuation'!$O$10:$O$17,0),MATCH($T$25,'4. Valuation'!$O$10:$X$10,0)),0)</f>
        <v>0</v>
      </c>
      <c r="U57" s="278"/>
      <c r="V57" s="312">
        <f t="shared" si="38"/>
        <v>0</v>
      </c>
      <c r="W57" s="312">
        <f t="shared" si="39"/>
        <v>0</v>
      </c>
      <c r="X57" s="312">
        <f t="shared" si="40"/>
        <v>0</v>
      </c>
      <c r="Y57" s="278"/>
      <c r="Z57" s="312">
        <f t="shared" si="41"/>
        <v>15060</v>
      </c>
      <c r="AA57" s="312">
        <f>'3. GRI Pricing'!Y48</f>
        <v>1255</v>
      </c>
      <c r="AB57" s="359">
        <f t="shared" si="42"/>
        <v>24.134615384615383</v>
      </c>
    </row>
    <row r="58" spans="3:28" s="30" customFormat="1" ht="12" x14ac:dyDescent="0.2">
      <c r="C58" s="77" t="str">
        <f>'1. Accomodation'!N53</f>
        <v>301N</v>
      </c>
      <c r="D58" s="77" t="str">
        <f>'1. Accomodation'!P53</f>
        <v>1 Bed</v>
      </c>
      <c r="E58" s="77">
        <f>'1. Accomodation'!O53</f>
        <v>484</v>
      </c>
      <c r="G58" s="341">
        <v>11820</v>
      </c>
      <c r="H58" s="273">
        <f>IFERROR(INDEX('4. Valuation'!$C$10:$I$17,MATCH($D58,'4. Valuation'!$C$10:$C$17,0),MATCH($H$25,'4. Valuation'!$C$10:$I$10,0)),0)</f>
        <v>867</v>
      </c>
      <c r="I58" s="273">
        <f>IFERROR(INDEX('4. Valuation'!$C$10:$I$17,MATCH($D58,'4. Valuation'!$C$10:$C$17,0),MATCH($I$25,'4. Valuation'!$C$10:$I$10,0)),0)</f>
        <v>20.660726106217222</v>
      </c>
      <c r="J58" s="277"/>
      <c r="K58" s="312">
        <f t="shared" si="35"/>
        <v>10404</v>
      </c>
      <c r="L58" s="312">
        <f t="shared" si="36"/>
        <v>867</v>
      </c>
      <c r="M58" s="312">
        <f t="shared" si="37"/>
        <v>21.495867768595041</v>
      </c>
      <c r="N58" s="278"/>
      <c r="O58" s="278"/>
      <c r="P58" s="278"/>
      <c r="Q58" s="278"/>
      <c r="R58" s="312">
        <f>IFERROR(INDEX('4. Valuation'!$O$10:$X$17,MATCH($D58,'4. Valuation'!$O$10:$O$17,0),MATCH($R$25,'4. Valuation'!$O$10:$X$10,0)),0)</f>
        <v>0</v>
      </c>
      <c r="S58" s="312">
        <f>IFERROR(INDEX('4. Valuation'!$O$10:$X$17,MATCH($D58,'4. Valuation'!$O$10:$O$17,0),MATCH($S$25,'4. Valuation'!$O$10:$X$10,0)),0)</f>
        <v>0</v>
      </c>
      <c r="T58" s="312">
        <f>IFERROR(INDEX('4. Valuation'!$O$10:$X$17,MATCH($D58,'4. Valuation'!$O$10:$O$17,0),MATCH($T$25,'4. Valuation'!$O$10:$X$10,0)),0)</f>
        <v>0</v>
      </c>
      <c r="U58" s="278"/>
      <c r="V58" s="312">
        <f t="shared" si="38"/>
        <v>0</v>
      </c>
      <c r="W58" s="312">
        <f t="shared" si="39"/>
        <v>0</v>
      </c>
      <c r="X58" s="312">
        <f t="shared" si="40"/>
        <v>0</v>
      </c>
      <c r="Y58" s="278"/>
      <c r="Z58" s="312">
        <f t="shared" si="41"/>
        <v>12000</v>
      </c>
      <c r="AA58" s="312">
        <f>'3. GRI Pricing'!Y49</f>
        <v>1000</v>
      </c>
      <c r="AB58" s="359">
        <f t="shared" si="42"/>
        <v>24.793388429752067</v>
      </c>
    </row>
    <row r="59" spans="3:28" s="30" customFormat="1" ht="12" x14ac:dyDescent="0.2">
      <c r="C59" s="77" t="str">
        <f>'1. Accomodation'!N54</f>
        <v>302N</v>
      </c>
      <c r="D59" s="77" t="str">
        <f>'1. Accomodation'!P54</f>
        <v>2 Bed</v>
      </c>
      <c r="E59" s="77">
        <f>'1. Accomodation'!O54</f>
        <v>678</v>
      </c>
      <c r="G59" s="341">
        <v>15360</v>
      </c>
      <c r="H59" s="273">
        <f>IFERROR(INDEX('4. Valuation'!$C$10:$I$17,MATCH($D59,'4. Valuation'!$C$10:$C$17,0),MATCH($H$25,'4. Valuation'!$C$10:$I$10,0)),0)</f>
        <v>1166</v>
      </c>
      <c r="I59" s="273">
        <f>IFERROR(INDEX('4. Valuation'!$C$10:$I$17,MATCH($D59,'4. Valuation'!$C$10:$C$17,0),MATCH($I$25,'4. Valuation'!$C$10:$I$10,0)),0)</f>
        <v>21.448728269247237</v>
      </c>
      <c r="J59" s="277"/>
      <c r="K59" s="312">
        <f t="shared" si="35"/>
        <v>13992</v>
      </c>
      <c r="L59" s="312">
        <f t="shared" si="36"/>
        <v>1166</v>
      </c>
      <c r="M59" s="312">
        <f t="shared" si="37"/>
        <v>20.63716814159292</v>
      </c>
      <c r="N59" s="278"/>
      <c r="O59" s="278"/>
      <c r="P59" s="278"/>
      <c r="Q59" s="278"/>
      <c r="R59" s="312">
        <f>IFERROR(INDEX('4. Valuation'!$O$10:$X$17,MATCH($D59,'4. Valuation'!$O$10:$O$17,0),MATCH($R$25,'4. Valuation'!$O$10:$X$10,0)),0)</f>
        <v>0</v>
      </c>
      <c r="S59" s="312">
        <f>IFERROR(INDEX('4. Valuation'!$O$10:$X$17,MATCH($D59,'4. Valuation'!$O$10:$O$17,0),MATCH($S$25,'4. Valuation'!$O$10:$X$10,0)),0)</f>
        <v>0</v>
      </c>
      <c r="T59" s="312">
        <f>IFERROR(INDEX('4. Valuation'!$O$10:$X$17,MATCH($D59,'4. Valuation'!$O$10:$O$17,0),MATCH($T$25,'4. Valuation'!$O$10:$X$10,0)),0)</f>
        <v>0</v>
      </c>
      <c r="U59" s="278"/>
      <c r="V59" s="312">
        <f t="shared" si="38"/>
        <v>0</v>
      </c>
      <c r="W59" s="312">
        <f t="shared" si="39"/>
        <v>0</v>
      </c>
      <c r="X59" s="312">
        <f t="shared" si="40"/>
        <v>0</v>
      </c>
      <c r="Y59" s="278"/>
      <c r="Z59" s="312">
        <f t="shared" si="41"/>
        <v>15540</v>
      </c>
      <c r="AA59" s="312">
        <f>'3. GRI Pricing'!Y50</f>
        <v>1295</v>
      </c>
      <c r="AB59" s="359">
        <f t="shared" si="42"/>
        <v>22.920353982300885</v>
      </c>
    </row>
    <row r="60" spans="3:28" s="30" customFormat="1" ht="12" x14ac:dyDescent="0.2">
      <c r="C60" s="77" t="str">
        <f>'1. Accomodation'!N55</f>
        <v>303N</v>
      </c>
      <c r="D60" s="77" t="str">
        <f>'1. Accomodation'!P55</f>
        <v>2 Bed</v>
      </c>
      <c r="E60" s="77">
        <f>'1. Accomodation'!O55</f>
        <v>657</v>
      </c>
      <c r="G60" s="341">
        <v>15300</v>
      </c>
      <c r="H60" s="273">
        <f>IFERROR(INDEX('4. Valuation'!$C$10:$I$17,MATCH($D60,'4. Valuation'!$C$10:$C$17,0),MATCH($H$25,'4. Valuation'!$C$10:$I$10,0)),0)</f>
        <v>1166</v>
      </c>
      <c r="I60" s="273">
        <f>IFERROR(INDEX('4. Valuation'!$C$10:$I$17,MATCH($D60,'4. Valuation'!$C$10:$C$17,0),MATCH($I$25,'4. Valuation'!$C$10:$I$10,0)),0)</f>
        <v>21.448728269247237</v>
      </c>
      <c r="J60" s="277"/>
      <c r="K60" s="312">
        <f t="shared" si="35"/>
        <v>13992</v>
      </c>
      <c r="L60" s="312">
        <f t="shared" si="36"/>
        <v>1166</v>
      </c>
      <c r="M60" s="312">
        <f t="shared" si="37"/>
        <v>21.296803652968038</v>
      </c>
      <c r="N60" s="278"/>
      <c r="O60" s="278"/>
      <c r="P60" s="278"/>
      <c r="Q60" s="278"/>
      <c r="R60" s="312">
        <f>IFERROR(INDEX('4. Valuation'!$O$10:$X$17,MATCH($D60,'4. Valuation'!$O$10:$O$17,0),MATCH($R$25,'4. Valuation'!$O$10:$X$10,0)),0)</f>
        <v>0</v>
      </c>
      <c r="S60" s="312">
        <f>IFERROR(INDEX('4. Valuation'!$O$10:$X$17,MATCH($D60,'4. Valuation'!$O$10:$O$17,0),MATCH($S$25,'4. Valuation'!$O$10:$X$10,0)),0)</f>
        <v>0</v>
      </c>
      <c r="T60" s="312">
        <f>IFERROR(INDEX('4. Valuation'!$O$10:$X$17,MATCH($D60,'4. Valuation'!$O$10:$O$17,0),MATCH($T$25,'4. Valuation'!$O$10:$X$10,0)),0)</f>
        <v>0</v>
      </c>
      <c r="U60" s="278"/>
      <c r="V60" s="312">
        <f t="shared" si="38"/>
        <v>0</v>
      </c>
      <c r="W60" s="312">
        <f t="shared" si="39"/>
        <v>0</v>
      </c>
      <c r="X60" s="312">
        <f t="shared" si="40"/>
        <v>0</v>
      </c>
      <c r="Y60" s="278"/>
      <c r="Z60" s="312">
        <f t="shared" si="41"/>
        <v>15300</v>
      </c>
      <c r="AA60" s="312">
        <f>'3. GRI Pricing'!Y51</f>
        <v>1275</v>
      </c>
      <c r="AB60" s="359">
        <f t="shared" si="42"/>
        <v>23.287671232876711</v>
      </c>
    </row>
    <row r="61" spans="3:28" s="30" customFormat="1" ht="12" x14ac:dyDescent="0.2">
      <c r="C61" s="77" t="str">
        <f>'1. Accomodation'!N56</f>
        <v>304N</v>
      </c>
      <c r="D61" s="77" t="str">
        <f>'1. Accomodation'!P56</f>
        <v>3 Bed</v>
      </c>
      <c r="E61" s="77">
        <f>'1. Accomodation'!O56</f>
        <v>818</v>
      </c>
      <c r="G61" s="341">
        <v>19200</v>
      </c>
      <c r="H61" s="273">
        <f>IFERROR(INDEX('4. Valuation'!$C$10:$I$17,MATCH($D61,'4. Valuation'!$C$10:$C$17,0),MATCH($H$25,'4. Valuation'!$C$10:$I$10,0)),0)</f>
        <v>1511</v>
      </c>
      <c r="I61" s="273">
        <f>IFERROR(INDEX('4. Valuation'!$C$10:$I$17,MATCH($D61,'4. Valuation'!$C$10:$C$17,0),MATCH($I$25,'4. Valuation'!$C$10:$I$10,0)),0)</f>
        <v>22.026444890903143</v>
      </c>
      <c r="J61" s="277"/>
      <c r="K61" s="312">
        <f t="shared" si="35"/>
        <v>18132</v>
      </c>
      <c r="L61" s="312">
        <f t="shared" si="36"/>
        <v>1511</v>
      </c>
      <c r="M61" s="312">
        <f t="shared" si="37"/>
        <v>22.166259168704155</v>
      </c>
      <c r="N61" s="278"/>
      <c r="O61" s="278"/>
      <c r="P61" s="278"/>
      <c r="Q61" s="278"/>
      <c r="R61" s="312">
        <f>IFERROR(INDEX('4. Valuation'!$O$10:$X$17,MATCH($D61,'4. Valuation'!$O$10:$O$17,0),MATCH($R$25,'4. Valuation'!$O$10:$X$10,0)),0)</f>
        <v>0</v>
      </c>
      <c r="S61" s="312">
        <f>IFERROR(INDEX('4. Valuation'!$O$10:$X$17,MATCH($D61,'4. Valuation'!$O$10:$O$17,0),MATCH($S$25,'4. Valuation'!$O$10:$X$10,0)),0)</f>
        <v>0</v>
      </c>
      <c r="T61" s="312">
        <f>IFERROR(INDEX('4. Valuation'!$O$10:$X$17,MATCH($D61,'4. Valuation'!$O$10:$O$17,0),MATCH($T$25,'4. Valuation'!$O$10:$X$10,0)),0)</f>
        <v>0</v>
      </c>
      <c r="U61" s="278"/>
      <c r="V61" s="312">
        <f t="shared" si="38"/>
        <v>0</v>
      </c>
      <c r="W61" s="312">
        <f t="shared" si="39"/>
        <v>0</v>
      </c>
      <c r="X61" s="312">
        <f t="shared" si="40"/>
        <v>0</v>
      </c>
      <c r="Y61" s="278"/>
      <c r="Z61" s="312">
        <f t="shared" si="41"/>
        <v>19980</v>
      </c>
      <c r="AA61" s="312">
        <f>'3. GRI Pricing'!Y52</f>
        <v>1665</v>
      </c>
      <c r="AB61" s="359">
        <f t="shared" si="42"/>
        <v>24.425427872860634</v>
      </c>
    </row>
    <row r="62" spans="3:28" s="30" customFormat="1" ht="12" x14ac:dyDescent="0.2">
      <c r="C62" s="77" t="str">
        <f>'1. Accomodation'!N57</f>
        <v>305N</v>
      </c>
      <c r="D62" s="77" t="str">
        <f>'1. Accomodation'!P57</f>
        <v>2 Bed</v>
      </c>
      <c r="E62" s="77">
        <f>'1. Accomodation'!O57</f>
        <v>667</v>
      </c>
      <c r="G62" s="341">
        <v>15060</v>
      </c>
      <c r="H62" s="273">
        <f>IFERROR(INDEX('4. Valuation'!$C$10:$I$17,MATCH($D62,'4. Valuation'!$C$10:$C$17,0),MATCH($H$25,'4. Valuation'!$C$10:$I$10,0)),0)</f>
        <v>1166</v>
      </c>
      <c r="I62" s="273">
        <f>IFERROR(INDEX('4. Valuation'!$C$10:$I$17,MATCH($D62,'4. Valuation'!$C$10:$C$17,0),MATCH($I$25,'4. Valuation'!$C$10:$I$10,0)),0)</f>
        <v>21.448728269247237</v>
      </c>
      <c r="J62" s="277"/>
      <c r="K62" s="312">
        <f t="shared" si="35"/>
        <v>13992</v>
      </c>
      <c r="L62" s="312">
        <f t="shared" si="36"/>
        <v>1166</v>
      </c>
      <c r="M62" s="312">
        <f t="shared" si="37"/>
        <v>20.977511244377812</v>
      </c>
      <c r="N62" s="278"/>
      <c r="O62" s="278"/>
      <c r="P62" s="278"/>
      <c r="Q62" s="278"/>
      <c r="R62" s="312">
        <f>IFERROR(INDEX('4. Valuation'!$O$10:$X$17,MATCH($D62,'4. Valuation'!$O$10:$O$17,0),MATCH($R$25,'4. Valuation'!$O$10:$X$10,0)),0)</f>
        <v>0</v>
      </c>
      <c r="S62" s="312">
        <f>IFERROR(INDEX('4. Valuation'!$O$10:$X$17,MATCH($D62,'4. Valuation'!$O$10:$O$17,0),MATCH($S$25,'4. Valuation'!$O$10:$X$10,0)),0)</f>
        <v>0</v>
      </c>
      <c r="T62" s="312">
        <f>IFERROR(INDEX('4. Valuation'!$O$10:$X$17,MATCH($D62,'4. Valuation'!$O$10:$O$17,0),MATCH($T$25,'4. Valuation'!$O$10:$X$10,0)),0)</f>
        <v>0</v>
      </c>
      <c r="U62" s="278"/>
      <c r="V62" s="312">
        <f t="shared" si="38"/>
        <v>0</v>
      </c>
      <c r="W62" s="312">
        <f t="shared" si="39"/>
        <v>0</v>
      </c>
      <c r="X62" s="312">
        <f t="shared" si="40"/>
        <v>0</v>
      </c>
      <c r="Y62" s="278"/>
      <c r="Z62" s="312">
        <f t="shared" si="41"/>
        <v>15240</v>
      </c>
      <c r="AA62" s="312">
        <f>'3. GRI Pricing'!Y53</f>
        <v>1270</v>
      </c>
      <c r="AB62" s="359">
        <f t="shared" si="42"/>
        <v>22.848575712143926</v>
      </c>
    </row>
    <row r="63" spans="3:28" s="30" customFormat="1" ht="12" x14ac:dyDescent="0.2">
      <c r="C63" s="77" t="str">
        <f>'1. Accomodation'!N58</f>
        <v>306N</v>
      </c>
      <c r="D63" s="77" t="str">
        <f>'1. Accomodation'!P58</f>
        <v>1 Bed</v>
      </c>
      <c r="E63" s="77">
        <f>'1. Accomodation'!O58</f>
        <v>441</v>
      </c>
      <c r="G63" s="341">
        <v>10800</v>
      </c>
      <c r="H63" s="273">
        <f>IFERROR(INDEX('4. Valuation'!$C$10:$I$17,MATCH($D63,'4. Valuation'!$C$10:$C$17,0),MATCH($H$25,'4. Valuation'!$C$10:$I$10,0)),0)</f>
        <v>867</v>
      </c>
      <c r="I63" s="273">
        <f>IFERROR(INDEX('4. Valuation'!$C$10:$I$17,MATCH($D63,'4. Valuation'!$C$10:$C$17,0),MATCH($I$25,'4. Valuation'!$C$10:$I$10,0)),0)</f>
        <v>20.660726106217222</v>
      </c>
      <c r="J63" s="277"/>
      <c r="K63" s="312">
        <f t="shared" si="35"/>
        <v>10404</v>
      </c>
      <c r="L63" s="312">
        <f t="shared" si="36"/>
        <v>867</v>
      </c>
      <c r="M63" s="312">
        <f t="shared" si="37"/>
        <v>23.591836734693878</v>
      </c>
      <c r="N63" s="278"/>
      <c r="O63" s="278"/>
      <c r="P63" s="278"/>
      <c r="Q63" s="278"/>
      <c r="R63" s="312">
        <f>IFERROR(INDEX('4. Valuation'!$O$10:$X$17,MATCH($D63,'4. Valuation'!$O$10:$O$17,0),MATCH($R$25,'4. Valuation'!$O$10:$X$10,0)),0)</f>
        <v>0</v>
      </c>
      <c r="S63" s="312">
        <f>IFERROR(INDEX('4. Valuation'!$O$10:$X$17,MATCH($D63,'4. Valuation'!$O$10:$O$17,0),MATCH($S$25,'4. Valuation'!$O$10:$X$10,0)),0)</f>
        <v>0</v>
      </c>
      <c r="T63" s="312">
        <f>IFERROR(INDEX('4. Valuation'!$O$10:$X$17,MATCH($D63,'4. Valuation'!$O$10:$O$17,0),MATCH($T$25,'4. Valuation'!$O$10:$X$10,0)),0)</f>
        <v>0</v>
      </c>
      <c r="U63" s="278"/>
      <c r="V63" s="312">
        <f t="shared" si="38"/>
        <v>0</v>
      </c>
      <c r="W63" s="312">
        <f t="shared" si="39"/>
        <v>0</v>
      </c>
      <c r="X63" s="312">
        <f t="shared" si="40"/>
        <v>0</v>
      </c>
      <c r="Y63" s="278"/>
      <c r="Z63" s="312">
        <f t="shared" si="41"/>
        <v>11640</v>
      </c>
      <c r="AA63" s="312">
        <f>'3. GRI Pricing'!Y54</f>
        <v>970</v>
      </c>
      <c r="AB63" s="359">
        <f t="shared" si="42"/>
        <v>26.394557823129251</v>
      </c>
    </row>
    <row r="64" spans="3:28" s="30" customFormat="1" ht="12" x14ac:dyDescent="0.2">
      <c r="C64" s="77" t="str">
        <f>'1. Accomodation'!N59</f>
        <v>307N</v>
      </c>
      <c r="D64" s="77" t="str">
        <f>'1. Accomodation'!P59</f>
        <v>2 Bed</v>
      </c>
      <c r="E64" s="77">
        <f>'1. Accomodation'!O59</f>
        <v>624</v>
      </c>
      <c r="G64" s="341">
        <v>14880</v>
      </c>
      <c r="H64" s="273">
        <f>IFERROR(INDEX('4. Valuation'!$C$10:$I$17,MATCH($D64,'4. Valuation'!$C$10:$C$17,0),MATCH($H$25,'4. Valuation'!$C$10:$I$10,0)),0)</f>
        <v>1166</v>
      </c>
      <c r="I64" s="273">
        <f>IFERROR(INDEX('4. Valuation'!$C$10:$I$17,MATCH($D64,'4. Valuation'!$C$10:$C$17,0),MATCH($I$25,'4. Valuation'!$C$10:$I$10,0)),0)</f>
        <v>21.448728269247237</v>
      </c>
      <c r="J64" s="277"/>
      <c r="K64" s="312">
        <f t="shared" si="35"/>
        <v>13992</v>
      </c>
      <c r="L64" s="312">
        <f t="shared" si="36"/>
        <v>1166</v>
      </c>
      <c r="M64" s="312">
        <f t="shared" si="37"/>
        <v>22.423076923076923</v>
      </c>
      <c r="N64" s="278"/>
      <c r="O64" s="278"/>
      <c r="P64" s="278"/>
      <c r="Q64" s="278"/>
      <c r="R64" s="312">
        <f>IFERROR(INDEX('4. Valuation'!$O$10:$X$17,MATCH($D64,'4. Valuation'!$O$10:$O$17,0),MATCH($R$25,'4. Valuation'!$O$10:$X$10,0)),0)</f>
        <v>0</v>
      </c>
      <c r="S64" s="312">
        <f>IFERROR(INDEX('4. Valuation'!$O$10:$X$17,MATCH($D64,'4. Valuation'!$O$10:$O$17,0),MATCH($S$25,'4. Valuation'!$O$10:$X$10,0)),0)</f>
        <v>0</v>
      </c>
      <c r="T64" s="312">
        <f>IFERROR(INDEX('4. Valuation'!$O$10:$X$17,MATCH($D64,'4. Valuation'!$O$10:$O$17,0),MATCH($T$25,'4. Valuation'!$O$10:$X$10,0)),0)</f>
        <v>0</v>
      </c>
      <c r="U64" s="278"/>
      <c r="V64" s="312">
        <f t="shared" si="38"/>
        <v>0</v>
      </c>
      <c r="W64" s="312">
        <f t="shared" si="39"/>
        <v>0</v>
      </c>
      <c r="X64" s="312">
        <f t="shared" si="40"/>
        <v>0</v>
      </c>
      <c r="Y64" s="278"/>
      <c r="Z64" s="312">
        <f t="shared" si="41"/>
        <v>14940</v>
      </c>
      <c r="AA64" s="312">
        <f>'3. GRI Pricing'!Y55</f>
        <v>1245</v>
      </c>
      <c r="AB64" s="359">
        <f t="shared" si="42"/>
        <v>23.942307692307693</v>
      </c>
    </row>
    <row r="65" spans="3:28" s="30" customFormat="1" ht="12" x14ac:dyDescent="0.2">
      <c r="C65" s="77" t="str">
        <f>'1. Accomodation'!N60</f>
        <v>308N</v>
      </c>
      <c r="D65" s="77" t="str">
        <f>'1. Accomodation'!P60</f>
        <v>2 Bed</v>
      </c>
      <c r="E65" s="77">
        <f>'1. Accomodation'!O60</f>
        <v>624</v>
      </c>
      <c r="G65" s="341">
        <v>14880</v>
      </c>
      <c r="H65" s="273">
        <f>IFERROR(INDEX('4. Valuation'!$C$10:$I$17,MATCH($D65,'4. Valuation'!$C$10:$C$17,0),MATCH($H$25,'4. Valuation'!$C$10:$I$10,0)),0)</f>
        <v>1166</v>
      </c>
      <c r="I65" s="273">
        <f>IFERROR(INDEX('4. Valuation'!$C$10:$I$17,MATCH($D65,'4. Valuation'!$C$10:$C$17,0),MATCH($I$25,'4. Valuation'!$C$10:$I$10,0)),0)</f>
        <v>21.448728269247237</v>
      </c>
      <c r="J65" s="277"/>
      <c r="K65" s="312">
        <f t="shared" si="35"/>
        <v>13992</v>
      </c>
      <c r="L65" s="312">
        <f t="shared" si="36"/>
        <v>1166</v>
      </c>
      <c r="M65" s="312">
        <f t="shared" si="37"/>
        <v>22.423076923076923</v>
      </c>
      <c r="N65" s="278"/>
      <c r="O65" s="278"/>
      <c r="P65" s="278"/>
      <c r="Q65" s="278"/>
      <c r="R65" s="312">
        <f>IFERROR(INDEX('4. Valuation'!$O$10:$X$17,MATCH($D65,'4. Valuation'!$O$10:$O$17,0),MATCH($R$25,'4. Valuation'!$O$10:$X$10,0)),0)</f>
        <v>0</v>
      </c>
      <c r="S65" s="312">
        <f>IFERROR(INDEX('4. Valuation'!$O$10:$X$17,MATCH($D65,'4. Valuation'!$O$10:$O$17,0),MATCH($S$25,'4. Valuation'!$O$10:$X$10,0)),0)</f>
        <v>0</v>
      </c>
      <c r="T65" s="312">
        <f>IFERROR(INDEX('4. Valuation'!$O$10:$X$17,MATCH($D65,'4. Valuation'!$O$10:$O$17,0),MATCH($T$25,'4. Valuation'!$O$10:$X$10,0)),0)</f>
        <v>0</v>
      </c>
      <c r="U65" s="278"/>
      <c r="V65" s="312">
        <f t="shared" si="38"/>
        <v>0</v>
      </c>
      <c r="W65" s="312">
        <f t="shared" si="39"/>
        <v>0</v>
      </c>
      <c r="X65" s="312">
        <f t="shared" si="40"/>
        <v>0</v>
      </c>
      <c r="Y65" s="278"/>
      <c r="Z65" s="312">
        <f t="shared" si="41"/>
        <v>14940</v>
      </c>
      <c r="AA65" s="312">
        <f>'3. GRI Pricing'!Y56</f>
        <v>1245</v>
      </c>
      <c r="AB65" s="359">
        <f t="shared" si="42"/>
        <v>23.942307692307693</v>
      </c>
    </row>
    <row r="66" spans="3:28" s="30" customFormat="1" ht="12" x14ac:dyDescent="0.2">
      <c r="C66" s="77" t="str">
        <f>'1. Accomodation'!N61</f>
        <v>309N</v>
      </c>
      <c r="D66" s="77" t="str">
        <f>'1. Accomodation'!P61</f>
        <v>2 Bed</v>
      </c>
      <c r="E66" s="77">
        <f>'1. Accomodation'!O61</f>
        <v>657</v>
      </c>
      <c r="G66" s="341">
        <v>15120</v>
      </c>
      <c r="H66" s="273">
        <f>IFERROR(INDEX('4. Valuation'!$C$10:$I$17,MATCH($D66,'4. Valuation'!$C$10:$C$17,0),MATCH($H$25,'4. Valuation'!$C$10:$I$10,0)),0)</f>
        <v>1166</v>
      </c>
      <c r="I66" s="273">
        <f>IFERROR(INDEX('4. Valuation'!$C$10:$I$17,MATCH($D66,'4. Valuation'!$C$10:$C$17,0),MATCH($I$25,'4. Valuation'!$C$10:$I$10,0)),0)</f>
        <v>21.448728269247237</v>
      </c>
      <c r="J66" s="277"/>
      <c r="K66" s="312">
        <f t="shared" si="35"/>
        <v>13992</v>
      </c>
      <c r="L66" s="312">
        <f t="shared" si="36"/>
        <v>1166</v>
      </c>
      <c r="M66" s="312">
        <f t="shared" si="37"/>
        <v>21.296803652968038</v>
      </c>
      <c r="N66" s="278"/>
      <c r="O66" s="278"/>
      <c r="P66" s="278"/>
      <c r="Q66" s="278"/>
      <c r="R66" s="312">
        <f>IFERROR(INDEX('4. Valuation'!$O$10:$X$17,MATCH($D66,'4. Valuation'!$O$10:$O$17,0),MATCH($R$25,'4. Valuation'!$O$10:$X$10,0)),0)</f>
        <v>0</v>
      </c>
      <c r="S66" s="312">
        <f>IFERROR(INDEX('4. Valuation'!$O$10:$X$17,MATCH($D66,'4. Valuation'!$O$10:$O$17,0),MATCH($S$25,'4. Valuation'!$O$10:$X$10,0)),0)</f>
        <v>0</v>
      </c>
      <c r="T66" s="312">
        <f>IFERROR(INDEX('4. Valuation'!$O$10:$X$17,MATCH($D66,'4. Valuation'!$O$10:$O$17,0),MATCH($T$25,'4. Valuation'!$O$10:$X$10,0)),0)</f>
        <v>0</v>
      </c>
      <c r="U66" s="278"/>
      <c r="V66" s="312">
        <f t="shared" si="38"/>
        <v>0</v>
      </c>
      <c r="W66" s="312">
        <f t="shared" si="39"/>
        <v>0</v>
      </c>
      <c r="X66" s="312">
        <f t="shared" si="40"/>
        <v>0</v>
      </c>
      <c r="Y66" s="278"/>
      <c r="Z66" s="312">
        <f t="shared" si="41"/>
        <v>15540</v>
      </c>
      <c r="AA66" s="312">
        <f>'3. GRI Pricing'!Y57</f>
        <v>1295</v>
      </c>
      <c r="AB66" s="359">
        <f t="shared" si="42"/>
        <v>23.652968036529682</v>
      </c>
    </row>
    <row r="67" spans="3:28" s="30" customFormat="1" ht="12" x14ac:dyDescent="0.2">
      <c r="C67" s="77" t="str">
        <f>'1. Accomodation'!N62</f>
        <v>310N</v>
      </c>
      <c r="D67" s="77" t="str">
        <f>'1. Accomodation'!P62</f>
        <v>2 Bed</v>
      </c>
      <c r="E67" s="77">
        <f>'1. Accomodation'!O62</f>
        <v>700</v>
      </c>
      <c r="G67" s="341">
        <v>16140</v>
      </c>
      <c r="H67" s="273">
        <f>IFERROR(INDEX('4. Valuation'!$C$10:$I$17,MATCH($D67,'4. Valuation'!$C$10:$C$17,0),MATCH($H$25,'4. Valuation'!$C$10:$I$10,0)),0)</f>
        <v>1166</v>
      </c>
      <c r="I67" s="273">
        <f>IFERROR(INDEX('4. Valuation'!$C$10:$I$17,MATCH($D67,'4. Valuation'!$C$10:$C$17,0),MATCH($I$25,'4. Valuation'!$C$10:$I$10,0)),0)</f>
        <v>21.448728269247237</v>
      </c>
      <c r="J67" s="277"/>
      <c r="K67" s="312">
        <f t="shared" si="35"/>
        <v>13992</v>
      </c>
      <c r="L67" s="312">
        <f t="shared" si="36"/>
        <v>1166</v>
      </c>
      <c r="M67" s="312">
        <f t="shared" si="37"/>
        <v>19.988571428571429</v>
      </c>
      <c r="N67" s="278"/>
      <c r="O67" s="278"/>
      <c r="P67" s="278"/>
      <c r="Q67" s="278"/>
      <c r="R67" s="312">
        <f>IFERROR(INDEX('4. Valuation'!$O$10:$X$17,MATCH($D67,'4. Valuation'!$O$10:$O$17,0),MATCH($R$25,'4. Valuation'!$O$10:$X$10,0)),0)</f>
        <v>0</v>
      </c>
      <c r="S67" s="312">
        <f>IFERROR(INDEX('4. Valuation'!$O$10:$X$17,MATCH($D67,'4. Valuation'!$O$10:$O$17,0),MATCH($S$25,'4. Valuation'!$O$10:$X$10,0)),0)</f>
        <v>0</v>
      </c>
      <c r="T67" s="312">
        <f>IFERROR(INDEX('4. Valuation'!$O$10:$X$17,MATCH($D67,'4. Valuation'!$O$10:$O$17,0),MATCH($T$25,'4. Valuation'!$O$10:$X$10,0)),0)</f>
        <v>0</v>
      </c>
      <c r="U67" s="278"/>
      <c r="V67" s="312">
        <f t="shared" si="38"/>
        <v>0</v>
      </c>
      <c r="W67" s="312">
        <f t="shared" si="39"/>
        <v>0</v>
      </c>
      <c r="X67" s="312">
        <f t="shared" si="40"/>
        <v>0</v>
      </c>
      <c r="Y67" s="278"/>
      <c r="Z67" s="312">
        <f t="shared" si="41"/>
        <v>16080</v>
      </c>
      <c r="AA67" s="312">
        <f>'3. GRI Pricing'!Y58</f>
        <v>1340</v>
      </c>
      <c r="AB67" s="359">
        <f t="shared" si="42"/>
        <v>22.971428571428572</v>
      </c>
    </row>
    <row r="68" spans="3:28" s="30" customFormat="1" ht="12" x14ac:dyDescent="0.2">
      <c r="C68" s="77" t="str">
        <f>'1. Accomodation'!N63</f>
        <v>311N</v>
      </c>
      <c r="D68" s="77" t="str">
        <f>'1. Accomodation'!P63</f>
        <v>2 Bed</v>
      </c>
      <c r="E68" s="77">
        <f>'1. Accomodation'!O63</f>
        <v>689</v>
      </c>
      <c r="G68" s="341">
        <v>16680</v>
      </c>
      <c r="H68" s="273">
        <f>IFERROR(INDEX('4. Valuation'!$C$10:$I$17,MATCH($D68,'4. Valuation'!$C$10:$C$17,0),MATCH($H$25,'4. Valuation'!$C$10:$I$10,0)),0)</f>
        <v>1166</v>
      </c>
      <c r="I68" s="273">
        <f>IFERROR(INDEX('4. Valuation'!$C$10:$I$17,MATCH($D68,'4. Valuation'!$C$10:$C$17,0),MATCH($I$25,'4. Valuation'!$C$10:$I$10,0)),0)</f>
        <v>21.448728269247237</v>
      </c>
      <c r="J68" s="277"/>
      <c r="K68" s="312">
        <f t="shared" si="35"/>
        <v>13992</v>
      </c>
      <c r="L68" s="312">
        <f t="shared" si="36"/>
        <v>1166</v>
      </c>
      <c r="M68" s="312">
        <f t="shared" si="37"/>
        <v>20.307692307692307</v>
      </c>
      <c r="N68" s="278"/>
      <c r="O68" s="278"/>
      <c r="P68" s="278"/>
      <c r="Q68" s="278"/>
      <c r="R68" s="312">
        <f>IFERROR(INDEX('4. Valuation'!$O$10:$X$17,MATCH($D68,'4. Valuation'!$O$10:$O$17,0),MATCH($R$25,'4. Valuation'!$O$10:$X$10,0)),0)</f>
        <v>0</v>
      </c>
      <c r="S68" s="312">
        <f>IFERROR(INDEX('4. Valuation'!$O$10:$X$17,MATCH($D68,'4. Valuation'!$O$10:$O$17,0),MATCH($S$25,'4. Valuation'!$O$10:$X$10,0)),0)</f>
        <v>0</v>
      </c>
      <c r="T68" s="312">
        <f>IFERROR(INDEX('4. Valuation'!$O$10:$X$17,MATCH($D68,'4. Valuation'!$O$10:$O$17,0),MATCH($T$25,'4. Valuation'!$O$10:$X$10,0)),0)</f>
        <v>0</v>
      </c>
      <c r="U68" s="278"/>
      <c r="V68" s="312">
        <f t="shared" si="38"/>
        <v>0</v>
      </c>
      <c r="W68" s="312">
        <f t="shared" si="39"/>
        <v>0</v>
      </c>
      <c r="X68" s="312">
        <f t="shared" si="40"/>
        <v>0</v>
      </c>
      <c r="Y68" s="278"/>
      <c r="Z68" s="312">
        <f t="shared" si="41"/>
        <v>16200</v>
      </c>
      <c r="AA68" s="312">
        <f>'3. GRI Pricing'!Y59</f>
        <v>1350</v>
      </c>
      <c r="AB68" s="359">
        <f t="shared" si="42"/>
        <v>23.512336719883891</v>
      </c>
    </row>
    <row r="69" spans="3:28" s="30" customFormat="1" ht="12" x14ac:dyDescent="0.2">
      <c r="C69" s="77" t="str">
        <f>'1. Accomodation'!N64</f>
        <v>312N</v>
      </c>
      <c r="D69" s="77" t="str">
        <f>'1. Accomodation'!P64</f>
        <v>1 Bed</v>
      </c>
      <c r="E69" s="77">
        <f>'1. Accomodation'!O64</f>
        <v>517</v>
      </c>
      <c r="G69" s="341">
        <v>12240</v>
      </c>
      <c r="H69" s="273">
        <f>IFERROR(INDEX('4. Valuation'!$C$10:$I$17,MATCH($D69,'4. Valuation'!$C$10:$C$17,0),MATCH($H$25,'4. Valuation'!$C$10:$I$10,0)),0)</f>
        <v>867</v>
      </c>
      <c r="I69" s="273">
        <f>IFERROR(INDEX('4. Valuation'!$C$10:$I$17,MATCH($D69,'4. Valuation'!$C$10:$C$17,0),MATCH($I$25,'4. Valuation'!$C$10:$I$10,0)),0)</f>
        <v>20.660726106217222</v>
      </c>
      <c r="J69" s="277"/>
      <c r="K69" s="312">
        <f t="shared" si="35"/>
        <v>10404</v>
      </c>
      <c r="L69" s="312">
        <f t="shared" si="36"/>
        <v>867</v>
      </c>
      <c r="M69" s="312">
        <f t="shared" si="37"/>
        <v>20.123791102514506</v>
      </c>
      <c r="N69" s="278"/>
      <c r="O69" s="278"/>
      <c r="P69" s="278"/>
      <c r="Q69" s="278"/>
      <c r="R69" s="312">
        <f>IFERROR(INDEX('4. Valuation'!$O$10:$X$17,MATCH($D69,'4. Valuation'!$O$10:$O$17,0),MATCH($R$25,'4. Valuation'!$O$10:$X$10,0)),0)</f>
        <v>0</v>
      </c>
      <c r="S69" s="312">
        <f>IFERROR(INDEX('4. Valuation'!$O$10:$X$17,MATCH($D69,'4. Valuation'!$O$10:$O$17,0),MATCH($S$25,'4. Valuation'!$O$10:$X$10,0)),0)</f>
        <v>0</v>
      </c>
      <c r="T69" s="312">
        <f>IFERROR(INDEX('4. Valuation'!$O$10:$X$17,MATCH($D69,'4. Valuation'!$O$10:$O$17,0),MATCH($T$25,'4. Valuation'!$O$10:$X$10,0)),0)</f>
        <v>0</v>
      </c>
      <c r="U69" s="278"/>
      <c r="V69" s="312">
        <f t="shared" si="38"/>
        <v>0</v>
      </c>
      <c r="W69" s="312">
        <f t="shared" si="39"/>
        <v>0</v>
      </c>
      <c r="X69" s="312">
        <f t="shared" si="40"/>
        <v>0</v>
      </c>
      <c r="Y69" s="278"/>
      <c r="Z69" s="312">
        <f t="shared" si="41"/>
        <v>12480</v>
      </c>
      <c r="AA69" s="312">
        <f>'3. GRI Pricing'!Y60</f>
        <v>1040</v>
      </c>
      <c r="AB69" s="359">
        <f t="shared" si="42"/>
        <v>24.139264990328819</v>
      </c>
    </row>
    <row r="70" spans="3:28" s="30" customFormat="1" ht="12" x14ac:dyDescent="0.2">
      <c r="C70" s="77" t="str">
        <f>'1. Accomodation'!N65</f>
        <v>313N</v>
      </c>
      <c r="D70" s="77" t="str">
        <f>'1. Accomodation'!P65</f>
        <v>1 Bed</v>
      </c>
      <c r="E70" s="77">
        <f>'1. Accomodation'!O65</f>
        <v>538</v>
      </c>
      <c r="G70" s="341">
        <v>11700</v>
      </c>
      <c r="H70" s="273">
        <f>IFERROR(INDEX('4. Valuation'!$C$10:$I$17,MATCH($D70,'4. Valuation'!$C$10:$C$17,0),MATCH($H$25,'4. Valuation'!$C$10:$I$10,0)),0)</f>
        <v>867</v>
      </c>
      <c r="I70" s="273">
        <f>IFERROR(INDEX('4. Valuation'!$C$10:$I$17,MATCH($D70,'4. Valuation'!$C$10:$C$17,0),MATCH($I$25,'4. Valuation'!$C$10:$I$10,0)),0)</f>
        <v>20.660726106217222</v>
      </c>
      <c r="J70" s="277"/>
      <c r="K70" s="312">
        <f t="shared" si="35"/>
        <v>10404</v>
      </c>
      <c r="L70" s="312">
        <f t="shared" si="36"/>
        <v>867</v>
      </c>
      <c r="M70" s="312">
        <f t="shared" si="37"/>
        <v>19.338289962825279</v>
      </c>
      <c r="N70" s="278"/>
      <c r="O70" s="278"/>
      <c r="P70" s="278"/>
      <c r="Q70" s="278"/>
      <c r="R70" s="312">
        <f>IFERROR(INDEX('4. Valuation'!$O$10:$X$17,MATCH($D70,'4. Valuation'!$O$10:$O$17,0),MATCH($R$25,'4. Valuation'!$O$10:$X$10,0)),0)</f>
        <v>0</v>
      </c>
      <c r="S70" s="312">
        <f>IFERROR(INDEX('4. Valuation'!$O$10:$X$17,MATCH($D70,'4. Valuation'!$O$10:$O$17,0),MATCH($S$25,'4. Valuation'!$O$10:$X$10,0)),0)</f>
        <v>0</v>
      </c>
      <c r="T70" s="312">
        <f>IFERROR(INDEX('4. Valuation'!$O$10:$X$17,MATCH($D70,'4. Valuation'!$O$10:$O$17,0),MATCH($T$25,'4. Valuation'!$O$10:$X$10,0)),0)</f>
        <v>0</v>
      </c>
      <c r="U70" s="278"/>
      <c r="V70" s="312">
        <f t="shared" si="38"/>
        <v>0</v>
      </c>
      <c r="W70" s="312">
        <f t="shared" si="39"/>
        <v>0</v>
      </c>
      <c r="X70" s="312">
        <f t="shared" si="40"/>
        <v>0</v>
      </c>
      <c r="Y70" s="278"/>
      <c r="Z70" s="312">
        <f t="shared" si="41"/>
        <v>12180</v>
      </c>
      <c r="AA70" s="312">
        <f>'3. GRI Pricing'!Y61</f>
        <v>1015</v>
      </c>
      <c r="AB70" s="359">
        <f t="shared" si="42"/>
        <v>22.639405204460967</v>
      </c>
    </row>
    <row r="71" spans="3:28" s="30" customFormat="1" ht="12" x14ac:dyDescent="0.2">
      <c r="C71" s="77" t="str">
        <f>'1. Accomodation'!N66</f>
        <v>314N</v>
      </c>
      <c r="D71" s="77" t="str">
        <f>'1. Accomodation'!P66</f>
        <v>1 Bed</v>
      </c>
      <c r="E71" s="77">
        <f>'1. Accomodation'!O66</f>
        <v>560</v>
      </c>
      <c r="G71" s="341">
        <v>11520</v>
      </c>
      <c r="H71" s="273">
        <f>IFERROR(INDEX('4. Valuation'!$C$10:$I$17,MATCH($D71,'4. Valuation'!$C$10:$C$17,0),MATCH($H$25,'4. Valuation'!$C$10:$I$10,0)),0)</f>
        <v>867</v>
      </c>
      <c r="I71" s="273">
        <f>IFERROR(INDEX('4. Valuation'!$C$10:$I$17,MATCH($D71,'4. Valuation'!$C$10:$C$17,0),MATCH($I$25,'4. Valuation'!$C$10:$I$10,0)),0)</f>
        <v>20.660726106217222</v>
      </c>
      <c r="J71" s="277"/>
      <c r="K71" s="312">
        <f t="shared" si="35"/>
        <v>10404</v>
      </c>
      <c r="L71" s="312">
        <f t="shared" si="36"/>
        <v>867</v>
      </c>
      <c r="M71" s="312">
        <f t="shared" si="37"/>
        <v>18.578571428571429</v>
      </c>
      <c r="N71" s="278"/>
      <c r="O71" s="278"/>
      <c r="P71" s="278"/>
      <c r="Q71" s="278"/>
      <c r="R71" s="312">
        <f>IFERROR(INDEX('4. Valuation'!$O$10:$X$17,MATCH($D71,'4. Valuation'!$O$10:$O$17,0),MATCH($R$25,'4. Valuation'!$O$10:$X$10,0)),0)</f>
        <v>0</v>
      </c>
      <c r="S71" s="312">
        <f>IFERROR(INDEX('4. Valuation'!$O$10:$X$17,MATCH($D71,'4. Valuation'!$O$10:$O$17,0),MATCH($S$25,'4. Valuation'!$O$10:$X$10,0)),0)</f>
        <v>0</v>
      </c>
      <c r="T71" s="312">
        <f>IFERROR(INDEX('4. Valuation'!$O$10:$X$17,MATCH($D71,'4. Valuation'!$O$10:$O$17,0),MATCH($T$25,'4. Valuation'!$O$10:$X$10,0)),0)</f>
        <v>0</v>
      </c>
      <c r="U71" s="278"/>
      <c r="V71" s="312">
        <f t="shared" si="38"/>
        <v>0</v>
      </c>
      <c r="W71" s="312">
        <f t="shared" si="39"/>
        <v>0</v>
      </c>
      <c r="X71" s="312">
        <f t="shared" si="40"/>
        <v>0</v>
      </c>
      <c r="Y71" s="278"/>
      <c r="Z71" s="312">
        <f t="shared" si="41"/>
        <v>12000</v>
      </c>
      <c r="AA71" s="312">
        <f>'3. GRI Pricing'!Y62</f>
        <v>1000</v>
      </c>
      <c r="AB71" s="359">
        <f t="shared" si="42"/>
        <v>21.428571428571427</v>
      </c>
    </row>
    <row r="72" spans="3:28" s="30" customFormat="1" ht="12" x14ac:dyDescent="0.2">
      <c r="C72" s="77" t="str">
        <f>'1. Accomodation'!N67</f>
        <v>315N</v>
      </c>
      <c r="D72" s="77" t="str">
        <f>'1. Accomodation'!P67</f>
        <v>2 Bed</v>
      </c>
      <c r="E72" s="77">
        <f>'1. Accomodation'!O67</f>
        <v>624</v>
      </c>
      <c r="G72" s="341">
        <v>13980</v>
      </c>
      <c r="H72" s="273">
        <f>IFERROR(INDEX('4. Valuation'!$C$10:$I$17,MATCH($D72,'4. Valuation'!$C$10:$C$17,0),MATCH($H$25,'4. Valuation'!$C$10:$I$10,0)),0)</f>
        <v>1166</v>
      </c>
      <c r="I72" s="273">
        <f>IFERROR(INDEX('4. Valuation'!$C$10:$I$17,MATCH($D72,'4. Valuation'!$C$10:$C$17,0),MATCH($I$25,'4. Valuation'!$C$10:$I$10,0)),0)</f>
        <v>21.448728269247237</v>
      </c>
      <c r="J72" s="277"/>
      <c r="K72" s="312">
        <f t="shared" si="35"/>
        <v>13992</v>
      </c>
      <c r="L72" s="312">
        <f t="shared" si="36"/>
        <v>1166</v>
      </c>
      <c r="M72" s="312">
        <f t="shared" si="37"/>
        <v>22.423076923076923</v>
      </c>
      <c r="N72" s="278"/>
      <c r="O72" s="278"/>
      <c r="P72" s="278"/>
      <c r="Q72" s="278"/>
      <c r="R72" s="312">
        <f>IFERROR(INDEX('4. Valuation'!$O$10:$X$17,MATCH($D72,'4. Valuation'!$O$10:$O$17,0),MATCH($R$25,'4. Valuation'!$O$10:$X$10,0)),0)</f>
        <v>0</v>
      </c>
      <c r="S72" s="312">
        <f>IFERROR(INDEX('4. Valuation'!$O$10:$X$17,MATCH($D72,'4. Valuation'!$O$10:$O$17,0),MATCH($S$25,'4. Valuation'!$O$10:$X$10,0)),0)</f>
        <v>0</v>
      </c>
      <c r="T72" s="312">
        <f>IFERROR(INDEX('4. Valuation'!$O$10:$X$17,MATCH($D72,'4. Valuation'!$O$10:$O$17,0),MATCH($T$25,'4. Valuation'!$O$10:$X$10,0)),0)</f>
        <v>0</v>
      </c>
      <c r="U72" s="278"/>
      <c r="V72" s="312">
        <f t="shared" si="38"/>
        <v>0</v>
      </c>
      <c r="W72" s="312">
        <f t="shared" si="39"/>
        <v>0</v>
      </c>
      <c r="X72" s="312">
        <f t="shared" si="40"/>
        <v>0</v>
      </c>
      <c r="Y72" s="278"/>
      <c r="Z72" s="312">
        <f t="shared" si="41"/>
        <v>15180</v>
      </c>
      <c r="AA72" s="312">
        <f>'3. GRI Pricing'!Y63</f>
        <v>1265</v>
      </c>
      <c r="AB72" s="359">
        <f t="shared" si="42"/>
        <v>24.326923076923077</v>
      </c>
    </row>
    <row r="73" spans="3:28" s="30" customFormat="1" ht="12" x14ac:dyDescent="0.2">
      <c r="C73" s="77" t="str">
        <f>'1. Accomodation'!N68</f>
        <v>316N</v>
      </c>
      <c r="D73" s="77" t="str">
        <f>'1. Accomodation'!P68</f>
        <v>2 Bed</v>
      </c>
      <c r="E73" s="77">
        <f>'1. Accomodation'!O68</f>
        <v>624</v>
      </c>
      <c r="G73" s="341">
        <v>15240</v>
      </c>
      <c r="H73" s="273">
        <f>IFERROR(INDEX('4. Valuation'!$C$10:$I$17,MATCH($D73,'4. Valuation'!$C$10:$C$17,0),MATCH($H$25,'4. Valuation'!$C$10:$I$10,0)),0)</f>
        <v>1166</v>
      </c>
      <c r="I73" s="273">
        <f>IFERROR(INDEX('4. Valuation'!$C$10:$I$17,MATCH($D73,'4. Valuation'!$C$10:$C$17,0),MATCH($I$25,'4. Valuation'!$C$10:$I$10,0)),0)</f>
        <v>21.448728269247237</v>
      </c>
      <c r="J73" s="277"/>
      <c r="K73" s="312">
        <f t="shared" si="35"/>
        <v>13992</v>
      </c>
      <c r="L73" s="312">
        <f t="shared" si="36"/>
        <v>1166</v>
      </c>
      <c r="M73" s="312">
        <f t="shared" si="37"/>
        <v>22.423076923076923</v>
      </c>
      <c r="N73" s="278"/>
      <c r="O73" s="278"/>
      <c r="P73" s="278"/>
      <c r="Q73" s="278"/>
      <c r="R73" s="312">
        <f>IFERROR(INDEX('4. Valuation'!$O$10:$X$17,MATCH($D73,'4. Valuation'!$O$10:$O$17,0),MATCH($R$25,'4. Valuation'!$O$10:$X$10,0)),0)</f>
        <v>0</v>
      </c>
      <c r="S73" s="312">
        <f>IFERROR(INDEX('4. Valuation'!$O$10:$X$17,MATCH($D73,'4. Valuation'!$O$10:$O$17,0),MATCH($S$25,'4. Valuation'!$O$10:$X$10,0)),0)</f>
        <v>0</v>
      </c>
      <c r="T73" s="312">
        <f>IFERROR(INDEX('4. Valuation'!$O$10:$X$17,MATCH($D73,'4. Valuation'!$O$10:$O$17,0),MATCH($T$25,'4. Valuation'!$O$10:$X$10,0)),0)</f>
        <v>0</v>
      </c>
      <c r="U73" s="278"/>
      <c r="V73" s="312">
        <f t="shared" si="38"/>
        <v>0</v>
      </c>
      <c r="W73" s="312">
        <f t="shared" si="39"/>
        <v>0</v>
      </c>
      <c r="X73" s="312">
        <f t="shared" si="40"/>
        <v>0</v>
      </c>
      <c r="Y73" s="278"/>
      <c r="Z73" s="312">
        <f t="shared" si="41"/>
        <v>15180</v>
      </c>
      <c r="AA73" s="312">
        <f>'3. GRI Pricing'!Y64</f>
        <v>1265</v>
      </c>
      <c r="AB73" s="359">
        <f t="shared" si="42"/>
        <v>24.326923076923077</v>
      </c>
    </row>
    <row r="74" spans="3:28" s="30" customFormat="1" ht="12" x14ac:dyDescent="0.2">
      <c r="C74" s="77" t="str">
        <f>'1. Accomodation'!N69</f>
        <v>401N</v>
      </c>
      <c r="D74" s="77" t="str">
        <f>'1. Accomodation'!P69</f>
        <v>1 Bed</v>
      </c>
      <c r="E74" s="77">
        <f>'1. Accomodation'!O69</f>
        <v>484</v>
      </c>
      <c r="G74" s="341">
        <v>11160</v>
      </c>
      <c r="H74" s="273">
        <f>IFERROR(INDEX('4. Valuation'!$C$10:$I$17,MATCH($D74,'4. Valuation'!$C$10:$C$17,0),MATCH($H$25,'4. Valuation'!$C$10:$I$10,0)),0)</f>
        <v>867</v>
      </c>
      <c r="I74" s="273">
        <f>IFERROR(INDEX('4. Valuation'!$C$10:$I$17,MATCH($D74,'4. Valuation'!$C$10:$C$17,0),MATCH($I$25,'4. Valuation'!$C$10:$I$10,0)),0)</f>
        <v>20.660726106217222</v>
      </c>
      <c r="J74" s="277"/>
      <c r="K74" s="312">
        <f t="shared" si="35"/>
        <v>10404</v>
      </c>
      <c r="L74" s="312">
        <f t="shared" si="36"/>
        <v>867</v>
      </c>
      <c r="M74" s="312">
        <f t="shared" si="37"/>
        <v>21.495867768595041</v>
      </c>
      <c r="N74" s="278"/>
      <c r="O74" s="278"/>
      <c r="P74" s="278"/>
      <c r="Q74" s="278"/>
      <c r="R74" s="312">
        <f>IFERROR(INDEX('4. Valuation'!$O$10:$X$17,MATCH($D74,'4. Valuation'!$O$10:$O$17,0),MATCH($R$25,'4. Valuation'!$O$10:$X$10,0)),0)</f>
        <v>0</v>
      </c>
      <c r="S74" s="312">
        <f>IFERROR(INDEX('4. Valuation'!$O$10:$X$17,MATCH($D74,'4. Valuation'!$O$10:$O$17,0),MATCH($S$25,'4. Valuation'!$O$10:$X$10,0)),0)</f>
        <v>0</v>
      </c>
      <c r="T74" s="312">
        <f>IFERROR(INDEX('4. Valuation'!$O$10:$X$17,MATCH($D74,'4. Valuation'!$O$10:$O$17,0),MATCH($T$25,'4. Valuation'!$O$10:$X$10,0)),0)</f>
        <v>0</v>
      </c>
      <c r="U74" s="278"/>
      <c r="V74" s="312">
        <f t="shared" si="38"/>
        <v>0</v>
      </c>
      <c r="W74" s="312">
        <f t="shared" si="39"/>
        <v>0</v>
      </c>
      <c r="X74" s="312">
        <f t="shared" si="40"/>
        <v>0</v>
      </c>
      <c r="Y74" s="278"/>
      <c r="Z74" s="312">
        <f t="shared" si="41"/>
        <v>12240</v>
      </c>
      <c r="AA74" s="312">
        <f>'3. GRI Pricing'!Y65</f>
        <v>1020</v>
      </c>
      <c r="AB74" s="359">
        <f t="shared" si="42"/>
        <v>25.289256198347108</v>
      </c>
    </row>
    <row r="75" spans="3:28" s="30" customFormat="1" ht="12" x14ac:dyDescent="0.2">
      <c r="C75" s="77" t="str">
        <f>'1. Accomodation'!N70</f>
        <v>402N</v>
      </c>
      <c r="D75" s="77" t="str">
        <f>'1. Accomodation'!P70</f>
        <v>2 Bed</v>
      </c>
      <c r="E75" s="77">
        <f>'1. Accomodation'!O70</f>
        <v>678</v>
      </c>
      <c r="G75" s="341">
        <v>15600</v>
      </c>
      <c r="H75" s="273">
        <f>IFERROR(INDEX('4. Valuation'!$C$10:$I$17,MATCH($D75,'4. Valuation'!$C$10:$C$17,0),MATCH($H$25,'4. Valuation'!$C$10:$I$10,0)),0)</f>
        <v>1166</v>
      </c>
      <c r="I75" s="273">
        <f>IFERROR(INDEX('4. Valuation'!$C$10:$I$17,MATCH($D75,'4. Valuation'!$C$10:$C$17,0),MATCH($I$25,'4. Valuation'!$C$10:$I$10,0)),0)</f>
        <v>21.448728269247237</v>
      </c>
      <c r="J75" s="277"/>
      <c r="K75" s="312">
        <f t="shared" si="35"/>
        <v>13992</v>
      </c>
      <c r="L75" s="312">
        <f t="shared" si="36"/>
        <v>1166</v>
      </c>
      <c r="M75" s="312">
        <f t="shared" si="37"/>
        <v>20.63716814159292</v>
      </c>
      <c r="N75" s="278"/>
      <c r="O75" s="278"/>
      <c r="P75" s="278"/>
      <c r="Q75" s="278"/>
      <c r="R75" s="312">
        <f>IFERROR(INDEX('4. Valuation'!$O$10:$X$17,MATCH($D75,'4. Valuation'!$O$10:$O$17,0),MATCH($R$25,'4. Valuation'!$O$10:$X$10,0)),0)</f>
        <v>0</v>
      </c>
      <c r="S75" s="312">
        <f>IFERROR(INDEX('4. Valuation'!$O$10:$X$17,MATCH($D75,'4. Valuation'!$O$10:$O$17,0),MATCH($S$25,'4. Valuation'!$O$10:$X$10,0)),0)</f>
        <v>0</v>
      </c>
      <c r="T75" s="312">
        <f>IFERROR(INDEX('4. Valuation'!$O$10:$X$17,MATCH($D75,'4. Valuation'!$O$10:$O$17,0),MATCH($T$25,'4. Valuation'!$O$10:$X$10,0)),0)</f>
        <v>0</v>
      </c>
      <c r="U75" s="278"/>
      <c r="V75" s="312">
        <f t="shared" si="38"/>
        <v>0</v>
      </c>
      <c r="W75" s="312">
        <f t="shared" si="39"/>
        <v>0</v>
      </c>
      <c r="X75" s="312">
        <f t="shared" si="40"/>
        <v>0</v>
      </c>
      <c r="Y75" s="278"/>
      <c r="Z75" s="312">
        <f t="shared" si="41"/>
        <v>15780</v>
      </c>
      <c r="AA75" s="312">
        <f>'3. GRI Pricing'!Y66</f>
        <v>1315</v>
      </c>
      <c r="AB75" s="359">
        <f t="shared" si="42"/>
        <v>23.274336283185839</v>
      </c>
    </row>
    <row r="76" spans="3:28" s="30" customFormat="1" ht="12" x14ac:dyDescent="0.2">
      <c r="C76" s="77" t="str">
        <f>'1. Accomodation'!N71</f>
        <v>403N</v>
      </c>
      <c r="D76" s="77" t="str">
        <f>'1. Accomodation'!P71</f>
        <v>2 Bed</v>
      </c>
      <c r="E76" s="77">
        <f>'1. Accomodation'!O71</f>
        <v>657</v>
      </c>
      <c r="G76" s="341">
        <v>15420</v>
      </c>
      <c r="H76" s="273">
        <f>IFERROR(INDEX('4. Valuation'!$C$10:$I$17,MATCH($D76,'4. Valuation'!$C$10:$C$17,0),MATCH($H$25,'4. Valuation'!$C$10:$I$10,0)),0)</f>
        <v>1166</v>
      </c>
      <c r="I76" s="273">
        <f>IFERROR(INDEX('4. Valuation'!$C$10:$I$17,MATCH($D76,'4. Valuation'!$C$10:$C$17,0),MATCH($I$25,'4. Valuation'!$C$10:$I$10,0)),0)</f>
        <v>21.448728269247237</v>
      </c>
      <c r="J76" s="277"/>
      <c r="K76" s="312">
        <f t="shared" si="35"/>
        <v>13992</v>
      </c>
      <c r="L76" s="312">
        <f t="shared" si="36"/>
        <v>1166</v>
      </c>
      <c r="M76" s="312">
        <f t="shared" si="37"/>
        <v>21.296803652968038</v>
      </c>
      <c r="N76" s="278"/>
      <c r="O76" s="278"/>
      <c r="P76" s="278"/>
      <c r="Q76" s="278"/>
      <c r="R76" s="312">
        <f>IFERROR(INDEX('4. Valuation'!$O$10:$X$17,MATCH($D76,'4. Valuation'!$O$10:$O$17,0),MATCH($R$25,'4. Valuation'!$O$10:$X$10,0)),0)</f>
        <v>0</v>
      </c>
      <c r="S76" s="312">
        <f>IFERROR(INDEX('4. Valuation'!$O$10:$X$17,MATCH($D76,'4. Valuation'!$O$10:$O$17,0),MATCH($S$25,'4. Valuation'!$O$10:$X$10,0)),0)</f>
        <v>0</v>
      </c>
      <c r="T76" s="312">
        <f>IFERROR(INDEX('4. Valuation'!$O$10:$X$17,MATCH($D76,'4. Valuation'!$O$10:$O$17,0),MATCH($T$25,'4. Valuation'!$O$10:$X$10,0)),0)</f>
        <v>0</v>
      </c>
      <c r="U76" s="278"/>
      <c r="V76" s="312">
        <f t="shared" si="38"/>
        <v>0</v>
      </c>
      <c r="W76" s="312">
        <f t="shared" si="39"/>
        <v>0</v>
      </c>
      <c r="X76" s="312">
        <f t="shared" si="40"/>
        <v>0</v>
      </c>
      <c r="Y76" s="278"/>
      <c r="Z76" s="312">
        <f t="shared" si="41"/>
        <v>15540</v>
      </c>
      <c r="AA76" s="312">
        <f>'3. GRI Pricing'!Y67</f>
        <v>1295</v>
      </c>
      <c r="AB76" s="359">
        <f t="shared" si="42"/>
        <v>23.652968036529682</v>
      </c>
    </row>
    <row r="77" spans="3:28" s="30" customFormat="1" ht="12" x14ac:dyDescent="0.2">
      <c r="C77" s="77" t="str">
        <f>'1. Accomodation'!N72</f>
        <v>404N</v>
      </c>
      <c r="D77" s="77" t="str">
        <f>'1. Accomodation'!P72</f>
        <v>3 Bed</v>
      </c>
      <c r="E77" s="77">
        <f>'1. Accomodation'!O72</f>
        <v>818</v>
      </c>
      <c r="G77" s="341">
        <v>18600</v>
      </c>
      <c r="H77" s="273">
        <f>IFERROR(INDEX('4. Valuation'!$C$10:$I$17,MATCH($D77,'4. Valuation'!$C$10:$C$17,0),MATCH($H$25,'4. Valuation'!$C$10:$I$10,0)),0)</f>
        <v>1511</v>
      </c>
      <c r="I77" s="273">
        <f>IFERROR(INDEX('4. Valuation'!$C$10:$I$17,MATCH($D77,'4. Valuation'!$C$10:$C$17,0),MATCH($I$25,'4. Valuation'!$C$10:$I$10,0)),0)</f>
        <v>22.026444890903143</v>
      </c>
      <c r="J77" s="277"/>
      <c r="K77" s="312">
        <f t="shared" si="35"/>
        <v>18132</v>
      </c>
      <c r="L77" s="312">
        <f t="shared" si="36"/>
        <v>1511</v>
      </c>
      <c r="M77" s="312">
        <f t="shared" si="37"/>
        <v>22.166259168704155</v>
      </c>
      <c r="N77" s="278"/>
      <c r="O77" s="278"/>
      <c r="P77" s="278"/>
      <c r="Q77" s="278"/>
      <c r="R77" s="312">
        <f>IFERROR(INDEX('4. Valuation'!$O$10:$X$17,MATCH($D77,'4. Valuation'!$O$10:$O$17,0),MATCH($R$25,'4. Valuation'!$O$10:$X$10,0)),0)</f>
        <v>0</v>
      </c>
      <c r="S77" s="312">
        <f>IFERROR(INDEX('4. Valuation'!$O$10:$X$17,MATCH($D77,'4. Valuation'!$O$10:$O$17,0),MATCH($S$25,'4. Valuation'!$O$10:$X$10,0)),0)</f>
        <v>0</v>
      </c>
      <c r="T77" s="312">
        <f>IFERROR(INDEX('4. Valuation'!$O$10:$X$17,MATCH($D77,'4. Valuation'!$O$10:$O$17,0),MATCH($T$25,'4. Valuation'!$O$10:$X$10,0)),0)</f>
        <v>0</v>
      </c>
      <c r="U77" s="278"/>
      <c r="V77" s="312">
        <f t="shared" si="38"/>
        <v>0</v>
      </c>
      <c r="W77" s="312">
        <f t="shared" si="39"/>
        <v>0</v>
      </c>
      <c r="X77" s="312">
        <f t="shared" si="40"/>
        <v>0</v>
      </c>
      <c r="Y77" s="278"/>
      <c r="Z77" s="312">
        <f t="shared" si="41"/>
        <v>20220</v>
      </c>
      <c r="AA77" s="312">
        <f>'3. GRI Pricing'!Y68</f>
        <v>1685</v>
      </c>
      <c r="AB77" s="359">
        <f t="shared" si="42"/>
        <v>24.718826405867972</v>
      </c>
    </row>
    <row r="78" spans="3:28" s="30" customFormat="1" ht="12" x14ac:dyDescent="0.2">
      <c r="C78" s="77" t="str">
        <f>'1. Accomodation'!N73</f>
        <v>405N</v>
      </c>
      <c r="D78" s="77" t="str">
        <f>'1. Accomodation'!P73</f>
        <v>2 Bed</v>
      </c>
      <c r="E78" s="77">
        <f>'1. Accomodation'!O73</f>
        <v>667</v>
      </c>
      <c r="G78" s="341">
        <v>15120</v>
      </c>
      <c r="H78" s="273">
        <f>IFERROR(INDEX('4. Valuation'!$C$10:$I$17,MATCH($D78,'4. Valuation'!$C$10:$C$17,0),MATCH($H$25,'4. Valuation'!$C$10:$I$10,0)),0)</f>
        <v>1166</v>
      </c>
      <c r="I78" s="273">
        <f>IFERROR(INDEX('4. Valuation'!$C$10:$I$17,MATCH($D78,'4. Valuation'!$C$10:$C$17,0),MATCH($I$25,'4. Valuation'!$C$10:$I$10,0)),0)</f>
        <v>21.448728269247237</v>
      </c>
      <c r="J78" s="277"/>
      <c r="K78" s="312">
        <f t="shared" si="35"/>
        <v>13992</v>
      </c>
      <c r="L78" s="312">
        <f t="shared" si="36"/>
        <v>1166</v>
      </c>
      <c r="M78" s="312">
        <f t="shared" si="37"/>
        <v>20.977511244377812</v>
      </c>
      <c r="N78" s="278"/>
      <c r="O78" s="278"/>
      <c r="P78" s="278"/>
      <c r="Q78" s="278"/>
      <c r="R78" s="312">
        <f>IFERROR(INDEX('4. Valuation'!$O$10:$X$17,MATCH($D78,'4. Valuation'!$O$10:$O$17,0),MATCH($R$25,'4. Valuation'!$O$10:$X$10,0)),0)</f>
        <v>0</v>
      </c>
      <c r="S78" s="312">
        <f>IFERROR(INDEX('4. Valuation'!$O$10:$X$17,MATCH($D78,'4. Valuation'!$O$10:$O$17,0),MATCH($S$25,'4. Valuation'!$O$10:$X$10,0)),0)</f>
        <v>0</v>
      </c>
      <c r="T78" s="312">
        <f>IFERROR(INDEX('4. Valuation'!$O$10:$X$17,MATCH($D78,'4. Valuation'!$O$10:$O$17,0),MATCH($T$25,'4. Valuation'!$O$10:$X$10,0)),0)</f>
        <v>0</v>
      </c>
      <c r="U78" s="278"/>
      <c r="V78" s="312">
        <f t="shared" si="38"/>
        <v>0</v>
      </c>
      <c r="W78" s="312">
        <f t="shared" si="39"/>
        <v>0</v>
      </c>
      <c r="X78" s="312">
        <f t="shared" si="40"/>
        <v>0</v>
      </c>
      <c r="Y78" s="278"/>
      <c r="Z78" s="312">
        <f t="shared" si="41"/>
        <v>15480</v>
      </c>
      <c r="AA78" s="312">
        <f>'3. GRI Pricing'!Y69</f>
        <v>1290</v>
      </c>
      <c r="AB78" s="359">
        <f t="shared" si="42"/>
        <v>23.208395802098952</v>
      </c>
    </row>
    <row r="79" spans="3:28" s="30" customFormat="1" ht="12" x14ac:dyDescent="0.2">
      <c r="C79" s="77" t="str">
        <f>'1. Accomodation'!N74</f>
        <v>406N</v>
      </c>
      <c r="D79" s="77" t="str">
        <f>'1. Accomodation'!P74</f>
        <v>1 Bed</v>
      </c>
      <c r="E79" s="77">
        <f>'1. Accomodation'!O74</f>
        <v>441</v>
      </c>
      <c r="G79" s="341">
        <v>11940</v>
      </c>
      <c r="H79" s="273">
        <f>IFERROR(INDEX('4. Valuation'!$C$10:$I$17,MATCH($D79,'4. Valuation'!$C$10:$C$17,0),MATCH($H$25,'4. Valuation'!$C$10:$I$10,0)),0)</f>
        <v>867</v>
      </c>
      <c r="I79" s="273">
        <f>IFERROR(INDEX('4. Valuation'!$C$10:$I$17,MATCH($D79,'4. Valuation'!$C$10:$C$17,0),MATCH($I$25,'4. Valuation'!$C$10:$I$10,0)),0)</f>
        <v>20.660726106217222</v>
      </c>
      <c r="J79" s="277"/>
      <c r="K79" s="312">
        <f t="shared" si="35"/>
        <v>10404</v>
      </c>
      <c r="L79" s="312">
        <f t="shared" si="36"/>
        <v>867</v>
      </c>
      <c r="M79" s="312">
        <f t="shared" si="37"/>
        <v>23.591836734693878</v>
      </c>
      <c r="N79" s="278"/>
      <c r="O79" s="278"/>
      <c r="P79" s="278"/>
      <c r="Q79" s="278"/>
      <c r="R79" s="312">
        <f>IFERROR(INDEX('4. Valuation'!$O$10:$X$17,MATCH($D79,'4. Valuation'!$O$10:$O$17,0),MATCH($R$25,'4. Valuation'!$O$10:$X$10,0)),0)</f>
        <v>0</v>
      </c>
      <c r="S79" s="312">
        <f>IFERROR(INDEX('4. Valuation'!$O$10:$X$17,MATCH($D79,'4. Valuation'!$O$10:$O$17,0),MATCH($S$25,'4. Valuation'!$O$10:$X$10,0)),0)</f>
        <v>0</v>
      </c>
      <c r="T79" s="312">
        <f>IFERROR(INDEX('4. Valuation'!$O$10:$X$17,MATCH($D79,'4. Valuation'!$O$10:$O$17,0),MATCH($T$25,'4. Valuation'!$O$10:$X$10,0)),0)</f>
        <v>0</v>
      </c>
      <c r="U79" s="278"/>
      <c r="V79" s="312">
        <f t="shared" si="38"/>
        <v>0</v>
      </c>
      <c r="W79" s="312">
        <f t="shared" si="39"/>
        <v>0</v>
      </c>
      <c r="X79" s="312">
        <f t="shared" si="40"/>
        <v>0</v>
      </c>
      <c r="Y79" s="278"/>
      <c r="Z79" s="312">
        <f t="shared" si="41"/>
        <v>11880</v>
      </c>
      <c r="AA79" s="312">
        <f>'3. GRI Pricing'!Y70</f>
        <v>990</v>
      </c>
      <c r="AB79" s="359">
        <f t="shared" si="42"/>
        <v>26.938775510204081</v>
      </c>
    </row>
    <row r="80" spans="3:28" s="30" customFormat="1" ht="12" x14ac:dyDescent="0.2">
      <c r="C80" s="77" t="str">
        <f>'1. Accomodation'!N75</f>
        <v>407N</v>
      </c>
      <c r="D80" s="77" t="str">
        <f>'1. Accomodation'!P75</f>
        <v>2 Bed</v>
      </c>
      <c r="E80" s="77">
        <f>'1. Accomodation'!O75</f>
        <v>624</v>
      </c>
      <c r="G80" s="341">
        <v>15360</v>
      </c>
      <c r="H80" s="273">
        <f>IFERROR(INDEX('4. Valuation'!$C$10:$I$17,MATCH($D80,'4. Valuation'!$C$10:$C$17,0),MATCH($H$25,'4. Valuation'!$C$10:$I$10,0)),0)</f>
        <v>1166</v>
      </c>
      <c r="I80" s="273">
        <f>IFERROR(INDEX('4. Valuation'!$C$10:$I$17,MATCH($D80,'4. Valuation'!$C$10:$C$17,0),MATCH($I$25,'4. Valuation'!$C$10:$I$10,0)),0)</f>
        <v>21.448728269247237</v>
      </c>
      <c r="J80" s="277"/>
      <c r="K80" s="312">
        <f t="shared" si="35"/>
        <v>13992</v>
      </c>
      <c r="L80" s="312">
        <f t="shared" si="36"/>
        <v>1166</v>
      </c>
      <c r="M80" s="312">
        <f t="shared" si="37"/>
        <v>22.423076923076923</v>
      </c>
      <c r="N80" s="278"/>
      <c r="O80" s="278"/>
      <c r="P80" s="278"/>
      <c r="Q80" s="278"/>
      <c r="R80" s="312">
        <f>IFERROR(INDEX('4. Valuation'!$O$10:$X$17,MATCH($D80,'4. Valuation'!$O$10:$O$17,0),MATCH($R$25,'4. Valuation'!$O$10:$X$10,0)),0)</f>
        <v>0</v>
      </c>
      <c r="S80" s="312">
        <f>IFERROR(INDEX('4. Valuation'!$O$10:$X$17,MATCH($D80,'4. Valuation'!$O$10:$O$17,0),MATCH($S$25,'4. Valuation'!$O$10:$X$10,0)),0)</f>
        <v>0</v>
      </c>
      <c r="T80" s="312">
        <f>IFERROR(INDEX('4. Valuation'!$O$10:$X$17,MATCH($D80,'4. Valuation'!$O$10:$O$17,0),MATCH($T$25,'4. Valuation'!$O$10:$X$10,0)),0)</f>
        <v>0</v>
      </c>
      <c r="U80" s="278"/>
      <c r="V80" s="312">
        <f t="shared" si="38"/>
        <v>0</v>
      </c>
      <c r="W80" s="312">
        <f t="shared" si="39"/>
        <v>0</v>
      </c>
      <c r="X80" s="312">
        <f t="shared" si="40"/>
        <v>0</v>
      </c>
      <c r="Y80" s="278"/>
      <c r="Z80" s="312">
        <f t="shared" si="41"/>
        <v>15180</v>
      </c>
      <c r="AA80" s="312">
        <f>'3. GRI Pricing'!Y71</f>
        <v>1265</v>
      </c>
      <c r="AB80" s="359">
        <f t="shared" si="42"/>
        <v>24.326923076923077</v>
      </c>
    </row>
    <row r="81" spans="3:28" s="30" customFormat="1" ht="12" x14ac:dyDescent="0.2">
      <c r="C81" s="77" t="str">
        <f>'1. Accomodation'!N76</f>
        <v>408N</v>
      </c>
      <c r="D81" s="77" t="str">
        <f>'1. Accomodation'!P76</f>
        <v>2 Bed</v>
      </c>
      <c r="E81" s="77">
        <f>'1. Accomodation'!O76</f>
        <v>624</v>
      </c>
      <c r="G81" s="341">
        <v>15120</v>
      </c>
      <c r="H81" s="273">
        <f>IFERROR(INDEX('4. Valuation'!$C$10:$I$17,MATCH($D81,'4. Valuation'!$C$10:$C$17,0),MATCH($H$25,'4. Valuation'!$C$10:$I$10,0)),0)</f>
        <v>1166</v>
      </c>
      <c r="I81" s="273">
        <f>IFERROR(INDEX('4. Valuation'!$C$10:$I$17,MATCH($D81,'4. Valuation'!$C$10:$C$17,0),MATCH($I$25,'4. Valuation'!$C$10:$I$10,0)),0)</f>
        <v>21.448728269247237</v>
      </c>
      <c r="J81" s="277"/>
      <c r="K81" s="312">
        <f t="shared" si="35"/>
        <v>13992</v>
      </c>
      <c r="L81" s="312">
        <f t="shared" si="36"/>
        <v>1166</v>
      </c>
      <c r="M81" s="312">
        <f t="shared" si="37"/>
        <v>22.423076923076923</v>
      </c>
      <c r="N81" s="278"/>
      <c r="O81" s="278"/>
      <c r="P81" s="278"/>
      <c r="Q81" s="278"/>
      <c r="R81" s="312">
        <f>IFERROR(INDEX('4. Valuation'!$O$10:$X$17,MATCH($D81,'4. Valuation'!$O$10:$O$17,0),MATCH($R$25,'4. Valuation'!$O$10:$X$10,0)),0)</f>
        <v>0</v>
      </c>
      <c r="S81" s="312">
        <f>IFERROR(INDEX('4. Valuation'!$O$10:$X$17,MATCH($D81,'4. Valuation'!$O$10:$O$17,0),MATCH($S$25,'4. Valuation'!$O$10:$X$10,0)),0)</f>
        <v>0</v>
      </c>
      <c r="T81" s="312">
        <f>IFERROR(INDEX('4. Valuation'!$O$10:$X$17,MATCH($D81,'4. Valuation'!$O$10:$O$17,0),MATCH($T$25,'4. Valuation'!$O$10:$X$10,0)),0)</f>
        <v>0</v>
      </c>
      <c r="U81" s="278"/>
      <c r="V81" s="312">
        <f t="shared" si="38"/>
        <v>0</v>
      </c>
      <c r="W81" s="312">
        <f t="shared" si="39"/>
        <v>0</v>
      </c>
      <c r="X81" s="312">
        <f t="shared" si="40"/>
        <v>0</v>
      </c>
      <c r="Y81" s="278"/>
      <c r="Z81" s="312">
        <f t="shared" si="41"/>
        <v>15180</v>
      </c>
      <c r="AA81" s="312">
        <f>'3. GRI Pricing'!Y72</f>
        <v>1265</v>
      </c>
      <c r="AB81" s="359">
        <f t="shared" si="42"/>
        <v>24.326923076923077</v>
      </c>
    </row>
    <row r="82" spans="3:28" s="30" customFormat="1" ht="12" x14ac:dyDescent="0.2">
      <c r="C82" s="77" t="str">
        <f>'1. Accomodation'!N77</f>
        <v>409N</v>
      </c>
      <c r="D82" s="77" t="str">
        <f>'1. Accomodation'!P77</f>
        <v>2 Bed</v>
      </c>
      <c r="E82" s="77">
        <f>'1. Accomodation'!O77</f>
        <v>657</v>
      </c>
      <c r="G82" s="341">
        <v>15360</v>
      </c>
      <c r="H82" s="273">
        <f>IFERROR(INDEX('4. Valuation'!$C$10:$I$17,MATCH($D82,'4. Valuation'!$C$10:$C$17,0),MATCH($H$25,'4. Valuation'!$C$10:$I$10,0)),0)</f>
        <v>1166</v>
      </c>
      <c r="I82" s="273">
        <f>IFERROR(INDEX('4. Valuation'!$C$10:$I$17,MATCH($D82,'4. Valuation'!$C$10:$C$17,0),MATCH($I$25,'4. Valuation'!$C$10:$I$10,0)),0)</f>
        <v>21.448728269247237</v>
      </c>
      <c r="J82" s="277"/>
      <c r="K82" s="312">
        <f t="shared" si="35"/>
        <v>13992</v>
      </c>
      <c r="L82" s="312">
        <f t="shared" si="36"/>
        <v>1166</v>
      </c>
      <c r="M82" s="312">
        <f t="shared" si="37"/>
        <v>21.296803652968038</v>
      </c>
      <c r="N82" s="278"/>
      <c r="O82" s="278"/>
      <c r="P82" s="278"/>
      <c r="Q82" s="278"/>
      <c r="R82" s="312">
        <f>IFERROR(INDEX('4. Valuation'!$O$10:$X$17,MATCH($D82,'4. Valuation'!$O$10:$O$17,0),MATCH($R$25,'4. Valuation'!$O$10:$X$10,0)),0)</f>
        <v>0</v>
      </c>
      <c r="S82" s="312">
        <f>IFERROR(INDEX('4. Valuation'!$O$10:$X$17,MATCH($D82,'4. Valuation'!$O$10:$O$17,0),MATCH($S$25,'4. Valuation'!$O$10:$X$10,0)),0)</f>
        <v>0</v>
      </c>
      <c r="T82" s="312">
        <f>IFERROR(INDEX('4. Valuation'!$O$10:$X$17,MATCH($D82,'4. Valuation'!$O$10:$O$17,0),MATCH($T$25,'4. Valuation'!$O$10:$X$10,0)),0)</f>
        <v>0</v>
      </c>
      <c r="U82" s="278"/>
      <c r="V82" s="312">
        <f t="shared" si="38"/>
        <v>0</v>
      </c>
      <c r="W82" s="312">
        <f t="shared" si="39"/>
        <v>0</v>
      </c>
      <c r="X82" s="312">
        <f t="shared" si="40"/>
        <v>0</v>
      </c>
      <c r="Y82" s="278"/>
      <c r="Z82" s="312">
        <f t="shared" si="41"/>
        <v>15780</v>
      </c>
      <c r="AA82" s="312">
        <f>'3. GRI Pricing'!Y73</f>
        <v>1315</v>
      </c>
      <c r="AB82" s="359">
        <f t="shared" si="42"/>
        <v>24.018264840182649</v>
      </c>
    </row>
    <row r="83" spans="3:28" s="30" customFormat="1" ht="12" x14ac:dyDescent="0.2">
      <c r="C83" s="77" t="str">
        <f>'1. Accomodation'!N78</f>
        <v>410N</v>
      </c>
      <c r="D83" s="77" t="str">
        <f>'1. Accomodation'!P78</f>
        <v>2 Bed</v>
      </c>
      <c r="E83" s="77">
        <f>'1. Accomodation'!O78</f>
        <v>700</v>
      </c>
      <c r="G83" s="341">
        <v>16320</v>
      </c>
      <c r="H83" s="273">
        <f>IFERROR(INDEX('4. Valuation'!$C$10:$I$17,MATCH($D83,'4. Valuation'!$C$10:$C$17,0),MATCH($H$25,'4. Valuation'!$C$10:$I$10,0)),0)</f>
        <v>1166</v>
      </c>
      <c r="I83" s="273">
        <f>IFERROR(INDEX('4. Valuation'!$C$10:$I$17,MATCH($D83,'4. Valuation'!$C$10:$C$17,0),MATCH($I$25,'4. Valuation'!$C$10:$I$10,0)),0)</f>
        <v>21.448728269247237</v>
      </c>
      <c r="J83" s="277"/>
      <c r="K83" s="312">
        <f t="shared" si="35"/>
        <v>13992</v>
      </c>
      <c r="L83" s="312">
        <f t="shared" si="36"/>
        <v>1166</v>
      </c>
      <c r="M83" s="312">
        <f t="shared" si="37"/>
        <v>19.988571428571429</v>
      </c>
      <c r="N83" s="278"/>
      <c r="O83" s="278"/>
      <c r="P83" s="278"/>
      <c r="Q83" s="278"/>
      <c r="R83" s="312">
        <f>IFERROR(INDEX('4. Valuation'!$O$10:$X$17,MATCH($D83,'4. Valuation'!$O$10:$O$17,0),MATCH($R$25,'4. Valuation'!$O$10:$X$10,0)),0)</f>
        <v>0</v>
      </c>
      <c r="S83" s="312">
        <f>IFERROR(INDEX('4. Valuation'!$O$10:$X$17,MATCH($D83,'4. Valuation'!$O$10:$O$17,0),MATCH($S$25,'4. Valuation'!$O$10:$X$10,0)),0)</f>
        <v>0</v>
      </c>
      <c r="T83" s="312">
        <f>IFERROR(INDEX('4. Valuation'!$O$10:$X$17,MATCH($D83,'4. Valuation'!$O$10:$O$17,0),MATCH($T$25,'4. Valuation'!$O$10:$X$10,0)),0)</f>
        <v>0</v>
      </c>
      <c r="U83" s="278"/>
      <c r="V83" s="312">
        <f t="shared" si="38"/>
        <v>0</v>
      </c>
      <c r="W83" s="312">
        <f t="shared" si="39"/>
        <v>0</v>
      </c>
      <c r="X83" s="312">
        <f t="shared" si="40"/>
        <v>0</v>
      </c>
      <c r="Y83" s="278"/>
      <c r="Z83" s="312">
        <f t="shared" si="41"/>
        <v>16320</v>
      </c>
      <c r="AA83" s="312">
        <f>'3. GRI Pricing'!Y74</f>
        <v>1360</v>
      </c>
      <c r="AB83" s="359">
        <f t="shared" si="42"/>
        <v>23.314285714285713</v>
      </c>
    </row>
    <row r="84" spans="3:28" s="30" customFormat="1" ht="12" x14ac:dyDescent="0.2">
      <c r="C84" s="77" t="str">
        <f>'1. Accomodation'!N79</f>
        <v>411N</v>
      </c>
      <c r="D84" s="77" t="str">
        <f>'1. Accomodation'!P79</f>
        <v>2 Bed</v>
      </c>
      <c r="E84" s="77">
        <f>'1. Accomodation'!O79</f>
        <v>689</v>
      </c>
      <c r="G84" s="341">
        <v>16680</v>
      </c>
      <c r="H84" s="273">
        <f>IFERROR(INDEX('4. Valuation'!$C$10:$I$17,MATCH($D84,'4. Valuation'!$C$10:$C$17,0),MATCH($H$25,'4. Valuation'!$C$10:$I$10,0)),0)</f>
        <v>1166</v>
      </c>
      <c r="I84" s="273">
        <f>IFERROR(INDEX('4. Valuation'!$C$10:$I$17,MATCH($D84,'4. Valuation'!$C$10:$C$17,0),MATCH($I$25,'4. Valuation'!$C$10:$I$10,0)),0)</f>
        <v>21.448728269247237</v>
      </c>
      <c r="J84" s="277"/>
      <c r="K84" s="312">
        <f t="shared" si="35"/>
        <v>13992</v>
      </c>
      <c r="L84" s="312">
        <f t="shared" si="36"/>
        <v>1166</v>
      </c>
      <c r="M84" s="312">
        <f t="shared" si="37"/>
        <v>20.307692307692307</v>
      </c>
      <c r="N84" s="278"/>
      <c r="O84" s="278"/>
      <c r="P84" s="278"/>
      <c r="Q84" s="278"/>
      <c r="R84" s="312">
        <f>IFERROR(INDEX('4. Valuation'!$O$10:$X$17,MATCH($D84,'4. Valuation'!$O$10:$O$17,0),MATCH($R$25,'4. Valuation'!$O$10:$X$10,0)),0)</f>
        <v>0</v>
      </c>
      <c r="S84" s="312">
        <f>IFERROR(INDEX('4. Valuation'!$O$10:$X$17,MATCH($D84,'4. Valuation'!$O$10:$O$17,0),MATCH($S$25,'4. Valuation'!$O$10:$X$10,0)),0)</f>
        <v>0</v>
      </c>
      <c r="T84" s="312">
        <f>IFERROR(INDEX('4. Valuation'!$O$10:$X$17,MATCH($D84,'4. Valuation'!$O$10:$O$17,0),MATCH($T$25,'4. Valuation'!$O$10:$X$10,0)),0)</f>
        <v>0</v>
      </c>
      <c r="U84" s="278"/>
      <c r="V84" s="312">
        <f t="shared" si="38"/>
        <v>0</v>
      </c>
      <c r="W84" s="312">
        <f t="shared" si="39"/>
        <v>0</v>
      </c>
      <c r="X84" s="312">
        <f t="shared" si="40"/>
        <v>0</v>
      </c>
      <c r="Y84" s="278"/>
      <c r="Z84" s="312">
        <f t="shared" si="41"/>
        <v>16440</v>
      </c>
      <c r="AA84" s="312">
        <f>'3. GRI Pricing'!Y75</f>
        <v>1370</v>
      </c>
      <c r="AB84" s="359">
        <f t="shared" si="42"/>
        <v>23.86066763425254</v>
      </c>
    </row>
    <row r="85" spans="3:28" s="30" customFormat="1" ht="12" x14ac:dyDescent="0.2">
      <c r="C85" s="77" t="str">
        <f>'1. Accomodation'!N80</f>
        <v>412N</v>
      </c>
      <c r="D85" s="77" t="str">
        <f>'1. Accomodation'!P80</f>
        <v>1 Bed</v>
      </c>
      <c r="E85" s="77">
        <f>'1. Accomodation'!O80</f>
        <v>517</v>
      </c>
      <c r="G85" s="341">
        <v>12480</v>
      </c>
      <c r="H85" s="273">
        <f>IFERROR(INDEX('4. Valuation'!$C$10:$I$17,MATCH($D85,'4. Valuation'!$C$10:$C$17,0),MATCH($H$25,'4. Valuation'!$C$10:$I$10,0)),0)</f>
        <v>867</v>
      </c>
      <c r="I85" s="273">
        <f>IFERROR(INDEX('4. Valuation'!$C$10:$I$17,MATCH($D85,'4. Valuation'!$C$10:$C$17,0),MATCH($I$25,'4. Valuation'!$C$10:$I$10,0)),0)</f>
        <v>20.660726106217222</v>
      </c>
      <c r="J85" s="277"/>
      <c r="K85" s="312">
        <f t="shared" si="35"/>
        <v>10404</v>
      </c>
      <c r="L85" s="312">
        <f t="shared" si="36"/>
        <v>867</v>
      </c>
      <c r="M85" s="312">
        <f t="shared" si="37"/>
        <v>20.123791102514506</v>
      </c>
      <c r="N85" s="278"/>
      <c r="O85" s="278"/>
      <c r="P85" s="278"/>
      <c r="Q85" s="278"/>
      <c r="R85" s="312">
        <f>IFERROR(INDEX('4. Valuation'!$O$10:$X$17,MATCH($D85,'4. Valuation'!$O$10:$O$17,0),MATCH($R$25,'4. Valuation'!$O$10:$X$10,0)),0)</f>
        <v>0</v>
      </c>
      <c r="S85" s="312">
        <f>IFERROR(INDEX('4. Valuation'!$O$10:$X$17,MATCH($D85,'4. Valuation'!$O$10:$O$17,0),MATCH($S$25,'4. Valuation'!$O$10:$X$10,0)),0)</f>
        <v>0</v>
      </c>
      <c r="T85" s="312">
        <f>IFERROR(INDEX('4. Valuation'!$O$10:$X$17,MATCH($D85,'4. Valuation'!$O$10:$O$17,0),MATCH($T$25,'4. Valuation'!$O$10:$X$10,0)),0)</f>
        <v>0</v>
      </c>
      <c r="U85" s="278"/>
      <c r="V85" s="312">
        <f t="shared" si="38"/>
        <v>0</v>
      </c>
      <c r="W85" s="312">
        <f t="shared" si="39"/>
        <v>0</v>
      </c>
      <c r="X85" s="312">
        <f t="shared" si="40"/>
        <v>0</v>
      </c>
      <c r="Y85" s="278"/>
      <c r="Z85" s="312">
        <f t="shared" si="41"/>
        <v>12720</v>
      </c>
      <c r="AA85" s="312">
        <f>'3. GRI Pricing'!Y76</f>
        <v>1060</v>
      </c>
      <c r="AB85" s="359">
        <f t="shared" si="42"/>
        <v>24.603481624758221</v>
      </c>
    </row>
    <row r="86" spans="3:28" s="30" customFormat="1" ht="12" x14ac:dyDescent="0.2">
      <c r="C86" s="77" t="str">
        <f>'1. Accomodation'!N81</f>
        <v>413N</v>
      </c>
      <c r="D86" s="77" t="str">
        <f>'1. Accomodation'!P81</f>
        <v>1 Bed</v>
      </c>
      <c r="E86" s="77">
        <f>'1. Accomodation'!O81</f>
        <v>538</v>
      </c>
      <c r="G86" s="341">
        <v>12000</v>
      </c>
      <c r="H86" s="273">
        <f>IFERROR(INDEX('4. Valuation'!$C$10:$I$17,MATCH($D86,'4. Valuation'!$C$10:$C$17,0),MATCH($H$25,'4. Valuation'!$C$10:$I$10,0)),0)</f>
        <v>867</v>
      </c>
      <c r="I86" s="273">
        <f>IFERROR(INDEX('4. Valuation'!$C$10:$I$17,MATCH($D86,'4. Valuation'!$C$10:$C$17,0),MATCH($I$25,'4. Valuation'!$C$10:$I$10,0)),0)</f>
        <v>20.660726106217222</v>
      </c>
      <c r="J86" s="277"/>
      <c r="K86" s="312">
        <f t="shared" si="35"/>
        <v>10404</v>
      </c>
      <c r="L86" s="312">
        <f t="shared" si="36"/>
        <v>867</v>
      </c>
      <c r="M86" s="312">
        <f t="shared" si="37"/>
        <v>19.338289962825279</v>
      </c>
      <c r="N86" s="278"/>
      <c r="O86" s="278"/>
      <c r="P86" s="278"/>
      <c r="Q86" s="278"/>
      <c r="R86" s="312">
        <f>IFERROR(INDEX('4. Valuation'!$O$10:$X$17,MATCH($D86,'4. Valuation'!$O$10:$O$17,0),MATCH($R$25,'4. Valuation'!$O$10:$X$10,0)),0)</f>
        <v>0</v>
      </c>
      <c r="S86" s="312">
        <f>IFERROR(INDEX('4. Valuation'!$O$10:$X$17,MATCH($D86,'4. Valuation'!$O$10:$O$17,0),MATCH($S$25,'4. Valuation'!$O$10:$X$10,0)),0)</f>
        <v>0</v>
      </c>
      <c r="T86" s="312">
        <f>IFERROR(INDEX('4. Valuation'!$O$10:$X$17,MATCH($D86,'4. Valuation'!$O$10:$O$17,0),MATCH($T$25,'4. Valuation'!$O$10:$X$10,0)),0)</f>
        <v>0</v>
      </c>
      <c r="U86" s="278"/>
      <c r="V86" s="312">
        <f t="shared" si="38"/>
        <v>0</v>
      </c>
      <c r="W86" s="312">
        <f t="shared" si="39"/>
        <v>0</v>
      </c>
      <c r="X86" s="312">
        <f t="shared" si="40"/>
        <v>0</v>
      </c>
      <c r="Y86" s="278"/>
      <c r="Z86" s="312">
        <f t="shared" si="41"/>
        <v>12420</v>
      </c>
      <c r="AA86" s="312">
        <f>'3. GRI Pricing'!Y77</f>
        <v>1035</v>
      </c>
      <c r="AB86" s="359">
        <f t="shared" si="42"/>
        <v>23.085501858736059</v>
      </c>
    </row>
    <row r="87" spans="3:28" s="30" customFormat="1" ht="12" x14ac:dyDescent="0.2">
      <c r="C87" s="77" t="str">
        <f>'1. Accomodation'!N82</f>
        <v>414N</v>
      </c>
      <c r="D87" s="77" t="str">
        <f>'1. Accomodation'!P82</f>
        <v>1 Bed</v>
      </c>
      <c r="E87" s="77">
        <f>'1. Accomodation'!O82</f>
        <v>560</v>
      </c>
      <c r="G87" s="341">
        <v>11880</v>
      </c>
      <c r="H87" s="273">
        <f>IFERROR(INDEX('4. Valuation'!$C$10:$I$17,MATCH($D87,'4. Valuation'!$C$10:$C$17,0),MATCH($H$25,'4. Valuation'!$C$10:$I$10,0)),0)</f>
        <v>867</v>
      </c>
      <c r="I87" s="273">
        <f>IFERROR(INDEX('4. Valuation'!$C$10:$I$17,MATCH($D87,'4. Valuation'!$C$10:$C$17,0),MATCH($I$25,'4. Valuation'!$C$10:$I$10,0)),0)</f>
        <v>20.660726106217222</v>
      </c>
      <c r="J87" s="277"/>
      <c r="K87" s="312">
        <f t="shared" si="35"/>
        <v>10404</v>
      </c>
      <c r="L87" s="312">
        <f t="shared" si="36"/>
        <v>867</v>
      </c>
      <c r="M87" s="312">
        <f t="shared" si="37"/>
        <v>18.578571428571429</v>
      </c>
      <c r="N87" s="278"/>
      <c r="O87" s="278"/>
      <c r="P87" s="278"/>
      <c r="Q87" s="278"/>
      <c r="R87" s="312">
        <f>IFERROR(INDEX('4. Valuation'!$O$10:$X$17,MATCH($D87,'4. Valuation'!$O$10:$O$17,0),MATCH($R$25,'4. Valuation'!$O$10:$X$10,0)),0)</f>
        <v>0</v>
      </c>
      <c r="S87" s="312">
        <f>IFERROR(INDEX('4. Valuation'!$O$10:$X$17,MATCH($D87,'4. Valuation'!$O$10:$O$17,0),MATCH($S$25,'4. Valuation'!$O$10:$X$10,0)),0)</f>
        <v>0</v>
      </c>
      <c r="T87" s="312">
        <f>IFERROR(INDEX('4. Valuation'!$O$10:$X$17,MATCH($D87,'4. Valuation'!$O$10:$O$17,0),MATCH($T$25,'4. Valuation'!$O$10:$X$10,0)),0)</f>
        <v>0</v>
      </c>
      <c r="U87" s="278"/>
      <c r="V87" s="312">
        <f t="shared" si="38"/>
        <v>0</v>
      </c>
      <c r="W87" s="312">
        <f t="shared" si="39"/>
        <v>0</v>
      </c>
      <c r="X87" s="312">
        <f t="shared" si="40"/>
        <v>0</v>
      </c>
      <c r="Y87" s="278"/>
      <c r="Z87" s="312">
        <f t="shared" si="41"/>
        <v>12240</v>
      </c>
      <c r="AA87" s="312">
        <f>'3. GRI Pricing'!Y78</f>
        <v>1020</v>
      </c>
      <c r="AB87" s="359">
        <f t="shared" si="42"/>
        <v>21.857142857142858</v>
      </c>
    </row>
    <row r="88" spans="3:28" s="30" customFormat="1" ht="12" x14ac:dyDescent="0.2">
      <c r="C88" s="77" t="str">
        <f>'1. Accomodation'!N83</f>
        <v>415N</v>
      </c>
      <c r="D88" s="77" t="str">
        <f>'1. Accomodation'!P83</f>
        <v>2 Bed</v>
      </c>
      <c r="E88" s="77">
        <f>'1. Accomodation'!O83</f>
        <v>624</v>
      </c>
      <c r="G88" s="341">
        <v>15480</v>
      </c>
      <c r="H88" s="273">
        <f>IFERROR(INDEX('4. Valuation'!$C$10:$I$17,MATCH($D88,'4. Valuation'!$C$10:$C$17,0),MATCH($H$25,'4. Valuation'!$C$10:$I$10,0)),0)</f>
        <v>1166</v>
      </c>
      <c r="I88" s="273">
        <f>IFERROR(INDEX('4. Valuation'!$C$10:$I$17,MATCH($D88,'4. Valuation'!$C$10:$C$17,0),MATCH($I$25,'4. Valuation'!$C$10:$I$10,0)),0)</f>
        <v>21.448728269247237</v>
      </c>
      <c r="J88" s="277"/>
      <c r="K88" s="312">
        <f t="shared" si="35"/>
        <v>13992</v>
      </c>
      <c r="L88" s="312">
        <f t="shared" si="36"/>
        <v>1166</v>
      </c>
      <c r="M88" s="312">
        <f t="shared" si="37"/>
        <v>22.423076923076923</v>
      </c>
      <c r="N88" s="278"/>
      <c r="O88" s="278"/>
      <c r="P88" s="278"/>
      <c r="Q88" s="278"/>
      <c r="R88" s="312">
        <f>IFERROR(INDEX('4. Valuation'!$O$10:$X$17,MATCH($D88,'4. Valuation'!$O$10:$O$17,0),MATCH($R$25,'4. Valuation'!$O$10:$X$10,0)),0)</f>
        <v>0</v>
      </c>
      <c r="S88" s="312">
        <f>IFERROR(INDEX('4. Valuation'!$O$10:$X$17,MATCH($D88,'4. Valuation'!$O$10:$O$17,0),MATCH($S$25,'4. Valuation'!$O$10:$X$10,0)),0)</f>
        <v>0</v>
      </c>
      <c r="T88" s="312">
        <f>IFERROR(INDEX('4. Valuation'!$O$10:$X$17,MATCH($D88,'4. Valuation'!$O$10:$O$17,0),MATCH($T$25,'4. Valuation'!$O$10:$X$10,0)),0)</f>
        <v>0</v>
      </c>
      <c r="U88" s="278"/>
      <c r="V88" s="312">
        <f t="shared" si="38"/>
        <v>0</v>
      </c>
      <c r="W88" s="312">
        <f t="shared" si="39"/>
        <v>0</v>
      </c>
      <c r="X88" s="312">
        <f t="shared" si="40"/>
        <v>0</v>
      </c>
      <c r="Y88" s="278"/>
      <c r="Z88" s="312">
        <f t="shared" si="41"/>
        <v>15420</v>
      </c>
      <c r="AA88" s="312">
        <f>'3. GRI Pricing'!Y79</f>
        <v>1285</v>
      </c>
      <c r="AB88" s="359">
        <f t="shared" si="42"/>
        <v>24.71153846153846</v>
      </c>
    </row>
    <row r="89" spans="3:28" s="30" customFormat="1" ht="12" x14ac:dyDescent="0.2">
      <c r="C89" s="77" t="str">
        <f>'1. Accomodation'!N84</f>
        <v>416N</v>
      </c>
      <c r="D89" s="77" t="str">
        <f>'1. Accomodation'!P84</f>
        <v>2 Bed</v>
      </c>
      <c r="E89" s="77">
        <f>'1. Accomodation'!O84</f>
        <v>624</v>
      </c>
      <c r="G89" s="341">
        <v>15660</v>
      </c>
      <c r="H89" s="273">
        <f>IFERROR(INDEX('4. Valuation'!$C$10:$I$17,MATCH($D89,'4. Valuation'!$C$10:$C$17,0),MATCH($H$25,'4. Valuation'!$C$10:$I$10,0)),0)</f>
        <v>1166</v>
      </c>
      <c r="I89" s="273">
        <f>IFERROR(INDEX('4. Valuation'!$C$10:$I$17,MATCH($D89,'4. Valuation'!$C$10:$C$17,0),MATCH($I$25,'4. Valuation'!$C$10:$I$10,0)),0)</f>
        <v>21.448728269247237</v>
      </c>
      <c r="J89" s="277"/>
      <c r="K89" s="312">
        <f t="shared" si="35"/>
        <v>13992</v>
      </c>
      <c r="L89" s="312">
        <f t="shared" si="36"/>
        <v>1166</v>
      </c>
      <c r="M89" s="312">
        <f t="shared" si="37"/>
        <v>22.423076923076923</v>
      </c>
      <c r="N89" s="278"/>
      <c r="O89" s="278"/>
      <c r="P89" s="278"/>
      <c r="Q89" s="278"/>
      <c r="R89" s="312">
        <f>IFERROR(INDEX('4. Valuation'!$O$10:$X$17,MATCH($D89,'4. Valuation'!$O$10:$O$17,0),MATCH($R$25,'4. Valuation'!$O$10:$X$10,0)),0)</f>
        <v>0</v>
      </c>
      <c r="S89" s="312">
        <f>IFERROR(INDEX('4. Valuation'!$O$10:$X$17,MATCH($D89,'4. Valuation'!$O$10:$O$17,0),MATCH($S$25,'4. Valuation'!$O$10:$X$10,0)),0)</f>
        <v>0</v>
      </c>
      <c r="T89" s="312">
        <f>IFERROR(INDEX('4. Valuation'!$O$10:$X$17,MATCH($D89,'4. Valuation'!$O$10:$O$17,0),MATCH($T$25,'4. Valuation'!$O$10:$X$10,0)),0)</f>
        <v>0</v>
      </c>
      <c r="U89" s="278"/>
      <c r="V89" s="312">
        <f t="shared" si="38"/>
        <v>0</v>
      </c>
      <c r="W89" s="312">
        <f t="shared" si="39"/>
        <v>0</v>
      </c>
      <c r="X89" s="312">
        <f t="shared" si="40"/>
        <v>0</v>
      </c>
      <c r="Y89" s="278"/>
      <c r="Z89" s="312">
        <f t="shared" si="41"/>
        <v>15420</v>
      </c>
      <c r="AA89" s="312">
        <f>'3. GRI Pricing'!Y80</f>
        <v>1285</v>
      </c>
      <c r="AB89" s="359">
        <f t="shared" si="42"/>
        <v>24.71153846153846</v>
      </c>
    </row>
    <row r="90" spans="3:28" s="30" customFormat="1" ht="12" x14ac:dyDescent="0.2">
      <c r="C90" s="77" t="str">
        <f>'1. Accomodation'!N85</f>
        <v>501N</v>
      </c>
      <c r="D90" s="77" t="str">
        <f>'1. Accomodation'!P85</f>
        <v>1 Bed</v>
      </c>
      <c r="E90" s="77">
        <f>'1. Accomodation'!O85</f>
        <v>484</v>
      </c>
      <c r="G90" s="341">
        <v>11280</v>
      </c>
      <c r="H90" s="273">
        <f>IFERROR(INDEX('4. Valuation'!$C$10:$I$17,MATCH($D90,'4. Valuation'!$C$10:$C$17,0),MATCH($H$25,'4. Valuation'!$C$10:$I$10,0)),0)</f>
        <v>867</v>
      </c>
      <c r="I90" s="273">
        <f>IFERROR(INDEX('4. Valuation'!$C$10:$I$17,MATCH($D90,'4. Valuation'!$C$10:$C$17,0),MATCH($I$25,'4. Valuation'!$C$10:$I$10,0)),0)</f>
        <v>20.660726106217222</v>
      </c>
      <c r="J90" s="277"/>
      <c r="K90" s="312">
        <f t="shared" si="35"/>
        <v>10404</v>
      </c>
      <c r="L90" s="312">
        <f t="shared" si="36"/>
        <v>867</v>
      </c>
      <c r="M90" s="312">
        <f t="shared" si="37"/>
        <v>21.495867768595041</v>
      </c>
      <c r="N90" s="278"/>
      <c r="O90" s="278"/>
      <c r="P90" s="278"/>
      <c r="Q90" s="278"/>
      <c r="R90" s="312">
        <f>IFERROR(INDEX('4. Valuation'!$O$10:$X$17,MATCH($D90,'4. Valuation'!$O$10:$O$17,0),MATCH($R$25,'4. Valuation'!$O$10:$X$10,0)),0)</f>
        <v>0</v>
      </c>
      <c r="S90" s="312">
        <f>IFERROR(INDEX('4. Valuation'!$O$10:$X$17,MATCH($D90,'4. Valuation'!$O$10:$O$17,0),MATCH($S$25,'4. Valuation'!$O$10:$X$10,0)),0)</f>
        <v>0</v>
      </c>
      <c r="T90" s="312">
        <f>IFERROR(INDEX('4. Valuation'!$O$10:$X$17,MATCH($D90,'4. Valuation'!$O$10:$O$17,0),MATCH($T$25,'4. Valuation'!$O$10:$X$10,0)),0)</f>
        <v>0</v>
      </c>
      <c r="U90" s="278"/>
      <c r="V90" s="312">
        <f t="shared" si="38"/>
        <v>0</v>
      </c>
      <c r="W90" s="312">
        <f t="shared" si="39"/>
        <v>0</v>
      </c>
      <c r="X90" s="312">
        <f t="shared" si="40"/>
        <v>0</v>
      </c>
      <c r="Y90" s="278"/>
      <c r="Z90" s="312">
        <f t="shared" si="41"/>
        <v>12240</v>
      </c>
      <c r="AA90" s="312">
        <f>'3. GRI Pricing'!Y81</f>
        <v>1020</v>
      </c>
      <c r="AB90" s="359">
        <f t="shared" si="42"/>
        <v>25.289256198347108</v>
      </c>
    </row>
    <row r="91" spans="3:28" s="30" customFormat="1" ht="12" x14ac:dyDescent="0.2">
      <c r="C91" s="77" t="str">
        <f>'1. Accomodation'!N86</f>
        <v>502N</v>
      </c>
      <c r="D91" s="77" t="str">
        <f>'1. Accomodation'!P86</f>
        <v>2 Bed</v>
      </c>
      <c r="E91" s="77">
        <f>'1. Accomodation'!O86</f>
        <v>678</v>
      </c>
      <c r="G91" s="341">
        <v>15600</v>
      </c>
      <c r="H91" s="273">
        <f>IFERROR(INDEX('4. Valuation'!$C$10:$I$17,MATCH($D91,'4. Valuation'!$C$10:$C$17,0),MATCH($H$25,'4. Valuation'!$C$10:$I$10,0)),0)</f>
        <v>1166</v>
      </c>
      <c r="I91" s="273">
        <f>IFERROR(INDEX('4. Valuation'!$C$10:$I$17,MATCH($D91,'4. Valuation'!$C$10:$C$17,0),MATCH($I$25,'4. Valuation'!$C$10:$I$10,0)),0)</f>
        <v>21.448728269247237</v>
      </c>
      <c r="J91" s="277"/>
      <c r="K91" s="312">
        <f t="shared" ref="K91:K154" si="43">L91*12</f>
        <v>13992</v>
      </c>
      <c r="L91" s="312">
        <f t="shared" ref="L91:L154" si="44">H91*(1+$M$24)^((L$24-K$24)/365)</f>
        <v>1166</v>
      </c>
      <c r="M91" s="312">
        <f t="shared" ref="M91:M154" si="45">IFERROR(K91/E91,0)</f>
        <v>20.63716814159292</v>
      </c>
      <c r="N91" s="278"/>
      <c r="O91" s="278"/>
      <c r="P91" s="278"/>
      <c r="Q91" s="278"/>
      <c r="R91" s="312">
        <f>IFERROR(INDEX('4. Valuation'!$O$10:$X$17,MATCH($D91,'4. Valuation'!$O$10:$O$17,0),MATCH($R$25,'4. Valuation'!$O$10:$X$10,0)),0)</f>
        <v>0</v>
      </c>
      <c r="S91" s="312">
        <f>IFERROR(INDEX('4. Valuation'!$O$10:$X$17,MATCH($D91,'4. Valuation'!$O$10:$O$17,0),MATCH($S$25,'4. Valuation'!$O$10:$X$10,0)),0)</f>
        <v>0</v>
      </c>
      <c r="T91" s="312">
        <f>IFERROR(INDEX('4. Valuation'!$O$10:$X$17,MATCH($D91,'4. Valuation'!$O$10:$O$17,0),MATCH($T$25,'4. Valuation'!$O$10:$X$10,0)),0)</f>
        <v>0</v>
      </c>
      <c r="U91" s="278"/>
      <c r="V91" s="312">
        <f t="shared" ref="V91:V154" si="46">W91*12</f>
        <v>0</v>
      </c>
      <c r="W91" s="312">
        <f t="shared" ref="W91:W154" si="47">S91*(1+$M$24)^((W$24-V$24)/365)</f>
        <v>0</v>
      </c>
      <c r="X91" s="312">
        <f t="shared" ref="X91:X154" si="48">IFERROR(V91/E91,0)</f>
        <v>0</v>
      </c>
      <c r="Y91" s="278"/>
      <c r="Z91" s="312">
        <f t="shared" ref="Z91:Z154" si="49">AA91*12</f>
        <v>15780</v>
      </c>
      <c r="AA91" s="312">
        <f>'3. GRI Pricing'!Y82</f>
        <v>1315</v>
      </c>
      <c r="AB91" s="359">
        <f t="shared" ref="AB91:AB154" si="50">IFERROR(Z91/E91,0)</f>
        <v>23.274336283185839</v>
      </c>
    </row>
    <row r="92" spans="3:28" s="30" customFormat="1" ht="12" x14ac:dyDescent="0.2">
      <c r="C92" s="77" t="str">
        <f>'1. Accomodation'!N87</f>
        <v>503N</v>
      </c>
      <c r="D92" s="77" t="str">
        <f>'1. Accomodation'!P87</f>
        <v>2 Bed</v>
      </c>
      <c r="E92" s="77">
        <f>'1. Accomodation'!O87</f>
        <v>657</v>
      </c>
      <c r="G92" s="341">
        <v>15360</v>
      </c>
      <c r="H92" s="273">
        <f>IFERROR(INDEX('4. Valuation'!$C$10:$I$17,MATCH($D92,'4. Valuation'!$C$10:$C$17,0),MATCH($H$25,'4. Valuation'!$C$10:$I$10,0)),0)</f>
        <v>1166</v>
      </c>
      <c r="I92" s="273">
        <f>IFERROR(INDEX('4. Valuation'!$C$10:$I$17,MATCH($D92,'4. Valuation'!$C$10:$C$17,0),MATCH($I$25,'4. Valuation'!$C$10:$I$10,0)),0)</f>
        <v>21.448728269247237</v>
      </c>
      <c r="J92" s="277"/>
      <c r="K92" s="312">
        <f t="shared" si="43"/>
        <v>13992</v>
      </c>
      <c r="L92" s="312">
        <f t="shared" si="44"/>
        <v>1166</v>
      </c>
      <c r="M92" s="312">
        <f t="shared" si="45"/>
        <v>21.296803652968038</v>
      </c>
      <c r="N92" s="278"/>
      <c r="O92" s="278"/>
      <c r="P92" s="278"/>
      <c r="Q92" s="278"/>
      <c r="R92" s="312">
        <f>IFERROR(INDEX('4. Valuation'!$O$10:$X$17,MATCH($D92,'4. Valuation'!$O$10:$O$17,0),MATCH($R$25,'4. Valuation'!$O$10:$X$10,0)),0)</f>
        <v>0</v>
      </c>
      <c r="S92" s="312">
        <f>IFERROR(INDEX('4. Valuation'!$O$10:$X$17,MATCH($D92,'4. Valuation'!$O$10:$O$17,0),MATCH($S$25,'4. Valuation'!$O$10:$X$10,0)),0)</f>
        <v>0</v>
      </c>
      <c r="T92" s="312">
        <f>IFERROR(INDEX('4. Valuation'!$O$10:$X$17,MATCH($D92,'4. Valuation'!$O$10:$O$17,0),MATCH($T$25,'4. Valuation'!$O$10:$X$10,0)),0)</f>
        <v>0</v>
      </c>
      <c r="U92" s="278"/>
      <c r="V92" s="312">
        <f t="shared" si="46"/>
        <v>0</v>
      </c>
      <c r="W92" s="312">
        <f t="shared" si="47"/>
        <v>0</v>
      </c>
      <c r="X92" s="312">
        <f t="shared" si="48"/>
        <v>0</v>
      </c>
      <c r="Y92" s="278"/>
      <c r="Z92" s="312">
        <f t="shared" si="49"/>
        <v>15540</v>
      </c>
      <c r="AA92" s="312">
        <f>'3. GRI Pricing'!Y83</f>
        <v>1295</v>
      </c>
      <c r="AB92" s="359">
        <f t="shared" si="50"/>
        <v>23.652968036529682</v>
      </c>
    </row>
    <row r="93" spans="3:28" s="30" customFormat="1" ht="12" x14ac:dyDescent="0.2">
      <c r="C93" s="77" t="str">
        <f>'1. Accomodation'!N88</f>
        <v>504N</v>
      </c>
      <c r="D93" s="77" t="str">
        <f>'1. Accomodation'!P88</f>
        <v>3 Bed</v>
      </c>
      <c r="E93" s="77">
        <f>'1. Accomodation'!O88</f>
        <v>818</v>
      </c>
      <c r="G93" s="341">
        <v>19740</v>
      </c>
      <c r="H93" s="273">
        <f>IFERROR(INDEX('4. Valuation'!$C$10:$I$17,MATCH($D93,'4. Valuation'!$C$10:$C$17,0),MATCH($H$25,'4. Valuation'!$C$10:$I$10,0)),0)</f>
        <v>1511</v>
      </c>
      <c r="I93" s="273">
        <f>IFERROR(INDEX('4. Valuation'!$C$10:$I$17,MATCH($D93,'4. Valuation'!$C$10:$C$17,0),MATCH($I$25,'4. Valuation'!$C$10:$I$10,0)),0)</f>
        <v>22.026444890903143</v>
      </c>
      <c r="J93" s="277"/>
      <c r="K93" s="312">
        <f t="shared" si="43"/>
        <v>18132</v>
      </c>
      <c r="L93" s="312">
        <f t="shared" si="44"/>
        <v>1511</v>
      </c>
      <c r="M93" s="312">
        <f t="shared" si="45"/>
        <v>22.166259168704155</v>
      </c>
      <c r="N93" s="278"/>
      <c r="O93" s="278"/>
      <c r="P93" s="278"/>
      <c r="Q93" s="278"/>
      <c r="R93" s="312">
        <f>IFERROR(INDEX('4. Valuation'!$O$10:$X$17,MATCH($D93,'4. Valuation'!$O$10:$O$17,0),MATCH($R$25,'4. Valuation'!$O$10:$X$10,0)),0)</f>
        <v>0</v>
      </c>
      <c r="S93" s="312">
        <f>IFERROR(INDEX('4. Valuation'!$O$10:$X$17,MATCH($D93,'4. Valuation'!$O$10:$O$17,0),MATCH($S$25,'4. Valuation'!$O$10:$X$10,0)),0)</f>
        <v>0</v>
      </c>
      <c r="T93" s="312">
        <f>IFERROR(INDEX('4. Valuation'!$O$10:$X$17,MATCH($D93,'4. Valuation'!$O$10:$O$17,0),MATCH($T$25,'4. Valuation'!$O$10:$X$10,0)),0)</f>
        <v>0</v>
      </c>
      <c r="U93" s="278"/>
      <c r="V93" s="312">
        <f t="shared" si="46"/>
        <v>0</v>
      </c>
      <c r="W93" s="312">
        <f t="shared" si="47"/>
        <v>0</v>
      </c>
      <c r="X93" s="312">
        <f t="shared" si="48"/>
        <v>0</v>
      </c>
      <c r="Y93" s="278"/>
      <c r="Z93" s="312">
        <f t="shared" si="49"/>
        <v>20220</v>
      </c>
      <c r="AA93" s="312">
        <f>'3. GRI Pricing'!Y84</f>
        <v>1685</v>
      </c>
      <c r="AB93" s="359">
        <f t="shared" si="50"/>
        <v>24.718826405867972</v>
      </c>
    </row>
    <row r="94" spans="3:28" s="30" customFormat="1" ht="12" x14ac:dyDescent="0.2">
      <c r="C94" s="77" t="str">
        <f>'1. Accomodation'!N89</f>
        <v>505N</v>
      </c>
      <c r="D94" s="77" t="str">
        <f>'1. Accomodation'!P89</f>
        <v>2 Bed</v>
      </c>
      <c r="E94" s="77">
        <f>'1. Accomodation'!O89</f>
        <v>667</v>
      </c>
      <c r="G94" s="341">
        <v>15360</v>
      </c>
      <c r="H94" s="273">
        <f>IFERROR(INDEX('4. Valuation'!$C$10:$I$17,MATCH($D94,'4. Valuation'!$C$10:$C$17,0),MATCH($H$25,'4. Valuation'!$C$10:$I$10,0)),0)</f>
        <v>1166</v>
      </c>
      <c r="I94" s="273">
        <f>IFERROR(INDEX('4. Valuation'!$C$10:$I$17,MATCH($D94,'4. Valuation'!$C$10:$C$17,0),MATCH($I$25,'4. Valuation'!$C$10:$I$10,0)),0)</f>
        <v>21.448728269247237</v>
      </c>
      <c r="J94" s="277"/>
      <c r="K94" s="312">
        <f t="shared" si="43"/>
        <v>13992</v>
      </c>
      <c r="L94" s="312">
        <f t="shared" si="44"/>
        <v>1166</v>
      </c>
      <c r="M94" s="312">
        <f t="shared" si="45"/>
        <v>20.977511244377812</v>
      </c>
      <c r="N94" s="278"/>
      <c r="O94" s="278"/>
      <c r="P94" s="278"/>
      <c r="Q94" s="278"/>
      <c r="R94" s="312">
        <f>IFERROR(INDEX('4. Valuation'!$O$10:$X$17,MATCH($D94,'4. Valuation'!$O$10:$O$17,0),MATCH($R$25,'4. Valuation'!$O$10:$X$10,0)),0)</f>
        <v>0</v>
      </c>
      <c r="S94" s="312">
        <f>IFERROR(INDEX('4. Valuation'!$O$10:$X$17,MATCH($D94,'4. Valuation'!$O$10:$O$17,0),MATCH($S$25,'4. Valuation'!$O$10:$X$10,0)),0)</f>
        <v>0</v>
      </c>
      <c r="T94" s="312">
        <f>IFERROR(INDEX('4. Valuation'!$O$10:$X$17,MATCH($D94,'4. Valuation'!$O$10:$O$17,0),MATCH($T$25,'4. Valuation'!$O$10:$X$10,0)),0)</f>
        <v>0</v>
      </c>
      <c r="U94" s="278"/>
      <c r="V94" s="312">
        <f t="shared" si="46"/>
        <v>0</v>
      </c>
      <c r="W94" s="312">
        <f t="shared" si="47"/>
        <v>0</v>
      </c>
      <c r="X94" s="312">
        <f t="shared" si="48"/>
        <v>0</v>
      </c>
      <c r="Y94" s="278"/>
      <c r="Z94" s="312">
        <f t="shared" si="49"/>
        <v>15480</v>
      </c>
      <c r="AA94" s="312">
        <f>'3. GRI Pricing'!Y85</f>
        <v>1290</v>
      </c>
      <c r="AB94" s="359">
        <f t="shared" si="50"/>
        <v>23.208395802098952</v>
      </c>
    </row>
    <row r="95" spans="3:28" s="30" customFormat="1" ht="12" x14ac:dyDescent="0.2">
      <c r="C95" s="77" t="str">
        <f>'1. Accomodation'!N90</f>
        <v>506N</v>
      </c>
      <c r="D95" s="77" t="str">
        <f>'1. Accomodation'!P90</f>
        <v>1 Bed</v>
      </c>
      <c r="E95" s="77">
        <f>'1. Accomodation'!O90</f>
        <v>441</v>
      </c>
      <c r="G95" s="341">
        <v>11580</v>
      </c>
      <c r="H95" s="273">
        <f>IFERROR(INDEX('4. Valuation'!$C$10:$I$17,MATCH($D95,'4. Valuation'!$C$10:$C$17,0),MATCH($H$25,'4. Valuation'!$C$10:$I$10,0)),0)</f>
        <v>867</v>
      </c>
      <c r="I95" s="273">
        <f>IFERROR(INDEX('4. Valuation'!$C$10:$I$17,MATCH($D95,'4. Valuation'!$C$10:$C$17,0),MATCH($I$25,'4. Valuation'!$C$10:$I$10,0)),0)</f>
        <v>20.660726106217222</v>
      </c>
      <c r="J95" s="277"/>
      <c r="K95" s="312">
        <f t="shared" si="43"/>
        <v>10404</v>
      </c>
      <c r="L95" s="312">
        <f t="shared" si="44"/>
        <v>867</v>
      </c>
      <c r="M95" s="312">
        <f t="shared" si="45"/>
        <v>23.591836734693878</v>
      </c>
      <c r="N95" s="278"/>
      <c r="O95" s="278"/>
      <c r="P95" s="278"/>
      <c r="Q95" s="278"/>
      <c r="R95" s="312">
        <f>IFERROR(INDEX('4. Valuation'!$O$10:$X$17,MATCH($D95,'4. Valuation'!$O$10:$O$17,0),MATCH($R$25,'4. Valuation'!$O$10:$X$10,0)),0)</f>
        <v>0</v>
      </c>
      <c r="S95" s="312">
        <f>IFERROR(INDEX('4. Valuation'!$O$10:$X$17,MATCH($D95,'4. Valuation'!$O$10:$O$17,0),MATCH($S$25,'4. Valuation'!$O$10:$X$10,0)),0)</f>
        <v>0</v>
      </c>
      <c r="T95" s="312">
        <f>IFERROR(INDEX('4. Valuation'!$O$10:$X$17,MATCH($D95,'4. Valuation'!$O$10:$O$17,0),MATCH($T$25,'4. Valuation'!$O$10:$X$10,0)),0)</f>
        <v>0</v>
      </c>
      <c r="U95" s="278"/>
      <c r="V95" s="312">
        <f t="shared" si="46"/>
        <v>0</v>
      </c>
      <c r="W95" s="312">
        <f t="shared" si="47"/>
        <v>0</v>
      </c>
      <c r="X95" s="312">
        <f t="shared" si="48"/>
        <v>0</v>
      </c>
      <c r="Y95" s="278"/>
      <c r="Z95" s="312">
        <f t="shared" si="49"/>
        <v>11880</v>
      </c>
      <c r="AA95" s="312">
        <f>'3. GRI Pricing'!Y86</f>
        <v>990</v>
      </c>
      <c r="AB95" s="359">
        <f t="shared" si="50"/>
        <v>26.938775510204081</v>
      </c>
    </row>
    <row r="96" spans="3:28" s="30" customFormat="1" ht="12" x14ac:dyDescent="0.2">
      <c r="C96" s="77" t="str">
        <f>'1. Accomodation'!N91</f>
        <v>507N</v>
      </c>
      <c r="D96" s="77" t="str">
        <f>'1. Accomodation'!P91</f>
        <v>2 Bed</v>
      </c>
      <c r="E96" s="77">
        <f>'1. Accomodation'!O91</f>
        <v>624</v>
      </c>
      <c r="G96" s="341">
        <v>14700</v>
      </c>
      <c r="H96" s="273">
        <f>IFERROR(INDEX('4. Valuation'!$C$10:$I$17,MATCH($D96,'4. Valuation'!$C$10:$C$17,0),MATCH($H$25,'4. Valuation'!$C$10:$I$10,0)),0)</f>
        <v>1166</v>
      </c>
      <c r="I96" s="273">
        <f>IFERROR(INDEX('4. Valuation'!$C$10:$I$17,MATCH($D96,'4. Valuation'!$C$10:$C$17,0),MATCH($I$25,'4. Valuation'!$C$10:$I$10,0)),0)</f>
        <v>21.448728269247237</v>
      </c>
      <c r="J96" s="277"/>
      <c r="K96" s="312">
        <f t="shared" si="43"/>
        <v>13992</v>
      </c>
      <c r="L96" s="312">
        <f t="shared" si="44"/>
        <v>1166</v>
      </c>
      <c r="M96" s="312">
        <f t="shared" si="45"/>
        <v>22.423076923076923</v>
      </c>
      <c r="N96" s="278"/>
      <c r="O96" s="278"/>
      <c r="P96" s="278"/>
      <c r="Q96" s="278"/>
      <c r="R96" s="312">
        <f>IFERROR(INDEX('4. Valuation'!$O$10:$X$17,MATCH($D96,'4. Valuation'!$O$10:$O$17,0),MATCH($R$25,'4. Valuation'!$O$10:$X$10,0)),0)</f>
        <v>0</v>
      </c>
      <c r="S96" s="312">
        <f>IFERROR(INDEX('4. Valuation'!$O$10:$X$17,MATCH($D96,'4. Valuation'!$O$10:$O$17,0),MATCH($S$25,'4. Valuation'!$O$10:$X$10,0)),0)</f>
        <v>0</v>
      </c>
      <c r="T96" s="312">
        <f>IFERROR(INDEX('4. Valuation'!$O$10:$X$17,MATCH($D96,'4. Valuation'!$O$10:$O$17,0),MATCH($T$25,'4. Valuation'!$O$10:$X$10,0)),0)</f>
        <v>0</v>
      </c>
      <c r="U96" s="278"/>
      <c r="V96" s="312">
        <f t="shared" si="46"/>
        <v>0</v>
      </c>
      <c r="W96" s="312">
        <f t="shared" si="47"/>
        <v>0</v>
      </c>
      <c r="X96" s="312">
        <f t="shared" si="48"/>
        <v>0</v>
      </c>
      <c r="Y96" s="278"/>
      <c r="Z96" s="312">
        <f t="shared" si="49"/>
        <v>15180</v>
      </c>
      <c r="AA96" s="312">
        <f>'3. GRI Pricing'!Y87</f>
        <v>1265</v>
      </c>
      <c r="AB96" s="359">
        <f t="shared" si="50"/>
        <v>24.326923076923077</v>
      </c>
    </row>
    <row r="97" spans="3:28" s="30" customFormat="1" ht="12" x14ac:dyDescent="0.2">
      <c r="C97" s="77" t="str">
        <f>'1. Accomodation'!N92</f>
        <v>508N</v>
      </c>
      <c r="D97" s="77" t="str">
        <f>'1. Accomodation'!P92</f>
        <v>2 Bed</v>
      </c>
      <c r="E97" s="77">
        <f>'1. Accomodation'!O92</f>
        <v>624</v>
      </c>
      <c r="G97" s="341">
        <v>15060</v>
      </c>
      <c r="H97" s="273">
        <f>IFERROR(INDEX('4. Valuation'!$C$10:$I$17,MATCH($D97,'4. Valuation'!$C$10:$C$17,0),MATCH($H$25,'4. Valuation'!$C$10:$I$10,0)),0)</f>
        <v>1166</v>
      </c>
      <c r="I97" s="273">
        <f>IFERROR(INDEX('4. Valuation'!$C$10:$I$17,MATCH($D97,'4. Valuation'!$C$10:$C$17,0),MATCH($I$25,'4. Valuation'!$C$10:$I$10,0)),0)</f>
        <v>21.448728269247237</v>
      </c>
      <c r="J97" s="277"/>
      <c r="K97" s="312">
        <f t="shared" si="43"/>
        <v>13992</v>
      </c>
      <c r="L97" s="312">
        <f t="shared" si="44"/>
        <v>1166</v>
      </c>
      <c r="M97" s="312">
        <f t="shared" si="45"/>
        <v>22.423076923076923</v>
      </c>
      <c r="N97" s="278"/>
      <c r="O97" s="278"/>
      <c r="P97" s="278"/>
      <c r="Q97" s="278"/>
      <c r="R97" s="312">
        <f>IFERROR(INDEX('4. Valuation'!$O$10:$X$17,MATCH($D97,'4. Valuation'!$O$10:$O$17,0),MATCH($R$25,'4. Valuation'!$O$10:$X$10,0)),0)</f>
        <v>0</v>
      </c>
      <c r="S97" s="312">
        <f>IFERROR(INDEX('4. Valuation'!$O$10:$X$17,MATCH($D97,'4. Valuation'!$O$10:$O$17,0),MATCH($S$25,'4. Valuation'!$O$10:$X$10,0)),0)</f>
        <v>0</v>
      </c>
      <c r="T97" s="312">
        <f>IFERROR(INDEX('4. Valuation'!$O$10:$X$17,MATCH($D97,'4. Valuation'!$O$10:$O$17,0),MATCH($T$25,'4. Valuation'!$O$10:$X$10,0)),0)</f>
        <v>0</v>
      </c>
      <c r="U97" s="278"/>
      <c r="V97" s="312">
        <f t="shared" si="46"/>
        <v>0</v>
      </c>
      <c r="W97" s="312">
        <f t="shared" si="47"/>
        <v>0</v>
      </c>
      <c r="X97" s="312">
        <f t="shared" si="48"/>
        <v>0</v>
      </c>
      <c r="Y97" s="278"/>
      <c r="Z97" s="312">
        <f t="shared" si="49"/>
        <v>15180</v>
      </c>
      <c r="AA97" s="312">
        <f>'3. GRI Pricing'!Y88</f>
        <v>1265</v>
      </c>
      <c r="AB97" s="359">
        <f t="shared" si="50"/>
        <v>24.326923076923077</v>
      </c>
    </row>
    <row r="98" spans="3:28" s="30" customFormat="1" ht="12" x14ac:dyDescent="0.2">
      <c r="C98" s="77" t="str">
        <f>'1. Accomodation'!N93</f>
        <v>509N</v>
      </c>
      <c r="D98" s="77" t="str">
        <f>'1. Accomodation'!P93</f>
        <v>2 Bed</v>
      </c>
      <c r="E98" s="77">
        <f>'1. Accomodation'!O93</f>
        <v>657</v>
      </c>
      <c r="G98" s="341">
        <v>15840</v>
      </c>
      <c r="H98" s="273">
        <f>IFERROR(INDEX('4. Valuation'!$C$10:$I$17,MATCH($D98,'4. Valuation'!$C$10:$C$17,0),MATCH($H$25,'4. Valuation'!$C$10:$I$10,0)),0)</f>
        <v>1166</v>
      </c>
      <c r="I98" s="273">
        <f>IFERROR(INDEX('4. Valuation'!$C$10:$I$17,MATCH($D98,'4. Valuation'!$C$10:$C$17,0),MATCH($I$25,'4. Valuation'!$C$10:$I$10,0)),0)</f>
        <v>21.448728269247237</v>
      </c>
      <c r="J98" s="277"/>
      <c r="K98" s="312">
        <f t="shared" si="43"/>
        <v>13992</v>
      </c>
      <c r="L98" s="312">
        <f t="shared" si="44"/>
        <v>1166</v>
      </c>
      <c r="M98" s="312">
        <f t="shared" si="45"/>
        <v>21.296803652968038</v>
      </c>
      <c r="N98" s="278"/>
      <c r="O98" s="278"/>
      <c r="P98" s="278"/>
      <c r="Q98" s="278"/>
      <c r="R98" s="312">
        <f>IFERROR(INDEX('4. Valuation'!$O$10:$X$17,MATCH($D98,'4. Valuation'!$O$10:$O$17,0),MATCH($R$25,'4. Valuation'!$O$10:$X$10,0)),0)</f>
        <v>0</v>
      </c>
      <c r="S98" s="312">
        <f>IFERROR(INDEX('4. Valuation'!$O$10:$X$17,MATCH($D98,'4. Valuation'!$O$10:$O$17,0),MATCH($S$25,'4. Valuation'!$O$10:$X$10,0)),0)</f>
        <v>0</v>
      </c>
      <c r="T98" s="312">
        <f>IFERROR(INDEX('4. Valuation'!$O$10:$X$17,MATCH($D98,'4. Valuation'!$O$10:$O$17,0),MATCH($T$25,'4. Valuation'!$O$10:$X$10,0)),0)</f>
        <v>0</v>
      </c>
      <c r="U98" s="278"/>
      <c r="V98" s="312">
        <f t="shared" si="46"/>
        <v>0</v>
      </c>
      <c r="W98" s="312">
        <f t="shared" si="47"/>
        <v>0</v>
      </c>
      <c r="X98" s="312">
        <f t="shared" si="48"/>
        <v>0</v>
      </c>
      <c r="Y98" s="278"/>
      <c r="Z98" s="312">
        <f t="shared" si="49"/>
        <v>15780</v>
      </c>
      <c r="AA98" s="312">
        <f>'3. GRI Pricing'!Y89</f>
        <v>1315</v>
      </c>
      <c r="AB98" s="359">
        <f t="shared" si="50"/>
        <v>24.018264840182649</v>
      </c>
    </row>
    <row r="99" spans="3:28" s="30" customFormat="1" ht="12" x14ac:dyDescent="0.2">
      <c r="C99" s="77" t="str">
        <f>'1. Accomodation'!N94</f>
        <v>510N</v>
      </c>
      <c r="D99" s="77" t="str">
        <f>'1. Accomodation'!P94</f>
        <v>2 Bed</v>
      </c>
      <c r="E99" s="77">
        <f>'1. Accomodation'!O94</f>
        <v>700</v>
      </c>
      <c r="G99" s="341">
        <v>16140</v>
      </c>
      <c r="H99" s="273">
        <f>IFERROR(INDEX('4. Valuation'!$C$10:$I$17,MATCH($D99,'4. Valuation'!$C$10:$C$17,0),MATCH($H$25,'4. Valuation'!$C$10:$I$10,0)),0)</f>
        <v>1166</v>
      </c>
      <c r="I99" s="273">
        <f>IFERROR(INDEX('4. Valuation'!$C$10:$I$17,MATCH($D99,'4. Valuation'!$C$10:$C$17,0),MATCH($I$25,'4. Valuation'!$C$10:$I$10,0)),0)</f>
        <v>21.448728269247237</v>
      </c>
      <c r="J99" s="277"/>
      <c r="K99" s="312">
        <f t="shared" si="43"/>
        <v>13992</v>
      </c>
      <c r="L99" s="312">
        <f t="shared" si="44"/>
        <v>1166</v>
      </c>
      <c r="M99" s="312">
        <f t="shared" si="45"/>
        <v>19.988571428571429</v>
      </c>
      <c r="N99" s="278"/>
      <c r="O99" s="278"/>
      <c r="P99" s="278"/>
      <c r="Q99" s="278"/>
      <c r="R99" s="312">
        <f>IFERROR(INDEX('4. Valuation'!$O$10:$X$17,MATCH($D99,'4. Valuation'!$O$10:$O$17,0),MATCH($R$25,'4. Valuation'!$O$10:$X$10,0)),0)</f>
        <v>0</v>
      </c>
      <c r="S99" s="312">
        <f>IFERROR(INDEX('4. Valuation'!$O$10:$X$17,MATCH($D99,'4. Valuation'!$O$10:$O$17,0),MATCH($S$25,'4. Valuation'!$O$10:$X$10,0)),0)</f>
        <v>0</v>
      </c>
      <c r="T99" s="312">
        <f>IFERROR(INDEX('4. Valuation'!$O$10:$X$17,MATCH($D99,'4. Valuation'!$O$10:$O$17,0),MATCH($T$25,'4. Valuation'!$O$10:$X$10,0)),0)</f>
        <v>0</v>
      </c>
      <c r="U99" s="278"/>
      <c r="V99" s="312">
        <f t="shared" si="46"/>
        <v>0</v>
      </c>
      <c r="W99" s="312">
        <f t="shared" si="47"/>
        <v>0</v>
      </c>
      <c r="X99" s="312">
        <f t="shared" si="48"/>
        <v>0</v>
      </c>
      <c r="Y99" s="278"/>
      <c r="Z99" s="312">
        <f t="shared" si="49"/>
        <v>16320</v>
      </c>
      <c r="AA99" s="312">
        <f>'3. GRI Pricing'!Y90</f>
        <v>1360</v>
      </c>
      <c r="AB99" s="359">
        <f t="shared" si="50"/>
        <v>23.314285714285713</v>
      </c>
    </row>
    <row r="100" spans="3:28" s="30" customFormat="1" ht="12" x14ac:dyDescent="0.2">
      <c r="C100" s="77" t="str">
        <f>'1. Accomodation'!N95</f>
        <v>511N</v>
      </c>
      <c r="D100" s="77" t="str">
        <f>'1. Accomodation'!P95</f>
        <v>2 Bed</v>
      </c>
      <c r="E100" s="77">
        <f>'1. Accomodation'!O95</f>
        <v>689</v>
      </c>
      <c r="G100" s="341">
        <v>16920</v>
      </c>
      <c r="H100" s="273">
        <f>IFERROR(INDEX('4. Valuation'!$C$10:$I$17,MATCH($D100,'4. Valuation'!$C$10:$C$17,0),MATCH($H$25,'4. Valuation'!$C$10:$I$10,0)),0)</f>
        <v>1166</v>
      </c>
      <c r="I100" s="273">
        <f>IFERROR(INDEX('4. Valuation'!$C$10:$I$17,MATCH($D100,'4. Valuation'!$C$10:$C$17,0),MATCH($I$25,'4. Valuation'!$C$10:$I$10,0)),0)</f>
        <v>21.448728269247237</v>
      </c>
      <c r="J100" s="277"/>
      <c r="K100" s="312">
        <f t="shared" si="43"/>
        <v>13992</v>
      </c>
      <c r="L100" s="312">
        <f t="shared" si="44"/>
        <v>1166</v>
      </c>
      <c r="M100" s="312">
        <f t="shared" si="45"/>
        <v>20.307692307692307</v>
      </c>
      <c r="N100" s="278"/>
      <c r="O100" s="278"/>
      <c r="P100" s="278"/>
      <c r="Q100" s="278"/>
      <c r="R100" s="312">
        <f>IFERROR(INDEX('4. Valuation'!$O$10:$X$17,MATCH($D100,'4. Valuation'!$O$10:$O$17,0),MATCH($R$25,'4. Valuation'!$O$10:$X$10,0)),0)</f>
        <v>0</v>
      </c>
      <c r="S100" s="312">
        <f>IFERROR(INDEX('4. Valuation'!$O$10:$X$17,MATCH($D100,'4. Valuation'!$O$10:$O$17,0),MATCH($S$25,'4. Valuation'!$O$10:$X$10,0)),0)</f>
        <v>0</v>
      </c>
      <c r="T100" s="312">
        <f>IFERROR(INDEX('4. Valuation'!$O$10:$X$17,MATCH($D100,'4. Valuation'!$O$10:$O$17,0),MATCH($T$25,'4. Valuation'!$O$10:$X$10,0)),0)</f>
        <v>0</v>
      </c>
      <c r="U100" s="278"/>
      <c r="V100" s="312">
        <f t="shared" si="46"/>
        <v>0</v>
      </c>
      <c r="W100" s="312">
        <f t="shared" si="47"/>
        <v>0</v>
      </c>
      <c r="X100" s="312">
        <f t="shared" si="48"/>
        <v>0</v>
      </c>
      <c r="Y100" s="278"/>
      <c r="Z100" s="312">
        <f t="shared" si="49"/>
        <v>16440</v>
      </c>
      <c r="AA100" s="312">
        <f>'3. GRI Pricing'!Y91</f>
        <v>1370</v>
      </c>
      <c r="AB100" s="359">
        <f t="shared" si="50"/>
        <v>23.86066763425254</v>
      </c>
    </row>
    <row r="101" spans="3:28" s="30" customFormat="1" ht="12" x14ac:dyDescent="0.2">
      <c r="C101" s="77" t="str">
        <f>'1. Accomodation'!N96</f>
        <v>512N</v>
      </c>
      <c r="D101" s="77" t="str">
        <f>'1. Accomodation'!P96</f>
        <v>1 Bed</v>
      </c>
      <c r="E101" s="77">
        <f>'1. Accomodation'!O96</f>
        <v>517</v>
      </c>
      <c r="G101" s="341">
        <v>11760</v>
      </c>
      <c r="H101" s="273">
        <f>IFERROR(INDEX('4. Valuation'!$C$10:$I$17,MATCH($D101,'4. Valuation'!$C$10:$C$17,0),MATCH($H$25,'4. Valuation'!$C$10:$I$10,0)),0)</f>
        <v>867</v>
      </c>
      <c r="I101" s="273">
        <f>IFERROR(INDEX('4. Valuation'!$C$10:$I$17,MATCH($D101,'4. Valuation'!$C$10:$C$17,0),MATCH($I$25,'4. Valuation'!$C$10:$I$10,0)),0)</f>
        <v>20.660726106217222</v>
      </c>
      <c r="J101" s="277"/>
      <c r="K101" s="312">
        <f t="shared" si="43"/>
        <v>10404</v>
      </c>
      <c r="L101" s="312">
        <f t="shared" si="44"/>
        <v>867</v>
      </c>
      <c r="M101" s="312">
        <f t="shared" si="45"/>
        <v>20.123791102514506</v>
      </c>
      <c r="N101" s="278"/>
      <c r="O101" s="278"/>
      <c r="P101" s="278"/>
      <c r="Q101" s="278"/>
      <c r="R101" s="312">
        <f>IFERROR(INDEX('4. Valuation'!$O$10:$X$17,MATCH($D101,'4. Valuation'!$O$10:$O$17,0),MATCH($R$25,'4. Valuation'!$O$10:$X$10,0)),0)</f>
        <v>0</v>
      </c>
      <c r="S101" s="312">
        <f>IFERROR(INDEX('4. Valuation'!$O$10:$X$17,MATCH($D101,'4. Valuation'!$O$10:$O$17,0),MATCH($S$25,'4. Valuation'!$O$10:$X$10,0)),0)</f>
        <v>0</v>
      </c>
      <c r="T101" s="312">
        <f>IFERROR(INDEX('4. Valuation'!$O$10:$X$17,MATCH($D101,'4. Valuation'!$O$10:$O$17,0),MATCH($T$25,'4. Valuation'!$O$10:$X$10,0)),0)</f>
        <v>0</v>
      </c>
      <c r="U101" s="278"/>
      <c r="V101" s="312">
        <f t="shared" si="46"/>
        <v>0</v>
      </c>
      <c r="W101" s="312">
        <f t="shared" si="47"/>
        <v>0</v>
      </c>
      <c r="X101" s="312">
        <f t="shared" si="48"/>
        <v>0</v>
      </c>
      <c r="Y101" s="278"/>
      <c r="Z101" s="312">
        <f t="shared" si="49"/>
        <v>12720</v>
      </c>
      <c r="AA101" s="312">
        <f>'3. GRI Pricing'!Y92</f>
        <v>1060</v>
      </c>
      <c r="AB101" s="359">
        <f t="shared" si="50"/>
        <v>24.603481624758221</v>
      </c>
    </row>
    <row r="102" spans="3:28" s="30" customFormat="1" ht="12" x14ac:dyDescent="0.2">
      <c r="C102" s="77" t="str">
        <f>'1. Accomodation'!N97</f>
        <v>513N</v>
      </c>
      <c r="D102" s="77" t="str">
        <f>'1. Accomodation'!P97</f>
        <v>1 Bed</v>
      </c>
      <c r="E102" s="77">
        <f>'1. Accomodation'!O97</f>
        <v>538</v>
      </c>
      <c r="G102" s="341">
        <v>12300</v>
      </c>
      <c r="H102" s="273">
        <f>IFERROR(INDEX('4. Valuation'!$C$10:$I$17,MATCH($D102,'4. Valuation'!$C$10:$C$17,0),MATCH($H$25,'4. Valuation'!$C$10:$I$10,0)),0)</f>
        <v>867</v>
      </c>
      <c r="I102" s="273">
        <f>IFERROR(INDEX('4. Valuation'!$C$10:$I$17,MATCH($D102,'4. Valuation'!$C$10:$C$17,0),MATCH($I$25,'4. Valuation'!$C$10:$I$10,0)),0)</f>
        <v>20.660726106217222</v>
      </c>
      <c r="J102" s="277"/>
      <c r="K102" s="312">
        <f t="shared" si="43"/>
        <v>10404</v>
      </c>
      <c r="L102" s="312">
        <f t="shared" si="44"/>
        <v>867</v>
      </c>
      <c r="M102" s="312">
        <f t="shared" si="45"/>
        <v>19.338289962825279</v>
      </c>
      <c r="N102" s="278"/>
      <c r="O102" s="278"/>
      <c r="P102" s="278"/>
      <c r="Q102" s="278"/>
      <c r="R102" s="312">
        <f>IFERROR(INDEX('4. Valuation'!$O$10:$X$17,MATCH($D102,'4. Valuation'!$O$10:$O$17,0),MATCH($R$25,'4. Valuation'!$O$10:$X$10,0)),0)</f>
        <v>0</v>
      </c>
      <c r="S102" s="312">
        <f>IFERROR(INDEX('4. Valuation'!$O$10:$X$17,MATCH($D102,'4. Valuation'!$O$10:$O$17,0),MATCH($S$25,'4. Valuation'!$O$10:$X$10,0)),0)</f>
        <v>0</v>
      </c>
      <c r="T102" s="312">
        <f>IFERROR(INDEX('4. Valuation'!$O$10:$X$17,MATCH($D102,'4. Valuation'!$O$10:$O$17,0),MATCH($T$25,'4. Valuation'!$O$10:$X$10,0)),0)</f>
        <v>0</v>
      </c>
      <c r="U102" s="278"/>
      <c r="V102" s="312">
        <f t="shared" si="46"/>
        <v>0</v>
      </c>
      <c r="W102" s="312">
        <f t="shared" si="47"/>
        <v>0</v>
      </c>
      <c r="X102" s="312">
        <f t="shared" si="48"/>
        <v>0</v>
      </c>
      <c r="Y102" s="278"/>
      <c r="Z102" s="312">
        <f t="shared" si="49"/>
        <v>12420</v>
      </c>
      <c r="AA102" s="312">
        <f>'3. GRI Pricing'!Y93</f>
        <v>1035</v>
      </c>
      <c r="AB102" s="359">
        <f t="shared" si="50"/>
        <v>23.085501858736059</v>
      </c>
    </row>
    <row r="103" spans="3:28" s="30" customFormat="1" ht="12" x14ac:dyDescent="0.2">
      <c r="C103" s="77" t="str">
        <f>'1. Accomodation'!N98</f>
        <v>514N</v>
      </c>
      <c r="D103" s="77" t="str">
        <f>'1. Accomodation'!P98</f>
        <v>1 Bed</v>
      </c>
      <c r="E103" s="77">
        <f>'1. Accomodation'!O98</f>
        <v>560</v>
      </c>
      <c r="G103" s="341">
        <v>11880</v>
      </c>
      <c r="H103" s="273">
        <f>IFERROR(INDEX('4. Valuation'!$C$10:$I$17,MATCH($D103,'4. Valuation'!$C$10:$C$17,0),MATCH($H$25,'4. Valuation'!$C$10:$I$10,0)),0)</f>
        <v>867</v>
      </c>
      <c r="I103" s="273">
        <f>IFERROR(INDEX('4. Valuation'!$C$10:$I$17,MATCH($D103,'4. Valuation'!$C$10:$C$17,0),MATCH($I$25,'4. Valuation'!$C$10:$I$10,0)),0)</f>
        <v>20.660726106217222</v>
      </c>
      <c r="J103" s="277"/>
      <c r="K103" s="312">
        <f t="shared" si="43"/>
        <v>10404</v>
      </c>
      <c r="L103" s="312">
        <f t="shared" si="44"/>
        <v>867</v>
      </c>
      <c r="M103" s="312">
        <f t="shared" si="45"/>
        <v>18.578571428571429</v>
      </c>
      <c r="N103" s="278"/>
      <c r="O103" s="278"/>
      <c r="P103" s="278"/>
      <c r="Q103" s="278"/>
      <c r="R103" s="312">
        <f>IFERROR(INDEX('4. Valuation'!$O$10:$X$17,MATCH($D103,'4. Valuation'!$O$10:$O$17,0),MATCH($R$25,'4. Valuation'!$O$10:$X$10,0)),0)</f>
        <v>0</v>
      </c>
      <c r="S103" s="312">
        <f>IFERROR(INDEX('4. Valuation'!$O$10:$X$17,MATCH($D103,'4. Valuation'!$O$10:$O$17,0),MATCH($S$25,'4. Valuation'!$O$10:$X$10,0)),0)</f>
        <v>0</v>
      </c>
      <c r="T103" s="312">
        <f>IFERROR(INDEX('4. Valuation'!$O$10:$X$17,MATCH($D103,'4. Valuation'!$O$10:$O$17,0),MATCH($T$25,'4. Valuation'!$O$10:$X$10,0)),0)</f>
        <v>0</v>
      </c>
      <c r="U103" s="278"/>
      <c r="V103" s="312">
        <f t="shared" si="46"/>
        <v>0</v>
      </c>
      <c r="W103" s="312">
        <f t="shared" si="47"/>
        <v>0</v>
      </c>
      <c r="X103" s="312">
        <f t="shared" si="48"/>
        <v>0</v>
      </c>
      <c r="Y103" s="278"/>
      <c r="Z103" s="312">
        <f t="shared" si="49"/>
        <v>12240</v>
      </c>
      <c r="AA103" s="312">
        <f>'3. GRI Pricing'!Y94</f>
        <v>1020</v>
      </c>
      <c r="AB103" s="359">
        <f t="shared" si="50"/>
        <v>21.857142857142858</v>
      </c>
    </row>
    <row r="104" spans="3:28" s="30" customFormat="1" ht="12" x14ac:dyDescent="0.2">
      <c r="C104" s="77" t="str">
        <f>'1. Accomodation'!N99</f>
        <v>515N</v>
      </c>
      <c r="D104" s="77" t="str">
        <f>'1. Accomodation'!P99</f>
        <v>2 Bed</v>
      </c>
      <c r="E104" s="77">
        <f>'1. Accomodation'!O99</f>
        <v>624</v>
      </c>
      <c r="G104" s="341">
        <v>15480</v>
      </c>
      <c r="H104" s="273">
        <f>IFERROR(INDEX('4. Valuation'!$C$10:$I$17,MATCH($D104,'4. Valuation'!$C$10:$C$17,0),MATCH($H$25,'4. Valuation'!$C$10:$I$10,0)),0)</f>
        <v>1166</v>
      </c>
      <c r="I104" s="273">
        <f>IFERROR(INDEX('4. Valuation'!$C$10:$I$17,MATCH($D104,'4. Valuation'!$C$10:$C$17,0),MATCH($I$25,'4. Valuation'!$C$10:$I$10,0)),0)</f>
        <v>21.448728269247237</v>
      </c>
      <c r="J104" s="277"/>
      <c r="K104" s="312">
        <f t="shared" si="43"/>
        <v>13992</v>
      </c>
      <c r="L104" s="312">
        <f t="shared" si="44"/>
        <v>1166</v>
      </c>
      <c r="M104" s="312">
        <f t="shared" si="45"/>
        <v>22.423076923076923</v>
      </c>
      <c r="N104" s="278"/>
      <c r="O104" s="278"/>
      <c r="P104" s="278"/>
      <c r="Q104" s="278"/>
      <c r="R104" s="312">
        <f>IFERROR(INDEX('4. Valuation'!$O$10:$X$17,MATCH($D104,'4. Valuation'!$O$10:$O$17,0),MATCH($R$25,'4. Valuation'!$O$10:$X$10,0)),0)</f>
        <v>0</v>
      </c>
      <c r="S104" s="312">
        <f>IFERROR(INDEX('4. Valuation'!$O$10:$X$17,MATCH($D104,'4. Valuation'!$O$10:$O$17,0),MATCH($S$25,'4. Valuation'!$O$10:$X$10,0)),0)</f>
        <v>0</v>
      </c>
      <c r="T104" s="312">
        <f>IFERROR(INDEX('4. Valuation'!$O$10:$X$17,MATCH($D104,'4. Valuation'!$O$10:$O$17,0),MATCH($T$25,'4. Valuation'!$O$10:$X$10,0)),0)</f>
        <v>0</v>
      </c>
      <c r="U104" s="278"/>
      <c r="V104" s="312">
        <f t="shared" si="46"/>
        <v>0</v>
      </c>
      <c r="W104" s="312">
        <f t="shared" si="47"/>
        <v>0</v>
      </c>
      <c r="X104" s="312">
        <f t="shared" si="48"/>
        <v>0</v>
      </c>
      <c r="Y104" s="278"/>
      <c r="Z104" s="312">
        <f t="shared" si="49"/>
        <v>15420</v>
      </c>
      <c r="AA104" s="312">
        <f>'3. GRI Pricing'!Y95</f>
        <v>1285</v>
      </c>
      <c r="AB104" s="359">
        <f t="shared" si="50"/>
        <v>24.71153846153846</v>
      </c>
    </row>
    <row r="105" spans="3:28" s="30" customFormat="1" ht="12" x14ac:dyDescent="0.2">
      <c r="C105" s="77" t="str">
        <f>'1. Accomodation'!N100</f>
        <v>516N</v>
      </c>
      <c r="D105" s="77" t="str">
        <f>'1. Accomodation'!P100</f>
        <v>2 Bed</v>
      </c>
      <c r="E105" s="77">
        <f>'1. Accomodation'!O100</f>
        <v>624</v>
      </c>
      <c r="G105" s="341">
        <v>13620</v>
      </c>
      <c r="H105" s="273">
        <f>IFERROR(INDEX('4. Valuation'!$C$10:$I$17,MATCH($D105,'4. Valuation'!$C$10:$C$17,0),MATCH($H$25,'4. Valuation'!$C$10:$I$10,0)),0)</f>
        <v>1166</v>
      </c>
      <c r="I105" s="273">
        <f>IFERROR(INDEX('4. Valuation'!$C$10:$I$17,MATCH($D105,'4. Valuation'!$C$10:$C$17,0),MATCH($I$25,'4. Valuation'!$C$10:$I$10,0)),0)</f>
        <v>21.448728269247237</v>
      </c>
      <c r="J105" s="277"/>
      <c r="K105" s="312">
        <f t="shared" si="43"/>
        <v>13992</v>
      </c>
      <c r="L105" s="312">
        <f t="shared" si="44"/>
        <v>1166</v>
      </c>
      <c r="M105" s="312">
        <f t="shared" si="45"/>
        <v>22.423076923076923</v>
      </c>
      <c r="N105" s="278"/>
      <c r="O105" s="278"/>
      <c r="P105" s="278"/>
      <c r="Q105" s="278"/>
      <c r="R105" s="312">
        <f>IFERROR(INDEX('4. Valuation'!$O$10:$X$17,MATCH($D105,'4. Valuation'!$O$10:$O$17,0),MATCH($R$25,'4. Valuation'!$O$10:$X$10,0)),0)</f>
        <v>0</v>
      </c>
      <c r="S105" s="312">
        <f>IFERROR(INDEX('4. Valuation'!$O$10:$X$17,MATCH($D105,'4. Valuation'!$O$10:$O$17,0),MATCH($S$25,'4. Valuation'!$O$10:$X$10,0)),0)</f>
        <v>0</v>
      </c>
      <c r="T105" s="312">
        <f>IFERROR(INDEX('4. Valuation'!$O$10:$X$17,MATCH($D105,'4. Valuation'!$O$10:$O$17,0),MATCH($T$25,'4. Valuation'!$O$10:$X$10,0)),0)</f>
        <v>0</v>
      </c>
      <c r="U105" s="278"/>
      <c r="V105" s="312">
        <f t="shared" si="46"/>
        <v>0</v>
      </c>
      <c r="W105" s="312">
        <f t="shared" si="47"/>
        <v>0</v>
      </c>
      <c r="X105" s="312">
        <f t="shared" si="48"/>
        <v>0</v>
      </c>
      <c r="Y105" s="278"/>
      <c r="Z105" s="312">
        <f t="shared" si="49"/>
        <v>15420</v>
      </c>
      <c r="AA105" s="312">
        <f>'3. GRI Pricing'!Y96</f>
        <v>1285</v>
      </c>
      <c r="AB105" s="359">
        <f t="shared" si="50"/>
        <v>24.71153846153846</v>
      </c>
    </row>
    <row r="106" spans="3:28" s="30" customFormat="1" ht="12" x14ac:dyDescent="0.2">
      <c r="C106" s="77" t="str">
        <f>'1. Accomodation'!N101</f>
        <v>601N</v>
      </c>
      <c r="D106" s="77" t="str">
        <f>'1. Accomodation'!P101</f>
        <v>1 Bed</v>
      </c>
      <c r="E106" s="77">
        <f>'1. Accomodation'!O101</f>
        <v>495</v>
      </c>
      <c r="G106" s="341">
        <v>11520</v>
      </c>
      <c r="H106" s="273">
        <f>IFERROR(INDEX('4. Valuation'!$C$10:$I$17,MATCH($D106,'4. Valuation'!$C$10:$C$17,0),MATCH($H$25,'4. Valuation'!$C$10:$I$10,0)),0)</f>
        <v>867</v>
      </c>
      <c r="I106" s="273">
        <f>IFERROR(INDEX('4. Valuation'!$C$10:$I$17,MATCH($D106,'4. Valuation'!$C$10:$C$17,0),MATCH($I$25,'4. Valuation'!$C$10:$I$10,0)),0)</f>
        <v>20.660726106217222</v>
      </c>
      <c r="J106" s="277"/>
      <c r="K106" s="312">
        <f t="shared" si="43"/>
        <v>10404</v>
      </c>
      <c r="L106" s="312">
        <f t="shared" si="44"/>
        <v>867</v>
      </c>
      <c r="M106" s="312">
        <f t="shared" si="45"/>
        <v>21.018181818181819</v>
      </c>
      <c r="N106" s="278"/>
      <c r="O106" s="278"/>
      <c r="P106" s="278"/>
      <c r="Q106" s="278"/>
      <c r="R106" s="312">
        <f>IFERROR(INDEX('4. Valuation'!$O$10:$X$17,MATCH($D106,'4. Valuation'!$O$10:$O$17,0),MATCH($R$25,'4. Valuation'!$O$10:$X$10,0)),0)</f>
        <v>0</v>
      </c>
      <c r="S106" s="312">
        <f>IFERROR(INDEX('4. Valuation'!$O$10:$X$17,MATCH($D106,'4. Valuation'!$O$10:$O$17,0),MATCH($S$25,'4. Valuation'!$O$10:$X$10,0)),0)</f>
        <v>0</v>
      </c>
      <c r="T106" s="312">
        <f>IFERROR(INDEX('4. Valuation'!$O$10:$X$17,MATCH($D106,'4. Valuation'!$O$10:$O$17,0),MATCH($T$25,'4. Valuation'!$O$10:$X$10,0)),0)</f>
        <v>0</v>
      </c>
      <c r="U106" s="278"/>
      <c r="V106" s="312">
        <f t="shared" si="46"/>
        <v>0</v>
      </c>
      <c r="W106" s="312">
        <f t="shared" si="47"/>
        <v>0</v>
      </c>
      <c r="X106" s="312">
        <f t="shared" si="48"/>
        <v>0</v>
      </c>
      <c r="Y106" s="278"/>
      <c r="Z106" s="312">
        <f t="shared" si="49"/>
        <v>11820</v>
      </c>
      <c r="AA106" s="312">
        <f>'3. GRI Pricing'!Y97</f>
        <v>985</v>
      </c>
      <c r="AB106" s="359">
        <f t="shared" si="50"/>
        <v>23.878787878787879</v>
      </c>
    </row>
    <row r="107" spans="3:28" s="30" customFormat="1" ht="12" x14ac:dyDescent="0.2">
      <c r="C107" s="77" t="str">
        <f>'1. Accomodation'!N102</f>
        <v>602N</v>
      </c>
      <c r="D107" s="77" t="str">
        <f>'1. Accomodation'!P102</f>
        <v>2 Bed</v>
      </c>
      <c r="E107" s="77">
        <f>'1. Accomodation'!O102</f>
        <v>678</v>
      </c>
      <c r="G107" s="341">
        <v>15240</v>
      </c>
      <c r="H107" s="273">
        <f>IFERROR(INDEX('4. Valuation'!$C$10:$I$17,MATCH($D107,'4. Valuation'!$C$10:$C$17,0),MATCH($H$25,'4. Valuation'!$C$10:$I$10,0)),0)</f>
        <v>1166</v>
      </c>
      <c r="I107" s="273">
        <f>IFERROR(INDEX('4. Valuation'!$C$10:$I$17,MATCH($D107,'4. Valuation'!$C$10:$C$17,0),MATCH($I$25,'4. Valuation'!$C$10:$I$10,0)),0)</f>
        <v>21.448728269247237</v>
      </c>
      <c r="J107" s="277"/>
      <c r="K107" s="312">
        <f t="shared" si="43"/>
        <v>13992</v>
      </c>
      <c r="L107" s="312">
        <f t="shared" si="44"/>
        <v>1166</v>
      </c>
      <c r="M107" s="312">
        <f t="shared" si="45"/>
        <v>20.63716814159292</v>
      </c>
      <c r="N107" s="278"/>
      <c r="O107" s="278"/>
      <c r="P107" s="278"/>
      <c r="Q107" s="278"/>
      <c r="R107" s="312">
        <f>IFERROR(INDEX('4. Valuation'!$O$10:$X$17,MATCH($D107,'4. Valuation'!$O$10:$O$17,0),MATCH($R$25,'4. Valuation'!$O$10:$X$10,0)),0)</f>
        <v>0</v>
      </c>
      <c r="S107" s="312">
        <f>IFERROR(INDEX('4. Valuation'!$O$10:$X$17,MATCH($D107,'4. Valuation'!$O$10:$O$17,0),MATCH($S$25,'4. Valuation'!$O$10:$X$10,0)),0)</f>
        <v>0</v>
      </c>
      <c r="T107" s="312">
        <f>IFERROR(INDEX('4. Valuation'!$O$10:$X$17,MATCH($D107,'4. Valuation'!$O$10:$O$17,0),MATCH($T$25,'4. Valuation'!$O$10:$X$10,0)),0)</f>
        <v>0</v>
      </c>
      <c r="U107" s="278"/>
      <c r="V107" s="312">
        <f t="shared" si="46"/>
        <v>0</v>
      </c>
      <c r="W107" s="312">
        <f t="shared" si="47"/>
        <v>0</v>
      </c>
      <c r="X107" s="312">
        <f t="shared" si="48"/>
        <v>0</v>
      </c>
      <c r="Y107" s="278"/>
      <c r="Z107" s="312">
        <f t="shared" si="49"/>
        <v>15300</v>
      </c>
      <c r="AA107" s="312">
        <f>'3. GRI Pricing'!Y98</f>
        <v>1275</v>
      </c>
      <c r="AB107" s="359">
        <f t="shared" si="50"/>
        <v>22.56637168141593</v>
      </c>
    </row>
    <row r="108" spans="3:28" s="30" customFormat="1" ht="12" x14ac:dyDescent="0.2">
      <c r="C108" s="77" t="str">
        <f>'1. Accomodation'!N103</f>
        <v>603N</v>
      </c>
      <c r="D108" s="77" t="str">
        <f>'1. Accomodation'!P103</f>
        <v>2 Bed</v>
      </c>
      <c r="E108" s="77">
        <f>'1. Accomodation'!O103</f>
        <v>657</v>
      </c>
      <c r="G108" s="341">
        <v>15120</v>
      </c>
      <c r="H108" s="273">
        <f>IFERROR(INDEX('4. Valuation'!$C$10:$I$17,MATCH($D108,'4. Valuation'!$C$10:$C$17,0),MATCH($H$25,'4. Valuation'!$C$10:$I$10,0)),0)</f>
        <v>1166</v>
      </c>
      <c r="I108" s="273">
        <f>IFERROR(INDEX('4. Valuation'!$C$10:$I$17,MATCH($D108,'4. Valuation'!$C$10:$C$17,0),MATCH($I$25,'4. Valuation'!$C$10:$I$10,0)),0)</f>
        <v>21.448728269247237</v>
      </c>
      <c r="J108" s="277"/>
      <c r="K108" s="312">
        <f t="shared" si="43"/>
        <v>13992</v>
      </c>
      <c r="L108" s="312">
        <f t="shared" si="44"/>
        <v>1166</v>
      </c>
      <c r="M108" s="312">
        <f t="shared" si="45"/>
        <v>21.296803652968038</v>
      </c>
      <c r="N108" s="278"/>
      <c r="O108" s="278"/>
      <c r="P108" s="278"/>
      <c r="Q108" s="278"/>
      <c r="R108" s="312">
        <f>IFERROR(INDEX('4. Valuation'!$O$10:$X$17,MATCH($D108,'4. Valuation'!$O$10:$O$17,0),MATCH($R$25,'4. Valuation'!$O$10:$X$10,0)),0)</f>
        <v>0</v>
      </c>
      <c r="S108" s="312">
        <f>IFERROR(INDEX('4. Valuation'!$O$10:$X$17,MATCH($D108,'4. Valuation'!$O$10:$O$17,0),MATCH($S$25,'4. Valuation'!$O$10:$X$10,0)),0)</f>
        <v>0</v>
      </c>
      <c r="T108" s="312">
        <f>IFERROR(INDEX('4. Valuation'!$O$10:$X$17,MATCH($D108,'4. Valuation'!$O$10:$O$17,0),MATCH($T$25,'4. Valuation'!$O$10:$X$10,0)),0)</f>
        <v>0</v>
      </c>
      <c r="U108" s="278"/>
      <c r="V108" s="312">
        <f t="shared" si="46"/>
        <v>0</v>
      </c>
      <c r="W108" s="312">
        <f t="shared" si="47"/>
        <v>0</v>
      </c>
      <c r="X108" s="312">
        <f t="shared" si="48"/>
        <v>0</v>
      </c>
      <c r="Y108" s="278"/>
      <c r="Z108" s="312">
        <f t="shared" si="49"/>
        <v>15060</v>
      </c>
      <c r="AA108" s="312">
        <f>'3. GRI Pricing'!Y99</f>
        <v>1255</v>
      </c>
      <c r="AB108" s="359">
        <f t="shared" si="50"/>
        <v>22.922374429223744</v>
      </c>
    </row>
    <row r="109" spans="3:28" s="30" customFormat="1" ht="12" x14ac:dyDescent="0.2">
      <c r="C109" s="77" t="str">
        <f>'1. Accomodation'!N104</f>
        <v>604N</v>
      </c>
      <c r="D109" s="77" t="str">
        <f>'1. Accomodation'!P104</f>
        <v>3 Bed</v>
      </c>
      <c r="E109" s="77">
        <f>'1. Accomodation'!O104</f>
        <v>818</v>
      </c>
      <c r="G109" s="341">
        <v>19020</v>
      </c>
      <c r="H109" s="273">
        <f>IFERROR(INDEX('4. Valuation'!$C$10:$I$17,MATCH($D109,'4. Valuation'!$C$10:$C$17,0),MATCH($H$25,'4. Valuation'!$C$10:$I$10,0)),0)</f>
        <v>1511</v>
      </c>
      <c r="I109" s="273">
        <f>IFERROR(INDEX('4. Valuation'!$C$10:$I$17,MATCH($D109,'4. Valuation'!$C$10:$C$17,0),MATCH($I$25,'4. Valuation'!$C$10:$I$10,0)),0)</f>
        <v>22.026444890903143</v>
      </c>
      <c r="J109" s="277"/>
      <c r="K109" s="312">
        <f t="shared" si="43"/>
        <v>18132</v>
      </c>
      <c r="L109" s="312">
        <f t="shared" si="44"/>
        <v>1511</v>
      </c>
      <c r="M109" s="312">
        <f t="shared" si="45"/>
        <v>22.166259168704155</v>
      </c>
      <c r="N109" s="278"/>
      <c r="O109" s="278"/>
      <c r="P109" s="278"/>
      <c r="Q109" s="278"/>
      <c r="R109" s="312">
        <f>IFERROR(INDEX('4. Valuation'!$O$10:$X$17,MATCH($D109,'4. Valuation'!$O$10:$O$17,0),MATCH($R$25,'4. Valuation'!$O$10:$X$10,0)),0)</f>
        <v>0</v>
      </c>
      <c r="S109" s="312">
        <f>IFERROR(INDEX('4. Valuation'!$O$10:$X$17,MATCH($D109,'4. Valuation'!$O$10:$O$17,0),MATCH($S$25,'4. Valuation'!$O$10:$X$10,0)),0)</f>
        <v>0</v>
      </c>
      <c r="T109" s="312">
        <f>IFERROR(INDEX('4. Valuation'!$O$10:$X$17,MATCH($D109,'4. Valuation'!$O$10:$O$17,0),MATCH($T$25,'4. Valuation'!$O$10:$X$10,0)),0)</f>
        <v>0</v>
      </c>
      <c r="U109" s="278"/>
      <c r="V109" s="312">
        <f t="shared" si="46"/>
        <v>0</v>
      </c>
      <c r="W109" s="312">
        <f t="shared" si="47"/>
        <v>0</v>
      </c>
      <c r="X109" s="312">
        <f t="shared" si="48"/>
        <v>0</v>
      </c>
      <c r="Y109" s="278"/>
      <c r="Z109" s="312">
        <f t="shared" si="49"/>
        <v>19740</v>
      </c>
      <c r="AA109" s="312">
        <f>'3. GRI Pricing'!Y100</f>
        <v>1645</v>
      </c>
      <c r="AB109" s="359">
        <f t="shared" si="50"/>
        <v>24.1320293398533</v>
      </c>
    </row>
    <row r="110" spans="3:28" s="30" customFormat="1" ht="12" x14ac:dyDescent="0.2">
      <c r="C110" s="77" t="str">
        <f>'1. Accomodation'!N105</f>
        <v>605N</v>
      </c>
      <c r="D110" s="77" t="str">
        <f>'1. Accomodation'!P105</f>
        <v>2 Bed</v>
      </c>
      <c r="E110" s="77">
        <f>'1. Accomodation'!O105</f>
        <v>667</v>
      </c>
      <c r="G110" s="341">
        <v>14580</v>
      </c>
      <c r="H110" s="273">
        <f>IFERROR(INDEX('4. Valuation'!$C$10:$I$17,MATCH($D110,'4. Valuation'!$C$10:$C$17,0),MATCH($H$25,'4. Valuation'!$C$10:$I$10,0)),0)</f>
        <v>1166</v>
      </c>
      <c r="I110" s="273">
        <f>IFERROR(INDEX('4. Valuation'!$C$10:$I$17,MATCH($D110,'4. Valuation'!$C$10:$C$17,0),MATCH($I$25,'4. Valuation'!$C$10:$I$10,0)),0)</f>
        <v>21.448728269247237</v>
      </c>
      <c r="J110" s="277"/>
      <c r="K110" s="312">
        <f t="shared" si="43"/>
        <v>13992</v>
      </c>
      <c r="L110" s="312">
        <f t="shared" si="44"/>
        <v>1166</v>
      </c>
      <c r="M110" s="312">
        <f t="shared" si="45"/>
        <v>20.977511244377812</v>
      </c>
      <c r="N110" s="278"/>
      <c r="O110" s="278"/>
      <c r="P110" s="278"/>
      <c r="Q110" s="278"/>
      <c r="R110" s="312">
        <f>IFERROR(INDEX('4. Valuation'!$O$10:$X$17,MATCH($D110,'4. Valuation'!$O$10:$O$17,0),MATCH($R$25,'4. Valuation'!$O$10:$X$10,0)),0)</f>
        <v>0</v>
      </c>
      <c r="S110" s="312">
        <f>IFERROR(INDEX('4. Valuation'!$O$10:$X$17,MATCH($D110,'4. Valuation'!$O$10:$O$17,0),MATCH($S$25,'4. Valuation'!$O$10:$X$10,0)),0)</f>
        <v>0</v>
      </c>
      <c r="T110" s="312">
        <f>IFERROR(INDEX('4. Valuation'!$O$10:$X$17,MATCH($D110,'4. Valuation'!$O$10:$O$17,0),MATCH($T$25,'4. Valuation'!$O$10:$X$10,0)),0)</f>
        <v>0</v>
      </c>
      <c r="U110" s="278"/>
      <c r="V110" s="312">
        <f t="shared" si="46"/>
        <v>0</v>
      </c>
      <c r="W110" s="312">
        <f t="shared" si="47"/>
        <v>0</v>
      </c>
      <c r="X110" s="312">
        <f t="shared" si="48"/>
        <v>0</v>
      </c>
      <c r="Y110" s="278"/>
      <c r="Z110" s="312">
        <f t="shared" si="49"/>
        <v>15000</v>
      </c>
      <c r="AA110" s="312">
        <f>'3. GRI Pricing'!Y101</f>
        <v>1250</v>
      </c>
      <c r="AB110" s="359">
        <f t="shared" si="50"/>
        <v>22.488755622188904</v>
      </c>
    </row>
    <row r="111" spans="3:28" s="30" customFormat="1" ht="12" x14ac:dyDescent="0.2">
      <c r="C111" s="77" t="str">
        <f>'1. Accomodation'!N106</f>
        <v>606N</v>
      </c>
      <c r="D111" s="77" t="str">
        <f>'1. Accomodation'!P106</f>
        <v>1 Bed</v>
      </c>
      <c r="E111" s="77">
        <f>'1. Accomodation'!O106</f>
        <v>441</v>
      </c>
      <c r="G111" s="341">
        <v>10260</v>
      </c>
      <c r="H111" s="273">
        <f>IFERROR(INDEX('4. Valuation'!$C$10:$I$17,MATCH($D111,'4. Valuation'!$C$10:$C$17,0),MATCH($H$25,'4. Valuation'!$C$10:$I$10,0)),0)</f>
        <v>867</v>
      </c>
      <c r="I111" s="273">
        <f>IFERROR(INDEX('4. Valuation'!$C$10:$I$17,MATCH($D111,'4. Valuation'!$C$10:$C$17,0),MATCH($I$25,'4. Valuation'!$C$10:$I$10,0)),0)</f>
        <v>20.660726106217222</v>
      </c>
      <c r="J111" s="277"/>
      <c r="K111" s="312">
        <f t="shared" si="43"/>
        <v>10404</v>
      </c>
      <c r="L111" s="312">
        <f t="shared" si="44"/>
        <v>867</v>
      </c>
      <c r="M111" s="312">
        <f t="shared" si="45"/>
        <v>23.591836734693878</v>
      </c>
      <c r="N111" s="278"/>
      <c r="O111" s="278"/>
      <c r="P111" s="278"/>
      <c r="Q111" s="278"/>
      <c r="R111" s="312">
        <f>IFERROR(INDEX('4. Valuation'!$O$10:$X$17,MATCH($D111,'4. Valuation'!$O$10:$O$17,0),MATCH($R$25,'4. Valuation'!$O$10:$X$10,0)),0)</f>
        <v>0</v>
      </c>
      <c r="S111" s="312">
        <f>IFERROR(INDEX('4. Valuation'!$O$10:$X$17,MATCH($D111,'4. Valuation'!$O$10:$O$17,0),MATCH($S$25,'4. Valuation'!$O$10:$X$10,0)),0)</f>
        <v>0</v>
      </c>
      <c r="T111" s="312">
        <f>IFERROR(INDEX('4. Valuation'!$O$10:$X$17,MATCH($D111,'4. Valuation'!$O$10:$O$17,0),MATCH($T$25,'4. Valuation'!$O$10:$X$10,0)),0)</f>
        <v>0</v>
      </c>
      <c r="U111" s="278"/>
      <c r="V111" s="312">
        <f t="shared" si="46"/>
        <v>0</v>
      </c>
      <c r="W111" s="312">
        <f t="shared" si="47"/>
        <v>0</v>
      </c>
      <c r="X111" s="312">
        <f t="shared" si="48"/>
        <v>0</v>
      </c>
      <c r="Y111" s="278"/>
      <c r="Z111" s="312">
        <f t="shared" si="49"/>
        <v>11400</v>
      </c>
      <c r="AA111" s="312">
        <f>'3. GRI Pricing'!Y102</f>
        <v>950</v>
      </c>
      <c r="AB111" s="359">
        <f t="shared" si="50"/>
        <v>25.85034013605442</v>
      </c>
    </row>
    <row r="112" spans="3:28" s="30" customFormat="1" ht="12" x14ac:dyDescent="0.2">
      <c r="C112" s="77" t="str">
        <f>'1. Accomodation'!N107</f>
        <v>607N</v>
      </c>
      <c r="D112" s="77" t="str">
        <f>'1. Accomodation'!P107</f>
        <v>2 Bed</v>
      </c>
      <c r="E112" s="77">
        <f>'1. Accomodation'!O107</f>
        <v>624</v>
      </c>
      <c r="G112" s="341">
        <v>14640</v>
      </c>
      <c r="H112" s="273">
        <f>IFERROR(INDEX('4. Valuation'!$C$10:$I$17,MATCH($D112,'4. Valuation'!$C$10:$C$17,0),MATCH($H$25,'4. Valuation'!$C$10:$I$10,0)),0)</f>
        <v>1166</v>
      </c>
      <c r="I112" s="273">
        <f>IFERROR(INDEX('4. Valuation'!$C$10:$I$17,MATCH($D112,'4. Valuation'!$C$10:$C$17,0),MATCH($I$25,'4. Valuation'!$C$10:$I$10,0)),0)</f>
        <v>21.448728269247237</v>
      </c>
      <c r="J112" s="277"/>
      <c r="K112" s="312">
        <f t="shared" si="43"/>
        <v>13992</v>
      </c>
      <c r="L112" s="312">
        <f t="shared" si="44"/>
        <v>1166</v>
      </c>
      <c r="M112" s="312">
        <f t="shared" si="45"/>
        <v>22.423076923076923</v>
      </c>
      <c r="N112" s="278"/>
      <c r="O112" s="278"/>
      <c r="P112" s="278"/>
      <c r="Q112" s="278"/>
      <c r="R112" s="312">
        <f>IFERROR(INDEX('4. Valuation'!$O$10:$X$17,MATCH($D112,'4. Valuation'!$O$10:$O$17,0),MATCH($R$25,'4. Valuation'!$O$10:$X$10,0)),0)</f>
        <v>0</v>
      </c>
      <c r="S112" s="312">
        <f>IFERROR(INDEX('4. Valuation'!$O$10:$X$17,MATCH($D112,'4. Valuation'!$O$10:$O$17,0),MATCH($S$25,'4. Valuation'!$O$10:$X$10,0)),0)</f>
        <v>0</v>
      </c>
      <c r="T112" s="312">
        <f>IFERROR(INDEX('4. Valuation'!$O$10:$X$17,MATCH($D112,'4. Valuation'!$O$10:$O$17,0),MATCH($T$25,'4. Valuation'!$O$10:$X$10,0)),0)</f>
        <v>0</v>
      </c>
      <c r="U112" s="278"/>
      <c r="V112" s="312">
        <f t="shared" si="46"/>
        <v>0</v>
      </c>
      <c r="W112" s="312">
        <f t="shared" si="47"/>
        <v>0</v>
      </c>
      <c r="X112" s="312">
        <f t="shared" si="48"/>
        <v>0</v>
      </c>
      <c r="Y112" s="278"/>
      <c r="Z112" s="312">
        <f t="shared" si="49"/>
        <v>14700</v>
      </c>
      <c r="AA112" s="312">
        <f>'3. GRI Pricing'!Y103</f>
        <v>1225</v>
      </c>
      <c r="AB112" s="359">
        <f t="shared" si="50"/>
        <v>23.557692307692307</v>
      </c>
    </row>
    <row r="113" spans="3:28" s="30" customFormat="1" ht="12" x14ac:dyDescent="0.2">
      <c r="C113" s="77" t="str">
        <f>'1. Accomodation'!N108</f>
        <v>608N</v>
      </c>
      <c r="D113" s="77" t="str">
        <f>'1. Accomodation'!P108</f>
        <v>2 Bed</v>
      </c>
      <c r="E113" s="77">
        <f>'1. Accomodation'!O108</f>
        <v>624</v>
      </c>
      <c r="G113" s="341">
        <v>14820</v>
      </c>
      <c r="H113" s="273">
        <f>IFERROR(INDEX('4. Valuation'!$C$10:$I$17,MATCH($D113,'4. Valuation'!$C$10:$C$17,0),MATCH($H$25,'4. Valuation'!$C$10:$I$10,0)),0)</f>
        <v>1166</v>
      </c>
      <c r="I113" s="273">
        <f>IFERROR(INDEX('4. Valuation'!$C$10:$I$17,MATCH($D113,'4. Valuation'!$C$10:$C$17,0),MATCH($I$25,'4. Valuation'!$C$10:$I$10,0)),0)</f>
        <v>21.448728269247237</v>
      </c>
      <c r="J113" s="277"/>
      <c r="K113" s="312">
        <f t="shared" si="43"/>
        <v>13992</v>
      </c>
      <c r="L113" s="312">
        <f t="shared" si="44"/>
        <v>1166</v>
      </c>
      <c r="M113" s="312">
        <f t="shared" si="45"/>
        <v>22.423076923076923</v>
      </c>
      <c r="N113" s="278"/>
      <c r="O113" s="278"/>
      <c r="P113" s="278"/>
      <c r="Q113" s="278"/>
      <c r="R113" s="312">
        <f>IFERROR(INDEX('4. Valuation'!$O$10:$X$17,MATCH($D113,'4. Valuation'!$O$10:$O$17,0),MATCH($R$25,'4. Valuation'!$O$10:$X$10,0)),0)</f>
        <v>0</v>
      </c>
      <c r="S113" s="312">
        <f>IFERROR(INDEX('4. Valuation'!$O$10:$X$17,MATCH($D113,'4. Valuation'!$O$10:$O$17,0),MATCH($S$25,'4. Valuation'!$O$10:$X$10,0)),0)</f>
        <v>0</v>
      </c>
      <c r="T113" s="312">
        <f>IFERROR(INDEX('4. Valuation'!$O$10:$X$17,MATCH($D113,'4. Valuation'!$O$10:$O$17,0),MATCH($T$25,'4. Valuation'!$O$10:$X$10,0)),0)</f>
        <v>0</v>
      </c>
      <c r="U113" s="278"/>
      <c r="V113" s="312">
        <f t="shared" si="46"/>
        <v>0</v>
      </c>
      <c r="W113" s="312">
        <f t="shared" si="47"/>
        <v>0</v>
      </c>
      <c r="X113" s="312">
        <f t="shared" si="48"/>
        <v>0</v>
      </c>
      <c r="Y113" s="278"/>
      <c r="Z113" s="312">
        <f t="shared" si="49"/>
        <v>14700</v>
      </c>
      <c r="AA113" s="312">
        <f>'3. GRI Pricing'!Y104</f>
        <v>1225</v>
      </c>
      <c r="AB113" s="359">
        <f t="shared" si="50"/>
        <v>23.557692307692307</v>
      </c>
    </row>
    <row r="114" spans="3:28" s="30" customFormat="1" ht="12" x14ac:dyDescent="0.2">
      <c r="C114" s="77" t="str">
        <f>'1. Accomodation'!N109</f>
        <v>609N</v>
      </c>
      <c r="D114" s="77" t="str">
        <f>'1. Accomodation'!P109</f>
        <v>2 Bed</v>
      </c>
      <c r="E114" s="77">
        <f>'1. Accomodation'!O109</f>
        <v>657</v>
      </c>
      <c r="G114" s="341">
        <v>14880</v>
      </c>
      <c r="H114" s="273">
        <f>IFERROR(INDEX('4. Valuation'!$C$10:$I$17,MATCH($D114,'4. Valuation'!$C$10:$C$17,0),MATCH($H$25,'4. Valuation'!$C$10:$I$10,0)),0)</f>
        <v>1166</v>
      </c>
      <c r="I114" s="273">
        <f>IFERROR(INDEX('4. Valuation'!$C$10:$I$17,MATCH($D114,'4. Valuation'!$C$10:$C$17,0),MATCH($I$25,'4. Valuation'!$C$10:$I$10,0)),0)</f>
        <v>21.448728269247237</v>
      </c>
      <c r="J114" s="277"/>
      <c r="K114" s="312">
        <f t="shared" si="43"/>
        <v>13992</v>
      </c>
      <c r="L114" s="312">
        <f t="shared" si="44"/>
        <v>1166</v>
      </c>
      <c r="M114" s="312">
        <f t="shared" si="45"/>
        <v>21.296803652968038</v>
      </c>
      <c r="N114" s="278"/>
      <c r="O114" s="278"/>
      <c r="P114" s="278"/>
      <c r="Q114" s="278"/>
      <c r="R114" s="312">
        <f>IFERROR(INDEX('4. Valuation'!$O$10:$X$17,MATCH($D114,'4. Valuation'!$O$10:$O$17,0),MATCH($R$25,'4. Valuation'!$O$10:$X$10,0)),0)</f>
        <v>0</v>
      </c>
      <c r="S114" s="312">
        <f>IFERROR(INDEX('4. Valuation'!$O$10:$X$17,MATCH($D114,'4. Valuation'!$O$10:$O$17,0),MATCH($S$25,'4. Valuation'!$O$10:$X$10,0)),0)</f>
        <v>0</v>
      </c>
      <c r="T114" s="312">
        <f>IFERROR(INDEX('4. Valuation'!$O$10:$X$17,MATCH($D114,'4. Valuation'!$O$10:$O$17,0),MATCH($T$25,'4. Valuation'!$O$10:$X$10,0)),0)</f>
        <v>0</v>
      </c>
      <c r="U114" s="278"/>
      <c r="V114" s="312">
        <f t="shared" si="46"/>
        <v>0</v>
      </c>
      <c r="W114" s="312">
        <f t="shared" si="47"/>
        <v>0</v>
      </c>
      <c r="X114" s="312">
        <f t="shared" si="48"/>
        <v>0</v>
      </c>
      <c r="Y114" s="278"/>
      <c r="Z114" s="312">
        <f t="shared" si="49"/>
        <v>15300</v>
      </c>
      <c r="AA114" s="312">
        <f>'3. GRI Pricing'!Y105</f>
        <v>1275</v>
      </c>
      <c r="AB114" s="359">
        <f t="shared" si="50"/>
        <v>23.287671232876711</v>
      </c>
    </row>
    <row r="115" spans="3:28" s="30" customFormat="1" ht="12" x14ac:dyDescent="0.2">
      <c r="C115" s="77" t="str">
        <f>'1. Accomodation'!N110</f>
        <v>610N</v>
      </c>
      <c r="D115" s="77" t="str">
        <f>'1. Accomodation'!P110</f>
        <v>2 Bed</v>
      </c>
      <c r="E115" s="77">
        <f>'1. Accomodation'!O110</f>
        <v>700</v>
      </c>
      <c r="G115" s="341">
        <v>15840</v>
      </c>
      <c r="H115" s="273">
        <f>IFERROR(INDEX('4. Valuation'!$C$10:$I$17,MATCH($D115,'4. Valuation'!$C$10:$C$17,0),MATCH($H$25,'4. Valuation'!$C$10:$I$10,0)),0)</f>
        <v>1166</v>
      </c>
      <c r="I115" s="273">
        <f>IFERROR(INDEX('4. Valuation'!$C$10:$I$17,MATCH($D115,'4. Valuation'!$C$10:$C$17,0),MATCH($I$25,'4. Valuation'!$C$10:$I$10,0)),0)</f>
        <v>21.448728269247237</v>
      </c>
      <c r="J115" s="277"/>
      <c r="K115" s="312">
        <f t="shared" si="43"/>
        <v>13992</v>
      </c>
      <c r="L115" s="312">
        <f t="shared" si="44"/>
        <v>1166</v>
      </c>
      <c r="M115" s="312">
        <f t="shared" si="45"/>
        <v>19.988571428571429</v>
      </c>
      <c r="N115" s="278"/>
      <c r="O115" s="278"/>
      <c r="P115" s="278"/>
      <c r="Q115" s="278"/>
      <c r="R115" s="312">
        <f>IFERROR(INDEX('4. Valuation'!$O$10:$X$17,MATCH($D115,'4. Valuation'!$O$10:$O$17,0),MATCH($R$25,'4. Valuation'!$O$10:$X$10,0)),0)</f>
        <v>0</v>
      </c>
      <c r="S115" s="312">
        <f>IFERROR(INDEX('4. Valuation'!$O$10:$X$17,MATCH($D115,'4. Valuation'!$O$10:$O$17,0),MATCH($S$25,'4. Valuation'!$O$10:$X$10,0)),0)</f>
        <v>0</v>
      </c>
      <c r="T115" s="312">
        <f>IFERROR(INDEX('4. Valuation'!$O$10:$X$17,MATCH($D115,'4. Valuation'!$O$10:$O$17,0),MATCH($T$25,'4. Valuation'!$O$10:$X$10,0)),0)</f>
        <v>0</v>
      </c>
      <c r="U115" s="278"/>
      <c r="V115" s="312">
        <f t="shared" si="46"/>
        <v>0</v>
      </c>
      <c r="W115" s="312">
        <f t="shared" si="47"/>
        <v>0</v>
      </c>
      <c r="X115" s="312">
        <f t="shared" si="48"/>
        <v>0</v>
      </c>
      <c r="Y115" s="278"/>
      <c r="Z115" s="312">
        <f t="shared" si="49"/>
        <v>15840</v>
      </c>
      <c r="AA115" s="312">
        <f>'3. GRI Pricing'!Y106</f>
        <v>1320</v>
      </c>
      <c r="AB115" s="359">
        <f t="shared" si="50"/>
        <v>22.62857142857143</v>
      </c>
    </row>
    <row r="116" spans="3:28" s="30" customFormat="1" ht="12" x14ac:dyDescent="0.2">
      <c r="C116" s="77" t="str">
        <f>'1. Accomodation'!N111</f>
        <v>611N</v>
      </c>
      <c r="D116" s="77" t="str">
        <f>'1. Accomodation'!P111</f>
        <v>2 Bed</v>
      </c>
      <c r="E116" s="77">
        <f>'1. Accomodation'!O111</f>
        <v>689</v>
      </c>
      <c r="G116" s="341">
        <v>15120</v>
      </c>
      <c r="H116" s="273">
        <f>IFERROR(INDEX('4. Valuation'!$C$10:$I$17,MATCH($D116,'4. Valuation'!$C$10:$C$17,0),MATCH($H$25,'4. Valuation'!$C$10:$I$10,0)),0)</f>
        <v>1166</v>
      </c>
      <c r="I116" s="273">
        <f>IFERROR(INDEX('4. Valuation'!$C$10:$I$17,MATCH($D116,'4. Valuation'!$C$10:$C$17,0),MATCH($I$25,'4. Valuation'!$C$10:$I$10,0)),0)</f>
        <v>21.448728269247237</v>
      </c>
      <c r="J116" s="277"/>
      <c r="K116" s="312">
        <f t="shared" si="43"/>
        <v>13992</v>
      </c>
      <c r="L116" s="312">
        <f t="shared" si="44"/>
        <v>1166</v>
      </c>
      <c r="M116" s="312">
        <f t="shared" si="45"/>
        <v>20.307692307692307</v>
      </c>
      <c r="N116" s="278"/>
      <c r="O116" s="278"/>
      <c r="P116" s="278"/>
      <c r="Q116" s="278"/>
      <c r="R116" s="312">
        <f>IFERROR(INDEX('4. Valuation'!$O$10:$X$17,MATCH($D116,'4. Valuation'!$O$10:$O$17,0),MATCH($R$25,'4. Valuation'!$O$10:$X$10,0)),0)</f>
        <v>0</v>
      </c>
      <c r="S116" s="312">
        <f>IFERROR(INDEX('4. Valuation'!$O$10:$X$17,MATCH($D116,'4. Valuation'!$O$10:$O$17,0),MATCH($S$25,'4. Valuation'!$O$10:$X$10,0)),0)</f>
        <v>0</v>
      </c>
      <c r="T116" s="312">
        <f>IFERROR(INDEX('4. Valuation'!$O$10:$X$17,MATCH($D116,'4. Valuation'!$O$10:$O$17,0),MATCH($T$25,'4. Valuation'!$O$10:$X$10,0)),0)</f>
        <v>0</v>
      </c>
      <c r="U116" s="278"/>
      <c r="V116" s="312">
        <f t="shared" si="46"/>
        <v>0</v>
      </c>
      <c r="W116" s="312">
        <f t="shared" si="47"/>
        <v>0</v>
      </c>
      <c r="X116" s="312">
        <f t="shared" si="48"/>
        <v>0</v>
      </c>
      <c r="Y116" s="278"/>
      <c r="Z116" s="312">
        <f t="shared" si="49"/>
        <v>15960</v>
      </c>
      <c r="AA116" s="312">
        <f>'3. GRI Pricing'!Y107</f>
        <v>1330</v>
      </c>
      <c r="AB116" s="359">
        <f t="shared" si="50"/>
        <v>23.164005805515238</v>
      </c>
    </row>
    <row r="117" spans="3:28" s="30" customFormat="1" ht="12" x14ac:dyDescent="0.2">
      <c r="C117" s="77" t="str">
        <f>'1. Accomodation'!N112</f>
        <v>612N</v>
      </c>
      <c r="D117" s="77" t="str">
        <f>'1. Accomodation'!P112</f>
        <v>1 Bed</v>
      </c>
      <c r="E117" s="77">
        <f>'1. Accomodation'!O112</f>
        <v>517</v>
      </c>
      <c r="G117" s="341">
        <v>12060</v>
      </c>
      <c r="H117" s="273">
        <f>IFERROR(INDEX('4. Valuation'!$C$10:$I$17,MATCH($D117,'4. Valuation'!$C$10:$C$17,0),MATCH($H$25,'4. Valuation'!$C$10:$I$10,0)),0)</f>
        <v>867</v>
      </c>
      <c r="I117" s="273">
        <f>IFERROR(INDEX('4. Valuation'!$C$10:$I$17,MATCH($D117,'4. Valuation'!$C$10:$C$17,0),MATCH($I$25,'4. Valuation'!$C$10:$I$10,0)),0)</f>
        <v>20.660726106217222</v>
      </c>
      <c r="J117" s="277"/>
      <c r="K117" s="312">
        <f t="shared" si="43"/>
        <v>10404</v>
      </c>
      <c r="L117" s="312">
        <f t="shared" si="44"/>
        <v>867</v>
      </c>
      <c r="M117" s="312">
        <f t="shared" si="45"/>
        <v>20.123791102514506</v>
      </c>
      <c r="N117" s="278"/>
      <c r="O117" s="278"/>
      <c r="P117" s="278"/>
      <c r="Q117" s="278"/>
      <c r="R117" s="312">
        <f>IFERROR(INDEX('4. Valuation'!$O$10:$X$17,MATCH($D117,'4. Valuation'!$O$10:$O$17,0),MATCH($R$25,'4. Valuation'!$O$10:$X$10,0)),0)</f>
        <v>0</v>
      </c>
      <c r="S117" s="312">
        <f>IFERROR(INDEX('4. Valuation'!$O$10:$X$17,MATCH($D117,'4. Valuation'!$O$10:$O$17,0),MATCH($S$25,'4. Valuation'!$O$10:$X$10,0)),0)</f>
        <v>0</v>
      </c>
      <c r="T117" s="312">
        <f>IFERROR(INDEX('4. Valuation'!$O$10:$X$17,MATCH($D117,'4. Valuation'!$O$10:$O$17,0),MATCH($T$25,'4. Valuation'!$O$10:$X$10,0)),0)</f>
        <v>0</v>
      </c>
      <c r="U117" s="278"/>
      <c r="V117" s="312">
        <f t="shared" si="46"/>
        <v>0</v>
      </c>
      <c r="W117" s="312">
        <f t="shared" si="47"/>
        <v>0</v>
      </c>
      <c r="X117" s="312">
        <f t="shared" si="48"/>
        <v>0</v>
      </c>
      <c r="Y117" s="278"/>
      <c r="Z117" s="312">
        <f t="shared" si="49"/>
        <v>12240</v>
      </c>
      <c r="AA117" s="312">
        <f>'3. GRI Pricing'!Y108</f>
        <v>1020</v>
      </c>
      <c r="AB117" s="359">
        <f t="shared" si="50"/>
        <v>23.67504835589942</v>
      </c>
    </row>
    <row r="118" spans="3:28" s="30" customFormat="1" ht="12" x14ac:dyDescent="0.2">
      <c r="C118" s="77" t="str">
        <f>'1. Accomodation'!N113</f>
        <v>613N</v>
      </c>
      <c r="D118" s="77" t="str">
        <f>'1. Accomodation'!P113</f>
        <v>1 Bed</v>
      </c>
      <c r="E118" s="77">
        <f>'1. Accomodation'!O113</f>
        <v>549</v>
      </c>
      <c r="G118" s="341">
        <v>11520</v>
      </c>
      <c r="H118" s="273">
        <f>IFERROR(INDEX('4. Valuation'!$C$10:$I$17,MATCH($D118,'4. Valuation'!$C$10:$C$17,0),MATCH($H$25,'4. Valuation'!$C$10:$I$10,0)),0)</f>
        <v>867</v>
      </c>
      <c r="I118" s="273">
        <f>IFERROR(INDEX('4. Valuation'!$C$10:$I$17,MATCH($D118,'4. Valuation'!$C$10:$C$17,0),MATCH($I$25,'4. Valuation'!$C$10:$I$10,0)),0)</f>
        <v>20.660726106217222</v>
      </c>
      <c r="J118" s="277"/>
      <c r="K118" s="312">
        <f t="shared" si="43"/>
        <v>10404</v>
      </c>
      <c r="L118" s="312">
        <f t="shared" si="44"/>
        <v>867</v>
      </c>
      <c r="M118" s="312">
        <f t="shared" si="45"/>
        <v>18.950819672131146</v>
      </c>
      <c r="N118" s="278"/>
      <c r="O118" s="278"/>
      <c r="P118" s="278"/>
      <c r="Q118" s="278"/>
      <c r="R118" s="312">
        <f>IFERROR(INDEX('4. Valuation'!$O$10:$X$17,MATCH($D118,'4. Valuation'!$O$10:$O$17,0),MATCH($R$25,'4. Valuation'!$O$10:$X$10,0)),0)</f>
        <v>0</v>
      </c>
      <c r="S118" s="312">
        <f>IFERROR(INDEX('4. Valuation'!$O$10:$X$17,MATCH($D118,'4. Valuation'!$O$10:$O$17,0),MATCH($S$25,'4. Valuation'!$O$10:$X$10,0)),0)</f>
        <v>0</v>
      </c>
      <c r="T118" s="312">
        <f>IFERROR(INDEX('4. Valuation'!$O$10:$X$17,MATCH($D118,'4. Valuation'!$O$10:$O$17,0),MATCH($T$25,'4. Valuation'!$O$10:$X$10,0)),0)</f>
        <v>0</v>
      </c>
      <c r="U118" s="278"/>
      <c r="V118" s="312">
        <f t="shared" si="46"/>
        <v>0</v>
      </c>
      <c r="W118" s="312">
        <f t="shared" si="47"/>
        <v>0</v>
      </c>
      <c r="X118" s="312">
        <f t="shared" si="48"/>
        <v>0</v>
      </c>
      <c r="Y118" s="278"/>
      <c r="Z118" s="312">
        <f t="shared" si="49"/>
        <v>11940</v>
      </c>
      <c r="AA118" s="312">
        <f>'3. GRI Pricing'!Y109</f>
        <v>995</v>
      </c>
      <c r="AB118" s="359">
        <f t="shared" si="50"/>
        <v>21.748633879781419</v>
      </c>
    </row>
    <row r="119" spans="3:28" s="30" customFormat="1" ht="12" x14ac:dyDescent="0.2">
      <c r="C119" s="77" t="str">
        <f>'1. Accomodation'!N114</f>
        <v>614N</v>
      </c>
      <c r="D119" s="77" t="str">
        <f>'1. Accomodation'!P114</f>
        <v>1 Bed</v>
      </c>
      <c r="E119" s="77">
        <f>'1. Accomodation'!O114</f>
        <v>570</v>
      </c>
      <c r="G119" s="341">
        <v>11220</v>
      </c>
      <c r="H119" s="273">
        <f>IFERROR(INDEX('4. Valuation'!$C$10:$I$17,MATCH($D119,'4. Valuation'!$C$10:$C$17,0),MATCH($H$25,'4. Valuation'!$C$10:$I$10,0)),0)</f>
        <v>867</v>
      </c>
      <c r="I119" s="273">
        <f>IFERROR(INDEX('4. Valuation'!$C$10:$I$17,MATCH($D119,'4. Valuation'!$C$10:$C$17,0),MATCH($I$25,'4. Valuation'!$C$10:$I$10,0)),0)</f>
        <v>20.660726106217222</v>
      </c>
      <c r="J119" s="277"/>
      <c r="K119" s="312">
        <f t="shared" si="43"/>
        <v>10404</v>
      </c>
      <c r="L119" s="312">
        <f t="shared" si="44"/>
        <v>867</v>
      </c>
      <c r="M119" s="312">
        <f t="shared" si="45"/>
        <v>18.252631578947369</v>
      </c>
      <c r="N119" s="278"/>
      <c r="O119" s="278"/>
      <c r="P119" s="278"/>
      <c r="Q119" s="278"/>
      <c r="R119" s="312">
        <f>IFERROR(INDEX('4. Valuation'!$O$10:$X$17,MATCH($D119,'4. Valuation'!$O$10:$O$17,0),MATCH($R$25,'4. Valuation'!$O$10:$X$10,0)),0)</f>
        <v>0</v>
      </c>
      <c r="S119" s="312">
        <f>IFERROR(INDEX('4. Valuation'!$O$10:$X$17,MATCH($D119,'4. Valuation'!$O$10:$O$17,0),MATCH($S$25,'4. Valuation'!$O$10:$X$10,0)),0)</f>
        <v>0</v>
      </c>
      <c r="T119" s="312">
        <f>IFERROR(INDEX('4. Valuation'!$O$10:$X$17,MATCH($D119,'4. Valuation'!$O$10:$O$17,0),MATCH($T$25,'4. Valuation'!$O$10:$X$10,0)),0)</f>
        <v>0</v>
      </c>
      <c r="U119" s="278"/>
      <c r="V119" s="312">
        <f t="shared" si="46"/>
        <v>0</v>
      </c>
      <c r="W119" s="312">
        <f t="shared" si="47"/>
        <v>0</v>
      </c>
      <c r="X119" s="312">
        <f t="shared" si="48"/>
        <v>0</v>
      </c>
      <c r="Y119" s="278"/>
      <c r="Z119" s="312">
        <f t="shared" si="49"/>
        <v>11760</v>
      </c>
      <c r="AA119" s="312">
        <f>'3. GRI Pricing'!Y110</f>
        <v>980</v>
      </c>
      <c r="AB119" s="359">
        <f t="shared" si="50"/>
        <v>20.631578947368421</v>
      </c>
    </row>
    <row r="120" spans="3:28" s="30" customFormat="1" ht="12" x14ac:dyDescent="0.2">
      <c r="C120" s="77" t="str">
        <f>'1. Accomodation'!N115</f>
        <v>615N</v>
      </c>
      <c r="D120" s="77" t="str">
        <f>'1. Accomodation'!P115</f>
        <v>2 Bed</v>
      </c>
      <c r="E120" s="77">
        <f>'1. Accomodation'!O115</f>
        <v>624</v>
      </c>
      <c r="G120" s="341">
        <v>14940</v>
      </c>
      <c r="H120" s="273">
        <f>IFERROR(INDEX('4. Valuation'!$C$10:$I$17,MATCH($D120,'4. Valuation'!$C$10:$C$17,0),MATCH($H$25,'4. Valuation'!$C$10:$I$10,0)),0)</f>
        <v>1166</v>
      </c>
      <c r="I120" s="273">
        <f>IFERROR(INDEX('4. Valuation'!$C$10:$I$17,MATCH($D120,'4. Valuation'!$C$10:$C$17,0),MATCH($I$25,'4. Valuation'!$C$10:$I$10,0)),0)</f>
        <v>21.448728269247237</v>
      </c>
      <c r="J120" s="277"/>
      <c r="K120" s="312">
        <f t="shared" si="43"/>
        <v>13992</v>
      </c>
      <c r="L120" s="312">
        <f t="shared" si="44"/>
        <v>1166</v>
      </c>
      <c r="M120" s="312">
        <f t="shared" si="45"/>
        <v>22.423076923076923</v>
      </c>
      <c r="N120" s="278"/>
      <c r="O120" s="278"/>
      <c r="P120" s="278"/>
      <c r="Q120" s="278"/>
      <c r="R120" s="312">
        <f>IFERROR(INDEX('4. Valuation'!$O$10:$X$17,MATCH($D120,'4. Valuation'!$O$10:$O$17,0),MATCH($R$25,'4. Valuation'!$O$10:$X$10,0)),0)</f>
        <v>0</v>
      </c>
      <c r="S120" s="312">
        <f>IFERROR(INDEX('4. Valuation'!$O$10:$X$17,MATCH($D120,'4. Valuation'!$O$10:$O$17,0),MATCH($S$25,'4. Valuation'!$O$10:$X$10,0)),0)</f>
        <v>0</v>
      </c>
      <c r="T120" s="312">
        <f>IFERROR(INDEX('4. Valuation'!$O$10:$X$17,MATCH($D120,'4. Valuation'!$O$10:$O$17,0),MATCH($T$25,'4. Valuation'!$O$10:$X$10,0)),0)</f>
        <v>0</v>
      </c>
      <c r="U120" s="278"/>
      <c r="V120" s="312">
        <f t="shared" si="46"/>
        <v>0</v>
      </c>
      <c r="W120" s="312">
        <f t="shared" si="47"/>
        <v>0</v>
      </c>
      <c r="X120" s="312">
        <f t="shared" si="48"/>
        <v>0</v>
      </c>
      <c r="Y120" s="278"/>
      <c r="Z120" s="312">
        <f t="shared" si="49"/>
        <v>14940</v>
      </c>
      <c r="AA120" s="312">
        <f>'3. GRI Pricing'!Y111</f>
        <v>1245</v>
      </c>
      <c r="AB120" s="359">
        <f t="shared" si="50"/>
        <v>23.942307692307693</v>
      </c>
    </row>
    <row r="121" spans="3:28" s="30" customFormat="1" ht="12" x14ac:dyDescent="0.2">
      <c r="C121" s="77" t="str">
        <f>'1. Accomodation'!N116</f>
        <v>616N</v>
      </c>
      <c r="D121" s="77" t="str">
        <f>'1. Accomodation'!P116</f>
        <v>2 Bed</v>
      </c>
      <c r="E121" s="77">
        <f>'1. Accomodation'!O116</f>
        <v>624</v>
      </c>
      <c r="G121" s="341">
        <v>14820</v>
      </c>
      <c r="H121" s="273">
        <f>IFERROR(INDEX('4. Valuation'!$C$10:$I$17,MATCH($D121,'4. Valuation'!$C$10:$C$17,0),MATCH($H$25,'4. Valuation'!$C$10:$I$10,0)),0)</f>
        <v>1166</v>
      </c>
      <c r="I121" s="273">
        <f>IFERROR(INDEX('4. Valuation'!$C$10:$I$17,MATCH($D121,'4. Valuation'!$C$10:$C$17,0),MATCH($I$25,'4. Valuation'!$C$10:$I$10,0)),0)</f>
        <v>21.448728269247237</v>
      </c>
      <c r="J121" s="277"/>
      <c r="K121" s="312">
        <f t="shared" si="43"/>
        <v>13992</v>
      </c>
      <c r="L121" s="312">
        <f t="shared" si="44"/>
        <v>1166</v>
      </c>
      <c r="M121" s="312">
        <f t="shared" si="45"/>
        <v>22.423076923076923</v>
      </c>
      <c r="N121" s="278"/>
      <c r="O121" s="278"/>
      <c r="P121" s="278"/>
      <c r="Q121" s="278"/>
      <c r="R121" s="312">
        <f>IFERROR(INDEX('4. Valuation'!$O$10:$X$17,MATCH($D121,'4. Valuation'!$O$10:$O$17,0),MATCH($R$25,'4. Valuation'!$O$10:$X$10,0)),0)</f>
        <v>0</v>
      </c>
      <c r="S121" s="312">
        <f>IFERROR(INDEX('4. Valuation'!$O$10:$X$17,MATCH($D121,'4. Valuation'!$O$10:$O$17,0),MATCH($S$25,'4. Valuation'!$O$10:$X$10,0)),0)</f>
        <v>0</v>
      </c>
      <c r="T121" s="312">
        <f>IFERROR(INDEX('4. Valuation'!$O$10:$X$17,MATCH($D121,'4. Valuation'!$O$10:$O$17,0),MATCH($T$25,'4. Valuation'!$O$10:$X$10,0)),0)</f>
        <v>0</v>
      </c>
      <c r="U121" s="278"/>
      <c r="V121" s="312">
        <f t="shared" si="46"/>
        <v>0</v>
      </c>
      <c r="W121" s="312">
        <f t="shared" si="47"/>
        <v>0</v>
      </c>
      <c r="X121" s="312">
        <f t="shared" si="48"/>
        <v>0</v>
      </c>
      <c r="Y121" s="278"/>
      <c r="Z121" s="312">
        <f t="shared" si="49"/>
        <v>14940</v>
      </c>
      <c r="AA121" s="312">
        <f>'3. GRI Pricing'!Y112</f>
        <v>1245</v>
      </c>
      <c r="AB121" s="359">
        <f t="shared" si="50"/>
        <v>23.942307692307693</v>
      </c>
    </row>
    <row r="122" spans="3:28" s="30" customFormat="1" ht="12" x14ac:dyDescent="0.2">
      <c r="C122" s="77" t="str">
        <f>'1. Accomodation'!N117</f>
        <v>701N</v>
      </c>
      <c r="D122" s="77" t="str">
        <f>'1. Accomodation'!P117</f>
        <v>1 Bed</v>
      </c>
      <c r="E122" s="77">
        <f>'1. Accomodation'!O117</f>
        <v>495</v>
      </c>
      <c r="G122" s="341">
        <v>11700</v>
      </c>
      <c r="H122" s="273">
        <f>IFERROR(INDEX('4. Valuation'!$C$10:$I$17,MATCH($D122,'4. Valuation'!$C$10:$C$17,0),MATCH($H$25,'4. Valuation'!$C$10:$I$10,0)),0)</f>
        <v>867</v>
      </c>
      <c r="I122" s="273">
        <f>IFERROR(INDEX('4. Valuation'!$C$10:$I$17,MATCH($D122,'4. Valuation'!$C$10:$C$17,0),MATCH($I$25,'4. Valuation'!$C$10:$I$10,0)),0)</f>
        <v>20.660726106217222</v>
      </c>
      <c r="J122" s="277"/>
      <c r="K122" s="312">
        <f t="shared" si="43"/>
        <v>10404</v>
      </c>
      <c r="L122" s="312">
        <f t="shared" si="44"/>
        <v>867</v>
      </c>
      <c r="M122" s="312">
        <f t="shared" si="45"/>
        <v>21.018181818181819</v>
      </c>
      <c r="N122" s="278"/>
      <c r="O122" s="278"/>
      <c r="P122" s="278"/>
      <c r="Q122" s="278"/>
      <c r="R122" s="312">
        <f>IFERROR(INDEX('4. Valuation'!$O$10:$X$17,MATCH($D122,'4. Valuation'!$O$10:$O$17,0),MATCH($R$25,'4. Valuation'!$O$10:$X$10,0)),0)</f>
        <v>0</v>
      </c>
      <c r="S122" s="312">
        <f>IFERROR(INDEX('4. Valuation'!$O$10:$X$17,MATCH($D122,'4. Valuation'!$O$10:$O$17,0),MATCH($S$25,'4. Valuation'!$O$10:$X$10,0)),0)</f>
        <v>0</v>
      </c>
      <c r="T122" s="312">
        <f>IFERROR(INDEX('4. Valuation'!$O$10:$X$17,MATCH($D122,'4. Valuation'!$O$10:$O$17,0),MATCH($T$25,'4. Valuation'!$O$10:$X$10,0)),0)</f>
        <v>0</v>
      </c>
      <c r="U122" s="278"/>
      <c r="V122" s="312">
        <f t="shared" si="46"/>
        <v>0</v>
      </c>
      <c r="W122" s="312">
        <f t="shared" si="47"/>
        <v>0</v>
      </c>
      <c r="X122" s="312">
        <f t="shared" si="48"/>
        <v>0</v>
      </c>
      <c r="Y122" s="278"/>
      <c r="Z122" s="312">
        <f t="shared" si="49"/>
        <v>12540</v>
      </c>
      <c r="AA122" s="312">
        <f>'3. GRI Pricing'!Y113</f>
        <v>1045</v>
      </c>
      <c r="AB122" s="359">
        <f t="shared" si="50"/>
        <v>25.333333333333332</v>
      </c>
    </row>
    <row r="123" spans="3:28" s="30" customFormat="1" ht="12" x14ac:dyDescent="0.2">
      <c r="C123" s="77" t="str">
        <f>'1. Accomodation'!N118</f>
        <v>702N</v>
      </c>
      <c r="D123" s="77" t="str">
        <f>'1. Accomodation'!P118</f>
        <v>2 Bed</v>
      </c>
      <c r="E123" s="77">
        <f>'1. Accomodation'!O118</f>
        <v>678</v>
      </c>
      <c r="G123" s="341">
        <v>16020</v>
      </c>
      <c r="H123" s="273">
        <f>IFERROR(INDEX('4. Valuation'!$C$10:$I$17,MATCH($D123,'4. Valuation'!$C$10:$C$17,0),MATCH($H$25,'4. Valuation'!$C$10:$I$10,0)),0)</f>
        <v>1166</v>
      </c>
      <c r="I123" s="273">
        <f>IFERROR(INDEX('4. Valuation'!$C$10:$I$17,MATCH($D123,'4. Valuation'!$C$10:$C$17,0),MATCH($I$25,'4. Valuation'!$C$10:$I$10,0)),0)</f>
        <v>21.448728269247237</v>
      </c>
      <c r="J123" s="277"/>
      <c r="K123" s="312">
        <f t="shared" si="43"/>
        <v>13992</v>
      </c>
      <c r="L123" s="312">
        <f t="shared" si="44"/>
        <v>1166</v>
      </c>
      <c r="M123" s="312">
        <f t="shared" si="45"/>
        <v>20.63716814159292</v>
      </c>
      <c r="N123" s="278"/>
      <c r="O123" s="278"/>
      <c r="P123" s="278"/>
      <c r="Q123" s="278"/>
      <c r="R123" s="312">
        <f>IFERROR(INDEX('4. Valuation'!$O$10:$X$17,MATCH($D123,'4. Valuation'!$O$10:$O$17,0),MATCH($R$25,'4. Valuation'!$O$10:$X$10,0)),0)</f>
        <v>0</v>
      </c>
      <c r="S123" s="312">
        <f>IFERROR(INDEX('4. Valuation'!$O$10:$X$17,MATCH($D123,'4. Valuation'!$O$10:$O$17,0),MATCH($S$25,'4. Valuation'!$O$10:$X$10,0)),0)</f>
        <v>0</v>
      </c>
      <c r="T123" s="312">
        <f>IFERROR(INDEX('4. Valuation'!$O$10:$X$17,MATCH($D123,'4. Valuation'!$O$10:$O$17,0),MATCH($T$25,'4. Valuation'!$O$10:$X$10,0)),0)</f>
        <v>0</v>
      </c>
      <c r="U123" s="278"/>
      <c r="V123" s="312">
        <f t="shared" si="46"/>
        <v>0</v>
      </c>
      <c r="W123" s="312">
        <f t="shared" si="47"/>
        <v>0</v>
      </c>
      <c r="X123" s="312">
        <f t="shared" si="48"/>
        <v>0</v>
      </c>
      <c r="Y123" s="278"/>
      <c r="Z123" s="312">
        <f t="shared" si="49"/>
        <v>16020</v>
      </c>
      <c r="AA123" s="312">
        <f>'3. GRI Pricing'!Y114</f>
        <v>1335</v>
      </c>
      <c r="AB123" s="359">
        <f t="shared" si="50"/>
        <v>23.628318584070797</v>
      </c>
    </row>
    <row r="124" spans="3:28" s="30" customFormat="1" ht="12" x14ac:dyDescent="0.2">
      <c r="C124" s="77" t="str">
        <f>'1. Accomodation'!N119</f>
        <v>703N</v>
      </c>
      <c r="D124" s="77" t="str">
        <f>'1. Accomodation'!P119</f>
        <v>2 Bed</v>
      </c>
      <c r="E124" s="77">
        <f>'1. Accomodation'!O119</f>
        <v>657</v>
      </c>
      <c r="G124" s="341">
        <v>15540</v>
      </c>
      <c r="H124" s="273">
        <f>IFERROR(INDEX('4. Valuation'!$C$10:$I$17,MATCH($D124,'4. Valuation'!$C$10:$C$17,0),MATCH($H$25,'4. Valuation'!$C$10:$I$10,0)),0)</f>
        <v>1166</v>
      </c>
      <c r="I124" s="273">
        <f>IFERROR(INDEX('4. Valuation'!$C$10:$I$17,MATCH($D124,'4. Valuation'!$C$10:$C$17,0),MATCH($I$25,'4. Valuation'!$C$10:$I$10,0)),0)</f>
        <v>21.448728269247237</v>
      </c>
      <c r="J124" s="277"/>
      <c r="K124" s="312">
        <f t="shared" si="43"/>
        <v>13992</v>
      </c>
      <c r="L124" s="312">
        <f t="shared" si="44"/>
        <v>1166</v>
      </c>
      <c r="M124" s="312">
        <f t="shared" si="45"/>
        <v>21.296803652968038</v>
      </c>
      <c r="N124" s="278"/>
      <c r="O124" s="278"/>
      <c r="P124" s="278"/>
      <c r="Q124" s="278"/>
      <c r="R124" s="312">
        <f>IFERROR(INDEX('4. Valuation'!$O$10:$X$17,MATCH($D124,'4. Valuation'!$O$10:$O$17,0),MATCH($R$25,'4. Valuation'!$O$10:$X$10,0)),0)</f>
        <v>0</v>
      </c>
      <c r="S124" s="312">
        <f>IFERROR(INDEX('4. Valuation'!$O$10:$X$17,MATCH($D124,'4. Valuation'!$O$10:$O$17,0),MATCH($S$25,'4. Valuation'!$O$10:$X$10,0)),0)</f>
        <v>0</v>
      </c>
      <c r="T124" s="312">
        <f>IFERROR(INDEX('4. Valuation'!$O$10:$X$17,MATCH($D124,'4. Valuation'!$O$10:$O$17,0),MATCH($T$25,'4. Valuation'!$O$10:$X$10,0)),0)</f>
        <v>0</v>
      </c>
      <c r="U124" s="278"/>
      <c r="V124" s="312">
        <f t="shared" si="46"/>
        <v>0</v>
      </c>
      <c r="W124" s="312">
        <f t="shared" si="47"/>
        <v>0</v>
      </c>
      <c r="X124" s="312">
        <f t="shared" si="48"/>
        <v>0</v>
      </c>
      <c r="Y124" s="278"/>
      <c r="Z124" s="312">
        <f t="shared" si="49"/>
        <v>15780</v>
      </c>
      <c r="AA124" s="312">
        <f>'3. GRI Pricing'!Y115</f>
        <v>1315</v>
      </c>
      <c r="AB124" s="359">
        <f t="shared" si="50"/>
        <v>24.018264840182649</v>
      </c>
    </row>
    <row r="125" spans="3:28" s="30" customFormat="1" ht="12" x14ac:dyDescent="0.2">
      <c r="C125" s="77" t="str">
        <f>'1. Accomodation'!N120</f>
        <v>704N</v>
      </c>
      <c r="D125" s="77" t="str">
        <f>'1. Accomodation'!P120</f>
        <v>3 Bed</v>
      </c>
      <c r="E125" s="77">
        <f>'1. Accomodation'!O120</f>
        <v>818</v>
      </c>
      <c r="G125" s="341">
        <v>19260</v>
      </c>
      <c r="H125" s="273">
        <f>IFERROR(INDEX('4. Valuation'!$C$10:$I$17,MATCH($D125,'4. Valuation'!$C$10:$C$17,0),MATCH($H$25,'4. Valuation'!$C$10:$I$10,0)),0)</f>
        <v>1511</v>
      </c>
      <c r="I125" s="273">
        <f>IFERROR(INDEX('4. Valuation'!$C$10:$I$17,MATCH($D125,'4. Valuation'!$C$10:$C$17,0),MATCH($I$25,'4. Valuation'!$C$10:$I$10,0)),0)</f>
        <v>22.026444890903143</v>
      </c>
      <c r="J125" s="277"/>
      <c r="K125" s="312">
        <f t="shared" si="43"/>
        <v>18132</v>
      </c>
      <c r="L125" s="312">
        <f t="shared" si="44"/>
        <v>1511</v>
      </c>
      <c r="M125" s="312">
        <f t="shared" si="45"/>
        <v>22.166259168704155</v>
      </c>
      <c r="N125" s="278"/>
      <c r="O125" s="278"/>
      <c r="P125" s="278"/>
      <c r="Q125" s="278"/>
      <c r="R125" s="312">
        <f>IFERROR(INDEX('4. Valuation'!$O$10:$X$17,MATCH($D125,'4. Valuation'!$O$10:$O$17,0),MATCH($R$25,'4. Valuation'!$O$10:$X$10,0)),0)</f>
        <v>0</v>
      </c>
      <c r="S125" s="312">
        <f>IFERROR(INDEX('4. Valuation'!$O$10:$X$17,MATCH($D125,'4. Valuation'!$O$10:$O$17,0),MATCH($S$25,'4. Valuation'!$O$10:$X$10,0)),0)</f>
        <v>0</v>
      </c>
      <c r="T125" s="312">
        <f>IFERROR(INDEX('4. Valuation'!$O$10:$X$17,MATCH($D125,'4. Valuation'!$O$10:$O$17,0),MATCH($T$25,'4. Valuation'!$O$10:$X$10,0)),0)</f>
        <v>0</v>
      </c>
      <c r="U125" s="278"/>
      <c r="V125" s="312">
        <f t="shared" si="46"/>
        <v>0</v>
      </c>
      <c r="W125" s="312">
        <f t="shared" si="47"/>
        <v>0</v>
      </c>
      <c r="X125" s="312">
        <f t="shared" si="48"/>
        <v>0</v>
      </c>
      <c r="Y125" s="278"/>
      <c r="Z125" s="312">
        <f t="shared" si="49"/>
        <v>20460</v>
      </c>
      <c r="AA125" s="312">
        <f>'3. GRI Pricing'!Y116</f>
        <v>1705</v>
      </c>
      <c r="AB125" s="359">
        <f t="shared" si="50"/>
        <v>25.012224938875306</v>
      </c>
    </row>
    <row r="126" spans="3:28" s="30" customFormat="1" ht="12" x14ac:dyDescent="0.2">
      <c r="C126" s="77" t="str">
        <f>'1. Accomodation'!N121</f>
        <v>705N</v>
      </c>
      <c r="D126" s="77" t="str">
        <f>'1. Accomodation'!P121</f>
        <v>2 Bed</v>
      </c>
      <c r="E126" s="77">
        <f>'1. Accomodation'!O121</f>
        <v>646</v>
      </c>
      <c r="G126" s="341">
        <v>14340</v>
      </c>
      <c r="H126" s="273">
        <f>IFERROR(INDEX('4. Valuation'!$C$10:$I$17,MATCH($D126,'4. Valuation'!$C$10:$C$17,0),MATCH($H$25,'4. Valuation'!$C$10:$I$10,0)),0)</f>
        <v>1166</v>
      </c>
      <c r="I126" s="273">
        <f>IFERROR(INDEX('4. Valuation'!$C$10:$I$17,MATCH($D126,'4. Valuation'!$C$10:$C$17,0),MATCH($I$25,'4. Valuation'!$C$10:$I$10,0)),0)</f>
        <v>21.448728269247237</v>
      </c>
      <c r="J126" s="277"/>
      <c r="K126" s="312">
        <f t="shared" si="43"/>
        <v>13992</v>
      </c>
      <c r="L126" s="312">
        <f t="shared" si="44"/>
        <v>1166</v>
      </c>
      <c r="M126" s="312">
        <f t="shared" si="45"/>
        <v>21.659442724458206</v>
      </c>
      <c r="N126" s="278"/>
      <c r="O126" s="278"/>
      <c r="P126" s="278"/>
      <c r="Q126" s="278"/>
      <c r="R126" s="312">
        <f>IFERROR(INDEX('4. Valuation'!$O$10:$X$17,MATCH($D126,'4. Valuation'!$O$10:$O$17,0),MATCH($R$25,'4. Valuation'!$O$10:$X$10,0)),0)</f>
        <v>0</v>
      </c>
      <c r="S126" s="312">
        <f>IFERROR(INDEX('4. Valuation'!$O$10:$X$17,MATCH($D126,'4. Valuation'!$O$10:$O$17,0),MATCH($S$25,'4. Valuation'!$O$10:$X$10,0)),0)</f>
        <v>0</v>
      </c>
      <c r="T126" s="312">
        <f>IFERROR(INDEX('4. Valuation'!$O$10:$X$17,MATCH($D126,'4. Valuation'!$O$10:$O$17,0),MATCH($T$25,'4. Valuation'!$O$10:$X$10,0)),0)</f>
        <v>0</v>
      </c>
      <c r="U126" s="278"/>
      <c r="V126" s="312">
        <f t="shared" si="46"/>
        <v>0</v>
      </c>
      <c r="W126" s="312">
        <f t="shared" si="47"/>
        <v>0</v>
      </c>
      <c r="X126" s="312">
        <f t="shared" si="48"/>
        <v>0</v>
      </c>
      <c r="Y126" s="278"/>
      <c r="Z126" s="312">
        <f t="shared" si="49"/>
        <v>15540</v>
      </c>
      <c r="AA126" s="312">
        <f>'3. GRI Pricing'!Y117</f>
        <v>1295</v>
      </c>
      <c r="AB126" s="359">
        <f t="shared" si="50"/>
        <v>24.055727554179565</v>
      </c>
    </row>
    <row r="127" spans="3:28" s="30" customFormat="1" ht="12" x14ac:dyDescent="0.2">
      <c r="C127" s="77" t="str">
        <f>'1. Accomodation'!N122</f>
        <v>706N</v>
      </c>
      <c r="D127" s="77" t="str">
        <f>'1. Accomodation'!P122</f>
        <v>2 Bed</v>
      </c>
      <c r="E127" s="77">
        <f>'1. Accomodation'!O122</f>
        <v>624</v>
      </c>
      <c r="G127" s="341">
        <v>15600</v>
      </c>
      <c r="H127" s="273">
        <f>IFERROR(INDEX('4. Valuation'!$C$10:$I$17,MATCH($D127,'4. Valuation'!$C$10:$C$17,0),MATCH($H$25,'4. Valuation'!$C$10:$I$10,0)),0)</f>
        <v>1166</v>
      </c>
      <c r="I127" s="273">
        <f>IFERROR(INDEX('4. Valuation'!$C$10:$I$17,MATCH($D127,'4. Valuation'!$C$10:$C$17,0),MATCH($I$25,'4. Valuation'!$C$10:$I$10,0)),0)</f>
        <v>21.448728269247237</v>
      </c>
      <c r="J127" s="277"/>
      <c r="K127" s="312">
        <f t="shared" si="43"/>
        <v>13992</v>
      </c>
      <c r="L127" s="312">
        <f t="shared" si="44"/>
        <v>1166</v>
      </c>
      <c r="M127" s="312">
        <f t="shared" si="45"/>
        <v>22.423076923076923</v>
      </c>
      <c r="N127" s="278"/>
      <c r="O127" s="278"/>
      <c r="P127" s="278"/>
      <c r="Q127" s="278"/>
      <c r="R127" s="312">
        <f>IFERROR(INDEX('4. Valuation'!$O$10:$X$17,MATCH($D127,'4. Valuation'!$O$10:$O$17,0),MATCH($R$25,'4. Valuation'!$O$10:$X$10,0)),0)</f>
        <v>0</v>
      </c>
      <c r="S127" s="312">
        <f>IFERROR(INDEX('4. Valuation'!$O$10:$X$17,MATCH($D127,'4. Valuation'!$O$10:$O$17,0),MATCH($S$25,'4. Valuation'!$O$10:$X$10,0)),0)</f>
        <v>0</v>
      </c>
      <c r="T127" s="312">
        <f>IFERROR(INDEX('4. Valuation'!$O$10:$X$17,MATCH($D127,'4. Valuation'!$O$10:$O$17,0),MATCH($T$25,'4. Valuation'!$O$10:$X$10,0)),0)</f>
        <v>0</v>
      </c>
      <c r="U127" s="278"/>
      <c r="V127" s="312">
        <f t="shared" si="46"/>
        <v>0</v>
      </c>
      <c r="W127" s="312">
        <f t="shared" si="47"/>
        <v>0</v>
      </c>
      <c r="X127" s="312">
        <f t="shared" si="48"/>
        <v>0</v>
      </c>
      <c r="Y127" s="278"/>
      <c r="Z127" s="312">
        <f t="shared" si="49"/>
        <v>15420</v>
      </c>
      <c r="AA127" s="312">
        <f>'3. GRI Pricing'!Y118</f>
        <v>1285</v>
      </c>
      <c r="AB127" s="359">
        <f t="shared" si="50"/>
        <v>24.71153846153846</v>
      </c>
    </row>
    <row r="128" spans="3:28" s="30" customFormat="1" ht="12" x14ac:dyDescent="0.2">
      <c r="C128" s="77" t="str">
        <f>'1. Accomodation'!N123</f>
        <v>707N</v>
      </c>
      <c r="D128" s="77" t="str">
        <f>'1. Accomodation'!P123</f>
        <v>2 Bed</v>
      </c>
      <c r="E128" s="77">
        <f>'1. Accomodation'!O123</f>
        <v>624</v>
      </c>
      <c r="G128" s="341">
        <v>15600</v>
      </c>
      <c r="H128" s="273">
        <f>IFERROR(INDEX('4. Valuation'!$C$10:$I$17,MATCH($D128,'4. Valuation'!$C$10:$C$17,0),MATCH($H$25,'4. Valuation'!$C$10:$I$10,0)),0)</f>
        <v>1166</v>
      </c>
      <c r="I128" s="273">
        <f>IFERROR(INDEX('4. Valuation'!$C$10:$I$17,MATCH($D128,'4. Valuation'!$C$10:$C$17,0),MATCH($I$25,'4. Valuation'!$C$10:$I$10,0)),0)</f>
        <v>21.448728269247237</v>
      </c>
      <c r="J128" s="277"/>
      <c r="K128" s="312">
        <f t="shared" si="43"/>
        <v>13992</v>
      </c>
      <c r="L128" s="312">
        <f t="shared" si="44"/>
        <v>1166</v>
      </c>
      <c r="M128" s="312">
        <f t="shared" si="45"/>
        <v>22.423076923076923</v>
      </c>
      <c r="N128" s="278"/>
      <c r="O128" s="278"/>
      <c r="P128" s="278"/>
      <c r="Q128" s="278"/>
      <c r="R128" s="312">
        <f>IFERROR(INDEX('4. Valuation'!$O$10:$X$17,MATCH($D128,'4. Valuation'!$O$10:$O$17,0),MATCH($R$25,'4. Valuation'!$O$10:$X$10,0)),0)</f>
        <v>0</v>
      </c>
      <c r="S128" s="312">
        <f>IFERROR(INDEX('4. Valuation'!$O$10:$X$17,MATCH($D128,'4. Valuation'!$O$10:$O$17,0),MATCH($S$25,'4. Valuation'!$O$10:$X$10,0)),0)</f>
        <v>0</v>
      </c>
      <c r="T128" s="312">
        <f>IFERROR(INDEX('4. Valuation'!$O$10:$X$17,MATCH($D128,'4. Valuation'!$O$10:$O$17,0),MATCH($T$25,'4. Valuation'!$O$10:$X$10,0)),0)</f>
        <v>0</v>
      </c>
      <c r="U128" s="278"/>
      <c r="V128" s="312">
        <f t="shared" si="46"/>
        <v>0</v>
      </c>
      <c r="W128" s="312">
        <f t="shared" si="47"/>
        <v>0</v>
      </c>
      <c r="X128" s="312">
        <f t="shared" si="48"/>
        <v>0</v>
      </c>
      <c r="Y128" s="278"/>
      <c r="Z128" s="312">
        <f t="shared" si="49"/>
        <v>15420</v>
      </c>
      <c r="AA128" s="312">
        <f>'3. GRI Pricing'!Y119</f>
        <v>1285</v>
      </c>
      <c r="AB128" s="359">
        <f t="shared" si="50"/>
        <v>24.71153846153846</v>
      </c>
    </row>
    <row r="129" spans="3:28" s="30" customFormat="1" ht="12" x14ac:dyDescent="0.2">
      <c r="C129" s="77" t="str">
        <f>'1. Accomodation'!N124</f>
        <v>708N</v>
      </c>
      <c r="D129" s="77" t="str">
        <f>'1. Accomodation'!P124</f>
        <v>2 Bed</v>
      </c>
      <c r="E129" s="77">
        <f>'1. Accomodation'!O124</f>
        <v>657</v>
      </c>
      <c r="G129" s="341">
        <v>16080</v>
      </c>
      <c r="H129" s="273">
        <f>IFERROR(INDEX('4. Valuation'!$C$10:$I$17,MATCH($D129,'4. Valuation'!$C$10:$C$17,0),MATCH($H$25,'4. Valuation'!$C$10:$I$10,0)),0)</f>
        <v>1166</v>
      </c>
      <c r="I129" s="273">
        <f>IFERROR(INDEX('4. Valuation'!$C$10:$I$17,MATCH($D129,'4. Valuation'!$C$10:$C$17,0),MATCH($I$25,'4. Valuation'!$C$10:$I$10,0)),0)</f>
        <v>21.448728269247237</v>
      </c>
      <c r="J129" s="277"/>
      <c r="K129" s="312">
        <f t="shared" si="43"/>
        <v>13992</v>
      </c>
      <c r="L129" s="312">
        <f t="shared" si="44"/>
        <v>1166</v>
      </c>
      <c r="M129" s="312">
        <f t="shared" si="45"/>
        <v>21.296803652968038</v>
      </c>
      <c r="N129" s="278"/>
      <c r="O129" s="278"/>
      <c r="P129" s="278"/>
      <c r="Q129" s="278"/>
      <c r="R129" s="312">
        <f>IFERROR(INDEX('4. Valuation'!$O$10:$X$17,MATCH($D129,'4. Valuation'!$O$10:$O$17,0),MATCH($R$25,'4. Valuation'!$O$10:$X$10,0)),0)</f>
        <v>0</v>
      </c>
      <c r="S129" s="312">
        <f>IFERROR(INDEX('4. Valuation'!$O$10:$X$17,MATCH($D129,'4. Valuation'!$O$10:$O$17,0),MATCH($S$25,'4. Valuation'!$O$10:$X$10,0)),0)</f>
        <v>0</v>
      </c>
      <c r="T129" s="312">
        <f>IFERROR(INDEX('4. Valuation'!$O$10:$X$17,MATCH($D129,'4. Valuation'!$O$10:$O$17,0),MATCH($T$25,'4. Valuation'!$O$10:$X$10,0)),0)</f>
        <v>0</v>
      </c>
      <c r="U129" s="278"/>
      <c r="V129" s="312">
        <f t="shared" si="46"/>
        <v>0</v>
      </c>
      <c r="W129" s="312">
        <f t="shared" si="47"/>
        <v>0</v>
      </c>
      <c r="X129" s="312">
        <f t="shared" si="48"/>
        <v>0</v>
      </c>
      <c r="Y129" s="278"/>
      <c r="Z129" s="312">
        <f t="shared" si="49"/>
        <v>16020</v>
      </c>
      <c r="AA129" s="312">
        <f>'3. GRI Pricing'!Y120</f>
        <v>1335</v>
      </c>
      <c r="AB129" s="359">
        <f t="shared" si="50"/>
        <v>24.383561643835616</v>
      </c>
    </row>
    <row r="130" spans="3:28" s="30" customFormat="1" ht="12" x14ac:dyDescent="0.2">
      <c r="C130" s="77" t="str">
        <f>'1. Accomodation'!N125</f>
        <v>709N</v>
      </c>
      <c r="D130" s="77" t="str">
        <f>'1. Accomodation'!P125</f>
        <v>2 Bed</v>
      </c>
      <c r="E130" s="77">
        <f>'1. Accomodation'!O125</f>
        <v>700</v>
      </c>
      <c r="G130" s="341">
        <v>16680</v>
      </c>
      <c r="H130" s="273">
        <f>IFERROR(INDEX('4. Valuation'!$C$10:$I$17,MATCH($D130,'4. Valuation'!$C$10:$C$17,0),MATCH($H$25,'4. Valuation'!$C$10:$I$10,0)),0)</f>
        <v>1166</v>
      </c>
      <c r="I130" s="273">
        <f>IFERROR(INDEX('4. Valuation'!$C$10:$I$17,MATCH($D130,'4. Valuation'!$C$10:$C$17,0),MATCH($I$25,'4. Valuation'!$C$10:$I$10,0)),0)</f>
        <v>21.448728269247237</v>
      </c>
      <c r="J130" s="277"/>
      <c r="K130" s="312">
        <f t="shared" si="43"/>
        <v>13992</v>
      </c>
      <c r="L130" s="312">
        <f t="shared" si="44"/>
        <v>1166</v>
      </c>
      <c r="M130" s="312">
        <f t="shared" si="45"/>
        <v>19.988571428571429</v>
      </c>
      <c r="N130" s="278"/>
      <c r="O130" s="278"/>
      <c r="P130" s="278"/>
      <c r="Q130" s="278"/>
      <c r="R130" s="312">
        <f>IFERROR(INDEX('4. Valuation'!$O$10:$X$17,MATCH($D130,'4. Valuation'!$O$10:$O$17,0),MATCH($R$25,'4. Valuation'!$O$10:$X$10,0)),0)</f>
        <v>0</v>
      </c>
      <c r="S130" s="312">
        <f>IFERROR(INDEX('4. Valuation'!$O$10:$X$17,MATCH($D130,'4. Valuation'!$O$10:$O$17,0),MATCH($S$25,'4. Valuation'!$O$10:$X$10,0)),0)</f>
        <v>0</v>
      </c>
      <c r="T130" s="312">
        <f>IFERROR(INDEX('4. Valuation'!$O$10:$X$17,MATCH($D130,'4. Valuation'!$O$10:$O$17,0),MATCH($T$25,'4. Valuation'!$O$10:$X$10,0)),0)</f>
        <v>0</v>
      </c>
      <c r="U130" s="278"/>
      <c r="V130" s="312">
        <f t="shared" si="46"/>
        <v>0</v>
      </c>
      <c r="W130" s="312">
        <f t="shared" si="47"/>
        <v>0</v>
      </c>
      <c r="X130" s="312">
        <f t="shared" si="48"/>
        <v>0</v>
      </c>
      <c r="Y130" s="278"/>
      <c r="Z130" s="312">
        <f t="shared" si="49"/>
        <v>16560</v>
      </c>
      <c r="AA130" s="312">
        <f>'3. GRI Pricing'!Y121</f>
        <v>1380</v>
      </c>
      <c r="AB130" s="359">
        <f t="shared" si="50"/>
        <v>23.657142857142858</v>
      </c>
    </row>
    <row r="131" spans="3:28" s="30" customFormat="1" ht="12" x14ac:dyDescent="0.2">
      <c r="C131" s="77" t="str">
        <f>'1. Accomodation'!N126</f>
        <v>710N</v>
      </c>
      <c r="D131" s="77" t="str">
        <f>'1. Accomodation'!P126</f>
        <v>2 Bed</v>
      </c>
      <c r="E131" s="77">
        <f>'1. Accomodation'!O126</f>
        <v>689</v>
      </c>
      <c r="G131" s="341">
        <v>15780</v>
      </c>
      <c r="H131" s="273">
        <f>IFERROR(INDEX('4. Valuation'!$C$10:$I$17,MATCH($D131,'4. Valuation'!$C$10:$C$17,0),MATCH($H$25,'4. Valuation'!$C$10:$I$10,0)),0)</f>
        <v>1166</v>
      </c>
      <c r="I131" s="273">
        <f>IFERROR(INDEX('4. Valuation'!$C$10:$I$17,MATCH($D131,'4. Valuation'!$C$10:$C$17,0),MATCH($I$25,'4. Valuation'!$C$10:$I$10,0)),0)</f>
        <v>21.448728269247237</v>
      </c>
      <c r="J131" s="277"/>
      <c r="K131" s="312">
        <f t="shared" si="43"/>
        <v>13992</v>
      </c>
      <c r="L131" s="312">
        <f t="shared" si="44"/>
        <v>1166</v>
      </c>
      <c r="M131" s="312">
        <f t="shared" si="45"/>
        <v>20.307692307692307</v>
      </c>
      <c r="N131" s="278"/>
      <c r="O131" s="278"/>
      <c r="P131" s="278"/>
      <c r="Q131" s="278"/>
      <c r="R131" s="312">
        <f>IFERROR(INDEX('4. Valuation'!$O$10:$X$17,MATCH($D131,'4. Valuation'!$O$10:$O$17,0),MATCH($R$25,'4. Valuation'!$O$10:$X$10,0)),0)</f>
        <v>0</v>
      </c>
      <c r="S131" s="312">
        <f>IFERROR(INDEX('4. Valuation'!$O$10:$X$17,MATCH($D131,'4. Valuation'!$O$10:$O$17,0),MATCH($S$25,'4. Valuation'!$O$10:$X$10,0)),0)</f>
        <v>0</v>
      </c>
      <c r="T131" s="312">
        <f>IFERROR(INDEX('4. Valuation'!$O$10:$X$17,MATCH($D131,'4. Valuation'!$O$10:$O$17,0),MATCH($T$25,'4. Valuation'!$O$10:$X$10,0)),0)</f>
        <v>0</v>
      </c>
      <c r="U131" s="278"/>
      <c r="V131" s="312">
        <f t="shared" si="46"/>
        <v>0</v>
      </c>
      <c r="W131" s="312">
        <f t="shared" si="47"/>
        <v>0</v>
      </c>
      <c r="X131" s="312">
        <f t="shared" si="48"/>
        <v>0</v>
      </c>
      <c r="Y131" s="278"/>
      <c r="Z131" s="312">
        <f t="shared" si="49"/>
        <v>16680</v>
      </c>
      <c r="AA131" s="312">
        <f>'3. GRI Pricing'!Y122</f>
        <v>1390</v>
      </c>
      <c r="AB131" s="359">
        <f t="shared" si="50"/>
        <v>24.208998548621189</v>
      </c>
    </row>
    <row r="132" spans="3:28" s="30" customFormat="1" ht="12" x14ac:dyDescent="0.2">
      <c r="C132" s="77" t="str">
        <f>'1. Accomodation'!N127</f>
        <v>711N</v>
      </c>
      <c r="D132" s="77" t="str">
        <f>'1. Accomodation'!P127</f>
        <v>1 Bed</v>
      </c>
      <c r="E132" s="77">
        <f>'1. Accomodation'!O127</f>
        <v>506</v>
      </c>
      <c r="G132" s="341">
        <v>12420</v>
      </c>
      <c r="H132" s="273">
        <f>IFERROR(INDEX('4. Valuation'!$C$10:$I$17,MATCH($D132,'4. Valuation'!$C$10:$C$17,0),MATCH($H$25,'4. Valuation'!$C$10:$I$10,0)),0)</f>
        <v>867</v>
      </c>
      <c r="I132" s="273">
        <f>IFERROR(INDEX('4. Valuation'!$C$10:$I$17,MATCH($D132,'4. Valuation'!$C$10:$C$17,0),MATCH($I$25,'4. Valuation'!$C$10:$I$10,0)),0)</f>
        <v>20.660726106217222</v>
      </c>
      <c r="J132" s="277"/>
      <c r="K132" s="312">
        <f t="shared" si="43"/>
        <v>10404</v>
      </c>
      <c r="L132" s="312">
        <f t="shared" si="44"/>
        <v>867</v>
      </c>
      <c r="M132" s="312">
        <f t="shared" si="45"/>
        <v>20.561264822134387</v>
      </c>
      <c r="N132" s="278"/>
      <c r="O132" s="278"/>
      <c r="P132" s="278"/>
      <c r="Q132" s="278"/>
      <c r="R132" s="312">
        <f>IFERROR(INDEX('4. Valuation'!$O$10:$X$17,MATCH($D132,'4. Valuation'!$O$10:$O$17,0),MATCH($R$25,'4. Valuation'!$O$10:$X$10,0)),0)</f>
        <v>0</v>
      </c>
      <c r="S132" s="312">
        <f>IFERROR(INDEX('4. Valuation'!$O$10:$X$17,MATCH($D132,'4. Valuation'!$O$10:$O$17,0),MATCH($S$25,'4. Valuation'!$O$10:$X$10,0)),0)</f>
        <v>0</v>
      </c>
      <c r="T132" s="312">
        <f>IFERROR(INDEX('4. Valuation'!$O$10:$X$17,MATCH($D132,'4. Valuation'!$O$10:$O$17,0),MATCH($T$25,'4. Valuation'!$O$10:$X$10,0)),0)</f>
        <v>0</v>
      </c>
      <c r="U132" s="278"/>
      <c r="V132" s="312">
        <f t="shared" si="46"/>
        <v>0</v>
      </c>
      <c r="W132" s="312">
        <f t="shared" si="47"/>
        <v>0</v>
      </c>
      <c r="X132" s="312">
        <f t="shared" si="48"/>
        <v>0</v>
      </c>
      <c r="Y132" s="278"/>
      <c r="Z132" s="312">
        <f t="shared" si="49"/>
        <v>12540</v>
      </c>
      <c r="AA132" s="312">
        <f>'3. GRI Pricing'!Y123</f>
        <v>1045</v>
      </c>
      <c r="AB132" s="359">
        <f t="shared" si="50"/>
        <v>24.782608695652176</v>
      </c>
    </row>
    <row r="133" spans="3:28" s="30" customFormat="1" ht="12" x14ac:dyDescent="0.2">
      <c r="C133" s="77" t="str">
        <f>'1. Accomodation'!N128</f>
        <v>712N</v>
      </c>
      <c r="D133" s="77" t="str">
        <f>'1. Accomodation'!P128</f>
        <v>1 Bed</v>
      </c>
      <c r="E133" s="77">
        <f>'1. Accomodation'!O128</f>
        <v>549</v>
      </c>
      <c r="G133" s="341">
        <v>12300</v>
      </c>
      <c r="H133" s="273">
        <f>IFERROR(INDEX('4. Valuation'!$C$10:$I$17,MATCH($D133,'4. Valuation'!$C$10:$C$17,0),MATCH($H$25,'4. Valuation'!$C$10:$I$10,0)),0)</f>
        <v>867</v>
      </c>
      <c r="I133" s="273">
        <f>IFERROR(INDEX('4. Valuation'!$C$10:$I$17,MATCH($D133,'4. Valuation'!$C$10:$C$17,0),MATCH($I$25,'4. Valuation'!$C$10:$I$10,0)),0)</f>
        <v>20.660726106217222</v>
      </c>
      <c r="J133" s="277"/>
      <c r="K133" s="312">
        <f t="shared" si="43"/>
        <v>10404</v>
      </c>
      <c r="L133" s="312">
        <f t="shared" si="44"/>
        <v>867</v>
      </c>
      <c r="M133" s="312">
        <f t="shared" si="45"/>
        <v>18.950819672131146</v>
      </c>
      <c r="N133" s="278"/>
      <c r="O133" s="278"/>
      <c r="P133" s="278"/>
      <c r="Q133" s="278"/>
      <c r="R133" s="312">
        <f>IFERROR(INDEX('4. Valuation'!$O$10:$X$17,MATCH($D133,'4. Valuation'!$O$10:$O$17,0),MATCH($R$25,'4. Valuation'!$O$10:$X$10,0)),0)</f>
        <v>0</v>
      </c>
      <c r="S133" s="312">
        <f>IFERROR(INDEX('4. Valuation'!$O$10:$X$17,MATCH($D133,'4. Valuation'!$O$10:$O$17,0),MATCH($S$25,'4. Valuation'!$O$10:$X$10,0)),0)</f>
        <v>0</v>
      </c>
      <c r="T133" s="312">
        <f>IFERROR(INDEX('4. Valuation'!$O$10:$X$17,MATCH($D133,'4. Valuation'!$O$10:$O$17,0),MATCH($T$25,'4. Valuation'!$O$10:$X$10,0)),0)</f>
        <v>0</v>
      </c>
      <c r="U133" s="278"/>
      <c r="V133" s="312">
        <f t="shared" si="46"/>
        <v>0</v>
      </c>
      <c r="W133" s="312">
        <f t="shared" si="47"/>
        <v>0</v>
      </c>
      <c r="X133" s="312">
        <f t="shared" si="48"/>
        <v>0</v>
      </c>
      <c r="Y133" s="278"/>
      <c r="Z133" s="312">
        <f t="shared" si="49"/>
        <v>12660</v>
      </c>
      <c r="AA133" s="312">
        <f>'3. GRI Pricing'!Y124</f>
        <v>1055</v>
      </c>
      <c r="AB133" s="359">
        <f t="shared" si="50"/>
        <v>23.060109289617486</v>
      </c>
    </row>
    <row r="134" spans="3:28" s="30" customFormat="1" ht="12" x14ac:dyDescent="0.2">
      <c r="C134" s="77" t="str">
        <f>'1. Accomodation'!N129</f>
        <v>713N</v>
      </c>
      <c r="D134" s="77" t="str">
        <f>'1. Accomodation'!P129</f>
        <v>1 Bed</v>
      </c>
      <c r="E134" s="77">
        <f>'1. Accomodation'!O129</f>
        <v>570</v>
      </c>
      <c r="G134" s="341">
        <v>12180</v>
      </c>
      <c r="H134" s="273">
        <f>IFERROR(INDEX('4. Valuation'!$C$10:$I$17,MATCH($D134,'4. Valuation'!$C$10:$C$17,0),MATCH($H$25,'4. Valuation'!$C$10:$I$10,0)),0)</f>
        <v>867</v>
      </c>
      <c r="I134" s="273">
        <f>IFERROR(INDEX('4. Valuation'!$C$10:$I$17,MATCH($D134,'4. Valuation'!$C$10:$C$17,0),MATCH($I$25,'4. Valuation'!$C$10:$I$10,0)),0)</f>
        <v>20.660726106217222</v>
      </c>
      <c r="J134" s="277"/>
      <c r="K134" s="312">
        <f t="shared" si="43"/>
        <v>10404</v>
      </c>
      <c r="L134" s="312">
        <f t="shared" si="44"/>
        <v>867</v>
      </c>
      <c r="M134" s="312">
        <f t="shared" si="45"/>
        <v>18.252631578947369</v>
      </c>
      <c r="N134" s="278"/>
      <c r="O134" s="278"/>
      <c r="P134" s="278"/>
      <c r="Q134" s="278"/>
      <c r="R134" s="312">
        <f>IFERROR(INDEX('4. Valuation'!$O$10:$X$17,MATCH($D134,'4. Valuation'!$O$10:$O$17,0),MATCH($R$25,'4. Valuation'!$O$10:$X$10,0)),0)</f>
        <v>0</v>
      </c>
      <c r="S134" s="312">
        <f>IFERROR(INDEX('4. Valuation'!$O$10:$X$17,MATCH($D134,'4. Valuation'!$O$10:$O$17,0),MATCH($S$25,'4. Valuation'!$O$10:$X$10,0)),0)</f>
        <v>0</v>
      </c>
      <c r="T134" s="312">
        <f>IFERROR(INDEX('4. Valuation'!$O$10:$X$17,MATCH($D134,'4. Valuation'!$O$10:$O$17,0),MATCH($T$25,'4. Valuation'!$O$10:$X$10,0)),0)</f>
        <v>0</v>
      </c>
      <c r="U134" s="278"/>
      <c r="V134" s="312">
        <f t="shared" si="46"/>
        <v>0</v>
      </c>
      <c r="W134" s="312">
        <f t="shared" si="47"/>
        <v>0</v>
      </c>
      <c r="X134" s="312">
        <f t="shared" si="48"/>
        <v>0</v>
      </c>
      <c r="Y134" s="278"/>
      <c r="Z134" s="312">
        <f t="shared" si="49"/>
        <v>12480</v>
      </c>
      <c r="AA134" s="312">
        <f>'3. GRI Pricing'!Y125</f>
        <v>1040</v>
      </c>
      <c r="AB134" s="359">
        <f t="shared" si="50"/>
        <v>21.894736842105264</v>
      </c>
    </row>
    <row r="135" spans="3:28" s="30" customFormat="1" ht="12" x14ac:dyDescent="0.2">
      <c r="C135" s="77" t="str">
        <f>'1. Accomodation'!N130</f>
        <v>714N</v>
      </c>
      <c r="D135" s="77" t="str">
        <f>'1. Accomodation'!P130</f>
        <v>2 Bed</v>
      </c>
      <c r="E135" s="77">
        <f>'1. Accomodation'!O130</f>
        <v>624</v>
      </c>
      <c r="G135" s="341">
        <v>15660</v>
      </c>
      <c r="H135" s="273">
        <f>IFERROR(INDEX('4. Valuation'!$C$10:$I$17,MATCH($D135,'4. Valuation'!$C$10:$C$17,0),MATCH($H$25,'4. Valuation'!$C$10:$I$10,0)),0)</f>
        <v>1166</v>
      </c>
      <c r="I135" s="273">
        <f>IFERROR(INDEX('4. Valuation'!$C$10:$I$17,MATCH($D135,'4. Valuation'!$C$10:$C$17,0),MATCH($I$25,'4. Valuation'!$C$10:$I$10,0)),0)</f>
        <v>21.448728269247237</v>
      </c>
      <c r="J135" s="277"/>
      <c r="K135" s="312">
        <f t="shared" si="43"/>
        <v>13992</v>
      </c>
      <c r="L135" s="312">
        <f t="shared" si="44"/>
        <v>1166</v>
      </c>
      <c r="M135" s="312">
        <f t="shared" si="45"/>
        <v>22.423076923076923</v>
      </c>
      <c r="N135" s="278"/>
      <c r="O135" s="278"/>
      <c r="P135" s="278"/>
      <c r="Q135" s="278"/>
      <c r="R135" s="312">
        <f>IFERROR(INDEX('4. Valuation'!$O$10:$X$17,MATCH($D135,'4. Valuation'!$O$10:$O$17,0),MATCH($R$25,'4. Valuation'!$O$10:$X$10,0)),0)</f>
        <v>0</v>
      </c>
      <c r="S135" s="312">
        <f>IFERROR(INDEX('4. Valuation'!$O$10:$X$17,MATCH($D135,'4. Valuation'!$O$10:$O$17,0),MATCH($S$25,'4. Valuation'!$O$10:$X$10,0)),0)</f>
        <v>0</v>
      </c>
      <c r="T135" s="312">
        <f>IFERROR(INDEX('4. Valuation'!$O$10:$X$17,MATCH($D135,'4. Valuation'!$O$10:$O$17,0),MATCH($T$25,'4. Valuation'!$O$10:$X$10,0)),0)</f>
        <v>0</v>
      </c>
      <c r="U135" s="278"/>
      <c r="V135" s="312">
        <f t="shared" si="46"/>
        <v>0</v>
      </c>
      <c r="W135" s="312">
        <f t="shared" si="47"/>
        <v>0</v>
      </c>
      <c r="X135" s="312">
        <f t="shared" si="48"/>
        <v>0</v>
      </c>
      <c r="Y135" s="278"/>
      <c r="Z135" s="312">
        <f t="shared" si="49"/>
        <v>15660</v>
      </c>
      <c r="AA135" s="312">
        <f>'3. GRI Pricing'!Y126</f>
        <v>1305</v>
      </c>
      <c r="AB135" s="359">
        <f t="shared" si="50"/>
        <v>25.096153846153847</v>
      </c>
    </row>
    <row r="136" spans="3:28" s="30" customFormat="1" ht="12" x14ac:dyDescent="0.2">
      <c r="C136" s="77" t="str">
        <f>'1. Accomodation'!N131</f>
        <v>715N</v>
      </c>
      <c r="D136" s="77" t="str">
        <f>'1. Accomodation'!P131</f>
        <v>2 Bed</v>
      </c>
      <c r="E136" s="77">
        <f>'1. Accomodation'!O131</f>
        <v>624</v>
      </c>
      <c r="G136" s="341">
        <v>14640</v>
      </c>
      <c r="H136" s="273">
        <f>IFERROR(INDEX('4. Valuation'!$C$10:$I$17,MATCH($D136,'4. Valuation'!$C$10:$C$17,0),MATCH($H$25,'4. Valuation'!$C$10:$I$10,0)),0)</f>
        <v>1166</v>
      </c>
      <c r="I136" s="273">
        <f>IFERROR(INDEX('4. Valuation'!$C$10:$I$17,MATCH($D136,'4. Valuation'!$C$10:$C$17,0),MATCH($I$25,'4. Valuation'!$C$10:$I$10,0)),0)</f>
        <v>21.448728269247237</v>
      </c>
      <c r="J136" s="277"/>
      <c r="K136" s="312">
        <f t="shared" si="43"/>
        <v>13992</v>
      </c>
      <c r="L136" s="312">
        <f t="shared" si="44"/>
        <v>1166</v>
      </c>
      <c r="M136" s="312">
        <f t="shared" si="45"/>
        <v>22.423076923076923</v>
      </c>
      <c r="N136" s="278"/>
      <c r="O136" s="278"/>
      <c r="P136" s="278"/>
      <c r="Q136" s="278"/>
      <c r="R136" s="312">
        <f>IFERROR(INDEX('4. Valuation'!$O$10:$X$17,MATCH($D136,'4. Valuation'!$O$10:$O$17,0),MATCH($R$25,'4. Valuation'!$O$10:$X$10,0)),0)</f>
        <v>0</v>
      </c>
      <c r="S136" s="312">
        <f>IFERROR(INDEX('4. Valuation'!$O$10:$X$17,MATCH($D136,'4. Valuation'!$O$10:$O$17,0),MATCH($S$25,'4. Valuation'!$O$10:$X$10,0)),0)</f>
        <v>0</v>
      </c>
      <c r="T136" s="312">
        <f>IFERROR(INDEX('4. Valuation'!$O$10:$X$17,MATCH($D136,'4. Valuation'!$O$10:$O$17,0),MATCH($T$25,'4. Valuation'!$O$10:$X$10,0)),0)</f>
        <v>0</v>
      </c>
      <c r="U136" s="278"/>
      <c r="V136" s="312">
        <f t="shared" si="46"/>
        <v>0</v>
      </c>
      <c r="W136" s="312">
        <f t="shared" si="47"/>
        <v>0</v>
      </c>
      <c r="X136" s="312">
        <f t="shared" si="48"/>
        <v>0</v>
      </c>
      <c r="Y136" s="278"/>
      <c r="Z136" s="312">
        <f t="shared" si="49"/>
        <v>15660</v>
      </c>
      <c r="AA136" s="312">
        <f>'3. GRI Pricing'!Y127</f>
        <v>1305</v>
      </c>
      <c r="AB136" s="359">
        <f t="shared" si="50"/>
        <v>25.096153846153847</v>
      </c>
    </row>
    <row r="137" spans="3:28" s="30" customFormat="1" ht="12" x14ac:dyDescent="0.2">
      <c r="C137" s="77" t="str">
        <f>'1. Accomodation'!N132</f>
        <v>1S</v>
      </c>
      <c r="D137" s="77" t="str">
        <f>'1. Accomodation'!P132</f>
        <v>2 Bed</v>
      </c>
      <c r="E137" s="77">
        <f>'1. Accomodation'!O132</f>
        <v>757</v>
      </c>
      <c r="G137" s="341">
        <v>15120</v>
      </c>
      <c r="H137" s="273">
        <f>IFERROR(INDEX('4. Valuation'!$C$10:$I$17,MATCH($D137,'4. Valuation'!$C$10:$C$17,0),MATCH($H$25,'4. Valuation'!$C$10:$I$10,0)),0)</f>
        <v>1166</v>
      </c>
      <c r="I137" s="273">
        <f>IFERROR(INDEX('4. Valuation'!$C$10:$I$17,MATCH($D137,'4. Valuation'!$C$10:$C$17,0),MATCH($I$25,'4. Valuation'!$C$10:$I$10,0)),0)</f>
        <v>21.448728269247237</v>
      </c>
      <c r="J137" s="277"/>
      <c r="K137" s="312">
        <f t="shared" si="43"/>
        <v>13992</v>
      </c>
      <c r="L137" s="312">
        <f t="shared" si="44"/>
        <v>1166</v>
      </c>
      <c r="M137" s="312">
        <f t="shared" si="45"/>
        <v>18.483487450462352</v>
      </c>
      <c r="N137" s="278"/>
      <c r="O137" s="278"/>
      <c r="P137" s="278"/>
      <c r="Q137" s="278"/>
      <c r="R137" s="312">
        <f>IFERROR(INDEX('4. Valuation'!$O$10:$X$17,MATCH($D137,'4. Valuation'!$O$10:$O$17,0),MATCH($R$25,'4. Valuation'!$O$10:$X$10,0)),0)</f>
        <v>0</v>
      </c>
      <c r="S137" s="312">
        <f>IFERROR(INDEX('4. Valuation'!$O$10:$X$17,MATCH($D137,'4. Valuation'!$O$10:$O$17,0),MATCH($S$25,'4. Valuation'!$O$10:$X$10,0)),0)</f>
        <v>0</v>
      </c>
      <c r="T137" s="312">
        <f>IFERROR(INDEX('4. Valuation'!$O$10:$X$17,MATCH($D137,'4. Valuation'!$O$10:$O$17,0),MATCH($T$25,'4. Valuation'!$O$10:$X$10,0)),0)</f>
        <v>0</v>
      </c>
      <c r="U137" s="278"/>
      <c r="V137" s="312">
        <f t="shared" si="46"/>
        <v>0</v>
      </c>
      <c r="W137" s="312">
        <f t="shared" si="47"/>
        <v>0</v>
      </c>
      <c r="X137" s="312">
        <f t="shared" si="48"/>
        <v>0</v>
      </c>
      <c r="Y137" s="278"/>
      <c r="Z137" s="312">
        <f t="shared" si="49"/>
        <v>15000</v>
      </c>
      <c r="AA137" s="312">
        <f>'3. GRI Pricing'!Y128</f>
        <v>1250</v>
      </c>
      <c r="AB137" s="359">
        <f t="shared" si="50"/>
        <v>19.815059445178335</v>
      </c>
    </row>
    <row r="138" spans="3:28" s="30" customFormat="1" ht="12" x14ac:dyDescent="0.2">
      <c r="C138" s="77" t="str">
        <f>'1. Accomodation'!N133</f>
        <v>2S</v>
      </c>
      <c r="D138" s="77" t="str">
        <f>'1. Accomodation'!P133</f>
        <v>1 Bed</v>
      </c>
      <c r="E138" s="77">
        <f>'1. Accomodation'!O133</f>
        <v>553</v>
      </c>
      <c r="G138" s="341">
        <v>10500</v>
      </c>
      <c r="H138" s="273">
        <f>IFERROR(INDEX('4. Valuation'!$C$10:$I$17,MATCH($D138,'4. Valuation'!$C$10:$C$17,0),MATCH($H$25,'4. Valuation'!$C$10:$I$10,0)),0)</f>
        <v>867</v>
      </c>
      <c r="I138" s="273">
        <f>IFERROR(INDEX('4. Valuation'!$C$10:$I$17,MATCH($D138,'4. Valuation'!$C$10:$C$17,0),MATCH($I$25,'4. Valuation'!$C$10:$I$10,0)),0)</f>
        <v>20.660726106217222</v>
      </c>
      <c r="J138" s="277"/>
      <c r="K138" s="312">
        <f t="shared" si="43"/>
        <v>10404</v>
      </c>
      <c r="L138" s="312">
        <f t="shared" si="44"/>
        <v>867</v>
      </c>
      <c r="M138" s="312">
        <f t="shared" si="45"/>
        <v>18.813743218806511</v>
      </c>
      <c r="N138" s="278"/>
      <c r="O138" s="278"/>
      <c r="P138" s="278"/>
      <c r="Q138" s="278"/>
      <c r="R138" s="312">
        <f>IFERROR(INDEX('4. Valuation'!$O$10:$X$17,MATCH($D138,'4. Valuation'!$O$10:$O$17,0),MATCH($R$25,'4. Valuation'!$O$10:$X$10,0)),0)</f>
        <v>0</v>
      </c>
      <c r="S138" s="312">
        <f>IFERROR(INDEX('4. Valuation'!$O$10:$X$17,MATCH($D138,'4. Valuation'!$O$10:$O$17,0),MATCH($S$25,'4. Valuation'!$O$10:$X$10,0)),0)</f>
        <v>0</v>
      </c>
      <c r="T138" s="312">
        <f>IFERROR(INDEX('4. Valuation'!$O$10:$X$17,MATCH($D138,'4. Valuation'!$O$10:$O$17,0),MATCH($T$25,'4. Valuation'!$O$10:$X$10,0)),0)</f>
        <v>0</v>
      </c>
      <c r="U138" s="278"/>
      <c r="V138" s="312">
        <f t="shared" si="46"/>
        <v>0</v>
      </c>
      <c r="W138" s="312">
        <f t="shared" si="47"/>
        <v>0</v>
      </c>
      <c r="X138" s="312">
        <f t="shared" si="48"/>
        <v>0</v>
      </c>
      <c r="Y138" s="278"/>
      <c r="Z138" s="312">
        <f t="shared" si="49"/>
        <v>10920</v>
      </c>
      <c r="AA138" s="312">
        <f>'3. GRI Pricing'!Y129</f>
        <v>910</v>
      </c>
      <c r="AB138" s="359">
        <f t="shared" si="50"/>
        <v>19.746835443037973</v>
      </c>
    </row>
    <row r="139" spans="3:28" s="30" customFormat="1" ht="12" x14ac:dyDescent="0.2">
      <c r="C139" s="77" t="str">
        <f>'1. Accomodation'!N134</f>
        <v>3S</v>
      </c>
      <c r="D139" s="77" t="str">
        <f>'1. Accomodation'!P134</f>
        <v>1 Bed</v>
      </c>
      <c r="E139" s="77">
        <f>'1. Accomodation'!O134</f>
        <v>505</v>
      </c>
      <c r="G139" s="341">
        <v>10380</v>
      </c>
      <c r="H139" s="273">
        <f>IFERROR(INDEX('4. Valuation'!$C$10:$I$17,MATCH($D139,'4. Valuation'!$C$10:$C$17,0),MATCH($H$25,'4. Valuation'!$C$10:$I$10,0)),0)</f>
        <v>867</v>
      </c>
      <c r="I139" s="273">
        <f>IFERROR(INDEX('4. Valuation'!$C$10:$I$17,MATCH($D139,'4. Valuation'!$C$10:$C$17,0),MATCH($I$25,'4. Valuation'!$C$10:$I$10,0)),0)</f>
        <v>20.660726106217222</v>
      </c>
      <c r="J139" s="277"/>
      <c r="K139" s="312">
        <f t="shared" si="43"/>
        <v>10404</v>
      </c>
      <c r="L139" s="312">
        <f t="shared" si="44"/>
        <v>867</v>
      </c>
      <c r="M139" s="312">
        <f t="shared" si="45"/>
        <v>20.601980198019803</v>
      </c>
      <c r="N139" s="278"/>
      <c r="O139" s="278"/>
      <c r="P139" s="278"/>
      <c r="Q139" s="278"/>
      <c r="R139" s="312">
        <f>IFERROR(INDEX('4. Valuation'!$O$10:$X$17,MATCH($D139,'4. Valuation'!$O$10:$O$17,0),MATCH($R$25,'4. Valuation'!$O$10:$X$10,0)),0)</f>
        <v>0</v>
      </c>
      <c r="S139" s="312">
        <f>IFERROR(INDEX('4. Valuation'!$O$10:$X$17,MATCH($D139,'4. Valuation'!$O$10:$O$17,0),MATCH($S$25,'4. Valuation'!$O$10:$X$10,0)),0)</f>
        <v>0</v>
      </c>
      <c r="T139" s="312">
        <f>IFERROR(INDEX('4. Valuation'!$O$10:$X$17,MATCH($D139,'4. Valuation'!$O$10:$O$17,0),MATCH($T$25,'4. Valuation'!$O$10:$X$10,0)),0)</f>
        <v>0</v>
      </c>
      <c r="U139" s="278"/>
      <c r="V139" s="312">
        <f t="shared" si="46"/>
        <v>0</v>
      </c>
      <c r="W139" s="312">
        <f t="shared" si="47"/>
        <v>0</v>
      </c>
      <c r="X139" s="312">
        <f t="shared" si="48"/>
        <v>0</v>
      </c>
      <c r="Y139" s="278"/>
      <c r="Z139" s="312">
        <f t="shared" si="49"/>
        <v>10800</v>
      </c>
      <c r="AA139" s="312">
        <f>'3. GRI Pricing'!Y130</f>
        <v>900</v>
      </c>
      <c r="AB139" s="359">
        <f t="shared" si="50"/>
        <v>21.386138613861387</v>
      </c>
    </row>
    <row r="140" spans="3:28" s="30" customFormat="1" ht="12" x14ac:dyDescent="0.2">
      <c r="C140" s="77" t="str">
        <f>'1. Accomodation'!N135</f>
        <v>101S</v>
      </c>
      <c r="D140" s="77" t="str">
        <f>'1. Accomodation'!P135</f>
        <v>2 Bed</v>
      </c>
      <c r="E140" s="77">
        <f>'1. Accomodation'!O135</f>
        <v>624</v>
      </c>
      <c r="G140" s="341">
        <v>14460</v>
      </c>
      <c r="H140" s="273">
        <f>IFERROR(INDEX('4. Valuation'!$C$10:$I$17,MATCH($D140,'4. Valuation'!$C$10:$C$17,0),MATCH($H$25,'4. Valuation'!$C$10:$I$10,0)),0)</f>
        <v>1166</v>
      </c>
      <c r="I140" s="273">
        <f>IFERROR(INDEX('4. Valuation'!$C$10:$I$17,MATCH($D140,'4. Valuation'!$C$10:$C$17,0),MATCH($I$25,'4. Valuation'!$C$10:$I$10,0)),0)</f>
        <v>21.448728269247237</v>
      </c>
      <c r="J140" s="277"/>
      <c r="K140" s="312">
        <f t="shared" si="43"/>
        <v>13992</v>
      </c>
      <c r="L140" s="312">
        <f t="shared" si="44"/>
        <v>1166</v>
      </c>
      <c r="M140" s="312">
        <f t="shared" si="45"/>
        <v>22.423076923076923</v>
      </c>
      <c r="N140" s="278"/>
      <c r="O140" s="278"/>
      <c r="P140" s="278"/>
      <c r="Q140" s="278"/>
      <c r="R140" s="312">
        <f>IFERROR(INDEX('4. Valuation'!$O$10:$X$17,MATCH($D140,'4. Valuation'!$O$10:$O$17,0),MATCH($R$25,'4. Valuation'!$O$10:$X$10,0)),0)</f>
        <v>0</v>
      </c>
      <c r="S140" s="312">
        <f>IFERROR(INDEX('4. Valuation'!$O$10:$X$17,MATCH($D140,'4. Valuation'!$O$10:$O$17,0),MATCH($S$25,'4. Valuation'!$O$10:$X$10,0)),0)</f>
        <v>0</v>
      </c>
      <c r="T140" s="312">
        <f>IFERROR(INDEX('4. Valuation'!$O$10:$X$17,MATCH($D140,'4. Valuation'!$O$10:$O$17,0),MATCH($T$25,'4. Valuation'!$O$10:$X$10,0)),0)</f>
        <v>0</v>
      </c>
      <c r="U140" s="278"/>
      <c r="V140" s="312">
        <f t="shared" si="46"/>
        <v>0</v>
      </c>
      <c r="W140" s="312">
        <f t="shared" si="47"/>
        <v>0</v>
      </c>
      <c r="X140" s="312">
        <f t="shared" si="48"/>
        <v>0</v>
      </c>
      <c r="Y140" s="278"/>
      <c r="Z140" s="312">
        <f t="shared" si="49"/>
        <v>14520</v>
      </c>
      <c r="AA140" s="312">
        <f>'3. GRI Pricing'!Y131</f>
        <v>1210</v>
      </c>
      <c r="AB140" s="359">
        <f t="shared" si="50"/>
        <v>23.26923076923077</v>
      </c>
    </row>
    <row r="141" spans="3:28" s="30" customFormat="1" ht="12" x14ac:dyDescent="0.2">
      <c r="C141" s="77" t="str">
        <f>'1. Accomodation'!N136</f>
        <v>102S</v>
      </c>
      <c r="D141" s="77" t="str">
        <f>'1. Accomodation'!P136</f>
        <v>2 Bed</v>
      </c>
      <c r="E141" s="77">
        <f>'1. Accomodation'!O136</f>
        <v>603</v>
      </c>
      <c r="G141" s="341">
        <v>14520</v>
      </c>
      <c r="H141" s="273">
        <f>IFERROR(INDEX('4. Valuation'!$C$10:$I$17,MATCH($D141,'4. Valuation'!$C$10:$C$17,0),MATCH($H$25,'4. Valuation'!$C$10:$I$10,0)),0)</f>
        <v>1166</v>
      </c>
      <c r="I141" s="273">
        <f>IFERROR(INDEX('4. Valuation'!$C$10:$I$17,MATCH($D141,'4. Valuation'!$C$10:$C$17,0),MATCH($I$25,'4. Valuation'!$C$10:$I$10,0)),0)</f>
        <v>21.448728269247237</v>
      </c>
      <c r="J141" s="277"/>
      <c r="K141" s="312">
        <f t="shared" si="43"/>
        <v>13992</v>
      </c>
      <c r="L141" s="312">
        <f t="shared" si="44"/>
        <v>1166</v>
      </c>
      <c r="M141" s="312">
        <f t="shared" si="45"/>
        <v>23.203980099502488</v>
      </c>
      <c r="N141" s="278"/>
      <c r="O141" s="278"/>
      <c r="P141" s="278"/>
      <c r="Q141" s="278"/>
      <c r="R141" s="312">
        <f>IFERROR(INDEX('4. Valuation'!$O$10:$X$17,MATCH($D141,'4. Valuation'!$O$10:$O$17,0),MATCH($R$25,'4. Valuation'!$O$10:$X$10,0)),0)</f>
        <v>0</v>
      </c>
      <c r="S141" s="312">
        <f>IFERROR(INDEX('4. Valuation'!$O$10:$X$17,MATCH($D141,'4. Valuation'!$O$10:$O$17,0),MATCH($S$25,'4. Valuation'!$O$10:$X$10,0)),0)</f>
        <v>0</v>
      </c>
      <c r="T141" s="312">
        <f>IFERROR(INDEX('4. Valuation'!$O$10:$X$17,MATCH($D141,'4. Valuation'!$O$10:$O$17,0),MATCH($T$25,'4. Valuation'!$O$10:$X$10,0)),0)</f>
        <v>0</v>
      </c>
      <c r="U141" s="278"/>
      <c r="V141" s="312">
        <f t="shared" si="46"/>
        <v>0</v>
      </c>
      <c r="W141" s="312">
        <f t="shared" si="47"/>
        <v>0</v>
      </c>
      <c r="X141" s="312">
        <f t="shared" si="48"/>
        <v>0</v>
      </c>
      <c r="Y141" s="278"/>
      <c r="Z141" s="312">
        <f t="shared" si="49"/>
        <v>14460</v>
      </c>
      <c r="AA141" s="312">
        <f>'3. GRI Pricing'!Y132</f>
        <v>1205</v>
      </c>
      <c r="AB141" s="359">
        <f t="shared" si="50"/>
        <v>23.980099502487562</v>
      </c>
    </row>
    <row r="142" spans="3:28" s="30" customFormat="1" ht="12" x14ac:dyDescent="0.2">
      <c r="C142" s="77" t="str">
        <f>'1. Accomodation'!N137</f>
        <v>103S</v>
      </c>
      <c r="D142" s="77" t="str">
        <f>'1. Accomodation'!P137</f>
        <v>2 Bed</v>
      </c>
      <c r="E142" s="77">
        <f>'1. Accomodation'!O137</f>
        <v>614</v>
      </c>
      <c r="G142" s="341">
        <v>13740</v>
      </c>
      <c r="H142" s="273">
        <f>IFERROR(INDEX('4. Valuation'!$C$10:$I$17,MATCH($D142,'4. Valuation'!$C$10:$C$17,0),MATCH($H$25,'4. Valuation'!$C$10:$I$10,0)),0)</f>
        <v>1166</v>
      </c>
      <c r="I142" s="273">
        <f>IFERROR(INDEX('4. Valuation'!$C$10:$I$17,MATCH($D142,'4. Valuation'!$C$10:$C$17,0),MATCH($I$25,'4. Valuation'!$C$10:$I$10,0)),0)</f>
        <v>21.448728269247237</v>
      </c>
      <c r="J142" s="277"/>
      <c r="K142" s="312">
        <f t="shared" si="43"/>
        <v>13992</v>
      </c>
      <c r="L142" s="312">
        <f t="shared" si="44"/>
        <v>1166</v>
      </c>
      <c r="M142" s="312">
        <f t="shared" si="45"/>
        <v>22.78827361563518</v>
      </c>
      <c r="N142" s="278"/>
      <c r="O142" s="278"/>
      <c r="P142" s="278"/>
      <c r="Q142" s="278"/>
      <c r="R142" s="312">
        <f>IFERROR(INDEX('4. Valuation'!$O$10:$X$17,MATCH($D142,'4. Valuation'!$O$10:$O$17,0),MATCH($R$25,'4. Valuation'!$O$10:$X$10,0)),0)</f>
        <v>0</v>
      </c>
      <c r="S142" s="312">
        <f>IFERROR(INDEX('4. Valuation'!$O$10:$X$17,MATCH($D142,'4. Valuation'!$O$10:$O$17,0),MATCH($S$25,'4. Valuation'!$O$10:$X$10,0)),0)</f>
        <v>0</v>
      </c>
      <c r="T142" s="312">
        <f>IFERROR(INDEX('4. Valuation'!$O$10:$X$17,MATCH($D142,'4. Valuation'!$O$10:$O$17,0),MATCH($T$25,'4. Valuation'!$O$10:$X$10,0)),0)</f>
        <v>0</v>
      </c>
      <c r="U142" s="278"/>
      <c r="V142" s="312">
        <f t="shared" si="46"/>
        <v>0</v>
      </c>
      <c r="W142" s="312">
        <f t="shared" si="47"/>
        <v>0</v>
      </c>
      <c r="X142" s="312">
        <f t="shared" si="48"/>
        <v>0</v>
      </c>
      <c r="Y142" s="278"/>
      <c r="Z142" s="312">
        <f t="shared" si="49"/>
        <v>14460</v>
      </c>
      <c r="AA142" s="312">
        <f>'3. GRI Pricing'!Y133</f>
        <v>1205</v>
      </c>
      <c r="AB142" s="359">
        <f t="shared" si="50"/>
        <v>23.550488599348533</v>
      </c>
    </row>
    <row r="143" spans="3:28" s="30" customFormat="1" ht="12" x14ac:dyDescent="0.2">
      <c r="C143" s="77" t="str">
        <f>'1. Accomodation'!N138</f>
        <v>104S</v>
      </c>
      <c r="D143" s="77" t="str">
        <f>'1. Accomodation'!P138</f>
        <v>3 Bed</v>
      </c>
      <c r="E143" s="77">
        <f>'1. Accomodation'!O138</f>
        <v>829</v>
      </c>
      <c r="G143" s="341">
        <v>18840</v>
      </c>
      <c r="H143" s="273">
        <f>IFERROR(INDEX('4. Valuation'!$C$10:$I$17,MATCH($D143,'4. Valuation'!$C$10:$C$17,0),MATCH($H$25,'4. Valuation'!$C$10:$I$10,0)),0)</f>
        <v>1511</v>
      </c>
      <c r="I143" s="273">
        <f>IFERROR(INDEX('4. Valuation'!$C$10:$I$17,MATCH($D143,'4. Valuation'!$C$10:$C$17,0),MATCH($I$25,'4. Valuation'!$C$10:$I$10,0)),0)</f>
        <v>22.026444890903143</v>
      </c>
      <c r="J143" s="277"/>
      <c r="K143" s="312">
        <f t="shared" si="43"/>
        <v>18132</v>
      </c>
      <c r="L143" s="312">
        <f t="shared" si="44"/>
        <v>1511</v>
      </c>
      <c r="M143" s="312">
        <f t="shared" si="45"/>
        <v>21.872135102533171</v>
      </c>
      <c r="N143" s="278"/>
      <c r="O143" s="278"/>
      <c r="P143" s="278"/>
      <c r="Q143" s="278"/>
      <c r="R143" s="312">
        <f>IFERROR(INDEX('4. Valuation'!$O$10:$X$17,MATCH($D143,'4. Valuation'!$O$10:$O$17,0),MATCH($R$25,'4. Valuation'!$O$10:$X$10,0)),0)</f>
        <v>0</v>
      </c>
      <c r="S143" s="312">
        <f>IFERROR(INDEX('4. Valuation'!$O$10:$X$17,MATCH($D143,'4. Valuation'!$O$10:$O$17,0),MATCH($S$25,'4. Valuation'!$O$10:$X$10,0)),0)</f>
        <v>0</v>
      </c>
      <c r="T143" s="312">
        <f>IFERROR(INDEX('4. Valuation'!$O$10:$X$17,MATCH($D143,'4. Valuation'!$O$10:$O$17,0),MATCH($T$25,'4. Valuation'!$O$10:$X$10,0)),0)</f>
        <v>0</v>
      </c>
      <c r="U143" s="278"/>
      <c r="V143" s="312">
        <f t="shared" si="46"/>
        <v>0</v>
      </c>
      <c r="W143" s="312">
        <f t="shared" si="47"/>
        <v>0</v>
      </c>
      <c r="X143" s="312">
        <f t="shared" si="48"/>
        <v>0</v>
      </c>
      <c r="Y143" s="278"/>
      <c r="Z143" s="312">
        <f t="shared" si="49"/>
        <v>19620</v>
      </c>
      <c r="AA143" s="312">
        <f>'3. GRI Pricing'!Y134</f>
        <v>1635</v>
      </c>
      <c r="AB143" s="359">
        <f t="shared" si="50"/>
        <v>23.667068757539205</v>
      </c>
    </row>
    <row r="144" spans="3:28" s="30" customFormat="1" ht="12" x14ac:dyDescent="0.2">
      <c r="C144" s="77" t="str">
        <f>'1. Accomodation'!N139</f>
        <v>105S</v>
      </c>
      <c r="D144" s="77" t="str">
        <f>'1. Accomodation'!P139</f>
        <v>2 Bed</v>
      </c>
      <c r="E144" s="77">
        <f>'1. Accomodation'!O139</f>
        <v>689</v>
      </c>
      <c r="G144" s="341">
        <v>15600</v>
      </c>
      <c r="H144" s="273">
        <f>IFERROR(INDEX('4. Valuation'!$C$10:$I$17,MATCH($D144,'4. Valuation'!$C$10:$C$17,0),MATCH($H$25,'4. Valuation'!$C$10:$I$10,0)),0)</f>
        <v>1166</v>
      </c>
      <c r="I144" s="273">
        <f>IFERROR(INDEX('4. Valuation'!$C$10:$I$17,MATCH($D144,'4. Valuation'!$C$10:$C$17,0),MATCH($I$25,'4. Valuation'!$C$10:$I$10,0)),0)</f>
        <v>21.448728269247237</v>
      </c>
      <c r="J144" s="277"/>
      <c r="K144" s="312">
        <f t="shared" si="43"/>
        <v>13992</v>
      </c>
      <c r="L144" s="312">
        <f t="shared" si="44"/>
        <v>1166</v>
      </c>
      <c r="M144" s="312">
        <f t="shared" si="45"/>
        <v>20.307692307692307</v>
      </c>
      <c r="N144" s="278"/>
      <c r="O144" s="278"/>
      <c r="P144" s="278"/>
      <c r="Q144" s="278"/>
      <c r="R144" s="312">
        <f>IFERROR(INDEX('4. Valuation'!$O$10:$X$17,MATCH($D144,'4. Valuation'!$O$10:$O$17,0),MATCH($R$25,'4. Valuation'!$O$10:$X$10,0)),0)</f>
        <v>0</v>
      </c>
      <c r="S144" s="312">
        <f>IFERROR(INDEX('4. Valuation'!$O$10:$X$17,MATCH($D144,'4. Valuation'!$O$10:$O$17,0),MATCH($S$25,'4. Valuation'!$O$10:$X$10,0)),0)</f>
        <v>0</v>
      </c>
      <c r="T144" s="312">
        <f>IFERROR(INDEX('4. Valuation'!$O$10:$X$17,MATCH($D144,'4. Valuation'!$O$10:$O$17,0),MATCH($T$25,'4. Valuation'!$O$10:$X$10,0)),0)</f>
        <v>0</v>
      </c>
      <c r="U144" s="278"/>
      <c r="V144" s="312">
        <f t="shared" si="46"/>
        <v>0</v>
      </c>
      <c r="W144" s="312">
        <f t="shared" si="47"/>
        <v>0</v>
      </c>
      <c r="X144" s="312">
        <f t="shared" si="48"/>
        <v>0</v>
      </c>
      <c r="Y144" s="278"/>
      <c r="Z144" s="312">
        <f t="shared" si="49"/>
        <v>15600</v>
      </c>
      <c r="AA144" s="312">
        <f>'3. GRI Pricing'!Y135</f>
        <v>1300</v>
      </c>
      <c r="AB144" s="359">
        <f t="shared" si="50"/>
        <v>22.641509433962263</v>
      </c>
    </row>
    <row r="145" spans="3:28" s="30" customFormat="1" ht="12" x14ac:dyDescent="0.2">
      <c r="C145" s="77" t="str">
        <f>'1. Accomodation'!N140</f>
        <v>106S</v>
      </c>
      <c r="D145" s="77" t="str">
        <f>'1. Accomodation'!P140</f>
        <v>1 Bed</v>
      </c>
      <c r="E145" s="77">
        <f>'1. Accomodation'!O140</f>
        <v>474</v>
      </c>
      <c r="G145" s="341">
        <v>10620</v>
      </c>
      <c r="H145" s="273">
        <f>IFERROR(INDEX('4. Valuation'!$C$10:$I$17,MATCH($D145,'4. Valuation'!$C$10:$C$17,0),MATCH($H$25,'4. Valuation'!$C$10:$I$10,0)),0)</f>
        <v>867</v>
      </c>
      <c r="I145" s="273">
        <f>IFERROR(INDEX('4. Valuation'!$C$10:$I$17,MATCH($D145,'4. Valuation'!$C$10:$C$17,0),MATCH($I$25,'4. Valuation'!$C$10:$I$10,0)),0)</f>
        <v>20.660726106217222</v>
      </c>
      <c r="J145" s="277"/>
      <c r="K145" s="312">
        <f t="shared" si="43"/>
        <v>10404</v>
      </c>
      <c r="L145" s="312">
        <f t="shared" si="44"/>
        <v>867</v>
      </c>
      <c r="M145" s="312">
        <f t="shared" si="45"/>
        <v>21.949367088607595</v>
      </c>
      <c r="N145" s="278"/>
      <c r="O145" s="278"/>
      <c r="P145" s="278"/>
      <c r="Q145" s="278"/>
      <c r="R145" s="312">
        <f>IFERROR(INDEX('4. Valuation'!$O$10:$X$17,MATCH($D145,'4. Valuation'!$O$10:$O$17,0),MATCH($R$25,'4. Valuation'!$O$10:$X$10,0)),0)</f>
        <v>0</v>
      </c>
      <c r="S145" s="312">
        <f>IFERROR(INDEX('4. Valuation'!$O$10:$X$17,MATCH($D145,'4. Valuation'!$O$10:$O$17,0),MATCH($S$25,'4. Valuation'!$O$10:$X$10,0)),0)</f>
        <v>0</v>
      </c>
      <c r="T145" s="312">
        <f>IFERROR(INDEX('4. Valuation'!$O$10:$X$17,MATCH($D145,'4. Valuation'!$O$10:$O$17,0),MATCH($T$25,'4. Valuation'!$O$10:$X$10,0)),0)</f>
        <v>0</v>
      </c>
      <c r="U145" s="278"/>
      <c r="V145" s="312">
        <f t="shared" si="46"/>
        <v>0</v>
      </c>
      <c r="W145" s="312">
        <f t="shared" si="47"/>
        <v>0</v>
      </c>
      <c r="X145" s="312">
        <f t="shared" si="48"/>
        <v>0</v>
      </c>
      <c r="Y145" s="278"/>
      <c r="Z145" s="312">
        <f t="shared" si="49"/>
        <v>11640</v>
      </c>
      <c r="AA145" s="312">
        <f>'3. GRI Pricing'!Y136</f>
        <v>970</v>
      </c>
      <c r="AB145" s="359">
        <f t="shared" si="50"/>
        <v>24.556962025316455</v>
      </c>
    </row>
    <row r="146" spans="3:28" s="30" customFormat="1" ht="12" x14ac:dyDescent="0.2">
      <c r="C146" s="77" t="str">
        <f>'1. Accomodation'!N141</f>
        <v>107S</v>
      </c>
      <c r="D146" s="77" t="str">
        <f>'1. Accomodation'!P141</f>
        <v>2 Bed</v>
      </c>
      <c r="E146" s="77">
        <f>'1. Accomodation'!O141</f>
        <v>624</v>
      </c>
      <c r="G146" s="341">
        <v>14940</v>
      </c>
      <c r="H146" s="273">
        <f>IFERROR(INDEX('4. Valuation'!$C$10:$I$17,MATCH($D146,'4. Valuation'!$C$10:$C$17,0),MATCH($H$25,'4. Valuation'!$C$10:$I$10,0)),0)</f>
        <v>1166</v>
      </c>
      <c r="I146" s="273">
        <f>IFERROR(INDEX('4. Valuation'!$C$10:$I$17,MATCH($D146,'4. Valuation'!$C$10:$C$17,0),MATCH($I$25,'4. Valuation'!$C$10:$I$10,0)),0)</f>
        <v>21.448728269247237</v>
      </c>
      <c r="J146" s="277"/>
      <c r="K146" s="312">
        <f t="shared" si="43"/>
        <v>13992</v>
      </c>
      <c r="L146" s="312">
        <f t="shared" si="44"/>
        <v>1166</v>
      </c>
      <c r="M146" s="312">
        <f t="shared" si="45"/>
        <v>22.423076923076923</v>
      </c>
      <c r="N146" s="278"/>
      <c r="O146" s="278"/>
      <c r="P146" s="278"/>
      <c r="Q146" s="278"/>
      <c r="R146" s="312">
        <f>IFERROR(INDEX('4. Valuation'!$O$10:$X$17,MATCH($D146,'4. Valuation'!$O$10:$O$17,0),MATCH($R$25,'4. Valuation'!$O$10:$X$10,0)),0)</f>
        <v>0</v>
      </c>
      <c r="S146" s="312">
        <f>IFERROR(INDEX('4. Valuation'!$O$10:$X$17,MATCH($D146,'4. Valuation'!$O$10:$O$17,0),MATCH($S$25,'4. Valuation'!$O$10:$X$10,0)),0)</f>
        <v>0</v>
      </c>
      <c r="T146" s="312">
        <f>IFERROR(INDEX('4. Valuation'!$O$10:$X$17,MATCH($D146,'4. Valuation'!$O$10:$O$17,0),MATCH($T$25,'4. Valuation'!$O$10:$X$10,0)),0)</f>
        <v>0</v>
      </c>
      <c r="U146" s="278"/>
      <c r="V146" s="312">
        <f t="shared" si="46"/>
        <v>0</v>
      </c>
      <c r="W146" s="312">
        <f t="shared" si="47"/>
        <v>0</v>
      </c>
      <c r="X146" s="312">
        <f t="shared" si="48"/>
        <v>0</v>
      </c>
      <c r="Y146" s="278"/>
      <c r="Z146" s="312">
        <f t="shared" si="49"/>
        <v>14940</v>
      </c>
      <c r="AA146" s="312">
        <f>'3. GRI Pricing'!Y137</f>
        <v>1245</v>
      </c>
      <c r="AB146" s="359">
        <f t="shared" si="50"/>
        <v>23.942307692307693</v>
      </c>
    </row>
    <row r="147" spans="3:28" s="30" customFormat="1" ht="12" x14ac:dyDescent="0.2">
      <c r="C147" s="77" t="str">
        <f>'1. Accomodation'!N142</f>
        <v>201S</v>
      </c>
      <c r="D147" s="77" t="str">
        <f>'1. Accomodation'!P142</f>
        <v>2 Bed</v>
      </c>
      <c r="E147" s="77">
        <f>'1. Accomodation'!O142</f>
        <v>624</v>
      </c>
      <c r="G147" s="341">
        <v>15120</v>
      </c>
      <c r="H147" s="273">
        <f>IFERROR(INDEX('4. Valuation'!$C$10:$I$17,MATCH($D147,'4. Valuation'!$C$10:$C$17,0),MATCH($H$25,'4. Valuation'!$C$10:$I$10,0)),0)</f>
        <v>1166</v>
      </c>
      <c r="I147" s="273">
        <f>IFERROR(INDEX('4. Valuation'!$C$10:$I$17,MATCH($D147,'4. Valuation'!$C$10:$C$17,0),MATCH($I$25,'4. Valuation'!$C$10:$I$10,0)),0)</f>
        <v>21.448728269247237</v>
      </c>
      <c r="J147" s="277"/>
      <c r="K147" s="312">
        <f t="shared" si="43"/>
        <v>13992</v>
      </c>
      <c r="L147" s="312">
        <f t="shared" si="44"/>
        <v>1166</v>
      </c>
      <c r="M147" s="312">
        <f t="shared" si="45"/>
        <v>22.423076923076923</v>
      </c>
      <c r="N147" s="278"/>
      <c r="O147" s="278"/>
      <c r="P147" s="278"/>
      <c r="Q147" s="278"/>
      <c r="R147" s="312">
        <f>IFERROR(INDEX('4. Valuation'!$O$10:$X$17,MATCH($D147,'4. Valuation'!$O$10:$O$17,0),MATCH($R$25,'4. Valuation'!$O$10:$X$10,0)),0)</f>
        <v>0</v>
      </c>
      <c r="S147" s="312">
        <f>IFERROR(INDEX('4. Valuation'!$O$10:$X$17,MATCH($D147,'4. Valuation'!$O$10:$O$17,0),MATCH($S$25,'4. Valuation'!$O$10:$X$10,0)),0)</f>
        <v>0</v>
      </c>
      <c r="T147" s="312">
        <f>IFERROR(INDEX('4. Valuation'!$O$10:$X$17,MATCH($D147,'4. Valuation'!$O$10:$O$17,0),MATCH($T$25,'4. Valuation'!$O$10:$X$10,0)),0)</f>
        <v>0</v>
      </c>
      <c r="U147" s="278"/>
      <c r="V147" s="312">
        <f t="shared" si="46"/>
        <v>0</v>
      </c>
      <c r="W147" s="312">
        <f t="shared" si="47"/>
        <v>0</v>
      </c>
      <c r="X147" s="312">
        <f t="shared" si="48"/>
        <v>0</v>
      </c>
      <c r="Y147" s="278"/>
      <c r="Z147" s="312">
        <f t="shared" si="49"/>
        <v>15600</v>
      </c>
      <c r="AA147" s="312">
        <f>'3. GRI Pricing'!Y138</f>
        <v>1300</v>
      </c>
      <c r="AB147" s="359">
        <f t="shared" si="50"/>
        <v>25</v>
      </c>
    </row>
    <row r="148" spans="3:28" s="30" customFormat="1" ht="12" x14ac:dyDescent="0.2">
      <c r="C148" s="77" t="str">
        <f>'1. Accomodation'!N143</f>
        <v>202S</v>
      </c>
      <c r="D148" s="77" t="str">
        <f>'1. Accomodation'!P143</f>
        <v>2 Bed</v>
      </c>
      <c r="E148" s="77">
        <f>'1. Accomodation'!O143</f>
        <v>603</v>
      </c>
      <c r="G148" s="341">
        <v>15720</v>
      </c>
      <c r="H148" s="273">
        <f>IFERROR(INDEX('4. Valuation'!$C$10:$I$17,MATCH($D148,'4. Valuation'!$C$10:$C$17,0),MATCH($H$25,'4. Valuation'!$C$10:$I$10,0)),0)</f>
        <v>1166</v>
      </c>
      <c r="I148" s="273">
        <f>IFERROR(INDEX('4. Valuation'!$C$10:$I$17,MATCH($D148,'4. Valuation'!$C$10:$C$17,0),MATCH($I$25,'4. Valuation'!$C$10:$I$10,0)),0)</f>
        <v>21.448728269247237</v>
      </c>
      <c r="J148" s="277"/>
      <c r="K148" s="312">
        <f t="shared" si="43"/>
        <v>13992</v>
      </c>
      <c r="L148" s="312">
        <f t="shared" si="44"/>
        <v>1166</v>
      </c>
      <c r="M148" s="312">
        <f t="shared" si="45"/>
        <v>23.203980099502488</v>
      </c>
      <c r="N148" s="278"/>
      <c r="O148" s="278"/>
      <c r="P148" s="278"/>
      <c r="Q148" s="278"/>
      <c r="R148" s="312">
        <f>IFERROR(INDEX('4. Valuation'!$O$10:$X$17,MATCH($D148,'4. Valuation'!$O$10:$O$17,0),MATCH($R$25,'4. Valuation'!$O$10:$X$10,0)),0)</f>
        <v>0</v>
      </c>
      <c r="S148" s="312">
        <f>IFERROR(INDEX('4. Valuation'!$O$10:$X$17,MATCH($D148,'4. Valuation'!$O$10:$O$17,0),MATCH($S$25,'4. Valuation'!$O$10:$X$10,0)),0)</f>
        <v>0</v>
      </c>
      <c r="T148" s="312">
        <f>IFERROR(INDEX('4. Valuation'!$O$10:$X$17,MATCH($D148,'4. Valuation'!$O$10:$O$17,0),MATCH($T$25,'4. Valuation'!$O$10:$X$10,0)),0)</f>
        <v>0</v>
      </c>
      <c r="U148" s="278"/>
      <c r="V148" s="312">
        <f t="shared" si="46"/>
        <v>0</v>
      </c>
      <c r="W148" s="312">
        <f t="shared" si="47"/>
        <v>0</v>
      </c>
      <c r="X148" s="312">
        <f t="shared" si="48"/>
        <v>0</v>
      </c>
      <c r="Y148" s="278"/>
      <c r="Z148" s="312">
        <f t="shared" si="49"/>
        <v>15540</v>
      </c>
      <c r="AA148" s="312">
        <f>'3. GRI Pricing'!Y139</f>
        <v>1295</v>
      </c>
      <c r="AB148" s="359">
        <f t="shared" si="50"/>
        <v>25.771144278606965</v>
      </c>
    </row>
    <row r="149" spans="3:28" s="30" customFormat="1" ht="12" x14ac:dyDescent="0.2">
      <c r="C149" s="77" t="str">
        <f>'1. Accomodation'!N144</f>
        <v>203S</v>
      </c>
      <c r="D149" s="77" t="str">
        <f>'1. Accomodation'!P144</f>
        <v>2 Bed</v>
      </c>
      <c r="E149" s="77">
        <f>'1. Accomodation'!O144</f>
        <v>614</v>
      </c>
      <c r="G149" s="341">
        <v>14880</v>
      </c>
      <c r="H149" s="273">
        <f>IFERROR(INDEX('4. Valuation'!$C$10:$I$17,MATCH($D149,'4. Valuation'!$C$10:$C$17,0),MATCH($H$25,'4. Valuation'!$C$10:$I$10,0)),0)</f>
        <v>1166</v>
      </c>
      <c r="I149" s="273">
        <f>IFERROR(INDEX('4. Valuation'!$C$10:$I$17,MATCH($D149,'4. Valuation'!$C$10:$C$17,0),MATCH($I$25,'4. Valuation'!$C$10:$I$10,0)),0)</f>
        <v>21.448728269247237</v>
      </c>
      <c r="J149" s="277"/>
      <c r="K149" s="312">
        <f t="shared" si="43"/>
        <v>13992</v>
      </c>
      <c r="L149" s="312">
        <f t="shared" si="44"/>
        <v>1166</v>
      </c>
      <c r="M149" s="312">
        <f t="shared" si="45"/>
        <v>22.78827361563518</v>
      </c>
      <c r="N149" s="278"/>
      <c r="O149" s="278"/>
      <c r="P149" s="278"/>
      <c r="Q149" s="278"/>
      <c r="R149" s="312">
        <f>IFERROR(INDEX('4. Valuation'!$O$10:$X$17,MATCH($D149,'4. Valuation'!$O$10:$O$17,0),MATCH($R$25,'4. Valuation'!$O$10:$X$10,0)),0)</f>
        <v>0</v>
      </c>
      <c r="S149" s="312">
        <f>IFERROR(INDEX('4. Valuation'!$O$10:$X$17,MATCH($D149,'4. Valuation'!$O$10:$O$17,0),MATCH($S$25,'4. Valuation'!$O$10:$X$10,0)),0)</f>
        <v>0</v>
      </c>
      <c r="T149" s="312">
        <f>IFERROR(INDEX('4. Valuation'!$O$10:$X$17,MATCH($D149,'4. Valuation'!$O$10:$O$17,0),MATCH($T$25,'4. Valuation'!$O$10:$X$10,0)),0)</f>
        <v>0</v>
      </c>
      <c r="U149" s="278"/>
      <c r="V149" s="312">
        <f t="shared" si="46"/>
        <v>0</v>
      </c>
      <c r="W149" s="312">
        <f t="shared" si="47"/>
        <v>0</v>
      </c>
      <c r="X149" s="312">
        <f t="shared" si="48"/>
        <v>0</v>
      </c>
      <c r="Y149" s="278"/>
      <c r="Z149" s="312">
        <f t="shared" si="49"/>
        <v>15540</v>
      </c>
      <c r="AA149" s="312">
        <f>'3. GRI Pricing'!Y140</f>
        <v>1295</v>
      </c>
      <c r="AB149" s="359">
        <f t="shared" si="50"/>
        <v>25.309446254071663</v>
      </c>
    </row>
    <row r="150" spans="3:28" s="30" customFormat="1" ht="12" x14ac:dyDescent="0.2">
      <c r="C150" s="77" t="str">
        <f>'1. Accomodation'!N145</f>
        <v>204S</v>
      </c>
      <c r="D150" s="77" t="str">
        <f>'1. Accomodation'!P145</f>
        <v>3 Bed</v>
      </c>
      <c r="E150" s="77">
        <f>'1. Accomodation'!O145</f>
        <v>829</v>
      </c>
      <c r="G150" s="341">
        <v>19440</v>
      </c>
      <c r="H150" s="273">
        <f>IFERROR(INDEX('4. Valuation'!$C$10:$I$17,MATCH($D150,'4. Valuation'!$C$10:$C$17,0),MATCH($H$25,'4. Valuation'!$C$10:$I$10,0)),0)</f>
        <v>1511</v>
      </c>
      <c r="I150" s="273">
        <f>IFERROR(INDEX('4. Valuation'!$C$10:$I$17,MATCH($D150,'4. Valuation'!$C$10:$C$17,0),MATCH($I$25,'4. Valuation'!$C$10:$I$10,0)),0)</f>
        <v>22.026444890903143</v>
      </c>
      <c r="J150" s="277"/>
      <c r="K150" s="312">
        <f t="shared" si="43"/>
        <v>18132</v>
      </c>
      <c r="L150" s="312">
        <f t="shared" si="44"/>
        <v>1511</v>
      </c>
      <c r="M150" s="312">
        <f t="shared" si="45"/>
        <v>21.872135102533171</v>
      </c>
      <c r="N150" s="278"/>
      <c r="O150" s="278"/>
      <c r="P150" s="278"/>
      <c r="Q150" s="278"/>
      <c r="R150" s="312">
        <f>IFERROR(INDEX('4. Valuation'!$O$10:$X$17,MATCH($D150,'4. Valuation'!$O$10:$O$17,0),MATCH($R$25,'4. Valuation'!$O$10:$X$10,0)),0)</f>
        <v>0</v>
      </c>
      <c r="S150" s="312">
        <f>IFERROR(INDEX('4. Valuation'!$O$10:$X$17,MATCH($D150,'4. Valuation'!$O$10:$O$17,0),MATCH($S$25,'4. Valuation'!$O$10:$X$10,0)),0)</f>
        <v>0</v>
      </c>
      <c r="T150" s="312">
        <f>IFERROR(INDEX('4. Valuation'!$O$10:$X$17,MATCH($D150,'4. Valuation'!$O$10:$O$17,0),MATCH($T$25,'4. Valuation'!$O$10:$X$10,0)),0)</f>
        <v>0</v>
      </c>
      <c r="U150" s="278"/>
      <c r="V150" s="312">
        <f t="shared" si="46"/>
        <v>0</v>
      </c>
      <c r="W150" s="312">
        <f t="shared" si="47"/>
        <v>0</v>
      </c>
      <c r="X150" s="312">
        <f t="shared" si="48"/>
        <v>0</v>
      </c>
      <c r="Y150" s="278"/>
      <c r="Z150" s="312">
        <f t="shared" si="49"/>
        <v>20700</v>
      </c>
      <c r="AA150" s="312">
        <f>'3. GRI Pricing'!Y141</f>
        <v>1725</v>
      </c>
      <c r="AB150" s="359">
        <f t="shared" si="50"/>
        <v>24.969843184559711</v>
      </c>
    </row>
    <row r="151" spans="3:28" s="30" customFormat="1" ht="12" x14ac:dyDescent="0.2">
      <c r="C151" s="77" t="str">
        <f>'1. Accomodation'!N146</f>
        <v>205S</v>
      </c>
      <c r="D151" s="77" t="str">
        <f>'1. Accomodation'!P146</f>
        <v>2 Bed</v>
      </c>
      <c r="E151" s="77">
        <f>'1. Accomodation'!O146</f>
        <v>689</v>
      </c>
      <c r="G151" s="341">
        <v>15360</v>
      </c>
      <c r="H151" s="273">
        <f>IFERROR(INDEX('4. Valuation'!$C$10:$I$17,MATCH($D151,'4. Valuation'!$C$10:$C$17,0),MATCH($H$25,'4. Valuation'!$C$10:$I$10,0)),0)</f>
        <v>1166</v>
      </c>
      <c r="I151" s="273">
        <f>IFERROR(INDEX('4. Valuation'!$C$10:$I$17,MATCH($D151,'4. Valuation'!$C$10:$C$17,0),MATCH($I$25,'4. Valuation'!$C$10:$I$10,0)),0)</f>
        <v>21.448728269247237</v>
      </c>
      <c r="J151" s="277"/>
      <c r="K151" s="312">
        <f t="shared" si="43"/>
        <v>13992</v>
      </c>
      <c r="L151" s="312">
        <f t="shared" si="44"/>
        <v>1166</v>
      </c>
      <c r="M151" s="312">
        <f t="shared" si="45"/>
        <v>20.307692307692307</v>
      </c>
      <c r="N151" s="278"/>
      <c r="O151" s="278"/>
      <c r="P151" s="278"/>
      <c r="Q151" s="278"/>
      <c r="R151" s="312">
        <f>IFERROR(INDEX('4. Valuation'!$O$10:$X$17,MATCH($D151,'4. Valuation'!$O$10:$O$17,0),MATCH($R$25,'4. Valuation'!$O$10:$X$10,0)),0)</f>
        <v>0</v>
      </c>
      <c r="S151" s="312">
        <f>IFERROR(INDEX('4. Valuation'!$O$10:$X$17,MATCH($D151,'4. Valuation'!$O$10:$O$17,0),MATCH($S$25,'4. Valuation'!$O$10:$X$10,0)),0)</f>
        <v>0</v>
      </c>
      <c r="T151" s="312">
        <f>IFERROR(INDEX('4. Valuation'!$O$10:$X$17,MATCH($D151,'4. Valuation'!$O$10:$O$17,0),MATCH($T$25,'4. Valuation'!$O$10:$X$10,0)),0)</f>
        <v>0</v>
      </c>
      <c r="U151" s="278"/>
      <c r="V151" s="312">
        <f t="shared" si="46"/>
        <v>0</v>
      </c>
      <c r="W151" s="312">
        <f t="shared" si="47"/>
        <v>0</v>
      </c>
      <c r="X151" s="312">
        <f t="shared" si="48"/>
        <v>0</v>
      </c>
      <c r="Y151" s="278"/>
      <c r="Z151" s="312">
        <f t="shared" si="49"/>
        <v>15720</v>
      </c>
      <c r="AA151" s="312">
        <f>'3. GRI Pricing'!Y142</f>
        <v>1310</v>
      </c>
      <c r="AB151" s="359">
        <f t="shared" si="50"/>
        <v>22.815674891146589</v>
      </c>
    </row>
    <row r="152" spans="3:28" s="30" customFormat="1" ht="12" x14ac:dyDescent="0.2">
      <c r="C152" s="77" t="str">
        <f>'1. Accomodation'!N147</f>
        <v>206S</v>
      </c>
      <c r="D152" s="77" t="str">
        <f>'1. Accomodation'!P147</f>
        <v>1 Bed</v>
      </c>
      <c r="E152" s="77">
        <f>'1. Accomodation'!O147</f>
        <v>474</v>
      </c>
      <c r="G152" s="341">
        <v>10740</v>
      </c>
      <c r="H152" s="273">
        <f>IFERROR(INDEX('4. Valuation'!$C$10:$I$17,MATCH($D152,'4. Valuation'!$C$10:$C$17,0),MATCH($H$25,'4. Valuation'!$C$10:$I$10,0)),0)</f>
        <v>867</v>
      </c>
      <c r="I152" s="273">
        <f>IFERROR(INDEX('4. Valuation'!$C$10:$I$17,MATCH($D152,'4. Valuation'!$C$10:$C$17,0),MATCH($I$25,'4. Valuation'!$C$10:$I$10,0)),0)</f>
        <v>20.660726106217222</v>
      </c>
      <c r="J152" s="277"/>
      <c r="K152" s="312">
        <f t="shared" si="43"/>
        <v>10404</v>
      </c>
      <c r="L152" s="312">
        <f t="shared" si="44"/>
        <v>867</v>
      </c>
      <c r="M152" s="312">
        <f t="shared" si="45"/>
        <v>21.949367088607595</v>
      </c>
      <c r="N152" s="278"/>
      <c r="O152" s="278"/>
      <c r="P152" s="278"/>
      <c r="Q152" s="278"/>
      <c r="R152" s="312">
        <f>IFERROR(INDEX('4. Valuation'!$O$10:$X$17,MATCH($D152,'4. Valuation'!$O$10:$O$17,0),MATCH($R$25,'4. Valuation'!$O$10:$X$10,0)),0)</f>
        <v>0</v>
      </c>
      <c r="S152" s="312">
        <f>IFERROR(INDEX('4. Valuation'!$O$10:$X$17,MATCH($D152,'4. Valuation'!$O$10:$O$17,0),MATCH($S$25,'4. Valuation'!$O$10:$X$10,0)),0)</f>
        <v>0</v>
      </c>
      <c r="T152" s="312">
        <f>IFERROR(INDEX('4. Valuation'!$O$10:$X$17,MATCH($D152,'4. Valuation'!$O$10:$O$17,0),MATCH($T$25,'4. Valuation'!$O$10:$X$10,0)),0)</f>
        <v>0</v>
      </c>
      <c r="U152" s="278"/>
      <c r="V152" s="312">
        <f t="shared" si="46"/>
        <v>0</v>
      </c>
      <c r="W152" s="312">
        <f t="shared" si="47"/>
        <v>0</v>
      </c>
      <c r="X152" s="312">
        <f t="shared" si="48"/>
        <v>0</v>
      </c>
      <c r="Y152" s="278"/>
      <c r="Z152" s="312">
        <f t="shared" si="49"/>
        <v>11760</v>
      </c>
      <c r="AA152" s="312">
        <f>'3. GRI Pricing'!Y143</f>
        <v>980</v>
      </c>
      <c r="AB152" s="359">
        <f t="shared" si="50"/>
        <v>24.810126582278482</v>
      </c>
    </row>
    <row r="153" spans="3:28" s="30" customFormat="1" ht="12" x14ac:dyDescent="0.2">
      <c r="C153" s="77" t="str">
        <f>'1. Accomodation'!N148</f>
        <v>207S</v>
      </c>
      <c r="D153" s="77" t="str">
        <f>'1. Accomodation'!P148</f>
        <v>2 Bed</v>
      </c>
      <c r="E153" s="77">
        <f>'1. Accomodation'!O148</f>
        <v>624</v>
      </c>
      <c r="G153" s="341">
        <v>13920</v>
      </c>
      <c r="H153" s="273">
        <f>IFERROR(INDEX('4. Valuation'!$C$10:$I$17,MATCH($D153,'4. Valuation'!$C$10:$C$17,0),MATCH($H$25,'4. Valuation'!$C$10:$I$10,0)),0)</f>
        <v>1166</v>
      </c>
      <c r="I153" s="273">
        <f>IFERROR(INDEX('4. Valuation'!$C$10:$I$17,MATCH($D153,'4. Valuation'!$C$10:$C$17,0),MATCH($I$25,'4. Valuation'!$C$10:$I$10,0)),0)</f>
        <v>21.448728269247237</v>
      </c>
      <c r="J153" s="277"/>
      <c r="K153" s="312">
        <f t="shared" si="43"/>
        <v>13992</v>
      </c>
      <c r="L153" s="312">
        <f t="shared" si="44"/>
        <v>1166</v>
      </c>
      <c r="M153" s="312">
        <f t="shared" si="45"/>
        <v>22.423076923076923</v>
      </c>
      <c r="N153" s="278"/>
      <c r="O153" s="278"/>
      <c r="P153" s="278"/>
      <c r="Q153" s="278"/>
      <c r="R153" s="312">
        <f>IFERROR(INDEX('4. Valuation'!$O$10:$X$17,MATCH($D153,'4. Valuation'!$O$10:$O$17,0),MATCH($R$25,'4. Valuation'!$O$10:$X$10,0)),0)</f>
        <v>0</v>
      </c>
      <c r="S153" s="312">
        <f>IFERROR(INDEX('4. Valuation'!$O$10:$X$17,MATCH($D153,'4. Valuation'!$O$10:$O$17,0),MATCH($S$25,'4. Valuation'!$O$10:$X$10,0)),0)</f>
        <v>0</v>
      </c>
      <c r="T153" s="312">
        <f>IFERROR(INDEX('4. Valuation'!$O$10:$X$17,MATCH($D153,'4. Valuation'!$O$10:$O$17,0),MATCH($T$25,'4. Valuation'!$O$10:$X$10,0)),0)</f>
        <v>0</v>
      </c>
      <c r="U153" s="278"/>
      <c r="V153" s="312">
        <f t="shared" si="46"/>
        <v>0</v>
      </c>
      <c r="W153" s="312">
        <f t="shared" si="47"/>
        <v>0</v>
      </c>
      <c r="X153" s="312">
        <f t="shared" si="48"/>
        <v>0</v>
      </c>
      <c r="Y153" s="278"/>
      <c r="Z153" s="312">
        <f t="shared" si="49"/>
        <v>15060</v>
      </c>
      <c r="AA153" s="312">
        <f>'3. GRI Pricing'!Y144</f>
        <v>1255</v>
      </c>
      <c r="AB153" s="359">
        <f t="shared" si="50"/>
        <v>24.134615384615383</v>
      </c>
    </row>
    <row r="154" spans="3:28" s="30" customFormat="1" ht="12" x14ac:dyDescent="0.2">
      <c r="C154" s="77" t="str">
        <f>'1. Accomodation'!N149</f>
        <v>301S</v>
      </c>
      <c r="D154" s="77" t="str">
        <f>'1. Accomodation'!P149</f>
        <v>2 Bed</v>
      </c>
      <c r="E154" s="77">
        <f>'1. Accomodation'!O149</f>
        <v>624</v>
      </c>
      <c r="G154" s="341">
        <v>15240</v>
      </c>
      <c r="H154" s="273">
        <f>IFERROR(INDEX('4. Valuation'!$C$10:$I$17,MATCH($D154,'4. Valuation'!$C$10:$C$17,0),MATCH($H$25,'4. Valuation'!$C$10:$I$10,0)),0)</f>
        <v>1166</v>
      </c>
      <c r="I154" s="273">
        <f>IFERROR(INDEX('4. Valuation'!$C$10:$I$17,MATCH($D154,'4. Valuation'!$C$10:$C$17,0),MATCH($I$25,'4. Valuation'!$C$10:$I$10,0)),0)</f>
        <v>21.448728269247237</v>
      </c>
      <c r="J154" s="277"/>
      <c r="K154" s="312">
        <f t="shared" si="43"/>
        <v>13992</v>
      </c>
      <c r="L154" s="312">
        <f t="shared" si="44"/>
        <v>1166</v>
      </c>
      <c r="M154" s="312">
        <f t="shared" si="45"/>
        <v>22.423076923076923</v>
      </c>
      <c r="N154" s="278"/>
      <c r="O154" s="278"/>
      <c r="P154" s="278"/>
      <c r="Q154" s="278"/>
      <c r="R154" s="312">
        <f>IFERROR(INDEX('4. Valuation'!$O$10:$X$17,MATCH($D154,'4. Valuation'!$O$10:$O$17,0),MATCH($R$25,'4. Valuation'!$O$10:$X$10,0)),0)</f>
        <v>0</v>
      </c>
      <c r="S154" s="312">
        <f>IFERROR(INDEX('4. Valuation'!$O$10:$X$17,MATCH($D154,'4. Valuation'!$O$10:$O$17,0),MATCH($S$25,'4. Valuation'!$O$10:$X$10,0)),0)</f>
        <v>0</v>
      </c>
      <c r="T154" s="312">
        <f>IFERROR(INDEX('4. Valuation'!$O$10:$X$17,MATCH($D154,'4. Valuation'!$O$10:$O$17,0),MATCH($T$25,'4. Valuation'!$O$10:$X$10,0)),0)</f>
        <v>0</v>
      </c>
      <c r="U154" s="278"/>
      <c r="V154" s="312">
        <f t="shared" si="46"/>
        <v>0</v>
      </c>
      <c r="W154" s="312">
        <f t="shared" si="47"/>
        <v>0</v>
      </c>
      <c r="X154" s="312">
        <f t="shared" si="48"/>
        <v>0</v>
      </c>
      <c r="Y154" s="278"/>
      <c r="Z154" s="312">
        <f t="shared" si="49"/>
        <v>15720</v>
      </c>
      <c r="AA154" s="312">
        <f>'3. GRI Pricing'!Y145</f>
        <v>1310</v>
      </c>
      <c r="AB154" s="359">
        <f t="shared" si="50"/>
        <v>25.192307692307693</v>
      </c>
    </row>
    <row r="155" spans="3:28" s="30" customFormat="1" ht="12" x14ac:dyDescent="0.2">
      <c r="C155" s="77" t="str">
        <f>'1. Accomodation'!N150</f>
        <v>302S</v>
      </c>
      <c r="D155" s="77" t="str">
        <f>'1. Accomodation'!P150</f>
        <v>2 Bed</v>
      </c>
      <c r="E155" s="77">
        <f>'1. Accomodation'!O150</f>
        <v>603</v>
      </c>
      <c r="G155" s="341">
        <v>14640</v>
      </c>
      <c r="H155" s="273">
        <f>IFERROR(INDEX('4. Valuation'!$C$10:$I$17,MATCH($D155,'4. Valuation'!$C$10:$C$17,0),MATCH($H$25,'4. Valuation'!$C$10:$I$10,0)),0)</f>
        <v>1166</v>
      </c>
      <c r="I155" s="273">
        <f>IFERROR(INDEX('4. Valuation'!$C$10:$I$17,MATCH($D155,'4. Valuation'!$C$10:$C$17,0),MATCH($I$25,'4. Valuation'!$C$10:$I$10,0)),0)</f>
        <v>21.448728269247237</v>
      </c>
      <c r="J155" s="277"/>
      <c r="K155" s="312">
        <f t="shared" ref="K155:K218" si="51">L155*12</f>
        <v>13992</v>
      </c>
      <c r="L155" s="312">
        <f t="shared" ref="L155:L218" si="52">H155*(1+$M$24)^((L$24-K$24)/365)</f>
        <v>1166</v>
      </c>
      <c r="M155" s="312">
        <f t="shared" ref="M155:M218" si="53">IFERROR(K155/E155,0)</f>
        <v>23.203980099502488</v>
      </c>
      <c r="N155" s="278"/>
      <c r="O155" s="278"/>
      <c r="P155" s="278"/>
      <c r="Q155" s="278"/>
      <c r="R155" s="312">
        <f>IFERROR(INDEX('4. Valuation'!$O$10:$X$17,MATCH($D155,'4. Valuation'!$O$10:$O$17,0),MATCH($R$25,'4. Valuation'!$O$10:$X$10,0)),0)</f>
        <v>0</v>
      </c>
      <c r="S155" s="312">
        <f>IFERROR(INDEX('4. Valuation'!$O$10:$X$17,MATCH($D155,'4. Valuation'!$O$10:$O$17,0),MATCH($S$25,'4. Valuation'!$O$10:$X$10,0)),0)</f>
        <v>0</v>
      </c>
      <c r="T155" s="312">
        <f>IFERROR(INDEX('4. Valuation'!$O$10:$X$17,MATCH($D155,'4. Valuation'!$O$10:$O$17,0),MATCH($T$25,'4. Valuation'!$O$10:$X$10,0)),0)</f>
        <v>0</v>
      </c>
      <c r="U155" s="278"/>
      <c r="V155" s="312">
        <f t="shared" ref="V155:V218" si="54">W155*12</f>
        <v>0</v>
      </c>
      <c r="W155" s="312">
        <f t="shared" ref="W155:W218" si="55">S155*(1+$M$24)^((W$24-V$24)/365)</f>
        <v>0</v>
      </c>
      <c r="X155" s="312">
        <f t="shared" ref="X155:X218" si="56">IFERROR(V155/E155,0)</f>
        <v>0</v>
      </c>
      <c r="Y155" s="278"/>
      <c r="Z155" s="312">
        <f t="shared" ref="Z155:Z218" si="57">AA155*12</f>
        <v>15660</v>
      </c>
      <c r="AA155" s="312">
        <f>'3. GRI Pricing'!Y146</f>
        <v>1305</v>
      </c>
      <c r="AB155" s="359">
        <f t="shared" ref="AB155:AB218" si="58">IFERROR(Z155/E155,0)</f>
        <v>25.970149253731343</v>
      </c>
    </row>
    <row r="156" spans="3:28" s="30" customFormat="1" ht="12" x14ac:dyDescent="0.2">
      <c r="C156" s="77" t="str">
        <f>'1. Accomodation'!N151</f>
        <v>303S</v>
      </c>
      <c r="D156" s="77" t="str">
        <f>'1. Accomodation'!P151</f>
        <v>2 Bed</v>
      </c>
      <c r="E156" s="77">
        <f>'1. Accomodation'!O151</f>
        <v>614</v>
      </c>
      <c r="G156" s="341">
        <v>14580</v>
      </c>
      <c r="H156" s="273">
        <f>IFERROR(INDEX('4. Valuation'!$C$10:$I$17,MATCH($D156,'4. Valuation'!$C$10:$C$17,0),MATCH($H$25,'4. Valuation'!$C$10:$I$10,0)),0)</f>
        <v>1166</v>
      </c>
      <c r="I156" s="273">
        <f>IFERROR(INDEX('4. Valuation'!$C$10:$I$17,MATCH($D156,'4. Valuation'!$C$10:$C$17,0),MATCH($I$25,'4. Valuation'!$C$10:$I$10,0)),0)</f>
        <v>21.448728269247237</v>
      </c>
      <c r="J156" s="277"/>
      <c r="K156" s="312">
        <f t="shared" si="51"/>
        <v>13992</v>
      </c>
      <c r="L156" s="312">
        <f t="shared" si="52"/>
        <v>1166</v>
      </c>
      <c r="M156" s="312">
        <f t="shared" si="53"/>
        <v>22.78827361563518</v>
      </c>
      <c r="N156" s="278"/>
      <c r="O156" s="278"/>
      <c r="P156" s="278"/>
      <c r="Q156" s="278"/>
      <c r="R156" s="312">
        <f>IFERROR(INDEX('4. Valuation'!$O$10:$X$17,MATCH($D156,'4. Valuation'!$O$10:$O$17,0),MATCH($R$25,'4. Valuation'!$O$10:$X$10,0)),0)</f>
        <v>0</v>
      </c>
      <c r="S156" s="312">
        <f>IFERROR(INDEX('4. Valuation'!$O$10:$X$17,MATCH($D156,'4. Valuation'!$O$10:$O$17,0),MATCH($S$25,'4. Valuation'!$O$10:$X$10,0)),0)</f>
        <v>0</v>
      </c>
      <c r="T156" s="312">
        <f>IFERROR(INDEX('4. Valuation'!$O$10:$X$17,MATCH($D156,'4. Valuation'!$O$10:$O$17,0),MATCH($T$25,'4. Valuation'!$O$10:$X$10,0)),0)</f>
        <v>0</v>
      </c>
      <c r="U156" s="278"/>
      <c r="V156" s="312">
        <f t="shared" si="54"/>
        <v>0</v>
      </c>
      <c r="W156" s="312">
        <f t="shared" si="55"/>
        <v>0</v>
      </c>
      <c r="X156" s="312">
        <f t="shared" si="56"/>
        <v>0</v>
      </c>
      <c r="Y156" s="278"/>
      <c r="Z156" s="312">
        <f t="shared" si="57"/>
        <v>15660</v>
      </c>
      <c r="AA156" s="312">
        <f>'3. GRI Pricing'!Y147</f>
        <v>1305</v>
      </c>
      <c r="AB156" s="359">
        <f t="shared" si="58"/>
        <v>25.504885993485342</v>
      </c>
    </row>
    <row r="157" spans="3:28" s="30" customFormat="1" ht="12" x14ac:dyDescent="0.2">
      <c r="C157" s="77" t="str">
        <f>'1. Accomodation'!N152</f>
        <v>304S</v>
      </c>
      <c r="D157" s="77" t="str">
        <f>'1. Accomodation'!P152</f>
        <v>3 Bed</v>
      </c>
      <c r="E157" s="77">
        <f>'1. Accomodation'!O152</f>
        <v>829</v>
      </c>
      <c r="G157" s="341">
        <v>19440</v>
      </c>
      <c r="H157" s="273">
        <f>IFERROR(INDEX('4. Valuation'!$C$10:$I$17,MATCH($D157,'4. Valuation'!$C$10:$C$17,0),MATCH($H$25,'4. Valuation'!$C$10:$I$10,0)),0)</f>
        <v>1511</v>
      </c>
      <c r="I157" s="273">
        <f>IFERROR(INDEX('4. Valuation'!$C$10:$I$17,MATCH($D157,'4. Valuation'!$C$10:$C$17,0),MATCH($I$25,'4. Valuation'!$C$10:$I$10,0)),0)</f>
        <v>22.026444890903143</v>
      </c>
      <c r="J157" s="277"/>
      <c r="K157" s="312">
        <f t="shared" si="51"/>
        <v>18132</v>
      </c>
      <c r="L157" s="312">
        <f t="shared" si="52"/>
        <v>1511</v>
      </c>
      <c r="M157" s="312">
        <f t="shared" si="53"/>
        <v>21.872135102533171</v>
      </c>
      <c r="N157" s="278"/>
      <c r="O157" s="278"/>
      <c r="P157" s="278"/>
      <c r="Q157" s="278"/>
      <c r="R157" s="312">
        <f>IFERROR(INDEX('4. Valuation'!$O$10:$X$17,MATCH($D157,'4. Valuation'!$O$10:$O$17,0),MATCH($R$25,'4. Valuation'!$O$10:$X$10,0)),0)</f>
        <v>0</v>
      </c>
      <c r="S157" s="312">
        <f>IFERROR(INDEX('4. Valuation'!$O$10:$X$17,MATCH($D157,'4. Valuation'!$O$10:$O$17,0),MATCH($S$25,'4. Valuation'!$O$10:$X$10,0)),0)</f>
        <v>0</v>
      </c>
      <c r="T157" s="312">
        <f>IFERROR(INDEX('4. Valuation'!$O$10:$X$17,MATCH($D157,'4. Valuation'!$O$10:$O$17,0),MATCH($T$25,'4. Valuation'!$O$10:$X$10,0)),0)</f>
        <v>0</v>
      </c>
      <c r="U157" s="278"/>
      <c r="V157" s="312">
        <f t="shared" si="54"/>
        <v>0</v>
      </c>
      <c r="W157" s="312">
        <f t="shared" si="55"/>
        <v>0</v>
      </c>
      <c r="X157" s="312">
        <f t="shared" si="56"/>
        <v>0</v>
      </c>
      <c r="Y157" s="278"/>
      <c r="Z157" s="312">
        <f t="shared" si="57"/>
        <v>20820</v>
      </c>
      <c r="AA157" s="312">
        <f>'3. GRI Pricing'!Y148</f>
        <v>1735</v>
      </c>
      <c r="AB157" s="359">
        <f t="shared" si="58"/>
        <v>25.114595898673102</v>
      </c>
    </row>
    <row r="158" spans="3:28" s="30" customFormat="1" ht="12" x14ac:dyDescent="0.2">
      <c r="C158" s="77" t="str">
        <f>'1. Accomodation'!N153</f>
        <v>305S</v>
      </c>
      <c r="D158" s="77" t="str">
        <f>'1. Accomodation'!P153</f>
        <v>2 Bed</v>
      </c>
      <c r="E158" s="77">
        <f>'1. Accomodation'!O153</f>
        <v>689</v>
      </c>
      <c r="G158" s="341">
        <v>15780</v>
      </c>
      <c r="H158" s="273">
        <f>IFERROR(INDEX('4. Valuation'!$C$10:$I$17,MATCH($D158,'4. Valuation'!$C$10:$C$17,0),MATCH($H$25,'4. Valuation'!$C$10:$I$10,0)),0)</f>
        <v>1166</v>
      </c>
      <c r="I158" s="273">
        <f>IFERROR(INDEX('4. Valuation'!$C$10:$I$17,MATCH($D158,'4. Valuation'!$C$10:$C$17,0),MATCH($I$25,'4. Valuation'!$C$10:$I$10,0)),0)</f>
        <v>21.448728269247237</v>
      </c>
      <c r="J158" s="277"/>
      <c r="K158" s="312">
        <f t="shared" si="51"/>
        <v>13992</v>
      </c>
      <c r="L158" s="312">
        <f t="shared" si="52"/>
        <v>1166</v>
      </c>
      <c r="M158" s="312">
        <f t="shared" si="53"/>
        <v>20.307692307692307</v>
      </c>
      <c r="N158" s="278"/>
      <c r="O158" s="278"/>
      <c r="P158" s="278"/>
      <c r="Q158" s="278"/>
      <c r="R158" s="312">
        <f>IFERROR(INDEX('4. Valuation'!$O$10:$X$17,MATCH($D158,'4. Valuation'!$O$10:$O$17,0),MATCH($R$25,'4. Valuation'!$O$10:$X$10,0)),0)</f>
        <v>0</v>
      </c>
      <c r="S158" s="312">
        <f>IFERROR(INDEX('4. Valuation'!$O$10:$X$17,MATCH($D158,'4. Valuation'!$O$10:$O$17,0),MATCH($S$25,'4. Valuation'!$O$10:$X$10,0)),0)</f>
        <v>0</v>
      </c>
      <c r="T158" s="312">
        <f>IFERROR(INDEX('4. Valuation'!$O$10:$X$17,MATCH($D158,'4. Valuation'!$O$10:$O$17,0),MATCH($T$25,'4. Valuation'!$O$10:$X$10,0)),0)</f>
        <v>0</v>
      </c>
      <c r="U158" s="278"/>
      <c r="V158" s="312">
        <f t="shared" si="54"/>
        <v>0</v>
      </c>
      <c r="W158" s="312">
        <f t="shared" si="55"/>
        <v>0</v>
      </c>
      <c r="X158" s="312">
        <f t="shared" si="56"/>
        <v>0</v>
      </c>
      <c r="Y158" s="278"/>
      <c r="Z158" s="312">
        <f t="shared" si="57"/>
        <v>15840</v>
      </c>
      <c r="AA158" s="312">
        <f>'3. GRI Pricing'!Y149</f>
        <v>1320</v>
      </c>
      <c r="AB158" s="359">
        <f t="shared" si="58"/>
        <v>22.989840348330915</v>
      </c>
    </row>
    <row r="159" spans="3:28" s="30" customFormat="1" ht="12" x14ac:dyDescent="0.2">
      <c r="C159" s="77" t="str">
        <f>'1. Accomodation'!N154</f>
        <v>306S</v>
      </c>
      <c r="D159" s="77" t="str">
        <f>'1. Accomodation'!P154</f>
        <v>1 Bed</v>
      </c>
      <c r="E159" s="77">
        <f>'1. Accomodation'!O154</f>
        <v>474</v>
      </c>
      <c r="G159" s="341">
        <v>11400</v>
      </c>
      <c r="H159" s="273">
        <f>IFERROR(INDEX('4. Valuation'!$C$10:$I$17,MATCH($D159,'4. Valuation'!$C$10:$C$17,0),MATCH($H$25,'4. Valuation'!$C$10:$I$10,0)),0)</f>
        <v>867</v>
      </c>
      <c r="I159" s="273">
        <f>IFERROR(INDEX('4. Valuation'!$C$10:$I$17,MATCH($D159,'4. Valuation'!$C$10:$C$17,0),MATCH($I$25,'4. Valuation'!$C$10:$I$10,0)),0)</f>
        <v>20.660726106217222</v>
      </c>
      <c r="J159" s="277"/>
      <c r="K159" s="312">
        <f t="shared" si="51"/>
        <v>10404</v>
      </c>
      <c r="L159" s="312">
        <f t="shared" si="52"/>
        <v>867</v>
      </c>
      <c r="M159" s="312">
        <f t="shared" si="53"/>
        <v>21.949367088607595</v>
      </c>
      <c r="N159" s="278"/>
      <c r="O159" s="278"/>
      <c r="P159" s="278"/>
      <c r="Q159" s="278"/>
      <c r="R159" s="312">
        <f>IFERROR(INDEX('4. Valuation'!$O$10:$X$17,MATCH($D159,'4. Valuation'!$O$10:$O$17,0),MATCH($R$25,'4. Valuation'!$O$10:$X$10,0)),0)</f>
        <v>0</v>
      </c>
      <c r="S159" s="312">
        <f>IFERROR(INDEX('4. Valuation'!$O$10:$X$17,MATCH($D159,'4. Valuation'!$O$10:$O$17,0),MATCH($S$25,'4. Valuation'!$O$10:$X$10,0)),0)</f>
        <v>0</v>
      </c>
      <c r="T159" s="312">
        <f>IFERROR(INDEX('4. Valuation'!$O$10:$X$17,MATCH($D159,'4. Valuation'!$O$10:$O$17,0),MATCH($T$25,'4. Valuation'!$O$10:$X$10,0)),0)</f>
        <v>0</v>
      </c>
      <c r="U159" s="278"/>
      <c r="V159" s="312">
        <f t="shared" si="54"/>
        <v>0</v>
      </c>
      <c r="W159" s="312">
        <f t="shared" si="55"/>
        <v>0</v>
      </c>
      <c r="X159" s="312">
        <f t="shared" si="56"/>
        <v>0</v>
      </c>
      <c r="Y159" s="278"/>
      <c r="Z159" s="312">
        <f t="shared" si="57"/>
        <v>11880</v>
      </c>
      <c r="AA159" s="312">
        <f>'3. GRI Pricing'!Y150</f>
        <v>990</v>
      </c>
      <c r="AB159" s="359">
        <f t="shared" si="58"/>
        <v>25.063291139240505</v>
      </c>
    </row>
    <row r="160" spans="3:28" s="30" customFormat="1" ht="12" x14ac:dyDescent="0.2">
      <c r="C160" s="77" t="str">
        <f>'1. Accomodation'!N155</f>
        <v>307S</v>
      </c>
      <c r="D160" s="77" t="str">
        <f>'1. Accomodation'!P155</f>
        <v>2 Bed</v>
      </c>
      <c r="E160" s="77">
        <f>'1. Accomodation'!O155</f>
        <v>624</v>
      </c>
      <c r="G160" s="341">
        <v>14160</v>
      </c>
      <c r="H160" s="273">
        <f>IFERROR(INDEX('4. Valuation'!$C$10:$I$17,MATCH($D160,'4. Valuation'!$C$10:$C$17,0),MATCH($H$25,'4. Valuation'!$C$10:$I$10,0)),0)</f>
        <v>1166</v>
      </c>
      <c r="I160" s="273">
        <f>IFERROR(INDEX('4. Valuation'!$C$10:$I$17,MATCH($D160,'4. Valuation'!$C$10:$C$17,0),MATCH($I$25,'4. Valuation'!$C$10:$I$10,0)),0)</f>
        <v>21.448728269247237</v>
      </c>
      <c r="J160" s="277"/>
      <c r="K160" s="312">
        <f t="shared" si="51"/>
        <v>13992</v>
      </c>
      <c r="L160" s="312">
        <f t="shared" si="52"/>
        <v>1166</v>
      </c>
      <c r="M160" s="312">
        <f t="shared" si="53"/>
        <v>22.423076923076923</v>
      </c>
      <c r="N160" s="278"/>
      <c r="O160" s="278"/>
      <c r="P160" s="278"/>
      <c r="Q160" s="278"/>
      <c r="R160" s="312">
        <f>IFERROR(INDEX('4. Valuation'!$O$10:$X$17,MATCH($D160,'4. Valuation'!$O$10:$O$17,0),MATCH($R$25,'4. Valuation'!$O$10:$X$10,0)),0)</f>
        <v>0</v>
      </c>
      <c r="S160" s="312">
        <f>IFERROR(INDEX('4. Valuation'!$O$10:$X$17,MATCH($D160,'4. Valuation'!$O$10:$O$17,0),MATCH($S$25,'4. Valuation'!$O$10:$X$10,0)),0)</f>
        <v>0</v>
      </c>
      <c r="T160" s="312">
        <f>IFERROR(INDEX('4. Valuation'!$O$10:$X$17,MATCH($D160,'4. Valuation'!$O$10:$O$17,0),MATCH($T$25,'4. Valuation'!$O$10:$X$10,0)),0)</f>
        <v>0</v>
      </c>
      <c r="U160" s="278"/>
      <c r="V160" s="312">
        <f t="shared" si="54"/>
        <v>0</v>
      </c>
      <c r="W160" s="312">
        <f t="shared" si="55"/>
        <v>0</v>
      </c>
      <c r="X160" s="312">
        <f t="shared" si="56"/>
        <v>0</v>
      </c>
      <c r="Y160" s="278"/>
      <c r="Z160" s="312">
        <f t="shared" si="57"/>
        <v>15180</v>
      </c>
      <c r="AA160" s="312">
        <f>'3. GRI Pricing'!Y151</f>
        <v>1265</v>
      </c>
      <c r="AB160" s="359">
        <f t="shared" si="58"/>
        <v>24.326923076923077</v>
      </c>
    </row>
    <row r="161" spans="3:28" s="30" customFormat="1" ht="12" x14ac:dyDescent="0.2">
      <c r="C161" s="77" t="str">
        <f>'1. Accomodation'!N156</f>
        <v>401S</v>
      </c>
      <c r="D161" s="77" t="str">
        <f>'1. Accomodation'!P156</f>
        <v>2 Bed</v>
      </c>
      <c r="E161" s="77">
        <f>'1. Accomodation'!O156</f>
        <v>624</v>
      </c>
      <c r="G161" s="341">
        <v>15300</v>
      </c>
      <c r="H161" s="273">
        <f>IFERROR(INDEX('4. Valuation'!$C$10:$I$17,MATCH($D161,'4. Valuation'!$C$10:$C$17,0),MATCH($H$25,'4. Valuation'!$C$10:$I$10,0)),0)</f>
        <v>1166</v>
      </c>
      <c r="I161" s="273">
        <f>IFERROR(INDEX('4. Valuation'!$C$10:$I$17,MATCH($D161,'4. Valuation'!$C$10:$C$17,0),MATCH($I$25,'4. Valuation'!$C$10:$I$10,0)),0)</f>
        <v>21.448728269247237</v>
      </c>
      <c r="J161" s="277"/>
      <c r="K161" s="312">
        <f t="shared" si="51"/>
        <v>13992</v>
      </c>
      <c r="L161" s="312">
        <f t="shared" si="52"/>
        <v>1166</v>
      </c>
      <c r="M161" s="312">
        <f t="shared" si="53"/>
        <v>22.423076923076923</v>
      </c>
      <c r="N161" s="278"/>
      <c r="O161" s="278"/>
      <c r="P161" s="278"/>
      <c r="Q161" s="278"/>
      <c r="R161" s="312">
        <f>IFERROR(INDEX('4. Valuation'!$O$10:$X$17,MATCH($D161,'4. Valuation'!$O$10:$O$17,0),MATCH($R$25,'4. Valuation'!$O$10:$X$10,0)),0)</f>
        <v>0</v>
      </c>
      <c r="S161" s="312">
        <f>IFERROR(INDEX('4. Valuation'!$O$10:$X$17,MATCH($D161,'4. Valuation'!$O$10:$O$17,0),MATCH($S$25,'4. Valuation'!$O$10:$X$10,0)),0)</f>
        <v>0</v>
      </c>
      <c r="T161" s="312">
        <f>IFERROR(INDEX('4. Valuation'!$O$10:$X$17,MATCH($D161,'4. Valuation'!$O$10:$O$17,0),MATCH($T$25,'4. Valuation'!$O$10:$X$10,0)),0)</f>
        <v>0</v>
      </c>
      <c r="U161" s="278"/>
      <c r="V161" s="312">
        <f t="shared" si="54"/>
        <v>0</v>
      </c>
      <c r="W161" s="312">
        <f t="shared" si="55"/>
        <v>0</v>
      </c>
      <c r="X161" s="312">
        <f t="shared" si="56"/>
        <v>0</v>
      </c>
      <c r="Y161" s="278"/>
      <c r="Z161" s="312">
        <f t="shared" si="57"/>
        <v>16320</v>
      </c>
      <c r="AA161" s="312">
        <f>'3. GRI Pricing'!Y152</f>
        <v>1360</v>
      </c>
      <c r="AB161" s="359">
        <f t="shared" si="58"/>
        <v>26.153846153846153</v>
      </c>
    </row>
    <row r="162" spans="3:28" s="30" customFormat="1" ht="12" x14ac:dyDescent="0.2">
      <c r="C162" s="77" t="str">
        <f>'1. Accomodation'!N157</f>
        <v>402S</v>
      </c>
      <c r="D162" s="77" t="str">
        <f>'1. Accomodation'!P157</f>
        <v>2 Bed</v>
      </c>
      <c r="E162" s="77">
        <f>'1. Accomodation'!O157</f>
        <v>603</v>
      </c>
      <c r="G162" s="341">
        <v>16080</v>
      </c>
      <c r="H162" s="273">
        <f>IFERROR(INDEX('4. Valuation'!$C$10:$I$17,MATCH($D162,'4. Valuation'!$C$10:$C$17,0),MATCH($H$25,'4. Valuation'!$C$10:$I$10,0)),0)</f>
        <v>1166</v>
      </c>
      <c r="I162" s="273">
        <f>IFERROR(INDEX('4. Valuation'!$C$10:$I$17,MATCH($D162,'4. Valuation'!$C$10:$C$17,0),MATCH($I$25,'4. Valuation'!$C$10:$I$10,0)),0)</f>
        <v>21.448728269247237</v>
      </c>
      <c r="J162" s="277"/>
      <c r="K162" s="312">
        <f t="shared" si="51"/>
        <v>13992</v>
      </c>
      <c r="L162" s="312">
        <f t="shared" si="52"/>
        <v>1166</v>
      </c>
      <c r="M162" s="312">
        <f t="shared" si="53"/>
        <v>23.203980099502488</v>
      </c>
      <c r="N162" s="278"/>
      <c r="O162" s="278"/>
      <c r="P162" s="278"/>
      <c r="Q162" s="278"/>
      <c r="R162" s="312">
        <f>IFERROR(INDEX('4. Valuation'!$O$10:$X$17,MATCH($D162,'4. Valuation'!$O$10:$O$17,0),MATCH($R$25,'4. Valuation'!$O$10:$X$10,0)),0)</f>
        <v>0</v>
      </c>
      <c r="S162" s="312">
        <f>IFERROR(INDEX('4. Valuation'!$O$10:$X$17,MATCH($D162,'4. Valuation'!$O$10:$O$17,0),MATCH($S$25,'4. Valuation'!$O$10:$X$10,0)),0)</f>
        <v>0</v>
      </c>
      <c r="T162" s="312">
        <f>IFERROR(INDEX('4. Valuation'!$O$10:$X$17,MATCH($D162,'4. Valuation'!$O$10:$O$17,0),MATCH($T$25,'4. Valuation'!$O$10:$X$10,0)),0)</f>
        <v>0</v>
      </c>
      <c r="U162" s="278"/>
      <c r="V162" s="312">
        <f t="shared" si="54"/>
        <v>0</v>
      </c>
      <c r="W162" s="312">
        <f t="shared" si="55"/>
        <v>0</v>
      </c>
      <c r="X162" s="312">
        <f t="shared" si="56"/>
        <v>0</v>
      </c>
      <c r="Y162" s="278"/>
      <c r="Z162" s="312">
        <f t="shared" si="57"/>
        <v>16260</v>
      </c>
      <c r="AA162" s="312">
        <f>'3. GRI Pricing'!Y153</f>
        <v>1355</v>
      </c>
      <c r="AB162" s="359">
        <f t="shared" si="58"/>
        <v>26.965174129353233</v>
      </c>
    </row>
    <row r="163" spans="3:28" s="30" customFormat="1" ht="12" x14ac:dyDescent="0.2">
      <c r="C163" s="77" t="str">
        <f>'1. Accomodation'!N158</f>
        <v>403S</v>
      </c>
      <c r="D163" s="77" t="str">
        <f>'1. Accomodation'!P158</f>
        <v>2 Bed</v>
      </c>
      <c r="E163" s="77">
        <f>'1. Accomodation'!O158</f>
        <v>614</v>
      </c>
      <c r="G163" s="341">
        <v>15840</v>
      </c>
      <c r="H163" s="273">
        <f>IFERROR(INDEX('4. Valuation'!$C$10:$I$17,MATCH($D163,'4. Valuation'!$C$10:$C$17,0),MATCH($H$25,'4. Valuation'!$C$10:$I$10,0)),0)</f>
        <v>1166</v>
      </c>
      <c r="I163" s="273">
        <f>IFERROR(INDEX('4. Valuation'!$C$10:$I$17,MATCH($D163,'4. Valuation'!$C$10:$C$17,0),MATCH($I$25,'4. Valuation'!$C$10:$I$10,0)),0)</f>
        <v>21.448728269247237</v>
      </c>
      <c r="J163" s="277"/>
      <c r="K163" s="312">
        <f t="shared" si="51"/>
        <v>13992</v>
      </c>
      <c r="L163" s="312">
        <f t="shared" si="52"/>
        <v>1166</v>
      </c>
      <c r="M163" s="312">
        <f t="shared" si="53"/>
        <v>22.78827361563518</v>
      </c>
      <c r="N163" s="278"/>
      <c r="O163" s="278"/>
      <c r="P163" s="278"/>
      <c r="Q163" s="278"/>
      <c r="R163" s="312">
        <f>IFERROR(INDEX('4. Valuation'!$O$10:$X$17,MATCH($D163,'4. Valuation'!$O$10:$O$17,0),MATCH($R$25,'4. Valuation'!$O$10:$X$10,0)),0)</f>
        <v>0</v>
      </c>
      <c r="S163" s="312">
        <f>IFERROR(INDEX('4. Valuation'!$O$10:$X$17,MATCH($D163,'4. Valuation'!$O$10:$O$17,0),MATCH($S$25,'4. Valuation'!$O$10:$X$10,0)),0)</f>
        <v>0</v>
      </c>
      <c r="T163" s="312">
        <f>IFERROR(INDEX('4. Valuation'!$O$10:$X$17,MATCH($D163,'4. Valuation'!$O$10:$O$17,0),MATCH($T$25,'4. Valuation'!$O$10:$X$10,0)),0)</f>
        <v>0</v>
      </c>
      <c r="U163" s="278"/>
      <c r="V163" s="312">
        <f t="shared" si="54"/>
        <v>0</v>
      </c>
      <c r="W163" s="312">
        <f t="shared" si="55"/>
        <v>0</v>
      </c>
      <c r="X163" s="312">
        <f t="shared" si="56"/>
        <v>0</v>
      </c>
      <c r="Y163" s="278"/>
      <c r="Z163" s="312">
        <f t="shared" si="57"/>
        <v>16260</v>
      </c>
      <c r="AA163" s="312">
        <f>'3. GRI Pricing'!Y154</f>
        <v>1355</v>
      </c>
      <c r="AB163" s="359">
        <f t="shared" si="58"/>
        <v>26.482084690553744</v>
      </c>
    </row>
    <row r="164" spans="3:28" s="30" customFormat="1" ht="12" x14ac:dyDescent="0.2">
      <c r="C164" s="77" t="str">
        <f>'1. Accomodation'!N159</f>
        <v>404S</v>
      </c>
      <c r="D164" s="77" t="str">
        <f>'1. Accomodation'!P159</f>
        <v>3 Bed</v>
      </c>
      <c r="E164" s="77">
        <f>'1. Accomodation'!O159</f>
        <v>829</v>
      </c>
      <c r="G164" s="341">
        <v>20760</v>
      </c>
      <c r="H164" s="273">
        <f>IFERROR(INDEX('4. Valuation'!$C$10:$I$17,MATCH($D164,'4. Valuation'!$C$10:$C$17,0),MATCH($H$25,'4. Valuation'!$C$10:$I$10,0)),0)</f>
        <v>1511</v>
      </c>
      <c r="I164" s="273">
        <f>IFERROR(INDEX('4. Valuation'!$C$10:$I$17,MATCH($D164,'4. Valuation'!$C$10:$C$17,0),MATCH($I$25,'4. Valuation'!$C$10:$I$10,0)),0)</f>
        <v>22.026444890903143</v>
      </c>
      <c r="J164" s="277"/>
      <c r="K164" s="312">
        <f t="shared" si="51"/>
        <v>18132</v>
      </c>
      <c r="L164" s="312">
        <f t="shared" si="52"/>
        <v>1511</v>
      </c>
      <c r="M164" s="312">
        <f t="shared" si="53"/>
        <v>21.872135102533171</v>
      </c>
      <c r="N164" s="278"/>
      <c r="O164" s="278"/>
      <c r="P164" s="278"/>
      <c r="Q164" s="278"/>
      <c r="R164" s="312">
        <f>IFERROR(INDEX('4. Valuation'!$O$10:$X$17,MATCH($D164,'4. Valuation'!$O$10:$O$17,0),MATCH($R$25,'4. Valuation'!$O$10:$X$10,0)),0)</f>
        <v>0</v>
      </c>
      <c r="S164" s="312">
        <f>IFERROR(INDEX('4. Valuation'!$O$10:$X$17,MATCH($D164,'4. Valuation'!$O$10:$O$17,0),MATCH($S$25,'4. Valuation'!$O$10:$X$10,0)),0)</f>
        <v>0</v>
      </c>
      <c r="T164" s="312">
        <f>IFERROR(INDEX('4. Valuation'!$O$10:$X$17,MATCH($D164,'4. Valuation'!$O$10:$O$17,0),MATCH($T$25,'4. Valuation'!$O$10:$X$10,0)),0)</f>
        <v>0</v>
      </c>
      <c r="U164" s="278"/>
      <c r="V164" s="312">
        <f t="shared" si="54"/>
        <v>0</v>
      </c>
      <c r="W164" s="312">
        <f t="shared" si="55"/>
        <v>0</v>
      </c>
      <c r="X164" s="312">
        <f t="shared" si="56"/>
        <v>0</v>
      </c>
      <c r="Y164" s="278"/>
      <c r="Z164" s="312">
        <f t="shared" si="57"/>
        <v>21420</v>
      </c>
      <c r="AA164" s="312">
        <f>'3. GRI Pricing'!Y155</f>
        <v>1785</v>
      </c>
      <c r="AB164" s="359">
        <f t="shared" si="58"/>
        <v>25.83835946924005</v>
      </c>
    </row>
    <row r="165" spans="3:28" s="30" customFormat="1" ht="12" x14ac:dyDescent="0.2">
      <c r="C165" s="77" t="str">
        <f>'1. Accomodation'!N160</f>
        <v>405S</v>
      </c>
      <c r="D165" s="77" t="str">
        <f>'1. Accomodation'!P160</f>
        <v>2 Bed</v>
      </c>
      <c r="E165" s="77">
        <f>'1. Accomodation'!O160</f>
        <v>689</v>
      </c>
      <c r="G165" s="341">
        <v>15900</v>
      </c>
      <c r="H165" s="273">
        <f>IFERROR(INDEX('4. Valuation'!$C$10:$I$17,MATCH($D165,'4. Valuation'!$C$10:$C$17,0),MATCH($H$25,'4. Valuation'!$C$10:$I$10,0)),0)</f>
        <v>1166</v>
      </c>
      <c r="I165" s="273">
        <f>IFERROR(INDEX('4. Valuation'!$C$10:$I$17,MATCH($D165,'4. Valuation'!$C$10:$C$17,0),MATCH($I$25,'4. Valuation'!$C$10:$I$10,0)),0)</f>
        <v>21.448728269247237</v>
      </c>
      <c r="J165" s="277"/>
      <c r="K165" s="312">
        <f t="shared" si="51"/>
        <v>13992</v>
      </c>
      <c r="L165" s="312">
        <f t="shared" si="52"/>
        <v>1166</v>
      </c>
      <c r="M165" s="312">
        <f t="shared" si="53"/>
        <v>20.307692307692307</v>
      </c>
      <c r="N165" s="278"/>
      <c r="O165" s="278"/>
      <c r="P165" s="278"/>
      <c r="Q165" s="278"/>
      <c r="R165" s="312">
        <f>IFERROR(INDEX('4. Valuation'!$O$10:$X$17,MATCH($D165,'4. Valuation'!$O$10:$O$17,0),MATCH($R$25,'4. Valuation'!$O$10:$X$10,0)),0)</f>
        <v>0</v>
      </c>
      <c r="S165" s="312">
        <f>IFERROR(INDEX('4. Valuation'!$O$10:$X$17,MATCH($D165,'4. Valuation'!$O$10:$O$17,0),MATCH($S$25,'4. Valuation'!$O$10:$X$10,0)),0)</f>
        <v>0</v>
      </c>
      <c r="T165" s="312">
        <f>IFERROR(INDEX('4. Valuation'!$O$10:$X$17,MATCH($D165,'4. Valuation'!$O$10:$O$17,0),MATCH($T$25,'4. Valuation'!$O$10:$X$10,0)),0)</f>
        <v>0</v>
      </c>
      <c r="U165" s="278"/>
      <c r="V165" s="312">
        <f t="shared" si="54"/>
        <v>0</v>
      </c>
      <c r="W165" s="312">
        <f t="shared" si="55"/>
        <v>0</v>
      </c>
      <c r="X165" s="312">
        <f t="shared" si="56"/>
        <v>0</v>
      </c>
      <c r="Y165" s="278"/>
      <c r="Z165" s="312">
        <f t="shared" si="57"/>
        <v>16080</v>
      </c>
      <c r="AA165" s="312">
        <f>'3. GRI Pricing'!Y156</f>
        <v>1340</v>
      </c>
      <c r="AB165" s="359">
        <f t="shared" si="58"/>
        <v>23.338171262699564</v>
      </c>
    </row>
    <row r="166" spans="3:28" s="30" customFormat="1" ht="12" x14ac:dyDescent="0.2">
      <c r="C166" s="77" t="str">
        <f>'1. Accomodation'!N161</f>
        <v>406S</v>
      </c>
      <c r="D166" s="77" t="str">
        <f>'1. Accomodation'!P161</f>
        <v>1 Bed</v>
      </c>
      <c r="E166" s="77">
        <f>'1. Accomodation'!O161</f>
        <v>474</v>
      </c>
      <c r="G166" s="341">
        <v>11760</v>
      </c>
      <c r="H166" s="273">
        <f>IFERROR(INDEX('4. Valuation'!$C$10:$I$17,MATCH($D166,'4. Valuation'!$C$10:$C$17,0),MATCH($H$25,'4. Valuation'!$C$10:$I$10,0)),0)</f>
        <v>867</v>
      </c>
      <c r="I166" s="273">
        <f>IFERROR(INDEX('4. Valuation'!$C$10:$I$17,MATCH($D166,'4. Valuation'!$C$10:$C$17,0),MATCH($I$25,'4. Valuation'!$C$10:$I$10,0)),0)</f>
        <v>20.660726106217222</v>
      </c>
      <c r="J166" s="277"/>
      <c r="K166" s="312">
        <f t="shared" si="51"/>
        <v>10404</v>
      </c>
      <c r="L166" s="312">
        <f t="shared" si="52"/>
        <v>867</v>
      </c>
      <c r="M166" s="312">
        <f t="shared" si="53"/>
        <v>21.949367088607595</v>
      </c>
      <c r="N166" s="278"/>
      <c r="O166" s="278"/>
      <c r="P166" s="278"/>
      <c r="Q166" s="278"/>
      <c r="R166" s="312">
        <f>IFERROR(INDEX('4. Valuation'!$O$10:$X$17,MATCH($D166,'4. Valuation'!$O$10:$O$17,0),MATCH($R$25,'4. Valuation'!$O$10:$X$10,0)),0)</f>
        <v>0</v>
      </c>
      <c r="S166" s="312">
        <f>IFERROR(INDEX('4. Valuation'!$O$10:$X$17,MATCH($D166,'4. Valuation'!$O$10:$O$17,0),MATCH($S$25,'4. Valuation'!$O$10:$X$10,0)),0)</f>
        <v>0</v>
      </c>
      <c r="T166" s="312">
        <f>IFERROR(INDEX('4. Valuation'!$O$10:$X$17,MATCH($D166,'4. Valuation'!$O$10:$O$17,0),MATCH($T$25,'4. Valuation'!$O$10:$X$10,0)),0)</f>
        <v>0</v>
      </c>
      <c r="U166" s="278"/>
      <c r="V166" s="312">
        <f t="shared" si="54"/>
        <v>0</v>
      </c>
      <c r="W166" s="312">
        <f t="shared" si="55"/>
        <v>0</v>
      </c>
      <c r="X166" s="312">
        <f t="shared" si="56"/>
        <v>0</v>
      </c>
      <c r="Y166" s="278"/>
      <c r="Z166" s="312">
        <f t="shared" si="57"/>
        <v>12120</v>
      </c>
      <c r="AA166" s="312">
        <f>'3. GRI Pricing'!Y157</f>
        <v>1010</v>
      </c>
      <c r="AB166" s="359">
        <f t="shared" si="58"/>
        <v>25.569620253164558</v>
      </c>
    </row>
    <row r="167" spans="3:28" s="30" customFormat="1" ht="12" x14ac:dyDescent="0.2">
      <c r="C167" s="77" t="str">
        <f>'1. Accomodation'!N162</f>
        <v>407S</v>
      </c>
      <c r="D167" s="77" t="str">
        <f>'1. Accomodation'!P162</f>
        <v>2 Bed</v>
      </c>
      <c r="E167" s="77">
        <f>'1. Accomodation'!O162</f>
        <v>624</v>
      </c>
      <c r="G167" s="341">
        <v>14940</v>
      </c>
      <c r="H167" s="273">
        <f>IFERROR(INDEX('4. Valuation'!$C$10:$I$17,MATCH($D167,'4. Valuation'!$C$10:$C$17,0),MATCH($H$25,'4. Valuation'!$C$10:$I$10,0)),0)</f>
        <v>1166</v>
      </c>
      <c r="I167" s="273">
        <f>IFERROR(INDEX('4. Valuation'!$C$10:$I$17,MATCH($D167,'4. Valuation'!$C$10:$C$17,0),MATCH($I$25,'4. Valuation'!$C$10:$I$10,0)),0)</f>
        <v>21.448728269247237</v>
      </c>
      <c r="J167" s="277"/>
      <c r="K167" s="312">
        <f t="shared" si="51"/>
        <v>13992</v>
      </c>
      <c r="L167" s="312">
        <f t="shared" si="52"/>
        <v>1166</v>
      </c>
      <c r="M167" s="312">
        <f t="shared" si="53"/>
        <v>22.423076923076923</v>
      </c>
      <c r="N167" s="278"/>
      <c r="O167" s="278"/>
      <c r="P167" s="278"/>
      <c r="Q167" s="278"/>
      <c r="R167" s="312">
        <f>IFERROR(INDEX('4. Valuation'!$O$10:$X$17,MATCH($D167,'4. Valuation'!$O$10:$O$17,0),MATCH($R$25,'4. Valuation'!$O$10:$X$10,0)),0)</f>
        <v>0</v>
      </c>
      <c r="S167" s="312">
        <f>IFERROR(INDEX('4. Valuation'!$O$10:$X$17,MATCH($D167,'4. Valuation'!$O$10:$O$17,0),MATCH($S$25,'4. Valuation'!$O$10:$X$10,0)),0)</f>
        <v>0</v>
      </c>
      <c r="T167" s="312">
        <f>IFERROR(INDEX('4. Valuation'!$O$10:$X$17,MATCH($D167,'4. Valuation'!$O$10:$O$17,0),MATCH($T$25,'4. Valuation'!$O$10:$X$10,0)),0)</f>
        <v>0</v>
      </c>
      <c r="U167" s="278"/>
      <c r="V167" s="312">
        <f t="shared" si="54"/>
        <v>0</v>
      </c>
      <c r="W167" s="312">
        <f t="shared" si="55"/>
        <v>0</v>
      </c>
      <c r="X167" s="312">
        <f t="shared" si="56"/>
        <v>0</v>
      </c>
      <c r="Y167" s="278"/>
      <c r="Z167" s="312">
        <f t="shared" si="57"/>
        <v>15420</v>
      </c>
      <c r="AA167" s="312">
        <f>'3. GRI Pricing'!Y158</f>
        <v>1285</v>
      </c>
      <c r="AB167" s="359">
        <f t="shared" si="58"/>
        <v>24.71153846153846</v>
      </c>
    </row>
    <row r="168" spans="3:28" s="30" customFormat="1" ht="12" x14ac:dyDescent="0.2">
      <c r="C168" s="77" t="str">
        <f>'1. Accomodation'!N163</f>
        <v>501S</v>
      </c>
      <c r="D168" s="77" t="str">
        <f>'1. Accomodation'!P163</f>
        <v>2 Bed</v>
      </c>
      <c r="E168" s="77">
        <f>'1. Accomodation'!O163</f>
        <v>624</v>
      </c>
      <c r="G168" s="341">
        <v>16440</v>
      </c>
      <c r="H168" s="273">
        <f>IFERROR(INDEX('4. Valuation'!$C$10:$I$17,MATCH($D168,'4. Valuation'!$C$10:$C$17,0),MATCH($H$25,'4. Valuation'!$C$10:$I$10,0)),0)</f>
        <v>1166</v>
      </c>
      <c r="I168" s="273">
        <f>IFERROR(INDEX('4. Valuation'!$C$10:$I$17,MATCH($D168,'4. Valuation'!$C$10:$C$17,0),MATCH($I$25,'4. Valuation'!$C$10:$I$10,0)),0)</f>
        <v>21.448728269247237</v>
      </c>
      <c r="J168" s="277"/>
      <c r="K168" s="312">
        <f t="shared" si="51"/>
        <v>13992</v>
      </c>
      <c r="L168" s="312">
        <f t="shared" si="52"/>
        <v>1166</v>
      </c>
      <c r="M168" s="312">
        <f t="shared" si="53"/>
        <v>22.423076923076923</v>
      </c>
      <c r="N168" s="278"/>
      <c r="O168" s="278"/>
      <c r="P168" s="278"/>
      <c r="Q168" s="278"/>
      <c r="R168" s="312">
        <f>IFERROR(INDEX('4. Valuation'!$O$10:$X$17,MATCH($D168,'4. Valuation'!$O$10:$O$17,0),MATCH($R$25,'4. Valuation'!$O$10:$X$10,0)),0)</f>
        <v>0</v>
      </c>
      <c r="S168" s="312">
        <f>IFERROR(INDEX('4. Valuation'!$O$10:$X$17,MATCH($D168,'4. Valuation'!$O$10:$O$17,0),MATCH($S$25,'4. Valuation'!$O$10:$X$10,0)),0)</f>
        <v>0</v>
      </c>
      <c r="T168" s="312">
        <f>IFERROR(INDEX('4. Valuation'!$O$10:$X$17,MATCH($D168,'4. Valuation'!$O$10:$O$17,0),MATCH($T$25,'4. Valuation'!$O$10:$X$10,0)),0)</f>
        <v>0</v>
      </c>
      <c r="U168" s="278"/>
      <c r="V168" s="312">
        <f t="shared" si="54"/>
        <v>0</v>
      </c>
      <c r="W168" s="312">
        <f t="shared" si="55"/>
        <v>0</v>
      </c>
      <c r="X168" s="312">
        <f t="shared" si="56"/>
        <v>0</v>
      </c>
      <c r="Y168" s="278"/>
      <c r="Z168" s="312">
        <f t="shared" si="57"/>
        <v>16320</v>
      </c>
      <c r="AA168" s="312">
        <f>'3. GRI Pricing'!Y159</f>
        <v>1360</v>
      </c>
      <c r="AB168" s="359">
        <f t="shared" si="58"/>
        <v>26.153846153846153</v>
      </c>
    </row>
    <row r="169" spans="3:28" s="30" customFormat="1" ht="12" x14ac:dyDescent="0.2">
      <c r="C169" s="77" t="str">
        <f>'1. Accomodation'!N164</f>
        <v>502S</v>
      </c>
      <c r="D169" s="77" t="str">
        <f>'1. Accomodation'!P164</f>
        <v>2 Bed</v>
      </c>
      <c r="E169" s="77">
        <f>'1. Accomodation'!O164</f>
        <v>603</v>
      </c>
      <c r="G169" s="341">
        <v>16560</v>
      </c>
      <c r="H169" s="273">
        <f>IFERROR(INDEX('4. Valuation'!$C$10:$I$17,MATCH($D169,'4. Valuation'!$C$10:$C$17,0),MATCH($H$25,'4. Valuation'!$C$10:$I$10,0)),0)</f>
        <v>1166</v>
      </c>
      <c r="I169" s="273">
        <f>IFERROR(INDEX('4. Valuation'!$C$10:$I$17,MATCH($D169,'4. Valuation'!$C$10:$C$17,0),MATCH($I$25,'4. Valuation'!$C$10:$I$10,0)),0)</f>
        <v>21.448728269247237</v>
      </c>
      <c r="J169" s="277"/>
      <c r="K169" s="312">
        <f t="shared" si="51"/>
        <v>13992</v>
      </c>
      <c r="L169" s="312">
        <f t="shared" si="52"/>
        <v>1166</v>
      </c>
      <c r="M169" s="312">
        <f t="shared" si="53"/>
        <v>23.203980099502488</v>
      </c>
      <c r="N169" s="278"/>
      <c r="O169" s="278"/>
      <c r="P169" s="278"/>
      <c r="Q169" s="278"/>
      <c r="R169" s="312">
        <f>IFERROR(INDEX('4. Valuation'!$O$10:$X$17,MATCH($D169,'4. Valuation'!$O$10:$O$17,0),MATCH($R$25,'4. Valuation'!$O$10:$X$10,0)),0)</f>
        <v>0</v>
      </c>
      <c r="S169" s="312">
        <f>IFERROR(INDEX('4. Valuation'!$O$10:$X$17,MATCH($D169,'4. Valuation'!$O$10:$O$17,0),MATCH($S$25,'4. Valuation'!$O$10:$X$10,0)),0)</f>
        <v>0</v>
      </c>
      <c r="T169" s="312">
        <f>IFERROR(INDEX('4. Valuation'!$O$10:$X$17,MATCH($D169,'4. Valuation'!$O$10:$O$17,0),MATCH($T$25,'4. Valuation'!$O$10:$X$10,0)),0)</f>
        <v>0</v>
      </c>
      <c r="U169" s="278"/>
      <c r="V169" s="312">
        <f t="shared" si="54"/>
        <v>0</v>
      </c>
      <c r="W169" s="312">
        <f t="shared" si="55"/>
        <v>0</v>
      </c>
      <c r="X169" s="312">
        <f t="shared" si="56"/>
        <v>0</v>
      </c>
      <c r="Y169" s="278"/>
      <c r="Z169" s="312">
        <f t="shared" si="57"/>
        <v>16260</v>
      </c>
      <c r="AA169" s="312">
        <f>'3. GRI Pricing'!Y160</f>
        <v>1355</v>
      </c>
      <c r="AB169" s="359">
        <f t="shared" si="58"/>
        <v>26.965174129353233</v>
      </c>
    </row>
    <row r="170" spans="3:28" s="30" customFormat="1" ht="12" x14ac:dyDescent="0.2">
      <c r="C170" s="77" t="str">
        <f>'1. Accomodation'!N165</f>
        <v>503S</v>
      </c>
      <c r="D170" s="77" t="str">
        <f>'1. Accomodation'!P165</f>
        <v>2 Bed</v>
      </c>
      <c r="E170" s="77">
        <f>'1. Accomodation'!O165</f>
        <v>614</v>
      </c>
      <c r="G170" s="341">
        <v>16200</v>
      </c>
      <c r="H170" s="273">
        <f>IFERROR(INDEX('4. Valuation'!$C$10:$I$17,MATCH($D170,'4. Valuation'!$C$10:$C$17,0),MATCH($H$25,'4. Valuation'!$C$10:$I$10,0)),0)</f>
        <v>1166</v>
      </c>
      <c r="I170" s="273">
        <f>IFERROR(INDEX('4. Valuation'!$C$10:$I$17,MATCH($D170,'4. Valuation'!$C$10:$C$17,0),MATCH($I$25,'4. Valuation'!$C$10:$I$10,0)),0)</f>
        <v>21.448728269247237</v>
      </c>
      <c r="J170" s="277"/>
      <c r="K170" s="312">
        <f t="shared" si="51"/>
        <v>13992</v>
      </c>
      <c r="L170" s="312">
        <f t="shared" si="52"/>
        <v>1166</v>
      </c>
      <c r="M170" s="312">
        <f t="shared" si="53"/>
        <v>22.78827361563518</v>
      </c>
      <c r="N170" s="278"/>
      <c r="O170" s="278"/>
      <c r="P170" s="278"/>
      <c r="Q170" s="278"/>
      <c r="R170" s="312">
        <f>IFERROR(INDEX('4. Valuation'!$O$10:$X$17,MATCH($D170,'4. Valuation'!$O$10:$O$17,0),MATCH($R$25,'4. Valuation'!$O$10:$X$10,0)),0)</f>
        <v>0</v>
      </c>
      <c r="S170" s="312">
        <f>IFERROR(INDEX('4. Valuation'!$O$10:$X$17,MATCH($D170,'4. Valuation'!$O$10:$O$17,0),MATCH($S$25,'4. Valuation'!$O$10:$X$10,0)),0)</f>
        <v>0</v>
      </c>
      <c r="T170" s="312">
        <f>IFERROR(INDEX('4. Valuation'!$O$10:$X$17,MATCH($D170,'4. Valuation'!$O$10:$O$17,0),MATCH($T$25,'4. Valuation'!$O$10:$X$10,0)),0)</f>
        <v>0</v>
      </c>
      <c r="U170" s="278"/>
      <c r="V170" s="312">
        <f t="shared" si="54"/>
        <v>0</v>
      </c>
      <c r="W170" s="312">
        <f t="shared" si="55"/>
        <v>0</v>
      </c>
      <c r="X170" s="312">
        <f t="shared" si="56"/>
        <v>0</v>
      </c>
      <c r="Y170" s="278"/>
      <c r="Z170" s="312">
        <f t="shared" si="57"/>
        <v>16260</v>
      </c>
      <c r="AA170" s="312">
        <f>'3. GRI Pricing'!Y161</f>
        <v>1355</v>
      </c>
      <c r="AB170" s="359">
        <f t="shared" si="58"/>
        <v>26.482084690553744</v>
      </c>
    </row>
    <row r="171" spans="3:28" s="30" customFormat="1" ht="12" x14ac:dyDescent="0.2">
      <c r="C171" s="77" t="str">
        <f>'1. Accomodation'!N166</f>
        <v>504S</v>
      </c>
      <c r="D171" s="77" t="str">
        <f>'1. Accomodation'!P166</f>
        <v>3 Bed</v>
      </c>
      <c r="E171" s="77">
        <f>'1. Accomodation'!O166</f>
        <v>829</v>
      </c>
      <c r="G171" s="341">
        <v>20220</v>
      </c>
      <c r="H171" s="273">
        <f>IFERROR(INDEX('4. Valuation'!$C$10:$I$17,MATCH($D171,'4. Valuation'!$C$10:$C$17,0),MATCH($H$25,'4. Valuation'!$C$10:$I$10,0)),0)</f>
        <v>1511</v>
      </c>
      <c r="I171" s="273">
        <f>IFERROR(INDEX('4. Valuation'!$C$10:$I$17,MATCH($D171,'4. Valuation'!$C$10:$C$17,0),MATCH($I$25,'4. Valuation'!$C$10:$I$10,0)),0)</f>
        <v>22.026444890903143</v>
      </c>
      <c r="J171" s="277"/>
      <c r="K171" s="312">
        <f t="shared" si="51"/>
        <v>18132</v>
      </c>
      <c r="L171" s="312">
        <f t="shared" si="52"/>
        <v>1511</v>
      </c>
      <c r="M171" s="312">
        <f t="shared" si="53"/>
        <v>21.872135102533171</v>
      </c>
      <c r="N171" s="278"/>
      <c r="O171" s="278"/>
      <c r="P171" s="278"/>
      <c r="Q171" s="278"/>
      <c r="R171" s="312">
        <f>IFERROR(INDEX('4. Valuation'!$O$10:$X$17,MATCH($D171,'4. Valuation'!$O$10:$O$17,0),MATCH($R$25,'4. Valuation'!$O$10:$X$10,0)),0)</f>
        <v>0</v>
      </c>
      <c r="S171" s="312">
        <f>IFERROR(INDEX('4. Valuation'!$O$10:$X$17,MATCH($D171,'4. Valuation'!$O$10:$O$17,0),MATCH($S$25,'4. Valuation'!$O$10:$X$10,0)),0)</f>
        <v>0</v>
      </c>
      <c r="T171" s="312">
        <f>IFERROR(INDEX('4. Valuation'!$O$10:$X$17,MATCH($D171,'4. Valuation'!$O$10:$O$17,0),MATCH($T$25,'4. Valuation'!$O$10:$X$10,0)),0)</f>
        <v>0</v>
      </c>
      <c r="U171" s="278"/>
      <c r="V171" s="312">
        <f t="shared" si="54"/>
        <v>0</v>
      </c>
      <c r="W171" s="312">
        <f t="shared" si="55"/>
        <v>0</v>
      </c>
      <c r="X171" s="312">
        <f t="shared" si="56"/>
        <v>0</v>
      </c>
      <c r="Y171" s="278"/>
      <c r="Z171" s="312">
        <f t="shared" si="57"/>
        <v>21420</v>
      </c>
      <c r="AA171" s="312">
        <f>'3. GRI Pricing'!Y162</f>
        <v>1785</v>
      </c>
      <c r="AB171" s="359">
        <f t="shared" si="58"/>
        <v>25.83835946924005</v>
      </c>
    </row>
    <row r="172" spans="3:28" s="30" customFormat="1" ht="12" x14ac:dyDescent="0.2">
      <c r="C172" s="77" t="str">
        <f>'1. Accomodation'!N167</f>
        <v>505S</v>
      </c>
      <c r="D172" s="77" t="str">
        <f>'1. Accomodation'!P167</f>
        <v>2 Bed</v>
      </c>
      <c r="E172" s="77">
        <f>'1. Accomodation'!O167</f>
        <v>689</v>
      </c>
      <c r="G172" s="341">
        <v>16320</v>
      </c>
      <c r="H172" s="273">
        <f>IFERROR(INDEX('4. Valuation'!$C$10:$I$17,MATCH($D172,'4. Valuation'!$C$10:$C$17,0),MATCH($H$25,'4. Valuation'!$C$10:$I$10,0)),0)</f>
        <v>1166</v>
      </c>
      <c r="I172" s="273">
        <f>IFERROR(INDEX('4. Valuation'!$C$10:$I$17,MATCH($D172,'4. Valuation'!$C$10:$C$17,0),MATCH($I$25,'4. Valuation'!$C$10:$I$10,0)),0)</f>
        <v>21.448728269247237</v>
      </c>
      <c r="J172" s="277"/>
      <c r="K172" s="312">
        <f t="shared" si="51"/>
        <v>13992</v>
      </c>
      <c r="L172" s="312">
        <f t="shared" si="52"/>
        <v>1166</v>
      </c>
      <c r="M172" s="312">
        <f t="shared" si="53"/>
        <v>20.307692307692307</v>
      </c>
      <c r="N172" s="278"/>
      <c r="O172" s="278"/>
      <c r="P172" s="278"/>
      <c r="Q172" s="278"/>
      <c r="R172" s="312">
        <f>IFERROR(INDEX('4. Valuation'!$O$10:$X$17,MATCH($D172,'4. Valuation'!$O$10:$O$17,0),MATCH($R$25,'4. Valuation'!$O$10:$X$10,0)),0)</f>
        <v>0</v>
      </c>
      <c r="S172" s="312">
        <f>IFERROR(INDEX('4. Valuation'!$O$10:$X$17,MATCH($D172,'4. Valuation'!$O$10:$O$17,0),MATCH($S$25,'4. Valuation'!$O$10:$X$10,0)),0)</f>
        <v>0</v>
      </c>
      <c r="T172" s="312">
        <f>IFERROR(INDEX('4. Valuation'!$O$10:$X$17,MATCH($D172,'4. Valuation'!$O$10:$O$17,0),MATCH($T$25,'4. Valuation'!$O$10:$X$10,0)),0)</f>
        <v>0</v>
      </c>
      <c r="U172" s="278"/>
      <c r="V172" s="312">
        <f t="shared" si="54"/>
        <v>0</v>
      </c>
      <c r="W172" s="312">
        <f t="shared" si="55"/>
        <v>0</v>
      </c>
      <c r="X172" s="312">
        <f t="shared" si="56"/>
        <v>0</v>
      </c>
      <c r="Y172" s="278"/>
      <c r="Z172" s="312">
        <f t="shared" si="57"/>
        <v>16080</v>
      </c>
      <c r="AA172" s="312">
        <f>'3. GRI Pricing'!Y163</f>
        <v>1340</v>
      </c>
      <c r="AB172" s="359">
        <f t="shared" si="58"/>
        <v>23.338171262699564</v>
      </c>
    </row>
    <row r="173" spans="3:28" s="30" customFormat="1" ht="12" x14ac:dyDescent="0.2">
      <c r="C173" s="77" t="str">
        <f>'1. Accomodation'!N168</f>
        <v>506S</v>
      </c>
      <c r="D173" s="77" t="str">
        <f>'1. Accomodation'!P168</f>
        <v>1 Bed</v>
      </c>
      <c r="E173" s="77">
        <f>'1. Accomodation'!O168</f>
        <v>474</v>
      </c>
      <c r="G173" s="341">
        <v>11100</v>
      </c>
      <c r="H173" s="273">
        <f>IFERROR(INDEX('4. Valuation'!$C$10:$I$17,MATCH($D173,'4. Valuation'!$C$10:$C$17,0),MATCH($H$25,'4. Valuation'!$C$10:$I$10,0)),0)</f>
        <v>867</v>
      </c>
      <c r="I173" s="273">
        <f>IFERROR(INDEX('4. Valuation'!$C$10:$I$17,MATCH($D173,'4. Valuation'!$C$10:$C$17,0),MATCH($I$25,'4. Valuation'!$C$10:$I$10,0)),0)</f>
        <v>20.660726106217222</v>
      </c>
      <c r="J173" s="277"/>
      <c r="K173" s="312">
        <f t="shared" si="51"/>
        <v>10404</v>
      </c>
      <c r="L173" s="312">
        <f t="shared" si="52"/>
        <v>867</v>
      </c>
      <c r="M173" s="312">
        <f t="shared" si="53"/>
        <v>21.949367088607595</v>
      </c>
      <c r="N173" s="278"/>
      <c r="O173" s="278"/>
      <c r="P173" s="278"/>
      <c r="Q173" s="278"/>
      <c r="R173" s="312">
        <f>IFERROR(INDEX('4. Valuation'!$O$10:$X$17,MATCH($D173,'4. Valuation'!$O$10:$O$17,0),MATCH($R$25,'4. Valuation'!$O$10:$X$10,0)),0)</f>
        <v>0</v>
      </c>
      <c r="S173" s="312">
        <f>IFERROR(INDEX('4. Valuation'!$O$10:$X$17,MATCH($D173,'4. Valuation'!$O$10:$O$17,0),MATCH($S$25,'4. Valuation'!$O$10:$X$10,0)),0)</f>
        <v>0</v>
      </c>
      <c r="T173" s="312">
        <f>IFERROR(INDEX('4. Valuation'!$O$10:$X$17,MATCH($D173,'4. Valuation'!$O$10:$O$17,0),MATCH($T$25,'4. Valuation'!$O$10:$X$10,0)),0)</f>
        <v>0</v>
      </c>
      <c r="U173" s="278"/>
      <c r="V173" s="312">
        <f t="shared" si="54"/>
        <v>0</v>
      </c>
      <c r="W173" s="312">
        <f t="shared" si="55"/>
        <v>0</v>
      </c>
      <c r="X173" s="312">
        <f t="shared" si="56"/>
        <v>0</v>
      </c>
      <c r="Y173" s="278"/>
      <c r="Z173" s="312">
        <f t="shared" si="57"/>
        <v>12120</v>
      </c>
      <c r="AA173" s="312">
        <f>'3. GRI Pricing'!Y164</f>
        <v>1010</v>
      </c>
      <c r="AB173" s="359">
        <f t="shared" si="58"/>
        <v>25.569620253164558</v>
      </c>
    </row>
    <row r="174" spans="3:28" s="30" customFormat="1" ht="12" x14ac:dyDescent="0.2">
      <c r="C174" s="77" t="str">
        <f>'1. Accomodation'!N169</f>
        <v>507S</v>
      </c>
      <c r="D174" s="77" t="str">
        <f>'1. Accomodation'!P169</f>
        <v>2 Bed</v>
      </c>
      <c r="E174" s="77">
        <f>'1. Accomodation'!O169</f>
        <v>624</v>
      </c>
      <c r="G174" s="341">
        <v>15480</v>
      </c>
      <c r="H174" s="273">
        <f>IFERROR(INDEX('4. Valuation'!$C$10:$I$17,MATCH($D174,'4. Valuation'!$C$10:$C$17,0),MATCH($H$25,'4. Valuation'!$C$10:$I$10,0)),0)</f>
        <v>1166</v>
      </c>
      <c r="I174" s="273">
        <f>IFERROR(INDEX('4. Valuation'!$C$10:$I$17,MATCH($D174,'4. Valuation'!$C$10:$C$17,0),MATCH($I$25,'4. Valuation'!$C$10:$I$10,0)),0)</f>
        <v>21.448728269247237</v>
      </c>
      <c r="J174" s="277"/>
      <c r="K174" s="312">
        <f t="shared" si="51"/>
        <v>13992</v>
      </c>
      <c r="L174" s="312">
        <f t="shared" si="52"/>
        <v>1166</v>
      </c>
      <c r="M174" s="312">
        <f t="shared" si="53"/>
        <v>22.423076923076923</v>
      </c>
      <c r="N174" s="278"/>
      <c r="O174" s="278"/>
      <c r="P174" s="278"/>
      <c r="Q174" s="278"/>
      <c r="R174" s="312">
        <f>IFERROR(INDEX('4. Valuation'!$O$10:$X$17,MATCH($D174,'4. Valuation'!$O$10:$O$17,0),MATCH($R$25,'4. Valuation'!$O$10:$X$10,0)),0)</f>
        <v>0</v>
      </c>
      <c r="S174" s="312">
        <f>IFERROR(INDEX('4. Valuation'!$O$10:$X$17,MATCH($D174,'4. Valuation'!$O$10:$O$17,0),MATCH($S$25,'4. Valuation'!$O$10:$X$10,0)),0)</f>
        <v>0</v>
      </c>
      <c r="T174" s="312">
        <f>IFERROR(INDEX('4. Valuation'!$O$10:$X$17,MATCH($D174,'4. Valuation'!$O$10:$O$17,0),MATCH($T$25,'4. Valuation'!$O$10:$X$10,0)),0)</f>
        <v>0</v>
      </c>
      <c r="U174" s="278"/>
      <c r="V174" s="312">
        <f t="shared" si="54"/>
        <v>0</v>
      </c>
      <c r="W174" s="312">
        <f t="shared" si="55"/>
        <v>0</v>
      </c>
      <c r="X174" s="312">
        <f t="shared" si="56"/>
        <v>0</v>
      </c>
      <c r="Y174" s="278"/>
      <c r="Z174" s="312">
        <f t="shared" si="57"/>
        <v>15420</v>
      </c>
      <c r="AA174" s="312">
        <f>'3. GRI Pricing'!Y165</f>
        <v>1285</v>
      </c>
      <c r="AB174" s="359">
        <f t="shared" si="58"/>
        <v>24.71153846153846</v>
      </c>
    </row>
    <row r="175" spans="3:28" s="30" customFormat="1" ht="12" x14ac:dyDescent="0.2">
      <c r="C175" s="77" t="str">
        <f>'1. Accomodation'!N170</f>
        <v>601S</v>
      </c>
      <c r="D175" s="77" t="str">
        <f>'1. Accomodation'!P170</f>
        <v>2 Bed</v>
      </c>
      <c r="E175" s="77">
        <f>'1. Accomodation'!O170</f>
        <v>624</v>
      </c>
      <c r="G175" s="341">
        <v>16080</v>
      </c>
      <c r="H175" s="273">
        <f>IFERROR(INDEX('4. Valuation'!$C$10:$I$17,MATCH($D175,'4. Valuation'!$C$10:$C$17,0),MATCH($H$25,'4. Valuation'!$C$10:$I$10,0)),0)</f>
        <v>1166</v>
      </c>
      <c r="I175" s="273">
        <f>IFERROR(INDEX('4. Valuation'!$C$10:$I$17,MATCH($D175,'4. Valuation'!$C$10:$C$17,0),MATCH($I$25,'4. Valuation'!$C$10:$I$10,0)),0)</f>
        <v>21.448728269247237</v>
      </c>
      <c r="J175" s="277"/>
      <c r="K175" s="312">
        <f t="shared" si="51"/>
        <v>13992</v>
      </c>
      <c r="L175" s="312">
        <f t="shared" si="52"/>
        <v>1166</v>
      </c>
      <c r="M175" s="312">
        <f t="shared" si="53"/>
        <v>22.423076923076923</v>
      </c>
      <c r="N175" s="278"/>
      <c r="O175" s="278"/>
      <c r="P175" s="278"/>
      <c r="Q175" s="278"/>
      <c r="R175" s="312">
        <f>IFERROR(INDEX('4. Valuation'!$O$10:$X$17,MATCH($D175,'4. Valuation'!$O$10:$O$17,0),MATCH($R$25,'4. Valuation'!$O$10:$X$10,0)),0)</f>
        <v>0</v>
      </c>
      <c r="S175" s="312">
        <f>IFERROR(INDEX('4. Valuation'!$O$10:$X$17,MATCH($D175,'4. Valuation'!$O$10:$O$17,0),MATCH($S$25,'4. Valuation'!$O$10:$X$10,0)),0)</f>
        <v>0</v>
      </c>
      <c r="T175" s="312">
        <f>IFERROR(INDEX('4. Valuation'!$O$10:$X$17,MATCH($D175,'4. Valuation'!$O$10:$O$17,0),MATCH($T$25,'4. Valuation'!$O$10:$X$10,0)),0)</f>
        <v>0</v>
      </c>
      <c r="U175" s="278"/>
      <c r="V175" s="312">
        <f t="shared" si="54"/>
        <v>0</v>
      </c>
      <c r="W175" s="312">
        <f t="shared" si="55"/>
        <v>0</v>
      </c>
      <c r="X175" s="312">
        <f t="shared" si="56"/>
        <v>0</v>
      </c>
      <c r="Y175" s="278"/>
      <c r="Z175" s="312">
        <f t="shared" si="57"/>
        <v>16440</v>
      </c>
      <c r="AA175" s="312">
        <f>'3. GRI Pricing'!Y166</f>
        <v>1370</v>
      </c>
      <c r="AB175" s="359">
        <f t="shared" si="58"/>
        <v>26.346153846153847</v>
      </c>
    </row>
    <row r="176" spans="3:28" s="30" customFormat="1" ht="12" x14ac:dyDescent="0.2">
      <c r="C176" s="77" t="str">
        <f>'1. Accomodation'!N171</f>
        <v>602S</v>
      </c>
      <c r="D176" s="77" t="str">
        <f>'1. Accomodation'!P171</f>
        <v>2 Bed</v>
      </c>
      <c r="E176" s="77">
        <f>'1. Accomodation'!O171</f>
        <v>603</v>
      </c>
      <c r="G176" s="341">
        <v>16920</v>
      </c>
      <c r="H176" s="273">
        <f>IFERROR(INDEX('4. Valuation'!$C$10:$I$17,MATCH($D176,'4. Valuation'!$C$10:$C$17,0),MATCH($H$25,'4. Valuation'!$C$10:$I$10,0)),0)</f>
        <v>1166</v>
      </c>
      <c r="I176" s="273">
        <f>IFERROR(INDEX('4. Valuation'!$C$10:$I$17,MATCH($D176,'4. Valuation'!$C$10:$C$17,0),MATCH($I$25,'4. Valuation'!$C$10:$I$10,0)),0)</f>
        <v>21.448728269247237</v>
      </c>
      <c r="J176" s="277"/>
      <c r="K176" s="312">
        <f t="shared" si="51"/>
        <v>13992</v>
      </c>
      <c r="L176" s="312">
        <f t="shared" si="52"/>
        <v>1166</v>
      </c>
      <c r="M176" s="312">
        <f t="shared" si="53"/>
        <v>23.203980099502488</v>
      </c>
      <c r="N176" s="278"/>
      <c r="O176" s="278"/>
      <c r="P176" s="278"/>
      <c r="Q176" s="278"/>
      <c r="R176" s="312">
        <f>IFERROR(INDEX('4. Valuation'!$O$10:$X$17,MATCH($D176,'4. Valuation'!$O$10:$O$17,0),MATCH($R$25,'4. Valuation'!$O$10:$X$10,0)),0)</f>
        <v>0</v>
      </c>
      <c r="S176" s="312">
        <f>IFERROR(INDEX('4. Valuation'!$O$10:$X$17,MATCH($D176,'4. Valuation'!$O$10:$O$17,0),MATCH($S$25,'4. Valuation'!$O$10:$X$10,0)),0)</f>
        <v>0</v>
      </c>
      <c r="T176" s="312">
        <f>IFERROR(INDEX('4. Valuation'!$O$10:$X$17,MATCH($D176,'4. Valuation'!$O$10:$O$17,0),MATCH($T$25,'4. Valuation'!$O$10:$X$10,0)),0)</f>
        <v>0</v>
      </c>
      <c r="U176" s="278"/>
      <c r="V176" s="312">
        <f t="shared" si="54"/>
        <v>0</v>
      </c>
      <c r="W176" s="312">
        <f t="shared" si="55"/>
        <v>0</v>
      </c>
      <c r="X176" s="312">
        <f t="shared" si="56"/>
        <v>0</v>
      </c>
      <c r="Y176" s="278"/>
      <c r="Z176" s="312">
        <f t="shared" si="57"/>
        <v>16380</v>
      </c>
      <c r="AA176" s="312">
        <f>'3. GRI Pricing'!Y167</f>
        <v>1365</v>
      </c>
      <c r="AB176" s="359">
        <f t="shared" si="58"/>
        <v>27.164179104477611</v>
      </c>
    </row>
    <row r="177" spans="3:28" s="30" customFormat="1" ht="12" x14ac:dyDescent="0.2">
      <c r="C177" s="77" t="str">
        <f>'1. Accomodation'!N172</f>
        <v>603S</v>
      </c>
      <c r="D177" s="77" t="str">
        <f>'1. Accomodation'!P172</f>
        <v>2 Bed</v>
      </c>
      <c r="E177" s="77">
        <f>'1. Accomodation'!O172</f>
        <v>614</v>
      </c>
      <c r="G177" s="341">
        <v>16380</v>
      </c>
      <c r="H177" s="273">
        <f>IFERROR(INDEX('4. Valuation'!$C$10:$I$17,MATCH($D177,'4. Valuation'!$C$10:$C$17,0),MATCH($H$25,'4. Valuation'!$C$10:$I$10,0)),0)</f>
        <v>1166</v>
      </c>
      <c r="I177" s="273">
        <f>IFERROR(INDEX('4. Valuation'!$C$10:$I$17,MATCH($D177,'4. Valuation'!$C$10:$C$17,0),MATCH($I$25,'4. Valuation'!$C$10:$I$10,0)),0)</f>
        <v>21.448728269247237</v>
      </c>
      <c r="J177" s="277"/>
      <c r="K177" s="312">
        <f t="shared" si="51"/>
        <v>13992</v>
      </c>
      <c r="L177" s="312">
        <f t="shared" si="52"/>
        <v>1166</v>
      </c>
      <c r="M177" s="312">
        <f t="shared" si="53"/>
        <v>22.78827361563518</v>
      </c>
      <c r="N177" s="278"/>
      <c r="O177" s="278"/>
      <c r="P177" s="278"/>
      <c r="Q177" s="278"/>
      <c r="R177" s="312">
        <f>IFERROR(INDEX('4. Valuation'!$O$10:$X$17,MATCH($D177,'4. Valuation'!$O$10:$O$17,0),MATCH($R$25,'4. Valuation'!$O$10:$X$10,0)),0)</f>
        <v>0</v>
      </c>
      <c r="S177" s="312">
        <f>IFERROR(INDEX('4. Valuation'!$O$10:$X$17,MATCH($D177,'4. Valuation'!$O$10:$O$17,0),MATCH($S$25,'4. Valuation'!$O$10:$X$10,0)),0)</f>
        <v>0</v>
      </c>
      <c r="T177" s="312">
        <f>IFERROR(INDEX('4. Valuation'!$O$10:$X$17,MATCH($D177,'4. Valuation'!$O$10:$O$17,0),MATCH($T$25,'4. Valuation'!$O$10:$X$10,0)),0)</f>
        <v>0</v>
      </c>
      <c r="U177" s="278"/>
      <c r="V177" s="312">
        <f t="shared" si="54"/>
        <v>0</v>
      </c>
      <c r="W177" s="312">
        <f t="shared" si="55"/>
        <v>0</v>
      </c>
      <c r="X177" s="312">
        <f t="shared" si="56"/>
        <v>0</v>
      </c>
      <c r="Y177" s="278"/>
      <c r="Z177" s="312">
        <f t="shared" si="57"/>
        <v>16380</v>
      </c>
      <c r="AA177" s="312">
        <f>'3. GRI Pricing'!Y168</f>
        <v>1365</v>
      </c>
      <c r="AB177" s="359">
        <f t="shared" si="58"/>
        <v>26.677524429967427</v>
      </c>
    </row>
    <row r="178" spans="3:28" s="30" customFormat="1" ht="12" x14ac:dyDescent="0.2">
      <c r="C178" s="77" t="str">
        <f>'1. Accomodation'!N173</f>
        <v>604S</v>
      </c>
      <c r="D178" s="77" t="str">
        <f>'1. Accomodation'!P173</f>
        <v>3 Bed</v>
      </c>
      <c r="E178" s="77">
        <f>'1. Accomodation'!O173</f>
        <v>829</v>
      </c>
      <c r="G178" s="341">
        <v>20040</v>
      </c>
      <c r="H178" s="273">
        <f>IFERROR(INDEX('4. Valuation'!$C$10:$I$17,MATCH($D178,'4. Valuation'!$C$10:$C$17,0),MATCH($H$25,'4. Valuation'!$C$10:$I$10,0)),0)</f>
        <v>1511</v>
      </c>
      <c r="I178" s="273">
        <f>IFERROR(INDEX('4. Valuation'!$C$10:$I$17,MATCH($D178,'4. Valuation'!$C$10:$C$17,0),MATCH($I$25,'4. Valuation'!$C$10:$I$10,0)),0)</f>
        <v>22.026444890903143</v>
      </c>
      <c r="J178" s="277"/>
      <c r="K178" s="312">
        <f t="shared" si="51"/>
        <v>18132</v>
      </c>
      <c r="L178" s="312">
        <f t="shared" si="52"/>
        <v>1511</v>
      </c>
      <c r="M178" s="312">
        <f t="shared" si="53"/>
        <v>21.872135102533171</v>
      </c>
      <c r="N178" s="278"/>
      <c r="O178" s="278"/>
      <c r="P178" s="278"/>
      <c r="Q178" s="278"/>
      <c r="R178" s="312">
        <f>IFERROR(INDEX('4. Valuation'!$O$10:$X$17,MATCH($D178,'4. Valuation'!$O$10:$O$17,0),MATCH($R$25,'4. Valuation'!$O$10:$X$10,0)),0)</f>
        <v>0</v>
      </c>
      <c r="S178" s="312">
        <f>IFERROR(INDEX('4. Valuation'!$O$10:$X$17,MATCH($D178,'4. Valuation'!$O$10:$O$17,0),MATCH($S$25,'4. Valuation'!$O$10:$X$10,0)),0)</f>
        <v>0</v>
      </c>
      <c r="T178" s="312">
        <f>IFERROR(INDEX('4. Valuation'!$O$10:$X$17,MATCH($D178,'4. Valuation'!$O$10:$O$17,0),MATCH($T$25,'4. Valuation'!$O$10:$X$10,0)),0)</f>
        <v>0</v>
      </c>
      <c r="U178" s="278"/>
      <c r="V178" s="312">
        <f t="shared" si="54"/>
        <v>0</v>
      </c>
      <c r="W178" s="312">
        <f t="shared" si="55"/>
        <v>0</v>
      </c>
      <c r="X178" s="312">
        <f t="shared" si="56"/>
        <v>0</v>
      </c>
      <c r="Y178" s="278"/>
      <c r="Z178" s="312">
        <f t="shared" si="57"/>
        <v>21540</v>
      </c>
      <c r="AA178" s="312">
        <f>'3. GRI Pricing'!Y169</f>
        <v>1795</v>
      </c>
      <c r="AB178" s="359">
        <f t="shared" si="58"/>
        <v>25.983112183353438</v>
      </c>
    </row>
    <row r="179" spans="3:28" s="30" customFormat="1" ht="12" x14ac:dyDescent="0.2">
      <c r="C179" s="77" t="str">
        <f>'1. Accomodation'!N174</f>
        <v>605S</v>
      </c>
      <c r="D179" s="77" t="str">
        <f>'1. Accomodation'!P174</f>
        <v>2 Bed</v>
      </c>
      <c r="E179" s="77">
        <f>'1. Accomodation'!O174</f>
        <v>689</v>
      </c>
      <c r="G179" s="341">
        <v>16080</v>
      </c>
      <c r="H179" s="273">
        <f>IFERROR(INDEX('4. Valuation'!$C$10:$I$17,MATCH($D179,'4. Valuation'!$C$10:$C$17,0),MATCH($H$25,'4. Valuation'!$C$10:$I$10,0)),0)</f>
        <v>1166</v>
      </c>
      <c r="I179" s="273">
        <f>IFERROR(INDEX('4. Valuation'!$C$10:$I$17,MATCH($D179,'4. Valuation'!$C$10:$C$17,0),MATCH($I$25,'4. Valuation'!$C$10:$I$10,0)),0)</f>
        <v>21.448728269247237</v>
      </c>
      <c r="J179" s="277"/>
      <c r="K179" s="312">
        <f t="shared" si="51"/>
        <v>13992</v>
      </c>
      <c r="L179" s="312">
        <f t="shared" si="52"/>
        <v>1166</v>
      </c>
      <c r="M179" s="312">
        <f t="shared" si="53"/>
        <v>20.307692307692307</v>
      </c>
      <c r="N179" s="278"/>
      <c r="O179" s="278"/>
      <c r="P179" s="278"/>
      <c r="Q179" s="278"/>
      <c r="R179" s="312">
        <f>IFERROR(INDEX('4. Valuation'!$O$10:$X$17,MATCH($D179,'4. Valuation'!$O$10:$O$17,0),MATCH($R$25,'4. Valuation'!$O$10:$X$10,0)),0)</f>
        <v>0</v>
      </c>
      <c r="S179" s="312">
        <f>IFERROR(INDEX('4. Valuation'!$O$10:$X$17,MATCH($D179,'4. Valuation'!$O$10:$O$17,0),MATCH($S$25,'4. Valuation'!$O$10:$X$10,0)),0)</f>
        <v>0</v>
      </c>
      <c r="T179" s="312">
        <f>IFERROR(INDEX('4. Valuation'!$O$10:$X$17,MATCH($D179,'4. Valuation'!$O$10:$O$17,0),MATCH($T$25,'4. Valuation'!$O$10:$X$10,0)),0)</f>
        <v>0</v>
      </c>
      <c r="U179" s="278"/>
      <c r="V179" s="312">
        <f t="shared" si="54"/>
        <v>0</v>
      </c>
      <c r="W179" s="312">
        <f t="shared" si="55"/>
        <v>0</v>
      </c>
      <c r="X179" s="312">
        <f t="shared" si="56"/>
        <v>0</v>
      </c>
      <c r="Y179" s="278"/>
      <c r="Z179" s="312">
        <f t="shared" si="57"/>
        <v>16200</v>
      </c>
      <c r="AA179" s="312">
        <f>'3. GRI Pricing'!Y170</f>
        <v>1350</v>
      </c>
      <c r="AB179" s="359">
        <f t="shared" si="58"/>
        <v>23.512336719883891</v>
      </c>
    </row>
    <row r="180" spans="3:28" s="30" customFormat="1" ht="12" x14ac:dyDescent="0.2">
      <c r="C180" s="77" t="str">
        <f>'1. Accomodation'!N175</f>
        <v>606S</v>
      </c>
      <c r="D180" s="77" t="str">
        <f>'1. Accomodation'!P175</f>
        <v>1 Bed</v>
      </c>
      <c r="E180" s="77">
        <f>'1. Accomodation'!O175</f>
        <v>474</v>
      </c>
      <c r="G180" s="341">
        <v>12000</v>
      </c>
      <c r="H180" s="273">
        <f>IFERROR(INDEX('4. Valuation'!$C$10:$I$17,MATCH($D180,'4. Valuation'!$C$10:$C$17,0),MATCH($H$25,'4. Valuation'!$C$10:$I$10,0)),0)</f>
        <v>867</v>
      </c>
      <c r="I180" s="273">
        <f>IFERROR(INDEX('4. Valuation'!$C$10:$I$17,MATCH($D180,'4. Valuation'!$C$10:$C$17,0),MATCH($I$25,'4. Valuation'!$C$10:$I$10,0)),0)</f>
        <v>20.660726106217222</v>
      </c>
      <c r="J180" s="277"/>
      <c r="K180" s="312">
        <f t="shared" si="51"/>
        <v>10404</v>
      </c>
      <c r="L180" s="312">
        <f t="shared" si="52"/>
        <v>867</v>
      </c>
      <c r="M180" s="312">
        <f t="shared" si="53"/>
        <v>21.949367088607595</v>
      </c>
      <c r="N180" s="278"/>
      <c r="O180" s="278"/>
      <c r="P180" s="278"/>
      <c r="Q180" s="278"/>
      <c r="R180" s="312">
        <f>IFERROR(INDEX('4. Valuation'!$O$10:$X$17,MATCH($D180,'4. Valuation'!$O$10:$O$17,0),MATCH($R$25,'4. Valuation'!$O$10:$X$10,0)),0)</f>
        <v>0</v>
      </c>
      <c r="S180" s="312">
        <f>IFERROR(INDEX('4. Valuation'!$O$10:$X$17,MATCH($D180,'4. Valuation'!$O$10:$O$17,0),MATCH($S$25,'4. Valuation'!$O$10:$X$10,0)),0)</f>
        <v>0</v>
      </c>
      <c r="T180" s="312">
        <f>IFERROR(INDEX('4. Valuation'!$O$10:$X$17,MATCH($D180,'4. Valuation'!$O$10:$O$17,0),MATCH($T$25,'4. Valuation'!$O$10:$X$10,0)),0)</f>
        <v>0</v>
      </c>
      <c r="U180" s="278"/>
      <c r="V180" s="312">
        <f t="shared" si="54"/>
        <v>0</v>
      </c>
      <c r="W180" s="312">
        <f t="shared" si="55"/>
        <v>0</v>
      </c>
      <c r="X180" s="312">
        <f t="shared" si="56"/>
        <v>0</v>
      </c>
      <c r="Y180" s="278"/>
      <c r="Z180" s="312">
        <f t="shared" si="57"/>
        <v>12240</v>
      </c>
      <c r="AA180" s="312">
        <f>'3. GRI Pricing'!Y171</f>
        <v>1020</v>
      </c>
      <c r="AB180" s="359">
        <f t="shared" si="58"/>
        <v>25.822784810126581</v>
      </c>
    </row>
    <row r="181" spans="3:28" s="30" customFormat="1" ht="12" x14ac:dyDescent="0.2">
      <c r="C181" s="77" t="str">
        <f>'1. Accomodation'!N176</f>
        <v>607S</v>
      </c>
      <c r="D181" s="77" t="str">
        <f>'1. Accomodation'!P176</f>
        <v>2 Bed</v>
      </c>
      <c r="E181" s="77">
        <f>'1. Accomodation'!O176</f>
        <v>624</v>
      </c>
      <c r="G181" s="341">
        <v>14400</v>
      </c>
      <c r="H181" s="273">
        <f>IFERROR(INDEX('4. Valuation'!$C$10:$I$17,MATCH($D181,'4. Valuation'!$C$10:$C$17,0),MATCH($H$25,'4. Valuation'!$C$10:$I$10,0)),0)</f>
        <v>1166</v>
      </c>
      <c r="I181" s="273">
        <f>IFERROR(INDEX('4. Valuation'!$C$10:$I$17,MATCH($D181,'4. Valuation'!$C$10:$C$17,0),MATCH($I$25,'4. Valuation'!$C$10:$I$10,0)),0)</f>
        <v>21.448728269247237</v>
      </c>
      <c r="J181" s="277"/>
      <c r="K181" s="312">
        <f t="shared" si="51"/>
        <v>13992</v>
      </c>
      <c r="L181" s="312">
        <f t="shared" si="52"/>
        <v>1166</v>
      </c>
      <c r="M181" s="312">
        <f t="shared" si="53"/>
        <v>22.423076923076923</v>
      </c>
      <c r="N181" s="278"/>
      <c r="O181" s="278"/>
      <c r="P181" s="278"/>
      <c r="Q181" s="278"/>
      <c r="R181" s="312">
        <f>IFERROR(INDEX('4. Valuation'!$O$10:$X$17,MATCH($D181,'4. Valuation'!$O$10:$O$17,0),MATCH($R$25,'4. Valuation'!$O$10:$X$10,0)),0)</f>
        <v>0</v>
      </c>
      <c r="S181" s="312">
        <f>IFERROR(INDEX('4. Valuation'!$O$10:$X$17,MATCH($D181,'4. Valuation'!$O$10:$O$17,0),MATCH($S$25,'4. Valuation'!$O$10:$X$10,0)),0)</f>
        <v>0</v>
      </c>
      <c r="T181" s="312">
        <f>IFERROR(INDEX('4. Valuation'!$O$10:$X$17,MATCH($D181,'4. Valuation'!$O$10:$O$17,0),MATCH($T$25,'4. Valuation'!$O$10:$X$10,0)),0)</f>
        <v>0</v>
      </c>
      <c r="U181" s="278"/>
      <c r="V181" s="312">
        <f t="shared" si="54"/>
        <v>0</v>
      </c>
      <c r="W181" s="312">
        <f t="shared" si="55"/>
        <v>0</v>
      </c>
      <c r="X181" s="312">
        <f t="shared" si="56"/>
        <v>0</v>
      </c>
      <c r="Y181" s="278"/>
      <c r="Z181" s="312">
        <f t="shared" si="57"/>
        <v>15540</v>
      </c>
      <c r="AA181" s="312">
        <f>'3. GRI Pricing'!Y172</f>
        <v>1295</v>
      </c>
      <c r="AB181" s="359">
        <f t="shared" si="58"/>
        <v>24.903846153846153</v>
      </c>
    </row>
    <row r="182" spans="3:28" s="30" customFormat="1" ht="12" x14ac:dyDescent="0.2">
      <c r="C182" s="77" t="str">
        <f>'1. Accomodation'!N177</f>
        <v>701S</v>
      </c>
      <c r="D182" s="77" t="str">
        <f>'1. Accomodation'!P177</f>
        <v>2 Bed</v>
      </c>
      <c r="E182" s="77">
        <f>'1. Accomodation'!O177</f>
        <v>538</v>
      </c>
      <c r="G182" s="341">
        <v>17040</v>
      </c>
      <c r="H182" s="273">
        <f>IFERROR(INDEX('4. Valuation'!$C$10:$I$17,MATCH($D182,'4. Valuation'!$C$10:$C$17,0),MATCH($H$25,'4. Valuation'!$C$10:$I$10,0)),0)</f>
        <v>1166</v>
      </c>
      <c r="I182" s="273">
        <f>IFERROR(INDEX('4. Valuation'!$C$10:$I$17,MATCH($D182,'4. Valuation'!$C$10:$C$17,0),MATCH($I$25,'4. Valuation'!$C$10:$I$10,0)),0)</f>
        <v>21.448728269247237</v>
      </c>
      <c r="J182" s="277"/>
      <c r="K182" s="312">
        <f t="shared" si="51"/>
        <v>13992</v>
      </c>
      <c r="L182" s="312">
        <f t="shared" si="52"/>
        <v>1166</v>
      </c>
      <c r="M182" s="312">
        <f t="shared" si="53"/>
        <v>26.007434944237918</v>
      </c>
      <c r="N182" s="278"/>
      <c r="O182" s="278"/>
      <c r="P182" s="278"/>
      <c r="Q182" s="278"/>
      <c r="R182" s="312">
        <f>IFERROR(INDEX('4. Valuation'!$O$10:$X$17,MATCH($D182,'4. Valuation'!$O$10:$O$17,0),MATCH($R$25,'4. Valuation'!$O$10:$X$10,0)),0)</f>
        <v>0</v>
      </c>
      <c r="S182" s="312">
        <f>IFERROR(INDEX('4. Valuation'!$O$10:$X$17,MATCH($D182,'4. Valuation'!$O$10:$O$17,0),MATCH($S$25,'4. Valuation'!$O$10:$X$10,0)),0)</f>
        <v>0</v>
      </c>
      <c r="T182" s="312">
        <f>IFERROR(INDEX('4. Valuation'!$O$10:$X$17,MATCH($D182,'4. Valuation'!$O$10:$O$17,0),MATCH($T$25,'4. Valuation'!$O$10:$X$10,0)),0)</f>
        <v>0</v>
      </c>
      <c r="U182" s="278"/>
      <c r="V182" s="312">
        <f t="shared" si="54"/>
        <v>0</v>
      </c>
      <c r="W182" s="312">
        <f t="shared" si="55"/>
        <v>0</v>
      </c>
      <c r="X182" s="312">
        <f t="shared" si="56"/>
        <v>0</v>
      </c>
      <c r="Y182" s="278"/>
      <c r="Z182" s="312">
        <f t="shared" si="57"/>
        <v>15480</v>
      </c>
      <c r="AA182" s="312">
        <f>'3. GRI Pricing'!Y173</f>
        <v>1290</v>
      </c>
      <c r="AB182" s="359">
        <f t="shared" si="58"/>
        <v>28.773234200743495</v>
      </c>
    </row>
    <row r="183" spans="3:28" s="30" customFormat="1" ht="12" x14ac:dyDescent="0.2">
      <c r="C183" s="77" t="str">
        <f>'1. Accomodation'!N178</f>
        <v>702S</v>
      </c>
      <c r="D183" s="77" t="str">
        <f>'1. Accomodation'!P178</f>
        <v>2 Bed</v>
      </c>
      <c r="E183" s="77">
        <f>'1. Accomodation'!O178</f>
        <v>538</v>
      </c>
      <c r="G183" s="341">
        <v>15360</v>
      </c>
      <c r="H183" s="273">
        <f>IFERROR(INDEX('4. Valuation'!$C$10:$I$17,MATCH($D183,'4. Valuation'!$C$10:$C$17,0),MATCH($H$25,'4. Valuation'!$C$10:$I$10,0)),0)</f>
        <v>1166</v>
      </c>
      <c r="I183" s="273">
        <f>IFERROR(INDEX('4. Valuation'!$C$10:$I$17,MATCH($D183,'4. Valuation'!$C$10:$C$17,0),MATCH($I$25,'4. Valuation'!$C$10:$I$10,0)),0)</f>
        <v>21.448728269247237</v>
      </c>
      <c r="J183" s="277"/>
      <c r="K183" s="312">
        <f t="shared" si="51"/>
        <v>13992</v>
      </c>
      <c r="L183" s="312">
        <f t="shared" si="52"/>
        <v>1166</v>
      </c>
      <c r="M183" s="312">
        <f t="shared" si="53"/>
        <v>26.007434944237918</v>
      </c>
      <c r="N183" s="278"/>
      <c r="O183" s="278"/>
      <c r="P183" s="278"/>
      <c r="Q183" s="278"/>
      <c r="R183" s="312">
        <f>IFERROR(INDEX('4. Valuation'!$O$10:$X$17,MATCH($D183,'4. Valuation'!$O$10:$O$17,0),MATCH($R$25,'4. Valuation'!$O$10:$X$10,0)),0)</f>
        <v>0</v>
      </c>
      <c r="S183" s="312">
        <f>IFERROR(INDEX('4. Valuation'!$O$10:$X$17,MATCH($D183,'4. Valuation'!$O$10:$O$17,0),MATCH($S$25,'4. Valuation'!$O$10:$X$10,0)),0)</f>
        <v>0</v>
      </c>
      <c r="T183" s="312">
        <f>IFERROR(INDEX('4. Valuation'!$O$10:$X$17,MATCH($D183,'4. Valuation'!$O$10:$O$17,0),MATCH($T$25,'4. Valuation'!$O$10:$X$10,0)),0)</f>
        <v>0</v>
      </c>
      <c r="U183" s="278"/>
      <c r="V183" s="312">
        <f t="shared" si="54"/>
        <v>0</v>
      </c>
      <c r="W183" s="312">
        <f t="shared" si="55"/>
        <v>0</v>
      </c>
      <c r="X183" s="312">
        <f t="shared" si="56"/>
        <v>0</v>
      </c>
      <c r="Y183" s="278"/>
      <c r="Z183" s="312">
        <f t="shared" si="57"/>
        <v>15480</v>
      </c>
      <c r="AA183" s="312">
        <f>'3. GRI Pricing'!Y174</f>
        <v>1290</v>
      </c>
      <c r="AB183" s="359">
        <f t="shared" si="58"/>
        <v>28.773234200743495</v>
      </c>
    </row>
    <row r="184" spans="3:28" s="30" customFormat="1" ht="12" x14ac:dyDescent="0.2">
      <c r="C184" s="77" t="str">
        <f>'1. Accomodation'!N179</f>
        <v>703S</v>
      </c>
      <c r="D184" s="77" t="str">
        <f>'1. Accomodation'!P179</f>
        <v>2 Bed</v>
      </c>
      <c r="E184" s="77">
        <f>'1. Accomodation'!O179</f>
        <v>549</v>
      </c>
      <c r="G184" s="341">
        <v>15780</v>
      </c>
      <c r="H184" s="273">
        <f>IFERROR(INDEX('4. Valuation'!$C$10:$I$17,MATCH($D184,'4. Valuation'!$C$10:$C$17,0),MATCH($H$25,'4. Valuation'!$C$10:$I$10,0)),0)</f>
        <v>1166</v>
      </c>
      <c r="I184" s="273">
        <f>IFERROR(INDEX('4. Valuation'!$C$10:$I$17,MATCH($D184,'4. Valuation'!$C$10:$C$17,0),MATCH($I$25,'4. Valuation'!$C$10:$I$10,0)),0)</f>
        <v>21.448728269247237</v>
      </c>
      <c r="J184" s="277"/>
      <c r="K184" s="312">
        <f t="shared" si="51"/>
        <v>13992</v>
      </c>
      <c r="L184" s="312">
        <f t="shared" si="52"/>
        <v>1166</v>
      </c>
      <c r="M184" s="312">
        <f t="shared" si="53"/>
        <v>25.486338797814209</v>
      </c>
      <c r="N184" s="278"/>
      <c r="O184" s="278"/>
      <c r="P184" s="278"/>
      <c r="Q184" s="278"/>
      <c r="R184" s="312">
        <f>IFERROR(INDEX('4. Valuation'!$O$10:$X$17,MATCH($D184,'4. Valuation'!$O$10:$O$17,0),MATCH($R$25,'4. Valuation'!$O$10:$X$10,0)),0)</f>
        <v>0</v>
      </c>
      <c r="S184" s="312">
        <f>IFERROR(INDEX('4. Valuation'!$O$10:$X$17,MATCH($D184,'4. Valuation'!$O$10:$O$17,0),MATCH($S$25,'4. Valuation'!$O$10:$X$10,0)),0)</f>
        <v>0</v>
      </c>
      <c r="T184" s="312">
        <f>IFERROR(INDEX('4. Valuation'!$O$10:$X$17,MATCH($D184,'4. Valuation'!$O$10:$O$17,0),MATCH($T$25,'4. Valuation'!$O$10:$X$10,0)),0)</f>
        <v>0</v>
      </c>
      <c r="U184" s="278"/>
      <c r="V184" s="312">
        <f t="shared" si="54"/>
        <v>0</v>
      </c>
      <c r="W184" s="312">
        <f t="shared" si="55"/>
        <v>0</v>
      </c>
      <c r="X184" s="312">
        <f t="shared" si="56"/>
        <v>0</v>
      </c>
      <c r="Y184" s="278"/>
      <c r="Z184" s="312">
        <f t="shared" si="57"/>
        <v>15480</v>
      </c>
      <c r="AA184" s="312">
        <f>'3. GRI Pricing'!Y175</f>
        <v>1290</v>
      </c>
      <c r="AB184" s="359">
        <f t="shared" si="58"/>
        <v>28.196721311475411</v>
      </c>
    </row>
    <row r="185" spans="3:28" s="30" customFormat="1" ht="12" x14ac:dyDescent="0.2">
      <c r="C185" s="77" t="str">
        <f>'1. Accomodation'!N180</f>
        <v>704S</v>
      </c>
      <c r="D185" s="77" t="str">
        <f>'1. Accomodation'!P180</f>
        <v>3 Bed</v>
      </c>
      <c r="E185" s="77">
        <f>'1. Accomodation'!O180</f>
        <v>753</v>
      </c>
      <c r="G185" s="341">
        <v>19560</v>
      </c>
      <c r="H185" s="273">
        <f>IFERROR(INDEX('4. Valuation'!$C$10:$I$17,MATCH($D185,'4. Valuation'!$C$10:$C$17,0),MATCH($H$25,'4. Valuation'!$C$10:$I$10,0)),0)</f>
        <v>1511</v>
      </c>
      <c r="I185" s="273">
        <f>IFERROR(INDEX('4. Valuation'!$C$10:$I$17,MATCH($D185,'4. Valuation'!$C$10:$C$17,0),MATCH($I$25,'4. Valuation'!$C$10:$I$10,0)),0)</f>
        <v>22.026444890903143</v>
      </c>
      <c r="J185" s="277"/>
      <c r="K185" s="312">
        <f t="shared" si="51"/>
        <v>18132</v>
      </c>
      <c r="L185" s="312">
        <f t="shared" si="52"/>
        <v>1511</v>
      </c>
      <c r="M185" s="312">
        <f t="shared" si="53"/>
        <v>24.079681274900398</v>
      </c>
      <c r="N185" s="278"/>
      <c r="O185" s="278"/>
      <c r="P185" s="278"/>
      <c r="Q185" s="278"/>
      <c r="R185" s="312">
        <f>IFERROR(INDEX('4. Valuation'!$O$10:$X$17,MATCH($D185,'4. Valuation'!$O$10:$O$17,0),MATCH($R$25,'4. Valuation'!$O$10:$X$10,0)),0)</f>
        <v>0</v>
      </c>
      <c r="S185" s="312">
        <f>IFERROR(INDEX('4. Valuation'!$O$10:$X$17,MATCH($D185,'4. Valuation'!$O$10:$O$17,0),MATCH($S$25,'4. Valuation'!$O$10:$X$10,0)),0)</f>
        <v>0</v>
      </c>
      <c r="T185" s="312">
        <f>IFERROR(INDEX('4. Valuation'!$O$10:$X$17,MATCH($D185,'4. Valuation'!$O$10:$O$17,0),MATCH($T$25,'4. Valuation'!$O$10:$X$10,0)),0)</f>
        <v>0</v>
      </c>
      <c r="U185" s="278"/>
      <c r="V185" s="312">
        <f t="shared" si="54"/>
        <v>0</v>
      </c>
      <c r="W185" s="312">
        <f t="shared" si="55"/>
        <v>0</v>
      </c>
      <c r="X185" s="312">
        <f t="shared" si="56"/>
        <v>0</v>
      </c>
      <c r="Y185" s="278"/>
      <c r="Z185" s="312">
        <f t="shared" si="57"/>
        <v>19980</v>
      </c>
      <c r="AA185" s="312">
        <f>'3. GRI Pricing'!Y176</f>
        <v>1665</v>
      </c>
      <c r="AB185" s="359">
        <f t="shared" si="58"/>
        <v>26.533864541832671</v>
      </c>
    </row>
    <row r="186" spans="3:28" s="30" customFormat="1" ht="12" x14ac:dyDescent="0.2">
      <c r="C186" s="77" t="str">
        <f>'1. Accomodation'!N181</f>
        <v>705S</v>
      </c>
      <c r="D186" s="77" t="str">
        <f>'1. Accomodation'!P181</f>
        <v>2 Bed</v>
      </c>
      <c r="E186" s="77">
        <f>'1. Accomodation'!O181</f>
        <v>689</v>
      </c>
      <c r="G186" s="341">
        <v>15600</v>
      </c>
      <c r="H186" s="273">
        <f>IFERROR(INDEX('4. Valuation'!$C$10:$I$17,MATCH($D186,'4. Valuation'!$C$10:$C$17,0),MATCH($H$25,'4. Valuation'!$C$10:$I$10,0)),0)</f>
        <v>1166</v>
      </c>
      <c r="I186" s="273">
        <f>IFERROR(INDEX('4. Valuation'!$C$10:$I$17,MATCH($D186,'4. Valuation'!$C$10:$C$17,0),MATCH($I$25,'4. Valuation'!$C$10:$I$10,0)),0)</f>
        <v>21.448728269247237</v>
      </c>
      <c r="J186" s="277"/>
      <c r="K186" s="312">
        <f t="shared" si="51"/>
        <v>13992</v>
      </c>
      <c r="L186" s="312">
        <f t="shared" si="52"/>
        <v>1166</v>
      </c>
      <c r="M186" s="312">
        <f t="shared" si="53"/>
        <v>20.307692307692307</v>
      </c>
      <c r="N186" s="278"/>
      <c r="O186" s="278"/>
      <c r="P186" s="278"/>
      <c r="Q186" s="278"/>
      <c r="R186" s="312">
        <f>IFERROR(INDEX('4. Valuation'!$O$10:$X$17,MATCH($D186,'4. Valuation'!$O$10:$O$17,0),MATCH($R$25,'4. Valuation'!$O$10:$X$10,0)),0)</f>
        <v>0</v>
      </c>
      <c r="S186" s="312">
        <f>IFERROR(INDEX('4. Valuation'!$O$10:$X$17,MATCH($D186,'4. Valuation'!$O$10:$O$17,0),MATCH($S$25,'4. Valuation'!$O$10:$X$10,0)),0)</f>
        <v>0</v>
      </c>
      <c r="T186" s="312">
        <f>IFERROR(INDEX('4. Valuation'!$O$10:$X$17,MATCH($D186,'4. Valuation'!$O$10:$O$17,0),MATCH($T$25,'4. Valuation'!$O$10:$X$10,0)),0)</f>
        <v>0</v>
      </c>
      <c r="U186" s="278"/>
      <c r="V186" s="312">
        <f t="shared" si="54"/>
        <v>0</v>
      </c>
      <c r="W186" s="312">
        <f t="shared" si="55"/>
        <v>0</v>
      </c>
      <c r="X186" s="312">
        <f t="shared" si="56"/>
        <v>0</v>
      </c>
      <c r="Y186" s="278"/>
      <c r="Z186" s="312">
        <f t="shared" si="57"/>
        <v>15840</v>
      </c>
      <c r="AA186" s="312">
        <f>'3. GRI Pricing'!Y177</f>
        <v>1320</v>
      </c>
      <c r="AB186" s="359">
        <f t="shared" si="58"/>
        <v>22.989840348330915</v>
      </c>
    </row>
    <row r="187" spans="3:28" s="30" customFormat="1" ht="12" x14ac:dyDescent="0.2">
      <c r="C187" s="77" t="str">
        <f>'1. Accomodation'!N182</f>
        <v>706S</v>
      </c>
      <c r="D187" s="77" t="str">
        <f>'1. Accomodation'!P182</f>
        <v>1 Bed</v>
      </c>
      <c r="E187" s="77">
        <f>'1. Accomodation'!O182</f>
        <v>484</v>
      </c>
      <c r="G187" s="341">
        <v>11580</v>
      </c>
      <c r="H187" s="273">
        <f>IFERROR(INDEX('4. Valuation'!$C$10:$I$17,MATCH($D187,'4. Valuation'!$C$10:$C$17,0),MATCH($H$25,'4. Valuation'!$C$10:$I$10,0)),0)</f>
        <v>867</v>
      </c>
      <c r="I187" s="273">
        <f>IFERROR(INDEX('4. Valuation'!$C$10:$I$17,MATCH($D187,'4. Valuation'!$C$10:$C$17,0),MATCH($I$25,'4. Valuation'!$C$10:$I$10,0)),0)</f>
        <v>20.660726106217222</v>
      </c>
      <c r="J187" s="277"/>
      <c r="K187" s="312">
        <f t="shared" si="51"/>
        <v>10404</v>
      </c>
      <c r="L187" s="312">
        <f t="shared" si="52"/>
        <v>867</v>
      </c>
      <c r="M187" s="312">
        <f t="shared" si="53"/>
        <v>21.495867768595041</v>
      </c>
      <c r="N187" s="278"/>
      <c r="O187" s="278"/>
      <c r="P187" s="278"/>
      <c r="Q187" s="278"/>
      <c r="R187" s="312">
        <f>IFERROR(INDEX('4. Valuation'!$O$10:$X$17,MATCH($D187,'4. Valuation'!$O$10:$O$17,0),MATCH($R$25,'4. Valuation'!$O$10:$X$10,0)),0)</f>
        <v>0</v>
      </c>
      <c r="S187" s="312">
        <f>IFERROR(INDEX('4. Valuation'!$O$10:$X$17,MATCH($D187,'4. Valuation'!$O$10:$O$17,0),MATCH($S$25,'4. Valuation'!$O$10:$X$10,0)),0)</f>
        <v>0</v>
      </c>
      <c r="T187" s="312">
        <f>IFERROR(INDEX('4. Valuation'!$O$10:$X$17,MATCH($D187,'4. Valuation'!$O$10:$O$17,0),MATCH($T$25,'4. Valuation'!$O$10:$X$10,0)),0)</f>
        <v>0</v>
      </c>
      <c r="U187" s="278"/>
      <c r="V187" s="312">
        <f t="shared" si="54"/>
        <v>0</v>
      </c>
      <c r="W187" s="312">
        <f t="shared" si="55"/>
        <v>0</v>
      </c>
      <c r="X187" s="312">
        <f t="shared" si="56"/>
        <v>0</v>
      </c>
      <c r="Y187" s="278"/>
      <c r="Z187" s="312">
        <f t="shared" si="57"/>
        <v>12000</v>
      </c>
      <c r="AA187" s="312">
        <f>'3. GRI Pricing'!Y178</f>
        <v>1000</v>
      </c>
      <c r="AB187" s="359">
        <f t="shared" si="58"/>
        <v>24.793388429752067</v>
      </c>
    </row>
    <row r="188" spans="3:28" s="30" customFormat="1" ht="12" x14ac:dyDescent="0.2">
      <c r="C188" s="77" t="str">
        <f>'1. Accomodation'!N183</f>
        <v>707S</v>
      </c>
      <c r="D188" s="77" t="str">
        <f>'1. Accomodation'!P183</f>
        <v>2 Bed</v>
      </c>
      <c r="E188" s="77">
        <f>'1. Accomodation'!O183</f>
        <v>624</v>
      </c>
      <c r="G188" s="341">
        <v>15240</v>
      </c>
      <c r="H188" s="273">
        <f>IFERROR(INDEX('4. Valuation'!$C$10:$I$17,MATCH($D188,'4. Valuation'!$C$10:$C$17,0),MATCH($H$25,'4. Valuation'!$C$10:$I$10,0)),0)</f>
        <v>1166</v>
      </c>
      <c r="I188" s="273">
        <f>IFERROR(INDEX('4. Valuation'!$C$10:$I$17,MATCH($D188,'4. Valuation'!$C$10:$C$17,0),MATCH($I$25,'4. Valuation'!$C$10:$I$10,0)),0)</f>
        <v>21.448728269247237</v>
      </c>
      <c r="J188" s="277"/>
      <c r="K188" s="312">
        <f t="shared" si="51"/>
        <v>13992</v>
      </c>
      <c r="L188" s="312">
        <f t="shared" si="52"/>
        <v>1166</v>
      </c>
      <c r="M188" s="312">
        <f t="shared" si="53"/>
        <v>22.423076923076923</v>
      </c>
      <c r="N188" s="278"/>
      <c r="O188" s="278"/>
      <c r="P188" s="278"/>
      <c r="Q188" s="278"/>
      <c r="R188" s="312">
        <f>IFERROR(INDEX('4. Valuation'!$O$10:$X$17,MATCH($D188,'4. Valuation'!$O$10:$O$17,0),MATCH($R$25,'4. Valuation'!$O$10:$X$10,0)),0)</f>
        <v>0</v>
      </c>
      <c r="S188" s="312">
        <f>IFERROR(INDEX('4. Valuation'!$O$10:$X$17,MATCH($D188,'4. Valuation'!$O$10:$O$17,0),MATCH($S$25,'4. Valuation'!$O$10:$X$10,0)),0)</f>
        <v>0</v>
      </c>
      <c r="T188" s="312">
        <f>IFERROR(INDEX('4. Valuation'!$O$10:$X$17,MATCH($D188,'4. Valuation'!$O$10:$O$17,0),MATCH($T$25,'4. Valuation'!$O$10:$X$10,0)),0)</f>
        <v>0</v>
      </c>
      <c r="U188" s="278"/>
      <c r="V188" s="312">
        <f t="shared" si="54"/>
        <v>0</v>
      </c>
      <c r="W188" s="312">
        <f t="shared" si="55"/>
        <v>0</v>
      </c>
      <c r="X188" s="312">
        <f t="shared" si="56"/>
        <v>0</v>
      </c>
      <c r="Y188" s="278"/>
      <c r="Z188" s="312">
        <f t="shared" si="57"/>
        <v>15180</v>
      </c>
      <c r="AA188" s="312">
        <f>'3. GRI Pricing'!Y179</f>
        <v>1265</v>
      </c>
      <c r="AB188" s="359">
        <f t="shared" si="58"/>
        <v>24.326923076923077</v>
      </c>
    </row>
    <row r="189" spans="3:28" s="30" customFormat="1" ht="12" x14ac:dyDescent="0.2">
      <c r="C189" s="77" t="str">
        <f>'1. Accomodation'!N184</f>
        <v>801S</v>
      </c>
      <c r="D189" s="77" t="str">
        <f>'1. Accomodation'!P184</f>
        <v>2 Bed</v>
      </c>
      <c r="E189" s="77">
        <f>'1. Accomodation'!O184</f>
        <v>538</v>
      </c>
      <c r="G189" s="341">
        <v>16620</v>
      </c>
      <c r="H189" s="273">
        <f>IFERROR(INDEX('4. Valuation'!$C$10:$I$17,MATCH($D189,'4. Valuation'!$C$10:$C$17,0),MATCH($H$25,'4. Valuation'!$C$10:$I$10,0)),0)</f>
        <v>1166</v>
      </c>
      <c r="I189" s="273">
        <f>IFERROR(INDEX('4. Valuation'!$C$10:$I$17,MATCH($D189,'4. Valuation'!$C$10:$C$17,0),MATCH($I$25,'4. Valuation'!$C$10:$I$10,0)),0)</f>
        <v>21.448728269247237</v>
      </c>
      <c r="J189" s="277"/>
      <c r="K189" s="312">
        <f t="shared" si="51"/>
        <v>13992</v>
      </c>
      <c r="L189" s="312">
        <f t="shared" si="52"/>
        <v>1166</v>
      </c>
      <c r="M189" s="312">
        <f t="shared" si="53"/>
        <v>26.007434944237918</v>
      </c>
      <c r="N189" s="278"/>
      <c r="O189" s="278"/>
      <c r="P189" s="278"/>
      <c r="Q189" s="278"/>
      <c r="R189" s="312">
        <f>IFERROR(INDEX('4. Valuation'!$O$10:$X$17,MATCH($D189,'4. Valuation'!$O$10:$O$17,0),MATCH($R$25,'4. Valuation'!$O$10:$X$10,0)),0)</f>
        <v>0</v>
      </c>
      <c r="S189" s="312">
        <f>IFERROR(INDEX('4. Valuation'!$O$10:$X$17,MATCH($D189,'4. Valuation'!$O$10:$O$17,0),MATCH($S$25,'4. Valuation'!$O$10:$X$10,0)),0)</f>
        <v>0</v>
      </c>
      <c r="T189" s="312">
        <f>IFERROR(INDEX('4. Valuation'!$O$10:$X$17,MATCH($D189,'4. Valuation'!$O$10:$O$17,0),MATCH($T$25,'4. Valuation'!$O$10:$X$10,0)),0)</f>
        <v>0</v>
      </c>
      <c r="U189" s="278"/>
      <c r="V189" s="312">
        <f t="shared" si="54"/>
        <v>0</v>
      </c>
      <c r="W189" s="312">
        <f t="shared" si="55"/>
        <v>0</v>
      </c>
      <c r="X189" s="312">
        <f t="shared" si="56"/>
        <v>0</v>
      </c>
      <c r="Y189" s="278"/>
      <c r="Z189" s="312">
        <f t="shared" si="57"/>
        <v>16320</v>
      </c>
      <c r="AA189" s="312">
        <f>'3. GRI Pricing'!Y180</f>
        <v>1360</v>
      </c>
      <c r="AB189" s="359">
        <f t="shared" si="58"/>
        <v>30.334572490706321</v>
      </c>
    </row>
    <row r="190" spans="3:28" s="30" customFormat="1" ht="12" x14ac:dyDescent="0.2">
      <c r="C190" s="77" t="str">
        <f>'1. Accomodation'!N185</f>
        <v>802S</v>
      </c>
      <c r="D190" s="77" t="str">
        <f>'1. Accomodation'!P185</f>
        <v>2 Bed</v>
      </c>
      <c r="E190" s="77">
        <f>'1. Accomodation'!O185</f>
        <v>538</v>
      </c>
      <c r="G190" s="341">
        <v>15600</v>
      </c>
      <c r="H190" s="273">
        <f>IFERROR(INDEX('4. Valuation'!$C$10:$I$17,MATCH($D190,'4. Valuation'!$C$10:$C$17,0),MATCH($H$25,'4. Valuation'!$C$10:$I$10,0)),0)</f>
        <v>1166</v>
      </c>
      <c r="I190" s="273">
        <f>IFERROR(INDEX('4. Valuation'!$C$10:$I$17,MATCH($D190,'4. Valuation'!$C$10:$C$17,0),MATCH($I$25,'4. Valuation'!$C$10:$I$10,0)),0)</f>
        <v>21.448728269247237</v>
      </c>
      <c r="J190" s="277"/>
      <c r="K190" s="312">
        <f t="shared" si="51"/>
        <v>13992</v>
      </c>
      <c r="L190" s="312">
        <f t="shared" si="52"/>
        <v>1166</v>
      </c>
      <c r="M190" s="312">
        <f t="shared" si="53"/>
        <v>26.007434944237918</v>
      </c>
      <c r="N190" s="278"/>
      <c r="O190" s="278"/>
      <c r="P190" s="278"/>
      <c r="Q190" s="278"/>
      <c r="R190" s="312">
        <f>IFERROR(INDEX('4. Valuation'!$O$10:$X$17,MATCH($D190,'4. Valuation'!$O$10:$O$17,0),MATCH($R$25,'4. Valuation'!$O$10:$X$10,0)),0)</f>
        <v>0</v>
      </c>
      <c r="S190" s="312">
        <f>IFERROR(INDEX('4. Valuation'!$O$10:$X$17,MATCH($D190,'4. Valuation'!$O$10:$O$17,0),MATCH($S$25,'4. Valuation'!$O$10:$X$10,0)),0)</f>
        <v>0</v>
      </c>
      <c r="T190" s="312">
        <f>IFERROR(INDEX('4. Valuation'!$O$10:$X$17,MATCH($D190,'4. Valuation'!$O$10:$O$17,0),MATCH($T$25,'4. Valuation'!$O$10:$X$10,0)),0)</f>
        <v>0</v>
      </c>
      <c r="U190" s="278"/>
      <c r="V190" s="312">
        <f t="shared" si="54"/>
        <v>0</v>
      </c>
      <c r="W190" s="312">
        <f t="shared" si="55"/>
        <v>0</v>
      </c>
      <c r="X190" s="312">
        <f t="shared" si="56"/>
        <v>0</v>
      </c>
      <c r="Y190" s="278"/>
      <c r="Z190" s="312">
        <f t="shared" si="57"/>
        <v>16320</v>
      </c>
      <c r="AA190" s="312">
        <f>'3. GRI Pricing'!Y181</f>
        <v>1360</v>
      </c>
      <c r="AB190" s="359">
        <f t="shared" si="58"/>
        <v>30.334572490706321</v>
      </c>
    </row>
    <row r="191" spans="3:28" s="30" customFormat="1" ht="12" x14ac:dyDescent="0.2">
      <c r="C191" s="77" t="str">
        <f>'1. Accomodation'!N186</f>
        <v>803S</v>
      </c>
      <c r="D191" s="77" t="str">
        <f>'1. Accomodation'!P186</f>
        <v>2 Bed</v>
      </c>
      <c r="E191" s="77">
        <f>'1. Accomodation'!O186</f>
        <v>549</v>
      </c>
      <c r="G191" s="341">
        <v>16560</v>
      </c>
      <c r="H191" s="273">
        <f>IFERROR(INDEX('4. Valuation'!$C$10:$I$17,MATCH($D191,'4. Valuation'!$C$10:$C$17,0),MATCH($H$25,'4. Valuation'!$C$10:$I$10,0)),0)</f>
        <v>1166</v>
      </c>
      <c r="I191" s="273">
        <f>IFERROR(INDEX('4. Valuation'!$C$10:$I$17,MATCH($D191,'4. Valuation'!$C$10:$C$17,0),MATCH($I$25,'4. Valuation'!$C$10:$I$10,0)),0)</f>
        <v>21.448728269247237</v>
      </c>
      <c r="J191" s="277"/>
      <c r="K191" s="312">
        <f t="shared" si="51"/>
        <v>13992</v>
      </c>
      <c r="L191" s="312">
        <f t="shared" si="52"/>
        <v>1166</v>
      </c>
      <c r="M191" s="312">
        <f t="shared" si="53"/>
        <v>25.486338797814209</v>
      </c>
      <c r="N191" s="278"/>
      <c r="O191" s="278"/>
      <c r="P191" s="278"/>
      <c r="Q191" s="278"/>
      <c r="R191" s="312">
        <f>IFERROR(INDEX('4. Valuation'!$O$10:$X$17,MATCH($D191,'4. Valuation'!$O$10:$O$17,0),MATCH($R$25,'4. Valuation'!$O$10:$X$10,0)),0)</f>
        <v>0</v>
      </c>
      <c r="S191" s="312">
        <f>IFERROR(INDEX('4. Valuation'!$O$10:$X$17,MATCH($D191,'4. Valuation'!$O$10:$O$17,0),MATCH($S$25,'4. Valuation'!$O$10:$X$10,0)),0)</f>
        <v>0</v>
      </c>
      <c r="T191" s="312">
        <f>IFERROR(INDEX('4. Valuation'!$O$10:$X$17,MATCH($D191,'4. Valuation'!$O$10:$O$17,0),MATCH($T$25,'4. Valuation'!$O$10:$X$10,0)),0)</f>
        <v>0</v>
      </c>
      <c r="U191" s="278"/>
      <c r="V191" s="312">
        <f t="shared" si="54"/>
        <v>0</v>
      </c>
      <c r="W191" s="312">
        <f t="shared" si="55"/>
        <v>0</v>
      </c>
      <c r="X191" s="312">
        <f t="shared" si="56"/>
        <v>0</v>
      </c>
      <c r="Y191" s="278"/>
      <c r="Z191" s="312">
        <f t="shared" si="57"/>
        <v>16320</v>
      </c>
      <c r="AA191" s="312">
        <f>'3. GRI Pricing'!Y182</f>
        <v>1360</v>
      </c>
      <c r="AB191" s="359">
        <f t="shared" si="58"/>
        <v>29.726775956284154</v>
      </c>
    </row>
    <row r="192" spans="3:28" s="30" customFormat="1" ht="12" x14ac:dyDescent="0.2">
      <c r="C192" s="77" t="str">
        <f>'1. Accomodation'!N187</f>
        <v>804S</v>
      </c>
      <c r="D192" s="77" t="str">
        <f>'1. Accomodation'!P187</f>
        <v>3 Bed</v>
      </c>
      <c r="E192" s="77">
        <f>'1. Accomodation'!O187</f>
        <v>753</v>
      </c>
      <c r="G192" s="341">
        <v>21240</v>
      </c>
      <c r="H192" s="273">
        <f>IFERROR(INDEX('4. Valuation'!$C$10:$I$17,MATCH($D192,'4. Valuation'!$C$10:$C$17,0),MATCH($H$25,'4. Valuation'!$C$10:$I$10,0)),0)</f>
        <v>1511</v>
      </c>
      <c r="I192" s="273">
        <f>IFERROR(INDEX('4. Valuation'!$C$10:$I$17,MATCH($D192,'4. Valuation'!$C$10:$C$17,0),MATCH($I$25,'4. Valuation'!$C$10:$I$10,0)),0)</f>
        <v>22.026444890903143</v>
      </c>
      <c r="J192" s="277"/>
      <c r="K192" s="312">
        <f t="shared" si="51"/>
        <v>18132</v>
      </c>
      <c r="L192" s="312">
        <f t="shared" si="52"/>
        <v>1511</v>
      </c>
      <c r="M192" s="312">
        <f t="shared" si="53"/>
        <v>24.079681274900398</v>
      </c>
      <c r="N192" s="278"/>
      <c r="O192" s="278"/>
      <c r="P192" s="278"/>
      <c r="Q192" s="278"/>
      <c r="R192" s="312">
        <f>IFERROR(INDEX('4. Valuation'!$O$10:$X$17,MATCH($D192,'4. Valuation'!$O$10:$O$17,0),MATCH($R$25,'4. Valuation'!$O$10:$X$10,0)),0)</f>
        <v>0</v>
      </c>
      <c r="S192" s="312">
        <f>IFERROR(INDEX('4. Valuation'!$O$10:$X$17,MATCH($D192,'4. Valuation'!$O$10:$O$17,0),MATCH($S$25,'4. Valuation'!$O$10:$X$10,0)),0)</f>
        <v>0</v>
      </c>
      <c r="T192" s="312">
        <f>IFERROR(INDEX('4. Valuation'!$O$10:$X$17,MATCH($D192,'4. Valuation'!$O$10:$O$17,0),MATCH($T$25,'4. Valuation'!$O$10:$X$10,0)),0)</f>
        <v>0</v>
      </c>
      <c r="U192" s="278"/>
      <c r="V192" s="312">
        <f t="shared" si="54"/>
        <v>0</v>
      </c>
      <c r="W192" s="312">
        <f t="shared" si="55"/>
        <v>0</v>
      </c>
      <c r="X192" s="312">
        <f t="shared" si="56"/>
        <v>0</v>
      </c>
      <c r="Y192" s="278"/>
      <c r="Z192" s="312">
        <f t="shared" si="57"/>
        <v>20820</v>
      </c>
      <c r="AA192" s="312">
        <f>'3. GRI Pricing'!Y183</f>
        <v>1735</v>
      </c>
      <c r="AB192" s="359">
        <f t="shared" si="58"/>
        <v>27.649402390438247</v>
      </c>
    </row>
    <row r="193" spans="3:28" s="30" customFormat="1" ht="12" x14ac:dyDescent="0.2">
      <c r="C193" s="77" t="str">
        <f>'1. Accomodation'!N188</f>
        <v>805S</v>
      </c>
      <c r="D193" s="77" t="str">
        <f>'1. Accomodation'!P188</f>
        <v>2 Bed</v>
      </c>
      <c r="E193" s="77">
        <f>'1. Accomodation'!O188</f>
        <v>689</v>
      </c>
      <c r="G193" s="341">
        <v>16680</v>
      </c>
      <c r="H193" s="273">
        <f>IFERROR(INDEX('4. Valuation'!$C$10:$I$17,MATCH($D193,'4. Valuation'!$C$10:$C$17,0),MATCH($H$25,'4. Valuation'!$C$10:$I$10,0)),0)</f>
        <v>1166</v>
      </c>
      <c r="I193" s="273">
        <f>IFERROR(INDEX('4. Valuation'!$C$10:$I$17,MATCH($D193,'4. Valuation'!$C$10:$C$17,0),MATCH($I$25,'4. Valuation'!$C$10:$I$10,0)),0)</f>
        <v>21.448728269247237</v>
      </c>
      <c r="J193" s="277"/>
      <c r="K193" s="312">
        <f t="shared" si="51"/>
        <v>13992</v>
      </c>
      <c r="L193" s="312">
        <f t="shared" si="52"/>
        <v>1166</v>
      </c>
      <c r="M193" s="312">
        <f t="shared" si="53"/>
        <v>20.307692307692307</v>
      </c>
      <c r="N193" s="278"/>
      <c r="O193" s="278"/>
      <c r="P193" s="278"/>
      <c r="Q193" s="278"/>
      <c r="R193" s="312">
        <f>IFERROR(INDEX('4. Valuation'!$O$10:$X$17,MATCH($D193,'4. Valuation'!$O$10:$O$17,0),MATCH($R$25,'4. Valuation'!$O$10:$X$10,0)),0)</f>
        <v>0</v>
      </c>
      <c r="S193" s="312">
        <f>IFERROR(INDEX('4. Valuation'!$O$10:$X$17,MATCH($D193,'4. Valuation'!$O$10:$O$17,0),MATCH($S$25,'4. Valuation'!$O$10:$X$10,0)),0)</f>
        <v>0</v>
      </c>
      <c r="T193" s="312">
        <f>IFERROR(INDEX('4. Valuation'!$O$10:$X$17,MATCH($D193,'4. Valuation'!$O$10:$O$17,0),MATCH($T$25,'4. Valuation'!$O$10:$X$10,0)),0)</f>
        <v>0</v>
      </c>
      <c r="U193" s="278"/>
      <c r="V193" s="312">
        <f t="shared" si="54"/>
        <v>0</v>
      </c>
      <c r="W193" s="312">
        <f t="shared" si="55"/>
        <v>0</v>
      </c>
      <c r="X193" s="312">
        <f t="shared" si="56"/>
        <v>0</v>
      </c>
      <c r="Y193" s="278"/>
      <c r="Z193" s="312">
        <f t="shared" si="57"/>
        <v>16560</v>
      </c>
      <c r="AA193" s="312">
        <f>'3. GRI Pricing'!Y184</f>
        <v>1380</v>
      </c>
      <c r="AB193" s="359">
        <f t="shared" si="58"/>
        <v>24.034833091436866</v>
      </c>
    </row>
    <row r="194" spans="3:28" s="30" customFormat="1" ht="12" x14ac:dyDescent="0.2">
      <c r="C194" s="77" t="str">
        <f>'1. Accomodation'!N189</f>
        <v>806S</v>
      </c>
      <c r="D194" s="77" t="str">
        <f>'1. Accomodation'!P189</f>
        <v>1 Bed</v>
      </c>
      <c r="E194" s="77">
        <f>'1. Accomodation'!O189</f>
        <v>484</v>
      </c>
      <c r="G194" s="341">
        <v>12240</v>
      </c>
      <c r="H194" s="273">
        <f>IFERROR(INDEX('4. Valuation'!$C$10:$I$17,MATCH($D194,'4. Valuation'!$C$10:$C$17,0),MATCH($H$25,'4. Valuation'!$C$10:$I$10,0)),0)</f>
        <v>867</v>
      </c>
      <c r="I194" s="273">
        <f>IFERROR(INDEX('4. Valuation'!$C$10:$I$17,MATCH($D194,'4. Valuation'!$C$10:$C$17,0),MATCH($I$25,'4. Valuation'!$C$10:$I$10,0)),0)</f>
        <v>20.660726106217222</v>
      </c>
      <c r="J194" s="277"/>
      <c r="K194" s="312">
        <f t="shared" si="51"/>
        <v>10404</v>
      </c>
      <c r="L194" s="312">
        <f t="shared" si="52"/>
        <v>867</v>
      </c>
      <c r="M194" s="312">
        <f t="shared" si="53"/>
        <v>21.495867768595041</v>
      </c>
      <c r="N194" s="278"/>
      <c r="O194" s="278"/>
      <c r="P194" s="278"/>
      <c r="Q194" s="278"/>
      <c r="R194" s="312">
        <f>IFERROR(INDEX('4. Valuation'!$O$10:$X$17,MATCH($D194,'4. Valuation'!$O$10:$O$17,0),MATCH($R$25,'4. Valuation'!$O$10:$X$10,0)),0)</f>
        <v>0</v>
      </c>
      <c r="S194" s="312">
        <f>IFERROR(INDEX('4. Valuation'!$O$10:$X$17,MATCH($D194,'4. Valuation'!$O$10:$O$17,0),MATCH($S$25,'4. Valuation'!$O$10:$X$10,0)),0)</f>
        <v>0</v>
      </c>
      <c r="T194" s="312">
        <f>IFERROR(INDEX('4. Valuation'!$O$10:$X$17,MATCH($D194,'4. Valuation'!$O$10:$O$17,0),MATCH($T$25,'4. Valuation'!$O$10:$X$10,0)),0)</f>
        <v>0</v>
      </c>
      <c r="U194" s="278"/>
      <c r="V194" s="312">
        <f t="shared" si="54"/>
        <v>0</v>
      </c>
      <c r="W194" s="312">
        <f t="shared" si="55"/>
        <v>0</v>
      </c>
      <c r="X194" s="312">
        <f t="shared" si="56"/>
        <v>0</v>
      </c>
      <c r="Y194" s="278"/>
      <c r="Z194" s="312">
        <f t="shared" si="57"/>
        <v>12720</v>
      </c>
      <c r="AA194" s="312">
        <f>'3. GRI Pricing'!Y185</f>
        <v>1060</v>
      </c>
      <c r="AB194" s="359">
        <f t="shared" si="58"/>
        <v>26.280991735537189</v>
      </c>
    </row>
    <row r="195" spans="3:28" s="30" customFormat="1" ht="12" x14ac:dyDescent="0.2">
      <c r="C195" s="77" t="str">
        <f>'1. Accomodation'!N190</f>
        <v>807S</v>
      </c>
      <c r="D195" s="77" t="str">
        <f>'1. Accomodation'!P190</f>
        <v>2 Bed</v>
      </c>
      <c r="E195" s="77">
        <f>'1. Accomodation'!O190</f>
        <v>624</v>
      </c>
      <c r="G195" s="341">
        <v>16080</v>
      </c>
      <c r="H195" s="273">
        <f>IFERROR(INDEX('4. Valuation'!$C$10:$I$17,MATCH($D195,'4. Valuation'!$C$10:$C$17,0),MATCH($H$25,'4. Valuation'!$C$10:$I$10,0)),0)</f>
        <v>1166</v>
      </c>
      <c r="I195" s="273">
        <f>IFERROR(INDEX('4. Valuation'!$C$10:$I$17,MATCH($D195,'4. Valuation'!$C$10:$C$17,0),MATCH($I$25,'4. Valuation'!$C$10:$I$10,0)),0)</f>
        <v>21.448728269247237</v>
      </c>
      <c r="J195" s="277"/>
      <c r="K195" s="312">
        <f t="shared" si="51"/>
        <v>13992</v>
      </c>
      <c r="L195" s="312">
        <f t="shared" si="52"/>
        <v>1166</v>
      </c>
      <c r="M195" s="312">
        <f t="shared" si="53"/>
        <v>22.423076923076923</v>
      </c>
      <c r="N195" s="278"/>
      <c r="O195" s="278"/>
      <c r="P195" s="278"/>
      <c r="Q195" s="278"/>
      <c r="R195" s="312">
        <f>IFERROR(INDEX('4. Valuation'!$O$10:$X$17,MATCH($D195,'4. Valuation'!$O$10:$O$17,0),MATCH($R$25,'4. Valuation'!$O$10:$X$10,0)),0)</f>
        <v>0</v>
      </c>
      <c r="S195" s="312">
        <f>IFERROR(INDEX('4. Valuation'!$O$10:$X$17,MATCH($D195,'4. Valuation'!$O$10:$O$17,0),MATCH($S$25,'4. Valuation'!$O$10:$X$10,0)),0)</f>
        <v>0</v>
      </c>
      <c r="T195" s="312">
        <f>IFERROR(INDEX('4. Valuation'!$O$10:$X$17,MATCH($D195,'4. Valuation'!$O$10:$O$17,0),MATCH($T$25,'4. Valuation'!$O$10:$X$10,0)),0)</f>
        <v>0</v>
      </c>
      <c r="U195" s="278"/>
      <c r="V195" s="312">
        <f t="shared" si="54"/>
        <v>0</v>
      </c>
      <c r="W195" s="312">
        <f t="shared" si="55"/>
        <v>0</v>
      </c>
      <c r="X195" s="312">
        <f t="shared" si="56"/>
        <v>0</v>
      </c>
      <c r="Y195" s="278"/>
      <c r="Z195" s="312">
        <f t="shared" si="57"/>
        <v>15900</v>
      </c>
      <c r="AA195" s="312">
        <f>'3. GRI Pricing'!Y186</f>
        <v>1325</v>
      </c>
      <c r="AB195" s="359">
        <f t="shared" si="58"/>
        <v>25.48076923076923</v>
      </c>
    </row>
    <row r="196" spans="3:28" s="30" customFormat="1" ht="12" x14ac:dyDescent="0.2">
      <c r="C196" s="77" t="str">
        <f>'1. Accomodation'!N191</f>
        <v>1W</v>
      </c>
      <c r="D196" s="77" t="str">
        <f>'1. Accomodation'!P191</f>
        <v>2 Bed</v>
      </c>
      <c r="E196" s="77">
        <f>'1. Accomodation'!O191</f>
        <v>689</v>
      </c>
      <c r="G196" s="341">
        <v>15000</v>
      </c>
      <c r="H196" s="273">
        <f>IFERROR(INDEX('4. Valuation'!$C$10:$I$17,MATCH($D196,'4. Valuation'!$C$10:$C$17,0),MATCH($H$25,'4. Valuation'!$C$10:$I$10,0)),0)</f>
        <v>1166</v>
      </c>
      <c r="I196" s="359">
        <f>IFERROR(INDEX('4. Valuation'!$C$10:$I$17,MATCH($D196,'4. Valuation'!$C$10:$C$17,0),MATCH($I$25,'4. Valuation'!$C$10:$I$10,0)),0)</f>
        <v>21.448728269247237</v>
      </c>
      <c r="J196" s="277"/>
      <c r="K196" s="312">
        <f t="shared" si="51"/>
        <v>13992</v>
      </c>
      <c r="L196" s="312">
        <f t="shared" si="52"/>
        <v>1166</v>
      </c>
      <c r="M196" s="359">
        <f t="shared" si="53"/>
        <v>20.307692307692307</v>
      </c>
      <c r="N196" s="278"/>
      <c r="O196" s="278"/>
      <c r="P196" s="278"/>
      <c r="Q196" s="278"/>
      <c r="R196" s="312">
        <f>IFERROR(INDEX('4. Valuation'!$O$10:$X$17,MATCH($D196,'4. Valuation'!$O$10:$O$17,0),MATCH($R$25,'4. Valuation'!$O$10:$X$10,0)),0)</f>
        <v>0</v>
      </c>
      <c r="S196" s="312">
        <f>IFERROR(INDEX('4. Valuation'!$O$10:$X$17,MATCH($D196,'4. Valuation'!$O$10:$O$17,0),MATCH($S$25,'4. Valuation'!$O$10:$X$10,0)),0)</f>
        <v>0</v>
      </c>
      <c r="T196" s="312">
        <f>IFERROR(INDEX('4. Valuation'!$O$10:$X$17,MATCH($D196,'4. Valuation'!$O$10:$O$17,0),MATCH($T$25,'4. Valuation'!$O$10:$X$10,0)),0)</f>
        <v>0</v>
      </c>
      <c r="U196" s="278"/>
      <c r="V196" s="312">
        <f t="shared" si="54"/>
        <v>0</v>
      </c>
      <c r="W196" s="312">
        <f t="shared" si="55"/>
        <v>0</v>
      </c>
      <c r="X196" s="312">
        <f t="shared" si="56"/>
        <v>0</v>
      </c>
      <c r="Y196" s="278"/>
      <c r="Z196" s="312">
        <f t="shared" si="57"/>
        <v>15060</v>
      </c>
      <c r="AA196" s="312">
        <f>'3. GRI Pricing'!Y187</f>
        <v>1255</v>
      </c>
      <c r="AB196" s="359">
        <f t="shared" si="58"/>
        <v>21.8577648766328</v>
      </c>
    </row>
    <row r="197" spans="3:28" s="30" customFormat="1" ht="12" x14ac:dyDescent="0.2">
      <c r="C197" s="77" t="str">
        <f>'1. Accomodation'!N192</f>
        <v>2W</v>
      </c>
      <c r="D197" s="77" t="str">
        <f>'1. Accomodation'!P192</f>
        <v>1 Bed</v>
      </c>
      <c r="E197" s="77">
        <f>'1. Accomodation'!O192</f>
        <v>463</v>
      </c>
      <c r="G197" s="341">
        <v>10800</v>
      </c>
      <c r="H197" s="273">
        <f>IFERROR(INDEX('4. Valuation'!$C$10:$I$17,MATCH($D197,'4. Valuation'!$C$10:$C$17,0),MATCH($H$25,'4. Valuation'!$C$10:$I$10,0)),0)</f>
        <v>867</v>
      </c>
      <c r="I197" s="359">
        <f>IFERROR(INDEX('4. Valuation'!$C$10:$I$17,MATCH($D197,'4. Valuation'!$C$10:$C$17,0),MATCH($I$25,'4. Valuation'!$C$10:$I$10,0)),0)</f>
        <v>20.660726106217222</v>
      </c>
      <c r="J197" s="277"/>
      <c r="K197" s="312">
        <f t="shared" si="51"/>
        <v>10404</v>
      </c>
      <c r="L197" s="312">
        <f t="shared" si="52"/>
        <v>867</v>
      </c>
      <c r="M197" s="359">
        <f t="shared" si="53"/>
        <v>22.47084233261339</v>
      </c>
      <c r="N197" s="278"/>
      <c r="O197" s="278"/>
      <c r="P197" s="278"/>
      <c r="Q197" s="278"/>
      <c r="R197" s="312">
        <f>IFERROR(INDEX('4. Valuation'!$O$10:$X$17,MATCH($D197,'4. Valuation'!$O$10:$O$17,0),MATCH($R$25,'4. Valuation'!$O$10:$X$10,0)),0)</f>
        <v>0</v>
      </c>
      <c r="S197" s="312">
        <f>IFERROR(INDEX('4. Valuation'!$O$10:$X$17,MATCH($D197,'4. Valuation'!$O$10:$O$17,0),MATCH($S$25,'4. Valuation'!$O$10:$X$10,0)),0)</f>
        <v>0</v>
      </c>
      <c r="T197" s="312">
        <f>IFERROR(INDEX('4. Valuation'!$O$10:$X$17,MATCH($D197,'4. Valuation'!$O$10:$O$17,0),MATCH($T$25,'4. Valuation'!$O$10:$X$10,0)),0)</f>
        <v>0</v>
      </c>
      <c r="U197" s="278"/>
      <c r="V197" s="312">
        <f t="shared" si="54"/>
        <v>0</v>
      </c>
      <c r="W197" s="312">
        <f t="shared" si="55"/>
        <v>0</v>
      </c>
      <c r="X197" s="312">
        <f t="shared" si="56"/>
        <v>0</v>
      </c>
      <c r="Y197" s="278"/>
      <c r="Z197" s="312">
        <f t="shared" si="57"/>
        <v>10980</v>
      </c>
      <c r="AA197" s="312">
        <f>'3. GRI Pricing'!Y188</f>
        <v>915</v>
      </c>
      <c r="AB197" s="359">
        <f t="shared" si="58"/>
        <v>23.714902807775378</v>
      </c>
    </row>
    <row r="198" spans="3:28" s="30" customFormat="1" ht="12" x14ac:dyDescent="0.2">
      <c r="C198" s="77" t="str">
        <f>'1. Accomodation'!N193</f>
        <v>3W</v>
      </c>
      <c r="D198" s="77" t="str">
        <f>'1. Accomodation'!P193</f>
        <v>1 Bed</v>
      </c>
      <c r="E198" s="77">
        <f>'1. Accomodation'!O193</f>
        <v>549</v>
      </c>
      <c r="G198" s="341">
        <v>10980</v>
      </c>
      <c r="H198" s="273">
        <f>IFERROR(INDEX('4. Valuation'!$C$10:$I$17,MATCH($D198,'4. Valuation'!$C$10:$C$17,0),MATCH($H$25,'4. Valuation'!$C$10:$I$10,0)),0)</f>
        <v>867</v>
      </c>
      <c r="I198" s="359">
        <f>IFERROR(INDEX('4. Valuation'!$C$10:$I$17,MATCH($D198,'4. Valuation'!$C$10:$C$17,0),MATCH($I$25,'4. Valuation'!$C$10:$I$10,0)),0)</f>
        <v>20.660726106217222</v>
      </c>
      <c r="J198" s="277"/>
      <c r="K198" s="312">
        <f t="shared" si="51"/>
        <v>10404</v>
      </c>
      <c r="L198" s="312">
        <f t="shared" si="52"/>
        <v>867</v>
      </c>
      <c r="M198" s="359">
        <f t="shared" si="53"/>
        <v>18.950819672131146</v>
      </c>
      <c r="N198" s="278"/>
      <c r="O198" s="278"/>
      <c r="P198" s="278"/>
      <c r="Q198" s="278"/>
      <c r="R198" s="312">
        <f>IFERROR(INDEX('4. Valuation'!$O$10:$X$17,MATCH($D198,'4. Valuation'!$O$10:$O$17,0),MATCH($R$25,'4. Valuation'!$O$10:$X$10,0)),0)</f>
        <v>0</v>
      </c>
      <c r="S198" s="312">
        <f>IFERROR(INDEX('4. Valuation'!$O$10:$X$17,MATCH($D198,'4. Valuation'!$O$10:$O$17,0),MATCH($S$25,'4. Valuation'!$O$10:$X$10,0)),0)</f>
        <v>0</v>
      </c>
      <c r="T198" s="312">
        <f>IFERROR(INDEX('4. Valuation'!$O$10:$X$17,MATCH($D198,'4. Valuation'!$O$10:$O$17,0),MATCH($T$25,'4. Valuation'!$O$10:$X$10,0)),0)</f>
        <v>0</v>
      </c>
      <c r="U198" s="278"/>
      <c r="V198" s="312">
        <f t="shared" si="54"/>
        <v>0</v>
      </c>
      <c r="W198" s="312">
        <f t="shared" si="55"/>
        <v>0</v>
      </c>
      <c r="X198" s="312">
        <f t="shared" si="56"/>
        <v>0</v>
      </c>
      <c r="Y198" s="278"/>
      <c r="Z198" s="312">
        <f t="shared" si="57"/>
        <v>11280</v>
      </c>
      <c r="AA198" s="312">
        <f>'3. GRI Pricing'!Y189</f>
        <v>940</v>
      </c>
      <c r="AB198" s="359">
        <f t="shared" si="58"/>
        <v>20.546448087431695</v>
      </c>
    </row>
    <row r="199" spans="3:28" s="30" customFormat="1" ht="12" x14ac:dyDescent="0.2">
      <c r="C199" s="77" t="str">
        <f>'1. Accomodation'!N194</f>
        <v>4W</v>
      </c>
      <c r="D199" s="77" t="str">
        <f>'1. Accomodation'!P194</f>
        <v>1 Bed</v>
      </c>
      <c r="E199" s="77">
        <f>'1. Accomodation'!O194</f>
        <v>484</v>
      </c>
      <c r="G199" s="341">
        <v>11400</v>
      </c>
      <c r="H199" s="273">
        <f>IFERROR(INDEX('4. Valuation'!$C$10:$I$17,MATCH($D199,'4. Valuation'!$C$10:$C$17,0),MATCH($H$25,'4. Valuation'!$C$10:$I$10,0)),0)</f>
        <v>867</v>
      </c>
      <c r="I199" s="359">
        <f>IFERROR(INDEX('4. Valuation'!$C$10:$I$17,MATCH($D199,'4. Valuation'!$C$10:$C$17,0),MATCH($I$25,'4. Valuation'!$C$10:$I$10,0)),0)</f>
        <v>20.660726106217222</v>
      </c>
      <c r="J199" s="277"/>
      <c r="K199" s="312">
        <f t="shared" si="51"/>
        <v>10404</v>
      </c>
      <c r="L199" s="312">
        <f t="shared" si="52"/>
        <v>867</v>
      </c>
      <c r="M199" s="359">
        <f t="shared" si="53"/>
        <v>21.495867768595041</v>
      </c>
      <c r="N199" s="278"/>
      <c r="O199" s="278"/>
      <c r="P199" s="278"/>
      <c r="Q199" s="278"/>
      <c r="R199" s="312">
        <f>IFERROR(INDEX('4. Valuation'!$O$10:$X$17,MATCH($D199,'4. Valuation'!$O$10:$O$17,0),MATCH($R$25,'4. Valuation'!$O$10:$X$10,0)),0)</f>
        <v>0</v>
      </c>
      <c r="S199" s="312">
        <f>IFERROR(INDEX('4. Valuation'!$O$10:$X$17,MATCH($D199,'4. Valuation'!$O$10:$O$17,0),MATCH($S$25,'4. Valuation'!$O$10:$X$10,0)),0)</f>
        <v>0</v>
      </c>
      <c r="T199" s="312">
        <f>IFERROR(INDEX('4. Valuation'!$O$10:$X$17,MATCH($D199,'4. Valuation'!$O$10:$O$17,0),MATCH($T$25,'4. Valuation'!$O$10:$X$10,0)),0)</f>
        <v>0</v>
      </c>
      <c r="U199" s="278"/>
      <c r="V199" s="312">
        <f t="shared" si="54"/>
        <v>0</v>
      </c>
      <c r="W199" s="312">
        <f t="shared" si="55"/>
        <v>0</v>
      </c>
      <c r="X199" s="312">
        <f t="shared" si="56"/>
        <v>0</v>
      </c>
      <c r="Y199" s="278"/>
      <c r="Z199" s="312">
        <f t="shared" si="57"/>
        <v>11100</v>
      </c>
      <c r="AA199" s="312">
        <f>'3. GRI Pricing'!Y190</f>
        <v>925</v>
      </c>
      <c r="AB199" s="359">
        <f t="shared" si="58"/>
        <v>22.93388429752066</v>
      </c>
    </row>
    <row r="200" spans="3:28" s="30" customFormat="1" ht="12" x14ac:dyDescent="0.2">
      <c r="C200" s="77" t="str">
        <f>'1. Accomodation'!N195</f>
        <v>5W</v>
      </c>
      <c r="D200" s="77" t="str">
        <f>'1. Accomodation'!P195</f>
        <v>2 Bed</v>
      </c>
      <c r="E200" s="77">
        <f>'1. Accomodation'!O195</f>
        <v>678</v>
      </c>
      <c r="G200" s="341">
        <v>15000</v>
      </c>
      <c r="H200" s="273">
        <f>IFERROR(INDEX('4. Valuation'!$C$10:$I$17,MATCH($D200,'4. Valuation'!$C$10:$C$17,0),MATCH($H$25,'4. Valuation'!$C$10:$I$10,0)),0)</f>
        <v>1166</v>
      </c>
      <c r="I200" s="359">
        <f>IFERROR(INDEX('4. Valuation'!$C$10:$I$17,MATCH($D200,'4. Valuation'!$C$10:$C$17,0),MATCH($I$25,'4. Valuation'!$C$10:$I$10,0)),0)</f>
        <v>21.448728269247237</v>
      </c>
      <c r="J200" s="277"/>
      <c r="K200" s="312">
        <f t="shared" si="51"/>
        <v>13992</v>
      </c>
      <c r="L200" s="312">
        <f t="shared" si="52"/>
        <v>1166</v>
      </c>
      <c r="M200" s="359">
        <f t="shared" si="53"/>
        <v>20.63716814159292</v>
      </c>
      <c r="N200" s="278"/>
      <c r="O200" s="278"/>
      <c r="P200" s="278"/>
      <c r="Q200" s="278"/>
      <c r="R200" s="312">
        <f>IFERROR(INDEX('4. Valuation'!$O$10:$X$17,MATCH($D200,'4. Valuation'!$O$10:$O$17,0),MATCH($R$25,'4. Valuation'!$O$10:$X$10,0)),0)</f>
        <v>0</v>
      </c>
      <c r="S200" s="312">
        <f>IFERROR(INDEX('4. Valuation'!$O$10:$X$17,MATCH($D200,'4. Valuation'!$O$10:$O$17,0),MATCH($S$25,'4. Valuation'!$O$10:$X$10,0)),0)</f>
        <v>0</v>
      </c>
      <c r="T200" s="312">
        <f>IFERROR(INDEX('4. Valuation'!$O$10:$X$17,MATCH($D200,'4. Valuation'!$O$10:$O$17,0),MATCH($T$25,'4. Valuation'!$O$10:$X$10,0)),0)</f>
        <v>0</v>
      </c>
      <c r="U200" s="278"/>
      <c r="V200" s="312">
        <f t="shared" si="54"/>
        <v>0</v>
      </c>
      <c r="W200" s="312">
        <f t="shared" si="55"/>
        <v>0</v>
      </c>
      <c r="X200" s="312">
        <f t="shared" si="56"/>
        <v>0</v>
      </c>
      <c r="Y200" s="278"/>
      <c r="Z200" s="312">
        <f t="shared" si="57"/>
        <v>14580</v>
      </c>
      <c r="AA200" s="312">
        <f>'3. GRI Pricing'!Y191</f>
        <v>1215</v>
      </c>
      <c r="AB200" s="359">
        <f t="shared" si="58"/>
        <v>21.504424778761063</v>
      </c>
    </row>
    <row r="201" spans="3:28" s="30" customFormat="1" ht="12" x14ac:dyDescent="0.2">
      <c r="C201" s="77" t="str">
        <f>'1. Accomodation'!N196</f>
        <v>6W</v>
      </c>
      <c r="D201" s="77" t="str">
        <f>'1. Accomodation'!P196</f>
        <v>2 Bed</v>
      </c>
      <c r="E201" s="77">
        <f>'1. Accomodation'!O196</f>
        <v>743</v>
      </c>
      <c r="G201" s="341">
        <v>15480</v>
      </c>
      <c r="H201" s="273">
        <f>IFERROR(INDEX('4. Valuation'!$C$10:$I$17,MATCH($D201,'4. Valuation'!$C$10:$C$17,0),MATCH($H$25,'4. Valuation'!$C$10:$I$10,0)),0)</f>
        <v>1166</v>
      </c>
      <c r="I201" s="359">
        <f>IFERROR(INDEX('4. Valuation'!$C$10:$I$17,MATCH($D201,'4. Valuation'!$C$10:$C$17,0),MATCH($I$25,'4. Valuation'!$C$10:$I$10,0)),0)</f>
        <v>21.448728269247237</v>
      </c>
      <c r="J201" s="277"/>
      <c r="K201" s="312">
        <f t="shared" si="51"/>
        <v>13992</v>
      </c>
      <c r="L201" s="312">
        <f t="shared" si="52"/>
        <v>1166</v>
      </c>
      <c r="M201" s="359">
        <f t="shared" si="53"/>
        <v>18.831763122476445</v>
      </c>
      <c r="N201" s="278"/>
      <c r="O201" s="278"/>
      <c r="P201" s="278"/>
      <c r="Q201" s="278"/>
      <c r="R201" s="312">
        <f>IFERROR(INDEX('4. Valuation'!$O$10:$X$17,MATCH($D201,'4. Valuation'!$O$10:$O$17,0),MATCH($R$25,'4. Valuation'!$O$10:$X$10,0)),0)</f>
        <v>0</v>
      </c>
      <c r="S201" s="312">
        <f>IFERROR(INDEX('4. Valuation'!$O$10:$X$17,MATCH($D201,'4. Valuation'!$O$10:$O$17,0),MATCH($S$25,'4. Valuation'!$O$10:$X$10,0)),0)</f>
        <v>0</v>
      </c>
      <c r="T201" s="312">
        <f>IFERROR(INDEX('4. Valuation'!$O$10:$X$17,MATCH($D201,'4. Valuation'!$O$10:$O$17,0),MATCH($T$25,'4. Valuation'!$O$10:$X$10,0)),0)</f>
        <v>0</v>
      </c>
      <c r="U201" s="278"/>
      <c r="V201" s="312">
        <f t="shared" si="54"/>
        <v>0</v>
      </c>
      <c r="W201" s="312">
        <f t="shared" si="55"/>
        <v>0</v>
      </c>
      <c r="X201" s="312">
        <f t="shared" si="56"/>
        <v>0</v>
      </c>
      <c r="Y201" s="278"/>
      <c r="Z201" s="312">
        <f t="shared" si="57"/>
        <v>15540</v>
      </c>
      <c r="AA201" s="312">
        <f>'3. GRI Pricing'!Y192</f>
        <v>1295</v>
      </c>
      <c r="AB201" s="359">
        <f t="shared" si="58"/>
        <v>20.915208613728129</v>
      </c>
    </row>
    <row r="202" spans="3:28" s="30" customFormat="1" ht="12" x14ac:dyDescent="0.2">
      <c r="C202" s="77" t="str">
        <f>'1. Accomodation'!N197</f>
        <v>7W</v>
      </c>
      <c r="D202" s="77" t="str">
        <f>'1. Accomodation'!P197</f>
        <v>2 Bed</v>
      </c>
      <c r="E202" s="77">
        <f>'1. Accomodation'!O197</f>
        <v>710</v>
      </c>
      <c r="G202" s="341">
        <v>15720</v>
      </c>
      <c r="H202" s="273">
        <f>IFERROR(INDEX('4. Valuation'!$C$10:$I$17,MATCH($D202,'4. Valuation'!$C$10:$C$17,0),MATCH($H$25,'4. Valuation'!$C$10:$I$10,0)),0)</f>
        <v>1166</v>
      </c>
      <c r="I202" s="359">
        <f>IFERROR(INDEX('4. Valuation'!$C$10:$I$17,MATCH($D202,'4. Valuation'!$C$10:$C$17,0),MATCH($I$25,'4. Valuation'!$C$10:$I$10,0)),0)</f>
        <v>21.448728269247237</v>
      </c>
      <c r="J202" s="277"/>
      <c r="K202" s="312">
        <f t="shared" si="51"/>
        <v>13992</v>
      </c>
      <c r="L202" s="312">
        <f t="shared" si="52"/>
        <v>1166</v>
      </c>
      <c r="M202" s="359">
        <f t="shared" si="53"/>
        <v>19.707042253521127</v>
      </c>
      <c r="N202" s="278"/>
      <c r="O202" s="278"/>
      <c r="P202" s="278"/>
      <c r="Q202" s="278"/>
      <c r="R202" s="312">
        <f>IFERROR(INDEX('4. Valuation'!$O$10:$X$17,MATCH($D202,'4. Valuation'!$O$10:$O$17,0),MATCH($R$25,'4. Valuation'!$O$10:$X$10,0)),0)</f>
        <v>0</v>
      </c>
      <c r="S202" s="312">
        <f>IFERROR(INDEX('4. Valuation'!$O$10:$X$17,MATCH($D202,'4. Valuation'!$O$10:$O$17,0),MATCH($S$25,'4. Valuation'!$O$10:$X$10,0)),0)</f>
        <v>0</v>
      </c>
      <c r="T202" s="312">
        <f>IFERROR(INDEX('4. Valuation'!$O$10:$X$17,MATCH($D202,'4. Valuation'!$O$10:$O$17,0),MATCH($T$25,'4. Valuation'!$O$10:$X$10,0)),0)</f>
        <v>0</v>
      </c>
      <c r="U202" s="278"/>
      <c r="V202" s="312">
        <f t="shared" si="54"/>
        <v>0</v>
      </c>
      <c r="W202" s="312">
        <f t="shared" si="55"/>
        <v>0</v>
      </c>
      <c r="X202" s="312">
        <f t="shared" si="56"/>
        <v>0</v>
      </c>
      <c r="Y202" s="278"/>
      <c r="Z202" s="312">
        <f t="shared" si="57"/>
        <v>15660</v>
      </c>
      <c r="AA202" s="312">
        <f>'3. GRI Pricing'!Y193</f>
        <v>1305</v>
      </c>
      <c r="AB202" s="359">
        <f t="shared" si="58"/>
        <v>22.056338028169016</v>
      </c>
    </row>
    <row r="203" spans="3:28" s="30" customFormat="1" ht="12" x14ac:dyDescent="0.2">
      <c r="C203" s="77" t="str">
        <f>'1. Accomodation'!N198</f>
        <v>8W</v>
      </c>
      <c r="D203" s="77" t="str">
        <f>'1. Accomodation'!P198</f>
        <v>2 Bed</v>
      </c>
      <c r="E203" s="77">
        <f>'1. Accomodation'!O198</f>
        <v>667</v>
      </c>
      <c r="G203" s="341">
        <v>14820</v>
      </c>
      <c r="H203" s="273">
        <f>IFERROR(INDEX('4. Valuation'!$C$10:$I$17,MATCH($D203,'4. Valuation'!$C$10:$C$17,0),MATCH($H$25,'4. Valuation'!$C$10:$I$10,0)),0)</f>
        <v>1166</v>
      </c>
      <c r="I203" s="359">
        <f>IFERROR(INDEX('4. Valuation'!$C$10:$I$17,MATCH($D203,'4. Valuation'!$C$10:$C$17,0),MATCH($I$25,'4. Valuation'!$C$10:$I$10,0)),0)</f>
        <v>21.448728269247237</v>
      </c>
      <c r="J203" s="277"/>
      <c r="K203" s="312">
        <f t="shared" si="51"/>
        <v>13992</v>
      </c>
      <c r="L203" s="312">
        <f t="shared" si="52"/>
        <v>1166</v>
      </c>
      <c r="M203" s="359">
        <f t="shared" si="53"/>
        <v>20.977511244377812</v>
      </c>
      <c r="N203" s="278"/>
      <c r="O203" s="278"/>
      <c r="P203" s="278"/>
      <c r="Q203" s="278"/>
      <c r="R203" s="312">
        <f>IFERROR(INDEX('4. Valuation'!$O$10:$X$17,MATCH($D203,'4. Valuation'!$O$10:$O$17,0),MATCH($R$25,'4. Valuation'!$O$10:$X$10,0)),0)</f>
        <v>0</v>
      </c>
      <c r="S203" s="312">
        <f>IFERROR(INDEX('4. Valuation'!$O$10:$X$17,MATCH($D203,'4. Valuation'!$O$10:$O$17,0),MATCH($S$25,'4. Valuation'!$O$10:$X$10,0)),0)</f>
        <v>0</v>
      </c>
      <c r="T203" s="312">
        <f>IFERROR(INDEX('4. Valuation'!$O$10:$X$17,MATCH($D203,'4. Valuation'!$O$10:$O$17,0),MATCH($T$25,'4. Valuation'!$O$10:$X$10,0)),0)</f>
        <v>0</v>
      </c>
      <c r="U203" s="278"/>
      <c r="V203" s="312">
        <f t="shared" si="54"/>
        <v>0</v>
      </c>
      <c r="W203" s="312">
        <f t="shared" si="55"/>
        <v>0</v>
      </c>
      <c r="X203" s="312">
        <f t="shared" si="56"/>
        <v>0</v>
      </c>
      <c r="Y203" s="278"/>
      <c r="Z203" s="312">
        <f t="shared" si="57"/>
        <v>15060</v>
      </c>
      <c r="AA203" s="312">
        <f>'3. GRI Pricing'!Y194</f>
        <v>1255</v>
      </c>
      <c r="AB203" s="359">
        <f t="shared" si="58"/>
        <v>22.57871064467766</v>
      </c>
    </row>
    <row r="204" spans="3:28" s="30" customFormat="1" ht="12" x14ac:dyDescent="0.2">
      <c r="C204" s="77" t="str">
        <f>'1. Accomodation'!N199</f>
        <v>9W</v>
      </c>
      <c r="D204" s="77" t="str">
        <f>'1. Accomodation'!P199</f>
        <v>1 Bed</v>
      </c>
      <c r="E204" s="77">
        <f>'1. Accomodation'!O199</f>
        <v>463</v>
      </c>
      <c r="G204" s="341">
        <v>10440</v>
      </c>
      <c r="H204" s="273">
        <f>IFERROR(INDEX('4. Valuation'!$C$10:$I$17,MATCH($D204,'4. Valuation'!$C$10:$C$17,0),MATCH($H$25,'4. Valuation'!$C$10:$I$10,0)),0)</f>
        <v>867</v>
      </c>
      <c r="I204" s="359">
        <f>IFERROR(INDEX('4. Valuation'!$C$10:$I$17,MATCH($D204,'4. Valuation'!$C$10:$C$17,0),MATCH($I$25,'4. Valuation'!$C$10:$I$10,0)),0)</f>
        <v>20.660726106217222</v>
      </c>
      <c r="J204" s="277"/>
      <c r="K204" s="312">
        <f t="shared" si="51"/>
        <v>10404</v>
      </c>
      <c r="L204" s="312">
        <f t="shared" si="52"/>
        <v>867</v>
      </c>
      <c r="M204" s="359">
        <f t="shared" si="53"/>
        <v>22.47084233261339</v>
      </c>
      <c r="N204" s="278"/>
      <c r="O204" s="278"/>
      <c r="P204" s="278"/>
      <c r="Q204" s="278"/>
      <c r="R204" s="312">
        <f>IFERROR(INDEX('4. Valuation'!$O$10:$X$17,MATCH($D204,'4. Valuation'!$O$10:$O$17,0),MATCH($R$25,'4. Valuation'!$O$10:$X$10,0)),0)</f>
        <v>0</v>
      </c>
      <c r="S204" s="312">
        <f>IFERROR(INDEX('4. Valuation'!$O$10:$X$17,MATCH($D204,'4. Valuation'!$O$10:$O$17,0),MATCH($S$25,'4. Valuation'!$O$10:$X$10,0)),0)</f>
        <v>0</v>
      </c>
      <c r="T204" s="312">
        <f>IFERROR(INDEX('4. Valuation'!$O$10:$X$17,MATCH($D204,'4. Valuation'!$O$10:$O$17,0),MATCH($T$25,'4. Valuation'!$O$10:$X$10,0)),0)</f>
        <v>0</v>
      </c>
      <c r="U204" s="278"/>
      <c r="V204" s="312">
        <f t="shared" si="54"/>
        <v>0</v>
      </c>
      <c r="W204" s="312">
        <f t="shared" si="55"/>
        <v>0</v>
      </c>
      <c r="X204" s="312">
        <f t="shared" si="56"/>
        <v>0</v>
      </c>
      <c r="Y204" s="278"/>
      <c r="Z204" s="312">
        <f t="shared" si="57"/>
        <v>10920</v>
      </c>
      <c r="AA204" s="312">
        <f>'3. GRI Pricing'!Y195</f>
        <v>910</v>
      </c>
      <c r="AB204" s="359">
        <f t="shared" si="58"/>
        <v>23.585313174946005</v>
      </c>
    </row>
    <row r="205" spans="3:28" s="30" customFormat="1" ht="12" x14ac:dyDescent="0.2">
      <c r="C205" s="77" t="str">
        <f>'1. Accomodation'!N200</f>
        <v>10W</v>
      </c>
      <c r="D205" s="77" t="str">
        <f>'1. Accomodation'!P200</f>
        <v>3 Bed</v>
      </c>
      <c r="E205" s="77">
        <f>'1. Accomodation'!O200</f>
        <v>797</v>
      </c>
      <c r="G205" s="341">
        <v>17640</v>
      </c>
      <c r="H205" s="273">
        <f>IFERROR(INDEX('4. Valuation'!$C$10:$I$17,MATCH($D205,'4. Valuation'!$C$10:$C$17,0),MATCH($H$25,'4. Valuation'!$C$10:$I$10,0)),0)</f>
        <v>1511</v>
      </c>
      <c r="I205" s="359">
        <f>IFERROR(INDEX('4. Valuation'!$C$10:$I$17,MATCH($D205,'4. Valuation'!$C$10:$C$17,0),MATCH($I$25,'4. Valuation'!$C$10:$I$10,0)),0)</f>
        <v>22.026444890903143</v>
      </c>
      <c r="J205" s="277"/>
      <c r="K205" s="312">
        <f t="shared" si="51"/>
        <v>18132</v>
      </c>
      <c r="L205" s="312">
        <f t="shared" si="52"/>
        <v>1511</v>
      </c>
      <c r="M205" s="359">
        <f t="shared" si="53"/>
        <v>22.750313676286073</v>
      </c>
      <c r="N205" s="278"/>
      <c r="O205" s="278"/>
      <c r="P205" s="278"/>
      <c r="Q205" s="278"/>
      <c r="R205" s="312">
        <f>IFERROR(INDEX('4. Valuation'!$O$10:$X$17,MATCH($D205,'4. Valuation'!$O$10:$O$17,0),MATCH($R$25,'4. Valuation'!$O$10:$X$10,0)),0)</f>
        <v>0</v>
      </c>
      <c r="S205" s="312">
        <f>IFERROR(INDEX('4. Valuation'!$O$10:$X$17,MATCH($D205,'4. Valuation'!$O$10:$O$17,0),MATCH($S$25,'4. Valuation'!$O$10:$X$10,0)),0)</f>
        <v>0</v>
      </c>
      <c r="T205" s="312">
        <f>IFERROR(INDEX('4. Valuation'!$O$10:$X$17,MATCH($D205,'4. Valuation'!$O$10:$O$17,0),MATCH($T$25,'4. Valuation'!$O$10:$X$10,0)),0)</f>
        <v>0</v>
      </c>
      <c r="U205" s="278"/>
      <c r="V205" s="312">
        <f t="shared" si="54"/>
        <v>0</v>
      </c>
      <c r="W205" s="312">
        <f t="shared" si="55"/>
        <v>0</v>
      </c>
      <c r="X205" s="312">
        <f t="shared" si="56"/>
        <v>0</v>
      </c>
      <c r="Y205" s="278"/>
      <c r="Z205" s="312">
        <f t="shared" si="57"/>
        <v>18360</v>
      </c>
      <c r="AA205" s="312">
        <f>'3. GRI Pricing'!Y196</f>
        <v>1530</v>
      </c>
      <c r="AB205" s="359">
        <f t="shared" si="58"/>
        <v>23.036386449184441</v>
      </c>
    </row>
    <row r="206" spans="3:28" s="30" customFormat="1" ht="12" x14ac:dyDescent="0.2">
      <c r="C206" s="77" t="str">
        <f>'1. Accomodation'!N201</f>
        <v>11W</v>
      </c>
      <c r="D206" s="77" t="str">
        <f>'1. Accomodation'!P201</f>
        <v>2 Bed</v>
      </c>
      <c r="E206" s="77">
        <f>'1. Accomodation'!O201</f>
        <v>635</v>
      </c>
      <c r="G206" s="341">
        <v>14760</v>
      </c>
      <c r="H206" s="273">
        <f>IFERROR(INDEX('4. Valuation'!$C$10:$I$17,MATCH($D206,'4. Valuation'!$C$10:$C$17,0),MATCH($H$25,'4. Valuation'!$C$10:$I$10,0)),0)</f>
        <v>1166</v>
      </c>
      <c r="I206" s="359">
        <f>IFERROR(INDEX('4. Valuation'!$C$10:$I$17,MATCH($D206,'4. Valuation'!$C$10:$C$17,0),MATCH($I$25,'4. Valuation'!$C$10:$I$10,0)),0)</f>
        <v>21.448728269247237</v>
      </c>
      <c r="J206" s="277"/>
      <c r="K206" s="312">
        <f t="shared" si="51"/>
        <v>13992</v>
      </c>
      <c r="L206" s="312">
        <f t="shared" si="52"/>
        <v>1166</v>
      </c>
      <c r="M206" s="359">
        <f t="shared" si="53"/>
        <v>22.03464566929134</v>
      </c>
      <c r="N206" s="278"/>
      <c r="O206" s="278"/>
      <c r="P206" s="278"/>
      <c r="Q206" s="278"/>
      <c r="R206" s="312">
        <f>IFERROR(INDEX('4. Valuation'!$O$10:$X$17,MATCH($D206,'4. Valuation'!$O$10:$O$17,0),MATCH($R$25,'4. Valuation'!$O$10:$X$10,0)),0)</f>
        <v>0</v>
      </c>
      <c r="S206" s="312">
        <f>IFERROR(INDEX('4. Valuation'!$O$10:$X$17,MATCH($D206,'4. Valuation'!$O$10:$O$17,0),MATCH($S$25,'4. Valuation'!$O$10:$X$10,0)),0)</f>
        <v>0</v>
      </c>
      <c r="T206" s="312">
        <f>IFERROR(INDEX('4. Valuation'!$O$10:$X$17,MATCH($D206,'4. Valuation'!$O$10:$O$17,0),MATCH($T$25,'4. Valuation'!$O$10:$X$10,0)),0)</f>
        <v>0</v>
      </c>
      <c r="U206" s="278"/>
      <c r="V206" s="312">
        <f t="shared" si="54"/>
        <v>0</v>
      </c>
      <c r="W206" s="312">
        <f t="shared" si="55"/>
        <v>0</v>
      </c>
      <c r="X206" s="312">
        <f t="shared" si="56"/>
        <v>0</v>
      </c>
      <c r="Y206" s="278"/>
      <c r="Z206" s="312">
        <f t="shared" si="57"/>
        <v>14280</v>
      </c>
      <c r="AA206" s="312">
        <f>'3. GRI Pricing'!Y197</f>
        <v>1190</v>
      </c>
      <c r="AB206" s="359">
        <f t="shared" si="58"/>
        <v>22.488188976377952</v>
      </c>
    </row>
    <row r="207" spans="3:28" s="30" customFormat="1" ht="12" x14ac:dyDescent="0.2">
      <c r="C207" s="77" t="str">
        <f>'1. Accomodation'!N202</f>
        <v>101W</v>
      </c>
      <c r="D207" s="77" t="str">
        <f>'1. Accomodation'!P202</f>
        <v>2 Bed</v>
      </c>
      <c r="E207" s="77">
        <f>'1. Accomodation'!O202</f>
        <v>689</v>
      </c>
      <c r="G207" s="341">
        <v>15300</v>
      </c>
      <c r="H207" s="273">
        <f>IFERROR(INDEX('4. Valuation'!$C$10:$I$17,MATCH($D207,'4. Valuation'!$C$10:$C$17,0),MATCH($H$25,'4. Valuation'!$C$10:$I$10,0)),0)</f>
        <v>1166</v>
      </c>
      <c r="I207" s="359">
        <f>IFERROR(INDEX('4. Valuation'!$C$10:$I$17,MATCH($D207,'4. Valuation'!$C$10:$C$17,0),MATCH($I$25,'4. Valuation'!$C$10:$I$10,0)),0)</f>
        <v>21.448728269247237</v>
      </c>
      <c r="J207" s="277"/>
      <c r="K207" s="312">
        <f t="shared" si="51"/>
        <v>13992</v>
      </c>
      <c r="L207" s="312">
        <f t="shared" si="52"/>
        <v>1166</v>
      </c>
      <c r="M207" s="359">
        <f t="shared" si="53"/>
        <v>20.307692307692307</v>
      </c>
      <c r="N207" s="278"/>
      <c r="O207" s="278"/>
      <c r="P207" s="278"/>
      <c r="Q207" s="278"/>
      <c r="R207" s="312">
        <f>IFERROR(INDEX('4. Valuation'!$O$10:$X$17,MATCH($D207,'4. Valuation'!$O$10:$O$17,0),MATCH($R$25,'4. Valuation'!$O$10:$X$10,0)),0)</f>
        <v>0</v>
      </c>
      <c r="S207" s="312">
        <f>IFERROR(INDEX('4. Valuation'!$O$10:$X$17,MATCH($D207,'4. Valuation'!$O$10:$O$17,0),MATCH($S$25,'4. Valuation'!$O$10:$X$10,0)),0)</f>
        <v>0</v>
      </c>
      <c r="T207" s="312">
        <f>IFERROR(INDEX('4. Valuation'!$O$10:$X$17,MATCH($D207,'4. Valuation'!$O$10:$O$17,0),MATCH($T$25,'4. Valuation'!$O$10:$X$10,0)),0)</f>
        <v>0</v>
      </c>
      <c r="U207" s="278"/>
      <c r="V207" s="312">
        <f t="shared" si="54"/>
        <v>0</v>
      </c>
      <c r="W207" s="312">
        <f t="shared" si="55"/>
        <v>0</v>
      </c>
      <c r="X207" s="312">
        <f t="shared" si="56"/>
        <v>0</v>
      </c>
      <c r="Y207" s="278"/>
      <c r="Z207" s="312">
        <f t="shared" si="57"/>
        <v>15420</v>
      </c>
      <c r="AA207" s="312">
        <f>'3. GRI Pricing'!Y198</f>
        <v>1285</v>
      </c>
      <c r="AB207" s="359">
        <f t="shared" si="58"/>
        <v>22.380261248185775</v>
      </c>
    </row>
    <row r="208" spans="3:28" s="30" customFormat="1" ht="12" x14ac:dyDescent="0.2">
      <c r="C208" s="77" t="str">
        <f>'1. Accomodation'!N203</f>
        <v>102W</v>
      </c>
      <c r="D208" s="77" t="str">
        <f>'1. Accomodation'!P203</f>
        <v>1 Bed</v>
      </c>
      <c r="E208" s="77">
        <f>'1. Accomodation'!O203</f>
        <v>495</v>
      </c>
      <c r="G208" s="341">
        <v>10920</v>
      </c>
      <c r="H208" s="273">
        <f>IFERROR(INDEX('4. Valuation'!$C$10:$I$17,MATCH($D208,'4. Valuation'!$C$10:$C$17,0),MATCH($H$25,'4. Valuation'!$C$10:$I$10,0)),0)</f>
        <v>867</v>
      </c>
      <c r="I208" s="359">
        <f>IFERROR(INDEX('4. Valuation'!$C$10:$I$17,MATCH($D208,'4. Valuation'!$C$10:$C$17,0),MATCH($I$25,'4. Valuation'!$C$10:$I$10,0)),0)</f>
        <v>20.660726106217222</v>
      </c>
      <c r="J208" s="277"/>
      <c r="K208" s="312">
        <f t="shared" si="51"/>
        <v>10404</v>
      </c>
      <c r="L208" s="312">
        <f t="shared" si="52"/>
        <v>867</v>
      </c>
      <c r="M208" s="359">
        <f t="shared" si="53"/>
        <v>21.018181818181819</v>
      </c>
      <c r="N208" s="278"/>
      <c r="O208" s="278"/>
      <c r="P208" s="278"/>
      <c r="Q208" s="278"/>
      <c r="R208" s="312">
        <f>IFERROR(INDEX('4. Valuation'!$O$10:$X$17,MATCH($D208,'4. Valuation'!$O$10:$O$17,0),MATCH($R$25,'4. Valuation'!$O$10:$X$10,0)),0)</f>
        <v>0</v>
      </c>
      <c r="S208" s="312">
        <f>IFERROR(INDEX('4. Valuation'!$O$10:$X$17,MATCH($D208,'4. Valuation'!$O$10:$O$17,0),MATCH($S$25,'4. Valuation'!$O$10:$X$10,0)),0)</f>
        <v>0</v>
      </c>
      <c r="T208" s="312">
        <f>IFERROR(INDEX('4. Valuation'!$O$10:$X$17,MATCH($D208,'4. Valuation'!$O$10:$O$17,0),MATCH($T$25,'4. Valuation'!$O$10:$X$10,0)),0)</f>
        <v>0</v>
      </c>
      <c r="U208" s="278"/>
      <c r="V208" s="312">
        <f t="shared" si="54"/>
        <v>0</v>
      </c>
      <c r="W208" s="312">
        <f t="shared" si="55"/>
        <v>0</v>
      </c>
      <c r="X208" s="312">
        <f t="shared" si="56"/>
        <v>0</v>
      </c>
      <c r="Y208" s="278"/>
      <c r="Z208" s="312">
        <f t="shared" si="57"/>
        <v>11820</v>
      </c>
      <c r="AA208" s="312">
        <f>'3. GRI Pricing'!Y199</f>
        <v>985</v>
      </c>
      <c r="AB208" s="359">
        <f t="shared" si="58"/>
        <v>23.878787878787879</v>
      </c>
    </row>
    <row r="209" spans="3:28" s="30" customFormat="1" ht="12" x14ac:dyDescent="0.2">
      <c r="C209" s="77" t="str">
        <f>'1. Accomodation'!N204</f>
        <v>103W</v>
      </c>
      <c r="D209" s="77" t="str">
        <f>'1. Accomodation'!P204</f>
        <v>2 Bed</v>
      </c>
      <c r="E209" s="77">
        <f>'1. Accomodation'!O204</f>
        <v>657</v>
      </c>
      <c r="G209" s="341">
        <v>15120</v>
      </c>
      <c r="H209" s="273">
        <f>IFERROR(INDEX('4. Valuation'!$C$10:$I$17,MATCH($D209,'4. Valuation'!$C$10:$C$17,0),MATCH($H$25,'4. Valuation'!$C$10:$I$10,0)),0)</f>
        <v>1166</v>
      </c>
      <c r="I209" s="359">
        <f>IFERROR(INDEX('4. Valuation'!$C$10:$I$17,MATCH($D209,'4. Valuation'!$C$10:$C$17,0),MATCH($I$25,'4. Valuation'!$C$10:$I$10,0)),0)</f>
        <v>21.448728269247237</v>
      </c>
      <c r="J209" s="277"/>
      <c r="K209" s="312">
        <f t="shared" si="51"/>
        <v>13992</v>
      </c>
      <c r="L209" s="312">
        <f t="shared" si="52"/>
        <v>1166</v>
      </c>
      <c r="M209" s="359">
        <f t="shared" si="53"/>
        <v>21.296803652968038</v>
      </c>
      <c r="N209" s="278"/>
      <c r="O209" s="278"/>
      <c r="P209" s="278"/>
      <c r="Q209" s="278"/>
      <c r="R209" s="312">
        <f>IFERROR(INDEX('4. Valuation'!$O$10:$X$17,MATCH($D209,'4. Valuation'!$O$10:$O$17,0),MATCH($R$25,'4. Valuation'!$O$10:$X$10,0)),0)</f>
        <v>0</v>
      </c>
      <c r="S209" s="312">
        <f>IFERROR(INDEX('4. Valuation'!$O$10:$X$17,MATCH($D209,'4. Valuation'!$O$10:$O$17,0),MATCH($S$25,'4. Valuation'!$O$10:$X$10,0)),0)</f>
        <v>0</v>
      </c>
      <c r="T209" s="312">
        <f>IFERROR(INDEX('4. Valuation'!$O$10:$X$17,MATCH($D209,'4. Valuation'!$O$10:$O$17,0),MATCH($T$25,'4. Valuation'!$O$10:$X$10,0)),0)</f>
        <v>0</v>
      </c>
      <c r="U209" s="278"/>
      <c r="V209" s="312">
        <f t="shared" si="54"/>
        <v>0</v>
      </c>
      <c r="W209" s="312">
        <f t="shared" si="55"/>
        <v>0</v>
      </c>
      <c r="X209" s="312">
        <f t="shared" si="56"/>
        <v>0</v>
      </c>
      <c r="Y209" s="278"/>
      <c r="Z209" s="312">
        <f t="shared" si="57"/>
        <v>15060</v>
      </c>
      <c r="AA209" s="312">
        <f>'3. GRI Pricing'!Y200</f>
        <v>1255</v>
      </c>
      <c r="AB209" s="359">
        <f t="shared" si="58"/>
        <v>22.922374429223744</v>
      </c>
    </row>
    <row r="210" spans="3:28" s="30" customFormat="1" ht="12" x14ac:dyDescent="0.2">
      <c r="C210" s="77" t="str">
        <f>'1. Accomodation'!N205</f>
        <v>104W</v>
      </c>
      <c r="D210" s="77" t="str">
        <f>'1. Accomodation'!P205</f>
        <v>2 Bed</v>
      </c>
      <c r="E210" s="77">
        <f>'1. Accomodation'!O205</f>
        <v>657</v>
      </c>
      <c r="G210" s="341">
        <v>13740</v>
      </c>
      <c r="H210" s="273">
        <f>IFERROR(INDEX('4. Valuation'!$C$10:$I$17,MATCH($D210,'4. Valuation'!$C$10:$C$17,0),MATCH($H$25,'4. Valuation'!$C$10:$I$10,0)),0)</f>
        <v>1166</v>
      </c>
      <c r="I210" s="359">
        <f>IFERROR(INDEX('4. Valuation'!$C$10:$I$17,MATCH($D210,'4. Valuation'!$C$10:$C$17,0),MATCH($I$25,'4. Valuation'!$C$10:$I$10,0)),0)</f>
        <v>21.448728269247237</v>
      </c>
      <c r="J210" s="277"/>
      <c r="K210" s="312">
        <f t="shared" si="51"/>
        <v>13992</v>
      </c>
      <c r="L210" s="312">
        <f t="shared" si="52"/>
        <v>1166</v>
      </c>
      <c r="M210" s="359">
        <f t="shared" si="53"/>
        <v>21.296803652968038</v>
      </c>
      <c r="N210" s="278"/>
      <c r="O210" s="278"/>
      <c r="P210" s="278"/>
      <c r="Q210" s="278"/>
      <c r="R210" s="312">
        <f>IFERROR(INDEX('4. Valuation'!$O$10:$X$17,MATCH($D210,'4. Valuation'!$O$10:$O$17,0),MATCH($R$25,'4. Valuation'!$O$10:$X$10,0)),0)</f>
        <v>0</v>
      </c>
      <c r="S210" s="312">
        <f>IFERROR(INDEX('4. Valuation'!$O$10:$X$17,MATCH($D210,'4. Valuation'!$O$10:$O$17,0),MATCH($S$25,'4. Valuation'!$O$10:$X$10,0)),0)</f>
        <v>0</v>
      </c>
      <c r="T210" s="312">
        <f>IFERROR(INDEX('4. Valuation'!$O$10:$X$17,MATCH($D210,'4. Valuation'!$O$10:$O$17,0),MATCH($T$25,'4. Valuation'!$O$10:$X$10,0)),0)</f>
        <v>0</v>
      </c>
      <c r="U210" s="278"/>
      <c r="V210" s="312">
        <f t="shared" si="54"/>
        <v>0</v>
      </c>
      <c r="W210" s="312">
        <f t="shared" si="55"/>
        <v>0</v>
      </c>
      <c r="X210" s="312">
        <f t="shared" si="56"/>
        <v>0</v>
      </c>
      <c r="Y210" s="278"/>
      <c r="Z210" s="312">
        <f t="shared" si="57"/>
        <v>14880</v>
      </c>
      <c r="AA210" s="312">
        <f>'3. GRI Pricing'!Y201</f>
        <v>1240</v>
      </c>
      <c r="AB210" s="359">
        <f t="shared" si="58"/>
        <v>22.648401826484019</v>
      </c>
    </row>
    <row r="211" spans="3:28" s="30" customFormat="1" ht="12" x14ac:dyDescent="0.2">
      <c r="C211" s="77" t="str">
        <f>'1. Accomodation'!N206</f>
        <v>105W</v>
      </c>
      <c r="D211" s="77" t="str">
        <f>'1. Accomodation'!P206</f>
        <v>2 Bed</v>
      </c>
      <c r="E211" s="77">
        <f>'1. Accomodation'!O206</f>
        <v>678</v>
      </c>
      <c r="G211" s="341">
        <v>14820</v>
      </c>
      <c r="H211" s="273">
        <f>IFERROR(INDEX('4. Valuation'!$C$10:$I$17,MATCH($D211,'4. Valuation'!$C$10:$C$17,0),MATCH($H$25,'4. Valuation'!$C$10:$I$10,0)),0)</f>
        <v>1166</v>
      </c>
      <c r="I211" s="359">
        <f>IFERROR(INDEX('4. Valuation'!$C$10:$I$17,MATCH($D211,'4. Valuation'!$C$10:$C$17,0),MATCH($I$25,'4. Valuation'!$C$10:$I$10,0)),0)</f>
        <v>21.448728269247237</v>
      </c>
      <c r="J211" s="277"/>
      <c r="K211" s="312">
        <f t="shared" si="51"/>
        <v>13992</v>
      </c>
      <c r="L211" s="312">
        <f t="shared" si="52"/>
        <v>1166</v>
      </c>
      <c r="M211" s="359">
        <f t="shared" si="53"/>
        <v>20.63716814159292</v>
      </c>
      <c r="N211" s="278"/>
      <c r="O211" s="278"/>
      <c r="P211" s="278"/>
      <c r="Q211" s="278"/>
      <c r="R211" s="312">
        <f>IFERROR(INDEX('4. Valuation'!$O$10:$X$17,MATCH($D211,'4. Valuation'!$O$10:$O$17,0),MATCH($R$25,'4. Valuation'!$O$10:$X$10,0)),0)</f>
        <v>0</v>
      </c>
      <c r="S211" s="312">
        <f>IFERROR(INDEX('4. Valuation'!$O$10:$X$17,MATCH($D211,'4. Valuation'!$O$10:$O$17,0),MATCH($S$25,'4. Valuation'!$O$10:$X$10,0)),0)</f>
        <v>0</v>
      </c>
      <c r="T211" s="312">
        <f>IFERROR(INDEX('4. Valuation'!$O$10:$X$17,MATCH($D211,'4. Valuation'!$O$10:$O$17,0),MATCH($T$25,'4. Valuation'!$O$10:$X$10,0)),0)</f>
        <v>0</v>
      </c>
      <c r="U211" s="278"/>
      <c r="V211" s="312">
        <f t="shared" si="54"/>
        <v>0</v>
      </c>
      <c r="W211" s="312">
        <f t="shared" si="55"/>
        <v>0</v>
      </c>
      <c r="X211" s="312">
        <f t="shared" si="56"/>
        <v>0</v>
      </c>
      <c r="Y211" s="278"/>
      <c r="Z211" s="312">
        <f t="shared" si="57"/>
        <v>15120</v>
      </c>
      <c r="AA211" s="312">
        <f>'3. GRI Pricing'!Y202</f>
        <v>1260</v>
      </c>
      <c r="AB211" s="359">
        <f t="shared" si="58"/>
        <v>22.300884955752213</v>
      </c>
    </row>
    <row r="212" spans="3:28" s="30" customFormat="1" ht="12" x14ac:dyDescent="0.2">
      <c r="C212" s="77" t="str">
        <f>'1. Accomodation'!N207</f>
        <v>106W</v>
      </c>
      <c r="D212" s="77" t="str">
        <f>'1. Accomodation'!P207</f>
        <v>1 Bed</v>
      </c>
      <c r="E212" s="77">
        <f>'1. Accomodation'!O207</f>
        <v>506</v>
      </c>
      <c r="G212" s="341">
        <v>11460</v>
      </c>
      <c r="H212" s="273">
        <f>IFERROR(INDEX('4. Valuation'!$C$10:$I$17,MATCH($D212,'4. Valuation'!$C$10:$C$17,0),MATCH($H$25,'4. Valuation'!$C$10:$I$10,0)),0)</f>
        <v>867</v>
      </c>
      <c r="I212" s="359">
        <f>IFERROR(INDEX('4. Valuation'!$C$10:$I$17,MATCH($D212,'4. Valuation'!$C$10:$C$17,0),MATCH($I$25,'4. Valuation'!$C$10:$I$10,0)),0)</f>
        <v>20.660726106217222</v>
      </c>
      <c r="J212" s="277"/>
      <c r="K212" s="312">
        <f t="shared" si="51"/>
        <v>10404</v>
      </c>
      <c r="L212" s="312">
        <f t="shared" si="52"/>
        <v>867</v>
      </c>
      <c r="M212" s="359">
        <f t="shared" si="53"/>
        <v>20.561264822134387</v>
      </c>
      <c r="N212" s="278"/>
      <c r="O212" s="278"/>
      <c r="P212" s="278"/>
      <c r="Q212" s="278"/>
      <c r="R212" s="312">
        <f>IFERROR(INDEX('4. Valuation'!$O$10:$X$17,MATCH($D212,'4. Valuation'!$O$10:$O$17,0),MATCH($R$25,'4. Valuation'!$O$10:$X$10,0)),0)</f>
        <v>0</v>
      </c>
      <c r="S212" s="312">
        <f>IFERROR(INDEX('4. Valuation'!$O$10:$X$17,MATCH($D212,'4. Valuation'!$O$10:$O$17,0),MATCH($S$25,'4. Valuation'!$O$10:$X$10,0)),0)</f>
        <v>0</v>
      </c>
      <c r="T212" s="312">
        <f>IFERROR(INDEX('4. Valuation'!$O$10:$X$17,MATCH($D212,'4. Valuation'!$O$10:$O$17,0),MATCH($T$25,'4. Valuation'!$O$10:$X$10,0)),0)</f>
        <v>0</v>
      </c>
      <c r="U212" s="278"/>
      <c r="V212" s="312">
        <f t="shared" si="54"/>
        <v>0</v>
      </c>
      <c r="W212" s="312">
        <f t="shared" si="55"/>
        <v>0</v>
      </c>
      <c r="X212" s="312">
        <f t="shared" si="56"/>
        <v>0</v>
      </c>
      <c r="Y212" s="278"/>
      <c r="Z212" s="312">
        <f t="shared" si="57"/>
        <v>11640</v>
      </c>
      <c r="AA212" s="312">
        <f>'3. GRI Pricing'!Y203</f>
        <v>970</v>
      </c>
      <c r="AB212" s="359">
        <f t="shared" si="58"/>
        <v>23.003952569169961</v>
      </c>
    </row>
    <row r="213" spans="3:28" s="30" customFormat="1" ht="12" x14ac:dyDescent="0.2">
      <c r="C213" s="77" t="str">
        <f>'1. Accomodation'!N208</f>
        <v>107W</v>
      </c>
      <c r="D213" s="77" t="str">
        <f>'1. Accomodation'!P208</f>
        <v>1 Bed</v>
      </c>
      <c r="E213" s="77">
        <f>'1. Accomodation'!O208</f>
        <v>474</v>
      </c>
      <c r="G213" s="341">
        <v>10860</v>
      </c>
      <c r="H213" s="273">
        <f>IFERROR(INDEX('4. Valuation'!$C$10:$I$17,MATCH($D213,'4. Valuation'!$C$10:$C$17,0),MATCH($H$25,'4. Valuation'!$C$10:$I$10,0)),0)</f>
        <v>867</v>
      </c>
      <c r="I213" s="359">
        <f>IFERROR(INDEX('4. Valuation'!$C$10:$I$17,MATCH($D213,'4. Valuation'!$C$10:$C$17,0),MATCH($I$25,'4. Valuation'!$C$10:$I$10,0)),0)</f>
        <v>20.660726106217222</v>
      </c>
      <c r="J213" s="277"/>
      <c r="K213" s="312">
        <f t="shared" si="51"/>
        <v>10404</v>
      </c>
      <c r="L213" s="312">
        <f t="shared" si="52"/>
        <v>867</v>
      </c>
      <c r="M213" s="359">
        <f t="shared" si="53"/>
        <v>21.949367088607595</v>
      </c>
      <c r="N213" s="278"/>
      <c r="O213" s="278"/>
      <c r="P213" s="278"/>
      <c r="Q213" s="278"/>
      <c r="R213" s="312">
        <f>IFERROR(INDEX('4. Valuation'!$O$10:$X$17,MATCH($D213,'4. Valuation'!$O$10:$O$17,0),MATCH($R$25,'4. Valuation'!$O$10:$X$10,0)),0)</f>
        <v>0</v>
      </c>
      <c r="S213" s="312">
        <f>IFERROR(INDEX('4. Valuation'!$O$10:$X$17,MATCH($D213,'4. Valuation'!$O$10:$O$17,0),MATCH($S$25,'4. Valuation'!$O$10:$X$10,0)),0)</f>
        <v>0</v>
      </c>
      <c r="T213" s="312">
        <f>IFERROR(INDEX('4. Valuation'!$O$10:$X$17,MATCH($D213,'4. Valuation'!$O$10:$O$17,0),MATCH($T$25,'4. Valuation'!$O$10:$X$10,0)),0)</f>
        <v>0</v>
      </c>
      <c r="U213" s="278"/>
      <c r="V213" s="312">
        <f t="shared" si="54"/>
        <v>0</v>
      </c>
      <c r="W213" s="312">
        <f t="shared" si="55"/>
        <v>0</v>
      </c>
      <c r="X213" s="312">
        <f t="shared" si="56"/>
        <v>0</v>
      </c>
      <c r="Y213" s="278"/>
      <c r="Z213" s="312">
        <f t="shared" si="57"/>
        <v>11460</v>
      </c>
      <c r="AA213" s="312">
        <f>'3. GRI Pricing'!Y204</f>
        <v>955</v>
      </c>
      <c r="AB213" s="359">
        <f t="shared" si="58"/>
        <v>24.177215189873419</v>
      </c>
    </row>
    <row r="214" spans="3:28" s="30" customFormat="1" ht="12" x14ac:dyDescent="0.2">
      <c r="C214" s="77" t="str">
        <f>'1. Accomodation'!N209</f>
        <v>108W</v>
      </c>
      <c r="D214" s="77" t="str">
        <f>'1. Accomodation'!P209</f>
        <v>2 Bed</v>
      </c>
      <c r="E214" s="77">
        <f>'1. Accomodation'!O209</f>
        <v>775</v>
      </c>
      <c r="G214" s="341">
        <v>16320</v>
      </c>
      <c r="H214" s="273">
        <f>IFERROR(INDEX('4. Valuation'!$C$10:$I$17,MATCH($D214,'4. Valuation'!$C$10:$C$17,0),MATCH($H$25,'4. Valuation'!$C$10:$I$10,0)),0)</f>
        <v>1166</v>
      </c>
      <c r="I214" s="359">
        <f>IFERROR(INDEX('4. Valuation'!$C$10:$I$17,MATCH($D214,'4. Valuation'!$C$10:$C$17,0),MATCH($I$25,'4. Valuation'!$C$10:$I$10,0)),0)</f>
        <v>21.448728269247237</v>
      </c>
      <c r="J214" s="277"/>
      <c r="K214" s="312">
        <f t="shared" si="51"/>
        <v>13992</v>
      </c>
      <c r="L214" s="312">
        <f t="shared" si="52"/>
        <v>1166</v>
      </c>
      <c r="M214" s="359">
        <f t="shared" si="53"/>
        <v>18.054193548387097</v>
      </c>
      <c r="N214" s="278"/>
      <c r="O214" s="278"/>
      <c r="P214" s="278"/>
      <c r="Q214" s="278"/>
      <c r="R214" s="312">
        <f>IFERROR(INDEX('4. Valuation'!$O$10:$X$17,MATCH($D214,'4. Valuation'!$O$10:$O$17,0),MATCH($R$25,'4. Valuation'!$O$10:$X$10,0)),0)</f>
        <v>0</v>
      </c>
      <c r="S214" s="312">
        <f>IFERROR(INDEX('4. Valuation'!$O$10:$X$17,MATCH($D214,'4. Valuation'!$O$10:$O$17,0),MATCH($S$25,'4. Valuation'!$O$10:$X$10,0)),0)</f>
        <v>0</v>
      </c>
      <c r="T214" s="312">
        <f>IFERROR(INDEX('4. Valuation'!$O$10:$X$17,MATCH($D214,'4. Valuation'!$O$10:$O$17,0),MATCH($T$25,'4. Valuation'!$O$10:$X$10,0)),0)</f>
        <v>0</v>
      </c>
      <c r="U214" s="278"/>
      <c r="V214" s="312">
        <f t="shared" si="54"/>
        <v>0</v>
      </c>
      <c r="W214" s="312">
        <f t="shared" si="55"/>
        <v>0</v>
      </c>
      <c r="X214" s="312">
        <f t="shared" si="56"/>
        <v>0</v>
      </c>
      <c r="Y214" s="278"/>
      <c r="Z214" s="312">
        <f t="shared" si="57"/>
        <v>16140</v>
      </c>
      <c r="AA214" s="312">
        <f>'3. GRI Pricing'!Y205</f>
        <v>1345</v>
      </c>
      <c r="AB214" s="359">
        <f t="shared" si="58"/>
        <v>20.825806451612902</v>
      </c>
    </row>
    <row r="215" spans="3:28" s="30" customFormat="1" ht="12" x14ac:dyDescent="0.2">
      <c r="C215" s="77" t="str">
        <f>'1. Accomodation'!N210</f>
        <v>109W</v>
      </c>
      <c r="D215" s="77" t="str">
        <f>'1. Accomodation'!P210</f>
        <v>2 Bed</v>
      </c>
      <c r="E215" s="77">
        <f>'1. Accomodation'!O210</f>
        <v>657</v>
      </c>
      <c r="G215" s="341">
        <v>14940</v>
      </c>
      <c r="H215" s="273">
        <f>IFERROR(INDEX('4. Valuation'!$C$10:$I$17,MATCH($D215,'4. Valuation'!$C$10:$C$17,0),MATCH($H$25,'4. Valuation'!$C$10:$I$10,0)),0)</f>
        <v>1166</v>
      </c>
      <c r="I215" s="359">
        <f>IFERROR(INDEX('4. Valuation'!$C$10:$I$17,MATCH($D215,'4. Valuation'!$C$10:$C$17,0),MATCH($I$25,'4. Valuation'!$C$10:$I$10,0)),0)</f>
        <v>21.448728269247237</v>
      </c>
      <c r="J215" s="277"/>
      <c r="K215" s="312">
        <f t="shared" si="51"/>
        <v>13992</v>
      </c>
      <c r="L215" s="312">
        <f t="shared" si="52"/>
        <v>1166</v>
      </c>
      <c r="M215" s="359">
        <f t="shared" si="53"/>
        <v>21.296803652968038</v>
      </c>
      <c r="N215" s="278"/>
      <c r="O215" s="278"/>
      <c r="P215" s="278"/>
      <c r="Q215" s="278"/>
      <c r="R215" s="312">
        <f>IFERROR(INDEX('4. Valuation'!$O$10:$X$17,MATCH($D215,'4. Valuation'!$O$10:$O$17,0),MATCH($R$25,'4. Valuation'!$O$10:$X$10,0)),0)</f>
        <v>0</v>
      </c>
      <c r="S215" s="312">
        <f>IFERROR(INDEX('4. Valuation'!$O$10:$X$17,MATCH($D215,'4. Valuation'!$O$10:$O$17,0),MATCH($S$25,'4. Valuation'!$O$10:$X$10,0)),0)</f>
        <v>0</v>
      </c>
      <c r="T215" s="312">
        <f>IFERROR(INDEX('4. Valuation'!$O$10:$X$17,MATCH($D215,'4. Valuation'!$O$10:$O$17,0),MATCH($T$25,'4. Valuation'!$O$10:$X$10,0)),0)</f>
        <v>0</v>
      </c>
      <c r="U215" s="278"/>
      <c r="V215" s="312">
        <f t="shared" si="54"/>
        <v>0</v>
      </c>
      <c r="W215" s="312">
        <f t="shared" si="55"/>
        <v>0</v>
      </c>
      <c r="X215" s="312">
        <f t="shared" si="56"/>
        <v>0</v>
      </c>
      <c r="Y215" s="278"/>
      <c r="Z215" s="312">
        <f t="shared" si="57"/>
        <v>15060</v>
      </c>
      <c r="AA215" s="312">
        <f>'3. GRI Pricing'!Y206</f>
        <v>1255</v>
      </c>
      <c r="AB215" s="359">
        <f t="shared" si="58"/>
        <v>22.922374429223744</v>
      </c>
    </row>
    <row r="216" spans="3:28" s="30" customFormat="1" ht="12" x14ac:dyDescent="0.2">
      <c r="C216" s="77" t="str">
        <f>'1. Accomodation'!N211</f>
        <v>110W</v>
      </c>
      <c r="D216" s="77" t="str">
        <f>'1. Accomodation'!P211</f>
        <v>2 Bed</v>
      </c>
      <c r="E216" s="77">
        <f>'1. Accomodation'!O211</f>
        <v>689</v>
      </c>
      <c r="G216" s="341">
        <v>15660</v>
      </c>
      <c r="H216" s="273">
        <f>IFERROR(INDEX('4. Valuation'!$C$10:$I$17,MATCH($D216,'4. Valuation'!$C$10:$C$17,0),MATCH($H$25,'4. Valuation'!$C$10:$I$10,0)),0)</f>
        <v>1166</v>
      </c>
      <c r="I216" s="359">
        <f>IFERROR(INDEX('4. Valuation'!$C$10:$I$17,MATCH($D216,'4. Valuation'!$C$10:$C$17,0),MATCH($I$25,'4. Valuation'!$C$10:$I$10,0)),0)</f>
        <v>21.448728269247237</v>
      </c>
      <c r="J216" s="277"/>
      <c r="K216" s="312">
        <f t="shared" si="51"/>
        <v>13992</v>
      </c>
      <c r="L216" s="312">
        <f t="shared" si="52"/>
        <v>1166</v>
      </c>
      <c r="M216" s="359">
        <f t="shared" si="53"/>
        <v>20.307692307692307</v>
      </c>
      <c r="N216" s="278"/>
      <c r="O216" s="278"/>
      <c r="P216" s="278"/>
      <c r="Q216" s="278"/>
      <c r="R216" s="312">
        <f>IFERROR(INDEX('4. Valuation'!$O$10:$X$17,MATCH($D216,'4. Valuation'!$O$10:$O$17,0),MATCH($R$25,'4. Valuation'!$O$10:$X$10,0)),0)</f>
        <v>0</v>
      </c>
      <c r="S216" s="312">
        <f>IFERROR(INDEX('4. Valuation'!$O$10:$X$17,MATCH($D216,'4. Valuation'!$O$10:$O$17,0),MATCH($S$25,'4. Valuation'!$O$10:$X$10,0)),0)</f>
        <v>0</v>
      </c>
      <c r="T216" s="312">
        <f>IFERROR(INDEX('4. Valuation'!$O$10:$X$17,MATCH($D216,'4. Valuation'!$O$10:$O$17,0),MATCH($T$25,'4. Valuation'!$O$10:$X$10,0)),0)</f>
        <v>0</v>
      </c>
      <c r="U216" s="278"/>
      <c r="V216" s="312">
        <f t="shared" si="54"/>
        <v>0</v>
      </c>
      <c r="W216" s="312">
        <f t="shared" si="55"/>
        <v>0</v>
      </c>
      <c r="X216" s="312">
        <f t="shared" si="56"/>
        <v>0</v>
      </c>
      <c r="Y216" s="278"/>
      <c r="Z216" s="312">
        <f t="shared" si="57"/>
        <v>15600</v>
      </c>
      <c r="AA216" s="312">
        <f>'3. GRI Pricing'!Y207</f>
        <v>1300</v>
      </c>
      <c r="AB216" s="359">
        <f t="shared" si="58"/>
        <v>22.641509433962263</v>
      </c>
    </row>
    <row r="217" spans="3:28" s="30" customFormat="1" ht="12" x14ac:dyDescent="0.2">
      <c r="C217" s="77" t="str">
        <f>'1. Accomodation'!N212</f>
        <v>111W</v>
      </c>
      <c r="D217" s="77" t="str">
        <f>'1. Accomodation'!P212</f>
        <v>2 Bed</v>
      </c>
      <c r="E217" s="77">
        <f>'1. Accomodation'!O212</f>
        <v>667</v>
      </c>
      <c r="G217" s="341">
        <v>14040</v>
      </c>
      <c r="H217" s="273">
        <f>IFERROR(INDEX('4. Valuation'!$C$10:$I$17,MATCH($D217,'4. Valuation'!$C$10:$C$17,0),MATCH($H$25,'4. Valuation'!$C$10:$I$10,0)),0)</f>
        <v>1166</v>
      </c>
      <c r="I217" s="359">
        <f>IFERROR(INDEX('4. Valuation'!$C$10:$I$17,MATCH($D217,'4. Valuation'!$C$10:$C$17,0),MATCH($I$25,'4. Valuation'!$C$10:$I$10,0)),0)</f>
        <v>21.448728269247237</v>
      </c>
      <c r="J217" s="277"/>
      <c r="K217" s="312">
        <f t="shared" si="51"/>
        <v>13992</v>
      </c>
      <c r="L217" s="312">
        <f t="shared" si="52"/>
        <v>1166</v>
      </c>
      <c r="M217" s="359">
        <f t="shared" si="53"/>
        <v>20.977511244377812</v>
      </c>
      <c r="N217" s="278"/>
      <c r="O217" s="278"/>
      <c r="P217" s="278"/>
      <c r="Q217" s="278"/>
      <c r="R217" s="312">
        <f>IFERROR(INDEX('4. Valuation'!$O$10:$X$17,MATCH($D217,'4. Valuation'!$O$10:$O$17,0),MATCH($R$25,'4. Valuation'!$O$10:$X$10,0)),0)</f>
        <v>0</v>
      </c>
      <c r="S217" s="312">
        <f>IFERROR(INDEX('4. Valuation'!$O$10:$X$17,MATCH($D217,'4. Valuation'!$O$10:$O$17,0),MATCH($S$25,'4. Valuation'!$O$10:$X$10,0)),0)</f>
        <v>0</v>
      </c>
      <c r="T217" s="312">
        <f>IFERROR(INDEX('4. Valuation'!$O$10:$X$17,MATCH($D217,'4. Valuation'!$O$10:$O$17,0),MATCH($T$25,'4. Valuation'!$O$10:$X$10,0)),0)</f>
        <v>0</v>
      </c>
      <c r="U217" s="278"/>
      <c r="V217" s="312">
        <f t="shared" si="54"/>
        <v>0</v>
      </c>
      <c r="W217" s="312">
        <f t="shared" si="55"/>
        <v>0</v>
      </c>
      <c r="X217" s="312">
        <f t="shared" si="56"/>
        <v>0</v>
      </c>
      <c r="Y217" s="278"/>
      <c r="Z217" s="312">
        <f t="shared" si="57"/>
        <v>15180</v>
      </c>
      <c r="AA217" s="312">
        <f>'3. GRI Pricing'!Y208</f>
        <v>1265</v>
      </c>
      <c r="AB217" s="359">
        <f t="shared" si="58"/>
        <v>22.758620689655171</v>
      </c>
    </row>
    <row r="218" spans="3:28" s="30" customFormat="1" ht="12" x14ac:dyDescent="0.2">
      <c r="C218" s="77" t="str">
        <f>'1. Accomodation'!N213</f>
        <v>112W</v>
      </c>
      <c r="D218" s="77" t="str">
        <f>'1. Accomodation'!P213</f>
        <v>1 Bed</v>
      </c>
      <c r="E218" s="77">
        <f>'1. Accomodation'!O213</f>
        <v>527</v>
      </c>
      <c r="G218" s="341">
        <v>10800</v>
      </c>
      <c r="H218" s="273">
        <f>IFERROR(INDEX('4. Valuation'!$C$10:$I$17,MATCH($D218,'4. Valuation'!$C$10:$C$17,0),MATCH($H$25,'4. Valuation'!$C$10:$I$10,0)),0)</f>
        <v>867</v>
      </c>
      <c r="I218" s="359">
        <f>IFERROR(INDEX('4. Valuation'!$C$10:$I$17,MATCH($D218,'4. Valuation'!$C$10:$C$17,0),MATCH($I$25,'4. Valuation'!$C$10:$I$10,0)),0)</f>
        <v>20.660726106217222</v>
      </c>
      <c r="J218" s="277"/>
      <c r="K218" s="312">
        <f t="shared" si="51"/>
        <v>10404</v>
      </c>
      <c r="L218" s="312">
        <f t="shared" si="52"/>
        <v>867</v>
      </c>
      <c r="M218" s="359">
        <f t="shared" si="53"/>
        <v>19.741935483870968</v>
      </c>
      <c r="N218" s="278"/>
      <c r="O218" s="278"/>
      <c r="P218" s="278"/>
      <c r="Q218" s="278"/>
      <c r="R218" s="312">
        <f>IFERROR(INDEX('4. Valuation'!$O$10:$X$17,MATCH($D218,'4. Valuation'!$O$10:$O$17,0),MATCH($R$25,'4. Valuation'!$O$10:$X$10,0)),0)</f>
        <v>0</v>
      </c>
      <c r="S218" s="312">
        <f>IFERROR(INDEX('4. Valuation'!$O$10:$X$17,MATCH($D218,'4. Valuation'!$O$10:$O$17,0),MATCH($S$25,'4. Valuation'!$O$10:$X$10,0)),0)</f>
        <v>0</v>
      </c>
      <c r="T218" s="312">
        <f>IFERROR(INDEX('4. Valuation'!$O$10:$X$17,MATCH($D218,'4. Valuation'!$O$10:$O$17,0),MATCH($T$25,'4. Valuation'!$O$10:$X$10,0)),0)</f>
        <v>0</v>
      </c>
      <c r="U218" s="278"/>
      <c r="V218" s="312">
        <f t="shared" si="54"/>
        <v>0</v>
      </c>
      <c r="W218" s="312">
        <f t="shared" si="55"/>
        <v>0</v>
      </c>
      <c r="X218" s="312">
        <f t="shared" si="56"/>
        <v>0</v>
      </c>
      <c r="Y218" s="278"/>
      <c r="Z218" s="312">
        <f t="shared" si="57"/>
        <v>11700</v>
      </c>
      <c r="AA218" s="312">
        <f>'3. GRI Pricing'!Y209</f>
        <v>975</v>
      </c>
      <c r="AB218" s="359">
        <f t="shared" si="58"/>
        <v>22.201138519924097</v>
      </c>
    </row>
    <row r="219" spans="3:28" s="30" customFormat="1" ht="12" x14ac:dyDescent="0.2">
      <c r="C219" s="77" t="str">
        <f>'1. Accomodation'!N214</f>
        <v>113W</v>
      </c>
      <c r="D219" s="77" t="str">
        <f>'1. Accomodation'!P214</f>
        <v>3 Bed</v>
      </c>
      <c r="E219" s="77">
        <f>'1. Accomodation'!O214</f>
        <v>840</v>
      </c>
      <c r="G219" s="341">
        <v>19380</v>
      </c>
      <c r="H219" s="273">
        <f>IFERROR(INDEX('4. Valuation'!$C$10:$I$17,MATCH($D219,'4. Valuation'!$C$10:$C$17,0),MATCH($H$25,'4. Valuation'!$C$10:$I$10,0)),0)</f>
        <v>1511</v>
      </c>
      <c r="I219" s="359">
        <f>IFERROR(INDEX('4. Valuation'!$C$10:$I$17,MATCH($D219,'4. Valuation'!$C$10:$C$17,0),MATCH($I$25,'4. Valuation'!$C$10:$I$10,0)),0)</f>
        <v>22.026444890903143</v>
      </c>
      <c r="J219" s="277"/>
      <c r="K219" s="312">
        <f t="shared" ref="K219:K282" si="59">L219*12</f>
        <v>18132</v>
      </c>
      <c r="L219" s="312">
        <f t="shared" ref="L219:L282" si="60">H219*(1+$M$24)^((L$24-K$24)/365)</f>
        <v>1511</v>
      </c>
      <c r="M219" s="359">
        <f t="shared" ref="M219:M282" si="61">IFERROR(K219/E219,0)</f>
        <v>21.585714285714285</v>
      </c>
      <c r="N219" s="278"/>
      <c r="O219" s="278"/>
      <c r="P219" s="278"/>
      <c r="Q219" s="278"/>
      <c r="R219" s="312">
        <f>IFERROR(INDEX('4. Valuation'!$O$10:$X$17,MATCH($D219,'4. Valuation'!$O$10:$O$17,0),MATCH($R$25,'4. Valuation'!$O$10:$X$10,0)),0)</f>
        <v>0</v>
      </c>
      <c r="S219" s="312">
        <f>IFERROR(INDEX('4. Valuation'!$O$10:$X$17,MATCH($D219,'4. Valuation'!$O$10:$O$17,0),MATCH($S$25,'4. Valuation'!$O$10:$X$10,0)),0)</f>
        <v>0</v>
      </c>
      <c r="T219" s="312">
        <f>IFERROR(INDEX('4. Valuation'!$O$10:$X$17,MATCH($D219,'4. Valuation'!$O$10:$O$17,0),MATCH($T$25,'4. Valuation'!$O$10:$X$10,0)),0)</f>
        <v>0</v>
      </c>
      <c r="U219" s="278"/>
      <c r="V219" s="312">
        <f t="shared" ref="V219:V282" si="62">W219*12</f>
        <v>0</v>
      </c>
      <c r="W219" s="312">
        <f t="shared" ref="W219:W282" si="63">S219*(1+$M$24)^((W$24-V$24)/365)</f>
        <v>0</v>
      </c>
      <c r="X219" s="312">
        <f t="shared" ref="X219:X282" si="64">IFERROR(V219/E219,0)</f>
        <v>0</v>
      </c>
      <c r="Y219" s="278"/>
      <c r="Z219" s="312">
        <f t="shared" ref="Z219:Z282" si="65">AA219*12</f>
        <v>19980</v>
      </c>
      <c r="AA219" s="312">
        <f>'3. GRI Pricing'!Y210</f>
        <v>1665</v>
      </c>
      <c r="AB219" s="359">
        <f t="shared" ref="AB219:AB282" si="66">IFERROR(Z219/E219,0)</f>
        <v>23.785714285714285</v>
      </c>
    </row>
    <row r="220" spans="3:28" s="30" customFormat="1" ht="12" x14ac:dyDescent="0.2">
      <c r="C220" s="77" t="str">
        <f>'1. Accomodation'!N215</f>
        <v>114W</v>
      </c>
      <c r="D220" s="77" t="str">
        <f>'1. Accomodation'!P215</f>
        <v>2 Bed</v>
      </c>
      <c r="E220" s="77">
        <f>'1. Accomodation'!O215</f>
        <v>614</v>
      </c>
      <c r="G220" s="341">
        <v>14460</v>
      </c>
      <c r="H220" s="273">
        <f>IFERROR(INDEX('4. Valuation'!$C$10:$I$17,MATCH($D220,'4. Valuation'!$C$10:$C$17,0),MATCH($H$25,'4. Valuation'!$C$10:$I$10,0)),0)</f>
        <v>1166</v>
      </c>
      <c r="I220" s="359">
        <f>IFERROR(INDEX('4. Valuation'!$C$10:$I$17,MATCH($D220,'4. Valuation'!$C$10:$C$17,0),MATCH($I$25,'4. Valuation'!$C$10:$I$10,0)),0)</f>
        <v>21.448728269247237</v>
      </c>
      <c r="J220" s="277"/>
      <c r="K220" s="312">
        <f t="shared" si="59"/>
        <v>13992</v>
      </c>
      <c r="L220" s="312">
        <f t="shared" si="60"/>
        <v>1166</v>
      </c>
      <c r="M220" s="359">
        <f t="shared" si="61"/>
        <v>22.78827361563518</v>
      </c>
      <c r="N220" s="278"/>
      <c r="O220" s="278"/>
      <c r="P220" s="278"/>
      <c r="Q220" s="278"/>
      <c r="R220" s="312">
        <f>IFERROR(INDEX('4. Valuation'!$O$10:$X$17,MATCH($D220,'4. Valuation'!$O$10:$O$17,0),MATCH($R$25,'4. Valuation'!$O$10:$X$10,0)),0)</f>
        <v>0</v>
      </c>
      <c r="S220" s="312">
        <f>IFERROR(INDEX('4. Valuation'!$O$10:$X$17,MATCH($D220,'4. Valuation'!$O$10:$O$17,0),MATCH($S$25,'4. Valuation'!$O$10:$X$10,0)),0)</f>
        <v>0</v>
      </c>
      <c r="T220" s="312">
        <f>IFERROR(INDEX('4. Valuation'!$O$10:$X$17,MATCH($D220,'4. Valuation'!$O$10:$O$17,0),MATCH($T$25,'4. Valuation'!$O$10:$X$10,0)),0)</f>
        <v>0</v>
      </c>
      <c r="U220" s="278"/>
      <c r="V220" s="312">
        <f t="shared" si="62"/>
        <v>0</v>
      </c>
      <c r="W220" s="312">
        <f t="shared" si="63"/>
        <v>0</v>
      </c>
      <c r="X220" s="312">
        <f t="shared" si="64"/>
        <v>0</v>
      </c>
      <c r="Y220" s="278"/>
      <c r="Z220" s="312">
        <f t="shared" si="65"/>
        <v>14700</v>
      </c>
      <c r="AA220" s="312">
        <f>'3. GRI Pricing'!Y211</f>
        <v>1225</v>
      </c>
      <c r="AB220" s="359">
        <f t="shared" si="66"/>
        <v>23.941368078175895</v>
      </c>
    </row>
    <row r="221" spans="3:28" s="30" customFormat="1" ht="12" x14ac:dyDescent="0.2">
      <c r="C221" s="77" t="str">
        <f>'1. Accomodation'!N216</f>
        <v>201W</v>
      </c>
      <c r="D221" s="77" t="str">
        <f>'1. Accomodation'!P216</f>
        <v>2 Bed</v>
      </c>
      <c r="E221" s="77">
        <f>'1. Accomodation'!O216</f>
        <v>689</v>
      </c>
      <c r="G221" s="341">
        <v>15420</v>
      </c>
      <c r="H221" s="273">
        <f>IFERROR(INDEX('4. Valuation'!$C$10:$I$17,MATCH($D221,'4. Valuation'!$C$10:$C$17,0),MATCH($H$25,'4. Valuation'!$C$10:$I$10,0)),0)</f>
        <v>1166</v>
      </c>
      <c r="I221" s="359">
        <f>IFERROR(INDEX('4. Valuation'!$C$10:$I$17,MATCH($D221,'4. Valuation'!$C$10:$C$17,0),MATCH($I$25,'4. Valuation'!$C$10:$I$10,0)),0)</f>
        <v>21.448728269247237</v>
      </c>
      <c r="J221" s="277"/>
      <c r="K221" s="312">
        <f t="shared" si="59"/>
        <v>13992</v>
      </c>
      <c r="L221" s="312">
        <f t="shared" si="60"/>
        <v>1166</v>
      </c>
      <c r="M221" s="359">
        <f t="shared" si="61"/>
        <v>20.307692307692307</v>
      </c>
      <c r="N221" s="278"/>
      <c r="O221" s="278"/>
      <c r="P221" s="278"/>
      <c r="Q221" s="278"/>
      <c r="R221" s="312">
        <f>IFERROR(INDEX('4. Valuation'!$O$10:$X$17,MATCH($D221,'4. Valuation'!$O$10:$O$17,0),MATCH($R$25,'4. Valuation'!$O$10:$X$10,0)),0)</f>
        <v>0</v>
      </c>
      <c r="S221" s="312">
        <f>IFERROR(INDEX('4. Valuation'!$O$10:$X$17,MATCH($D221,'4. Valuation'!$O$10:$O$17,0),MATCH($S$25,'4. Valuation'!$O$10:$X$10,0)),0)</f>
        <v>0</v>
      </c>
      <c r="T221" s="312">
        <f>IFERROR(INDEX('4. Valuation'!$O$10:$X$17,MATCH($D221,'4. Valuation'!$O$10:$O$17,0),MATCH($T$25,'4. Valuation'!$O$10:$X$10,0)),0)</f>
        <v>0</v>
      </c>
      <c r="U221" s="278"/>
      <c r="V221" s="312">
        <f t="shared" si="62"/>
        <v>0</v>
      </c>
      <c r="W221" s="312">
        <f t="shared" si="63"/>
        <v>0</v>
      </c>
      <c r="X221" s="312">
        <f t="shared" si="64"/>
        <v>0</v>
      </c>
      <c r="Y221" s="278"/>
      <c r="Z221" s="312">
        <f t="shared" si="65"/>
        <v>15540</v>
      </c>
      <c r="AA221" s="312">
        <f>'3. GRI Pricing'!Y212</f>
        <v>1295</v>
      </c>
      <c r="AB221" s="359">
        <f t="shared" si="66"/>
        <v>22.554426705370101</v>
      </c>
    </row>
    <row r="222" spans="3:28" s="30" customFormat="1" ht="12" x14ac:dyDescent="0.2">
      <c r="C222" s="77" t="str">
        <f>'1. Accomodation'!N217</f>
        <v>202W</v>
      </c>
      <c r="D222" s="77" t="str">
        <f>'1. Accomodation'!P217</f>
        <v>1 Bed</v>
      </c>
      <c r="E222" s="77">
        <f>'1. Accomodation'!O217</f>
        <v>495</v>
      </c>
      <c r="G222" s="341">
        <v>11700</v>
      </c>
      <c r="H222" s="273">
        <f>IFERROR(INDEX('4. Valuation'!$C$10:$I$17,MATCH($D222,'4. Valuation'!$C$10:$C$17,0),MATCH($H$25,'4. Valuation'!$C$10:$I$10,0)),0)</f>
        <v>867</v>
      </c>
      <c r="I222" s="359">
        <f>IFERROR(INDEX('4. Valuation'!$C$10:$I$17,MATCH($D222,'4. Valuation'!$C$10:$C$17,0),MATCH($I$25,'4. Valuation'!$C$10:$I$10,0)),0)</f>
        <v>20.660726106217222</v>
      </c>
      <c r="J222" s="277"/>
      <c r="K222" s="312">
        <f t="shared" si="59"/>
        <v>10404</v>
      </c>
      <c r="L222" s="312">
        <f t="shared" si="60"/>
        <v>867</v>
      </c>
      <c r="M222" s="359">
        <f t="shared" si="61"/>
        <v>21.018181818181819</v>
      </c>
      <c r="N222" s="278"/>
      <c r="O222" s="278"/>
      <c r="P222" s="278"/>
      <c r="Q222" s="278"/>
      <c r="R222" s="312">
        <f>IFERROR(INDEX('4. Valuation'!$O$10:$X$17,MATCH($D222,'4. Valuation'!$O$10:$O$17,0),MATCH($R$25,'4. Valuation'!$O$10:$X$10,0)),0)</f>
        <v>0</v>
      </c>
      <c r="S222" s="312">
        <f>IFERROR(INDEX('4. Valuation'!$O$10:$X$17,MATCH($D222,'4. Valuation'!$O$10:$O$17,0),MATCH($S$25,'4. Valuation'!$O$10:$X$10,0)),0)</f>
        <v>0</v>
      </c>
      <c r="T222" s="312">
        <f>IFERROR(INDEX('4. Valuation'!$O$10:$X$17,MATCH($D222,'4. Valuation'!$O$10:$O$17,0),MATCH($T$25,'4. Valuation'!$O$10:$X$10,0)),0)</f>
        <v>0</v>
      </c>
      <c r="U222" s="278"/>
      <c r="V222" s="312">
        <f t="shared" si="62"/>
        <v>0</v>
      </c>
      <c r="W222" s="312">
        <f t="shared" si="63"/>
        <v>0</v>
      </c>
      <c r="X222" s="312">
        <f t="shared" si="64"/>
        <v>0</v>
      </c>
      <c r="Y222" s="278"/>
      <c r="Z222" s="312">
        <f t="shared" si="65"/>
        <v>11940</v>
      </c>
      <c r="AA222" s="312">
        <f>'3. GRI Pricing'!Y213</f>
        <v>995</v>
      </c>
      <c r="AB222" s="359">
        <f t="shared" si="66"/>
        <v>24.121212121212121</v>
      </c>
    </row>
    <row r="223" spans="3:28" s="30" customFormat="1" ht="12" x14ac:dyDescent="0.2">
      <c r="C223" s="77" t="str">
        <f>'1. Accomodation'!N218</f>
        <v>203W</v>
      </c>
      <c r="D223" s="77" t="str">
        <f>'1. Accomodation'!P218</f>
        <v>2 Bed</v>
      </c>
      <c r="E223" s="77">
        <f>'1. Accomodation'!O218</f>
        <v>657</v>
      </c>
      <c r="G223" s="341">
        <v>15240</v>
      </c>
      <c r="H223" s="273">
        <f>IFERROR(INDEX('4. Valuation'!$C$10:$I$17,MATCH($D223,'4. Valuation'!$C$10:$C$17,0),MATCH($H$25,'4. Valuation'!$C$10:$I$10,0)),0)</f>
        <v>1166</v>
      </c>
      <c r="I223" s="359">
        <f>IFERROR(INDEX('4. Valuation'!$C$10:$I$17,MATCH($D223,'4. Valuation'!$C$10:$C$17,0),MATCH($I$25,'4. Valuation'!$C$10:$I$10,0)),0)</f>
        <v>21.448728269247237</v>
      </c>
      <c r="J223" s="277"/>
      <c r="K223" s="312">
        <f t="shared" si="59"/>
        <v>13992</v>
      </c>
      <c r="L223" s="312">
        <f t="shared" si="60"/>
        <v>1166</v>
      </c>
      <c r="M223" s="359">
        <f t="shared" si="61"/>
        <v>21.296803652968038</v>
      </c>
      <c r="N223" s="278"/>
      <c r="O223" s="278"/>
      <c r="P223" s="278"/>
      <c r="Q223" s="278"/>
      <c r="R223" s="312">
        <f>IFERROR(INDEX('4. Valuation'!$O$10:$X$17,MATCH($D223,'4. Valuation'!$O$10:$O$17,0),MATCH($R$25,'4. Valuation'!$O$10:$X$10,0)),0)</f>
        <v>0</v>
      </c>
      <c r="S223" s="312">
        <f>IFERROR(INDEX('4. Valuation'!$O$10:$X$17,MATCH($D223,'4. Valuation'!$O$10:$O$17,0),MATCH($S$25,'4. Valuation'!$O$10:$X$10,0)),0)</f>
        <v>0</v>
      </c>
      <c r="T223" s="312">
        <f>IFERROR(INDEX('4. Valuation'!$O$10:$X$17,MATCH($D223,'4. Valuation'!$O$10:$O$17,0),MATCH($T$25,'4. Valuation'!$O$10:$X$10,0)),0)</f>
        <v>0</v>
      </c>
      <c r="U223" s="278"/>
      <c r="V223" s="312">
        <f t="shared" si="62"/>
        <v>0</v>
      </c>
      <c r="W223" s="312">
        <f t="shared" si="63"/>
        <v>0</v>
      </c>
      <c r="X223" s="312">
        <f t="shared" si="64"/>
        <v>0</v>
      </c>
      <c r="Y223" s="278"/>
      <c r="Z223" s="312">
        <f t="shared" si="65"/>
        <v>15180</v>
      </c>
      <c r="AA223" s="312">
        <f>'3. GRI Pricing'!Y214</f>
        <v>1265</v>
      </c>
      <c r="AB223" s="359">
        <f t="shared" si="66"/>
        <v>23.105022831050228</v>
      </c>
    </row>
    <row r="224" spans="3:28" s="30" customFormat="1" ht="12" x14ac:dyDescent="0.2">
      <c r="C224" s="77" t="str">
        <f>'1. Accomodation'!N219</f>
        <v>204W</v>
      </c>
      <c r="D224" s="77" t="str">
        <f>'1. Accomodation'!P219</f>
        <v>2 Bed</v>
      </c>
      <c r="E224" s="77">
        <f>'1. Accomodation'!O219</f>
        <v>657</v>
      </c>
      <c r="G224" s="341">
        <v>14940</v>
      </c>
      <c r="H224" s="273">
        <f>IFERROR(INDEX('4. Valuation'!$C$10:$I$17,MATCH($D224,'4. Valuation'!$C$10:$C$17,0),MATCH($H$25,'4. Valuation'!$C$10:$I$10,0)),0)</f>
        <v>1166</v>
      </c>
      <c r="I224" s="359">
        <f>IFERROR(INDEX('4. Valuation'!$C$10:$I$17,MATCH($D224,'4. Valuation'!$C$10:$C$17,0),MATCH($I$25,'4. Valuation'!$C$10:$I$10,0)),0)</f>
        <v>21.448728269247237</v>
      </c>
      <c r="J224" s="277"/>
      <c r="K224" s="312">
        <f t="shared" si="59"/>
        <v>13992</v>
      </c>
      <c r="L224" s="312">
        <f t="shared" si="60"/>
        <v>1166</v>
      </c>
      <c r="M224" s="359">
        <f t="shared" si="61"/>
        <v>21.296803652968038</v>
      </c>
      <c r="N224" s="278"/>
      <c r="O224" s="278"/>
      <c r="P224" s="278"/>
      <c r="Q224" s="278"/>
      <c r="R224" s="312">
        <f>IFERROR(INDEX('4. Valuation'!$O$10:$X$17,MATCH($D224,'4. Valuation'!$O$10:$O$17,0),MATCH($R$25,'4. Valuation'!$O$10:$X$10,0)),0)</f>
        <v>0</v>
      </c>
      <c r="S224" s="312">
        <f>IFERROR(INDEX('4. Valuation'!$O$10:$X$17,MATCH($D224,'4. Valuation'!$O$10:$O$17,0),MATCH($S$25,'4. Valuation'!$O$10:$X$10,0)),0)</f>
        <v>0</v>
      </c>
      <c r="T224" s="312">
        <f>IFERROR(INDEX('4. Valuation'!$O$10:$X$17,MATCH($D224,'4. Valuation'!$O$10:$O$17,0),MATCH($T$25,'4. Valuation'!$O$10:$X$10,0)),0)</f>
        <v>0</v>
      </c>
      <c r="U224" s="278"/>
      <c r="V224" s="312">
        <f t="shared" si="62"/>
        <v>0</v>
      </c>
      <c r="W224" s="312">
        <f t="shared" si="63"/>
        <v>0</v>
      </c>
      <c r="X224" s="312">
        <f t="shared" si="64"/>
        <v>0</v>
      </c>
      <c r="Y224" s="278"/>
      <c r="Z224" s="312">
        <f t="shared" si="65"/>
        <v>15000</v>
      </c>
      <c r="AA224" s="312">
        <f>'3. GRI Pricing'!Y215</f>
        <v>1250</v>
      </c>
      <c r="AB224" s="359">
        <f t="shared" si="66"/>
        <v>22.831050228310502</v>
      </c>
    </row>
    <row r="225" spans="3:28" s="30" customFormat="1" ht="12" x14ac:dyDescent="0.2">
      <c r="C225" s="77" t="str">
        <f>'1. Accomodation'!N220</f>
        <v>205W</v>
      </c>
      <c r="D225" s="77" t="str">
        <f>'1. Accomodation'!P220</f>
        <v>2 Bed</v>
      </c>
      <c r="E225" s="77">
        <f>'1. Accomodation'!O220</f>
        <v>678</v>
      </c>
      <c r="G225" s="341">
        <v>15300</v>
      </c>
      <c r="H225" s="273">
        <f>IFERROR(INDEX('4. Valuation'!$C$10:$I$17,MATCH($D225,'4. Valuation'!$C$10:$C$17,0),MATCH($H$25,'4. Valuation'!$C$10:$I$10,0)),0)</f>
        <v>1166</v>
      </c>
      <c r="I225" s="359">
        <f>IFERROR(INDEX('4. Valuation'!$C$10:$I$17,MATCH($D225,'4. Valuation'!$C$10:$C$17,0),MATCH($I$25,'4. Valuation'!$C$10:$I$10,0)),0)</f>
        <v>21.448728269247237</v>
      </c>
      <c r="J225" s="277"/>
      <c r="K225" s="312">
        <f t="shared" si="59"/>
        <v>13992</v>
      </c>
      <c r="L225" s="312">
        <f t="shared" si="60"/>
        <v>1166</v>
      </c>
      <c r="M225" s="359">
        <f t="shared" si="61"/>
        <v>20.63716814159292</v>
      </c>
      <c r="N225" s="278"/>
      <c r="O225" s="278"/>
      <c r="P225" s="278"/>
      <c r="Q225" s="278"/>
      <c r="R225" s="312">
        <f>IFERROR(INDEX('4. Valuation'!$O$10:$X$17,MATCH($D225,'4. Valuation'!$O$10:$O$17,0),MATCH($R$25,'4. Valuation'!$O$10:$X$10,0)),0)</f>
        <v>0</v>
      </c>
      <c r="S225" s="312">
        <f>IFERROR(INDEX('4. Valuation'!$O$10:$X$17,MATCH($D225,'4. Valuation'!$O$10:$O$17,0),MATCH($S$25,'4. Valuation'!$O$10:$X$10,0)),0)</f>
        <v>0</v>
      </c>
      <c r="T225" s="312">
        <f>IFERROR(INDEX('4. Valuation'!$O$10:$X$17,MATCH($D225,'4. Valuation'!$O$10:$O$17,0),MATCH($T$25,'4. Valuation'!$O$10:$X$10,0)),0)</f>
        <v>0</v>
      </c>
      <c r="U225" s="278"/>
      <c r="V225" s="312">
        <f t="shared" si="62"/>
        <v>0</v>
      </c>
      <c r="W225" s="312">
        <f t="shared" si="63"/>
        <v>0</v>
      </c>
      <c r="X225" s="312">
        <f t="shared" si="64"/>
        <v>0</v>
      </c>
      <c r="Y225" s="278"/>
      <c r="Z225" s="312">
        <f t="shared" si="65"/>
        <v>15240</v>
      </c>
      <c r="AA225" s="312">
        <f>'3. GRI Pricing'!Y216</f>
        <v>1270</v>
      </c>
      <c r="AB225" s="359">
        <f t="shared" si="66"/>
        <v>22.477876106194689</v>
      </c>
    </row>
    <row r="226" spans="3:28" s="30" customFormat="1" ht="12" x14ac:dyDescent="0.2">
      <c r="C226" s="77" t="str">
        <f>'1. Accomodation'!N221</f>
        <v>206W</v>
      </c>
      <c r="D226" s="77" t="str">
        <f>'1. Accomodation'!P221</f>
        <v>1 Bed</v>
      </c>
      <c r="E226" s="77">
        <f>'1. Accomodation'!O221</f>
        <v>506</v>
      </c>
      <c r="G226" s="341">
        <v>10800</v>
      </c>
      <c r="H226" s="273">
        <f>IFERROR(INDEX('4. Valuation'!$C$10:$I$17,MATCH($D226,'4. Valuation'!$C$10:$C$17,0),MATCH($H$25,'4. Valuation'!$C$10:$I$10,0)),0)</f>
        <v>867</v>
      </c>
      <c r="I226" s="359">
        <f>IFERROR(INDEX('4. Valuation'!$C$10:$I$17,MATCH($D226,'4. Valuation'!$C$10:$C$17,0),MATCH($I$25,'4. Valuation'!$C$10:$I$10,0)),0)</f>
        <v>20.660726106217222</v>
      </c>
      <c r="J226" s="277"/>
      <c r="K226" s="312">
        <f t="shared" si="59"/>
        <v>10404</v>
      </c>
      <c r="L226" s="312">
        <f t="shared" si="60"/>
        <v>867</v>
      </c>
      <c r="M226" s="359">
        <f t="shared" si="61"/>
        <v>20.561264822134387</v>
      </c>
      <c r="N226" s="278"/>
      <c r="O226" s="278"/>
      <c r="P226" s="278"/>
      <c r="Q226" s="278"/>
      <c r="R226" s="312">
        <f>IFERROR(INDEX('4. Valuation'!$O$10:$X$17,MATCH($D226,'4. Valuation'!$O$10:$O$17,0),MATCH($R$25,'4. Valuation'!$O$10:$X$10,0)),0)</f>
        <v>0</v>
      </c>
      <c r="S226" s="312">
        <f>IFERROR(INDEX('4. Valuation'!$O$10:$X$17,MATCH($D226,'4. Valuation'!$O$10:$O$17,0),MATCH($S$25,'4. Valuation'!$O$10:$X$10,0)),0)</f>
        <v>0</v>
      </c>
      <c r="T226" s="312">
        <f>IFERROR(INDEX('4. Valuation'!$O$10:$X$17,MATCH($D226,'4. Valuation'!$O$10:$O$17,0),MATCH($T$25,'4. Valuation'!$O$10:$X$10,0)),0)</f>
        <v>0</v>
      </c>
      <c r="U226" s="278"/>
      <c r="V226" s="312">
        <f t="shared" si="62"/>
        <v>0</v>
      </c>
      <c r="W226" s="312">
        <f t="shared" si="63"/>
        <v>0</v>
      </c>
      <c r="X226" s="312">
        <f t="shared" si="64"/>
        <v>0</v>
      </c>
      <c r="Y226" s="278"/>
      <c r="Z226" s="312">
        <f t="shared" si="65"/>
        <v>11760</v>
      </c>
      <c r="AA226" s="312">
        <f>'3. GRI Pricing'!Y217</f>
        <v>980</v>
      </c>
      <c r="AB226" s="359">
        <f t="shared" si="66"/>
        <v>23.24110671936759</v>
      </c>
    </row>
    <row r="227" spans="3:28" s="30" customFormat="1" ht="12" x14ac:dyDescent="0.2">
      <c r="C227" s="77" t="str">
        <f>'1. Accomodation'!N222</f>
        <v>207W</v>
      </c>
      <c r="D227" s="77" t="str">
        <f>'1. Accomodation'!P222</f>
        <v>1 Bed</v>
      </c>
      <c r="E227" s="77">
        <f>'1. Accomodation'!O222</f>
        <v>474</v>
      </c>
      <c r="G227" s="341">
        <v>11040</v>
      </c>
      <c r="H227" s="273">
        <f>IFERROR(INDEX('4. Valuation'!$C$10:$I$17,MATCH($D227,'4. Valuation'!$C$10:$C$17,0),MATCH($H$25,'4. Valuation'!$C$10:$I$10,0)),0)</f>
        <v>867</v>
      </c>
      <c r="I227" s="359">
        <f>IFERROR(INDEX('4. Valuation'!$C$10:$I$17,MATCH($D227,'4. Valuation'!$C$10:$C$17,0),MATCH($I$25,'4. Valuation'!$C$10:$I$10,0)),0)</f>
        <v>20.660726106217222</v>
      </c>
      <c r="J227" s="277"/>
      <c r="K227" s="312">
        <f t="shared" si="59"/>
        <v>10404</v>
      </c>
      <c r="L227" s="312">
        <f t="shared" si="60"/>
        <v>867</v>
      </c>
      <c r="M227" s="359">
        <f t="shared" si="61"/>
        <v>21.949367088607595</v>
      </c>
      <c r="N227" s="278"/>
      <c r="O227" s="278"/>
      <c r="P227" s="278"/>
      <c r="Q227" s="278"/>
      <c r="R227" s="312">
        <f>IFERROR(INDEX('4. Valuation'!$O$10:$X$17,MATCH($D227,'4. Valuation'!$O$10:$O$17,0),MATCH($R$25,'4. Valuation'!$O$10:$X$10,0)),0)</f>
        <v>0</v>
      </c>
      <c r="S227" s="312">
        <f>IFERROR(INDEX('4. Valuation'!$O$10:$X$17,MATCH($D227,'4. Valuation'!$O$10:$O$17,0),MATCH($S$25,'4. Valuation'!$O$10:$X$10,0)),0)</f>
        <v>0</v>
      </c>
      <c r="T227" s="312">
        <f>IFERROR(INDEX('4. Valuation'!$O$10:$X$17,MATCH($D227,'4. Valuation'!$O$10:$O$17,0),MATCH($T$25,'4. Valuation'!$O$10:$X$10,0)),0)</f>
        <v>0</v>
      </c>
      <c r="U227" s="278"/>
      <c r="V227" s="312">
        <f t="shared" si="62"/>
        <v>0</v>
      </c>
      <c r="W227" s="312">
        <f t="shared" si="63"/>
        <v>0</v>
      </c>
      <c r="X227" s="312">
        <f t="shared" si="64"/>
        <v>0</v>
      </c>
      <c r="Y227" s="278"/>
      <c r="Z227" s="312">
        <f t="shared" si="65"/>
        <v>11580</v>
      </c>
      <c r="AA227" s="312">
        <f>'3. GRI Pricing'!Y218</f>
        <v>965</v>
      </c>
      <c r="AB227" s="359">
        <f t="shared" si="66"/>
        <v>24.430379746835442</v>
      </c>
    </row>
    <row r="228" spans="3:28" s="30" customFormat="1" ht="12" x14ac:dyDescent="0.2">
      <c r="C228" s="77" t="str">
        <f>'1. Accomodation'!N223</f>
        <v>208W</v>
      </c>
      <c r="D228" s="77" t="str">
        <f>'1. Accomodation'!P223</f>
        <v>2 Bed</v>
      </c>
      <c r="E228" s="77">
        <f>'1. Accomodation'!O223</f>
        <v>667</v>
      </c>
      <c r="G228" s="341">
        <v>15720</v>
      </c>
      <c r="H228" s="273">
        <f>IFERROR(INDEX('4. Valuation'!$C$10:$I$17,MATCH($D228,'4. Valuation'!$C$10:$C$17,0),MATCH($H$25,'4. Valuation'!$C$10:$I$10,0)),0)</f>
        <v>1166</v>
      </c>
      <c r="I228" s="359">
        <f>IFERROR(INDEX('4. Valuation'!$C$10:$I$17,MATCH($D228,'4. Valuation'!$C$10:$C$17,0),MATCH($I$25,'4. Valuation'!$C$10:$I$10,0)),0)</f>
        <v>21.448728269247237</v>
      </c>
      <c r="J228" s="277"/>
      <c r="K228" s="312">
        <f t="shared" si="59"/>
        <v>13992</v>
      </c>
      <c r="L228" s="312">
        <f t="shared" si="60"/>
        <v>1166</v>
      </c>
      <c r="M228" s="359">
        <f t="shared" si="61"/>
        <v>20.977511244377812</v>
      </c>
      <c r="N228" s="278"/>
      <c r="O228" s="278"/>
      <c r="P228" s="278"/>
      <c r="Q228" s="278"/>
      <c r="R228" s="312">
        <f>IFERROR(INDEX('4. Valuation'!$O$10:$X$17,MATCH($D228,'4. Valuation'!$O$10:$O$17,0),MATCH($R$25,'4. Valuation'!$O$10:$X$10,0)),0)</f>
        <v>0</v>
      </c>
      <c r="S228" s="312">
        <f>IFERROR(INDEX('4. Valuation'!$O$10:$X$17,MATCH($D228,'4. Valuation'!$O$10:$O$17,0),MATCH($S$25,'4. Valuation'!$O$10:$X$10,0)),0)</f>
        <v>0</v>
      </c>
      <c r="T228" s="312">
        <f>IFERROR(INDEX('4. Valuation'!$O$10:$X$17,MATCH($D228,'4. Valuation'!$O$10:$O$17,0),MATCH($T$25,'4. Valuation'!$O$10:$X$10,0)),0)</f>
        <v>0</v>
      </c>
      <c r="U228" s="278"/>
      <c r="V228" s="312">
        <f t="shared" si="62"/>
        <v>0</v>
      </c>
      <c r="W228" s="312">
        <f t="shared" si="63"/>
        <v>0</v>
      </c>
      <c r="X228" s="312">
        <f t="shared" si="64"/>
        <v>0</v>
      </c>
      <c r="Y228" s="278"/>
      <c r="Z228" s="312">
        <f t="shared" si="65"/>
        <v>15300</v>
      </c>
      <c r="AA228" s="312">
        <f>'3. GRI Pricing'!Y219</f>
        <v>1275</v>
      </c>
      <c r="AB228" s="359">
        <f t="shared" si="66"/>
        <v>22.938530734632682</v>
      </c>
    </row>
    <row r="229" spans="3:28" s="30" customFormat="1" ht="12" x14ac:dyDescent="0.2">
      <c r="C229" s="77" t="str">
        <f>'1. Accomodation'!N224</f>
        <v>209W</v>
      </c>
      <c r="D229" s="77" t="str">
        <f>'1. Accomodation'!P224</f>
        <v>2 Bed</v>
      </c>
      <c r="E229" s="77">
        <f>'1. Accomodation'!O224</f>
        <v>657</v>
      </c>
      <c r="G229" s="341">
        <v>13980</v>
      </c>
      <c r="H229" s="273">
        <f>IFERROR(INDEX('4. Valuation'!$C$10:$I$17,MATCH($D229,'4. Valuation'!$C$10:$C$17,0),MATCH($H$25,'4. Valuation'!$C$10:$I$10,0)),0)</f>
        <v>1166</v>
      </c>
      <c r="I229" s="359">
        <f>IFERROR(INDEX('4. Valuation'!$C$10:$I$17,MATCH($D229,'4. Valuation'!$C$10:$C$17,0),MATCH($I$25,'4. Valuation'!$C$10:$I$10,0)),0)</f>
        <v>21.448728269247237</v>
      </c>
      <c r="J229" s="277"/>
      <c r="K229" s="312">
        <f t="shared" si="59"/>
        <v>13992</v>
      </c>
      <c r="L229" s="312">
        <f t="shared" si="60"/>
        <v>1166</v>
      </c>
      <c r="M229" s="359">
        <f t="shared" si="61"/>
        <v>21.296803652968038</v>
      </c>
      <c r="N229" s="278"/>
      <c r="O229" s="278"/>
      <c r="P229" s="278"/>
      <c r="Q229" s="278"/>
      <c r="R229" s="312">
        <f>IFERROR(INDEX('4. Valuation'!$O$10:$X$17,MATCH($D229,'4. Valuation'!$O$10:$O$17,0),MATCH($R$25,'4. Valuation'!$O$10:$X$10,0)),0)</f>
        <v>0</v>
      </c>
      <c r="S229" s="312">
        <f>IFERROR(INDEX('4. Valuation'!$O$10:$X$17,MATCH($D229,'4. Valuation'!$O$10:$O$17,0),MATCH($S$25,'4. Valuation'!$O$10:$X$10,0)),0)</f>
        <v>0</v>
      </c>
      <c r="T229" s="312">
        <f>IFERROR(INDEX('4. Valuation'!$O$10:$X$17,MATCH($D229,'4. Valuation'!$O$10:$O$17,0),MATCH($T$25,'4. Valuation'!$O$10:$X$10,0)),0)</f>
        <v>0</v>
      </c>
      <c r="U229" s="278"/>
      <c r="V229" s="312">
        <f t="shared" si="62"/>
        <v>0</v>
      </c>
      <c r="W229" s="312">
        <f t="shared" si="63"/>
        <v>0</v>
      </c>
      <c r="X229" s="312">
        <f t="shared" si="64"/>
        <v>0</v>
      </c>
      <c r="Y229" s="278"/>
      <c r="Z229" s="312">
        <f t="shared" si="65"/>
        <v>15180</v>
      </c>
      <c r="AA229" s="312">
        <f>'3. GRI Pricing'!Y220</f>
        <v>1265</v>
      </c>
      <c r="AB229" s="359">
        <f t="shared" si="66"/>
        <v>23.105022831050228</v>
      </c>
    </row>
    <row r="230" spans="3:28" s="30" customFormat="1" ht="12" x14ac:dyDescent="0.2">
      <c r="C230" s="77" t="str">
        <f>'1. Accomodation'!N225</f>
        <v>210W</v>
      </c>
      <c r="D230" s="77" t="str">
        <f>'1. Accomodation'!P225</f>
        <v>2 Bed</v>
      </c>
      <c r="E230" s="77">
        <f>'1. Accomodation'!O225</f>
        <v>689</v>
      </c>
      <c r="G230" s="341">
        <v>15600</v>
      </c>
      <c r="H230" s="273">
        <f>IFERROR(INDEX('4. Valuation'!$C$10:$I$17,MATCH($D230,'4. Valuation'!$C$10:$C$17,0),MATCH($H$25,'4. Valuation'!$C$10:$I$10,0)),0)</f>
        <v>1166</v>
      </c>
      <c r="I230" s="359">
        <f>IFERROR(INDEX('4. Valuation'!$C$10:$I$17,MATCH($D230,'4. Valuation'!$C$10:$C$17,0),MATCH($I$25,'4. Valuation'!$C$10:$I$10,0)),0)</f>
        <v>21.448728269247237</v>
      </c>
      <c r="J230" s="277"/>
      <c r="K230" s="312">
        <f t="shared" si="59"/>
        <v>13992</v>
      </c>
      <c r="L230" s="312">
        <f t="shared" si="60"/>
        <v>1166</v>
      </c>
      <c r="M230" s="359">
        <f t="shared" si="61"/>
        <v>20.307692307692307</v>
      </c>
      <c r="N230" s="278"/>
      <c r="O230" s="278"/>
      <c r="P230" s="278"/>
      <c r="Q230" s="278"/>
      <c r="R230" s="312">
        <f>IFERROR(INDEX('4. Valuation'!$O$10:$X$17,MATCH($D230,'4. Valuation'!$O$10:$O$17,0),MATCH($R$25,'4. Valuation'!$O$10:$X$10,0)),0)</f>
        <v>0</v>
      </c>
      <c r="S230" s="312">
        <f>IFERROR(INDEX('4. Valuation'!$O$10:$X$17,MATCH($D230,'4. Valuation'!$O$10:$O$17,0),MATCH($S$25,'4. Valuation'!$O$10:$X$10,0)),0)</f>
        <v>0</v>
      </c>
      <c r="T230" s="312">
        <f>IFERROR(INDEX('4. Valuation'!$O$10:$X$17,MATCH($D230,'4. Valuation'!$O$10:$O$17,0),MATCH($T$25,'4. Valuation'!$O$10:$X$10,0)),0)</f>
        <v>0</v>
      </c>
      <c r="U230" s="278"/>
      <c r="V230" s="312">
        <f t="shared" si="62"/>
        <v>0</v>
      </c>
      <c r="W230" s="312">
        <f t="shared" si="63"/>
        <v>0</v>
      </c>
      <c r="X230" s="312">
        <f t="shared" si="64"/>
        <v>0</v>
      </c>
      <c r="Y230" s="278"/>
      <c r="Z230" s="312">
        <f t="shared" si="65"/>
        <v>15720</v>
      </c>
      <c r="AA230" s="312">
        <f>'3. GRI Pricing'!Y221</f>
        <v>1310</v>
      </c>
      <c r="AB230" s="359">
        <f t="shared" si="66"/>
        <v>22.815674891146589</v>
      </c>
    </row>
    <row r="231" spans="3:28" s="30" customFormat="1" ht="12" x14ac:dyDescent="0.2">
      <c r="C231" s="77" t="str">
        <f>'1. Accomodation'!N226</f>
        <v>211W</v>
      </c>
      <c r="D231" s="77" t="str">
        <f>'1. Accomodation'!P226</f>
        <v>2 Bed</v>
      </c>
      <c r="E231" s="77">
        <f>'1. Accomodation'!O226</f>
        <v>667</v>
      </c>
      <c r="G231" s="341">
        <v>14400</v>
      </c>
      <c r="H231" s="273">
        <f>IFERROR(INDEX('4. Valuation'!$C$10:$I$17,MATCH($D231,'4. Valuation'!$C$10:$C$17,0),MATCH($H$25,'4. Valuation'!$C$10:$I$10,0)),0)</f>
        <v>1166</v>
      </c>
      <c r="I231" s="359">
        <f>IFERROR(INDEX('4. Valuation'!$C$10:$I$17,MATCH($D231,'4. Valuation'!$C$10:$C$17,0),MATCH($I$25,'4. Valuation'!$C$10:$I$10,0)),0)</f>
        <v>21.448728269247237</v>
      </c>
      <c r="J231" s="277"/>
      <c r="K231" s="312">
        <f t="shared" si="59"/>
        <v>13992</v>
      </c>
      <c r="L231" s="312">
        <f t="shared" si="60"/>
        <v>1166</v>
      </c>
      <c r="M231" s="359">
        <f t="shared" si="61"/>
        <v>20.977511244377812</v>
      </c>
      <c r="N231" s="278"/>
      <c r="O231" s="278"/>
      <c r="P231" s="278"/>
      <c r="Q231" s="278"/>
      <c r="R231" s="312">
        <f>IFERROR(INDEX('4. Valuation'!$O$10:$X$17,MATCH($D231,'4. Valuation'!$O$10:$O$17,0),MATCH($R$25,'4. Valuation'!$O$10:$X$10,0)),0)</f>
        <v>0</v>
      </c>
      <c r="S231" s="312">
        <f>IFERROR(INDEX('4. Valuation'!$O$10:$X$17,MATCH($D231,'4. Valuation'!$O$10:$O$17,0),MATCH($S$25,'4. Valuation'!$O$10:$X$10,0)),0)</f>
        <v>0</v>
      </c>
      <c r="T231" s="312">
        <f>IFERROR(INDEX('4. Valuation'!$O$10:$X$17,MATCH($D231,'4. Valuation'!$O$10:$O$17,0),MATCH($T$25,'4. Valuation'!$O$10:$X$10,0)),0)</f>
        <v>0</v>
      </c>
      <c r="U231" s="278"/>
      <c r="V231" s="312">
        <f t="shared" si="62"/>
        <v>0</v>
      </c>
      <c r="W231" s="312">
        <f t="shared" si="63"/>
        <v>0</v>
      </c>
      <c r="X231" s="312">
        <f t="shared" si="64"/>
        <v>0</v>
      </c>
      <c r="Y231" s="278"/>
      <c r="Z231" s="312">
        <f t="shared" si="65"/>
        <v>15300</v>
      </c>
      <c r="AA231" s="312">
        <f>'3. GRI Pricing'!Y222</f>
        <v>1275</v>
      </c>
      <c r="AB231" s="359">
        <f t="shared" si="66"/>
        <v>22.938530734632682</v>
      </c>
    </row>
    <row r="232" spans="3:28" s="30" customFormat="1" ht="12" x14ac:dyDescent="0.2">
      <c r="C232" s="77" t="str">
        <f>'1. Accomodation'!N227</f>
        <v>212W</v>
      </c>
      <c r="D232" s="77" t="str">
        <f>'1. Accomodation'!P227</f>
        <v>1 Bed</v>
      </c>
      <c r="E232" s="77">
        <f>'1. Accomodation'!O227</f>
        <v>527</v>
      </c>
      <c r="G232" s="341">
        <v>11280</v>
      </c>
      <c r="H232" s="273">
        <f>IFERROR(INDEX('4. Valuation'!$C$10:$I$17,MATCH($D232,'4. Valuation'!$C$10:$C$17,0),MATCH($H$25,'4. Valuation'!$C$10:$I$10,0)),0)</f>
        <v>867</v>
      </c>
      <c r="I232" s="359">
        <f>IFERROR(INDEX('4. Valuation'!$C$10:$I$17,MATCH($D232,'4. Valuation'!$C$10:$C$17,0),MATCH($I$25,'4. Valuation'!$C$10:$I$10,0)),0)</f>
        <v>20.660726106217222</v>
      </c>
      <c r="J232" s="277"/>
      <c r="K232" s="312">
        <f t="shared" si="59"/>
        <v>10404</v>
      </c>
      <c r="L232" s="312">
        <f t="shared" si="60"/>
        <v>867</v>
      </c>
      <c r="M232" s="359">
        <f t="shared" si="61"/>
        <v>19.741935483870968</v>
      </c>
      <c r="N232" s="278"/>
      <c r="O232" s="278"/>
      <c r="P232" s="278"/>
      <c r="Q232" s="278"/>
      <c r="R232" s="312">
        <f>IFERROR(INDEX('4. Valuation'!$O$10:$X$17,MATCH($D232,'4. Valuation'!$O$10:$O$17,0),MATCH($R$25,'4. Valuation'!$O$10:$X$10,0)),0)</f>
        <v>0</v>
      </c>
      <c r="S232" s="312">
        <f>IFERROR(INDEX('4. Valuation'!$O$10:$X$17,MATCH($D232,'4. Valuation'!$O$10:$O$17,0),MATCH($S$25,'4. Valuation'!$O$10:$X$10,0)),0)</f>
        <v>0</v>
      </c>
      <c r="T232" s="312">
        <f>IFERROR(INDEX('4. Valuation'!$O$10:$X$17,MATCH($D232,'4. Valuation'!$O$10:$O$17,0),MATCH($T$25,'4. Valuation'!$O$10:$X$10,0)),0)</f>
        <v>0</v>
      </c>
      <c r="U232" s="278"/>
      <c r="V232" s="312">
        <f t="shared" si="62"/>
        <v>0</v>
      </c>
      <c r="W232" s="312">
        <f t="shared" si="63"/>
        <v>0</v>
      </c>
      <c r="X232" s="312">
        <f t="shared" si="64"/>
        <v>0</v>
      </c>
      <c r="Y232" s="278"/>
      <c r="Z232" s="312">
        <f t="shared" si="65"/>
        <v>11820</v>
      </c>
      <c r="AA232" s="312">
        <f>'3. GRI Pricing'!Y223</f>
        <v>985</v>
      </c>
      <c r="AB232" s="359">
        <f t="shared" si="66"/>
        <v>22.428842504743834</v>
      </c>
    </row>
    <row r="233" spans="3:28" s="30" customFormat="1" ht="12" x14ac:dyDescent="0.2">
      <c r="C233" s="77" t="str">
        <f>'1. Accomodation'!N228</f>
        <v>213W</v>
      </c>
      <c r="D233" s="77" t="str">
        <f>'1. Accomodation'!P228</f>
        <v>3 Bed</v>
      </c>
      <c r="E233" s="77">
        <f>'1. Accomodation'!O228</f>
        <v>840</v>
      </c>
      <c r="G233" s="341">
        <v>18240</v>
      </c>
      <c r="H233" s="273">
        <f>IFERROR(INDEX('4. Valuation'!$C$10:$I$17,MATCH($D233,'4. Valuation'!$C$10:$C$17,0),MATCH($H$25,'4. Valuation'!$C$10:$I$10,0)),0)</f>
        <v>1511</v>
      </c>
      <c r="I233" s="359">
        <f>IFERROR(INDEX('4. Valuation'!$C$10:$I$17,MATCH($D233,'4. Valuation'!$C$10:$C$17,0),MATCH($I$25,'4. Valuation'!$C$10:$I$10,0)),0)</f>
        <v>22.026444890903143</v>
      </c>
      <c r="J233" s="277"/>
      <c r="K233" s="312">
        <f t="shared" si="59"/>
        <v>18132</v>
      </c>
      <c r="L233" s="312">
        <f t="shared" si="60"/>
        <v>1511</v>
      </c>
      <c r="M233" s="359">
        <f t="shared" si="61"/>
        <v>21.585714285714285</v>
      </c>
      <c r="N233" s="278"/>
      <c r="O233" s="278"/>
      <c r="P233" s="278"/>
      <c r="Q233" s="278"/>
      <c r="R233" s="312">
        <f>IFERROR(INDEX('4. Valuation'!$O$10:$X$17,MATCH($D233,'4. Valuation'!$O$10:$O$17,0),MATCH($R$25,'4. Valuation'!$O$10:$X$10,0)),0)</f>
        <v>0</v>
      </c>
      <c r="S233" s="312">
        <f>IFERROR(INDEX('4. Valuation'!$O$10:$X$17,MATCH($D233,'4. Valuation'!$O$10:$O$17,0),MATCH($S$25,'4. Valuation'!$O$10:$X$10,0)),0)</f>
        <v>0</v>
      </c>
      <c r="T233" s="312">
        <f>IFERROR(INDEX('4. Valuation'!$O$10:$X$17,MATCH($D233,'4. Valuation'!$O$10:$O$17,0),MATCH($T$25,'4. Valuation'!$O$10:$X$10,0)),0)</f>
        <v>0</v>
      </c>
      <c r="U233" s="278"/>
      <c r="V233" s="312">
        <f t="shared" si="62"/>
        <v>0</v>
      </c>
      <c r="W233" s="312">
        <f t="shared" si="63"/>
        <v>0</v>
      </c>
      <c r="X233" s="312">
        <f t="shared" si="64"/>
        <v>0</v>
      </c>
      <c r="Y233" s="278"/>
      <c r="Z233" s="312">
        <f t="shared" si="65"/>
        <v>20100</v>
      </c>
      <c r="AA233" s="312">
        <f>'3. GRI Pricing'!Y224</f>
        <v>1675</v>
      </c>
      <c r="AB233" s="359">
        <f t="shared" si="66"/>
        <v>23.928571428571427</v>
      </c>
    </row>
    <row r="234" spans="3:28" s="30" customFormat="1" ht="12" x14ac:dyDescent="0.2">
      <c r="C234" s="77" t="str">
        <f>'1. Accomodation'!N229</f>
        <v>214W</v>
      </c>
      <c r="D234" s="77" t="str">
        <f>'1. Accomodation'!P229</f>
        <v>2 Bed</v>
      </c>
      <c r="E234" s="77">
        <f>'1. Accomodation'!O229</f>
        <v>624</v>
      </c>
      <c r="G234" s="341">
        <v>14580</v>
      </c>
      <c r="H234" s="273">
        <f>IFERROR(INDEX('4. Valuation'!$C$10:$I$17,MATCH($D234,'4. Valuation'!$C$10:$C$17,0),MATCH($H$25,'4. Valuation'!$C$10:$I$10,0)),0)</f>
        <v>1166</v>
      </c>
      <c r="I234" s="359">
        <f>IFERROR(INDEX('4. Valuation'!$C$10:$I$17,MATCH($D234,'4. Valuation'!$C$10:$C$17,0),MATCH($I$25,'4. Valuation'!$C$10:$I$10,0)),0)</f>
        <v>21.448728269247237</v>
      </c>
      <c r="J234" s="277"/>
      <c r="K234" s="312">
        <f t="shared" si="59"/>
        <v>13992</v>
      </c>
      <c r="L234" s="312">
        <f t="shared" si="60"/>
        <v>1166</v>
      </c>
      <c r="M234" s="359">
        <f t="shared" si="61"/>
        <v>22.423076923076923</v>
      </c>
      <c r="N234" s="278"/>
      <c r="O234" s="278"/>
      <c r="P234" s="278"/>
      <c r="Q234" s="278"/>
      <c r="R234" s="312">
        <f>IFERROR(INDEX('4. Valuation'!$O$10:$X$17,MATCH($D234,'4. Valuation'!$O$10:$O$17,0),MATCH($R$25,'4. Valuation'!$O$10:$X$10,0)),0)</f>
        <v>0</v>
      </c>
      <c r="S234" s="312">
        <f>IFERROR(INDEX('4. Valuation'!$O$10:$X$17,MATCH($D234,'4. Valuation'!$O$10:$O$17,0),MATCH($S$25,'4. Valuation'!$O$10:$X$10,0)),0)</f>
        <v>0</v>
      </c>
      <c r="T234" s="312">
        <f>IFERROR(INDEX('4. Valuation'!$O$10:$X$17,MATCH($D234,'4. Valuation'!$O$10:$O$17,0),MATCH($T$25,'4. Valuation'!$O$10:$X$10,0)),0)</f>
        <v>0</v>
      </c>
      <c r="U234" s="278"/>
      <c r="V234" s="312">
        <f t="shared" si="62"/>
        <v>0</v>
      </c>
      <c r="W234" s="312">
        <f t="shared" si="63"/>
        <v>0</v>
      </c>
      <c r="X234" s="312">
        <f t="shared" si="64"/>
        <v>0</v>
      </c>
      <c r="Y234" s="278"/>
      <c r="Z234" s="312">
        <f t="shared" si="65"/>
        <v>14880</v>
      </c>
      <c r="AA234" s="312">
        <f>'3. GRI Pricing'!Y225</f>
        <v>1240</v>
      </c>
      <c r="AB234" s="359">
        <f t="shared" si="66"/>
        <v>23.846153846153847</v>
      </c>
    </row>
    <row r="235" spans="3:28" s="30" customFormat="1" ht="12" x14ac:dyDescent="0.2">
      <c r="C235" s="77" t="str">
        <f>'1. Accomodation'!N230</f>
        <v>301W</v>
      </c>
      <c r="D235" s="77" t="str">
        <f>'1. Accomodation'!P230</f>
        <v>2 Bed</v>
      </c>
      <c r="E235" s="77">
        <f>'1. Accomodation'!O230</f>
        <v>689</v>
      </c>
      <c r="G235" s="341">
        <v>15960</v>
      </c>
      <c r="H235" s="273">
        <f>IFERROR(INDEX('4. Valuation'!$C$10:$I$17,MATCH($D235,'4. Valuation'!$C$10:$C$17,0),MATCH($H$25,'4. Valuation'!$C$10:$I$10,0)),0)</f>
        <v>1166</v>
      </c>
      <c r="I235" s="359">
        <f>IFERROR(INDEX('4. Valuation'!$C$10:$I$17,MATCH($D235,'4. Valuation'!$C$10:$C$17,0),MATCH($I$25,'4. Valuation'!$C$10:$I$10,0)),0)</f>
        <v>21.448728269247237</v>
      </c>
      <c r="J235" s="277"/>
      <c r="K235" s="312">
        <f t="shared" si="59"/>
        <v>13992</v>
      </c>
      <c r="L235" s="312">
        <f t="shared" si="60"/>
        <v>1166</v>
      </c>
      <c r="M235" s="359">
        <f t="shared" si="61"/>
        <v>20.307692307692307</v>
      </c>
      <c r="N235" s="278"/>
      <c r="O235" s="278"/>
      <c r="P235" s="278"/>
      <c r="Q235" s="278"/>
      <c r="R235" s="312">
        <f>IFERROR(INDEX('4. Valuation'!$O$10:$X$17,MATCH($D235,'4. Valuation'!$O$10:$O$17,0),MATCH($R$25,'4. Valuation'!$O$10:$X$10,0)),0)</f>
        <v>0</v>
      </c>
      <c r="S235" s="312">
        <f>IFERROR(INDEX('4. Valuation'!$O$10:$X$17,MATCH($D235,'4. Valuation'!$O$10:$O$17,0),MATCH($S$25,'4. Valuation'!$O$10:$X$10,0)),0)</f>
        <v>0</v>
      </c>
      <c r="T235" s="312">
        <f>IFERROR(INDEX('4. Valuation'!$O$10:$X$17,MATCH($D235,'4. Valuation'!$O$10:$O$17,0),MATCH($T$25,'4. Valuation'!$O$10:$X$10,0)),0)</f>
        <v>0</v>
      </c>
      <c r="U235" s="278"/>
      <c r="V235" s="312">
        <f t="shared" si="62"/>
        <v>0</v>
      </c>
      <c r="W235" s="312">
        <f t="shared" si="63"/>
        <v>0</v>
      </c>
      <c r="X235" s="312">
        <f t="shared" si="64"/>
        <v>0</v>
      </c>
      <c r="Y235" s="278"/>
      <c r="Z235" s="312">
        <f t="shared" si="65"/>
        <v>15660</v>
      </c>
      <c r="AA235" s="312">
        <f>'3. GRI Pricing'!Y226</f>
        <v>1305</v>
      </c>
      <c r="AB235" s="359">
        <f t="shared" si="66"/>
        <v>22.728592162554428</v>
      </c>
    </row>
    <row r="236" spans="3:28" s="30" customFormat="1" ht="12" x14ac:dyDescent="0.2">
      <c r="C236" s="77" t="str">
        <f>'1. Accomodation'!N231</f>
        <v>302W</v>
      </c>
      <c r="D236" s="77" t="str">
        <f>'1. Accomodation'!P231</f>
        <v>1 Bed</v>
      </c>
      <c r="E236" s="77">
        <f>'1. Accomodation'!O231</f>
        <v>495</v>
      </c>
      <c r="G236" s="341">
        <v>11640</v>
      </c>
      <c r="H236" s="273">
        <f>IFERROR(INDEX('4. Valuation'!$C$10:$I$17,MATCH($D236,'4. Valuation'!$C$10:$C$17,0),MATCH($H$25,'4. Valuation'!$C$10:$I$10,0)),0)</f>
        <v>867</v>
      </c>
      <c r="I236" s="359">
        <f>IFERROR(INDEX('4. Valuation'!$C$10:$I$17,MATCH($D236,'4. Valuation'!$C$10:$C$17,0),MATCH($I$25,'4. Valuation'!$C$10:$I$10,0)),0)</f>
        <v>20.660726106217222</v>
      </c>
      <c r="J236" s="277"/>
      <c r="K236" s="312">
        <f t="shared" si="59"/>
        <v>10404</v>
      </c>
      <c r="L236" s="312">
        <f t="shared" si="60"/>
        <v>867</v>
      </c>
      <c r="M236" s="359">
        <f t="shared" si="61"/>
        <v>21.018181818181819</v>
      </c>
      <c r="N236" s="278"/>
      <c r="O236" s="278"/>
      <c r="P236" s="278"/>
      <c r="Q236" s="278"/>
      <c r="R236" s="312">
        <f>IFERROR(INDEX('4. Valuation'!$O$10:$X$17,MATCH($D236,'4. Valuation'!$O$10:$O$17,0),MATCH($R$25,'4. Valuation'!$O$10:$X$10,0)),0)</f>
        <v>0</v>
      </c>
      <c r="S236" s="312">
        <f>IFERROR(INDEX('4. Valuation'!$O$10:$X$17,MATCH($D236,'4. Valuation'!$O$10:$O$17,0),MATCH($S$25,'4. Valuation'!$O$10:$X$10,0)),0)</f>
        <v>0</v>
      </c>
      <c r="T236" s="312">
        <f>IFERROR(INDEX('4. Valuation'!$O$10:$X$17,MATCH($D236,'4. Valuation'!$O$10:$O$17,0),MATCH($T$25,'4. Valuation'!$O$10:$X$10,0)),0)</f>
        <v>0</v>
      </c>
      <c r="U236" s="278"/>
      <c r="V236" s="312">
        <f t="shared" si="62"/>
        <v>0</v>
      </c>
      <c r="W236" s="312">
        <f t="shared" si="63"/>
        <v>0</v>
      </c>
      <c r="X236" s="312">
        <f t="shared" si="64"/>
        <v>0</v>
      </c>
      <c r="Y236" s="278"/>
      <c r="Z236" s="312">
        <f t="shared" si="65"/>
        <v>12060</v>
      </c>
      <c r="AA236" s="312">
        <f>'3. GRI Pricing'!Y227</f>
        <v>1005</v>
      </c>
      <c r="AB236" s="359">
        <f t="shared" si="66"/>
        <v>24.363636363636363</v>
      </c>
    </row>
    <row r="237" spans="3:28" s="30" customFormat="1" ht="12" x14ac:dyDescent="0.2">
      <c r="C237" s="77" t="str">
        <f>'1. Accomodation'!N232</f>
        <v>303W</v>
      </c>
      <c r="D237" s="77" t="str">
        <f>'1. Accomodation'!P232</f>
        <v>2 Bed</v>
      </c>
      <c r="E237" s="77">
        <f>'1. Accomodation'!O232</f>
        <v>657</v>
      </c>
      <c r="G237" s="341">
        <v>14460</v>
      </c>
      <c r="H237" s="273">
        <f>IFERROR(INDEX('4. Valuation'!$C$10:$I$17,MATCH($D237,'4. Valuation'!$C$10:$C$17,0),MATCH($H$25,'4. Valuation'!$C$10:$I$10,0)),0)</f>
        <v>1166</v>
      </c>
      <c r="I237" s="359">
        <f>IFERROR(INDEX('4. Valuation'!$C$10:$I$17,MATCH($D237,'4. Valuation'!$C$10:$C$17,0),MATCH($I$25,'4. Valuation'!$C$10:$I$10,0)),0)</f>
        <v>21.448728269247237</v>
      </c>
      <c r="J237" s="277"/>
      <c r="K237" s="312">
        <f t="shared" si="59"/>
        <v>13992</v>
      </c>
      <c r="L237" s="312">
        <f t="shared" si="60"/>
        <v>1166</v>
      </c>
      <c r="M237" s="359">
        <f t="shared" si="61"/>
        <v>21.296803652968038</v>
      </c>
      <c r="N237" s="278"/>
      <c r="O237" s="278"/>
      <c r="P237" s="278"/>
      <c r="Q237" s="278"/>
      <c r="R237" s="312">
        <f>IFERROR(INDEX('4. Valuation'!$O$10:$X$17,MATCH($D237,'4. Valuation'!$O$10:$O$17,0),MATCH($R$25,'4. Valuation'!$O$10:$X$10,0)),0)</f>
        <v>0</v>
      </c>
      <c r="S237" s="312">
        <f>IFERROR(INDEX('4. Valuation'!$O$10:$X$17,MATCH($D237,'4. Valuation'!$O$10:$O$17,0),MATCH($S$25,'4. Valuation'!$O$10:$X$10,0)),0)</f>
        <v>0</v>
      </c>
      <c r="T237" s="312">
        <f>IFERROR(INDEX('4. Valuation'!$O$10:$X$17,MATCH($D237,'4. Valuation'!$O$10:$O$17,0),MATCH($T$25,'4. Valuation'!$O$10:$X$10,0)),0)</f>
        <v>0</v>
      </c>
      <c r="U237" s="278"/>
      <c r="V237" s="312">
        <f t="shared" si="62"/>
        <v>0</v>
      </c>
      <c r="W237" s="312">
        <f t="shared" si="63"/>
        <v>0</v>
      </c>
      <c r="X237" s="312">
        <f t="shared" si="64"/>
        <v>0</v>
      </c>
      <c r="Y237" s="278"/>
      <c r="Z237" s="312">
        <f t="shared" si="65"/>
        <v>15300</v>
      </c>
      <c r="AA237" s="312">
        <f>'3. GRI Pricing'!Y228</f>
        <v>1275</v>
      </c>
      <c r="AB237" s="359">
        <f t="shared" si="66"/>
        <v>23.287671232876711</v>
      </c>
    </row>
    <row r="238" spans="3:28" s="30" customFormat="1" ht="12" x14ac:dyDescent="0.2">
      <c r="C238" s="77" t="str">
        <f>'1. Accomodation'!N233</f>
        <v>304W</v>
      </c>
      <c r="D238" s="77" t="str">
        <f>'1. Accomodation'!P233</f>
        <v>2 Bed</v>
      </c>
      <c r="E238" s="77">
        <f>'1. Accomodation'!O233</f>
        <v>657</v>
      </c>
      <c r="G238" s="341">
        <v>14760</v>
      </c>
      <c r="H238" s="273">
        <f>IFERROR(INDEX('4. Valuation'!$C$10:$I$17,MATCH($D238,'4. Valuation'!$C$10:$C$17,0),MATCH($H$25,'4. Valuation'!$C$10:$I$10,0)),0)</f>
        <v>1166</v>
      </c>
      <c r="I238" s="359">
        <f>IFERROR(INDEX('4. Valuation'!$C$10:$I$17,MATCH($D238,'4. Valuation'!$C$10:$C$17,0),MATCH($I$25,'4. Valuation'!$C$10:$I$10,0)),0)</f>
        <v>21.448728269247237</v>
      </c>
      <c r="J238" s="277"/>
      <c r="K238" s="312">
        <f t="shared" si="59"/>
        <v>13992</v>
      </c>
      <c r="L238" s="312">
        <f t="shared" si="60"/>
        <v>1166</v>
      </c>
      <c r="M238" s="359">
        <f t="shared" si="61"/>
        <v>21.296803652968038</v>
      </c>
      <c r="N238" s="278"/>
      <c r="O238" s="278"/>
      <c r="P238" s="278"/>
      <c r="Q238" s="278"/>
      <c r="R238" s="312">
        <f>IFERROR(INDEX('4. Valuation'!$O$10:$X$17,MATCH($D238,'4. Valuation'!$O$10:$O$17,0),MATCH($R$25,'4. Valuation'!$O$10:$X$10,0)),0)</f>
        <v>0</v>
      </c>
      <c r="S238" s="312">
        <f>IFERROR(INDEX('4. Valuation'!$O$10:$X$17,MATCH($D238,'4. Valuation'!$O$10:$O$17,0),MATCH($S$25,'4. Valuation'!$O$10:$X$10,0)),0)</f>
        <v>0</v>
      </c>
      <c r="T238" s="312">
        <f>IFERROR(INDEX('4. Valuation'!$O$10:$X$17,MATCH($D238,'4. Valuation'!$O$10:$O$17,0),MATCH($T$25,'4. Valuation'!$O$10:$X$10,0)),0)</f>
        <v>0</v>
      </c>
      <c r="U238" s="278"/>
      <c r="V238" s="312">
        <f t="shared" si="62"/>
        <v>0</v>
      </c>
      <c r="W238" s="312">
        <f t="shared" si="63"/>
        <v>0</v>
      </c>
      <c r="X238" s="312">
        <f t="shared" si="64"/>
        <v>0</v>
      </c>
      <c r="Y238" s="278"/>
      <c r="Z238" s="312">
        <f t="shared" si="65"/>
        <v>15120</v>
      </c>
      <c r="AA238" s="312">
        <f>'3. GRI Pricing'!Y229</f>
        <v>1260</v>
      </c>
      <c r="AB238" s="359">
        <f t="shared" si="66"/>
        <v>23.013698630136986</v>
      </c>
    </row>
    <row r="239" spans="3:28" s="30" customFormat="1" ht="12" x14ac:dyDescent="0.2">
      <c r="C239" s="77" t="str">
        <f>'1. Accomodation'!N234</f>
        <v>305W</v>
      </c>
      <c r="D239" s="77" t="str">
        <f>'1. Accomodation'!P234</f>
        <v>2 Bed</v>
      </c>
      <c r="E239" s="77">
        <f>'1. Accomodation'!O234</f>
        <v>678</v>
      </c>
      <c r="G239" s="341">
        <v>15000</v>
      </c>
      <c r="H239" s="273">
        <f>IFERROR(INDEX('4. Valuation'!$C$10:$I$17,MATCH($D239,'4. Valuation'!$C$10:$C$17,0),MATCH($H$25,'4. Valuation'!$C$10:$I$10,0)),0)</f>
        <v>1166</v>
      </c>
      <c r="I239" s="359">
        <f>IFERROR(INDEX('4. Valuation'!$C$10:$I$17,MATCH($D239,'4. Valuation'!$C$10:$C$17,0),MATCH($I$25,'4. Valuation'!$C$10:$I$10,0)),0)</f>
        <v>21.448728269247237</v>
      </c>
      <c r="J239" s="277"/>
      <c r="K239" s="312">
        <f t="shared" si="59"/>
        <v>13992</v>
      </c>
      <c r="L239" s="312">
        <f t="shared" si="60"/>
        <v>1166</v>
      </c>
      <c r="M239" s="359">
        <f t="shared" si="61"/>
        <v>20.63716814159292</v>
      </c>
      <c r="N239" s="278"/>
      <c r="O239" s="278"/>
      <c r="P239" s="278"/>
      <c r="Q239" s="278"/>
      <c r="R239" s="312">
        <f>IFERROR(INDEX('4. Valuation'!$O$10:$X$17,MATCH($D239,'4. Valuation'!$O$10:$O$17,0),MATCH($R$25,'4. Valuation'!$O$10:$X$10,0)),0)</f>
        <v>0</v>
      </c>
      <c r="S239" s="312">
        <f>IFERROR(INDEX('4. Valuation'!$O$10:$X$17,MATCH($D239,'4. Valuation'!$O$10:$O$17,0),MATCH($S$25,'4. Valuation'!$O$10:$X$10,0)),0)</f>
        <v>0</v>
      </c>
      <c r="T239" s="312">
        <f>IFERROR(INDEX('4. Valuation'!$O$10:$X$17,MATCH($D239,'4. Valuation'!$O$10:$O$17,0),MATCH($T$25,'4. Valuation'!$O$10:$X$10,0)),0)</f>
        <v>0</v>
      </c>
      <c r="U239" s="278"/>
      <c r="V239" s="312">
        <f t="shared" si="62"/>
        <v>0</v>
      </c>
      <c r="W239" s="312">
        <f t="shared" si="63"/>
        <v>0</v>
      </c>
      <c r="X239" s="312">
        <f t="shared" si="64"/>
        <v>0</v>
      </c>
      <c r="Y239" s="278"/>
      <c r="Z239" s="312">
        <f t="shared" si="65"/>
        <v>15360</v>
      </c>
      <c r="AA239" s="312">
        <f>'3. GRI Pricing'!Y230</f>
        <v>1280</v>
      </c>
      <c r="AB239" s="359">
        <f t="shared" si="66"/>
        <v>22.654867256637168</v>
      </c>
    </row>
    <row r="240" spans="3:28" s="30" customFormat="1" ht="12" x14ac:dyDescent="0.2">
      <c r="C240" s="77" t="str">
        <f>'1. Accomodation'!N235</f>
        <v>306W</v>
      </c>
      <c r="D240" s="77" t="str">
        <f>'1. Accomodation'!P235</f>
        <v>1 Bed</v>
      </c>
      <c r="E240" s="77">
        <f>'1. Accomodation'!O235</f>
        <v>506</v>
      </c>
      <c r="G240" s="341">
        <v>10860</v>
      </c>
      <c r="H240" s="273">
        <f>IFERROR(INDEX('4. Valuation'!$C$10:$I$17,MATCH($D240,'4. Valuation'!$C$10:$C$17,0),MATCH($H$25,'4. Valuation'!$C$10:$I$10,0)),0)</f>
        <v>867</v>
      </c>
      <c r="I240" s="359">
        <f>IFERROR(INDEX('4. Valuation'!$C$10:$I$17,MATCH($D240,'4. Valuation'!$C$10:$C$17,0),MATCH($I$25,'4. Valuation'!$C$10:$I$10,0)),0)</f>
        <v>20.660726106217222</v>
      </c>
      <c r="J240" s="277"/>
      <c r="K240" s="312">
        <f t="shared" si="59"/>
        <v>10404</v>
      </c>
      <c r="L240" s="312">
        <f t="shared" si="60"/>
        <v>867</v>
      </c>
      <c r="M240" s="359">
        <f t="shared" si="61"/>
        <v>20.561264822134387</v>
      </c>
      <c r="N240" s="278"/>
      <c r="O240" s="278"/>
      <c r="P240" s="278"/>
      <c r="Q240" s="278"/>
      <c r="R240" s="312">
        <f>IFERROR(INDEX('4. Valuation'!$O$10:$X$17,MATCH($D240,'4. Valuation'!$O$10:$O$17,0),MATCH($R$25,'4. Valuation'!$O$10:$X$10,0)),0)</f>
        <v>0</v>
      </c>
      <c r="S240" s="312">
        <f>IFERROR(INDEX('4. Valuation'!$O$10:$X$17,MATCH($D240,'4. Valuation'!$O$10:$O$17,0),MATCH($S$25,'4. Valuation'!$O$10:$X$10,0)),0)</f>
        <v>0</v>
      </c>
      <c r="T240" s="312">
        <f>IFERROR(INDEX('4. Valuation'!$O$10:$X$17,MATCH($D240,'4. Valuation'!$O$10:$O$17,0),MATCH($T$25,'4. Valuation'!$O$10:$X$10,0)),0)</f>
        <v>0</v>
      </c>
      <c r="U240" s="278"/>
      <c r="V240" s="312">
        <f t="shared" si="62"/>
        <v>0</v>
      </c>
      <c r="W240" s="312">
        <f t="shared" si="63"/>
        <v>0</v>
      </c>
      <c r="X240" s="312">
        <f t="shared" si="64"/>
        <v>0</v>
      </c>
      <c r="Y240" s="278"/>
      <c r="Z240" s="312">
        <f t="shared" si="65"/>
        <v>11880</v>
      </c>
      <c r="AA240" s="312">
        <f>'3. GRI Pricing'!Y231</f>
        <v>990</v>
      </c>
      <c r="AB240" s="359">
        <f t="shared" si="66"/>
        <v>23.478260869565219</v>
      </c>
    </row>
    <row r="241" spans="3:28" s="30" customFormat="1" ht="12" x14ac:dyDescent="0.2">
      <c r="C241" s="77" t="str">
        <f>'1. Accomodation'!N236</f>
        <v>307W</v>
      </c>
      <c r="D241" s="77" t="str">
        <f>'1. Accomodation'!P236</f>
        <v>1 Bed</v>
      </c>
      <c r="E241" s="77">
        <f>'1. Accomodation'!O236</f>
        <v>474</v>
      </c>
      <c r="G241" s="341">
        <v>10740</v>
      </c>
      <c r="H241" s="273">
        <f>IFERROR(INDEX('4. Valuation'!$C$10:$I$17,MATCH($D241,'4. Valuation'!$C$10:$C$17,0),MATCH($H$25,'4. Valuation'!$C$10:$I$10,0)),0)</f>
        <v>867</v>
      </c>
      <c r="I241" s="359">
        <f>IFERROR(INDEX('4. Valuation'!$C$10:$I$17,MATCH($D241,'4. Valuation'!$C$10:$C$17,0),MATCH($I$25,'4. Valuation'!$C$10:$I$10,0)),0)</f>
        <v>20.660726106217222</v>
      </c>
      <c r="J241" s="277"/>
      <c r="K241" s="312">
        <f t="shared" si="59"/>
        <v>10404</v>
      </c>
      <c r="L241" s="312">
        <f t="shared" si="60"/>
        <v>867</v>
      </c>
      <c r="M241" s="359">
        <f t="shared" si="61"/>
        <v>21.949367088607595</v>
      </c>
      <c r="N241" s="278"/>
      <c r="O241" s="278"/>
      <c r="P241" s="278"/>
      <c r="Q241" s="278"/>
      <c r="R241" s="312">
        <f>IFERROR(INDEX('4. Valuation'!$O$10:$X$17,MATCH($D241,'4. Valuation'!$O$10:$O$17,0),MATCH($R$25,'4. Valuation'!$O$10:$X$10,0)),0)</f>
        <v>0</v>
      </c>
      <c r="S241" s="312">
        <f>IFERROR(INDEX('4. Valuation'!$O$10:$X$17,MATCH($D241,'4. Valuation'!$O$10:$O$17,0),MATCH($S$25,'4. Valuation'!$O$10:$X$10,0)),0)</f>
        <v>0</v>
      </c>
      <c r="T241" s="312">
        <f>IFERROR(INDEX('4. Valuation'!$O$10:$X$17,MATCH($D241,'4. Valuation'!$O$10:$O$17,0),MATCH($T$25,'4. Valuation'!$O$10:$X$10,0)),0)</f>
        <v>0</v>
      </c>
      <c r="U241" s="278"/>
      <c r="V241" s="312">
        <f t="shared" si="62"/>
        <v>0</v>
      </c>
      <c r="W241" s="312">
        <f t="shared" si="63"/>
        <v>0</v>
      </c>
      <c r="X241" s="312">
        <f t="shared" si="64"/>
        <v>0</v>
      </c>
      <c r="Y241" s="278"/>
      <c r="Z241" s="312">
        <f t="shared" si="65"/>
        <v>11700</v>
      </c>
      <c r="AA241" s="312">
        <f>'3. GRI Pricing'!Y232</f>
        <v>975</v>
      </c>
      <c r="AB241" s="359">
        <f t="shared" si="66"/>
        <v>24.683544303797468</v>
      </c>
    </row>
    <row r="242" spans="3:28" s="30" customFormat="1" ht="12" x14ac:dyDescent="0.2">
      <c r="C242" s="77" t="str">
        <f>'1. Accomodation'!N237</f>
        <v>308W</v>
      </c>
      <c r="D242" s="77" t="str">
        <f>'1. Accomodation'!P237</f>
        <v>2 Bed</v>
      </c>
      <c r="E242" s="77">
        <f>'1. Accomodation'!O237</f>
        <v>667</v>
      </c>
      <c r="G242" s="341">
        <v>15120</v>
      </c>
      <c r="H242" s="273">
        <f>IFERROR(INDEX('4. Valuation'!$C$10:$I$17,MATCH($D242,'4. Valuation'!$C$10:$C$17,0),MATCH($H$25,'4. Valuation'!$C$10:$I$10,0)),0)</f>
        <v>1166</v>
      </c>
      <c r="I242" s="359">
        <f>IFERROR(INDEX('4. Valuation'!$C$10:$I$17,MATCH($D242,'4. Valuation'!$C$10:$C$17,0),MATCH($I$25,'4. Valuation'!$C$10:$I$10,0)),0)</f>
        <v>21.448728269247237</v>
      </c>
      <c r="J242" s="277"/>
      <c r="K242" s="312">
        <f t="shared" si="59"/>
        <v>13992</v>
      </c>
      <c r="L242" s="312">
        <f t="shared" si="60"/>
        <v>1166</v>
      </c>
      <c r="M242" s="359">
        <f t="shared" si="61"/>
        <v>20.977511244377812</v>
      </c>
      <c r="N242" s="278"/>
      <c r="O242" s="278"/>
      <c r="P242" s="278"/>
      <c r="Q242" s="278"/>
      <c r="R242" s="312">
        <f>IFERROR(INDEX('4. Valuation'!$O$10:$X$17,MATCH($D242,'4. Valuation'!$O$10:$O$17,0),MATCH($R$25,'4. Valuation'!$O$10:$X$10,0)),0)</f>
        <v>0</v>
      </c>
      <c r="S242" s="312">
        <f>IFERROR(INDEX('4. Valuation'!$O$10:$X$17,MATCH($D242,'4. Valuation'!$O$10:$O$17,0),MATCH($S$25,'4. Valuation'!$O$10:$X$10,0)),0)</f>
        <v>0</v>
      </c>
      <c r="T242" s="312">
        <f>IFERROR(INDEX('4. Valuation'!$O$10:$X$17,MATCH($D242,'4. Valuation'!$O$10:$O$17,0),MATCH($T$25,'4. Valuation'!$O$10:$X$10,0)),0)</f>
        <v>0</v>
      </c>
      <c r="U242" s="278"/>
      <c r="V242" s="312">
        <f t="shared" si="62"/>
        <v>0</v>
      </c>
      <c r="W242" s="312">
        <f t="shared" si="63"/>
        <v>0</v>
      </c>
      <c r="X242" s="312">
        <f t="shared" si="64"/>
        <v>0</v>
      </c>
      <c r="Y242" s="278"/>
      <c r="Z242" s="312">
        <f t="shared" si="65"/>
        <v>15420</v>
      </c>
      <c r="AA242" s="312">
        <f>'3. GRI Pricing'!Y233</f>
        <v>1285</v>
      </c>
      <c r="AB242" s="359">
        <f t="shared" si="66"/>
        <v>23.118440779610197</v>
      </c>
    </row>
    <row r="243" spans="3:28" s="30" customFormat="1" ht="12" x14ac:dyDescent="0.2">
      <c r="C243" s="77" t="str">
        <f>'1. Accomodation'!N238</f>
        <v>309W</v>
      </c>
      <c r="D243" s="77" t="str">
        <f>'1. Accomodation'!P238</f>
        <v>2 Bed</v>
      </c>
      <c r="E243" s="77">
        <f>'1. Accomodation'!O238</f>
        <v>657</v>
      </c>
      <c r="G243" s="341">
        <v>15720</v>
      </c>
      <c r="H243" s="273">
        <f>IFERROR(INDEX('4. Valuation'!$C$10:$I$17,MATCH($D243,'4. Valuation'!$C$10:$C$17,0),MATCH($H$25,'4. Valuation'!$C$10:$I$10,0)),0)</f>
        <v>1166</v>
      </c>
      <c r="I243" s="359">
        <f>IFERROR(INDEX('4. Valuation'!$C$10:$I$17,MATCH($D243,'4. Valuation'!$C$10:$C$17,0),MATCH($I$25,'4. Valuation'!$C$10:$I$10,0)),0)</f>
        <v>21.448728269247237</v>
      </c>
      <c r="J243" s="277"/>
      <c r="K243" s="312">
        <f t="shared" si="59"/>
        <v>13992</v>
      </c>
      <c r="L243" s="312">
        <f t="shared" si="60"/>
        <v>1166</v>
      </c>
      <c r="M243" s="359">
        <f t="shared" si="61"/>
        <v>21.296803652968038</v>
      </c>
      <c r="N243" s="278"/>
      <c r="O243" s="278"/>
      <c r="P243" s="278"/>
      <c r="Q243" s="278"/>
      <c r="R243" s="312">
        <f>IFERROR(INDEX('4. Valuation'!$O$10:$X$17,MATCH($D243,'4. Valuation'!$O$10:$O$17,0),MATCH($R$25,'4. Valuation'!$O$10:$X$10,0)),0)</f>
        <v>0</v>
      </c>
      <c r="S243" s="312">
        <f>IFERROR(INDEX('4. Valuation'!$O$10:$X$17,MATCH($D243,'4. Valuation'!$O$10:$O$17,0),MATCH($S$25,'4. Valuation'!$O$10:$X$10,0)),0)</f>
        <v>0</v>
      </c>
      <c r="T243" s="312">
        <f>IFERROR(INDEX('4. Valuation'!$O$10:$X$17,MATCH($D243,'4. Valuation'!$O$10:$O$17,0),MATCH($T$25,'4. Valuation'!$O$10:$X$10,0)),0)</f>
        <v>0</v>
      </c>
      <c r="U243" s="278"/>
      <c r="V243" s="312">
        <f t="shared" si="62"/>
        <v>0</v>
      </c>
      <c r="W243" s="312">
        <f t="shared" si="63"/>
        <v>0</v>
      </c>
      <c r="X243" s="312">
        <f t="shared" si="64"/>
        <v>0</v>
      </c>
      <c r="Y243" s="278"/>
      <c r="Z243" s="312">
        <f t="shared" si="65"/>
        <v>15300</v>
      </c>
      <c r="AA243" s="312">
        <f>'3. GRI Pricing'!Y234</f>
        <v>1275</v>
      </c>
      <c r="AB243" s="359">
        <f t="shared" si="66"/>
        <v>23.287671232876711</v>
      </c>
    </row>
    <row r="244" spans="3:28" s="30" customFormat="1" ht="12" x14ac:dyDescent="0.2">
      <c r="C244" s="77" t="str">
        <f>'1. Accomodation'!N239</f>
        <v>310W</v>
      </c>
      <c r="D244" s="77" t="str">
        <f>'1. Accomodation'!P239</f>
        <v>2 Bed</v>
      </c>
      <c r="E244" s="77">
        <f>'1. Accomodation'!O239</f>
        <v>689</v>
      </c>
      <c r="G244" s="341">
        <v>15540</v>
      </c>
      <c r="H244" s="273">
        <f>IFERROR(INDEX('4. Valuation'!$C$10:$I$17,MATCH($D244,'4. Valuation'!$C$10:$C$17,0),MATCH($H$25,'4. Valuation'!$C$10:$I$10,0)),0)</f>
        <v>1166</v>
      </c>
      <c r="I244" s="359">
        <f>IFERROR(INDEX('4. Valuation'!$C$10:$I$17,MATCH($D244,'4. Valuation'!$C$10:$C$17,0),MATCH($I$25,'4. Valuation'!$C$10:$I$10,0)),0)</f>
        <v>21.448728269247237</v>
      </c>
      <c r="J244" s="277"/>
      <c r="K244" s="312">
        <f t="shared" si="59"/>
        <v>13992</v>
      </c>
      <c r="L244" s="312">
        <f t="shared" si="60"/>
        <v>1166</v>
      </c>
      <c r="M244" s="359">
        <f t="shared" si="61"/>
        <v>20.307692307692307</v>
      </c>
      <c r="N244" s="278"/>
      <c r="O244" s="278"/>
      <c r="P244" s="278"/>
      <c r="Q244" s="278"/>
      <c r="R244" s="312">
        <f>IFERROR(INDEX('4. Valuation'!$O$10:$X$17,MATCH($D244,'4. Valuation'!$O$10:$O$17,0),MATCH($R$25,'4. Valuation'!$O$10:$X$10,0)),0)</f>
        <v>0</v>
      </c>
      <c r="S244" s="312">
        <f>IFERROR(INDEX('4. Valuation'!$O$10:$X$17,MATCH($D244,'4. Valuation'!$O$10:$O$17,0),MATCH($S$25,'4. Valuation'!$O$10:$X$10,0)),0)</f>
        <v>0</v>
      </c>
      <c r="T244" s="312">
        <f>IFERROR(INDEX('4. Valuation'!$O$10:$X$17,MATCH($D244,'4. Valuation'!$O$10:$O$17,0),MATCH($T$25,'4. Valuation'!$O$10:$X$10,0)),0)</f>
        <v>0</v>
      </c>
      <c r="U244" s="278"/>
      <c r="V244" s="312">
        <f t="shared" si="62"/>
        <v>0</v>
      </c>
      <c r="W244" s="312">
        <f t="shared" si="63"/>
        <v>0</v>
      </c>
      <c r="X244" s="312">
        <f t="shared" si="64"/>
        <v>0</v>
      </c>
      <c r="Y244" s="278"/>
      <c r="Z244" s="312">
        <f t="shared" si="65"/>
        <v>15840</v>
      </c>
      <c r="AA244" s="312">
        <f>'3. GRI Pricing'!Y235</f>
        <v>1320</v>
      </c>
      <c r="AB244" s="359">
        <f t="shared" si="66"/>
        <v>22.989840348330915</v>
      </c>
    </row>
    <row r="245" spans="3:28" s="30" customFormat="1" ht="12" x14ac:dyDescent="0.2">
      <c r="C245" s="77" t="str">
        <f>'1. Accomodation'!N240</f>
        <v>311W</v>
      </c>
      <c r="D245" s="77" t="str">
        <f>'1. Accomodation'!P240</f>
        <v>2 Bed</v>
      </c>
      <c r="E245" s="77">
        <f>'1. Accomodation'!O240</f>
        <v>667</v>
      </c>
      <c r="G245" s="341">
        <v>15780</v>
      </c>
      <c r="H245" s="273">
        <f>IFERROR(INDEX('4. Valuation'!$C$10:$I$17,MATCH($D245,'4. Valuation'!$C$10:$C$17,0),MATCH($H$25,'4. Valuation'!$C$10:$I$10,0)),0)</f>
        <v>1166</v>
      </c>
      <c r="I245" s="359">
        <f>IFERROR(INDEX('4. Valuation'!$C$10:$I$17,MATCH($D245,'4. Valuation'!$C$10:$C$17,0),MATCH($I$25,'4. Valuation'!$C$10:$I$10,0)),0)</f>
        <v>21.448728269247237</v>
      </c>
      <c r="J245" s="277"/>
      <c r="K245" s="312">
        <f t="shared" si="59"/>
        <v>13992</v>
      </c>
      <c r="L245" s="312">
        <f t="shared" si="60"/>
        <v>1166</v>
      </c>
      <c r="M245" s="359">
        <f t="shared" si="61"/>
        <v>20.977511244377812</v>
      </c>
      <c r="N245" s="278"/>
      <c r="O245" s="278"/>
      <c r="P245" s="278"/>
      <c r="Q245" s="278"/>
      <c r="R245" s="312">
        <f>IFERROR(INDEX('4. Valuation'!$O$10:$X$17,MATCH($D245,'4. Valuation'!$O$10:$O$17,0),MATCH($R$25,'4. Valuation'!$O$10:$X$10,0)),0)</f>
        <v>0</v>
      </c>
      <c r="S245" s="312">
        <f>IFERROR(INDEX('4. Valuation'!$O$10:$X$17,MATCH($D245,'4. Valuation'!$O$10:$O$17,0),MATCH($S$25,'4. Valuation'!$O$10:$X$10,0)),0)</f>
        <v>0</v>
      </c>
      <c r="T245" s="312">
        <f>IFERROR(INDEX('4. Valuation'!$O$10:$X$17,MATCH($D245,'4. Valuation'!$O$10:$O$17,0),MATCH($T$25,'4. Valuation'!$O$10:$X$10,0)),0)</f>
        <v>0</v>
      </c>
      <c r="U245" s="278"/>
      <c r="V245" s="312">
        <f t="shared" si="62"/>
        <v>0</v>
      </c>
      <c r="W245" s="312">
        <f t="shared" si="63"/>
        <v>0</v>
      </c>
      <c r="X245" s="312">
        <f t="shared" si="64"/>
        <v>0</v>
      </c>
      <c r="Y245" s="278"/>
      <c r="Z245" s="312">
        <f t="shared" si="65"/>
        <v>15420</v>
      </c>
      <c r="AA245" s="312">
        <f>'3. GRI Pricing'!Y236</f>
        <v>1285</v>
      </c>
      <c r="AB245" s="359">
        <f t="shared" si="66"/>
        <v>23.118440779610197</v>
      </c>
    </row>
    <row r="246" spans="3:28" s="30" customFormat="1" ht="12" x14ac:dyDescent="0.2">
      <c r="C246" s="77" t="str">
        <f>'1. Accomodation'!N241</f>
        <v>312W</v>
      </c>
      <c r="D246" s="77" t="str">
        <f>'1. Accomodation'!P241</f>
        <v>1 Bed</v>
      </c>
      <c r="E246" s="77">
        <f>'1. Accomodation'!O241</f>
        <v>527</v>
      </c>
      <c r="G246" s="341">
        <v>11520</v>
      </c>
      <c r="H246" s="273">
        <f>IFERROR(INDEX('4. Valuation'!$C$10:$I$17,MATCH($D246,'4. Valuation'!$C$10:$C$17,0),MATCH($H$25,'4. Valuation'!$C$10:$I$10,0)),0)</f>
        <v>867</v>
      </c>
      <c r="I246" s="359">
        <f>IFERROR(INDEX('4. Valuation'!$C$10:$I$17,MATCH($D246,'4. Valuation'!$C$10:$C$17,0),MATCH($I$25,'4. Valuation'!$C$10:$I$10,0)),0)</f>
        <v>20.660726106217222</v>
      </c>
      <c r="J246" s="277"/>
      <c r="K246" s="312">
        <f t="shared" si="59"/>
        <v>10404</v>
      </c>
      <c r="L246" s="312">
        <f t="shared" si="60"/>
        <v>867</v>
      </c>
      <c r="M246" s="359">
        <f t="shared" si="61"/>
        <v>19.741935483870968</v>
      </c>
      <c r="N246" s="278"/>
      <c r="O246" s="278"/>
      <c r="P246" s="278"/>
      <c r="Q246" s="278"/>
      <c r="R246" s="312">
        <f>IFERROR(INDEX('4. Valuation'!$O$10:$X$17,MATCH($D246,'4. Valuation'!$O$10:$O$17,0),MATCH($R$25,'4. Valuation'!$O$10:$X$10,0)),0)</f>
        <v>0</v>
      </c>
      <c r="S246" s="312">
        <f>IFERROR(INDEX('4. Valuation'!$O$10:$X$17,MATCH($D246,'4. Valuation'!$O$10:$O$17,0),MATCH($S$25,'4. Valuation'!$O$10:$X$10,0)),0)</f>
        <v>0</v>
      </c>
      <c r="T246" s="312">
        <f>IFERROR(INDEX('4. Valuation'!$O$10:$X$17,MATCH($D246,'4. Valuation'!$O$10:$O$17,0),MATCH($T$25,'4. Valuation'!$O$10:$X$10,0)),0)</f>
        <v>0</v>
      </c>
      <c r="U246" s="278"/>
      <c r="V246" s="312">
        <f t="shared" si="62"/>
        <v>0</v>
      </c>
      <c r="W246" s="312">
        <f t="shared" si="63"/>
        <v>0</v>
      </c>
      <c r="X246" s="312">
        <f t="shared" si="64"/>
        <v>0</v>
      </c>
      <c r="Y246" s="278"/>
      <c r="Z246" s="312">
        <f t="shared" si="65"/>
        <v>11940</v>
      </c>
      <c r="AA246" s="312">
        <f>'3. GRI Pricing'!Y237</f>
        <v>995</v>
      </c>
      <c r="AB246" s="359">
        <f t="shared" si="66"/>
        <v>22.656546489563567</v>
      </c>
    </row>
    <row r="247" spans="3:28" s="30" customFormat="1" ht="12" x14ac:dyDescent="0.2">
      <c r="C247" s="77" t="str">
        <f>'1. Accomodation'!N242</f>
        <v>313W</v>
      </c>
      <c r="D247" s="77" t="str">
        <f>'1. Accomodation'!P242</f>
        <v>3 Bed</v>
      </c>
      <c r="E247" s="77">
        <f>'1. Accomodation'!O242</f>
        <v>840</v>
      </c>
      <c r="G247" s="341">
        <v>19440</v>
      </c>
      <c r="H247" s="273">
        <f>IFERROR(INDEX('4. Valuation'!$C$10:$I$17,MATCH($D247,'4. Valuation'!$C$10:$C$17,0),MATCH($H$25,'4. Valuation'!$C$10:$I$10,0)),0)</f>
        <v>1511</v>
      </c>
      <c r="I247" s="359">
        <f>IFERROR(INDEX('4. Valuation'!$C$10:$I$17,MATCH($D247,'4. Valuation'!$C$10:$C$17,0),MATCH($I$25,'4. Valuation'!$C$10:$I$10,0)),0)</f>
        <v>22.026444890903143</v>
      </c>
      <c r="J247" s="277"/>
      <c r="K247" s="312">
        <f t="shared" si="59"/>
        <v>18132</v>
      </c>
      <c r="L247" s="312">
        <f t="shared" si="60"/>
        <v>1511</v>
      </c>
      <c r="M247" s="359">
        <f t="shared" si="61"/>
        <v>21.585714285714285</v>
      </c>
      <c r="N247" s="278"/>
      <c r="O247" s="278"/>
      <c r="P247" s="278"/>
      <c r="Q247" s="278"/>
      <c r="R247" s="312">
        <f>IFERROR(INDEX('4. Valuation'!$O$10:$X$17,MATCH($D247,'4. Valuation'!$O$10:$O$17,0),MATCH($R$25,'4. Valuation'!$O$10:$X$10,0)),0)</f>
        <v>0</v>
      </c>
      <c r="S247" s="312">
        <f>IFERROR(INDEX('4. Valuation'!$O$10:$X$17,MATCH($D247,'4. Valuation'!$O$10:$O$17,0),MATCH($S$25,'4. Valuation'!$O$10:$X$10,0)),0)</f>
        <v>0</v>
      </c>
      <c r="T247" s="312">
        <f>IFERROR(INDEX('4. Valuation'!$O$10:$X$17,MATCH($D247,'4. Valuation'!$O$10:$O$17,0),MATCH($T$25,'4. Valuation'!$O$10:$X$10,0)),0)</f>
        <v>0</v>
      </c>
      <c r="U247" s="278"/>
      <c r="V247" s="312">
        <f t="shared" si="62"/>
        <v>0</v>
      </c>
      <c r="W247" s="312">
        <f t="shared" si="63"/>
        <v>0</v>
      </c>
      <c r="X247" s="312">
        <f t="shared" si="64"/>
        <v>0</v>
      </c>
      <c r="Y247" s="278"/>
      <c r="Z247" s="312">
        <f t="shared" si="65"/>
        <v>20220</v>
      </c>
      <c r="AA247" s="312">
        <f>'3. GRI Pricing'!Y238</f>
        <v>1685</v>
      </c>
      <c r="AB247" s="359">
        <f t="shared" si="66"/>
        <v>24.071428571428573</v>
      </c>
    </row>
    <row r="248" spans="3:28" s="30" customFormat="1" ht="12" x14ac:dyDescent="0.2">
      <c r="C248" s="77" t="str">
        <f>'1. Accomodation'!N243</f>
        <v>314W</v>
      </c>
      <c r="D248" s="77" t="str">
        <f>'1. Accomodation'!P243</f>
        <v>2 Bed</v>
      </c>
      <c r="E248" s="77">
        <f>'1. Accomodation'!O243</f>
        <v>624</v>
      </c>
      <c r="G248" s="341">
        <v>14580</v>
      </c>
      <c r="H248" s="273">
        <f>IFERROR(INDEX('4. Valuation'!$C$10:$I$17,MATCH($D248,'4. Valuation'!$C$10:$C$17,0),MATCH($H$25,'4. Valuation'!$C$10:$I$10,0)),0)</f>
        <v>1166</v>
      </c>
      <c r="I248" s="359">
        <f>IFERROR(INDEX('4. Valuation'!$C$10:$I$17,MATCH($D248,'4. Valuation'!$C$10:$C$17,0),MATCH($I$25,'4. Valuation'!$C$10:$I$10,0)),0)</f>
        <v>21.448728269247237</v>
      </c>
      <c r="J248" s="277"/>
      <c r="K248" s="312">
        <f t="shared" si="59"/>
        <v>13992</v>
      </c>
      <c r="L248" s="312">
        <f t="shared" si="60"/>
        <v>1166</v>
      </c>
      <c r="M248" s="359">
        <f t="shared" si="61"/>
        <v>22.423076923076923</v>
      </c>
      <c r="N248" s="278"/>
      <c r="O248" s="278"/>
      <c r="P248" s="278"/>
      <c r="Q248" s="278"/>
      <c r="R248" s="312">
        <f>IFERROR(INDEX('4. Valuation'!$O$10:$X$17,MATCH($D248,'4. Valuation'!$O$10:$O$17,0),MATCH($R$25,'4. Valuation'!$O$10:$X$10,0)),0)</f>
        <v>0</v>
      </c>
      <c r="S248" s="312">
        <f>IFERROR(INDEX('4. Valuation'!$O$10:$X$17,MATCH($D248,'4. Valuation'!$O$10:$O$17,0),MATCH($S$25,'4. Valuation'!$O$10:$X$10,0)),0)</f>
        <v>0</v>
      </c>
      <c r="T248" s="312">
        <f>IFERROR(INDEX('4. Valuation'!$O$10:$X$17,MATCH($D248,'4. Valuation'!$O$10:$O$17,0),MATCH($T$25,'4. Valuation'!$O$10:$X$10,0)),0)</f>
        <v>0</v>
      </c>
      <c r="U248" s="278"/>
      <c r="V248" s="312">
        <f t="shared" si="62"/>
        <v>0</v>
      </c>
      <c r="W248" s="312">
        <f t="shared" si="63"/>
        <v>0</v>
      </c>
      <c r="X248" s="312">
        <f t="shared" si="64"/>
        <v>0</v>
      </c>
      <c r="Y248" s="278"/>
      <c r="Z248" s="312">
        <f t="shared" si="65"/>
        <v>15000</v>
      </c>
      <c r="AA248" s="312">
        <f>'3. GRI Pricing'!Y239</f>
        <v>1250</v>
      </c>
      <c r="AB248" s="359">
        <f t="shared" si="66"/>
        <v>24.03846153846154</v>
      </c>
    </row>
    <row r="249" spans="3:28" s="30" customFormat="1" ht="12" x14ac:dyDescent="0.2">
      <c r="C249" s="77" t="str">
        <f>'1. Accomodation'!N244</f>
        <v>401W</v>
      </c>
      <c r="D249" s="77" t="str">
        <f>'1. Accomodation'!P244</f>
        <v>2 Bed</v>
      </c>
      <c r="E249" s="77">
        <f>'1. Accomodation'!O244</f>
        <v>689</v>
      </c>
      <c r="G249" s="341">
        <v>15540</v>
      </c>
      <c r="H249" s="273">
        <f>IFERROR(INDEX('4. Valuation'!$C$10:$I$17,MATCH($D249,'4. Valuation'!$C$10:$C$17,0),MATCH($H$25,'4. Valuation'!$C$10:$I$10,0)),0)</f>
        <v>1166</v>
      </c>
      <c r="I249" s="359">
        <f>IFERROR(INDEX('4. Valuation'!$C$10:$I$17,MATCH($D249,'4. Valuation'!$C$10:$C$17,0),MATCH($I$25,'4. Valuation'!$C$10:$I$10,0)),0)</f>
        <v>21.448728269247237</v>
      </c>
      <c r="J249" s="277"/>
      <c r="K249" s="312">
        <f t="shared" si="59"/>
        <v>13992</v>
      </c>
      <c r="L249" s="312">
        <f t="shared" si="60"/>
        <v>1166</v>
      </c>
      <c r="M249" s="359">
        <f t="shared" si="61"/>
        <v>20.307692307692307</v>
      </c>
      <c r="N249" s="278"/>
      <c r="O249" s="278"/>
      <c r="P249" s="278"/>
      <c r="Q249" s="278"/>
      <c r="R249" s="312">
        <f>IFERROR(INDEX('4. Valuation'!$O$10:$X$17,MATCH($D249,'4. Valuation'!$O$10:$O$17,0),MATCH($R$25,'4. Valuation'!$O$10:$X$10,0)),0)</f>
        <v>0</v>
      </c>
      <c r="S249" s="312">
        <f>IFERROR(INDEX('4. Valuation'!$O$10:$X$17,MATCH($D249,'4. Valuation'!$O$10:$O$17,0),MATCH($S$25,'4. Valuation'!$O$10:$X$10,0)),0)</f>
        <v>0</v>
      </c>
      <c r="T249" s="312">
        <f>IFERROR(INDEX('4. Valuation'!$O$10:$X$17,MATCH($D249,'4. Valuation'!$O$10:$O$17,0),MATCH($T$25,'4. Valuation'!$O$10:$X$10,0)),0)</f>
        <v>0</v>
      </c>
      <c r="U249" s="278"/>
      <c r="V249" s="312">
        <f t="shared" si="62"/>
        <v>0</v>
      </c>
      <c r="W249" s="312">
        <f t="shared" si="63"/>
        <v>0</v>
      </c>
      <c r="X249" s="312">
        <f t="shared" si="64"/>
        <v>0</v>
      </c>
      <c r="Y249" s="278"/>
      <c r="Z249" s="312">
        <f t="shared" si="65"/>
        <v>15900</v>
      </c>
      <c r="AA249" s="312">
        <f>'3. GRI Pricing'!Y240</f>
        <v>1325</v>
      </c>
      <c r="AB249" s="359">
        <f t="shared" si="66"/>
        <v>23.076923076923077</v>
      </c>
    </row>
    <row r="250" spans="3:28" s="30" customFormat="1" ht="12" x14ac:dyDescent="0.2">
      <c r="C250" s="77" t="str">
        <f>'1. Accomodation'!N245</f>
        <v>402W</v>
      </c>
      <c r="D250" s="77" t="str">
        <f>'1. Accomodation'!P245</f>
        <v>1 Bed</v>
      </c>
      <c r="E250" s="77">
        <f>'1. Accomodation'!O245</f>
        <v>495</v>
      </c>
      <c r="G250" s="341">
        <v>12060</v>
      </c>
      <c r="H250" s="273">
        <f>IFERROR(INDEX('4. Valuation'!$C$10:$I$17,MATCH($D250,'4. Valuation'!$C$10:$C$17,0),MATCH($H$25,'4. Valuation'!$C$10:$I$10,0)),0)</f>
        <v>867</v>
      </c>
      <c r="I250" s="359">
        <f>IFERROR(INDEX('4. Valuation'!$C$10:$I$17,MATCH($D250,'4. Valuation'!$C$10:$C$17,0),MATCH($I$25,'4. Valuation'!$C$10:$I$10,0)),0)</f>
        <v>20.660726106217222</v>
      </c>
      <c r="J250" s="277"/>
      <c r="K250" s="312">
        <f t="shared" si="59"/>
        <v>10404</v>
      </c>
      <c r="L250" s="312">
        <f t="shared" si="60"/>
        <v>867</v>
      </c>
      <c r="M250" s="359">
        <f t="shared" si="61"/>
        <v>21.018181818181819</v>
      </c>
      <c r="N250" s="278"/>
      <c r="O250" s="278"/>
      <c r="P250" s="278"/>
      <c r="Q250" s="278"/>
      <c r="R250" s="312">
        <f>IFERROR(INDEX('4. Valuation'!$O$10:$X$17,MATCH($D250,'4. Valuation'!$O$10:$O$17,0),MATCH($R$25,'4. Valuation'!$O$10:$X$10,0)),0)</f>
        <v>0</v>
      </c>
      <c r="S250" s="312">
        <f>IFERROR(INDEX('4. Valuation'!$O$10:$X$17,MATCH($D250,'4. Valuation'!$O$10:$O$17,0),MATCH($S$25,'4. Valuation'!$O$10:$X$10,0)),0)</f>
        <v>0</v>
      </c>
      <c r="T250" s="312">
        <f>IFERROR(INDEX('4. Valuation'!$O$10:$X$17,MATCH($D250,'4. Valuation'!$O$10:$O$17,0),MATCH($T$25,'4. Valuation'!$O$10:$X$10,0)),0)</f>
        <v>0</v>
      </c>
      <c r="U250" s="278"/>
      <c r="V250" s="312">
        <f t="shared" si="62"/>
        <v>0</v>
      </c>
      <c r="W250" s="312">
        <f t="shared" si="63"/>
        <v>0</v>
      </c>
      <c r="X250" s="312">
        <f t="shared" si="64"/>
        <v>0</v>
      </c>
      <c r="Y250" s="278"/>
      <c r="Z250" s="312">
        <f t="shared" si="65"/>
        <v>12300</v>
      </c>
      <c r="AA250" s="312">
        <f>'3. GRI Pricing'!Y241</f>
        <v>1025</v>
      </c>
      <c r="AB250" s="359">
        <f t="shared" si="66"/>
        <v>24.848484848484848</v>
      </c>
    </row>
    <row r="251" spans="3:28" s="30" customFormat="1" ht="12" x14ac:dyDescent="0.2">
      <c r="C251" s="77" t="str">
        <f>'1. Accomodation'!N246</f>
        <v>403W</v>
      </c>
      <c r="D251" s="77" t="str">
        <f>'1. Accomodation'!P246</f>
        <v>2 Bed</v>
      </c>
      <c r="E251" s="77">
        <f>'1. Accomodation'!O246</f>
        <v>657</v>
      </c>
      <c r="G251" s="341">
        <v>15120</v>
      </c>
      <c r="H251" s="273">
        <f>IFERROR(INDEX('4. Valuation'!$C$10:$I$17,MATCH($D251,'4. Valuation'!$C$10:$C$17,0),MATCH($H$25,'4. Valuation'!$C$10:$I$10,0)),0)</f>
        <v>1166</v>
      </c>
      <c r="I251" s="359">
        <f>IFERROR(INDEX('4. Valuation'!$C$10:$I$17,MATCH($D251,'4. Valuation'!$C$10:$C$17,0),MATCH($I$25,'4. Valuation'!$C$10:$I$10,0)),0)</f>
        <v>21.448728269247237</v>
      </c>
      <c r="J251" s="277"/>
      <c r="K251" s="312">
        <f t="shared" si="59"/>
        <v>13992</v>
      </c>
      <c r="L251" s="312">
        <f t="shared" si="60"/>
        <v>1166</v>
      </c>
      <c r="M251" s="359">
        <f t="shared" si="61"/>
        <v>21.296803652968038</v>
      </c>
      <c r="N251" s="278"/>
      <c r="O251" s="278"/>
      <c r="P251" s="278"/>
      <c r="Q251" s="278"/>
      <c r="R251" s="312">
        <f>IFERROR(INDEX('4. Valuation'!$O$10:$X$17,MATCH($D251,'4. Valuation'!$O$10:$O$17,0),MATCH($R$25,'4. Valuation'!$O$10:$X$10,0)),0)</f>
        <v>0</v>
      </c>
      <c r="S251" s="312">
        <f>IFERROR(INDEX('4. Valuation'!$O$10:$X$17,MATCH($D251,'4. Valuation'!$O$10:$O$17,0),MATCH($S$25,'4. Valuation'!$O$10:$X$10,0)),0)</f>
        <v>0</v>
      </c>
      <c r="T251" s="312">
        <f>IFERROR(INDEX('4. Valuation'!$O$10:$X$17,MATCH($D251,'4. Valuation'!$O$10:$O$17,0),MATCH($T$25,'4. Valuation'!$O$10:$X$10,0)),0)</f>
        <v>0</v>
      </c>
      <c r="U251" s="278"/>
      <c r="V251" s="312">
        <f t="shared" si="62"/>
        <v>0</v>
      </c>
      <c r="W251" s="312">
        <f t="shared" si="63"/>
        <v>0</v>
      </c>
      <c r="X251" s="312">
        <f t="shared" si="64"/>
        <v>0</v>
      </c>
      <c r="Y251" s="278"/>
      <c r="Z251" s="312">
        <f t="shared" si="65"/>
        <v>15540</v>
      </c>
      <c r="AA251" s="312">
        <f>'3. GRI Pricing'!Y242</f>
        <v>1295</v>
      </c>
      <c r="AB251" s="359">
        <f t="shared" si="66"/>
        <v>23.652968036529682</v>
      </c>
    </row>
    <row r="252" spans="3:28" s="30" customFormat="1" ht="12" x14ac:dyDescent="0.2">
      <c r="C252" s="77" t="str">
        <f>'1. Accomodation'!N247</f>
        <v>404W</v>
      </c>
      <c r="D252" s="77" t="str">
        <f>'1. Accomodation'!P247</f>
        <v>2 Bed</v>
      </c>
      <c r="E252" s="77">
        <f>'1. Accomodation'!O247</f>
        <v>657</v>
      </c>
      <c r="G252" s="341">
        <v>15900</v>
      </c>
      <c r="H252" s="273">
        <f>IFERROR(INDEX('4. Valuation'!$C$10:$I$17,MATCH($D252,'4. Valuation'!$C$10:$C$17,0),MATCH($H$25,'4. Valuation'!$C$10:$I$10,0)),0)</f>
        <v>1166</v>
      </c>
      <c r="I252" s="359">
        <f>IFERROR(INDEX('4. Valuation'!$C$10:$I$17,MATCH($D252,'4. Valuation'!$C$10:$C$17,0),MATCH($I$25,'4. Valuation'!$C$10:$I$10,0)),0)</f>
        <v>21.448728269247237</v>
      </c>
      <c r="J252" s="277"/>
      <c r="K252" s="312">
        <f t="shared" si="59"/>
        <v>13992</v>
      </c>
      <c r="L252" s="312">
        <f t="shared" si="60"/>
        <v>1166</v>
      </c>
      <c r="M252" s="359">
        <f t="shared" si="61"/>
        <v>21.296803652968038</v>
      </c>
      <c r="N252" s="278"/>
      <c r="O252" s="278"/>
      <c r="P252" s="278"/>
      <c r="Q252" s="278"/>
      <c r="R252" s="312">
        <f>IFERROR(INDEX('4. Valuation'!$O$10:$X$17,MATCH($D252,'4. Valuation'!$O$10:$O$17,0),MATCH($R$25,'4. Valuation'!$O$10:$X$10,0)),0)</f>
        <v>0</v>
      </c>
      <c r="S252" s="312">
        <f>IFERROR(INDEX('4. Valuation'!$O$10:$X$17,MATCH($D252,'4. Valuation'!$O$10:$O$17,0),MATCH($S$25,'4. Valuation'!$O$10:$X$10,0)),0)</f>
        <v>0</v>
      </c>
      <c r="T252" s="312">
        <f>IFERROR(INDEX('4. Valuation'!$O$10:$X$17,MATCH($D252,'4. Valuation'!$O$10:$O$17,0),MATCH($T$25,'4. Valuation'!$O$10:$X$10,0)),0)</f>
        <v>0</v>
      </c>
      <c r="U252" s="278"/>
      <c r="V252" s="312">
        <f t="shared" si="62"/>
        <v>0</v>
      </c>
      <c r="W252" s="312">
        <f t="shared" si="63"/>
        <v>0</v>
      </c>
      <c r="X252" s="312">
        <f t="shared" si="64"/>
        <v>0</v>
      </c>
      <c r="Y252" s="278"/>
      <c r="Z252" s="312">
        <f t="shared" si="65"/>
        <v>15480</v>
      </c>
      <c r="AA252" s="312">
        <f>'3. GRI Pricing'!Y243</f>
        <v>1290</v>
      </c>
      <c r="AB252" s="359">
        <f t="shared" si="66"/>
        <v>23.561643835616437</v>
      </c>
    </row>
    <row r="253" spans="3:28" s="30" customFormat="1" ht="12" x14ac:dyDescent="0.2">
      <c r="C253" s="77" t="str">
        <f>'1. Accomodation'!N248</f>
        <v>405W</v>
      </c>
      <c r="D253" s="77" t="str">
        <f>'1. Accomodation'!P248</f>
        <v>2 Bed</v>
      </c>
      <c r="E253" s="77">
        <f>'1. Accomodation'!O248</f>
        <v>678</v>
      </c>
      <c r="G253" s="341">
        <v>15480</v>
      </c>
      <c r="H253" s="273">
        <f>IFERROR(INDEX('4. Valuation'!$C$10:$I$17,MATCH($D253,'4. Valuation'!$C$10:$C$17,0),MATCH($H$25,'4. Valuation'!$C$10:$I$10,0)),0)</f>
        <v>1166</v>
      </c>
      <c r="I253" s="359">
        <f>IFERROR(INDEX('4. Valuation'!$C$10:$I$17,MATCH($D253,'4. Valuation'!$C$10:$C$17,0),MATCH($I$25,'4. Valuation'!$C$10:$I$10,0)),0)</f>
        <v>21.448728269247237</v>
      </c>
      <c r="J253" s="277"/>
      <c r="K253" s="312">
        <f t="shared" si="59"/>
        <v>13992</v>
      </c>
      <c r="L253" s="312">
        <f t="shared" si="60"/>
        <v>1166</v>
      </c>
      <c r="M253" s="359">
        <f t="shared" si="61"/>
        <v>20.63716814159292</v>
      </c>
      <c r="N253" s="278"/>
      <c r="O253" s="278"/>
      <c r="P253" s="278"/>
      <c r="Q253" s="278"/>
      <c r="R253" s="312">
        <f>IFERROR(INDEX('4. Valuation'!$O$10:$X$17,MATCH($D253,'4. Valuation'!$O$10:$O$17,0),MATCH($R$25,'4. Valuation'!$O$10:$X$10,0)),0)</f>
        <v>0</v>
      </c>
      <c r="S253" s="312">
        <f>IFERROR(INDEX('4. Valuation'!$O$10:$X$17,MATCH($D253,'4. Valuation'!$O$10:$O$17,0),MATCH($S$25,'4. Valuation'!$O$10:$X$10,0)),0)</f>
        <v>0</v>
      </c>
      <c r="T253" s="312">
        <f>IFERROR(INDEX('4. Valuation'!$O$10:$X$17,MATCH($D253,'4. Valuation'!$O$10:$O$17,0),MATCH($T$25,'4. Valuation'!$O$10:$X$10,0)),0)</f>
        <v>0</v>
      </c>
      <c r="U253" s="278"/>
      <c r="V253" s="312">
        <f t="shared" si="62"/>
        <v>0</v>
      </c>
      <c r="W253" s="312">
        <f t="shared" si="63"/>
        <v>0</v>
      </c>
      <c r="X253" s="312">
        <f t="shared" si="64"/>
        <v>0</v>
      </c>
      <c r="Y253" s="278"/>
      <c r="Z253" s="312">
        <f t="shared" si="65"/>
        <v>15720</v>
      </c>
      <c r="AA253" s="312">
        <f>'3. GRI Pricing'!Y244</f>
        <v>1310</v>
      </c>
      <c r="AB253" s="359">
        <f t="shared" si="66"/>
        <v>23.185840707964601</v>
      </c>
    </row>
    <row r="254" spans="3:28" s="30" customFormat="1" ht="12" x14ac:dyDescent="0.2">
      <c r="C254" s="77" t="str">
        <f>'1. Accomodation'!N249</f>
        <v>406W</v>
      </c>
      <c r="D254" s="77" t="str">
        <f>'1. Accomodation'!P249</f>
        <v>1 Bed</v>
      </c>
      <c r="E254" s="77">
        <f>'1. Accomodation'!O249</f>
        <v>506</v>
      </c>
      <c r="G254" s="341">
        <v>11820</v>
      </c>
      <c r="H254" s="273">
        <f>IFERROR(INDEX('4. Valuation'!$C$10:$I$17,MATCH($D254,'4. Valuation'!$C$10:$C$17,0),MATCH($H$25,'4. Valuation'!$C$10:$I$10,0)),0)</f>
        <v>867</v>
      </c>
      <c r="I254" s="359">
        <f>IFERROR(INDEX('4. Valuation'!$C$10:$I$17,MATCH($D254,'4. Valuation'!$C$10:$C$17,0),MATCH($I$25,'4. Valuation'!$C$10:$I$10,0)),0)</f>
        <v>20.660726106217222</v>
      </c>
      <c r="J254" s="277"/>
      <c r="K254" s="312">
        <f t="shared" si="59"/>
        <v>10404</v>
      </c>
      <c r="L254" s="312">
        <f t="shared" si="60"/>
        <v>867</v>
      </c>
      <c r="M254" s="359">
        <f t="shared" si="61"/>
        <v>20.561264822134387</v>
      </c>
      <c r="N254" s="278"/>
      <c r="O254" s="278"/>
      <c r="P254" s="278"/>
      <c r="Q254" s="278"/>
      <c r="R254" s="312">
        <f>IFERROR(INDEX('4. Valuation'!$O$10:$X$17,MATCH($D254,'4. Valuation'!$O$10:$O$17,0),MATCH($R$25,'4. Valuation'!$O$10:$X$10,0)),0)</f>
        <v>0</v>
      </c>
      <c r="S254" s="312">
        <f>IFERROR(INDEX('4. Valuation'!$O$10:$X$17,MATCH($D254,'4. Valuation'!$O$10:$O$17,0),MATCH($S$25,'4. Valuation'!$O$10:$X$10,0)),0)</f>
        <v>0</v>
      </c>
      <c r="T254" s="312">
        <f>IFERROR(INDEX('4. Valuation'!$O$10:$X$17,MATCH($D254,'4. Valuation'!$O$10:$O$17,0),MATCH($T$25,'4. Valuation'!$O$10:$X$10,0)),0)</f>
        <v>0</v>
      </c>
      <c r="U254" s="278"/>
      <c r="V254" s="312">
        <f t="shared" si="62"/>
        <v>0</v>
      </c>
      <c r="W254" s="312">
        <f t="shared" si="63"/>
        <v>0</v>
      </c>
      <c r="X254" s="312">
        <f t="shared" si="64"/>
        <v>0</v>
      </c>
      <c r="Y254" s="278"/>
      <c r="Z254" s="312">
        <f t="shared" si="65"/>
        <v>12240</v>
      </c>
      <c r="AA254" s="312">
        <f>'3. GRI Pricing'!Y245</f>
        <v>1020</v>
      </c>
      <c r="AB254" s="359">
        <f t="shared" si="66"/>
        <v>24.189723320158102</v>
      </c>
    </row>
    <row r="255" spans="3:28" s="30" customFormat="1" ht="12" x14ac:dyDescent="0.2">
      <c r="C255" s="77" t="str">
        <f>'1. Accomodation'!N250</f>
        <v>407W</v>
      </c>
      <c r="D255" s="77" t="str">
        <f>'1. Accomodation'!P250</f>
        <v>1 Bed</v>
      </c>
      <c r="E255" s="77">
        <f>'1. Accomodation'!O250</f>
        <v>474</v>
      </c>
      <c r="G255" s="341">
        <v>10800</v>
      </c>
      <c r="H255" s="273">
        <f>IFERROR(INDEX('4. Valuation'!$C$10:$I$17,MATCH($D255,'4. Valuation'!$C$10:$C$17,0),MATCH($H$25,'4. Valuation'!$C$10:$I$10,0)),0)</f>
        <v>867</v>
      </c>
      <c r="I255" s="359">
        <f>IFERROR(INDEX('4. Valuation'!$C$10:$I$17,MATCH($D255,'4. Valuation'!$C$10:$C$17,0),MATCH($I$25,'4. Valuation'!$C$10:$I$10,0)),0)</f>
        <v>20.660726106217222</v>
      </c>
      <c r="J255" s="277"/>
      <c r="K255" s="312">
        <f t="shared" si="59"/>
        <v>10404</v>
      </c>
      <c r="L255" s="312">
        <f t="shared" si="60"/>
        <v>867</v>
      </c>
      <c r="M255" s="359">
        <f t="shared" si="61"/>
        <v>21.949367088607595</v>
      </c>
      <c r="N255" s="278"/>
      <c r="O255" s="278"/>
      <c r="P255" s="278"/>
      <c r="Q255" s="278"/>
      <c r="R255" s="312">
        <f>IFERROR(INDEX('4. Valuation'!$O$10:$X$17,MATCH($D255,'4. Valuation'!$O$10:$O$17,0),MATCH($R$25,'4. Valuation'!$O$10:$X$10,0)),0)</f>
        <v>0</v>
      </c>
      <c r="S255" s="312">
        <f>IFERROR(INDEX('4. Valuation'!$O$10:$X$17,MATCH($D255,'4. Valuation'!$O$10:$O$17,0),MATCH($S$25,'4. Valuation'!$O$10:$X$10,0)),0)</f>
        <v>0</v>
      </c>
      <c r="T255" s="312">
        <f>IFERROR(INDEX('4. Valuation'!$O$10:$X$17,MATCH($D255,'4. Valuation'!$O$10:$O$17,0),MATCH($T$25,'4. Valuation'!$O$10:$X$10,0)),0)</f>
        <v>0</v>
      </c>
      <c r="U255" s="278"/>
      <c r="V255" s="312">
        <f t="shared" si="62"/>
        <v>0</v>
      </c>
      <c r="W255" s="312">
        <f t="shared" si="63"/>
        <v>0</v>
      </c>
      <c r="X255" s="312">
        <f t="shared" si="64"/>
        <v>0</v>
      </c>
      <c r="Y255" s="278"/>
      <c r="Z255" s="312">
        <f t="shared" si="65"/>
        <v>11940</v>
      </c>
      <c r="AA255" s="312">
        <f>'3. GRI Pricing'!Y246</f>
        <v>995</v>
      </c>
      <c r="AB255" s="359">
        <f t="shared" si="66"/>
        <v>25.189873417721518</v>
      </c>
    </row>
    <row r="256" spans="3:28" s="30" customFormat="1" ht="12" x14ac:dyDescent="0.2">
      <c r="C256" s="77" t="str">
        <f>'1. Accomodation'!N251</f>
        <v>408W</v>
      </c>
      <c r="D256" s="77" t="str">
        <f>'1. Accomodation'!P251</f>
        <v>2 Bed</v>
      </c>
      <c r="E256" s="77">
        <f>'1. Accomodation'!O251</f>
        <v>667</v>
      </c>
      <c r="G256" s="341">
        <v>15300</v>
      </c>
      <c r="H256" s="273">
        <f>IFERROR(INDEX('4. Valuation'!$C$10:$I$17,MATCH($D256,'4. Valuation'!$C$10:$C$17,0),MATCH($H$25,'4. Valuation'!$C$10:$I$10,0)),0)</f>
        <v>1166</v>
      </c>
      <c r="I256" s="359">
        <f>IFERROR(INDEX('4. Valuation'!$C$10:$I$17,MATCH($D256,'4. Valuation'!$C$10:$C$17,0),MATCH($I$25,'4. Valuation'!$C$10:$I$10,0)),0)</f>
        <v>21.448728269247237</v>
      </c>
      <c r="J256" s="277"/>
      <c r="K256" s="312">
        <f t="shared" si="59"/>
        <v>13992</v>
      </c>
      <c r="L256" s="312">
        <f t="shared" si="60"/>
        <v>1166</v>
      </c>
      <c r="M256" s="359">
        <f t="shared" si="61"/>
        <v>20.977511244377812</v>
      </c>
      <c r="N256" s="278"/>
      <c r="O256" s="278"/>
      <c r="P256" s="278"/>
      <c r="Q256" s="278"/>
      <c r="R256" s="312">
        <f>IFERROR(INDEX('4. Valuation'!$O$10:$X$17,MATCH($D256,'4. Valuation'!$O$10:$O$17,0),MATCH($R$25,'4. Valuation'!$O$10:$X$10,0)),0)</f>
        <v>0</v>
      </c>
      <c r="S256" s="312">
        <f>IFERROR(INDEX('4. Valuation'!$O$10:$X$17,MATCH($D256,'4. Valuation'!$O$10:$O$17,0),MATCH($S$25,'4. Valuation'!$O$10:$X$10,0)),0)</f>
        <v>0</v>
      </c>
      <c r="T256" s="312">
        <f>IFERROR(INDEX('4. Valuation'!$O$10:$X$17,MATCH($D256,'4. Valuation'!$O$10:$O$17,0),MATCH($T$25,'4. Valuation'!$O$10:$X$10,0)),0)</f>
        <v>0</v>
      </c>
      <c r="U256" s="278"/>
      <c r="V256" s="312">
        <f t="shared" si="62"/>
        <v>0</v>
      </c>
      <c r="W256" s="312">
        <f t="shared" si="63"/>
        <v>0</v>
      </c>
      <c r="X256" s="312">
        <f t="shared" si="64"/>
        <v>0</v>
      </c>
      <c r="Y256" s="278"/>
      <c r="Z256" s="312">
        <f t="shared" si="65"/>
        <v>15660</v>
      </c>
      <c r="AA256" s="312">
        <f>'3. GRI Pricing'!Y247</f>
        <v>1305</v>
      </c>
      <c r="AB256" s="359">
        <f t="shared" si="66"/>
        <v>23.478260869565219</v>
      </c>
    </row>
    <row r="257" spans="3:28" s="30" customFormat="1" ht="12" x14ac:dyDescent="0.2">
      <c r="C257" s="77" t="str">
        <f>'1. Accomodation'!N252</f>
        <v>409W</v>
      </c>
      <c r="D257" s="77" t="str">
        <f>'1. Accomodation'!P252</f>
        <v>2 Bed</v>
      </c>
      <c r="E257" s="77">
        <f>'1. Accomodation'!O252</f>
        <v>657</v>
      </c>
      <c r="G257" s="341">
        <v>15360</v>
      </c>
      <c r="H257" s="273">
        <f>IFERROR(INDEX('4. Valuation'!$C$10:$I$17,MATCH($D257,'4. Valuation'!$C$10:$C$17,0),MATCH($H$25,'4. Valuation'!$C$10:$I$10,0)),0)</f>
        <v>1166</v>
      </c>
      <c r="I257" s="359">
        <f>IFERROR(INDEX('4. Valuation'!$C$10:$I$17,MATCH($D257,'4. Valuation'!$C$10:$C$17,0),MATCH($I$25,'4. Valuation'!$C$10:$I$10,0)),0)</f>
        <v>21.448728269247237</v>
      </c>
      <c r="J257" s="277"/>
      <c r="K257" s="312">
        <f t="shared" si="59"/>
        <v>13992</v>
      </c>
      <c r="L257" s="312">
        <f t="shared" si="60"/>
        <v>1166</v>
      </c>
      <c r="M257" s="359">
        <f t="shared" si="61"/>
        <v>21.296803652968038</v>
      </c>
      <c r="N257" s="278"/>
      <c r="O257" s="278"/>
      <c r="P257" s="278"/>
      <c r="Q257" s="278"/>
      <c r="R257" s="312">
        <f>IFERROR(INDEX('4. Valuation'!$O$10:$X$17,MATCH($D257,'4. Valuation'!$O$10:$O$17,0),MATCH($R$25,'4. Valuation'!$O$10:$X$10,0)),0)</f>
        <v>0</v>
      </c>
      <c r="S257" s="312">
        <f>IFERROR(INDEX('4. Valuation'!$O$10:$X$17,MATCH($D257,'4. Valuation'!$O$10:$O$17,0),MATCH($S$25,'4. Valuation'!$O$10:$X$10,0)),0)</f>
        <v>0</v>
      </c>
      <c r="T257" s="312">
        <f>IFERROR(INDEX('4. Valuation'!$O$10:$X$17,MATCH($D257,'4. Valuation'!$O$10:$O$17,0),MATCH($T$25,'4. Valuation'!$O$10:$X$10,0)),0)</f>
        <v>0</v>
      </c>
      <c r="U257" s="278"/>
      <c r="V257" s="312">
        <f t="shared" si="62"/>
        <v>0</v>
      </c>
      <c r="W257" s="312">
        <f t="shared" si="63"/>
        <v>0</v>
      </c>
      <c r="X257" s="312">
        <f t="shared" si="64"/>
        <v>0</v>
      </c>
      <c r="Y257" s="278"/>
      <c r="Z257" s="312">
        <f t="shared" si="65"/>
        <v>15540</v>
      </c>
      <c r="AA257" s="312">
        <f>'3. GRI Pricing'!Y248</f>
        <v>1295</v>
      </c>
      <c r="AB257" s="359">
        <f t="shared" si="66"/>
        <v>23.652968036529682</v>
      </c>
    </row>
    <row r="258" spans="3:28" s="30" customFormat="1" ht="12" x14ac:dyDescent="0.2">
      <c r="C258" s="77" t="str">
        <f>'1. Accomodation'!N253</f>
        <v>410W</v>
      </c>
      <c r="D258" s="77" t="str">
        <f>'1. Accomodation'!P253</f>
        <v>2 Bed</v>
      </c>
      <c r="E258" s="77">
        <f>'1. Accomodation'!O253</f>
        <v>689</v>
      </c>
      <c r="G258" s="341">
        <v>15840</v>
      </c>
      <c r="H258" s="273">
        <f>IFERROR(INDEX('4. Valuation'!$C$10:$I$17,MATCH($D258,'4. Valuation'!$C$10:$C$17,0),MATCH($H$25,'4. Valuation'!$C$10:$I$10,0)),0)</f>
        <v>1166</v>
      </c>
      <c r="I258" s="359">
        <f>IFERROR(INDEX('4. Valuation'!$C$10:$I$17,MATCH($D258,'4. Valuation'!$C$10:$C$17,0),MATCH($I$25,'4. Valuation'!$C$10:$I$10,0)),0)</f>
        <v>21.448728269247237</v>
      </c>
      <c r="J258" s="277"/>
      <c r="K258" s="312">
        <f t="shared" si="59"/>
        <v>13992</v>
      </c>
      <c r="L258" s="312">
        <f t="shared" si="60"/>
        <v>1166</v>
      </c>
      <c r="M258" s="359">
        <f t="shared" si="61"/>
        <v>20.307692307692307</v>
      </c>
      <c r="N258" s="278"/>
      <c r="O258" s="278"/>
      <c r="P258" s="278"/>
      <c r="Q258" s="278"/>
      <c r="R258" s="312">
        <f>IFERROR(INDEX('4. Valuation'!$O$10:$X$17,MATCH($D258,'4. Valuation'!$O$10:$O$17,0),MATCH($R$25,'4. Valuation'!$O$10:$X$10,0)),0)</f>
        <v>0</v>
      </c>
      <c r="S258" s="312">
        <f>IFERROR(INDEX('4. Valuation'!$O$10:$X$17,MATCH($D258,'4. Valuation'!$O$10:$O$17,0),MATCH($S$25,'4. Valuation'!$O$10:$X$10,0)),0)</f>
        <v>0</v>
      </c>
      <c r="T258" s="312">
        <f>IFERROR(INDEX('4. Valuation'!$O$10:$X$17,MATCH($D258,'4. Valuation'!$O$10:$O$17,0),MATCH($T$25,'4. Valuation'!$O$10:$X$10,0)),0)</f>
        <v>0</v>
      </c>
      <c r="U258" s="278"/>
      <c r="V258" s="312">
        <f t="shared" si="62"/>
        <v>0</v>
      </c>
      <c r="W258" s="312">
        <f t="shared" si="63"/>
        <v>0</v>
      </c>
      <c r="X258" s="312">
        <f t="shared" si="64"/>
        <v>0</v>
      </c>
      <c r="Y258" s="278"/>
      <c r="Z258" s="312">
        <f t="shared" si="65"/>
        <v>15780</v>
      </c>
      <c r="AA258" s="312">
        <f>'3. GRI Pricing'!Y249</f>
        <v>1315</v>
      </c>
      <c r="AB258" s="359">
        <f t="shared" si="66"/>
        <v>22.90275761973875</v>
      </c>
    </row>
    <row r="259" spans="3:28" s="30" customFormat="1" ht="12" x14ac:dyDescent="0.2">
      <c r="C259" s="77" t="str">
        <f>'1. Accomodation'!N254</f>
        <v>411W</v>
      </c>
      <c r="D259" s="77" t="str">
        <f>'1. Accomodation'!P254</f>
        <v>2 Bed</v>
      </c>
      <c r="E259" s="77">
        <f>'1. Accomodation'!O254</f>
        <v>667</v>
      </c>
      <c r="G259" s="341">
        <v>15720</v>
      </c>
      <c r="H259" s="273">
        <f>IFERROR(INDEX('4. Valuation'!$C$10:$I$17,MATCH($D259,'4. Valuation'!$C$10:$C$17,0),MATCH($H$25,'4. Valuation'!$C$10:$I$10,0)),0)</f>
        <v>1166</v>
      </c>
      <c r="I259" s="359">
        <f>IFERROR(INDEX('4. Valuation'!$C$10:$I$17,MATCH($D259,'4. Valuation'!$C$10:$C$17,0),MATCH($I$25,'4. Valuation'!$C$10:$I$10,0)),0)</f>
        <v>21.448728269247237</v>
      </c>
      <c r="J259" s="277"/>
      <c r="K259" s="312">
        <f t="shared" si="59"/>
        <v>13992</v>
      </c>
      <c r="L259" s="312">
        <f t="shared" si="60"/>
        <v>1166</v>
      </c>
      <c r="M259" s="359">
        <f t="shared" si="61"/>
        <v>20.977511244377812</v>
      </c>
      <c r="N259" s="278"/>
      <c r="O259" s="278"/>
      <c r="P259" s="278"/>
      <c r="Q259" s="278"/>
      <c r="R259" s="312">
        <f>IFERROR(INDEX('4. Valuation'!$O$10:$X$17,MATCH($D259,'4. Valuation'!$O$10:$O$17,0),MATCH($R$25,'4. Valuation'!$O$10:$X$10,0)),0)</f>
        <v>0</v>
      </c>
      <c r="S259" s="312">
        <f>IFERROR(INDEX('4. Valuation'!$O$10:$X$17,MATCH($D259,'4. Valuation'!$O$10:$O$17,0),MATCH($S$25,'4. Valuation'!$O$10:$X$10,0)),0)</f>
        <v>0</v>
      </c>
      <c r="T259" s="312">
        <f>IFERROR(INDEX('4. Valuation'!$O$10:$X$17,MATCH($D259,'4. Valuation'!$O$10:$O$17,0),MATCH($T$25,'4. Valuation'!$O$10:$X$10,0)),0)</f>
        <v>0</v>
      </c>
      <c r="U259" s="278"/>
      <c r="V259" s="312">
        <f t="shared" si="62"/>
        <v>0</v>
      </c>
      <c r="W259" s="312">
        <f t="shared" si="63"/>
        <v>0</v>
      </c>
      <c r="X259" s="312">
        <f t="shared" si="64"/>
        <v>0</v>
      </c>
      <c r="Y259" s="278"/>
      <c r="Z259" s="312">
        <f t="shared" si="65"/>
        <v>15660</v>
      </c>
      <c r="AA259" s="312">
        <f>'3. GRI Pricing'!Y250</f>
        <v>1305</v>
      </c>
      <c r="AB259" s="359">
        <f t="shared" si="66"/>
        <v>23.478260869565219</v>
      </c>
    </row>
    <row r="260" spans="3:28" s="30" customFormat="1" ht="12" x14ac:dyDescent="0.2">
      <c r="C260" s="77" t="str">
        <f>'1. Accomodation'!N255</f>
        <v>412W</v>
      </c>
      <c r="D260" s="77" t="str">
        <f>'1. Accomodation'!P255</f>
        <v>1 Bed</v>
      </c>
      <c r="E260" s="77">
        <f>'1. Accomodation'!O255</f>
        <v>527</v>
      </c>
      <c r="G260" s="341">
        <v>12000</v>
      </c>
      <c r="H260" s="273">
        <f>IFERROR(INDEX('4. Valuation'!$C$10:$I$17,MATCH($D260,'4. Valuation'!$C$10:$C$17,0),MATCH($H$25,'4. Valuation'!$C$10:$I$10,0)),0)</f>
        <v>867</v>
      </c>
      <c r="I260" s="359">
        <f>IFERROR(INDEX('4. Valuation'!$C$10:$I$17,MATCH($D260,'4. Valuation'!$C$10:$C$17,0),MATCH($I$25,'4. Valuation'!$C$10:$I$10,0)),0)</f>
        <v>20.660726106217222</v>
      </c>
      <c r="J260" s="277"/>
      <c r="K260" s="312">
        <f t="shared" si="59"/>
        <v>10404</v>
      </c>
      <c r="L260" s="312">
        <f t="shared" si="60"/>
        <v>867</v>
      </c>
      <c r="M260" s="359">
        <f t="shared" si="61"/>
        <v>19.741935483870968</v>
      </c>
      <c r="N260" s="278"/>
      <c r="O260" s="278"/>
      <c r="P260" s="278"/>
      <c r="Q260" s="278"/>
      <c r="R260" s="312">
        <f>IFERROR(INDEX('4. Valuation'!$O$10:$X$17,MATCH($D260,'4. Valuation'!$O$10:$O$17,0),MATCH($R$25,'4. Valuation'!$O$10:$X$10,0)),0)</f>
        <v>0</v>
      </c>
      <c r="S260" s="312">
        <f>IFERROR(INDEX('4. Valuation'!$O$10:$X$17,MATCH($D260,'4. Valuation'!$O$10:$O$17,0),MATCH($S$25,'4. Valuation'!$O$10:$X$10,0)),0)</f>
        <v>0</v>
      </c>
      <c r="T260" s="312">
        <f>IFERROR(INDEX('4. Valuation'!$O$10:$X$17,MATCH($D260,'4. Valuation'!$O$10:$O$17,0),MATCH($T$25,'4. Valuation'!$O$10:$X$10,0)),0)</f>
        <v>0</v>
      </c>
      <c r="U260" s="278"/>
      <c r="V260" s="312">
        <f t="shared" si="62"/>
        <v>0</v>
      </c>
      <c r="W260" s="312">
        <f t="shared" si="63"/>
        <v>0</v>
      </c>
      <c r="X260" s="312">
        <f t="shared" si="64"/>
        <v>0</v>
      </c>
      <c r="Y260" s="278"/>
      <c r="Z260" s="312">
        <f t="shared" si="65"/>
        <v>12300</v>
      </c>
      <c r="AA260" s="312">
        <f>'3. GRI Pricing'!Y251</f>
        <v>1025</v>
      </c>
      <c r="AB260" s="359">
        <f t="shared" si="66"/>
        <v>23.339658444022771</v>
      </c>
    </row>
    <row r="261" spans="3:28" s="30" customFormat="1" ht="12" x14ac:dyDescent="0.2">
      <c r="C261" s="77" t="str">
        <f>'1. Accomodation'!N256</f>
        <v>413W</v>
      </c>
      <c r="D261" s="77" t="str">
        <f>'1. Accomodation'!P256</f>
        <v>3 Bed</v>
      </c>
      <c r="E261" s="77">
        <f>'1. Accomodation'!O256</f>
        <v>840</v>
      </c>
      <c r="G261" s="341">
        <v>20040</v>
      </c>
      <c r="H261" s="273">
        <f>IFERROR(INDEX('4. Valuation'!$C$10:$I$17,MATCH($D261,'4. Valuation'!$C$10:$C$17,0),MATCH($H$25,'4. Valuation'!$C$10:$I$10,0)),0)</f>
        <v>1511</v>
      </c>
      <c r="I261" s="359">
        <f>IFERROR(INDEX('4. Valuation'!$C$10:$I$17,MATCH($D261,'4. Valuation'!$C$10:$C$17,0),MATCH($I$25,'4. Valuation'!$C$10:$I$10,0)),0)</f>
        <v>22.026444890903143</v>
      </c>
      <c r="J261" s="277"/>
      <c r="K261" s="312">
        <f t="shared" si="59"/>
        <v>18132</v>
      </c>
      <c r="L261" s="312">
        <f t="shared" si="60"/>
        <v>1511</v>
      </c>
      <c r="M261" s="359">
        <f t="shared" si="61"/>
        <v>21.585714285714285</v>
      </c>
      <c r="N261" s="278"/>
      <c r="O261" s="278"/>
      <c r="P261" s="278"/>
      <c r="Q261" s="278"/>
      <c r="R261" s="312">
        <f>IFERROR(INDEX('4. Valuation'!$O$10:$X$17,MATCH($D261,'4. Valuation'!$O$10:$O$17,0),MATCH($R$25,'4. Valuation'!$O$10:$X$10,0)),0)</f>
        <v>0</v>
      </c>
      <c r="S261" s="312">
        <f>IFERROR(INDEX('4. Valuation'!$O$10:$X$17,MATCH($D261,'4. Valuation'!$O$10:$O$17,0),MATCH($S$25,'4. Valuation'!$O$10:$X$10,0)),0)</f>
        <v>0</v>
      </c>
      <c r="T261" s="312">
        <f>IFERROR(INDEX('4. Valuation'!$O$10:$X$17,MATCH($D261,'4. Valuation'!$O$10:$O$17,0),MATCH($T$25,'4. Valuation'!$O$10:$X$10,0)),0)</f>
        <v>0</v>
      </c>
      <c r="U261" s="278"/>
      <c r="V261" s="312">
        <f t="shared" si="62"/>
        <v>0</v>
      </c>
      <c r="W261" s="312">
        <f t="shared" si="63"/>
        <v>0</v>
      </c>
      <c r="X261" s="312">
        <f t="shared" si="64"/>
        <v>0</v>
      </c>
      <c r="Y261" s="278"/>
      <c r="Z261" s="312">
        <f t="shared" si="65"/>
        <v>20580</v>
      </c>
      <c r="AA261" s="312">
        <f>'3. GRI Pricing'!Y252</f>
        <v>1715</v>
      </c>
      <c r="AB261" s="359">
        <f t="shared" si="66"/>
        <v>24.5</v>
      </c>
    </row>
    <row r="262" spans="3:28" s="30" customFormat="1" ht="12" x14ac:dyDescent="0.2">
      <c r="C262" s="77" t="str">
        <f>'1. Accomodation'!N257</f>
        <v>414W</v>
      </c>
      <c r="D262" s="77" t="str">
        <f>'1. Accomodation'!P257</f>
        <v>2 Bed</v>
      </c>
      <c r="E262" s="77">
        <f>'1. Accomodation'!O257</f>
        <v>624</v>
      </c>
      <c r="G262" s="341">
        <v>14280</v>
      </c>
      <c r="H262" s="273">
        <f>IFERROR(INDEX('4. Valuation'!$C$10:$I$17,MATCH($D262,'4. Valuation'!$C$10:$C$17,0),MATCH($H$25,'4. Valuation'!$C$10:$I$10,0)),0)</f>
        <v>1166</v>
      </c>
      <c r="I262" s="359">
        <f>IFERROR(INDEX('4. Valuation'!$C$10:$I$17,MATCH($D262,'4. Valuation'!$C$10:$C$17,0),MATCH($I$25,'4. Valuation'!$C$10:$I$10,0)),0)</f>
        <v>21.448728269247237</v>
      </c>
      <c r="J262" s="277"/>
      <c r="K262" s="312">
        <f t="shared" si="59"/>
        <v>13992</v>
      </c>
      <c r="L262" s="312">
        <f t="shared" si="60"/>
        <v>1166</v>
      </c>
      <c r="M262" s="359">
        <f t="shared" si="61"/>
        <v>22.423076923076923</v>
      </c>
      <c r="N262" s="278"/>
      <c r="O262" s="278"/>
      <c r="P262" s="278"/>
      <c r="Q262" s="278"/>
      <c r="R262" s="312">
        <f>IFERROR(INDEX('4. Valuation'!$O$10:$X$17,MATCH($D262,'4. Valuation'!$O$10:$O$17,0),MATCH($R$25,'4. Valuation'!$O$10:$X$10,0)),0)</f>
        <v>0</v>
      </c>
      <c r="S262" s="312">
        <f>IFERROR(INDEX('4. Valuation'!$O$10:$X$17,MATCH($D262,'4. Valuation'!$O$10:$O$17,0),MATCH($S$25,'4. Valuation'!$O$10:$X$10,0)),0)</f>
        <v>0</v>
      </c>
      <c r="T262" s="312">
        <f>IFERROR(INDEX('4. Valuation'!$O$10:$X$17,MATCH($D262,'4. Valuation'!$O$10:$O$17,0),MATCH($T$25,'4. Valuation'!$O$10:$X$10,0)),0)</f>
        <v>0</v>
      </c>
      <c r="U262" s="278"/>
      <c r="V262" s="312">
        <f t="shared" si="62"/>
        <v>0</v>
      </c>
      <c r="W262" s="312">
        <f t="shared" si="63"/>
        <v>0</v>
      </c>
      <c r="X262" s="312">
        <f t="shared" si="64"/>
        <v>0</v>
      </c>
      <c r="Y262" s="278"/>
      <c r="Z262" s="312">
        <f t="shared" si="65"/>
        <v>15360</v>
      </c>
      <c r="AA262" s="312">
        <f>'3. GRI Pricing'!Y253</f>
        <v>1280</v>
      </c>
      <c r="AB262" s="359">
        <f t="shared" si="66"/>
        <v>24.615384615384617</v>
      </c>
    </row>
    <row r="263" spans="3:28" s="30" customFormat="1" ht="12" x14ac:dyDescent="0.2">
      <c r="C263" s="77" t="str">
        <f>'1. Accomodation'!N258</f>
        <v>501W</v>
      </c>
      <c r="D263" s="77" t="str">
        <f>'1. Accomodation'!P258</f>
        <v>2 Bed</v>
      </c>
      <c r="E263" s="77">
        <f>'1. Accomodation'!O258</f>
        <v>689</v>
      </c>
      <c r="G263" s="341">
        <v>16140</v>
      </c>
      <c r="H263" s="273">
        <f>IFERROR(INDEX('4. Valuation'!$C$10:$I$17,MATCH($D263,'4. Valuation'!$C$10:$C$17,0),MATCH($H$25,'4. Valuation'!$C$10:$I$10,0)),0)</f>
        <v>1166</v>
      </c>
      <c r="I263" s="359">
        <f>IFERROR(INDEX('4. Valuation'!$C$10:$I$17,MATCH($D263,'4. Valuation'!$C$10:$C$17,0),MATCH($I$25,'4. Valuation'!$C$10:$I$10,0)),0)</f>
        <v>21.448728269247237</v>
      </c>
      <c r="J263" s="277"/>
      <c r="K263" s="312">
        <f t="shared" si="59"/>
        <v>13992</v>
      </c>
      <c r="L263" s="312">
        <f t="shared" si="60"/>
        <v>1166</v>
      </c>
      <c r="M263" s="359">
        <f t="shared" si="61"/>
        <v>20.307692307692307</v>
      </c>
      <c r="N263" s="278"/>
      <c r="O263" s="278"/>
      <c r="P263" s="278"/>
      <c r="Q263" s="278"/>
      <c r="R263" s="312">
        <f>IFERROR(INDEX('4. Valuation'!$O$10:$X$17,MATCH($D263,'4. Valuation'!$O$10:$O$17,0),MATCH($R$25,'4. Valuation'!$O$10:$X$10,0)),0)</f>
        <v>0</v>
      </c>
      <c r="S263" s="312">
        <f>IFERROR(INDEX('4. Valuation'!$O$10:$X$17,MATCH($D263,'4. Valuation'!$O$10:$O$17,0),MATCH($S$25,'4. Valuation'!$O$10:$X$10,0)),0)</f>
        <v>0</v>
      </c>
      <c r="T263" s="312">
        <f>IFERROR(INDEX('4. Valuation'!$O$10:$X$17,MATCH($D263,'4. Valuation'!$O$10:$O$17,0),MATCH($T$25,'4. Valuation'!$O$10:$X$10,0)),0)</f>
        <v>0</v>
      </c>
      <c r="U263" s="278"/>
      <c r="V263" s="312">
        <f t="shared" si="62"/>
        <v>0</v>
      </c>
      <c r="W263" s="312">
        <f t="shared" si="63"/>
        <v>0</v>
      </c>
      <c r="X263" s="312">
        <f t="shared" si="64"/>
        <v>0</v>
      </c>
      <c r="Y263" s="278"/>
      <c r="Z263" s="312">
        <f t="shared" si="65"/>
        <v>15900</v>
      </c>
      <c r="AA263" s="312">
        <f>'3. GRI Pricing'!Y254</f>
        <v>1325</v>
      </c>
      <c r="AB263" s="359">
        <f t="shared" si="66"/>
        <v>23.076923076923077</v>
      </c>
    </row>
    <row r="264" spans="3:28" s="30" customFormat="1" ht="12" x14ac:dyDescent="0.2">
      <c r="C264" s="77" t="str">
        <f>'1. Accomodation'!N259</f>
        <v>502W</v>
      </c>
      <c r="D264" s="77" t="str">
        <f>'1. Accomodation'!P259</f>
        <v>1 Bed</v>
      </c>
      <c r="E264" s="77">
        <f>'1. Accomodation'!O259</f>
        <v>495</v>
      </c>
      <c r="G264" s="341">
        <v>13200</v>
      </c>
      <c r="H264" s="273">
        <f>IFERROR(INDEX('4. Valuation'!$C$10:$I$17,MATCH($D264,'4. Valuation'!$C$10:$C$17,0),MATCH($H$25,'4. Valuation'!$C$10:$I$10,0)),0)</f>
        <v>867</v>
      </c>
      <c r="I264" s="359">
        <f>IFERROR(INDEX('4. Valuation'!$C$10:$I$17,MATCH($D264,'4. Valuation'!$C$10:$C$17,0),MATCH($I$25,'4. Valuation'!$C$10:$I$10,0)),0)</f>
        <v>20.660726106217222</v>
      </c>
      <c r="J264" s="277"/>
      <c r="K264" s="312">
        <f t="shared" si="59"/>
        <v>10404</v>
      </c>
      <c r="L264" s="312">
        <f t="shared" si="60"/>
        <v>867</v>
      </c>
      <c r="M264" s="359">
        <f t="shared" si="61"/>
        <v>21.018181818181819</v>
      </c>
      <c r="N264" s="278"/>
      <c r="O264" s="278"/>
      <c r="P264" s="278"/>
      <c r="Q264" s="278"/>
      <c r="R264" s="312">
        <f>IFERROR(INDEX('4. Valuation'!$O$10:$X$17,MATCH($D264,'4. Valuation'!$O$10:$O$17,0),MATCH($R$25,'4. Valuation'!$O$10:$X$10,0)),0)</f>
        <v>0</v>
      </c>
      <c r="S264" s="312">
        <f>IFERROR(INDEX('4. Valuation'!$O$10:$X$17,MATCH($D264,'4. Valuation'!$O$10:$O$17,0),MATCH($S$25,'4. Valuation'!$O$10:$X$10,0)),0)</f>
        <v>0</v>
      </c>
      <c r="T264" s="312">
        <f>IFERROR(INDEX('4. Valuation'!$O$10:$X$17,MATCH($D264,'4. Valuation'!$O$10:$O$17,0),MATCH($T$25,'4. Valuation'!$O$10:$X$10,0)),0)</f>
        <v>0</v>
      </c>
      <c r="U264" s="278"/>
      <c r="V264" s="312">
        <f t="shared" si="62"/>
        <v>0</v>
      </c>
      <c r="W264" s="312">
        <f t="shared" si="63"/>
        <v>0</v>
      </c>
      <c r="X264" s="312">
        <f t="shared" si="64"/>
        <v>0</v>
      </c>
      <c r="Y264" s="278"/>
      <c r="Z264" s="312">
        <f t="shared" si="65"/>
        <v>12300</v>
      </c>
      <c r="AA264" s="312">
        <f>'3. GRI Pricing'!Y255</f>
        <v>1025</v>
      </c>
      <c r="AB264" s="359">
        <f t="shared" si="66"/>
        <v>24.848484848484848</v>
      </c>
    </row>
    <row r="265" spans="3:28" s="30" customFormat="1" ht="12" x14ac:dyDescent="0.2">
      <c r="C265" s="77" t="str">
        <f>'1. Accomodation'!N260</f>
        <v>503W</v>
      </c>
      <c r="D265" s="77" t="str">
        <f>'1. Accomodation'!P260</f>
        <v>2 Bed</v>
      </c>
      <c r="E265" s="77">
        <f>'1. Accomodation'!O260</f>
        <v>657</v>
      </c>
      <c r="G265" s="341">
        <v>15960</v>
      </c>
      <c r="H265" s="273">
        <f>IFERROR(INDEX('4. Valuation'!$C$10:$I$17,MATCH($D265,'4. Valuation'!$C$10:$C$17,0),MATCH($H$25,'4. Valuation'!$C$10:$I$10,0)),0)</f>
        <v>1166</v>
      </c>
      <c r="I265" s="359">
        <f>IFERROR(INDEX('4. Valuation'!$C$10:$I$17,MATCH($D265,'4. Valuation'!$C$10:$C$17,0),MATCH($I$25,'4. Valuation'!$C$10:$I$10,0)),0)</f>
        <v>21.448728269247237</v>
      </c>
      <c r="J265" s="277"/>
      <c r="K265" s="312">
        <f t="shared" si="59"/>
        <v>13992</v>
      </c>
      <c r="L265" s="312">
        <f t="shared" si="60"/>
        <v>1166</v>
      </c>
      <c r="M265" s="359">
        <f t="shared" si="61"/>
        <v>21.296803652968038</v>
      </c>
      <c r="N265" s="278"/>
      <c r="O265" s="278"/>
      <c r="P265" s="278"/>
      <c r="Q265" s="278"/>
      <c r="R265" s="312">
        <f>IFERROR(INDEX('4. Valuation'!$O$10:$X$17,MATCH($D265,'4. Valuation'!$O$10:$O$17,0),MATCH($R$25,'4. Valuation'!$O$10:$X$10,0)),0)</f>
        <v>0</v>
      </c>
      <c r="S265" s="312">
        <f>IFERROR(INDEX('4. Valuation'!$O$10:$X$17,MATCH($D265,'4. Valuation'!$O$10:$O$17,0),MATCH($S$25,'4. Valuation'!$O$10:$X$10,0)),0)</f>
        <v>0</v>
      </c>
      <c r="T265" s="312">
        <f>IFERROR(INDEX('4. Valuation'!$O$10:$X$17,MATCH($D265,'4. Valuation'!$O$10:$O$17,0),MATCH($T$25,'4. Valuation'!$O$10:$X$10,0)),0)</f>
        <v>0</v>
      </c>
      <c r="U265" s="278"/>
      <c r="V265" s="312">
        <f t="shared" si="62"/>
        <v>0</v>
      </c>
      <c r="W265" s="312">
        <f t="shared" si="63"/>
        <v>0</v>
      </c>
      <c r="X265" s="312">
        <f t="shared" si="64"/>
        <v>0</v>
      </c>
      <c r="Y265" s="278"/>
      <c r="Z265" s="312">
        <f t="shared" si="65"/>
        <v>15540</v>
      </c>
      <c r="AA265" s="312">
        <f>'3. GRI Pricing'!Y256</f>
        <v>1295</v>
      </c>
      <c r="AB265" s="359">
        <f t="shared" si="66"/>
        <v>23.652968036529682</v>
      </c>
    </row>
    <row r="266" spans="3:28" s="30" customFormat="1" ht="12" x14ac:dyDescent="0.2">
      <c r="C266" s="77" t="str">
        <f>'1. Accomodation'!N261</f>
        <v>504W</v>
      </c>
      <c r="D266" s="77" t="str">
        <f>'1. Accomodation'!P261</f>
        <v>2 Bed</v>
      </c>
      <c r="E266" s="77">
        <f>'1. Accomodation'!O261</f>
        <v>657</v>
      </c>
      <c r="G266" s="341">
        <v>15180</v>
      </c>
      <c r="H266" s="273">
        <f>IFERROR(INDEX('4. Valuation'!$C$10:$I$17,MATCH($D266,'4. Valuation'!$C$10:$C$17,0),MATCH($H$25,'4. Valuation'!$C$10:$I$10,0)),0)</f>
        <v>1166</v>
      </c>
      <c r="I266" s="359">
        <f>IFERROR(INDEX('4. Valuation'!$C$10:$I$17,MATCH($D266,'4. Valuation'!$C$10:$C$17,0),MATCH($I$25,'4. Valuation'!$C$10:$I$10,0)),0)</f>
        <v>21.448728269247237</v>
      </c>
      <c r="J266" s="277"/>
      <c r="K266" s="312">
        <f t="shared" si="59"/>
        <v>13992</v>
      </c>
      <c r="L266" s="312">
        <f t="shared" si="60"/>
        <v>1166</v>
      </c>
      <c r="M266" s="359">
        <f t="shared" si="61"/>
        <v>21.296803652968038</v>
      </c>
      <c r="N266" s="278"/>
      <c r="O266" s="278"/>
      <c r="P266" s="278"/>
      <c r="Q266" s="278"/>
      <c r="R266" s="312">
        <f>IFERROR(INDEX('4. Valuation'!$O$10:$X$17,MATCH($D266,'4. Valuation'!$O$10:$O$17,0),MATCH($R$25,'4. Valuation'!$O$10:$X$10,0)),0)</f>
        <v>0</v>
      </c>
      <c r="S266" s="312">
        <f>IFERROR(INDEX('4. Valuation'!$O$10:$X$17,MATCH($D266,'4. Valuation'!$O$10:$O$17,0),MATCH($S$25,'4. Valuation'!$O$10:$X$10,0)),0)</f>
        <v>0</v>
      </c>
      <c r="T266" s="312">
        <f>IFERROR(INDEX('4. Valuation'!$O$10:$X$17,MATCH($D266,'4. Valuation'!$O$10:$O$17,0),MATCH($T$25,'4. Valuation'!$O$10:$X$10,0)),0)</f>
        <v>0</v>
      </c>
      <c r="U266" s="278"/>
      <c r="V266" s="312">
        <f t="shared" si="62"/>
        <v>0</v>
      </c>
      <c r="W266" s="312">
        <f t="shared" si="63"/>
        <v>0</v>
      </c>
      <c r="X266" s="312">
        <f t="shared" si="64"/>
        <v>0</v>
      </c>
      <c r="Y266" s="278"/>
      <c r="Z266" s="312">
        <f t="shared" si="65"/>
        <v>15480</v>
      </c>
      <c r="AA266" s="312">
        <f>'3. GRI Pricing'!Y257</f>
        <v>1290</v>
      </c>
      <c r="AB266" s="359">
        <f t="shared" si="66"/>
        <v>23.561643835616437</v>
      </c>
    </row>
    <row r="267" spans="3:28" s="30" customFormat="1" ht="12" x14ac:dyDescent="0.2">
      <c r="C267" s="77" t="str">
        <f>'1. Accomodation'!N262</f>
        <v>505W</v>
      </c>
      <c r="D267" s="77" t="str">
        <f>'1. Accomodation'!P262</f>
        <v>2 Bed</v>
      </c>
      <c r="E267" s="77">
        <f>'1. Accomodation'!O262</f>
        <v>678</v>
      </c>
      <c r="G267" s="341">
        <v>16200</v>
      </c>
      <c r="H267" s="273">
        <f>IFERROR(INDEX('4. Valuation'!$C$10:$I$17,MATCH($D267,'4. Valuation'!$C$10:$C$17,0),MATCH($H$25,'4. Valuation'!$C$10:$I$10,0)),0)</f>
        <v>1166</v>
      </c>
      <c r="I267" s="359">
        <f>IFERROR(INDEX('4. Valuation'!$C$10:$I$17,MATCH($D267,'4. Valuation'!$C$10:$C$17,0),MATCH($I$25,'4. Valuation'!$C$10:$I$10,0)),0)</f>
        <v>21.448728269247237</v>
      </c>
      <c r="J267" s="277"/>
      <c r="K267" s="312">
        <f t="shared" si="59"/>
        <v>13992</v>
      </c>
      <c r="L267" s="312">
        <f t="shared" si="60"/>
        <v>1166</v>
      </c>
      <c r="M267" s="359">
        <f t="shared" si="61"/>
        <v>20.63716814159292</v>
      </c>
      <c r="N267" s="278"/>
      <c r="O267" s="278"/>
      <c r="P267" s="278"/>
      <c r="Q267" s="278"/>
      <c r="R267" s="312">
        <f>IFERROR(INDEX('4. Valuation'!$O$10:$X$17,MATCH($D267,'4. Valuation'!$O$10:$O$17,0),MATCH($R$25,'4. Valuation'!$O$10:$X$10,0)),0)</f>
        <v>0</v>
      </c>
      <c r="S267" s="312">
        <f>IFERROR(INDEX('4. Valuation'!$O$10:$X$17,MATCH($D267,'4. Valuation'!$O$10:$O$17,0),MATCH($S$25,'4. Valuation'!$O$10:$X$10,0)),0)</f>
        <v>0</v>
      </c>
      <c r="T267" s="312">
        <f>IFERROR(INDEX('4. Valuation'!$O$10:$X$17,MATCH($D267,'4. Valuation'!$O$10:$O$17,0),MATCH($T$25,'4. Valuation'!$O$10:$X$10,0)),0)</f>
        <v>0</v>
      </c>
      <c r="U267" s="278"/>
      <c r="V267" s="312">
        <f t="shared" si="62"/>
        <v>0</v>
      </c>
      <c r="W267" s="312">
        <f t="shared" si="63"/>
        <v>0</v>
      </c>
      <c r="X267" s="312">
        <f t="shared" si="64"/>
        <v>0</v>
      </c>
      <c r="Y267" s="278"/>
      <c r="Z267" s="312">
        <f t="shared" si="65"/>
        <v>15720</v>
      </c>
      <c r="AA267" s="312">
        <f>'3. GRI Pricing'!Y258</f>
        <v>1310</v>
      </c>
      <c r="AB267" s="359">
        <f t="shared" si="66"/>
        <v>23.185840707964601</v>
      </c>
    </row>
    <row r="268" spans="3:28" s="30" customFormat="1" ht="12" x14ac:dyDescent="0.2">
      <c r="C268" s="77" t="str">
        <f>'1. Accomodation'!N263</f>
        <v>506W</v>
      </c>
      <c r="D268" s="77" t="str">
        <f>'1. Accomodation'!P263</f>
        <v>1 Bed</v>
      </c>
      <c r="E268" s="77">
        <f>'1. Accomodation'!O263</f>
        <v>506</v>
      </c>
      <c r="G268" s="341">
        <v>12060</v>
      </c>
      <c r="H268" s="273">
        <f>IFERROR(INDEX('4. Valuation'!$C$10:$I$17,MATCH($D268,'4. Valuation'!$C$10:$C$17,0),MATCH($H$25,'4. Valuation'!$C$10:$I$10,0)),0)</f>
        <v>867</v>
      </c>
      <c r="I268" s="359">
        <f>IFERROR(INDEX('4. Valuation'!$C$10:$I$17,MATCH($D268,'4. Valuation'!$C$10:$C$17,0),MATCH($I$25,'4. Valuation'!$C$10:$I$10,0)),0)</f>
        <v>20.660726106217222</v>
      </c>
      <c r="J268" s="277"/>
      <c r="K268" s="312">
        <f t="shared" si="59"/>
        <v>10404</v>
      </c>
      <c r="L268" s="312">
        <f t="shared" si="60"/>
        <v>867</v>
      </c>
      <c r="M268" s="359">
        <f t="shared" si="61"/>
        <v>20.561264822134387</v>
      </c>
      <c r="N268" s="278"/>
      <c r="O268" s="278"/>
      <c r="P268" s="278"/>
      <c r="Q268" s="278"/>
      <c r="R268" s="312">
        <f>IFERROR(INDEX('4. Valuation'!$O$10:$X$17,MATCH($D268,'4. Valuation'!$O$10:$O$17,0),MATCH($R$25,'4. Valuation'!$O$10:$X$10,0)),0)</f>
        <v>0</v>
      </c>
      <c r="S268" s="312">
        <f>IFERROR(INDEX('4. Valuation'!$O$10:$X$17,MATCH($D268,'4. Valuation'!$O$10:$O$17,0),MATCH($S$25,'4. Valuation'!$O$10:$X$10,0)),0)</f>
        <v>0</v>
      </c>
      <c r="T268" s="312">
        <f>IFERROR(INDEX('4. Valuation'!$O$10:$X$17,MATCH($D268,'4. Valuation'!$O$10:$O$17,0),MATCH($T$25,'4. Valuation'!$O$10:$X$10,0)),0)</f>
        <v>0</v>
      </c>
      <c r="U268" s="278"/>
      <c r="V268" s="312">
        <f t="shared" si="62"/>
        <v>0</v>
      </c>
      <c r="W268" s="312">
        <f t="shared" si="63"/>
        <v>0</v>
      </c>
      <c r="X268" s="312">
        <f t="shared" si="64"/>
        <v>0</v>
      </c>
      <c r="Y268" s="278"/>
      <c r="Z268" s="312">
        <f t="shared" si="65"/>
        <v>12240</v>
      </c>
      <c r="AA268" s="312">
        <f>'3. GRI Pricing'!Y259</f>
        <v>1020</v>
      </c>
      <c r="AB268" s="359">
        <f t="shared" si="66"/>
        <v>24.189723320158102</v>
      </c>
    </row>
    <row r="269" spans="3:28" s="30" customFormat="1" ht="12" x14ac:dyDescent="0.2">
      <c r="C269" s="77" t="str">
        <f>'1. Accomodation'!N264</f>
        <v>507W</v>
      </c>
      <c r="D269" s="77" t="str">
        <f>'1. Accomodation'!P264</f>
        <v>1 Bed</v>
      </c>
      <c r="E269" s="77">
        <f>'1. Accomodation'!O264</f>
        <v>474</v>
      </c>
      <c r="G269" s="341">
        <v>11340</v>
      </c>
      <c r="H269" s="273">
        <f>IFERROR(INDEX('4. Valuation'!$C$10:$I$17,MATCH($D269,'4. Valuation'!$C$10:$C$17,0),MATCH($H$25,'4. Valuation'!$C$10:$I$10,0)),0)</f>
        <v>867</v>
      </c>
      <c r="I269" s="359">
        <f>IFERROR(INDEX('4. Valuation'!$C$10:$I$17,MATCH($D269,'4. Valuation'!$C$10:$C$17,0),MATCH($I$25,'4. Valuation'!$C$10:$I$10,0)),0)</f>
        <v>20.660726106217222</v>
      </c>
      <c r="J269" s="277"/>
      <c r="K269" s="312">
        <f t="shared" si="59"/>
        <v>10404</v>
      </c>
      <c r="L269" s="312">
        <f t="shared" si="60"/>
        <v>867</v>
      </c>
      <c r="M269" s="359">
        <f t="shared" si="61"/>
        <v>21.949367088607595</v>
      </c>
      <c r="N269" s="278"/>
      <c r="O269" s="278"/>
      <c r="P269" s="278"/>
      <c r="Q269" s="278"/>
      <c r="R269" s="312">
        <f>IFERROR(INDEX('4. Valuation'!$O$10:$X$17,MATCH($D269,'4. Valuation'!$O$10:$O$17,0),MATCH($R$25,'4. Valuation'!$O$10:$X$10,0)),0)</f>
        <v>0</v>
      </c>
      <c r="S269" s="312">
        <f>IFERROR(INDEX('4. Valuation'!$O$10:$X$17,MATCH($D269,'4. Valuation'!$O$10:$O$17,0),MATCH($S$25,'4. Valuation'!$O$10:$X$10,0)),0)</f>
        <v>0</v>
      </c>
      <c r="T269" s="312">
        <f>IFERROR(INDEX('4. Valuation'!$O$10:$X$17,MATCH($D269,'4. Valuation'!$O$10:$O$17,0),MATCH($T$25,'4. Valuation'!$O$10:$X$10,0)),0)</f>
        <v>0</v>
      </c>
      <c r="U269" s="278"/>
      <c r="V269" s="312">
        <f t="shared" si="62"/>
        <v>0</v>
      </c>
      <c r="W269" s="312">
        <f t="shared" si="63"/>
        <v>0</v>
      </c>
      <c r="X269" s="312">
        <f t="shared" si="64"/>
        <v>0</v>
      </c>
      <c r="Y269" s="278"/>
      <c r="Z269" s="312">
        <f t="shared" si="65"/>
        <v>11940</v>
      </c>
      <c r="AA269" s="312">
        <f>'3. GRI Pricing'!Y260</f>
        <v>995</v>
      </c>
      <c r="AB269" s="359">
        <f t="shared" si="66"/>
        <v>25.189873417721518</v>
      </c>
    </row>
    <row r="270" spans="3:28" s="30" customFormat="1" ht="12" x14ac:dyDescent="0.2">
      <c r="C270" s="77" t="str">
        <f>'1. Accomodation'!N265</f>
        <v>508W</v>
      </c>
      <c r="D270" s="77" t="str">
        <f>'1. Accomodation'!P265</f>
        <v>2 Bed</v>
      </c>
      <c r="E270" s="77">
        <f>'1. Accomodation'!O265</f>
        <v>667</v>
      </c>
      <c r="G270" s="341">
        <v>15480</v>
      </c>
      <c r="H270" s="273">
        <f>IFERROR(INDEX('4. Valuation'!$C$10:$I$17,MATCH($D270,'4. Valuation'!$C$10:$C$17,0),MATCH($H$25,'4. Valuation'!$C$10:$I$10,0)),0)</f>
        <v>1166</v>
      </c>
      <c r="I270" s="359">
        <f>IFERROR(INDEX('4. Valuation'!$C$10:$I$17,MATCH($D270,'4. Valuation'!$C$10:$C$17,0),MATCH($I$25,'4. Valuation'!$C$10:$I$10,0)),0)</f>
        <v>21.448728269247237</v>
      </c>
      <c r="J270" s="277"/>
      <c r="K270" s="312">
        <f t="shared" si="59"/>
        <v>13992</v>
      </c>
      <c r="L270" s="312">
        <f t="shared" si="60"/>
        <v>1166</v>
      </c>
      <c r="M270" s="359">
        <f t="shared" si="61"/>
        <v>20.977511244377812</v>
      </c>
      <c r="N270" s="278"/>
      <c r="O270" s="278"/>
      <c r="P270" s="278"/>
      <c r="Q270" s="278"/>
      <c r="R270" s="312">
        <f>IFERROR(INDEX('4. Valuation'!$O$10:$X$17,MATCH($D270,'4. Valuation'!$O$10:$O$17,0),MATCH($R$25,'4. Valuation'!$O$10:$X$10,0)),0)</f>
        <v>0</v>
      </c>
      <c r="S270" s="312">
        <f>IFERROR(INDEX('4. Valuation'!$O$10:$X$17,MATCH($D270,'4. Valuation'!$O$10:$O$17,0),MATCH($S$25,'4. Valuation'!$O$10:$X$10,0)),0)</f>
        <v>0</v>
      </c>
      <c r="T270" s="312">
        <f>IFERROR(INDEX('4. Valuation'!$O$10:$X$17,MATCH($D270,'4. Valuation'!$O$10:$O$17,0),MATCH($T$25,'4. Valuation'!$O$10:$X$10,0)),0)</f>
        <v>0</v>
      </c>
      <c r="U270" s="278"/>
      <c r="V270" s="312">
        <f t="shared" si="62"/>
        <v>0</v>
      </c>
      <c r="W270" s="312">
        <f t="shared" si="63"/>
        <v>0</v>
      </c>
      <c r="X270" s="312">
        <f t="shared" si="64"/>
        <v>0</v>
      </c>
      <c r="Y270" s="278"/>
      <c r="Z270" s="312">
        <f t="shared" si="65"/>
        <v>15660</v>
      </c>
      <c r="AA270" s="312">
        <f>'3. GRI Pricing'!Y261</f>
        <v>1305</v>
      </c>
      <c r="AB270" s="359">
        <f t="shared" si="66"/>
        <v>23.478260869565219</v>
      </c>
    </row>
    <row r="271" spans="3:28" s="30" customFormat="1" ht="12" x14ac:dyDescent="0.2">
      <c r="C271" s="77" t="str">
        <f>'1. Accomodation'!N266</f>
        <v>509W</v>
      </c>
      <c r="D271" s="77" t="str">
        <f>'1. Accomodation'!P266</f>
        <v>2 Bed</v>
      </c>
      <c r="E271" s="77">
        <f>'1. Accomodation'!O266</f>
        <v>657</v>
      </c>
      <c r="G271" s="341">
        <v>15660</v>
      </c>
      <c r="H271" s="273">
        <f>IFERROR(INDEX('4. Valuation'!$C$10:$I$17,MATCH($D271,'4. Valuation'!$C$10:$C$17,0),MATCH($H$25,'4. Valuation'!$C$10:$I$10,0)),0)</f>
        <v>1166</v>
      </c>
      <c r="I271" s="359">
        <f>IFERROR(INDEX('4. Valuation'!$C$10:$I$17,MATCH($D271,'4. Valuation'!$C$10:$C$17,0),MATCH($I$25,'4. Valuation'!$C$10:$I$10,0)),0)</f>
        <v>21.448728269247237</v>
      </c>
      <c r="J271" s="277"/>
      <c r="K271" s="312">
        <f t="shared" si="59"/>
        <v>13992</v>
      </c>
      <c r="L271" s="312">
        <f t="shared" si="60"/>
        <v>1166</v>
      </c>
      <c r="M271" s="359">
        <f t="shared" si="61"/>
        <v>21.296803652968038</v>
      </c>
      <c r="N271" s="278"/>
      <c r="O271" s="278"/>
      <c r="P271" s="278"/>
      <c r="Q271" s="278"/>
      <c r="R271" s="312">
        <f>IFERROR(INDEX('4. Valuation'!$O$10:$X$17,MATCH($D271,'4. Valuation'!$O$10:$O$17,0),MATCH($R$25,'4. Valuation'!$O$10:$X$10,0)),0)</f>
        <v>0</v>
      </c>
      <c r="S271" s="312">
        <f>IFERROR(INDEX('4. Valuation'!$O$10:$X$17,MATCH($D271,'4. Valuation'!$O$10:$O$17,0),MATCH($S$25,'4. Valuation'!$O$10:$X$10,0)),0)</f>
        <v>0</v>
      </c>
      <c r="T271" s="312">
        <f>IFERROR(INDEX('4. Valuation'!$O$10:$X$17,MATCH($D271,'4. Valuation'!$O$10:$O$17,0),MATCH($T$25,'4. Valuation'!$O$10:$X$10,0)),0)</f>
        <v>0</v>
      </c>
      <c r="U271" s="278"/>
      <c r="V271" s="312">
        <f t="shared" si="62"/>
        <v>0</v>
      </c>
      <c r="W271" s="312">
        <f t="shared" si="63"/>
        <v>0</v>
      </c>
      <c r="X271" s="312">
        <f t="shared" si="64"/>
        <v>0</v>
      </c>
      <c r="Y271" s="278"/>
      <c r="Z271" s="312">
        <f t="shared" si="65"/>
        <v>15540</v>
      </c>
      <c r="AA271" s="312">
        <f>'3. GRI Pricing'!Y262</f>
        <v>1295</v>
      </c>
      <c r="AB271" s="359">
        <f t="shared" si="66"/>
        <v>23.652968036529682</v>
      </c>
    </row>
    <row r="272" spans="3:28" s="30" customFormat="1" ht="12" x14ac:dyDescent="0.2">
      <c r="C272" s="77" t="str">
        <f>'1. Accomodation'!N267</f>
        <v>510W</v>
      </c>
      <c r="D272" s="77" t="str">
        <f>'1. Accomodation'!P267</f>
        <v>2 Bed</v>
      </c>
      <c r="E272" s="77">
        <f>'1. Accomodation'!O267</f>
        <v>689</v>
      </c>
      <c r="G272" s="341">
        <v>15540</v>
      </c>
      <c r="H272" s="273">
        <f>IFERROR(INDEX('4. Valuation'!$C$10:$I$17,MATCH($D272,'4. Valuation'!$C$10:$C$17,0),MATCH($H$25,'4. Valuation'!$C$10:$I$10,0)),0)</f>
        <v>1166</v>
      </c>
      <c r="I272" s="359">
        <f>IFERROR(INDEX('4. Valuation'!$C$10:$I$17,MATCH($D272,'4. Valuation'!$C$10:$C$17,0),MATCH($I$25,'4. Valuation'!$C$10:$I$10,0)),0)</f>
        <v>21.448728269247237</v>
      </c>
      <c r="J272" s="277"/>
      <c r="K272" s="312">
        <f t="shared" si="59"/>
        <v>13992</v>
      </c>
      <c r="L272" s="312">
        <f t="shared" si="60"/>
        <v>1166</v>
      </c>
      <c r="M272" s="359">
        <f t="shared" si="61"/>
        <v>20.307692307692307</v>
      </c>
      <c r="N272" s="278"/>
      <c r="O272" s="278"/>
      <c r="P272" s="278"/>
      <c r="Q272" s="278"/>
      <c r="R272" s="312">
        <f>IFERROR(INDEX('4. Valuation'!$O$10:$X$17,MATCH($D272,'4. Valuation'!$O$10:$O$17,0),MATCH($R$25,'4. Valuation'!$O$10:$X$10,0)),0)</f>
        <v>0</v>
      </c>
      <c r="S272" s="312">
        <f>IFERROR(INDEX('4. Valuation'!$O$10:$X$17,MATCH($D272,'4. Valuation'!$O$10:$O$17,0),MATCH($S$25,'4. Valuation'!$O$10:$X$10,0)),0)</f>
        <v>0</v>
      </c>
      <c r="T272" s="312">
        <f>IFERROR(INDEX('4. Valuation'!$O$10:$X$17,MATCH($D272,'4. Valuation'!$O$10:$O$17,0),MATCH($T$25,'4. Valuation'!$O$10:$X$10,0)),0)</f>
        <v>0</v>
      </c>
      <c r="U272" s="278"/>
      <c r="V272" s="312">
        <f t="shared" si="62"/>
        <v>0</v>
      </c>
      <c r="W272" s="312">
        <f t="shared" si="63"/>
        <v>0</v>
      </c>
      <c r="X272" s="312">
        <f t="shared" si="64"/>
        <v>0</v>
      </c>
      <c r="Y272" s="278"/>
      <c r="Z272" s="312">
        <f t="shared" si="65"/>
        <v>15780</v>
      </c>
      <c r="AA272" s="312">
        <f>'3. GRI Pricing'!Y263</f>
        <v>1315</v>
      </c>
      <c r="AB272" s="359">
        <f t="shared" si="66"/>
        <v>22.90275761973875</v>
      </c>
    </row>
    <row r="273" spans="3:28" s="30" customFormat="1" ht="12" x14ac:dyDescent="0.2">
      <c r="C273" s="77" t="str">
        <f>'1. Accomodation'!N268</f>
        <v>511W</v>
      </c>
      <c r="D273" s="77" t="str">
        <f>'1. Accomodation'!P268</f>
        <v>2 Bed</v>
      </c>
      <c r="E273" s="77">
        <f>'1. Accomodation'!O268</f>
        <v>667</v>
      </c>
      <c r="G273" s="341">
        <v>14640</v>
      </c>
      <c r="H273" s="273">
        <f>IFERROR(INDEX('4. Valuation'!$C$10:$I$17,MATCH($D273,'4. Valuation'!$C$10:$C$17,0),MATCH($H$25,'4. Valuation'!$C$10:$I$10,0)),0)</f>
        <v>1166</v>
      </c>
      <c r="I273" s="359">
        <f>IFERROR(INDEX('4. Valuation'!$C$10:$I$17,MATCH($D273,'4. Valuation'!$C$10:$C$17,0),MATCH($I$25,'4. Valuation'!$C$10:$I$10,0)),0)</f>
        <v>21.448728269247237</v>
      </c>
      <c r="J273" s="277"/>
      <c r="K273" s="312">
        <f t="shared" si="59"/>
        <v>13992</v>
      </c>
      <c r="L273" s="312">
        <f t="shared" si="60"/>
        <v>1166</v>
      </c>
      <c r="M273" s="359">
        <f t="shared" si="61"/>
        <v>20.977511244377812</v>
      </c>
      <c r="N273" s="278"/>
      <c r="O273" s="278"/>
      <c r="P273" s="278"/>
      <c r="Q273" s="278"/>
      <c r="R273" s="312">
        <f>IFERROR(INDEX('4. Valuation'!$O$10:$X$17,MATCH($D273,'4. Valuation'!$O$10:$O$17,0),MATCH($R$25,'4. Valuation'!$O$10:$X$10,0)),0)</f>
        <v>0</v>
      </c>
      <c r="S273" s="312">
        <f>IFERROR(INDEX('4. Valuation'!$O$10:$X$17,MATCH($D273,'4. Valuation'!$O$10:$O$17,0),MATCH($S$25,'4. Valuation'!$O$10:$X$10,0)),0)</f>
        <v>0</v>
      </c>
      <c r="T273" s="312">
        <f>IFERROR(INDEX('4. Valuation'!$O$10:$X$17,MATCH($D273,'4. Valuation'!$O$10:$O$17,0),MATCH($T$25,'4. Valuation'!$O$10:$X$10,0)),0)</f>
        <v>0</v>
      </c>
      <c r="U273" s="278"/>
      <c r="V273" s="312">
        <f t="shared" si="62"/>
        <v>0</v>
      </c>
      <c r="W273" s="312">
        <f t="shared" si="63"/>
        <v>0</v>
      </c>
      <c r="X273" s="312">
        <f t="shared" si="64"/>
        <v>0</v>
      </c>
      <c r="Y273" s="278"/>
      <c r="Z273" s="312">
        <f t="shared" si="65"/>
        <v>15660</v>
      </c>
      <c r="AA273" s="312">
        <f>'3. GRI Pricing'!Y264</f>
        <v>1305</v>
      </c>
      <c r="AB273" s="359">
        <f t="shared" si="66"/>
        <v>23.478260869565219</v>
      </c>
    </row>
    <row r="274" spans="3:28" s="30" customFormat="1" ht="12" x14ac:dyDescent="0.2">
      <c r="C274" s="77" t="str">
        <f>'1. Accomodation'!N269</f>
        <v>512W</v>
      </c>
      <c r="D274" s="77" t="str">
        <f>'1. Accomodation'!P269</f>
        <v>1 Bed</v>
      </c>
      <c r="E274" s="77">
        <f>'1. Accomodation'!O269</f>
        <v>527</v>
      </c>
      <c r="G274" s="341">
        <v>11760</v>
      </c>
      <c r="H274" s="273">
        <f>IFERROR(INDEX('4. Valuation'!$C$10:$I$17,MATCH($D274,'4. Valuation'!$C$10:$C$17,0),MATCH($H$25,'4. Valuation'!$C$10:$I$10,0)),0)</f>
        <v>867</v>
      </c>
      <c r="I274" s="359">
        <f>IFERROR(INDEX('4. Valuation'!$C$10:$I$17,MATCH($D274,'4. Valuation'!$C$10:$C$17,0),MATCH($I$25,'4. Valuation'!$C$10:$I$10,0)),0)</f>
        <v>20.660726106217222</v>
      </c>
      <c r="J274" s="277"/>
      <c r="K274" s="312">
        <f t="shared" si="59"/>
        <v>10404</v>
      </c>
      <c r="L274" s="312">
        <f t="shared" si="60"/>
        <v>867</v>
      </c>
      <c r="M274" s="359">
        <f t="shared" si="61"/>
        <v>19.741935483870968</v>
      </c>
      <c r="N274" s="278"/>
      <c r="O274" s="278"/>
      <c r="P274" s="278"/>
      <c r="Q274" s="278"/>
      <c r="R274" s="312">
        <f>IFERROR(INDEX('4. Valuation'!$O$10:$X$17,MATCH($D274,'4. Valuation'!$O$10:$O$17,0),MATCH($R$25,'4. Valuation'!$O$10:$X$10,0)),0)</f>
        <v>0</v>
      </c>
      <c r="S274" s="312">
        <f>IFERROR(INDEX('4. Valuation'!$O$10:$X$17,MATCH($D274,'4. Valuation'!$O$10:$O$17,0),MATCH($S$25,'4. Valuation'!$O$10:$X$10,0)),0)</f>
        <v>0</v>
      </c>
      <c r="T274" s="312">
        <f>IFERROR(INDEX('4. Valuation'!$O$10:$X$17,MATCH($D274,'4. Valuation'!$O$10:$O$17,0),MATCH($T$25,'4. Valuation'!$O$10:$X$10,0)),0)</f>
        <v>0</v>
      </c>
      <c r="U274" s="278"/>
      <c r="V274" s="312">
        <f t="shared" si="62"/>
        <v>0</v>
      </c>
      <c r="W274" s="312">
        <f t="shared" si="63"/>
        <v>0</v>
      </c>
      <c r="X274" s="312">
        <f t="shared" si="64"/>
        <v>0</v>
      </c>
      <c r="Y274" s="278"/>
      <c r="Z274" s="312">
        <f t="shared" si="65"/>
        <v>12300</v>
      </c>
      <c r="AA274" s="312">
        <f>'3. GRI Pricing'!Y265</f>
        <v>1025</v>
      </c>
      <c r="AB274" s="359">
        <f t="shared" si="66"/>
        <v>23.339658444022771</v>
      </c>
    </row>
    <row r="275" spans="3:28" s="30" customFormat="1" ht="12" x14ac:dyDescent="0.2">
      <c r="C275" s="77" t="str">
        <f>'1. Accomodation'!N270</f>
        <v>513W</v>
      </c>
      <c r="D275" s="77" t="str">
        <f>'1. Accomodation'!P270</f>
        <v>3 Bed</v>
      </c>
      <c r="E275" s="77">
        <f>'1. Accomodation'!O270</f>
        <v>840</v>
      </c>
      <c r="G275" s="341">
        <v>19440</v>
      </c>
      <c r="H275" s="273">
        <f>IFERROR(INDEX('4. Valuation'!$C$10:$I$17,MATCH($D275,'4. Valuation'!$C$10:$C$17,0),MATCH($H$25,'4. Valuation'!$C$10:$I$10,0)),0)</f>
        <v>1511</v>
      </c>
      <c r="I275" s="359">
        <f>IFERROR(INDEX('4. Valuation'!$C$10:$I$17,MATCH($D275,'4. Valuation'!$C$10:$C$17,0),MATCH($I$25,'4. Valuation'!$C$10:$I$10,0)),0)</f>
        <v>22.026444890903143</v>
      </c>
      <c r="J275" s="277"/>
      <c r="K275" s="312">
        <f t="shared" si="59"/>
        <v>18132</v>
      </c>
      <c r="L275" s="312">
        <f t="shared" si="60"/>
        <v>1511</v>
      </c>
      <c r="M275" s="359">
        <f t="shared" si="61"/>
        <v>21.585714285714285</v>
      </c>
      <c r="N275" s="278"/>
      <c r="O275" s="278"/>
      <c r="P275" s="278"/>
      <c r="Q275" s="278"/>
      <c r="R275" s="312">
        <f>IFERROR(INDEX('4. Valuation'!$O$10:$X$17,MATCH($D275,'4. Valuation'!$O$10:$O$17,0),MATCH($R$25,'4. Valuation'!$O$10:$X$10,0)),0)</f>
        <v>0</v>
      </c>
      <c r="S275" s="312">
        <f>IFERROR(INDEX('4. Valuation'!$O$10:$X$17,MATCH($D275,'4. Valuation'!$O$10:$O$17,0),MATCH($S$25,'4. Valuation'!$O$10:$X$10,0)),0)</f>
        <v>0</v>
      </c>
      <c r="T275" s="312">
        <f>IFERROR(INDEX('4. Valuation'!$O$10:$X$17,MATCH($D275,'4. Valuation'!$O$10:$O$17,0),MATCH($T$25,'4. Valuation'!$O$10:$X$10,0)),0)</f>
        <v>0</v>
      </c>
      <c r="U275" s="278"/>
      <c r="V275" s="312">
        <f t="shared" si="62"/>
        <v>0</v>
      </c>
      <c r="W275" s="312">
        <f t="shared" si="63"/>
        <v>0</v>
      </c>
      <c r="X275" s="312">
        <f t="shared" si="64"/>
        <v>0</v>
      </c>
      <c r="Y275" s="278"/>
      <c r="Z275" s="312">
        <f t="shared" si="65"/>
        <v>20580</v>
      </c>
      <c r="AA275" s="312">
        <f>'3. GRI Pricing'!Y266</f>
        <v>1715</v>
      </c>
      <c r="AB275" s="359">
        <f t="shared" si="66"/>
        <v>24.5</v>
      </c>
    </row>
    <row r="276" spans="3:28" s="30" customFormat="1" ht="12" x14ac:dyDescent="0.2">
      <c r="C276" s="77" t="str">
        <f>'1. Accomodation'!N271</f>
        <v>514W</v>
      </c>
      <c r="D276" s="77" t="str">
        <f>'1. Accomodation'!P271</f>
        <v>2 Bed</v>
      </c>
      <c r="E276" s="77">
        <f>'1. Accomodation'!O271</f>
        <v>624</v>
      </c>
      <c r="G276" s="341">
        <v>15120</v>
      </c>
      <c r="H276" s="273">
        <f>IFERROR(INDEX('4. Valuation'!$C$10:$I$17,MATCH($D276,'4. Valuation'!$C$10:$C$17,0),MATCH($H$25,'4. Valuation'!$C$10:$I$10,0)),0)</f>
        <v>1166</v>
      </c>
      <c r="I276" s="359">
        <f>IFERROR(INDEX('4. Valuation'!$C$10:$I$17,MATCH($D276,'4. Valuation'!$C$10:$C$17,0),MATCH($I$25,'4. Valuation'!$C$10:$I$10,0)),0)</f>
        <v>21.448728269247237</v>
      </c>
      <c r="J276" s="277"/>
      <c r="K276" s="312">
        <f t="shared" si="59"/>
        <v>13992</v>
      </c>
      <c r="L276" s="312">
        <f t="shared" si="60"/>
        <v>1166</v>
      </c>
      <c r="M276" s="359">
        <f t="shared" si="61"/>
        <v>22.423076923076923</v>
      </c>
      <c r="N276" s="278"/>
      <c r="O276" s="278"/>
      <c r="P276" s="278"/>
      <c r="Q276" s="278"/>
      <c r="R276" s="312">
        <f>IFERROR(INDEX('4. Valuation'!$O$10:$X$17,MATCH($D276,'4. Valuation'!$O$10:$O$17,0),MATCH($R$25,'4. Valuation'!$O$10:$X$10,0)),0)</f>
        <v>0</v>
      </c>
      <c r="S276" s="312">
        <f>IFERROR(INDEX('4. Valuation'!$O$10:$X$17,MATCH($D276,'4. Valuation'!$O$10:$O$17,0),MATCH($S$25,'4. Valuation'!$O$10:$X$10,0)),0)</f>
        <v>0</v>
      </c>
      <c r="T276" s="312">
        <f>IFERROR(INDEX('4. Valuation'!$O$10:$X$17,MATCH($D276,'4. Valuation'!$O$10:$O$17,0),MATCH($T$25,'4. Valuation'!$O$10:$X$10,0)),0)</f>
        <v>0</v>
      </c>
      <c r="U276" s="278"/>
      <c r="V276" s="312">
        <f t="shared" si="62"/>
        <v>0</v>
      </c>
      <c r="W276" s="312">
        <f t="shared" si="63"/>
        <v>0</v>
      </c>
      <c r="X276" s="312">
        <f t="shared" si="64"/>
        <v>0</v>
      </c>
      <c r="Y276" s="278"/>
      <c r="Z276" s="312">
        <f t="shared" si="65"/>
        <v>15360</v>
      </c>
      <c r="AA276" s="312">
        <f>'3. GRI Pricing'!Y267</f>
        <v>1280</v>
      </c>
      <c r="AB276" s="359">
        <f t="shared" si="66"/>
        <v>24.615384615384617</v>
      </c>
    </row>
    <row r="277" spans="3:28" s="30" customFormat="1" ht="12" x14ac:dyDescent="0.2">
      <c r="C277" s="77" t="str">
        <f>'1. Accomodation'!N272</f>
        <v>601W</v>
      </c>
      <c r="D277" s="77" t="str">
        <f>'1. Accomodation'!P272</f>
        <v>2 Bed</v>
      </c>
      <c r="E277" s="77">
        <f>'1. Accomodation'!O272</f>
        <v>689</v>
      </c>
      <c r="G277" s="341">
        <v>15720</v>
      </c>
      <c r="H277" s="273">
        <f>IFERROR(INDEX('4. Valuation'!$C$10:$I$17,MATCH($D277,'4. Valuation'!$C$10:$C$17,0),MATCH($H$25,'4. Valuation'!$C$10:$I$10,0)),0)</f>
        <v>1166</v>
      </c>
      <c r="I277" s="359">
        <f>IFERROR(INDEX('4. Valuation'!$C$10:$I$17,MATCH($D277,'4. Valuation'!$C$10:$C$17,0),MATCH($I$25,'4. Valuation'!$C$10:$I$10,0)),0)</f>
        <v>21.448728269247237</v>
      </c>
      <c r="J277" s="277"/>
      <c r="K277" s="312">
        <f t="shared" si="59"/>
        <v>13992</v>
      </c>
      <c r="L277" s="312">
        <f t="shared" si="60"/>
        <v>1166</v>
      </c>
      <c r="M277" s="359">
        <f t="shared" si="61"/>
        <v>20.307692307692307</v>
      </c>
      <c r="N277" s="278"/>
      <c r="O277" s="278"/>
      <c r="P277" s="278"/>
      <c r="Q277" s="278"/>
      <c r="R277" s="312">
        <f>IFERROR(INDEX('4. Valuation'!$O$10:$X$17,MATCH($D277,'4. Valuation'!$O$10:$O$17,0),MATCH($R$25,'4. Valuation'!$O$10:$X$10,0)),0)</f>
        <v>0</v>
      </c>
      <c r="S277" s="312">
        <f>IFERROR(INDEX('4. Valuation'!$O$10:$X$17,MATCH($D277,'4. Valuation'!$O$10:$O$17,0),MATCH($S$25,'4. Valuation'!$O$10:$X$10,0)),0)</f>
        <v>0</v>
      </c>
      <c r="T277" s="312">
        <f>IFERROR(INDEX('4. Valuation'!$O$10:$X$17,MATCH($D277,'4. Valuation'!$O$10:$O$17,0),MATCH($T$25,'4. Valuation'!$O$10:$X$10,0)),0)</f>
        <v>0</v>
      </c>
      <c r="U277" s="278"/>
      <c r="V277" s="312">
        <f t="shared" si="62"/>
        <v>0</v>
      </c>
      <c r="W277" s="312">
        <f t="shared" si="63"/>
        <v>0</v>
      </c>
      <c r="X277" s="312">
        <f t="shared" si="64"/>
        <v>0</v>
      </c>
      <c r="Y277" s="278"/>
      <c r="Z277" s="312">
        <f t="shared" si="65"/>
        <v>16020</v>
      </c>
      <c r="AA277" s="312">
        <f>'3. GRI Pricing'!Y268</f>
        <v>1335</v>
      </c>
      <c r="AB277" s="359">
        <f t="shared" si="66"/>
        <v>23.251088534107403</v>
      </c>
    </row>
    <row r="278" spans="3:28" s="30" customFormat="1" ht="12" x14ac:dyDescent="0.2">
      <c r="C278" s="77" t="str">
        <f>'1. Accomodation'!N273</f>
        <v>602W</v>
      </c>
      <c r="D278" s="77" t="str">
        <f>'1. Accomodation'!P273</f>
        <v>1 Bed</v>
      </c>
      <c r="E278" s="77">
        <f>'1. Accomodation'!O273</f>
        <v>495</v>
      </c>
      <c r="G278" s="341">
        <v>12420</v>
      </c>
      <c r="H278" s="273">
        <f>IFERROR(INDEX('4. Valuation'!$C$10:$I$17,MATCH($D278,'4. Valuation'!$C$10:$C$17,0),MATCH($H$25,'4. Valuation'!$C$10:$I$10,0)),0)</f>
        <v>867</v>
      </c>
      <c r="I278" s="359">
        <f>IFERROR(INDEX('4. Valuation'!$C$10:$I$17,MATCH($D278,'4. Valuation'!$C$10:$C$17,0),MATCH($I$25,'4. Valuation'!$C$10:$I$10,0)),0)</f>
        <v>20.660726106217222</v>
      </c>
      <c r="J278" s="277"/>
      <c r="K278" s="312">
        <f t="shared" si="59"/>
        <v>10404</v>
      </c>
      <c r="L278" s="312">
        <f t="shared" si="60"/>
        <v>867</v>
      </c>
      <c r="M278" s="359">
        <f t="shared" si="61"/>
        <v>21.018181818181819</v>
      </c>
      <c r="N278" s="278"/>
      <c r="O278" s="278"/>
      <c r="P278" s="278"/>
      <c r="Q278" s="278"/>
      <c r="R278" s="312">
        <f>IFERROR(INDEX('4. Valuation'!$O$10:$X$17,MATCH($D278,'4. Valuation'!$O$10:$O$17,0),MATCH($R$25,'4. Valuation'!$O$10:$X$10,0)),0)</f>
        <v>0</v>
      </c>
      <c r="S278" s="312">
        <f>IFERROR(INDEX('4. Valuation'!$O$10:$X$17,MATCH($D278,'4. Valuation'!$O$10:$O$17,0),MATCH($S$25,'4. Valuation'!$O$10:$X$10,0)),0)</f>
        <v>0</v>
      </c>
      <c r="T278" s="312">
        <f>IFERROR(INDEX('4. Valuation'!$O$10:$X$17,MATCH($D278,'4. Valuation'!$O$10:$O$17,0),MATCH($T$25,'4. Valuation'!$O$10:$X$10,0)),0)</f>
        <v>0</v>
      </c>
      <c r="U278" s="278"/>
      <c r="V278" s="312">
        <f t="shared" si="62"/>
        <v>0</v>
      </c>
      <c r="W278" s="312">
        <f t="shared" si="63"/>
        <v>0</v>
      </c>
      <c r="X278" s="312">
        <f t="shared" si="64"/>
        <v>0</v>
      </c>
      <c r="Y278" s="278"/>
      <c r="Z278" s="312">
        <f t="shared" si="65"/>
        <v>12420</v>
      </c>
      <c r="AA278" s="312">
        <f>'3. GRI Pricing'!Y269</f>
        <v>1035</v>
      </c>
      <c r="AB278" s="359">
        <f t="shared" si="66"/>
        <v>25.09090909090909</v>
      </c>
    </row>
    <row r="279" spans="3:28" s="30" customFormat="1" ht="12" x14ac:dyDescent="0.2">
      <c r="C279" s="77" t="str">
        <f>'1. Accomodation'!N274</f>
        <v>603W</v>
      </c>
      <c r="D279" s="77" t="str">
        <f>'1. Accomodation'!P274</f>
        <v>2 Bed</v>
      </c>
      <c r="E279" s="77">
        <f>'1. Accomodation'!O274</f>
        <v>657</v>
      </c>
      <c r="G279" s="341">
        <v>15780</v>
      </c>
      <c r="H279" s="273">
        <f>IFERROR(INDEX('4. Valuation'!$C$10:$I$17,MATCH($D279,'4. Valuation'!$C$10:$C$17,0),MATCH($H$25,'4. Valuation'!$C$10:$I$10,0)),0)</f>
        <v>1166</v>
      </c>
      <c r="I279" s="359">
        <f>IFERROR(INDEX('4. Valuation'!$C$10:$I$17,MATCH($D279,'4. Valuation'!$C$10:$C$17,0),MATCH($I$25,'4. Valuation'!$C$10:$I$10,0)),0)</f>
        <v>21.448728269247237</v>
      </c>
      <c r="J279" s="277"/>
      <c r="K279" s="312">
        <f t="shared" si="59"/>
        <v>13992</v>
      </c>
      <c r="L279" s="312">
        <f t="shared" si="60"/>
        <v>1166</v>
      </c>
      <c r="M279" s="359">
        <f t="shared" si="61"/>
        <v>21.296803652968038</v>
      </c>
      <c r="N279" s="278"/>
      <c r="O279" s="278"/>
      <c r="P279" s="278"/>
      <c r="Q279" s="278"/>
      <c r="R279" s="312">
        <f>IFERROR(INDEX('4. Valuation'!$O$10:$X$17,MATCH($D279,'4. Valuation'!$O$10:$O$17,0),MATCH($R$25,'4. Valuation'!$O$10:$X$10,0)),0)</f>
        <v>0</v>
      </c>
      <c r="S279" s="312">
        <f>IFERROR(INDEX('4. Valuation'!$O$10:$X$17,MATCH($D279,'4. Valuation'!$O$10:$O$17,0),MATCH($S$25,'4. Valuation'!$O$10:$X$10,0)),0)</f>
        <v>0</v>
      </c>
      <c r="T279" s="312">
        <f>IFERROR(INDEX('4. Valuation'!$O$10:$X$17,MATCH($D279,'4. Valuation'!$O$10:$O$17,0),MATCH($T$25,'4. Valuation'!$O$10:$X$10,0)),0)</f>
        <v>0</v>
      </c>
      <c r="U279" s="278"/>
      <c r="V279" s="312">
        <f t="shared" si="62"/>
        <v>0</v>
      </c>
      <c r="W279" s="312">
        <f t="shared" si="63"/>
        <v>0</v>
      </c>
      <c r="X279" s="312">
        <f t="shared" si="64"/>
        <v>0</v>
      </c>
      <c r="Y279" s="278"/>
      <c r="Z279" s="312">
        <f t="shared" si="65"/>
        <v>15660</v>
      </c>
      <c r="AA279" s="312">
        <f>'3. GRI Pricing'!Y270</f>
        <v>1305</v>
      </c>
      <c r="AB279" s="359">
        <f t="shared" si="66"/>
        <v>23.835616438356166</v>
      </c>
    </row>
    <row r="280" spans="3:28" s="30" customFormat="1" ht="12" x14ac:dyDescent="0.2">
      <c r="C280" s="77" t="str">
        <f>'1. Accomodation'!N275</f>
        <v>604W</v>
      </c>
      <c r="D280" s="77" t="str">
        <f>'1. Accomodation'!P275</f>
        <v>2 Bed</v>
      </c>
      <c r="E280" s="77">
        <f>'1. Accomodation'!O275</f>
        <v>657</v>
      </c>
      <c r="G280" s="341">
        <v>14820</v>
      </c>
      <c r="H280" s="273">
        <f>IFERROR(INDEX('4. Valuation'!$C$10:$I$17,MATCH($D280,'4. Valuation'!$C$10:$C$17,0),MATCH($H$25,'4. Valuation'!$C$10:$I$10,0)),0)</f>
        <v>1166</v>
      </c>
      <c r="I280" s="359">
        <f>IFERROR(INDEX('4. Valuation'!$C$10:$I$17,MATCH($D280,'4. Valuation'!$C$10:$C$17,0),MATCH($I$25,'4. Valuation'!$C$10:$I$10,0)),0)</f>
        <v>21.448728269247237</v>
      </c>
      <c r="J280" s="277"/>
      <c r="K280" s="312">
        <f t="shared" si="59"/>
        <v>13992</v>
      </c>
      <c r="L280" s="312">
        <f t="shared" si="60"/>
        <v>1166</v>
      </c>
      <c r="M280" s="359">
        <f t="shared" si="61"/>
        <v>21.296803652968038</v>
      </c>
      <c r="N280" s="278"/>
      <c r="O280" s="278"/>
      <c r="P280" s="278"/>
      <c r="Q280" s="278"/>
      <c r="R280" s="312">
        <f>IFERROR(INDEX('4. Valuation'!$O$10:$X$17,MATCH($D280,'4. Valuation'!$O$10:$O$17,0),MATCH($R$25,'4. Valuation'!$O$10:$X$10,0)),0)</f>
        <v>0</v>
      </c>
      <c r="S280" s="312">
        <f>IFERROR(INDEX('4. Valuation'!$O$10:$X$17,MATCH($D280,'4. Valuation'!$O$10:$O$17,0),MATCH($S$25,'4. Valuation'!$O$10:$X$10,0)),0)</f>
        <v>0</v>
      </c>
      <c r="T280" s="312">
        <f>IFERROR(INDEX('4. Valuation'!$O$10:$X$17,MATCH($D280,'4. Valuation'!$O$10:$O$17,0),MATCH($T$25,'4. Valuation'!$O$10:$X$10,0)),0)</f>
        <v>0</v>
      </c>
      <c r="U280" s="278"/>
      <c r="V280" s="312">
        <f t="shared" si="62"/>
        <v>0</v>
      </c>
      <c r="W280" s="312">
        <f t="shared" si="63"/>
        <v>0</v>
      </c>
      <c r="X280" s="312">
        <f t="shared" si="64"/>
        <v>0</v>
      </c>
      <c r="Y280" s="278"/>
      <c r="Z280" s="312">
        <f t="shared" si="65"/>
        <v>15720</v>
      </c>
      <c r="AA280" s="312">
        <f>'3. GRI Pricing'!Y271</f>
        <v>1310</v>
      </c>
      <c r="AB280" s="359">
        <f t="shared" si="66"/>
        <v>23.926940639269407</v>
      </c>
    </row>
    <row r="281" spans="3:28" s="30" customFormat="1" ht="12" x14ac:dyDescent="0.2">
      <c r="C281" s="77" t="str">
        <f>'1. Accomodation'!N276</f>
        <v>605W</v>
      </c>
      <c r="D281" s="77" t="str">
        <f>'1. Accomodation'!P276</f>
        <v>2 Bed</v>
      </c>
      <c r="E281" s="77">
        <f>'1. Accomodation'!O276</f>
        <v>678</v>
      </c>
      <c r="G281" s="341">
        <v>16380</v>
      </c>
      <c r="H281" s="273">
        <f>IFERROR(INDEX('4. Valuation'!$C$10:$I$17,MATCH($D281,'4. Valuation'!$C$10:$C$17,0),MATCH($H$25,'4. Valuation'!$C$10:$I$10,0)),0)</f>
        <v>1166</v>
      </c>
      <c r="I281" s="359">
        <f>IFERROR(INDEX('4. Valuation'!$C$10:$I$17,MATCH($D281,'4. Valuation'!$C$10:$C$17,0),MATCH($I$25,'4. Valuation'!$C$10:$I$10,0)),0)</f>
        <v>21.448728269247237</v>
      </c>
      <c r="J281" s="277"/>
      <c r="K281" s="312">
        <f t="shared" si="59"/>
        <v>13992</v>
      </c>
      <c r="L281" s="312">
        <f t="shared" si="60"/>
        <v>1166</v>
      </c>
      <c r="M281" s="359">
        <f t="shared" si="61"/>
        <v>20.63716814159292</v>
      </c>
      <c r="N281" s="278"/>
      <c r="O281" s="278"/>
      <c r="P281" s="278"/>
      <c r="Q281" s="278"/>
      <c r="R281" s="312">
        <f>IFERROR(INDEX('4. Valuation'!$O$10:$X$17,MATCH($D281,'4. Valuation'!$O$10:$O$17,0),MATCH($R$25,'4. Valuation'!$O$10:$X$10,0)),0)</f>
        <v>0</v>
      </c>
      <c r="S281" s="312">
        <f>IFERROR(INDEX('4. Valuation'!$O$10:$X$17,MATCH($D281,'4. Valuation'!$O$10:$O$17,0),MATCH($S$25,'4. Valuation'!$O$10:$X$10,0)),0)</f>
        <v>0</v>
      </c>
      <c r="T281" s="312">
        <f>IFERROR(INDEX('4. Valuation'!$O$10:$X$17,MATCH($D281,'4. Valuation'!$O$10:$O$17,0),MATCH($T$25,'4. Valuation'!$O$10:$X$10,0)),0)</f>
        <v>0</v>
      </c>
      <c r="U281" s="278"/>
      <c r="V281" s="312">
        <f t="shared" si="62"/>
        <v>0</v>
      </c>
      <c r="W281" s="312">
        <f t="shared" si="63"/>
        <v>0</v>
      </c>
      <c r="X281" s="312">
        <f t="shared" si="64"/>
        <v>0</v>
      </c>
      <c r="Y281" s="278"/>
      <c r="Z281" s="312">
        <f t="shared" si="65"/>
        <v>15960</v>
      </c>
      <c r="AA281" s="312">
        <f>'3. GRI Pricing'!Y272</f>
        <v>1330</v>
      </c>
      <c r="AB281" s="359">
        <f t="shared" si="66"/>
        <v>23.539823008849556</v>
      </c>
    </row>
    <row r="282" spans="3:28" s="30" customFormat="1" ht="12" x14ac:dyDescent="0.2">
      <c r="C282" s="77" t="str">
        <f>'1. Accomodation'!N277</f>
        <v>606W</v>
      </c>
      <c r="D282" s="77" t="str">
        <f>'1. Accomodation'!P277</f>
        <v>1 Bed</v>
      </c>
      <c r="E282" s="77">
        <f>'1. Accomodation'!O277</f>
        <v>506</v>
      </c>
      <c r="G282" s="341">
        <v>11580</v>
      </c>
      <c r="H282" s="273">
        <f>IFERROR(INDEX('4. Valuation'!$C$10:$I$17,MATCH($D282,'4. Valuation'!$C$10:$C$17,0),MATCH($H$25,'4. Valuation'!$C$10:$I$10,0)),0)</f>
        <v>867</v>
      </c>
      <c r="I282" s="359">
        <f>IFERROR(INDEX('4. Valuation'!$C$10:$I$17,MATCH($D282,'4. Valuation'!$C$10:$C$17,0),MATCH($I$25,'4. Valuation'!$C$10:$I$10,0)),0)</f>
        <v>20.660726106217222</v>
      </c>
      <c r="J282" s="277"/>
      <c r="K282" s="312">
        <f t="shared" si="59"/>
        <v>10404</v>
      </c>
      <c r="L282" s="312">
        <f t="shared" si="60"/>
        <v>867</v>
      </c>
      <c r="M282" s="359">
        <f t="shared" si="61"/>
        <v>20.561264822134387</v>
      </c>
      <c r="N282" s="278"/>
      <c r="O282" s="278"/>
      <c r="P282" s="278"/>
      <c r="Q282" s="278"/>
      <c r="R282" s="312">
        <f>IFERROR(INDEX('4. Valuation'!$O$10:$X$17,MATCH($D282,'4. Valuation'!$O$10:$O$17,0),MATCH($R$25,'4. Valuation'!$O$10:$X$10,0)),0)</f>
        <v>0</v>
      </c>
      <c r="S282" s="312">
        <f>IFERROR(INDEX('4. Valuation'!$O$10:$X$17,MATCH($D282,'4. Valuation'!$O$10:$O$17,0),MATCH($S$25,'4. Valuation'!$O$10:$X$10,0)),0)</f>
        <v>0</v>
      </c>
      <c r="T282" s="312">
        <f>IFERROR(INDEX('4. Valuation'!$O$10:$X$17,MATCH($D282,'4. Valuation'!$O$10:$O$17,0),MATCH($T$25,'4. Valuation'!$O$10:$X$10,0)),0)</f>
        <v>0</v>
      </c>
      <c r="U282" s="278"/>
      <c r="V282" s="312">
        <f t="shared" si="62"/>
        <v>0</v>
      </c>
      <c r="W282" s="312">
        <f t="shared" si="63"/>
        <v>0</v>
      </c>
      <c r="X282" s="312">
        <f t="shared" si="64"/>
        <v>0</v>
      </c>
      <c r="Y282" s="278"/>
      <c r="Z282" s="312">
        <f t="shared" si="65"/>
        <v>12480</v>
      </c>
      <c r="AA282" s="312">
        <f>'3. GRI Pricing'!Y273</f>
        <v>1040</v>
      </c>
      <c r="AB282" s="359">
        <f t="shared" si="66"/>
        <v>24.664031620553359</v>
      </c>
    </row>
    <row r="283" spans="3:28" s="30" customFormat="1" ht="12" x14ac:dyDescent="0.2">
      <c r="C283" s="77" t="str">
        <f>'1. Accomodation'!N278</f>
        <v>607W</v>
      </c>
      <c r="D283" s="77" t="str">
        <f>'1. Accomodation'!P278</f>
        <v>1 Bed</v>
      </c>
      <c r="E283" s="77">
        <f>'1. Accomodation'!O278</f>
        <v>474</v>
      </c>
      <c r="G283" s="341">
        <v>11880</v>
      </c>
      <c r="H283" s="273">
        <f>IFERROR(INDEX('4. Valuation'!$C$10:$I$17,MATCH($D283,'4. Valuation'!$C$10:$C$17,0),MATCH($H$25,'4. Valuation'!$C$10:$I$10,0)),0)</f>
        <v>867</v>
      </c>
      <c r="I283" s="359">
        <f>IFERROR(INDEX('4. Valuation'!$C$10:$I$17,MATCH($D283,'4. Valuation'!$C$10:$C$17,0),MATCH($I$25,'4. Valuation'!$C$10:$I$10,0)),0)</f>
        <v>20.660726106217222</v>
      </c>
      <c r="J283" s="277"/>
      <c r="K283" s="312">
        <f t="shared" ref="K283:K346" si="67">L283*12</f>
        <v>10404</v>
      </c>
      <c r="L283" s="312">
        <f t="shared" ref="L283:L346" si="68">H283*(1+$M$24)^((L$24-K$24)/365)</f>
        <v>867</v>
      </c>
      <c r="M283" s="359">
        <f t="shared" ref="M283:M346" si="69">IFERROR(K283/E283,0)</f>
        <v>21.949367088607595</v>
      </c>
      <c r="N283" s="278"/>
      <c r="O283" s="278"/>
      <c r="P283" s="278"/>
      <c r="Q283" s="278"/>
      <c r="R283" s="312">
        <f>IFERROR(INDEX('4. Valuation'!$O$10:$X$17,MATCH($D283,'4. Valuation'!$O$10:$O$17,0),MATCH($R$25,'4. Valuation'!$O$10:$X$10,0)),0)</f>
        <v>0</v>
      </c>
      <c r="S283" s="312">
        <f>IFERROR(INDEX('4. Valuation'!$O$10:$X$17,MATCH($D283,'4. Valuation'!$O$10:$O$17,0),MATCH($S$25,'4. Valuation'!$O$10:$X$10,0)),0)</f>
        <v>0</v>
      </c>
      <c r="T283" s="312">
        <f>IFERROR(INDEX('4. Valuation'!$O$10:$X$17,MATCH($D283,'4. Valuation'!$O$10:$O$17,0),MATCH($T$25,'4. Valuation'!$O$10:$X$10,0)),0)</f>
        <v>0</v>
      </c>
      <c r="U283" s="278"/>
      <c r="V283" s="312">
        <f t="shared" ref="V283:V346" si="70">W283*12</f>
        <v>0</v>
      </c>
      <c r="W283" s="312">
        <f t="shared" ref="W283:W346" si="71">S283*(1+$M$24)^((W$24-V$24)/365)</f>
        <v>0</v>
      </c>
      <c r="X283" s="312">
        <f t="shared" ref="X283:X346" si="72">IFERROR(V283/E283,0)</f>
        <v>0</v>
      </c>
      <c r="Y283" s="278"/>
      <c r="Z283" s="312">
        <f t="shared" ref="Z283:Z346" si="73">AA283*12</f>
        <v>12060</v>
      </c>
      <c r="AA283" s="312">
        <f>'3. GRI Pricing'!Y274</f>
        <v>1005</v>
      </c>
      <c r="AB283" s="359">
        <f t="shared" ref="AB283:AB346" si="74">IFERROR(Z283/E283,0)</f>
        <v>25.443037974683545</v>
      </c>
    </row>
    <row r="284" spans="3:28" s="30" customFormat="1" ht="12" x14ac:dyDescent="0.2">
      <c r="C284" s="77" t="str">
        <f>'1. Accomodation'!N279</f>
        <v>608W</v>
      </c>
      <c r="D284" s="77" t="str">
        <f>'1. Accomodation'!P279</f>
        <v>2 Bed</v>
      </c>
      <c r="E284" s="77">
        <f>'1. Accomodation'!O279</f>
        <v>667</v>
      </c>
      <c r="G284" s="341">
        <v>16080</v>
      </c>
      <c r="H284" s="273">
        <f>IFERROR(INDEX('4. Valuation'!$C$10:$I$17,MATCH($D284,'4. Valuation'!$C$10:$C$17,0),MATCH($H$25,'4. Valuation'!$C$10:$I$10,0)),0)</f>
        <v>1166</v>
      </c>
      <c r="I284" s="359">
        <f>IFERROR(INDEX('4. Valuation'!$C$10:$I$17,MATCH($D284,'4. Valuation'!$C$10:$C$17,0),MATCH($I$25,'4. Valuation'!$C$10:$I$10,0)),0)</f>
        <v>21.448728269247237</v>
      </c>
      <c r="J284" s="277"/>
      <c r="K284" s="312">
        <f t="shared" si="67"/>
        <v>13992</v>
      </c>
      <c r="L284" s="312">
        <f t="shared" si="68"/>
        <v>1166</v>
      </c>
      <c r="M284" s="359">
        <f t="shared" si="69"/>
        <v>20.977511244377812</v>
      </c>
      <c r="N284" s="278"/>
      <c r="O284" s="278"/>
      <c r="P284" s="278"/>
      <c r="Q284" s="278"/>
      <c r="R284" s="312">
        <f>IFERROR(INDEX('4. Valuation'!$O$10:$X$17,MATCH($D284,'4. Valuation'!$O$10:$O$17,0),MATCH($R$25,'4. Valuation'!$O$10:$X$10,0)),0)</f>
        <v>0</v>
      </c>
      <c r="S284" s="312">
        <f>IFERROR(INDEX('4. Valuation'!$O$10:$X$17,MATCH($D284,'4. Valuation'!$O$10:$O$17,0),MATCH($S$25,'4. Valuation'!$O$10:$X$10,0)),0)</f>
        <v>0</v>
      </c>
      <c r="T284" s="312">
        <f>IFERROR(INDEX('4. Valuation'!$O$10:$X$17,MATCH($D284,'4. Valuation'!$O$10:$O$17,0),MATCH($T$25,'4. Valuation'!$O$10:$X$10,0)),0)</f>
        <v>0</v>
      </c>
      <c r="U284" s="278"/>
      <c r="V284" s="312">
        <f t="shared" si="70"/>
        <v>0</v>
      </c>
      <c r="W284" s="312">
        <f t="shared" si="71"/>
        <v>0</v>
      </c>
      <c r="X284" s="312">
        <f t="shared" si="72"/>
        <v>0</v>
      </c>
      <c r="Y284" s="278"/>
      <c r="Z284" s="312">
        <f t="shared" si="73"/>
        <v>15780</v>
      </c>
      <c r="AA284" s="312">
        <f>'3. GRI Pricing'!Y275</f>
        <v>1315</v>
      </c>
      <c r="AB284" s="359">
        <f t="shared" si="74"/>
        <v>23.65817091454273</v>
      </c>
    </row>
    <row r="285" spans="3:28" s="30" customFormat="1" ht="12" x14ac:dyDescent="0.2">
      <c r="C285" s="77" t="str">
        <f>'1. Accomodation'!N280</f>
        <v>609W</v>
      </c>
      <c r="D285" s="77" t="str">
        <f>'1. Accomodation'!P280</f>
        <v>2 Bed</v>
      </c>
      <c r="E285" s="77">
        <f>'1. Accomodation'!O280</f>
        <v>657</v>
      </c>
      <c r="G285" s="341">
        <v>16140</v>
      </c>
      <c r="H285" s="273">
        <f>IFERROR(INDEX('4. Valuation'!$C$10:$I$17,MATCH($D285,'4. Valuation'!$C$10:$C$17,0),MATCH($H$25,'4. Valuation'!$C$10:$I$10,0)),0)</f>
        <v>1166</v>
      </c>
      <c r="I285" s="359">
        <f>IFERROR(INDEX('4. Valuation'!$C$10:$I$17,MATCH($D285,'4. Valuation'!$C$10:$C$17,0),MATCH($I$25,'4. Valuation'!$C$10:$I$10,0)),0)</f>
        <v>21.448728269247237</v>
      </c>
      <c r="J285" s="277"/>
      <c r="K285" s="312">
        <f t="shared" si="67"/>
        <v>13992</v>
      </c>
      <c r="L285" s="312">
        <f t="shared" si="68"/>
        <v>1166</v>
      </c>
      <c r="M285" s="359">
        <f t="shared" si="69"/>
        <v>21.296803652968038</v>
      </c>
      <c r="N285" s="278"/>
      <c r="O285" s="278"/>
      <c r="P285" s="278"/>
      <c r="Q285" s="278"/>
      <c r="R285" s="312">
        <f>IFERROR(INDEX('4. Valuation'!$O$10:$X$17,MATCH($D285,'4. Valuation'!$O$10:$O$17,0),MATCH($R$25,'4. Valuation'!$O$10:$X$10,0)),0)</f>
        <v>0</v>
      </c>
      <c r="S285" s="312">
        <f>IFERROR(INDEX('4. Valuation'!$O$10:$X$17,MATCH($D285,'4. Valuation'!$O$10:$O$17,0),MATCH($S$25,'4. Valuation'!$O$10:$X$10,0)),0)</f>
        <v>0</v>
      </c>
      <c r="T285" s="312">
        <f>IFERROR(INDEX('4. Valuation'!$O$10:$X$17,MATCH($D285,'4. Valuation'!$O$10:$O$17,0),MATCH($T$25,'4. Valuation'!$O$10:$X$10,0)),0)</f>
        <v>0</v>
      </c>
      <c r="U285" s="278"/>
      <c r="V285" s="312">
        <f t="shared" si="70"/>
        <v>0</v>
      </c>
      <c r="W285" s="312">
        <f t="shared" si="71"/>
        <v>0</v>
      </c>
      <c r="X285" s="312">
        <f t="shared" si="72"/>
        <v>0</v>
      </c>
      <c r="Y285" s="278"/>
      <c r="Z285" s="312">
        <f t="shared" si="73"/>
        <v>15660</v>
      </c>
      <c r="AA285" s="312">
        <f>'3. GRI Pricing'!Y276</f>
        <v>1305</v>
      </c>
      <c r="AB285" s="359">
        <f t="shared" si="74"/>
        <v>23.835616438356166</v>
      </c>
    </row>
    <row r="286" spans="3:28" s="30" customFormat="1" ht="12" x14ac:dyDescent="0.2">
      <c r="C286" s="77" t="str">
        <f>'1. Accomodation'!N281</f>
        <v>610W</v>
      </c>
      <c r="D286" s="77" t="str">
        <f>'1. Accomodation'!P281</f>
        <v>2 Bed</v>
      </c>
      <c r="E286" s="77">
        <f>'1. Accomodation'!O281</f>
        <v>689</v>
      </c>
      <c r="G286" s="341">
        <v>15120</v>
      </c>
      <c r="H286" s="273">
        <f>IFERROR(INDEX('4. Valuation'!$C$10:$I$17,MATCH($D286,'4. Valuation'!$C$10:$C$17,0),MATCH($H$25,'4. Valuation'!$C$10:$I$10,0)),0)</f>
        <v>1166</v>
      </c>
      <c r="I286" s="359">
        <f>IFERROR(INDEX('4. Valuation'!$C$10:$I$17,MATCH($D286,'4. Valuation'!$C$10:$C$17,0),MATCH($I$25,'4. Valuation'!$C$10:$I$10,0)),0)</f>
        <v>21.448728269247237</v>
      </c>
      <c r="J286" s="277"/>
      <c r="K286" s="312">
        <f t="shared" si="67"/>
        <v>13992</v>
      </c>
      <c r="L286" s="312">
        <f t="shared" si="68"/>
        <v>1166</v>
      </c>
      <c r="M286" s="359">
        <f t="shared" si="69"/>
        <v>20.307692307692307</v>
      </c>
      <c r="N286" s="278"/>
      <c r="O286" s="278"/>
      <c r="P286" s="278"/>
      <c r="Q286" s="278"/>
      <c r="R286" s="312">
        <f>IFERROR(INDEX('4. Valuation'!$O$10:$X$17,MATCH($D286,'4. Valuation'!$O$10:$O$17,0),MATCH($R$25,'4. Valuation'!$O$10:$X$10,0)),0)</f>
        <v>0</v>
      </c>
      <c r="S286" s="312">
        <f>IFERROR(INDEX('4. Valuation'!$O$10:$X$17,MATCH($D286,'4. Valuation'!$O$10:$O$17,0),MATCH($S$25,'4. Valuation'!$O$10:$X$10,0)),0)</f>
        <v>0</v>
      </c>
      <c r="T286" s="312">
        <f>IFERROR(INDEX('4. Valuation'!$O$10:$X$17,MATCH($D286,'4. Valuation'!$O$10:$O$17,0),MATCH($T$25,'4. Valuation'!$O$10:$X$10,0)),0)</f>
        <v>0</v>
      </c>
      <c r="U286" s="278"/>
      <c r="V286" s="312">
        <f t="shared" si="70"/>
        <v>0</v>
      </c>
      <c r="W286" s="312">
        <f t="shared" si="71"/>
        <v>0</v>
      </c>
      <c r="X286" s="312">
        <f t="shared" si="72"/>
        <v>0</v>
      </c>
      <c r="Y286" s="278"/>
      <c r="Z286" s="312">
        <f t="shared" si="73"/>
        <v>15900</v>
      </c>
      <c r="AA286" s="312">
        <f>'3. GRI Pricing'!Y277</f>
        <v>1325</v>
      </c>
      <c r="AB286" s="359">
        <f t="shared" si="74"/>
        <v>23.076923076923077</v>
      </c>
    </row>
    <row r="287" spans="3:28" s="30" customFormat="1" ht="12" x14ac:dyDescent="0.2">
      <c r="C287" s="77" t="str">
        <f>'1. Accomodation'!N282</f>
        <v>611W</v>
      </c>
      <c r="D287" s="77" t="str">
        <f>'1. Accomodation'!P282</f>
        <v>2 Bed</v>
      </c>
      <c r="E287" s="77">
        <f>'1. Accomodation'!O282</f>
        <v>667</v>
      </c>
      <c r="G287" s="341">
        <v>16080</v>
      </c>
      <c r="H287" s="273">
        <f>IFERROR(INDEX('4. Valuation'!$C$10:$I$17,MATCH($D287,'4. Valuation'!$C$10:$C$17,0),MATCH($H$25,'4. Valuation'!$C$10:$I$10,0)),0)</f>
        <v>1166</v>
      </c>
      <c r="I287" s="359">
        <f>IFERROR(INDEX('4. Valuation'!$C$10:$I$17,MATCH($D287,'4. Valuation'!$C$10:$C$17,0),MATCH($I$25,'4. Valuation'!$C$10:$I$10,0)),0)</f>
        <v>21.448728269247237</v>
      </c>
      <c r="J287" s="277"/>
      <c r="K287" s="312">
        <f t="shared" si="67"/>
        <v>13992</v>
      </c>
      <c r="L287" s="312">
        <f t="shared" si="68"/>
        <v>1166</v>
      </c>
      <c r="M287" s="359">
        <f t="shared" si="69"/>
        <v>20.977511244377812</v>
      </c>
      <c r="N287" s="278"/>
      <c r="O287" s="278"/>
      <c r="P287" s="278"/>
      <c r="Q287" s="278"/>
      <c r="R287" s="312">
        <f>IFERROR(INDEX('4. Valuation'!$O$10:$X$17,MATCH($D287,'4. Valuation'!$O$10:$O$17,0),MATCH($R$25,'4. Valuation'!$O$10:$X$10,0)),0)</f>
        <v>0</v>
      </c>
      <c r="S287" s="312">
        <f>IFERROR(INDEX('4. Valuation'!$O$10:$X$17,MATCH($D287,'4. Valuation'!$O$10:$O$17,0),MATCH($S$25,'4. Valuation'!$O$10:$X$10,0)),0)</f>
        <v>0</v>
      </c>
      <c r="T287" s="312">
        <f>IFERROR(INDEX('4. Valuation'!$O$10:$X$17,MATCH($D287,'4. Valuation'!$O$10:$O$17,0),MATCH($T$25,'4. Valuation'!$O$10:$X$10,0)),0)</f>
        <v>0</v>
      </c>
      <c r="U287" s="278"/>
      <c r="V287" s="312">
        <f t="shared" si="70"/>
        <v>0</v>
      </c>
      <c r="W287" s="312">
        <f t="shared" si="71"/>
        <v>0</v>
      </c>
      <c r="X287" s="312">
        <f t="shared" si="72"/>
        <v>0</v>
      </c>
      <c r="Y287" s="278"/>
      <c r="Z287" s="312">
        <f t="shared" si="73"/>
        <v>15780</v>
      </c>
      <c r="AA287" s="312">
        <f>'3. GRI Pricing'!Y278</f>
        <v>1315</v>
      </c>
      <c r="AB287" s="359">
        <f t="shared" si="74"/>
        <v>23.65817091454273</v>
      </c>
    </row>
    <row r="288" spans="3:28" s="30" customFormat="1" ht="12" x14ac:dyDescent="0.2">
      <c r="C288" s="77" t="str">
        <f>'1. Accomodation'!N283</f>
        <v>612W</v>
      </c>
      <c r="D288" s="77" t="str">
        <f>'1. Accomodation'!P283</f>
        <v>1 Bed</v>
      </c>
      <c r="E288" s="77">
        <f>'1. Accomodation'!O283</f>
        <v>527</v>
      </c>
      <c r="G288" s="341">
        <v>12300</v>
      </c>
      <c r="H288" s="273">
        <f>IFERROR(INDEX('4. Valuation'!$C$10:$I$17,MATCH($D288,'4. Valuation'!$C$10:$C$17,0),MATCH($H$25,'4. Valuation'!$C$10:$I$10,0)),0)</f>
        <v>867</v>
      </c>
      <c r="I288" s="359">
        <f>IFERROR(INDEX('4. Valuation'!$C$10:$I$17,MATCH($D288,'4. Valuation'!$C$10:$C$17,0),MATCH($I$25,'4. Valuation'!$C$10:$I$10,0)),0)</f>
        <v>20.660726106217222</v>
      </c>
      <c r="J288" s="277"/>
      <c r="K288" s="312">
        <f t="shared" si="67"/>
        <v>10404</v>
      </c>
      <c r="L288" s="312">
        <f t="shared" si="68"/>
        <v>867</v>
      </c>
      <c r="M288" s="359">
        <f t="shared" si="69"/>
        <v>19.741935483870968</v>
      </c>
      <c r="N288" s="278"/>
      <c r="O288" s="278"/>
      <c r="P288" s="278"/>
      <c r="Q288" s="278"/>
      <c r="R288" s="312">
        <f>IFERROR(INDEX('4. Valuation'!$O$10:$X$17,MATCH($D288,'4. Valuation'!$O$10:$O$17,0),MATCH($R$25,'4. Valuation'!$O$10:$X$10,0)),0)</f>
        <v>0</v>
      </c>
      <c r="S288" s="312">
        <f>IFERROR(INDEX('4. Valuation'!$O$10:$X$17,MATCH($D288,'4. Valuation'!$O$10:$O$17,0),MATCH($S$25,'4. Valuation'!$O$10:$X$10,0)),0)</f>
        <v>0</v>
      </c>
      <c r="T288" s="312">
        <f>IFERROR(INDEX('4. Valuation'!$O$10:$X$17,MATCH($D288,'4. Valuation'!$O$10:$O$17,0),MATCH($T$25,'4. Valuation'!$O$10:$X$10,0)),0)</f>
        <v>0</v>
      </c>
      <c r="U288" s="278"/>
      <c r="V288" s="312">
        <f t="shared" si="70"/>
        <v>0</v>
      </c>
      <c r="W288" s="312">
        <f t="shared" si="71"/>
        <v>0</v>
      </c>
      <c r="X288" s="312">
        <f t="shared" si="72"/>
        <v>0</v>
      </c>
      <c r="Y288" s="278"/>
      <c r="Z288" s="312">
        <f t="shared" si="73"/>
        <v>12540</v>
      </c>
      <c r="AA288" s="312">
        <f>'3. GRI Pricing'!Y279</f>
        <v>1045</v>
      </c>
      <c r="AB288" s="359">
        <f t="shared" si="74"/>
        <v>23.795066413662241</v>
      </c>
    </row>
    <row r="289" spans="3:28" s="30" customFormat="1" ht="12" x14ac:dyDescent="0.2">
      <c r="C289" s="77" t="str">
        <f>'1. Accomodation'!N284</f>
        <v>613W</v>
      </c>
      <c r="D289" s="77" t="str">
        <f>'1. Accomodation'!P284</f>
        <v>3 Bed</v>
      </c>
      <c r="E289" s="77">
        <f>'1. Accomodation'!O284</f>
        <v>840</v>
      </c>
      <c r="G289" s="341">
        <v>20580</v>
      </c>
      <c r="H289" s="273">
        <f>IFERROR(INDEX('4. Valuation'!$C$10:$I$17,MATCH($D289,'4. Valuation'!$C$10:$C$17,0),MATCH($H$25,'4. Valuation'!$C$10:$I$10,0)),0)</f>
        <v>1511</v>
      </c>
      <c r="I289" s="359">
        <f>IFERROR(INDEX('4. Valuation'!$C$10:$I$17,MATCH($D289,'4. Valuation'!$C$10:$C$17,0),MATCH($I$25,'4. Valuation'!$C$10:$I$10,0)),0)</f>
        <v>22.026444890903143</v>
      </c>
      <c r="J289" s="277"/>
      <c r="K289" s="312">
        <f t="shared" si="67"/>
        <v>18132</v>
      </c>
      <c r="L289" s="312">
        <f t="shared" si="68"/>
        <v>1511</v>
      </c>
      <c r="M289" s="359">
        <f t="shared" si="69"/>
        <v>21.585714285714285</v>
      </c>
      <c r="N289" s="278"/>
      <c r="O289" s="278"/>
      <c r="P289" s="278"/>
      <c r="Q289" s="278"/>
      <c r="R289" s="312">
        <f>IFERROR(INDEX('4. Valuation'!$O$10:$X$17,MATCH($D289,'4. Valuation'!$O$10:$O$17,0),MATCH($R$25,'4. Valuation'!$O$10:$X$10,0)),0)</f>
        <v>0</v>
      </c>
      <c r="S289" s="312">
        <f>IFERROR(INDEX('4. Valuation'!$O$10:$X$17,MATCH($D289,'4. Valuation'!$O$10:$O$17,0),MATCH($S$25,'4. Valuation'!$O$10:$X$10,0)),0)</f>
        <v>0</v>
      </c>
      <c r="T289" s="312">
        <f>IFERROR(INDEX('4. Valuation'!$O$10:$X$17,MATCH($D289,'4. Valuation'!$O$10:$O$17,0),MATCH($T$25,'4. Valuation'!$O$10:$X$10,0)),0)</f>
        <v>0</v>
      </c>
      <c r="U289" s="278"/>
      <c r="V289" s="312">
        <f t="shared" si="70"/>
        <v>0</v>
      </c>
      <c r="W289" s="312">
        <f t="shared" si="71"/>
        <v>0</v>
      </c>
      <c r="X289" s="312">
        <f t="shared" si="72"/>
        <v>0</v>
      </c>
      <c r="Y289" s="278"/>
      <c r="Z289" s="312">
        <f t="shared" si="73"/>
        <v>20820</v>
      </c>
      <c r="AA289" s="312">
        <f>'3. GRI Pricing'!Y280</f>
        <v>1735</v>
      </c>
      <c r="AB289" s="359">
        <f t="shared" si="74"/>
        <v>24.785714285714285</v>
      </c>
    </row>
    <row r="290" spans="3:28" s="30" customFormat="1" ht="12" x14ac:dyDescent="0.2">
      <c r="C290" s="77" t="str">
        <f>'1. Accomodation'!N285</f>
        <v>614W</v>
      </c>
      <c r="D290" s="77" t="str">
        <f>'1. Accomodation'!P285</f>
        <v>2 Bed</v>
      </c>
      <c r="E290" s="77">
        <f>'1. Accomodation'!O285</f>
        <v>624</v>
      </c>
      <c r="G290" s="341">
        <v>15600</v>
      </c>
      <c r="H290" s="273">
        <f>IFERROR(INDEX('4. Valuation'!$C$10:$I$17,MATCH($D290,'4. Valuation'!$C$10:$C$17,0),MATCH($H$25,'4. Valuation'!$C$10:$I$10,0)),0)</f>
        <v>1166</v>
      </c>
      <c r="I290" s="359">
        <f>IFERROR(INDEX('4. Valuation'!$C$10:$I$17,MATCH($D290,'4. Valuation'!$C$10:$C$17,0),MATCH($I$25,'4. Valuation'!$C$10:$I$10,0)),0)</f>
        <v>21.448728269247237</v>
      </c>
      <c r="J290" s="277"/>
      <c r="K290" s="312">
        <f t="shared" si="67"/>
        <v>13992</v>
      </c>
      <c r="L290" s="312">
        <f t="shared" si="68"/>
        <v>1166</v>
      </c>
      <c r="M290" s="359">
        <f t="shared" si="69"/>
        <v>22.423076923076923</v>
      </c>
      <c r="N290" s="278"/>
      <c r="O290" s="278"/>
      <c r="P290" s="278"/>
      <c r="Q290" s="278"/>
      <c r="R290" s="312">
        <f>IFERROR(INDEX('4. Valuation'!$O$10:$X$17,MATCH($D290,'4. Valuation'!$O$10:$O$17,0),MATCH($R$25,'4. Valuation'!$O$10:$X$10,0)),0)</f>
        <v>0</v>
      </c>
      <c r="S290" s="312">
        <f>IFERROR(INDEX('4. Valuation'!$O$10:$X$17,MATCH($D290,'4. Valuation'!$O$10:$O$17,0),MATCH($S$25,'4. Valuation'!$O$10:$X$10,0)),0)</f>
        <v>0</v>
      </c>
      <c r="T290" s="312">
        <f>IFERROR(INDEX('4. Valuation'!$O$10:$X$17,MATCH($D290,'4. Valuation'!$O$10:$O$17,0),MATCH($T$25,'4. Valuation'!$O$10:$X$10,0)),0)</f>
        <v>0</v>
      </c>
      <c r="U290" s="278"/>
      <c r="V290" s="312">
        <f t="shared" si="70"/>
        <v>0</v>
      </c>
      <c r="W290" s="312">
        <f t="shared" si="71"/>
        <v>0</v>
      </c>
      <c r="X290" s="312">
        <f t="shared" si="72"/>
        <v>0</v>
      </c>
      <c r="Y290" s="278"/>
      <c r="Z290" s="312">
        <f t="shared" si="73"/>
        <v>15600</v>
      </c>
      <c r="AA290" s="312">
        <f>'3. GRI Pricing'!Y281</f>
        <v>1300</v>
      </c>
      <c r="AB290" s="359">
        <f t="shared" si="74"/>
        <v>25</v>
      </c>
    </row>
    <row r="291" spans="3:28" s="30" customFormat="1" ht="12" x14ac:dyDescent="0.2">
      <c r="C291" s="77" t="str">
        <f>'1. Accomodation'!N286</f>
        <v>701W</v>
      </c>
      <c r="D291" s="77" t="str">
        <f>'1. Accomodation'!P286</f>
        <v>3 Bed</v>
      </c>
      <c r="E291" s="77">
        <f>'1. Accomodation'!O286</f>
        <v>840</v>
      </c>
      <c r="G291" s="341">
        <v>18840</v>
      </c>
      <c r="H291" s="273">
        <f>IFERROR(INDEX('4. Valuation'!$C$10:$I$17,MATCH($D291,'4. Valuation'!$C$10:$C$17,0),MATCH($H$25,'4. Valuation'!$C$10:$I$10,0)),0)</f>
        <v>1511</v>
      </c>
      <c r="I291" s="359">
        <f>IFERROR(INDEX('4. Valuation'!$C$10:$I$17,MATCH($D291,'4. Valuation'!$C$10:$C$17,0),MATCH($I$25,'4. Valuation'!$C$10:$I$10,0)),0)</f>
        <v>22.026444890903143</v>
      </c>
      <c r="J291" s="277"/>
      <c r="K291" s="312">
        <f t="shared" si="67"/>
        <v>18132</v>
      </c>
      <c r="L291" s="312">
        <f t="shared" si="68"/>
        <v>1511</v>
      </c>
      <c r="M291" s="359">
        <f t="shared" si="69"/>
        <v>21.585714285714285</v>
      </c>
      <c r="N291" s="278"/>
      <c r="O291" s="278"/>
      <c r="P291" s="278"/>
      <c r="Q291" s="278"/>
      <c r="R291" s="312">
        <f>IFERROR(INDEX('4. Valuation'!$O$10:$X$17,MATCH($D291,'4. Valuation'!$O$10:$O$17,0),MATCH($R$25,'4. Valuation'!$O$10:$X$10,0)),0)</f>
        <v>0</v>
      </c>
      <c r="S291" s="312">
        <f>IFERROR(INDEX('4. Valuation'!$O$10:$X$17,MATCH($D291,'4. Valuation'!$O$10:$O$17,0),MATCH($S$25,'4. Valuation'!$O$10:$X$10,0)),0)</f>
        <v>0</v>
      </c>
      <c r="T291" s="312">
        <f>IFERROR(INDEX('4. Valuation'!$O$10:$X$17,MATCH($D291,'4. Valuation'!$O$10:$O$17,0),MATCH($T$25,'4. Valuation'!$O$10:$X$10,0)),0)</f>
        <v>0</v>
      </c>
      <c r="U291" s="278"/>
      <c r="V291" s="312">
        <f t="shared" si="70"/>
        <v>0</v>
      </c>
      <c r="W291" s="312">
        <f t="shared" si="71"/>
        <v>0</v>
      </c>
      <c r="X291" s="312">
        <f t="shared" si="72"/>
        <v>0</v>
      </c>
      <c r="Y291" s="278"/>
      <c r="Z291" s="312">
        <f t="shared" si="73"/>
        <v>20340</v>
      </c>
      <c r="AA291" s="312">
        <f>'3. GRI Pricing'!Y282</f>
        <v>1695</v>
      </c>
      <c r="AB291" s="359">
        <f t="shared" si="74"/>
        <v>24.214285714285715</v>
      </c>
    </row>
    <row r="292" spans="3:28" s="30" customFormat="1" ht="12" x14ac:dyDescent="0.2">
      <c r="C292" s="77" t="str">
        <f>'1. Accomodation'!N287</f>
        <v>702W</v>
      </c>
      <c r="D292" s="77" t="str">
        <f>'1. Accomodation'!P287</f>
        <v>1 Bed</v>
      </c>
      <c r="E292" s="77">
        <f>'1. Accomodation'!O287</f>
        <v>495</v>
      </c>
      <c r="G292" s="341">
        <v>11220</v>
      </c>
      <c r="H292" s="273">
        <f>IFERROR(INDEX('4. Valuation'!$C$10:$I$17,MATCH($D292,'4. Valuation'!$C$10:$C$17,0),MATCH($H$25,'4. Valuation'!$C$10:$I$10,0)),0)</f>
        <v>867</v>
      </c>
      <c r="I292" s="359">
        <f>IFERROR(INDEX('4. Valuation'!$C$10:$I$17,MATCH($D292,'4. Valuation'!$C$10:$C$17,0),MATCH($I$25,'4. Valuation'!$C$10:$I$10,0)),0)</f>
        <v>20.660726106217222</v>
      </c>
      <c r="J292" s="277"/>
      <c r="K292" s="312">
        <f t="shared" si="67"/>
        <v>10404</v>
      </c>
      <c r="L292" s="312">
        <f t="shared" si="68"/>
        <v>867</v>
      </c>
      <c r="M292" s="359">
        <f t="shared" si="69"/>
        <v>21.018181818181819</v>
      </c>
      <c r="N292" s="278"/>
      <c r="O292" s="278"/>
      <c r="P292" s="278"/>
      <c r="Q292" s="278"/>
      <c r="R292" s="312">
        <f>IFERROR(INDEX('4. Valuation'!$O$10:$X$17,MATCH($D292,'4. Valuation'!$O$10:$O$17,0),MATCH($R$25,'4. Valuation'!$O$10:$X$10,0)),0)</f>
        <v>0</v>
      </c>
      <c r="S292" s="312">
        <f>IFERROR(INDEX('4. Valuation'!$O$10:$X$17,MATCH($D292,'4. Valuation'!$O$10:$O$17,0),MATCH($S$25,'4. Valuation'!$O$10:$X$10,0)),0)</f>
        <v>0</v>
      </c>
      <c r="T292" s="312">
        <f>IFERROR(INDEX('4. Valuation'!$O$10:$X$17,MATCH($D292,'4. Valuation'!$O$10:$O$17,0),MATCH($T$25,'4. Valuation'!$O$10:$X$10,0)),0)</f>
        <v>0</v>
      </c>
      <c r="U292" s="278"/>
      <c r="V292" s="312">
        <f t="shared" si="70"/>
        <v>0</v>
      </c>
      <c r="W292" s="312">
        <f t="shared" si="71"/>
        <v>0</v>
      </c>
      <c r="X292" s="312">
        <f t="shared" si="72"/>
        <v>0</v>
      </c>
      <c r="Y292" s="278"/>
      <c r="Z292" s="312">
        <f t="shared" si="73"/>
        <v>12060</v>
      </c>
      <c r="AA292" s="312">
        <f>'3. GRI Pricing'!Y283</f>
        <v>1005</v>
      </c>
      <c r="AB292" s="359">
        <f t="shared" si="74"/>
        <v>24.363636363636363</v>
      </c>
    </row>
    <row r="293" spans="3:28" s="30" customFormat="1" ht="12" x14ac:dyDescent="0.2">
      <c r="C293" s="77" t="str">
        <f>'1. Accomodation'!N288</f>
        <v>703W</v>
      </c>
      <c r="D293" s="77" t="str">
        <f>'1. Accomodation'!P288</f>
        <v>1 Bed</v>
      </c>
      <c r="E293" s="77">
        <f>'1. Accomodation'!O288</f>
        <v>506</v>
      </c>
      <c r="G293" s="341">
        <v>11700</v>
      </c>
      <c r="H293" s="273">
        <f>IFERROR(INDEX('4. Valuation'!$C$10:$I$17,MATCH($D293,'4. Valuation'!$C$10:$C$17,0),MATCH($H$25,'4. Valuation'!$C$10:$I$10,0)),0)</f>
        <v>867</v>
      </c>
      <c r="I293" s="359">
        <f>IFERROR(INDEX('4. Valuation'!$C$10:$I$17,MATCH($D293,'4. Valuation'!$C$10:$C$17,0),MATCH($I$25,'4. Valuation'!$C$10:$I$10,0)),0)</f>
        <v>20.660726106217222</v>
      </c>
      <c r="J293" s="277"/>
      <c r="K293" s="312">
        <f t="shared" si="67"/>
        <v>10404</v>
      </c>
      <c r="L293" s="312">
        <f t="shared" si="68"/>
        <v>867</v>
      </c>
      <c r="M293" s="359">
        <f t="shared" si="69"/>
        <v>20.561264822134387</v>
      </c>
      <c r="N293" s="278"/>
      <c r="O293" s="278"/>
      <c r="P293" s="278"/>
      <c r="Q293" s="278"/>
      <c r="R293" s="312">
        <f>IFERROR(INDEX('4. Valuation'!$O$10:$X$17,MATCH($D293,'4. Valuation'!$O$10:$O$17,0),MATCH($R$25,'4. Valuation'!$O$10:$X$10,0)),0)</f>
        <v>0</v>
      </c>
      <c r="S293" s="312">
        <f>IFERROR(INDEX('4. Valuation'!$O$10:$X$17,MATCH($D293,'4. Valuation'!$O$10:$O$17,0),MATCH($S$25,'4. Valuation'!$O$10:$X$10,0)),0)</f>
        <v>0</v>
      </c>
      <c r="T293" s="312">
        <f>IFERROR(INDEX('4. Valuation'!$O$10:$X$17,MATCH($D293,'4. Valuation'!$O$10:$O$17,0),MATCH($T$25,'4. Valuation'!$O$10:$X$10,0)),0)</f>
        <v>0</v>
      </c>
      <c r="U293" s="278"/>
      <c r="V293" s="312">
        <f t="shared" si="70"/>
        <v>0</v>
      </c>
      <c r="W293" s="312">
        <f t="shared" si="71"/>
        <v>0</v>
      </c>
      <c r="X293" s="312">
        <f t="shared" si="72"/>
        <v>0</v>
      </c>
      <c r="Y293" s="278"/>
      <c r="Z293" s="312">
        <f t="shared" si="73"/>
        <v>12000</v>
      </c>
      <c r="AA293" s="312">
        <f>'3. GRI Pricing'!Y284</f>
        <v>1000</v>
      </c>
      <c r="AB293" s="359">
        <f t="shared" si="74"/>
        <v>23.715415019762847</v>
      </c>
    </row>
    <row r="294" spans="3:28" s="30" customFormat="1" ht="12" x14ac:dyDescent="0.2">
      <c r="C294" s="77" t="str">
        <f>'1. Accomodation'!N289</f>
        <v>704W</v>
      </c>
      <c r="D294" s="77" t="str">
        <f>'1. Accomodation'!P289</f>
        <v>2 Bed</v>
      </c>
      <c r="E294" s="77">
        <f>'1. Accomodation'!O289</f>
        <v>624</v>
      </c>
      <c r="G294" s="341">
        <v>15240</v>
      </c>
      <c r="H294" s="273">
        <f>IFERROR(INDEX('4. Valuation'!$C$10:$I$17,MATCH($D294,'4. Valuation'!$C$10:$C$17,0),MATCH($H$25,'4. Valuation'!$C$10:$I$10,0)),0)</f>
        <v>1166</v>
      </c>
      <c r="I294" s="359">
        <f>IFERROR(INDEX('4. Valuation'!$C$10:$I$17,MATCH($D294,'4. Valuation'!$C$10:$C$17,0),MATCH($I$25,'4. Valuation'!$C$10:$I$10,0)),0)</f>
        <v>21.448728269247237</v>
      </c>
      <c r="J294" s="277"/>
      <c r="K294" s="312">
        <f t="shared" si="67"/>
        <v>13992</v>
      </c>
      <c r="L294" s="312">
        <f t="shared" si="68"/>
        <v>1166</v>
      </c>
      <c r="M294" s="359">
        <f t="shared" si="69"/>
        <v>22.423076923076923</v>
      </c>
      <c r="N294" s="278"/>
      <c r="O294" s="278"/>
      <c r="P294" s="278"/>
      <c r="Q294" s="278"/>
      <c r="R294" s="312">
        <f>IFERROR(INDEX('4. Valuation'!$O$10:$X$17,MATCH($D294,'4. Valuation'!$O$10:$O$17,0),MATCH($R$25,'4. Valuation'!$O$10:$X$10,0)),0)</f>
        <v>0</v>
      </c>
      <c r="S294" s="312">
        <f>IFERROR(INDEX('4. Valuation'!$O$10:$X$17,MATCH($D294,'4. Valuation'!$O$10:$O$17,0),MATCH($S$25,'4. Valuation'!$O$10:$X$10,0)),0)</f>
        <v>0</v>
      </c>
      <c r="T294" s="312">
        <f>IFERROR(INDEX('4. Valuation'!$O$10:$X$17,MATCH($D294,'4. Valuation'!$O$10:$O$17,0),MATCH($T$25,'4. Valuation'!$O$10:$X$10,0)),0)</f>
        <v>0</v>
      </c>
      <c r="U294" s="278"/>
      <c r="V294" s="312">
        <f t="shared" si="70"/>
        <v>0</v>
      </c>
      <c r="W294" s="312">
        <f t="shared" si="71"/>
        <v>0</v>
      </c>
      <c r="X294" s="312">
        <f t="shared" si="72"/>
        <v>0</v>
      </c>
      <c r="Y294" s="278"/>
      <c r="Z294" s="312">
        <f t="shared" si="73"/>
        <v>15120</v>
      </c>
      <c r="AA294" s="312">
        <f>'3. GRI Pricing'!Y285</f>
        <v>1260</v>
      </c>
      <c r="AB294" s="359">
        <f t="shared" si="74"/>
        <v>24.23076923076923</v>
      </c>
    </row>
    <row r="295" spans="3:28" s="30" customFormat="1" ht="12" x14ac:dyDescent="0.2">
      <c r="C295" s="77" t="str">
        <f>'1. Accomodation'!N290</f>
        <v>705W</v>
      </c>
      <c r="D295" s="77" t="str">
        <f>'1. Accomodation'!P290</f>
        <v>2 Bed</v>
      </c>
      <c r="E295" s="77">
        <f>'1. Accomodation'!O290</f>
        <v>657</v>
      </c>
      <c r="G295" s="341">
        <v>14700</v>
      </c>
      <c r="H295" s="273">
        <f>IFERROR(INDEX('4. Valuation'!$C$10:$I$17,MATCH($D295,'4. Valuation'!$C$10:$C$17,0),MATCH($H$25,'4. Valuation'!$C$10:$I$10,0)),0)</f>
        <v>1166</v>
      </c>
      <c r="I295" s="359">
        <f>IFERROR(INDEX('4. Valuation'!$C$10:$I$17,MATCH($D295,'4. Valuation'!$C$10:$C$17,0),MATCH($I$25,'4. Valuation'!$C$10:$I$10,0)),0)</f>
        <v>21.448728269247237</v>
      </c>
      <c r="J295" s="277"/>
      <c r="K295" s="312">
        <f t="shared" si="67"/>
        <v>13992</v>
      </c>
      <c r="L295" s="312">
        <f t="shared" si="68"/>
        <v>1166</v>
      </c>
      <c r="M295" s="359">
        <f t="shared" si="69"/>
        <v>21.296803652968038</v>
      </c>
      <c r="N295" s="278"/>
      <c r="O295" s="278"/>
      <c r="P295" s="278"/>
      <c r="Q295" s="278"/>
      <c r="R295" s="312">
        <f>IFERROR(INDEX('4. Valuation'!$O$10:$X$17,MATCH($D295,'4. Valuation'!$O$10:$O$17,0),MATCH($R$25,'4. Valuation'!$O$10:$X$10,0)),0)</f>
        <v>0</v>
      </c>
      <c r="S295" s="312">
        <f>IFERROR(INDEX('4. Valuation'!$O$10:$X$17,MATCH($D295,'4. Valuation'!$O$10:$O$17,0),MATCH($S$25,'4. Valuation'!$O$10:$X$10,0)),0)</f>
        <v>0</v>
      </c>
      <c r="T295" s="312">
        <f>IFERROR(INDEX('4. Valuation'!$O$10:$X$17,MATCH($D295,'4. Valuation'!$O$10:$O$17,0),MATCH($T$25,'4. Valuation'!$O$10:$X$10,0)),0)</f>
        <v>0</v>
      </c>
      <c r="U295" s="278"/>
      <c r="V295" s="312">
        <f t="shared" si="70"/>
        <v>0</v>
      </c>
      <c r="W295" s="312">
        <f t="shared" si="71"/>
        <v>0</v>
      </c>
      <c r="X295" s="312">
        <f t="shared" si="72"/>
        <v>0</v>
      </c>
      <c r="Y295" s="278"/>
      <c r="Z295" s="312">
        <f t="shared" si="73"/>
        <v>14880</v>
      </c>
      <c r="AA295" s="312">
        <f>'3. GRI Pricing'!Y286</f>
        <v>1240</v>
      </c>
      <c r="AB295" s="359">
        <f t="shared" si="74"/>
        <v>22.648401826484019</v>
      </c>
    </row>
    <row r="296" spans="3:28" s="30" customFormat="1" ht="12" x14ac:dyDescent="0.2">
      <c r="C296" s="77" t="str">
        <f>'1. Accomodation'!N291</f>
        <v>706W</v>
      </c>
      <c r="D296" s="77" t="str">
        <f>'1. Accomodation'!P291</f>
        <v>2 Bed</v>
      </c>
      <c r="E296" s="77">
        <f>'1. Accomodation'!O291</f>
        <v>689</v>
      </c>
      <c r="G296" s="341">
        <v>15360</v>
      </c>
      <c r="H296" s="273">
        <f>IFERROR(INDEX('4. Valuation'!$C$10:$I$17,MATCH($D296,'4. Valuation'!$C$10:$C$17,0),MATCH($H$25,'4. Valuation'!$C$10:$I$10,0)),0)</f>
        <v>1166</v>
      </c>
      <c r="I296" s="359">
        <f>IFERROR(INDEX('4. Valuation'!$C$10:$I$17,MATCH($D296,'4. Valuation'!$C$10:$C$17,0),MATCH($I$25,'4. Valuation'!$C$10:$I$10,0)),0)</f>
        <v>21.448728269247237</v>
      </c>
      <c r="J296" s="277"/>
      <c r="K296" s="312">
        <f t="shared" si="67"/>
        <v>13992</v>
      </c>
      <c r="L296" s="312">
        <f t="shared" si="68"/>
        <v>1166</v>
      </c>
      <c r="M296" s="359">
        <f t="shared" si="69"/>
        <v>20.307692307692307</v>
      </c>
      <c r="N296" s="278"/>
      <c r="O296" s="278"/>
      <c r="P296" s="278"/>
      <c r="Q296" s="278"/>
      <c r="R296" s="312">
        <f>IFERROR(INDEX('4. Valuation'!$O$10:$X$17,MATCH($D296,'4. Valuation'!$O$10:$O$17,0),MATCH($R$25,'4. Valuation'!$O$10:$X$10,0)),0)</f>
        <v>0</v>
      </c>
      <c r="S296" s="312">
        <f>IFERROR(INDEX('4. Valuation'!$O$10:$X$17,MATCH($D296,'4. Valuation'!$O$10:$O$17,0),MATCH($S$25,'4. Valuation'!$O$10:$X$10,0)),0)</f>
        <v>0</v>
      </c>
      <c r="T296" s="312">
        <f>IFERROR(INDEX('4. Valuation'!$O$10:$X$17,MATCH($D296,'4. Valuation'!$O$10:$O$17,0),MATCH($T$25,'4. Valuation'!$O$10:$X$10,0)),0)</f>
        <v>0</v>
      </c>
      <c r="U296" s="278"/>
      <c r="V296" s="312">
        <f t="shared" si="70"/>
        <v>0</v>
      </c>
      <c r="W296" s="312">
        <f t="shared" si="71"/>
        <v>0</v>
      </c>
      <c r="X296" s="312">
        <f t="shared" si="72"/>
        <v>0</v>
      </c>
      <c r="Y296" s="278"/>
      <c r="Z296" s="312">
        <f t="shared" si="73"/>
        <v>15420</v>
      </c>
      <c r="AA296" s="312">
        <f>'3. GRI Pricing'!Y287</f>
        <v>1285</v>
      </c>
      <c r="AB296" s="359">
        <f t="shared" si="74"/>
        <v>22.380261248185775</v>
      </c>
    </row>
    <row r="297" spans="3:28" s="30" customFormat="1" ht="12" x14ac:dyDescent="0.2">
      <c r="C297" s="77" t="str">
        <f>'1. Accomodation'!N292</f>
        <v>707W</v>
      </c>
      <c r="D297" s="77" t="str">
        <f>'1. Accomodation'!P292</f>
        <v>2 Bed</v>
      </c>
      <c r="E297" s="77">
        <f>'1. Accomodation'!O292</f>
        <v>678</v>
      </c>
      <c r="G297" s="341">
        <v>15420</v>
      </c>
      <c r="H297" s="273">
        <f>IFERROR(INDEX('4. Valuation'!$C$10:$I$17,MATCH($D297,'4. Valuation'!$C$10:$C$17,0),MATCH($H$25,'4. Valuation'!$C$10:$I$10,0)),0)</f>
        <v>1166</v>
      </c>
      <c r="I297" s="359">
        <f>IFERROR(INDEX('4. Valuation'!$C$10:$I$17,MATCH($D297,'4. Valuation'!$C$10:$C$17,0),MATCH($I$25,'4. Valuation'!$C$10:$I$10,0)),0)</f>
        <v>21.448728269247237</v>
      </c>
      <c r="J297" s="277"/>
      <c r="K297" s="312">
        <f t="shared" si="67"/>
        <v>13992</v>
      </c>
      <c r="L297" s="312">
        <f t="shared" si="68"/>
        <v>1166</v>
      </c>
      <c r="M297" s="359">
        <f t="shared" si="69"/>
        <v>20.63716814159292</v>
      </c>
      <c r="N297" s="278"/>
      <c r="O297" s="278"/>
      <c r="P297" s="278"/>
      <c r="Q297" s="278"/>
      <c r="R297" s="312">
        <f>IFERROR(INDEX('4. Valuation'!$O$10:$X$17,MATCH($D297,'4. Valuation'!$O$10:$O$17,0),MATCH($R$25,'4. Valuation'!$O$10:$X$10,0)),0)</f>
        <v>0</v>
      </c>
      <c r="S297" s="312">
        <f>IFERROR(INDEX('4. Valuation'!$O$10:$X$17,MATCH($D297,'4. Valuation'!$O$10:$O$17,0),MATCH($S$25,'4. Valuation'!$O$10:$X$10,0)),0)</f>
        <v>0</v>
      </c>
      <c r="T297" s="312">
        <f>IFERROR(INDEX('4. Valuation'!$O$10:$X$17,MATCH($D297,'4. Valuation'!$O$10:$O$17,0),MATCH($T$25,'4. Valuation'!$O$10:$X$10,0)),0)</f>
        <v>0</v>
      </c>
      <c r="U297" s="278"/>
      <c r="V297" s="312">
        <f t="shared" si="70"/>
        <v>0</v>
      </c>
      <c r="W297" s="312">
        <f t="shared" si="71"/>
        <v>0</v>
      </c>
      <c r="X297" s="312">
        <f t="shared" si="72"/>
        <v>0</v>
      </c>
      <c r="Y297" s="278"/>
      <c r="Z297" s="312">
        <f t="shared" si="73"/>
        <v>15480</v>
      </c>
      <c r="AA297" s="312">
        <f>'3. GRI Pricing'!Y288</f>
        <v>1290</v>
      </c>
      <c r="AB297" s="359">
        <f t="shared" si="74"/>
        <v>22.831858407079647</v>
      </c>
    </row>
    <row r="298" spans="3:28" s="30" customFormat="1" ht="12" x14ac:dyDescent="0.2">
      <c r="C298" s="77" t="str">
        <f>'1. Accomodation'!N293</f>
        <v>708W</v>
      </c>
      <c r="D298" s="77" t="str">
        <f>'1. Accomodation'!P293</f>
        <v>1 Bed</v>
      </c>
      <c r="E298" s="77">
        <f>'1. Accomodation'!O293</f>
        <v>527</v>
      </c>
      <c r="G298" s="341">
        <v>11460</v>
      </c>
      <c r="H298" s="273">
        <f>IFERROR(INDEX('4. Valuation'!$C$10:$I$17,MATCH($D298,'4. Valuation'!$C$10:$C$17,0),MATCH($H$25,'4. Valuation'!$C$10:$I$10,0)),0)</f>
        <v>867</v>
      </c>
      <c r="I298" s="359">
        <f>IFERROR(INDEX('4. Valuation'!$C$10:$I$17,MATCH($D298,'4. Valuation'!$C$10:$C$17,0),MATCH($I$25,'4. Valuation'!$C$10:$I$10,0)),0)</f>
        <v>20.660726106217222</v>
      </c>
      <c r="J298" s="277"/>
      <c r="K298" s="312">
        <f t="shared" si="67"/>
        <v>10404</v>
      </c>
      <c r="L298" s="312">
        <f t="shared" si="68"/>
        <v>867</v>
      </c>
      <c r="M298" s="359">
        <f t="shared" si="69"/>
        <v>19.741935483870968</v>
      </c>
      <c r="N298" s="278"/>
      <c r="O298" s="278"/>
      <c r="P298" s="278"/>
      <c r="Q298" s="278"/>
      <c r="R298" s="312">
        <f>IFERROR(INDEX('4. Valuation'!$O$10:$X$17,MATCH($D298,'4. Valuation'!$O$10:$O$17,0),MATCH($R$25,'4. Valuation'!$O$10:$X$10,0)),0)</f>
        <v>0</v>
      </c>
      <c r="S298" s="312">
        <f>IFERROR(INDEX('4. Valuation'!$O$10:$X$17,MATCH($D298,'4. Valuation'!$O$10:$O$17,0),MATCH($S$25,'4. Valuation'!$O$10:$X$10,0)),0)</f>
        <v>0</v>
      </c>
      <c r="T298" s="312">
        <f>IFERROR(INDEX('4. Valuation'!$O$10:$X$17,MATCH($D298,'4. Valuation'!$O$10:$O$17,0),MATCH($T$25,'4. Valuation'!$O$10:$X$10,0)),0)</f>
        <v>0</v>
      </c>
      <c r="U298" s="278"/>
      <c r="V298" s="312">
        <f t="shared" si="70"/>
        <v>0</v>
      </c>
      <c r="W298" s="312">
        <f t="shared" si="71"/>
        <v>0</v>
      </c>
      <c r="X298" s="312">
        <f t="shared" si="72"/>
        <v>0</v>
      </c>
      <c r="Y298" s="278"/>
      <c r="Z298" s="312">
        <f t="shared" si="73"/>
        <v>12060</v>
      </c>
      <c r="AA298" s="312">
        <f>'3. GRI Pricing'!Y289</f>
        <v>1005</v>
      </c>
      <c r="AB298" s="359">
        <f t="shared" si="74"/>
        <v>22.8842504743833</v>
      </c>
    </row>
    <row r="299" spans="3:28" s="30" customFormat="1" ht="12" x14ac:dyDescent="0.2">
      <c r="C299" s="77" t="str">
        <f>'1. Accomodation'!N294</f>
        <v>709W</v>
      </c>
      <c r="D299" s="77" t="str">
        <f>'1. Accomodation'!P294</f>
        <v>3 Bed</v>
      </c>
      <c r="E299" s="77">
        <f>'1. Accomodation'!O294</f>
        <v>840</v>
      </c>
      <c r="G299" s="341">
        <v>20040</v>
      </c>
      <c r="H299" s="273">
        <f>IFERROR(INDEX('4. Valuation'!$C$10:$I$17,MATCH($D299,'4. Valuation'!$C$10:$C$17,0),MATCH($H$25,'4. Valuation'!$C$10:$I$10,0)),0)</f>
        <v>1511</v>
      </c>
      <c r="I299" s="359">
        <f>IFERROR(INDEX('4. Valuation'!$C$10:$I$17,MATCH($D299,'4. Valuation'!$C$10:$C$17,0),MATCH($I$25,'4. Valuation'!$C$10:$I$10,0)),0)</f>
        <v>22.026444890903143</v>
      </c>
      <c r="J299" s="277"/>
      <c r="K299" s="312">
        <f t="shared" si="67"/>
        <v>18132</v>
      </c>
      <c r="L299" s="312">
        <f t="shared" si="68"/>
        <v>1511</v>
      </c>
      <c r="M299" s="359">
        <f t="shared" si="69"/>
        <v>21.585714285714285</v>
      </c>
      <c r="N299" s="278"/>
      <c r="O299" s="278"/>
      <c r="P299" s="278"/>
      <c r="Q299" s="278"/>
      <c r="R299" s="312">
        <f>IFERROR(INDEX('4. Valuation'!$O$10:$X$17,MATCH($D299,'4. Valuation'!$O$10:$O$17,0),MATCH($R$25,'4. Valuation'!$O$10:$X$10,0)),0)</f>
        <v>0</v>
      </c>
      <c r="S299" s="312">
        <f>IFERROR(INDEX('4. Valuation'!$O$10:$X$17,MATCH($D299,'4. Valuation'!$O$10:$O$17,0),MATCH($S$25,'4. Valuation'!$O$10:$X$10,0)),0)</f>
        <v>0</v>
      </c>
      <c r="T299" s="312">
        <f>IFERROR(INDEX('4. Valuation'!$O$10:$X$17,MATCH($D299,'4. Valuation'!$O$10:$O$17,0),MATCH($T$25,'4. Valuation'!$O$10:$X$10,0)),0)</f>
        <v>0</v>
      </c>
      <c r="U299" s="278"/>
      <c r="V299" s="312">
        <f t="shared" si="70"/>
        <v>0</v>
      </c>
      <c r="W299" s="312">
        <f t="shared" si="71"/>
        <v>0</v>
      </c>
      <c r="X299" s="312">
        <f t="shared" si="72"/>
        <v>0</v>
      </c>
      <c r="Y299" s="278"/>
      <c r="Z299" s="312">
        <f t="shared" si="73"/>
        <v>20340</v>
      </c>
      <c r="AA299" s="312">
        <f>'3. GRI Pricing'!Y290</f>
        <v>1695</v>
      </c>
      <c r="AB299" s="359">
        <f t="shared" si="74"/>
        <v>24.214285714285715</v>
      </c>
    </row>
    <row r="300" spans="3:28" s="30" customFormat="1" ht="12" x14ac:dyDescent="0.2">
      <c r="C300" s="77" t="str">
        <f>'1. Accomodation'!N295</f>
        <v>801W</v>
      </c>
      <c r="D300" s="77" t="str">
        <f>'1. Accomodation'!P295</f>
        <v>3 Bed</v>
      </c>
      <c r="E300" s="77">
        <f>'1. Accomodation'!O295</f>
        <v>840</v>
      </c>
      <c r="G300" s="341">
        <v>19440</v>
      </c>
      <c r="H300" s="273">
        <f>IFERROR(INDEX('4. Valuation'!$C$10:$I$17,MATCH($D300,'4. Valuation'!$C$10:$C$17,0),MATCH($H$25,'4. Valuation'!$C$10:$I$10,0)),0)</f>
        <v>1511</v>
      </c>
      <c r="I300" s="359">
        <f>IFERROR(INDEX('4. Valuation'!$C$10:$I$17,MATCH($D300,'4. Valuation'!$C$10:$C$17,0),MATCH($I$25,'4. Valuation'!$C$10:$I$10,0)),0)</f>
        <v>22.026444890903143</v>
      </c>
      <c r="J300" s="277"/>
      <c r="K300" s="312">
        <f t="shared" si="67"/>
        <v>18132</v>
      </c>
      <c r="L300" s="312">
        <f t="shared" si="68"/>
        <v>1511</v>
      </c>
      <c r="M300" s="359">
        <f t="shared" si="69"/>
        <v>21.585714285714285</v>
      </c>
      <c r="N300" s="278"/>
      <c r="O300" s="278"/>
      <c r="P300" s="278"/>
      <c r="Q300" s="278"/>
      <c r="R300" s="312">
        <f>IFERROR(INDEX('4. Valuation'!$O$10:$X$17,MATCH($D300,'4. Valuation'!$O$10:$O$17,0),MATCH($R$25,'4. Valuation'!$O$10:$X$10,0)),0)</f>
        <v>0</v>
      </c>
      <c r="S300" s="312">
        <f>IFERROR(INDEX('4. Valuation'!$O$10:$X$17,MATCH($D300,'4. Valuation'!$O$10:$O$17,0),MATCH($S$25,'4. Valuation'!$O$10:$X$10,0)),0)</f>
        <v>0</v>
      </c>
      <c r="T300" s="312">
        <f>IFERROR(INDEX('4. Valuation'!$O$10:$X$17,MATCH($D300,'4. Valuation'!$O$10:$O$17,0),MATCH($T$25,'4. Valuation'!$O$10:$X$10,0)),0)</f>
        <v>0</v>
      </c>
      <c r="U300" s="278"/>
      <c r="V300" s="312">
        <f t="shared" si="70"/>
        <v>0</v>
      </c>
      <c r="W300" s="312">
        <f t="shared" si="71"/>
        <v>0</v>
      </c>
      <c r="X300" s="312">
        <f t="shared" si="72"/>
        <v>0</v>
      </c>
      <c r="Y300" s="278"/>
      <c r="Z300" s="312">
        <f t="shared" si="73"/>
        <v>21060</v>
      </c>
      <c r="AA300" s="312">
        <f>'3. GRI Pricing'!Y291</f>
        <v>1755</v>
      </c>
      <c r="AB300" s="359">
        <f t="shared" si="74"/>
        <v>25.071428571428573</v>
      </c>
    </row>
    <row r="301" spans="3:28" s="30" customFormat="1" ht="12" x14ac:dyDescent="0.2">
      <c r="C301" s="77" t="str">
        <f>'1. Accomodation'!N296</f>
        <v>802W</v>
      </c>
      <c r="D301" s="77" t="str">
        <f>'1. Accomodation'!P296</f>
        <v>1 Bed</v>
      </c>
      <c r="E301" s="77">
        <f>'1. Accomodation'!O296</f>
        <v>495</v>
      </c>
      <c r="G301" s="341">
        <v>12360</v>
      </c>
      <c r="H301" s="273">
        <f>IFERROR(INDEX('4. Valuation'!$C$10:$I$17,MATCH($D301,'4. Valuation'!$C$10:$C$17,0),MATCH($H$25,'4. Valuation'!$C$10:$I$10,0)),0)</f>
        <v>867</v>
      </c>
      <c r="I301" s="359">
        <f>IFERROR(INDEX('4. Valuation'!$C$10:$I$17,MATCH($D301,'4. Valuation'!$C$10:$C$17,0),MATCH($I$25,'4. Valuation'!$C$10:$I$10,0)),0)</f>
        <v>20.660726106217222</v>
      </c>
      <c r="J301" s="277"/>
      <c r="K301" s="312">
        <f t="shared" si="67"/>
        <v>10404</v>
      </c>
      <c r="L301" s="312">
        <f t="shared" si="68"/>
        <v>867</v>
      </c>
      <c r="M301" s="359">
        <f t="shared" si="69"/>
        <v>21.018181818181819</v>
      </c>
      <c r="N301" s="278"/>
      <c r="O301" s="278"/>
      <c r="P301" s="278"/>
      <c r="Q301" s="278"/>
      <c r="R301" s="312">
        <f>IFERROR(INDEX('4. Valuation'!$O$10:$X$17,MATCH($D301,'4. Valuation'!$O$10:$O$17,0),MATCH($R$25,'4. Valuation'!$O$10:$X$10,0)),0)</f>
        <v>0</v>
      </c>
      <c r="S301" s="312">
        <f>IFERROR(INDEX('4. Valuation'!$O$10:$X$17,MATCH($D301,'4. Valuation'!$O$10:$O$17,0),MATCH($S$25,'4. Valuation'!$O$10:$X$10,0)),0)</f>
        <v>0</v>
      </c>
      <c r="T301" s="312">
        <f>IFERROR(INDEX('4. Valuation'!$O$10:$X$17,MATCH($D301,'4. Valuation'!$O$10:$O$17,0),MATCH($T$25,'4. Valuation'!$O$10:$X$10,0)),0)</f>
        <v>0</v>
      </c>
      <c r="U301" s="278"/>
      <c r="V301" s="312">
        <f t="shared" si="70"/>
        <v>0</v>
      </c>
      <c r="W301" s="312">
        <f t="shared" si="71"/>
        <v>0</v>
      </c>
      <c r="X301" s="312">
        <f t="shared" si="72"/>
        <v>0</v>
      </c>
      <c r="Y301" s="278"/>
      <c r="Z301" s="312">
        <f t="shared" si="73"/>
        <v>12780</v>
      </c>
      <c r="AA301" s="312">
        <f>'3. GRI Pricing'!Y292</f>
        <v>1065</v>
      </c>
      <c r="AB301" s="359">
        <f t="shared" si="74"/>
        <v>25.818181818181817</v>
      </c>
    </row>
    <row r="302" spans="3:28" s="30" customFormat="1" ht="12" x14ac:dyDescent="0.2">
      <c r="C302" s="77" t="str">
        <f>'1. Accomodation'!N297</f>
        <v>803W</v>
      </c>
      <c r="D302" s="77" t="str">
        <f>'1. Accomodation'!P297</f>
        <v>1 Bed</v>
      </c>
      <c r="E302" s="77">
        <f>'1. Accomodation'!O297</f>
        <v>506</v>
      </c>
      <c r="G302" s="341">
        <v>12300</v>
      </c>
      <c r="H302" s="273">
        <f>IFERROR(INDEX('4. Valuation'!$C$10:$I$17,MATCH($D302,'4. Valuation'!$C$10:$C$17,0),MATCH($H$25,'4. Valuation'!$C$10:$I$10,0)),0)</f>
        <v>867</v>
      </c>
      <c r="I302" s="359">
        <f>IFERROR(INDEX('4. Valuation'!$C$10:$I$17,MATCH($D302,'4. Valuation'!$C$10:$C$17,0),MATCH($I$25,'4. Valuation'!$C$10:$I$10,0)),0)</f>
        <v>20.660726106217222</v>
      </c>
      <c r="J302" s="277"/>
      <c r="K302" s="312">
        <f t="shared" si="67"/>
        <v>10404</v>
      </c>
      <c r="L302" s="312">
        <f t="shared" si="68"/>
        <v>867</v>
      </c>
      <c r="M302" s="359">
        <f t="shared" si="69"/>
        <v>20.561264822134387</v>
      </c>
      <c r="N302" s="278"/>
      <c r="O302" s="278"/>
      <c r="P302" s="278"/>
      <c r="Q302" s="278"/>
      <c r="R302" s="312">
        <f>IFERROR(INDEX('4. Valuation'!$O$10:$X$17,MATCH($D302,'4. Valuation'!$O$10:$O$17,0),MATCH($R$25,'4. Valuation'!$O$10:$X$10,0)),0)</f>
        <v>0</v>
      </c>
      <c r="S302" s="312">
        <f>IFERROR(INDEX('4. Valuation'!$O$10:$X$17,MATCH($D302,'4. Valuation'!$O$10:$O$17,0),MATCH($S$25,'4. Valuation'!$O$10:$X$10,0)),0)</f>
        <v>0</v>
      </c>
      <c r="T302" s="312">
        <f>IFERROR(INDEX('4. Valuation'!$O$10:$X$17,MATCH($D302,'4. Valuation'!$O$10:$O$17,0),MATCH($T$25,'4. Valuation'!$O$10:$X$10,0)),0)</f>
        <v>0</v>
      </c>
      <c r="U302" s="278"/>
      <c r="V302" s="312">
        <f t="shared" si="70"/>
        <v>0</v>
      </c>
      <c r="W302" s="312">
        <f t="shared" si="71"/>
        <v>0</v>
      </c>
      <c r="X302" s="312">
        <f t="shared" si="72"/>
        <v>0</v>
      </c>
      <c r="Y302" s="278"/>
      <c r="Z302" s="312">
        <f t="shared" si="73"/>
        <v>12720</v>
      </c>
      <c r="AA302" s="312">
        <f>'3. GRI Pricing'!Y293</f>
        <v>1060</v>
      </c>
      <c r="AB302" s="359">
        <f t="shared" si="74"/>
        <v>25.138339920948617</v>
      </c>
    </row>
    <row r="303" spans="3:28" s="30" customFormat="1" ht="12" x14ac:dyDescent="0.2">
      <c r="C303" s="77" t="str">
        <f>'1. Accomodation'!N298</f>
        <v>804W</v>
      </c>
      <c r="D303" s="77" t="str">
        <f>'1. Accomodation'!P298</f>
        <v>2 Bed</v>
      </c>
      <c r="E303" s="77">
        <f>'1. Accomodation'!O298</f>
        <v>624</v>
      </c>
      <c r="G303" s="341">
        <v>14700</v>
      </c>
      <c r="H303" s="273">
        <f>IFERROR(INDEX('4. Valuation'!$C$10:$I$17,MATCH($D303,'4. Valuation'!$C$10:$C$17,0),MATCH($H$25,'4. Valuation'!$C$10:$I$10,0)),0)</f>
        <v>1166</v>
      </c>
      <c r="I303" s="359">
        <f>IFERROR(INDEX('4. Valuation'!$C$10:$I$17,MATCH($D303,'4. Valuation'!$C$10:$C$17,0),MATCH($I$25,'4. Valuation'!$C$10:$I$10,0)),0)</f>
        <v>21.448728269247237</v>
      </c>
      <c r="J303" s="277"/>
      <c r="K303" s="312">
        <f t="shared" si="67"/>
        <v>13992</v>
      </c>
      <c r="L303" s="312">
        <f t="shared" si="68"/>
        <v>1166</v>
      </c>
      <c r="M303" s="359">
        <f t="shared" si="69"/>
        <v>22.423076923076923</v>
      </c>
      <c r="N303" s="278"/>
      <c r="O303" s="278"/>
      <c r="P303" s="278"/>
      <c r="Q303" s="278"/>
      <c r="R303" s="312">
        <f>IFERROR(INDEX('4. Valuation'!$O$10:$X$17,MATCH($D303,'4. Valuation'!$O$10:$O$17,0),MATCH($R$25,'4. Valuation'!$O$10:$X$10,0)),0)</f>
        <v>0</v>
      </c>
      <c r="S303" s="312">
        <f>IFERROR(INDEX('4. Valuation'!$O$10:$X$17,MATCH($D303,'4. Valuation'!$O$10:$O$17,0),MATCH($S$25,'4. Valuation'!$O$10:$X$10,0)),0)</f>
        <v>0</v>
      </c>
      <c r="T303" s="312">
        <f>IFERROR(INDEX('4. Valuation'!$O$10:$X$17,MATCH($D303,'4. Valuation'!$O$10:$O$17,0),MATCH($T$25,'4. Valuation'!$O$10:$X$10,0)),0)</f>
        <v>0</v>
      </c>
      <c r="U303" s="278"/>
      <c r="V303" s="312">
        <f t="shared" si="70"/>
        <v>0</v>
      </c>
      <c r="W303" s="312">
        <f t="shared" si="71"/>
        <v>0</v>
      </c>
      <c r="X303" s="312">
        <f t="shared" si="72"/>
        <v>0</v>
      </c>
      <c r="Y303" s="278"/>
      <c r="Z303" s="312">
        <f t="shared" si="73"/>
        <v>15840</v>
      </c>
      <c r="AA303" s="312">
        <f>'3. GRI Pricing'!Y294</f>
        <v>1320</v>
      </c>
      <c r="AB303" s="359">
        <f t="shared" si="74"/>
        <v>25.384615384615383</v>
      </c>
    </row>
    <row r="304" spans="3:28" s="30" customFormat="1" ht="12" x14ac:dyDescent="0.2">
      <c r="C304" s="77" t="str">
        <f>'1. Accomodation'!N299</f>
        <v>805W</v>
      </c>
      <c r="D304" s="77" t="str">
        <f>'1. Accomodation'!P299</f>
        <v>2 Bed</v>
      </c>
      <c r="E304" s="77">
        <f>'1. Accomodation'!O299</f>
        <v>657</v>
      </c>
      <c r="G304" s="341">
        <v>15360</v>
      </c>
      <c r="H304" s="273">
        <f>IFERROR(INDEX('4. Valuation'!$C$10:$I$17,MATCH($D304,'4. Valuation'!$C$10:$C$17,0),MATCH($H$25,'4. Valuation'!$C$10:$I$10,0)),0)</f>
        <v>1166</v>
      </c>
      <c r="I304" s="359">
        <f>IFERROR(INDEX('4. Valuation'!$C$10:$I$17,MATCH($D304,'4. Valuation'!$C$10:$C$17,0),MATCH($I$25,'4. Valuation'!$C$10:$I$10,0)),0)</f>
        <v>21.448728269247237</v>
      </c>
      <c r="J304" s="277"/>
      <c r="K304" s="312">
        <f t="shared" si="67"/>
        <v>13992</v>
      </c>
      <c r="L304" s="312">
        <f t="shared" si="68"/>
        <v>1166</v>
      </c>
      <c r="M304" s="359">
        <f t="shared" si="69"/>
        <v>21.296803652968038</v>
      </c>
      <c r="N304" s="278"/>
      <c r="O304" s="278"/>
      <c r="P304" s="278"/>
      <c r="Q304" s="278"/>
      <c r="R304" s="312">
        <f>IFERROR(INDEX('4. Valuation'!$O$10:$X$17,MATCH($D304,'4. Valuation'!$O$10:$O$17,0),MATCH($R$25,'4. Valuation'!$O$10:$X$10,0)),0)</f>
        <v>0</v>
      </c>
      <c r="S304" s="312">
        <f>IFERROR(INDEX('4. Valuation'!$O$10:$X$17,MATCH($D304,'4. Valuation'!$O$10:$O$17,0),MATCH($S$25,'4. Valuation'!$O$10:$X$10,0)),0)</f>
        <v>0</v>
      </c>
      <c r="T304" s="312">
        <f>IFERROR(INDEX('4. Valuation'!$O$10:$X$17,MATCH($D304,'4. Valuation'!$O$10:$O$17,0),MATCH($T$25,'4. Valuation'!$O$10:$X$10,0)),0)</f>
        <v>0</v>
      </c>
      <c r="U304" s="278"/>
      <c r="V304" s="312">
        <f t="shared" si="70"/>
        <v>0</v>
      </c>
      <c r="W304" s="312">
        <f t="shared" si="71"/>
        <v>0</v>
      </c>
      <c r="X304" s="312">
        <f t="shared" si="72"/>
        <v>0</v>
      </c>
      <c r="Y304" s="278"/>
      <c r="Z304" s="312">
        <f t="shared" si="73"/>
        <v>15600</v>
      </c>
      <c r="AA304" s="312">
        <f>'3. GRI Pricing'!Y295</f>
        <v>1300</v>
      </c>
      <c r="AB304" s="359">
        <f t="shared" si="74"/>
        <v>23.744292237442924</v>
      </c>
    </row>
    <row r="305" spans="3:28" s="30" customFormat="1" ht="12" x14ac:dyDescent="0.2">
      <c r="C305" s="77" t="str">
        <f>'1. Accomodation'!N300</f>
        <v>806W</v>
      </c>
      <c r="D305" s="77" t="str">
        <f>'1. Accomodation'!P300</f>
        <v>2 Bed</v>
      </c>
      <c r="E305" s="77">
        <f>'1. Accomodation'!O300</f>
        <v>689</v>
      </c>
      <c r="G305" s="341">
        <v>15780</v>
      </c>
      <c r="H305" s="273">
        <f>IFERROR(INDEX('4. Valuation'!$C$10:$I$17,MATCH($D305,'4. Valuation'!$C$10:$C$17,0),MATCH($H$25,'4. Valuation'!$C$10:$I$10,0)),0)</f>
        <v>1166</v>
      </c>
      <c r="I305" s="359">
        <f>IFERROR(INDEX('4. Valuation'!$C$10:$I$17,MATCH($D305,'4. Valuation'!$C$10:$C$17,0),MATCH($I$25,'4. Valuation'!$C$10:$I$10,0)),0)</f>
        <v>21.448728269247237</v>
      </c>
      <c r="J305" s="277"/>
      <c r="K305" s="312">
        <f t="shared" si="67"/>
        <v>13992</v>
      </c>
      <c r="L305" s="312">
        <f t="shared" si="68"/>
        <v>1166</v>
      </c>
      <c r="M305" s="359">
        <f t="shared" si="69"/>
        <v>20.307692307692307</v>
      </c>
      <c r="N305" s="278"/>
      <c r="O305" s="278"/>
      <c r="P305" s="278"/>
      <c r="Q305" s="278"/>
      <c r="R305" s="312">
        <f>IFERROR(INDEX('4. Valuation'!$O$10:$X$17,MATCH($D305,'4. Valuation'!$O$10:$O$17,0),MATCH($R$25,'4. Valuation'!$O$10:$X$10,0)),0)</f>
        <v>0</v>
      </c>
      <c r="S305" s="312">
        <f>IFERROR(INDEX('4. Valuation'!$O$10:$X$17,MATCH($D305,'4. Valuation'!$O$10:$O$17,0),MATCH($S$25,'4. Valuation'!$O$10:$X$10,0)),0)</f>
        <v>0</v>
      </c>
      <c r="T305" s="312">
        <f>IFERROR(INDEX('4. Valuation'!$O$10:$X$17,MATCH($D305,'4. Valuation'!$O$10:$O$17,0),MATCH($T$25,'4. Valuation'!$O$10:$X$10,0)),0)</f>
        <v>0</v>
      </c>
      <c r="U305" s="278"/>
      <c r="V305" s="312">
        <f t="shared" si="70"/>
        <v>0</v>
      </c>
      <c r="W305" s="312">
        <f t="shared" si="71"/>
        <v>0</v>
      </c>
      <c r="X305" s="312">
        <f t="shared" si="72"/>
        <v>0</v>
      </c>
      <c r="Y305" s="278"/>
      <c r="Z305" s="312">
        <f t="shared" si="73"/>
        <v>16140</v>
      </c>
      <c r="AA305" s="312">
        <f>'3. GRI Pricing'!Y296</f>
        <v>1345</v>
      </c>
      <c r="AB305" s="359">
        <f t="shared" si="74"/>
        <v>23.425253991291726</v>
      </c>
    </row>
    <row r="306" spans="3:28" s="30" customFormat="1" ht="12" x14ac:dyDescent="0.2">
      <c r="C306" s="77" t="str">
        <f>'1. Accomodation'!N301</f>
        <v>807W</v>
      </c>
      <c r="D306" s="77" t="str">
        <f>'1. Accomodation'!P301</f>
        <v>2 Bed</v>
      </c>
      <c r="E306" s="77">
        <f>'1. Accomodation'!O301</f>
        <v>678</v>
      </c>
      <c r="G306" s="341">
        <v>16020</v>
      </c>
      <c r="H306" s="273">
        <f>IFERROR(INDEX('4. Valuation'!$C$10:$I$17,MATCH($D306,'4. Valuation'!$C$10:$C$17,0),MATCH($H$25,'4. Valuation'!$C$10:$I$10,0)),0)</f>
        <v>1166</v>
      </c>
      <c r="I306" s="359">
        <f>IFERROR(INDEX('4. Valuation'!$C$10:$I$17,MATCH($D306,'4. Valuation'!$C$10:$C$17,0),MATCH($I$25,'4. Valuation'!$C$10:$I$10,0)),0)</f>
        <v>21.448728269247237</v>
      </c>
      <c r="J306" s="277"/>
      <c r="K306" s="312">
        <f t="shared" si="67"/>
        <v>13992</v>
      </c>
      <c r="L306" s="312">
        <f t="shared" si="68"/>
        <v>1166</v>
      </c>
      <c r="M306" s="359">
        <f t="shared" si="69"/>
        <v>20.63716814159292</v>
      </c>
      <c r="N306" s="278"/>
      <c r="O306" s="278"/>
      <c r="P306" s="278"/>
      <c r="Q306" s="278"/>
      <c r="R306" s="312">
        <f>IFERROR(INDEX('4. Valuation'!$O$10:$X$17,MATCH($D306,'4. Valuation'!$O$10:$O$17,0),MATCH($R$25,'4. Valuation'!$O$10:$X$10,0)),0)</f>
        <v>0</v>
      </c>
      <c r="S306" s="312">
        <f>IFERROR(INDEX('4. Valuation'!$O$10:$X$17,MATCH($D306,'4. Valuation'!$O$10:$O$17,0),MATCH($S$25,'4. Valuation'!$O$10:$X$10,0)),0)</f>
        <v>0</v>
      </c>
      <c r="T306" s="312">
        <f>IFERROR(INDEX('4. Valuation'!$O$10:$X$17,MATCH($D306,'4. Valuation'!$O$10:$O$17,0),MATCH($T$25,'4. Valuation'!$O$10:$X$10,0)),0)</f>
        <v>0</v>
      </c>
      <c r="U306" s="278"/>
      <c r="V306" s="312">
        <f t="shared" si="70"/>
        <v>0</v>
      </c>
      <c r="W306" s="312">
        <f t="shared" si="71"/>
        <v>0</v>
      </c>
      <c r="X306" s="312">
        <f t="shared" si="72"/>
        <v>0</v>
      </c>
      <c r="Y306" s="278"/>
      <c r="Z306" s="312">
        <f t="shared" si="73"/>
        <v>16200</v>
      </c>
      <c r="AA306" s="312">
        <f>'3. GRI Pricing'!Y297</f>
        <v>1350</v>
      </c>
      <c r="AB306" s="359">
        <f t="shared" si="74"/>
        <v>23.893805309734514</v>
      </c>
    </row>
    <row r="307" spans="3:28" s="30" customFormat="1" ht="12" x14ac:dyDescent="0.2">
      <c r="C307" s="77" t="str">
        <f>'1. Accomodation'!N302</f>
        <v>808W</v>
      </c>
      <c r="D307" s="77" t="str">
        <f>'1. Accomodation'!P302</f>
        <v>1 Bed</v>
      </c>
      <c r="E307" s="77">
        <f>'1. Accomodation'!O302</f>
        <v>527</v>
      </c>
      <c r="G307" s="341">
        <v>12000</v>
      </c>
      <c r="H307" s="273">
        <f>IFERROR(INDEX('4. Valuation'!$C$10:$I$17,MATCH($D307,'4. Valuation'!$C$10:$C$17,0),MATCH($H$25,'4. Valuation'!$C$10:$I$10,0)),0)</f>
        <v>867</v>
      </c>
      <c r="I307" s="359">
        <f>IFERROR(INDEX('4. Valuation'!$C$10:$I$17,MATCH($D307,'4. Valuation'!$C$10:$C$17,0),MATCH($I$25,'4. Valuation'!$C$10:$I$10,0)),0)</f>
        <v>20.660726106217222</v>
      </c>
      <c r="J307" s="277"/>
      <c r="K307" s="312">
        <f t="shared" si="67"/>
        <v>10404</v>
      </c>
      <c r="L307" s="312">
        <f t="shared" si="68"/>
        <v>867</v>
      </c>
      <c r="M307" s="359">
        <f t="shared" si="69"/>
        <v>19.741935483870968</v>
      </c>
      <c r="N307" s="278"/>
      <c r="O307" s="278"/>
      <c r="P307" s="278"/>
      <c r="Q307" s="278"/>
      <c r="R307" s="312">
        <f>IFERROR(INDEX('4. Valuation'!$O$10:$X$17,MATCH($D307,'4. Valuation'!$O$10:$O$17,0),MATCH($R$25,'4. Valuation'!$O$10:$X$10,0)),0)</f>
        <v>0</v>
      </c>
      <c r="S307" s="312">
        <f>IFERROR(INDEX('4. Valuation'!$O$10:$X$17,MATCH($D307,'4. Valuation'!$O$10:$O$17,0),MATCH($S$25,'4. Valuation'!$O$10:$X$10,0)),0)</f>
        <v>0</v>
      </c>
      <c r="T307" s="312">
        <f>IFERROR(INDEX('4. Valuation'!$O$10:$X$17,MATCH($D307,'4. Valuation'!$O$10:$O$17,0),MATCH($T$25,'4. Valuation'!$O$10:$X$10,0)),0)</f>
        <v>0</v>
      </c>
      <c r="U307" s="278"/>
      <c r="V307" s="312">
        <f t="shared" si="70"/>
        <v>0</v>
      </c>
      <c r="W307" s="312">
        <f t="shared" si="71"/>
        <v>0</v>
      </c>
      <c r="X307" s="312">
        <f t="shared" si="72"/>
        <v>0</v>
      </c>
      <c r="Y307" s="278"/>
      <c r="Z307" s="312">
        <f t="shared" si="73"/>
        <v>12780</v>
      </c>
      <c r="AA307" s="312">
        <f>'3. GRI Pricing'!Y298</f>
        <v>1065</v>
      </c>
      <c r="AB307" s="359">
        <f t="shared" si="74"/>
        <v>24.250474383301707</v>
      </c>
    </row>
    <row r="308" spans="3:28" s="30" customFormat="1" ht="12" x14ac:dyDescent="0.2">
      <c r="C308" s="77" t="str">
        <f>'1. Accomodation'!N303</f>
        <v>809W</v>
      </c>
      <c r="D308" s="77" t="str">
        <f>'1. Accomodation'!P303</f>
        <v>3 Bed</v>
      </c>
      <c r="E308" s="77">
        <f>'1. Accomodation'!O303</f>
        <v>840</v>
      </c>
      <c r="G308" s="341">
        <v>20520</v>
      </c>
      <c r="H308" s="273">
        <f>IFERROR(INDEX('4. Valuation'!$C$10:$I$17,MATCH($D308,'4. Valuation'!$C$10:$C$17,0),MATCH($H$25,'4. Valuation'!$C$10:$I$10,0)),0)</f>
        <v>1511</v>
      </c>
      <c r="I308" s="359">
        <f>IFERROR(INDEX('4. Valuation'!$C$10:$I$17,MATCH($D308,'4. Valuation'!$C$10:$C$17,0),MATCH($I$25,'4. Valuation'!$C$10:$I$10,0)),0)</f>
        <v>22.026444890903143</v>
      </c>
      <c r="J308" s="277"/>
      <c r="K308" s="312">
        <f t="shared" si="67"/>
        <v>18132</v>
      </c>
      <c r="L308" s="312">
        <f t="shared" si="68"/>
        <v>1511</v>
      </c>
      <c r="M308" s="359">
        <f t="shared" si="69"/>
        <v>21.585714285714285</v>
      </c>
      <c r="N308" s="278"/>
      <c r="O308" s="278"/>
      <c r="P308" s="278"/>
      <c r="Q308" s="278"/>
      <c r="R308" s="312">
        <f>IFERROR(INDEX('4. Valuation'!$O$10:$X$17,MATCH($D308,'4. Valuation'!$O$10:$O$17,0),MATCH($R$25,'4. Valuation'!$O$10:$X$10,0)),0)</f>
        <v>0</v>
      </c>
      <c r="S308" s="312">
        <f>IFERROR(INDEX('4. Valuation'!$O$10:$X$17,MATCH($D308,'4. Valuation'!$O$10:$O$17,0),MATCH($S$25,'4. Valuation'!$O$10:$X$10,0)),0)</f>
        <v>0</v>
      </c>
      <c r="T308" s="312">
        <f>IFERROR(INDEX('4. Valuation'!$O$10:$X$17,MATCH($D308,'4. Valuation'!$O$10:$O$17,0),MATCH($T$25,'4. Valuation'!$O$10:$X$10,0)),0)</f>
        <v>0</v>
      </c>
      <c r="U308" s="278"/>
      <c r="V308" s="312">
        <f t="shared" si="70"/>
        <v>0</v>
      </c>
      <c r="W308" s="312">
        <f t="shared" si="71"/>
        <v>0</v>
      </c>
      <c r="X308" s="312">
        <f t="shared" si="72"/>
        <v>0</v>
      </c>
      <c r="Y308" s="278"/>
      <c r="Z308" s="312">
        <f t="shared" si="73"/>
        <v>21060</v>
      </c>
      <c r="AA308" s="312">
        <f>'3. GRI Pricing'!Y299</f>
        <v>1755</v>
      </c>
      <c r="AB308" s="359">
        <f t="shared" si="74"/>
        <v>25.071428571428573</v>
      </c>
    </row>
    <row r="309" spans="3:28" s="30" customFormat="1" ht="12" x14ac:dyDescent="0.2">
      <c r="C309" s="77">
        <f>'1. Accomodation'!N304</f>
        <v>0</v>
      </c>
      <c r="D309" s="77">
        <f>'1. Accomodation'!P304</f>
        <v>0</v>
      </c>
      <c r="E309" s="77">
        <f>'1. Accomodation'!O304</f>
        <v>0</v>
      </c>
      <c r="G309" s="341">
        <f>IFERROR(INDEX('4. Valuation'!$C$10:$I$17,MATCH($D309,'4. Valuation'!$C$10:$C$17,0),MATCH($G$25,'4. Valuation'!$C$10:$I$10,0)),0)</f>
        <v>0</v>
      </c>
      <c r="H309" s="273">
        <f>IFERROR(INDEX('4. Valuation'!$C$10:$I$17,MATCH($D309,'4. Valuation'!$C$10:$C$17,0),MATCH($H$25,'4. Valuation'!$C$10:$I$10,0)),0)</f>
        <v>0</v>
      </c>
      <c r="I309" s="359" t="str">
        <f>IFERROR(INDEX('4. Valuation'!$C$10:$I$17,MATCH($D309,'4. Valuation'!$C$10:$C$17,0),MATCH($I$25,'4. Valuation'!$C$10:$I$10,0)),0)</f>
        <v>-</v>
      </c>
      <c r="J309" s="277"/>
      <c r="K309" s="312">
        <f t="shared" si="67"/>
        <v>0</v>
      </c>
      <c r="L309" s="312">
        <f t="shared" si="68"/>
        <v>0</v>
      </c>
      <c r="M309" s="359">
        <f t="shared" si="69"/>
        <v>0</v>
      </c>
      <c r="N309" s="278"/>
      <c r="O309" s="278"/>
      <c r="P309" s="278"/>
      <c r="Q309" s="278"/>
      <c r="R309" s="312">
        <f>IFERROR(INDEX('4. Valuation'!$O$10:$X$17,MATCH($D309,'4. Valuation'!$O$10:$O$17,0),MATCH($R$25,'4. Valuation'!$O$10:$X$10,0)),0)</f>
        <v>0</v>
      </c>
      <c r="S309" s="312">
        <f>IFERROR(INDEX('4. Valuation'!$O$10:$X$17,MATCH($D309,'4. Valuation'!$O$10:$O$17,0),MATCH($S$25,'4. Valuation'!$O$10:$X$10,0)),0)</f>
        <v>0</v>
      </c>
      <c r="T309" s="312" t="str">
        <f>IFERROR(INDEX('4. Valuation'!$O$10:$X$17,MATCH($D309,'4. Valuation'!$O$10:$O$17,0),MATCH($T$25,'4. Valuation'!$O$10:$X$10,0)),0)</f>
        <v>-</v>
      </c>
      <c r="U309" s="278"/>
      <c r="V309" s="312">
        <f t="shared" si="70"/>
        <v>0</v>
      </c>
      <c r="W309" s="312">
        <f t="shared" si="71"/>
        <v>0</v>
      </c>
      <c r="X309" s="312">
        <f t="shared" si="72"/>
        <v>0</v>
      </c>
      <c r="Y309" s="278"/>
      <c r="Z309" s="312">
        <f t="shared" si="73"/>
        <v>0</v>
      </c>
      <c r="AA309" s="312">
        <f>'3. GRI Pricing'!Y300</f>
        <v>0</v>
      </c>
      <c r="AB309" s="359">
        <f t="shared" si="74"/>
        <v>0</v>
      </c>
    </row>
    <row r="310" spans="3:28" s="30" customFormat="1" ht="12" x14ac:dyDescent="0.2">
      <c r="C310" s="77">
        <f>'1. Accomodation'!N305</f>
        <v>0</v>
      </c>
      <c r="D310" s="77">
        <f>'1. Accomodation'!P305</f>
        <v>0</v>
      </c>
      <c r="E310" s="77">
        <f>'1. Accomodation'!O305</f>
        <v>0</v>
      </c>
      <c r="G310" s="341">
        <f>IFERROR(INDEX('4. Valuation'!$C$10:$I$17,MATCH($D310,'4. Valuation'!$C$10:$C$17,0),MATCH($G$25,'4. Valuation'!$C$10:$I$10,0)),0)</f>
        <v>0</v>
      </c>
      <c r="H310" s="273">
        <f>IFERROR(INDEX('4. Valuation'!$C$10:$I$17,MATCH($D310,'4. Valuation'!$C$10:$C$17,0),MATCH($H$25,'4. Valuation'!$C$10:$I$10,0)),0)</f>
        <v>0</v>
      </c>
      <c r="I310" s="359" t="str">
        <f>IFERROR(INDEX('4. Valuation'!$C$10:$I$17,MATCH($D310,'4. Valuation'!$C$10:$C$17,0),MATCH($I$25,'4. Valuation'!$C$10:$I$10,0)),0)</f>
        <v>-</v>
      </c>
      <c r="J310" s="277"/>
      <c r="K310" s="312">
        <f t="shared" si="67"/>
        <v>0</v>
      </c>
      <c r="L310" s="312">
        <f t="shared" si="68"/>
        <v>0</v>
      </c>
      <c r="M310" s="359">
        <f t="shared" si="69"/>
        <v>0</v>
      </c>
      <c r="N310" s="278"/>
      <c r="O310" s="278"/>
      <c r="P310" s="278"/>
      <c r="Q310" s="278"/>
      <c r="R310" s="312">
        <f>IFERROR(INDEX('4. Valuation'!$O$10:$X$17,MATCH($D310,'4. Valuation'!$O$10:$O$17,0),MATCH($R$25,'4. Valuation'!$O$10:$X$10,0)),0)</f>
        <v>0</v>
      </c>
      <c r="S310" s="312">
        <f>IFERROR(INDEX('4. Valuation'!$O$10:$X$17,MATCH($D310,'4. Valuation'!$O$10:$O$17,0),MATCH($S$25,'4. Valuation'!$O$10:$X$10,0)),0)</f>
        <v>0</v>
      </c>
      <c r="T310" s="312" t="str">
        <f>IFERROR(INDEX('4. Valuation'!$O$10:$X$17,MATCH($D310,'4. Valuation'!$O$10:$O$17,0),MATCH($T$25,'4. Valuation'!$O$10:$X$10,0)),0)</f>
        <v>-</v>
      </c>
      <c r="U310" s="278"/>
      <c r="V310" s="312">
        <f t="shared" si="70"/>
        <v>0</v>
      </c>
      <c r="W310" s="312">
        <f t="shared" si="71"/>
        <v>0</v>
      </c>
      <c r="X310" s="312">
        <f t="shared" si="72"/>
        <v>0</v>
      </c>
      <c r="Y310" s="278"/>
      <c r="Z310" s="312">
        <f t="shared" si="73"/>
        <v>0</v>
      </c>
      <c r="AA310" s="312">
        <f>'3. GRI Pricing'!Y301</f>
        <v>0</v>
      </c>
      <c r="AB310" s="359">
        <f t="shared" si="74"/>
        <v>0</v>
      </c>
    </row>
    <row r="311" spans="3:28" s="30" customFormat="1" ht="12" x14ac:dyDescent="0.2">
      <c r="C311" s="77">
        <f>'1. Accomodation'!N306</f>
        <v>0</v>
      </c>
      <c r="D311" s="77">
        <f>'1. Accomodation'!P306</f>
        <v>0</v>
      </c>
      <c r="E311" s="77">
        <f>'1. Accomodation'!O306</f>
        <v>0</v>
      </c>
      <c r="G311" s="341">
        <f>IFERROR(INDEX('4. Valuation'!$C$10:$I$17,MATCH($D311,'4. Valuation'!$C$10:$C$17,0),MATCH($G$25,'4. Valuation'!$C$10:$I$10,0)),0)</f>
        <v>0</v>
      </c>
      <c r="H311" s="273">
        <f>IFERROR(INDEX('4. Valuation'!$C$10:$I$17,MATCH($D311,'4. Valuation'!$C$10:$C$17,0),MATCH($H$25,'4. Valuation'!$C$10:$I$10,0)),0)</f>
        <v>0</v>
      </c>
      <c r="I311" s="359" t="str">
        <f>IFERROR(INDEX('4. Valuation'!$C$10:$I$17,MATCH($D311,'4. Valuation'!$C$10:$C$17,0),MATCH($I$25,'4. Valuation'!$C$10:$I$10,0)),0)</f>
        <v>-</v>
      </c>
      <c r="J311" s="277"/>
      <c r="K311" s="312">
        <f t="shared" si="67"/>
        <v>0</v>
      </c>
      <c r="L311" s="312">
        <f t="shared" si="68"/>
        <v>0</v>
      </c>
      <c r="M311" s="359">
        <f t="shared" si="69"/>
        <v>0</v>
      </c>
      <c r="N311" s="278"/>
      <c r="O311" s="278"/>
      <c r="P311" s="278"/>
      <c r="Q311" s="278"/>
      <c r="R311" s="312">
        <f>IFERROR(INDEX('4. Valuation'!$O$10:$X$17,MATCH($D311,'4. Valuation'!$O$10:$O$17,0),MATCH($R$25,'4. Valuation'!$O$10:$X$10,0)),0)</f>
        <v>0</v>
      </c>
      <c r="S311" s="312">
        <f>IFERROR(INDEX('4. Valuation'!$O$10:$X$17,MATCH($D311,'4. Valuation'!$O$10:$O$17,0),MATCH($S$25,'4. Valuation'!$O$10:$X$10,0)),0)</f>
        <v>0</v>
      </c>
      <c r="T311" s="312" t="str">
        <f>IFERROR(INDEX('4. Valuation'!$O$10:$X$17,MATCH($D311,'4. Valuation'!$O$10:$O$17,0),MATCH($T$25,'4. Valuation'!$O$10:$X$10,0)),0)</f>
        <v>-</v>
      </c>
      <c r="U311" s="278"/>
      <c r="V311" s="312">
        <f t="shared" si="70"/>
        <v>0</v>
      </c>
      <c r="W311" s="312">
        <f t="shared" si="71"/>
        <v>0</v>
      </c>
      <c r="X311" s="312">
        <f t="shared" si="72"/>
        <v>0</v>
      </c>
      <c r="Y311" s="278"/>
      <c r="Z311" s="312">
        <f t="shared" si="73"/>
        <v>0</v>
      </c>
      <c r="AA311" s="312">
        <f>'3. GRI Pricing'!Y302</f>
        <v>0</v>
      </c>
      <c r="AB311" s="359">
        <f t="shared" si="74"/>
        <v>0</v>
      </c>
    </row>
    <row r="312" spans="3:28" s="30" customFormat="1" ht="12" x14ac:dyDescent="0.2">
      <c r="C312" s="77">
        <f>'1. Accomodation'!N307</f>
        <v>0</v>
      </c>
      <c r="D312" s="77">
        <f>'1. Accomodation'!P307</f>
        <v>0</v>
      </c>
      <c r="E312" s="77">
        <f>'1. Accomodation'!O307</f>
        <v>0</v>
      </c>
      <c r="G312" s="341">
        <f>IFERROR(INDEX('4. Valuation'!$C$10:$I$17,MATCH($D312,'4. Valuation'!$C$10:$C$17,0),MATCH($G$25,'4. Valuation'!$C$10:$I$10,0)),0)</f>
        <v>0</v>
      </c>
      <c r="H312" s="273">
        <f>IFERROR(INDEX('4. Valuation'!$C$10:$I$17,MATCH($D312,'4. Valuation'!$C$10:$C$17,0),MATCH($H$25,'4. Valuation'!$C$10:$I$10,0)),0)</f>
        <v>0</v>
      </c>
      <c r="I312" s="359" t="str">
        <f>IFERROR(INDEX('4. Valuation'!$C$10:$I$17,MATCH($D312,'4. Valuation'!$C$10:$C$17,0),MATCH($I$25,'4. Valuation'!$C$10:$I$10,0)),0)</f>
        <v>-</v>
      </c>
      <c r="J312" s="277"/>
      <c r="K312" s="312">
        <f t="shared" si="67"/>
        <v>0</v>
      </c>
      <c r="L312" s="312">
        <f t="shared" si="68"/>
        <v>0</v>
      </c>
      <c r="M312" s="359">
        <f t="shared" si="69"/>
        <v>0</v>
      </c>
      <c r="N312" s="278"/>
      <c r="O312" s="278"/>
      <c r="P312" s="278"/>
      <c r="Q312" s="278"/>
      <c r="R312" s="312">
        <f>IFERROR(INDEX('4. Valuation'!$O$10:$X$17,MATCH($D312,'4. Valuation'!$O$10:$O$17,0),MATCH($R$25,'4. Valuation'!$O$10:$X$10,0)),0)</f>
        <v>0</v>
      </c>
      <c r="S312" s="312">
        <f>IFERROR(INDEX('4. Valuation'!$O$10:$X$17,MATCH($D312,'4. Valuation'!$O$10:$O$17,0),MATCH($S$25,'4. Valuation'!$O$10:$X$10,0)),0)</f>
        <v>0</v>
      </c>
      <c r="T312" s="312" t="str">
        <f>IFERROR(INDEX('4. Valuation'!$O$10:$X$17,MATCH($D312,'4. Valuation'!$O$10:$O$17,0),MATCH($T$25,'4. Valuation'!$O$10:$X$10,0)),0)</f>
        <v>-</v>
      </c>
      <c r="U312" s="278"/>
      <c r="V312" s="312">
        <f t="shared" si="70"/>
        <v>0</v>
      </c>
      <c r="W312" s="312">
        <f t="shared" si="71"/>
        <v>0</v>
      </c>
      <c r="X312" s="312">
        <f t="shared" si="72"/>
        <v>0</v>
      </c>
      <c r="Y312" s="278"/>
      <c r="Z312" s="312">
        <f t="shared" si="73"/>
        <v>0</v>
      </c>
      <c r="AA312" s="312">
        <f>'3. GRI Pricing'!Y303</f>
        <v>0</v>
      </c>
      <c r="AB312" s="359">
        <f t="shared" si="74"/>
        <v>0</v>
      </c>
    </row>
    <row r="313" spans="3:28" s="30" customFormat="1" ht="12" x14ac:dyDescent="0.2">
      <c r="C313" s="77">
        <f>'1. Accomodation'!N308</f>
        <v>0</v>
      </c>
      <c r="D313" s="77">
        <f>'1. Accomodation'!P308</f>
        <v>0</v>
      </c>
      <c r="E313" s="77">
        <f>'1. Accomodation'!O308</f>
        <v>0</v>
      </c>
      <c r="G313" s="341">
        <f>IFERROR(INDEX('4. Valuation'!$C$10:$I$17,MATCH($D313,'4. Valuation'!$C$10:$C$17,0),MATCH($G$25,'4. Valuation'!$C$10:$I$10,0)),0)</f>
        <v>0</v>
      </c>
      <c r="H313" s="273">
        <f>IFERROR(INDEX('4. Valuation'!$C$10:$I$17,MATCH($D313,'4. Valuation'!$C$10:$C$17,0),MATCH($H$25,'4. Valuation'!$C$10:$I$10,0)),0)</f>
        <v>0</v>
      </c>
      <c r="I313" s="359" t="str">
        <f>IFERROR(INDEX('4. Valuation'!$C$10:$I$17,MATCH($D313,'4. Valuation'!$C$10:$C$17,0),MATCH($I$25,'4. Valuation'!$C$10:$I$10,0)),0)</f>
        <v>-</v>
      </c>
      <c r="J313" s="277"/>
      <c r="K313" s="312">
        <f t="shared" si="67"/>
        <v>0</v>
      </c>
      <c r="L313" s="312">
        <f t="shared" si="68"/>
        <v>0</v>
      </c>
      <c r="M313" s="359">
        <f t="shared" si="69"/>
        <v>0</v>
      </c>
      <c r="N313" s="278"/>
      <c r="O313" s="278"/>
      <c r="P313" s="278"/>
      <c r="Q313" s="278"/>
      <c r="R313" s="312">
        <f>IFERROR(INDEX('4. Valuation'!$O$10:$X$17,MATCH($D313,'4. Valuation'!$O$10:$O$17,0),MATCH($R$25,'4. Valuation'!$O$10:$X$10,0)),0)</f>
        <v>0</v>
      </c>
      <c r="S313" s="312">
        <f>IFERROR(INDEX('4. Valuation'!$O$10:$X$17,MATCH($D313,'4. Valuation'!$O$10:$O$17,0),MATCH($S$25,'4. Valuation'!$O$10:$X$10,0)),0)</f>
        <v>0</v>
      </c>
      <c r="T313" s="312" t="str">
        <f>IFERROR(INDEX('4. Valuation'!$O$10:$X$17,MATCH($D313,'4. Valuation'!$O$10:$O$17,0),MATCH($T$25,'4. Valuation'!$O$10:$X$10,0)),0)</f>
        <v>-</v>
      </c>
      <c r="U313" s="278"/>
      <c r="V313" s="312">
        <f t="shared" si="70"/>
        <v>0</v>
      </c>
      <c r="W313" s="312">
        <f t="shared" si="71"/>
        <v>0</v>
      </c>
      <c r="X313" s="312">
        <f t="shared" si="72"/>
        <v>0</v>
      </c>
      <c r="Y313" s="278"/>
      <c r="Z313" s="312">
        <f t="shared" si="73"/>
        <v>0</v>
      </c>
      <c r="AA313" s="312">
        <f>'3. GRI Pricing'!Y304</f>
        <v>0</v>
      </c>
      <c r="AB313" s="359">
        <f t="shared" si="74"/>
        <v>0</v>
      </c>
    </row>
    <row r="314" spans="3:28" s="30" customFormat="1" ht="12" x14ac:dyDescent="0.2">
      <c r="C314" s="77">
        <f>'1. Accomodation'!N309</f>
        <v>0</v>
      </c>
      <c r="D314" s="77">
        <f>'1. Accomodation'!P309</f>
        <v>0</v>
      </c>
      <c r="E314" s="77">
        <f>'1. Accomodation'!O309</f>
        <v>0</v>
      </c>
      <c r="G314" s="341">
        <f>IFERROR(INDEX('4. Valuation'!$C$10:$I$17,MATCH($D314,'4. Valuation'!$C$10:$C$17,0),MATCH($G$25,'4. Valuation'!$C$10:$I$10,0)),0)</f>
        <v>0</v>
      </c>
      <c r="H314" s="273">
        <f>IFERROR(INDEX('4. Valuation'!$C$10:$I$17,MATCH($D314,'4. Valuation'!$C$10:$C$17,0),MATCH($H$25,'4. Valuation'!$C$10:$I$10,0)),0)</f>
        <v>0</v>
      </c>
      <c r="I314" s="359" t="str">
        <f>IFERROR(INDEX('4. Valuation'!$C$10:$I$17,MATCH($D314,'4. Valuation'!$C$10:$C$17,0),MATCH($I$25,'4. Valuation'!$C$10:$I$10,0)),0)</f>
        <v>-</v>
      </c>
      <c r="J314" s="277"/>
      <c r="K314" s="312">
        <f t="shared" si="67"/>
        <v>0</v>
      </c>
      <c r="L314" s="312">
        <f t="shared" si="68"/>
        <v>0</v>
      </c>
      <c r="M314" s="359">
        <f t="shared" si="69"/>
        <v>0</v>
      </c>
      <c r="N314" s="278"/>
      <c r="O314" s="278"/>
      <c r="P314" s="278"/>
      <c r="Q314" s="278"/>
      <c r="R314" s="312">
        <f>IFERROR(INDEX('4. Valuation'!$O$10:$X$17,MATCH($D314,'4. Valuation'!$O$10:$O$17,0),MATCH($R$25,'4. Valuation'!$O$10:$X$10,0)),0)</f>
        <v>0</v>
      </c>
      <c r="S314" s="312">
        <f>IFERROR(INDEX('4. Valuation'!$O$10:$X$17,MATCH($D314,'4. Valuation'!$O$10:$O$17,0),MATCH($S$25,'4. Valuation'!$O$10:$X$10,0)),0)</f>
        <v>0</v>
      </c>
      <c r="T314" s="312" t="str">
        <f>IFERROR(INDEX('4. Valuation'!$O$10:$X$17,MATCH($D314,'4. Valuation'!$O$10:$O$17,0),MATCH($T$25,'4. Valuation'!$O$10:$X$10,0)),0)</f>
        <v>-</v>
      </c>
      <c r="U314" s="278"/>
      <c r="V314" s="312">
        <f t="shared" si="70"/>
        <v>0</v>
      </c>
      <c r="W314" s="312">
        <f t="shared" si="71"/>
        <v>0</v>
      </c>
      <c r="X314" s="312">
        <f t="shared" si="72"/>
        <v>0</v>
      </c>
      <c r="Y314" s="278"/>
      <c r="Z314" s="312">
        <f t="shared" si="73"/>
        <v>0</v>
      </c>
      <c r="AA314" s="312">
        <f>'3. GRI Pricing'!Y305</f>
        <v>0</v>
      </c>
      <c r="AB314" s="359">
        <f t="shared" si="74"/>
        <v>0</v>
      </c>
    </row>
    <row r="315" spans="3:28" s="30" customFormat="1" ht="12" x14ac:dyDescent="0.2">
      <c r="C315" s="77">
        <f>'1. Accomodation'!N310</f>
        <v>0</v>
      </c>
      <c r="D315" s="77">
        <f>'1. Accomodation'!P310</f>
        <v>0</v>
      </c>
      <c r="E315" s="77">
        <f>'1. Accomodation'!O310</f>
        <v>0</v>
      </c>
      <c r="G315" s="341">
        <f>IFERROR(INDEX('4. Valuation'!$C$10:$I$17,MATCH($D315,'4. Valuation'!$C$10:$C$17,0),MATCH($G$25,'4. Valuation'!$C$10:$I$10,0)),0)</f>
        <v>0</v>
      </c>
      <c r="H315" s="273">
        <f>IFERROR(INDEX('4. Valuation'!$C$10:$I$17,MATCH($D315,'4. Valuation'!$C$10:$C$17,0),MATCH($H$25,'4. Valuation'!$C$10:$I$10,0)),0)</f>
        <v>0</v>
      </c>
      <c r="I315" s="359" t="str">
        <f>IFERROR(INDEX('4. Valuation'!$C$10:$I$17,MATCH($D315,'4. Valuation'!$C$10:$C$17,0),MATCH($I$25,'4. Valuation'!$C$10:$I$10,0)),0)</f>
        <v>-</v>
      </c>
      <c r="J315" s="277"/>
      <c r="K315" s="312">
        <f t="shared" si="67"/>
        <v>0</v>
      </c>
      <c r="L315" s="312">
        <f t="shared" si="68"/>
        <v>0</v>
      </c>
      <c r="M315" s="359">
        <f t="shared" si="69"/>
        <v>0</v>
      </c>
      <c r="N315" s="278"/>
      <c r="O315" s="278"/>
      <c r="P315" s="278"/>
      <c r="Q315" s="278"/>
      <c r="R315" s="312">
        <f>IFERROR(INDEX('4. Valuation'!$O$10:$X$17,MATCH($D315,'4. Valuation'!$O$10:$O$17,0),MATCH($R$25,'4. Valuation'!$O$10:$X$10,0)),0)</f>
        <v>0</v>
      </c>
      <c r="S315" s="312">
        <f>IFERROR(INDEX('4. Valuation'!$O$10:$X$17,MATCH($D315,'4. Valuation'!$O$10:$O$17,0),MATCH($S$25,'4. Valuation'!$O$10:$X$10,0)),0)</f>
        <v>0</v>
      </c>
      <c r="T315" s="312" t="str">
        <f>IFERROR(INDEX('4. Valuation'!$O$10:$X$17,MATCH($D315,'4. Valuation'!$O$10:$O$17,0),MATCH($T$25,'4. Valuation'!$O$10:$X$10,0)),0)</f>
        <v>-</v>
      </c>
      <c r="U315" s="278"/>
      <c r="V315" s="312">
        <f t="shared" si="70"/>
        <v>0</v>
      </c>
      <c r="W315" s="312">
        <f t="shared" si="71"/>
        <v>0</v>
      </c>
      <c r="X315" s="312">
        <f t="shared" si="72"/>
        <v>0</v>
      </c>
      <c r="Y315" s="278"/>
      <c r="Z315" s="312">
        <f t="shared" si="73"/>
        <v>0</v>
      </c>
      <c r="AA315" s="312">
        <f>'3. GRI Pricing'!Y306</f>
        <v>0</v>
      </c>
      <c r="AB315" s="359">
        <f t="shared" si="74"/>
        <v>0</v>
      </c>
    </row>
    <row r="316" spans="3:28" s="30" customFormat="1" ht="12" x14ac:dyDescent="0.2">
      <c r="C316" s="77">
        <f>'1. Accomodation'!N311</f>
        <v>0</v>
      </c>
      <c r="D316" s="77">
        <f>'1. Accomodation'!P311</f>
        <v>0</v>
      </c>
      <c r="E316" s="77">
        <f>'1. Accomodation'!O311</f>
        <v>0</v>
      </c>
      <c r="G316" s="341">
        <f>IFERROR(INDEX('4. Valuation'!$C$10:$I$17,MATCH($D316,'4. Valuation'!$C$10:$C$17,0),MATCH($G$25,'4. Valuation'!$C$10:$I$10,0)),0)</f>
        <v>0</v>
      </c>
      <c r="H316" s="273">
        <f>IFERROR(INDEX('4. Valuation'!$C$10:$I$17,MATCH($D316,'4. Valuation'!$C$10:$C$17,0),MATCH($H$25,'4. Valuation'!$C$10:$I$10,0)),0)</f>
        <v>0</v>
      </c>
      <c r="I316" s="359" t="str">
        <f>IFERROR(INDEX('4. Valuation'!$C$10:$I$17,MATCH($D316,'4. Valuation'!$C$10:$C$17,0),MATCH($I$25,'4. Valuation'!$C$10:$I$10,0)),0)</f>
        <v>-</v>
      </c>
      <c r="J316" s="277"/>
      <c r="K316" s="312">
        <f t="shared" si="67"/>
        <v>0</v>
      </c>
      <c r="L316" s="312">
        <f t="shared" si="68"/>
        <v>0</v>
      </c>
      <c r="M316" s="359">
        <f t="shared" si="69"/>
        <v>0</v>
      </c>
      <c r="N316" s="278"/>
      <c r="O316" s="278"/>
      <c r="P316" s="278"/>
      <c r="Q316" s="278"/>
      <c r="R316" s="312">
        <f>IFERROR(INDEX('4. Valuation'!$O$10:$X$17,MATCH($D316,'4. Valuation'!$O$10:$O$17,0),MATCH($R$25,'4. Valuation'!$O$10:$X$10,0)),0)</f>
        <v>0</v>
      </c>
      <c r="S316" s="312">
        <f>IFERROR(INDEX('4. Valuation'!$O$10:$X$17,MATCH($D316,'4. Valuation'!$O$10:$O$17,0),MATCH($S$25,'4. Valuation'!$O$10:$X$10,0)),0)</f>
        <v>0</v>
      </c>
      <c r="T316" s="312" t="str">
        <f>IFERROR(INDEX('4. Valuation'!$O$10:$X$17,MATCH($D316,'4. Valuation'!$O$10:$O$17,0),MATCH($T$25,'4. Valuation'!$O$10:$X$10,0)),0)</f>
        <v>-</v>
      </c>
      <c r="U316" s="278"/>
      <c r="V316" s="312">
        <f t="shared" si="70"/>
        <v>0</v>
      </c>
      <c r="W316" s="312">
        <f t="shared" si="71"/>
        <v>0</v>
      </c>
      <c r="X316" s="312">
        <f t="shared" si="72"/>
        <v>0</v>
      </c>
      <c r="Y316" s="278"/>
      <c r="Z316" s="312">
        <f t="shared" si="73"/>
        <v>0</v>
      </c>
      <c r="AA316" s="312">
        <f>'3. GRI Pricing'!Y307</f>
        <v>0</v>
      </c>
      <c r="AB316" s="359">
        <f t="shared" si="74"/>
        <v>0</v>
      </c>
    </row>
    <row r="317" spans="3:28" s="30" customFormat="1" ht="12" x14ac:dyDescent="0.2">
      <c r="C317" s="77">
        <f>'1. Accomodation'!N312</f>
        <v>0</v>
      </c>
      <c r="D317" s="77">
        <f>'1. Accomodation'!P312</f>
        <v>0</v>
      </c>
      <c r="E317" s="77">
        <f>'1. Accomodation'!O312</f>
        <v>0</v>
      </c>
      <c r="G317" s="341">
        <f>IFERROR(INDEX('4. Valuation'!$C$10:$I$17,MATCH($D317,'4. Valuation'!$C$10:$C$17,0),MATCH($G$25,'4. Valuation'!$C$10:$I$10,0)),0)</f>
        <v>0</v>
      </c>
      <c r="H317" s="273">
        <f>IFERROR(INDEX('4. Valuation'!$C$10:$I$17,MATCH($D317,'4. Valuation'!$C$10:$C$17,0),MATCH($H$25,'4. Valuation'!$C$10:$I$10,0)),0)</f>
        <v>0</v>
      </c>
      <c r="I317" s="359" t="str">
        <f>IFERROR(INDEX('4. Valuation'!$C$10:$I$17,MATCH($D317,'4. Valuation'!$C$10:$C$17,0),MATCH($I$25,'4. Valuation'!$C$10:$I$10,0)),0)</f>
        <v>-</v>
      </c>
      <c r="J317" s="277"/>
      <c r="K317" s="312">
        <f t="shared" si="67"/>
        <v>0</v>
      </c>
      <c r="L317" s="312">
        <f t="shared" si="68"/>
        <v>0</v>
      </c>
      <c r="M317" s="359">
        <f t="shared" si="69"/>
        <v>0</v>
      </c>
      <c r="N317" s="278"/>
      <c r="O317" s="278"/>
      <c r="P317" s="278"/>
      <c r="Q317" s="278"/>
      <c r="R317" s="312">
        <f>IFERROR(INDEX('4. Valuation'!$O$10:$X$17,MATCH($D317,'4. Valuation'!$O$10:$O$17,0),MATCH($R$25,'4. Valuation'!$O$10:$X$10,0)),0)</f>
        <v>0</v>
      </c>
      <c r="S317" s="312">
        <f>IFERROR(INDEX('4. Valuation'!$O$10:$X$17,MATCH($D317,'4. Valuation'!$O$10:$O$17,0),MATCH($S$25,'4. Valuation'!$O$10:$X$10,0)),0)</f>
        <v>0</v>
      </c>
      <c r="T317" s="312" t="str">
        <f>IFERROR(INDEX('4. Valuation'!$O$10:$X$17,MATCH($D317,'4. Valuation'!$O$10:$O$17,0),MATCH($T$25,'4. Valuation'!$O$10:$X$10,0)),0)</f>
        <v>-</v>
      </c>
      <c r="U317" s="278"/>
      <c r="V317" s="312">
        <f t="shared" si="70"/>
        <v>0</v>
      </c>
      <c r="W317" s="312">
        <f t="shared" si="71"/>
        <v>0</v>
      </c>
      <c r="X317" s="312">
        <f t="shared" si="72"/>
        <v>0</v>
      </c>
      <c r="Y317" s="278"/>
      <c r="Z317" s="312">
        <f t="shared" si="73"/>
        <v>0</v>
      </c>
      <c r="AA317" s="312">
        <f>'3. GRI Pricing'!Y308</f>
        <v>0</v>
      </c>
      <c r="AB317" s="359">
        <f t="shared" si="74"/>
        <v>0</v>
      </c>
    </row>
    <row r="318" spans="3:28" s="30" customFormat="1" ht="12" x14ac:dyDescent="0.2">
      <c r="C318" s="77">
        <f>'1. Accomodation'!N313</f>
        <v>0</v>
      </c>
      <c r="D318" s="77">
        <f>'1. Accomodation'!P313</f>
        <v>0</v>
      </c>
      <c r="E318" s="77">
        <f>'1. Accomodation'!O313</f>
        <v>0</v>
      </c>
      <c r="G318" s="341">
        <f>IFERROR(INDEX('4. Valuation'!$C$10:$I$17,MATCH($D318,'4. Valuation'!$C$10:$C$17,0),MATCH($G$25,'4. Valuation'!$C$10:$I$10,0)),0)</f>
        <v>0</v>
      </c>
      <c r="H318" s="273">
        <f>IFERROR(INDEX('4. Valuation'!$C$10:$I$17,MATCH($D318,'4. Valuation'!$C$10:$C$17,0),MATCH($H$25,'4. Valuation'!$C$10:$I$10,0)),0)</f>
        <v>0</v>
      </c>
      <c r="I318" s="359" t="str">
        <f>IFERROR(INDEX('4. Valuation'!$C$10:$I$17,MATCH($D318,'4. Valuation'!$C$10:$C$17,0),MATCH($I$25,'4. Valuation'!$C$10:$I$10,0)),0)</f>
        <v>-</v>
      </c>
      <c r="J318" s="277"/>
      <c r="K318" s="312">
        <f t="shared" si="67"/>
        <v>0</v>
      </c>
      <c r="L318" s="312">
        <f t="shared" si="68"/>
        <v>0</v>
      </c>
      <c r="M318" s="359">
        <f t="shared" si="69"/>
        <v>0</v>
      </c>
      <c r="N318" s="278"/>
      <c r="O318" s="278"/>
      <c r="P318" s="278"/>
      <c r="Q318" s="278"/>
      <c r="R318" s="312">
        <f>IFERROR(INDEX('4. Valuation'!$O$10:$X$17,MATCH($D318,'4. Valuation'!$O$10:$O$17,0),MATCH($R$25,'4. Valuation'!$O$10:$X$10,0)),0)</f>
        <v>0</v>
      </c>
      <c r="S318" s="312">
        <f>IFERROR(INDEX('4. Valuation'!$O$10:$X$17,MATCH($D318,'4. Valuation'!$O$10:$O$17,0),MATCH($S$25,'4. Valuation'!$O$10:$X$10,0)),0)</f>
        <v>0</v>
      </c>
      <c r="T318" s="312" t="str">
        <f>IFERROR(INDEX('4. Valuation'!$O$10:$X$17,MATCH($D318,'4. Valuation'!$O$10:$O$17,0),MATCH($T$25,'4. Valuation'!$O$10:$X$10,0)),0)</f>
        <v>-</v>
      </c>
      <c r="U318" s="278"/>
      <c r="V318" s="312">
        <f t="shared" si="70"/>
        <v>0</v>
      </c>
      <c r="W318" s="312">
        <f t="shared" si="71"/>
        <v>0</v>
      </c>
      <c r="X318" s="312">
        <f t="shared" si="72"/>
        <v>0</v>
      </c>
      <c r="Y318" s="278"/>
      <c r="Z318" s="312">
        <f t="shared" si="73"/>
        <v>0</v>
      </c>
      <c r="AA318" s="312">
        <f>'3. GRI Pricing'!Y309</f>
        <v>0</v>
      </c>
      <c r="AB318" s="359">
        <f t="shared" si="74"/>
        <v>0</v>
      </c>
    </row>
    <row r="319" spans="3:28" s="30" customFormat="1" ht="12" x14ac:dyDescent="0.2">
      <c r="C319" s="77">
        <f>'1. Accomodation'!N314</f>
        <v>0</v>
      </c>
      <c r="D319" s="77">
        <f>'1. Accomodation'!P314</f>
        <v>0</v>
      </c>
      <c r="E319" s="77">
        <f>'1. Accomodation'!O314</f>
        <v>0</v>
      </c>
      <c r="G319" s="341">
        <f>IFERROR(INDEX('4. Valuation'!$C$10:$I$17,MATCH($D319,'4. Valuation'!$C$10:$C$17,0),MATCH($G$25,'4. Valuation'!$C$10:$I$10,0)),0)</f>
        <v>0</v>
      </c>
      <c r="H319" s="273">
        <f>IFERROR(INDEX('4. Valuation'!$C$10:$I$17,MATCH($D319,'4. Valuation'!$C$10:$C$17,0),MATCH($H$25,'4. Valuation'!$C$10:$I$10,0)),0)</f>
        <v>0</v>
      </c>
      <c r="I319" s="359" t="str">
        <f>IFERROR(INDEX('4. Valuation'!$C$10:$I$17,MATCH($D319,'4. Valuation'!$C$10:$C$17,0),MATCH($I$25,'4. Valuation'!$C$10:$I$10,0)),0)</f>
        <v>-</v>
      </c>
      <c r="J319" s="277"/>
      <c r="K319" s="312">
        <f t="shared" si="67"/>
        <v>0</v>
      </c>
      <c r="L319" s="312">
        <f t="shared" si="68"/>
        <v>0</v>
      </c>
      <c r="M319" s="359">
        <f t="shared" si="69"/>
        <v>0</v>
      </c>
      <c r="N319" s="278"/>
      <c r="O319" s="278"/>
      <c r="P319" s="278"/>
      <c r="Q319" s="278"/>
      <c r="R319" s="312">
        <f>IFERROR(INDEX('4. Valuation'!$O$10:$X$17,MATCH($D319,'4. Valuation'!$O$10:$O$17,0),MATCH($R$25,'4. Valuation'!$O$10:$X$10,0)),0)</f>
        <v>0</v>
      </c>
      <c r="S319" s="312">
        <f>IFERROR(INDEX('4. Valuation'!$O$10:$X$17,MATCH($D319,'4. Valuation'!$O$10:$O$17,0),MATCH($S$25,'4. Valuation'!$O$10:$X$10,0)),0)</f>
        <v>0</v>
      </c>
      <c r="T319" s="312" t="str">
        <f>IFERROR(INDEX('4. Valuation'!$O$10:$X$17,MATCH($D319,'4. Valuation'!$O$10:$O$17,0),MATCH($T$25,'4. Valuation'!$O$10:$X$10,0)),0)</f>
        <v>-</v>
      </c>
      <c r="U319" s="278"/>
      <c r="V319" s="312">
        <f t="shared" si="70"/>
        <v>0</v>
      </c>
      <c r="W319" s="312">
        <f t="shared" si="71"/>
        <v>0</v>
      </c>
      <c r="X319" s="312">
        <f t="shared" si="72"/>
        <v>0</v>
      </c>
      <c r="Y319" s="278"/>
      <c r="Z319" s="312">
        <f t="shared" si="73"/>
        <v>0</v>
      </c>
      <c r="AA319" s="312">
        <f>'3. GRI Pricing'!Y310</f>
        <v>0</v>
      </c>
      <c r="AB319" s="359">
        <f t="shared" si="74"/>
        <v>0</v>
      </c>
    </row>
    <row r="320" spans="3:28" s="30" customFormat="1" ht="12" x14ac:dyDescent="0.2">
      <c r="C320" s="77">
        <f>'1. Accomodation'!N315</f>
        <v>0</v>
      </c>
      <c r="D320" s="77">
        <f>'1. Accomodation'!P315</f>
        <v>0</v>
      </c>
      <c r="E320" s="77">
        <f>'1. Accomodation'!O315</f>
        <v>0</v>
      </c>
      <c r="G320" s="341">
        <f>IFERROR(INDEX('4. Valuation'!$C$10:$I$17,MATCH($D320,'4. Valuation'!$C$10:$C$17,0),MATCH($G$25,'4. Valuation'!$C$10:$I$10,0)),0)</f>
        <v>0</v>
      </c>
      <c r="H320" s="273">
        <f>IFERROR(INDEX('4. Valuation'!$C$10:$I$17,MATCH($D320,'4. Valuation'!$C$10:$C$17,0),MATCH($H$25,'4. Valuation'!$C$10:$I$10,0)),0)</f>
        <v>0</v>
      </c>
      <c r="I320" s="359" t="str">
        <f>IFERROR(INDEX('4. Valuation'!$C$10:$I$17,MATCH($D320,'4. Valuation'!$C$10:$C$17,0),MATCH($I$25,'4. Valuation'!$C$10:$I$10,0)),0)</f>
        <v>-</v>
      </c>
      <c r="J320" s="277"/>
      <c r="K320" s="312">
        <f t="shared" si="67"/>
        <v>0</v>
      </c>
      <c r="L320" s="312">
        <f t="shared" si="68"/>
        <v>0</v>
      </c>
      <c r="M320" s="359">
        <f t="shared" si="69"/>
        <v>0</v>
      </c>
      <c r="N320" s="278"/>
      <c r="O320" s="278"/>
      <c r="P320" s="278"/>
      <c r="Q320" s="278"/>
      <c r="R320" s="312">
        <f>IFERROR(INDEX('4. Valuation'!$O$10:$X$17,MATCH($D320,'4. Valuation'!$O$10:$O$17,0),MATCH($R$25,'4. Valuation'!$O$10:$X$10,0)),0)</f>
        <v>0</v>
      </c>
      <c r="S320" s="312">
        <f>IFERROR(INDEX('4. Valuation'!$O$10:$X$17,MATCH($D320,'4. Valuation'!$O$10:$O$17,0),MATCH($S$25,'4. Valuation'!$O$10:$X$10,0)),0)</f>
        <v>0</v>
      </c>
      <c r="T320" s="312" t="str">
        <f>IFERROR(INDEX('4. Valuation'!$O$10:$X$17,MATCH($D320,'4. Valuation'!$O$10:$O$17,0),MATCH($T$25,'4. Valuation'!$O$10:$X$10,0)),0)</f>
        <v>-</v>
      </c>
      <c r="U320" s="278"/>
      <c r="V320" s="312">
        <f t="shared" si="70"/>
        <v>0</v>
      </c>
      <c r="W320" s="312">
        <f t="shared" si="71"/>
        <v>0</v>
      </c>
      <c r="X320" s="312">
        <f t="shared" si="72"/>
        <v>0</v>
      </c>
      <c r="Y320" s="278"/>
      <c r="Z320" s="312">
        <f t="shared" si="73"/>
        <v>0</v>
      </c>
      <c r="AA320" s="312">
        <f>'3. GRI Pricing'!Y311</f>
        <v>0</v>
      </c>
      <c r="AB320" s="359">
        <f t="shared" si="74"/>
        <v>0</v>
      </c>
    </row>
    <row r="321" spans="3:28" s="30" customFormat="1" ht="12" x14ac:dyDescent="0.2">
      <c r="C321" s="77">
        <f>'1. Accomodation'!N316</f>
        <v>0</v>
      </c>
      <c r="D321" s="77">
        <f>'1. Accomodation'!P316</f>
        <v>0</v>
      </c>
      <c r="E321" s="77">
        <f>'1. Accomodation'!O316</f>
        <v>0</v>
      </c>
      <c r="G321" s="341">
        <f>IFERROR(INDEX('4. Valuation'!$C$10:$I$17,MATCH($D321,'4. Valuation'!$C$10:$C$17,0),MATCH($G$25,'4. Valuation'!$C$10:$I$10,0)),0)</f>
        <v>0</v>
      </c>
      <c r="H321" s="273">
        <f>IFERROR(INDEX('4. Valuation'!$C$10:$I$17,MATCH($D321,'4. Valuation'!$C$10:$C$17,0),MATCH($H$25,'4. Valuation'!$C$10:$I$10,0)),0)</f>
        <v>0</v>
      </c>
      <c r="I321" s="359" t="str">
        <f>IFERROR(INDEX('4. Valuation'!$C$10:$I$17,MATCH($D321,'4. Valuation'!$C$10:$C$17,0),MATCH($I$25,'4. Valuation'!$C$10:$I$10,0)),0)</f>
        <v>-</v>
      </c>
      <c r="J321" s="277"/>
      <c r="K321" s="312">
        <f t="shared" si="67"/>
        <v>0</v>
      </c>
      <c r="L321" s="312">
        <f t="shared" si="68"/>
        <v>0</v>
      </c>
      <c r="M321" s="359">
        <f t="shared" si="69"/>
        <v>0</v>
      </c>
      <c r="N321" s="278"/>
      <c r="O321" s="278"/>
      <c r="P321" s="278"/>
      <c r="Q321" s="278"/>
      <c r="R321" s="312">
        <f>IFERROR(INDEX('4. Valuation'!$O$10:$X$17,MATCH($D321,'4. Valuation'!$O$10:$O$17,0),MATCH($R$25,'4. Valuation'!$O$10:$X$10,0)),0)</f>
        <v>0</v>
      </c>
      <c r="S321" s="312">
        <f>IFERROR(INDEX('4. Valuation'!$O$10:$X$17,MATCH($D321,'4. Valuation'!$O$10:$O$17,0),MATCH($S$25,'4. Valuation'!$O$10:$X$10,0)),0)</f>
        <v>0</v>
      </c>
      <c r="T321" s="312" t="str">
        <f>IFERROR(INDEX('4. Valuation'!$O$10:$X$17,MATCH($D321,'4. Valuation'!$O$10:$O$17,0),MATCH($T$25,'4. Valuation'!$O$10:$X$10,0)),0)</f>
        <v>-</v>
      </c>
      <c r="U321" s="278"/>
      <c r="V321" s="312">
        <f t="shared" si="70"/>
        <v>0</v>
      </c>
      <c r="W321" s="312">
        <f t="shared" si="71"/>
        <v>0</v>
      </c>
      <c r="X321" s="312">
        <f t="shared" si="72"/>
        <v>0</v>
      </c>
      <c r="Y321" s="278"/>
      <c r="Z321" s="312">
        <f t="shared" si="73"/>
        <v>0</v>
      </c>
      <c r="AA321" s="312">
        <f>'3. GRI Pricing'!Y312</f>
        <v>0</v>
      </c>
      <c r="AB321" s="359">
        <f t="shared" si="74"/>
        <v>0</v>
      </c>
    </row>
    <row r="322" spans="3:28" s="30" customFormat="1" ht="12" x14ac:dyDescent="0.2">
      <c r="C322" s="77">
        <f>'1. Accomodation'!N317</f>
        <v>0</v>
      </c>
      <c r="D322" s="77">
        <f>'1. Accomodation'!P317</f>
        <v>0</v>
      </c>
      <c r="E322" s="77">
        <f>'1. Accomodation'!O317</f>
        <v>0</v>
      </c>
      <c r="G322" s="341">
        <f>IFERROR(INDEX('4. Valuation'!$C$10:$I$17,MATCH($D322,'4. Valuation'!$C$10:$C$17,0),MATCH($G$25,'4. Valuation'!$C$10:$I$10,0)),0)</f>
        <v>0</v>
      </c>
      <c r="H322" s="273">
        <f>IFERROR(INDEX('4. Valuation'!$C$10:$I$17,MATCH($D322,'4. Valuation'!$C$10:$C$17,0),MATCH($H$25,'4. Valuation'!$C$10:$I$10,0)),0)</f>
        <v>0</v>
      </c>
      <c r="I322" s="359" t="str">
        <f>IFERROR(INDEX('4. Valuation'!$C$10:$I$17,MATCH($D322,'4. Valuation'!$C$10:$C$17,0),MATCH($I$25,'4. Valuation'!$C$10:$I$10,0)),0)</f>
        <v>-</v>
      </c>
      <c r="J322" s="277"/>
      <c r="K322" s="312">
        <f t="shared" si="67"/>
        <v>0</v>
      </c>
      <c r="L322" s="312">
        <f t="shared" si="68"/>
        <v>0</v>
      </c>
      <c r="M322" s="359">
        <f t="shared" si="69"/>
        <v>0</v>
      </c>
      <c r="N322" s="278"/>
      <c r="O322" s="278"/>
      <c r="P322" s="278"/>
      <c r="Q322" s="278"/>
      <c r="R322" s="312">
        <f>IFERROR(INDEX('4. Valuation'!$O$10:$X$17,MATCH($D322,'4. Valuation'!$O$10:$O$17,0),MATCH($R$25,'4. Valuation'!$O$10:$X$10,0)),0)</f>
        <v>0</v>
      </c>
      <c r="S322" s="312">
        <f>IFERROR(INDEX('4. Valuation'!$O$10:$X$17,MATCH($D322,'4. Valuation'!$O$10:$O$17,0),MATCH($S$25,'4. Valuation'!$O$10:$X$10,0)),0)</f>
        <v>0</v>
      </c>
      <c r="T322" s="312" t="str">
        <f>IFERROR(INDEX('4. Valuation'!$O$10:$X$17,MATCH($D322,'4. Valuation'!$O$10:$O$17,0),MATCH($T$25,'4. Valuation'!$O$10:$X$10,0)),0)</f>
        <v>-</v>
      </c>
      <c r="U322" s="278"/>
      <c r="V322" s="312">
        <f t="shared" si="70"/>
        <v>0</v>
      </c>
      <c r="W322" s="312">
        <f t="shared" si="71"/>
        <v>0</v>
      </c>
      <c r="X322" s="312">
        <f t="shared" si="72"/>
        <v>0</v>
      </c>
      <c r="Y322" s="278"/>
      <c r="Z322" s="312">
        <f t="shared" si="73"/>
        <v>0</v>
      </c>
      <c r="AA322" s="312">
        <f>'3. GRI Pricing'!Y313</f>
        <v>0</v>
      </c>
      <c r="AB322" s="359">
        <f t="shared" si="74"/>
        <v>0</v>
      </c>
    </row>
    <row r="323" spans="3:28" s="30" customFormat="1" ht="12" x14ac:dyDescent="0.2">
      <c r="C323" s="77">
        <f>'1. Accomodation'!N318</f>
        <v>0</v>
      </c>
      <c r="D323" s="77">
        <f>'1. Accomodation'!P318</f>
        <v>0</v>
      </c>
      <c r="E323" s="77">
        <f>'1. Accomodation'!O318</f>
        <v>0</v>
      </c>
      <c r="G323" s="341">
        <f>IFERROR(INDEX('4. Valuation'!$C$10:$I$17,MATCH($D323,'4. Valuation'!$C$10:$C$17,0),MATCH($G$25,'4. Valuation'!$C$10:$I$10,0)),0)</f>
        <v>0</v>
      </c>
      <c r="H323" s="273">
        <f>IFERROR(INDEX('4. Valuation'!$C$10:$I$17,MATCH($D323,'4. Valuation'!$C$10:$C$17,0),MATCH($H$25,'4. Valuation'!$C$10:$I$10,0)),0)</f>
        <v>0</v>
      </c>
      <c r="I323" s="359" t="str">
        <f>IFERROR(INDEX('4. Valuation'!$C$10:$I$17,MATCH($D323,'4. Valuation'!$C$10:$C$17,0),MATCH($I$25,'4. Valuation'!$C$10:$I$10,0)),0)</f>
        <v>-</v>
      </c>
      <c r="J323" s="277"/>
      <c r="K323" s="312">
        <f t="shared" si="67"/>
        <v>0</v>
      </c>
      <c r="L323" s="312">
        <f t="shared" si="68"/>
        <v>0</v>
      </c>
      <c r="M323" s="359">
        <f t="shared" si="69"/>
        <v>0</v>
      </c>
      <c r="N323" s="278"/>
      <c r="O323" s="278"/>
      <c r="P323" s="278"/>
      <c r="Q323" s="278"/>
      <c r="R323" s="312">
        <f>IFERROR(INDEX('4. Valuation'!$O$10:$X$17,MATCH($D323,'4. Valuation'!$O$10:$O$17,0),MATCH($R$25,'4. Valuation'!$O$10:$X$10,0)),0)</f>
        <v>0</v>
      </c>
      <c r="S323" s="312">
        <f>IFERROR(INDEX('4. Valuation'!$O$10:$X$17,MATCH($D323,'4. Valuation'!$O$10:$O$17,0),MATCH($S$25,'4. Valuation'!$O$10:$X$10,0)),0)</f>
        <v>0</v>
      </c>
      <c r="T323" s="312" t="str">
        <f>IFERROR(INDEX('4. Valuation'!$O$10:$X$17,MATCH($D323,'4. Valuation'!$O$10:$O$17,0),MATCH($T$25,'4. Valuation'!$O$10:$X$10,0)),0)</f>
        <v>-</v>
      </c>
      <c r="U323" s="278"/>
      <c r="V323" s="312">
        <f t="shared" si="70"/>
        <v>0</v>
      </c>
      <c r="W323" s="312">
        <f t="shared" si="71"/>
        <v>0</v>
      </c>
      <c r="X323" s="312">
        <f t="shared" si="72"/>
        <v>0</v>
      </c>
      <c r="Y323" s="278"/>
      <c r="Z323" s="312">
        <f t="shared" si="73"/>
        <v>0</v>
      </c>
      <c r="AA323" s="312">
        <f>'3. GRI Pricing'!Y314</f>
        <v>0</v>
      </c>
      <c r="AB323" s="359">
        <f t="shared" si="74"/>
        <v>0</v>
      </c>
    </row>
    <row r="324" spans="3:28" s="30" customFormat="1" ht="12" x14ac:dyDescent="0.2">
      <c r="C324" s="77">
        <f>'1. Accomodation'!N319</f>
        <v>0</v>
      </c>
      <c r="D324" s="77">
        <f>'1. Accomodation'!P319</f>
        <v>0</v>
      </c>
      <c r="E324" s="77">
        <f>'1. Accomodation'!O319</f>
        <v>0</v>
      </c>
      <c r="G324" s="341">
        <f>IFERROR(INDEX('4. Valuation'!$C$10:$I$17,MATCH($D324,'4. Valuation'!$C$10:$C$17,0),MATCH($G$25,'4. Valuation'!$C$10:$I$10,0)),0)</f>
        <v>0</v>
      </c>
      <c r="H324" s="273">
        <f>IFERROR(INDEX('4. Valuation'!$C$10:$I$17,MATCH($D324,'4. Valuation'!$C$10:$C$17,0),MATCH($H$25,'4. Valuation'!$C$10:$I$10,0)),0)</f>
        <v>0</v>
      </c>
      <c r="I324" s="359" t="str">
        <f>IFERROR(INDEX('4. Valuation'!$C$10:$I$17,MATCH($D324,'4. Valuation'!$C$10:$C$17,0),MATCH($I$25,'4. Valuation'!$C$10:$I$10,0)),0)</f>
        <v>-</v>
      </c>
      <c r="J324" s="277"/>
      <c r="K324" s="312">
        <f t="shared" si="67"/>
        <v>0</v>
      </c>
      <c r="L324" s="312">
        <f t="shared" si="68"/>
        <v>0</v>
      </c>
      <c r="M324" s="359">
        <f t="shared" si="69"/>
        <v>0</v>
      </c>
      <c r="N324" s="278"/>
      <c r="O324" s="278"/>
      <c r="P324" s="278"/>
      <c r="Q324" s="278"/>
      <c r="R324" s="312">
        <f>IFERROR(INDEX('4. Valuation'!$O$10:$X$17,MATCH($D324,'4. Valuation'!$O$10:$O$17,0),MATCH($R$25,'4. Valuation'!$O$10:$X$10,0)),0)</f>
        <v>0</v>
      </c>
      <c r="S324" s="312">
        <f>IFERROR(INDEX('4. Valuation'!$O$10:$X$17,MATCH($D324,'4. Valuation'!$O$10:$O$17,0),MATCH($S$25,'4. Valuation'!$O$10:$X$10,0)),0)</f>
        <v>0</v>
      </c>
      <c r="T324" s="312" t="str">
        <f>IFERROR(INDEX('4. Valuation'!$O$10:$X$17,MATCH($D324,'4. Valuation'!$O$10:$O$17,0),MATCH($T$25,'4. Valuation'!$O$10:$X$10,0)),0)</f>
        <v>-</v>
      </c>
      <c r="U324" s="278"/>
      <c r="V324" s="312">
        <f t="shared" si="70"/>
        <v>0</v>
      </c>
      <c r="W324" s="312">
        <f t="shared" si="71"/>
        <v>0</v>
      </c>
      <c r="X324" s="312">
        <f t="shared" si="72"/>
        <v>0</v>
      </c>
      <c r="Y324" s="278"/>
      <c r="Z324" s="312">
        <f t="shared" si="73"/>
        <v>0</v>
      </c>
      <c r="AA324" s="312">
        <f>'3. GRI Pricing'!Y315</f>
        <v>0</v>
      </c>
      <c r="AB324" s="359">
        <f t="shared" si="74"/>
        <v>0</v>
      </c>
    </row>
    <row r="325" spans="3:28" s="30" customFormat="1" ht="12" x14ac:dyDescent="0.2">
      <c r="C325" s="77">
        <f>'1. Accomodation'!N320</f>
        <v>0</v>
      </c>
      <c r="D325" s="77">
        <f>'1. Accomodation'!P320</f>
        <v>0</v>
      </c>
      <c r="E325" s="77">
        <f>'1. Accomodation'!O320</f>
        <v>0</v>
      </c>
      <c r="G325" s="341">
        <f>IFERROR(INDEX('4. Valuation'!$C$10:$I$17,MATCH($D325,'4. Valuation'!$C$10:$C$17,0),MATCH($G$25,'4. Valuation'!$C$10:$I$10,0)),0)</f>
        <v>0</v>
      </c>
      <c r="H325" s="273">
        <f>IFERROR(INDEX('4. Valuation'!$C$10:$I$17,MATCH($D325,'4. Valuation'!$C$10:$C$17,0),MATCH($H$25,'4. Valuation'!$C$10:$I$10,0)),0)</f>
        <v>0</v>
      </c>
      <c r="I325" s="359" t="str">
        <f>IFERROR(INDEX('4. Valuation'!$C$10:$I$17,MATCH($D325,'4. Valuation'!$C$10:$C$17,0),MATCH($I$25,'4. Valuation'!$C$10:$I$10,0)),0)</f>
        <v>-</v>
      </c>
      <c r="J325" s="277"/>
      <c r="K325" s="312">
        <f t="shared" si="67"/>
        <v>0</v>
      </c>
      <c r="L325" s="312">
        <f t="shared" si="68"/>
        <v>0</v>
      </c>
      <c r="M325" s="359">
        <f t="shared" si="69"/>
        <v>0</v>
      </c>
      <c r="N325" s="278"/>
      <c r="O325" s="278"/>
      <c r="P325" s="278"/>
      <c r="Q325" s="278"/>
      <c r="R325" s="312">
        <f>IFERROR(INDEX('4. Valuation'!$O$10:$X$17,MATCH($D325,'4. Valuation'!$O$10:$O$17,0),MATCH($R$25,'4. Valuation'!$O$10:$X$10,0)),0)</f>
        <v>0</v>
      </c>
      <c r="S325" s="312">
        <f>IFERROR(INDEX('4. Valuation'!$O$10:$X$17,MATCH($D325,'4. Valuation'!$O$10:$O$17,0),MATCH($S$25,'4. Valuation'!$O$10:$X$10,0)),0)</f>
        <v>0</v>
      </c>
      <c r="T325" s="312" t="str">
        <f>IFERROR(INDEX('4. Valuation'!$O$10:$X$17,MATCH($D325,'4. Valuation'!$O$10:$O$17,0),MATCH($T$25,'4. Valuation'!$O$10:$X$10,0)),0)</f>
        <v>-</v>
      </c>
      <c r="U325" s="278"/>
      <c r="V325" s="312">
        <f t="shared" si="70"/>
        <v>0</v>
      </c>
      <c r="W325" s="312">
        <f t="shared" si="71"/>
        <v>0</v>
      </c>
      <c r="X325" s="312">
        <f t="shared" si="72"/>
        <v>0</v>
      </c>
      <c r="Y325" s="278"/>
      <c r="Z325" s="312">
        <f t="shared" si="73"/>
        <v>0</v>
      </c>
      <c r="AA325" s="312">
        <f>'3. GRI Pricing'!Y316</f>
        <v>0</v>
      </c>
      <c r="AB325" s="359">
        <f t="shared" si="74"/>
        <v>0</v>
      </c>
    </row>
    <row r="326" spans="3:28" s="30" customFormat="1" ht="12" x14ac:dyDescent="0.2">
      <c r="C326" s="77">
        <f>'1. Accomodation'!N321</f>
        <v>0</v>
      </c>
      <c r="D326" s="77">
        <f>'1. Accomodation'!P321</f>
        <v>0</v>
      </c>
      <c r="E326" s="77">
        <f>'1. Accomodation'!O321</f>
        <v>0</v>
      </c>
      <c r="G326" s="341">
        <f>IFERROR(INDEX('4. Valuation'!$C$10:$I$17,MATCH($D326,'4. Valuation'!$C$10:$C$17,0),MATCH($G$25,'4. Valuation'!$C$10:$I$10,0)),0)</f>
        <v>0</v>
      </c>
      <c r="H326" s="273">
        <f>IFERROR(INDEX('4. Valuation'!$C$10:$I$17,MATCH($D326,'4. Valuation'!$C$10:$C$17,0),MATCH($H$25,'4. Valuation'!$C$10:$I$10,0)),0)</f>
        <v>0</v>
      </c>
      <c r="I326" s="359" t="str">
        <f>IFERROR(INDEX('4. Valuation'!$C$10:$I$17,MATCH($D326,'4. Valuation'!$C$10:$C$17,0),MATCH($I$25,'4. Valuation'!$C$10:$I$10,0)),0)</f>
        <v>-</v>
      </c>
      <c r="J326" s="277"/>
      <c r="K326" s="312">
        <f t="shared" si="67"/>
        <v>0</v>
      </c>
      <c r="L326" s="312">
        <f t="shared" si="68"/>
        <v>0</v>
      </c>
      <c r="M326" s="359">
        <f t="shared" si="69"/>
        <v>0</v>
      </c>
      <c r="N326" s="278"/>
      <c r="O326" s="278"/>
      <c r="P326" s="278"/>
      <c r="Q326" s="278"/>
      <c r="R326" s="312">
        <f>IFERROR(INDEX('4. Valuation'!$O$10:$X$17,MATCH($D326,'4. Valuation'!$O$10:$O$17,0),MATCH($R$25,'4. Valuation'!$O$10:$X$10,0)),0)</f>
        <v>0</v>
      </c>
      <c r="S326" s="312">
        <f>IFERROR(INDEX('4. Valuation'!$O$10:$X$17,MATCH($D326,'4. Valuation'!$O$10:$O$17,0),MATCH($S$25,'4. Valuation'!$O$10:$X$10,0)),0)</f>
        <v>0</v>
      </c>
      <c r="T326" s="312" t="str">
        <f>IFERROR(INDEX('4. Valuation'!$O$10:$X$17,MATCH($D326,'4. Valuation'!$O$10:$O$17,0),MATCH($T$25,'4. Valuation'!$O$10:$X$10,0)),0)</f>
        <v>-</v>
      </c>
      <c r="U326" s="278"/>
      <c r="V326" s="312">
        <f t="shared" si="70"/>
        <v>0</v>
      </c>
      <c r="W326" s="312">
        <f t="shared" si="71"/>
        <v>0</v>
      </c>
      <c r="X326" s="312">
        <f t="shared" si="72"/>
        <v>0</v>
      </c>
      <c r="Y326" s="278"/>
      <c r="Z326" s="312">
        <f t="shared" si="73"/>
        <v>0</v>
      </c>
      <c r="AA326" s="312">
        <f>'3. GRI Pricing'!Y317</f>
        <v>0</v>
      </c>
      <c r="AB326" s="359">
        <f t="shared" si="74"/>
        <v>0</v>
      </c>
    </row>
    <row r="327" spans="3:28" s="30" customFormat="1" ht="12" x14ac:dyDescent="0.2">
      <c r="C327" s="77">
        <f>'1. Accomodation'!N322</f>
        <v>0</v>
      </c>
      <c r="D327" s="77">
        <f>'1. Accomodation'!P322</f>
        <v>0</v>
      </c>
      <c r="E327" s="77">
        <f>'1. Accomodation'!O322</f>
        <v>0</v>
      </c>
      <c r="G327" s="341">
        <f>IFERROR(INDEX('4. Valuation'!$C$10:$I$17,MATCH($D327,'4. Valuation'!$C$10:$C$17,0),MATCH($G$25,'4. Valuation'!$C$10:$I$10,0)),0)</f>
        <v>0</v>
      </c>
      <c r="H327" s="273">
        <f>IFERROR(INDEX('4. Valuation'!$C$10:$I$17,MATCH($D327,'4. Valuation'!$C$10:$C$17,0),MATCH($H$25,'4. Valuation'!$C$10:$I$10,0)),0)</f>
        <v>0</v>
      </c>
      <c r="I327" s="359" t="str">
        <f>IFERROR(INDEX('4. Valuation'!$C$10:$I$17,MATCH($D327,'4. Valuation'!$C$10:$C$17,0),MATCH($I$25,'4. Valuation'!$C$10:$I$10,0)),0)</f>
        <v>-</v>
      </c>
      <c r="J327" s="277"/>
      <c r="K327" s="312">
        <f t="shared" si="67"/>
        <v>0</v>
      </c>
      <c r="L327" s="312">
        <f t="shared" si="68"/>
        <v>0</v>
      </c>
      <c r="M327" s="359">
        <f t="shared" si="69"/>
        <v>0</v>
      </c>
      <c r="N327" s="278"/>
      <c r="O327" s="278"/>
      <c r="P327" s="278"/>
      <c r="Q327" s="278"/>
      <c r="R327" s="312">
        <f>IFERROR(INDEX('4. Valuation'!$O$10:$X$17,MATCH($D327,'4. Valuation'!$O$10:$O$17,0),MATCH($R$25,'4. Valuation'!$O$10:$X$10,0)),0)</f>
        <v>0</v>
      </c>
      <c r="S327" s="312">
        <f>IFERROR(INDEX('4. Valuation'!$O$10:$X$17,MATCH($D327,'4. Valuation'!$O$10:$O$17,0),MATCH($S$25,'4. Valuation'!$O$10:$X$10,0)),0)</f>
        <v>0</v>
      </c>
      <c r="T327" s="312" t="str">
        <f>IFERROR(INDEX('4. Valuation'!$O$10:$X$17,MATCH($D327,'4. Valuation'!$O$10:$O$17,0),MATCH($T$25,'4. Valuation'!$O$10:$X$10,0)),0)</f>
        <v>-</v>
      </c>
      <c r="U327" s="278"/>
      <c r="V327" s="312">
        <f t="shared" si="70"/>
        <v>0</v>
      </c>
      <c r="W327" s="312">
        <f t="shared" si="71"/>
        <v>0</v>
      </c>
      <c r="X327" s="312">
        <f t="shared" si="72"/>
        <v>0</v>
      </c>
      <c r="Y327" s="278"/>
      <c r="Z327" s="312">
        <f t="shared" si="73"/>
        <v>0</v>
      </c>
      <c r="AA327" s="312">
        <f>'3. GRI Pricing'!Y318</f>
        <v>0</v>
      </c>
      <c r="AB327" s="359">
        <f t="shared" si="74"/>
        <v>0</v>
      </c>
    </row>
    <row r="328" spans="3:28" s="30" customFormat="1" ht="12" x14ac:dyDescent="0.2">
      <c r="C328" s="77">
        <f>'1. Accomodation'!N323</f>
        <v>0</v>
      </c>
      <c r="D328" s="77">
        <f>'1. Accomodation'!P323</f>
        <v>0</v>
      </c>
      <c r="E328" s="77">
        <f>'1. Accomodation'!O323</f>
        <v>0</v>
      </c>
      <c r="G328" s="341">
        <f>IFERROR(INDEX('4. Valuation'!$C$10:$I$17,MATCH($D328,'4. Valuation'!$C$10:$C$17,0),MATCH($G$25,'4. Valuation'!$C$10:$I$10,0)),0)</f>
        <v>0</v>
      </c>
      <c r="H328" s="273">
        <f>IFERROR(INDEX('4. Valuation'!$C$10:$I$17,MATCH($D328,'4. Valuation'!$C$10:$C$17,0),MATCH($H$25,'4. Valuation'!$C$10:$I$10,0)),0)</f>
        <v>0</v>
      </c>
      <c r="I328" s="359" t="str">
        <f>IFERROR(INDEX('4. Valuation'!$C$10:$I$17,MATCH($D328,'4. Valuation'!$C$10:$C$17,0),MATCH($I$25,'4. Valuation'!$C$10:$I$10,0)),0)</f>
        <v>-</v>
      </c>
      <c r="J328" s="277"/>
      <c r="K328" s="312">
        <f t="shared" si="67"/>
        <v>0</v>
      </c>
      <c r="L328" s="312">
        <f t="shared" si="68"/>
        <v>0</v>
      </c>
      <c r="M328" s="359">
        <f t="shared" si="69"/>
        <v>0</v>
      </c>
      <c r="N328" s="278"/>
      <c r="O328" s="278"/>
      <c r="P328" s="278"/>
      <c r="Q328" s="278"/>
      <c r="R328" s="312">
        <f>IFERROR(INDEX('4. Valuation'!$O$10:$X$17,MATCH($D328,'4. Valuation'!$O$10:$O$17,0),MATCH($R$25,'4. Valuation'!$O$10:$X$10,0)),0)</f>
        <v>0</v>
      </c>
      <c r="S328" s="312">
        <f>IFERROR(INDEX('4. Valuation'!$O$10:$X$17,MATCH($D328,'4. Valuation'!$O$10:$O$17,0),MATCH($S$25,'4. Valuation'!$O$10:$X$10,0)),0)</f>
        <v>0</v>
      </c>
      <c r="T328" s="312" t="str">
        <f>IFERROR(INDEX('4. Valuation'!$O$10:$X$17,MATCH($D328,'4. Valuation'!$O$10:$O$17,0),MATCH($T$25,'4. Valuation'!$O$10:$X$10,0)),0)</f>
        <v>-</v>
      </c>
      <c r="U328" s="278"/>
      <c r="V328" s="312">
        <f t="shared" si="70"/>
        <v>0</v>
      </c>
      <c r="W328" s="312">
        <f t="shared" si="71"/>
        <v>0</v>
      </c>
      <c r="X328" s="312">
        <f t="shared" si="72"/>
        <v>0</v>
      </c>
      <c r="Y328" s="278"/>
      <c r="Z328" s="312">
        <f t="shared" si="73"/>
        <v>0</v>
      </c>
      <c r="AA328" s="312">
        <f>'3. GRI Pricing'!Y319</f>
        <v>0</v>
      </c>
      <c r="AB328" s="359">
        <f t="shared" si="74"/>
        <v>0</v>
      </c>
    </row>
    <row r="329" spans="3:28" s="30" customFormat="1" ht="12" x14ac:dyDescent="0.2">
      <c r="C329" s="77">
        <f>'1. Accomodation'!N324</f>
        <v>0</v>
      </c>
      <c r="D329" s="77">
        <f>'1. Accomodation'!P324</f>
        <v>0</v>
      </c>
      <c r="E329" s="77">
        <f>'1. Accomodation'!O324</f>
        <v>0</v>
      </c>
      <c r="G329" s="341">
        <f>IFERROR(INDEX('4. Valuation'!$C$10:$I$17,MATCH($D329,'4. Valuation'!$C$10:$C$17,0),MATCH($G$25,'4. Valuation'!$C$10:$I$10,0)),0)</f>
        <v>0</v>
      </c>
      <c r="H329" s="273">
        <f>IFERROR(INDEX('4. Valuation'!$C$10:$I$17,MATCH($D329,'4. Valuation'!$C$10:$C$17,0),MATCH($H$25,'4. Valuation'!$C$10:$I$10,0)),0)</f>
        <v>0</v>
      </c>
      <c r="I329" s="359" t="str">
        <f>IFERROR(INDEX('4. Valuation'!$C$10:$I$17,MATCH($D329,'4. Valuation'!$C$10:$C$17,0),MATCH($I$25,'4. Valuation'!$C$10:$I$10,0)),0)</f>
        <v>-</v>
      </c>
      <c r="J329" s="277"/>
      <c r="K329" s="312">
        <f t="shared" si="67"/>
        <v>0</v>
      </c>
      <c r="L329" s="312">
        <f t="shared" si="68"/>
        <v>0</v>
      </c>
      <c r="M329" s="359">
        <f t="shared" si="69"/>
        <v>0</v>
      </c>
      <c r="N329" s="278"/>
      <c r="O329" s="278"/>
      <c r="P329" s="278"/>
      <c r="Q329" s="278"/>
      <c r="R329" s="312">
        <f>IFERROR(INDEX('4. Valuation'!$O$10:$X$17,MATCH($D329,'4. Valuation'!$O$10:$O$17,0),MATCH($R$25,'4. Valuation'!$O$10:$X$10,0)),0)</f>
        <v>0</v>
      </c>
      <c r="S329" s="312">
        <f>IFERROR(INDEX('4. Valuation'!$O$10:$X$17,MATCH($D329,'4. Valuation'!$O$10:$O$17,0),MATCH($S$25,'4. Valuation'!$O$10:$X$10,0)),0)</f>
        <v>0</v>
      </c>
      <c r="T329" s="312" t="str">
        <f>IFERROR(INDEX('4. Valuation'!$O$10:$X$17,MATCH($D329,'4. Valuation'!$O$10:$O$17,0),MATCH($T$25,'4. Valuation'!$O$10:$X$10,0)),0)</f>
        <v>-</v>
      </c>
      <c r="U329" s="278"/>
      <c r="V329" s="312">
        <f t="shared" si="70"/>
        <v>0</v>
      </c>
      <c r="W329" s="312">
        <f t="shared" si="71"/>
        <v>0</v>
      </c>
      <c r="X329" s="312">
        <f t="shared" si="72"/>
        <v>0</v>
      </c>
      <c r="Y329" s="278"/>
      <c r="Z329" s="312">
        <f t="shared" si="73"/>
        <v>0</v>
      </c>
      <c r="AA329" s="312">
        <f>'3. GRI Pricing'!Y320</f>
        <v>0</v>
      </c>
      <c r="AB329" s="359">
        <f t="shared" si="74"/>
        <v>0</v>
      </c>
    </row>
    <row r="330" spans="3:28" s="30" customFormat="1" ht="12" x14ac:dyDescent="0.2">
      <c r="C330" s="77">
        <f>'1. Accomodation'!N325</f>
        <v>0</v>
      </c>
      <c r="D330" s="77">
        <f>'1. Accomodation'!P325</f>
        <v>0</v>
      </c>
      <c r="E330" s="77">
        <f>'1. Accomodation'!O325</f>
        <v>0</v>
      </c>
      <c r="G330" s="341">
        <f>IFERROR(INDEX('4. Valuation'!$C$10:$I$17,MATCH($D330,'4. Valuation'!$C$10:$C$17,0),MATCH($G$25,'4. Valuation'!$C$10:$I$10,0)),0)</f>
        <v>0</v>
      </c>
      <c r="H330" s="273">
        <f>IFERROR(INDEX('4. Valuation'!$C$10:$I$17,MATCH($D330,'4. Valuation'!$C$10:$C$17,0),MATCH($H$25,'4. Valuation'!$C$10:$I$10,0)),0)</f>
        <v>0</v>
      </c>
      <c r="I330" s="359" t="str">
        <f>IFERROR(INDEX('4. Valuation'!$C$10:$I$17,MATCH($D330,'4. Valuation'!$C$10:$C$17,0),MATCH($I$25,'4. Valuation'!$C$10:$I$10,0)),0)</f>
        <v>-</v>
      </c>
      <c r="J330" s="277"/>
      <c r="K330" s="312">
        <f t="shared" si="67"/>
        <v>0</v>
      </c>
      <c r="L330" s="312">
        <f t="shared" si="68"/>
        <v>0</v>
      </c>
      <c r="M330" s="359">
        <f t="shared" si="69"/>
        <v>0</v>
      </c>
      <c r="N330" s="278"/>
      <c r="O330" s="278"/>
      <c r="P330" s="278"/>
      <c r="Q330" s="278"/>
      <c r="R330" s="312">
        <f>IFERROR(INDEX('4. Valuation'!$O$10:$X$17,MATCH($D330,'4. Valuation'!$O$10:$O$17,0),MATCH($R$25,'4. Valuation'!$O$10:$X$10,0)),0)</f>
        <v>0</v>
      </c>
      <c r="S330" s="312">
        <f>IFERROR(INDEX('4. Valuation'!$O$10:$X$17,MATCH($D330,'4. Valuation'!$O$10:$O$17,0),MATCH($S$25,'4. Valuation'!$O$10:$X$10,0)),0)</f>
        <v>0</v>
      </c>
      <c r="T330" s="312" t="str">
        <f>IFERROR(INDEX('4. Valuation'!$O$10:$X$17,MATCH($D330,'4. Valuation'!$O$10:$O$17,0),MATCH($T$25,'4. Valuation'!$O$10:$X$10,0)),0)</f>
        <v>-</v>
      </c>
      <c r="U330" s="278"/>
      <c r="V330" s="312">
        <f t="shared" si="70"/>
        <v>0</v>
      </c>
      <c r="W330" s="312">
        <f t="shared" si="71"/>
        <v>0</v>
      </c>
      <c r="X330" s="312">
        <f t="shared" si="72"/>
        <v>0</v>
      </c>
      <c r="Y330" s="278"/>
      <c r="Z330" s="312">
        <f t="shared" si="73"/>
        <v>0</v>
      </c>
      <c r="AA330" s="312">
        <f>'3. GRI Pricing'!Y321</f>
        <v>0</v>
      </c>
      <c r="AB330" s="359">
        <f t="shared" si="74"/>
        <v>0</v>
      </c>
    </row>
    <row r="331" spans="3:28" s="30" customFormat="1" ht="12" x14ac:dyDescent="0.2">
      <c r="C331" s="77">
        <f>'1. Accomodation'!N326</f>
        <v>0</v>
      </c>
      <c r="D331" s="77">
        <f>'1. Accomodation'!P326</f>
        <v>0</v>
      </c>
      <c r="E331" s="77">
        <f>'1. Accomodation'!O326</f>
        <v>0</v>
      </c>
      <c r="G331" s="341">
        <f>IFERROR(INDEX('4. Valuation'!$C$10:$I$17,MATCH($D331,'4. Valuation'!$C$10:$C$17,0),MATCH($G$25,'4. Valuation'!$C$10:$I$10,0)),0)</f>
        <v>0</v>
      </c>
      <c r="H331" s="273">
        <f>IFERROR(INDEX('4. Valuation'!$C$10:$I$17,MATCH($D331,'4. Valuation'!$C$10:$C$17,0),MATCH($H$25,'4. Valuation'!$C$10:$I$10,0)),0)</f>
        <v>0</v>
      </c>
      <c r="I331" s="359" t="str">
        <f>IFERROR(INDEX('4. Valuation'!$C$10:$I$17,MATCH($D331,'4. Valuation'!$C$10:$C$17,0),MATCH($I$25,'4. Valuation'!$C$10:$I$10,0)),0)</f>
        <v>-</v>
      </c>
      <c r="J331" s="277"/>
      <c r="K331" s="312">
        <f t="shared" si="67"/>
        <v>0</v>
      </c>
      <c r="L331" s="312">
        <f t="shared" si="68"/>
        <v>0</v>
      </c>
      <c r="M331" s="359">
        <f t="shared" si="69"/>
        <v>0</v>
      </c>
      <c r="N331" s="278"/>
      <c r="O331" s="278"/>
      <c r="P331" s="278"/>
      <c r="Q331" s="278"/>
      <c r="R331" s="312">
        <f>IFERROR(INDEX('4. Valuation'!$O$10:$X$17,MATCH($D331,'4. Valuation'!$O$10:$O$17,0),MATCH($R$25,'4. Valuation'!$O$10:$X$10,0)),0)</f>
        <v>0</v>
      </c>
      <c r="S331" s="312">
        <f>IFERROR(INDEX('4. Valuation'!$O$10:$X$17,MATCH($D331,'4. Valuation'!$O$10:$O$17,0),MATCH($S$25,'4. Valuation'!$O$10:$X$10,0)),0)</f>
        <v>0</v>
      </c>
      <c r="T331" s="312" t="str">
        <f>IFERROR(INDEX('4. Valuation'!$O$10:$X$17,MATCH($D331,'4. Valuation'!$O$10:$O$17,0),MATCH($T$25,'4. Valuation'!$O$10:$X$10,0)),0)</f>
        <v>-</v>
      </c>
      <c r="U331" s="278"/>
      <c r="V331" s="312">
        <f t="shared" si="70"/>
        <v>0</v>
      </c>
      <c r="W331" s="312">
        <f t="shared" si="71"/>
        <v>0</v>
      </c>
      <c r="X331" s="312">
        <f t="shared" si="72"/>
        <v>0</v>
      </c>
      <c r="Y331" s="278"/>
      <c r="Z331" s="312">
        <f t="shared" si="73"/>
        <v>0</v>
      </c>
      <c r="AA331" s="312">
        <f>'3. GRI Pricing'!Y322</f>
        <v>0</v>
      </c>
      <c r="AB331" s="359">
        <f t="shared" si="74"/>
        <v>0</v>
      </c>
    </row>
    <row r="332" spans="3:28" s="30" customFormat="1" ht="12" x14ac:dyDescent="0.2">
      <c r="C332" s="77">
        <f>'1. Accomodation'!N327</f>
        <v>0</v>
      </c>
      <c r="D332" s="77">
        <f>'1. Accomodation'!P327</f>
        <v>0</v>
      </c>
      <c r="E332" s="77">
        <f>'1. Accomodation'!O327</f>
        <v>0</v>
      </c>
      <c r="G332" s="341">
        <f>IFERROR(INDEX('4. Valuation'!$C$10:$I$17,MATCH($D332,'4. Valuation'!$C$10:$C$17,0),MATCH($G$25,'4. Valuation'!$C$10:$I$10,0)),0)</f>
        <v>0</v>
      </c>
      <c r="H332" s="273">
        <f>IFERROR(INDEX('4. Valuation'!$C$10:$I$17,MATCH($D332,'4. Valuation'!$C$10:$C$17,0),MATCH($H$25,'4. Valuation'!$C$10:$I$10,0)),0)</f>
        <v>0</v>
      </c>
      <c r="I332" s="359" t="str">
        <f>IFERROR(INDEX('4. Valuation'!$C$10:$I$17,MATCH($D332,'4. Valuation'!$C$10:$C$17,0),MATCH($I$25,'4. Valuation'!$C$10:$I$10,0)),0)</f>
        <v>-</v>
      </c>
      <c r="J332" s="277"/>
      <c r="K332" s="312">
        <f t="shared" si="67"/>
        <v>0</v>
      </c>
      <c r="L332" s="312">
        <f t="shared" si="68"/>
        <v>0</v>
      </c>
      <c r="M332" s="359">
        <f t="shared" si="69"/>
        <v>0</v>
      </c>
      <c r="N332" s="278"/>
      <c r="O332" s="278"/>
      <c r="P332" s="278"/>
      <c r="Q332" s="278"/>
      <c r="R332" s="312">
        <f>IFERROR(INDEX('4. Valuation'!$O$10:$X$17,MATCH($D332,'4. Valuation'!$O$10:$O$17,0),MATCH($R$25,'4. Valuation'!$O$10:$X$10,0)),0)</f>
        <v>0</v>
      </c>
      <c r="S332" s="312">
        <f>IFERROR(INDEX('4. Valuation'!$O$10:$X$17,MATCH($D332,'4. Valuation'!$O$10:$O$17,0),MATCH($S$25,'4. Valuation'!$O$10:$X$10,0)),0)</f>
        <v>0</v>
      </c>
      <c r="T332" s="312" t="str">
        <f>IFERROR(INDEX('4. Valuation'!$O$10:$X$17,MATCH($D332,'4. Valuation'!$O$10:$O$17,0),MATCH($T$25,'4. Valuation'!$O$10:$X$10,0)),0)</f>
        <v>-</v>
      </c>
      <c r="U332" s="278"/>
      <c r="V332" s="312">
        <f t="shared" si="70"/>
        <v>0</v>
      </c>
      <c r="W332" s="312">
        <f t="shared" si="71"/>
        <v>0</v>
      </c>
      <c r="X332" s="312">
        <f t="shared" si="72"/>
        <v>0</v>
      </c>
      <c r="Y332" s="278"/>
      <c r="Z332" s="312">
        <f t="shared" si="73"/>
        <v>0</v>
      </c>
      <c r="AA332" s="312">
        <f>'3. GRI Pricing'!Y323</f>
        <v>0</v>
      </c>
      <c r="AB332" s="359">
        <f t="shared" si="74"/>
        <v>0</v>
      </c>
    </row>
    <row r="333" spans="3:28" s="30" customFormat="1" ht="12" x14ac:dyDescent="0.2">
      <c r="C333" s="77">
        <f>'1. Accomodation'!N328</f>
        <v>0</v>
      </c>
      <c r="D333" s="77">
        <f>'1. Accomodation'!P328</f>
        <v>0</v>
      </c>
      <c r="E333" s="77">
        <f>'1. Accomodation'!O328</f>
        <v>0</v>
      </c>
      <c r="G333" s="341">
        <f>IFERROR(INDEX('4. Valuation'!$C$10:$I$17,MATCH($D333,'4. Valuation'!$C$10:$C$17,0),MATCH($G$25,'4. Valuation'!$C$10:$I$10,0)),0)</f>
        <v>0</v>
      </c>
      <c r="H333" s="273">
        <f>IFERROR(INDEX('4. Valuation'!$C$10:$I$17,MATCH($D333,'4. Valuation'!$C$10:$C$17,0),MATCH($H$25,'4. Valuation'!$C$10:$I$10,0)),0)</f>
        <v>0</v>
      </c>
      <c r="I333" s="359" t="str">
        <f>IFERROR(INDEX('4. Valuation'!$C$10:$I$17,MATCH($D333,'4. Valuation'!$C$10:$C$17,0),MATCH($I$25,'4. Valuation'!$C$10:$I$10,0)),0)</f>
        <v>-</v>
      </c>
      <c r="J333" s="277"/>
      <c r="K333" s="312">
        <f t="shared" si="67"/>
        <v>0</v>
      </c>
      <c r="L333" s="312">
        <f t="shared" si="68"/>
        <v>0</v>
      </c>
      <c r="M333" s="359">
        <f t="shared" si="69"/>
        <v>0</v>
      </c>
      <c r="N333" s="278"/>
      <c r="O333" s="278"/>
      <c r="P333" s="278"/>
      <c r="Q333" s="278"/>
      <c r="R333" s="312">
        <f>IFERROR(INDEX('4. Valuation'!$O$10:$X$17,MATCH($D333,'4. Valuation'!$O$10:$O$17,0),MATCH($R$25,'4. Valuation'!$O$10:$X$10,0)),0)</f>
        <v>0</v>
      </c>
      <c r="S333" s="312">
        <f>IFERROR(INDEX('4. Valuation'!$O$10:$X$17,MATCH($D333,'4. Valuation'!$O$10:$O$17,0),MATCH($S$25,'4. Valuation'!$O$10:$X$10,0)),0)</f>
        <v>0</v>
      </c>
      <c r="T333" s="312" t="str">
        <f>IFERROR(INDEX('4. Valuation'!$O$10:$X$17,MATCH($D333,'4. Valuation'!$O$10:$O$17,0),MATCH($T$25,'4. Valuation'!$O$10:$X$10,0)),0)</f>
        <v>-</v>
      </c>
      <c r="U333" s="278"/>
      <c r="V333" s="312">
        <f t="shared" si="70"/>
        <v>0</v>
      </c>
      <c r="W333" s="312">
        <f t="shared" si="71"/>
        <v>0</v>
      </c>
      <c r="X333" s="312">
        <f t="shared" si="72"/>
        <v>0</v>
      </c>
      <c r="Y333" s="278"/>
      <c r="Z333" s="312">
        <f t="shared" si="73"/>
        <v>0</v>
      </c>
      <c r="AA333" s="312">
        <f>'3. GRI Pricing'!Y324</f>
        <v>0</v>
      </c>
      <c r="AB333" s="359">
        <f t="shared" si="74"/>
        <v>0</v>
      </c>
    </row>
    <row r="334" spans="3:28" s="30" customFormat="1" ht="12" x14ac:dyDescent="0.2">
      <c r="C334" s="77">
        <f>'1. Accomodation'!N329</f>
        <v>0</v>
      </c>
      <c r="D334" s="77">
        <f>'1. Accomodation'!P329</f>
        <v>0</v>
      </c>
      <c r="E334" s="77">
        <f>'1. Accomodation'!O329</f>
        <v>0</v>
      </c>
      <c r="G334" s="341">
        <f>IFERROR(INDEX('4. Valuation'!$C$10:$I$17,MATCH($D334,'4. Valuation'!$C$10:$C$17,0),MATCH($G$25,'4. Valuation'!$C$10:$I$10,0)),0)</f>
        <v>0</v>
      </c>
      <c r="H334" s="273">
        <f>IFERROR(INDEX('4. Valuation'!$C$10:$I$17,MATCH($D334,'4. Valuation'!$C$10:$C$17,0),MATCH($H$25,'4. Valuation'!$C$10:$I$10,0)),0)</f>
        <v>0</v>
      </c>
      <c r="I334" s="359" t="str">
        <f>IFERROR(INDEX('4. Valuation'!$C$10:$I$17,MATCH($D334,'4. Valuation'!$C$10:$C$17,0),MATCH($I$25,'4. Valuation'!$C$10:$I$10,0)),0)</f>
        <v>-</v>
      </c>
      <c r="J334" s="277"/>
      <c r="K334" s="312">
        <f t="shared" si="67"/>
        <v>0</v>
      </c>
      <c r="L334" s="312">
        <f t="shared" si="68"/>
        <v>0</v>
      </c>
      <c r="M334" s="359">
        <f t="shared" si="69"/>
        <v>0</v>
      </c>
      <c r="N334" s="278"/>
      <c r="O334" s="278"/>
      <c r="P334" s="278"/>
      <c r="Q334" s="278"/>
      <c r="R334" s="312">
        <f>IFERROR(INDEX('4. Valuation'!$O$10:$X$17,MATCH($D334,'4. Valuation'!$O$10:$O$17,0),MATCH($R$25,'4. Valuation'!$O$10:$X$10,0)),0)</f>
        <v>0</v>
      </c>
      <c r="S334" s="312">
        <f>IFERROR(INDEX('4. Valuation'!$O$10:$X$17,MATCH($D334,'4. Valuation'!$O$10:$O$17,0),MATCH($S$25,'4. Valuation'!$O$10:$X$10,0)),0)</f>
        <v>0</v>
      </c>
      <c r="T334" s="312" t="str">
        <f>IFERROR(INDEX('4. Valuation'!$O$10:$X$17,MATCH($D334,'4. Valuation'!$O$10:$O$17,0),MATCH($T$25,'4. Valuation'!$O$10:$X$10,0)),0)</f>
        <v>-</v>
      </c>
      <c r="U334" s="278"/>
      <c r="V334" s="312">
        <f t="shared" si="70"/>
        <v>0</v>
      </c>
      <c r="W334" s="312">
        <f t="shared" si="71"/>
        <v>0</v>
      </c>
      <c r="X334" s="312">
        <f t="shared" si="72"/>
        <v>0</v>
      </c>
      <c r="Y334" s="278"/>
      <c r="Z334" s="312">
        <f t="shared" si="73"/>
        <v>0</v>
      </c>
      <c r="AA334" s="312">
        <f>'3. GRI Pricing'!Y325</f>
        <v>0</v>
      </c>
      <c r="AB334" s="359">
        <f t="shared" si="74"/>
        <v>0</v>
      </c>
    </row>
    <row r="335" spans="3:28" s="30" customFormat="1" ht="12" x14ac:dyDescent="0.2">
      <c r="C335" s="77">
        <f>'1. Accomodation'!N330</f>
        <v>0</v>
      </c>
      <c r="D335" s="77">
        <f>'1. Accomodation'!P330</f>
        <v>0</v>
      </c>
      <c r="E335" s="77">
        <f>'1. Accomodation'!O330</f>
        <v>0</v>
      </c>
      <c r="G335" s="341">
        <f>IFERROR(INDEX('4. Valuation'!$C$10:$I$17,MATCH($D335,'4. Valuation'!$C$10:$C$17,0),MATCH($G$25,'4. Valuation'!$C$10:$I$10,0)),0)</f>
        <v>0</v>
      </c>
      <c r="H335" s="273">
        <f>IFERROR(INDEX('4. Valuation'!$C$10:$I$17,MATCH($D335,'4. Valuation'!$C$10:$C$17,0),MATCH($H$25,'4. Valuation'!$C$10:$I$10,0)),0)</f>
        <v>0</v>
      </c>
      <c r="I335" s="359" t="str">
        <f>IFERROR(INDEX('4. Valuation'!$C$10:$I$17,MATCH($D335,'4. Valuation'!$C$10:$C$17,0),MATCH($I$25,'4. Valuation'!$C$10:$I$10,0)),0)</f>
        <v>-</v>
      </c>
      <c r="J335" s="277"/>
      <c r="K335" s="312">
        <f t="shared" si="67"/>
        <v>0</v>
      </c>
      <c r="L335" s="312">
        <f t="shared" si="68"/>
        <v>0</v>
      </c>
      <c r="M335" s="359">
        <f t="shared" si="69"/>
        <v>0</v>
      </c>
      <c r="N335" s="278"/>
      <c r="O335" s="278"/>
      <c r="P335" s="278"/>
      <c r="Q335" s="278"/>
      <c r="R335" s="312">
        <f>IFERROR(INDEX('4. Valuation'!$O$10:$X$17,MATCH($D335,'4. Valuation'!$O$10:$O$17,0),MATCH($R$25,'4. Valuation'!$O$10:$X$10,0)),0)</f>
        <v>0</v>
      </c>
      <c r="S335" s="312">
        <f>IFERROR(INDEX('4. Valuation'!$O$10:$X$17,MATCH($D335,'4. Valuation'!$O$10:$O$17,0),MATCH($S$25,'4. Valuation'!$O$10:$X$10,0)),0)</f>
        <v>0</v>
      </c>
      <c r="T335" s="312" t="str">
        <f>IFERROR(INDEX('4. Valuation'!$O$10:$X$17,MATCH($D335,'4. Valuation'!$O$10:$O$17,0),MATCH($T$25,'4. Valuation'!$O$10:$X$10,0)),0)</f>
        <v>-</v>
      </c>
      <c r="U335" s="278"/>
      <c r="V335" s="312">
        <f t="shared" si="70"/>
        <v>0</v>
      </c>
      <c r="W335" s="312">
        <f t="shared" si="71"/>
        <v>0</v>
      </c>
      <c r="X335" s="312">
        <f t="shared" si="72"/>
        <v>0</v>
      </c>
      <c r="Y335" s="278"/>
      <c r="Z335" s="312">
        <f t="shared" si="73"/>
        <v>0</v>
      </c>
      <c r="AA335" s="312">
        <f>'3. GRI Pricing'!Y326</f>
        <v>0</v>
      </c>
      <c r="AB335" s="359">
        <f t="shared" si="74"/>
        <v>0</v>
      </c>
    </row>
    <row r="336" spans="3:28" s="30" customFormat="1" ht="12" x14ac:dyDescent="0.2">
      <c r="C336" s="77">
        <f>'1. Accomodation'!N331</f>
        <v>0</v>
      </c>
      <c r="D336" s="77">
        <f>'1. Accomodation'!P331</f>
        <v>0</v>
      </c>
      <c r="E336" s="77">
        <f>'1. Accomodation'!O331</f>
        <v>0</v>
      </c>
      <c r="G336" s="341">
        <f>IFERROR(INDEX('4. Valuation'!$C$10:$I$17,MATCH($D336,'4. Valuation'!$C$10:$C$17,0),MATCH($G$25,'4. Valuation'!$C$10:$I$10,0)),0)</f>
        <v>0</v>
      </c>
      <c r="H336" s="273">
        <f>IFERROR(INDEX('4. Valuation'!$C$10:$I$17,MATCH($D336,'4. Valuation'!$C$10:$C$17,0),MATCH($H$25,'4. Valuation'!$C$10:$I$10,0)),0)</f>
        <v>0</v>
      </c>
      <c r="I336" s="359" t="str">
        <f>IFERROR(INDEX('4. Valuation'!$C$10:$I$17,MATCH($D336,'4. Valuation'!$C$10:$C$17,0),MATCH($I$25,'4. Valuation'!$C$10:$I$10,0)),0)</f>
        <v>-</v>
      </c>
      <c r="J336" s="277"/>
      <c r="K336" s="312">
        <f t="shared" si="67"/>
        <v>0</v>
      </c>
      <c r="L336" s="312">
        <f t="shared" si="68"/>
        <v>0</v>
      </c>
      <c r="M336" s="359">
        <f t="shared" si="69"/>
        <v>0</v>
      </c>
      <c r="N336" s="278"/>
      <c r="O336" s="278"/>
      <c r="P336" s="278"/>
      <c r="Q336" s="278"/>
      <c r="R336" s="312">
        <f>IFERROR(INDEX('4. Valuation'!$O$10:$X$17,MATCH($D336,'4. Valuation'!$O$10:$O$17,0),MATCH($R$25,'4. Valuation'!$O$10:$X$10,0)),0)</f>
        <v>0</v>
      </c>
      <c r="S336" s="312">
        <f>IFERROR(INDEX('4. Valuation'!$O$10:$X$17,MATCH($D336,'4. Valuation'!$O$10:$O$17,0),MATCH($S$25,'4. Valuation'!$O$10:$X$10,0)),0)</f>
        <v>0</v>
      </c>
      <c r="T336" s="312" t="str">
        <f>IFERROR(INDEX('4. Valuation'!$O$10:$X$17,MATCH($D336,'4. Valuation'!$O$10:$O$17,0),MATCH($T$25,'4. Valuation'!$O$10:$X$10,0)),0)</f>
        <v>-</v>
      </c>
      <c r="U336" s="278"/>
      <c r="V336" s="312">
        <f t="shared" si="70"/>
        <v>0</v>
      </c>
      <c r="W336" s="312">
        <f t="shared" si="71"/>
        <v>0</v>
      </c>
      <c r="X336" s="312">
        <f t="shared" si="72"/>
        <v>0</v>
      </c>
      <c r="Y336" s="278"/>
      <c r="Z336" s="312">
        <f t="shared" si="73"/>
        <v>0</v>
      </c>
      <c r="AA336" s="312">
        <f>'3. GRI Pricing'!Y327</f>
        <v>0</v>
      </c>
      <c r="AB336" s="359">
        <f t="shared" si="74"/>
        <v>0</v>
      </c>
    </row>
    <row r="337" spans="3:28" s="30" customFormat="1" ht="12" x14ac:dyDescent="0.2">
      <c r="C337" s="77">
        <f>'1. Accomodation'!N332</f>
        <v>0</v>
      </c>
      <c r="D337" s="77">
        <f>'1. Accomodation'!P332</f>
        <v>0</v>
      </c>
      <c r="E337" s="77">
        <f>'1. Accomodation'!O332</f>
        <v>0</v>
      </c>
      <c r="G337" s="341">
        <f>IFERROR(INDEX('4. Valuation'!$C$10:$I$17,MATCH($D337,'4. Valuation'!$C$10:$C$17,0),MATCH($G$25,'4. Valuation'!$C$10:$I$10,0)),0)</f>
        <v>0</v>
      </c>
      <c r="H337" s="273">
        <f>IFERROR(INDEX('4. Valuation'!$C$10:$I$17,MATCH($D337,'4. Valuation'!$C$10:$C$17,0),MATCH($H$25,'4. Valuation'!$C$10:$I$10,0)),0)</f>
        <v>0</v>
      </c>
      <c r="I337" s="359" t="str">
        <f>IFERROR(INDEX('4. Valuation'!$C$10:$I$17,MATCH($D337,'4. Valuation'!$C$10:$C$17,0),MATCH($I$25,'4. Valuation'!$C$10:$I$10,0)),0)</f>
        <v>-</v>
      </c>
      <c r="J337" s="277"/>
      <c r="K337" s="312">
        <f t="shared" si="67"/>
        <v>0</v>
      </c>
      <c r="L337" s="312">
        <f t="shared" si="68"/>
        <v>0</v>
      </c>
      <c r="M337" s="359">
        <f t="shared" si="69"/>
        <v>0</v>
      </c>
      <c r="N337" s="278"/>
      <c r="O337" s="278"/>
      <c r="P337" s="278"/>
      <c r="Q337" s="278"/>
      <c r="R337" s="312">
        <f>IFERROR(INDEX('4. Valuation'!$O$10:$X$17,MATCH($D337,'4. Valuation'!$O$10:$O$17,0),MATCH($R$25,'4. Valuation'!$O$10:$X$10,0)),0)</f>
        <v>0</v>
      </c>
      <c r="S337" s="312">
        <f>IFERROR(INDEX('4. Valuation'!$O$10:$X$17,MATCH($D337,'4. Valuation'!$O$10:$O$17,0),MATCH($S$25,'4. Valuation'!$O$10:$X$10,0)),0)</f>
        <v>0</v>
      </c>
      <c r="T337" s="312" t="str">
        <f>IFERROR(INDEX('4. Valuation'!$O$10:$X$17,MATCH($D337,'4. Valuation'!$O$10:$O$17,0),MATCH($T$25,'4. Valuation'!$O$10:$X$10,0)),0)</f>
        <v>-</v>
      </c>
      <c r="U337" s="278"/>
      <c r="V337" s="312">
        <f t="shared" si="70"/>
        <v>0</v>
      </c>
      <c r="W337" s="312">
        <f t="shared" si="71"/>
        <v>0</v>
      </c>
      <c r="X337" s="312">
        <f t="shared" si="72"/>
        <v>0</v>
      </c>
      <c r="Y337" s="278"/>
      <c r="Z337" s="312">
        <f t="shared" si="73"/>
        <v>0</v>
      </c>
      <c r="AA337" s="312">
        <f>'3. GRI Pricing'!Y328</f>
        <v>0</v>
      </c>
      <c r="AB337" s="359">
        <f t="shared" si="74"/>
        <v>0</v>
      </c>
    </row>
    <row r="338" spans="3:28" s="30" customFormat="1" ht="12" x14ac:dyDescent="0.2">
      <c r="C338" s="77">
        <f>'1. Accomodation'!N333</f>
        <v>0</v>
      </c>
      <c r="D338" s="77">
        <f>'1. Accomodation'!P333</f>
        <v>0</v>
      </c>
      <c r="E338" s="77">
        <f>'1. Accomodation'!O333</f>
        <v>0</v>
      </c>
      <c r="G338" s="341">
        <f>IFERROR(INDEX('4. Valuation'!$C$10:$I$17,MATCH($D338,'4. Valuation'!$C$10:$C$17,0),MATCH($G$25,'4. Valuation'!$C$10:$I$10,0)),0)</f>
        <v>0</v>
      </c>
      <c r="H338" s="273">
        <f>IFERROR(INDEX('4. Valuation'!$C$10:$I$17,MATCH($D338,'4. Valuation'!$C$10:$C$17,0),MATCH($H$25,'4. Valuation'!$C$10:$I$10,0)),0)</f>
        <v>0</v>
      </c>
      <c r="I338" s="359" t="str">
        <f>IFERROR(INDEX('4. Valuation'!$C$10:$I$17,MATCH($D338,'4. Valuation'!$C$10:$C$17,0),MATCH($I$25,'4. Valuation'!$C$10:$I$10,0)),0)</f>
        <v>-</v>
      </c>
      <c r="J338" s="277"/>
      <c r="K338" s="312">
        <f t="shared" si="67"/>
        <v>0</v>
      </c>
      <c r="L338" s="312">
        <f t="shared" si="68"/>
        <v>0</v>
      </c>
      <c r="M338" s="359">
        <f t="shared" si="69"/>
        <v>0</v>
      </c>
      <c r="N338" s="278"/>
      <c r="O338" s="278"/>
      <c r="P338" s="278"/>
      <c r="Q338" s="278"/>
      <c r="R338" s="312">
        <f>IFERROR(INDEX('4. Valuation'!$O$10:$X$17,MATCH($D338,'4. Valuation'!$O$10:$O$17,0),MATCH($R$25,'4. Valuation'!$O$10:$X$10,0)),0)</f>
        <v>0</v>
      </c>
      <c r="S338" s="312">
        <f>IFERROR(INDEX('4. Valuation'!$O$10:$X$17,MATCH($D338,'4. Valuation'!$O$10:$O$17,0),MATCH($S$25,'4. Valuation'!$O$10:$X$10,0)),0)</f>
        <v>0</v>
      </c>
      <c r="T338" s="312" t="str">
        <f>IFERROR(INDEX('4. Valuation'!$O$10:$X$17,MATCH($D338,'4. Valuation'!$O$10:$O$17,0),MATCH($T$25,'4. Valuation'!$O$10:$X$10,0)),0)</f>
        <v>-</v>
      </c>
      <c r="U338" s="278"/>
      <c r="V338" s="312">
        <f t="shared" si="70"/>
        <v>0</v>
      </c>
      <c r="W338" s="312">
        <f t="shared" si="71"/>
        <v>0</v>
      </c>
      <c r="X338" s="312">
        <f t="shared" si="72"/>
        <v>0</v>
      </c>
      <c r="Y338" s="278"/>
      <c r="Z338" s="312">
        <f t="shared" si="73"/>
        <v>0</v>
      </c>
      <c r="AA338" s="312">
        <f>'3. GRI Pricing'!Y329</f>
        <v>0</v>
      </c>
      <c r="AB338" s="359">
        <f t="shared" si="74"/>
        <v>0</v>
      </c>
    </row>
    <row r="339" spans="3:28" s="30" customFormat="1" ht="12" x14ac:dyDescent="0.2">
      <c r="C339" s="77">
        <f>'1. Accomodation'!N334</f>
        <v>0</v>
      </c>
      <c r="D339" s="77">
        <f>'1. Accomodation'!P334</f>
        <v>0</v>
      </c>
      <c r="E339" s="77">
        <f>'1. Accomodation'!O334</f>
        <v>0</v>
      </c>
      <c r="G339" s="341">
        <f>IFERROR(INDEX('4. Valuation'!$C$10:$I$17,MATCH($D339,'4. Valuation'!$C$10:$C$17,0),MATCH($G$25,'4. Valuation'!$C$10:$I$10,0)),0)</f>
        <v>0</v>
      </c>
      <c r="H339" s="273">
        <f>IFERROR(INDEX('4. Valuation'!$C$10:$I$17,MATCH($D339,'4. Valuation'!$C$10:$C$17,0),MATCH($H$25,'4. Valuation'!$C$10:$I$10,0)),0)</f>
        <v>0</v>
      </c>
      <c r="I339" s="359" t="str">
        <f>IFERROR(INDEX('4. Valuation'!$C$10:$I$17,MATCH($D339,'4. Valuation'!$C$10:$C$17,0),MATCH($I$25,'4. Valuation'!$C$10:$I$10,0)),0)</f>
        <v>-</v>
      </c>
      <c r="J339" s="277"/>
      <c r="K339" s="312">
        <f t="shared" si="67"/>
        <v>0</v>
      </c>
      <c r="L339" s="312">
        <f t="shared" si="68"/>
        <v>0</v>
      </c>
      <c r="M339" s="359">
        <f t="shared" si="69"/>
        <v>0</v>
      </c>
      <c r="N339" s="278"/>
      <c r="O339" s="278"/>
      <c r="P339" s="278"/>
      <c r="Q339" s="278"/>
      <c r="R339" s="312">
        <f>IFERROR(INDEX('4. Valuation'!$O$10:$X$17,MATCH($D339,'4. Valuation'!$O$10:$O$17,0),MATCH($R$25,'4. Valuation'!$O$10:$X$10,0)),0)</f>
        <v>0</v>
      </c>
      <c r="S339" s="312">
        <f>IFERROR(INDEX('4. Valuation'!$O$10:$X$17,MATCH($D339,'4. Valuation'!$O$10:$O$17,0),MATCH($S$25,'4. Valuation'!$O$10:$X$10,0)),0)</f>
        <v>0</v>
      </c>
      <c r="T339" s="312" t="str">
        <f>IFERROR(INDEX('4. Valuation'!$O$10:$X$17,MATCH($D339,'4. Valuation'!$O$10:$O$17,0),MATCH($T$25,'4. Valuation'!$O$10:$X$10,0)),0)</f>
        <v>-</v>
      </c>
      <c r="U339" s="278"/>
      <c r="V339" s="312">
        <f t="shared" si="70"/>
        <v>0</v>
      </c>
      <c r="W339" s="312">
        <f t="shared" si="71"/>
        <v>0</v>
      </c>
      <c r="X339" s="312">
        <f t="shared" si="72"/>
        <v>0</v>
      </c>
      <c r="Y339" s="278"/>
      <c r="Z339" s="312">
        <f t="shared" si="73"/>
        <v>0</v>
      </c>
      <c r="AA339" s="312">
        <f>'3. GRI Pricing'!Y330</f>
        <v>0</v>
      </c>
      <c r="AB339" s="359">
        <f t="shared" si="74"/>
        <v>0</v>
      </c>
    </row>
    <row r="340" spans="3:28" s="30" customFormat="1" ht="12" x14ac:dyDescent="0.2">
      <c r="C340" s="77">
        <f>'1. Accomodation'!N335</f>
        <v>0</v>
      </c>
      <c r="D340" s="77">
        <f>'1. Accomodation'!P335</f>
        <v>0</v>
      </c>
      <c r="E340" s="77">
        <f>'1. Accomodation'!O335</f>
        <v>0</v>
      </c>
      <c r="G340" s="341">
        <f>IFERROR(INDEX('4. Valuation'!$C$10:$I$17,MATCH($D340,'4. Valuation'!$C$10:$C$17,0),MATCH($G$25,'4. Valuation'!$C$10:$I$10,0)),0)</f>
        <v>0</v>
      </c>
      <c r="H340" s="273">
        <f>IFERROR(INDEX('4. Valuation'!$C$10:$I$17,MATCH($D340,'4. Valuation'!$C$10:$C$17,0),MATCH($H$25,'4. Valuation'!$C$10:$I$10,0)),0)</f>
        <v>0</v>
      </c>
      <c r="I340" s="359" t="str">
        <f>IFERROR(INDEX('4. Valuation'!$C$10:$I$17,MATCH($D340,'4. Valuation'!$C$10:$C$17,0),MATCH($I$25,'4. Valuation'!$C$10:$I$10,0)),0)</f>
        <v>-</v>
      </c>
      <c r="J340" s="277"/>
      <c r="K340" s="312">
        <f t="shared" si="67"/>
        <v>0</v>
      </c>
      <c r="L340" s="312">
        <f t="shared" si="68"/>
        <v>0</v>
      </c>
      <c r="M340" s="359">
        <f t="shared" si="69"/>
        <v>0</v>
      </c>
      <c r="N340" s="278"/>
      <c r="O340" s="278"/>
      <c r="P340" s="278"/>
      <c r="Q340" s="278"/>
      <c r="R340" s="312">
        <f>IFERROR(INDEX('4. Valuation'!$O$10:$X$17,MATCH($D340,'4. Valuation'!$O$10:$O$17,0),MATCH($R$25,'4. Valuation'!$O$10:$X$10,0)),0)</f>
        <v>0</v>
      </c>
      <c r="S340" s="312">
        <f>IFERROR(INDEX('4. Valuation'!$O$10:$X$17,MATCH($D340,'4. Valuation'!$O$10:$O$17,0),MATCH($S$25,'4. Valuation'!$O$10:$X$10,0)),0)</f>
        <v>0</v>
      </c>
      <c r="T340" s="312" t="str">
        <f>IFERROR(INDEX('4. Valuation'!$O$10:$X$17,MATCH($D340,'4. Valuation'!$O$10:$O$17,0),MATCH($T$25,'4. Valuation'!$O$10:$X$10,0)),0)</f>
        <v>-</v>
      </c>
      <c r="U340" s="278"/>
      <c r="V340" s="312">
        <f t="shared" si="70"/>
        <v>0</v>
      </c>
      <c r="W340" s="312">
        <f t="shared" si="71"/>
        <v>0</v>
      </c>
      <c r="X340" s="312">
        <f t="shared" si="72"/>
        <v>0</v>
      </c>
      <c r="Y340" s="278"/>
      <c r="Z340" s="312">
        <f t="shared" si="73"/>
        <v>0</v>
      </c>
      <c r="AA340" s="312">
        <f>'3. GRI Pricing'!Y331</f>
        <v>0</v>
      </c>
      <c r="AB340" s="359">
        <f t="shared" si="74"/>
        <v>0</v>
      </c>
    </row>
    <row r="341" spans="3:28" s="30" customFormat="1" ht="12" x14ac:dyDescent="0.2">
      <c r="C341" s="77">
        <f>'1. Accomodation'!N336</f>
        <v>0</v>
      </c>
      <c r="D341" s="77">
        <f>'1. Accomodation'!P336</f>
        <v>0</v>
      </c>
      <c r="E341" s="77">
        <f>'1. Accomodation'!O336</f>
        <v>0</v>
      </c>
      <c r="G341" s="341">
        <f>IFERROR(INDEX('4. Valuation'!$C$10:$I$17,MATCH($D341,'4. Valuation'!$C$10:$C$17,0),MATCH($G$25,'4. Valuation'!$C$10:$I$10,0)),0)</f>
        <v>0</v>
      </c>
      <c r="H341" s="273">
        <f>IFERROR(INDEX('4. Valuation'!$C$10:$I$17,MATCH($D341,'4. Valuation'!$C$10:$C$17,0),MATCH($H$25,'4. Valuation'!$C$10:$I$10,0)),0)</f>
        <v>0</v>
      </c>
      <c r="I341" s="359" t="str">
        <f>IFERROR(INDEX('4. Valuation'!$C$10:$I$17,MATCH($D341,'4. Valuation'!$C$10:$C$17,0),MATCH($I$25,'4. Valuation'!$C$10:$I$10,0)),0)</f>
        <v>-</v>
      </c>
      <c r="J341" s="277"/>
      <c r="K341" s="312">
        <f t="shared" si="67"/>
        <v>0</v>
      </c>
      <c r="L341" s="312">
        <f t="shared" si="68"/>
        <v>0</v>
      </c>
      <c r="M341" s="359">
        <f t="shared" si="69"/>
        <v>0</v>
      </c>
      <c r="N341" s="278"/>
      <c r="O341" s="278"/>
      <c r="P341" s="278"/>
      <c r="Q341" s="278"/>
      <c r="R341" s="312">
        <f>IFERROR(INDEX('4. Valuation'!$O$10:$X$17,MATCH($D341,'4. Valuation'!$O$10:$O$17,0),MATCH($R$25,'4. Valuation'!$O$10:$X$10,0)),0)</f>
        <v>0</v>
      </c>
      <c r="S341" s="312">
        <f>IFERROR(INDEX('4. Valuation'!$O$10:$X$17,MATCH($D341,'4. Valuation'!$O$10:$O$17,0),MATCH($S$25,'4. Valuation'!$O$10:$X$10,0)),0)</f>
        <v>0</v>
      </c>
      <c r="T341" s="312" t="str">
        <f>IFERROR(INDEX('4. Valuation'!$O$10:$X$17,MATCH($D341,'4. Valuation'!$O$10:$O$17,0),MATCH($T$25,'4. Valuation'!$O$10:$X$10,0)),0)</f>
        <v>-</v>
      </c>
      <c r="U341" s="278"/>
      <c r="V341" s="312">
        <f t="shared" si="70"/>
        <v>0</v>
      </c>
      <c r="W341" s="312">
        <f t="shared" si="71"/>
        <v>0</v>
      </c>
      <c r="X341" s="312">
        <f t="shared" si="72"/>
        <v>0</v>
      </c>
      <c r="Y341" s="278"/>
      <c r="Z341" s="312">
        <f t="shared" si="73"/>
        <v>0</v>
      </c>
      <c r="AA341" s="312">
        <f>'3. GRI Pricing'!Y332</f>
        <v>0</v>
      </c>
      <c r="AB341" s="359">
        <f t="shared" si="74"/>
        <v>0</v>
      </c>
    </row>
    <row r="342" spans="3:28" s="30" customFormat="1" ht="12" x14ac:dyDescent="0.2">
      <c r="C342" s="77">
        <f>'1. Accomodation'!N337</f>
        <v>0</v>
      </c>
      <c r="D342" s="77">
        <f>'1. Accomodation'!P337</f>
        <v>0</v>
      </c>
      <c r="E342" s="77">
        <f>'1. Accomodation'!O337</f>
        <v>0</v>
      </c>
      <c r="G342" s="341">
        <f>IFERROR(INDEX('4. Valuation'!$C$10:$I$17,MATCH($D342,'4. Valuation'!$C$10:$C$17,0),MATCH($G$25,'4. Valuation'!$C$10:$I$10,0)),0)</f>
        <v>0</v>
      </c>
      <c r="H342" s="273">
        <f>IFERROR(INDEX('4. Valuation'!$C$10:$I$17,MATCH($D342,'4. Valuation'!$C$10:$C$17,0),MATCH($H$25,'4. Valuation'!$C$10:$I$10,0)),0)</f>
        <v>0</v>
      </c>
      <c r="I342" s="359" t="str">
        <f>IFERROR(INDEX('4. Valuation'!$C$10:$I$17,MATCH($D342,'4. Valuation'!$C$10:$C$17,0),MATCH($I$25,'4. Valuation'!$C$10:$I$10,0)),0)</f>
        <v>-</v>
      </c>
      <c r="J342" s="277"/>
      <c r="K342" s="312">
        <f t="shared" si="67"/>
        <v>0</v>
      </c>
      <c r="L342" s="312">
        <f t="shared" si="68"/>
        <v>0</v>
      </c>
      <c r="M342" s="359">
        <f t="shared" si="69"/>
        <v>0</v>
      </c>
      <c r="N342" s="278"/>
      <c r="O342" s="278"/>
      <c r="P342" s="278"/>
      <c r="Q342" s="278"/>
      <c r="R342" s="312">
        <f>IFERROR(INDEX('4. Valuation'!$O$10:$X$17,MATCH($D342,'4. Valuation'!$O$10:$O$17,0),MATCH($R$25,'4. Valuation'!$O$10:$X$10,0)),0)</f>
        <v>0</v>
      </c>
      <c r="S342" s="312">
        <f>IFERROR(INDEX('4. Valuation'!$O$10:$X$17,MATCH($D342,'4. Valuation'!$O$10:$O$17,0),MATCH($S$25,'4. Valuation'!$O$10:$X$10,0)),0)</f>
        <v>0</v>
      </c>
      <c r="T342" s="312" t="str">
        <f>IFERROR(INDEX('4. Valuation'!$O$10:$X$17,MATCH($D342,'4. Valuation'!$O$10:$O$17,0),MATCH($T$25,'4. Valuation'!$O$10:$X$10,0)),0)</f>
        <v>-</v>
      </c>
      <c r="U342" s="278"/>
      <c r="V342" s="312">
        <f t="shared" si="70"/>
        <v>0</v>
      </c>
      <c r="W342" s="312">
        <f t="shared" si="71"/>
        <v>0</v>
      </c>
      <c r="X342" s="312">
        <f t="shared" si="72"/>
        <v>0</v>
      </c>
      <c r="Y342" s="278"/>
      <c r="Z342" s="312">
        <f t="shared" si="73"/>
        <v>0</v>
      </c>
      <c r="AA342" s="312">
        <f>'3. GRI Pricing'!Y333</f>
        <v>0</v>
      </c>
      <c r="AB342" s="359">
        <f t="shared" si="74"/>
        <v>0</v>
      </c>
    </row>
    <row r="343" spans="3:28" s="30" customFormat="1" ht="12" x14ac:dyDescent="0.2">
      <c r="C343" s="77">
        <f>'1. Accomodation'!N338</f>
        <v>0</v>
      </c>
      <c r="D343" s="77">
        <f>'1. Accomodation'!P338</f>
        <v>0</v>
      </c>
      <c r="E343" s="77">
        <f>'1. Accomodation'!O338</f>
        <v>0</v>
      </c>
      <c r="G343" s="341">
        <f>IFERROR(INDEX('4. Valuation'!$C$10:$I$17,MATCH($D343,'4. Valuation'!$C$10:$C$17,0),MATCH($G$25,'4. Valuation'!$C$10:$I$10,0)),0)</f>
        <v>0</v>
      </c>
      <c r="H343" s="273">
        <f>IFERROR(INDEX('4. Valuation'!$C$10:$I$17,MATCH($D343,'4. Valuation'!$C$10:$C$17,0),MATCH($H$25,'4. Valuation'!$C$10:$I$10,0)),0)</f>
        <v>0</v>
      </c>
      <c r="I343" s="359" t="str">
        <f>IFERROR(INDEX('4. Valuation'!$C$10:$I$17,MATCH($D343,'4. Valuation'!$C$10:$C$17,0),MATCH($I$25,'4. Valuation'!$C$10:$I$10,0)),0)</f>
        <v>-</v>
      </c>
      <c r="J343" s="277"/>
      <c r="K343" s="312">
        <f t="shared" si="67"/>
        <v>0</v>
      </c>
      <c r="L343" s="312">
        <f t="shared" si="68"/>
        <v>0</v>
      </c>
      <c r="M343" s="359">
        <f t="shared" si="69"/>
        <v>0</v>
      </c>
      <c r="N343" s="278"/>
      <c r="O343" s="278"/>
      <c r="P343" s="278"/>
      <c r="Q343" s="278"/>
      <c r="R343" s="312">
        <f>IFERROR(INDEX('4. Valuation'!$O$10:$X$17,MATCH($D343,'4. Valuation'!$O$10:$O$17,0),MATCH($R$25,'4. Valuation'!$O$10:$X$10,0)),0)</f>
        <v>0</v>
      </c>
      <c r="S343" s="312">
        <f>IFERROR(INDEX('4. Valuation'!$O$10:$X$17,MATCH($D343,'4. Valuation'!$O$10:$O$17,0),MATCH($S$25,'4. Valuation'!$O$10:$X$10,0)),0)</f>
        <v>0</v>
      </c>
      <c r="T343" s="312" t="str">
        <f>IFERROR(INDEX('4. Valuation'!$O$10:$X$17,MATCH($D343,'4. Valuation'!$O$10:$O$17,0),MATCH($T$25,'4. Valuation'!$O$10:$X$10,0)),0)</f>
        <v>-</v>
      </c>
      <c r="U343" s="278"/>
      <c r="V343" s="312">
        <f t="shared" si="70"/>
        <v>0</v>
      </c>
      <c r="W343" s="312">
        <f t="shared" si="71"/>
        <v>0</v>
      </c>
      <c r="X343" s="312">
        <f t="shared" si="72"/>
        <v>0</v>
      </c>
      <c r="Y343" s="278"/>
      <c r="Z343" s="312">
        <f t="shared" si="73"/>
        <v>0</v>
      </c>
      <c r="AA343" s="312">
        <f>'3. GRI Pricing'!Y334</f>
        <v>0</v>
      </c>
      <c r="AB343" s="359">
        <f t="shared" si="74"/>
        <v>0</v>
      </c>
    </row>
    <row r="344" spans="3:28" s="30" customFormat="1" ht="12" x14ac:dyDescent="0.2">
      <c r="C344" s="77">
        <f>'1. Accomodation'!N339</f>
        <v>0</v>
      </c>
      <c r="D344" s="77">
        <f>'1. Accomodation'!P339</f>
        <v>0</v>
      </c>
      <c r="E344" s="77">
        <f>'1. Accomodation'!O339</f>
        <v>0</v>
      </c>
      <c r="G344" s="341">
        <f>IFERROR(INDEX('4. Valuation'!$C$10:$I$17,MATCH($D344,'4. Valuation'!$C$10:$C$17,0),MATCH($G$25,'4. Valuation'!$C$10:$I$10,0)),0)</f>
        <v>0</v>
      </c>
      <c r="H344" s="273">
        <f>IFERROR(INDEX('4. Valuation'!$C$10:$I$17,MATCH($D344,'4. Valuation'!$C$10:$C$17,0),MATCH($H$25,'4. Valuation'!$C$10:$I$10,0)),0)</f>
        <v>0</v>
      </c>
      <c r="I344" s="359" t="str">
        <f>IFERROR(INDEX('4. Valuation'!$C$10:$I$17,MATCH($D344,'4. Valuation'!$C$10:$C$17,0),MATCH($I$25,'4. Valuation'!$C$10:$I$10,0)),0)</f>
        <v>-</v>
      </c>
      <c r="J344" s="277"/>
      <c r="K344" s="312">
        <f t="shared" si="67"/>
        <v>0</v>
      </c>
      <c r="L344" s="312">
        <f t="shared" si="68"/>
        <v>0</v>
      </c>
      <c r="M344" s="359">
        <f t="shared" si="69"/>
        <v>0</v>
      </c>
      <c r="N344" s="278"/>
      <c r="O344" s="278"/>
      <c r="P344" s="278"/>
      <c r="Q344" s="278"/>
      <c r="R344" s="312">
        <f>IFERROR(INDEX('4. Valuation'!$O$10:$X$17,MATCH($D344,'4. Valuation'!$O$10:$O$17,0),MATCH($R$25,'4. Valuation'!$O$10:$X$10,0)),0)</f>
        <v>0</v>
      </c>
      <c r="S344" s="312">
        <f>IFERROR(INDEX('4. Valuation'!$O$10:$X$17,MATCH($D344,'4. Valuation'!$O$10:$O$17,0),MATCH($S$25,'4. Valuation'!$O$10:$X$10,0)),0)</f>
        <v>0</v>
      </c>
      <c r="T344" s="312" t="str">
        <f>IFERROR(INDEX('4. Valuation'!$O$10:$X$17,MATCH($D344,'4. Valuation'!$O$10:$O$17,0),MATCH($T$25,'4. Valuation'!$O$10:$X$10,0)),0)</f>
        <v>-</v>
      </c>
      <c r="U344" s="278"/>
      <c r="V344" s="312">
        <f t="shared" si="70"/>
        <v>0</v>
      </c>
      <c r="W344" s="312">
        <f t="shared" si="71"/>
        <v>0</v>
      </c>
      <c r="X344" s="312">
        <f t="shared" si="72"/>
        <v>0</v>
      </c>
      <c r="Y344" s="278"/>
      <c r="Z344" s="312">
        <f t="shared" si="73"/>
        <v>0</v>
      </c>
      <c r="AA344" s="312">
        <f>'3. GRI Pricing'!Y335</f>
        <v>0</v>
      </c>
      <c r="AB344" s="359">
        <f t="shared" si="74"/>
        <v>0</v>
      </c>
    </row>
    <row r="345" spans="3:28" s="30" customFormat="1" ht="12" x14ac:dyDescent="0.2">
      <c r="C345" s="77">
        <f>'1. Accomodation'!N340</f>
        <v>0</v>
      </c>
      <c r="D345" s="77">
        <f>'1. Accomodation'!P340</f>
        <v>0</v>
      </c>
      <c r="E345" s="77">
        <f>'1. Accomodation'!O340</f>
        <v>0</v>
      </c>
      <c r="G345" s="341">
        <f>IFERROR(INDEX('4. Valuation'!$C$10:$I$17,MATCH($D345,'4. Valuation'!$C$10:$C$17,0),MATCH($G$25,'4. Valuation'!$C$10:$I$10,0)),0)</f>
        <v>0</v>
      </c>
      <c r="H345" s="273">
        <f>IFERROR(INDEX('4. Valuation'!$C$10:$I$17,MATCH($D345,'4. Valuation'!$C$10:$C$17,0),MATCH($H$25,'4. Valuation'!$C$10:$I$10,0)),0)</f>
        <v>0</v>
      </c>
      <c r="I345" s="359" t="str">
        <f>IFERROR(INDEX('4. Valuation'!$C$10:$I$17,MATCH($D345,'4. Valuation'!$C$10:$C$17,0),MATCH($I$25,'4. Valuation'!$C$10:$I$10,0)),0)</f>
        <v>-</v>
      </c>
      <c r="J345" s="277"/>
      <c r="K345" s="312">
        <f t="shared" si="67"/>
        <v>0</v>
      </c>
      <c r="L345" s="312">
        <f t="shared" si="68"/>
        <v>0</v>
      </c>
      <c r="M345" s="359">
        <f t="shared" si="69"/>
        <v>0</v>
      </c>
      <c r="N345" s="278"/>
      <c r="O345" s="278"/>
      <c r="P345" s="278"/>
      <c r="Q345" s="278"/>
      <c r="R345" s="312">
        <f>IFERROR(INDEX('4. Valuation'!$O$10:$X$17,MATCH($D345,'4. Valuation'!$O$10:$O$17,0),MATCH($R$25,'4. Valuation'!$O$10:$X$10,0)),0)</f>
        <v>0</v>
      </c>
      <c r="S345" s="312">
        <f>IFERROR(INDEX('4. Valuation'!$O$10:$X$17,MATCH($D345,'4. Valuation'!$O$10:$O$17,0),MATCH($S$25,'4. Valuation'!$O$10:$X$10,0)),0)</f>
        <v>0</v>
      </c>
      <c r="T345" s="312" t="str">
        <f>IFERROR(INDEX('4. Valuation'!$O$10:$X$17,MATCH($D345,'4. Valuation'!$O$10:$O$17,0),MATCH($T$25,'4. Valuation'!$O$10:$X$10,0)),0)</f>
        <v>-</v>
      </c>
      <c r="U345" s="278"/>
      <c r="V345" s="312">
        <f t="shared" si="70"/>
        <v>0</v>
      </c>
      <c r="W345" s="312">
        <f t="shared" si="71"/>
        <v>0</v>
      </c>
      <c r="X345" s="312">
        <f t="shared" si="72"/>
        <v>0</v>
      </c>
      <c r="Y345" s="278"/>
      <c r="Z345" s="312">
        <f t="shared" si="73"/>
        <v>0</v>
      </c>
      <c r="AA345" s="312">
        <f>'3. GRI Pricing'!Y336</f>
        <v>0</v>
      </c>
      <c r="AB345" s="359">
        <f t="shared" si="74"/>
        <v>0</v>
      </c>
    </row>
    <row r="346" spans="3:28" s="30" customFormat="1" ht="12" x14ac:dyDescent="0.2">
      <c r="C346" s="77">
        <f>'1. Accomodation'!N341</f>
        <v>0</v>
      </c>
      <c r="D346" s="77">
        <f>'1. Accomodation'!P341</f>
        <v>0</v>
      </c>
      <c r="E346" s="77">
        <f>'1. Accomodation'!O341</f>
        <v>0</v>
      </c>
      <c r="G346" s="341">
        <f>IFERROR(INDEX('4. Valuation'!$C$10:$I$17,MATCH($D346,'4. Valuation'!$C$10:$C$17,0),MATCH($G$25,'4. Valuation'!$C$10:$I$10,0)),0)</f>
        <v>0</v>
      </c>
      <c r="H346" s="273">
        <f>IFERROR(INDEX('4. Valuation'!$C$10:$I$17,MATCH($D346,'4. Valuation'!$C$10:$C$17,0),MATCH($H$25,'4. Valuation'!$C$10:$I$10,0)),0)</f>
        <v>0</v>
      </c>
      <c r="I346" s="359" t="str">
        <f>IFERROR(INDEX('4. Valuation'!$C$10:$I$17,MATCH($D346,'4. Valuation'!$C$10:$C$17,0),MATCH($I$25,'4. Valuation'!$C$10:$I$10,0)),0)</f>
        <v>-</v>
      </c>
      <c r="J346" s="277"/>
      <c r="K346" s="312">
        <f t="shared" si="67"/>
        <v>0</v>
      </c>
      <c r="L346" s="312">
        <f t="shared" si="68"/>
        <v>0</v>
      </c>
      <c r="M346" s="359">
        <f t="shared" si="69"/>
        <v>0</v>
      </c>
      <c r="N346" s="278"/>
      <c r="O346" s="278"/>
      <c r="P346" s="278"/>
      <c r="Q346" s="278"/>
      <c r="R346" s="312">
        <f>IFERROR(INDEX('4. Valuation'!$O$10:$X$17,MATCH($D346,'4. Valuation'!$O$10:$O$17,0),MATCH($R$25,'4. Valuation'!$O$10:$X$10,0)),0)</f>
        <v>0</v>
      </c>
      <c r="S346" s="312">
        <f>IFERROR(INDEX('4. Valuation'!$O$10:$X$17,MATCH($D346,'4. Valuation'!$O$10:$O$17,0),MATCH($S$25,'4. Valuation'!$O$10:$X$10,0)),0)</f>
        <v>0</v>
      </c>
      <c r="T346" s="312" t="str">
        <f>IFERROR(INDEX('4. Valuation'!$O$10:$X$17,MATCH($D346,'4. Valuation'!$O$10:$O$17,0),MATCH($T$25,'4. Valuation'!$O$10:$X$10,0)),0)</f>
        <v>-</v>
      </c>
      <c r="U346" s="278"/>
      <c r="V346" s="312">
        <f t="shared" si="70"/>
        <v>0</v>
      </c>
      <c r="W346" s="312">
        <f t="shared" si="71"/>
        <v>0</v>
      </c>
      <c r="X346" s="312">
        <f t="shared" si="72"/>
        <v>0</v>
      </c>
      <c r="Y346" s="278"/>
      <c r="Z346" s="312">
        <f t="shared" si="73"/>
        <v>0</v>
      </c>
      <c r="AA346" s="312">
        <f>'3. GRI Pricing'!Y337</f>
        <v>0</v>
      </c>
      <c r="AB346" s="359">
        <f t="shared" si="74"/>
        <v>0</v>
      </c>
    </row>
    <row r="347" spans="3:28" s="30" customFormat="1" ht="12" x14ac:dyDescent="0.2">
      <c r="C347" s="77">
        <f>'1. Accomodation'!N342</f>
        <v>0</v>
      </c>
      <c r="D347" s="77">
        <f>'1. Accomodation'!P342</f>
        <v>0</v>
      </c>
      <c r="E347" s="77">
        <f>'1. Accomodation'!O342</f>
        <v>0</v>
      </c>
      <c r="G347" s="341">
        <f>IFERROR(INDEX('4. Valuation'!$C$10:$I$17,MATCH($D347,'4. Valuation'!$C$10:$C$17,0),MATCH($G$25,'4. Valuation'!$C$10:$I$10,0)),0)</f>
        <v>0</v>
      </c>
      <c r="H347" s="273">
        <f>IFERROR(INDEX('4. Valuation'!$C$10:$I$17,MATCH($D347,'4. Valuation'!$C$10:$C$17,0),MATCH($H$25,'4. Valuation'!$C$10:$I$10,0)),0)</f>
        <v>0</v>
      </c>
      <c r="I347" s="359" t="str">
        <f>IFERROR(INDEX('4. Valuation'!$C$10:$I$17,MATCH($D347,'4. Valuation'!$C$10:$C$17,0),MATCH($I$25,'4. Valuation'!$C$10:$I$10,0)),0)</f>
        <v>-</v>
      </c>
      <c r="J347" s="277"/>
      <c r="K347" s="312">
        <f t="shared" ref="K347:K410" si="75">L347*12</f>
        <v>0</v>
      </c>
      <c r="L347" s="312">
        <f t="shared" ref="L347:L410" si="76">H347*(1+$M$24)^((L$24-K$24)/365)</f>
        <v>0</v>
      </c>
      <c r="M347" s="359">
        <f t="shared" ref="M347:M410" si="77">IFERROR(K347/E347,0)</f>
        <v>0</v>
      </c>
      <c r="N347" s="278"/>
      <c r="O347" s="278"/>
      <c r="P347" s="278"/>
      <c r="Q347" s="278"/>
      <c r="R347" s="312">
        <f>IFERROR(INDEX('4. Valuation'!$O$10:$X$17,MATCH($D347,'4. Valuation'!$O$10:$O$17,0),MATCH($R$25,'4. Valuation'!$O$10:$X$10,0)),0)</f>
        <v>0</v>
      </c>
      <c r="S347" s="312">
        <f>IFERROR(INDEX('4. Valuation'!$O$10:$X$17,MATCH($D347,'4. Valuation'!$O$10:$O$17,0),MATCH($S$25,'4. Valuation'!$O$10:$X$10,0)),0)</f>
        <v>0</v>
      </c>
      <c r="T347" s="312" t="str">
        <f>IFERROR(INDEX('4. Valuation'!$O$10:$X$17,MATCH($D347,'4. Valuation'!$O$10:$O$17,0),MATCH($T$25,'4. Valuation'!$O$10:$X$10,0)),0)</f>
        <v>-</v>
      </c>
      <c r="U347" s="278"/>
      <c r="V347" s="312">
        <f t="shared" ref="V347:V410" si="78">W347*12</f>
        <v>0</v>
      </c>
      <c r="W347" s="312">
        <f t="shared" ref="W347:W410" si="79">S347*(1+$M$24)^((W$24-V$24)/365)</f>
        <v>0</v>
      </c>
      <c r="X347" s="312">
        <f t="shared" ref="X347:X410" si="80">IFERROR(V347/E347,0)</f>
        <v>0</v>
      </c>
      <c r="Y347" s="278"/>
      <c r="Z347" s="312">
        <f t="shared" ref="Z347:Z410" si="81">AA347*12</f>
        <v>0</v>
      </c>
      <c r="AA347" s="312">
        <f>'3. GRI Pricing'!Y338</f>
        <v>0</v>
      </c>
      <c r="AB347" s="359">
        <f t="shared" ref="AB347:AB410" si="82">IFERROR(Z347/E347,0)</f>
        <v>0</v>
      </c>
    </row>
    <row r="348" spans="3:28" s="30" customFormat="1" ht="12" x14ac:dyDescent="0.2">
      <c r="C348" s="77">
        <f>'1. Accomodation'!N343</f>
        <v>0</v>
      </c>
      <c r="D348" s="77">
        <f>'1. Accomodation'!P343</f>
        <v>0</v>
      </c>
      <c r="E348" s="77">
        <f>'1. Accomodation'!O343</f>
        <v>0</v>
      </c>
      <c r="G348" s="341">
        <f>IFERROR(INDEX('4. Valuation'!$C$10:$I$17,MATCH($D348,'4. Valuation'!$C$10:$C$17,0),MATCH($G$25,'4. Valuation'!$C$10:$I$10,0)),0)</f>
        <v>0</v>
      </c>
      <c r="H348" s="273">
        <f>IFERROR(INDEX('4. Valuation'!$C$10:$I$17,MATCH($D348,'4. Valuation'!$C$10:$C$17,0),MATCH($H$25,'4. Valuation'!$C$10:$I$10,0)),0)</f>
        <v>0</v>
      </c>
      <c r="I348" s="359" t="str">
        <f>IFERROR(INDEX('4. Valuation'!$C$10:$I$17,MATCH($D348,'4. Valuation'!$C$10:$C$17,0),MATCH($I$25,'4. Valuation'!$C$10:$I$10,0)),0)</f>
        <v>-</v>
      </c>
      <c r="J348" s="277"/>
      <c r="K348" s="312">
        <f t="shared" si="75"/>
        <v>0</v>
      </c>
      <c r="L348" s="312">
        <f t="shared" si="76"/>
        <v>0</v>
      </c>
      <c r="M348" s="359">
        <f t="shared" si="77"/>
        <v>0</v>
      </c>
      <c r="N348" s="278"/>
      <c r="O348" s="278"/>
      <c r="P348" s="278"/>
      <c r="Q348" s="278"/>
      <c r="R348" s="312">
        <f>IFERROR(INDEX('4. Valuation'!$O$10:$X$17,MATCH($D348,'4. Valuation'!$O$10:$O$17,0),MATCH($R$25,'4. Valuation'!$O$10:$X$10,0)),0)</f>
        <v>0</v>
      </c>
      <c r="S348" s="312">
        <f>IFERROR(INDEX('4. Valuation'!$O$10:$X$17,MATCH($D348,'4. Valuation'!$O$10:$O$17,0),MATCH($S$25,'4. Valuation'!$O$10:$X$10,0)),0)</f>
        <v>0</v>
      </c>
      <c r="T348" s="312" t="str">
        <f>IFERROR(INDEX('4. Valuation'!$O$10:$X$17,MATCH($D348,'4. Valuation'!$O$10:$O$17,0),MATCH($T$25,'4. Valuation'!$O$10:$X$10,0)),0)</f>
        <v>-</v>
      </c>
      <c r="U348" s="278"/>
      <c r="V348" s="312">
        <f t="shared" si="78"/>
        <v>0</v>
      </c>
      <c r="W348" s="312">
        <f t="shared" si="79"/>
        <v>0</v>
      </c>
      <c r="X348" s="312">
        <f t="shared" si="80"/>
        <v>0</v>
      </c>
      <c r="Y348" s="278"/>
      <c r="Z348" s="312">
        <f t="shared" si="81"/>
        <v>0</v>
      </c>
      <c r="AA348" s="312">
        <f>'3. GRI Pricing'!Y339</f>
        <v>0</v>
      </c>
      <c r="AB348" s="359">
        <f t="shared" si="82"/>
        <v>0</v>
      </c>
    </row>
    <row r="349" spans="3:28" s="30" customFormat="1" ht="12" x14ac:dyDescent="0.2">
      <c r="C349" s="77">
        <f>'1. Accomodation'!N344</f>
        <v>0</v>
      </c>
      <c r="D349" s="77">
        <f>'1. Accomodation'!P344</f>
        <v>0</v>
      </c>
      <c r="E349" s="77">
        <f>'1. Accomodation'!O344</f>
        <v>0</v>
      </c>
      <c r="G349" s="341">
        <f>IFERROR(INDEX('4. Valuation'!$C$10:$I$17,MATCH($D349,'4. Valuation'!$C$10:$C$17,0),MATCH($G$25,'4. Valuation'!$C$10:$I$10,0)),0)</f>
        <v>0</v>
      </c>
      <c r="H349" s="273">
        <f>IFERROR(INDEX('4. Valuation'!$C$10:$I$17,MATCH($D349,'4. Valuation'!$C$10:$C$17,0),MATCH($H$25,'4. Valuation'!$C$10:$I$10,0)),0)</f>
        <v>0</v>
      </c>
      <c r="I349" s="359" t="str">
        <f>IFERROR(INDEX('4. Valuation'!$C$10:$I$17,MATCH($D349,'4. Valuation'!$C$10:$C$17,0),MATCH($I$25,'4. Valuation'!$C$10:$I$10,0)),0)</f>
        <v>-</v>
      </c>
      <c r="J349" s="277"/>
      <c r="K349" s="312">
        <f t="shared" si="75"/>
        <v>0</v>
      </c>
      <c r="L349" s="312">
        <f t="shared" si="76"/>
        <v>0</v>
      </c>
      <c r="M349" s="359">
        <f t="shared" si="77"/>
        <v>0</v>
      </c>
      <c r="N349" s="278"/>
      <c r="O349" s="278"/>
      <c r="P349" s="278"/>
      <c r="Q349" s="278"/>
      <c r="R349" s="312">
        <f>IFERROR(INDEX('4. Valuation'!$O$10:$X$17,MATCH($D349,'4. Valuation'!$O$10:$O$17,0),MATCH($R$25,'4. Valuation'!$O$10:$X$10,0)),0)</f>
        <v>0</v>
      </c>
      <c r="S349" s="312">
        <f>IFERROR(INDEX('4. Valuation'!$O$10:$X$17,MATCH($D349,'4. Valuation'!$O$10:$O$17,0),MATCH($S$25,'4. Valuation'!$O$10:$X$10,0)),0)</f>
        <v>0</v>
      </c>
      <c r="T349" s="312" t="str">
        <f>IFERROR(INDEX('4. Valuation'!$O$10:$X$17,MATCH($D349,'4. Valuation'!$O$10:$O$17,0),MATCH($T$25,'4. Valuation'!$O$10:$X$10,0)),0)</f>
        <v>-</v>
      </c>
      <c r="U349" s="278"/>
      <c r="V349" s="312">
        <f t="shared" si="78"/>
        <v>0</v>
      </c>
      <c r="W349" s="312">
        <f t="shared" si="79"/>
        <v>0</v>
      </c>
      <c r="X349" s="312">
        <f t="shared" si="80"/>
        <v>0</v>
      </c>
      <c r="Y349" s="278"/>
      <c r="Z349" s="312">
        <f t="shared" si="81"/>
        <v>0</v>
      </c>
      <c r="AA349" s="312">
        <f>'3. GRI Pricing'!Y340</f>
        <v>0</v>
      </c>
      <c r="AB349" s="359">
        <f t="shared" si="82"/>
        <v>0</v>
      </c>
    </row>
    <row r="350" spans="3:28" s="30" customFormat="1" ht="12" x14ac:dyDescent="0.2">
      <c r="C350" s="77">
        <f>'1. Accomodation'!N345</f>
        <v>0</v>
      </c>
      <c r="D350" s="77">
        <f>'1. Accomodation'!P345</f>
        <v>0</v>
      </c>
      <c r="E350" s="77">
        <f>'1. Accomodation'!O345</f>
        <v>0</v>
      </c>
      <c r="G350" s="341">
        <f>IFERROR(INDEX('4. Valuation'!$C$10:$I$17,MATCH($D350,'4. Valuation'!$C$10:$C$17,0),MATCH($G$25,'4. Valuation'!$C$10:$I$10,0)),0)</f>
        <v>0</v>
      </c>
      <c r="H350" s="273">
        <f>IFERROR(INDEX('4. Valuation'!$C$10:$I$17,MATCH($D350,'4. Valuation'!$C$10:$C$17,0),MATCH($H$25,'4. Valuation'!$C$10:$I$10,0)),0)</f>
        <v>0</v>
      </c>
      <c r="I350" s="359" t="str">
        <f>IFERROR(INDEX('4. Valuation'!$C$10:$I$17,MATCH($D350,'4. Valuation'!$C$10:$C$17,0),MATCH($I$25,'4. Valuation'!$C$10:$I$10,0)),0)</f>
        <v>-</v>
      </c>
      <c r="J350" s="277"/>
      <c r="K350" s="312">
        <f t="shared" si="75"/>
        <v>0</v>
      </c>
      <c r="L350" s="312">
        <f t="shared" si="76"/>
        <v>0</v>
      </c>
      <c r="M350" s="359">
        <f t="shared" si="77"/>
        <v>0</v>
      </c>
      <c r="N350" s="278"/>
      <c r="O350" s="278"/>
      <c r="P350" s="278"/>
      <c r="Q350" s="278"/>
      <c r="R350" s="312">
        <f>IFERROR(INDEX('4. Valuation'!$O$10:$X$17,MATCH($D350,'4. Valuation'!$O$10:$O$17,0),MATCH($R$25,'4. Valuation'!$O$10:$X$10,0)),0)</f>
        <v>0</v>
      </c>
      <c r="S350" s="312">
        <f>IFERROR(INDEX('4. Valuation'!$O$10:$X$17,MATCH($D350,'4. Valuation'!$O$10:$O$17,0),MATCH($S$25,'4. Valuation'!$O$10:$X$10,0)),0)</f>
        <v>0</v>
      </c>
      <c r="T350" s="312" t="str">
        <f>IFERROR(INDEX('4. Valuation'!$O$10:$X$17,MATCH($D350,'4. Valuation'!$O$10:$O$17,0),MATCH($T$25,'4. Valuation'!$O$10:$X$10,0)),0)</f>
        <v>-</v>
      </c>
      <c r="U350" s="278"/>
      <c r="V350" s="312">
        <f t="shared" si="78"/>
        <v>0</v>
      </c>
      <c r="W350" s="312">
        <f t="shared" si="79"/>
        <v>0</v>
      </c>
      <c r="X350" s="312">
        <f t="shared" si="80"/>
        <v>0</v>
      </c>
      <c r="Y350" s="278"/>
      <c r="Z350" s="312">
        <f t="shared" si="81"/>
        <v>0</v>
      </c>
      <c r="AA350" s="312">
        <f>'3. GRI Pricing'!Y341</f>
        <v>0</v>
      </c>
      <c r="AB350" s="359">
        <f t="shared" si="82"/>
        <v>0</v>
      </c>
    </row>
    <row r="351" spans="3:28" s="30" customFormat="1" ht="12" x14ac:dyDescent="0.2">
      <c r="C351" s="77">
        <f>'1. Accomodation'!N346</f>
        <v>0</v>
      </c>
      <c r="D351" s="77">
        <f>'1. Accomodation'!P346</f>
        <v>0</v>
      </c>
      <c r="E351" s="77">
        <f>'1. Accomodation'!O346</f>
        <v>0</v>
      </c>
      <c r="G351" s="341">
        <f>IFERROR(INDEX('4. Valuation'!$C$10:$I$17,MATCH($D351,'4. Valuation'!$C$10:$C$17,0),MATCH($G$25,'4. Valuation'!$C$10:$I$10,0)),0)</f>
        <v>0</v>
      </c>
      <c r="H351" s="273">
        <f>IFERROR(INDEX('4. Valuation'!$C$10:$I$17,MATCH($D351,'4. Valuation'!$C$10:$C$17,0),MATCH($H$25,'4. Valuation'!$C$10:$I$10,0)),0)</f>
        <v>0</v>
      </c>
      <c r="I351" s="359" t="str">
        <f>IFERROR(INDEX('4. Valuation'!$C$10:$I$17,MATCH($D351,'4. Valuation'!$C$10:$C$17,0),MATCH($I$25,'4. Valuation'!$C$10:$I$10,0)),0)</f>
        <v>-</v>
      </c>
      <c r="J351" s="277"/>
      <c r="K351" s="312">
        <f t="shared" si="75"/>
        <v>0</v>
      </c>
      <c r="L351" s="312">
        <f t="shared" si="76"/>
        <v>0</v>
      </c>
      <c r="M351" s="359">
        <f t="shared" si="77"/>
        <v>0</v>
      </c>
      <c r="N351" s="278"/>
      <c r="O351" s="278"/>
      <c r="P351" s="278"/>
      <c r="Q351" s="278"/>
      <c r="R351" s="312">
        <f>IFERROR(INDEX('4. Valuation'!$O$10:$X$17,MATCH($D351,'4. Valuation'!$O$10:$O$17,0),MATCH($R$25,'4. Valuation'!$O$10:$X$10,0)),0)</f>
        <v>0</v>
      </c>
      <c r="S351" s="312">
        <f>IFERROR(INDEX('4. Valuation'!$O$10:$X$17,MATCH($D351,'4. Valuation'!$O$10:$O$17,0),MATCH($S$25,'4. Valuation'!$O$10:$X$10,0)),0)</f>
        <v>0</v>
      </c>
      <c r="T351" s="312" t="str">
        <f>IFERROR(INDEX('4. Valuation'!$O$10:$X$17,MATCH($D351,'4. Valuation'!$O$10:$O$17,0),MATCH($T$25,'4. Valuation'!$O$10:$X$10,0)),0)</f>
        <v>-</v>
      </c>
      <c r="U351" s="278"/>
      <c r="V351" s="312">
        <f t="shared" si="78"/>
        <v>0</v>
      </c>
      <c r="W351" s="312">
        <f t="shared" si="79"/>
        <v>0</v>
      </c>
      <c r="X351" s="312">
        <f t="shared" si="80"/>
        <v>0</v>
      </c>
      <c r="Y351" s="278"/>
      <c r="Z351" s="312">
        <f t="shared" si="81"/>
        <v>0</v>
      </c>
      <c r="AA351" s="312">
        <f>'3. GRI Pricing'!Y342</f>
        <v>0</v>
      </c>
      <c r="AB351" s="359">
        <f t="shared" si="82"/>
        <v>0</v>
      </c>
    </row>
    <row r="352" spans="3:28" s="30" customFormat="1" ht="12" x14ac:dyDescent="0.2">
      <c r="C352" s="77">
        <f>'1. Accomodation'!N347</f>
        <v>0</v>
      </c>
      <c r="D352" s="77">
        <f>'1. Accomodation'!P347</f>
        <v>0</v>
      </c>
      <c r="E352" s="77">
        <f>'1. Accomodation'!O347</f>
        <v>0</v>
      </c>
      <c r="G352" s="341">
        <f>IFERROR(INDEX('4. Valuation'!$C$10:$I$17,MATCH($D352,'4. Valuation'!$C$10:$C$17,0),MATCH($G$25,'4. Valuation'!$C$10:$I$10,0)),0)</f>
        <v>0</v>
      </c>
      <c r="H352" s="273">
        <f>IFERROR(INDEX('4. Valuation'!$C$10:$I$17,MATCH($D352,'4. Valuation'!$C$10:$C$17,0),MATCH($H$25,'4. Valuation'!$C$10:$I$10,0)),0)</f>
        <v>0</v>
      </c>
      <c r="I352" s="359" t="str">
        <f>IFERROR(INDEX('4. Valuation'!$C$10:$I$17,MATCH($D352,'4. Valuation'!$C$10:$C$17,0),MATCH($I$25,'4. Valuation'!$C$10:$I$10,0)),0)</f>
        <v>-</v>
      </c>
      <c r="J352" s="277"/>
      <c r="K352" s="312">
        <f t="shared" si="75"/>
        <v>0</v>
      </c>
      <c r="L352" s="312">
        <f t="shared" si="76"/>
        <v>0</v>
      </c>
      <c r="M352" s="359">
        <f t="shared" si="77"/>
        <v>0</v>
      </c>
      <c r="N352" s="278"/>
      <c r="O352" s="278"/>
      <c r="P352" s="278"/>
      <c r="Q352" s="278"/>
      <c r="R352" s="312">
        <f>IFERROR(INDEX('4. Valuation'!$O$10:$X$17,MATCH($D352,'4. Valuation'!$O$10:$O$17,0),MATCH($R$25,'4. Valuation'!$O$10:$X$10,0)),0)</f>
        <v>0</v>
      </c>
      <c r="S352" s="312">
        <f>IFERROR(INDEX('4. Valuation'!$O$10:$X$17,MATCH($D352,'4. Valuation'!$O$10:$O$17,0),MATCH($S$25,'4. Valuation'!$O$10:$X$10,0)),0)</f>
        <v>0</v>
      </c>
      <c r="T352" s="312" t="str">
        <f>IFERROR(INDEX('4. Valuation'!$O$10:$X$17,MATCH($D352,'4. Valuation'!$O$10:$O$17,0),MATCH($T$25,'4. Valuation'!$O$10:$X$10,0)),0)</f>
        <v>-</v>
      </c>
      <c r="U352" s="278"/>
      <c r="V352" s="312">
        <f t="shared" si="78"/>
        <v>0</v>
      </c>
      <c r="W352" s="312">
        <f t="shared" si="79"/>
        <v>0</v>
      </c>
      <c r="X352" s="312">
        <f t="shared" si="80"/>
        <v>0</v>
      </c>
      <c r="Y352" s="278"/>
      <c r="Z352" s="312">
        <f t="shared" si="81"/>
        <v>0</v>
      </c>
      <c r="AA352" s="312">
        <f>'3. GRI Pricing'!Y343</f>
        <v>0</v>
      </c>
      <c r="AB352" s="359">
        <f t="shared" si="82"/>
        <v>0</v>
      </c>
    </row>
    <row r="353" spans="3:28" s="30" customFormat="1" ht="12" x14ac:dyDescent="0.2">
      <c r="C353" s="77">
        <f>'1. Accomodation'!N348</f>
        <v>0</v>
      </c>
      <c r="D353" s="77">
        <f>'1. Accomodation'!P348</f>
        <v>0</v>
      </c>
      <c r="E353" s="77">
        <f>'1. Accomodation'!O348</f>
        <v>0</v>
      </c>
      <c r="G353" s="341">
        <f>IFERROR(INDEX('4. Valuation'!$C$10:$I$17,MATCH($D353,'4. Valuation'!$C$10:$C$17,0),MATCH($G$25,'4. Valuation'!$C$10:$I$10,0)),0)</f>
        <v>0</v>
      </c>
      <c r="H353" s="273">
        <f>IFERROR(INDEX('4. Valuation'!$C$10:$I$17,MATCH($D353,'4. Valuation'!$C$10:$C$17,0),MATCH($H$25,'4. Valuation'!$C$10:$I$10,0)),0)</f>
        <v>0</v>
      </c>
      <c r="I353" s="359" t="str">
        <f>IFERROR(INDEX('4. Valuation'!$C$10:$I$17,MATCH($D353,'4. Valuation'!$C$10:$C$17,0),MATCH($I$25,'4. Valuation'!$C$10:$I$10,0)),0)</f>
        <v>-</v>
      </c>
      <c r="J353" s="277"/>
      <c r="K353" s="312">
        <f t="shared" si="75"/>
        <v>0</v>
      </c>
      <c r="L353" s="312">
        <f t="shared" si="76"/>
        <v>0</v>
      </c>
      <c r="M353" s="359">
        <f t="shared" si="77"/>
        <v>0</v>
      </c>
      <c r="N353" s="278"/>
      <c r="O353" s="278"/>
      <c r="P353" s="278"/>
      <c r="Q353" s="278"/>
      <c r="R353" s="312">
        <f>IFERROR(INDEX('4. Valuation'!$O$10:$X$17,MATCH($D353,'4. Valuation'!$O$10:$O$17,0),MATCH($R$25,'4. Valuation'!$O$10:$X$10,0)),0)</f>
        <v>0</v>
      </c>
      <c r="S353" s="312">
        <f>IFERROR(INDEX('4. Valuation'!$O$10:$X$17,MATCH($D353,'4. Valuation'!$O$10:$O$17,0),MATCH($S$25,'4. Valuation'!$O$10:$X$10,0)),0)</f>
        <v>0</v>
      </c>
      <c r="T353" s="312" t="str">
        <f>IFERROR(INDEX('4. Valuation'!$O$10:$X$17,MATCH($D353,'4. Valuation'!$O$10:$O$17,0),MATCH($T$25,'4. Valuation'!$O$10:$X$10,0)),0)</f>
        <v>-</v>
      </c>
      <c r="U353" s="278"/>
      <c r="V353" s="312">
        <f t="shared" si="78"/>
        <v>0</v>
      </c>
      <c r="W353" s="312">
        <f t="shared" si="79"/>
        <v>0</v>
      </c>
      <c r="X353" s="312">
        <f t="shared" si="80"/>
        <v>0</v>
      </c>
      <c r="Y353" s="278"/>
      <c r="Z353" s="312">
        <f t="shared" si="81"/>
        <v>0</v>
      </c>
      <c r="AA353" s="312">
        <f>'3. GRI Pricing'!Y344</f>
        <v>0</v>
      </c>
      <c r="AB353" s="359">
        <f t="shared" si="82"/>
        <v>0</v>
      </c>
    </row>
    <row r="354" spans="3:28" s="30" customFormat="1" ht="12" x14ac:dyDescent="0.2">
      <c r="C354" s="77">
        <f>'1. Accomodation'!N349</f>
        <v>0</v>
      </c>
      <c r="D354" s="77">
        <f>'1. Accomodation'!P349</f>
        <v>0</v>
      </c>
      <c r="E354" s="77">
        <f>'1. Accomodation'!O349</f>
        <v>0</v>
      </c>
      <c r="G354" s="341">
        <f>IFERROR(INDEX('4. Valuation'!$C$10:$I$17,MATCH($D354,'4. Valuation'!$C$10:$C$17,0),MATCH($G$25,'4. Valuation'!$C$10:$I$10,0)),0)</f>
        <v>0</v>
      </c>
      <c r="H354" s="273">
        <f>IFERROR(INDEX('4. Valuation'!$C$10:$I$17,MATCH($D354,'4. Valuation'!$C$10:$C$17,0),MATCH($H$25,'4. Valuation'!$C$10:$I$10,0)),0)</f>
        <v>0</v>
      </c>
      <c r="I354" s="359" t="str">
        <f>IFERROR(INDEX('4. Valuation'!$C$10:$I$17,MATCH($D354,'4. Valuation'!$C$10:$C$17,0),MATCH($I$25,'4. Valuation'!$C$10:$I$10,0)),0)</f>
        <v>-</v>
      </c>
      <c r="J354" s="277"/>
      <c r="K354" s="312">
        <f t="shared" si="75"/>
        <v>0</v>
      </c>
      <c r="L354" s="312">
        <f t="shared" si="76"/>
        <v>0</v>
      </c>
      <c r="M354" s="359">
        <f t="shared" si="77"/>
        <v>0</v>
      </c>
      <c r="N354" s="278"/>
      <c r="O354" s="278"/>
      <c r="P354" s="278"/>
      <c r="Q354" s="278"/>
      <c r="R354" s="312">
        <f>IFERROR(INDEX('4. Valuation'!$O$10:$X$17,MATCH($D354,'4. Valuation'!$O$10:$O$17,0),MATCH($R$25,'4. Valuation'!$O$10:$X$10,0)),0)</f>
        <v>0</v>
      </c>
      <c r="S354" s="312">
        <f>IFERROR(INDEX('4. Valuation'!$O$10:$X$17,MATCH($D354,'4. Valuation'!$O$10:$O$17,0),MATCH($S$25,'4. Valuation'!$O$10:$X$10,0)),0)</f>
        <v>0</v>
      </c>
      <c r="T354" s="312" t="str">
        <f>IFERROR(INDEX('4. Valuation'!$O$10:$X$17,MATCH($D354,'4. Valuation'!$O$10:$O$17,0),MATCH($T$25,'4. Valuation'!$O$10:$X$10,0)),0)</f>
        <v>-</v>
      </c>
      <c r="U354" s="278"/>
      <c r="V354" s="312">
        <f t="shared" si="78"/>
        <v>0</v>
      </c>
      <c r="W354" s="312">
        <f t="shared" si="79"/>
        <v>0</v>
      </c>
      <c r="X354" s="312">
        <f t="shared" si="80"/>
        <v>0</v>
      </c>
      <c r="Y354" s="278"/>
      <c r="Z354" s="312">
        <f t="shared" si="81"/>
        <v>0</v>
      </c>
      <c r="AA354" s="312">
        <f>'3. GRI Pricing'!Y345</f>
        <v>0</v>
      </c>
      <c r="AB354" s="359">
        <f t="shared" si="82"/>
        <v>0</v>
      </c>
    </row>
    <row r="355" spans="3:28" s="30" customFormat="1" ht="12" x14ac:dyDescent="0.2">
      <c r="C355" s="77">
        <f>'1. Accomodation'!N350</f>
        <v>0</v>
      </c>
      <c r="D355" s="77">
        <f>'1. Accomodation'!P350</f>
        <v>0</v>
      </c>
      <c r="E355" s="77">
        <f>'1. Accomodation'!O350</f>
        <v>0</v>
      </c>
      <c r="G355" s="341">
        <f>IFERROR(INDEX('4. Valuation'!$C$10:$I$17,MATCH($D355,'4. Valuation'!$C$10:$C$17,0),MATCH($G$25,'4. Valuation'!$C$10:$I$10,0)),0)</f>
        <v>0</v>
      </c>
      <c r="H355" s="273">
        <f>IFERROR(INDEX('4. Valuation'!$C$10:$I$17,MATCH($D355,'4. Valuation'!$C$10:$C$17,0),MATCH($H$25,'4. Valuation'!$C$10:$I$10,0)),0)</f>
        <v>0</v>
      </c>
      <c r="I355" s="359" t="str">
        <f>IFERROR(INDEX('4. Valuation'!$C$10:$I$17,MATCH($D355,'4. Valuation'!$C$10:$C$17,0),MATCH($I$25,'4. Valuation'!$C$10:$I$10,0)),0)</f>
        <v>-</v>
      </c>
      <c r="J355" s="277"/>
      <c r="K355" s="312">
        <f t="shared" si="75"/>
        <v>0</v>
      </c>
      <c r="L355" s="312">
        <f t="shared" si="76"/>
        <v>0</v>
      </c>
      <c r="M355" s="359">
        <f t="shared" si="77"/>
        <v>0</v>
      </c>
      <c r="N355" s="278"/>
      <c r="O355" s="278"/>
      <c r="P355" s="278"/>
      <c r="Q355" s="278"/>
      <c r="R355" s="312">
        <f>IFERROR(INDEX('4. Valuation'!$O$10:$X$17,MATCH($D355,'4. Valuation'!$O$10:$O$17,0),MATCH($R$25,'4. Valuation'!$O$10:$X$10,0)),0)</f>
        <v>0</v>
      </c>
      <c r="S355" s="312">
        <f>IFERROR(INDEX('4. Valuation'!$O$10:$X$17,MATCH($D355,'4. Valuation'!$O$10:$O$17,0),MATCH($S$25,'4. Valuation'!$O$10:$X$10,0)),0)</f>
        <v>0</v>
      </c>
      <c r="T355" s="312" t="str">
        <f>IFERROR(INDEX('4. Valuation'!$O$10:$X$17,MATCH($D355,'4. Valuation'!$O$10:$O$17,0),MATCH($T$25,'4. Valuation'!$O$10:$X$10,0)),0)</f>
        <v>-</v>
      </c>
      <c r="U355" s="278"/>
      <c r="V355" s="312">
        <f t="shared" si="78"/>
        <v>0</v>
      </c>
      <c r="W355" s="312">
        <f t="shared" si="79"/>
        <v>0</v>
      </c>
      <c r="X355" s="312">
        <f t="shared" si="80"/>
        <v>0</v>
      </c>
      <c r="Y355" s="278"/>
      <c r="Z355" s="312">
        <f t="shared" si="81"/>
        <v>0</v>
      </c>
      <c r="AA355" s="312">
        <f>'3. GRI Pricing'!Y346</f>
        <v>0</v>
      </c>
      <c r="AB355" s="359">
        <f t="shared" si="82"/>
        <v>0</v>
      </c>
    </row>
    <row r="356" spans="3:28" s="30" customFormat="1" ht="12" x14ac:dyDescent="0.2">
      <c r="C356" s="77">
        <f>'1. Accomodation'!N351</f>
        <v>0</v>
      </c>
      <c r="D356" s="77">
        <f>'1. Accomodation'!P351</f>
        <v>0</v>
      </c>
      <c r="E356" s="77">
        <f>'1. Accomodation'!O351</f>
        <v>0</v>
      </c>
      <c r="G356" s="341">
        <f>IFERROR(INDEX('4. Valuation'!$C$10:$I$17,MATCH($D356,'4. Valuation'!$C$10:$C$17,0),MATCH($G$25,'4. Valuation'!$C$10:$I$10,0)),0)</f>
        <v>0</v>
      </c>
      <c r="H356" s="273">
        <f>IFERROR(INDEX('4. Valuation'!$C$10:$I$17,MATCH($D356,'4. Valuation'!$C$10:$C$17,0),MATCH($H$25,'4. Valuation'!$C$10:$I$10,0)),0)</f>
        <v>0</v>
      </c>
      <c r="I356" s="359" t="str">
        <f>IFERROR(INDEX('4. Valuation'!$C$10:$I$17,MATCH($D356,'4. Valuation'!$C$10:$C$17,0),MATCH($I$25,'4. Valuation'!$C$10:$I$10,0)),0)</f>
        <v>-</v>
      </c>
      <c r="J356" s="277"/>
      <c r="K356" s="312">
        <f t="shared" si="75"/>
        <v>0</v>
      </c>
      <c r="L356" s="312">
        <f t="shared" si="76"/>
        <v>0</v>
      </c>
      <c r="M356" s="359">
        <f t="shared" si="77"/>
        <v>0</v>
      </c>
      <c r="N356" s="278"/>
      <c r="O356" s="278"/>
      <c r="P356" s="278"/>
      <c r="Q356" s="278"/>
      <c r="R356" s="312">
        <f>IFERROR(INDEX('4. Valuation'!$O$10:$X$17,MATCH($D356,'4. Valuation'!$O$10:$O$17,0),MATCH($R$25,'4. Valuation'!$O$10:$X$10,0)),0)</f>
        <v>0</v>
      </c>
      <c r="S356" s="312">
        <f>IFERROR(INDEX('4. Valuation'!$O$10:$X$17,MATCH($D356,'4. Valuation'!$O$10:$O$17,0),MATCH($S$25,'4. Valuation'!$O$10:$X$10,0)),0)</f>
        <v>0</v>
      </c>
      <c r="T356" s="312" t="str">
        <f>IFERROR(INDEX('4. Valuation'!$O$10:$X$17,MATCH($D356,'4. Valuation'!$O$10:$O$17,0),MATCH($T$25,'4. Valuation'!$O$10:$X$10,0)),0)</f>
        <v>-</v>
      </c>
      <c r="U356" s="278"/>
      <c r="V356" s="312">
        <f t="shared" si="78"/>
        <v>0</v>
      </c>
      <c r="W356" s="312">
        <f t="shared" si="79"/>
        <v>0</v>
      </c>
      <c r="X356" s="312">
        <f t="shared" si="80"/>
        <v>0</v>
      </c>
      <c r="Y356" s="278"/>
      <c r="Z356" s="312">
        <f t="shared" si="81"/>
        <v>0</v>
      </c>
      <c r="AA356" s="312">
        <f>'3. GRI Pricing'!Y347</f>
        <v>0</v>
      </c>
      <c r="AB356" s="359">
        <f t="shared" si="82"/>
        <v>0</v>
      </c>
    </row>
    <row r="357" spans="3:28" s="30" customFormat="1" ht="12" x14ac:dyDescent="0.2">
      <c r="C357" s="77">
        <f>'1. Accomodation'!N352</f>
        <v>0</v>
      </c>
      <c r="D357" s="77">
        <f>'1. Accomodation'!P352</f>
        <v>0</v>
      </c>
      <c r="E357" s="77">
        <f>'1. Accomodation'!O352</f>
        <v>0</v>
      </c>
      <c r="G357" s="341">
        <f>IFERROR(INDEX('4. Valuation'!$C$10:$I$17,MATCH($D357,'4. Valuation'!$C$10:$C$17,0),MATCH($G$25,'4. Valuation'!$C$10:$I$10,0)),0)</f>
        <v>0</v>
      </c>
      <c r="H357" s="273">
        <f>IFERROR(INDEX('4. Valuation'!$C$10:$I$17,MATCH($D357,'4. Valuation'!$C$10:$C$17,0),MATCH($H$25,'4. Valuation'!$C$10:$I$10,0)),0)</f>
        <v>0</v>
      </c>
      <c r="I357" s="359" t="str">
        <f>IFERROR(INDEX('4. Valuation'!$C$10:$I$17,MATCH($D357,'4. Valuation'!$C$10:$C$17,0),MATCH($I$25,'4. Valuation'!$C$10:$I$10,0)),0)</f>
        <v>-</v>
      </c>
      <c r="J357" s="277"/>
      <c r="K357" s="312">
        <f t="shared" si="75"/>
        <v>0</v>
      </c>
      <c r="L357" s="312">
        <f t="shared" si="76"/>
        <v>0</v>
      </c>
      <c r="M357" s="359">
        <f t="shared" si="77"/>
        <v>0</v>
      </c>
      <c r="N357" s="278"/>
      <c r="O357" s="278"/>
      <c r="P357" s="278"/>
      <c r="Q357" s="278"/>
      <c r="R357" s="312">
        <f>IFERROR(INDEX('4. Valuation'!$O$10:$X$17,MATCH($D357,'4. Valuation'!$O$10:$O$17,0),MATCH($R$25,'4. Valuation'!$O$10:$X$10,0)),0)</f>
        <v>0</v>
      </c>
      <c r="S357" s="312">
        <f>IFERROR(INDEX('4. Valuation'!$O$10:$X$17,MATCH($D357,'4. Valuation'!$O$10:$O$17,0),MATCH($S$25,'4. Valuation'!$O$10:$X$10,0)),0)</f>
        <v>0</v>
      </c>
      <c r="T357" s="312" t="str">
        <f>IFERROR(INDEX('4. Valuation'!$O$10:$X$17,MATCH($D357,'4. Valuation'!$O$10:$O$17,0),MATCH($T$25,'4. Valuation'!$O$10:$X$10,0)),0)</f>
        <v>-</v>
      </c>
      <c r="U357" s="278"/>
      <c r="V357" s="312">
        <f t="shared" si="78"/>
        <v>0</v>
      </c>
      <c r="W357" s="312">
        <f t="shared" si="79"/>
        <v>0</v>
      </c>
      <c r="X357" s="312">
        <f t="shared" si="80"/>
        <v>0</v>
      </c>
      <c r="Y357" s="278"/>
      <c r="Z357" s="312">
        <f t="shared" si="81"/>
        <v>0</v>
      </c>
      <c r="AA357" s="312">
        <f>'3. GRI Pricing'!Y348</f>
        <v>0</v>
      </c>
      <c r="AB357" s="359">
        <f t="shared" si="82"/>
        <v>0</v>
      </c>
    </row>
    <row r="358" spans="3:28" s="30" customFormat="1" ht="12" x14ac:dyDescent="0.2">
      <c r="C358" s="77">
        <f>'1. Accomodation'!N353</f>
        <v>0</v>
      </c>
      <c r="D358" s="77">
        <f>'1. Accomodation'!P353</f>
        <v>0</v>
      </c>
      <c r="E358" s="77">
        <f>'1. Accomodation'!O353</f>
        <v>0</v>
      </c>
      <c r="G358" s="341">
        <f>IFERROR(INDEX('4. Valuation'!$C$10:$I$17,MATCH($D358,'4. Valuation'!$C$10:$C$17,0),MATCH($G$25,'4. Valuation'!$C$10:$I$10,0)),0)</f>
        <v>0</v>
      </c>
      <c r="H358" s="273">
        <f>IFERROR(INDEX('4. Valuation'!$C$10:$I$17,MATCH($D358,'4. Valuation'!$C$10:$C$17,0),MATCH($H$25,'4. Valuation'!$C$10:$I$10,0)),0)</f>
        <v>0</v>
      </c>
      <c r="I358" s="359" t="str">
        <f>IFERROR(INDEX('4. Valuation'!$C$10:$I$17,MATCH($D358,'4. Valuation'!$C$10:$C$17,0),MATCH($I$25,'4. Valuation'!$C$10:$I$10,0)),0)</f>
        <v>-</v>
      </c>
      <c r="J358" s="277"/>
      <c r="K358" s="312">
        <f t="shared" si="75"/>
        <v>0</v>
      </c>
      <c r="L358" s="312">
        <f t="shared" si="76"/>
        <v>0</v>
      </c>
      <c r="M358" s="359">
        <f t="shared" si="77"/>
        <v>0</v>
      </c>
      <c r="N358" s="278"/>
      <c r="O358" s="278"/>
      <c r="P358" s="278"/>
      <c r="Q358" s="278"/>
      <c r="R358" s="312">
        <f>IFERROR(INDEX('4. Valuation'!$O$10:$X$17,MATCH($D358,'4. Valuation'!$O$10:$O$17,0),MATCH($R$25,'4. Valuation'!$O$10:$X$10,0)),0)</f>
        <v>0</v>
      </c>
      <c r="S358" s="312">
        <f>IFERROR(INDEX('4. Valuation'!$O$10:$X$17,MATCH($D358,'4. Valuation'!$O$10:$O$17,0),MATCH($S$25,'4. Valuation'!$O$10:$X$10,0)),0)</f>
        <v>0</v>
      </c>
      <c r="T358" s="312" t="str">
        <f>IFERROR(INDEX('4. Valuation'!$O$10:$X$17,MATCH($D358,'4. Valuation'!$O$10:$O$17,0),MATCH($T$25,'4. Valuation'!$O$10:$X$10,0)),0)</f>
        <v>-</v>
      </c>
      <c r="U358" s="278"/>
      <c r="V358" s="312">
        <f t="shared" si="78"/>
        <v>0</v>
      </c>
      <c r="W358" s="312">
        <f t="shared" si="79"/>
        <v>0</v>
      </c>
      <c r="X358" s="312">
        <f t="shared" si="80"/>
        <v>0</v>
      </c>
      <c r="Y358" s="278"/>
      <c r="Z358" s="312">
        <f t="shared" si="81"/>
        <v>0</v>
      </c>
      <c r="AA358" s="312">
        <f>'3. GRI Pricing'!Y349</f>
        <v>0</v>
      </c>
      <c r="AB358" s="359">
        <f t="shared" si="82"/>
        <v>0</v>
      </c>
    </row>
    <row r="359" spans="3:28" s="30" customFormat="1" ht="12" x14ac:dyDescent="0.2">
      <c r="C359" s="77">
        <f>'1. Accomodation'!N354</f>
        <v>0</v>
      </c>
      <c r="D359" s="77">
        <f>'1. Accomodation'!P354</f>
        <v>0</v>
      </c>
      <c r="E359" s="77">
        <f>'1. Accomodation'!O354</f>
        <v>0</v>
      </c>
      <c r="G359" s="341">
        <f>IFERROR(INDEX('4. Valuation'!$C$10:$I$17,MATCH($D359,'4. Valuation'!$C$10:$C$17,0),MATCH($G$25,'4. Valuation'!$C$10:$I$10,0)),0)</f>
        <v>0</v>
      </c>
      <c r="H359" s="273">
        <f>IFERROR(INDEX('4. Valuation'!$C$10:$I$17,MATCH($D359,'4. Valuation'!$C$10:$C$17,0),MATCH($H$25,'4. Valuation'!$C$10:$I$10,0)),0)</f>
        <v>0</v>
      </c>
      <c r="I359" s="359" t="str">
        <f>IFERROR(INDEX('4. Valuation'!$C$10:$I$17,MATCH($D359,'4. Valuation'!$C$10:$C$17,0),MATCH($I$25,'4. Valuation'!$C$10:$I$10,0)),0)</f>
        <v>-</v>
      </c>
      <c r="J359" s="277"/>
      <c r="K359" s="312">
        <f t="shared" si="75"/>
        <v>0</v>
      </c>
      <c r="L359" s="312">
        <f t="shared" si="76"/>
        <v>0</v>
      </c>
      <c r="M359" s="359">
        <f t="shared" si="77"/>
        <v>0</v>
      </c>
      <c r="N359" s="278"/>
      <c r="O359" s="278"/>
      <c r="P359" s="278"/>
      <c r="Q359" s="278"/>
      <c r="R359" s="312">
        <f>IFERROR(INDEX('4. Valuation'!$O$10:$X$17,MATCH($D359,'4. Valuation'!$O$10:$O$17,0),MATCH($R$25,'4. Valuation'!$O$10:$X$10,0)),0)</f>
        <v>0</v>
      </c>
      <c r="S359" s="312">
        <f>IFERROR(INDEX('4. Valuation'!$O$10:$X$17,MATCH($D359,'4. Valuation'!$O$10:$O$17,0),MATCH($S$25,'4. Valuation'!$O$10:$X$10,0)),0)</f>
        <v>0</v>
      </c>
      <c r="T359" s="312" t="str">
        <f>IFERROR(INDEX('4. Valuation'!$O$10:$X$17,MATCH($D359,'4. Valuation'!$O$10:$O$17,0),MATCH($T$25,'4. Valuation'!$O$10:$X$10,0)),0)</f>
        <v>-</v>
      </c>
      <c r="U359" s="278"/>
      <c r="V359" s="312">
        <f t="shared" si="78"/>
        <v>0</v>
      </c>
      <c r="W359" s="312">
        <f t="shared" si="79"/>
        <v>0</v>
      </c>
      <c r="X359" s="312">
        <f t="shared" si="80"/>
        <v>0</v>
      </c>
      <c r="Y359" s="278"/>
      <c r="Z359" s="312">
        <f t="shared" si="81"/>
        <v>0</v>
      </c>
      <c r="AA359" s="312">
        <f>'3. GRI Pricing'!Y350</f>
        <v>0</v>
      </c>
      <c r="AB359" s="359">
        <f t="shared" si="82"/>
        <v>0</v>
      </c>
    </row>
    <row r="360" spans="3:28" s="30" customFormat="1" ht="12" x14ac:dyDescent="0.2">
      <c r="C360" s="77">
        <f>'1. Accomodation'!N355</f>
        <v>0</v>
      </c>
      <c r="D360" s="77">
        <f>'1. Accomodation'!P355</f>
        <v>0</v>
      </c>
      <c r="E360" s="77">
        <f>'1. Accomodation'!O355</f>
        <v>0</v>
      </c>
      <c r="G360" s="341">
        <f>IFERROR(INDEX('4. Valuation'!$C$10:$I$17,MATCH($D360,'4. Valuation'!$C$10:$C$17,0),MATCH($G$25,'4. Valuation'!$C$10:$I$10,0)),0)</f>
        <v>0</v>
      </c>
      <c r="H360" s="273">
        <f>IFERROR(INDEX('4. Valuation'!$C$10:$I$17,MATCH($D360,'4. Valuation'!$C$10:$C$17,0),MATCH($H$25,'4. Valuation'!$C$10:$I$10,0)),0)</f>
        <v>0</v>
      </c>
      <c r="I360" s="359" t="str">
        <f>IFERROR(INDEX('4. Valuation'!$C$10:$I$17,MATCH($D360,'4. Valuation'!$C$10:$C$17,0),MATCH($I$25,'4. Valuation'!$C$10:$I$10,0)),0)</f>
        <v>-</v>
      </c>
      <c r="J360" s="277"/>
      <c r="K360" s="312">
        <f t="shared" si="75"/>
        <v>0</v>
      </c>
      <c r="L360" s="312">
        <f t="shared" si="76"/>
        <v>0</v>
      </c>
      <c r="M360" s="359">
        <f t="shared" si="77"/>
        <v>0</v>
      </c>
      <c r="N360" s="278"/>
      <c r="O360" s="278"/>
      <c r="P360" s="278"/>
      <c r="Q360" s="278"/>
      <c r="R360" s="312">
        <f>IFERROR(INDEX('4. Valuation'!$O$10:$X$17,MATCH($D360,'4. Valuation'!$O$10:$O$17,0),MATCH($R$25,'4. Valuation'!$O$10:$X$10,0)),0)</f>
        <v>0</v>
      </c>
      <c r="S360" s="312">
        <f>IFERROR(INDEX('4. Valuation'!$O$10:$X$17,MATCH($D360,'4. Valuation'!$O$10:$O$17,0),MATCH($S$25,'4. Valuation'!$O$10:$X$10,0)),0)</f>
        <v>0</v>
      </c>
      <c r="T360" s="312" t="str">
        <f>IFERROR(INDEX('4. Valuation'!$O$10:$X$17,MATCH($D360,'4. Valuation'!$O$10:$O$17,0),MATCH($T$25,'4. Valuation'!$O$10:$X$10,0)),0)</f>
        <v>-</v>
      </c>
      <c r="U360" s="278"/>
      <c r="V360" s="312">
        <f t="shared" si="78"/>
        <v>0</v>
      </c>
      <c r="W360" s="312">
        <f t="shared" si="79"/>
        <v>0</v>
      </c>
      <c r="X360" s="312">
        <f t="shared" si="80"/>
        <v>0</v>
      </c>
      <c r="Y360" s="278"/>
      <c r="Z360" s="312">
        <f t="shared" si="81"/>
        <v>0</v>
      </c>
      <c r="AA360" s="312">
        <f>'3. GRI Pricing'!Y351</f>
        <v>0</v>
      </c>
      <c r="AB360" s="359">
        <f t="shared" si="82"/>
        <v>0</v>
      </c>
    </row>
    <row r="361" spans="3:28" s="30" customFormat="1" ht="12" x14ac:dyDescent="0.2">
      <c r="C361" s="77">
        <f>'1. Accomodation'!N356</f>
        <v>0</v>
      </c>
      <c r="D361" s="77">
        <f>'1. Accomodation'!P356</f>
        <v>0</v>
      </c>
      <c r="E361" s="77">
        <f>'1. Accomodation'!O356</f>
        <v>0</v>
      </c>
      <c r="G361" s="341">
        <f>IFERROR(INDEX('4. Valuation'!$C$10:$I$17,MATCH($D361,'4. Valuation'!$C$10:$C$17,0),MATCH($G$25,'4. Valuation'!$C$10:$I$10,0)),0)</f>
        <v>0</v>
      </c>
      <c r="H361" s="273">
        <f>IFERROR(INDEX('4. Valuation'!$C$10:$I$17,MATCH($D361,'4. Valuation'!$C$10:$C$17,0),MATCH($H$25,'4. Valuation'!$C$10:$I$10,0)),0)</f>
        <v>0</v>
      </c>
      <c r="I361" s="359" t="str">
        <f>IFERROR(INDEX('4. Valuation'!$C$10:$I$17,MATCH($D361,'4. Valuation'!$C$10:$C$17,0),MATCH($I$25,'4. Valuation'!$C$10:$I$10,0)),0)</f>
        <v>-</v>
      </c>
      <c r="J361" s="277"/>
      <c r="K361" s="312">
        <f t="shared" si="75"/>
        <v>0</v>
      </c>
      <c r="L361" s="312">
        <f t="shared" si="76"/>
        <v>0</v>
      </c>
      <c r="M361" s="359">
        <f t="shared" si="77"/>
        <v>0</v>
      </c>
      <c r="N361" s="278"/>
      <c r="O361" s="278"/>
      <c r="P361" s="278"/>
      <c r="Q361" s="278"/>
      <c r="R361" s="312">
        <f>IFERROR(INDEX('4. Valuation'!$O$10:$X$17,MATCH($D361,'4. Valuation'!$O$10:$O$17,0),MATCH($R$25,'4. Valuation'!$O$10:$X$10,0)),0)</f>
        <v>0</v>
      </c>
      <c r="S361" s="312">
        <f>IFERROR(INDEX('4. Valuation'!$O$10:$X$17,MATCH($D361,'4. Valuation'!$O$10:$O$17,0),MATCH($S$25,'4. Valuation'!$O$10:$X$10,0)),0)</f>
        <v>0</v>
      </c>
      <c r="T361" s="312" t="str">
        <f>IFERROR(INDEX('4. Valuation'!$O$10:$X$17,MATCH($D361,'4. Valuation'!$O$10:$O$17,0),MATCH($T$25,'4. Valuation'!$O$10:$X$10,0)),0)</f>
        <v>-</v>
      </c>
      <c r="U361" s="278"/>
      <c r="V361" s="312">
        <f t="shared" si="78"/>
        <v>0</v>
      </c>
      <c r="W361" s="312">
        <f t="shared" si="79"/>
        <v>0</v>
      </c>
      <c r="X361" s="312">
        <f t="shared" si="80"/>
        <v>0</v>
      </c>
      <c r="Y361" s="278"/>
      <c r="Z361" s="312">
        <f t="shared" si="81"/>
        <v>0</v>
      </c>
      <c r="AA361" s="312">
        <f>'3. GRI Pricing'!Y352</f>
        <v>0</v>
      </c>
      <c r="AB361" s="359">
        <f t="shared" si="82"/>
        <v>0</v>
      </c>
    </row>
    <row r="362" spans="3:28" s="30" customFormat="1" ht="12" x14ac:dyDescent="0.2">
      <c r="C362" s="77">
        <f>'1. Accomodation'!N357</f>
        <v>0</v>
      </c>
      <c r="D362" s="77">
        <f>'1. Accomodation'!P357</f>
        <v>0</v>
      </c>
      <c r="E362" s="77">
        <f>'1. Accomodation'!O357</f>
        <v>0</v>
      </c>
      <c r="G362" s="341">
        <f>IFERROR(INDEX('4. Valuation'!$C$10:$I$17,MATCH($D362,'4. Valuation'!$C$10:$C$17,0),MATCH($G$25,'4. Valuation'!$C$10:$I$10,0)),0)</f>
        <v>0</v>
      </c>
      <c r="H362" s="273">
        <f>IFERROR(INDEX('4. Valuation'!$C$10:$I$17,MATCH($D362,'4. Valuation'!$C$10:$C$17,0),MATCH($H$25,'4. Valuation'!$C$10:$I$10,0)),0)</f>
        <v>0</v>
      </c>
      <c r="I362" s="359" t="str">
        <f>IFERROR(INDEX('4. Valuation'!$C$10:$I$17,MATCH($D362,'4. Valuation'!$C$10:$C$17,0),MATCH($I$25,'4. Valuation'!$C$10:$I$10,0)),0)</f>
        <v>-</v>
      </c>
      <c r="J362" s="277"/>
      <c r="K362" s="312">
        <f t="shared" si="75"/>
        <v>0</v>
      </c>
      <c r="L362" s="312">
        <f t="shared" si="76"/>
        <v>0</v>
      </c>
      <c r="M362" s="359">
        <f t="shared" si="77"/>
        <v>0</v>
      </c>
      <c r="N362" s="278"/>
      <c r="O362" s="278"/>
      <c r="P362" s="278"/>
      <c r="Q362" s="278"/>
      <c r="R362" s="312">
        <f>IFERROR(INDEX('4. Valuation'!$O$10:$X$17,MATCH($D362,'4. Valuation'!$O$10:$O$17,0),MATCH($R$25,'4. Valuation'!$O$10:$X$10,0)),0)</f>
        <v>0</v>
      </c>
      <c r="S362" s="312">
        <f>IFERROR(INDEX('4. Valuation'!$O$10:$X$17,MATCH($D362,'4. Valuation'!$O$10:$O$17,0),MATCH($S$25,'4. Valuation'!$O$10:$X$10,0)),0)</f>
        <v>0</v>
      </c>
      <c r="T362" s="312" t="str">
        <f>IFERROR(INDEX('4. Valuation'!$O$10:$X$17,MATCH($D362,'4. Valuation'!$O$10:$O$17,0),MATCH($T$25,'4. Valuation'!$O$10:$X$10,0)),0)</f>
        <v>-</v>
      </c>
      <c r="U362" s="278"/>
      <c r="V362" s="312">
        <f t="shared" si="78"/>
        <v>0</v>
      </c>
      <c r="W362" s="312">
        <f t="shared" si="79"/>
        <v>0</v>
      </c>
      <c r="X362" s="312">
        <f t="shared" si="80"/>
        <v>0</v>
      </c>
      <c r="Y362" s="278"/>
      <c r="Z362" s="312">
        <f t="shared" si="81"/>
        <v>0</v>
      </c>
      <c r="AA362" s="312">
        <f>'3. GRI Pricing'!Y353</f>
        <v>0</v>
      </c>
      <c r="AB362" s="359">
        <f t="shared" si="82"/>
        <v>0</v>
      </c>
    </row>
    <row r="363" spans="3:28" s="30" customFormat="1" ht="12" x14ac:dyDescent="0.2">
      <c r="C363" s="77">
        <f>'1. Accomodation'!N358</f>
        <v>0</v>
      </c>
      <c r="D363" s="77">
        <f>'1. Accomodation'!P358</f>
        <v>0</v>
      </c>
      <c r="E363" s="77">
        <f>'1. Accomodation'!O358</f>
        <v>0</v>
      </c>
      <c r="G363" s="341">
        <f>IFERROR(INDEX('4. Valuation'!$C$10:$I$17,MATCH($D363,'4. Valuation'!$C$10:$C$17,0),MATCH($G$25,'4. Valuation'!$C$10:$I$10,0)),0)</f>
        <v>0</v>
      </c>
      <c r="H363" s="273">
        <f>IFERROR(INDEX('4. Valuation'!$C$10:$I$17,MATCH($D363,'4. Valuation'!$C$10:$C$17,0),MATCH($H$25,'4. Valuation'!$C$10:$I$10,0)),0)</f>
        <v>0</v>
      </c>
      <c r="I363" s="359" t="str">
        <f>IFERROR(INDEX('4. Valuation'!$C$10:$I$17,MATCH($D363,'4. Valuation'!$C$10:$C$17,0),MATCH($I$25,'4. Valuation'!$C$10:$I$10,0)),0)</f>
        <v>-</v>
      </c>
      <c r="J363" s="277"/>
      <c r="K363" s="312">
        <f t="shared" si="75"/>
        <v>0</v>
      </c>
      <c r="L363" s="312">
        <f t="shared" si="76"/>
        <v>0</v>
      </c>
      <c r="M363" s="359">
        <f t="shared" si="77"/>
        <v>0</v>
      </c>
      <c r="N363" s="278"/>
      <c r="O363" s="278"/>
      <c r="P363" s="278"/>
      <c r="Q363" s="278"/>
      <c r="R363" s="312">
        <f>IFERROR(INDEX('4. Valuation'!$O$10:$X$17,MATCH($D363,'4. Valuation'!$O$10:$O$17,0),MATCH($R$25,'4. Valuation'!$O$10:$X$10,0)),0)</f>
        <v>0</v>
      </c>
      <c r="S363" s="312">
        <f>IFERROR(INDEX('4. Valuation'!$O$10:$X$17,MATCH($D363,'4. Valuation'!$O$10:$O$17,0),MATCH($S$25,'4. Valuation'!$O$10:$X$10,0)),0)</f>
        <v>0</v>
      </c>
      <c r="T363" s="312" t="str">
        <f>IFERROR(INDEX('4. Valuation'!$O$10:$X$17,MATCH($D363,'4. Valuation'!$O$10:$O$17,0),MATCH($T$25,'4. Valuation'!$O$10:$X$10,0)),0)</f>
        <v>-</v>
      </c>
      <c r="U363" s="278"/>
      <c r="V363" s="312">
        <f t="shared" si="78"/>
        <v>0</v>
      </c>
      <c r="W363" s="312">
        <f t="shared" si="79"/>
        <v>0</v>
      </c>
      <c r="X363" s="312">
        <f t="shared" si="80"/>
        <v>0</v>
      </c>
      <c r="Y363" s="278"/>
      <c r="Z363" s="312">
        <f t="shared" si="81"/>
        <v>0</v>
      </c>
      <c r="AA363" s="312">
        <f>'3. GRI Pricing'!Y354</f>
        <v>0</v>
      </c>
      <c r="AB363" s="359">
        <f t="shared" si="82"/>
        <v>0</v>
      </c>
    </row>
    <row r="364" spans="3:28" s="30" customFormat="1" ht="12" x14ac:dyDescent="0.2">
      <c r="C364" s="77">
        <f>'1. Accomodation'!N359</f>
        <v>0</v>
      </c>
      <c r="D364" s="77">
        <f>'1. Accomodation'!P359</f>
        <v>0</v>
      </c>
      <c r="E364" s="77">
        <f>'1. Accomodation'!O359</f>
        <v>0</v>
      </c>
      <c r="G364" s="341">
        <f>IFERROR(INDEX('4. Valuation'!$C$10:$I$17,MATCH($D364,'4. Valuation'!$C$10:$C$17,0),MATCH($G$25,'4. Valuation'!$C$10:$I$10,0)),0)</f>
        <v>0</v>
      </c>
      <c r="H364" s="273">
        <f>IFERROR(INDEX('4. Valuation'!$C$10:$I$17,MATCH($D364,'4. Valuation'!$C$10:$C$17,0),MATCH($H$25,'4. Valuation'!$C$10:$I$10,0)),0)</f>
        <v>0</v>
      </c>
      <c r="I364" s="359" t="str">
        <f>IFERROR(INDEX('4. Valuation'!$C$10:$I$17,MATCH($D364,'4. Valuation'!$C$10:$C$17,0),MATCH($I$25,'4. Valuation'!$C$10:$I$10,0)),0)</f>
        <v>-</v>
      </c>
      <c r="J364" s="277"/>
      <c r="K364" s="312">
        <f t="shared" si="75"/>
        <v>0</v>
      </c>
      <c r="L364" s="312">
        <f t="shared" si="76"/>
        <v>0</v>
      </c>
      <c r="M364" s="359">
        <f t="shared" si="77"/>
        <v>0</v>
      </c>
      <c r="N364" s="278"/>
      <c r="O364" s="278"/>
      <c r="P364" s="278"/>
      <c r="Q364" s="278"/>
      <c r="R364" s="312">
        <f>IFERROR(INDEX('4. Valuation'!$O$10:$X$17,MATCH($D364,'4. Valuation'!$O$10:$O$17,0),MATCH($R$25,'4. Valuation'!$O$10:$X$10,0)),0)</f>
        <v>0</v>
      </c>
      <c r="S364" s="312">
        <f>IFERROR(INDEX('4. Valuation'!$O$10:$X$17,MATCH($D364,'4. Valuation'!$O$10:$O$17,0),MATCH($S$25,'4. Valuation'!$O$10:$X$10,0)),0)</f>
        <v>0</v>
      </c>
      <c r="T364" s="312" t="str">
        <f>IFERROR(INDEX('4. Valuation'!$O$10:$X$17,MATCH($D364,'4. Valuation'!$O$10:$O$17,0),MATCH($T$25,'4. Valuation'!$O$10:$X$10,0)),0)</f>
        <v>-</v>
      </c>
      <c r="U364" s="278"/>
      <c r="V364" s="312">
        <f t="shared" si="78"/>
        <v>0</v>
      </c>
      <c r="W364" s="312">
        <f t="shared" si="79"/>
        <v>0</v>
      </c>
      <c r="X364" s="312">
        <f t="shared" si="80"/>
        <v>0</v>
      </c>
      <c r="Y364" s="278"/>
      <c r="Z364" s="312">
        <f t="shared" si="81"/>
        <v>0</v>
      </c>
      <c r="AA364" s="312">
        <f>'3. GRI Pricing'!Y355</f>
        <v>0</v>
      </c>
      <c r="AB364" s="359">
        <f t="shared" si="82"/>
        <v>0</v>
      </c>
    </row>
    <row r="365" spans="3:28" s="30" customFormat="1" ht="12" x14ac:dyDescent="0.2">
      <c r="C365" s="77">
        <f>'1. Accomodation'!N360</f>
        <v>0</v>
      </c>
      <c r="D365" s="77">
        <f>'1. Accomodation'!P360</f>
        <v>0</v>
      </c>
      <c r="E365" s="77">
        <f>'1. Accomodation'!O360</f>
        <v>0</v>
      </c>
      <c r="G365" s="341">
        <f>IFERROR(INDEX('4. Valuation'!$C$10:$I$17,MATCH($D365,'4. Valuation'!$C$10:$C$17,0),MATCH($G$25,'4. Valuation'!$C$10:$I$10,0)),0)</f>
        <v>0</v>
      </c>
      <c r="H365" s="273">
        <f>IFERROR(INDEX('4. Valuation'!$C$10:$I$17,MATCH($D365,'4. Valuation'!$C$10:$C$17,0),MATCH($H$25,'4. Valuation'!$C$10:$I$10,0)),0)</f>
        <v>0</v>
      </c>
      <c r="I365" s="359" t="str">
        <f>IFERROR(INDEX('4. Valuation'!$C$10:$I$17,MATCH($D365,'4. Valuation'!$C$10:$C$17,0),MATCH($I$25,'4. Valuation'!$C$10:$I$10,0)),0)</f>
        <v>-</v>
      </c>
      <c r="J365" s="277"/>
      <c r="K365" s="312">
        <f t="shared" si="75"/>
        <v>0</v>
      </c>
      <c r="L365" s="312">
        <f t="shared" si="76"/>
        <v>0</v>
      </c>
      <c r="M365" s="359">
        <f t="shared" si="77"/>
        <v>0</v>
      </c>
      <c r="N365" s="278"/>
      <c r="O365" s="278"/>
      <c r="P365" s="278"/>
      <c r="Q365" s="278"/>
      <c r="R365" s="312">
        <f>IFERROR(INDEX('4. Valuation'!$O$10:$X$17,MATCH($D365,'4. Valuation'!$O$10:$O$17,0),MATCH($R$25,'4. Valuation'!$O$10:$X$10,0)),0)</f>
        <v>0</v>
      </c>
      <c r="S365" s="312">
        <f>IFERROR(INDEX('4. Valuation'!$O$10:$X$17,MATCH($D365,'4. Valuation'!$O$10:$O$17,0),MATCH($S$25,'4. Valuation'!$O$10:$X$10,0)),0)</f>
        <v>0</v>
      </c>
      <c r="T365" s="312" t="str">
        <f>IFERROR(INDEX('4. Valuation'!$O$10:$X$17,MATCH($D365,'4. Valuation'!$O$10:$O$17,0),MATCH($T$25,'4. Valuation'!$O$10:$X$10,0)),0)</f>
        <v>-</v>
      </c>
      <c r="U365" s="278"/>
      <c r="V365" s="312">
        <f t="shared" si="78"/>
        <v>0</v>
      </c>
      <c r="W365" s="312">
        <f t="shared" si="79"/>
        <v>0</v>
      </c>
      <c r="X365" s="312">
        <f t="shared" si="80"/>
        <v>0</v>
      </c>
      <c r="Y365" s="278"/>
      <c r="Z365" s="312">
        <f t="shared" si="81"/>
        <v>0</v>
      </c>
      <c r="AA365" s="312">
        <f>'3. GRI Pricing'!Y356</f>
        <v>0</v>
      </c>
      <c r="AB365" s="359">
        <f t="shared" si="82"/>
        <v>0</v>
      </c>
    </row>
    <row r="366" spans="3:28" s="30" customFormat="1" ht="12" x14ac:dyDescent="0.2">
      <c r="C366" s="77">
        <f>'1. Accomodation'!N361</f>
        <v>0</v>
      </c>
      <c r="D366" s="77">
        <f>'1. Accomodation'!P361</f>
        <v>0</v>
      </c>
      <c r="E366" s="77">
        <f>'1. Accomodation'!O361</f>
        <v>0</v>
      </c>
      <c r="G366" s="341">
        <f>IFERROR(INDEX('4. Valuation'!$C$10:$I$17,MATCH($D366,'4. Valuation'!$C$10:$C$17,0),MATCH($G$25,'4. Valuation'!$C$10:$I$10,0)),0)</f>
        <v>0</v>
      </c>
      <c r="H366" s="273">
        <f>IFERROR(INDEX('4. Valuation'!$C$10:$I$17,MATCH($D366,'4. Valuation'!$C$10:$C$17,0),MATCH($H$25,'4. Valuation'!$C$10:$I$10,0)),0)</f>
        <v>0</v>
      </c>
      <c r="I366" s="359" t="str">
        <f>IFERROR(INDEX('4. Valuation'!$C$10:$I$17,MATCH($D366,'4. Valuation'!$C$10:$C$17,0),MATCH($I$25,'4. Valuation'!$C$10:$I$10,0)),0)</f>
        <v>-</v>
      </c>
      <c r="J366" s="277"/>
      <c r="K366" s="312">
        <f t="shared" si="75"/>
        <v>0</v>
      </c>
      <c r="L366" s="312">
        <f t="shared" si="76"/>
        <v>0</v>
      </c>
      <c r="M366" s="359">
        <f t="shared" si="77"/>
        <v>0</v>
      </c>
      <c r="N366" s="278"/>
      <c r="O366" s="278"/>
      <c r="P366" s="278"/>
      <c r="Q366" s="278"/>
      <c r="R366" s="312">
        <f>IFERROR(INDEX('4. Valuation'!$O$10:$X$17,MATCH($D366,'4. Valuation'!$O$10:$O$17,0),MATCH($R$25,'4. Valuation'!$O$10:$X$10,0)),0)</f>
        <v>0</v>
      </c>
      <c r="S366" s="312">
        <f>IFERROR(INDEX('4. Valuation'!$O$10:$X$17,MATCH($D366,'4. Valuation'!$O$10:$O$17,0),MATCH($S$25,'4. Valuation'!$O$10:$X$10,0)),0)</f>
        <v>0</v>
      </c>
      <c r="T366" s="312" t="str">
        <f>IFERROR(INDEX('4. Valuation'!$O$10:$X$17,MATCH($D366,'4. Valuation'!$O$10:$O$17,0),MATCH($T$25,'4. Valuation'!$O$10:$X$10,0)),0)</f>
        <v>-</v>
      </c>
      <c r="U366" s="278"/>
      <c r="V366" s="312">
        <f t="shared" si="78"/>
        <v>0</v>
      </c>
      <c r="W366" s="312">
        <f t="shared" si="79"/>
        <v>0</v>
      </c>
      <c r="X366" s="312">
        <f t="shared" si="80"/>
        <v>0</v>
      </c>
      <c r="Y366" s="278"/>
      <c r="Z366" s="312">
        <f t="shared" si="81"/>
        <v>0</v>
      </c>
      <c r="AA366" s="312">
        <f>'3. GRI Pricing'!Y357</f>
        <v>0</v>
      </c>
      <c r="AB366" s="359">
        <f t="shared" si="82"/>
        <v>0</v>
      </c>
    </row>
    <row r="367" spans="3:28" s="30" customFormat="1" ht="12" x14ac:dyDescent="0.2">
      <c r="C367" s="77">
        <f>'1. Accomodation'!N362</f>
        <v>0</v>
      </c>
      <c r="D367" s="77">
        <f>'1. Accomodation'!P362</f>
        <v>0</v>
      </c>
      <c r="E367" s="77">
        <f>'1. Accomodation'!O362</f>
        <v>0</v>
      </c>
      <c r="G367" s="341">
        <f>IFERROR(INDEX('4. Valuation'!$C$10:$I$17,MATCH($D367,'4. Valuation'!$C$10:$C$17,0),MATCH($G$25,'4. Valuation'!$C$10:$I$10,0)),0)</f>
        <v>0</v>
      </c>
      <c r="H367" s="273">
        <f>IFERROR(INDEX('4. Valuation'!$C$10:$I$17,MATCH($D367,'4. Valuation'!$C$10:$C$17,0),MATCH($H$25,'4. Valuation'!$C$10:$I$10,0)),0)</f>
        <v>0</v>
      </c>
      <c r="I367" s="359" t="str">
        <f>IFERROR(INDEX('4. Valuation'!$C$10:$I$17,MATCH($D367,'4. Valuation'!$C$10:$C$17,0),MATCH($I$25,'4. Valuation'!$C$10:$I$10,0)),0)</f>
        <v>-</v>
      </c>
      <c r="J367" s="277"/>
      <c r="K367" s="312">
        <f t="shared" si="75"/>
        <v>0</v>
      </c>
      <c r="L367" s="312">
        <f t="shared" si="76"/>
        <v>0</v>
      </c>
      <c r="M367" s="359">
        <f t="shared" si="77"/>
        <v>0</v>
      </c>
      <c r="N367" s="278"/>
      <c r="O367" s="278"/>
      <c r="P367" s="278"/>
      <c r="Q367" s="278"/>
      <c r="R367" s="312">
        <f>IFERROR(INDEX('4. Valuation'!$O$10:$X$17,MATCH($D367,'4. Valuation'!$O$10:$O$17,0),MATCH($R$25,'4. Valuation'!$O$10:$X$10,0)),0)</f>
        <v>0</v>
      </c>
      <c r="S367" s="312">
        <f>IFERROR(INDEX('4. Valuation'!$O$10:$X$17,MATCH($D367,'4. Valuation'!$O$10:$O$17,0),MATCH($S$25,'4. Valuation'!$O$10:$X$10,0)),0)</f>
        <v>0</v>
      </c>
      <c r="T367" s="312" t="str">
        <f>IFERROR(INDEX('4. Valuation'!$O$10:$X$17,MATCH($D367,'4. Valuation'!$O$10:$O$17,0),MATCH($T$25,'4. Valuation'!$O$10:$X$10,0)),0)</f>
        <v>-</v>
      </c>
      <c r="U367" s="278"/>
      <c r="V367" s="312">
        <f t="shared" si="78"/>
        <v>0</v>
      </c>
      <c r="W367" s="312">
        <f t="shared" si="79"/>
        <v>0</v>
      </c>
      <c r="X367" s="312">
        <f t="shared" si="80"/>
        <v>0</v>
      </c>
      <c r="Y367" s="278"/>
      <c r="Z367" s="312">
        <f t="shared" si="81"/>
        <v>0</v>
      </c>
      <c r="AA367" s="312">
        <f>'3. GRI Pricing'!Y358</f>
        <v>0</v>
      </c>
      <c r="AB367" s="359">
        <f t="shared" si="82"/>
        <v>0</v>
      </c>
    </row>
    <row r="368" spans="3:28" s="30" customFormat="1" ht="12" x14ac:dyDescent="0.2">
      <c r="C368" s="77">
        <f>'1. Accomodation'!N363</f>
        <v>0</v>
      </c>
      <c r="D368" s="77">
        <f>'1. Accomodation'!P363</f>
        <v>0</v>
      </c>
      <c r="E368" s="77">
        <f>'1. Accomodation'!O363</f>
        <v>0</v>
      </c>
      <c r="G368" s="341">
        <f>IFERROR(INDEX('4. Valuation'!$C$10:$I$17,MATCH($D368,'4. Valuation'!$C$10:$C$17,0),MATCH($G$25,'4. Valuation'!$C$10:$I$10,0)),0)</f>
        <v>0</v>
      </c>
      <c r="H368" s="273">
        <f>IFERROR(INDEX('4. Valuation'!$C$10:$I$17,MATCH($D368,'4. Valuation'!$C$10:$C$17,0),MATCH($H$25,'4. Valuation'!$C$10:$I$10,0)),0)</f>
        <v>0</v>
      </c>
      <c r="I368" s="359" t="str">
        <f>IFERROR(INDEX('4. Valuation'!$C$10:$I$17,MATCH($D368,'4. Valuation'!$C$10:$C$17,0),MATCH($I$25,'4. Valuation'!$C$10:$I$10,0)),0)</f>
        <v>-</v>
      </c>
      <c r="J368" s="277"/>
      <c r="K368" s="312">
        <f t="shared" si="75"/>
        <v>0</v>
      </c>
      <c r="L368" s="312">
        <f t="shared" si="76"/>
        <v>0</v>
      </c>
      <c r="M368" s="359">
        <f t="shared" si="77"/>
        <v>0</v>
      </c>
      <c r="N368" s="278"/>
      <c r="O368" s="278"/>
      <c r="P368" s="278"/>
      <c r="Q368" s="278"/>
      <c r="R368" s="312">
        <f>IFERROR(INDEX('4. Valuation'!$O$10:$X$17,MATCH($D368,'4. Valuation'!$O$10:$O$17,0),MATCH($R$25,'4. Valuation'!$O$10:$X$10,0)),0)</f>
        <v>0</v>
      </c>
      <c r="S368" s="312">
        <f>IFERROR(INDEX('4. Valuation'!$O$10:$X$17,MATCH($D368,'4. Valuation'!$O$10:$O$17,0),MATCH($S$25,'4. Valuation'!$O$10:$X$10,0)),0)</f>
        <v>0</v>
      </c>
      <c r="T368" s="312" t="str">
        <f>IFERROR(INDEX('4. Valuation'!$O$10:$X$17,MATCH($D368,'4. Valuation'!$O$10:$O$17,0),MATCH($T$25,'4. Valuation'!$O$10:$X$10,0)),0)</f>
        <v>-</v>
      </c>
      <c r="U368" s="278"/>
      <c r="V368" s="312">
        <f t="shared" si="78"/>
        <v>0</v>
      </c>
      <c r="W368" s="312">
        <f t="shared" si="79"/>
        <v>0</v>
      </c>
      <c r="X368" s="312">
        <f t="shared" si="80"/>
        <v>0</v>
      </c>
      <c r="Y368" s="278"/>
      <c r="Z368" s="312">
        <f t="shared" si="81"/>
        <v>0</v>
      </c>
      <c r="AA368" s="312">
        <f>'3. GRI Pricing'!Y359</f>
        <v>0</v>
      </c>
      <c r="AB368" s="359">
        <f t="shared" si="82"/>
        <v>0</v>
      </c>
    </row>
    <row r="369" spans="3:28" s="30" customFormat="1" ht="12" x14ac:dyDescent="0.2">
      <c r="C369" s="77">
        <f>'1. Accomodation'!N364</f>
        <v>0</v>
      </c>
      <c r="D369" s="77">
        <f>'1. Accomodation'!P364</f>
        <v>0</v>
      </c>
      <c r="E369" s="77">
        <f>'1. Accomodation'!O364</f>
        <v>0</v>
      </c>
      <c r="G369" s="341">
        <f>IFERROR(INDEX('4. Valuation'!$C$10:$I$17,MATCH($D369,'4. Valuation'!$C$10:$C$17,0),MATCH($G$25,'4. Valuation'!$C$10:$I$10,0)),0)</f>
        <v>0</v>
      </c>
      <c r="H369" s="273">
        <f>IFERROR(INDEX('4. Valuation'!$C$10:$I$17,MATCH($D369,'4. Valuation'!$C$10:$C$17,0),MATCH($H$25,'4. Valuation'!$C$10:$I$10,0)),0)</f>
        <v>0</v>
      </c>
      <c r="I369" s="359" t="str">
        <f>IFERROR(INDEX('4. Valuation'!$C$10:$I$17,MATCH($D369,'4. Valuation'!$C$10:$C$17,0),MATCH($I$25,'4. Valuation'!$C$10:$I$10,0)),0)</f>
        <v>-</v>
      </c>
      <c r="J369" s="277"/>
      <c r="K369" s="312">
        <f t="shared" si="75"/>
        <v>0</v>
      </c>
      <c r="L369" s="312">
        <f t="shared" si="76"/>
        <v>0</v>
      </c>
      <c r="M369" s="359">
        <f t="shared" si="77"/>
        <v>0</v>
      </c>
      <c r="N369" s="278"/>
      <c r="O369" s="278"/>
      <c r="P369" s="278"/>
      <c r="Q369" s="278"/>
      <c r="R369" s="312">
        <f>IFERROR(INDEX('4. Valuation'!$O$10:$X$17,MATCH($D369,'4. Valuation'!$O$10:$O$17,0),MATCH($R$25,'4. Valuation'!$O$10:$X$10,0)),0)</f>
        <v>0</v>
      </c>
      <c r="S369" s="312">
        <f>IFERROR(INDEX('4. Valuation'!$O$10:$X$17,MATCH($D369,'4. Valuation'!$O$10:$O$17,0),MATCH($S$25,'4. Valuation'!$O$10:$X$10,0)),0)</f>
        <v>0</v>
      </c>
      <c r="T369" s="312" t="str">
        <f>IFERROR(INDEX('4. Valuation'!$O$10:$X$17,MATCH($D369,'4. Valuation'!$O$10:$O$17,0),MATCH($T$25,'4. Valuation'!$O$10:$X$10,0)),0)</f>
        <v>-</v>
      </c>
      <c r="U369" s="278"/>
      <c r="V369" s="312">
        <f t="shared" si="78"/>
        <v>0</v>
      </c>
      <c r="W369" s="312">
        <f t="shared" si="79"/>
        <v>0</v>
      </c>
      <c r="X369" s="312">
        <f t="shared" si="80"/>
        <v>0</v>
      </c>
      <c r="Y369" s="278"/>
      <c r="Z369" s="312">
        <f t="shared" si="81"/>
        <v>0</v>
      </c>
      <c r="AA369" s="312">
        <f>'3. GRI Pricing'!Y360</f>
        <v>0</v>
      </c>
      <c r="AB369" s="359">
        <f t="shared" si="82"/>
        <v>0</v>
      </c>
    </row>
    <row r="370" spans="3:28" s="30" customFormat="1" ht="12" x14ac:dyDescent="0.2">
      <c r="C370" s="77">
        <f>'1. Accomodation'!N365</f>
        <v>0</v>
      </c>
      <c r="D370" s="77">
        <f>'1. Accomodation'!P365</f>
        <v>0</v>
      </c>
      <c r="E370" s="77">
        <f>'1. Accomodation'!O365</f>
        <v>0</v>
      </c>
      <c r="G370" s="341">
        <f>IFERROR(INDEX('4. Valuation'!$C$10:$I$17,MATCH($D370,'4. Valuation'!$C$10:$C$17,0),MATCH($G$25,'4. Valuation'!$C$10:$I$10,0)),0)</f>
        <v>0</v>
      </c>
      <c r="H370" s="273">
        <f>IFERROR(INDEX('4. Valuation'!$C$10:$I$17,MATCH($D370,'4. Valuation'!$C$10:$C$17,0),MATCH($H$25,'4. Valuation'!$C$10:$I$10,0)),0)</f>
        <v>0</v>
      </c>
      <c r="I370" s="359" t="str">
        <f>IFERROR(INDEX('4. Valuation'!$C$10:$I$17,MATCH($D370,'4. Valuation'!$C$10:$C$17,0),MATCH($I$25,'4. Valuation'!$C$10:$I$10,0)),0)</f>
        <v>-</v>
      </c>
      <c r="J370" s="277"/>
      <c r="K370" s="312">
        <f t="shared" si="75"/>
        <v>0</v>
      </c>
      <c r="L370" s="312">
        <f t="shared" si="76"/>
        <v>0</v>
      </c>
      <c r="M370" s="359">
        <f t="shared" si="77"/>
        <v>0</v>
      </c>
      <c r="N370" s="278"/>
      <c r="O370" s="278"/>
      <c r="P370" s="278"/>
      <c r="Q370" s="278"/>
      <c r="R370" s="312">
        <f>IFERROR(INDEX('4. Valuation'!$O$10:$X$17,MATCH($D370,'4. Valuation'!$O$10:$O$17,0),MATCH($R$25,'4. Valuation'!$O$10:$X$10,0)),0)</f>
        <v>0</v>
      </c>
      <c r="S370" s="312">
        <f>IFERROR(INDEX('4. Valuation'!$O$10:$X$17,MATCH($D370,'4. Valuation'!$O$10:$O$17,0),MATCH($S$25,'4. Valuation'!$O$10:$X$10,0)),0)</f>
        <v>0</v>
      </c>
      <c r="T370" s="312" t="str">
        <f>IFERROR(INDEX('4. Valuation'!$O$10:$X$17,MATCH($D370,'4. Valuation'!$O$10:$O$17,0),MATCH($T$25,'4. Valuation'!$O$10:$X$10,0)),0)</f>
        <v>-</v>
      </c>
      <c r="U370" s="278"/>
      <c r="V370" s="312">
        <f t="shared" si="78"/>
        <v>0</v>
      </c>
      <c r="W370" s="312">
        <f t="shared" si="79"/>
        <v>0</v>
      </c>
      <c r="X370" s="312">
        <f t="shared" si="80"/>
        <v>0</v>
      </c>
      <c r="Y370" s="278"/>
      <c r="Z370" s="312">
        <f t="shared" si="81"/>
        <v>0</v>
      </c>
      <c r="AA370" s="312">
        <f>'3. GRI Pricing'!Y361</f>
        <v>0</v>
      </c>
      <c r="AB370" s="359">
        <f t="shared" si="82"/>
        <v>0</v>
      </c>
    </row>
    <row r="371" spans="3:28" s="30" customFormat="1" ht="12" x14ac:dyDescent="0.2">
      <c r="C371" s="77">
        <f>'1. Accomodation'!N366</f>
        <v>0</v>
      </c>
      <c r="D371" s="77">
        <f>'1. Accomodation'!P366</f>
        <v>0</v>
      </c>
      <c r="E371" s="77">
        <f>'1. Accomodation'!O366</f>
        <v>0</v>
      </c>
      <c r="G371" s="341">
        <f>IFERROR(INDEX('4. Valuation'!$C$10:$I$17,MATCH($D371,'4. Valuation'!$C$10:$C$17,0),MATCH($G$25,'4. Valuation'!$C$10:$I$10,0)),0)</f>
        <v>0</v>
      </c>
      <c r="H371" s="273">
        <f>IFERROR(INDEX('4. Valuation'!$C$10:$I$17,MATCH($D371,'4. Valuation'!$C$10:$C$17,0),MATCH($H$25,'4. Valuation'!$C$10:$I$10,0)),0)</f>
        <v>0</v>
      </c>
      <c r="I371" s="359" t="str">
        <f>IFERROR(INDEX('4. Valuation'!$C$10:$I$17,MATCH($D371,'4. Valuation'!$C$10:$C$17,0),MATCH($I$25,'4. Valuation'!$C$10:$I$10,0)),0)</f>
        <v>-</v>
      </c>
      <c r="J371" s="277"/>
      <c r="K371" s="312">
        <f t="shared" si="75"/>
        <v>0</v>
      </c>
      <c r="L371" s="312">
        <f t="shared" si="76"/>
        <v>0</v>
      </c>
      <c r="M371" s="359">
        <f t="shared" si="77"/>
        <v>0</v>
      </c>
      <c r="N371" s="278"/>
      <c r="O371" s="278"/>
      <c r="P371" s="278"/>
      <c r="Q371" s="278"/>
      <c r="R371" s="312">
        <f>IFERROR(INDEX('4. Valuation'!$O$10:$X$17,MATCH($D371,'4. Valuation'!$O$10:$O$17,0),MATCH($R$25,'4. Valuation'!$O$10:$X$10,0)),0)</f>
        <v>0</v>
      </c>
      <c r="S371" s="312">
        <f>IFERROR(INDEX('4. Valuation'!$O$10:$X$17,MATCH($D371,'4. Valuation'!$O$10:$O$17,0),MATCH($S$25,'4. Valuation'!$O$10:$X$10,0)),0)</f>
        <v>0</v>
      </c>
      <c r="T371" s="312" t="str">
        <f>IFERROR(INDEX('4. Valuation'!$O$10:$X$17,MATCH($D371,'4. Valuation'!$O$10:$O$17,0),MATCH($T$25,'4. Valuation'!$O$10:$X$10,0)),0)</f>
        <v>-</v>
      </c>
      <c r="U371" s="278"/>
      <c r="V371" s="312">
        <f t="shared" si="78"/>
        <v>0</v>
      </c>
      <c r="W371" s="312">
        <f t="shared" si="79"/>
        <v>0</v>
      </c>
      <c r="X371" s="312">
        <f t="shared" si="80"/>
        <v>0</v>
      </c>
      <c r="Y371" s="278"/>
      <c r="Z371" s="312">
        <f t="shared" si="81"/>
        <v>0</v>
      </c>
      <c r="AA371" s="312">
        <f>'3. GRI Pricing'!Y362</f>
        <v>0</v>
      </c>
      <c r="AB371" s="359">
        <f t="shared" si="82"/>
        <v>0</v>
      </c>
    </row>
    <row r="372" spans="3:28" s="30" customFormat="1" ht="12" x14ac:dyDescent="0.2">
      <c r="C372" s="77">
        <f>'1. Accomodation'!N367</f>
        <v>0</v>
      </c>
      <c r="D372" s="77">
        <f>'1. Accomodation'!P367</f>
        <v>0</v>
      </c>
      <c r="E372" s="77">
        <f>'1. Accomodation'!O367</f>
        <v>0</v>
      </c>
      <c r="G372" s="341">
        <f>IFERROR(INDEX('4. Valuation'!$C$10:$I$17,MATCH($D372,'4. Valuation'!$C$10:$C$17,0),MATCH($G$25,'4. Valuation'!$C$10:$I$10,0)),0)</f>
        <v>0</v>
      </c>
      <c r="H372" s="273">
        <f>IFERROR(INDEX('4. Valuation'!$C$10:$I$17,MATCH($D372,'4. Valuation'!$C$10:$C$17,0),MATCH($H$25,'4. Valuation'!$C$10:$I$10,0)),0)</f>
        <v>0</v>
      </c>
      <c r="I372" s="359" t="str">
        <f>IFERROR(INDEX('4. Valuation'!$C$10:$I$17,MATCH($D372,'4. Valuation'!$C$10:$C$17,0),MATCH($I$25,'4. Valuation'!$C$10:$I$10,0)),0)</f>
        <v>-</v>
      </c>
      <c r="J372" s="277"/>
      <c r="K372" s="312">
        <f t="shared" si="75"/>
        <v>0</v>
      </c>
      <c r="L372" s="312">
        <f t="shared" si="76"/>
        <v>0</v>
      </c>
      <c r="M372" s="359">
        <f t="shared" si="77"/>
        <v>0</v>
      </c>
      <c r="N372" s="278"/>
      <c r="O372" s="278"/>
      <c r="P372" s="278"/>
      <c r="Q372" s="278"/>
      <c r="R372" s="312">
        <f>IFERROR(INDEX('4. Valuation'!$O$10:$X$17,MATCH($D372,'4. Valuation'!$O$10:$O$17,0),MATCH($R$25,'4. Valuation'!$O$10:$X$10,0)),0)</f>
        <v>0</v>
      </c>
      <c r="S372" s="312">
        <f>IFERROR(INDEX('4. Valuation'!$O$10:$X$17,MATCH($D372,'4. Valuation'!$O$10:$O$17,0),MATCH($S$25,'4. Valuation'!$O$10:$X$10,0)),0)</f>
        <v>0</v>
      </c>
      <c r="T372" s="312" t="str">
        <f>IFERROR(INDEX('4. Valuation'!$O$10:$X$17,MATCH($D372,'4. Valuation'!$O$10:$O$17,0),MATCH($T$25,'4. Valuation'!$O$10:$X$10,0)),0)</f>
        <v>-</v>
      </c>
      <c r="U372" s="278"/>
      <c r="V372" s="312">
        <f t="shared" si="78"/>
        <v>0</v>
      </c>
      <c r="W372" s="312">
        <f t="shared" si="79"/>
        <v>0</v>
      </c>
      <c r="X372" s="312">
        <f t="shared" si="80"/>
        <v>0</v>
      </c>
      <c r="Y372" s="278"/>
      <c r="Z372" s="312">
        <f t="shared" si="81"/>
        <v>0</v>
      </c>
      <c r="AA372" s="312">
        <f>'3. GRI Pricing'!Y363</f>
        <v>0</v>
      </c>
      <c r="AB372" s="359">
        <f t="shared" si="82"/>
        <v>0</v>
      </c>
    </row>
    <row r="373" spans="3:28" s="30" customFormat="1" ht="12" x14ac:dyDescent="0.2">
      <c r="C373" s="77">
        <f>'1. Accomodation'!N368</f>
        <v>0</v>
      </c>
      <c r="D373" s="77">
        <f>'1. Accomodation'!P368</f>
        <v>0</v>
      </c>
      <c r="E373" s="77">
        <f>'1. Accomodation'!O368</f>
        <v>0</v>
      </c>
      <c r="G373" s="341">
        <f>IFERROR(INDEX('4. Valuation'!$C$10:$I$17,MATCH($D373,'4. Valuation'!$C$10:$C$17,0),MATCH($G$25,'4. Valuation'!$C$10:$I$10,0)),0)</f>
        <v>0</v>
      </c>
      <c r="H373" s="273">
        <f>IFERROR(INDEX('4. Valuation'!$C$10:$I$17,MATCH($D373,'4. Valuation'!$C$10:$C$17,0),MATCH($H$25,'4. Valuation'!$C$10:$I$10,0)),0)</f>
        <v>0</v>
      </c>
      <c r="I373" s="359" t="str">
        <f>IFERROR(INDEX('4. Valuation'!$C$10:$I$17,MATCH($D373,'4. Valuation'!$C$10:$C$17,0),MATCH($I$25,'4. Valuation'!$C$10:$I$10,0)),0)</f>
        <v>-</v>
      </c>
      <c r="J373" s="277"/>
      <c r="K373" s="312">
        <f t="shared" si="75"/>
        <v>0</v>
      </c>
      <c r="L373" s="312">
        <f t="shared" si="76"/>
        <v>0</v>
      </c>
      <c r="M373" s="359">
        <f t="shared" si="77"/>
        <v>0</v>
      </c>
      <c r="N373" s="278"/>
      <c r="O373" s="278"/>
      <c r="P373" s="278"/>
      <c r="Q373" s="278"/>
      <c r="R373" s="312">
        <f>IFERROR(INDEX('4. Valuation'!$O$10:$X$17,MATCH($D373,'4. Valuation'!$O$10:$O$17,0),MATCH($R$25,'4. Valuation'!$O$10:$X$10,0)),0)</f>
        <v>0</v>
      </c>
      <c r="S373" s="312">
        <f>IFERROR(INDEX('4. Valuation'!$O$10:$X$17,MATCH($D373,'4. Valuation'!$O$10:$O$17,0),MATCH($S$25,'4. Valuation'!$O$10:$X$10,0)),0)</f>
        <v>0</v>
      </c>
      <c r="T373" s="312" t="str">
        <f>IFERROR(INDEX('4. Valuation'!$O$10:$X$17,MATCH($D373,'4. Valuation'!$O$10:$O$17,0),MATCH($T$25,'4. Valuation'!$O$10:$X$10,0)),0)</f>
        <v>-</v>
      </c>
      <c r="U373" s="278"/>
      <c r="V373" s="312">
        <f t="shared" si="78"/>
        <v>0</v>
      </c>
      <c r="W373" s="312">
        <f t="shared" si="79"/>
        <v>0</v>
      </c>
      <c r="X373" s="312">
        <f t="shared" si="80"/>
        <v>0</v>
      </c>
      <c r="Y373" s="278"/>
      <c r="Z373" s="312">
        <f t="shared" si="81"/>
        <v>0</v>
      </c>
      <c r="AA373" s="312">
        <f>'3. GRI Pricing'!Y364</f>
        <v>0</v>
      </c>
      <c r="AB373" s="359">
        <f t="shared" si="82"/>
        <v>0</v>
      </c>
    </row>
    <row r="374" spans="3:28" s="30" customFormat="1" ht="12" x14ac:dyDescent="0.2">
      <c r="C374" s="77">
        <f>'1. Accomodation'!N369</f>
        <v>0</v>
      </c>
      <c r="D374" s="77">
        <f>'1. Accomodation'!P369</f>
        <v>0</v>
      </c>
      <c r="E374" s="77">
        <f>'1. Accomodation'!O369</f>
        <v>0</v>
      </c>
      <c r="G374" s="341">
        <f>IFERROR(INDEX('4. Valuation'!$C$10:$I$17,MATCH($D374,'4. Valuation'!$C$10:$C$17,0),MATCH($G$25,'4. Valuation'!$C$10:$I$10,0)),0)</f>
        <v>0</v>
      </c>
      <c r="H374" s="273">
        <f>IFERROR(INDEX('4. Valuation'!$C$10:$I$17,MATCH($D374,'4. Valuation'!$C$10:$C$17,0),MATCH($H$25,'4. Valuation'!$C$10:$I$10,0)),0)</f>
        <v>0</v>
      </c>
      <c r="I374" s="359" t="str">
        <f>IFERROR(INDEX('4. Valuation'!$C$10:$I$17,MATCH($D374,'4. Valuation'!$C$10:$C$17,0),MATCH($I$25,'4. Valuation'!$C$10:$I$10,0)),0)</f>
        <v>-</v>
      </c>
      <c r="J374" s="277"/>
      <c r="K374" s="312">
        <f t="shared" si="75"/>
        <v>0</v>
      </c>
      <c r="L374" s="312">
        <f t="shared" si="76"/>
        <v>0</v>
      </c>
      <c r="M374" s="359">
        <f t="shared" si="77"/>
        <v>0</v>
      </c>
      <c r="N374" s="278"/>
      <c r="O374" s="278"/>
      <c r="P374" s="278"/>
      <c r="Q374" s="278"/>
      <c r="R374" s="312">
        <f>IFERROR(INDEX('4. Valuation'!$O$10:$X$17,MATCH($D374,'4. Valuation'!$O$10:$O$17,0),MATCH($R$25,'4. Valuation'!$O$10:$X$10,0)),0)</f>
        <v>0</v>
      </c>
      <c r="S374" s="312">
        <f>IFERROR(INDEX('4. Valuation'!$O$10:$X$17,MATCH($D374,'4. Valuation'!$O$10:$O$17,0),MATCH($S$25,'4. Valuation'!$O$10:$X$10,0)),0)</f>
        <v>0</v>
      </c>
      <c r="T374" s="312" t="str">
        <f>IFERROR(INDEX('4. Valuation'!$O$10:$X$17,MATCH($D374,'4. Valuation'!$O$10:$O$17,0),MATCH($T$25,'4. Valuation'!$O$10:$X$10,0)),0)</f>
        <v>-</v>
      </c>
      <c r="U374" s="278"/>
      <c r="V374" s="312">
        <f t="shared" si="78"/>
        <v>0</v>
      </c>
      <c r="W374" s="312">
        <f t="shared" si="79"/>
        <v>0</v>
      </c>
      <c r="X374" s="312">
        <f t="shared" si="80"/>
        <v>0</v>
      </c>
      <c r="Y374" s="278"/>
      <c r="Z374" s="312">
        <f t="shared" si="81"/>
        <v>0</v>
      </c>
      <c r="AA374" s="312">
        <f>'3. GRI Pricing'!Y365</f>
        <v>0</v>
      </c>
      <c r="AB374" s="359">
        <f t="shared" si="82"/>
        <v>0</v>
      </c>
    </row>
    <row r="375" spans="3:28" s="30" customFormat="1" ht="12" x14ac:dyDescent="0.2">
      <c r="C375" s="77">
        <f>'1. Accomodation'!N370</f>
        <v>0</v>
      </c>
      <c r="D375" s="77">
        <f>'1. Accomodation'!P370</f>
        <v>0</v>
      </c>
      <c r="E375" s="77">
        <f>'1. Accomodation'!O370</f>
        <v>0</v>
      </c>
      <c r="G375" s="341">
        <f>IFERROR(INDEX('4. Valuation'!$C$10:$I$17,MATCH($D375,'4. Valuation'!$C$10:$C$17,0),MATCH($G$25,'4. Valuation'!$C$10:$I$10,0)),0)</f>
        <v>0</v>
      </c>
      <c r="H375" s="273">
        <f>IFERROR(INDEX('4. Valuation'!$C$10:$I$17,MATCH($D375,'4. Valuation'!$C$10:$C$17,0),MATCH($H$25,'4. Valuation'!$C$10:$I$10,0)),0)</f>
        <v>0</v>
      </c>
      <c r="I375" s="359" t="str">
        <f>IFERROR(INDEX('4. Valuation'!$C$10:$I$17,MATCH($D375,'4. Valuation'!$C$10:$C$17,0),MATCH($I$25,'4. Valuation'!$C$10:$I$10,0)),0)</f>
        <v>-</v>
      </c>
      <c r="J375" s="277"/>
      <c r="K375" s="312">
        <f t="shared" si="75"/>
        <v>0</v>
      </c>
      <c r="L375" s="312">
        <f t="shared" si="76"/>
        <v>0</v>
      </c>
      <c r="M375" s="359">
        <f t="shared" si="77"/>
        <v>0</v>
      </c>
      <c r="N375" s="278"/>
      <c r="O375" s="278"/>
      <c r="P375" s="278"/>
      <c r="Q375" s="278"/>
      <c r="R375" s="312">
        <f>IFERROR(INDEX('4. Valuation'!$O$10:$X$17,MATCH($D375,'4. Valuation'!$O$10:$O$17,0),MATCH($R$25,'4. Valuation'!$O$10:$X$10,0)),0)</f>
        <v>0</v>
      </c>
      <c r="S375" s="312">
        <f>IFERROR(INDEX('4. Valuation'!$O$10:$X$17,MATCH($D375,'4. Valuation'!$O$10:$O$17,0),MATCH($S$25,'4. Valuation'!$O$10:$X$10,0)),0)</f>
        <v>0</v>
      </c>
      <c r="T375" s="312" t="str">
        <f>IFERROR(INDEX('4. Valuation'!$O$10:$X$17,MATCH($D375,'4. Valuation'!$O$10:$O$17,0),MATCH($T$25,'4. Valuation'!$O$10:$X$10,0)),0)</f>
        <v>-</v>
      </c>
      <c r="U375" s="278"/>
      <c r="V375" s="312">
        <f t="shared" si="78"/>
        <v>0</v>
      </c>
      <c r="W375" s="312">
        <f t="shared" si="79"/>
        <v>0</v>
      </c>
      <c r="X375" s="312">
        <f t="shared" si="80"/>
        <v>0</v>
      </c>
      <c r="Y375" s="278"/>
      <c r="Z375" s="312">
        <f t="shared" si="81"/>
        <v>0</v>
      </c>
      <c r="AA375" s="312">
        <f>'3. GRI Pricing'!Y366</f>
        <v>0</v>
      </c>
      <c r="AB375" s="359">
        <f t="shared" si="82"/>
        <v>0</v>
      </c>
    </row>
    <row r="376" spans="3:28" s="30" customFormat="1" ht="12" x14ac:dyDescent="0.2">
      <c r="C376" s="77">
        <f>'1. Accomodation'!N371</f>
        <v>0</v>
      </c>
      <c r="D376" s="77">
        <f>'1. Accomodation'!P371</f>
        <v>0</v>
      </c>
      <c r="E376" s="77">
        <f>'1. Accomodation'!O371</f>
        <v>0</v>
      </c>
      <c r="G376" s="341">
        <f>IFERROR(INDEX('4. Valuation'!$C$10:$I$17,MATCH($D376,'4. Valuation'!$C$10:$C$17,0),MATCH($G$25,'4. Valuation'!$C$10:$I$10,0)),0)</f>
        <v>0</v>
      </c>
      <c r="H376" s="273">
        <f>IFERROR(INDEX('4. Valuation'!$C$10:$I$17,MATCH($D376,'4. Valuation'!$C$10:$C$17,0),MATCH($H$25,'4. Valuation'!$C$10:$I$10,0)),0)</f>
        <v>0</v>
      </c>
      <c r="I376" s="359" t="str">
        <f>IFERROR(INDEX('4. Valuation'!$C$10:$I$17,MATCH($D376,'4. Valuation'!$C$10:$C$17,0),MATCH($I$25,'4. Valuation'!$C$10:$I$10,0)),0)</f>
        <v>-</v>
      </c>
      <c r="J376" s="277"/>
      <c r="K376" s="312">
        <f t="shared" si="75"/>
        <v>0</v>
      </c>
      <c r="L376" s="312">
        <f t="shared" si="76"/>
        <v>0</v>
      </c>
      <c r="M376" s="359">
        <f t="shared" si="77"/>
        <v>0</v>
      </c>
      <c r="N376" s="278"/>
      <c r="O376" s="278"/>
      <c r="P376" s="278"/>
      <c r="Q376" s="278"/>
      <c r="R376" s="312">
        <f>IFERROR(INDEX('4. Valuation'!$O$10:$X$17,MATCH($D376,'4. Valuation'!$O$10:$O$17,0),MATCH($R$25,'4. Valuation'!$O$10:$X$10,0)),0)</f>
        <v>0</v>
      </c>
      <c r="S376" s="312">
        <f>IFERROR(INDEX('4. Valuation'!$O$10:$X$17,MATCH($D376,'4. Valuation'!$O$10:$O$17,0),MATCH($S$25,'4. Valuation'!$O$10:$X$10,0)),0)</f>
        <v>0</v>
      </c>
      <c r="T376" s="312" t="str">
        <f>IFERROR(INDEX('4. Valuation'!$O$10:$X$17,MATCH($D376,'4. Valuation'!$O$10:$O$17,0),MATCH($T$25,'4. Valuation'!$O$10:$X$10,0)),0)</f>
        <v>-</v>
      </c>
      <c r="U376" s="278"/>
      <c r="V376" s="312">
        <f t="shared" si="78"/>
        <v>0</v>
      </c>
      <c r="W376" s="312">
        <f t="shared" si="79"/>
        <v>0</v>
      </c>
      <c r="X376" s="312">
        <f t="shared" si="80"/>
        <v>0</v>
      </c>
      <c r="Y376" s="278"/>
      <c r="Z376" s="312">
        <f t="shared" si="81"/>
        <v>0</v>
      </c>
      <c r="AA376" s="312">
        <f>'3. GRI Pricing'!Y367</f>
        <v>0</v>
      </c>
      <c r="AB376" s="359">
        <f t="shared" si="82"/>
        <v>0</v>
      </c>
    </row>
    <row r="377" spans="3:28" s="30" customFormat="1" ht="12" x14ac:dyDescent="0.2">
      <c r="C377" s="77">
        <f>'1. Accomodation'!N372</f>
        <v>0</v>
      </c>
      <c r="D377" s="77">
        <f>'1. Accomodation'!P372</f>
        <v>0</v>
      </c>
      <c r="E377" s="77">
        <f>'1. Accomodation'!O372</f>
        <v>0</v>
      </c>
      <c r="G377" s="341">
        <f>IFERROR(INDEX('4. Valuation'!$C$10:$I$17,MATCH($D377,'4. Valuation'!$C$10:$C$17,0),MATCH($G$25,'4. Valuation'!$C$10:$I$10,0)),0)</f>
        <v>0</v>
      </c>
      <c r="H377" s="273">
        <f>IFERROR(INDEX('4. Valuation'!$C$10:$I$17,MATCH($D377,'4. Valuation'!$C$10:$C$17,0),MATCH($H$25,'4. Valuation'!$C$10:$I$10,0)),0)</f>
        <v>0</v>
      </c>
      <c r="I377" s="359" t="str">
        <f>IFERROR(INDEX('4. Valuation'!$C$10:$I$17,MATCH($D377,'4. Valuation'!$C$10:$C$17,0),MATCH($I$25,'4. Valuation'!$C$10:$I$10,0)),0)</f>
        <v>-</v>
      </c>
      <c r="J377" s="277"/>
      <c r="K377" s="312">
        <f t="shared" si="75"/>
        <v>0</v>
      </c>
      <c r="L377" s="312">
        <f t="shared" si="76"/>
        <v>0</v>
      </c>
      <c r="M377" s="359">
        <f t="shared" si="77"/>
        <v>0</v>
      </c>
      <c r="N377" s="278"/>
      <c r="O377" s="278"/>
      <c r="P377" s="278"/>
      <c r="Q377" s="278"/>
      <c r="R377" s="312">
        <f>IFERROR(INDEX('4. Valuation'!$O$10:$X$17,MATCH($D377,'4. Valuation'!$O$10:$O$17,0),MATCH($R$25,'4. Valuation'!$O$10:$X$10,0)),0)</f>
        <v>0</v>
      </c>
      <c r="S377" s="312">
        <f>IFERROR(INDEX('4. Valuation'!$O$10:$X$17,MATCH($D377,'4. Valuation'!$O$10:$O$17,0),MATCH($S$25,'4. Valuation'!$O$10:$X$10,0)),0)</f>
        <v>0</v>
      </c>
      <c r="T377" s="312" t="str">
        <f>IFERROR(INDEX('4. Valuation'!$O$10:$X$17,MATCH($D377,'4. Valuation'!$O$10:$O$17,0),MATCH($T$25,'4. Valuation'!$O$10:$X$10,0)),0)</f>
        <v>-</v>
      </c>
      <c r="U377" s="278"/>
      <c r="V377" s="312">
        <f t="shared" si="78"/>
        <v>0</v>
      </c>
      <c r="W377" s="312">
        <f t="shared" si="79"/>
        <v>0</v>
      </c>
      <c r="X377" s="312">
        <f t="shared" si="80"/>
        <v>0</v>
      </c>
      <c r="Y377" s="278"/>
      <c r="Z377" s="312">
        <f t="shared" si="81"/>
        <v>0</v>
      </c>
      <c r="AA377" s="312">
        <f>'3. GRI Pricing'!Y368</f>
        <v>0</v>
      </c>
      <c r="AB377" s="359">
        <f t="shared" si="82"/>
        <v>0</v>
      </c>
    </row>
    <row r="378" spans="3:28" s="30" customFormat="1" ht="12" x14ac:dyDescent="0.2">
      <c r="C378" s="77">
        <f>'1. Accomodation'!N373</f>
        <v>0</v>
      </c>
      <c r="D378" s="77">
        <f>'1. Accomodation'!P373</f>
        <v>0</v>
      </c>
      <c r="E378" s="77">
        <f>'1. Accomodation'!O373</f>
        <v>0</v>
      </c>
      <c r="G378" s="341">
        <f>IFERROR(INDEX('4. Valuation'!$C$10:$I$17,MATCH($D378,'4. Valuation'!$C$10:$C$17,0),MATCH($G$25,'4. Valuation'!$C$10:$I$10,0)),0)</f>
        <v>0</v>
      </c>
      <c r="H378" s="273">
        <f>IFERROR(INDEX('4. Valuation'!$C$10:$I$17,MATCH($D378,'4. Valuation'!$C$10:$C$17,0),MATCH($H$25,'4. Valuation'!$C$10:$I$10,0)),0)</f>
        <v>0</v>
      </c>
      <c r="I378" s="359" t="str">
        <f>IFERROR(INDEX('4. Valuation'!$C$10:$I$17,MATCH($D378,'4. Valuation'!$C$10:$C$17,0),MATCH($I$25,'4. Valuation'!$C$10:$I$10,0)),0)</f>
        <v>-</v>
      </c>
      <c r="J378" s="277"/>
      <c r="K378" s="312">
        <f t="shared" si="75"/>
        <v>0</v>
      </c>
      <c r="L378" s="312">
        <f t="shared" si="76"/>
        <v>0</v>
      </c>
      <c r="M378" s="359">
        <f t="shared" si="77"/>
        <v>0</v>
      </c>
      <c r="N378" s="278"/>
      <c r="O378" s="278"/>
      <c r="P378" s="278"/>
      <c r="Q378" s="278"/>
      <c r="R378" s="312">
        <f>IFERROR(INDEX('4. Valuation'!$O$10:$X$17,MATCH($D378,'4. Valuation'!$O$10:$O$17,0),MATCH($R$25,'4. Valuation'!$O$10:$X$10,0)),0)</f>
        <v>0</v>
      </c>
      <c r="S378" s="312">
        <f>IFERROR(INDEX('4. Valuation'!$O$10:$X$17,MATCH($D378,'4. Valuation'!$O$10:$O$17,0),MATCH($S$25,'4. Valuation'!$O$10:$X$10,0)),0)</f>
        <v>0</v>
      </c>
      <c r="T378" s="312" t="str">
        <f>IFERROR(INDEX('4. Valuation'!$O$10:$X$17,MATCH($D378,'4. Valuation'!$O$10:$O$17,0),MATCH($T$25,'4. Valuation'!$O$10:$X$10,0)),0)</f>
        <v>-</v>
      </c>
      <c r="U378" s="278"/>
      <c r="V378" s="312">
        <f t="shared" si="78"/>
        <v>0</v>
      </c>
      <c r="W378" s="312">
        <f t="shared" si="79"/>
        <v>0</v>
      </c>
      <c r="X378" s="312">
        <f t="shared" si="80"/>
        <v>0</v>
      </c>
      <c r="Y378" s="278"/>
      <c r="Z378" s="312">
        <f t="shared" si="81"/>
        <v>0</v>
      </c>
      <c r="AA378" s="312">
        <f>'3. GRI Pricing'!Y369</f>
        <v>0</v>
      </c>
      <c r="AB378" s="359">
        <f t="shared" si="82"/>
        <v>0</v>
      </c>
    </row>
    <row r="379" spans="3:28" s="30" customFormat="1" ht="12" x14ac:dyDescent="0.2">
      <c r="C379" s="77">
        <f>'1. Accomodation'!N374</f>
        <v>0</v>
      </c>
      <c r="D379" s="77">
        <f>'1. Accomodation'!P374</f>
        <v>0</v>
      </c>
      <c r="E379" s="77">
        <f>'1. Accomodation'!O374</f>
        <v>0</v>
      </c>
      <c r="G379" s="341">
        <f>IFERROR(INDEX('4. Valuation'!$C$10:$I$17,MATCH($D379,'4. Valuation'!$C$10:$C$17,0),MATCH($G$25,'4. Valuation'!$C$10:$I$10,0)),0)</f>
        <v>0</v>
      </c>
      <c r="H379" s="273">
        <f>IFERROR(INDEX('4. Valuation'!$C$10:$I$17,MATCH($D379,'4. Valuation'!$C$10:$C$17,0),MATCH($H$25,'4. Valuation'!$C$10:$I$10,0)),0)</f>
        <v>0</v>
      </c>
      <c r="I379" s="359" t="str">
        <f>IFERROR(INDEX('4. Valuation'!$C$10:$I$17,MATCH($D379,'4. Valuation'!$C$10:$C$17,0),MATCH($I$25,'4. Valuation'!$C$10:$I$10,0)),0)</f>
        <v>-</v>
      </c>
      <c r="J379" s="277"/>
      <c r="K379" s="312">
        <f t="shared" si="75"/>
        <v>0</v>
      </c>
      <c r="L379" s="312">
        <f t="shared" si="76"/>
        <v>0</v>
      </c>
      <c r="M379" s="359">
        <f t="shared" si="77"/>
        <v>0</v>
      </c>
      <c r="N379" s="278"/>
      <c r="O379" s="278"/>
      <c r="P379" s="278"/>
      <c r="Q379" s="278"/>
      <c r="R379" s="312">
        <f>IFERROR(INDEX('4. Valuation'!$O$10:$X$17,MATCH($D379,'4. Valuation'!$O$10:$O$17,0),MATCH($R$25,'4. Valuation'!$O$10:$X$10,0)),0)</f>
        <v>0</v>
      </c>
      <c r="S379" s="312">
        <f>IFERROR(INDEX('4. Valuation'!$O$10:$X$17,MATCH($D379,'4. Valuation'!$O$10:$O$17,0),MATCH($S$25,'4. Valuation'!$O$10:$X$10,0)),0)</f>
        <v>0</v>
      </c>
      <c r="T379" s="312" t="str">
        <f>IFERROR(INDEX('4. Valuation'!$O$10:$X$17,MATCH($D379,'4. Valuation'!$O$10:$O$17,0),MATCH($T$25,'4. Valuation'!$O$10:$X$10,0)),0)</f>
        <v>-</v>
      </c>
      <c r="U379" s="278"/>
      <c r="V379" s="312">
        <f t="shared" si="78"/>
        <v>0</v>
      </c>
      <c r="W379" s="312">
        <f t="shared" si="79"/>
        <v>0</v>
      </c>
      <c r="X379" s="312">
        <f t="shared" si="80"/>
        <v>0</v>
      </c>
      <c r="Y379" s="278"/>
      <c r="Z379" s="312">
        <f t="shared" si="81"/>
        <v>0</v>
      </c>
      <c r="AA379" s="312">
        <f>'3. GRI Pricing'!Y370</f>
        <v>0</v>
      </c>
      <c r="AB379" s="359">
        <f t="shared" si="82"/>
        <v>0</v>
      </c>
    </row>
    <row r="380" spans="3:28" s="30" customFormat="1" ht="12" x14ac:dyDescent="0.2">
      <c r="C380" s="77">
        <f>'1. Accomodation'!N375</f>
        <v>0</v>
      </c>
      <c r="D380" s="77">
        <f>'1. Accomodation'!P375</f>
        <v>0</v>
      </c>
      <c r="E380" s="77">
        <f>'1. Accomodation'!O375</f>
        <v>0</v>
      </c>
      <c r="G380" s="341">
        <f>IFERROR(INDEX('4. Valuation'!$C$10:$I$17,MATCH($D380,'4. Valuation'!$C$10:$C$17,0),MATCH($G$25,'4. Valuation'!$C$10:$I$10,0)),0)</f>
        <v>0</v>
      </c>
      <c r="H380" s="273">
        <f>IFERROR(INDEX('4. Valuation'!$C$10:$I$17,MATCH($D380,'4. Valuation'!$C$10:$C$17,0),MATCH($H$25,'4. Valuation'!$C$10:$I$10,0)),0)</f>
        <v>0</v>
      </c>
      <c r="I380" s="359" t="str">
        <f>IFERROR(INDEX('4. Valuation'!$C$10:$I$17,MATCH($D380,'4. Valuation'!$C$10:$C$17,0),MATCH($I$25,'4. Valuation'!$C$10:$I$10,0)),0)</f>
        <v>-</v>
      </c>
      <c r="J380" s="277"/>
      <c r="K380" s="312">
        <f t="shared" si="75"/>
        <v>0</v>
      </c>
      <c r="L380" s="312">
        <f t="shared" si="76"/>
        <v>0</v>
      </c>
      <c r="M380" s="359">
        <f t="shared" si="77"/>
        <v>0</v>
      </c>
      <c r="N380" s="278"/>
      <c r="O380" s="278"/>
      <c r="P380" s="278"/>
      <c r="Q380" s="278"/>
      <c r="R380" s="312">
        <f>IFERROR(INDEX('4. Valuation'!$O$10:$X$17,MATCH($D380,'4. Valuation'!$O$10:$O$17,0),MATCH($R$25,'4. Valuation'!$O$10:$X$10,0)),0)</f>
        <v>0</v>
      </c>
      <c r="S380" s="312">
        <f>IFERROR(INDEX('4. Valuation'!$O$10:$X$17,MATCH($D380,'4. Valuation'!$O$10:$O$17,0),MATCH($S$25,'4. Valuation'!$O$10:$X$10,0)),0)</f>
        <v>0</v>
      </c>
      <c r="T380" s="312" t="str">
        <f>IFERROR(INDEX('4. Valuation'!$O$10:$X$17,MATCH($D380,'4. Valuation'!$O$10:$O$17,0),MATCH($T$25,'4. Valuation'!$O$10:$X$10,0)),0)</f>
        <v>-</v>
      </c>
      <c r="U380" s="278"/>
      <c r="V380" s="312">
        <f t="shared" si="78"/>
        <v>0</v>
      </c>
      <c r="W380" s="312">
        <f t="shared" si="79"/>
        <v>0</v>
      </c>
      <c r="X380" s="312">
        <f t="shared" si="80"/>
        <v>0</v>
      </c>
      <c r="Y380" s="278"/>
      <c r="Z380" s="312">
        <f t="shared" si="81"/>
        <v>0</v>
      </c>
      <c r="AA380" s="312">
        <f>'3. GRI Pricing'!Y371</f>
        <v>0</v>
      </c>
      <c r="AB380" s="359">
        <f t="shared" si="82"/>
        <v>0</v>
      </c>
    </row>
    <row r="381" spans="3:28" s="30" customFormat="1" ht="12" x14ac:dyDescent="0.2">
      <c r="C381" s="77">
        <f>'1. Accomodation'!N376</f>
        <v>0</v>
      </c>
      <c r="D381" s="77">
        <f>'1. Accomodation'!P376</f>
        <v>0</v>
      </c>
      <c r="E381" s="77">
        <f>'1. Accomodation'!O376</f>
        <v>0</v>
      </c>
      <c r="G381" s="341">
        <f>IFERROR(INDEX('4. Valuation'!$C$10:$I$17,MATCH($D381,'4. Valuation'!$C$10:$C$17,0),MATCH($G$25,'4. Valuation'!$C$10:$I$10,0)),0)</f>
        <v>0</v>
      </c>
      <c r="H381" s="273">
        <f>IFERROR(INDEX('4. Valuation'!$C$10:$I$17,MATCH($D381,'4. Valuation'!$C$10:$C$17,0),MATCH($H$25,'4. Valuation'!$C$10:$I$10,0)),0)</f>
        <v>0</v>
      </c>
      <c r="I381" s="359" t="str">
        <f>IFERROR(INDEX('4. Valuation'!$C$10:$I$17,MATCH($D381,'4. Valuation'!$C$10:$C$17,0),MATCH($I$25,'4. Valuation'!$C$10:$I$10,0)),0)</f>
        <v>-</v>
      </c>
      <c r="J381" s="277"/>
      <c r="K381" s="312">
        <f t="shared" si="75"/>
        <v>0</v>
      </c>
      <c r="L381" s="312">
        <f t="shared" si="76"/>
        <v>0</v>
      </c>
      <c r="M381" s="359">
        <f t="shared" si="77"/>
        <v>0</v>
      </c>
      <c r="N381" s="278"/>
      <c r="O381" s="278"/>
      <c r="P381" s="278"/>
      <c r="Q381" s="278"/>
      <c r="R381" s="312">
        <f>IFERROR(INDEX('4. Valuation'!$O$10:$X$17,MATCH($D381,'4. Valuation'!$O$10:$O$17,0),MATCH($R$25,'4. Valuation'!$O$10:$X$10,0)),0)</f>
        <v>0</v>
      </c>
      <c r="S381" s="312">
        <f>IFERROR(INDEX('4. Valuation'!$O$10:$X$17,MATCH($D381,'4. Valuation'!$O$10:$O$17,0),MATCH($S$25,'4. Valuation'!$O$10:$X$10,0)),0)</f>
        <v>0</v>
      </c>
      <c r="T381" s="312" t="str">
        <f>IFERROR(INDEX('4. Valuation'!$O$10:$X$17,MATCH($D381,'4. Valuation'!$O$10:$O$17,0),MATCH($T$25,'4. Valuation'!$O$10:$X$10,0)),0)</f>
        <v>-</v>
      </c>
      <c r="U381" s="278"/>
      <c r="V381" s="312">
        <f t="shared" si="78"/>
        <v>0</v>
      </c>
      <c r="W381" s="312">
        <f t="shared" si="79"/>
        <v>0</v>
      </c>
      <c r="X381" s="312">
        <f t="shared" si="80"/>
        <v>0</v>
      </c>
      <c r="Y381" s="278"/>
      <c r="Z381" s="312">
        <f t="shared" si="81"/>
        <v>0</v>
      </c>
      <c r="AA381" s="312">
        <f>'3. GRI Pricing'!Y372</f>
        <v>0</v>
      </c>
      <c r="AB381" s="359">
        <f t="shared" si="82"/>
        <v>0</v>
      </c>
    </row>
    <row r="382" spans="3:28" s="30" customFormat="1" ht="12" x14ac:dyDescent="0.2">
      <c r="C382" s="77">
        <f>'1. Accomodation'!N377</f>
        <v>0</v>
      </c>
      <c r="D382" s="77">
        <f>'1. Accomodation'!P377</f>
        <v>0</v>
      </c>
      <c r="E382" s="77">
        <f>'1. Accomodation'!O377</f>
        <v>0</v>
      </c>
      <c r="G382" s="341">
        <f>IFERROR(INDEX('4. Valuation'!$C$10:$I$17,MATCH($D382,'4. Valuation'!$C$10:$C$17,0),MATCH($G$25,'4. Valuation'!$C$10:$I$10,0)),0)</f>
        <v>0</v>
      </c>
      <c r="H382" s="273">
        <f>IFERROR(INDEX('4. Valuation'!$C$10:$I$17,MATCH($D382,'4. Valuation'!$C$10:$C$17,0),MATCH($H$25,'4. Valuation'!$C$10:$I$10,0)),0)</f>
        <v>0</v>
      </c>
      <c r="I382" s="359" t="str">
        <f>IFERROR(INDEX('4. Valuation'!$C$10:$I$17,MATCH($D382,'4. Valuation'!$C$10:$C$17,0),MATCH($I$25,'4. Valuation'!$C$10:$I$10,0)),0)</f>
        <v>-</v>
      </c>
      <c r="J382" s="277"/>
      <c r="K382" s="312">
        <f t="shared" si="75"/>
        <v>0</v>
      </c>
      <c r="L382" s="312">
        <f t="shared" si="76"/>
        <v>0</v>
      </c>
      <c r="M382" s="359">
        <f t="shared" si="77"/>
        <v>0</v>
      </c>
      <c r="N382" s="278"/>
      <c r="O382" s="278"/>
      <c r="P382" s="278"/>
      <c r="Q382" s="278"/>
      <c r="R382" s="312">
        <f>IFERROR(INDEX('4. Valuation'!$O$10:$X$17,MATCH($D382,'4. Valuation'!$O$10:$O$17,0),MATCH($R$25,'4. Valuation'!$O$10:$X$10,0)),0)</f>
        <v>0</v>
      </c>
      <c r="S382" s="312">
        <f>IFERROR(INDEX('4. Valuation'!$O$10:$X$17,MATCH($D382,'4. Valuation'!$O$10:$O$17,0),MATCH($S$25,'4. Valuation'!$O$10:$X$10,0)),0)</f>
        <v>0</v>
      </c>
      <c r="T382" s="312" t="str">
        <f>IFERROR(INDEX('4. Valuation'!$O$10:$X$17,MATCH($D382,'4. Valuation'!$O$10:$O$17,0),MATCH($T$25,'4. Valuation'!$O$10:$X$10,0)),0)</f>
        <v>-</v>
      </c>
      <c r="U382" s="278"/>
      <c r="V382" s="312">
        <f t="shared" si="78"/>
        <v>0</v>
      </c>
      <c r="W382" s="312">
        <f t="shared" si="79"/>
        <v>0</v>
      </c>
      <c r="X382" s="312">
        <f t="shared" si="80"/>
        <v>0</v>
      </c>
      <c r="Y382" s="278"/>
      <c r="Z382" s="312">
        <f t="shared" si="81"/>
        <v>0</v>
      </c>
      <c r="AA382" s="312">
        <f>'3. GRI Pricing'!Y373</f>
        <v>0</v>
      </c>
      <c r="AB382" s="359">
        <f t="shared" si="82"/>
        <v>0</v>
      </c>
    </row>
    <row r="383" spans="3:28" s="30" customFormat="1" ht="12" x14ac:dyDescent="0.2">
      <c r="C383" s="77">
        <f>'1. Accomodation'!N378</f>
        <v>0</v>
      </c>
      <c r="D383" s="77">
        <f>'1. Accomodation'!P378</f>
        <v>0</v>
      </c>
      <c r="E383" s="77">
        <f>'1. Accomodation'!O378</f>
        <v>0</v>
      </c>
      <c r="G383" s="341">
        <f>IFERROR(INDEX('4. Valuation'!$C$10:$I$17,MATCH($D383,'4. Valuation'!$C$10:$C$17,0),MATCH($G$25,'4. Valuation'!$C$10:$I$10,0)),0)</f>
        <v>0</v>
      </c>
      <c r="H383" s="273">
        <f>IFERROR(INDEX('4. Valuation'!$C$10:$I$17,MATCH($D383,'4. Valuation'!$C$10:$C$17,0),MATCH($H$25,'4. Valuation'!$C$10:$I$10,0)),0)</f>
        <v>0</v>
      </c>
      <c r="I383" s="359" t="str">
        <f>IFERROR(INDEX('4. Valuation'!$C$10:$I$17,MATCH($D383,'4. Valuation'!$C$10:$C$17,0),MATCH($I$25,'4. Valuation'!$C$10:$I$10,0)),0)</f>
        <v>-</v>
      </c>
      <c r="J383" s="277"/>
      <c r="K383" s="312">
        <f t="shared" si="75"/>
        <v>0</v>
      </c>
      <c r="L383" s="312">
        <f t="shared" si="76"/>
        <v>0</v>
      </c>
      <c r="M383" s="359">
        <f t="shared" si="77"/>
        <v>0</v>
      </c>
      <c r="N383" s="278"/>
      <c r="O383" s="278"/>
      <c r="P383" s="278"/>
      <c r="Q383" s="278"/>
      <c r="R383" s="312">
        <f>IFERROR(INDEX('4. Valuation'!$O$10:$X$17,MATCH($D383,'4. Valuation'!$O$10:$O$17,0),MATCH($R$25,'4. Valuation'!$O$10:$X$10,0)),0)</f>
        <v>0</v>
      </c>
      <c r="S383" s="312">
        <f>IFERROR(INDEX('4. Valuation'!$O$10:$X$17,MATCH($D383,'4. Valuation'!$O$10:$O$17,0),MATCH($S$25,'4. Valuation'!$O$10:$X$10,0)),0)</f>
        <v>0</v>
      </c>
      <c r="T383" s="312" t="str">
        <f>IFERROR(INDEX('4. Valuation'!$O$10:$X$17,MATCH($D383,'4. Valuation'!$O$10:$O$17,0),MATCH($T$25,'4. Valuation'!$O$10:$X$10,0)),0)</f>
        <v>-</v>
      </c>
      <c r="U383" s="278"/>
      <c r="V383" s="312">
        <f t="shared" si="78"/>
        <v>0</v>
      </c>
      <c r="W383" s="312">
        <f t="shared" si="79"/>
        <v>0</v>
      </c>
      <c r="X383" s="312">
        <f t="shared" si="80"/>
        <v>0</v>
      </c>
      <c r="Y383" s="278"/>
      <c r="Z383" s="312">
        <f t="shared" si="81"/>
        <v>0</v>
      </c>
      <c r="AA383" s="312">
        <f>'3. GRI Pricing'!Y374</f>
        <v>0</v>
      </c>
      <c r="AB383" s="359">
        <f t="shared" si="82"/>
        <v>0</v>
      </c>
    </row>
    <row r="384" spans="3:28" s="30" customFormat="1" ht="12" x14ac:dyDescent="0.2">
      <c r="C384" s="77">
        <f>'1. Accomodation'!N379</f>
        <v>0</v>
      </c>
      <c r="D384" s="77">
        <f>'1. Accomodation'!P379</f>
        <v>0</v>
      </c>
      <c r="E384" s="77">
        <f>'1. Accomodation'!O379</f>
        <v>0</v>
      </c>
      <c r="G384" s="341">
        <f>IFERROR(INDEX('4. Valuation'!$C$10:$I$17,MATCH($D384,'4. Valuation'!$C$10:$C$17,0),MATCH($G$25,'4. Valuation'!$C$10:$I$10,0)),0)</f>
        <v>0</v>
      </c>
      <c r="H384" s="273">
        <f>IFERROR(INDEX('4. Valuation'!$C$10:$I$17,MATCH($D384,'4. Valuation'!$C$10:$C$17,0),MATCH($H$25,'4. Valuation'!$C$10:$I$10,0)),0)</f>
        <v>0</v>
      </c>
      <c r="I384" s="359" t="str">
        <f>IFERROR(INDEX('4. Valuation'!$C$10:$I$17,MATCH($D384,'4. Valuation'!$C$10:$C$17,0),MATCH($I$25,'4. Valuation'!$C$10:$I$10,0)),0)</f>
        <v>-</v>
      </c>
      <c r="J384" s="277"/>
      <c r="K384" s="312">
        <f t="shared" si="75"/>
        <v>0</v>
      </c>
      <c r="L384" s="312">
        <f t="shared" si="76"/>
        <v>0</v>
      </c>
      <c r="M384" s="359">
        <f t="shared" si="77"/>
        <v>0</v>
      </c>
      <c r="N384" s="278"/>
      <c r="O384" s="278"/>
      <c r="P384" s="278"/>
      <c r="Q384" s="278"/>
      <c r="R384" s="312">
        <f>IFERROR(INDEX('4. Valuation'!$O$10:$X$17,MATCH($D384,'4. Valuation'!$O$10:$O$17,0),MATCH($R$25,'4. Valuation'!$O$10:$X$10,0)),0)</f>
        <v>0</v>
      </c>
      <c r="S384" s="312">
        <f>IFERROR(INDEX('4. Valuation'!$O$10:$X$17,MATCH($D384,'4. Valuation'!$O$10:$O$17,0),MATCH($S$25,'4. Valuation'!$O$10:$X$10,0)),0)</f>
        <v>0</v>
      </c>
      <c r="T384" s="312" t="str">
        <f>IFERROR(INDEX('4. Valuation'!$O$10:$X$17,MATCH($D384,'4. Valuation'!$O$10:$O$17,0),MATCH($T$25,'4. Valuation'!$O$10:$X$10,0)),0)</f>
        <v>-</v>
      </c>
      <c r="U384" s="278"/>
      <c r="V384" s="312">
        <f t="shared" si="78"/>
        <v>0</v>
      </c>
      <c r="W384" s="312">
        <f t="shared" si="79"/>
        <v>0</v>
      </c>
      <c r="X384" s="312">
        <f t="shared" si="80"/>
        <v>0</v>
      </c>
      <c r="Y384" s="278"/>
      <c r="Z384" s="312">
        <f t="shared" si="81"/>
        <v>0</v>
      </c>
      <c r="AA384" s="312">
        <f>'3. GRI Pricing'!Y375</f>
        <v>0</v>
      </c>
      <c r="AB384" s="359">
        <f t="shared" si="82"/>
        <v>0</v>
      </c>
    </row>
    <row r="385" spans="3:28" s="30" customFormat="1" ht="12" x14ac:dyDescent="0.2">
      <c r="C385" s="77">
        <f>'1. Accomodation'!N380</f>
        <v>0</v>
      </c>
      <c r="D385" s="77">
        <f>'1. Accomodation'!P380</f>
        <v>0</v>
      </c>
      <c r="E385" s="77">
        <f>'1. Accomodation'!O380</f>
        <v>0</v>
      </c>
      <c r="G385" s="341">
        <f>IFERROR(INDEX('4. Valuation'!$C$10:$I$17,MATCH($D385,'4. Valuation'!$C$10:$C$17,0),MATCH($G$25,'4. Valuation'!$C$10:$I$10,0)),0)</f>
        <v>0</v>
      </c>
      <c r="H385" s="273">
        <f>IFERROR(INDEX('4. Valuation'!$C$10:$I$17,MATCH($D385,'4. Valuation'!$C$10:$C$17,0),MATCH($H$25,'4. Valuation'!$C$10:$I$10,0)),0)</f>
        <v>0</v>
      </c>
      <c r="I385" s="359" t="str">
        <f>IFERROR(INDEX('4. Valuation'!$C$10:$I$17,MATCH($D385,'4. Valuation'!$C$10:$C$17,0),MATCH($I$25,'4. Valuation'!$C$10:$I$10,0)),0)</f>
        <v>-</v>
      </c>
      <c r="J385" s="277"/>
      <c r="K385" s="312">
        <f t="shared" si="75"/>
        <v>0</v>
      </c>
      <c r="L385" s="312">
        <f t="shared" si="76"/>
        <v>0</v>
      </c>
      <c r="M385" s="359">
        <f t="shared" si="77"/>
        <v>0</v>
      </c>
      <c r="N385" s="278"/>
      <c r="O385" s="278"/>
      <c r="P385" s="278"/>
      <c r="Q385" s="278"/>
      <c r="R385" s="312">
        <f>IFERROR(INDEX('4. Valuation'!$O$10:$X$17,MATCH($D385,'4. Valuation'!$O$10:$O$17,0),MATCH($R$25,'4. Valuation'!$O$10:$X$10,0)),0)</f>
        <v>0</v>
      </c>
      <c r="S385" s="312">
        <f>IFERROR(INDEX('4. Valuation'!$O$10:$X$17,MATCH($D385,'4. Valuation'!$O$10:$O$17,0),MATCH($S$25,'4. Valuation'!$O$10:$X$10,0)),0)</f>
        <v>0</v>
      </c>
      <c r="T385" s="312" t="str">
        <f>IFERROR(INDEX('4. Valuation'!$O$10:$X$17,MATCH($D385,'4. Valuation'!$O$10:$O$17,0),MATCH($T$25,'4. Valuation'!$O$10:$X$10,0)),0)</f>
        <v>-</v>
      </c>
      <c r="U385" s="278"/>
      <c r="V385" s="312">
        <f t="shared" si="78"/>
        <v>0</v>
      </c>
      <c r="W385" s="312">
        <f t="shared" si="79"/>
        <v>0</v>
      </c>
      <c r="X385" s="312">
        <f t="shared" si="80"/>
        <v>0</v>
      </c>
      <c r="Y385" s="278"/>
      <c r="Z385" s="312">
        <f t="shared" si="81"/>
        <v>0</v>
      </c>
      <c r="AA385" s="312">
        <f>'3. GRI Pricing'!Y376</f>
        <v>0</v>
      </c>
      <c r="AB385" s="359">
        <f t="shared" si="82"/>
        <v>0</v>
      </c>
    </row>
    <row r="386" spans="3:28" s="30" customFormat="1" ht="12" x14ac:dyDescent="0.2">
      <c r="C386" s="77">
        <f>'1. Accomodation'!N381</f>
        <v>0</v>
      </c>
      <c r="D386" s="77">
        <f>'1. Accomodation'!P381</f>
        <v>0</v>
      </c>
      <c r="E386" s="77">
        <f>'1. Accomodation'!O381</f>
        <v>0</v>
      </c>
      <c r="G386" s="341">
        <f>IFERROR(INDEX('4. Valuation'!$C$10:$I$17,MATCH($D386,'4. Valuation'!$C$10:$C$17,0),MATCH($G$25,'4. Valuation'!$C$10:$I$10,0)),0)</f>
        <v>0</v>
      </c>
      <c r="H386" s="273">
        <f>IFERROR(INDEX('4. Valuation'!$C$10:$I$17,MATCH($D386,'4. Valuation'!$C$10:$C$17,0),MATCH($H$25,'4. Valuation'!$C$10:$I$10,0)),0)</f>
        <v>0</v>
      </c>
      <c r="I386" s="359" t="str">
        <f>IFERROR(INDEX('4. Valuation'!$C$10:$I$17,MATCH($D386,'4. Valuation'!$C$10:$C$17,0),MATCH($I$25,'4. Valuation'!$C$10:$I$10,0)),0)</f>
        <v>-</v>
      </c>
      <c r="J386" s="277"/>
      <c r="K386" s="312">
        <f t="shared" si="75"/>
        <v>0</v>
      </c>
      <c r="L386" s="312">
        <f t="shared" si="76"/>
        <v>0</v>
      </c>
      <c r="M386" s="359">
        <f t="shared" si="77"/>
        <v>0</v>
      </c>
      <c r="N386" s="278"/>
      <c r="O386" s="278"/>
      <c r="P386" s="278"/>
      <c r="Q386" s="278"/>
      <c r="R386" s="312">
        <f>IFERROR(INDEX('4. Valuation'!$O$10:$X$17,MATCH($D386,'4. Valuation'!$O$10:$O$17,0),MATCH($R$25,'4. Valuation'!$O$10:$X$10,0)),0)</f>
        <v>0</v>
      </c>
      <c r="S386" s="312">
        <f>IFERROR(INDEX('4. Valuation'!$O$10:$X$17,MATCH($D386,'4. Valuation'!$O$10:$O$17,0),MATCH($S$25,'4. Valuation'!$O$10:$X$10,0)),0)</f>
        <v>0</v>
      </c>
      <c r="T386" s="312" t="str">
        <f>IFERROR(INDEX('4. Valuation'!$O$10:$X$17,MATCH($D386,'4. Valuation'!$O$10:$O$17,0),MATCH($T$25,'4. Valuation'!$O$10:$X$10,0)),0)</f>
        <v>-</v>
      </c>
      <c r="U386" s="278"/>
      <c r="V386" s="312">
        <f t="shared" si="78"/>
        <v>0</v>
      </c>
      <c r="W386" s="312">
        <f t="shared" si="79"/>
        <v>0</v>
      </c>
      <c r="X386" s="312">
        <f t="shared" si="80"/>
        <v>0</v>
      </c>
      <c r="Y386" s="278"/>
      <c r="Z386" s="312">
        <f t="shared" si="81"/>
        <v>0</v>
      </c>
      <c r="AA386" s="312">
        <f>'3. GRI Pricing'!Y377</f>
        <v>0</v>
      </c>
      <c r="AB386" s="359">
        <f t="shared" si="82"/>
        <v>0</v>
      </c>
    </row>
    <row r="387" spans="3:28" s="30" customFormat="1" ht="12" x14ac:dyDescent="0.2">
      <c r="C387" s="77">
        <f>'1. Accomodation'!N382</f>
        <v>0</v>
      </c>
      <c r="D387" s="77">
        <f>'1. Accomodation'!P382</f>
        <v>0</v>
      </c>
      <c r="E387" s="77">
        <f>'1. Accomodation'!O382</f>
        <v>0</v>
      </c>
      <c r="G387" s="341">
        <f>IFERROR(INDEX('4. Valuation'!$C$10:$I$17,MATCH($D387,'4. Valuation'!$C$10:$C$17,0),MATCH($G$25,'4. Valuation'!$C$10:$I$10,0)),0)</f>
        <v>0</v>
      </c>
      <c r="H387" s="273">
        <f>IFERROR(INDEX('4. Valuation'!$C$10:$I$17,MATCH($D387,'4. Valuation'!$C$10:$C$17,0),MATCH($H$25,'4. Valuation'!$C$10:$I$10,0)),0)</f>
        <v>0</v>
      </c>
      <c r="I387" s="359" t="str">
        <f>IFERROR(INDEX('4. Valuation'!$C$10:$I$17,MATCH($D387,'4. Valuation'!$C$10:$C$17,0),MATCH($I$25,'4. Valuation'!$C$10:$I$10,0)),0)</f>
        <v>-</v>
      </c>
      <c r="J387" s="277"/>
      <c r="K387" s="312">
        <f t="shared" si="75"/>
        <v>0</v>
      </c>
      <c r="L387" s="312">
        <f t="shared" si="76"/>
        <v>0</v>
      </c>
      <c r="M387" s="359">
        <f t="shared" si="77"/>
        <v>0</v>
      </c>
      <c r="N387" s="278"/>
      <c r="O387" s="278"/>
      <c r="P387" s="278"/>
      <c r="Q387" s="278"/>
      <c r="R387" s="312">
        <f>IFERROR(INDEX('4. Valuation'!$O$10:$X$17,MATCH($D387,'4. Valuation'!$O$10:$O$17,0),MATCH($R$25,'4. Valuation'!$O$10:$X$10,0)),0)</f>
        <v>0</v>
      </c>
      <c r="S387" s="312">
        <f>IFERROR(INDEX('4. Valuation'!$O$10:$X$17,MATCH($D387,'4. Valuation'!$O$10:$O$17,0),MATCH($S$25,'4. Valuation'!$O$10:$X$10,0)),0)</f>
        <v>0</v>
      </c>
      <c r="T387" s="312" t="str">
        <f>IFERROR(INDEX('4. Valuation'!$O$10:$X$17,MATCH($D387,'4. Valuation'!$O$10:$O$17,0),MATCH($T$25,'4. Valuation'!$O$10:$X$10,0)),0)</f>
        <v>-</v>
      </c>
      <c r="U387" s="278"/>
      <c r="V387" s="312">
        <f t="shared" si="78"/>
        <v>0</v>
      </c>
      <c r="W387" s="312">
        <f t="shared" si="79"/>
        <v>0</v>
      </c>
      <c r="X387" s="312">
        <f t="shared" si="80"/>
        <v>0</v>
      </c>
      <c r="Y387" s="278"/>
      <c r="Z387" s="312">
        <f t="shared" si="81"/>
        <v>0</v>
      </c>
      <c r="AA387" s="312">
        <f>'3. GRI Pricing'!Y378</f>
        <v>0</v>
      </c>
      <c r="AB387" s="359">
        <f t="shared" si="82"/>
        <v>0</v>
      </c>
    </row>
    <row r="388" spans="3:28" s="30" customFormat="1" ht="12" x14ac:dyDescent="0.2">
      <c r="C388" s="77">
        <f>'1. Accomodation'!N383</f>
        <v>0</v>
      </c>
      <c r="D388" s="77">
        <f>'1. Accomodation'!P383</f>
        <v>0</v>
      </c>
      <c r="E388" s="77">
        <f>'1. Accomodation'!O383</f>
        <v>0</v>
      </c>
      <c r="G388" s="341">
        <f>IFERROR(INDEX('4. Valuation'!$C$10:$I$17,MATCH($D388,'4. Valuation'!$C$10:$C$17,0),MATCH($G$25,'4. Valuation'!$C$10:$I$10,0)),0)</f>
        <v>0</v>
      </c>
      <c r="H388" s="273">
        <f>IFERROR(INDEX('4. Valuation'!$C$10:$I$17,MATCH($D388,'4. Valuation'!$C$10:$C$17,0),MATCH($H$25,'4. Valuation'!$C$10:$I$10,0)),0)</f>
        <v>0</v>
      </c>
      <c r="I388" s="359" t="str">
        <f>IFERROR(INDEX('4. Valuation'!$C$10:$I$17,MATCH($D388,'4. Valuation'!$C$10:$C$17,0),MATCH($I$25,'4. Valuation'!$C$10:$I$10,0)),0)</f>
        <v>-</v>
      </c>
      <c r="J388" s="277"/>
      <c r="K388" s="312">
        <f t="shared" si="75"/>
        <v>0</v>
      </c>
      <c r="L388" s="312">
        <f t="shared" si="76"/>
        <v>0</v>
      </c>
      <c r="M388" s="359">
        <f t="shared" si="77"/>
        <v>0</v>
      </c>
      <c r="N388" s="278"/>
      <c r="O388" s="278"/>
      <c r="P388" s="278"/>
      <c r="Q388" s="278"/>
      <c r="R388" s="312">
        <f>IFERROR(INDEX('4. Valuation'!$O$10:$X$17,MATCH($D388,'4. Valuation'!$O$10:$O$17,0),MATCH($R$25,'4. Valuation'!$O$10:$X$10,0)),0)</f>
        <v>0</v>
      </c>
      <c r="S388" s="312">
        <f>IFERROR(INDEX('4. Valuation'!$O$10:$X$17,MATCH($D388,'4. Valuation'!$O$10:$O$17,0),MATCH($S$25,'4. Valuation'!$O$10:$X$10,0)),0)</f>
        <v>0</v>
      </c>
      <c r="T388" s="312" t="str">
        <f>IFERROR(INDEX('4. Valuation'!$O$10:$X$17,MATCH($D388,'4. Valuation'!$O$10:$O$17,0),MATCH($T$25,'4. Valuation'!$O$10:$X$10,0)),0)</f>
        <v>-</v>
      </c>
      <c r="U388" s="278"/>
      <c r="V388" s="312">
        <f t="shared" si="78"/>
        <v>0</v>
      </c>
      <c r="W388" s="312">
        <f t="shared" si="79"/>
        <v>0</v>
      </c>
      <c r="X388" s="312">
        <f t="shared" si="80"/>
        <v>0</v>
      </c>
      <c r="Y388" s="278"/>
      <c r="Z388" s="312">
        <f t="shared" si="81"/>
        <v>0</v>
      </c>
      <c r="AA388" s="312">
        <f>'3. GRI Pricing'!Y379</f>
        <v>0</v>
      </c>
      <c r="AB388" s="359">
        <f t="shared" si="82"/>
        <v>0</v>
      </c>
    </row>
    <row r="389" spans="3:28" s="30" customFormat="1" ht="12" x14ac:dyDescent="0.2">
      <c r="C389" s="77">
        <f>'1. Accomodation'!N384</f>
        <v>0</v>
      </c>
      <c r="D389" s="77">
        <f>'1. Accomodation'!P384</f>
        <v>0</v>
      </c>
      <c r="E389" s="77">
        <f>'1. Accomodation'!O384</f>
        <v>0</v>
      </c>
      <c r="G389" s="341">
        <f>IFERROR(INDEX('4. Valuation'!$C$10:$I$17,MATCH($D389,'4. Valuation'!$C$10:$C$17,0),MATCH($G$25,'4. Valuation'!$C$10:$I$10,0)),0)</f>
        <v>0</v>
      </c>
      <c r="H389" s="273">
        <f>IFERROR(INDEX('4. Valuation'!$C$10:$I$17,MATCH($D389,'4. Valuation'!$C$10:$C$17,0),MATCH($H$25,'4. Valuation'!$C$10:$I$10,0)),0)</f>
        <v>0</v>
      </c>
      <c r="I389" s="359" t="str">
        <f>IFERROR(INDEX('4. Valuation'!$C$10:$I$17,MATCH($D389,'4. Valuation'!$C$10:$C$17,0),MATCH($I$25,'4. Valuation'!$C$10:$I$10,0)),0)</f>
        <v>-</v>
      </c>
      <c r="J389" s="277"/>
      <c r="K389" s="312">
        <f t="shared" si="75"/>
        <v>0</v>
      </c>
      <c r="L389" s="312">
        <f t="shared" si="76"/>
        <v>0</v>
      </c>
      <c r="M389" s="359">
        <f t="shared" si="77"/>
        <v>0</v>
      </c>
      <c r="N389" s="278"/>
      <c r="O389" s="278"/>
      <c r="P389" s="278"/>
      <c r="Q389" s="278"/>
      <c r="R389" s="312">
        <f>IFERROR(INDEX('4. Valuation'!$O$10:$X$17,MATCH($D389,'4. Valuation'!$O$10:$O$17,0),MATCH($R$25,'4. Valuation'!$O$10:$X$10,0)),0)</f>
        <v>0</v>
      </c>
      <c r="S389" s="312">
        <f>IFERROR(INDEX('4. Valuation'!$O$10:$X$17,MATCH($D389,'4. Valuation'!$O$10:$O$17,0),MATCH($S$25,'4. Valuation'!$O$10:$X$10,0)),0)</f>
        <v>0</v>
      </c>
      <c r="T389" s="312" t="str">
        <f>IFERROR(INDEX('4. Valuation'!$O$10:$X$17,MATCH($D389,'4. Valuation'!$O$10:$O$17,0),MATCH($T$25,'4. Valuation'!$O$10:$X$10,0)),0)</f>
        <v>-</v>
      </c>
      <c r="U389" s="278"/>
      <c r="V389" s="312">
        <f t="shared" si="78"/>
        <v>0</v>
      </c>
      <c r="W389" s="312">
        <f t="shared" si="79"/>
        <v>0</v>
      </c>
      <c r="X389" s="312">
        <f t="shared" si="80"/>
        <v>0</v>
      </c>
      <c r="Y389" s="278"/>
      <c r="Z389" s="312">
        <f t="shared" si="81"/>
        <v>0</v>
      </c>
      <c r="AA389" s="312">
        <f>'3. GRI Pricing'!Y380</f>
        <v>0</v>
      </c>
      <c r="AB389" s="359">
        <f t="shared" si="82"/>
        <v>0</v>
      </c>
    </row>
    <row r="390" spans="3:28" s="30" customFormat="1" ht="12" x14ac:dyDescent="0.2">
      <c r="C390" s="77">
        <f>'1. Accomodation'!N385</f>
        <v>0</v>
      </c>
      <c r="D390" s="77">
        <f>'1. Accomodation'!P385</f>
        <v>0</v>
      </c>
      <c r="E390" s="77">
        <f>'1. Accomodation'!O385</f>
        <v>0</v>
      </c>
      <c r="G390" s="341">
        <f>IFERROR(INDEX('4. Valuation'!$C$10:$I$17,MATCH($D390,'4. Valuation'!$C$10:$C$17,0),MATCH($G$25,'4. Valuation'!$C$10:$I$10,0)),0)</f>
        <v>0</v>
      </c>
      <c r="H390" s="273">
        <f>IFERROR(INDEX('4. Valuation'!$C$10:$I$17,MATCH($D390,'4. Valuation'!$C$10:$C$17,0),MATCH($H$25,'4. Valuation'!$C$10:$I$10,0)),0)</f>
        <v>0</v>
      </c>
      <c r="I390" s="359" t="str">
        <f>IFERROR(INDEX('4. Valuation'!$C$10:$I$17,MATCH($D390,'4. Valuation'!$C$10:$C$17,0),MATCH($I$25,'4. Valuation'!$C$10:$I$10,0)),0)</f>
        <v>-</v>
      </c>
      <c r="J390" s="277"/>
      <c r="K390" s="312">
        <f t="shared" si="75"/>
        <v>0</v>
      </c>
      <c r="L390" s="312">
        <f t="shared" si="76"/>
        <v>0</v>
      </c>
      <c r="M390" s="359">
        <f t="shared" si="77"/>
        <v>0</v>
      </c>
      <c r="N390" s="278"/>
      <c r="O390" s="278"/>
      <c r="P390" s="278"/>
      <c r="Q390" s="278"/>
      <c r="R390" s="312">
        <f>IFERROR(INDEX('4. Valuation'!$O$10:$X$17,MATCH($D390,'4. Valuation'!$O$10:$O$17,0),MATCH($R$25,'4. Valuation'!$O$10:$X$10,0)),0)</f>
        <v>0</v>
      </c>
      <c r="S390" s="312">
        <f>IFERROR(INDEX('4. Valuation'!$O$10:$X$17,MATCH($D390,'4. Valuation'!$O$10:$O$17,0),MATCH($S$25,'4. Valuation'!$O$10:$X$10,0)),0)</f>
        <v>0</v>
      </c>
      <c r="T390" s="312" t="str">
        <f>IFERROR(INDEX('4. Valuation'!$O$10:$X$17,MATCH($D390,'4. Valuation'!$O$10:$O$17,0),MATCH($T$25,'4. Valuation'!$O$10:$X$10,0)),0)</f>
        <v>-</v>
      </c>
      <c r="U390" s="278"/>
      <c r="V390" s="312">
        <f t="shared" si="78"/>
        <v>0</v>
      </c>
      <c r="W390" s="312">
        <f t="shared" si="79"/>
        <v>0</v>
      </c>
      <c r="X390" s="312">
        <f t="shared" si="80"/>
        <v>0</v>
      </c>
      <c r="Y390" s="278"/>
      <c r="Z390" s="312">
        <f t="shared" si="81"/>
        <v>0</v>
      </c>
      <c r="AA390" s="312">
        <f>'3. GRI Pricing'!Y381</f>
        <v>0</v>
      </c>
      <c r="AB390" s="359">
        <f t="shared" si="82"/>
        <v>0</v>
      </c>
    </row>
    <row r="391" spans="3:28" s="30" customFormat="1" ht="12" x14ac:dyDescent="0.2">
      <c r="C391" s="77">
        <f>'1. Accomodation'!N386</f>
        <v>0</v>
      </c>
      <c r="D391" s="77">
        <f>'1. Accomodation'!P386</f>
        <v>0</v>
      </c>
      <c r="E391" s="77">
        <f>'1. Accomodation'!O386</f>
        <v>0</v>
      </c>
      <c r="G391" s="341">
        <f>IFERROR(INDEX('4. Valuation'!$C$10:$I$17,MATCH($D391,'4. Valuation'!$C$10:$C$17,0),MATCH($G$25,'4. Valuation'!$C$10:$I$10,0)),0)</f>
        <v>0</v>
      </c>
      <c r="H391" s="273">
        <f>IFERROR(INDEX('4. Valuation'!$C$10:$I$17,MATCH($D391,'4. Valuation'!$C$10:$C$17,0),MATCH($H$25,'4. Valuation'!$C$10:$I$10,0)),0)</f>
        <v>0</v>
      </c>
      <c r="I391" s="359" t="str">
        <f>IFERROR(INDEX('4. Valuation'!$C$10:$I$17,MATCH($D391,'4. Valuation'!$C$10:$C$17,0),MATCH($I$25,'4. Valuation'!$C$10:$I$10,0)),0)</f>
        <v>-</v>
      </c>
      <c r="J391" s="277"/>
      <c r="K391" s="312">
        <f t="shared" si="75"/>
        <v>0</v>
      </c>
      <c r="L391" s="312">
        <f t="shared" si="76"/>
        <v>0</v>
      </c>
      <c r="M391" s="359">
        <f t="shared" si="77"/>
        <v>0</v>
      </c>
      <c r="N391" s="278"/>
      <c r="O391" s="278"/>
      <c r="P391" s="278"/>
      <c r="Q391" s="278"/>
      <c r="R391" s="312">
        <f>IFERROR(INDEX('4. Valuation'!$O$10:$X$17,MATCH($D391,'4. Valuation'!$O$10:$O$17,0),MATCH($R$25,'4. Valuation'!$O$10:$X$10,0)),0)</f>
        <v>0</v>
      </c>
      <c r="S391" s="312">
        <f>IFERROR(INDEX('4. Valuation'!$O$10:$X$17,MATCH($D391,'4. Valuation'!$O$10:$O$17,0),MATCH($S$25,'4. Valuation'!$O$10:$X$10,0)),0)</f>
        <v>0</v>
      </c>
      <c r="T391" s="312" t="str">
        <f>IFERROR(INDEX('4. Valuation'!$O$10:$X$17,MATCH($D391,'4. Valuation'!$O$10:$O$17,0),MATCH($T$25,'4. Valuation'!$O$10:$X$10,0)),0)</f>
        <v>-</v>
      </c>
      <c r="U391" s="278"/>
      <c r="V391" s="312">
        <f t="shared" si="78"/>
        <v>0</v>
      </c>
      <c r="W391" s="312">
        <f t="shared" si="79"/>
        <v>0</v>
      </c>
      <c r="X391" s="312">
        <f t="shared" si="80"/>
        <v>0</v>
      </c>
      <c r="Y391" s="278"/>
      <c r="Z391" s="312">
        <f t="shared" si="81"/>
        <v>0</v>
      </c>
      <c r="AA391" s="312">
        <f>'3. GRI Pricing'!Y382</f>
        <v>0</v>
      </c>
      <c r="AB391" s="359">
        <f t="shared" si="82"/>
        <v>0</v>
      </c>
    </row>
    <row r="392" spans="3:28" s="30" customFormat="1" ht="12" x14ac:dyDescent="0.2">
      <c r="C392" s="77">
        <f>'1. Accomodation'!N387</f>
        <v>0</v>
      </c>
      <c r="D392" s="77">
        <f>'1. Accomodation'!P387</f>
        <v>0</v>
      </c>
      <c r="E392" s="77">
        <f>'1. Accomodation'!O387</f>
        <v>0</v>
      </c>
      <c r="G392" s="341">
        <f>IFERROR(INDEX('4. Valuation'!$C$10:$I$17,MATCH($D392,'4. Valuation'!$C$10:$C$17,0),MATCH($G$25,'4. Valuation'!$C$10:$I$10,0)),0)</f>
        <v>0</v>
      </c>
      <c r="H392" s="273">
        <f>IFERROR(INDEX('4. Valuation'!$C$10:$I$17,MATCH($D392,'4. Valuation'!$C$10:$C$17,0),MATCH($H$25,'4. Valuation'!$C$10:$I$10,0)),0)</f>
        <v>0</v>
      </c>
      <c r="I392" s="359" t="str">
        <f>IFERROR(INDEX('4. Valuation'!$C$10:$I$17,MATCH($D392,'4. Valuation'!$C$10:$C$17,0),MATCH($I$25,'4. Valuation'!$C$10:$I$10,0)),0)</f>
        <v>-</v>
      </c>
      <c r="J392" s="277"/>
      <c r="K392" s="312">
        <f t="shared" si="75"/>
        <v>0</v>
      </c>
      <c r="L392" s="312">
        <f t="shared" si="76"/>
        <v>0</v>
      </c>
      <c r="M392" s="359">
        <f t="shared" si="77"/>
        <v>0</v>
      </c>
      <c r="N392" s="278"/>
      <c r="O392" s="278"/>
      <c r="P392" s="278"/>
      <c r="Q392" s="278"/>
      <c r="R392" s="312">
        <f>IFERROR(INDEX('4. Valuation'!$O$10:$X$17,MATCH($D392,'4. Valuation'!$O$10:$O$17,0),MATCH($R$25,'4. Valuation'!$O$10:$X$10,0)),0)</f>
        <v>0</v>
      </c>
      <c r="S392" s="312">
        <f>IFERROR(INDEX('4. Valuation'!$O$10:$X$17,MATCH($D392,'4. Valuation'!$O$10:$O$17,0),MATCH($S$25,'4. Valuation'!$O$10:$X$10,0)),0)</f>
        <v>0</v>
      </c>
      <c r="T392" s="312" t="str">
        <f>IFERROR(INDEX('4. Valuation'!$O$10:$X$17,MATCH($D392,'4. Valuation'!$O$10:$O$17,0),MATCH($T$25,'4. Valuation'!$O$10:$X$10,0)),0)</f>
        <v>-</v>
      </c>
      <c r="U392" s="278"/>
      <c r="V392" s="312">
        <f t="shared" si="78"/>
        <v>0</v>
      </c>
      <c r="W392" s="312">
        <f t="shared" si="79"/>
        <v>0</v>
      </c>
      <c r="X392" s="312">
        <f t="shared" si="80"/>
        <v>0</v>
      </c>
      <c r="Y392" s="278"/>
      <c r="Z392" s="312">
        <f t="shared" si="81"/>
        <v>0</v>
      </c>
      <c r="AA392" s="312">
        <f>'3. GRI Pricing'!Y383</f>
        <v>0</v>
      </c>
      <c r="AB392" s="359">
        <f t="shared" si="82"/>
        <v>0</v>
      </c>
    </row>
    <row r="393" spans="3:28" s="30" customFormat="1" ht="12" x14ac:dyDescent="0.2">
      <c r="C393" s="77">
        <f>'1. Accomodation'!N388</f>
        <v>0</v>
      </c>
      <c r="D393" s="77">
        <f>'1. Accomodation'!P388</f>
        <v>0</v>
      </c>
      <c r="E393" s="77">
        <f>'1. Accomodation'!O388</f>
        <v>0</v>
      </c>
      <c r="G393" s="341">
        <f>IFERROR(INDEX('4. Valuation'!$C$10:$I$17,MATCH($D393,'4. Valuation'!$C$10:$C$17,0),MATCH($G$25,'4. Valuation'!$C$10:$I$10,0)),0)</f>
        <v>0</v>
      </c>
      <c r="H393" s="273">
        <f>IFERROR(INDEX('4. Valuation'!$C$10:$I$17,MATCH($D393,'4. Valuation'!$C$10:$C$17,0),MATCH($H$25,'4. Valuation'!$C$10:$I$10,0)),0)</f>
        <v>0</v>
      </c>
      <c r="I393" s="359" t="str">
        <f>IFERROR(INDEX('4. Valuation'!$C$10:$I$17,MATCH($D393,'4. Valuation'!$C$10:$C$17,0),MATCH($I$25,'4. Valuation'!$C$10:$I$10,0)),0)</f>
        <v>-</v>
      </c>
      <c r="J393" s="277"/>
      <c r="K393" s="312">
        <f t="shared" si="75"/>
        <v>0</v>
      </c>
      <c r="L393" s="312">
        <f t="shared" si="76"/>
        <v>0</v>
      </c>
      <c r="M393" s="359">
        <f t="shared" si="77"/>
        <v>0</v>
      </c>
      <c r="N393" s="278"/>
      <c r="O393" s="278"/>
      <c r="P393" s="278"/>
      <c r="Q393" s="278"/>
      <c r="R393" s="312">
        <f>IFERROR(INDEX('4. Valuation'!$O$10:$X$17,MATCH($D393,'4. Valuation'!$O$10:$O$17,0),MATCH($R$25,'4. Valuation'!$O$10:$X$10,0)),0)</f>
        <v>0</v>
      </c>
      <c r="S393" s="312">
        <f>IFERROR(INDEX('4. Valuation'!$O$10:$X$17,MATCH($D393,'4. Valuation'!$O$10:$O$17,0),MATCH($S$25,'4. Valuation'!$O$10:$X$10,0)),0)</f>
        <v>0</v>
      </c>
      <c r="T393" s="312" t="str">
        <f>IFERROR(INDEX('4. Valuation'!$O$10:$X$17,MATCH($D393,'4. Valuation'!$O$10:$O$17,0),MATCH($T$25,'4. Valuation'!$O$10:$X$10,0)),0)</f>
        <v>-</v>
      </c>
      <c r="U393" s="278"/>
      <c r="V393" s="312">
        <f t="shared" si="78"/>
        <v>0</v>
      </c>
      <c r="W393" s="312">
        <f t="shared" si="79"/>
        <v>0</v>
      </c>
      <c r="X393" s="312">
        <f t="shared" si="80"/>
        <v>0</v>
      </c>
      <c r="Y393" s="278"/>
      <c r="Z393" s="312">
        <f t="shared" si="81"/>
        <v>0</v>
      </c>
      <c r="AA393" s="312">
        <f>'3. GRI Pricing'!Y384</f>
        <v>0</v>
      </c>
      <c r="AB393" s="359">
        <f t="shared" si="82"/>
        <v>0</v>
      </c>
    </row>
    <row r="394" spans="3:28" s="30" customFormat="1" ht="12" x14ac:dyDescent="0.2">
      <c r="C394" s="77">
        <f>'1. Accomodation'!N389</f>
        <v>0</v>
      </c>
      <c r="D394" s="77">
        <f>'1. Accomodation'!P389</f>
        <v>0</v>
      </c>
      <c r="E394" s="77">
        <f>'1. Accomodation'!O389</f>
        <v>0</v>
      </c>
      <c r="G394" s="341">
        <f>IFERROR(INDEX('4. Valuation'!$C$10:$I$17,MATCH($D394,'4. Valuation'!$C$10:$C$17,0),MATCH($G$25,'4. Valuation'!$C$10:$I$10,0)),0)</f>
        <v>0</v>
      </c>
      <c r="H394" s="273">
        <f>IFERROR(INDEX('4. Valuation'!$C$10:$I$17,MATCH($D394,'4. Valuation'!$C$10:$C$17,0),MATCH($H$25,'4. Valuation'!$C$10:$I$10,0)),0)</f>
        <v>0</v>
      </c>
      <c r="I394" s="359" t="str">
        <f>IFERROR(INDEX('4. Valuation'!$C$10:$I$17,MATCH($D394,'4. Valuation'!$C$10:$C$17,0),MATCH($I$25,'4. Valuation'!$C$10:$I$10,0)),0)</f>
        <v>-</v>
      </c>
      <c r="J394" s="277"/>
      <c r="K394" s="312">
        <f t="shared" si="75"/>
        <v>0</v>
      </c>
      <c r="L394" s="312">
        <f t="shared" si="76"/>
        <v>0</v>
      </c>
      <c r="M394" s="359">
        <f t="shared" si="77"/>
        <v>0</v>
      </c>
      <c r="N394" s="278"/>
      <c r="O394" s="278"/>
      <c r="P394" s="278"/>
      <c r="Q394" s="278"/>
      <c r="R394" s="312">
        <f>IFERROR(INDEX('4. Valuation'!$O$10:$X$17,MATCH($D394,'4. Valuation'!$O$10:$O$17,0),MATCH($R$25,'4. Valuation'!$O$10:$X$10,0)),0)</f>
        <v>0</v>
      </c>
      <c r="S394" s="312">
        <f>IFERROR(INDEX('4. Valuation'!$O$10:$X$17,MATCH($D394,'4. Valuation'!$O$10:$O$17,0),MATCH($S$25,'4. Valuation'!$O$10:$X$10,0)),0)</f>
        <v>0</v>
      </c>
      <c r="T394" s="312" t="str">
        <f>IFERROR(INDEX('4. Valuation'!$O$10:$X$17,MATCH($D394,'4. Valuation'!$O$10:$O$17,0),MATCH($T$25,'4. Valuation'!$O$10:$X$10,0)),0)</f>
        <v>-</v>
      </c>
      <c r="U394" s="278"/>
      <c r="V394" s="312">
        <f t="shared" si="78"/>
        <v>0</v>
      </c>
      <c r="W394" s="312">
        <f t="shared" si="79"/>
        <v>0</v>
      </c>
      <c r="X394" s="312">
        <f t="shared" si="80"/>
        <v>0</v>
      </c>
      <c r="Y394" s="278"/>
      <c r="Z394" s="312">
        <f t="shared" si="81"/>
        <v>0</v>
      </c>
      <c r="AA394" s="312">
        <f>'3. GRI Pricing'!Y385</f>
        <v>0</v>
      </c>
      <c r="AB394" s="359">
        <f t="shared" si="82"/>
        <v>0</v>
      </c>
    </row>
    <row r="395" spans="3:28" s="30" customFormat="1" ht="12" x14ac:dyDescent="0.2">
      <c r="C395" s="77">
        <f>'1. Accomodation'!N390</f>
        <v>0</v>
      </c>
      <c r="D395" s="77">
        <f>'1. Accomodation'!P390</f>
        <v>0</v>
      </c>
      <c r="E395" s="77">
        <f>'1. Accomodation'!O390</f>
        <v>0</v>
      </c>
      <c r="G395" s="341">
        <f>IFERROR(INDEX('4. Valuation'!$C$10:$I$17,MATCH($D395,'4. Valuation'!$C$10:$C$17,0),MATCH($G$25,'4. Valuation'!$C$10:$I$10,0)),0)</f>
        <v>0</v>
      </c>
      <c r="H395" s="273">
        <f>IFERROR(INDEX('4. Valuation'!$C$10:$I$17,MATCH($D395,'4. Valuation'!$C$10:$C$17,0),MATCH($H$25,'4. Valuation'!$C$10:$I$10,0)),0)</f>
        <v>0</v>
      </c>
      <c r="I395" s="359" t="str">
        <f>IFERROR(INDEX('4. Valuation'!$C$10:$I$17,MATCH($D395,'4. Valuation'!$C$10:$C$17,0),MATCH($I$25,'4. Valuation'!$C$10:$I$10,0)),0)</f>
        <v>-</v>
      </c>
      <c r="J395" s="277"/>
      <c r="K395" s="312">
        <f t="shared" si="75"/>
        <v>0</v>
      </c>
      <c r="L395" s="312">
        <f t="shared" si="76"/>
        <v>0</v>
      </c>
      <c r="M395" s="359">
        <f t="shared" si="77"/>
        <v>0</v>
      </c>
      <c r="N395" s="278"/>
      <c r="O395" s="278"/>
      <c r="P395" s="278"/>
      <c r="Q395" s="278"/>
      <c r="R395" s="312">
        <f>IFERROR(INDEX('4. Valuation'!$O$10:$X$17,MATCH($D395,'4. Valuation'!$O$10:$O$17,0),MATCH($R$25,'4. Valuation'!$O$10:$X$10,0)),0)</f>
        <v>0</v>
      </c>
      <c r="S395" s="312">
        <f>IFERROR(INDEX('4. Valuation'!$O$10:$X$17,MATCH($D395,'4. Valuation'!$O$10:$O$17,0),MATCH($S$25,'4. Valuation'!$O$10:$X$10,0)),0)</f>
        <v>0</v>
      </c>
      <c r="T395" s="312" t="str">
        <f>IFERROR(INDEX('4. Valuation'!$O$10:$X$17,MATCH($D395,'4. Valuation'!$O$10:$O$17,0),MATCH($T$25,'4. Valuation'!$O$10:$X$10,0)),0)</f>
        <v>-</v>
      </c>
      <c r="U395" s="278"/>
      <c r="V395" s="312">
        <f t="shared" si="78"/>
        <v>0</v>
      </c>
      <c r="W395" s="312">
        <f t="shared" si="79"/>
        <v>0</v>
      </c>
      <c r="X395" s="312">
        <f t="shared" si="80"/>
        <v>0</v>
      </c>
      <c r="Y395" s="278"/>
      <c r="Z395" s="312">
        <f t="shared" si="81"/>
        <v>0</v>
      </c>
      <c r="AA395" s="312">
        <f>'3. GRI Pricing'!Y386</f>
        <v>0</v>
      </c>
      <c r="AB395" s="359">
        <f t="shared" si="82"/>
        <v>0</v>
      </c>
    </row>
    <row r="396" spans="3:28" s="30" customFormat="1" ht="12" x14ac:dyDescent="0.2">
      <c r="C396" s="77">
        <f>'1. Accomodation'!N391</f>
        <v>0</v>
      </c>
      <c r="D396" s="77">
        <f>'1. Accomodation'!P391</f>
        <v>0</v>
      </c>
      <c r="E396" s="77">
        <f>'1. Accomodation'!O391</f>
        <v>0</v>
      </c>
      <c r="G396" s="341">
        <f>IFERROR(INDEX('4. Valuation'!$C$10:$I$17,MATCH($D396,'4. Valuation'!$C$10:$C$17,0),MATCH($G$25,'4. Valuation'!$C$10:$I$10,0)),0)</f>
        <v>0</v>
      </c>
      <c r="H396" s="273">
        <f>IFERROR(INDEX('4. Valuation'!$C$10:$I$17,MATCH($D396,'4. Valuation'!$C$10:$C$17,0),MATCH($H$25,'4. Valuation'!$C$10:$I$10,0)),0)</f>
        <v>0</v>
      </c>
      <c r="I396" s="359" t="str">
        <f>IFERROR(INDEX('4. Valuation'!$C$10:$I$17,MATCH($D396,'4. Valuation'!$C$10:$C$17,0),MATCH($I$25,'4. Valuation'!$C$10:$I$10,0)),0)</f>
        <v>-</v>
      </c>
      <c r="J396" s="277"/>
      <c r="K396" s="312">
        <f t="shared" si="75"/>
        <v>0</v>
      </c>
      <c r="L396" s="312">
        <f t="shared" si="76"/>
        <v>0</v>
      </c>
      <c r="M396" s="359">
        <f t="shared" si="77"/>
        <v>0</v>
      </c>
      <c r="N396" s="278"/>
      <c r="O396" s="278"/>
      <c r="P396" s="278"/>
      <c r="Q396" s="278"/>
      <c r="R396" s="312">
        <f>IFERROR(INDEX('4. Valuation'!$O$10:$X$17,MATCH($D396,'4. Valuation'!$O$10:$O$17,0),MATCH($R$25,'4. Valuation'!$O$10:$X$10,0)),0)</f>
        <v>0</v>
      </c>
      <c r="S396" s="312">
        <f>IFERROR(INDEX('4. Valuation'!$O$10:$X$17,MATCH($D396,'4. Valuation'!$O$10:$O$17,0),MATCH($S$25,'4. Valuation'!$O$10:$X$10,0)),0)</f>
        <v>0</v>
      </c>
      <c r="T396" s="312" t="str">
        <f>IFERROR(INDEX('4. Valuation'!$O$10:$X$17,MATCH($D396,'4. Valuation'!$O$10:$O$17,0),MATCH($T$25,'4. Valuation'!$O$10:$X$10,0)),0)</f>
        <v>-</v>
      </c>
      <c r="U396" s="278"/>
      <c r="V396" s="312">
        <f t="shared" si="78"/>
        <v>0</v>
      </c>
      <c r="W396" s="312">
        <f t="shared" si="79"/>
        <v>0</v>
      </c>
      <c r="X396" s="312">
        <f t="shared" si="80"/>
        <v>0</v>
      </c>
      <c r="Y396" s="278"/>
      <c r="Z396" s="312">
        <f t="shared" si="81"/>
        <v>0</v>
      </c>
      <c r="AA396" s="312">
        <f>'3. GRI Pricing'!Y387</f>
        <v>0</v>
      </c>
      <c r="AB396" s="359">
        <f t="shared" si="82"/>
        <v>0</v>
      </c>
    </row>
    <row r="397" spans="3:28" s="30" customFormat="1" ht="12" x14ac:dyDescent="0.2">
      <c r="C397" s="77">
        <f>'1. Accomodation'!N392</f>
        <v>0</v>
      </c>
      <c r="D397" s="77">
        <f>'1. Accomodation'!P392</f>
        <v>0</v>
      </c>
      <c r="E397" s="77">
        <f>'1. Accomodation'!O392</f>
        <v>0</v>
      </c>
      <c r="G397" s="341">
        <f>IFERROR(INDEX('4. Valuation'!$C$10:$I$17,MATCH($D397,'4. Valuation'!$C$10:$C$17,0),MATCH($G$25,'4. Valuation'!$C$10:$I$10,0)),0)</f>
        <v>0</v>
      </c>
      <c r="H397" s="273">
        <f>IFERROR(INDEX('4. Valuation'!$C$10:$I$17,MATCH($D397,'4. Valuation'!$C$10:$C$17,0),MATCH($H$25,'4. Valuation'!$C$10:$I$10,0)),0)</f>
        <v>0</v>
      </c>
      <c r="I397" s="359" t="str">
        <f>IFERROR(INDEX('4. Valuation'!$C$10:$I$17,MATCH($D397,'4. Valuation'!$C$10:$C$17,0),MATCH($I$25,'4. Valuation'!$C$10:$I$10,0)),0)</f>
        <v>-</v>
      </c>
      <c r="J397" s="277"/>
      <c r="K397" s="312">
        <f t="shared" si="75"/>
        <v>0</v>
      </c>
      <c r="L397" s="312">
        <f t="shared" si="76"/>
        <v>0</v>
      </c>
      <c r="M397" s="359">
        <f t="shared" si="77"/>
        <v>0</v>
      </c>
      <c r="N397" s="278"/>
      <c r="O397" s="278"/>
      <c r="P397" s="278"/>
      <c r="Q397" s="278"/>
      <c r="R397" s="312">
        <f>IFERROR(INDEX('4. Valuation'!$O$10:$X$17,MATCH($D397,'4. Valuation'!$O$10:$O$17,0),MATCH($R$25,'4. Valuation'!$O$10:$X$10,0)),0)</f>
        <v>0</v>
      </c>
      <c r="S397" s="312">
        <f>IFERROR(INDEX('4. Valuation'!$O$10:$X$17,MATCH($D397,'4. Valuation'!$O$10:$O$17,0),MATCH($S$25,'4. Valuation'!$O$10:$X$10,0)),0)</f>
        <v>0</v>
      </c>
      <c r="T397" s="312" t="str">
        <f>IFERROR(INDEX('4. Valuation'!$O$10:$X$17,MATCH($D397,'4. Valuation'!$O$10:$O$17,0),MATCH($T$25,'4. Valuation'!$O$10:$X$10,0)),0)</f>
        <v>-</v>
      </c>
      <c r="U397" s="278"/>
      <c r="V397" s="312">
        <f t="shared" si="78"/>
        <v>0</v>
      </c>
      <c r="W397" s="312">
        <f t="shared" si="79"/>
        <v>0</v>
      </c>
      <c r="X397" s="312">
        <f t="shared" si="80"/>
        <v>0</v>
      </c>
      <c r="Y397" s="278"/>
      <c r="Z397" s="312">
        <f t="shared" si="81"/>
        <v>0</v>
      </c>
      <c r="AA397" s="312">
        <f>'3. GRI Pricing'!Y388</f>
        <v>0</v>
      </c>
      <c r="AB397" s="359">
        <f t="shared" si="82"/>
        <v>0</v>
      </c>
    </row>
    <row r="398" spans="3:28" s="30" customFormat="1" ht="12" x14ac:dyDescent="0.2">
      <c r="C398" s="77">
        <f>'1. Accomodation'!N393</f>
        <v>0</v>
      </c>
      <c r="D398" s="77">
        <f>'1. Accomodation'!P393</f>
        <v>0</v>
      </c>
      <c r="E398" s="77">
        <f>'1. Accomodation'!O393</f>
        <v>0</v>
      </c>
      <c r="G398" s="341">
        <f>IFERROR(INDEX('4. Valuation'!$C$10:$I$17,MATCH($D398,'4. Valuation'!$C$10:$C$17,0),MATCH($G$25,'4. Valuation'!$C$10:$I$10,0)),0)</f>
        <v>0</v>
      </c>
      <c r="H398" s="273">
        <f>IFERROR(INDEX('4. Valuation'!$C$10:$I$17,MATCH($D398,'4. Valuation'!$C$10:$C$17,0),MATCH($H$25,'4. Valuation'!$C$10:$I$10,0)),0)</f>
        <v>0</v>
      </c>
      <c r="I398" s="359" t="str">
        <f>IFERROR(INDEX('4. Valuation'!$C$10:$I$17,MATCH($D398,'4. Valuation'!$C$10:$C$17,0),MATCH($I$25,'4. Valuation'!$C$10:$I$10,0)),0)</f>
        <v>-</v>
      </c>
      <c r="J398" s="277"/>
      <c r="K398" s="312">
        <f t="shared" si="75"/>
        <v>0</v>
      </c>
      <c r="L398" s="312">
        <f t="shared" si="76"/>
        <v>0</v>
      </c>
      <c r="M398" s="359">
        <f t="shared" si="77"/>
        <v>0</v>
      </c>
      <c r="N398" s="278"/>
      <c r="O398" s="278"/>
      <c r="P398" s="278"/>
      <c r="Q398" s="278"/>
      <c r="R398" s="312">
        <f>IFERROR(INDEX('4. Valuation'!$O$10:$X$17,MATCH($D398,'4. Valuation'!$O$10:$O$17,0),MATCH($R$25,'4. Valuation'!$O$10:$X$10,0)),0)</f>
        <v>0</v>
      </c>
      <c r="S398" s="312">
        <f>IFERROR(INDEX('4. Valuation'!$O$10:$X$17,MATCH($D398,'4. Valuation'!$O$10:$O$17,0),MATCH($S$25,'4. Valuation'!$O$10:$X$10,0)),0)</f>
        <v>0</v>
      </c>
      <c r="T398" s="312" t="str">
        <f>IFERROR(INDEX('4. Valuation'!$O$10:$X$17,MATCH($D398,'4. Valuation'!$O$10:$O$17,0),MATCH($T$25,'4. Valuation'!$O$10:$X$10,0)),0)</f>
        <v>-</v>
      </c>
      <c r="U398" s="278"/>
      <c r="V398" s="312">
        <f t="shared" si="78"/>
        <v>0</v>
      </c>
      <c r="W398" s="312">
        <f t="shared" si="79"/>
        <v>0</v>
      </c>
      <c r="X398" s="312">
        <f t="shared" si="80"/>
        <v>0</v>
      </c>
      <c r="Y398" s="278"/>
      <c r="Z398" s="312">
        <f t="shared" si="81"/>
        <v>0</v>
      </c>
      <c r="AA398" s="312">
        <f>'3. GRI Pricing'!Y389</f>
        <v>0</v>
      </c>
      <c r="AB398" s="359">
        <f t="shared" si="82"/>
        <v>0</v>
      </c>
    </row>
    <row r="399" spans="3:28" s="30" customFormat="1" ht="12" x14ac:dyDescent="0.2">
      <c r="C399" s="77">
        <f>'1. Accomodation'!N394</f>
        <v>0</v>
      </c>
      <c r="D399" s="77">
        <f>'1. Accomodation'!P394</f>
        <v>0</v>
      </c>
      <c r="E399" s="77">
        <f>'1. Accomodation'!O394</f>
        <v>0</v>
      </c>
      <c r="G399" s="341">
        <f>IFERROR(INDEX('4. Valuation'!$C$10:$I$17,MATCH($D399,'4. Valuation'!$C$10:$C$17,0),MATCH($G$25,'4. Valuation'!$C$10:$I$10,0)),0)</f>
        <v>0</v>
      </c>
      <c r="H399" s="273">
        <f>IFERROR(INDEX('4. Valuation'!$C$10:$I$17,MATCH($D399,'4. Valuation'!$C$10:$C$17,0),MATCH($H$25,'4. Valuation'!$C$10:$I$10,0)),0)</f>
        <v>0</v>
      </c>
      <c r="I399" s="359" t="str">
        <f>IFERROR(INDEX('4. Valuation'!$C$10:$I$17,MATCH($D399,'4. Valuation'!$C$10:$C$17,0),MATCH($I$25,'4. Valuation'!$C$10:$I$10,0)),0)</f>
        <v>-</v>
      </c>
      <c r="J399" s="277"/>
      <c r="K399" s="312">
        <f t="shared" si="75"/>
        <v>0</v>
      </c>
      <c r="L399" s="312">
        <f t="shared" si="76"/>
        <v>0</v>
      </c>
      <c r="M399" s="359">
        <f t="shared" si="77"/>
        <v>0</v>
      </c>
      <c r="N399" s="278"/>
      <c r="O399" s="278"/>
      <c r="P399" s="278"/>
      <c r="Q399" s="278"/>
      <c r="R399" s="312">
        <f>IFERROR(INDEX('4. Valuation'!$O$10:$X$17,MATCH($D399,'4. Valuation'!$O$10:$O$17,0),MATCH($R$25,'4. Valuation'!$O$10:$X$10,0)),0)</f>
        <v>0</v>
      </c>
      <c r="S399" s="312">
        <f>IFERROR(INDEX('4. Valuation'!$O$10:$X$17,MATCH($D399,'4. Valuation'!$O$10:$O$17,0),MATCH($S$25,'4. Valuation'!$O$10:$X$10,0)),0)</f>
        <v>0</v>
      </c>
      <c r="T399" s="312" t="str">
        <f>IFERROR(INDEX('4. Valuation'!$O$10:$X$17,MATCH($D399,'4. Valuation'!$O$10:$O$17,0),MATCH($T$25,'4. Valuation'!$O$10:$X$10,0)),0)</f>
        <v>-</v>
      </c>
      <c r="U399" s="278"/>
      <c r="V399" s="312">
        <f t="shared" si="78"/>
        <v>0</v>
      </c>
      <c r="W399" s="312">
        <f t="shared" si="79"/>
        <v>0</v>
      </c>
      <c r="X399" s="312">
        <f t="shared" si="80"/>
        <v>0</v>
      </c>
      <c r="Y399" s="278"/>
      <c r="Z399" s="312">
        <f t="shared" si="81"/>
        <v>0</v>
      </c>
      <c r="AA399" s="312">
        <f>'3. GRI Pricing'!Y390</f>
        <v>0</v>
      </c>
      <c r="AB399" s="359">
        <f t="shared" si="82"/>
        <v>0</v>
      </c>
    </row>
    <row r="400" spans="3:28" s="30" customFormat="1" ht="12" x14ac:dyDescent="0.2">
      <c r="C400" s="77">
        <f>'1. Accomodation'!N395</f>
        <v>0</v>
      </c>
      <c r="D400" s="77">
        <f>'1. Accomodation'!P395</f>
        <v>0</v>
      </c>
      <c r="E400" s="77">
        <f>'1. Accomodation'!O395</f>
        <v>0</v>
      </c>
      <c r="G400" s="341">
        <f>IFERROR(INDEX('4. Valuation'!$C$10:$I$17,MATCH($D400,'4. Valuation'!$C$10:$C$17,0),MATCH($G$25,'4. Valuation'!$C$10:$I$10,0)),0)</f>
        <v>0</v>
      </c>
      <c r="H400" s="273">
        <f>IFERROR(INDEX('4. Valuation'!$C$10:$I$17,MATCH($D400,'4. Valuation'!$C$10:$C$17,0),MATCH($H$25,'4. Valuation'!$C$10:$I$10,0)),0)</f>
        <v>0</v>
      </c>
      <c r="I400" s="359" t="str">
        <f>IFERROR(INDEX('4. Valuation'!$C$10:$I$17,MATCH($D400,'4. Valuation'!$C$10:$C$17,0),MATCH($I$25,'4. Valuation'!$C$10:$I$10,0)),0)</f>
        <v>-</v>
      </c>
      <c r="J400" s="277"/>
      <c r="K400" s="312">
        <f t="shared" si="75"/>
        <v>0</v>
      </c>
      <c r="L400" s="312">
        <f t="shared" si="76"/>
        <v>0</v>
      </c>
      <c r="M400" s="359">
        <f t="shared" si="77"/>
        <v>0</v>
      </c>
      <c r="N400" s="278"/>
      <c r="O400" s="278"/>
      <c r="P400" s="278"/>
      <c r="Q400" s="278"/>
      <c r="R400" s="312">
        <f>IFERROR(INDEX('4. Valuation'!$O$10:$X$17,MATCH($D400,'4. Valuation'!$O$10:$O$17,0),MATCH($R$25,'4. Valuation'!$O$10:$X$10,0)),0)</f>
        <v>0</v>
      </c>
      <c r="S400" s="312">
        <f>IFERROR(INDEX('4. Valuation'!$O$10:$X$17,MATCH($D400,'4. Valuation'!$O$10:$O$17,0),MATCH($S$25,'4. Valuation'!$O$10:$X$10,0)),0)</f>
        <v>0</v>
      </c>
      <c r="T400" s="312" t="str">
        <f>IFERROR(INDEX('4. Valuation'!$O$10:$X$17,MATCH($D400,'4. Valuation'!$O$10:$O$17,0),MATCH($T$25,'4. Valuation'!$O$10:$X$10,0)),0)</f>
        <v>-</v>
      </c>
      <c r="U400" s="278"/>
      <c r="V400" s="312">
        <f t="shared" si="78"/>
        <v>0</v>
      </c>
      <c r="W400" s="312">
        <f t="shared" si="79"/>
        <v>0</v>
      </c>
      <c r="X400" s="312">
        <f t="shared" si="80"/>
        <v>0</v>
      </c>
      <c r="Y400" s="278"/>
      <c r="Z400" s="312">
        <f t="shared" si="81"/>
        <v>0</v>
      </c>
      <c r="AA400" s="312">
        <f>'3. GRI Pricing'!Y391</f>
        <v>0</v>
      </c>
      <c r="AB400" s="359">
        <f t="shared" si="82"/>
        <v>0</v>
      </c>
    </row>
    <row r="401" spans="3:28" s="30" customFormat="1" ht="12" x14ac:dyDescent="0.2">
      <c r="C401" s="77">
        <f>'1. Accomodation'!N396</f>
        <v>0</v>
      </c>
      <c r="D401" s="77">
        <f>'1. Accomodation'!P396</f>
        <v>0</v>
      </c>
      <c r="E401" s="77">
        <f>'1. Accomodation'!O396</f>
        <v>0</v>
      </c>
      <c r="G401" s="341">
        <f>IFERROR(INDEX('4. Valuation'!$C$10:$I$17,MATCH($D401,'4. Valuation'!$C$10:$C$17,0),MATCH($G$25,'4. Valuation'!$C$10:$I$10,0)),0)</f>
        <v>0</v>
      </c>
      <c r="H401" s="273">
        <f>IFERROR(INDEX('4. Valuation'!$C$10:$I$17,MATCH($D401,'4. Valuation'!$C$10:$C$17,0),MATCH($H$25,'4. Valuation'!$C$10:$I$10,0)),0)</f>
        <v>0</v>
      </c>
      <c r="I401" s="359" t="str">
        <f>IFERROR(INDEX('4. Valuation'!$C$10:$I$17,MATCH($D401,'4. Valuation'!$C$10:$C$17,0),MATCH($I$25,'4. Valuation'!$C$10:$I$10,0)),0)</f>
        <v>-</v>
      </c>
      <c r="J401" s="277"/>
      <c r="K401" s="312">
        <f t="shared" si="75"/>
        <v>0</v>
      </c>
      <c r="L401" s="312">
        <f t="shared" si="76"/>
        <v>0</v>
      </c>
      <c r="M401" s="359">
        <f t="shared" si="77"/>
        <v>0</v>
      </c>
      <c r="N401" s="278"/>
      <c r="O401" s="278"/>
      <c r="P401" s="278"/>
      <c r="Q401" s="278"/>
      <c r="R401" s="312">
        <f>IFERROR(INDEX('4. Valuation'!$O$10:$X$17,MATCH($D401,'4. Valuation'!$O$10:$O$17,0),MATCH($R$25,'4. Valuation'!$O$10:$X$10,0)),0)</f>
        <v>0</v>
      </c>
      <c r="S401" s="312">
        <f>IFERROR(INDEX('4. Valuation'!$O$10:$X$17,MATCH($D401,'4. Valuation'!$O$10:$O$17,0),MATCH($S$25,'4. Valuation'!$O$10:$X$10,0)),0)</f>
        <v>0</v>
      </c>
      <c r="T401" s="312" t="str">
        <f>IFERROR(INDEX('4. Valuation'!$O$10:$X$17,MATCH($D401,'4. Valuation'!$O$10:$O$17,0),MATCH($T$25,'4. Valuation'!$O$10:$X$10,0)),0)</f>
        <v>-</v>
      </c>
      <c r="U401" s="278"/>
      <c r="V401" s="312">
        <f t="shared" si="78"/>
        <v>0</v>
      </c>
      <c r="W401" s="312">
        <f t="shared" si="79"/>
        <v>0</v>
      </c>
      <c r="X401" s="312">
        <f t="shared" si="80"/>
        <v>0</v>
      </c>
      <c r="Y401" s="278"/>
      <c r="Z401" s="312">
        <f t="shared" si="81"/>
        <v>0</v>
      </c>
      <c r="AA401" s="312">
        <f>'3. GRI Pricing'!Y392</f>
        <v>0</v>
      </c>
      <c r="AB401" s="359">
        <f t="shared" si="82"/>
        <v>0</v>
      </c>
    </row>
    <row r="402" spans="3:28" s="30" customFormat="1" ht="12" x14ac:dyDescent="0.2">
      <c r="C402" s="77">
        <f>'1. Accomodation'!N397</f>
        <v>0</v>
      </c>
      <c r="D402" s="77">
        <f>'1. Accomodation'!P397</f>
        <v>0</v>
      </c>
      <c r="E402" s="77">
        <f>'1. Accomodation'!O397</f>
        <v>0</v>
      </c>
      <c r="G402" s="341">
        <f>IFERROR(INDEX('4. Valuation'!$C$10:$I$17,MATCH($D402,'4. Valuation'!$C$10:$C$17,0),MATCH($G$25,'4. Valuation'!$C$10:$I$10,0)),0)</f>
        <v>0</v>
      </c>
      <c r="H402" s="273">
        <f>IFERROR(INDEX('4. Valuation'!$C$10:$I$17,MATCH($D402,'4. Valuation'!$C$10:$C$17,0),MATCH($H$25,'4. Valuation'!$C$10:$I$10,0)),0)</f>
        <v>0</v>
      </c>
      <c r="I402" s="359" t="str">
        <f>IFERROR(INDEX('4. Valuation'!$C$10:$I$17,MATCH($D402,'4. Valuation'!$C$10:$C$17,0),MATCH($I$25,'4. Valuation'!$C$10:$I$10,0)),0)</f>
        <v>-</v>
      </c>
      <c r="J402" s="277"/>
      <c r="K402" s="312">
        <f t="shared" si="75"/>
        <v>0</v>
      </c>
      <c r="L402" s="312">
        <f t="shared" si="76"/>
        <v>0</v>
      </c>
      <c r="M402" s="359">
        <f t="shared" si="77"/>
        <v>0</v>
      </c>
      <c r="N402" s="278"/>
      <c r="O402" s="278"/>
      <c r="P402" s="278"/>
      <c r="Q402" s="278"/>
      <c r="R402" s="312">
        <f>IFERROR(INDEX('4. Valuation'!$O$10:$X$17,MATCH($D402,'4. Valuation'!$O$10:$O$17,0),MATCH($R$25,'4. Valuation'!$O$10:$X$10,0)),0)</f>
        <v>0</v>
      </c>
      <c r="S402" s="312">
        <f>IFERROR(INDEX('4. Valuation'!$O$10:$X$17,MATCH($D402,'4. Valuation'!$O$10:$O$17,0),MATCH($S$25,'4. Valuation'!$O$10:$X$10,0)),0)</f>
        <v>0</v>
      </c>
      <c r="T402" s="312" t="str">
        <f>IFERROR(INDEX('4. Valuation'!$O$10:$X$17,MATCH($D402,'4. Valuation'!$O$10:$O$17,0),MATCH($T$25,'4. Valuation'!$O$10:$X$10,0)),0)</f>
        <v>-</v>
      </c>
      <c r="U402" s="278"/>
      <c r="V402" s="312">
        <f t="shared" si="78"/>
        <v>0</v>
      </c>
      <c r="W402" s="312">
        <f t="shared" si="79"/>
        <v>0</v>
      </c>
      <c r="X402" s="312">
        <f t="shared" si="80"/>
        <v>0</v>
      </c>
      <c r="Y402" s="278"/>
      <c r="Z402" s="312">
        <f t="shared" si="81"/>
        <v>0</v>
      </c>
      <c r="AA402" s="312">
        <f>'3. GRI Pricing'!Y393</f>
        <v>0</v>
      </c>
      <c r="AB402" s="359">
        <f t="shared" si="82"/>
        <v>0</v>
      </c>
    </row>
    <row r="403" spans="3:28" s="30" customFormat="1" ht="12" x14ac:dyDescent="0.2">
      <c r="C403" s="77">
        <f>'1. Accomodation'!N398</f>
        <v>0</v>
      </c>
      <c r="D403" s="77">
        <f>'1. Accomodation'!P398</f>
        <v>0</v>
      </c>
      <c r="E403" s="77">
        <f>'1. Accomodation'!O398</f>
        <v>0</v>
      </c>
      <c r="G403" s="341">
        <f>IFERROR(INDEX('4. Valuation'!$C$10:$I$17,MATCH($D403,'4. Valuation'!$C$10:$C$17,0),MATCH($G$25,'4. Valuation'!$C$10:$I$10,0)),0)</f>
        <v>0</v>
      </c>
      <c r="H403" s="273">
        <f>IFERROR(INDEX('4. Valuation'!$C$10:$I$17,MATCH($D403,'4. Valuation'!$C$10:$C$17,0),MATCH($H$25,'4. Valuation'!$C$10:$I$10,0)),0)</f>
        <v>0</v>
      </c>
      <c r="I403" s="359" t="str">
        <f>IFERROR(INDEX('4. Valuation'!$C$10:$I$17,MATCH($D403,'4. Valuation'!$C$10:$C$17,0),MATCH($I$25,'4. Valuation'!$C$10:$I$10,0)),0)</f>
        <v>-</v>
      </c>
      <c r="J403" s="277"/>
      <c r="K403" s="312">
        <f t="shared" si="75"/>
        <v>0</v>
      </c>
      <c r="L403" s="312">
        <f t="shared" si="76"/>
        <v>0</v>
      </c>
      <c r="M403" s="359">
        <f t="shared" si="77"/>
        <v>0</v>
      </c>
      <c r="N403" s="278"/>
      <c r="O403" s="278"/>
      <c r="P403" s="278"/>
      <c r="Q403" s="278"/>
      <c r="R403" s="312">
        <f>IFERROR(INDEX('4. Valuation'!$O$10:$X$17,MATCH($D403,'4. Valuation'!$O$10:$O$17,0),MATCH($R$25,'4. Valuation'!$O$10:$X$10,0)),0)</f>
        <v>0</v>
      </c>
      <c r="S403" s="312">
        <f>IFERROR(INDEX('4. Valuation'!$O$10:$X$17,MATCH($D403,'4. Valuation'!$O$10:$O$17,0),MATCH($S$25,'4. Valuation'!$O$10:$X$10,0)),0)</f>
        <v>0</v>
      </c>
      <c r="T403" s="312" t="str">
        <f>IFERROR(INDEX('4. Valuation'!$O$10:$X$17,MATCH($D403,'4. Valuation'!$O$10:$O$17,0),MATCH($T$25,'4. Valuation'!$O$10:$X$10,0)),0)</f>
        <v>-</v>
      </c>
      <c r="U403" s="278"/>
      <c r="V403" s="312">
        <f t="shared" si="78"/>
        <v>0</v>
      </c>
      <c r="W403" s="312">
        <f t="shared" si="79"/>
        <v>0</v>
      </c>
      <c r="X403" s="312">
        <f t="shared" si="80"/>
        <v>0</v>
      </c>
      <c r="Y403" s="278"/>
      <c r="Z403" s="312">
        <f t="shared" si="81"/>
        <v>0</v>
      </c>
      <c r="AA403" s="312">
        <f>'3. GRI Pricing'!Y394</f>
        <v>0</v>
      </c>
      <c r="AB403" s="359">
        <f t="shared" si="82"/>
        <v>0</v>
      </c>
    </row>
    <row r="404" spans="3:28" s="30" customFormat="1" ht="12" x14ac:dyDescent="0.2">
      <c r="C404" s="77">
        <f>'1. Accomodation'!N399</f>
        <v>0</v>
      </c>
      <c r="D404" s="77">
        <f>'1. Accomodation'!P399</f>
        <v>0</v>
      </c>
      <c r="E404" s="77">
        <f>'1. Accomodation'!O399</f>
        <v>0</v>
      </c>
      <c r="G404" s="341">
        <f>IFERROR(INDEX('4. Valuation'!$C$10:$I$17,MATCH($D404,'4. Valuation'!$C$10:$C$17,0),MATCH($G$25,'4. Valuation'!$C$10:$I$10,0)),0)</f>
        <v>0</v>
      </c>
      <c r="H404" s="273">
        <f>IFERROR(INDEX('4. Valuation'!$C$10:$I$17,MATCH($D404,'4. Valuation'!$C$10:$C$17,0),MATCH($H$25,'4. Valuation'!$C$10:$I$10,0)),0)</f>
        <v>0</v>
      </c>
      <c r="I404" s="359" t="str">
        <f>IFERROR(INDEX('4. Valuation'!$C$10:$I$17,MATCH($D404,'4. Valuation'!$C$10:$C$17,0),MATCH($I$25,'4. Valuation'!$C$10:$I$10,0)),0)</f>
        <v>-</v>
      </c>
      <c r="J404" s="277"/>
      <c r="K404" s="312">
        <f t="shared" si="75"/>
        <v>0</v>
      </c>
      <c r="L404" s="312">
        <f t="shared" si="76"/>
        <v>0</v>
      </c>
      <c r="M404" s="359">
        <f t="shared" si="77"/>
        <v>0</v>
      </c>
      <c r="N404" s="278"/>
      <c r="O404" s="278"/>
      <c r="P404" s="278"/>
      <c r="Q404" s="278"/>
      <c r="R404" s="312">
        <f>IFERROR(INDEX('4. Valuation'!$O$10:$X$17,MATCH($D404,'4. Valuation'!$O$10:$O$17,0),MATCH($R$25,'4. Valuation'!$O$10:$X$10,0)),0)</f>
        <v>0</v>
      </c>
      <c r="S404" s="312">
        <f>IFERROR(INDEX('4. Valuation'!$O$10:$X$17,MATCH($D404,'4. Valuation'!$O$10:$O$17,0),MATCH($S$25,'4. Valuation'!$O$10:$X$10,0)),0)</f>
        <v>0</v>
      </c>
      <c r="T404" s="312" t="str">
        <f>IFERROR(INDEX('4. Valuation'!$O$10:$X$17,MATCH($D404,'4. Valuation'!$O$10:$O$17,0),MATCH($T$25,'4. Valuation'!$O$10:$X$10,0)),0)</f>
        <v>-</v>
      </c>
      <c r="U404" s="278"/>
      <c r="V404" s="312">
        <f t="shared" si="78"/>
        <v>0</v>
      </c>
      <c r="W404" s="312">
        <f t="shared" si="79"/>
        <v>0</v>
      </c>
      <c r="X404" s="312">
        <f t="shared" si="80"/>
        <v>0</v>
      </c>
      <c r="Y404" s="278"/>
      <c r="Z404" s="312">
        <f t="shared" si="81"/>
        <v>0</v>
      </c>
      <c r="AA404" s="312">
        <f>'3. GRI Pricing'!Y395</f>
        <v>0</v>
      </c>
      <c r="AB404" s="359">
        <f t="shared" si="82"/>
        <v>0</v>
      </c>
    </row>
    <row r="405" spans="3:28" s="30" customFormat="1" ht="12" x14ac:dyDescent="0.2">
      <c r="C405" s="77">
        <f>'1. Accomodation'!N400</f>
        <v>0</v>
      </c>
      <c r="D405" s="77">
        <f>'1. Accomodation'!P400</f>
        <v>0</v>
      </c>
      <c r="E405" s="77">
        <f>'1. Accomodation'!O400</f>
        <v>0</v>
      </c>
      <c r="G405" s="341">
        <f>IFERROR(INDEX('4. Valuation'!$C$10:$I$17,MATCH($D405,'4. Valuation'!$C$10:$C$17,0),MATCH($G$25,'4. Valuation'!$C$10:$I$10,0)),0)</f>
        <v>0</v>
      </c>
      <c r="H405" s="273">
        <f>IFERROR(INDEX('4. Valuation'!$C$10:$I$17,MATCH($D405,'4. Valuation'!$C$10:$C$17,0),MATCH($H$25,'4. Valuation'!$C$10:$I$10,0)),0)</f>
        <v>0</v>
      </c>
      <c r="I405" s="359" t="str">
        <f>IFERROR(INDEX('4. Valuation'!$C$10:$I$17,MATCH($D405,'4. Valuation'!$C$10:$C$17,0),MATCH($I$25,'4. Valuation'!$C$10:$I$10,0)),0)</f>
        <v>-</v>
      </c>
      <c r="J405" s="277"/>
      <c r="K405" s="312">
        <f t="shared" si="75"/>
        <v>0</v>
      </c>
      <c r="L405" s="312">
        <f t="shared" si="76"/>
        <v>0</v>
      </c>
      <c r="M405" s="359">
        <f t="shared" si="77"/>
        <v>0</v>
      </c>
      <c r="N405" s="278"/>
      <c r="O405" s="278"/>
      <c r="P405" s="278"/>
      <c r="Q405" s="278"/>
      <c r="R405" s="312">
        <f>IFERROR(INDEX('4. Valuation'!$O$10:$X$17,MATCH($D405,'4. Valuation'!$O$10:$O$17,0),MATCH($R$25,'4. Valuation'!$O$10:$X$10,0)),0)</f>
        <v>0</v>
      </c>
      <c r="S405" s="312">
        <f>IFERROR(INDEX('4. Valuation'!$O$10:$X$17,MATCH($D405,'4. Valuation'!$O$10:$O$17,0),MATCH($S$25,'4. Valuation'!$O$10:$X$10,0)),0)</f>
        <v>0</v>
      </c>
      <c r="T405" s="312" t="str">
        <f>IFERROR(INDEX('4. Valuation'!$O$10:$X$17,MATCH($D405,'4. Valuation'!$O$10:$O$17,0),MATCH($T$25,'4. Valuation'!$O$10:$X$10,0)),0)</f>
        <v>-</v>
      </c>
      <c r="U405" s="278"/>
      <c r="V405" s="312">
        <f t="shared" si="78"/>
        <v>0</v>
      </c>
      <c r="W405" s="312">
        <f t="shared" si="79"/>
        <v>0</v>
      </c>
      <c r="X405" s="312">
        <f t="shared" si="80"/>
        <v>0</v>
      </c>
      <c r="Y405" s="278"/>
      <c r="Z405" s="312">
        <f t="shared" si="81"/>
        <v>0</v>
      </c>
      <c r="AA405" s="312">
        <f>'3. GRI Pricing'!Y396</f>
        <v>0</v>
      </c>
      <c r="AB405" s="359">
        <f t="shared" si="82"/>
        <v>0</v>
      </c>
    </row>
    <row r="406" spans="3:28" s="30" customFormat="1" ht="12" x14ac:dyDescent="0.2">
      <c r="C406" s="77">
        <f>'1. Accomodation'!N401</f>
        <v>0</v>
      </c>
      <c r="D406" s="77">
        <f>'1. Accomodation'!P401</f>
        <v>0</v>
      </c>
      <c r="E406" s="77">
        <f>'1. Accomodation'!O401</f>
        <v>0</v>
      </c>
      <c r="G406" s="341">
        <f>IFERROR(INDEX('4. Valuation'!$C$10:$I$17,MATCH($D406,'4. Valuation'!$C$10:$C$17,0),MATCH($G$25,'4. Valuation'!$C$10:$I$10,0)),0)</f>
        <v>0</v>
      </c>
      <c r="H406" s="273">
        <f>IFERROR(INDEX('4. Valuation'!$C$10:$I$17,MATCH($D406,'4. Valuation'!$C$10:$C$17,0),MATCH($H$25,'4. Valuation'!$C$10:$I$10,0)),0)</f>
        <v>0</v>
      </c>
      <c r="I406" s="359" t="str">
        <f>IFERROR(INDEX('4. Valuation'!$C$10:$I$17,MATCH($D406,'4. Valuation'!$C$10:$C$17,0),MATCH($I$25,'4. Valuation'!$C$10:$I$10,0)),0)</f>
        <v>-</v>
      </c>
      <c r="J406" s="277"/>
      <c r="K406" s="312">
        <f t="shared" si="75"/>
        <v>0</v>
      </c>
      <c r="L406" s="312">
        <f t="shared" si="76"/>
        <v>0</v>
      </c>
      <c r="M406" s="359">
        <f t="shared" si="77"/>
        <v>0</v>
      </c>
      <c r="N406" s="278"/>
      <c r="O406" s="278"/>
      <c r="P406" s="278"/>
      <c r="Q406" s="278"/>
      <c r="R406" s="312">
        <f>IFERROR(INDEX('4. Valuation'!$O$10:$X$17,MATCH($D406,'4. Valuation'!$O$10:$O$17,0),MATCH($R$25,'4. Valuation'!$O$10:$X$10,0)),0)</f>
        <v>0</v>
      </c>
      <c r="S406" s="312">
        <f>IFERROR(INDEX('4. Valuation'!$O$10:$X$17,MATCH($D406,'4. Valuation'!$O$10:$O$17,0),MATCH($S$25,'4. Valuation'!$O$10:$X$10,0)),0)</f>
        <v>0</v>
      </c>
      <c r="T406" s="312" t="str">
        <f>IFERROR(INDEX('4. Valuation'!$O$10:$X$17,MATCH($D406,'4. Valuation'!$O$10:$O$17,0),MATCH($T$25,'4. Valuation'!$O$10:$X$10,0)),0)</f>
        <v>-</v>
      </c>
      <c r="U406" s="278"/>
      <c r="V406" s="312">
        <f t="shared" si="78"/>
        <v>0</v>
      </c>
      <c r="W406" s="312">
        <f t="shared" si="79"/>
        <v>0</v>
      </c>
      <c r="X406" s="312">
        <f t="shared" si="80"/>
        <v>0</v>
      </c>
      <c r="Y406" s="278"/>
      <c r="Z406" s="312">
        <f t="shared" si="81"/>
        <v>0</v>
      </c>
      <c r="AA406" s="312">
        <f>'3. GRI Pricing'!Y397</f>
        <v>0</v>
      </c>
      <c r="AB406" s="359">
        <f t="shared" si="82"/>
        <v>0</v>
      </c>
    </row>
    <row r="407" spans="3:28" s="30" customFormat="1" ht="12" x14ac:dyDescent="0.2">
      <c r="C407" s="77">
        <f>'1. Accomodation'!N402</f>
        <v>0</v>
      </c>
      <c r="D407" s="77">
        <f>'1. Accomodation'!P402</f>
        <v>0</v>
      </c>
      <c r="E407" s="77">
        <f>'1. Accomodation'!O402</f>
        <v>0</v>
      </c>
      <c r="G407" s="341">
        <f>IFERROR(INDEX('4. Valuation'!$C$10:$I$17,MATCH($D407,'4. Valuation'!$C$10:$C$17,0),MATCH($G$25,'4. Valuation'!$C$10:$I$10,0)),0)</f>
        <v>0</v>
      </c>
      <c r="H407" s="273">
        <f>IFERROR(INDEX('4. Valuation'!$C$10:$I$17,MATCH($D407,'4. Valuation'!$C$10:$C$17,0),MATCH($H$25,'4. Valuation'!$C$10:$I$10,0)),0)</f>
        <v>0</v>
      </c>
      <c r="I407" s="359" t="str">
        <f>IFERROR(INDEX('4. Valuation'!$C$10:$I$17,MATCH($D407,'4. Valuation'!$C$10:$C$17,0),MATCH($I$25,'4. Valuation'!$C$10:$I$10,0)),0)</f>
        <v>-</v>
      </c>
      <c r="J407" s="277"/>
      <c r="K407" s="312">
        <f t="shared" si="75"/>
        <v>0</v>
      </c>
      <c r="L407" s="312">
        <f t="shared" si="76"/>
        <v>0</v>
      </c>
      <c r="M407" s="359">
        <f t="shared" si="77"/>
        <v>0</v>
      </c>
      <c r="N407" s="278"/>
      <c r="O407" s="278"/>
      <c r="P407" s="278"/>
      <c r="Q407" s="278"/>
      <c r="R407" s="312">
        <f>IFERROR(INDEX('4. Valuation'!$O$10:$X$17,MATCH($D407,'4. Valuation'!$O$10:$O$17,0),MATCH($R$25,'4. Valuation'!$O$10:$X$10,0)),0)</f>
        <v>0</v>
      </c>
      <c r="S407" s="312">
        <f>IFERROR(INDEX('4. Valuation'!$O$10:$X$17,MATCH($D407,'4. Valuation'!$O$10:$O$17,0),MATCH($S$25,'4. Valuation'!$O$10:$X$10,0)),0)</f>
        <v>0</v>
      </c>
      <c r="T407" s="312" t="str">
        <f>IFERROR(INDEX('4. Valuation'!$O$10:$X$17,MATCH($D407,'4. Valuation'!$O$10:$O$17,0),MATCH($T$25,'4. Valuation'!$O$10:$X$10,0)),0)</f>
        <v>-</v>
      </c>
      <c r="U407" s="278"/>
      <c r="V407" s="312">
        <f t="shared" si="78"/>
        <v>0</v>
      </c>
      <c r="W407" s="312">
        <f t="shared" si="79"/>
        <v>0</v>
      </c>
      <c r="X407" s="312">
        <f t="shared" si="80"/>
        <v>0</v>
      </c>
      <c r="Y407" s="278"/>
      <c r="Z407" s="312">
        <f t="shared" si="81"/>
        <v>0</v>
      </c>
      <c r="AA407" s="312">
        <f>'3. GRI Pricing'!Y398</f>
        <v>0</v>
      </c>
      <c r="AB407" s="359">
        <f t="shared" si="82"/>
        <v>0</v>
      </c>
    </row>
    <row r="408" spans="3:28" s="30" customFormat="1" ht="12" x14ac:dyDescent="0.2">
      <c r="C408" s="77">
        <f>'1. Accomodation'!N403</f>
        <v>0</v>
      </c>
      <c r="D408" s="77">
        <f>'1. Accomodation'!P403</f>
        <v>0</v>
      </c>
      <c r="E408" s="77">
        <f>'1. Accomodation'!O403</f>
        <v>0</v>
      </c>
      <c r="G408" s="341">
        <f>IFERROR(INDEX('4. Valuation'!$C$10:$I$17,MATCH($D408,'4. Valuation'!$C$10:$C$17,0),MATCH($G$25,'4. Valuation'!$C$10:$I$10,0)),0)</f>
        <v>0</v>
      </c>
      <c r="H408" s="273">
        <f>IFERROR(INDEX('4. Valuation'!$C$10:$I$17,MATCH($D408,'4. Valuation'!$C$10:$C$17,0),MATCH($H$25,'4. Valuation'!$C$10:$I$10,0)),0)</f>
        <v>0</v>
      </c>
      <c r="I408" s="359" t="str">
        <f>IFERROR(INDEX('4. Valuation'!$C$10:$I$17,MATCH($D408,'4. Valuation'!$C$10:$C$17,0),MATCH($I$25,'4. Valuation'!$C$10:$I$10,0)),0)</f>
        <v>-</v>
      </c>
      <c r="J408" s="277"/>
      <c r="K408" s="312">
        <f t="shared" si="75"/>
        <v>0</v>
      </c>
      <c r="L408" s="312">
        <f t="shared" si="76"/>
        <v>0</v>
      </c>
      <c r="M408" s="359">
        <f t="shared" si="77"/>
        <v>0</v>
      </c>
      <c r="N408" s="278"/>
      <c r="O408" s="278"/>
      <c r="P408" s="278"/>
      <c r="Q408" s="278"/>
      <c r="R408" s="312">
        <f>IFERROR(INDEX('4. Valuation'!$O$10:$X$17,MATCH($D408,'4. Valuation'!$O$10:$O$17,0),MATCH($R$25,'4. Valuation'!$O$10:$X$10,0)),0)</f>
        <v>0</v>
      </c>
      <c r="S408" s="312">
        <f>IFERROR(INDEX('4. Valuation'!$O$10:$X$17,MATCH($D408,'4. Valuation'!$O$10:$O$17,0),MATCH($S$25,'4. Valuation'!$O$10:$X$10,0)),0)</f>
        <v>0</v>
      </c>
      <c r="T408" s="312" t="str">
        <f>IFERROR(INDEX('4. Valuation'!$O$10:$X$17,MATCH($D408,'4. Valuation'!$O$10:$O$17,0),MATCH($T$25,'4. Valuation'!$O$10:$X$10,0)),0)</f>
        <v>-</v>
      </c>
      <c r="U408" s="278"/>
      <c r="V408" s="312">
        <f t="shared" si="78"/>
        <v>0</v>
      </c>
      <c r="W408" s="312">
        <f t="shared" si="79"/>
        <v>0</v>
      </c>
      <c r="X408" s="312">
        <f t="shared" si="80"/>
        <v>0</v>
      </c>
      <c r="Y408" s="278"/>
      <c r="Z408" s="312">
        <f t="shared" si="81"/>
        <v>0</v>
      </c>
      <c r="AA408" s="312">
        <f>'3. GRI Pricing'!Y399</f>
        <v>0</v>
      </c>
      <c r="AB408" s="359">
        <f t="shared" si="82"/>
        <v>0</v>
      </c>
    </row>
    <row r="409" spans="3:28" s="30" customFormat="1" ht="12" x14ac:dyDescent="0.2">
      <c r="C409" s="77">
        <f>'1. Accomodation'!N404</f>
        <v>0</v>
      </c>
      <c r="D409" s="77">
        <f>'1. Accomodation'!P404</f>
        <v>0</v>
      </c>
      <c r="E409" s="77">
        <f>'1. Accomodation'!O404</f>
        <v>0</v>
      </c>
      <c r="G409" s="341">
        <f>IFERROR(INDEX('4. Valuation'!$C$10:$I$17,MATCH($D409,'4. Valuation'!$C$10:$C$17,0),MATCH($G$25,'4. Valuation'!$C$10:$I$10,0)),0)</f>
        <v>0</v>
      </c>
      <c r="H409" s="273">
        <f>IFERROR(INDEX('4. Valuation'!$C$10:$I$17,MATCH($D409,'4. Valuation'!$C$10:$C$17,0),MATCH($H$25,'4. Valuation'!$C$10:$I$10,0)),0)</f>
        <v>0</v>
      </c>
      <c r="I409" s="359" t="str">
        <f>IFERROR(INDEX('4. Valuation'!$C$10:$I$17,MATCH($D409,'4. Valuation'!$C$10:$C$17,0),MATCH($I$25,'4. Valuation'!$C$10:$I$10,0)),0)</f>
        <v>-</v>
      </c>
      <c r="J409" s="277"/>
      <c r="K409" s="312">
        <f t="shared" si="75"/>
        <v>0</v>
      </c>
      <c r="L409" s="312">
        <f t="shared" si="76"/>
        <v>0</v>
      </c>
      <c r="M409" s="359">
        <f t="shared" si="77"/>
        <v>0</v>
      </c>
      <c r="N409" s="278"/>
      <c r="O409" s="278"/>
      <c r="P409" s="278"/>
      <c r="Q409" s="278"/>
      <c r="R409" s="312">
        <f>IFERROR(INDEX('4. Valuation'!$O$10:$X$17,MATCH($D409,'4. Valuation'!$O$10:$O$17,0),MATCH($R$25,'4. Valuation'!$O$10:$X$10,0)),0)</f>
        <v>0</v>
      </c>
      <c r="S409" s="312">
        <f>IFERROR(INDEX('4. Valuation'!$O$10:$X$17,MATCH($D409,'4. Valuation'!$O$10:$O$17,0),MATCH($S$25,'4. Valuation'!$O$10:$X$10,0)),0)</f>
        <v>0</v>
      </c>
      <c r="T409" s="312" t="str">
        <f>IFERROR(INDEX('4. Valuation'!$O$10:$X$17,MATCH($D409,'4. Valuation'!$O$10:$O$17,0),MATCH($T$25,'4. Valuation'!$O$10:$X$10,0)),0)</f>
        <v>-</v>
      </c>
      <c r="U409" s="278"/>
      <c r="V409" s="312">
        <f t="shared" si="78"/>
        <v>0</v>
      </c>
      <c r="W409" s="312">
        <f t="shared" si="79"/>
        <v>0</v>
      </c>
      <c r="X409" s="312">
        <f t="shared" si="80"/>
        <v>0</v>
      </c>
      <c r="Y409" s="278"/>
      <c r="Z409" s="312">
        <f t="shared" si="81"/>
        <v>0</v>
      </c>
      <c r="AA409" s="312">
        <f>'3. GRI Pricing'!Y400</f>
        <v>0</v>
      </c>
      <c r="AB409" s="359">
        <f t="shared" si="82"/>
        <v>0</v>
      </c>
    </row>
    <row r="410" spans="3:28" s="30" customFormat="1" ht="12" x14ac:dyDescent="0.2">
      <c r="C410" s="77">
        <f>'1. Accomodation'!N405</f>
        <v>0</v>
      </c>
      <c r="D410" s="77">
        <f>'1. Accomodation'!P405</f>
        <v>0</v>
      </c>
      <c r="E410" s="77">
        <f>'1. Accomodation'!O405</f>
        <v>0</v>
      </c>
      <c r="G410" s="341">
        <f>IFERROR(INDEX('4. Valuation'!$C$10:$I$17,MATCH($D410,'4. Valuation'!$C$10:$C$17,0),MATCH($G$25,'4. Valuation'!$C$10:$I$10,0)),0)</f>
        <v>0</v>
      </c>
      <c r="H410" s="273">
        <f>IFERROR(INDEX('4. Valuation'!$C$10:$I$17,MATCH($D410,'4. Valuation'!$C$10:$C$17,0),MATCH($H$25,'4. Valuation'!$C$10:$I$10,0)),0)</f>
        <v>0</v>
      </c>
      <c r="I410" s="359" t="str">
        <f>IFERROR(INDEX('4. Valuation'!$C$10:$I$17,MATCH($D410,'4. Valuation'!$C$10:$C$17,0),MATCH($I$25,'4. Valuation'!$C$10:$I$10,0)),0)</f>
        <v>-</v>
      </c>
      <c r="J410" s="277"/>
      <c r="K410" s="312">
        <f t="shared" si="75"/>
        <v>0</v>
      </c>
      <c r="L410" s="312">
        <f t="shared" si="76"/>
        <v>0</v>
      </c>
      <c r="M410" s="359">
        <f t="shared" si="77"/>
        <v>0</v>
      </c>
      <c r="N410" s="278"/>
      <c r="O410" s="278"/>
      <c r="P410" s="278"/>
      <c r="Q410" s="278"/>
      <c r="R410" s="312">
        <f>IFERROR(INDEX('4. Valuation'!$O$10:$X$17,MATCH($D410,'4. Valuation'!$O$10:$O$17,0),MATCH($R$25,'4. Valuation'!$O$10:$X$10,0)),0)</f>
        <v>0</v>
      </c>
      <c r="S410" s="312">
        <f>IFERROR(INDEX('4. Valuation'!$O$10:$X$17,MATCH($D410,'4. Valuation'!$O$10:$O$17,0),MATCH($S$25,'4. Valuation'!$O$10:$X$10,0)),0)</f>
        <v>0</v>
      </c>
      <c r="T410" s="312" t="str">
        <f>IFERROR(INDEX('4. Valuation'!$O$10:$X$17,MATCH($D410,'4. Valuation'!$O$10:$O$17,0),MATCH($T$25,'4. Valuation'!$O$10:$X$10,0)),0)</f>
        <v>-</v>
      </c>
      <c r="U410" s="278"/>
      <c r="V410" s="312">
        <f t="shared" si="78"/>
        <v>0</v>
      </c>
      <c r="W410" s="312">
        <f t="shared" si="79"/>
        <v>0</v>
      </c>
      <c r="X410" s="312">
        <f t="shared" si="80"/>
        <v>0</v>
      </c>
      <c r="Y410" s="278"/>
      <c r="Z410" s="312">
        <f t="shared" si="81"/>
        <v>0</v>
      </c>
      <c r="AA410" s="312">
        <f>'3. GRI Pricing'!Y401</f>
        <v>0</v>
      </c>
      <c r="AB410" s="359">
        <f t="shared" si="82"/>
        <v>0</v>
      </c>
    </row>
    <row r="411" spans="3:28" s="30" customFormat="1" ht="12" x14ac:dyDescent="0.2">
      <c r="C411" s="77">
        <f>'1. Accomodation'!N406</f>
        <v>0</v>
      </c>
      <c r="D411" s="77">
        <f>'1. Accomodation'!P406</f>
        <v>0</v>
      </c>
      <c r="E411" s="77">
        <f>'1. Accomodation'!O406</f>
        <v>0</v>
      </c>
      <c r="G411" s="341">
        <f>IFERROR(INDEX('4. Valuation'!$C$10:$I$17,MATCH($D411,'4. Valuation'!$C$10:$C$17,0),MATCH($G$25,'4. Valuation'!$C$10:$I$10,0)),0)</f>
        <v>0</v>
      </c>
      <c r="H411" s="273">
        <f>IFERROR(INDEX('4. Valuation'!$C$10:$I$17,MATCH($D411,'4. Valuation'!$C$10:$C$17,0),MATCH($H$25,'4. Valuation'!$C$10:$I$10,0)),0)</f>
        <v>0</v>
      </c>
      <c r="I411" s="359" t="str">
        <f>IFERROR(INDEX('4. Valuation'!$C$10:$I$17,MATCH($D411,'4. Valuation'!$C$10:$C$17,0),MATCH($I$25,'4. Valuation'!$C$10:$I$10,0)),0)</f>
        <v>-</v>
      </c>
      <c r="J411" s="277"/>
      <c r="K411" s="312">
        <f t="shared" ref="K411:K474" si="83">L411*12</f>
        <v>0</v>
      </c>
      <c r="L411" s="312">
        <f t="shared" ref="L411:L474" si="84">H411*(1+$M$24)^((L$24-K$24)/365)</f>
        <v>0</v>
      </c>
      <c r="M411" s="359">
        <f t="shared" ref="M411:M474" si="85">IFERROR(K411/E411,0)</f>
        <v>0</v>
      </c>
      <c r="N411" s="278"/>
      <c r="O411" s="278"/>
      <c r="P411" s="278"/>
      <c r="Q411" s="278"/>
      <c r="R411" s="312">
        <f>IFERROR(INDEX('4. Valuation'!$O$10:$X$17,MATCH($D411,'4. Valuation'!$O$10:$O$17,0),MATCH($R$25,'4. Valuation'!$O$10:$X$10,0)),0)</f>
        <v>0</v>
      </c>
      <c r="S411" s="312">
        <f>IFERROR(INDEX('4. Valuation'!$O$10:$X$17,MATCH($D411,'4. Valuation'!$O$10:$O$17,0),MATCH($S$25,'4. Valuation'!$O$10:$X$10,0)),0)</f>
        <v>0</v>
      </c>
      <c r="T411" s="312" t="str">
        <f>IFERROR(INDEX('4. Valuation'!$O$10:$X$17,MATCH($D411,'4. Valuation'!$O$10:$O$17,0),MATCH($T$25,'4. Valuation'!$O$10:$X$10,0)),0)</f>
        <v>-</v>
      </c>
      <c r="U411" s="278"/>
      <c r="V411" s="312">
        <f t="shared" ref="V411:V474" si="86">W411*12</f>
        <v>0</v>
      </c>
      <c r="W411" s="312">
        <f t="shared" ref="W411:W474" si="87">S411*(1+$M$24)^((W$24-V$24)/365)</f>
        <v>0</v>
      </c>
      <c r="X411" s="312">
        <f t="shared" ref="X411:X474" si="88">IFERROR(V411/E411,0)</f>
        <v>0</v>
      </c>
      <c r="Y411" s="278"/>
      <c r="Z411" s="312">
        <f t="shared" ref="Z411:Z474" si="89">AA411*12</f>
        <v>0</v>
      </c>
      <c r="AA411" s="312">
        <f>'3. GRI Pricing'!Y402</f>
        <v>0</v>
      </c>
      <c r="AB411" s="359">
        <f t="shared" ref="AB411:AB474" si="90">IFERROR(Z411/E411,0)</f>
        <v>0</v>
      </c>
    </row>
    <row r="412" spans="3:28" s="30" customFormat="1" ht="12" x14ac:dyDescent="0.2">
      <c r="C412" s="77">
        <f>'1. Accomodation'!N407</f>
        <v>0</v>
      </c>
      <c r="D412" s="77">
        <f>'1. Accomodation'!P407</f>
        <v>0</v>
      </c>
      <c r="E412" s="77">
        <f>'1. Accomodation'!O407</f>
        <v>0</v>
      </c>
      <c r="G412" s="341">
        <f>IFERROR(INDEX('4. Valuation'!$C$10:$I$17,MATCH($D412,'4. Valuation'!$C$10:$C$17,0),MATCH($G$25,'4. Valuation'!$C$10:$I$10,0)),0)</f>
        <v>0</v>
      </c>
      <c r="H412" s="273">
        <f>IFERROR(INDEX('4. Valuation'!$C$10:$I$17,MATCH($D412,'4. Valuation'!$C$10:$C$17,0),MATCH($H$25,'4. Valuation'!$C$10:$I$10,0)),0)</f>
        <v>0</v>
      </c>
      <c r="I412" s="359" t="str">
        <f>IFERROR(INDEX('4. Valuation'!$C$10:$I$17,MATCH($D412,'4. Valuation'!$C$10:$C$17,0),MATCH($I$25,'4. Valuation'!$C$10:$I$10,0)),0)</f>
        <v>-</v>
      </c>
      <c r="J412" s="277"/>
      <c r="K412" s="312">
        <f t="shared" si="83"/>
        <v>0</v>
      </c>
      <c r="L412" s="312">
        <f t="shared" si="84"/>
        <v>0</v>
      </c>
      <c r="M412" s="359">
        <f t="shared" si="85"/>
        <v>0</v>
      </c>
      <c r="N412" s="278"/>
      <c r="O412" s="278"/>
      <c r="P412" s="278"/>
      <c r="Q412" s="278"/>
      <c r="R412" s="312">
        <f>IFERROR(INDEX('4. Valuation'!$O$10:$X$17,MATCH($D412,'4. Valuation'!$O$10:$O$17,0),MATCH($R$25,'4. Valuation'!$O$10:$X$10,0)),0)</f>
        <v>0</v>
      </c>
      <c r="S412" s="312">
        <f>IFERROR(INDEX('4. Valuation'!$O$10:$X$17,MATCH($D412,'4. Valuation'!$O$10:$O$17,0),MATCH($S$25,'4. Valuation'!$O$10:$X$10,0)),0)</f>
        <v>0</v>
      </c>
      <c r="T412" s="312" t="str">
        <f>IFERROR(INDEX('4. Valuation'!$O$10:$X$17,MATCH($D412,'4. Valuation'!$O$10:$O$17,0),MATCH($T$25,'4. Valuation'!$O$10:$X$10,0)),0)</f>
        <v>-</v>
      </c>
      <c r="U412" s="278"/>
      <c r="V412" s="312">
        <f t="shared" si="86"/>
        <v>0</v>
      </c>
      <c r="W412" s="312">
        <f t="shared" si="87"/>
        <v>0</v>
      </c>
      <c r="X412" s="312">
        <f t="shared" si="88"/>
        <v>0</v>
      </c>
      <c r="Y412" s="278"/>
      <c r="Z412" s="312">
        <f t="shared" si="89"/>
        <v>0</v>
      </c>
      <c r="AA412" s="312">
        <f>'3. GRI Pricing'!Y403</f>
        <v>0</v>
      </c>
      <c r="AB412" s="359">
        <f t="shared" si="90"/>
        <v>0</v>
      </c>
    </row>
    <row r="413" spans="3:28" s="30" customFormat="1" ht="12" x14ac:dyDescent="0.2">
      <c r="C413" s="77">
        <f>'1. Accomodation'!N408</f>
        <v>0</v>
      </c>
      <c r="D413" s="77">
        <f>'1. Accomodation'!P408</f>
        <v>0</v>
      </c>
      <c r="E413" s="77">
        <f>'1. Accomodation'!O408</f>
        <v>0</v>
      </c>
      <c r="G413" s="341">
        <f>IFERROR(INDEX('4. Valuation'!$C$10:$I$17,MATCH($D413,'4. Valuation'!$C$10:$C$17,0),MATCH($G$25,'4. Valuation'!$C$10:$I$10,0)),0)</f>
        <v>0</v>
      </c>
      <c r="H413" s="273">
        <f>IFERROR(INDEX('4. Valuation'!$C$10:$I$17,MATCH($D413,'4. Valuation'!$C$10:$C$17,0),MATCH($H$25,'4. Valuation'!$C$10:$I$10,0)),0)</f>
        <v>0</v>
      </c>
      <c r="I413" s="359" t="str">
        <f>IFERROR(INDEX('4. Valuation'!$C$10:$I$17,MATCH($D413,'4. Valuation'!$C$10:$C$17,0),MATCH($I$25,'4. Valuation'!$C$10:$I$10,0)),0)</f>
        <v>-</v>
      </c>
      <c r="J413" s="277"/>
      <c r="K413" s="312">
        <f t="shared" si="83"/>
        <v>0</v>
      </c>
      <c r="L413" s="312">
        <f t="shared" si="84"/>
        <v>0</v>
      </c>
      <c r="M413" s="359">
        <f t="shared" si="85"/>
        <v>0</v>
      </c>
      <c r="N413" s="278"/>
      <c r="O413" s="278"/>
      <c r="P413" s="278"/>
      <c r="Q413" s="278"/>
      <c r="R413" s="312">
        <f>IFERROR(INDEX('4. Valuation'!$O$10:$X$17,MATCH($D413,'4. Valuation'!$O$10:$O$17,0),MATCH($R$25,'4. Valuation'!$O$10:$X$10,0)),0)</f>
        <v>0</v>
      </c>
      <c r="S413" s="312">
        <f>IFERROR(INDEX('4. Valuation'!$O$10:$X$17,MATCH($D413,'4. Valuation'!$O$10:$O$17,0),MATCH($S$25,'4. Valuation'!$O$10:$X$10,0)),0)</f>
        <v>0</v>
      </c>
      <c r="T413" s="312" t="str">
        <f>IFERROR(INDEX('4. Valuation'!$O$10:$X$17,MATCH($D413,'4. Valuation'!$O$10:$O$17,0),MATCH($T$25,'4. Valuation'!$O$10:$X$10,0)),0)</f>
        <v>-</v>
      </c>
      <c r="U413" s="278"/>
      <c r="V413" s="312">
        <f t="shared" si="86"/>
        <v>0</v>
      </c>
      <c r="W413" s="312">
        <f t="shared" si="87"/>
        <v>0</v>
      </c>
      <c r="X413" s="312">
        <f t="shared" si="88"/>
        <v>0</v>
      </c>
      <c r="Y413" s="278"/>
      <c r="Z413" s="312">
        <f t="shared" si="89"/>
        <v>0</v>
      </c>
      <c r="AA413" s="312">
        <f>'3. GRI Pricing'!Y404</f>
        <v>0</v>
      </c>
      <c r="AB413" s="359">
        <f t="shared" si="90"/>
        <v>0</v>
      </c>
    </row>
    <row r="414" spans="3:28" s="30" customFormat="1" ht="12" x14ac:dyDescent="0.2">
      <c r="C414" s="77">
        <f>'1. Accomodation'!N409</f>
        <v>0</v>
      </c>
      <c r="D414" s="77">
        <f>'1. Accomodation'!P409</f>
        <v>0</v>
      </c>
      <c r="E414" s="77">
        <f>'1. Accomodation'!O409</f>
        <v>0</v>
      </c>
      <c r="G414" s="341">
        <f>IFERROR(INDEX('4. Valuation'!$C$10:$I$17,MATCH($D414,'4. Valuation'!$C$10:$C$17,0),MATCH($G$25,'4. Valuation'!$C$10:$I$10,0)),0)</f>
        <v>0</v>
      </c>
      <c r="H414" s="273">
        <f>IFERROR(INDEX('4. Valuation'!$C$10:$I$17,MATCH($D414,'4. Valuation'!$C$10:$C$17,0),MATCH($H$25,'4. Valuation'!$C$10:$I$10,0)),0)</f>
        <v>0</v>
      </c>
      <c r="I414" s="359" t="str">
        <f>IFERROR(INDEX('4. Valuation'!$C$10:$I$17,MATCH($D414,'4. Valuation'!$C$10:$C$17,0),MATCH($I$25,'4. Valuation'!$C$10:$I$10,0)),0)</f>
        <v>-</v>
      </c>
      <c r="J414" s="277"/>
      <c r="K414" s="312">
        <f t="shared" si="83"/>
        <v>0</v>
      </c>
      <c r="L414" s="312">
        <f t="shared" si="84"/>
        <v>0</v>
      </c>
      <c r="M414" s="359">
        <f t="shared" si="85"/>
        <v>0</v>
      </c>
      <c r="N414" s="278"/>
      <c r="O414" s="278"/>
      <c r="P414" s="278"/>
      <c r="Q414" s="278"/>
      <c r="R414" s="312">
        <f>IFERROR(INDEX('4. Valuation'!$O$10:$X$17,MATCH($D414,'4. Valuation'!$O$10:$O$17,0),MATCH($R$25,'4. Valuation'!$O$10:$X$10,0)),0)</f>
        <v>0</v>
      </c>
      <c r="S414" s="312">
        <f>IFERROR(INDEX('4. Valuation'!$O$10:$X$17,MATCH($D414,'4. Valuation'!$O$10:$O$17,0),MATCH($S$25,'4. Valuation'!$O$10:$X$10,0)),0)</f>
        <v>0</v>
      </c>
      <c r="T414" s="312" t="str">
        <f>IFERROR(INDEX('4. Valuation'!$O$10:$X$17,MATCH($D414,'4. Valuation'!$O$10:$O$17,0),MATCH($T$25,'4. Valuation'!$O$10:$X$10,0)),0)</f>
        <v>-</v>
      </c>
      <c r="U414" s="278"/>
      <c r="V414" s="312">
        <f t="shared" si="86"/>
        <v>0</v>
      </c>
      <c r="W414" s="312">
        <f t="shared" si="87"/>
        <v>0</v>
      </c>
      <c r="X414" s="312">
        <f t="shared" si="88"/>
        <v>0</v>
      </c>
      <c r="Y414" s="278"/>
      <c r="Z414" s="312">
        <f t="shared" si="89"/>
        <v>0</v>
      </c>
      <c r="AA414" s="312">
        <f>'3. GRI Pricing'!Y405</f>
        <v>0</v>
      </c>
      <c r="AB414" s="359">
        <f t="shared" si="90"/>
        <v>0</v>
      </c>
    </row>
    <row r="415" spans="3:28" s="30" customFormat="1" ht="12" x14ac:dyDescent="0.2">
      <c r="C415" s="77">
        <f>'1. Accomodation'!N410</f>
        <v>0</v>
      </c>
      <c r="D415" s="77">
        <f>'1. Accomodation'!P410</f>
        <v>0</v>
      </c>
      <c r="E415" s="77">
        <f>'1. Accomodation'!O410</f>
        <v>0</v>
      </c>
      <c r="G415" s="341">
        <f>IFERROR(INDEX('4. Valuation'!$C$10:$I$17,MATCH($D415,'4. Valuation'!$C$10:$C$17,0),MATCH($G$25,'4. Valuation'!$C$10:$I$10,0)),0)</f>
        <v>0</v>
      </c>
      <c r="H415" s="273">
        <f>IFERROR(INDEX('4. Valuation'!$C$10:$I$17,MATCH($D415,'4. Valuation'!$C$10:$C$17,0),MATCH($H$25,'4. Valuation'!$C$10:$I$10,0)),0)</f>
        <v>0</v>
      </c>
      <c r="I415" s="359" t="str">
        <f>IFERROR(INDEX('4. Valuation'!$C$10:$I$17,MATCH($D415,'4. Valuation'!$C$10:$C$17,0),MATCH($I$25,'4. Valuation'!$C$10:$I$10,0)),0)</f>
        <v>-</v>
      </c>
      <c r="J415" s="277"/>
      <c r="K415" s="312">
        <f t="shared" si="83"/>
        <v>0</v>
      </c>
      <c r="L415" s="312">
        <f t="shared" si="84"/>
        <v>0</v>
      </c>
      <c r="M415" s="359">
        <f t="shared" si="85"/>
        <v>0</v>
      </c>
      <c r="N415" s="278"/>
      <c r="O415" s="278"/>
      <c r="P415" s="278"/>
      <c r="Q415" s="278"/>
      <c r="R415" s="312">
        <f>IFERROR(INDEX('4. Valuation'!$O$10:$X$17,MATCH($D415,'4. Valuation'!$O$10:$O$17,0),MATCH($R$25,'4. Valuation'!$O$10:$X$10,0)),0)</f>
        <v>0</v>
      </c>
      <c r="S415" s="312">
        <f>IFERROR(INDEX('4. Valuation'!$O$10:$X$17,MATCH($D415,'4. Valuation'!$O$10:$O$17,0),MATCH($S$25,'4. Valuation'!$O$10:$X$10,0)),0)</f>
        <v>0</v>
      </c>
      <c r="T415" s="312" t="str">
        <f>IFERROR(INDEX('4. Valuation'!$O$10:$X$17,MATCH($D415,'4. Valuation'!$O$10:$O$17,0),MATCH($T$25,'4. Valuation'!$O$10:$X$10,0)),0)</f>
        <v>-</v>
      </c>
      <c r="U415" s="278"/>
      <c r="V415" s="312">
        <f t="shared" si="86"/>
        <v>0</v>
      </c>
      <c r="W415" s="312">
        <f t="shared" si="87"/>
        <v>0</v>
      </c>
      <c r="X415" s="312">
        <f t="shared" si="88"/>
        <v>0</v>
      </c>
      <c r="Y415" s="278"/>
      <c r="Z415" s="312">
        <f t="shared" si="89"/>
        <v>0</v>
      </c>
      <c r="AA415" s="312">
        <f>'3. GRI Pricing'!Y406</f>
        <v>0</v>
      </c>
      <c r="AB415" s="359">
        <f t="shared" si="90"/>
        <v>0</v>
      </c>
    </row>
    <row r="416" spans="3:28" s="30" customFormat="1" ht="12" x14ac:dyDescent="0.2">
      <c r="C416" s="77">
        <f>'1. Accomodation'!N411</f>
        <v>0</v>
      </c>
      <c r="D416" s="77">
        <f>'1. Accomodation'!P411</f>
        <v>0</v>
      </c>
      <c r="E416" s="77">
        <f>'1. Accomodation'!O411</f>
        <v>0</v>
      </c>
      <c r="G416" s="341">
        <f>IFERROR(INDEX('4. Valuation'!$C$10:$I$17,MATCH($D416,'4. Valuation'!$C$10:$C$17,0),MATCH($G$25,'4. Valuation'!$C$10:$I$10,0)),0)</f>
        <v>0</v>
      </c>
      <c r="H416" s="273">
        <f>IFERROR(INDEX('4. Valuation'!$C$10:$I$17,MATCH($D416,'4. Valuation'!$C$10:$C$17,0),MATCH($H$25,'4. Valuation'!$C$10:$I$10,0)),0)</f>
        <v>0</v>
      </c>
      <c r="I416" s="359" t="str">
        <f>IFERROR(INDEX('4. Valuation'!$C$10:$I$17,MATCH($D416,'4. Valuation'!$C$10:$C$17,0),MATCH($I$25,'4. Valuation'!$C$10:$I$10,0)),0)</f>
        <v>-</v>
      </c>
      <c r="J416" s="277"/>
      <c r="K416" s="312">
        <f t="shared" si="83"/>
        <v>0</v>
      </c>
      <c r="L416" s="312">
        <f t="shared" si="84"/>
        <v>0</v>
      </c>
      <c r="M416" s="359">
        <f t="shared" si="85"/>
        <v>0</v>
      </c>
      <c r="N416" s="278"/>
      <c r="O416" s="278"/>
      <c r="P416" s="278"/>
      <c r="Q416" s="278"/>
      <c r="R416" s="312">
        <f>IFERROR(INDEX('4. Valuation'!$O$10:$X$17,MATCH($D416,'4. Valuation'!$O$10:$O$17,0),MATCH($R$25,'4. Valuation'!$O$10:$X$10,0)),0)</f>
        <v>0</v>
      </c>
      <c r="S416" s="312">
        <f>IFERROR(INDEX('4. Valuation'!$O$10:$X$17,MATCH($D416,'4. Valuation'!$O$10:$O$17,0),MATCH($S$25,'4. Valuation'!$O$10:$X$10,0)),0)</f>
        <v>0</v>
      </c>
      <c r="T416" s="312" t="str">
        <f>IFERROR(INDEX('4. Valuation'!$O$10:$X$17,MATCH($D416,'4. Valuation'!$O$10:$O$17,0),MATCH($T$25,'4. Valuation'!$O$10:$X$10,0)),0)</f>
        <v>-</v>
      </c>
      <c r="U416" s="278"/>
      <c r="V416" s="312">
        <f t="shared" si="86"/>
        <v>0</v>
      </c>
      <c r="W416" s="312">
        <f t="shared" si="87"/>
        <v>0</v>
      </c>
      <c r="X416" s="312">
        <f t="shared" si="88"/>
        <v>0</v>
      </c>
      <c r="Y416" s="278"/>
      <c r="Z416" s="312">
        <f t="shared" si="89"/>
        <v>0</v>
      </c>
      <c r="AA416" s="312">
        <f>'3. GRI Pricing'!Y407</f>
        <v>0</v>
      </c>
      <c r="AB416" s="359">
        <f t="shared" si="90"/>
        <v>0</v>
      </c>
    </row>
    <row r="417" spans="3:28" s="30" customFormat="1" ht="12" x14ac:dyDescent="0.2">
      <c r="C417" s="77">
        <f>'1. Accomodation'!N412</f>
        <v>0</v>
      </c>
      <c r="D417" s="77">
        <f>'1. Accomodation'!P412</f>
        <v>0</v>
      </c>
      <c r="E417" s="77">
        <f>'1. Accomodation'!O412</f>
        <v>0</v>
      </c>
      <c r="G417" s="341">
        <f>IFERROR(INDEX('4. Valuation'!$C$10:$I$17,MATCH($D417,'4. Valuation'!$C$10:$C$17,0),MATCH($G$25,'4. Valuation'!$C$10:$I$10,0)),0)</f>
        <v>0</v>
      </c>
      <c r="H417" s="273">
        <f>IFERROR(INDEX('4. Valuation'!$C$10:$I$17,MATCH($D417,'4. Valuation'!$C$10:$C$17,0),MATCH($H$25,'4. Valuation'!$C$10:$I$10,0)),0)</f>
        <v>0</v>
      </c>
      <c r="I417" s="359" t="str">
        <f>IFERROR(INDEX('4. Valuation'!$C$10:$I$17,MATCH($D417,'4. Valuation'!$C$10:$C$17,0),MATCH($I$25,'4. Valuation'!$C$10:$I$10,0)),0)</f>
        <v>-</v>
      </c>
      <c r="J417" s="277"/>
      <c r="K417" s="312">
        <f t="shared" si="83"/>
        <v>0</v>
      </c>
      <c r="L417" s="312">
        <f t="shared" si="84"/>
        <v>0</v>
      </c>
      <c r="M417" s="359">
        <f t="shared" si="85"/>
        <v>0</v>
      </c>
      <c r="N417" s="278"/>
      <c r="O417" s="278"/>
      <c r="P417" s="278"/>
      <c r="Q417" s="278"/>
      <c r="R417" s="312">
        <f>IFERROR(INDEX('4. Valuation'!$O$10:$X$17,MATCH($D417,'4. Valuation'!$O$10:$O$17,0),MATCH($R$25,'4. Valuation'!$O$10:$X$10,0)),0)</f>
        <v>0</v>
      </c>
      <c r="S417" s="312">
        <f>IFERROR(INDEX('4. Valuation'!$O$10:$X$17,MATCH($D417,'4. Valuation'!$O$10:$O$17,0),MATCH($S$25,'4. Valuation'!$O$10:$X$10,0)),0)</f>
        <v>0</v>
      </c>
      <c r="T417" s="312" t="str">
        <f>IFERROR(INDEX('4. Valuation'!$O$10:$X$17,MATCH($D417,'4. Valuation'!$O$10:$O$17,0),MATCH($T$25,'4. Valuation'!$O$10:$X$10,0)),0)</f>
        <v>-</v>
      </c>
      <c r="U417" s="278"/>
      <c r="V417" s="312">
        <f t="shared" si="86"/>
        <v>0</v>
      </c>
      <c r="W417" s="312">
        <f t="shared" si="87"/>
        <v>0</v>
      </c>
      <c r="X417" s="312">
        <f t="shared" si="88"/>
        <v>0</v>
      </c>
      <c r="Y417" s="278"/>
      <c r="Z417" s="312">
        <f t="shared" si="89"/>
        <v>0</v>
      </c>
      <c r="AA417" s="312">
        <f>'3. GRI Pricing'!Y408</f>
        <v>0</v>
      </c>
      <c r="AB417" s="359">
        <f t="shared" si="90"/>
        <v>0</v>
      </c>
    </row>
    <row r="418" spans="3:28" s="30" customFormat="1" ht="12" x14ac:dyDescent="0.2">
      <c r="C418" s="77">
        <f>'1. Accomodation'!N413</f>
        <v>0</v>
      </c>
      <c r="D418" s="77">
        <f>'1. Accomodation'!P413</f>
        <v>0</v>
      </c>
      <c r="E418" s="77">
        <f>'1. Accomodation'!O413</f>
        <v>0</v>
      </c>
      <c r="G418" s="341">
        <f>IFERROR(INDEX('4. Valuation'!$C$10:$I$17,MATCH($D418,'4. Valuation'!$C$10:$C$17,0),MATCH($G$25,'4. Valuation'!$C$10:$I$10,0)),0)</f>
        <v>0</v>
      </c>
      <c r="H418" s="273">
        <f>IFERROR(INDEX('4. Valuation'!$C$10:$I$17,MATCH($D418,'4. Valuation'!$C$10:$C$17,0),MATCH($H$25,'4. Valuation'!$C$10:$I$10,0)),0)</f>
        <v>0</v>
      </c>
      <c r="I418" s="359" t="str">
        <f>IFERROR(INDEX('4. Valuation'!$C$10:$I$17,MATCH($D418,'4. Valuation'!$C$10:$C$17,0),MATCH($I$25,'4. Valuation'!$C$10:$I$10,0)),0)</f>
        <v>-</v>
      </c>
      <c r="J418" s="277"/>
      <c r="K418" s="312">
        <f t="shared" si="83"/>
        <v>0</v>
      </c>
      <c r="L418" s="312">
        <f t="shared" si="84"/>
        <v>0</v>
      </c>
      <c r="M418" s="359">
        <f t="shared" si="85"/>
        <v>0</v>
      </c>
      <c r="N418" s="278"/>
      <c r="O418" s="278"/>
      <c r="P418" s="278"/>
      <c r="Q418" s="278"/>
      <c r="R418" s="312">
        <f>IFERROR(INDEX('4. Valuation'!$O$10:$X$17,MATCH($D418,'4. Valuation'!$O$10:$O$17,0),MATCH($R$25,'4. Valuation'!$O$10:$X$10,0)),0)</f>
        <v>0</v>
      </c>
      <c r="S418" s="312">
        <f>IFERROR(INDEX('4. Valuation'!$O$10:$X$17,MATCH($D418,'4. Valuation'!$O$10:$O$17,0),MATCH($S$25,'4. Valuation'!$O$10:$X$10,0)),0)</f>
        <v>0</v>
      </c>
      <c r="T418" s="312" t="str">
        <f>IFERROR(INDEX('4. Valuation'!$O$10:$X$17,MATCH($D418,'4. Valuation'!$O$10:$O$17,0),MATCH($T$25,'4. Valuation'!$O$10:$X$10,0)),0)</f>
        <v>-</v>
      </c>
      <c r="U418" s="278"/>
      <c r="V418" s="312">
        <f t="shared" si="86"/>
        <v>0</v>
      </c>
      <c r="W418" s="312">
        <f t="shared" si="87"/>
        <v>0</v>
      </c>
      <c r="X418" s="312">
        <f t="shared" si="88"/>
        <v>0</v>
      </c>
      <c r="Y418" s="278"/>
      <c r="Z418" s="312">
        <f t="shared" si="89"/>
        <v>0</v>
      </c>
      <c r="AA418" s="312">
        <f>'3. GRI Pricing'!Y409</f>
        <v>0</v>
      </c>
      <c r="AB418" s="359">
        <f t="shared" si="90"/>
        <v>0</v>
      </c>
    </row>
    <row r="419" spans="3:28" s="30" customFormat="1" ht="12" x14ac:dyDescent="0.2">
      <c r="C419" s="77">
        <f>'1. Accomodation'!N414</f>
        <v>0</v>
      </c>
      <c r="D419" s="77">
        <f>'1. Accomodation'!P414</f>
        <v>0</v>
      </c>
      <c r="E419" s="77">
        <f>'1. Accomodation'!O414</f>
        <v>0</v>
      </c>
      <c r="G419" s="341">
        <f>IFERROR(INDEX('4. Valuation'!$C$10:$I$17,MATCH($D419,'4. Valuation'!$C$10:$C$17,0),MATCH($G$25,'4. Valuation'!$C$10:$I$10,0)),0)</f>
        <v>0</v>
      </c>
      <c r="H419" s="273">
        <f>IFERROR(INDEX('4. Valuation'!$C$10:$I$17,MATCH($D419,'4. Valuation'!$C$10:$C$17,0),MATCH($H$25,'4. Valuation'!$C$10:$I$10,0)),0)</f>
        <v>0</v>
      </c>
      <c r="I419" s="359" t="str">
        <f>IFERROR(INDEX('4. Valuation'!$C$10:$I$17,MATCH($D419,'4. Valuation'!$C$10:$C$17,0),MATCH($I$25,'4. Valuation'!$C$10:$I$10,0)),0)</f>
        <v>-</v>
      </c>
      <c r="J419" s="277"/>
      <c r="K419" s="312">
        <f t="shared" si="83"/>
        <v>0</v>
      </c>
      <c r="L419" s="312">
        <f t="shared" si="84"/>
        <v>0</v>
      </c>
      <c r="M419" s="359">
        <f t="shared" si="85"/>
        <v>0</v>
      </c>
      <c r="N419" s="278"/>
      <c r="O419" s="278"/>
      <c r="P419" s="278"/>
      <c r="Q419" s="278"/>
      <c r="R419" s="312">
        <f>IFERROR(INDEX('4. Valuation'!$O$10:$X$17,MATCH($D419,'4. Valuation'!$O$10:$O$17,0),MATCH($R$25,'4. Valuation'!$O$10:$X$10,0)),0)</f>
        <v>0</v>
      </c>
      <c r="S419" s="312">
        <f>IFERROR(INDEX('4. Valuation'!$O$10:$X$17,MATCH($D419,'4. Valuation'!$O$10:$O$17,0),MATCH($S$25,'4. Valuation'!$O$10:$X$10,0)),0)</f>
        <v>0</v>
      </c>
      <c r="T419" s="312" t="str">
        <f>IFERROR(INDEX('4. Valuation'!$O$10:$X$17,MATCH($D419,'4. Valuation'!$O$10:$O$17,0),MATCH($T$25,'4. Valuation'!$O$10:$X$10,0)),0)</f>
        <v>-</v>
      </c>
      <c r="U419" s="278"/>
      <c r="V419" s="312">
        <f t="shared" si="86"/>
        <v>0</v>
      </c>
      <c r="W419" s="312">
        <f t="shared" si="87"/>
        <v>0</v>
      </c>
      <c r="X419" s="312">
        <f t="shared" si="88"/>
        <v>0</v>
      </c>
      <c r="Y419" s="278"/>
      <c r="Z419" s="312">
        <f t="shared" si="89"/>
        <v>0</v>
      </c>
      <c r="AA419" s="312">
        <f>'3. GRI Pricing'!Y410</f>
        <v>0</v>
      </c>
      <c r="AB419" s="359">
        <f t="shared" si="90"/>
        <v>0</v>
      </c>
    </row>
    <row r="420" spans="3:28" s="30" customFormat="1" ht="12" x14ac:dyDescent="0.2">
      <c r="C420" s="77">
        <f>'1. Accomodation'!N415</f>
        <v>0</v>
      </c>
      <c r="D420" s="77">
        <f>'1. Accomodation'!P415</f>
        <v>0</v>
      </c>
      <c r="E420" s="77">
        <f>'1. Accomodation'!O415</f>
        <v>0</v>
      </c>
      <c r="G420" s="341">
        <f>IFERROR(INDEX('4. Valuation'!$C$10:$I$17,MATCH($D420,'4. Valuation'!$C$10:$C$17,0),MATCH($G$25,'4. Valuation'!$C$10:$I$10,0)),0)</f>
        <v>0</v>
      </c>
      <c r="H420" s="273">
        <f>IFERROR(INDEX('4. Valuation'!$C$10:$I$17,MATCH($D420,'4. Valuation'!$C$10:$C$17,0),MATCH($H$25,'4. Valuation'!$C$10:$I$10,0)),0)</f>
        <v>0</v>
      </c>
      <c r="I420" s="359" t="str">
        <f>IFERROR(INDEX('4. Valuation'!$C$10:$I$17,MATCH($D420,'4. Valuation'!$C$10:$C$17,0),MATCH($I$25,'4. Valuation'!$C$10:$I$10,0)),0)</f>
        <v>-</v>
      </c>
      <c r="J420" s="277"/>
      <c r="K420" s="312">
        <f t="shared" si="83"/>
        <v>0</v>
      </c>
      <c r="L420" s="312">
        <f t="shared" si="84"/>
        <v>0</v>
      </c>
      <c r="M420" s="359">
        <f t="shared" si="85"/>
        <v>0</v>
      </c>
      <c r="N420" s="278"/>
      <c r="O420" s="278"/>
      <c r="P420" s="278"/>
      <c r="Q420" s="278"/>
      <c r="R420" s="312">
        <f>IFERROR(INDEX('4. Valuation'!$O$10:$X$17,MATCH($D420,'4. Valuation'!$O$10:$O$17,0),MATCH($R$25,'4. Valuation'!$O$10:$X$10,0)),0)</f>
        <v>0</v>
      </c>
      <c r="S420" s="312">
        <f>IFERROR(INDEX('4. Valuation'!$O$10:$X$17,MATCH($D420,'4. Valuation'!$O$10:$O$17,0),MATCH($S$25,'4. Valuation'!$O$10:$X$10,0)),0)</f>
        <v>0</v>
      </c>
      <c r="T420" s="312" t="str">
        <f>IFERROR(INDEX('4. Valuation'!$O$10:$X$17,MATCH($D420,'4. Valuation'!$O$10:$O$17,0),MATCH($T$25,'4. Valuation'!$O$10:$X$10,0)),0)</f>
        <v>-</v>
      </c>
      <c r="U420" s="278"/>
      <c r="V420" s="312">
        <f t="shared" si="86"/>
        <v>0</v>
      </c>
      <c r="W420" s="312">
        <f t="shared" si="87"/>
        <v>0</v>
      </c>
      <c r="X420" s="312">
        <f t="shared" si="88"/>
        <v>0</v>
      </c>
      <c r="Y420" s="278"/>
      <c r="Z420" s="312">
        <f t="shared" si="89"/>
        <v>0</v>
      </c>
      <c r="AA420" s="312">
        <f>'3. GRI Pricing'!Y411</f>
        <v>0</v>
      </c>
      <c r="AB420" s="359">
        <f t="shared" si="90"/>
        <v>0</v>
      </c>
    </row>
    <row r="421" spans="3:28" s="30" customFormat="1" ht="12" x14ac:dyDescent="0.2">
      <c r="C421" s="77">
        <f>'1. Accomodation'!N416</f>
        <v>0</v>
      </c>
      <c r="D421" s="77">
        <f>'1. Accomodation'!P416</f>
        <v>0</v>
      </c>
      <c r="E421" s="77">
        <f>'1. Accomodation'!O416</f>
        <v>0</v>
      </c>
      <c r="G421" s="341">
        <f>IFERROR(INDEX('4. Valuation'!$C$10:$I$17,MATCH($D421,'4. Valuation'!$C$10:$C$17,0),MATCH($G$25,'4. Valuation'!$C$10:$I$10,0)),0)</f>
        <v>0</v>
      </c>
      <c r="H421" s="273">
        <f>IFERROR(INDEX('4. Valuation'!$C$10:$I$17,MATCH($D421,'4. Valuation'!$C$10:$C$17,0),MATCH($H$25,'4. Valuation'!$C$10:$I$10,0)),0)</f>
        <v>0</v>
      </c>
      <c r="I421" s="359" t="str">
        <f>IFERROR(INDEX('4. Valuation'!$C$10:$I$17,MATCH($D421,'4. Valuation'!$C$10:$C$17,0),MATCH($I$25,'4. Valuation'!$C$10:$I$10,0)),0)</f>
        <v>-</v>
      </c>
      <c r="J421" s="277"/>
      <c r="K421" s="312">
        <f t="shared" si="83"/>
        <v>0</v>
      </c>
      <c r="L421" s="312">
        <f t="shared" si="84"/>
        <v>0</v>
      </c>
      <c r="M421" s="359">
        <f t="shared" si="85"/>
        <v>0</v>
      </c>
      <c r="N421" s="278"/>
      <c r="O421" s="278"/>
      <c r="P421" s="278"/>
      <c r="Q421" s="278"/>
      <c r="R421" s="312">
        <f>IFERROR(INDEX('4. Valuation'!$O$10:$X$17,MATCH($D421,'4. Valuation'!$O$10:$O$17,0),MATCH($R$25,'4. Valuation'!$O$10:$X$10,0)),0)</f>
        <v>0</v>
      </c>
      <c r="S421" s="312">
        <f>IFERROR(INDEX('4. Valuation'!$O$10:$X$17,MATCH($D421,'4. Valuation'!$O$10:$O$17,0),MATCH($S$25,'4. Valuation'!$O$10:$X$10,0)),0)</f>
        <v>0</v>
      </c>
      <c r="T421" s="312" t="str">
        <f>IFERROR(INDEX('4. Valuation'!$O$10:$X$17,MATCH($D421,'4. Valuation'!$O$10:$O$17,0),MATCH($T$25,'4. Valuation'!$O$10:$X$10,0)),0)</f>
        <v>-</v>
      </c>
      <c r="U421" s="278"/>
      <c r="V421" s="312">
        <f t="shared" si="86"/>
        <v>0</v>
      </c>
      <c r="W421" s="312">
        <f t="shared" si="87"/>
        <v>0</v>
      </c>
      <c r="X421" s="312">
        <f t="shared" si="88"/>
        <v>0</v>
      </c>
      <c r="Y421" s="278"/>
      <c r="Z421" s="312">
        <f t="shared" si="89"/>
        <v>0</v>
      </c>
      <c r="AA421" s="312">
        <f>'3. GRI Pricing'!Y412</f>
        <v>0</v>
      </c>
      <c r="AB421" s="359">
        <f t="shared" si="90"/>
        <v>0</v>
      </c>
    </row>
    <row r="422" spans="3:28" s="30" customFormat="1" ht="12" x14ac:dyDescent="0.2">
      <c r="C422" s="77">
        <f>'1. Accomodation'!N417</f>
        <v>0</v>
      </c>
      <c r="D422" s="77">
        <f>'1. Accomodation'!P417</f>
        <v>0</v>
      </c>
      <c r="E422" s="77">
        <f>'1. Accomodation'!O417</f>
        <v>0</v>
      </c>
      <c r="G422" s="341">
        <f>IFERROR(INDEX('4. Valuation'!$C$10:$I$17,MATCH($D422,'4. Valuation'!$C$10:$C$17,0),MATCH($G$25,'4. Valuation'!$C$10:$I$10,0)),0)</f>
        <v>0</v>
      </c>
      <c r="H422" s="273">
        <f>IFERROR(INDEX('4. Valuation'!$C$10:$I$17,MATCH($D422,'4. Valuation'!$C$10:$C$17,0),MATCH($H$25,'4. Valuation'!$C$10:$I$10,0)),0)</f>
        <v>0</v>
      </c>
      <c r="I422" s="359" t="str">
        <f>IFERROR(INDEX('4. Valuation'!$C$10:$I$17,MATCH($D422,'4. Valuation'!$C$10:$C$17,0),MATCH($I$25,'4. Valuation'!$C$10:$I$10,0)),0)</f>
        <v>-</v>
      </c>
      <c r="J422" s="277"/>
      <c r="K422" s="312">
        <f t="shared" si="83"/>
        <v>0</v>
      </c>
      <c r="L422" s="312">
        <f t="shared" si="84"/>
        <v>0</v>
      </c>
      <c r="M422" s="359">
        <f t="shared" si="85"/>
        <v>0</v>
      </c>
      <c r="N422" s="278"/>
      <c r="O422" s="278"/>
      <c r="P422" s="278"/>
      <c r="Q422" s="278"/>
      <c r="R422" s="312">
        <f>IFERROR(INDEX('4. Valuation'!$O$10:$X$17,MATCH($D422,'4. Valuation'!$O$10:$O$17,0),MATCH($R$25,'4. Valuation'!$O$10:$X$10,0)),0)</f>
        <v>0</v>
      </c>
      <c r="S422" s="312">
        <f>IFERROR(INDEX('4. Valuation'!$O$10:$X$17,MATCH($D422,'4. Valuation'!$O$10:$O$17,0),MATCH($S$25,'4. Valuation'!$O$10:$X$10,0)),0)</f>
        <v>0</v>
      </c>
      <c r="T422" s="312" t="str">
        <f>IFERROR(INDEX('4. Valuation'!$O$10:$X$17,MATCH($D422,'4. Valuation'!$O$10:$O$17,0),MATCH($T$25,'4. Valuation'!$O$10:$X$10,0)),0)</f>
        <v>-</v>
      </c>
      <c r="U422" s="278"/>
      <c r="V422" s="312">
        <f t="shared" si="86"/>
        <v>0</v>
      </c>
      <c r="W422" s="312">
        <f t="shared" si="87"/>
        <v>0</v>
      </c>
      <c r="X422" s="312">
        <f t="shared" si="88"/>
        <v>0</v>
      </c>
      <c r="Y422" s="278"/>
      <c r="Z422" s="312">
        <f t="shared" si="89"/>
        <v>0</v>
      </c>
      <c r="AA422" s="312">
        <f>'3. GRI Pricing'!Y413</f>
        <v>0</v>
      </c>
      <c r="AB422" s="359">
        <f t="shared" si="90"/>
        <v>0</v>
      </c>
    </row>
    <row r="423" spans="3:28" s="30" customFormat="1" ht="12" x14ac:dyDescent="0.2">
      <c r="C423" s="77">
        <f>'1. Accomodation'!N418</f>
        <v>0</v>
      </c>
      <c r="D423" s="77">
        <f>'1. Accomodation'!P418</f>
        <v>0</v>
      </c>
      <c r="E423" s="77">
        <f>'1. Accomodation'!O418</f>
        <v>0</v>
      </c>
      <c r="G423" s="341">
        <f>IFERROR(INDEX('4. Valuation'!$C$10:$I$17,MATCH($D423,'4. Valuation'!$C$10:$C$17,0),MATCH($G$25,'4. Valuation'!$C$10:$I$10,0)),0)</f>
        <v>0</v>
      </c>
      <c r="H423" s="273">
        <f>IFERROR(INDEX('4. Valuation'!$C$10:$I$17,MATCH($D423,'4. Valuation'!$C$10:$C$17,0),MATCH($H$25,'4. Valuation'!$C$10:$I$10,0)),0)</f>
        <v>0</v>
      </c>
      <c r="I423" s="359" t="str">
        <f>IFERROR(INDEX('4. Valuation'!$C$10:$I$17,MATCH($D423,'4. Valuation'!$C$10:$C$17,0),MATCH($I$25,'4. Valuation'!$C$10:$I$10,0)),0)</f>
        <v>-</v>
      </c>
      <c r="J423" s="277"/>
      <c r="K423" s="312">
        <f t="shared" si="83"/>
        <v>0</v>
      </c>
      <c r="L423" s="312">
        <f t="shared" si="84"/>
        <v>0</v>
      </c>
      <c r="M423" s="359">
        <f t="shared" si="85"/>
        <v>0</v>
      </c>
      <c r="N423" s="278"/>
      <c r="O423" s="278"/>
      <c r="P423" s="278"/>
      <c r="Q423" s="278"/>
      <c r="R423" s="312">
        <f>IFERROR(INDEX('4. Valuation'!$O$10:$X$17,MATCH($D423,'4. Valuation'!$O$10:$O$17,0),MATCH($R$25,'4. Valuation'!$O$10:$X$10,0)),0)</f>
        <v>0</v>
      </c>
      <c r="S423" s="312">
        <f>IFERROR(INDEX('4. Valuation'!$O$10:$X$17,MATCH($D423,'4. Valuation'!$O$10:$O$17,0),MATCH($S$25,'4. Valuation'!$O$10:$X$10,0)),0)</f>
        <v>0</v>
      </c>
      <c r="T423" s="312" t="str">
        <f>IFERROR(INDEX('4. Valuation'!$O$10:$X$17,MATCH($D423,'4. Valuation'!$O$10:$O$17,0),MATCH($T$25,'4. Valuation'!$O$10:$X$10,0)),0)</f>
        <v>-</v>
      </c>
      <c r="U423" s="278"/>
      <c r="V423" s="312">
        <f t="shared" si="86"/>
        <v>0</v>
      </c>
      <c r="W423" s="312">
        <f t="shared" si="87"/>
        <v>0</v>
      </c>
      <c r="X423" s="312">
        <f t="shared" si="88"/>
        <v>0</v>
      </c>
      <c r="Y423" s="278"/>
      <c r="Z423" s="312">
        <f t="shared" si="89"/>
        <v>0</v>
      </c>
      <c r="AA423" s="312">
        <f>'3. GRI Pricing'!Y414</f>
        <v>0</v>
      </c>
      <c r="AB423" s="359">
        <f t="shared" si="90"/>
        <v>0</v>
      </c>
    </row>
    <row r="424" spans="3:28" s="30" customFormat="1" ht="12" x14ac:dyDescent="0.2">
      <c r="C424" s="77">
        <f>'1. Accomodation'!N419</f>
        <v>0</v>
      </c>
      <c r="D424" s="77">
        <f>'1. Accomodation'!P419</f>
        <v>0</v>
      </c>
      <c r="E424" s="77">
        <f>'1. Accomodation'!O419</f>
        <v>0</v>
      </c>
      <c r="G424" s="341">
        <f>IFERROR(INDEX('4. Valuation'!$C$10:$I$17,MATCH($D424,'4. Valuation'!$C$10:$C$17,0),MATCH($G$25,'4. Valuation'!$C$10:$I$10,0)),0)</f>
        <v>0</v>
      </c>
      <c r="H424" s="273">
        <f>IFERROR(INDEX('4. Valuation'!$C$10:$I$17,MATCH($D424,'4. Valuation'!$C$10:$C$17,0),MATCH($H$25,'4. Valuation'!$C$10:$I$10,0)),0)</f>
        <v>0</v>
      </c>
      <c r="I424" s="359" t="str">
        <f>IFERROR(INDEX('4. Valuation'!$C$10:$I$17,MATCH($D424,'4. Valuation'!$C$10:$C$17,0),MATCH($I$25,'4. Valuation'!$C$10:$I$10,0)),0)</f>
        <v>-</v>
      </c>
      <c r="J424" s="277"/>
      <c r="K424" s="312">
        <f t="shared" si="83"/>
        <v>0</v>
      </c>
      <c r="L424" s="312">
        <f t="shared" si="84"/>
        <v>0</v>
      </c>
      <c r="M424" s="359">
        <f t="shared" si="85"/>
        <v>0</v>
      </c>
      <c r="N424" s="278"/>
      <c r="O424" s="278"/>
      <c r="P424" s="278"/>
      <c r="Q424" s="278"/>
      <c r="R424" s="312">
        <f>IFERROR(INDEX('4. Valuation'!$O$10:$X$17,MATCH($D424,'4. Valuation'!$O$10:$O$17,0),MATCH($R$25,'4. Valuation'!$O$10:$X$10,0)),0)</f>
        <v>0</v>
      </c>
      <c r="S424" s="312">
        <f>IFERROR(INDEX('4. Valuation'!$O$10:$X$17,MATCH($D424,'4. Valuation'!$O$10:$O$17,0),MATCH($S$25,'4. Valuation'!$O$10:$X$10,0)),0)</f>
        <v>0</v>
      </c>
      <c r="T424" s="312" t="str">
        <f>IFERROR(INDEX('4. Valuation'!$O$10:$X$17,MATCH($D424,'4. Valuation'!$O$10:$O$17,0),MATCH($T$25,'4. Valuation'!$O$10:$X$10,0)),0)</f>
        <v>-</v>
      </c>
      <c r="U424" s="278"/>
      <c r="V424" s="312">
        <f t="shared" si="86"/>
        <v>0</v>
      </c>
      <c r="W424" s="312">
        <f t="shared" si="87"/>
        <v>0</v>
      </c>
      <c r="X424" s="312">
        <f t="shared" si="88"/>
        <v>0</v>
      </c>
      <c r="Y424" s="278"/>
      <c r="Z424" s="312">
        <f t="shared" si="89"/>
        <v>0</v>
      </c>
      <c r="AA424" s="312">
        <f>'3. GRI Pricing'!Y415</f>
        <v>0</v>
      </c>
      <c r="AB424" s="359">
        <f t="shared" si="90"/>
        <v>0</v>
      </c>
    </row>
    <row r="425" spans="3:28" s="30" customFormat="1" ht="12" x14ac:dyDescent="0.2">
      <c r="C425" s="77">
        <f>'1. Accomodation'!N420</f>
        <v>0</v>
      </c>
      <c r="D425" s="77">
        <f>'1. Accomodation'!P420</f>
        <v>0</v>
      </c>
      <c r="E425" s="77">
        <f>'1. Accomodation'!O420</f>
        <v>0</v>
      </c>
      <c r="G425" s="341">
        <f>IFERROR(INDEX('4. Valuation'!$C$10:$I$17,MATCH($D425,'4. Valuation'!$C$10:$C$17,0),MATCH($G$25,'4. Valuation'!$C$10:$I$10,0)),0)</f>
        <v>0</v>
      </c>
      <c r="H425" s="273">
        <f>IFERROR(INDEX('4. Valuation'!$C$10:$I$17,MATCH($D425,'4. Valuation'!$C$10:$C$17,0),MATCH($H$25,'4. Valuation'!$C$10:$I$10,0)),0)</f>
        <v>0</v>
      </c>
      <c r="I425" s="359" t="str">
        <f>IFERROR(INDEX('4. Valuation'!$C$10:$I$17,MATCH($D425,'4. Valuation'!$C$10:$C$17,0),MATCH($I$25,'4. Valuation'!$C$10:$I$10,0)),0)</f>
        <v>-</v>
      </c>
      <c r="J425" s="277"/>
      <c r="K425" s="312">
        <f t="shared" si="83"/>
        <v>0</v>
      </c>
      <c r="L425" s="312">
        <f t="shared" si="84"/>
        <v>0</v>
      </c>
      <c r="M425" s="359">
        <f t="shared" si="85"/>
        <v>0</v>
      </c>
      <c r="N425" s="278"/>
      <c r="O425" s="278"/>
      <c r="P425" s="278"/>
      <c r="Q425" s="278"/>
      <c r="R425" s="312">
        <f>IFERROR(INDEX('4. Valuation'!$O$10:$X$17,MATCH($D425,'4. Valuation'!$O$10:$O$17,0),MATCH($R$25,'4. Valuation'!$O$10:$X$10,0)),0)</f>
        <v>0</v>
      </c>
      <c r="S425" s="312">
        <f>IFERROR(INDEX('4. Valuation'!$O$10:$X$17,MATCH($D425,'4. Valuation'!$O$10:$O$17,0),MATCH($S$25,'4. Valuation'!$O$10:$X$10,0)),0)</f>
        <v>0</v>
      </c>
      <c r="T425" s="312" t="str">
        <f>IFERROR(INDEX('4. Valuation'!$O$10:$X$17,MATCH($D425,'4. Valuation'!$O$10:$O$17,0),MATCH($T$25,'4. Valuation'!$O$10:$X$10,0)),0)</f>
        <v>-</v>
      </c>
      <c r="U425" s="278"/>
      <c r="V425" s="312">
        <f t="shared" si="86"/>
        <v>0</v>
      </c>
      <c r="W425" s="312">
        <f t="shared" si="87"/>
        <v>0</v>
      </c>
      <c r="X425" s="312">
        <f t="shared" si="88"/>
        <v>0</v>
      </c>
      <c r="Y425" s="278"/>
      <c r="Z425" s="312">
        <f t="shared" si="89"/>
        <v>0</v>
      </c>
      <c r="AA425" s="312">
        <f>'3. GRI Pricing'!Y416</f>
        <v>0</v>
      </c>
      <c r="AB425" s="359">
        <f t="shared" si="90"/>
        <v>0</v>
      </c>
    </row>
    <row r="426" spans="3:28" s="30" customFormat="1" ht="12" x14ac:dyDescent="0.2">
      <c r="C426" s="77">
        <f>'1. Accomodation'!N421</f>
        <v>0</v>
      </c>
      <c r="D426" s="77">
        <f>'1. Accomodation'!P421</f>
        <v>0</v>
      </c>
      <c r="E426" s="77">
        <f>'1. Accomodation'!O421</f>
        <v>0</v>
      </c>
      <c r="G426" s="341">
        <f>IFERROR(INDEX('4. Valuation'!$C$10:$I$17,MATCH($D426,'4. Valuation'!$C$10:$C$17,0),MATCH($G$25,'4. Valuation'!$C$10:$I$10,0)),0)</f>
        <v>0</v>
      </c>
      <c r="H426" s="273">
        <f>IFERROR(INDEX('4. Valuation'!$C$10:$I$17,MATCH($D426,'4. Valuation'!$C$10:$C$17,0),MATCH($H$25,'4. Valuation'!$C$10:$I$10,0)),0)</f>
        <v>0</v>
      </c>
      <c r="I426" s="359" t="str">
        <f>IFERROR(INDEX('4. Valuation'!$C$10:$I$17,MATCH($D426,'4. Valuation'!$C$10:$C$17,0),MATCH($I$25,'4. Valuation'!$C$10:$I$10,0)),0)</f>
        <v>-</v>
      </c>
      <c r="J426" s="277"/>
      <c r="K426" s="312">
        <f t="shared" si="83"/>
        <v>0</v>
      </c>
      <c r="L426" s="312">
        <f t="shared" si="84"/>
        <v>0</v>
      </c>
      <c r="M426" s="359">
        <f t="shared" si="85"/>
        <v>0</v>
      </c>
      <c r="N426" s="278"/>
      <c r="O426" s="278"/>
      <c r="P426" s="278"/>
      <c r="Q426" s="278"/>
      <c r="R426" s="312">
        <f>IFERROR(INDEX('4. Valuation'!$O$10:$X$17,MATCH($D426,'4. Valuation'!$O$10:$O$17,0),MATCH($R$25,'4. Valuation'!$O$10:$X$10,0)),0)</f>
        <v>0</v>
      </c>
      <c r="S426" s="312">
        <f>IFERROR(INDEX('4. Valuation'!$O$10:$X$17,MATCH($D426,'4. Valuation'!$O$10:$O$17,0),MATCH($S$25,'4. Valuation'!$O$10:$X$10,0)),0)</f>
        <v>0</v>
      </c>
      <c r="T426" s="312" t="str">
        <f>IFERROR(INDEX('4. Valuation'!$O$10:$X$17,MATCH($D426,'4. Valuation'!$O$10:$O$17,0),MATCH($T$25,'4. Valuation'!$O$10:$X$10,0)),0)</f>
        <v>-</v>
      </c>
      <c r="U426" s="278"/>
      <c r="V426" s="312">
        <f t="shared" si="86"/>
        <v>0</v>
      </c>
      <c r="W426" s="312">
        <f t="shared" si="87"/>
        <v>0</v>
      </c>
      <c r="X426" s="312">
        <f t="shared" si="88"/>
        <v>0</v>
      </c>
      <c r="Y426" s="278"/>
      <c r="Z426" s="312">
        <f t="shared" si="89"/>
        <v>0</v>
      </c>
      <c r="AA426" s="312">
        <f>'3. GRI Pricing'!Y417</f>
        <v>0</v>
      </c>
      <c r="AB426" s="359">
        <f t="shared" si="90"/>
        <v>0</v>
      </c>
    </row>
    <row r="427" spans="3:28" s="30" customFormat="1" ht="12" x14ac:dyDescent="0.2">
      <c r="C427" s="77">
        <f>'1. Accomodation'!N422</f>
        <v>0</v>
      </c>
      <c r="D427" s="77">
        <f>'1. Accomodation'!P422</f>
        <v>0</v>
      </c>
      <c r="E427" s="77">
        <f>'1. Accomodation'!O422</f>
        <v>0</v>
      </c>
      <c r="G427" s="341">
        <f>IFERROR(INDEX('4. Valuation'!$C$10:$I$17,MATCH($D427,'4. Valuation'!$C$10:$C$17,0),MATCH($G$25,'4. Valuation'!$C$10:$I$10,0)),0)</f>
        <v>0</v>
      </c>
      <c r="H427" s="273">
        <f>IFERROR(INDEX('4. Valuation'!$C$10:$I$17,MATCH($D427,'4. Valuation'!$C$10:$C$17,0),MATCH($H$25,'4. Valuation'!$C$10:$I$10,0)),0)</f>
        <v>0</v>
      </c>
      <c r="I427" s="359" t="str">
        <f>IFERROR(INDEX('4. Valuation'!$C$10:$I$17,MATCH($D427,'4. Valuation'!$C$10:$C$17,0),MATCH($I$25,'4. Valuation'!$C$10:$I$10,0)),0)</f>
        <v>-</v>
      </c>
      <c r="J427" s="277"/>
      <c r="K427" s="312">
        <f t="shared" si="83"/>
        <v>0</v>
      </c>
      <c r="L427" s="312">
        <f t="shared" si="84"/>
        <v>0</v>
      </c>
      <c r="M427" s="359">
        <f t="shared" si="85"/>
        <v>0</v>
      </c>
      <c r="N427" s="278"/>
      <c r="O427" s="278"/>
      <c r="P427" s="278"/>
      <c r="Q427" s="278"/>
      <c r="R427" s="312">
        <f>IFERROR(INDEX('4. Valuation'!$O$10:$X$17,MATCH($D427,'4. Valuation'!$O$10:$O$17,0),MATCH($R$25,'4. Valuation'!$O$10:$X$10,0)),0)</f>
        <v>0</v>
      </c>
      <c r="S427" s="312">
        <f>IFERROR(INDEX('4. Valuation'!$O$10:$X$17,MATCH($D427,'4. Valuation'!$O$10:$O$17,0),MATCH($S$25,'4. Valuation'!$O$10:$X$10,0)),0)</f>
        <v>0</v>
      </c>
      <c r="T427" s="312" t="str">
        <f>IFERROR(INDEX('4. Valuation'!$O$10:$X$17,MATCH($D427,'4. Valuation'!$O$10:$O$17,0),MATCH($T$25,'4. Valuation'!$O$10:$X$10,0)),0)</f>
        <v>-</v>
      </c>
      <c r="U427" s="278"/>
      <c r="V427" s="312">
        <f t="shared" si="86"/>
        <v>0</v>
      </c>
      <c r="W427" s="312">
        <f t="shared" si="87"/>
        <v>0</v>
      </c>
      <c r="X427" s="312">
        <f t="shared" si="88"/>
        <v>0</v>
      </c>
      <c r="Y427" s="278"/>
      <c r="Z427" s="312">
        <f t="shared" si="89"/>
        <v>0</v>
      </c>
      <c r="AA427" s="312">
        <f>'3. GRI Pricing'!Y418</f>
        <v>0</v>
      </c>
      <c r="AB427" s="359">
        <f t="shared" si="90"/>
        <v>0</v>
      </c>
    </row>
    <row r="428" spans="3:28" s="30" customFormat="1" ht="12" x14ac:dyDescent="0.2">
      <c r="C428" s="77">
        <f>'1. Accomodation'!N423</f>
        <v>0</v>
      </c>
      <c r="D428" s="77">
        <f>'1. Accomodation'!P423</f>
        <v>0</v>
      </c>
      <c r="E428" s="77">
        <f>'1. Accomodation'!O423</f>
        <v>0</v>
      </c>
      <c r="G428" s="341">
        <f>IFERROR(INDEX('4. Valuation'!$C$10:$I$17,MATCH($D428,'4. Valuation'!$C$10:$C$17,0),MATCH($G$25,'4. Valuation'!$C$10:$I$10,0)),0)</f>
        <v>0</v>
      </c>
      <c r="H428" s="273">
        <f>IFERROR(INDEX('4. Valuation'!$C$10:$I$17,MATCH($D428,'4. Valuation'!$C$10:$C$17,0),MATCH($H$25,'4. Valuation'!$C$10:$I$10,0)),0)</f>
        <v>0</v>
      </c>
      <c r="I428" s="359" t="str">
        <f>IFERROR(INDEX('4. Valuation'!$C$10:$I$17,MATCH($D428,'4. Valuation'!$C$10:$C$17,0),MATCH($I$25,'4. Valuation'!$C$10:$I$10,0)),0)</f>
        <v>-</v>
      </c>
      <c r="J428" s="277"/>
      <c r="K428" s="312">
        <f t="shared" si="83"/>
        <v>0</v>
      </c>
      <c r="L428" s="312">
        <f t="shared" si="84"/>
        <v>0</v>
      </c>
      <c r="M428" s="359">
        <f t="shared" si="85"/>
        <v>0</v>
      </c>
      <c r="N428" s="278"/>
      <c r="O428" s="278"/>
      <c r="P428" s="278"/>
      <c r="Q428" s="278"/>
      <c r="R428" s="312">
        <f>IFERROR(INDEX('4. Valuation'!$O$10:$X$17,MATCH($D428,'4. Valuation'!$O$10:$O$17,0),MATCH($R$25,'4. Valuation'!$O$10:$X$10,0)),0)</f>
        <v>0</v>
      </c>
      <c r="S428" s="312">
        <f>IFERROR(INDEX('4. Valuation'!$O$10:$X$17,MATCH($D428,'4. Valuation'!$O$10:$O$17,0),MATCH($S$25,'4. Valuation'!$O$10:$X$10,0)),0)</f>
        <v>0</v>
      </c>
      <c r="T428" s="312" t="str">
        <f>IFERROR(INDEX('4. Valuation'!$O$10:$X$17,MATCH($D428,'4. Valuation'!$O$10:$O$17,0),MATCH($T$25,'4. Valuation'!$O$10:$X$10,0)),0)</f>
        <v>-</v>
      </c>
      <c r="U428" s="278"/>
      <c r="V428" s="312">
        <f t="shared" si="86"/>
        <v>0</v>
      </c>
      <c r="W428" s="312">
        <f t="shared" si="87"/>
        <v>0</v>
      </c>
      <c r="X428" s="312">
        <f t="shared" si="88"/>
        <v>0</v>
      </c>
      <c r="Y428" s="278"/>
      <c r="Z428" s="312">
        <f t="shared" si="89"/>
        <v>0</v>
      </c>
      <c r="AA428" s="312">
        <f>'3. GRI Pricing'!Y419</f>
        <v>0</v>
      </c>
      <c r="AB428" s="359">
        <f t="shared" si="90"/>
        <v>0</v>
      </c>
    </row>
    <row r="429" spans="3:28" s="30" customFormat="1" ht="12" x14ac:dyDescent="0.2">
      <c r="C429" s="77">
        <f>'1. Accomodation'!N424</f>
        <v>0</v>
      </c>
      <c r="D429" s="77">
        <f>'1. Accomodation'!P424</f>
        <v>0</v>
      </c>
      <c r="E429" s="77">
        <f>'1. Accomodation'!O424</f>
        <v>0</v>
      </c>
      <c r="G429" s="341">
        <f>IFERROR(INDEX('4. Valuation'!$C$10:$I$17,MATCH($D429,'4. Valuation'!$C$10:$C$17,0),MATCH($G$25,'4. Valuation'!$C$10:$I$10,0)),0)</f>
        <v>0</v>
      </c>
      <c r="H429" s="273">
        <f>IFERROR(INDEX('4. Valuation'!$C$10:$I$17,MATCH($D429,'4. Valuation'!$C$10:$C$17,0),MATCH($H$25,'4. Valuation'!$C$10:$I$10,0)),0)</f>
        <v>0</v>
      </c>
      <c r="I429" s="359" t="str">
        <f>IFERROR(INDEX('4. Valuation'!$C$10:$I$17,MATCH($D429,'4. Valuation'!$C$10:$C$17,0),MATCH($I$25,'4. Valuation'!$C$10:$I$10,0)),0)</f>
        <v>-</v>
      </c>
      <c r="J429" s="277"/>
      <c r="K429" s="312">
        <f t="shared" si="83"/>
        <v>0</v>
      </c>
      <c r="L429" s="312">
        <f t="shared" si="84"/>
        <v>0</v>
      </c>
      <c r="M429" s="359">
        <f t="shared" si="85"/>
        <v>0</v>
      </c>
      <c r="N429" s="278"/>
      <c r="O429" s="278"/>
      <c r="P429" s="278"/>
      <c r="Q429" s="278"/>
      <c r="R429" s="312">
        <f>IFERROR(INDEX('4. Valuation'!$O$10:$X$17,MATCH($D429,'4. Valuation'!$O$10:$O$17,0),MATCH($R$25,'4. Valuation'!$O$10:$X$10,0)),0)</f>
        <v>0</v>
      </c>
      <c r="S429" s="312">
        <f>IFERROR(INDEX('4. Valuation'!$O$10:$X$17,MATCH($D429,'4. Valuation'!$O$10:$O$17,0),MATCH($S$25,'4. Valuation'!$O$10:$X$10,0)),0)</f>
        <v>0</v>
      </c>
      <c r="T429" s="312" t="str">
        <f>IFERROR(INDEX('4. Valuation'!$O$10:$X$17,MATCH($D429,'4. Valuation'!$O$10:$O$17,0),MATCH($T$25,'4. Valuation'!$O$10:$X$10,0)),0)</f>
        <v>-</v>
      </c>
      <c r="U429" s="278"/>
      <c r="V429" s="312">
        <f t="shared" si="86"/>
        <v>0</v>
      </c>
      <c r="W429" s="312">
        <f t="shared" si="87"/>
        <v>0</v>
      </c>
      <c r="X429" s="312">
        <f t="shared" si="88"/>
        <v>0</v>
      </c>
      <c r="Y429" s="278"/>
      <c r="Z429" s="312">
        <f t="shared" si="89"/>
        <v>0</v>
      </c>
      <c r="AA429" s="312">
        <f>'3. GRI Pricing'!Y420</f>
        <v>0</v>
      </c>
      <c r="AB429" s="359">
        <f t="shared" si="90"/>
        <v>0</v>
      </c>
    </row>
    <row r="430" spans="3:28" s="30" customFormat="1" ht="12" x14ac:dyDescent="0.2">
      <c r="C430" s="77">
        <f>'1. Accomodation'!N425</f>
        <v>0</v>
      </c>
      <c r="D430" s="77">
        <f>'1. Accomodation'!P425</f>
        <v>0</v>
      </c>
      <c r="E430" s="77">
        <f>'1. Accomodation'!O425</f>
        <v>0</v>
      </c>
      <c r="G430" s="341">
        <f>IFERROR(INDEX('4. Valuation'!$C$10:$I$17,MATCH($D430,'4. Valuation'!$C$10:$C$17,0),MATCH($G$25,'4. Valuation'!$C$10:$I$10,0)),0)</f>
        <v>0</v>
      </c>
      <c r="H430" s="273">
        <f>IFERROR(INDEX('4. Valuation'!$C$10:$I$17,MATCH($D430,'4. Valuation'!$C$10:$C$17,0),MATCH($H$25,'4. Valuation'!$C$10:$I$10,0)),0)</f>
        <v>0</v>
      </c>
      <c r="I430" s="359" t="str">
        <f>IFERROR(INDEX('4. Valuation'!$C$10:$I$17,MATCH($D430,'4. Valuation'!$C$10:$C$17,0),MATCH($I$25,'4. Valuation'!$C$10:$I$10,0)),0)</f>
        <v>-</v>
      </c>
      <c r="J430" s="277"/>
      <c r="K430" s="312">
        <f t="shared" si="83"/>
        <v>0</v>
      </c>
      <c r="L430" s="312">
        <f t="shared" si="84"/>
        <v>0</v>
      </c>
      <c r="M430" s="359">
        <f t="shared" si="85"/>
        <v>0</v>
      </c>
      <c r="N430" s="278"/>
      <c r="O430" s="278"/>
      <c r="P430" s="278"/>
      <c r="Q430" s="278"/>
      <c r="R430" s="312">
        <f>IFERROR(INDEX('4. Valuation'!$O$10:$X$17,MATCH($D430,'4. Valuation'!$O$10:$O$17,0),MATCH($R$25,'4. Valuation'!$O$10:$X$10,0)),0)</f>
        <v>0</v>
      </c>
      <c r="S430" s="312">
        <f>IFERROR(INDEX('4. Valuation'!$O$10:$X$17,MATCH($D430,'4. Valuation'!$O$10:$O$17,0),MATCH($S$25,'4. Valuation'!$O$10:$X$10,0)),0)</f>
        <v>0</v>
      </c>
      <c r="T430" s="312" t="str">
        <f>IFERROR(INDEX('4. Valuation'!$O$10:$X$17,MATCH($D430,'4. Valuation'!$O$10:$O$17,0),MATCH($T$25,'4. Valuation'!$O$10:$X$10,0)),0)</f>
        <v>-</v>
      </c>
      <c r="U430" s="278"/>
      <c r="V430" s="312">
        <f t="shared" si="86"/>
        <v>0</v>
      </c>
      <c r="W430" s="312">
        <f t="shared" si="87"/>
        <v>0</v>
      </c>
      <c r="X430" s="312">
        <f t="shared" si="88"/>
        <v>0</v>
      </c>
      <c r="Y430" s="278"/>
      <c r="Z430" s="312">
        <f t="shared" si="89"/>
        <v>0</v>
      </c>
      <c r="AA430" s="312">
        <f>'3. GRI Pricing'!Y421</f>
        <v>0</v>
      </c>
      <c r="AB430" s="359">
        <f t="shared" si="90"/>
        <v>0</v>
      </c>
    </row>
    <row r="431" spans="3:28" s="30" customFormat="1" ht="12" x14ac:dyDescent="0.2">
      <c r="C431" s="77">
        <f>'1. Accomodation'!N426</f>
        <v>0</v>
      </c>
      <c r="D431" s="77">
        <f>'1. Accomodation'!P426</f>
        <v>0</v>
      </c>
      <c r="E431" s="77">
        <f>'1. Accomodation'!O426</f>
        <v>0</v>
      </c>
      <c r="G431" s="341">
        <f>IFERROR(INDEX('4. Valuation'!$C$10:$I$17,MATCH($D431,'4. Valuation'!$C$10:$C$17,0),MATCH($G$25,'4. Valuation'!$C$10:$I$10,0)),0)</f>
        <v>0</v>
      </c>
      <c r="H431" s="273">
        <f>IFERROR(INDEX('4. Valuation'!$C$10:$I$17,MATCH($D431,'4. Valuation'!$C$10:$C$17,0),MATCH($H$25,'4. Valuation'!$C$10:$I$10,0)),0)</f>
        <v>0</v>
      </c>
      <c r="I431" s="359" t="str">
        <f>IFERROR(INDEX('4. Valuation'!$C$10:$I$17,MATCH($D431,'4. Valuation'!$C$10:$C$17,0),MATCH($I$25,'4. Valuation'!$C$10:$I$10,0)),0)</f>
        <v>-</v>
      </c>
      <c r="J431" s="277"/>
      <c r="K431" s="312">
        <f t="shared" si="83"/>
        <v>0</v>
      </c>
      <c r="L431" s="312">
        <f t="shared" si="84"/>
        <v>0</v>
      </c>
      <c r="M431" s="359">
        <f t="shared" si="85"/>
        <v>0</v>
      </c>
      <c r="N431" s="278"/>
      <c r="O431" s="278"/>
      <c r="P431" s="278"/>
      <c r="Q431" s="278"/>
      <c r="R431" s="312">
        <f>IFERROR(INDEX('4. Valuation'!$O$10:$X$17,MATCH($D431,'4. Valuation'!$O$10:$O$17,0),MATCH($R$25,'4. Valuation'!$O$10:$X$10,0)),0)</f>
        <v>0</v>
      </c>
      <c r="S431" s="312">
        <f>IFERROR(INDEX('4. Valuation'!$O$10:$X$17,MATCH($D431,'4. Valuation'!$O$10:$O$17,0),MATCH($S$25,'4. Valuation'!$O$10:$X$10,0)),0)</f>
        <v>0</v>
      </c>
      <c r="T431" s="312" t="str">
        <f>IFERROR(INDEX('4. Valuation'!$O$10:$X$17,MATCH($D431,'4. Valuation'!$O$10:$O$17,0),MATCH($T$25,'4. Valuation'!$O$10:$X$10,0)),0)</f>
        <v>-</v>
      </c>
      <c r="U431" s="278"/>
      <c r="V431" s="312">
        <f t="shared" si="86"/>
        <v>0</v>
      </c>
      <c r="W431" s="312">
        <f t="shared" si="87"/>
        <v>0</v>
      </c>
      <c r="X431" s="312">
        <f t="shared" si="88"/>
        <v>0</v>
      </c>
      <c r="Y431" s="278"/>
      <c r="Z431" s="312">
        <f t="shared" si="89"/>
        <v>0</v>
      </c>
      <c r="AA431" s="312">
        <f>'3. GRI Pricing'!Y422</f>
        <v>0</v>
      </c>
      <c r="AB431" s="359">
        <f t="shared" si="90"/>
        <v>0</v>
      </c>
    </row>
    <row r="432" spans="3:28" s="30" customFormat="1" ht="12" x14ac:dyDescent="0.2">
      <c r="C432" s="77">
        <f>'1. Accomodation'!N427</f>
        <v>0</v>
      </c>
      <c r="D432" s="77">
        <f>'1. Accomodation'!P427</f>
        <v>0</v>
      </c>
      <c r="E432" s="77">
        <f>'1. Accomodation'!O427</f>
        <v>0</v>
      </c>
      <c r="G432" s="341">
        <f>IFERROR(INDEX('4. Valuation'!$C$10:$I$17,MATCH($D432,'4. Valuation'!$C$10:$C$17,0),MATCH($G$25,'4. Valuation'!$C$10:$I$10,0)),0)</f>
        <v>0</v>
      </c>
      <c r="H432" s="273">
        <f>IFERROR(INDEX('4. Valuation'!$C$10:$I$17,MATCH($D432,'4. Valuation'!$C$10:$C$17,0),MATCH($H$25,'4. Valuation'!$C$10:$I$10,0)),0)</f>
        <v>0</v>
      </c>
      <c r="I432" s="359" t="str">
        <f>IFERROR(INDEX('4. Valuation'!$C$10:$I$17,MATCH($D432,'4. Valuation'!$C$10:$C$17,0),MATCH($I$25,'4. Valuation'!$C$10:$I$10,0)),0)</f>
        <v>-</v>
      </c>
      <c r="J432" s="277"/>
      <c r="K432" s="312">
        <f t="shared" si="83"/>
        <v>0</v>
      </c>
      <c r="L432" s="312">
        <f t="shared" si="84"/>
        <v>0</v>
      </c>
      <c r="M432" s="359">
        <f t="shared" si="85"/>
        <v>0</v>
      </c>
      <c r="N432" s="278"/>
      <c r="O432" s="278"/>
      <c r="P432" s="278"/>
      <c r="Q432" s="278"/>
      <c r="R432" s="312">
        <f>IFERROR(INDEX('4. Valuation'!$O$10:$X$17,MATCH($D432,'4. Valuation'!$O$10:$O$17,0),MATCH($R$25,'4. Valuation'!$O$10:$X$10,0)),0)</f>
        <v>0</v>
      </c>
      <c r="S432" s="312">
        <f>IFERROR(INDEX('4. Valuation'!$O$10:$X$17,MATCH($D432,'4. Valuation'!$O$10:$O$17,0),MATCH($S$25,'4. Valuation'!$O$10:$X$10,0)),0)</f>
        <v>0</v>
      </c>
      <c r="T432" s="312" t="str">
        <f>IFERROR(INDEX('4. Valuation'!$O$10:$X$17,MATCH($D432,'4. Valuation'!$O$10:$O$17,0),MATCH($T$25,'4. Valuation'!$O$10:$X$10,0)),0)</f>
        <v>-</v>
      </c>
      <c r="U432" s="278"/>
      <c r="V432" s="312">
        <f t="shared" si="86"/>
        <v>0</v>
      </c>
      <c r="W432" s="312">
        <f t="shared" si="87"/>
        <v>0</v>
      </c>
      <c r="X432" s="312">
        <f t="shared" si="88"/>
        <v>0</v>
      </c>
      <c r="Y432" s="278"/>
      <c r="Z432" s="312">
        <f t="shared" si="89"/>
        <v>0</v>
      </c>
      <c r="AA432" s="312">
        <f>'3. GRI Pricing'!Y423</f>
        <v>0</v>
      </c>
      <c r="AB432" s="359">
        <f t="shared" si="90"/>
        <v>0</v>
      </c>
    </row>
    <row r="433" spans="3:28" s="30" customFormat="1" ht="12" x14ac:dyDescent="0.2">
      <c r="C433" s="77">
        <f>'1. Accomodation'!N428</f>
        <v>0</v>
      </c>
      <c r="D433" s="77">
        <f>'1. Accomodation'!P428</f>
        <v>0</v>
      </c>
      <c r="E433" s="77">
        <f>'1. Accomodation'!O428</f>
        <v>0</v>
      </c>
      <c r="G433" s="341">
        <f>IFERROR(INDEX('4. Valuation'!$C$10:$I$17,MATCH($D433,'4. Valuation'!$C$10:$C$17,0),MATCH($G$25,'4. Valuation'!$C$10:$I$10,0)),0)</f>
        <v>0</v>
      </c>
      <c r="H433" s="273">
        <f>IFERROR(INDEX('4. Valuation'!$C$10:$I$17,MATCH($D433,'4. Valuation'!$C$10:$C$17,0),MATCH($H$25,'4. Valuation'!$C$10:$I$10,0)),0)</f>
        <v>0</v>
      </c>
      <c r="I433" s="359" t="str">
        <f>IFERROR(INDEX('4. Valuation'!$C$10:$I$17,MATCH($D433,'4. Valuation'!$C$10:$C$17,0),MATCH($I$25,'4. Valuation'!$C$10:$I$10,0)),0)</f>
        <v>-</v>
      </c>
      <c r="J433" s="277"/>
      <c r="K433" s="312">
        <f t="shared" si="83"/>
        <v>0</v>
      </c>
      <c r="L433" s="312">
        <f t="shared" si="84"/>
        <v>0</v>
      </c>
      <c r="M433" s="359">
        <f t="shared" si="85"/>
        <v>0</v>
      </c>
      <c r="N433" s="278"/>
      <c r="O433" s="278"/>
      <c r="P433" s="278"/>
      <c r="Q433" s="278"/>
      <c r="R433" s="312">
        <f>IFERROR(INDEX('4. Valuation'!$O$10:$X$17,MATCH($D433,'4. Valuation'!$O$10:$O$17,0),MATCH($R$25,'4. Valuation'!$O$10:$X$10,0)),0)</f>
        <v>0</v>
      </c>
      <c r="S433" s="312">
        <f>IFERROR(INDEX('4. Valuation'!$O$10:$X$17,MATCH($D433,'4. Valuation'!$O$10:$O$17,0),MATCH($S$25,'4. Valuation'!$O$10:$X$10,0)),0)</f>
        <v>0</v>
      </c>
      <c r="T433" s="312" t="str">
        <f>IFERROR(INDEX('4. Valuation'!$O$10:$X$17,MATCH($D433,'4. Valuation'!$O$10:$O$17,0),MATCH($T$25,'4. Valuation'!$O$10:$X$10,0)),0)</f>
        <v>-</v>
      </c>
      <c r="U433" s="278"/>
      <c r="V433" s="312">
        <f t="shared" si="86"/>
        <v>0</v>
      </c>
      <c r="W433" s="312">
        <f t="shared" si="87"/>
        <v>0</v>
      </c>
      <c r="X433" s="312">
        <f t="shared" si="88"/>
        <v>0</v>
      </c>
      <c r="Y433" s="278"/>
      <c r="Z433" s="312">
        <f t="shared" si="89"/>
        <v>0</v>
      </c>
      <c r="AA433" s="312">
        <f>'3. GRI Pricing'!Y424</f>
        <v>0</v>
      </c>
      <c r="AB433" s="359">
        <f t="shared" si="90"/>
        <v>0</v>
      </c>
    </row>
    <row r="434" spans="3:28" s="30" customFormat="1" ht="12" x14ac:dyDescent="0.2">
      <c r="C434" s="77">
        <f>'1. Accomodation'!N429</f>
        <v>0</v>
      </c>
      <c r="D434" s="77">
        <f>'1. Accomodation'!P429</f>
        <v>0</v>
      </c>
      <c r="E434" s="77">
        <f>'1. Accomodation'!O429</f>
        <v>0</v>
      </c>
      <c r="G434" s="341">
        <f>IFERROR(INDEX('4. Valuation'!$C$10:$I$17,MATCH($D434,'4. Valuation'!$C$10:$C$17,0),MATCH($G$25,'4. Valuation'!$C$10:$I$10,0)),0)</f>
        <v>0</v>
      </c>
      <c r="H434" s="273">
        <f>IFERROR(INDEX('4. Valuation'!$C$10:$I$17,MATCH($D434,'4. Valuation'!$C$10:$C$17,0),MATCH($H$25,'4. Valuation'!$C$10:$I$10,0)),0)</f>
        <v>0</v>
      </c>
      <c r="I434" s="359" t="str">
        <f>IFERROR(INDEX('4. Valuation'!$C$10:$I$17,MATCH($D434,'4. Valuation'!$C$10:$C$17,0),MATCH($I$25,'4. Valuation'!$C$10:$I$10,0)),0)</f>
        <v>-</v>
      </c>
      <c r="J434" s="277"/>
      <c r="K434" s="312">
        <f t="shared" si="83"/>
        <v>0</v>
      </c>
      <c r="L434" s="312">
        <f t="shared" si="84"/>
        <v>0</v>
      </c>
      <c r="M434" s="359">
        <f t="shared" si="85"/>
        <v>0</v>
      </c>
      <c r="N434" s="278"/>
      <c r="O434" s="278"/>
      <c r="P434" s="278"/>
      <c r="Q434" s="278"/>
      <c r="R434" s="312">
        <f>IFERROR(INDEX('4. Valuation'!$O$10:$X$17,MATCH($D434,'4. Valuation'!$O$10:$O$17,0),MATCH($R$25,'4. Valuation'!$O$10:$X$10,0)),0)</f>
        <v>0</v>
      </c>
      <c r="S434" s="312">
        <f>IFERROR(INDEX('4. Valuation'!$O$10:$X$17,MATCH($D434,'4. Valuation'!$O$10:$O$17,0),MATCH($S$25,'4. Valuation'!$O$10:$X$10,0)),0)</f>
        <v>0</v>
      </c>
      <c r="T434" s="312" t="str">
        <f>IFERROR(INDEX('4. Valuation'!$O$10:$X$17,MATCH($D434,'4. Valuation'!$O$10:$O$17,0),MATCH($T$25,'4. Valuation'!$O$10:$X$10,0)),0)</f>
        <v>-</v>
      </c>
      <c r="U434" s="278"/>
      <c r="V434" s="312">
        <f t="shared" si="86"/>
        <v>0</v>
      </c>
      <c r="W434" s="312">
        <f t="shared" si="87"/>
        <v>0</v>
      </c>
      <c r="X434" s="312">
        <f t="shared" si="88"/>
        <v>0</v>
      </c>
      <c r="Y434" s="278"/>
      <c r="Z434" s="312">
        <f t="shared" si="89"/>
        <v>0</v>
      </c>
      <c r="AA434" s="312">
        <f>'3. GRI Pricing'!Y425</f>
        <v>0</v>
      </c>
      <c r="AB434" s="359">
        <f t="shared" si="90"/>
        <v>0</v>
      </c>
    </row>
    <row r="435" spans="3:28" s="30" customFormat="1" ht="12" x14ac:dyDescent="0.2">
      <c r="C435" s="77">
        <f>'1. Accomodation'!N430</f>
        <v>0</v>
      </c>
      <c r="D435" s="77">
        <f>'1. Accomodation'!P430</f>
        <v>0</v>
      </c>
      <c r="E435" s="77">
        <f>'1. Accomodation'!O430</f>
        <v>0</v>
      </c>
      <c r="G435" s="341">
        <f>IFERROR(INDEX('4. Valuation'!$C$10:$I$17,MATCH($D435,'4. Valuation'!$C$10:$C$17,0),MATCH($G$25,'4. Valuation'!$C$10:$I$10,0)),0)</f>
        <v>0</v>
      </c>
      <c r="H435" s="273">
        <f>IFERROR(INDEX('4. Valuation'!$C$10:$I$17,MATCH($D435,'4. Valuation'!$C$10:$C$17,0),MATCH($H$25,'4. Valuation'!$C$10:$I$10,0)),0)</f>
        <v>0</v>
      </c>
      <c r="I435" s="359" t="str">
        <f>IFERROR(INDEX('4. Valuation'!$C$10:$I$17,MATCH($D435,'4. Valuation'!$C$10:$C$17,0),MATCH($I$25,'4. Valuation'!$C$10:$I$10,0)),0)</f>
        <v>-</v>
      </c>
      <c r="J435" s="277"/>
      <c r="K435" s="312">
        <f t="shared" si="83"/>
        <v>0</v>
      </c>
      <c r="L435" s="312">
        <f t="shared" si="84"/>
        <v>0</v>
      </c>
      <c r="M435" s="359">
        <f t="shared" si="85"/>
        <v>0</v>
      </c>
      <c r="N435" s="278"/>
      <c r="O435" s="278"/>
      <c r="P435" s="278"/>
      <c r="Q435" s="278"/>
      <c r="R435" s="312">
        <f>IFERROR(INDEX('4. Valuation'!$O$10:$X$17,MATCH($D435,'4. Valuation'!$O$10:$O$17,0),MATCH($R$25,'4. Valuation'!$O$10:$X$10,0)),0)</f>
        <v>0</v>
      </c>
      <c r="S435" s="312">
        <f>IFERROR(INDEX('4. Valuation'!$O$10:$X$17,MATCH($D435,'4. Valuation'!$O$10:$O$17,0),MATCH($S$25,'4. Valuation'!$O$10:$X$10,0)),0)</f>
        <v>0</v>
      </c>
      <c r="T435" s="312" t="str">
        <f>IFERROR(INDEX('4. Valuation'!$O$10:$X$17,MATCH($D435,'4. Valuation'!$O$10:$O$17,0),MATCH($T$25,'4. Valuation'!$O$10:$X$10,0)),0)</f>
        <v>-</v>
      </c>
      <c r="U435" s="278"/>
      <c r="V435" s="312">
        <f t="shared" si="86"/>
        <v>0</v>
      </c>
      <c r="W435" s="312">
        <f t="shared" si="87"/>
        <v>0</v>
      </c>
      <c r="X435" s="312">
        <f t="shared" si="88"/>
        <v>0</v>
      </c>
      <c r="Y435" s="278"/>
      <c r="Z435" s="312">
        <f t="shared" si="89"/>
        <v>0</v>
      </c>
      <c r="AA435" s="312">
        <f>'3. GRI Pricing'!Y426</f>
        <v>0</v>
      </c>
      <c r="AB435" s="359">
        <f t="shared" si="90"/>
        <v>0</v>
      </c>
    </row>
    <row r="436" spans="3:28" s="30" customFormat="1" ht="12" x14ac:dyDescent="0.2">
      <c r="C436" s="77">
        <f>'1. Accomodation'!N431</f>
        <v>0</v>
      </c>
      <c r="D436" s="77">
        <f>'1. Accomodation'!P431</f>
        <v>0</v>
      </c>
      <c r="E436" s="77">
        <f>'1. Accomodation'!O431</f>
        <v>0</v>
      </c>
      <c r="G436" s="341">
        <f>IFERROR(INDEX('4. Valuation'!$C$10:$I$17,MATCH($D436,'4. Valuation'!$C$10:$C$17,0),MATCH($G$25,'4. Valuation'!$C$10:$I$10,0)),0)</f>
        <v>0</v>
      </c>
      <c r="H436" s="273">
        <f>IFERROR(INDEX('4. Valuation'!$C$10:$I$17,MATCH($D436,'4. Valuation'!$C$10:$C$17,0),MATCH($H$25,'4. Valuation'!$C$10:$I$10,0)),0)</f>
        <v>0</v>
      </c>
      <c r="I436" s="359" t="str">
        <f>IFERROR(INDEX('4. Valuation'!$C$10:$I$17,MATCH($D436,'4. Valuation'!$C$10:$C$17,0),MATCH($I$25,'4. Valuation'!$C$10:$I$10,0)),0)</f>
        <v>-</v>
      </c>
      <c r="J436" s="277"/>
      <c r="K436" s="312">
        <f t="shared" si="83"/>
        <v>0</v>
      </c>
      <c r="L436" s="312">
        <f t="shared" si="84"/>
        <v>0</v>
      </c>
      <c r="M436" s="359">
        <f t="shared" si="85"/>
        <v>0</v>
      </c>
      <c r="N436" s="278"/>
      <c r="O436" s="278"/>
      <c r="P436" s="278"/>
      <c r="Q436" s="278"/>
      <c r="R436" s="312">
        <f>IFERROR(INDEX('4. Valuation'!$O$10:$X$17,MATCH($D436,'4. Valuation'!$O$10:$O$17,0),MATCH($R$25,'4. Valuation'!$O$10:$X$10,0)),0)</f>
        <v>0</v>
      </c>
      <c r="S436" s="312">
        <f>IFERROR(INDEX('4. Valuation'!$O$10:$X$17,MATCH($D436,'4. Valuation'!$O$10:$O$17,0),MATCH($S$25,'4. Valuation'!$O$10:$X$10,0)),0)</f>
        <v>0</v>
      </c>
      <c r="T436" s="312" t="str">
        <f>IFERROR(INDEX('4. Valuation'!$O$10:$X$17,MATCH($D436,'4. Valuation'!$O$10:$O$17,0),MATCH($T$25,'4. Valuation'!$O$10:$X$10,0)),0)</f>
        <v>-</v>
      </c>
      <c r="U436" s="278"/>
      <c r="V436" s="312">
        <f t="shared" si="86"/>
        <v>0</v>
      </c>
      <c r="W436" s="312">
        <f t="shared" si="87"/>
        <v>0</v>
      </c>
      <c r="X436" s="312">
        <f t="shared" si="88"/>
        <v>0</v>
      </c>
      <c r="Y436" s="278"/>
      <c r="Z436" s="312">
        <f t="shared" si="89"/>
        <v>0</v>
      </c>
      <c r="AA436" s="312">
        <f>'3. GRI Pricing'!Y427</f>
        <v>0</v>
      </c>
      <c r="AB436" s="359">
        <f t="shared" si="90"/>
        <v>0</v>
      </c>
    </row>
    <row r="437" spans="3:28" s="30" customFormat="1" ht="12" x14ac:dyDescent="0.2">
      <c r="C437" s="77">
        <f>'1. Accomodation'!N432</f>
        <v>0</v>
      </c>
      <c r="D437" s="77">
        <f>'1. Accomodation'!P432</f>
        <v>0</v>
      </c>
      <c r="E437" s="77">
        <f>'1. Accomodation'!O432</f>
        <v>0</v>
      </c>
      <c r="G437" s="341">
        <f>IFERROR(INDEX('4. Valuation'!$C$10:$I$17,MATCH($D437,'4. Valuation'!$C$10:$C$17,0),MATCH($G$25,'4. Valuation'!$C$10:$I$10,0)),0)</f>
        <v>0</v>
      </c>
      <c r="H437" s="273">
        <f>IFERROR(INDEX('4. Valuation'!$C$10:$I$17,MATCH($D437,'4. Valuation'!$C$10:$C$17,0),MATCH($H$25,'4. Valuation'!$C$10:$I$10,0)),0)</f>
        <v>0</v>
      </c>
      <c r="I437" s="359" t="str">
        <f>IFERROR(INDEX('4. Valuation'!$C$10:$I$17,MATCH($D437,'4. Valuation'!$C$10:$C$17,0),MATCH($I$25,'4. Valuation'!$C$10:$I$10,0)),0)</f>
        <v>-</v>
      </c>
      <c r="J437" s="277"/>
      <c r="K437" s="312">
        <f t="shared" si="83"/>
        <v>0</v>
      </c>
      <c r="L437" s="312">
        <f t="shared" si="84"/>
        <v>0</v>
      </c>
      <c r="M437" s="359">
        <f t="shared" si="85"/>
        <v>0</v>
      </c>
      <c r="N437" s="278"/>
      <c r="O437" s="278"/>
      <c r="P437" s="278"/>
      <c r="Q437" s="278"/>
      <c r="R437" s="312">
        <f>IFERROR(INDEX('4. Valuation'!$O$10:$X$17,MATCH($D437,'4. Valuation'!$O$10:$O$17,0),MATCH($R$25,'4. Valuation'!$O$10:$X$10,0)),0)</f>
        <v>0</v>
      </c>
      <c r="S437" s="312">
        <f>IFERROR(INDEX('4. Valuation'!$O$10:$X$17,MATCH($D437,'4. Valuation'!$O$10:$O$17,0),MATCH($S$25,'4. Valuation'!$O$10:$X$10,0)),0)</f>
        <v>0</v>
      </c>
      <c r="T437" s="312" t="str">
        <f>IFERROR(INDEX('4. Valuation'!$O$10:$X$17,MATCH($D437,'4. Valuation'!$O$10:$O$17,0),MATCH($T$25,'4. Valuation'!$O$10:$X$10,0)),0)</f>
        <v>-</v>
      </c>
      <c r="U437" s="278"/>
      <c r="V437" s="312">
        <f t="shared" si="86"/>
        <v>0</v>
      </c>
      <c r="W437" s="312">
        <f t="shared" si="87"/>
        <v>0</v>
      </c>
      <c r="X437" s="312">
        <f t="shared" si="88"/>
        <v>0</v>
      </c>
      <c r="Y437" s="278"/>
      <c r="Z437" s="312">
        <f t="shared" si="89"/>
        <v>0</v>
      </c>
      <c r="AA437" s="312">
        <f>'3. GRI Pricing'!Y428</f>
        <v>0</v>
      </c>
      <c r="AB437" s="359">
        <f t="shared" si="90"/>
        <v>0</v>
      </c>
    </row>
    <row r="438" spans="3:28" s="30" customFormat="1" ht="12" x14ac:dyDescent="0.2">
      <c r="C438" s="77">
        <f>'1. Accomodation'!N433</f>
        <v>0</v>
      </c>
      <c r="D438" s="77">
        <f>'1. Accomodation'!P433</f>
        <v>0</v>
      </c>
      <c r="E438" s="77">
        <f>'1. Accomodation'!O433</f>
        <v>0</v>
      </c>
      <c r="G438" s="341">
        <f>IFERROR(INDEX('4. Valuation'!$C$10:$I$17,MATCH($D438,'4. Valuation'!$C$10:$C$17,0),MATCH($G$25,'4. Valuation'!$C$10:$I$10,0)),0)</f>
        <v>0</v>
      </c>
      <c r="H438" s="273">
        <f>IFERROR(INDEX('4. Valuation'!$C$10:$I$17,MATCH($D438,'4. Valuation'!$C$10:$C$17,0),MATCH($H$25,'4. Valuation'!$C$10:$I$10,0)),0)</f>
        <v>0</v>
      </c>
      <c r="I438" s="359" t="str">
        <f>IFERROR(INDEX('4. Valuation'!$C$10:$I$17,MATCH($D438,'4. Valuation'!$C$10:$C$17,0),MATCH($I$25,'4. Valuation'!$C$10:$I$10,0)),0)</f>
        <v>-</v>
      </c>
      <c r="J438" s="277"/>
      <c r="K438" s="312">
        <f t="shared" si="83"/>
        <v>0</v>
      </c>
      <c r="L438" s="312">
        <f t="shared" si="84"/>
        <v>0</v>
      </c>
      <c r="M438" s="359">
        <f t="shared" si="85"/>
        <v>0</v>
      </c>
      <c r="N438" s="278"/>
      <c r="O438" s="278"/>
      <c r="P438" s="278"/>
      <c r="Q438" s="278"/>
      <c r="R438" s="312">
        <f>IFERROR(INDEX('4. Valuation'!$O$10:$X$17,MATCH($D438,'4. Valuation'!$O$10:$O$17,0),MATCH($R$25,'4. Valuation'!$O$10:$X$10,0)),0)</f>
        <v>0</v>
      </c>
      <c r="S438" s="312">
        <f>IFERROR(INDEX('4. Valuation'!$O$10:$X$17,MATCH($D438,'4. Valuation'!$O$10:$O$17,0),MATCH($S$25,'4. Valuation'!$O$10:$X$10,0)),0)</f>
        <v>0</v>
      </c>
      <c r="T438" s="312" t="str">
        <f>IFERROR(INDEX('4. Valuation'!$O$10:$X$17,MATCH($D438,'4. Valuation'!$O$10:$O$17,0),MATCH($T$25,'4. Valuation'!$O$10:$X$10,0)),0)</f>
        <v>-</v>
      </c>
      <c r="U438" s="278"/>
      <c r="V438" s="312">
        <f t="shared" si="86"/>
        <v>0</v>
      </c>
      <c r="W438" s="312">
        <f t="shared" si="87"/>
        <v>0</v>
      </c>
      <c r="X438" s="312">
        <f t="shared" si="88"/>
        <v>0</v>
      </c>
      <c r="Y438" s="278"/>
      <c r="Z438" s="312">
        <f t="shared" si="89"/>
        <v>0</v>
      </c>
      <c r="AA438" s="312">
        <f>'3. GRI Pricing'!Y429</f>
        <v>0</v>
      </c>
      <c r="AB438" s="359">
        <f t="shared" si="90"/>
        <v>0</v>
      </c>
    </row>
    <row r="439" spans="3:28" s="30" customFormat="1" ht="12" x14ac:dyDescent="0.2">
      <c r="C439" s="77">
        <f>'1. Accomodation'!N434</f>
        <v>0</v>
      </c>
      <c r="D439" s="77">
        <f>'1. Accomodation'!P434</f>
        <v>0</v>
      </c>
      <c r="E439" s="77">
        <f>'1. Accomodation'!O434</f>
        <v>0</v>
      </c>
      <c r="G439" s="341">
        <f>IFERROR(INDEX('4. Valuation'!$C$10:$I$17,MATCH($D439,'4. Valuation'!$C$10:$C$17,0),MATCH($G$25,'4. Valuation'!$C$10:$I$10,0)),0)</f>
        <v>0</v>
      </c>
      <c r="H439" s="273">
        <f>IFERROR(INDEX('4. Valuation'!$C$10:$I$17,MATCH($D439,'4. Valuation'!$C$10:$C$17,0),MATCH($H$25,'4. Valuation'!$C$10:$I$10,0)),0)</f>
        <v>0</v>
      </c>
      <c r="I439" s="359" t="str">
        <f>IFERROR(INDEX('4. Valuation'!$C$10:$I$17,MATCH($D439,'4. Valuation'!$C$10:$C$17,0),MATCH($I$25,'4. Valuation'!$C$10:$I$10,0)),0)</f>
        <v>-</v>
      </c>
      <c r="J439" s="277"/>
      <c r="K439" s="312">
        <f t="shared" si="83"/>
        <v>0</v>
      </c>
      <c r="L439" s="312">
        <f t="shared" si="84"/>
        <v>0</v>
      </c>
      <c r="M439" s="359">
        <f t="shared" si="85"/>
        <v>0</v>
      </c>
      <c r="N439" s="278"/>
      <c r="O439" s="278"/>
      <c r="P439" s="278"/>
      <c r="Q439" s="278"/>
      <c r="R439" s="312">
        <f>IFERROR(INDEX('4. Valuation'!$O$10:$X$17,MATCH($D439,'4. Valuation'!$O$10:$O$17,0),MATCH($R$25,'4. Valuation'!$O$10:$X$10,0)),0)</f>
        <v>0</v>
      </c>
      <c r="S439" s="312">
        <f>IFERROR(INDEX('4. Valuation'!$O$10:$X$17,MATCH($D439,'4. Valuation'!$O$10:$O$17,0),MATCH($S$25,'4. Valuation'!$O$10:$X$10,0)),0)</f>
        <v>0</v>
      </c>
      <c r="T439" s="312" t="str">
        <f>IFERROR(INDEX('4. Valuation'!$O$10:$X$17,MATCH($D439,'4. Valuation'!$O$10:$O$17,0),MATCH($T$25,'4. Valuation'!$O$10:$X$10,0)),0)</f>
        <v>-</v>
      </c>
      <c r="U439" s="278"/>
      <c r="V439" s="312">
        <f t="shared" si="86"/>
        <v>0</v>
      </c>
      <c r="W439" s="312">
        <f t="shared" si="87"/>
        <v>0</v>
      </c>
      <c r="X439" s="312">
        <f t="shared" si="88"/>
        <v>0</v>
      </c>
      <c r="Y439" s="278"/>
      <c r="Z439" s="312">
        <f t="shared" si="89"/>
        <v>0</v>
      </c>
      <c r="AA439" s="312">
        <f>'3. GRI Pricing'!Y430</f>
        <v>0</v>
      </c>
      <c r="AB439" s="359">
        <f t="shared" si="90"/>
        <v>0</v>
      </c>
    </row>
    <row r="440" spans="3:28" s="30" customFormat="1" ht="12" x14ac:dyDescent="0.2">
      <c r="C440" s="77">
        <f>'1. Accomodation'!N435</f>
        <v>0</v>
      </c>
      <c r="D440" s="77">
        <f>'1. Accomodation'!P435</f>
        <v>0</v>
      </c>
      <c r="E440" s="77">
        <f>'1. Accomodation'!O435</f>
        <v>0</v>
      </c>
      <c r="G440" s="341">
        <f>IFERROR(INDEX('4. Valuation'!$C$10:$I$17,MATCH($D440,'4. Valuation'!$C$10:$C$17,0),MATCH($G$25,'4. Valuation'!$C$10:$I$10,0)),0)</f>
        <v>0</v>
      </c>
      <c r="H440" s="273">
        <f>IFERROR(INDEX('4. Valuation'!$C$10:$I$17,MATCH($D440,'4. Valuation'!$C$10:$C$17,0),MATCH($H$25,'4. Valuation'!$C$10:$I$10,0)),0)</f>
        <v>0</v>
      </c>
      <c r="I440" s="359" t="str">
        <f>IFERROR(INDEX('4. Valuation'!$C$10:$I$17,MATCH($D440,'4. Valuation'!$C$10:$C$17,0),MATCH($I$25,'4. Valuation'!$C$10:$I$10,0)),0)</f>
        <v>-</v>
      </c>
      <c r="J440" s="277"/>
      <c r="K440" s="312">
        <f t="shared" si="83"/>
        <v>0</v>
      </c>
      <c r="L440" s="312">
        <f t="shared" si="84"/>
        <v>0</v>
      </c>
      <c r="M440" s="359">
        <f t="shared" si="85"/>
        <v>0</v>
      </c>
      <c r="N440" s="278"/>
      <c r="O440" s="278"/>
      <c r="P440" s="278"/>
      <c r="Q440" s="278"/>
      <c r="R440" s="312">
        <f>IFERROR(INDEX('4. Valuation'!$O$10:$X$17,MATCH($D440,'4. Valuation'!$O$10:$O$17,0),MATCH($R$25,'4. Valuation'!$O$10:$X$10,0)),0)</f>
        <v>0</v>
      </c>
      <c r="S440" s="312">
        <f>IFERROR(INDEX('4. Valuation'!$O$10:$X$17,MATCH($D440,'4. Valuation'!$O$10:$O$17,0),MATCH($S$25,'4. Valuation'!$O$10:$X$10,0)),0)</f>
        <v>0</v>
      </c>
      <c r="T440" s="312" t="str">
        <f>IFERROR(INDEX('4. Valuation'!$O$10:$X$17,MATCH($D440,'4. Valuation'!$O$10:$O$17,0),MATCH($T$25,'4. Valuation'!$O$10:$X$10,0)),0)</f>
        <v>-</v>
      </c>
      <c r="U440" s="278"/>
      <c r="V440" s="312">
        <f t="shared" si="86"/>
        <v>0</v>
      </c>
      <c r="W440" s="312">
        <f t="shared" si="87"/>
        <v>0</v>
      </c>
      <c r="X440" s="312">
        <f t="shared" si="88"/>
        <v>0</v>
      </c>
      <c r="Y440" s="278"/>
      <c r="Z440" s="312">
        <f t="shared" si="89"/>
        <v>0</v>
      </c>
      <c r="AA440" s="312">
        <f>'3. GRI Pricing'!Y431</f>
        <v>0</v>
      </c>
      <c r="AB440" s="359">
        <f t="shared" si="90"/>
        <v>0</v>
      </c>
    </row>
    <row r="441" spans="3:28" s="30" customFormat="1" ht="12" x14ac:dyDescent="0.2">
      <c r="C441" s="77">
        <f>'1. Accomodation'!N436</f>
        <v>0</v>
      </c>
      <c r="D441" s="77">
        <f>'1. Accomodation'!P436</f>
        <v>0</v>
      </c>
      <c r="E441" s="77">
        <f>'1. Accomodation'!O436</f>
        <v>0</v>
      </c>
      <c r="G441" s="341">
        <f>IFERROR(INDEX('4. Valuation'!$C$10:$I$17,MATCH($D441,'4. Valuation'!$C$10:$C$17,0),MATCH($G$25,'4. Valuation'!$C$10:$I$10,0)),0)</f>
        <v>0</v>
      </c>
      <c r="H441" s="273">
        <f>IFERROR(INDEX('4. Valuation'!$C$10:$I$17,MATCH($D441,'4. Valuation'!$C$10:$C$17,0),MATCH($H$25,'4. Valuation'!$C$10:$I$10,0)),0)</f>
        <v>0</v>
      </c>
      <c r="I441" s="359" t="str">
        <f>IFERROR(INDEX('4. Valuation'!$C$10:$I$17,MATCH($D441,'4. Valuation'!$C$10:$C$17,0),MATCH($I$25,'4. Valuation'!$C$10:$I$10,0)),0)</f>
        <v>-</v>
      </c>
      <c r="J441" s="277"/>
      <c r="K441" s="312">
        <f t="shared" si="83"/>
        <v>0</v>
      </c>
      <c r="L441" s="312">
        <f t="shared" si="84"/>
        <v>0</v>
      </c>
      <c r="M441" s="359">
        <f t="shared" si="85"/>
        <v>0</v>
      </c>
      <c r="N441" s="278"/>
      <c r="O441" s="278"/>
      <c r="P441" s="278"/>
      <c r="Q441" s="278"/>
      <c r="R441" s="312">
        <f>IFERROR(INDEX('4. Valuation'!$O$10:$X$17,MATCH($D441,'4. Valuation'!$O$10:$O$17,0),MATCH($R$25,'4. Valuation'!$O$10:$X$10,0)),0)</f>
        <v>0</v>
      </c>
      <c r="S441" s="312">
        <f>IFERROR(INDEX('4. Valuation'!$O$10:$X$17,MATCH($D441,'4. Valuation'!$O$10:$O$17,0),MATCH($S$25,'4. Valuation'!$O$10:$X$10,0)),0)</f>
        <v>0</v>
      </c>
      <c r="T441" s="312" t="str">
        <f>IFERROR(INDEX('4. Valuation'!$O$10:$X$17,MATCH($D441,'4. Valuation'!$O$10:$O$17,0),MATCH($T$25,'4. Valuation'!$O$10:$X$10,0)),0)</f>
        <v>-</v>
      </c>
      <c r="U441" s="278"/>
      <c r="V441" s="312">
        <f t="shared" si="86"/>
        <v>0</v>
      </c>
      <c r="W441" s="312">
        <f t="shared" si="87"/>
        <v>0</v>
      </c>
      <c r="X441" s="312">
        <f t="shared" si="88"/>
        <v>0</v>
      </c>
      <c r="Y441" s="278"/>
      <c r="Z441" s="312">
        <f t="shared" si="89"/>
        <v>0</v>
      </c>
      <c r="AA441" s="312">
        <f>'3. GRI Pricing'!Y432</f>
        <v>0</v>
      </c>
      <c r="AB441" s="359">
        <f t="shared" si="90"/>
        <v>0</v>
      </c>
    </row>
    <row r="442" spans="3:28" s="30" customFormat="1" ht="12" x14ac:dyDescent="0.2">
      <c r="C442" s="77">
        <f>'1. Accomodation'!N437</f>
        <v>0</v>
      </c>
      <c r="D442" s="77">
        <f>'1. Accomodation'!P437</f>
        <v>0</v>
      </c>
      <c r="E442" s="77">
        <f>'1. Accomodation'!O437</f>
        <v>0</v>
      </c>
      <c r="G442" s="341">
        <f>IFERROR(INDEX('4. Valuation'!$C$10:$I$17,MATCH($D442,'4. Valuation'!$C$10:$C$17,0),MATCH($G$25,'4. Valuation'!$C$10:$I$10,0)),0)</f>
        <v>0</v>
      </c>
      <c r="H442" s="273">
        <f>IFERROR(INDEX('4. Valuation'!$C$10:$I$17,MATCH($D442,'4. Valuation'!$C$10:$C$17,0),MATCH($H$25,'4. Valuation'!$C$10:$I$10,0)),0)</f>
        <v>0</v>
      </c>
      <c r="I442" s="359" t="str">
        <f>IFERROR(INDEX('4. Valuation'!$C$10:$I$17,MATCH($D442,'4. Valuation'!$C$10:$C$17,0),MATCH($I$25,'4. Valuation'!$C$10:$I$10,0)),0)</f>
        <v>-</v>
      </c>
      <c r="J442" s="277"/>
      <c r="K442" s="312">
        <f t="shared" si="83"/>
        <v>0</v>
      </c>
      <c r="L442" s="312">
        <f t="shared" si="84"/>
        <v>0</v>
      </c>
      <c r="M442" s="359">
        <f t="shared" si="85"/>
        <v>0</v>
      </c>
      <c r="N442" s="278"/>
      <c r="O442" s="278"/>
      <c r="P442" s="278"/>
      <c r="Q442" s="278"/>
      <c r="R442" s="312">
        <f>IFERROR(INDEX('4. Valuation'!$O$10:$X$17,MATCH($D442,'4. Valuation'!$O$10:$O$17,0),MATCH($R$25,'4. Valuation'!$O$10:$X$10,0)),0)</f>
        <v>0</v>
      </c>
      <c r="S442" s="312">
        <f>IFERROR(INDEX('4. Valuation'!$O$10:$X$17,MATCH($D442,'4. Valuation'!$O$10:$O$17,0),MATCH($S$25,'4. Valuation'!$O$10:$X$10,0)),0)</f>
        <v>0</v>
      </c>
      <c r="T442" s="312" t="str">
        <f>IFERROR(INDEX('4. Valuation'!$O$10:$X$17,MATCH($D442,'4. Valuation'!$O$10:$O$17,0),MATCH($T$25,'4. Valuation'!$O$10:$X$10,0)),0)</f>
        <v>-</v>
      </c>
      <c r="U442" s="278"/>
      <c r="V442" s="312">
        <f t="shared" si="86"/>
        <v>0</v>
      </c>
      <c r="W442" s="312">
        <f t="shared" si="87"/>
        <v>0</v>
      </c>
      <c r="X442" s="312">
        <f t="shared" si="88"/>
        <v>0</v>
      </c>
      <c r="Y442" s="278"/>
      <c r="Z442" s="312">
        <f t="shared" si="89"/>
        <v>0</v>
      </c>
      <c r="AA442" s="312">
        <f>'3. GRI Pricing'!Y433</f>
        <v>0</v>
      </c>
      <c r="AB442" s="359">
        <f t="shared" si="90"/>
        <v>0</v>
      </c>
    </row>
    <row r="443" spans="3:28" s="30" customFormat="1" ht="12" x14ac:dyDescent="0.2">
      <c r="C443" s="77">
        <f>'1. Accomodation'!N438</f>
        <v>0</v>
      </c>
      <c r="D443" s="77">
        <f>'1. Accomodation'!P438</f>
        <v>0</v>
      </c>
      <c r="E443" s="77">
        <f>'1. Accomodation'!O438</f>
        <v>0</v>
      </c>
      <c r="G443" s="341">
        <f>IFERROR(INDEX('4. Valuation'!$C$10:$I$17,MATCH($D443,'4. Valuation'!$C$10:$C$17,0),MATCH($G$25,'4. Valuation'!$C$10:$I$10,0)),0)</f>
        <v>0</v>
      </c>
      <c r="H443" s="273">
        <f>IFERROR(INDEX('4. Valuation'!$C$10:$I$17,MATCH($D443,'4. Valuation'!$C$10:$C$17,0),MATCH($H$25,'4. Valuation'!$C$10:$I$10,0)),0)</f>
        <v>0</v>
      </c>
      <c r="I443" s="359" t="str">
        <f>IFERROR(INDEX('4. Valuation'!$C$10:$I$17,MATCH($D443,'4. Valuation'!$C$10:$C$17,0),MATCH($I$25,'4. Valuation'!$C$10:$I$10,0)),0)</f>
        <v>-</v>
      </c>
      <c r="J443" s="277"/>
      <c r="K443" s="312">
        <f t="shared" si="83"/>
        <v>0</v>
      </c>
      <c r="L443" s="312">
        <f t="shared" si="84"/>
        <v>0</v>
      </c>
      <c r="M443" s="359">
        <f t="shared" si="85"/>
        <v>0</v>
      </c>
      <c r="N443" s="278"/>
      <c r="O443" s="278"/>
      <c r="P443" s="278"/>
      <c r="Q443" s="278"/>
      <c r="R443" s="312">
        <f>IFERROR(INDEX('4. Valuation'!$O$10:$X$17,MATCH($D443,'4. Valuation'!$O$10:$O$17,0),MATCH($R$25,'4. Valuation'!$O$10:$X$10,0)),0)</f>
        <v>0</v>
      </c>
      <c r="S443" s="312">
        <f>IFERROR(INDEX('4. Valuation'!$O$10:$X$17,MATCH($D443,'4. Valuation'!$O$10:$O$17,0),MATCH($S$25,'4. Valuation'!$O$10:$X$10,0)),0)</f>
        <v>0</v>
      </c>
      <c r="T443" s="312" t="str">
        <f>IFERROR(INDEX('4. Valuation'!$O$10:$X$17,MATCH($D443,'4. Valuation'!$O$10:$O$17,0),MATCH($T$25,'4. Valuation'!$O$10:$X$10,0)),0)</f>
        <v>-</v>
      </c>
      <c r="U443" s="278"/>
      <c r="V443" s="312">
        <f t="shared" si="86"/>
        <v>0</v>
      </c>
      <c r="W443" s="312">
        <f t="shared" si="87"/>
        <v>0</v>
      </c>
      <c r="X443" s="312">
        <f t="shared" si="88"/>
        <v>0</v>
      </c>
      <c r="Y443" s="278"/>
      <c r="Z443" s="312">
        <f t="shared" si="89"/>
        <v>0</v>
      </c>
      <c r="AA443" s="312">
        <f>'3. GRI Pricing'!Y434</f>
        <v>0</v>
      </c>
      <c r="AB443" s="359">
        <f t="shared" si="90"/>
        <v>0</v>
      </c>
    </row>
    <row r="444" spans="3:28" s="30" customFormat="1" ht="12" x14ac:dyDescent="0.2">
      <c r="C444" s="77">
        <f>'1. Accomodation'!N439</f>
        <v>0</v>
      </c>
      <c r="D444" s="77">
        <f>'1. Accomodation'!P439</f>
        <v>0</v>
      </c>
      <c r="E444" s="77">
        <f>'1. Accomodation'!O439</f>
        <v>0</v>
      </c>
      <c r="G444" s="341">
        <f>IFERROR(INDEX('4. Valuation'!$C$10:$I$17,MATCH($D444,'4. Valuation'!$C$10:$C$17,0),MATCH($G$25,'4. Valuation'!$C$10:$I$10,0)),0)</f>
        <v>0</v>
      </c>
      <c r="H444" s="273">
        <f>IFERROR(INDEX('4. Valuation'!$C$10:$I$17,MATCH($D444,'4. Valuation'!$C$10:$C$17,0),MATCH($H$25,'4. Valuation'!$C$10:$I$10,0)),0)</f>
        <v>0</v>
      </c>
      <c r="I444" s="359" t="str">
        <f>IFERROR(INDEX('4. Valuation'!$C$10:$I$17,MATCH($D444,'4. Valuation'!$C$10:$C$17,0),MATCH($I$25,'4. Valuation'!$C$10:$I$10,0)),0)</f>
        <v>-</v>
      </c>
      <c r="J444" s="277"/>
      <c r="K444" s="312">
        <f t="shared" si="83"/>
        <v>0</v>
      </c>
      <c r="L444" s="312">
        <f t="shared" si="84"/>
        <v>0</v>
      </c>
      <c r="M444" s="359">
        <f t="shared" si="85"/>
        <v>0</v>
      </c>
      <c r="N444" s="278"/>
      <c r="O444" s="278"/>
      <c r="P444" s="278"/>
      <c r="Q444" s="278"/>
      <c r="R444" s="312">
        <f>IFERROR(INDEX('4. Valuation'!$O$10:$X$17,MATCH($D444,'4. Valuation'!$O$10:$O$17,0),MATCH($R$25,'4. Valuation'!$O$10:$X$10,0)),0)</f>
        <v>0</v>
      </c>
      <c r="S444" s="312">
        <f>IFERROR(INDEX('4. Valuation'!$O$10:$X$17,MATCH($D444,'4. Valuation'!$O$10:$O$17,0),MATCH($S$25,'4. Valuation'!$O$10:$X$10,0)),0)</f>
        <v>0</v>
      </c>
      <c r="T444" s="312" t="str">
        <f>IFERROR(INDEX('4. Valuation'!$O$10:$X$17,MATCH($D444,'4. Valuation'!$O$10:$O$17,0),MATCH($T$25,'4. Valuation'!$O$10:$X$10,0)),0)</f>
        <v>-</v>
      </c>
      <c r="U444" s="278"/>
      <c r="V444" s="312">
        <f t="shared" si="86"/>
        <v>0</v>
      </c>
      <c r="W444" s="312">
        <f t="shared" si="87"/>
        <v>0</v>
      </c>
      <c r="X444" s="312">
        <f t="shared" si="88"/>
        <v>0</v>
      </c>
      <c r="Y444" s="278"/>
      <c r="Z444" s="312">
        <f t="shared" si="89"/>
        <v>0</v>
      </c>
      <c r="AA444" s="312">
        <f>'3. GRI Pricing'!Y435</f>
        <v>0</v>
      </c>
      <c r="AB444" s="359">
        <f t="shared" si="90"/>
        <v>0</v>
      </c>
    </row>
    <row r="445" spans="3:28" s="30" customFormat="1" ht="12" x14ac:dyDescent="0.2">
      <c r="C445" s="77">
        <f>'1. Accomodation'!N440</f>
        <v>0</v>
      </c>
      <c r="D445" s="77">
        <f>'1. Accomodation'!P440</f>
        <v>0</v>
      </c>
      <c r="E445" s="77">
        <f>'1. Accomodation'!O440</f>
        <v>0</v>
      </c>
      <c r="G445" s="341">
        <f>IFERROR(INDEX('4. Valuation'!$C$10:$I$17,MATCH($D445,'4. Valuation'!$C$10:$C$17,0),MATCH($G$25,'4. Valuation'!$C$10:$I$10,0)),0)</f>
        <v>0</v>
      </c>
      <c r="H445" s="273">
        <f>IFERROR(INDEX('4. Valuation'!$C$10:$I$17,MATCH($D445,'4. Valuation'!$C$10:$C$17,0),MATCH($H$25,'4. Valuation'!$C$10:$I$10,0)),0)</f>
        <v>0</v>
      </c>
      <c r="I445" s="359" t="str">
        <f>IFERROR(INDEX('4. Valuation'!$C$10:$I$17,MATCH($D445,'4. Valuation'!$C$10:$C$17,0),MATCH($I$25,'4. Valuation'!$C$10:$I$10,0)),0)</f>
        <v>-</v>
      </c>
      <c r="J445" s="277"/>
      <c r="K445" s="312">
        <f t="shared" si="83"/>
        <v>0</v>
      </c>
      <c r="L445" s="312">
        <f t="shared" si="84"/>
        <v>0</v>
      </c>
      <c r="M445" s="359">
        <f t="shared" si="85"/>
        <v>0</v>
      </c>
      <c r="N445" s="278"/>
      <c r="O445" s="278"/>
      <c r="P445" s="278"/>
      <c r="Q445" s="278"/>
      <c r="R445" s="312">
        <f>IFERROR(INDEX('4. Valuation'!$O$10:$X$17,MATCH($D445,'4. Valuation'!$O$10:$O$17,0),MATCH($R$25,'4. Valuation'!$O$10:$X$10,0)),0)</f>
        <v>0</v>
      </c>
      <c r="S445" s="312">
        <f>IFERROR(INDEX('4. Valuation'!$O$10:$X$17,MATCH($D445,'4. Valuation'!$O$10:$O$17,0),MATCH($S$25,'4. Valuation'!$O$10:$X$10,0)),0)</f>
        <v>0</v>
      </c>
      <c r="T445" s="312" t="str">
        <f>IFERROR(INDEX('4. Valuation'!$O$10:$X$17,MATCH($D445,'4. Valuation'!$O$10:$O$17,0),MATCH($T$25,'4. Valuation'!$O$10:$X$10,0)),0)</f>
        <v>-</v>
      </c>
      <c r="U445" s="278"/>
      <c r="V445" s="312">
        <f t="shared" si="86"/>
        <v>0</v>
      </c>
      <c r="W445" s="312">
        <f t="shared" si="87"/>
        <v>0</v>
      </c>
      <c r="X445" s="312">
        <f t="shared" si="88"/>
        <v>0</v>
      </c>
      <c r="Y445" s="278"/>
      <c r="Z445" s="312">
        <f t="shared" si="89"/>
        <v>0</v>
      </c>
      <c r="AA445" s="312">
        <f>'3. GRI Pricing'!Y436</f>
        <v>0</v>
      </c>
      <c r="AB445" s="359">
        <f t="shared" si="90"/>
        <v>0</v>
      </c>
    </row>
    <row r="446" spans="3:28" s="30" customFormat="1" ht="12" x14ac:dyDescent="0.2">
      <c r="C446" s="77">
        <f>'1. Accomodation'!N441</f>
        <v>0</v>
      </c>
      <c r="D446" s="77">
        <f>'1. Accomodation'!P441</f>
        <v>0</v>
      </c>
      <c r="E446" s="77">
        <f>'1. Accomodation'!O441</f>
        <v>0</v>
      </c>
      <c r="G446" s="341">
        <f>IFERROR(INDEX('4. Valuation'!$C$10:$I$17,MATCH($D446,'4. Valuation'!$C$10:$C$17,0),MATCH($G$25,'4. Valuation'!$C$10:$I$10,0)),0)</f>
        <v>0</v>
      </c>
      <c r="H446" s="273">
        <f>IFERROR(INDEX('4. Valuation'!$C$10:$I$17,MATCH($D446,'4. Valuation'!$C$10:$C$17,0),MATCH($H$25,'4. Valuation'!$C$10:$I$10,0)),0)</f>
        <v>0</v>
      </c>
      <c r="I446" s="359" t="str">
        <f>IFERROR(INDEX('4. Valuation'!$C$10:$I$17,MATCH($D446,'4. Valuation'!$C$10:$C$17,0),MATCH($I$25,'4. Valuation'!$C$10:$I$10,0)),0)</f>
        <v>-</v>
      </c>
      <c r="J446" s="277"/>
      <c r="K446" s="312">
        <f t="shared" si="83"/>
        <v>0</v>
      </c>
      <c r="L446" s="312">
        <f t="shared" si="84"/>
        <v>0</v>
      </c>
      <c r="M446" s="359">
        <f t="shared" si="85"/>
        <v>0</v>
      </c>
      <c r="N446" s="278"/>
      <c r="O446" s="278"/>
      <c r="P446" s="278"/>
      <c r="Q446" s="278"/>
      <c r="R446" s="312">
        <f>IFERROR(INDEX('4. Valuation'!$O$10:$X$17,MATCH($D446,'4. Valuation'!$O$10:$O$17,0),MATCH($R$25,'4. Valuation'!$O$10:$X$10,0)),0)</f>
        <v>0</v>
      </c>
      <c r="S446" s="312">
        <f>IFERROR(INDEX('4. Valuation'!$O$10:$X$17,MATCH($D446,'4. Valuation'!$O$10:$O$17,0),MATCH($S$25,'4. Valuation'!$O$10:$X$10,0)),0)</f>
        <v>0</v>
      </c>
      <c r="T446" s="312" t="str">
        <f>IFERROR(INDEX('4. Valuation'!$O$10:$X$17,MATCH($D446,'4. Valuation'!$O$10:$O$17,0),MATCH($T$25,'4. Valuation'!$O$10:$X$10,0)),0)</f>
        <v>-</v>
      </c>
      <c r="U446" s="278"/>
      <c r="V446" s="312">
        <f t="shared" si="86"/>
        <v>0</v>
      </c>
      <c r="W446" s="312">
        <f t="shared" si="87"/>
        <v>0</v>
      </c>
      <c r="X446" s="312">
        <f t="shared" si="88"/>
        <v>0</v>
      </c>
      <c r="Y446" s="278"/>
      <c r="Z446" s="312">
        <f t="shared" si="89"/>
        <v>0</v>
      </c>
      <c r="AA446" s="312">
        <f>'3. GRI Pricing'!Y437</f>
        <v>0</v>
      </c>
      <c r="AB446" s="359">
        <f t="shared" si="90"/>
        <v>0</v>
      </c>
    </row>
    <row r="447" spans="3:28" s="30" customFormat="1" ht="12" x14ac:dyDescent="0.2">
      <c r="C447" s="77">
        <f>'1. Accomodation'!N442</f>
        <v>0</v>
      </c>
      <c r="D447" s="77">
        <f>'1. Accomodation'!P442</f>
        <v>0</v>
      </c>
      <c r="E447" s="77">
        <f>'1. Accomodation'!O442</f>
        <v>0</v>
      </c>
      <c r="G447" s="341">
        <f>IFERROR(INDEX('4. Valuation'!$C$10:$I$17,MATCH($D447,'4. Valuation'!$C$10:$C$17,0),MATCH($G$25,'4. Valuation'!$C$10:$I$10,0)),0)</f>
        <v>0</v>
      </c>
      <c r="H447" s="273">
        <f>IFERROR(INDEX('4. Valuation'!$C$10:$I$17,MATCH($D447,'4. Valuation'!$C$10:$C$17,0),MATCH($H$25,'4. Valuation'!$C$10:$I$10,0)),0)</f>
        <v>0</v>
      </c>
      <c r="I447" s="359" t="str">
        <f>IFERROR(INDEX('4. Valuation'!$C$10:$I$17,MATCH($D447,'4. Valuation'!$C$10:$C$17,0),MATCH($I$25,'4. Valuation'!$C$10:$I$10,0)),0)</f>
        <v>-</v>
      </c>
      <c r="J447" s="277"/>
      <c r="K447" s="312">
        <f t="shared" si="83"/>
        <v>0</v>
      </c>
      <c r="L447" s="312">
        <f t="shared" si="84"/>
        <v>0</v>
      </c>
      <c r="M447" s="359">
        <f t="shared" si="85"/>
        <v>0</v>
      </c>
      <c r="N447" s="278"/>
      <c r="O447" s="278"/>
      <c r="P447" s="278"/>
      <c r="Q447" s="278"/>
      <c r="R447" s="312">
        <f>IFERROR(INDEX('4. Valuation'!$O$10:$X$17,MATCH($D447,'4. Valuation'!$O$10:$O$17,0),MATCH($R$25,'4. Valuation'!$O$10:$X$10,0)),0)</f>
        <v>0</v>
      </c>
      <c r="S447" s="312">
        <f>IFERROR(INDEX('4. Valuation'!$O$10:$X$17,MATCH($D447,'4. Valuation'!$O$10:$O$17,0),MATCH($S$25,'4. Valuation'!$O$10:$X$10,0)),0)</f>
        <v>0</v>
      </c>
      <c r="T447" s="312" t="str">
        <f>IFERROR(INDEX('4. Valuation'!$O$10:$X$17,MATCH($D447,'4. Valuation'!$O$10:$O$17,0),MATCH($T$25,'4. Valuation'!$O$10:$X$10,0)),0)</f>
        <v>-</v>
      </c>
      <c r="U447" s="278"/>
      <c r="V447" s="312">
        <f t="shared" si="86"/>
        <v>0</v>
      </c>
      <c r="W447" s="312">
        <f t="shared" si="87"/>
        <v>0</v>
      </c>
      <c r="X447" s="312">
        <f t="shared" si="88"/>
        <v>0</v>
      </c>
      <c r="Y447" s="278"/>
      <c r="Z447" s="312">
        <f t="shared" si="89"/>
        <v>0</v>
      </c>
      <c r="AA447" s="312">
        <f>'3. GRI Pricing'!Y438</f>
        <v>0</v>
      </c>
      <c r="AB447" s="359">
        <f t="shared" si="90"/>
        <v>0</v>
      </c>
    </row>
    <row r="448" spans="3:28" s="30" customFormat="1" ht="12" x14ac:dyDescent="0.2">
      <c r="C448" s="77">
        <f>'1. Accomodation'!N443</f>
        <v>0</v>
      </c>
      <c r="D448" s="77">
        <f>'1. Accomodation'!P443</f>
        <v>0</v>
      </c>
      <c r="E448" s="77">
        <f>'1. Accomodation'!O443</f>
        <v>0</v>
      </c>
      <c r="G448" s="341">
        <f>IFERROR(INDEX('4. Valuation'!$C$10:$I$17,MATCH($D448,'4. Valuation'!$C$10:$C$17,0),MATCH($G$25,'4. Valuation'!$C$10:$I$10,0)),0)</f>
        <v>0</v>
      </c>
      <c r="H448" s="273">
        <f>IFERROR(INDEX('4. Valuation'!$C$10:$I$17,MATCH($D448,'4. Valuation'!$C$10:$C$17,0),MATCH($H$25,'4. Valuation'!$C$10:$I$10,0)),0)</f>
        <v>0</v>
      </c>
      <c r="I448" s="359" t="str">
        <f>IFERROR(INDEX('4. Valuation'!$C$10:$I$17,MATCH($D448,'4. Valuation'!$C$10:$C$17,0),MATCH($I$25,'4. Valuation'!$C$10:$I$10,0)),0)</f>
        <v>-</v>
      </c>
      <c r="J448" s="277"/>
      <c r="K448" s="312">
        <f t="shared" si="83"/>
        <v>0</v>
      </c>
      <c r="L448" s="312">
        <f t="shared" si="84"/>
        <v>0</v>
      </c>
      <c r="M448" s="359">
        <f t="shared" si="85"/>
        <v>0</v>
      </c>
      <c r="N448" s="278"/>
      <c r="O448" s="278"/>
      <c r="P448" s="278"/>
      <c r="Q448" s="278"/>
      <c r="R448" s="312">
        <f>IFERROR(INDEX('4. Valuation'!$O$10:$X$17,MATCH($D448,'4. Valuation'!$O$10:$O$17,0),MATCH($R$25,'4. Valuation'!$O$10:$X$10,0)),0)</f>
        <v>0</v>
      </c>
      <c r="S448" s="312">
        <f>IFERROR(INDEX('4. Valuation'!$O$10:$X$17,MATCH($D448,'4. Valuation'!$O$10:$O$17,0),MATCH($S$25,'4. Valuation'!$O$10:$X$10,0)),0)</f>
        <v>0</v>
      </c>
      <c r="T448" s="312" t="str">
        <f>IFERROR(INDEX('4. Valuation'!$O$10:$X$17,MATCH($D448,'4. Valuation'!$O$10:$O$17,0),MATCH($T$25,'4. Valuation'!$O$10:$X$10,0)),0)</f>
        <v>-</v>
      </c>
      <c r="U448" s="278"/>
      <c r="V448" s="312">
        <f t="shared" si="86"/>
        <v>0</v>
      </c>
      <c r="W448" s="312">
        <f t="shared" si="87"/>
        <v>0</v>
      </c>
      <c r="X448" s="312">
        <f t="shared" si="88"/>
        <v>0</v>
      </c>
      <c r="Y448" s="278"/>
      <c r="Z448" s="312">
        <f t="shared" si="89"/>
        <v>0</v>
      </c>
      <c r="AA448" s="312">
        <f>'3. GRI Pricing'!Y439</f>
        <v>0</v>
      </c>
      <c r="AB448" s="359">
        <f t="shared" si="90"/>
        <v>0</v>
      </c>
    </row>
    <row r="449" spans="3:28" s="30" customFormat="1" ht="12" x14ac:dyDescent="0.2">
      <c r="C449" s="77">
        <f>'1. Accomodation'!N444</f>
        <v>0</v>
      </c>
      <c r="D449" s="77">
        <f>'1. Accomodation'!P444</f>
        <v>0</v>
      </c>
      <c r="E449" s="77">
        <f>'1. Accomodation'!O444</f>
        <v>0</v>
      </c>
      <c r="G449" s="341">
        <f>IFERROR(INDEX('4. Valuation'!$C$10:$I$17,MATCH($D449,'4. Valuation'!$C$10:$C$17,0),MATCH($G$25,'4. Valuation'!$C$10:$I$10,0)),0)</f>
        <v>0</v>
      </c>
      <c r="H449" s="273">
        <f>IFERROR(INDEX('4. Valuation'!$C$10:$I$17,MATCH($D449,'4. Valuation'!$C$10:$C$17,0),MATCH($H$25,'4. Valuation'!$C$10:$I$10,0)),0)</f>
        <v>0</v>
      </c>
      <c r="I449" s="359" t="str">
        <f>IFERROR(INDEX('4. Valuation'!$C$10:$I$17,MATCH($D449,'4. Valuation'!$C$10:$C$17,0),MATCH($I$25,'4. Valuation'!$C$10:$I$10,0)),0)</f>
        <v>-</v>
      </c>
      <c r="J449" s="277"/>
      <c r="K449" s="312">
        <f t="shared" si="83"/>
        <v>0</v>
      </c>
      <c r="L449" s="312">
        <f t="shared" si="84"/>
        <v>0</v>
      </c>
      <c r="M449" s="359">
        <f t="shared" si="85"/>
        <v>0</v>
      </c>
      <c r="N449" s="278"/>
      <c r="O449" s="278"/>
      <c r="P449" s="278"/>
      <c r="Q449" s="278"/>
      <c r="R449" s="312">
        <f>IFERROR(INDEX('4. Valuation'!$O$10:$X$17,MATCH($D449,'4. Valuation'!$O$10:$O$17,0),MATCH($R$25,'4. Valuation'!$O$10:$X$10,0)),0)</f>
        <v>0</v>
      </c>
      <c r="S449" s="312">
        <f>IFERROR(INDEX('4. Valuation'!$O$10:$X$17,MATCH($D449,'4. Valuation'!$O$10:$O$17,0),MATCH($S$25,'4. Valuation'!$O$10:$X$10,0)),0)</f>
        <v>0</v>
      </c>
      <c r="T449" s="312" t="str">
        <f>IFERROR(INDEX('4. Valuation'!$O$10:$X$17,MATCH($D449,'4. Valuation'!$O$10:$O$17,0),MATCH($T$25,'4. Valuation'!$O$10:$X$10,0)),0)</f>
        <v>-</v>
      </c>
      <c r="U449" s="278"/>
      <c r="V449" s="312">
        <f t="shared" si="86"/>
        <v>0</v>
      </c>
      <c r="W449" s="312">
        <f t="shared" si="87"/>
        <v>0</v>
      </c>
      <c r="X449" s="312">
        <f t="shared" si="88"/>
        <v>0</v>
      </c>
      <c r="Y449" s="278"/>
      <c r="Z449" s="312">
        <f t="shared" si="89"/>
        <v>0</v>
      </c>
      <c r="AA449" s="312">
        <f>'3. GRI Pricing'!Y440</f>
        <v>0</v>
      </c>
      <c r="AB449" s="359">
        <f t="shared" si="90"/>
        <v>0</v>
      </c>
    </row>
    <row r="450" spans="3:28" s="30" customFormat="1" ht="12" x14ac:dyDescent="0.2">
      <c r="C450" s="77">
        <f>'1. Accomodation'!N445</f>
        <v>0</v>
      </c>
      <c r="D450" s="77">
        <f>'1. Accomodation'!P445</f>
        <v>0</v>
      </c>
      <c r="E450" s="77">
        <f>'1. Accomodation'!O445</f>
        <v>0</v>
      </c>
      <c r="G450" s="341">
        <f>IFERROR(INDEX('4. Valuation'!$C$10:$I$17,MATCH($D450,'4. Valuation'!$C$10:$C$17,0),MATCH($G$25,'4. Valuation'!$C$10:$I$10,0)),0)</f>
        <v>0</v>
      </c>
      <c r="H450" s="273">
        <f>IFERROR(INDEX('4. Valuation'!$C$10:$I$17,MATCH($D450,'4. Valuation'!$C$10:$C$17,0),MATCH($H$25,'4. Valuation'!$C$10:$I$10,0)),0)</f>
        <v>0</v>
      </c>
      <c r="I450" s="359" t="str">
        <f>IFERROR(INDEX('4. Valuation'!$C$10:$I$17,MATCH($D450,'4. Valuation'!$C$10:$C$17,0),MATCH($I$25,'4. Valuation'!$C$10:$I$10,0)),0)</f>
        <v>-</v>
      </c>
      <c r="J450" s="277"/>
      <c r="K450" s="312">
        <f t="shared" si="83"/>
        <v>0</v>
      </c>
      <c r="L450" s="312">
        <f t="shared" si="84"/>
        <v>0</v>
      </c>
      <c r="M450" s="359">
        <f t="shared" si="85"/>
        <v>0</v>
      </c>
      <c r="N450" s="278"/>
      <c r="O450" s="278"/>
      <c r="P450" s="278"/>
      <c r="Q450" s="278"/>
      <c r="R450" s="312">
        <f>IFERROR(INDEX('4. Valuation'!$O$10:$X$17,MATCH($D450,'4. Valuation'!$O$10:$O$17,0),MATCH($R$25,'4. Valuation'!$O$10:$X$10,0)),0)</f>
        <v>0</v>
      </c>
      <c r="S450" s="312">
        <f>IFERROR(INDEX('4. Valuation'!$O$10:$X$17,MATCH($D450,'4. Valuation'!$O$10:$O$17,0),MATCH($S$25,'4. Valuation'!$O$10:$X$10,0)),0)</f>
        <v>0</v>
      </c>
      <c r="T450" s="312" t="str">
        <f>IFERROR(INDEX('4. Valuation'!$O$10:$X$17,MATCH($D450,'4. Valuation'!$O$10:$O$17,0),MATCH($T$25,'4. Valuation'!$O$10:$X$10,0)),0)</f>
        <v>-</v>
      </c>
      <c r="U450" s="278"/>
      <c r="V450" s="312">
        <f t="shared" si="86"/>
        <v>0</v>
      </c>
      <c r="W450" s="312">
        <f t="shared" si="87"/>
        <v>0</v>
      </c>
      <c r="X450" s="312">
        <f t="shared" si="88"/>
        <v>0</v>
      </c>
      <c r="Y450" s="278"/>
      <c r="Z450" s="312">
        <f t="shared" si="89"/>
        <v>0</v>
      </c>
      <c r="AA450" s="312">
        <f>'3. GRI Pricing'!Y441</f>
        <v>0</v>
      </c>
      <c r="AB450" s="359">
        <f t="shared" si="90"/>
        <v>0</v>
      </c>
    </row>
    <row r="451" spans="3:28" s="30" customFormat="1" ht="12" x14ac:dyDescent="0.2">
      <c r="C451" s="77">
        <f>'1. Accomodation'!N446</f>
        <v>0</v>
      </c>
      <c r="D451" s="77">
        <f>'1. Accomodation'!P446</f>
        <v>0</v>
      </c>
      <c r="E451" s="77">
        <f>'1. Accomodation'!O446</f>
        <v>0</v>
      </c>
      <c r="G451" s="341">
        <f>IFERROR(INDEX('4. Valuation'!$C$10:$I$17,MATCH($D451,'4. Valuation'!$C$10:$C$17,0),MATCH($G$25,'4. Valuation'!$C$10:$I$10,0)),0)</f>
        <v>0</v>
      </c>
      <c r="H451" s="273">
        <f>IFERROR(INDEX('4. Valuation'!$C$10:$I$17,MATCH($D451,'4. Valuation'!$C$10:$C$17,0),MATCH($H$25,'4. Valuation'!$C$10:$I$10,0)),0)</f>
        <v>0</v>
      </c>
      <c r="I451" s="359" t="str">
        <f>IFERROR(INDEX('4. Valuation'!$C$10:$I$17,MATCH($D451,'4. Valuation'!$C$10:$C$17,0),MATCH($I$25,'4. Valuation'!$C$10:$I$10,0)),0)</f>
        <v>-</v>
      </c>
      <c r="J451" s="277"/>
      <c r="K451" s="312">
        <f t="shared" si="83"/>
        <v>0</v>
      </c>
      <c r="L451" s="312">
        <f t="shared" si="84"/>
        <v>0</v>
      </c>
      <c r="M451" s="359">
        <f t="shared" si="85"/>
        <v>0</v>
      </c>
      <c r="N451" s="278"/>
      <c r="O451" s="278"/>
      <c r="P451" s="278"/>
      <c r="Q451" s="278"/>
      <c r="R451" s="312">
        <f>IFERROR(INDEX('4. Valuation'!$O$10:$X$17,MATCH($D451,'4. Valuation'!$O$10:$O$17,0),MATCH($R$25,'4. Valuation'!$O$10:$X$10,0)),0)</f>
        <v>0</v>
      </c>
      <c r="S451" s="312">
        <f>IFERROR(INDEX('4. Valuation'!$O$10:$X$17,MATCH($D451,'4. Valuation'!$O$10:$O$17,0),MATCH($S$25,'4. Valuation'!$O$10:$X$10,0)),0)</f>
        <v>0</v>
      </c>
      <c r="T451" s="312" t="str">
        <f>IFERROR(INDEX('4. Valuation'!$O$10:$X$17,MATCH($D451,'4. Valuation'!$O$10:$O$17,0),MATCH($T$25,'4. Valuation'!$O$10:$X$10,0)),0)</f>
        <v>-</v>
      </c>
      <c r="U451" s="278"/>
      <c r="V451" s="312">
        <f t="shared" si="86"/>
        <v>0</v>
      </c>
      <c r="W451" s="312">
        <f t="shared" si="87"/>
        <v>0</v>
      </c>
      <c r="X451" s="312">
        <f t="shared" si="88"/>
        <v>0</v>
      </c>
      <c r="Y451" s="278"/>
      <c r="Z451" s="312">
        <f t="shared" si="89"/>
        <v>0</v>
      </c>
      <c r="AA451" s="312">
        <f>'3. GRI Pricing'!Y442</f>
        <v>0</v>
      </c>
      <c r="AB451" s="359">
        <f t="shared" si="90"/>
        <v>0</v>
      </c>
    </row>
    <row r="452" spans="3:28" s="30" customFormat="1" ht="12" x14ac:dyDescent="0.2">
      <c r="C452" s="77">
        <f>'1. Accomodation'!N447</f>
        <v>0</v>
      </c>
      <c r="D452" s="77">
        <f>'1. Accomodation'!P447</f>
        <v>0</v>
      </c>
      <c r="E452" s="77">
        <f>'1. Accomodation'!O447</f>
        <v>0</v>
      </c>
      <c r="G452" s="341">
        <f>IFERROR(INDEX('4. Valuation'!$C$10:$I$17,MATCH($D452,'4. Valuation'!$C$10:$C$17,0),MATCH($G$25,'4. Valuation'!$C$10:$I$10,0)),0)</f>
        <v>0</v>
      </c>
      <c r="H452" s="273">
        <f>IFERROR(INDEX('4. Valuation'!$C$10:$I$17,MATCH($D452,'4. Valuation'!$C$10:$C$17,0),MATCH($H$25,'4. Valuation'!$C$10:$I$10,0)),0)</f>
        <v>0</v>
      </c>
      <c r="I452" s="359" t="str">
        <f>IFERROR(INDEX('4. Valuation'!$C$10:$I$17,MATCH($D452,'4. Valuation'!$C$10:$C$17,0),MATCH($I$25,'4. Valuation'!$C$10:$I$10,0)),0)</f>
        <v>-</v>
      </c>
      <c r="J452" s="277"/>
      <c r="K452" s="312">
        <f t="shared" si="83"/>
        <v>0</v>
      </c>
      <c r="L452" s="312">
        <f t="shared" si="84"/>
        <v>0</v>
      </c>
      <c r="M452" s="359">
        <f t="shared" si="85"/>
        <v>0</v>
      </c>
      <c r="N452" s="278"/>
      <c r="O452" s="278"/>
      <c r="P452" s="278"/>
      <c r="Q452" s="278"/>
      <c r="R452" s="312">
        <f>IFERROR(INDEX('4. Valuation'!$O$10:$X$17,MATCH($D452,'4. Valuation'!$O$10:$O$17,0),MATCH($R$25,'4. Valuation'!$O$10:$X$10,0)),0)</f>
        <v>0</v>
      </c>
      <c r="S452" s="312">
        <f>IFERROR(INDEX('4. Valuation'!$O$10:$X$17,MATCH($D452,'4. Valuation'!$O$10:$O$17,0),MATCH($S$25,'4. Valuation'!$O$10:$X$10,0)),0)</f>
        <v>0</v>
      </c>
      <c r="T452" s="312" t="str">
        <f>IFERROR(INDEX('4. Valuation'!$O$10:$X$17,MATCH($D452,'4. Valuation'!$O$10:$O$17,0),MATCH($T$25,'4. Valuation'!$O$10:$X$10,0)),0)</f>
        <v>-</v>
      </c>
      <c r="U452" s="278"/>
      <c r="V452" s="312">
        <f t="shared" si="86"/>
        <v>0</v>
      </c>
      <c r="W452" s="312">
        <f t="shared" si="87"/>
        <v>0</v>
      </c>
      <c r="X452" s="312">
        <f t="shared" si="88"/>
        <v>0</v>
      </c>
      <c r="Y452" s="278"/>
      <c r="Z452" s="312">
        <f t="shared" si="89"/>
        <v>0</v>
      </c>
      <c r="AA452" s="312">
        <f>'3. GRI Pricing'!Y443</f>
        <v>0</v>
      </c>
      <c r="AB452" s="359">
        <f t="shared" si="90"/>
        <v>0</v>
      </c>
    </row>
    <row r="453" spans="3:28" s="30" customFormat="1" ht="12" x14ac:dyDescent="0.2">
      <c r="C453" s="77">
        <f>'1. Accomodation'!N448</f>
        <v>0</v>
      </c>
      <c r="D453" s="77">
        <f>'1. Accomodation'!P448</f>
        <v>0</v>
      </c>
      <c r="E453" s="77">
        <f>'1. Accomodation'!O448</f>
        <v>0</v>
      </c>
      <c r="G453" s="341">
        <f>IFERROR(INDEX('4. Valuation'!$C$10:$I$17,MATCH($D453,'4. Valuation'!$C$10:$C$17,0),MATCH($G$25,'4. Valuation'!$C$10:$I$10,0)),0)</f>
        <v>0</v>
      </c>
      <c r="H453" s="273">
        <f>IFERROR(INDEX('4. Valuation'!$C$10:$I$17,MATCH($D453,'4. Valuation'!$C$10:$C$17,0),MATCH($H$25,'4. Valuation'!$C$10:$I$10,0)),0)</f>
        <v>0</v>
      </c>
      <c r="I453" s="359" t="str">
        <f>IFERROR(INDEX('4. Valuation'!$C$10:$I$17,MATCH($D453,'4. Valuation'!$C$10:$C$17,0),MATCH($I$25,'4. Valuation'!$C$10:$I$10,0)),0)</f>
        <v>-</v>
      </c>
      <c r="J453" s="277"/>
      <c r="K453" s="312">
        <f t="shared" si="83"/>
        <v>0</v>
      </c>
      <c r="L453" s="312">
        <f t="shared" si="84"/>
        <v>0</v>
      </c>
      <c r="M453" s="359">
        <f t="shared" si="85"/>
        <v>0</v>
      </c>
      <c r="N453" s="278"/>
      <c r="O453" s="278"/>
      <c r="P453" s="278"/>
      <c r="Q453" s="278"/>
      <c r="R453" s="312">
        <f>IFERROR(INDEX('4. Valuation'!$O$10:$X$17,MATCH($D453,'4. Valuation'!$O$10:$O$17,0),MATCH($R$25,'4. Valuation'!$O$10:$X$10,0)),0)</f>
        <v>0</v>
      </c>
      <c r="S453" s="312">
        <f>IFERROR(INDEX('4. Valuation'!$O$10:$X$17,MATCH($D453,'4. Valuation'!$O$10:$O$17,0),MATCH($S$25,'4. Valuation'!$O$10:$X$10,0)),0)</f>
        <v>0</v>
      </c>
      <c r="T453" s="312" t="str">
        <f>IFERROR(INDEX('4. Valuation'!$O$10:$X$17,MATCH($D453,'4. Valuation'!$O$10:$O$17,0),MATCH($T$25,'4. Valuation'!$O$10:$X$10,0)),0)</f>
        <v>-</v>
      </c>
      <c r="U453" s="278"/>
      <c r="V453" s="312">
        <f t="shared" si="86"/>
        <v>0</v>
      </c>
      <c r="W453" s="312">
        <f t="shared" si="87"/>
        <v>0</v>
      </c>
      <c r="X453" s="312">
        <f t="shared" si="88"/>
        <v>0</v>
      </c>
      <c r="Y453" s="278"/>
      <c r="Z453" s="312">
        <f t="shared" si="89"/>
        <v>0</v>
      </c>
      <c r="AA453" s="312">
        <f>'3. GRI Pricing'!Y444</f>
        <v>0</v>
      </c>
      <c r="AB453" s="359">
        <f t="shared" si="90"/>
        <v>0</v>
      </c>
    </row>
    <row r="454" spans="3:28" s="30" customFormat="1" ht="12" x14ac:dyDescent="0.2">
      <c r="C454" s="77">
        <f>'1. Accomodation'!N449</f>
        <v>0</v>
      </c>
      <c r="D454" s="77">
        <f>'1. Accomodation'!P449</f>
        <v>0</v>
      </c>
      <c r="E454" s="77">
        <f>'1. Accomodation'!O449</f>
        <v>0</v>
      </c>
      <c r="G454" s="341">
        <f>IFERROR(INDEX('4. Valuation'!$C$10:$I$17,MATCH($D454,'4. Valuation'!$C$10:$C$17,0),MATCH($G$25,'4. Valuation'!$C$10:$I$10,0)),0)</f>
        <v>0</v>
      </c>
      <c r="H454" s="273">
        <f>IFERROR(INDEX('4. Valuation'!$C$10:$I$17,MATCH($D454,'4. Valuation'!$C$10:$C$17,0),MATCH($H$25,'4. Valuation'!$C$10:$I$10,0)),0)</f>
        <v>0</v>
      </c>
      <c r="I454" s="359" t="str">
        <f>IFERROR(INDEX('4. Valuation'!$C$10:$I$17,MATCH($D454,'4. Valuation'!$C$10:$C$17,0),MATCH($I$25,'4. Valuation'!$C$10:$I$10,0)),0)</f>
        <v>-</v>
      </c>
      <c r="J454" s="277"/>
      <c r="K454" s="312">
        <f t="shared" si="83"/>
        <v>0</v>
      </c>
      <c r="L454" s="312">
        <f t="shared" si="84"/>
        <v>0</v>
      </c>
      <c r="M454" s="359">
        <f t="shared" si="85"/>
        <v>0</v>
      </c>
      <c r="N454" s="278"/>
      <c r="O454" s="278"/>
      <c r="P454" s="278"/>
      <c r="Q454" s="278"/>
      <c r="R454" s="312">
        <f>IFERROR(INDEX('4. Valuation'!$O$10:$X$17,MATCH($D454,'4. Valuation'!$O$10:$O$17,0),MATCH($R$25,'4. Valuation'!$O$10:$X$10,0)),0)</f>
        <v>0</v>
      </c>
      <c r="S454" s="312">
        <f>IFERROR(INDEX('4. Valuation'!$O$10:$X$17,MATCH($D454,'4. Valuation'!$O$10:$O$17,0),MATCH($S$25,'4. Valuation'!$O$10:$X$10,0)),0)</f>
        <v>0</v>
      </c>
      <c r="T454" s="312" t="str">
        <f>IFERROR(INDEX('4. Valuation'!$O$10:$X$17,MATCH($D454,'4. Valuation'!$O$10:$O$17,0),MATCH($T$25,'4. Valuation'!$O$10:$X$10,0)),0)</f>
        <v>-</v>
      </c>
      <c r="U454" s="278"/>
      <c r="V454" s="312">
        <f t="shared" si="86"/>
        <v>0</v>
      </c>
      <c r="W454" s="312">
        <f t="shared" si="87"/>
        <v>0</v>
      </c>
      <c r="X454" s="312">
        <f t="shared" si="88"/>
        <v>0</v>
      </c>
      <c r="Y454" s="278"/>
      <c r="Z454" s="312">
        <f t="shared" si="89"/>
        <v>0</v>
      </c>
      <c r="AA454" s="312">
        <f>'3. GRI Pricing'!Y445</f>
        <v>0</v>
      </c>
      <c r="AB454" s="359">
        <f t="shared" si="90"/>
        <v>0</v>
      </c>
    </row>
    <row r="455" spans="3:28" s="30" customFormat="1" ht="12" x14ac:dyDescent="0.2">
      <c r="C455" s="77">
        <f>'1. Accomodation'!N450</f>
        <v>0</v>
      </c>
      <c r="D455" s="77">
        <f>'1. Accomodation'!P450</f>
        <v>0</v>
      </c>
      <c r="E455" s="77">
        <f>'1. Accomodation'!O450</f>
        <v>0</v>
      </c>
      <c r="G455" s="341">
        <f>IFERROR(INDEX('4. Valuation'!$C$10:$I$17,MATCH($D455,'4. Valuation'!$C$10:$C$17,0),MATCH($G$25,'4. Valuation'!$C$10:$I$10,0)),0)</f>
        <v>0</v>
      </c>
      <c r="H455" s="273">
        <f>IFERROR(INDEX('4. Valuation'!$C$10:$I$17,MATCH($D455,'4. Valuation'!$C$10:$C$17,0),MATCH($H$25,'4. Valuation'!$C$10:$I$10,0)),0)</f>
        <v>0</v>
      </c>
      <c r="I455" s="359" t="str">
        <f>IFERROR(INDEX('4. Valuation'!$C$10:$I$17,MATCH($D455,'4. Valuation'!$C$10:$C$17,0),MATCH($I$25,'4. Valuation'!$C$10:$I$10,0)),0)</f>
        <v>-</v>
      </c>
      <c r="J455" s="277"/>
      <c r="K455" s="312">
        <f t="shared" si="83"/>
        <v>0</v>
      </c>
      <c r="L455" s="312">
        <f t="shared" si="84"/>
        <v>0</v>
      </c>
      <c r="M455" s="359">
        <f t="shared" si="85"/>
        <v>0</v>
      </c>
      <c r="N455" s="278"/>
      <c r="O455" s="278"/>
      <c r="P455" s="278"/>
      <c r="Q455" s="278"/>
      <c r="R455" s="312">
        <f>IFERROR(INDEX('4. Valuation'!$O$10:$X$17,MATCH($D455,'4. Valuation'!$O$10:$O$17,0),MATCH($R$25,'4. Valuation'!$O$10:$X$10,0)),0)</f>
        <v>0</v>
      </c>
      <c r="S455" s="312">
        <f>IFERROR(INDEX('4. Valuation'!$O$10:$X$17,MATCH($D455,'4. Valuation'!$O$10:$O$17,0),MATCH($S$25,'4. Valuation'!$O$10:$X$10,0)),0)</f>
        <v>0</v>
      </c>
      <c r="T455" s="312" t="str">
        <f>IFERROR(INDEX('4. Valuation'!$O$10:$X$17,MATCH($D455,'4. Valuation'!$O$10:$O$17,0),MATCH($T$25,'4. Valuation'!$O$10:$X$10,0)),0)</f>
        <v>-</v>
      </c>
      <c r="U455" s="278"/>
      <c r="V455" s="312">
        <f t="shared" si="86"/>
        <v>0</v>
      </c>
      <c r="W455" s="312">
        <f t="shared" si="87"/>
        <v>0</v>
      </c>
      <c r="X455" s="312">
        <f t="shared" si="88"/>
        <v>0</v>
      </c>
      <c r="Y455" s="278"/>
      <c r="Z455" s="312">
        <f t="shared" si="89"/>
        <v>0</v>
      </c>
      <c r="AA455" s="312">
        <f>'3. GRI Pricing'!Y446</f>
        <v>0</v>
      </c>
      <c r="AB455" s="359">
        <f t="shared" si="90"/>
        <v>0</v>
      </c>
    </row>
    <row r="456" spans="3:28" s="30" customFormat="1" ht="12" x14ac:dyDescent="0.2">
      <c r="C456" s="77">
        <f>'1. Accomodation'!N451</f>
        <v>0</v>
      </c>
      <c r="D456" s="77">
        <f>'1. Accomodation'!P451</f>
        <v>0</v>
      </c>
      <c r="E456" s="77">
        <f>'1. Accomodation'!O451</f>
        <v>0</v>
      </c>
      <c r="G456" s="341">
        <f>IFERROR(INDEX('4. Valuation'!$C$10:$I$17,MATCH($D456,'4. Valuation'!$C$10:$C$17,0),MATCH($G$25,'4. Valuation'!$C$10:$I$10,0)),0)</f>
        <v>0</v>
      </c>
      <c r="H456" s="273">
        <f>IFERROR(INDEX('4. Valuation'!$C$10:$I$17,MATCH($D456,'4. Valuation'!$C$10:$C$17,0),MATCH($H$25,'4. Valuation'!$C$10:$I$10,0)),0)</f>
        <v>0</v>
      </c>
      <c r="I456" s="359" t="str">
        <f>IFERROR(INDEX('4. Valuation'!$C$10:$I$17,MATCH($D456,'4. Valuation'!$C$10:$C$17,0),MATCH($I$25,'4. Valuation'!$C$10:$I$10,0)),0)</f>
        <v>-</v>
      </c>
      <c r="J456" s="277"/>
      <c r="K456" s="312">
        <f t="shared" si="83"/>
        <v>0</v>
      </c>
      <c r="L456" s="312">
        <f t="shared" si="84"/>
        <v>0</v>
      </c>
      <c r="M456" s="359">
        <f t="shared" si="85"/>
        <v>0</v>
      </c>
      <c r="N456" s="278"/>
      <c r="O456" s="278"/>
      <c r="P456" s="278"/>
      <c r="Q456" s="278"/>
      <c r="R456" s="312">
        <f>IFERROR(INDEX('4. Valuation'!$O$10:$X$17,MATCH($D456,'4. Valuation'!$O$10:$O$17,0),MATCH($R$25,'4. Valuation'!$O$10:$X$10,0)),0)</f>
        <v>0</v>
      </c>
      <c r="S456" s="312">
        <f>IFERROR(INDEX('4. Valuation'!$O$10:$X$17,MATCH($D456,'4. Valuation'!$O$10:$O$17,0),MATCH($S$25,'4. Valuation'!$O$10:$X$10,0)),0)</f>
        <v>0</v>
      </c>
      <c r="T456" s="312" t="str">
        <f>IFERROR(INDEX('4. Valuation'!$O$10:$X$17,MATCH($D456,'4. Valuation'!$O$10:$O$17,0),MATCH($T$25,'4. Valuation'!$O$10:$X$10,0)),0)</f>
        <v>-</v>
      </c>
      <c r="U456" s="278"/>
      <c r="V456" s="312">
        <f t="shared" si="86"/>
        <v>0</v>
      </c>
      <c r="W456" s="312">
        <f t="shared" si="87"/>
        <v>0</v>
      </c>
      <c r="X456" s="312">
        <f t="shared" si="88"/>
        <v>0</v>
      </c>
      <c r="Y456" s="278"/>
      <c r="Z456" s="312">
        <f t="shared" si="89"/>
        <v>0</v>
      </c>
      <c r="AA456" s="312">
        <f>'3. GRI Pricing'!Y447</f>
        <v>0</v>
      </c>
      <c r="AB456" s="359">
        <f t="shared" si="90"/>
        <v>0</v>
      </c>
    </row>
    <row r="457" spans="3:28" s="30" customFormat="1" ht="12" x14ac:dyDescent="0.2">
      <c r="C457" s="77">
        <f>'1. Accomodation'!N452</f>
        <v>0</v>
      </c>
      <c r="D457" s="77">
        <f>'1. Accomodation'!P452</f>
        <v>0</v>
      </c>
      <c r="E457" s="77">
        <f>'1. Accomodation'!O452</f>
        <v>0</v>
      </c>
      <c r="G457" s="341">
        <f>IFERROR(INDEX('4. Valuation'!$C$10:$I$17,MATCH($D457,'4. Valuation'!$C$10:$C$17,0),MATCH($G$25,'4. Valuation'!$C$10:$I$10,0)),0)</f>
        <v>0</v>
      </c>
      <c r="H457" s="273">
        <f>IFERROR(INDEX('4. Valuation'!$C$10:$I$17,MATCH($D457,'4. Valuation'!$C$10:$C$17,0),MATCH($H$25,'4. Valuation'!$C$10:$I$10,0)),0)</f>
        <v>0</v>
      </c>
      <c r="I457" s="359" t="str">
        <f>IFERROR(INDEX('4. Valuation'!$C$10:$I$17,MATCH($D457,'4. Valuation'!$C$10:$C$17,0),MATCH($I$25,'4. Valuation'!$C$10:$I$10,0)),0)</f>
        <v>-</v>
      </c>
      <c r="J457" s="277"/>
      <c r="K457" s="312">
        <f t="shared" si="83"/>
        <v>0</v>
      </c>
      <c r="L457" s="312">
        <f t="shared" si="84"/>
        <v>0</v>
      </c>
      <c r="M457" s="359">
        <f t="shared" si="85"/>
        <v>0</v>
      </c>
      <c r="N457" s="278"/>
      <c r="O457" s="278"/>
      <c r="P457" s="278"/>
      <c r="Q457" s="278"/>
      <c r="R457" s="312">
        <f>IFERROR(INDEX('4. Valuation'!$O$10:$X$17,MATCH($D457,'4. Valuation'!$O$10:$O$17,0),MATCH($R$25,'4. Valuation'!$O$10:$X$10,0)),0)</f>
        <v>0</v>
      </c>
      <c r="S457" s="312">
        <f>IFERROR(INDEX('4. Valuation'!$O$10:$X$17,MATCH($D457,'4. Valuation'!$O$10:$O$17,0),MATCH($S$25,'4. Valuation'!$O$10:$X$10,0)),0)</f>
        <v>0</v>
      </c>
      <c r="T457" s="312" t="str">
        <f>IFERROR(INDEX('4. Valuation'!$O$10:$X$17,MATCH($D457,'4. Valuation'!$O$10:$O$17,0),MATCH($T$25,'4. Valuation'!$O$10:$X$10,0)),0)</f>
        <v>-</v>
      </c>
      <c r="U457" s="278"/>
      <c r="V457" s="312">
        <f t="shared" si="86"/>
        <v>0</v>
      </c>
      <c r="W457" s="312">
        <f t="shared" si="87"/>
        <v>0</v>
      </c>
      <c r="X457" s="312">
        <f t="shared" si="88"/>
        <v>0</v>
      </c>
      <c r="Y457" s="278"/>
      <c r="Z457" s="312">
        <f t="shared" si="89"/>
        <v>0</v>
      </c>
      <c r="AA457" s="312">
        <f>'3. GRI Pricing'!Y448</f>
        <v>0</v>
      </c>
      <c r="AB457" s="359">
        <f t="shared" si="90"/>
        <v>0</v>
      </c>
    </row>
    <row r="458" spans="3:28" s="30" customFormat="1" ht="12" x14ac:dyDescent="0.2">
      <c r="C458" s="77">
        <f>'1. Accomodation'!N453</f>
        <v>0</v>
      </c>
      <c r="D458" s="77">
        <f>'1. Accomodation'!P453</f>
        <v>0</v>
      </c>
      <c r="E458" s="77">
        <f>'1. Accomodation'!O453</f>
        <v>0</v>
      </c>
      <c r="G458" s="341">
        <f>IFERROR(INDEX('4. Valuation'!$C$10:$I$17,MATCH($D458,'4. Valuation'!$C$10:$C$17,0),MATCH($G$25,'4. Valuation'!$C$10:$I$10,0)),0)</f>
        <v>0</v>
      </c>
      <c r="H458" s="273">
        <f>IFERROR(INDEX('4. Valuation'!$C$10:$I$17,MATCH($D458,'4. Valuation'!$C$10:$C$17,0),MATCH($H$25,'4. Valuation'!$C$10:$I$10,0)),0)</f>
        <v>0</v>
      </c>
      <c r="I458" s="359" t="str">
        <f>IFERROR(INDEX('4. Valuation'!$C$10:$I$17,MATCH($D458,'4. Valuation'!$C$10:$C$17,0),MATCH($I$25,'4. Valuation'!$C$10:$I$10,0)),0)</f>
        <v>-</v>
      </c>
      <c r="J458" s="277"/>
      <c r="K458" s="312">
        <f t="shared" si="83"/>
        <v>0</v>
      </c>
      <c r="L458" s="312">
        <f t="shared" si="84"/>
        <v>0</v>
      </c>
      <c r="M458" s="359">
        <f t="shared" si="85"/>
        <v>0</v>
      </c>
      <c r="N458" s="278"/>
      <c r="O458" s="278"/>
      <c r="P458" s="278"/>
      <c r="Q458" s="278"/>
      <c r="R458" s="312">
        <f>IFERROR(INDEX('4. Valuation'!$O$10:$X$17,MATCH($D458,'4. Valuation'!$O$10:$O$17,0),MATCH($R$25,'4. Valuation'!$O$10:$X$10,0)),0)</f>
        <v>0</v>
      </c>
      <c r="S458" s="312">
        <f>IFERROR(INDEX('4. Valuation'!$O$10:$X$17,MATCH($D458,'4. Valuation'!$O$10:$O$17,0),MATCH($S$25,'4. Valuation'!$O$10:$X$10,0)),0)</f>
        <v>0</v>
      </c>
      <c r="T458" s="312" t="str">
        <f>IFERROR(INDEX('4. Valuation'!$O$10:$X$17,MATCH($D458,'4. Valuation'!$O$10:$O$17,0),MATCH($T$25,'4. Valuation'!$O$10:$X$10,0)),0)</f>
        <v>-</v>
      </c>
      <c r="U458" s="278"/>
      <c r="V458" s="312">
        <f t="shared" si="86"/>
        <v>0</v>
      </c>
      <c r="W458" s="312">
        <f t="shared" si="87"/>
        <v>0</v>
      </c>
      <c r="X458" s="312">
        <f t="shared" si="88"/>
        <v>0</v>
      </c>
      <c r="Y458" s="278"/>
      <c r="Z458" s="312">
        <f t="shared" si="89"/>
        <v>0</v>
      </c>
      <c r="AA458" s="312">
        <f>'3. GRI Pricing'!Y449</f>
        <v>0</v>
      </c>
      <c r="AB458" s="359">
        <f t="shared" si="90"/>
        <v>0</v>
      </c>
    </row>
    <row r="459" spans="3:28" s="30" customFormat="1" ht="12" x14ac:dyDescent="0.2">
      <c r="C459" s="77">
        <f>'1. Accomodation'!N454</f>
        <v>0</v>
      </c>
      <c r="D459" s="77">
        <f>'1. Accomodation'!P454</f>
        <v>0</v>
      </c>
      <c r="E459" s="77">
        <f>'1. Accomodation'!O454</f>
        <v>0</v>
      </c>
      <c r="G459" s="341">
        <f>IFERROR(INDEX('4. Valuation'!$C$10:$I$17,MATCH($D459,'4. Valuation'!$C$10:$C$17,0),MATCH($G$25,'4. Valuation'!$C$10:$I$10,0)),0)</f>
        <v>0</v>
      </c>
      <c r="H459" s="273">
        <f>IFERROR(INDEX('4. Valuation'!$C$10:$I$17,MATCH($D459,'4. Valuation'!$C$10:$C$17,0),MATCH($H$25,'4. Valuation'!$C$10:$I$10,0)),0)</f>
        <v>0</v>
      </c>
      <c r="I459" s="359" t="str">
        <f>IFERROR(INDEX('4. Valuation'!$C$10:$I$17,MATCH($D459,'4. Valuation'!$C$10:$C$17,0),MATCH($I$25,'4. Valuation'!$C$10:$I$10,0)),0)</f>
        <v>-</v>
      </c>
      <c r="J459" s="277"/>
      <c r="K459" s="312">
        <f t="shared" si="83"/>
        <v>0</v>
      </c>
      <c r="L459" s="312">
        <f t="shared" si="84"/>
        <v>0</v>
      </c>
      <c r="M459" s="359">
        <f t="shared" si="85"/>
        <v>0</v>
      </c>
      <c r="N459" s="278"/>
      <c r="O459" s="278"/>
      <c r="P459" s="278"/>
      <c r="Q459" s="278"/>
      <c r="R459" s="312">
        <f>IFERROR(INDEX('4. Valuation'!$O$10:$X$17,MATCH($D459,'4. Valuation'!$O$10:$O$17,0),MATCH($R$25,'4. Valuation'!$O$10:$X$10,0)),0)</f>
        <v>0</v>
      </c>
      <c r="S459" s="312">
        <f>IFERROR(INDEX('4. Valuation'!$O$10:$X$17,MATCH($D459,'4. Valuation'!$O$10:$O$17,0),MATCH($S$25,'4. Valuation'!$O$10:$X$10,0)),0)</f>
        <v>0</v>
      </c>
      <c r="T459" s="312" t="str">
        <f>IFERROR(INDEX('4. Valuation'!$O$10:$X$17,MATCH($D459,'4. Valuation'!$O$10:$O$17,0),MATCH($T$25,'4. Valuation'!$O$10:$X$10,0)),0)</f>
        <v>-</v>
      </c>
      <c r="U459" s="278"/>
      <c r="V459" s="312">
        <f t="shared" si="86"/>
        <v>0</v>
      </c>
      <c r="W459" s="312">
        <f t="shared" si="87"/>
        <v>0</v>
      </c>
      <c r="X459" s="312">
        <f t="shared" si="88"/>
        <v>0</v>
      </c>
      <c r="Y459" s="278"/>
      <c r="Z459" s="312">
        <f t="shared" si="89"/>
        <v>0</v>
      </c>
      <c r="AA459" s="312">
        <f>'3. GRI Pricing'!Y450</f>
        <v>0</v>
      </c>
      <c r="AB459" s="359">
        <f t="shared" si="90"/>
        <v>0</v>
      </c>
    </row>
    <row r="460" spans="3:28" s="30" customFormat="1" ht="12" x14ac:dyDescent="0.2">
      <c r="C460" s="77">
        <f>'1. Accomodation'!N455</f>
        <v>0</v>
      </c>
      <c r="D460" s="77">
        <f>'1. Accomodation'!P455</f>
        <v>0</v>
      </c>
      <c r="E460" s="77">
        <f>'1. Accomodation'!O455</f>
        <v>0</v>
      </c>
      <c r="G460" s="341">
        <f>IFERROR(INDEX('4. Valuation'!$C$10:$I$17,MATCH($D460,'4. Valuation'!$C$10:$C$17,0),MATCH($G$25,'4. Valuation'!$C$10:$I$10,0)),0)</f>
        <v>0</v>
      </c>
      <c r="H460" s="273">
        <f>IFERROR(INDEX('4. Valuation'!$C$10:$I$17,MATCH($D460,'4. Valuation'!$C$10:$C$17,0),MATCH($H$25,'4. Valuation'!$C$10:$I$10,0)),0)</f>
        <v>0</v>
      </c>
      <c r="I460" s="359" t="str">
        <f>IFERROR(INDEX('4. Valuation'!$C$10:$I$17,MATCH($D460,'4. Valuation'!$C$10:$C$17,0),MATCH($I$25,'4. Valuation'!$C$10:$I$10,0)),0)</f>
        <v>-</v>
      </c>
      <c r="J460" s="277"/>
      <c r="K460" s="312">
        <f t="shared" si="83"/>
        <v>0</v>
      </c>
      <c r="L460" s="312">
        <f t="shared" si="84"/>
        <v>0</v>
      </c>
      <c r="M460" s="359">
        <f t="shared" si="85"/>
        <v>0</v>
      </c>
      <c r="N460" s="278"/>
      <c r="O460" s="278"/>
      <c r="P460" s="278"/>
      <c r="Q460" s="278"/>
      <c r="R460" s="312">
        <f>IFERROR(INDEX('4. Valuation'!$O$10:$X$17,MATCH($D460,'4. Valuation'!$O$10:$O$17,0),MATCH($R$25,'4. Valuation'!$O$10:$X$10,0)),0)</f>
        <v>0</v>
      </c>
      <c r="S460" s="312">
        <f>IFERROR(INDEX('4. Valuation'!$O$10:$X$17,MATCH($D460,'4. Valuation'!$O$10:$O$17,0),MATCH($S$25,'4. Valuation'!$O$10:$X$10,0)),0)</f>
        <v>0</v>
      </c>
      <c r="T460" s="312" t="str">
        <f>IFERROR(INDEX('4. Valuation'!$O$10:$X$17,MATCH($D460,'4. Valuation'!$O$10:$O$17,0),MATCH($T$25,'4. Valuation'!$O$10:$X$10,0)),0)</f>
        <v>-</v>
      </c>
      <c r="U460" s="278"/>
      <c r="V460" s="312">
        <f t="shared" si="86"/>
        <v>0</v>
      </c>
      <c r="W460" s="312">
        <f t="shared" si="87"/>
        <v>0</v>
      </c>
      <c r="X460" s="312">
        <f t="shared" si="88"/>
        <v>0</v>
      </c>
      <c r="Y460" s="278"/>
      <c r="Z460" s="312">
        <f t="shared" si="89"/>
        <v>0</v>
      </c>
      <c r="AA460" s="312">
        <f>'3. GRI Pricing'!Y451</f>
        <v>0</v>
      </c>
      <c r="AB460" s="359">
        <f t="shared" si="90"/>
        <v>0</v>
      </c>
    </row>
    <row r="461" spans="3:28" s="30" customFormat="1" ht="12" x14ac:dyDescent="0.2">
      <c r="C461" s="77">
        <f>'1. Accomodation'!N456</f>
        <v>0</v>
      </c>
      <c r="D461" s="77">
        <f>'1. Accomodation'!P456</f>
        <v>0</v>
      </c>
      <c r="E461" s="77">
        <f>'1. Accomodation'!O456</f>
        <v>0</v>
      </c>
      <c r="G461" s="341">
        <f>IFERROR(INDEX('4. Valuation'!$C$10:$I$17,MATCH($D461,'4. Valuation'!$C$10:$C$17,0),MATCH($G$25,'4. Valuation'!$C$10:$I$10,0)),0)</f>
        <v>0</v>
      </c>
      <c r="H461" s="273">
        <f>IFERROR(INDEX('4. Valuation'!$C$10:$I$17,MATCH($D461,'4. Valuation'!$C$10:$C$17,0),MATCH($H$25,'4. Valuation'!$C$10:$I$10,0)),0)</f>
        <v>0</v>
      </c>
      <c r="I461" s="359" t="str">
        <f>IFERROR(INDEX('4. Valuation'!$C$10:$I$17,MATCH($D461,'4. Valuation'!$C$10:$C$17,0),MATCH($I$25,'4. Valuation'!$C$10:$I$10,0)),0)</f>
        <v>-</v>
      </c>
      <c r="J461" s="277"/>
      <c r="K461" s="312">
        <f t="shared" si="83"/>
        <v>0</v>
      </c>
      <c r="L461" s="312">
        <f t="shared" si="84"/>
        <v>0</v>
      </c>
      <c r="M461" s="359">
        <f t="shared" si="85"/>
        <v>0</v>
      </c>
      <c r="N461" s="278"/>
      <c r="O461" s="278"/>
      <c r="P461" s="278"/>
      <c r="Q461" s="278"/>
      <c r="R461" s="312">
        <f>IFERROR(INDEX('4. Valuation'!$O$10:$X$17,MATCH($D461,'4. Valuation'!$O$10:$O$17,0),MATCH($R$25,'4. Valuation'!$O$10:$X$10,0)),0)</f>
        <v>0</v>
      </c>
      <c r="S461" s="312">
        <f>IFERROR(INDEX('4. Valuation'!$O$10:$X$17,MATCH($D461,'4. Valuation'!$O$10:$O$17,0),MATCH($S$25,'4. Valuation'!$O$10:$X$10,0)),0)</f>
        <v>0</v>
      </c>
      <c r="T461" s="312" t="str">
        <f>IFERROR(INDEX('4. Valuation'!$O$10:$X$17,MATCH($D461,'4. Valuation'!$O$10:$O$17,0),MATCH($T$25,'4. Valuation'!$O$10:$X$10,0)),0)</f>
        <v>-</v>
      </c>
      <c r="U461" s="278"/>
      <c r="V461" s="312">
        <f t="shared" si="86"/>
        <v>0</v>
      </c>
      <c r="W461" s="312">
        <f t="shared" si="87"/>
        <v>0</v>
      </c>
      <c r="X461" s="312">
        <f t="shared" si="88"/>
        <v>0</v>
      </c>
      <c r="Y461" s="278"/>
      <c r="Z461" s="312">
        <f t="shared" si="89"/>
        <v>0</v>
      </c>
      <c r="AA461" s="312">
        <f>'3. GRI Pricing'!Y452</f>
        <v>0</v>
      </c>
      <c r="AB461" s="359">
        <f t="shared" si="90"/>
        <v>0</v>
      </c>
    </row>
    <row r="462" spans="3:28" s="30" customFormat="1" ht="12" x14ac:dyDescent="0.2">
      <c r="C462" s="77">
        <f>'1. Accomodation'!N457</f>
        <v>0</v>
      </c>
      <c r="D462" s="77">
        <f>'1. Accomodation'!P457</f>
        <v>0</v>
      </c>
      <c r="E462" s="77">
        <f>'1. Accomodation'!O457</f>
        <v>0</v>
      </c>
      <c r="G462" s="341">
        <f>IFERROR(INDEX('4. Valuation'!$C$10:$I$17,MATCH($D462,'4. Valuation'!$C$10:$C$17,0),MATCH($G$25,'4. Valuation'!$C$10:$I$10,0)),0)</f>
        <v>0</v>
      </c>
      <c r="H462" s="273">
        <f>IFERROR(INDEX('4. Valuation'!$C$10:$I$17,MATCH($D462,'4. Valuation'!$C$10:$C$17,0),MATCH($H$25,'4. Valuation'!$C$10:$I$10,0)),0)</f>
        <v>0</v>
      </c>
      <c r="I462" s="359" t="str">
        <f>IFERROR(INDEX('4. Valuation'!$C$10:$I$17,MATCH($D462,'4. Valuation'!$C$10:$C$17,0),MATCH($I$25,'4. Valuation'!$C$10:$I$10,0)),0)</f>
        <v>-</v>
      </c>
      <c r="J462" s="277"/>
      <c r="K462" s="312">
        <f t="shared" si="83"/>
        <v>0</v>
      </c>
      <c r="L462" s="312">
        <f t="shared" si="84"/>
        <v>0</v>
      </c>
      <c r="M462" s="359">
        <f t="shared" si="85"/>
        <v>0</v>
      </c>
      <c r="N462" s="278"/>
      <c r="O462" s="278"/>
      <c r="P462" s="278"/>
      <c r="Q462" s="278"/>
      <c r="R462" s="312">
        <f>IFERROR(INDEX('4. Valuation'!$O$10:$X$17,MATCH($D462,'4. Valuation'!$O$10:$O$17,0),MATCH($R$25,'4. Valuation'!$O$10:$X$10,0)),0)</f>
        <v>0</v>
      </c>
      <c r="S462" s="312">
        <f>IFERROR(INDEX('4. Valuation'!$O$10:$X$17,MATCH($D462,'4. Valuation'!$O$10:$O$17,0),MATCH($S$25,'4. Valuation'!$O$10:$X$10,0)),0)</f>
        <v>0</v>
      </c>
      <c r="T462" s="312" t="str">
        <f>IFERROR(INDEX('4. Valuation'!$O$10:$X$17,MATCH($D462,'4. Valuation'!$O$10:$O$17,0),MATCH($T$25,'4. Valuation'!$O$10:$X$10,0)),0)</f>
        <v>-</v>
      </c>
      <c r="U462" s="278"/>
      <c r="V462" s="312">
        <f t="shared" si="86"/>
        <v>0</v>
      </c>
      <c r="W462" s="312">
        <f t="shared" si="87"/>
        <v>0</v>
      </c>
      <c r="X462" s="312">
        <f t="shared" si="88"/>
        <v>0</v>
      </c>
      <c r="Y462" s="278"/>
      <c r="Z462" s="312">
        <f t="shared" si="89"/>
        <v>0</v>
      </c>
      <c r="AA462" s="312">
        <f>'3. GRI Pricing'!Y453</f>
        <v>0</v>
      </c>
      <c r="AB462" s="359">
        <f t="shared" si="90"/>
        <v>0</v>
      </c>
    </row>
    <row r="463" spans="3:28" s="30" customFormat="1" ht="12" x14ac:dyDescent="0.2">
      <c r="C463" s="77">
        <f>'1. Accomodation'!N458</f>
        <v>0</v>
      </c>
      <c r="D463" s="77">
        <f>'1. Accomodation'!P458</f>
        <v>0</v>
      </c>
      <c r="E463" s="77">
        <f>'1. Accomodation'!O458</f>
        <v>0</v>
      </c>
      <c r="G463" s="341">
        <f>IFERROR(INDEX('4. Valuation'!$C$10:$I$17,MATCH($D463,'4. Valuation'!$C$10:$C$17,0),MATCH($G$25,'4. Valuation'!$C$10:$I$10,0)),0)</f>
        <v>0</v>
      </c>
      <c r="H463" s="273">
        <f>IFERROR(INDEX('4. Valuation'!$C$10:$I$17,MATCH($D463,'4. Valuation'!$C$10:$C$17,0),MATCH($H$25,'4. Valuation'!$C$10:$I$10,0)),0)</f>
        <v>0</v>
      </c>
      <c r="I463" s="359" t="str">
        <f>IFERROR(INDEX('4. Valuation'!$C$10:$I$17,MATCH($D463,'4. Valuation'!$C$10:$C$17,0),MATCH($I$25,'4. Valuation'!$C$10:$I$10,0)),0)</f>
        <v>-</v>
      </c>
      <c r="J463" s="277"/>
      <c r="K463" s="312">
        <f t="shared" si="83"/>
        <v>0</v>
      </c>
      <c r="L463" s="312">
        <f t="shared" si="84"/>
        <v>0</v>
      </c>
      <c r="M463" s="359">
        <f t="shared" si="85"/>
        <v>0</v>
      </c>
      <c r="N463" s="278"/>
      <c r="O463" s="278"/>
      <c r="P463" s="278"/>
      <c r="Q463" s="278"/>
      <c r="R463" s="312">
        <f>IFERROR(INDEX('4. Valuation'!$O$10:$X$17,MATCH($D463,'4. Valuation'!$O$10:$O$17,0),MATCH($R$25,'4. Valuation'!$O$10:$X$10,0)),0)</f>
        <v>0</v>
      </c>
      <c r="S463" s="312">
        <f>IFERROR(INDEX('4. Valuation'!$O$10:$X$17,MATCH($D463,'4. Valuation'!$O$10:$O$17,0),MATCH($S$25,'4. Valuation'!$O$10:$X$10,0)),0)</f>
        <v>0</v>
      </c>
      <c r="T463" s="312" t="str">
        <f>IFERROR(INDEX('4. Valuation'!$O$10:$X$17,MATCH($D463,'4. Valuation'!$O$10:$O$17,0),MATCH($T$25,'4. Valuation'!$O$10:$X$10,0)),0)</f>
        <v>-</v>
      </c>
      <c r="U463" s="278"/>
      <c r="V463" s="312">
        <f t="shared" si="86"/>
        <v>0</v>
      </c>
      <c r="W463" s="312">
        <f t="shared" si="87"/>
        <v>0</v>
      </c>
      <c r="X463" s="312">
        <f t="shared" si="88"/>
        <v>0</v>
      </c>
      <c r="Y463" s="278"/>
      <c r="Z463" s="312">
        <f t="shared" si="89"/>
        <v>0</v>
      </c>
      <c r="AA463" s="312">
        <f>'3. GRI Pricing'!Y454</f>
        <v>0</v>
      </c>
      <c r="AB463" s="359">
        <f t="shared" si="90"/>
        <v>0</v>
      </c>
    </row>
    <row r="464" spans="3:28" s="30" customFormat="1" ht="12" x14ac:dyDescent="0.2">
      <c r="C464" s="77">
        <f>'1. Accomodation'!N459</f>
        <v>0</v>
      </c>
      <c r="D464" s="77">
        <f>'1. Accomodation'!P459</f>
        <v>0</v>
      </c>
      <c r="E464" s="77">
        <f>'1. Accomodation'!O459</f>
        <v>0</v>
      </c>
      <c r="G464" s="341">
        <f>IFERROR(INDEX('4. Valuation'!$C$10:$I$17,MATCH($D464,'4. Valuation'!$C$10:$C$17,0),MATCH($G$25,'4. Valuation'!$C$10:$I$10,0)),0)</f>
        <v>0</v>
      </c>
      <c r="H464" s="273">
        <f>IFERROR(INDEX('4. Valuation'!$C$10:$I$17,MATCH($D464,'4. Valuation'!$C$10:$C$17,0),MATCH($H$25,'4. Valuation'!$C$10:$I$10,0)),0)</f>
        <v>0</v>
      </c>
      <c r="I464" s="359" t="str">
        <f>IFERROR(INDEX('4. Valuation'!$C$10:$I$17,MATCH($D464,'4. Valuation'!$C$10:$C$17,0),MATCH($I$25,'4. Valuation'!$C$10:$I$10,0)),0)</f>
        <v>-</v>
      </c>
      <c r="J464" s="277"/>
      <c r="K464" s="312">
        <f t="shared" si="83"/>
        <v>0</v>
      </c>
      <c r="L464" s="312">
        <f t="shared" si="84"/>
        <v>0</v>
      </c>
      <c r="M464" s="359">
        <f t="shared" si="85"/>
        <v>0</v>
      </c>
      <c r="N464" s="278"/>
      <c r="O464" s="278"/>
      <c r="P464" s="278"/>
      <c r="Q464" s="278"/>
      <c r="R464" s="312">
        <f>IFERROR(INDEX('4. Valuation'!$O$10:$X$17,MATCH($D464,'4. Valuation'!$O$10:$O$17,0),MATCH($R$25,'4. Valuation'!$O$10:$X$10,0)),0)</f>
        <v>0</v>
      </c>
      <c r="S464" s="312">
        <f>IFERROR(INDEX('4. Valuation'!$O$10:$X$17,MATCH($D464,'4. Valuation'!$O$10:$O$17,0),MATCH($S$25,'4. Valuation'!$O$10:$X$10,0)),0)</f>
        <v>0</v>
      </c>
      <c r="T464" s="312" t="str">
        <f>IFERROR(INDEX('4. Valuation'!$O$10:$X$17,MATCH($D464,'4. Valuation'!$O$10:$O$17,0),MATCH($T$25,'4. Valuation'!$O$10:$X$10,0)),0)</f>
        <v>-</v>
      </c>
      <c r="U464" s="278"/>
      <c r="V464" s="312">
        <f t="shared" si="86"/>
        <v>0</v>
      </c>
      <c r="W464" s="312">
        <f t="shared" si="87"/>
        <v>0</v>
      </c>
      <c r="X464" s="312">
        <f t="shared" si="88"/>
        <v>0</v>
      </c>
      <c r="Y464" s="278"/>
      <c r="Z464" s="312">
        <f t="shared" si="89"/>
        <v>0</v>
      </c>
      <c r="AA464" s="312">
        <f>'3. GRI Pricing'!Y455</f>
        <v>0</v>
      </c>
      <c r="AB464" s="359">
        <f t="shared" si="90"/>
        <v>0</v>
      </c>
    </row>
    <row r="465" spans="3:28" s="30" customFormat="1" ht="12" x14ac:dyDescent="0.2">
      <c r="C465" s="77">
        <f>'1. Accomodation'!N460</f>
        <v>0</v>
      </c>
      <c r="D465" s="77">
        <f>'1. Accomodation'!P460</f>
        <v>0</v>
      </c>
      <c r="E465" s="77">
        <f>'1. Accomodation'!O460</f>
        <v>0</v>
      </c>
      <c r="G465" s="341">
        <f>IFERROR(INDEX('4. Valuation'!$C$10:$I$17,MATCH($D465,'4. Valuation'!$C$10:$C$17,0),MATCH($G$25,'4. Valuation'!$C$10:$I$10,0)),0)</f>
        <v>0</v>
      </c>
      <c r="H465" s="273">
        <f>IFERROR(INDEX('4. Valuation'!$C$10:$I$17,MATCH($D465,'4. Valuation'!$C$10:$C$17,0),MATCH($H$25,'4. Valuation'!$C$10:$I$10,0)),0)</f>
        <v>0</v>
      </c>
      <c r="I465" s="359" t="str">
        <f>IFERROR(INDEX('4. Valuation'!$C$10:$I$17,MATCH($D465,'4. Valuation'!$C$10:$C$17,0),MATCH($I$25,'4. Valuation'!$C$10:$I$10,0)),0)</f>
        <v>-</v>
      </c>
      <c r="J465" s="277"/>
      <c r="K465" s="312">
        <f t="shared" si="83"/>
        <v>0</v>
      </c>
      <c r="L465" s="312">
        <f t="shared" si="84"/>
        <v>0</v>
      </c>
      <c r="M465" s="359">
        <f t="shared" si="85"/>
        <v>0</v>
      </c>
      <c r="N465" s="278"/>
      <c r="O465" s="278"/>
      <c r="P465" s="278"/>
      <c r="Q465" s="278"/>
      <c r="R465" s="312">
        <f>IFERROR(INDEX('4. Valuation'!$O$10:$X$17,MATCH($D465,'4. Valuation'!$O$10:$O$17,0),MATCH($R$25,'4. Valuation'!$O$10:$X$10,0)),0)</f>
        <v>0</v>
      </c>
      <c r="S465" s="312">
        <f>IFERROR(INDEX('4. Valuation'!$O$10:$X$17,MATCH($D465,'4. Valuation'!$O$10:$O$17,0),MATCH($S$25,'4. Valuation'!$O$10:$X$10,0)),0)</f>
        <v>0</v>
      </c>
      <c r="T465" s="312" t="str">
        <f>IFERROR(INDEX('4. Valuation'!$O$10:$X$17,MATCH($D465,'4. Valuation'!$O$10:$O$17,0),MATCH($T$25,'4. Valuation'!$O$10:$X$10,0)),0)</f>
        <v>-</v>
      </c>
      <c r="U465" s="278"/>
      <c r="V465" s="312">
        <f t="shared" si="86"/>
        <v>0</v>
      </c>
      <c r="W465" s="312">
        <f t="shared" si="87"/>
        <v>0</v>
      </c>
      <c r="X465" s="312">
        <f t="shared" si="88"/>
        <v>0</v>
      </c>
      <c r="Y465" s="278"/>
      <c r="Z465" s="312">
        <f t="shared" si="89"/>
        <v>0</v>
      </c>
      <c r="AA465" s="312">
        <f>'3. GRI Pricing'!Y456</f>
        <v>0</v>
      </c>
      <c r="AB465" s="359">
        <f t="shared" si="90"/>
        <v>0</v>
      </c>
    </row>
    <row r="466" spans="3:28" s="30" customFormat="1" ht="12" x14ac:dyDescent="0.2">
      <c r="C466" s="77">
        <f>'1. Accomodation'!N461</f>
        <v>0</v>
      </c>
      <c r="D466" s="77">
        <f>'1. Accomodation'!P461</f>
        <v>0</v>
      </c>
      <c r="E466" s="77">
        <f>'1. Accomodation'!O461</f>
        <v>0</v>
      </c>
      <c r="G466" s="341">
        <f>IFERROR(INDEX('4. Valuation'!$C$10:$I$17,MATCH($D466,'4. Valuation'!$C$10:$C$17,0),MATCH($G$25,'4. Valuation'!$C$10:$I$10,0)),0)</f>
        <v>0</v>
      </c>
      <c r="H466" s="273">
        <f>IFERROR(INDEX('4. Valuation'!$C$10:$I$17,MATCH($D466,'4. Valuation'!$C$10:$C$17,0),MATCH($H$25,'4. Valuation'!$C$10:$I$10,0)),0)</f>
        <v>0</v>
      </c>
      <c r="I466" s="359" t="str">
        <f>IFERROR(INDEX('4. Valuation'!$C$10:$I$17,MATCH($D466,'4. Valuation'!$C$10:$C$17,0),MATCH($I$25,'4. Valuation'!$C$10:$I$10,0)),0)</f>
        <v>-</v>
      </c>
      <c r="J466" s="277"/>
      <c r="K466" s="312">
        <f t="shared" si="83"/>
        <v>0</v>
      </c>
      <c r="L466" s="312">
        <f t="shared" si="84"/>
        <v>0</v>
      </c>
      <c r="M466" s="359">
        <f t="shared" si="85"/>
        <v>0</v>
      </c>
      <c r="N466" s="278"/>
      <c r="O466" s="278"/>
      <c r="P466" s="278"/>
      <c r="Q466" s="278"/>
      <c r="R466" s="312">
        <f>IFERROR(INDEX('4. Valuation'!$O$10:$X$17,MATCH($D466,'4. Valuation'!$O$10:$O$17,0),MATCH($R$25,'4. Valuation'!$O$10:$X$10,0)),0)</f>
        <v>0</v>
      </c>
      <c r="S466" s="312">
        <f>IFERROR(INDEX('4. Valuation'!$O$10:$X$17,MATCH($D466,'4. Valuation'!$O$10:$O$17,0),MATCH($S$25,'4. Valuation'!$O$10:$X$10,0)),0)</f>
        <v>0</v>
      </c>
      <c r="T466" s="312" t="str">
        <f>IFERROR(INDEX('4. Valuation'!$O$10:$X$17,MATCH($D466,'4. Valuation'!$O$10:$O$17,0),MATCH($T$25,'4. Valuation'!$O$10:$X$10,0)),0)</f>
        <v>-</v>
      </c>
      <c r="U466" s="278"/>
      <c r="V466" s="312">
        <f t="shared" si="86"/>
        <v>0</v>
      </c>
      <c r="W466" s="312">
        <f t="shared" si="87"/>
        <v>0</v>
      </c>
      <c r="X466" s="312">
        <f t="shared" si="88"/>
        <v>0</v>
      </c>
      <c r="Y466" s="278"/>
      <c r="Z466" s="312">
        <f t="shared" si="89"/>
        <v>0</v>
      </c>
      <c r="AA466" s="312">
        <f>'3. GRI Pricing'!Y457</f>
        <v>0</v>
      </c>
      <c r="AB466" s="359">
        <f t="shared" si="90"/>
        <v>0</v>
      </c>
    </row>
    <row r="467" spans="3:28" s="30" customFormat="1" ht="12" x14ac:dyDescent="0.2">
      <c r="C467" s="77">
        <f>'1. Accomodation'!N462</f>
        <v>0</v>
      </c>
      <c r="D467" s="77">
        <f>'1. Accomodation'!P462</f>
        <v>0</v>
      </c>
      <c r="E467" s="77">
        <f>'1. Accomodation'!O462</f>
        <v>0</v>
      </c>
      <c r="G467" s="341">
        <f>IFERROR(INDEX('4. Valuation'!$C$10:$I$17,MATCH($D467,'4. Valuation'!$C$10:$C$17,0),MATCH($G$25,'4. Valuation'!$C$10:$I$10,0)),0)</f>
        <v>0</v>
      </c>
      <c r="H467" s="273">
        <f>IFERROR(INDEX('4. Valuation'!$C$10:$I$17,MATCH($D467,'4. Valuation'!$C$10:$C$17,0),MATCH($H$25,'4. Valuation'!$C$10:$I$10,0)),0)</f>
        <v>0</v>
      </c>
      <c r="I467" s="359" t="str">
        <f>IFERROR(INDEX('4. Valuation'!$C$10:$I$17,MATCH($D467,'4. Valuation'!$C$10:$C$17,0),MATCH($I$25,'4. Valuation'!$C$10:$I$10,0)),0)</f>
        <v>-</v>
      </c>
      <c r="J467" s="277"/>
      <c r="K467" s="312">
        <f t="shared" si="83"/>
        <v>0</v>
      </c>
      <c r="L467" s="312">
        <f t="shared" si="84"/>
        <v>0</v>
      </c>
      <c r="M467" s="359">
        <f t="shared" si="85"/>
        <v>0</v>
      </c>
      <c r="N467" s="278"/>
      <c r="O467" s="278"/>
      <c r="P467" s="278"/>
      <c r="Q467" s="278"/>
      <c r="R467" s="312">
        <f>IFERROR(INDEX('4. Valuation'!$O$10:$X$17,MATCH($D467,'4. Valuation'!$O$10:$O$17,0),MATCH($R$25,'4. Valuation'!$O$10:$X$10,0)),0)</f>
        <v>0</v>
      </c>
      <c r="S467" s="312">
        <f>IFERROR(INDEX('4. Valuation'!$O$10:$X$17,MATCH($D467,'4. Valuation'!$O$10:$O$17,0),MATCH($S$25,'4. Valuation'!$O$10:$X$10,0)),0)</f>
        <v>0</v>
      </c>
      <c r="T467" s="312" t="str">
        <f>IFERROR(INDEX('4. Valuation'!$O$10:$X$17,MATCH($D467,'4. Valuation'!$O$10:$O$17,0),MATCH($T$25,'4. Valuation'!$O$10:$X$10,0)),0)</f>
        <v>-</v>
      </c>
      <c r="U467" s="278"/>
      <c r="V467" s="312">
        <f t="shared" si="86"/>
        <v>0</v>
      </c>
      <c r="W467" s="312">
        <f t="shared" si="87"/>
        <v>0</v>
      </c>
      <c r="X467" s="312">
        <f t="shared" si="88"/>
        <v>0</v>
      </c>
      <c r="Y467" s="278"/>
      <c r="Z467" s="312">
        <f t="shared" si="89"/>
        <v>0</v>
      </c>
      <c r="AA467" s="312">
        <f>'3. GRI Pricing'!Y458</f>
        <v>0</v>
      </c>
      <c r="AB467" s="359">
        <f t="shared" si="90"/>
        <v>0</v>
      </c>
    </row>
    <row r="468" spans="3:28" s="30" customFormat="1" ht="12" x14ac:dyDescent="0.2">
      <c r="C468" s="77">
        <f>'1. Accomodation'!N463</f>
        <v>0</v>
      </c>
      <c r="D468" s="77">
        <f>'1. Accomodation'!P463</f>
        <v>0</v>
      </c>
      <c r="E468" s="77">
        <f>'1. Accomodation'!O463</f>
        <v>0</v>
      </c>
      <c r="G468" s="341">
        <f>IFERROR(INDEX('4. Valuation'!$C$10:$I$17,MATCH($D468,'4. Valuation'!$C$10:$C$17,0),MATCH($G$25,'4. Valuation'!$C$10:$I$10,0)),0)</f>
        <v>0</v>
      </c>
      <c r="H468" s="273">
        <f>IFERROR(INDEX('4. Valuation'!$C$10:$I$17,MATCH($D468,'4. Valuation'!$C$10:$C$17,0),MATCH($H$25,'4. Valuation'!$C$10:$I$10,0)),0)</f>
        <v>0</v>
      </c>
      <c r="I468" s="359" t="str">
        <f>IFERROR(INDEX('4. Valuation'!$C$10:$I$17,MATCH($D468,'4. Valuation'!$C$10:$C$17,0),MATCH($I$25,'4. Valuation'!$C$10:$I$10,0)),0)</f>
        <v>-</v>
      </c>
      <c r="J468" s="277"/>
      <c r="K468" s="312">
        <f t="shared" si="83"/>
        <v>0</v>
      </c>
      <c r="L468" s="312">
        <f t="shared" si="84"/>
        <v>0</v>
      </c>
      <c r="M468" s="359">
        <f t="shared" si="85"/>
        <v>0</v>
      </c>
      <c r="N468" s="278"/>
      <c r="O468" s="278"/>
      <c r="P468" s="278"/>
      <c r="Q468" s="278"/>
      <c r="R468" s="312">
        <f>IFERROR(INDEX('4. Valuation'!$O$10:$X$17,MATCH($D468,'4. Valuation'!$O$10:$O$17,0),MATCH($R$25,'4. Valuation'!$O$10:$X$10,0)),0)</f>
        <v>0</v>
      </c>
      <c r="S468" s="312">
        <f>IFERROR(INDEX('4. Valuation'!$O$10:$X$17,MATCH($D468,'4. Valuation'!$O$10:$O$17,0),MATCH($S$25,'4. Valuation'!$O$10:$X$10,0)),0)</f>
        <v>0</v>
      </c>
      <c r="T468" s="312" t="str">
        <f>IFERROR(INDEX('4. Valuation'!$O$10:$X$17,MATCH($D468,'4. Valuation'!$O$10:$O$17,0),MATCH($T$25,'4. Valuation'!$O$10:$X$10,0)),0)</f>
        <v>-</v>
      </c>
      <c r="U468" s="278"/>
      <c r="V468" s="312">
        <f t="shared" si="86"/>
        <v>0</v>
      </c>
      <c r="W468" s="312">
        <f t="shared" si="87"/>
        <v>0</v>
      </c>
      <c r="X468" s="312">
        <f t="shared" si="88"/>
        <v>0</v>
      </c>
      <c r="Y468" s="278"/>
      <c r="Z468" s="312">
        <f t="shared" si="89"/>
        <v>0</v>
      </c>
      <c r="AA468" s="312">
        <f>'3. GRI Pricing'!Y459</f>
        <v>0</v>
      </c>
      <c r="AB468" s="359">
        <f t="shared" si="90"/>
        <v>0</v>
      </c>
    </row>
    <row r="469" spans="3:28" s="30" customFormat="1" ht="12" x14ac:dyDescent="0.2">
      <c r="C469" s="77">
        <f>'1. Accomodation'!N464</f>
        <v>0</v>
      </c>
      <c r="D469" s="77">
        <f>'1. Accomodation'!P464</f>
        <v>0</v>
      </c>
      <c r="E469" s="77">
        <f>'1. Accomodation'!O464</f>
        <v>0</v>
      </c>
      <c r="G469" s="341">
        <f>IFERROR(INDEX('4. Valuation'!$C$10:$I$17,MATCH($D469,'4. Valuation'!$C$10:$C$17,0),MATCH($G$25,'4. Valuation'!$C$10:$I$10,0)),0)</f>
        <v>0</v>
      </c>
      <c r="H469" s="273">
        <f>IFERROR(INDEX('4. Valuation'!$C$10:$I$17,MATCH($D469,'4. Valuation'!$C$10:$C$17,0),MATCH($H$25,'4. Valuation'!$C$10:$I$10,0)),0)</f>
        <v>0</v>
      </c>
      <c r="I469" s="359" t="str">
        <f>IFERROR(INDEX('4. Valuation'!$C$10:$I$17,MATCH($D469,'4. Valuation'!$C$10:$C$17,0),MATCH($I$25,'4. Valuation'!$C$10:$I$10,0)),0)</f>
        <v>-</v>
      </c>
      <c r="J469" s="277"/>
      <c r="K469" s="312">
        <f t="shared" si="83"/>
        <v>0</v>
      </c>
      <c r="L469" s="312">
        <f t="shared" si="84"/>
        <v>0</v>
      </c>
      <c r="M469" s="359">
        <f t="shared" si="85"/>
        <v>0</v>
      </c>
      <c r="N469" s="278"/>
      <c r="O469" s="278"/>
      <c r="P469" s="278"/>
      <c r="Q469" s="278"/>
      <c r="R469" s="312">
        <f>IFERROR(INDEX('4. Valuation'!$O$10:$X$17,MATCH($D469,'4. Valuation'!$O$10:$O$17,0),MATCH($R$25,'4. Valuation'!$O$10:$X$10,0)),0)</f>
        <v>0</v>
      </c>
      <c r="S469" s="312">
        <f>IFERROR(INDEX('4. Valuation'!$O$10:$X$17,MATCH($D469,'4. Valuation'!$O$10:$O$17,0),MATCH($S$25,'4. Valuation'!$O$10:$X$10,0)),0)</f>
        <v>0</v>
      </c>
      <c r="T469" s="312" t="str">
        <f>IFERROR(INDEX('4. Valuation'!$O$10:$X$17,MATCH($D469,'4. Valuation'!$O$10:$O$17,0),MATCH($T$25,'4. Valuation'!$O$10:$X$10,0)),0)</f>
        <v>-</v>
      </c>
      <c r="U469" s="278"/>
      <c r="V469" s="312">
        <f t="shared" si="86"/>
        <v>0</v>
      </c>
      <c r="W469" s="312">
        <f t="shared" si="87"/>
        <v>0</v>
      </c>
      <c r="X469" s="312">
        <f t="shared" si="88"/>
        <v>0</v>
      </c>
      <c r="Y469" s="278"/>
      <c r="Z469" s="312">
        <f t="shared" si="89"/>
        <v>0</v>
      </c>
      <c r="AA469" s="312">
        <f>'3. GRI Pricing'!Y460</f>
        <v>0</v>
      </c>
      <c r="AB469" s="359">
        <f t="shared" si="90"/>
        <v>0</v>
      </c>
    </row>
    <row r="470" spans="3:28" s="30" customFormat="1" ht="12" x14ac:dyDescent="0.2">
      <c r="C470" s="77">
        <f>'1. Accomodation'!N465</f>
        <v>0</v>
      </c>
      <c r="D470" s="77">
        <f>'1. Accomodation'!P465</f>
        <v>0</v>
      </c>
      <c r="E470" s="77">
        <f>'1. Accomodation'!O465</f>
        <v>0</v>
      </c>
      <c r="G470" s="341">
        <f>IFERROR(INDEX('4. Valuation'!$C$10:$I$17,MATCH($D470,'4. Valuation'!$C$10:$C$17,0),MATCH($G$25,'4. Valuation'!$C$10:$I$10,0)),0)</f>
        <v>0</v>
      </c>
      <c r="H470" s="273">
        <f>IFERROR(INDEX('4. Valuation'!$C$10:$I$17,MATCH($D470,'4. Valuation'!$C$10:$C$17,0),MATCH($H$25,'4. Valuation'!$C$10:$I$10,0)),0)</f>
        <v>0</v>
      </c>
      <c r="I470" s="359" t="str">
        <f>IFERROR(INDEX('4. Valuation'!$C$10:$I$17,MATCH($D470,'4. Valuation'!$C$10:$C$17,0),MATCH($I$25,'4. Valuation'!$C$10:$I$10,0)),0)</f>
        <v>-</v>
      </c>
      <c r="J470" s="277"/>
      <c r="K470" s="312">
        <f t="shared" si="83"/>
        <v>0</v>
      </c>
      <c r="L470" s="312">
        <f t="shared" si="84"/>
        <v>0</v>
      </c>
      <c r="M470" s="359">
        <f t="shared" si="85"/>
        <v>0</v>
      </c>
      <c r="N470" s="278"/>
      <c r="O470" s="278"/>
      <c r="P470" s="278"/>
      <c r="Q470" s="278"/>
      <c r="R470" s="312">
        <f>IFERROR(INDEX('4. Valuation'!$O$10:$X$17,MATCH($D470,'4. Valuation'!$O$10:$O$17,0),MATCH($R$25,'4. Valuation'!$O$10:$X$10,0)),0)</f>
        <v>0</v>
      </c>
      <c r="S470" s="312">
        <f>IFERROR(INDEX('4. Valuation'!$O$10:$X$17,MATCH($D470,'4. Valuation'!$O$10:$O$17,0),MATCH($S$25,'4. Valuation'!$O$10:$X$10,0)),0)</f>
        <v>0</v>
      </c>
      <c r="T470" s="312" t="str">
        <f>IFERROR(INDEX('4. Valuation'!$O$10:$X$17,MATCH($D470,'4. Valuation'!$O$10:$O$17,0),MATCH($T$25,'4. Valuation'!$O$10:$X$10,0)),0)</f>
        <v>-</v>
      </c>
      <c r="U470" s="278"/>
      <c r="V470" s="312">
        <f t="shared" si="86"/>
        <v>0</v>
      </c>
      <c r="W470" s="312">
        <f t="shared" si="87"/>
        <v>0</v>
      </c>
      <c r="X470" s="312">
        <f t="shared" si="88"/>
        <v>0</v>
      </c>
      <c r="Y470" s="278"/>
      <c r="Z470" s="312">
        <f t="shared" si="89"/>
        <v>0</v>
      </c>
      <c r="AA470" s="312">
        <f>'3. GRI Pricing'!Y461</f>
        <v>0</v>
      </c>
      <c r="AB470" s="359">
        <f t="shared" si="90"/>
        <v>0</v>
      </c>
    </row>
    <row r="471" spans="3:28" s="30" customFormat="1" ht="12" x14ac:dyDescent="0.2">
      <c r="C471" s="77">
        <f>'1. Accomodation'!N466</f>
        <v>0</v>
      </c>
      <c r="D471" s="77">
        <f>'1. Accomodation'!P466</f>
        <v>0</v>
      </c>
      <c r="E471" s="77">
        <f>'1. Accomodation'!O466</f>
        <v>0</v>
      </c>
      <c r="G471" s="341">
        <f>IFERROR(INDEX('4. Valuation'!$C$10:$I$17,MATCH($D471,'4. Valuation'!$C$10:$C$17,0),MATCH($G$25,'4. Valuation'!$C$10:$I$10,0)),0)</f>
        <v>0</v>
      </c>
      <c r="H471" s="273">
        <f>IFERROR(INDEX('4. Valuation'!$C$10:$I$17,MATCH($D471,'4. Valuation'!$C$10:$C$17,0),MATCH($H$25,'4. Valuation'!$C$10:$I$10,0)),0)</f>
        <v>0</v>
      </c>
      <c r="I471" s="359" t="str">
        <f>IFERROR(INDEX('4. Valuation'!$C$10:$I$17,MATCH($D471,'4. Valuation'!$C$10:$C$17,0),MATCH($I$25,'4. Valuation'!$C$10:$I$10,0)),0)</f>
        <v>-</v>
      </c>
      <c r="J471" s="277"/>
      <c r="K471" s="312">
        <f t="shared" si="83"/>
        <v>0</v>
      </c>
      <c r="L471" s="312">
        <f t="shared" si="84"/>
        <v>0</v>
      </c>
      <c r="M471" s="359">
        <f t="shared" si="85"/>
        <v>0</v>
      </c>
      <c r="N471" s="278"/>
      <c r="O471" s="278"/>
      <c r="P471" s="278"/>
      <c r="Q471" s="278"/>
      <c r="R471" s="312">
        <f>IFERROR(INDEX('4. Valuation'!$O$10:$X$17,MATCH($D471,'4. Valuation'!$O$10:$O$17,0),MATCH($R$25,'4. Valuation'!$O$10:$X$10,0)),0)</f>
        <v>0</v>
      </c>
      <c r="S471" s="312">
        <f>IFERROR(INDEX('4. Valuation'!$O$10:$X$17,MATCH($D471,'4. Valuation'!$O$10:$O$17,0),MATCH($S$25,'4. Valuation'!$O$10:$X$10,0)),0)</f>
        <v>0</v>
      </c>
      <c r="T471" s="312" t="str">
        <f>IFERROR(INDEX('4. Valuation'!$O$10:$X$17,MATCH($D471,'4. Valuation'!$O$10:$O$17,0),MATCH($T$25,'4. Valuation'!$O$10:$X$10,0)),0)</f>
        <v>-</v>
      </c>
      <c r="U471" s="278"/>
      <c r="V471" s="312">
        <f t="shared" si="86"/>
        <v>0</v>
      </c>
      <c r="W471" s="312">
        <f t="shared" si="87"/>
        <v>0</v>
      </c>
      <c r="X471" s="312">
        <f t="shared" si="88"/>
        <v>0</v>
      </c>
      <c r="Y471" s="278"/>
      <c r="Z471" s="312">
        <f t="shared" si="89"/>
        <v>0</v>
      </c>
      <c r="AA471" s="312">
        <f>'3. GRI Pricing'!Y462</f>
        <v>0</v>
      </c>
      <c r="AB471" s="359">
        <f t="shared" si="90"/>
        <v>0</v>
      </c>
    </row>
    <row r="472" spans="3:28" s="30" customFormat="1" ht="12" x14ac:dyDescent="0.2">
      <c r="C472" s="77">
        <f>'1. Accomodation'!N467</f>
        <v>0</v>
      </c>
      <c r="D472" s="77">
        <f>'1. Accomodation'!P467</f>
        <v>0</v>
      </c>
      <c r="E472" s="77">
        <f>'1. Accomodation'!O467</f>
        <v>0</v>
      </c>
      <c r="G472" s="341">
        <f>IFERROR(INDEX('4. Valuation'!$C$10:$I$17,MATCH($D472,'4. Valuation'!$C$10:$C$17,0),MATCH($G$25,'4. Valuation'!$C$10:$I$10,0)),0)</f>
        <v>0</v>
      </c>
      <c r="H472" s="273">
        <f>IFERROR(INDEX('4. Valuation'!$C$10:$I$17,MATCH($D472,'4. Valuation'!$C$10:$C$17,0),MATCH($H$25,'4. Valuation'!$C$10:$I$10,0)),0)</f>
        <v>0</v>
      </c>
      <c r="I472" s="359" t="str">
        <f>IFERROR(INDEX('4. Valuation'!$C$10:$I$17,MATCH($D472,'4. Valuation'!$C$10:$C$17,0),MATCH($I$25,'4. Valuation'!$C$10:$I$10,0)),0)</f>
        <v>-</v>
      </c>
      <c r="J472" s="277"/>
      <c r="K472" s="312">
        <f t="shared" si="83"/>
        <v>0</v>
      </c>
      <c r="L472" s="312">
        <f t="shared" si="84"/>
        <v>0</v>
      </c>
      <c r="M472" s="359">
        <f t="shared" si="85"/>
        <v>0</v>
      </c>
      <c r="N472" s="278"/>
      <c r="O472" s="278"/>
      <c r="P472" s="278"/>
      <c r="Q472" s="278"/>
      <c r="R472" s="312">
        <f>IFERROR(INDEX('4. Valuation'!$O$10:$X$17,MATCH($D472,'4. Valuation'!$O$10:$O$17,0),MATCH($R$25,'4. Valuation'!$O$10:$X$10,0)),0)</f>
        <v>0</v>
      </c>
      <c r="S472" s="312">
        <f>IFERROR(INDEX('4. Valuation'!$O$10:$X$17,MATCH($D472,'4. Valuation'!$O$10:$O$17,0),MATCH($S$25,'4. Valuation'!$O$10:$X$10,0)),0)</f>
        <v>0</v>
      </c>
      <c r="T472" s="312" t="str">
        <f>IFERROR(INDEX('4. Valuation'!$O$10:$X$17,MATCH($D472,'4. Valuation'!$O$10:$O$17,0),MATCH($T$25,'4. Valuation'!$O$10:$X$10,0)),0)</f>
        <v>-</v>
      </c>
      <c r="U472" s="278"/>
      <c r="V472" s="312">
        <f t="shared" si="86"/>
        <v>0</v>
      </c>
      <c r="W472" s="312">
        <f t="shared" si="87"/>
        <v>0</v>
      </c>
      <c r="X472" s="312">
        <f t="shared" si="88"/>
        <v>0</v>
      </c>
      <c r="Y472" s="278"/>
      <c r="Z472" s="312">
        <f t="shared" si="89"/>
        <v>0</v>
      </c>
      <c r="AA472" s="312">
        <f>'3. GRI Pricing'!Y463</f>
        <v>0</v>
      </c>
      <c r="AB472" s="359">
        <f t="shared" si="90"/>
        <v>0</v>
      </c>
    </row>
    <row r="473" spans="3:28" s="30" customFormat="1" ht="12" x14ac:dyDescent="0.2">
      <c r="C473" s="77">
        <f>'1. Accomodation'!N468</f>
        <v>0</v>
      </c>
      <c r="D473" s="77">
        <f>'1. Accomodation'!P468</f>
        <v>0</v>
      </c>
      <c r="E473" s="77">
        <f>'1. Accomodation'!O468</f>
        <v>0</v>
      </c>
      <c r="G473" s="341">
        <f>IFERROR(INDEX('4. Valuation'!$C$10:$I$17,MATCH($D473,'4. Valuation'!$C$10:$C$17,0),MATCH($G$25,'4. Valuation'!$C$10:$I$10,0)),0)</f>
        <v>0</v>
      </c>
      <c r="H473" s="273">
        <f>IFERROR(INDEX('4. Valuation'!$C$10:$I$17,MATCH($D473,'4. Valuation'!$C$10:$C$17,0),MATCH($H$25,'4. Valuation'!$C$10:$I$10,0)),0)</f>
        <v>0</v>
      </c>
      <c r="I473" s="359" t="str">
        <f>IFERROR(INDEX('4. Valuation'!$C$10:$I$17,MATCH($D473,'4. Valuation'!$C$10:$C$17,0),MATCH($I$25,'4. Valuation'!$C$10:$I$10,0)),0)</f>
        <v>-</v>
      </c>
      <c r="J473" s="277"/>
      <c r="K473" s="312">
        <f t="shared" si="83"/>
        <v>0</v>
      </c>
      <c r="L473" s="312">
        <f t="shared" si="84"/>
        <v>0</v>
      </c>
      <c r="M473" s="359">
        <f t="shared" si="85"/>
        <v>0</v>
      </c>
      <c r="N473" s="278"/>
      <c r="O473" s="278"/>
      <c r="P473" s="278"/>
      <c r="Q473" s="278"/>
      <c r="R473" s="312">
        <f>IFERROR(INDEX('4. Valuation'!$O$10:$X$17,MATCH($D473,'4. Valuation'!$O$10:$O$17,0),MATCH($R$25,'4. Valuation'!$O$10:$X$10,0)),0)</f>
        <v>0</v>
      </c>
      <c r="S473" s="312">
        <f>IFERROR(INDEX('4. Valuation'!$O$10:$X$17,MATCH($D473,'4. Valuation'!$O$10:$O$17,0),MATCH($S$25,'4. Valuation'!$O$10:$X$10,0)),0)</f>
        <v>0</v>
      </c>
      <c r="T473" s="312" t="str">
        <f>IFERROR(INDEX('4. Valuation'!$O$10:$X$17,MATCH($D473,'4. Valuation'!$O$10:$O$17,0),MATCH($T$25,'4. Valuation'!$O$10:$X$10,0)),0)</f>
        <v>-</v>
      </c>
      <c r="U473" s="278"/>
      <c r="V473" s="312">
        <f t="shared" si="86"/>
        <v>0</v>
      </c>
      <c r="W473" s="312">
        <f t="shared" si="87"/>
        <v>0</v>
      </c>
      <c r="X473" s="312">
        <f t="shared" si="88"/>
        <v>0</v>
      </c>
      <c r="Y473" s="278"/>
      <c r="Z473" s="312">
        <f t="shared" si="89"/>
        <v>0</v>
      </c>
      <c r="AA473" s="312">
        <f>'3. GRI Pricing'!Y464</f>
        <v>0</v>
      </c>
      <c r="AB473" s="359">
        <f t="shared" si="90"/>
        <v>0</v>
      </c>
    </row>
    <row r="474" spans="3:28" s="30" customFormat="1" ht="12" x14ac:dyDescent="0.2">
      <c r="C474" s="77">
        <f>'1. Accomodation'!N469</f>
        <v>0</v>
      </c>
      <c r="D474" s="77">
        <f>'1. Accomodation'!P469</f>
        <v>0</v>
      </c>
      <c r="E474" s="77">
        <f>'1. Accomodation'!O469</f>
        <v>0</v>
      </c>
      <c r="G474" s="341">
        <f>IFERROR(INDEX('4. Valuation'!$C$10:$I$17,MATCH($D474,'4. Valuation'!$C$10:$C$17,0),MATCH($G$25,'4. Valuation'!$C$10:$I$10,0)),0)</f>
        <v>0</v>
      </c>
      <c r="H474" s="273">
        <f>IFERROR(INDEX('4. Valuation'!$C$10:$I$17,MATCH($D474,'4. Valuation'!$C$10:$C$17,0),MATCH($H$25,'4. Valuation'!$C$10:$I$10,0)),0)</f>
        <v>0</v>
      </c>
      <c r="I474" s="359" t="str">
        <f>IFERROR(INDEX('4. Valuation'!$C$10:$I$17,MATCH($D474,'4. Valuation'!$C$10:$C$17,0),MATCH($I$25,'4. Valuation'!$C$10:$I$10,0)),0)</f>
        <v>-</v>
      </c>
      <c r="J474" s="277"/>
      <c r="K474" s="312">
        <f t="shared" si="83"/>
        <v>0</v>
      </c>
      <c r="L474" s="312">
        <f t="shared" si="84"/>
        <v>0</v>
      </c>
      <c r="M474" s="359">
        <f t="shared" si="85"/>
        <v>0</v>
      </c>
      <c r="N474" s="278"/>
      <c r="O474" s="278"/>
      <c r="P474" s="278"/>
      <c r="Q474" s="278"/>
      <c r="R474" s="312">
        <f>IFERROR(INDEX('4. Valuation'!$O$10:$X$17,MATCH($D474,'4. Valuation'!$O$10:$O$17,0),MATCH($R$25,'4. Valuation'!$O$10:$X$10,0)),0)</f>
        <v>0</v>
      </c>
      <c r="S474" s="312">
        <f>IFERROR(INDEX('4. Valuation'!$O$10:$X$17,MATCH($D474,'4. Valuation'!$O$10:$O$17,0),MATCH($S$25,'4. Valuation'!$O$10:$X$10,0)),0)</f>
        <v>0</v>
      </c>
      <c r="T474" s="312" t="str">
        <f>IFERROR(INDEX('4. Valuation'!$O$10:$X$17,MATCH($D474,'4. Valuation'!$O$10:$O$17,0),MATCH($T$25,'4. Valuation'!$O$10:$X$10,0)),0)</f>
        <v>-</v>
      </c>
      <c r="U474" s="278"/>
      <c r="V474" s="312">
        <f t="shared" si="86"/>
        <v>0</v>
      </c>
      <c r="W474" s="312">
        <f t="shared" si="87"/>
        <v>0</v>
      </c>
      <c r="X474" s="312">
        <f t="shared" si="88"/>
        <v>0</v>
      </c>
      <c r="Y474" s="278"/>
      <c r="Z474" s="312">
        <f t="shared" si="89"/>
        <v>0</v>
      </c>
      <c r="AA474" s="312">
        <f>'3. GRI Pricing'!Y465</f>
        <v>0</v>
      </c>
      <c r="AB474" s="359">
        <f t="shared" si="90"/>
        <v>0</v>
      </c>
    </row>
    <row r="475" spans="3:28" s="30" customFormat="1" ht="12" x14ac:dyDescent="0.2">
      <c r="C475" s="77">
        <f>'1. Accomodation'!N470</f>
        <v>0</v>
      </c>
      <c r="D475" s="77">
        <f>'1. Accomodation'!P470</f>
        <v>0</v>
      </c>
      <c r="E475" s="77">
        <f>'1. Accomodation'!O470</f>
        <v>0</v>
      </c>
      <c r="G475" s="341">
        <f>IFERROR(INDEX('4. Valuation'!$C$10:$I$17,MATCH($D475,'4. Valuation'!$C$10:$C$17,0),MATCH($G$25,'4. Valuation'!$C$10:$I$10,0)),0)</f>
        <v>0</v>
      </c>
      <c r="H475" s="273">
        <f>IFERROR(INDEX('4. Valuation'!$C$10:$I$17,MATCH($D475,'4. Valuation'!$C$10:$C$17,0),MATCH($H$25,'4. Valuation'!$C$10:$I$10,0)),0)</f>
        <v>0</v>
      </c>
      <c r="I475" s="359" t="str">
        <f>IFERROR(INDEX('4. Valuation'!$C$10:$I$17,MATCH($D475,'4. Valuation'!$C$10:$C$17,0),MATCH($I$25,'4. Valuation'!$C$10:$I$10,0)),0)</f>
        <v>-</v>
      </c>
      <c r="J475" s="277"/>
      <c r="K475" s="312">
        <f t="shared" ref="K475:K538" si="91">L475*12</f>
        <v>0</v>
      </c>
      <c r="L475" s="312">
        <f t="shared" ref="L475:L538" si="92">H475*(1+$M$24)^((L$24-K$24)/365)</f>
        <v>0</v>
      </c>
      <c r="M475" s="359">
        <f t="shared" ref="M475:M538" si="93">IFERROR(K475/E475,0)</f>
        <v>0</v>
      </c>
      <c r="N475" s="278"/>
      <c r="O475" s="278"/>
      <c r="P475" s="278"/>
      <c r="Q475" s="278"/>
      <c r="R475" s="312">
        <f>IFERROR(INDEX('4. Valuation'!$O$10:$X$17,MATCH($D475,'4. Valuation'!$O$10:$O$17,0),MATCH($R$25,'4. Valuation'!$O$10:$X$10,0)),0)</f>
        <v>0</v>
      </c>
      <c r="S475" s="312">
        <f>IFERROR(INDEX('4. Valuation'!$O$10:$X$17,MATCH($D475,'4. Valuation'!$O$10:$O$17,0),MATCH($S$25,'4. Valuation'!$O$10:$X$10,0)),0)</f>
        <v>0</v>
      </c>
      <c r="T475" s="312" t="str">
        <f>IFERROR(INDEX('4. Valuation'!$O$10:$X$17,MATCH($D475,'4. Valuation'!$O$10:$O$17,0),MATCH($T$25,'4. Valuation'!$O$10:$X$10,0)),0)</f>
        <v>-</v>
      </c>
      <c r="U475" s="278"/>
      <c r="V475" s="312">
        <f t="shared" ref="V475:V538" si="94">W475*12</f>
        <v>0</v>
      </c>
      <c r="W475" s="312">
        <f t="shared" ref="W475:W538" si="95">S475*(1+$M$24)^((W$24-V$24)/365)</f>
        <v>0</v>
      </c>
      <c r="X475" s="312">
        <f t="shared" ref="X475:X538" si="96">IFERROR(V475/E475,0)</f>
        <v>0</v>
      </c>
      <c r="Y475" s="278"/>
      <c r="Z475" s="312">
        <f t="shared" ref="Z475:Z538" si="97">AA475*12</f>
        <v>0</v>
      </c>
      <c r="AA475" s="312">
        <f>'3. GRI Pricing'!Y466</f>
        <v>0</v>
      </c>
      <c r="AB475" s="359">
        <f t="shared" ref="AB475:AB538" si="98">IFERROR(Z475/E475,0)</f>
        <v>0</v>
      </c>
    </row>
    <row r="476" spans="3:28" s="30" customFormat="1" ht="12" x14ac:dyDescent="0.2">
      <c r="C476" s="77">
        <f>'1. Accomodation'!N471</f>
        <v>0</v>
      </c>
      <c r="D476" s="77">
        <f>'1. Accomodation'!P471</f>
        <v>0</v>
      </c>
      <c r="E476" s="77">
        <f>'1. Accomodation'!O471</f>
        <v>0</v>
      </c>
      <c r="G476" s="341">
        <f>IFERROR(INDEX('4. Valuation'!$C$10:$I$17,MATCH($D476,'4. Valuation'!$C$10:$C$17,0),MATCH($G$25,'4. Valuation'!$C$10:$I$10,0)),0)</f>
        <v>0</v>
      </c>
      <c r="H476" s="273">
        <f>IFERROR(INDEX('4. Valuation'!$C$10:$I$17,MATCH($D476,'4. Valuation'!$C$10:$C$17,0),MATCH($H$25,'4. Valuation'!$C$10:$I$10,0)),0)</f>
        <v>0</v>
      </c>
      <c r="I476" s="359" t="str">
        <f>IFERROR(INDEX('4. Valuation'!$C$10:$I$17,MATCH($D476,'4. Valuation'!$C$10:$C$17,0),MATCH($I$25,'4. Valuation'!$C$10:$I$10,0)),0)</f>
        <v>-</v>
      </c>
      <c r="J476" s="277"/>
      <c r="K476" s="312">
        <f t="shared" si="91"/>
        <v>0</v>
      </c>
      <c r="L476" s="312">
        <f t="shared" si="92"/>
        <v>0</v>
      </c>
      <c r="M476" s="359">
        <f t="shared" si="93"/>
        <v>0</v>
      </c>
      <c r="N476" s="278"/>
      <c r="O476" s="278"/>
      <c r="P476" s="278"/>
      <c r="Q476" s="278"/>
      <c r="R476" s="312">
        <f>IFERROR(INDEX('4. Valuation'!$O$10:$X$17,MATCH($D476,'4. Valuation'!$O$10:$O$17,0),MATCH($R$25,'4. Valuation'!$O$10:$X$10,0)),0)</f>
        <v>0</v>
      </c>
      <c r="S476" s="312">
        <f>IFERROR(INDEX('4. Valuation'!$O$10:$X$17,MATCH($D476,'4. Valuation'!$O$10:$O$17,0),MATCH($S$25,'4. Valuation'!$O$10:$X$10,0)),0)</f>
        <v>0</v>
      </c>
      <c r="T476" s="312" t="str">
        <f>IFERROR(INDEX('4. Valuation'!$O$10:$X$17,MATCH($D476,'4. Valuation'!$O$10:$O$17,0),MATCH($T$25,'4. Valuation'!$O$10:$X$10,0)),0)</f>
        <v>-</v>
      </c>
      <c r="U476" s="278"/>
      <c r="V476" s="312">
        <f t="shared" si="94"/>
        <v>0</v>
      </c>
      <c r="W476" s="312">
        <f t="shared" si="95"/>
        <v>0</v>
      </c>
      <c r="X476" s="312">
        <f t="shared" si="96"/>
        <v>0</v>
      </c>
      <c r="Y476" s="278"/>
      <c r="Z476" s="312">
        <f t="shared" si="97"/>
        <v>0</v>
      </c>
      <c r="AA476" s="312">
        <f>'3. GRI Pricing'!Y467</f>
        <v>0</v>
      </c>
      <c r="AB476" s="359">
        <f t="shared" si="98"/>
        <v>0</v>
      </c>
    </row>
    <row r="477" spans="3:28" s="30" customFormat="1" ht="12" x14ac:dyDescent="0.2">
      <c r="C477" s="77">
        <f>'1. Accomodation'!N472</f>
        <v>0</v>
      </c>
      <c r="D477" s="77">
        <f>'1. Accomodation'!P472</f>
        <v>0</v>
      </c>
      <c r="E477" s="77">
        <f>'1. Accomodation'!O472</f>
        <v>0</v>
      </c>
      <c r="G477" s="341">
        <f>IFERROR(INDEX('4. Valuation'!$C$10:$I$17,MATCH($D477,'4. Valuation'!$C$10:$C$17,0),MATCH($G$25,'4. Valuation'!$C$10:$I$10,0)),0)</f>
        <v>0</v>
      </c>
      <c r="H477" s="273">
        <f>IFERROR(INDEX('4. Valuation'!$C$10:$I$17,MATCH($D477,'4. Valuation'!$C$10:$C$17,0),MATCH($H$25,'4. Valuation'!$C$10:$I$10,0)),0)</f>
        <v>0</v>
      </c>
      <c r="I477" s="359" t="str">
        <f>IFERROR(INDEX('4. Valuation'!$C$10:$I$17,MATCH($D477,'4. Valuation'!$C$10:$C$17,0),MATCH($I$25,'4. Valuation'!$C$10:$I$10,0)),0)</f>
        <v>-</v>
      </c>
      <c r="J477" s="277"/>
      <c r="K477" s="312">
        <f t="shared" si="91"/>
        <v>0</v>
      </c>
      <c r="L477" s="312">
        <f t="shared" si="92"/>
        <v>0</v>
      </c>
      <c r="M477" s="359">
        <f t="shared" si="93"/>
        <v>0</v>
      </c>
      <c r="N477" s="278"/>
      <c r="O477" s="278"/>
      <c r="P477" s="278"/>
      <c r="Q477" s="278"/>
      <c r="R477" s="312">
        <f>IFERROR(INDEX('4. Valuation'!$O$10:$X$17,MATCH($D477,'4. Valuation'!$O$10:$O$17,0),MATCH($R$25,'4. Valuation'!$O$10:$X$10,0)),0)</f>
        <v>0</v>
      </c>
      <c r="S477" s="312">
        <f>IFERROR(INDEX('4. Valuation'!$O$10:$X$17,MATCH($D477,'4. Valuation'!$O$10:$O$17,0),MATCH($S$25,'4. Valuation'!$O$10:$X$10,0)),0)</f>
        <v>0</v>
      </c>
      <c r="T477" s="312" t="str">
        <f>IFERROR(INDEX('4. Valuation'!$O$10:$X$17,MATCH($D477,'4. Valuation'!$O$10:$O$17,0),MATCH($T$25,'4. Valuation'!$O$10:$X$10,0)),0)</f>
        <v>-</v>
      </c>
      <c r="U477" s="278"/>
      <c r="V477" s="312">
        <f t="shared" si="94"/>
        <v>0</v>
      </c>
      <c r="W477" s="312">
        <f t="shared" si="95"/>
        <v>0</v>
      </c>
      <c r="X477" s="312">
        <f t="shared" si="96"/>
        <v>0</v>
      </c>
      <c r="Y477" s="278"/>
      <c r="Z477" s="312">
        <f t="shared" si="97"/>
        <v>0</v>
      </c>
      <c r="AA477" s="312">
        <f>'3. GRI Pricing'!Y468</f>
        <v>0</v>
      </c>
      <c r="AB477" s="359">
        <f t="shared" si="98"/>
        <v>0</v>
      </c>
    </row>
    <row r="478" spans="3:28" s="30" customFormat="1" ht="12" x14ac:dyDescent="0.2">
      <c r="C478" s="77">
        <f>'1. Accomodation'!N473</f>
        <v>0</v>
      </c>
      <c r="D478" s="77">
        <f>'1. Accomodation'!P473</f>
        <v>0</v>
      </c>
      <c r="E478" s="77">
        <f>'1. Accomodation'!O473</f>
        <v>0</v>
      </c>
      <c r="G478" s="341">
        <f>IFERROR(INDEX('4. Valuation'!$C$10:$I$17,MATCH($D478,'4. Valuation'!$C$10:$C$17,0),MATCH($G$25,'4. Valuation'!$C$10:$I$10,0)),0)</f>
        <v>0</v>
      </c>
      <c r="H478" s="273">
        <f>IFERROR(INDEX('4. Valuation'!$C$10:$I$17,MATCH($D478,'4. Valuation'!$C$10:$C$17,0),MATCH($H$25,'4. Valuation'!$C$10:$I$10,0)),0)</f>
        <v>0</v>
      </c>
      <c r="I478" s="359" t="str">
        <f>IFERROR(INDEX('4. Valuation'!$C$10:$I$17,MATCH($D478,'4. Valuation'!$C$10:$C$17,0),MATCH($I$25,'4. Valuation'!$C$10:$I$10,0)),0)</f>
        <v>-</v>
      </c>
      <c r="J478" s="277"/>
      <c r="K478" s="312">
        <f t="shared" si="91"/>
        <v>0</v>
      </c>
      <c r="L478" s="312">
        <f t="shared" si="92"/>
        <v>0</v>
      </c>
      <c r="M478" s="359">
        <f t="shared" si="93"/>
        <v>0</v>
      </c>
      <c r="N478" s="278"/>
      <c r="O478" s="278"/>
      <c r="P478" s="278"/>
      <c r="Q478" s="278"/>
      <c r="R478" s="312">
        <f>IFERROR(INDEX('4. Valuation'!$O$10:$X$17,MATCH($D478,'4. Valuation'!$O$10:$O$17,0),MATCH($R$25,'4. Valuation'!$O$10:$X$10,0)),0)</f>
        <v>0</v>
      </c>
      <c r="S478" s="312">
        <f>IFERROR(INDEX('4. Valuation'!$O$10:$X$17,MATCH($D478,'4. Valuation'!$O$10:$O$17,0),MATCH($S$25,'4. Valuation'!$O$10:$X$10,0)),0)</f>
        <v>0</v>
      </c>
      <c r="T478" s="312" t="str">
        <f>IFERROR(INDEX('4. Valuation'!$O$10:$X$17,MATCH($D478,'4. Valuation'!$O$10:$O$17,0),MATCH($T$25,'4. Valuation'!$O$10:$X$10,0)),0)</f>
        <v>-</v>
      </c>
      <c r="U478" s="278"/>
      <c r="V478" s="312">
        <f t="shared" si="94"/>
        <v>0</v>
      </c>
      <c r="W478" s="312">
        <f t="shared" si="95"/>
        <v>0</v>
      </c>
      <c r="X478" s="312">
        <f t="shared" si="96"/>
        <v>0</v>
      </c>
      <c r="Y478" s="278"/>
      <c r="Z478" s="312">
        <f t="shared" si="97"/>
        <v>0</v>
      </c>
      <c r="AA478" s="312">
        <f>'3. GRI Pricing'!Y469</f>
        <v>0</v>
      </c>
      <c r="AB478" s="359">
        <f t="shared" si="98"/>
        <v>0</v>
      </c>
    </row>
    <row r="479" spans="3:28" s="30" customFormat="1" ht="12" x14ac:dyDescent="0.2">
      <c r="C479" s="77">
        <f>'1. Accomodation'!N474</f>
        <v>0</v>
      </c>
      <c r="D479" s="77">
        <f>'1. Accomodation'!P474</f>
        <v>0</v>
      </c>
      <c r="E479" s="77">
        <f>'1. Accomodation'!O474</f>
        <v>0</v>
      </c>
      <c r="G479" s="341">
        <f>IFERROR(INDEX('4. Valuation'!$C$10:$I$17,MATCH($D479,'4. Valuation'!$C$10:$C$17,0),MATCH($G$25,'4. Valuation'!$C$10:$I$10,0)),0)</f>
        <v>0</v>
      </c>
      <c r="H479" s="273">
        <f>IFERROR(INDEX('4. Valuation'!$C$10:$I$17,MATCH($D479,'4. Valuation'!$C$10:$C$17,0),MATCH($H$25,'4. Valuation'!$C$10:$I$10,0)),0)</f>
        <v>0</v>
      </c>
      <c r="I479" s="359" t="str">
        <f>IFERROR(INDEX('4. Valuation'!$C$10:$I$17,MATCH($D479,'4. Valuation'!$C$10:$C$17,0),MATCH($I$25,'4. Valuation'!$C$10:$I$10,0)),0)</f>
        <v>-</v>
      </c>
      <c r="J479" s="277"/>
      <c r="K479" s="312">
        <f t="shared" si="91"/>
        <v>0</v>
      </c>
      <c r="L479" s="312">
        <f t="shared" si="92"/>
        <v>0</v>
      </c>
      <c r="M479" s="359">
        <f t="shared" si="93"/>
        <v>0</v>
      </c>
      <c r="N479" s="278"/>
      <c r="O479" s="278"/>
      <c r="P479" s="278"/>
      <c r="Q479" s="278"/>
      <c r="R479" s="312">
        <f>IFERROR(INDEX('4. Valuation'!$O$10:$X$17,MATCH($D479,'4. Valuation'!$O$10:$O$17,0),MATCH($R$25,'4. Valuation'!$O$10:$X$10,0)),0)</f>
        <v>0</v>
      </c>
      <c r="S479" s="312">
        <f>IFERROR(INDEX('4. Valuation'!$O$10:$X$17,MATCH($D479,'4. Valuation'!$O$10:$O$17,0),MATCH($S$25,'4. Valuation'!$O$10:$X$10,0)),0)</f>
        <v>0</v>
      </c>
      <c r="T479" s="312" t="str">
        <f>IFERROR(INDEX('4. Valuation'!$O$10:$X$17,MATCH($D479,'4. Valuation'!$O$10:$O$17,0),MATCH($T$25,'4. Valuation'!$O$10:$X$10,0)),0)</f>
        <v>-</v>
      </c>
      <c r="U479" s="278"/>
      <c r="V479" s="312">
        <f t="shared" si="94"/>
        <v>0</v>
      </c>
      <c r="W479" s="312">
        <f t="shared" si="95"/>
        <v>0</v>
      </c>
      <c r="X479" s="312">
        <f t="shared" si="96"/>
        <v>0</v>
      </c>
      <c r="Y479" s="278"/>
      <c r="Z479" s="312">
        <f t="shared" si="97"/>
        <v>0</v>
      </c>
      <c r="AA479" s="312">
        <f>'3. GRI Pricing'!Y470</f>
        <v>0</v>
      </c>
      <c r="AB479" s="359">
        <f t="shared" si="98"/>
        <v>0</v>
      </c>
    </row>
    <row r="480" spans="3:28" s="30" customFormat="1" ht="12" x14ac:dyDescent="0.2">
      <c r="C480" s="77">
        <f>'1. Accomodation'!N475</f>
        <v>0</v>
      </c>
      <c r="D480" s="77">
        <f>'1. Accomodation'!P475</f>
        <v>0</v>
      </c>
      <c r="E480" s="77">
        <f>'1. Accomodation'!O475</f>
        <v>0</v>
      </c>
      <c r="G480" s="341">
        <f>IFERROR(INDEX('4. Valuation'!$C$10:$I$17,MATCH($D480,'4. Valuation'!$C$10:$C$17,0),MATCH($G$25,'4. Valuation'!$C$10:$I$10,0)),0)</f>
        <v>0</v>
      </c>
      <c r="H480" s="273">
        <f>IFERROR(INDEX('4. Valuation'!$C$10:$I$17,MATCH($D480,'4. Valuation'!$C$10:$C$17,0),MATCH($H$25,'4. Valuation'!$C$10:$I$10,0)),0)</f>
        <v>0</v>
      </c>
      <c r="I480" s="359" t="str">
        <f>IFERROR(INDEX('4. Valuation'!$C$10:$I$17,MATCH($D480,'4. Valuation'!$C$10:$C$17,0),MATCH($I$25,'4. Valuation'!$C$10:$I$10,0)),0)</f>
        <v>-</v>
      </c>
      <c r="J480" s="277"/>
      <c r="K480" s="312">
        <f t="shared" si="91"/>
        <v>0</v>
      </c>
      <c r="L480" s="312">
        <f t="shared" si="92"/>
        <v>0</v>
      </c>
      <c r="M480" s="359">
        <f t="shared" si="93"/>
        <v>0</v>
      </c>
      <c r="N480" s="278"/>
      <c r="O480" s="278"/>
      <c r="P480" s="278"/>
      <c r="Q480" s="278"/>
      <c r="R480" s="312">
        <f>IFERROR(INDEX('4. Valuation'!$O$10:$X$17,MATCH($D480,'4. Valuation'!$O$10:$O$17,0),MATCH($R$25,'4. Valuation'!$O$10:$X$10,0)),0)</f>
        <v>0</v>
      </c>
      <c r="S480" s="312">
        <f>IFERROR(INDEX('4. Valuation'!$O$10:$X$17,MATCH($D480,'4. Valuation'!$O$10:$O$17,0),MATCH($S$25,'4. Valuation'!$O$10:$X$10,0)),0)</f>
        <v>0</v>
      </c>
      <c r="T480" s="312" t="str">
        <f>IFERROR(INDEX('4. Valuation'!$O$10:$X$17,MATCH($D480,'4. Valuation'!$O$10:$O$17,0),MATCH($T$25,'4. Valuation'!$O$10:$X$10,0)),0)</f>
        <v>-</v>
      </c>
      <c r="U480" s="278"/>
      <c r="V480" s="312">
        <f t="shared" si="94"/>
        <v>0</v>
      </c>
      <c r="W480" s="312">
        <f t="shared" si="95"/>
        <v>0</v>
      </c>
      <c r="X480" s="312">
        <f t="shared" si="96"/>
        <v>0</v>
      </c>
      <c r="Y480" s="278"/>
      <c r="Z480" s="312">
        <f t="shared" si="97"/>
        <v>0</v>
      </c>
      <c r="AA480" s="312">
        <f>'3. GRI Pricing'!Y471</f>
        <v>0</v>
      </c>
      <c r="AB480" s="359">
        <f t="shared" si="98"/>
        <v>0</v>
      </c>
    </row>
    <row r="481" spans="3:28" s="30" customFormat="1" ht="12" x14ac:dyDescent="0.2">
      <c r="C481" s="77">
        <f>'1. Accomodation'!N476</f>
        <v>0</v>
      </c>
      <c r="D481" s="77">
        <f>'1. Accomodation'!P476</f>
        <v>0</v>
      </c>
      <c r="E481" s="77">
        <f>'1. Accomodation'!O476</f>
        <v>0</v>
      </c>
      <c r="G481" s="341">
        <f>IFERROR(INDEX('4. Valuation'!$C$10:$I$17,MATCH($D481,'4. Valuation'!$C$10:$C$17,0),MATCH($G$25,'4. Valuation'!$C$10:$I$10,0)),0)</f>
        <v>0</v>
      </c>
      <c r="H481" s="273">
        <f>IFERROR(INDEX('4. Valuation'!$C$10:$I$17,MATCH($D481,'4. Valuation'!$C$10:$C$17,0),MATCH($H$25,'4. Valuation'!$C$10:$I$10,0)),0)</f>
        <v>0</v>
      </c>
      <c r="I481" s="359" t="str">
        <f>IFERROR(INDEX('4. Valuation'!$C$10:$I$17,MATCH($D481,'4. Valuation'!$C$10:$C$17,0),MATCH($I$25,'4. Valuation'!$C$10:$I$10,0)),0)</f>
        <v>-</v>
      </c>
      <c r="J481" s="277"/>
      <c r="K481" s="312">
        <f t="shared" si="91"/>
        <v>0</v>
      </c>
      <c r="L481" s="312">
        <f t="shared" si="92"/>
        <v>0</v>
      </c>
      <c r="M481" s="359">
        <f t="shared" si="93"/>
        <v>0</v>
      </c>
      <c r="N481" s="278"/>
      <c r="O481" s="278"/>
      <c r="P481" s="278"/>
      <c r="Q481" s="278"/>
      <c r="R481" s="312">
        <f>IFERROR(INDEX('4. Valuation'!$O$10:$X$17,MATCH($D481,'4. Valuation'!$O$10:$O$17,0),MATCH($R$25,'4. Valuation'!$O$10:$X$10,0)),0)</f>
        <v>0</v>
      </c>
      <c r="S481" s="312">
        <f>IFERROR(INDEX('4. Valuation'!$O$10:$X$17,MATCH($D481,'4. Valuation'!$O$10:$O$17,0),MATCH($S$25,'4. Valuation'!$O$10:$X$10,0)),0)</f>
        <v>0</v>
      </c>
      <c r="T481" s="312" t="str">
        <f>IFERROR(INDEX('4. Valuation'!$O$10:$X$17,MATCH($D481,'4. Valuation'!$O$10:$O$17,0),MATCH($T$25,'4. Valuation'!$O$10:$X$10,0)),0)</f>
        <v>-</v>
      </c>
      <c r="U481" s="278"/>
      <c r="V481" s="312">
        <f t="shared" si="94"/>
        <v>0</v>
      </c>
      <c r="W481" s="312">
        <f t="shared" si="95"/>
        <v>0</v>
      </c>
      <c r="X481" s="312">
        <f t="shared" si="96"/>
        <v>0</v>
      </c>
      <c r="Y481" s="278"/>
      <c r="Z481" s="312">
        <f t="shared" si="97"/>
        <v>0</v>
      </c>
      <c r="AA481" s="312">
        <f>'3. GRI Pricing'!Y472</f>
        <v>0</v>
      </c>
      <c r="AB481" s="359">
        <f t="shared" si="98"/>
        <v>0</v>
      </c>
    </row>
    <row r="482" spans="3:28" s="30" customFormat="1" ht="12" x14ac:dyDescent="0.2">
      <c r="C482" s="77">
        <f>'1. Accomodation'!N477</f>
        <v>0</v>
      </c>
      <c r="D482" s="77">
        <f>'1. Accomodation'!P477</f>
        <v>0</v>
      </c>
      <c r="E482" s="77">
        <f>'1. Accomodation'!O477</f>
        <v>0</v>
      </c>
      <c r="G482" s="341">
        <f>IFERROR(INDEX('4. Valuation'!$C$10:$I$17,MATCH($D482,'4. Valuation'!$C$10:$C$17,0),MATCH($G$25,'4. Valuation'!$C$10:$I$10,0)),0)</f>
        <v>0</v>
      </c>
      <c r="H482" s="273">
        <f>IFERROR(INDEX('4. Valuation'!$C$10:$I$17,MATCH($D482,'4. Valuation'!$C$10:$C$17,0),MATCH($H$25,'4. Valuation'!$C$10:$I$10,0)),0)</f>
        <v>0</v>
      </c>
      <c r="I482" s="359" t="str">
        <f>IFERROR(INDEX('4. Valuation'!$C$10:$I$17,MATCH($D482,'4. Valuation'!$C$10:$C$17,0),MATCH($I$25,'4. Valuation'!$C$10:$I$10,0)),0)</f>
        <v>-</v>
      </c>
      <c r="J482" s="277"/>
      <c r="K482" s="312">
        <f t="shared" si="91"/>
        <v>0</v>
      </c>
      <c r="L482" s="312">
        <f t="shared" si="92"/>
        <v>0</v>
      </c>
      <c r="M482" s="359">
        <f t="shared" si="93"/>
        <v>0</v>
      </c>
      <c r="N482" s="278"/>
      <c r="O482" s="278"/>
      <c r="P482" s="278"/>
      <c r="Q482" s="278"/>
      <c r="R482" s="312">
        <f>IFERROR(INDEX('4. Valuation'!$O$10:$X$17,MATCH($D482,'4. Valuation'!$O$10:$O$17,0),MATCH($R$25,'4. Valuation'!$O$10:$X$10,0)),0)</f>
        <v>0</v>
      </c>
      <c r="S482" s="312">
        <f>IFERROR(INDEX('4. Valuation'!$O$10:$X$17,MATCH($D482,'4. Valuation'!$O$10:$O$17,0),MATCH($S$25,'4. Valuation'!$O$10:$X$10,0)),0)</f>
        <v>0</v>
      </c>
      <c r="T482" s="312" t="str">
        <f>IFERROR(INDEX('4. Valuation'!$O$10:$X$17,MATCH($D482,'4. Valuation'!$O$10:$O$17,0),MATCH($T$25,'4. Valuation'!$O$10:$X$10,0)),0)</f>
        <v>-</v>
      </c>
      <c r="U482" s="278"/>
      <c r="V482" s="312">
        <f t="shared" si="94"/>
        <v>0</v>
      </c>
      <c r="W482" s="312">
        <f t="shared" si="95"/>
        <v>0</v>
      </c>
      <c r="X482" s="312">
        <f t="shared" si="96"/>
        <v>0</v>
      </c>
      <c r="Y482" s="278"/>
      <c r="Z482" s="312">
        <f t="shared" si="97"/>
        <v>0</v>
      </c>
      <c r="AA482" s="312">
        <f>'3. GRI Pricing'!Y473</f>
        <v>0</v>
      </c>
      <c r="AB482" s="359">
        <f t="shared" si="98"/>
        <v>0</v>
      </c>
    </row>
    <row r="483" spans="3:28" s="30" customFormat="1" ht="12" x14ac:dyDescent="0.2">
      <c r="C483" s="77">
        <f>'1. Accomodation'!N478</f>
        <v>0</v>
      </c>
      <c r="D483" s="77">
        <f>'1. Accomodation'!P478</f>
        <v>0</v>
      </c>
      <c r="E483" s="77">
        <f>'1. Accomodation'!O478</f>
        <v>0</v>
      </c>
      <c r="G483" s="341">
        <f>IFERROR(INDEX('4. Valuation'!$C$10:$I$17,MATCH($D483,'4. Valuation'!$C$10:$C$17,0),MATCH($G$25,'4. Valuation'!$C$10:$I$10,0)),0)</f>
        <v>0</v>
      </c>
      <c r="H483" s="273">
        <f>IFERROR(INDEX('4. Valuation'!$C$10:$I$17,MATCH($D483,'4. Valuation'!$C$10:$C$17,0),MATCH($H$25,'4. Valuation'!$C$10:$I$10,0)),0)</f>
        <v>0</v>
      </c>
      <c r="I483" s="359" t="str">
        <f>IFERROR(INDEX('4. Valuation'!$C$10:$I$17,MATCH($D483,'4. Valuation'!$C$10:$C$17,0),MATCH($I$25,'4. Valuation'!$C$10:$I$10,0)),0)</f>
        <v>-</v>
      </c>
      <c r="J483" s="277"/>
      <c r="K483" s="312">
        <f t="shared" si="91"/>
        <v>0</v>
      </c>
      <c r="L483" s="312">
        <f t="shared" si="92"/>
        <v>0</v>
      </c>
      <c r="M483" s="359">
        <f t="shared" si="93"/>
        <v>0</v>
      </c>
      <c r="N483" s="278"/>
      <c r="O483" s="278"/>
      <c r="P483" s="278"/>
      <c r="Q483" s="278"/>
      <c r="R483" s="312">
        <f>IFERROR(INDEX('4. Valuation'!$O$10:$X$17,MATCH($D483,'4. Valuation'!$O$10:$O$17,0),MATCH($R$25,'4. Valuation'!$O$10:$X$10,0)),0)</f>
        <v>0</v>
      </c>
      <c r="S483" s="312">
        <f>IFERROR(INDEX('4. Valuation'!$O$10:$X$17,MATCH($D483,'4. Valuation'!$O$10:$O$17,0),MATCH($S$25,'4. Valuation'!$O$10:$X$10,0)),0)</f>
        <v>0</v>
      </c>
      <c r="T483" s="312" t="str">
        <f>IFERROR(INDEX('4. Valuation'!$O$10:$X$17,MATCH($D483,'4. Valuation'!$O$10:$O$17,0),MATCH($T$25,'4. Valuation'!$O$10:$X$10,0)),0)</f>
        <v>-</v>
      </c>
      <c r="U483" s="278"/>
      <c r="V483" s="312">
        <f t="shared" si="94"/>
        <v>0</v>
      </c>
      <c r="W483" s="312">
        <f t="shared" si="95"/>
        <v>0</v>
      </c>
      <c r="X483" s="312">
        <f t="shared" si="96"/>
        <v>0</v>
      </c>
      <c r="Y483" s="278"/>
      <c r="Z483" s="312">
        <f t="shared" si="97"/>
        <v>0</v>
      </c>
      <c r="AA483" s="312">
        <f>'3. GRI Pricing'!Y474</f>
        <v>0</v>
      </c>
      <c r="AB483" s="359">
        <f t="shared" si="98"/>
        <v>0</v>
      </c>
    </row>
    <row r="484" spans="3:28" s="30" customFormat="1" ht="12" x14ac:dyDescent="0.2">
      <c r="C484" s="77">
        <f>'1. Accomodation'!N479</f>
        <v>0</v>
      </c>
      <c r="D484" s="77">
        <f>'1. Accomodation'!P479</f>
        <v>0</v>
      </c>
      <c r="E484" s="77">
        <f>'1. Accomodation'!O479</f>
        <v>0</v>
      </c>
      <c r="G484" s="341">
        <f>IFERROR(INDEX('4. Valuation'!$C$10:$I$17,MATCH($D484,'4. Valuation'!$C$10:$C$17,0),MATCH($G$25,'4. Valuation'!$C$10:$I$10,0)),0)</f>
        <v>0</v>
      </c>
      <c r="H484" s="273">
        <f>IFERROR(INDEX('4. Valuation'!$C$10:$I$17,MATCH($D484,'4. Valuation'!$C$10:$C$17,0),MATCH($H$25,'4. Valuation'!$C$10:$I$10,0)),0)</f>
        <v>0</v>
      </c>
      <c r="I484" s="359" t="str">
        <f>IFERROR(INDEX('4. Valuation'!$C$10:$I$17,MATCH($D484,'4. Valuation'!$C$10:$C$17,0),MATCH($I$25,'4. Valuation'!$C$10:$I$10,0)),0)</f>
        <v>-</v>
      </c>
      <c r="J484" s="277"/>
      <c r="K484" s="312">
        <f t="shared" si="91"/>
        <v>0</v>
      </c>
      <c r="L484" s="312">
        <f t="shared" si="92"/>
        <v>0</v>
      </c>
      <c r="M484" s="359">
        <f t="shared" si="93"/>
        <v>0</v>
      </c>
      <c r="N484" s="278"/>
      <c r="O484" s="278"/>
      <c r="P484" s="278"/>
      <c r="Q484" s="278"/>
      <c r="R484" s="312">
        <f>IFERROR(INDEX('4. Valuation'!$O$10:$X$17,MATCH($D484,'4. Valuation'!$O$10:$O$17,0),MATCH($R$25,'4. Valuation'!$O$10:$X$10,0)),0)</f>
        <v>0</v>
      </c>
      <c r="S484" s="312">
        <f>IFERROR(INDEX('4. Valuation'!$O$10:$X$17,MATCH($D484,'4. Valuation'!$O$10:$O$17,0),MATCH($S$25,'4. Valuation'!$O$10:$X$10,0)),0)</f>
        <v>0</v>
      </c>
      <c r="T484" s="312" t="str">
        <f>IFERROR(INDEX('4. Valuation'!$O$10:$X$17,MATCH($D484,'4. Valuation'!$O$10:$O$17,0),MATCH($T$25,'4. Valuation'!$O$10:$X$10,0)),0)</f>
        <v>-</v>
      </c>
      <c r="U484" s="278"/>
      <c r="V484" s="312">
        <f t="shared" si="94"/>
        <v>0</v>
      </c>
      <c r="W484" s="312">
        <f t="shared" si="95"/>
        <v>0</v>
      </c>
      <c r="X484" s="312">
        <f t="shared" si="96"/>
        <v>0</v>
      </c>
      <c r="Y484" s="278"/>
      <c r="Z484" s="312">
        <f t="shared" si="97"/>
        <v>0</v>
      </c>
      <c r="AA484" s="312">
        <f>'3. GRI Pricing'!Y475</f>
        <v>0</v>
      </c>
      <c r="AB484" s="359">
        <f t="shared" si="98"/>
        <v>0</v>
      </c>
    </row>
    <row r="485" spans="3:28" s="30" customFormat="1" ht="12" x14ac:dyDescent="0.2">
      <c r="C485" s="77">
        <f>'1. Accomodation'!N480</f>
        <v>0</v>
      </c>
      <c r="D485" s="77">
        <f>'1. Accomodation'!P480</f>
        <v>0</v>
      </c>
      <c r="E485" s="77">
        <f>'1. Accomodation'!O480</f>
        <v>0</v>
      </c>
      <c r="G485" s="341">
        <f>IFERROR(INDEX('4. Valuation'!$C$10:$I$17,MATCH($D485,'4. Valuation'!$C$10:$C$17,0),MATCH($G$25,'4. Valuation'!$C$10:$I$10,0)),0)</f>
        <v>0</v>
      </c>
      <c r="H485" s="273">
        <f>IFERROR(INDEX('4. Valuation'!$C$10:$I$17,MATCH($D485,'4. Valuation'!$C$10:$C$17,0),MATCH($H$25,'4. Valuation'!$C$10:$I$10,0)),0)</f>
        <v>0</v>
      </c>
      <c r="I485" s="359" t="str">
        <f>IFERROR(INDEX('4. Valuation'!$C$10:$I$17,MATCH($D485,'4. Valuation'!$C$10:$C$17,0),MATCH($I$25,'4. Valuation'!$C$10:$I$10,0)),0)</f>
        <v>-</v>
      </c>
      <c r="J485" s="277"/>
      <c r="K485" s="312">
        <f t="shared" si="91"/>
        <v>0</v>
      </c>
      <c r="L485" s="312">
        <f t="shared" si="92"/>
        <v>0</v>
      </c>
      <c r="M485" s="359">
        <f t="shared" si="93"/>
        <v>0</v>
      </c>
      <c r="N485" s="278"/>
      <c r="O485" s="278"/>
      <c r="P485" s="278"/>
      <c r="Q485" s="278"/>
      <c r="R485" s="312">
        <f>IFERROR(INDEX('4. Valuation'!$O$10:$X$17,MATCH($D485,'4. Valuation'!$O$10:$O$17,0),MATCH($R$25,'4. Valuation'!$O$10:$X$10,0)),0)</f>
        <v>0</v>
      </c>
      <c r="S485" s="312">
        <f>IFERROR(INDEX('4. Valuation'!$O$10:$X$17,MATCH($D485,'4. Valuation'!$O$10:$O$17,0),MATCH($S$25,'4. Valuation'!$O$10:$X$10,0)),0)</f>
        <v>0</v>
      </c>
      <c r="T485" s="312" t="str">
        <f>IFERROR(INDEX('4. Valuation'!$O$10:$X$17,MATCH($D485,'4. Valuation'!$O$10:$O$17,0),MATCH($T$25,'4. Valuation'!$O$10:$X$10,0)),0)</f>
        <v>-</v>
      </c>
      <c r="U485" s="278"/>
      <c r="V485" s="312">
        <f t="shared" si="94"/>
        <v>0</v>
      </c>
      <c r="W485" s="312">
        <f t="shared" si="95"/>
        <v>0</v>
      </c>
      <c r="X485" s="312">
        <f t="shared" si="96"/>
        <v>0</v>
      </c>
      <c r="Y485" s="278"/>
      <c r="Z485" s="312">
        <f t="shared" si="97"/>
        <v>0</v>
      </c>
      <c r="AA485" s="312">
        <f>'3. GRI Pricing'!Y476</f>
        <v>0</v>
      </c>
      <c r="AB485" s="359">
        <f t="shared" si="98"/>
        <v>0</v>
      </c>
    </row>
    <row r="486" spans="3:28" s="30" customFormat="1" ht="12" x14ac:dyDescent="0.2">
      <c r="C486" s="77">
        <f>'1. Accomodation'!N481</f>
        <v>0</v>
      </c>
      <c r="D486" s="77">
        <f>'1. Accomodation'!P481</f>
        <v>0</v>
      </c>
      <c r="E486" s="77">
        <f>'1. Accomodation'!O481</f>
        <v>0</v>
      </c>
      <c r="G486" s="341">
        <f>IFERROR(INDEX('4. Valuation'!$C$10:$I$17,MATCH($D486,'4. Valuation'!$C$10:$C$17,0),MATCH($G$25,'4. Valuation'!$C$10:$I$10,0)),0)</f>
        <v>0</v>
      </c>
      <c r="H486" s="273">
        <f>IFERROR(INDEX('4. Valuation'!$C$10:$I$17,MATCH($D486,'4. Valuation'!$C$10:$C$17,0),MATCH($H$25,'4. Valuation'!$C$10:$I$10,0)),0)</f>
        <v>0</v>
      </c>
      <c r="I486" s="359" t="str">
        <f>IFERROR(INDEX('4. Valuation'!$C$10:$I$17,MATCH($D486,'4. Valuation'!$C$10:$C$17,0),MATCH($I$25,'4. Valuation'!$C$10:$I$10,0)),0)</f>
        <v>-</v>
      </c>
      <c r="J486" s="277"/>
      <c r="K486" s="312">
        <f t="shared" si="91"/>
        <v>0</v>
      </c>
      <c r="L486" s="312">
        <f t="shared" si="92"/>
        <v>0</v>
      </c>
      <c r="M486" s="359">
        <f t="shared" si="93"/>
        <v>0</v>
      </c>
      <c r="N486" s="278"/>
      <c r="O486" s="278"/>
      <c r="P486" s="278"/>
      <c r="Q486" s="278"/>
      <c r="R486" s="312">
        <f>IFERROR(INDEX('4. Valuation'!$O$10:$X$17,MATCH($D486,'4. Valuation'!$O$10:$O$17,0),MATCH($R$25,'4. Valuation'!$O$10:$X$10,0)),0)</f>
        <v>0</v>
      </c>
      <c r="S486" s="312">
        <f>IFERROR(INDEX('4. Valuation'!$O$10:$X$17,MATCH($D486,'4. Valuation'!$O$10:$O$17,0),MATCH($S$25,'4. Valuation'!$O$10:$X$10,0)),0)</f>
        <v>0</v>
      </c>
      <c r="T486" s="312" t="str">
        <f>IFERROR(INDEX('4. Valuation'!$O$10:$X$17,MATCH($D486,'4. Valuation'!$O$10:$O$17,0),MATCH($T$25,'4. Valuation'!$O$10:$X$10,0)),0)</f>
        <v>-</v>
      </c>
      <c r="U486" s="278"/>
      <c r="V486" s="312">
        <f t="shared" si="94"/>
        <v>0</v>
      </c>
      <c r="W486" s="312">
        <f t="shared" si="95"/>
        <v>0</v>
      </c>
      <c r="X486" s="312">
        <f t="shared" si="96"/>
        <v>0</v>
      </c>
      <c r="Y486" s="278"/>
      <c r="Z486" s="312">
        <f t="shared" si="97"/>
        <v>0</v>
      </c>
      <c r="AA486" s="312">
        <f>'3. GRI Pricing'!Y477</f>
        <v>0</v>
      </c>
      <c r="AB486" s="359">
        <f t="shared" si="98"/>
        <v>0</v>
      </c>
    </row>
    <row r="487" spans="3:28" s="30" customFormat="1" ht="12" x14ac:dyDescent="0.2">
      <c r="C487" s="77">
        <f>'1. Accomodation'!N482</f>
        <v>0</v>
      </c>
      <c r="D487" s="77">
        <f>'1. Accomodation'!P482</f>
        <v>0</v>
      </c>
      <c r="E487" s="77">
        <f>'1. Accomodation'!O482</f>
        <v>0</v>
      </c>
      <c r="G487" s="341">
        <f>IFERROR(INDEX('4. Valuation'!$C$10:$I$17,MATCH($D487,'4. Valuation'!$C$10:$C$17,0),MATCH($G$25,'4. Valuation'!$C$10:$I$10,0)),0)</f>
        <v>0</v>
      </c>
      <c r="H487" s="273">
        <f>IFERROR(INDEX('4. Valuation'!$C$10:$I$17,MATCH($D487,'4. Valuation'!$C$10:$C$17,0),MATCH($H$25,'4. Valuation'!$C$10:$I$10,0)),0)</f>
        <v>0</v>
      </c>
      <c r="I487" s="359" t="str">
        <f>IFERROR(INDEX('4. Valuation'!$C$10:$I$17,MATCH($D487,'4. Valuation'!$C$10:$C$17,0),MATCH($I$25,'4. Valuation'!$C$10:$I$10,0)),0)</f>
        <v>-</v>
      </c>
      <c r="J487" s="277"/>
      <c r="K487" s="312">
        <f t="shared" si="91"/>
        <v>0</v>
      </c>
      <c r="L487" s="312">
        <f t="shared" si="92"/>
        <v>0</v>
      </c>
      <c r="M487" s="359">
        <f t="shared" si="93"/>
        <v>0</v>
      </c>
      <c r="N487" s="278"/>
      <c r="O487" s="278"/>
      <c r="P487" s="278"/>
      <c r="Q487" s="278"/>
      <c r="R487" s="312">
        <f>IFERROR(INDEX('4. Valuation'!$O$10:$X$17,MATCH($D487,'4. Valuation'!$O$10:$O$17,0),MATCH($R$25,'4. Valuation'!$O$10:$X$10,0)),0)</f>
        <v>0</v>
      </c>
      <c r="S487" s="312">
        <f>IFERROR(INDEX('4. Valuation'!$O$10:$X$17,MATCH($D487,'4. Valuation'!$O$10:$O$17,0),MATCH($S$25,'4. Valuation'!$O$10:$X$10,0)),0)</f>
        <v>0</v>
      </c>
      <c r="T487" s="312" t="str">
        <f>IFERROR(INDEX('4. Valuation'!$O$10:$X$17,MATCH($D487,'4. Valuation'!$O$10:$O$17,0),MATCH($T$25,'4. Valuation'!$O$10:$X$10,0)),0)</f>
        <v>-</v>
      </c>
      <c r="U487" s="278"/>
      <c r="V487" s="312">
        <f t="shared" si="94"/>
        <v>0</v>
      </c>
      <c r="W487" s="312">
        <f t="shared" si="95"/>
        <v>0</v>
      </c>
      <c r="X487" s="312">
        <f t="shared" si="96"/>
        <v>0</v>
      </c>
      <c r="Y487" s="278"/>
      <c r="Z487" s="312">
        <f t="shared" si="97"/>
        <v>0</v>
      </c>
      <c r="AA487" s="312">
        <f>'3. GRI Pricing'!Y478</f>
        <v>0</v>
      </c>
      <c r="AB487" s="359">
        <f t="shared" si="98"/>
        <v>0</v>
      </c>
    </row>
    <row r="488" spans="3:28" s="30" customFormat="1" ht="12" x14ac:dyDescent="0.2">
      <c r="C488" s="77">
        <f>'1. Accomodation'!N483</f>
        <v>0</v>
      </c>
      <c r="D488" s="77">
        <f>'1. Accomodation'!P483</f>
        <v>0</v>
      </c>
      <c r="E488" s="77">
        <f>'1. Accomodation'!O483</f>
        <v>0</v>
      </c>
      <c r="G488" s="341">
        <f>IFERROR(INDEX('4. Valuation'!$C$10:$I$17,MATCH($D488,'4. Valuation'!$C$10:$C$17,0),MATCH($G$25,'4. Valuation'!$C$10:$I$10,0)),0)</f>
        <v>0</v>
      </c>
      <c r="H488" s="273">
        <f>IFERROR(INDEX('4. Valuation'!$C$10:$I$17,MATCH($D488,'4. Valuation'!$C$10:$C$17,0),MATCH($H$25,'4. Valuation'!$C$10:$I$10,0)),0)</f>
        <v>0</v>
      </c>
      <c r="I488" s="359" t="str">
        <f>IFERROR(INDEX('4. Valuation'!$C$10:$I$17,MATCH($D488,'4. Valuation'!$C$10:$C$17,0),MATCH($I$25,'4. Valuation'!$C$10:$I$10,0)),0)</f>
        <v>-</v>
      </c>
      <c r="J488" s="277"/>
      <c r="K488" s="312">
        <f t="shared" si="91"/>
        <v>0</v>
      </c>
      <c r="L488" s="312">
        <f t="shared" si="92"/>
        <v>0</v>
      </c>
      <c r="M488" s="359">
        <f t="shared" si="93"/>
        <v>0</v>
      </c>
      <c r="N488" s="278"/>
      <c r="O488" s="278"/>
      <c r="P488" s="278"/>
      <c r="Q488" s="278"/>
      <c r="R488" s="312">
        <f>IFERROR(INDEX('4. Valuation'!$O$10:$X$17,MATCH($D488,'4. Valuation'!$O$10:$O$17,0),MATCH($R$25,'4. Valuation'!$O$10:$X$10,0)),0)</f>
        <v>0</v>
      </c>
      <c r="S488" s="312">
        <f>IFERROR(INDEX('4. Valuation'!$O$10:$X$17,MATCH($D488,'4. Valuation'!$O$10:$O$17,0),MATCH($S$25,'4. Valuation'!$O$10:$X$10,0)),0)</f>
        <v>0</v>
      </c>
      <c r="T488" s="312" t="str">
        <f>IFERROR(INDEX('4. Valuation'!$O$10:$X$17,MATCH($D488,'4. Valuation'!$O$10:$O$17,0),MATCH($T$25,'4. Valuation'!$O$10:$X$10,0)),0)</f>
        <v>-</v>
      </c>
      <c r="U488" s="278"/>
      <c r="V488" s="312">
        <f t="shared" si="94"/>
        <v>0</v>
      </c>
      <c r="W488" s="312">
        <f t="shared" si="95"/>
        <v>0</v>
      </c>
      <c r="X488" s="312">
        <f t="shared" si="96"/>
        <v>0</v>
      </c>
      <c r="Y488" s="278"/>
      <c r="Z488" s="312">
        <f t="shared" si="97"/>
        <v>0</v>
      </c>
      <c r="AA488" s="312">
        <f>'3. GRI Pricing'!Y479</f>
        <v>0</v>
      </c>
      <c r="AB488" s="359">
        <f t="shared" si="98"/>
        <v>0</v>
      </c>
    </row>
    <row r="489" spans="3:28" s="30" customFormat="1" ht="12" x14ac:dyDescent="0.2">
      <c r="C489" s="77">
        <f>'1. Accomodation'!N484</f>
        <v>0</v>
      </c>
      <c r="D489" s="77">
        <f>'1. Accomodation'!P484</f>
        <v>0</v>
      </c>
      <c r="E489" s="77">
        <f>'1. Accomodation'!O484</f>
        <v>0</v>
      </c>
      <c r="G489" s="341">
        <f>IFERROR(INDEX('4. Valuation'!$C$10:$I$17,MATCH($D489,'4. Valuation'!$C$10:$C$17,0),MATCH($G$25,'4. Valuation'!$C$10:$I$10,0)),0)</f>
        <v>0</v>
      </c>
      <c r="H489" s="273">
        <f>IFERROR(INDEX('4. Valuation'!$C$10:$I$17,MATCH($D489,'4. Valuation'!$C$10:$C$17,0),MATCH($H$25,'4. Valuation'!$C$10:$I$10,0)),0)</f>
        <v>0</v>
      </c>
      <c r="I489" s="359" t="str">
        <f>IFERROR(INDEX('4. Valuation'!$C$10:$I$17,MATCH($D489,'4. Valuation'!$C$10:$C$17,0),MATCH($I$25,'4. Valuation'!$C$10:$I$10,0)),0)</f>
        <v>-</v>
      </c>
      <c r="J489" s="277"/>
      <c r="K489" s="312">
        <f t="shared" si="91"/>
        <v>0</v>
      </c>
      <c r="L489" s="312">
        <f t="shared" si="92"/>
        <v>0</v>
      </c>
      <c r="M489" s="359">
        <f t="shared" si="93"/>
        <v>0</v>
      </c>
      <c r="N489" s="278"/>
      <c r="O489" s="278"/>
      <c r="P489" s="278"/>
      <c r="Q489" s="278"/>
      <c r="R489" s="312">
        <f>IFERROR(INDEX('4. Valuation'!$O$10:$X$17,MATCH($D489,'4. Valuation'!$O$10:$O$17,0),MATCH($R$25,'4. Valuation'!$O$10:$X$10,0)),0)</f>
        <v>0</v>
      </c>
      <c r="S489" s="312">
        <f>IFERROR(INDEX('4. Valuation'!$O$10:$X$17,MATCH($D489,'4. Valuation'!$O$10:$O$17,0),MATCH($S$25,'4. Valuation'!$O$10:$X$10,0)),0)</f>
        <v>0</v>
      </c>
      <c r="T489" s="312" t="str">
        <f>IFERROR(INDEX('4. Valuation'!$O$10:$X$17,MATCH($D489,'4. Valuation'!$O$10:$O$17,0),MATCH($T$25,'4. Valuation'!$O$10:$X$10,0)),0)</f>
        <v>-</v>
      </c>
      <c r="U489" s="278"/>
      <c r="V489" s="312">
        <f t="shared" si="94"/>
        <v>0</v>
      </c>
      <c r="W489" s="312">
        <f t="shared" si="95"/>
        <v>0</v>
      </c>
      <c r="X489" s="312">
        <f t="shared" si="96"/>
        <v>0</v>
      </c>
      <c r="Y489" s="278"/>
      <c r="Z489" s="312">
        <f t="shared" si="97"/>
        <v>0</v>
      </c>
      <c r="AA489" s="312">
        <f>'3. GRI Pricing'!Y480</f>
        <v>0</v>
      </c>
      <c r="AB489" s="359">
        <f t="shared" si="98"/>
        <v>0</v>
      </c>
    </row>
    <row r="490" spans="3:28" s="30" customFormat="1" ht="12" x14ac:dyDescent="0.2">
      <c r="C490" s="77">
        <f>'1. Accomodation'!N485</f>
        <v>0</v>
      </c>
      <c r="D490" s="77">
        <f>'1. Accomodation'!P485</f>
        <v>0</v>
      </c>
      <c r="E490" s="77">
        <f>'1. Accomodation'!O485</f>
        <v>0</v>
      </c>
      <c r="G490" s="341">
        <f>IFERROR(INDEX('4. Valuation'!$C$10:$I$17,MATCH($D490,'4. Valuation'!$C$10:$C$17,0),MATCH($G$25,'4. Valuation'!$C$10:$I$10,0)),0)</f>
        <v>0</v>
      </c>
      <c r="H490" s="273">
        <f>IFERROR(INDEX('4. Valuation'!$C$10:$I$17,MATCH($D490,'4. Valuation'!$C$10:$C$17,0),MATCH($H$25,'4. Valuation'!$C$10:$I$10,0)),0)</f>
        <v>0</v>
      </c>
      <c r="I490" s="359" t="str">
        <f>IFERROR(INDEX('4. Valuation'!$C$10:$I$17,MATCH($D490,'4. Valuation'!$C$10:$C$17,0),MATCH($I$25,'4. Valuation'!$C$10:$I$10,0)),0)</f>
        <v>-</v>
      </c>
      <c r="J490" s="277"/>
      <c r="K490" s="312">
        <f t="shared" si="91"/>
        <v>0</v>
      </c>
      <c r="L490" s="312">
        <f t="shared" si="92"/>
        <v>0</v>
      </c>
      <c r="M490" s="359">
        <f t="shared" si="93"/>
        <v>0</v>
      </c>
      <c r="N490" s="278"/>
      <c r="O490" s="278"/>
      <c r="P490" s="278"/>
      <c r="Q490" s="278"/>
      <c r="R490" s="312">
        <f>IFERROR(INDEX('4. Valuation'!$O$10:$X$17,MATCH($D490,'4. Valuation'!$O$10:$O$17,0),MATCH($R$25,'4. Valuation'!$O$10:$X$10,0)),0)</f>
        <v>0</v>
      </c>
      <c r="S490" s="312">
        <f>IFERROR(INDEX('4. Valuation'!$O$10:$X$17,MATCH($D490,'4. Valuation'!$O$10:$O$17,0),MATCH($S$25,'4. Valuation'!$O$10:$X$10,0)),0)</f>
        <v>0</v>
      </c>
      <c r="T490" s="312" t="str">
        <f>IFERROR(INDEX('4. Valuation'!$O$10:$X$17,MATCH($D490,'4. Valuation'!$O$10:$O$17,0),MATCH($T$25,'4. Valuation'!$O$10:$X$10,0)),0)</f>
        <v>-</v>
      </c>
      <c r="U490" s="278"/>
      <c r="V490" s="312">
        <f t="shared" si="94"/>
        <v>0</v>
      </c>
      <c r="W490" s="312">
        <f t="shared" si="95"/>
        <v>0</v>
      </c>
      <c r="X490" s="312">
        <f t="shared" si="96"/>
        <v>0</v>
      </c>
      <c r="Y490" s="278"/>
      <c r="Z490" s="312">
        <f t="shared" si="97"/>
        <v>0</v>
      </c>
      <c r="AA490" s="312">
        <f>'3. GRI Pricing'!Y481</f>
        <v>0</v>
      </c>
      <c r="AB490" s="359">
        <f t="shared" si="98"/>
        <v>0</v>
      </c>
    </row>
    <row r="491" spans="3:28" s="30" customFormat="1" ht="12" x14ac:dyDescent="0.2">
      <c r="C491" s="77">
        <f>'1. Accomodation'!N486</f>
        <v>0</v>
      </c>
      <c r="D491" s="77">
        <f>'1. Accomodation'!P486</f>
        <v>0</v>
      </c>
      <c r="E491" s="77">
        <f>'1. Accomodation'!O486</f>
        <v>0</v>
      </c>
      <c r="G491" s="341">
        <f>IFERROR(INDEX('4. Valuation'!$C$10:$I$17,MATCH($D491,'4. Valuation'!$C$10:$C$17,0),MATCH($G$25,'4. Valuation'!$C$10:$I$10,0)),0)</f>
        <v>0</v>
      </c>
      <c r="H491" s="273">
        <f>IFERROR(INDEX('4. Valuation'!$C$10:$I$17,MATCH($D491,'4. Valuation'!$C$10:$C$17,0),MATCH($H$25,'4. Valuation'!$C$10:$I$10,0)),0)</f>
        <v>0</v>
      </c>
      <c r="I491" s="359" t="str">
        <f>IFERROR(INDEX('4. Valuation'!$C$10:$I$17,MATCH($D491,'4. Valuation'!$C$10:$C$17,0),MATCH($I$25,'4. Valuation'!$C$10:$I$10,0)),0)</f>
        <v>-</v>
      </c>
      <c r="J491" s="277"/>
      <c r="K491" s="312">
        <f t="shared" si="91"/>
        <v>0</v>
      </c>
      <c r="L491" s="312">
        <f t="shared" si="92"/>
        <v>0</v>
      </c>
      <c r="M491" s="359">
        <f t="shared" si="93"/>
        <v>0</v>
      </c>
      <c r="N491" s="278"/>
      <c r="O491" s="278"/>
      <c r="P491" s="278"/>
      <c r="Q491" s="278"/>
      <c r="R491" s="312">
        <f>IFERROR(INDEX('4. Valuation'!$O$10:$X$17,MATCH($D491,'4. Valuation'!$O$10:$O$17,0),MATCH($R$25,'4. Valuation'!$O$10:$X$10,0)),0)</f>
        <v>0</v>
      </c>
      <c r="S491" s="312">
        <f>IFERROR(INDEX('4. Valuation'!$O$10:$X$17,MATCH($D491,'4. Valuation'!$O$10:$O$17,0),MATCH($S$25,'4. Valuation'!$O$10:$X$10,0)),0)</f>
        <v>0</v>
      </c>
      <c r="T491" s="312" t="str">
        <f>IFERROR(INDEX('4. Valuation'!$O$10:$X$17,MATCH($D491,'4. Valuation'!$O$10:$O$17,0),MATCH($T$25,'4. Valuation'!$O$10:$X$10,0)),0)</f>
        <v>-</v>
      </c>
      <c r="U491" s="278"/>
      <c r="V491" s="312">
        <f t="shared" si="94"/>
        <v>0</v>
      </c>
      <c r="W491" s="312">
        <f t="shared" si="95"/>
        <v>0</v>
      </c>
      <c r="X491" s="312">
        <f t="shared" si="96"/>
        <v>0</v>
      </c>
      <c r="Y491" s="278"/>
      <c r="Z491" s="312">
        <f t="shared" si="97"/>
        <v>0</v>
      </c>
      <c r="AA491" s="312">
        <f>'3. GRI Pricing'!Y482</f>
        <v>0</v>
      </c>
      <c r="AB491" s="359">
        <f t="shared" si="98"/>
        <v>0</v>
      </c>
    </row>
    <row r="492" spans="3:28" s="30" customFormat="1" ht="12" x14ac:dyDescent="0.2">
      <c r="C492" s="77">
        <f>'1. Accomodation'!N487</f>
        <v>0</v>
      </c>
      <c r="D492" s="77">
        <f>'1. Accomodation'!P487</f>
        <v>0</v>
      </c>
      <c r="E492" s="77">
        <f>'1. Accomodation'!O487</f>
        <v>0</v>
      </c>
      <c r="G492" s="341">
        <f>IFERROR(INDEX('4. Valuation'!$C$10:$I$17,MATCH($D492,'4. Valuation'!$C$10:$C$17,0),MATCH($G$25,'4. Valuation'!$C$10:$I$10,0)),0)</f>
        <v>0</v>
      </c>
      <c r="H492" s="273">
        <f>IFERROR(INDEX('4. Valuation'!$C$10:$I$17,MATCH($D492,'4. Valuation'!$C$10:$C$17,0),MATCH($H$25,'4. Valuation'!$C$10:$I$10,0)),0)</f>
        <v>0</v>
      </c>
      <c r="I492" s="359" t="str">
        <f>IFERROR(INDEX('4. Valuation'!$C$10:$I$17,MATCH($D492,'4. Valuation'!$C$10:$C$17,0),MATCH($I$25,'4. Valuation'!$C$10:$I$10,0)),0)</f>
        <v>-</v>
      </c>
      <c r="J492" s="277"/>
      <c r="K492" s="312">
        <f t="shared" si="91"/>
        <v>0</v>
      </c>
      <c r="L492" s="312">
        <f t="shared" si="92"/>
        <v>0</v>
      </c>
      <c r="M492" s="359">
        <f t="shared" si="93"/>
        <v>0</v>
      </c>
      <c r="N492" s="278"/>
      <c r="O492" s="278"/>
      <c r="P492" s="278"/>
      <c r="Q492" s="278"/>
      <c r="R492" s="312">
        <f>IFERROR(INDEX('4. Valuation'!$O$10:$X$17,MATCH($D492,'4. Valuation'!$O$10:$O$17,0),MATCH($R$25,'4. Valuation'!$O$10:$X$10,0)),0)</f>
        <v>0</v>
      </c>
      <c r="S492" s="312">
        <f>IFERROR(INDEX('4. Valuation'!$O$10:$X$17,MATCH($D492,'4. Valuation'!$O$10:$O$17,0),MATCH($S$25,'4. Valuation'!$O$10:$X$10,0)),0)</f>
        <v>0</v>
      </c>
      <c r="T492" s="312" t="str">
        <f>IFERROR(INDEX('4. Valuation'!$O$10:$X$17,MATCH($D492,'4. Valuation'!$O$10:$O$17,0),MATCH($T$25,'4. Valuation'!$O$10:$X$10,0)),0)</f>
        <v>-</v>
      </c>
      <c r="U492" s="278"/>
      <c r="V492" s="312">
        <f t="shared" si="94"/>
        <v>0</v>
      </c>
      <c r="W492" s="312">
        <f t="shared" si="95"/>
        <v>0</v>
      </c>
      <c r="X492" s="312">
        <f t="shared" si="96"/>
        <v>0</v>
      </c>
      <c r="Y492" s="278"/>
      <c r="Z492" s="312">
        <f t="shared" si="97"/>
        <v>0</v>
      </c>
      <c r="AA492" s="312">
        <f>'3. GRI Pricing'!Y483</f>
        <v>0</v>
      </c>
      <c r="AB492" s="359">
        <f t="shared" si="98"/>
        <v>0</v>
      </c>
    </row>
    <row r="493" spans="3:28" s="30" customFormat="1" ht="12" x14ac:dyDescent="0.2">
      <c r="C493" s="77">
        <f>'1. Accomodation'!N488</f>
        <v>0</v>
      </c>
      <c r="D493" s="77">
        <f>'1. Accomodation'!P488</f>
        <v>0</v>
      </c>
      <c r="E493" s="77">
        <f>'1. Accomodation'!O488</f>
        <v>0</v>
      </c>
      <c r="G493" s="341">
        <f>IFERROR(INDEX('4. Valuation'!$C$10:$I$17,MATCH($D493,'4. Valuation'!$C$10:$C$17,0),MATCH($G$25,'4. Valuation'!$C$10:$I$10,0)),0)</f>
        <v>0</v>
      </c>
      <c r="H493" s="273">
        <f>IFERROR(INDEX('4. Valuation'!$C$10:$I$17,MATCH($D493,'4. Valuation'!$C$10:$C$17,0),MATCH($H$25,'4. Valuation'!$C$10:$I$10,0)),0)</f>
        <v>0</v>
      </c>
      <c r="I493" s="359" t="str">
        <f>IFERROR(INDEX('4. Valuation'!$C$10:$I$17,MATCH($D493,'4. Valuation'!$C$10:$C$17,0),MATCH($I$25,'4. Valuation'!$C$10:$I$10,0)),0)</f>
        <v>-</v>
      </c>
      <c r="J493" s="277"/>
      <c r="K493" s="312">
        <f t="shared" si="91"/>
        <v>0</v>
      </c>
      <c r="L493" s="312">
        <f t="shared" si="92"/>
        <v>0</v>
      </c>
      <c r="M493" s="359">
        <f t="shared" si="93"/>
        <v>0</v>
      </c>
      <c r="N493" s="278"/>
      <c r="O493" s="278"/>
      <c r="P493" s="278"/>
      <c r="Q493" s="278"/>
      <c r="R493" s="312">
        <f>IFERROR(INDEX('4. Valuation'!$O$10:$X$17,MATCH($D493,'4. Valuation'!$O$10:$O$17,0),MATCH($R$25,'4. Valuation'!$O$10:$X$10,0)),0)</f>
        <v>0</v>
      </c>
      <c r="S493" s="312">
        <f>IFERROR(INDEX('4. Valuation'!$O$10:$X$17,MATCH($D493,'4. Valuation'!$O$10:$O$17,0),MATCH($S$25,'4. Valuation'!$O$10:$X$10,0)),0)</f>
        <v>0</v>
      </c>
      <c r="T493" s="312" t="str">
        <f>IFERROR(INDEX('4. Valuation'!$O$10:$X$17,MATCH($D493,'4. Valuation'!$O$10:$O$17,0),MATCH($T$25,'4. Valuation'!$O$10:$X$10,0)),0)</f>
        <v>-</v>
      </c>
      <c r="U493" s="278"/>
      <c r="V493" s="312">
        <f t="shared" si="94"/>
        <v>0</v>
      </c>
      <c r="W493" s="312">
        <f t="shared" si="95"/>
        <v>0</v>
      </c>
      <c r="X493" s="312">
        <f t="shared" si="96"/>
        <v>0</v>
      </c>
      <c r="Y493" s="278"/>
      <c r="Z493" s="312">
        <f t="shared" si="97"/>
        <v>0</v>
      </c>
      <c r="AA493" s="312">
        <f>'3. GRI Pricing'!Y484</f>
        <v>0</v>
      </c>
      <c r="AB493" s="359">
        <f t="shared" si="98"/>
        <v>0</v>
      </c>
    </row>
    <row r="494" spans="3:28" s="30" customFormat="1" ht="12" x14ac:dyDescent="0.2">
      <c r="C494" s="77">
        <f>'1. Accomodation'!N489</f>
        <v>0</v>
      </c>
      <c r="D494" s="77">
        <f>'1. Accomodation'!P489</f>
        <v>0</v>
      </c>
      <c r="E494" s="77">
        <f>'1. Accomodation'!O489</f>
        <v>0</v>
      </c>
      <c r="G494" s="341">
        <f>IFERROR(INDEX('4. Valuation'!$C$10:$I$17,MATCH($D494,'4. Valuation'!$C$10:$C$17,0),MATCH($G$25,'4. Valuation'!$C$10:$I$10,0)),0)</f>
        <v>0</v>
      </c>
      <c r="H494" s="273">
        <f>IFERROR(INDEX('4. Valuation'!$C$10:$I$17,MATCH($D494,'4. Valuation'!$C$10:$C$17,0),MATCH($H$25,'4. Valuation'!$C$10:$I$10,0)),0)</f>
        <v>0</v>
      </c>
      <c r="I494" s="359" t="str">
        <f>IFERROR(INDEX('4. Valuation'!$C$10:$I$17,MATCH($D494,'4. Valuation'!$C$10:$C$17,0),MATCH($I$25,'4. Valuation'!$C$10:$I$10,0)),0)</f>
        <v>-</v>
      </c>
      <c r="J494" s="277"/>
      <c r="K494" s="312">
        <f t="shared" si="91"/>
        <v>0</v>
      </c>
      <c r="L494" s="312">
        <f t="shared" si="92"/>
        <v>0</v>
      </c>
      <c r="M494" s="359">
        <f t="shared" si="93"/>
        <v>0</v>
      </c>
      <c r="N494" s="278"/>
      <c r="O494" s="278"/>
      <c r="P494" s="278"/>
      <c r="Q494" s="278"/>
      <c r="R494" s="312">
        <f>IFERROR(INDEX('4. Valuation'!$O$10:$X$17,MATCH($D494,'4. Valuation'!$O$10:$O$17,0),MATCH($R$25,'4. Valuation'!$O$10:$X$10,0)),0)</f>
        <v>0</v>
      </c>
      <c r="S494" s="312">
        <f>IFERROR(INDEX('4. Valuation'!$O$10:$X$17,MATCH($D494,'4. Valuation'!$O$10:$O$17,0),MATCH($S$25,'4. Valuation'!$O$10:$X$10,0)),0)</f>
        <v>0</v>
      </c>
      <c r="T494" s="312" t="str">
        <f>IFERROR(INDEX('4. Valuation'!$O$10:$X$17,MATCH($D494,'4. Valuation'!$O$10:$O$17,0),MATCH($T$25,'4. Valuation'!$O$10:$X$10,0)),0)</f>
        <v>-</v>
      </c>
      <c r="U494" s="278"/>
      <c r="V494" s="312">
        <f t="shared" si="94"/>
        <v>0</v>
      </c>
      <c r="W494" s="312">
        <f t="shared" si="95"/>
        <v>0</v>
      </c>
      <c r="X494" s="312">
        <f t="shared" si="96"/>
        <v>0</v>
      </c>
      <c r="Y494" s="278"/>
      <c r="Z494" s="312">
        <f t="shared" si="97"/>
        <v>0</v>
      </c>
      <c r="AA494" s="312">
        <f>'3. GRI Pricing'!Y485</f>
        <v>0</v>
      </c>
      <c r="AB494" s="359">
        <f t="shared" si="98"/>
        <v>0</v>
      </c>
    </row>
    <row r="495" spans="3:28" s="30" customFormat="1" ht="12" x14ac:dyDescent="0.2">
      <c r="C495" s="77">
        <f>'1. Accomodation'!N490</f>
        <v>0</v>
      </c>
      <c r="D495" s="77">
        <f>'1. Accomodation'!P490</f>
        <v>0</v>
      </c>
      <c r="E495" s="77">
        <f>'1. Accomodation'!O490</f>
        <v>0</v>
      </c>
      <c r="G495" s="341">
        <f>IFERROR(INDEX('4. Valuation'!$C$10:$I$17,MATCH($D495,'4. Valuation'!$C$10:$C$17,0),MATCH($G$25,'4. Valuation'!$C$10:$I$10,0)),0)</f>
        <v>0</v>
      </c>
      <c r="H495" s="273">
        <f>IFERROR(INDEX('4. Valuation'!$C$10:$I$17,MATCH($D495,'4. Valuation'!$C$10:$C$17,0),MATCH($H$25,'4. Valuation'!$C$10:$I$10,0)),0)</f>
        <v>0</v>
      </c>
      <c r="I495" s="359" t="str">
        <f>IFERROR(INDEX('4. Valuation'!$C$10:$I$17,MATCH($D495,'4. Valuation'!$C$10:$C$17,0),MATCH($I$25,'4. Valuation'!$C$10:$I$10,0)),0)</f>
        <v>-</v>
      </c>
      <c r="J495" s="277"/>
      <c r="K495" s="312">
        <f t="shared" si="91"/>
        <v>0</v>
      </c>
      <c r="L495" s="312">
        <f t="shared" si="92"/>
        <v>0</v>
      </c>
      <c r="M495" s="359">
        <f t="shared" si="93"/>
        <v>0</v>
      </c>
      <c r="N495" s="278"/>
      <c r="O495" s="278"/>
      <c r="P495" s="278"/>
      <c r="Q495" s="278"/>
      <c r="R495" s="312">
        <f>IFERROR(INDEX('4. Valuation'!$O$10:$X$17,MATCH($D495,'4. Valuation'!$O$10:$O$17,0),MATCH($R$25,'4. Valuation'!$O$10:$X$10,0)),0)</f>
        <v>0</v>
      </c>
      <c r="S495" s="312">
        <f>IFERROR(INDEX('4. Valuation'!$O$10:$X$17,MATCH($D495,'4. Valuation'!$O$10:$O$17,0),MATCH($S$25,'4. Valuation'!$O$10:$X$10,0)),0)</f>
        <v>0</v>
      </c>
      <c r="T495" s="312" t="str">
        <f>IFERROR(INDEX('4. Valuation'!$O$10:$X$17,MATCH($D495,'4. Valuation'!$O$10:$O$17,0),MATCH($T$25,'4. Valuation'!$O$10:$X$10,0)),0)</f>
        <v>-</v>
      </c>
      <c r="U495" s="278"/>
      <c r="V495" s="312">
        <f t="shared" si="94"/>
        <v>0</v>
      </c>
      <c r="W495" s="312">
        <f t="shared" si="95"/>
        <v>0</v>
      </c>
      <c r="X495" s="312">
        <f t="shared" si="96"/>
        <v>0</v>
      </c>
      <c r="Y495" s="278"/>
      <c r="Z495" s="312">
        <f t="shared" si="97"/>
        <v>0</v>
      </c>
      <c r="AA495" s="312">
        <f>'3. GRI Pricing'!Y486</f>
        <v>0</v>
      </c>
      <c r="AB495" s="359">
        <f t="shared" si="98"/>
        <v>0</v>
      </c>
    </row>
    <row r="496" spans="3:28" s="30" customFormat="1" ht="12" x14ac:dyDescent="0.2">
      <c r="C496" s="77">
        <f>'1. Accomodation'!N491</f>
        <v>0</v>
      </c>
      <c r="D496" s="77">
        <f>'1. Accomodation'!P491</f>
        <v>0</v>
      </c>
      <c r="E496" s="77">
        <f>'1. Accomodation'!O491</f>
        <v>0</v>
      </c>
      <c r="G496" s="341">
        <f>IFERROR(INDEX('4. Valuation'!$C$10:$I$17,MATCH($D496,'4. Valuation'!$C$10:$C$17,0),MATCH($G$25,'4. Valuation'!$C$10:$I$10,0)),0)</f>
        <v>0</v>
      </c>
      <c r="H496" s="273">
        <f>IFERROR(INDEX('4. Valuation'!$C$10:$I$17,MATCH($D496,'4. Valuation'!$C$10:$C$17,0),MATCH($H$25,'4. Valuation'!$C$10:$I$10,0)),0)</f>
        <v>0</v>
      </c>
      <c r="I496" s="359" t="str">
        <f>IFERROR(INDEX('4. Valuation'!$C$10:$I$17,MATCH($D496,'4. Valuation'!$C$10:$C$17,0),MATCH($I$25,'4. Valuation'!$C$10:$I$10,0)),0)</f>
        <v>-</v>
      </c>
      <c r="J496" s="277"/>
      <c r="K496" s="312">
        <f t="shared" si="91"/>
        <v>0</v>
      </c>
      <c r="L496" s="312">
        <f t="shared" si="92"/>
        <v>0</v>
      </c>
      <c r="M496" s="359">
        <f t="shared" si="93"/>
        <v>0</v>
      </c>
      <c r="N496" s="278"/>
      <c r="O496" s="278"/>
      <c r="P496" s="278"/>
      <c r="Q496" s="278"/>
      <c r="R496" s="312">
        <f>IFERROR(INDEX('4. Valuation'!$O$10:$X$17,MATCH($D496,'4. Valuation'!$O$10:$O$17,0),MATCH($R$25,'4. Valuation'!$O$10:$X$10,0)),0)</f>
        <v>0</v>
      </c>
      <c r="S496" s="312">
        <f>IFERROR(INDEX('4. Valuation'!$O$10:$X$17,MATCH($D496,'4. Valuation'!$O$10:$O$17,0),MATCH($S$25,'4. Valuation'!$O$10:$X$10,0)),0)</f>
        <v>0</v>
      </c>
      <c r="T496" s="312" t="str">
        <f>IFERROR(INDEX('4. Valuation'!$O$10:$X$17,MATCH($D496,'4. Valuation'!$O$10:$O$17,0),MATCH($T$25,'4. Valuation'!$O$10:$X$10,0)),0)</f>
        <v>-</v>
      </c>
      <c r="U496" s="278"/>
      <c r="V496" s="312">
        <f t="shared" si="94"/>
        <v>0</v>
      </c>
      <c r="W496" s="312">
        <f t="shared" si="95"/>
        <v>0</v>
      </c>
      <c r="X496" s="312">
        <f t="shared" si="96"/>
        <v>0</v>
      </c>
      <c r="Y496" s="278"/>
      <c r="Z496" s="312">
        <f t="shared" si="97"/>
        <v>0</v>
      </c>
      <c r="AA496" s="312">
        <f>'3. GRI Pricing'!Y487</f>
        <v>0</v>
      </c>
      <c r="AB496" s="359">
        <f t="shared" si="98"/>
        <v>0</v>
      </c>
    </row>
    <row r="497" spans="3:28" s="30" customFormat="1" ht="12" x14ac:dyDescent="0.2">
      <c r="C497" s="77">
        <f>'1. Accomodation'!N492</f>
        <v>0</v>
      </c>
      <c r="D497" s="77">
        <f>'1. Accomodation'!P492</f>
        <v>0</v>
      </c>
      <c r="E497" s="77">
        <f>'1. Accomodation'!O492</f>
        <v>0</v>
      </c>
      <c r="G497" s="341">
        <f>IFERROR(INDEX('4. Valuation'!$C$10:$I$17,MATCH($D497,'4. Valuation'!$C$10:$C$17,0),MATCH($G$25,'4. Valuation'!$C$10:$I$10,0)),0)</f>
        <v>0</v>
      </c>
      <c r="H497" s="273">
        <f>IFERROR(INDEX('4. Valuation'!$C$10:$I$17,MATCH($D497,'4. Valuation'!$C$10:$C$17,0),MATCH($H$25,'4. Valuation'!$C$10:$I$10,0)),0)</f>
        <v>0</v>
      </c>
      <c r="I497" s="359" t="str">
        <f>IFERROR(INDEX('4. Valuation'!$C$10:$I$17,MATCH($D497,'4. Valuation'!$C$10:$C$17,0),MATCH($I$25,'4. Valuation'!$C$10:$I$10,0)),0)</f>
        <v>-</v>
      </c>
      <c r="J497" s="277"/>
      <c r="K497" s="312">
        <f t="shared" si="91"/>
        <v>0</v>
      </c>
      <c r="L497" s="312">
        <f t="shared" si="92"/>
        <v>0</v>
      </c>
      <c r="M497" s="359">
        <f t="shared" si="93"/>
        <v>0</v>
      </c>
      <c r="N497" s="278"/>
      <c r="O497" s="278"/>
      <c r="P497" s="278"/>
      <c r="Q497" s="278"/>
      <c r="R497" s="312">
        <f>IFERROR(INDEX('4. Valuation'!$O$10:$X$17,MATCH($D497,'4. Valuation'!$O$10:$O$17,0),MATCH($R$25,'4. Valuation'!$O$10:$X$10,0)),0)</f>
        <v>0</v>
      </c>
      <c r="S497" s="312">
        <f>IFERROR(INDEX('4. Valuation'!$O$10:$X$17,MATCH($D497,'4. Valuation'!$O$10:$O$17,0),MATCH($S$25,'4. Valuation'!$O$10:$X$10,0)),0)</f>
        <v>0</v>
      </c>
      <c r="T497" s="312" t="str">
        <f>IFERROR(INDEX('4. Valuation'!$O$10:$X$17,MATCH($D497,'4. Valuation'!$O$10:$O$17,0),MATCH($T$25,'4. Valuation'!$O$10:$X$10,0)),0)</f>
        <v>-</v>
      </c>
      <c r="U497" s="278"/>
      <c r="V497" s="312">
        <f t="shared" si="94"/>
        <v>0</v>
      </c>
      <c r="W497" s="312">
        <f t="shared" si="95"/>
        <v>0</v>
      </c>
      <c r="X497" s="312">
        <f t="shared" si="96"/>
        <v>0</v>
      </c>
      <c r="Y497" s="278"/>
      <c r="Z497" s="312">
        <f t="shared" si="97"/>
        <v>0</v>
      </c>
      <c r="AA497" s="312">
        <f>'3. GRI Pricing'!Y488</f>
        <v>0</v>
      </c>
      <c r="AB497" s="359">
        <f t="shared" si="98"/>
        <v>0</v>
      </c>
    </row>
    <row r="498" spans="3:28" s="30" customFormat="1" ht="12" x14ac:dyDescent="0.2">
      <c r="C498" s="77">
        <f>'1. Accomodation'!N493</f>
        <v>0</v>
      </c>
      <c r="D498" s="77">
        <f>'1. Accomodation'!P493</f>
        <v>0</v>
      </c>
      <c r="E498" s="77">
        <f>'1. Accomodation'!O493</f>
        <v>0</v>
      </c>
      <c r="G498" s="341">
        <f>IFERROR(INDEX('4. Valuation'!$C$10:$I$17,MATCH($D498,'4. Valuation'!$C$10:$C$17,0),MATCH($G$25,'4. Valuation'!$C$10:$I$10,0)),0)</f>
        <v>0</v>
      </c>
      <c r="H498" s="273">
        <f>IFERROR(INDEX('4. Valuation'!$C$10:$I$17,MATCH($D498,'4. Valuation'!$C$10:$C$17,0),MATCH($H$25,'4. Valuation'!$C$10:$I$10,0)),0)</f>
        <v>0</v>
      </c>
      <c r="I498" s="359" t="str">
        <f>IFERROR(INDEX('4. Valuation'!$C$10:$I$17,MATCH($D498,'4. Valuation'!$C$10:$C$17,0),MATCH($I$25,'4. Valuation'!$C$10:$I$10,0)),0)</f>
        <v>-</v>
      </c>
      <c r="J498" s="277"/>
      <c r="K498" s="312">
        <f t="shared" si="91"/>
        <v>0</v>
      </c>
      <c r="L498" s="312">
        <f t="shared" si="92"/>
        <v>0</v>
      </c>
      <c r="M498" s="359">
        <f t="shared" si="93"/>
        <v>0</v>
      </c>
      <c r="N498" s="278"/>
      <c r="O498" s="278"/>
      <c r="P498" s="278"/>
      <c r="Q498" s="278"/>
      <c r="R498" s="312">
        <f>IFERROR(INDEX('4. Valuation'!$O$10:$X$17,MATCH($D498,'4. Valuation'!$O$10:$O$17,0),MATCH($R$25,'4. Valuation'!$O$10:$X$10,0)),0)</f>
        <v>0</v>
      </c>
      <c r="S498" s="312">
        <f>IFERROR(INDEX('4. Valuation'!$O$10:$X$17,MATCH($D498,'4. Valuation'!$O$10:$O$17,0),MATCH($S$25,'4. Valuation'!$O$10:$X$10,0)),0)</f>
        <v>0</v>
      </c>
      <c r="T498" s="312" t="str">
        <f>IFERROR(INDEX('4. Valuation'!$O$10:$X$17,MATCH($D498,'4. Valuation'!$O$10:$O$17,0),MATCH($T$25,'4. Valuation'!$O$10:$X$10,0)),0)</f>
        <v>-</v>
      </c>
      <c r="U498" s="278"/>
      <c r="V498" s="312">
        <f t="shared" si="94"/>
        <v>0</v>
      </c>
      <c r="W498" s="312">
        <f t="shared" si="95"/>
        <v>0</v>
      </c>
      <c r="X498" s="312">
        <f t="shared" si="96"/>
        <v>0</v>
      </c>
      <c r="Y498" s="278"/>
      <c r="Z498" s="312">
        <f t="shared" si="97"/>
        <v>0</v>
      </c>
      <c r="AA498" s="312">
        <f>'3. GRI Pricing'!Y489</f>
        <v>0</v>
      </c>
      <c r="AB498" s="359">
        <f t="shared" si="98"/>
        <v>0</v>
      </c>
    </row>
    <row r="499" spans="3:28" s="30" customFormat="1" ht="12" x14ac:dyDescent="0.2">
      <c r="C499" s="77">
        <f>'1. Accomodation'!N494</f>
        <v>0</v>
      </c>
      <c r="D499" s="77">
        <f>'1. Accomodation'!P494</f>
        <v>0</v>
      </c>
      <c r="E499" s="77">
        <f>'1. Accomodation'!O494</f>
        <v>0</v>
      </c>
      <c r="G499" s="341">
        <f>IFERROR(INDEX('4. Valuation'!$C$10:$I$17,MATCH($D499,'4. Valuation'!$C$10:$C$17,0),MATCH($G$25,'4. Valuation'!$C$10:$I$10,0)),0)</f>
        <v>0</v>
      </c>
      <c r="H499" s="273">
        <f>IFERROR(INDEX('4. Valuation'!$C$10:$I$17,MATCH($D499,'4. Valuation'!$C$10:$C$17,0),MATCH($H$25,'4. Valuation'!$C$10:$I$10,0)),0)</f>
        <v>0</v>
      </c>
      <c r="I499" s="359" t="str">
        <f>IFERROR(INDEX('4. Valuation'!$C$10:$I$17,MATCH($D499,'4. Valuation'!$C$10:$C$17,0),MATCH($I$25,'4. Valuation'!$C$10:$I$10,0)),0)</f>
        <v>-</v>
      </c>
      <c r="J499" s="277"/>
      <c r="K499" s="312">
        <f t="shared" si="91"/>
        <v>0</v>
      </c>
      <c r="L499" s="312">
        <f t="shared" si="92"/>
        <v>0</v>
      </c>
      <c r="M499" s="359">
        <f t="shared" si="93"/>
        <v>0</v>
      </c>
      <c r="N499" s="278"/>
      <c r="O499" s="278"/>
      <c r="P499" s="278"/>
      <c r="Q499" s="278"/>
      <c r="R499" s="312">
        <f>IFERROR(INDEX('4. Valuation'!$O$10:$X$17,MATCH($D499,'4. Valuation'!$O$10:$O$17,0),MATCH($R$25,'4. Valuation'!$O$10:$X$10,0)),0)</f>
        <v>0</v>
      </c>
      <c r="S499" s="312">
        <f>IFERROR(INDEX('4. Valuation'!$O$10:$X$17,MATCH($D499,'4. Valuation'!$O$10:$O$17,0),MATCH($S$25,'4. Valuation'!$O$10:$X$10,0)),0)</f>
        <v>0</v>
      </c>
      <c r="T499" s="312" t="str">
        <f>IFERROR(INDEX('4. Valuation'!$O$10:$X$17,MATCH($D499,'4. Valuation'!$O$10:$O$17,0),MATCH($T$25,'4. Valuation'!$O$10:$X$10,0)),0)</f>
        <v>-</v>
      </c>
      <c r="U499" s="278"/>
      <c r="V499" s="312">
        <f t="shared" si="94"/>
        <v>0</v>
      </c>
      <c r="W499" s="312">
        <f t="shared" si="95"/>
        <v>0</v>
      </c>
      <c r="X499" s="312">
        <f t="shared" si="96"/>
        <v>0</v>
      </c>
      <c r="Y499" s="278"/>
      <c r="Z499" s="312">
        <f t="shared" si="97"/>
        <v>0</v>
      </c>
      <c r="AA499" s="312">
        <f>'3. GRI Pricing'!Y490</f>
        <v>0</v>
      </c>
      <c r="AB499" s="359">
        <f t="shared" si="98"/>
        <v>0</v>
      </c>
    </row>
    <row r="500" spans="3:28" s="30" customFormat="1" ht="12" x14ac:dyDescent="0.2">
      <c r="C500" s="77">
        <f>'1. Accomodation'!N495</f>
        <v>0</v>
      </c>
      <c r="D500" s="77">
        <f>'1. Accomodation'!P495</f>
        <v>0</v>
      </c>
      <c r="E500" s="77">
        <f>'1. Accomodation'!O495</f>
        <v>0</v>
      </c>
      <c r="G500" s="341">
        <f>IFERROR(INDEX('4. Valuation'!$C$10:$I$17,MATCH($D500,'4. Valuation'!$C$10:$C$17,0),MATCH($G$25,'4. Valuation'!$C$10:$I$10,0)),0)</f>
        <v>0</v>
      </c>
      <c r="H500" s="273">
        <f>IFERROR(INDEX('4. Valuation'!$C$10:$I$17,MATCH($D500,'4. Valuation'!$C$10:$C$17,0),MATCH($H$25,'4. Valuation'!$C$10:$I$10,0)),0)</f>
        <v>0</v>
      </c>
      <c r="I500" s="359" t="str">
        <f>IFERROR(INDEX('4. Valuation'!$C$10:$I$17,MATCH($D500,'4. Valuation'!$C$10:$C$17,0),MATCH($I$25,'4. Valuation'!$C$10:$I$10,0)),0)</f>
        <v>-</v>
      </c>
      <c r="J500" s="277"/>
      <c r="K500" s="312">
        <f t="shared" si="91"/>
        <v>0</v>
      </c>
      <c r="L500" s="312">
        <f t="shared" si="92"/>
        <v>0</v>
      </c>
      <c r="M500" s="359">
        <f t="shared" si="93"/>
        <v>0</v>
      </c>
      <c r="N500" s="278"/>
      <c r="O500" s="278"/>
      <c r="P500" s="278"/>
      <c r="Q500" s="278"/>
      <c r="R500" s="312">
        <f>IFERROR(INDEX('4. Valuation'!$O$10:$X$17,MATCH($D500,'4. Valuation'!$O$10:$O$17,0),MATCH($R$25,'4. Valuation'!$O$10:$X$10,0)),0)</f>
        <v>0</v>
      </c>
      <c r="S500" s="312">
        <f>IFERROR(INDEX('4. Valuation'!$O$10:$X$17,MATCH($D500,'4. Valuation'!$O$10:$O$17,0),MATCH($S$25,'4. Valuation'!$O$10:$X$10,0)),0)</f>
        <v>0</v>
      </c>
      <c r="T500" s="312" t="str">
        <f>IFERROR(INDEX('4. Valuation'!$O$10:$X$17,MATCH($D500,'4. Valuation'!$O$10:$O$17,0),MATCH($T$25,'4. Valuation'!$O$10:$X$10,0)),0)</f>
        <v>-</v>
      </c>
      <c r="U500" s="278"/>
      <c r="V500" s="312">
        <f t="shared" si="94"/>
        <v>0</v>
      </c>
      <c r="W500" s="312">
        <f t="shared" si="95"/>
        <v>0</v>
      </c>
      <c r="X500" s="312">
        <f t="shared" si="96"/>
        <v>0</v>
      </c>
      <c r="Y500" s="278"/>
      <c r="Z500" s="312">
        <f t="shared" si="97"/>
        <v>0</v>
      </c>
      <c r="AA500" s="312">
        <f>'3. GRI Pricing'!Y491</f>
        <v>0</v>
      </c>
      <c r="AB500" s="359">
        <f t="shared" si="98"/>
        <v>0</v>
      </c>
    </row>
    <row r="501" spans="3:28" s="30" customFormat="1" ht="12" x14ac:dyDescent="0.2">
      <c r="C501" s="77">
        <f>'1. Accomodation'!N496</f>
        <v>0</v>
      </c>
      <c r="D501" s="77">
        <f>'1. Accomodation'!P496</f>
        <v>0</v>
      </c>
      <c r="E501" s="77">
        <f>'1. Accomodation'!O496</f>
        <v>0</v>
      </c>
      <c r="G501" s="341">
        <f>IFERROR(INDEX('4. Valuation'!$C$10:$I$17,MATCH($D501,'4. Valuation'!$C$10:$C$17,0),MATCH($G$25,'4. Valuation'!$C$10:$I$10,0)),0)</f>
        <v>0</v>
      </c>
      <c r="H501" s="273">
        <f>IFERROR(INDEX('4. Valuation'!$C$10:$I$17,MATCH($D501,'4. Valuation'!$C$10:$C$17,0),MATCH($H$25,'4. Valuation'!$C$10:$I$10,0)),0)</f>
        <v>0</v>
      </c>
      <c r="I501" s="359" t="str">
        <f>IFERROR(INDEX('4. Valuation'!$C$10:$I$17,MATCH($D501,'4. Valuation'!$C$10:$C$17,0),MATCH($I$25,'4. Valuation'!$C$10:$I$10,0)),0)</f>
        <v>-</v>
      </c>
      <c r="J501" s="277"/>
      <c r="K501" s="312">
        <f t="shared" si="91"/>
        <v>0</v>
      </c>
      <c r="L501" s="312">
        <f t="shared" si="92"/>
        <v>0</v>
      </c>
      <c r="M501" s="359">
        <f t="shared" si="93"/>
        <v>0</v>
      </c>
      <c r="N501" s="278"/>
      <c r="O501" s="278"/>
      <c r="P501" s="278"/>
      <c r="Q501" s="278"/>
      <c r="R501" s="312">
        <f>IFERROR(INDEX('4. Valuation'!$O$10:$X$17,MATCH($D501,'4. Valuation'!$O$10:$O$17,0),MATCH($R$25,'4. Valuation'!$O$10:$X$10,0)),0)</f>
        <v>0</v>
      </c>
      <c r="S501" s="312">
        <f>IFERROR(INDEX('4. Valuation'!$O$10:$X$17,MATCH($D501,'4. Valuation'!$O$10:$O$17,0),MATCH($S$25,'4. Valuation'!$O$10:$X$10,0)),0)</f>
        <v>0</v>
      </c>
      <c r="T501" s="312" t="str">
        <f>IFERROR(INDEX('4. Valuation'!$O$10:$X$17,MATCH($D501,'4. Valuation'!$O$10:$O$17,0),MATCH($T$25,'4. Valuation'!$O$10:$X$10,0)),0)</f>
        <v>-</v>
      </c>
      <c r="U501" s="278"/>
      <c r="V501" s="312">
        <f t="shared" si="94"/>
        <v>0</v>
      </c>
      <c r="W501" s="312">
        <f t="shared" si="95"/>
        <v>0</v>
      </c>
      <c r="X501" s="312">
        <f t="shared" si="96"/>
        <v>0</v>
      </c>
      <c r="Y501" s="278"/>
      <c r="Z501" s="312">
        <f t="shared" si="97"/>
        <v>0</v>
      </c>
      <c r="AA501" s="312">
        <f>'3. GRI Pricing'!Y492</f>
        <v>0</v>
      </c>
      <c r="AB501" s="359">
        <f t="shared" si="98"/>
        <v>0</v>
      </c>
    </row>
    <row r="502" spans="3:28" s="30" customFormat="1" ht="12" x14ac:dyDescent="0.2">
      <c r="C502" s="77">
        <f>'1. Accomodation'!N497</f>
        <v>0</v>
      </c>
      <c r="D502" s="77">
        <f>'1. Accomodation'!P497</f>
        <v>0</v>
      </c>
      <c r="E502" s="77">
        <f>'1. Accomodation'!O497</f>
        <v>0</v>
      </c>
      <c r="G502" s="341">
        <f>IFERROR(INDEX('4. Valuation'!$C$10:$I$17,MATCH($D502,'4. Valuation'!$C$10:$C$17,0),MATCH($G$25,'4. Valuation'!$C$10:$I$10,0)),0)</f>
        <v>0</v>
      </c>
      <c r="H502" s="273">
        <f>IFERROR(INDEX('4. Valuation'!$C$10:$I$17,MATCH($D502,'4. Valuation'!$C$10:$C$17,0),MATCH($H$25,'4. Valuation'!$C$10:$I$10,0)),0)</f>
        <v>0</v>
      </c>
      <c r="I502" s="359" t="str">
        <f>IFERROR(INDEX('4. Valuation'!$C$10:$I$17,MATCH($D502,'4. Valuation'!$C$10:$C$17,0),MATCH($I$25,'4. Valuation'!$C$10:$I$10,0)),0)</f>
        <v>-</v>
      </c>
      <c r="J502" s="277"/>
      <c r="K502" s="312">
        <f t="shared" si="91"/>
        <v>0</v>
      </c>
      <c r="L502" s="312">
        <f t="shared" si="92"/>
        <v>0</v>
      </c>
      <c r="M502" s="359">
        <f t="shared" si="93"/>
        <v>0</v>
      </c>
      <c r="N502" s="278"/>
      <c r="O502" s="278"/>
      <c r="P502" s="278"/>
      <c r="Q502" s="278"/>
      <c r="R502" s="312">
        <f>IFERROR(INDEX('4. Valuation'!$O$10:$X$17,MATCH($D502,'4. Valuation'!$O$10:$O$17,0),MATCH($R$25,'4. Valuation'!$O$10:$X$10,0)),0)</f>
        <v>0</v>
      </c>
      <c r="S502" s="312">
        <f>IFERROR(INDEX('4. Valuation'!$O$10:$X$17,MATCH($D502,'4. Valuation'!$O$10:$O$17,0),MATCH($S$25,'4. Valuation'!$O$10:$X$10,0)),0)</f>
        <v>0</v>
      </c>
      <c r="T502" s="312" t="str">
        <f>IFERROR(INDEX('4. Valuation'!$O$10:$X$17,MATCH($D502,'4. Valuation'!$O$10:$O$17,0),MATCH($T$25,'4. Valuation'!$O$10:$X$10,0)),0)</f>
        <v>-</v>
      </c>
      <c r="U502" s="278"/>
      <c r="V502" s="312">
        <f t="shared" si="94"/>
        <v>0</v>
      </c>
      <c r="W502" s="312">
        <f t="shared" si="95"/>
        <v>0</v>
      </c>
      <c r="X502" s="312">
        <f t="shared" si="96"/>
        <v>0</v>
      </c>
      <c r="Y502" s="278"/>
      <c r="Z502" s="312">
        <f t="shared" si="97"/>
        <v>0</v>
      </c>
      <c r="AA502" s="312">
        <f>'3. GRI Pricing'!Y493</f>
        <v>0</v>
      </c>
      <c r="AB502" s="359">
        <f t="shared" si="98"/>
        <v>0</v>
      </c>
    </row>
    <row r="503" spans="3:28" s="30" customFormat="1" ht="12" x14ac:dyDescent="0.2">
      <c r="C503" s="77">
        <f>'1. Accomodation'!N498</f>
        <v>0</v>
      </c>
      <c r="D503" s="77">
        <f>'1. Accomodation'!P498</f>
        <v>0</v>
      </c>
      <c r="E503" s="77">
        <f>'1. Accomodation'!O498</f>
        <v>0</v>
      </c>
      <c r="G503" s="341">
        <f>IFERROR(INDEX('4. Valuation'!$C$10:$I$17,MATCH($D503,'4. Valuation'!$C$10:$C$17,0),MATCH($G$25,'4. Valuation'!$C$10:$I$10,0)),0)</f>
        <v>0</v>
      </c>
      <c r="H503" s="273">
        <f>IFERROR(INDEX('4. Valuation'!$C$10:$I$17,MATCH($D503,'4. Valuation'!$C$10:$C$17,0),MATCH($H$25,'4. Valuation'!$C$10:$I$10,0)),0)</f>
        <v>0</v>
      </c>
      <c r="I503" s="359" t="str">
        <f>IFERROR(INDEX('4. Valuation'!$C$10:$I$17,MATCH($D503,'4. Valuation'!$C$10:$C$17,0),MATCH($I$25,'4. Valuation'!$C$10:$I$10,0)),0)</f>
        <v>-</v>
      </c>
      <c r="J503" s="277"/>
      <c r="K503" s="312">
        <f t="shared" si="91"/>
        <v>0</v>
      </c>
      <c r="L503" s="312">
        <f t="shared" si="92"/>
        <v>0</v>
      </c>
      <c r="M503" s="359">
        <f t="shared" si="93"/>
        <v>0</v>
      </c>
      <c r="N503" s="278"/>
      <c r="O503" s="278"/>
      <c r="P503" s="278"/>
      <c r="Q503" s="278"/>
      <c r="R503" s="312">
        <f>IFERROR(INDEX('4. Valuation'!$O$10:$X$17,MATCH($D503,'4. Valuation'!$O$10:$O$17,0),MATCH($R$25,'4. Valuation'!$O$10:$X$10,0)),0)</f>
        <v>0</v>
      </c>
      <c r="S503" s="312">
        <f>IFERROR(INDEX('4. Valuation'!$O$10:$X$17,MATCH($D503,'4. Valuation'!$O$10:$O$17,0),MATCH($S$25,'4. Valuation'!$O$10:$X$10,0)),0)</f>
        <v>0</v>
      </c>
      <c r="T503" s="312" t="str">
        <f>IFERROR(INDEX('4. Valuation'!$O$10:$X$17,MATCH($D503,'4. Valuation'!$O$10:$O$17,0),MATCH($T$25,'4. Valuation'!$O$10:$X$10,0)),0)</f>
        <v>-</v>
      </c>
      <c r="U503" s="278"/>
      <c r="V503" s="312">
        <f t="shared" si="94"/>
        <v>0</v>
      </c>
      <c r="W503" s="312">
        <f t="shared" si="95"/>
        <v>0</v>
      </c>
      <c r="X503" s="312">
        <f t="shared" si="96"/>
        <v>0</v>
      </c>
      <c r="Y503" s="278"/>
      <c r="Z503" s="312">
        <f t="shared" si="97"/>
        <v>0</v>
      </c>
      <c r="AA503" s="312">
        <f>'3. GRI Pricing'!Y494</f>
        <v>0</v>
      </c>
      <c r="AB503" s="359">
        <f t="shared" si="98"/>
        <v>0</v>
      </c>
    </row>
    <row r="504" spans="3:28" s="30" customFormat="1" ht="12" x14ac:dyDescent="0.2">
      <c r="C504" s="77">
        <f>'1. Accomodation'!N499</f>
        <v>0</v>
      </c>
      <c r="D504" s="77">
        <f>'1. Accomodation'!P499</f>
        <v>0</v>
      </c>
      <c r="E504" s="77">
        <f>'1. Accomodation'!O499</f>
        <v>0</v>
      </c>
      <c r="G504" s="341">
        <f>IFERROR(INDEX('4. Valuation'!$C$10:$I$17,MATCH($D504,'4. Valuation'!$C$10:$C$17,0),MATCH($G$25,'4. Valuation'!$C$10:$I$10,0)),0)</f>
        <v>0</v>
      </c>
      <c r="H504" s="273">
        <f>IFERROR(INDEX('4. Valuation'!$C$10:$I$17,MATCH($D504,'4. Valuation'!$C$10:$C$17,0),MATCH($H$25,'4. Valuation'!$C$10:$I$10,0)),0)</f>
        <v>0</v>
      </c>
      <c r="I504" s="359" t="str">
        <f>IFERROR(INDEX('4. Valuation'!$C$10:$I$17,MATCH($D504,'4. Valuation'!$C$10:$C$17,0),MATCH($I$25,'4. Valuation'!$C$10:$I$10,0)),0)</f>
        <v>-</v>
      </c>
      <c r="J504" s="277"/>
      <c r="K504" s="312">
        <f t="shared" si="91"/>
        <v>0</v>
      </c>
      <c r="L504" s="312">
        <f t="shared" si="92"/>
        <v>0</v>
      </c>
      <c r="M504" s="359">
        <f t="shared" si="93"/>
        <v>0</v>
      </c>
      <c r="N504" s="278"/>
      <c r="O504" s="278"/>
      <c r="P504" s="278"/>
      <c r="Q504" s="278"/>
      <c r="R504" s="312">
        <f>IFERROR(INDEX('4. Valuation'!$O$10:$X$17,MATCH($D504,'4. Valuation'!$O$10:$O$17,0),MATCH($R$25,'4. Valuation'!$O$10:$X$10,0)),0)</f>
        <v>0</v>
      </c>
      <c r="S504" s="312">
        <f>IFERROR(INDEX('4. Valuation'!$O$10:$X$17,MATCH($D504,'4. Valuation'!$O$10:$O$17,0),MATCH($S$25,'4. Valuation'!$O$10:$X$10,0)),0)</f>
        <v>0</v>
      </c>
      <c r="T504" s="312" t="str">
        <f>IFERROR(INDEX('4. Valuation'!$O$10:$X$17,MATCH($D504,'4. Valuation'!$O$10:$O$17,0),MATCH($T$25,'4. Valuation'!$O$10:$X$10,0)),0)</f>
        <v>-</v>
      </c>
      <c r="U504" s="278"/>
      <c r="V504" s="312">
        <f t="shared" si="94"/>
        <v>0</v>
      </c>
      <c r="W504" s="312">
        <f t="shared" si="95"/>
        <v>0</v>
      </c>
      <c r="X504" s="312">
        <f t="shared" si="96"/>
        <v>0</v>
      </c>
      <c r="Y504" s="278"/>
      <c r="Z504" s="312">
        <f t="shared" si="97"/>
        <v>0</v>
      </c>
      <c r="AA504" s="312">
        <f>'3. GRI Pricing'!Y495</f>
        <v>0</v>
      </c>
      <c r="AB504" s="359">
        <f t="shared" si="98"/>
        <v>0</v>
      </c>
    </row>
    <row r="505" spans="3:28" s="30" customFormat="1" ht="12" x14ac:dyDescent="0.2">
      <c r="C505" s="77">
        <f>'1. Accomodation'!N500</f>
        <v>0</v>
      </c>
      <c r="D505" s="77">
        <f>'1. Accomodation'!P500</f>
        <v>0</v>
      </c>
      <c r="E505" s="77">
        <f>'1. Accomodation'!O500</f>
        <v>0</v>
      </c>
      <c r="G505" s="341">
        <f>IFERROR(INDEX('4. Valuation'!$C$10:$I$17,MATCH($D505,'4. Valuation'!$C$10:$C$17,0),MATCH($G$25,'4. Valuation'!$C$10:$I$10,0)),0)</f>
        <v>0</v>
      </c>
      <c r="H505" s="273">
        <f>IFERROR(INDEX('4. Valuation'!$C$10:$I$17,MATCH($D505,'4. Valuation'!$C$10:$C$17,0),MATCH($H$25,'4. Valuation'!$C$10:$I$10,0)),0)</f>
        <v>0</v>
      </c>
      <c r="I505" s="359" t="str">
        <f>IFERROR(INDEX('4. Valuation'!$C$10:$I$17,MATCH($D505,'4. Valuation'!$C$10:$C$17,0),MATCH($I$25,'4. Valuation'!$C$10:$I$10,0)),0)</f>
        <v>-</v>
      </c>
      <c r="J505" s="277"/>
      <c r="K505" s="312">
        <f t="shared" si="91"/>
        <v>0</v>
      </c>
      <c r="L505" s="312">
        <f t="shared" si="92"/>
        <v>0</v>
      </c>
      <c r="M505" s="359">
        <f t="shared" si="93"/>
        <v>0</v>
      </c>
      <c r="N505" s="278"/>
      <c r="O505" s="278"/>
      <c r="P505" s="278"/>
      <c r="Q505" s="278"/>
      <c r="R505" s="312">
        <f>IFERROR(INDEX('4. Valuation'!$O$10:$X$17,MATCH($D505,'4. Valuation'!$O$10:$O$17,0),MATCH($R$25,'4. Valuation'!$O$10:$X$10,0)),0)</f>
        <v>0</v>
      </c>
      <c r="S505" s="312">
        <f>IFERROR(INDEX('4. Valuation'!$O$10:$X$17,MATCH($D505,'4. Valuation'!$O$10:$O$17,0),MATCH($S$25,'4. Valuation'!$O$10:$X$10,0)),0)</f>
        <v>0</v>
      </c>
      <c r="T505" s="312" t="str">
        <f>IFERROR(INDEX('4. Valuation'!$O$10:$X$17,MATCH($D505,'4. Valuation'!$O$10:$O$17,0),MATCH($T$25,'4. Valuation'!$O$10:$X$10,0)),0)</f>
        <v>-</v>
      </c>
      <c r="U505" s="278"/>
      <c r="V505" s="312">
        <f t="shared" si="94"/>
        <v>0</v>
      </c>
      <c r="W505" s="312">
        <f t="shared" si="95"/>
        <v>0</v>
      </c>
      <c r="X505" s="312">
        <f t="shared" si="96"/>
        <v>0</v>
      </c>
      <c r="Y505" s="278"/>
      <c r="Z505" s="312">
        <f t="shared" si="97"/>
        <v>0</v>
      </c>
      <c r="AA505" s="312">
        <f>'3. GRI Pricing'!Y496</f>
        <v>0</v>
      </c>
      <c r="AB505" s="359">
        <f t="shared" si="98"/>
        <v>0</v>
      </c>
    </row>
    <row r="506" spans="3:28" s="30" customFormat="1" ht="12" x14ac:dyDescent="0.2">
      <c r="C506" s="77">
        <f>'1. Accomodation'!N501</f>
        <v>0</v>
      </c>
      <c r="D506" s="77">
        <f>'1. Accomodation'!P501</f>
        <v>0</v>
      </c>
      <c r="E506" s="77">
        <f>'1. Accomodation'!O501</f>
        <v>0</v>
      </c>
      <c r="G506" s="341">
        <f>IFERROR(INDEX('4. Valuation'!$C$10:$I$17,MATCH($D506,'4. Valuation'!$C$10:$C$17,0),MATCH($G$25,'4. Valuation'!$C$10:$I$10,0)),0)</f>
        <v>0</v>
      </c>
      <c r="H506" s="273">
        <f>IFERROR(INDEX('4. Valuation'!$C$10:$I$17,MATCH($D506,'4. Valuation'!$C$10:$C$17,0),MATCH($H$25,'4. Valuation'!$C$10:$I$10,0)),0)</f>
        <v>0</v>
      </c>
      <c r="I506" s="359" t="str">
        <f>IFERROR(INDEX('4. Valuation'!$C$10:$I$17,MATCH($D506,'4. Valuation'!$C$10:$C$17,0),MATCH($I$25,'4. Valuation'!$C$10:$I$10,0)),0)</f>
        <v>-</v>
      </c>
      <c r="J506" s="277"/>
      <c r="K506" s="312">
        <f t="shared" si="91"/>
        <v>0</v>
      </c>
      <c r="L506" s="312">
        <f t="shared" si="92"/>
        <v>0</v>
      </c>
      <c r="M506" s="359">
        <f t="shared" si="93"/>
        <v>0</v>
      </c>
      <c r="N506" s="278"/>
      <c r="O506" s="278"/>
      <c r="P506" s="278"/>
      <c r="Q506" s="278"/>
      <c r="R506" s="312">
        <f>IFERROR(INDEX('4. Valuation'!$O$10:$X$17,MATCH($D506,'4. Valuation'!$O$10:$O$17,0),MATCH($R$25,'4. Valuation'!$O$10:$X$10,0)),0)</f>
        <v>0</v>
      </c>
      <c r="S506" s="312">
        <f>IFERROR(INDEX('4. Valuation'!$O$10:$X$17,MATCH($D506,'4. Valuation'!$O$10:$O$17,0),MATCH($S$25,'4. Valuation'!$O$10:$X$10,0)),0)</f>
        <v>0</v>
      </c>
      <c r="T506" s="312" t="str">
        <f>IFERROR(INDEX('4. Valuation'!$O$10:$X$17,MATCH($D506,'4. Valuation'!$O$10:$O$17,0),MATCH($T$25,'4. Valuation'!$O$10:$X$10,0)),0)</f>
        <v>-</v>
      </c>
      <c r="U506" s="278"/>
      <c r="V506" s="312">
        <f t="shared" si="94"/>
        <v>0</v>
      </c>
      <c r="W506" s="312">
        <f t="shared" si="95"/>
        <v>0</v>
      </c>
      <c r="X506" s="312">
        <f t="shared" si="96"/>
        <v>0</v>
      </c>
      <c r="Y506" s="278"/>
      <c r="Z506" s="312">
        <f t="shared" si="97"/>
        <v>0</v>
      </c>
      <c r="AA506" s="312">
        <f>'3. GRI Pricing'!Y497</f>
        <v>0</v>
      </c>
      <c r="AB506" s="359">
        <f t="shared" si="98"/>
        <v>0</v>
      </c>
    </row>
    <row r="507" spans="3:28" s="30" customFormat="1" ht="12" x14ac:dyDescent="0.2">
      <c r="C507" s="77">
        <f>'1. Accomodation'!N502</f>
        <v>0</v>
      </c>
      <c r="D507" s="77">
        <f>'1. Accomodation'!P502</f>
        <v>0</v>
      </c>
      <c r="E507" s="77">
        <f>'1. Accomodation'!O502</f>
        <v>0</v>
      </c>
      <c r="G507" s="341">
        <f>IFERROR(INDEX('4. Valuation'!$C$10:$I$17,MATCH($D507,'4. Valuation'!$C$10:$C$17,0),MATCH($G$25,'4. Valuation'!$C$10:$I$10,0)),0)</f>
        <v>0</v>
      </c>
      <c r="H507" s="273">
        <f>IFERROR(INDEX('4. Valuation'!$C$10:$I$17,MATCH($D507,'4. Valuation'!$C$10:$C$17,0),MATCH($H$25,'4. Valuation'!$C$10:$I$10,0)),0)</f>
        <v>0</v>
      </c>
      <c r="I507" s="359" t="str">
        <f>IFERROR(INDEX('4. Valuation'!$C$10:$I$17,MATCH($D507,'4. Valuation'!$C$10:$C$17,0),MATCH($I$25,'4. Valuation'!$C$10:$I$10,0)),0)</f>
        <v>-</v>
      </c>
      <c r="J507" s="277"/>
      <c r="K507" s="312">
        <f t="shared" si="91"/>
        <v>0</v>
      </c>
      <c r="L507" s="312">
        <f t="shared" si="92"/>
        <v>0</v>
      </c>
      <c r="M507" s="359">
        <f t="shared" si="93"/>
        <v>0</v>
      </c>
      <c r="N507" s="278"/>
      <c r="O507" s="278"/>
      <c r="P507" s="278"/>
      <c r="Q507" s="278"/>
      <c r="R507" s="312">
        <f>IFERROR(INDEX('4. Valuation'!$O$10:$X$17,MATCH($D507,'4. Valuation'!$O$10:$O$17,0),MATCH($R$25,'4. Valuation'!$O$10:$X$10,0)),0)</f>
        <v>0</v>
      </c>
      <c r="S507" s="312">
        <f>IFERROR(INDEX('4. Valuation'!$O$10:$X$17,MATCH($D507,'4. Valuation'!$O$10:$O$17,0),MATCH($S$25,'4. Valuation'!$O$10:$X$10,0)),0)</f>
        <v>0</v>
      </c>
      <c r="T507" s="312" t="str">
        <f>IFERROR(INDEX('4. Valuation'!$O$10:$X$17,MATCH($D507,'4. Valuation'!$O$10:$O$17,0),MATCH($T$25,'4. Valuation'!$O$10:$X$10,0)),0)</f>
        <v>-</v>
      </c>
      <c r="U507" s="278"/>
      <c r="V507" s="312">
        <f t="shared" si="94"/>
        <v>0</v>
      </c>
      <c r="W507" s="312">
        <f t="shared" si="95"/>
        <v>0</v>
      </c>
      <c r="X507" s="312">
        <f t="shared" si="96"/>
        <v>0</v>
      </c>
      <c r="Y507" s="278"/>
      <c r="Z507" s="312">
        <f t="shared" si="97"/>
        <v>0</v>
      </c>
      <c r="AA507" s="312">
        <f>'3. GRI Pricing'!Y498</f>
        <v>0</v>
      </c>
      <c r="AB507" s="359">
        <f t="shared" si="98"/>
        <v>0</v>
      </c>
    </row>
    <row r="508" spans="3:28" s="30" customFormat="1" ht="12" x14ac:dyDescent="0.2">
      <c r="C508" s="77">
        <f>'1. Accomodation'!N503</f>
        <v>0</v>
      </c>
      <c r="D508" s="77">
        <f>'1. Accomodation'!P503</f>
        <v>0</v>
      </c>
      <c r="E508" s="77">
        <f>'1. Accomodation'!O503</f>
        <v>0</v>
      </c>
      <c r="G508" s="341">
        <f>IFERROR(INDEX('4. Valuation'!$C$10:$I$17,MATCH($D508,'4. Valuation'!$C$10:$C$17,0),MATCH($G$25,'4. Valuation'!$C$10:$I$10,0)),0)</f>
        <v>0</v>
      </c>
      <c r="H508" s="273">
        <f>IFERROR(INDEX('4. Valuation'!$C$10:$I$17,MATCH($D508,'4. Valuation'!$C$10:$C$17,0),MATCH($H$25,'4. Valuation'!$C$10:$I$10,0)),0)</f>
        <v>0</v>
      </c>
      <c r="I508" s="359" t="str">
        <f>IFERROR(INDEX('4. Valuation'!$C$10:$I$17,MATCH($D508,'4. Valuation'!$C$10:$C$17,0),MATCH($I$25,'4. Valuation'!$C$10:$I$10,0)),0)</f>
        <v>-</v>
      </c>
      <c r="J508" s="277"/>
      <c r="K508" s="312">
        <f t="shared" si="91"/>
        <v>0</v>
      </c>
      <c r="L508" s="312">
        <f t="shared" si="92"/>
        <v>0</v>
      </c>
      <c r="M508" s="359">
        <f t="shared" si="93"/>
        <v>0</v>
      </c>
      <c r="N508" s="278"/>
      <c r="O508" s="278"/>
      <c r="P508" s="278"/>
      <c r="Q508" s="278"/>
      <c r="R508" s="312">
        <f>IFERROR(INDEX('4. Valuation'!$O$10:$X$17,MATCH($D508,'4. Valuation'!$O$10:$O$17,0),MATCH($R$25,'4. Valuation'!$O$10:$X$10,0)),0)</f>
        <v>0</v>
      </c>
      <c r="S508" s="312">
        <f>IFERROR(INDEX('4. Valuation'!$O$10:$X$17,MATCH($D508,'4. Valuation'!$O$10:$O$17,0),MATCH($S$25,'4. Valuation'!$O$10:$X$10,0)),0)</f>
        <v>0</v>
      </c>
      <c r="T508" s="312" t="str">
        <f>IFERROR(INDEX('4. Valuation'!$O$10:$X$17,MATCH($D508,'4. Valuation'!$O$10:$O$17,0),MATCH($T$25,'4. Valuation'!$O$10:$X$10,0)),0)</f>
        <v>-</v>
      </c>
      <c r="U508" s="278"/>
      <c r="V508" s="312">
        <f t="shared" si="94"/>
        <v>0</v>
      </c>
      <c r="W508" s="312">
        <f t="shared" si="95"/>
        <v>0</v>
      </c>
      <c r="X508" s="312">
        <f t="shared" si="96"/>
        <v>0</v>
      </c>
      <c r="Y508" s="278"/>
      <c r="Z508" s="312">
        <f t="shared" si="97"/>
        <v>0</v>
      </c>
      <c r="AA508" s="312">
        <f>'3. GRI Pricing'!Y499</f>
        <v>0</v>
      </c>
      <c r="AB508" s="359">
        <f t="shared" si="98"/>
        <v>0</v>
      </c>
    </row>
    <row r="509" spans="3:28" s="30" customFormat="1" ht="12" x14ac:dyDescent="0.2">
      <c r="C509" s="77">
        <f>'1. Accomodation'!N504</f>
        <v>0</v>
      </c>
      <c r="D509" s="77">
        <f>'1. Accomodation'!P504</f>
        <v>0</v>
      </c>
      <c r="E509" s="77">
        <f>'1. Accomodation'!O504</f>
        <v>0</v>
      </c>
      <c r="G509" s="341">
        <f>IFERROR(INDEX('4. Valuation'!$C$10:$I$17,MATCH($D509,'4. Valuation'!$C$10:$C$17,0),MATCH($G$25,'4. Valuation'!$C$10:$I$10,0)),0)</f>
        <v>0</v>
      </c>
      <c r="H509" s="273">
        <f>IFERROR(INDEX('4. Valuation'!$C$10:$I$17,MATCH($D509,'4. Valuation'!$C$10:$C$17,0),MATCH($H$25,'4. Valuation'!$C$10:$I$10,0)),0)</f>
        <v>0</v>
      </c>
      <c r="I509" s="359" t="str">
        <f>IFERROR(INDEX('4. Valuation'!$C$10:$I$17,MATCH($D509,'4. Valuation'!$C$10:$C$17,0),MATCH($I$25,'4. Valuation'!$C$10:$I$10,0)),0)</f>
        <v>-</v>
      </c>
      <c r="J509" s="277"/>
      <c r="K509" s="312">
        <f t="shared" si="91"/>
        <v>0</v>
      </c>
      <c r="L509" s="312">
        <f t="shared" si="92"/>
        <v>0</v>
      </c>
      <c r="M509" s="359">
        <f t="shared" si="93"/>
        <v>0</v>
      </c>
      <c r="N509" s="278"/>
      <c r="O509" s="278"/>
      <c r="P509" s="278"/>
      <c r="Q509" s="278"/>
      <c r="R509" s="312">
        <f>IFERROR(INDEX('4. Valuation'!$O$10:$X$17,MATCH($D509,'4. Valuation'!$O$10:$O$17,0),MATCH($R$25,'4. Valuation'!$O$10:$X$10,0)),0)</f>
        <v>0</v>
      </c>
      <c r="S509" s="312">
        <f>IFERROR(INDEX('4. Valuation'!$O$10:$X$17,MATCH($D509,'4. Valuation'!$O$10:$O$17,0),MATCH($S$25,'4. Valuation'!$O$10:$X$10,0)),0)</f>
        <v>0</v>
      </c>
      <c r="T509" s="312" t="str">
        <f>IFERROR(INDEX('4. Valuation'!$O$10:$X$17,MATCH($D509,'4. Valuation'!$O$10:$O$17,0),MATCH($T$25,'4. Valuation'!$O$10:$X$10,0)),0)</f>
        <v>-</v>
      </c>
      <c r="U509" s="278"/>
      <c r="V509" s="312">
        <f t="shared" si="94"/>
        <v>0</v>
      </c>
      <c r="W509" s="312">
        <f t="shared" si="95"/>
        <v>0</v>
      </c>
      <c r="X509" s="312">
        <f t="shared" si="96"/>
        <v>0</v>
      </c>
      <c r="Y509" s="278"/>
      <c r="Z509" s="312">
        <f t="shared" si="97"/>
        <v>0</v>
      </c>
      <c r="AA509" s="312">
        <f>'3. GRI Pricing'!Y500</f>
        <v>0</v>
      </c>
      <c r="AB509" s="359">
        <f t="shared" si="98"/>
        <v>0</v>
      </c>
    </row>
    <row r="510" spans="3:28" s="30" customFormat="1" ht="12" x14ac:dyDescent="0.2">
      <c r="C510" s="77">
        <f>'1. Accomodation'!N505</f>
        <v>0</v>
      </c>
      <c r="D510" s="77">
        <f>'1. Accomodation'!P505</f>
        <v>0</v>
      </c>
      <c r="E510" s="77">
        <f>'1. Accomodation'!O505</f>
        <v>0</v>
      </c>
      <c r="G510" s="341">
        <f>IFERROR(INDEX('4. Valuation'!$C$10:$I$17,MATCH($D510,'4. Valuation'!$C$10:$C$17,0),MATCH($G$25,'4. Valuation'!$C$10:$I$10,0)),0)</f>
        <v>0</v>
      </c>
      <c r="H510" s="273">
        <f>IFERROR(INDEX('4. Valuation'!$C$10:$I$17,MATCH($D510,'4. Valuation'!$C$10:$C$17,0),MATCH($H$25,'4. Valuation'!$C$10:$I$10,0)),0)</f>
        <v>0</v>
      </c>
      <c r="I510" s="359" t="str">
        <f>IFERROR(INDEX('4. Valuation'!$C$10:$I$17,MATCH($D510,'4. Valuation'!$C$10:$C$17,0),MATCH($I$25,'4. Valuation'!$C$10:$I$10,0)),0)</f>
        <v>-</v>
      </c>
      <c r="J510" s="277"/>
      <c r="K510" s="312">
        <f t="shared" si="91"/>
        <v>0</v>
      </c>
      <c r="L510" s="312">
        <f t="shared" si="92"/>
        <v>0</v>
      </c>
      <c r="M510" s="359">
        <f t="shared" si="93"/>
        <v>0</v>
      </c>
      <c r="N510" s="278"/>
      <c r="O510" s="278"/>
      <c r="P510" s="278"/>
      <c r="Q510" s="278"/>
      <c r="R510" s="312">
        <f>IFERROR(INDEX('4. Valuation'!$O$10:$X$17,MATCH($D510,'4. Valuation'!$O$10:$O$17,0),MATCH($R$25,'4. Valuation'!$O$10:$X$10,0)),0)</f>
        <v>0</v>
      </c>
      <c r="S510" s="312">
        <f>IFERROR(INDEX('4. Valuation'!$O$10:$X$17,MATCH($D510,'4. Valuation'!$O$10:$O$17,0),MATCH($S$25,'4. Valuation'!$O$10:$X$10,0)),0)</f>
        <v>0</v>
      </c>
      <c r="T510" s="312" t="str">
        <f>IFERROR(INDEX('4. Valuation'!$O$10:$X$17,MATCH($D510,'4. Valuation'!$O$10:$O$17,0),MATCH($T$25,'4. Valuation'!$O$10:$X$10,0)),0)</f>
        <v>-</v>
      </c>
      <c r="U510" s="278"/>
      <c r="V510" s="312">
        <f t="shared" si="94"/>
        <v>0</v>
      </c>
      <c r="W510" s="312">
        <f t="shared" si="95"/>
        <v>0</v>
      </c>
      <c r="X510" s="312">
        <f t="shared" si="96"/>
        <v>0</v>
      </c>
      <c r="Y510" s="278"/>
      <c r="Z510" s="312">
        <f t="shared" si="97"/>
        <v>0</v>
      </c>
      <c r="AA510" s="312">
        <f>'3. GRI Pricing'!Y501</f>
        <v>0</v>
      </c>
      <c r="AB510" s="359">
        <f t="shared" si="98"/>
        <v>0</v>
      </c>
    </row>
    <row r="511" spans="3:28" s="30" customFormat="1" ht="12" x14ac:dyDescent="0.2">
      <c r="C511" s="77">
        <f>'1. Accomodation'!N506</f>
        <v>0</v>
      </c>
      <c r="D511" s="77">
        <f>'1. Accomodation'!P506</f>
        <v>0</v>
      </c>
      <c r="E511" s="77">
        <f>'1. Accomodation'!O506</f>
        <v>0</v>
      </c>
      <c r="G511" s="341">
        <f>IFERROR(INDEX('4. Valuation'!$C$10:$I$17,MATCH($D511,'4. Valuation'!$C$10:$C$17,0),MATCH($G$25,'4. Valuation'!$C$10:$I$10,0)),0)</f>
        <v>0</v>
      </c>
      <c r="H511" s="273">
        <f>IFERROR(INDEX('4. Valuation'!$C$10:$I$17,MATCH($D511,'4. Valuation'!$C$10:$C$17,0),MATCH($H$25,'4. Valuation'!$C$10:$I$10,0)),0)</f>
        <v>0</v>
      </c>
      <c r="I511" s="359" t="str">
        <f>IFERROR(INDEX('4. Valuation'!$C$10:$I$17,MATCH($D511,'4. Valuation'!$C$10:$C$17,0),MATCH($I$25,'4. Valuation'!$C$10:$I$10,0)),0)</f>
        <v>-</v>
      </c>
      <c r="J511" s="277"/>
      <c r="K511" s="312">
        <f t="shared" si="91"/>
        <v>0</v>
      </c>
      <c r="L511" s="312">
        <f t="shared" si="92"/>
        <v>0</v>
      </c>
      <c r="M511" s="359">
        <f t="shared" si="93"/>
        <v>0</v>
      </c>
      <c r="N511" s="278"/>
      <c r="O511" s="278"/>
      <c r="P511" s="278"/>
      <c r="Q511" s="278"/>
      <c r="R511" s="312">
        <f>IFERROR(INDEX('4. Valuation'!$O$10:$X$17,MATCH($D511,'4. Valuation'!$O$10:$O$17,0),MATCH($R$25,'4. Valuation'!$O$10:$X$10,0)),0)</f>
        <v>0</v>
      </c>
      <c r="S511" s="312">
        <f>IFERROR(INDEX('4. Valuation'!$O$10:$X$17,MATCH($D511,'4. Valuation'!$O$10:$O$17,0),MATCH($S$25,'4. Valuation'!$O$10:$X$10,0)),0)</f>
        <v>0</v>
      </c>
      <c r="T511" s="312" t="str">
        <f>IFERROR(INDEX('4. Valuation'!$O$10:$X$17,MATCH($D511,'4. Valuation'!$O$10:$O$17,0),MATCH($T$25,'4. Valuation'!$O$10:$X$10,0)),0)</f>
        <v>-</v>
      </c>
      <c r="U511" s="278"/>
      <c r="V511" s="312">
        <f t="shared" si="94"/>
        <v>0</v>
      </c>
      <c r="W511" s="312">
        <f t="shared" si="95"/>
        <v>0</v>
      </c>
      <c r="X511" s="312">
        <f t="shared" si="96"/>
        <v>0</v>
      </c>
      <c r="Y511" s="278"/>
      <c r="Z511" s="312">
        <f t="shared" si="97"/>
        <v>0</v>
      </c>
      <c r="AA511" s="312">
        <f>'3. GRI Pricing'!Y502</f>
        <v>0</v>
      </c>
      <c r="AB511" s="359">
        <f t="shared" si="98"/>
        <v>0</v>
      </c>
    </row>
    <row r="512" spans="3:28" s="30" customFormat="1" ht="12" x14ac:dyDescent="0.2">
      <c r="C512" s="77">
        <f>'1. Accomodation'!N507</f>
        <v>0</v>
      </c>
      <c r="D512" s="77">
        <f>'1. Accomodation'!P507</f>
        <v>0</v>
      </c>
      <c r="E512" s="77">
        <f>'1. Accomodation'!O507</f>
        <v>0</v>
      </c>
      <c r="G512" s="341">
        <f>IFERROR(INDEX('4. Valuation'!$C$10:$I$17,MATCH($D512,'4. Valuation'!$C$10:$C$17,0),MATCH($G$25,'4. Valuation'!$C$10:$I$10,0)),0)</f>
        <v>0</v>
      </c>
      <c r="H512" s="273">
        <f>IFERROR(INDEX('4. Valuation'!$C$10:$I$17,MATCH($D512,'4. Valuation'!$C$10:$C$17,0),MATCH($H$25,'4. Valuation'!$C$10:$I$10,0)),0)</f>
        <v>0</v>
      </c>
      <c r="I512" s="359" t="str">
        <f>IFERROR(INDEX('4. Valuation'!$C$10:$I$17,MATCH($D512,'4. Valuation'!$C$10:$C$17,0),MATCH($I$25,'4. Valuation'!$C$10:$I$10,0)),0)</f>
        <v>-</v>
      </c>
      <c r="J512" s="277"/>
      <c r="K512" s="312">
        <f t="shared" si="91"/>
        <v>0</v>
      </c>
      <c r="L512" s="312">
        <f t="shared" si="92"/>
        <v>0</v>
      </c>
      <c r="M512" s="359">
        <f t="shared" si="93"/>
        <v>0</v>
      </c>
      <c r="N512" s="278"/>
      <c r="O512" s="278"/>
      <c r="P512" s="278"/>
      <c r="Q512" s="278"/>
      <c r="R512" s="312">
        <f>IFERROR(INDEX('4. Valuation'!$O$10:$X$17,MATCH($D512,'4. Valuation'!$O$10:$O$17,0),MATCH($R$25,'4. Valuation'!$O$10:$X$10,0)),0)</f>
        <v>0</v>
      </c>
      <c r="S512" s="312">
        <f>IFERROR(INDEX('4. Valuation'!$O$10:$X$17,MATCH($D512,'4. Valuation'!$O$10:$O$17,0),MATCH($S$25,'4. Valuation'!$O$10:$X$10,0)),0)</f>
        <v>0</v>
      </c>
      <c r="T512" s="312" t="str">
        <f>IFERROR(INDEX('4. Valuation'!$O$10:$X$17,MATCH($D512,'4. Valuation'!$O$10:$O$17,0),MATCH($T$25,'4. Valuation'!$O$10:$X$10,0)),0)</f>
        <v>-</v>
      </c>
      <c r="U512" s="278"/>
      <c r="V512" s="312">
        <f t="shared" si="94"/>
        <v>0</v>
      </c>
      <c r="W512" s="312">
        <f t="shared" si="95"/>
        <v>0</v>
      </c>
      <c r="X512" s="312">
        <f t="shared" si="96"/>
        <v>0</v>
      </c>
      <c r="Y512" s="278"/>
      <c r="Z512" s="312">
        <f t="shared" si="97"/>
        <v>0</v>
      </c>
      <c r="AA512" s="312">
        <f>'3. GRI Pricing'!Y503</f>
        <v>0</v>
      </c>
      <c r="AB512" s="359">
        <f t="shared" si="98"/>
        <v>0</v>
      </c>
    </row>
    <row r="513" spans="3:28" s="30" customFormat="1" ht="12" x14ac:dyDescent="0.2">
      <c r="C513" s="77">
        <f>'1. Accomodation'!N508</f>
        <v>0</v>
      </c>
      <c r="D513" s="77">
        <f>'1. Accomodation'!P508</f>
        <v>0</v>
      </c>
      <c r="E513" s="77">
        <f>'1. Accomodation'!O508</f>
        <v>0</v>
      </c>
      <c r="G513" s="341">
        <f>IFERROR(INDEX('4. Valuation'!$C$10:$I$17,MATCH($D513,'4. Valuation'!$C$10:$C$17,0),MATCH($G$25,'4. Valuation'!$C$10:$I$10,0)),0)</f>
        <v>0</v>
      </c>
      <c r="H513" s="273">
        <f>IFERROR(INDEX('4. Valuation'!$C$10:$I$17,MATCH($D513,'4. Valuation'!$C$10:$C$17,0),MATCH($H$25,'4. Valuation'!$C$10:$I$10,0)),0)</f>
        <v>0</v>
      </c>
      <c r="I513" s="359" t="str">
        <f>IFERROR(INDEX('4. Valuation'!$C$10:$I$17,MATCH($D513,'4. Valuation'!$C$10:$C$17,0),MATCH($I$25,'4. Valuation'!$C$10:$I$10,0)),0)</f>
        <v>-</v>
      </c>
      <c r="J513" s="277"/>
      <c r="K513" s="312">
        <f t="shared" si="91"/>
        <v>0</v>
      </c>
      <c r="L513" s="312">
        <f t="shared" si="92"/>
        <v>0</v>
      </c>
      <c r="M513" s="359">
        <f t="shared" si="93"/>
        <v>0</v>
      </c>
      <c r="N513" s="278"/>
      <c r="O513" s="278"/>
      <c r="P513" s="278"/>
      <c r="Q513" s="278"/>
      <c r="R513" s="312">
        <f>IFERROR(INDEX('4. Valuation'!$O$10:$X$17,MATCH($D513,'4. Valuation'!$O$10:$O$17,0),MATCH($R$25,'4. Valuation'!$O$10:$X$10,0)),0)</f>
        <v>0</v>
      </c>
      <c r="S513" s="312">
        <f>IFERROR(INDEX('4. Valuation'!$O$10:$X$17,MATCH($D513,'4. Valuation'!$O$10:$O$17,0),MATCH($S$25,'4. Valuation'!$O$10:$X$10,0)),0)</f>
        <v>0</v>
      </c>
      <c r="T513" s="312" t="str">
        <f>IFERROR(INDEX('4. Valuation'!$O$10:$X$17,MATCH($D513,'4. Valuation'!$O$10:$O$17,0),MATCH($T$25,'4. Valuation'!$O$10:$X$10,0)),0)</f>
        <v>-</v>
      </c>
      <c r="U513" s="278"/>
      <c r="V513" s="312">
        <f t="shared" si="94"/>
        <v>0</v>
      </c>
      <c r="W513" s="312">
        <f t="shared" si="95"/>
        <v>0</v>
      </c>
      <c r="X513" s="312">
        <f t="shared" si="96"/>
        <v>0</v>
      </c>
      <c r="Y513" s="278"/>
      <c r="Z513" s="312">
        <f t="shared" si="97"/>
        <v>0</v>
      </c>
      <c r="AA513" s="312">
        <f>'3. GRI Pricing'!Y504</f>
        <v>0</v>
      </c>
      <c r="AB513" s="359">
        <f t="shared" si="98"/>
        <v>0</v>
      </c>
    </row>
    <row r="514" spans="3:28" s="30" customFormat="1" ht="12" x14ac:dyDescent="0.2">
      <c r="C514" s="77">
        <f>'1. Accomodation'!N509</f>
        <v>0</v>
      </c>
      <c r="D514" s="77">
        <f>'1. Accomodation'!P509</f>
        <v>0</v>
      </c>
      <c r="E514" s="77">
        <f>'1. Accomodation'!O509</f>
        <v>0</v>
      </c>
      <c r="G514" s="341">
        <f>IFERROR(INDEX('4. Valuation'!$C$10:$I$17,MATCH($D514,'4. Valuation'!$C$10:$C$17,0),MATCH($G$25,'4. Valuation'!$C$10:$I$10,0)),0)</f>
        <v>0</v>
      </c>
      <c r="H514" s="273">
        <f>IFERROR(INDEX('4. Valuation'!$C$10:$I$17,MATCH($D514,'4. Valuation'!$C$10:$C$17,0),MATCH($H$25,'4. Valuation'!$C$10:$I$10,0)),0)</f>
        <v>0</v>
      </c>
      <c r="I514" s="359" t="str">
        <f>IFERROR(INDEX('4. Valuation'!$C$10:$I$17,MATCH($D514,'4. Valuation'!$C$10:$C$17,0),MATCH($I$25,'4. Valuation'!$C$10:$I$10,0)),0)</f>
        <v>-</v>
      </c>
      <c r="J514" s="277"/>
      <c r="K514" s="312">
        <f t="shared" si="91"/>
        <v>0</v>
      </c>
      <c r="L514" s="312">
        <f t="shared" si="92"/>
        <v>0</v>
      </c>
      <c r="M514" s="359">
        <f t="shared" si="93"/>
        <v>0</v>
      </c>
      <c r="N514" s="278"/>
      <c r="O514" s="278"/>
      <c r="P514" s="278"/>
      <c r="Q514" s="278"/>
      <c r="R514" s="312">
        <f>IFERROR(INDEX('4. Valuation'!$O$10:$X$17,MATCH($D514,'4. Valuation'!$O$10:$O$17,0),MATCH($R$25,'4. Valuation'!$O$10:$X$10,0)),0)</f>
        <v>0</v>
      </c>
      <c r="S514" s="312">
        <f>IFERROR(INDEX('4. Valuation'!$O$10:$X$17,MATCH($D514,'4. Valuation'!$O$10:$O$17,0),MATCH($S$25,'4. Valuation'!$O$10:$X$10,0)),0)</f>
        <v>0</v>
      </c>
      <c r="T514" s="312" t="str">
        <f>IFERROR(INDEX('4. Valuation'!$O$10:$X$17,MATCH($D514,'4. Valuation'!$O$10:$O$17,0),MATCH($T$25,'4. Valuation'!$O$10:$X$10,0)),0)</f>
        <v>-</v>
      </c>
      <c r="U514" s="278"/>
      <c r="V514" s="312">
        <f t="shared" si="94"/>
        <v>0</v>
      </c>
      <c r="W514" s="312">
        <f t="shared" si="95"/>
        <v>0</v>
      </c>
      <c r="X514" s="312">
        <f t="shared" si="96"/>
        <v>0</v>
      </c>
      <c r="Y514" s="278"/>
      <c r="Z514" s="312">
        <f t="shared" si="97"/>
        <v>0</v>
      </c>
      <c r="AA514" s="312">
        <f>'3. GRI Pricing'!Y505</f>
        <v>0</v>
      </c>
      <c r="AB514" s="359">
        <f t="shared" si="98"/>
        <v>0</v>
      </c>
    </row>
    <row r="515" spans="3:28" s="30" customFormat="1" ht="12" x14ac:dyDescent="0.2">
      <c r="C515" s="77">
        <f>'1. Accomodation'!N510</f>
        <v>0</v>
      </c>
      <c r="D515" s="77">
        <f>'1. Accomodation'!P510</f>
        <v>0</v>
      </c>
      <c r="E515" s="77">
        <f>'1. Accomodation'!O510</f>
        <v>0</v>
      </c>
      <c r="G515" s="341">
        <f>IFERROR(INDEX('4. Valuation'!$C$10:$I$17,MATCH($D515,'4. Valuation'!$C$10:$C$17,0),MATCH($G$25,'4. Valuation'!$C$10:$I$10,0)),0)</f>
        <v>0</v>
      </c>
      <c r="H515" s="273">
        <f>IFERROR(INDEX('4. Valuation'!$C$10:$I$17,MATCH($D515,'4. Valuation'!$C$10:$C$17,0),MATCH($H$25,'4. Valuation'!$C$10:$I$10,0)),0)</f>
        <v>0</v>
      </c>
      <c r="I515" s="359" t="str">
        <f>IFERROR(INDEX('4. Valuation'!$C$10:$I$17,MATCH($D515,'4. Valuation'!$C$10:$C$17,0),MATCH($I$25,'4. Valuation'!$C$10:$I$10,0)),0)</f>
        <v>-</v>
      </c>
      <c r="J515" s="277"/>
      <c r="K515" s="312">
        <f t="shared" si="91"/>
        <v>0</v>
      </c>
      <c r="L515" s="312">
        <f t="shared" si="92"/>
        <v>0</v>
      </c>
      <c r="M515" s="359">
        <f t="shared" si="93"/>
        <v>0</v>
      </c>
      <c r="N515" s="278"/>
      <c r="O515" s="278"/>
      <c r="P515" s="278"/>
      <c r="Q515" s="278"/>
      <c r="R515" s="312">
        <f>IFERROR(INDEX('4. Valuation'!$O$10:$X$17,MATCH($D515,'4. Valuation'!$O$10:$O$17,0),MATCH($R$25,'4. Valuation'!$O$10:$X$10,0)),0)</f>
        <v>0</v>
      </c>
      <c r="S515" s="312">
        <f>IFERROR(INDEX('4. Valuation'!$O$10:$X$17,MATCH($D515,'4. Valuation'!$O$10:$O$17,0),MATCH($S$25,'4. Valuation'!$O$10:$X$10,0)),0)</f>
        <v>0</v>
      </c>
      <c r="T515" s="312" t="str">
        <f>IFERROR(INDEX('4. Valuation'!$O$10:$X$17,MATCH($D515,'4. Valuation'!$O$10:$O$17,0),MATCH($T$25,'4. Valuation'!$O$10:$X$10,0)),0)</f>
        <v>-</v>
      </c>
      <c r="U515" s="278"/>
      <c r="V515" s="312">
        <f t="shared" si="94"/>
        <v>0</v>
      </c>
      <c r="W515" s="312">
        <f t="shared" si="95"/>
        <v>0</v>
      </c>
      <c r="X515" s="312">
        <f t="shared" si="96"/>
        <v>0</v>
      </c>
      <c r="Y515" s="278"/>
      <c r="Z515" s="312">
        <f t="shared" si="97"/>
        <v>0</v>
      </c>
      <c r="AA515" s="312">
        <f>'3. GRI Pricing'!Y506</f>
        <v>0</v>
      </c>
      <c r="AB515" s="359">
        <f t="shared" si="98"/>
        <v>0</v>
      </c>
    </row>
    <row r="516" spans="3:28" s="30" customFormat="1" ht="12" x14ac:dyDescent="0.2">
      <c r="C516" s="77">
        <f>'1. Accomodation'!N511</f>
        <v>0</v>
      </c>
      <c r="D516" s="77">
        <f>'1. Accomodation'!P511</f>
        <v>0</v>
      </c>
      <c r="E516" s="77">
        <f>'1. Accomodation'!O511</f>
        <v>0</v>
      </c>
      <c r="G516" s="341">
        <f>IFERROR(INDEX('4. Valuation'!$C$10:$I$17,MATCH($D516,'4. Valuation'!$C$10:$C$17,0),MATCH($G$25,'4. Valuation'!$C$10:$I$10,0)),0)</f>
        <v>0</v>
      </c>
      <c r="H516" s="273">
        <f>IFERROR(INDEX('4. Valuation'!$C$10:$I$17,MATCH($D516,'4. Valuation'!$C$10:$C$17,0),MATCH($H$25,'4. Valuation'!$C$10:$I$10,0)),0)</f>
        <v>0</v>
      </c>
      <c r="I516" s="359" t="str">
        <f>IFERROR(INDEX('4. Valuation'!$C$10:$I$17,MATCH($D516,'4. Valuation'!$C$10:$C$17,0),MATCH($I$25,'4. Valuation'!$C$10:$I$10,0)),0)</f>
        <v>-</v>
      </c>
      <c r="J516" s="277"/>
      <c r="K516" s="312">
        <f t="shared" si="91"/>
        <v>0</v>
      </c>
      <c r="L516" s="312">
        <f t="shared" si="92"/>
        <v>0</v>
      </c>
      <c r="M516" s="359">
        <f t="shared" si="93"/>
        <v>0</v>
      </c>
      <c r="N516" s="278"/>
      <c r="O516" s="278"/>
      <c r="P516" s="278"/>
      <c r="Q516" s="278"/>
      <c r="R516" s="312">
        <f>IFERROR(INDEX('4. Valuation'!$O$10:$X$17,MATCH($D516,'4. Valuation'!$O$10:$O$17,0),MATCH($R$25,'4. Valuation'!$O$10:$X$10,0)),0)</f>
        <v>0</v>
      </c>
      <c r="S516" s="312">
        <f>IFERROR(INDEX('4. Valuation'!$O$10:$X$17,MATCH($D516,'4. Valuation'!$O$10:$O$17,0),MATCH($S$25,'4. Valuation'!$O$10:$X$10,0)),0)</f>
        <v>0</v>
      </c>
      <c r="T516" s="312" t="str">
        <f>IFERROR(INDEX('4. Valuation'!$O$10:$X$17,MATCH($D516,'4. Valuation'!$O$10:$O$17,0),MATCH($T$25,'4. Valuation'!$O$10:$X$10,0)),0)</f>
        <v>-</v>
      </c>
      <c r="U516" s="278"/>
      <c r="V516" s="312">
        <f t="shared" si="94"/>
        <v>0</v>
      </c>
      <c r="W516" s="312">
        <f t="shared" si="95"/>
        <v>0</v>
      </c>
      <c r="X516" s="312">
        <f t="shared" si="96"/>
        <v>0</v>
      </c>
      <c r="Y516" s="278"/>
      <c r="Z516" s="312">
        <f t="shared" si="97"/>
        <v>0</v>
      </c>
      <c r="AA516" s="312">
        <f>'3. GRI Pricing'!Y507</f>
        <v>0</v>
      </c>
      <c r="AB516" s="359">
        <f t="shared" si="98"/>
        <v>0</v>
      </c>
    </row>
    <row r="517" spans="3:28" s="30" customFormat="1" ht="12" x14ac:dyDescent="0.2">
      <c r="C517" s="77">
        <f>'1. Accomodation'!N512</f>
        <v>0</v>
      </c>
      <c r="D517" s="77">
        <f>'1. Accomodation'!P512</f>
        <v>0</v>
      </c>
      <c r="E517" s="77">
        <f>'1. Accomodation'!O512</f>
        <v>0</v>
      </c>
      <c r="G517" s="341">
        <f>IFERROR(INDEX('4. Valuation'!$C$10:$I$17,MATCH($D517,'4. Valuation'!$C$10:$C$17,0),MATCH($G$25,'4. Valuation'!$C$10:$I$10,0)),0)</f>
        <v>0</v>
      </c>
      <c r="H517" s="273">
        <f>IFERROR(INDEX('4. Valuation'!$C$10:$I$17,MATCH($D517,'4. Valuation'!$C$10:$C$17,0),MATCH($H$25,'4. Valuation'!$C$10:$I$10,0)),0)</f>
        <v>0</v>
      </c>
      <c r="I517" s="359" t="str">
        <f>IFERROR(INDEX('4. Valuation'!$C$10:$I$17,MATCH($D517,'4. Valuation'!$C$10:$C$17,0),MATCH($I$25,'4. Valuation'!$C$10:$I$10,0)),0)</f>
        <v>-</v>
      </c>
      <c r="J517" s="277"/>
      <c r="K517" s="312">
        <f t="shared" si="91"/>
        <v>0</v>
      </c>
      <c r="L517" s="312">
        <f t="shared" si="92"/>
        <v>0</v>
      </c>
      <c r="M517" s="359">
        <f t="shared" si="93"/>
        <v>0</v>
      </c>
      <c r="N517" s="278"/>
      <c r="O517" s="278"/>
      <c r="P517" s="278"/>
      <c r="Q517" s="278"/>
      <c r="R517" s="312">
        <f>IFERROR(INDEX('4. Valuation'!$O$10:$X$17,MATCH($D517,'4. Valuation'!$O$10:$O$17,0),MATCH($R$25,'4. Valuation'!$O$10:$X$10,0)),0)</f>
        <v>0</v>
      </c>
      <c r="S517" s="312">
        <f>IFERROR(INDEX('4. Valuation'!$O$10:$X$17,MATCH($D517,'4. Valuation'!$O$10:$O$17,0),MATCH($S$25,'4. Valuation'!$O$10:$X$10,0)),0)</f>
        <v>0</v>
      </c>
      <c r="T517" s="312" t="str">
        <f>IFERROR(INDEX('4. Valuation'!$O$10:$X$17,MATCH($D517,'4. Valuation'!$O$10:$O$17,0),MATCH($T$25,'4. Valuation'!$O$10:$X$10,0)),0)</f>
        <v>-</v>
      </c>
      <c r="U517" s="278"/>
      <c r="V517" s="312">
        <f t="shared" si="94"/>
        <v>0</v>
      </c>
      <c r="W517" s="312">
        <f t="shared" si="95"/>
        <v>0</v>
      </c>
      <c r="X517" s="312">
        <f t="shared" si="96"/>
        <v>0</v>
      </c>
      <c r="Y517" s="278"/>
      <c r="Z517" s="312">
        <f t="shared" si="97"/>
        <v>0</v>
      </c>
      <c r="AA517" s="312">
        <f>'3. GRI Pricing'!Y508</f>
        <v>0</v>
      </c>
      <c r="AB517" s="359">
        <f t="shared" si="98"/>
        <v>0</v>
      </c>
    </row>
    <row r="518" spans="3:28" s="30" customFormat="1" ht="12" x14ac:dyDescent="0.2">
      <c r="C518" s="77">
        <f>'1. Accomodation'!N513</f>
        <v>0</v>
      </c>
      <c r="D518" s="77">
        <f>'1. Accomodation'!P513</f>
        <v>0</v>
      </c>
      <c r="E518" s="77">
        <f>'1. Accomodation'!O513</f>
        <v>0</v>
      </c>
      <c r="G518" s="341">
        <f>IFERROR(INDEX('4. Valuation'!$C$10:$I$17,MATCH($D518,'4. Valuation'!$C$10:$C$17,0),MATCH($G$25,'4. Valuation'!$C$10:$I$10,0)),0)</f>
        <v>0</v>
      </c>
      <c r="H518" s="273">
        <f>IFERROR(INDEX('4. Valuation'!$C$10:$I$17,MATCH($D518,'4. Valuation'!$C$10:$C$17,0),MATCH($H$25,'4. Valuation'!$C$10:$I$10,0)),0)</f>
        <v>0</v>
      </c>
      <c r="I518" s="359" t="str">
        <f>IFERROR(INDEX('4. Valuation'!$C$10:$I$17,MATCH($D518,'4. Valuation'!$C$10:$C$17,0),MATCH($I$25,'4. Valuation'!$C$10:$I$10,0)),0)</f>
        <v>-</v>
      </c>
      <c r="J518" s="277"/>
      <c r="K518" s="312">
        <f t="shared" si="91"/>
        <v>0</v>
      </c>
      <c r="L518" s="312">
        <f t="shared" si="92"/>
        <v>0</v>
      </c>
      <c r="M518" s="359">
        <f t="shared" si="93"/>
        <v>0</v>
      </c>
      <c r="N518" s="278"/>
      <c r="O518" s="278"/>
      <c r="P518" s="278"/>
      <c r="Q518" s="278"/>
      <c r="R518" s="312">
        <f>IFERROR(INDEX('4. Valuation'!$O$10:$X$17,MATCH($D518,'4. Valuation'!$O$10:$O$17,0),MATCH($R$25,'4. Valuation'!$O$10:$X$10,0)),0)</f>
        <v>0</v>
      </c>
      <c r="S518" s="312">
        <f>IFERROR(INDEX('4. Valuation'!$O$10:$X$17,MATCH($D518,'4. Valuation'!$O$10:$O$17,0),MATCH($S$25,'4. Valuation'!$O$10:$X$10,0)),0)</f>
        <v>0</v>
      </c>
      <c r="T518" s="312" t="str">
        <f>IFERROR(INDEX('4. Valuation'!$O$10:$X$17,MATCH($D518,'4. Valuation'!$O$10:$O$17,0),MATCH($T$25,'4. Valuation'!$O$10:$X$10,0)),0)</f>
        <v>-</v>
      </c>
      <c r="U518" s="278"/>
      <c r="V518" s="312">
        <f t="shared" si="94"/>
        <v>0</v>
      </c>
      <c r="W518" s="312">
        <f t="shared" si="95"/>
        <v>0</v>
      </c>
      <c r="X518" s="312">
        <f t="shared" si="96"/>
        <v>0</v>
      </c>
      <c r="Y518" s="278"/>
      <c r="Z518" s="312">
        <f t="shared" si="97"/>
        <v>0</v>
      </c>
      <c r="AA518" s="312">
        <f>'3. GRI Pricing'!Y509</f>
        <v>0</v>
      </c>
      <c r="AB518" s="359">
        <f t="shared" si="98"/>
        <v>0</v>
      </c>
    </row>
    <row r="519" spans="3:28" s="30" customFormat="1" ht="12" x14ac:dyDescent="0.2">
      <c r="C519" s="77">
        <f>'1. Accomodation'!N514</f>
        <v>0</v>
      </c>
      <c r="D519" s="77">
        <f>'1. Accomodation'!P514</f>
        <v>0</v>
      </c>
      <c r="E519" s="77">
        <f>'1. Accomodation'!O514</f>
        <v>0</v>
      </c>
      <c r="G519" s="341">
        <f>IFERROR(INDEX('4. Valuation'!$C$10:$I$17,MATCH($D519,'4. Valuation'!$C$10:$C$17,0),MATCH($G$25,'4. Valuation'!$C$10:$I$10,0)),0)</f>
        <v>0</v>
      </c>
      <c r="H519" s="273">
        <f>IFERROR(INDEX('4. Valuation'!$C$10:$I$17,MATCH($D519,'4. Valuation'!$C$10:$C$17,0),MATCH($H$25,'4. Valuation'!$C$10:$I$10,0)),0)</f>
        <v>0</v>
      </c>
      <c r="I519" s="359" t="str">
        <f>IFERROR(INDEX('4. Valuation'!$C$10:$I$17,MATCH($D519,'4. Valuation'!$C$10:$C$17,0),MATCH($I$25,'4. Valuation'!$C$10:$I$10,0)),0)</f>
        <v>-</v>
      </c>
      <c r="J519" s="277"/>
      <c r="K519" s="312">
        <f t="shared" si="91"/>
        <v>0</v>
      </c>
      <c r="L519" s="312">
        <f t="shared" si="92"/>
        <v>0</v>
      </c>
      <c r="M519" s="359">
        <f t="shared" si="93"/>
        <v>0</v>
      </c>
      <c r="N519" s="278"/>
      <c r="O519" s="278"/>
      <c r="P519" s="278"/>
      <c r="Q519" s="278"/>
      <c r="R519" s="312">
        <f>IFERROR(INDEX('4. Valuation'!$O$10:$X$17,MATCH($D519,'4. Valuation'!$O$10:$O$17,0),MATCH($R$25,'4. Valuation'!$O$10:$X$10,0)),0)</f>
        <v>0</v>
      </c>
      <c r="S519" s="312">
        <f>IFERROR(INDEX('4. Valuation'!$O$10:$X$17,MATCH($D519,'4. Valuation'!$O$10:$O$17,0),MATCH($S$25,'4. Valuation'!$O$10:$X$10,0)),0)</f>
        <v>0</v>
      </c>
      <c r="T519" s="312" t="str">
        <f>IFERROR(INDEX('4. Valuation'!$O$10:$X$17,MATCH($D519,'4. Valuation'!$O$10:$O$17,0),MATCH($T$25,'4. Valuation'!$O$10:$X$10,0)),0)</f>
        <v>-</v>
      </c>
      <c r="U519" s="278"/>
      <c r="V519" s="312">
        <f t="shared" si="94"/>
        <v>0</v>
      </c>
      <c r="W519" s="312">
        <f t="shared" si="95"/>
        <v>0</v>
      </c>
      <c r="X519" s="312">
        <f t="shared" si="96"/>
        <v>0</v>
      </c>
      <c r="Y519" s="278"/>
      <c r="Z519" s="312">
        <f t="shared" si="97"/>
        <v>0</v>
      </c>
      <c r="AA519" s="312">
        <f>'3. GRI Pricing'!Y510</f>
        <v>0</v>
      </c>
      <c r="AB519" s="359">
        <f t="shared" si="98"/>
        <v>0</v>
      </c>
    </row>
    <row r="520" spans="3:28" s="30" customFormat="1" ht="12" x14ac:dyDescent="0.2">
      <c r="C520" s="77">
        <f>'1. Accomodation'!N515</f>
        <v>0</v>
      </c>
      <c r="D520" s="77">
        <f>'1. Accomodation'!P515</f>
        <v>0</v>
      </c>
      <c r="E520" s="77">
        <f>'1. Accomodation'!O515</f>
        <v>0</v>
      </c>
      <c r="G520" s="341">
        <f>IFERROR(INDEX('4. Valuation'!$C$10:$I$17,MATCH($D520,'4. Valuation'!$C$10:$C$17,0),MATCH($G$25,'4. Valuation'!$C$10:$I$10,0)),0)</f>
        <v>0</v>
      </c>
      <c r="H520" s="273">
        <f>IFERROR(INDEX('4. Valuation'!$C$10:$I$17,MATCH($D520,'4. Valuation'!$C$10:$C$17,0),MATCH($H$25,'4. Valuation'!$C$10:$I$10,0)),0)</f>
        <v>0</v>
      </c>
      <c r="I520" s="359" t="str">
        <f>IFERROR(INDEX('4. Valuation'!$C$10:$I$17,MATCH($D520,'4. Valuation'!$C$10:$C$17,0),MATCH($I$25,'4. Valuation'!$C$10:$I$10,0)),0)</f>
        <v>-</v>
      </c>
      <c r="J520" s="277"/>
      <c r="K520" s="312">
        <f t="shared" si="91"/>
        <v>0</v>
      </c>
      <c r="L520" s="312">
        <f t="shared" si="92"/>
        <v>0</v>
      </c>
      <c r="M520" s="359">
        <f t="shared" si="93"/>
        <v>0</v>
      </c>
      <c r="N520" s="278"/>
      <c r="O520" s="278"/>
      <c r="P520" s="278"/>
      <c r="Q520" s="278"/>
      <c r="R520" s="312">
        <f>IFERROR(INDEX('4. Valuation'!$O$10:$X$17,MATCH($D520,'4. Valuation'!$O$10:$O$17,0),MATCH($R$25,'4. Valuation'!$O$10:$X$10,0)),0)</f>
        <v>0</v>
      </c>
      <c r="S520" s="312">
        <f>IFERROR(INDEX('4. Valuation'!$O$10:$X$17,MATCH($D520,'4. Valuation'!$O$10:$O$17,0),MATCH($S$25,'4. Valuation'!$O$10:$X$10,0)),0)</f>
        <v>0</v>
      </c>
      <c r="T520" s="312" t="str">
        <f>IFERROR(INDEX('4. Valuation'!$O$10:$X$17,MATCH($D520,'4. Valuation'!$O$10:$O$17,0),MATCH($T$25,'4. Valuation'!$O$10:$X$10,0)),0)</f>
        <v>-</v>
      </c>
      <c r="U520" s="278"/>
      <c r="V520" s="312">
        <f t="shared" si="94"/>
        <v>0</v>
      </c>
      <c r="W520" s="312">
        <f t="shared" si="95"/>
        <v>0</v>
      </c>
      <c r="X520" s="312">
        <f t="shared" si="96"/>
        <v>0</v>
      </c>
      <c r="Y520" s="278"/>
      <c r="Z520" s="312">
        <f t="shared" si="97"/>
        <v>0</v>
      </c>
      <c r="AA520" s="312">
        <f>'3. GRI Pricing'!Y511</f>
        <v>0</v>
      </c>
      <c r="AB520" s="359">
        <f t="shared" si="98"/>
        <v>0</v>
      </c>
    </row>
    <row r="521" spans="3:28" s="30" customFormat="1" ht="12" x14ac:dyDescent="0.2">
      <c r="C521" s="77">
        <f>'1. Accomodation'!N516</f>
        <v>0</v>
      </c>
      <c r="D521" s="77">
        <f>'1. Accomodation'!P516</f>
        <v>0</v>
      </c>
      <c r="E521" s="77">
        <f>'1. Accomodation'!O516</f>
        <v>0</v>
      </c>
      <c r="G521" s="341">
        <f>IFERROR(INDEX('4. Valuation'!$C$10:$I$17,MATCH($D521,'4. Valuation'!$C$10:$C$17,0),MATCH($G$25,'4. Valuation'!$C$10:$I$10,0)),0)</f>
        <v>0</v>
      </c>
      <c r="H521" s="273">
        <f>IFERROR(INDEX('4. Valuation'!$C$10:$I$17,MATCH($D521,'4. Valuation'!$C$10:$C$17,0),MATCH($H$25,'4. Valuation'!$C$10:$I$10,0)),0)</f>
        <v>0</v>
      </c>
      <c r="I521" s="359" t="str">
        <f>IFERROR(INDEX('4. Valuation'!$C$10:$I$17,MATCH($D521,'4. Valuation'!$C$10:$C$17,0),MATCH($I$25,'4. Valuation'!$C$10:$I$10,0)),0)</f>
        <v>-</v>
      </c>
      <c r="J521" s="277"/>
      <c r="K521" s="312">
        <f t="shared" si="91"/>
        <v>0</v>
      </c>
      <c r="L521" s="312">
        <f t="shared" si="92"/>
        <v>0</v>
      </c>
      <c r="M521" s="359">
        <f t="shared" si="93"/>
        <v>0</v>
      </c>
      <c r="N521" s="278"/>
      <c r="O521" s="278"/>
      <c r="P521" s="278"/>
      <c r="Q521" s="278"/>
      <c r="R521" s="312">
        <f>IFERROR(INDEX('4. Valuation'!$O$10:$X$17,MATCH($D521,'4. Valuation'!$O$10:$O$17,0),MATCH($R$25,'4. Valuation'!$O$10:$X$10,0)),0)</f>
        <v>0</v>
      </c>
      <c r="S521" s="312">
        <f>IFERROR(INDEX('4. Valuation'!$O$10:$X$17,MATCH($D521,'4. Valuation'!$O$10:$O$17,0),MATCH($S$25,'4. Valuation'!$O$10:$X$10,0)),0)</f>
        <v>0</v>
      </c>
      <c r="T521" s="312" t="str">
        <f>IFERROR(INDEX('4. Valuation'!$O$10:$X$17,MATCH($D521,'4. Valuation'!$O$10:$O$17,0),MATCH($T$25,'4. Valuation'!$O$10:$X$10,0)),0)</f>
        <v>-</v>
      </c>
      <c r="U521" s="278"/>
      <c r="V521" s="312">
        <f t="shared" si="94"/>
        <v>0</v>
      </c>
      <c r="W521" s="312">
        <f t="shared" si="95"/>
        <v>0</v>
      </c>
      <c r="X521" s="312">
        <f t="shared" si="96"/>
        <v>0</v>
      </c>
      <c r="Y521" s="278"/>
      <c r="Z521" s="312">
        <f t="shared" si="97"/>
        <v>0</v>
      </c>
      <c r="AA521" s="312">
        <f>'3. GRI Pricing'!Y512</f>
        <v>0</v>
      </c>
      <c r="AB521" s="359">
        <f t="shared" si="98"/>
        <v>0</v>
      </c>
    </row>
    <row r="522" spans="3:28" s="30" customFormat="1" ht="12" x14ac:dyDescent="0.2">
      <c r="C522" s="77">
        <f>'1. Accomodation'!N517</f>
        <v>0</v>
      </c>
      <c r="D522" s="77">
        <f>'1. Accomodation'!P517</f>
        <v>0</v>
      </c>
      <c r="E522" s="77">
        <f>'1. Accomodation'!O517</f>
        <v>0</v>
      </c>
      <c r="G522" s="341">
        <f>IFERROR(INDEX('4. Valuation'!$C$10:$I$17,MATCH($D522,'4. Valuation'!$C$10:$C$17,0),MATCH($G$25,'4. Valuation'!$C$10:$I$10,0)),0)</f>
        <v>0</v>
      </c>
      <c r="H522" s="273">
        <f>IFERROR(INDEX('4. Valuation'!$C$10:$I$17,MATCH($D522,'4. Valuation'!$C$10:$C$17,0),MATCH($H$25,'4. Valuation'!$C$10:$I$10,0)),0)</f>
        <v>0</v>
      </c>
      <c r="I522" s="359" t="str">
        <f>IFERROR(INDEX('4. Valuation'!$C$10:$I$17,MATCH($D522,'4. Valuation'!$C$10:$C$17,0),MATCH($I$25,'4. Valuation'!$C$10:$I$10,0)),0)</f>
        <v>-</v>
      </c>
      <c r="J522" s="277"/>
      <c r="K522" s="312">
        <f t="shared" si="91"/>
        <v>0</v>
      </c>
      <c r="L522" s="312">
        <f t="shared" si="92"/>
        <v>0</v>
      </c>
      <c r="M522" s="359">
        <f t="shared" si="93"/>
        <v>0</v>
      </c>
      <c r="N522" s="278"/>
      <c r="O522" s="278"/>
      <c r="P522" s="278"/>
      <c r="Q522" s="278"/>
      <c r="R522" s="312">
        <f>IFERROR(INDEX('4. Valuation'!$O$10:$X$17,MATCH($D522,'4. Valuation'!$O$10:$O$17,0),MATCH($R$25,'4. Valuation'!$O$10:$X$10,0)),0)</f>
        <v>0</v>
      </c>
      <c r="S522" s="312">
        <f>IFERROR(INDEX('4. Valuation'!$O$10:$X$17,MATCH($D522,'4. Valuation'!$O$10:$O$17,0),MATCH($S$25,'4. Valuation'!$O$10:$X$10,0)),0)</f>
        <v>0</v>
      </c>
      <c r="T522" s="312" t="str">
        <f>IFERROR(INDEX('4. Valuation'!$O$10:$X$17,MATCH($D522,'4. Valuation'!$O$10:$O$17,0),MATCH($T$25,'4. Valuation'!$O$10:$X$10,0)),0)</f>
        <v>-</v>
      </c>
      <c r="U522" s="278"/>
      <c r="V522" s="312">
        <f t="shared" si="94"/>
        <v>0</v>
      </c>
      <c r="W522" s="312">
        <f t="shared" si="95"/>
        <v>0</v>
      </c>
      <c r="X522" s="312">
        <f t="shared" si="96"/>
        <v>0</v>
      </c>
      <c r="Y522" s="278"/>
      <c r="Z522" s="312">
        <f t="shared" si="97"/>
        <v>0</v>
      </c>
      <c r="AA522" s="312">
        <f>'3. GRI Pricing'!Y513</f>
        <v>0</v>
      </c>
      <c r="AB522" s="359">
        <f t="shared" si="98"/>
        <v>0</v>
      </c>
    </row>
    <row r="523" spans="3:28" s="30" customFormat="1" ht="12" x14ac:dyDescent="0.2">
      <c r="C523" s="77">
        <f>'1. Accomodation'!N518</f>
        <v>0</v>
      </c>
      <c r="D523" s="77">
        <f>'1. Accomodation'!P518</f>
        <v>0</v>
      </c>
      <c r="E523" s="77">
        <f>'1. Accomodation'!O518</f>
        <v>0</v>
      </c>
      <c r="G523" s="341">
        <f>IFERROR(INDEX('4. Valuation'!$C$10:$I$17,MATCH($D523,'4. Valuation'!$C$10:$C$17,0),MATCH($G$25,'4. Valuation'!$C$10:$I$10,0)),0)</f>
        <v>0</v>
      </c>
      <c r="H523" s="273">
        <f>IFERROR(INDEX('4. Valuation'!$C$10:$I$17,MATCH($D523,'4. Valuation'!$C$10:$C$17,0),MATCH($H$25,'4. Valuation'!$C$10:$I$10,0)),0)</f>
        <v>0</v>
      </c>
      <c r="I523" s="359" t="str">
        <f>IFERROR(INDEX('4. Valuation'!$C$10:$I$17,MATCH($D523,'4. Valuation'!$C$10:$C$17,0),MATCH($I$25,'4. Valuation'!$C$10:$I$10,0)),0)</f>
        <v>-</v>
      </c>
      <c r="J523" s="277"/>
      <c r="K523" s="312">
        <f t="shared" si="91"/>
        <v>0</v>
      </c>
      <c r="L523" s="312">
        <f t="shared" si="92"/>
        <v>0</v>
      </c>
      <c r="M523" s="359">
        <f t="shared" si="93"/>
        <v>0</v>
      </c>
      <c r="N523" s="278"/>
      <c r="O523" s="278"/>
      <c r="P523" s="278"/>
      <c r="Q523" s="278"/>
      <c r="R523" s="312">
        <f>IFERROR(INDEX('4. Valuation'!$O$10:$X$17,MATCH($D523,'4. Valuation'!$O$10:$O$17,0),MATCH($R$25,'4. Valuation'!$O$10:$X$10,0)),0)</f>
        <v>0</v>
      </c>
      <c r="S523" s="312">
        <f>IFERROR(INDEX('4. Valuation'!$O$10:$X$17,MATCH($D523,'4. Valuation'!$O$10:$O$17,0),MATCH($S$25,'4. Valuation'!$O$10:$X$10,0)),0)</f>
        <v>0</v>
      </c>
      <c r="T523" s="312" t="str">
        <f>IFERROR(INDEX('4. Valuation'!$O$10:$X$17,MATCH($D523,'4. Valuation'!$O$10:$O$17,0),MATCH($T$25,'4. Valuation'!$O$10:$X$10,0)),0)</f>
        <v>-</v>
      </c>
      <c r="U523" s="278"/>
      <c r="V523" s="312">
        <f t="shared" si="94"/>
        <v>0</v>
      </c>
      <c r="W523" s="312">
        <f t="shared" si="95"/>
        <v>0</v>
      </c>
      <c r="X523" s="312">
        <f t="shared" si="96"/>
        <v>0</v>
      </c>
      <c r="Y523" s="278"/>
      <c r="Z523" s="312">
        <f t="shared" si="97"/>
        <v>0</v>
      </c>
      <c r="AA523" s="312">
        <f>'3. GRI Pricing'!Y514</f>
        <v>0</v>
      </c>
      <c r="AB523" s="359">
        <f t="shared" si="98"/>
        <v>0</v>
      </c>
    </row>
    <row r="524" spans="3:28" s="30" customFormat="1" ht="12" x14ac:dyDescent="0.2">
      <c r="C524" s="77">
        <f>'1. Accomodation'!N519</f>
        <v>0</v>
      </c>
      <c r="D524" s="77">
        <f>'1. Accomodation'!P519</f>
        <v>0</v>
      </c>
      <c r="E524" s="77">
        <f>'1. Accomodation'!O519</f>
        <v>0</v>
      </c>
      <c r="G524" s="341">
        <f>IFERROR(INDEX('4. Valuation'!$C$10:$I$17,MATCH($D524,'4. Valuation'!$C$10:$C$17,0),MATCH($G$25,'4. Valuation'!$C$10:$I$10,0)),0)</f>
        <v>0</v>
      </c>
      <c r="H524" s="273">
        <f>IFERROR(INDEX('4. Valuation'!$C$10:$I$17,MATCH($D524,'4. Valuation'!$C$10:$C$17,0),MATCH($H$25,'4. Valuation'!$C$10:$I$10,0)),0)</f>
        <v>0</v>
      </c>
      <c r="I524" s="359" t="str">
        <f>IFERROR(INDEX('4. Valuation'!$C$10:$I$17,MATCH($D524,'4. Valuation'!$C$10:$C$17,0),MATCH($I$25,'4. Valuation'!$C$10:$I$10,0)),0)</f>
        <v>-</v>
      </c>
      <c r="J524" s="277"/>
      <c r="K524" s="312">
        <f t="shared" si="91"/>
        <v>0</v>
      </c>
      <c r="L524" s="312">
        <f t="shared" si="92"/>
        <v>0</v>
      </c>
      <c r="M524" s="359">
        <f t="shared" si="93"/>
        <v>0</v>
      </c>
      <c r="N524" s="278"/>
      <c r="O524" s="278"/>
      <c r="P524" s="278"/>
      <c r="Q524" s="278"/>
      <c r="R524" s="312">
        <f>IFERROR(INDEX('4. Valuation'!$O$10:$X$17,MATCH($D524,'4. Valuation'!$O$10:$O$17,0),MATCH($R$25,'4. Valuation'!$O$10:$X$10,0)),0)</f>
        <v>0</v>
      </c>
      <c r="S524" s="312">
        <f>IFERROR(INDEX('4. Valuation'!$O$10:$X$17,MATCH($D524,'4. Valuation'!$O$10:$O$17,0),MATCH($S$25,'4. Valuation'!$O$10:$X$10,0)),0)</f>
        <v>0</v>
      </c>
      <c r="T524" s="312" t="str">
        <f>IFERROR(INDEX('4. Valuation'!$O$10:$X$17,MATCH($D524,'4. Valuation'!$O$10:$O$17,0),MATCH($T$25,'4. Valuation'!$O$10:$X$10,0)),0)</f>
        <v>-</v>
      </c>
      <c r="U524" s="278"/>
      <c r="V524" s="312">
        <f t="shared" si="94"/>
        <v>0</v>
      </c>
      <c r="W524" s="312">
        <f t="shared" si="95"/>
        <v>0</v>
      </c>
      <c r="X524" s="312">
        <f t="shared" si="96"/>
        <v>0</v>
      </c>
      <c r="Y524" s="278"/>
      <c r="Z524" s="312">
        <f t="shared" si="97"/>
        <v>0</v>
      </c>
      <c r="AA524" s="312">
        <f>'3. GRI Pricing'!Y515</f>
        <v>0</v>
      </c>
      <c r="AB524" s="359">
        <f t="shared" si="98"/>
        <v>0</v>
      </c>
    </row>
    <row r="525" spans="3:28" s="30" customFormat="1" ht="12" x14ac:dyDescent="0.2">
      <c r="C525" s="77">
        <f>'1. Accomodation'!N520</f>
        <v>0</v>
      </c>
      <c r="D525" s="77">
        <f>'1. Accomodation'!P520</f>
        <v>0</v>
      </c>
      <c r="E525" s="77">
        <f>'1. Accomodation'!O520</f>
        <v>0</v>
      </c>
      <c r="G525" s="341">
        <f>IFERROR(INDEX('4. Valuation'!$C$10:$I$17,MATCH($D525,'4. Valuation'!$C$10:$C$17,0),MATCH($G$25,'4. Valuation'!$C$10:$I$10,0)),0)</f>
        <v>0</v>
      </c>
      <c r="H525" s="273">
        <f>IFERROR(INDEX('4. Valuation'!$C$10:$I$17,MATCH($D525,'4. Valuation'!$C$10:$C$17,0),MATCH($H$25,'4. Valuation'!$C$10:$I$10,0)),0)</f>
        <v>0</v>
      </c>
      <c r="I525" s="359" t="str">
        <f>IFERROR(INDEX('4. Valuation'!$C$10:$I$17,MATCH($D525,'4. Valuation'!$C$10:$C$17,0),MATCH($I$25,'4. Valuation'!$C$10:$I$10,0)),0)</f>
        <v>-</v>
      </c>
      <c r="J525" s="277"/>
      <c r="K525" s="312">
        <f t="shared" si="91"/>
        <v>0</v>
      </c>
      <c r="L525" s="312">
        <f t="shared" si="92"/>
        <v>0</v>
      </c>
      <c r="M525" s="359">
        <f t="shared" si="93"/>
        <v>0</v>
      </c>
      <c r="N525" s="278"/>
      <c r="O525" s="278"/>
      <c r="P525" s="278"/>
      <c r="Q525" s="278"/>
      <c r="R525" s="312">
        <f>IFERROR(INDEX('4. Valuation'!$O$10:$X$17,MATCH($D525,'4. Valuation'!$O$10:$O$17,0),MATCH($R$25,'4. Valuation'!$O$10:$X$10,0)),0)</f>
        <v>0</v>
      </c>
      <c r="S525" s="312">
        <f>IFERROR(INDEX('4. Valuation'!$O$10:$X$17,MATCH($D525,'4. Valuation'!$O$10:$O$17,0),MATCH($S$25,'4. Valuation'!$O$10:$X$10,0)),0)</f>
        <v>0</v>
      </c>
      <c r="T525" s="312" t="str">
        <f>IFERROR(INDEX('4. Valuation'!$O$10:$X$17,MATCH($D525,'4. Valuation'!$O$10:$O$17,0),MATCH($T$25,'4. Valuation'!$O$10:$X$10,0)),0)</f>
        <v>-</v>
      </c>
      <c r="U525" s="278"/>
      <c r="V525" s="312">
        <f t="shared" si="94"/>
        <v>0</v>
      </c>
      <c r="W525" s="312">
        <f t="shared" si="95"/>
        <v>0</v>
      </c>
      <c r="X525" s="312">
        <f t="shared" si="96"/>
        <v>0</v>
      </c>
      <c r="Y525" s="278"/>
      <c r="Z525" s="312">
        <f t="shared" si="97"/>
        <v>0</v>
      </c>
      <c r="AA525" s="312">
        <f>'3. GRI Pricing'!Y516</f>
        <v>0</v>
      </c>
      <c r="AB525" s="359">
        <f t="shared" si="98"/>
        <v>0</v>
      </c>
    </row>
    <row r="526" spans="3:28" s="30" customFormat="1" ht="12" x14ac:dyDescent="0.2">
      <c r="C526" s="77">
        <f>'1. Accomodation'!N521</f>
        <v>0</v>
      </c>
      <c r="D526" s="77">
        <f>'1. Accomodation'!P521</f>
        <v>0</v>
      </c>
      <c r="E526" s="77">
        <f>'1. Accomodation'!O521</f>
        <v>0</v>
      </c>
      <c r="G526" s="341">
        <f>IFERROR(INDEX('4. Valuation'!$C$10:$I$17,MATCH($D526,'4. Valuation'!$C$10:$C$17,0),MATCH($G$25,'4. Valuation'!$C$10:$I$10,0)),0)</f>
        <v>0</v>
      </c>
      <c r="H526" s="273">
        <f>IFERROR(INDEX('4. Valuation'!$C$10:$I$17,MATCH($D526,'4. Valuation'!$C$10:$C$17,0),MATCH($H$25,'4. Valuation'!$C$10:$I$10,0)),0)</f>
        <v>0</v>
      </c>
      <c r="I526" s="359" t="str">
        <f>IFERROR(INDEX('4. Valuation'!$C$10:$I$17,MATCH($D526,'4. Valuation'!$C$10:$C$17,0),MATCH($I$25,'4. Valuation'!$C$10:$I$10,0)),0)</f>
        <v>-</v>
      </c>
      <c r="J526" s="277"/>
      <c r="K526" s="312">
        <f t="shared" si="91"/>
        <v>0</v>
      </c>
      <c r="L526" s="312">
        <f t="shared" si="92"/>
        <v>0</v>
      </c>
      <c r="M526" s="359">
        <f t="shared" si="93"/>
        <v>0</v>
      </c>
      <c r="N526" s="278"/>
      <c r="O526" s="278"/>
      <c r="P526" s="278"/>
      <c r="Q526" s="278"/>
      <c r="R526" s="312">
        <f>IFERROR(INDEX('4. Valuation'!$O$10:$X$17,MATCH($D526,'4. Valuation'!$O$10:$O$17,0),MATCH($R$25,'4. Valuation'!$O$10:$X$10,0)),0)</f>
        <v>0</v>
      </c>
      <c r="S526" s="312">
        <f>IFERROR(INDEX('4. Valuation'!$O$10:$X$17,MATCH($D526,'4. Valuation'!$O$10:$O$17,0),MATCH($S$25,'4. Valuation'!$O$10:$X$10,0)),0)</f>
        <v>0</v>
      </c>
      <c r="T526" s="312" t="str">
        <f>IFERROR(INDEX('4. Valuation'!$O$10:$X$17,MATCH($D526,'4. Valuation'!$O$10:$O$17,0),MATCH($T$25,'4. Valuation'!$O$10:$X$10,0)),0)</f>
        <v>-</v>
      </c>
      <c r="U526" s="278"/>
      <c r="V526" s="312">
        <f t="shared" si="94"/>
        <v>0</v>
      </c>
      <c r="W526" s="312">
        <f t="shared" si="95"/>
        <v>0</v>
      </c>
      <c r="X526" s="312">
        <f t="shared" si="96"/>
        <v>0</v>
      </c>
      <c r="Y526" s="278"/>
      <c r="Z526" s="312">
        <f t="shared" si="97"/>
        <v>0</v>
      </c>
      <c r="AA526" s="312">
        <f>'3. GRI Pricing'!Y517</f>
        <v>0</v>
      </c>
      <c r="AB526" s="359">
        <f t="shared" si="98"/>
        <v>0</v>
      </c>
    </row>
    <row r="527" spans="3:28" s="30" customFormat="1" ht="12" x14ac:dyDescent="0.2">
      <c r="C527" s="77">
        <f>'1. Accomodation'!N522</f>
        <v>0</v>
      </c>
      <c r="D527" s="77">
        <f>'1. Accomodation'!P522</f>
        <v>0</v>
      </c>
      <c r="E527" s="77">
        <f>'1. Accomodation'!O522</f>
        <v>0</v>
      </c>
      <c r="G527" s="341">
        <f>IFERROR(INDEX('4. Valuation'!$C$10:$I$17,MATCH($D527,'4. Valuation'!$C$10:$C$17,0),MATCH($G$25,'4. Valuation'!$C$10:$I$10,0)),0)</f>
        <v>0</v>
      </c>
      <c r="H527" s="273">
        <f>IFERROR(INDEX('4. Valuation'!$C$10:$I$17,MATCH($D527,'4. Valuation'!$C$10:$C$17,0),MATCH($H$25,'4. Valuation'!$C$10:$I$10,0)),0)</f>
        <v>0</v>
      </c>
      <c r="I527" s="359" t="str">
        <f>IFERROR(INDEX('4. Valuation'!$C$10:$I$17,MATCH($D527,'4. Valuation'!$C$10:$C$17,0),MATCH($I$25,'4. Valuation'!$C$10:$I$10,0)),0)</f>
        <v>-</v>
      </c>
      <c r="J527" s="277"/>
      <c r="K527" s="312">
        <f t="shared" si="91"/>
        <v>0</v>
      </c>
      <c r="L527" s="312">
        <f t="shared" si="92"/>
        <v>0</v>
      </c>
      <c r="M527" s="359">
        <f t="shared" si="93"/>
        <v>0</v>
      </c>
      <c r="N527" s="278"/>
      <c r="O527" s="278"/>
      <c r="P527" s="278"/>
      <c r="Q527" s="278"/>
      <c r="R527" s="312">
        <f>IFERROR(INDEX('4. Valuation'!$O$10:$X$17,MATCH($D527,'4. Valuation'!$O$10:$O$17,0),MATCH($R$25,'4. Valuation'!$O$10:$X$10,0)),0)</f>
        <v>0</v>
      </c>
      <c r="S527" s="312">
        <f>IFERROR(INDEX('4. Valuation'!$O$10:$X$17,MATCH($D527,'4. Valuation'!$O$10:$O$17,0),MATCH($S$25,'4. Valuation'!$O$10:$X$10,0)),0)</f>
        <v>0</v>
      </c>
      <c r="T527" s="312" t="str">
        <f>IFERROR(INDEX('4. Valuation'!$O$10:$X$17,MATCH($D527,'4. Valuation'!$O$10:$O$17,0),MATCH($T$25,'4. Valuation'!$O$10:$X$10,0)),0)</f>
        <v>-</v>
      </c>
      <c r="U527" s="278"/>
      <c r="V527" s="312">
        <f t="shared" si="94"/>
        <v>0</v>
      </c>
      <c r="W527" s="312">
        <f t="shared" si="95"/>
        <v>0</v>
      </c>
      <c r="X527" s="312">
        <f t="shared" si="96"/>
        <v>0</v>
      </c>
      <c r="Y527" s="278"/>
      <c r="Z527" s="312">
        <f t="shared" si="97"/>
        <v>0</v>
      </c>
      <c r="AA527" s="312">
        <f>'3. GRI Pricing'!Y518</f>
        <v>0</v>
      </c>
      <c r="AB527" s="359">
        <f t="shared" si="98"/>
        <v>0</v>
      </c>
    </row>
    <row r="528" spans="3:28" s="30" customFormat="1" ht="12" x14ac:dyDescent="0.2">
      <c r="C528" s="77">
        <f>'1. Accomodation'!N523</f>
        <v>0</v>
      </c>
      <c r="D528" s="77">
        <f>'1. Accomodation'!P523</f>
        <v>0</v>
      </c>
      <c r="E528" s="77">
        <f>'1. Accomodation'!O523</f>
        <v>0</v>
      </c>
      <c r="G528" s="341">
        <f>IFERROR(INDEX('4. Valuation'!$C$10:$I$17,MATCH($D528,'4. Valuation'!$C$10:$C$17,0),MATCH($G$25,'4. Valuation'!$C$10:$I$10,0)),0)</f>
        <v>0</v>
      </c>
      <c r="H528" s="273">
        <f>IFERROR(INDEX('4. Valuation'!$C$10:$I$17,MATCH($D528,'4. Valuation'!$C$10:$C$17,0),MATCH($H$25,'4. Valuation'!$C$10:$I$10,0)),0)</f>
        <v>0</v>
      </c>
      <c r="I528" s="359" t="str">
        <f>IFERROR(INDEX('4. Valuation'!$C$10:$I$17,MATCH($D528,'4. Valuation'!$C$10:$C$17,0),MATCH($I$25,'4. Valuation'!$C$10:$I$10,0)),0)</f>
        <v>-</v>
      </c>
      <c r="J528" s="277"/>
      <c r="K528" s="312">
        <f t="shared" si="91"/>
        <v>0</v>
      </c>
      <c r="L528" s="312">
        <f t="shared" si="92"/>
        <v>0</v>
      </c>
      <c r="M528" s="359">
        <f t="shared" si="93"/>
        <v>0</v>
      </c>
      <c r="N528" s="278"/>
      <c r="O528" s="278"/>
      <c r="P528" s="278"/>
      <c r="Q528" s="278"/>
      <c r="R528" s="312">
        <f>IFERROR(INDEX('4. Valuation'!$O$10:$X$17,MATCH($D528,'4. Valuation'!$O$10:$O$17,0),MATCH($R$25,'4. Valuation'!$O$10:$X$10,0)),0)</f>
        <v>0</v>
      </c>
      <c r="S528" s="312">
        <f>IFERROR(INDEX('4. Valuation'!$O$10:$X$17,MATCH($D528,'4. Valuation'!$O$10:$O$17,0),MATCH($S$25,'4. Valuation'!$O$10:$X$10,0)),0)</f>
        <v>0</v>
      </c>
      <c r="T528" s="312" t="str">
        <f>IFERROR(INDEX('4. Valuation'!$O$10:$X$17,MATCH($D528,'4. Valuation'!$O$10:$O$17,0),MATCH($T$25,'4. Valuation'!$O$10:$X$10,0)),0)</f>
        <v>-</v>
      </c>
      <c r="U528" s="278"/>
      <c r="V528" s="312">
        <f t="shared" si="94"/>
        <v>0</v>
      </c>
      <c r="W528" s="312">
        <f t="shared" si="95"/>
        <v>0</v>
      </c>
      <c r="X528" s="312">
        <f t="shared" si="96"/>
        <v>0</v>
      </c>
      <c r="Y528" s="278"/>
      <c r="Z528" s="312">
        <f t="shared" si="97"/>
        <v>0</v>
      </c>
      <c r="AA528" s="312">
        <f>'3. GRI Pricing'!Y519</f>
        <v>0</v>
      </c>
      <c r="AB528" s="359">
        <f t="shared" si="98"/>
        <v>0</v>
      </c>
    </row>
    <row r="529" spans="3:28" s="30" customFormat="1" ht="12" x14ac:dyDescent="0.2">
      <c r="C529" s="77">
        <f>'1. Accomodation'!N524</f>
        <v>0</v>
      </c>
      <c r="D529" s="77">
        <f>'1. Accomodation'!P524</f>
        <v>0</v>
      </c>
      <c r="E529" s="77">
        <f>'1. Accomodation'!O524</f>
        <v>0</v>
      </c>
      <c r="G529" s="341">
        <f>IFERROR(INDEX('4. Valuation'!$C$10:$I$17,MATCH($D529,'4. Valuation'!$C$10:$C$17,0),MATCH($G$25,'4. Valuation'!$C$10:$I$10,0)),0)</f>
        <v>0</v>
      </c>
      <c r="H529" s="273">
        <f>IFERROR(INDEX('4. Valuation'!$C$10:$I$17,MATCH($D529,'4. Valuation'!$C$10:$C$17,0),MATCH($H$25,'4. Valuation'!$C$10:$I$10,0)),0)</f>
        <v>0</v>
      </c>
      <c r="I529" s="359" t="str">
        <f>IFERROR(INDEX('4. Valuation'!$C$10:$I$17,MATCH($D529,'4. Valuation'!$C$10:$C$17,0),MATCH($I$25,'4. Valuation'!$C$10:$I$10,0)),0)</f>
        <v>-</v>
      </c>
      <c r="J529" s="277"/>
      <c r="K529" s="312">
        <f t="shared" si="91"/>
        <v>0</v>
      </c>
      <c r="L529" s="312">
        <f t="shared" si="92"/>
        <v>0</v>
      </c>
      <c r="M529" s="359">
        <f t="shared" si="93"/>
        <v>0</v>
      </c>
      <c r="N529" s="278"/>
      <c r="O529" s="278"/>
      <c r="P529" s="278"/>
      <c r="Q529" s="278"/>
      <c r="R529" s="312">
        <f>IFERROR(INDEX('4. Valuation'!$O$10:$X$17,MATCH($D529,'4. Valuation'!$O$10:$O$17,0),MATCH($R$25,'4. Valuation'!$O$10:$X$10,0)),0)</f>
        <v>0</v>
      </c>
      <c r="S529" s="312">
        <f>IFERROR(INDEX('4. Valuation'!$O$10:$X$17,MATCH($D529,'4. Valuation'!$O$10:$O$17,0),MATCH($S$25,'4. Valuation'!$O$10:$X$10,0)),0)</f>
        <v>0</v>
      </c>
      <c r="T529" s="312" t="str">
        <f>IFERROR(INDEX('4. Valuation'!$O$10:$X$17,MATCH($D529,'4. Valuation'!$O$10:$O$17,0),MATCH($T$25,'4. Valuation'!$O$10:$X$10,0)),0)</f>
        <v>-</v>
      </c>
      <c r="U529" s="278"/>
      <c r="V529" s="312">
        <f t="shared" si="94"/>
        <v>0</v>
      </c>
      <c r="W529" s="312">
        <f t="shared" si="95"/>
        <v>0</v>
      </c>
      <c r="X529" s="312">
        <f t="shared" si="96"/>
        <v>0</v>
      </c>
      <c r="Y529" s="278"/>
      <c r="Z529" s="312">
        <f t="shared" si="97"/>
        <v>0</v>
      </c>
      <c r="AA529" s="312">
        <f>'3. GRI Pricing'!Y520</f>
        <v>0</v>
      </c>
      <c r="AB529" s="359">
        <f t="shared" si="98"/>
        <v>0</v>
      </c>
    </row>
    <row r="530" spans="3:28" s="30" customFormat="1" ht="12" x14ac:dyDescent="0.2">
      <c r="C530" s="77">
        <f>'1. Accomodation'!N525</f>
        <v>0</v>
      </c>
      <c r="D530" s="77">
        <f>'1. Accomodation'!P525</f>
        <v>0</v>
      </c>
      <c r="E530" s="77">
        <f>'1. Accomodation'!O525</f>
        <v>0</v>
      </c>
      <c r="G530" s="341">
        <f>IFERROR(INDEX('4. Valuation'!$C$10:$I$17,MATCH($D530,'4. Valuation'!$C$10:$C$17,0),MATCH($G$25,'4. Valuation'!$C$10:$I$10,0)),0)</f>
        <v>0</v>
      </c>
      <c r="H530" s="273">
        <f>IFERROR(INDEX('4. Valuation'!$C$10:$I$17,MATCH($D530,'4. Valuation'!$C$10:$C$17,0),MATCH($H$25,'4. Valuation'!$C$10:$I$10,0)),0)</f>
        <v>0</v>
      </c>
      <c r="I530" s="359" t="str">
        <f>IFERROR(INDEX('4. Valuation'!$C$10:$I$17,MATCH($D530,'4. Valuation'!$C$10:$C$17,0),MATCH($I$25,'4. Valuation'!$C$10:$I$10,0)),0)</f>
        <v>-</v>
      </c>
      <c r="J530" s="277"/>
      <c r="K530" s="312">
        <f t="shared" si="91"/>
        <v>0</v>
      </c>
      <c r="L530" s="312">
        <f t="shared" si="92"/>
        <v>0</v>
      </c>
      <c r="M530" s="359">
        <f t="shared" si="93"/>
        <v>0</v>
      </c>
      <c r="N530" s="278"/>
      <c r="O530" s="278"/>
      <c r="P530" s="278"/>
      <c r="Q530" s="278"/>
      <c r="R530" s="312">
        <f>IFERROR(INDEX('4. Valuation'!$O$10:$X$17,MATCH($D530,'4. Valuation'!$O$10:$O$17,0),MATCH($R$25,'4. Valuation'!$O$10:$X$10,0)),0)</f>
        <v>0</v>
      </c>
      <c r="S530" s="312">
        <f>IFERROR(INDEX('4. Valuation'!$O$10:$X$17,MATCH($D530,'4. Valuation'!$O$10:$O$17,0),MATCH($S$25,'4. Valuation'!$O$10:$X$10,0)),0)</f>
        <v>0</v>
      </c>
      <c r="T530" s="312" t="str">
        <f>IFERROR(INDEX('4. Valuation'!$O$10:$X$17,MATCH($D530,'4. Valuation'!$O$10:$O$17,0),MATCH($T$25,'4. Valuation'!$O$10:$X$10,0)),0)</f>
        <v>-</v>
      </c>
      <c r="U530" s="278"/>
      <c r="V530" s="312">
        <f t="shared" si="94"/>
        <v>0</v>
      </c>
      <c r="W530" s="312">
        <f t="shared" si="95"/>
        <v>0</v>
      </c>
      <c r="X530" s="312">
        <f t="shared" si="96"/>
        <v>0</v>
      </c>
      <c r="Y530" s="278"/>
      <c r="Z530" s="312">
        <f t="shared" si="97"/>
        <v>0</v>
      </c>
      <c r="AA530" s="312">
        <f>'3. GRI Pricing'!Y521</f>
        <v>0</v>
      </c>
      <c r="AB530" s="359">
        <f t="shared" si="98"/>
        <v>0</v>
      </c>
    </row>
    <row r="531" spans="3:28" s="30" customFormat="1" ht="12" x14ac:dyDescent="0.2">
      <c r="C531" s="77">
        <f>'1. Accomodation'!N526</f>
        <v>0</v>
      </c>
      <c r="D531" s="77">
        <f>'1. Accomodation'!P526</f>
        <v>0</v>
      </c>
      <c r="E531" s="77">
        <f>'1. Accomodation'!O526</f>
        <v>0</v>
      </c>
      <c r="G531" s="341">
        <f>IFERROR(INDEX('4. Valuation'!$C$10:$I$17,MATCH($D531,'4. Valuation'!$C$10:$C$17,0),MATCH($G$25,'4. Valuation'!$C$10:$I$10,0)),0)</f>
        <v>0</v>
      </c>
      <c r="H531" s="273">
        <f>IFERROR(INDEX('4. Valuation'!$C$10:$I$17,MATCH($D531,'4. Valuation'!$C$10:$C$17,0),MATCH($H$25,'4. Valuation'!$C$10:$I$10,0)),0)</f>
        <v>0</v>
      </c>
      <c r="I531" s="359" t="str">
        <f>IFERROR(INDEX('4. Valuation'!$C$10:$I$17,MATCH($D531,'4. Valuation'!$C$10:$C$17,0),MATCH($I$25,'4. Valuation'!$C$10:$I$10,0)),0)</f>
        <v>-</v>
      </c>
      <c r="J531" s="277"/>
      <c r="K531" s="312">
        <f t="shared" si="91"/>
        <v>0</v>
      </c>
      <c r="L531" s="312">
        <f t="shared" si="92"/>
        <v>0</v>
      </c>
      <c r="M531" s="359">
        <f t="shared" si="93"/>
        <v>0</v>
      </c>
      <c r="N531" s="278"/>
      <c r="O531" s="278"/>
      <c r="P531" s="278"/>
      <c r="Q531" s="278"/>
      <c r="R531" s="312">
        <f>IFERROR(INDEX('4. Valuation'!$O$10:$X$17,MATCH($D531,'4. Valuation'!$O$10:$O$17,0),MATCH($R$25,'4. Valuation'!$O$10:$X$10,0)),0)</f>
        <v>0</v>
      </c>
      <c r="S531" s="312">
        <f>IFERROR(INDEX('4. Valuation'!$O$10:$X$17,MATCH($D531,'4. Valuation'!$O$10:$O$17,0),MATCH($S$25,'4. Valuation'!$O$10:$X$10,0)),0)</f>
        <v>0</v>
      </c>
      <c r="T531" s="312" t="str">
        <f>IFERROR(INDEX('4. Valuation'!$O$10:$X$17,MATCH($D531,'4. Valuation'!$O$10:$O$17,0),MATCH($T$25,'4. Valuation'!$O$10:$X$10,0)),0)</f>
        <v>-</v>
      </c>
      <c r="U531" s="278"/>
      <c r="V531" s="312">
        <f t="shared" si="94"/>
        <v>0</v>
      </c>
      <c r="W531" s="312">
        <f t="shared" si="95"/>
        <v>0</v>
      </c>
      <c r="X531" s="312">
        <f t="shared" si="96"/>
        <v>0</v>
      </c>
      <c r="Y531" s="278"/>
      <c r="Z531" s="312">
        <f t="shared" si="97"/>
        <v>0</v>
      </c>
      <c r="AA531" s="312">
        <f>'3. GRI Pricing'!Y522</f>
        <v>0</v>
      </c>
      <c r="AB531" s="359">
        <f t="shared" si="98"/>
        <v>0</v>
      </c>
    </row>
    <row r="532" spans="3:28" s="30" customFormat="1" ht="12" x14ac:dyDescent="0.2">
      <c r="C532" s="77">
        <f>'1. Accomodation'!N527</f>
        <v>0</v>
      </c>
      <c r="D532" s="77">
        <f>'1. Accomodation'!P527</f>
        <v>0</v>
      </c>
      <c r="E532" s="77">
        <f>'1. Accomodation'!O527</f>
        <v>0</v>
      </c>
      <c r="G532" s="341">
        <f>IFERROR(INDEX('4. Valuation'!$C$10:$I$17,MATCH($D532,'4. Valuation'!$C$10:$C$17,0),MATCH($G$25,'4. Valuation'!$C$10:$I$10,0)),0)</f>
        <v>0</v>
      </c>
      <c r="H532" s="273">
        <f>IFERROR(INDEX('4. Valuation'!$C$10:$I$17,MATCH($D532,'4. Valuation'!$C$10:$C$17,0),MATCH($H$25,'4. Valuation'!$C$10:$I$10,0)),0)</f>
        <v>0</v>
      </c>
      <c r="I532" s="359" t="str">
        <f>IFERROR(INDEX('4. Valuation'!$C$10:$I$17,MATCH($D532,'4. Valuation'!$C$10:$C$17,0),MATCH($I$25,'4. Valuation'!$C$10:$I$10,0)),0)</f>
        <v>-</v>
      </c>
      <c r="J532" s="277"/>
      <c r="K532" s="312">
        <f t="shared" si="91"/>
        <v>0</v>
      </c>
      <c r="L532" s="312">
        <f t="shared" si="92"/>
        <v>0</v>
      </c>
      <c r="M532" s="359">
        <f t="shared" si="93"/>
        <v>0</v>
      </c>
      <c r="N532" s="278"/>
      <c r="O532" s="278"/>
      <c r="P532" s="278"/>
      <c r="Q532" s="278"/>
      <c r="R532" s="312">
        <f>IFERROR(INDEX('4. Valuation'!$O$10:$X$17,MATCH($D532,'4. Valuation'!$O$10:$O$17,0),MATCH($R$25,'4. Valuation'!$O$10:$X$10,0)),0)</f>
        <v>0</v>
      </c>
      <c r="S532" s="312">
        <f>IFERROR(INDEX('4. Valuation'!$O$10:$X$17,MATCH($D532,'4. Valuation'!$O$10:$O$17,0),MATCH($S$25,'4. Valuation'!$O$10:$X$10,0)),0)</f>
        <v>0</v>
      </c>
      <c r="T532" s="312" t="str">
        <f>IFERROR(INDEX('4. Valuation'!$O$10:$X$17,MATCH($D532,'4. Valuation'!$O$10:$O$17,0),MATCH($T$25,'4. Valuation'!$O$10:$X$10,0)),0)</f>
        <v>-</v>
      </c>
      <c r="U532" s="278"/>
      <c r="V532" s="312">
        <f t="shared" si="94"/>
        <v>0</v>
      </c>
      <c r="W532" s="312">
        <f t="shared" si="95"/>
        <v>0</v>
      </c>
      <c r="X532" s="312">
        <f t="shared" si="96"/>
        <v>0</v>
      </c>
      <c r="Y532" s="278"/>
      <c r="Z532" s="312">
        <f t="shared" si="97"/>
        <v>0</v>
      </c>
      <c r="AA532" s="312">
        <f>'3. GRI Pricing'!Y523</f>
        <v>0</v>
      </c>
      <c r="AB532" s="359">
        <f t="shared" si="98"/>
        <v>0</v>
      </c>
    </row>
    <row r="533" spans="3:28" s="30" customFormat="1" ht="12" x14ac:dyDescent="0.2">
      <c r="C533" s="77">
        <f>'1. Accomodation'!N528</f>
        <v>0</v>
      </c>
      <c r="D533" s="77">
        <f>'1. Accomodation'!P528</f>
        <v>0</v>
      </c>
      <c r="E533" s="77">
        <f>'1. Accomodation'!O528</f>
        <v>0</v>
      </c>
      <c r="G533" s="341">
        <f>IFERROR(INDEX('4. Valuation'!$C$10:$I$17,MATCH($D533,'4. Valuation'!$C$10:$C$17,0),MATCH($G$25,'4. Valuation'!$C$10:$I$10,0)),0)</f>
        <v>0</v>
      </c>
      <c r="H533" s="273">
        <f>IFERROR(INDEX('4. Valuation'!$C$10:$I$17,MATCH($D533,'4. Valuation'!$C$10:$C$17,0),MATCH($H$25,'4. Valuation'!$C$10:$I$10,0)),0)</f>
        <v>0</v>
      </c>
      <c r="I533" s="359" t="str">
        <f>IFERROR(INDEX('4. Valuation'!$C$10:$I$17,MATCH($D533,'4. Valuation'!$C$10:$C$17,0),MATCH($I$25,'4. Valuation'!$C$10:$I$10,0)),0)</f>
        <v>-</v>
      </c>
      <c r="J533" s="277"/>
      <c r="K533" s="312">
        <f t="shared" si="91"/>
        <v>0</v>
      </c>
      <c r="L533" s="312">
        <f t="shared" si="92"/>
        <v>0</v>
      </c>
      <c r="M533" s="359">
        <f t="shared" si="93"/>
        <v>0</v>
      </c>
      <c r="N533" s="278"/>
      <c r="O533" s="278"/>
      <c r="P533" s="278"/>
      <c r="Q533" s="278"/>
      <c r="R533" s="312">
        <f>IFERROR(INDEX('4. Valuation'!$O$10:$X$17,MATCH($D533,'4. Valuation'!$O$10:$O$17,0),MATCH($R$25,'4. Valuation'!$O$10:$X$10,0)),0)</f>
        <v>0</v>
      </c>
      <c r="S533" s="312">
        <f>IFERROR(INDEX('4. Valuation'!$O$10:$X$17,MATCH($D533,'4. Valuation'!$O$10:$O$17,0),MATCH($S$25,'4. Valuation'!$O$10:$X$10,0)),0)</f>
        <v>0</v>
      </c>
      <c r="T533" s="312" t="str">
        <f>IFERROR(INDEX('4. Valuation'!$O$10:$X$17,MATCH($D533,'4. Valuation'!$O$10:$O$17,0),MATCH($T$25,'4. Valuation'!$O$10:$X$10,0)),0)</f>
        <v>-</v>
      </c>
      <c r="U533" s="278"/>
      <c r="V533" s="312">
        <f t="shared" si="94"/>
        <v>0</v>
      </c>
      <c r="W533" s="312">
        <f t="shared" si="95"/>
        <v>0</v>
      </c>
      <c r="X533" s="312">
        <f t="shared" si="96"/>
        <v>0</v>
      </c>
      <c r="Y533" s="278"/>
      <c r="Z533" s="312">
        <f t="shared" si="97"/>
        <v>0</v>
      </c>
      <c r="AA533" s="312">
        <f>'3. GRI Pricing'!Y524</f>
        <v>0</v>
      </c>
      <c r="AB533" s="359">
        <f t="shared" si="98"/>
        <v>0</v>
      </c>
    </row>
    <row r="534" spans="3:28" s="30" customFormat="1" ht="12" x14ac:dyDescent="0.2">
      <c r="C534" s="77">
        <f>'1. Accomodation'!N529</f>
        <v>0</v>
      </c>
      <c r="D534" s="77">
        <f>'1. Accomodation'!P529</f>
        <v>0</v>
      </c>
      <c r="E534" s="77">
        <f>'1. Accomodation'!O529</f>
        <v>0</v>
      </c>
      <c r="G534" s="341">
        <f>IFERROR(INDEX('4. Valuation'!$C$10:$I$17,MATCH($D534,'4. Valuation'!$C$10:$C$17,0),MATCH($G$25,'4. Valuation'!$C$10:$I$10,0)),0)</f>
        <v>0</v>
      </c>
      <c r="H534" s="273">
        <f>IFERROR(INDEX('4. Valuation'!$C$10:$I$17,MATCH($D534,'4. Valuation'!$C$10:$C$17,0),MATCH($H$25,'4. Valuation'!$C$10:$I$10,0)),0)</f>
        <v>0</v>
      </c>
      <c r="I534" s="359" t="str">
        <f>IFERROR(INDEX('4. Valuation'!$C$10:$I$17,MATCH($D534,'4. Valuation'!$C$10:$C$17,0),MATCH($I$25,'4. Valuation'!$C$10:$I$10,0)),0)</f>
        <v>-</v>
      </c>
      <c r="J534" s="277"/>
      <c r="K534" s="312">
        <f t="shared" si="91"/>
        <v>0</v>
      </c>
      <c r="L534" s="312">
        <f t="shared" si="92"/>
        <v>0</v>
      </c>
      <c r="M534" s="359">
        <f t="shared" si="93"/>
        <v>0</v>
      </c>
      <c r="N534" s="278"/>
      <c r="O534" s="278"/>
      <c r="P534" s="278"/>
      <c r="Q534" s="278"/>
      <c r="R534" s="312">
        <f>IFERROR(INDEX('4. Valuation'!$O$10:$X$17,MATCH($D534,'4. Valuation'!$O$10:$O$17,0),MATCH($R$25,'4. Valuation'!$O$10:$X$10,0)),0)</f>
        <v>0</v>
      </c>
      <c r="S534" s="312">
        <f>IFERROR(INDEX('4. Valuation'!$O$10:$X$17,MATCH($D534,'4. Valuation'!$O$10:$O$17,0),MATCH($S$25,'4. Valuation'!$O$10:$X$10,0)),0)</f>
        <v>0</v>
      </c>
      <c r="T534" s="312" t="str">
        <f>IFERROR(INDEX('4. Valuation'!$O$10:$X$17,MATCH($D534,'4. Valuation'!$O$10:$O$17,0),MATCH($T$25,'4. Valuation'!$O$10:$X$10,0)),0)</f>
        <v>-</v>
      </c>
      <c r="U534" s="278"/>
      <c r="V534" s="312">
        <f t="shared" si="94"/>
        <v>0</v>
      </c>
      <c r="W534" s="312">
        <f t="shared" si="95"/>
        <v>0</v>
      </c>
      <c r="X534" s="312">
        <f t="shared" si="96"/>
        <v>0</v>
      </c>
      <c r="Y534" s="278"/>
      <c r="Z534" s="312">
        <f t="shared" si="97"/>
        <v>0</v>
      </c>
      <c r="AA534" s="312">
        <f>'3. GRI Pricing'!Y525</f>
        <v>0</v>
      </c>
      <c r="AB534" s="359">
        <f t="shared" si="98"/>
        <v>0</v>
      </c>
    </row>
    <row r="535" spans="3:28" s="30" customFormat="1" ht="12" x14ac:dyDescent="0.2">
      <c r="C535" s="77">
        <f>'1. Accomodation'!N530</f>
        <v>0</v>
      </c>
      <c r="D535" s="77">
        <f>'1. Accomodation'!P530</f>
        <v>0</v>
      </c>
      <c r="E535" s="77">
        <f>'1. Accomodation'!O530</f>
        <v>0</v>
      </c>
      <c r="G535" s="341">
        <f>IFERROR(INDEX('4. Valuation'!$C$10:$I$17,MATCH($D535,'4. Valuation'!$C$10:$C$17,0),MATCH($G$25,'4. Valuation'!$C$10:$I$10,0)),0)</f>
        <v>0</v>
      </c>
      <c r="H535" s="273">
        <f>IFERROR(INDEX('4. Valuation'!$C$10:$I$17,MATCH($D535,'4. Valuation'!$C$10:$C$17,0),MATCH($H$25,'4. Valuation'!$C$10:$I$10,0)),0)</f>
        <v>0</v>
      </c>
      <c r="I535" s="359" t="str">
        <f>IFERROR(INDEX('4. Valuation'!$C$10:$I$17,MATCH($D535,'4. Valuation'!$C$10:$C$17,0),MATCH($I$25,'4. Valuation'!$C$10:$I$10,0)),0)</f>
        <v>-</v>
      </c>
      <c r="J535" s="277"/>
      <c r="K535" s="312">
        <f t="shared" si="91"/>
        <v>0</v>
      </c>
      <c r="L535" s="312">
        <f t="shared" si="92"/>
        <v>0</v>
      </c>
      <c r="M535" s="359">
        <f t="shared" si="93"/>
        <v>0</v>
      </c>
      <c r="N535" s="278"/>
      <c r="O535" s="278"/>
      <c r="P535" s="278"/>
      <c r="Q535" s="278"/>
      <c r="R535" s="312">
        <f>IFERROR(INDEX('4. Valuation'!$O$10:$X$17,MATCH($D535,'4. Valuation'!$O$10:$O$17,0),MATCH($R$25,'4. Valuation'!$O$10:$X$10,0)),0)</f>
        <v>0</v>
      </c>
      <c r="S535" s="312">
        <f>IFERROR(INDEX('4. Valuation'!$O$10:$X$17,MATCH($D535,'4. Valuation'!$O$10:$O$17,0),MATCH($S$25,'4. Valuation'!$O$10:$X$10,0)),0)</f>
        <v>0</v>
      </c>
      <c r="T535" s="312" t="str">
        <f>IFERROR(INDEX('4. Valuation'!$O$10:$X$17,MATCH($D535,'4. Valuation'!$O$10:$O$17,0),MATCH($T$25,'4. Valuation'!$O$10:$X$10,0)),0)</f>
        <v>-</v>
      </c>
      <c r="U535" s="278"/>
      <c r="V535" s="312">
        <f t="shared" si="94"/>
        <v>0</v>
      </c>
      <c r="W535" s="312">
        <f t="shared" si="95"/>
        <v>0</v>
      </c>
      <c r="X535" s="312">
        <f t="shared" si="96"/>
        <v>0</v>
      </c>
      <c r="Y535" s="278"/>
      <c r="Z535" s="312">
        <f t="shared" si="97"/>
        <v>0</v>
      </c>
      <c r="AA535" s="312">
        <f>'3. GRI Pricing'!Y526</f>
        <v>0</v>
      </c>
      <c r="AB535" s="359">
        <f t="shared" si="98"/>
        <v>0</v>
      </c>
    </row>
    <row r="536" spans="3:28" s="30" customFormat="1" ht="12" x14ac:dyDescent="0.2">
      <c r="C536" s="77">
        <f>'1. Accomodation'!N531</f>
        <v>0</v>
      </c>
      <c r="D536" s="77">
        <f>'1. Accomodation'!P531</f>
        <v>0</v>
      </c>
      <c r="E536" s="77">
        <f>'1. Accomodation'!O531</f>
        <v>0</v>
      </c>
      <c r="G536" s="341">
        <f>IFERROR(INDEX('4. Valuation'!$C$10:$I$17,MATCH($D536,'4. Valuation'!$C$10:$C$17,0),MATCH($G$25,'4. Valuation'!$C$10:$I$10,0)),0)</f>
        <v>0</v>
      </c>
      <c r="H536" s="273">
        <f>IFERROR(INDEX('4. Valuation'!$C$10:$I$17,MATCH($D536,'4. Valuation'!$C$10:$C$17,0),MATCH($H$25,'4. Valuation'!$C$10:$I$10,0)),0)</f>
        <v>0</v>
      </c>
      <c r="I536" s="359" t="str">
        <f>IFERROR(INDEX('4. Valuation'!$C$10:$I$17,MATCH($D536,'4. Valuation'!$C$10:$C$17,0),MATCH($I$25,'4. Valuation'!$C$10:$I$10,0)),0)</f>
        <v>-</v>
      </c>
      <c r="J536" s="277"/>
      <c r="K536" s="312">
        <f t="shared" si="91"/>
        <v>0</v>
      </c>
      <c r="L536" s="312">
        <f t="shared" si="92"/>
        <v>0</v>
      </c>
      <c r="M536" s="359">
        <f t="shared" si="93"/>
        <v>0</v>
      </c>
      <c r="N536" s="278"/>
      <c r="O536" s="278"/>
      <c r="P536" s="278"/>
      <c r="Q536" s="278"/>
      <c r="R536" s="312">
        <f>IFERROR(INDEX('4. Valuation'!$O$10:$X$17,MATCH($D536,'4. Valuation'!$O$10:$O$17,0),MATCH($R$25,'4. Valuation'!$O$10:$X$10,0)),0)</f>
        <v>0</v>
      </c>
      <c r="S536" s="312">
        <f>IFERROR(INDEX('4. Valuation'!$O$10:$X$17,MATCH($D536,'4. Valuation'!$O$10:$O$17,0),MATCH($S$25,'4. Valuation'!$O$10:$X$10,0)),0)</f>
        <v>0</v>
      </c>
      <c r="T536" s="312" t="str">
        <f>IFERROR(INDEX('4. Valuation'!$O$10:$X$17,MATCH($D536,'4. Valuation'!$O$10:$O$17,0),MATCH($T$25,'4. Valuation'!$O$10:$X$10,0)),0)</f>
        <v>-</v>
      </c>
      <c r="U536" s="278"/>
      <c r="V536" s="312">
        <f t="shared" si="94"/>
        <v>0</v>
      </c>
      <c r="W536" s="312">
        <f t="shared" si="95"/>
        <v>0</v>
      </c>
      <c r="X536" s="312">
        <f t="shared" si="96"/>
        <v>0</v>
      </c>
      <c r="Y536" s="278"/>
      <c r="Z536" s="312">
        <f t="shared" si="97"/>
        <v>0</v>
      </c>
      <c r="AA536" s="312">
        <f>'3. GRI Pricing'!Y527</f>
        <v>0</v>
      </c>
      <c r="AB536" s="359">
        <f t="shared" si="98"/>
        <v>0</v>
      </c>
    </row>
    <row r="537" spans="3:28" s="30" customFormat="1" ht="12" x14ac:dyDescent="0.2">
      <c r="C537" s="77">
        <f>'1. Accomodation'!N532</f>
        <v>0</v>
      </c>
      <c r="D537" s="77">
        <f>'1. Accomodation'!P532</f>
        <v>0</v>
      </c>
      <c r="E537" s="77">
        <f>'1. Accomodation'!O532</f>
        <v>0</v>
      </c>
      <c r="G537" s="341">
        <f>IFERROR(INDEX('4. Valuation'!$C$10:$I$17,MATCH($D537,'4. Valuation'!$C$10:$C$17,0),MATCH($G$25,'4. Valuation'!$C$10:$I$10,0)),0)</f>
        <v>0</v>
      </c>
      <c r="H537" s="273">
        <f>IFERROR(INDEX('4. Valuation'!$C$10:$I$17,MATCH($D537,'4. Valuation'!$C$10:$C$17,0),MATCH($H$25,'4. Valuation'!$C$10:$I$10,0)),0)</f>
        <v>0</v>
      </c>
      <c r="I537" s="359" t="str">
        <f>IFERROR(INDEX('4. Valuation'!$C$10:$I$17,MATCH($D537,'4. Valuation'!$C$10:$C$17,0),MATCH($I$25,'4. Valuation'!$C$10:$I$10,0)),0)</f>
        <v>-</v>
      </c>
      <c r="J537" s="277"/>
      <c r="K537" s="312">
        <f t="shared" si="91"/>
        <v>0</v>
      </c>
      <c r="L537" s="312">
        <f t="shared" si="92"/>
        <v>0</v>
      </c>
      <c r="M537" s="359">
        <f t="shared" si="93"/>
        <v>0</v>
      </c>
      <c r="N537" s="278"/>
      <c r="O537" s="278"/>
      <c r="P537" s="278"/>
      <c r="Q537" s="278"/>
      <c r="R537" s="312">
        <f>IFERROR(INDEX('4. Valuation'!$O$10:$X$17,MATCH($D537,'4. Valuation'!$O$10:$O$17,0),MATCH($R$25,'4. Valuation'!$O$10:$X$10,0)),0)</f>
        <v>0</v>
      </c>
      <c r="S537" s="312">
        <f>IFERROR(INDEX('4. Valuation'!$O$10:$X$17,MATCH($D537,'4. Valuation'!$O$10:$O$17,0),MATCH($S$25,'4. Valuation'!$O$10:$X$10,0)),0)</f>
        <v>0</v>
      </c>
      <c r="T537" s="312" t="str">
        <f>IFERROR(INDEX('4. Valuation'!$O$10:$X$17,MATCH($D537,'4. Valuation'!$O$10:$O$17,0),MATCH($T$25,'4. Valuation'!$O$10:$X$10,0)),0)</f>
        <v>-</v>
      </c>
      <c r="U537" s="278"/>
      <c r="V537" s="312">
        <f t="shared" si="94"/>
        <v>0</v>
      </c>
      <c r="W537" s="312">
        <f t="shared" si="95"/>
        <v>0</v>
      </c>
      <c r="X537" s="312">
        <f t="shared" si="96"/>
        <v>0</v>
      </c>
      <c r="Y537" s="278"/>
      <c r="Z537" s="312">
        <f t="shared" si="97"/>
        <v>0</v>
      </c>
      <c r="AA537" s="312">
        <f>'3. GRI Pricing'!Y528</f>
        <v>0</v>
      </c>
      <c r="AB537" s="359">
        <f t="shared" si="98"/>
        <v>0</v>
      </c>
    </row>
    <row r="538" spans="3:28" s="30" customFormat="1" ht="12" x14ac:dyDescent="0.2">
      <c r="C538" s="77">
        <f>'1. Accomodation'!N533</f>
        <v>0</v>
      </c>
      <c r="D538" s="77">
        <f>'1. Accomodation'!P533</f>
        <v>0</v>
      </c>
      <c r="E538" s="77">
        <f>'1. Accomodation'!O533</f>
        <v>0</v>
      </c>
      <c r="G538" s="341">
        <f>IFERROR(INDEX('4. Valuation'!$C$10:$I$17,MATCH($D538,'4. Valuation'!$C$10:$C$17,0),MATCH($G$25,'4. Valuation'!$C$10:$I$10,0)),0)</f>
        <v>0</v>
      </c>
      <c r="H538" s="273">
        <f>IFERROR(INDEX('4. Valuation'!$C$10:$I$17,MATCH($D538,'4. Valuation'!$C$10:$C$17,0),MATCH($H$25,'4. Valuation'!$C$10:$I$10,0)),0)</f>
        <v>0</v>
      </c>
      <c r="I538" s="359" t="str">
        <f>IFERROR(INDEX('4. Valuation'!$C$10:$I$17,MATCH($D538,'4. Valuation'!$C$10:$C$17,0),MATCH($I$25,'4. Valuation'!$C$10:$I$10,0)),0)</f>
        <v>-</v>
      </c>
      <c r="J538" s="277"/>
      <c r="K538" s="312">
        <f t="shared" si="91"/>
        <v>0</v>
      </c>
      <c r="L538" s="312">
        <f t="shared" si="92"/>
        <v>0</v>
      </c>
      <c r="M538" s="359">
        <f t="shared" si="93"/>
        <v>0</v>
      </c>
      <c r="N538" s="278"/>
      <c r="O538" s="278"/>
      <c r="P538" s="278"/>
      <c r="Q538" s="278"/>
      <c r="R538" s="312">
        <f>IFERROR(INDEX('4. Valuation'!$O$10:$X$17,MATCH($D538,'4. Valuation'!$O$10:$O$17,0),MATCH($R$25,'4. Valuation'!$O$10:$X$10,0)),0)</f>
        <v>0</v>
      </c>
      <c r="S538" s="312">
        <f>IFERROR(INDEX('4. Valuation'!$O$10:$X$17,MATCH($D538,'4. Valuation'!$O$10:$O$17,0),MATCH($S$25,'4. Valuation'!$O$10:$X$10,0)),0)</f>
        <v>0</v>
      </c>
      <c r="T538" s="312" t="str">
        <f>IFERROR(INDEX('4. Valuation'!$O$10:$X$17,MATCH($D538,'4. Valuation'!$O$10:$O$17,0),MATCH($T$25,'4. Valuation'!$O$10:$X$10,0)),0)</f>
        <v>-</v>
      </c>
      <c r="U538" s="278"/>
      <c r="V538" s="312">
        <f t="shared" si="94"/>
        <v>0</v>
      </c>
      <c r="W538" s="312">
        <f t="shared" si="95"/>
        <v>0</v>
      </c>
      <c r="X538" s="312">
        <f t="shared" si="96"/>
        <v>0</v>
      </c>
      <c r="Y538" s="278"/>
      <c r="Z538" s="312">
        <f t="shared" si="97"/>
        <v>0</v>
      </c>
      <c r="AA538" s="312">
        <f>'3. GRI Pricing'!Y529</f>
        <v>0</v>
      </c>
      <c r="AB538" s="359">
        <f t="shared" si="98"/>
        <v>0</v>
      </c>
    </row>
    <row r="539" spans="3:28" s="30" customFormat="1" ht="12" x14ac:dyDescent="0.2">
      <c r="C539" s="77">
        <f>'1. Accomodation'!N534</f>
        <v>0</v>
      </c>
      <c r="D539" s="77">
        <f>'1. Accomodation'!P534</f>
        <v>0</v>
      </c>
      <c r="E539" s="77">
        <f>'1. Accomodation'!O534</f>
        <v>0</v>
      </c>
      <c r="G539" s="341">
        <f>IFERROR(INDEX('4. Valuation'!$C$10:$I$17,MATCH($D539,'4. Valuation'!$C$10:$C$17,0),MATCH($G$25,'4. Valuation'!$C$10:$I$10,0)),0)</f>
        <v>0</v>
      </c>
      <c r="H539" s="273">
        <f>IFERROR(INDEX('4. Valuation'!$C$10:$I$17,MATCH($D539,'4. Valuation'!$C$10:$C$17,0),MATCH($H$25,'4. Valuation'!$C$10:$I$10,0)),0)</f>
        <v>0</v>
      </c>
      <c r="I539" s="359" t="str">
        <f>IFERROR(INDEX('4. Valuation'!$C$10:$I$17,MATCH($D539,'4. Valuation'!$C$10:$C$17,0),MATCH($I$25,'4. Valuation'!$C$10:$I$10,0)),0)</f>
        <v>-</v>
      </c>
      <c r="J539" s="277"/>
      <c r="K539" s="312">
        <f t="shared" ref="K539:K602" si="99">L539*12</f>
        <v>0</v>
      </c>
      <c r="L539" s="312">
        <f t="shared" ref="L539:L602" si="100">H539*(1+$M$24)^((L$24-K$24)/365)</f>
        <v>0</v>
      </c>
      <c r="M539" s="359">
        <f t="shared" ref="M539:M602" si="101">IFERROR(K539/E539,0)</f>
        <v>0</v>
      </c>
      <c r="N539" s="278"/>
      <c r="O539" s="278"/>
      <c r="P539" s="278"/>
      <c r="Q539" s="278"/>
      <c r="R539" s="312">
        <f>IFERROR(INDEX('4. Valuation'!$O$10:$X$17,MATCH($D539,'4. Valuation'!$O$10:$O$17,0),MATCH($R$25,'4. Valuation'!$O$10:$X$10,0)),0)</f>
        <v>0</v>
      </c>
      <c r="S539" s="312">
        <f>IFERROR(INDEX('4. Valuation'!$O$10:$X$17,MATCH($D539,'4. Valuation'!$O$10:$O$17,0),MATCH($S$25,'4. Valuation'!$O$10:$X$10,0)),0)</f>
        <v>0</v>
      </c>
      <c r="T539" s="312" t="str">
        <f>IFERROR(INDEX('4. Valuation'!$O$10:$X$17,MATCH($D539,'4. Valuation'!$O$10:$O$17,0),MATCH($T$25,'4. Valuation'!$O$10:$X$10,0)),0)</f>
        <v>-</v>
      </c>
      <c r="U539" s="278"/>
      <c r="V539" s="312">
        <f t="shared" ref="V539:V602" si="102">W539*12</f>
        <v>0</v>
      </c>
      <c r="W539" s="312">
        <f t="shared" ref="W539:W602" si="103">S539*(1+$M$24)^((W$24-V$24)/365)</f>
        <v>0</v>
      </c>
      <c r="X539" s="312">
        <f t="shared" ref="X539:X602" si="104">IFERROR(V539/E539,0)</f>
        <v>0</v>
      </c>
      <c r="Y539" s="278"/>
      <c r="Z539" s="312">
        <f t="shared" ref="Z539:Z602" si="105">AA539*12</f>
        <v>0</v>
      </c>
      <c r="AA539" s="312">
        <f>'3. GRI Pricing'!Y530</f>
        <v>0</v>
      </c>
      <c r="AB539" s="359">
        <f t="shared" ref="AB539:AB602" si="106">IFERROR(Z539/E539,0)</f>
        <v>0</v>
      </c>
    </row>
    <row r="540" spans="3:28" s="30" customFormat="1" ht="12" x14ac:dyDescent="0.2">
      <c r="C540" s="77">
        <f>'1. Accomodation'!N535</f>
        <v>0</v>
      </c>
      <c r="D540" s="77">
        <f>'1. Accomodation'!P535</f>
        <v>0</v>
      </c>
      <c r="E540" s="77">
        <f>'1. Accomodation'!O535</f>
        <v>0</v>
      </c>
      <c r="G540" s="341">
        <f>IFERROR(INDEX('4. Valuation'!$C$10:$I$17,MATCH($D540,'4. Valuation'!$C$10:$C$17,0),MATCH($G$25,'4. Valuation'!$C$10:$I$10,0)),0)</f>
        <v>0</v>
      </c>
      <c r="H540" s="273">
        <f>IFERROR(INDEX('4. Valuation'!$C$10:$I$17,MATCH($D540,'4. Valuation'!$C$10:$C$17,0),MATCH($H$25,'4. Valuation'!$C$10:$I$10,0)),0)</f>
        <v>0</v>
      </c>
      <c r="I540" s="359" t="str">
        <f>IFERROR(INDEX('4. Valuation'!$C$10:$I$17,MATCH($D540,'4. Valuation'!$C$10:$C$17,0),MATCH($I$25,'4. Valuation'!$C$10:$I$10,0)),0)</f>
        <v>-</v>
      </c>
      <c r="J540" s="277"/>
      <c r="K540" s="312">
        <f t="shared" si="99"/>
        <v>0</v>
      </c>
      <c r="L540" s="312">
        <f t="shared" si="100"/>
        <v>0</v>
      </c>
      <c r="M540" s="359">
        <f t="shared" si="101"/>
        <v>0</v>
      </c>
      <c r="N540" s="278"/>
      <c r="O540" s="278"/>
      <c r="P540" s="278"/>
      <c r="Q540" s="278"/>
      <c r="R540" s="312">
        <f>IFERROR(INDEX('4. Valuation'!$O$10:$X$17,MATCH($D540,'4. Valuation'!$O$10:$O$17,0),MATCH($R$25,'4. Valuation'!$O$10:$X$10,0)),0)</f>
        <v>0</v>
      </c>
      <c r="S540" s="312">
        <f>IFERROR(INDEX('4. Valuation'!$O$10:$X$17,MATCH($D540,'4. Valuation'!$O$10:$O$17,0),MATCH($S$25,'4. Valuation'!$O$10:$X$10,0)),0)</f>
        <v>0</v>
      </c>
      <c r="T540" s="312" t="str">
        <f>IFERROR(INDEX('4. Valuation'!$O$10:$X$17,MATCH($D540,'4. Valuation'!$O$10:$O$17,0),MATCH($T$25,'4. Valuation'!$O$10:$X$10,0)),0)</f>
        <v>-</v>
      </c>
      <c r="U540" s="278"/>
      <c r="V540" s="312">
        <f t="shared" si="102"/>
        <v>0</v>
      </c>
      <c r="W540" s="312">
        <f t="shared" si="103"/>
        <v>0</v>
      </c>
      <c r="X540" s="312">
        <f t="shared" si="104"/>
        <v>0</v>
      </c>
      <c r="Y540" s="278"/>
      <c r="Z540" s="312">
        <f t="shared" si="105"/>
        <v>0</v>
      </c>
      <c r="AA540" s="312">
        <f>'3. GRI Pricing'!Y531</f>
        <v>0</v>
      </c>
      <c r="AB540" s="359">
        <f t="shared" si="106"/>
        <v>0</v>
      </c>
    </row>
    <row r="541" spans="3:28" s="30" customFormat="1" ht="12" x14ac:dyDescent="0.2">
      <c r="C541" s="77">
        <f>'1. Accomodation'!N536</f>
        <v>0</v>
      </c>
      <c r="D541" s="77">
        <f>'1. Accomodation'!P536</f>
        <v>0</v>
      </c>
      <c r="E541" s="77">
        <f>'1. Accomodation'!O536</f>
        <v>0</v>
      </c>
      <c r="G541" s="341">
        <f>IFERROR(INDEX('4. Valuation'!$C$10:$I$17,MATCH($D541,'4. Valuation'!$C$10:$C$17,0),MATCH($G$25,'4. Valuation'!$C$10:$I$10,0)),0)</f>
        <v>0</v>
      </c>
      <c r="H541" s="273">
        <f>IFERROR(INDEX('4. Valuation'!$C$10:$I$17,MATCH($D541,'4. Valuation'!$C$10:$C$17,0),MATCH($H$25,'4. Valuation'!$C$10:$I$10,0)),0)</f>
        <v>0</v>
      </c>
      <c r="I541" s="359" t="str">
        <f>IFERROR(INDEX('4. Valuation'!$C$10:$I$17,MATCH($D541,'4. Valuation'!$C$10:$C$17,0),MATCH($I$25,'4. Valuation'!$C$10:$I$10,0)),0)</f>
        <v>-</v>
      </c>
      <c r="J541" s="277"/>
      <c r="K541" s="312">
        <f t="shared" si="99"/>
        <v>0</v>
      </c>
      <c r="L541" s="312">
        <f t="shared" si="100"/>
        <v>0</v>
      </c>
      <c r="M541" s="359">
        <f t="shared" si="101"/>
        <v>0</v>
      </c>
      <c r="N541" s="278"/>
      <c r="O541" s="278"/>
      <c r="P541" s="278"/>
      <c r="Q541" s="278"/>
      <c r="R541" s="312">
        <f>IFERROR(INDEX('4. Valuation'!$O$10:$X$17,MATCH($D541,'4. Valuation'!$O$10:$O$17,0),MATCH($R$25,'4. Valuation'!$O$10:$X$10,0)),0)</f>
        <v>0</v>
      </c>
      <c r="S541" s="312">
        <f>IFERROR(INDEX('4. Valuation'!$O$10:$X$17,MATCH($D541,'4. Valuation'!$O$10:$O$17,0),MATCH($S$25,'4. Valuation'!$O$10:$X$10,0)),0)</f>
        <v>0</v>
      </c>
      <c r="T541" s="312" t="str">
        <f>IFERROR(INDEX('4. Valuation'!$O$10:$X$17,MATCH($D541,'4. Valuation'!$O$10:$O$17,0),MATCH($T$25,'4. Valuation'!$O$10:$X$10,0)),0)</f>
        <v>-</v>
      </c>
      <c r="U541" s="278"/>
      <c r="V541" s="312">
        <f t="shared" si="102"/>
        <v>0</v>
      </c>
      <c r="W541" s="312">
        <f t="shared" si="103"/>
        <v>0</v>
      </c>
      <c r="X541" s="312">
        <f t="shared" si="104"/>
        <v>0</v>
      </c>
      <c r="Y541" s="278"/>
      <c r="Z541" s="312">
        <f t="shared" si="105"/>
        <v>0</v>
      </c>
      <c r="AA541" s="312">
        <f>'3. GRI Pricing'!Y532</f>
        <v>0</v>
      </c>
      <c r="AB541" s="359">
        <f t="shared" si="106"/>
        <v>0</v>
      </c>
    </row>
    <row r="542" spans="3:28" s="30" customFormat="1" ht="12" x14ac:dyDescent="0.2">
      <c r="C542" s="77">
        <f>'1. Accomodation'!N537</f>
        <v>0</v>
      </c>
      <c r="D542" s="77">
        <f>'1. Accomodation'!P537</f>
        <v>0</v>
      </c>
      <c r="E542" s="77">
        <f>'1. Accomodation'!O537</f>
        <v>0</v>
      </c>
      <c r="G542" s="341">
        <f>IFERROR(INDEX('4. Valuation'!$C$10:$I$17,MATCH($D542,'4. Valuation'!$C$10:$C$17,0),MATCH($G$25,'4. Valuation'!$C$10:$I$10,0)),0)</f>
        <v>0</v>
      </c>
      <c r="H542" s="273">
        <f>IFERROR(INDEX('4. Valuation'!$C$10:$I$17,MATCH($D542,'4. Valuation'!$C$10:$C$17,0),MATCH($H$25,'4. Valuation'!$C$10:$I$10,0)),0)</f>
        <v>0</v>
      </c>
      <c r="I542" s="359" t="str">
        <f>IFERROR(INDEX('4. Valuation'!$C$10:$I$17,MATCH($D542,'4. Valuation'!$C$10:$C$17,0),MATCH($I$25,'4. Valuation'!$C$10:$I$10,0)),0)</f>
        <v>-</v>
      </c>
      <c r="J542" s="277"/>
      <c r="K542" s="312">
        <f t="shared" si="99"/>
        <v>0</v>
      </c>
      <c r="L542" s="312">
        <f t="shared" si="100"/>
        <v>0</v>
      </c>
      <c r="M542" s="359">
        <f t="shared" si="101"/>
        <v>0</v>
      </c>
      <c r="N542" s="278"/>
      <c r="O542" s="278"/>
      <c r="P542" s="278"/>
      <c r="Q542" s="278"/>
      <c r="R542" s="312">
        <f>IFERROR(INDEX('4. Valuation'!$O$10:$X$17,MATCH($D542,'4. Valuation'!$O$10:$O$17,0),MATCH($R$25,'4. Valuation'!$O$10:$X$10,0)),0)</f>
        <v>0</v>
      </c>
      <c r="S542" s="312">
        <f>IFERROR(INDEX('4. Valuation'!$O$10:$X$17,MATCH($D542,'4. Valuation'!$O$10:$O$17,0),MATCH($S$25,'4. Valuation'!$O$10:$X$10,0)),0)</f>
        <v>0</v>
      </c>
      <c r="T542" s="312" t="str">
        <f>IFERROR(INDEX('4. Valuation'!$O$10:$X$17,MATCH($D542,'4. Valuation'!$O$10:$O$17,0),MATCH($T$25,'4. Valuation'!$O$10:$X$10,0)),0)</f>
        <v>-</v>
      </c>
      <c r="U542" s="278"/>
      <c r="V542" s="312">
        <f t="shared" si="102"/>
        <v>0</v>
      </c>
      <c r="W542" s="312">
        <f t="shared" si="103"/>
        <v>0</v>
      </c>
      <c r="X542" s="312">
        <f t="shared" si="104"/>
        <v>0</v>
      </c>
      <c r="Y542" s="278"/>
      <c r="Z542" s="312">
        <f t="shared" si="105"/>
        <v>0</v>
      </c>
      <c r="AA542" s="312">
        <f>'3. GRI Pricing'!Y533</f>
        <v>0</v>
      </c>
      <c r="AB542" s="359">
        <f t="shared" si="106"/>
        <v>0</v>
      </c>
    </row>
    <row r="543" spans="3:28" s="30" customFormat="1" ht="12" x14ac:dyDescent="0.2">
      <c r="C543" s="77">
        <f>'1. Accomodation'!N538</f>
        <v>0</v>
      </c>
      <c r="D543" s="77">
        <f>'1. Accomodation'!P538</f>
        <v>0</v>
      </c>
      <c r="E543" s="77">
        <f>'1. Accomodation'!O538</f>
        <v>0</v>
      </c>
      <c r="G543" s="341">
        <f>IFERROR(INDEX('4. Valuation'!$C$10:$I$17,MATCH($D543,'4. Valuation'!$C$10:$C$17,0),MATCH($G$25,'4. Valuation'!$C$10:$I$10,0)),0)</f>
        <v>0</v>
      </c>
      <c r="H543" s="273">
        <f>IFERROR(INDEX('4. Valuation'!$C$10:$I$17,MATCH($D543,'4. Valuation'!$C$10:$C$17,0),MATCH($H$25,'4. Valuation'!$C$10:$I$10,0)),0)</f>
        <v>0</v>
      </c>
      <c r="I543" s="359" t="str">
        <f>IFERROR(INDEX('4. Valuation'!$C$10:$I$17,MATCH($D543,'4. Valuation'!$C$10:$C$17,0),MATCH($I$25,'4. Valuation'!$C$10:$I$10,0)),0)</f>
        <v>-</v>
      </c>
      <c r="J543" s="277"/>
      <c r="K543" s="312">
        <f t="shared" si="99"/>
        <v>0</v>
      </c>
      <c r="L543" s="312">
        <f t="shared" si="100"/>
        <v>0</v>
      </c>
      <c r="M543" s="359">
        <f t="shared" si="101"/>
        <v>0</v>
      </c>
      <c r="N543" s="278"/>
      <c r="O543" s="278"/>
      <c r="P543" s="278"/>
      <c r="Q543" s="278"/>
      <c r="R543" s="312">
        <f>IFERROR(INDEX('4. Valuation'!$O$10:$X$17,MATCH($D543,'4. Valuation'!$O$10:$O$17,0),MATCH($R$25,'4. Valuation'!$O$10:$X$10,0)),0)</f>
        <v>0</v>
      </c>
      <c r="S543" s="312">
        <f>IFERROR(INDEX('4. Valuation'!$O$10:$X$17,MATCH($D543,'4. Valuation'!$O$10:$O$17,0),MATCH($S$25,'4. Valuation'!$O$10:$X$10,0)),0)</f>
        <v>0</v>
      </c>
      <c r="T543" s="312" t="str">
        <f>IFERROR(INDEX('4. Valuation'!$O$10:$X$17,MATCH($D543,'4. Valuation'!$O$10:$O$17,0),MATCH($T$25,'4. Valuation'!$O$10:$X$10,0)),0)</f>
        <v>-</v>
      </c>
      <c r="U543" s="278"/>
      <c r="V543" s="312">
        <f t="shared" si="102"/>
        <v>0</v>
      </c>
      <c r="W543" s="312">
        <f t="shared" si="103"/>
        <v>0</v>
      </c>
      <c r="X543" s="312">
        <f t="shared" si="104"/>
        <v>0</v>
      </c>
      <c r="Y543" s="278"/>
      <c r="Z543" s="312">
        <f t="shared" si="105"/>
        <v>0</v>
      </c>
      <c r="AA543" s="312">
        <f>'3. GRI Pricing'!Y534</f>
        <v>0</v>
      </c>
      <c r="AB543" s="359">
        <f t="shared" si="106"/>
        <v>0</v>
      </c>
    </row>
    <row r="544" spans="3:28" s="30" customFormat="1" ht="12" x14ac:dyDescent="0.2">
      <c r="C544" s="77">
        <f>'1. Accomodation'!N539</f>
        <v>0</v>
      </c>
      <c r="D544" s="77">
        <f>'1. Accomodation'!P539</f>
        <v>0</v>
      </c>
      <c r="E544" s="77">
        <f>'1. Accomodation'!O539</f>
        <v>0</v>
      </c>
      <c r="G544" s="341">
        <f>IFERROR(INDEX('4. Valuation'!$C$10:$I$17,MATCH($D544,'4. Valuation'!$C$10:$C$17,0),MATCH($G$25,'4. Valuation'!$C$10:$I$10,0)),0)</f>
        <v>0</v>
      </c>
      <c r="H544" s="273">
        <f>IFERROR(INDEX('4. Valuation'!$C$10:$I$17,MATCH($D544,'4. Valuation'!$C$10:$C$17,0),MATCH($H$25,'4. Valuation'!$C$10:$I$10,0)),0)</f>
        <v>0</v>
      </c>
      <c r="I544" s="359" t="str">
        <f>IFERROR(INDEX('4. Valuation'!$C$10:$I$17,MATCH($D544,'4. Valuation'!$C$10:$C$17,0),MATCH($I$25,'4. Valuation'!$C$10:$I$10,0)),0)</f>
        <v>-</v>
      </c>
      <c r="J544" s="277"/>
      <c r="K544" s="312">
        <f t="shared" si="99"/>
        <v>0</v>
      </c>
      <c r="L544" s="312">
        <f t="shared" si="100"/>
        <v>0</v>
      </c>
      <c r="M544" s="359">
        <f t="shared" si="101"/>
        <v>0</v>
      </c>
      <c r="N544" s="278"/>
      <c r="O544" s="278"/>
      <c r="P544" s="278"/>
      <c r="Q544" s="278"/>
      <c r="R544" s="312">
        <f>IFERROR(INDEX('4. Valuation'!$O$10:$X$17,MATCH($D544,'4. Valuation'!$O$10:$O$17,0),MATCH($R$25,'4. Valuation'!$O$10:$X$10,0)),0)</f>
        <v>0</v>
      </c>
      <c r="S544" s="312">
        <f>IFERROR(INDEX('4. Valuation'!$O$10:$X$17,MATCH($D544,'4. Valuation'!$O$10:$O$17,0),MATCH($S$25,'4. Valuation'!$O$10:$X$10,0)),0)</f>
        <v>0</v>
      </c>
      <c r="T544" s="312" t="str">
        <f>IFERROR(INDEX('4. Valuation'!$O$10:$X$17,MATCH($D544,'4. Valuation'!$O$10:$O$17,0),MATCH($T$25,'4. Valuation'!$O$10:$X$10,0)),0)</f>
        <v>-</v>
      </c>
      <c r="U544" s="278"/>
      <c r="V544" s="312">
        <f t="shared" si="102"/>
        <v>0</v>
      </c>
      <c r="W544" s="312">
        <f t="shared" si="103"/>
        <v>0</v>
      </c>
      <c r="X544" s="312">
        <f t="shared" si="104"/>
        <v>0</v>
      </c>
      <c r="Y544" s="278"/>
      <c r="Z544" s="312">
        <f t="shared" si="105"/>
        <v>0</v>
      </c>
      <c r="AA544" s="312">
        <f>'3. GRI Pricing'!Y535</f>
        <v>0</v>
      </c>
      <c r="AB544" s="359">
        <f t="shared" si="106"/>
        <v>0</v>
      </c>
    </row>
    <row r="545" spans="3:28" s="30" customFormat="1" ht="12" x14ac:dyDescent="0.2">
      <c r="C545" s="77">
        <f>'1. Accomodation'!N540</f>
        <v>0</v>
      </c>
      <c r="D545" s="77">
        <f>'1. Accomodation'!P540</f>
        <v>0</v>
      </c>
      <c r="E545" s="77">
        <f>'1. Accomodation'!O540</f>
        <v>0</v>
      </c>
      <c r="G545" s="341">
        <f>IFERROR(INDEX('4. Valuation'!$C$10:$I$17,MATCH($D545,'4. Valuation'!$C$10:$C$17,0),MATCH($G$25,'4. Valuation'!$C$10:$I$10,0)),0)</f>
        <v>0</v>
      </c>
      <c r="H545" s="273">
        <f>IFERROR(INDEX('4. Valuation'!$C$10:$I$17,MATCH($D545,'4. Valuation'!$C$10:$C$17,0),MATCH($H$25,'4. Valuation'!$C$10:$I$10,0)),0)</f>
        <v>0</v>
      </c>
      <c r="I545" s="359" t="str">
        <f>IFERROR(INDEX('4. Valuation'!$C$10:$I$17,MATCH($D545,'4. Valuation'!$C$10:$C$17,0),MATCH($I$25,'4. Valuation'!$C$10:$I$10,0)),0)</f>
        <v>-</v>
      </c>
      <c r="J545" s="277"/>
      <c r="K545" s="312">
        <f t="shared" si="99"/>
        <v>0</v>
      </c>
      <c r="L545" s="312">
        <f t="shared" si="100"/>
        <v>0</v>
      </c>
      <c r="M545" s="359">
        <f t="shared" si="101"/>
        <v>0</v>
      </c>
      <c r="N545" s="278"/>
      <c r="O545" s="278"/>
      <c r="P545" s="278"/>
      <c r="Q545" s="278"/>
      <c r="R545" s="312">
        <f>IFERROR(INDEX('4. Valuation'!$O$10:$X$17,MATCH($D545,'4. Valuation'!$O$10:$O$17,0),MATCH($R$25,'4. Valuation'!$O$10:$X$10,0)),0)</f>
        <v>0</v>
      </c>
      <c r="S545" s="312">
        <f>IFERROR(INDEX('4. Valuation'!$O$10:$X$17,MATCH($D545,'4. Valuation'!$O$10:$O$17,0),MATCH($S$25,'4. Valuation'!$O$10:$X$10,0)),0)</f>
        <v>0</v>
      </c>
      <c r="T545" s="312" t="str">
        <f>IFERROR(INDEX('4. Valuation'!$O$10:$X$17,MATCH($D545,'4. Valuation'!$O$10:$O$17,0),MATCH($T$25,'4. Valuation'!$O$10:$X$10,0)),0)</f>
        <v>-</v>
      </c>
      <c r="U545" s="278"/>
      <c r="V545" s="312">
        <f t="shared" si="102"/>
        <v>0</v>
      </c>
      <c r="W545" s="312">
        <f t="shared" si="103"/>
        <v>0</v>
      </c>
      <c r="X545" s="312">
        <f t="shared" si="104"/>
        <v>0</v>
      </c>
      <c r="Y545" s="278"/>
      <c r="Z545" s="312">
        <f t="shared" si="105"/>
        <v>0</v>
      </c>
      <c r="AA545" s="312">
        <f>'3. GRI Pricing'!Y536</f>
        <v>0</v>
      </c>
      <c r="AB545" s="359">
        <f t="shared" si="106"/>
        <v>0</v>
      </c>
    </row>
    <row r="546" spans="3:28" s="30" customFormat="1" ht="12" x14ac:dyDescent="0.2">
      <c r="C546" s="77">
        <f>'1. Accomodation'!N541</f>
        <v>0</v>
      </c>
      <c r="D546" s="77">
        <f>'1. Accomodation'!P541</f>
        <v>0</v>
      </c>
      <c r="E546" s="77">
        <f>'1. Accomodation'!O541</f>
        <v>0</v>
      </c>
      <c r="G546" s="341">
        <f>IFERROR(INDEX('4. Valuation'!$C$10:$I$17,MATCH($D546,'4. Valuation'!$C$10:$C$17,0),MATCH($G$25,'4. Valuation'!$C$10:$I$10,0)),0)</f>
        <v>0</v>
      </c>
      <c r="H546" s="273">
        <f>IFERROR(INDEX('4. Valuation'!$C$10:$I$17,MATCH($D546,'4. Valuation'!$C$10:$C$17,0),MATCH($H$25,'4. Valuation'!$C$10:$I$10,0)),0)</f>
        <v>0</v>
      </c>
      <c r="I546" s="359" t="str">
        <f>IFERROR(INDEX('4. Valuation'!$C$10:$I$17,MATCH($D546,'4. Valuation'!$C$10:$C$17,0),MATCH($I$25,'4. Valuation'!$C$10:$I$10,0)),0)</f>
        <v>-</v>
      </c>
      <c r="J546" s="277"/>
      <c r="K546" s="312">
        <f t="shared" si="99"/>
        <v>0</v>
      </c>
      <c r="L546" s="312">
        <f t="shared" si="100"/>
        <v>0</v>
      </c>
      <c r="M546" s="359">
        <f t="shared" si="101"/>
        <v>0</v>
      </c>
      <c r="N546" s="278"/>
      <c r="O546" s="278"/>
      <c r="P546" s="278"/>
      <c r="Q546" s="278"/>
      <c r="R546" s="312">
        <f>IFERROR(INDEX('4. Valuation'!$O$10:$X$17,MATCH($D546,'4. Valuation'!$O$10:$O$17,0),MATCH($R$25,'4. Valuation'!$O$10:$X$10,0)),0)</f>
        <v>0</v>
      </c>
      <c r="S546" s="312">
        <f>IFERROR(INDEX('4. Valuation'!$O$10:$X$17,MATCH($D546,'4. Valuation'!$O$10:$O$17,0),MATCH($S$25,'4. Valuation'!$O$10:$X$10,0)),0)</f>
        <v>0</v>
      </c>
      <c r="T546" s="312" t="str">
        <f>IFERROR(INDEX('4. Valuation'!$O$10:$X$17,MATCH($D546,'4. Valuation'!$O$10:$O$17,0),MATCH($T$25,'4. Valuation'!$O$10:$X$10,0)),0)</f>
        <v>-</v>
      </c>
      <c r="U546" s="278"/>
      <c r="V546" s="312">
        <f t="shared" si="102"/>
        <v>0</v>
      </c>
      <c r="W546" s="312">
        <f t="shared" si="103"/>
        <v>0</v>
      </c>
      <c r="X546" s="312">
        <f t="shared" si="104"/>
        <v>0</v>
      </c>
      <c r="Y546" s="278"/>
      <c r="Z546" s="312">
        <f t="shared" si="105"/>
        <v>0</v>
      </c>
      <c r="AA546" s="312">
        <f>'3. GRI Pricing'!Y537</f>
        <v>0</v>
      </c>
      <c r="AB546" s="359">
        <f t="shared" si="106"/>
        <v>0</v>
      </c>
    </row>
    <row r="547" spans="3:28" s="30" customFormat="1" ht="12" x14ac:dyDescent="0.2">
      <c r="C547" s="77">
        <f>'1. Accomodation'!N542</f>
        <v>0</v>
      </c>
      <c r="D547" s="77">
        <f>'1. Accomodation'!P542</f>
        <v>0</v>
      </c>
      <c r="E547" s="77">
        <f>'1. Accomodation'!O542</f>
        <v>0</v>
      </c>
      <c r="G547" s="341">
        <f>IFERROR(INDEX('4. Valuation'!$C$10:$I$17,MATCH($D547,'4. Valuation'!$C$10:$C$17,0),MATCH($G$25,'4. Valuation'!$C$10:$I$10,0)),0)</f>
        <v>0</v>
      </c>
      <c r="H547" s="273">
        <f>IFERROR(INDEX('4. Valuation'!$C$10:$I$17,MATCH($D547,'4. Valuation'!$C$10:$C$17,0),MATCH($H$25,'4. Valuation'!$C$10:$I$10,0)),0)</f>
        <v>0</v>
      </c>
      <c r="I547" s="359" t="str">
        <f>IFERROR(INDEX('4. Valuation'!$C$10:$I$17,MATCH($D547,'4. Valuation'!$C$10:$C$17,0),MATCH($I$25,'4. Valuation'!$C$10:$I$10,0)),0)</f>
        <v>-</v>
      </c>
      <c r="J547" s="277"/>
      <c r="K547" s="312">
        <f t="shared" si="99"/>
        <v>0</v>
      </c>
      <c r="L547" s="312">
        <f t="shared" si="100"/>
        <v>0</v>
      </c>
      <c r="M547" s="359">
        <f t="shared" si="101"/>
        <v>0</v>
      </c>
      <c r="N547" s="278"/>
      <c r="O547" s="278"/>
      <c r="P547" s="278"/>
      <c r="Q547" s="278"/>
      <c r="R547" s="312">
        <f>IFERROR(INDEX('4. Valuation'!$O$10:$X$17,MATCH($D547,'4. Valuation'!$O$10:$O$17,0),MATCH($R$25,'4. Valuation'!$O$10:$X$10,0)),0)</f>
        <v>0</v>
      </c>
      <c r="S547" s="312">
        <f>IFERROR(INDEX('4. Valuation'!$O$10:$X$17,MATCH($D547,'4. Valuation'!$O$10:$O$17,0),MATCH($S$25,'4. Valuation'!$O$10:$X$10,0)),0)</f>
        <v>0</v>
      </c>
      <c r="T547" s="312" t="str">
        <f>IFERROR(INDEX('4. Valuation'!$O$10:$X$17,MATCH($D547,'4. Valuation'!$O$10:$O$17,0),MATCH($T$25,'4. Valuation'!$O$10:$X$10,0)),0)</f>
        <v>-</v>
      </c>
      <c r="U547" s="278"/>
      <c r="V547" s="312">
        <f t="shared" si="102"/>
        <v>0</v>
      </c>
      <c r="W547" s="312">
        <f t="shared" si="103"/>
        <v>0</v>
      </c>
      <c r="X547" s="312">
        <f t="shared" si="104"/>
        <v>0</v>
      </c>
      <c r="Y547" s="278"/>
      <c r="Z547" s="312">
        <f t="shared" si="105"/>
        <v>0</v>
      </c>
      <c r="AA547" s="312">
        <f>'3. GRI Pricing'!Y538</f>
        <v>0</v>
      </c>
      <c r="AB547" s="359">
        <f t="shared" si="106"/>
        <v>0</v>
      </c>
    </row>
    <row r="548" spans="3:28" s="30" customFormat="1" ht="12" x14ac:dyDescent="0.2">
      <c r="C548" s="77">
        <f>'1. Accomodation'!N543</f>
        <v>0</v>
      </c>
      <c r="D548" s="77">
        <f>'1. Accomodation'!P543</f>
        <v>0</v>
      </c>
      <c r="E548" s="77">
        <f>'1. Accomodation'!O543</f>
        <v>0</v>
      </c>
      <c r="G548" s="341">
        <f>IFERROR(INDEX('4. Valuation'!$C$10:$I$17,MATCH($D548,'4. Valuation'!$C$10:$C$17,0),MATCH($G$25,'4. Valuation'!$C$10:$I$10,0)),0)</f>
        <v>0</v>
      </c>
      <c r="H548" s="273">
        <f>IFERROR(INDEX('4. Valuation'!$C$10:$I$17,MATCH($D548,'4. Valuation'!$C$10:$C$17,0),MATCH($H$25,'4. Valuation'!$C$10:$I$10,0)),0)</f>
        <v>0</v>
      </c>
      <c r="I548" s="359" t="str">
        <f>IFERROR(INDEX('4. Valuation'!$C$10:$I$17,MATCH($D548,'4. Valuation'!$C$10:$C$17,0),MATCH($I$25,'4. Valuation'!$C$10:$I$10,0)),0)</f>
        <v>-</v>
      </c>
      <c r="J548" s="277"/>
      <c r="K548" s="312">
        <f t="shared" si="99"/>
        <v>0</v>
      </c>
      <c r="L548" s="312">
        <f t="shared" si="100"/>
        <v>0</v>
      </c>
      <c r="M548" s="359">
        <f t="shared" si="101"/>
        <v>0</v>
      </c>
      <c r="N548" s="278"/>
      <c r="O548" s="278"/>
      <c r="P548" s="278"/>
      <c r="Q548" s="278"/>
      <c r="R548" s="312">
        <f>IFERROR(INDEX('4. Valuation'!$O$10:$X$17,MATCH($D548,'4. Valuation'!$O$10:$O$17,0),MATCH($R$25,'4. Valuation'!$O$10:$X$10,0)),0)</f>
        <v>0</v>
      </c>
      <c r="S548" s="312">
        <f>IFERROR(INDEX('4. Valuation'!$O$10:$X$17,MATCH($D548,'4. Valuation'!$O$10:$O$17,0),MATCH($S$25,'4. Valuation'!$O$10:$X$10,0)),0)</f>
        <v>0</v>
      </c>
      <c r="T548" s="312" t="str">
        <f>IFERROR(INDEX('4. Valuation'!$O$10:$X$17,MATCH($D548,'4. Valuation'!$O$10:$O$17,0),MATCH($T$25,'4. Valuation'!$O$10:$X$10,0)),0)</f>
        <v>-</v>
      </c>
      <c r="U548" s="278"/>
      <c r="V548" s="312">
        <f t="shared" si="102"/>
        <v>0</v>
      </c>
      <c r="W548" s="312">
        <f t="shared" si="103"/>
        <v>0</v>
      </c>
      <c r="X548" s="312">
        <f t="shared" si="104"/>
        <v>0</v>
      </c>
      <c r="Y548" s="278"/>
      <c r="Z548" s="312">
        <f t="shared" si="105"/>
        <v>0</v>
      </c>
      <c r="AA548" s="312">
        <f>'3. GRI Pricing'!Y539</f>
        <v>0</v>
      </c>
      <c r="AB548" s="359">
        <f t="shared" si="106"/>
        <v>0</v>
      </c>
    </row>
    <row r="549" spans="3:28" s="30" customFormat="1" ht="12" x14ac:dyDescent="0.2">
      <c r="C549" s="77">
        <f>'1. Accomodation'!N544</f>
        <v>0</v>
      </c>
      <c r="D549" s="77">
        <f>'1. Accomodation'!P544</f>
        <v>0</v>
      </c>
      <c r="E549" s="77">
        <f>'1. Accomodation'!O544</f>
        <v>0</v>
      </c>
      <c r="G549" s="341">
        <f>IFERROR(INDEX('4. Valuation'!$C$10:$I$17,MATCH($D549,'4. Valuation'!$C$10:$C$17,0),MATCH($G$25,'4. Valuation'!$C$10:$I$10,0)),0)</f>
        <v>0</v>
      </c>
      <c r="H549" s="273">
        <f>IFERROR(INDEX('4. Valuation'!$C$10:$I$17,MATCH($D549,'4. Valuation'!$C$10:$C$17,0),MATCH($H$25,'4. Valuation'!$C$10:$I$10,0)),0)</f>
        <v>0</v>
      </c>
      <c r="I549" s="359" t="str">
        <f>IFERROR(INDEX('4. Valuation'!$C$10:$I$17,MATCH($D549,'4. Valuation'!$C$10:$C$17,0),MATCH($I$25,'4. Valuation'!$C$10:$I$10,0)),0)</f>
        <v>-</v>
      </c>
      <c r="J549" s="277"/>
      <c r="K549" s="312">
        <f t="shared" si="99"/>
        <v>0</v>
      </c>
      <c r="L549" s="312">
        <f t="shared" si="100"/>
        <v>0</v>
      </c>
      <c r="M549" s="359">
        <f t="shared" si="101"/>
        <v>0</v>
      </c>
      <c r="N549" s="278"/>
      <c r="O549" s="278"/>
      <c r="P549" s="278"/>
      <c r="Q549" s="278"/>
      <c r="R549" s="312">
        <f>IFERROR(INDEX('4. Valuation'!$O$10:$X$17,MATCH($D549,'4. Valuation'!$O$10:$O$17,0),MATCH($R$25,'4. Valuation'!$O$10:$X$10,0)),0)</f>
        <v>0</v>
      </c>
      <c r="S549" s="312">
        <f>IFERROR(INDEX('4. Valuation'!$O$10:$X$17,MATCH($D549,'4. Valuation'!$O$10:$O$17,0),MATCH($S$25,'4. Valuation'!$O$10:$X$10,0)),0)</f>
        <v>0</v>
      </c>
      <c r="T549" s="312" t="str">
        <f>IFERROR(INDEX('4. Valuation'!$O$10:$X$17,MATCH($D549,'4. Valuation'!$O$10:$O$17,0),MATCH($T$25,'4. Valuation'!$O$10:$X$10,0)),0)</f>
        <v>-</v>
      </c>
      <c r="U549" s="278"/>
      <c r="V549" s="312">
        <f t="shared" si="102"/>
        <v>0</v>
      </c>
      <c r="W549" s="312">
        <f t="shared" si="103"/>
        <v>0</v>
      </c>
      <c r="X549" s="312">
        <f t="shared" si="104"/>
        <v>0</v>
      </c>
      <c r="Y549" s="278"/>
      <c r="Z549" s="312">
        <f t="shared" si="105"/>
        <v>0</v>
      </c>
      <c r="AA549" s="312">
        <f>'3. GRI Pricing'!Y540</f>
        <v>0</v>
      </c>
      <c r="AB549" s="359">
        <f t="shared" si="106"/>
        <v>0</v>
      </c>
    </row>
    <row r="550" spans="3:28" s="30" customFormat="1" ht="12" x14ac:dyDescent="0.2">
      <c r="C550" s="77">
        <f>'1. Accomodation'!N545</f>
        <v>0</v>
      </c>
      <c r="D550" s="77">
        <f>'1. Accomodation'!P545</f>
        <v>0</v>
      </c>
      <c r="E550" s="77">
        <f>'1. Accomodation'!O545</f>
        <v>0</v>
      </c>
      <c r="G550" s="341">
        <f>IFERROR(INDEX('4. Valuation'!$C$10:$I$17,MATCH($D550,'4. Valuation'!$C$10:$C$17,0),MATCH($G$25,'4. Valuation'!$C$10:$I$10,0)),0)</f>
        <v>0</v>
      </c>
      <c r="H550" s="273">
        <f>IFERROR(INDEX('4. Valuation'!$C$10:$I$17,MATCH($D550,'4. Valuation'!$C$10:$C$17,0),MATCH($H$25,'4. Valuation'!$C$10:$I$10,0)),0)</f>
        <v>0</v>
      </c>
      <c r="I550" s="359" t="str">
        <f>IFERROR(INDEX('4. Valuation'!$C$10:$I$17,MATCH($D550,'4. Valuation'!$C$10:$C$17,0),MATCH($I$25,'4. Valuation'!$C$10:$I$10,0)),0)</f>
        <v>-</v>
      </c>
      <c r="J550" s="277"/>
      <c r="K550" s="312">
        <f t="shared" si="99"/>
        <v>0</v>
      </c>
      <c r="L550" s="312">
        <f t="shared" si="100"/>
        <v>0</v>
      </c>
      <c r="M550" s="359">
        <f t="shared" si="101"/>
        <v>0</v>
      </c>
      <c r="N550" s="278"/>
      <c r="O550" s="278"/>
      <c r="P550" s="278"/>
      <c r="Q550" s="278"/>
      <c r="R550" s="312">
        <f>IFERROR(INDEX('4. Valuation'!$O$10:$X$17,MATCH($D550,'4. Valuation'!$O$10:$O$17,0),MATCH($R$25,'4. Valuation'!$O$10:$X$10,0)),0)</f>
        <v>0</v>
      </c>
      <c r="S550" s="312">
        <f>IFERROR(INDEX('4. Valuation'!$O$10:$X$17,MATCH($D550,'4. Valuation'!$O$10:$O$17,0),MATCH($S$25,'4. Valuation'!$O$10:$X$10,0)),0)</f>
        <v>0</v>
      </c>
      <c r="T550" s="312" t="str">
        <f>IFERROR(INDEX('4. Valuation'!$O$10:$X$17,MATCH($D550,'4. Valuation'!$O$10:$O$17,0),MATCH($T$25,'4. Valuation'!$O$10:$X$10,0)),0)</f>
        <v>-</v>
      </c>
      <c r="U550" s="278"/>
      <c r="V550" s="312">
        <f t="shared" si="102"/>
        <v>0</v>
      </c>
      <c r="W550" s="312">
        <f t="shared" si="103"/>
        <v>0</v>
      </c>
      <c r="X550" s="312">
        <f t="shared" si="104"/>
        <v>0</v>
      </c>
      <c r="Y550" s="278"/>
      <c r="Z550" s="312">
        <f t="shared" si="105"/>
        <v>0</v>
      </c>
      <c r="AA550" s="312">
        <f>'3. GRI Pricing'!Y541</f>
        <v>0</v>
      </c>
      <c r="AB550" s="359">
        <f t="shared" si="106"/>
        <v>0</v>
      </c>
    </row>
    <row r="551" spans="3:28" s="30" customFormat="1" ht="12" x14ac:dyDescent="0.2">
      <c r="C551" s="77">
        <f>'1. Accomodation'!N546</f>
        <v>0</v>
      </c>
      <c r="D551" s="77">
        <f>'1. Accomodation'!P546</f>
        <v>0</v>
      </c>
      <c r="E551" s="77">
        <f>'1. Accomodation'!O546</f>
        <v>0</v>
      </c>
      <c r="G551" s="341">
        <f>IFERROR(INDEX('4. Valuation'!$C$10:$I$17,MATCH($D551,'4. Valuation'!$C$10:$C$17,0),MATCH($G$25,'4. Valuation'!$C$10:$I$10,0)),0)</f>
        <v>0</v>
      </c>
      <c r="H551" s="273">
        <f>IFERROR(INDEX('4. Valuation'!$C$10:$I$17,MATCH($D551,'4. Valuation'!$C$10:$C$17,0),MATCH($H$25,'4. Valuation'!$C$10:$I$10,0)),0)</f>
        <v>0</v>
      </c>
      <c r="I551" s="359" t="str">
        <f>IFERROR(INDEX('4. Valuation'!$C$10:$I$17,MATCH($D551,'4. Valuation'!$C$10:$C$17,0),MATCH($I$25,'4. Valuation'!$C$10:$I$10,0)),0)</f>
        <v>-</v>
      </c>
      <c r="J551" s="277"/>
      <c r="K551" s="312">
        <f t="shared" si="99"/>
        <v>0</v>
      </c>
      <c r="L551" s="312">
        <f t="shared" si="100"/>
        <v>0</v>
      </c>
      <c r="M551" s="359">
        <f t="shared" si="101"/>
        <v>0</v>
      </c>
      <c r="N551" s="278"/>
      <c r="O551" s="278"/>
      <c r="P551" s="278"/>
      <c r="Q551" s="278"/>
      <c r="R551" s="312">
        <f>IFERROR(INDEX('4. Valuation'!$O$10:$X$17,MATCH($D551,'4. Valuation'!$O$10:$O$17,0),MATCH($R$25,'4. Valuation'!$O$10:$X$10,0)),0)</f>
        <v>0</v>
      </c>
      <c r="S551" s="312">
        <f>IFERROR(INDEX('4. Valuation'!$O$10:$X$17,MATCH($D551,'4. Valuation'!$O$10:$O$17,0),MATCH($S$25,'4. Valuation'!$O$10:$X$10,0)),0)</f>
        <v>0</v>
      </c>
      <c r="T551" s="312" t="str">
        <f>IFERROR(INDEX('4. Valuation'!$O$10:$X$17,MATCH($D551,'4. Valuation'!$O$10:$O$17,0),MATCH($T$25,'4. Valuation'!$O$10:$X$10,0)),0)</f>
        <v>-</v>
      </c>
      <c r="U551" s="278"/>
      <c r="V551" s="312">
        <f t="shared" si="102"/>
        <v>0</v>
      </c>
      <c r="W551" s="312">
        <f t="shared" si="103"/>
        <v>0</v>
      </c>
      <c r="X551" s="312">
        <f t="shared" si="104"/>
        <v>0</v>
      </c>
      <c r="Y551" s="278"/>
      <c r="Z551" s="312">
        <f t="shared" si="105"/>
        <v>0</v>
      </c>
      <c r="AA551" s="312">
        <f>'3. GRI Pricing'!Y542</f>
        <v>0</v>
      </c>
      <c r="AB551" s="359">
        <f t="shared" si="106"/>
        <v>0</v>
      </c>
    </row>
    <row r="552" spans="3:28" s="30" customFormat="1" ht="12" x14ac:dyDescent="0.2">
      <c r="C552" s="77">
        <f>'1. Accomodation'!N547</f>
        <v>0</v>
      </c>
      <c r="D552" s="77">
        <f>'1. Accomodation'!P547</f>
        <v>0</v>
      </c>
      <c r="E552" s="77">
        <f>'1. Accomodation'!O547</f>
        <v>0</v>
      </c>
      <c r="G552" s="341">
        <f>IFERROR(INDEX('4. Valuation'!$C$10:$I$17,MATCH($D552,'4. Valuation'!$C$10:$C$17,0),MATCH($G$25,'4. Valuation'!$C$10:$I$10,0)),0)</f>
        <v>0</v>
      </c>
      <c r="H552" s="273">
        <f>IFERROR(INDEX('4. Valuation'!$C$10:$I$17,MATCH($D552,'4. Valuation'!$C$10:$C$17,0),MATCH($H$25,'4. Valuation'!$C$10:$I$10,0)),0)</f>
        <v>0</v>
      </c>
      <c r="I552" s="359" t="str">
        <f>IFERROR(INDEX('4. Valuation'!$C$10:$I$17,MATCH($D552,'4. Valuation'!$C$10:$C$17,0),MATCH($I$25,'4. Valuation'!$C$10:$I$10,0)),0)</f>
        <v>-</v>
      </c>
      <c r="J552" s="277"/>
      <c r="K552" s="312">
        <f t="shared" si="99"/>
        <v>0</v>
      </c>
      <c r="L552" s="312">
        <f t="shared" si="100"/>
        <v>0</v>
      </c>
      <c r="M552" s="359">
        <f t="shared" si="101"/>
        <v>0</v>
      </c>
      <c r="N552" s="278"/>
      <c r="O552" s="278"/>
      <c r="P552" s="278"/>
      <c r="Q552" s="278"/>
      <c r="R552" s="312">
        <f>IFERROR(INDEX('4. Valuation'!$O$10:$X$17,MATCH($D552,'4. Valuation'!$O$10:$O$17,0),MATCH($R$25,'4. Valuation'!$O$10:$X$10,0)),0)</f>
        <v>0</v>
      </c>
      <c r="S552" s="312">
        <f>IFERROR(INDEX('4. Valuation'!$O$10:$X$17,MATCH($D552,'4. Valuation'!$O$10:$O$17,0),MATCH($S$25,'4. Valuation'!$O$10:$X$10,0)),0)</f>
        <v>0</v>
      </c>
      <c r="T552" s="312" t="str">
        <f>IFERROR(INDEX('4. Valuation'!$O$10:$X$17,MATCH($D552,'4. Valuation'!$O$10:$O$17,0),MATCH($T$25,'4. Valuation'!$O$10:$X$10,0)),0)</f>
        <v>-</v>
      </c>
      <c r="U552" s="278"/>
      <c r="V552" s="312">
        <f t="shared" si="102"/>
        <v>0</v>
      </c>
      <c r="W552" s="312">
        <f t="shared" si="103"/>
        <v>0</v>
      </c>
      <c r="X552" s="312">
        <f t="shared" si="104"/>
        <v>0</v>
      </c>
      <c r="Y552" s="278"/>
      <c r="Z552" s="312">
        <f t="shared" si="105"/>
        <v>0</v>
      </c>
      <c r="AA552" s="312">
        <f>'3. GRI Pricing'!Y543</f>
        <v>0</v>
      </c>
      <c r="AB552" s="359">
        <f t="shared" si="106"/>
        <v>0</v>
      </c>
    </row>
    <row r="553" spans="3:28" s="30" customFormat="1" ht="12" x14ac:dyDescent="0.2">
      <c r="C553" s="77">
        <f>'1. Accomodation'!N548</f>
        <v>0</v>
      </c>
      <c r="D553" s="77">
        <f>'1. Accomodation'!P548</f>
        <v>0</v>
      </c>
      <c r="E553" s="77">
        <f>'1. Accomodation'!O548</f>
        <v>0</v>
      </c>
      <c r="G553" s="341">
        <f>IFERROR(INDEX('4. Valuation'!$C$10:$I$17,MATCH($D553,'4. Valuation'!$C$10:$C$17,0),MATCH($G$25,'4. Valuation'!$C$10:$I$10,0)),0)</f>
        <v>0</v>
      </c>
      <c r="H553" s="273">
        <f>IFERROR(INDEX('4. Valuation'!$C$10:$I$17,MATCH($D553,'4. Valuation'!$C$10:$C$17,0),MATCH($H$25,'4. Valuation'!$C$10:$I$10,0)),0)</f>
        <v>0</v>
      </c>
      <c r="I553" s="359" t="str">
        <f>IFERROR(INDEX('4. Valuation'!$C$10:$I$17,MATCH($D553,'4. Valuation'!$C$10:$C$17,0),MATCH($I$25,'4. Valuation'!$C$10:$I$10,0)),0)</f>
        <v>-</v>
      </c>
      <c r="J553" s="277"/>
      <c r="K553" s="312">
        <f t="shared" si="99"/>
        <v>0</v>
      </c>
      <c r="L553" s="312">
        <f t="shared" si="100"/>
        <v>0</v>
      </c>
      <c r="M553" s="359">
        <f t="shared" si="101"/>
        <v>0</v>
      </c>
      <c r="N553" s="278"/>
      <c r="O553" s="278"/>
      <c r="P553" s="278"/>
      <c r="Q553" s="278"/>
      <c r="R553" s="312">
        <f>IFERROR(INDEX('4. Valuation'!$O$10:$X$17,MATCH($D553,'4. Valuation'!$O$10:$O$17,0),MATCH($R$25,'4. Valuation'!$O$10:$X$10,0)),0)</f>
        <v>0</v>
      </c>
      <c r="S553" s="312">
        <f>IFERROR(INDEX('4. Valuation'!$O$10:$X$17,MATCH($D553,'4. Valuation'!$O$10:$O$17,0),MATCH($S$25,'4. Valuation'!$O$10:$X$10,0)),0)</f>
        <v>0</v>
      </c>
      <c r="T553" s="312" t="str">
        <f>IFERROR(INDEX('4. Valuation'!$O$10:$X$17,MATCH($D553,'4. Valuation'!$O$10:$O$17,0),MATCH($T$25,'4. Valuation'!$O$10:$X$10,0)),0)</f>
        <v>-</v>
      </c>
      <c r="U553" s="278"/>
      <c r="V553" s="312">
        <f t="shared" si="102"/>
        <v>0</v>
      </c>
      <c r="W553" s="312">
        <f t="shared" si="103"/>
        <v>0</v>
      </c>
      <c r="X553" s="312">
        <f t="shared" si="104"/>
        <v>0</v>
      </c>
      <c r="Y553" s="278"/>
      <c r="Z553" s="312">
        <f t="shared" si="105"/>
        <v>0</v>
      </c>
      <c r="AA553" s="312">
        <f>'3. GRI Pricing'!Y544</f>
        <v>0</v>
      </c>
      <c r="AB553" s="359">
        <f t="shared" si="106"/>
        <v>0</v>
      </c>
    </row>
    <row r="554" spans="3:28" s="30" customFormat="1" ht="12" x14ac:dyDescent="0.2">
      <c r="C554" s="77">
        <f>'1. Accomodation'!N549</f>
        <v>0</v>
      </c>
      <c r="D554" s="77">
        <f>'1. Accomodation'!P549</f>
        <v>0</v>
      </c>
      <c r="E554" s="77">
        <f>'1. Accomodation'!O549</f>
        <v>0</v>
      </c>
      <c r="G554" s="341">
        <f>IFERROR(INDEX('4. Valuation'!$C$10:$I$17,MATCH($D554,'4. Valuation'!$C$10:$C$17,0),MATCH($G$25,'4. Valuation'!$C$10:$I$10,0)),0)</f>
        <v>0</v>
      </c>
      <c r="H554" s="273">
        <f>IFERROR(INDEX('4. Valuation'!$C$10:$I$17,MATCH($D554,'4. Valuation'!$C$10:$C$17,0),MATCH($H$25,'4. Valuation'!$C$10:$I$10,0)),0)</f>
        <v>0</v>
      </c>
      <c r="I554" s="359" t="str">
        <f>IFERROR(INDEX('4. Valuation'!$C$10:$I$17,MATCH($D554,'4. Valuation'!$C$10:$C$17,0),MATCH($I$25,'4. Valuation'!$C$10:$I$10,0)),0)</f>
        <v>-</v>
      </c>
      <c r="J554" s="277"/>
      <c r="K554" s="312">
        <f t="shared" si="99"/>
        <v>0</v>
      </c>
      <c r="L554" s="312">
        <f t="shared" si="100"/>
        <v>0</v>
      </c>
      <c r="M554" s="359">
        <f t="shared" si="101"/>
        <v>0</v>
      </c>
      <c r="N554" s="278"/>
      <c r="O554" s="278"/>
      <c r="P554" s="278"/>
      <c r="Q554" s="278"/>
      <c r="R554" s="312">
        <f>IFERROR(INDEX('4. Valuation'!$O$10:$X$17,MATCH($D554,'4. Valuation'!$O$10:$O$17,0),MATCH($R$25,'4. Valuation'!$O$10:$X$10,0)),0)</f>
        <v>0</v>
      </c>
      <c r="S554" s="312">
        <f>IFERROR(INDEX('4. Valuation'!$O$10:$X$17,MATCH($D554,'4. Valuation'!$O$10:$O$17,0),MATCH($S$25,'4. Valuation'!$O$10:$X$10,0)),0)</f>
        <v>0</v>
      </c>
      <c r="T554" s="312" t="str">
        <f>IFERROR(INDEX('4. Valuation'!$O$10:$X$17,MATCH($D554,'4. Valuation'!$O$10:$O$17,0),MATCH($T$25,'4. Valuation'!$O$10:$X$10,0)),0)</f>
        <v>-</v>
      </c>
      <c r="U554" s="278"/>
      <c r="V554" s="312">
        <f t="shared" si="102"/>
        <v>0</v>
      </c>
      <c r="W554" s="312">
        <f t="shared" si="103"/>
        <v>0</v>
      </c>
      <c r="X554" s="312">
        <f t="shared" si="104"/>
        <v>0</v>
      </c>
      <c r="Y554" s="278"/>
      <c r="Z554" s="312">
        <f t="shared" si="105"/>
        <v>0</v>
      </c>
      <c r="AA554" s="312">
        <f>'3. GRI Pricing'!Y545</f>
        <v>0</v>
      </c>
      <c r="AB554" s="359">
        <f t="shared" si="106"/>
        <v>0</v>
      </c>
    </row>
    <row r="555" spans="3:28" s="30" customFormat="1" ht="12" x14ac:dyDescent="0.2">
      <c r="C555" s="77">
        <f>'1. Accomodation'!N550</f>
        <v>0</v>
      </c>
      <c r="D555" s="77">
        <f>'1. Accomodation'!P550</f>
        <v>0</v>
      </c>
      <c r="E555" s="77">
        <f>'1. Accomodation'!O550</f>
        <v>0</v>
      </c>
      <c r="G555" s="341">
        <f>IFERROR(INDEX('4. Valuation'!$C$10:$I$17,MATCH($D555,'4. Valuation'!$C$10:$C$17,0),MATCH($G$25,'4. Valuation'!$C$10:$I$10,0)),0)</f>
        <v>0</v>
      </c>
      <c r="H555" s="273">
        <f>IFERROR(INDEX('4. Valuation'!$C$10:$I$17,MATCH($D555,'4. Valuation'!$C$10:$C$17,0),MATCH($H$25,'4. Valuation'!$C$10:$I$10,0)),0)</f>
        <v>0</v>
      </c>
      <c r="I555" s="359" t="str">
        <f>IFERROR(INDEX('4. Valuation'!$C$10:$I$17,MATCH($D555,'4. Valuation'!$C$10:$C$17,0),MATCH($I$25,'4. Valuation'!$C$10:$I$10,0)),0)</f>
        <v>-</v>
      </c>
      <c r="J555" s="277"/>
      <c r="K555" s="312">
        <f t="shared" si="99"/>
        <v>0</v>
      </c>
      <c r="L555" s="312">
        <f t="shared" si="100"/>
        <v>0</v>
      </c>
      <c r="M555" s="359">
        <f t="shared" si="101"/>
        <v>0</v>
      </c>
      <c r="N555" s="278"/>
      <c r="O555" s="278"/>
      <c r="P555" s="278"/>
      <c r="Q555" s="278"/>
      <c r="R555" s="312">
        <f>IFERROR(INDEX('4. Valuation'!$O$10:$X$17,MATCH($D555,'4. Valuation'!$O$10:$O$17,0),MATCH($R$25,'4. Valuation'!$O$10:$X$10,0)),0)</f>
        <v>0</v>
      </c>
      <c r="S555" s="312">
        <f>IFERROR(INDEX('4. Valuation'!$O$10:$X$17,MATCH($D555,'4. Valuation'!$O$10:$O$17,0),MATCH($S$25,'4. Valuation'!$O$10:$X$10,0)),0)</f>
        <v>0</v>
      </c>
      <c r="T555" s="312" t="str">
        <f>IFERROR(INDEX('4. Valuation'!$O$10:$X$17,MATCH($D555,'4. Valuation'!$O$10:$O$17,0),MATCH($T$25,'4. Valuation'!$O$10:$X$10,0)),0)</f>
        <v>-</v>
      </c>
      <c r="U555" s="278"/>
      <c r="V555" s="312">
        <f t="shared" si="102"/>
        <v>0</v>
      </c>
      <c r="W555" s="312">
        <f t="shared" si="103"/>
        <v>0</v>
      </c>
      <c r="X555" s="312">
        <f t="shared" si="104"/>
        <v>0</v>
      </c>
      <c r="Y555" s="278"/>
      <c r="Z555" s="312">
        <f t="shared" si="105"/>
        <v>0</v>
      </c>
      <c r="AA555" s="312">
        <f>'3. GRI Pricing'!Y546</f>
        <v>0</v>
      </c>
      <c r="AB555" s="359">
        <f t="shared" si="106"/>
        <v>0</v>
      </c>
    </row>
    <row r="556" spans="3:28" s="30" customFormat="1" ht="12" x14ac:dyDescent="0.2">
      <c r="C556" s="77">
        <f>'1. Accomodation'!N551</f>
        <v>0</v>
      </c>
      <c r="D556" s="77">
        <f>'1. Accomodation'!P551</f>
        <v>0</v>
      </c>
      <c r="E556" s="77">
        <f>'1. Accomodation'!O551</f>
        <v>0</v>
      </c>
      <c r="G556" s="341">
        <f>IFERROR(INDEX('4. Valuation'!$C$10:$I$17,MATCH($D556,'4. Valuation'!$C$10:$C$17,0),MATCH($G$25,'4. Valuation'!$C$10:$I$10,0)),0)</f>
        <v>0</v>
      </c>
      <c r="H556" s="273">
        <f>IFERROR(INDEX('4. Valuation'!$C$10:$I$17,MATCH($D556,'4. Valuation'!$C$10:$C$17,0),MATCH($H$25,'4. Valuation'!$C$10:$I$10,0)),0)</f>
        <v>0</v>
      </c>
      <c r="I556" s="359" t="str">
        <f>IFERROR(INDEX('4. Valuation'!$C$10:$I$17,MATCH($D556,'4. Valuation'!$C$10:$C$17,0),MATCH($I$25,'4. Valuation'!$C$10:$I$10,0)),0)</f>
        <v>-</v>
      </c>
      <c r="J556" s="277"/>
      <c r="K556" s="312">
        <f t="shared" si="99"/>
        <v>0</v>
      </c>
      <c r="L556" s="312">
        <f t="shared" si="100"/>
        <v>0</v>
      </c>
      <c r="M556" s="359">
        <f t="shared" si="101"/>
        <v>0</v>
      </c>
      <c r="N556" s="278"/>
      <c r="O556" s="278"/>
      <c r="P556" s="278"/>
      <c r="Q556" s="278"/>
      <c r="R556" s="312">
        <f>IFERROR(INDEX('4. Valuation'!$O$10:$X$17,MATCH($D556,'4. Valuation'!$O$10:$O$17,0),MATCH($R$25,'4. Valuation'!$O$10:$X$10,0)),0)</f>
        <v>0</v>
      </c>
      <c r="S556" s="312">
        <f>IFERROR(INDEX('4. Valuation'!$O$10:$X$17,MATCH($D556,'4. Valuation'!$O$10:$O$17,0),MATCH($S$25,'4. Valuation'!$O$10:$X$10,0)),0)</f>
        <v>0</v>
      </c>
      <c r="T556" s="312" t="str">
        <f>IFERROR(INDEX('4. Valuation'!$O$10:$X$17,MATCH($D556,'4. Valuation'!$O$10:$O$17,0),MATCH($T$25,'4. Valuation'!$O$10:$X$10,0)),0)</f>
        <v>-</v>
      </c>
      <c r="U556" s="278"/>
      <c r="V556" s="312">
        <f t="shared" si="102"/>
        <v>0</v>
      </c>
      <c r="W556" s="312">
        <f t="shared" si="103"/>
        <v>0</v>
      </c>
      <c r="X556" s="312">
        <f t="shared" si="104"/>
        <v>0</v>
      </c>
      <c r="Y556" s="278"/>
      <c r="Z556" s="312">
        <f t="shared" si="105"/>
        <v>0</v>
      </c>
      <c r="AA556" s="312">
        <f>'3. GRI Pricing'!Y547</f>
        <v>0</v>
      </c>
      <c r="AB556" s="359">
        <f t="shared" si="106"/>
        <v>0</v>
      </c>
    </row>
    <row r="557" spans="3:28" s="30" customFormat="1" ht="12" x14ac:dyDescent="0.2">
      <c r="C557" s="77">
        <f>'1. Accomodation'!N552</f>
        <v>0</v>
      </c>
      <c r="D557" s="77">
        <f>'1. Accomodation'!P552</f>
        <v>0</v>
      </c>
      <c r="E557" s="77">
        <f>'1. Accomodation'!O552</f>
        <v>0</v>
      </c>
      <c r="G557" s="341">
        <f>IFERROR(INDEX('4. Valuation'!$C$10:$I$17,MATCH($D557,'4. Valuation'!$C$10:$C$17,0),MATCH($G$25,'4. Valuation'!$C$10:$I$10,0)),0)</f>
        <v>0</v>
      </c>
      <c r="H557" s="273">
        <f>IFERROR(INDEX('4. Valuation'!$C$10:$I$17,MATCH($D557,'4. Valuation'!$C$10:$C$17,0),MATCH($H$25,'4. Valuation'!$C$10:$I$10,0)),0)</f>
        <v>0</v>
      </c>
      <c r="I557" s="359" t="str">
        <f>IFERROR(INDEX('4. Valuation'!$C$10:$I$17,MATCH($D557,'4. Valuation'!$C$10:$C$17,0),MATCH($I$25,'4. Valuation'!$C$10:$I$10,0)),0)</f>
        <v>-</v>
      </c>
      <c r="J557" s="277"/>
      <c r="K557" s="312">
        <f t="shared" si="99"/>
        <v>0</v>
      </c>
      <c r="L557" s="312">
        <f t="shared" si="100"/>
        <v>0</v>
      </c>
      <c r="M557" s="359">
        <f t="shared" si="101"/>
        <v>0</v>
      </c>
      <c r="N557" s="278"/>
      <c r="O557" s="278"/>
      <c r="P557" s="278"/>
      <c r="Q557" s="278"/>
      <c r="R557" s="312">
        <f>IFERROR(INDEX('4. Valuation'!$O$10:$X$17,MATCH($D557,'4. Valuation'!$O$10:$O$17,0),MATCH($R$25,'4. Valuation'!$O$10:$X$10,0)),0)</f>
        <v>0</v>
      </c>
      <c r="S557" s="312">
        <f>IFERROR(INDEX('4. Valuation'!$O$10:$X$17,MATCH($D557,'4. Valuation'!$O$10:$O$17,0),MATCH($S$25,'4. Valuation'!$O$10:$X$10,0)),0)</f>
        <v>0</v>
      </c>
      <c r="T557" s="312" t="str">
        <f>IFERROR(INDEX('4. Valuation'!$O$10:$X$17,MATCH($D557,'4. Valuation'!$O$10:$O$17,0),MATCH($T$25,'4. Valuation'!$O$10:$X$10,0)),0)</f>
        <v>-</v>
      </c>
      <c r="U557" s="278"/>
      <c r="V557" s="312">
        <f t="shared" si="102"/>
        <v>0</v>
      </c>
      <c r="W557" s="312">
        <f t="shared" si="103"/>
        <v>0</v>
      </c>
      <c r="X557" s="312">
        <f t="shared" si="104"/>
        <v>0</v>
      </c>
      <c r="Y557" s="278"/>
      <c r="Z557" s="312">
        <f t="shared" si="105"/>
        <v>0</v>
      </c>
      <c r="AA557" s="312">
        <f>'3. GRI Pricing'!Y548</f>
        <v>0</v>
      </c>
      <c r="AB557" s="359">
        <f t="shared" si="106"/>
        <v>0</v>
      </c>
    </row>
    <row r="558" spans="3:28" s="30" customFormat="1" ht="12" x14ac:dyDescent="0.2">
      <c r="C558" s="77">
        <f>'1. Accomodation'!N553</f>
        <v>0</v>
      </c>
      <c r="D558" s="77">
        <f>'1. Accomodation'!P553</f>
        <v>0</v>
      </c>
      <c r="E558" s="77">
        <f>'1. Accomodation'!O553</f>
        <v>0</v>
      </c>
      <c r="G558" s="341">
        <f>IFERROR(INDEX('4. Valuation'!$C$10:$I$17,MATCH($D558,'4. Valuation'!$C$10:$C$17,0),MATCH($G$25,'4. Valuation'!$C$10:$I$10,0)),0)</f>
        <v>0</v>
      </c>
      <c r="H558" s="273">
        <f>IFERROR(INDEX('4. Valuation'!$C$10:$I$17,MATCH($D558,'4. Valuation'!$C$10:$C$17,0),MATCH($H$25,'4. Valuation'!$C$10:$I$10,0)),0)</f>
        <v>0</v>
      </c>
      <c r="I558" s="359" t="str">
        <f>IFERROR(INDEX('4. Valuation'!$C$10:$I$17,MATCH($D558,'4. Valuation'!$C$10:$C$17,0),MATCH($I$25,'4. Valuation'!$C$10:$I$10,0)),0)</f>
        <v>-</v>
      </c>
      <c r="J558" s="277"/>
      <c r="K558" s="312">
        <f t="shared" si="99"/>
        <v>0</v>
      </c>
      <c r="L558" s="312">
        <f t="shared" si="100"/>
        <v>0</v>
      </c>
      <c r="M558" s="359">
        <f t="shared" si="101"/>
        <v>0</v>
      </c>
      <c r="N558" s="278"/>
      <c r="O558" s="278"/>
      <c r="P558" s="278"/>
      <c r="Q558" s="278"/>
      <c r="R558" s="312">
        <f>IFERROR(INDEX('4. Valuation'!$O$10:$X$17,MATCH($D558,'4. Valuation'!$O$10:$O$17,0),MATCH($R$25,'4. Valuation'!$O$10:$X$10,0)),0)</f>
        <v>0</v>
      </c>
      <c r="S558" s="312">
        <f>IFERROR(INDEX('4. Valuation'!$O$10:$X$17,MATCH($D558,'4. Valuation'!$O$10:$O$17,0),MATCH($S$25,'4. Valuation'!$O$10:$X$10,0)),0)</f>
        <v>0</v>
      </c>
      <c r="T558" s="312" t="str">
        <f>IFERROR(INDEX('4. Valuation'!$O$10:$X$17,MATCH($D558,'4. Valuation'!$O$10:$O$17,0),MATCH($T$25,'4. Valuation'!$O$10:$X$10,0)),0)</f>
        <v>-</v>
      </c>
      <c r="U558" s="278"/>
      <c r="V558" s="312">
        <f t="shared" si="102"/>
        <v>0</v>
      </c>
      <c r="W558" s="312">
        <f t="shared" si="103"/>
        <v>0</v>
      </c>
      <c r="X558" s="312">
        <f t="shared" si="104"/>
        <v>0</v>
      </c>
      <c r="Y558" s="278"/>
      <c r="Z558" s="312">
        <f t="shared" si="105"/>
        <v>0</v>
      </c>
      <c r="AA558" s="312">
        <f>'3. GRI Pricing'!Y549</f>
        <v>0</v>
      </c>
      <c r="AB558" s="359">
        <f t="shared" si="106"/>
        <v>0</v>
      </c>
    </row>
    <row r="559" spans="3:28" s="30" customFormat="1" ht="12" x14ac:dyDescent="0.2">
      <c r="C559" s="77">
        <f>'1. Accomodation'!N554</f>
        <v>0</v>
      </c>
      <c r="D559" s="77">
        <f>'1. Accomodation'!P554</f>
        <v>0</v>
      </c>
      <c r="E559" s="77">
        <f>'1. Accomodation'!O554</f>
        <v>0</v>
      </c>
      <c r="G559" s="341">
        <f>IFERROR(INDEX('4. Valuation'!$C$10:$I$17,MATCH($D559,'4. Valuation'!$C$10:$C$17,0),MATCH($G$25,'4. Valuation'!$C$10:$I$10,0)),0)</f>
        <v>0</v>
      </c>
      <c r="H559" s="273">
        <f>IFERROR(INDEX('4. Valuation'!$C$10:$I$17,MATCH($D559,'4. Valuation'!$C$10:$C$17,0),MATCH($H$25,'4. Valuation'!$C$10:$I$10,0)),0)</f>
        <v>0</v>
      </c>
      <c r="I559" s="359" t="str">
        <f>IFERROR(INDEX('4. Valuation'!$C$10:$I$17,MATCH($D559,'4. Valuation'!$C$10:$C$17,0),MATCH($I$25,'4. Valuation'!$C$10:$I$10,0)),0)</f>
        <v>-</v>
      </c>
      <c r="J559" s="277"/>
      <c r="K559" s="312">
        <f t="shared" si="99"/>
        <v>0</v>
      </c>
      <c r="L559" s="312">
        <f t="shared" si="100"/>
        <v>0</v>
      </c>
      <c r="M559" s="359">
        <f t="shared" si="101"/>
        <v>0</v>
      </c>
      <c r="N559" s="278"/>
      <c r="O559" s="278"/>
      <c r="P559" s="278"/>
      <c r="Q559" s="278"/>
      <c r="R559" s="312">
        <f>IFERROR(INDEX('4. Valuation'!$O$10:$X$17,MATCH($D559,'4. Valuation'!$O$10:$O$17,0),MATCH($R$25,'4. Valuation'!$O$10:$X$10,0)),0)</f>
        <v>0</v>
      </c>
      <c r="S559" s="312">
        <f>IFERROR(INDEX('4. Valuation'!$O$10:$X$17,MATCH($D559,'4. Valuation'!$O$10:$O$17,0),MATCH($S$25,'4. Valuation'!$O$10:$X$10,0)),0)</f>
        <v>0</v>
      </c>
      <c r="T559" s="312" t="str">
        <f>IFERROR(INDEX('4. Valuation'!$O$10:$X$17,MATCH($D559,'4. Valuation'!$O$10:$O$17,0),MATCH($T$25,'4. Valuation'!$O$10:$X$10,0)),0)</f>
        <v>-</v>
      </c>
      <c r="U559" s="278"/>
      <c r="V559" s="312">
        <f t="shared" si="102"/>
        <v>0</v>
      </c>
      <c r="W559" s="312">
        <f t="shared" si="103"/>
        <v>0</v>
      </c>
      <c r="X559" s="312">
        <f t="shared" si="104"/>
        <v>0</v>
      </c>
      <c r="Y559" s="278"/>
      <c r="Z559" s="312">
        <f t="shared" si="105"/>
        <v>0</v>
      </c>
      <c r="AA559" s="312">
        <f>'3. GRI Pricing'!Y550</f>
        <v>0</v>
      </c>
      <c r="AB559" s="359">
        <f t="shared" si="106"/>
        <v>0</v>
      </c>
    </row>
    <row r="560" spans="3:28" s="30" customFormat="1" ht="12" x14ac:dyDescent="0.2">
      <c r="C560" s="77">
        <f>'1. Accomodation'!N555</f>
        <v>0</v>
      </c>
      <c r="D560" s="77">
        <f>'1. Accomodation'!P555</f>
        <v>0</v>
      </c>
      <c r="E560" s="77">
        <f>'1. Accomodation'!O555</f>
        <v>0</v>
      </c>
      <c r="G560" s="341">
        <f>IFERROR(INDEX('4. Valuation'!$C$10:$I$17,MATCH($D560,'4. Valuation'!$C$10:$C$17,0),MATCH($G$25,'4. Valuation'!$C$10:$I$10,0)),0)</f>
        <v>0</v>
      </c>
      <c r="H560" s="273">
        <f>IFERROR(INDEX('4. Valuation'!$C$10:$I$17,MATCH($D560,'4. Valuation'!$C$10:$C$17,0),MATCH($H$25,'4. Valuation'!$C$10:$I$10,0)),0)</f>
        <v>0</v>
      </c>
      <c r="I560" s="359" t="str">
        <f>IFERROR(INDEX('4. Valuation'!$C$10:$I$17,MATCH($D560,'4. Valuation'!$C$10:$C$17,0),MATCH($I$25,'4. Valuation'!$C$10:$I$10,0)),0)</f>
        <v>-</v>
      </c>
      <c r="J560" s="277"/>
      <c r="K560" s="312">
        <f t="shared" si="99"/>
        <v>0</v>
      </c>
      <c r="L560" s="312">
        <f t="shared" si="100"/>
        <v>0</v>
      </c>
      <c r="M560" s="359">
        <f t="shared" si="101"/>
        <v>0</v>
      </c>
      <c r="N560" s="278"/>
      <c r="O560" s="278"/>
      <c r="P560" s="278"/>
      <c r="Q560" s="278"/>
      <c r="R560" s="312">
        <f>IFERROR(INDEX('4. Valuation'!$O$10:$X$17,MATCH($D560,'4. Valuation'!$O$10:$O$17,0),MATCH($R$25,'4. Valuation'!$O$10:$X$10,0)),0)</f>
        <v>0</v>
      </c>
      <c r="S560" s="312">
        <f>IFERROR(INDEX('4. Valuation'!$O$10:$X$17,MATCH($D560,'4. Valuation'!$O$10:$O$17,0),MATCH($S$25,'4. Valuation'!$O$10:$X$10,0)),0)</f>
        <v>0</v>
      </c>
      <c r="T560" s="312" t="str">
        <f>IFERROR(INDEX('4. Valuation'!$O$10:$X$17,MATCH($D560,'4. Valuation'!$O$10:$O$17,0),MATCH($T$25,'4. Valuation'!$O$10:$X$10,0)),0)</f>
        <v>-</v>
      </c>
      <c r="U560" s="278"/>
      <c r="V560" s="312">
        <f t="shared" si="102"/>
        <v>0</v>
      </c>
      <c r="W560" s="312">
        <f t="shared" si="103"/>
        <v>0</v>
      </c>
      <c r="X560" s="312">
        <f t="shared" si="104"/>
        <v>0</v>
      </c>
      <c r="Y560" s="278"/>
      <c r="Z560" s="312">
        <f t="shared" si="105"/>
        <v>0</v>
      </c>
      <c r="AA560" s="312">
        <f>'3. GRI Pricing'!Y551</f>
        <v>0</v>
      </c>
      <c r="AB560" s="359">
        <f t="shared" si="106"/>
        <v>0</v>
      </c>
    </row>
    <row r="561" spans="3:28" s="30" customFormat="1" ht="12" x14ac:dyDescent="0.2">
      <c r="C561" s="77">
        <f>'1. Accomodation'!N556</f>
        <v>0</v>
      </c>
      <c r="D561" s="77">
        <f>'1. Accomodation'!P556</f>
        <v>0</v>
      </c>
      <c r="E561" s="77">
        <f>'1. Accomodation'!O556</f>
        <v>0</v>
      </c>
      <c r="G561" s="341">
        <f>IFERROR(INDEX('4. Valuation'!$C$10:$I$17,MATCH($D561,'4. Valuation'!$C$10:$C$17,0),MATCH($G$25,'4. Valuation'!$C$10:$I$10,0)),0)</f>
        <v>0</v>
      </c>
      <c r="H561" s="273">
        <f>IFERROR(INDEX('4. Valuation'!$C$10:$I$17,MATCH($D561,'4. Valuation'!$C$10:$C$17,0),MATCH($H$25,'4. Valuation'!$C$10:$I$10,0)),0)</f>
        <v>0</v>
      </c>
      <c r="I561" s="359" t="str">
        <f>IFERROR(INDEX('4. Valuation'!$C$10:$I$17,MATCH($D561,'4. Valuation'!$C$10:$C$17,0),MATCH($I$25,'4. Valuation'!$C$10:$I$10,0)),0)</f>
        <v>-</v>
      </c>
      <c r="J561" s="277"/>
      <c r="K561" s="312">
        <f t="shared" si="99"/>
        <v>0</v>
      </c>
      <c r="L561" s="312">
        <f t="shared" si="100"/>
        <v>0</v>
      </c>
      <c r="M561" s="359">
        <f t="shared" si="101"/>
        <v>0</v>
      </c>
      <c r="N561" s="278"/>
      <c r="O561" s="278"/>
      <c r="P561" s="278"/>
      <c r="Q561" s="278"/>
      <c r="R561" s="312">
        <f>IFERROR(INDEX('4. Valuation'!$O$10:$X$17,MATCH($D561,'4. Valuation'!$O$10:$O$17,0),MATCH($R$25,'4. Valuation'!$O$10:$X$10,0)),0)</f>
        <v>0</v>
      </c>
      <c r="S561" s="312">
        <f>IFERROR(INDEX('4. Valuation'!$O$10:$X$17,MATCH($D561,'4. Valuation'!$O$10:$O$17,0),MATCH($S$25,'4. Valuation'!$O$10:$X$10,0)),0)</f>
        <v>0</v>
      </c>
      <c r="T561" s="312" t="str">
        <f>IFERROR(INDEX('4. Valuation'!$O$10:$X$17,MATCH($D561,'4. Valuation'!$O$10:$O$17,0),MATCH($T$25,'4. Valuation'!$O$10:$X$10,0)),0)</f>
        <v>-</v>
      </c>
      <c r="U561" s="278"/>
      <c r="V561" s="312">
        <f t="shared" si="102"/>
        <v>0</v>
      </c>
      <c r="W561" s="312">
        <f t="shared" si="103"/>
        <v>0</v>
      </c>
      <c r="X561" s="312">
        <f t="shared" si="104"/>
        <v>0</v>
      </c>
      <c r="Y561" s="278"/>
      <c r="Z561" s="312">
        <f t="shared" si="105"/>
        <v>0</v>
      </c>
      <c r="AA561" s="312">
        <f>'3. GRI Pricing'!Y552</f>
        <v>0</v>
      </c>
      <c r="AB561" s="359">
        <f t="shared" si="106"/>
        <v>0</v>
      </c>
    </row>
    <row r="562" spans="3:28" s="30" customFormat="1" ht="12" x14ac:dyDescent="0.2">
      <c r="C562" s="77">
        <f>'1. Accomodation'!N557</f>
        <v>0</v>
      </c>
      <c r="D562" s="77">
        <f>'1. Accomodation'!P557</f>
        <v>0</v>
      </c>
      <c r="E562" s="77">
        <f>'1. Accomodation'!O557</f>
        <v>0</v>
      </c>
      <c r="G562" s="341">
        <f>IFERROR(INDEX('4. Valuation'!$C$10:$I$17,MATCH($D562,'4. Valuation'!$C$10:$C$17,0),MATCH($G$25,'4. Valuation'!$C$10:$I$10,0)),0)</f>
        <v>0</v>
      </c>
      <c r="H562" s="273">
        <f>IFERROR(INDEX('4. Valuation'!$C$10:$I$17,MATCH($D562,'4. Valuation'!$C$10:$C$17,0),MATCH($H$25,'4. Valuation'!$C$10:$I$10,0)),0)</f>
        <v>0</v>
      </c>
      <c r="I562" s="359" t="str">
        <f>IFERROR(INDEX('4. Valuation'!$C$10:$I$17,MATCH($D562,'4. Valuation'!$C$10:$C$17,0),MATCH($I$25,'4. Valuation'!$C$10:$I$10,0)),0)</f>
        <v>-</v>
      </c>
      <c r="J562" s="277"/>
      <c r="K562" s="312">
        <f t="shared" si="99"/>
        <v>0</v>
      </c>
      <c r="L562" s="312">
        <f t="shared" si="100"/>
        <v>0</v>
      </c>
      <c r="M562" s="359">
        <f t="shared" si="101"/>
        <v>0</v>
      </c>
      <c r="N562" s="278"/>
      <c r="O562" s="278"/>
      <c r="P562" s="278"/>
      <c r="Q562" s="278"/>
      <c r="R562" s="312">
        <f>IFERROR(INDEX('4. Valuation'!$O$10:$X$17,MATCH($D562,'4. Valuation'!$O$10:$O$17,0),MATCH($R$25,'4. Valuation'!$O$10:$X$10,0)),0)</f>
        <v>0</v>
      </c>
      <c r="S562" s="312">
        <f>IFERROR(INDEX('4. Valuation'!$O$10:$X$17,MATCH($D562,'4. Valuation'!$O$10:$O$17,0),MATCH($S$25,'4. Valuation'!$O$10:$X$10,0)),0)</f>
        <v>0</v>
      </c>
      <c r="T562" s="312" t="str">
        <f>IFERROR(INDEX('4. Valuation'!$O$10:$X$17,MATCH($D562,'4. Valuation'!$O$10:$O$17,0),MATCH($T$25,'4. Valuation'!$O$10:$X$10,0)),0)</f>
        <v>-</v>
      </c>
      <c r="U562" s="278"/>
      <c r="V562" s="312">
        <f t="shared" si="102"/>
        <v>0</v>
      </c>
      <c r="W562" s="312">
        <f t="shared" si="103"/>
        <v>0</v>
      </c>
      <c r="X562" s="312">
        <f t="shared" si="104"/>
        <v>0</v>
      </c>
      <c r="Y562" s="278"/>
      <c r="Z562" s="312">
        <f t="shared" si="105"/>
        <v>0</v>
      </c>
      <c r="AA562" s="312">
        <f>'3. GRI Pricing'!Y553</f>
        <v>0</v>
      </c>
      <c r="AB562" s="359">
        <f t="shared" si="106"/>
        <v>0</v>
      </c>
    </row>
    <row r="563" spans="3:28" s="30" customFormat="1" ht="12" x14ac:dyDescent="0.2">
      <c r="C563" s="77">
        <f>'1. Accomodation'!N558</f>
        <v>0</v>
      </c>
      <c r="D563" s="77">
        <f>'1. Accomodation'!P558</f>
        <v>0</v>
      </c>
      <c r="E563" s="77">
        <f>'1. Accomodation'!O558</f>
        <v>0</v>
      </c>
      <c r="G563" s="341">
        <f>IFERROR(INDEX('4. Valuation'!$C$10:$I$17,MATCH($D563,'4. Valuation'!$C$10:$C$17,0),MATCH($G$25,'4. Valuation'!$C$10:$I$10,0)),0)</f>
        <v>0</v>
      </c>
      <c r="H563" s="273">
        <f>IFERROR(INDEX('4. Valuation'!$C$10:$I$17,MATCH($D563,'4. Valuation'!$C$10:$C$17,0),MATCH($H$25,'4. Valuation'!$C$10:$I$10,0)),0)</f>
        <v>0</v>
      </c>
      <c r="I563" s="359" t="str">
        <f>IFERROR(INDEX('4. Valuation'!$C$10:$I$17,MATCH($D563,'4. Valuation'!$C$10:$C$17,0),MATCH($I$25,'4. Valuation'!$C$10:$I$10,0)),0)</f>
        <v>-</v>
      </c>
      <c r="J563" s="277"/>
      <c r="K563" s="312">
        <f t="shared" si="99"/>
        <v>0</v>
      </c>
      <c r="L563" s="312">
        <f t="shared" si="100"/>
        <v>0</v>
      </c>
      <c r="M563" s="359">
        <f t="shared" si="101"/>
        <v>0</v>
      </c>
      <c r="N563" s="278"/>
      <c r="O563" s="278"/>
      <c r="P563" s="278"/>
      <c r="Q563" s="278"/>
      <c r="R563" s="312">
        <f>IFERROR(INDEX('4. Valuation'!$O$10:$X$17,MATCH($D563,'4. Valuation'!$O$10:$O$17,0),MATCH($R$25,'4. Valuation'!$O$10:$X$10,0)),0)</f>
        <v>0</v>
      </c>
      <c r="S563" s="312">
        <f>IFERROR(INDEX('4. Valuation'!$O$10:$X$17,MATCH($D563,'4. Valuation'!$O$10:$O$17,0),MATCH($S$25,'4. Valuation'!$O$10:$X$10,0)),0)</f>
        <v>0</v>
      </c>
      <c r="T563" s="312" t="str">
        <f>IFERROR(INDEX('4. Valuation'!$O$10:$X$17,MATCH($D563,'4. Valuation'!$O$10:$O$17,0),MATCH($T$25,'4. Valuation'!$O$10:$X$10,0)),0)</f>
        <v>-</v>
      </c>
      <c r="U563" s="278"/>
      <c r="V563" s="312">
        <f t="shared" si="102"/>
        <v>0</v>
      </c>
      <c r="W563" s="312">
        <f t="shared" si="103"/>
        <v>0</v>
      </c>
      <c r="X563" s="312">
        <f t="shared" si="104"/>
        <v>0</v>
      </c>
      <c r="Y563" s="278"/>
      <c r="Z563" s="312">
        <f t="shared" si="105"/>
        <v>0</v>
      </c>
      <c r="AA563" s="312">
        <f>'3. GRI Pricing'!Y554</f>
        <v>0</v>
      </c>
      <c r="AB563" s="359">
        <f t="shared" si="106"/>
        <v>0</v>
      </c>
    </row>
    <row r="564" spans="3:28" s="30" customFormat="1" ht="12" x14ac:dyDescent="0.2">
      <c r="C564" s="77">
        <f>'1. Accomodation'!N559</f>
        <v>0</v>
      </c>
      <c r="D564" s="77">
        <f>'1. Accomodation'!P559</f>
        <v>0</v>
      </c>
      <c r="E564" s="77">
        <f>'1. Accomodation'!O559</f>
        <v>0</v>
      </c>
      <c r="G564" s="341">
        <f>IFERROR(INDEX('4. Valuation'!$C$10:$I$17,MATCH($D564,'4. Valuation'!$C$10:$C$17,0),MATCH($G$25,'4. Valuation'!$C$10:$I$10,0)),0)</f>
        <v>0</v>
      </c>
      <c r="H564" s="273">
        <f>IFERROR(INDEX('4. Valuation'!$C$10:$I$17,MATCH($D564,'4. Valuation'!$C$10:$C$17,0),MATCH($H$25,'4. Valuation'!$C$10:$I$10,0)),0)</f>
        <v>0</v>
      </c>
      <c r="I564" s="359" t="str">
        <f>IFERROR(INDEX('4. Valuation'!$C$10:$I$17,MATCH($D564,'4. Valuation'!$C$10:$C$17,0),MATCH($I$25,'4. Valuation'!$C$10:$I$10,0)),0)</f>
        <v>-</v>
      </c>
      <c r="J564" s="277"/>
      <c r="K564" s="312">
        <f t="shared" si="99"/>
        <v>0</v>
      </c>
      <c r="L564" s="312">
        <f t="shared" si="100"/>
        <v>0</v>
      </c>
      <c r="M564" s="359">
        <f t="shared" si="101"/>
        <v>0</v>
      </c>
      <c r="N564" s="278"/>
      <c r="O564" s="278"/>
      <c r="P564" s="278"/>
      <c r="Q564" s="278"/>
      <c r="R564" s="312">
        <f>IFERROR(INDEX('4. Valuation'!$O$10:$X$17,MATCH($D564,'4. Valuation'!$O$10:$O$17,0),MATCH($R$25,'4. Valuation'!$O$10:$X$10,0)),0)</f>
        <v>0</v>
      </c>
      <c r="S564" s="312">
        <f>IFERROR(INDEX('4. Valuation'!$O$10:$X$17,MATCH($D564,'4. Valuation'!$O$10:$O$17,0),MATCH($S$25,'4. Valuation'!$O$10:$X$10,0)),0)</f>
        <v>0</v>
      </c>
      <c r="T564" s="312" t="str">
        <f>IFERROR(INDEX('4. Valuation'!$O$10:$X$17,MATCH($D564,'4. Valuation'!$O$10:$O$17,0),MATCH($T$25,'4. Valuation'!$O$10:$X$10,0)),0)</f>
        <v>-</v>
      </c>
      <c r="U564" s="278"/>
      <c r="V564" s="312">
        <f t="shared" si="102"/>
        <v>0</v>
      </c>
      <c r="W564" s="312">
        <f t="shared" si="103"/>
        <v>0</v>
      </c>
      <c r="X564" s="312">
        <f t="shared" si="104"/>
        <v>0</v>
      </c>
      <c r="Y564" s="278"/>
      <c r="Z564" s="312">
        <f t="shared" si="105"/>
        <v>0</v>
      </c>
      <c r="AA564" s="312">
        <f>'3. GRI Pricing'!Y555</f>
        <v>0</v>
      </c>
      <c r="AB564" s="359">
        <f t="shared" si="106"/>
        <v>0</v>
      </c>
    </row>
    <row r="565" spans="3:28" s="30" customFormat="1" ht="12" x14ac:dyDescent="0.2">
      <c r="C565" s="77">
        <f>'1. Accomodation'!N560</f>
        <v>0</v>
      </c>
      <c r="D565" s="77">
        <f>'1. Accomodation'!P560</f>
        <v>0</v>
      </c>
      <c r="E565" s="77">
        <f>'1. Accomodation'!O560</f>
        <v>0</v>
      </c>
      <c r="G565" s="341">
        <f>IFERROR(INDEX('4. Valuation'!$C$10:$I$17,MATCH($D565,'4. Valuation'!$C$10:$C$17,0),MATCH($G$25,'4. Valuation'!$C$10:$I$10,0)),0)</f>
        <v>0</v>
      </c>
      <c r="H565" s="273">
        <f>IFERROR(INDEX('4. Valuation'!$C$10:$I$17,MATCH($D565,'4. Valuation'!$C$10:$C$17,0),MATCH($H$25,'4. Valuation'!$C$10:$I$10,0)),0)</f>
        <v>0</v>
      </c>
      <c r="I565" s="359" t="str">
        <f>IFERROR(INDEX('4. Valuation'!$C$10:$I$17,MATCH($D565,'4. Valuation'!$C$10:$C$17,0),MATCH($I$25,'4. Valuation'!$C$10:$I$10,0)),0)</f>
        <v>-</v>
      </c>
      <c r="J565" s="277"/>
      <c r="K565" s="312">
        <f t="shared" si="99"/>
        <v>0</v>
      </c>
      <c r="L565" s="312">
        <f t="shared" si="100"/>
        <v>0</v>
      </c>
      <c r="M565" s="359">
        <f t="shared" si="101"/>
        <v>0</v>
      </c>
      <c r="N565" s="278"/>
      <c r="O565" s="278"/>
      <c r="P565" s="278"/>
      <c r="Q565" s="278"/>
      <c r="R565" s="312">
        <f>IFERROR(INDEX('4. Valuation'!$O$10:$X$17,MATCH($D565,'4. Valuation'!$O$10:$O$17,0),MATCH($R$25,'4. Valuation'!$O$10:$X$10,0)),0)</f>
        <v>0</v>
      </c>
      <c r="S565" s="312">
        <f>IFERROR(INDEX('4. Valuation'!$O$10:$X$17,MATCH($D565,'4. Valuation'!$O$10:$O$17,0),MATCH($S$25,'4. Valuation'!$O$10:$X$10,0)),0)</f>
        <v>0</v>
      </c>
      <c r="T565" s="312" t="str">
        <f>IFERROR(INDEX('4. Valuation'!$O$10:$X$17,MATCH($D565,'4. Valuation'!$O$10:$O$17,0),MATCH($T$25,'4. Valuation'!$O$10:$X$10,0)),0)</f>
        <v>-</v>
      </c>
      <c r="U565" s="278"/>
      <c r="V565" s="312">
        <f t="shared" si="102"/>
        <v>0</v>
      </c>
      <c r="W565" s="312">
        <f t="shared" si="103"/>
        <v>0</v>
      </c>
      <c r="X565" s="312">
        <f t="shared" si="104"/>
        <v>0</v>
      </c>
      <c r="Y565" s="278"/>
      <c r="Z565" s="312">
        <f t="shared" si="105"/>
        <v>0</v>
      </c>
      <c r="AA565" s="312">
        <f>'3. GRI Pricing'!Y556</f>
        <v>0</v>
      </c>
      <c r="AB565" s="359">
        <f t="shared" si="106"/>
        <v>0</v>
      </c>
    </row>
    <row r="566" spans="3:28" s="30" customFormat="1" ht="12" x14ac:dyDescent="0.2">
      <c r="C566" s="77">
        <f>'1. Accomodation'!N561</f>
        <v>0</v>
      </c>
      <c r="D566" s="77">
        <f>'1. Accomodation'!P561</f>
        <v>0</v>
      </c>
      <c r="E566" s="77">
        <f>'1. Accomodation'!O561</f>
        <v>0</v>
      </c>
      <c r="G566" s="341">
        <f>IFERROR(INDEX('4. Valuation'!$C$10:$I$17,MATCH($D566,'4. Valuation'!$C$10:$C$17,0),MATCH($G$25,'4. Valuation'!$C$10:$I$10,0)),0)</f>
        <v>0</v>
      </c>
      <c r="H566" s="273">
        <f>IFERROR(INDEX('4. Valuation'!$C$10:$I$17,MATCH($D566,'4. Valuation'!$C$10:$C$17,0),MATCH($H$25,'4. Valuation'!$C$10:$I$10,0)),0)</f>
        <v>0</v>
      </c>
      <c r="I566" s="359" t="str">
        <f>IFERROR(INDEX('4. Valuation'!$C$10:$I$17,MATCH($D566,'4. Valuation'!$C$10:$C$17,0),MATCH($I$25,'4. Valuation'!$C$10:$I$10,0)),0)</f>
        <v>-</v>
      </c>
      <c r="J566" s="277"/>
      <c r="K566" s="312">
        <f t="shared" si="99"/>
        <v>0</v>
      </c>
      <c r="L566" s="312">
        <f t="shared" si="100"/>
        <v>0</v>
      </c>
      <c r="M566" s="359">
        <f t="shared" si="101"/>
        <v>0</v>
      </c>
      <c r="N566" s="278"/>
      <c r="O566" s="278"/>
      <c r="P566" s="278"/>
      <c r="Q566" s="278"/>
      <c r="R566" s="312">
        <f>IFERROR(INDEX('4. Valuation'!$O$10:$X$17,MATCH($D566,'4. Valuation'!$O$10:$O$17,0),MATCH($R$25,'4. Valuation'!$O$10:$X$10,0)),0)</f>
        <v>0</v>
      </c>
      <c r="S566" s="312">
        <f>IFERROR(INDEX('4. Valuation'!$O$10:$X$17,MATCH($D566,'4. Valuation'!$O$10:$O$17,0),MATCH($S$25,'4. Valuation'!$O$10:$X$10,0)),0)</f>
        <v>0</v>
      </c>
      <c r="T566" s="312" t="str">
        <f>IFERROR(INDEX('4. Valuation'!$O$10:$X$17,MATCH($D566,'4. Valuation'!$O$10:$O$17,0),MATCH($T$25,'4. Valuation'!$O$10:$X$10,0)),0)</f>
        <v>-</v>
      </c>
      <c r="U566" s="278"/>
      <c r="V566" s="312">
        <f t="shared" si="102"/>
        <v>0</v>
      </c>
      <c r="W566" s="312">
        <f t="shared" si="103"/>
        <v>0</v>
      </c>
      <c r="X566" s="312">
        <f t="shared" si="104"/>
        <v>0</v>
      </c>
      <c r="Y566" s="278"/>
      <c r="Z566" s="312">
        <f t="shared" si="105"/>
        <v>0</v>
      </c>
      <c r="AA566" s="312">
        <f>'3. GRI Pricing'!Y557</f>
        <v>0</v>
      </c>
      <c r="AB566" s="359">
        <f t="shared" si="106"/>
        <v>0</v>
      </c>
    </row>
    <row r="567" spans="3:28" s="30" customFormat="1" ht="12" x14ac:dyDescent="0.2">
      <c r="C567" s="77">
        <f>'1. Accomodation'!N562</f>
        <v>0</v>
      </c>
      <c r="D567" s="77">
        <f>'1. Accomodation'!P562</f>
        <v>0</v>
      </c>
      <c r="E567" s="77">
        <f>'1. Accomodation'!O562</f>
        <v>0</v>
      </c>
      <c r="G567" s="341">
        <f>IFERROR(INDEX('4. Valuation'!$C$10:$I$17,MATCH($D567,'4. Valuation'!$C$10:$C$17,0),MATCH($G$25,'4. Valuation'!$C$10:$I$10,0)),0)</f>
        <v>0</v>
      </c>
      <c r="H567" s="273">
        <f>IFERROR(INDEX('4. Valuation'!$C$10:$I$17,MATCH($D567,'4. Valuation'!$C$10:$C$17,0),MATCH($H$25,'4. Valuation'!$C$10:$I$10,0)),0)</f>
        <v>0</v>
      </c>
      <c r="I567" s="359" t="str">
        <f>IFERROR(INDEX('4. Valuation'!$C$10:$I$17,MATCH($D567,'4. Valuation'!$C$10:$C$17,0),MATCH($I$25,'4. Valuation'!$C$10:$I$10,0)),0)</f>
        <v>-</v>
      </c>
      <c r="J567" s="277"/>
      <c r="K567" s="312">
        <f t="shared" si="99"/>
        <v>0</v>
      </c>
      <c r="L567" s="312">
        <f t="shared" si="100"/>
        <v>0</v>
      </c>
      <c r="M567" s="359">
        <f t="shared" si="101"/>
        <v>0</v>
      </c>
      <c r="N567" s="278"/>
      <c r="O567" s="278"/>
      <c r="P567" s="278"/>
      <c r="Q567" s="278"/>
      <c r="R567" s="312">
        <f>IFERROR(INDEX('4. Valuation'!$O$10:$X$17,MATCH($D567,'4. Valuation'!$O$10:$O$17,0),MATCH($R$25,'4. Valuation'!$O$10:$X$10,0)),0)</f>
        <v>0</v>
      </c>
      <c r="S567" s="312">
        <f>IFERROR(INDEX('4. Valuation'!$O$10:$X$17,MATCH($D567,'4. Valuation'!$O$10:$O$17,0),MATCH($S$25,'4. Valuation'!$O$10:$X$10,0)),0)</f>
        <v>0</v>
      </c>
      <c r="T567" s="312" t="str">
        <f>IFERROR(INDEX('4. Valuation'!$O$10:$X$17,MATCH($D567,'4. Valuation'!$O$10:$O$17,0),MATCH($T$25,'4. Valuation'!$O$10:$X$10,0)),0)</f>
        <v>-</v>
      </c>
      <c r="U567" s="278"/>
      <c r="V567" s="312">
        <f t="shared" si="102"/>
        <v>0</v>
      </c>
      <c r="W567" s="312">
        <f t="shared" si="103"/>
        <v>0</v>
      </c>
      <c r="X567" s="312">
        <f t="shared" si="104"/>
        <v>0</v>
      </c>
      <c r="Y567" s="278"/>
      <c r="Z567" s="312">
        <f t="shared" si="105"/>
        <v>0</v>
      </c>
      <c r="AA567" s="312">
        <f>'3. GRI Pricing'!Y558</f>
        <v>0</v>
      </c>
      <c r="AB567" s="359">
        <f t="shared" si="106"/>
        <v>0</v>
      </c>
    </row>
    <row r="568" spans="3:28" s="30" customFormat="1" ht="12" x14ac:dyDescent="0.2">
      <c r="C568" s="77">
        <f>'1. Accomodation'!N563</f>
        <v>0</v>
      </c>
      <c r="D568" s="77">
        <f>'1. Accomodation'!P563</f>
        <v>0</v>
      </c>
      <c r="E568" s="77">
        <f>'1. Accomodation'!O563</f>
        <v>0</v>
      </c>
      <c r="G568" s="341">
        <f>IFERROR(INDEX('4. Valuation'!$C$10:$I$17,MATCH($D568,'4. Valuation'!$C$10:$C$17,0),MATCH($G$25,'4. Valuation'!$C$10:$I$10,0)),0)</f>
        <v>0</v>
      </c>
      <c r="H568" s="273">
        <f>IFERROR(INDEX('4. Valuation'!$C$10:$I$17,MATCH($D568,'4. Valuation'!$C$10:$C$17,0),MATCH($H$25,'4. Valuation'!$C$10:$I$10,0)),0)</f>
        <v>0</v>
      </c>
      <c r="I568" s="359" t="str">
        <f>IFERROR(INDEX('4. Valuation'!$C$10:$I$17,MATCH($D568,'4. Valuation'!$C$10:$C$17,0),MATCH($I$25,'4. Valuation'!$C$10:$I$10,0)),0)</f>
        <v>-</v>
      </c>
      <c r="J568" s="277"/>
      <c r="K568" s="312">
        <f t="shared" si="99"/>
        <v>0</v>
      </c>
      <c r="L568" s="312">
        <f t="shared" si="100"/>
        <v>0</v>
      </c>
      <c r="M568" s="359">
        <f t="shared" si="101"/>
        <v>0</v>
      </c>
      <c r="N568" s="278"/>
      <c r="O568" s="278"/>
      <c r="P568" s="278"/>
      <c r="Q568" s="278"/>
      <c r="R568" s="312">
        <f>IFERROR(INDEX('4. Valuation'!$O$10:$X$17,MATCH($D568,'4. Valuation'!$O$10:$O$17,0),MATCH($R$25,'4. Valuation'!$O$10:$X$10,0)),0)</f>
        <v>0</v>
      </c>
      <c r="S568" s="312">
        <f>IFERROR(INDEX('4. Valuation'!$O$10:$X$17,MATCH($D568,'4. Valuation'!$O$10:$O$17,0),MATCH($S$25,'4. Valuation'!$O$10:$X$10,0)),0)</f>
        <v>0</v>
      </c>
      <c r="T568" s="312" t="str">
        <f>IFERROR(INDEX('4. Valuation'!$O$10:$X$17,MATCH($D568,'4. Valuation'!$O$10:$O$17,0),MATCH($T$25,'4. Valuation'!$O$10:$X$10,0)),0)</f>
        <v>-</v>
      </c>
      <c r="U568" s="278"/>
      <c r="V568" s="312">
        <f t="shared" si="102"/>
        <v>0</v>
      </c>
      <c r="W568" s="312">
        <f t="shared" si="103"/>
        <v>0</v>
      </c>
      <c r="X568" s="312">
        <f t="shared" si="104"/>
        <v>0</v>
      </c>
      <c r="Y568" s="278"/>
      <c r="Z568" s="312">
        <f t="shared" si="105"/>
        <v>0</v>
      </c>
      <c r="AA568" s="312">
        <f>'3. GRI Pricing'!Y559</f>
        <v>0</v>
      </c>
      <c r="AB568" s="359">
        <f t="shared" si="106"/>
        <v>0</v>
      </c>
    </row>
    <row r="569" spans="3:28" s="30" customFormat="1" ht="12" x14ac:dyDescent="0.2">
      <c r="C569" s="77">
        <f>'1. Accomodation'!N564</f>
        <v>0</v>
      </c>
      <c r="D569" s="77">
        <f>'1. Accomodation'!P564</f>
        <v>0</v>
      </c>
      <c r="E569" s="77">
        <f>'1. Accomodation'!O564</f>
        <v>0</v>
      </c>
      <c r="G569" s="341">
        <f>IFERROR(INDEX('4. Valuation'!$C$10:$I$17,MATCH($D569,'4. Valuation'!$C$10:$C$17,0),MATCH($G$25,'4. Valuation'!$C$10:$I$10,0)),0)</f>
        <v>0</v>
      </c>
      <c r="H569" s="273">
        <f>IFERROR(INDEX('4. Valuation'!$C$10:$I$17,MATCH($D569,'4. Valuation'!$C$10:$C$17,0),MATCH($H$25,'4. Valuation'!$C$10:$I$10,0)),0)</f>
        <v>0</v>
      </c>
      <c r="I569" s="359" t="str">
        <f>IFERROR(INDEX('4. Valuation'!$C$10:$I$17,MATCH($D569,'4. Valuation'!$C$10:$C$17,0),MATCH($I$25,'4. Valuation'!$C$10:$I$10,0)),0)</f>
        <v>-</v>
      </c>
      <c r="J569" s="277"/>
      <c r="K569" s="312">
        <f t="shared" si="99"/>
        <v>0</v>
      </c>
      <c r="L569" s="312">
        <f t="shared" si="100"/>
        <v>0</v>
      </c>
      <c r="M569" s="359">
        <f t="shared" si="101"/>
        <v>0</v>
      </c>
      <c r="N569" s="278"/>
      <c r="O569" s="278"/>
      <c r="P569" s="278"/>
      <c r="Q569" s="278"/>
      <c r="R569" s="312">
        <f>IFERROR(INDEX('4. Valuation'!$O$10:$X$17,MATCH($D569,'4. Valuation'!$O$10:$O$17,0),MATCH($R$25,'4. Valuation'!$O$10:$X$10,0)),0)</f>
        <v>0</v>
      </c>
      <c r="S569" s="312">
        <f>IFERROR(INDEX('4. Valuation'!$O$10:$X$17,MATCH($D569,'4. Valuation'!$O$10:$O$17,0),MATCH($S$25,'4. Valuation'!$O$10:$X$10,0)),0)</f>
        <v>0</v>
      </c>
      <c r="T569" s="312" t="str">
        <f>IFERROR(INDEX('4. Valuation'!$O$10:$X$17,MATCH($D569,'4. Valuation'!$O$10:$O$17,0),MATCH($T$25,'4. Valuation'!$O$10:$X$10,0)),0)</f>
        <v>-</v>
      </c>
      <c r="U569" s="278"/>
      <c r="V569" s="312">
        <f t="shared" si="102"/>
        <v>0</v>
      </c>
      <c r="W569" s="312">
        <f t="shared" si="103"/>
        <v>0</v>
      </c>
      <c r="X569" s="312">
        <f t="shared" si="104"/>
        <v>0</v>
      </c>
      <c r="Y569" s="278"/>
      <c r="Z569" s="312">
        <f t="shared" si="105"/>
        <v>0</v>
      </c>
      <c r="AA569" s="312">
        <f>'3. GRI Pricing'!Y560</f>
        <v>0</v>
      </c>
      <c r="AB569" s="359">
        <f t="shared" si="106"/>
        <v>0</v>
      </c>
    </row>
    <row r="570" spans="3:28" s="30" customFormat="1" ht="12" x14ac:dyDescent="0.2">
      <c r="C570" s="77">
        <f>'1. Accomodation'!N565</f>
        <v>0</v>
      </c>
      <c r="D570" s="77">
        <f>'1. Accomodation'!P565</f>
        <v>0</v>
      </c>
      <c r="E570" s="77">
        <f>'1. Accomodation'!O565</f>
        <v>0</v>
      </c>
      <c r="G570" s="341">
        <f>IFERROR(INDEX('4. Valuation'!$C$10:$I$17,MATCH($D570,'4. Valuation'!$C$10:$C$17,0),MATCH($G$25,'4. Valuation'!$C$10:$I$10,0)),0)</f>
        <v>0</v>
      </c>
      <c r="H570" s="273">
        <f>IFERROR(INDEX('4. Valuation'!$C$10:$I$17,MATCH($D570,'4. Valuation'!$C$10:$C$17,0),MATCH($H$25,'4. Valuation'!$C$10:$I$10,0)),0)</f>
        <v>0</v>
      </c>
      <c r="I570" s="359" t="str">
        <f>IFERROR(INDEX('4. Valuation'!$C$10:$I$17,MATCH($D570,'4. Valuation'!$C$10:$C$17,0),MATCH($I$25,'4. Valuation'!$C$10:$I$10,0)),0)</f>
        <v>-</v>
      </c>
      <c r="J570" s="277"/>
      <c r="K570" s="312">
        <f t="shared" si="99"/>
        <v>0</v>
      </c>
      <c r="L570" s="312">
        <f t="shared" si="100"/>
        <v>0</v>
      </c>
      <c r="M570" s="359">
        <f t="shared" si="101"/>
        <v>0</v>
      </c>
      <c r="N570" s="278"/>
      <c r="O570" s="278"/>
      <c r="P570" s="278"/>
      <c r="Q570" s="278"/>
      <c r="R570" s="312">
        <f>IFERROR(INDEX('4. Valuation'!$O$10:$X$17,MATCH($D570,'4. Valuation'!$O$10:$O$17,0),MATCH($R$25,'4. Valuation'!$O$10:$X$10,0)),0)</f>
        <v>0</v>
      </c>
      <c r="S570" s="312">
        <f>IFERROR(INDEX('4. Valuation'!$O$10:$X$17,MATCH($D570,'4. Valuation'!$O$10:$O$17,0),MATCH($S$25,'4. Valuation'!$O$10:$X$10,0)),0)</f>
        <v>0</v>
      </c>
      <c r="T570" s="312" t="str">
        <f>IFERROR(INDEX('4. Valuation'!$O$10:$X$17,MATCH($D570,'4. Valuation'!$O$10:$O$17,0),MATCH($T$25,'4. Valuation'!$O$10:$X$10,0)),0)</f>
        <v>-</v>
      </c>
      <c r="U570" s="278"/>
      <c r="V570" s="312">
        <f t="shared" si="102"/>
        <v>0</v>
      </c>
      <c r="W570" s="312">
        <f t="shared" si="103"/>
        <v>0</v>
      </c>
      <c r="X570" s="312">
        <f t="shared" si="104"/>
        <v>0</v>
      </c>
      <c r="Y570" s="278"/>
      <c r="Z570" s="312">
        <f t="shared" si="105"/>
        <v>0</v>
      </c>
      <c r="AA570" s="312">
        <f>'3. GRI Pricing'!Y561</f>
        <v>0</v>
      </c>
      <c r="AB570" s="359">
        <f t="shared" si="106"/>
        <v>0</v>
      </c>
    </row>
    <row r="571" spans="3:28" s="30" customFormat="1" ht="12" x14ac:dyDescent="0.2">
      <c r="C571" s="77">
        <f>'1. Accomodation'!N566</f>
        <v>0</v>
      </c>
      <c r="D571" s="77">
        <f>'1. Accomodation'!P566</f>
        <v>0</v>
      </c>
      <c r="E571" s="77">
        <f>'1. Accomodation'!O566</f>
        <v>0</v>
      </c>
      <c r="G571" s="341">
        <f>IFERROR(INDEX('4. Valuation'!$C$10:$I$17,MATCH($D571,'4. Valuation'!$C$10:$C$17,0),MATCH($G$25,'4. Valuation'!$C$10:$I$10,0)),0)</f>
        <v>0</v>
      </c>
      <c r="H571" s="273">
        <f>IFERROR(INDEX('4. Valuation'!$C$10:$I$17,MATCH($D571,'4. Valuation'!$C$10:$C$17,0),MATCH($H$25,'4. Valuation'!$C$10:$I$10,0)),0)</f>
        <v>0</v>
      </c>
      <c r="I571" s="359" t="str">
        <f>IFERROR(INDEX('4. Valuation'!$C$10:$I$17,MATCH($D571,'4. Valuation'!$C$10:$C$17,0),MATCH($I$25,'4. Valuation'!$C$10:$I$10,0)),0)</f>
        <v>-</v>
      </c>
      <c r="J571" s="277"/>
      <c r="K571" s="312">
        <f t="shared" si="99"/>
        <v>0</v>
      </c>
      <c r="L571" s="312">
        <f t="shared" si="100"/>
        <v>0</v>
      </c>
      <c r="M571" s="359">
        <f t="shared" si="101"/>
        <v>0</v>
      </c>
      <c r="N571" s="278"/>
      <c r="O571" s="278"/>
      <c r="P571" s="278"/>
      <c r="Q571" s="278"/>
      <c r="R571" s="312">
        <f>IFERROR(INDEX('4. Valuation'!$O$10:$X$17,MATCH($D571,'4. Valuation'!$O$10:$O$17,0),MATCH($R$25,'4. Valuation'!$O$10:$X$10,0)),0)</f>
        <v>0</v>
      </c>
      <c r="S571" s="312">
        <f>IFERROR(INDEX('4. Valuation'!$O$10:$X$17,MATCH($D571,'4. Valuation'!$O$10:$O$17,0),MATCH($S$25,'4. Valuation'!$O$10:$X$10,0)),0)</f>
        <v>0</v>
      </c>
      <c r="T571" s="312" t="str">
        <f>IFERROR(INDEX('4. Valuation'!$O$10:$X$17,MATCH($D571,'4. Valuation'!$O$10:$O$17,0),MATCH($T$25,'4. Valuation'!$O$10:$X$10,0)),0)</f>
        <v>-</v>
      </c>
      <c r="U571" s="278"/>
      <c r="V571" s="312">
        <f t="shared" si="102"/>
        <v>0</v>
      </c>
      <c r="W571" s="312">
        <f t="shared" si="103"/>
        <v>0</v>
      </c>
      <c r="X571" s="312">
        <f t="shared" si="104"/>
        <v>0</v>
      </c>
      <c r="Y571" s="278"/>
      <c r="Z571" s="312">
        <f t="shared" si="105"/>
        <v>0</v>
      </c>
      <c r="AA571" s="312">
        <f>'3. GRI Pricing'!Y562</f>
        <v>0</v>
      </c>
      <c r="AB571" s="359">
        <f t="shared" si="106"/>
        <v>0</v>
      </c>
    </row>
    <row r="572" spans="3:28" s="30" customFormat="1" ht="12" x14ac:dyDescent="0.2">
      <c r="C572" s="77">
        <f>'1. Accomodation'!N567</f>
        <v>0</v>
      </c>
      <c r="D572" s="77">
        <f>'1. Accomodation'!P567</f>
        <v>0</v>
      </c>
      <c r="E572" s="77">
        <f>'1. Accomodation'!O567</f>
        <v>0</v>
      </c>
      <c r="G572" s="341">
        <f>IFERROR(INDEX('4. Valuation'!$C$10:$I$17,MATCH($D572,'4. Valuation'!$C$10:$C$17,0),MATCH($G$25,'4. Valuation'!$C$10:$I$10,0)),0)</f>
        <v>0</v>
      </c>
      <c r="H572" s="273">
        <f>IFERROR(INDEX('4. Valuation'!$C$10:$I$17,MATCH($D572,'4. Valuation'!$C$10:$C$17,0),MATCH($H$25,'4. Valuation'!$C$10:$I$10,0)),0)</f>
        <v>0</v>
      </c>
      <c r="I572" s="359" t="str">
        <f>IFERROR(INDEX('4. Valuation'!$C$10:$I$17,MATCH($D572,'4. Valuation'!$C$10:$C$17,0),MATCH($I$25,'4. Valuation'!$C$10:$I$10,0)),0)</f>
        <v>-</v>
      </c>
      <c r="J572" s="277"/>
      <c r="K572" s="312">
        <f t="shared" si="99"/>
        <v>0</v>
      </c>
      <c r="L572" s="312">
        <f t="shared" si="100"/>
        <v>0</v>
      </c>
      <c r="M572" s="359">
        <f t="shared" si="101"/>
        <v>0</v>
      </c>
      <c r="N572" s="278"/>
      <c r="O572" s="278"/>
      <c r="P572" s="278"/>
      <c r="Q572" s="278"/>
      <c r="R572" s="312">
        <f>IFERROR(INDEX('4. Valuation'!$O$10:$X$17,MATCH($D572,'4. Valuation'!$O$10:$O$17,0),MATCH($R$25,'4. Valuation'!$O$10:$X$10,0)),0)</f>
        <v>0</v>
      </c>
      <c r="S572" s="312">
        <f>IFERROR(INDEX('4. Valuation'!$O$10:$X$17,MATCH($D572,'4. Valuation'!$O$10:$O$17,0),MATCH($S$25,'4. Valuation'!$O$10:$X$10,0)),0)</f>
        <v>0</v>
      </c>
      <c r="T572" s="312" t="str">
        <f>IFERROR(INDEX('4. Valuation'!$O$10:$X$17,MATCH($D572,'4. Valuation'!$O$10:$O$17,0),MATCH($T$25,'4. Valuation'!$O$10:$X$10,0)),0)</f>
        <v>-</v>
      </c>
      <c r="U572" s="278"/>
      <c r="V572" s="312">
        <f t="shared" si="102"/>
        <v>0</v>
      </c>
      <c r="W572" s="312">
        <f t="shared" si="103"/>
        <v>0</v>
      </c>
      <c r="X572" s="312">
        <f t="shared" si="104"/>
        <v>0</v>
      </c>
      <c r="Y572" s="278"/>
      <c r="Z572" s="312">
        <f t="shared" si="105"/>
        <v>0</v>
      </c>
      <c r="AA572" s="312">
        <f>'3. GRI Pricing'!Y563</f>
        <v>0</v>
      </c>
      <c r="AB572" s="359">
        <f t="shared" si="106"/>
        <v>0</v>
      </c>
    </row>
    <row r="573" spans="3:28" s="30" customFormat="1" ht="12" x14ac:dyDescent="0.2">
      <c r="C573" s="77">
        <f>'1. Accomodation'!N568</f>
        <v>0</v>
      </c>
      <c r="D573" s="77">
        <f>'1. Accomodation'!P568</f>
        <v>0</v>
      </c>
      <c r="E573" s="77">
        <f>'1. Accomodation'!O568</f>
        <v>0</v>
      </c>
      <c r="G573" s="341">
        <f>IFERROR(INDEX('4. Valuation'!$C$10:$I$17,MATCH($D573,'4. Valuation'!$C$10:$C$17,0),MATCH($G$25,'4. Valuation'!$C$10:$I$10,0)),0)</f>
        <v>0</v>
      </c>
      <c r="H573" s="273">
        <f>IFERROR(INDEX('4. Valuation'!$C$10:$I$17,MATCH($D573,'4. Valuation'!$C$10:$C$17,0),MATCH($H$25,'4. Valuation'!$C$10:$I$10,0)),0)</f>
        <v>0</v>
      </c>
      <c r="I573" s="359" t="str">
        <f>IFERROR(INDEX('4. Valuation'!$C$10:$I$17,MATCH($D573,'4. Valuation'!$C$10:$C$17,0),MATCH($I$25,'4. Valuation'!$C$10:$I$10,0)),0)</f>
        <v>-</v>
      </c>
      <c r="J573" s="277"/>
      <c r="K573" s="312">
        <f t="shared" si="99"/>
        <v>0</v>
      </c>
      <c r="L573" s="312">
        <f t="shared" si="100"/>
        <v>0</v>
      </c>
      <c r="M573" s="359">
        <f t="shared" si="101"/>
        <v>0</v>
      </c>
      <c r="N573" s="278"/>
      <c r="O573" s="278"/>
      <c r="P573" s="278"/>
      <c r="Q573" s="278"/>
      <c r="R573" s="312">
        <f>IFERROR(INDEX('4. Valuation'!$O$10:$X$17,MATCH($D573,'4. Valuation'!$O$10:$O$17,0),MATCH($R$25,'4. Valuation'!$O$10:$X$10,0)),0)</f>
        <v>0</v>
      </c>
      <c r="S573" s="312">
        <f>IFERROR(INDEX('4. Valuation'!$O$10:$X$17,MATCH($D573,'4. Valuation'!$O$10:$O$17,0),MATCH($S$25,'4. Valuation'!$O$10:$X$10,0)),0)</f>
        <v>0</v>
      </c>
      <c r="T573" s="312" t="str">
        <f>IFERROR(INDEX('4. Valuation'!$O$10:$X$17,MATCH($D573,'4. Valuation'!$O$10:$O$17,0),MATCH($T$25,'4. Valuation'!$O$10:$X$10,0)),0)</f>
        <v>-</v>
      </c>
      <c r="U573" s="278"/>
      <c r="V573" s="312">
        <f t="shared" si="102"/>
        <v>0</v>
      </c>
      <c r="W573" s="312">
        <f t="shared" si="103"/>
        <v>0</v>
      </c>
      <c r="X573" s="312">
        <f t="shared" si="104"/>
        <v>0</v>
      </c>
      <c r="Y573" s="278"/>
      <c r="Z573" s="312">
        <f t="shared" si="105"/>
        <v>0</v>
      </c>
      <c r="AA573" s="312">
        <f>'3. GRI Pricing'!Y564</f>
        <v>0</v>
      </c>
      <c r="AB573" s="359">
        <f t="shared" si="106"/>
        <v>0</v>
      </c>
    </row>
    <row r="574" spans="3:28" s="30" customFormat="1" ht="12" x14ac:dyDescent="0.2">
      <c r="C574" s="77">
        <f>'1. Accomodation'!N569</f>
        <v>0</v>
      </c>
      <c r="D574" s="77">
        <f>'1. Accomodation'!P569</f>
        <v>0</v>
      </c>
      <c r="E574" s="77">
        <f>'1. Accomodation'!O569</f>
        <v>0</v>
      </c>
      <c r="G574" s="341">
        <f>IFERROR(INDEX('4. Valuation'!$C$10:$I$17,MATCH($D574,'4. Valuation'!$C$10:$C$17,0),MATCH($G$25,'4. Valuation'!$C$10:$I$10,0)),0)</f>
        <v>0</v>
      </c>
      <c r="H574" s="273">
        <f>IFERROR(INDEX('4. Valuation'!$C$10:$I$17,MATCH($D574,'4. Valuation'!$C$10:$C$17,0),MATCH($H$25,'4. Valuation'!$C$10:$I$10,0)),0)</f>
        <v>0</v>
      </c>
      <c r="I574" s="359" t="str">
        <f>IFERROR(INDEX('4. Valuation'!$C$10:$I$17,MATCH($D574,'4. Valuation'!$C$10:$C$17,0),MATCH($I$25,'4. Valuation'!$C$10:$I$10,0)),0)</f>
        <v>-</v>
      </c>
      <c r="J574" s="277"/>
      <c r="K574" s="312">
        <f t="shared" si="99"/>
        <v>0</v>
      </c>
      <c r="L574" s="312">
        <f t="shared" si="100"/>
        <v>0</v>
      </c>
      <c r="M574" s="359">
        <f t="shared" si="101"/>
        <v>0</v>
      </c>
      <c r="N574" s="278"/>
      <c r="O574" s="278"/>
      <c r="P574" s="278"/>
      <c r="Q574" s="278"/>
      <c r="R574" s="312">
        <f>IFERROR(INDEX('4. Valuation'!$O$10:$X$17,MATCH($D574,'4. Valuation'!$O$10:$O$17,0),MATCH($R$25,'4. Valuation'!$O$10:$X$10,0)),0)</f>
        <v>0</v>
      </c>
      <c r="S574" s="312">
        <f>IFERROR(INDEX('4. Valuation'!$O$10:$X$17,MATCH($D574,'4. Valuation'!$O$10:$O$17,0),MATCH($S$25,'4. Valuation'!$O$10:$X$10,0)),0)</f>
        <v>0</v>
      </c>
      <c r="T574" s="312" t="str">
        <f>IFERROR(INDEX('4. Valuation'!$O$10:$X$17,MATCH($D574,'4. Valuation'!$O$10:$O$17,0),MATCH($T$25,'4. Valuation'!$O$10:$X$10,0)),0)</f>
        <v>-</v>
      </c>
      <c r="U574" s="278"/>
      <c r="V574" s="312">
        <f t="shared" si="102"/>
        <v>0</v>
      </c>
      <c r="W574" s="312">
        <f t="shared" si="103"/>
        <v>0</v>
      </c>
      <c r="X574" s="312">
        <f t="shared" si="104"/>
        <v>0</v>
      </c>
      <c r="Y574" s="278"/>
      <c r="Z574" s="312">
        <f t="shared" si="105"/>
        <v>0</v>
      </c>
      <c r="AA574" s="312">
        <f>'3. GRI Pricing'!Y565</f>
        <v>0</v>
      </c>
      <c r="AB574" s="359">
        <f t="shared" si="106"/>
        <v>0</v>
      </c>
    </row>
    <row r="575" spans="3:28" s="30" customFormat="1" ht="12" x14ac:dyDescent="0.2">
      <c r="C575" s="77">
        <f>'1. Accomodation'!N570</f>
        <v>0</v>
      </c>
      <c r="D575" s="77">
        <f>'1. Accomodation'!P570</f>
        <v>0</v>
      </c>
      <c r="E575" s="77">
        <f>'1. Accomodation'!O570</f>
        <v>0</v>
      </c>
      <c r="G575" s="341">
        <f>IFERROR(INDEX('4. Valuation'!$C$10:$I$17,MATCH($D575,'4. Valuation'!$C$10:$C$17,0),MATCH($G$25,'4. Valuation'!$C$10:$I$10,0)),0)</f>
        <v>0</v>
      </c>
      <c r="H575" s="273">
        <f>IFERROR(INDEX('4. Valuation'!$C$10:$I$17,MATCH($D575,'4. Valuation'!$C$10:$C$17,0),MATCH($H$25,'4. Valuation'!$C$10:$I$10,0)),0)</f>
        <v>0</v>
      </c>
      <c r="I575" s="359" t="str">
        <f>IFERROR(INDEX('4. Valuation'!$C$10:$I$17,MATCH($D575,'4. Valuation'!$C$10:$C$17,0),MATCH($I$25,'4. Valuation'!$C$10:$I$10,0)),0)</f>
        <v>-</v>
      </c>
      <c r="J575" s="277"/>
      <c r="K575" s="312">
        <f t="shared" si="99"/>
        <v>0</v>
      </c>
      <c r="L575" s="312">
        <f t="shared" si="100"/>
        <v>0</v>
      </c>
      <c r="M575" s="359">
        <f t="shared" si="101"/>
        <v>0</v>
      </c>
      <c r="N575" s="278"/>
      <c r="O575" s="278"/>
      <c r="P575" s="278"/>
      <c r="Q575" s="278"/>
      <c r="R575" s="312">
        <f>IFERROR(INDEX('4. Valuation'!$O$10:$X$17,MATCH($D575,'4. Valuation'!$O$10:$O$17,0),MATCH($R$25,'4. Valuation'!$O$10:$X$10,0)),0)</f>
        <v>0</v>
      </c>
      <c r="S575" s="312">
        <f>IFERROR(INDEX('4. Valuation'!$O$10:$X$17,MATCH($D575,'4. Valuation'!$O$10:$O$17,0),MATCH($S$25,'4. Valuation'!$O$10:$X$10,0)),0)</f>
        <v>0</v>
      </c>
      <c r="T575" s="312" t="str">
        <f>IFERROR(INDEX('4. Valuation'!$O$10:$X$17,MATCH($D575,'4. Valuation'!$O$10:$O$17,0),MATCH($T$25,'4. Valuation'!$O$10:$X$10,0)),0)</f>
        <v>-</v>
      </c>
      <c r="U575" s="278"/>
      <c r="V575" s="312">
        <f t="shared" si="102"/>
        <v>0</v>
      </c>
      <c r="W575" s="312">
        <f t="shared" si="103"/>
        <v>0</v>
      </c>
      <c r="X575" s="312">
        <f t="shared" si="104"/>
        <v>0</v>
      </c>
      <c r="Y575" s="278"/>
      <c r="Z575" s="312">
        <f t="shared" si="105"/>
        <v>0</v>
      </c>
      <c r="AA575" s="312">
        <f>'3. GRI Pricing'!Y566</f>
        <v>0</v>
      </c>
      <c r="AB575" s="359">
        <f t="shared" si="106"/>
        <v>0</v>
      </c>
    </row>
    <row r="576" spans="3:28" s="30" customFormat="1" ht="12" x14ac:dyDescent="0.2">
      <c r="C576" s="77">
        <f>'1. Accomodation'!N571</f>
        <v>0</v>
      </c>
      <c r="D576" s="77">
        <f>'1. Accomodation'!P571</f>
        <v>0</v>
      </c>
      <c r="E576" s="77">
        <f>'1. Accomodation'!O571</f>
        <v>0</v>
      </c>
      <c r="G576" s="341">
        <f>IFERROR(INDEX('4. Valuation'!$C$10:$I$17,MATCH($D576,'4. Valuation'!$C$10:$C$17,0),MATCH($G$25,'4. Valuation'!$C$10:$I$10,0)),0)</f>
        <v>0</v>
      </c>
      <c r="H576" s="273">
        <f>IFERROR(INDEX('4. Valuation'!$C$10:$I$17,MATCH($D576,'4. Valuation'!$C$10:$C$17,0),MATCH($H$25,'4. Valuation'!$C$10:$I$10,0)),0)</f>
        <v>0</v>
      </c>
      <c r="I576" s="359" t="str">
        <f>IFERROR(INDEX('4. Valuation'!$C$10:$I$17,MATCH($D576,'4. Valuation'!$C$10:$C$17,0),MATCH($I$25,'4. Valuation'!$C$10:$I$10,0)),0)</f>
        <v>-</v>
      </c>
      <c r="J576" s="277"/>
      <c r="K576" s="312">
        <f t="shared" si="99"/>
        <v>0</v>
      </c>
      <c r="L576" s="312">
        <f t="shared" si="100"/>
        <v>0</v>
      </c>
      <c r="M576" s="359">
        <f t="shared" si="101"/>
        <v>0</v>
      </c>
      <c r="N576" s="278"/>
      <c r="O576" s="278"/>
      <c r="P576" s="278"/>
      <c r="Q576" s="278"/>
      <c r="R576" s="312">
        <f>IFERROR(INDEX('4. Valuation'!$O$10:$X$17,MATCH($D576,'4. Valuation'!$O$10:$O$17,0),MATCH($R$25,'4. Valuation'!$O$10:$X$10,0)),0)</f>
        <v>0</v>
      </c>
      <c r="S576" s="312">
        <f>IFERROR(INDEX('4. Valuation'!$O$10:$X$17,MATCH($D576,'4. Valuation'!$O$10:$O$17,0),MATCH($S$25,'4. Valuation'!$O$10:$X$10,0)),0)</f>
        <v>0</v>
      </c>
      <c r="T576" s="312" t="str">
        <f>IFERROR(INDEX('4. Valuation'!$O$10:$X$17,MATCH($D576,'4. Valuation'!$O$10:$O$17,0),MATCH($T$25,'4. Valuation'!$O$10:$X$10,0)),0)</f>
        <v>-</v>
      </c>
      <c r="U576" s="278"/>
      <c r="V576" s="312">
        <f t="shared" si="102"/>
        <v>0</v>
      </c>
      <c r="W576" s="312">
        <f t="shared" si="103"/>
        <v>0</v>
      </c>
      <c r="X576" s="312">
        <f t="shared" si="104"/>
        <v>0</v>
      </c>
      <c r="Y576" s="278"/>
      <c r="Z576" s="312">
        <f t="shared" si="105"/>
        <v>0</v>
      </c>
      <c r="AA576" s="312">
        <f>'3. GRI Pricing'!Y567</f>
        <v>0</v>
      </c>
      <c r="AB576" s="359">
        <f t="shared" si="106"/>
        <v>0</v>
      </c>
    </row>
    <row r="577" spans="3:28" s="30" customFormat="1" ht="12" x14ac:dyDescent="0.2">
      <c r="C577" s="77">
        <f>'1. Accomodation'!N572</f>
        <v>0</v>
      </c>
      <c r="D577" s="77">
        <f>'1. Accomodation'!P572</f>
        <v>0</v>
      </c>
      <c r="E577" s="77">
        <f>'1. Accomodation'!O572</f>
        <v>0</v>
      </c>
      <c r="G577" s="341">
        <f>IFERROR(INDEX('4. Valuation'!$C$10:$I$17,MATCH($D577,'4. Valuation'!$C$10:$C$17,0),MATCH($G$25,'4. Valuation'!$C$10:$I$10,0)),0)</f>
        <v>0</v>
      </c>
      <c r="H577" s="273">
        <f>IFERROR(INDEX('4. Valuation'!$C$10:$I$17,MATCH($D577,'4. Valuation'!$C$10:$C$17,0),MATCH($H$25,'4. Valuation'!$C$10:$I$10,0)),0)</f>
        <v>0</v>
      </c>
      <c r="I577" s="359" t="str">
        <f>IFERROR(INDEX('4. Valuation'!$C$10:$I$17,MATCH($D577,'4. Valuation'!$C$10:$C$17,0),MATCH($I$25,'4. Valuation'!$C$10:$I$10,0)),0)</f>
        <v>-</v>
      </c>
      <c r="J577" s="277"/>
      <c r="K577" s="312">
        <f t="shared" si="99"/>
        <v>0</v>
      </c>
      <c r="L577" s="312">
        <f t="shared" si="100"/>
        <v>0</v>
      </c>
      <c r="M577" s="359">
        <f t="shared" si="101"/>
        <v>0</v>
      </c>
      <c r="N577" s="278"/>
      <c r="O577" s="278"/>
      <c r="P577" s="278"/>
      <c r="Q577" s="278"/>
      <c r="R577" s="312">
        <f>IFERROR(INDEX('4. Valuation'!$O$10:$X$17,MATCH($D577,'4. Valuation'!$O$10:$O$17,0),MATCH($R$25,'4. Valuation'!$O$10:$X$10,0)),0)</f>
        <v>0</v>
      </c>
      <c r="S577" s="312">
        <f>IFERROR(INDEX('4. Valuation'!$O$10:$X$17,MATCH($D577,'4. Valuation'!$O$10:$O$17,0),MATCH($S$25,'4. Valuation'!$O$10:$X$10,0)),0)</f>
        <v>0</v>
      </c>
      <c r="T577" s="312" t="str">
        <f>IFERROR(INDEX('4. Valuation'!$O$10:$X$17,MATCH($D577,'4. Valuation'!$O$10:$O$17,0),MATCH($T$25,'4. Valuation'!$O$10:$X$10,0)),0)</f>
        <v>-</v>
      </c>
      <c r="U577" s="278"/>
      <c r="V577" s="312">
        <f t="shared" si="102"/>
        <v>0</v>
      </c>
      <c r="W577" s="312">
        <f t="shared" si="103"/>
        <v>0</v>
      </c>
      <c r="X577" s="312">
        <f t="shared" si="104"/>
        <v>0</v>
      </c>
      <c r="Y577" s="278"/>
      <c r="Z577" s="312">
        <f t="shared" si="105"/>
        <v>0</v>
      </c>
      <c r="AA577" s="312">
        <f>'3. GRI Pricing'!Y568</f>
        <v>0</v>
      </c>
      <c r="AB577" s="359">
        <f t="shared" si="106"/>
        <v>0</v>
      </c>
    </row>
    <row r="578" spans="3:28" s="30" customFormat="1" ht="12" x14ac:dyDescent="0.2">
      <c r="C578" s="77">
        <f>'1. Accomodation'!N573</f>
        <v>0</v>
      </c>
      <c r="D578" s="77">
        <f>'1. Accomodation'!P573</f>
        <v>0</v>
      </c>
      <c r="E578" s="77">
        <f>'1. Accomodation'!O573</f>
        <v>0</v>
      </c>
      <c r="G578" s="341">
        <f>IFERROR(INDEX('4. Valuation'!$C$10:$I$17,MATCH($D578,'4. Valuation'!$C$10:$C$17,0),MATCH($G$25,'4. Valuation'!$C$10:$I$10,0)),0)</f>
        <v>0</v>
      </c>
      <c r="H578" s="273">
        <f>IFERROR(INDEX('4. Valuation'!$C$10:$I$17,MATCH($D578,'4. Valuation'!$C$10:$C$17,0),MATCH($H$25,'4. Valuation'!$C$10:$I$10,0)),0)</f>
        <v>0</v>
      </c>
      <c r="I578" s="359" t="str">
        <f>IFERROR(INDEX('4. Valuation'!$C$10:$I$17,MATCH($D578,'4. Valuation'!$C$10:$C$17,0),MATCH($I$25,'4. Valuation'!$C$10:$I$10,0)),0)</f>
        <v>-</v>
      </c>
      <c r="J578" s="277"/>
      <c r="K578" s="312">
        <f t="shared" si="99"/>
        <v>0</v>
      </c>
      <c r="L578" s="312">
        <f t="shared" si="100"/>
        <v>0</v>
      </c>
      <c r="M578" s="359">
        <f t="shared" si="101"/>
        <v>0</v>
      </c>
      <c r="N578" s="278"/>
      <c r="O578" s="278"/>
      <c r="P578" s="278"/>
      <c r="Q578" s="278"/>
      <c r="R578" s="312">
        <f>IFERROR(INDEX('4. Valuation'!$O$10:$X$17,MATCH($D578,'4. Valuation'!$O$10:$O$17,0),MATCH($R$25,'4. Valuation'!$O$10:$X$10,0)),0)</f>
        <v>0</v>
      </c>
      <c r="S578" s="312">
        <f>IFERROR(INDEX('4. Valuation'!$O$10:$X$17,MATCH($D578,'4. Valuation'!$O$10:$O$17,0),MATCH($S$25,'4. Valuation'!$O$10:$X$10,0)),0)</f>
        <v>0</v>
      </c>
      <c r="T578" s="312" t="str">
        <f>IFERROR(INDEX('4. Valuation'!$O$10:$X$17,MATCH($D578,'4. Valuation'!$O$10:$O$17,0),MATCH($T$25,'4. Valuation'!$O$10:$X$10,0)),0)</f>
        <v>-</v>
      </c>
      <c r="U578" s="278"/>
      <c r="V578" s="312">
        <f t="shared" si="102"/>
        <v>0</v>
      </c>
      <c r="W578" s="312">
        <f t="shared" si="103"/>
        <v>0</v>
      </c>
      <c r="X578" s="312">
        <f t="shared" si="104"/>
        <v>0</v>
      </c>
      <c r="Y578" s="278"/>
      <c r="Z578" s="312">
        <f t="shared" si="105"/>
        <v>0</v>
      </c>
      <c r="AA578" s="312">
        <f>'3. GRI Pricing'!Y569</f>
        <v>0</v>
      </c>
      <c r="AB578" s="359">
        <f t="shared" si="106"/>
        <v>0</v>
      </c>
    </row>
    <row r="579" spans="3:28" s="30" customFormat="1" ht="12" x14ac:dyDescent="0.2">
      <c r="C579" s="77">
        <f>'1. Accomodation'!N574</f>
        <v>0</v>
      </c>
      <c r="D579" s="77">
        <f>'1. Accomodation'!P574</f>
        <v>0</v>
      </c>
      <c r="E579" s="77">
        <f>'1. Accomodation'!O574</f>
        <v>0</v>
      </c>
      <c r="G579" s="341">
        <f>IFERROR(INDEX('4. Valuation'!$C$10:$I$17,MATCH($D579,'4. Valuation'!$C$10:$C$17,0),MATCH($G$25,'4. Valuation'!$C$10:$I$10,0)),0)</f>
        <v>0</v>
      </c>
      <c r="H579" s="273">
        <f>IFERROR(INDEX('4. Valuation'!$C$10:$I$17,MATCH($D579,'4. Valuation'!$C$10:$C$17,0),MATCH($H$25,'4. Valuation'!$C$10:$I$10,0)),0)</f>
        <v>0</v>
      </c>
      <c r="I579" s="359" t="str">
        <f>IFERROR(INDEX('4. Valuation'!$C$10:$I$17,MATCH($D579,'4. Valuation'!$C$10:$C$17,0),MATCH($I$25,'4. Valuation'!$C$10:$I$10,0)),0)</f>
        <v>-</v>
      </c>
      <c r="J579" s="277"/>
      <c r="K579" s="312">
        <f t="shared" si="99"/>
        <v>0</v>
      </c>
      <c r="L579" s="312">
        <f t="shared" si="100"/>
        <v>0</v>
      </c>
      <c r="M579" s="359">
        <f t="shared" si="101"/>
        <v>0</v>
      </c>
      <c r="N579" s="278"/>
      <c r="O579" s="278"/>
      <c r="P579" s="278"/>
      <c r="Q579" s="278"/>
      <c r="R579" s="312">
        <f>IFERROR(INDEX('4. Valuation'!$O$10:$X$17,MATCH($D579,'4. Valuation'!$O$10:$O$17,0),MATCH($R$25,'4. Valuation'!$O$10:$X$10,0)),0)</f>
        <v>0</v>
      </c>
      <c r="S579" s="312">
        <f>IFERROR(INDEX('4. Valuation'!$O$10:$X$17,MATCH($D579,'4. Valuation'!$O$10:$O$17,0),MATCH($S$25,'4. Valuation'!$O$10:$X$10,0)),0)</f>
        <v>0</v>
      </c>
      <c r="T579" s="312" t="str">
        <f>IFERROR(INDEX('4. Valuation'!$O$10:$X$17,MATCH($D579,'4. Valuation'!$O$10:$O$17,0),MATCH($T$25,'4. Valuation'!$O$10:$X$10,0)),0)</f>
        <v>-</v>
      </c>
      <c r="U579" s="278"/>
      <c r="V579" s="312">
        <f t="shared" si="102"/>
        <v>0</v>
      </c>
      <c r="W579" s="312">
        <f t="shared" si="103"/>
        <v>0</v>
      </c>
      <c r="X579" s="312">
        <f t="shared" si="104"/>
        <v>0</v>
      </c>
      <c r="Y579" s="278"/>
      <c r="Z579" s="312">
        <f t="shared" si="105"/>
        <v>0</v>
      </c>
      <c r="AA579" s="312">
        <f>'3. GRI Pricing'!Y570</f>
        <v>0</v>
      </c>
      <c r="AB579" s="359">
        <f t="shared" si="106"/>
        <v>0</v>
      </c>
    </row>
    <row r="580" spans="3:28" s="30" customFormat="1" ht="12" x14ac:dyDescent="0.2">
      <c r="C580" s="77">
        <f>'1. Accomodation'!N575</f>
        <v>0</v>
      </c>
      <c r="D580" s="77">
        <f>'1. Accomodation'!P575</f>
        <v>0</v>
      </c>
      <c r="E580" s="77">
        <f>'1. Accomodation'!O575</f>
        <v>0</v>
      </c>
      <c r="G580" s="341">
        <f>IFERROR(INDEX('4. Valuation'!$C$10:$I$17,MATCH($D580,'4. Valuation'!$C$10:$C$17,0),MATCH($G$25,'4. Valuation'!$C$10:$I$10,0)),0)</f>
        <v>0</v>
      </c>
      <c r="H580" s="273">
        <f>IFERROR(INDEX('4. Valuation'!$C$10:$I$17,MATCH($D580,'4. Valuation'!$C$10:$C$17,0),MATCH($H$25,'4. Valuation'!$C$10:$I$10,0)),0)</f>
        <v>0</v>
      </c>
      <c r="I580" s="359" t="str">
        <f>IFERROR(INDEX('4. Valuation'!$C$10:$I$17,MATCH($D580,'4. Valuation'!$C$10:$C$17,0),MATCH($I$25,'4. Valuation'!$C$10:$I$10,0)),0)</f>
        <v>-</v>
      </c>
      <c r="J580" s="277"/>
      <c r="K580" s="312">
        <f t="shared" si="99"/>
        <v>0</v>
      </c>
      <c r="L580" s="312">
        <f t="shared" si="100"/>
        <v>0</v>
      </c>
      <c r="M580" s="359">
        <f t="shared" si="101"/>
        <v>0</v>
      </c>
      <c r="N580" s="278"/>
      <c r="O580" s="278"/>
      <c r="P580" s="278"/>
      <c r="Q580" s="278"/>
      <c r="R580" s="312">
        <f>IFERROR(INDEX('4. Valuation'!$O$10:$X$17,MATCH($D580,'4. Valuation'!$O$10:$O$17,0),MATCH($R$25,'4. Valuation'!$O$10:$X$10,0)),0)</f>
        <v>0</v>
      </c>
      <c r="S580" s="312">
        <f>IFERROR(INDEX('4. Valuation'!$O$10:$X$17,MATCH($D580,'4. Valuation'!$O$10:$O$17,0),MATCH($S$25,'4. Valuation'!$O$10:$X$10,0)),0)</f>
        <v>0</v>
      </c>
      <c r="T580" s="312" t="str">
        <f>IFERROR(INDEX('4. Valuation'!$O$10:$X$17,MATCH($D580,'4. Valuation'!$O$10:$O$17,0),MATCH($T$25,'4. Valuation'!$O$10:$X$10,0)),0)</f>
        <v>-</v>
      </c>
      <c r="U580" s="278"/>
      <c r="V580" s="312">
        <f t="shared" si="102"/>
        <v>0</v>
      </c>
      <c r="W580" s="312">
        <f t="shared" si="103"/>
        <v>0</v>
      </c>
      <c r="X580" s="312">
        <f t="shared" si="104"/>
        <v>0</v>
      </c>
      <c r="Y580" s="278"/>
      <c r="Z580" s="312">
        <f t="shared" si="105"/>
        <v>0</v>
      </c>
      <c r="AA580" s="312">
        <f>'3. GRI Pricing'!Y571</f>
        <v>0</v>
      </c>
      <c r="AB580" s="359">
        <f t="shared" si="106"/>
        <v>0</v>
      </c>
    </row>
    <row r="581" spans="3:28" s="30" customFormat="1" ht="12" x14ac:dyDescent="0.2">
      <c r="C581" s="77">
        <f>'1. Accomodation'!N576</f>
        <v>0</v>
      </c>
      <c r="D581" s="77">
        <f>'1. Accomodation'!P576</f>
        <v>0</v>
      </c>
      <c r="E581" s="77">
        <f>'1. Accomodation'!O576</f>
        <v>0</v>
      </c>
      <c r="G581" s="341">
        <f>IFERROR(INDEX('4. Valuation'!$C$10:$I$17,MATCH($D581,'4. Valuation'!$C$10:$C$17,0),MATCH($G$25,'4. Valuation'!$C$10:$I$10,0)),0)</f>
        <v>0</v>
      </c>
      <c r="H581" s="273">
        <f>IFERROR(INDEX('4. Valuation'!$C$10:$I$17,MATCH($D581,'4. Valuation'!$C$10:$C$17,0),MATCH($H$25,'4. Valuation'!$C$10:$I$10,0)),0)</f>
        <v>0</v>
      </c>
      <c r="I581" s="359" t="str">
        <f>IFERROR(INDEX('4. Valuation'!$C$10:$I$17,MATCH($D581,'4. Valuation'!$C$10:$C$17,0),MATCH($I$25,'4. Valuation'!$C$10:$I$10,0)),0)</f>
        <v>-</v>
      </c>
      <c r="J581" s="277"/>
      <c r="K581" s="312">
        <f t="shared" si="99"/>
        <v>0</v>
      </c>
      <c r="L581" s="312">
        <f t="shared" si="100"/>
        <v>0</v>
      </c>
      <c r="M581" s="359">
        <f t="shared" si="101"/>
        <v>0</v>
      </c>
      <c r="N581" s="278"/>
      <c r="O581" s="278"/>
      <c r="P581" s="278"/>
      <c r="Q581" s="278"/>
      <c r="R581" s="312">
        <f>IFERROR(INDEX('4. Valuation'!$O$10:$X$17,MATCH($D581,'4. Valuation'!$O$10:$O$17,0),MATCH($R$25,'4. Valuation'!$O$10:$X$10,0)),0)</f>
        <v>0</v>
      </c>
      <c r="S581" s="312">
        <f>IFERROR(INDEX('4. Valuation'!$O$10:$X$17,MATCH($D581,'4. Valuation'!$O$10:$O$17,0),MATCH($S$25,'4. Valuation'!$O$10:$X$10,0)),0)</f>
        <v>0</v>
      </c>
      <c r="T581" s="312" t="str">
        <f>IFERROR(INDEX('4. Valuation'!$O$10:$X$17,MATCH($D581,'4. Valuation'!$O$10:$O$17,0),MATCH($T$25,'4. Valuation'!$O$10:$X$10,0)),0)</f>
        <v>-</v>
      </c>
      <c r="U581" s="278"/>
      <c r="V581" s="312">
        <f t="shared" si="102"/>
        <v>0</v>
      </c>
      <c r="W581" s="312">
        <f t="shared" si="103"/>
        <v>0</v>
      </c>
      <c r="X581" s="312">
        <f t="shared" si="104"/>
        <v>0</v>
      </c>
      <c r="Y581" s="278"/>
      <c r="Z581" s="312">
        <f t="shared" si="105"/>
        <v>0</v>
      </c>
      <c r="AA581" s="312">
        <f>'3. GRI Pricing'!Y572</f>
        <v>0</v>
      </c>
      <c r="AB581" s="359">
        <f t="shared" si="106"/>
        <v>0</v>
      </c>
    </row>
    <row r="582" spans="3:28" s="30" customFormat="1" ht="12" x14ac:dyDescent="0.2">
      <c r="C582" s="77">
        <f>'1. Accomodation'!N577</f>
        <v>0</v>
      </c>
      <c r="D582" s="77">
        <f>'1. Accomodation'!P577</f>
        <v>0</v>
      </c>
      <c r="E582" s="77">
        <f>'1. Accomodation'!O577</f>
        <v>0</v>
      </c>
      <c r="G582" s="341">
        <f>IFERROR(INDEX('4. Valuation'!$C$10:$I$17,MATCH($D582,'4. Valuation'!$C$10:$C$17,0),MATCH($G$25,'4. Valuation'!$C$10:$I$10,0)),0)</f>
        <v>0</v>
      </c>
      <c r="H582" s="273">
        <f>IFERROR(INDEX('4. Valuation'!$C$10:$I$17,MATCH($D582,'4. Valuation'!$C$10:$C$17,0),MATCH($H$25,'4. Valuation'!$C$10:$I$10,0)),0)</f>
        <v>0</v>
      </c>
      <c r="I582" s="359" t="str">
        <f>IFERROR(INDEX('4. Valuation'!$C$10:$I$17,MATCH($D582,'4. Valuation'!$C$10:$C$17,0),MATCH($I$25,'4. Valuation'!$C$10:$I$10,0)),0)</f>
        <v>-</v>
      </c>
      <c r="J582" s="277"/>
      <c r="K582" s="312">
        <f t="shared" si="99"/>
        <v>0</v>
      </c>
      <c r="L582" s="312">
        <f t="shared" si="100"/>
        <v>0</v>
      </c>
      <c r="M582" s="359">
        <f t="shared" si="101"/>
        <v>0</v>
      </c>
      <c r="N582" s="278"/>
      <c r="O582" s="278"/>
      <c r="P582" s="278"/>
      <c r="Q582" s="278"/>
      <c r="R582" s="312">
        <f>IFERROR(INDEX('4. Valuation'!$O$10:$X$17,MATCH($D582,'4. Valuation'!$O$10:$O$17,0),MATCH($R$25,'4. Valuation'!$O$10:$X$10,0)),0)</f>
        <v>0</v>
      </c>
      <c r="S582" s="312">
        <f>IFERROR(INDEX('4. Valuation'!$O$10:$X$17,MATCH($D582,'4. Valuation'!$O$10:$O$17,0),MATCH($S$25,'4. Valuation'!$O$10:$X$10,0)),0)</f>
        <v>0</v>
      </c>
      <c r="T582" s="312" t="str">
        <f>IFERROR(INDEX('4. Valuation'!$O$10:$X$17,MATCH($D582,'4. Valuation'!$O$10:$O$17,0),MATCH($T$25,'4. Valuation'!$O$10:$X$10,0)),0)</f>
        <v>-</v>
      </c>
      <c r="U582" s="278"/>
      <c r="V582" s="312">
        <f t="shared" si="102"/>
        <v>0</v>
      </c>
      <c r="W582" s="312">
        <f t="shared" si="103"/>
        <v>0</v>
      </c>
      <c r="X582" s="312">
        <f t="shared" si="104"/>
        <v>0</v>
      </c>
      <c r="Y582" s="278"/>
      <c r="Z582" s="312">
        <f t="shared" si="105"/>
        <v>0</v>
      </c>
      <c r="AA582" s="312">
        <f>'3. GRI Pricing'!Y573</f>
        <v>0</v>
      </c>
      <c r="AB582" s="359">
        <f t="shared" si="106"/>
        <v>0</v>
      </c>
    </row>
    <row r="583" spans="3:28" s="30" customFormat="1" ht="12" x14ac:dyDescent="0.2">
      <c r="C583" s="77">
        <f>'1. Accomodation'!N578</f>
        <v>0</v>
      </c>
      <c r="D583" s="77">
        <f>'1. Accomodation'!P578</f>
        <v>0</v>
      </c>
      <c r="E583" s="77">
        <f>'1. Accomodation'!O578</f>
        <v>0</v>
      </c>
      <c r="G583" s="341">
        <f>IFERROR(INDEX('4. Valuation'!$C$10:$I$17,MATCH($D583,'4. Valuation'!$C$10:$C$17,0),MATCH($G$25,'4. Valuation'!$C$10:$I$10,0)),0)</f>
        <v>0</v>
      </c>
      <c r="H583" s="273">
        <f>IFERROR(INDEX('4. Valuation'!$C$10:$I$17,MATCH($D583,'4. Valuation'!$C$10:$C$17,0),MATCH($H$25,'4. Valuation'!$C$10:$I$10,0)),0)</f>
        <v>0</v>
      </c>
      <c r="I583" s="359" t="str">
        <f>IFERROR(INDEX('4. Valuation'!$C$10:$I$17,MATCH($D583,'4. Valuation'!$C$10:$C$17,0),MATCH($I$25,'4. Valuation'!$C$10:$I$10,0)),0)</f>
        <v>-</v>
      </c>
      <c r="J583" s="277"/>
      <c r="K583" s="312">
        <f t="shared" si="99"/>
        <v>0</v>
      </c>
      <c r="L583" s="312">
        <f t="shared" si="100"/>
        <v>0</v>
      </c>
      <c r="M583" s="359">
        <f t="shared" si="101"/>
        <v>0</v>
      </c>
      <c r="N583" s="278"/>
      <c r="O583" s="278"/>
      <c r="P583" s="278"/>
      <c r="Q583" s="278"/>
      <c r="R583" s="312">
        <f>IFERROR(INDEX('4. Valuation'!$O$10:$X$17,MATCH($D583,'4. Valuation'!$O$10:$O$17,0),MATCH($R$25,'4. Valuation'!$O$10:$X$10,0)),0)</f>
        <v>0</v>
      </c>
      <c r="S583" s="312">
        <f>IFERROR(INDEX('4. Valuation'!$O$10:$X$17,MATCH($D583,'4. Valuation'!$O$10:$O$17,0),MATCH($S$25,'4. Valuation'!$O$10:$X$10,0)),0)</f>
        <v>0</v>
      </c>
      <c r="T583" s="312" t="str">
        <f>IFERROR(INDEX('4. Valuation'!$O$10:$X$17,MATCH($D583,'4. Valuation'!$O$10:$O$17,0),MATCH($T$25,'4. Valuation'!$O$10:$X$10,0)),0)</f>
        <v>-</v>
      </c>
      <c r="U583" s="278"/>
      <c r="V583" s="312">
        <f t="shared" si="102"/>
        <v>0</v>
      </c>
      <c r="W583" s="312">
        <f t="shared" si="103"/>
        <v>0</v>
      </c>
      <c r="X583" s="312">
        <f t="shared" si="104"/>
        <v>0</v>
      </c>
      <c r="Y583" s="278"/>
      <c r="Z583" s="312">
        <f t="shared" si="105"/>
        <v>0</v>
      </c>
      <c r="AA583" s="312">
        <f>'3. GRI Pricing'!Y574</f>
        <v>0</v>
      </c>
      <c r="AB583" s="359">
        <f t="shared" si="106"/>
        <v>0</v>
      </c>
    </row>
    <row r="584" spans="3:28" s="30" customFormat="1" ht="12" x14ac:dyDescent="0.2">
      <c r="C584" s="77">
        <f>'1. Accomodation'!N579</f>
        <v>0</v>
      </c>
      <c r="D584" s="77">
        <f>'1. Accomodation'!P579</f>
        <v>0</v>
      </c>
      <c r="E584" s="77">
        <f>'1. Accomodation'!O579</f>
        <v>0</v>
      </c>
      <c r="G584" s="341">
        <f>IFERROR(INDEX('4. Valuation'!$C$10:$I$17,MATCH($D584,'4. Valuation'!$C$10:$C$17,0),MATCH($G$25,'4. Valuation'!$C$10:$I$10,0)),0)</f>
        <v>0</v>
      </c>
      <c r="H584" s="273">
        <f>IFERROR(INDEX('4. Valuation'!$C$10:$I$17,MATCH($D584,'4. Valuation'!$C$10:$C$17,0),MATCH($H$25,'4. Valuation'!$C$10:$I$10,0)),0)</f>
        <v>0</v>
      </c>
      <c r="I584" s="359" t="str">
        <f>IFERROR(INDEX('4. Valuation'!$C$10:$I$17,MATCH($D584,'4. Valuation'!$C$10:$C$17,0),MATCH($I$25,'4. Valuation'!$C$10:$I$10,0)),0)</f>
        <v>-</v>
      </c>
      <c r="J584" s="277"/>
      <c r="K584" s="312">
        <f t="shared" si="99"/>
        <v>0</v>
      </c>
      <c r="L584" s="312">
        <f t="shared" si="100"/>
        <v>0</v>
      </c>
      <c r="M584" s="359">
        <f t="shared" si="101"/>
        <v>0</v>
      </c>
      <c r="N584" s="278"/>
      <c r="O584" s="278"/>
      <c r="P584" s="278"/>
      <c r="Q584" s="278"/>
      <c r="R584" s="312">
        <f>IFERROR(INDEX('4. Valuation'!$O$10:$X$17,MATCH($D584,'4. Valuation'!$O$10:$O$17,0),MATCH($R$25,'4. Valuation'!$O$10:$X$10,0)),0)</f>
        <v>0</v>
      </c>
      <c r="S584" s="312">
        <f>IFERROR(INDEX('4. Valuation'!$O$10:$X$17,MATCH($D584,'4. Valuation'!$O$10:$O$17,0),MATCH($S$25,'4. Valuation'!$O$10:$X$10,0)),0)</f>
        <v>0</v>
      </c>
      <c r="T584" s="312" t="str">
        <f>IFERROR(INDEX('4. Valuation'!$O$10:$X$17,MATCH($D584,'4. Valuation'!$O$10:$O$17,0),MATCH($T$25,'4. Valuation'!$O$10:$X$10,0)),0)</f>
        <v>-</v>
      </c>
      <c r="U584" s="278"/>
      <c r="V584" s="312">
        <f t="shared" si="102"/>
        <v>0</v>
      </c>
      <c r="W584" s="312">
        <f t="shared" si="103"/>
        <v>0</v>
      </c>
      <c r="X584" s="312">
        <f t="shared" si="104"/>
        <v>0</v>
      </c>
      <c r="Y584" s="278"/>
      <c r="Z584" s="312">
        <f t="shared" si="105"/>
        <v>0</v>
      </c>
      <c r="AA584" s="312">
        <f>'3. GRI Pricing'!Y575</f>
        <v>0</v>
      </c>
      <c r="AB584" s="359">
        <f t="shared" si="106"/>
        <v>0</v>
      </c>
    </row>
    <row r="585" spans="3:28" s="30" customFormat="1" ht="12" x14ac:dyDescent="0.2">
      <c r="C585" s="77">
        <f>'1. Accomodation'!N580</f>
        <v>0</v>
      </c>
      <c r="D585" s="77">
        <f>'1. Accomodation'!P580</f>
        <v>0</v>
      </c>
      <c r="E585" s="77">
        <f>'1. Accomodation'!O580</f>
        <v>0</v>
      </c>
      <c r="G585" s="341">
        <f>IFERROR(INDEX('4. Valuation'!$C$10:$I$17,MATCH($D585,'4. Valuation'!$C$10:$C$17,0),MATCH($G$25,'4. Valuation'!$C$10:$I$10,0)),0)</f>
        <v>0</v>
      </c>
      <c r="H585" s="273">
        <f>IFERROR(INDEX('4. Valuation'!$C$10:$I$17,MATCH($D585,'4. Valuation'!$C$10:$C$17,0),MATCH($H$25,'4. Valuation'!$C$10:$I$10,0)),0)</f>
        <v>0</v>
      </c>
      <c r="I585" s="359" t="str">
        <f>IFERROR(INDEX('4. Valuation'!$C$10:$I$17,MATCH($D585,'4. Valuation'!$C$10:$C$17,0),MATCH($I$25,'4. Valuation'!$C$10:$I$10,0)),0)</f>
        <v>-</v>
      </c>
      <c r="J585" s="277"/>
      <c r="K585" s="312">
        <f t="shared" si="99"/>
        <v>0</v>
      </c>
      <c r="L585" s="312">
        <f t="shared" si="100"/>
        <v>0</v>
      </c>
      <c r="M585" s="359">
        <f t="shared" si="101"/>
        <v>0</v>
      </c>
      <c r="N585" s="278"/>
      <c r="O585" s="278"/>
      <c r="P585" s="278"/>
      <c r="Q585" s="278"/>
      <c r="R585" s="312">
        <f>IFERROR(INDEX('4. Valuation'!$O$10:$X$17,MATCH($D585,'4. Valuation'!$O$10:$O$17,0),MATCH($R$25,'4. Valuation'!$O$10:$X$10,0)),0)</f>
        <v>0</v>
      </c>
      <c r="S585" s="312">
        <f>IFERROR(INDEX('4. Valuation'!$O$10:$X$17,MATCH($D585,'4. Valuation'!$O$10:$O$17,0),MATCH($S$25,'4. Valuation'!$O$10:$X$10,0)),0)</f>
        <v>0</v>
      </c>
      <c r="T585" s="312" t="str">
        <f>IFERROR(INDEX('4. Valuation'!$O$10:$X$17,MATCH($D585,'4. Valuation'!$O$10:$O$17,0),MATCH($T$25,'4. Valuation'!$O$10:$X$10,0)),0)</f>
        <v>-</v>
      </c>
      <c r="U585" s="278"/>
      <c r="V585" s="312">
        <f t="shared" si="102"/>
        <v>0</v>
      </c>
      <c r="W585" s="312">
        <f t="shared" si="103"/>
        <v>0</v>
      </c>
      <c r="X585" s="312">
        <f t="shared" si="104"/>
        <v>0</v>
      </c>
      <c r="Y585" s="278"/>
      <c r="Z585" s="312">
        <f t="shared" si="105"/>
        <v>0</v>
      </c>
      <c r="AA585" s="312">
        <f>'3. GRI Pricing'!Y576</f>
        <v>0</v>
      </c>
      <c r="AB585" s="359">
        <f t="shared" si="106"/>
        <v>0</v>
      </c>
    </row>
    <row r="586" spans="3:28" s="30" customFormat="1" ht="12" x14ac:dyDescent="0.2">
      <c r="C586" s="77">
        <f>'1. Accomodation'!N581</f>
        <v>0</v>
      </c>
      <c r="D586" s="77">
        <f>'1. Accomodation'!P581</f>
        <v>0</v>
      </c>
      <c r="E586" s="77">
        <f>'1. Accomodation'!O581</f>
        <v>0</v>
      </c>
      <c r="G586" s="341">
        <f>IFERROR(INDEX('4. Valuation'!$C$10:$I$17,MATCH($D586,'4. Valuation'!$C$10:$C$17,0),MATCH($G$25,'4. Valuation'!$C$10:$I$10,0)),0)</f>
        <v>0</v>
      </c>
      <c r="H586" s="273">
        <f>IFERROR(INDEX('4. Valuation'!$C$10:$I$17,MATCH($D586,'4. Valuation'!$C$10:$C$17,0),MATCH($H$25,'4. Valuation'!$C$10:$I$10,0)),0)</f>
        <v>0</v>
      </c>
      <c r="I586" s="359" t="str">
        <f>IFERROR(INDEX('4. Valuation'!$C$10:$I$17,MATCH($D586,'4. Valuation'!$C$10:$C$17,0),MATCH($I$25,'4. Valuation'!$C$10:$I$10,0)),0)</f>
        <v>-</v>
      </c>
      <c r="J586" s="277"/>
      <c r="K586" s="312">
        <f t="shared" si="99"/>
        <v>0</v>
      </c>
      <c r="L586" s="312">
        <f t="shared" si="100"/>
        <v>0</v>
      </c>
      <c r="M586" s="359">
        <f t="shared" si="101"/>
        <v>0</v>
      </c>
      <c r="N586" s="278"/>
      <c r="O586" s="278"/>
      <c r="P586" s="278"/>
      <c r="Q586" s="278"/>
      <c r="R586" s="312">
        <f>IFERROR(INDEX('4. Valuation'!$O$10:$X$17,MATCH($D586,'4. Valuation'!$O$10:$O$17,0),MATCH($R$25,'4. Valuation'!$O$10:$X$10,0)),0)</f>
        <v>0</v>
      </c>
      <c r="S586" s="312">
        <f>IFERROR(INDEX('4. Valuation'!$O$10:$X$17,MATCH($D586,'4. Valuation'!$O$10:$O$17,0),MATCH($S$25,'4. Valuation'!$O$10:$X$10,0)),0)</f>
        <v>0</v>
      </c>
      <c r="T586" s="312" t="str">
        <f>IFERROR(INDEX('4. Valuation'!$O$10:$X$17,MATCH($D586,'4. Valuation'!$O$10:$O$17,0),MATCH($T$25,'4. Valuation'!$O$10:$X$10,0)),0)</f>
        <v>-</v>
      </c>
      <c r="U586" s="278"/>
      <c r="V586" s="312">
        <f t="shared" si="102"/>
        <v>0</v>
      </c>
      <c r="W586" s="312">
        <f t="shared" si="103"/>
        <v>0</v>
      </c>
      <c r="X586" s="312">
        <f t="shared" si="104"/>
        <v>0</v>
      </c>
      <c r="Y586" s="278"/>
      <c r="Z586" s="312">
        <f t="shared" si="105"/>
        <v>0</v>
      </c>
      <c r="AA586" s="312">
        <f>'3. GRI Pricing'!Y577</f>
        <v>0</v>
      </c>
      <c r="AB586" s="359">
        <f t="shared" si="106"/>
        <v>0</v>
      </c>
    </row>
    <row r="587" spans="3:28" s="30" customFormat="1" ht="12" x14ac:dyDescent="0.2">
      <c r="C587" s="77">
        <f>'1. Accomodation'!N582</f>
        <v>0</v>
      </c>
      <c r="D587" s="77">
        <f>'1. Accomodation'!P582</f>
        <v>0</v>
      </c>
      <c r="E587" s="77">
        <f>'1. Accomodation'!O582</f>
        <v>0</v>
      </c>
      <c r="G587" s="341">
        <f>IFERROR(INDEX('4. Valuation'!$C$10:$I$17,MATCH($D587,'4. Valuation'!$C$10:$C$17,0),MATCH($G$25,'4. Valuation'!$C$10:$I$10,0)),0)</f>
        <v>0</v>
      </c>
      <c r="H587" s="273">
        <f>IFERROR(INDEX('4. Valuation'!$C$10:$I$17,MATCH($D587,'4. Valuation'!$C$10:$C$17,0),MATCH($H$25,'4. Valuation'!$C$10:$I$10,0)),0)</f>
        <v>0</v>
      </c>
      <c r="I587" s="359" t="str">
        <f>IFERROR(INDEX('4. Valuation'!$C$10:$I$17,MATCH($D587,'4. Valuation'!$C$10:$C$17,0),MATCH($I$25,'4. Valuation'!$C$10:$I$10,0)),0)</f>
        <v>-</v>
      </c>
      <c r="J587" s="277"/>
      <c r="K587" s="312">
        <f t="shared" si="99"/>
        <v>0</v>
      </c>
      <c r="L587" s="312">
        <f t="shared" si="100"/>
        <v>0</v>
      </c>
      <c r="M587" s="359">
        <f t="shared" si="101"/>
        <v>0</v>
      </c>
      <c r="N587" s="278"/>
      <c r="O587" s="278"/>
      <c r="P587" s="278"/>
      <c r="Q587" s="278"/>
      <c r="R587" s="312">
        <f>IFERROR(INDEX('4. Valuation'!$O$10:$X$17,MATCH($D587,'4. Valuation'!$O$10:$O$17,0),MATCH($R$25,'4. Valuation'!$O$10:$X$10,0)),0)</f>
        <v>0</v>
      </c>
      <c r="S587" s="312">
        <f>IFERROR(INDEX('4. Valuation'!$O$10:$X$17,MATCH($D587,'4. Valuation'!$O$10:$O$17,0),MATCH($S$25,'4. Valuation'!$O$10:$X$10,0)),0)</f>
        <v>0</v>
      </c>
      <c r="T587" s="312" t="str">
        <f>IFERROR(INDEX('4. Valuation'!$O$10:$X$17,MATCH($D587,'4. Valuation'!$O$10:$O$17,0),MATCH($T$25,'4. Valuation'!$O$10:$X$10,0)),0)</f>
        <v>-</v>
      </c>
      <c r="U587" s="278"/>
      <c r="V587" s="312">
        <f t="shared" si="102"/>
        <v>0</v>
      </c>
      <c r="W587" s="312">
        <f t="shared" si="103"/>
        <v>0</v>
      </c>
      <c r="X587" s="312">
        <f t="shared" si="104"/>
        <v>0</v>
      </c>
      <c r="Y587" s="278"/>
      <c r="Z587" s="312">
        <f t="shared" si="105"/>
        <v>0</v>
      </c>
      <c r="AA587" s="312">
        <f>'3. GRI Pricing'!Y578</f>
        <v>0</v>
      </c>
      <c r="AB587" s="359">
        <f t="shared" si="106"/>
        <v>0</v>
      </c>
    </row>
    <row r="588" spans="3:28" s="30" customFormat="1" ht="12" x14ac:dyDescent="0.2">
      <c r="C588" s="77">
        <f>'1. Accomodation'!N583</f>
        <v>0</v>
      </c>
      <c r="D588" s="77">
        <f>'1. Accomodation'!P583</f>
        <v>0</v>
      </c>
      <c r="E588" s="77">
        <f>'1. Accomodation'!O583</f>
        <v>0</v>
      </c>
      <c r="G588" s="341">
        <f>IFERROR(INDEX('4. Valuation'!$C$10:$I$17,MATCH($D588,'4. Valuation'!$C$10:$C$17,0),MATCH($G$25,'4. Valuation'!$C$10:$I$10,0)),0)</f>
        <v>0</v>
      </c>
      <c r="H588" s="273">
        <f>IFERROR(INDEX('4. Valuation'!$C$10:$I$17,MATCH($D588,'4. Valuation'!$C$10:$C$17,0),MATCH($H$25,'4. Valuation'!$C$10:$I$10,0)),0)</f>
        <v>0</v>
      </c>
      <c r="I588" s="359" t="str">
        <f>IFERROR(INDEX('4. Valuation'!$C$10:$I$17,MATCH($D588,'4. Valuation'!$C$10:$C$17,0),MATCH($I$25,'4. Valuation'!$C$10:$I$10,0)),0)</f>
        <v>-</v>
      </c>
      <c r="J588" s="277"/>
      <c r="K588" s="312">
        <f t="shared" si="99"/>
        <v>0</v>
      </c>
      <c r="L588" s="312">
        <f t="shared" si="100"/>
        <v>0</v>
      </c>
      <c r="M588" s="359">
        <f t="shared" si="101"/>
        <v>0</v>
      </c>
      <c r="N588" s="278"/>
      <c r="O588" s="278"/>
      <c r="P588" s="278"/>
      <c r="Q588" s="278"/>
      <c r="R588" s="312">
        <f>IFERROR(INDEX('4. Valuation'!$O$10:$X$17,MATCH($D588,'4. Valuation'!$O$10:$O$17,0),MATCH($R$25,'4. Valuation'!$O$10:$X$10,0)),0)</f>
        <v>0</v>
      </c>
      <c r="S588" s="312">
        <f>IFERROR(INDEX('4. Valuation'!$O$10:$X$17,MATCH($D588,'4. Valuation'!$O$10:$O$17,0),MATCH($S$25,'4. Valuation'!$O$10:$X$10,0)),0)</f>
        <v>0</v>
      </c>
      <c r="T588" s="312" t="str">
        <f>IFERROR(INDEX('4. Valuation'!$O$10:$X$17,MATCH($D588,'4. Valuation'!$O$10:$O$17,0),MATCH($T$25,'4. Valuation'!$O$10:$X$10,0)),0)</f>
        <v>-</v>
      </c>
      <c r="U588" s="278"/>
      <c r="V588" s="312">
        <f t="shared" si="102"/>
        <v>0</v>
      </c>
      <c r="W588" s="312">
        <f t="shared" si="103"/>
        <v>0</v>
      </c>
      <c r="X588" s="312">
        <f t="shared" si="104"/>
        <v>0</v>
      </c>
      <c r="Y588" s="278"/>
      <c r="Z588" s="312">
        <f t="shared" si="105"/>
        <v>0</v>
      </c>
      <c r="AA588" s="312">
        <f>'3. GRI Pricing'!Y579</f>
        <v>0</v>
      </c>
      <c r="AB588" s="359">
        <f t="shared" si="106"/>
        <v>0</v>
      </c>
    </row>
    <row r="589" spans="3:28" s="30" customFormat="1" ht="12" x14ac:dyDescent="0.2">
      <c r="C589" s="77">
        <f>'1. Accomodation'!N584</f>
        <v>0</v>
      </c>
      <c r="D589" s="77">
        <f>'1. Accomodation'!P584</f>
        <v>0</v>
      </c>
      <c r="E589" s="77">
        <f>'1. Accomodation'!O584</f>
        <v>0</v>
      </c>
      <c r="G589" s="341">
        <f>IFERROR(INDEX('4. Valuation'!$C$10:$I$17,MATCH($D589,'4. Valuation'!$C$10:$C$17,0),MATCH($G$25,'4. Valuation'!$C$10:$I$10,0)),0)</f>
        <v>0</v>
      </c>
      <c r="H589" s="273">
        <f>IFERROR(INDEX('4. Valuation'!$C$10:$I$17,MATCH($D589,'4. Valuation'!$C$10:$C$17,0),MATCH($H$25,'4. Valuation'!$C$10:$I$10,0)),0)</f>
        <v>0</v>
      </c>
      <c r="I589" s="359" t="str">
        <f>IFERROR(INDEX('4. Valuation'!$C$10:$I$17,MATCH($D589,'4. Valuation'!$C$10:$C$17,0),MATCH($I$25,'4. Valuation'!$C$10:$I$10,0)),0)</f>
        <v>-</v>
      </c>
      <c r="J589" s="277"/>
      <c r="K589" s="312">
        <f t="shared" si="99"/>
        <v>0</v>
      </c>
      <c r="L589" s="312">
        <f t="shared" si="100"/>
        <v>0</v>
      </c>
      <c r="M589" s="359">
        <f t="shared" si="101"/>
        <v>0</v>
      </c>
      <c r="N589" s="278"/>
      <c r="O589" s="278"/>
      <c r="P589" s="278"/>
      <c r="Q589" s="278"/>
      <c r="R589" s="312">
        <f>IFERROR(INDEX('4. Valuation'!$O$10:$X$17,MATCH($D589,'4. Valuation'!$O$10:$O$17,0),MATCH($R$25,'4. Valuation'!$O$10:$X$10,0)),0)</f>
        <v>0</v>
      </c>
      <c r="S589" s="312">
        <f>IFERROR(INDEX('4. Valuation'!$O$10:$X$17,MATCH($D589,'4. Valuation'!$O$10:$O$17,0),MATCH($S$25,'4. Valuation'!$O$10:$X$10,0)),0)</f>
        <v>0</v>
      </c>
      <c r="T589" s="312" t="str">
        <f>IFERROR(INDEX('4. Valuation'!$O$10:$X$17,MATCH($D589,'4. Valuation'!$O$10:$O$17,0),MATCH($T$25,'4. Valuation'!$O$10:$X$10,0)),0)</f>
        <v>-</v>
      </c>
      <c r="U589" s="278"/>
      <c r="V589" s="312">
        <f t="shared" si="102"/>
        <v>0</v>
      </c>
      <c r="W589" s="312">
        <f t="shared" si="103"/>
        <v>0</v>
      </c>
      <c r="X589" s="312">
        <f t="shared" si="104"/>
        <v>0</v>
      </c>
      <c r="Y589" s="278"/>
      <c r="Z589" s="312">
        <f t="shared" si="105"/>
        <v>0</v>
      </c>
      <c r="AA589" s="312">
        <f>'3. GRI Pricing'!Y580</f>
        <v>0</v>
      </c>
      <c r="AB589" s="359">
        <f t="shared" si="106"/>
        <v>0</v>
      </c>
    </row>
    <row r="590" spans="3:28" s="30" customFormat="1" ht="12" x14ac:dyDescent="0.2">
      <c r="C590" s="77">
        <f>'1. Accomodation'!N585</f>
        <v>0</v>
      </c>
      <c r="D590" s="77">
        <f>'1. Accomodation'!P585</f>
        <v>0</v>
      </c>
      <c r="E590" s="77">
        <f>'1. Accomodation'!O585</f>
        <v>0</v>
      </c>
      <c r="G590" s="341">
        <f>IFERROR(INDEX('4. Valuation'!$C$10:$I$17,MATCH($D590,'4. Valuation'!$C$10:$C$17,0),MATCH($G$25,'4. Valuation'!$C$10:$I$10,0)),0)</f>
        <v>0</v>
      </c>
      <c r="H590" s="273">
        <f>IFERROR(INDEX('4. Valuation'!$C$10:$I$17,MATCH($D590,'4. Valuation'!$C$10:$C$17,0),MATCH($H$25,'4. Valuation'!$C$10:$I$10,0)),0)</f>
        <v>0</v>
      </c>
      <c r="I590" s="359" t="str">
        <f>IFERROR(INDEX('4. Valuation'!$C$10:$I$17,MATCH($D590,'4. Valuation'!$C$10:$C$17,0),MATCH($I$25,'4. Valuation'!$C$10:$I$10,0)),0)</f>
        <v>-</v>
      </c>
      <c r="J590" s="277"/>
      <c r="K590" s="312">
        <f t="shared" si="99"/>
        <v>0</v>
      </c>
      <c r="L590" s="312">
        <f t="shared" si="100"/>
        <v>0</v>
      </c>
      <c r="M590" s="359">
        <f t="shared" si="101"/>
        <v>0</v>
      </c>
      <c r="N590" s="278"/>
      <c r="O590" s="278"/>
      <c r="P590" s="278"/>
      <c r="Q590" s="278"/>
      <c r="R590" s="312">
        <f>IFERROR(INDEX('4. Valuation'!$O$10:$X$17,MATCH($D590,'4. Valuation'!$O$10:$O$17,0),MATCH($R$25,'4. Valuation'!$O$10:$X$10,0)),0)</f>
        <v>0</v>
      </c>
      <c r="S590" s="312">
        <f>IFERROR(INDEX('4. Valuation'!$O$10:$X$17,MATCH($D590,'4. Valuation'!$O$10:$O$17,0),MATCH($S$25,'4. Valuation'!$O$10:$X$10,0)),0)</f>
        <v>0</v>
      </c>
      <c r="T590" s="312" t="str">
        <f>IFERROR(INDEX('4. Valuation'!$O$10:$X$17,MATCH($D590,'4. Valuation'!$O$10:$O$17,0),MATCH($T$25,'4. Valuation'!$O$10:$X$10,0)),0)</f>
        <v>-</v>
      </c>
      <c r="U590" s="278"/>
      <c r="V590" s="312">
        <f t="shared" si="102"/>
        <v>0</v>
      </c>
      <c r="W590" s="312">
        <f t="shared" si="103"/>
        <v>0</v>
      </c>
      <c r="X590" s="312">
        <f t="shared" si="104"/>
        <v>0</v>
      </c>
      <c r="Y590" s="278"/>
      <c r="Z590" s="312">
        <f t="shared" si="105"/>
        <v>0</v>
      </c>
      <c r="AA590" s="312">
        <f>'3. GRI Pricing'!Y581</f>
        <v>0</v>
      </c>
      <c r="AB590" s="359">
        <f t="shared" si="106"/>
        <v>0</v>
      </c>
    </row>
    <row r="591" spans="3:28" s="30" customFormat="1" ht="12" x14ac:dyDescent="0.2">
      <c r="C591" s="77">
        <f>'1. Accomodation'!N586</f>
        <v>0</v>
      </c>
      <c r="D591" s="77">
        <f>'1. Accomodation'!P586</f>
        <v>0</v>
      </c>
      <c r="E591" s="77">
        <f>'1. Accomodation'!O586</f>
        <v>0</v>
      </c>
      <c r="G591" s="341">
        <f>IFERROR(INDEX('4. Valuation'!$C$10:$I$17,MATCH($D591,'4. Valuation'!$C$10:$C$17,0),MATCH($G$25,'4. Valuation'!$C$10:$I$10,0)),0)</f>
        <v>0</v>
      </c>
      <c r="H591" s="273">
        <f>IFERROR(INDEX('4. Valuation'!$C$10:$I$17,MATCH($D591,'4. Valuation'!$C$10:$C$17,0),MATCH($H$25,'4. Valuation'!$C$10:$I$10,0)),0)</f>
        <v>0</v>
      </c>
      <c r="I591" s="359" t="str">
        <f>IFERROR(INDEX('4. Valuation'!$C$10:$I$17,MATCH($D591,'4. Valuation'!$C$10:$C$17,0),MATCH($I$25,'4. Valuation'!$C$10:$I$10,0)),0)</f>
        <v>-</v>
      </c>
      <c r="J591" s="277"/>
      <c r="K591" s="312">
        <f t="shared" si="99"/>
        <v>0</v>
      </c>
      <c r="L591" s="312">
        <f t="shared" si="100"/>
        <v>0</v>
      </c>
      <c r="M591" s="359">
        <f t="shared" si="101"/>
        <v>0</v>
      </c>
      <c r="N591" s="278"/>
      <c r="O591" s="278"/>
      <c r="P591" s="278"/>
      <c r="Q591" s="278"/>
      <c r="R591" s="312">
        <f>IFERROR(INDEX('4. Valuation'!$O$10:$X$17,MATCH($D591,'4. Valuation'!$O$10:$O$17,0),MATCH($R$25,'4. Valuation'!$O$10:$X$10,0)),0)</f>
        <v>0</v>
      </c>
      <c r="S591" s="312">
        <f>IFERROR(INDEX('4. Valuation'!$O$10:$X$17,MATCH($D591,'4. Valuation'!$O$10:$O$17,0),MATCH($S$25,'4. Valuation'!$O$10:$X$10,0)),0)</f>
        <v>0</v>
      </c>
      <c r="T591" s="312" t="str">
        <f>IFERROR(INDEX('4. Valuation'!$O$10:$X$17,MATCH($D591,'4. Valuation'!$O$10:$O$17,0),MATCH($T$25,'4. Valuation'!$O$10:$X$10,0)),0)</f>
        <v>-</v>
      </c>
      <c r="U591" s="278"/>
      <c r="V591" s="312">
        <f t="shared" si="102"/>
        <v>0</v>
      </c>
      <c r="W591" s="312">
        <f t="shared" si="103"/>
        <v>0</v>
      </c>
      <c r="X591" s="312">
        <f t="shared" si="104"/>
        <v>0</v>
      </c>
      <c r="Y591" s="278"/>
      <c r="Z591" s="312">
        <f t="shared" si="105"/>
        <v>0</v>
      </c>
      <c r="AA591" s="312">
        <f>'3. GRI Pricing'!Y582</f>
        <v>0</v>
      </c>
      <c r="AB591" s="359">
        <f t="shared" si="106"/>
        <v>0</v>
      </c>
    </row>
    <row r="592" spans="3:28" s="30" customFormat="1" ht="12" x14ac:dyDescent="0.2">
      <c r="C592" s="77">
        <f>'1. Accomodation'!N587</f>
        <v>0</v>
      </c>
      <c r="D592" s="77">
        <f>'1. Accomodation'!P587</f>
        <v>0</v>
      </c>
      <c r="E592" s="77">
        <f>'1. Accomodation'!O587</f>
        <v>0</v>
      </c>
      <c r="G592" s="341">
        <f>IFERROR(INDEX('4. Valuation'!$C$10:$I$17,MATCH($D592,'4. Valuation'!$C$10:$C$17,0),MATCH($G$25,'4. Valuation'!$C$10:$I$10,0)),0)</f>
        <v>0</v>
      </c>
      <c r="H592" s="273">
        <f>IFERROR(INDEX('4. Valuation'!$C$10:$I$17,MATCH($D592,'4. Valuation'!$C$10:$C$17,0),MATCH($H$25,'4. Valuation'!$C$10:$I$10,0)),0)</f>
        <v>0</v>
      </c>
      <c r="I592" s="359" t="str">
        <f>IFERROR(INDEX('4. Valuation'!$C$10:$I$17,MATCH($D592,'4. Valuation'!$C$10:$C$17,0),MATCH($I$25,'4. Valuation'!$C$10:$I$10,0)),0)</f>
        <v>-</v>
      </c>
      <c r="J592" s="277"/>
      <c r="K592" s="312">
        <f t="shared" si="99"/>
        <v>0</v>
      </c>
      <c r="L592" s="312">
        <f t="shared" si="100"/>
        <v>0</v>
      </c>
      <c r="M592" s="359">
        <f t="shared" si="101"/>
        <v>0</v>
      </c>
      <c r="N592" s="278"/>
      <c r="O592" s="278"/>
      <c r="P592" s="278"/>
      <c r="Q592" s="278"/>
      <c r="R592" s="312">
        <f>IFERROR(INDEX('4. Valuation'!$O$10:$X$17,MATCH($D592,'4. Valuation'!$O$10:$O$17,0),MATCH($R$25,'4. Valuation'!$O$10:$X$10,0)),0)</f>
        <v>0</v>
      </c>
      <c r="S592" s="312">
        <f>IFERROR(INDEX('4. Valuation'!$O$10:$X$17,MATCH($D592,'4. Valuation'!$O$10:$O$17,0),MATCH($S$25,'4. Valuation'!$O$10:$X$10,0)),0)</f>
        <v>0</v>
      </c>
      <c r="T592" s="312" t="str">
        <f>IFERROR(INDEX('4. Valuation'!$O$10:$X$17,MATCH($D592,'4. Valuation'!$O$10:$O$17,0),MATCH($T$25,'4. Valuation'!$O$10:$X$10,0)),0)</f>
        <v>-</v>
      </c>
      <c r="U592" s="278"/>
      <c r="V592" s="312">
        <f t="shared" si="102"/>
        <v>0</v>
      </c>
      <c r="W592" s="312">
        <f t="shared" si="103"/>
        <v>0</v>
      </c>
      <c r="X592" s="312">
        <f t="shared" si="104"/>
        <v>0</v>
      </c>
      <c r="Y592" s="278"/>
      <c r="Z592" s="312">
        <f t="shared" si="105"/>
        <v>0</v>
      </c>
      <c r="AA592" s="312">
        <f>'3. GRI Pricing'!Y583</f>
        <v>0</v>
      </c>
      <c r="AB592" s="359">
        <f t="shared" si="106"/>
        <v>0</v>
      </c>
    </row>
    <row r="593" spans="3:28" s="30" customFormat="1" ht="12" x14ac:dyDescent="0.2">
      <c r="C593" s="77">
        <f>'1. Accomodation'!N588</f>
        <v>0</v>
      </c>
      <c r="D593" s="77">
        <f>'1. Accomodation'!P588</f>
        <v>0</v>
      </c>
      <c r="E593" s="77">
        <f>'1. Accomodation'!O588</f>
        <v>0</v>
      </c>
      <c r="G593" s="341">
        <f>IFERROR(INDEX('4. Valuation'!$C$10:$I$17,MATCH($D593,'4. Valuation'!$C$10:$C$17,0),MATCH($G$25,'4. Valuation'!$C$10:$I$10,0)),0)</f>
        <v>0</v>
      </c>
      <c r="H593" s="273">
        <f>IFERROR(INDEX('4. Valuation'!$C$10:$I$17,MATCH($D593,'4. Valuation'!$C$10:$C$17,0),MATCH($H$25,'4. Valuation'!$C$10:$I$10,0)),0)</f>
        <v>0</v>
      </c>
      <c r="I593" s="359" t="str">
        <f>IFERROR(INDEX('4. Valuation'!$C$10:$I$17,MATCH($D593,'4. Valuation'!$C$10:$C$17,0),MATCH($I$25,'4. Valuation'!$C$10:$I$10,0)),0)</f>
        <v>-</v>
      </c>
      <c r="J593" s="277"/>
      <c r="K593" s="312">
        <f t="shared" si="99"/>
        <v>0</v>
      </c>
      <c r="L593" s="312">
        <f t="shared" si="100"/>
        <v>0</v>
      </c>
      <c r="M593" s="359">
        <f t="shared" si="101"/>
        <v>0</v>
      </c>
      <c r="N593" s="278"/>
      <c r="O593" s="278"/>
      <c r="P593" s="278"/>
      <c r="Q593" s="278"/>
      <c r="R593" s="312">
        <f>IFERROR(INDEX('4. Valuation'!$O$10:$X$17,MATCH($D593,'4. Valuation'!$O$10:$O$17,0),MATCH($R$25,'4. Valuation'!$O$10:$X$10,0)),0)</f>
        <v>0</v>
      </c>
      <c r="S593" s="312">
        <f>IFERROR(INDEX('4. Valuation'!$O$10:$X$17,MATCH($D593,'4. Valuation'!$O$10:$O$17,0),MATCH($S$25,'4. Valuation'!$O$10:$X$10,0)),0)</f>
        <v>0</v>
      </c>
      <c r="T593" s="312" t="str">
        <f>IFERROR(INDEX('4. Valuation'!$O$10:$X$17,MATCH($D593,'4. Valuation'!$O$10:$O$17,0),MATCH($T$25,'4. Valuation'!$O$10:$X$10,0)),0)</f>
        <v>-</v>
      </c>
      <c r="U593" s="278"/>
      <c r="V593" s="312">
        <f t="shared" si="102"/>
        <v>0</v>
      </c>
      <c r="W593" s="312">
        <f t="shared" si="103"/>
        <v>0</v>
      </c>
      <c r="X593" s="312">
        <f t="shared" si="104"/>
        <v>0</v>
      </c>
      <c r="Y593" s="278"/>
      <c r="Z593" s="312">
        <f t="shared" si="105"/>
        <v>0</v>
      </c>
      <c r="AA593" s="312">
        <f>'3. GRI Pricing'!Y584</f>
        <v>0</v>
      </c>
      <c r="AB593" s="359">
        <f t="shared" si="106"/>
        <v>0</v>
      </c>
    </row>
    <row r="594" spans="3:28" s="30" customFormat="1" ht="12" x14ac:dyDescent="0.2">
      <c r="C594" s="77">
        <f>'1. Accomodation'!N589</f>
        <v>0</v>
      </c>
      <c r="D594" s="77">
        <f>'1. Accomodation'!P589</f>
        <v>0</v>
      </c>
      <c r="E594" s="77">
        <f>'1. Accomodation'!O589</f>
        <v>0</v>
      </c>
      <c r="G594" s="341">
        <f>IFERROR(INDEX('4. Valuation'!$C$10:$I$17,MATCH($D594,'4. Valuation'!$C$10:$C$17,0),MATCH($G$25,'4. Valuation'!$C$10:$I$10,0)),0)</f>
        <v>0</v>
      </c>
      <c r="H594" s="273">
        <f>IFERROR(INDEX('4. Valuation'!$C$10:$I$17,MATCH($D594,'4. Valuation'!$C$10:$C$17,0),MATCH($H$25,'4. Valuation'!$C$10:$I$10,0)),0)</f>
        <v>0</v>
      </c>
      <c r="I594" s="359" t="str">
        <f>IFERROR(INDEX('4. Valuation'!$C$10:$I$17,MATCH($D594,'4. Valuation'!$C$10:$C$17,0),MATCH($I$25,'4. Valuation'!$C$10:$I$10,0)),0)</f>
        <v>-</v>
      </c>
      <c r="J594" s="277"/>
      <c r="K594" s="312">
        <f t="shared" si="99"/>
        <v>0</v>
      </c>
      <c r="L594" s="312">
        <f t="shared" si="100"/>
        <v>0</v>
      </c>
      <c r="M594" s="359">
        <f t="shared" si="101"/>
        <v>0</v>
      </c>
      <c r="N594" s="278"/>
      <c r="O594" s="278"/>
      <c r="P594" s="278"/>
      <c r="Q594" s="278"/>
      <c r="R594" s="312">
        <f>IFERROR(INDEX('4. Valuation'!$O$10:$X$17,MATCH($D594,'4. Valuation'!$O$10:$O$17,0),MATCH($R$25,'4. Valuation'!$O$10:$X$10,0)),0)</f>
        <v>0</v>
      </c>
      <c r="S594" s="312">
        <f>IFERROR(INDEX('4. Valuation'!$O$10:$X$17,MATCH($D594,'4. Valuation'!$O$10:$O$17,0),MATCH($S$25,'4. Valuation'!$O$10:$X$10,0)),0)</f>
        <v>0</v>
      </c>
      <c r="T594" s="312" t="str">
        <f>IFERROR(INDEX('4. Valuation'!$O$10:$X$17,MATCH($D594,'4. Valuation'!$O$10:$O$17,0),MATCH($T$25,'4. Valuation'!$O$10:$X$10,0)),0)</f>
        <v>-</v>
      </c>
      <c r="U594" s="278"/>
      <c r="V594" s="312">
        <f t="shared" si="102"/>
        <v>0</v>
      </c>
      <c r="W594" s="312">
        <f t="shared" si="103"/>
        <v>0</v>
      </c>
      <c r="X594" s="312">
        <f t="shared" si="104"/>
        <v>0</v>
      </c>
      <c r="Y594" s="278"/>
      <c r="Z594" s="312">
        <f t="shared" si="105"/>
        <v>0</v>
      </c>
      <c r="AA594" s="312">
        <f>'3. GRI Pricing'!Y585</f>
        <v>0</v>
      </c>
      <c r="AB594" s="359">
        <f t="shared" si="106"/>
        <v>0</v>
      </c>
    </row>
    <row r="595" spans="3:28" s="30" customFormat="1" ht="12" x14ac:dyDescent="0.2">
      <c r="C595" s="77">
        <f>'1. Accomodation'!N590</f>
        <v>0</v>
      </c>
      <c r="D595" s="77">
        <f>'1. Accomodation'!P590</f>
        <v>0</v>
      </c>
      <c r="E595" s="77">
        <f>'1. Accomodation'!O590</f>
        <v>0</v>
      </c>
      <c r="G595" s="341">
        <f>IFERROR(INDEX('4. Valuation'!$C$10:$I$17,MATCH($D595,'4. Valuation'!$C$10:$C$17,0),MATCH($G$25,'4. Valuation'!$C$10:$I$10,0)),0)</f>
        <v>0</v>
      </c>
      <c r="H595" s="273">
        <f>IFERROR(INDEX('4. Valuation'!$C$10:$I$17,MATCH($D595,'4. Valuation'!$C$10:$C$17,0),MATCH($H$25,'4. Valuation'!$C$10:$I$10,0)),0)</f>
        <v>0</v>
      </c>
      <c r="I595" s="359" t="str">
        <f>IFERROR(INDEX('4. Valuation'!$C$10:$I$17,MATCH($D595,'4. Valuation'!$C$10:$C$17,0),MATCH($I$25,'4. Valuation'!$C$10:$I$10,0)),0)</f>
        <v>-</v>
      </c>
      <c r="J595" s="277"/>
      <c r="K595" s="312">
        <f t="shared" si="99"/>
        <v>0</v>
      </c>
      <c r="L595" s="312">
        <f t="shared" si="100"/>
        <v>0</v>
      </c>
      <c r="M595" s="359">
        <f t="shared" si="101"/>
        <v>0</v>
      </c>
      <c r="N595" s="278"/>
      <c r="O595" s="278"/>
      <c r="P595" s="278"/>
      <c r="Q595" s="278"/>
      <c r="R595" s="312">
        <f>IFERROR(INDEX('4. Valuation'!$O$10:$X$17,MATCH($D595,'4. Valuation'!$O$10:$O$17,0),MATCH($R$25,'4. Valuation'!$O$10:$X$10,0)),0)</f>
        <v>0</v>
      </c>
      <c r="S595" s="312">
        <f>IFERROR(INDEX('4. Valuation'!$O$10:$X$17,MATCH($D595,'4. Valuation'!$O$10:$O$17,0),MATCH($S$25,'4. Valuation'!$O$10:$X$10,0)),0)</f>
        <v>0</v>
      </c>
      <c r="T595" s="312" t="str">
        <f>IFERROR(INDEX('4. Valuation'!$O$10:$X$17,MATCH($D595,'4. Valuation'!$O$10:$O$17,0),MATCH($T$25,'4. Valuation'!$O$10:$X$10,0)),0)</f>
        <v>-</v>
      </c>
      <c r="U595" s="278"/>
      <c r="V595" s="312">
        <f t="shared" si="102"/>
        <v>0</v>
      </c>
      <c r="W595" s="312">
        <f t="shared" si="103"/>
        <v>0</v>
      </c>
      <c r="X595" s="312">
        <f t="shared" si="104"/>
        <v>0</v>
      </c>
      <c r="Y595" s="278"/>
      <c r="Z595" s="312">
        <f t="shared" si="105"/>
        <v>0</v>
      </c>
      <c r="AA595" s="312">
        <f>'3. GRI Pricing'!Y586</f>
        <v>0</v>
      </c>
      <c r="AB595" s="359">
        <f t="shared" si="106"/>
        <v>0</v>
      </c>
    </row>
    <row r="596" spans="3:28" s="30" customFormat="1" ht="12" x14ac:dyDescent="0.2">
      <c r="C596" s="77">
        <f>'1. Accomodation'!N591</f>
        <v>0</v>
      </c>
      <c r="D596" s="77">
        <f>'1. Accomodation'!P591</f>
        <v>0</v>
      </c>
      <c r="E596" s="77">
        <f>'1. Accomodation'!O591</f>
        <v>0</v>
      </c>
      <c r="G596" s="341">
        <f>IFERROR(INDEX('4. Valuation'!$C$10:$I$17,MATCH($D596,'4. Valuation'!$C$10:$C$17,0),MATCH($G$25,'4. Valuation'!$C$10:$I$10,0)),0)</f>
        <v>0</v>
      </c>
      <c r="H596" s="273">
        <f>IFERROR(INDEX('4. Valuation'!$C$10:$I$17,MATCH($D596,'4. Valuation'!$C$10:$C$17,0),MATCH($H$25,'4. Valuation'!$C$10:$I$10,0)),0)</f>
        <v>0</v>
      </c>
      <c r="I596" s="359" t="str">
        <f>IFERROR(INDEX('4. Valuation'!$C$10:$I$17,MATCH($D596,'4. Valuation'!$C$10:$C$17,0),MATCH($I$25,'4. Valuation'!$C$10:$I$10,0)),0)</f>
        <v>-</v>
      </c>
      <c r="J596" s="277"/>
      <c r="K596" s="312">
        <f t="shared" si="99"/>
        <v>0</v>
      </c>
      <c r="L596" s="312">
        <f t="shared" si="100"/>
        <v>0</v>
      </c>
      <c r="M596" s="359">
        <f t="shared" si="101"/>
        <v>0</v>
      </c>
      <c r="N596" s="278"/>
      <c r="O596" s="278"/>
      <c r="P596" s="278"/>
      <c r="Q596" s="278"/>
      <c r="R596" s="312">
        <f>IFERROR(INDEX('4. Valuation'!$O$10:$X$17,MATCH($D596,'4. Valuation'!$O$10:$O$17,0),MATCH($R$25,'4. Valuation'!$O$10:$X$10,0)),0)</f>
        <v>0</v>
      </c>
      <c r="S596" s="312">
        <f>IFERROR(INDEX('4. Valuation'!$O$10:$X$17,MATCH($D596,'4. Valuation'!$O$10:$O$17,0),MATCH($S$25,'4. Valuation'!$O$10:$X$10,0)),0)</f>
        <v>0</v>
      </c>
      <c r="T596" s="312" t="str">
        <f>IFERROR(INDEX('4. Valuation'!$O$10:$X$17,MATCH($D596,'4. Valuation'!$O$10:$O$17,0),MATCH($T$25,'4. Valuation'!$O$10:$X$10,0)),0)</f>
        <v>-</v>
      </c>
      <c r="U596" s="278"/>
      <c r="V596" s="312">
        <f t="shared" si="102"/>
        <v>0</v>
      </c>
      <c r="W596" s="312">
        <f t="shared" si="103"/>
        <v>0</v>
      </c>
      <c r="X596" s="312">
        <f t="shared" si="104"/>
        <v>0</v>
      </c>
      <c r="Y596" s="278"/>
      <c r="Z596" s="312">
        <f t="shared" si="105"/>
        <v>0</v>
      </c>
      <c r="AA596" s="312">
        <f>'3. GRI Pricing'!Y587</f>
        <v>0</v>
      </c>
      <c r="AB596" s="359">
        <f t="shared" si="106"/>
        <v>0</v>
      </c>
    </row>
    <row r="597" spans="3:28" s="30" customFormat="1" ht="12" x14ac:dyDescent="0.2">
      <c r="C597" s="77">
        <f>'1. Accomodation'!N592</f>
        <v>0</v>
      </c>
      <c r="D597" s="77">
        <f>'1. Accomodation'!P592</f>
        <v>0</v>
      </c>
      <c r="E597" s="77">
        <f>'1. Accomodation'!O592</f>
        <v>0</v>
      </c>
      <c r="G597" s="341">
        <f>IFERROR(INDEX('4. Valuation'!$C$10:$I$17,MATCH($D597,'4. Valuation'!$C$10:$C$17,0),MATCH($G$25,'4. Valuation'!$C$10:$I$10,0)),0)</f>
        <v>0</v>
      </c>
      <c r="H597" s="273">
        <f>IFERROR(INDEX('4. Valuation'!$C$10:$I$17,MATCH($D597,'4. Valuation'!$C$10:$C$17,0),MATCH($H$25,'4. Valuation'!$C$10:$I$10,0)),0)</f>
        <v>0</v>
      </c>
      <c r="I597" s="359" t="str">
        <f>IFERROR(INDEX('4. Valuation'!$C$10:$I$17,MATCH($D597,'4. Valuation'!$C$10:$C$17,0),MATCH($I$25,'4. Valuation'!$C$10:$I$10,0)),0)</f>
        <v>-</v>
      </c>
      <c r="J597" s="277"/>
      <c r="K597" s="312">
        <f t="shared" si="99"/>
        <v>0</v>
      </c>
      <c r="L597" s="312">
        <f t="shared" si="100"/>
        <v>0</v>
      </c>
      <c r="M597" s="359">
        <f t="shared" si="101"/>
        <v>0</v>
      </c>
      <c r="N597" s="278"/>
      <c r="O597" s="278"/>
      <c r="P597" s="278"/>
      <c r="Q597" s="278"/>
      <c r="R597" s="312">
        <f>IFERROR(INDEX('4. Valuation'!$O$10:$X$17,MATCH($D597,'4. Valuation'!$O$10:$O$17,0),MATCH($R$25,'4. Valuation'!$O$10:$X$10,0)),0)</f>
        <v>0</v>
      </c>
      <c r="S597" s="312">
        <f>IFERROR(INDEX('4. Valuation'!$O$10:$X$17,MATCH($D597,'4. Valuation'!$O$10:$O$17,0),MATCH($S$25,'4. Valuation'!$O$10:$X$10,0)),0)</f>
        <v>0</v>
      </c>
      <c r="T597" s="312" t="str">
        <f>IFERROR(INDEX('4. Valuation'!$O$10:$X$17,MATCH($D597,'4. Valuation'!$O$10:$O$17,0),MATCH($T$25,'4. Valuation'!$O$10:$X$10,0)),0)</f>
        <v>-</v>
      </c>
      <c r="U597" s="278"/>
      <c r="V597" s="312">
        <f t="shared" si="102"/>
        <v>0</v>
      </c>
      <c r="W597" s="312">
        <f t="shared" si="103"/>
        <v>0</v>
      </c>
      <c r="X597" s="312">
        <f t="shared" si="104"/>
        <v>0</v>
      </c>
      <c r="Y597" s="278"/>
      <c r="Z597" s="312">
        <f t="shared" si="105"/>
        <v>0</v>
      </c>
      <c r="AA597" s="312">
        <f>'3. GRI Pricing'!Y588</f>
        <v>0</v>
      </c>
      <c r="AB597" s="359">
        <f t="shared" si="106"/>
        <v>0</v>
      </c>
    </row>
    <row r="598" spans="3:28" s="30" customFormat="1" ht="12" x14ac:dyDescent="0.2">
      <c r="C598" s="77">
        <f>'1. Accomodation'!N593</f>
        <v>0</v>
      </c>
      <c r="D598" s="77">
        <f>'1. Accomodation'!P593</f>
        <v>0</v>
      </c>
      <c r="E598" s="77">
        <f>'1. Accomodation'!O593</f>
        <v>0</v>
      </c>
      <c r="G598" s="341">
        <f>IFERROR(INDEX('4. Valuation'!$C$10:$I$17,MATCH($D598,'4. Valuation'!$C$10:$C$17,0),MATCH($G$25,'4. Valuation'!$C$10:$I$10,0)),0)</f>
        <v>0</v>
      </c>
      <c r="H598" s="273">
        <f>IFERROR(INDEX('4. Valuation'!$C$10:$I$17,MATCH($D598,'4. Valuation'!$C$10:$C$17,0),MATCH($H$25,'4. Valuation'!$C$10:$I$10,0)),0)</f>
        <v>0</v>
      </c>
      <c r="I598" s="359" t="str">
        <f>IFERROR(INDEX('4. Valuation'!$C$10:$I$17,MATCH($D598,'4. Valuation'!$C$10:$C$17,0),MATCH($I$25,'4. Valuation'!$C$10:$I$10,0)),0)</f>
        <v>-</v>
      </c>
      <c r="J598" s="277"/>
      <c r="K598" s="312">
        <f t="shared" si="99"/>
        <v>0</v>
      </c>
      <c r="L598" s="312">
        <f t="shared" si="100"/>
        <v>0</v>
      </c>
      <c r="M598" s="359">
        <f t="shared" si="101"/>
        <v>0</v>
      </c>
      <c r="N598" s="278"/>
      <c r="O598" s="278"/>
      <c r="P598" s="278"/>
      <c r="Q598" s="278"/>
      <c r="R598" s="312">
        <f>IFERROR(INDEX('4. Valuation'!$O$10:$X$17,MATCH($D598,'4. Valuation'!$O$10:$O$17,0),MATCH($R$25,'4. Valuation'!$O$10:$X$10,0)),0)</f>
        <v>0</v>
      </c>
      <c r="S598" s="312">
        <f>IFERROR(INDEX('4. Valuation'!$O$10:$X$17,MATCH($D598,'4. Valuation'!$O$10:$O$17,0),MATCH($S$25,'4. Valuation'!$O$10:$X$10,0)),0)</f>
        <v>0</v>
      </c>
      <c r="T598" s="312" t="str">
        <f>IFERROR(INDEX('4. Valuation'!$O$10:$X$17,MATCH($D598,'4. Valuation'!$O$10:$O$17,0),MATCH($T$25,'4. Valuation'!$O$10:$X$10,0)),0)</f>
        <v>-</v>
      </c>
      <c r="U598" s="278"/>
      <c r="V598" s="312">
        <f t="shared" si="102"/>
        <v>0</v>
      </c>
      <c r="W598" s="312">
        <f t="shared" si="103"/>
        <v>0</v>
      </c>
      <c r="X598" s="312">
        <f t="shared" si="104"/>
        <v>0</v>
      </c>
      <c r="Y598" s="278"/>
      <c r="Z598" s="312">
        <f t="shared" si="105"/>
        <v>0</v>
      </c>
      <c r="AA598" s="312">
        <f>'3. GRI Pricing'!Y589</f>
        <v>0</v>
      </c>
      <c r="AB598" s="359">
        <f t="shared" si="106"/>
        <v>0</v>
      </c>
    </row>
    <row r="599" spans="3:28" s="30" customFormat="1" ht="12" x14ac:dyDescent="0.2">
      <c r="C599" s="77">
        <f>'1. Accomodation'!N594</f>
        <v>0</v>
      </c>
      <c r="D599" s="77">
        <f>'1. Accomodation'!P594</f>
        <v>0</v>
      </c>
      <c r="E599" s="77">
        <f>'1. Accomodation'!O594</f>
        <v>0</v>
      </c>
      <c r="G599" s="341">
        <f>IFERROR(INDEX('4. Valuation'!$C$10:$I$17,MATCH($D599,'4. Valuation'!$C$10:$C$17,0),MATCH($G$25,'4. Valuation'!$C$10:$I$10,0)),0)</f>
        <v>0</v>
      </c>
      <c r="H599" s="273">
        <f>IFERROR(INDEX('4. Valuation'!$C$10:$I$17,MATCH($D599,'4. Valuation'!$C$10:$C$17,0),MATCH($H$25,'4. Valuation'!$C$10:$I$10,0)),0)</f>
        <v>0</v>
      </c>
      <c r="I599" s="359" t="str">
        <f>IFERROR(INDEX('4. Valuation'!$C$10:$I$17,MATCH($D599,'4. Valuation'!$C$10:$C$17,0),MATCH($I$25,'4. Valuation'!$C$10:$I$10,0)),0)</f>
        <v>-</v>
      </c>
      <c r="J599" s="277"/>
      <c r="K599" s="312">
        <f t="shared" si="99"/>
        <v>0</v>
      </c>
      <c r="L599" s="312">
        <f t="shared" si="100"/>
        <v>0</v>
      </c>
      <c r="M599" s="359">
        <f t="shared" si="101"/>
        <v>0</v>
      </c>
      <c r="N599" s="278"/>
      <c r="O599" s="278"/>
      <c r="P599" s="278"/>
      <c r="Q599" s="278"/>
      <c r="R599" s="312">
        <f>IFERROR(INDEX('4. Valuation'!$O$10:$X$17,MATCH($D599,'4. Valuation'!$O$10:$O$17,0),MATCH($R$25,'4. Valuation'!$O$10:$X$10,0)),0)</f>
        <v>0</v>
      </c>
      <c r="S599" s="312">
        <f>IFERROR(INDEX('4. Valuation'!$O$10:$X$17,MATCH($D599,'4. Valuation'!$O$10:$O$17,0),MATCH($S$25,'4. Valuation'!$O$10:$X$10,0)),0)</f>
        <v>0</v>
      </c>
      <c r="T599" s="312" t="str">
        <f>IFERROR(INDEX('4. Valuation'!$O$10:$X$17,MATCH($D599,'4. Valuation'!$O$10:$O$17,0),MATCH($T$25,'4. Valuation'!$O$10:$X$10,0)),0)</f>
        <v>-</v>
      </c>
      <c r="U599" s="278"/>
      <c r="V599" s="312">
        <f t="shared" si="102"/>
        <v>0</v>
      </c>
      <c r="W599" s="312">
        <f t="shared" si="103"/>
        <v>0</v>
      </c>
      <c r="X599" s="312">
        <f t="shared" si="104"/>
        <v>0</v>
      </c>
      <c r="Y599" s="278"/>
      <c r="Z599" s="312">
        <f t="shared" si="105"/>
        <v>0</v>
      </c>
      <c r="AA599" s="312">
        <f>'3. GRI Pricing'!Y590</f>
        <v>0</v>
      </c>
      <c r="AB599" s="359">
        <f t="shared" si="106"/>
        <v>0</v>
      </c>
    </row>
    <row r="600" spans="3:28" s="30" customFormat="1" ht="12" x14ac:dyDescent="0.2">
      <c r="C600" s="77">
        <f>'1. Accomodation'!N595</f>
        <v>0</v>
      </c>
      <c r="D600" s="77">
        <f>'1. Accomodation'!P595</f>
        <v>0</v>
      </c>
      <c r="E600" s="77">
        <f>'1. Accomodation'!O595</f>
        <v>0</v>
      </c>
      <c r="G600" s="341">
        <f>IFERROR(INDEX('4. Valuation'!$C$10:$I$17,MATCH($D600,'4. Valuation'!$C$10:$C$17,0),MATCH($G$25,'4. Valuation'!$C$10:$I$10,0)),0)</f>
        <v>0</v>
      </c>
      <c r="H600" s="273">
        <f>IFERROR(INDEX('4. Valuation'!$C$10:$I$17,MATCH($D600,'4. Valuation'!$C$10:$C$17,0),MATCH($H$25,'4. Valuation'!$C$10:$I$10,0)),0)</f>
        <v>0</v>
      </c>
      <c r="I600" s="359" t="str">
        <f>IFERROR(INDEX('4. Valuation'!$C$10:$I$17,MATCH($D600,'4. Valuation'!$C$10:$C$17,0),MATCH($I$25,'4. Valuation'!$C$10:$I$10,0)),0)</f>
        <v>-</v>
      </c>
      <c r="J600" s="277"/>
      <c r="K600" s="312">
        <f t="shared" si="99"/>
        <v>0</v>
      </c>
      <c r="L600" s="312">
        <f t="shared" si="100"/>
        <v>0</v>
      </c>
      <c r="M600" s="359">
        <f t="shared" si="101"/>
        <v>0</v>
      </c>
      <c r="N600" s="278"/>
      <c r="O600" s="278"/>
      <c r="P600" s="278"/>
      <c r="Q600" s="278"/>
      <c r="R600" s="312">
        <f>IFERROR(INDEX('4. Valuation'!$O$10:$X$17,MATCH($D600,'4. Valuation'!$O$10:$O$17,0),MATCH($R$25,'4. Valuation'!$O$10:$X$10,0)),0)</f>
        <v>0</v>
      </c>
      <c r="S600" s="312">
        <f>IFERROR(INDEX('4. Valuation'!$O$10:$X$17,MATCH($D600,'4. Valuation'!$O$10:$O$17,0),MATCH($S$25,'4. Valuation'!$O$10:$X$10,0)),0)</f>
        <v>0</v>
      </c>
      <c r="T600" s="312" t="str">
        <f>IFERROR(INDEX('4. Valuation'!$O$10:$X$17,MATCH($D600,'4. Valuation'!$O$10:$O$17,0),MATCH($T$25,'4. Valuation'!$O$10:$X$10,0)),0)</f>
        <v>-</v>
      </c>
      <c r="U600" s="278"/>
      <c r="V600" s="312">
        <f t="shared" si="102"/>
        <v>0</v>
      </c>
      <c r="W600" s="312">
        <f t="shared" si="103"/>
        <v>0</v>
      </c>
      <c r="X600" s="312">
        <f t="shared" si="104"/>
        <v>0</v>
      </c>
      <c r="Y600" s="278"/>
      <c r="Z600" s="312">
        <f t="shared" si="105"/>
        <v>0</v>
      </c>
      <c r="AA600" s="312">
        <f>'3. GRI Pricing'!Y591</f>
        <v>0</v>
      </c>
      <c r="AB600" s="359">
        <f t="shared" si="106"/>
        <v>0</v>
      </c>
    </row>
    <row r="601" spans="3:28" s="30" customFormat="1" ht="12" x14ac:dyDescent="0.2">
      <c r="C601" s="77">
        <f>'1. Accomodation'!N596</f>
        <v>0</v>
      </c>
      <c r="D601" s="77">
        <f>'1. Accomodation'!P596</f>
        <v>0</v>
      </c>
      <c r="E601" s="77">
        <f>'1. Accomodation'!O596</f>
        <v>0</v>
      </c>
      <c r="G601" s="341">
        <f>IFERROR(INDEX('4. Valuation'!$C$10:$I$17,MATCH($D601,'4. Valuation'!$C$10:$C$17,0),MATCH($G$25,'4. Valuation'!$C$10:$I$10,0)),0)</f>
        <v>0</v>
      </c>
      <c r="H601" s="273">
        <f>IFERROR(INDEX('4. Valuation'!$C$10:$I$17,MATCH($D601,'4. Valuation'!$C$10:$C$17,0),MATCH($H$25,'4. Valuation'!$C$10:$I$10,0)),0)</f>
        <v>0</v>
      </c>
      <c r="I601" s="359" t="str">
        <f>IFERROR(INDEX('4. Valuation'!$C$10:$I$17,MATCH($D601,'4. Valuation'!$C$10:$C$17,0),MATCH($I$25,'4. Valuation'!$C$10:$I$10,0)),0)</f>
        <v>-</v>
      </c>
      <c r="J601" s="277"/>
      <c r="K601" s="312">
        <f t="shared" si="99"/>
        <v>0</v>
      </c>
      <c r="L601" s="312">
        <f t="shared" si="100"/>
        <v>0</v>
      </c>
      <c r="M601" s="359">
        <f t="shared" si="101"/>
        <v>0</v>
      </c>
      <c r="N601" s="278"/>
      <c r="O601" s="278"/>
      <c r="P601" s="278"/>
      <c r="Q601" s="278"/>
      <c r="R601" s="312">
        <f>IFERROR(INDEX('4. Valuation'!$O$10:$X$17,MATCH($D601,'4. Valuation'!$O$10:$O$17,0),MATCH($R$25,'4. Valuation'!$O$10:$X$10,0)),0)</f>
        <v>0</v>
      </c>
      <c r="S601" s="312">
        <f>IFERROR(INDEX('4. Valuation'!$O$10:$X$17,MATCH($D601,'4. Valuation'!$O$10:$O$17,0),MATCH($S$25,'4. Valuation'!$O$10:$X$10,0)),0)</f>
        <v>0</v>
      </c>
      <c r="T601" s="312" t="str">
        <f>IFERROR(INDEX('4. Valuation'!$O$10:$X$17,MATCH($D601,'4. Valuation'!$O$10:$O$17,0),MATCH($T$25,'4. Valuation'!$O$10:$X$10,0)),0)</f>
        <v>-</v>
      </c>
      <c r="U601" s="278"/>
      <c r="V601" s="312">
        <f t="shared" si="102"/>
        <v>0</v>
      </c>
      <c r="W601" s="312">
        <f t="shared" si="103"/>
        <v>0</v>
      </c>
      <c r="X601" s="312">
        <f t="shared" si="104"/>
        <v>0</v>
      </c>
      <c r="Y601" s="278"/>
      <c r="Z601" s="312">
        <f t="shared" si="105"/>
        <v>0</v>
      </c>
      <c r="AA601" s="312">
        <f>'3. GRI Pricing'!Y592</f>
        <v>0</v>
      </c>
      <c r="AB601" s="359">
        <f t="shared" si="106"/>
        <v>0</v>
      </c>
    </row>
    <row r="602" spans="3:28" s="30" customFormat="1" ht="12" x14ac:dyDescent="0.2">
      <c r="C602" s="77">
        <f>'1. Accomodation'!N597</f>
        <v>0</v>
      </c>
      <c r="D602" s="77">
        <f>'1. Accomodation'!P597</f>
        <v>0</v>
      </c>
      <c r="E602" s="77">
        <f>'1. Accomodation'!O597</f>
        <v>0</v>
      </c>
      <c r="G602" s="341">
        <f>IFERROR(INDEX('4. Valuation'!$C$10:$I$17,MATCH($D602,'4. Valuation'!$C$10:$C$17,0),MATCH($G$25,'4. Valuation'!$C$10:$I$10,0)),0)</f>
        <v>0</v>
      </c>
      <c r="H602" s="273">
        <f>IFERROR(INDEX('4. Valuation'!$C$10:$I$17,MATCH($D602,'4. Valuation'!$C$10:$C$17,0),MATCH($H$25,'4. Valuation'!$C$10:$I$10,0)),0)</f>
        <v>0</v>
      </c>
      <c r="I602" s="359" t="str">
        <f>IFERROR(INDEX('4. Valuation'!$C$10:$I$17,MATCH($D602,'4. Valuation'!$C$10:$C$17,0),MATCH($I$25,'4. Valuation'!$C$10:$I$10,0)),0)</f>
        <v>-</v>
      </c>
      <c r="J602" s="277"/>
      <c r="K602" s="312">
        <f t="shared" si="99"/>
        <v>0</v>
      </c>
      <c r="L602" s="312">
        <f t="shared" si="100"/>
        <v>0</v>
      </c>
      <c r="M602" s="359">
        <f t="shared" si="101"/>
        <v>0</v>
      </c>
      <c r="N602" s="278"/>
      <c r="O602" s="278"/>
      <c r="P602" s="278"/>
      <c r="Q602" s="278"/>
      <c r="R602" s="312">
        <f>IFERROR(INDEX('4. Valuation'!$O$10:$X$17,MATCH($D602,'4. Valuation'!$O$10:$O$17,0),MATCH($R$25,'4. Valuation'!$O$10:$X$10,0)),0)</f>
        <v>0</v>
      </c>
      <c r="S602" s="312">
        <f>IFERROR(INDEX('4. Valuation'!$O$10:$X$17,MATCH($D602,'4. Valuation'!$O$10:$O$17,0),MATCH($S$25,'4. Valuation'!$O$10:$X$10,0)),0)</f>
        <v>0</v>
      </c>
      <c r="T602" s="312" t="str">
        <f>IFERROR(INDEX('4. Valuation'!$O$10:$X$17,MATCH($D602,'4. Valuation'!$O$10:$O$17,0),MATCH($T$25,'4. Valuation'!$O$10:$X$10,0)),0)</f>
        <v>-</v>
      </c>
      <c r="U602" s="278"/>
      <c r="V602" s="312">
        <f t="shared" si="102"/>
        <v>0</v>
      </c>
      <c r="W602" s="312">
        <f t="shared" si="103"/>
        <v>0</v>
      </c>
      <c r="X602" s="312">
        <f t="shared" si="104"/>
        <v>0</v>
      </c>
      <c r="Y602" s="278"/>
      <c r="Z602" s="312">
        <f t="shared" si="105"/>
        <v>0</v>
      </c>
      <c r="AA602" s="312">
        <f>'3. GRI Pricing'!Y593</f>
        <v>0</v>
      </c>
      <c r="AB602" s="359">
        <f t="shared" si="106"/>
        <v>0</v>
      </c>
    </row>
    <row r="603" spans="3:28" s="30" customFormat="1" ht="12" x14ac:dyDescent="0.2">
      <c r="C603" s="77">
        <f>'1. Accomodation'!N598</f>
        <v>0</v>
      </c>
      <c r="D603" s="77">
        <f>'1. Accomodation'!P598</f>
        <v>0</v>
      </c>
      <c r="E603" s="77">
        <f>'1. Accomodation'!O598</f>
        <v>0</v>
      </c>
      <c r="G603" s="341">
        <f>IFERROR(INDEX('4. Valuation'!$C$10:$I$17,MATCH($D603,'4. Valuation'!$C$10:$C$17,0),MATCH($G$25,'4. Valuation'!$C$10:$I$10,0)),0)</f>
        <v>0</v>
      </c>
      <c r="H603" s="273">
        <f>IFERROR(INDEX('4. Valuation'!$C$10:$I$17,MATCH($D603,'4. Valuation'!$C$10:$C$17,0),MATCH($H$25,'4. Valuation'!$C$10:$I$10,0)),0)</f>
        <v>0</v>
      </c>
      <c r="I603" s="359" t="str">
        <f>IFERROR(INDEX('4. Valuation'!$C$10:$I$17,MATCH($D603,'4. Valuation'!$C$10:$C$17,0),MATCH($I$25,'4. Valuation'!$C$10:$I$10,0)),0)</f>
        <v>-</v>
      </c>
      <c r="J603" s="277"/>
      <c r="K603" s="312">
        <f t="shared" ref="K603:K625" si="107">L603*12</f>
        <v>0</v>
      </c>
      <c r="L603" s="312">
        <f t="shared" ref="L603:L625" si="108">H603*(1+$M$24)^((L$24-K$24)/365)</f>
        <v>0</v>
      </c>
      <c r="M603" s="359">
        <f t="shared" ref="M603:M625" si="109">IFERROR(K603/E603,0)</f>
        <v>0</v>
      </c>
      <c r="N603" s="278"/>
      <c r="O603" s="278"/>
      <c r="P603" s="278"/>
      <c r="Q603" s="278"/>
      <c r="R603" s="312">
        <f>IFERROR(INDEX('4. Valuation'!$O$10:$X$17,MATCH($D603,'4. Valuation'!$O$10:$O$17,0),MATCH($R$25,'4. Valuation'!$O$10:$X$10,0)),0)</f>
        <v>0</v>
      </c>
      <c r="S603" s="312">
        <f>IFERROR(INDEX('4. Valuation'!$O$10:$X$17,MATCH($D603,'4. Valuation'!$O$10:$O$17,0),MATCH($S$25,'4. Valuation'!$O$10:$X$10,0)),0)</f>
        <v>0</v>
      </c>
      <c r="T603" s="312" t="str">
        <f>IFERROR(INDEX('4. Valuation'!$O$10:$X$17,MATCH($D603,'4. Valuation'!$O$10:$O$17,0),MATCH($T$25,'4. Valuation'!$O$10:$X$10,0)),0)</f>
        <v>-</v>
      </c>
      <c r="U603" s="278"/>
      <c r="V603" s="312">
        <f t="shared" ref="V603:V625" si="110">W603*12</f>
        <v>0</v>
      </c>
      <c r="W603" s="312">
        <f t="shared" ref="W603:W625" si="111">S603*(1+$M$24)^((W$24-V$24)/365)</f>
        <v>0</v>
      </c>
      <c r="X603" s="312">
        <f t="shared" ref="X603:X625" si="112">IFERROR(V603/E603,0)</f>
        <v>0</v>
      </c>
      <c r="Y603" s="278"/>
      <c r="Z603" s="312">
        <f t="shared" ref="Z603:Z625" si="113">AA603*12</f>
        <v>0</v>
      </c>
      <c r="AA603" s="312">
        <f>'3. GRI Pricing'!Y594</f>
        <v>0</v>
      </c>
      <c r="AB603" s="359">
        <f t="shared" ref="AB603:AB625" si="114">IFERROR(Z603/E603,0)</f>
        <v>0</v>
      </c>
    </row>
    <row r="604" spans="3:28" s="30" customFormat="1" ht="12" x14ac:dyDescent="0.2">
      <c r="C604" s="77">
        <f>'1. Accomodation'!N599</f>
        <v>0</v>
      </c>
      <c r="D604" s="77">
        <f>'1. Accomodation'!P599</f>
        <v>0</v>
      </c>
      <c r="E604" s="77">
        <f>'1. Accomodation'!O599</f>
        <v>0</v>
      </c>
      <c r="G604" s="341">
        <f>IFERROR(INDEX('4. Valuation'!$C$10:$I$17,MATCH($D604,'4. Valuation'!$C$10:$C$17,0),MATCH($G$25,'4. Valuation'!$C$10:$I$10,0)),0)</f>
        <v>0</v>
      </c>
      <c r="H604" s="273">
        <f>IFERROR(INDEX('4. Valuation'!$C$10:$I$17,MATCH($D604,'4. Valuation'!$C$10:$C$17,0),MATCH($H$25,'4. Valuation'!$C$10:$I$10,0)),0)</f>
        <v>0</v>
      </c>
      <c r="I604" s="359" t="str">
        <f>IFERROR(INDEX('4. Valuation'!$C$10:$I$17,MATCH($D604,'4. Valuation'!$C$10:$C$17,0),MATCH($I$25,'4. Valuation'!$C$10:$I$10,0)),0)</f>
        <v>-</v>
      </c>
      <c r="J604" s="277"/>
      <c r="K604" s="312">
        <f t="shared" si="107"/>
        <v>0</v>
      </c>
      <c r="L604" s="312">
        <f t="shared" si="108"/>
        <v>0</v>
      </c>
      <c r="M604" s="359">
        <f t="shared" si="109"/>
        <v>0</v>
      </c>
      <c r="N604" s="278"/>
      <c r="O604" s="278"/>
      <c r="P604" s="278"/>
      <c r="Q604" s="278"/>
      <c r="R604" s="312">
        <f>IFERROR(INDEX('4. Valuation'!$O$10:$X$17,MATCH($D604,'4. Valuation'!$O$10:$O$17,0),MATCH($R$25,'4. Valuation'!$O$10:$X$10,0)),0)</f>
        <v>0</v>
      </c>
      <c r="S604" s="312">
        <f>IFERROR(INDEX('4. Valuation'!$O$10:$X$17,MATCH($D604,'4. Valuation'!$O$10:$O$17,0),MATCH($S$25,'4. Valuation'!$O$10:$X$10,0)),0)</f>
        <v>0</v>
      </c>
      <c r="T604" s="312" t="str">
        <f>IFERROR(INDEX('4. Valuation'!$O$10:$X$17,MATCH($D604,'4. Valuation'!$O$10:$O$17,0),MATCH($T$25,'4. Valuation'!$O$10:$X$10,0)),0)</f>
        <v>-</v>
      </c>
      <c r="U604" s="278"/>
      <c r="V604" s="312">
        <f t="shared" si="110"/>
        <v>0</v>
      </c>
      <c r="W604" s="312">
        <f t="shared" si="111"/>
        <v>0</v>
      </c>
      <c r="X604" s="312">
        <f t="shared" si="112"/>
        <v>0</v>
      </c>
      <c r="Y604" s="278"/>
      <c r="Z604" s="312">
        <f t="shared" si="113"/>
        <v>0</v>
      </c>
      <c r="AA604" s="312">
        <f>'3. GRI Pricing'!Y595</f>
        <v>0</v>
      </c>
      <c r="AB604" s="359">
        <f t="shared" si="114"/>
        <v>0</v>
      </c>
    </row>
    <row r="605" spans="3:28" s="30" customFormat="1" ht="12" x14ac:dyDescent="0.2">
      <c r="C605" s="77">
        <f>'1. Accomodation'!N600</f>
        <v>0</v>
      </c>
      <c r="D605" s="77">
        <f>'1. Accomodation'!P600</f>
        <v>0</v>
      </c>
      <c r="E605" s="77">
        <f>'1. Accomodation'!O600</f>
        <v>0</v>
      </c>
      <c r="G605" s="341">
        <f>IFERROR(INDEX('4. Valuation'!$C$10:$I$17,MATCH($D605,'4. Valuation'!$C$10:$C$17,0),MATCH($G$25,'4. Valuation'!$C$10:$I$10,0)),0)</f>
        <v>0</v>
      </c>
      <c r="H605" s="273">
        <f>IFERROR(INDEX('4. Valuation'!$C$10:$I$17,MATCH($D605,'4. Valuation'!$C$10:$C$17,0),MATCH($H$25,'4. Valuation'!$C$10:$I$10,0)),0)</f>
        <v>0</v>
      </c>
      <c r="I605" s="359" t="str">
        <f>IFERROR(INDEX('4. Valuation'!$C$10:$I$17,MATCH($D605,'4. Valuation'!$C$10:$C$17,0),MATCH($I$25,'4. Valuation'!$C$10:$I$10,0)),0)</f>
        <v>-</v>
      </c>
      <c r="J605" s="277"/>
      <c r="K605" s="312">
        <f t="shared" si="107"/>
        <v>0</v>
      </c>
      <c r="L605" s="312">
        <f t="shared" si="108"/>
        <v>0</v>
      </c>
      <c r="M605" s="359">
        <f t="shared" si="109"/>
        <v>0</v>
      </c>
      <c r="N605" s="278"/>
      <c r="O605" s="278"/>
      <c r="P605" s="278"/>
      <c r="Q605" s="278"/>
      <c r="R605" s="312">
        <f>IFERROR(INDEX('4. Valuation'!$O$10:$X$17,MATCH($D605,'4. Valuation'!$O$10:$O$17,0),MATCH($R$25,'4. Valuation'!$O$10:$X$10,0)),0)</f>
        <v>0</v>
      </c>
      <c r="S605" s="312">
        <f>IFERROR(INDEX('4. Valuation'!$O$10:$X$17,MATCH($D605,'4. Valuation'!$O$10:$O$17,0),MATCH($S$25,'4. Valuation'!$O$10:$X$10,0)),0)</f>
        <v>0</v>
      </c>
      <c r="T605" s="312" t="str">
        <f>IFERROR(INDEX('4. Valuation'!$O$10:$X$17,MATCH($D605,'4. Valuation'!$O$10:$O$17,0),MATCH($T$25,'4. Valuation'!$O$10:$X$10,0)),0)</f>
        <v>-</v>
      </c>
      <c r="U605" s="278"/>
      <c r="V605" s="312">
        <f t="shared" si="110"/>
        <v>0</v>
      </c>
      <c r="W605" s="312">
        <f t="shared" si="111"/>
        <v>0</v>
      </c>
      <c r="X605" s="312">
        <f t="shared" si="112"/>
        <v>0</v>
      </c>
      <c r="Y605" s="278"/>
      <c r="Z605" s="312">
        <f t="shared" si="113"/>
        <v>0</v>
      </c>
      <c r="AA605" s="312">
        <f>'3. GRI Pricing'!Y596</f>
        <v>0</v>
      </c>
      <c r="AB605" s="359">
        <f t="shared" si="114"/>
        <v>0</v>
      </c>
    </row>
    <row r="606" spans="3:28" s="30" customFormat="1" ht="12" x14ac:dyDescent="0.2">
      <c r="C606" s="77">
        <f>'1. Accomodation'!N601</f>
        <v>0</v>
      </c>
      <c r="D606" s="77">
        <f>'1. Accomodation'!P601</f>
        <v>0</v>
      </c>
      <c r="E606" s="77">
        <f>'1. Accomodation'!O601</f>
        <v>0</v>
      </c>
      <c r="G606" s="341">
        <f>IFERROR(INDEX('4. Valuation'!$C$10:$I$17,MATCH($D606,'4. Valuation'!$C$10:$C$17,0),MATCH($G$25,'4. Valuation'!$C$10:$I$10,0)),0)</f>
        <v>0</v>
      </c>
      <c r="H606" s="273">
        <f>IFERROR(INDEX('4. Valuation'!$C$10:$I$17,MATCH($D606,'4. Valuation'!$C$10:$C$17,0),MATCH($H$25,'4. Valuation'!$C$10:$I$10,0)),0)</f>
        <v>0</v>
      </c>
      <c r="I606" s="359" t="str">
        <f>IFERROR(INDEX('4. Valuation'!$C$10:$I$17,MATCH($D606,'4. Valuation'!$C$10:$C$17,0),MATCH($I$25,'4. Valuation'!$C$10:$I$10,0)),0)</f>
        <v>-</v>
      </c>
      <c r="J606" s="277"/>
      <c r="K606" s="312">
        <f t="shared" si="107"/>
        <v>0</v>
      </c>
      <c r="L606" s="312">
        <f t="shared" si="108"/>
        <v>0</v>
      </c>
      <c r="M606" s="359">
        <f t="shared" si="109"/>
        <v>0</v>
      </c>
      <c r="N606" s="278"/>
      <c r="O606" s="278"/>
      <c r="P606" s="278"/>
      <c r="Q606" s="278"/>
      <c r="R606" s="312">
        <f>IFERROR(INDEX('4. Valuation'!$O$10:$X$17,MATCH($D606,'4. Valuation'!$O$10:$O$17,0),MATCH($R$25,'4. Valuation'!$O$10:$X$10,0)),0)</f>
        <v>0</v>
      </c>
      <c r="S606" s="312">
        <f>IFERROR(INDEX('4. Valuation'!$O$10:$X$17,MATCH($D606,'4. Valuation'!$O$10:$O$17,0),MATCH($S$25,'4. Valuation'!$O$10:$X$10,0)),0)</f>
        <v>0</v>
      </c>
      <c r="T606" s="312" t="str">
        <f>IFERROR(INDEX('4. Valuation'!$O$10:$X$17,MATCH($D606,'4. Valuation'!$O$10:$O$17,0),MATCH($T$25,'4. Valuation'!$O$10:$X$10,0)),0)</f>
        <v>-</v>
      </c>
      <c r="U606" s="278"/>
      <c r="V606" s="312">
        <f t="shared" si="110"/>
        <v>0</v>
      </c>
      <c r="W606" s="312">
        <f t="shared" si="111"/>
        <v>0</v>
      </c>
      <c r="X606" s="312">
        <f t="shared" si="112"/>
        <v>0</v>
      </c>
      <c r="Y606" s="278"/>
      <c r="Z606" s="312">
        <f t="shared" si="113"/>
        <v>0</v>
      </c>
      <c r="AA606" s="312">
        <f>'3. GRI Pricing'!Y597</f>
        <v>0</v>
      </c>
      <c r="AB606" s="359">
        <f t="shared" si="114"/>
        <v>0</v>
      </c>
    </row>
    <row r="607" spans="3:28" s="30" customFormat="1" ht="12" x14ac:dyDescent="0.2">
      <c r="C607" s="77">
        <f>'1. Accomodation'!N602</f>
        <v>0</v>
      </c>
      <c r="D607" s="77">
        <f>'1. Accomodation'!P602</f>
        <v>0</v>
      </c>
      <c r="E607" s="77">
        <f>'1. Accomodation'!O602</f>
        <v>0</v>
      </c>
      <c r="G607" s="341">
        <f>IFERROR(INDEX('4. Valuation'!$C$10:$I$17,MATCH($D607,'4. Valuation'!$C$10:$C$17,0),MATCH($G$25,'4. Valuation'!$C$10:$I$10,0)),0)</f>
        <v>0</v>
      </c>
      <c r="H607" s="273">
        <f>IFERROR(INDEX('4. Valuation'!$C$10:$I$17,MATCH($D607,'4. Valuation'!$C$10:$C$17,0),MATCH($H$25,'4. Valuation'!$C$10:$I$10,0)),0)</f>
        <v>0</v>
      </c>
      <c r="I607" s="359" t="str">
        <f>IFERROR(INDEX('4. Valuation'!$C$10:$I$17,MATCH($D607,'4. Valuation'!$C$10:$C$17,0),MATCH($I$25,'4. Valuation'!$C$10:$I$10,0)),0)</f>
        <v>-</v>
      </c>
      <c r="J607" s="277"/>
      <c r="K607" s="312">
        <f t="shared" si="107"/>
        <v>0</v>
      </c>
      <c r="L607" s="312">
        <f t="shared" si="108"/>
        <v>0</v>
      </c>
      <c r="M607" s="359">
        <f t="shared" si="109"/>
        <v>0</v>
      </c>
      <c r="N607" s="278"/>
      <c r="O607" s="278"/>
      <c r="P607" s="278"/>
      <c r="Q607" s="278"/>
      <c r="R607" s="312">
        <f>IFERROR(INDEX('4. Valuation'!$O$10:$X$17,MATCH($D607,'4. Valuation'!$O$10:$O$17,0),MATCH($R$25,'4. Valuation'!$O$10:$X$10,0)),0)</f>
        <v>0</v>
      </c>
      <c r="S607" s="312">
        <f>IFERROR(INDEX('4. Valuation'!$O$10:$X$17,MATCH($D607,'4. Valuation'!$O$10:$O$17,0),MATCH($S$25,'4. Valuation'!$O$10:$X$10,0)),0)</f>
        <v>0</v>
      </c>
      <c r="T607" s="312" t="str">
        <f>IFERROR(INDEX('4. Valuation'!$O$10:$X$17,MATCH($D607,'4. Valuation'!$O$10:$O$17,0),MATCH($T$25,'4. Valuation'!$O$10:$X$10,0)),0)</f>
        <v>-</v>
      </c>
      <c r="U607" s="278"/>
      <c r="V607" s="312">
        <f t="shared" si="110"/>
        <v>0</v>
      </c>
      <c r="W607" s="312">
        <f t="shared" si="111"/>
        <v>0</v>
      </c>
      <c r="X607" s="312">
        <f t="shared" si="112"/>
        <v>0</v>
      </c>
      <c r="Y607" s="278"/>
      <c r="Z607" s="312">
        <f t="shared" si="113"/>
        <v>0</v>
      </c>
      <c r="AA607" s="312">
        <f>'3. GRI Pricing'!Y598</f>
        <v>0</v>
      </c>
      <c r="AB607" s="359">
        <f t="shared" si="114"/>
        <v>0</v>
      </c>
    </row>
    <row r="608" spans="3:28" s="30" customFormat="1" ht="12" x14ac:dyDescent="0.2">
      <c r="C608" s="77">
        <f>'1. Accomodation'!N603</f>
        <v>0</v>
      </c>
      <c r="D608" s="77">
        <f>'1. Accomodation'!P603</f>
        <v>0</v>
      </c>
      <c r="E608" s="77">
        <f>'1. Accomodation'!O603</f>
        <v>0</v>
      </c>
      <c r="G608" s="341">
        <f>IFERROR(INDEX('4. Valuation'!$C$10:$I$17,MATCH($D608,'4. Valuation'!$C$10:$C$17,0),MATCH($G$25,'4. Valuation'!$C$10:$I$10,0)),0)</f>
        <v>0</v>
      </c>
      <c r="H608" s="273">
        <f>IFERROR(INDEX('4. Valuation'!$C$10:$I$17,MATCH($D608,'4. Valuation'!$C$10:$C$17,0),MATCH($H$25,'4. Valuation'!$C$10:$I$10,0)),0)</f>
        <v>0</v>
      </c>
      <c r="I608" s="359" t="str">
        <f>IFERROR(INDEX('4. Valuation'!$C$10:$I$17,MATCH($D608,'4. Valuation'!$C$10:$C$17,0),MATCH($I$25,'4. Valuation'!$C$10:$I$10,0)),0)</f>
        <v>-</v>
      </c>
      <c r="J608" s="277"/>
      <c r="K608" s="312">
        <f t="shared" si="107"/>
        <v>0</v>
      </c>
      <c r="L608" s="312">
        <f t="shared" si="108"/>
        <v>0</v>
      </c>
      <c r="M608" s="359">
        <f t="shared" si="109"/>
        <v>0</v>
      </c>
      <c r="N608" s="278"/>
      <c r="O608" s="278"/>
      <c r="P608" s="278"/>
      <c r="Q608" s="278"/>
      <c r="R608" s="312">
        <f>IFERROR(INDEX('4. Valuation'!$O$10:$X$17,MATCH($D608,'4. Valuation'!$O$10:$O$17,0),MATCH($R$25,'4. Valuation'!$O$10:$X$10,0)),0)</f>
        <v>0</v>
      </c>
      <c r="S608" s="312">
        <f>IFERROR(INDEX('4. Valuation'!$O$10:$X$17,MATCH($D608,'4. Valuation'!$O$10:$O$17,0),MATCH($S$25,'4. Valuation'!$O$10:$X$10,0)),0)</f>
        <v>0</v>
      </c>
      <c r="T608" s="312" t="str">
        <f>IFERROR(INDEX('4. Valuation'!$O$10:$X$17,MATCH($D608,'4. Valuation'!$O$10:$O$17,0),MATCH($T$25,'4. Valuation'!$O$10:$X$10,0)),0)</f>
        <v>-</v>
      </c>
      <c r="U608" s="278"/>
      <c r="V608" s="312">
        <f t="shared" si="110"/>
        <v>0</v>
      </c>
      <c r="W608" s="312">
        <f t="shared" si="111"/>
        <v>0</v>
      </c>
      <c r="X608" s="312">
        <f t="shared" si="112"/>
        <v>0</v>
      </c>
      <c r="Y608" s="278"/>
      <c r="Z608" s="312">
        <f t="shared" si="113"/>
        <v>0</v>
      </c>
      <c r="AA608" s="312">
        <f>'3. GRI Pricing'!Y599</f>
        <v>0</v>
      </c>
      <c r="AB608" s="359">
        <f t="shared" si="114"/>
        <v>0</v>
      </c>
    </row>
    <row r="609" spans="3:28" s="30" customFormat="1" ht="12" x14ac:dyDescent="0.2">
      <c r="C609" s="77">
        <f>'1. Accomodation'!N604</f>
        <v>0</v>
      </c>
      <c r="D609" s="77">
        <f>'1. Accomodation'!P604</f>
        <v>0</v>
      </c>
      <c r="E609" s="77">
        <f>'1. Accomodation'!O604</f>
        <v>0</v>
      </c>
      <c r="G609" s="341">
        <f>IFERROR(INDEX('4. Valuation'!$C$10:$I$17,MATCH($D609,'4. Valuation'!$C$10:$C$17,0),MATCH($G$25,'4. Valuation'!$C$10:$I$10,0)),0)</f>
        <v>0</v>
      </c>
      <c r="H609" s="273">
        <f>IFERROR(INDEX('4. Valuation'!$C$10:$I$17,MATCH($D609,'4. Valuation'!$C$10:$C$17,0),MATCH($H$25,'4. Valuation'!$C$10:$I$10,0)),0)</f>
        <v>0</v>
      </c>
      <c r="I609" s="359" t="str">
        <f>IFERROR(INDEX('4. Valuation'!$C$10:$I$17,MATCH($D609,'4. Valuation'!$C$10:$C$17,0),MATCH($I$25,'4. Valuation'!$C$10:$I$10,0)),0)</f>
        <v>-</v>
      </c>
      <c r="J609" s="277"/>
      <c r="K609" s="312">
        <f t="shared" si="107"/>
        <v>0</v>
      </c>
      <c r="L609" s="312">
        <f t="shared" si="108"/>
        <v>0</v>
      </c>
      <c r="M609" s="359">
        <f t="shared" si="109"/>
        <v>0</v>
      </c>
      <c r="N609" s="278"/>
      <c r="O609" s="278"/>
      <c r="P609" s="278"/>
      <c r="Q609" s="278"/>
      <c r="R609" s="312">
        <f>IFERROR(INDEX('4. Valuation'!$O$10:$X$17,MATCH($D609,'4. Valuation'!$O$10:$O$17,0),MATCH($R$25,'4. Valuation'!$O$10:$X$10,0)),0)</f>
        <v>0</v>
      </c>
      <c r="S609" s="312">
        <f>IFERROR(INDEX('4. Valuation'!$O$10:$X$17,MATCH($D609,'4. Valuation'!$O$10:$O$17,0),MATCH($S$25,'4. Valuation'!$O$10:$X$10,0)),0)</f>
        <v>0</v>
      </c>
      <c r="T609" s="312" t="str">
        <f>IFERROR(INDEX('4. Valuation'!$O$10:$X$17,MATCH($D609,'4. Valuation'!$O$10:$O$17,0),MATCH($T$25,'4. Valuation'!$O$10:$X$10,0)),0)</f>
        <v>-</v>
      </c>
      <c r="U609" s="278"/>
      <c r="V609" s="312">
        <f t="shared" si="110"/>
        <v>0</v>
      </c>
      <c r="W609" s="312">
        <f t="shared" si="111"/>
        <v>0</v>
      </c>
      <c r="X609" s="312">
        <f t="shared" si="112"/>
        <v>0</v>
      </c>
      <c r="Y609" s="278"/>
      <c r="Z609" s="312">
        <f t="shared" si="113"/>
        <v>0</v>
      </c>
      <c r="AA609" s="312">
        <f>'3. GRI Pricing'!Y600</f>
        <v>0</v>
      </c>
      <c r="AB609" s="359">
        <f t="shared" si="114"/>
        <v>0</v>
      </c>
    </row>
    <row r="610" spans="3:28" s="30" customFormat="1" ht="12" x14ac:dyDescent="0.2">
      <c r="C610" s="77">
        <f>'1. Accomodation'!N605</f>
        <v>0</v>
      </c>
      <c r="D610" s="77">
        <f>'1. Accomodation'!P605</f>
        <v>0</v>
      </c>
      <c r="E610" s="77">
        <f>'1. Accomodation'!O605</f>
        <v>0</v>
      </c>
      <c r="G610" s="341">
        <f>IFERROR(INDEX('4. Valuation'!$C$10:$I$17,MATCH($D610,'4. Valuation'!$C$10:$C$17,0),MATCH($G$25,'4. Valuation'!$C$10:$I$10,0)),0)</f>
        <v>0</v>
      </c>
      <c r="H610" s="273">
        <f>IFERROR(INDEX('4. Valuation'!$C$10:$I$17,MATCH($D610,'4. Valuation'!$C$10:$C$17,0),MATCH($H$25,'4. Valuation'!$C$10:$I$10,0)),0)</f>
        <v>0</v>
      </c>
      <c r="I610" s="359" t="str">
        <f>IFERROR(INDEX('4. Valuation'!$C$10:$I$17,MATCH($D610,'4. Valuation'!$C$10:$C$17,0),MATCH($I$25,'4. Valuation'!$C$10:$I$10,0)),0)</f>
        <v>-</v>
      </c>
      <c r="J610" s="277"/>
      <c r="K610" s="312">
        <f t="shared" si="107"/>
        <v>0</v>
      </c>
      <c r="L610" s="312">
        <f t="shared" si="108"/>
        <v>0</v>
      </c>
      <c r="M610" s="359">
        <f t="shared" si="109"/>
        <v>0</v>
      </c>
      <c r="N610" s="278"/>
      <c r="O610" s="278"/>
      <c r="P610" s="278"/>
      <c r="Q610" s="278"/>
      <c r="R610" s="312">
        <f>IFERROR(INDEX('4. Valuation'!$O$10:$X$17,MATCH($D610,'4. Valuation'!$O$10:$O$17,0),MATCH($R$25,'4. Valuation'!$O$10:$X$10,0)),0)</f>
        <v>0</v>
      </c>
      <c r="S610" s="312">
        <f>IFERROR(INDEX('4. Valuation'!$O$10:$X$17,MATCH($D610,'4. Valuation'!$O$10:$O$17,0),MATCH($S$25,'4. Valuation'!$O$10:$X$10,0)),0)</f>
        <v>0</v>
      </c>
      <c r="T610" s="312" t="str">
        <f>IFERROR(INDEX('4. Valuation'!$O$10:$X$17,MATCH($D610,'4. Valuation'!$O$10:$O$17,0),MATCH($T$25,'4. Valuation'!$O$10:$X$10,0)),0)</f>
        <v>-</v>
      </c>
      <c r="U610" s="278"/>
      <c r="V610" s="312">
        <f t="shared" si="110"/>
        <v>0</v>
      </c>
      <c r="W610" s="312">
        <f t="shared" si="111"/>
        <v>0</v>
      </c>
      <c r="X610" s="312">
        <f t="shared" si="112"/>
        <v>0</v>
      </c>
      <c r="Y610" s="278"/>
      <c r="Z610" s="312">
        <f t="shared" si="113"/>
        <v>0</v>
      </c>
      <c r="AA610" s="312">
        <f>'3. GRI Pricing'!Y601</f>
        <v>0</v>
      </c>
      <c r="AB610" s="359">
        <f t="shared" si="114"/>
        <v>0</v>
      </c>
    </row>
    <row r="611" spans="3:28" s="30" customFormat="1" ht="12" x14ac:dyDescent="0.2">
      <c r="C611" s="77">
        <f>'1. Accomodation'!N606</f>
        <v>0</v>
      </c>
      <c r="D611" s="77">
        <f>'1. Accomodation'!P606</f>
        <v>0</v>
      </c>
      <c r="E611" s="77">
        <f>'1. Accomodation'!O606</f>
        <v>0</v>
      </c>
      <c r="G611" s="341">
        <f>IFERROR(INDEX('4. Valuation'!$C$10:$I$17,MATCH($D611,'4. Valuation'!$C$10:$C$17,0),MATCH($G$25,'4. Valuation'!$C$10:$I$10,0)),0)</f>
        <v>0</v>
      </c>
      <c r="H611" s="273">
        <f>IFERROR(INDEX('4. Valuation'!$C$10:$I$17,MATCH($D611,'4. Valuation'!$C$10:$C$17,0),MATCH($H$25,'4. Valuation'!$C$10:$I$10,0)),0)</f>
        <v>0</v>
      </c>
      <c r="I611" s="359" t="str">
        <f>IFERROR(INDEX('4. Valuation'!$C$10:$I$17,MATCH($D611,'4. Valuation'!$C$10:$C$17,0),MATCH($I$25,'4. Valuation'!$C$10:$I$10,0)),0)</f>
        <v>-</v>
      </c>
      <c r="J611" s="277"/>
      <c r="K611" s="312">
        <f t="shared" si="107"/>
        <v>0</v>
      </c>
      <c r="L611" s="312">
        <f t="shared" si="108"/>
        <v>0</v>
      </c>
      <c r="M611" s="359">
        <f t="shared" si="109"/>
        <v>0</v>
      </c>
      <c r="N611" s="278"/>
      <c r="O611" s="278"/>
      <c r="P611" s="278"/>
      <c r="Q611" s="278"/>
      <c r="R611" s="312">
        <f>IFERROR(INDEX('4. Valuation'!$O$10:$X$17,MATCH($D611,'4. Valuation'!$O$10:$O$17,0),MATCH($R$25,'4. Valuation'!$O$10:$X$10,0)),0)</f>
        <v>0</v>
      </c>
      <c r="S611" s="312">
        <f>IFERROR(INDEX('4. Valuation'!$O$10:$X$17,MATCH($D611,'4. Valuation'!$O$10:$O$17,0),MATCH($S$25,'4. Valuation'!$O$10:$X$10,0)),0)</f>
        <v>0</v>
      </c>
      <c r="T611" s="312" t="str">
        <f>IFERROR(INDEX('4. Valuation'!$O$10:$X$17,MATCH($D611,'4. Valuation'!$O$10:$O$17,0),MATCH($T$25,'4. Valuation'!$O$10:$X$10,0)),0)</f>
        <v>-</v>
      </c>
      <c r="U611" s="278"/>
      <c r="V611" s="312">
        <f t="shared" si="110"/>
        <v>0</v>
      </c>
      <c r="W611" s="312">
        <f t="shared" si="111"/>
        <v>0</v>
      </c>
      <c r="X611" s="312">
        <f t="shared" si="112"/>
        <v>0</v>
      </c>
      <c r="Y611" s="278"/>
      <c r="Z611" s="312">
        <f t="shared" si="113"/>
        <v>0</v>
      </c>
      <c r="AA611" s="312">
        <f>'3. GRI Pricing'!Y602</f>
        <v>0</v>
      </c>
      <c r="AB611" s="359">
        <f t="shared" si="114"/>
        <v>0</v>
      </c>
    </row>
    <row r="612" spans="3:28" s="30" customFormat="1" ht="12" x14ac:dyDescent="0.2">
      <c r="C612" s="77">
        <f>'1. Accomodation'!N607</f>
        <v>0</v>
      </c>
      <c r="D612" s="77">
        <f>'1. Accomodation'!P607</f>
        <v>0</v>
      </c>
      <c r="E612" s="77">
        <f>'1. Accomodation'!O607</f>
        <v>0</v>
      </c>
      <c r="G612" s="341">
        <f>IFERROR(INDEX('4. Valuation'!$C$10:$I$17,MATCH($D612,'4. Valuation'!$C$10:$C$17,0),MATCH($G$25,'4. Valuation'!$C$10:$I$10,0)),0)</f>
        <v>0</v>
      </c>
      <c r="H612" s="273">
        <f>IFERROR(INDEX('4. Valuation'!$C$10:$I$17,MATCH($D612,'4. Valuation'!$C$10:$C$17,0),MATCH($H$25,'4. Valuation'!$C$10:$I$10,0)),0)</f>
        <v>0</v>
      </c>
      <c r="I612" s="359" t="str">
        <f>IFERROR(INDEX('4. Valuation'!$C$10:$I$17,MATCH($D612,'4. Valuation'!$C$10:$C$17,0),MATCH($I$25,'4. Valuation'!$C$10:$I$10,0)),0)</f>
        <v>-</v>
      </c>
      <c r="J612" s="277"/>
      <c r="K612" s="312">
        <f t="shared" si="107"/>
        <v>0</v>
      </c>
      <c r="L612" s="312">
        <f t="shared" si="108"/>
        <v>0</v>
      </c>
      <c r="M612" s="359">
        <f t="shared" si="109"/>
        <v>0</v>
      </c>
      <c r="N612" s="278"/>
      <c r="O612" s="278"/>
      <c r="P612" s="278"/>
      <c r="Q612" s="278"/>
      <c r="R612" s="312">
        <f>IFERROR(INDEX('4. Valuation'!$O$10:$X$17,MATCH($D612,'4. Valuation'!$O$10:$O$17,0),MATCH($R$25,'4. Valuation'!$O$10:$X$10,0)),0)</f>
        <v>0</v>
      </c>
      <c r="S612" s="312">
        <f>IFERROR(INDEX('4. Valuation'!$O$10:$X$17,MATCH($D612,'4. Valuation'!$O$10:$O$17,0),MATCH($S$25,'4. Valuation'!$O$10:$X$10,0)),0)</f>
        <v>0</v>
      </c>
      <c r="T612" s="312" t="str">
        <f>IFERROR(INDEX('4. Valuation'!$O$10:$X$17,MATCH($D612,'4. Valuation'!$O$10:$O$17,0),MATCH($T$25,'4. Valuation'!$O$10:$X$10,0)),0)</f>
        <v>-</v>
      </c>
      <c r="U612" s="278"/>
      <c r="V612" s="312">
        <f t="shared" si="110"/>
        <v>0</v>
      </c>
      <c r="W612" s="312">
        <f t="shared" si="111"/>
        <v>0</v>
      </c>
      <c r="X612" s="312">
        <f t="shared" si="112"/>
        <v>0</v>
      </c>
      <c r="Y612" s="278"/>
      <c r="Z612" s="312">
        <f t="shared" si="113"/>
        <v>0</v>
      </c>
      <c r="AA612" s="312">
        <f>'3. GRI Pricing'!Y603</f>
        <v>0</v>
      </c>
      <c r="AB612" s="359">
        <f t="shared" si="114"/>
        <v>0</v>
      </c>
    </row>
    <row r="613" spans="3:28" s="30" customFormat="1" ht="12" x14ac:dyDescent="0.2">
      <c r="C613" s="77">
        <f>'1. Accomodation'!N608</f>
        <v>0</v>
      </c>
      <c r="D613" s="77">
        <f>'1. Accomodation'!P608</f>
        <v>0</v>
      </c>
      <c r="E613" s="77">
        <f>'1. Accomodation'!O608</f>
        <v>0</v>
      </c>
      <c r="G613" s="341">
        <f>IFERROR(INDEX('4. Valuation'!$C$10:$I$17,MATCH($D613,'4. Valuation'!$C$10:$C$17,0),MATCH($G$25,'4. Valuation'!$C$10:$I$10,0)),0)</f>
        <v>0</v>
      </c>
      <c r="H613" s="273">
        <f>IFERROR(INDEX('4. Valuation'!$C$10:$I$17,MATCH($D613,'4. Valuation'!$C$10:$C$17,0),MATCH($H$25,'4. Valuation'!$C$10:$I$10,0)),0)</f>
        <v>0</v>
      </c>
      <c r="I613" s="359" t="str">
        <f>IFERROR(INDEX('4. Valuation'!$C$10:$I$17,MATCH($D613,'4. Valuation'!$C$10:$C$17,0),MATCH($I$25,'4. Valuation'!$C$10:$I$10,0)),0)</f>
        <v>-</v>
      </c>
      <c r="J613" s="277"/>
      <c r="K613" s="312">
        <f t="shared" si="107"/>
        <v>0</v>
      </c>
      <c r="L613" s="312">
        <f t="shared" si="108"/>
        <v>0</v>
      </c>
      <c r="M613" s="359">
        <f t="shared" si="109"/>
        <v>0</v>
      </c>
      <c r="N613" s="278"/>
      <c r="O613" s="278"/>
      <c r="P613" s="278"/>
      <c r="Q613" s="278"/>
      <c r="R613" s="312">
        <f>IFERROR(INDEX('4. Valuation'!$O$10:$X$17,MATCH($D613,'4. Valuation'!$O$10:$O$17,0),MATCH($R$25,'4. Valuation'!$O$10:$X$10,0)),0)</f>
        <v>0</v>
      </c>
      <c r="S613" s="312">
        <f>IFERROR(INDEX('4. Valuation'!$O$10:$X$17,MATCH($D613,'4. Valuation'!$O$10:$O$17,0),MATCH($S$25,'4. Valuation'!$O$10:$X$10,0)),0)</f>
        <v>0</v>
      </c>
      <c r="T613" s="312" t="str">
        <f>IFERROR(INDEX('4. Valuation'!$O$10:$X$17,MATCH($D613,'4. Valuation'!$O$10:$O$17,0),MATCH($T$25,'4. Valuation'!$O$10:$X$10,0)),0)</f>
        <v>-</v>
      </c>
      <c r="U613" s="278"/>
      <c r="V613" s="312">
        <f t="shared" si="110"/>
        <v>0</v>
      </c>
      <c r="W613" s="312">
        <f t="shared" si="111"/>
        <v>0</v>
      </c>
      <c r="X613" s="312">
        <f t="shared" si="112"/>
        <v>0</v>
      </c>
      <c r="Y613" s="278"/>
      <c r="Z613" s="312">
        <f t="shared" si="113"/>
        <v>0</v>
      </c>
      <c r="AA613" s="312">
        <f>'3. GRI Pricing'!Y604</f>
        <v>0</v>
      </c>
      <c r="AB613" s="359">
        <f t="shared" si="114"/>
        <v>0</v>
      </c>
    </row>
    <row r="614" spans="3:28" s="30" customFormat="1" ht="12" x14ac:dyDescent="0.2">
      <c r="C614" s="77">
        <f>'1. Accomodation'!N609</f>
        <v>0</v>
      </c>
      <c r="D614" s="77">
        <f>'1. Accomodation'!P609</f>
        <v>0</v>
      </c>
      <c r="E614" s="77">
        <f>'1. Accomodation'!O609</f>
        <v>0</v>
      </c>
      <c r="G614" s="341">
        <f>IFERROR(INDEX('4. Valuation'!$C$10:$I$17,MATCH($D614,'4. Valuation'!$C$10:$C$17,0),MATCH($G$25,'4. Valuation'!$C$10:$I$10,0)),0)</f>
        <v>0</v>
      </c>
      <c r="H614" s="273">
        <f>IFERROR(INDEX('4. Valuation'!$C$10:$I$17,MATCH($D614,'4. Valuation'!$C$10:$C$17,0),MATCH($H$25,'4. Valuation'!$C$10:$I$10,0)),0)</f>
        <v>0</v>
      </c>
      <c r="I614" s="359" t="str">
        <f>IFERROR(INDEX('4. Valuation'!$C$10:$I$17,MATCH($D614,'4. Valuation'!$C$10:$C$17,0),MATCH($I$25,'4. Valuation'!$C$10:$I$10,0)),0)</f>
        <v>-</v>
      </c>
      <c r="J614" s="277"/>
      <c r="K614" s="312">
        <f t="shared" si="107"/>
        <v>0</v>
      </c>
      <c r="L614" s="312">
        <f t="shared" si="108"/>
        <v>0</v>
      </c>
      <c r="M614" s="359">
        <f t="shared" si="109"/>
        <v>0</v>
      </c>
      <c r="N614" s="278"/>
      <c r="O614" s="278"/>
      <c r="P614" s="278"/>
      <c r="Q614" s="278"/>
      <c r="R614" s="312">
        <f>IFERROR(INDEX('4. Valuation'!$O$10:$X$17,MATCH($D614,'4. Valuation'!$O$10:$O$17,0),MATCH($R$25,'4. Valuation'!$O$10:$X$10,0)),0)</f>
        <v>0</v>
      </c>
      <c r="S614" s="312">
        <f>IFERROR(INDEX('4. Valuation'!$O$10:$X$17,MATCH($D614,'4. Valuation'!$O$10:$O$17,0),MATCH($S$25,'4. Valuation'!$O$10:$X$10,0)),0)</f>
        <v>0</v>
      </c>
      <c r="T614" s="312" t="str">
        <f>IFERROR(INDEX('4. Valuation'!$O$10:$X$17,MATCH($D614,'4. Valuation'!$O$10:$O$17,0),MATCH($T$25,'4. Valuation'!$O$10:$X$10,0)),0)</f>
        <v>-</v>
      </c>
      <c r="U614" s="278"/>
      <c r="V614" s="312">
        <f t="shared" si="110"/>
        <v>0</v>
      </c>
      <c r="W614" s="312">
        <f t="shared" si="111"/>
        <v>0</v>
      </c>
      <c r="X614" s="312">
        <f t="shared" si="112"/>
        <v>0</v>
      </c>
      <c r="Y614" s="278"/>
      <c r="Z614" s="312">
        <f t="shared" si="113"/>
        <v>0</v>
      </c>
      <c r="AA614" s="312">
        <f>'3. GRI Pricing'!Y605</f>
        <v>0</v>
      </c>
      <c r="AB614" s="359">
        <f t="shared" si="114"/>
        <v>0</v>
      </c>
    </row>
    <row r="615" spans="3:28" s="30" customFormat="1" ht="12" x14ac:dyDescent="0.2">
      <c r="C615" s="77">
        <f>'1. Accomodation'!N610</f>
        <v>0</v>
      </c>
      <c r="D615" s="77">
        <f>'1. Accomodation'!P610</f>
        <v>0</v>
      </c>
      <c r="E615" s="77">
        <f>'1. Accomodation'!O610</f>
        <v>0</v>
      </c>
      <c r="G615" s="341">
        <f>IFERROR(INDEX('4. Valuation'!$C$10:$I$17,MATCH($D615,'4. Valuation'!$C$10:$C$17,0),MATCH($G$25,'4. Valuation'!$C$10:$I$10,0)),0)</f>
        <v>0</v>
      </c>
      <c r="H615" s="273">
        <f>IFERROR(INDEX('4. Valuation'!$C$10:$I$17,MATCH($D615,'4. Valuation'!$C$10:$C$17,0),MATCH($H$25,'4. Valuation'!$C$10:$I$10,0)),0)</f>
        <v>0</v>
      </c>
      <c r="I615" s="359" t="str">
        <f>IFERROR(INDEX('4. Valuation'!$C$10:$I$17,MATCH($D615,'4. Valuation'!$C$10:$C$17,0),MATCH($I$25,'4. Valuation'!$C$10:$I$10,0)),0)</f>
        <v>-</v>
      </c>
      <c r="J615" s="277"/>
      <c r="K615" s="312">
        <f t="shared" si="107"/>
        <v>0</v>
      </c>
      <c r="L615" s="312">
        <f t="shared" si="108"/>
        <v>0</v>
      </c>
      <c r="M615" s="359">
        <f t="shared" si="109"/>
        <v>0</v>
      </c>
      <c r="N615" s="278"/>
      <c r="O615" s="278"/>
      <c r="P615" s="278"/>
      <c r="Q615" s="278"/>
      <c r="R615" s="312">
        <f>IFERROR(INDEX('4. Valuation'!$O$10:$X$17,MATCH($D615,'4. Valuation'!$O$10:$O$17,0),MATCH($R$25,'4. Valuation'!$O$10:$X$10,0)),0)</f>
        <v>0</v>
      </c>
      <c r="S615" s="312">
        <f>IFERROR(INDEX('4. Valuation'!$O$10:$X$17,MATCH($D615,'4. Valuation'!$O$10:$O$17,0),MATCH($S$25,'4. Valuation'!$O$10:$X$10,0)),0)</f>
        <v>0</v>
      </c>
      <c r="T615" s="312" t="str">
        <f>IFERROR(INDEX('4. Valuation'!$O$10:$X$17,MATCH($D615,'4. Valuation'!$O$10:$O$17,0),MATCH($T$25,'4. Valuation'!$O$10:$X$10,0)),0)</f>
        <v>-</v>
      </c>
      <c r="U615" s="278"/>
      <c r="V615" s="312">
        <f t="shared" si="110"/>
        <v>0</v>
      </c>
      <c r="W615" s="312">
        <f t="shared" si="111"/>
        <v>0</v>
      </c>
      <c r="X615" s="312">
        <f t="shared" si="112"/>
        <v>0</v>
      </c>
      <c r="Y615" s="278"/>
      <c r="Z615" s="312">
        <f t="shared" si="113"/>
        <v>0</v>
      </c>
      <c r="AA615" s="312">
        <f>'3. GRI Pricing'!Y606</f>
        <v>0</v>
      </c>
      <c r="AB615" s="359">
        <f t="shared" si="114"/>
        <v>0</v>
      </c>
    </row>
    <row r="616" spans="3:28" s="30" customFormat="1" ht="12" x14ac:dyDescent="0.2">
      <c r="C616" s="77">
        <f>'1. Accomodation'!N611</f>
        <v>0</v>
      </c>
      <c r="D616" s="77">
        <f>'1. Accomodation'!P611</f>
        <v>0</v>
      </c>
      <c r="E616" s="77">
        <f>'1. Accomodation'!O611</f>
        <v>0</v>
      </c>
      <c r="G616" s="341">
        <f>IFERROR(INDEX('4. Valuation'!$C$10:$I$17,MATCH($D616,'4. Valuation'!$C$10:$C$17,0),MATCH($G$25,'4. Valuation'!$C$10:$I$10,0)),0)</f>
        <v>0</v>
      </c>
      <c r="H616" s="273">
        <f>IFERROR(INDEX('4. Valuation'!$C$10:$I$17,MATCH($D616,'4. Valuation'!$C$10:$C$17,0),MATCH($H$25,'4. Valuation'!$C$10:$I$10,0)),0)</f>
        <v>0</v>
      </c>
      <c r="I616" s="359" t="str">
        <f>IFERROR(INDEX('4. Valuation'!$C$10:$I$17,MATCH($D616,'4. Valuation'!$C$10:$C$17,0),MATCH($I$25,'4. Valuation'!$C$10:$I$10,0)),0)</f>
        <v>-</v>
      </c>
      <c r="J616" s="277"/>
      <c r="K616" s="312">
        <f t="shared" si="107"/>
        <v>0</v>
      </c>
      <c r="L616" s="312">
        <f t="shared" si="108"/>
        <v>0</v>
      </c>
      <c r="M616" s="359">
        <f t="shared" si="109"/>
        <v>0</v>
      </c>
      <c r="N616" s="278"/>
      <c r="O616" s="278"/>
      <c r="P616" s="278"/>
      <c r="Q616" s="278"/>
      <c r="R616" s="312">
        <f>IFERROR(INDEX('4. Valuation'!$O$10:$X$17,MATCH($D616,'4. Valuation'!$O$10:$O$17,0),MATCH($R$25,'4. Valuation'!$O$10:$X$10,0)),0)</f>
        <v>0</v>
      </c>
      <c r="S616" s="312">
        <f>IFERROR(INDEX('4. Valuation'!$O$10:$X$17,MATCH($D616,'4. Valuation'!$O$10:$O$17,0),MATCH($S$25,'4. Valuation'!$O$10:$X$10,0)),0)</f>
        <v>0</v>
      </c>
      <c r="T616" s="312" t="str">
        <f>IFERROR(INDEX('4. Valuation'!$O$10:$X$17,MATCH($D616,'4. Valuation'!$O$10:$O$17,0),MATCH($T$25,'4. Valuation'!$O$10:$X$10,0)),0)</f>
        <v>-</v>
      </c>
      <c r="U616" s="278"/>
      <c r="V616" s="312">
        <f t="shared" si="110"/>
        <v>0</v>
      </c>
      <c r="W616" s="312">
        <f t="shared" si="111"/>
        <v>0</v>
      </c>
      <c r="X616" s="312">
        <f t="shared" si="112"/>
        <v>0</v>
      </c>
      <c r="Y616" s="278"/>
      <c r="Z616" s="312">
        <f t="shared" si="113"/>
        <v>0</v>
      </c>
      <c r="AA616" s="312">
        <f>'3. GRI Pricing'!Y607</f>
        <v>0</v>
      </c>
      <c r="AB616" s="359">
        <f t="shared" si="114"/>
        <v>0</v>
      </c>
    </row>
    <row r="617" spans="3:28" s="30" customFormat="1" ht="12" x14ac:dyDescent="0.2">
      <c r="C617" s="77">
        <f>'1. Accomodation'!N612</f>
        <v>0</v>
      </c>
      <c r="D617" s="77">
        <f>'1. Accomodation'!P612</f>
        <v>0</v>
      </c>
      <c r="E617" s="77">
        <f>'1. Accomodation'!O612</f>
        <v>0</v>
      </c>
      <c r="G617" s="341">
        <f>IFERROR(INDEX('4. Valuation'!$C$10:$I$17,MATCH($D617,'4. Valuation'!$C$10:$C$17,0),MATCH($G$25,'4. Valuation'!$C$10:$I$10,0)),0)</f>
        <v>0</v>
      </c>
      <c r="H617" s="273">
        <f>IFERROR(INDEX('4. Valuation'!$C$10:$I$17,MATCH($D617,'4. Valuation'!$C$10:$C$17,0),MATCH($H$25,'4. Valuation'!$C$10:$I$10,0)),0)</f>
        <v>0</v>
      </c>
      <c r="I617" s="359" t="str">
        <f>IFERROR(INDEX('4. Valuation'!$C$10:$I$17,MATCH($D617,'4. Valuation'!$C$10:$C$17,0),MATCH($I$25,'4. Valuation'!$C$10:$I$10,0)),0)</f>
        <v>-</v>
      </c>
      <c r="J617" s="277"/>
      <c r="K617" s="312">
        <f t="shared" si="107"/>
        <v>0</v>
      </c>
      <c r="L617" s="312">
        <f t="shared" si="108"/>
        <v>0</v>
      </c>
      <c r="M617" s="359">
        <f t="shared" si="109"/>
        <v>0</v>
      </c>
      <c r="N617" s="278"/>
      <c r="O617" s="278"/>
      <c r="P617" s="278"/>
      <c r="Q617" s="278"/>
      <c r="R617" s="312">
        <f>IFERROR(INDEX('4. Valuation'!$O$10:$X$17,MATCH($D617,'4. Valuation'!$O$10:$O$17,0),MATCH($R$25,'4. Valuation'!$O$10:$X$10,0)),0)</f>
        <v>0</v>
      </c>
      <c r="S617" s="312">
        <f>IFERROR(INDEX('4. Valuation'!$O$10:$X$17,MATCH($D617,'4. Valuation'!$O$10:$O$17,0),MATCH($S$25,'4. Valuation'!$O$10:$X$10,0)),0)</f>
        <v>0</v>
      </c>
      <c r="T617" s="312" t="str">
        <f>IFERROR(INDEX('4. Valuation'!$O$10:$X$17,MATCH($D617,'4. Valuation'!$O$10:$O$17,0),MATCH($T$25,'4. Valuation'!$O$10:$X$10,0)),0)</f>
        <v>-</v>
      </c>
      <c r="U617" s="278"/>
      <c r="V617" s="312">
        <f t="shared" si="110"/>
        <v>0</v>
      </c>
      <c r="W617" s="312">
        <f t="shared" si="111"/>
        <v>0</v>
      </c>
      <c r="X617" s="312">
        <f t="shared" si="112"/>
        <v>0</v>
      </c>
      <c r="Y617" s="278"/>
      <c r="Z617" s="312">
        <f t="shared" si="113"/>
        <v>0</v>
      </c>
      <c r="AA617" s="312">
        <f>'3. GRI Pricing'!Y608</f>
        <v>0</v>
      </c>
      <c r="AB617" s="359">
        <f t="shared" si="114"/>
        <v>0</v>
      </c>
    </row>
    <row r="618" spans="3:28" s="30" customFormat="1" ht="12" x14ac:dyDescent="0.2">
      <c r="C618" s="77">
        <f>'1. Accomodation'!N613</f>
        <v>0</v>
      </c>
      <c r="D618" s="77">
        <f>'1. Accomodation'!P613</f>
        <v>0</v>
      </c>
      <c r="E618" s="77">
        <f>'1. Accomodation'!O613</f>
        <v>0</v>
      </c>
      <c r="G618" s="341">
        <f>IFERROR(INDEX('4. Valuation'!$C$10:$I$17,MATCH($D618,'4. Valuation'!$C$10:$C$17,0),MATCH($G$25,'4. Valuation'!$C$10:$I$10,0)),0)</f>
        <v>0</v>
      </c>
      <c r="H618" s="273">
        <f>IFERROR(INDEX('4. Valuation'!$C$10:$I$17,MATCH($D618,'4. Valuation'!$C$10:$C$17,0),MATCH($H$25,'4. Valuation'!$C$10:$I$10,0)),0)</f>
        <v>0</v>
      </c>
      <c r="I618" s="359" t="str">
        <f>IFERROR(INDEX('4. Valuation'!$C$10:$I$17,MATCH($D618,'4. Valuation'!$C$10:$C$17,0),MATCH($I$25,'4. Valuation'!$C$10:$I$10,0)),0)</f>
        <v>-</v>
      </c>
      <c r="J618" s="277"/>
      <c r="K618" s="312">
        <f t="shared" si="107"/>
        <v>0</v>
      </c>
      <c r="L618" s="312">
        <f t="shared" si="108"/>
        <v>0</v>
      </c>
      <c r="M618" s="359">
        <f t="shared" si="109"/>
        <v>0</v>
      </c>
      <c r="N618" s="278"/>
      <c r="O618" s="278"/>
      <c r="P618" s="278"/>
      <c r="Q618" s="278"/>
      <c r="R618" s="312">
        <f>IFERROR(INDEX('4. Valuation'!$O$10:$X$17,MATCH($D618,'4. Valuation'!$O$10:$O$17,0),MATCH($R$25,'4. Valuation'!$O$10:$X$10,0)),0)</f>
        <v>0</v>
      </c>
      <c r="S618" s="312">
        <f>IFERROR(INDEX('4. Valuation'!$O$10:$X$17,MATCH($D618,'4. Valuation'!$O$10:$O$17,0),MATCH($S$25,'4. Valuation'!$O$10:$X$10,0)),0)</f>
        <v>0</v>
      </c>
      <c r="T618" s="312" t="str">
        <f>IFERROR(INDEX('4. Valuation'!$O$10:$X$17,MATCH($D618,'4. Valuation'!$O$10:$O$17,0),MATCH($T$25,'4. Valuation'!$O$10:$X$10,0)),0)</f>
        <v>-</v>
      </c>
      <c r="U618" s="278"/>
      <c r="V618" s="312">
        <f t="shared" si="110"/>
        <v>0</v>
      </c>
      <c r="W618" s="312">
        <f t="shared" si="111"/>
        <v>0</v>
      </c>
      <c r="X618" s="312">
        <f t="shared" si="112"/>
        <v>0</v>
      </c>
      <c r="Y618" s="278"/>
      <c r="Z618" s="312">
        <f t="shared" si="113"/>
        <v>0</v>
      </c>
      <c r="AA618" s="312">
        <f>'3. GRI Pricing'!Y609</f>
        <v>0</v>
      </c>
      <c r="AB618" s="359">
        <f t="shared" si="114"/>
        <v>0</v>
      </c>
    </row>
    <row r="619" spans="3:28" s="30" customFormat="1" ht="12" x14ac:dyDescent="0.2">
      <c r="C619" s="77">
        <f>'1. Accomodation'!N614</f>
        <v>0</v>
      </c>
      <c r="D619" s="77">
        <f>'1. Accomodation'!P614</f>
        <v>0</v>
      </c>
      <c r="E619" s="77">
        <f>'1. Accomodation'!O614</f>
        <v>0</v>
      </c>
      <c r="G619" s="341">
        <f>IFERROR(INDEX('4. Valuation'!$C$10:$I$17,MATCH($D619,'4. Valuation'!$C$10:$C$17,0),MATCH($G$25,'4. Valuation'!$C$10:$I$10,0)),0)</f>
        <v>0</v>
      </c>
      <c r="H619" s="273">
        <f>IFERROR(INDEX('4. Valuation'!$C$10:$I$17,MATCH($D619,'4. Valuation'!$C$10:$C$17,0),MATCH($H$25,'4. Valuation'!$C$10:$I$10,0)),0)</f>
        <v>0</v>
      </c>
      <c r="I619" s="359" t="str">
        <f>IFERROR(INDEX('4. Valuation'!$C$10:$I$17,MATCH($D619,'4. Valuation'!$C$10:$C$17,0),MATCH($I$25,'4. Valuation'!$C$10:$I$10,0)),0)</f>
        <v>-</v>
      </c>
      <c r="J619" s="277"/>
      <c r="K619" s="312">
        <f t="shared" si="107"/>
        <v>0</v>
      </c>
      <c r="L619" s="312">
        <f t="shared" si="108"/>
        <v>0</v>
      </c>
      <c r="M619" s="359">
        <f t="shared" si="109"/>
        <v>0</v>
      </c>
      <c r="N619" s="278"/>
      <c r="O619" s="278"/>
      <c r="P619" s="278"/>
      <c r="Q619" s="278"/>
      <c r="R619" s="312">
        <f>IFERROR(INDEX('4. Valuation'!$O$10:$X$17,MATCH($D619,'4. Valuation'!$O$10:$O$17,0),MATCH($R$25,'4. Valuation'!$O$10:$X$10,0)),0)</f>
        <v>0</v>
      </c>
      <c r="S619" s="312">
        <f>IFERROR(INDEX('4. Valuation'!$O$10:$X$17,MATCH($D619,'4. Valuation'!$O$10:$O$17,0),MATCH($S$25,'4. Valuation'!$O$10:$X$10,0)),0)</f>
        <v>0</v>
      </c>
      <c r="T619" s="312" t="str">
        <f>IFERROR(INDEX('4. Valuation'!$O$10:$X$17,MATCH($D619,'4. Valuation'!$O$10:$O$17,0),MATCH($T$25,'4. Valuation'!$O$10:$X$10,0)),0)</f>
        <v>-</v>
      </c>
      <c r="U619" s="278"/>
      <c r="V619" s="312">
        <f t="shared" si="110"/>
        <v>0</v>
      </c>
      <c r="W619" s="312">
        <f t="shared" si="111"/>
        <v>0</v>
      </c>
      <c r="X619" s="312">
        <f t="shared" si="112"/>
        <v>0</v>
      </c>
      <c r="Y619" s="278"/>
      <c r="Z619" s="312">
        <f t="shared" si="113"/>
        <v>0</v>
      </c>
      <c r="AA619" s="312">
        <f>'3. GRI Pricing'!Y610</f>
        <v>0</v>
      </c>
      <c r="AB619" s="359">
        <f t="shared" si="114"/>
        <v>0</v>
      </c>
    </row>
    <row r="620" spans="3:28" s="30" customFormat="1" ht="12" x14ac:dyDescent="0.2">
      <c r="C620" s="77">
        <f>'1. Accomodation'!N615</f>
        <v>0</v>
      </c>
      <c r="D620" s="77">
        <f>'1. Accomodation'!P615</f>
        <v>0</v>
      </c>
      <c r="E620" s="77">
        <f>'1. Accomodation'!O615</f>
        <v>0</v>
      </c>
      <c r="G620" s="341">
        <f>IFERROR(INDEX('4. Valuation'!$C$10:$I$17,MATCH($D620,'4. Valuation'!$C$10:$C$17,0),MATCH($G$25,'4. Valuation'!$C$10:$I$10,0)),0)</f>
        <v>0</v>
      </c>
      <c r="H620" s="273">
        <f>IFERROR(INDEX('4. Valuation'!$C$10:$I$17,MATCH($D620,'4. Valuation'!$C$10:$C$17,0),MATCH($H$25,'4. Valuation'!$C$10:$I$10,0)),0)</f>
        <v>0</v>
      </c>
      <c r="I620" s="359" t="str">
        <f>IFERROR(INDEX('4. Valuation'!$C$10:$I$17,MATCH($D620,'4. Valuation'!$C$10:$C$17,0),MATCH($I$25,'4. Valuation'!$C$10:$I$10,0)),0)</f>
        <v>-</v>
      </c>
      <c r="J620" s="277"/>
      <c r="K620" s="312">
        <f t="shared" si="107"/>
        <v>0</v>
      </c>
      <c r="L620" s="312">
        <f t="shared" si="108"/>
        <v>0</v>
      </c>
      <c r="M620" s="359">
        <f t="shared" si="109"/>
        <v>0</v>
      </c>
      <c r="N620" s="278"/>
      <c r="O620" s="278"/>
      <c r="P620" s="278"/>
      <c r="Q620" s="278"/>
      <c r="R620" s="312">
        <f>IFERROR(INDEX('4. Valuation'!$O$10:$X$17,MATCH($D620,'4. Valuation'!$O$10:$O$17,0),MATCH($R$25,'4. Valuation'!$O$10:$X$10,0)),0)</f>
        <v>0</v>
      </c>
      <c r="S620" s="312">
        <f>IFERROR(INDEX('4. Valuation'!$O$10:$X$17,MATCH($D620,'4. Valuation'!$O$10:$O$17,0),MATCH($S$25,'4. Valuation'!$O$10:$X$10,0)),0)</f>
        <v>0</v>
      </c>
      <c r="T620" s="312" t="str">
        <f>IFERROR(INDEX('4. Valuation'!$O$10:$X$17,MATCH($D620,'4. Valuation'!$O$10:$O$17,0),MATCH($T$25,'4. Valuation'!$O$10:$X$10,0)),0)</f>
        <v>-</v>
      </c>
      <c r="U620" s="278"/>
      <c r="V620" s="312">
        <f t="shared" si="110"/>
        <v>0</v>
      </c>
      <c r="W620" s="312">
        <f t="shared" si="111"/>
        <v>0</v>
      </c>
      <c r="X620" s="312">
        <f t="shared" si="112"/>
        <v>0</v>
      </c>
      <c r="Y620" s="278"/>
      <c r="Z620" s="312">
        <f t="shared" si="113"/>
        <v>0</v>
      </c>
      <c r="AA620" s="312">
        <f>'3. GRI Pricing'!Y611</f>
        <v>0</v>
      </c>
      <c r="AB620" s="359">
        <f t="shared" si="114"/>
        <v>0</v>
      </c>
    </row>
    <row r="621" spans="3:28" s="30" customFormat="1" ht="12" x14ac:dyDescent="0.2">
      <c r="C621" s="77">
        <f>'1. Accomodation'!N616</f>
        <v>0</v>
      </c>
      <c r="D621" s="77">
        <f>'1. Accomodation'!P616</f>
        <v>0</v>
      </c>
      <c r="E621" s="77">
        <f>'1. Accomodation'!O616</f>
        <v>0</v>
      </c>
      <c r="G621" s="341">
        <f>IFERROR(INDEX('4. Valuation'!$C$10:$I$17,MATCH($D621,'4. Valuation'!$C$10:$C$17,0),MATCH($G$25,'4. Valuation'!$C$10:$I$10,0)),0)</f>
        <v>0</v>
      </c>
      <c r="H621" s="273">
        <f>IFERROR(INDEX('4. Valuation'!$C$10:$I$17,MATCH($D621,'4. Valuation'!$C$10:$C$17,0),MATCH($H$25,'4. Valuation'!$C$10:$I$10,0)),0)</f>
        <v>0</v>
      </c>
      <c r="I621" s="359" t="str">
        <f>IFERROR(INDEX('4. Valuation'!$C$10:$I$17,MATCH($D621,'4. Valuation'!$C$10:$C$17,0),MATCH($I$25,'4. Valuation'!$C$10:$I$10,0)),0)</f>
        <v>-</v>
      </c>
      <c r="J621" s="277"/>
      <c r="K621" s="312">
        <f t="shared" si="107"/>
        <v>0</v>
      </c>
      <c r="L621" s="312">
        <f t="shared" si="108"/>
        <v>0</v>
      </c>
      <c r="M621" s="359">
        <f t="shared" si="109"/>
        <v>0</v>
      </c>
      <c r="N621" s="278"/>
      <c r="O621" s="278"/>
      <c r="P621" s="278"/>
      <c r="Q621" s="278"/>
      <c r="R621" s="312">
        <f>IFERROR(INDEX('4. Valuation'!$O$10:$X$17,MATCH($D621,'4. Valuation'!$O$10:$O$17,0),MATCH($R$25,'4. Valuation'!$O$10:$X$10,0)),0)</f>
        <v>0</v>
      </c>
      <c r="S621" s="312">
        <f>IFERROR(INDEX('4. Valuation'!$O$10:$X$17,MATCH($D621,'4. Valuation'!$O$10:$O$17,0),MATCH($S$25,'4. Valuation'!$O$10:$X$10,0)),0)</f>
        <v>0</v>
      </c>
      <c r="T621" s="312" t="str">
        <f>IFERROR(INDEX('4. Valuation'!$O$10:$X$17,MATCH($D621,'4. Valuation'!$O$10:$O$17,0),MATCH($T$25,'4. Valuation'!$O$10:$X$10,0)),0)</f>
        <v>-</v>
      </c>
      <c r="U621" s="278"/>
      <c r="V621" s="312">
        <f t="shared" si="110"/>
        <v>0</v>
      </c>
      <c r="W621" s="312">
        <f t="shared" si="111"/>
        <v>0</v>
      </c>
      <c r="X621" s="312">
        <f t="shared" si="112"/>
        <v>0</v>
      </c>
      <c r="Y621" s="278"/>
      <c r="Z621" s="312">
        <f t="shared" si="113"/>
        <v>0</v>
      </c>
      <c r="AA621" s="312">
        <f>'3. GRI Pricing'!Y612</f>
        <v>0</v>
      </c>
      <c r="AB621" s="359">
        <f t="shared" si="114"/>
        <v>0</v>
      </c>
    </row>
    <row r="622" spans="3:28" s="30" customFormat="1" ht="12" x14ac:dyDescent="0.2">
      <c r="C622" s="77">
        <f>'1. Accomodation'!N617</f>
        <v>0</v>
      </c>
      <c r="D622" s="77">
        <f>'1. Accomodation'!P617</f>
        <v>0</v>
      </c>
      <c r="E622" s="77">
        <f>'1. Accomodation'!O617</f>
        <v>0</v>
      </c>
      <c r="G622" s="341">
        <f>IFERROR(INDEX('4. Valuation'!$C$10:$I$17,MATCH($D622,'4. Valuation'!$C$10:$C$17,0),MATCH($G$25,'4. Valuation'!$C$10:$I$10,0)),0)</f>
        <v>0</v>
      </c>
      <c r="H622" s="273">
        <f>IFERROR(INDEX('4. Valuation'!$C$10:$I$17,MATCH($D622,'4. Valuation'!$C$10:$C$17,0),MATCH($H$25,'4. Valuation'!$C$10:$I$10,0)),0)</f>
        <v>0</v>
      </c>
      <c r="I622" s="359" t="str">
        <f>IFERROR(INDEX('4. Valuation'!$C$10:$I$17,MATCH($D622,'4. Valuation'!$C$10:$C$17,0),MATCH($I$25,'4. Valuation'!$C$10:$I$10,0)),0)</f>
        <v>-</v>
      </c>
      <c r="J622" s="277"/>
      <c r="K622" s="312">
        <f t="shared" si="107"/>
        <v>0</v>
      </c>
      <c r="L622" s="312">
        <f t="shared" si="108"/>
        <v>0</v>
      </c>
      <c r="M622" s="359">
        <f t="shared" si="109"/>
        <v>0</v>
      </c>
      <c r="N622" s="278"/>
      <c r="O622" s="278"/>
      <c r="P622" s="278"/>
      <c r="Q622" s="278"/>
      <c r="R622" s="312">
        <f>IFERROR(INDEX('4. Valuation'!$O$10:$X$17,MATCH($D622,'4. Valuation'!$O$10:$O$17,0),MATCH($R$25,'4. Valuation'!$O$10:$X$10,0)),0)</f>
        <v>0</v>
      </c>
      <c r="S622" s="312">
        <f>IFERROR(INDEX('4. Valuation'!$O$10:$X$17,MATCH($D622,'4. Valuation'!$O$10:$O$17,0),MATCH($S$25,'4. Valuation'!$O$10:$X$10,0)),0)</f>
        <v>0</v>
      </c>
      <c r="T622" s="312" t="str">
        <f>IFERROR(INDEX('4. Valuation'!$O$10:$X$17,MATCH($D622,'4. Valuation'!$O$10:$O$17,0),MATCH($T$25,'4. Valuation'!$O$10:$X$10,0)),0)</f>
        <v>-</v>
      </c>
      <c r="U622" s="278"/>
      <c r="V622" s="312">
        <f t="shared" si="110"/>
        <v>0</v>
      </c>
      <c r="W622" s="312">
        <f t="shared" si="111"/>
        <v>0</v>
      </c>
      <c r="X622" s="312">
        <f t="shared" si="112"/>
        <v>0</v>
      </c>
      <c r="Y622" s="278"/>
      <c r="Z622" s="312">
        <f t="shared" si="113"/>
        <v>0</v>
      </c>
      <c r="AA622" s="312">
        <f>'3. GRI Pricing'!Y613</f>
        <v>0</v>
      </c>
      <c r="AB622" s="359">
        <f t="shared" si="114"/>
        <v>0</v>
      </c>
    </row>
    <row r="623" spans="3:28" s="30" customFormat="1" ht="12" x14ac:dyDescent="0.2">
      <c r="C623" s="77">
        <f>'1. Accomodation'!N618</f>
        <v>0</v>
      </c>
      <c r="D623" s="77">
        <f>'1. Accomodation'!P618</f>
        <v>0</v>
      </c>
      <c r="E623" s="77">
        <f>'1. Accomodation'!O618</f>
        <v>0</v>
      </c>
      <c r="G623" s="341">
        <f>IFERROR(INDEX('4. Valuation'!$C$10:$I$17,MATCH($D623,'4. Valuation'!$C$10:$C$17,0),MATCH($G$25,'4. Valuation'!$C$10:$I$10,0)),0)</f>
        <v>0</v>
      </c>
      <c r="H623" s="273">
        <f>IFERROR(INDEX('4. Valuation'!$C$10:$I$17,MATCH($D623,'4. Valuation'!$C$10:$C$17,0),MATCH($H$25,'4. Valuation'!$C$10:$I$10,0)),0)</f>
        <v>0</v>
      </c>
      <c r="I623" s="359" t="str">
        <f>IFERROR(INDEX('4. Valuation'!$C$10:$I$17,MATCH($D623,'4. Valuation'!$C$10:$C$17,0),MATCH($I$25,'4. Valuation'!$C$10:$I$10,0)),0)</f>
        <v>-</v>
      </c>
      <c r="J623" s="277"/>
      <c r="K623" s="312">
        <f t="shared" si="107"/>
        <v>0</v>
      </c>
      <c r="L623" s="312">
        <f t="shared" si="108"/>
        <v>0</v>
      </c>
      <c r="M623" s="359">
        <f t="shared" si="109"/>
        <v>0</v>
      </c>
      <c r="N623" s="278"/>
      <c r="O623" s="278"/>
      <c r="P623" s="278"/>
      <c r="Q623" s="278"/>
      <c r="R623" s="312">
        <f>IFERROR(INDEX('4. Valuation'!$O$10:$X$17,MATCH($D623,'4. Valuation'!$O$10:$O$17,0),MATCH($R$25,'4. Valuation'!$O$10:$X$10,0)),0)</f>
        <v>0</v>
      </c>
      <c r="S623" s="312">
        <f>IFERROR(INDEX('4. Valuation'!$O$10:$X$17,MATCH($D623,'4. Valuation'!$O$10:$O$17,0),MATCH($S$25,'4. Valuation'!$O$10:$X$10,0)),0)</f>
        <v>0</v>
      </c>
      <c r="T623" s="312" t="str">
        <f>IFERROR(INDEX('4. Valuation'!$O$10:$X$17,MATCH($D623,'4. Valuation'!$O$10:$O$17,0),MATCH($T$25,'4. Valuation'!$O$10:$X$10,0)),0)</f>
        <v>-</v>
      </c>
      <c r="U623" s="278"/>
      <c r="V623" s="312">
        <f t="shared" si="110"/>
        <v>0</v>
      </c>
      <c r="W623" s="312">
        <f t="shared" si="111"/>
        <v>0</v>
      </c>
      <c r="X623" s="312">
        <f t="shared" si="112"/>
        <v>0</v>
      </c>
      <c r="Y623" s="278"/>
      <c r="Z623" s="312">
        <f t="shared" si="113"/>
        <v>0</v>
      </c>
      <c r="AA623" s="312">
        <f>'3. GRI Pricing'!Y614</f>
        <v>0</v>
      </c>
      <c r="AB623" s="359">
        <f t="shared" si="114"/>
        <v>0</v>
      </c>
    </row>
    <row r="624" spans="3:28" s="30" customFormat="1" ht="12" x14ac:dyDescent="0.2">
      <c r="C624" s="77">
        <f>'1. Accomodation'!N619</f>
        <v>0</v>
      </c>
      <c r="D624" s="77">
        <f>'1. Accomodation'!P619</f>
        <v>0</v>
      </c>
      <c r="E624" s="77">
        <f>'1. Accomodation'!O619</f>
        <v>0</v>
      </c>
      <c r="G624" s="341">
        <f>IFERROR(INDEX('4. Valuation'!$C$10:$I$17,MATCH($D624,'4. Valuation'!$C$10:$C$17,0),MATCH($G$25,'4. Valuation'!$C$10:$I$10,0)),0)</f>
        <v>0</v>
      </c>
      <c r="H624" s="273">
        <f>IFERROR(INDEX('4. Valuation'!$C$10:$I$17,MATCH($D624,'4. Valuation'!$C$10:$C$17,0),MATCH($H$25,'4. Valuation'!$C$10:$I$10,0)),0)</f>
        <v>0</v>
      </c>
      <c r="I624" s="359" t="str">
        <f>IFERROR(INDEX('4. Valuation'!$C$10:$I$17,MATCH($D624,'4. Valuation'!$C$10:$C$17,0),MATCH($I$25,'4. Valuation'!$C$10:$I$10,0)),0)</f>
        <v>-</v>
      </c>
      <c r="J624" s="277"/>
      <c r="K624" s="312">
        <f t="shared" si="107"/>
        <v>0</v>
      </c>
      <c r="L624" s="312">
        <f t="shared" si="108"/>
        <v>0</v>
      </c>
      <c r="M624" s="359">
        <f t="shared" si="109"/>
        <v>0</v>
      </c>
      <c r="N624" s="278"/>
      <c r="O624" s="278"/>
      <c r="P624" s="278"/>
      <c r="Q624" s="278"/>
      <c r="R624" s="312">
        <f>IFERROR(INDEX('4. Valuation'!$O$10:$X$17,MATCH($D624,'4. Valuation'!$O$10:$O$17,0),MATCH($R$25,'4. Valuation'!$O$10:$X$10,0)),0)</f>
        <v>0</v>
      </c>
      <c r="S624" s="312">
        <f>IFERROR(INDEX('4. Valuation'!$O$10:$X$17,MATCH($D624,'4. Valuation'!$O$10:$O$17,0),MATCH($S$25,'4. Valuation'!$O$10:$X$10,0)),0)</f>
        <v>0</v>
      </c>
      <c r="T624" s="312" t="str">
        <f>IFERROR(INDEX('4. Valuation'!$O$10:$X$17,MATCH($D624,'4. Valuation'!$O$10:$O$17,0),MATCH($T$25,'4. Valuation'!$O$10:$X$10,0)),0)</f>
        <v>-</v>
      </c>
      <c r="U624" s="278"/>
      <c r="V624" s="312">
        <f t="shared" si="110"/>
        <v>0</v>
      </c>
      <c r="W624" s="312">
        <f t="shared" si="111"/>
        <v>0</v>
      </c>
      <c r="X624" s="312">
        <f t="shared" si="112"/>
        <v>0</v>
      </c>
      <c r="Y624" s="278"/>
      <c r="Z624" s="312">
        <f t="shared" si="113"/>
        <v>0</v>
      </c>
      <c r="AA624" s="312">
        <f>'3. GRI Pricing'!Y615</f>
        <v>0</v>
      </c>
      <c r="AB624" s="359">
        <f t="shared" si="114"/>
        <v>0</v>
      </c>
    </row>
    <row r="625" spans="3:28" s="30" customFormat="1" ht="12" x14ac:dyDescent="0.2">
      <c r="C625" s="77">
        <f>'1. Accomodation'!N620</f>
        <v>0</v>
      </c>
      <c r="D625" s="77">
        <f>'1. Accomodation'!P620</f>
        <v>0</v>
      </c>
      <c r="E625" s="77">
        <f>'1. Accomodation'!O620</f>
        <v>0</v>
      </c>
      <c r="G625" s="341">
        <f>IFERROR(INDEX('4. Valuation'!$C$10:$I$17,MATCH($D625,'4. Valuation'!$C$10:$C$17,0),MATCH($G$25,'4. Valuation'!$C$10:$I$10,0)),0)</f>
        <v>0</v>
      </c>
      <c r="H625" s="273">
        <f>IFERROR(INDEX('4. Valuation'!$C$10:$I$17,MATCH($D625,'4. Valuation'!$C$10:$C$17,0),MATCH($H$25,'4. Valuation'!$C$10:$I$10,0)),0)</f>
        <v>0</v>
      </c>
      <c r="I625" s="359" t="str">
        <f>IFERROR(INDEX('4. Valuation'!$C$10:$I$17,MATCH($D625,'4. Valuation'!$C$10:$C$17,0),MATCH($I$25,'4. Valuation'!$C$10:$I$10,0)),0)</f>
        <v>-</v>
      </c>
      <c r="J625" s="277"/>
      <c r="K625" s="312">
        <f t="shared" si="107"/>
        <v>0</v>
      </c>
      <c r="L625" s="312">
        <f t="shared" si="108"/>
        <v>0</v>
      </c>
      <c r="M625" s="359">
        <f t="shared" si="109"/>
        <v>0</v>
      </c>
      <c r="N625" s="278"/>
      <c r="O625" s="278"/>
      <c r="P625" s="278"/>
      <c r="Q625" s="278"/>
      <c r="R625" s="312">
        <f>IFERROR(INDEX('4. Valuation'!$O$10:$X$17,MATCH($D625,'4. Valuation'!$O$10:$O$17,0),MATCH($R$25,'4. Valuation'!$O$10:$X$10,0)),0)</f>
        <v>0</v>
      </c>
      <c r="S625" s="312">
        <f>IFERROR(INDEX('4. Valuation'!$O$10:$X$17,MATCH($D625,'4. Valuation'!$O$10:$O$17,0),MATCH($S$25,'4. Valuation'!$O$10:$X$10,0)),0)</f>
        <v>0</v>
      </c>
      <c r="T625" s="312" t="str">
        <f>IFERROR(INDEX('4. Valuation'!$O$10:$X$17,MATCH($D625,'4. Valuation'!$O$10:$O$17,0),MATCH($T$25,'4. Valuation'!$O$10:$X$10,0)),0)</f>
        <v>-</v>
      </c>
      <c r="U625" s="278"/>
      <c r="V625" s="312">
        <f t="shared" si="110"/>
        <v>0</v>
      </c>
      <c r="W625" s="312">
        <f t="shared" si="111"/>
        <v>0</v>
      </c>
      <c r="X625" s="312">
        <f t="shared" si="112"/>
        <v>0</v>
      </c>
      <c r="Y625" s="278"/>
      <c r="Z625" s="312">
        <f t="shared" si="113"/>
        <v>0</v>
      </c>
      <c r="AA625" s="312">
        <f>'3. GRI Pricing'!Y616</f>
        <v>0</v>
      </c>
      <c r="AB625" s="359">
        <f t="shared" si="114"/>
        <v>0</v>
      </c>
    </row>
    <row r="626" spans="3:28" s="30" customFormat="1" ht="12" x14ac:dyDescent="0.2">
      <c r="I626" s="359"/>
      <c r="K626" s="31"/>
      <c r="L626" s="31"/>
      <c r="M626" s="359"/>
    </row>
    <row r="627" spans="3:28" s="137" customFormat="1" ht="12" x14ac:dyDescent="0.2">
      <c r="G627" s="19">
        <f>SUM(G26:G625)</f>
        <v>4155240</v>
      </c>
      <c r="H627" s="19"/>
      <c r="I627" s="359"/>
      <c r="J627" s="162"/>
      <c r="K627" s="19">
        <f>SUM(K26:K625)</f>
        <v>3787512</v>
      </c>
      <c r="L627" s="19"/>
      <c r="M627" s="359"/>
      <c r="R627" s="19">
        <f>SUM(R26:R625)</f>
        <v>0</v>
      </c>
      <c r="S627" s="19"/>
      <c r="T627" s="19"/>
      <c r="V627" s="19">
        <f>SUM(V26:V625)</f>
        <v>0</v>
      </c>
      <c r="W627" s="19"/>
      <c r="X627" s="19"/>
      <c r="Z627" s="19">
        <f>SUM(Z26:Z625)</f>
        <v>4244100</v>
      </c>
      <c r="AA627" s="15"/>
      <c r="AB627" s="19"/>
    </row>
    <row r="628" spans="3:28" s="30" customFormat="1" ht="12" x14ac:dyDescent="0.2">
      <c r="G628" s="31"/>
      <c r="H628" s="31"/>
      <c r="I628" s="359"/>
      <c r="J628" s="31"/>
      <c r="K628" s="160"/>
      <c r="L628" s="160"/>
      <c r="M628" s="359"/>
      <c r="R628" s="160"/>
      <c r="S628" s="160"/>
      <c r="T628" s="160"/>
      <c r="V628" s="160"/>
      <c r="W628" s="160"/>
    </row>
    <row r="629" spans="3:28" s="30" customFormat="1" ht="12" x14ac:dyDescent="0.2">
      <c r="G629" s="31"/>
      <c r="H629" s="31"/>
      <c r="I629" s="359"/>
      <c r="J629" s="31"/>
      <c r="K629" s="160"/>
      <c r="L629" s="160"/>
      <c r="M629" s="359"/>
      <c r="R629" s="160"/>
      <c r="S629" s="160"/>
      <c r="T629" s="160"/>
      <c r="V629" s="160"/>
      <c r="W629" s="160"/>
    </row>
    <row r="630" spans="3:28" s="30" customFormat="1" ht="12" x14ac:dyDescent="0.2">
      <c r="G630" s="31"/>
      <c r="H630" s="31"/>
      <c r="I630" s="359"/>
      <c r="J630" s="31"/>
      <c r="K630" s="160"/>
      <c r="L630" s="160"/>
      <c r="M630" s="359"/>
      <c r="R630" s="160"/>
      <c r="S630" s="160"/>
      <c r="T630" s="160"/>
      <c r="V630" s="160"/>
      <c r="W630" s="160"/>
    </row>
    <row r="631" spans="3:28" s="30" customFormat="1" ht="12" x14ac:dyDescent="0.2">
      <c r="G631" s="31"/>
      <c r="H631" s="31"/>
      <c r="I631" s="359"/>
      <c r="J631" s="31"/>
      <c r="K631" s="160"/>
      <c r="L631" s="160"/>
      <c r="M631" s="359"/>
      <c r="R631" s="160"/>
      <c r="S631" s="160"/>
      <c r="T631" s="160"/>
      <c r="V631" s="160"/>
      <c r="W631" s="160"/>
    </row>
    <row r="632" spans="3:28" s="30" customFormat="1" ht="12" x14ac:dyDescent="0.2">
      <c r="G632" s="31"/>
      <c r="H632" s="31"/>
      <c r="I632" s="359"/>
      <c r="J632" s="31"/>
      <c r="K632" s="160"/>
      <c r="L632" s="160"/>
      <c r="M632" s="359"/>
      <c r="R632" s="160"/>
      <c r="S632" s="160"/>
      <c r="T632" s="160"/>
      <c r="V632" s="160"/>
      <c r="W632" s="160"/>
    </row>
    <row r="633" spans="3:28" s="30" customFormat="1" ht="12" x14ac:dyDescent="0.2">
      <c r="G633" s="31"/>
      <c r="H633" s="31"/>
      <c r="I633" s="359"/>
      <c r="J633" s="31"/>
      <c r="K633" s="160"/>
      <c r="L633" s="160"/>
      <c r="M633" s="359"/>
      <c r="R633" s="160"/>
      <c r="S633" s="160"/>
      <c r="T633" s="160"/>
      <c r="V633" s="160"/>
      <c r="W633" s="160"/>
    </row>
    <row r="634" spans="3:28" s="30" customFormat="1" ht="12" x14ac:dyDescent="0.2">
      <c r="G634" s="31"/>
      <c r="H634" s="31"/>
      <c r="I634" s="359"/>
      <c r="J634" s="31"/>
      <c r="K634" s="160"/>
      <c r="L634" s="160"/>
      <c r="M634" s="359"/>
      <c r="N634" s="160"/>
      <c r="O634" s="160"/>
      <c r="P634" s="160"/>
      <c r="Q634" s="160"/>
      <c r="R634" s="160"/>
      <c r="S634" s="160"/>
      <c r="T634" s="160"/>
      <c r="V634" s="160"/>
      <c r="W634" s="160"/>
    </row>
    <row r="635" spans="3:28" s="30" customFormat="1" ht="12" x14ac:dyDescent="0.2">
      <c r="G635" s="31"/>
      <c r="H635" s="31"/>
      <c r="I635" s="359"/>
      <c r="J635" s="31"/>
      <c r="K635" s="160"/>
      <c r="L635" s="160"/>
      <c r="M635" s="359"/>
      <c r="N635" s="160"/>
      <c r="O635" s="160"/>
      <c r="P635" s="160"/>
      <c r="Q635" s="160"/>
      <c r="R635" s="160"/>
      <c r="S635" s="160"/>
      <c r="T635" s="160"/>
      <c r="V635" s="160"/>
      <c r="W635" s="160"/>
    </row>
    <row r="636" spans="3:28" s="30" customFormat="1" ht="12" x14ac:dyDescent="0.2">
      <c r="G636" s="31"/>
      <c r="H636" s="31"/>
      <c r="I636" s="359"/>
      <c r="J636" s="31"/>
      <c r="K636" s="160"/>
      <c r="L636" s="160"/>
      <c r="M636" s="359"/>
      <c r="N636" s="160"/>
      <c r="O636" s="160"/>
      <c r="P636" s="160"/>
      <c r="Q636" s="160"/>
      <c r="R636" s="160"/>
      <c r="S636" s="160"/>
      <c r="T636" s="160"/>
      <c r="V636" s="160"/>
      <c r="W636" s="160"/>
    </row>
    <row r="637" spans="3:28" s="30" customFormat="1" ht="12" x14ac:dyDescent="0.2">
      <c r="G637" s="31"/>
      <c r="H637" s="31"/>
      <c r="I637" s="359"/>
      <c r="J637" s="31"/>
      <c r="K637" s="160"/>
      <c r="L637" s="160"/>
      <c r="M637" s="359"/>
      <c r="N637" s="160"/>
      <c r="O637" s="160"/>
      <c r="P637" s="160"/>
      <c r="Q637" s="160"/>
      <c r="R637" s="160"/>
      <c r="S637" s="160"/>
      <c r="T637" s="160"/>
      <c r="V637" s="160"/>
      <c r="W637" s="160"/>
    </row>
    <row r="638" spans="3:28" s="30" customFormat="1" ht="12" x14ac:dyDescent="0.2">
      <c r="G638" s="31"/>
      <c r="H638" s="31"/>
      <c r="I638" s="359"/>
      <c r="J638" s="31"/>
      <c r="K638" s="160"/>
      <c r="L638" s="160"/>
      <c r="M638" s="359"/>
      <c r="N638" s="160"/>
      <c r="O638" s="160"/>
      <c r="P638" s="160"/>
      <c r="Q638" s="160"/>
      <c r="R638" s="160"/>
      <c r="S638" s="160"/>
      <c r="T638" s="160"/>
      <c r="V638" s="160"/>
      <c r="W638" s="160"/>
    </row>
    <row r="639" spans="3:28" s="30" customFormat="1" ht="12" x14ac:dyDescent="0.2">
      <c r="G639" s="31"/>
      <c r="H639" s="31"/>
      <c r="I639" s="359"/>
      <c r="J639" s="31"/>
      <c r="K639" s="160"/>
      <c r="L639" s="160"/>
      <c r="M639" s="359"/>
      <c r="N639" s="160"/>
      <c r="O639" s="160"/>
      <c r="P639" s="160"/>
      <c r="Q639" s="160"/>
      <c r="R639" s="160"/>
      <c r="S639" s="160"/>
      <c r="T639" s="160"/>
      <c r="V639" s="160"/>
      <c r="W639" s="160"/>
    </row>
    <row r="640" spans="3:28" s="30" customFormat="1" ht="12" x14ac:dyDescent="0.2">
      <c r="G640" s="31"/>
      <c r="H640" s="31"/>
      <c r="I640" s="359"/>
      <c r="J640" s="31"/>
      <c r="K640" s="160"/>
      <c r="L640" s="160"/>
      <c r="M640" s="359"/>
      <c r="N640" s="160"/>
      <c r="O640" s="160"/>
      <c r="P640" s="160"/>
      <c r="Q640" s="160"/>
      <c r="R640" s="160"/>
      <c r="S640" s="160"/>
      <c r="T640" s="160"/>
      <c r="V640" s="160"/>
      <c r="W640" s="160"/>
    </row>
    <row r="641" spans="7:23" s="30" customFormat="1" ht="12" x14ac:dyDescent="0.2">
      <c r="G641" s="31"/>
      <c r="H641" s="31"/>
      <c r="I641" s="359"/>
      <c r="J641" s="31"/>
      <c r="K641" s="160"/>
      <c r="L641" s="160"/>
      <c r="M641" s="359"/>
      <c r="N641" s="160"/>
      <c r="O641" s="160"/>
      <c r="P641" s="160"/>
      <c r="Q641" s="160"/>
      <c r="R641" s="160"/>
      <c r="S641" s="160"/>
      <c r="T641" s="160"/>
      <c r="V641" s="160"/>
      <c r="W641" s="160"/>
    </row>
    <row r="642" spans="7:23" s="30" customFormat="1" ht="12" x14ac:dyDescent="0.2">
      <c r="G642" s="31"/>
      <c r="H642" s="31"/>
      <c r="I642" s="359"/>
      <c r="J642" s="31"/>
      <c r="K642" s="160"/>
      <c r="L642" s="160"/>
      <c r="M642" s="359"/>
      <c r="N642" s="160"/>
      <c r="O642" s="160"/>
      <c r="P642" s="160"/>
      <c r="Q642" s="160"/>
      <c r="R642" s="160"/>
      <c r="S642" s="160"/>
      <c r="T642" s="160"/>
      <c r="V642" s="160"/>
      <c r="W642" s="160"/>
    </row>
    <row r="643" spans="7:23" s="30" customFormat="1" ht="12" x14ac:dyDescent="0.2">
      <c r="G643" s="31"/>
      <c r="H643" s="31"/>
      <c r="I643" s="359"/>
      <c r="J643" s="31"/>
      <c r="K643" s="160"/>
      <c r="L643" s="160"/>
      <c r="M643" s="359"/>
      <c r="N643" s="160"/>
      <c r="O643" s="160"/>
      <c r="P643" s="160"/>
      <c r="Q643" s="160"/>
      <c r="R643" s="160"/>
      <c r="S643" s="160"/>
      <c r="T643" s="160"/>
      <c r="V643" s="160"/>
      <c r="W643" s="160"/>
    </row>
    <row r="644" spans="7:23" s="30" customFormat="1" ht="12" x14ac:dyDescent="0.2">
      <c r="G644" s="31"/>
      <c r="H644" s="31"/>
      <c r="I644" s="359"/>
      <c r="J644" s="31"/>
      <c r="K644" s="160"/>
      <c r="L644" s="160"/>
      <c r="M644" s="359"/>
      <c r="N644" s="160"/>
      <c r="O644" s="160"/>
      <c r="P644" s="160"/>
      <c r="Q644" s="160"/>
      <c r="R644" s="160"/>
      <c r="S644" s="160"/>
      <c r="T644" s="160"/>
      <c r="V644" s="160"/>
      <c r="W644" s="160"/>
    </row>
    <row r="645" spans="7:23" s="30" customFormat="1" ht="12" x14ac:dyDescent="0.2">
      <c r="G645" s="31"/>
      <c r="H645" s="31"/>
      <c r="I645" s="359"/>
      <c r="J645" s="31"/>
      <c r="K645" s="160"/>
      <c r="L645" s="160"/>
      <c r="M645" s="359"/>
      <c r="N645" s="160"/>
      <c r="O645" s="160"/>
      <c r="P645" s="160"/>
      <c r="Q645" s="160"/>
      <c r="R645" s="160"/>
      <c r="S645" s="160"/>
      <c r="T645" s="160"/>
      <c r="V645" s="160"/>
      <c r="W645" s="160"/>
    </row>
    <row r="646" spans="7:23" s="30" customFormat="1" ht="12" x14ac:dyDescent="0.2">
      <c r="G646" s="31"/>
      <c r="H646" s="31"/>
      <c r="I646" s="359"/>
      <c r="J646" s="31"/>
      <c r="K646" s="160"/>
      <c r="L646" s="160"/>
      <c r="M646" s="359"/>
      <c r="N646" s="160"/>
      <c r="O646" s="160"/>
      <c r="P646" s="160"/>
      <c r="Q646" s="160"/>
      <c r="R646" s="160"/>
      <c r="S646" s="160"/>
      <c r="T646" s="160"/>
      <c r="V646" s="160"/>
      <c r="W646" s="160"/>
    </row>
    <row r="647" spans="7:23" s="30" customFormat="1" ht="12" x14ac:dyDescent="0.2">
      <c r="G647" s="31"/>
      <c r="H647" s="31"/>
      <c r="I647" s="359"/>
      <c r="J647" s="31"/>
      <c r="K647" s="160"/>
      <c r="L647" s="160"/>
      <c r="M647" s="359"/>
      <c r="N647" s="160"/>
      <c r="O647" s="160"/>
      <c r="P647" s="160"/>
      <c r="Q647" s="160"/>
      <c r="R647" s="160"/>
      <c r="S647" s="160"/>
      <c r="T647" s="160"/>
      <c r="V647" s="160"/>
      <c r="W647" s="160"/>
    </row>
    <row r="648" spans="7:23" s="30" customFormat="1" ht="12" x14ac:dyDescent="0.2">
      <c r="G648" s="31"/>
      <c r="H648" s="31"/>
      <c r="I648" s="359"/>
      <c r="J648" s="31"/>
      <c r="K648" s="160"/>
      <c r="L648" s="160"/>
      <c r="M648" s="359"/>
      <c r="N648" s="160"/>
      <c r="O648" s="160"/>
      <c r="P648" s="160"/>
      <c r="Q648" s="160"/>
      <c r="R648" s="160"/>
      <c r="S648" s="160"/>
      <c r="T648" s="160"/>
      <c r="V648" s="160"/>
      <c r="W648" s="160"/>
    </row>
    <row r="649" spans="7:23" s="30" customFormat="1" ht="12" x14ac:dyDescent="0.2">
      <c r="G649" s="31"/>
      <c r="H649" s="31"/>
      <c r="I649" s="359"/>
      <c r="J649" s="31"/>
      <c r="K649" s="160"/>
      <c r="L649" s="160"/>
      <c r="M649" s="359"/>
      <c r="N649" s="160"/>
      <c r="O649" s="160"/>
      <c r="P649" s="160"/>
      <c r="Q649" s="160"/>
      <c r="R649" s="160"/>
      <c r="S649" s="160"/>
      <c r="T649" s="160"/>
      <c r="V649" s="160"/>
      <c r="W649" s="160"/>
    </row>
    <row r="650" spans="7:23" s="30" customFormat="1" ht="12" x14ac:dyDescent="0.2">
      <c r="G650" s="31"/>
      <c r="H650" s="31"/>
      <c r="I650" s="359"/>
      <c r="J650" s="31"/>
      <c r="K650" s="160"/>
      <c r="L650" s="160"/>
      <c r="M650" s="359"/>
      <c r="N650" s="160"/>
      <c r="O650" s="160"/>
      <c r="P650" s="160"/>
      <c r="Q650" s="160"/>
      <c r="R650" s="160"/>
      <c r="S650" s="160"/>
      <c r="T650" s="160"/>
      <c r="V650" s="160"/>
      <c r="W650" s="160"/>
    </row>
    <row r="651" spans="7:23" s="30" customFormat="1" ht="12" x14ac:dyDescent="0.2">
      <c r="G651" s="31"/>
      <c r="H651" s="31"/>
      <c r="I651" s="359"/>
      <c r="J651" s="31"/>
      <c r="K651" s="160"/>
      <c r="L651" s="160"/>
      <c r="M651" s="359"/>
      <c r="N651" s="160"/>
      <c r="O651" s="160"/>
      <c r="P651" s="160"/>
      <c r="Q651" s="160"/>
      <c r="R651" s="160"/>
      <c r="S651" s="160"/>
      <c r="T651" s="160"/>
      <c r="V651" s="160"/>
      <c r="W651" s="160"/>
    </row>
    <row r="652" spans="7:23" s="30" customFormat="1" ht="12" x14ac:dyDescent="0.2">
      <c r="G652" s="31"/>
      <c r="H652" s="31"/>
      <c r="I652" s="359"/>
      <c r="J652" s="31"/>
      <c r="K652" s="160"/>
      <c r="L652" s="160"/>
      <c r="M652" s="359"/>
      <c r="N652" s="160"/>
      <c r="O652" s="160"/>
      <c r="P652" s="160"/>
      <c r="Q652" s="160"/>
      <c r="R652" s="160"/>
      <c r="S652" s="160"/>
      <c r="T652" s="160"/>
      <c r="V652" s="160"/>
      <c r="W652" s="160"/>
    </row>
    <row r="653" spans="7:23" s="30" customFormat="1" ht="12" x14ac:dyDescent="0.2">
      <c r="G653" s="31"/>
      <c r="H653" s="31"/>
      <c r="I653" s="359"/>
      <c r="J653" s="31"/>
      <c r="K653" s="160"/>
      <c r="L653" s="160"/>
      <c r="M653" s="359"/>
      <c r="N653" s="160"/>
      <c r="O653" s="160"/>
      <c r="P653" s="160"/>
      <c r="Q653" s="160"/>
      <c r="R653" s="160"/>
      <c r="S653" s="160"/>
      <c r="T653" s="160"/>
      <c r="V653" s="160"/>
      <c r="W653" s="160"/>
    </row>
    <row r="654" spans="7:23" s="30" customFormat="1" ht="12" x14ac:dyDescent="0.2">
      <c r="G654" s="31"/>
      <c r="H654" s="31"/>
      <c r="I654" s="359"/>
      <c r="J654" s="31"/>
      <c r="K654" s="160"/>
      <c r="L654" s="160"/>
      <c r="M654" s="359"/>
      <c r="N654" s="160"/>
      <c r="O654" s="160"/>
      <c r="P654" s="160"/>
      <c r="Q654" s="160"/>
      <c r="R654" s="160"/>
      <c r="S654" s="160"/>
      <c r="T654" s="160"/>
      <c r="V654" s="160"/>
      <c r="W654" s="160"/>
    </row>
    <row r="655" spans="7:23" s="30" customFormat="1" ht="12" x14ac:dyDescent="0.2">
      <c r="G655" s="31"/>
      <c r="H655" s="31"/>
      <c r="I655" s="359"/>
      <c r="J655" s="31"/>
      <c r="K655" s="160"/>
      <c r="L655" s="160"/>
      <c r="M655" s="359"/>
      <c r="N655" s="160"/>
      <c r="O655" s="160"/>
      <c r="P655" s="160"/>
      <c r="Q655" s="160"/>
      <c r="R655" s="160"/>
      <c r="S655" s="160"/>
      <c r="T655" s="160"/>
      <c r="V655" s="160"/>
      <c r="W655" s="160"/>
    </row>
    <row r="656" spans="7:23" s="30" customFormat="1" ht="12" x14ac:dyDescent="0.2">
      <c r="G656" s="31"/>
      <c r="H656" s="31"/>
      <c r="I656" s="359"/>
      <c r="J656" s="31"/>
      <c r="K656" s="160"/>
      <c r="L656" s="160"/>
      <c r="M656" s="359"/>
      <c r="N656" s="160"/>
      <c r="O656" s="160"/>
      <c r="P656" s="160"/>
      <c r="Q656" s="160"/>
      <c r="R656" s="160"/>
      <c r="S656" s="160"/>
      <c r="T656" s="160"/>
      <c r="V656" s="160"/>
      <c r="W656" s="160"/>
    </row>
    <row r="657" spans="7:23" s="30" customFormat="1" ht="12" x14ac:dyDescent="0.2">
      <c r="G657" s="31"/>
      <c r="H657" s="31"/>
      <c r="I657" s="359"/>
      <c r="J657" s="31"/>
      <c r="K657" s="160"/>
      <c r="L657" s="160"/>
      <c r="M657" s="359"/>
      <c r="N657" s="160"/>
      <c r="O657" s="160"/>
      <c r="P657" s="160"/>
      <c r="Q657" s="160"/>
      <c r="R657" s="160"/>
      <c r="S657" s="160"/>
      <c r="T657" s="160"/>
      <c r="V657" s="160"/>
      <c r="W657" s="160"/>
    </row>
    <row r="658" spans="7:23" s="30" customFormat="1" ht="12" x14ac:dyDescent="0.2">
      <c r="G658" s="31"/>
      <c r="H658" s="31"/>
      <c r="I658" s="359"/>
      <c r="J658" s="31"/>
      <c r="K658" s="160"/>
      <c r="L658" s="160"/>
      <c r="M658" s="359"/>
      <c r="N658" s="160"/>
      <c r="O658" s="160"/>
      <c r="P658" s="160"/>
      <c r="Q658" s="160"/>
      <c r="R658" s="160"/>
      <c r="S658" s="160"/>
      <c r="T658" s="160"/>
      <c r="V658" s="160"/>
      <c r="W658" s="160"/>
    </row>
    <row r="659" spans="7:23" s="30" customFormat="1" ht="12" x14ac:dyDescent="0.2">
      <c r="G659" s="31"/>
      <c r="H659" s="31"/>
      <c r="I659" s="359"/>
      <c r="J659" s="31"/>
      <c r="K659" s="160"/>
      <c r="L659" s="160"/>
      <c r="M659" s="359"/>
      <c r="N659" s="160"/>
      <c r="O659" s="160"/>
      <c r="P659" s="160"/>
      <c r="Q659" s="160"/>
      <c r="R659" s="160"/>
      <c r="S659" s="160"/>
      <c r="T659" s="160"/>
      <c r="V659" s="160"/>
      <c r="W659" s="160"/>
    </row>
    <row r="660" spans="7:23" s="30" customFormat="1" ht="12" x14ac:dyDescent="0.2">
      <c r="G660" s="31"/>
      <c r="H660" s="31"/>
      <c r="I660" s="359"/>
      <c r="J660" s="31"/>
      <c r="K660" s="160"/>
      <c r="L660" s="160"/>
      <c r="M660" s="359"/>
      <c r="N660" s="160"/>
      <c r="O660" s="160"/>
      <c r="P660" s="160"/>
      <c r="Q660" s="160"/>
      <c r="R660" s="160"/>
      <c r="S660" s="160"/>
      <c r="T660" s="160"/>
      <c r="V660" s="160"/>
      <c r="W660" s="160"/>
    </row>
    <row r="661" spans="7:23" s="30" customFormat="1" ht="12" x14ac:dyDescent="0.2">
      <c r="G661" s="31"/>
      <c r="H661" s="31"/>
      <c r="I661" s="359"/>
      <c r="J661" s="31"/>
      <c r="K661" s="160"/>
      <c r="L661" s="160"/>
      <c r="M661" s="359"/>
      <c r="N661" s="160"/>
      <c r="O661" s="160"/>
      <c r="P661" s="160"/>
      <c r="Q661" s="160"/>
      <c r="R661" s="160"/>
      <c r="S661" s="160"/>
      <c r="T661" s="160"/>
      <c r="V661" s="160"/>
      <c r="W661" s="160"/>
    </row>
    <row r="662" spans="7:23" s="30" customFormat="1" ht="12" x14ac:dyDescent="0.2">
      <c r="G662" s="31"/>
      <c r="H662" s="31"/>
      <c r="I662" s="359"/>
      <c r="J662" s="31"/>
      <c r="K662" s="160"/>
      <c r="L662" s="160"/>
      <c r="M662" s="359"/>
      <c r="N662" s="160"/>
      <c r="O662" s="160"/>
      <c r="P662" s="160"/>
      <c r="Q662" s="160"/>
      <c r="R662" s="160"/>
      <c r="S662" s="160"/>
      <c r="T662" s="160"/>
      <c r="V662" s="160"/>
      <c r="W662" s="160"/>
    </row>
    <row r="663" spans="7:23" s="30" customFormat="1" ht="12" x14ac:dyDescent="0.2">
      <c r="G663" s="31"/>
      <c r="H663" s="31"/>
      <c r="I663" s="359"/>
      <c r="J663" s="31"/>
      <c r="K663" s="160"/>
      <c r="L663" s="160"/>
      <c r="M663" s="359"/>
      <c r="N663" s="160"/>
      <c r="O663" s="160"/>
      <c r="P663" s="160"/>
      <c r="Q663" s="160"/>
      <c r="R663" s="160"/>
      <c r="S663" s="160"/>
      <c r="T663" s="160"/>
      <c r="V663" s="160"/>
      <c r="W663" s="160"/>
    </row>
    <row r="664" spans="7:23" s="30" customFormat="1" ht="12" x14ac:dyDescent="0.2">
      <c r="G664" s="31"/>
      <c r="H664" s="31"/>
      <c r="I664" s="359"/>
      <c r="J664" s="31"/>
      <c r="K664" s="160"/>
      <c r="L664" s="160"/>
      <c r="M664" s="359"/>
      <c r="N664" s="160"/>
      <c r="O664" s="160"/>
      <c r="P664" s="160"/>
      <c r="Q664" s="160"/>
      <c r="R664" s="160"/>
      <c r="S664" s="160"/>
      <c r="T664" s="160"/>
      <c r="V664" s="160"/>
      <c r="W664" s="160"/>
    </row>
    <row r="665" spans="7:23" s="30" customFormat="1" ht="12" x14ac:dyDescent="0.2">
      <c r="G665" s="31"/>
      <c r="H665" s="31"/>
      <c r="I665" s="359"/>
      <c r="J665" s="31"/>
      <c r="K665" s="160"/>
      <c r="L665" s="160"/>
      <c r="M665" s="359"/>
      <c r="N665" s="160"/>
      <c r="O665" s="160"/>
      <c r="P665" s="160"/>
      <c r="Q665" s="160"/>
      <c r="R665" s="160"/>
      <c r="S665" s="160"/>
      <c r="T665" s="160"/>
      <c r="V665" s="160"/>
      <c r="W665" s="160"/>
    </row>
    <row r="666" spans="7:23" s="30" customFormat="1" ht="12" x14ac:dyDescent="0.2">
      <c r="G666" s="31"/>
      <c r="H666" s="31"/>
      <c r="I666" s="359"/>
      <c r="J666" s="31"/>
      <c r="K666" s="160"/>
      <c r="L666" s="160"/>
      <c r="M666" s="359"/>
      <c r="N666" s="160"/>
      <c r="O666" s="160"/>
      <c r="P666" s="160"/>
      <c r="Q666" s="160"/>
      <c r="R666" s="160"/>
      <c r="S666" s="160"/>
      <c r="T666" s="160"/>
      <c r="V666" s="160"/>
      <c r="W666" s="160"/>
    </row>
    <row r="667" spans="7:23" s="30" customFormat="1" ht="12" x14ac:dyDescent="0.2">
      <c r="G667" s="31"/>
      <c r="H667" s="31"/>
      <c r="I667" s="359"/>
      <c r="J667" s="31"/>
      <c r="K667" s="160"/>
      <c r="L667" s="160"/>
      <c r="M667" s="359"/>
      <c r="N667" s="160"/>
      <c r="O667" s="160"/>
      <c r="P667" s="160"/>
      <c r="Q667" s="160"/>
      <c r="R667" s="160"/>
      <c r="S667" s="160"/>
      <c r="T667" s="160"/>
      <c r="V667" s="160"/>
      <c r="W667" s="160"/>
    </row>
    <row r="668" spans="7:23" s="30" customFormat="1" ht="12" x14ac:dyDescent="0.2">
      <c r="G668" s="31"/>
      <c r="H668" s="31"/>
      <c r="I668" s="359"/>
      <c r="J668" s="31"/>
      <c r="K668" s="160"/>
      <c r="L668" s="160"/>
      <c r="M668" s="359"/>
      <c r="N668" s="160"/>
      <c r="O668" s="160"/>
      <c r="P668" s="160"/>
      <c r="Q668" s="160"/>
      <c r="R668" s="160"/>
      <c r="S668" s="160"/>
      <c r="T668" s="160"/>
      <c r="V668" s="160"/>
      <c r="W668" s="160"/>
    </row>
    <row r="669" spans="7:23" s="30" customFormat="1" ht="12" x14ac:dyDescent="0.2">
      <c r="G669" s="31"/>
      <c r="H669" s="31"/>
      <c r="I669" s="359"/>
      <c r="J669" s="31"/>
      <c r="K669" s="160"/>
      <c r="L669" s="160"/>
      <c r="M669" s="359"/>
      <c r="N669" s="160"/>
      <c r="O669" s="160"/>
      <c r="P669" s="160"/>
      <c r="Q669" s="160"/>
      <c r="R669" s="160"/>
      <c r="S669" s="160"/>
      <c r="T669" s="160"/>
      <c r="V669" s="160"/>
      <c r="W669" s="160"/>
    </row>
    <row r="670" spans="7:23" s="30" customFormat="1" ht="12" x14ac:dyDescent="0.2">
      <c r="G670" s="31"/>
      <c r="H670" s="31"/>
      <c r="I670" s="359"/>
      <c r="J670" s="31"/>
      <c r="K670" s="160"/>
      <c r="L670" s="160"/>
      <c r="M670" s="359"/>
      <c r="N670" s="160"/>
      <c r="O670" s="160"/>
      <c r="P670" s="160"/>
      <c r="Q670" s="160"/>
      <c r="R670" s="160"/>
      <c r="S670" s="160"/>
      <c r="T670" s="160"/>
      <c r="V670" s="160"/>
      <c r="W670" s="160"/>
    </row>
    <row r="671" spans="7:23" s="30" customFormat="1" ht="12" x14ac:dyDescent="0.2">
      <c r="G671" s="31"/>
      <c r="H671" s="31"/>
      <c r="I671" s="359"/>
      <c r="J671" s="31"/>
      <c r="K671" s="160"/>
      <c r="L671" s="160"/>
      <c r="M671" s="359"/>
      <c r="N671" s="160"/>
      <c r="O671" s="160"/>
      <c r="P671" s="160"/>
      <c r="Q671" s="160"/>
      <c r="R671" s="160"/>
      <c r="S671" s="160"/>
      <c r="T671" s="160"/>
      <c r="V671" s="160"/>
      <c r="W671" s="160"/>
    </row>
    <row r="672" spans="7:23" s="30" customFormat="1" ht="12" x14ac:dyDescent="0.2">
      <c r="G672" s="31"/>
      <c r="H672" s="31"/>
      <c r="I672" s="359"/>
      <c r="J672" s="31"/>
      <c r="K672" s="160"/>
      <c r="L672" s="160"/>
      <c r="M672" s="359"/>
      <c r="N672" s="160"/>
      <c r="O672" s="160"/>
      <c r="P672" s="160"/>
      <c r="Q672" s="160"/>
      <c r="R672" s="160"/>
      <c r="S672" s="160"/>
      <c r="T672" s="160"/>
      <c r="V672" s="160"/>
      <c r="W672" s="160"/>
    </row>
    <row r="673" spans="7:23" s="30" customFormat="1" ht="12" x14ac:dyDescent="0.2">
      <c r="G673" s="31"/>
      <c r="H673" s="31"/>
      <c r="I673" s="359"/>
      <c r="J673" s="31"/>
      <c r="K673" s="160"/>
      <c r="L673" s="160"/>
      <c r="M673" s="359"/>
      <c r="N673" s="160"/>
      <c r="O673" s="160"/>
      <c r="P673" s="160"/>
      <c r="Q673" s="160"/>
      <c r="R673" s="160"/>
      <c r="S673" s="160"/>
      <c r="T673" s="160"/>
      <c r="V673" s="160"/>
      <c r="W673" s="160"/>
    </row>
    <row r="674" spans="7:23" s="30" customFormat="1" ht="12" x14ac:dyDescent="0.2">
      <c r="G674" s="31"/>
      <c r="H674" s="31"/>
      <c r="I674" s="359"/>
      <c r="J674" s="31"/>
      <c r="K674" s="160"/>
      <c r="L674" s="160"/>
      <c r="M674" s="359"/>
      <c r="N674" s="160"/>
      <c r="O674" s="160"/>
      <c r="P674" s="160"/>
      <c r="Q674" s="160"/>
      <c r="R674" s="160"/>
      <c r="S674" s="160"/>
      <c r="T674" s="160"/>
      <c r="V674" s="160"/>
      <c r="W674" s="160"/>
    </row>
    <row r="675" spans="7:23" s="30" customFormat="1" ht="12" x14ac:dyDescent="0.2">
      <c r="G675" s="31"/>
      <c r="H675" s="31"/>
      <c r="I675" s="359"/>
      <c r="J675" s="31"/>
      <c r="K675" s="160"/>
      <c r="L675" s="160"/>
      <c r="M675" s="359"/>
      <c r="N675" s="160"/>
      <c r="O675" s="160"/>
      <c r="P675" s="160"/>
      <c r="Q675" s="160"/>
      <c r="R675" s="160"/>
      <c r="S675" s="160"/>
      <c r="T675" s="160"/>
      <c r="V675" s="160"/>
      <c r="W675" s="160"/>
    </row>
    <row r="676" spans="7:23" s="30" customFormat="1" ht="12" x14ac:dyDescent="0.2">
      <c r="G676" s="31"/>
      <c r="H676" s="31"/>
      <c r="I676" s="359"/>
      <c r="J676" s="31"/>
      <c r="K676" s="160"/>
      <c r="L676" s="160"/>
      <c r="M676" s="359"/>
      <c r="N676" s="160"/>
      <c r="O676" s="160"/>
      <c r="P676" s="160"/>
      <c r="Q676" s="160"/>
      <c r="R676" s="160"/>
      <c r="S676" s="160"/>
      <c r="T676" s="160"/>
      <c r="V676" s="160"/>
      <c r="W676" s="160"/>
    </row>
    <row r="677" spans="7:23" s="30" customFormat="1" ht="12" x14ac:dyDescent="0.2">
      <c r="G677" s="31"/>
      <c r="H677" s="31"/>
      <c r="I677" s="359"/>
      <c r="J677" s="31"/>
      <c r="K677" s="160"/>
      <c r="L677" s="160"/>
      <c r="M677" s="359"/>
      <c r="N677" s="160"/>
      <c r="O677" s="160"/>
      <c r="P677" s="160"/>
      <c r="Q677" s="160"/>
      <c r="R677" s="160"/>
      <c r="S677" s="160"/>
      <c r="T677" s="160"/>
      <c r="V677" s="160"/>
      <c r="W677" s="160"/>
    </row>
    <row r="678" spans="7:23" s="30" customFormat="1" ht="12" x14ac:dyDescent="0.2">
      <c r="G678" s="31"/>
      <c r="H678" s="31"/>
      <c r="I678" s="359"/>
      <c r="J678" s="31"/>
      <c r="K678" s="160"/>
      <c r="L678" s="160"/>
      <c r="M678" s="359"/>
      <c r="N678" s="160"/>
      <c r="O678" s="160"/>
      <c r="P678" s="160"/>
      <c r="Q678" s="160"/>
      <c r="R678" s="160"/>
      <c r="S678" s="160"/>
      <c r="T678" s="160"/>
      <c r="V678" s="160"/>
      <c r="W678" s="160"/>
    </row>
    <row r="679" spans="7:23" s="30" customFormat="1" ht="12" x14ac:dyDescent="0.2">
      <c r="G679" s="31"/>
      <c r="H679" s="31"/>
      <c r="I679" s="359"/>
      <c r="J679" s="31"/>
      <c r="K679" s="160"/>
      <c r="L679" s="160"/>
      <c r="M679" s="359"/>
      <c r="N679" s="160"/>
      <c r="O679" s="160"/>
      <c r="P679" s="160"/>
      <c r="Q679" s="160"/>
      <c r="R679" s="160"/>
      <c r="S679" s="160"/>
      <c r="T679" s="160"/>
      <c r="V679" s="160"/>
      <c r="W679" s="160"/>
    </row>
    <row r="680" spans="7:23" s="30" customFormat="1" ht="12" x14ac:dyDescent="0.2">
      <c r="G680" s="31"/>
      <c r="H680" s="31"/>
      <c r="I680" s="359"/>
      <c r="J680" s="31"/>
      <c r="K680" s="160"/>
      <c r="L680" s="160"/>
      <c r="M680" s="359"/>
      <c r="N680" s="160"/>
      <c r="O680" s="160"/>
      <c r="P680" s="160"/>
      <c r="Q680" s="160"/>
      <c r="R680" s="160"/>
      <c r="S680" s="160"/>
      <c r="T680" s="160"/>
      <c r="V680" s="160"/>
      <c r="W680" s="160"/>
    </row>
    <row r="681" spans="7:23" s="30" customFormat="1" ht="12" x14ac:dyDescent="0.2">
      <c r="G681" s="31"/>
      <c r="H681" s="31"/>
      <c r="I681" s="359"/>
      <c r="J681" s="31"/>
      <c r="K681" s="160"/>
      <c r="L681" s="160"/>
      <c r="M681" s="359"/>
      <c r="N681" s="160"/>
      <c r="O681" s="160"/>
      <c r="P681" s="160"/>
      <c r="Q681" s="160"/>
      <c r="R681" s="160"/>
      <c r="S681" s="160"/>
      <c r="T681" s="160"/>
      <c r="V681" s="160"/>
      <c r="W681" s="160"/>
    </row>
    <row r="682" spans="7:23" s="30" customFormat="1" ht="12" x14ac:dyDescent="0.2">
      <c r="G682" s="31"/>
      <c r="H682" s="31"/>
      <c r="I682" s="359"/>
      <c r="J682" s="31"/>
      <c r="K682" s="160"/>
      <c r="L682" s="160"/>
      <c r="M682" s="359"/>
      <c r="N682" s="160"/>
      <c r="O682" s="160"/>
      <c r="P682" s="160"/>
      <c r="Q682" s="160"/>
      <c r="R682" s="160"/>
      <c r="S682" s="160"/>
      <c r="T682" s="160"/>
      <c r="V682" s="160"/>
      <c r="W682" s="160"/>
    </row>
    <row r="683" spans="7:23" s="30" customFormat="1" ht="12" x14ac:dyDescent="0.2">
      <c r="G683" s="31"/>
      <c r="H683" s="31"/>
      <c r="I683" s="359"/>
      <c r="J683" s="31"/>
      <c r="K683" s="160"/>
      <c r="L683" s="160"/>
      <c r="M683" s="359"/>
      <c r="N683" s="160"/>
      <c r="O683" s="160"/>
      <c r="P683" s="160"/>
      <c r="Q683" s="160"/>
      <c r="R683" s="160"/>
      <c r="S683" s="160"/>
      <c r="T683" s="160"/>
      <c r="V683" s="160"/>
      <c r="W683" s="160"/>
    </row>
    <row r="684" spans="7:23" s="30" customFormat="1" ht="12" x14ac:dyDescent="0.2">
      <c r="G684" s="31"/>
      <c r="H684" s="31"/>
      <c r="I684" s="359"/>
      <c r="J684" s="31"/>
      <c r="K684" s="160"/>
      <c r="L684" s="160"/>
      <c r="M684" s="359"/>
      <c r="N684" s="160"/>
      <c r="O684" s="160"/>
      <c r="P684" s="160"/>
      <c r="Q684" s="160"/>
      <c r="R684" s="160"/>
      <c r="S684" s="160"/>
      <c r="T684" s="160"/>
      <c r="V684" s="160"/>
      <c r="W684" s="160"/>
    </row>
    <row r="685" spans="7:23" s="30" customFormat="1" ht="12" x14ac:dyDescent="0.2">
      <c r="G685" s="31"/>
      <c r="H685" s="31"/>
      <c r="I685" s="359"/>
      <c r="J685" s="31"/>
      <c r="K685" s="160"/>
      <c r="L685" s="160"/>
      <c r="M685" s="359"/>
      <c r="N685" s="160"/>
      <c r="O685" s="160"/>
      <c r="P685" s="160"/>
      <c r="Q685" s="160"/>
      <c r="R685" s="160"/>
      <c r="S685" s="160"/>
      <c r="T685" s="160"/>
      <c r="V685" s="160"/>
      <c r="W685" s="160"/>
    </row>
    <row r="686" spans="7:23" s="30" customFormat="1" ht="12" x14ac:dyDescent="0.2">
      <c r="G686" s="31"/>
      <c r="H686" s="31"/>
      <c r="I686" s="359"/>
      <c r="J686" s="31"/>
      <c r="K686" s="160"/>
      <c r="L686" s="160"/>
      <c r="M686" s="359"/>
      <c r="N686" s="160"/>
      <c r="O686" s="160"/>
      <c r="P686" s="160"/>
      <c r="Q686" s="160"/>
      <c r="R686" s="160"/>
      <c r="S686" s="160"/>
      <c r="T686" s="160"/>
      <c r="V686" s="160"/>
      <c r="W686" s="160"/>
    </row>
    <row r="687" spans="7:23" s="30" customFormat="1" ht="12" x14ac:dyDescent="0.2">
      <c r="G687" s="31"/>
      <c r="H687" s="31"/>
      <c r="I687" s="359"/>
      <c r="J687" s="31"/>
      <c r="K687" s="160"/>
      <c r="L687" s="160"/>
      <c r="M687" s="359"/>
      <c r="N687" s="160"/>
      <c r="O687" s="160"/>
      <c r="P687" s="160"/>
      <c r="Q687" s="160"/>
      <c r="R687" s="160"/>
      <c r="S687" s="160"/>
      <c r="T687" s="160"/>
      <c r="V687" s="160"/>
      <c r="W687" s="160"/>
    </row>
    <row r="688" spans="7:23" s="30" customFormat="1" ht="12" x14ac:dyDescent="0.2">
      <c r="G688" s="31"/>
      <c r="H688" s="31"/>
      <c r="I688" s="359"/>
      <c r="J688" s="31"/>
      <c r="K688" s="160"/>
      <c r="L688" s="160"/>
      <c r="M688" s="359"/>
      <c r="N688" s="160"/>
      <c r="O688" s="160"/>
      <c r="P688" s="160"/>
      <c r="Q688" s="160"/>
      <c r="R688" s="160"/>
      <c r="S688" s="160"/>
      <c r="T688" s="160"/>
      <c r="V688" s="160"/>
      <c r="W688" s="160"/>
    </row>
    <row r="689" spans="7:24" s="30" customFormat="1" ht="12" x14ac:dyDescent="0.2">
      <c r="G689" s="31"/>
      <c r="H689" s="31"/>
      <c r="I689" s="359"/>
      <c r="J689" s="31"/>
      <c r="K689" s="160"/>
      <c r="L689" s="160"/>
      <c r="M689" s="359"/>
      <c r="N689" s="160"/>
      <c r="O689" s="160"/>
      <c r="P689" s="160"/>
      <c r="Q689" s="160"/>
      <c r="R689" s="160"/>
      <c r="S689" s="160"/>
      <c r="T689" s="160"/>
      <c r="V689" s="160"/>
      <c r="W689" s="160"/>
    </row>
    <row r="690" spans="7:24" s="30" customFormat="1" ht="12" x14ac:dyDescent="0.2">
      <c r="G690" s="31"/>
      <c r="H690" s="31"/>
      <c r="I690" s="359"/>
      <c r="J690" s="31"/>
      <c r="K690" s="160"/>
      <c r="L690" s="160"/>
      <c r="M690" s="359"/>
      <c r="N690" s="160"/>
      <c r="O690" s="160"/>
      <c r="P690" s="160"/>
      <c r="Q690" s="160"/>
      <c r="R690" s="160"/>
      <c r="S690" s="160"/>
      <c r="T690" s="160"/>
      <c r="V690" s="160"/>
      <c r="W690" s="160"/>
    </row>
    <row r="691" spans="7:24" s="30" customFormat="1" ht="12" x14ac:dyDescent="0.2">
      <c r="G691" s="31"/>
      <c r="H691" s="31"/>
      <c r="I691" s="359"/>
      <c r="J691" s="31"/>
      <c r="K691" s="160"/>
      <c r="L691" s="160"/>
      <c r="M691" s="359"/>
      <c r="N691" s="160"/>
      <c r="O691" s="160"/>
      <c r="P691" s="160"/>
      <c r="Q691" s="160"/>
      <c r="R691" s="160"/>
      <c r="S691" s="160"/>
      <c r="T691" s="160"/>
      <c r="V691" s="160"/>
      <c r="W691" s="160"/>
      <c r="X691" s="160"/>
    </row>
    <row r="692" spans="7:24" s="30" customFormat="1" ht="12" x14ac:dyDescent="0.2">
      <c r="G692" s="31"/>
      <c r="H692" s="31"/>
      <c r="I692" s="359"/>
      <c r="J692" s="31"/>
      <c r="K692" s="160"/>
      <c r="L692" s="160"/>
      <c r="M692" s="359"/>
      <c r="N692" s="160"/>
      <c r="O692" s="160"/>
      <c r="P692" s="160"/>
      <c r="Q692" s="160"/>
      <c r="R692" s="160"/>
      <c r="S692" s="160"/>
      <c r="T692" s="160"/>
      <c r="V692" s="160"/>
      <c r="W692" s="160"/>
      <c r="X692" s="160"/>
    </row>
    <row r="693" spans="7:24" s="30" customFormat="1" ht="12" x14ac:dyDescent="0.2">
      <c r="G693" s="31"/>
      <c r="H693" s="31"/>
      <c r="I693" s="359"/>
      <c r="J693" s="31"/>
      <c r="K693" s="160"/>
      <c r="L693" s="160"/>
      <c r="M693" s="359"/>
      <c r="N693" s="160"/>
      <c r="O693" s="160"/>
      <c r="P693" s="160"/>
      <c r="Q693" s="160"/>
      <c r="R693" s="160"/>
      <c r="S693" s="160"/>
      <c r="T693" s="160"/>
      <c r="V693" s="160"/>
      <c r="W693" s="160"/>
      <c r="X693" s="160"/>
    </row>
    <row r="694" spans="7:24" s="30" customFormat="1" ht="12" x14ac:dyDescent="0.2">
      <c r="G694" s="31"/>
      <c r="H694" s="31"/>
      <c r="I694" s="359"/>
      <c r="J694" s="31"/>
      <c r="K694" s="160"/>
      <c r="L694" s="160"/>
      <c r="M694" s="359"/>
      <c r="N694" s="160"/>
      <c r="O694" s="160"/>
      <c r="P694" s="160"/>
      <c r="Q694" s="160"/>
      <c r="R694" s="160"/>
      <c r="S694" s="160"/>
      <c r="T694" s="160"/>
      <c r="V694" s="160"/>
      <c r="W694" s="160"/>
      <c r="X694" s="160"/>
    </row>
    <row r="695" spans="7:24" s="30" customFormat="1" ht="12" x14ac:dyDescent="0.2">
      <c r="G695" s="31"/>
      <c r="H695" s="31"/>
      <c r="I695" s="359"/>
      <c r="J695" s="31"/>
      <c r="K695" s="160"/>
      <c r="L695" s="160"/>
      <c r="M695" s="359"/>
      <c r="N695" s="160"/>
      <c r="O695" s="160"/>
      <c r="P695" s="160"/>
      <c r="Q695" s="160"/>
      <c r="R695" s="160"/>
      <c r="S695" s="160"/>
      <c r="T695" s="160"/>
      <c r="V695" s="160"/>
      <c r="W695" s="160"/>
      <c r="X695" s="160"/>
    </row>
    <row r="696" spans="7:24" s="30" customFormat="1" ht="12" x14ac:dyDescent="0.2">
      <c r="G696" s="31"/>
      <c r="H696" s="31"/>
      <c r="I696" s="359"/>
      <c r="J696" s="31"/>
      <c r="K696" s="160"/>
      <c r="L696" s="160"/>
      <c r="M696" s="359"/>
      <c r="N696" s="160"/>
      <c r="O696" s="160"/>
      <c r="P696" s="160"/>
      <c r="Q696" s="160"/>
      <c r="R696" s="160"/>
      <c r="S696" s="160"/>
      <c r="T696" s="160"/>
      <c r="V696" s="160"/>
      <c r="W696" s="160"/>
      <c r="X696" s="160"/>
    </row>
    <row r="697" spans="7:24" s="30" customFormat="1" ht="12" x14ac:dyDescent="0.2">
      <c r="G697" s="31"/>
      <c r="H697" s="31"/>
      <c r="I697" s="359"/>
      <c r="J697" s="31"/>
      <c r="K697" s="160"/>
      <c r="L697" s="160"/>
      <c r="M697" s="359"/>
      <c r="N697" s="160"/>
      <c r="O697" s="160"/>
      <c r="P697" s="160"/>
      <c r="Q697" s="160"/>
      <c r="R697" s="160"/>
      <c r="S697" s="160"/>
      <c r="T697" s="160"/>
      <c r="V697" s="160"/>
      <c r="W697" s="160"/>
      <c r="X697" s="160"/>
    </row>
    <row r="698" spans="7:24" s="30" customFormat="1" ht="12" x14ac:dyDescent="0.2">
      <c r="G698" s="31"/>
      <c r="H698" s="31"/>
      <c r="I698" s="359"/>
      <c r="J698" s="31"/>
      <c r="K698" s="160"/>
      <c r="L698" s="160"/>
      <c r="M698" s="359"/>
      <c r="N698" s="160"/>
      <c r="O698" s="160"/>
      <c r="P698" s="160"/>
      <c r="Q698" s="160"/>
      <c r="R698" s="160"/>
      <c r="S698" s="160"/>
      <c r="T698" s="160"/>
      <c r="V698" s="160"/>
      <c r="W698" s="160"/>
      <c r="X698" s="160"/>
    </row>
    <row r="699" spans="7:24" s="30" customFormat="1" ht="12" x14ac:dyDescent="0.2">
      <c r="G699" s="31"/>
      <c r="H699" s="31"/>
      <c r="I699" s="359"/>
      <c r="J699" s="31"/>
      <c r="K699" s="160"/>
      <c r="L699" s="160"/>
      <c r="M699" s="359"/>
      <c r="N699" s="160"/>
      <c r="O699" s="160"/>
      <c r="P699" s="160"/>
      <c r="Q699" s="160"/>
      <c r="R699" s="160"/>
      <c r="S699" s="160"/>
      <c r="T699" s="160"/>
      <c r="V699" s="160"/>
      <c r="W699" s="160"/>
      <c r="X699" s="160"/>
    </row>
    <row r="700" spans="7:24" s="30" customFormat="1" ht="12" x14ac:dyDescent="0.2">
      <c r="G700" s="31"/>
      <c r="H700" s="31"/>
      <c r="I700" s="359"/>
      <c r="J700" s="31"/>
      <c r="K700" s="160"/>
      <c r="L700" s="160"/>
      <c r="M700" s="359"/>
      <c r="N700" s="160"/>
      <c r="O700" s="160"/>
      <c r="P700" s="160"/>
      <c r="Q700" s="160"/>
      <c r="R700" s="160"/>
      <c r="S700" s="160"/>
      <c r="T700" s="160"/>
      <c r="V700" s="160"/>
      <c r="W700" s="160"/>
      <c r="X700" s="160"/>
    </row>
    <row r="701" spans="7:24" s="30" customFormat="1" ht="12" x14ac:dyDescent="0.2">
      <c r="G701" s="31"/>
      <c r="H701" s="31"/>
      <c r="I701" s="359"/>
      <c r="J701" s="31"/>
      <c r="K701" s="160"/>
      <c r="L701" s="160"/>
      <c r="M701" s="359"/>
      <c r="N701" s="160"/>
      <c r="O701" s="160"/>
      <c r="P701" s="160"/>
      <c r="Q701" s="160"/>
      <c r="R701" s="160"/>
      <c r="S701" s="160"/>
      <c r="T701" s="160"/>
      <c r="V701" s="160"/>
      <c r="W701" s="160"/>
      <c r="X701" s="160"/>
    </row>
    <row r="702" spans="7:24" s="30" customFormat="1" ht="12" x14ac:dyDescent="0.2">
      <c r="G702" s="31"/>
      <c r="H702" s="31"/>
      <c r="I702" s="359"/>
      <c r="J702" s="31"/>
      <c r="K702" s="160"/>
      <c r="L702" s="160"/>
      <c r="M702" s="359"/>
      <c r="N702" s="160"/>
      <c r="O702" s="160"/>
      <c r="P702" s="160"/>
      <c r="Q702" s="160"/>
      <c r="R702" s="160"/>
      <c r="S702" s="160"/>
      <c r="T702" s="160"/>
      <c r="V702" s="160"/>
      <c r="W702" s="160"/>
      <c r="X702" s="160"/>
    </row>
    <row r="703" spans="7:24" s="30" customFormat="1" ht="12" x14ac:dyDescent="0.2">
      <c r="G703" s="31"/>
      <c r="H703" s="31"/>
      <c r="I703" s="359"/>
      <c r="J703" s="31"/>
      <c r="K703" s="160"/>
      <c r="L703" s="160"/>
      <c r="M703" s="359"/>
      <c r="N703" s="160"/>
      <c r="O703" s="160"/>
      <c r="P703" s="160"/>
      <c r="Q703" s="160"/>
      <c r="R703" s="160"/>
      <c r="S703" s="160"/>
      <c r="T703" s="160"/>
      <c r="V703" s="160"/>
      <c r="W703" s="160"/>
      <c r="X703" s="160"/>
    </row>
    <row r="704" spans="7:24" s="30" customFormat="1" ht="12" x14ac:dyDescent="0.2">
      <c r="G704" s="31"/>
      <c r="H704" s="31"/>
      <c r="I704" s="359"/>
      <c r="J704" s="31"/>
      <c r="K704" s="160"/>
      <c r="L704" s="160"/>
      <c r="M704" s="359"/>
      <c r="N704" s="160"/>
      <c r="O704" s="160"/>
      <c r="P704" s="160"/>
      <c r="Q704" s="160"/>
      <c r="R704" s="160"/>
      <c r="S704" s="160"/>
      <c r="T704" s="160"/>
      <c r="V704" s="160"/>
      <c r="W704" s="160"/>
      <c r="X704" s="160"/>
    </row>
    <row r="705" spans="7:24" s="30" customFormat="1" ht="12" x14ac:dyDescent="0.2">
      <c r="G705" s="31"/>
      <c r="H705" s="31"/>
      <c r="I705" s="359"/>
      <c r="J705" s="31"/>
      <c r="K705" s="160"/>
      <c r="L705" s="160"/>
      <c r="M705" s="359"/>
      <c r="N705" s="160"/>
      <c r="O705" s="160"/>
      <c r="P705" s="160"/>
      <c r="Q705" s="160"/>
      <c r="R705" s="160"/>
      <c r="S705" s="160"/>
      <c r="T705" s="160"/>
      <c r="V705" s="160"/>
      <c r="W705" s="160"/>
      <c r="X705" s="160"/>
    </row>
    <row r="706" spans="7:24" s="30" customFormat="1" ht="12" x14ac:dyDescent="0.2">
      <c r="G706" s="31"/>
      <c r="H706" s="31"/>
      <c r="I706" s="359"/>
      <c r="J706" s="31"/>
      <c r="K706" s="160"/>
      <c r="L706" s="160"/>
      <c r="M706" s="359"/>
      <c r="N706" s="160"/>
      <c r="O706" s="160"/>
      <c r="P706" s="160"/>
      <c r="Q706" s="160"/>
      <c r="R706" s="160"/>
      <c r="S706" s="160"/>
      <c r="T706" s="160"/>
      <c r="V706" s="160"/>
      <c r="W706" s="160"/>
      <c r="X706" s="160"/>
    </row>
    <row r="707" spans="7:24" s="30" customFormat="1" ht="12" x14ac:dyDescent="0.2">
      <c r="G707" s="31"/>
      <c r="H707" s="31"/>
      <c r="I707" s="359"/>
      <c r="J707" s="31"/>
      <c r="K707" s="160"/>
      <c r="L707" s="160"/>
      <c r="M707" s="359"/>
      <c r="N707" s="160"/>
      <c r="O707" s="160"/>
      <c r="P707" s="160"/>
      <c r="Q707" s="160"/>
      <c r="R707" s="160"/>
      <c r="S707" s="160"/>
      <c r="T707" s="160"/>
      <c r="V707" s="160"/>
      <c r="W707" s="160"/>
      <c r="X707" s="160"/>
    </row>
    <row r="708" spans="7:24" s="30" customFormat="1" ht="12" x14ac:dyDescent="0.2">
      <c r="G708" s="31"/>
      <c r="H708" s="31"/>
      <c r="I708" s="359"/>
      <c r="J708" s="31"/>
      <c r="K708" s="160"/>
      <c r="L708" s="160"/>
      <c r="M708" s="359"/>
      <c r="N708" s="160"/>
      <c r="O708" s="160"/>
      <c r="P708" s="160"/>
      <c r="Q708" s="160"/>
      <c r="R708" s="160"/>
      <c r="S708" s="160"/>
      <c r="T708" s="160"/>
      <c r="V708" s="160"/>
      <c r="W708" s="160"/>
      <c r="X708" s="160"/>
    </row>
    <row r="709" spans="7:24" s="30" customFormat="1" ht="12" x14ac:dyDescent="0.2">
      <c r="G709" s="31"/>
      <c r="H709" s="31"/>
      <c r="I709" s="359"/>
      <c r="J709" s="31"/>
      <c r="K709" s="160"/>
      <c r="L709" s="160"/>
      <c r="M709" s="359"/>
      <c r="N709" s="160"/>
      <c r="O709" s="160"/>
      <c r="P709" s="160"/>
      <c r="Q709" s="160"/>
      <c r="R709" s="160"/>
      <c r="S709" s="160"/>
      <c r="T709" s="160"/>
      <c r="V709" s="160"/>
      <c r="W709" s="160"/>
      <c r="X709" s="160"/>
    </row>
    <row r="710" spans="7:24" s="30" customFormat="1" ht="12" x14ac:dyDescent="0.2">
      <c r="G710" s="31"/>
      <c r="H710" s="31"/>
      <c r="I710" s="359"/>
      <c r="J710" s="31"/>
      <c r="K710" s="160"/>
      <c r="L710" s="160"/>
      <c r="M710" s="359"/>
      <c r="N710" s="160"/>
      <c r="O710" s="160"/>
      <c r="P710" s="160"/>
      <c r="Q710" s="160"/>
      <c r="R710" s="160"/>
      <c r="S710" s="160"/>
      <c r="T710" s="160"/>
      <c r="V710" s="160"/>
      <c r="W710" s="160"/>
      <c r="X710" s="160"/>
    </row>
    <row r="711" spans="7:24" s="30" customFormat="1" ht="12" x14ac:dyDescent="0.2">
      <c r="G711" s="31"/>
      <c r="H711" s="31"/>
      <c r="I711" s="359"/>
      <c r="J711" s="31"/>
      <c r="K711" s="160"/>
      <c r="L711" s="160"/>
      <c r="M711" s="359"/>
      <c r="N711" s="160"/>
      <c r="O711" s="160"/>
      <c r="P711" s="160"/>
      <c r="Q711" s="160"/>
      <c r="R711" s="160"/>
      <c r="S711" s="160"/>
      <c r="T711" s="160"/>
      <c r="V711" s="160"/>
      <c r="W711" s="160"/>
      <c r="X711" s="160"/>
    </row>
    <row r="712" spans="7:24" s="30" customFormat="1" ht="12" x14ac:dyDescent="0.2">
      <c r="G712" s="31"/>
      <c r="H712" s="31"/>
      <c r="I712" s="359"/>
      <c r="J712" s="31"/>
      <c r="K712" s="160"/>
      <c r="L712" s="160"/>
      <c r="M712" s="359"/>
      <c r="N712" s="160"/>
      <c r="O712" s="160"/>
      <c r="P712" s="160"/>
      <c r="Q712" s="160"/>
      <c r="R712" s="160"/>
      <c r="S712" s="160"/>
      <c r="T712" s="160"/>
      <c r="V712" s="160"/>
      <c r="W712" s="160"/>
      <c r="X712" s="160"/>
    </row>
    <row r="713" spans="7:24" s="30" customFormat="1" ht="12" x14ac:dyDescent="0.2">
      <c r="G713" s="31"/>
      <c r="H713" s="31"/>
      <c r="I713" s="359"/>
      <c r="J713" s="31"/>
      <c r="K713" s="160"/>
      <c r="L713" s="160"/>
      <c r="M713" s="359"/>
      <c r="N713" s="160"/>
      <c r="O713" s="160"/>
      <c r="P713" s="160"/>
      <c r="Q713" s="160"/>
      <c r="R713" s="160"/>
      <c r="S713" s="160"/>
      <c r="T713" s="160"/>
      <c r="V713" s="160"/>
      <c r="W713" s="160"/>
      <c r="X713" s="160"/>
    </row>
    <row r="714" spans="7:24" s="30" customFormat="1" ht="12" x14ac:dyDescent="0.2">
      <c r="G714" s="31"/>
      <c r="H714" s="31"/>
      <c r="I714" s="359"/>
      <c r="J714" s="31"/>
      <c r="K714" s="160"/>
      <c r="L714" s="160"/>
      <c r="M714" s="359"/>
      <c r="N714" s="160"/>
      <c r="O714" s="160"/>
      <c r="P714" s="160"/>
      <c r="Q714" s="160"/>
      <c r="R714" s="160"/>
      <c r="S714" s="160"/>
      <c r="T714" s="160"/>
      <c r="V714" s="160"/>
      <c r="W714" s="160"/>
      <c r="X714" s="160"/>
    </row>
    <row r="715" spans="7:24" s="30" customFormat="1" ht="12" x14ac:dyDescent="0.2">
      <c r="G715" s="31"/>
      <c r="H715" s="31"/>
      <c r="I715" s="359"/>
      <c r="J715" s="31"/>
      <c r="K715" s="160"/>
      <c r="L715" s="160"/>
      <c r="M715" s="359"/>
      <c r="N715" s="160"/>
      <c r="O715" s="160"/>
      <c r="P715" s="160"/>
      <c r="Q715" s="160"/>
      <c r="R715" s="160"/>
      <c r="S715" s="160"/>
      <c r="T715" s="160"/>
      <c r="V715" s="160"/>
      <c r="W715" s="160"/>
      <c r="X715" s="160"/>
    </row>
    <row r="716" spans="7:24" s="30" customFormat="1" ht="12" x14ac:dyDescent="0.2">
      <c r="G716" s="31"/>
      <c r="H716" s="31"/>
      <c r="I716" s="359"/>
      <c r="J716" s="31"/>
      <c r="K716" s="160"/>
      <c r="L716" s="160"/>
      <c r="M716" s="359"/>
      <c r="N716" s="160"/>
      <c r="O716" s="160"/>
      <c r="P716" s="160"/>
      <c r="Q716" s="160"/>
      <c r="R716" s="160"/>
      <c r="S716" s="160"/>
      <c r="T716" s="160"/>
      <c r="V716" s="160"/>
      <c r="W716" s="160"/>
      <c r="X716" s="160"/>
    </row>
    <row r="717" spans="7:24" s="30" customFormat="1" ht="12" x14ac:dyDescent="0.2">
      <c r="G717" s="31"/>
      <c r="H717" s="31"/>
      <c r="I717" s="359"/>
      <c r="J717" s="31"/>
      <c r="K717" s="160"/>
      <c r="L717" s="160"/>
      <c r="M717" s="359"/>
      <c r="N717" s="160"/>
      <c r="O717" s="160"/>
      <c r="P717" s="160"/>
      <c r="Q717" s="160"/>
      <c r="R717" s="160"/>
      <c r="S717" s="160"/>
      <c r="T717" s="160"/>
      <c r="V717" s="160"/>
      <c r="W717" s="160"/>
      <c r="X717" s="160"/>
    </row>
    <row r="718" spans="7:24" s="30" customFormat="1" ht="12" x14ac:dyDescent="0.2">
      <c r="G718" s="31"/>
      <c r="H718" s="31"/>
      <c r="I718" s="359"/>
      <c r="J718" s="31"/>
      <c r="K718" s="160"/>
      <c r="L718" s="160"/>
      <c r="M718" s="359"/>
      <c r="N718" s="160"/>
      <c r="O718" s="160"/>
      <c r="P718" s="160"/>
      <c r="Q718" s="160"/>
      <c r="R718" s="160"/>
      <c r="S718" s="160"/>
      <c r="T718" s="160"/>
      <c r="V718" s="160"/>
      <c r="W718" s="160"/>
      <c r="X718" s="160"/>
    </row>
    <row r="719" spans="7:24" s="30" customFormat="1" ht="12" x14ac:dyDescent="0.2">
      <c r="G719" s="31"/>
      <c r="H719" s="31"/>
      <c r="I719" s="359"/>
      <c r="J719" s="31"/>
      <c r="K719" s="160"/>
      <c r="L719" s="160"/>
      <c r="M719" s="359"/>
      <c r="N719" s="160"/>
      <c r="O719" s="160"/>
      <c r="P719" s="160"/>
      <c r="Q719" s="160"/>
      <c r="R719" s="160"/>
      <c r="S719" s="160"/>
      <c r="T719" s="160"/>
      <c r="V719" s="160"/>
      <c r="W719" s="160"/>
      <c r="X719" s="160"/>
    </row>
    <row r="720" spans="7:24" s="30" customFormat="1" ht="12" x14ac:dyDescent="0.2">
      <c r="G720" s="31"/>
      <c r="H720" s="31"/>
      <c r="I720" s="359"/>
      <c r="J720" s="31"/>
      <c r="K720" s="160"/>
      <c r="L720" s="160"/>
      <c r="M720" s="359"/>
      <c r="N720" s="160"/>
      <c r="O720" s="160"/>
      <c r="P720" s="160"/>
      <c r="Q720" s="160"/>
      <c r="R720" s="160"/>
      <c r="S720" s="160"/>
      <c r="T720" s="160"/>
      <c r="V720" s="160"/>
      <c r="W720" s="160"/>
      <c r="X720" s="160"/>
    </row>
    <row r="721" spans="7:24" s="30" customFormat="1" ht="12" x14ac:dyDescent="0.2">
      <c r="G721" s="31"/>
      <c r="H721" s="31"/>
      <c r="I721" s="359"/>
      <c r="J721" s="31"/>
      <c r="K721" s="160"/>
      <c r="L721" s="160"/>
      <c r="M721" s="359"/>
      <c r="N721" s="160"/>
      <c r="O721" s="160"/>
      <c r="P721" s="160"/>
      <c r="Q721" s="160"/>
      <c r="R721" s="160"/>
      <c r="S721" s="160"/>
      <c r="T721" s="160"/>
      <c r="V721" s="160"/>
      <c r="W721" s="160"/>
      <c r="X721" s="160"/>
    </row>
    <row r="722" spans="7:24" s="30" customFormat="1" ht="12" x14ac:dyDescent="0.2">
      <c r="G722" s="31"/>
      <c r="H722" s="31"/>
      <c r="I722" s="359"/>
      <c r="J722" s="31"/>
      <c r="K722" s="160"/>
      <c r="L722" s="160"/>
      <c r="M722" s="359"/>
      <c r="N722" s="160"/>
      <c r="O722" s="160"/>
      <c r="P722" s="160"/>
      <c r="Q722" s="160"/>
      <c r="R722" s="160"/>
      <c r="S722" s="160"/>
      <c r="T722" s="160"/>
      <c r="V722" s="160"/>
      <c r="W722" s="160"/>
      <c r="X722" s="160"/>
    </row>
    <row r="723" spans="7:24" s="30" customFormat="1" ht="12" x14ac:dyDescent="0.2">
      <c r="G723" s="31"/>
      <c r="H723" s="31"/>
      <c r="I723" s="359"/>
      <c r="J723" s="31"/>
      <c r="K723" s="160"/>
      <c r="L723" s="160"/>
      <c r="M723" s="359"/>
      <c r="N723" s="160"/>
      <c r="O723" s="160"/>
      <c r="P723" s="160"/>
      <c r="Q723" s="160"/>
      <c r="R723" s="160"/>
      <c r="S723" s="160"/>
      <c r="T723" s="160"/>
      <c r="V723" s="160"/>
      <c r="W723" s="160"/>
      <c r="X723" s="160"/>
    </row>
    <row r="724" spans="7:24" s="30" customFormat="1" ht="12" x14ac:dyDescent="0.2">
      <c r="G724" s="31"/>
      <c r="H724" s="31"/>
      <c r="I724" s="359"/>
      <c r="J724" s="31"/>
      <c r="K724" s="160"/>
      <c r="L724" s="160"/>
      <c r="M724" s="359"/>
      <c r="N724" s="160"/>
      <c r="O724" s="160"/>
      <c r="P724" s="160"/>
      <c r="Q724" s="160"/>
      <c r="R724" s="160"/>
      <c r="S724" s="160"/>
      <c r="T724" s="160"/>
      <c r="V724" s="160"/>
      <c r="W724" s="160"/>
      <c r="X724" s="160"/>
    </row>
    <row r="725" spans="7:24" s="30" customFormat="1" ht="12" x14ac:dyDescent="0.2">
      <c r="G725" s="31"/>
      <c r="H725" s="31"/>
      <c r="I725" s="359"/>
      <c r="J725" s="31"/>
      <c r="K725" s="160"/>
      <c r="L725" s="160"/>
      <c r="M725" s="359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</row>
    <row r="726" spans="7:24" s="30" customFormat="1" ht="12" x14ac:dyDescent="0.2">
      <c r="G726" s="31"/>
      <c r="H726" s="31"/>
      <c r="I726" s="359"/>
      <c r="J726" s="31"/>
      <c r="K726" s="160"/>
      <c r="L726" s="160"/>
      <c r="M726" s="359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</row>
    <row r="727" spans="7:24" s="30" customFormat="1" ht="12" x14ac:dyDescent="0.2">
      <c r="G727" s="31"/>
      <c r="H727" s="31"/>
      <c r="I727" s="359"/>
      <c r="J727" s="31"/>
      <c r="K727" s="160"/>
      <c r="L727" s="160"/>
      <c r="M727" s="359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</row>
    <row r="728" spans="7:24" s="30" customFormat="1" ht="12" x14ac:dyDescent="0.2">
      <c r="G728" s="31"/>
      <c r="H728" s="31"/>
      <c r="I728" s="359"/>
      <c r="J728" s="31"/>
      <c r="K728" s="160"/>
      <c r="L728" s="160"/>
      <c r="M728" s="359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</row>
    <row r="729" spans="7:24" s="30" customFormat="1" ht="12" x14ac:dyDescent="0.2">
      <c r="G729" s="31"/>
      <c r="H729" s="31"/>
      <c r="I729" s="359"/>
      <c r="J729" s="31"/>
      <c r="K729" s="160"/>
      <c r="L729" s="160"/>
      <c r="M729" s="359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</row>
    <row r="730" spans="7:24" s="30" customFormat="1" ht="12" x14ac:dyDescent="0.2">
      <c r="G730" s="31"/>
      <c r="H730" s="31"/>
      <c r="I730" s="359"/>
      <c r="J730" s="31"/>
      <c r="K730" s="160"/>
      <c r="L730" s="160"/>
      <c r="M730" s="359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</row>
    <row r="731" spans="7:24" s="30" customFormat="1" ht="12" x14ac:dyDescent="0.2">
      <c r="G731" s="31"/>
      <c r="H731" s="31"/>
      <c r="I731" s="359"/>
      <c r="J731" s="31"/>
      <c r="K731" s="160"/>
      <c r="L731" s="160"/>
      <c r="M731" s="359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</row>
    <row r="732" spans="7:24" s="30" customFormat="1" ht="12" x14ac:dyDescent="0.2">
      <c r="G732" s="31"/>
      <c r="H732" s="31"/>
      <c r="I732" s="359"/>
      <c r="J732" s="31"/>
      <c r="K732" s="160"/>
      <c r="L732" s="160"/>
      <c r="M732" s="359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</row>
    <row r="733" spans="7:24" s="30" customFormat="1" ht="12" x14ac:dyDescent="0.2">
      <c r="G733" s="31"/>
      <c r="H733" s="31"/>
      <c r="I733" s="359"/>
      <c r="J733" s="31"/>
      <c r="K733" s="160"/>
      <c r="L733" s="160"/>
      <c r="M733" s="359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</row>
    <row r="734" spans="7:24" s="30" customFormat="1" ht="12" x14ac:dyDescent="0.2">
      <c r="G734" s="31"/>
      <c r="H734" s="31"/>
      <c r="I734" s="359"/>
      <c r="J734" s="31"/>
      <c r="K734" s="160"/>
      <c r="L734" s="160"/>
      <c r="M734" s="359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</row>
    <row r="735" spans="7:24" s="30" customFormat="1" ht="12" x14ac:dyDescent="0.2">
      <c r="G735" s="31"/>
      <c r="H735" s="31"/>
      <c r="I735" s="359"/>
      <c r="J735" s="31"/>
      <c r="K735" s="160"/>
      <c r="L735" s="160"/>
      <c r="M735" s="359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</row>
    <row r="736" spans="7:24" s="30" customFormat="1" ht="12" x14ac:dyDescent="0.2">
      <c r="G736" s="31"/>
      <c r="H736" s="31"/>
      <c r="I736" s="359"/>
      <c r="J736" s="31"/>
      <c r="K736" s="160"/>
      <c r="L736" s="160"/>
      <c r="M736" s="359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</row>
    <row r="737" spans="7:24" s="30" customFormat="1" ht="12" x14ac:dyDescent="0.2">
      <c r="G737" s="31"/>
      <c r="H737" s="31"/>
      <c r="I737" s="359"/>
      <c r="J737" s="31"/>
      <c r="K737" s="160"/>
      <c r="L737" s="160"/>
      <c r="M737" s="359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</row>
    <row r="738" spans="7:24" s="30" customFormat="1" ht="12" x14ac:dyDescent="0.2">
      <c r="G738" s="31"/>
      <c r="H738" s="31"/>
      <c r="I738" s="359"/>
      <c r="J738" s="31"/>
      <c r="K738" s="160"/>
      <c r="L738" s="160"/>
      <c r="M738" s="359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</row>
    <row r="739" spans="7:24" s="30" customFormat="1" ht="12" x14ac:dyDescent="0.2">
      <c r="G739" s="31"/>
      <c r="H739" s="31"/>
      <c r="I739" s="359"/>
      <c r="J739" s="31"/>
      <c r="K739" s="160"/>
      <c r="L739" s="160"/>
      <c r="M739" s="359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</row>
    <row r="740" spans="7:24" s="30" customFormat="1" ht="12" x14ac:dyDescent="0.2">
      <c r="G740" s="31"/>
      <c r="H740" s="31"/>
      <c r="I740" s="359"/>
      <c r="J740" s="31"/>
      <c r="K740" s="160"/>
      <c r="L740" s="160"/>
      <c r="M740" s="359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</row>
    <row r="741" spans="7:24" s="30" customFormat="1" ht="12" x14ac:dyDescent="0.2">
      <c r="G741" s="31"/>
      <c r="H741" s="31"/>
      <c r="I741" s="359"/>
      <c r="J741" s="31"/>
      <c r="K741" s="160"/>
      <c r="L741" s="160"/>
      <c r="M741" s="359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</row>
    <row r="742" spans="7:24" s="30" customFormat="1" ht="12" x14ac:dyDescent="0.2">
      <c r="G742" s="31"/>
      <c r="H742" s="31"/>
      <c r="I742" s="359"/>
      <c r="J742" s="31"/>
      <c r="K742" s="160"/>
      <c r="L742" s="160"/>
      <c r="M742" s="359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</row>
    <row r="743" spans="7:24" s="30" customFormat="1" ht="12" x14ac:dyDescent="0.2">
      <c r="G743" s="31"/>
      <c r="H743" s="31"/>
      <c r="I743" s="359"/>
      <c r="J743" s="31"/>
      <c r="K743" s="160"/>
      <c r="L743" s="160"/>
      <c r="M743" s="359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</row>
    <row r="744" spans="7:24" s="30" customFormat="1" ht="12" x14ac:dyDescent="0.2">
      <c r="G744" s="31"/>
      <c r="H744" s="31"/>
      <c r="I744" s="359"/>
      <c r="J744" s="31"/>
      <c r="K744" s="160"/>
      <c r="L744" s="160"/>
      <c r="M744" s="359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</row>
    <row r="745" spans="7:24" s="30" customFormat="1" ht="12" x14ac:dyDescent="0.2">
      <c r="G745" s="31"/>
      <c r="H745" s="31"/>
      <c r="I745" s="359"/>
      <c r="J745" s="31"/>
      <c r="K745" s="160"/>
      <c r="L745" s="160"/>
      <c r="M745" s="359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</row>
    <row r="746" spans="7:24" s="30" customFormat="1" ht="12" x14ac:dyDescent="0.2">
      <c r="G746" s="31"/>
      <c r="H746" s="31"/>
      <c r="I746" s="359"/>
      <c r="J746" s="31"/>
      <c r="K746" s="160"/>
      <c r="L746" s="160"/>
      <c r="M746" s="359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</row>
    <row r="747" spans="7:24" s="30" customFormat="1" ht="12" x14ac:dyDescent="0.2">
      <c r="G747" s="31"/>
      <c r="H747" s="31"/>
      <c r="I747" s="359"/>
      <c r="J747" s="31"/>
      <c r="K747" s="160"/>
      <c r="L747" s="160"/>
      <c r="M747" s="359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</row>
    <row r="748" spans="7:24" s="30" customFormat="1" ht="12" x14ac:dyDescent="0.2">
      <c r="G748" s="31"/>
      <c r="H748" s="31"/>
      <c r="I748" s="359"/>
      <c r="J748" s="31"/>
      <c r="K748" s="160"/>
      <c r="L748" s="160"/>
      <c r="M748" s="359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</row>
    <row r="749" spans="7:24" s="30" customFormat="1" ht="12" x14ac:dyDescent="0.2">
      <c r="G749" s="31"/>
      <c r="H749" s="31"/>
      <c r="I749" s="359"/>
      <c r="J749" s="31"/>
      <c r="K749" s="160"/>
      <c r="L749" s="160"/>
      <c r="M749" s="359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</row>
    <row r="750" spans="7:24" s="30" customFormat="1" ht="12" x14ac:dyDescent="0.2">
      <c r="G750" s="31"/>
      <c r="H750" s="31"/>
      <c r="I750" s="359"/>
      <c r="J750" s="31"/>
      <c r="K750" s="160"/>
      <c r="L750" s="160"/>
      <c r="M750" s="359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</row>
    <row r="751" spans="7:24" s="30" customFormat="1" ht="12" x14ac:dyDescent="0.2">
      <c r="G751" s="31"/>
      <c r="H751" s="31"/>
      <c r="I751" s="359"/>
      <c r="J751" s="31"/>
      <c r="K751" s="160"/>
      <c r="L751" s="160"/>
      <c r="M751" s="359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</row>
    <row r="752" spans="7:24" s="30" customFormat="1" ht="12" x14ac:dyDescent="0.2">
      <c r="G752" s="31"/>
      <c r="H752" s="31"/>
      <c r="I752" s="359"/>
      <c r="J752" s="31"/>
      <c r="K752" s="160"/>
      <c r="L752" s="160"/>
      <c r="M752" s="359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</row>
    <row r="753" spans="7:24" s="30" customFormat="1" ht="12" x14ac:dyDescent="0.2">
      <c r="G753" s="31"/>
      <c r="H753" s="31"/>
      <c r="I753" s="359"/>
      <c r="J753" s="31"/>
      <c r="K753" s="160"/>
      <c r="L753" s="160"/>
      <c r="M753" s="359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</row>
    <row r="754" spans="7:24" s="30" customFormat="1" ht="12" x14ac:dyDescent="0.2">
      <c r="G754" s="31"/>
      <c r="H754" s="31"/>
      <c r="I754" s="359"/>
      <c r="J754" s="31"/>
      <c r="K754" s="160"/>
      <c r="L754" s="160"/>
      <c r="M754" s="359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</row>
    <row r="755" spans="7:24" s="30" customFormat="1" ht="12" x14ac:dyDescent="0.2">
      <c r="G755" s="31"/>
      <c r="H755" s="31"/>
      <c r="I755" s="359"/>
      <c r="J755" s="31"/>
      <c r="K755" s="160"/>
      <c r="L755" s="160"/>
      <c r="M755" s="359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</row>
    <row r="756" spans="7:24" s="30" customFormat="1" ht="12" x14ac:dyDescent="0.2">
      <c r="G756" s="31"/>
      <c r="H756" s="31"/>
      <c r="I756" s="359"/>
      <c r="J756" s="31"/>
      <c r="K756" s="160"/>
      <c r="L756" s="160"/>
      <c r="M756" s="359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</row>
    <row r="757" spans="7:24" s="30" customFormat="1" ht="12" x14ac:dyDescent="0.2">
      <c r="G757" s="31"/>
      <c r="H757" s="31"/>
      <c r="I757" s="359"/>
      <c r="J757" s="31"/>
      <c r="K757" s="160"/>
      <c r="L757" s="160"/>
      <c r="M757" s="359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</row>
    <row r="758" spans="7:24" s="30" customFormat="1" ht="12" x14ac:dyDescent="0.2">
      <c r="G758" s="31"/>
      <c r="H758" s="31"/>
      <c r="I758" s="359"/>
      <c r="J758" s="31"/>
      <c r="K758" s="160"/>
      <c r="L758" s="160"/>
      <c r="M758" s="359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</row>
    <row r="759" spans="7:24" s="30" customFormat="1" ht="12" x14ac:dyDescent="0.2">
      <c r="G759" s="31"/>
      <c r="H759" s="31"/>
      <c r="I759" s="359"/>
      <c r="J759" s="31"/>
      <c r="K759" s="160"/>
      <c r="L759" s="160"/>
      <c r="M759" s="359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</row>
    <row r="760" spans="7:24" s="30" customFormat="1" ht="12" x14ac:dyDescent="0.2">
      <c r="G760" s="31"/>
      <c r="H760" s="31"/>
      <c r="I760" s="359"/>
      <c r="J760" s="31"/>
      <c r="K760" s="160"/>
      <c r="L760" s="160"/>
      <c r="M760" s="359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</row>
    <row r="761" spans="7:24" s="30" customFormat="1" ht="12" x14ac:dyDescent="0.2">
      <c r="G761" s="31"/>
      <c r="H761" s="31"/>
      <c r="I761" s="359"/>
      <c r="J761" s="31"/>
      <c r="K761" s="160"/>
      <c r="L761" s="160"/>
      <c r="M761" s="359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</row>
    <row r="762" spans="7:24" s="30" customFormat="1" ht="12" x14ac:dyDescent="0.2">
      <c r="G762" s="31"/>
      <c r="H762" s="31"/>
      <c r="I762" s="359"/>
      <c r="J762" s="31"/>
      <c r="K762" s="160"/>
      <c r="L762" s="160"/>
      <c r="M762" s="359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</row>
    <row r="763" spans="7:24" s="30" customFormat="1" ht="12" x14ac:dyDescent="0.2">
      <c r="G763" s="31"/>
      <c r="H763" s="31"/>
      <c r="I763" s="359"/>
      <c r="J763" s="31"/>
      <c r="K763" s="160"/>
      <c r="L763" s="160"/>
      <c r="M763" s="359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</row>
    <row r="764" spans="7:24" s="30" customFormat="1" ht="12" x14ac:dyDescent="0.2">
      <c r="G764" s="31"/>
      <c r="H764" s="31"/>
      <c r="I764" s="359"/>
      <c r="J764" s="31"/>
      <c r="K764" s="160"/>
      <c r="L764" s="160"/>
      <c r="M764" s="359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</row>
    <row r="765" spans="7:24" s="30" customFormat="1" ht="12" x14ac:dyDescent="0.2">
      <c r="G765" s="31"/>
      <c r="H765" s="31"/>
      <c r="I765" s="359"/>
      <c r="J765" s="31"/>
      <c r="K765" s="160"/>
      <c r="L765" s="160"/>
      <c r="M765" s="359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</row>
    <row r="766" spans="7:24" x14ac:dyDescent="0.2">
      <c r="G766" s="6"/>
      <c r="H766" s="6"/>
      <c r="I766" s="359"/>
      <c r="J766" s="6"/>
      <c r="K766" s="5"/>
      <c r="L766" s="5"/>
      <c r="M766" s="35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7:24" x14ac:dyDescent="0.2">
      <c r="G767" s="6"/>
      <c r="H767" s="6"/>
      <c r="I767" s="359"/>
      <c r="J767" s="6"/>
      <c r="K767" s="5"/>
      <c r="L767" s="5"/>
      <c r="M767" s="35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7:24" x14ac:dyDescent="0.2">
      <c r="G768" s="6"/>
      <c r="H768" s="6"/>
      <c r="I768" s="359"/>
      <c r="J768" s="6"/>
      <c r="K768" s="5"/>
      <c r="L768" s="5"/>
      <c r="M768" s="35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7:24" x14ac:dyDescent="0.2">
      <c r="G769" s="6"/>
      <c r="H769" s="6"/>
      <c r="I769" s="359"/>
      <c r="J769" s="6"/>
      <c r="K769" s="5"/>
      <c r="L769" s="5"/>
      <c r="M769" s="35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7:24" x14ac:dyDescent="0.2">
      <c r="G770" s="6"/>
      <c r="H770" s="6"/>
      <c r="I770" s="359"/>
      <c r="J770" s="6"/>
      <c r="K770" s="5"/>
      <c r="L770" s="5"/>
      <c r="M770" s="35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7:24" x14ac:dyDescent="0.2">
      <c r="G771" s="6"/>
      <c r="H771" s="6"/>
      <c r="I771" s="359"/>
      <c r="J771" s="6"/>
      <c r="K771" s="5"/>
      <c r="L771" s="5"/>
      <c r="M771" s="35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7:24" x14ac:dyDescent="0.2">
      <c r="G772" s="6"/>
      <c r="H772" s="6"/>
      <c r="I772" s="359"/>
      <c r="J772" s="6"/>
      <c r="K772" s="5"/>
      <c r="L772" s="5"/>
      <c r="M772" s="35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7:24" x14ac:dyDescent="0.2">
      <c r="G773" s="6"/>
      <c r="H773" s="6"/>
      <c r="I773" s="359"/>
      <c r="J773" s="6"/>
      <c r="K773" s="5"/>
      <c r="L773" s="5"/>
      <c r="M773" s="35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7:24" x14ac:dyDescent="0.2">
      <c r="G774" s="6"/>
      <c r="H774" s="6"/>
      <c r="I774" s="359"/>
      <c r="J774" s="6"/>
      <c r="K774" s="5"/>
      <c r="L774" s="5"/>
      <c r="M774" s="35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7:24" x14ac:dyDescent="0.2">
      <c r="G775" s="6"/>
      <c r="H775" s="6"/>
      <c r="I775" s="359"/>
      <c r="J775" s="6"/>
      <c r="K775" s="5"/>
      <c r="L775" s="5"/>
      <c r="M775" s="35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7:24" x14ac:dyDescent="0.2">
      <c r="G776" s="6"/>
      <c r="H776" s="6"/>
      <c r="I776" s="359"/>
      <c r="J776" s="6"/>
      <c r="K776" s="5"/>
      <c r="L776" s="5"/>
      <c r="M776" s="35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7:24" x14ac:dyDescent="0.2">
      <c r="G777" s="6"/>
      <c r="H777" s="6"/>
      <c r="I777" s="359"/>
      <c r="J777" s="6"/>
      <c r="K777" s="5"/>
      <c r="L777" s="5"/>
      <c r="M777" s="35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7:24" x14ac:dyDescent="0.2">
      <c r="G778" s="6"/>
      <c r="H778" s="6"/>
      <c r="I778" s="359"/>
      <c r="J778" s="6"/>
      <c r="K778" s="5"/>
      <c r="L778" s="5"/>
      <c r="M778" s="35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7:24" x14ac:dyDescent="0.2">
      <c r="G779" s="6"/>
      <c r="H779" s="6"/>
      <c r="I779" s="359"/>
      <c r="J779" s="6"/>
      <c r="K779" s="5"/>
      <c r="L779" s="5"/>
      <c r="M779" s="35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7:24" x14ac:dyDescent="0.2">
      <c r="G780" s="6"/>
      <c r="H780" s="6"/>
      <c r="I780" s="359"/>
      <c r="J780" s="6"/>
      <c r="K780" s="5"/>
      <c r="L780" s="5"/>
      <c r="M780" s="35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7:24" x14ac:dyDescent="0.2">
      <c r="G781" s="6"/>
      <c r="H781" s="6"/>
      <c r="I781" s="359"/>
      <c r="J781" s="6"/>
      <c r="K781" s="5"/>
      <c r="L781" s="5"/>
      <c r="M781" s="35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7:24" x14ac:dyDescent="0.2">
      <c r="G782" s="6"/>
      <c r="H782" s="6"/>
      <c r="I782" s="359"/>
      <c r="J782" s="6"/>
      <c r="K782" s="5"/>
      <c r="L782" s="5"/>
      <c r="M782" s="35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7:24" x14ac:dyDescent="0.2">
      <c r="G783" s="6"/>
      <c r="H783" s="6"/>
      <c r="I783" s="359"/>
      <c r="J783" s="6"/>
      <c r="K783" s="5"/>
      <c r="L783" s="5"/>
      <c r="M783" s="35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7:24" x14ac:dyDescent="0.2">
      <c r="G784" s="6"/>
      <c r="H784" s="6"/>
      <c r="I784" s="359"/>
      <c r="J784" s="6"/>
      <c r="K784" s="5"/>
      <c r="L784" s="5"/>
      <c r="M784" s="35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7:24" x14ac:dyDescent="0.2">
      <c r="G785" s="6"/>
      <c r="H785" s="6"/>
      <c r="I785" s="359"/>
      <c r="J785" s="6"/>
      <c r="K785" s="5"/>
      <c r="L785" s="5"/>
      <c r="M785" s="35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7:24" x14ac:dyDescent="0.2">
      <c r="G786" s="6"/>
      <c r="H786" s="6"/>
      <c r="I786" s="359"/>
      <c r="J786" s="6"/>
      <c r="K786" s="5"/>
      <c r="L786" s="5"/>
      <c r="M786" s="35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7:24" x14ac:dyDescent="0.2">
      <c r="G787" s="6"/>
      <c r="H787" s="6"/>
      <c r="I787" s="359"/>
      <c r="J787" s="6"/>
      <c r="K787" s="5"/>
      <c r="L787" s="5"/>
      <c r="M787" s="35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7:24" x14ac:dyDescent="0.2">
      <c r="G788" s="6"/>
      <c r="H788" s="6"/>
      <c r="I788" s="359"/>
      <c r="J788" s="6"/>
      <c r="K788" s="5"/>
      <c r="L788" s="5"/>
      <c r="M788" s="35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7:24" x14ac:dyDescent="0.2">
      <c r="G789" s="6"/>
      <c r="H789" s="6"/>
      <c r="I789" s="359"/>
      <c r="J789" s="6"/>
      <c r="K789" s="5"/>
      <c r="L789" s="5"/>
      <c r="M789" s="35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7:24" x14ac:dyDescent="0.2">
      <c r="G790" s="6"/>
      <c r="H790" s="6"/>
      <c r="I790" s="359"/>
      <c r="J790" s="6"/>
      <c r="K790" s="5"/>
      <c r="L790" s="5"/>
      <c r="M790" s="35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7:24" x14ac:dyDescent="0.2">
      <c r="G791" s="6"/>
      <c r="H791" s="6"/>
      <c r="I791" s="359"/>
      <c r="J791" s="6"/>
      <c r="K791" s="5"/>
      <c r="L791" s="5"/>
      <c r="M791" s="35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7:24" x14ac:dyDescent="0.2">
      <c r="G792" s="6"/>
      <c r="H792" s="6"/>
      <c r="I792" s="359"/>
      <c r="J792" s="6"/>
      <c r="K792" s="5"/>
      <c r="L792" s="5"/>
      <c r="M792" s="35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7:24" x14ac:dyDescent="0.2">
      <c r="G793" s="6"/>
      <c r="H793" s="6"/>
      <c r="I793" s="359"/>
      <c r="J793" s="6"/>
      <c r="K793" s="5"/>
      <c r="L793" s="5"/>
      <c r="M793" s="35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7:24" x14ac:dyDescent="0.2">
      <c r="G794" s="6"/>
      <c r="H794" s="6"/>
      <c r="I794" s="359"/>
      <c r="J794" s="6"/>
      <c r="K794" s="5"/>
      <c r="L794" s="5"/>
      <c r="M794" s="35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7:24" x14ac:dyDescent="0.2">
      <c r="G795" s="6"/>
      <c r="H795" s="6"/>
      <c r="I795" s="359"/>
      <c r="J795" s="6"/>
      <c r="K795" s="5"/>
      <c r="L795" s="5"/>
      <c r="M795" s="35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7:24" x14ac:dyDescent="0.2">
      <c r="G796" s="6"/>
      <c r="H796" s="6"/>
      <c r="I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</sheetData>
  <sheetProtection algorithmName="SHA-512" hashValue="mc86S2QuXgyBmspRJeqjwinFNJdIdVEMJCcu7mSrkEGA4pYrUlf6JRj8TkCg/xc5AaqhPIjXECcOragTINbPkg==" saltValue="Nag1L/cHkjPqoHBerYq3hg==" spinCount="100000" sheet="1" objects="1" scenarios="1"/>
  <mergeCells count="13">
    <mergeCell ref="Z22:AB22"/>
    <mergeCell ref="Z9:AB9"/>
    <mergeCell ref="Z23:AB24"/>
    <mergeCell ref="G22:I22"/>
    <mergeCell ref="G23:I24"/>
    <mergeCell ref="K9:M9"/>
    <mergeCell ref="G9:I9"/>
    <mergeCell ref="K22:M22"/>
    <mergeCell ref="R22:T22"/>
    <mergeCell ref="V22:X22"/>
    <mergeCell ref="R23:T24"/>
    <mergeCell ref="R9:T9"/>
    <mergeCell ref="V9:X9"/>
  </mergeCells>
  <pageMargins left="0.70866141732283472" right="0.70866141732283472" top="0.74803149606299213" bottom="0.74803149606299213" header="0.31496062992125984" footer="0.31496062992125984"/>
  <pageSetup paperSize="9" scale="4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258E-06E3-4FAA-9F0C-9C813D3B7545}">
  <sheetPr codeName="Sheet6">
    <tabColor theme="6" tint="0.39997558519241921"/>
    <pageSetUpPr fitToPage="1"/>
  </sheetPr>
  <dimension ref="B2:X47"/>
  <sheetViews>
    <sheetView showGridLines="0" zoomScaleNormal="100" zoomScaleSheetLayoutView="80" workbookViewId="0">
      <selection activeCell="I36" sqref="I36"/>
    </sheetView>
  </sheetViews>
  <sheetFormatPr defaultColWidth="9" defaultRowHeight="14.25" outlineLevelRow="1" x14ac:dyDescent="0.2"/>
  <cols>
    <col min="1" max="1" width="1.625" style="1" customWidth="1"/>
    <col min="2" max="2" width="3" style="1" customWidth="1"/>
    <col min="3" max="3" width="14.875" style="1" customWidth="1"/>
    <col min="4" max="7" width="13.125" style="1" customWidth="1"/>
    <col min="8" max="8" width="8.75" style="1" customWidth="1"/>
    <col min="9" max="9" width="13.125" style="1" customWidth="1"/>
    <col min="10" max="10" width="10.125" style="1" customWidth="1"/>
    <col min="11" max="11" width="12.625" style="1" bestFit="1" customWidth="1"/>
    <col min="12" max="13" width="9" style="1"/>
    <col min="14" max="14" width="10.375" style="1" bestFit="1" customWidth="1"/>
    <col min="15" max="23" width="7.125" style="1" customWidth="1"/>
    <col min="24" max="16384" width="9" style="1"/>
  </cols>
  <sheetData>
    <row r="2" spans="2:24" x14ac:dyDescent="0.2"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2:24" ht="28.5" customHeight="1" x14ac:dyDescent="0.2">
      <c r="B3" s="40"/>
      <c r="C3" s="163" t="s">
        <v>167</v>
      </c>
      <c r="D3" s="163"/>
      <c r="E3" s="164"/>
      <c r="F3" s="355" t="str">
        <f>'1. Accomodation'!$I$5</f>
        <v>The Forge, Newcastle</v>
      </c>
      <c r="G3" s="164"/>
      <c r="H3" s="164"/>
      <c r="I3" s="164" t="s">
        <v>168</v>
      </c>
      <c r="J3" s="333"/>
      <c r="K3" s="333">
        <f>'4. Valuation'!D6</f>
        <v>45199</v>
      </c>
      <c r="L3" s="13"/>
    </row>
    <row r="4" spans="2:24" x14ac:dyDescent="0.2">
      <c r="B4" s="40"/>
      <c r="C4" s="125"/>
      <c r="D4" s="125"/>
      <c r="E4" s="125"/>
      <c r="F4" s="125"/>
      <c r="G4" s="125"/>
      <c r="H4" s="40"/>
      <c r="I4" s="125"/>
      <c r="J4" s="125"/>
      <c r="K4" s="125"/>
      <c r="L4" s="40"/>
    </row>
    <row r="5" spans="2:24" x14ac:dyDescent="0.2">
      <c r="B5" s="40"/>
      <c r="C5" s="86" t="s">
        <v>169</v>
      </c>
      <c r="D5" s="86"/>
      <c r="E5" s="10"/>
      <c r="F5" s="10"/>
      <c r="G5" s="10"/>
      <c r="H5" s="40"/>
      <c r="I5" s="10"/>
      <c r="J5" s="10"/>
      <c r="K5" s="10"/>
      <c r="L5" s="110"/>
      <c r="M5" s="21"/>
    </row>
    <row r="6" spans="2:24" x14ac:dyDescent="0.2">
      <c r="B6" s="40"/>
      <c r="C6" s="86"/>
      <c r="D6" s="86"/>
      <c r="E6" s="10"/>
      <c r="F6" s="10"/>
      <c r="G6" s="10"/>
      <c r="H6" s="40"/>
      <c r="I6" s="10"/>
      <c r="J6" s="10"/>
      <c r="K6" s="10"/>
      <c r="L6" s="110"/>
      <c r="M6" s="21"/>
    </row>
    <row r="7" spans="2:24" s="67" customFormat="1" x14ac:dyDescent="0.2">
      <c r="B7" s="111"/>
      <c r="C7" s="470" t="s">
        <v>47</v>
      </c>
      <c r="D7" s="188" t="s">
        <v>170</v>
      </c>
      <c r="E7" s="179" t="s">
        <v>203</v>
      </c>
      <c r="F7" s="467" t="str">
        <f>TEXT('4. Valuation'!$D$5,0)&amp;" "&amp;TEXT('4. Valuation'!$L$24,"mmm-yy")</f>
        <v>CBRE Sep-23</v>
      </c>
      <c r="G7" s="468"/>
      <c r="H7" s="469"/>
      <c r="I7" s="464" t="str">
        <f>"FY"&amp;TEXT('4. Valuation'!D8,"yy")&amp;" "&amp;"Budget"</f>
        <v>FY23 Budget</v>
      </c>
      <c r="J7" s="465"/>
      <c r="K7" s="466"/>
      <c r="L7" s="11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s="67" customFormat="1" x14ac:dyDescent="0.2">
      <c r="B8" s="111"/>
      <c r="C8" s="471" t="str">
        <f>'3. GRI Pricing'!C5</f>
        <v>Bedroom</v>
      </c>
      <c r="D8" s="190"/>
      <c r="E8" s="180">
        <f>$K$3</f>
        <v>45199</v>
      </c>
      <c r="F8" s="115">
        <f>'4. Valuation'!L24</f>
        <v>45199</v>
      </c>
      <c r="G8" s="116" t="s">
        <v>171</v>
      </c>
      <c r="H8" s="117" t="s">
        <v>172</v>
      </c>
      <c r="I8" s="112">
        <f>'4. Valuation'!$D$8</f>
        <v>45199</v>
      </c>
      <c r="J8" s="113" t="s">
        <v>171</v>
      </c>
      <c r="K8" s="114" t="s">
        <v>172</v>
      </c>
      <c r="L8" s="11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25" customHeight="1" x14ac:dyDescent="0.2">
      <c r="B9" s="40"/>
      <c r="C9" s="87" t="str">
        <f>'3. GRI Pricing'!C6</f>
        <v>1 Bed</v>
      </c>
      <c r="D9" s="177">
        <f>'3. GRI Pricing'!D6</f>
        <v>78</v>
      </c>
      <c r="E9" s="181">
        <f>'3. GRI Pricing'!F6</f>
        <v>999.80769230769226</v>
      </c>
      <c r="F9" s="87">
        <f ca="1">'4. Valuation'!K11</f>
        <v>867</v>
      </c>
      <c r="G9" s="93">
        <f t="shared" ref="G9:G16" ca="1" si="0">IFERROR((E9-F9)/F9,0)</f>
        <v>0.15318072930529672</v>
      </c>
      <c r="H9" s="118">
        <f t="shared" ref="H9:H12" ca="1" si="1">G9</f>
        <v>0.15318072930529672</v>
      </c>
      <c r="I9" s="341">
        <v>0</v>
      </c>
      <c r="J9" s="93">
        <f>IFERROR((E9-I9)/I9,0)</f>
        <v>0</v>
      </c>
      <c r="K9" s="118">
        <f t="shared" ref="K9:K16" si="2">J9</f>
        <v>0</v>
      </c>
      <c r="L9" s="110"/>
      <c r="M9" s="21"/>
    </row>
    <row r="10" spans="2:24" ht="14.25" customHeight="1" x14ac:dyDescent="0.2">
      <c r="B10" s="40"/>
      <c r="C10" s="88" t="str">
        <f>'3. GRI Pricing'!C7</f>
        <v>2 Bed</v>
      </c>
      <c r="D10" s="178">
        <f>'3. GRI Pricing'!D7</f>
        <v>179</v>
      </c>
      <c r="E10" s="182">
        <f>'3. GRI Pricing'!F7</f>
        <v>1293.4357541899442</v>
      </c>
      <c r="F10" s="88">
        <f ca="1">'4. Valuation'!K12</f>
        <v>1166</v>
      </c>
      <c r="G10" s="94">
        <f t="shared" ca="1" si="0"/>
        <v>0.10929309964832264</v>
      </c>
      <c r="H10" s="119">
        <f t="shared" ca="1" si="1"/>
        <v>0.10929309964832264</v>
      </c>
      <c r="I10" s="341">
        <v>0</v>
      </c>
      <c r="J10" s="94">
        <f t="shared" ref="J10" si="3">IFERROR((E10-I10)/I10,0)</f>
        <v>0</v>
      </c>
      <c r="K10" s="119">
        <f t="shared" si="2"/>
        <v>0</v>
      </c>
      <c r="L10" s="110"/>
      <c r="M10" s="21"/>
    </row>
    <row r="11" spans="2:24" ht="14.25" customHeight="1" outlineLevel="1" x14ac:dyDescent="0.2">
      <c r="B11" s="40"/>
      <c r="C11" s="88" t="str">
        <f>'3. GRI Pricing'!C8</f>
        <v>3 Bed</v>
      </c>
      <c r="D11" s="178">
        <f>'3. GRI Pricing'!D8</f>
        <v>26</v>
      </c>
      <c r="E11" s="182">
        <f>'3. GRI Pricing'!F8</f>
        <v>1698.6538461538462</v>
      </c>
      <c r="F11" s="88">
        <f ca="1">'4. Valuation'!K13</f>
        <v>1511</v>
      </c>
      <c r="G11" s="94">
        <f t="shared" ca="1" si="0"/>
        <v>0.12419182405946141</v>
      </c>
      <c r="H11" s="119">
        <f t="shared" ca="1" si="1"/>
        <v>0.12419182405946141</v>
      </c>
      <c r="I11" s="341">
        <v>0</v>
      </c>
      <c r="J11" s="94">
        <f t="shared" ref="J11:J12" si="4">IFERROR((E11-I11)/I11,0)</f>
        <v>0</v>
      </c>
      <c r="K11" s="119">
        <f t="shared" si="2"/>
        <v>0</v>
      </c>
      <c r="L11" s="110"/>
      <c r="M11" s="21"/>
    </row>
    <row r="12" spans="2:24" ht="14.25" customHeight="1" outlineLevel="1" x14ac:dyDescent="0.2">
      <c r="B12" s="40"/>
      <c r="C12" s="88">
        <f>'3. GRI Pricing'!C9</f>
        <v>0</v>
      </c>
      <c r="D12" s="178">
        <f>'3. GRI Pricing'!D9</f>
        <v>0</v>
      </c>
      <c r="E12" s="182">
        <f>'3. GRI Pricing'!F9</f>
        <v>0</v>
      </c>
      <c r="F12" s="88">
        <f ca="1">'4. Valuation'!K14</f>
        <v>0</v>
      </c>
      <c r="G12" s="94">
        <f t="shared" ca="1" si="0"/>
        <v>0</v>
      </c>
      <c r="H12" s="119">
        <f t="shared" ca="1" si="1"/>
        <v>0</v>
      </c>
      <c r="I12" s="341">
        <v>0</v>
      </c>
      <c r="J12" s="94">
        <f t="shared" si="4"/>
        <v>0</v>
      </c>
      <c r="K12" s="119">
        <f t="shared" si="2"/>
        <v>0</v>
      </c>
      <c r="L12" s="110"/>
      <c r="M12" s="21"/>
    </row>
    <row r="13" spans="2:24" ht="14.25" customHeight="1" outlineLevel="1" x14ac:dyDescent="0.2">
      <c r="B13" s="40"/>
      <c r="C13" s="88">
        <f>'3. GRI Pricing'!C10</f>
        <v>0</v>
      </c>
      <c r="D13" s="178">
        <f>'3. GRI Pricing'!D10</f>
        <v>0</v>
      </c>
      <c r="E13" s="182">
        <f>'3. GRI Pricing'!F10</f>
        <v>0</v>
      </c>
      <c r="F13" s="88">
        <f ca="1">'4. Valuation'!K15</f>
        <v>0</v>
      </c>
      <c r="G13" s="94">
        <f t="shared" ca="1" si="0"/>
        <v>0</v>
      </c>
      <c r="H13" s="119">
        <f t="shared" ref="H13:H14" ca="1" si="5">G13</f>
        <v>0</v>
      </c>
      <c r="I13" s="341">
        <v>0</v>
      </c>
      <c r="J13" s="94">
        <f t="shared" ref="J13:J14" si="6">IFERROR((E13-I13)/I13,0)</f>
        <v>0</v>
      </c>
      <c r="K13" s="119">
        <f t="shared" ref="K13:K14" si="7">J13</f>
        <v>0</v>
      </c>
      <c r="L13" s="110"/>
      <c r="M13" s="21"/>
    </row>
    <row r="14" spans="2:24" ht="14.25" customHeight="1" outlineLevel="1" x14ac:dyDescent="0.2">
      <c r="B14" s="40"/>
      <c r="C14" s="88">
        <f>'3. GRI Pricing'!C11</f>
        <v>0</v>
      </c>
      <c r="D14" s="178">
        <f>'3. GRI Pricing'!D11</f>
        <v>0</v>
      </c>
      <c r="E14" s="182">
        <f>'3. GRI Pricing'!F11</f>
        <v>0</v>
      </c>
      <c r="F14" s="88">
        <f ca="1">'4. Valuation'!K16</f>
        <v>0</v>
      </c>
      <c r="G14" s="94">
        <f t="shared" ca="1" si="0"/>
        <v>0</v>
      </c>
      <c r="H14" s="119">
        <f t="shared" ca="1" si="5"/>
        <v>0</v>
      </c>
      <c r="I14" s="341">
        <v>0</v>
      </c>
      <c r="J14" s="94">
        <f t="shared" si="6"/>
        <v>0</v>
      </c>
      <c r="K14" s="119">
        <f t="shared" si="7"/>
        <v>0</v>
      </c>
      <c r="L14" s="110"/>
      <c r="M14" s="21"/>
    </row>
    <row r="15" spans="2:24" ht="14.25" customHeight="1" x14ac:dyDescent="0.2">
      <c r="B15" s="40"/>
      <c r="C15" s="89" t="s">
        <v>173</v>
      </c>
      <c r="D15" s="375">
        <f>SUM(D9:D13)</f>
        <v>283</v>
      </c>
      <c r="E15" s="183">
        <f>'3. GRI Pricing'!F12</f>
        <v>1249.7349823321554</v>
      </c>
      <c r="F15" s="89">
        <f>'4. Valuation'!K17</f>
        <v>1115.2862190812721</v>
      </c>
      <c r="G15" s="95">
        <f t="shared" si="0"/>
        <v>0.12055090518525081</v>
      </c>
      <c r="H15" s="120">
        <f>G15</f>
        <v>0.12055090518525081</v>
      </c>
      <c r="I15" s="371">
        <f>IFERROR(I34/D15,0)</f>
        <v>12805.229681978799</v>
      </c>
      <c r="J15" s="95">
        <f>IFERROR((E15-I15)/I15,0)</f>
        <v>-0.90240432906166879</v>
      </c>
      <c r="K15" s="120">
        <f t="shared" si="2"/>
        <v>-0.90240432906166879</v>
      </c>
      <c r="L15" s="110"/>
      <c r="M15" s="21"/>
    </row>
    <row r="16" spans="2:24" ht="14.25" customHeight="1" x14ac:dyDescent="0.2">
      <c r="B16" s="40"/>
      <c r="C16" s="108" t="s">
        <v>174</v>
      </c>
      <c r="D16" s="174">
        <f>'3. GRI Pricing'!D13</f>
        <v>0</v>
      </c>
      <c r="E16" s="184">
        <f>'2. GRI Pricing Inputs'!D119</f>
        <v>10</v>
      </c>
      <c r="F16" s="121">
        <f>'4. Valuation'!K18</f>
        <v>0</v>
      </c>
      <c r="G16" s="97">
        <f t="shared" si="0"/>
        <v>0</v>
      </c>
      <c r="H16" s="120">
        <f t="shared" ref="H16" si="8">G16</f>
        <v>0</v>
      </c>
      <c r="I16" s="372">
        <f>IFERROR(I35/12/D16,0)</f>
        <v>0</v>
      </c>
      <c r="J16" s="97">
        <f>IFERROR((E16-I16)/I16,0)</f>
        <v>0</v>
      </c>
      <c r="K16" s="120">
        <f t="shared" si="2"/>
        <v>0</v>
      </c>
      <c r="L16" s="110"/>
      <c r="M16" s="21"/>
    </row>
    <row r="17" spans="2:24" ht="14.25" customHeight="1" x14ac:dyDescent="0.2">
      <c r="B17" s="40"/>
      <c r="C17" s="11"/>
      <c r="D17" s="11"/>
      <c r="E17" s="11"/>
      <c r="F17" s="12"/>
      <c r="G17" s="12"/>
      <c r="H17" s="62"/>
      <c r="I17" s="12"/>
      <c r="J17" s="12"/>
      <c r="K17" s="12"/>
      <c r="L17" s="110"/>
      <c r="M17" s="21"/>
    </row>
    <row r="18" spans="2:24" x14ac:dyDescent="0.2">
      <c r="B18" s="40"/>
      <c r="C18" s="86" t="s">
        <v>175</v>
      </c>
      <c r="D18" s="86"/>
      <c r="E18" s="10"/>
      <c r="F18" s="10"/>
      <c r="G18" s="10"/>
      <c r="H18" s="62"/>
      <c r="I18" s="10"/>
      <c r="J18" s="10"/>
      <c r="K18" s="10"/>
      <c r="L18" s="110"/>
      <c r="M18" s="21"/>
    </row>
    <row r="19" spans="2:24" x14ac:dyDescent="0.2">
      <c r="B19" s="40"/>
      <c r="C19" s="86"/>
      <c r="D19" s="86"/>
      <c r="E19" s="10"/>
      <c r="F19" s="10"/>
      <c r="G19" s="10"/>
      <c r="H19" s="62"/>
      <c r="I19" s="10"/>
      <c r="J19" s="10"/>
      <c r="K19" s="10"/>
      <c r="L19" s="110"/>
      <c r="M19" s="21"/>
    </row>
    <row r="20" spans="2:24" x14ac:dyDescent="0.2">
      <c r="B20" s="40"/>
      <c r="C20" s="470" t="s">
        <v>47</v>
      </c>
      <c r="D20" s="188" t="s">
        <v>176</v>
      </c>
      <c r="E20" s="179" t="str">
        <f>E7</f>
        <v>Proposed Rent</v>
      </c>
      <c r="F20" s="467" t="str">
        <f>F7</f>
        <v>CBRE Sep-23</v>
      </c>
      <c r="G20" s="468"/>
      <c r="H20" s="469"/>
      <c r="I20" s="464" t="str">
        <f>I7</f>
        <v>FY23 Budget</v>
      </c>
      <c r="J20" s="465"/>
      <c r="K20" s="466"/>
      <c r="L20" s="110"/>
      <c r="M20" s="21"/>
    </row>
    <row r="21" spans="2:24" s="67" customFormat="1" x14ac:dyDescent="0.2">
      <c r="B21" s="111"/>
      <c r="C21" s="471" t="str">
        <f>'3. GRI Pricing'!C18</f>
        <v>102N</v>
      </c>
      <c r="D21" s="189"/>
      <c r="E21" s="180">
        <f>$K$3</f>
        <v>45199</v>
      </c>
      <c r="F21" s="115">
        <f>F8</f>
        <v>45199</v>
      </c>
      <c r="G21" s="116" t="str">
        <f>G8</f>
        <v>Variance</v>
      </c>
      <c r="H21" s="117" t="str">
        <f>H8</f>
        <v>RAG</v>
      </c>
      <c r="I21" s="112">
        <f>I8</f>
        <v>45199</v>
      </c>
      <c r="J21" s="113" t="str">
        <f>J8</f>
        <v>Variance</v>
      </c>
      <c r="K21" s="114" t="str">
        <f>K8</f>
        <v>RAG</v>
      </c>
      <c r="L21" s="22"/>
      <c r="M21" s="8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 x14ac:dyDescent="0.2">
      <c r="B22" s="40"/>
      <c r="C22" s="88" t="str">
        <f>'3. GRI Pricing'!C6</f>
        <v>1 Bed</v>
      </c>
      <c r="D22" s="175">
        <f>'3. GRI Pricing'!E6</f>
        <v>503.56410256410254</v>
      </c>
      <c r="E22" s="185">
        <f>'3. GRI Pricing'!H6</f>
        <v>23.825551199144559</v>
      </c>
      <c r="F22" s="91">
        <f ca="1">'4. Valuation'!M11</f>
        <v>20.660726106217222</v>
      </c>
      <c r="G22" s="93">
        <f t="shared" ref="G22:G28" ca="1" si="9">IFERROR((E22-F22)/F22,0)</f>
        <v>0.15318072930529672</v>
      </c>
      <c r="H22" s="122">
        <f t="shared" ref="H22:H28" ca="1" si="10">G22</f>
        <v>0.15318072930529672</v>
      </c>
      <c r="I22" s="91">
        <f>IFERROR((I9*12/D22),0)</f>
        <v>0</v>
      </c>
      <c r="J22" s="93">
        <f>IFERROR((E22-I22)/I22,0)</f>
        <v>0</v>
      </c>
      <c r="K22" s="122">
        <f t="shared" ref="K22:K28" si="11">J22</f>
        <v>0</v>
      </c>
      <c r="L22" s="110"/>
      <c r="M22" s="21"/>
    </row>
    <row r="23" spans="2:24" ht="14.25" customHeight="1" x14ac:dyDescent="0.2">
      <c r="B23" s="40"/>
      <c r="C23" s="88" t="str">
        <f>'3. GRI Pricing'!C7</f>
        <v>2 Bed</v>
      </c>
      <c r="D23" s="175">
        <f>'3. GRI Pricing'!E7</f>
        <v>652.34636871508383</v>
      </c>
      <c r="E23" s="186">
        <f>'3. GRI Pricing'!H7</f>
        <v>23.792926265307869</v>
      </c>
      <c r="F23" s="92">
        <f ca="1">'4. Valuation'!M12</f>
        <v>21.448728269247237</v>
      </c>
      <c r="G23" s="94">
        <f t="shared" ca="1" si="9"/>
        <v>0.10929309964832261</v>
      </c>
      <c r="H23" s="123">
        <f t="shared" ca="1" si="10"/>
        <v>0.10929309964832261</v>
      </c>
      <c r="I23" s="92">
        <f t="shared" ref="I23:I28" si="12">IFERROR((I10*12/D23),0)</f>
        <v>0</v>
      </c>
      <c r="J23" s="94">
        <f t="shared" ref="J23:J28" si="13">IFERROR((E23-I23)/I23,0)</f>
        <v>0</v>
      </c>
      <c r="K23" s="123">
        <f t="shared" si="11"/>
        <v>0</v>
      </c>
      <c r="L23" s="110"/>
      <c r="M23" s="21"/>
    </row>
    <row r="24" spans="2:24" ht="14.25" customHeight="1" outlineLevel="1" x14ac:dyDescent="0.2">
      <c r="B24" s="40"/>
      <c r="C24" s="88" t="str">
        <f>'3. GRI Pricing'!C8</f>
        <v>3 Bed</v>
      </c>
      <c r="D24" s="175">
        <f>'3. GRI Pricing'!E8</f>
        <v>823.19230769230774</v>
      </c>
      <c r="E24" s="186">
        <f>'3. GRI Pricing'!H8</f>
        <v>24.761949259449612</v>
      </c>
      <c r="F24" s="92">
        <f ca="1">'4. Valuation'!M13</f>
        <v>22.026444890903143</v>
      </c>
      <c r="G24" s="94">
        <f t="shared" ca="1" si="9"/>
        <v>0.12419182405946154</v>
      </c>
      <c r="H24" s="123">
        <f t="shared" ca="1" si="10"/>
        <v>0.12419182405946154</v>
      </c>
      <c r="I24" s="92">
        <f t="shared" si="12"/>
        <v>0</v>
      </c>
      <c r="J24" s="94">
        <f t="shared" si="13"/>
        <v>0</v>
      </c>
      <c r="K24" s="123">
        <f t="shared" si="11"/>
        <v>0</v>
      </c>
      <c r="L24" s="40"/>
    </row>
    <row r="25" spans="2:24" ht="14.25" customHeight="1" outlineLevel="1" x14ac:dyDescent="0.2">
      <c r="B25" s="40"/>
      <c r="C25" s="88">
        <f>'3. GRI Pricing'!C9</f>
        <v>0</v>
      </c>
      <c r="D25" s="175" t="str">
        <f>'3. GRI Pricing'!E9</f>
        <v>-</v>
      </c>
      <c r="E25" s="186">
        <f>'3. GRI Pricing'!H9</f>
        <v>0</v>
      </c>
      <c r="F25" s="92" t="str">
        <f ca="1">'4. Valuation'!M14</f>
        <v>-</v>
      </c>
      <c r="G25" s="94">
        <f t="shared" ca="1" si="9"/>
        <v>0</v>
      </c>
      <c r="H25" s="123">
        <f t="shared" ca="1" si="10"/>
        <v>0</v>
      </c>
      <c r="I25" s="92">
        <f t="shared" si="12"/>
        <v>0</v>
      </c>
      <c r="J25" s="94">
        <f t="shared" si="13"/>
        <v>0</v>
      </c>
      <c r="K25" s="123">
        <f t="shared" si="11"/>
        <v>0</v>
      </c>
      <c r="L25" s="40"/>
    </row>
    <row r="26" spans="2:24" ht="14.25" customHeight="1" outlineLevel="1" x14ac:dyDescent="0.2">
      <c r="B26" s="40"/>
      <c r="C26" s="88">
        <f>'3. GRI Pricing'!C10</f>
        <v>0</v>
      </c>
      <c r="D26" s="175" t="str">
        <f>'3. GRI Pricing'!E10</f>
        <v>-</v>
      </c>
      <c r="E26" s="186">
        <f>'3. GRI Pricing'!H10</f>
        <v>0</v>
      </c>
      <c r="F26" s="92" t="str">
        <f ca="1">'4. Valuation'!M15</f>
        <v>-</v>
      </c>
      <c r="G26" s="94">
        <f t="shared" ca="1" si="9"/>
        <v>0</v>
      </c>
      <c r="H26" s="123">
        <f t="shared" ref="H26:H27" ca="1" si="14">G26</f>
        <v>0</v>
      </c>
      <c r="I26" s="92">
        <f t="shared" si="12"/>
        <v>0</v>
      </c>
      <c r="J26" s="94">
        <f t="shared" ref="J26:J27" si="15">IFERROR((E26-I26)/I26,0)</f>
        <v>0</v>
      </c>
      <c r="K26" s="123">
        <f t="shared" ref="K26:K27" si="16">J26</f>
        <v>0</v>
      </c>
      <c r="L26" s="40"/>
    </row>
    <row r="27" spans="2:24" ht="14.25" customHeight="1" outlineLevel="1" x14ac:dyDescent="0.2">
      <c r="B27" s="40"/>
      <c r="C27" s="88">
        <f>'3. GRI Pricing'!C11</f>
        <v>0</v>
      </c>
      <c r="D27" s="175" t="str">
        <f>'3. GRI Pricing'!E11</f>
        <v>-</v>
      </c>
      <c r="E27" s="186">
        <f>'3. GRI Pricing'!H11</f>
        <v>0</v>
      </c>
      <c r="F27" s="92" t="str">
        <f ca="1">'4. Valuation'!M16</f>
        <v>-</v>
      </c>
      <c r="G27" s="94">
        <f t="shared" ca="1" si="9"/>
        <v>0</v>
      </c>
      <c r="H27" s="123">
        <f t="shared" ca="1" si="14"/>
        <v>0</v>
      </c>
      <c r="I27" s="92">
        <f t="shared" si="12"/>
        <v>0</v>
      </c>
      <c r="J27" s="94">
        <f t="shared" si="15"/>
        <v>0</v>
      </c>
      <c r="K27" s="123">
        <f t="shared" si="16"/>
        <v>0</v>
      </c>
      <c r="L27" s="40"/>
    </row>
    <row r="28" spans="2:24" x14ac:dyDescent="0.2">
      <c r="B28" s="40"/>
      <c r="C28" s="89" t="str">
        <f>C15</f>
        <v>Total / Average</v>
      </c>
      <c r="D28" s="176">
        <f>'3. GRI Pricing'!E12</f>
        <v>627.03533568904595</v>
      </c>
      <c r="E28" s="187">
        <f>'3. GRI Pricing'!H12</f>
        <v>23.917024981544198</v>
      </c>
      <c r="F28" s="96">
        <f>'4. Valuation'!M17</f>
        <v>21.343987917791388</v>
      </c>
      <c r="G28" s="97">
        <f t="shared" si="9"/>
        <v>0.1205509051852509</v>
      </c>
      <c r="H28" s="124">
        <f t="shared" si="10"/>
        <v>0.1205509051852509</v>
      </c>
      <c r="I28" s="96">
        <f t="shared" si="12"/>
        <v>245.06235524172868</v>
      </c>
      <c r="J28" s="95">
        <f t="shared" si="13"/>
        <v>-0.90240432906166879</v>
      </c>
      <c r="K28" s="124">
        <f t="shared" si="11"/>
        <v>-0.90240432906166879</v>
      </c>
      <c r="L28" s="40"/>
      <c r="Q28" s="83"/>
    </row>
    <row r="29" spans="2:24" x14ac:dyDescent="0.2">
      <c r="B29" s="40"/>
      <c r="C29" s="125"/>
      <c r="D29" s="125"/>
      <c r="E29" s="125"/>
      <c r="F29" s="10"/>
      <c r="G29" s="10"/>
      <c r="H29" s="62"/>
      <c r="I29" s="10"/>
      <c r="J29" s="10"/>
      <c r="K29" s="10"/>
      <c r="L29" s="40"/>
      <c r="Q29" s="83"/>
    </row>
    <row r="30" spans="2:24" s="85" customFormat="1" x14ac:dyDescent="0.2">
      <c r="B30" s="126"/>
      <c r="C30" s="86" t="s">
        <v>177</v>
      </c>
      <c r="D30" s="86"/>
      <c r="E30" s="84"/>
      <c r="F30" s="127"/>
      <c r="G30" s="127"/>
      <c r="H30" s="127"/>
      <c r="I30" s="127"/>
      <c r="J30" s="127"/>
      <c r="K30" s="127"/>
      <c r="L30" s="126"/>
    </row>
    <row r="31" spans="2:24" s="85" customFormat="1" x14ac:dyDescent="0.2">
      <c r="B31" s="126"/>
      <c r="C31" s="84"/>
      <c r="D31" s="84"/>
      <c r="E31" s="84"/>
      <c r="F31" s="127"/>
      <c r="G31" s="127"/>
      <c r="H31" s="127"/>
      <c r="I31" s="127"/>
      <c r="J31" s="127"/>
      <c r="K31" s="127"/>
      <c r="L31" s="126"/>
    </row>
    <row r="32" spans="2:24" s="67" customFormat="1" x14ac:dyDescent="0.2">
      <c r="B32" s="111"/>
      <c r="C32" s="470" t="s">
        <v>47</v>
      </c>
      <c r="D32" s="188" t="s">
        <v>170</v>
      </c>
      <c r="E32" s="179" t="str">
        <f>E20</f>
        <v>Proposed Rent</v>
      </c>
      <c r="F32" s="467" t="str">
        <f>F20</f>
        <v>CBRE Sep-23</v>
      </c>
      <c r="G32" s="468"/>
      <c r="H32" s="469"/>
      <c r="I32" s="464" t="str">
        <f>I20</f>
        <v>FY23 Budget</v>
      </c>
      <c r="J32" s="465"/>
      <c r="K32" s="466"/>
      <c r="L32" s="111"/>
    </row>
    <row r="33" spans="2:12" s="67" customFormat="1" x14ac:dyDescent="0.2">
      <c r="B33" s="111"/>
      <c r="C33" s="471" t="str">
        <f>'3. GRI Pricing'!C29</f>
        <v>113N</v>
      </c>
      <c r="D33" s="189"/>
      <c r="E33" s="180">
        <f>$K$3</f>
        <v>45199</v>
      </c>
      <c r="F33" s="115">
        <f>F21</f>
        <v>45199</v>
      </c>
      <c r="G33" s="116" t="str">
        <f>G21</f>
        <v>Variance</v>
      </c>
      <c r="H33" s="117" t="str">
        <f>H21</f>
        <v>RAG</v>
      </c>
      <c r="I33" s="112">
        <f>I21</f>
        <v>45199</v>
      </c>
      <c r="J33" s="113" t="str">
        <f>J21</f>
        <v>Variance</v>
      </c>
      <c r="K33" s="114" t="str">
        <f>K21</f>
        <v>RAG</v>
      </c>
      <c r="L33" s="111"/>
    </row>
    <row r="34" spans="2:12" x14ac:dyDescent="0.2">
      <c r="B34" s="40"/>
      <c r="C34" s="88" t="s">
        <v>137</v>
      </c>
      <c r="D34" s="105">
        <f>D15</f>
        <v>283</v>
      </c>
      <c r="E34" s="182">
        <f>'3. GRI Pricing'!$Y$617</f>
        <v>4244100</v>
      </c>
      <c r="F34" s="87">
        <f>'4. Valuation'!K627</f>
        <v>3787512</v>
      </c>
      <c r="G34" s="93">
        <f>IFERROR((E34-F34)/F34,0)</f>
        <v>0.1205509051852509</v>
      </c>
      <c r="H34" s="118">
        <f t="shared" ref="H34" si="17">G34</f>
        <v>0.1205509051852509</v>
      </c>
      <c r="I34" s="376">
        <v>3623880</v>
      </c>
      <c r="J34" s="93">
        <f>IFERROR((E34-I34)/I34,0)</f>
        <v>0.17114805125997551</v>
      </c>
      <c r="K34" s="118">
        <f t="shared" ref="K34" si="18">J34</f>
        <v>0.17114805125997551</v>
      </c>
      <c r="L34" s="170"/>
    </row>
    <row r="35" spans="2:12" x14ac:dyDescent="0.2">
      <c r="B35" s="40"/>
      <c r="C35" s="108" t="s">
        <v>63</v>
      </c>
      <c r="D35" s="174">
        <f>D16</f>
        <v>0</v>
      </c>
      <c r="E35" s="184">
        <f>'2. GRI Pricing Inputs'!$D$118*'2. GRI Pricing Inputs'!$D$119*12</f>
        <v>0</v>
      </c>
      <c r="F35" s="108">
        <f>'4. Valuation'!L18*'4. Valuation'!D18</f>
        <v>0</v>
      </c>
      <c r="G35" s="171">
        <f>IFERROR((E35-F35)/F35,0)</f>
        <v>0</v>
      </c>
      <c r="H35" s="172">
        <f t="shared" ref="H35" si="19">G35</f>
        <v>0</v>
      </c>
      <c r="I35" s="373">
        <v>0</v>
      </c>
      <c r="J35" s="171">
        <f>IFERROR((E35-I35)/I35,0)</f>
        <v>0</v>
      </c>
      <c r="K35" s="172">
        <f t="shared" ref="K35" si="20">J35</f>
        <v>0</v>
      </c>
      <c r="L35" s="40"/>
    </row>
    <row r="36" spans="2:12" x14ac:dyDescent="0.2">
      <c r="B36" s="40"/>
      <c r="C36" s="108" t="s">
        <v>178</v>
      </c>
      <c r="D36" s="108" t="s">
        <v>179</v>
      </c>
      <c r="E36" s="184">
        <f>SUM(E34:E35)</f>
        <v>4244100</v>
      </c>
      <c r="F36" s="108">
        <f>SUM(F34:F35)</f>
        <v>3787512</v>
      </c>
      <c r="G36" s="171">
        <f>IFERROR((E36-F36)/F36,0)</f>
        <v>0.1205509051852509</v>
      </c>
      <c r="H36" s="172">
        <f t="shared" ref="H36" si="21">G36</f>
        <v>0.1205509051852509</v>
      </c>
      <c r="I36" s="374">
        <f>SUM(I34:I35)</f>
        <v>3623880</v>
      </c>
      <c r="J36" s="171">
        <f>IFERROR((E36-I36)/I36,0)</f>
        <v>0.17114805125997551</v>
      </c>
      <c r="K36" s="172">
        <f t="shared" ref="K36" si="22">J36</f>
        <v>0.17114805125997551</v>
      </c>
      <c r="L36" s="40"/>
    </row>
    <row r="37" spans="2:12" x14ac:dyDescent="0.2">
      <c r="B37" s="40"/>
      <c r="C37" s="173" t="s">
        <v>180</v>
      </c>
      <c r="D37" s="173"/>
      <c r="E37" s="86"/>
      <c r="F37" s="62"/>
      <c r="G37" s="62"/>
      <c r="H37" s="62"/>
      <c r="I37" s="62"/>
      <c r="J37" s="62"/>
      <c r="K37" s="62"/>
    </row>
    <row r="38" spans="2:12" x14ac:dyDescent="0.2">
      <c r="F38" s="63"/>
      <c r="G38" s="63"/>
      <c r="H38" s="63"/>
      <c r="I38" s="63"/>
      <c r="J38" s="63"/>
      <c r="K38" s="63"/>
    </row>
    <row r="39" spans="2:12" x14ac:dyDescent="0.2">
      <c r="F39" s="63"/>
      <c r="G39" s="63"/>
      <c r="H39" s="63"/>
      <c r="I39" s="63"/>
      <c r="J39" s="63"/>
      <c r="K39" s="63"/>
    </row>
    <row r="40" spans="2:12" x14ac:dyDescent="0.2">
      <c r="C40" s="168"/>
      <c r="D40" s="168"/>
      <c r="E40" s="168" t="s">
        <v>170</v>
      </c>
      <c r="F40" s="168" t="s">
        <v>181</v>
      </c>
      <c r="G40" s="168" t="s">
        <v>182</v>
      </c>
      <c r="H40" s="63"/>
      <c r="K40" s="63"/>
    </row>
    <row r="41" spans="2:12" x14ac:dyDescent="0.2">
      <c r="C41" s="165" t="str">
        <f>'3. GRI Pricing'!C6</f>
        <v>1 Bed</v>
      </c>
      <c r="D41" s="165"/>
      <c r="E41" s="165">
        <f>'3. GRI Pricing'!D6</f>
        <v>78</v>
      </c>
      <c r="F41" s="166">
        <f>E9</f>
        <v>999.80769230769226</v>
      </c>
      <c r="G41" s="166">
        <f>F41*12*E41</f>
        <v>935819.99999999988</v>
      </c>
    </row>
    <row r="42" spans="2:12" x14ac:dyDescent="0.2">
      <c r="C42" s="165" t="str">
        <f>'3. GRI Pricing'!C7</f>
        <v>2 Bed</v>
      </c>
      <c r="D42" s="165"/>
      <c r="E42" s="165">
        <f>'3. GRI Pricing'!D7</f>
        <v>179</v>
      </c>
      <c r="F42" s="166">
        <f>E10</f>
        <v>1293.4357541899442</v>
      </c>
      <c r="G42" s="166">
        <f>F42*12*E42</f>
        <v>2778300</v>
      </c>
    </row>
    <row r="43" spans="2:12" x14ac:dyDescent="0.2">
      <c r="C43" s="165" t="str">
        <f>'3. GRI Pricing'!C8</f>
        <v>3 Bed</v>
      </c>
      <c r="D43" s="165"/>
      <c r="E43" s="165">
        <f>'3. GRI Pricing'!D8</f>
        <v>26</v>
      </c>
      <c r="F43" s="166">
        <f>E11</f>
        <v>1698.6538461538462</v>
      </c>
      <c r="G43" s="166">
        <f>F43*12*E43</f>
        <v>529980</v>
      </c>
    </row>
    <row r="44" spans="2:12" x14ac:dyDescent="0.2">
      <c r="C44" s="165">
        <f>'3. GRI Pricing'!C9</f>
        <v>0</v>
      </c>
      <c r="D44" s="165"/>
      <c r="E44" s="165">
        <f>'3. GRI Pricing'!D9</f>
        <v>0</v>
      </c>
      <c r="F44" s="166">
        <f>E12</f>
        <v>0</v>
      </c>
      <c r="G44" s="166">
        <f>F44*12*E44</f>
        <v>0</v>
      </c>
    </row>
    <row r="45" spans="2:12" x14ac:dyDescent="0.2">
      <c r="C45" s="165">
        <f>'3. GRI Pricing'!C10</f>
        <v>0</v>
      </c>
      <c r="D45" s="165"/>
      <c r="E45" s="165">
        <f>'3. GRI Pricing'!D10</f>
        <v>0</v>
      </c>
      <c r="F45" s="166">
        <f>E13</f>
        <v>0</v>
      </c>
      <c r="G45" s="166">
        <f>F45*12*E45</f>
        <v>0</v>
      </c>
    </row>
    <row r="46" spans="2:12" x14ac:dyDescent="0.2">
      <c r="C46" s="165"/>
      <c r="D46" s="165"/>
      <c r="E46" s="165">
        <f>SUM(E41:E45)</f>
        <v>283</v>
      </c>
      <c r="F46" s="166">
        <f>E15</f>
        <v>1249.7349823321554</v>
      </c>
      <c r="G46" s="167">
        <f>SUM(G41:G45)</f>
        <v>4244100</v>
      </c>
    </row>
    <row r="47" spans="2:12" x14ac:dyDescent="0.2">
      <c r="F47" s="169">
        <f>IF(F46=E15,1,0)</f>
        <v>1</v>
      </c>
      <c r="G47" s="169">
        <f>IF(G46=E34,1,0)</f>
        <v>1</v>
      </c>
    </row>
  </sheetData>
  <sheetProtection algorithmName="SHA-512" hashValue="braUW41/pyWia5TQiDEpcS81cFuueLY4szbWFrV+OwILR2/KpQjlbO9d0gBh664dTojDxX6EBAkxoskxt1jkFw==" saltValue="v2lAHMmb6UyHEyfy4wXxDg==" spinCount="100000" sheet="1" selectLockedCells="1"/>
  <mergeCells count="9">
    <mergeCell ref="I32:K32"/>
    <mergeCell ref="F32:H32"/>
    <mergeCell ref="C32:C33"/>
    <mergeCell ref="C7:C8"/>
    <mergeCell ref="I7:K7"/>
    <mergeCell ref="F7:H7"/>
    <mergeCell ref="C20:C21"/>
    <mergeCell ref="I20:K20"/>
    <mergeCell ref="F20:H20"/>
  </mergeCells>
  <conditionalFormatting sqref="F47:G47">
    <cfRule type="iconSet" priority="6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4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57F190C9-5A9D-425D-9162-12053D1A000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H9:H15</xm:sqref>
        </x14:conditionalFormatting>
        <x14:conditionalFormatting xmlns:xm="http://schemas.microsoft.com/office/excel/2006/main">
          <x14:cfRule type="iconSet" priority="11" id="{88B92E23-7FE1-4649-93A1-E3910090B80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H16</xm:sqref>
        </x14:conditionalFormatting>
        <x14:conditionalFormatting xmlns:xm="http://schemas.microsoft.com/office/excel/2006/main">
          <x14:cfRule type="iconSet" priority="20" id="{FB1311BF-5959-41C4-B548-68696E5D9A22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H22:H28</xm:sqref>
        </x14:conditionalFormatting>
        <x14:conditionalFormatting xmlns:xm="http://schemas.microsoft.com/office/excel/2006/main">
          <x14:cfRule type="iconSet" priority="23" id="{134F53B4-F3E9-4525-BF2B-C67C977490E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H34</xm:sqref>
        </x14:conditionalFormatting>
        <x14:conditionalFormatting xmlns:xm="http://schemas.microsoft.com/office/excel/2006/main">
          <x14:cfRule type="iconSet" priority="17" id="{3F1075A1-5EBE-410E-BE83-9F032ABA659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H35</xm:sqref>
        </x14:conditionalFormatting>
        <x14:conditionalFormatting xmlns:xm="http://schemas.microsoft.com/office/excel/2006/main">
          <x14:cfRule type="iconSet" priority="1" id="{C87EBE4B-4E00-4722-8F8A-8FDC91A32489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21" id="{1771B60C-4CDF-44CA-8501-5766CE46D278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K9:K15</xm:sqref>
        </x14:conditionalFormatting>
        <x14:conditionalFormatting xmlns:xm="http://schemas.microsoft.com/office/excel/2006/main">
          <x14:cfRule type="iconSet" priority="12" id="{A55EAC05-75D1-4D53-ADB8-F863534DA23F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9" id="{E09BED1F-415D-4FD9-B227-51BED9A0EFB1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K22:K28</xm:sqref>
        </x14:conditionalFormatting>
        <x14:conditionalFormatting xmlns:xm="http://schemas.microsoft.com/office/excel/2006/main">
          <x14:cfRule type="iconSet" priority="24" id="{B9652EE4-25EA-426C-A487-86CBB9396DA0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8" id="{E15A4E06-B58D-4FB7-9544-416D83AFBA9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3" id="{AF6322A8-9798-4FCA-9B1D-3A1C64006F65}">
            <x14:iconSet showValue="0" custom="1">
              <x14:cfvo type="percent">
                <xm:f>0</xm:f>
              </x14:cfvo>
              <x14:cfvo type="num">
                <xm:f>-5.0000000000000001E-3</xm:f>
              </x14:cfvo>
              <x14:cfvo type="num">
                <xm:f>5.0000000000000001E-3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FE3-5D45-454C-8EC9-CF53D2BD8ACD}">
  <sheetPr>
    <tabColor theme="6" tint="0.39997558519241921"/>
    <pageSetUpPr fitToPage="1"/>
  </sheetPr>
  <dimension ref="B2:Q27"/>
  <sheetViews>
    <sheetView showGridLines="0" zoomScaleNormal="100" zoomScaleSheetLayoutView="80" workbookViewId="0">
      <selection activeCell="C7" sqref="C7"/>
    </sheetView>
  </sheetViews>
  <sheetFormatPr defaultColWidth="9" defaultRowHeight="14.25" outlineLevelRow="1" x14ac:dyDescent="0.2"/>
  <cols>
    <col min="1" max="1" width="1.625" style="1" customWidth="1"/>
    <col min="2" max="2" width="3" style="1" customWidth="1"/>
    <col min="3" max="3" width="12.875" style="1" customWidth="1"/>
    <col min="4" max="5" width="13.125" style="1" customWidth="1"/>
    <col min="6" max="6" width="9.375" style="1" bestFit="1" customWidth="1"/>
    <col min="7" max="7" width="13.125" style="1" customWidth="1"/>
    <col min="8" max="8" width="7" style="1" bestFit="1" customWidth="1"/>
    <col min="9" max="9" width="12.125" style="1" bestFit="1" customWidth="1"/>
    <col min="10" max="12" width="9.375" style="1" customWidth="1"/>
    <col min="13" max="20" width="7.125" style="1" customWidth="1"/>
    <col min="21" max="16384" width="9" style="1"/>
  </cols>
  <sheetData>
    <row r="2" spans="2:17" x14ac:dyDescent="0.2">
      <c r="B2" s="40"/>
      <c r="C2" s="40"/>
      <c r="D2" s="40"/>
      <c r="E2" s="40"/>
      <c r="F2" s="40"/>
      <c r="G2" s="40"/>
      <c r="H2" s="40"/>
      <c r="J2" s="40"/>
      <c r="K2" s="40"/>
      <c r="L2" s="40"/>
    </row>
    <row r="3" spans="2:17" ht="28.5" customHeight="1" x14ac:dyDescent="0.2">
      <c r="B3" s="40"/>
      <c r="C3" s="163" t="s">
        <v>167</v>
      </c>
      <c r="D3" s="163"/>
      <c r="E3" s="163"/>
      <c r="F3" s="163"/>
      <c r="G3" s="333"/>
      <c r="H3" s="163"/>
      <c r="I3" s="163" t="str">
        <f>'1. Accomodation'!$I$5</f>
        <v>The Forge, Newcastle</v>
      </c>
      <c r="J3" s="333"/>
      <c r="K3" s="163"/>
      <c r="L3" s="163"/>
      <c r="M3" s="21"/>
      <c r="N3" s="21"/>
    </row>
    <row r="4" spans="2:17" x14ac:dyDescent="0.2">
      <c r="B4" s="40"/>
      <c r="C4" s="125"/>
      <c r="D4" s="125"/>
      <c r="E4" s="125"/>
      <c r="F4" s="125"/>
      <c r="G4" s="125"/>
      <c r="H4" s="40"/>
      <c r="I4" s="40"/>
      <c r="J4" s="125"/>
      <c r="K4" s="125"/>
      <c r="L4" s="125"/>
      <c r="M4" s="21"/>
      <c r="N4" s="21"/>
    </row>
    <row r="5" spans="2:17" x14ac:dyDescent="0.2">
      <c r="B5" s="40"/>
      <c r="C5" s="86" t="s">
        <v>183</v>
      </c>
      <c r="D5" s="86"/>
      <c r="E5" s="10"/>
      <c r="F5" s="10"/>
      <c r="G5" s="10"/>
      <c r="H5" s="40"/>
      <c r="I5" s="110"/>
      <c r="J5" s="10"/>
      <c r="K5" s="10"/>
      <c r="L5" s="10"/>
      <c r="M5" s="21"/>
      <c r="N5" s="21"/>
    </row>
    <row r="6" spans="2:17" x14ac:dyDescent="0.2">
      <c r="B6" s="40"/>
      <c r="C6" s="86"/>
      <c r="D6" s="86"/>
      <c r="E6" s="10"/>
      <c r="F6" s="10"/>
      <c r="G6" s="10"/>
      <c r="H6" s="40"/>
      <c r="I6" s="110"/>
      <c r="J6" s="10"/>
      <c r="K6" s="10"/>
      <c r="L6" s="10"/>
      <c r="M6" s="21"/>
      <c r="N6" s="21"/>
    </row>
    <row r="7" spans="2:17" x14ac:dyDescent="0.2">
      <c r="B7" s="40"/>
      <c r="C7" s="334" t="s">
        <v>47</v>
      </c>
      <c r="D7" s="472" t="s">
        <v>208</v>
      </c>
      <c r="E7" s="473"/>
      <c r="F7" s="474"/>
      <c r="G7" s="475" t="str">
        <f>TEXT('4. Valuation'!$D$5,0)</f>
        <v>CBRE</v>
      </c>
      <c r="H7" s="476"/>
      <c r="I7" s="477"/>
      <c r="J7" s="478" t="str">
        <f>'5a. Dashboard'!I7</f>
        <v>FY23 Budget</v>
      </c>
      <c r="K7" s="479"/>
      <c r="L7" s="480"/>
      <c r="M7" s="21"/>
      <c r="O7" s="21"/>
      <c r="P7" s="21"/>
      <c r="Q7" s="83"/>
    </row>
    <row r="8" spans="2:17" x14ac:dyDescent="0.2">
      <c r="B8" s="40"/>
      <c r="C8" s="335"/>
      <c r="D8" s="232">
        <f>'5a. Dashboard'!$E$8</f>
        <v>45199</v>
      </c>
      <c r="E8" s="233">
        <f>EOMONTH(D8,6)</f>
        <v>45382</v>
      </c>
      <c r="F8" s="234">
        <f>EOMONTH(E8,6)</f>
        <v>45565</v>
      </c>
      <c r="G8" s="235">
        <f>'5a. Dashboard'!F8</f>
        <v>45199</v>
      </c>
      <c r="H8" s="236">
        <f>EOMONTH(G8,6)</f>
        <v>45382</v>
      </c>
      <c r="I8" s="237">
        <f>EOMONTH(H8,6)</f>
        <v>45565</v>
      </c>
      <c r="J8" s="246">
        <f>G8</f>
        <v>45199</v>
      </c>
      <c r="K8" s="247">
        <f>EOMONTH(J8,6)</f>
        <v>45382</v>
      </c>
      <c r="L8" s="248">
        <f>EOMONTH(K8,6)</f>
        <v>45565</v>
      </c>
      <c r="M8" s="21"/>
      <c r="O8" s="21"/>
      <c r="P8" s="21"/>
      <c r="Q8" s="83"/>
    </row>
    <row r="9" spans="2:17" s="67" customFormat="1" x14ac:dyDescent="0.2">
      <c r="B9" s="111"/>
      <c r="C9" s="249" t="str">
        <f>'3. GRI Pricing'!C6</f>
        <v>1 Bed</v>
      </c>
      <c r="D9" s="238">
        <f>'3. GRI Pricing'!$F6</f>
        <v>999.80769230769226</v>
      </c>
      <c r="E9" s="238">
        <f>$D9*(1+'2. GRI Pricing Inputs'!$D$114)^(($E$8-$D$8)/365)</f>
        <v>1019.6625685269945</v>
      </c>
      <c r="F9" s="239">
        <f>$E9*(1+'2. GRI Pricing Inputs'!$D$114)^(($F$8-$E$8)/365)</f>
        <v>1039.9117366813525</v>
      </c>
      <c r="G9" s="238">
        <f ca="1">'4. Valuation'!K11</f>
        <v>867</v>
      </c>
      <c r="H9" s="238">
        <f ca="1">$G9*(1+'4. Valuation'!$H$7)^(($H$8-$G$8)/365)</f>
        <v>879.94452825473809</v>
      </c>
      <c r="I9" s="239">
        <f ca="1">$H9*(1+'4. Valuation'!$H$7)^(($I$8-$H$8)/365)</f>
        <v>893.08232157491761</v>
      </c>
      <c r="J9" s="238">
        <f>'5a. Dashboard'!I9*(1+'2. GRI Pricing Inputs'!$D$114)^(('5b. Dashboard '!$J$8-'5a. Dashboard'!$I$8)/365)</f>
        <v>0</v>
      </c>
      <c r="K9" s="238">
        <f>'5a. Dashboard'!I9*(1+'2. GRI Pricing Inputs'!$D$114)^(($K$8-'5a. Dashboard'!$I$8)/365)</f>
        <v>0</v>
      </c>
      <c r="L9" s="239">
        <f>'5a. Dashboard'!I9*(1+'2. GRI Pricing Inputs'!$D$114)^(($L$8-'5a. Dashboard'!$I$8)/365)</f>
        <v>0</v>
      </c>
      <c r="M9" s="83"/>
      <c r="O9" s="83"/>
      <c r="P9" s="83"/>
      <c r="Q9" s="83"/>
    </row>
    <row r="10" spans="2:17" ht="14.25" customHeight="1" x14ac:dyDescent="0.2">
      <c r="B10" s="40"/>
      <c r="C10" s="250" t="str">
        <f>'3. GRI Pricing'!C7</f>
        <v>2 Bed</v>
      </c>
      <c r="D10" s="240">
        <f>'3. GRI Pricing'!$F7</f>
        <v>1293.4357541899442</v>
      </c>
      <c r="E10" s="240">
        <f>$D10*(1+'2. GRI Pricing Inputs'!$D$114)^(($E$8-$D$8)/365)</f>
        <v>1319.1217005920826</v>
      </c>
      <c r="F10" s="241">
        <f>$E10*(1+'2. GRI Pricing Inputs'!$D$114)^(($F$8-$E$8)/365)</f>
        <v>1345.3177363747227</v>
      </c>
      <c r="G10" s="240">
        <f ca="1">'4. Valuation'!K12</f>
        <v>1166</v>
      </c>
      <c r="H10" s="240">
        <f ca="1">$G10*(1+'4. Valuation'!$H$7)^(($H$8-$G$8)/365)</f>
        <v>1183.4086735236731</v>
      </c>
      <c r="I10" s="241">
        <f ca="1">$H10*(1+'4. Valuation'!$H$7)^(($I$8-$H$8)/365)</f>
        <v>1201.077262925437</v>
      </c>
      <c r="J10" s="240">
        <f>'5a. Dashboard'!I10*(1+'2. GRI Pricing Inputs'!$D$114)^(('5b. Dashboard '!$J$8-'5a. Dashboard'!$I$8)/365)</f>
        <v>0</v>
      </c>
      <c r="K10" s="240">
        <f>'5a. Dashboard'!I10*(1+'2. GRI Pricing Inputs'!$D$114)^(($K$8-'5a. Dashboard'!$I$8)/365)</f>
        <v>0</v>
      </c>
      <c r="L10" s="241">
        <f>'5a. Dashboard'!I10*(1+'2. GRI Pricing Inputs'!$D$114)^(($L$8-'5a. Dashboard'!$I$8)/365)</f>
        <v>0</v>
      </c>
      <c r="M10" s="21"/>
      <c r="O10" s="21"/>
      <c r="P10" s="21"/>
      <c r="Q10" s="83"/>
    </row>
    <row r="11" spans="2:17" ht="14.25" customHeight="1" x14ac:dyDescent="0.2">
      <c r="B11" s="40"/>
      <c r="C11" s="250" t="str">
        <f>'3. GRI Pricing'!C8</f>
        <v>3 Bed</v>
      </c>
      <c r="D11" s="240">
        <f>'3. GRI Pricing'!$F8</f>
        <v>1698.6538461538462</v>
      </c>
      <c r="E11" s="240">
        <f>$D11*(1+'2. GRI Pricing Inputs'!$D$114)^(($E$8-$D$8)/365)</f>
        <v>1732.3868951334762</v>
      </c>
      <c r="F11" s="241">
        <f>$E11*(1+'2. GRI Pricing Inputs'!$D$114)^(($F$8-$E$8)/365)</f>
        <v>1766.7898384509306</v>
      </c>
      <c r="G11" s="240">
        <f ca="1">'4. Valuation'!K13</f>
        <v>1511</v>
      </c>
      <c r="H11" s="240">
        <f ca="1">$G11*(1+'4. Valuation'!$H$7)^(($H$8-$G$8)/365)</f>
        <v>1533.5596103724442</v>
      </c>
      <c r="I11" s="241">
        <f ca="1">$H11*(1+'4. Valuation'!$H$7)^(($I$8-$H$8)/365)</f>
        <v>1556.4560414068055</v>
      </c>
      <c r="J11" s="240">
        <f>'5a. Dashboard'!I11*(1+'2. GRI Pricing Inputs'!$D$114)^(('5b. Dashboard '!$J$8-'5a. Dashboard'!$I$8)/365)</f>
        <v>0</v>
      </c>
      <c r="K11" s="240">
        <f>'5a. Dashboard'!I11*(1+'2. GRI Pricing Inputs'!$D$114)^(($K$8-'5a. Dashboard'!$I$8)/365)</f>
        <v>0</v>
      </c>
      <c r="L11" s="241">
        <f>'5a. Dashboard'!I11*(1+'2. GRI Pricing Inputs'!$D$114)^(($L$8-'5a. Dashboard'!$I$8)/365)</f>
        <v>0</v>
      </c>
      <c r="M11" s="21"/>
      <c r="O11" s="21"/>
      <c r="P11" s="21"/>
      <c r="Q11" s="83"/>
    </row>
    <row r="12" spans="2:17" ht="14.25" customHeight="1" outlineLevel="1" x14ac:dyDescent="0.2">
      <c r="B12" s="40"/>
      <c r="C12" s="250">
        <f>'3. GRI Pricing'!C9</f>
        <v>0</v>
      </c>
      <c r="D12" s="240">
        <f>'3. GRI Pricing'!$F9</f>
        <v>0</v>
      </c>
      <c r="E12" s="240">
        <f>$D12*(1+'2. GRI Pricing Inputs'!$D$114)^(($E$8-$D$8)/365)</f>
        <v>0</v>
      </c>
      <c r="F12" s="241">
        <f>$E12*(1+'2. GRI Pricing Inputs'!$D$114)^(($F$8-$E$8)/365)</f>
        <v>0</v>
      </c>
      <c r="G12" s="240">
        <f ca="1">'4. Valuation'!K14</f>
        <v>0</v>
      </c>
      <c r="H12" s="240">
        <f ca="1">$G12*(1+'4. Valuation'!$H$7)^(($H$8-$G$8)/365)</f>
        <v>0</v>
      </c>
      <c r="I12" s="241">
        <f ca="1">$H12*(1+'4. Valuation'!$H$7)^(($I$8-$H$8)/365)</f>
        <v>0</v>
      </c>
      <c r="J12" s="240">
        <f>'5a. Dashboard'!I12*(1+'2. GRI Pricing Inputs'!$D$114)^(('5b. Dashboard '!$J$8-'5a. Dashboard'!$I$8)/365)</f>
        <v>0</v>
      </c>
      <c r="K12" s="240">
        <f>'5a. Dashboard'!I12*(1+'2. GRI Pricing Inputs'!$D$114)^(($K$8-'5a. Dashboard'!$I$8)/365)</f>
        <v>0</v>
      </c>
      <c r="L12" s="241">
        <f>'5a. Dashboard'!I12*(1+'2. GRI Pricing Inputs'!$D$114)^(($L$8-'5a. Dashboard'!$I$8)/365)</f>
        <v>0</v>
      </c>
      <c r="Q12" s="83"/>
    </row>
    <row r="13" spans="2:17" ht="14.25" customHeight="1" outlineLevel="1" x14ac:dyDescent="0.2">
      <c r="B13" s="40"/>
      <c r="C13" s="250">
        <f>'3. GRI Pricing'!C10</f>
        <v>0</v>
      </c>
      <c r="D13" s="240">
        <f>'3. GRI Pricing'!$F10</f>
        <v>0</v>
      </c>
      <c r="E13" s="240">
        <f>$D13*(1+'2. GRI Pricing Inputs'!$D$114)^(($E$8-$D$8)/365)</f>
        <v>0</v>
      </c>
      <c r="F13" s="241">
        <f>$E13*(1+'2. GRI Pricing Inputs'!$D$114)^(($F$8-$E$8)/365)</f>
        <v>0</v>
      </c>
      <c r="G13" s="240">
        <f ca="1">'4. Valuation'!K15</f>
        <v>0</v>
      </c>
      <c r="H13" s="240">
        <f ca="1">$G13*(1+'4. Valuation'!$H$7)^(($H$8-$G$8)/365)</f>
        <v>0</v>
      </c>
      <c r="I13" s="241">
        <f ca="1">$H13*(1+'4. Valuation'!$H$7)^(($I$8-$H$8)/365)</f>
        <v>0</v>
      </c>
      <c r="J13" s="240">
        <f>'5a. Dashboard'!I13*(1+'2. GRI Pricing Inputs'!$D$114)^(('5b. Dashboard '!$J$8-'5a. Dashboard'!$I$8)/365)</f>
        <v>0</v>
      </c>
      <c r="K13" s="240">
        <f>'5a. Dashboard'!I13*(1+'2. GRI Pricing Inputs'!$D$114)^(($K$8-'5a. Dashboard'!$I$8)/365)</f>
        <v>0</v>
      </c>
      <c r="L13" s="241">
        <f>'5a. Dashboard'!I13*(1+'2. GRI Pricing Inputs'!$D$114)^(($L$8-'5a. Dashboard'!$I$8)/365)</f>
        <v>0</v>
      </c>
      <c r="Q13" s="83"/>
    </row>
    <row r="14" spans="2:17" ht="14.25" customHeight="1" outlineLevel="1" x14ac:dyDescent="0.2">
      <c r="B14" s="40"/>
      <c r="C14" s="357" t="str">
        <f>'3. GRI Pricing'!C12</f>
        <v>AVERAGE</v>
      </c>
      <c r="D14" s="244">
        <f>'3. GRI Pricing'!$F12</f>
        <v>1249.7349823321554</v>
      </c>
      <c r="E14" s="244">
        <f>$D14*(1+'2. GRI Pricing Inputs'!$D$114)^(($E$8-$D$8)/365)</f>
        <v>1274.5530884260024</v>
      </c>
      <c r="F14" s="245">
        <f>$E14*(1+'2. GRI Pricing Inputs'!$D$114)^(($F$8-$E$8)/365)</f>
        <v>1299.8640497241875</v>
      </c>
      <c r="G14" s="244">
        <f>'4. Valuation'!$K17</f>
        <v>1115.2862190812721</v>
      </c>
      <c r="H14" s="244">
        <f>$G14*(1+'4. Valuation'!$H$7)^(($H$8-$G$8)/365)</f>
        <v>1131.937723089366</v>
      </c>
      <c r="I14" s="245">
        <f>$H14*(1+'4. Valuation'!$H$7)^(($I$8-$H$8)/365)</f>
        <v>1148.8378382440767</v>
      </c>
      <c r="J14" s="244">
        <f>'5a. Dashboard'!I14*(1+'2. GRI Pricing Inputs'!$D$114)^(('5b. Dashboard '!$J$8-'5a. Dashboard'!$I$8)/365)</f>
        <v>0</v>
      </c>
      <c r="K14" s="244">
        <f>'5a. Dashboard'!I14*(1+'2. GRI Pricing Inputs'!$D$114)^(($K$8-'5a. Dashboard'!$I$8)/365)</f>
        <v>0</v>
      </c>
      <c r="L14" s="245">
        <f>'5a. Dashboard'!I14*(1+'2. GRI Pricing Inputs'!$D$114)^(($L$8-'5a. Dashboard'!$I$8)/365)</f>
        <v>0</v>
      </c>
      <c r="Q14" s="83"/>
    </row>
    <row r="15" spans="2:17" x14ac:dyDescent="0.2">
      <c r="B15" s="40"/>
      <c r="C15" s="251" t="str">
        <f>'3. GRI Pricing'!C13</f>
        <v>Car park</v>
      </c>
      <c r="D15" s="242">
        <f>'3. GRI Pricing'!$F13</f>
        <v>10</v>
      </c>
      <c r="E15" s="242">
        <f>$D15*(1+'2. GRI Pricing Inputs'!$D$114)^(($E$8-$D$8)/365)</f>
        <v>10.198586951991482</v>
      </c>
      <c r="F15" s="243">
        <f>$E15*(1+'2. GRI Pricing Inputs'!$D$114)^(($F$8-$E$8)/365)</f>
        <v>10.401117581733089</v>
      </c>
      <c r="G15" s="242">
        <f>'4. Valuation'!$K18</f>
        <v>0</v>
      </c>
      <c r="H15" s="242">
        <f>$G15*(1+'4. Valuation'!$H$7)^(($H$8-$G$8)/365)</f>
        <v>0</v>
      </c>
      <c r="I15" s="243">
        <f>$H15*(1+'4. Valuation'!$H$7)^(($I$8-$H$8)/365)</f>
        <v>0</v>
      </c>
      <c r="J15" s="242">
        <f>'5a. Dashboard'!I15*(1+'2. GRI Pricing Inputs'!$D$114)^(('5b. Dashboard '!$J$8-'5a. Dashboard'!$I$8)/365)</f>
        <v>12805.229681978799</v>
      </c>
      <c r="K15" s="242">
        <f>'5a. Dashboard'!I15*(1+'2. GRI Pricing Inputs'!$D$114)^(($K$8-'5a. Dashboard'!$I$8)/365)</f>
        <v>13059.524835188302</v>
      </c>
      <c r="L15" s="243">
        <f>'5a. Dashboard'!I15*(1+'2. GRI Pricing Inputs'!$D$114)^(($L$8-'5a. Dashboard'!$I$8)/365)</f>
        <v>13318.869958336012</v>
      </c>
      <c r="Q15" s="83"/>
    </row>
    <row r="16" spans="2:17" x14ac:dyDescent="0.2">
      <c r="B16" s="40"/>
      <c r="C16" s="10"/>
      <c r="D16" s="10"/>
      <c r="E16" s="10"/>
      <c r="F16" s="10"/>
      <c r="G16" s="10"/>
      <c r="H16" s="10"/>
      <c r="I16" s="40"/>
      <c r="J16" s="10"/>
      <c r="K16" s="10"/>
      <c r="L16" s="10"/>
      <c r="N16" s="83"/>
    </row>
    <row r="17" spans="2:12" s="85" customFormat="1" x14ac:dyDescent="0.2">
      <c r="B17" s="126"/>
      <c r="C17" s="10"/>
      <c r="D17" s="10"/>
      <c r="E17" s="10"/>
      <c r="F17" s="10"/>
      <c r="J17" s="10"/>
      <c r="K17" s="10"/>
      <c r="L17" s="10"/>
    </row>
    <row r="18" spans="2:12" s="85" customFormat="1" x14ac:dyDescent="0.2">
      <c r="B18" s="126"/>
      <c r="C18" s="10"/>
      <c r="D18" s="10"/>
      <c r="E18" s="10"/>
      <c r="F18" s="10"/>
      <c r="J18" s="10"/>
      <c r="K18" s="10"/>
      <c r="L18" s="10"/>
    </row>
    <row r="19" spans="2:12" s="67" customFormat="1" x14ac:dyDescent="0.2">
      <c r="B19" s="111"/>
      <c r="C19" s="10"/>
      <c r="D19" s="10"/>
      <c r="E19" s="10"/>
      <c r="F19" s="10"/>
      <c r="J19" s="10"/>
      <c r="K19" s="10"/>
      <c r="L19" s="10"/>
    </row>
    <row r="20" spans="2:12" s="67" customFormat="1" x14ac:dyDescent="0.2">
      <c r="B20" s="111"/>
      <c r="C20" s="10"/>
      <c r="D20" s="10"/>
      <c r="E20" s="10"/>
      <c r="F20" s="10"/>
      <c r="J20" s="10"/>
      <c r="K20" s="10"/>
      <c r="L20" s="10"/>
    </row>
    <row r="21" spans="2:12" x14ac:dyDescent="0.2">
      <c r="B21" s="40"/>
      <c r="C21" s="10"/>
      <c r="D21" s="10"/>
      <c r="E21" s="10"/>
      <c r="F21" s="10"/>
      <c r="J21" s="10"/>
      <c r="K21" s="10"/>
      <c r="L21" s="10"/>
    </row>
    <row r="22" spans="2:12" x14ac:dyDescent="0.2">
      <c r="B22" s="40"/>
      <c r="C22" s="10"/>
      <c r="D22" s="10"/>
      <c r="E22" s="10"/>
      <c r="F22" s="10"/>
      <c r="J22" s="10"/>
      <c r="K22" s="10"/>
      <c r="L22" s="10"/>
    </row>
    <row r="23" spans="2:12" x14ac:dyDescent="0.2">
      <c r="B23" s="40"/>
      <c r="C23" s="10"/>
      <c r="D23" s="10"/>
      <c r="E23" s="10"/>
      <c r="F23" s="10"/>
      <c r="J23" s="10"/>
      <c r="K23" s="10"/>
      <c r="L23" s="10"/>
    </row>
    <row r="24" spans="2:12" x14ac:dyDescent="0.2">
      <c r="B24" s="40"/>
      <c r="C24" s="10"/>
      <c r="D24" s="10"/>
      <c r="E24" s="10"/>
      <c r="F24" s="10"/>
      <c r="J24" s="10"/>
      <c r="K24" s="10"/>
      <c r="L24" s="10"/>
    </row>
    <row r="25" spans="2:12" x14ac:dyDescent="0.2">
      <c r="F25" s="63"/>
      <c r="J25" s="63"/>
      <c r="K25" s="63"/>
      <c r="L25" s="63"/>
    </row>
    <row r="26" spans="2:12" x14ac:dyDescent="0.2">
      <c r="G26" s="63"/>
      <c r="H26" s="63"/>
    </row>
    <row r="27" spans="2:12" x14ac:dyDescent="0.2">
      <c r="G27" s="63"/>
      <c r="H27" s="63"/>
    </row>
  </sheetData>
  <sheetProtection algorithmName="SHA-512" hashValue="MIiL0sFVXsvzxUOzpOzTs7ed42mNkZgeneMl4upLYWaKLjvRQ0d+n6ra/xBlYjKspbU8iQEmBPy4Y5ya6BdSyA==" saltValue="sg21TQ4S3M3hg/G89hegvA==" spinCount="100000" sheet="1" selectLockedCells="1"/>
  <mergeCells count="3">
    <mergeCell ref="D7:F7"/>
    <mergeCell ref="G7:I7"/>
    <mergeCell ref="J7:L7"/>
  </mergeCells>
  <conditionalFormatting sqref="F34 J34:L34">
    <cfRule type="iconSet" priority="25">
      <iconSet iconSet="3Symbols" showValue="0">
        <cfvo type="percent" val="0"/>
        <cfvo type="num" val="0"/>
        <cfvo type="num" val="0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E9E9-D770-4525-B2D4-7196515067EC}">
  <sheetPr codeName="Sheet7">
    <tabColor theme="8" tint="0.89999084444715716"/>
    <pageSetUpPr fitToPage="1"/>
  </sheetPr>
  <dimension ref="C3:U607"/>
  <sheetViews>
    <sheetView showGridLines="0" zoomScaleNormal="100" zoomScaleSheetLayoutView="90" workbookViewId="0">
      <selection activeCell="O13" sqref="O13"/>
    </sheetView>
  </sheetViews>
  <sheetFormatPr defaultRowHeight="14.25" x14ac:dyDescent="0.2"/>
  <cols>
    <col min="1" max="1" width="2" customWidth="1"/>
    <col min="2" max="2" width="2.375" customWidth="1"/>
    <col min="3" max="3" width="7.125" customWidth="1"/>
    <col min="4" max="4" width="8.625" customWidth="1"/>
    <col min="5" max="6" width="7.125" customWidth="1"/>
    <col min="7" max="7" width="7.875" bestFit="1" customWidth="1"/>
    <col min="8" max="8" width="6.5" customWidth="1"/>
    <col min="9" max="19" width="8.875" customWidth="1"/>
    <col min="20" max="21" width="12.5" customWidth="1"/>
    <col min="22" max="22" width="3.5" customWidth="1"/>
  </cols>
  <sheetData>
    <row r="3" spans="3:21" ht="21" thickBot="1" x14ac:dyDescent="0.35">
      <c r="C3" s="24" t="s">
        <v>184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 t="str">
        <f>'1. Accomodation'!I5</f>
        <v>The Forge, Newcastle</v>
      </c>
    </row>
    <row r="4" spans="3:21" ht="15.75" thickTop="1" thickBot="1" x14ac:dyDescent="0.25">
      <c r="C4" s="8"/>
    </row>
    <row r="5" spans="3:21" ht="15.75" thickBot="1" x14ac:dyDescent="0.3">
      <c r="C5" s="481" t="s">
        <v>185</v>
      </c>
      <c r="D5" s="482"/>
      <c r="E5" s="482"/>
      <c r="F5" s="482"/>
      <c r="G5" s="482"/>
      <c r="H5" s="482"/>
      <c r="I5" s="481" t="s">
        <v>186</v>
      </c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3"/>
    </row>
    <row r="6" spans="3:21" s="17" customFormat="1" ht="36" customHeight="1" x14ac:dyDescent="0.2">
      <c r="C6" s="27" t="str">
        <f>'3. GRI Pricing'!C16</f>
        <v>Door Number</v>
      </c>
      <c r="D6" s="28" t="str">
        <f>'3. GRI Pricing'!D16</f>
        <v>Bedroom</v>
      </c>
      <c r="E6" s="28" t="str">
        <f>'3. GRI Pricing'!E16</f>
        <v>Bath</v>
      </c>
      <c r="F6" s="28" t="str">
        <f>'3. GRI Pricing'!F16</f>
        <v>Size (sq.ft)</v>
      </c>
      <c r="G6" s="28" t="str">
        <f>'3. GRI Pricing'!G16</f>
        <v>Floor</v>
      </c>
      <c r="H6" s="28" t="str">
        <f>'3. GRI Pricing'!H16</f>
        <v>Aspect</v>
      </c>
      <c r="I6" s="27" t="str">
        <f>'3. GRI Pricing'!K16</f>
        <v>Base Price 
(£pm)</v>
      </c>
      <c r="J6" s="28" t="str">
        <f>'3. GRI Pricing'!O16</f>
        <v>Floor premium</v>
      </c>
      <c r="K6" s="28" t="str">
        <f>'3. GRI Pricing'!L16</f>
        <v>Bath Premium</v>
      </c>
      <c r="L6" s="28" t="str">
        <f>'3. GRI Pricing'!P16</f>
        <v>Aspect premium</v>
      </c>
      <c r="M6" s="28" t="str">
        <f>'3. GRI Pricing'!R16</f>
        <v>Balcony premium</v>
      </c>
      <c r="N6" s="28" t="str">
        <f>'3. GRI Pricing'!S16</f>
        <v>Amenity premium</v>
      </c>
      <c r="O6" s="28" t="str">
        <f>'3. GRI Pricing'!Q16</f>
        <v>Storage premium</v>
      </c>
      <c r="P6" s="28" t="str">
        <f>'3. GRI Pricing'!T16</f>
        <v>Window Premium</v>
      </c>
      <c r="Q6" s="28" t="str">
        <f>'3. GRI Pricing'!U16</f>
        <v>Restricted Light</v>
      </c>
      <c r="R6" s="28">
        <f>'3. GRI Pricing'!V16</f>
        <v>0</v>
      </c>
      <c r="S6" s="28" t="str">
        <f>'3. GRI Pricing'!W16</f>
        <v>Character premium #4</v>
      </c>
      <c r="T6" s="28" t="str">
        <f>'3. GRI Pricing'!X16</f>
        <v>Manual Adjustment (must provide reason)</v>
      </c>
      <c r="U6" s="29" t="str">
        <f>'3. GRI Pricing'!Y16</f>
        <v>Proposed Rent (pcm)</v>
      </c>
    </row>
    <row r="7" spans="3:21" x14ac:dyDescent="0.2">
      <c r="C7" s="23" t="str">
        <f>'3. GRI Pricing'!C17</f>
        <v>101N</v>
      </c>
      <c r="D7" s="16" t="str">
        <f>'3. GRI Pricing'!D17</f>
        <v>1 Bed</v>
      </c>
      <c r="E7" s="16">
        <f>'3. GRI Pricing'!E17</f>
        <v>1</v>
      </c>
      <c r="F7" s="16">
        <f>'3. GRI Pricing'!F17</f>
        <v>484</v>
      </c>
      <c r="G7" s="16" t="str">
        <f>'3. GRI Pricing'!G17</f>
        <v>Ground</v>
      </c>
      <c r="H7" s="16" t="str">
        <f>'3. GRI Pricing'!H17</f>
        <v>Courtyard</v>
      </c>
      <c r="I7" s="280">
        <f>'3. GRI Pricing'!K17</f>
        <v>845</v>
      </c>
      <c r="J7" s="281">
        <f>'3. GRI Pricing'!O17</f>
        <v>0</v>
      </c>
      <c r="K7" s="281">
        <f>'3. GRI Pricing'!L17</f>
        <v>0</v>
      </c>
      <c r="L7" s="281">
        <f>'3. GRI Pricing'!P17</f>
        <v>25</v>
      </c>
      <c r="M7" s="281">
        <f>'3. GRI Pricing'!R17</f>
        <v>0</v>
      </c>
      <c r="N7" s="281">
        <f>'3. GRI Pricing'!S17</f>
        <v>70</v>
      </c>
      <c r="O7" s="281">
        <f>'3. GRI Pricing'!Q17</f>
        <v>0</v>
      </c>
      <c r="P7" s="281">
        <f>'3. GRI Pricing'!T17</f>
        <v>20</v>
      </c>
      <c r="Q7" s="281">
        <f>'3. GRI Pricing'!U17</f>
        <v>0</v>
      </c>
      <c r="R7" s="281">
        <f>'3. GRI Pricing'!V17</f>
        <v>0</v>
      </c>
      <c r="S7" s="281">
        <f>'3. GRI Pricing'!W17</f>
        <v>0</v>
      </c>
      <c r="T7" s="281">
        <f>'3. GRI Pricing'!X17</f>
        <v>0</v>
      </c>
      <c r="U7" s="282">
        <f>'3. GRI Pricing'!Y17</f>
        <v>970</v>
      </c>
    </row>
    <row r="8" spans="3:21" x14ac:dyDescent="0.2">
      <c r="C8" s="23" t="str">
        <f>'3. GRI Pricing'!C18</f>
        <v>102N</v>
      </c>
      <c r="D8" s="16" t="str">
        <f>'3. GRI Pricing'!D18</f>
        <v>2 Bed</v>
      </c>
      <c r="E8" s="16">
        <f>'3. GRI Pricing'!E18</f>
        <v>2</v>
      </c>
      <c r="F8" s="16">
        <f>'3. GRI Pricing'!F18</f>
        <v>678</v>
      </c>
      <c r="G8" s="16" t="str">
        <f>'3. GRI Pricing'!G18</f>
        <v>Ground</v>
      </c>
      <c r="H8" s="16" t="str">
        <f>'3. GRI Pricing'!H18</f>
        <v>Courtyard</v>
      </c>
      <c r="I8" s="280">
        <f>'3. GRI Pricing'!K18</f>
        <v>1110</v>
      </c>
      <c r="J8" s="281">
        <f>'3. GRI Pricing'!O18</f>
        <v>0</v>
      </c>
      <c r="K8" s="281">
        <f>'3. GRI Pricing'!L18</f>
        <v>0</v>
      </c>
      <c r="L8" s="281">
        <f>'3. GRI Pricing'!P18</f>
        <v>25</v>
      </c>
      <c r="M8" s="281">
        <f>'3. GRI Pricing'!R18</f>
        <v>0</v>
      </c>
      <c r="N8" s="281">
        <f>'3. GRI Pricing'!S18</f>
        <v>70</v>
      </c>
      <c r="O8" s="281">
        <f>'3. GRI Pricing'!Q18</f>
        <v>0</v>
      </c>
      <c r="P8" s="281">
        <f>'3. GRI Pricing'!T18</f>
        <v>20</v>
      </c>
      <c r="Q8" s="281">
        <f>'3. GRI Pricing'!U18</f>
        <v>0</v>
      </c>
      <c r="R8" s="281">
        <f>'3. GRI Pricing'!V18</f>
        <v>0</v>
      </c>
      <c r="S8" s="281">
        <f>'3. GRI Pricing'!W18</f>
        <v>0</v>
      </c>
      <c r="T8" s="281">
        <f>'3. GRI Pricing'!X18</f>
        <v>0</v>
      </c>
      <c r="U8" s="282">
        <f>'3. GRI Pricing'!Y18</f>
        <v>1265</v>
      </c>
    </row>
    <row r="9" spans="3:21" x14ac:dyDescent="0.2">
      <c r="C9" s="23" t="str">
        <f>'3. GRI Pricing'!C19</f>
        <v>103N</v>
      </c>
      <c r="D9" s="16" t="str">
        <f>'3. GRI Pricing'!D19</f>
        <v>2 Bed</v>
      </c>
      <c r="E9" s="16">
        <f>'3. GRI Pricing'!E19</f>
        <v>2</v>
      </c>
      <c r="F9" s="16">
        <f>'3. GRI Pricing'!F19</f>
        <v>657</v>
      </c>
      <c r="G9" s="16" t="str">
        <f>'3. GRI Pricing'!G19</f>
        <v>Ground</v>
      </c>
      <c r="H9" s="16" t="str">
        <f>'3. GRI Pricing'!H19</f>
        <v>Courtyard</v>
      </c>
      <c r="I9" s="280">
        <f>'3. GRI Pricing'!K19</f>
        <v>1110</v>
      </c>
      <c r="J9" s="281">
        <f>'3. GRI Pricing'!O19</f>
        <v>0</v>
      </c>
      <c r="K9" s="281">
        <f>'3. GRI Pricing'!L19</f>
        <v>0</v>
      </c>
      <c r="L9" s="281">
        <f>'3. GRI Pricing'!P19</f>
        <v>25</v>
      </c>
      <c r="M9" s="281">
        <f>'3. GRI Pricing'!R19</f>
        <v>0</v>
      </c>
      <c r="N9" s="281">
        <f>'3. GRI Pricing'!S19</f>
        <v>70</v>
      </c>
      <c r="O9" s="281">
        <f>'3. GRI Pricing'!Q19</f>
        <v>0</v>
      </c>
      <c r="P9" s="281">
        <f>'3. GRI Pricing'!T19</f>
        <v>0</v>
      </c>
      <c r="Q9" s="281">
        <f>'3. GRI Pricing'!U19</f>
        <v>0</v>
      </c>
      <c r="R9" s="281">
        <f>'3. GRI Pricing'!V19</f>
        <v>0</v>
      </c>
      <c r="S9" s="281">
        <f>'3. GRI Pricing'!W19</f>
        <v>0</v>
      </c>
      <c r="T9" s="281">
        <f>'3. GRI Pricing'!X19</f>
        <v>0</v>
      </c>
      <c r="U9" s="282">
        <f>'3. GRI Pricing'!Y19</f>
        <v>1225</v>
      </c>
    </row>
    <row r="10" spans="3:21" x14ac:dyDescent="0.2">
      <c r="C10" s="23" t="str">
        <f>'3. GRI Pricing'!C20</f>
        <v>104N</v>
      </c>
      <c r="D10" s="16" t="str">
        <f>'3. GRI Pricing'!D20</f>
        <v>3 Bed</v>
      </c>
      <c r="E10" s="16">
        <f>'3. GRI Pricing'!E20</f>
        <v>2</v>
      </c>
      <c r="F10" s="16">
        <f>'3. GRI Pricing'!F20</f>
        <v>818</v>
      </c>
      <c r="G10" s="16">
        <f>'3. GRI Pricing'!G20</f>
        <v>1</v>
      </c>
      <c r="H10" s="16" t="str">
        <f>'3. GRI Pricing'!H20</f>
        <v>Pottery Lane</v>
      </c>
      <c r="I10" s="280">
        <f>'3. GRI Pricing'!K20</f>
        <v>1485</v>
      </c>
      <c r="J10" s="281">
        <f>'3. GRI Pricing'!O20</f>
        <v>30</v>
      </c>
      <c r="K10" s="281">
        <f>'3. GRI Pricing'!L20</f>
        <v>0</v>
      </c>
      <c r="L10" s="281">
        <f>'3. GRI Pricing'!P20</f>
        <v>10</v>
      </c>
      <c r="M10" s="281">
        <f>'3. GRI Pricing'!R20</f>
        <v>0</v>
      </c>
      <c r="N10" s="281">
        <f>'3. GRI Pricing'!S20</f>
        <v>70</v>
      </c>
      <c r="O10" s="281">
        <f>'3. GRI Pricing'!Q20</f>
        <v>0</v>
      </c>
      <c r="P10" s="281">
        <f>'3. GRI Pricing'!T20</f>
        <v>0</v>
      </c>
      <c r="Q10" s="281">
        <f>'3. GRI Pricing'!U20</f>
        <v>0</v>
      </c>
      <c r="R10" s="281">
        <f>'3. GRI Pricing'!V20</f>
        <v>0</v>
      </c>
      <c r="S10" s="281">
        <f>'3. GRI Pricing'!W20</f>
        <v>0</v>
      </c>
      <c r="T10" s="281">
        <f>'3. GRI Pricing'!X20</f>
        <v>0</v>
      </c>
      <c r="U10" s="282">
        <f>'3. GRI Pricing'!Y20</f>
        <v>1645</v>
      </c>
    </row>
    <row r="11" spans="3:21" x14ac:dyDescent="0.2">
      <c r="C11" s="23" t="str">
        <f>'3. GRI Pricing'!C21</f>
        <v>105N</v>
      </c>
      <c r="D11" s="16" t="str">
        <f>'3. GRI Pricing'!D21</f>
        <v>2 Bed</v>
      </c>
      <c r="E11" s="16">
        <f>'3. GRI Pricing'!E21</f>
        <v>2</v>
      </c>
      <c r="F11" s="16">
        <f>'3. GRI Pricing'!F21</f>
        <v>667</v>
      </c>
      <c r="G11" s="16">
        <f>'3. GRI Pricing'!G21</f>
        <v>1</v>
      </c>
      <c r="H11" s="16" t="str">
        <f>'3. GRI Pricing'!H21</f>
        <v>Forth Banks/Pottery Lane</v>
      </c>
      <c r="I11" s="280">
        <f>'3. GRI Pricing'!K21</f>
        <v>1110</v>
      </c>
      <c r="J11" s="281">
        <f>'3. GRI Pricing'!O21</f>
        <v>30</v>
      </c>
      <c r="K11" s="281">
        <f>'3. GRI Pricing'!L21</f>
        <v>0</v>
      </c>
      <c r="L11" s="281">
        <f>'3. GRI Pricing'!P21</f>
        <v>10</v>
      </c>
      <c r="M11" s="281">
        <f>'3. GRI Pricing'!R21</f>
        <v>0</v>
      </c>
      <c r="N11" s="281">
        <f>'3. GRI Pricing'!S21</f>
        <v>70</v>
      </c>
      <c r="O11" s="281">
        <f>'3. GRI Pricing'!Q21</f>
        <v>0</v>
      </c>
      <c r="P11" s="281">
        <f>'3. GRI Pricing'!T21</f>
        <v>0</v>
      </c>
      <c r="Q11" s="281">
        <f>'3. GRI Pricing'!U21</f>
        <v>0</v>
      </c>
      <c r="R11" s="281">
        <f>'3. GRI Pricing'!V21</f>
        <v>0</v>
      </c>
      <c r="S11" s="281">
        <f>'3. GRI Pricing'!W21</f>
        <v>0</v>
      </c>
      <c r="T11" s="281">
        <f>'3. GRI Pricing'!X21</f>
        <v>0</v>
      </c>
      <c r="U11" s="282">
        <f>'3. GRI Pricing'!Y21</f>
        <v>1250</v>
      </c>
    </row>
    <row r="12" spans="3:21" x14ac:dyDescent="0.2">
      <c r="C12" s="23" t="str">
        <f>'3. GRI Pricing'!C22</f>
        <v>106N</v>
      </c>
      <c r="D12" s="16" t="str">
        <f>'3. GRI Pricing'!D22</f>
        <v>1 Bed</v>
      </c>
      <c r="E12" s="16">
        <f>'3. GRI Pricing'!E22</f>
        <v>1</v>
      </c>
      <c r="F12" s="16">
        <f>'3. GRI Pricing'!F22</f>
        <v>441</v>
      </c>
      <c r="G12" s="16">
        <f>'3. GRI Pricing'!G22</f>
        <v>1</v>
      </c>
      <c r="H12" s="16" t="str">
        <f>'3. GRI Pricing'!H22</f>
        <v>Forth Banks</v>
      </c>
      <c r="I12" s="280">
        <f>'3. GRI Pricing'!K22</f>
        <v>845</v>
      </c>
      <c r="J12" s="281">
        <f>'3. GRI Pricing'!O22</f>
        <v>30</v>
      </c>
      <c r="K12" s="281">
        <f>'3. GRI Pricing'!L22</f>
        <v>0</v>
      </c>
      <c r="L12" s="281">
        <f>'3. GRI Pricing'!P22</f>
        <v>5</v>
      </c>
      <c r="M12" s="281">
        <f>'3. GRI Pricing'!R22</f>
        <v>0</v>
      </c>
      <c r="N12" s="281">
        <f>'3. GRI Pricing'!S22</f>
        <v>70</v>
      </c>
      <c r="O12" s="281">
        <f>'3. GRI Pricing'!Q22</f>
        <v>0</v>
      </c>
      <c r="P12" s="281">
        <f>'3. GRI Pricing'!T22</f>
        <v>0</v>
      </c>
      <c r="Q12" s="281">
        <f>'3. GRI Pricing'!U22</f>
        <v>0</v>
      </c>
      <c r="R12" s="281">
        <f>'3. GRI Pricing'!V22</f>
        <v>0</v>
      </c>
      <c r="S12" s="281">
        <f>'3. GRI Pricing'!W22</f>
        <v>0</v>
      </c>
      <c r="T12" s="281">
        <f>'3. GRI Pricing'!X22</f>
        <v>0</v>
      </c>
      <c r="U12" s="282">
        <f>'3. GRI Pricing'!Y22</f>
        <v>950</v>
      </c>
    </row>
    <row r="13" spans="3:21" x14ac:dyDescent="0.2">
      <c r="C13" s="23" t="str">
        <f>'3. GRI Pricing'!C23</f>
        <v>107N</v>
      </c>
      <c r="D13" s="16" t="str">
        <f>'3. GRI Pricing'!D23</f>
        <v>2 Bed</v>
      </c>
      <c r="E13" s="16">
        <f>'3. GRI Pricing'!E23</f>
        <v>2</v>
      </c>
      <c r="F13" s="16">
        <f>'3. GRI Pricing'!F23</f>
        <v>624</v>
      </c>
      <c r="G13" s="16">
        <f>'3. GRI Pricing'!G23</f>
        <v>1</v>
      </c>
      <c r="H13" s="16" t="str">
        <f>'3. GRI Pricing'!H23</f>
        <v>Forth Banks</v>
      </c>
      <c r="I13" s="280">
        <f>'3. GRI Pricing'!K23</f>
        <v>1110</v>
      </c>
      <c r="J13" s="281">
        <f>'3. GRI Pricing'!O23</f>
        <v>30</v>
      </c>
      <c r="K13" s="281">
        <f>'3. GRI Pricing'!L23</f>
        <v>0</v>
      </c>
      <c r="L13" s="281">
        <f>'3. GRI Pricing'!P23</f>
        <v>5</v>
      </c>
      <c r="M13" s="281">
        <f>'3. GRI Pricing'!R23</f>
        <v>0</v>
      </c>
      <c r="N13" s="281">
        <f>'3. GRI Pricing'!S23</f>
        <v>70</v>
      </c>
      <c r="O13" s="281">
        <f>'3. GRI Pricing'!Q23</f>
        <v>0</v>
      </c>
      <c r="P13" s="281">
        <f>'3. GRI Pricing'!T23</f>
        <v>0</v>
      </c>
      <c r="Q13" s="281">
        <f>'3. GRI Pricing'!U23</f>
        <v>0</v>
      </c>
      <c r="R13" s="281">
        <f>'3. GRI Pricing'!V23</f>
        <v>0</v>
      </c>
      <c r="S13" s="281">
        <f>'3. GRI Pricing'!W23</f>
        <v>0</v>
      </c>
      <c r="T13" s="281">
        <f>'3. GRI Pricing'!X23</f>
        <v>0</v>
      </c>
      <c r="U13" s="282">
        <f>'3. GRI Pricing'!Y23</f>
        <v>1225</v>
      </c>
    </row>
    <row r="14" spans="3:21" x14ac:dyDescent="0.2">
      <c r="C14" s="23" t="str">
        <f>'3. GRI Pricing'!C24</f>
        <v>108N</v>
      </c>
      <c r="D14" s="16" t="str">
        <f>'3. GRI Pricing'!D24</f>
        <v>2 Bed</v>
      </c>
      <c r="E14" s="16">
        <f>'3. GRI Pricing'!E24</f>
        <v>2</v>
      </c>
      <c r="F14" s="16">
        <f>'3. GRI Pricing'!F24</f>
        <v>624</v>
      </c>
      <c r="G14" s="16">
        <f>'3. GRI Pricing'!G24</f>
        <v>1</v>
      </c>
      <c r="H14" s="16" t="str">
        <f>'3. GRI Pricing'!H24</f>
        <v>Forth Banks</v>
      </c>
      <c r="I14" s="280">
        <f>'3. GRI Pricing'!K24</f>
        <v>1110</v>
      </c>
      <c r="J14" s="281">
        <f>'3. GRI Pricing'!O24</f>
        <v>30</v>
      </c>
      <c r="K14" s="281">
        <f>'3. GRI Pricing'!L24</f>
        <v>0</v>
      </c>
      <c r="L14" s="281">
        <f>'3. GRI Pricing'!P24</f>
        <v>5</v>
      </c>
      <c r="M14" s="281">
        <f>'3. GRI Pricing'!R24</f>
        <v>0</v>
      </c>
      <c r="N14" s="281">
        <f>'3. GRI Pricing'!S24</f>
        <v>70</v>
      </c>
      <c r="O14" s="281">
        <f>'3. GRI Pricing'!Q24</f>
        <v>0</v>
      </c>
      <c r="P14" s="281">
        <f>'3. GRI Pricing'!T24</f>
        <v>0</v>
      </c>
      <c r="Q14" s="281">
        <f>'3. GRI Pricing'!U24</f>
        <v>0</v>
      </c>
      <c r="R14" s="281">
        <f>'3. GRI Pricing'!V24</f>
        <v>0</v>
      </c>
      <c r="S14" s="281">
        <f>'3. GRI Pricing'!W24</f>
        <v>0</v>
      </c>
      <c r="T14" s="281">
        <f>'3. GRI Pricing'!X24</f>
        <v>0</v>
      </c>
      <c r="U14" s="282">
        <f>'3. GRI Pricing'!Y24</f>
        <v>1225</v>
      </c>
    </row>
    <row r="15" spans="3:21" x14ac:dyDescent="0.2">
      <c r="C15" s="23" t="str">
        <f>'3. GRI Pricing'!C25</f>
        <v>109N</v>
      </c>
      <c r="D15" s="16" t="str">
        <f>'3. GRI Pricing'!D25</f>
        <v>2 Bed</v>
      </c>
      <c r="E15" s="16">
        <f>'3. GRI Pricing'!E25</f>
        <v>2</v>
      </c>
      <c r="F15" s="16">
        <f>'3. GRI Pricing'!F25</f>
        <v>657</v>
      </c>
      <c r="G15" s="16">
        <f>'3. GRI Pricing'!G25</f>
        <v>1</v>
      </c>
      <c r="H15" s="16" t="str">
        <f>'3. GRI Pricing'!H25</f>
        <v>River - Partial</v>
      </c>
      <c r="I15" s="280">
        <f>'3. GRI Pricing'!K25</f>
        <v>1110</v>
      </c>
      <c r="J15" s="281">
        <f>'3. GRI Pricing'!O25</f>
        <v>30</v>
      </c>
      <c r="K15" s="281">
        <f>'3. GRI Pricing'!L25</f>
        <v>0</v>
      </c>
      <c r="L15" s="281">
        <f>'3. GRI Pricing'!P25</f>
        <v>45</v>
      </c>
      <c r="M15" s="281">
        <f>'3. GRI Pricing'!R25</f>
        <v>0</v>
      </c>
      <c r="N15" s="281">
        <f>'3. GRI Pricing'!S25</f>
        <v>70</v>
      </c>
      <c r="O15" s="281">
        <f>'3. GRI Pricing'!Q25</f>
        <v>0</v>
      </c>
      <c r="P15" s="281">
        <f>'3. GRI Pricing'!T25</f>
        <v>0</v>
      </c>
      <c r="Q15" s="281">
        <f>'3. GRI Pricing'!U25</f>
        <v>0</v>
      </c>
      <c r="R15" s="281">
        <f>'3. GRI Pricing'!V25</f>
        <v>0</v>
      </c>
      <c r="S15" s="281">
        <f>'3. GRI Pricing'!W25</f>
        <v>0</v>
      </c>
      <c r="T15" s="281">
        <f>'3. GRI Pricing'!X25</f>
        <v>0</v>
      </c>
      <c r="U15" s="282">
        <f>'3. GRI Pricing'!Y25</f>
        <v>1275</v>
      </c>
    </row>
    <row r="16" spans="3:21" x14ac:dyDescent="0.2">
      <c r="C16" s="23" t="str">
        <f>'3. GRI Pricing'!C26</f>
        <v>110N</v>
      </c>
      <c r="D16" s="16" t="str">
        <f>'3. GRI Pricing'!D26</f>
        <v>2 Bed</v>
      </c>
      <c r="E16" s="16">
        <f>'3. GRI Pricing'!E26</f>
        <v>2</v>
      </c>
      <c r="F16" s="16">
        <f>'3. GRI Pricing'!F26</f>
        <v>700</v>
      </c>
      <c r="G16" s="16">
        <f>'3. GRI Pricing'!G26</f>
        <v>1</v>
      </c>
      <c r="H16" s="16" t="str">
        <f>'3. GRI Pricing'!H26</f>
        <v>Forth Banks - Partial</v>
      </c>
      <c r="I16" s="280">
        <f>'3. GRI Pricing'!K26</f>
        <v>1110</v>
      </c>
      <c r="J16" s="281">
        <f>'3. GRI Pricing'!O26</f>
        <v>30</v>
      </c>
      <c r="K16" s="281">
        <f>'3. GRI Pricing'!L26</f>
        <v>0</v>
      </c>
      <c r="L16" s="281">
        <f>'3. GRI Pricing'!P26</f>
        <v>40</v>
      </c>
      <c r="M16" s="281">
        <f>'3. GRI Pricing'!R26</f>
        <v>0</v>
      </c>
      <c r="N16" s="281">
        <f>'3. GRI Pricing'!S26</f>
        <v>70</v>
      </c>
      <c r="O16" s="281">
        <f>'3. GRI Pricing'!Q26</f>
        <v>0</v>
      </c>
      <c r="P16" s="281">
        <f>'3. GRI Pricing'!T26</f>
        <v>0</v>
      </c>
      <c r="Q16" s="281">
        <f>'3. GRI Pricing'!U26</f>
        <v>0</v>
      </c>
      <c r="R16" s="281">
        <f>'3. GRI Pricing'!V26</f>
        <v>0</v>
      </c>
      <c r="S16" s="281">
        <f>'3. GRI Pricing'!W26</f>
        <v>0</v>
      </c>
      <c r="T16" s="281">
        <f>'3. GRI Pricing'!X26</f>
        <v>0</v>
      </c>
      <c r="U16" s="282">
        <f>'3. GRI Pricing'!Y26</f>
        <v>1320</v>
      </c>
    </row>
    <row r="17" spans="3:21" x14ac:dyDescent="0.2">
      <c r="C17" s="23" t="str">
        <f>'3. GRI Pricing'!C27</f>
        <v>111N</v>
      </c>
      <c r="D17" s="16" t="str">
        <f>'3. GRI Pricing'!D27</f>
        <v>2 Bed</v>
      </c>
      <c r="E17" s="16">
        <f>'3. GRI Pricing'!E27</f>
        <v>2</v>
      </c>
      <c r="F17" s="16">
        <f>'3. GRI Pricing'!F27</f>
        <v>689</v>
      </c>
      <c r="G17" s="16">
        <f>'3. GRI Pricing'!G27</f>
        <v>1</v>
      </c>
      <c r="H17" s="16" t="str">
        <f>'3. GRI Pricing'!H27</f>
        <v>Courtyard - dual</v>
      </c>
      <c r="I17" s="280">
        <f>'3. GRI Pricing'!K27</f>
        <v>1110</v>
      </c>
      <c r="J17" s="281">
        <f>'3. GRI Pricing'!O27</f>
        <v>30</v>
      </c>
      <c r="K17" s="281">
        <f>'3. GRI Pricing'!L27</f>
        <v>0</v>
      </c>
      <c r="L17" s="281">
        <f>'3. GRI Pricing'!P27</f>
        <v>55</v>
      </c>
      <c r="M17" s="281">
        <f>'3. GRI Pricing'!R27</f>
        <v>40</v>
      </c>
      <c r="N17" s="281">
        <f>'3. GRI Pricing'!S27</f>
        <v>70</v>
      </c>
      <c r="O17" s="281">
        <f>'3. GRI Pricing'!Q27</f>
        <v>0</v>
      </c>
      <c r="P17" s="281">
        <f>'3. GRI Pricing'!T27</f>
        <v>0</v>
      </c>
      <c r="Q17" s="281">
        <f>'3. GRI Pricing'!U27</f>
        <v>0</v>
      </c>
      <c r="R17" s="281">
        <f>'3. GRI Pricing'!V27</f>
        <v>0</v>
      </c>
      <c r="S17" s="281">
        <f>'3. GRI Pricing'!W27</f>
        <v>0</v>
      </c>
      <c r="T17" s="281">
        <f>'3. GRI Pricing'!X27</f>
        <v>0</v>
      </c>
      <c r="U17" s="282">
        <f>'3. GRI Pricing'!Y27</f>
        <v>1370</v>
      </c>
    </row>
    <row r="18" spans="3:21" x14ac:dyDescent="0.2">
      <c r="C18" s="23" t="str">
        <f>'3. GRI Pricing'!C28</f>
        <v>112N</v>
      </c>
      <c r="D18" s="16" t="str">
        <f>'3. GRI Pricing'!D28</f>
        <v>1 Bed</v>
      </c>
      <c r="E18" s="16">
        <f>'3. GRI Pricing'!E28</f>
        <v>1</v>
      </c>
      <c r="F18" s="16">
        <f>'3. GRI Pricing'!F28</f>
        <v>506</v>
      </c>
      <c r="G18" s="16" t="str">
        <f>'3. GRI Pricing'!G28</f>
        <v>Ground</v>
      </c>
      <c r="H18" s="16" t="str">
        <f>'3. GRI Pricing'!H28</f>
        <v>Courtyard</v>
      </c>
      <c r="I18" s="280">
        <f>'3. GRI Pricing'!K28</f>
        <v>845</v>
      </c>
      <c r="J18" s="281">
        <f>'3. GRI Pricing'!O28</f>
        <v>0</v>
      </c>
      <c r="K18" s="281">
        <f>'3. GRI Pricing'!L28</f>
        <v>0</v>
      </c>
      <c r="L18" s="281">
        <f>'3. GRI Pricing'!P28</f>
        <v>25</v>
      </c>
      <c r="M18" s="281">
        <f>'3. GRI Pricing'!R28</f>
        <v>0</v>
      </c>
      <c r="N18" s="281">
        <f>'3. GRI Pricing'!S28</f>
        <v>70</v>
      </c>
      <c r="O18" s="281">
        <f>'3. GRI Pricing'!Q28</f>
        <v>0</v>
      </c>
      <c r="P18" s="281">
        <f>'3. GRI Pricing'!T28</f>
        <v>20</v>
      </c>
      <c r="Q18" s="281">
        <f>'3. GRI Pricing'!U28</f>
        <v>0</v>
      </c>
      <c r="R18" s="281">
        <f>'3. GRI Pricing'!V28</f>
        <v>0</v>
      </c>
      <c r="S18" s="281">
        <f>'3. GRI Pricing'!W28</f>
        <v>0</v>
      </c>
      <c r="T18" s="281">
        <f>'3. GRI Pricing'!X28</f>
        <v>0</v>
      </c>
      <c r="U18" s="282">
        <f>'3. GRI Pricing'!Y28</f>
        <v>975</v>
      </c>
    </row>
    <row r="19" spans="3:21" x14ac:dyDescent="0.2">
      <c r="C19" s="23" t="str">
        <f>'3. GRI Pricing'!C29</f>
        <v>113N</v>
      </c>
      <c r="D19" s="16" t="str">
        <f>'3. GRI Pricing'!D29</f>
        <v>1 Bed</v>
      </c>
      <c r="E19" s="16">
        <f>'3. GRI Pricing'!E29</f>
        <v>1</v>
      </c>
      <c r="F19" s="16">
        <f>'3. GRI Pricing'!F29</f>
        <v>538</v>
      </c>
      <c r="G19" s="16" t="str">
        <f>'3. GRI Pricing'!G29</f>
        <v>Ground</v>
      </c>
      <c r="H19" s="16" t="str">
        <f>'3. GRI Pricing'!H29</f>
        <v>Courtyard</v>
      </c>
      <c r="I19" s="280">
        <f>'3. GRI Pricing'!K29</f>
        <v>845</v>
      </c>
      <c r="J19" s="281">
        <f>'3. GRI Pricing'!O29</f>
        <v>0</v>
      </c>
      <c r="K19" s="281">
        <f>'3. GRI Pricing'!L29</f>
        <v>0</v>
      </c>
      <c r="L19" s="281">
        <f>'3. GRI Pricing'!P29</f>
        <v>25</v>
      </c>
      <c r="M19" s="281">
        <f>'3. GRI Pricing'!R29</f>
        <v>0</v>
      </c>
      <c r="N19" s="281">
        <f>'3. GRI Pricing'!S29</f>
        <v>70</v>
      </c>
      <c r="O19" s="281">
        <f>'3. GRI Pricing'!Q29</f>
        <v>0</v>
      </c>
      <c r="P19" s="281">
        <f>'3. GRI Pricing'!T29</f>
        <v>20</v>
      </c>
      <c r="Q19" s="281">
        <f>'3. GRI Pricing'!U29</f>
        <v>0</v>
      </c>
      <c r="R19" s="281">
        <f>'3. GRI Pricing'!V29</f>
        <v>0</v>
      </c>
      <c r="S19" s="281">
        <f>'3. GRI Pricing'!W29</f>
        <v>0</v>
      </c>
      <c r="T19" s="281">
        <f>'3. GRI Pricing'!X29</f>
        <v>0</v>
      </c>
      <c r="U19" s="282">
        <f>'3. GRI Pricing'!Y29</f>
        <v>985</v>
      </c>
    </row>
    <row r="20" spans="3:21" x14ac:dyDescent="0.2">
      <c r="C20" s="23" t="str">
        <f>'3. GRI Pricing'!C30</f>
        <v>114N</v>
      </c>
      <c r="D20" s="16" t="str">
        <f>'3. GRI Pricing'!D30</f>
        <v>1 Bed</v>
      </c>
      <c r="E20" s="16">
        <f>'3. GRI Pricing'!E30</f>
        <v>1</v>
      </c>
      <c r="F20" s="16">
        <f>'3. GRI Pricing'!F30</f>
        <v>560</v>
      </c>
      <c r="G20" s="16" t="str">
        <f>'3. GRI Pricing'!G30</f>
        <v>Ground</v>
      </c>
      <c r="H20" s="16" t="str">
        <f>'3. GRI Pricing'!H30</f>
        <v>Courtyard</v>
      </c>
      <c r="I20" s="280">
        <f>'3. GRI Pricing'!K30</f>
        <v>845</v>
      </c>
      <c r="J20" s="281">
        <f>'3. GRI Pricing'!O30</f>
        <v>0</v>
      </c>
      <c r="K20" s="281">
        <f>'3. GRI Pricing'!L30</f>
        <v>0</v>
      </c>
      <c r="L20" s="281">
        <f>'3. GRI Pricing'!P30</f>
        <v>25</v>
      </c>
      <c r="M20" s="281">
        <f>'3. GRI Pricing'!R30</f>
        <v>0</v>
      </c>
      <c r="N20" s="281">
        <f>'3. GRI Pricing'!S30</f>
        <v>70</v>
      </c>
      <c r="O20" s="281">
        <f>'3. GRI Pricing'!Q30</f>
        <v>0</v>
      </c>
      <c r="P20" s="281">
        <f>'3. GRI Pricing'!T30</f>
        <v>20</v>
      </c>
      <c r="Q20" s="281">
        <f>'3. GRI Pricing'!U30</f>
        <v>-25</v>
      </c>
      <c r="R20" s="281">
        <f>'3. GRI Pricing'!V30</f>
        <v>0</v>
      </c>
      <c r="S20" s="281">
        <f>'3. GRI Pricing'!W30</f>
        <v>0</v>
      </c>
      <c r="T20" s="281">
        <f>'3. GRI Pricing'!X30</f>
        <v>0</v>
      </c>
      <c r="U20" s="282">
        <f>'3. GRI Pricing'!Y30</f>
        <v>970</v>
      </c>
    </row>
    <row r="21" spans="3:21" x14ac:dyDescent="0.2">
      <c r="C21" s="23" t="str">
        <f>'3. GRI Pricing'!C31</f>
        <v>115N</v>
      </c>
      <c r="D21" s="16" t="str">
        <f>'3. GRI Pricing'!D31</f>
        <v>2 Bed</v>
      </c>
      <c r="E21" s="16">
        <f>'3. GRI Pricing'!E31</f>
        <v>2</v>
      </c>
      <c r="F21" s="16">
        <f>'3. GRI Pricing'!F31</f>
        <v>624</v>
      </c>
      <c r="G21" s="16" t="str">
        <f>'3. GRI Pricing'!G31</f>
        <v>Ground</v>
      </c>
      <c r="H21" s="16" t="str">
        <f>'3. GRI Pricing'!H31</f>
        <v>Courtyard</v>
      </c>
      <c r="I21" s="280">
        <f>'3. GRI Pricing'!K31</f>
        <v>1110</v>
      </c>
      <c r="J21" s="281">
        <f>'3. GRI Pricing'!O31</f>
        <v>0</v>
      </c>
      <c r="K21" s="281">
        <f>'3. GRI Pricing'!L31</f>
        <v>0</v>
      </c>
      <c r="L21" s="281">
        <f>'3. GRI Pricing'!P31</f>
        <v>25</v>
      </c>
      <c r="M21" s="281">
        <f>'3. GRI Pricing'!R31</f>
        <v>0</v>
      </c>
      <c r="N21" s="281">
        <f>'3. GRI Pricing'!S31</f>
        <v>70</v>
      </c>
      <c r="O21" s="281">
        <f>'3. GRI Pricing'!Q31</f>
        <v>0</v>
      </c>
      <c r="P21" s="281">
        <f>'3. GRI Pricing'!T31</f>
        <v>20</v>
      </c>
      <c r="Q21" s="281">
        <f>'3. GRI Pricing'!U31</f>
        <v>0</v>
      </c>
      <c r="R21" s="281">
        <f>'3. GRI Pricing'!V31</f>
        <v>0</v>
      </c>
      <c r="S21" s="281">
        <f>'3. GRI Pricing'!W31</f>
        <v>0</v>
      </c>
      <c r="T21" s="281">
        <f>'3. GRI Pricing'!X31</f>
        <v>0</v>
      </c>
      <c r="U21" s="282">
        <f>'3. GRI Pricing'!Y31</f>
        <v>1235</v>
      </c>
    </row>
    <row r="22" spans="3:21" x14ac:dyDescent="0.2">
      <c r="C22" s="23" t="str">
        <f>'3. GRI Pricing'!C32</f>
        <v>116N</v>
      </c>
      <c r="D22" s="16" t="str">
        <f>'3. GRI Pricing'!D32</f>
        <v>2 Bed</v>
      </c>
      <c r="E22" s="16">
        <f>'3. GRI Pricing'!E32</f>
        <v>2</v>
      </c>
      <c r="F22" s="16">
        <f>'3. GRI Pricing'!F32</f>
        <v>624</v>
      </c>
      <c r="G22" s="16" t="str">
        <f>'3. GRI Pricing'!G32</f>
        <v>Ground</v>
      </c>
      <c r="H22" s="16" t="str">
        <f>'3. GRI Pricing'!H32</f>
        <v>Courtyard</v>
      </c>
      <c r="I22" s="280">
        <f>'3. GRI Pricing'!K32</f>
        <v>1110</v>
      </c>
      <c r="J22" s="281">
        <f>'3. GRI Pricing'!O32</f>
        <v>0</v>
      </c>
      <c r="K22" s="281">
        <f>'3. GRI Pricing'!L32</f>
        <v>0</v>
      </c>
      <c r="L22" s="281">
        <f>'3. GRI Pricing'!P32</f>
        <v>25</v>
      </c>
      <c r="M22" s="281">
        <f>'3. GRI Pricing'!R32</f>
        <v>0</v>
      </c>
      <c r="N22" s="281">
        <f>'3. GRI Pricing'!S32</f>
        <v>70</v>
      </c>
      <c r="O22" s="281">
        <f>'3. GRI Pricing'!Q32</f>
        <v>0</v>
      </c>
      <c r="P22" s="281">
        <f>'3. GRI Pricing'!T32</f>
        <v>20</v>
      </c>
      <c r="Q22" s="281">
        <f>'3. GRI Pricing'!U32</f>
        <v>0</v>
      </c>
      <c r="R22" s="281">
        <f>'3. GRI Pricing'!V32</f>
        <v>0</v>
      </c>
      <c r="S22" s="281">
        <f>'3. GRI Pricing'!W32</f>
        <v>0</v>
      </c>
      <c r="T22" s="281">
        <f>'3. GRI Pricing'!X32</f>
        <v>0</v>
      </c>
      <c r="U22" s="282">
        <f>'3. GRI Pricing'!Y32</f>
        <v>1235</v>
      </c>
    </row>
    <row r="23" spans="3:21" x14ac:dyDescent="0.2">
      <c r="C23" s="23" t="str">
        <f>'3. GRI Pricing'!C33</f>
        <v>201N</v>
      </c>
      <c r="D23" s="16" t="str">
        <f>'3. GRI Pricing'!D33</f>
        <v>1 Bed</v>
      </c>
      <c r="E23" s="16">
        <f>'3. GRI Pricing'!E33</f>
        <v>1</v>
      </c>
      <c r="F23" s="16">
        <f>'3. GRI Pricing'!F33</f>
        <v>484</v>
      </c>
      <c r="G23" s="16">
        <f>'3. GRI Pricing'!G33</f>
        <v>2</v>
      </c>
      <c r="H23" s="16" t="str">
        <f>'3. GRI Pricing'!H33</f>
        <v>Courtyard</v>
      </c>
      <c r="I23" s="280">
        <f>'3. GRI Pricing'!K33</f>
        <v>845</v>
      </c>
      <c r="J23" s="281">
        <f>'3. GRI Pricing'!O33</f>
        <v>40</v>
      </c>
      <c r="K23" s="281">
        <f>'3. GRI Pricing'!L33</f>
        <v>0</v>
      </c>
      <c r="L23" s="281">
        <f>'3. GRI Pricing'!P33</f>
        <v>25</v>
      </c>
      <c r="M23" s="281">
        <f>'3. GRI Pricing'!R33</f>
        <v>0</v>
      </c>
      <c r="N23" s="281">
        <f>'3. GRI Pricing'!S33</f>
        <v>70</v>
      </c>
      <c r="O23" s="281">
        <f>'3. GRI Pricing'!Q33</f>
        <v>0</v>
      </c>
      <c r="P23" s="281">
        <f>'3. GRI Pricing'!T33</f>
        <v>0</v>
      </c>
      <c r="Q23" s="281">
        <f>'3. GRI Pricing'!U33</f>
        <v>0</v>
      </c>
      <c r="R23" s="281">
        <f>'3. GRI Pricing'!V33</f>
        <v>0</v>
      </c>
      <c r="S23" s="281">
        <f>'3. GRI Pricing'!W33</f>
        <v>0</v>
      </c>
      <c r="T23" s="281">
        <f>'3. GRI Pricing'!X33</f>
        <v>0</v>
      </c>
      <c r="U23" s="282">
        <f>'3. GRI Pricing'!Y33</f>
        <v>990</v>
      </c>
    </row>
    <row r="24" spans="3:21" x14ac:dyDescent="0.2">
      <c r="C24" s="23" t="str">
        <f>'3. GRI Pricing'!C34</f>
        <v>202N</v>
      </c>
      <c r="D24" s="16" t="str">
        <f>'3. GRI Pricing'!D34</f>
        <v>2 Bed</v>
      </c>
      <c r="E24" s="16">
        <f>'3. GRI Pricing'!E34</f>
        <v>2</v>
      </c>
      <c r="F24" s="16">
        <f>'3. GRI Pricing'!F34</f>
        <v>678</v>
      </c>
      <c r="G24" s="16">
        <f>'3. GRI Pricing'!G34</f>
        <v>2</v>
      </c>
      <c r="H24" s="16" t="str">
        <f>'3. GRI Pricing'!H34</f>
        <v>Courtyard</v>
      </c>
      <c r="I24" s="280">
        <f>'3. GRI Pricing'!K34</f>
        <v>1110</v>
      </c>
      <c r="J24" s="281">
        <f>'3. GRI Pricing'!O34</f>
        <v>40</v>
      </c>
      <c r="K24" s="281">
        <f>'3. GRI Pricing'!L34</f>
        <v>0</v>
      </c>
      <c r="L24" s="281">
        <f>'3. GRI Pricing'!P34</f>
        <v>25</v>
      </c>
      <c r="M24" s="281">
        <f>'3. GRI Pricing'!R34</f>
        <v>0</v>
      </c>
      <c r="N24" s="281">
        <f>'3. GRI Pricing'!S34</f>
        <v>70</v>
      </c>
      <c r="O24" s="281">
        <f>'3. GRI Pricing'!Q34</f>
        <v>0</v>
      </c>
      <c r="P24" s="281">
        <f>'3. GRI Pricing'!T34</f>
        <v>0</v>
      </c>
      <c r="Q24" s="281">
        <f>'3. GRI Pricing'!U34</f>
        <v>0</v>
      </c>
      <c r="R24" s="281">
        <f>'3. GRI Pricing'!V34</f>
        <v>0</v>
      </c>
      <c r="S24" s="281">
        <f>'3. GRI Pricing'!W34</f>
        <v>0</v>
      </c>
      <c r="T24" s="281">
        <f>'3. GRI Pricing'!X34</f>
        <v>0</v>
      </c>
      <c r="U24" s="282">
        <f>'3. GRI Pricing'!Y34</f>
        <v>1285</v>
      </c>
    </row>
    <row r="25" spans="3:21" x14ac:dyDescent="0.2">
      <c r="C25" s="23" t="str">
        <f>'3. GRI Pricing'!C35</f>
        <v>203N</v>
      </c>
      <c r="D25" s="16" t="str">
        <f>'3. GRI Pricing'!D35</f>
        <v>2 Bed</v>
      </c>
      <c r="E25" s="16">
        <f>'3. GRI Pricing'!E35</f>
        <v>2</v>
      </c>
      <c r="F25" s="16">
        <f>'3. GRI Pricing'!F35</f>
        <v>657</v>
      </c>
      <c r="G25" s="16">
        <f>'3. GRI Pricing'!G35</f>
        <v>2</v>
      </c>
      <c r="H25" s="16" t="str">
        <f>'3. GRI Pricing'!H35</f>
        <v>Courtyard</v>
      </c>
      <c r="I25" s="280">
        <f>'3. GRI Pricing'!K35</f>
        <v>1110</v>
      </c>
      <c r="J25" s="281">
        <f>'3. GRI Pricing'!O35</f>
        <v>40</v>
      </c>
      <c r="K25" s="281">
        <f>'3. GRI Pricing'!L35</f>
        <v>0</v>
      </c>
      <c r="L25" s="281">
        <f>'3. GRI Pricing'!P35</f>
        <v>25</v>
      </c>
      <c r="M25" s="281">
        <f>'3. GRI Pricing'!R35</f>
        <v>0</v>
      </c>
      <c r="N25" s="281">
        <f>'3. GRI Pricing'!S35</f>
        <v>70</v>
      </c>
      <c r="O25" s="281">
        <f>'3. GRI Pricing'!Q35</f>
        <v>0</v>
      </c>
      <c r="P25" s="281">
        <f>'3. GRI Pricing'!T35</f>
        <v>0</v>
      </c>
      <c r="Q25" s="281">
        <f>'3. GRI Pricing'!U35</f>
        <v>0</v>
      </c>
      <c r="R25" s="281">
        <f>'3. GRI Pricing'!V35</f>
        <v>0</v>
      </c>
      <c r="S25" s="281">
        <f>'3. GRI Pricing'!W35</f>
        <v>0</v>
      </c>
      <c r="T25" s="281">
        <f>'3. GRI Pricing'!X35</f>
        <v>0</v>
      </c>
      <c r="U25" s="282">
        <f>'3. GRI Pricing'!Y35</f>
        <v>1265</v>
      </c>
    </row>
    <row r="26" spans="3:21" x14ac:dyDescent="0.2">
      <c r="C26" s="23" t="str">
        <f>'3. GRI Pricing'!C36</f>
        <v>204N</v>
      </c>
      <c r="D26" s="16" t="str">
        <f>'3. GRI Pricing'!D36</f>
        <v>3 Bed</v>
      </c>
      <c r="E26" s="16">
        <f>'3. GRI Pricing'!E36</f>
        <v>2</v>
      </c>
      <c r="F26" s="16">
        <f>'3. GRI Pricing'!F36</f>
        <v>818</v>
      </c>
      <c r="G26" s="16">
        <f>'3. GRI Pricing'!G36</f>
        <v>2</v>
      </c>
      <c r="H26" s="16" t="str">
        <f>'3. GRI Pricing'!H36</f>
        <v>Pottery Lane</v>
      </c>
      <c r="I26" s="280">
        <f>'3. GRI Pricing'!K36</f>
        <v>1485</v>
      </c>
      <c r="J26" s="281">
        <f>'3. GRI Pricing'!O36</f>
        <v>40</v>
      </c>
      <c r="K26" s="281">
        <f>'3. GRI Pricing'!L36</f>
        <v>0</v>
      </c>
      <c r="L26" s="281">
        <f>'3. GRI Pricing'!P36</f>
        <v>10</v>
      </c>
      <c r="M26" s="281">
        <f>'3. GRI Pricing'!R36</f>
        <v>0</v>
      </c>
      <c r="N26" s="281">
        <f>'3. GRI Pricing'!S36</f>
        <v>70</v>
      </c>
      <c r="O26" s="281">
        <f>'3. GRI Pricing'!Q36</f>
        <v>0</v>
      </c>
      <c r="P26" s="281">
        <f>'3. GRI Pricing'!T36</f>
        <v>0</v>
      </c>
      <c r="Q26" s="281">
        <f>'3. GRI Pricing'!U36</f>
        <v>0</v>
      </c>
      <c r="R26" s="281">
        <f>'3. GRI Pricing'!V36</f>
        <v>0</v>
      </c>
      <c r="S26" s="281">
        <f>'3. GRI Pricing'!W36</f>
        <v>0</v>
      </c>
      <c r="T26" s="281">
        <f>'3. GRI Pricing'!X36</f>
        <v>0</v>
      </c>
      <c r="U26" s="282">
        <f>'3. GRI Pricing'!Y36</f>
        <v>1655</v>
      </c>
    </row>
    <row r="27" spans="3:21" x14ac:dyDescent="0.2">
      <c r="C27" s="23" t="str">
        <f>'3. GRI Pricing'!C37</f>
        <v>205N</v>
      </c>
      <c r="D27" s="16" t="str">
        <f>'3. GRI Pricing'!D37</f>
        <v>2 Bed</v>
      </c>
      <c r="E27" s="16">
        <f>'3. GRI Pricing'!E37</f>
        <v>2</v>
      </c>
      <c r="F27" s="16">
        <f>'3. GRI Pricing'!F37</f>
        <v>667</v>
      </c>
      <c r="G27" s="16">
        <f>'3. GRI Pricing'!G37</f>
        <v>2</v>
      </c>
      <c r="H27" s="16" t="str">
        <f>'3. GRI Pricing'!H37</f>
        <v>Forth Banks/Pottery Lane</v>
      </c>
      <c r="I27" s="280">
        <f>'3. GRI Pricing'!K37</f>
        <v>1110</v>
      </c>
      <c r="J27" s="281">
        <f>'3. GRI Pricing'!O37</f>
        <v>40</v>
      </c>
      <c r="K27" s="281">
        <f>'3. GRI Pricing'!L37</f>
        <v>0</v>
      </c>
      <c r="L27" s="281">
        <f>'3. GRI Pricing'!P37</f>
        <v>10</v>
      </c>
      <c r="M27" s="281">
        <f>'3. GRI Pricing'!R37</f>
        <v>0</v>
      </c>
      <c r="N27" s="281">
        <f>'3. GRI Pricing'!S37</f>
        <v>70</v>
      </c>
      <c r="O27" s="281">
        <f>'3. GRI Pricing'!Q37</f>
        <v>0</v>
      </c>
      <c r="P27" s="281">
        <f>'3. GRI Pricing'!T37</f>
        <v>0</v>
      </c>
      <c r="Q27" s="281">
        <f>'3. GRI Pricing'!U37</f>
        <v>0</v>
      </c>
      <c r="R27" s="281">
        <f>'3. GRI Pricing'!V37</f>
        <v>0</v>
      </c>
      <c r="S27" s="281">
        <f>'3. GRI Pricing'!W37</f>
        <v>0</v>
      </c>
      <c r="T27" s="281">
        <f>'3. GRI Pricing'!X37</f>
        <v>0</v>
      </c>
      <c r="U27" s="282">
        <f>'3. GRI Pricing'!Y37</f>
        <v>1260</v>
      </c>
    </row>
    <row r="28" spans="3:21" x14ac:dyDescent="0.2">
      <c r="C28" s="23" t="str">
        <f>'3. GRI Pricing'!C38</f>
        <v>206N</v>
      </c>
      <c r="D28" s="16" t="str">
        <f>'3. GRI Pricing'!D38</f>
        <v>1 Bed</v>
      </c>
      <c r="E28" s="16">
        <f>'3. GRI Pricing'!E38</f>
        <v>1</v>
      </c>
      <c r="F28" s="16">
        <f>'3. GRI Pricing'!F38</f>
        <v>441</v>
      </c>
      <c r="G28" s="16">
        <f>'3. GRI Pricing'!G38</f>
        <v>2</v>
      </c>
      <c r="H28" s="16" t="str">
        <f>'3. GRI Pricing'!H38</f>
        <v>Forth Banks</v>
      </c>
      <c r="I28" s="280">
        <f>'3. GRI Pricing'!K38</f>
        <v>845</v>
      </c>
      <c r="J28" s="281">
        <f>'3. GRI Pricing'!O38</f>
        <v>40</v>
      </c>
      <c r="K28" s="281">
        <f>'3. GRI Pricing'!L38</f>
        <v>0</v>
      </c>
      <c r="L28" s="281">
        <f>'3. GRI Pricing'!P38</f>
        <v>5</v>
      </c>
      <c r="M28" s="281">
        <f>'3. GRI Pricing'!R38</f>
        <v>0</v>
      </c>
      <c r="N28" s="281">
        <f>'3. GRI Pricing'!S38</f>
        <v>70</v>
      </c>
      <c r="O28" s="281">
        <f>'3. GRI Pricing'!Q38</f>
        <v>0</v>
      </c>
      <c r="P28" s="281">
        <f>'3. GRI Pricing'!T38</f>
        <v>0</v>
      </c>
      <c r="Q28" s="281">
        <f>'3. GRI Pricing'!U38</f>
        <v>0</v>
      </c>
      <c r="R28" s="281">
        <f>'3. GRI Pricing'!V38</f>
        <v>0</v>
      </c>
      <c r="S28" s="281">
        <f>'3. GRI Pricing'!W38</f>
        <v>0</v>
      </c>
      <c r="T28" s="281">
        <f>'3. GRI Pricing'!X38</f>
        <v>0</v>
      </c>
      <c r="U28" s="282">
        <f>'3. GRI Pricing'!Y38</f>
        <v>960</v>
      </c>
    </row>
    <row r="29" spans="3:21" x14ac:dyDescent="0.2">
      <c r="C29" s="23" t="str">
        <f>'3. GRI Pricing'!C39</f>
        <v>207N</v>
      </c>
      <c r="D29" s="16" t="str">
        <f>'3. GRI Pricing'!D39</f>
        <v>2 Bed</v>
      </c>
      <c r="E29" s="16">
        <f>'3. GRI Pricing'!E39</f>
        <v>2</v>
      </c>
      <c r="F29" s="16">
        <f>'3. GRI Pricing'!F39</f>
        <v>624</v>
      </c>
      <c r="G29" s="16">
        <f>'3. GRI Pricing'!G39</f>
        <v>2</v>
      </c>
      <c r="H29" s="16" t="str">
        <f>'3. GRI Pricing'!H39</f>
        <v>Forth Banks</v>
      </c>
      <c r="I29" s="280">
        <f>'3. GRI Pricing'!K39</f>
        <v>1110</v>
      </c>
      <c r="J29" s="281">
        <f>'3. GRI Pricing'!O39</f>
        <v>40</v>
      </c>
      <c r="K29" s="281">
        <f>'3. GRI Pricing'!L39</f>
        <v>0</v>
      </c>
      <c r="L29" s="281">
        <f>'3. GRI Pricing'!P39</f>
        <v>5</v>
      </c>
      <c r="M29" s="281">
        <f>'3. GRI Pricing'!R39</f>
        <v>0</v>
      </c>
      <c r="N29" s="281">
        <f>'3. GRI Pricing'!S39</f>
        <v>70</v>
      </c>
      <c r="O29" s="281">
        <f>'3. GRI Pricing'!Q39</f>
        <v>0</v>
      </c>
      <c r="P29" s="281">
        <f>'3. GRI Pricing'!T39</f>
        <v>0</v>
      </c>
      <c r="Q29" s="281">
        <f>'3. GRI Pricing'!U39</f>
        <v>0</v>
      </c>
      <c r="R29" s="281">
        <f>'3. GRI Pricing'!V39</f>
        <v>0</v>
      </c>
      <c r="S29" s="281">
        <f>'3. GRI Pricing'!W39</f>
        <v>0</v>
      </c>
      <c r="T29" s="281">
        <f>'3. GRI Pricing'!X39</f>
        <v>0</v>
      </c>
      <c r="U29" s="282">
        <f>'3. GRI Pricing'!Y39</f>
        <v>1235</v>
      </c>
    </row>
    <row r="30" spans="3:21" x14ac:dyDescent="0.2">
      <c r="C30" s="23" t="str">
        <f>'3. GRI Pricing'!C40</f>
        <v>208N</v>
      </c>
      <c r="D30" s="16" t="str">
        <f>'3. GRI Pricing'!D40</f>
        <v>2 Bed</v>
      </c>
      <c r="E30" s="16">
        <f>'3. GRI Pricing'!E40</f>
        <v>2</v>
      </c>
      <c r="F30" s="16">
        <f>'3. GRI Pricing'!F40</f>
        <v>624</v>
      </c>
      <c r="G30" s="16">
        <f>'3. GRI Pricing'!G40</f>
        <v>2</v>
      </c>
      <c r="H30" s="16" t="str">
        <f>'3. GRI Pricing'!H40</f>
        <v>Forth Banks</v>
      </c>
      <c r="I30" s="280">
        <f>'3. GRI Pricing'!K40</f>
        <v>1110</v>
      </c>
      <c r="J30" s="281">
        <f>'3. GRI Pricing'!O40</f>
        <v>40</v>
      </c>
      <c r="K30" s="281">
        <f>'3. GRI Pricing'!L40</f>
        <v>0</v>
      </c>
      <c r="L30" s="281">
        <f>'3. GRI Pricing'!P40</f>
        <v>5</v>
      </c>
      <c r="M30" s="281">
        <f>'3. GRI Pricing'!R40</f>
        <v>0</v>
      </c>
      <c r="N30" s="281">
        <f>'3. GRI Pricing'!S40</f>
        <v>70</v>
      </c>
      <c r="O30" s="281">
        <f>'3. GRI Pricing'!Q40</f>
        <v>0</v>
      </c>
      <c r="P30" s="281">
        <f>'3. GRI Pricing'!T40</f>
        <v>0</v>
      </c>
      <c r="Q30" s="281">
        <f>'3. GRI Pricing'!U40</f>
        <v>0</v>
      </c>
      <c r="R30" s="281">
        <f>'3. GRI Pricing'!V40</f>
        <v>0</v>
      </c>
      <c r="S30" s="281">
        <f>'3. GRI Pricing'!W40</f>
        <v>0</v>
      </c>
      <c r="T30" s="281">
        <f>'3. GRI Pricing'!X40</f>
        <v>0</v>
      </c>
      <c r="U30" s="282">
        <f>'3. GRI Pricing'!Y40</f>
        <v>1235</v>
      </c>
    </row>
    <row r="31" spans="3:21" x14ac:dyDescent="0.2">
      <c r="C31" s="23" t="str">
        <f>'3. GRI Pricing'!C41</f>
        <v>209N</v>
      </c>
      <c r="D31" s="16" t="str">
        <f>'3. GRI Pricing'!D41</f>
        <v>2 Bed</v>
      </c>
      <c r="E31" s="16">
        <f>'3. GRI Pricing'!E41</f>
        <v>2</v>
      </c>
      <c r="F31" s="16">
        <f>'3. GRI Pricing'!F41</f>
        <v>657</v>
      </c>
      <c r="G31" s="16">
        <f>'3. GRI Pricing'!G41</f>
        <v>2</v>
      </c>
      <c r="H31" s="16" t="str">
        <f>'3. GRI Pricing'!H41</f>
        <v>River - Partial</v>
      </c>
      <c r="I31" s="280">
        <f>'3. GRI Pricing'!K41</f>
        <v>1110</v>
      </c>
      <c r="J31" s="281">
        <f>'3. GRI Pricing'!O41</f>
        <v>40</v>
      </c>
      <c r="K31" s="281">
        <f>'3. GRI Pricing'!L41</f>
        <v>0</v>
      </c>
      <c r="L31" s="281">
        <f>'3. GRI Pricing'!P41</f>
        <v>45</v>
      </c>
      <c r="M31" s="281">
        <f>'3. GRI Pricing'!R41</f>
        <v>0</v>
      </c>
      <c r="N31" s="281">
        <f>'3. GRI Pricing'!S41</f>
        <v>70</v>
      </c>
      <c r="O31" s="281">
        <f>'3. GRI Pricing'!Q41</f>
        <v>0</v>
      </c>
      <c r="P31" s="281">
        <f>'3. GRI Pricing'!T41</f>
        <v>0</v>
      </c>
      <c r="Q31" s="281">
        <f>'3. GRI Pricing'!U41</f>
        <v>0</v>
      </c>
      <c r="R31" s="281">
        <f>'3. GRI Pricing'!V41</f>
        <v>0</v>
      </c>
      <c r="S31" s="281">
        <f>'3. GRI Pricing'!W41</f>
        <v>0</v>
      </c>
      <c r="T31" s="281">
        <f>'3. GRI Pricing'!X41</f>
        <v>0</v>
      </c>
      <c r="U31" s="282">
        <f>'3. GRI Pricing'!Y41</f>
        <v>1285</v>
      </c>
    </row>
    <row r="32" spans="3:21" x14ac:dyDescent="0.2">
      <c r="C32" s="23" t="str">
        <f>'3. GRI Pricing'!C42</f>
        <v>210N</v>
      </c>
      <c r="D32" s="16" t="str">
        <f>'3. GRI Pricing'!D42</f>
        <v>2 Bed</v>
      </c>
      <c r="E32" s="16">
        <f>'3. GRI Pricing'!E42</f>
        <v>2</v>
      </c>
      <c r="F32" s="16">
        <f>'3. GRI Pricing'!F42</f>
        <v>700</v>
      </c>
      <c r="G32" s="16">
        <f>'3. GRI Pricing'!G42</f>
        <v>2</v>
      </c>
      <c r="H32" s="16" t="str">
        <f>'3. GRI Pricing'!H42</f>
        <v>Forth Banks - Partial</v>
      </c>
      <c r="I32" s="280">
        <f>'3. GRI Pricing'!K42</f>
        <v>1110</v>
      </c>
      <c r="J32" s="281">
        <f>'3. GRI Pricing'!O42</f>
        <v>40</v>
      </c>
      <c r="K32" s="281">
        <f>'3. GRI Pricing'!L42</f>
        <v>0</v>
      </c>
      <c r="L32" s="281">
        <f>'3. GRI Pricing'!P42</f>
        <v>40</v>
      </c>
      <c r="M32" s="281">
        <f>'3. GRI Pricing'!R42</f>
        <v>0</v>
      </c>
      <c r="N32" s="281">
        <f>'3. GRI Pricing'!S42</f>
        <v>70</v>
      </c>
      <c r="O32" s="281">
        <f>'3. GRI Pricing'!Q42</f>
        <v>0</v>
      </c>
      <c r="P32" s="281">
        <f>'3. GRI Pricing'!T42</f>
        <v>0</v>
      </c>
      <c r="Q32" s="281">
        <f>'3. GRI Pricing'!U42</f>
        <v>0</v>
      </c>
      <c r="R32" s="281">
        <f>'3. GRI Pricing'!V42</f>
        <v>0</v>
      </c>
      <c r="S32" s="281">
        <f>'3. GRI Pricing'!W42</f>
        <v>0</v>
      </c>
      <c r="T32" s="281">
        <f>'3. GRI Pricing'!X42</f>
        <v>0</v>
      </c>
      <c r="U32" s="282">
        <f>'3. GRI Pricing'!Y42</f>
        <v>1330</v>
      </c>
    </row>
    <row r="33" spans="3:21" x14ac:dyDescent="0.2">
      <c r="C33" s="23" t="str">
        <f>'3. GRI Pricing'!C43</f>
        <v>211N</v>
      </c>
      <c r="D33" s="16" t="str">
        <f>'3. GRI Pricing'!D43</f>
        <v>2 Bed</v>
      </c>
      <c r="E33" s="16">
        <f>'3. GRI Pricing'!E43</f>
        <v>2</v>
      </c>
      <c r="F33" s="16">
        <f>'3. GRI Pricing'!F43</f>
        <v>689</v>
      </c>
      <c r="G33" s="16">
        <f>'3. GRI Pricing'!G43</f>
        <v>2</v>
      </c>
      <c r="H33" s="16" t="str">
        <f>'3. GRI Pricing'!H43</f>
        <v>Courtyard - dual</v>
      </c>
      <c r="I33" s="280">
        <f>'3. GRI Pricing'!K43</f>
        <v>1110</v>
      </c>
      <c r="J33" s="281">
        <f>'3. GRI Pricing'!O43</f>
        <v>40</v>
      </c>
      <c r="K33" s="281">
        <f>'3. GRI Pricing'!L43</f>
        <v>0</v>
      </c>
      <c r="L33" s="281">
        <f>'3. GRI Pricing'!P43</f>
        <v>55</v>
      </c>
      <c r="M33" s="281">
        <f>'3. GRI Pricing'!R43</f>
        <v>0</v>
      </c>
      <c r="N33" s="281">
        <f>'3. GRI Pricing'!S43</f>
        <v>70</v>
      </c>
      <c r="O33" s="281">
        <f>'3. GRI Pricing'!Q43</f>
        <v>0</v>
      </c>
      <c r="P33" s="281">
        <f>'3. GRI Pricing'!T43</f>
        <v>0</v>
      </c>
      <c r="Q33" s="281">
        <f>'3. GRI Pricing'!U43</f>
        <v>0</v>
      </c>
      <c r="R33" s="281">
        <f>'3. GRI Pricing'!V43</f>
        <v>0</v>
      </c>
      <c r="S33" s="281">
        <f>'3. GRI Pricing'!W43</f>
        <v>0</v>
      </c>
      <c r="T33" s="281">
        <f>'3. GRI Pricing'!X43</f>
        <v>0</v>
      </c>
      <c r="U33" s="282">
        <f>'3. GRI Pricing'!Y43</f>
        <v>1340</v>
      </c>
    </row>
    <row r="34" spans="3:21" x14ac:dyDescent="0.2">
      <c r="C34" s="23" t="str">
        <f>'3. GRI Pricing'!C44</f>
        <v>212N</v>
      </c>
      <c r="D34" s="16" t="str">
        <f>'3. GRI Pricing'!D44</f>
        <v>1 Bed</v>
      </c>
      <c r="E34" s="16">
        <f>'3. GRI Pricing'!E44</f>
        <v>1</v>
      </c>
      <c r="F34" s="16">
        <f>'3. GRI Pricing'!F44</f>
        <v>517</v>
      </c>
      <c r="G34" s="16">
        <f>'3. GRI Pricing'!G44</f>
        <v>2</v>
      </c>
      <c r="H34" s="16" t="str">
        <f>'3. GRI Pricing'!H44</f>
        <v>Courtyard - dual</v>
      </c>
      <c r="I34" s="280">
        <f>'3. GRI Pricing'!K44</f>
        <v>845</v>
      </c>
      <c r="J34" s="281">
        <f>'3. GRI Pricing'!O44</f>
        <v>40</v>
      </c>
      <c r="K34" s="281">
        <f>'3. GRI Pricing'!L44</f>
        <v>0</v>
      </c>
      <c r="L34" s="281">
        <f>'3. GRI Pricing'!P44</f>
        <v>55</v>
      </c>
      <c r="M34" s="281">
        <f>'3. GRI Pricing'!R44</f>
        <v>0</v>
      </c>
      <c r="N34" s="281">
        <f>'3. GRI Pricing'!S44</f>
        <v>70</v>
      </c>
      <c r="O34" s="281">
        <f>'3. GRI Pricing'!Q44</f>
        <v>0</v>
      </c>
      <c r="P34" s="281">
        <f>'3. GRI Pricing'!T44</f>
        <v>0</v>
      </c>
      <c r="Q34" s="281">
        <f>'3. GRI Pricing'!U44</f>
        <v>0</v>
      </c>
      <c r="R34" s="281">
        <f>'3. GRI Pricing'!V44</f>
        <v>0</v>
      </c>
      <c r="S34" s="281">
        <f>'3. GRI Pricing'!W44</f>
        <v>0</v>
      </c>
      <c r="T34" s="281">
        <f>'3. GRI Pricing'!X44</f>
        <v>0</v>
      </c>
      <c r="U34" s="282">
        <f>'3. GRI Pricing'!Y44</f>
        <v>1030</v>
      </c>
    </row>
    <row r="35" spans="3:21" x14ac:dyDescent="0.2">
      <c r="C35" s="23" t="str">
        <f>'3. GRI Pricing'!C45</f>
        <v>213N</v>
      </c>
      <c r="D35" s="16" t="str">
        <f>'3. GRI Pricing'!D45</f>
        <v>1 Bed</v>
      </c>
      <c r="E35" s="16">
        <f>'3. GRI Pricing'!E45</f>
        <v>1</v>
      </c>
      <c r="F35" s="16">
        <f>'3. GRI Pricing'!F45</f>
        <v>538</v>
      </c>
      <c r="G35" s="16">
        <f>'3. GRI Pricing'!G45</f>
        <v>2</v>
      </c>
      <c r="H35" s="16" t="str">
        <f>'3. GRI Pricing'!H45</f>
        <v>Courtyard</v>
      </c>
      <c r="I35" s="280">
        <f>'3. GRI Pricing'!K45</f>
        <v>845</v>
      </c>
      <c r="J35" s="281">
        <f>'3. GRI Pricing'!O45</f>
        <v>40</v>
      </c>
      <c r="K35" s="281">
        <f>'3. GRI Pricing'!L45</f>
        <v>0</v>
      </c>
      <c r="L35" s="281">
        <f>'3. GRI Pricing'!P45</f>
        <v>25</v>
      </c>
      <c r="M35" s="281">
        <f>'3. GRI Pricing'!R45</f>
        <v>0</v>
      </c>
      <c r="N35" s="281">
        <f>'3. GRI Pricing'!S45</f>
        <v>70</v>
      </c>
      <c r="O35" s="281">
        <f>'3. GRI Pricing'!Q45</f>
        <v>0</v>
      </c>
      <c r="P35" s="281">
        <f>'3. GRI Pricing'!T45</f>
        <v>0</v>
      </c>
      <c r="Q35" s="281">
        <f>'3. GRI Pricing'!U45</f>
        <v>0</v>
      </c>
      <c r="R35" s="281">
        <f>'3. GRI Pricing'!V45</f>
        <v>0</v>
      </c>
      <c r="S35" s="281">
        <f>'3. GRI Pricing'!W45</f>
        <v>0</v>
      </c>
      <c r="T35" s="281">
        <f>'3. GRI Pricing'!X45</f>
        <v>0</v>
      </c>
      <c r="U35" s="282">
        <f>'3. GRI Pricing'!Y45</f>
        <v>1005</v>
      </c>
    </row>
    <row r="36" spans="3:21" x14ac:dyDescent="0.2">
      <c r="C36" s="23" t="str">
        <f>'3. GRI Pricing'!C46</f>
        <v>214N</v>
      </c>
      <c r="D36" s="16" t="str">
        <f>'3. GRI Pricing'!D46</f>
        <v>1 Bed</v>
      </c>
      <c r="E36" s="16">
        <f>'3. GRI Pricing'!E46</f>
        <v>1</v>
      </c>
      <c r="F36" s="16">
        <f>'3. GRI Pricing'!F46</f>
        <v>560</v>
      </c>
      <c r="G36" s="16">
        <f>'3. GRI Pricing'!G46</f>
        <v>2</v>
      </c>
      <c r="H36" s="16" t="str">
        <f>'3. GRI Pricing'!H46</f>
        <v>Courtyard</v>
      </c>
      <c r="I36" s="280">
        <f>'3. GRI Pricing'!K46</f>
        <v>845</v>
      </c>
      <c r="J36" s="281">
        <f>'3. GRI Pricing'!O46</f>
        <v>40</v>
      </c>
      <c r="K36" s="281">
        <f>'3. GRI Pricing'!L46</f>
        <v>0</v>
      </c>
      <c r="L36" s="281">
        <f>'3. GRI Pricing'!P46</f>
        <v>25</v>
      </c>
      <c r="M36" s="281">
        <f>'3. GRI Pricing'!R46</f>
        <v>0</v>
      </c>
      <c r="N36" s="281">
        <f>'3. GRI Pricing'!S46</f>
        <v>70</v>
      </c>
      <c r="O36" s="281">
        <f>'3. GRI Pricing'!Q46</f>
        <v>0</v>
      </c>
      <c r="P36" s="281">
        <f>'3. GRI Pricing'!T46</f>
        <v>0</v>
      </c>
      <c r="Q36" s="281">
        <f>'3. GRI Pricing'!U46</f>
        <v>-25</v>
      </c>
      <c r="R36" s="281">
        <f>'3. GRI Pricing'!V46</f>
        <v>0</v>
      </c>
      <c r="S36" s="281">
        <f>'3. GRI Pricing'!W46</f>
        <v>0</v>
      </c>
      <c r="T36" s="281">
        <f>'3. GRI Pricing'!X46</f>
        <v>0</v>
      </c>
      <c r="U36" s="282">
        <f>'3. GRI Pricing'!Y46</f>
        <v>990</v>
      </c>
    </row>
    <row r="37" spans="3:21" x14ac:dyDescent="0.2">
      <c r="C37" s="23" t="str">
        <f>'3. GRI Pricing'!C47</f>
        <v>215N</v>
      </c>
      <c r="D37" s="16" t="str">
        <f>'3. GRI Pricing'!D47</f>
        <v>2 Bed</v>
      </c>
      <c r="E37" s="16">
        <f>'3. GRI Pricing'!E47</f>
        <v>2</v>
      </c>
      <c r="F37" s="16">
        <f>'3. GRI Pricing'!F47</f>
        <v>624</v>
      </c>
      <c r="G37" s="16">
        <f>'3. GRI Pricing'!G47</f>
        <v>2</v>
      </c>
      <c r="H37" s="16" t="str">
        <f>'3. GRI Pricing'!H47</f>
        <v>Courtyard</v>
      </c>
      <c r="I37" s="280">
        <f>'3. GRI Pricing'!K47</f>
        <v>1110</v>
      </c>
      <c r="J37" s="281">
        <f>'3. GRI Pricing'!O47</f>
        <v>40</v>
      </c>
      <c r="K37" s="281">
        <f>'3. GRI Pricing'!L47</f>
        <v>0</v>
      </c>
      <c r="L37" s="281">
        <f>'3. GRI Pricing'!P47</f>
        <v>25</v>
      </c>
      <c r="M37" s="281">
        <f>'3. GRI Pricing'!R47</f>
        <v>0</v>
      </c>
      <c r="N37" s="281">
        <f>'3. GRI Pricing'!S47</f>
        <v>70</v>
      </c>
      <c r="O37" s="281">
        <f>'3. GRI Pricing'!Q47</f>
        <v>0</v>
      </c>
      <c r="P37" s="281">
        <f>'3. GRI Pricing'!T47</f>
        <v>0</v>
      </c>
      <c r="Q37" s="281">
        <f>'3. GRI Pricing'!U47</f>
        <v>0</v>
      </c>
      <c r="R37" s="281">
        <f>'3. GRI Pricing'!V47</f>
        <v>0</v>
      </c>
      <c r="S37" s="281">
        <f>'3. GRI Pricing'!W47</f>
        <v>0</v>
      </c>
      <c r="T37" s="281">
        <f>'3. GRI Pricing'!X47</f>
        <v>0</v>
      </c>
      <c r="U37" s="282">
        <f>'3. GRI Pricing'!Y47</f>
        <v>1255</v>
      </c>
    </row>
    <row r="38" spans="3:21" x14ac:dyDescent="0.2">
      <c r="C38" s="23" t="str">
        <f>'3. GRI Pricing'!C48</f>
        <v>216N</v>
      </c>
      <c r="D38" s="16" t="str">
        <f>'3. GRI Pricing'!D48</f>
        <v>2 Bed</v>
      </c>
      <c r="E38" s="16">
        <f>'3. GRI Pricing'!E48</f>
        <v>2</v>
      </c>
      <c r="F38" s="16">
        <f>'3. GRI Pricing'!F48</f>
        <v>624</v>
      </c>
      <c r="G38" s="16">
        <f>'3. GRI Pricing'!G48</f>
        <v>2</v>
      </c>
      <c r="H38" s="16" t="str">
        <f>'3. GRI Pricing'!H48</f>
        <v>Courtyard</v>
      </c>
      <c r="I38" s="280">
        <f>'3. GRI Pricing'!K48</f>
        <v>1110</v>
      </c>
      <c r="J38" s="281">
        <f>'3. GRI Pricing'!O48</f>
        <v>40</v>
      </c>
      <c r="K38" s="281">
        <f>'3. GRI Pricing'!L48</f>
        <v>0</v>
      </c>
      <c r="L38" s="281">
        <f>'3. GRI Pricing'!P48</f>
        <v>25</v>
      </c>
      <c r="M38" s="281">
        <f>'3. GRI Pricing'!R48</f>
        <v>0</v>
      </c>
      <c r="N38" s="281">
        <f>'3. GRI Pricing'!S48</f>
        <v>70</v>
      </c>
      <c r="O38" s="281">
        <f>'3. GRI Pricing'!Q48</f>
        <v>0</v>
      </c>
      <c r="P38" s="281">
        <f>'3. GRI Pricing'!T48</f>
        <v>0</v>
      </c>
      <c r="Q38" s="281">
        <f>'3. GRI Pricing'!U48</f>
        <v>0</v>
      </c>
      <c r="R38" s="281">
        <f>'3. GRI Pricing'!V48</f>
        <v>0</v>
      </c>
      <c r="S38" s="281">
        <f>'3. GRI Pricing'!W48</f>
        <v>0</v>
      </c>
      <c r="T38" s="281">
        <f>'3. GRI Pricing'!X48</f>
        <v>0</v>
      </c>
      <c r="U38" s="282">
        <f>'3. GRI Pricing'!Y48</f>
        <v>1255</v>
      </c>
    </row>
    <row r="39" spans="3:21" x14ac:dyDescent="0.2">
      <c r="C39" s="23" t="str">
        <f>'3. GRI Pricing'!C49</f>
        <v>301N</v>
      </c>
      <c r="D39" s="16" t="str">
        <f>'3. GRI Pricing'!D49</f>
        <v>1 Bed</v>
      </c>
      <c r="E39" s="16">
        <f>'3. GRI Pricing'!E49</f>
        <v>1</v>
      </c>
      <c r="F39" s="16">
        <f>'3. GRI Pricing'!F49</f>
        <v>484</v>
      </c>
      <c r="G39" s="16">
        <f>'3. GRI Pricing'!G49</f>
        <v>3</v>
      </c>
      <c r="H39" s="16" t="str">
        <f>'3. GRI Pricing'!H49</f>
        <v>Courtyard</v>
      </c>
      <c r="I39" s="280">
        <f>'3. GRI Pricing'!K49</f>
        <v>845</v>
      </c>
      <c r="J39" s="281">
        <f>'3. GRI Pricing'!O49</f>
        <v>50</v>
      </c>
      <c r="K39" s="281">
        <f>'3. GRI Pricing'!L49</f>
        <v>0</v>
      </c>
      <c r="L39" s="281">
        <f>'3. GRI Pricing'!P49</f>
        <v>25</v>
      </c>
      <c r="M39" s="281">
        <f>'3. GRI Pricing'!R49</f>
        <v>0</v>
      </c>
      <c r="N39" s="281">
        <f>'3. GRI Pricing'!S49</f>
        <v>70</v>
      </c>
      <c r="O39" s="281">
        <f>'3. GRI Pricing'!Q49</f>
        <v>0</v>
      </c>
      <c r="P39" s="281">
        <f>'3. GRI Pricing'!T49</f>
        <v>0</v>
      </c>
      <c r="Q39" s="281">
        <f>'3. GRI Pricing'!U49</f>
        <v>0</v>
      </c>
      <c r="R39" s="281">
        <f>'3. GRI Pricing'!V49</f>
        <v>0</v>
      </c>
      <c r="S39" s="281">
        <f>'3. GRI Pricing'!W49</f>
        <v>0</v>
      </c>
      <c r="T39" s="281">
        <f>'3. GRI Pricing'!X49</f>
        <v>0</v>
      </c>
      <c r="U39" s="282">
        <f>'3. GRI Pricing'!Y49</f>
        <v>1000</v>
      </c>
    </row>
    <row r="40" spans="3:21" x14ac:dyDescent="0.2">
      <c r="C40" s="23" t="str">
        <f>'3. GRI Pricing'!C50</f>
        <v>302N</v>
      </c>
      <c r="D40" s="16" t="str">
        <f>'3. GRI Pricing'!D50</f>
        <v>2 Bed</v>
      </c>
      <c r="E40" s="16">
        <f>'3. GRI Pricing'!E50</f>
        <v>2</v>
      </c>
      <c r="F40" s="16">
        <f>'3. GRI Pricing'!F50</f>
        <v>678</v>
      </c>
      <c r="G40" s="16">
        <f>'3. GRI Pricing'!G50</f>
        <v>3</v>
      </c>
      <c r="H40" s="16" t="str">
        <f>'3. GRI Pricing'!H50</f>
        <v>Courtyard</v>
      </c>
      <c r="I40" s="280">
        <f>'3. GRI Pricing'!K50</f>
        <v>1110</v>
      </c>
      <c r="J40" s="281">
        <f>'3. GRI Pricing'!O50</f>
        <v>50</v>
      </c>
      <c r="K40" s="281">
        <f>'3. GRI Pricing'!L50</f>
        <v>0</v>
      </c>
      <c r="L40" s="281">
        <f>'3. GRI Pricing'!P50</f>
        <v>25</v>
      </c>
      <c r="M40" s="281">
        <f>'3. GRI Pricing'!R50</f>
        <v>0</v>
      </c>
      <c r="N40" s="281">
        <f>'3. GRI Pricing'!S50</f>
        <v>70</v>
      </c>
      <c r="O40" s="281">
        <f>'3. GRI Pricing'!Q50</f>
        <v>0</v>
      </c>
      <c r="P40" s="281">
        <f>'3. GRI Pricing'!T50</f>
        <v>0</v>
      </c>
      <c r="Q40" s="281">
        <f>'3. GRI Pricing'!U50</f>
        <v>0</v>
      </c>
      <c r="R40" s="281">
        <f>'3. GRI Pricing'!V50</f>
        <v>0</v>
      </c>
      <c r="S40" s="281">
        <f>'3. GRI Pricing'!W50</f>
        <v>0</v>
      </c>
      <c r="T40" s="281">
        <f>'3. GRI Pricing'!X50</f>
        <v>0</v>
      </c>
      <c r="U40" s="282">
        <f>'3. GRI Pricing'!Y50</f>
        <v>1295</v>
      </c>
    </row>
    <row r="41" spans="3:21" x14ac:dyDescent="0.2">
      <c r="C41" s="23" t="str">
        <f>'3. GRI Pricing'!C51</f>
        <v>303N</v>
      </c>
      <c r="D41" s="16" t="str">
        <f>'3. GRI Pricing'!D51</f>
        <v>2 Bed</v>
      </c>
      <c r="E41" s="16">
        <f>'3. GRI Pricing'!E51</f>
        <v>2</v>
      </c>
      <c r="F41" s="16">
        <f>'3. GRI Pricing'!F51</f>
        <v>657</v>
      </c>
      <c r="G41" s="16">
        <f>'3. GRI Pricing'!G51</f>
        <v>3</v>
      </c>
      <c r="H41" s="16" t="str">
        <f>'3. GRI Pricing'!H51</f>
        <v>Courtyard</v>
      </c>
      <c r="I41" s="280">
        <f>'3. GRI Pricing'!K51</f>
        <v>1110</v>
      </c>
      <c r="J41" s="281">
        <f>'3. GRI Pricing'!O51</f>
        <v>50</v>
      </c>
      <c r="K41" s="281">
        <f>'3. GRI Pricing'!L51</f>
        <v>0</v>
      </c>
      <c r="L41" s="281">
        <f>'3. GRI Pricing'!P51</f>
        <v>25</v>
      </c>
      <c r="M41" s="281">
        <f>'3. GRI Pricing'!R51</f>
        <v>0</v>
      </c>
      <c r="N41" s="281">
        <f>'3. GRI Pricing'!S51</f>
        <v>70</v>
      </c>
      <c r="O41" s="281">
        <f>'3. GRI Pricing'!Q51</f>
        <v>0</v>
      </c>
      <c r="P41" s="281">
        <f>'3. GRI Pricing'!T51</f>
        <v>0</v>
      </c>
      <c r="Q41" s="281">
        <f>'3. GRI Pricing'!U51</f>
        <v>0</v>
      </c>
      <c r="R41" s="281">
        <f>'3. GRI Pricing'!V51</f>
        <v>0</v>
      </c>
      <c r="S41" s="281">
        <f>'3. GRI Pricing'!W51</f>
        <v>0</v>
      </c>
      <c r="T41" s="281">
        <f>'3. GRI Pricing'!X51</f>
        <v>0</v>
      </c>
      <c r="U41" s="282">
        <f>'3. GRI Pricing'!Y51</f>
        <v>1275</v>
      </c>
    </row>
    <row r="42" spans="3:21" x14ac:dyDescent="0.2">
      <c r="C42" s="23" t="str">
        <f>'3. GRI Pricing'!C52</f>
        <v>304N</v>
      </c>
      <c r="D42" s="16" t="str">
        <f>'3. GRI Pricing'!D52</f>
        <v>3 Bed</v>
      </c>
      <c r="E42" s="16">
        <f>'3. GRI Pricing'!E52</f>
        <v>2</v>
      </c>
      <c r="F42" s="16">
        <f>'3. GRI Pricing'!F52</f>
        <v>818</v>
      </c>
      <c r="G42" s="16">
        <f>'3. GRI Pricing'!G52</f>
        <v>3</v>
      </c>
      <c r="H42" s="16" t="str">
        <f>'3. GRI Pricing'!H52</f>
        <v>Pottery Lane</v>
      </c>
      <c r="I42" s="280">
        <f>'3. GRI Pricing'!K52</f>
        <v>1485</v>
      </c>
      <c r="J42" s="281">
        <f>'3. GRI Pricing'!O52</f>
        <v>50</v>
      </c>
      <c r="K42" s="281">
        <f>'3. GRI Pricing'!L52</f>
        <v>0</v>
      </c>
      <c r="L42" s="281">
        <f>'3. GRI Pricing'!P52</f>
        <v>10</v>
      </c>
      <c r="M42" s="281">
        <f>'3. GRI Pricing'!R52</f>
        <v>0</v>
      </c>
      <c r="N42" s="281">
        <f>'3. GRI Pricing'!S52</f>
        <v>70</v>
      </c>
      <c r="O42" s="281">
        <f>'3. GRI Pricing'!Q52</f>
        <v>0</v>
      </c>
      <c r="P42" s="281">
        <f>'3. GRI Pricing'!T52</f>
        <v>0</v>
      </c>
      <c r="Q42" s="281">
        <f>'3. GRI Pricing'!U52</f>
        <v>0</v>
      </c>
      <c r="R42" s="281">
        <f>'3. GRI Pricing'!V52</f>
        <v>0</v>
      </c>
      <c r="S42" s="281">
        <f>'3. GRI Pricing'!W52</f>
        <v>0</v>
      </c>
      <c r="T42" s="281">
        <f>'3. GRI Pricing'!X52</f>
        <v>0</v>
      </c>
      <c r="U42" s="282">
        <f>'3. GRI Pricing'!Y52</f>
        <v>1665</v>
      </c>
    </row>
    <row r="43" spans="3:21" x14ac:dyDescent="0.2">
      <c r="C43" s="23" t="str">
        <f>'3. GRI Pricing'!C53</f>
        <v>305N</v>
      </c>
      <c r="D43" s="16" t="str">
        <f>'3. GRI Pricing'!D53</f>
        <v>2 Bed</v>
      </c>
      <c r="E43" s="16">
        <f>'3. GRI Pricing'!E53</f>
        <v>2</v>
      </c>
      <c r="F43" s="16">
        <f>'3. GRI Pricing'!F53</f>
        <v>667</v>
      </c>
      <c r="G43" s="16">
        <f>'3. GRI Pricing'!G53</f>
        <v>3</v>
      </c>
      <c r="H43" s="16" t="str">
        <f>'3. GRI Pricing'!H53</f>
        <v>Forth Banks/Pottery Lane</v>
      </c>
      <c r="I43" s="280">
        <f>'3. GRI Pricing'!K53</f>
        <v>1110</v>
      </c>
      <c r="J43" s="281">
        <f>'3. GRI Pricing'!O53</f>
        <v>50</v>
      </c>
      <c r="K43" s="281">
        <f>'3. GRI Pricing'!L53</f>
        <v>0</v>
      </c>
      <c r="L43" s="281">
        <f>'3. GRI Pricing'!P53</f>
        <v>10</v>
      </c>
      <c r="M43" s="281">
        <f>'3. GRI Pricing'!R53</f>
        <v>0</v>
      </c>
      <c r="N43" s="281">
        <f>'3. GRI Pricing'!S53</f>
        <v>70</v>
      </c>
      <c r="O43" s="281">
        <f>'3. GRI Pricing'!Q53</f>
        <v>0</v>
      </c>
      <c r="P43" s="281">
        <f>'3. GRI Pricing'!T53</f>
        <v>0</v>
      </c>
      <c r="Q43" s="281">
        <f>'3. GRI Pricing'!U53</f>
        <v>0</v>
      </c>
      <c r="R43" s="281">
        <f>'3. GRI Pricing'!V53</f>
        <v>0</v>
      </c>
      <c r="S43" s="281">
        <f>'3. GRI Pricing'!W53</f>
        <v>0</v>
      </c>
      <c r="T43" s="281">
        <f>'3. GRI Pricing'!X53</f>
        <v>0</v>
      </c>
      <c r="U43" s="282">
        <f>'3. GRI Pricing'!Y53</f>
        <v>1270</v>
      </c>
    </row>
    <row r="44" spans="3:21" x14ac:dyDescent="0.2">
      <c r="C44" s="23" t="str">
        <f>'3. GRI Pricing'!C54</f>
        <v>306N</v>
      </c>
      <c r="D44" s="16" t="str">
        <f>'3. GRI Pricing'!D54</f>
        <v>1 Bed</v>
      </c>
      <c r="E44" s="16">
        <f>'3. GRI Pricing'!E54</f>
        <v>1</v>
      </c>
      <c r="F44" s="16">
        <f>'3. GRI Pricing'!F54</f>
        <v>441</v>
      </c>
      <c r="G44" s="16">
        <f>'3. GRI Pricing'!G54</f>
        <v>3</v>
      </c>
      <c r="H44" s="16" t="str">
        <f>'3. GRI Pricing'!H54</f>
        <v>Forth Banks</v>
      </c>
      <c r="I44" s="280">
        <f>'3. GRI Pricing'!K54</f>
        <v>845</v>
      </c>
      <c r="J44" s="281">
        <f>'3. GRI Pricing'!O54</f>
        <v>50</v>
      </c>
      <c r="K44" s="281">
        <f>'3. GRI Pricing'!L54</f>
        <v>0</v>
      </c>
      <c r="L44" s="281">
        <f>'3. GRI Pricing'!P54</f>
        <v>5</v>
      </c>
      <c r="M44" s="281">
        <f>'3. GRI Pricing'!R54</f>
        <v>0</v>
      </c>
      <c r="N44" s="281">
        <f>'3. GRI Pricing'!S54</f>
        <v>70</v>
      </c>
      <c r="O44" s="281">
        <f>'3. GRI Pricing'!Q54</f>
        <v>0</v>
      </c>
      <c r="P44" s="281">
        <f>'3. GRI Pricing'!T54</f>
        <v>0</v>
      </c>
      <c r="Q44" s="281">
        <f>'3. GRI Pricing'!U54</f>
        <v>0</v>
      </c>
      <c r="R44" s="281">
        <f>'3. GRI Pricing'!V54</f>
        <v>0</v>
      </c>
      <c r="S44" s="281">
        <f>'3. GRI Pricing'!W54</f>
        <v>0</v>
      </c>
      <c r="T44" s="281">
        <f>'3. GRI Pricing'!X54</f>
        <v>0</v>
      </c>
      <c r="U44" s="282">
        <f>'3. GRI Pricing'!Y54</f>
        <v>970</v>
      </c>
    </row>
    <row r="45" spans="3:21" x14ac:dyDescent="0.2">
      <c r="C45" s="23" t="str">
        <f>'3. GRI Pricing'!C55</f>
        <v>307N</v>
      </c>
      <c r="D45" s="16" t="str">
        <f>'3. GRI Pricing'!D55</f>
        <v>2 Bed</v>
      </c>
      <c r="E45" s="16">
        <f>'3. GRI Pricing'!E55</f>
        <v>2</v>
      </c>
      <c r="F45" s="16">
        <f>'3. GRI Pricing'!F55</f>
        <v>624</v>
      </c>
      <c r="G45" s="16">
        <f>'3. GRI Pricing'!G55</f>
        <v>3</v>
      </c>
      <c r="H45" s="16" t="str">
        <f>'3. GRI Pricing'!H55</f>
        <v>Forth Banks</v>
      </c>
      <c r="I45" s="280">
        <f>'3. GRI Pricing'!K55</f>
        <v>1110</v>
      </c>
      <c r="J45" s="281">
        <f>'3. GRI Pricing'!O55</f>
        <v>50</v>
      </c>
      <c r="K45" s="281">
        <f>'3. GRI Pricing'!L55</f>
        <v>0</v>
      </c>
      <c r="L45" s="281">
        <f>'3. GRI Pricing'!P55</f>
        <v>5</v>
      </c>
      <c r="M45" s="281">
        <f>'3. GRI Pricing'!R55</f>
        <v>0</v>
      </c>
      <c r="N45" s="281">
        <f>'3. GRI Pricing'!S55</f>
        <v>70</v>
      </c>
      <c r="O45" s="281">
        <f>'3. GRI Pricing'!Q55</f>
        <v>0</v>
      </c>
      <c r="P45" s="281">
        <f>'3. GRI Pricing'!T55</f>
        <v>0</v>
      </c>
      <c r="Q45" s="281">
        <f>'3. GRI Pricing'!U55</f>
        <v>0</v>
      </c>
      <c r="R45" s="281">
        <f>'3. GRI Pricing'!V55</f>
        <v>0</v>
      </c>
      <c r="S45" s="281">
        <f>'3. GRI Pricing'!W55</f>
        <v>0</v>
      </c>
      <c r="T45" s="281">
        <f>'3. GRI Pricing'!X55</f>
        <v>0</v>
      </c>
      <c r="U45" s="282">
        <f>'3. GRI Pricing'!Y55</f>
        <v>1245</v>
      </c>
    </row>
    <row r="46" spans="3:21" x14ac:dyDescent="0.2">
      <c r="C46" s="23" t="str">
        <f>'3. GRI Pricing'!C56</f>
        <v>308N</v>
      </c>
      <c r="D46" s="16" t="str">
        <f>'3. GRI Pricing'!D56</f>
        <v>2 Bed</v>
      </c>
      <c r="E46" s="16">
        <f>'3. GRI Pricing'!E56</f>
        <v>2</v>
      </c>
      <c r="F46" s="16">
        <f>'3. GRI Pricing'!F56</f>
        <v>624</v>
      </c>
      <c r="G46" s="16">
        <f>'3. GRI Pricing'!G56</f>
        <v>3</v>
      </c>
      <c r="H46" s="16" t="str">
        <f>'3. GRI Pricing'!H56</f>
        <v>Forth Banks</v>
      </c>
      <c r="I46" s="280">
        <f>'3. GRI Pricing'!K56</f>
        <v>1110</v>
      </c>
      <c r="J46" s="281">
        <f>'3. GRI Pricing'!O56</f>
        <v>50</v>
      </c>
      <c r="K46" s="281">
        <f>'3. GRI Pricing'!L56</f>
        <v>0</v>
      </c>
      <c r="L46" s="281">
        <f>'3. GRI Pricing'!P56</f>
        <v>5</v>
      </c>
      <c r="M46" s="281">
        <f>'3. GRI Pricing'!R56</f>
        <v>0</v>
      </c>
      <c r="N46" s="281">
        <f>'3. GRI Pricing'!S56</f>
        <v>70</v>
      </c>
      <c r="O46" s="281">
        <f>'3. GRI Pricing'!Q56</f>
        <v>0</v>
      </c>
      <c r="P46" s="281">
        <f>'3. GRI Pricing'!T56</f>
        <v>0</v>
      </c>
      <c r="Q46" s="281">
        <f>'3. GRI Pricing'!U56</f>
        <v>0</v>
      </c>
      <c r="R46" s="281">
        <f>'3. GRI Pricing'!V56</f>
        <v>0</v>
      </c>
      <c r="S46" s="281">
        <f>'3. GRI Pricing'!W56</f>
        <v>0</v>
      </c>
      <c r="T46" s="281">
        <f>'3. GRI Pricing'!X56</f>
        <v>0</v>
      </c>
      <c r="U46" s="282">
        <f>'3. GRI Pricing'!Y56</f>
        <v>1245</v>
      </c>
    </row>
    <row r="47" spans="3:21" x14ac:dyDescent="0.2">
      <c r="C47" s="23" t="str">
        <f>'3. GRI Pricing'!C57</f>
        <v>309N</v>
      </c>
      <c r="D47" s="16" t="str">
        <f>'3. GRI Pricing'!D57</f>
        <v>2 Bed</v>
      </c>
      <c r="E47" s="16">
        <f>'3. GRI Pricing'!E57</f>
        <v>2</v>
      </c>
      <c r="F47" s="16">
        <f>'3. GRI Pricing'!F57</f>
        <v>657</v>
      </c>
      <c r="G47" s="16">
        <f>'3. GRI Pricing'!G57</f>
        <v>3</v>
      </c>
      <c r="H47" s="16" t="str">
        <f>'3. GRI Pricing'!H57</f>
        <v>River - Partial</v>
      </c>
      <c r="I47" s="280">
        <f>'3. GRI Pricing'!K57</f>
        <v>1110</v>
      </c>
      <c r="J47" s="281">
        <f>'3. GRI Pricing'!O57</f>
        <v>50</v>
      </c>
      <c r="K47" s="281">
        <f>'3. GRI Pricing'!L57</f>
        <v>0</v>
      </c>
      <c r="L47" s="281">
        <f>'3. GRI Pricing'!P57</f>
        <v>45</v>
      </c>
      <c r="M47" s="281">
        <f>'3. GRI Pricing'!R57</f>
        <v>0</v>
      </c>
      <c r="N47" s="281">
        <f>'3. GRI Pricing'!S57</f>
        <v>70</v>
      </c>
      <c r="O47" s="281">
        <f>'3. GRI Pricing'!Q57</f>
        <v>0</v>
      </c>
      <c r="P47" s="281">
        <f>'3. GRI Pricing'!T57</f>
        <v>0</v>
      </c>
      <c r="Q47" s="281">
        <f>'3. GRI Pricing'!U57</f>
        <v>0</v>
      </c>
      <c r="R47" s="281">
        <f>'3. GRI Pricing'!V57</f>
        <v>0</v>
      </c>
      <c r="S47" s="281">
        <f>'3. GRI Pricing'!W57</f>
        <v>0</v>
      </c>
      <c r="T47" s="281">
        <f>'3. GRI Pricing'!X57</f>
        <v>0</v>
      </c>
      <c r="U47" s="282">
        <f>'3. GRI Pricing'!Y57</f>
        <v>1295</v>
      </c>
    </row>
    <row r="48" spans="3:21" x14ac:dyDescent="0.2">
      <c r="C48" s="23" t="str">
        <f>'3. GRI Pricing'!C58</f>
        <v>310N</v>
      </c>
      <c r="D48" s="16" t="str">
        <f>'3. GRI Pricing'!D58</f>
        <v>2 Bed</v>
      </c>
      <c r="E48" s="16">
        <f>'3. GRI Pricing'!E58</f>
        <v>2</v>
      </c>
      <c r="F48" s="16">
        <f>'3. GRI Pricing'!F58</f>
        <v>700</v>
      </c>
      <c r="G48" s="16">
        <f>'3. GRI Pricing'!G58</f>
        <v>3</v>
      </c>
      <c r="H48" s="16" t="str">
        <f>'3. GRI Pricing'!H58</f>
        <v>Forth Banks - Partial</v>
      </c>
      <c r="I48" s="280">
        <f>'3. GRI Pricing'!K58</f>
        <v>1110</v>
      </c>
      <c r="J48" s="281">
        <f>'3. GRI Pricing'!O58</f>
        <v>50</v>
      </c>
      <c r="K48" s="281">
        <f>'3. GRI Pricing'!L58</f>
        <v>0</v>
      </c>
      <c r="L48" s="281">
        <f>'3. GRI Pricing'!P58</f>
        <v>40</v>
      </c>
      <c r="M48" s="281">
        <f>'3. GRI Pricing'!R58</f>
        <v>0</v>
      </c>
      <c r="N48" s="281">
        <f>'3. GRI Pricing'!S58</f>
        <v>70</v>
      </c>
      <c r="O48" s="281">
        <f>'3. GRI Pricing'!Q58</f>
        <v>0</v>
      </c>
      <c r="P48" s="281">
        <f>'3. GRI Pricing'!T58</f>
        <v>0</v>
      </c>
      <c r="Q48" s="281">
        <f>'3. GRI Pricing'!U58</f>
        <v>0</v>
      </c>
      <c r="R48" s="281">
        <f>'3. GRI Pricing'!V58</f>
        <v>0</v>
      </c>
      <c r="S48" s="281">
        <f>'3. GRI Pricing'!W58</f>
        <v>0</v>
      </c>
      <c r="T48" s="281">
        <f>'3. GRI Pricing'!X58</f>
        <v>0</v>
      </c>
      <c r="U48" s="282">
        <f>'3. GRI Pricing'!Y58</f>
        <v>1340</v>
      </c>
    </row>
    <row r="49" spans="3:21" x14ac:dyDescent="0.2">
      <c r="C49" s="23" t="str">
        <f>'3. GRI Pricing'!C59</f>
        <v>311N</v>
      </c>
      <c r="D49" s="16" t="str">
        <f>'3. GRI Pricing'!D59</f>
        <v>2 Bed</v>
      </c>
      <c r="E49" s="16">
        <f>'3. GRI Pricing'!E59</f>
        <v>2</v>
      </c>
      <c r="F49" s="16">
        <f>'3. GRI Pricing'!F59</f>
        <v>689</v>
      </c>
      <c r="G49" s="16">
        <f>'3. GRI Pricing'!G59</f>
        <v>3</v>
      </c>
      <c r="H49" s="16" t="str">
        <f>'3. GRI Pricing'!H59</f>
        <v>Courtyard - dual</v>
      </c>
      <c r="I49" s="280">
        <f>'3. GRI Pricing'!K59</f>
        <v>1110</v>
      </c>
      <c r="J49" s="281">
        <f>'3. GRI Pricing'!O59</f>
        <v>50</v>
      </c>
      <c r="K49" s="281">
        <f>'3. GRI Pricing'!L59</f>
        <v>0</v>
      </c>
      <c r="L49" s="281">
        <f>'3. GRI Pricing'!P59</f>
        <v>55</v>
      </c>
      <c r="M49" s="281">
        <f>'3. GRI Pricing'!R59</f>
        <v>0</v>
      </c>
      <c r="N49" s="281">
        <f>'3. GRI Pricing'!S59</f>
        <v>70</v>
      </c>
      <c r="O49" s="281">
        <f>'3. GRI Pricing'!Q59</f>
        <v>0</v>
      </c>
      <c r="P49" s="281">
        <f>'3. GRI Pricing'!T59</f>
        <v>0</v>
      </c>
      <c r="Q49" s="281">
        <f>'3. GRI Pricing'!U59</f>
        <v>0</v>
      </c>
      <c r="R49" s="281">
        <f>'3. GRI Pricing'!V59</f>
        <v>0</v>
      </c>
      <c r="S49" s="281">
        <f>'3. GRI Pricing'!W59</f>
        <v>0</v>
      </c>
      <c r="T49" s="281">
        <f>'3. GRI Pricing'!X59</f>
        <v>0</v>
      </c>
      <c r="U49" s="282">
        <f>'3. GRI Pricing'!Y59</f>
        <v>1350</v>
      </c>
    </row>
    <row r="50" spans="3:21" x14ac:dyDescent="0.2">
      <c r="C50" s="23" t="str">
        <f>'3. GRI Pricing'!C60</f>
        <v>312N</v>
      </c>
      <c r="D50" s="16" t="str">
        <f>'3. GRI Pricing'!D60</f>
        <v>1 Bed</v>
      </c>
      <c r="E50" s="16">
        <f>'3. GRI Pricing'!E60</f>
        <v>1</v>
      </c>
      <c r="F50" s="16">
        <f>'3. GRI Pricing'!F60</f>
        <v>517</v>
      </c>
      <c r="G50" s="16">
        <f>'3. GRI Pricing'!G60</f>
        <v>3</v>
      </c>
      <c r="H50" s="16" t="str">
        <f>'3. GRI Pricing'!H60</f>
        <v>Courtyard - dual</v>
      </c>
      <c r="I50" s="280">
        <f>'3. GRI Pricing'!K60</f>
        <v>845</v>
      </c>
      <c r="J50" s="281">
        <f>'3. GRI Pricing'!O60</f>
        <v>50</v>
      </c>
      <c r="K50" s="281">
        <f>'3. GRI Pricing'!L60</f>
        <v>0</v>
      </c>
      <c r="L50" s="281">
        <f>'3. GRI Pricing'!P60</f>
        <v>55</v>
      </c>
      <c r="M50" s="281">
        <f>'3. GRI Pricing'!R60</f>
        <v>0</v>
      </c>
      <c r="N50" s="281">
        <f>'3. GRI Pricing'!S60</f>
        <v>70</v>
      </c>
      <c r="O50" s="281">
        <f>'3. GRI Pricing'!Q60</f>
        <v>0</v>
      </c>
      <c r="P50" s="281">
        <f>'3. GRI Pricing'!T60</f>
        <v>0</v>
      </c>
      <c r="Q50" s="281">
        <f>'3. GRI Pricing'!U60</f>
        <v>0</v>
      </c>
      <c r="R50" s="281">
        <f>'3. GRI Pricing'!V60</f>
        <v>0</v>
      </c>
      <c r="S50" s="281">
        <f>'3. GRI Pricing'!W60</f>
        <v>0</v>
      </c>
      <c r="T50" s="281">
        <f>'3. GRI Pricing'!X60</f>
        <v>0</v>
      </c>
      <c r="U50" s="282">
        <f>'3. GRI Pricing'!Y60</f>
        <v>1040</v>
      </c>
    </row>
    <row r="51" spans="3:21" x14ac:dyDescent="0.2">
      <c r="C51" s="23" t="str">
        <f>'3. GRI Pricing'!C61</f>
        <v>313N</v>
      </c>
      <c r="D51" s="16" t="str">
        <f>'3. GRI Pricing'!D61</f>
        <v>1 Bed</v>
      </c>
      <c r="E51" s="16">
        <f>'3. GRI Pricing'!E61</f>
        <v>1</v>
      </c>
      <c r="F51" s="16">
        <f>'3. GRI Pricing'!F61</f>
        <v>538</v>
      </c>
      <c r="G51" s="16">
        <f>'3. GRI Pricing'!G61</f>
        <v>3</v>
      </c>
      <c r="H51" s="16" t="str">
        <f>'3. GRI Pricing'!H61</f>
        <v>Courtyard</v>
      </c>
      <c r="I51" s="280">
        <f>'3. GRI Pricing'!K61</f>
        <v>845</v>
      </c>
      <c r="J51" s="281">
        <f>'3. GRI Pricing'!O61</f>
        <v>50</v>
      </c>
      <c r="K51" s="281">
        <f>'3. GRI Pricing'!L61</f>
        <v>0</v>
      </c>
      <c r="L51" s="281">
        <f>'3. GRI Pricing'!P61</f>
        <v>25</v>
      </c>
      <c r="M51" s="281">
        <f>'3. GRI Pricing'!R61</f>
        <v>0</v>
      </c>
      <c r="N51" s="281">
        <f>'3. GRI Pricing'!S61</f>
        <v>70</v>
      </c>
      <c r="O51" s="281">
        <f>'3. GRI Pricing'!Q61</f>
        <v>0</v>
      </c>
      <c r="P51" s="281">
        <f>'3. GRI Pricing'!T61</f>
        <v>0</v>
      </c>
      <c r="Q51" s="281">
        <f>'3. GRI Pricing'!U61</f>
        <v>0</v>
      </c>
      <c r="R51" s="281">
        <f>'3. GRI Pricing'!V61</f>
        <v>0</v>
      </c>
      <c r="S51" s="281">
        <f>'3. GRI Pricing'!W61</f>
        <v>0</v>
      </c>
      <c r="T51" s="281">
        <f>'3. GRI Pricing'!X61</f>
        <v>0</v>
      </c>
      <c r="U51" s="282">
        <f>'3. GRI Pricing'!Y61</f>
        <v>1015</v>
      </c>
    </row>
    <row r="52" spans="3:21" x14ac:dyDescent="0.2">
      <c r="C52" s="23" t="str">
        <f>'3. GRI Pricing'!C62</f>
        <v>314N</v>
      </c>
      <c r="D52" s="16" t="str">
        <f>'3. GRI Pricing'!D62</f>
        <v>1 Bed</v>
      </c>
      <c r="E52" s="16">
        <f>'3. GRI Pricing'!E62</f>
        <v>1</v>
      </c>
      <c r="F52" s="16">
        <f>'3. GRI Pricing'!F62</f>
        <v>560</v>
      </c>
      <c r="G52" s="16">
        <f>'3. GRI Pricing'!G62</f>
        <v>3</v>
      </c>
      <c r="H52" s="16" t="str">
        <f>'3. GRI Pricing'!H62</f>
        <v>Courtyard</v>
      </c>
      <c r="I52" s="280">
        <f>'3. GRI Pricing'!K62</f>
        <v>845</v>
      </c>
      <c r="J52" s="281">
        <f>'3. GRI Pricing'!O62</f>
        <v>50</v>
      </c>
      <c r="K52" s="281">
        <f>'3. GRI Pricing'!L62</f>
        <v>0</v>
      </c>
      <c r="L52" s="281">
        <f>'3. GRI Pricing'!P62</f>
        <v>25</v>
      </c>
      <c r="M52" s="281">
        <f>'3. GRI Pricing'!R62</f>
        <v>0</v>
      </c>
      <c r="N52" s="281">
        <f>'3. GRI Pricing'!S62</f>
        <v>70</v>
      </c>
      <c r="O52" s="281">
        <f>'3. GRI Pricing'!Q62</f>
        <v>0</v>
      </c>
      <c r="P52" s="281">
        <f>'3. GRI Pricing'!T62</f>
        <v>0</v>
      </c>
      <c r="Q52" s="281">
        <f>'3. GRI Pricing'!U62</f>
        <v>-25</v>
      </c>
      <c r="R52" s="281">
        <f>'3. GRI Pricing'!V62</f>
        <v>0</v>
      </c>
      <c r="S52" s="281">
        <f>'3. GRI Pricing'!W62</f>
        <v>0</v>
      </c>
      <c r="T52" s="281">
        <f>'3. GRI Pricing'!X62</f>
        <v>0</v>
      </c>
      <c r="U52" s="282">
        <f>'3. GRI Pricing'!Y62</f>
        <v>1000</v>
      </c>
    </row>
    <row r="53" spans="3:21" x14ac:dyDescent="0.2">
      <c r="C53" s="23" t="str">
        <f>'3. GRI Pricing'!C63</f>
        <v>315N</v>
      </c>
      <c r="D53" s="16" t="str">
        <f>'3. GRI Pricing'!D63</f>
        <v>2 Bed</v>
      </c>
      <c r="E53" s="16">
        <f>'3. GRI Pricing'!E63</f>
        <v>2</v>
      </c>
      <c r="F53" s="16">
        <f>'3. GRI Pricing'!F63</f>
        <v>624</v>
      </c>
      <c r="G53" s="16">
        <f>'3. GRI Pricing'!G63</f>
        <v>3</v>
      </c>
      <c r="H53" s="16" t="str">
        <f>'3. GRI Pricing'!H63</f>
        <v>Courtyard</v>
      </c>
      <c r="I53" s="280">
        <f>'3. GRI Pricing'!K63</f>
        <v>1110</v>
      </c>
      <c r="J53" s="281">
        <f>'3. GRI Pricing'!O63</f>
        <v>50</v>
      </c>
      <c r="K53" s="281">
        <f>'3. GRI Pricing'!L63</f>
        <v>0</v>
      </c>
      <c r="L53" s="281">
        <f>'3. GRI Pricing'!P63</f>
        <v>25</v>
      </c>
      <c r="M53" s="281">
        <f>'3. GRI Pricing'!R63</f>
        <v>0</v>
      </c>
      <c r="N53" s="281">
        <f>'3. GRI Pricing'!S63</f>
        <v>70</v>
      </c>
      <c r="O53" s="281">
        <f>'3. GRI Pricing'!Q63</f>
        <v>0</v>
      </c>
      <c r="P53" s="281">
        <f>'3. GRI Pricing'!T63</f>
        <v>0</v>
      </c>
      <c r="Q53" s="281">
        <f>'3. GRI Pricing'!U63</f>
        <v>0</v>
      </c>
      <c r="R53" s="281">
        <f>'3. GRI Pricing'!V63</f>
        <v>0</v>
      </c>
      <c r="S53" s="281">
        <f>'3. GRI Pricing'!W63</f>
        <v>0</v>
      </c>
      <c r="T53" s="281">
        <f>'3. GRI Pricing'!X63</f>
        <v>0</v>
      </c>
      <c r="U53" s="282">
        <f>'3. GRI Pricing'!Y63</f>
        <v>1265</v>
      </c>
    </row>
    <row r="54" spans="3:21" x14ac:dyDescent="0.2">
      <c r="C54" s="23" t="str">
        <f>'3. GRI Pricing'!C64</f>
        <v>316N</v>
      </c>
      <c r="D54" s="16" t="str">
        <f>'3. GRI Pricing'!D64</f>
        <v>2 Bed</v>
      </c>
      <c r="E54" s="16">
        <f>'3. GRI Pricing'!E64</f>
        <v>2</v>
      </c>
      <c r="F54" s="16">
        <f>'3. GRI Pricing'!F64</f>
        <v>624</v>
      </c>
      <c r="G54" s="16">
        <f>'3. GRI Pricing'!G64</f>
        <v>3</v>
      </c>
      <c r="H54" s="16" t="str">
        <f>'3. GRI Pricing'!H64</f>
        <v>Courtyard</v>
      </c>
      <c r="I54" s="280">
        <f>'3. GRI Pricing'!K64</f>
        <v>1110</v>
      </c>
      <c r="J54" s="281">
        <f>'3. GRI Pricing'!O64</f>
        <v>50</v>
      </c>
      <c r="K54" s="281">
        <f>'3. GRI Pricing'!L64</f>
        <v>0</v>
      </c>
      <c r="L54" s="281">
        <f>'3. GRI Pricing'!P64</f>
        <v>25</v>
      </c>
      <c r="M54" s="281">
        <f>'3. GRI Pricing'!R64</f>
        <v>0</v>
      </c>
      <c r="N54" s="281">
        <f>'3. GRI Pricing'!S64</f>
        <v>70</v>
      </c>
      <c r="O54" s="281">
        <f>'3. GRI Pricing'!Q64</f>
        <v>0</v>
      </c>
      <c r="P54" s="281">
        <f>'3. GRI Pricing'!T64</f>
        <v>0</v>
      </c>
      <c r="Q54" s="281">
        <f>'3. GRI Pricing'!U64</f>
        <v>0</v>
      </c>
      <c r="R54" s="281">
        <f>'3. GRI Pricing'!V64</f>
        <v>0</v>
      </c>
      <c r="S54" s="281">
        <f>'3. GRI Pricing'!W64</f>
        <v>0</v>
      </c>
      <c r="T54" s="281">
        <f>'3. GRI Pricing'!X64</f>
        <v>0</v>
      </c>
      <c r="U54" s="282">
        <f>'3. GRI Pricing'!Y64</f>
        <v>1265</v>
      </c>
    </row>
    <row r="55" spans="3:21" x14ac:dyDescent="0.2">
      <c r="C55" s="23" t="str">
        <f>'3. GRI Pricing'!C65</f>
        <v>401N</v>
      </c>
      <c r="D55" s="16" t="str">
        <f>'3. GRI Pricing'!D65</f>
        <v>1 Bed</v>
      </c>
      <c r="E55" s="16">
        <f>'3. GRI Pricing'!E65</f>
        <v>1</v>
      </c>
      <c r="F55" s="16">
        <f>'3. GRI Pricing'!F65</f>
        <v>484</v>
      </c>
      <c r="G55" s="16">
        <f>'3. GRI Pricing'!G65</f>
        <v>4</v>
      </c>
      <c r="H55" s="16" t="str">
        <f>'3. GRI Pricing'!H65</f>
        <v>Courtyard</v>
      </c>
      <c r="I55" s="280">
        <f>'3. GRI Pricing'!K65</f>
        <v>845</v>
      </c>
      <c r="J55" s="281">
        <f>'3. GRI Pricing'!O65</f>
        <v>70</v>
      </c>
      <c r="K55" s="281">
        <f>'3. GRI Pricing'!L65</f>
        <v>0</v>
      </c>
      <c r="L55" s="281">
        <f>'3. GRI Pricing'!P65</f>
        <v>25</v>
      </c>
      <c r="M55" s="281">
        <f>'3. GRI Pricing'!R65</f>
        <v>0</v>
      </c>
      <c r="N55" s="281">
        <f>'3. GRI Pricing'!S65</f>
        <v>70</v>
      </c>
      <c r="O55" s="281">
        <f>'3. GRI Pricing'!Q65</f>
        <v>0</v>
      </c>
      <c r="P55" s="281">
        <f>'3. GRI Pricing'!T65</f>
        <v>0</v>
      </c>
      <c r="Q55" s="281">
        <f>'3. GRI Pricing'!U65</f>
        <v>0</v>
      </c>
      <c r="R55" s="281">
        <f>'3. GRI Pricing'!V65</f>
        <v>0</v>
      </c>
      <c r="S55" s="281">
        <f>'3. GRI Pricing'!W65</f>
        <v>0</v>
      </c>
      <c r="T55" s="281">
        <f>'3. GRI Pricing'!X65</f>
        <v>0</v>
      </c>
      <c r="U55" s="282">
        <f>'3. GRI Pricing'!Y65</f>
        <v>1020</v>
      </c>
    </row>
    <row r="56" spans="3:21" x14ac:dyDescent="0.2">
      <c r="C56" s="23" t="str">
        <f>'3. GRI Pricing'!C66</f>
        <v>402N</v>
      </c>
      <c r="D56" s="16" t="str">
        <f>'3. GRI Pricing'!D66</f>
        <v>2 Bed</v>
      </c>
      <c r="E56" s="16">
        <f>'3. GRI Pricing'!E66</f>
        <v>2</v>
      </c>
      <c r="F56" s="16">
        <f>'3. GRI Pricing'!F66</f>
        <v>678</v>
      </c>
      <c r="G56" s="16">
        <f>'3. GRI Pricing'!G66</f>
        <v>4</v>
      </c>
      <c r="H56" s="16" t="str">
        <f>'3. GRI Pricing'!H66</f>
        <v>Courtyard</v>
      </c>
      <c r="I56" s="280">
        <f>'3. GRI Pricing'!K66</f>
        <v>1110</v>
      </c>
      <c r="J56" s="281">
        <f>'3. GRI Pricing'!O66</f>
        <v>70</v>
      </c>
      <c r="K56" s="281">
        <f>'3. GRI Pricing'!L66</f>
        <v>0</v>
      </c>
      <c r="L56" s="281">
        <f>'3. GRI Pricing'!P66</f>
        <v>25</v>
      </c>
      <c r="M56" s="281">
        <f>'3. GRI Pricing'!R66</f>
        <v>0</v>
      </c>
      <c r="N56" s="281">
        <f>'3. GRI Pricing'!S66</f>
        <v>70</v>
      </c>
      <c r="O56" s="281">
        <f>'3. GRI Pricing'!Q66</f>
        <v>0</v>
      </c>
      <c r="P56" s="281">
        <f>'3. GRI Pricing'!T66</f>
        <v>0</v>
      </c>
      <c r="Q56" s="281">
        <f>'3. GRI Pricing'!U66</f>
        <v>0</v>
      </c>
      <c r="R56" s="281">
        <f>'3. GRI Pricing'!V66</f>
        <v>0</v>
      </c>
      <c r="S56" s="281">
        <f>'3. GRI Pricing'!W66</f>
        <v>0</v>
      </c>
      <c r="T56" s="281">
        <f>'3. GRI Pricing'!X66</f>
        <v>0</v>
      </c>
      <c r="U56" s="282">
        <f>'3. GRI Pricing'!Y66</f>
        <v>1315</v>
      </c>
    </row>
    <row r="57" spans="3:21" x14ac:dyDescent="0.2">
      <c r="C57" s="23" t="str">
        <f>'3. GRI Pricing'!C67</f>
        <v>403N</v>
      </c>
      <c r="D57" s="16" t="str">
        <f>'3. GRI Pricing'!D67</f>
        <v>2 Bed</v>
      </c>
      <c r="E57" s="16">
        <f>'3. GRI Pricing'!E67</f>
        <v>2</v>
      </c>
      <c r="F57" s="16">
        <f>'3. GRI Pricing'!F67</f>
        <v>657</v>
      </c>
      <c r="G57" s="16">
        <f>'3. GRI Pricing'!G67</f>
        <v>4</v>
      </c>
      <c r="H57" s="16" t="str">
        <f>'3. GRI Pricing'!H67</f>
        <v>Courtyard</v>
      </c>
      <c r="I57" s="280">
        <f>'3. GRI Pricing'!K67</f>
        <v>1110</v>
      </c>
      <c r="J57" s="281">
        <f>'3. GRI Pricing'!O67</f>
        <v>70</v>
      </c>
      <c r="K57" s="281">
        <f>'3. GRI Pricing'!L67</f>
        <v>0</v>
      </c>
      <c r="L57" s="281">
        <f>'3. GRI Pricing'!P67</f>
        <v>25</v>
      </c>
      <c r="M57" s="281">
        <f>'3. GRI Pricing'!R67</f>
        <v>0</v>
      </c>
      <c r="N57" s="281">
        <f>'3. GRI Pricing'!S67</f>
        <v>70</v>
      </c>
      <c r="O57" s="281">
        <f>'3. GRI Pricing'!Q67</f>
        <v>0</v>
      </c>
      <c r="P57" s="281">
        <f>'3. GRI Pricing'!T67</f>
        <v>0</v>
      </c>
      <c r="Q57" s="281">
        <f>'3. GRI Pricing'!U67</f>
        <v>0</v>
      </c>
      <c r="R57" s="281">
        <f>'3. GRI Pricing'!V67</f>
        <v>0</v>
      </c>
      <c r="S57" s="281">
        <f>'3. GRI Pricing'!W67</f>
        <v>0</v>
      </c>
      <c r="T57" s="281">
        <f>'3. GRI Pricing'!X67</f>
        <v>0</v>
      </c>
      <c r="U57" s="282">
        <f>'3. GRI Pricing'!Y67</f>
        <v>1295</v>
      </c>
    </row>
    <row r="58" spans="3:21" x14ac:dyDescent="0.2">
      <c r="C58" s="23" t="str">
        <f>'3. GRI Pricing'!C68</f>
        <v>404N</v>
      </c>
      <c r="D58" s="16" t="str">
        <f>'3. GRI Pricing'!D68</f>
        <v>3 Bed</v>
      </c>
      <c r="E58" s="16">
        <f>'3. GRI Pricing'!E68</f>
        <v>2</v>
      </c>
      <c r="F58" s="16">
        <f>'3. GRI Pricing'!F68</f>
        <v>818</v>
      </c>
      <c r="G58" s="16">
        <f>'3. GRI Pricing'!G68</f>
        <v>4</v>
      </c>
      <c r="H58" s="16" t="str">
        <f>'3. GRI Pricing'!H68</f>
        <v>Pottery Lane</v>
      </c>
      <c r="I58" s="280">
        <f>'3. GRI Pricing'!K68</f>
        <v>1485</v>
      </c>
      <c r="J58" s="281">
        <f>'3. GRI Pricing'!O68</f>
        <v>70</v>
      </c>
      <c r="K58" s="281">
        <f>'3. GRI Pricing'!L68</f>
        <v>0</v>
      </c>
      <c r="L58" s="281">
        <f>'3. GRI Pricing'!P68</f>
        <v>10</v>
      </c>
      <c r="M58" s="281">
        <f>'3. GRI Pricing'!R68</f>
        <v>0</v>
      </c>
      <c r="N58" s="281">
        <f>'3. GRI Pricing'!S68</f>
        <v>70</v>
      </c>
      <c r="O58" s="281">
        <f>'3. GRI Pricing'!Q68</f>
        <v>0</v>
      </c>
      <c r="P58" s="281">
        <f>'3. GRI Pricing'!T68</f>
        <v>0</v>
      </c>
      <c r="Q58" s="281">
        <f>'3. GRI Pricing'!U68</f>
        <v>0</v>
      </c>
      <c r="R58" s="281">
        <f>'3. GRI Pricing'!V68</f>
        <v>0</v>
      </c>
      <c r="S58" s="281">
        <f>'3. GRI Pricing'!W68</f>
        <v>0</v>
      </c>
      <c r="T58" s="281">
        <f>'3. GRI Pricing'!X68</f>
        <v>0</v>
      </c>
      <c r="U58" s="282">
        <f>'3. GRI Pricing'!Y68</f>
        <v>1685</v>
      </c>
    </row>
    <row r="59" spans="3:21" x14ac:dyDescent="0.2">
      <c r="C59" s="23" t="str">
        <f>'3. GRI Pricing'!C69</f>
        <v>405N</v>
      </c>
      <c r="D59" s="16" t="str">
        <f>'3. GRI Pricing'!D69</f>
        <v>2 Bed</v>
      </c>
      <c r="E59" s="16">
        <f>'3. GRI Pricing'!E69</f>
        <v>2</v>
      </c>
      <c r="F59" s="16">
        <f>'3. GRI Pricing'!F69</f>
        <v>667</v>
      </c>
      <c r="G59" s="16">
        <f>'3. GRI Pricing'!G69</f>
        <v>4</v>
      </c>
      <c r="H59" s="16" t="str">
        <f>'3. GRI Pricing'!H69</f>
        <v>Forth Banks/Pottery Lane</v>
      </c>
      <c r="I59" s="280">
        <f>'3. GRI Pricing'!K69</f>
        <v>1110</v>
      </c>
      <c r="J59" s="281">
        <f>'3. GRI Pricing'!O69</f>
        <v>70</v>
      </c>
      <c r="K59" s="281">
        <f>'3. GRI Pricing'!L69</f>
        <v>0</v>
      </c>
      <c r="L59" s="281">
        <f>'3. GRI Pricing'!P69</f>
        <v>10</v>
      </c>
      <c r="M59" s="281">
        <f>'3. GRI Pricing'!R69</f>
        <v>0</v>
      </c>
      <c r="N59" s="281">
        <f>'3. GRI Pricing'!S69</f>
        <v>70</v>
      </c>
      <c r="O59" s="281">
        <f>'3. GRI Pricing'!Q69</f>
        <v>0</v>
      </c>
      <c r="P59" s="281">
        <f>'3. GRI Pricing'!T69</f>
        <v>0</v>
      </c>
      <c r="Q59" s="281">
        <f>'3. GRI Pricing'!U69</f>
        <v>0</v>
      </c>
      <c r="R59" s="281">
        <f>'3. GRI Pricing'!V69</f>
        <v>0</v>
      </c>
      <c r="S59" s="281">
        <f>'3. GRI Pricing'!W69</f>
        <v>0</v>
      </c>
      <c r="T59" s="281">
        <f>'3. GRI Pricing'!X69</f>
        <v>0</v>
      </c>
      <c r="U59" s="282">
        <f>'3. GRI Pricing'!Y69</f>
        <v>1290</v>
      </c>
    </row>
    <row r="60" spans="3:21" x14ac:dyDescent="0.2">
      <c r="C60" s="23" t="str">
        <f>'3. GRI Pricing'!C70</f>
        <v>406N</v>
      </c>
      <c r="D60" s="16" t="str">
        <f>'3. GRI Pricing'!D70</f>
        <v>1 Bed</v>
      </c>
      <c r="E60" s="16">
        <f>'3. GRI Pricing'!E70</f>
        <v>1</v>
      </c>
      <c r="F60" s="16">
        <f>'3. GRI Pricing'!F70</f>
        <v>441</v>
      </c>
      <c r="G60" s="16">
        <f>'3. GRI Pricing'!G70</f>
        <v>4</v>
      </c>
      <c r="H60" s="16" t="str">
        <f>'3. GRI Pricing'!H70</f>
        <v>Forth Banks</v>
      </c>
      <c r="I60" s="280">
        <f>'3. GRI Pricing'!K70</f>
        <v>845</v>
      </c>
      <c r="J60" s="281">
        <f>'3. GRI Pricing'!O70</f>
        <v>70</v>
      </c>
      <c r="K60" s="281">
        <f>'3. GRI Pricing'!L70</f>
        <v>0</v>
      </c>
      <c r="L60" s="281">
        <f>'3. GRI Pricing'!P70</f>
        <v>5</v>
      </c>
      <c r="M60" s="281">
        <f>'3. GRI Pricing'!R70</f>
        <v>0</v>
      </c>
      <c r="N60" s="281">
        <f>'3. GRI Pricing'!S70</f>
        <v>70</v>
      </c>
      <c r="O60" s="281">
        <f>'3. GRI Pricing'!Q70</f>
        <v>0</v>
      </c>
      <c r="P60" s="281">
        <f>'3. GRI Pricing'!T70</f>
        <v>0</v>
      </c>
      <c r="Q60" s="281">
        <f>'3. GRI Pricing'!U70</f>
        <v>0</v>
      </c>
      <c r="R60" s="281">
        <f>'3. GRI Pricing'!V70</f>
        <v>0</v>
      </c>
      <c r="S60" s="281">
        <f>'3. GRI Pricing'!W70</f>
        <v>0</v>
      </c>
      <c r="T60" s="281">
        <f>'3. GRI Pricing'!X70</f>
        <v>0</v>
      </c>
      <c r="U60" s="282">
        <f>'3. GRI Pricing'!Y70</f>
        <v>990</v>
      </c>
    </row>
    <row r="61" spans="3:21" x14ac:dyDescent="0.2">
      <c r="C61" s="23" t="str">
        <f>'3. GRI Pricing'!C71</f>
        <v>407N</v>
      </c>
      <c r="D61" s="16" t="str">
        <f>'3. GRI Pricing'!D71</f>
        <v>2 Bed</v>
      </c>
      <c r="E61" s="16">
        <f>'3. GRI Pricing'!E71</f>
        <v>2</v>
      </c>
      <c r="F61" s="16">
        <f>'3. GRI Pricing'!F71</f>
        <v>624</v>
      </c>
      <c r="G61" s="16">
        <f>'3. GRI Pricing'!G71</f>
        <v>4</v>
      </c>
      <c r="H61" s="16" t="str">
        <f>'3. GRI Pricing'!H71</f>
        <v>Forth Banks</v>
      </c>
      <c r="I61" s="280">
        <f>'3. GRI Pricing'!K71</f>
        <v>1110</v>
      </c>
      <c r="J61" s="281">
        <f>'3. GRI Pricing'!O71</f>
        <v>70</v>
      </c>
      <c r="K61" s="281">
        <f>'3. GRI Pricing'!L71</f>
        <v>0</v>
      </c>
      <c r="L61" s="281">
        <f>'3. GRI Pricing'!P71</f>
        <v>5</v>
      </c>
      <c r="M61" s="281">
        <f>'3. GRI Pricing'!R71</f>
        <v>0</v>
      </c>
      <c r="N61" s="281">
        <f>'3. GRI Pricing'!S71</f>
        <v>70</v>
      </c>
      <c r="O61" s="281">
        <f>'3. GRI Pricing'!Q71</f>
        <v>0</v>
      </c>
      <c r="P61" s="281">
        <f>'3. GRI Pricing'!T71</f>
        <v>0</v>
      </c>
      <c r="Q61" s="281">
        <f>'3. GRI Pricing'!U71</f>
        <v>0</v>
      </c>
      <c r="R61" s="281">
        <f>'3. GRI Pricing'!V71</f>
        <v>0</v>
      </c>
      <c r="S61" s="281">
        <f>'3. GRI Pricing'!W71</f>
        <v>0</v>
      </c>
      <c r="T61" s="281">
        <f>'3. GRI Pricing'!X71</f>
        <v>0</v>
      </c>
      <c r="U61" s="282">
        <f>'3. GRI Pricing'!Y71</f>
        <v>1265</v>
      </c>
    </row>
    <row r="62" spans="3:21" x14ac:dyDescent="0.2">
      <c r="C62" s="23" t="str">
        <f>'3. GRI Pricing'!C72</f>
        <v>408N</v>
      </c>
      <c r="D62" s="16" t="str">
        <f>'3. GRI Pricing'!D72</f>
        <v>2 Bed</v>
      </c>
      <c r="E62" s="16">
        <f>'3. GRI Pricing'!E72</f>
        <v>2</v>
      </c>
      <c r="F62" s="16">
        <f>'3. GRI Pricing'!F72</f>
        <v>624</v>
      </c>
      <c r="G62" s="16">
        <f>'3. GRI Pricing'!G72</f>
        <v>4</v>
      </c>
      <c r="H62" s="16" t="str">
        <f>'3. GRI Pricing'!H72</f>
        <v>Forth Banks</v>
      </c>
      <c r="I62" s="280">
        <f>'3. GRI Pricing'!K72</f>
        <v>1110</v>
      </c>
      <c r="J62" s="281">
        <f>'3. GRI Pricing'!O72</f>
        <v>70</v>
      </c>
      <c r="K62" s="281">
        <f>'3. GRI Pricing'!L72</f>
        <v>0</v>
      </c>
      <c r="L62" s="281">
        <f>'3. GRI Pricing'!P72</f>
        <v>5</v>
      </c>
      <c r="M62" s="281">
        <f>'3. GRI Pricing'!R72</f>
        <v>0</v>
      </c>
      <c r="N62" s="281">
        <f>'3. GRI Pricing'!S72</f>
        <v>70</v>
      </c>
      <c r="O62" s="281">
        <f>'3. GRI Pricing'!Q72</f>
        <v>0</v>
      </c>
      <c r="P62" s="281">
        <f>'3. GRI Pricing'!T72</f>
        <v>0</v>
      </c>
      <c r="Q62" s="281">
        <f>'3. GRI Pricing'!U72</f>
        <v>0</v>
      </c>
      <c r="R62" s="281">
        <f>'3. GRI Pricing'!V72</f>
        <v>0</v>
      </c>
      <c r="S62" s="281">
        <f>'3. GRI Pricing'!W72</f>
        <v>0</v>
      </c>
      <c r="T62" s="281">
        <f>'3. GRI Pricing'!X72</f>
        <v>0</v>
      </c>
      <c r="U62" s="282">
        <f>'3. GRI Pricing'!Y72</f>
        <v>1265</v>
      </c>
    </row>
    <row r="63" spans="3:21" x14ac:dyDescent="0.2">
      <c r="C63" s="23" t="str">
        <f>'3. GRI Pricing'!C73</f>
        <v>409N</v>
      </c>
      <c r="D63" s="16" t="str">
        <f>'3. GRI Pricing'!D73</f>
        <v>2 Bed</v>
      </c>
      <c r="E63" s="16">
        <f>'3. GRI Pricing'!E73</f>
        <v>2</v>
      </c>
      <c r="F63" s="16">
        <f>'3. GRI Pricing'!F73</f>
        <v>657</v>
      </c>
      <c r="G63" s="16">
        <f>'3. GRI Pricing'!G73</f>
        <v>4</v>
      </c>
      <c r="H63" s="16" t="str">
        <f>'3. GRI Pricing'!H73</f>
        <v>River - Partial</v>
      </c>
      <c r="I63" s="280">
        <f>'3. GRI Pricing'!K73</f>
        <v>1110</v>
      </c>
      <c r="J63" s="281">
        <f>'3. GRI Pricing'!O73</f>
        <v>70</v>
      </c>
      <c r="K63" s="281">
        <f>'3. GRI Pricing'!L73</f>
        <v>0</v>
      </c>
      <c r="L63" s="281">
        <f>'3. GRI Pricing'!P73</f>
        <v>45</v>
      </c>
      <c r="M63" s="281">
        <f>'3. GRI Pricing'!R73</f>
        <v>0</v>
      </c>
      <c r="N63" s="281">
        <f>'3. GRI Pricing'!S73</f>
        <v>70</v>
      </c>
      <c r="O63" s="281">
        <f>'3. GRI Pricing'!Q73</f>
        <v>0</v>
      </c>
      <c r="P63" s="281">
        <f>'3. GRI Pricing'!T73</f>
        <v>0</v>
      </c>
      <c r="Q63" s="281">
        <f>'3. GRI Pricing'!U73</f>
        <v>0</v>
      </c>
      <c r="R63" s="281">
        <f>'3. GRI Pricing'!V73</f>
        <v>0</v>
      </c>
      <c r="S63" s="281">
        <f>'3. GRI Pricing'!W73</f>
        <v>0</v>
      </c>
      <c r="T63" s="281">
        <f>'3. GRI Pricing'!X73</f>
        <v>0</v>
      </c>
      <c r="U63" s="282">
        <f>'3. GRI Pricing'!Y73</f>
        <v>1315</v>
      </c>
    </row>
    <row r="64" spans="3:21" x14ac:dyDescent="0.2">
      <c r="C64" s="23" t="str">
        <f>'3. GRI Pricing'!C74</f>
        <v>410N</v>
      </c>
      <c r="D64" s="16" t="str">
        <f>'3. GRI Pricing'!D74</f>
        <v>2 Bed</v>
      </c>
      <c r="E64" s="16">
        <f>'3. GRI Pricing'!E74</f>
        <v>2</v>
      </c>
      <c r="F64" s="16">
        <f>'3. GRI Pricing'!F74</f>
        <v>700</v>
      </c>
      <c r="G64" s="16">
        <f>'3. GRI Pricing'!G74</f>
        <v>4</v>
      </c>
      <c r="H64" s="16" t="str">
        <f>'3. GRI Pricing'!H74</f>
        <v>Forth Banks - Partial</v>
      </c>
      <c r="I64" s="280">
        <f>'3. GRI Pricing'!K74</f>
        <v>1110</v>
      </c>
      <c r="J64" s="281">
        <f>'3. GRI Pricing'!O74</f>
        <v>70</v>
      </c>
      <c r="K64" s="281">
        <f>'3. GRI Pricing'!L74</f>
        <v>0</v>
      </c>
      <c r="L64" s="281">
        <f>'3. GRI Pricing'!P74</f>
        <v>40</v>
      </c>
      <c r="M64" s="281">
        <f>'3. GRI Pricing'!R74</f>
        <v>0</v>
      </c>
      <c r="N64" s="281">
        <f>'3. GRI Pricing'!S74</f>
        <v>70</v>
      </c>
      <c r="O64" s="281">
        <f>'3. GRI Pricing'!Q74</f>
        <v>0</v>
      </c>
      <c r="P64" s="281">
        <f>'3. GRI Pricing'!T74</f>
        <v>0</v>
      </c>
      <c r="Q64" s="281">
        <f>'3. GRI Pricing'!U74</f>
        <v>0</v>
      </c>
      <c r="R64" s="281">
        <f>'3. GRI Pricing'!V74</f>
        <v>0</v>
      </c>
      <c r="S64" s="281">
        <f>'3. GRI Pricing'!W74</f>
        <v>0</v>
      </c>
      <c r="T64" s="281">
        <f>'3. GRI Pricing'!X74</f>
        <v>0</v>
      </c>
      <c r="U64" s="282">
        <f>'3. GRI Pricing'!Y74</f>
        <v>1360</v>
      </c>
    </row>
    <row r="65" spans="3:21" x14ac:dyDescent="0.2">
      <c r="C65" s="23" t="str">
        <f>'3. GRI Pricing'!C75</f>
        <v>411N</v>
      </c>
      <c r="D65" s="16" t="str">
        <f>'3. GRI Pricing'!D75</f>
        <v>2 Bed</v>
      </c>
      <c r="E65" s="16">
        <f>'3. GRI Pricing'!E75</f>
        <v>2</v>
      </c>
      <c r="F65" s="16">
        <f>'3. GRI Pricing'!F75</f>
        <v>689</v>
      </c>
      <c r="G65" s="16">
        <f>'3. GRI Pricing'!G75</f>
        <v>4</v>
      </c>
      <c r="H65" s="16" t="str">
        <f>'3. GRI Pricing'!H75</f>
        <v>Courtyard - dual</v>
      </c>
      <c r="I65" s="280">
        <f>'3. GRI Pricing'!K75</f>
        <v>1110</v>
      </c>
      <c r="J65" s="281">
        <f>'3. GRI Pricing'!O75</f>
        <v>70</v>
      </c>
      <c r="K65" s="281">
        <f>'3. GRI Pricing'!L75</f>
        <v>0</v>
      </c>
      <c r="L65" s="281">
        <f>'3. GRI Pricing'!P75</f>
        <v>55</v>
      </c>
      <c r="M65" s="281">
        <f>'3. GRI Pricing'!R75</f>
        <v>0</v>
      </c>
      <c r="N65" s="281">
        <f>'3. GRI Pricing'!S75</f>
        <v>70</v>
      </c>
      <c r="O65" s="281">
        <f>'3. GRI Pricing'!Q75</f>
        <v>0</v>
      </c>
      <c r="P65" s="281">
        <f>'3. GRI Pricing'!T75</f>
        <v>0</v>
      </c>
      <c r="Q65" s="281">
        <f>'3. GRI Pricing'!U75</f>
        <v>0</v>
      </c>
      <c r="R65" s="281">
        <f>'3. GRI Pricing'!V75</f>
        <v>0</v>
      </c>
      <c r="S65" s="281">
        <f>'3. GRI Pricing'!W75</f>
        <v>0</v>
      </c>
      <c r="T65" s="281">
        <f>'3. GRI Pricing'!X75</f>
        <v>0</v>
      </c>
      <c r="U65" s="282">
        <f>'3. GRI Pricing'!Y75</f>
        <v>1370</v>
      </c>
    </row>
    <row r="66" spans="3:21" x14ac:dyDescent="0.2">
      <c r="C66" s="23" t="str">
        <f>'3. GRI Pricing'!C76</f>
        <v>412N</v>
      </c>
      <c r="D66" s="16" t="str">
        <f>'3. GRI Pricing'!D76</f>
        <v>1 Bed</v>
      </c>
      <c r="E66" s="16">
        <f>'3. GRI Pricing'!E76</f>
        <v>1</v>
      </c>
      <c r="F66" s="16">
        <f>'3. GRI Pricing'!F76</f>
        <v>517</v>
      </c>
      <c r="G66" s="16">
        <f>'3. GRI Pricing'!G76</f>
        <v>4</v>
      </c>
      <c r="H66" s="16" t="str">
        <f>'3. GRI Pricing'!H76</f>
        <v>Courtyard - dual</v>
      </c>
      <c r="I66" s="280">
        <f>'3. GRI Pricing'!K76</f>
        <v>845</v>
      </c>
      <c r="J66" s="281">
        <f>'3. GRI Pricing'!O76</f>
        <v>70</v>
      </c>
      <c r="K66" s="281">
        <f>'3. GRI Pricing'!L76</f>
        <v>0</v>
      </c>
      <c r="L66" s="281">
        <f>'3. GRI Pricing'!P76</f>
        <v>55</v>
      </c>
      <c r="M66" s="281">
        <f>'3. GRI Pricing'!R76</f>
        <v>0</v>
      </c>
      <c r="N66" s="281">
        <f>'3. GRI Pricing'!S76</f>
        <v>70</v>
      </c>
      <c r="O66" s="281">
        <f>'3. GRI Pricing'!Q76</f>
        <v>0</v>
      </c>
      <c r="P66" s="281">
        <f>'3. GRI Pricing'!T76</f>
        <v>0</v>
      </c>
      <c r="Q66" s="281">
        <f>'3. GRI Pricing'!U76</f>
        <v>0</v>
      </c>
      <c r="R66" s="281">
        <f>'3. GRI Pricing'!V76</f>
        <v>0</v>
      </c>
      <c r="S66" s="281">
        <f>'3. GRI Pricing'!W76</f>
        <v>0</v>
      </c>
      <c r="T66" s="281">
        <f>'3. GRI Pricing'!X76</f>
        <v>0</v>
      </c>
      <c r="U66" s="282">
        <f>'3. GRI Pricing'!Y76</f>
        <v>1060</v>
      </c>
    </row>
    <row r="67" spans="3:21" x14ac:dyDescent="0.2">
      <c r="C67" s="23" t="str">
        <f>'3. GRI Pricing'!C77</f>
        <v>413N</v>
      </c>
      <c r="D67" s="16" t="str">
        <f>'3. GRI Pricing'!D77</f>
        <v>1 Bed</v>
      </c>
      <c r="E67" s="16">
        <f>'3. GRI Pricing'!E77</f>
        <v>1</v>
      </c>
      <c r="F67" s="16">
        <f>'3. GRI Pricing'!F77</f>
        <v>538</v>
      </c>
      <c r="G67" s="16">
        <f>'3. GRI Pricing'!G77</f>
        <v>4</v>
      </c>
      <c r="H67" s="16" t="str">
        <f>'3. GRI Pricing'!H77</f>
        <v>Courtyard</v>
      </c>
      <c r="I67" s="280">
        <f>'3. GRI Pricing'!K77</f>
        <v>845</v>
      </c>
      <c r="J67" s="281">
        <f>'3. GRI Pricing'!O77</f>
        <v>70</v>
      </c>
      <c r="K67" s="281">
        <f>'3. GRI Pricing'!L77</f>
        <v>0</v>
      </c>
      <c r="L67" s="281">
        <f>'3. GRI Pricing'!P77</f>
        <v>25</v>
      </c>
      <c r="M67" s="281">
        <f>'3. GRI Pricing'!R77</f>
        <v>0</v>
      </c>
      <c r="N67" s="281">
        <f>'3. GRI Pricing'!S77</f>
        <v>70</v>
      </c>
      <c r="O67" s="281">
        <f>'3. GRI Pricing'!Q77</f>
        <v>0</v>
      </c>
      <c r="P67" s="281">
        <f>'3. GRI Pricing'!T77</f>
        <v>0</v>
      </c>
      <c r="Q67" s="281">
        <f>'3. GRI Pricing'!U77</f>
        <v>0</v>
      </c>
      <c r="R67" s="281">
        <f>'3. GRI Pricing'!V77</f>
        <v>0</v>
      </c>
      <c r="S67" s="281">
        <f>'3. GRI Pricing'!W77</f>
        <v>0</v>
      </c>
      <c r="T67" s="281">
        <f>'3. GRI Pricing'!X77</f>
        <v>0</v>
      </c>
      <c r="U67" s="282">
        <f>'3. GRI Pricing'!Y77</f>
        <v>1035</v>
      </c>
    </row>
    <row r="68" spans="3:21" x14ac:dyDescent="0.2">
      <c r="C68" s="23" t="str">
        <f>'3. GRI Pricing'!C78</f>
        <v>414N</v>
      </c>
      <c r="D68" s="16" t="str">
        <f>'3. GRI Pricing'!D78</f>
        <v>1 Bed</v>
      </c>
      <c r="E68" s="16">
        <f>'3. GRI Pricing'!E78</f>
        <v>1</v>
      </c>
      <c r="F68" s="16">
        <f>'3. GRI Pricing'!F78</f>
        <v>560</v>
      </c>
      <c r="G68" s="16">
        <f>'3. GRI Pricing'!G78</f>
        <v>4</v>
      </c>
      <c r="H68" s="16" t="str">
        <f>'3. GRI Pricing'!H78</f>
        <v>Courtyard</v>
      </c>
      <c r="I68" s="280">
        <f>'3. GRI Pricing'!K78</f>
        <v>845</v>
      </c>
      <c r="J68" s="281">
        <f>'3. GRI Pricing'!O78</f>
        <v>70</v>
      </c>
      <c r="K68" s="281">
        <f>'3. GRI Pricing'!L78</f>
        <v>0</v>
      </c>
      <c r="L68" s="281">
        <f>'3. GRI Pricing'!P78</f>
        <v>25</v>
      </c>
      <c r="M68" s="281">
        <f>'3. GRI Pricing'!R78</f>
        <v>0</v>
      </c>
      <c r="N68" s="281">
        <f>'3. GRI Pricing'!S78</f>
        <v>70</v>
      </c>
      <c r="O68" s="281">
        <f>'3. GRI Pricing'!Q78</f>
        <v>0</v>
      </c>
      <c r="P68" s="281">
        <f>'3. GRI Pricing'!T78</f>
        <v>0</v>
      </c>
      <c r="Q68" s="281">
        <f>'3. GRI Pricing'!U78</f>
        <v>-25</v>
      </c>
      <c r="R68" s="281">
        <f>'3. GRI Pricing'!V78</f>
        <v>0</v>
      </c>
      <c r="S68" s="281">
        <f>'3. GRI Pricing'!W78</f>
        <v>0</v>
      </c>
      <c r="T68" s="281">
        <f>'3. GRI Pricing'!X78</f>
        <v>0</v>
      </c>
      <c r="U68" s="282">
        <f>'3. GRI Pricing'!Y78</f>
        <v>1020</v>
      </c>
    </row>
    <row r="69" spans="3:21" x14ac:dyDescent="0.2">
      <c r="C69" s="23" t="str">
        <f>'3. GRI Pricing'!C79</f>
        <v>415N</v>
      </c>
      <c r="D69" s="16" t="str">
        <f>'3. GRI Pricing'!D79</f>
        <v>2 Bed</v>
      </c>
      <c r="E69" s="16">
        <f>'3. GRI Pricing'!E79</f>
        <v>2</v>
      </c>
      <c r="F69" s="16">
        <f>'3. GRI Pricing'!F79</f>
        <v>624</v>
      </c>
      <c r="G69" s="16">
        <f>'3. GRI Pricing'!G79</f>
        <v>4</v>
      </c>
      <c r="H69" s="16" t="str">
        <f>'3. GRI Pricing'!H79</f>
        <v>Courtyard</v>
      </c>
      <c r="I69" s="280">
        <f>'3. GRI Pricing'!K79</f>
        <v>1110</v>
      </c>
      <c r="J69" s="281">
        <f>'3. GRI Pricing'!O79</f>
        <v>70</v>
      </c>
      <c r="K69" s="281">
        <f>'3. GRI Pricing'!L79</f>
        <v>0</v>
      </c>
      <c r="L69" s="281">
        <f>'3. GRI Pricing'!P79</f>
        <v>25</v>
      </c>
      <c r="M69" s="281">
        <f>'3. GRI Pricing'!R79</f>
        <v>0</v>
      </c>
      <c r="N69" s="281">
        <f>'3. GRI Pricing'!S79</f>
        <v>70</v>
      </c>
      <c r="O69" s="281">
        <f>'3. GRI Pricing'!Q79</f>
        <v>0</v>
      </c>
      <c r="P69" s="281">
        <f>'3. GRI Pricing'!T79</f>
        <v>0</v>
      </c>
      <c r="Q69" s="281">
        <f>'3. GRI Pricing'!U79</f>
        <v>0</v>
      </c>
      <c r="R69" s="281">
        <f>'3. GRI Pricing'!V79</f>
        <v>0</v>
      </c>
      <c r="S69" s="281">
        <f>'3. GRI Pricing'!W79</f>
        <v>0</v>
      </c>
      <c r="T69" s="281">
        <f>'3. GRI Pricing'!X79</f>
        <v>0</v>
      </c>
      <c r="U69" s="282">
        <f>'3. GRI Pricing'!Y79</f>
        <v>1285</v>
      </c>
    </row>
    <row r="70" spans="3:21" x14ac:dyDescent="0.2">
      <c r="C70" s="23" t="str">
        <f>'3. GRI Pricing'!C80</f>
        <v>416N</v>
      </c>
      <c r="D70" s="16" t="str">
        <f>'3. GRI Pricing'!D80</f>
        <v>2 Bed</v>
      </c>
      <c r="E70" s="16">
        <f>'3. GRI Pricing'!E80</f>
        <v>2</v>
      </c>
      <c r="F70" s="16">
        <f>'3. GRI Pricing'!F80</f>
        <v>624</v>
      </c>
      <c r="G70" s="16">
        <f>'3. GRI Pricing'!G80</f>
        <v>4</v>
      </c>
      <c r="H70" s="16" t="str">
        <f>'3. GRI Pricing'!H80</f>
        <v>Courtyard</v>
      </c>
      <c r="I70" s="280">
        <f>'3. GRI Pricing'!K80</f>
        <v>1110</v>
      </c>
      <c r="J70" s="281">
        <f>'3. GRI Pricing'!O80</f>
        <v>70</v>
      </c>
      <c r="K70" s="281">
        <f>'3. GRI Pricing'!L80</f>
        <v>0</v>
      </c>
      <c r="L70" s="281">
        <f>'3. GRI Pricing'!P80</f>
        <v>25</v>
      </c>
      <c r="M70" s="281">
        <f>'3. GRI Pricing'!R80</f>
        <v>0</v>
      </c>
      <c r="N70" s="281">
        <f>'3. GRI Pricing'!S80</f>
        <v>70</v>
      </c>
      <c r="O70" s="281">
        <f>'3. GRI Pricing'!Q80</f>
        <v>0</v>
      </c>
      <c r="P70" s="281">
        <f>'3. GRI Pricing'!T80</f>
        <v>0</v>
      </c>
      <c r="Q70" s="281">
        <f>'3. GRI Pricing'!U80</f>
        <v>0</v>
      </c>
      <c r="R70" s="281">
        <f>'3. GRI Pricing'!V80</f>
        <v>0</v>
      </c>
      <c r="S70" s="281">
        <f>'3. GRI Pricing'!W80</f>
        <v>0</v>
      </c>
      <c r="T70" s="281">
        <f>'3. GRI Pricing'!X80</f>
        <v>0</v>
      </c>
      <c r="U70" s="282">
        <f>'3. GRI Pricing'!Y80</f>
        <v>1285</v>
      </c>
    </row>
    <row r="71" spans="3:21" x14ac:dyDescent="0.2">
      <c r="C71" s="23" t="str">
        <f>'3. GRI Pricing'!C81</f>
        <v>501N</v>
      </c>
      <c r="D71" s="16" t="str">
        <f>'3. GRI Pricing'!D81</f>
        <v>1 Bed</v>
      </c>
      <c r="E71" s="16">
        <f>'3. GRI Pricing'!E81</f>
        <v>1</v>
      </c>
      <c r="F71" s="16">
        <f>'3. GRI Pricing'!F81</f>
        <v>484</v>
      </c>
      <c r="G71" s="16">
        <f>'3. GRI Pricing'!G81</f>
        <v>5</v>
      </c>
      <c r="H71" s="16" t="str">
        <f>'3. GRI Pricing'!H81</f>
        <v>Courtyard</v>
      </c>
      <c r="I71" s="280">
        <f>'3. GRI Pricing'!K81</f>
        <v>845</v>
      </c>
      <c r="J71" s="281">
        <f>'3. GRI Pricing'!O81</f>
        <v>70</v>
      </c>
      <c r="K71" s="281">
        <f>'3. GRI Pricing'!L81</f>
        <v>0</v>
      </c>
      <c r="L71" s="281">
        <f>'3. GRI Pricing'!P81</f>
        <v>25</v>
      </c>
      <c r="M71" s="281">
        <f>'3. GRI Pricing'!R81</f>
        <v>0</v>
      </c>
      <c r="N71" s="281">
        <f>'3. GRI Pricing'!S81</f>
        <v>70</v>
      </c>
      <c r="O71" s="281">
        <f>'3. GRI Pricing'!Q81</f>
        <v>0</v>
      </c>
      <c r="P71" s="281">
        <f>'3. GRI Pricing'!T81</f>
        <v>0</v>
      </c>
      <c r="Q71" s="281">
        <f>'3. GRI Pricing'!U81</f>
        <v>0</v>
      </c>
      <c r="R71" s="281">
        <f>'3. GRI Pricing'!V81</f>
        <v>0</v>
      </c>
      <c r="S71" s="281">
        <f>'3. GRI Pricing'!W81</f>
        <v>0</v>
      </c>
      <c r="T71" s="281">
        <f>'3. GRI Pricing'!X81</f>
        <v>0</v>
      </c>
      <c r="U71" s="282">
        <f>'3. GRI Pricing'!Y81</f>
        <v>1020</v>
      </c>
    </row>
    <row r="72" spans="3:21" x14ac:dyDescent="0.2">
      <c r="C72" s="23" t="str">
        <f>'3. GRI Pricing'!C82</f>
        <v>502N</v>
      </c>
      <c r="D72" s="16" t="str">
        <f>'3. GRI Pricing'!D82</f>
        <v>2 Bed</v>
      </c>
      <c r="E72" s="16">
        <f>'3. GRI Pricing'!E82</f>
        <v>2</v>
      </c>
      <c r="F72" s="16">
        <f>'3. GRI Pricing'!F82</f>
        <v>678</v>
      </c>
      <c r="G72" s="16">
        <f>'3. GRI Pricing'!G82</f>
        <v>5</v>
      </c>
      <c r="H72" s="16" t="str">
        <f>'3. GRI Pricing'!H82</f>
        <v>Courtyard</v>
      </c>
      <c r="I72" s="280">
        <f>'3. GRI Pricing'!K82</f>
        <v>1110</v>
      </c>
      <c r="J72" s="281">
        <f>'3. GRI Pricing'!O82</f>
        <v>70</v>
      </c>
      <c r="K72" s="281">
        <f>'3. GRI Pricing'!L82</f>
        <v>0</v>
      </c>
      <c r="L72" s="281">
        <f>'3. GRI Pricing'!P82</f>
        <v>25</v>
      </c>
      <c r="M72" s="281">
        <f>'3. GRI Pricing'!R82</f>
        <v>0</v>
      </c>
      <c r="N72" s="281">
        <f>'3. GRI Pricing'!S82</f>
        <v>70</v>
      </c>
      <c r="O72" s="281">
        <f>'3. GRI Pricing'!Q82</f>
        <v>0</v>
      </c>
      <c r="P72" s="281">
        <f>'3. GRI Pricing'!T82</f>
        <v>0</v>
      </c>
      <c r="Q72" s="281">
        <f>'3. GRI Pricing'!U82</f>
        <v>0</v>
      </c>
      <c r="R72" s="281">
        <f>'3. GRI Pricing'!V82</f>
        <v>0</v>
      </c>
      <c r="S72" s="281">
        <f>'3. GRI Pricing'!W82</f>
        <v>0</v>
      </c>
      <c r="T72" s="281">
        <f>'3. GRI Pricing'!X82</f>
        <v>0</v>
      </c>
      <c r="U72" s="282">
        <f>'3. GRI Pricing'!Y82</f>
        <v>1315</v>
      </c>
    </row>
    <row r="73" spans="3:21" x14ac:dyDescent="0.2">
      <c r="C73" s="23" t="str">
        <f>'3. GRI Pricing'!C83</f>
        <v>503N</v>
      </c>
      <c r="D73" s="16" t="str">
        <f>'3. GRI Pricing'!D83</f>
        <v>2 Bed</v>
      </c>
      <c r="E73" s="16">
        <f>'3. GRI Pricing'!E83</f>
        <v>2</v>
      </c>
      <c r="F73" s="16">
        <f>'3. GRI Pricing'!F83</f>
        <v>657</v>
      </c>
      <c r="G73" s="16">
        <f>'3. GRI Pricing'!G83</f>
        <v>5</v>
      </c>
      <c r="H73" s="16" t="str">
        <f>'3. GRI Pricing'!H83</f>
        <v>Courtyard</v>
      </c>
      <c r="I73" s="280">
        <f>'3. GRI Pricing'!K83</f>
        <v>1110</v>
      </c>
      <c r="J73" s="281">
        <f>'3. GRI Pricing'!O83</f>
        <v>70</v>
      </c>
      <c r="K73" s="281">
        <f>'3. GRI Pricing'!L83</f>
        <v>0</v>
      </c>
      <c r="L73" s="281">
        <f>'3. GRI Pricing'!P83</f>
        <v>25</v>
      </c>
      <c r="M73" s="281">
        <f>'3. GRI Pricing'!R83</f>
        <v>0</v>
      </c>
      <c r="N73" s="281">
        <f>'3. GRI Pricing'!S83</f>
        <v>70</v>
      </c>
      <c r="O73" s="281">
        <f>'3. GRI Pricing'!Q83</f>
        <v>0</v>
      </c>
      <c r="P73" s="281">
        <f>'3. GRI Pricing'!T83</f>
        <v>0</v>
      </c>
      <c r="Q73" s="281">
        <f>'3. GRI Pricing'!U83</f>
        <v>0</v>
      </c>
      <c r="R73" s="281">
        <f>'3. GRI Pricing'!V83</f>
        <v>0</v>
      </c>
      <c r="S73" s="281">
        <f>'3. GRI Pricing'!W83</f>
        <v>0</v>
      </c>
      <c r="T73" s="281">
        <f>'3. GRI Pricing'!X83</f>
        <v>0</v>
      </c>
      <c r="U73" s="282">
        <f>'3. GRI Pricing'!Y83</f>
        <v>1295</v>
      </c>
    </row>
    <row r="74" spans="3:21" x14ac:dyDescent="0.2">
      <c r="C74" s="23" t="str">
        <f>'3. GRI Pricing'!C84</f>
        <v>504N</v>
      </c>
      <c r="D74" s="16" t="str">
        <f>'3. GRI Pricing'!D84</f>
        <v>3 Bed</v>
      </c>
      <c r="E74" s="16">
        <f>'3. GRI Pricing'!E84</f>
        <v>2</v>
      </c>
      <c r="F74" s="16">
        <f>'3. GRI Pricing'!F84</f>
        <v>818</v>
      </c>
      <c r="G74" s="16">
        <f>'3. GRI Pricing'!G84</f>
        <v>5</v>
      </c>
      <c r="H74" s="16" t="str">
        <f>'3. GRI Pricing'!H84</f>
        <v>Pottery Lane</v>
      </c>
      <c r="I74" s="280">
        <f>'3. GRI Pricing'!K84</f>
        <v>1485</v>
      </c>
      <c r="J74" s="281">
        <f>'3. GRI Pricing'!O84</f>
        <v>70</v>
      </c>
      <c r="K74" s="281">
        <f>'3. GRI Pricing'!L84</f>
        <v>0</v>
      </c>
      <c r="L74" s="281">
        <f>'3. GRI Pricing'!P84</f>
        <v>10</v>
      </c>
      <c r="M74" s="281">
        <f>'3. GRI Pricing'!R84</f>
        <v>0</v>
      </c>
      <c r="N74" s="281">
        <f>'3. GRI Pricing'!S84</f>
        <v>70</v>
      </c>
      <c r="O74" s="281">
        <f>'3. GRI Pricing'!Q84</f>
        <v>0</v>
      </c>
      <c r="P74" s="281">
        <f>'3. GRI Pricing'!T84</f>
        <v>0</v>
      </c>
      <c r="Q74" s="281">
        <f>'3. GRI Pricing'!U84</f>
        <v>0</v>
      </c>
      <c r="R74" s="281">
        <f>'3. GRI Pricing'!V84</f>
        <v>0</v>
      </c>
      <c r="S74" s="281">
        <f>'3. GRI Pricing'!W84</f>
        <v>0</v>
      </c>
      <c r="T74" s="281">
        <f>'3. GRI Pricing'!X84</f>
        <v>0</v>
      </c>
      <c r="U74" s="282">
        <f>'3. GRI Pricing'!Y84</f>
        <v>1685</v>
      </c>
    </row>
    <row r="75" spans="3:21" x14ac:dyDescent="0.2">
      <c r="C75" s="23" t="str">
        <f>'3. GRI Pricing'!C85</f>
        <v>505N</v>
      </c>
      <c r="D75" s="16" t="str">
        <f>'3. GRI Pricing'!D85</f>
        <v>2 Bed</v>
      </c>
      <c r="E75" s="16">
        <f>'3. GRI Pricing'!E85</f>
        <v>2</v>
      </c>
      <c r="F75" s="16">
        <f>'3. GRI Pricing'!F85</f>
        <v>667</v>
      </c>
      <c r="G75" s="16">
        <f>'3. GRI Pricing'!G85</f>
        <v>5</v>
      </c>
      <c r="H75" s="16" t="str">
        <f>'3. GRI Pricing'!H85</f>
        <v>Forth Banks/Pottery Lane</v>
      </c>
      <c r="I75" s="280">
        <f>'3. GRI Pricing'!K85</f>
        <v>1110</v>
      </c>
      <c r="J75" s="281">
        <f>'3. GRI Pricing'!O85</f>
        <v>70</v>
      </c>
      <c r="K75" s="281">
        <f>'3. GRI Pricing'!L85</f>
        <v>0</v>
      </c>
      <c r="L75" s="281">
        <f>'3. GRI Pricing'!P85</f>
        <v>10</v>
      </c>
      <c r="M75" s="281">
        <f>'3. GRI Pricing'!R85</f>
        <v>0</v>
      </c>
      <c r="N75" s="281">
        <f>'3. GRI Pricing'!S85</f>
        <v>70</v>
      </c>
      <c r="O75" s="281">
        <f>'3. GRI Pricing'!Q85</f>
        <v>0</v>
      </c>
      <c r="P75" s="281">
        <f>'3. GRI Pricing'!T85</f>
        <v>0</v>
      </c>
      <c r="Q75" s="281">
        <f>'3. GRI Pricing'!U85</f>
        <v>0</v>
      </c>
      <c r="R75" s="281">
        <f>'3. GRI Pricing'!V85</f>
        <v>0</v>
      </c>
      <c r="S75" s="281">
        <f>'3. GRI Pricing'!W85</f>
        <v>0</v>
      </c>
      <c r="T75" s="281">
        <f>'3. GRI Pricing'!X85</f>
        <v>0</v>
      </c>
      <c r="U75" s="282">
        <f>'3. GRI Pricing'!Y85</f>
        <v>1290</v>
      </c>
    </row>
    <row r="76" spans="3:21" x14ac:dyDescent="0.2">
      <c r="C76" s="23" t="str">
        <f>'3. GRI Pricing'!C86</f>
        <v>506N</v>
      </c>
      <c r="D76" s="16" t="str">
        <f>'3. GRI Pricing'!D86</f>
        <v>1 Bed</v>
      </c>
      <c r="E76" s="16">
        <f>'3. GRI Pricing'!E86</f>
        <v>1</v>
      </c>
      <c r="F76" s="16">
        <f>'3. GRI Pricing'!F86</f>
        <v>441</v>
      </c>
      <c r="G76" s="16">
        <f>'3. GRI Pricing'!G86</f>
        <v>5</v>
      </c>
      <c r="H76" s="16" t="str">
        <f>'3. GRI Pricing'!H86</f>
        <v>Forth Banks</v>
      </c>
      <c r="I76" s="280">
        <f>'3. GRI Pricing'!K86</f>
        <v>845</v>
      </c>
      <c r="J76" s="281">
        <f>'3. GRI Pricing'!O86</f>
        <v>70</v>
      </c>
      <c r="K76" s="281">
        <f>'3. GRI Pricing'!L86</f>
        <v>0</v>
      </c>
      <c r="L76" s="281">
        <f>'3. GRI Pricing'!P86</f>
        <v>5</v>
      </c>
      <c r="M76" s="281">
        <f>'3. GRI Pricing'!R86</f>
        <v>0</v>
      </c>
      <c r="N76" s="281">
        <f>'3. GRI Pricing'!S86</f>
        <v>70</v>
      </c>
      <c r="O76" s="281">
        <f>'3. GRI Pricing'!Q86</f>
        <v>0</v>
      </c>
      <c r="P76" s="281">
        <f>'3. GRI Pricing'!T86</f>
        <v>0</v>
      </c>
      <c r="Q76" s="281">
        <f>'3. GRI Pricing'!U86</f>
        <v>0</v>
      </c>
      <c r="R76" s="281">
        <f>'3. GRI Pricing'!V86</f>
        <v>0</v>
      </c>
      <c r="S76" s="281">
        <f>'3. GRI Pricing'!W86</f>
        <v>0</v>
      </c>
      <c r="T76" s="281">
        <f>'3. GRI Pricing'!X86</f>
        <v>0</v>
      </c>
      <c r="U76" s="282">
        <f>'3. GRI Pricing'!Y86</f>
        <v>990</v>
      </c>
    </row>
    <row r="77" spans="3:21" x14ac:dyDescent="0.2">
      <c r="C77" s="23" t="str">
        <f>'3. GRI Pricing'!C87</f>
        <v>507N</v>
      </c>
      <c r="D77" s="16" t="str">
        <f>'3. GRI Pricing'!D87</f>
        <v>2 Bed</v>
      </c>
      <c r="E77" s="16">
        <f>'3. GRI Pricing'!E87</f>
        <v>2</v>
      </c>
      <c r="F77" s="16">
        <f>'3. GRI Pricing'!F87</f>
        <v>624</v>
      </c>
      <c r="G77" s="16">
        <f>'3. GRI Pricing'!G87</f>
        <v>5</v>
      </c>
      <c r="H77" s="16" t="str">
        <f>'3. GRI Pricing'!H87</f>
        <v>Forth Banks</v>
      </c>
      <c r="I77" s="280">
        <f>'3. GRI Pricing'!K87</f>
        <v>1110</v>
      </c>
      <c r="J77" s="281">
        <f>'3. GRI Pricing'!O87</f>
        <v>70</v>
      </c>
      <c r="K77" s="281">
        <f>'3. GRI Pricing'!L87</f>
        <v>0</v>
      </c>
      <c r="L77" s="281">
        <f>'3. GRI Pricing'!P87</f>
        <v>5</v>
      </c>
      <c r="M77" s="281">
        <f>'3. GRI Pricing'!R87</f>
        <v>0</v>
      </c>
      <c r="N77" s="281">
        <f>'3. GRI Pricing'!S87</f>
        <v>70</v>
      </c>
      <c r="O77" s="281">
        <f>'3. GRI Pricing'!Q87</f>
        <v>0</v>
      </c>
      <c r="P77" s="281">
        <f>'3. GRI Pricing'!T87</f>
        <v>0</v>
      </c>
      <c r="Q77" s="281">
        <f>'3. GRI Pricing'!U87</f>
        <v>0</v>
      </c>
      <c r="R77" s="281">
        <f>'3. GRI Pricing'!V87</f>
        <v>0</v>
      </c>
      <c r="S77" s="281">
        <f>'3. GRI Pricing'!W87</f>
        <v>0</v>
      </c>
      <c r="T77" s="281">
        <f>'3. GRI Pricing'!X87</f>
        <v>0</v>
      </c>
      <c r="U77" s="282">
        <f>'3. GRI Pricing'!Y87</f>
        <v>1265</v>
      </c>
    </row>
    <row r="78" spans="3:21" x14ac:dyDescent="0.2">
      <c r="C78" s="23" t="str">
        <f>'3. GRI Pricing'!C88</f>
        <v>508N</v>
      </c>
      <c r="D78" s="16" t="str">
        <f>'3. GRI Pricing'!D88</f>
        <v>2 Bed</v>
      </c>
      <c r="E78" s="16">
        <f>'3. GRI Pricing'!E88</f>
        <v>2</v>
      </c>
      <c r="F78" s="16">
        <f>'3. GRI Pricing'!F88</f>
        <v>624</v>
      </c>
      <c r="G78" s="16">
        <f>'3. GRI Pricing'!G88</f>
        <v>5</v>
      </c>
      <c r="H78" s="16" t="str">
        <f>'3. GRI Pricing'!H88</f>
        <v>Forth Banks</v>
      </c>
      <c r="I78" s="280">
        <f>'3. GRI Pricing'!K88</f>
        <v>1110</v>
      </c>
      <c r="J78" s="281">
        <f>'3. GRI Pricing'!O88</f>
        <v>70</v>
      </c>
      <c r="K78" s="281">
        <f>'3. GRI Pricing'!L88</f>
        <v>0</v>
      </c>
      <c r="L78" s="281">
        <f>'3. GRI Pricing'!P88</f>
        <v>5</v>
      </c>
      <c r="M78" s="281">
        <f>'3. GRI Pricing'!R88</f>
        <v>0</v>
      </c>
      <c r="N78" s="281">
        <f>'3. GRI Pricing'!S88</f>
        <v>70</v>
      </c>
      <c r="O78" s="281">
        <f>'3. GRI Pricing'!Q88</f>
        <v>0</v>
      </c>
      <c r="P78" s="281">
        <f>'3. GRI Pricing'!T88</f>
        <v>0</v>
      </c>
      <c r="Q78" s="281">
        <f>'3. GRI Pricing'!U88</f>
        <v>0</v>
      </c>
      <c r="R78" s="281">
        <f>'3. GRI Pricing'!V88</f>
        <v>0</v>
      </c>
      <c r="S78" s="281">
        <f>'3. GRI Pricing'!W88</f>
        <v>0</v>
      </c>
      <c r="T78" s="281">
        <f>'3. GRI Pricing'!X88</f>
        <v>0</v>
      </c>
      <c r="U78" s="282">
        <f>'3. GRI Pricing'!Y88</f>
        <v>1265</v>
      </c>
    </row>
    <row r="79" spans="3:21" x14ac:dyDescent="0.2">
      <c r="C79" s="23" t="str">
        <f>'3. GRI Pricing'!C89</f>
        <v>509N</v>
      </c>
      <c r="D79" s="16" t="str">
        <f>'3. GRI Pricing'!D89</f>
        <v>2 Bed</v>
      </c>
      <c r="E79" s="16">
        <f>'3. GRI Pricing'!E89</f>
        <v>2</v>
      </c>
      <c r="F79" s="16">
        <f>'3. GRI Pricing'!F89</f>
        <v>657</v>
      </c>
      <c r="G79" s="16">
        <f>'3. GRI Pricing'!G89</f>
        <v>5</v>
      </c>
      <c r="H79" s="16" t="str">
        <f>'3. GRI Pricing'!H89</f>
        <v>River - Partial</v>
      </c>
      <c r="I79" s="280">
        <f>'3. GRI Pricing'!K89</f>
        <v>1110</v>
      </c>
      <c r="J79" s="281">
        <f>'3. GRI Pricing'!O89</f>
        <v>70</v>
      </c>
      <c r="K79" s="281">
        <f>'3. GRI Pricing'!L89</f>
        <v>0</v>
      </c>
      <c r="L79" s="281">
        <f>'3. GRI Pricing'!P89</f>
        <v>45</v>
      </c>
      <c r="M79" s="281">
        <f>'3. GRI Pricing'!R89</f>
        <v>0</v>
      </c>
      <c r="N79" s="281">
        <f>'3. GRI Pricing'!S89</f>
        <v>70</v>
      </c>
      <c r="O79" s="281">
        <f>'3. GRI Pricing'!Q89</f>
        <v>0</v>
      </c>
      <c r="P79" s="281">
        <f>'3. GRI Pricing'!T89</f>
        <v>0</v>
      </c>
      <c r="Q79" s="281">
        <f>'3. GRI Pricing'!U89</f>
        <v>0</v>
      </c>
      <c r="R79" s="281">
        <f>'3. GRI Pricing'!V89</f>
        <v>0</v>
      </c>
      <c r="S79" s="281">
        <f>'3. GRI Pricing'!W89</f>
        <v>0</v>
      </c>
      <c r="T79" s="281">
        <f>'3. GRI Pricing'!X89</f>
        <v>0</v>
      </c>
      <c r="U79" s="282">
        <f>'3. GRI Pricing'!Y89</f>
        <v>1315</v>
      </c>
    </row>
    <row r="80" spans="3:21" x14ac:dyDescent="0.2">
      <c r="C80" s="23" t="str">
        <f>'3. GRI Pricing'!C90</f>
        <v>510N</v>
      </c>
      <c r="D80" s="16" t="str">
        <f>'3. GRI Pricing'!D90</f>
        <v>2 Bed</v>
      </c>
      <c r="E80" s="16">
        <f>'3. GRI Pricing'!E90</f>
        <v>2</v>
      </c>
      <c r="F80" s="16">
        <f>'3. GRI Pricing'!F90</f>
        <v>700</v>
      </c>
      <c r="G80" s="16">
        <f>'3. GRI Pricing'!G90</f>
        <v>5</v>
      </c>
      <c r="H80" s="16" t="str">
        <f>'3. GRI Pricing'!H90</f>
        <v>Forth Banks - Partial</v>
      </c>
      <c r="I80" s="280">
        <f>'3. GRI Pricing'!K90</f>
        <v>1110</v>
      </c>
      <c r="J80" s="281">
        <f>'3. GRI Pricing'!O90</f>
        <v>70</v>
      </c>
      <c r="K80" s="281">
        <f>'3. GRI Pricing'!L90</f>
        <v>0</v>
      </c>
      <c r="L80" s="281">
        <f>'3. GRI Pricing'!P90</f>
        <v>40</v>
      </c>
      <c r="M80" s="281">
        <f>'3. GRI Pricing'!R90</f>
        <v>0</v>
      </c>
      <c r="N80" s="281">
        <f>'3. GRI Pricing'!S90</f>
        <v>70</v>
      </c>
      <c r="O80" s="281">
        <f>'3. GRI Pricing'!Q90</f>
        <v>0</v>
      </c>
      <c r="P80" s="281">
        <f>'3. GRI Pricing'!T90</f>
        <v>0</v>
      </c>
      <c r="Q80" s="281">
        <f>'3. GRI Pricing'!U90</f>
        <v>0</v>
      </c>
      <c r="R80" s="281">
        <f>'3. GRI Pricing'!V90</f>
        <v>0</v>
      </c>
      <c r="S80" s="281">
        <f>'3. GRI Pricing'!W90</f>
        <v>0</v>
      </c>
      <c r="T80" s="281">
        <f>'3. GRI Pricing'!X90</f>
        <v>0</v>
      </c>
      <c r="U80" s="282">
        <f>'3. GRI Pricing'!Y90</f>
        <v>1360</v>
      </c>
    </row>
    <row r="81" spans="3:21" x14ac:dyDescent="0.2">
      <c r="C81" s="23" t="str">
        <f>'3. GRI Pricing'!C91</f>
        <v>511N</v>
      </c>
      <c r="D81" s="16" t="str">
        <f>'3. GRI Pricing'!D91</f>
        <v>2 Bed</v>
      </c>
      <c r="E81" s="16">
        <f>'3. GRI Pricing'!E91</f>
        <v>2</v>
      </c>
      <c r="F81" s="16">
        <f>'3. GRI Pricing'!F91</f>
        <v>689</v>
      </c>
      <c r="G81" s="16">
        <f>'3. GRI Pricing'!G91</f>
        <v>5</v>
      </c>
      <c r="H81" s="16" t="str">
        <f>'3. GRI Pricing'!H91</f>
        <v>Courtyard - dual</v>
      </c>
      <c r="I81" s="280">
        <f>'3. GRI Pricing'!K91</f>
        <v>1110</v>
      </c>
      <c r="J81" s="281">
        <f>'3. GRI Pricing'!O91</f>
        <v>70</v>
      </c>
      <c r="K81" s="281">
        <f>'3. GRI Pricing'!L91</f>
        <v>0</v>
      </c>
      <c r="L81" s="281">
        <f>'3. GRI Pricing'!P91</f>
        <v>55</v>
      </c>
      <c r="M81" s="281">
        <f>'3. GRI Pricing'!R91</f>
        <v>0</v>
      </c>
      <c r="N81" s="281">
        <f>'3. GRI Pricing'!S91</f>
        <v>70</v>
      </c>
      <c r="O81" s="281">
        <f>'3. GRI Pricing'!Q91</f>
        <v>0</v>
      </c>
      <c r="P81" s="281">
        <f>'3. GRI Pricing'!T91</f>
        <v>0</v>
      </c>
      <c r="Q81" s="281">
        <f>'3. GRI Pricing'!U91</f>
        <v>0</v>
      </c>
      <c r="R81" s="281">
        <f>'3. GRI Pricing'!V91</f>
        <v>0</v>
      </c>
      <c r="S81" s="281">
        <f>'3. GRI Pricing'!W91</f>
        <v>0</v>
      </c>
      <c r="T81" s="281">
        <f>'3. GRI Pricing'!X91</f>
        <v>0</v>
      </c>
      <c r="U81" s="282">
        <f>'3. GRI Pricing'!Y91</f>
        <v>1370</v>
      </c>
    </row>
    <row r="82" spans="3:21" x14ac:dyDescent="0.2">
      <c r="C82" s="23" t="str">
        <f>'3. GRI Pricing'!C92</f>
        <v>512N</v>
      </c>
      <c r="D82" s="16" t="str">
        <f>'3. GRI Pricing'!D92</f>
        <v>1 Bed</v>
      </c>
      <c r="E82" s="16">
        <f>'3. GRI Pricing'!E92</f>
        <v>1</v>
      </c>
      <c r="F82" s="16">
        <f>'3. GRI Pricing'!F92</f>
        <v>517</v>
      </c>
      <c r="G82" s="16">
        <f>'3. GRI Pricing'!G92</f>
        <v>5</v>
      </c>
      <c r="H82" s="16" t="str">
        <f>'3. GRI Pricing'!H92</f>
        <v>Courtyard - dual</v>
      </c>
      <c r="I82" s="280">
        <f>'3. GRI Pricing'!K92</f>
        <v>845</v>
      </c>
      <c r="J82" s="281">
        <f>'3. GRI Pricing'!O92</f>
        <v>70</v>
      </c>
      <c r="K82" s="281">
        <f>'3. GRI Pricing'!L92</f>
        <v>0</v>
      </c>
      <c r="L82" s="281">
        <f>'3. GRI Pricing'!P92</f>
        <v>55</v>
      </c>
      <c r="M82" s="281">
        <f>'3. GRI Pricing'!R92</f>
        <v>0</v>
      </c>
      <c r="N82" s="281">
        <f>'3. GRI Pricing'!S92</f>
        <v>70</v>
      </c>
      <c r="O82" s="281">
        <f>'3. GRI Pricing'!Q92</f>
        <v>0</v>
      </c>
      <c r="P82" s="281">
        <f>'3. GRI Pricing'!T92</f>
        <v>0</v>
      </c>
      <c r="Q82" s="281">
        <f>'3. GRI Pricing'!U92</f>
        <v>0</v>
      </c>
      <c r="R82" s="281">
        <f>'3. GRI Pricing'!V92</f>
        <v>0</v>
      </c>
      <c r="S82" s="281">
        <f>'3. GRI Pricing'!W92</f>
        <v>0</v>
      </c>
      <c r="T82" s="281">
        <f>'3. GRI Pricing'!X92</f>
        <v>0</v>
      </c>
      <c r="U82" s="282">
        <f>'3. GRI Pricing'!Y92</f>
        <v>1060</v>
      </c>
    </row>
    <row r="83" spans="3:21" x14ac:dyDescent="0.2">
      <c r="C83" s="23" t="str">
        <f>'3. GRI Pricing'!C93</f>
        <v>513N</v>
      </c>
      <c r="D83" s="16" t="str">
        <f>'3. GRI Pricing'!D93</f>
        <v>1 Bed</v>
      </c>
      <c r="E83" s="16">
        <f>'3. GRI Pricing'!E93</f>
        <v>1</v>
      </c>
      <c r="F83" s="16">
        <f>'3. GRI Pricing'!F93</f>
        <v>538</v>
      </c>
      <c r="G83" s="16">
        <f>'3. GRI Pricing'!G93</f>
        <v>5</v>
      </c>
      <c r="H83" s="16" t="str">
        <f>'3. GRI Pricing'!H93</f>
        <v>Courtyard</v>
      </c>
      <c r="I83" s="280">
        <f>'3. GRI Pricing'!K93</f>
        <v>845</v>
      </c>
      <c r="J83" s="281">
        <f>'3. GRI Pricing'!O93</f>
        <v>70</v>
      </c>
      <c r="K83" s="281">
        <f>'3. GRI Pricing'!L93</f>
        <v>0</v>
      </c>
      <c r="L83" s="281">
        <f>'3. GRI Pricing'!P93</f>
        <v>25</v>
      </c>
      <c r="M83" s="281">
        <f>'3. GRI Pricing'!R93</f>
        <v>0</v>
      </c>
      <c r="N83" s="281">
        <f>'3. GRI Pricing'!S93</f>
        <v>70</v>
      </c>
      <c r="O83" s="281">
        <f>'3. GRI Pricing'!Q93</f>
        <v>0</v>
      </c>
      <c r="P83" s="281">
        <f>'3. GRI Pricing'!T93</f>
        <v>0</v>
      </c>
      <c r="Q83" s="281">
        <f>'3. GRI Pricing'!U93</f>
        <v>0</v>
      </c>
      <c r="R83" s="281">
        <f>'3. GRI Pricing'!V93</f>
        <v>0</v>
      </c>
      <c r="S83" s="281">
        <f>'3. GRI Pricing'!W93</f>
        <v>0</v>
      </c>
      <c r="T83" s="281">
        <f>'3. GRI Pricing'!X93</f>
        <v>0</v>
      </c>
      <c r="U83" s="282">
        <f>'3. GRI Pricing'!Y93</f>
        <v>1035</v>
      </c>
    </row>
    <row r="84" spans="3:21" x14ac:dyDescent="0.2">
      <c r="C84" s="23" t="str">
        <f>'3. GRI Pricing'!C94</f>
        <v>514N</v>
      </c>
      <c r="D84" s="16" t="str">
        <f>'3. GRI Pricing'!D94</f>
        <v>1 Bed</v>
      </c>
      <c r="E84" s="16">
        <f>'3. GRI Pricing'!E94</f>
        <v>1</v>
      </c>
      <c r="F84" s="16">
        <f>'3. GRI Pricing'!F94</f>
        <v>560</v>
      </c>
      <c r="G84" s="16">
        <f>'3. GRI Pricing'!G94</f>
        <v>5</v>
      </c>
      <c r="H84" s="16" t="str">
        <f>'3. GRI Pricing'!H94</f>
        <v>Courtyard</v>
      </c>
      <c r="I84" s="280">
        <f>'3. GRI Pricing'!K94</f>
        <v>845</v>
      </c>
      <c r="J84" s="281">
        <f>'3. GRI Pricing'!O94</f>
        <v>70</v>
      </c>
      <c r="K84" s="281">
        <f>'3. GRI Pricing'!L94</f>
        <v>0</v>
      </c>
      <c r="L84" s="281">
        <f>'3. GRI Pricing'!P94</f>
        <v>25</v>
      </c>
      <c r="M84" s="281">
        <f>'3. GRI Pricing'!R94</f>
        <v>0</v>
      </c>
      <c r="N84" s="281">
        <f>'3. GRI Pricing'!S94</f>
        <v>70</v>
      </c>
      <c r="O84" s="281">
        <f>'3. GRI Pricing'!Q94</f>
        <v>0</v>
      </c>
      <c r="P84" s="281">
        <f>'3. GRI Pricing'!T94</f>
        <v>0</v>
      </c>
      <c r="Q84" s="281">
        <f>'3. GRI Pricing'!U94</f>
        <v>-25</v>
      </c>
      <c r="R84" s="281">
        <f>'3. GRI Pricing'!V94</f>
        <v>0</v>
      </c>
      <c r="S84" s="281">
        <f>'3. GRI Pricing'!W94</f>
        <v>0</v>
      </c>
      <c r="T84" s="281">
        <f>'3. GRI Pricing'!X94</f>
        <v>0</v>
      </c>
      <c r="U84" s="282">
        <f>'3. GRI Pricing'!Y94</f>
        <v>1020</v>
      </c>
    </row>
    <row r="85" spans="3:21" x14ac:dyDescent="0.2">
      <c r="C85" s="23" t="str">
        <f>'3. GRI Pricing'!C95</f>
        <v>515N</v>
      </c>
      <c r="D85" s="16" t="str">
        <f>'3. GRI Pricing'!D95</f>
        <v>2 Bed</v>
      </c>
      <c r="E85" s="16">
        <f>'3. GRI Pricing'!E95</f>
        <v>2</v>
      </c>
      <c r="F85" s="16">
        <f>'3. GRI Pricing'!F95</f>
        <v>624</v>
      </c>
      <c r="G85" s="16">
        <f>'3. GRI Pricing'!G95</f>
        <v>5</v>
      </c>
      <c r="H85" s="16" t="str">
        <f>'3. GRI Pricing'!H95</f>
        <v>Courtyard</v>
      </c>
      <c r="I85" s="280">
        <f>'3. GRI Pricing'!K95</f>
        <v>1110</v>
      </c>
      <c r="J85" s="281">
        <f>'3. GRI Pricing'!O95</f>
        <v>70</v>
      </c>
      <c r="K85" s="281">
        <f>'3. GRI Pricing'!L95</f>
        <v>0</v>
      </c>
      <c r="L85" s="281">
        <f>'3. GRI Pricing'!P95</f>
        <v>25</v>
      </c>
      <c r="M85" s="281">
        <f>'3. GRI Pricing'!R95</f>
        <v>0</v>
      </c>
      <c r="N85" s="281">
        <f>'3. GRI Pricing'!S95</f>
        <v>70</v>
      </c>
      <c r="O85" s="281">
        <f>'3. GRI Pricing'!Q95</f>
        <v>0</v>
      </c>
      <c r="P85" s="281">
        <f>'3. GRI Pricing'!T95</f>
        <v>0</v>
      </c>
      <c r="Q85" s="281">
        <f>'3. GRI Pricing'!U95</f>
        <v>0</v>
      </c>
      <c r="R85" s="281">
        <f>'3. GRI Pricing'!V95</f>
        <v>0</v>
      </c>
      <c r="S85" s="281">
        <f>'3. GRI Pricing'!W95</f>
        <v>0</v>
      </c>
      <c r="T85" s="281">
        <f>'3. GRI Pricing'!X95</f>
        <v>0</v>
      </c>
      <c r="U85" s="282">
        <f>'3. GRI Pricing'!Y95</f>
        <v>1285</v>
      </c>
    </row>
    <row r="86" spans="3:21" x14ac:dyDescent="0.2">
      <c r="C86" s="23" t="str">
        <f>'3. GRI Pricing'!C96</f>
        <v>516N</v>
      </c>
      <c r="D86" s="16" t="str">
        <f>'3. GRI Pricing'!D96</f>
        <v>2 Bed</v>
      </c>
      <c r="E86" s="16">
        <f>'3. GRI Pricing'!E96</f>
        <v>2</v>
      </c>
      <c r="F86" s="16">
        <f>'3. GRI Pricing'!F96</f>
        <v>624</v>
      </c>
      <c r="G86" s="16">
        <f>'3. GRI Pricing'!G96</f>
        <v>5</v>
      </c>
      <c r="H86" s="16" t="str">
        <f>'3. GRI Pricing'!H96</f>
        <v>Courtyard</v>
      </c>
      <c r="I86" s="280">
        <f>'3. GRI Pricing'!K96</f>
        <v>1110</v>
      </c>
      <c r="J86" s="281">
        <f>'3. GRI Pricing'!O96</f>
        <v>70</v>
      </c>
      <c r="K86" s="281">
        <f>'3. GRI Pricing'!L96</f>
        <v>0</v>
      </c>
      <c r="L86" s="281">
        <f>'3. GRI Pricing'!P96</f>
        <v>25</v>
      </c>
      <c r="M86" s="281">
        <f>'3. GRI Pricing'!R96</f>
        <v>0</v>
      </c>
      <c r="N86" s="281">
        <f>'3. GRI Pricing'!S96</f>
        <v>70</v>
      </c>
      <c r="O86" s="281">
        <f>'3. GRI Pricing'!Q96</f>
        <v>0</v>
      </c>
      <c r="P86" s="281">
        <f>'3. GRI Pricing'!T96</f>
        <v>0</v>
      </c>
      <c r="Q86" s="281">
        <f>'3. GRI Pricing'!U96</f>
        <v>0</v>
      </c>
      <c r="R86" s="281">
        <f>'3. GRI Pricing'!V96</f>
        <v>0</v>
      </c>
      <c r="S86" s="281">
        <f>'3. GRI Pricing'!W96</f>
        <v>0</v>
      </c>
      <c r="T86" s="281">
        <f>'3. GRI Pricing'!X96</f>
        <v>0</v>
      </c>
      <c r="U86" s="282">
        <f>'3. GRI Pricing'!Y96</f>
        <v>1285</v>
      </c>
    </row>
    <row r="87" spans="3:21" x14ac:dyDescent="0.2">
      <c r="C87" s="23" t="str">
        <f>'3. GRI Pricing'!C97</f>
        <v>601N</v>
      </c>
      <c r="D87" s="16" t="str">
        <f>'3. GRI Pricing'!D97</f>
        <v>1 Bed</v>
      </c>
      <c r="E87" s="16">
        <f>'3. GRI Pricing'!E97</f>
        <v>1</v>
      </c>
      <c r="F87" s="16">
        <f>'3. GRI Pricing'!F97</f>
        <v>495</v>
      </c>
      <c r="G87" s="16">
        <f>'3. GRI Pricing'!G97</f>
        <v>6</v>
      </c>
      <c r="H87" s="16" t="str">
        <f>'3. GRI Pricing'!H97</f>
        <v>Courtyard</v>
      </c>
      <c r="I87" s="280">
        <f>'3. GRI Pricing'!K97</f>
        <v>845</v>
      </c>
      <c r="J87" s="281">
        <f>'3. GRI Pricing'!O97</f>
        <v>80</v>
      </c>
      <c r="K87" s="281">
        <f>'3. GRI Pricing'!L97</f>
        <v>0</v>
      </c>
      <c r="L87" s="281">
        <f>'3. GRI Pricing'!P97</f>
        <v>25</v>
      </c>
      <c r="M87" s="281">
        <f>'3. GRI Pricing'!R97</f>
        <v>0</v>
      </c>
      <c r="N87" s="281">
        <f>'3. GRI Pricing'!S97</f>
        <v>70</v>
      </c>
      <c r="O87" s="281">
        <f>'3. GRI Pricing'!Q97</f>
        <v>0</v>
      </c>
      <c r="P87" s="281">
        <f>'3. GRI Pricing'!T97</f>
        <v>-50</v>
      </c>
      <c r="Q87" s="281">
        <f>'3. GRI Pricing'!U97</f>
        <v>0</v>
      </c>
      <c r="R87" s="281">
        <f>'3. GRI Pricing'!V97</f>
        <v>0</v>
      </c>
      <c r="S87" s="281">
        <f>'3. GRI Pricing'!W97</f>
        <v>0</v>
      </c>
      <c r="T87" s="281">
        <f>'3. GRI Pricing'!X97</f>
        <v>0</v>
      </c>
      <c r="U87" s="282">
        <f>'3. GRI Pricing'!Y97</f>
        <v>985</v>
      </c>
    </row>
    <row r="88" spans="3:21" x14ac:dyDescent="0.2">
      <c r="C88" s="23" t="str">
        <f>'3. GRI Pricing'!C98</f>
        <v>602N</v>
      </c>
      <c r="D88" s="16" t="str">
        <f>'3. GRI Pricing'!D98</f>
        <v>2 Bed</v>
      </c>
      <c r="E88" s="16">
        <f>'3. GRI Pricing'!E98</f>
        <v>2</v>
      </c>
      <c r="F88" s="16">
        <f>'3. GRI Pricing'!F98</f>
        <v>678</v>
      </c>
      <c r="G88" s="16">
        <f>'3. GRI Pricing'!G98</f>
        <v>6</v>
      </c>
      <c r="H88" s="16" t="str">
        <f>'3. GRI Pricing'!H98</f>
        <v>Courtyard</v>
      </c>
      <c r="I88" s="280">
        <f>'3. GRI Pricing'!K98</f>
        <v>1110</v>
      </c>
      <c r="J88" s="281">
        <f>'3. GRI Pricing'!O98</f>
        <v>80</v>
      </c>
      <c r="K88" s="281">
        <f>'3. GRI Pricing'!L98</f>
        <v>0</v>
      </c>
      <c r="L88" s="281">
        <f>'3. GRI Pricing'!P98</f>
        <v>25</v>
      </c>
      <c r="M88" s="281">
        <f>'3. GRI Pricing'!R98</f>
        <v>0</v>
      </c>
      <c r="N88" s="281">
        <f>'3. GRI Pricing'!S98</f>
        <v>70</v>
      </c>
      <c r="O88" s="281">
        <f>'3. GRI Pricing'!Q98</f>
        <v>0</v>
      </c>
      <c r="P88" s="281">
        <f>'3. GRI Pricing'!T98</f>
        <v>-50</v>
      </c>
      <c r="Q88" s="281">
        <f>'3. GRI Pricing'!U98</f>
        <v>0</v>
      </c>
      <c r="R88" s="281">
        <f>'3. GRI Pricing'!V98</f>
        <v>0</v>
      </c>
      <c r="S88" s="281">
        <f>'3. GRI Pricing'!W98</f>
        <v>0</v>
      </c>
      <c r="T88" s="281">
        <f>'3. GRI Pricing'!X98</f>
        <v>0</v>
      </c>
      <c r="U88" s="282">
        <f>'3. GRI Pricing'!Y98</f>
        <v>1275</v>
      </c>
    </row>
    <row r="89" spans="3:21" x14ac:dyDescent="0.2">
      <c r="C89" s="23" t="str">
        <f>'3. GRI Pricing'!C99</f>
        <v>603N</v>
      </c>
      <c r="D89" s="16" t="str">
        <f>'3. GRI Pricing'!D99</f>
        <v>2 Bed</v>
      </c>
      <c r="E89" s="16">
        <f>'3. GRI Pricing'!E99</f>
        <v>2</v>
      </c>
      <c r="F89" s="16">
        <f>'3. GRI Pricing'!F99</f>
        <v>657</v>
      </c>
      <c r="G89" s="16">
        <f>'3. GRI Pricing'!G99</f>
        <v>6</v>
      </c>
      <c r="H89" s="16" t="str">
        <f>'3. GRI Pricing'!H99</f>
        <v>Courtyard</v>
      </c>
      <c r="I89" s="280">
        <f>'3. GRI Pricing'!K99</f>
        <v>1110</v>
      </c>
      <c r="J89" s="281">
        <f>'3. GRI Pricing'!O99</f>
        <v>80</v>
      </c>
      <c r="K89" s="281">
        <f>'3. GRI Pricing'!L99</f>
        <v>0</v>
      </c>
      <c r="L89" s="281">
        <f>'3. GRI Pricing'!P99</f>
        <v>25</v>
      </c>
      <c r="M89" s="281">
        <f>'3. GRI Pricing'!R99</f>
        <v>0</v>
      </c>
      <c r="N89" s="281">
        <f>'3. GRI Pricing'!S99</f>
        <v>70</v>
      </c>
      <c r="O89" s="281">
        <f>'3. GRI Pricing'!Q99</f>
        <v>0</v>
      </c>
      <c r="P89" s="281">
        <f>'3. GRI Pricing'!T99</f>
        <v>-50</v>
      </c>
      <c r="Q89" s="281">
        <f>'3. GRI Pricing'!U99</f>
        <v>0</v>
      </c>
      <c r="R89" s="281">
        <f>'3. GRI Pricing'!V99</f>
        <v>0</v>
      </c>
      <c r="S89" s="281">
        <f>'3. GRI Pricing'!W99</f>
        <v>0</v>
      </c>
      <c r="T89" s="281">
        <f>'3. GRI Pricing'!X99</f>
        <v>0</v>
      </c>
      <c r="U89" s="282">
        <f>'3. GRI Pricing'!Y99</f>
        <v>1255</v>
      </c>
    </row>
    <row r="90" spans="3:21" x14ac:dyDescent="0.2">
      <c r="C90" s="23" t="str">
        <f>'3. GRI Pricing'!C100</f>
        <v>604N</v>
      </c>
      <c r="D90" s="16" t="str">
        <f>'3. GRI Pricing'!D100</f>
        <v>3 Bed</v>
      </c>
      <c r="E90" s="16">
        <f>'3. GRI Pricing'!E100</f>
        <v>2</v>
      </c>
      <c r="F90" s="16">
        <f>'3. GRI Pricing'!F100</f>
        <v>818</v>
      </c>
      <c r="G90" s="16">
        <f>'3. GRI Pricing'!G100</f>
        <v>6</v>
      </c>
      <c r="H90" s="16" t="str">
        <f>'3. GRI Pricing'!H100</f>
        <v>Pottery Lane</v>
      </c>
      <c r="I90" s="280">
        <f>'3. GRI Pricing'!K100</f>
        <v>1485</v>
      </c>
      <c r="J90" s="281">
        <f>'3. GRI Pricing'!O100</f>
        <v>80</v>
      </c>
      <c r="K90" s="281">
        <f>'3. GRI Pricing'!L100</f>
        <v>0</v>
      </c>
      <c r="L90" s="281">
        <f>'3. GRI Pricing'!P100</f>
        <v>10</v>
      </c>
      <c r="M90" s="281">
        <f>'3. GRI Pricing'!R100</f>
        <v>0</v>
      </c>
      <c r="N90" s="281">
        <f>'3. GRI Pricing'!S100</f>
        <v>70</v>
      </c>
      <c r="O90" s="281">
        <f>'3. GRI Pricing'!Q100</f>
        <v>0</v>
      </c>
      <c r="P90" s="281">
        <f>'3. GRI Pricing'!T100</f>
        <v>-50</v>
      </c>
      <c r="Q90" s="281">
        <f>'3. GRI Pricing'!U100</f>
        <v>0</v>
      </c>
      <c r="R90" s="281">
        <f>'3. GRI Pricing'!V100</f>
        <v>0</v>
      </c>
      <c r="S90" s="281">
        <f>'3. GRI Pricing'!W100</f>
        <v>0</v>
      </c>
      <c r="T90" s="281">
        <f>'3. GRI Pricing'!X100</f>
        <v>0</v>
      </c>
      <c r="U90" s="282">
        <f>'3. GRI Pricing'!Y100</f>
        <v>1645</v>
      </c>
    </row>
    <row r="91" spans="3:21" x14ac:dyDescent="0.2">
      <c r="C91" s="23" t="str">
        <f>'3. GRI Pricing'!C101</f>
        <v>605N</v>
      </c>
      <c r="D91" s="16" t="str">
        <f>'3. GRI Pricing'!D101</f>
        <v>2 Bed</v>
      </c>
      <c r="E91" s="16">
        <f>'3. GRI Pricing'!E101</f>
        <v>2</v>
      </c>
      <c r="F91" s="16">
        <f>'3. GRI Pricing'!F101</f>
        <v>667</v>
      </c>
      <c r="G91" s="16">
        <f>'3. GRI Pricing'!G101</f>
        <v>6</v>
      </c>
      <c r="H91" s="16" t="str">
        <f>'3. GRI Pricing'!H101</f>
        <v>Forth Banks/Pottery Lane</v>
      </c>
      <c r="I91" s="280">
        <f>'3. GRI Pricing'!K101</f>
        <v>1110</v>
      </c>
      <c r="J91" s="281">
        <f>'3. GRI Pricing'!O101</f>
        <v>80</v>
      </c>
      <c r="K91" s="281">
        <f>'3. GRI Pricing'!L101</f>
        <v>0</v>
      </c>
      <c r="L91" s="281">
        <f>'3. GRI Pricing'!P101</f>
        <v>10</v>
      </c>
      <c r="M91" s="281">
        <f>'3. GRI Pricing'!R101</f>
        <v>0</v>
      </c>
      <c r="N91" s="281">
        <f>'3. GRI Pricing'!S101</f>
        <v>70</v>
      </c>
      <c r="O91" s="281">
        <f>'3. GRI Pricing'!Q101</f>
        <v>0</v>
      </c>
      <c r="P91" s="281">
        <f>'3. GRI Pricing'!T101</f>
        <v>-50</v>
      </c>
      <c r="Q91" s="281">
        <f>'3. GRI Pricing'!U101</f>
        <v>0</v>
      </c>
      <c r="R91" s="281">
        <f>'3. GRI Pricing'!V101</f>
        <v>0</v>
      </c>
      <c r="S91" s="281">
        <f>'3. GRI Pricing'!W101</f>
        <v>0</v>
      </c>
      <c r="T91" s="281">
        <f>'3. GRI Pricing'!X101</f>
        <v>0</v>
      </c>
      <c r="U91" s="282">
        <f>'3. GRI Pricing'!Y101</f>
        <v>1250</v>
      </c>
    </row>
    <row r="92" spans="3:21" x14ac:dyDescent="0.2">
      <c r="C92" s="23" t="str">
        <f>'3. GRI Pricing'!C102</f>
        <v>606N</v>
      </c>
      <c r="D92" s="16" t="str">
        <f>'3. GRI Pricing'!D102</f>
        <v>1 Bed</v>
      </c>
      <c r="E92" s="16">
        <f>'3. GRI Pricing'!E102</f>
        <v>1</v>
      </c>
      <c r="F92" s="16">
        <f>'3. GRI Pricing'!F102</f>
        <v>441</v>
      </c>
      <c r="G92" s="16">
        <f>'3. GRI Pricing'!G102</f>
        <v>6</v>
      </c>
      <c r="H92" s="16" t="str">
        <f>'3. GRI Pricing'!H102</f>
        <v>Forth Banks</v>
      </c>
      <c r="I92" s="280">
        <f>'3. GRI Pricing'!K102</f>
        <v>845</v>
      </c>
      <c r="J92" s="281">
        <f>'3. GRI Pricing'!O102</f>
        <v>80</v>
      </c>
      <c r="K92" s="281">
        <f>'3. GRI Pricing'!L102</f>
        <v>0</v>
      </c>
      <c r="L92" s="281">
        <f>'3. GRI Pricing'!P102</f>
        <v>5</v>
      </c>
      <c r="M92" s="281">
        <f>'3. GRI Pricing'!R102</f>
        <v>0</v>
      </c>
      <c r="N92" s="281">
        <f>'3. GRI Pricing'!S102</f>
        <v>70</v>
      </c>
      <c r="O92" s="281">
        <f>'3. GRI Pricing'!Q102</f>
        <v>0</v>
      </c>
      <c r="P92" s="281">
        <f>'3. GRI Pricing'!T102</f>
        <v>-50</v>
      </c>
      <c r="Q92" s="281">
        <f>'3. GRI Pricing'!U102</f>
        <v>0</v>
      </c>
      <c r="R92" s="281">
        <f>'3. GRI Pricing'!V102</f>
        <v>0</v>
      </c>
      <c r="S92" s="281">
        <f>'3. GRI Pricing'!W102</f>
        <v>0</v>
      </c>
      <c r="T92" s="281">
        <f>'3. GRI Pricing'!X102</f>
        <v>0</v>
      </c>
      <c r="U92" s="282">
        <f>'3. GRI Pricing'!Y102</f>
        <v>950</v>
      </c>
    </row>
    <row r="93" spans="3:21" x14ac:dyDescent="0.2">
      <c r="C93" s="23" t="str">
        <f>'3. GRI Pricing'!C103</f>
        <v>607N</v>
      </c>
      <c r="D93" s="16" t="str">
        <f>'3. GRI Pricing'!D103</f>
        <v>2 Bed</v>
      </c>
      <c r="E93" s="16">
        <f>'3. GRI Pricing'!E103</f>
        <v>2</v>
      </c>
      <c r="F93" s="16">
        <f>'3. GRI Pricing'!F103</f>
        <v>624</v>
      </c>
      <c r="G93" s="16">
        <f>'3. GRI Pricing'!G103</f>
        <v>6</v>
      </c>
      <c r="H93" s="16" t="str">
        <f>'3. GRI Pricing'!H103</f>
        <v>Forth Banks</v>
      </c>
      <c r="I93" s="280">
        <f>'3. GRI Pricing'!K103</f>
        <v>1110</v>
      </c>
      <c r="J93" s="281">
        <f>'3. GRI Pricing'!O103</f>
        <v>80</v>
      </c>
      <c r="K93" s="281">
        <f>'3. GRI Pricing'!L103</f>
        <v>0</v>
      </c>
      <c r="L93" s="281">
        <f>'3. GRI Pricing'!P103</f>
        <v>5</v>
      </c>
      <c r="M93" s="281">
        <f>'3. GRI Pricing'!R103</f>
        <v>0</v>
      </c>
      <c r="N93" s="281">
        <f>'3. GRI Pricing'!S103</f>
        <v>70</v>
      </c>
      <c r="O93" s="281">
        <f>'3. GRI Pricing'!Q103</f>
        <v>0</v>
      </c>
      <c r="P93" s="281">
        <f>'3. GRI Pricing'!T103</f>
        <v>-50</v>
      </c>
      <c r="Q93" s="281">
        <f>'3. GRI Pricing'!U103</f>
        <v>0</v>
      </c>
      <c r="R93" s="281">
        <f>'3. GRI Pricing'!V103</f>
        <v>0</v>
      </c>
      <c r="S93" s="281">
        <f>'3. GRI Pricing'!W103</f>
        <v>0</v>
      </c>
      <c r="T93" s="281">
        <f>'3. GRI Pricing'!X103</f>
        <v>0</v>
      </c>
      <c r="U93" s="282">
        <f>'3. GRI Pricing'!Y103</f>
        <v>1225</v>
      </c>
    </row>
    <row r="94" spans="3:21" x14ac:dyDescent="0.2">
      <c r="C94" s="23" t="str">
        <f>'3. GRI Pricing'!C104</f>
        <v>608N</v>
      </c>
      <c r="D94" s="16" t="str">
        <f>'3. GRI Pricing'!D104</f>
        <v>2 Bed</v>
      </c>
      <c r="E94" s="16">
        <f>'3. GRI Pricing'!E104</f>
        <v>2</v>
      </c>
      <c r="F94" s="16">
        <f>'3. GRI Pricing'!F104</f>
        <v>624</v>
      </c>
      <c r="G94" s="16">
        <f>'3. GRI Pricing'!G104</f>
        <v>6</v>
      </c>
      <c r="H94" s="16" t="str">
        <f>'3. GRI Pricing'!H104</f>
        <v>Forth Banks</v>
      </c>
      <c r="I94" s="280">
        <f>'3. GRI Pricing'!K104</f>
        <v>1110</v>
      </c>
      <c r="J94" s="281">
        <f>'3. GRI Pricing'!O104</f>
        <v>80</v>
      </c>
      <c r="K94" s="281">
        <f>'3. GRI Pricing'!L104</f>
        <v>0</v>
      </c>
      <c r="L94" s="281">
        <f>'3. GRI Pricing'!P104</f>
        <v>5</v>
      </c>
      <c r="M94" s="281">
        <f>'3. GRI Pricing'!R104</f>
        <v>0</v>
      </c>
      <c r="N94" s="281">
        <f>'3. GRI Pricing'!S104</f>
        <v>70</v>
      </c>
      <c r="O94" s="281">
        <f>'3. GRI Pricing'!Q104</f>
        <v>0</v>
      </c>
      <c r="P94" s="281">
        <f>'3. GRI Pricing'!T104</f>
        <v>-50</v>
      </c>
      <c r="Q94" s="281">
        <f>'3. GRI Pricing'!U104</f>
        <v>0</v>
      </c>
      <c r="R94" s="281">
        <f>'3. GRI Pricing'!V104</f>
        <v>0</v>
      </c>
      <c r="S94" s="281">
        <f>'3. GRI Pricing'!W104</f>
        <v>0</v>
      </c>
      <c r="T94" s="281">
        <f>'3. GRI Pricing'!X104</f>
        <v>0</v>
      </c>
      <c r="U94" s="282">
        <f>'3. GRI Pricing'!Y104</f>
        <v>1225</v>
      </c>
    </row>
    <row r="95" spans="3:21" x14ac:dyDescent="0.2">
      <c r="C95" s="23" t="str">
        <f>'3. GRI Pricing'!C105</f>
        <v>609N</v>
      </c>
      <c r="D95" s="16" t="str">
        <f>'3. GRI Pricing'!D105</f>
        <v>2 Bed</v>
      </c>
      <c r="E95" s="16">
        <f>'3. GRI Pricing'!E105</f>
        <v>2</v>
      </c>
      <c r="F95" s="16">
        <f>'3. GRI Pricing'!F105</f>
        <v>657</v>
      </c>
      <c r="G95" s="16">
        <f>'3. GRI Pricing'!G105</f>
        <v>6</v>
      </c>
      <c r="H95" s="16" t="str">
        <f>'3. GRI Pricing'!H105</f>
        <v>River - Partial</v>
      </c>
      <c r="I95" s="280">
        <f>'3. GRI Pricing'!K105</f>
        <v>1110</v>
      </c>
      <c r="J95" s="281">
        <f>'3. GRI Pricing'!O105</f>
        <v>80</v>
      </c>
      <c r="K95" s="281">
        <f>'3. GRI Pricing'!L105</f>
        <v>0</v>
      </c>
      <c r="L95" s="281">
        <f>'3. GRI Pricing'!P105</f>
        <v>45</v>
      </c>
      <c r="M95" s="281">
        <f>'3. GRI Pricing'!R105</f>
        <v>0</v>
      </c>
      <c r="N95" s="281">
        <f>'3. GRI Pricing'!S105</f>
        <v>70</v>
      </c>
      <c r="O95" s="281">
        <f>'3. GRI Pricing'!Q105</f>
        <v>0</v>
      </c>
      <c r="P95" s="281">
        <f>'3. GRI Pricing'!T105</f>
        <v>-50</v>
      </c>
      <c r="Q95" s="281">
        <f>'3. GRI Pricing'!U105</f>
        <v>0</v>
      </c>
      <c r="R95" s="281">
        <f>'3. GRI Pricing'!V105</f>
        <v>0</v>
      </c>
      <c r="S95" s="281">
        <f>'3. GRI Pricing'!W105</f>
        <v>0</v>
      </c>
      <c r="T95" s="281">
        <f>'3. GRI Pricing'!X105</f>
        <v>0</v>
      </c>
      <c r="U95" s="282">
        <f>'3. GRI Pricing'!Y105</f>
        <v>1275</v>
      </c>
    </row>
    <row r="96" spans="3:21" x14ac:dyDescent="0.2">
      <c r="C96" s="23" t="str">
        <f>'3. GRI Pricing'!C106</f>
        <v>610N</v>
      </c>
      <c r="D96" s="16" t="str">
        <f>'3. GRI Pricing'!D106</f>
        <v>2 Bed</v>
      </c>
      <c r="E96" s="16">
        <f>'3. GRI Pricing'!E106</f>
        <v>2</v>
      </c>
      <c r="F96" s="16">
        <f>'3. GRI Pricing'!F106</f>
        <v>700</v>
      </c>
      <c r="G96" s="16">
        <f>'3. GRI Pricing'!G106</f>
        <v>6</v>
      </c>
      <c r="H96" s="16" t="str">
        <f>'3. GRI Pricing'!H106</f>
        <v>Forth Banks - Partial</v>
      </c>
      <c r="I96" s="280">
        <f>'3. GRI Pricing'!K106</f>
        <v>1110</v>
      </c>
      <c r="J96" s="281">
        <f>'3. GRI Pricing'!O106</f>
        <v>80</v>
      </c>
      <c r="K96" s="281">
        <f>'3. GRI Pricing'!L106</f>
        <v>0</v>
      </c>
      <c r="L96" s="281">
        <f>'3. GRI Pricing'!P106</f>
        <v>40</v>
      </c>
      <c r="M96" s="281">
        <f>'3. GRI Pricing'!R106</f>
        <v>0</v>
      </c>
      <c r="N96" s="281">
        <f>'3. GRI Pricing'!S106</f>
        <v>70</v>
      </c>
      <c r="O96" s="281">
        <f>'3. GRI Pricing'!Q106</f>
        <v>0</v>
      </c>
      <c r="P96" s="281">
        <f>'3. GRI Pricing'!T106</f>
        <v>-50</v>
      </c>
      <c r="Q96" s="281">
        <f>'3. GRI Pricing'!U106</f>
        <v>0</v>
      </c>
      <c r="R96" s="281">
        <f>'3. GRI Pricing'!V106</f>
        <v>0</v>
      </c>
      <c r="S96" s="281">
        <f>'3. GRI Pricing'!W106</f>
        <v>0</v>
      </c>
      <c r="T96" s="281">
        <f>'3. GRI Pricing'!X106</f>
        <v>0</v>
      </c>
      <c r="U96" s="282">
        <f>'3. GRI Pricing'!Y106</f>
        <v>1320</v>
      </c>
    </row>
    <row r="97" spans="3:21" x14ac:dyDescent="0.2">
      <c r="C97" s="23" t="str">
        <f>'3. GRI Pricing'!C107</f>
        <v>611N</v>
      </c>
      <c r="D97" s="16" t="str">
        <f>'3. GRI Pricing'!D107</f>
        <v>2 Bed</v>
      </c>
      <c r="E97" s="16">
        <f>'3. GRI Pricing'!E107</f>
        <v>2</v>
      </c>
      <c r="F97" s="16">
        <f>'3. GRI Pricing'!F107</f>
        <v>689</v>
      </c>
      <c r="G97" s="16">
        <f>'3. GRI Pricing'!G107</f>
        <v>6</v>
      </c>
      <c r="H97" s="16" t="str">
        <f>'3. GRI Pricing'!H107</f>
        <v>Courtyard - dual</v>
      </c>
      <c r="I97" s="280">
        <f>'3. GRI Pricing'!K107</f>
        <v>1110</v>
      </c>
      <c r="J97" s="281">
        <f>'3. GRI Pricing'!O107</f>
        <v>80</v>
      </c>
      <c r="K97" s="281">
        <f>'3. GRI Pricing'!L107</f>
        <v>0</v>
      </c>
      <c r="L97" s="281">
        <f>'3. GRI Pricing'!P107</f>
        <v>55</v>
      </c>
      <c r="M97" s="281">
        <f>'3. GRI Pricing'!R107</f>
        <v>0</v>
      </c>
      <c r="N97" s="281">
        <f>'3. GRI Pricing'!S107</f>
        <v>70</v>
      </c>
      <c r="O97" s="281">
        <f>'3. GRI Pricing'!Q107</f>
        <v>0</v>
      </c>
      <c r="P97" s="281">
        <f>'3. GRI Pricing'!T107</f>
        <v>-50</v>
      </c>
      <c r="Q97" s="281">
        <f>'3. GRI Pricing'!U107</f>
        <v>0</v>
      </c>
      <c r="R97" s="281">
        <f>'3. GRI Pricing'!V107</f>
        <v>0</v>
      </c>
      <c r="S97" s="281">
        <f>'3. GRI Pricing'!W107</f>
        <v>0</v>
      </c>
      <c r="T97" s="281">
        <f>'3. GRI Pricing'!X107</f>
        <v>0</v>
      </c>
      <c r="U97" s="282">
        <f>'3. GRI Pricing'!Y107</f>
        <v>1330</v>
      </c>
    </row>
    <row r="98" spans="3:21" x14ac:dyDescent="0.2">
      <c r="C98" s="23" t="str">
        <f>'3. GRI Pricing'!C108</f>
        <v>612N</v>
      </c>
      <c r="D98" s="16" t="str">
        <f>'3. GRI Pricing'!D108</f>
        <v>1 Bed</v>
      </c>
      <c r="E98" s="16">
        <f>'3. GRI Pricing'!E108</f>
        <v>1</v>
      </c>
      <c r="F98" s="16">
        <f>'3. GRI Pricing'!F108</f>
        <v>517</v>
      </c>
      <c r="G98" s="16">
        <f>'3. GRI Pricing'!G108</f>
        <v>6</v>
      </c>
      <c r="H98" s="16" t="str">
        <f>'3. GRI Pricing'!H108</f>
        <v>Courtyard - dual</v>
      </c>
      <c r="I98" s="280">
        <f>'3. GRI Pricing'!K108</f>
        <v>845</v>
      </c>
      <c r="J98" s="281">
        <f>'3. GRI Pricing'!O108</f>
        <v>80</v>
      </c>
      <c r="K98" s="281">
        <f>'3. GRI Pricing'!L108</f>
        <v>0</v>
      </c>
      <c r="L98" s="281">
        <f>'3. GRI Pricing'!P108</f>
        <v>55</v>
      </c>
      <c r="M98" s="281">
        <f>'3. GRI Pricing'!R108</f>
        <v>0</v>
      </c>
      <c r="N98" s="281">
        <f>'3. GRI Pricing'!S108</f>
        <v>70</v>
      </c>
      <c r="O98" s="281">
        <f>'3. GRI Pricing'!Q108</f>
        <v>0</v>
      </c>
      <c r="P98" s="281">
        <f>'3. GRI Pricing'!T108</f>
        <v>-50</v>
      </c>
      <c r="Q98" s="281">
        <f>'3. GRI Pricing'!U108</f>
        <v>0</v>
      </c>
      <c r="R98" s="281">
        <f>'3. GRI Pricing'!V108</f>
        <v>0</v>
      </c>
      <c r="S98" s="281">
        <f>'3. GRI Pricing'!W108</f>
        <v>0</v>
      </c>
      <c r="T98" s="281">
        <f>'3. GRI Pricing'!X108</f>
        <v>0</v>
      </c>
      <c r="U98" s="282">
        <f>'3. GRI Pricing'!Y108</f>
        <v>1020</v>
      </c>
    </row>
    <row r="99" spans="3:21" x14ac:dyDescent="0.2">
      <c r="C99" s="23" t="str">
        <f>'3. GRI Pricing'!C109</f>
        <v>613N</v>
      </c>
      <c r="D99" s="16" t="str">
        <f>'3. GRI Pricing'!D109</f>
        <v>1 Bed</v>
      </c>
      <c r="E99" s="16">
        <f>'3. GRI Pricing'!E109</f>
        <v>1</v>
      </c>
      <c r="F99" s="16">
        <f>'3. GRI Pricing'!F109</f>
        <v>549</v>
      </c>
      <c r="G99" s="16">
        <f>'3. GRI Pricing'!G109</f>
        <v>6</v>
      </c>
      <c r="H99" s="16" t="str">
        <f>'3. GRI Pricing'!H109</f>
        <v>Courtyard</v>
      </c>
      <c r="I99" s="280">
        <f>'3. GRI Pricing'!K109</f>
        <v>845</v>
      </c>
      <c r="J99" s="281">
        <f>'3. GRI Pricing'!O109</f>
        <v>80</v>
      </c>
      <c r="K99" s="281">
        <f>'3. GRI Pricing'!L109</f>
        <v>0</v>
      </c>
      <c r="L99" s="281">
        <f>'3. GRI Pricing'!P109</f>
        <v>25</v>
      </c>
      <c r="M99" s="281">
        <f>'3. GRI Pricing'!R109</f>
        <v>0</v>
      </c>
      <c r="N99" s="281">
        <f>'3. GRI Pricing'!S109</f>
        <v>70</v>
      </c>
      <c r="O99" s="281">
        <f>'3. GRI Pricing'!Q109</f>
        <v>0</v>
      </c>
      <c r="P99" s="281">
        <f>'3. GRI Pricing'!T109</f>
        <v>-50</v>
      </c>
      <c r="Q99" s="281">
        <f>'3. GRI Pricing'!U109</f>
        <v>0</v>
      </c>
      <c r="R99" s="281">
        <f>'3. GRI Pricing'!V109</f>
        <v>0</v>
      </c>
      <c r="S99" s="281">
        <f>'3. GRI Pricing'!W109</f>
        <v>0</v>
      </c>
      <c r="T99" s="281">
        <f>'3. GRI Pricing'!X109</f>
        <v>0</v>
      </c>
      <c r="U99" s="282">
        <f>'3. GRI Pricing'!Y109</f>
        <v>995</v>
      </c>
    </row>
    <row r="100" spans="3:21" x14ac:dyDescent="0.2">
      <c r="C100" s="23" t="str">
        <f>'3. GRI Pricing'!C110</f>
        <v>614N</v>
      </c>
      <c r="D100" s="16" t="str">
        <f>'3. GRI Pricing'!D110</f>
        <v>1 Bed</v>
      </c>
      <c r="E100" s="16">
        <f>'3. GRI Pricing'!E110</f>
        <v>1</v>
      </c>
      <c r="F100" s="16">
        <f>'3. GRI Pricing'!F110</f>
        <v>570</v>
      </c>
      <c r="G100" s="16">
        <f>'3. GRI Pricing'!G110</f>
        <v>6</v>
      </c>
      <c r="H100" s="16" t="str">
        <f>'3. GRI Pricing'!H110</f>
        <v>Courtyard</v>
      </c>
      <c r="I100" s="280">
        <f>'3. GRI Pricing'!K110</f>
        <v>845</v>
      </c>
      <c r="J100" s="281">
        <f>'3. GRI Pricing'!O110</f>
        <v>80</v>
      </c>
      <c r="K100" s="281">
        <f>'3. GRI Pricing'!L110</f>
        <v>0</v>
      </c>
      <c r="L100" s="281">
        <f>'3. GRI Pricing'!P110</f>
        <v>25</v>
      </c>
      <c r="M100" s="281">
        <f>'3. GRI Pricing'!R110</f>
        <v>0</v>
      </c>
      <c r="N100" s="281">
        <f>'3. GRI Pricing'!S110</f>
        <v>70</v>
      </c>
      <c r="O100" s="281">
        <f>'3. GRI Pricing'!Q110</f>
        <v>0</v>
      </c>
      <c r="P100" s="281">
        <f>'3. GRI Pricing'!T110</f>
        <v>-50</v>
      </c>
      <c r="Q100" s="281">
        <f>'3. GRI Pricing'!U110</f>
        <v>-25</v>
      </c>
      <c r="R100" s="281">
        <f>'3. GRI Pricing'!V110</f>
        <v>0</v>
      </c>
      <c r="S100" s="281">
        <f>'3. GRI Pricing'!W110</f>
        <v>0</v>
      </c>
      <c r="T100" s="281">
        <f>'3. GRI Pricing'!X110</f>
        <v>0</v>
      </c>
      <c r="U100" s="282">
        <f>'3. GRI Pricing'!Y110</f>
        <v>980</v>
      </c>
    </row>
    <row r="101" spans="3:21" x14ac:dyDescent="0.2">
      <c r="C101" s="23" t="str">
        <f>'3. GRI Pricing'!C111</f>
        <v>615N</v>
      </c>
      <c r="D101" s="16" t="str">
        <f>'3. GRI Pricing'!D111</f>
        <v>2 Bed</v>
      </c>
      <c r="E101" s="16">
        <f>'3. GRI Pricing'!E111</f>
        <v>2</v>
      </c>
      <c r="F101" s="16">
        <f>'3. GRI Pricing'!F111</f>
        <v>624</v>
      </c>
      <c r="G101" s="16">
        <f>'3. GRI Pricing'!G111</f>
        <v>6</v>
      </c>
      <c r="H101" s="16" t="str">
        <f>'3. GRI Pricing'!H111</f>
        <v>Courtyard</v>
      </c>
      <c r="I101" s="280">
        <f>'3. GRI Pricing'!K111</f>
        <v>1110</v>
      </c>
      <c r="J101" s="281">
        <f>'3. GRI Pricing'!O111</f>
        <v>80</v>
      </c>
      <c r="K101" s="281">
        <f>'3. GRI Pricing'!L111</f>
        <v>0</v>
      </c>
      <c r="L101" s="281">
        <f>'3. GRI Pricing'!P111</f>
        <v>25</v>
      </c>
      <c r="M101" s="281">
        <f>'3. GRI Pricing'!R111</f>
        <v>0</v>
      </c>
      <c r="N101" s="281">
        <f>'3. GRI Pricing'!S111</f>
        <v>70</v>
      </c>
      <c r="O101" s="281">
        <f>'3. GRI Pricing'!Q111</f>
        <v>0</v>
      </c>
      <c r="P101" s="281">
        <f>'3. GRI Pricing'!T111</f>
        <v>-50</v>
      </c>
      <c r="Q101" s="281">
        <f>'3. GRI Pricing'!U111</f>
        <v>0</v>
      </c>
      <c r="R101" s="281">
        <f>'3. GRI Pricing'!V111</f>
        <v>0</v>
      </c>
      <c r="S101" s="281">
        <f>'3. GRI Pricing'!W111</f>
        <v>0</v>
      </c>
      <c r="T101" s="281">
        <f>'3. GRI Pricing'!X111</f>
        <v>0</v>
      </c>
      <c r="U101" s="282">
        <f>'3. GRI Pricing'!Y111</f>
        <v>1245</v>
      </c>
    </row>
    <row r="102" spans="3:21" x14ac:dyDescent="0.2">
      <c r="C102" s="23" t="str">
        <f>'3. GRI Pricing'!C112</f>
        <v>616N</v>
      </c>
      <c r="D102" s="16" t="str">
        <f>'3. GRI Pricing'!D112</f>
        <v>2 Bed</v>
      </c>
      <c r="E102" s="16">
        <f>'3. GRI Pricing'!E112</f>
        <v>2</v>
      </c>
      <c r="F102" s="16">
        <f>'3. GRI Pricing'!F112</f>
        <v>624</v>
      </c>
      <c r="G102" s="16">
        <f>'3. GRI Pricing'!G112</f>
        <v>6</v>
      </c>
      <c r="H102" s="16" t="str">
        <f>'3. GRI Pricing'!H112</f>
        <v>Courtyard</v>
      </c>
      <c r="I102" s="280">
        <f>'3. GRI Pricing'!K112</f>
        <v>1110</v>
      </c>
      <c r="J102" s="281">
        <f>'3. GRI Pricing'!O112</f>
        <v>80</v>
      </c>
      <c r="K102" s="281">
        <f>'3. GRI Pricing'!L112</f>
        <v>0</v>
      </c>
      <c r="L102" s="281">
        <f>'3. GRI Pricing'!P112</f>
        <v>25</v>
      </c>
      <c r="M102" s="281">
        <f>'3. GRI Pricing'!R112</f>
        <v>0</v>
      </c>
      <c r="N102" s="281">
        <f>'3. GRI Pricing'!S112</f>
        <v>70</v>
      </c>
      <c r="O102" s="281">
        <f>'3. GRI Pricing'!Q112</f>
        <v>0</v>
      </c>
      <c r="P102" s="281">
        <f>'3. GRI Pricing'!T112</f>
        <v>-50</v>
      </c>
      <c r="Q102" s="281">
        <f>'3. GRI Pricing'!U112</f>
        <v>0</v>
      </c>
      <c r="R102" s="281">
        <f>'3. GRI Pricing'!V112</f>
        <v>0</v>
      </c>
      <c r="S102" s="281">
        <f>'3. GRI Pricing'!W112</f>
        <v>0</v>
      </c>
      <c r="T102" s="281">
        <f>'3. GRI Pricing'!X112</f>
        <v>0</v>
      </c>
      <c r="U102" s="282">
        <f>'3. GRI Pricing'!Y112</f>
        <v>1245</v>
      </c>
    </row>
    <row r="103" spans="3:21" x14ac:dyDescent="0.2">
      <c r="C103" s="23" t="str">
        <f>'3. GRI Pricing'!C113</f>
        <v>701N</v>
      </c>
      <c r="D103" s="16" t="str">
        <f>'3. GRI Pricing'!D113</f>
        <v>1 Bed</v>
      </c>
      <c r="E103" s="16">
        <f>'3. GRI Pricing'!E113</f>
        <v>1</v>
      </c>
      <c r="F103" s="16">
        <f>'3. GRI Pricing'!F113</f>
        <v>495</v>
      </c>
      <c r="G103" s="16">
        <f>'3. GRI Pricing'!G113</f>
        <v>7</v>
      </c>
      <c r="H103" s="16" t="str">
        <f>'3. GRI Pricing'!H113</f>
        <v>Courtyard</v>
      </c>
      <c r="I103" s="280">
        <f>'3. GRI Pricing'!K113</f>
        <v>845</v>
      </c>
      <c r="J103" s="281">
        <f>'3. GRI Pricing'!O113</f>
        <v>90</v>
      </c>
      <c r="K103" s="281">
        <f>'3. GRI Pricing'!L113</f>
        <v>0</v>
      </c>
      <c r="L103" s="281">
        <f>'3. GRI Pricing'!P113</f>
        <v>25</v>
      </c>
      <c r="M103" s="281">
        <f>'3. GRI Pricing'!R113</f>
        <v>0</v>
      </c>
      <c r="N103" s="281">
        <f>'3. GRI Pricing'!S113</f>
        <v>70</v>
      </c>
      <c r="O103" s="281">
        <f>'3. GRI Pricing'!Q113</f>
        <v>0</v>
      </c>
      <c r="P103" s="281">
        <f>'3. GRI Pricing'!T113</f>
        <v>0</v>
      </c>
      <c r="Q103" s="281">
        <f>'3. GRI Pricing'!U113</f>
        <v>0</v>
      </c>
      <c r="R103" s="281">
        <f>'3. GRI Pricing'!V113</f>
        <v>0</v>
      </c>
      <c r="S103" s="281">
        <f>'3. GRI Pricing'!W113</f>
        <v>0</v>
      </c>
      <c r="T103" s="281">
        <f>'3. GRI Pricing'!X113</f>
        <v>0</v>
      </c>
      <c r="U103" s="282">
        <f>'3. GRI Pricing'!Y113</f>
        <v>1045</v>
      </c>
    </row>
    <row r="104" spans="3:21" x14ac:dyDescent="0.2">
      <c r="C104" s="23" t="str">
        <f>'3. GRI Pricing'!C114</f>
        <v>702N</v>
      </c>
      <c r="D104" s="16" t="str">
        <f>'3. GRI Pricing'!D114</f>
        <v>2 Bed</v>
      </c>
      <c r="E104" s="16">
        <f>'3. GRI Pricing'!E114</f>
        <v>2</v>
      </c>
      <c r="F104" s="16">
        <f>'3. GRI Pricing'!F114</f>
        <v>678</v>
      </c>
      <c r="G104" s="16">
        <f>'3. GRI Pricing'!G114</f>
        <v>7</v>
      </c>
      <c r="H104" s="16" t="str">
        <f>'3. GRI Pricing'!H114</f>
        <v>Courtyard</v>
      </c>
      <c r="I104" s="280">
        <f>'3. GRI Pricing'!K114</f>
        <v>1110</v>
      </c>
      <c r="J104" s="281">
        <f>'3. GRI Pricing'!O114</f>
        <v>90</v>
      </c>
      <c r="K104" s="281">
        <f>'3. GRI Pricing'!L114</f>
        <v>0</v>
      </c>
      <c r="L104" s="281">
        <f>'3. GRI Pricing'!P114</f>
        <v>25</v>
      </c>
      <c r="M104" s="281">
        <f>'3. GRI Pricing'!R114</f>
        <v>0</v>
      </c>
      <c r="N104" s="281">
        <f>'3. GRI Pricing'!S114</f>
        <v>70</v>
      </c>
      <c r="O104" s="281">
        <f>'3. GRI Pricing'!Q114</f>
        <v>0</v>
      </c>
      <c r="P104" s="281">
        <f>'3. GRI Pricing'!T114</f>
        <v>0</v>
      </c>
      <c r="Q104" s="281">
        <f>'3. GRI Pricing'!U114</f>
        <v>0</v>
      </c>
      <c r="R104" s="281">
        <f>'3. GRI Pricing'!V114</f>
        <v>0</v>
      </c>
      <c r="S104" s="281">
        <f>'3. GRI Pricing'!W114</f>
        <v>0</v>
      </c>
      <c r="T104" s="281">
        <f>'3. GRI Pricing'!X114</f>
        <v>0</v>
      </c>
      <c r="U104" s="282">
        <f>'3. GRI Pricing'!Y114</f>
        <v>1335</v>
      </c>
    </row>
    <row r="105" spans="3:21" x14ac:dyDescent="0.2">
      <c r="C105" s="23" t="str">
        <f>'3. GRI Pricing'!C115</f>
        <v>703N</v>
      </c>
      <c r="D105" s="16" t="str">
        <f>'3. GRI Pricing'!D115</f>
        <v>2 Bed</v>
      </c>
      <c r="E105" s="16">
        <f>'3. GRI Pricing'!E115</f>
        <v>2</v>
      </c>
      <c r="F105" s="16">
        <f>'3. GRI Pricing'!F115</f>
        <v>657</v>
      </c>
      <c r="G105" s="16">
        <f>'3. GRI Pricing'!G115</f>
        <v>7</v>
      </c>
      <c r="H105" s="16" t="str">
        <f>'3. GRI Pricing'!H115</f>
        <v>Courtyard</v>
      </c>
      <c r="I105" s="280">
        <f>'3. GRI Pricing'!K115</f>
        <v>1110</v>
      </c>
      <c r="J105" s="281">
        <f>'3. GRI Pricing'!O115</f>
        <v>90</v>
      </c>
      <c r="K105" s="281">
        <f>'3. GRI Pricing'!L115</f>
        <v>0</v>
      </c>
      <c r="L105" s="281">
        <f>'3. GRI Pricing'!P115</f>
        <v>25</v>
      </c>
      <c r="M105" s="281">
        <f>'3. GRI Pricing'!R115</f>
        <v>0</v>
      </c>
      <c r="N105" s="281">
        <f>'3. GRI Pricing'!S115</f>
        <v>70</v>
      </c>
      <c r="O105" s="281">
        <f>'3. GRI Pricing'!Q115</f>
        <v>0</v>
      </c>
      <c r="P105" s="281">
        <f>'3. GRI Pricing'!T115</f>
        <v>0</v>
      </c>
      <c r="Q105" s="281">
        <f>'3. GRI Pricing'!U115</f>
        <v>0</v>
      </c>
      <c r="R105" s="281">
        <f>'3. GRI Pricing'!V115</f>
        <v>0</v>
      </c>
      <c r="S105" s="281">
        <f>'3. GRI Pricing'!W115</f>
        <v>0</v>
      </c>
      <c r="T105" s="281">
        <f>'3. GRI Pricing'!X115</f>
        <v>0</v>
      </c>
      <c r="U105" s="282">
        <f>'3. GRI Pricing'!Y115</f>
        <v>1315</v>
      </c>
    </row>
    <row r="106" spans="3:21" x14ac:dyDescent="0.2">
      <c r="C106" s="23" t="str">
        <f>'3. GRI Pricing'!C116</f>
        <v>704N</v>
      </c>
      <c r="D106" s="16" t="str">
        <f>'3. GRI Pricing'!D116</f>
        <v>3 Bed</v>
      </c>
      <c r="E106" s="16">
        <f>'3. GRI Pricing'!E116</f>
        <v>2</v>
      </c>
      <c r="F106" s="16">
        <f>'3. GRI Pricing'!F116</f>
        <v>818</v>
      </c>
      <c r="G106" s="16">
        <f>'3. GRI Pricing'!G116</f>
        <v>7</v>
      </c>
      <c r="H106" s="16" t="str">
        <f>'3. GRI Pricing'!H116</f>
        <v>Pottery Lane</v>
      </c>
      <c r="I106" s="280">
        <f>'3. GRI Pricing'!K116</f>
        <v>1485</v>
      </c>
      <c r="J106" s="281">
        <f>'3. GRI Pricing'!O116</f>
        <v>90</v>
      </c>
      <c r="K106" s="281">
        <f>'3. GRI Pricing'!L116</f>
        <v>0</v>
      </c>
      <c r="L106" s="281">
        <f>'3. GRI Pricing'!P116</f>
        <v>10</v>
      </c>
      <c r="M106" s="281">
        <f>'3. GRI Pricing'!R116</f>
        <v>0</v>
      </c>
      <c r="N106" s="281">
        <f>'3. GRI Pricing'!S116</f>
        <v>70</v>
      </c>
      <c r="O106" s="281">
        <f>'3. GRI Pricing'!Q116</f>
        <v>0</v>
      </c>
      <c r="P106" s="281">
        <f>'3. GRI Pricing'!T116</f>
        <v>0</v>
      </c>
      <c r="Q106" s="281">
        <f>'3. GRI Pricing'!U116</f>
        <v>0</v>
      </c>
      <c r="R106" s="281">
        <f>'3. GRI Pricing'!V116</f>
        <v>0</v>
      </c>
      <c r="S106" s="281">
        <f>'3. GRI Pricing'!W116</f>
        <v>0</v>
      </c>
      <c r="T106" s="281">
        <f>'3. GRI Pricing'!X116</f>
        <v>0</v>
      </c>
      <c r="U106" s="282">
        <f>'3. GRI Pricing'!Y116</f>
        <v>1705</v>
      </c>
    </row>
    <row r="107" spans="3:21" x14ac:dyDescent="0.2">
      <c r="C107" s="23" t="str">
        <f>'3. GRI Pricing'!C117</f>
        <v>705N</v>
      </c>
      <c r="D107" s="16" t="str">
        <f>'3. GRI Pricing'!D117</f>
        <v>2 Bed</v>
      </c>
      <c r="E107" s="16">
        <f>'3. GRI Pricing'!E117</f>
        <v>2</v>
      </c>
      <c r="F107" s="16">
        <f>'3. GRI Pricing'!F117</f>
        <v>646</v>
      </c>
      <c r="G107" s="16">
        <f>'3. GRI Pricing'!G117</f>
        <v>7</v>
      </c>
      <c r="H107" s="16" t="str">
        <f>'3. GRI Pricing'!H117</f>
        <v>Forth Banks</v>
      </c>
      <c r="I107" s="280">
        <f>'3. GRI Pricing'!K117</f>
        <v>1110</v>
      </c>
      <c r="J107" s="281">
        <f>'3. GRI Pricing'!O117</f>
        <v>90</v>
      </c>
      <c r="K107" s="281">
        <f>'3. GRI Pricing'!L117</f>
        <v>0</v>
      </c>
      <c r="L107" s="281">
        <f>'3. GRI Pricing'!P117</f>
        <v>5</v>
      </c>
      <c r="M107" s="281">
        <f>'3. GRI Pricing'!R117</f>
        <v>0</v>
      </c>
      <c r="N107" s="281">
        <f>'3. GRI Pricing'!S117</f>
        <v>70</v>
      </c>
      <c r="O107" s="281">
        <f>'3. GRI Pricing'!Q117</f>
        <v>0</v>
      </c>
      <c r="P107" s="281">
        <f>'3. GRI Pricing'!T117</f>
        <v>0</v>
      </c>
      <c r="Q107" s="281">
        <f>'3. GRI Pricing'!U117</f>
        <v>0</v>
      </c>
      <c r="R107" s="281">
        <f>'3. GRI Pricing'!V117</f>
        <v>0</v>
      </c>
      <c r="S107" s="281">
        <f>'3. GRI Pricing'!W117</f>
        <v>0</v>
      </c>
      <c r="T107" s="281">
        <f>'3. GRI Pricing'!X117</f>
        <v>0</v>
      </c>
      <c r="U107" s="282">
        <f>'3. GRI Pricing'!Y117</f>
        <v>1295</v>
      </c>
    </row>
    <row r="108" spans="3:21" x14ac:dyDescent="0.2">
      <c r="C108" s="23" t="str">
        <f>'3. GRI Pricing'!C118</f>
        <v>706N</v>
      </c>
      <c r="D108" s="16" t="str">
        <f>'3. GRI Pricing'!D118</f>
        <v>2 Bed</v>
      </c>
      <c r="E108" s="16">
        <f>'3. GRI Pricing'!E118</f>
        <v>2</v>
      </c>
      <c r="F108" s="16">
        <f>'3. GRI Pricing'!F118</f>
        <v>624</v>
      </c>
      <c r="G108" s="16">
        <f>'3. GRI Pricing'!G118</f>
        <v>7</v>
      </c>
      <c r="H108" s="16" t="str">
        <f>'3. GRI Pricing'!H118</f>
        <v>Forth Banks</v>
      </c>
      <c r="I108" s="280">
        <f>'3. GRI Pricing'!K118</f>
        <v>1110</v>
      </c>
      <c r="J108" s="281">
        <f>'3. GRI Pricing'!O118</f>
        <v>90</v>
      </c>
      <c r="K108" s="281">
        <f>'3. GRI Pricing'!L118</f>
        <v>0</v>
      </c>
      <c r="L108" s="281">
        <f>'3. GRI Pricing'!P118</f>
        <v>5</v>
      </c>
      <c r="M108" s="281">
        <f>'3. GRI Pricing'!R118</f>
        <v>0</v>
      </c>
      <c r="N108" s="281">
        <f>'3. GRI Pricing'!S118</f>
        <v>70</v>
      </c>
      <c r="O108" s="281">
        <f>'3. GRI Pricing'!Q118</f>
        <v>0</v>
      </c>
      <c r="P108" s="281">
        <f>'3. GRI Pricing'!T118</f>
        <v>0</v>
      </c>
      <c r="Q108" s="281">
        <f>'3. GRI Pricing'!U118</f>
        <v>0</v>
      </c>
      <c r="R108" s="281">
        <f>'3. GRI Pricing'!V118</f>
        <v>0</v>
      </c>
      <c r="S108" s="281">
        <f>'3. GRI Pricing'!W118</f>
        <v>0</v>
      </c>
      <c r="T108" s="281">
        <f>'3. GRI Pricing'!X118</f>
        <v>0</v>
      </c>
      <c r="U108" s="282">
        <f>'3. GRI Pricing'!Y118</f>
        <v>1285</v>
      </c>
    </row>
    <row r="109" spans="3:21" x14ac:dyDescent="0.2">
      <c r="C109" s="23" t="str">
        <f>'3. GRI Pricing'!C119</f>
        <v>707N</v>
      </c>
      <c r="D109" s="16" t="str">
        <f>'3. GRI Pricing'!D119</f>
        <v>2 Bed</v>
      </c>
      <c r="E109" s="16">
        <f>'3. GRI Pricing'!E119</f>
        <v>2</v>
      </c>
      <c r="F109" s="16">
        <f>'3. GRI Pricing'!F119</f>
        <v>624</v>
      </c>
      <c r="G109" s="16">
        <f>'3. GRI Pricing'!G119</f>
        <v>7</v>
      </c>
      <c r="H109" s="16" t="str">
        <f>'3. GRI Pricing'!H119</f>
        <v>Forth Banks</v>
      </c>
      <c r="I109" s="280">
        <f>'3. GRI Pricing'!K119</f>
        <v>1110</v>
      </c>
      <c r="J109" s="281">
        <f>'3. GRI Pricing'!O119</f>
        <v>90</v>
      </c>
      <c r="K109" s="281">
        <f>'3. GRI Pricing'!L119</f>
        <v>0</v>
      </c>
      <c r="L109" s="281">
        <f>'3. GRI Pricing'!P119</f>
        <v>5</v>
      </c>
      <c r="M109" s="281">
        <f>'3. GRI Pricing'!R119</f>
        <v>0</v>
      </c>
      <c r="N109" s="281">
        <f>'3. GRI Pricing'!S119</f>
        <v>70</v>
      </c>
      <c r="O109" s="281">
        <f>'3. GRI Pricing'!Q119</f>
        <v>0</v>
      </c>
      <c r="P109" s="281">
        <f>'3. GRI Pricing'!T119</f>
        <v>0</v>
      </c>
      <c r="Q109" s="281">
        <f>'3. GRI Pricing'!U119</f>
        <v>0</v>
      </c>
      <c r="R109" s="281">
        <f>'3. GRI Pricing'!V119</f>
        <v>0</v>
      </c>
      <c r="S109" s="281">
        <f>'3. GRI Pricing'!W119</f>
        <v>0</v>
      </c>
      <c r="T109" s="281">
        <f>'3. GRI Pricing'!X119</f>
        <v>0</v>
      </c>
      <c r="U109" s="282">
        <f>'3. GRI Pricing'!Y119</f>
        <v>1285</v>
      </c>
    </row>
    <row r="110" spans="3:21" x14ac:dyDescent="0.2">
      <c r="C110" s="23" t="str">
        <f>'3. GRI Pricing'!C120</f>
        <v>708N</v>
      </c>
      <c r="D110" s="16" t="str">
        <f>'3. GRI Pricing'!D120</f>
        <v>2 Bed</v>
      </c>
      <c r="E110" s="16">
        <f>'3. GRI Pricing'!E120</f>
        <v>2</v>
      </c>
      <c r="F110" s="16">
        <f>'3. GRI Pricing'!F120</f>
        <v>657</v>
      </c>
      <c r="G110" s="16">
        <f>'3. GRI Pricing'!G120</f>
        <v>7</v>
      </c>
      <c r="H110" s="16" t="str">
        <f>'3. GRI Pricing'!H120</f>
        <v>River - Partial</v>
      </c>
      <c r="I110" s="280">
        <f>'3. GRI Pricing'!K120</f>
        <v>1110</v>
      </c>
      <c r="J110" s="281">
        <f>'3. GRI Pricing'!O120</f>
        <v>90</v>
      </c>
      <c r="K110" s="281">
        <f>'3. GRI Pricing'!L120</f>
        <v>0</v>
      </c>
      <c r="L110" s="281">
        <f>'3. GRI Pricing'!P120</f>
        <v>45</v>
      </c>
      <c r="M110" s="281">
        <f>'3. GRI Pricing'!R120</f>
        <v>0</v>
      </c>
      <c r="N110" s="281">
        <f>'3. GRI Pricing'!S120</f>
        <v>70</v>
      </c>
      <c r="O110" s="281">
        <f>'3. GRI Pricing'!Q120</f>
        <v>0</v>
      </c>
      <c r="P110" s="281">
        <f>'3. GRI Pricing'!T120</f>
        <v>0</v>
      </c>
      <c r="Q110" s="281">
        <f>'3. GRI Pricing'!U120</f>
        <v>0</v>
      </c>
      <c r="R110" s="281">
        <f>'3. GRI Pricing'!V120</f>
        <v>0</v>
      </c>
      <c r="S110" s="281">
        <f>'3. GRI Pricing'!W120</f>
        <v>0</v>
      </c>
      <c r="T110" s="281">
        <f>'3. GRI Pricing'!X120</f>
        <v>0</v>
      </c>
      <c r="U110" s="282">
        <f>'3. GRI Pricing'!Y120</f>
        <v>1335</v>
      </c>
    </row>
    <row r="111" spans="3:21" x14ac:dyDescent="0.2">
      <c r="C111" s="23" t="str">
        <f>'3. GRI Pricing'!C121</f>
        <v>709N</v>
      </c>
      <c r="D111" s="16" t="str">
        <f>'3. GRI Pricing'!D121</f>
        <v>2 Bed</v>
      </c>
      <c r="E111" s="16">
        <f>'3. GRI Pricing'!E121</f>
        <v>2</v>
      </c>
      <c r="F111" s="16">
        <f>'3. GRI Pricing'!F121</f>
        <v>700</v>
      </c>
      <c r="G111" s="16">
        <f>'3. GRI Pricing'!G121</f>
        <v>7</v>
      </c>
      <c r="H111" s="16" t="str">
        <f>'3. GRI Pricing'!H121</f>
        <v>Forth Banks - Partial</v>
      </c>
      <c r="I111" s="280">
        <f>'3. GRI Pricing'!K121</f>
        <v>1110</v>
      </c>
      <c r="J111" s="281">
        <f>'3. GRI Pricing'!O121</f>
        <v>90</v>
      </c>
      <c r="K111" s="281">
        <f>'3. GRI Pricing'!L121</f>
        <v>0</v>
      </c>
      <c r="L111" s="281">
        <f>'3. GRI Pricing'!P121</f>
        <v>40</v>
      </c>
      <c r="M111" s="281">
        <f>'3. GRI Pricing'!R121</f>
        <v>0</v>
      </c>
      <c r="N111" s="281">
        <f>'3. GRI Pricing'!S121</f>
        <v>70</v>
      </c>
      <c r="O111" s="281">
        <f>'3. GRI Pricing'!Q121</f>
        <v>0</v>
      </c>
      <c r="P111" s="281">
        <f>'3. GRI Pricing'!T121</f>
        <v>0</v>
      </c>
      <c r="Q111" s="281">
        <f>'3. GRI Pricing'!U121</f>
        <v>0</v>
      </c>
      <c r="R111" s="281">
        <f>'3. GRI Pricing'!V121</f>
        <v>0</v>
      </c>
      <c r="S111" s="281">
        <f>'3. GRI Pricing'!W121</f>
        <v>0</v>
      </c>
      <c r="T111" s="281">
        <f>'3. GRI Pricing'!X121</f>
        <v>0</v>
      </c>
      <c r="U111" s="282">
        <f>'3. GRI Pricing'!Y121</f>
        <v>1380</v>
      </c>
    </row>
    <row r="112" spans="3:21" x14ac:dyDescent="0.2">
      <c r="C112" s="23" t="str">
        <f>'3. GRI Pricing'!C122</f>
        <v>710N</v>
      </c>
      <c r="D112" s="16" t="str">
        <f>'3. GRI Pricing'!D122</f>
        <v>2 Bed</v>
      </c>
      <c r="E112" s="16">
        <f>'3. GRI Pricing'!E122</f>
        <v>2</v>
      </c>
      <c r="F112" s="16">
        <f>'3. GRI Pricing'!F122</f>
        <v>689</v>
      </c>
      <c r="G112" s="16">
        <f>'3. GRI Pricing'!G122</f>
        <v>7</v>
      </c>
      <c r="H112" s="16" t="str">
        <f>'3. GRI Pricing'!H122</f>
        <v>Courtyard - dual</v>
      </c>
      <c r="I112" s="280">
        <f>'3. GRI Pricing'!K122</f>
        <v>1110</v>
      </c>
      <c r="J112" s="281">
        <f>'3. GRI Pricing'!O122</f>
        <v>90</v>
      </c>
      <c r="K112" s="281">
        <f>'3. GRI Pricing'!L122</f>
        <v>0</v>
      </c>
      <c r="L112" s="281">
        <f>'3. GRI Pricing'!P122</f>
        <v>55</v>
      </c>
      <c r="M112" s="281">
        <f>'3. GRI Pricing'!R122</f>
        <v>0</v>
      </c>
      <c r="N112" s="281">
        <f>'3. GRI Pricing'!S122</f>
        <v>70</v>
      </c>
      <c r="O112" s="281">
        <f>'3. GRI Pricing'!Q122</f>
        <v>0</v>
      </c>
      <c r="P112" s="281">
        <f>'3. GRI Pricing'!T122</f>
        <v>0</v>
      </c>
      <c r="Q112" s="281">
        <f>'3. GRI Pricing'!U122</f>
        <v>0</v>
      </c>
      <c r="R112" s="281">
        <f>'3. GRI Pricing'!V122</f>
        <v>0</v>
      </c>
      <c r="S112" s="281">
        <f>'3. GRI Pricing'!W122</f>
        <v>0</v>
      </c>
      <c r="T112" s="281">
        <f>'3. GRI Pricing'!X122</f>
        <v>0</v>
      </c>
      <c r="U112" s="282">
        <f>'3. GRI Pricing'!Y122</f>
        <v>1390</v>
      </c>
    </row>
    <row r="113" spans="3:21" x14ac:dyDescent="0.2">
      <c r="C113" s="23" t="str">
        <f>'3. GRI Pricing'!C123</f>
        <v>711N</v>
      </c>
      <c r="D113" s="16" t="str">
        <f>'3. GRI Pricing'!D123</f>
        <v>1 Bed</v>
      </c>
      <c r="E113" s="16">
        <f>'3. GRI Pricing'!E123</f>
        <v>1</v>
      </c>
      <c r="F113" s="16">
        <f>'3. GRI Pricing'!F123</f>
        <v>506</v>
      </c>
      <c r="G113" s="16">
        <f>'3. GRI Pricing'!G123</f>
        <v>7</v>
      </c>
      <c r="H113" s="16" t="str">
        <f>'3. GRI Pricing'!H123</f>
        <v>Courtyard</v>
      </c>
      <c r="I113" s="280">
        <f>'3. GRI Pricing'!K123</f>
        <v>845</v>
      </c>
      <c r="J113" s="281">
        <f>'3. GRI Pricing'!O123</f>
        <v>90</v>
      </c>
      <c r="K113" s="281">
        <f>'3. GRI Pricing'!L123</f>
        <v>0</v>
      </c>
      <c r="L113" s="281">
        <f>'3. GRI Pricing'!P123</f>
        <v>25</v>
      </c>
      <c r="M113" s="281">
        <f>'3. GRI Pricing'!R123</f>
        <v>0</v>
      </c>
      <c r="N113" s="281">
        <f>'3. GRI Pricing'!S123</f>
        <v>70</v>
      </c>
      <c r="O113" s="281">
        <f>'3. GRI Pricing'!Q123</f>
        <v>0</v>
      </c>
      <c r="P113" s="281">
        <f>'3. GRI Pricing'!T123</f>
        <v>0</v>
      </c>
      <c r="Q113" s="281">
        <f>'3. GRI Pricing'!U123</f>
        <v>0</v>
      </c>
      <c r="R113" s="281">
        <f>'3. GRI Pricing'!V123</f>
        <v>0</v>
      </c>
      <c r="S113" s="281">
        <f>'3. GRI Pricing'!W123</f>
        <v>0</v>
      </c>
      <c r="T113" s="281">
        <f>'3. GRI Pricing'!X123</f>
        <v>0</v>
      </c>
      <c r="U113" s="282">
        <f>'3. GRI Pricing'!Y123</f>
        <v>1045</v>
      </c>
    </row>
    <row r="114" spans="3:21" x14ac:dyDescent="0.2">
      <c r="C114" s="23" t="str">
        <f>'3. GRI Pricing'!C124</f>
        <v>712N</v>
      </c>
      <c r="D114" s="16" t="str">
        <f>'3. GRI Pricing'!D124</f>
        <v>1 Bed</v>
      </c>
      <c r="E114" s="16">
        <f>'3. GRI Pricing'!E124</f>
        <v>1</v>
      </c>
      <c r="F114" s="16">
        <f>'3. GRI Pricing'!F124</f>
        <v>549</v>
      </c>
      <c r="G114" s="16">
        <f>'3. GRI Pricing'!G124</f>
        <v>7</v>
      </c>
      <c r="H114" s="16" t="str">
        <f>'3. GRI Pricing'!H124</f>
        <v>Courtyard</v>
      </c>
      <c r="I114" s="280">
        <f>'3. GRI Pricing'!K124</f>
        <v>845</v>
      </c>
      <c r="J114" s="281">
        <f>'3. GRI Pricing'!O124</f>
        <v>90</v>
      </c>
      <c r="K114" s="281">
        <f>'3. GRI Pricing'!L124</f>
        <v>0</v>
      </c>
      <c r="L114" s="281">
        <f>'3. GRI Pricing'!P124</f>
        <v>25</v>
      </c>
      <c r="M114" s="281">
        <f>'3. GRI Pricing'!R124</f>
        <v>0</v>
      </c>
      <c r="N114" s="281">
        <f>'3. GRI Pricing'!S124</f>
        <v>70</v>
      </c>
      <c r="O114" s="281">
        <f>'3. GRI Pricing'!Q124</f>
        <v>0</v>
      </c>
      <c r="P114" s="281">
        <f>'3. GRI Pricing'!T124</f>
        <v>0</v>
      </c>
      <c r="Q114" s="281">
        <f>'3. GRI Pricing'!U124</f>
        <v>0</v>
      </c>
      <c r="R114" s="281">
        <f>'3. GRI Pricing'!V124</f>
        <v>0</v>
      </c>
      <c r="S114" s="281">
        <f>'3. GRI Pricing'!W124</f>
        <v>0</v>
      </c>
      <c r="T114" s="281">
        <f>'3. GRI Pricing'!X124</f>
        <v>0</v>
      </c>
      <c r="U114" s="282">
        <f>'3. GRI Pricing'!Y124</f>
        <v>1055</v>
      </c>
    </row>
    <row r="115" spans="3:21" x14ac:dyDescent="0.2">
      <c r="C115" s="23" t="str">
        <f>'3. GRI Pricing'!C125</f>
        <v>713N</v>
      </c>
      <c r="D115" s="16" t="str">
        <f>'3. GRI Pricing'!D125</f>
        <v>1 Bed</v>
      </c>
      <c r="E115" s="16">
        <f>'3. GRI Pricing'!E125</f>
        <v>1</v>
      </c>
      <c r="F115" s="16">
        <f>'3. GRI Pricing'!F125</f>
        <v>570</v>
      </c>
      <c r="G115" s="16">
        <f>'3. GRI Pricing'!G125</f>
        <v>7</v>
      </c>
      <c r="H115" s="16" t="str">
        <f>'3. GRI Pricing'!H125</f>
        <v>Courtyard</v>
      </c>
      <c r="I115" s="280">
        <f>'3. GRI Pricing'!K125</f>
        <v>845</v>
      </c>
      <c r="J115" s="281">
        <f>'3. GRI Pricing'!O125</f>
        <v>90</v>
      </c>
      <c r="K115" s="281">
        <f>'3. GRI Pricing'!L125</f>
        <v>0</v>
      </c>
      <c r="L115" s="281">
        <f>'3. GRI Pricing'!P125</f>
        <v>25</v>
      </c>
      <c r="M115" s="281">
        <f>'3. GRI Pricing'!R125</f>
        <v>0</v>
      </c>
      <c r="N115" s="281">
        <f>'3. GRI Pricing'!S125</f>
        <v>70</v>
      </c>
      <c r="O115" s="281">
        <f>'3. GRI Pricing'!Q125</f>
        <v>0</v>
      </c>
      <c r="P115" s="281">
        <f>'3. GRI Pricing'!T125</f>
        <v>0</v>
      </c>
      <c r="Q115" s="281">
        <f>'3. GRI Pricing'!U125</f>
        <v>-25</v>
      </c>
      <c r="R115" s="281">
        <f>'3. GRI Pricing'!V125</f>
        <v>0</v>
      </c>
      <c r="S115" s="281">
        <f>'3. GRI Pricing'!W125</f>
        <v>0</v>
      </c>
      <c r="T115" s="281">
        <f>'3. GRI Pricing'!X125</f>
        <v>0</v>
      </c>
      <c r="U115" s="282">
        <f>'3. GRI Pricing'!Y125</f>
        <v>1040</v>
      </c>
    </row>
    <row r="116" spans="3:21" x14ac:dyDescent="0.2">
      <c r="C116" s="23" t="str">
        <f>'3. GRI Pricing'!C126</f>
        <v>714N</v>
      </c>
      <c r="D116" s="16" t="str">
        <f>'3. GRI Pricing'!D126</f>
        <v>2 Bed</v>
      </c>
      <c r="E116" s="16">
        <f>'3. GRI Pricing'!E126</f>
        <v>2</v>
      </c>
      <c r="F116" s="16">
        <f>'3. GRI Pricing'!F126</f>
        <v>624</v>
      </c>
      <c r="G116" s="16">
        <f>'3. GRI Pricing'!G126</f>
        <v>7</v>
      </c>
      <c r="H116" s="16" t="str">
        <f>'3. GRI Pricing'!H126</f>
        <v>Courtyard</v>
      </c>
      <c r="I116" s="280">
        <f>'3. GRI Pricing'!K126</f>
        <v>1110</v>
      </c>
      <c r="J116" s="281">
        <f>'3. GRI Pricing'!O126</f>
        <v>90</v>
      </c>
      <c r="K116" s="281">
        <f>'3. GRI Pricing'!L126</f>
        <v>0</v>
      </c>
      <c r="L116" s="281">
        <f>'3. GRI Pricing'!P126</f>
        <v>25</v>
      </c>
      <c r="M116" s="281">
        <f>'3. GRI Pricing'!R126</f>
        <v>0</v>
      </c>
      <c r="N116" s="281">
        <f>'3. GRI Pricing'!S126</f>
        <v>70</v>
      </c>
      <c r="O116" s="281">
        <f>'3. GRI Pricing'!Q126</f>
        <v>0</v>
      </c>
      <c r="P116" s="281">
        <f>'3. GRI Pricing'!T126</f>
        <v>0</v>
      </c>
      <c r="Q116" s="281">
        <f>'3. GRI Pricing'!U126</f>
        <v>0</v>
      </c>
      <c r="R116" s="281">
        <f>'3. GRI Pricing'!V126</f>
        <v>0</v>
      </c>
      <c r="S116" s="281">
        <f>'3. GRI Pricing'!W126</f>
        <v>0</v>
      </c>
      <c r="T116" s="281">
        <f>'3. GRI Pricing'!X126</f>
        <v>0</v>
      </c>
      <c r="U116" s="282">
        <f>'3. GRI Pricing'!Y126</f>
        <v>1305</v>
      </c>
    </row>
    <row r="117" spans="3:21" x14ac:dyDescent="0.2">
      <c r="C117" s="23" t="str">
        <f>'3. GRI Pricing'!C127</f>
        <v>715N</v>
      </c>
      <c r="D117" s="16" t="str">
        <f>'3. GRI Pricing'!D127</f>
        <v>2 Bed</v>
      </c>
      <c r="E117" s="16">
        <f>'3. GRI Pricing'!E127</f>
        <v>2</v>
      </c>
      <c r="F117" s="16">
        <f>'3. GRI Pricing'!F127</f>
        <v>624</v>
      </c>
      <c r="G117" s="16">
        <f>'3. GRI Pricing'!G127</f>
        <v>7</v>
      </c>
      <c r="H117" s="16" t="str">
        <f>'3. GRI Pricing'!H127</f>
        <v>Courtyard</v>
      </c>
      <c r="I117" s="280">
        <f>'3. GRI Pricing'!K127</f>
        <v>1110</v>
      </c>
      <c r="J117" s="281">
        <f>'3. GRI Pricing'!O127</f>
        <v>90</v>
      </c>
      <c r="K117" s="281">
        <f>'3. GRI Pricing'!L127</f>
        <v>0</v>
      </c>
      <c r="L117" s="281">
        <f>'3. GRI Pricing'!P127</f>
        <v>25</v>
      </c>
      <c r="M117" s="281">
        <f>'3. GRI Pricing'!R127</f>
        <v>0</v>
      </c>
      <c r="N117" s="281">
        <f>'3. GRI Pricing'!S127</f>
        <v>70</v>
      </c>
      <c r="O117" s="281">
        <f>'3. GRI Pricing'!Q127</f>
        <v>0</v>
      </c>
      <c r="P117" s="281">
        <f>'3. GRI Pricing'!T127</f>
        <v>0</v>
      </c>
      <c r="Q117" s="281">
        <f>'3. GRI Pricing'!U127</f>
        <v>0</v>
      </c>
      <c r="R117" s="281">
        <f>'3. GRI Pricing'!V127</f>
        <v>0</v>
      </c>
      <c r="S117" s="281">
        <f>'3. GRI Pricing'!W127</f>
        <v>0</v>
      </c>
      <c r="T117" s="281">
        <f>'3. GRI Pricing'!X127</f>
        <v>0</v>
      </c>
      <c r="U117" s="282">
        <f>'3. GRI Pricing'!Y127</f>
        <v>1305</v>
      </c>
    </row>
    <row r="118" spans="3:21" x14ac:dyDescent="0.2">
      <c r="C118" s="23" t="str">
        <f>'3. GRI Pricing'!C128</f>
        <v>1S</v>
      </c>
      <c r="D118" s="16" t="str">
        <f>'3. GRI Pricing'!D128</f>
        <v>2 Bed</v>
      </c>
      <c r="E118" s="16">
        <f>'3. GRI Pricing'!E128</f>
        <v>2</v>
      </c>
      <c r="F118" s="16">
        <f>'3. GRI Pricing'!F128</f>
        <v>757</v>
      </c>
      <c r="G118" s="16" t="str">
        <f>'3. GRI Pricing'!G128</f>
        <v>Ground</v>
      </c>
      <c r="H118" s="16" t="str">
        <f>'3. GRI Pricing'!H128</f>
        <v>Courtyard</v>
      </c>
      <c r="I118" s="280">
        <f>'3. GRI Pricing'!K128</f>
        <v>1110</v>
      </c>
      <c r="J118" s="281">
        <f>'3. GRI Pricing'!O128</f>
        <v>0</v>
      </c>
      <c r="K118" s="281">
        <f>'3. GRI Pricing'!L128</f>
        <v>0</v>
      </c>
      <c r="L118" s="281">
        <f>'3. GRI Pricing'!P128</f>
        <v>25</v>
      </c>
      <c r="M118" s="281">
        <f>'3. GRI Pricing'!R128</f>
        <v>0</v>
      </c>
      <c r="N118" s="281">
        <f>'3. GRI Pricing'!S128</f>
        <v>70</v>
      </c>
      <c r="O118" s="281">
        <f>'3. GRI Pricing'!Q128</f>
        <v>0</v>
      </c>
      <c r="P118" s="281">
        <f>'3. GRI Pricing'!T128</f>
        <v>20</v>
      </c>
      <c r="Q118" s="281">
        <f>'3. GRI Pricing'!U128</f>
        <v>-75</v>
      </c>
      <c r="R118" s="281">
        <f>'3. GRI Pricing'!V128</f>
        <v>0</v>
      </c>
      <c r="S118" s="281">
        <f>'3. GRI Pricing'!W128</f>
        <v>0</v>
      </c>
      <c r="T118" s="281">
        <f>'3. GRI Pricing'!X128</f>
        <v>100</v>
      </c>
      <c r="U118" s="282">
        <f>'3. GRI Pricing'!Y128</f>
        <v>1250</v>
      </c>
    </row>
    <row r="119" spans="3:21" x14ac:dyDescent="0.2">
      <c r="C119" s="23" t="str">
        <f>'3. GRI Pricing'!C129</f>
        <v>2S</v>
      </c>
      <c r="D119" s="16" t="str">
        <f>'3. GRI Pricing'!D129</f>
        <v>1 Bed</v>
      </c>
      <c r="E119" s="16">
        <f>'3. GRI Pricing'!E129</f>
        <v>1</v>
      </c>
      <c r="F119" s="16">
        <f>'3. GRI Pricing'!F129</f>
        <v>553</v>
      </c>
      <c r="G119" s="16" t="str">
        <f>'3. GRI Pricing'!G129</f>
        <v>Ground</v>
      </c>
      <c r="H119" s="16" t="str">
        <f>'3. GRI Pricing'!H129</f>
        <v>Courtyard</v>
      </c>
      <c r="I119" s="280">
        <f>'3. GRI Pricing'!K129</f>
        <v>845</v>
      </c>
      <c r="J119" s="281">
        <f>'3. GRI Pricing'!O129</f>
        <v>0</v>
      </c>
      <c r="K119" s="281">
        <f>'3. GRI Pricing'!L129</f>
        <v>0</v>
      </c>
      <c r="L119" s="281">
        <f>'3. GRI Pricing'!P129</f>
        <v>25</v>
      </c>
      <c r="M119" s="281">
        <f>'3. GRI Pricing'!R129</f>
        <v>0</v>
      </c>
      <c r="N119" s="281">
        <f>'3. GRI Pricing'!S129</f>
        <v>70</v>
      </c>
      <c r="O119" s="281">
        <f>'3. GRI Pricing'!Q129</f>
        <v>0</v>
      </c>
      <c r="P119" s="281">
        <f>'3. GRI Pricing'!T129</f>
        <v>20</v>
      </c>
      <c r="Q119" s="281">
        <f>'3. GRI Pricing'!U129</f>
        <v>-75</v>
      </c>
      <c r="R119" s="281">
        <f>'3. GRI Pricing'!V129</f>
        <v>0</v>
      </c>
      <c r="S119" s="281">
        <f>'3. GRI Pricing'!W129</f>
        <v>0</v>
      </c>
      <c r="T119" s="281">
        <f>'3. GRI Pricing'!X129</f>
        <v>0</v>
      </c>
      <c r="U119" s="282">
        <f>'3. GRI Pricing'!Y129</f>
        <v>910</v>
      </c>
    </row>
    <row r="120" spans="3:21" x14ac:dyDescent="0.2">
      <c r="C120" s="23" t="str">
        <f>'3. GRI Pricing'!C130</f>
        <v>3S</v>
      </c>
      <c r="D120" s="16" t="str">
        <f>'3. GRI Pricing'!D130</f>
        <v>1 Bed</v>
      </c>
      <c r="E120" s="16">
        <f>'3. GRI Pricing'!E130</f>
        <v>1</v>
      </c>
      <c r="F120" s="16">
        <f>'3. GRI Pricing'!F130</f>
        <v>505</v>
      </c>
      <c r="G120" s="16" t="str">
        <f>'3. GRI Pricing'!G130</f>
        <v>Ground</v>
      </c>
      <c r="H120" s="16" t="str">
        <f>'3. GRI Pricing'!H130</f>
        <v>Courtyard</v>
      </c>
      <c r="I120" s="280">
        <f>'3. GRI Pricing'!K130</f>
        <v>845</v>
      </c>
      <c r="J120" s="281">
        <f>'3. GRI Pricing'!O130</f>
        <v>0</v>
      </c>
      <c r="K120" s="281">
        <f>'3. GRI Pricing'!L130</f>
        <v>0</v>
      </c>
      <c r="L120" s="281">
        <f>'3. GRI Pricing'!P130</f>
        <v>25</v>
      </c>
      <c r="M120" s="281">
        <f>'3. GRI Pricing'!R130</f>
        <v>0</v>
      </c>
      <c r="N120" s="281">
        <f>'3. GRI Pricing'!S130</f>
        <v>70</v>
      </c>
      <c r="O120" s="281">
        <f>'3. GRI Pricing'!Q130</f>
        <v>0</v>
      </c>
      <c r="P120" s="281">
        <f>'3. GRI Pricing'!T130</f>
        <v>20</v>
      </c>
      <c r="Q120" s="281">
        <f>'3. GRI Pricing'!U130</f>
        <v>-75</v>
      </c>
      <c r="R120" s="281">
        <f>'3. GRI Pricing'!V130</f>
        <v>0</v>
      </c>
      <c r="S120" s="281">
        <f>'3. GRI Pricing'!W130</f>
        <v>0</v>
      </c>
      <c r="T120" s="281">
        <f>'3. GRI Pricing'!X130</f>
        <v>0</v>
      </c>
      <c r="U120" s="282">
        <f>'3. GRI Pricing'!Y130</f>
        <v>900</v>
      </c>
    </row>
    <row r="121" spans="3:21" x14ac:dyDescent="0.2">
      <c r="C121" s="23" t="str">
        <f>'3. GRI Pricing'!C131</f>
        <v>101S</v>
      </c>
      <c r="D121" s="16" t="str">
        <f>'3. GRI Pricing'!D131</f>
        <v>2 Bed</v>
      </c>
      <c r="E121" s="16">
        <f>'3. GRI Pricing'!E131</f>
        <v>2</v>
      </c>
      <c r="F121" s="16">
        <f>'3. GRI Pricing'!F131</f>
        <v>624</v>
      </c>
      <c r="G121" s="16" t="str">
        <f>'3. GRI Pricing'!G131</f>
        <v>Ground</v>
      </c>
      <c r="H121" s="16" t="str">
        <f>'3. GRI Pricing'!H131</f>
        <v>Fence</v>
      </c>
      <c r="I121" s="280">
        <f>'3. GRI Pricing'!K131</f>
        <v>1110</v>
      </c>
      <c r="J121" s="281">
        <f>'3. GRI Pricing'!O131</f>
        <v>0</v>
      </c>
      <c r="K121" s="281">
        <f>'3. GRI Pricing'!L131</f>
        <v>0</v>
      </c>
      <c r="L121" s="281">
        <f>'3. GRI Pricing'!P131</f>
        <v>0</v>
      </c>
      <c r="M121" s="281">
        <f>'3. GRI Pricing'!R131</f>
        <v>0</v>
      </c>
      <c r="N121" s="281">
        <f>'3. GRI Pricing'!S131</f>
        <v>70</v>
      </c>
      <c r="O121" s="281">
        <f>'3. GRI Pricing'!Q131</f>
        <v>0</v>
      </c>
      <c r="P121" s="281">
        <f>'3. GRI Pricing'!T131</f>
        <v>20</v>
      </c>
      <c r="Q121" s="281">
        <f>'3. GRI Pricing'!U131</f>
        <v>0</v>
      </c>
      <c r="R121" s="281">
        <f>'3. GRI Pricing'!V131</f>
        <v>0</v>
      </c>
      <c r="S121" s="281">
        <f>'3. GRI Pricing'!W131</f>
        <v>0</v>
      </c>
      <c r="T121" s="281">
        <f>'3. GRI Pricing'!X131</f>
        <v>0</v>
      </c>
      <c r="U121" s="282">
        <f>'3. GRI Pricing'!Y131</f>
        <v>1210</v>
      </c>
    </row>
    <row r="122" spans="3:21" x14ac:dyDescent="0.2">
      <c r="C122" s="23" t="str">
        <f>'3. GRI Pricing'!C132</f>
        <v>102S</v>
      </c>
      <c r="D122" s="16" t="str">
        <f>'3. GRI Pricing'!D132</f>
        <v>2 Bed</v>
      </c>
      <c r="E122" s="16">
        <f>'3. GRI Pricing'!E132</f>
        <v>2</v>
      </c>
      <c r="F122" s="16">
        <f>'3. GRI Pricing'!F132</f>
        <v>603</v>
      </c>
      <c r="G122" s="16" t="str">
        <f>'3. GRI Pricing'!G132</f>
        <v>Ground</v>
      </c>
      <c r="H122" s="16" t="str">
        <f>'3. GRI Pricing'!H132</f>
        <v>Fence</v>
      </c>
      <c r="I122" s="280">
        <f>'3. GRI Pricing'!K132</f>
        <v>1110</v>
      </c>
      <c r="J122" s="281">
        <f>'3. GRI Pricing'!O132</f>
        <v>0</v>
      </c>
      <c r="K122" s="281">
        <f>'3. GRI Pricing'!L132</f>
        <v>0</v>
      </c>
      <c r="L122" s="281">
        <f>'3. GRI Pricing'!P132</f>
        <v>0</v>
      </c>
      <c r="M122" s="281">
        <f>'3. GRI Pricing'!R132</f>
        <v>0</v>
      </c>
      <c r="N122" s="281">
        <f>'3. GRI Pricing'!S132</f>
        <v>70</v>
      </c>
      <c r="O122" s="281">
        <f>'3. GRI Pricing'!Q132</f>
        <v>0</v>
      </c>
      <c r="P122" s="281">
        <f>'3. GRI Pricing'!T132</f>
        <v>20</v>
      </c>
      <c r="Q122" s="281">
        <f>'3. GRI Pricing'!U132</f>
        <v>0</v>
      </c>
      <c r="R122" s="281">
        <f>'3. GRI Pricing'!V132</f>
        <v>0</v>
      </c>
      <c r="S122" s="281">
        <f>'3. GRI Pricing'!W132</f>
        <v>0</v>
      </c>
      <c r="T122" s="281">
        <f>'3. GRI Pricing'!X132</f>
        <v>0</v>
      </c>
      <c r="U122" s="282">
        <f>'3. GRI Pricing'!Y132</f>
        <v>1205</v>
      </c>
    </row>
    <row r="123" spans="3:21" x14ac:dyDescent="0.2">
      <c r="C123" s="23" t="str">
        <f>'3. GRI Pricing'!C133</f>
        <v>103S</v>
      </c>
      <c r="D123" s="16" t="str">
        <f>'3. GRI Pricing'!D133</f>
        <v>2 Bed</v>
      </c>
      <c r="E123" s="16">
        <f>'3. GRI Pricing'!E133</f>
        <v>2</v>
      </c>
      <c r="F123" s="16">
        <f>'3. GRI Pricing'!F133</f>
        <v>614</v>
      </c>
      <c r="G123" s="16" t="str">
        <f>'3. GRI Pricing'!G133</f>
        <v>Ground</v>
      </c>
      <c r="H123" s="16" t="str">
        <f>'3. GRI Pricing'!H133</f>
        <v>Fence</v>
      </c>
      <c r="I123" s="280">
        <f>'3. GRI Pricing'!K133</f>
        <v>1110</v>
      </c>
      <c r="J123" s="281">
        <f>'3. GRI Pricing'!O133</f>
        <v>0</v>
      </c>
      <c r="K123" s="281">
        <f>'3. GRI Pricing'!L133</f>
        <v>0</v>
      </c>
      <c r="L123" s="281">
        <f>'3. GRI Pricing'!P133</f>
        <v>0</v>
      </c>
      <c r="M123" s="281">
        <f>'3. GRI Pricing'!R133</f>
        <v>0</v>
      </c>
      <c r="N123" s="281">
        <f>'3. GRI Pricing'!S133</f>
        <v>70</v>
      </c>
      <c r="O123" s="281">
        <f>'3. GRI Pricing'!Q133</f>
        <v>0</v>
      </c>
      <c r="P123" s="281">
        <f>'3. GRI Pricing'!T133</f>
        <v>20</v>
      </c>
      <c r="Q123" s="281">
        <f>'3. GRI Pricing'!U133</f>
        <v>0</v>
      </c>
      <c r="R123" s="281">
        <f>'3. GRI Pricing'!V133</f>
        <v>0</v>
      </c>
      <c r="S123" s="281">
        <f>'3. GRI Pricing'!W133</f>
        <v>0</v>
      </c>
      <c r="T123" s="281">
        <f>'3. GRI Pricing'!X133</f>
        <v>0</v>
      </c>
      <c r="U123" s="282">
        <f>'3. GRI Pricing'!Y133</f>
        <v>1205</v>
      </c>
    </row>
    <row r="124" spans="3:21" x14ac:dyDescent="0.2">
      <c r="C124" s="23" t="str">
        <f>'3. GRI Pricing'!C134</f>
        <v>104S</v>
      </c>
      <c r="D124" s="16" t="str">
        <f>'3. GRI Pricing'!D134</f>
        <v>3 Bed</v>
      </c>
      <c r="E124" s="16">
        <f>'3. GRI Pricing'!E134</f>
        <v>3</v>
      </c>
      <c r="F124" s="16">
        <f>'3. GRI Pricing'!F134</f>
        <v>829</v>
      </c>
      <c r="G124" s="16" t="str">
        <f>'3. GRI Pricing'!G134</f>
        <v>Ground</v>
      </c>
      <c r="H124" s="16" t="str">
        <f>'3. GRI Pricing'!H134</f>
        <v>Fence</v>
      </c>
      <c r="I124" s="280">
        <f>'3. GRI Pricing'!K134</f>
        <v>1485</v>
      </c>
      <c r="J124" s="281">
        <f>'3. GRI Pricing'!O134</f>
        <v>0</v>
      </c>
      <c r="K124" s="281">
        <f>'3. GRI Pricing'!L134</f>
        <v>0</v>
      </c>
      <c r="L124" s="281">
        <f>'3. GRI Pricing'!P134</f>
        <v>0</v>
      </c>
      <c r="M124" s="281">
        <f>'3. GRI Pricing'!R134</f>
        <v>0</v>
      </c>
      <c r="N124" s="281">
        <f>'3. GRI Pricing'!S134</f>
        <v>70</v>
      </c>
      <c r="O124" s="281">
        <f>'3. GRI Pricing'!Q134</f>
        <v>0</v>
      </c>
      <c r="P124" s="281">
        <f>'3. GRI Pricing'!T134</f>
        <v>20</v>
      </c>
      <c r="Q124" s="281">
        <f>'3. GRI Pricing'!U134</f>
        <v>0</v>
      </c>
      <c r="R124" s="281">
        <f>'3. GRI Pricing'!V134</f>
        <v>0</v>
      </c>
      <c r="S124" s="281">
        <f>'3. GRI Pricing'!W134</f>
        <v>0</v>
      </c>
      <c r="T124" s="281">
        <f>'3. GRI Pricing'!X134</f>
        <v>0</v>
      </c>
      <c r="U124" s="282">
        <f>'3. GRI Pricing'!Y134</f>
        <v>1635</v>
      </c>
    </row>
    <row r="125" spans="3:21" x14ac:dyDescent="0.2">
      <c r="C125" s="23" t="str">
        <f>'3. GRI Pricing'!C135</f>
        <v>105S</v>
      </c>
      <c r="D125" s="16" t="str">
        <f>'3. GRI Pricing'!D135</f>
        <v>2 Bed</v>
      </c>
      <c r="E125" s="16">
        <f>'3. GRI Pricing'!E135</f>
        <v>2</v>
      </c>
      <c r="F125" s="16">
        <f>'3. GRI Pricing'!F135</f>
        <v>689</v>
      </c>
      <c r="G125" s="16">
        <f>'3. GRI Pricing'!G135</f>
        <v>1</v>
      </c>
      <c r="H125" s="16" t="str">
        <f>'3. GRI Pricing'!H135</f>
        <v>Courtyard</v>
      </c>
      <c r="I125" s="280">
        <f>'3. GRI Pricing'!K135</f>
        <v>1110</v>
      </c>
      <c r="J125" s="281">
        <f>'3. GRI Pricing'!O135</f>
        <v>30</v>
      </c>
      <c r="K125" s="281">
        <f>'3. GRI Pricing'!L135</f>
        <v>0</v>
      </c>
      <c r="L125" s="281">
        <f>'3. GRI Pricing'!P135</f>
        <v>25</v>
      </c>
      <c r="M125" s="281">
        <f>'3. GRI Pricing'!R135</f>
        <v>0</v>
      </c>
      <c r="N125" s="281">
        <f>'3. GRI Pricing'!S135</f>
        <v>70</v>
      </c>
      <c r="O125" s="281">
        <f>'3. GRI Pricing'!Q135</f>
        <v>0</v>
      </c>
      <c r="P125" s="281">
        <f>'3. GRI Pricing'!T135</f>
        <v>0</v>
      </c>
      <c r="Q125" s="281">
        <f>'3. GRI Pricing'!U135</f>
        <v>0</v>
      </c>
      <c r="R125" s="281">
        <f>'3. GRI Pricing'!V135</f>
        <v>0</v>
      </c>
      <c r="S125" s="281">
        <f>'3. GRI Pricing'!W135</f>
        <v>0</v>
      </c>
      <c r="T125" s="281">
        <f>'3. GRI Pricing'!X135</f>
        <v>0</v>
      </c>
      <c r="U125" s="282">
        <f>'3. GRI Pricing'!Y135</f>
        <v>1300</v>
      </c>
    </row>
    <row r="126" spans="3:21" x14ac:dyDescent="0.2">
      <c r="C126" s="23" t="str">
        <f>'3. GRI Pricing'!C136</f>
        <v>106S</v>
      </c>
      <c r="D126" s="16" t="str">
        <f>'3. GRI Pricing'!D136</f>
        <v>1 Bed</v>
      </c>
      <c r="E126" s="16">
        <f>'3. GRI Pricing'!E136</f>
        <v>1</v>
      </c>
      <c r="F126" s="16">
        <f>'3. GRI Pricing'!F136</f>
        <v>474</v>
      </c>
      <c r="G126" s="16">
        <f>'3. GRI Pricing'!G136</f>
        <v>1</v>
      </c>
      <c r="H126" s="16" t="str">
        <f>'3. GRI Pricing'!H136</f>
        <v>Courtyard</v>
      </c>
      <c r="I126" s="280">
        <f>'3. GRI Pricing'!K136</f>
        <v>845</v>
      </c>
      <c r="J126" s="281">
        <f>'3. GRI Pricing'!O136</f>
        <v>30</v>
      </c>
      <c r="K126" s="281">
        <f>'3. GRI Pricing'!L136</f>
        <v>0</v>
      </c>
      <c r="L126" s="281">
        <f>'3. GRI Pricing'!P136</f>
        <v>25</v>
      </c>
      <c r="M126" s="281">
        <f>'3. GRI Pricing'!R136</f>
        <v>0</v>
      </c>
      <c r="N126" s="281">
        <f>'3. GRI Pricing'!S136</f>
        <v>70</v>
      </c>
      <c r="O126" s="281">
        <f>'3. GRI Pricing'!Q136</f>
        <v>0</v>
      </c>
      <c r="P126" s="281">
        <f>'3. GRI Pricing'!T136</f>
        <v>0</v>
      </c>
      <c r="Q126" s="281">
        <f>'3. GRI Pricing'!U136</f>
        <v>0</v>
      </c>
      <c r="R126" s="281">
        <f>'3. GRI Pricing'!V136</f>
        <v>0</v>
      </c>
      <c r="S126" s="281">
        <f>'3. GRI Pricing'!W136</f>
        <v>0</v>
      </c>
      <c r="T126" s="281">
        <f>'3. GRI Pricing'!X136</f>
        <v>0</v>
      </c>
      <c r="U126" s="282">
        <f>'3. GRI Pricing'!Y136</f>
        <v>970</v>
      </c>
    </row>
    <row r="127" spans="3:21" x14ac:dyDescent="0.2">
      <c r="C127" s="23" t="str">
        <f>'3. GRI Pricing'!C137</f>
        <v>107S</v>
      </c>
      <c r="D127" s="16" t="str">
        <f>'3. GRI Pricing'!D137</f>
        <v>2 Bed</v>
      </c>
      <c r="E127" s="16">
        <f>'3. GRI Pricing'!E137</f>
        <v>2</v>
      </c>
      <c r="F127" s="16">
        <f>'3. GRI Pricing'!F137</f>
        <v>624</v>
      </c>
      <c r="G127" s="16">
        <f>'3. GRI Pricing'!G137</f>
        <v>1</v>
      </c>
      <c r="H127" s="16" t="str">
        <f>'3. GRI Pricing'!H137</f>
        <v>Courtyard</v>
      </c>
      <c r="I127" s="280">
        <f>'3. GRI Pricing'!K137</f>
        <v>1110</v>
      </c>
      <c r="J127" s="281">
        <f>'3. GRI Pricing'!O137</f>
        <v>30</v>
      </c>
      <c r="K127" s="281">
        <f>'3. GRI Pricing'!L137</f>
        <v>0</v>
      </c>
      <c r="L127" s="281">
        <f>'3. GRI Pricing'!P137</f>
        <v>25</v>
      </c>
      <c r="M127" s="281">
        <f>'3. GRI Pricing'!R137</f>
        <v>0</v>
      </c>
      <c r="N127" s="281">
        <f>'3. GRI Pricing'!S137</f>
        <v>70</v>
      </c>
      <c r="O127" s="281">
        <f>'3. GRI Pricing'!Q137</f>
        <v>0</v>
      </c>
      <c r="P127" s="281">
        <f>'3. GRI Pricing'!T137</f>
        <v>0</v>
      </c>
      <c r="Q127" s="281">
        <f>'3. GRI Pricing'!U137</f>
        <v>0</v>
      </c>
      <c r="R127" s="281">
        <f>'3. GRI Pricing'!V137</f>
        <v>0</v>
      </c>
      <c r="S127" s="281">
        <f>'3. GRI Pricing'!W137</f>
        <v>0</v>
      </c>
      <c r="T127" s="281">
        <f>'3. GRI Pricing'!X137</f>
        <v>0</v>
      </c>
      <c r="U127" s="282">
        <f>'3. GRI Pricing'!Y137</f>
        <v>1245</v>
      </c>
    </row>
    <row r="128" spans="3:21" x14ac:dyDescent="0.2">
      <c r="C128" s="23" t="str">
        <f>'3. GRI Pricing'!C138</f>
        <v>201S</v>
      </c>
      <c r="D128" s="16" t="str">
        <f>'3. GRI Pricing'!D138</f>
        <v>2 Bed</v>
      </c>
      <c r="E128" s="16">
        <f>'3. GRI Pricing'!E138</f>
        <v>2</v>
      </c>
      <c r="F128" s="16">
        <f>'3. GRI Pricing'!F138</f>
        <v>624</v>
      </c>
      <c r="G128" s="16">
        <f>'3. GRI Pricing'!G138</f>
        <v>2</v>
      </c>
      <c r="H128" s="16" t="str">
        <f>'3. GRI Pricing'!H138</f>
        <v>River- Trees</v>
      </c>
      <c r="I128" s="280">
        <f>'3. GRI Pricing'!K138</f>
        <v>1110</v>
      </c>
      <c r="J128" s="281">
        <f>'3. GRI Pricing'!O138</f>
        <v>40</v>
      </c>
      <c r="K128" s="281">
        <f>'3. GRI Pricing'!L138</f>
        <v>0</v>
      </c>
      <c r="L128" s="281">
        <f>'3. GRI Pricing'!P138</f>
        <v>30</v>
      </c>
      <c r="M128" s="281">
        <f>'3. GRI Pricing'!R138</f>
        <v>40</v>
      </c>
      <c r="N128" s="281">
        <f>'3. GRI Pricing'!S138</f>
        <v>70</v>
      </c>
      <c r="O128" s="281">
        <f>'3. GRI Pricing'!Q138</f>
        <v>0</v>
      </c>
      <c r="P128" s="281">
        <f>'3. GRI Pricing'!T138</f>
        <v>0</v>
      </c>
      <c r="Q128" s="281">
        <f>'3. GRI Pricing'!U138</f>
        <v>0</v>
      </c>
      <c r="R128" s="281">
        <f>'3. GRI Pricing'!V138</f>
        <v>0</v>
      </c>
      <c r="S128" s="281">
        <f>'3. GRI Pricing'!W138</f>
        <v>0</v>
      </c>
      <c r="T128" s="281">
        <f>'3. GRI Pricing'!X138</f>
        <v>0</v>
      </c>
      <c r="U128" s="282">
        <f>'3. GRI Pricing'!Y138</f>
        <v>1300</v>
      </c>
    </row>
    <row r="129" spans="3:21" x14ac:dyDescent="0.2">
      <c r="C129" s="23" t="str">
        <f>'3. GRI Pricing'!C139</f>
        <v>202S</v>
      </c>
      <c r="D129" s="16" t="str">
        <f>'3. GRI Pricing'!D139</f>
        <v>2 Bed</v>
      </c>
      <c r="E129" s="16">
        <f>'3. GRI Pricing'!E139</f>
        <v>2</v>
      </c>
      <c r="F129" s="16">
        <f>'3. GRI Pricing'!F139</f>
        <v>603</v>
      </c>
      <c r="G129" s="16">
        <f>'3. GRI Pricing'!G139</f>
        <v>2</v>
      </c>
      <c r="H129" s="16" t="str">
        <f>'3. GRI Pricing'!H139</f>
        <v>River- Trees</v>
      </c>
      <c r="I129" s="280">
        <f>'3. GRI Pricing'!K139</f>
        <v>1110</v>
      </c>
      <c r="J129" s="281">
        <f>'3. GRI Pricing'!O139</f>
        <v>40</v>
      </c>
      <c r="K129" s="281">
        <f>'3. GRI Pricing'!L139</f>
        <v>0</v>
      </c>
      <c r="L129" s="281">
        <f>'3. GRI Pricing'!P139</f>
        <v>30</v>
      </c>
      <c r="M129" s="281">
        <f>'3. GRI Pricing'!R139</f>
        <v>40</v>
      </c>
      <c r="N129" s="281">
        <f>'3. GRI Pricing'!S139</f>
        <v>70</v>
      </c>
      <c r="O129" s="281">
        <f>'3. GRI Pricing'!Q139</f>
        <v>0</v>
      </c>
      <c r="P129" s="281">
        <f>'3. GRI Pricing'!T139</f>
        <v>0</v>
      </c>
      <c r="Q129" s="281">
        <f>'3. GRI Pricing'!U139</f>
        <v>0</v>
      </c>
      <c r="R129" s="281">
        <f>'3. GRI Pricing'!V139</f>
        <v>0</v>
      </c>
      <c r="S129" s="281">
        <f>'3. GRI Pricing'!W139</f>
        <v>0</v>
      </c>
      <c r="T129" s="281">
        <f>'3. GRI Pricing'!X139</f>
        <v>0</v>
      </c>
      <c r="U129" s="282">
        <f>'3. GRI Pricing'!Y139</f>
        <v>1295</v>
      </c>
    </row>
    <row r="130" spans="3:21" x14ac:dyDescent="0.2">
      <c r="C130" s="23" t="str">
        <f>'3. GRI Pricing'!C140</f>
        <v>203S</v>
      </c>
      <c r="D130" s="16" t="str">
        <f>'3. GRI Pricing'!D140</f>
        <v>2 Bed</v>
      </c>
      <c r="E130" s="16">
        <f>'3. GRI Pricing'!E140</f>
        <v>2</v>
      </c>
      <c r="F130" s="16">
        <f>'3. GRI Pricing'!F140</f>
        <v>614</v>
      </c>
      <c r="G130" s="16">
        <f>'3. GRI Pricing'!G140</f>
        <v>2</v>
      </c>
      <c r="H130" s="16" t="str">
        <f>'3. GRI Pricing'!H140</f>
        <v>River- Trees</v>
      </c>
      <c r="I130" s="280">
        <f>'3. GRI Pricing'!K140</f>
        <v>1110</v>
      </c>
      <c r="J130" s="281">
        <f>'3. GRI Pricing'!O140</f>
        <v>40</v>
      </c>
      <c r="K130" s="281">
        <f>'3. GRI Pricing'!L140</f>
        <v>0</v>
      </c>
      <c r="L130" s="281">
        <f>'3. GRI Pricing'!P140</f>
        <v>30</v>
      </c>
      <c r="M130" s="281">
        <f>'3. GRI Pricing'!R140</f>
        <v>40</v>
      </c>
      <c r="N130" s="281">
        <f>'3. GRI Pricing'!S140</f>
        <v>70</v>
      </c>
      <c r="O130" s="281">
        <f>'3. GRI Pricing'!Q140</f>
        <v>0</v>
      </c>
      <c r="P130" s="281">
        <f>'3. GRI Pricing'!T140</f>
        <v>0</v>
      </c>
      <c r="Q130" s="281">
        <f>'3. GRI Pricing'!U140</f>
        <v>0</v>
      </c>
      <c r="R130" s="281">
        <f>'3. GRI Pricing'!V140</f>
        <v>0</v>
      </c>
      <c r="S130" s="281">
        <f>'3. GRI Pricing'!W140</f>
        <v>0</v>
      </c>
      <c r="T130" s="281">
        <f>'3. GRI Pricing'!X140</f>
        <v>0</v>
      </c>
      <c r="U130" s="282">
        <f>'3. GRI Pricing'!Y140</f>
        <v>1295</v>
      </c>
    </row>
    <row r="131" spans="3:21" x14ac:dyDescent="0.2">
      <c r="C131" s="23" t="str">
        <f>'3. GRI Pricing'!C141</f>
        <v>204S</v>
      </c>
      <c r="D131" s="16" t="str">
        <f>'3. GRI Pricing'!D141</f>
        <v>3 Bed</v>
      </c>
      <c r="E131" s="16">
        <f>'3. GRI Pricing'!E141</f>
        <v>3</v>
      </c>
      <c r="F131" s="16">
        <f>'3. GRI Pricing'!F141</f>
        <v>829</v>
      </c>
      <c r="G131" s="16">
        <f>'3. GRI Pricing'!G141</f>
        <v>2</v>
      </c>
      <c r="H131" s="16" t="str">
        <f>'3. GRI Pricing'!H141</f>
        <v>River- Trees</v>
      </c>
      <c r="I131" s="280">
        <f>'3. GRI Pricing'!K141</f>
        <v>1485</v>
      </c>
      <c r="J131" s="281">
        <f>'3. GRI Pricing'!O141</f>
        <v>40</v>
      </c>
      <c r="K131" s="281">
        <f>'3. GRI Pricing'!L141</f>
        <v>0</v>
      </c>
      <c r="L131" s="281">
        <f>'3. GRI Pricing'!P141</f>
        <v>30</v>
      </c>
      <c r="M131" s="281">
        <f>'3. GRI Pricing'!R141</f>
        <v>40</v>
      </c>
      <c r="N131" s="281">
        <f>'3. GRI Pricing'!S141</f>
        <v>70</v>
      </c>
      <c r="O131" s="281">
        <f>'3. GRI Pricing'!Q141</f>
        <v>0</v>
      </c>
      <c r="P131" s="281">
        <f>'3. GRI Pricing'!T141</f>
        <v>0</v>
      </c>
      <c r="Q131" s="281">
        <f>'3. GRI Pricing'!U141</f>
        <v>0</v>
      </c>
      <c r="R131" s="281">
        <f>'3. GRI Pricing'!V141</f>
        <v>0</v>
      </c>
      <c r="S131" s="281">
        <f>'3. GRI Pricing'!W141</f>
        <v>0</v>
      </c>
      <c r="T131" s="281">
        <f>'3. GRI Pricing'!X141</f>
        <v>0</v>
      </c>
      <c r="U131" s="282">
        <f>'3. GRI Pricing'!Y141</f>
        <v>1725</v>
      </c>
    </row>
    <row r="132" spans="3:21" x14ac:dyDescent="0.2">
      <c r="C132" s="23" t="str">
        <f>'3. GRI Pricing'!C142</f>
        <v>205S</v>
      </c>
      <c r="D132" s="16" t="str">
        <f>'3. GRI Pricing'!D142</f>
        <v>2 Bed</v>
      </c>
      <c r="E132" s="16">
        <f>'3. GRI Pricing'!E142</f>
        <v>2</v>
      </c>
      <c r="F132" s="16">
        <f>'3. GRI Pricing'!F142</f>
        <v>689</v>
      </c>
      <c r="G132" s="16">
        <f>'3. GRI Pricing'!G142</f>
        <v>2</v>
      </c>
      <c r="H132" s="16" t="str">
        <f>'3. GRI Pricing'!H142</f>
        <v>Courtyard</v>
      </c>
      <c r="I132" s="280">
        <f>'3. GRI Pricing'!K142</f>
        <v>1110</v>
      </c>
      <c r="J132" s="281">
        <f>'3. GRI Pricing'!O142</f>
        <v>40</v>
      </c>
      <c r="K132" s="281">
        <f>'3. GRI Pricing'!L142</f>
        <v>0</v>
      </c>
      <c r="L132" s="281">
        <f>'3. GRI Pricing'!P142</f>
        <v>25</v>
      </c>
      <c r="M132" s="281">
        <f>'3. GRI Pricing'!R142</f>
        <v>0</v>
      </c>
      <c r="N132" s="281">
        <f>'3. GRI Pricing'!S142</f>
        <v>70</v>
      </c>
      <c r="O132" s="281">
        <f>'3. GRI Pricing'!Q142</f>
        <v>0</v>
      </c>
      <c r="P132" s="281">
        <f>'3. GRI Pricing'!T142</f>
        <v>0</v>
      </c>
      <c r="Q132" s="281">
        <f>'3. GRI Pricing'!U142</f>
        <v>0</v>
      </c>
      <c r="R132" s="281">
        <f>'3. GRI Pricing'!V142</f>
        <v>0</v>
      </c>
      <c r="S132" s="281">
        <f>'3. GRI Pricing'!W142</f>
        <v>0</v>
      </c>
      <c r="T132" s="281">
        <f>'3. GRI Pricing'!X142</f>
        <v>0</v>
      </c>
      <c r="U132" s="282">
        <f>'3. GRI Pricing'!Y142</f>
        <v>1310</v>
      </c>
    </row>
    <row r="133" spans="3:21" x14ac:dyDescent="0.2">
      <c r="C133" s="23" t="str">
        <f>'3. GRI Pricing'!C143</f>
        <v>206S</v>
      </c>
      <c r="D133" s="16" t="str">
        <f>'3. GRI Pricing'!D143</f>
        <v>1 Bed</v>
      </c>
      <c r="E133" s="16">
        <f>'3. GRI Pricing'!E143</f>
        <v>1</v>
      </c>
      <c r="F133" s="16">
        <f>'3. GRI Pricing'!F143</f>
        <v>474</v>
      </c>
      <c r="G133" s="16">
        <f>'3. GRI Pricing'!G143</f>
        <v>2</v>
      </c>
      <c r="H133" s="16" t="str">
        <f>'3. GRI Pricing'!H143</f>
        <v>Courtyard</v>
      </c>
      <c r="I133" s="280">
        <f>'3. GRI Pricing'!K143</f>
        <v>845</v>
      </c>
      <c r="J133" s="281">
        <f>'3. GRI Pricing'!O143</f>
        <v>40</v>
      </c>
      <c r="K133" s="281">
        <f>'3. GRI Pricing'!L143</f>
        <v>0</v>
      </c>
      <c r="L133" s="281">
        <f>'3. GRI Pricing'!P143</f>
        <v>25</v>
      </c>
      <c r="M133" s="281">
        <f>'3. GRI Pricing'!R143</f>
        <v>0</v>
      </c>
      <c r="N133" s="281">
        <f>'3. GRI Pricing'!S143</f>
        <v>70</v>
      </c>
      <c r="O133" s="281">
        <f>'3. GRI Pricing'!Q143</f>
        <v>0</v>
      </c>
      <c r="P133" s="281">
        <f>'3. GRI Pricing'!T143</f>
        <v>0</v>
      </c>
      <c r="Q133" s="281">
        <f>'3. GRI Pricing'!U143</f>
        <v>0</v>
      </c>
      <c r="R133" s="281">
        <f>'3. GRI Pricing'!V143</f>
        <v>0</v>
      </c>
      <c r="S133" s="281">
        <f>'3. GRI Pricing'!W143</f>
        <v>0</v>
      </c>
      <c r="T133" s="281">
        <f>'3. GRI Pricing'!X143</f>
        <v>0</v>
      </c>
      <c r="U133" s="282">
        <f>'3. GRI Pricing'!Y143</f>
        <v>980</v>
      </c>
    </row>
    <row r="134" spans="3:21" x14ac:dyDescent="0.2">
      <c r="C134" s="23" t="str">
        <f>'3. GRI Pricing'!C144</f>
        <v>207S</v>
      </c>
      <c r="D134" s="16" t="str">
        <f>'3. GRI Pricing'!D144</f>
        <v>2 Bed</v>
      </c>
      <c r="E134" s="16">
        <f>'3. GRI Pricing'!E144</f>
        <v>2</v>
      </c>
      <c r="F134" s="16">
        <f>'3. GRI Pricing'!F144</f>
        <v>624</v>
      </c>
      <c r="G134" s="16">
        <f>'3. GRI Pricing'!G144</f>
        <v>2</v>
      </c>
      <c r="H134" s="16" t="str">
        <f>'3. GRI Pricing'!H144</f>
        <v>Courtyard</v>
      </c>
      <c r="I134" s="280">
        <f>'3. GRI Pricing'!K144</f>
        <v>1110</v>
      </c>
      <c r="J134" s="281">
        <f>'3. GRI Pricing'!O144</f>
        <v>40</v>
      </c>
      <c r="K134" s="281">
        <f>'3. GRI Pricing'!L144</f>
        <v>0</v>
      </c>
      <c r="L134" s="281">
        <f>'3. GRI Pricing'!P144</f>
        <v>25</v>
      </c>
      <c r="M134" s="281">
        <f>'3. GRI Pricing'!R144</f>
        <v>0</v>
      </c>
      <c r="N134" s="281">
        <f>'3. GRI Pricing'!S144</f>
        <v>70</v>
      </c>
      <c r="O134" s="281">
        <f>'3. GRI Pricing'!Q144</f>
        <v>0</v>
      </c>
      <c r="P134" s="281">
        <f>'3. GRI Pricing'!T144</f>
        <v>0</v>
      </c>
      <c r="Q134" s="281">
        <f>'3. GRI Pricing'!U144</f>
        <v>0</v>
      </c>
      <c r="R134" s="281">
        <f>'3. GRI Pricing'!V144</f>
        <v>0</v>
      </c>
      <c r="S134" s="281">
        <f>'3. GRI Pricing'!W144</f>
        <v>0</v>
      </c>
      <c r="T134" s="281">
        <f>'3. GRI Pricing'!X144</f>
        <v>0</v>
      </c>
      <c r="U134" s="282">
        <f>'3. GRI Pricing'!Y144</f>
        <v>1255</v>
      </c>
    </row>
    <row r="135" spans="3:21" x14ac:dyDescent="0.2">
      <c r="C135" s="23" t="str">
        <f>'3. GRI Pricing'!C145</f>
        <v>301S</v>
      </c>
      <c r="D135" s="16" t="str">
        <f>'3. GRI Pricing'!D145</f>
        <v>2 Bed</v>
      </c>
      <c r="E135" s="16">
        <f>'3. GRI Pricing'!E145</f>
        <v>2</v>
      </c>
      <c r="F135" s="16">
        <f>'3. GRI Pricing'!F145</f>
        <v>624</v>
      </c>
      <c r="G135" s="16">
        <f>'3. GRI Pricing'!G145</f>
        <v>3</v>
      </c>
      <c r="H135" s="16" t="str">
        <f>'3. GRI Pricing'!H145</f>
        <v>River- Trees</v>
      </c>
      <c r="I135" s="280">
        <f>'3. GRI Pricing'!K145</f>
        <v>1110</v>
      </c>
      <c r="J135" s="281">
        <f>'3. GRI Pricing'!O145</f>
        <v>50</v>
      </c>
      <c r="K135" s="281">
        <f>'3. GRI Pricing'!L145</f>
        <v>0</v>
      </c>
      <c r="L135" s="281">
        <f>'3. GRI Pricing'!P145</f>
        <v>30</v>
      </c>
      <c r="M135" s="281">
        <f>'3. GRI Pricing'!R145</f>
        <v>40</v>
      </c>
      <c r="N135" s="281">
        <f>'3. GRI Pricing'!S145</f>
        <v>70</v>
      </c>
      <c r="O135" s="281">
        <f>'3. GRI Pricing'!Q145</f>
        <v>0</v>
      </c>
      <c r="P135" s="281">
        <f>'3. GRI Pricing'!T145</f>
        <v>0</v>
      </c>
      <c r="Q135" s="281">
        <f>'3. GRI Pricing'!U145</f>
        <v>0</v>
      </c>
      <c r="R135" s="281">
        <f>'3. GRI Pricing'!V145</f>
        <v>0</v>
      </c>
      <c r="S135" s="281">
        <f>'3. GRI Pricing'!W145</f>
        <v>0</v>
      </c>
      <c r="T135" s="281">
        <f>'3. GRI Pricing'!X145</f>
        <v>0</v>
      </c>
      <c r="U135" s="282">
        <f>'3. GRI Pricing'!Y145</f>
        <v>1310</v>
      </c>
    </row>
    <row r="136" spans="3:21" x14ac:dyDescent="0.2">
      <c r="C136" s="23" t="str">
        <f>'3. GRI Pricing'!C146</f>
        <v>302S</v>
      </c>
      <c r="D136" s="16" t="str">
        <f>'3. GRI Pricing'!D146</f>
        <v>2 Bed</v>
      </c>
      <c r="E136" s="16">
        <f>'3. GRI Pricing'!E146</f>
        <v>2</v>
      </c>
      <c r="F136" s="16">
        <f>'3. GRI Pricing'!F146</f>
        <v>603</v>
      </c>
      <c r="G136" s="16">
        <f>'3. GRI Pricing'!G146</f>
        <v>3</v>
      </c>
      <c r="H136" s="16" t="str">
        <f>'3. GRI Pricing'!H146</f>
        <v>River- Trees</v>
      </c>
      <c r="I136" s="280">
        <f>'3. GRI Pricing'!K146</f>
        <v>1110</v>
      </c>
      <c r="J136" s="281">
        <f>'3. GRI Pricing'!O146</f>
        <v>50</v>
      </c>
      <c r="K136" s="281">
        <f>'3. GRI Pricing'!L146</f>
        <v>0</v>
      </c>
      <c r="L136" s="281">
        <f>'3. GRI Pricing'!P146</f>
        <v>30</v>
      </c>
      <c r="M136" s="281">
        <f>'3. GRI Pricing'!R146</f>
        <v>40</v>
      </c>
      <c r="N136" s="281">
        <f>'3. GRI Pricing'!S146</f>
        <v>70</v>
      </c>
      <c r="O136" s="281">
        <f>'3. GRI Pricing'!Q146</f>
        <v>0</v>
      </c>
      <c r="P136" s="281">
        <f>'3. GRI Pricing'!T146</f>
        <v>0</v>
      </c>
      <c r="Q136" s="281">
        <f>'3. GRI Pricing'!U146</f>
        <v>0</v>
      </c>
      <c r="R136" s="281">
        <f>'3. GRI Pricing'!V146</f>
        <v>0</v>
      </c>
      <c r="S136" s="281">
        <f>'3. GRI Pricing'!W146</f>
        <v>0</v>
      </c>
      <c r="T136" s="281">
        <f>'3. GRI Pricing'!X146</f>
        <v>0</v>
      </c>
      <c r="U136" s="282">
        <f>'3. GRI Pricing'!Y146</f>
        <v>1305</v>
      </c>
    </row>
    <row r="137" spans="3:21" x14ac:dyDescent="0.2">
      <c r="C137" s="23" t="str">
        <f>'3. GRI Pricing'!C147</f>
        <v>303S</v>
      </c>
      <c r="D137" s="16" t="str">
        <f>'3. GRI Pricing'!D147</f>
        <v>2 Bed</v>
      </c>
      <c r="E137" s="16">
        <f>'3. GRI Pricing'!E147</f>
        <v>2</v>
      </c>
      <c r="F137" s="16">
        <f>'3. GRI Pricing'!F147</f>
        <v>614</v>
      </c>
      <c r="G137" s="16">
        <f>'3. GRI Pricing'!G147</f>
        <v>3</v>
      </c>
      <c r="H137" s="16" t="str">
        <f>'3. GRI Pricing'!H147</f>
        <v>River- Trees</v>
      </c>
      <c r="I137" s="280">
        <f>'3. GRI Pricing'!K147</f>
        <v>1110</v>
      </c>
      <c r="J137" s="281">
        <f>'3. GRI Pricing'!O147</f>
        <v>50</v>
      </c>
      <c r="K137" s="281">
        <f>'3. GRI Pricing'!L147</f>
        <v>0</v>
      </c>
      <c r="L137" s="281">
        <f>'3. GRI Pricing'!P147</f>
        <v>30</v>
      </c>
      <c r="M137" s="281">
        <f>'3. GRI Pricing'!R147</f>
        <v>40</v>
      </c>
      <c r="N137" s="281">
        <f>'3. GRI Pricing'!S147</f>
        <v>70</v>
      </c>
      <c r="O137" s="281">
        <f>'3. GRI Pricing'!Q147</f>
        <v>0</v>
      </c>
      <c r="P137" s="281">
        <f>'3. GRI Pricing'!T147</f>
        <v>0</v>
      </c>
      <c r="Q137" s="281">
        <f>'3. GRI Pricing'!U147</f>
        <v>0</v>
      </c>
      <c r="R137" s="281">
        <f>'3. GRI Pricing'!V147</f>
        <v>0</v>
      </c>
      <c r="S137" s="281">
        <f>'3. GRI Pricing'!W147</f>
        <v>0</v>
      </c>
      <c r="T137" s="281">
        <f>'3. GRI Pricing'!X147</f>
        <v>0</v>
      </c>
      <c r="U137" s="282">
        <f>'3. GRI Pricing'!Y147</f>
        <v>1305</v>
      </c>
    </row>
    <row r="138" spans="3:21" x14ac:dyDescent="0.2">
      <c r="C138" s="23" t="str">
        <f>'3. GRI Pricing'!C148</f>
        <v>304S</v>
      </c>
      <c r="D138" s="16" t="str">
        <f>'3. GRI Pricing'!D148</f>
        <v>3 Bed</v>
      </c>
      <c r="E138" s="16">
        <f>'3. GRI Pricing'!E148</f>
        <v>3</v>
      </c>
      <c r="F138" s="16">
        <f>'3. GRI Pricing'!F148</f>
        <v>829</v>
      </c>
      <c r="G138" s="16">
        <f>'3. GRI Pricing'!G148</f>
        <v>3</v>
      </c>
      <c r="H138" s="16" t="str">
        <f>'3. GRI Pricing'!H148</f>
        <v>River- Trees</v>
      </c>
      <c r="I138" s="280">
        <f>'3. GRI Pricing'!K148</f>
        <v>1485</v>
      </c>
      <c r="J138" s="281">
        <f>'3. GRI Pricing'!O148</f>
        <v>50</v>
      </c>
      <c r="K138" s="281">
        <f>'3. GRI Pricing'!L148</f>
        <v>0</v>
      </c>
      <c r="L138" s="281">
        <f>'3. GRI Pricing'!P148</f>
        <v>30</v>
      </c>
      <c r="M138" s="281">
        <f>'3. GRI Pricing'!R148</f>
        <v>40</v>
      </c>
      <c r="N138" s="281">
        <f>'3. GRI Pricing'!S148</f>
        <v>70</v>
      </c>
      <c r="O138" s="281">
        <f>'3. GRI Pricing'!Q148</f>
        <v>0</v>
      </c>
      <c r="P138" s="281">
        <f>'3. GRI Pricing'!T148</f>
        <v>0</v>
      </c>
      <c r="Q138" s="281">
        <f>'3. GRI Pricing'!U148</f>
        <v>0</v>
      </c>
      <c r="R138" s="281">
        <f>'3. GRI Pricing'!V148</f>
        <v>0</v>
      </c>
      <c r="S138" s="281">
        <f>'3. GRI Pricing'!W148</f>
        <v>0</v>
      </c>
      <c r="T138" s="281">
        <f>'3. GRI Pricing'!X148</f>
        <v>0</v>
      </c>
      <c r="U138" s="282">
        <f>'3. GRI Pricing'!Y148</f>
        <v>1735</v>
      </c>
    </row>
    <row r="139" spans="3:21" x14ac:dyDescent="0.2">
      <c r="C139" s="23" t="str">
        <f>'3. GRI Pricing'!C149</f>
        <v>305S</v>
      </c>
      <c r="D139" s="16" t="str">
        <f>'3. GRI Pricing'!D149</f>
        <v>2 Bed</v>
      </c>
      <c r="E139" s="16">
        <f>'3. GRI Pricing'!E149</f>
        <v>2</v>
      </c>
      <c r="F139" s="16">
        <f>'3. GRI Pricing'!F149</f>
        <v>689</v>
      </c>
      <c r="G139" s="16">
        <f>'3. GRI Pricing'!G149</f>
        <v>3</v>
      </c>
      <c r="H139" s="16" t="str">
        <f>'3. GRI Pricing'!H149</f>
        <v>Courtyard</v>
      </c>
      <c r="I139" s="280">
        <f>'3. GRI Pricing'!K149</f>
        <v>1110</v>
      </c>
      <c r="J139" s="281">
        <f>'3. GRI Pricing'!O149</f>
        <v>50</v>
      </c>
      <c r="K139" s="281">
        <f>'3. GRI Pricing'!L149</f>
        <v>0</v>
      </c>
      <c r="L139" s="281">
        <f>'3. GRI Pricing'!P149</f>
        <v>25</v>
      </c>
      <c r="M139" s="281">
        <f>'3. GRI Pricing'!R149</f>
        <v>0</v>
      </c>
      <c r="N139" s="281">
        <f>'3. GRI Pricing'!S149</f>
        <v>70</v>
      </c>
      <c r="O139" s="281">
        <f>'3. GRI Pricing'!Q149</f>
        <v>0</v>
      </c>
      <c r="P139" s="281">
        <f>'3. GRI Pricing'!T149</f>
        <v>0</v>
      </c>
      <c r="Q139" s="281">
        <f>'3. GRI Pricing'!U149</f>
        <v>0</v>
      </c>
      <c r="R139" s="281">
        <f>'3. GRI Pricing'!V149</f>
        <v>0</v>
      </c>
      <c r="S139" s="281">
        <f>'3. GRI Pricing'!W149</f>
        <v>0</v>
      </c>
      <c r="T139" s="281">
        <f>'3. GRI Pricing'!X149</f>
        <v>0</v>
      </c>
      <c r="U139" s="282">
        <f>'3. GRI Pricing'!Y149</f>
        <v>1320</v>
      </c>
    </row>
    <row r="140" spans="3:21" x14ac:dyDescent="0.2">
      <c r="C140" s="23" t="str">
        <f>'3. GRI Pricing'!C150</f>
        <v>306S</v>
      </c>
      <c r="D140" s="16" t="str">
        <f>'3. GRI Pricing'!D150</f>
        <v>1 Bed</v>
      </c>
      <c r="E140" s="16">
        <f>'3. GRI Pricing'!E150</f>
        <v>1</v>
      </c>
      <c r="F140" s="16">
        <f>'3. GRI Pricing'!F150</f>
        <v>474</v>
      </c>
      <c r="G140" s="16">
        <f>'3. GRI Pricing'!G150</f>
        <v>3</v>
      </c>
      <c r="H140" s="16" t="str">
        <f>'3. GRI Pricing'!H150</f>
        <v>Courtyard</v>
      </c>
      <c r="I140" s="280">
        <f>'3. GRI Pricing'!K150</f>
        <v>845</v>
      </c>
      <c r="J140" s="281">
        <f>'3. GRI Pricing'!O150</f>
        <v>50</v>
      </c>
      <c r="K140" s="281">
        <f>'3. GRI Pricing'!L150</f>
        <v>0</v>
      </c>
      <c r="L140" s="281">
        <f>'3. GRI Pricing'!P150</f>
        <v>25</v>
      </c>
      <c r="M140" s="281">
        <f>'3. GRI Pricing'!R150</f>
        <v>0</v>
      </c>
      <c r="N140" s="281">
        <f>'3. GRI Pricing'!S150</f>
        <v>70</v>
      </c>
      <c r="O140" s="281">
        <f>'3. GRI Pricing'!Q150</f>
        <v>0</v>
      </c>
      <c r="P140" s="281">
        <f>'3. GRI Pricing'!T150</f>
        <v>0</v>
      </c>
      <c r="Q140" s="281">
        <f>'3. GRI Pricing'!U150</f>
        <v>0</v>
      </c>
      <c r="R140" s="281">
        <f>'3. GRI Pricing'!V150</f>
        <v>0</v>
      </c>
      <c r="S140" s="281">
        <f>'3. GRI Pricing'!W150</f>
        <v>0</v>
      </c>
      <c r="T140" s="281">
        <f>'3. GRI Pricing'!X150</f>
        <v>0</v>
      </c>
      <c r="U140" s="282">
        <f>'3. GRI Pricing'!Y150</f>
        <v>990</v>
      </c>
    </row>
    <row r="141" spans="3:21" x14ac:dyDescent="0.2">
      <c r="C141" s="23" t="str">
        <f>'3. GRI Pricing'!C151</f>
        <v>307S</v>
      </c>
      <c r="D141" s="16" t="str">
        <f>'3. GRI Pricing'!D151</f>
        <v>2 Bed</v>
      </c>
      <c r="E141" s="16">
        <f>'3. GRI Pricing'!E151</f>
        <v>2</v>
      </c>
      <c r="F141" s="16">
        <f>'3. GRI Pricing'!F151</f>
        <v>624</v>
      </c>
      <c r="G141" s="16">
        <f>'3. GRI Pricing'!G151</f>
        <v>3</v>
      </c>
      <c r="H141" s="16" t="str">
        <f>'3. GRI Pricing'!H151</f>
        <v>Courtyard</v>
      </c>
      <c r="I141" s="280">
        <f>'3. GRI Pricing'!K151</f>
        <v>1110</v>
      </c>
      <c r="J141" s="281">
        <f>'3. GRI Pricing'!O151</f>
        <v>50</v>
      </c>
      <c r="K141" s="281">
        <f>'3. GRI Pricing'!L151</f>
        <v>0</v>
      </c>
      <c r="L141" s="281">
        <f>'3. GRI Pricing'!P151</f>
        <v>25</v>
      </c>
      <c r="M141" s="281">
        <f>'3. GRI Pricing'!R151</f>
        <v>0</v>
      </c>
      <c r="N141" s="281">
        <f>'3. GRI Pricing'!S151</f>
        <v>70</v>
      </c>
      <c r="O141" s="281">
        <f>'3. GRI Pricing'!Q151</f>
        <v>0</v>
      </c>
      <c r="P141" s="281">
        <f>'3. GRI Pricing'!T151</f>
        <v>0</v>
      </c>
      <c r="Q141" s="281">
        <f>'3. GRI Pricing'!U151</f>
        <v>0</v>
      </c>
      <c r="R141" s="281">
        <f>'3. GRI Pricing'!V151</f>
        <v>0</v>
      </c>
      <c r="S141" s="281">
        <f>'3. GRI Pricing'!W151</f>
        <v>0</v>
      </c>
      <c r="T141" s="281">
        <f>'3. GRI Pricing'!X151</f>
        <v>0</v>
      </c>
      <c r="U141" s="282">
        <f>'3. GRI Pricing'!Y151</f>
        <v>1265</v>
      </c>
    </row>
    <row r="142" spans="3:21" x14ac:dyDescent="0.2">
      <c r="C142" s="23" t="str">
        <f>'3. GRI Pricing'!C152</f>
        <v>401S</v>
      </c>
      <c r="D142" s="16" t="str">
        <f>'3. GRI Pricing'!D152</f>
        <v>2 Bed</v>
      </c>
      <c r="E142" s="16">
        <f>'3. GRI Pricing'!E152</f>
        <v>2</v>
      </c>
      <c r="F142" s="16">
        <f>'3. GRI Pricing'!F152</f>
        <v>624</v>
      </c>
      <c r="G142" s="16">
        <f>'3. GRI Pricing'!G152</f>
        <v>4</v>
      </c>
      <c r="H142" s="16" t="str">
        <f>'3. GRI Pricing'!H152</f>
        <v>River- Full</v>
      </c>
      <c r="I142" s="280">
        <f>'3. GRI Pricing'!K152</f>
        <v>1110</v>
      </c>
      <c r="J142" s="281">
        <f>'3. GRI Pricing'!O152</f>
        <v>70</v>
      </c>
      <c r="K142" s="281">
        <f>'3. GRI Pricing'!L152</f>
        <v>0</v>
      </c>
      <c r="L142" s="281">
        <f>'3. GRI Pricing'!P152</f>
        <v>60</v>
      </c>
      <c r="M142" s="281">
        <f>'3. GRI Pricing'!R152</f>
        <v>40</v>
      </c>
      <c r="N142" s="281">
        <f>'3. GRI Pricing'!S152</f>
        <v>70</v>
      </c>
      <c r="O142" s="281">
        <f>'3. GRI Pricing'!Q152</f>
        <v>0</v>
      </c>
      <c r="P142" s="281">
        <f>'3. GRI Pricing'!T152</f>
        <v>0</v>
      </c>
      <c r="Q142" s="281">
        <f>'3. GRI Pricing'!U152</f>
        <v>0</v>
      </c>
      <c r="R142" s="281">
        <f>'3. GRI Pricing'!V152</f>
        <v>0</v>
      </c>
      <c r="S142" s="281">
        <f>'3. GRI Pricing'!W152</f>
        <v>0</v>
      </c>
      <c r="T142" s="281">
        <f>'3. GRI Pricing'!X152</f>
        <v>0</v>
      </c>
      <c r="U142" s="282">
        <f>'3. GRI Pricing'!Y152</f>
        <v>1360</v>
      </c>
    </row>
    <row r="143" spans="3:21" x14ac:dyDescent="0.2">
      <c r="C143" s="23" t="str">
        <f>'3. GRI Pricing'!C153</f>
        <v>402S</v>
      </c>
      <c r="D143" s="16" t="str">
        <f>'3. GRI Pricing'!D153</f>
        <v>2 Bed</v>
      </c>
      <c r="E143" s="16">
        <f>'3. GRI Pricing'!E153</f>
        <v>2</v>
      </c>
      <c r="F143" s="16">
        <f>'3. GRI Pricing'!F153</f>
        <v>603</v>
      </c>
      <c r="G143" s="16">
        <f>'3. GRI Pricing'!G153</f>
        <v>4</v>
      </c>
      <c r="H143" s="16" t="str">
        <f>'3. GRI Pricing'!H153</f>
        <v>River- Full</v>
      </c>
      <c r="I143" s="280">
        <f>'3. GRI Pricing'!K153</f>
        <v>1110</v>
      </c>
      <c r="J143" s="281">
        <f>'3. GRI Pricing'!O153</f>
        <v>70</v>
      </c>
      <c r="K143" s="281">
        <f>'3. GRI Pricing'!L153</f>
        <v>0</v>
      </c>
      <c r="L143" s="281">
        <f>'3. GRI Pricing'!P153</f>
        <v>60</v>
      </c>
      <c r="M143" s="281">
        <f>'3. GRI Pricing'!R153</f>
        <v>40</v>
      </c>
      <c r="N143" s="281">
        <f>'3. GRI Pricing'!S153</f>
        <v>70</v>
      </c>
      <c r="O143" s="281">
        <f>'3. GRI Pricing'!Q153</f>
        <v>0</v>
      </c>
      <c r="P143" s="281">
        <f>'3. GRI Pricing'!T153</f>
        <v>0</v>
      </c>
      <c r="Q143" s="281">
        <f>'3. GRI Pricing'!U153</f>
        <v>0</v>
      </c>
      <c r="R143" s="281">
        <f>'3. GRI Pricing'!V153</f>
        <v>0</v>
      </c>
      <c r="S143" s="281">
        <f>'3. GRI Pricing'!W153</f>
        <v>0</v>
      </c>
      <c r="T143" s="281">
        <f>'3. GRI Pricing'!X153</f>
        <v>0</v>
      </c>
      <c r="U143" s="282">
        <f>'3. GRI Pricing'!Y153</f>
        <v>1355</v>
      </c>
    </row>
    <row r="144" spans="3:21" x14ac:dyDescent="0.2">
      <c r="C144" s="23" t="str">
        <f>'3. GRI Pricing'!C154</f>
        <v>403S</v>
      </c>
      <c r="D144" s="16" t="str">
        <f>'3. GRI Pricing'!D154</f>
        <v>2 Bed</v>
      </c>
      <c r="E144" s="16">
        <f>'3. GRI Pricing'!E154</f>
        <v>2</v>
      </c>
      <c r="F144" s="16">
        <f>'3. GRI Pricing'!F154</f>
        <v>614</v>
      </c>
      <c r="G144" s="16">
        <f>'3. GRI Pricing'!G154</f>
        <v>4</v>
      </c>
      <c r="H144" s="16" t="str">
        <f>'3. GRI Pricing'!H154</f>
        <v>River- Full</v>
      </c>
      <c r="I144" s="280">
        <f>'3. GRI Pricing'!K154</f>
        <v>1110</v>
      </c>
      <c r="J144" s="281">
        <f>'3. GRI Pricing'!O154</f>
        <v>70</v>
      </c>
      <c r="K144" s="281">
        <f>'3. GRI Pricing'!L154</f>
        <v>0</v>
      </c>
      <c r="L144" s="281">
        <f>'3. GRI Pricing'!P154</f>
        <v>60</v>
      </c>
      <c r="M144" s="281">
        <f>'3. GRI Pricing'!R154</f>
        <v>40</v>
      </c>
      <c r="N144" s="281">
        <f>'3. GRI Pricing'!S154</f>
        <v>70</v>
      </c>
      <c r="O144" s="281">
        <f>'3. GRI Pricing'!Q154</f>
        <v>0</v>
      </c>
      <c r="P144" s="281">
        <f>'3. GRI Pricing'!T154</f>
        <v>0</v>
      </c>
      <c r="Q144" s="281">
        <f>'3. GRI Pricing'!U154</f>
        <v>0</v>
      </c>
      <c r="R144" s="281">
        <f>'3. GRI Pricing'!V154</f>
        <v>0</v>
      </c>
      <c r="S144" s="281">
        <f>'3. GRI Pricing'!W154</f>
        <v>0</v>
      </c>
      <c r="T144" s="281">
        <f>'3. GRI Pricing'!X154</f>
        <v>0</v>
      </c>
      <c r="U144" s="282">
        <f>'3. GRI Pricing'!Y154</f>
        <v>1355</v>
      </c>
    </row>
    <row r="145" spans="3:21" x14ac:dyDescent="0.2">
      <c r="C145" s="23" t="str">
        <f>'3. GRI Pricing'!C155</f>
        <v>404S</v>
      </c>
      <c r="D145" s="16" t="str">
        <f>'3. GRI Pricing'!D155</f>
        <v>3 Bed</v>
      </c>
      <c r="E145" s="16">
        <f>'3. GRI Pricing'!E155</f>
        <v>3</v>
      </c>
      <c r="F145" s="16">
        <f>'3. GRI Pricing'!F155</f>
        <v>829</v>
      </c>
      <c r="G145" s="16">
        <f>'3. GRI Pricing'!G155</f>
        <v>4</v>
      </c>
      <c r="H145" s="16" t="str">
        <f>'3. GRI Pricing'!H155</f>
        <v>River- Full</v>
      </c>
      <c r="I145" s="280">
        <f>'3. GRI Pricing'!K155</f>
        <v>1485</v>
      </c>
      <c r="J145" s="281">
        <f>'3. GRI Pricing'!O155</f>
        <v>70</v>
      </c>
      <c r="K145" s="281">
        <f>'3. GRI Pricing'!L155</f>
        <v>0</v>
      </c>
      <c r="L145" s="281">
        <f>'3. GRI Pricing'!P155</f>
        <v>60</v>
      </c>
      <c r="M145" s="281">
        <f>'3. GRI Pricing'!R155</f>
        <v>40</v>
      </c>
      <c r="N145" s="281">
        <f>'3. GRI Pricing'!S155</f>
        <v>70</v>
      </c>
      <c r="O145" s="281">
        <f>'3. GRI Pricing'!Q155</f>
        <v>0</v>
      </c>
      <c r="P145" s="281">
        <f>'3. GRI Pricing'!T155</f>
        <v>0</v>
      </c>
      <c r="Q145" s="281">
        <f>'3. GRI Pricing'!U155</f>
        <v>0</v>
      </c>
      <c r="R145" s="281">
        <f>'3. GRI Pricing'!V155</f>
        <v>0</v>
      </c>
      <c r="S145" s="281">
        <f>'3. GRI Pricing'!W155</f>
        <v>0</v>
      </c>
      <c r="T145" s="281">
        <f>'3. GRI Pricing'!X155</f>
        <v>0</v>
      </c>
      <c r="U145" s="282">
        <f>'3. GRI Pricing'!Y155</f>
        <v>1785</v>
      </c>
    </row>
    <row r="146" spans="3:21" x14ac:dyDescent="0.2">
      <c r="C146" s="23" t="str">
        <f>'3. GRI Pricing'!C156</f>
        <v>405S</v>
      </c>
      <c r="D146" s="16" t="str">
        <f>'3. GRI Pricing'!D156</f>
        <v>2 Bed</v>
      </c>
      <c r="E146" s="16">
        <f>'3. GRI Pricing'!E156</f>
        <v>2</v>
      </c>
      <c r="F146" s="16">
        <f>'3. GRI Pricing'!F156</f>
        <v>689</v>
      </c>
      <c r="G146" s="16">
        <f>'3. GRI Pricing'!G156</f>
        <v>4</v>
      </c>
      <c r="H146" s="16" t="str">
        <f>'3. GRI Pricing'!H156</f>
        <v>Courtyard</v>
      </c>
      <c r="I146" s="280">
        <f>'3. GRI Pricing'!K156</f>
        <v>1110</v>
      </c>
      <c r="J146" s="281">
        <f>'3. GRI Pricing'!O156</f>
        <v>70</v>
      </c>
      <c r="K146" s="281">
        <f>'3. GRI Pricing'!L156</f>
        <v>0</v>
      </c>
      <c r="L146" s="281">
        <f>'3. GRI Pricing'!P156</f>
        <v>25</v>
      </c>
      <c r="M146" s="281">
        <f>'3. GRI Pricing'!R156</f>
        <v>0</v>
      </c>
      <c r="N146" s="281">
        <f>'3. GRI Pricing'!S156</f>
        <v>70</v>
      </c>
      <c r="O146" s="281">
        <f>'3. GRI Pricing'!Q156</f>
        <v>0</v>
      </c>
      <c r="P146" s="281">
        <f>'3. GRI Pricing'!T156</f>
        <v>0</v>
      </c>
      <c r="Q146" s="281">
        <f>'3. GRI Pricing'!U156</f>
        <v>0</v>
      </c>
      <c r="R146" s="281">
        <f>'3. GRI Pricing'!V156</f>
        <v>0</v>
      </c>
      <c r="S146" s="281">
        <f>'3. GRI Pricing'!W156</f>
        <v>0</v>
      </c>
      <c r="T146" s="281">
        <f>'3. GRI Pricing'!X156</f>
        <v>0</v>
      </c>
      <c r="U146" s="282">
        <f>'3. GRI Pricing'!Y156</f>
        <v>1340</v>
      </c>
    </row>
    <row r="147" spans="3:21" x14ac:dyDescent="0.2">
      <c r="C147" s="23" t="str">
        <f>'3. GRI Pricing'!C157</f>
        <v>406S</v>
      </c>
      <c r="D147" s="16" t="str">
        <f>'3. GRI Pricing'!D157</f>
        <v>1 Bed</v>
      </c>
      <c r="E147" s="16">
        <f>'3. GRI Pricing'!E157</f>
        <v>1</v>
      </c>
      <c r="F147" s="16">
        <f>'3. GRI Pricing'!F157</f>
        <v>474</v>
      </c>
      <c r="G147" s="16">
        <f>'3. GRI Pricing'!G157</f>
        <v>4</v>
      </c>
      <c r="H147" s="16" t="str">
        <f>'3. GRI Pricing'!H157</f>
        <v>Courtyard</v>
      </c>
      <c r="I147" s="280">
        <f>'3. GRI Pricing'!K157</f>
        <v>845</v>
      </c>
      <c r="J147" s="281">
        <f>'3. GRI Pricing'!O157</f>
        <v>70</v>
      </c>
      <c r="K147" s="281">
        <f>'3. GRI Pricing'!L157</f>
        <v>0</v>
      </c>
      <c r="L147" s="281">
        <f>'3. GRI Pricing'!P157</f>
        <v>25</v>
      </c>
      <c r="M147" s="281">
        <f>'3. GRI Pricing'!R157</f>
        <v>0</v>
      </c>
      <c r="N147" s="281">
        <f>'3. GRI Pricing'!S157</f>
        <v>70</v>
      </c>
      <c r="O147" s="281">
        <f>'3. GRI Pricing'!Q157</f>
        <v>0</v>
      </c>
      <c r="P147" s="281">
        <f>'3. GRI Pricing'!T157</f>
        <v>0</v>
      </c>
      <c r="Q147" s="281">
        <f>'3. GRI Pricing'!U157</f>
        <v>0</v>
      </c>
      <c r="R147" s="281">
        <f>'3. GRI Pricing'!V157</f>
        <v>0</v>
      </c>
      <c r="S147" s="281">
        <f>'3. GRI Pricing'!W157</f>
        <v>0</v>
      </c>
      <c r="T147" s="281">
        <f>'3. GRI Pricing'!X157</f>
        <v>0</v>
      </c>
      <c r="U147" s="282">
        <f>'3. GRI Pricing'!Y157</f>
        <v>1010</v>
      </c>
    </row>
    <row r="148" spans="3:21" x14ac:dyDescent="0.2">
      <c r="C148" s="23" t="str">
        <f>'3. GRI Pricing'!C158</f>
        <v>407S</v>
      </c>
      <c r="D148" s="16" t="str">
        <f>'3. GRI Pricing'!D158</f>
        <v>2 Bed</v>
      </c>
      <c r="E148" s="16">
        <f>'3. GRI Pricing'!E158</f>
        <v>2</v>
      </c>
      <c r="F148" s="16">
        <f>'3. GRI Pricing'!F158</f>
        <v>624</v>
      </c>
      <c r="G148" s="16">
        <f>'3. GRI Pricing'!G158</f>
        <v>4</v>
      </c>
      <c r="H148" s="16" t="str">
        <f>'3. GRI Pricing'!H158</f>
        <v>Courtyard</v>
      </c>
      <c r="I148" s="280">
        <f>'3. GRI Pricing'!K158</f>
        <v>1110</v>
      </c>
      <c r="J148" s="281">
        <f>'3. GRI Pricing'!O158</f>
        <v>70</v>
      </c>
      <c r="K148" s="281">
        <f>'3. GRI Pricing'!L158</f>
        <v>0</v>
      </c>
      <c r="L148" s="281">
        <f>'3. GRI Pricing'!P158</f>
        <v>25</v>
      </c>
      <c r="M148" s="281">
        <f>'3. GRI Pricing'!R158</f>
        <v>0</v>
      </c>
      <c r="N148" s="281">
        <f>'3. GRI Pricing'!S158</f>
        <v>70</v>
      </c>
      <c r="O148" s="281">
        <f>'3. GRI Pricing'!Q158</f>
        <v>0</v>
      </c>
      <c r="P148" s="281">
        <f>'3. GRI Pricing'!T158</f>
        <v>0</v>
      </c>
      <c r="Q148" s="281">
        <f>'3. GRI Pricing'!U158</f>
        <v>0</v>
      </c>
      <c r="R148" s="281">
        <f>'3. GRI Pricing'!V158</f>
        <v>0</v>
      </c>
      <c r="S148" s="281">
        <f>'3. GRI Pricing'!W158</f>
        <v>0</v>
      </c>
      <c r="T148" s="281">
        <f>'3. GRI Pricing'!X158</f>
        <v>0</v>
      </c>
      <c r="U148" s="282">
        <f>'3. GRI Pricing'!Y158</f>
        <v>1285</v>
      </c>
    </row>
    <row r="149" spans="3:21" x14ac:dyDescent="0.2">
      <c r="C149" s="23" t="str">
        <f>'3. GRI Pricing'!C159</f>
        <v>501S</v>
      </c>
      <c r="D149" s="16" t="str">
        <f>'3. GRI Pricing'!D159</f>
        <v>2 Bed</v>
      </c>
      <c r="E149" s="16">
        <f>'3. GRI Pricing'!E159</f>
        <v>2</v>
      </c>
      <c r="F149" s="16">
        <f>'3. GRI Pricing'!F159</f>
        <v>624</v>
      </c>
      <c r="G149" s="16">
        <f>'3. GRI Pricing'!G159</f>
        <v>5</v>
      </c>
      <c r="H149" s="16" t="str">
        <f>'3. GRI Pricing'!H159</f>
        <v>River- Full</v>
      </c>
      <c r="I149" s="280">
        <f>'3. GRI Pricing'!K159</f>
        <v>1110</v>
      </c>
      <c r="J149" s="281">
        <f>'3. GRI Pricing'!O159</f>
        <v>70</v>
      </c>
      <c r="K149" s="281">
        <f>'3. GRI Pricing'!L159</f>
        <v>0</v>
      </c>
      <c r="L149" s="281">
        <f>'3. GRI Pricing'!P159</f>
        <v>60</v>
      </c>
      <c r="M149" s="281">
        <f>'3. GRI Pricing'!R159</f>
        <v>40</v>
      </c>
      <c r="N149" s="281">
        <f>'3. GRI Pricing'!S159</f>
        <v>70</v>
      </c>
      <c r="O149" s="281">
        <f>'3. GRI Pricing'!Q159</f>
        <v>0</v>
      </c>
      <c r="P149" s="281">
        <f>'3. GRI Pricing'!T159</f>
        <v>0</v>
      </c>
      <c r="Q149" s="281">
        <f>'3. GRI Pricing'!U159</f>
        <v>0</v>
      </c>
      <c r="R149" s="281">
        <f>'3. GRI Pricing'!V159</f>
        <v>0</v>
      </c>
      <c r="S149" s="281">
        <f>'3. GRI Pricing'!W159</f>
        <v>0</v>
      </c>
      <c r="T149" s="281">
        <f>'3. GRI Pricing'!X159</f>
        <v>0</v>
      </c>
      <c r="U149" s="282">
        <f>'3. GRI Pricing'!Y159</f>
        <v>1360</v>
      </c>
    </row>
    <row r="150" spans="3:21" x14ac:dyDescent="0.2">
      <c r="C150" s="23" t="str">
        <f>'3. GRI Pricing'!C160</f>
        <v>502S</v>
      </c>
      <c r="D150" s="16" t="str">
        <f>'3. GRI Pricing'!D160</f>
        <v>2 Bed</v>
      </c>
      <c r="E150" s="16">
        <f>'3. GRI Pricing'!E160</f>
        <v>2</v>
      </c>
      <c r="F150" s="16">
        <f>'3. GRI Pricing'!F160</f>
        <v>603</v>
      </c>
      <c r="G150" s="16">
        <f>'3. GRI Pricing'!G160</f>
        <v>5</v>
      </c>
      <c r="H150" s="16" t="str">
        <f>'3. GRI Pricing'!H160</f>
        <v>River- Full</v>
      </c>
      <c r="I150" s="280">
        <f>'3. GRI Pricing'!K160</f>
        <v>1110</v>
      </c>
      <c r="J150" s="281">
        <f>'3. GRI Pricing'!O160</f>
        <v>70</v>
      </c>
      <c r="K150" s="281">
        <f>'3. GRI Pricing'!L160</f>
        <v>0</v>
      </c>
      <c r="L150" s="281">
        <f>'3. GRI Pricing'!P160</f>
        <v>60</v>
      </c>
      <c r="M150" s="281">
        <f>'3. GRI Pricing'!R160</f>
        <v>40</v>
      </c>
      <c r="N150" s="281">
        <f>'3. GRI Pricing'!S160</f>
        <v>70</v>
      </c>
      <c r="O150" s="281">
        <f>'3. GRI Pricing'!Q160</f>
        <v>0</v>
      </c>
      <c r="P150" s="281">
        <f>'3. GRI Pricing'!T160</f>
        <v>0</v>
      </c>
      <c r="Q150" s="281">
        <f>'3. GRI Pricing'!U160</f>
        <v>0</v>
      </c>
      <c r="R150" s="281">
        <f>'3. GRI Pricing'!V160</f>
        <v>0</v>
      </c>
      <c r="S150" s="281">
        <f>'3. GRI Pricing'!W160</f>
        <v>0</v>
      </c>
      <c r="T150" s="281">
        <f>'3. GRI Pricing'!X160</f>
        <v>0</v>
      </c>
      <c r="U150" s="282">
        <f>'3. GRI Pricing'!Y160</f>
        <v>1355</v>
      </c>
    </row>
    <row r="151" spans="3:21" x14ac:dyDescent="0.2">
      <c r="C151" s="23" t="str">
        <f>'3. GRI Pricing'!C161</f>
        <v>503S</v>
      </c>
      <c r="D151" s="16" t="str">
        <f>'3. GRI Pricing'!D161</f>
        <v>2 Bed</v>
      </c>
      <c r="E151" s="16">
        <f>'3. GRI Pricing'!E161</f>
        <v>2</v>
      </c>
      <c r="F151" s="16">
        <f>'3. GRI Pricing'!F161</f>
        <v>614</v>
      </c>
      <c r="G151" s="16">
        <f>'3. GRI Pricing'!G161</f>
        <v>5</v>
      </c>
      <c r="H151" s="16" t="str">
        <f>'3. GRI Pricing'!H161</f>
        <v>River- Full</v>
      </c>
      <c r="I151" s="280">
        <f>'3. GRI Pricing'!K161</f>
        <v>1110</v>
      </c>
      <c r="J151" s="281">
        <f>'3. GRI Pricing'!O161</f>
        <v>70</v>
      </c>
      <c r="K151" s="281">
        <f>'3. GRI Pricing'!L161</f>
        <v>0</v>
      </c>
      <c r="L151" s="281">
        <f>'3. GRI Pricing'!P161</f>
        <v>60</v>
      </c>
      <c r="M151" s="281">
        <f>'3. GRI Pricing'!R161</f>
        <v>40</v>
      </c>
      <c r="N151" s="281">
        <f>'3. GRI Pricing'!S161</f>
        <v>70</v>
      </c>
      <c r="O151" s="281">
        <f>'3. GRI Pricing'!Q161</f>
        <v>0</v>
      </c>
      <c r="P151" s="281">
        <f>'3. GRI Pricing'!T161</f>
        <v>0</v>
      </c>
      <c r="Q151" s="281">
        <f>'3. GRI Pricing'!U161</f>
        <v>0</v>
      </c>
      <c r="R151" s="281">
        <f>'3. GRI Pricing'!V161</f>
        <v>0</v>
      </c>
      <c r="S151" s="281">
        <f>'3. GRI Pricing'!W161</f>
        <v>0</v>
      </c>
      <c r="T151" s="281">
        <f>'3. GRI Pricing'!X161</f>
        <v>0</v>
      </c>
      <c r="U151" s="282">
        <f>'3. GRI Pricing'!Y161</f>
        <v>1355</v>
      </c>
    </row>
    <row r="152" spans="3:21" x14ac:dyDescent="0.2">
      <c r="C152" s="23" t="str">
        <f>'3. GRI Pricing'!C162</f>
        <v>504S</v>
      </c>
      <c r="D152" s="16" t="str">
        <f>'3. GRI Pricing'!D162</f>
        <v>3 Bed</v>
      </c>
      <c r="E152" s="16">
        <f>'3. GRI Pricing'!E162</f>
        <v>3</v>
      </c>
      <c r="F152" s="16">
        <f>'3. GRI Pricing'!F162</f>
        <v>829</v>
      </c>
      <c r="G152" s="16">
        <f>'3. GRI Pricing'!G162</f>
        <v>5</v>
      </c>
      <c r="H152" s="16" t="str">
        <f>'3. GRI Pricing'!H162</f>
        <v>River- Full</v>
      </c>
      <c r="I152" s="280">
        <f>'3. GRI Pricing'!K162</f>
        <v>1485</v>
      </c>
      <c r="J152" s="281">
        <f>'3. GRI Pricing'!O162</f>
        <v>70</v>
      </c>
      <c r="K152" s="281">
        <f>'3. GRI Pricing'!L162</f>
        <v>0</v>
      </c>
      <c r="L152" s="281">
        <f>'3. GRI Pricing'!P162</f>
        <v>60</v>
      </c>
      <c r="M152" s="281">
        <f>'3. GRI Pricing'!R162</f>
        <v>40</v>
      </c>
      <c r="N152" s="281">
        <f>'3. GRI Pricing'!S162</f>
        <v>70</v>
      </c>
      <c r="O152" s="281">
        <f>'3. GRI Pricing'!Q162</f>
        <v>0</v>
      </c>
      <c r="P152" s="281">
        <f>'3. GRI Pricing'!T162</f>
        <v>0</v>
      </c>
      <c r="Q152" s="281">
        <f>'3. GRI Pricing'!U162</f>
        <v>0</v>
      </c>
      <c r="R152" s="281">
        <f>'3. GRI Pricing'!V162</f>
        <v>0</v>
      </c>
      <c r="S152" s="281">
        <f>'3. GRI Pricing'!W162</f>
        <v>0</v>
      </c>
      <c r="T152" s="281">
        <f>'3. GRI Pricing'!X162</f>
        <v>0</v>
      </c>
      <c r="U152" s="282">
        <f>'3. GRI Pricing'!Y162</f>
        <v>1785</v>
      </c>
    </row>
    <row r="153" spans="3:21" x14ac:dyDescent="0.2">
      <c r="C153" s="23" t="str">
        <f>'3. GRI Pricing'!C163</f>
        <v>505S</v>
      </c>
      <c r="D153" s="16" t="str">
        <f>'3. GRI Pricing'!D163</f>
        <v>2 Bed</v>
      </c>
      <c r="E153" s="16">
        <f>'3. GRI Pricing'!E163</f>
        <v>2</v>
      </c>
      <c r="F153" s="16">
        <f>'3. GRI Pricing'!F163</f>
        <v>689</v>
      </c>
      <c r="G153" s="16">
        <f>'3. GRI Pricing'!G163</f>
        <v>5</v>
      </c>
      <c r="H153" s="16" t="str">
        <f>'3. GRI Pricing'!H163</f>
        <v>Courtyard</v>
      </c>
      <c r="I153" s="280">
        <f>'3. GRI Pricing'!K163</f>
        <v>1110</v>
      </c>
      <c r="J153" s="281">
        <f>'3. GRI Pricing'!O163</f>
        <v>70</v>
      </c>
      <c r="K153" s="281">
        <f>'3. GRI Pricing'!L163</f>
        <v>0</v>
      </c>
      <c r="L153" s="281">
        <f>'3. GRI Pricing'!P163</f>
        <v>25</v>
      </c>
      <c r="M153" s="281">
        <f>'3. GRI Pricing'!R163</f>
        <v>0</v>
      </c>
      <c r="N153" s="281">
        <f>'3. GRI Pricing'!S163</f>
        <v>70</v>
      </c>
      <c r="O153" s="281">
        <f>'3. GRI Pricing'!Q163</f>
        <v>0</v>
      </c>
      <c r="P153" s="281">
        <f>'3. GRI Pricing'!T163</f>
        <v>0</v>
      </c>
      <c r="Q153" s="281">
        <f>'3. GRI Pricing'!U163</f>
        <v>0</v>
      </c>
      <c r="R153" s="281">
        <f>'3. GRI Pricing'!V163</f>
        <v>0</v>
      </c>
      <c r="S153" s="281">
        <f>'3. GRI Pricing'!W163</f>
        <v>0</v>
      </c>
      <c r="T153" s="281">
        <f>'3. GRI Pricing'!X163</f>
        <v>0</v>
      </c>
      <c r="U153" s="282">
        <f>'3. GRI Pricing'!Y163</f>
        <v>1340</v>
      </c>
    </row>
    <row r="154" spans="3:21" x14ac:dyDescent="0.2">
      <c r="C154" s="23" t="str">
        <f>'3. GRI Pricing'!C164</f>
        <v>506S</v>
      </c>
      <c r="D154" s="16" t="str">
        <f>'3. GRI Pricing'!D164</f>
        <v>1 Bed</v>
      </c>
      <c r="E154" s="16">
        <f>'3. GRI Pricing'!E164</f>
        <v>1</v>
      </c>
      <c r="F154" s="16">
        <f>'3. GRI Pricing'!F164</f>
        <v>474</v>
      </c>
      <c r="G154" s="16">
        <f>'3. GRI Pricing'!G164</f>
        <v>5</v>
      </c>
      <c r="H154" s="16" t="str">
        <f>'3. GRI Pricing'!H164</f>
        <v>Courtyard</v>
      </c>
      <c r="I154" s="280">
        <f>'3. GRI Pricing'!K164</f>
        <v>845</v>
      </c>
      <c r="J154" s="281">
        <f>'3. GRI Pricing'!O164</f>
        <v>70</v>
      </c>
      <c r="K154" s="281">
        <f>'3. GRI Pricing'!L164</f>
        <v>0</v>
      </c>
      <c r="L154" s="281">
        <f>'3. GRI Pricing'!P164</f>
        <v>25</v>
      </c>
      <c r="M154" s="281">
        <f>'3. GRI Pricing'!R164</f>
        <v>0</v>
      </c>
      <c r="N154" s="281">
        <f>'3. GRI Pricing'!S164</f>
        <v>70</v>
      </c>
      <c r="O154" s="281">
        <f>'3. GRI Pricing'!Q164</f>
        <v>0</v>
      </c>
      <c r="P154" s="281">
        <f>'3. GRI Pricing'!T164</f>
        <v>0</v>
      </c>
      <c r="Q154" s="281">
        <f>'3. GRI Pricing'!U164</f>
        <v>0</v>
      </c>
      <c r="R154" s="281">
        <f>'3. GRI Pricing'!V164</f>
        <v>0</v>
      </c>
      <c r="S154" s="281">
        <f>'3. GRI Pricing'!W164</f>
        <v>0</v>
      </c>
      <c r="T154" s="281">
        <f>'3. GRI Pricing'!X164</f>
        <v>0</v>
      </c>
      <c r="U154" s="282">
        <f>'3. GRI Pricing'!Y164</f>
        <v>1010</v>
      </c>
    </row>
    <row r="155" spans="3:21" x14ac:dyDescent="0.2">
      <c r="C155" s="23" t="str">
        <f>'3. GRI Pricing'!C165</f>
        <v>507S</v>
      </c>
      <c r="D155" s="16" t="str">
        <f>'3. GRI Pricing'!D165</f>
        <v>2 Bed</v>
      </c>
      <c r="E155" s="16">
        <f>'3. GRI Pricing'!E165</f>
        <v>2</v>
      </c>
      <c r="F155" s="16">
        <f>'3. GRI Pricing'!F165</f>
        <v>624</v>
      </c>
      <c r="G155" s="16">
        <f>'3. GRI Pricing'!G165</f>
        <v>5</v>
      </c>
      <c r="H155" s="16" t="str">
        <f>'3. GRI Pricing'!H165</f>
        <v>Courtyard</v>
      </c>
      <c r="I155" s="280">
        <f>'3. GRI Pricing'!K165</f>
        <v>1110</v>
      </c>
      <c r="J155" s="281">
        <f>'3. GRI Pricing'!O165</f>
        <v>70</v>
      </c>
      <c r="K155" s="281">
        <f>'3. GRI Pricing'!L165</f>
        <v>0</v>
      </c>
      <c r="L155" s="281">
        <f>'3. GRI Pricing'!P165</f>
        <v>25</v>
      </c>
      <c r="M155" s="281">
        <f>'3. GRI Pricing'!R165</f>
        <v>0</v>
      </c>
      <c r="N155" s="281">
        <f>'3. GRI Pricing'!S165</f>
        <v>70</v>
      </c>
      <c r="O155" s="281">
        <f>'3. GRI Pricing'!Q165</f>
        <v>0</v>
      </c>
      <c r="P155" s="281">
        <f>'3. GRI Pricing'!T165</f>
        <v>0</v>
      </c>
      <c r="Q155" s="281">
        <f>'3. GRI Pricing'!U165</f>
        <v>0</v>
      </c>
      <c r="R155" s="281">
        <f>'3. GRI Pricing'!V165</f>
        <v>0</v>
      </c>
      <c r="S155" s="281">
        <f>'3. GRI Pricing'!W165</f>
        <v>0</v>
      </c>
      <c r="T155" s="281">
        <f>'3. GRI Pricing'!X165</f>
        <v>0</v>
      </c>
      <c r="U155" s="282">
        <f>'3. GRI Pricing'!Y165</f>
        <v>1285</v>
      </c>
    </row>
    <row r="156" spans="3:21" x14ac:dyDescent="0.2">
      <c r="C156" s="23" t="str">
        <f>'3. GRI Pricing'!C166</f>
        <v>601S</v>
      </c>
      <c r="D156" s="16" t="str">
        <f>'3. GRI Pricing'!D166</f>
        <v>2 Bed</v>
      </c>
      <c r="E156" s="16">
        <f>'3. GRI Pricing'!E166</f>
        <v>2</v>
      </c>
      <c r="F156" s="16">
        <f>'3. GRI Pricing'!F166</f>
        <v>624</v>
      </c>
      <c r="G156" s="16">
        <f>'3. GRI Pricing'!G166</f>
        <v>6</v>
      </c>
      <c r="H156" s="16" t="str">
        <f>'3. GRI Pricing'!H166</f>
        <v>River- Full</v>
      </c>
      <c r="I156" s="280">
        <f>'3. GRI Pricing'!K166</f>
        <v>1110</v>
      </c>
      <c r="J156" s="281">
        <f>'3. GRI Pricing'!O166</f>
        <v>80</v>
      </c>
      <c r="K156" s="281">
        <f>'3. GRI Pricing'!L166</f>
        <v>0</v>
      </c>
      <c r="L156" s="281">
        <f>'3. GRI Pricing'!P166</f>
        <v>60</v>
      </c>
      <c r="M156" s="281">
        <f>'3. GRI Pricing'!R166</f>
        <v>40</v>
      </c>
      <c r="N156" s="281">
        <f>'3. GRI Pricing'!S166</f>
        <v>70</v>
      </c>
      <c r="O156" s="281">
        <f>'3. GRI Pricing'!Q166</f>
        <v>0</v>
      </c>
      <c r="P156" s="281">
        <f>'3. GRI Pricing'!T166</f>
        <v>0</v>
      </c>
      <c r="Q156" s="281">
        <f>'3. GRI Pricing'!U166</f>
        <v>0</v>
      </c>
      <c r="R156" s="281">
        <f>'3. GRI Pricing'!V166</f>
        <v>0</v>
      </c>
      <c r="S156" s="281">
        <f>'3. GRI Pricing'!W166</f>
        <v>0</v>
      </c>
      <c r="T156" s="281">
        <f>'3. GRI Pricing'!X166</f>
        <v>0</v>
      </c>
      <c r="U156" s="282">
        <f>'3. GRI Pricing'!Y166</f>
        <v>1370</v>
      </c>
    </row>
    <row r="157" spans="3:21" x14ac:dyDescent="0.2">
      <c r="C157" s="23" t="str">
        <f>'3. GRI Pricing'!C167</f>
        <v>602S</v>
      </c>
      <c r="D157" s="16" t="str">
        <f>'3. GRI Pricing'!D167</f>
        <v>2 Bed</v>
      </c>
      <c r="E157" s="16">
        <f>'3. GRI Pricing'!E167</f>
        <v>2</v>
      </c>
      <c r="F157" s="16">
        <f>'3. GRI Pricing'!F167</f>
        <v>603</v>
      </c>
      <c r="G157" s="16">
        <f>'3. GRI Pricing'!G167</f>
        <v>6</v>
      </c>
      <c r="H157" s="16" t="str">
        <f>'3. GRI Pricing'!H167</f>
        <v>River- Full</v>
      </c>
      <c r="I157" s="280">
        <f>'3. GRI Pricing'!K167</f>
        <v>1110</v>
      </c>
      <c r="J157" s="281">
        <f>'3. GRI Pricing'!O167</f>
        <v>80</v>
      </c>
      <c r="K157" s="281">
        <f>'3. GRI Pricing'!L167</f>
        <v>0</v>
      </c>
      <c r="L157" s="281">
        <f>'3. GRI Pricing'!P167</f>
        <v>60</v>
      </c>
      <c r="M157" s="281">
        <f>'3. GRI Pricing'!R167</f>
        <v>40</v>
      </c>
      <c r="N157" s="281">
        <f>'3. GRI Pricing'!S167</f>
        <v>70</v>
      </c>
      <c r="O157" s="281">
        <f>'3. GRI Pricing'!Q167</f>
        <v>0</v>
      </c>
      <c r="P157" s="281">
        <f>'3. GRI Pricing'!T167</f>
        <v>0</v>
      </c>
      <c r="Q157" s="281">
        <f>'3. GRI Pricing'!U167</f>
        <v>0</v>
      </c>
      <c r="R157" s="281">
        <f>'3. GRI Pricing'!V167</f>
        <v>0</v>
      </c>
      <c r="S157" s="281">
        <f>'3. GRI Pricing'!W167</f>
        <v>0</v>
      </c>
      <c r="T157" s="281">
        <f>'3. GRI Pricing'!X167</f>
        <v>0</v>
      </c>
      <c r="U157" s="282">
        <f>'3. GRI Pricing'!Y167</f>
        <v>1365</v>
      </c>
    </row>
    <row r="158" spans="3:21" x14ac:dyDescent="0.2">
      <c r="C158" s="23" t="str">
        <f>'3. GRI Pricing'!C168</f>
        <v>603S</v>
      </c>
      <c r="D158" s="16" t="str">
        <f>'3. GRI Pricing'!D168</f>
        <v>2 Bed</v>
      </c>
      <c r="E158" s="16">
        <f>'3. GRI Pricing'!E168</f>
        <v>2</v>
      </c>
      <c r="F158" s="16">
        <f>'3. GRI Pricing'!F168</f>
        <v>614</v>
      </c>
      <c r="G158" s="16">
        <f>'3. GRI Pricing'!G168</f>
        <v>6</v>
      </c>
      <c r="H158" s="16" t="str">
        <f>'3. GRI Pricing'!H168</f>
        <v>River- Full</v>
      </c>
      <c r="I158" s="280">
        <f>'3. GRI Pricing'!K168</f>
        <v>1110</v>
      </c>
      <c r="J158" s="281">
        <f>'3. GRI Pricing'!O168</f>
        <v>80</v>
      </c>
      <c r="K158" s="281">
        <f>'3. GRI Pricing'!L168</f>
        <v>0</v>
      </c>
      <c r="L158" s="281">
        <f>'3. GRI Pricing'!P168</f>
        <v>60</v>
      </c>
      <c r="M158" s="281">
        <f>'3. GRI Pricing'!R168</f>
        <v>40</v>
      </c>
      <c r="N158" s="281">
        <f>'3. GRI Pricing'!S168</f>
        <v>70</v>
      </c>
      <c r="O158" s="281">
        <f>'3. GRI Pricing'!Q168</f>
        <v>0</v>
      </c>
      <c r="P158" s="281">
        <f>'3. GRI Pricing'!T168</f>
        <v>0</v>
      </c>
      <c r="Q158" s="281">
        <f>'3. GRI Pricing'!U168</f>
        <v>0</v>
      </c>
      <c r="R158" s="281">
        <f>'3. GRI Pricing'!V168</f>
        <v>0</v>
      </c>
      <c r="S158" s="281">
        <f>'3. GRI Pricing'!W168</f>
        <v>0</v>
      </c>
      <c r="T158" s="281">
        <f>'3. GRI Pricing'!X168</f>
        <v>0</v>
      </c>
      <c r="U158" s="282">
        <f>'3. GRI Pricing'!Y168</f>
        <v>1365</v>
      </c>
    </row>
    <row r="159" spans="3:21" x14ac:dyDescent="0.2">
      <c r="C159" s="23" t="str">
        <f>'3. GRI Pricing'!C169</f>
        <v>604S</v>
      </c>
      <c r="D159" s="16" t="str">
        <f>'3. GRI Pricing'!D169</f>
        <v>3 Bed</v>
      </c>
      <c r="E159" s="16">
        <f>'3. GRI Pricing'!E169</f>
        <v>3</v>
      </c>
      <c r="F159" s="16">
        <f>'3. GRI Pricing'!F169</f>
        <v>829</v>
      </c>
      <c r="G159" s="16">
        <f>'3. GRI Pricing'!G169</f>
        <v>6</v>
      </c>
      <c r="H159" s="16" t="str">
        <f>'3. GRI Pricing'!H169</f>
        <v>River- Full</v>
      </c>
      <c r="I159" s="280">
        <f>'3. GRI Pricing'!K169</f>
        <v>1485</v>
      </c>
      <c r="J159" s="281">
        <f>'3. GRI Pricing'!O169</f>
        <v>80</v>
      </c>
      <c r="K159" s="281">
        <f>'3. GRI Pricing'!L169</f>
        <v>0</v>
      </c>
      <c r="L159" s="281">
        <f>'3. GRI Pricing'!P169</f>
        <v>60</v>
      </c>
      <c r="M159" s="281">
        <f>'3. GRI Pricing'!R169</f>
        <v>40</v>
      </c>
      <c r="N159" s="281">
        <f>'3. GRI Pricing'!S169</f>
        <v>70</v>
      </c>
      <c r="O159" s="281">
        <f>'3. GRI Pricing'!Q169</f>
        <v>0</v>
      </c>
      <c r="P159" s="281">
        <f>'3. GRI Pricing'!T169</f>
        <v>0</v>
      </c>
      <c r="Q159" s="281">
        <f>'3. GRI Pricing'!U169</f>
        <v>0</v>
      </c>
      <c r="R159" s="281">
        <f>'3. GRI Pricing'!V169</f>
        <v>0</v>
      </c>
      <c r="S159" s="281">
        <f>'3. GRI Pricing'!W169</f>
        <v>0</v>
      </c>
      <c r="T159" s="281">
        <f>'3. GRI Pricing'!X169</f>
        <v>0</v>
      </c>
      <c r="U159" s="282">
        <f>'3. GRI Pricing'!Y169</f>
        <v>1795</v>
      </c>
    </row>
    <row r="160" spans="3:21" x14ac:dyDescent="0.2">
      <c r="C160" s="23" t="str">
        <f>'3. GRI Pricing'!C170</f>
        <v>605S</v>
      </c>
      <c r="D160" s="16" t="str">
        <f>'3. GRI Pricing'!D170</f>
        <v>2 Bed</v>
      </c>
      <c r="E160" s="16">
        <f>'3. GRI Pricing'!E170</f>
        <v>2</v>
      </c>
      <c r="F160" s="16">
        <f>'3. GRI Pricing'!F170</f>
        <v>689</v>
      </c>
      <c r="G160" s="16">
        <f>'3. GRI Pricing'!G170</f>
        <v>6</v>
      </c>
      <c r="H160" s="16" t="str">
        <f>'3. GRI Pricing'!H170</f>
        <v>Courtyard</v>
      </c>
      <c r="I160" s="280">
        <f>'3. GRI Pricing'!K170</f>
        <v>1110</v>
      </c>
      <c r="J160" s="281">
        <f>'3. GRI Pricing'!O170</f>
        <v>80</v>
      </c>
      <c r="K160" s="281">
        <f>'3. GRI Pricing'!L170</f>
        <v>0</v>
      </c>
      <c r="L160" s="281">
        <f>'3. GRI Pricing'!P170</f>
        <v>25</v>
      </c>
      <c r="M160" s="281">
        <f>'3. GRI Pricing'!R170</f>
        <v>0</v>
      </c>
      <c r="N160" s="281">
        <f>'3. GRI Pricing'!S170</f>
        <v>70</v>
      </c>
      <c r="O160" s="281">
        <f>'3. GRI Pricing'!Q170</f>
        <v>0</v>
      </c>
      <c r="P160" s="281">
        <f>'3. GRI Pricing'!T170</f>
        <v>0</v>
      </c>
      <c r="Q160" s="281">
        <f>'3. GRI Pricing'!U170</f>
        <v>0</v>
      </c>
      <c r="R160" s="281">
        <f>'3. GRI Pricing'!V170</f>
        <v>0</v>
      </c>
      <c r="S160" s="281">
        <f>'3. GRI Pricing'!W170</f>
        <v>0</v>
      </c>
      <c r="T160" s="281">
        <f>'3. GRI Pricing'!X170</f>
        <v>0</v>
      </c>
      <c r="U160" s="282">
        <f>'3. GRI Pricing'!Y170</f>
        <v>1350</v>
      </c>
    </row>
    <row r="161" spans="3:21" x14ac:dyDescent="0.2">
      <c r="C161" s="23" t="str">
        <f>'3. GRI Pricing'!C171</f>
        <v>606S</v>
      </c>
      <c r="D161" s="16" t="str">
        <f>'3. GRI Pricing'!D171</f>
        <v>1 Bed</v>
      </c>
      <c r="E161" s="16">
        <f>'3. GRI Pricing'!E171</f>
        <v>1</v>
      </c>
      <c r="F161" s="16">
        <f>'3. GRI Pricing'!F171</f>
        <v>474</v>
      </c>
      <c r="G161" s="16">
        <f>'3. GRI Pricing'!G171</f>
        <v>6</v>
      </c>
      <c r="H161" s="16" t="str">
        <f>'3. GRI Pricing'!H171</f>
        <v>Courtyard</v>
      </c>
      <c r="I161" s="280">
        <f>'3. GRI Pricing'!K171</f>
        <v>845</v>
      </c>
      <c r="J161" s="281">
        <f>'3. GRI Pricing'!O171</f>
        <v>80</v>
      </c>
      <c r="K161" s="281">
        <f>'3. GRI Pricing'!L171</f>
        <v>0</v>
      </c>
      <c r="L161" s="281">
        <f>'3. GRI Pricing'!P171</f>
        <v>25</v>
      </c>
      <c r="M161" s="281">
        <f>'3. GRI Pricing'!R171</f>
        <v>0</v>
      </c>
      <c r="N161" s="281">
        <f>'3. GRI Pricing'!S171</f>
        <v>70</v>
      </c>
      <c r="O161" s="281">
        <f>'3. GRI Pricing'!Q171</f>
        <v>0</v>
      </c>
      <c r="P161" s="281">
        <f>'3. GRI Pricing'!T171</f>
        <v>0</v>
      </c>
      <c r="Q161" s="281">
        <f>'3. GRI Pricing'!U171</f>
        <v>0</v>
      </c>
      <c r="R161" s="281">
        <f>'3. GRI Pricing'!V171</f>
        <v>0</v>
      </c>
      <c r="S161" s="281">
        <f>'3. GRI Pricing'!W171</f>
        <v>0</v>
      </c>
      <c r="T161" s="281">
        <f>'3. GRI Pricing'!X171</f>
        <v>0</v>
      </c>
      <c r="U161" s="282">
        <f>'3. GRI Pricing'!Y171</f>
        <v>1020</v>
      </c>
    </row>
    <row r="162" spans="3:21" x14ac:dyDescent="0.2">
      <c r="C162" s="23" t="str">
        <f>'3. GRI Pricing'!C172</f>
        <v>607S</v>
      </c>
      <c r="D162" s="16" t="str">
        <f>'3. GRI Pricing'!D172</f>
        <v>2 Bed</v>
      </c>
      <c r="E162" s="16">
        <f>'3. GRI Pricing'!E172</f>
        <v>2</v>
      </c>
      <c r="F162" s="16">
        <f>'3. GRI Pricing'!F172</f>
        <v>624</v>
      </c>
      <c r="G162" s="16">
        <f>'3. GRI Pricing'!G172</f>
        <v>6</v>
      </c>
      <c r="H162" s="16" t="str">
        <f>'3. GRI Pricing'!H172</f>
        <v>Courtyard</v>
      </c>
      <c r="I162" s="280">
        <f>'3. GRI Pricing'!K172</f>
        <v>1110</v>
      </c>
      <c r="J162" s="281">
        <f>'3. GRI Pricing'!O172</f>
        <v>80</v>
      </c>
      <c r="K162" s="281">
        <f>'3. GRI Pricing'!L172</f>
        <v>0</v>
      </c>
      <c r="L162" s="281">
        <f>'3. GRI Pricing'!P172</f>
        <v>25</v>
      </c>
      <c r="M162" s="281">
        <f>'3. GRI Pricing'!R172</f>
        <v>0</v>
      </c>
      <c r="N162" s="281">
        <f>'3. GRI Pricing'!S172</f>
        <v>70</v>
      </c>
      <c r="O162" s="281">
        <f>'3. GRI Pricing'!Q172</f>
        <v>0</v>
      </c>
      <c r="P162" s="281">
        <f>'3. GRI Pricing'!T172</f>
        <v>0</v>
      </c>
      <c r="Q162" s="281">
        <f>'3. GRI Pricing'!U172</f>
        <v>0</v>
      </c>
      <c r="R162" s="281">
        <f>'3. GRI Pricing'!V172</f>
        <v>0</v>
      </c>
      <c r="S162" s="281">
        <f>'3. GRI Pricing'!W172</f>
        <v>0</v>
      </c>
      <c r="T162" s="281">
        <f>'3. GRI Pricing'!X172</f>
        <v>0</v>
      </c>
      <c r="U162" s="282">
        <f>'3. GRI Pricing'!Y172</f>
        <v>1295</v>
      </c>
    </row>
    <row r="163" spans="3:21" x14ac:dyDescent="0.2">
      <c r="C163" s="23" t="str">
        <f>'3. GRI Pricing'!C173</f>
        <v>701S</v>
      </c>
      <c r="D163" s="16" t="str">
        <f>'3. GRI Pricing'!D173</f>
        <v>2 Bed</v>
      </c>
      <c r="E163" s="16">
        <f>'3. GRI Pricing'!E173</f>
        <v>2</v>
      </c>
      <c r="F163" s="16">
        <f>'3. GRI Pricing'!F173</f>
        <v>538</v>
      </c>
      <c r="G163" s="16">
        <f>'3. GRI Pricing'!G173</f>
        <v>7</v>
      </c>
      <c r="H163" s="16" t="str">
        <f>'3. GRI Pricing'!H173</f>
        <v>River- Full</v>
      </c>
      <c r="I163" s="280">
        <f>'3. GRI Pricing'!K173</f>
        <v>1110</v>
      </c>
      <c r="J163" s="281">
        <f>'3. GRI Pricing'!O173</f>
        <v>90</v>
      </c>
      <c r="K163" s="281">
        <f>'3. GRI Pricing'!L173</f>
        <v>0</v>
      </c>
      <c r="L163" s="281">
        <f>'3. GRI Pricing'!P173</f>
        <v>60</v>
      </c>
      <c r="M163" s="281">
        <f>'3. GRI Pricing'!R173</f>
        <v>10</v>
      </c>
      <c r="N163" s="281">
        <f>'3. GRI Pricing'!S173</f>
        <v>70</v>
      </c>
      <c r="O163" s="281">
        <f>'3. GRI Pricing'!Q173</f>
        <v>0</v>
      </c>
      <c r="P163" s="281">
        <f>'3. GRI Pricing'!T173</f>
        <v>-50</v>
      </c>
      <c r="Q163" s="281">
        <f>'3. GRI Pricing'!U173</f>
        <v>0</v>
      </c>
      <c r="R163" s="281">
        <f>'3. GRI Pricing'!V173</f>
        <v>0</v>
      </c>
      <c r="S163" s="281">
        <f>'3. GRI Pricing'!W173</f>
        <v>0</v>
      </c>
      <c r="T163" s="281">
        <f>'3. GRI Pricing'!X173</f>
        <v>0</v>
      </c>
      <c r="U163" s="282">
        <f>'3. GRI Pricing'!Y173</f>
        <v>1290</v>
      </c>
    </row>
    <row r="164" spans="3:21" x14ac:dyDescent="0.2">
      <c r="C164" s="23" t="str">
        <f>'3. GRI Pricing'!C174</f>
        <v>702S</v>
      </c>
      <c r="D164" s="16" t="str">
        <f>'3. GRI Pricing'!D174</f>
        <v>2 Bed</v>
      </c>
      <c r="E164" s="16">
        <f>'3. GRI Pricing'!E174</f>
        <v>2</v>
      </c>
      <c r="F164" s="16">
        <f>'3. GRI Pricing'!F174</f>
        <v>538</v>
      </c>
      <c r="G164" s="16">
        <f>'3. GRI Pricing'!G174</f>
        <v>7</v>
      </c>
      <c r="H164" s="16" t="str">
        <f>'3. GRI Pricing'!H174</f>
        <v>River- Full</v>
      </c>
      <c r="I164" s="280">
        <f>'3. GRI Pricing'!K174</f>
        <v>1110</v>
      </c>
      <c r="J164" s="281">
        <f>'3. GRI Pricing'!O174</f>
        <v>90</v>
      </c>
      <c r="K164" s="281">
        <f>'3. GRI Pricing'!L174</f>
        <v>0</v>
      </c>
      <c r="L164" s="281">
        <f>'3. GRI Pricing'!P174</f>
        <v>60</v>
      </c>
      <c r="M164" s="281">
        <f>'3. GRI Pricing'!R174</f>
        <v>10</v>
      </c>
      <c r="N164" s="281">
        <f>'3. GRI Pricing'!S174</f>
        <v>70</v>
      </c>
      <c r="O164" s="281">
        <f>'3. GRI Pricing'!Q174</f>
        <v>0</v>
      </c>
      <c r="P164" s="281">
        <f>'3. GRI Pricing'!T174</f>
        <v>-50</v>
      </c>
      <c r="Q164" s="281">
        <f>'3. GRI Pricing'!U174</f>
        <v>0</v>
      </c>
      <c r="R164" s="281">
        <f>'3. GRI Pricing'!V174</f>
        <v>0</v>
      </c>
      <c r="S164" s="281">
        <f>'3. GRI Pricing'!W174</f>
        <v>0</v>
      </c>
      <c r="T164" s="281">
        <f>'3. GRI Pricing'!X174</f>
        <v>0</v>
      </c>
      <c r="U164" s="282">
        <f>'3. GRI Pricing'!Y174</f>
        <v>1290</v>
      </c>
    </row>
    <row r="165" spans="3:21" x14ac:dyDescent="0.2">
      <c r="C165" s="23" t="str">
        <f>'3. GRI Pricing'!C175</f>
        <v>703S</v>
      </c>
      <c r="D165" s="16" t="str">
        <f>'3. GRI Pricing'!D175</f>
        <v>2 Bed</v>
      </c>
      <c r="E165" s="16">
        <f>'3. GRI Pricing'!E175</f>
        <v>2</v>
      </c>
      <c r="F165" s="16">
        <f>'3. GRI Pricing'!F175</f>
        <v>549</v>
      </c>
      <c r="G165" s="16">
        <f>'3. GRI Pricing'!G175</f>
        <v>7</v>
      </c>
      <c r="H165" s="16" t="str">
        <f>'3. GRI Pricing'!H175</f>
        <v>River- Full</v>
      </c>
      <c r="I165" s="280">
        <f>'3. GRI Pricing'!K175</f>
        <v>1110</v>
      </c>
      <c r="J165" s="281">
        <f>'3. GRI Pricing'!O175</f>
        <v>90</v>
      </c>
      <c r="K165" s="281">
        <f>'3. GRI Pricing'!L175</f>
        <v>0</v>
      </c>
      <c r="L165" s="281">
        <f>'3. GRI Pricing'!P175</f>
        <v>60</v>
      </c>
      <c r="M165" s="281">
        <f>'3. GRI Pricing'!R175</f>
        <v>10</v>
      </c>
      <c r="N165" s="281">
        <f>'3. GRI Pricing'!S175</f>
        <v>70</v>
      </c>
      <c r="O165" s="281">
        <f>'3. GRI Pricing'!Q175</f>
        <v>0</v>
      </c>
      <c r="P165" s="281">
        <f>'3. GRI Pricing'!T175</f>
        <v>-50</v>
      </c>
      <c r="Q165" s="281">
        <f>'3. GRI Pricing'!U175</f>
        <v>0</v>
      </c>
      <c r="R165" s="281">
        <f>'3. GRI Pricing'!V175</f>
        <v>0</v>
      </c>
      <c r="S165" s="281">
        <f>'3. GRI Pricing'!W175</f>
        <v>0</v>
      </c>
      <c r="T165" s="281">
        <f>'3. GRI Pricing'!X175</f>
        <v>0</v>
      </c>
      <c r="U165" s="282">
        <f>'3. GRI Pricing'!Y175</f>
        <v>1290</v>
      </c>
    </row>
    <row r="166" spans="3:21" x14ac:dyDescent="0.2">
      <c r="C166" s="23" t="str">
        <f>'3. GRI Pricing'!C176</f>
        <v>704S</v>
      </c>
      <c r="D166" s="16" t="str">
        <f>'3. GRI Pricing'!D176</f>
        <v>3 Bed</v>
      </c>
      <c r="E166" s="16">
        <f>'3. GRI Pricing'!E176</f>
        <v>3</v>
      </c>
      <c r="F166" s="16">
        <f>'3. GRI Pricing'!F176</f>
        <v>753</v>
      </c>
      <c r="G166" s="16">
        <f>'3. GRI Pricing'!G176</f>
        <v>7</v>
      </c>
      <c r="H166" s="16" t="str">
        <f>'3. GRI Pricing'!H176</f>
        <v>River- Full</v>
      </c>
      <c r="I166" s="280">
        <f>'3. GRI Pricing'!K176</f>
        <v>1485</v>
      </c>
      <c r="J166" s="281">
        <f>'3. GRI Pricing'!O176</f>
        <v>90</v>
      </c>
      <c r="K166" s="281">
        <f>'3. GRI Pricing'!L176</f>
        <v>0</v>
      </c>
      <c r="L166" s="281">
        <f>'3. GRI Pricing'!P176</f>
        <v>60</v>
      </c>
      <c r="M166" s="281">
        <f>'3. GRI Pricing'!R176</f>
        <v>10</v>
      </c>
      <c r="N166" s="281">
        <f>'3. GRI Pricing'!S176</f>
        <v>70</v>
      </c>
      <c r="O166" s="281">
        <f>'3. GRI Pricing'!Q176</f>
        <v>0</v>
      </c>
      <c r="P166" s="281">
        <f>'3. GRI Pricing'!T176</f>
        <v>-50</v>
      </c>
      <c r="Q166" s="281">
        <f>'3. GRI Pricing'!U176</f>
        <v>0</v>
      </c>
      <c r="R166" s="281">
        <f>'3. GRI Pricing'!V176</f>
        <v>0</v>
      </c>
      <c r="S166" s="281">
        <f>'3. GRI Pricing'!W176</f>
        <v>0</v>
      </c>
      <c r="T166" s="281">
        <f>'3. GRI Pricing'!X176</f>
        <v>0</v>
      </c>
      <c r="U166" s="282">
        <f>'3. GRI Pricing'!Y176</f>
        <v>1665</v>
      </c>
    </row>
    <row r="167" spans="3:21" x14ac:dyDescent="0.2">
      <c r="C167" s="23" t="str">
        <f>'3. GRI Pricing'!C177</f>
        <v>705S</v>
      </c>
      <c r="D167" s="16" t="str">
        <f>'3. GRI Pricing'!D177</f>
        <v>2 Bed</v>
      </c>
      <c r="E167" s="16">
        <f>'3. GRI Pricing'!E177</f>
        <v>2</v>
      </c>
      <c r="F167" s="16">
        <f>'3. GRI Pricing'!F177</f>
        <v>689</v>
      </c>
      <c r="G167" s="16">
        <f>'3. GRI Pricing'!G177</f>
        <v>7</v>
      </c>
      <c r="H167" s="16" t="str">
        <f>'3. GRI Pricing'!H177</f>
        <v>Cityscape</v>
      </c>
      <c r="I167" s="280">
        <f>'3. GRI Pricing'!K177</f>
        <v>1110</v>
      </c>
      <c r="J167" s="281">
        <f>'3. GRI Pricing'!O177</f>
        <v>90</v>
      </c>
      <c r="K167" s="281">
        <f>'3. GRI Pricing'!L177</f>
        <v>0</v>
      </c>
      <c r="L167" s="281">
        <f>'3. GRI Pricing'!P177</f>
        <v>35</v>
      </c>
      <c r="M167" s="281">
        <f>'3. GRI Pricing'!R177</f>
        <v>0</v>
      </c>
      <c r="N167" s="281">
        <f>'3. GRI Pricing'!S177</f>
        <v>70</v>
      </c>
      <c r="O167" s="281">
        <f>'3. GRI Pricing'!Q177</f>
        <v>0</v>
      </c>
      <c r="P167" s="281">
        <f>'3. GRI Pricing'!T177</f>
        <v>-50</v>
      </c>
      <c r="Q167" s="281">
        <f>'3. GRI Pricing'!U177</f>
        <v>0</v>
      </c>
      <c r="R167" s="281">
        <f>'3. GRI Pricing'!V177</f>
        <v>0</v>
      </c>
      <c r="S167" s="281">
        <f>'3. GRI Pricing'!W177</f>
        <v>0</v>
      </c>
      <c r="T167" s="281">
        <f>'3. GRI Pricing'!X177</f>
        <v>0</v>
      </c>
      <c r="U167" s="282">
        <f>'3. GRI Pricing'!Y177</f>
        <v>1320</v>
      </c>
    </row>
    <row r="168" spans="3:21" x14ac:dyDescent="0.2">
      <c r="C168" s="23" t="str">
        <f>'3. GRI Pricing'!C178</f>
        <v>706S</v>
      </c>
      <c r="D168" s="16" t="str">
        <f>'3. GRI Pricing'!D178</f>
        <v>1 Bed</v>
      </c>
      <c r="E168" s="16">
        <f>'3. GRI Pricing'!E178</f>
        <v>1</v>
      </c>
      <c r="F168" s="16">
        <f>'3. GRI Pricing'!F178</f>
        <v>484</v>
      </c>
      <c r="G168" s="16">
        <f>'3. GRI Pricing'!G178</f>
        <v>7</v>
      </c>
      <c r="H168" s="16" t="str">
        <f>'3. GRI Pricing'!H178</f>
        <v>Cityscape</v>
      </c>
      <c r="I168" s="280">
        <f>'3. GRI Pricing'!K178</f>
        <v>845</v>
      </c>
      <c r="J168" s="281">
        <f>'3. GRI Pricing'!O178</f>
        <v>90</v>
      </c>
      <c r="K168" s="281">
        <f>'3. GRI Pricing'!L178</f>
        <v>0</v>
      </c>
      <c r="L168" s="281">
        <f>'3. GRI Pricing'!P178</f>
        <v>35</v>
      </c>
      <c r="M168" s="281">
        <f>'3. GRI Pricing'!R178</f>
        <v>0</v>
      </c>
      <c r="N168" s="281">
        <f>'3. GRI Pricing'!S178</f>
        <v>70</v>
      </c>
      <c r="O168" s="281">
        <f>'3. GRI Pricing'!Q178</f>
        <v>0</v>
      </c>
      <c r="P168" s="281">
        <f>'3. GRI Pricing'!T178</f>
        <v>-50</v>
      </c>
      <c r="Q168" s="281">
        <f>'3. GRI Pricing'!U178</f>
        <v>0</v>
      </c>
      <c r="R168" s="281">
        <f>'3. GRI Pricing'!V178</f>
        <v>0</v>
      </c>
      <c r="S168" s="281">
        <f>'3. GRI Pricing'!W178</f>
        <v>0</v>
      </c>
      <c r="T168" s="281">
        <f>'3. GRI Pricing'!X178</f>
        <v>0</v>
      </c>
      <c r="U168" s="282">
        <f>'3. GRI Pricing'!Y178</f>
        <v>1000</v>
      </c>
    </row>
    <row r="169" spans="3:21" x14ac:dyDescent="0.2">
      <c r="C169" s="23" t="str">
        <f>'3. GRI Pricing'!C179</f>
        <v>707S</v>
      </c>
      <c r="D169" s="16" t="str">
        <f>'3. GRI Pricing'!D179</f>
        <v>2 Bed</v>
      </c>
      <c r="E169" s="16">
        <f>'3. GRI Pricing'!E179</f>
        <v>2</v>
      </c>
      <c r="F169" s="16">
        <f>'3. GRI Pricing'!F179</f>
        <v>624</v>
      </c>
      <c r="G169" s="16">
        <f>'3. GRI Pricing'!G179</f>
        <v>7</v>
      </c>
      <c r="H169" s="16" t="str">
        <f>'3. GRI Pricing'!H179</f>
        <v>Cityscape</v>
      </c>
      <c r="I169" s="280">
        <f>'3. GRI Pricing'!K179</f>
        <v>1110</v>
      </c>
      <c r="J169" s="281">
        <f>'3. GRI Pricing'!O179</f>
        <v>90</v>
      </c>
      <c r="K169" s="281">
        <f>'3. GRI Pricing'!L179</f>
        <v>0</v>
      </c>
      <c r="L169" s="281">
        <f>'3. GRI Pricing'!P179</f>
        <v>35</v>
      </c>
      <c r="M169" s="281">
        <f>'3. GRI Pricing'!R179</f>
        <v>0</v>
      </c>
      <c r="N169" s="281">
        <f>'3. GRI Pricing'!S179</f>
        <v>70</v>
      </c>
      <c r="O169" s="281">
        <f>'3. GRI Pricing'!Q179</f>
        <v>0</v>
      </c>
      <c r="P169" s="281">
        <f>'3. GRI Pricing'!T179</f>
        <v>-50</v>
      </c>
      <c r="Q169" s="281">
        <f>'3. GRI Pricing'!U179</f>
        <v>0</v>
      </c>
      <c r="R169" s="281">
        <f>'3. GRI Pricing'!V179</f>
        <v>0</v>
      </c>
      <c r="S169" s="281">
        <f>'3. GRI Pricing'!W179</f>
        <v>0</v>
      </c>
      <c r="T169" s="281">
        <f>'3. GRI Pricing'!X179</f>
        <v>0</v>
      </c>
      <c r="U169" s="282">
        <f>'3. GRI Pricing'!Y179</f>
        <v>1265</v>
      </c>
    </row>
    <row r="170" spans="3:21" x14ac:dyDescent="0.2">
      <c r="C170" s="23" t="str">
        <f>'3. GRI Pricing'!C180</f>
        <v>801S</v>
      </c>
      <c r="D170" s="16" t="str">
        <f>'3. GRI Pricing'!D180</f>
        <v>2 Bed</v>
      </c>
      <c r="E170" s="16">
        <f>'3. GRI Pricing'!E180</f>
        <v>2</v>
      </c>
      <c r="F170" s="16">
        <f>'3. GRI Pricing'!F180</f>
        <v>538</v>
      </c>
      <c r="G170" s="16">
        <f>'3. GRI Pricing'!G180</f>
        <v>8</v>
      </c>
      <c r="H170" s="16" t="str">
        <f>'3. GRI Pricing'!H180</f>
        <v>River- Full</v>
      </c>
      <c r="I170" s="280">
        <f>'3. GRI Pricing'!K180</f>
        <v>1110</v>
      </c>
      <c r="J170" s="281">
        <f>'3. GRI Pricing'!O180</f>
        <v>100</v>
      </c>
      <c r="K170" s="281">
        <f>'3. GRI Pricing'!L180</f>
        <v>0</v>
      </c>
      <c r="L170" s="281">
        <f>'3. GRI Pricing'!P180</f>
        <v>60</v>
      </c>
      <c r="M170" s="281">
        <f>'3. GRI Pricing'!R180</f>
        <v>20</v>
      </c>
      <c r="N170" s="281">
        <f>'3. GRI Pricing'!S180</f>
        <v>70</v>
      </c>
      <c r="O170" s="281">
        <f>'3. GRI Pricing'!Q180</f>
        <v>0</v>
      </c>
      <c r="P170" s="281">
        <f>'3. GRI Pricing'!T180</f>
        <v>0</v>
      </c>
      <c r="Q170" s="281">
        <f>'3. GRI Pricing'!U180</f>
        <v>0</v>
      </c>
      <c r="R170" s="281">
        <f>'3. GRI Pricing'!V180</f>
        <v>0</v>
      </c>
      <c r="S170" s="281">
        <f>'3. GRI Pricing'!W180</f>
        <v>0</v>
      </c>
      <c r="T170" s="281">
        <f>'3. GRI Pricing'!X180</f>
        <v>0</v>
      </c>
      <c r="U170" s="282">
        <f>'3. GRI Pricing'!Y180</f>
        <v>1360</v>
      </c>
    </row>
    <row r="171" spans="3:21" x14ac:dyDescent="0.2">
      <c r="C171" s="23" t="str">
        <f>'3. GRI Pricing'!C181</f>
        <v>802S</v>
      </c>
      <c r="D171" s="16" t="str">
        <f>'3. GRI Pricing'!D181</f>
        <v>2 Bed</v>
      </c>
      <c r="E171" s="16">
        <f>'3. GRI Pricing'!E181</f>
        <v>2</v>
      </c>
      <c r="F171" s="16">
        <f>'3. GRI Pricing'!F181</f>
        <v>538</v>
      </c>
      <c r="G171" s="16">
        <f>'3. GRI Pricing'!G181</f>
        <v>8</v>
      </c>
      <c r="H171" s="16" t="str">
        <f>'3. GRI Pricing'!H181</f>
        <v>River- Full</v>
      </c>
      <c r="I171" s="280">
        <f>'3. GRI Pricing'!K181</f>
        <v>1110</v>
      </c>
      <c r="J171" s="281">
        <f>'3. GRI Pricing'!O181</f>
        <v>100</v>
      </c>
      <c r="K171" s="281">
        <f>'3. GRI Pricing'!L181</f>
        <v>0</v>
      </c>
      <c r="L171" s="281">
        <f>'3. GRI Pricing'!P181</f>
        <v>60</v>
      </c>
      <c r="M171" s="281">
        <f>'3. GRI Pricing'!R181</f>
        <v>20</v>
      </c>
      <c r="N171" s="281">
        <f>'3. GRI Pricing'!S181</f>
        <v>70</v>
      </c>
      <c r="O171" s="281">
        <f>'3. GRI Pricing'!Q181</f>
        <v>0</v>
      </c>
      <c r="P171" s="281">
        <f>'3. GRI Pricing'!T181</f>
        <v>0</v>
      </c>
      <c r="Q171" s="281">
        <f>'3. GRI Pricing'!U181</f>
        <v>0</v>
      </c>
      <c r="R171" s="281">
        <f>'3. GRI Pricing'!V181</f>
        <v>0</v>
      </c>
      <c r="S171" s="281">
        <f>'3. GRI Pricing'!W181</f>
        <v>0</v>
      </c>
      <c r="T171" s="281">
        <f>'3. GRI Pricing'!X181</f>
        <v>0</v>
      </c>
      <c r="U171" s="282">
        <f>'3. GRI Pricing'!Y181</f>
        <v>1360</v>
      </c>
    </row>
    <row r="172" spans="3:21" x14ac:dyDescent="0.2">
      <c r="C172" s="23" t="str">
        <f>'3. GRI Pricing'!C182</f>
        <v>803S</v>
      </c>
      <c r="D172" s="16" t="str">
        <f>'3. GRI Pricing'!D182</f>
        <v>2 Bed</v>
      </c>
      <c r="E172" s="16">
        <f>'3. GRI Pricing'!E182</f>
        <v>2</v>
      </c>
      <c r="F172" s="16">
        <f>'3. GRI Pricing'!F182</f>
        <v>549</v>
      </c>
      <c r="G172" s="16">
        <f>'3. GRI Pricing'!G182</f>
        <v>8</v>
      </c>
      <c r="H172" s="16" t="str">
        <f>'3. GRI Pricing'!H182</f>
        <v>River- Full</v>
      </c>
      <c r="I172" s="280">
        <f>'3. GRI Pricing'!K182</f>
        <v>1110</v>
      </c>
      <c r="J172" s="281">
        <f>'3. GRI Pricing'!O182</f>
        <v>100</v>
      </c>
      <c r="K172" s="281">
        <f>'3. GRI Pricing'!L182</f>
        <v>0</v>
      </c>
      <c r="L172" s="281">
        <f>'3. GRI Pricing'!P182</f>
        <v>60</v>
      </c>
      <c r="M172" s="281">
        <f>'3. GRI Pricing'!R182</f>
        <v>20</v>
      </c>
      <c r="N172" s="281">
        <f>'3. GRI Pricing'!S182</f>
        <v>70</v>
      </c>
      <c r="O172" s="281">
        <f>'3. GRI Pricing'!Q182</f>
        <v>0</v>
      </c>
      <c r="P172" s="281">
        <f>'3. GRI Pricing'!T182</f>
        <v>0</v>
      </c>
      <c r="Q172" s="281">
        <f>'3. GRI Pricing'!U182</f>
        <v>0</v>
      </c>
      <c r="R172" s="281">
        <f>'3. GRI Pricing'!V182</f>
        <v>0</v>
      </c>
      <c r="S172" s="281">
        <f>'3. GRI Pricing'!W182</f>
        <v>0</v>
      </c>
      <c r="T172" s="281">
        <f>'3. GRI Pricing'!X182</f>
        <v>0</v>
      </c>
      <c r="U172" s="282">
        <f>'3. GRI Pricing'!Y182</f>
        <v>1360</v>
      </c>
    </row>
    <row r="173" spans="3:21" x14ac:dyDescent="0.2">
      <c r="C173" s="23" t="str">
        <f>'3. GRI Pricing'!C183</f>
        <v>804S</v>
      </c>
      <c r="D173" s="16" t="str">
        <f>'3. GRI Pricing'!D183</f>
        <v>3 Bed</v>
      </c>
      <c r="E173" s="16">
        <f>'3. GRI Pricing'!E183</f>
        <v>3</v>
      </c>
      <c r="F173" s="16">
        <f>'3. GRI Pricing'!F183</f>
        <v>753</v>
      </c>
      <c r="G173" s="16">
        <f>'3. GRI Pricing'!G183</f>
        <v>8</v>
      </c>
      <c r="H173" s="16" t="str">
        <f>'3. GRI Pricing'!H183</f>
        <v>River- Full</v>
      </c>
      <c r="I173" s="280">
        <f>'3. GRI Pricing'!K183</f>
        <v>1485</v>
      </c>
      <c r="J173" s="281">
        <f>'3. GRI Pricing'!O183</f>
        <v>100</v>
      </c>
      <c r="K173" s="281">
        <f>'3. GRI Pricing'!L183</f>
        <v>0</v>
      </c>
      <c r="L173" s="281">
        <f>'3. GRI Pricing'!P183</f>
        <v>60</v>
      </c>
      <c r="M173" s="281">
        <f>'3. GRI Pricing'!R183</f>
        <v>20</v>
      </c>
      <c r="N173" s="281">
        <f>'3. GRI Pricing'!S183</f>
        <v>70</v>
      </c>
      <c r="O173" s="281">
        <f>'3. GRI Pricing'!Q183</f>
        <v>0</v>
      </c>
      <c r="P173" s="281">
        <f>'3. GRI Pricing'!T183</f>
        <v>0</v>
      </c>
      <c r="Q173" s="281">
        <f>'3. GRI Pricing'!U183</f>
        <v>0</v>
      </c>
      <c r="R173" s="281">
        <f>'3. GRI Pricing'!V183</f>
        <v>0</v>
      </c>
      <c r="S173" s="281">
        <f>'3. GRI Pricing'!W183</f>
        <v>0</v>
      </c>
      <c r="T173" s="281">
        <f>'3. GRI Pricing'!X183</f>
        <v>0</v>
      </c>
      <c r="U173" s="282">
        <f>'3. GRI Pricing'!Y183</f>
        <v>1735</v>
      </c>
    </row>
    <row r="174" spans="3:21" x14ac:dyDescent="0.2">
      <c r="C174" s="23" t="str">
        <f>'3. GRI Pricing'!C184</f>
        <v>805S</v>
      </c>
      <c r="D174" s="16" t="str">
        <f>'3. GRI Pricing'!D184</f>
        <v>2 Bed</v>
      </c>
      <c r="E174" s="16">
        <f>'3. GRI Pricing'!E184</f>
        <v>2</v>
      </c>
      <c r="F174" s="16">
        <f>'3. GRI Pricing'!F184</f>
        <v>689</v>
      </c>
      <c r="G174" s="16">
        <f>'3. GRI Pricing'!G184</f>
        <v>8</v>
      </c>
      <c r="H174" s="16" t="str">
        <f>'3. GRI Pricing'!H184</f>
        <v>Cityscape</v>
      </c>
      <c r="I174" s="280">
        <f>'3. GRI Pricing'!K184</f>
        <v>1110</v>
      </c>
      <c r="J174" s="281">
        <f>'3. GRI Pricing'!O184</f>
        <v>100</v>
      </c>
      <c r="K174" s="281">
        <f>'3. GRI Pricing'!L184</f>
        <v>0</v>
      </c>
      <c r="L174" s="281">
        <f>'3. GRI Pricing'!P184</f>
        <v>35</v>
      </c>
      <c r="M174" s="281">
        <f>'3. GRI Pricing'!R184</f>
        <v>0</v>
      </c>
      <c r="N174" s="281">
        <f>'3. GRI Pricing'!S184</f>
        <v>70</v>
      </c>
      <c r="O174" s="281">
        <f>'3. GRI Pricing'!Q184</f>
        <v>0</v>
      </c>
      <c r="P174" s="281">
        <f>'3. GRI Pricing'!T184</f>
        <v>0</v>
      </c>
      <c r="Q174" s="281">
        <f>'3. GRI Pricing'!U184</f>
        <v>0</v>
      </c>
      <c r="R174" s="281">
        <f>'3. GRI Pricing'!V184</f>
        <v>0</v>
      </c>
      <c r="S174" s="281">
        <f>'3. GRI Pricing'!W184</f>
        <v>0</v>
      </c>
      <c r="T174" s="281">
        <f>'3. GRI Pricing'!X184</f>
        <v>0</v>
      </c>
      <c r="U174" s="282">
        <f>'3. GRI Pricing'!Y184</f>
        <v>1380</v>
      </c>
    </row>
    <row r="175" spans="3:21" x14ac:dyDescent="0.2">
      <c r="C175" s="23" t="str">
        <f>'3. GRI Pricing'!C185</f>
        <v>806S</v>
      </c>
      <c r="D175" s="16" t="str">
        <f>'3. GRI Pricing'!D185</f>
        <v>1 Bed</v>
      </c>
      <c r="E175" s="16">
        <f>'3. GRI Pricing'!E185</f>
        <v>1</v>
      </c>
      <c r="F175" s="16">
        <f>'3. GRI Pricing'!F185</f>
        <v>484</v>
      </c>
      <c r="G175" s="16">
        <f>'3. GRI Pricing'!G185</f>
        <v>8</v>
      </c>
      <c r="H175" s="16" t="str">
        <f>'3. GRI Pricing'!H185</f>
        <v>Cityscape</v>
      </c>
      <c r="I175" s="280">
        <f>'3. GRI Pricing'!K185</f>
        <v>845</v>
      </c>
      <c r="J175" s="281">
        <f>'3. GRI Pricing'!O185</f>
        <v>100</v>
      </c>
      <c r="K175" s="281">
        <f>'3. GRI Pricing'!L185</f>
        <v>0</v>
      </c>
      <c r="L175" s="281">
        <f>'3. GRI Pricing'!P185</f>
        <v>35</v>
      </c>
      <c r="M175" s="281">
        <f>'3. GRI Pricing'!R185</f>
        <v>0</v>
      </c>
      <c r="N175" s="281">
        <f>'3. GRI Pricing'!S185</f>
        <v>70</v>
      </c>
      <c r="O175" s="281">
        <f>'3. GRI Pricing'!Q185</f>
        <v>0</v>
      </c>
      <c r="P175" s="281">
        <f>'3. GRI Pricing'!T185</f>
        <v>0</v>
      </c>
      <c r="Q175" s="281">
        <f>'3. GRI Pricing'!U185</f>
        <v>0</v>
      </c>
      <c r="R175" s="281">
        <f>'3. GRI Pricing'!V185</f>
        <v>0</v>
      </c>
      <c r="S175" s="281">
        <f>'3. GRI Pricing'!W185</f>
        <v>0</v>
      </c>
      <c r="T175" s="281">
        <f>'3. GRI Pricing'!X185</f>
        <v>0</v>
      </c>
      <c r="U175" s="282">
        <f>'3. GRI Pricing'!Y185</f>
        <v>1060</v>
      </c>
    </row>
    <row r="176" spans="3:21" x14ac:dyDescent="0.2">
      <c r="C176" s="23" t="str">
        <f>'3. GRI Pricing'!C186</f>
        <v>807S</v>
      </c>
      <c r="D176" s="16" t="str">
        <f>'3. GRI Pricing'!D186</f>
        <v>2 Bed</v>
      </c>
      <c r="E176" s="16">
        <f>'3. GRI Pricing'!E186</f>
        <v>2</v>
      </c>
      <c r="F176" s="16">
        <f>'3. GRI Pricing'!F186</f>
        <v>624</v>
      </c>
      <c r="G176" s="16">
        <f>'3. GRI Pricing'!G186</f>
        <v>8</v>
      </c>
      <c r="H176" s="16" t="str">
        <f>'3. GRI Pricing'!H186</f>
        <v>Cityscape</v>
      </c>
      <c r="I176" s="280">
        <f>'3. GRI Pricing'!K186</f>
        <v>1110</v>
      </c>
      <c r="J176" s="281">
        <f>'3. GRI Pricing'!O186</f>
        <v>100</v>
      </c>
      <c r="K176" s="281">
        <f>'3. GRI Pricing'!L186</f>
        <v>0</v>
      </c>
      <c r="L176" s="281">
        <f>'3. GRI Pricing'!P186</f>
        <v>35</v>
      </c>
      <c r="M176" s="281">
        <f>'3. GRI Pricing'!R186</f>
        <v>0</v>
      </c>
      <c r="N176" s="281">
        <f>'3. GRI Pricing'!S186</f>
        <v>70</v>
      </c>
      <c r="O176" s="281">
        <f>'3. GRI Pricing'!Q186</f>
        <v>0</v>
      </c>
      <c r="P176" s="281">
        <f>'3. GRI Pricing'!T186</f>
        <v>0</v>
      </c>
      <c r="Q176" s="281">
        <f>'3. GRI Pricing'!U186</f>
        <v>0</v>
      </c>
      <c r="R176" s="281">
        <f>'3. GRI Pricing'!V186</f>
        <v>0</v>
      </c>
      <c r="S176" s="281">
        <f>'3. GRI Pricing'!W186</f>
        <v>0</v>
      </c>
      <c r="T176" s="281">
        <f>'3. GRI Pricing'!X186</f>
        <v>0</v>
      </c>
      <c r="U176" s="282">
        <f>'3. GRI Pricing'!Y186</f>
        <v>1325</v>
      </c>
    </row>
    <row r="177" spans="3:21" x14ac:dyDescent="0.2">
      <c r="C177" s="23" t="str">
        <f>'3. GRI Pricing'!C187</f>
        <v>1W</v>
      </c>
      <c r="D177" s="16" t="str">
        <f>'3. GRI Pricing'!D187</f>
        <v>2 Bed</v>
      </c>
      <c r="E177" s="16">
        <f>'3. GRI Pricing'!E187</f>
        <v>2</v>
      </c>
      <c r="F177" s="16">
        <f>'3. GRI Pricing'!F187</f>
        <v>689</v>
      </c>
      <c r="G177" s="16" t="str">
        <f>'3. GRI Pricing'!G187</f>
        <v>Ground</v>
      </c>
      <c r="H177" s="16" t="str">
        <f>'3. GRI Pricing'!H187</f>
        <v>Pottery Lane</v>
      </c>
      <c r="I177" s="280">
        <f>'3. GRI Pricing'!K187</f>
        <v>1110</v>
      </c>
      <c r="J177" s="281">
        <f>'3. GRI Pricing'!O187</f>
        <v>0</v>
      </c>
      <c r="K177" s="281">
        <f>'3. GRI Pricing'!L187</f>
        <v>0</v>
      </c>
      <c r="L177" s="281">
        <f>'3. GRI Pricing'!P187</f>
        <v>10</v>
      </c>
      <c r="M177" s="281">
        <f>'3. GRI Pricing'!R187</f>
        <v>0</v>
      </c>
      <c r="N177" s="281">
        <f>'3. GRI Pricing'!S187</f>
        <v>70</v>
      </c>
      <c r="O177" s="281">
        <f>'3. GRI Pricing'!Q187</f>
        <v>0</v>
      </c>
      <c r="P177" s="281">
        <f>'3. GRI Pricing'!T187</f>
        <v>0</v>
      </c>
      <c r="Q177" s="281">
        <f>'3. GRI Pricing'!U187</f>
        <v>0</v>
      </c>
      <c r="R177" s="281">
        <f>'3. GRI Pricing'!V187</f>
        <v>0</v>
      </c>
      <c r="S177" s="281">
        <f>'3. GRI Pricing'!W187</f>
        <v>0</v>
      </c>
      <c r="T177" s="281">
        <f>'3. GRI Pricing'!X187</f>
        <v>0</v>
      </c>
      <c r="U177" s="282">
        <f>'3. GRI Pricing'!Y187</f>
        <v>1255</v>
      </c>
    </row>
    <row r="178" spans="3:21" x14ac:dyDescent="0.2">
      <c r="C178" s="23" t="str">
        <f>'3. GRI Pricing'!C188</f>
        <v>2W</v>
      </c>
      <c r="D178" s="16" t="str">
        <f>'3. GRI Pricing'!D188</f>
        <v>1 Bed</v>
      </c>
      <c r="E178" s="16">
        <f>'3. GRI Pricing'!E188</f>
        <v>1</v>
      </c>
      <c r="F178" s="16">
        <f>'3. GRI Pricing'!F188</f>
        <v>463</v>
      </c>
      <c r="G178" s="16" t="str">
        <f>'3. GRI Pricing'!G188</f>
        <v>Ground</v>
      </c>
      <c r="H178" s="16" t="str">
        <f>'3. GRI Pricing'!H188</f>
        <v>Courtyard</v>
      </c>
      <c r="I178" s="280">
        <f>'3. GRI Pricing'!K188</f>
        <v>845</v>
      </c>
      <c r="J178" s="281">
        <f>'3. GRI Pricing'!O188</f>
        <v>0</v>
      </c>
      <c r="K178" s="281">
        <f>'3. GRI Pricing'!L188</f>
        <v>0</v>
      </c>
      <c r="L178" s="281">
        <f>'3. GRI Pricing'!P188</f>
        <v>25</v>
      </c>
      <c r="M178" s="281">
        <f>'3. GRI Pricing'!R188</f>
        <v>0</v>
      </c>
      <c r="N178" s="281">
        <f>'3. GRI Pricing'!S188</f>
        <v>70</v>
      </c>
      <c r="O178" s="281">
        <f>'3. GRI Pricing'!Q188</f>
        <v>0</v>
      </c>
      <c r="P178" s="281">
        <f>'3. GRI Pricing'!T188</f>
        <v>0</v>
      </c>
      <c r="Q178" s="281">
        <f>'3. GRI Pricing'!U188</f>
        <v>-25</v>
      </c>
      <c r="R178" s="281">
        <f>'3. GRI Pricing'!V188</f>
        <v>0</v>
      </c>
      <c r="S178" s="281">
        <f>'3. GRI Pricing'!W188</f>
        <v>0</v>
      </c>
      <c r="T178" s="281">
        <f>'3. GRI Pricing'!X188</f>
        <v>0</v>
      </c>
      <c r="U178" s="282">
        <f>'3. GRI Pricing'!Y188</f>
        <v>915</v>
      </c>
    </row>
    <row r="179" spans="3:21" x14ac:dyDescent="0.2">
      <c r="C179" s="23" t="str">
        <f>'3. GRI Pricing'!C189</f>
        <v>3W</v>
      </c>
      <c r="D179" s="16" t="str">
        <f>'3. GRI Pricing'!D189</f>
        <v>1 Bed</v>
      </c>
      <c r="E179" s="16">
        <f>'3. GRI Pricing'!E189</f>
        <v>1</v>
      </c>
      <c r="F179" s="16">
        <f>'3. GRI Pricing'!F189</f>
        <v>549</v>
      </c>
      <c r="G179" s="16" t="str">
        <f>'3. GRI Pricing'!G189</f>
        <v>Ground</v>
      </c>
      <c r="H179" s="16" t="str">
        <f>'3. GRI Pricing'!H189</f>
        <v>Courtyard</v>
      </c>
      <c r="I179" s="280">
        <f>'3. GRI Pricing'!K189</f>
        <v>845</v>
      </c>
      <c r="J179" s="281">
        <f>'3. GRI Pricing'!O189</f>
        <v>0</v>
      </c>
      <c r="K179" s="281">
        <f>'3. GRI Pricing'!L189</f>
        <v>0</v>
      </c>
      <c r="L179" s="281">
        <f>'3. GRI Pricing'!P189</f>
        <v>25</v>
      </c>
      <c r="M179" s="281">
        <f>'3. GRI Pricing'!R189</f>
        <v>0</v>
      </c>
      <c r="N179" s="281">
        <f>'3. GRI Pricing'!S189</f>
        <v>70</v>
      </c>
      <c r="O179" s="281">
        <f>'3. GRI Pricing'!Q189</f>
        <v>0</v>
      </c>
      <c r="P179" s="281">
        <f>'3. GRI Pricing'!T189</f>
        <v>0</v>
      </c>
      <c r="Q179" s="281">
        <f>'3. GRI Pricing'!U189</f>
        <v>-25</v>
      </c>
      <c r="R179" s="281">
        <f>'3. GRI Pricing'!V189</f>
        <v>0</v>
      </c>
      <c r="S179" s="281">
        <f>'3. GRI Pricing'!W189</f>
        <v>0</v>
      </c>
      <c r="T179" s="281">
        <f>'3. GRI Pricing'!X189</f>
        <v>0</v>
      </c>
      <c r="U179" s="282">
        <f>'3. GRI Pricing'!Y189</f>
        <v>940</v>
      </c>
    </row>
    <row r="180" spans="3:21" x14ac:dyDescent="0.2">
      <c r="C180" s="23" t="str">
        <f>'3. GRI Pricing'!C190</f>
        <v>4W</v>
      </c>
      <c r="D180" s="16" t="str">
        <f>'3. GRI Pricing'!D190</f>
        <v>1 Bed</v>
      </c>
      <c r="E180" s="16">
        <f>'3. GRI Pricing'!E190</f>
        <v>1</v>
      </c>
      <c r="F180" s="16">
        <f>'3. GRI Pricing'!F190</f>
        <v>484</v>
      </c>
      <c r="G180" s="16" t="str">
        <f>'3. GRI Pricing'!G190</f>
        <v>Ground</v>
      </c>
      <c r="H180" s="16" t="str">
        <f>'3. GRI Pricing'!H190</f>
        <v>Fence</v>
      </c>
      <c r="I180" s="280">
        <f>'3. GRI Pricing'!K190</f>
        <v>845</v>
      </c>
      <c r="J180" s="281">
        <f>'3. GRI Pricing'!O190</f>
        <v>0</v>
      </c>
      <c r="K180" s="281">
        <f>'3. GRI Pricing'!L190</f>
        <v>0</v>
      </c>
      <c r="L180" s="281">
        <f>'3. GRI Pricing'!P190</f>
        <v>0</v>
      </c>
      <c r="M180" s="281">
        <f>'3. GRI Pricing'!R190</f>
        <v>0</v>
      </c>
      <c r="N180" s="281">
        <f>'3. GRI Pricing'!S190</f>
        <v>70</v>
      </c>
      <c r="O180" s="281">
        <f>'3. GRI Pricing'!Q190</f>
        <v>0</v>
      </c>
      <c r="P180" s="281">
        <f>'3. GRI Pricing'!T190</f>
        <v>0</v>
      </c>
      <c r="Q180" s="281">
        <f>'3. GRI Pricing'!U190</f>
        <v>0</v>
      </c>
      <c r="R180" s="281">
        <f>'3. GRI Pricing'!V190</f>
        <v>0</v>
      </c>
      <c r="S180" s="281">
        <f>'3. GRI Pricing'!W190</f>
        <v>0</v>
      </c>
      <c r="T180" s="281">
        <f>'3. GRI Pricing'!X190</f>
        <v>0</v>
      </c>
      <c r="U180" s="282">
        <f>'3. GRI Pricing'!Y190</f>
        <v>925</v>
      </c>
    </row>
    <row r="181" spans="3:21" x14ac:dyDescent="0.2">
      <c r="C181" s="23" t="str">
        <f>'3. GRI Pricing'!C191</f>
        <v>5W</v>
      </c>
      <c r="D181" s="16" t="str">
        <f>'3. GRI Pricing'!D191</f>
        <v>2 Bed</v>
      </c>
      <c r="E181" s="16">
        <f>'3. GRI Pricing'!E191</f>
        <v>2</v>
      </c>
      <c r="F181" s="16">
        <f>'3. GRI Pricing'!F191</f>
        <v>678</v>
      </c>
      <c r="G181" s="16" t="str">
        <f>'3. GRI Pricing'!G191</f>
        <v>Ground</v>
      </c>
      <c r="H181" s="16" t="str">
        <f>'3. GRI Pricing'!H191</f>
        <v>Fence</v>
      </c>
      <c r="I181" s="280">
        <f>'3. GRI Pricing'!K191</f>
        <v>1110</v>
      </c>
      <c r="J181" s="281">
        <f>'3. GRI Pricing'!O191</f>
        <v>0</v>
      </c>
      <c r="K181" s="281">
        <f>'3. GRI Pricing'!L191</f>
        <v>0</v>
      </c>
      <c r="L181" s="281">
        <f>'3. GRI Pricing'!P191</f>
        <v>0</v>
      </c>
      <c r="M181" s="281">
        <f>'3. GRI Pricing'!R191</f>
        <v>0</v>
      </c>
      <c r="N181" s="281">
        <f>'3. GRI Pricing'!S191</f>
        <v>70</v>
      </c>
      <c r="O181" s="281">
        <f>'3. GRI Pricing'!Q191</f>
        <v>0</v>
      </c>
      <c r="P181" s="281">
        <f>'3. GRI Pricing'!T191</f>
        <v>20</v>
      </c>
      <c r="Q181" s="281">
        <f>'3. GRI Pricing'!U191</f>
        <v>-25</v>
      </c>
      <c r="R181" s="281">
        <f>'3. GRI Pricing'!V191</f>
        <v>0</v>
      </c>
      <c r="S181" s="281">
        <f>'3. GRI Pricing'!W191</f>
        <v>0</v>
      </c>
      <c r="T181" s="281">
        <f>'3. GRI Pricing'!X191</f>
        <v>0</v>
      </c>
      <c r="U181" s="282">
        <f>'3. GRI Pricing'!Y191</f>
        <v>1215</v>
      </c>
    </row>
    <row r="182" spans="3:21" x14ac:dyDescent="0.2">
      <c r="C182" s="23" t="str">
        <f>'3. GRI Pricing'!C192</f>
        <v>6W</v>
      </c>
      <c r="D182" s="16" t="str">
        <f>'3. GRI Pricing'!D192</f>
        <v>2 Bed</v>
      </c>
      <c r="E182" s="16">
        <f>'3. GRI Pricing'!E192</f>
        <v>2</v>
      </c>
      <c r="F182" s="16">
        <f>'3. GRI Pricing'!F192</f>
        <v>743</v>
      </c>
      <c r="G182" s="16" t="str">
        <f>'3. GRI Pricing'!G192</f>
        <v>Ground</v>
      </c>
      <c r="H182" s="16" t="str">
        <f>'3. GRI Pricing'!H192</f>
        <v>Courtyard</v>
      </c>
      <c r="I182" s="280">
        <f>'3. GRI Pricing'!K192</f>
        <v>1110</v>
      </c>
      <c r="J182" s="281">
        <f>'3. GRI Pricing'!O192</f>
        <v>0</v>
      </c>
      <c r="K182" s="281">
        <f>'3. GRI Pricing'!L192</f>
        <v>0</v>
      </c>
      <c r="L182" s="281">
        <f>'3. GRI Pricing'!P192</f>
        <v>25</v>
      </c>
      <c r="M182" s="281">
        <f>'3. GRI Pricing'!R192</f>
        <v>0</v>
      </c>
      <c r="N182" s="281">
        <f>'3. GRI Pricing'!S192</f>
        <v>70</v>
      </c>
      <c r="O182" s="281">
        <f>'3. GRI Pricing'!Q192</f>
        <v>0</v>
      </c>
      <c r="P182" s="281">
        <f>'3. GRI Pricing'!T192</f>
        <v>0</v>
      </c>
      <c r="Q182" s="281">
        <f>'3. GRI Pricing'!U192</f>
        <v>0</v>
      </c>
      <c r="R182" s="281">
        <f>'3. GRI Pricing'!V192</f>
        <v>0</v>
      </c>
      <c r="S182" s="281">
        <f>'3. GRI Pricing'!W192</f>
        <v>0</v>
      </c>
      <c r="T182" s="281">
        <f>'3. GRI Pricing'!X192</f>
        <v>90</v>
      </c>
      <c r="U182" s="282">
        <f>'3. GRI Pricing'!Y192</f>
        <v>1295</v>
      </c>
    </row>
    <row r="183" spans="3:21" x14ac:dyDescent="0.2">
      <c r="C183" s="23" t="str">
        <f>'3. GRI Pricing'!C193</f>
        <v>7W</v>
      </c>
      <c r="D183" s="16" t="str">
        <f>'3. GRI Pricing'!D193</f>
        <v>2 Bed</v>
      </c>
      <c r="E183" s="16">
        <f>'3. GRI Pricing'!E193</f>
        <v>2</v>
      </c>
      <c r="F183" s="16">
        <f>'3. GRI Pricing'!F193</f>
        <v>710</v>
      </c>
      <c r="G183" s="16" t="str">
        <f>'3. GRI Pricing'!G193</f>
        <v>Ground</v>
      </c>
      <c r="H183" s="16" t="str">
        <f>'3. GRI Pricing'!H193</f>
        <v>Courtyard</v>
      </c>
      <c r="I183" s="280">
        <f>'3. GRI Pricing'!K193</f>
        <v>1110</v>
      </c>
      <c r="J183" s="281">
        <f>'3. GRI Pricing'!O193</f>
        <v>0</v>
      </c>
      <c r="K183" s="281">
        <f>'3. GRI Pricing'!L193</f>
        <v>0</v>
      </c>
      <c r="L183" s="281">
        <f>'3. GRI Pricing'!P193</f>
        <v>25</v>
      </c>
      <c r="M183" s="281">
        <f>'3. GRI Pricing'!R193</f>
        <v>0</v>
      </c>
      <c r="N183" s="281">
        <f>'3. GRI Pricing'!S193</f>
        <v>70</v>
      </c>
      <c r="O183" s="281">
        <f>'3. GRI Pricing'!Q193</f>
        <v>0</v>
      </c>
      <c r="P183" s="281">
        <f>'3. GRI Pricing'!T193</f>
        <v>20</v>
      </c>
      <c r="Q183" s="281">
        <f>'3. GRI Pricing'!U193</f>
        <v>0</v>
      </c>
      <c r="R183" s="281">
        <f>'3. GRI Pricing'!V193</f>
        <v>0</v>
      </c>
      <c r="S183" s="281">
        <f>'3. GRI Pricing'!W193</f>
        <v>0</v>
      </c>
      <c r="T183" s="281">
        <f>'3. GRI Pricing'!X193</f>
        <v>80</v>
      </c>
      <c r="U183" s="282">
        <f>'3. GRI Pricing'!Y193</f>
        <v>1305</v>
      </c>
    </row>
    <row r="184" spans="3:21" x14ac:dyDescent="0.2">
      <c r="C184" s="23" t="str">
        <f>'3. GRI Pricing'!C194</f>
        <v>8W</v>
      </c>
      <c r="D184" s="16" t="str">
        <f>'3. GRI Pricing'!D194</f>
        <v>2 Bed</v>
      </c>
      <c r="E184" s="16">
        <f>'3. GRI Pricing'!E194</f>
        <v>2</v>
      </c>
      <c r="F184" s="16">
        <f>'3. GRI Pricing'!F194</f>
        <v>667</v>
      </c>
      <c r="G184" s="16" t="str">
        <f>'3. GRI Pricing'!G194</f>
        <v>Ground</v>
      </c>
      <c r="H184" s="16" t="str">
        <f>'3. GRI Pricing'!H194</f>
        <v>Courtyard</v>
      </c>
      <c r="I184" s="280">
        <f>'3. GRI Pricing'!K194</f>
        <v>1110</v>
      </c>
      <c r="J184" s="281">
        <f>'3. GRI Pricing'!O194</f>
        <v>0</v>
      </c>
      <c r="K184" s="281">
        <f>'3. GRI Pricing'!L194</f>
        <v>0</v>
      </c>
      <c r="L184" s="281">
        <f>'3. GRI Pricing'!P194</f>
        <v>25</v>
      </c>
      <c r="M184" s="281">
        <f>'3. GRI Pricing'!R194</f>
        <v>0</v>
      </c>
      <c r="N184" s="281">
        <f>'3. GRI Pricing'!S194</f>
        <v>70</v>
      </c>
      <c r="O184" s="281">
        <f>'3. GRI Pricing'!Q194</f>
        <v>0</v>
      </c>
      <c r="P184" s="281">
        <f>'3. GRI Pricing'!T194</f>
        <v>20</v>
      </c>
      <c r="Q184" s="281">
        <f>'3. GRI Pricing'!U194</f>
        <v>0</v>
      </c>
      <c r="R184" s="281">
        <f>'3. GRI Pricing'!V194</f>
        <v>0</v>
      </c>
      <c r="S184" s="281">
        <f>'3. GRI Pricing'!W194</f>
        <v>0</v>
      </c>
      <c r="T184" s="281">
        <f>'3. GRI Pricing'!X194</f>
        <v>0</v>
      </c>
      <c r="U184" s="282">
        <f>'3. GRI Pricing'!Y194</f>
        <v>1255</v>
      </c>
    </row>
    <row r="185" spans="3:21" x14ac:dyDescent="0.2">
      <c r="C185" s="23" t="str">
        <f>'3. GRI Pricing'!C195</f>
        <v>9W</v>
      </c>
      <c r="D185" s="16" t="str">
        <f>'3. GRI Pricing'!D195</f>
        <v>1 Bed</v>
      </c>
      <c r="E185" s="16">
        <f>'3. GRI Pricing'!E195</f>
        <v>1</v>
      </c>
      <c r="F185" s="16">
        <f>'3. GRI Pricing'!F195</f>
        <v>463</v>
      </c>
      <c r="G185" s="16" t="str">
        <f>'3. GRI Pricing'!G195</f>
        <v>Ground</v>
      </c>
      <c r="H185" s="16" t="str">
        <f>'3. GRI Pricing'!H195</f>
        <v>Fence</v>
      </c>
      <c r="I185" s="280">
        <f>'3. GRI Pricing'!K195</f>
        <v>845</v>
      </c>
      <c r="J185" s="281">
        <f>'3. GRI Pricing'!O195</f>
        <v>0</v>
      </c>
      <c r="K185" s="281">
        <f>'3. GRI Pricing'!L195</f>
        <v>0</v>
      </c>
      <c r="L185" s="281">
        <f>'3. GRI Pricing'!P195</f>
        <v>0</v>
      </c>
      <c r="M185" s="281">
        <f>'3. GRI Pricing'!R195</f>
        <v>0</v>
      </c>
      <c r="N185" s="281">
        <f>'3. GRI Pricing'!S195</f>
        <v>70</v>
      </c>
      <c r="O185" s="281">
        <f>'3. GRI Pricing'!Q195</f>
        <v>0</v>
      </c>
      <c r="P185" s="281">
        <f>'3. GRI Pricing'!T195</f>
        <v>20</v>
      </c>
      <c r="Q185" s="281">
        <f>'3. GRI Pricing'!U195</f>
        <v>-25</v>
      </c>
      <c r="R185" s="281">
        <f>'3. GRI Pricing'!V195</f>
        <v>0</v>
      </c>
      <c r="S185" s="281">
        <f>'3. GRI Pricing'!W195</f>
        <v>0</v>
      </c>
      <c r="T185" s="281">
        <f>'3. GRI Pricing'!X195</f>
        <v>0</v>
      </c>
      <c r="U185" s="282">
        <f>'3. GRI Pricing'!Y195</f>
        <v>910</v>
      </c>
    </row>
    <row r="186" spans="3:21" x14ac:dyDescent="0.2">
      <c r="C186" s="23" t="str">
        <f>'3. GRI Pricing'!C196</f>
        <v>10W</v>
      </c>
      <c r="D186" s="16" t="str">
        <f>'3. GRI Pricing'!D196</f>
        <v>3 Bed</v>
      </c>
      <c r="E186" s="16">
        <f>'3. GRI Pricing'!E196</f>
        <v>2</v>
      </c>
      <c r="F186" s="16">
        <f>'3. GRI Pricing'!F196</f>
        <v>797</v>
      </c>
      <c r="G186" s="16" t="str">
        <f>'3. GRI Pricing'!G196</f>
        <v>Ground</v>
      </c>
      <c r="H186" s="16" t="str">
        <f>'3. GRI Pricing'!H196</f>
        <v>Fence</v>
      </c>
      <c r="I186" s="280">
        <f>'3. GRI Pricing'!K196</f>
        <v>1485</v>
      </c>
      <c r="J186" s="281">
        <f>'3. GRI Pricing'!O196</f>
        <v>0</v>
      </c>
      <c r="K186" s="281">
        <f>'3. GRI Pricing'!L196</f>
        <v>0</v>
      </c>
      <c r="L186" s="281">
        <f>'3. GRI Pricing'!P196</f>
        <v>0</v>
      </c>
      <c r="M186" s="281">
        <f>'3. GRI Pricing'!R196</f>
        <v>0</v>
      </c>
      <c r="N186" s="281">
        <f>'3. GRI Pricing'!S196</f>
        <v>70</v>
      </c>
      <c r="O186" s="281">
        <f>'3. GRI Pricing'!Q196</f>
        <v>0</v>
      </c>
      <c r="P186" s="281">
        <f>'3. GRI Pricing'!T196</f>
        <v>0</v>
      </c>
      <c r="Q186" s="281">
        <f>'3. GRI Pricing'!U196</f>
        <v>-25</v>
      </c>
      <c r="R186" s="281">
        <f>'3. GRI Pricing'!V196</f>
        <v>0</v>
      </c>
      <c r="S186" s="281">
        <f>'3. GRI Pricing'!W196</f>
        <v>0</v>
      </c>
      <c r="T186" s="281">
        <f>'3. GRI Pricing'!X196</f>
        <v>0</v>
      </c>
      <c r="U186" s="282">
        <f>'3. GRI Pricing'!Y196</f>
        <v>1530</v>
      </c>
    </row>
    <row r="187" spans="3:21" x14ac:dyDescent="0.2">
      <c r="C187" s="23" t="str">
        <f>'3. GRI Pricing'!C197</f>
        <v>11W</v>
      </c>
      <c r="D187" s="16" t="str">
        <f>'3. GRI Pricing'!D197</f>
        <v>2 Bed</v>
      </c>
      <c r="E187" s="16">
        <f>'3. GRI Pricing'!E197</f>
        <v>2</v>
      </c>
      <c r="F187" s="16">
        <f>'3. GRI Pricing'!F197</f>
        <v>635</v>
      </c>
      <c r="G187" s="16" t="str">
        <f>'3. GRI Pricing'!G197</f>
        <v>Ground</v>
      </c>
      <c r="H187" s="16" t="str">
        <f>'3. GRI Pricing'!H197</f>
        <v>Fence</v>
      </c>
      <c r="I187" s="280">
        <f>'3. GRI Pricing'!K197</f>
        <v>1110</v>
      </c>
      <c r="J187" s="281">
        <f>'3. GRI Pricing'!O197</f>
        <v>0</v>
      </c>
      <c r="K187" s="281">
        <f>'3. GRI Pricing'!L197</f>
        <v>0</v>
      </c>
      <c r="L187" s="281">
        <f>'3. GRI Pricing'!P197</f>
        <v>0</v>
      </c>
      <c r="M187" s="281">
        <f>'3. GRI Pricing'!R197</f>
        <v>0</v>
      </c>
      <c r="N187" s="281">
        <f>'3. GRI Pricing'!S197</f>
        <v>70</v>
      </c>
      <c r="O187" s="281">
        <f>'3. GRI Pricing'!Q197</f>
        <v>0</v>
      </c>
      <c r="P187" s="281">
        <f>'3. GRI Pricing'!T197</f>
        <v>0</v>
      </c>
      <c r="Q187" s="281">
        <f>'3. GRI Pricing'!U197</f>
        <v>0</v>
      </c>
      <c r="R187" s="281">
        <f>'3. GRI Pricing'!V197</f>
        <v>0</v>
      </c>
      <c r="S187" s="281">
        <f>'3. GRI Pricing'!W197</f>
        <v>0</v>
      </c>
      <c r="T187" s="281">
        <f>'3. GRI Pricing'!X197</f>
        <v>0</v>
      </c>
      <c r="U187" s="282">
        <f>'3. GRI Pricing'!Y197</f>
        <v>1190</v>
      </c>
    </row>
    <row r="188" spans="3:21" x14ac:dyDescent="0.2">
      <c r="C188" s="23" t="str">
        <f>'3. GRI Pricing'!C198</f>
        <v>101W</v>
      </c>
      <c r="D188" s="16" t="str">
        <f>'3. GRI Pricing'!D198</f>
        <v>2 Bed</v>
      </c>
      <c r="E188" s="16">
        <f>'3. GRI Pricing'!E198</f>
        <v>2</v>
      </c>
      <c r="F188" s="16">
        <f>'3. GRI Pricing'!F198</f>
        <v>689</v>
      </c>
      <c r="G188" s="16">
        <f>'3. GRI Pricing'!G198</f>
        <v>1</v>
      </c>
      <c r="H188" s="16" t="str">
        <f>'3. GRI Pricing'!H198</f>
        <v>Pottery Lane</v>
      </c>
      <c r="I188" s="280">
        <f>'3. GRI Pricing'!K198</f>
        <v>1110</v>
      </c>
      <c r="J188" s="281">
        <f>'3. GRI Pricing'!O198</f>
        <v>30</v>
      </c>
      <c r="K188" s="281">
        <f>'3. GRI Pricing'!L198</f>
        <v>0</v>
      </c>
      <c r="L188" s="281">
        <f>'3. GRI Pricing'!P198</f>
        <v>10</v>
      </c>
      <c r="M188" s="281">
        <f>'3. GRI Pricing'!R198</f>
        <v>0</v>
      </c>
      <c r="N188" s="281">
        <f>'3. GRI Pricing'!S198</f>
        <v>70</v>
      </c>
      <c r="O188" s="281">
        <f>'3. GRI Pricing'!Q198</f>
        <v>0</v>
      </c>
      <c r="P188" s="281">
        <f>'3. GRI Pricing'!T198</f>
        <v>0</v>
      </c>
      <c r="Q188" s="281">
        <f>'3. GRI Pricing'!U198</f>
        <v>0</v>
      </c>
      <c r="R188" s="281">
        <f>'3. GRI Pricing'!V198</f>
        <v>0</v>
      </c>
      <c r="S188" s="281">
        <f>'3. GRI Pricing'!W198</f>
        <v>0</v>
      </c>
      <c r="T188" s="281">
        <f>'3. GRI Pricing'!X198</f>
        <v>0</v>
      </c>
      <c r="U188" s="282">
        <f>'3. GRI Pricing'!Y198</f>
        <v>1285</v>
      </c>
    </row>
    <row r="189" spans="3:21" x14ac:dyDescent="0.2">
      <c r="C189" s="23" t="str">
        <f>'3. GRI Pricing'!C199</f>
        <v>102W</v>
      </c>
      <c r="D189" s="16" t="str">
        <f>'3. GRI Pricing'!D199</f>
        <v>1 Bed</v>
      </c>
      <c r="E189" s="16">
        <f>'3. GRI Pricing'!E199</f>
        <v>1</v>
      </c>
      <c r="F189" s="16">
        <f>'3. GRI Pricing'!F199</f>
        <v>495</v>
      </c>
      <c r="G189" s="16">
        <f>'3. GRI Pricing'!G199</f>
        <v>1</v>
      </c>
      <c r="H189" s="16" t="str">
        <f>'3. GRI Pricing'!H199</f>
        <v>Courtyard</v>
      </c>
      <c r="I189" s="280">
        <f>'3. GRI Pricing'!K199</f>
        <v>845</v>
      </c>
      <c r="J189" s="281">
        <f>'3. GRI Pricing'!O199</f>
        <v>30</v>
      </c>
      <c r="K189" s="281">
        <f>'3. GRI Pricing'!L199</f>
        <v>0</v>
      </c>
      <c r="L189" s="281">
        <f>'3. GRI Pricing'!P199</f>
        <v>25</v>
      </c>
      <c r="M189" s="281">
        <f>'3. GRI Pricing'!R199</f>
        <v>0</v>
      </c>
      <c r="N189" s="281">
        <f>'3. GRI Pricing'!S199</f>
        <v>70</v>
      </c>
      <c r="O189" s="281">
        <f>'3. GRI Pricing'!Q199</f>
        <v>0</v>
      </c>
      <c r="P189" s="281">
        <f>'3. GRI Pricing'!T199</f>
        <v>0</v>
      </c>
      <c r="Q189" s="281">
        <f>'3. GRI Pricing'!U199</f>
        <v>0</v>
      </c>
      <c r="R189" s="281">
        <f>'3. GRI Pricing'!V199</f>
        <v>0</v>
      </c>
      <c r="S189" s="281">
        <f>'3. GRI Pricing'!W199</f>
        <v>0</v>
      </c>
      <c r="T189" s="281">
        <f>'3. GRI Pricing'!X199</f>
        <v>0</v>
      </c>
      <c r="U189" s="282">
        <f>'3. GRI Pricing'!Y199</f>
        <v>985</v>
      </c>
    </row>
    <row r="190" spans="3:21" x14ac:dyDescent="0.2">
      <c r="C190" s="23" t="str">
        <f>'3. GRI Pricing'!C200</f>
        <v>103W</v>
      </c>
      <c r="D190" s="16" t="str">
        <f>'3. GRI Pricing'!D200</f>
        <v>2 Bed</v>
      </c>
      <c r="E190" s="16">
        <f>'3. GRI Pricing'!E200</f>
        <v>2</v>
      </c>
      <c r="F190" s="16">
        <f>'3. GRI Pricing'!F200</f>
        <v>657</v>
      </c>
      <c r="G190" s="16">
        <f>'3. GRI Pricing'!G200</f>
        <v>1</v>
      </c>
      <c r="H190" s="16" t="str">
        <f>'3. GRI Pricing'!H200</f>
        <v>Courtyard</v>
      </c>
      <c r="I190" s="280">
        <f>'3. GRI Pricing'!K200</f>
        <v>1110</v>
      </c>
      <c r="J190" s="281">
        <f>'3. GRI Pricing'!O200</f>
        <v>30</v>
      </c>
      <c r="K190" s="281">
        <f>'3. GRI Pricing'!L200</f>
        <v>0</v>
      </c>
      <c r="L190" s="281">
        <f>'3. GRI Pricing'!P200</f>
        <v>25</v>
      </c>
      <c r="M190" s="281">
        <f>'3. GRI Pricing'!R200</f>
        <v>0</v>
      </c>
      <c r="N190" s="281">
        <f>'3. GRI Pricing'!S200</f>
        <v>70</v>
      </c>
      <c r="O190" s="281">
        <f>'3. GRI Pricing'!Q200</f>
        <v>0</v>
      </c>
      <c r="P190" s="281">
        <f>'3. GRI Pricing'!T200</f>
        <v>0</v>
      </c>
      <c r="Q190" s="281">
        <f>'3. GRI Pricing'!U200</f>
        <v>0</v>
      </c>
      <c r="R190" s="281">
        <f>'3. GRI Pricing'!V200</f>
        <v>0</v>
      </c>
      <c r="S190" s="281">
        <f>'3. GRI Pricing'!W200</f>
        <v>0</v>
      </c>
      <c r="T190" s="281">
        <f>'3. GRI Pricing'!X200</f>
        <v>0</v>
      </c>
      <c r="U190" s="282">
        <f>'3. GRI Pricing'!Y200</f>
        <v>1255</v>
      </c>
    </row>
    <row r="191" spans="3:21" x14ac:dyDescent="0.2">
      <c r="C191" s="23" t="str">
        <f>'3. GRI Pricing'!C201</f>
        <v>104W</v>
      </c>
      <c r="D191" s="16" t="str">
        <f>'3. GRI Pricing'!D201</f>
        <v>2 Bed</v>
      </c>
      <c r="E191" s="16">
        <f>'3. GRI Pricing'!E201</f>
        <v>2</v>
      </c>
      <c r="F191" s="16">
        <f>'3. GRI Pricing'!F201</f>
        <v>657</v>
      </c>
      <c r="G191" s="16">
        <f>'3. GRI Pricing'!G201</f>
        <v>1</v>
      </c>
      <c r="H191" s="16" t="str">
        <f>'3. GRI Pricing'!H201</f>
        <v>Railway Bridge</v>
      </c>
      <c r="I191" s="280">
        <f>'3. GRI Pricing'!K201</f>
        <v>1110</v>
      </c>
      <c r="J191" s="281">
        <f>'3. GRI Pricing'!O201</f>
        <v>30</v>
      </c>
      <c r="K191" s="281">
        <f>'3. GRI Pricing'!L201</f>
        <v>0</v>
      </c>
      <c r="L191" s="281">
        <f>'3. GRI Pricing'!P201</f>
        <v>10</v>
      </c>
      <c r="M191" s="281">
        <f>'3. GRI Pricing'!R201</f>
        <v>0</v>
      </c>
      <c r="N191" s="281">
        <f>'3. GRI Pricing'!S201</f>
        <v>70</v>
      </c>
      <c r="O191" s="281">
        <f>'3. GRI Pricing'!Q201</f>
        <v>0</v>
      </c>
      <c r="P191" s="281">
        <f>'3. GRI Pricing'!T201</f>
        <v>0</v>
      </c>
      <c r="Q191" s="281">
        <f>'3. GRI Pricing'!U201</f>
        <v>0</v>
      </c>
      <c r="R191" s="281">
        <f>'3. GRI Pricing'!V201</f>
        <v>0</v>
      </c>
      <c r="S191" s="281">
        <f>'3. GRI Pricing'!W201</f>
        <v>0</v>
      </c>
      <c r="T191" s="281">
        <f>'3. GRI Pricing'!X201</f>
        <v>0</v>
      </c>
      <c r="U191" s="282">
        <f>'3. GRI Pricing'!Y201</f>
        <v>1240</v>
      </c>
    </row>
    <row r="192" spans="3:21" x14ac:dyDescent="0.2">
      <c r="C192" s="23" t="str">
        <f>'3. GRI Pricing'!C202</f>
        <v>105W</v>
      </c>
      <c r="D192" s="16" t="str">
        <f>'3. GRI Pricing'!D202</f>
        <v>2 Bed</v>
      </c>
      <c r="E192" s="16">
        <f>'3. GRI Pricing'!E202</f>
        <v>2</v>
      </c>
      <c r="F192" s="16">
        <f>'3. GRI Pricing'!F202</f>
        <v>678</v>
      </c>
      <c r="G192" s="16">
        <f>'3. GRI Pricing'!G202</f>
        <v>1</v>
      </c>
      <c r="H192" s="16" t="str">
        <f>'3. GRI Pricing'!H202</f>
        <v>Railway Bridge</v>
      </c>
      <c r="I192" s="280">
        <f>'3. GRI Pricing'!K202</f>
        <v>1110</v>
      </c>
      <c r="J192" s="281">
        <f>'3. GRI Pricing'!O202</f>
        <v>30</v>
      </c>
      <c r="K192" s="281">
        <f>'3. GRI Pricing'!L202</f>
        <v>0</v>
      </c>
      <c r="L192" s="281">
        <f>'3. GRI Pricing'!P202</f>
        <v>10</v>
      </c>
      <c r="M192" s="281">
        <f>'3. GRI Pricing'!R202</f>
        <v>0</v>
      </c>
      <c r="N192" s="281">
        <f>'3. GRI Pricing'!S202</f>
        <v>70</v>
      </c>
      <c r="O192" s="281">
        <f>'3. GRI Pricing'!Q202</f>
        <v>0</v>
      </c>
      <c r="P192" s="281">
        <f>'3. GRI Pricing'!T202</f>
        <v>0</v>
      </c>
      <c r="Q192" s="281">
        <f>'3. GRI Pricing'!U202</f>
        <v>0</v>
      </c>
      <c r="R192" s="281">
        <f>'3. GRI Pricing'!V202</f>
        <v>0</v>
      </c>
      <c r="S192" s="281">
        <f>'3. GRI Pricing'!W202</f>
        <v>0</v>
      </c>
      <c r="T192" s="281">
        <f>'3. GRI Pricing'!X202</f>
        <v>0</v>
      </c>
      <c r="U192" s="282">
        <f>'3. GRI Pricing'!Y202</f>
        <v>1260</v>
      </c>
    </row>
    <row r="193" spans="3:21" x14ac:dyDescent="0.2">
      <c r="C193" s="23" t="str">
        <f>'3. GRI Pricing'!C203</f>
        <v>106W</v>
      </c>
      <c r="D193" s="16" t="str">
        <f>'3. GRI Pricing'!D203</f>
        <v>1 Bed</v>
      </c>
      <c r="E193" s="16">
        <f>'3. GRI Pricing'!E203</f>
        <v>1</v>
      </c>
      <c r="F193" s="16">
        <f>'3. GRI Pricing'!F203</f>
        <v>506</v>
      </c>
      <c r="G193" s="16">
        <f>'3. GRI Pricing'!G203</f>
        <v>1</v>
      </c>
      <c r="H193" s="16" t="str">
        <f>'3. GRI Pricing'!H203</f>
        <v>Railway Bridge</v>
      </c>
      <c r="I193" s="280">
        <f>'3. GRI Pricing'!K203</f>
        <v>845</v>
      </c>
      <c r="J193" s="281">
        <f>'3. GRI Pricing'!O203</f>
        <v>30</v>
      </c>
      <c r="K193" s="281">
        <f>'3. GRI Pricing'!L203</f>
        <v>0</v>
      </c>
      <c r="L193" s="281">
        <f>'3. GRI Pricing'!P203</f>
        <v>10</v>
      </c>
      <c r="M193" s="281">
        <f>'3. GRI Pricing'!R203</f>
        <v>0</v>
      </c>
      <c r="N193" s="281">
        <f>'3. GRI Pricing'!S203</f>
        <v>70</v>
      </c>
      <c r="O193" s="281">
        <f>'3. GRI Pricing'!Q203</f>
        <v>0</v>
      </c>
      <c r="P193" s="281">
        <f>'3. GRI Pricing'!T203</f>
        <v>0</v>
      </c>
      <c r="Q193" s="281">
        <f>'3. GRI Pricing'!U203</f>
        <v>0</v>
      </c>
      <c r="R193" s="281">
        <f>'3. GRI Pricing'!V203</f>
        <v>0</v>
      </c>
      <c r="S193" s="281">
        <f>'3. GRI Pricing'!W203</f>
        <v>0</v>
      </c>
      <c r="T193" s="281">
        <f>'3. GRI Pricing'!X203</f>
        <v>0</v>
      </c>
      <c r="U193" s="282">
        <f>'3. GRI Pricing'!Y203</f>
        <v>970</v>
      </c>
    </row>
    <row r="194" spans="3:21" x14ac:dyDescent="0.2">
      <c r="C194" s="23" t="str">
        <f>'3. GRI Pricing'!C204</f>
        <v>107W</v>
      </c>
      <c r="D194" s="16" t="str">
        <f>'3. GRI Pricing'!D204</f>
        <v>1 Bed</v>
      </c>
      <c r="E194" s="16">
        <f>'3. GRI Pricing'!E204</f>
        <v>1</v>
      </c>
      <c r="F194" s="16">
        <f>'3. GRI Pricing'!F204</f>
        <v>474</v>
      </c>
      <c r="G194" s="16">
        <f>'3. GRI Pricing'!G204</f>
        <v>1</v>
      </c>
      <c r="H194" s="16" t="str">
        <f>'3. GRI Pricing'!H204</f>
        <v>Pottery Lane</v>
      </c>
      <c r="I194" s="280">
        <f>'3. GRI Pricing'!K204</f>
        <v>845</v>
      </c>
      <c r="J194" s="281">
        <f>'3. GRI Pricing'!O204</f>
        <v>30</v>
      </c>
      <c r="K194" s="281">
        <f>'3. GRI Pricing'!L204</f>
        <v>0</v>
      </c>
      <c r="L194" s="281">
        <f>'3. GRI Pricing'!P204</f>
        <v>10</v>
      </c>
      <c r="M194" s="281">
        <f>'3. GRI Pricing'!R204</f>
        <v>0</v>
      </c>
      <c r="N194" s="281">
        <f>'3. GRI Pricing'!S204</f>
        <v>70</v>
      </c>
      <c r="O194" s="281">
        <f>'3. GRI Pricing'!Q204</f>
        <v>0</v>
      </c>
      <c r="P194" s="281">
        <f>'3. GRI Pricing'!T204</f>
        <v>0</v>
      </c>
      <c r="Q194" s="281">
        <f>'3. GRI Pricing'!U204</f>
        <v>0</v>
      </c>
      <c r="R194" s="281">
        <f>'3. GRI Pricing'!V204</f>
        <v>0</v>
      </c>
      <c r="S194" s="281">
        <f>'3. GRI Pricing'!W204</f>
        <v>0</v>
      </c>
      <c r="T194" s="281">
        <f>'3. GRI Pricing'!X204</f>
        <v>0</v>
      </c>
      <c r="U194" s="282">
        <f>'3. GRI Pricing'!Y204</f>
        <v>955</v>
      </c>
    </row>
    <row r="195" spans="3:21" x14ac:dyDescent="0.2">
      <c r="C195" s="23" t="str">
        <f>'3. GRI Pricing'!C205</f>
        <v>108W</v>
      </c>
      <c r="D195" s="16" t="str">
        <f>'3. GRI Pricing'!D205</f>
        <v>2 Bed</v>
      </c>
      <c r="E195" s="16">
        <f>'3. GRI Pricing'!E205</f>
        <v>2</v>
      </c>
      <c r="F195" s="16">
        <f>'3. GRI Pricing'!F205</f>
        <v>775</v>
      </c>
      <c r="G195" s="16">
        <f>'3. GRI Pricing'!G205</f>
        <v>1</v>
      </c>
      <c r="H195" s="16" t="str">
        <f>'3. GRI Pricing'!H205</f>
        <v>Courtyard</v>
      </c>
      <c r="I195" s="280">
        <f>'3. GRI Pricing'!K205</f>
        <v>1110</v>
      </c>
      <c r="J195" s="281">
        <f>'3. GRI Pricing'!O205</f>
        <v>30</v>
      </c>
      <c r="K195" s="281">
        <f>'3. GRI Pricing'!L205</f>
        <v>0</v>
      </c>
      <c r="L195" s="281">
        <f>'3. GRI Pricing'!P205</f>
        <v>25</v>
      </c>
      <c r="M195" s="281">
        <f>'3. GRI Pricing'!R205</f>
        <v>0</v>
      </c>
      <c r="N195" s="281">
        <f>'3. GRI Pricing'!S205</f>
        <v>70</v>
      </c>
      <c r="O195" s="281">
        <f>'3. GRI Pricing'!Q205</f>
        <v>0</v>
      </c>
      <c r="P195" s="281">
        <f>'3. GRI Pricing'!T205</f>
        <v>0</v>
      </c>
      <c r="Q195" s="281">
        <f>'3. GRI Pricing'!U205</f>
        <v>0</v>
      </c>
      <c r="R195" s="281">
        <f>'3. GRI Pricing'!V205</f>
        <v>0</v>
      </c>
      <c r="S195" s="281">
        <f>'3. GRI Pricing'!W205</f>
        <v>0</v>
      </c>
      <c r="T195" s="281">
        <f>'3. GRI Pricing'!X205</f>
        <v>110</v>
      </c>
      <c r="U195" s="282">
        <f>'3. GRI Pricing'!Y205</f>
        <v>1345</v>
      </c>
    </row>
    <row r="196" spans="3:21" x14ac:dyDescent="0.2">
      <c r="C196" s="23" t="str">
        <f>'3. GRI Pricing'!C206</f>
        <v>109W</v>
      </c>
      <c r="D196" s="16" t="str">
        <f>'3. GRI Pricing'!D206</f>
        <v>2 Bed</v>
      </c>
      <c r="E196" s="16">
        <f>'3. GRI Pricing'!E206</f>
        <v>2</v>
      </c>
      <c r="F196" s="16">
        <f>'3. GRI Pricing'!F206</f>
        <v>657</v>
      </c>
      <c r="G196" s="16">
        <f>'3. GRI Pricing'!G206</f>
        <v>1</v>
      </c>
      <c r="H196" s="16" t="str">
        <f>'3. GRI Pricing'!H206</f>
        <v>Courtyard</v>
      </c>
      <c r="I196" s="280">
        <f>'3. GRI Pricing'!K206</f>
        <v>1110</v>
      </c>
      <c r="J196" s="281">
        <f>'3. GRI Pricing'!O206</f>
        <v>30</v>
      </c>
      <c r="K196" s="281">
        <f>'3. GRI Pricing'!L206</f>
        <v>0</v>
      </c>
      <c r="L196" s="281">
        <f>'3. GRI Pricing'!P206</f>
        <v>25</v>
      </c>
      <c r="M196" s="281">
        <f>'3. GRI Pricing'!R206</f>
        <v>0</v>
      </c>
      <c r="N196" s="281">
        <f>'3. GRI Pricing'!S206</f>
        <v>70</v>
      </c>
      <c r="O196" s="281">
        <f>'3. GRI Pricing'!Q206</f>
        <v>0</v>
      </c>
      <c r="P196" s="281">
        <f>'3. GRI Pricing'!T206</f>
        <v>0</v>
      </c>
      <c r="Q196" s="281">
        <f>'3. GRI Pricing'!U206</f>
        <v>0</v>
      </c>
      <c r="R196" s="281">
        <f>'3. GRI Pricing'!V206</f>
        <v>0</v>
      </c>
      <c r="S196" s="281">
        <f>'3. GRI Pricing'!W206</f>
        <v>0</v>
      </c>
      <c r="T196" s="281">
        <f>'3. GRI Pricing'!X206</f>
        <v>0</v>
      </c>
      <c r="U196" s="282">
        <f>'3. GRI Pricing'!Y206</f>
        <v>1255</v>
      </c>
    </row>
    <row r="197" spans="3:21" x14ac:dyDescent="0.2">
      <c r="C197" s="23" t="str">
        <f>'3. GRI Pricing'!C207</f>
        <v>110W</v>
      </c>
      <c r="D197" s="16" t="str">
        <f>'3. GRI Pricing'!D207</f>
        <v>2 Bed</v>
      </c>
      <c r="E197" s="16">
        <f>'3. GRI Pricing'!E207</f>
        <v>2</v>
      </c>
      <c r="F197" s="16">
        <f>'3. GRI Pricing'!F207</f>
        <v>689</v>
      </c>
      <c r="G197" s="16">
        <f>'3. GRI Pricing'!G207</f>
        <v>1</v>
      </c>
      <c r="H197" s="16" t="str">
        <f>'3. GRI Pricing'!H207</f>
        <v>Courtyard</v>
      </c>
      <c r="I197" s="280">
        <f>'3. GRI Pricing'!K207</f>
        <v>1110</v>
      </c>
      <c r="J197" s="281">
        <f>'3. GRI Pricing'!O207</f>
        <v>30</v>
      </c>
      <c r="K197" s="281">
        <f>'3. GRI Pricing'!L207</f>
        <v>0</v>
      </c>
      <c r="L197" s="281">
        <f>'3. GRI Pricing'!P207</f>
        <v>25</v>
      </c>
      <c r="M197" s="281">
        <f>'3. GRI Pricing'!R207</f>
        <v>0</v>
      </c>
      <c r="N197" s="281">
        <f>'3. GRI Pricing'!S207</f>
        <v>70</v>
      </c>
      <c r="O197" s="281">
        <f>'3. GRI Pricing'!Q207</f>
        <v>0</v>
      </c>
      <c r="P197" s="281">
        <f>'3. GRI Pricing'!T207</f>
        <v>0</v>
      </c>
      <c r="Q197" s="281">
        <f>'3. GRI Pricing'!U207</f>
        <v>0</v>
      </c>
      <c r="R197" s="281">
        <f>'3. GRI Pricing'!V207</f>
        <v>0</v>
      </c>
      <c r="S197" s="281">
        <f>'3. GRI Pricing'!W207</f>
        <v>0</v>
      </c>
      <c r="T197" s="281">
        <f>'3. GRI Pricing'!X207</f>
        <v>0</v>
      </c>
      <c r="U197" s="282">
        <f>'3. GRI Pricing'!Y207</f>
        <v>1300</v>
      </c>
    </row>
    <row r="198" spans="3:21" x14ac:dyDescent="0.2">
      <c r="C198" s="23" t="str">
        <f>'3. GRI Pricing'!C208</f>
        <v>111W</v>
      </c>
      <c r="D198" s="16" t="str">
        <f>'3. GRI Pricing'!D208</f>
        <v>2 Bed</v>
      </c>
      <c r="E198" s="16">
        <f>'3. GRI Pricing'!E208</f>
        <v>2</v>
      </c>
      <c r="F198" s="16">
        <f>'3. GRI Pricing'!F208</f>
        <v>667</v>
      </c>
      <c r="G198" s="16">
        <f>'3. GRI Pricing'!G208</f>
        <v>1</v>
      </c>
      <c r="H198" s="16" t="str">
        <f>'3. GRI Pricing'!H208</f>
        <v>Courtyard</v>
      </c>
      <c r="I198" s="280">
        <f>'3. GRI Pricing'!K208</f>
        <v>1110</v>
      </c>
      <c r="J198" s="281">
        <f>'3. GRI Pricing'!O208</f>
        <v>30</v>
      </c>
      <c r="K198" s="281">
        <f>'3. GRI Pricing'!L208</f>
        <v>0</v>
      </c>
      <c r="L198" s="281">
        <f>'3. GRI Pricing'!P208</f>
        <v>25</v>
      </c>
      <c r="M198" s="281">
        <f>'3. GRI Pricing'!R208</f>
        <v>0</v>
      </c>
      <c r="N198" s="281">
        <f>'3. GRI Pricing'!S208</f>
        <v>70</v>
      </c>
      <c r="O198" s="281">
        <f>'3. GRI Pricing'!Q208</f>
        <v>0</v>
      </c>
      <c r="P198" s="281">
        <f>'3. GRI Pricing'!T208</f>
        <v>0</v>
      </c>
      <c r="Q198" s="281">
        <f>'3. GRI Pricing'!U208</f>
        <v>0</v>
      </c>
      <c r="R198" s="281">
        <f>'3. GRI Pricing'!V208</f>
        <v>0</v>
      </c>
      <c r="S198" s="281">
        <f>'3. GRI Pricing'!W208</f>
        <v>0</v>
      </c>
      <c r="T198" s="281">
        <f>'3. GRI Pricing'!X208</f>
        <v>0</v>
      </c>
      <c r="U198" s="282">
        <f>'3. GRI Pricing'!Y208</f>
        <v>1265</v>
      </c>
    </row>
    <row r="199" spans="3:21" x14ac:dyDescent="0.2">
      <c r="C199" s="23" t="str">
        <f>'3. GRI Pricing'!C209</f>
        <v>112W</v>
      </c>
      <c r="D199" s="16" t="str">
        <f>'3. GRI Pricing'!D209</f>
        <v>1 Bed</v>
      </c>
      <c r="E199" s="16">
        <f>'3. GRI Pricing'!E209</f>
        <v>1</v>
      </c>
      <c r="F199" s="16">
        <f>'3. GRI Pricing'!F209</f>
        <v>527</v>
      </c>
      <c r="G199" s="16">
        <f>'3. GRI Pricing'!G209</f>
        <v>1</v>
      </c>
      <c r="H199" s="16" t="str">
        <f>'3. GRI Pricing'!H209</f>
        <v>Railway Bridge</v>
      </c>
      <c r="I199" s="280">
        <f>'3. GRI Pricing'!K209</f>
        <v>845</v>
      </c>
      <c r="J199" s="281">
        <f>'3. GRI Pricing'!O209</f>
        <v>30</v>
      </c>
      <c r="K199" s="281">
        <f>'3. GRI Pricing'!L209</f>
        <v>0</v>
      </c>
      <c r="L199" s="281">
        <f>'3. GRI Pricing'!P209</f>
        <v>10</v>
      </c>
      <c r="M199" s="281">
        <f>'3. GRI Pricing'!R209</f>
        <v>0</v>
      </c>
      <c r="N199" s="281">
        <f>'3. GRI Pricing'!S209</f>
        <v>70</v>
      </c>
      <c r="O199" s="281">
        <f>'3. GRI Pricing'!Q209</f>
        <v>0</v>
      </c>
      <c r="P199" s="281">
        <f>'3. GRI Pricing'!T209</f>
        <v>0</v>
      </c>
      <c r="Q199" s="281">
        <f>'3. GRI Pricing'!U209</f>
        <v>0</v>
      </c>
      <c r="R199" s="281">
        <f>'3. GRI Pricing'!V209</f>
        <v>0</v>
      </c>
      <c r="S199" s="281">
        <f>'3. GRI Pricing'!W209</f>
        <v>0</v>
      </c>
      <c r="T199" s="281">
        <f>'3. GRI Pricing'!X209</f>
        <v>0</v>
      </c>
      <c r="U199" s="282">
        <f>'3. GRI Pricing'!Y209</f>
        <v>975</v>
      </c>
    </row>
    <row r="200" spans="3:21" x14ac:dyDescent="0.2">
      <c r="C200" s="23" t="str">
        <f>'3. GRI Pricing'!C210</f>
        <v>113W</v>
      </c>
      <c r="D200" s="16" t="str">
        <f>'3. GRI Pricing'!D210</f>
        <v>3 Bed</v>
      </c>
      <c r="E200" s="16">
        <f>'3. GRI Pricing'!E210</f>
        <v>2</v>
      </c>
      <c r="F200" s="16">
        <f>'3. GRI Pricing'!F210</f>
        <v>840</v>
      </c>
      <c r="G200" s="16">
        <f>'3. GRI Pricing'!G210</f>
        <v>1</v>
      </c>
      <c r="H200" s="16" t="str">
        <f>'3. GRI Pricing'!H210</f>
        <v>Railway Bridge</v>
      </c>
      <c r="I200" s="280">
        <f>'3. GRI Pricing'!K210</f>
        <v>1485</v>
      </c>
      <c r="J200" s="281">
        <f>'3. GRI Pricing'!O210</f>
        <v>30</v>
      </c>
      <c r="K200" s="281">
        <f>'3. GRI Pricing'!L210</f>
        <v>0</v>
      </c>
      <c r="L200" s="281">
        <f>'3. GRI Pricing'!P210</f>
        <v>10</v>
      </c>
      <c r="M200" s="281">
        <f>'3. GRI Pricing'!R210</f>
        <v>0</v>
      </c>
      <c r="N200" s="281">
        <f>'3. GRI Pricing'!S210</f>
        <v>70</v>
      </c>
      <c r="O200" s="281">
        <f>'3. GRI Pricing'!Q210</f>
        <v>0</v>
      </c>
      <c r="P200" s="281">
        <f>'3. GRI Pricing'!T210</f>
        <v>0</v>
      </c>
      <c r="Q200" s="281">
        <f>'3. GRI Pricing'!U210</f>
        <v>0</v>
      </c>
      <c r="R200" s="281">
        <f>'3. GRI Pricing'!V210</f>
        <v>0</v>
      </c>
      <c r="S200" s="281">
        <f>'3. GRI Pricing'!W210</f>
        <v>0</v>
      </c>
      <c r="T200" s="281">
        <f>'3. GRI Pricing'!X210</f>
        <v>0</v>
      </c>
      <c r="U200" s="282">
        <f>'3. GRI Pricing'!Y210</f>
        <v>1665</v>
      </c>
    </row>
    <row r="201" spans="3:21" x14ac:dyDescent="0.2">
      <c r="C201" s="23" t="str">
        <f>'3. GRI Pricing'!C211</f>
        <v>114W</v>
      </c>
      <c r="D201" s="16" t="str">
        <f>'3. GRI Pricing'!D211</f>
        <v>2 Bed</v>
      </c>
      <c r="E201" s="16">
        <f>'3. GRI Pricing'!E211</f>
        <v>2</v>
      </c>
      <c r="F201" s="16">
        <f>'3. GRI Pricing'!F211</f>
        <v>614</v>
      </c>
      <c r="G201" s="16">
        <f>'3. GRI Pricing'!G211</f>
        <v>1</v>
      </c>
      <c r="H201" s="16" t="str">
        <f>'3. GRI Pricing'!H211</f>
        <v>Railway Bridge</v>
      </c>
      <c r="I201" s="280">
        <f>'3. GRI Pricing'!K211</f>
        <v>1110</v>
      </c>
      <c r="J201" s="281">
        <f>'3. GRI Pricing'!O211</f>
        <v>30</v>
      </c>
      <c r="K201" s="281">
        <f>'3. GRI Pricing'!L211</f>
        <v>0</v>
      </c>
      <c r="L201" s="281">
        <f>'3. GRI Pricing'!P211</f>
        <v>10</v>
      </c>
      <c r="M201" s="281">
        <f>'3. GRI Pricing'!R211</f>
        <v>0</v>
      </c>
      <c r="N201" s="281">
        <f>'3. GRI Pricing'!S211</f>
        <v>70</v>
      </c>
      <c r="O201" s="281">
        <f>'3. GRI Pricing'!Q211</f>
        <v>0</v>
      </c>
      <c r="P201" s="281">
        <f>'3. GRI Pricing'!T211</f>
        <v>0</v>
      </c>
      <c r="Q201" s="281">
        <f>'3. GRI Pricing'!U211</f>
        <v>0</v>
      </c>
      <c r="R201" s="281">
        <f>'3. GRI Pricing'!V211</f>
        <v>0</v>
      </c>
      <c r="S201" s="281">
        <f>'3. GRI Pricing'!W211</f>
        <v>0</v>
      </c>
      <c r="T201" s="281">
        <f>'3. GRI Pricing'!X211</f>
        <v>0</v>
      </c>
      <c r="U201" s="282">
        <f>'3. GRI Pricing'!Y211</f>
        <v>1225</v>
      </c>
    </row>
    <row r="202" spans="3:21" x14ac:dyDescent="0.2">
      <c r="C202" s="23" t="str">
        <f>'3. GRI Pricing'!C212</f>
        <v>201W</v>
      </c>
      <c r="D202" s="16" t="str">
        <f>'3. GRI Pricing'!D212</f>
        <v>2 Bed</v>
      </c>
      <c r="E202" s="16">
        <f>'3. GRI Pricing'!E212</f>
        <v>2</v>
      </c>
      <c r="F202" s="16">
        <f>'3. GRI Pricing'!F212</f>
        <v>689</v>
      </c>
      <c r="G202" s="16">
        <f>'3. GRI Pricing'!G212</f>
        <v>2</v>
      </c>
      <c r="H202" s="16" t="str">
        <f>'3. GRI Pricing'!H212</f>
        <v>Pottery Lane</v>
      </c>
      <c r="I202" s="280">
        <f>'3. GRI Pricing'!K212</f>
        <v>1110</v>
      </c>
      <c r="J202" s="281">
        <f>'3. GRI Pricing'!O212</f>
        <v>40</v>
      </c>
      <c r="K202" s="281">
        <f>'3. GRI Pricing'!L212</f>
        <v>0</v>
      </c>
      <c r="L202" s="281">
        <f>'3. GRI Pricing'!P212</f>
        <v>10</v>
      </c>
      <c r="M202" s="281">
        <f>'3. GRI Pricing'!R212</f>
        <v>0</v>
      </c>
      <c r="N202" s="281">
        <f>'3. GRI Pricing'!S212</f>
        <v>70</v>
      </c>
      <c r="O202" s="281">
        <f>'3. GRI Pricing'!Q212</f>
        <v>0</v>
      </c>
      <c r="P202" s="281">
        <f>'3. GRI Pricing'!T212</f>
        <v>0</v>
      </c>
      <c r="Q202" s="281">
        <f>'3. GRI Pricing'!U212</f>
        <v>0</v>
      </c>
      <c r="R202" s="281">
        <f>'3. GRI Pricing'!V212</f>
        <v>0</v>
      </c>
      <c r="S202" s="281">
        <f>'3. GRI Pricing'!W212</f>
        <v>0</v>
      </c>
      <c r="T202" s="281">
        <f>'3. GRI Pricing'!X212</f>
        <v>0</v>
      </c>
      <c r="U202" s="282">
        <f>'3. GRI Pricing'!Y212</f>
        <v>1295</v>
      </c>
    </row>
    <row r="203" spans="3:21" x14ac:dyDescent="0.2">
      <c r="C203" s="23" t="str">
        <f>'3. GRI Pricing'!C213</f>
        <v>202W</v>
      </c>
      <c r="D203" s="16" t="str">
        <f>'3. GRI Pricing'!D213</f>
        <v>1 Bed</v>
      </c>
      <c r="E203" s="16">
        <f>'3. GRI Pricing'!E213</f>
        <v>1</v>
      </c>
      <c r="F203" s="16">
        <f>'3. GRI Pricing'!F213</f>
        <v>495</v>
      </c>
      <c r="G203" s="16">
        <f>'3. GRI Pricing'!G213</f>
        <v>2</v>
      </c>
      <c r="H203" s="16" t="str">
        <f>'3. GRI Pricing'!H213</f>
        <v>Courtyard</v>
      </c>
      <c r="I203" s="280">
        <f>'3. GRI Pricing'!K213</f>
        <v>845</v>
      </c>
      <c r="J203" s="281">
        <f>'3. GRI Pricing'!O213</f>
        <v>40</v>
      </c>
      <c r="K203" s="281">
        <f>'3. GRI Pricing'!L213</f>
        <v>0</v>
      </c>
      <c r="L203" s="281">
        <f>'3. GRI Pricing'!P213</f>
        <v>25</v>
      </c>
      <c r="M203" s="281">
        <f>'3. GRI Pricing'!R213</f>
        <v>0</v>
      </c>
      <c r="N203" s="281">
        <f>'3. GRI Pricing'!S213</f>
        <v>70</v>
      </c>
      <c r="O203" s="281">
        <f>'3. GRI Pricing'!Q213</f>
        <v>0</v>
      </c>
      <c r="P203" s="281">
        <f>'3. GRI Pricing'!T213</f>
        <v>0</v>
      </c>
      <c r="Q203" s="281">
        <f>'3. GRI Pricing'!U213</f>
        <v>0</v>
      </c>
      <c r="R203" s="281">
        <f>'3. GRI Pricing'!V213</f>
        <v>0</v>
      </c>
      <c r="S203" s="281">
        <f>'3. GRI Pricing'!W213</f>
        <v>0</v>
      </c>
      <c r="T203" s="281">
        <f>'3. GRI Pricing'!X213</f>
        <v>0</v>
      </c>
      <c r="U203" s="282">
        <f>'3. GRI Pricing'!Y213</f>
        <v>995</v>
      </c>
    </row>
    <row r="204" spans="3:21" x14ac:dyDescent="0.2">
      <c r="C204" s="23" t="str">
        <f>'3. GRI Pricing'!C214</f>
        <v>203W</v>
      </c>
      <c r="D204" s="16" t="str">
        <f>'3. GRI Pricing'!D214</f>
        <v>2 Bed</v>
      </c>
      <c r="E204" s="16">
        <f>'3. GRI Pricing'!E214</f>
        <v>2</v>
      </c>
      <c r="F204" s="16">
        <f>'3. GRI Pricing'!F214</f>
        <v>657</v>
      </c>
      <c r="G204" s="16">
        <f>'3. GRI Pricing'!G214</f>
        <v>2</v>
      </c>
      <c r="H204" s="16" t="str">
        <f>'3. GRI Pricing'!H214</f>
        <v>Courtyard</v>
      </c>
      <c r="I204" s="280">
        <f>'3. GRI Pricing'!K214</f>
        <v>1110</v>
      </c>
      <c r="J204" s="281">
        <f>'3. GRI Pricing'!O214</f>
        <v>40</v>
      </c>
      <c r="K204" s="281">
        <f>'3. GRI Pricing'!L214</f>
        <v>0</v>
      </c>
      <c r="L204" s="281">
        <f>'3. GRI Pricing'!P214</f>
        <v>25</v>
      </c>
      <c r="M204" s="281">
        <f>'3. GRI Pricing'!R214</f>
        <v>0</v>
      </c>
      <c r="N204" s="281">
        <f>'3. GRI Pricing'!S214</f>
        <v>70</v>
      </c>
      <c r="O204" s="281">
        <f>'3. GRI Pricing'!Q214</f>
        <v>0</v>
      </c>
      <c r="P204" s="281">
        <f>'3. GRI Pricing'!T214</f>
        <v>0</v>
      </c>
      <c r="Q204" s="281">
        <f>'3. GRI Pricing'!U214</f>
        <v>0</v>
      </c>
      <c r="R204" s="281">
        <f>'3. GRI Pricing'!V214</f>
        <v>0</v>
      </c>
      <c r="S204" s="281">
        <f>'3. GRI Pricing'!W214</f>
        <v>0</v>
      </c>
      <c r="T204" s="281">
        <f>'3. GRI Pricing'!X214</f>
        <v>0</v>
      </c>
      <c r="U204" s="282">
        <f>'3. GRI Pricing'!Y214</f>
        <v>1265</v>
      </c>
    </row>
    <row r="205" spans="3:21" x14ac:dyDescent="0.2">
      <c r="C205" s="23" t="str">
        <f>'3. GRI Pricing'!C215</f>
        <v>204W</v>
      </c>
      <c r="D205" s="16" t="str">
        <f>'3. GRI Pricing'!D215</f>
        <v>2 Bed</v>
      </c>
      <c r="E205" s="16">
        <f>'3. GRI Pricing'!E215</f>
        <v>2</v>
      </c>
      <c r="F205" s="16">
        <f>'3. GRI Pricing'!F215</f>
        <v>657</v>
      </c>
      <c r="G205" s="16">
        <f>'3. GRI Pricing'!G215</f>
        <v>2</v>
      </c>
      <c r="H205" s="16" t="str">
        <f>'3. GRI Pricing'!H215</f>
        <v>Railway Bridge</v>
      </c>
      <c r="I205" s="280">
        <f>'3. GRI Pricing'!K215</f>
        <v>1110</v>
      </c>
      <c r="J205" s="281">
        <f>'3. GRI Pricing'!O215</f>
        <v>40</v>
      </c>
      <c r="K205" s="281">
        <f>'3. GRI Pricing'!L215</f>
        <v>0</v>
      </c>
      <c r="L205" s="281">
        <f>'3. GRI Pricing'!P215</f>
        <v>10</v>
      </c>
      <c r="M205" s="281">
        <f>'3. GRI Pricing'!R215</f>
        <v>0</v>
      </c>
      <c r="N205" s="281">
        <f>'3. GRI Pricing'!S215</f>
        <v>70</v>
      </c>
      <c r="O205" s="281">
        <f>'3. GRI Pricing'!Q215</f>
        <v>0</v>
      </c>
      <c r="P205" s="281">
        <f>'3. GRI Pricing'!T215</f>
        <v>0</v>
      </c>
      <c r="Q205" s="281">
        <f>'3. GRI Pricing'!U215</f>
        <v>0</v>
      </c>
      <c r="R205" s="281">
        <f>'3. GRI Pricing'!V215</f>
        <v>0</v>
      </c>
      <c r="S205" s="281">
        <f>'3. GRI Pricing'!W215</f>
        <v>0</v>
      </c>
      <c r="T205" s="281">
        <f>'3. GRI Pricing'!X215</f>
        <v>0</v>
      </c>
      <c r="U205" s="282">
        <f>'3. GRI Pricing'!Y215</f>
        <v>1250</v>
      </c>
    </row>
    <row r="206" spans="3:21" x14ac:dyDescent="0.2">
      <c r="C206" s="23" t="str">
        <f>'3. GRI Pricing'!C216</f>
        <v>205W</v>
      </c>
      <c r="D206" s="16" t="str">
        <f>'3. GRI Pricing'!D216</f>
        <v>2 Bed</v>
      </c>
      <c r="E206" s="16">
        <f>'3. GRI Pricing'!E216</f>
        <v>2</v>
      </c>
      <c r="F206" s="16">
        <f>'3. GRI Pricing'!F216</f>
        <v>678</v>
      </c>
      <c r="G206" s="16">
        <f>'3. GRI Pricing'!G216</f>
        <v>2</v>
      </c>
      <c r="H206" s="16" t="str">
        <f>'3. GRI Pricing'!H216</f>
        <v>Railway Bridge</v>
      </c>
      <c r="I206" s="280">
        <f>'3. GRI Pricing'!K216</f>
        <v>1110</v>
      </c>
      <c r="J206" s="281">
        <f>'3. GRI Pricing'!O216</f>
        <v>40</v>
      </c>
      <c r="K206" s="281">
        <f>'3. GRI Pricing'!L216</f>
        <v>0</v>
      </c>
      <c r="L206" s="281">
        <f>'3. GRI Pricing'!P216</f>
        <v>10</v>
      </c>
      <c r="M206" s="281">
        <f>'3. GRI Pricing'!R216</f>
        <v>0</v>
      </c>
      <c r="N206" s="281">
        <f>'3. GRI Pricing'!S216</f>
        <v>70</v>
      </c>
      <c r="O206" s="281">
        <f>'3. GRI Pricing'!Q216</f>
        <v>0</v>
      </c>
      <c r="P206" s="281">
        <f>'3. GRI Pricing'!T216</f>
        <v>0</v>
      </c>
      <c r="Q206" s="281">
        <f>'3. GRI Pricing'!U216</f>
        <v>0</v>
      </c>
      <c r="R206" s="281">
        <f>'3. GRI Pricing'!V216</f>
        <v>0</v>
      </c>
      <c r="S206" s="281">
        <f>'3. GRI Pricing'!W216</f>
        <v>0</v>
      </c>
      <c r="T206" s="281">
        <f>'3. GRI Pricing'!X216</f>
        <v>0</v>
      </c>
      <c r="U206" s="282">
        <f>'3. GRI Pricing'!Y216</f>
        <v>1270</v>
      </c>
    </row>
    <row r="207" spans="3:21" x14ac:dyDescent="0.2">
      <c r="C207" s="23" t="str">
        <f>'3. GRI Pricing'!C217</f>
        <v>206W</v>
      </c>
      <c r="D207" s="16" t="str">
        <f>'3. GRI Pricing'!D217</f>
        <v>1 Bed</v>
      </c>
      <c r="E207" s="16">
        <f>'3. GRI Pricing'!E217</f>
        <v>1</v>
      </c>
      <c r="F207" s="16">
        <f>'3. GRI Pricing'!F217</f>
        <v>506</v>
      </c>
      <c r="G207" s="16">
        <f>'3. GRI Pricing'!G217</f>
        <v>2</v>
      </c>
      <c r="H207" s="16" t="str">
        <f>'3. GRI Pricing'!H217</f>
        <v>Railway Bridge</v>
      </c>
      <c r="I207" s="280">
        <f>'3. GRI Pricing'!K217</f>
        <v>845</v>
      </c>
      <c r="J207" s="281">
        <f>'3. GRI Pricing'!O217</f>
        <v>40</v>
      </c>
      <c r="K207" s="281">
        <f>'3. GRI Pricing'!L217</f>
        <v>0</v>
      </c>
      <c r="L207" s="281">
        <f>'3. GRI Pricing'!P217</f>
        <v>10</v>
      </c>
      <c r="M207" s="281">
        <f>'3. GRI Pricing'!R217</f>
        <v>0</v>
      </c>
      <c r="N207" s="281">
        <f>'3. GRI Pricing'!S217</f>
        <v>70</v>
      </c>
      <c r="O207" s="281">
        <f>'3. GRI Pricing'!Q217</f>
        <v>0</v>
      </c>
      <c r="P207" s="281">
        <f>'3. GRI Pricing'!T217</f>
        <v>0</v>
      </c>
      <c r="Q207" s="281">
        <f>'3. GRI Pricing'!U217</f>
        <v>0</v>
      </c>
      <c r="R207" s="281">
        <f>'3. GRI Pricing'!V217</f>
        <v>0</v>
      </c>
      <c r="S207" s="281">
        <f>'3. GRI Pricing'!W217</f>
        <v>0</v>
      </c>
      <c r="T207" s="281">
        <f>'3. GRI Pricing'!X217</f>
        <v>0</v>
      </c>
      <c r="U207" s="282">
        <f>'3. GRI Pricing'!Y217</f>
        <v>980</v>
      </c>
    </row>
    <row r="208" spans="3:21" x14ac:dyDescent="0.2">
      <c r="C208" s="23" t="str">
        <f>'3. GRI Pricing'!C218</f>
        <v>207W</v>
      </c>
      <c r="D208" s="16" t="str">
        <f>'3. GRI Pricing'!D218</f>
        <v>1 Bed</v>
      </c>
      <c r="E208" s="16">
        <f>'3. GRI Pricing'!E218</f>
        <v>1</v>
      </c>
      <c r="F208" s="16">
        <f>'3. GRI Pricing'!F218</f>
        <v>474</v>
      </c>
      <c r="G208" s="16">
        <f>'3. GRI Pricing'!G218</f>
        <v>2</v>
      </c>
      <c r="H208" s="16" t="str">
        <f>'3. GRI Pricing'!H218</f>
        <v>Pottery Lane</v>
      </c>
      <c r="I208" s="280">
        <f>'3. GRI Pricing'!K218</f>
        <v>845</v>
      </c>
      <c r="J208" s="281">
        <f>'3. GRI Pricing'!O218</f>
        <v>40</v>
      </c>
      <c r="K208" s="281">
        <f>'3. GRI Pricing'!L218</f>
        <v>0</v>
      </c>
      <c r="L208" s="281">
        <f>'3. GRI Pricing'!P218</f>
        <v>10</v>
      </c>
      <c r="M208" s="281">
        <f>'3. GRI Pricing'!R218</f>
        <v>0</v>
      </c>
      <c r="N208" s="281">
        <f>'3. GRI Pricing'!S218</f>
        <v>70</v>
      </c>
      <c r="O208" s="281">
        <f>'3. GRI Pricing'!Q218</f>
        <v>0</v>
      </c>
      <c r="P208" s="281">
        <f>'3. GRI Pricing'!T218</f>
        <v>0</v>
      </c>
      <c r="Q208" s="281">
        <f>'3. GRI Pricing'!U218</f>
        <v>0</v>
      </c>
      <c r="R208" s="281">
        <f>'3. GRI Pricing'!V218</f>
        <v>0</v>
      </c>
      <c r="S208" s="281">
        <f>'3. GRI Pricing'!W218</f>
        <v>0</v>
      </c>
      <c r="T208" s="281">
        <f>'3. GRI Pricing'!X218</f>
        <v>0</v>
      </c>
      <c r="U208" s="282">
        <f>'3. GRI Pricing'!Y218</f>
        <v>965</v>
      </c>
    </row>
    <row r="209" spans="3:21" x14ac:dyDescent="0.2">
      <c r="C209" s="23" t="str">
        <f>'3. GRI Pricing'!C219</f>
        <v>208W</v>
      </c>
      <c r="D209" s="16" t="str">
        <f>'3. GRI Pricing'!D219</f>
        <v>2 Bed</v>
      </c>
      <c r="E209" s="16">
        <f>'3. GRI Pricing'!E219</f>
        <v>2</v>
      </c>
      <c r="F209" s="16">
        <f>'3. GRI Pricing'!F219</f>
        <v>667</v>
      </c>
      <c r="G209" s="16">
        <f>'3. GRI Pricing'!G219</f>
        <v>2</v>
      </c>
      <c r="H209" s="16" t="str">
        <f>'3. GRI Pricing'!H219</f>
        <v>Courtyard</v>
      </c>
      <c r="I209" s="280">
        <f>'3. GRI Pricing'!K219</f>
        <v>1110</v>
      </c>
      <c r="J209" s="281">
        <f>'3. GRI Pricing'!O219</f>
        <v>40</v>
      </c>
      <c r="K209" s="281">
        <f>'3. GRI Pricing'!L219</f>
        <v>0</v>
      </c>
      <c r="L209" s="281">
        <f>'3. GRI Pricing'!P219</f>
        <v>25</v>
      </c>
      <c r="M209" s="281">
        <f>'3. GRI Pricing'!R219</f>
        <v>0</v>
      </c>
      <c r="N209" s="281">
        <f>'3. GRI Pricing'!S219</f>
        <v>70</v>
      </c>
      <c r="O209" s="281">
        <f>'3. GRI Pricing'!Q219</f>
        <v>0</v>
      </c>
      <c r="P209" s="281">
        <f>'3. GRI Pricing'!T219</f>
        <v>0</v>
      </c>
      <c r="Q209" s="281">
        <f>'3. GRI Pricing'!U219</f>
        <v>0</v>
      </c>
      <c r="R209" s="281">
        <f>'3. GRI Pricing'!V219</f>
        <v>0</v>
      </c>
      <c r="S209" s="281">
        <f>'3. GRI Pricing'!W219</f>
        <v>0</v>
      </c>
      <c r="T209" s="281">
        <f>'3. GRI Pricing'!X219</f>
        <v>0</v>
      </c>
      <c r="U209" s="282">
        <f>'3. GRI Pricing'!Y219</f>
        <v>1275</v>
      </c>
    </row>
    <row r="210" spans="3:21" x14ac:dyDescent="0.2">
      <c r="C210" s="23" t="str">
        <f>'3. GRI Pricing'!C220</f>
        <v>209W</v>
      </c>
      <c r="D210" s="16" t="str">
        <f>'3. GRI Pricing'!D220</f>
        <v>2 Bed</v>
      </c>
      <c r="E210" s="16">
        <f>'3. GRI Pricing'!E220</f>
        <v>2</v>
      </c>
      <c r="F210" s="16">
        <f>'3. GRI Pricing'!F220</f>
        <v>657</v>
      </c>
      <c r="G210" s="16">
        <f>'3. GRI Pricing'!G220</f>
        <v>2</v>
      </c>
      <c r="H210" s="16" t="str">
        <f>'3. GRI Pricing'!H220</f>
        <v>Courtyard</v>
      </c>
      <c r="I210" s="280">
        <f>'3. GRI Pricing'!K220</f>
        <v>1110</v>
      </c>
      <c r="J210" s="281">
        <f>'3. GRI Pricing'!O220</f>
        <v>40</v>
      </c>
      <c r="K210" s="281">
        <f>'3. GRI Pricing'!L220</f>
        <v>0</v>
      </c>
      <c r="L210" s="281">
        <f>'3. GRI Pricing'!P220</f>
        <v>25</v>
      </c>
      <c r="M210" s="281">
        <f>'3. GRI Pricing'!R220</f>
        <v>0</v>
      </c>
      <c r="N210" s="281">
        <f>'3. GRI Pricing'!S220</f>
        <v>70</v>
      </c>
      <c r="O210" s="281">
        <f>'3. GRI Pricing'!Q220</f>
        <v>0</v>
      </c>
      <c r="P210" s="281">
        <f>'3. GRI Pricing'!T220</f>
        <v>0</v>
      </c>
      <c r="Q210" s="281">
        <f>'3. GRI Pricing'!U220</f>
        <v>0</v>
      </c>
      <c r="R210" s="281">
        <f>'3. GRI Pricing'!V220</f>
        <v>0</v>
      </c>
      <c r="S210" s="281">
        <f>'3. GRI Pricing'!W220</f>
        <v>0</v>
      </c>
      <c r="T210" s="281">
        <f>'3. GRI Pricing'!X220</f>
        <v>0</v>
      </c>
      <c r="U210" s="282">
        <f>'3. GRI Pricing'!Y220</f>
        <v>1265</v>
      </c>
    </row>
    <row r="211" spans="3:21" x14ac:dyDescent="0.2">
      <c r="C211" s="23" t="str">
        <f>'3. GRI Pricing'!C221</f>
        <v>210W</v>
      </c>
      <c r="D211" s="16" t="str">
        <f>'3. GRI Pricing'!D221</f>
        <v>2 Bed</v>
      </c>
      <c r="E211" s="16">
        <f>'3. GRI Pricing'!E221</f>
        <v>2</v>
      </c>
      <c r="F211" s="16">
        <f>'3. GRI Pricing'!F221</f>
        <v>689</v>
      </c>
      <c r="G211" s="16">
        <f>'3. GRI Pricing'!G221</f>
        <v>2</v>
      </c>
      <c r="H211" s="16" t="str">
        <f>'3. GRI Pricing'!H221</f>
        <v>Courtyard</v>
      </c>
      <c r="I211" s="280">
        <f>'3. GRI Pricing'!K221</f>
        <v>1110</v>
      </c>
      <c r="J211" s="281">
        <f>'3. GRI Pricing'!O221</f>
        <v>40</v>
      </c>
      <c r="K211" s="281">
        <f>'3. GRI Pricing'!L221</f>
        <v>0</v>
      </c>
      <c r="L211" s="281">
        <f>'3. GRI Pricing'!P221</f>
        <v>25</v>
      </c>
      <c r="M211" s="281">
        <f>'3. GRI Pricing'!R221</f>
        <v>0</v>
      </c>
      <c r="N211" s="281">
        <f>'3. GRI Pricing'!S221</f>
        <v>70</v>
      </c>
      <c r="O211" s="281">
        <f>'3. GRI Pricing'!Q221</f>
        <v>0</v>
      </c>
      <c r="P211" s="281">
        <f>'3. GRI Pricing'!T221</f>
        <v>0</v>
      </c>
      <c r="Q211" s="281">
        <f>'3. GRI Pricing'!U221</f>
        <v>0</v>
      </c>
      <c r="R211" s="281">
        <f>'3. GRI Pricing'!V221</f>
        <v>0</v>
      </c>
      <c r="S211" s="281">
        <f>'3. GRI Pricing'!W221</f>
        <v>0</v>
      </c>
      <c r="T211" s="281">
        <f>'3. GRI Pricing'!X221</f>
        <v>0</v>
      </c>
      <c r="U211" s="282">
        <f>'3. GRI Pricing'!Y221</f>
        <v>1310</v>
      </c>
    </row>
    <row r="212" spans="3:21" x14ac:dyDescent="0.2">
      <c r="C212" s="23" t="str">
        <f>'3. GRI Pricing'!C222</f>
        <v>211W</v>
      </c>
      <c r="D212" s="16" t="str">
        <f>'3. GRI Pricing'!D222</f>
        <v>2 Bed</v>
      </c>
      <c r="E212" s="16">
        <f>'3. GRI Pricing'!E222</f>
        <v>2</v>
      </c>
      <c r="F212" s="16">
        <f>'3. GRI Pricing'!F222</f>
        <v>667</v>
      </c>
      <c r="G212" s="16">
        <f>'3. GRI Pricing'!G222</f>
        <v>2</v>
      </c>
      <c r="H212" s="16" t="str">
        <f>'3. GRI Pricing'!H222</f>
        <v>Courtyard</v>
      </c>
      <c r="I212" s="280">
        <f>'3. GRI Pricing'!K222</f>
        <v>1110</v>
      </c>
      <c r="J212" s="281">
        <f>'3. GRI Pricing'!O222</f>
        <v>40</v>
      </c>
      <c r="K212" s="281">
        <f>'3. GRI Pricing'!L222</f>
        <v>0</v>
      </c>
      <c r="L212" s="281">
        <f>'3. GRI Pricing'!P222</f>
        <v>25</v>
      </c>
      <c r="M212" s="281">
        <f>'3. GRI Pricing'!R222</f>
        <v>0</v>
      </c>
      <c r="N212" s="281">
        <f>'3. GRI Pricing'!S222</f>
        <v>70</v>
      </c>
      <c r="O212" s="281">
        <f>'3. GRI Pricing'!Q222</f>
        <v>0</v>
      </c>
      <c r="P212" s="281">
        <f>'3. GRI Pricing'!T222</f>
        <v>0</v>
      </c>
      <c r="Q212" s="281">
        <f>'3. GRI Pricing'!U222</f>
        <v>0</v>
      </c>
      <c r="R212" s="281">
        <f>'3. GRI Pricing'!V222</f>
        <v>0</v>
      </c>
      <c r="S212" s="281">
        <f>'3. GRI Pricing'!W222</f>
        <v>0</v>
      </c>
      <c r="T212" s="281">
        <f>'3. GRI Pricing'!X222</f>
        <v>0</v>
      </c>
      <c r="U212" s="282">
        <f>'3. GRI Pricing'!Y222</f>
        <v>1275</v>
      </c>
    </row>
    <row r="213" spans="3:21" x14ac:dyDescent="0.2">
      <c r="C213" s="23" t="str">
        <f>'3. GRI Pricing'!C223</f>
        <v>212W</v>
      </c>
      <c r="D213" s="16" t="str">
        <f>'3. GRI Pricing'!D223</f>
        <v>1 Bed</v>
      </c>
      <c r="E213" s="16">
        <f>'3. GRI Pricing'!E223</f>
        <v>1</v>
      </c>
      <c r="F213" s="16">
        <f>'3. GRI Pricing'!F223</f>
        <v>527</v>
      </c>
      <c r="G213" s="16">
        <f>'3. GRI Pricing'!G223</f>
        <v>2</v>
      </c>
      <c r="H213" s="16" t="str">
        <f>'3. GRI Pricing'!H223</f>
        <v>Railway Bridge</v>
      </c>
      <c r="I213" s="280">
        <f>'3. GRI Pricing'!K223</f>
        <v>845</v>
      </c>
      <c r="J213" s="281">
        <f>'3. GRI Pricing'!O223</f>
        <v>40</v>
      </c>
      <c r="K213" s="281">
        <f>'3. GRI Pricing'!L223</f>
        <v>0</v>
      </c>
      <c r="L213" s="281">
        <f>'3. GRI Pricing'!P223</f>
        <v>10</v>
      </c>
      <c r="M213" s="281">
        <f>'3. GRI Pricing'!R223</f>
        <v>0</v>
      </c>
      <c r="N213" s="281">
        <f>'3. GRI Pricing'!S223</f>
        <v>70</v>
      </c>
      <c r="O213" s="281">
        <f>'3. GRI Pricing'!Q223</f>
        <v>0</v>
      </c>
      <c r="P213" s="281">
        <f>'3. GRI Pricing'!T223</f>
        <v>0</v>
      </c>
      <c r="Q213" s="281">
        <f>'3. GRI Pricing'!U223</f>
        <v>0</v>
      </c>
      <c r="R213" s="281">
        <f>'3. GRI Pricing'!V223</f>
        <v>0</v>
      </c>
      <c r="S213" s="281">
        <f>'3. GRI Pricing'!W223</f>
        <v>0</v>
      </c>
      <c r="T213" s="281">
        <f>'3. GRI Pricing'!X223</f>
        <v>0</v>
      </c>
      <c r="U213" s="282">
        <f>'3. GRI Pricing'!Y223</f>
        <v>985</v>
      </c>
    </row>
    <row r="214" spans="3:21" x14ac:dyDescent="0.2">
      <c r="C214" s="23" t="str">
        <f>'3. GRI Pricing'!C224</f>
        <v>213W</v>
      </c>
      <c r="D214" s="16" t="str">
        <f>'3. GRI Pricing'!D224</f>
        <v>3 Bed</v>
      </c>
      <c r="E214" s="16">
        <f>'3. GRI Pricing'!E224</f>
        <v>2</v>
      </c>
      <c r="F214" s="16">
        <f>'3. GRI Pricing'!F224</f>
        <v>840</v>
      </c>
      <c r="G214" s="16">
        <f>'3. GRI Pricing'!G224</f>
        <v>2</v>
      </c>
      <c r="H214" s="16" t="str">
        <f>'3. GRI Pricing'!H224</f>
        <v>Railway Bridge</v>
      </c>
      <c r="I214" s="280">
        <f>'3. GRI Pricing'!K224</f>
        <v>1485</v>
      </c>
      <c r="J214" s="281">
        <f>'3. GRI Pricing'!O224</f>
        <v>40</v>
      </c>
      <c r="K214" s="281">
        <f>'3. GRI Pricing'!L224</f>
        <v>0</v>
      </c>
      <c r="L214" s="281">
        <f>'3. GRI Pricing'!P224</f>
        <v>10</v>
      </c>
      <c r="M214" s="281">
        <f>'3. GRI Pricing'!R224</f>
        <v>0</v>
      </c>
      <c r="N214" s="281">
        <f>'3. GRI Pricing'!S224</f>
        <v>70</v>
      </c>
      <c r="O214" s="281">
        <f>'3. GRI Pricing'!Q224</f>
        <v>0</v>
      </c>
      <c r="P214" s="281">
        <f>'3. GRI Pricing'!T224</f>
        <v>0</v>
      </c>
      <c r="Q214" s="281">
        <f>'3. GRI Pricing'!U224</f>
        <v>0</v>
      </c>
      <c r="R214" s="281">
        <f>'3. GRI Pricing'!V224</f>
        <v>0</v>
      </c>
      <c r="S214" s="281">
        <f>'3. GRI Pricing'!W224</f>
        <v>0</v>
      </c>
      <c r="T214" s="281">
        <f>'3. GRI Pricing'!X224</f>
        <v>0</v>
      </c>
      <c r="U214" s="282">
        <f>'3. GRI Pricing'!Y224</f>
        <v>1675</v>
      </c>
    </row>
    <row r="215" spans="3:21" x14ac:dyDescent="0.2">
      <c r="C215" s="23" t="str">
        <f>'3. GRI Pricing'!C225</f>
        <v>214W</v>
      </c>
      <c r="D215" s="16" t="str">
        <f>'3. GRI Pricing'!D225</f>
        <v>2 Bed</v>
      </c>
      <c r="E215" s="16">
        <f>'3. GRI Pricing'!E225</f>
        <v>2</v>
      </c>
      <c r="F215" s="16">
        <f>'3. GRI Pricing'!F225</f>
        <v>624</v>
      </c>
      <c r="G215" s="16">
        <f>'3. GRI Pricing'!G225</f>
        <v>2</v>
      </c>
      <c r="H215" s="16" t="str">
        <f>'3. GRI Pricing'!H225</f>
        <v>Railway Bridge</v>
      </c>
      <c r="I215" s="280">
        <f>'3. GRI Pricing'!K225</f>
        <v>1110</v>
      </c>
      <c r="J215" s="281">
        <f>'3. GRI Pricing'!O225</f>
        <v>40</v>
      </c>
      <c r="K215" s="281">
        <f>'3. GRI Pricing'!L225</f>
        <v>0</v>
      </c>
      <c r="L215" s="281">
        <f>'3. GRI Pricing'!P225</f>
        <v>10</v>
      </c>
      <c r="M215" s="281">
        <f>'3. GRI Pricing'!R225</f>
        <v>0</v>
      </c>
      <c r="N215" s="281">
        <f>'3. GRI Pricing'!S225</f>
        <v>70</v>
      </c>
      <c r="O215" s="281">
        <f>'3. GRI Pricing'!Q225</f>
        <v>0</v>
      </c>
      <c r="P215" s="281">
        <f>'3. GRI Pricing'!T225</f>
        <v>0</v>
      </c>
      <c r="Q215" s="281">
        <f>'3. GRI Pricing'!U225</f>
        <v>0</v>
      </c>
      <c r="R215" s="281">
        <f>'3. GRI Pricing'!V225</f>
        <v>0</v>
      </c>
      <c r="S215" s="281">
        <f>'3. GRI Pricing'!W225</f>
        <v>0</v>
      </c>
      <c r="T215" s="281">
        <f>'3. GRI Pricing'!X225</f>
        <v>0</v>
      </c>
      <c r="U215" s="282">
        <f>'3. GRI Pricing'!Y225</f>
        <v>1240</v>
      </c>
    </row>
    <row r="216" spans="3:21" x14ac:dyDescent="0.2">
      <c r="C216" s="23" t="str">
        <f>'3. GRI Pricing'!C226</f>
        <v>301W</v>
      </c>
      <c r="D216" s="16" t="str">
        <f>'3. GRI Pricing'!D226</f>
        <v>2 Bed</v>
      </c>
      <c r="E216" s="16">
        <f>'3. GRI Pricing'!E226</f>
        <v>2</v>
      </c>
      <c r="F216" s="16">
        <f>'3. GRI Pricing'!F226</f>
        <v>689</v>
      </c>
      <c r="G216" s="16">
        <f>'3. GRI Pricing'!G226</f>
        <v>3</v>
      </c>
      <c r="H216" s="16" t="str">
        <f>'3. GRI Pricing'!H226</f>
        <v>Pottery Lane</v>
      </c>
      <c r="I216" s="280">
        <f>'3. GRI Pricing'!K226</f>
        <v>1110</v>
      </c>
      <c r="J216" s="281">
        <f>'3. GRI Pricing'!O226</f>
        <v>50</v>
      </c>
      <c r="K216" s="281">
        <f>'3. GRI Pricing'!L226</f>
        <v>0</v>
      </c>
      <c r="L216" s="281">
        <f>'3. GRI Pricing'!P226</f>
        <v>10</v>
      </c>
      <c r="M216" s="281">
        <f>'3. GRI Pricing'!R226</f>
        <v>0</v>
      </c>
      <c r="N216" s="281">
        <f>'3. GRI Pricing'!S226</f>
        <v>70</v>
      </c>
      <c r="O216" s="281">
        <f>'3. GRI Pricing'!Q226</f>
        <v>0</v>
      </c>
      <c r="P216" s="281">
        <f>'3. GRI Pricing'!T226</f>
        <v>0</v>
      </c>
      <c r="Q216" s="281">
        <f>'3. GRI Pricing'!U226</f>
        <v>0</v>
      </c>
      <c r="R216" s="281">
        <f>'3. GRI Pricing'!V226</f>
        <v>0</v>
      </c>
      <c r="S216" s="281">
        <f>'3. GRI Pricing'!W226</f>
        <v>0</v>
      </c>
      <c r="T216" s="281">
        <f>'3. GRI Pricing'!X226</f>
        <v>0</v>
      </c>
      <c r="U216" s="282">
        <f>'3. GRI Pricing'!Y226</f>
        <v>1305</v>
      </c>
    </row>
    <row r="217" spans="3:21" x14ac:dyDescent="0.2">
      <c r="C217" s="23" t="str">
        <f>'3. GRI Pricing'!C227</f>
        <v>302W</v>
      </c>
      <c r="D217" s="16" t="str">
        <f>'3. GRI Pricing'!D227</f>
        <v>1 Bed</v>
      </c>
      <c r="E217" s="16">
        <f>'3. GRI Pricing'!E227</f>
        <v>1</v>
      </c>
      <c r="F217" s="16">
        <f>'3. GRI Pricing'!F227</f>
        <v>495</v>
      </c>
      <c r="G217" s="16">
        <f>'3. GRI Pricing'!G227</f>
        <v>3</v>
      </c>
      <c r="H217" s="16" t="str">
        <f>'3. GRI Pricing'!H227</f>
        <v>Courtyard</v>
      </c>
      <c r="I217" s="280">
        <f>'3. GRI Pricing'!K227</f>
        <v>845</v>
      </c>
      <c r="J217" s="281">
        <f>'3. GRI Pricing'!O227</f>
        <v>50</v>
      </c>
      <c r="K217" s="281">
        <f>'3. GRI Pricing'!L227</f>
        <v>0</v>
      </c>
      <c r="L217" s="281">
        <f>'3. GRI Pricing'!P227</f>
        <v>25</v>
      </c>
      <c r="M217" s="281">
        <f>'3. GRI Pricing'!R227</f>
        <v>0</v>
      </c>
      <c r="N217" s="281">
        <f>'3. GRI Pricing'!S227</f>
        <v>70</v>
      </c>
      <c r="O217" s="281">
        <f>'3. GRI Pricing'!Q227</f>
        <v>0</v>
      </c>
      <c r="P217" s="281">
        <f>'3. GRI Pricing'!T227</f>
        <v>0</v>
      </c>
      <c r="Q217" s="281">
        <f>'3. GRI Pricing'!U227</f>
        <v>0</v>
      </c>
      <c r="R217" s="281">
        <f>'3. GRI Pricing'!V227</f>
        <v>0</v>
      </c>
      <c r="S217" s="281">
        <f>'3. GRI Pricing'!W227</f>
        <v>0</v>
      </c>
      <c r="T217" s="281">
        <f>'3. GRI Pricing'!X227</f>
        <v>0</v>
      </c>
      <c r="U217" s="282">
        <f>'3. GRI Pricing'!Y227</f>
        <v>1005</v>
      </c>
    </row>
    <row r="218" spans="3:21" x14ac:dyDescent="0.2">
      <c r="C218" s="23" t="str">
        <f>'3. GRI Pricing'!C228</f>
        <v>303W</v>
      </c>
      <c r="D218" s="16" t="str">
        <f>'3. GRI Pricing'!D228</f>
        <v>2 Bed</v>
      </c>
      <c r="E218" s="16">
        <f>'3. GRI Pricing'!E228</f>
        <v>2</v>
      </c>
      <c r="F218" s="16">
        <f>'3. GRI Pricing'!F228</f>
        <v>657</v>
      </c>
      <c r="G218" s="16">
        <f>'3. GRI Pricing'!G228</f>
        <v>3</v>
      </c>
      <c r="H218" s="16" t="str">
        <f>'3. GRI Pricing'!H228</f>
        <v>Courtyard</v>
      </c>
      <c r="I218" s="280">
        <f>'3. GRI Pricing'!K228</f>
        <v>1110</v>
      </c>
      <c r="J218" s="281">
        <f>'3. GRI Pricing'!O228</f>
        <v>50</v>
      </c>
      <c r="K218" s="281">
        <f>'3. GRI Pricing'!L228</f>
        <v>0</v>
      </c>
      <c r="L218" s="281">
        <f>'3. GRI Pricing'!P228</f>
        <v>25</v>
      </c>
      <c r="M218" s="281">
        <f>'3. GRI Pricing'!R228</f>
        <v>0</v>
      </c>
      <c r="N218" s="281">
        <f>'3. GRI Pricing'!S228</f>
        <v>70</v>
      </c>
      <c r="O218" s="281">
        <f>'3. GRI Pricing'!Q228</f>
        <v>0</v>
      </c>
      <c r="P218" s="281">
        <f>'3. GRI Pricing'!T228</f>
        <v>0</v>
      </c>
      <c r="Q218" s="281">
        <f>'3. GRI Pricing'!U228</f>
        <v>0</v>
      </c>
      <c r="R218" s="281">
        <f>'3. GRI Pricing'!V228</f>
        <v>0</v>
      </c>
      <c r="S218" s="281">
        <f>'3. GRI Pricing'!W228</f>
        <v>0</v>
      </c>
      <c r="T218" s="281">
        <f>'3. GRI Pricing'!X228</f>
        <v>0</v>
      </c>
      <c r="U218" s="282">
        <f>'3. GRI Pricing'!Y228</f>
        <v>1275</v>
      </c>
    </row>
    <row r="219" spans="3:21" x14ac:dyDescent="0.2">
      <c r="C219" s="23" t="str">
        <f>'3. GRI Pricing'!C229</f>
        <v>304W</v>
      </c>
      <c r="D219" s="16" t="str">
        <f>'3. GRI Pricing'!D229</f>
        <v>2 Bed</v>
      </c>
      <c r="E219" s="16">
        <f>'3. GRI Pricing'!E229</f>
        <v>2</v>
      </c>
      <c r="F219" s="16">
        <f>'3. GRI Pricing'!F229</f>
        <v>657</v>
      </c>
      <c r="G219" s="16">
        <f>'3. GRI Pricing'!G229</f>
        <v>3</v>
      </c>
      <c r="H219" s="16" t="str">
        <f>'3. GRI Pricing'!H229</f>
        <v>Railway Bridge</v>
      </c>
      <c r="I219" s="280">
        <f>'3. GRI Pricing'!K229</f>
        <v>1110</v>
      </c>
      <c r="J219" s="281">
        <f>'3. GRI Pricing'!O229</f>
        <v>50</v>
      </c>
      <c r="K219" s="281">
        <f>'3. GRI Pricing'!L229</f>
        <v>0</v>
      </c>
      <c r="L219" s="281">
        <f>'3. GRI Pricing'!P229</f>
        <v>10</v>
      </c>
      <c r="M219" s="281">
        <f>'3. GRI Pricing'!R229</f>
        <v>0</v>
      </c>
      <c r="N219" s="281">
        <f>'3. GRI Pricing'!S229</f>
        <v>70</v>
      </c>
      <c r="O219" s="281">
        <f>'3. GRI Pricing'!Q229</f>
        <v>0</v>
      </c>
      <c r="P219" s="281">
        <f>'3. GRI Pricing'!T229</f>
        <v>0</v>
      </c>
      <c r="Q219" s="281">
        <f>'3. GRI Pricing'!U229</f>
        <v>0</v>
      </c>
      <c r="R219" s="281">
        <f>'3. GRI Pricing'!V229</f>
        <v>0</v>
      </c>
      <c r="S219" s="281">
        <f>'3. GRI Pricing'!W229</f>
        <v>0</v>
      </c>
      <c r="T219" s="281">
        <f>'3. GRI Pricing'!X229</f>
        <v>0</v>
      </c>
      <c r="U219" s="282">
        <f>'3. GRI Pricing'!Y229</f>
        <v>1260</v>
      </c>
    </row>
    <row r="220" spans="3:21" x14ac:dyDescent="0.2">
      <c r="C220" s="23" t="str">
        <f>'3. GRI Pricing'!C230</f>
        <v>305W</v>
      </c>
      <c r="D220" s="16" t="str">
        <f>'3. GRI Pricing'!D230</f>
        <v>2 Bed</v>
      </c>
      <c r="E220" s="16">
        <f>'3. GRI Pricing'!E230</f>
        <v>2</v>
      </c>
      <c r="F220" s="16">
        <f>'3. GRI Pricing'!F230</f>
        <v>678</v>
      </c>
      <c r="G220" s="16">
        <f>'3. GRI Pricing'!G230</f>
        <v>3</v>
      </c>
      <c r="H220" s="16" t="str">
        <f>'3. GRI Pricing'!H230</f>
        <v>Railway Bridge</v>
      </c>
      <c r="I220" s="280">
        <f>'3. GRI Pricing'!K230</f>
        <v>1110</v>
      </c>
      <c r="J220" s="281">
        <f>'3. GRI Pricing'!O230</f>
        <v>50</v>
      </c>
      <c r="K220" s="281">
        <f>'3. GRI Pricing'!L230</f>
        <v>0</v>
      </c>
      <c r="L220" s="281">
        <f>'3. GRI Pricing'!P230</f>
        <v>10</v>
      </c>
      <c r="M220" s="281">
        <f>'3. GRI Pricing'!R230</f>
        <v>0</v>
      </c>
      <c r="N220" s="281">
        <f>'3. GRI Pricing'!S230</f>
        <v>70</v>
      </c>
      <c r="O220" s="281">
        <f>'3. GRI Pricing'!Q230</f>
        <v>0</v>
      </c>
      <c r="P220" s="281">
        <f>'3. GRI Pricing'!T230</f>
        <v>0</v>
      </c>
      <c r="Q220" s="281">
        <f>'3. GRI Pricing'!U230</f>
        <v>0</v>
      </c>
      <c r="R220" s="281">
        <f>'3. GRI Pricing'!V230</f>
        <v>0</v>
      </c>
      <c r="S220" s="281">
        <f>'3. GRI Pricing'!W230</f>
        <v>0</v>
      </c>
      <c r="T220" s="281">
        <f>'3. GRI Pricing'!X230</f>
        <v>0</v>
      </c>
      <c r="U220" s="282">
        <f>'3. GRI Pricing'!Y230</f>
        <v>1280</v>
      </c>
    </row>
    <row r="221" spans="3:21" x14ac:dyDescent="0.2">
      <c r="C221" s="23" t="str">
        <f>'3. GRI Pricing'!C231</f>
        <v>306W</v>
      </c>
      <c r="D221" s="16" t="str">
        <f>'3. GRI Pricing'!D231</f>
        <v>1 Bed</v>
      </c>
      <c r="E221" s="16">
        <f>'3. GRI Pricing'!E231</f>
        <v>1</v>
      </c>
      <c r="F221" s="16">
        <f>'3. GRI Pricing'!F231</f>
        <v>506</v>
      </c>
      <c r="G221" s="16">
        <f>'3. GRI Pricing'!G231</f>
        <v>3</v>
      </c>
      <c r="H221" s="16" t="str">
        <f>'3. GRI Pricing'!H231</f>
        <v>Railway Bridge</v>
      </c>
      <c r="I221" s="280">
        <f>'3. GRI Pricing'!K231</f>
        <v>845</v>
      </c>
      <c r="J221" s="281">
        <f>'3. GRI Pricing'!O231</f>
        <v>50</v>
      </c>
      <c r="K221" s="281">
        <f>'3. GRI Pricing'!L231</f>
        <v>0</v>
      </c>
      <c r="L221" s="281">
        <f>'3. GRI Pricing'!P231</f>
        <v>10</v>
      </c>
      <c r="M221" s="281">
        <f>'3. GRI Pricing'!R231</f>
        <v>0</v>
      </c>
      <c r="N221" s="281">
        <f>'3. GRI Pricing'!S231</f>
        <v>70</v>
      </c>
      <c r="O221" s="281">
        <f>'3. GRI Pricing'!Q231</f>
        <v>0</v>
      </c>
      <c r="P221" s="281">
        <f>'3. GRI Pricing'!T231</f>
        <v>0</v>
      </c>
      <c r="Q221" s="281">
        <f>'3. GRI Pricing'!U231</f>
        <v>0</v>
      </c>
      <c r="R221" s="281">
        <f>'3. GRI Pricing'!V231</f>
        <v>0</v>
      </c>
      <c r="S221" s="281">
        <f>'3. GRI Pricing'!W231</f>
        <v>0</v>
      </c>
      <c r="T221" s="281">
        <f>'3. GRI Pricing'!X231</f>
        <v>0</v>
      </c>
      <c r="U221" s="282">
        <f>'3. GRI Pricing'!Y231</f>
        <v>990</v>
      </c>
    </row>
    <row r="222" spans="3:21" x14ac:dyDescent="0.2">
      <c r="C222" s="23" t="str">
        <f>'3. GRI Pricing'!C232</f>
        <v>307W</v>
      </c>
      <c r="D222" s="16" t="str">
        <f>'3. GRI Pricing'!D232</f>
        <v>1 Bed</v>
      </c>
      <c r="E222" s="16">
        <f>'3. GRI Pricing'!E232</f>
        <v>1</v>
      </c>
      <c r="F222" s="16">
        <f>'3. GRI Pricing'!F232</f>
        <v>474</v>
      </c>
      <c r="G222" s="16">
        <f>'3. GRI Pricing'!G232</f>
        <v>3</v>
      </c>
      <c r="H222" s="16" t="str">
        <f>'3. GRI Pricing'!H232</f>
        <v>Pottery Lane</v>
      </c>
      <c r="I222" s="280">
        <f>'3. GRI Pricing'!K232</f>
        <v>845</v>
      </c>
      <c r="J222" s="281">
        <f>'3. GRI Pricing'!O232</f>
        <v>50</v>
      </c>
      <c r="K222" s="281">
        <f>'3. GRI Pricing'!L232</f>
        <v>0</v>
      </c>
      <c r="L222" s="281">
        <f>'3. GRI Pricing'!P232</f>
        <v>10</v>
      </c>
      <c r="M222" s="281">
        <f>'3. GRI Pricing'!R232</f>
        <v>0</v>
      </c>
      <c r="N222" s="281">
        <f>'3. GRI Pricing'!S232</f>
        <v>70</v>
      </c>
      <c r="O222" s="281">
        <f>'3. GRI Pricing'!Q232</f>
        <v>0</v>
      </c>
      <c r="P222" s="281">
        <f>'3. GRI Pricing'!T232</f>
        <v>0</v>
      </c>
      <c r="Q222" s="281">
        <f>'3. GRI Pricing'!U232</f>
        <v>0</v>
      </c>
      <c r="R222" s="281">
        <f>'3. GRI Pricing'!V232</f>
        <v>0</v>
      </c>
      <c r="S222" s="281">
        <f>'3. GRI Pricing'!W232</f>
        <v>0</v>
      </c>
      <c r="T222" s="281">
        <f>'3. GRI Pricing'!X232</f>
        <v>0</v>
      </c>
      <c r="U222" s="282">
        <f>'3. GRI Pricing'!Y232</f>
        <v>975</v>
      </c>
    </row>
    <row r="223" spans="3:21" x14ac:dyDescent="0.2">
      <c r="C223" s="23" t="str">
        <f>'3. GRI Pricing'!C233</f>
        <v>308W</v>
      </c>
      <c r="D223" s="16" t="str">
        <f>'3. GRI Pricing'!D233</f>
        <v>2 Bed</v>
      </c>
      <c r="E223" s="16">
        <f>'3. GRI Pricing'!E233</f>
        <v>2</v>
      </c>
      <c r="F223" s="16">
        <f>'3. GRI Pricing'!F233</f>
        <v>667</v>
      </c>
      <c r="G223" s="16">
        <f>'3. GRI Pricing'!G233</f>
        <v>3</v>
      </c>
      <c r="H223" s="16" t="str">
        <f>'3. GRI Pricing'!H233</f>
        <v>Courtyard</v>
      </c>
      <c r="I223" s="280">
        <f>'3. GRI Pricing'!K233</f>
        <v>1110</v>
      </c>
      <c r="J223" s="281">
        <f>'3. GRI Pricing'!O233</f>
        <v>50</v>
      </c>
      <c r="K223" s="281">
        <f>'3. GRI Pricing'!L233</f>
        <v>0</v>
      </c>
      <c r="L223" s="281">
        <f>'3. GRI Pricing'!P233</f>
        <v>25</v>
      </c>
      <c r="M223" s="281">
        <f>'3. GRI Pricing'!R233</f>
        <v>0</v>
      </c>
      <c r="N223" s="281">
        <f>'3. GRI Pricing'!S233</f>
        <v>70</v>
      </c>
      <c r="O223" s="281">
        <f>'3. GRI Pricing'!Q233</f>
        <v>0</v>
      </c>
      <c r="P223" s="281">
        <f>'3. GRI Pricing'!T233</f>
        <v>0</v>
      </c>
      <c r="Q223" s="281">
        <f>'3. GRI Pricing'!U233</f>
        <v>0</v>
      </c>
      <c r="R223" s="281">
        <f>'3. GRI Pricing'!V233</f>
        <v>0</v>
      </c>
      <c r="S223" s="281">
        <f>'3. GRI Pricing'!W233</f>
        <v>0</v>
      </c>
      <c r="T223" s="281">
        <f>'3. GRI Pricing'!X233</f>
        <v>0</v>
      </c>
      <c r="U223" s="282">
        <f>'3. GRI Pricing'!Y233</f>
        <v>1285</v>
      </c>
    </row>
    <row r="224" spans="3:21" x14ac:dyDescent="0.2">
      <c r="C224" s="23" t="str">
        <f>'3. GRI Pricing'!C234</f>
        <v>309W</v>
      </c>
      <c r="D224" s="16" t="str">
        <f>'3. GRI Pricing'!D234</f>
        <v>2 Bed</v>
      </c>
      <c r="E224" s="16">
        <f>'3. GRI Pricing'!E234</f>
        <v>2</v>
      </c>
      <c r="F224" s="16">
        <f>'3. GRI Pricing'!F234</f>
        <v>657</v>
      </c>
      <c r="G224" s="16">
        <f>'3. GRI Pricing'!G234</f>
        <v>3</v>
      </c>
      <c r="H224" s="16" t="str">
        <f>'3. GRI Pricing'!H234</f>
        <v>Courtyard</v>
      </c>
      <c r="I224" s="280">
        <f>'3. GRI Pricing'!K234</f>
        <v>1110</v>
      </c>
      <c r="J224" s="281">
        <f>'3. GRI Pricing'!O234</f>
        <v>50</v>
      </c>
      <c r="K224" s="281">
        <f>'3. GRI Pricing'!L234</f>
        <v>0</v>
      </c>
      <c r="L224" s="281">
        <f>'3. GRI Pricing'!P234</f>
        <v>25</v>
      </c>
      <c r="M224" s="281">
        <f>'3. GRI Pricing'!R234</f>
        <v>0</v>
      </c>
      <c r="N224" s="281">
        <f>'3. GRI Pricing'!S234</f>
        <v>70</v>
      </c>
      <c r="O224" s="281">
        <f>'3. GRI Pricing'!Q234</f>
        <v>0</v>
      </c>
      <c r="P224" s="281">
        <f>'3. GRI Pricing'!T234</f>
        <v>0</v>
      </c>
      <c r="Q224" s="281">
        <f>'3. GRI Pricing'!U234</f>
        <v>0</v>
      </c>
      <c r="R224" s="281">
        <f>'3. GRI Pricing'!V234</f>
        <v>0</v>
      </c>
      <c r="S224" s="281">
        <f>'3. GRI Pricing'!W234</f>
        <v>0</v>
      </c>
      <c r="T224" s="281">
        <f>'3. GRI Pricing'!X234</f>
        <v>0</v>
      </c>
      <c r="U224" s="282">
        <f>'3. GRI Pricing'!Y234</f>
        <v>1275</v>
      </c>
    </row>
    <row r="225" spans="3:21" x14ac:dyDescent="0.2">
      <c r="C225" s="23" t="str">
        <f>'3. GRI Pricing'!C235</f>
        <v>310W</v>
      </c>
      <c r="D225" s="16" t="str">
        <f>'3. GRI Pricing'!D235</f>
        <v>2 Bed</v>
      </c>
      <c r="E225" s="16">
        <f>'3. GRI Pricing'!E235</f>
        <v>2</v>
      </c>
      <c r="F225" s="16">
        <f>'3. GRI Pricing'!F235</f>
        <v>689</v>
      </c>
      <c r="G225" s="16">
        <f>'3. GRI Pricing'!G235</f>
        <v>3</v>
      </c>
      <c r="H225" s="16" t="str">
        <f>'3. GRI Pricing'!H235</f>
        <v>Courtyard</v>
      </c>
      <c r="I225" s="280">
        <f>'3. GRI Pricing'!K235</f>
        <v>1110</v>
      </c>
      <c r="J225" s="281">
        <f>'3. GRI Pricing'!O235</f>
        <v>50</v>
      </c>
      <c r="K225" s="281">
        <f>'3. GRI Pricing'!L235</f>
        <v>0</v>
      </c>
      <c r="L225" s="281">
        <f>'3. GRI Pricing'!P235</f>
        <v>25</v>
      </c>
      <c r="M225" s="281">
        <f>'3. GRI Pricing'!R235</f>
        <v>0</v>
      </c>
      <c r="N225" s="281">
        <f>'3. GRI Pricing'!S235</f>
        <v>70</v>
      </c>
      <c r="O225" s="281">
        <f>'3. GRI Pricing'!Q235</f>
        <v>0</v>
      </c>
      <c r="P225" s="281">
        <f>'3. GRI Pricing'!T235</f>
        <v>0</v>
      </c>
      <c r="Q225" s="281">
        <f>'3. GRI Pricing'!U235</f>
        <v>0</v>
      </c>
      <c r="R225" s="281">
        <f>'3. GRI Pricing'!V235</f>
        <v>0</v>
      </c>
      <c r="S225" s="281">
        <f>'3. GRI Pricing'!W235</f>
        <v>0</v>
      </c>
      <c r="T225" s="281">
        <f>'3. GRI Pricing'!X235</f>
        <v>0</v>
      </c>
      <c r="U225" s="282">
        <f>'3. GRI Pricing'!Y235</f>
        <v>1320</v>
      </c>
    </row>
    <row r="226" spans="3:21" x14ac:dyDescent="0.2">
      <c r="C226" s="23" t="str">
        <f>'3. GRI Pricing'!C236</f>
        <v>311W</v>
      </c>
      <c r="D226" s="16" t="str">
        <f>'3. GRI Pricing'!D236</f>
        <v>2 Bed</v>
      </c>
      <c r="E226" s="16">
        <f>'3. GRI Pricing'!E236</f>
        <v>2</v>
      </c>
      <c r="F226" s="16">
        <f>'3. GRI Pricing'!F236</f>
        <v>667</v>
      </c>
      <c r="G226" s="16">
        <f>'3. GRI Pricing'!G236</f>
        <v>3</v>
      </c>
      <c r="H226" s="16" t="str">
        <f>'3. GRI Pricing'!H236</f>
        <v>Courtyard</v>
      </c>
      <c r="I226" s="280">
        <f>'3. GRI Pricing'!K236</f>
        <v>1110</v>
      </c>
      <c r="J226" s="281">
        <f>'3. GRI Pricing'!O236</f>
        <v>50</v>
      </c>
      <c r="K226" s="281">
        <f>'3. GRI Pricing'!L236</f>
        <v>0</v>
      </c>
      <c r="L226" s="281">
        <f>'3. GRI Pricing'!P236</f>
        <v>25</v>
      </c>
      <c r="M226" s="281">
        <f>'3. GRI Pricing'!R236</f>
        <v>0</v>
      </c>
      <c r="N226" s="281">
        <f>'3. GRI Pricing'!S236</f>
        <v>70</v>
      </c>
      <c r="O226" s="281">
        <f>'3. GRI Pricing'!Q236</f>
        <v>0</v>
      </c>
      <c r="P226" s="281">
        <f>'3. GRI Pricing'!T236</f>
        <v>0</v>
      </c>
      <c r="Q226" s="281">
        <f>'3. GRI Pricing'!U236</f>
        <v>0</v>
      </c>
      <c r="R226" s="281">
        <f>'3. GRI Pricing'!V236</f>
        <v>0</v>
      </c>
      <c r="S226" s="281">
        <f>'3. GRI Pricing'!W236</f>
        <v>0</v>
      </c>
      <c r="T226" s="281">
        <f>'3. GRI Pricing'!X236</f>
        <v>0</v>
      </c>
      <c r="U226" s="282">
        <f>'3. GRI Pricing'!Y236</f>
        <v>1285</v>
      </c>
    </row>
    <row r="227" spans="3:21" x14ac:dyDescent="0.2">
      <c r="C227" s="23" t="str">
        <f>'3. GRI Pricing'!C237</f>
        <v>312W</v>
      </c>
      <c r="D227" s="16" t="str">
        <f>'3. GRI Pricing'!D237</f>
        <v>1 Bed</v>
      </c>
      <c r="E227" s="16">
        <f>'3. GRI Pricing'!E237</f>
        <v>1</v>
      </c>
      <c r="F227" s="16">
        <f>'3. GRI Pricing'!F237</f>
        <v>527</v>
      </c>
      <c r="G227" s="16">
        <f>'3. GRI Pricing'!G237</f>
        <v>3</v>
      </c>
      <c r="H227" s="16" t="str">
        <f>'3. GRI Pricing'!H237</f>
        <v>Railway Bridge</v>
      </c>
      <c r="I227" s="280">
        <f>'3. GRI Pricing'!K237</f>
        <v>845</v>
      </c>
      <c r="J227" s="281">
        <f>'3. GRI Pricing'!O237</f>
        <v>50</v>
      </c>
      <c r="K227" s="281">
        <f>'3. GRI Pricing'!L237</f>
        <v>0</v>
      </c>
      <c r="L227" s="281">
        <f>'3. GRI Pricing'!P237</f>
        <v>10</v>
      </c>
      <c r="M227" s="281">
        <f>'3. GRI Pricing'!R237</f>
        <v>0</v>
      </c>
      <c r="N227" s="281">
        <f>'3. GRI Pricing'!S237</f>
        <v>70</v>
      </c>
      <c r="O227" s="281">
        <f>'3. GRI Pricing'!Q237</f>
        <v>0</v>
      </c>
      <c r="P227" s="281">
        <f>'3. GRI Pricing'!T237</f>
        <v>0</v>
      </c>
      <c r="Q227" s="281">
        <f>'3. GRI Pricing'!U237</f>
        <v>0</v>
      </c>
      <c r="R227" s="281">
        <f>'3. GRI Pricing'!V237</f>
        <v>0</v>
      </c>
      <c r="S227" s="281">
        <f>'3. GRI Pricing'!W237</f>
        <v>0</v>
      </c>
      <c r="T227" s="281">
        <f>'3. GRI Pricing'!X237</f>
        <v>0</v>
      </c>
      <c r="U227" s="282">
        <f>'3. GRI Pricing'!Y237</f>
        <v>995</v>
      </c>
    </row>
    <row r="228" spans="3:21" x14ac:dyDescent="0.2">
      <c r="C228" s="23" t="str">
        <f>'3. GRI Pricing'!C238</f>
        <v>313W</v>
      </c>
      <c r="D228" s="16" t="str">
        <f>'3. GRI Pricing'!D238</f>
        <v>3 Bed</v>
      </c>
      <c r="E228" s="16">
        <f>'3. GRI Pricing'!E238</f>
        <v>2</v>
      </c>
      <c r="F228" s="16">
        <f>'3. GRI Pricing'!F238</f>
        <v>840</v>
      </c>
      <c r="G228" s="16">
        <f>'3. GRI Pricing'!G238</f>
        <v>3</v>
      </c>
      <c r="H228" s="16" t="str">
        <f>'3. GRI Pricing'!H238</f>
        <v>Railway Bridge</v>
      </c>
      <c r="I228" s="280">
        <f>'3. GRI Pricing'!K238</f>
        <v>1485</v>
      </c>
      <c r="J228" s="281">
        <f>'3. GRI Pricing'!O238</f>
        <v>50</v>
      </c>
      <c r="K228" s="281">
        <f>'3. GRI Pricing'!L238</f>
        <v>0</v>
      </c>
      <c r="L228" s="281">
        <f>'3. GRI Pricing'!P238</f>
        <v>10</v>
      </c>
      <c r="M228" s="281">
        <f>'3. GRI Pricing'!R238</f>
        <v>0</v>
      </c>
      <c r="N228" s="281">
        <f>'3. GRI Pricing'!S238</f>
        <v>70</v>
      </c>
      <c r="O228" s="281">
        <f>'3. GRI Pricing'!Q238</f>
        <v>0</v>
      </c>
      <c r="P228" s="281">
        <f>'3. GRI Pricing'!T238</f>
        <v>0</v>
      </c>
      <c r="Q228" s="281">
        <f>'3. GRI Pricing'!U238</f>
        <v>0</v>
      </c>
      <c r="R228" s="281">
        <f>'3. GRI Pricing'!V238</f>
        <v>0</v>
      </c>
      <c r="S228" s="281">
        <f>'3. GRI Pricing'!W238</f>
        <v>0</v>
      </c>
      <c r="T228" s="281">
        <f>'3. GRI Pricing'!X238</f>
        <v>0</v>
      </c>
      <c r="U228" s="282">
        <f>'3. GRI Pricing'!Y238</f>
        <v>1685</v>
      </c>
    </row>
    <row r="229" spans="3:21" x14ac:dyDescent="0.2">
      <c r="C229" s="23" t="str">
        <f>'3. GRI Pricing'!C239</f>
        <v>314W</v>
      </c>
      <c r="D229" s="16" t="str">
        <f>'3. GRI Pricing'!D239</f>
        <v>2 Bed</v>
      </c>
      <c r="E229" s="16">
        <f>'3. GRI Pricing'!E239</f>
        <v>2</v>
      </c>
      <c r="F229" s="16">
        <f>'3. GRI Pricing'!F239</f>
        <v>624</v>
      </c>
      <c r="G229" s="16">
        <f>'3. GRI Pricing'!G239</f>
        <v>3</v>
      </c>
      <c r="H229" s="16" t="str">
        <f>'3. GRI Pricing'!H239</f>
        <v>Railway Bridge</v>
      </c>
      <c r="I229" s="280">
        <f>'3. GRI Pricing'!K239</f>
        <v>1110</v>
      </c>
      <c r="J229" s="281">
        <f>'3. GRI Pricing'!O239</f>
        <v>50</v>
      </c>
      <c r="K229" s="281">
        <f>'3. GRI Pricing'!L239</f>
        <v>0</v>
      </c>
      <c r="L229" s="281">
        <f>'3. GRI Pricing'!P239</f>
        <v>10</v>
      </c>
      <c r="M229" s="281">
        <f>'3. GRI Pricing'!R239</f>
        <v>0</v>
      </c>
      <c r="N229" s="281">
        <f>'3. GRI Pricing'!S239</f>
        <v>70</v>
      </c>
      <c r="O229" s="281">
        <f>'3. GRI Pricing'!Q239</f>
        <v>0</v>
      </c>
      <c r="P229" s="281">
        <f>'3. GRI Pricing'!T239</f>
        <v>0</v>
      </c>
      <c r="Q229" s="281">
        <f>'3. GRI Pricing'!U239</f>
        <v>0</v>
      </c>
      <c r="R229" s="281">
        <f>'3. GRI Pricing'!V239</f>
        <v>0</v>
      </c>
      <c r="S229" s="281">
        <f>'3. GRI Pricing'!W239</f>
        <v>0</v>
      </c>
      <c r="T229" s="281">
        <f>'3. GRI Pricing'!X239</f>
        <v>0</v>
      </c>
      <c r="U229" s="282">
        <f>'3. GRI Pricing'!Y239</f>
        <v>1250</v>
      </c>
    </row>
    <row r="230" spans="3:21" x14ac:dyDescent="0.2">
      <c r="C230" s="23" t="str">
        <f>'3. GRI Pricing'!C240</f>
        <v>401W</v>
      </c>
      <c r="D230" s="16" t="str">
        <f>'3. GRI Pricing'!D240</f>
        <v>2 Bed</v>
      </c>
      <c r="E230" s="16">
        <f>'3. GRI Pricing'!E240</f>
        <v>2</v>
      </c>
      <c r="F230" s="16">
        <f>'3. GRI Pricing'!F240</f>
        <v>689</v>
      </c>
      <c r="G230" s="16">
        <f>'3. GRI Pricing'!G240</f>
        <v>4</v>
      </c>
      <c r="H230" s="16" t="str">
        <f>'3. GRI Pricing'!H240</f>
        <v>Pottery Lane</v>
      </c>
      <c r="I230" s="280">
        <f>'3. GRI Pricing'!K240</f>
        <v>1110</v>
      </c>
      <c r="J230" s="281">
        <f>'3. GRI Pricing'!O240</f>
        <v>70</v>
      </c>
      <c r="K230" s="281">
        <f>'3. GRI Pricing'!L240</f>
        <v>0</v>
      </c>
      <c r="L230" s="281">
        <f>'3. GRI Pricing'!P240</f>
        <v>10</v>
      </c>
      <c r="M230" s="281">
        <f>'3. GRI Pricing'!R240</f>
        <v>0</v>
      </c>
      <c r="N230" s="281">
        <f>'3. GRI Pricing'!S240</f>
        <v>70</v>
      </c>
      <c r="O230" s="281">
        <f>'3. GRI Pricing'!Q240</f>
        <v>0</v>
      </c>
      <c r="P230" s="281">
        <f>'3. GRI Pricing'!T240</f>
        <v>0</v>
      </c>
      <c r="Q230" s="281">
        <f>'3. GRI Pricing'!U240</f>
        <v>0</v>
      </c>
      <c r="R230" s="281">
        <f>'3. GRI Pricing'!V240</f>
        <v>0</v>
      </c>
      <c r="S230" s="281">
        <f>'3. GRI Pricing'!W240</f>
        <v>0</v>
      </c>
      <c r="T230" s="281">
        <f>'3. GRI Pricing'!X240</f>
        <v>0</v>
      </c>
      <c r="U230" s="282">
        <f>'3. GRI Pricing'!Y240</f>
        <v>1325</v>
      </c>
    </row>
    <row r="231" spans="3:21" x14ac:dyDescent="0.2">
      <c r="C231" s="23" t="str">
        <f>'3. GRI Pricing'!C241</f>
        <v>402W</v>
      </c>
      <c r="D231" s="16" t="str">
        <f>'3. GRI Pricing'!D241</f>
        <v>1 Bed</v>
      </c>
      <c r="E231" s="16">
        <f>'3. GRI Pricing'!E241</f>
        <v>1</v>
      </c>
      <c r="F231" s="16">
        <f>'3. GRI Pricing'!F241</f>
        <v>495</v>
      </c>
      <c r="G231" s="16">
        <f>'3. GRI Pricing'!G241</f>
        <v>4</v>
      </c>
      <c r="H231" s="16" t="str">
        <f>'3. GRI Pricing'!H241</f>
        <v>Courtyard</v>
      </c>
      <c r="I231" s="280">
        <f>'3. GRI Pricing'!K241</f>
        <v>845</v>
      </c>
      <c r="J231" s="281">
        <f>'3. GRI Pricing'!O241</f>
        <v>70</v>
      </c>
      <c r="K231" s="281">
        <f>'3. GRI Pricing'!L241</f>
        <v>0</v>
      </c>
      <c r="L231" s="281">
        <f>'3. GRI Pricing'!P241</f>
        <v>25</v>
      </c>
      <c r="M231" s="281">
        <f>'3. GRI Pricing'!R241</f>
        <v>0</v>
      </c>
      <c r="N231" s="281">
        <f>'3. GRI Pricing'!S241</f>
        <v>70</v>
      </c>
      <c r="O231" s="281">
        <f>'3. GRI Pricing'!Q241</f>
        <v>0</v>
      </c>
      <c r="P231" s="281">
        <f>'3. GRI Pricing'!T241</f>
        <v>0</v>
      </c>
      <c r="Q231" s="281">
        <f>'3. GRI Pricing'!U241</f>
        <v>0</v>
      </c>
      <c r="R231" s="281">
        <f>'3. GRI Pricing'!V241</f>
        <v>0</v>
      </c>
      <c r="S231" s="281">
        <f>'3. GRI Pricing'!W241</f>
        <v>0</v>
      </c>
      <c r="T231" s="281">
        <f>'3. GRI Pricing'!X241</f>
        <v>0</v>
      </c>
      <c r="U231" s="282">
        <f>'3. GRI Pricing'!Y241</f>
        <v>1025</v>
      </c>
    </row>
    <row r="232" spans="3:21" x14ac:dyDescent="0.2">
      <c r="C232" s="23" t="str">
        <f>'3. GRI Pricing'!C242</f>
        <v>403W</v>
      </c>
      <c r="D232" s="16" t="str">
        <f>'3. GRI Pricing'!D242</f>
        <v>2 Bed</v>
      </c>
      <c r="E232" s="16">
        <f>'3. GRI Pricing'!E242</f>
        <v>2</v>
      </c>
      <c r="F232" s="16">
        <f>'3. GRI Pricing'!F242</f>
        <v>657</v>
      </c>
      <c r="G232" s="16">
        <f>'3. GRI Pricing'!G242</f>
        <v>4</v>
      </c>
      <c r="H232" s="16" t="str">
        <f>'3. GRI Pricing'!H242</f>
        <v>Courtyard</v>
      </c>
      <c r="I232" s="280">
        <f>'3. GRI Pricing'!K242</f>
        <v>1110</v>
      </c>
      <c r="J232" s="281">
        <f>'3. GRI Pricing'!O242</f>
        <v>70</v>
      </c>
      <c r="K232" s="281">
        <f>'3. GRI Pricing'!L242</f>
        <v>0</v>
      </c>
      <c r="L232" s="281">
        <f>'3. GRI Pricing'!P242</f>
        <v>25</v>
      </c>
      <c r="M232" s="281">
        <f>'3. GRI Pricing'!R242</f>
        <v>0</v>
      </c>
      <c r="N232" s="281">
        <f>'3. GRI Pricing'!S242</f>
        <v>70</v>
      </c>
      <c r="O232" s="281">
        <f>'3. GRI Pricing'!Q242</f>
        <v>0</v>
      </c>
      <c r="P232" s="281">
        <f>'3. GRI Pricing'!T242</f>
        <v>0</v>
      </c>
      <c r="Q232" s="281">
        <f>'3. GRI Pricing'!U242</f>
        <v>0</v>
      </c>
      <c r="R232" s="281">
        <f>'3. GRI Pricing'!V242</f>
        <v>0</v>
      </c>
      <c r="S232" s="281">
        <f>'3. GRI Pricing'!W242</f>
        <v>0</v>
      </c>
      <c r="T232" s="281">
        <f>'3. GRI Pricing'!X242</f>
        <v>0</v>
      </c>
      <c r="U232" s="282">
        <f>'3. GRI Pricing'!Y242</f>
        <v>1295</v>
      </c>
    </row>
    <row r="233" spans="3:21" x14ac:dyDescent="0.2">
      <c r="C233" s="23" t="str">
        <f>'3. GRI Pricing'!C243</f>
        <v>404W</v>
      </c>
      <c r="D233" s="16" t="str">
        <f>'3. GRI Pricing'!D243</f>
        <v>2 Bed</v>
      </c>
      <c r="E233" s="16">
        <f>'3. GRI Pricing'!E243</f>
        <v>2</v>
      </c>
      <c r="F233" s="16">
        <f>'3. GRI Pricing'!F243</f>
        <v>657</v>
      </c>
      <c r="G233" s="16">
        <f>'3. GRI Pricing'!G243</f>
        <v>4</v>
      </c>
      <c r="H233" s="16" t="str">
        <f>'3. GRI Pricing'!H243</f>
        <v>Railway Bridge - Mid</v>
      </c>
      <c r="I233" s="280">
        <f>'3. GRI Pricing'!K243</f>
        <v>1110</v>
      </c>
      <c r="J233" s="281">
        <f>'3. GRI Pricing'!O243</f>
        <v>70</v>
      </c>
      <c r="K233" s="281">
        <f>'3. GRI Pricing'!L243</f>
        <v>0</v>
      </c>
      <c r="L233" s="281">
        <f>'3. GRI Pricing'!P243</f>
        <v>20</v>
      </c>
      <c r="M233" s="281">
        <f>'3. GRI Pricing'!R243</f>
        <v>0</v>
      </c>
      <c r="N233" s="281">
        <f>'3. GRI Pricing'!S243</f>
        <v>70</v>
      </c>
      <c r="O233" s="281">
        <f>'3. GRI Pricing'!Q243</f>
        <v>0</v>
      </c>
      <c r="P233" s="281">
        <f>'3. GRI Pricing'!T243</f>
        <v>0</v>
      </c>
      <c r="Q233" s="281">
        <f>'3. GRI Pricing'!U243</f>
        <v>0</v>
      </c>
      <c r="R233" s="281">
        <f>'3. GRI Pricing'!V243</f>
        <v>0</v>
      </c>
      <c r="S233" s="281">
        <f>'3. GRI Pricing'!W243</f>
        <v>0</v>
      </c>
      <c r="T233" s="281">
        <f>'3. GRI Pricing'!X243</f>
        <v>0</v>
      </c>
      <c r="U233" s="282">
        <f>'3. GRI Pricing'!Y243</f>
        <v>1290</v>
      </c>
    </row>
    <row r="234" spans="3:21" x14ac:dyDescent="0.2">
      <c r="C234" s="23" t="str">
        <f>'3. GRI Pricing'!C244</f>
        <v>405W</v>
      </c>
      <c r="D234" s="16" t="str">
        <f>'3. GRI Pricing'!D244</f>
        <v>2 Bed</v>
      </c>
      <c r="E234" s="16">
        <f>'3. GRI Pricing'!E244</f>
        <v>2</v>
      </c>
      <c r="F234" s="16">
        <f>'3. GRI Pricing'!F244</f>
        <v>678</v>
      </c>
      <c r="G234" s="16">
        <f>'3. GRI Pricing'!G244</f>
        <v>4</v>
      </c>
      <c r="H234" s="16" t="str">
        <f>'3. GRI Pricing'!H244</f>
        <v>Railway Bridge - Mid</v>
      </c>
      <c r="I234" s="280">
        <f>'3. GRI Pricing'!K244</f>
        <v>1110</v>
      </c>
      <c r="J234" s="281">
        <f>'3. GRI Pricing'!O244</f>
        <v>70</v>
      </c>
      <c r="K234" s="281">
        <f>'3. GRI Pricing'!L244</f>
        <v>0</v>
      </c>
      <c r="L234" s="281">
        <f>'3. GRI Pricing'!P244</f>
        <v>20</v>
      </c>
      <c r="M234" s="281">
        <f>'3. GRI Pricing'!R244</f>
        <v>0</v>
      </c>
      <c r="N234" s="281">
        <f>'3. GRI Pricing'!S244</f>
        <v>70</v>
      </c>
      <c r="O234" s="281">
        <f>'3. GRI Pricing'!Q244</f>
        <v>0</v>
      </c>
      <c r="P234" s="281">
        <f>'3. GRI Pricing'!T244</f>
        <v>0</v>
      </c>
      <c r="Q234" s="281">
        <f>'3. GRI Pricing'!U244</f>
        <v>0</v>
      </c>
      <c r="R234" s="281">
        <f>'3. GRI Pricing'!V244</f>
        <v>0</v>
      </c>
      <c r="S234" s="281">
        <f>'3. GRI Pricing'!W244</f>
        <v>0</v>
      </c>
      <c r="T234" s="281">
        <f>'3. GRI Pricing'!X244</f>
        <v>0</v>
      </c>
      <c r="U234" s="282">
        <f>'3. GRI Pricing'!Y244</f>
        <v>1310</v>
      </c>
    </row>
    <row r="235" spans="3:21" x14ac:dyDescent="0.2">
      <c r="C235" s="23" t="str">
        <f>'3. GRI Pricing'!C245</f>
        <v>406W</v>
      </c>
      <c r="D235" s="16" t="str">
        <f>'3. GRI Pricing'!D245</f>
        <v>1 Bed</v>
      </c>
      <c r="E235" s="16">
        <f>'3. GRI Pricing'!E245</f>
        <v>1</v>
      </c>
      <c r="F235" s="16">
        <f>'3. GRI Pricing'!F245</f>
        <v>506</v>
      </c>
      <c r="G235" s="16">
        <f>'3. GRI Pricing'!G245</f>
        <v>4</v>
      </c>
      <c r="H235" s="16" t="str">
        <f>'3. GRI Pricing'!H245</f>
        <v>Railway Bridge - Mid</v>
      </c>
      <c r="I235" s="280">
        <f>'3. GRI Pricing'!K245</f>
        <v>845</v>
      </c>
      <c r="J235" s="281">
        <f>'3. GRI Pricing'!O245</f>
        <v>70</v>
      </c>
      <c r="K235" s="281">
        <f>'3. GRI Pricing'!L245</f>
        <v>0</v>
      </c>
      <c r="L235" s="281">
        <f>'3. GRI Pricing'!P245</f>
        <v>20</v>
      </c>
      <c r="M235" s="281">
        <f>'3. GRI Pricing'!R245</f>
        <v>0</v>
      </c>
      <c r="N235" s="281">
        <f>'3. GRI Pricing'!S245</f>
        <v>70</v>
      </c>
      <c r="O235" s="281">
        <f>'3. GRI Pricing'!Q245</f>
        <v>0</v>
      </c>
      <c r="P235" s="281">
        <f>'3. GRI Pricing'!T245</f>
        <v>0</v>
      </c>
      <c r="Q235" s="281">
        <f>'3. GRI Pricing'!U245</f>
        <v>0</v>
      </c>
      <c r="R235" s="281">
        <f>'3. GRI Pricing'!V245</f>
        <v>0</v>
      </c>
      <c r="S235" s="281">
        <f>'3. GRI Pricing'!W245</f>
        <v>0</v>
      </c>
      <c r="T235" s="281">
        <f>'3. GRI Pricing'!X245</f>
        <v>0</v>
      </c>
      <c r="U235" s="282">
        <f>'3. GRI Pricing'!Y245</f>
        <v>1020</v>
      </c>
    </row>
    <row r="236" spans="3:21" x14ac:dyDescent="0.2">
      <c r="C236" s="23" t="str">
        <f>'3. GRI Pricing'!C246</f>
        <v>407W</v>
      </c>
      <c r="D236" s="16" t="str">
        <f>'3. GRI Pricing'!D246</f>
        <v>1 Bed</v>
      </c>
      <c r="E236" s="16">
        <f>'3. GRI Pricing'!E246</f>
        <v>1</v>
      </c>
      <c r="F236" s="16">
        <f>'3. GRI Pricing'!F246</f>
        <v>474</v>
      </c>
      <c r="G236" s="16">
        <f>'3. GRI Pricing'!G246</f>
        <v>4</v>
      </c>
      <c r="H236" s="16" t="str">
        <f>'3. GRI Pricing'!H246</f>
        <v>Pottery Lane</v>
      </c>
      <c r="I236" s="280">
        <f>'3. GRI Pricing'!K246</f>
        <v>845</v>
      </c>
      <c r="J236" s="281">
        <f>'3. GRI Pricing'!O246</f>
        <v>70</v>
      </c>
      <c r="K236" s="281">
        <f>'3. GRI Pricing'!L246</f>
        <v>0</v>
      </c>
      <c r="L236" s="281">
        <f>'3. GRI Pricing'!P246</f>
        <v>10</v>
      </c>
      <c r="M236" s="281">
        <f>'3. GRI Pricing'!R246</f>
        <v>0</v>
      </c>
      <c r="N236" s="281">
        <f>'3. GRI Pricing'!S246</f>
        <v>70</v>
      </c>
      <c r="O236" s="281">
        <f>'3. GRI Pricing'!Q246</f>
        <v>0</v>
      </c>
      <c r="P236" s="281">
        <f>'3. GRI Pricing'!T246</f>
        <v>0</v>
      </c>
      <c r="Q236" s="281">
        <f>'3. GRI Pricing'!U246</f>
        <v>0</v>
      </c>
      <c r="R236" s="281">
        <f>'3. GRI Pricing'!V246</f>
        <v>0</v>
      </c>
      <c r="S236" s="281">
        <f>'3. GRI Pricing'!W246</f>
        <v>0</v>
      </c>
      <c r="T236" s="281">
        <f>'3. GRI Pricing'!X246</f>
        <v>0</v>
      </c>
      <c r="U236" s="282">
        <f>'3. GRI Pricing'!Y246</f>
        <v>995</v>
      </c>
    </row>
    <row r="237" spans="3:21" x14ac:dyDescent="0.2">
      <c r="C237" s="23" t="str">
        <f>'3. GRI Pricing'!C247</f>
        <v>408W</v>
      </c>
      <c r="D237" s="16" t="str">
        <f>'3. GRI Pricing'!D247</f>
        <v>2 Bed</v>
      </c>
      <c r="E237" s="16">
        <f>'3. GRI Pricing'!E247</f>
        <v>2</v>
      </c>
      <c r="F237" s="16">
        <f>'3. GRI Pricing'!F247</f>
        <v>667</v>
      </c>
      <c r="G237" s="16">
        <f>'3. GRI Pricing'!G247</f>
        <v>4</v>
      </c>
      <c r="H237" s="16" t="str">
        <f>'3. GRI Pricing'!H247</f>
        <v>Courtyard</v>
      </c>
      <c r="I237" s="280">
        <f>'3. GRI Pricing'!K247</f>
        <v>1110</v>
      </c>
      <c r="J237" s="281">
        <f>'3. GRI Pricing'!O247</f>
        <v>70</v>
      </c>
      <c r="K237" s="281">
        <f>'3. GRI Pricing'!L247</f>
        <v>0</v>
      </c>
      <c r="L237" s="281">
        <f>'3. GRI Pricing'!P247</f>
        <v>25</v>
      </c>
      <c r="M237" s="281">
        <f>'3. GRI Pricing'!R247</f>
        <v>0</v>
      </c>
      <c r="N237" s="281">
        <f>'3. GRI Pricing'!S247</f>
        <v>70</v>
      </c>
      <c r="O237" s="281">
        <f>'3. GRI Pricing'!Q247</f>
        <v>0</v>
      </c>
      <c r="P237" s="281">
        <f>'3. GRI Pricing'!T247</f>
        <v>0</v>
      </c>
      <c r="Q237" s="281">
        <f>'3. GRI Pricing'!U247</f>
        <v>0</v>
      </c>
      <c r="R237" s="281">
        <f>'3. GRI Pricing'!V247</f>
        <v>0</v>
      </c>
      <c r="S237" s="281">
        <f>'3. GRI Pricing'!W247</f>
        <v>0</v>
      </c>
      <c r="T237" s="281">
        <f>'3. GRI Pricing'!X247</f>
        <v>0</v>
      </c>
      <c r="U237" s="282">
        <f>'3. GRI Pricing'!Y247</f>
        <v>1305</v>
      </c>
    </row>
    <row r="238" spans="3:21" x14ac:dyDescent="0.2">
      <c r="C238" s="23" t="str">
        <f>'3. GRI Pricing'!C248</f>
        <v>409W</v>
      </c>
      <c r="D238" s="16" t="str">
        <f>'3. GRI Pricing'!D248</f>
        <v>2 Bed</v>
      </c>
      <c r="E238" s="16">
        <f>'3. GRI Pricing'!E248</f>
        <v>2</v>
      </c>
      <c r="F238" s="16">
        <f>'3. GRI Pricing'!F248</f>
        <v>657</v>
      </c>
      <c r="G238" s="16">
        <f>'3. GRI Pricing'!G248</f>
        <v>4</v>
      </c>
      <c r="H238" s="16" t="str">
        <f>'3. GRI Pricing'!H248</f>
        <v>Courtyard</v>
      </c>
      <c r="I238" s="280">
        <f>'3. GRI Pricing'!K248</f>
        <v>1110</v>
      </c>
      <c r="J238" s="281">
        <f>'3. GRI Pricing'!O248</f>
        <v>70</v>
      </c>
      <c r="K238" s="281">
        <f>'3. GRI Pricing'!L248</f>
        <v>0</v>
      </c>
      <c r="L238" s="281">
        <f>'3. GRI Pricing'!P248</f>
        <v>25</v>
      </c>
      <c r="M238" s="281">
        <f>'3. GRI Pricing'!R248</f>
        <v>0</v>
      </c>
      <c r="N238" s="281">
        <f>'3. GRI Pricing'!S248</f>
        <v>70</v>
      </c>
      <c r="O238" s="281">
        <f>'3. GRI Pricing'!Q248</f>
        <v>0</v>
      </c>
      <c r="P238" s="281">
        <f>'3. GRI Pricing'!T248</f>
        <v>0</v>
      </c>
      <c r="Q238" s="281">
        <f>'3. GRI Pricing'!U248</f>
        <v>0</v>
      </c>
      <c r="R238" s="281">
        <f>'3. GRI Pricing'!V248</f>
        <v>0</v>
      </c>
      <c r="S238" s="281">
        <f>'3. GRI Pricing'!W248</f>
        <v>0</v>
      </c>
      <c r="T238" s="281">
        <f>'3. GRI Pricing'!X248</f>
        <v>0</v>
      </c>
      <c r="U238" s="282">
        <f>'3. GRI Pricing'!Y248</f>
        <v>1295</v>
      </c>
    </row>
    <row r="239" spans="3:21" x14ac:dyDescent="0.2">
      <c r="C239" s="23" t="str">
        <f>'3. GRI Pricing'!C249</f>
        <v>410W</v>
      </c>
      <c r="D239" s="16" t="str">
        <f>'3. GRI Pricing'!D249</f>
        <v>2 Bed</v>
      </c>
      <c r="E239" s="16">
        <f>'3. GRI Pricing'!E249</f>
        <v>2</v>
      </c>
      <c r="F239" s="16">
        <f>'3. GRI Pricing'!F249</f>
        <v>689</v>
      </c>
      <c r="G239" s="16">
        <f>'3. GRI Pricing'!G249</f>
        <v>4</v>
      </c>
      <c r="H239" s="16" t="str">
        <f>'3. GRI Pricing'!H249</f>
        <v>River- Partial</v>
      </c>
      <c r="I239" s="280">
        <f>'3. GRI Pricing'!K249</f>
        <v>1110</v>
      </c>
      <c r="J239" s="281">
        <f>'3. GRI Pricing'!O249</f>
        <v>70</v>
      </c>
      <c r="K239" s="281">
        <f>'3. GRI Pricing'!L249</f>
        <v>0</v>
      </c>
      <c r="L239" s="281">
        <f>'3. GRI Pricing'!P249</f>
        <v>0</v>
      </c>
      <c r="M239" s="281">
        <f>'3. GRI Pricing'!R249</f>
        <v>0</v>
      </c>
      <c r="N239" s="281">
        <f>'3. GRI Pricing'!S249</f>
        <v>70</v>
      </c>
      <c r="O239" s="281">
        <f>'3. GRI Pricing'!Q249</f>
        <v>0</v>
      </c>
      <c r="P239" s="281">
        <f>'3. GRI Pricing'!T249</f>
        <v>0</v>
      </c>
      <c r="Q239" s="281">
        <f>'3. GRI Pricing'!U249</f>
        <v>0</v>
      </c>
      <c r="R239" s="281">
        <f>'3. GRI Pricing'!V249</f>
        <v>0</v>
      </c>
      <c r="S239" s="281">
        <f>'3. GRI Pricing'!W249</f>
        <v>0</v>
      </c>
      <c r="T239" s="281">
        <f>'3. GRI Pricing'!X249</f>
        <v>0</v>
      </c>
      <c r="U239" s="282">
        <f>'3. GRI Pricing'!Y249</f>
        <v>1315</v>
      </c>
    </row>
    <row r="240" spans="3:21" x14ac:dyDescent="0.2">
      <c r="C240" s="23" t="str">
        <f>'3. GRI Pricing'!C250</f>
        <v>411W</v>
      </c>
      <c r="D240" s="16" t="str">
        <f>'3. GRI Pricing'!D250</f>
        <v>2 Bed</v>
      </c>
      <c r="E240" s="16">
        <f>'3. GRI Pricing'!E250</f>
        <v>2</v>
      </c>
      <c r="F240" s="16">
        <f>'3. GRI Pricing'!F250</f>
        <v>667</v>
      </c>
      <c r="G240" s="16">
        <f>'3. GRI Pricing'!G250</f>
        <v>4</v>
      </c>
      <c r="H240" s="16" t="str">
        <f>'3. GRI Pricing'!H250</f>
        <v>Courtyard</v>
      </c>
      <c r="I240" s="280">
        <f>'3. GRI Pricing'!K250</f>
        <v>1110</v>
      </c>
      <c r="J240" s="281">
        <f>'3. GRI Pricing'!O250</f>
        <v>70</v>
      </c>
      <c r="K240" s="281">
        <f>'3. GRI Pricing'!L250</f>
        <v>0</v>
      </c>
      <c r="L240" s="281">
        <f>'3. GRI Pricing'!P250</f>
        <v>25</v>
      </c>
      <c r="M240" s="281">
        <f>'3. GRI Pricing'!R250</f>
        <v>0</v>
      </c>
      <c r="N240" s="281">
        <f>'3. GRI Pricing'!S250</f>
        <v>70</v>
      </c>
      <c r="O240" s="281">
        <f>'3. GRI Pricing'!Q250</f>
        <v>0</v>
      </c>
      <c r="P240" s="281">
        <f>'3. GRI Pricing'!T250</f>
        <v>0</v>
      </c>
      <c r="Q240" s="281">
        <f>'3. GRI Pricing'!U250</f>
        <v>0</v>
      </c>
      <c r="R240" s="281">
        <f>'3. GRI Pricing'!V250</f>
        <v>0</v>
      </c>
      <c r="S240" s="281">
        <f>'3. GRI Pricing'!W250</f>
        <v>0</v>
      </c>
      <c r="T240" s="281">
        <f>'3. GRI Pricing'!X250</f>
        <v>0</v>
      </c>
      <c r="U240" s="282">
        <f>'3. GRI Pricing'!Y250</f>
        <v>1305</v>
      </c>
    </row>
    <row r="241" spans="3:21" x14ac:dyDescent="0.2">
      <c r="C241" s="23" t="str">
        <f>'3. GRI Pricing'!C251</f>
        <v>412W</v>
      </c>
      <c r="D241" s="16" t="str">
        <f>'3. GRI Pricing'!D251</f>
        <v>1 Bed</v>
      </c>
      <c r="E241" s="16">
        <f>'3. GRI Pricing'!E251</f>
        <v>1</v>
      </c>
      <c r="F241" s="16">
        <f>'3. GRI Pricing'!F251</f>
        <v>527</v>
      </c>
      <c r="G241" s="16">
        <f>'3. GRI Pricing'!G251</f>
        <v>4</v>
      </c>
      <c r="H241" s="16" t="str">
        <f>'3. GRI Pricing'!H251</f>
        <v>Railway Bridge - Mid</v>
      </c>
      <c r="I241" s="280">
        <f>'3. GRI Pricing'!K251</f>
        <v>845</v>
      </c>
      <c r="J241" s="281">
        <f>'3. GRI Pricing'!O251</f>
        <v>70</v>
      </c>
      <c r="K241" s="281">
        <f>'3. GRI Pricing'!L251</f>
        <v>0</v>
      </c>
      <c r="L241" s="281">
        <f>'3. GRI Pricing'!P251</f>
        <v>20</v>
      </c>
      <c r="M241" s="281">
        <f>'3. GRI Pricing'!R251</f>
        <v>0</v>
      </c>
      <c r="N241" s="281">
        <f>'3. GRI Pricing'!S251</f>
        <v>70</v>
      </c>
      <c r="O241" s="281">
        <f>'3. GRI Pricing'!Q251</f>
        <v>0</v>
      </c>
      <c r="P241" s="281">
        <f>'3. GRI Pricing'!T251</f>
        <v>0</v>
      </c>
      <c r="Q241" s="281">
        <f>'3. GRI Pricing'!U251</f>
        <v>0</v>
      </c>
      <c r="R241" s="281">
        <f>'3. GRI Pricing'!V251</f>
        <v>0</v>
      </c>
      <c r="S241" s="281">
        <f>'3. GRI Pricing'!W251</f>
        <v>0</v>
      </c>
      <c r="T241" s="281">
        <f>'3. GRI Pricing'!X251</f>
        <v>0</v>
      </c>
      <c r="U241" s="282">
        <f>'3. GRI Pricing'!Y251</f>
        <v>1025</v>
      </c>
    </row>
    <row r="242" spans="3:21" x14ac:dyDescent="0.2">
      <c r="C242" s="23" t="str">
        <f>'3. GRI Pricing'!C252</f>
        <v>413W</v>
      </c>
      <c r="D242" s="16" t="str">
        <f>'3. GRI Pricing'!D252</f>
        <v>3 Bed</v>
      </c>
      <c r="E242" s="16">
        <f>'3. GRI Pricing'!E252</f>
        <v>2</v>
      </c>
      <c r="F242" s="16">
        <f>'3. GRI Pricing'!F252</f>
        <v>840</v>
      </c>
      <c r="G242" s="16">
        <f>'3. GRI Pricing'!G252</f>
        <v>4</v>
      </c>
      <c r="H242" s="16" t="str">
        <f>'3. GRI Pricing'!H252</f>
        <v>Railway Bridge - Mid</v>
      </c>
      <c r="I242" s="280">
        <f>'3. GRI Pricing'!K252</f>
        <v>1485</v>
      </c>
      <c r="J242" s="281">
        <f>'3. GRI Pricing'!O252</f>
        <v>70</v>
      </c>
      <c r="K242" s="281">
        <f>'3. GRI Pricing'!L252</f>
        <v>0</v>
      </c>
      <c r="L242" s="281">
        <f>'3. GRI Pricing'!P252</f>
        <v>20</v>
      </c>
      <c r="M242" s="281">
        <f>'3. GRI Pricing'!R252</f>
        <v>0</v>
      </c>
      <c r="N242" s="281">
        <f>'3. GRI Pricing'!S252</f>
        <v>70</v>
      </c>
      <c r="O242" s="281">
        <f>'3. GRI Pricing'!Q252</f>
        <v>0</v>
      </c>
      <c r="P242" s="281">
        <f>'3. GRI Pricing'!T252</f>
        <v>0</v>
      </c>
      <c r="Q242" s="281">
        <f>'3. GRI Pricing'!U252</f>
        <v>0</v>
      </c>
      <c r="R242" s="281">
        <f>'3. GRI Pricing'!V252</f>
        <v>0</v>
      </c>
      <c r="S242" s="281">
        <f>'3. GRI Pricing'!W252</f>
        <v>0</v>
      </c>
      <c r="T242" s="281">
        <f>'3. GRI Pricing'!X252</f>
        <v>0</v>
      </c>
      <c r="U242" s="282">
        <f>'3. GRI Pricing'!Y252</f>
        <v>1715</v>
      </c>
    </row>
    <row r="243" spans="3:21" x14ac:dyDescent="0.2">
      <c r="C243" s="23" t="str">
        <f>'3. GRI Pricing'!C253</f>
        <v>414W</v>
      </c>
      <c r="D243" s="16" t="str">
        <f>'3. GRI Pricing'!D253</f>
        <v>2 Bed</v>
      </c>
      <c r="E243" s="16">
        <f>'3. GRI Pricing'!E253</f>
        <v>2</v>
      </c>
      <c r="F243" s="16">
        <f>'3. GRI Pricing'!F253</f>
        <v>624</v>
      </c>
      <c r="G243" s="16">
        <f>'3. GRI Pricing'!G253</f>
        <v>4</v>
      </c>
      <c r="H243" s="16" t="str">
        <f>'3. GRI Pricing'!H253</f>
        <v>Railway Bridge - Mid</v>
      </c>
      <c r="I243" s="280">
        <f>'3. GRI Pricing'!K253</f>
        <v>1110</v>
      </c>
      <c r="J243" s="281">
        <f>'3. GRI Pricing'!O253</f>
        <v>70</v>
      </c>
      <c r="K243" s="281">
        <f>'3. GRI Pricing'!L253</f>
        <v>0</v>
      </c>
      <c r="L243" s="281">
        <f>'3. GRI Pricing'!P253</f>
        <v>20</v>
      </c>
      <c r="M243" s="281">
        <f>'3. GRI Pricing'!R253</f>
        <v>0</v>
      </c>
      <c r="N243" s="281">
        <f>'3. GRI Pricing'!S253</f>
        <v>70</v>
      </c>
      <c r="O243" s="281">
        <f>'3. GRI Pricing'!Q253</f>
        <v>0</v>
      </c>
      <c r="P243" s="281">
        <f>'3. GRI Pricing'!T253</f>
        <v>0</v>
      </c>
      <c r="Q243" s="281">
        <f>'3. GRI Pricing'!U253</f>
        <v>0</v>
      </c>
      <c r="R243" s="281">
        <f>'3. GRI Pricing'!V253</f>
        <v>0</v>
      </c>
      <c r="S243" s="281">
        <f>'3. GRI Pricing'!W253</f>
        <v>0</v>
      </c>
      <c r="T243" s="281">
        <f>'3. GRI Pricing'!X253</f>
        <v>0</v>
      </c>
      <c r="U243" s="282">
        <f>'3. GRI Pricing'!Y253</f>
        <v>1280</v>
      </c>
    </row>
    <row r="244" spans="3:21" x14ac:dyDescent="0.2">
      <c r="C244" s="23" t="str">
        <f>'3. GRI Pricing'!C254</f>
        <v>501W</v>
      </c>
      <c r="D244" s="16" t="str">
        <f>'3. GRI Pricing'!D254</f>
        <v>2 Bed</v>
      </c>
      <c r="E244" s="16">
        <f>'3. GRI Pricing'!E254</f>
        <v>2</v>
      </c>
      <c r="F244" s="16">
        <f>'3. GRI Pricing'!F254</f>
        <v>689</v>
      </c>
      <c r="G244" s="16">
        <f>'3. GRI Pricing'!G254</f>
        <v>5</v>
      </c>
      <c r="H244" s="16" t="str">
        <f>'3. GRI Pricing'!H254</f>
        <v>Pottery Lane</v>
      </c>
      <c r="I244" s="280">
        <f>'3. GRI Pricing'!K254</f>
        <v>1110</v>
      </c>
      <c r="J244" s="281">
        <f>'3. GRI Pricing'!O254</f>
        <v>70</v>
      </c>
      <c r="K244" s="281">
        <f>'3. GRI Pricing'!L254</f>
        <v>0</v>
      </c>
      <c r="L244" s="281">
        <f>'3. GRI Pricing'!P254</f>
        <v>10</v>
      </c>
      <c r="M244" s="281">
        <f>'3. GRI Pricing'!R254</f>
        <v>0</v>
      </c>
      <c r="N244" s="281">
        <f>'3. GRI Pricing'!S254</f>
        <v>70</v>
      </c>
      <c r="O244" s="281">
        <f>'3. GRI Pricing'!Q254</f>
        <v>0</v>
      </c>
      <c r="P244" s="281">
        <f>'3. GRI Pricing'!T254</f>
        <v>0</v>
      </c>
      <c r="Q244" s="281">
        <f>'3. GRI Pricing'!U254</f>
        <v>0</v>
      </c>
      <c r="R244" s="281">
        <f>'3. GRI Pricing'!V254</f>
        <v>0</v>
      </c>
      <c r="S244" s="281">
        <f>'3. GRI Pricing'!W254</f>
        <v>0</v>
      </c>
      <c r="T244" s="281">
        <f>'3. GRI Pricing'!X254</f>
        <v>0</v>
      </c>
      <c r="U244" s="282">
        <f>'3. GRI Pricing'!Y254</f>
        <v>1325</v>
      </c>
    </row>
    <row r="245" spans="3:21" x14ac:dyDescent="0.2">
      <c r="C245" s="23" t="str">
        <f>'3. GRI Pricing'!C255</f>
        <v>502W</v>
      </c>
      <c r="D245" s="16" t="str">
        <f>'3. GRI Pricing'!D255</f>
        <v>1 Bed</v>
      </c>
      <c r="E245" s="16">
        <f>'3. GRI Pricing'!E255</f>
        <v>1</v>
      </c>
      <c r="F245" s="16">
        <f>'3. GRI Pricing'!F255</f>
        <v>495</v>
      </c>
      <c r="G245" s="16">
        <f>'3. GRI Pricing'!G255</f>
        <v>5</v>
      </c>
      <c r="H245" s="16" t="str">
        <f>'3. GRI Pricing'!H255</f>
        <v>Courtyard</v>
      </c>
      <c r="I245" s="280">
        <f>'3. GRI Pricing'!K255</f>
        <v>845</v>
      </c>
      <c r="J245" s="281">
        <f>'3. GRI Pricing'!O255</f>
        <v>70</v>
      </c>
      <c r="K245" s="281">
        <f>'3. GRI Pricing'!L255</f>
        <v>0</v>
      </c>
      <c r="L245" s="281">
        <f>'3. GRI Pricing'!P255</f>
        <v>25</v>
      </c>
      <c r="M245" s="281">
        <f>'3. GRI Pricing'!R255</f>
        <v>0</v>
      </c>
      <c r="N245" s="281">
        <f>'3. GRI Pricing'!S255</f>
        <v>70</v>
      </c>
      <c r="O245" s="281">
        <f>'3. GRI Pricing'!Q255</f>
        <v>0</v>
      </c>
      <c r="P245" s="281">
        <f>'3. GRI Pricing'!T255</f>
        <v>0</v>
      </c>
      <c r="Q245" s="281">
        <f>'3. GRI Pricing'!U255</f>
        <v>0</v>
      </c>
      <c r="R245" s="281">
        <f>'3. GRI Pricing'!V255</f>
        <v>0</v>
      </c>
      <c r="S245" s="281">
        <f>'3. GRI Pricing'!W255</f>
        <v>0</v>
      </c>
      <c r="T245" s="281">
        <f>'3. GRI Pricing'!X255</f>
        <v>0</v>
      </c>
      <c r="U245" s="282">
        <f>'3. GRI Pricing'!Y255</f>
        <v>1025</v>
      </c>
    </row>
    <row r="246" spans="3:21" x14ac:dyDescent="0.2">
      <c r="C246" s="23" t="str">
        <f>'3. GRI Pricing'!C256</f>
        <v>503W</v>
      </c>
      <c r="D246" s="16" t="str">
        <f>'3. GRI Pricing'!D256</f>
        <v>2 Bed</v>
      </c>
      <c r="E246" s="16">
        <f>'3. GRI Pricing'!E256</f>
        <v>2</v>
      </c>
      <c r="F246" s="16">
        <f>'3. GRI Pricing'!F256</f>
        <v>657</v>
      </c>
      <c r="G246" s="16">
        <f>'3. GRI Pricing'!G256</f>
        <v>5</v>
      </c>
      <c r="H246" s="16" t="str">
        <f>'3. GRI Pricing'!H256</f>
        <v>Courtyard</v>
      </c>
      <c r="I246" s="280">
        <f>'3. GRI Pricing'!K256</f>
        <v>1110</v>
      </c>
      <c r="J246" s="281">
        <f>'3. GRI Pricing'!O256</f>
        <v>70</v>
      </c>
      <c r="K246" s="281">
        <f>'3. GRI Pricing'!L256</f>
        <v>0</v>
      </c>
      <c r="L246" s="281">
        <f>'3. GRI Pricing'!P256</f>
        <v>25</v>
      </c>
      <c r="M246" s="281">
        <f>'3. GRI Pricing'!R256</f>
        <v>0</v>
      </c>
      <c r="N246" s="281">
        <f>'3. GRI Pricing'!S256</f>
        <v>70</v>
      </c>
      <c r="O246" s="281">
        <f>'3. GRI Pricing'!Q256</f>
        <v>0</v>
      </c>
      <c r="P246" s="281">
        <f>'3. GRI Pricing'!T256</f>
        <v>0</v>
      </c>
      <c r="Q246" s="281">
        <f>'3. GRI Pricing'!U256</f>
        <v>0</v>
      </c>
      <c r="R246" s="281">
        <f>'3. GRI Pricing'!V256</f>
        <v>0</v>
      </c>
      <c r="S246" s="281">
        <f>'3. GRI Pricing'!W256</f>
        <v>0</v>
      </c>
      <c r="T246" s="281">
        <f>'3. GRI Pricing'!X256</f>
        <v>0</v>
      </c>
      <c r="U246" s="282">
        <f>'3. GRI Pricing'!Y256</f>
        <v>1295</v>
      </c>
    </row>
    <row r="247" spans="3:21" x14ac:dyDescent="0.2">
      <c r="C247" s="23" t="str">
        <f>'3. GRI Pricing'!C257</f>
        <v>504W</v>
      </c>
      <c r="D247" s="16" t="str">
        <f>'3. GRI Pricing'!D257</f>
        <v>2 Bed</v>
      </c>
      <c r="E247" s="16">
        <f>'3. GRI Pricing'!E257</f>
        <v>2</v>
      </c>
      <c r="F247" s="16">
        <f>'3. GRI Pricing'!F257</f>
        <v>657</v>
      </c>
      <c r="G247" s="16">
        <f>'3. GRI Pricing'!G257</f>
        <v>5</v>
      </c>
      <c r="H247" s="16" t="str">
        <f>'3. GRI Pricing'!H257</f>
        <v>Railway Bridge - Mid</v>
      </c>
      <c r="I247" s="280">
        <f>'3. GRI Pricing'!K257</f>
        <v>1110</v>
      </c>
      <c r="J247" s="281">
        <f>'3. GRI Pricing'!O257</f>
        <v>70</v>
      </c>
      <c r="K247" s="281">
        <f>'3. GRI Pricing'!L257</f>
        <v>0</v>
      </c>
      <c r="L247" s="281">
        <f>'3. GRI Pricing'!P257</f>
        <v>20</v>
      </c>
      <c r="M247" s="281">
        <f>'3. GRI Pricing'!R257</f>
        <v>0</v>
      </c>
      <c r="N247" s="281">
        <f>'3. GRI Pricing'!S257</f>
        <v>70</v>
      </c>
      <c r="O247" s="281">
        <f>'3. GRI Pricing'!Q257</f>
        <v>0</v>
      </c>
      <c r="P247" s="281">
        <f>'3. GRI Pricing'!T257</f>
        <v>0</v>
      </c>
      <c r="Q247" s="281">
        <f>'3. GRI Pricing'!U257</f>
        <v>0</v>
      </c>
      <c r="R247" s="281">
        <f>'3. GRI Pricing'!V257</f>
        <v>0</v>
      </c>
      <c r="S247" s="281">
        <f>'3. GRI Pricing'!W257</f>
        <v>0</v>
      </c>
      <c r="T247" s="281">
        <f>'3. GRI Pricing'!X257</f>
        <v>0</v>
      </c>
      <c r="U247" s="282">
        <f>'3. GRI Pricing'!Y257</f>
        <v>1290</v>
      </c>
    </row>
    <row r="248" spans="3:21" x14ac:dyDescent="0.2">
      <c r="C248" s="23" t="str">
        <f>'3. GRI Pricing'!C258</f>
        <v>505W</v>
      </c>
      <c r="D248" s="16" t="str">
        <f>'3. GRI Pricing'!D258</f>
        <v>2 Bed</v>
      </c>
      <c r="E248" s="16">
        <f>'3. GRI Pricing'!E258</f>
        <v>2</v>
      </c>
      <c r="F248" s="16">
        <f>'3. GRI Pricing'!F258</f>
        <v>678</v>
      </c>
      <c r="G248" s="16">
        <f>'3. GRI Pricing'!G258</f>
        <v>5</v>
      </c>
      <c r="H248" s="16" t="str">
        <f>'3. GRI Pricing'!H258</f>
        <v>Railway Bridge - Mid</v>
      </c>
      <c r="I248" s="280">
        <f>'3. GRI Pricing'!K258</f>
        <v>1110</v>
      </c>
      <c r="J248" s="281">
        <f>'3. GRI Pricing'!O258</f>
        <v>70</v>
      </c>
      <c r="K248" s="281">
        <f>'3. GRI Pricing'!L258</f>
        <v>0</v>
      </c>
      <c r="L248" s="281">
        <f>'3. GRI Pricing'!P258</f>
        <v>20</v>
      </c>
      <c r="M248" s="281">
        <f>'3. GRI Pricing'!R258</f>
        <v>0</v>
      </c>
      <c r="N248" s="281">
        <f>'3. GRI Pricing'!S258</f>
        <v>70</v>
      </c>
      <c r="O248" s="281">
        <f>'3. GRI Pricing'!Q258</f>
        <v>0</v>
      </c>
      <c r="P248" s="281">
        <f>'3. GRI Pricing'!T258</f>
        <v>0</v>
      </c>
      <c r="Q248" s="281">
        <f>'3. GRI Pricing'!U258</f>
        <v>0</v>
      </c>
      <c r="R248" s="281">
        <f>'3. GRI Pricing'!V258</f>
        <v>0</v>
      </c>
      <c r="S248" s="281">
        <f>'3. GRI Pricing'!W258</f>
        <v>0</v>
      </c>
      <c r="T248" s="281">
        <f>'3. GRI Pricing'!X258</f>
        <v>0</v>
      </c>
      <c r="U248" s="282">
        <f>'3. GRI Pricing'!Y258</f>
        <v>1310</v>
      </c>
    </row>
    <row r="249" spans="3:21" x14ac:dyDescent="0.2">
      <c r="C249" s="23" t="str">
        <f>'3. GRI Pricing'!C259</f>
        <v>506W</v>
      </c>
      <c r="D249" s="16" t="str">
        <f>'3. GRI Pricing'!D259</f>
        <v>1 Bed</v>
      </c>
      <c r="E249" s="16">
        <f>'3. GRI Pricing'!E259</f>
        <v>1</v>
      </c>
      <c r="F249" s="16">
        <f>'3. GRI Pricing'!F259</f>
        <v>506</v>
      </c>
      <c r="G249" s="16">
        <f>'3. GRI Pricing'!G259</f>
        <v>5</v>
      </c>
      <c r="H249" s="16" t="str">
        <f>'3. GRI Pricing'!H259</f>
        <v>Railway Bridge - Mid</v>
      </c>
      <c r="I249" s="280">
        <f>'3. GRI Pricing'!K259</f>
        <v>845</v>
      </c>
      <c r="J249" s="281">
        <f>'3. GRI Pricing'!O259</f>
        <v>70</v>
      </c>
      <c r="K249" s="281">
        <f>'3. GRI Pricing'!L259</f>
        <v>0</v>
      </c>
      <c r="L249" s="281">
        <f>'3. GRI Pricing'!P259</f>
        <v>20</v>
      </c>
      <c r="M249" s="281">
        <f>'3. GRI Pricing'!R259</f>
        <v>0</v>
      </c>
      <c r="N249" s="281">
        <f>'3. GRI Pricing'!S259</f>
        <v>70</v>
      </c>
      <c r="O249" s="281">
        <f>'3. GRI Pricing'!Q259</f>
        <v>0</v>
      </c>
      <c r="P249" s="281">
        <f>'3. GRI Pricing'!T259</f>
        <v>0</v>
      </c>
      <c r="Q249" s="281">
        <f>'3. GRI Pricing'!U259</f>
        <v>0</v>
      </c>
      <c r="R249" s="281">
        <f>'3. GRI Pricing'!V259</f>
        <v>0</v>
      </c>
      <c r="S249" s="281">
        <f>'3. GRI Pricing'!W259</f>
        <v>0</v>
      </c>
      <c r="T249" s="281">
        <f>'3. GRI Pricing'!X259</f>
        <v>0</v>
      </c>
      <c r="U249" s="282">
        <f>'3. GRI Pricing'!Y259</f>
        <v>1020</v>
      </c>
    </row>
    <row r="250" spans="3:21" x14ac:dyDescent="0.2">
      <c r="C250" s="23" t="str">
        <f>'3. GRI Pricing'!C260</f>
        <v>507W</v>
      </c>
      <c r="D250" s="16" t="str">
        <f>'3. GRI Pricing'!D260</f>
        <v>1 Bed</v>
      </c>
      <c r="E250" s="16">
        <f>'3. GRI Pricing'!E260</f>
        <v>1</v>
      </c>
      <c r="F250" s="16">
        <f>'3. GRI Pricing'!F260</f>
        <v>474</v>
      </c>
      <c r="G250" s="16">
        <f>'3. GRI Pricing'!G260</f>
        <v>5</v>
      </c>
      <c r="H250" s="16" t="str">
        <f>'3. GRI Pricing'!H260</f>
        <v>Pottery Lane</v>
      </c>
      <c r="I250" s="280">
        <f>'3. GRI Pricing'!K260</f>
        <v>845</v>
      </c>
      <c r="J250" s="281">
        <f>'3. GRI Pricing'!O260</f>
        <v>70</v>
      </c>
      <c r="K250" s="281">
        <f>'3. GRI Pricing'!L260</f>
        <v>0</v>
      </c>
      <c r="L250" s="281">
        <f>'3. GRI Pricing'!P260</f>
        <v>10</v>
      </c>
      <c r="M250" s="281">
        <f>'3. GRI Pricing'!R260</f>
        <v>0</v>
      </c>
      <c r="N250" s="281">
        <f>'3. GRI Pricing'!S260</f>
        <v>70</v>
      </c>
      <c r="O250" s="281">
        <f>'3. GRI Pricing'!Q260</f>
        <v>0</v>
      </c>
      <c r="P250" s="281">
        <f>'3. GRI Pricing'!T260</f>
        <v>0</v>
      </c>
      <c r="Q250" s="281">
        <f>'3. GRI Pricing'!U260</f>
        <v>0</v>
      </c>
      <c r="R250" s="281">
        <f>'3. GRI Pricing'!V260</f>
        <v>0</v>
      </c>
      <c r="S250" s="281">
        <f>'3. GRI Pricing'!W260</f>
        <v>0</v>
      </c>
      <c r="T250" s="281">
        <f>'3. GRI Pricing'!X260</f>
        <v>0</v>
      </c>
      <c r="U250" s="282">
        <f>'3. GRI Pricing'!Y260</f>
        <v>995</v>
      </c>
    </row>
    <row r="251" spans="3:21" x14ac:dyDescent="0.2">
      <c r="C251" s="23" t="str">
        <f>'3. GRI Pricing'!C261</f>
        <v>508W</v>
      </c>
      <c r="D251" s="16" t="str">
        <f>'3. GRI Pricing'!D261</f>
        <v>2 Bed</v>
      </c>
      <c r="E251" s="16">
        <f>'3. GRI Pricing'!E261</f>
        <v>2</v>
      </c>
      <c r="F251" s="16">
        <f>'3. GRI Pricing'!F261</f>
        <v>667</v>
      </c>
      <c r="G251" s="16">
        <f>'3. GRI Pricing'!G261</f>
        <v>5</v>
      </c>
      <c r="H251" s="16" t="str">
        <f>'3. GRI Pricing'!H261</f>
        <v>Courtyard</v>
      </c>
      <c r="I251" s="280">
        <f>'3. GRI Pricing'!K261</f>
        <v>1110</v>
      </c>
      <c r="J251" s="281">
        <f>'3. GRI Pricing'!O261</f>
        <v>70</v>
      </c>
      <c r="K251" s="281">
        <f>'3. GRI Pricing'!L261</f>
        <v>0</v>
      </c>
      <c r="L251" s="281">
        <f>'3. GRI Pricing'!P261</f>
        <v>25</v>
      </c>
      <c r="M251" s="281">
        <f>'3. GRI Pricing'!R261</f>
        <v>0</v>
      </c>
      <c r="N251" s="281">
        <f>'3. GRI Pricing'!S261</f>
        <v>70</v>
      </c>
      <c r="O251" s="281">
        <f>'3. GRI Pricing'!Q261</f>
        <v>0</v>
      </c>
      <c r="P251" s="281">
        <f>'3. GRI Pricing'!T261</f>
        <v>0</v>
      </c>
      <c r="Q251" s="281">
        <f>'3. GRI Pricing'!U261</f>
        <v>0</v>
      </c>
      <c r="R251" s="281">
        <f>'3. GRI Pricing'!V261</f>
        <v>0</v>
      </c>
      <c r="S251" s="281">
        <f>'3. GRI Pricing'!W261</f>
        <v>0</v>
      </c>
      <c r="T251" s="281">
        <f>'3. GRI Pricing'!X261</f>
        <v>0</v>
      </c>
      <c r="U251" s="282">
        <f>'3. GRI Pricing'!Y261</f>
        <v>1305</v>
      </c>
    </row>
    <row r="252" spans="3:21" x14ac:dyDescent="0.2">
      <c r="C252" s="23" t="str">
        <f>'3. GRI Pricing'!C262</f>
        <v>509W</v>
      </c>
      <c r="D252" s="16" t="str">
        <f>'3. GRI Pricing'!D262</f>
        <v>2 Bed</v>
      </c>
      <c r="E252" s="16">
        <f>'3. GRI Pricing'!E262</f>
        <v>2</v>
      </c>
      <c r="F252" s="16">
        <f>'3. GRI Pricing'!F262</f>
        <v>657</v>
      </c>
      <c r="G252" s="16">
        <f>'3. GRI Pricing'!G262</f>
        <v>5</v>
      </c>
      <c r="H252" s="16" t="str">
        <f>'3. GRI Pricing'!H262</f>
        <v>Courtyard</v>
      </c>
      <c r="I252" s="280">
        <f>'3. GRI Pricing'!K262</f>
        <v>1110</v>
      </c>
      <c r="J252" s="281">
        <f>'3. GRI Pricing'!O262</f>
        <v>70</v>
      </c>
      <c r="K252" s="281">
        <f>'3. GRI Pricing'!L262</f>
        <v>0</v>
      </c>
      <c r="L252" s="281">
        <f>'3. GRI Pricing'!P262</f>
        <v>25</v>
      </c>
      <c r="M252" s="281">
        <f>'3. GRI Pricing'!R262</f>
        <v>0</v>
      </c>
      <c r="N252" s="281">
        <f>'3. GRI Pricing'!S262</f>
        <v>70</v>
      </c>
      <c r="O252" s="281">
        <f>'3. GRI Pricing'!Q262</f>
        <v>0</v>
      </c>
      <c r="P252" s="281">
        <f>'3. GRI Pricing'!T262</f>
        <v>0</v>
      </c>
      <c r="Q252" s="281">
        <f>'3. GRI Pricing'!U262</f>
        <v>0</v>
      </c>
      <c r="R252" s="281">
        <f>'3. GRI Pricing'!V262</f>
        <v>0</v>
      </c>
      <c r="S252" s="281">
        <f>'3. GRI Pricing'!W262</f>
        <v>0</v>
      </c>
      <c r="T252" s="281">
        <f>'3. GRI Pricing'!X262</f>
        <v>0</v>
      </c>
      <c r="U252" s="282">
        <f>'3. GRI Pricing'!Y262</f>
        <v>1295</v>
      </c>
    </row>
    <row r="253" spans="3:21" x14ac:dyDescent="0.2">
      <c r="C253" s="23" t="str">
        <f>'3. GRI Pricing'!C263</f>
        <v>510W</v>
      </c>
      <c r="D253" s="16" t="str">
        <f>'3. GRI Pricing'!D263</f>
        <v>2 Bed</v>
      </c>
      <c r="E253" s="16">
        <f>'3. GRI Pricing'!E263</f>
        <v>2</v>
      </c>
      <c r="F253" s="16">
        <f>'3. GRI Pricing'!F263</f>
        <v>689</v>
      </c>
      <c r="G253" s="16">
        <f>'3. GRI Pricing'!G263</f>
        <v>5</v>
      </c>
      <c r="H253" s="16" t="str">
        <f>'3. GRI Pricing'!H263</f>
        <v>River- Partial</v>
      </c>
      <c r="I253" s="280">
        <f>'3. GRI Pricing'!K263</f>
        <v>1110</v>
      </c>
      <c r="J253" s="281">
        <f>'3. GRI Pricing'!O263</f>
        <v>70</v>
      </c>
      <c r="K253" s="281">
        <f>'3. GRI Pricing'!L263</f>
        <v>0</v>
      </c>
      <c r="L253" s="281">
        <f>'3. GRI Pricing'!P263</f>
        <v>0</v>
      </c>
      <c r="M253" s="281">
        <f>'3. GRI Pricing'!R263</f>
        <v>0</v>
      </c>
      <c r="N253" s="281">
        <f>'3. GRI Pricing'!S263</f>
        <v>70</v>
      </c>
      <c r="O253" s="281">
        <f>'3. GRI Pricing'!Q263</f>
        <v>0</v>
      </c>
      <c r="P253" s="281">
        <f>'3. GRI Pricing'!T263</f>
        <v>0</v>
      </c>
      <c r="Q253" s="281">
        <f>'3. GRI Pricing'!U263</f>
        <v>0</v>
      </c>
      <c r="R253" s="281">
        <f>'3. GRI Pricing'!V263</f>
        <v>0</v>
      </c>
      <c r="S253" s="281">
        <f>'3. GRI Pricing'!W263</f>
        <v>0</v>
      </c>
      <c r="T253" s="281">
        <f>'3. GRI Pricing'!X263</f>
        <v>0</v>
      </c>
      <c r="U253" s="282">
        <f>'3. GRI Pricing'!Y263</f>
        <v>1315</v>
      </c>
    </row>
    <row r="254" spans="3:21" x14ac:dyDescent="0.2">
      <c r="C254" s="23" t="str">
        <f>'3. GRI Pricing'!C264</f>
        <v>511W</v>
      </c>
      <c r="D254" s="16" t="str">
        <f>'3. GRI Pricing'!D264</f>
        <v>2 Bed</v>
      </c>
      <c r="E254" s="16">
        <f>'3. GRI Pricing'!E264</f>
        <v>2</v>
      </c>
      <c r="F254" s="16">
        <f>'3. GRI Pricing'!F264</f>
        <v>667</v>
      </c>
      <c r="G254" s="16">
        <f>'3. GRI Pricing'!G264</f>
        <v>5</v>
      </c>
      <c r="H254" s="16" t="str">
        <f>'3. GRI Pricing'!H264</f>
        <v>Courtyard</v>
      </c>
      <c r="I254" s="280">
        <f>'3. GRI Pricing'!K264</f>
        <v>1110</v>
      </c>
      <c r="J254" s="281">
        <f>'3. GRI Pricing'!O264</f>
        <v>70</v>
      </c>
      <c r="K254" s="281">
        <f>'3. GRI Pricing'!L264</f>
        <v>0</v>
      </c>
      <c r="L254" s="281">
        <f>'3. GRI Pricing'!P264</f>
        <v>25</v>
      </c>
      <c r="M254" s="281">
        <f>'3. GRI Pricing'!R264</f>
        <v>0</v>
      </c>
      <c r="N254" s="281">
        <f>'3. GRI Pricing'!S264</f>
        <v>70</v>
      </c>
      <c r="O254" s="281">
        <f>'3. GRI Pricing'!Q264</f>
        <v>0</v>
      </c>
      <c r="P254" s="281">
        <f>'3. GRI Pricing'!T264</f>
        <v>0</v>
      </c>
      <c r="Q254" s="281">
        <f>'3. GRI Pricing'!U264</f>
        <v>0</v>
      </c>
      <c r="R254" s="281">
        <f>'3. GRI Pricing'!V264</f>
        <v>0</v>
      </c>
      <c r="S254" s="281">
        <f>'3. GRI Pricing'!W264</f>
        <v>0</v>
      </c>
      <c r="T254" s="281">
        <f>'3. GRI Pricing'!X264</f>
        <v>0</v>
      </c>
      <c r="U254" s="282">
        <f>'3. GRI Pricing'!Y264</f>
        <v>1305</v>
      </c>
    </row>
    <row r="255" spans="3:21" x14ac:dyDescent="0.2">
      <c r="C255" s="23" t="str">
        <f>'3. GRI Pricing'!C265</f>
        <v>512W</v>
      </c>
      <c r="D255" s="16" t="str">
        <f>'3. GRI Pricing'!D265</f>
        <v>1 Bed</v>
      </c>
      <c r="E255" s="16">
        <f>'3. GRI Pricing'!E265</f>
        <v>1</v>
      </c>
      <c r="F255" s="16">
        <f>'3. GRI Pricing'!F265</f>
        <v>527</v>
      </c>
      <c r="G255" s="16">
        <f>'3. GRI Pricing'!G265</f>
        <v>5</v>
      </c>
      <c r="H255" s="16" t="str">
        <f>'3. GRI Pricing'!H265</f>
        <v>Railway Bridge - Mid</v>
      </c>
      <c r="I255" s="280">
        <f>'3. GRI Pricing'!K265</f>
        <v>845</v>
      </c>
      <c r="J255" s="281">
        <f>'3. GRI Pricing'!O265</f>
        <v>70</v>
      </c>
      <c r="K255" s="281">
        <f>'3. GRI Pricing'!L265</f>
        <v>0</v>
      </c>
      <c r="L255" s="281">
        <f>'3. GRI Pricing'!P265</f>
        <v>20</v>
      </c>
      <c r="M255" s="281">
        <f>'3. GRI Pricing'!R265</f>
        <v>0</v>
      </c>
      <c r="N255" s="281">
        <f>'3. GRI Pricing'!S265</f>
        <v>70</v>
      </c>
      <c r="O255" s="281">
        <f>'3. GRI Pricing'!Q265</f>
        <v>0</v>
      </c>
      <c r="P255" s="281">
        <f>'3. GRI Pricing'!T265</f>
        <v>0</v>
      </c>
      <c r="Q255" s="281">
        <f>'3. GRI Pricing'!U265</f>
        <v>0</v>
      </c>
      <c r="R255" s="281">
        <f>'3. GRI Pricing'!V265</f>
        <v>0</v>
      </c>
      <c r="S255" s="281">
        <f>'3. GRI Pricing'!W265</f>
        <v>0</v>
      </c>
      <c r="T255" s="281">
        <f>'3. GRI Pricing'!X265</f>
        <v>0</v>
      </c>
      <c r="U255" s="282">
        <f>'3. GRI Pricing'!Y265</f>
        <v>1025</v>
      </c>
    </row>
    <row r="256" spans="3:21" x14ac:dyDescent="0.2">
      <c r="C256" s="23" t="str">
        <f>'3. GRI Pricing'!C266</f>
        <v>513W</v>
      </c>
      <c r="D256" s="16" t="str">
        <f>'3. GRI Pricing'!D266</f>
        <v>3 Bed</v>
      </c>
      <c r="E256" s="16">
        <f>'3. GRI Pricing'!E266</f>
        <v>2</v>
      </c>
      <c r="F256" s="16">
        <f>'3. GRI Pricing'!F266</f>
        <v>840</v>
      </c>
      <c r="G256" s="16">
        <f>'3. GRI Pricing'!G266</f>
        <v>5</v>
      </c>
      <c r="H256" s="16" t="str">
        <f>'3. GRI Pricing'!H266</f>
        <v>Railway Bridge - Mid</v>
      </c>
      <c r="I256" s="280">
        <f>'3. GRI Pricing'!K266</f>
        <v>1485</v>
      </c>
      <c r="J256" s="281">
        <f>'3. GRI Pricing'!O266</f>
        <v>70</v>
      </c>
      <c r="K256" s="281">
        <f>'3. GRI Pricing'!L266</f>
        <v>0</v>
      </c>
      <c r="L256" s="281">
        <f>'3. GRI Pricing'!P266</f>
        <v>20</v>
      </c>
      <c r="M256" s="281">
        <f>'3. GRI Pricing'!R266</f>
        <v>0</v>
      </c>
      <c r="N256" s="281">
        <f>'3. GRI Pricing'!S266</f>
        <v>70</v>
      </c>
      <c r="O256" s="281">
        <f>'3. GRI Pricing'!Q266</f>
        <v>0</v>
      </c>
      <c r="P256" s="281">
        <f>'3. GRI Pricing'!T266</f>
        <v>0</v>
      </c>
      <c r="Q256" s="281">
        <f>'3. GRI Pricing'!U266</f>
        <v>0</v>
      </c>
      <c r="R256" s="281">
        <f>'3. GRI Pricing'!V266</f>
        <v>0</v>
      </c>
      <c r="S256" s="281">
        <f>'3. GRI Pricing'!W266</f>
        <v>0</v>
      </c>
      <c r="T256" s="281">
        <f>'3. GRI Pricing'!X266</f>
        <v>0</v>
      </c>
      <c r="U256" s="282">
        <f>'3. GRI Pricing'!Y266</f>
        <v>1715</v>
      </c>
    </row>
    <row r="257" spans="3:21" x14ac:dyDescent="0.2">
      <c r="C257" s="23" t="str">
        <f>'3. GRI Pricing'!C267</f>
        <v>514W</v>
      </c>
      <c r="D257" s="16" t="str">
        <f>'3. GRI Pricing'!D267</f>
        <v>2 Bed</v>
      </c>
      <c r="E257" s="16">
        <f>'3. GRI Pricing'!E267</f>
        <v>2</v>
      </c>
      <c r="F257" s="16">
        <f>'3. GRI Pricing'!F267</f>
        <v>624</v>
      </c>
      <c r="G257" s="16">
        <f>'3. GRI Pricing'!G267</f>
        <v>5</v>
      </c>
      <c r="H257" s="16" t="str">
        <f>'3. GRI Pricing'!H267</f>
        <v>Railway Bridge - Mid</v>
      </c>
      <c r="I257" s="280">
        <f>'3. GRI Pricing'!K267</f>
        <v>1110</v>
      </c>
      <c r="J257" s="281">
        <f>'3. GRI Pricing'!O267</f>
        <v>70</v>
      </c>
      <c r="K257" s="281">
        <f>'3. GRI Pricing'!L267</f>
        <v>0</v>
      </c>
      <c r="L257" s="281">
        <f>'3. GRI Pricing'!P267</f>
        <v>20</v>
      </c>
      <c r="M257" s="281">
        <f>'3. GRI Pricing'!R267</f>
        <v>0</v>
      </c>
      <c r="N257" s="281">
        <f>'3. GRI Pricing'!S267</f>
        <v>70</v>
      </c>
      <c r="O257" s="281">
        <f>'3. GRI Pricing'!Q267</f>
        <v>0</v>
      </c>
      <c r="P257" s="281">
        <f>'3. GRI Pricing'!T267</f>
        <v>0</v>
      </c>
      <c r="Q257" s="281">
        <f>'3. GRI Pricing'!U267</f>
        <v>0</v>
      </c>
      <c r="R257" s="281">
        <f>'3. GRI Pricing'!V267</f>
        <v>0</v>
      </c>
      <c r="S257" s="281">
        <f>'3. GRI Pricing'!W267</f>
        <v>0</v>
      </c>
      <c r="T257" s="281">
        <f>'3. GRI Pricing'!X267</f>
        <v>0</v>
      </c>
      <c r="U257" s="282">
        <f>'3. GRI Pricing'!Y267</f>
        <v>1280</v>
      </c>
    </row>
    <row r="258" spans="3:21" x14ac:dyDescent="0.2">
      <c r="C258" s="23" t="str">
        <f>'3. GRI Pricing'!C268</f>
        <v>601W</v>
      </c>
      <c r="D258" s="16" t="str">
        <f>'3. GRI Pricing'!D268</f>
        <v>2 Bed</v>
      </c>
      <c r="E258" s="16">
        <f>'3. GRI Pricing'!E268</f>
        <v>2</v>
      </c>
      <c r="F258" s="16">
        <f>'3. GRI Pricing'!F268</f>
        <v>689</v>
      </c>
      <c r="G258" s="16">
        <f>'3. GRI Pricing'!G268</f>
        <v>6</v>
      </c>
      <c r="H258" s="16" t="str">
        <f>'3. GRI Pricing'!H268</f>
        <v>Pottery Lane</v>
      </c>
      <c r="I258" s="280">
        <f>'3. GRI Pricing'!K268</f>
        <v>1110</v>
      </c>
      <c r="J258" s="281">
        <f>'3. GRI Pricing'!O268</f>
        <v>80</v>
      </c>
      <c r="K258" s="281">
        <f>'3. GRI Pricing'!L268</f>
        <v>0</v>
      </c>
      <c r="L258" s="281">
        <f>'3. GRI Pricing'!P268</f>
        <v>10</v>
      </c>
      <c r="M258" s="281">
        <f>'3. GRI Pricing'!R268</f>
        <v>0</v>
      </c>
      <c r="N258" s="281">
        <f>'3. GRI Pricing'!S268</f>
        <v>70</v>
      </c>
      <c r="O258" s="281">
        <f>'3. GRI Pricing'!Q268</f>
        <v>0</v>
      </c>
      <c r="P258" s="281">
        <f>'3. GRI Pricing'!T268</f>
        <v>0</v>
      </c>
      <c r="Q258" s="281">
        <f>'3. GRI Pricing'!U268</f>
        <v>0</v>
      </c>
      <c r="R258" s="281">
        <f>'3. GRI Pricing'!V268</f>
        <v>0</v>
      </c>
      <c r="S258" s="281">
        <f>'3. GRI Pricing'!W268</f>
        <v>0</v>
      </c>
      <c r="T258" s="281">
        <f>'3. GRI Pricing'!X268</f>
        <v>0</v>
      </c>
      <c r="U258" s="282">
        <f>'3. GRI Pricing'!Y268</f>
        <v>1335</v>
      </c>
    </row>
    <row r="259" spans="3:21" x14ac:dyDescent="0.2">
      <c r="C259" s="23" t="str">
        <f>'3. GRI Pricing'!C269</f>
        <v>602W</v>
      </c>
      <c r="D259" s="16" t="str">
        <f>'3. GRI Pricing'!D269</f>
        <v>1 Bed</v>
      </c>
      <c r="E259" s="16">
        <f>'3. GRI Pricing'!E269</f>
        <v>1</v>
      </c>
      <c r="F259" s="16">
        <f>'3. GRI Pricing'!F269</f>
        <v>495</v>
      </c>
      <c r="G259" s="16">
        <f>'3. GRI Pricing'!G269</f>
        <v>6</v>
      </c>
      <c r="H259" s="16" t="str">
        <f>'3. GRI Pricing'!H269</f>
        <v>Courtyard</v>
      </c>
      <c r="I259" s="280">
        <f>'3. GRI Pricing'!K269</f>
        <v>845</v>
      </c>
      <c r="J259" s="281">
        <f>'3. GRI Pricing'!O269</f>
        <v>80</v>
      </c>
      <c r="K259" s="281">
        <f>'3. GRI Pricing'!L269</f>
        <v>0</v>
      </c>
      <c r="L259" s="281">
        <f>'3. GRI Pricing'!P269</f>
        <v>25</v>
      </c>
      <c r="M259" s="281">
        <f>'3. GRI Pricing'!R269</f>
        <v>0</v>
      </c>
      <c r="N259" s="281">
        <f>'3. GRI Pricing'!S269</f>
        <v>70</v>
      </c>
      <c r="O259" s="281">
        <f>'3. GRI Pricing'!Q269</f>
        <v>0</v>
      </c>
      <c r="P259" s="281">
        <f>'3. GRI Pricing'!T269</f>
        <v>0</v>
      </c>
      <c r="Q259" s="281">
        <f>'3. GRI Pricing'!U269</f>
        <v>0</v>
      </c>
      <c r="R259" s="281">
        <f>'3. GRI Pricing'!V269</f>
        <v>0</v>
      </c>
      <c r="S259" s="281">
        <f>'3. GRI Pricing'!W269</f>
        <v>0</v>
      </c>
      <c r="T259" s="281">
        <f>'3. GRI Pricing'!X269</f>
        <v>0</v>
      </c>
      <c r="U259" s="282">
        <f>'3. GRI Pricing'!Y269</f>
        <v>1035</v>
      </c>
    </row>
    <row r="260" spans="3:21" x14ac:dyDescent="0.2">
      <c r="C260" s="23" t="str">
        <f>'3. GRI Pricing'!C270</f>
        <v>603W</v>
      </c>
      <c r="D260" s="16" t="str">
        <f>'3. GRI Pricing'!D270</f>
        <v>2 Bed</v>
      </c>
      <c r="E260" s="16">
        <f>'3. GRI Pricing'!E270</f>
        <v>2</v>
      </c>
      <c r="F260" s="16">
        <f>'3. GRI Pricing'!F270</f>
        <v>657</v>
      </c>
      <c r="G260" s="16">
        <f>'3. GRI Pricing'!G270</f>
        <v>6</v>
      </c>
      <c r="H260" s="16" t="str">
        <f>'3. GRI Pricing'!H270</f>
        <v>Courtyard</v>
      </c>
      <c r="I260" s="280">
        <f>'3. GRI Pricing'!K270</f>
        <v>1110</v>
      </c>
      <c r="J260" s="281">
        <f>'3. GRI Pricing'!O270</f>
        <v>80</v>
      </c>
      <c r="K260" s="281">
        <f>'3. GRI Pricing'!L270</f>
        <v>0</v>
      </c>
      <c r="L260" s="281">
        <f>'3. GRI Pricing'!P270</f>
        <v>25</v>
      </c>
      <c r="M260" s="281">
        <f>'3. GRI Pricing'!R270</f>
        <v>0</v>
      </c>
      <c r="N260" s="281">
        <f>'3. GRI Pricing'!S270</f>
        <v>70</v>
      </c>
      <c r="O260" s="281">
        <f>'3. GRI Pricing'!Q270</f>
        <v>0</v>
      </c>
      <c r="P260" s="281">
        <f>'3. GRI Pricing'!T270</f>
        <v>0</v>
      </c>
      <c r="Q260" s="281">
        <f>'3. GRI Pricing'!U270</f>
        <v>0</v>
      </c>
      <c r="R260" s="281">
        <f>'3. GRI Pricing'!V270</f>
        <v>0</v>
      </c>
      <c r="S260" s="281">
        <f>'3. GRI Pricing'!W270</f>
        <v>0</v>
      </c>
      <c r="T260" s="281">
        <f>'3. GRI Pricing'!X270</f>
        <v>0</v>
      </c>
      <c r="U260" s="282">
        <f>'3. GRI Pricing'!Y270</f>
        <v>1305</v>
      </c>
    </row>
    <row r="261" spans="3:21" x14ac:dyDescent="0.2">
      <c r="C261" s="23" t="str">
        <f>'3. GRI Pricing'!C271</f>
        <v>604W</v>
      </c>
      <c r="D261" s="16" t="str">
        <f>'3. GRI Pricing'!D271</f>
        <v>2 Bed</v>
      </c>
      <c r="E261" s="16">
        <f>'3. GRI Pricing'!E271</f>
        <v>2</v>
      </c>
      <c r="F261" s="16">
        <f>'3. GRI Pricing'!F271</f>
        <v>657</v>
      </c>
      <c r="G261" s="16">
        <f>'3. GRI Pricing'!G271</f>
        <v>6</v>
      </c>
      <c r="H261" s="16" t="str">
        <f>'3. GRI Pricing'!H271</f>
        <v>Railway Bridge - Higher</v>
      </c>
      <c r="I261" s="280">
        <f>'3. GRI Pricing'!K271</f>
        <v>1110</v>
      </c>
      <c r="J261" s="281">
        <f>'3. GRI Pricing'!O271</f>
        <v>80</v>
      </c>
      <c r="K261" s="281">
        <f>'3. GRI Pricing'!L271</f>
        <v>0</v>
      </c>
      <c r="L261" s="281">
        <f>'3. GRI Pricing'!P271</f>
        <v>30</v>
      </c>
      <c r="M261" s="281">
        <f>'3. GRI Pricing'!R271</f>
        <v>0</v>
      </c>
      <c r="N261" s="281">
        <f>'3. GRI Pricing'!S271</f>
        <v>70</v>
      </c>
      <c r="O261" s="281">
        <f>'3. GRI Pricing'!Q271</f>
        <v>0</v>
      </c>
      <c r="P261" s="281">
        <f>'3. GRI Pricing'!T271</f>
        <v>0</v>
      </c>
      <c r="Q261" s="281">
        <f>'3. GRI Pricing'!U271</f>
        <v>0</v>
      </c>
      <c r="R261" s="281">
        <f>'3. GRI Pricing'!V271</f>
        <v>0</v>
      </c>
      <c r="S261" s="281">
        <f>'3. GRI Pricing'!W271</f>
        <v>0</v>
      </c>
      <c r="T261" s="281">
        <f>'3. GRI Pricing'!X271</f>
        <v>0</v>
      </c>
      <c r="U261" s="282">
        <f>'3. GRI Pricing'!Y271</f>
        <v>1310</v>
      </c>
    </row>
    <row r="262" spans="3:21" x14ac:dyDescent="0.2">
      <c r="C262" s="23" t="str">
        <f>'3. GRI Pricing'!C272</f>
        <v>605W</v>
      </c>
      <c r="D262" s="16" t="str">
        <f>'3. GRI Pricing'!D272</f>
        <v>2 Bed</v>
      </c>
      <c r="E262" s="16">
        <f>'3. GRI Pricing'!E272</f>
        <v>2</v>
      </c>
      <c r="F262" s="16">
        <f>'3. GRI Pricing'!F272</f>
        <v>678</v>
      </c>
      <c r="G262" s="16">
        <f>'3. GRI Pricing'!G272</f>
        <v>6</v>
      </c>
      <c r="H262" s="16" t="str">
        <f>'3. GRI Pricing'!H272</f>
        <v>Railway Bridge - Higher</v>
      </c>
      <c r="I262" s="280">
        <f>'3. GRI Pricing'!K272</f>
        <v>1110</v>
      </c>
      <c r="J262" s="281">
        <f>'3. GRI Pricing'!O272</f>
        <v>80</v>
      </c>
      <c r="K262" s="281">
        <f>'3. GRI Pricing'!L272</f>
        <v>0</v>
      </c>
      <c r="L262" s="281">
        <f>'3. GRI Pricing'!P272</f>
        <v>30</v>
      </c>
      <c r="M262" s="281">
        <f>'3. GRI Pricing'!R272</f>
        <v>0</v>
      </c>
      <c r="N262" s="281">
        <f>'3. GRI Pricing'!S272</f>
        <v>70</v>
      </c>
      <c r="O262" s="281">
        <f>'3. GRI Pricing'!Q272</f>
        <v>0</v>
      </c>
      <c r="P262" s="281">
        <f>'3. GRI Pricing'!T272</f>
        <v>0</v>
      </c>
      <c r="Q262" s="281">
        <f>'3. GRI Pricing'!U272</f>
        <v>0</v>
      </c>
      <c r="R262" s="281">
        <f>'3. GRI Pricing'!V272</f>
        <v>0</v>
      </c>
      <c r="S262" s="281">
        <f>'3. GRI Pricing'!W272</f>
        <v>0</v>
      </c>
      <c r="T262" s="281">
        <f>'3. GRI Pricing'!X272</f>
        <v>0</v>
      </c>
      <c r="U262" s="282">
        <f>'3. GRI Pricing'!Y272</f>
        <v>1330</v>
      </c>
    </row>
    <row r="263" spans="3:21" x14ac:dyDescent="0.2">
      <c r="C263" s="23" t="str">
        <f>'3. GRI Pricing'!C273</f>
        <v>606W</v>
      </c>
      <c r="D263" s="16" t="str">
        <f>'3. GRI Pricing'!D273</f>
        <v>1 Bed</v>
      </c>
      <c r="E263" s="16">
        <f>'3. GRI Pricing'!E273</f>
        <v>1</v>
      </c>
      <c r="F263" s="16">
        <f>'3. GRI Pricing'!F273</f>
        <v>506</v>
      </c>
      <c r="G263" s="16">
        <f>'3. GRI Pricing'!G273</f>
        <v>6</v>
      </c>
      <c r="H263" s="16" t="str">
        <f>'3. GRI Pricing'!H273</f>
        <v>Railway Bridge - Higher</v>
      </c>
      <c r="I263" s="280">
        <f>'3. GRI Pricing'!K273</f>
        <v>845</v>
      </c>
      <c r="J263" s="281">
        <f>'3. GRI Pricing'!O273</f>
        <v>80</v>
      </c>
      <c r="K263" s="281">
        <f>'3. GRI Pricing'!L273</f>
        <v>0</v>
      </c>
      <c r="L263" s="281">
        <f>'3. GRI Pricing'!P273</f>
        <v>30</v>
      </c>
      <c r="M263" s="281">
        <f>'3. GRI Pricing'!R273</f>
        <v>0</v>
      </c>
      <c r="N263" s="281">
        <f>'3. GRI Pricing'!S273</f>
        <v>70</v>
      </c>
      <c r="O263" s="281">
        <f>'3. GRI Pricing'!Q273</f>
        <v>0</v>
      </c>
      <c r="P263" s="281">
        <f>'3. GRI Pricing'!T273</f>
        <v>0</v>
      </c>
      <c r="Q263" s="281">
        <f>'3. GRI Pricing'!U273</f>
        <v>0</v>
      </c>
      <c r="R263" s="281">
        <f>'3. GRI Pricing'!V273</f>
        <v>0</v>
      </c>
      <c r="S263" s="281">
        <f>'3. GRI Pricing'!W273</f>
        <v>0</v>
      </c>
      <c r="T263" s="281">
        <f>'3. GRI Pricing'!X273</f>
        <v>0</v>
      </c>
      <c r="U263" s="282">
        <f>'3. GRI Pricing'!Y273</f>
        <v>1040</v>
      </c>
    </row>
    <row r="264" spans="3:21" x14ac:dyDescent="0.2">
      <c r="C264" s="23" t="str">
        <f>'3. GRI Pricing'!C274</f>
        <v>607W</v>
      </c>
      <c r="D264" s="16" t="str">
        <f>'3. GRI Pricing'!D274</f>
        <v>1 Bed</v>
      </c>
      <c r="E264" s="16">
        <f>'3. GRI Pricing'!E274</f>
        <v>1</v>
      </c>
      <c r="F264" s="16">
        <f>'3. GRI Pricing'!F274</f>
        <v>474</v>
      </c>
      <c r="G264" s="16">
        <f>'3. GRI Pricing'!G274</f>
        <v>6</v>
      </c>
      <c r="H264" s="16" t="str">
        <f>'3. GRI Pricing'!H274</f>
        <v>Pottery Lane</v>
      </c>
      <c r="I264" s="280">
        <f>'3. GRI Pricing'!K274</f>
        <v>845</v>
      </c>
      <c r="J264" s="281">
        <f>'3. GRI Pricing'!O274</f>
        <v>80</v>
      </c>
      <c r="K264" s="281">
        <f>'3. GRI Pricing'!L274</f>
        <v>0</v>
      </c>
      <c r="L264" s="281">
        <f>'3. GRI Pricing'!P274</f>
        <v>10</v>
      </c>
      <c r="M264" s="281">
        <f>'3. GRI Pricing'!R274</f>
        <v>0</v>
      </c>
      <c r="N264" s="281">
        <f>'3. GRI Pricing'!S274</f>
        <v>70</v>
      </c>
      <c r="O264" s="281">
        <f>'3. GRI Pricing'!Q274</f>
        <v>0</v>
      </c>
      <c r="P264" s="281">
        <f>'3. GRI Pricing'!T274</f>
        <v>0</v>
      </c>
      <c r="Q264" s="281">
        <f>'3. GRI Pricing'!U274</f>
        <v>0</v>
      </c>
      <c r="R264" s="281">
        <f>'3. GRI Pricing'!V274</f>
        <v>0</v>
      </c>
      <c r="S264" s="281">
        <f>'3. GRI Pricing'!W274</f>
        <v>0</v>
      </c>
      <c r="T264" s="281">
        <f>'3. GRI Pricing'!X274</f>
        <v>0</v>
      </c>
      <c r="U264" s="282">
        <f>'3. GRI Pricing'!Y274</f>
        <v>1005</v>
      </c>
    </row>
    <row r="265" spans="3:21" x14ac:dyDescent="0.2">
      <c r="C265" s="23" t="str">
        <f>'3. GRI Pricing'!C275</f>
        <v>608W</v>
      </c>
      <c r="D265" s="16" t="str">
        <f>'3. GRI Pricing'!D275</f>
        <v>2 Bed</v>
      </c>
      <c r="E265" s="16">
        <f>'3. GRI Pricing'!E275</f>
        <v>2</v>
      </c>
      <c r="F265" s="16">
        <f>'3. GRI Pricing'!F275</f>
        <v>667</v>
      </c>
      <c r="G265" s="16">
        <f>'3. GRI Pricing'!G275</f>
        <v>6</v>
      </c>
      <c r="H265" s="16" t="str">
        <f>'3. GRI Pricing'!H275</f>
        <v>Courtyard</v>
      </c>
      <c r="I265" s="280">
        <f>'3. GRI Pricing'!K275</f>
        <v>1110</v>
      </c>
      <c r="J265" s="281">
        <f>'3. GRI Pricing'!O275</f>
        <v>80</v>
      </c>
      <c r="K265" s="281">
        <f>'3. GRI Pricing'!L275</f>
        <v>0</v>
      </c>
      <c r="L265" s="281">
        <f>'3. GRI Pricing'!P275</f>
        <v>25</v>
      </c>
      <c r="M265" s="281">
        <f>'3. GRI Pricing'!R275</f>
        <v>0</v>
      </c>
      <c r="N265" s="281">
        <f>'3. GRI Pricing'!S275</f>
        <v>70</v>
      </c>
      <c r="O265" s="281">
        <f>'3. GRI Pricing'!Q275</f>
        <v>0</v>
      </c>
      <c r="P265" s="281">
        <f>'3. GRI Pricing'!T275</f>
        <v>0</v>
      </c>
      <c r="Q265" s="281">
        <f>'3. GRI Pricing'!U275</f>
        <v>0</v>
      </c>
      <c r="R265" s="281">
        <f>'3. GRI Pricing'!V275</f>
        <v>0</v>
      </c>
      <c r="S265" s="281">
        <f>'3. GRI Pricing'!W275</f>
        <v>0</v>
      </c>
      <c r="T265" s="281">
        <f>'3. GRI Pricing'!X275</f>
        <v>0</v>
      </c>
      <c r="U265" s="282">
        <f>'3. GRI Pricing'!Y275</f>
        <v>1315</v>
      </c>
    </row>
    <row r="266" spans="3:21" x14ac:dyDescent="0.2">
      <c r="C266" s="23" t="str">
        <f>'3. GRI Pricing'!C276</f>
        <v>609W</v>
      </c>
      <c r="D266" s="16" t="str">
        <f>'3. GRI Pricing'!D276</f>
        <v>2 Bed</v>
      </c>
      <c r="E266" s="16">
        <f>'3. GRI Pricing'!E276</f>
        <v>2</v>
      </c>
      <c r="F266" s="16">
        <f>'3. GRI Pricing'!F276</f>
        <v>657</v>
      </c>
      <c r="G266" s="16">
        <f>'3. GRI Pricing'!G276</f>
        <v>6</v>
      </c>
      <c r="H266" s="16" t="str">
        <f>'3. GRI Pricing'!H276</f>
        <v>Courtyard</v>
      </c>
      <c r="I266" s="280">
        <f>'3. GRI Pricing'!K276</f>
        <v>1110</v>
      </c>
      <c r="J266" s="281">
        <f>'3. GRI Pricing'!O276</f>
        <v>80</v>
      </c>
      <c r="K266" s="281">
        <f>'3. GRI Pricing'!L276</f>
        <v>0</v>
      </c>
      <c r="L266" s="281">
        <f>'3. GRI Pricing'!P276</f>
        <v>25</v>
      </c>
      <c r="M266" s="281">
        <f>'3. GRI Pricing'!R276</f>
        <v>0</v>
      </c>
      <c r="N266" s="281">
        <f>'3. GRI Pricing'!S276</f>
        <v>70</v>
      </c>
      <c r="O266" s="281">
        <f>'3. GRI Pricing'!Q276</f>
        <v>0</v>
      </c>
      <c r="P266" s="281">
        <f>'3. GRI Pricing'!T276</f>
        <v>0</v>
      </c>
      <c r="Q266" s="281">
        <f>'3. GRI Pricing'!U276</f>
        <v>0</v>
      </c>
      <c r="R266" s="281">
        <f>'3. GRI Pricing'!V276</f>
        <v>0</v>
      </c>
      <c r="S266" s="281">
        <f>'3. GRI Pricing'!W276</f>
        <v>0</v>
      </c>
      <c r="T266" s="281">
        <f>'3. GRI Pricing'!X276</f>
        <v>0</v>
      </c>
      <c r="U266" s="282">
        <f>'3. GRI Pricing'!Y276</f>
        <v>1305</v>
      </c>
    </row>
    <row r="267" spans="3:21" x14ac:dyDescent="0.2">
      <c r="C267" s="23" t="str">
        <f>'3. GRI Pricing'!C277</f>
        <v>610W</v>
      </c>
      <c r="D267" s="16" t="str">
        <f>'3. GRI Pricing'!D277</f>
        <v>2 Bed</v>
      </c>
      <c r="E267" s="16">
        <f>'3. GRI Pricing'!E277</f>
        <v>2</v>
      </c>
      <c r="F267" s="16">
        <f>'3. GRI Pricing'!F277</f>
        <v>689</v>
      </c>
      <c r="G267" s="16">
        <f>'3. GRI Pricing'!G277</f>
        <v>6</v>
      </c>
      <c r="H267" s="16" t="str">
        <f>'3. GRI Pricing'!H277</f>
        <v>River- Partial</v>
      </c>
      <c r="I267" s="280">
        <f>'3. GRI Pricing'!K277</f>
        <v>1110</v>
      </c>
      <c r="J267" s="281">
        <f>'3. GRI Pricing'!O277</f>
        <v>80</v>
      </c>
      <c r="K267" s="281">
        <f>'3. GRI Pricing'!L277</f>
        <v>0</v>
      </c>
      <c r="L267" s="281">
        <f>'3. GRI Pricing'!P277</f>
        <v>0</v>
      </c>
      <c r="M267" s="281">
        <f>'3. GRI Pricing'!R277</f>
        <v>0</v>
      </c>
      <c r="N267" s="281">
        <f>'3. GRI Pricing'!S277</f>
        <v>70</v>
      </c>
      <c r="O267" s="281">
        <f>'3. GRI Pricing'!Q277</f>
        <v>0</v>
      </c>
      <c r="P267" s="281">
        <f>'3. GRI Pricing'!T277</f>
        <v>0</v>
      </c>
      <c r="Q267" s="281">
        <f>'3. GRI Pricing'!U277</f>
        <v>0</v>
      </c>
      <c r="R267" s="281">
        <f>'3. GRI Pricing'!V277</f>
        <v>0</v>
      </c>
      <c r="S267" s="281">
        <f>'3. GRI Pricing'!W277</f>
        <v>0</v>
      </c>
      <c r="T267" s="281">
        <f>'3. GRI Pricing'!X277</f>
        <v>0</v>
      </c>
      <c r="U267" s="282">
        <f>'3. GRI Pricing'!Y277</f>
        <v>1325</v>
      </c>
    </row>
    <row r="268" spans="3:21" x14ac:dyDescent="0.2">
      <c r="C268" s="23" t="str">
        <f>'3. GRI Pricing'!C278</f>
        <v>611W</v>
      </c>
      <c r="D268" s="16" t="str">
        <f>'3. GRI Pricing'!D278</f>
        <v>2 Bed</v>
      </c>
      <c r="E268" s="16">
        <f>'3. GRI Pricing'!E278</f>
        <v>2</v>
      </c>
      <c r="F268" s="16">
        <f>'3. GRI Pricing'!F278</f>
        <v>667</v>
      </c>
      <c r="G268" s="16">
        <f>'3. GRI Pricing'!G278</f>
        <v>6</v>
      </c>
      <c r="H268" s="16" t="str">
        <f>'3. GRI Pricing'!H278</f>
        <v>Courtyard</v>
      </c>
      <c r="I268" s="280">
        <f>'3. GRI Pricing'!K278</f>
        <v>1110</v>
      </c>
      <c r="J268" s="281">
        <f>'3. GRI Pricing'!O278</f>
        <v>80</v>
      </c>
      <c r="K268" s="281">
        <f>'3. GRI Pricing'!L278</f>
        <v>0</v>
      </c>
      <c r="L268" s="281">
        <f>'3. GRI Pricing'!P278</f>
        <v>25</v>
      </c>
      <c r="M268" s="281">
        <f>'3. GRI Pricing'!R278</f>
        <v>0</v>
      </c>
      <c r="N268" s="281">
        <f>'3. GRI Pricing'!S278</f>
        <v>70</v>
      </c>
      <c r="O268" s="281">
        <f>'3. GRI Pricing'!Q278</f>
        <v>0</v>
      </c>
      <c r="P268" s="281">
        <f>'3. GRI Pricing'!T278</f>
        <v>0</v>
      </c>
      <c r="Q268" s="281">
        <f>'3. GRI Pricing'!U278</f>
        <v>0</v>
      </c>
      <c r="R268" s="281">
        <f>'3. GRI Pricing'!V278</f>
        <v>0</v>
      </c>
      <c r="S268" s="281">
        <f>'3. GRI Pricing'!W278</f>
        <v>0</v>
      </c>
      <c r="T268" s="281">
        <f>'3. GRI Pricing'!X278</f>
        <v>0</v>
      </c>
      <c r="U268" s="282">
        <f>'3. GRI Pricing'!Y278</f>
        <v>1315</v>
      </c>
    </row>
    <row r="269" spans="3:21" x14ac:dyDescent="0.2">
      <c r="C269" s="23" t="str">
        <f>'3. GRI Pricing'!C279</f>
        <v>612W</v>
      </c>
      <c r="D269" s="16" t="str">
        <f>'3. GRI Pricing'!D279</f>
        <v>1 Bed</v>
      </c>
      <c r="E269" s="16">
        <f>'3. GRI Pricing'!E279</f>
        <v>1</v>
      </c>
      <c r="F269" s="16">
        <f>'3. GRI Pricing'!F279</f>
        <v>527</v>
      </c>
      <c r="G269" s="16">
        <f>'3. GRI Pricing'!G279</f>
        <v>6</v>
      </c>
      <c r="H269" s="16" t="str">
        <f>'3. GRI Pricing'!H279</f>
        <v>Railway Bridge - Higher</v>
      </c>
      <c r="I269" s="280">
        <f>'3. GRI Pricing'!K279</f>
        <v>845</v>
      </c>
      <c r="J269" s="281">
        <f>'3. GRI Pricing'!O279</f>
        <v>80</v>
      </c>
      <c r="K269" s="281">
        <f>'3. GRI Pricing'!L279</f>
        <v>0</v>
      </c>
      <c r="L269" s="281">
        <f>'3. GRI Pricing'!P279</f>
        <v>30</v>
      </c>
      <c r="M269" s="281">
        <f>'3. GRI Pricing'!R279</f>
        <v>0</v>
      </c>
      <c r="N269" s="281">
        <f>'3. GRI Pricing'!S279</f>
        <v>70</v>
      </c>
      <c r="O269" s="281">
        <f>'3. GRI Pricing'!Q279</f>
        <v>0</v>
      </c>
      <c r="P269" s="281">
        <f>'3. GRI Pricing'!T279</f>
        <v>0</v>
      </c>
      <c r="Q269" s="281">
        <f>'3. GRI Pricing'!U279</f>
        <v>0</v>
      </c>
      <c r="R269" s="281">
        <f>'3. GRI Pricing'!V279</f>
        <v>0</v>
      </c>
      <c r="S269" s="281">
        <f>'3. GRI Pricing'!W279</f>
        <v>0</v>
      </c>
      <c r="T269" s="281">
        <f>'3. GRI Pricing'!X279</f>
        <v>0</v>
      </c>
      <c r="U269" s="282">
        <f>'3. GRI Pricing'!Y279</f>
        <v>1045</v>
      </c>
    </row>
    <row r="270" spans="3:21" x14ac:dyDescent="0.2">
      <c r="C270" s="23" t="str">
        <f>'3. GRI Pricing'!C280</f>
        <v>613W</v>
      </c>
      <c r="D270" s="16" t="str">
        <f>'3. GRI Pricing'!D280</f>
        <v>3 Bed</v>
      </c>
      <c r="E270" s="16">
        <f>'3. GRI Pricing'!E280</f>
        <v>2</v>
      </c>
      <c r="F270" s="16">
        <f>'3. GRI Pricing'!F280</f>
        <v>840</v>
      </c>
      <c r="G270" s="16">
        <f>'3. GRI Pricing'!G280</f>
        <v>6</v>
      </c>
      <c r="H270" s="16" t="str">
        <f>'3. GRI Pricing'!H280</f>
        <v>Railway Bridge - Higher</v>
      </c>
      <c r="I270" s="280">
        <f>'3. GRI Pricing'!K280</f>
        <v>1485</v>
      </c>
      <c r="J270" s="281">
        <f>'3. GRI Pricing'!O280</f>
        <v>80</v>
      </c>
      <c r="K270" s="281">
        <f>'3. GRI Pricing'!L280</f>
        <v>0</v>
      </c>
      <c r="L270" s="281">
        <f>'3. GRI Pricing'!P280</f>
        <v>30</v>
      </c>
      <c r="M270" s="281">
        <f>'3. GRI Pricing'!R280</f>
        <v>0</v>
      </c>
      <c r="N270" s="281">
        <f>'3. GRI Pricing'!S280</f>
        <v>70</v>
      </c>
      <c r="O270" s="281">
        <f>'3. GRI Pricing'!Q280</f>
        <v>0</v>
      </c>
      <c r="P270" s="281">
        <f>'3. GRI Pricing'!T280</f>
        <v>0</v>
      </c>
      <c r="Q270" s="281">
        <f>'3. GRI Pricing'!U280</f>
        <v>0</v>
      </c>
      <c r="R270" s="281">
        <f>'3. GRI Pricing'!V280</f>
        <v>0</v>
      </c>
      <c r="S270" s="281">
        <f>'3. GRI Pricing'!W280</f>
        <v>0</v>
      </c>
      <c r="T270" s="281">
        <f>'3. GRI Pricing'!X280</f>
        <v>0</v>
      </c>
      <c r="U270" s="282">
        <f>'3. GRI Pricing'!Y280</f>
        <v>1735</v>
      </c>
    </row>
    <row r="271" spans="3:21" x14ac:dyDescent="0.2">
      <c r="C271" s="23" t="str">
        <f>'3. GRI Pricing'!C281</f>
        <v>614W</v>
      </c>
      <c r="D271" s="16" t="str">
        <f>'3. GRI Pricing'!D281</f>
        <v>2 Bed</v>
      </c>
      <c r="E271" s="16">
        <f>'3. GRI Pricing'!E281</f>
        <v>2</v>
      </c>
      <c r="F271" s="16">
        <f>'3. GRI Pricing'!F281</f>
        <v>624</v>
      </c>
      <c r="G271" s="16">
        <f>'3. GRI Pricing'!G281</f>
        <v>6</v>
      </c>
      <c r="H271" s="16" t="str">
        <f>'3. GRI Pricing'!H281</f>
        <v>Railway Bridge - Higher</v>
      </c>
      <c r="I271" s="280">
        <f>'3. GRI Pricing'!K281</f>
        <v>1110</v>
      </c>
      <c r="J271" s="281">
        <f>'3. GRI Pricing'!O281</f>
        <v>80</v>
      </c>
      <c r="K271" s="281">
        <f>'3. GRI Pricing'!L281</f>
        <v>0</v>
      </c>
      <c r="L271" s="281">
        <f>'3. GRI Pricing'!P281</f>
        <v>30</v>
      </c>
      <c r="M271" s="281">
        <f>'3. GRI Pricing'!R281</f>
        <v>0</v>
      </c>
      <c r="N271" s="281">
        <f>'3. GRI Pricing'!S281</f>
        <v>70</v>
      </c>
      <c r="O271" s="281">
        <f>'3. GRI Pricing'!Q281</f>
        <v>0</v>
      </c>
      <c r="P271" s="281">
        <f>'3. GRI Pricing'!T281</f>
        <v>0</v>
      </c>
      <c r="Q271" s="281">
        <f>'3. GRI Pricing'!U281</f>
        <v>0</v>
      </c>
      <c r="R271" s="281">
        <f>'3. GRI Pricing'!V281</f>
        <v>0</v>
      </c>
      <c r="S271" s="281">
        <f>'3. GRI Pricing'!W281</f>
        <v>0</v>
      </c>
      <c r="T271" s="281">
        <f>'3. GRI Pricing'!X281</f>
        <v>0</v>
      </c>
      <c r="U271" s="282">
        <f>'3. GRI Pricing'!Y281</f>
        <v>1300</v>
      </c>
    </row>
    <row r="272" spans="3:21" x14ac:dyDescent="0.2">
      <c r="C272" s="23" t="str">
        <f>'3. GRI Pricing'!C282</f>
        <v>701W</v>
      </c>
      <c r="D272" s="16" t="str">
        <f>'3. GRI Pricing'!D282</f>
        <v>3 Bed</v>
      </c>
      <c r="E272" s="16">
        <f>'3. GRI Pricing'!E282</f>
        <v>2</v>
      </c>
      <c r="F272" s="16">
        <f>'3. GRI Pricing'!F282</f>
        <v>840</v>
      </c>
      <c r="G272" s="16">
        <f>'3. GRI Pricing'!G282</f>
        <v>7</v>
      </c>
      <c r="H272" s="16" t="str">
        <f>'3. GRI Pricing'!H282</f>
        <v>Railway Bridge - Higher</v>
      </c>
      <c r="I272" s="280">
        <f>'3. GRI Pricing'!K282</f>
        <v>1485</v>
      </c>
      <c r="J272" s="281">
        <f>'3. GRI Pricing'!O282</f>
        <v>90</v>
      </c>
      <c r="K272" s="281">
        <f>'3. GRI Pricing'!L282</f>
        <v>0</v>
      </c>
      <c r="L272" s="281">
        <f>'3. GRI Pricing'!P282</f>
        <v>30</v>
      </c>
      <c r="M272" s="281">
        <f>'3. GRI Pricing'!R282</f>
        <v>0</v>
      </c>
      <c r="N272" s="281">
        <f>'3. GRI Pricing'!S282</f>
        <v>70</v>
      </c>
      <c r="O272" s="281">
        <f>'3. GRI Pricing'!Q282</f>
        <v>0</v>
      </c>
      <c r="P272" s="281">
        <f>'3. GRI Pricing'!T282</f>
        <v>-50</v>
      </c>
      <c r="Q272" s="281">
        <f>'3. GRI Pricing'!U282</f>
        <v>0</v>
      </c>
      <c r="R272" s="281">
        <f>'3. GRI Pricing'!V282</f>
        <v>0</v>
      </c>
      <c r="S272" s="281">
        <f>'3. GRI Pricing'!W282</f>
        <v>0</v>
      </c>
      <c r="T272" s="281">
        <f>'3. GRI Pricing'!X282</f>
        <v>0</v>
      </c>
      <c r="U272" s="282">
        <f>'3. GRI Pricing'!Y282</f>
        <v>1695</v>
      </c>
    </row>
    <row r="273" spans="3:21" x14ac:dyDescent="0.2">
      <c r="C273" s="23" t="str">
        <f>'3. GRI Pricing'!C283</f>
        <v>702W</v>
      </c>
      <c r="D273" s="16" t="str">
        <f>'3. GRI Pricing'!D283</f>
        <v>1 Bed</v>
      </c>
      <c r="E273" s="16">
        <f>'3. GRI Pricing'!E283</f>
        <v>1</v>
      </c>
      <c r="F273" s="16">
        <f>'3. GRI Pricing'!F283</f>
        <v>495</v>
      </c>
      <c r="G273" s="16">
        <f>'3. GRI Pricing'!G283</f>
        <v>7</v>
      </c>
      <c r="H273" s="16" t="str">
        <f>'3. GRI Pricing'!H283</f>
        <v>Cityscape</v>
      </c>
      <c r="I273" s="280">
        <f>'3. GRI Pricing'!K283</f>
        <v>845</v>
      </c>
      <c r="J273" s="281">
        <f>'3. GRI Pricing'!O283</f>
        <v>90</v>
      </c>
      <c r="K273" s="281">
        <f>'3. GRI Pricing'!L283</f>
        <v>0</v>
      </c>
      <c r="L273" s="281">
        <f>'3. GRI Pricing'!P283</f>
        <v>35</v>
      </c>
      <c r="M273" s="281">
        <f>'3. GRI Pricing'!R283</f>
        <v>0</v>
      </c>
      <c r="N273" s="281">
        <f>'3. GRI Pricing'!S283</f>
        <v>70</v>
      </c>
      <c r="O273" s="281">
        <f>'3. GRI Pricing'!Q283</f>
        <v>0</v>
      </c>
      <c r="P273" s="281">
        <f>'3. GRI Pricing'!T283</f>
        <v>-50</v>
      </c>
      <c r="Q273" s="281">
        <f>'3. GRI Pricing'!U283</f>
        <v>0</v>
      </c>
      <c r="R273" s="281">
        <f>'3. GRI Pricing'!V283</f>
        <v>0</v>
      </c>
      <c r="S273" s="281">
        <f>'3. GRI Pricing'!W283</f>
        <v>0</v>
      </c>
      <c r="T273" s="281">
        <f>'3. GRI Pricing'!X283</f>
        <v>0</v>
      </c>
      <c r="U273" s="282">
        <f>'3. GRI Pricing'!Y283</f>
        <v>1005</v>
      </c>
    </row>
    <row r="274" spans="3:21" x14ac:dyDescent="0.2">
      <c r="C274" s="23" t="str">
        <f>'3. GRI Pricing'!C284</f>
        <v>703W</v>
      </c>
      <c r="D274" s="16" t="str">
        <f>'3. GRI Pricing'!D284</f>
        <v>1 Bed</v>
      </c>
      <c r="E274" s="16">
        <f>'3. GRI Pricing'!E284</f>
        <v>1</v>
      </c>
      <c r="F274" s="16">
        <f>'3. GRI Pricing'!F284</f>
        <v>506</v>
      </c>
      <c r="G274" s="16">
        <f>'3. GRI Pricing'!G284</f>
        <v>7</v>
      </c>
      <c r="H274" s="16" t="str">
        <f>'3. GRI Pricing'!H284</f>
        <v>Railway Bridge - Higher</v>
      </c>
      <c r="I274" s="280">
        <f>'3. GRI Pricing'!K284</f>
        <v>845</v>
      </c>
      <c r="J274" s="281">
        <f>'3. GRI Pricing'!O284</f>
        <v>90</v>
      </c>
      <c r="K274" s="281">
        <f>'3. GRI Pricing'!L284</f>
        <v>0</v>
      </c>
      <c r="L274" s="281">
        <f>'3. GRI Pricing'!P284</f>
        <v>30</v>
      </c>
      <c r="M274" s="281">
        <f>'3. GRI Pricing'!R284</f>
        <v>0</v>
      </c>
      <c r="N274" s="281">
        <f>'3. GRI Pricing'!S284</f>
        <v>70</v>
      </c>
      <c r="O274" s="281">
        <f>'3. GRI Pricing'!Q284</f>
        <v>0</v>
      </c>
      <c r="P274" s="281">
        <f>'3. GRI Pricing'!T284</f>
        <v>-50</v>
      </c>
      <c r="Q274" s="281">
        <f>'3. GRI Pricing'!U284</f>
        <v>0</v>
      </c>
      <c r="R274" s="281">
        <f>'3. GRI Pricing'!V284</f>
        <v>0</v>
      </c>
      <c r="S274" s="281">
        <f>'3. GRI Pricing'!W284</f>
        <v>0</v>
      </c>
      <c r="T274" s="281">
        <f>'3. GRI Pricing'!X284</f>
        <v>0</v>
      </c>
      <c r="U274" s="282">
        <f>'3. GRI Pricing'!Y284</f>
        <v>1000</v>
      </c>
    </row>
    <row r="275" spans="3:21" x14ac:dyDescent="0.2">
      <c r="C275" s="23" t="str">
        <f>'3. GRI Pricing'!C285</f>
        <v>704W</v>
      </c>
      <c r="D275" s="16" t="str">
        <f>'3. GRI Pricing'!D285</f>
        <v>2 Bed</v>
      </c>
      <c r="E275" s="16">
        <f>'3. GRI Pricing'!E285</f>
        <v>2</v>
      </c>
      <c r="F275" s="16">
        <f>'3. GRI Pricing'!F285</f>
        <v>624</v>
      </c>
      <c r="G275" s="16">
        <f>'3. GRI Pricing'!G285</f>
        <v>7</v>
      </c>
      <c r="H275" s="16" t="str">
        <f>'3. GRI Pricing'!H285</f>
        <v>Railway Bridge - Higher</v>
      </c>
      <c r="I275" s="280">
        <f>'3. GRI Pricing'!K285</f>
        <v>1110</v>
      </c>
      <c r="J275" s="281">
        <f>'3. GRI Pricing'!O285</f>
        <v>90</v>
      </c>
      <c r="K275" s="281">
        <f>'3. GRI Pricing'!L285</f>
        <v>0</v>
      </c>
      <c r="L275" s="281">
        <f>'3. GRI Pricing'!P285</f>
        <v>30</v>
      </c>
      <c r="M275" s="281">
        <f>'3. GRI Pricing'!R285</f>
        <v>0</v>
      </c>
      <c r="N275" s="281">
        <f>'3. GRI Pricing'!S285</f>
        <v>70</v>
      </c>
      <c r="O275" s="281">
        <f>'3. GRI Pricing'!Q285</f>
        <v>0</v>
      </c>
      <c r="P275" s="281">
        <f>'3. GRI Pricing'!T285</f>
        <v>-50</v>
      </c>
      <c r="Q275" s="281">
        <f>'3. GRI Pricing'!U285</f>
        <v>0</v>
      </c>
      <c r="R275" s="281">
        <f>'3. GRI Pricing'!V285</f>
        <v>0</v>
      </c>
      <c r="S275" s="281">
        <f>'3. GRI Pricing'!W285</f>
        <v>0</v>
      </c>
      <c r="T275" s="281">
        <f>'3. GRI Pricing'!X285</f>
        <v>0</v>
      </c>
      <c r="U275" s="282">
        <f>'3. GRI Pricing'!Y285</f>
        <v>1260</v>
      </c>
    </row>
    <row r="276" spans="3:21" x14ac:dyDescent="0.2">
      <c r="C276" s="23" t="str">
        <f>'3. GRI Pricing'!C286</f>
        <v>705W</v>
      </c>
      <c r="D276" s="16" t="str">
        <f>'3. GRI Pricing'!D286</f>
        <v>2 Bed</v>
      </c>
      <c r="E276" s="16">
        <f>'3. GRI Pricing'!E286</f>
        <v>2</v>
      </c>
      <c r="F276" s="16">
        <f>'3. GRI Pricing'!F286</f>
        <v>657</v>
      </c>
      <c r="G276" s="16">
        <f>'3. GRI Pricing'!G286</f>
        <v>7</v>
      </c>
      <c r="H276" s="16" t="str">
        <f>'3. GRI Pricing'!H286</f>
        <v>River- Partial</v>
      </c>
      <c r="I276" s="280">
        <f>'3. GRI Pricing'!K286</f>
        <v>1110</v>
      </c>
      <c r="J276" s="281">
        <f>'3. GRI Pricing'!O286</f>
        <v>90</v>
      </c>
      <c r="K276" s="281">
        <f>'3. GRI Pricing'!L286</f>
        <v>0</v>
      </c>
      <c r="L276" s="281">
        <f>'3. GRI Pricing'!P286</f>
        <v>0</v>
      </c>
      <c r="M276" s="281">
        <f>'3. GRI Pricing'!R286</f>
        <v>0</v>
      </c>
      <c r="N276" s="281">
        <f>'3. GRI Pricing'!S286</f>
        <v>70</v>
      </c>
      <c r="O276" s="281">
        <f>'3. GRI Pricing'!Q286</f>
        <v>0</v>
      </c>
      <c r="P276" s="281">
        <f>'3. GRI Pricing'!T286</f>
        <v>-50</v>
      </c>
      <c r="Q276" s="281">
        <f>'3. GRI Pricing'!U286</f>
        <v>0</v>
      </c>
      <c r="R276" s="281">
        <f>'3. GRI Pricing'!V286</f>
        <v>0</v>
      </c>
      <c r="S276" s="281">
        <f>'3. GRI Pricing'!W286</f>
        <v>0</v>
      </c>
      <c r="T276" s="281">
        <f>'3. GRI Pricing'!X286</f>
        <v>0</v>
      </c>
      <c r="U276" s="282">
        <f>'3. GRI Pricing'!Y286</f>
        <v>1240</v>
      </c>
    </row>
    <row r="277" spans="3:21" x14ac:dyDescent="0.2">
      <c r="C277" s="23" t="str">
        <f>'3. GRI Pricing'!C287</f>
        <v>706W</v>
      </c>
      <c r="D277" s="16" t="str">
        <f>'3. GRI Pricing'!D287</f>
        <v>2 Bed</v>
      </c>
      <c r="E277" s="16">
        <f>'3. GRI Pricing'!E287</f>
        <v>2</v>
      </c>
      <c r="F277" s="16">
        <f>'3. GRI Pricing'!F287</f>
        <v>689</v>
      </c>
      <c r="G277" s="16">
        <f>'3. GRI Pricing'!G287</f>
        <v>7</v>
      </c>
      <c r="H277" s="16" t="str">
        <f>'3. GRI Pricing'!H287</f>
        <v>River- Partial</v>
      </c>
      <c r="I277" s="280">
        <f>'3. GRI Pricing'!K287</f>
        <v>1110</v>
      </c>
      <c r="J277" s="281">
        <f>'3. GRI Pricing'!O287</f>
        <v>90</v>
      </c>
      <c r="K277" s="281">
        <f>'3. GRI Pricing'!L287</f>
        <v>0</v>
      </c>
      <c r="L277" s="281">
        <f>'3. GRI Pricing'!P287</f>
        <v>0</v>
      </c>
      <c r="M277" s="281">
        <f>'3. GRI Pricing'!R287</f>
        <v>0</v>
      </c>
      <c r="N277" s="281">
        <f>'3. GRI Pricing'!S287</f>
        <v>70</v>
      </c>
      <c r="O277" s="281">
        <f>'3. GRI Pricing'!Q287</f>
        <v>0</v>
      </c>
      <c r="P277" s="281">
        <f>'3. GRI Pricing'!T287</f>
        <v>-50</v>
      </c>
      <c r="Q277" s="281">
        <f>'3. GRI Pricing'!U287</f>
        <v>0</v>
      </c>
      <c r="R277" s="281">
        <f>'3. GRI Pricing'!V287</f>
        <v>0</v>
      </c>
      <c r="S277" s="281">
        <f>'3. GRI Pricing'!W287</f>
        <v>0</v>
      </c>
      <c r="T277" s="281">
        <f>'3. GRI Pricing'!X287</f>
        <v>0</v>
      </c>
      <c r="U277" s="282">
        <f>'3. GRI Pricing'!Y287</f>
        <v>1285</v>
      </c>
    </row>
    <row r="278" spans="3:21" x14ac:dyDescent="0.2">
      <c r="C278" s="23" t="str">
        <f>'3. GRI Pricing'!C288</f>
        <v>707W</v>
      </c>
      <c r="D278" s="16" t="str">
        <f>'3. GRI Pricing'!D288</f>
        <v>2 Bed</v>
      </c>
      <c r="E278" s="16">
        <f>'3. GRI Pricing'!E288</f>
        <v>2</v>
      </c>
      <c r="F278" s="16">
        <f>'3. GRI Pricing'!F288</f>
        <v>678</v>
      </c>
      <c r="G278" s="16">
        <f>'3. GRI Pricing'!G288</f>
        <v>7</v>
      </c>
      <c r="H278" s="16" t="str">
        <f>'3. GRI Pricing'!H288</f>
        <v>Railway Bridge - Higher</v>
      </c>
      <c r="I278" s="280">
        <f>'3. GRI Pricing'!K288</f>
        <v>1110</v>
      </c>
      <c r="J278" s="281">
        <f>'3. GRI Pricing'!O288</f>
        <v>90</v>
      </c>
      <c r="K278" s="281">
        <f>'3. GRI Pricing'!L288</f>
        <v>0</v>
      </c>
      <c r="L278" s="281">
        <f>'3. GRI Pricing'!P288</f>
        <v>30</v>
      </c>
      <c r="M278" s="281">
        <f>'3. GRI Pricing'!R288</f>
        <v>0</v>
      </c>
      <c r="N278" s="281">
        <f>'3. GRI Pricing'!S288</f>
        <v>70</v>
      </c>
      <c r="O278" s="281">
        <f>'3. GRI Pricing'!Q288</f>
        <v>0</v>
      </c>
      <c r="P278" s="281">
        <f>'3. GRI Pricing'!T288</f>
        <v>-50</v>
      </c>
      <c r="Q278" s="281">
        <f>'3. GRI Pricing'!U288</f>
        <v>0</v>
      </c>
      <c r="R278" s="281">
        <f>'3. GRI Pricing'!V288</f>
        <v>0</v>
      </c>
      <c r="S278" s="281">
        <f>'3. GRI Pricing'!W288</f>
        <v>0</v>
      </c>
      <c r="T278" s="281">
        <f>'3. GRI Pricing'!X288</f>
        <v>0</v>
      </c>
      <c r="U278" s="282">
        <f>'3. GRI Pricing'!Y288</f>
        <v>1290</v>
      </c>
    </row>
    <row r="279" spans="3:21" x14ac:dyDescent="0.2">
      <c r="C279" s="23" t="str">
        <f>'3. GRI Pricing'!C289</f>
        <v>708W</v>
      </c>
      <c r="D279" s="16" t="str">
        <f>'3. GRI Pricing'!D289</f>
        <v>1 Bed</v>
      </c>
      <c r="E279" s="16">
        <f>'3. GRI Pricing'!E289</f>
        <v>1</v>
      </c>
      <c r="F279" s="16">
        <f>'3. GRI Pricing'!F289</f>
        <v>527</v>
      </c>
      <c r="G279" s="16">
        <f>'3. GRI Pricing'!G289</f>
        <v>7</v>
      </c>
      <c r="H279" s="16" t="str">
        <f>'3. GRI Pricing'!H289</f>
        <v>Railway Bridge - Higher</v>
      </c>
      <c r="I279" s="280">
        <f>'3. GRI Pricing'!K289</f>
        <v>845</v>
      </c>
      <c r="J279" s="281">
        <f>'3. GRI Pricing'!O289</f>
        <v>90</v>
      </c>
      <c r="K279" s="281">
        <f>'3. GRI Pricing'!L289</f>
        <v>0</v>
      </c>
      <c r="L279" s="281">
        <f>'3. GRI Pricing'!P289</f>
        <v>30</v>
      </c>
      <c r="M279" s="281">
        <f>'3. GRI Pricing'!R289</f>
        <v>0</v>
      </c>
      <c r="N279" s="281">
        <f>'3. GRI Pricing'!S289</f>
        <v>70</v>
      </c>
      <c r="O279" s="281">
        <f>'3. GRI Pricing'!Q289</f>
        <v>0</v>
      </c>
      <c r="P279" s="281">
        <f>'3. GRI Pricing'!T289</f>
        <v>-50</v>
      </c>
      <c r="Q279" s="281">
        <f>'3. GRI Pricing'!U289</f>
        <v>0</v>
      </c>
      <c r="R279" s="281">
        <f>'3. GRI Pricing'!V289</f>
        <v>0</v>
      </c>
      <c r="S279" s="281">
        <f>'3. GRI Pricing'!W289</f>
        <v>0</v>
      </c>
      <c r="T279" s="281">
        <f>'3. GRI Pricing'!X289</f>
        <v>0</v>
      </c>
      <c r="U279" s="282">
        <f>'3. GRI Pricing'!Y289</f>
        <v>1005</v>
      </c>
    </row>
    <row r="280" spans="3:21" x14ac:dyDescent="0.2">
      <c r="C280" s="23" t="str">
        <f>'3. GRI Pricing'!C290</f>
        <v>709W</v>
      </c>
      <c r="D280" s="16" t="str">
        <f>'3. GRI Pricing'!D290</f>
        <v>3 Bed</v>
      </c>
      <c r="E280" s="16">
        <f>'3. GRI Pricing'!E290</f>
        <v>2</v>
      </c>
      <c r="F280" s="16">
        <f>'3. GRI Pricing'!F290</f>
        <v>840</v>
      </c>
      <c r="G280" s="16">
        <f>'3. GRI Pricing'!G290</f>
        <v>7</v>
      </c>
      <c r="H280" s="16" t="str">
        <f>'3. GRI Pricing'!H290</f>
        <v>Railway Bridge - Higher</v>
      </c>
      <c r="I280" s="280">
        <f>'3. GRI Pricing'!K290</f>
        <v>1485</v>
      </c>
      <c r="J280" s="281">
        <f>'3. GRI Pricing'!O290</f>
        <v>90</v>
      </c>
      <c r="K280" s="281">
        <f>'3. GRI Pricing'!L290</f>
        <v>0</v>
      </c>
      <c r="L280" s="281">
        <f>'3. GRI Pricing'!P290</f>
        <v>30</v>
      </c>
      <c r="M280" s="281">
        <f>'3. GRI Pricing'!R290</f>
        <v>0</v>
      </c>
      <c r="N280" s="281">
        <f>'3. GRI Pricing'!S290</f>
        <v>70</v>
      </c>
      <c r="O280" s="281">
        <f>'3. GRI Pricing'!Q290</f>
        <v>0</v>
      </c>
      <c r="P280" s="281">
        <f>'3. GRI Pricing'!T290</f>
        <v>-50</v>
      </c>
      <c r="Q280" s="281">
        <f>'3. GRI Pricing'!U290</f>
        <v>0</v>
      </c>
      <c r="R280" s="281">
        <f>'3. GRI Pricing'!V290</f>
        <v>0</v>
      </c>
      <c r="S280" s="281">
        <f>'3. GRI Pricing'!W290</f>
        <v>0</v>
      </c>
      <c r="T280" s="281">
        <f>'3. GRI Pricing'!X290</f>
        <v>0</v>
      </c>
      <c r="U280" s="282">
        <f>'3. GRI Pricing'!Y290</f>
        <v>1695</v>
      </c>
    </row>
    <row r="281" spans="3:21" x14ac:dyDescent="0.2">
      <c r="C281" s="23" t="str">
        <f>'3. GRI Pricing'!C291</f>
        <v>801W</v>
      </c>
      <c r="D281" s="16" t="str">
        <f>'3. GRI Pricing'!D291</f>
        <v>3 Bed</v>
      </c>
      <c r="E281" s="16">
        <f>'3. GRI Pricing'!E291</f>
        <v>2</v>
      </c>
      <c r="F281" s="16">
        <f>'3. GRI Pricing'!F291</f>
        <v>840</v>
      </c>
      <c r="G281" s="16">
        <f>'3. GRI Pricing'!G291</f>
        <v>8</v>
      </c>
      <c r="H281" s="16" t="str">
        <f>'3. GRI Pricing'!H291</f>
        <v>Railway Bridge - Higher</v>
      </c>
      <c r="I281" s="280">
        <f>'3. GRI Pricing'!K291</f>
        <v>1485</v>
      </c>
      <c r="J281" s="281">
        <f>'3. GRI Pricing'!O291</f>
        <v>100</v>
      </c>
      <c r="K281" s="281">
        <f>'3. GRI Pricing'!L291</f>
        <v>0</v>
      </c>
      <c r="L281" s="281">
        <f>'3. GRI Pricing'!P291</f>
        <v>30</v>
      </c>
      <c r="M281" s="281">
        <f>'3. GRI Pricing'!R291</f>
        <v>0</v>
      </c>
      <c r="N281" s="281">
        <f>'3. GRI Pricing'!S291</f>
        <v>70</v>
      </c>
      <c r="O281" s="281">
        <f>'3. GRI Pricing'!Q291</f>
        <v>0</v>
      </c>
      <c r="P281" s="281">
        <f>'3. GRI Pricing'!T291</f>
        <v>0</v>
      </c>
      <c r="Q281" s="281">
        <f>'3. GRI Pricing'!U291</f>
        <v>0</v>
      </c>
      <c r="R281" s="281">
        <f>'3. GRI Pricing'!V291</f>
        <v>0</v>
      </c>
      <c r="S281" s="281">
        <f>'3. GRI Pricing'!W291</f>
        <v>0</v>
      </c>
      <c r="T281" s="281">
        <f>'3. GRI Pricing'!X291</f>
        <v>0</v>
      </c>
      <c r="U281" s="282">
        <f>'3. GRI Pricing'!Y291</f>
        <v>1755</v>
      </c>
    </row>
    <row r="282" spans="3:21" x14ac:dyDescent="0.2">
      <c r="C282" s="23" t="str">
        <f>'3. GRI Pricing'!C292</f>
        <v>802W</v>
      </c>
      <c r="D282" s="16" t="str">
        <f>'3. GRI Pricing'!D292</f>
        <v>1 Bed</v>
      </c>
      <c r="E282" s="16">
        <f>'3. GRI Pricing'!E292</f>
        <v>1</v>
      </c>
      <c r="F282" s="16">
        <f>'3. GRI Pricing'!F292</f>
        <v>495</v>
      </c>
      <c r="G282" s="16">
        <f>'3. GRI Pricing'!G292</f>
        <v>8</v>
      </c>
      <c r="H282" s="16" t="str">
        <f>'3. GRI Pricing'!H292</f>
        <v>Cityscape</v>
      </c>
      <c r="I282" s="280">
        <f>'3. GRI Pricing'!K292</f>
        <v>845</v>
      </c>
      <c r="J282" s="281">
        <f>'3. GRI Pricing'!O292</f>
        <v>100</v>
      </c>
      <c r="K282" s="281">
        <f>'3. GRI Pricing'!L292</f>
        <v>0</v>
      </c>
      <c r="L282" s="281">
        <f>'3. GRI Pricing'!P292</f>
        <v>35</v>
      </c>
      <c r="M282" s="281">
        <f>'3. GRI Pricing'!R292</f>
        <v>0</v>
      </c>
      <c r="N282" s="281">
        <f>'3. GRI Pricing'!S292</f>
        <v>70</v>
      </c>
      <c r="O282" s="281">
        <f>'3. GRI Pricing'!Q292</f>
        <v>0</v>
      </c>
      <c r="P282" s="281">
        <f>'3. GRI Pricing'!T292</f>
        <v>0</v>
      </c>
      <c r="Q282" s="281">
        <f>'3. GRI Pricing'!U292</f>
        <v>0</v>
      </c>
      <c r="R282" s="281">
        <f>'3. GRI Pricing'!V292</f>
        <v>0</v>
      </c>
      <c r="S282" s="281">
        <f>'3. GRI Pricing'!W292</f>
        <v>0</v>
      </c>
      <c r="T282" s="281">
        <f>'3. GRI Pricing'!X292</f>
        <v>0</v>
      </c>
      <c r="U282" s="282">
        <f>'3. GRI Pricing'!Y292</f>
        <v>1065</v>
      </c>
    </row>
    <row r="283" spans="3:21" x14ac:dyDescent="0.2">
      <c r="C283" s="23" t="str">
        <f>'3. GRI Pricing'!C293</f>
        <v>803W</v>
      </c>
      <c r="D283" s="16" t="str">
        <f>'3. GRI Pricing'!D293</f>
        <v>1 Bed</v>
      </c>
      <c r="E283" s="16">
        <f>'3. GRI Pricing'!E293</f>
        <v>1</v>
      </c>
      <c r="F283" s="16">
        <f>'3. GRI Pricing'!F293</f>
        <v>506</v>
      </c>
      <c r="G283" s="16">
        <f>'3. GRI Pricing'!G293</f>
        <v>8</v>
      </c>
      <c r="H283" s="16" t="str">
        <f>'3. GRI Pricing'!H293</f>
        <v>Railway Bridge - Higher</v>
      </c>
      <c r="I283" s="280">
        <f>'3. GRI Pricing'!K293</f>
        <v>845</v>
      </c>
      <c r="J283" s="281">
        <f>'3. GRI Pricing'!O293</f>
        <v>100</v>
      </c>
      <c r="K283" s="281">
        <f>'3. GRI Pricing'!L293</f>
        <v>0</v>
      </c>
      <c r="L283" s="281">
        <f>'3. GRI Pricing'!P293</f>
        <v>30</v>
      </c>
      <c r="M283" s="281">
        <f>'3. GRI Pricing'!R293</f>
        <v>0</v>
      </c>
      <c r="N283" s="281">
        <f>'3. GRI Pricing'!S293</f>
        <v>70</v>
      </c>
      <c r="O283" s="281">
        <f>'3. GRI Pricing'!Q293</f>
        <v>0</v>
      </c>
      <c r="P283" s="281">
        <f>'3. GRI Pricing'!T293</f>
        <v>0</v>
      </c>
      <c r="Q283" s="281">
        <f>'3. GRI Pricing'!U293</f>
        <v>0</v>
      </c>
      <c r="R283" s="281">
        <f>'3. GRI Pricing'!V293</f>
        <v>0</v>
      </c>
      <c r="S283" s="281">
        <f>'3. GRI Pricing'!W293</f>
        <v>0</v>
      </c>
      <c r="T283" s="281">
        <f>'3. GRI Pricing'!X293</f>
        <v>0</v>
      </c>
      <c r="U283" s="282">
        <f>'3. GRI Pricing'!Y293</f>
        <v>1060</v>
      </c>
    </row>
    <row r="284" spans="3:21" x14ac:dyDescent="0.2">
      <c r="C284" s="23" t="str">
        <f>'3. GRI Pricing'!C294</f>
        <v>804W</v>
      </c>
      <c r="D284" s="16" t="str">
        <f>'3. GRI Pricing'!D294</f>
        <v>2 Bed</v>
      </c>
      <c r="E284" s="16">
        <f>'3. GRI Pricing'!E294</f>
        <v>2</v>
      </c>
      <c r="F284" s="16">
        <f>'3. GRI Pricing'!F294</f>
        <v>624</v>
      </c>
      <c r="G284" s="16">
        <f>'3. GRI Pricing'!G294</f>
        <v>8</v>
      </c>
      <c r="H284" s="16" t="str">
        <f>'3. GRI Pricing'!H294</f>
        <v>Railway Bridge - Higher</v>
      </c>
      <c r="I284" s="280">
        <f>'3. GRI Pricing'!K294</f>
        <v>1110</v>
      </c>
      <c r="J284" s="281">
        <f>'3. GRI Pricing'!O294</f>
        <v>100</v>
      </c>
      <c r="K284" s="281">
        <f>'3. GRI Pricing'!L294</f>
        <v>0</v>
      </c>
      <c r="L284" s="281">
        <f>'3. GRI Pricing'!P294</f>
        <v>30</v>
      </c>
      <c r="M284" s="281">
        <f>'3. GRI Pricing'!R294</f>
        <v>0</v>
      </c>
      <c r="N284" s="281">
        <f>'3. GRI Pricing'!S294</f>
        <v>70</v>
      </c>
      <c r="O284" s="281">
        <f>'3. GRI Pricing'!Q294</f>
        <v>0</v>
      </c>
      <c r="P284" s="281">
        <f>'3. GRI Pricing'!T294</f>
        <v>0</v>
      </c>
      <c r="Q284" s="281">
        <f>'3. GRI Pricing'!U294</f>
        <v>0</v>
      </c>
      <c r="R284" s="281">
        <f>'3. GRI Pricing'!V294</f>
        <v>0</v>
      </c>
      <c r="S284" s="281">
        <f>'3. GRI Pricing'!W294</f>
        <v>0</v>
      </c>
      <c r="T284" s="281">
        <f>'3. GRI Pricing'!X294</f>
        <v>0</v>
      </c>
      <c r="U284" s="282">
        <f>'3. GRI Pricing'!Y294</f>
        <v>1320</v>
      </c>
    </row>
    <row r="285" spans="3:21" x14ac:dyDescent="0.2">
      <c r="C285" s="23" t="str">
        <f>'3. GRI Pricing'!C295</f>
        <v>805W</v>
      </c>
      <c r="D285" s="16" t="str">
        <f>'3. GRI Pricing'!D295</f>
        <v>2 Bed</v>
      </c>
      <c r="E285" s="16">
        <f>'3. GRI Pricing'!E295</f>
        <v>2</v>
      </c>
      <c r="F285" s="16">
        <f>'3. GRI Pricing'!F295</f>
        <v>657</v>
      </c>
      <c r="G285" s="16">
        <f>'3. GRI Pricing'!G295</f>
        <v>8</v>
      </c>
      <c r="H285" s="16" t="str">
        <f>'3. GRI Pricing'!H295</f>
        <v>River- Partial</v>
      </c>
      <c r="I285" s="280">
        <f>'3. GRI Pricing'!K295</f>
        <v>1110</v>
      </c>
      <c r="J285" s="281">
        <f>'3. GRI Pricing'!O295</f>
        <v>100</v>
      </c>
      <c r="K285" s="281">
        <f>'3. GRI Pricing'!L295</f>
        <v>0</v>
      </c>
      <c r="L285" s="281">
        <f>'3. GRI Pricing'!P295</f>
        <v>0</v>
      </c>
      <c r="M285" s="281">
        <f>'3. GRI Pricing'!R295</f>
        <v>0</v>
      </c>
      <c r="N285" s="281">
        <f>'3. GRI Pricing'!S295</f>
        <v>70</v>
      </c>
      <c r="O285" s="281">
        <f>'3. GRI Pricing'!Q295</f>
        <v>0</v>
      </c>
      <c r="P285" s="281">
        <f>'3. GRI Pricing'!T295</f>
        <v>0</v>
      </c>
      <c r="Q285" s="281">
        <f>'3. GRI Pricing'!U295</f>
        <v>0</v>
      </c>
      <c r="R285" s="281">
        <f>'3. GRI Pricing'!V295</f>
        <v>0</v>
      </c>
      <c r="S285" s="281">
        <f>'3. GRI Pricing'!W295</f>
        <v>0</v>
      </c>
      <c r="T285" s="281">
        <f>'3. GRI Pricing'!X295</f>
        <v>0</v>
      </c>
      <c r="U285" s="282">
        <f>'3. GRI Pricing'!Y295</f>
        <v>1300</v>
      </c>
    </row>
    <row r="286" spans="3:21" x14ac:dyDescent="0.2">
      <c r="C286" s="23" t="str">
        <f>'3. GRI Pricing'!C296</f>
        <v>806W</v>
      </c>
      <c r="D286" s="16" t="str">
        <f>'3. GRI Pricing'!D296</f>
        <v>2 Bed</v>
      </c>
      <c r="E286" s="16">
        <f>'3. GRI Pricing'!E296</f>
        <v>2</v>
      </c>
      <c r="F286" s="16">
        <f>'3. GRI Pricing'!F296</f>
        <v>689</v>
      </c>
      <c r="G286" s="16">
        <f>'3. GRI Pricing'!G296</f>
        <v>8</v>
      </c>
      <c r="H286" s="16" t="str">
        <f>'3. GRI Pricing'!H296</f>
        <v>River- Partial</v>
      </c>
      <c r="I286" s="280">
        <f>'3. GRI Pricing'!K296</f>
        <v>1110</v>
      </c>
      <c r="J286" s="281">
        <f>'3. GRI Pricing'!O296</f>
        <v>100</v>
      </c>
      <c r="K286" s="281">
        <f>'3. GRI Pricing'!L296</f>
        <v>0</v>
      </c>
      <c r="L286" s="281">
        <f>'3. GRI Pricing'!P296</f>
        <v>0</v>
      </c>
      <c r="M286" s="281">
        <f>'3. GRI Pricing'!R296</f>
        <v>0</v>
      </c>
      <c r="N286" s="281">
        <f>'3. GRI Pricing'!S296</f>
        <v>70</v>
      </c>
      <c r="O286" s="281">
        <f>'3. GRI Pricing'!Q296</f>
        <v>0</v>
      </c>
      <c r="P286" s="281">
        <f>'3. GRI Pricing'!T296</f>
        <v>0</v>
      </c>
      <c r="Q286" s="281">
        <f>'3. GRI Pricing'!U296</f>
        <v>0</v>
      </c>
      <c r="R286" s="281">
        <f>'3. GRI Pricing'!V296</f>
        <v>0</v>
      </c>
      <c r="S286" s="281">
        <f>'3. GRI Pricing'!W296</f>
        <v>0</v>
      </c>
      <c r="T286" s="281">
        <f>'3. GRI Pricing'!X296</f>
        <v>0</v>
      </c>
      <c r="U286" s="282">
        <f>'3. GRI Pricing'!Y296</f>
        <v>1345</v>
      </c>
    </row>
    <row r="287" spans="3:21" x14ac:dyDescent="0.2">
      <c r="C287" s="23" t="str">
        <f>'3. GRI Pricing'!C297</f>
        <v>807W</v>
      </c>
      <c r="D287" s="16" t="str">
        <f>'3. GRI Pricing'!D297</f>
        <v>2 Bed</v>
      </c>
      <c r="E287" s="16">
        <f>'3. GRI Pricing'!E297</f>
        <v>2</v>
      </c>
      <c r="F287" s="16">
        <f>'3. GRI Pricing'!F297</f>
        <v>678</v>
      </c>
      <c r="G287" s="16">
        <f>'3. GRI Pricing'!G297</f>
        <v>8</v>
      </c>
      <c r="H287" s="16" t="str">
        <f>'3. GRI Pricing'!H297</f>
        <v>Railway Bridge - Higher</v>
      </c>
      <c r="I287" s="280">
        <f>'3. GRI Pricing'!K297</f>
        <v>1110</v>
      </c>
      <c r="J287" s="281">
        <f>'3. GRI Pricing'!O297</f>
        <v>100</v>
      </c>
      <c r="K287" s="281">
        <f>'3. GRI Pricing'!L297</f>
        <v>0</v>
      </c>
      <c r="L287" s="281">
        <f>'3. GRI Pricing'!P297</f>
        <v>30</v>
      </c>
      <c r="M287" s="281">
        <f>'3. GRI Pricing'!R297</f>
        <v>0</v>
      </c>
      <c r="N287" s="281">
        <f>'3. GRI Pricing'!S297</f>
        <v>70</v>
      </c>
      <c r="O287" s="281">
        <f>'3. GRI Pricing'!Q297</f>
        <v>0</v>
      </c>
      <c r="P287" s="281">
        <f>'3. GRI Pricing'!T297</f>
        <v>0</v>
      </c>
      <c r="Q287" s="281">
        <f>'3. GRI Pricing'!U297</f>
        <v>0</v>
      </c>
      <c r="R287" s="281">
        <f>'3. GRI Pricing'!V297</f>
        <v>0</v>
      </c>
      <c r="S287" s="281">
        <f>'3. GRI Pricing'!W297</f>
        <v>0</v>
      </c>
      <c r="T287" s="281">
        <f>'3. GRI Pricing'!X297</f>
        <v>0</v>
      </c>
      <c r="U287" s="282">
        <f>'3. GRI Pricing'!Y297</f>
        <v>1350</v>
      </c>
    </row>
    <row r="288" spans="3:21" x14ac:dyDescent="0.2">
      <c r="C288" s="23" t="str">
        <f>'3. GRI Pricing'!C298</f>
        <v>808W</v>
      </c>
      <c r="D288" s="16" t="str">
        <f>'3. GRI Pricing'!D298</f>
        <v>1 Bed</v>
      </c>
      <c r="E288" s="16">
        <f>'3. GRI Pricing'!E298</f>
        <v>1</v>
      </c>
      <c r="F288" s="16">
        <f>'3. GRI Pricing'!F298</f>
        <v>527</v>
      </c>
      <c r="G288" s="16">
        <f>'3. GRI Pricing'!G298</f>
        <v>8</v>
      </c>
      <c r="H288" s="16" t="str">
        <f>'3. GRI Pricing'!H298</f>
        <v>Railway Bridge - Higher</v>
      </c>
      <c r="I288" s="280">
        <f>'3. GRI Pricing'!K298</f>
        <v>845</v>
      </c>
      <c r="J288" s="281">
        <f>'3. GRI Pricing'!O298</f>
        <v>100</v>
      </c>
      <c r="K288" s="281">
        <f>'3. GRI Pricing'!L298</f>
        <v>0</v>
      </c>
      <c r="L288" s="281">
        <f>'3. GRI Pricing'!P298</f>
        <v>30</v>
      </c>
      <c r="M288" s="281">
        <f>'3. GRI Pricing'!R298</f>
        <v>0</v>
      </c>
      <c r="N288" s="281">
        <f>'3. GRI Pricing'!S298</f>
        <v>70</v>
      </c>
      <c r="O288" s="281">
        <f>'3. GRI Pricing'!Q298</f>
        <v>0</v>
      </c>
      <c r="P288" s="281">
        <f>'3. GRI Pricing'!T298</f>
        <v>0</v>
      </c>
      <c r="Q288" s="281">
        <f>'3. GRI Pricing'!U298</f>
        <v>0</v>
      </c>
      <c r="R288" s="281">
        <f>'3. GRI Pricing'!V298</f>
        <v>0</v>
      </c>
      <c r="S288" s="281">
        <f>'3. GRI Pricing'!W298</f>
        <v>0</v>
      </c>
      <c r="T288" s="281">
        <f>'3. GRI Pricing'!X298</f>
        <v>0</v>
      </c>
      <c r="U288" s="282">
        <f>'3. GRI Pricing'!Y298</f>
        <v>1065</v>
      </c>
    </row>
    <row r="289" spans="3:21" x14ac:dyDescent="0.2">
      <c r="C289" s="23" t="str">
        <f>'3. GRI Pricing'!C299</f>
        <v>809W</v>
      </c>
      <c r="D289" s="16" t="str">
        <f>'3. GRI Pricing'!D299</f>
        <v>3 Bed</v>
      </c>
      <c r="E289" s="16">
        <f>'3. GRI Pricing'!E299</f>
        <v>2</v>
      </c>
      <c r="F289" s="16">
        <f>'3. GRI Pricing'!F299</f>
        <v>840</v>
      </c>
      <c r="G289" s="16">
        <f>'3. GRI Pricing'!G299</f>
        <v>8</v>
      </c>
      <c r="H289" s="16" t="str">
        <f>'3. GRI Pricing'!H299</f>
        <v>Railway Bridge - Higher</v>
      </c>
      <c r="I289" s="280">
        <f>'3. GRI Pricing'!K299</f>
        <v>1485</v>
      </c>
      <c r="J289" s="281">
        <f>'3. GRI Pricing'!O299</f>
        <v>100</v>
      </c>
      <c r="K289" s="281">
        <f>'3. GRI Pricing'!L299</f>
        <v>0</v>
      </c>
      <c r="L289" s="281">
        <f>'3. GRI Pricing'!P299</f>
        <v>30</v>
      </c>
      <c r="M289" s="281">
        <f>'3. GRI Pricing'!R299</f>
        <v>0</v>
      </c>
      <c r="N289" s="281">
        <f>'3. GRI Pricing'!S299</f>
        <v>70</v>
      </c>
      <c r="O289" s="281">
        <f>'3. GRI Pricing'!Q299</f>
        <v>0</v>
      </c>
      <c r="P289" s="281">
        <f>'3. GRI Pricing'!T299</f>
        <v>0</v>
      </c>
      <c r="Q289" s="281">
        <f>'3. GRI Pricing'!U299</f>
        <v>0</v>
      </c>
      <c r="R289" s="281">
        <f>'3. GRI Pricing'!V299</f>
        <v>0</v>
      </c>
      <c r="S289" s="281">
        <f>'3. GRI Pricing'!W299</f>
        <v>0</v>
      </c>
      <c r="T289" s="281">
        <f>'3. GRI Pricing'!X299</f>
        <v>0</v>
      </c>
      <c r="U289" s="282">
        <f>'3. GRI Pricing'!Y299</f>
        <v>1755</v>
      </c>
    </row>
    <row r="290" spans="3:21" x14ac:dyDescent="0.2">
      <c r="C290" s="23">
        <f>'3. GRI Pricing'!C300</f>
        <v>0</v>
      </c>
      <c r="D290" s="16">
        <f>'3. GRI Pricing'!D300</f>
        <v>0</v>
      </c>
      <c r="E290" s="16">
        <f>'3. GRI Pricing'!E300</f>
        <v>0</v>
      </c>
      <c r="F290" s="16">
        <f>'3. GRI Pricing'!F300</f>
        <v>0</v>
      </c>
      <c r="G290" s="16">
        <f>'3. GRI Pricing'!G300</f>
        <v>0</v>
      </c>
      <c r="H290" s="16">
        <f>'3. GRI Pricing'!H300</f>
        <v>0</v>
      </c>
      <c r="I290" s="280">
        <f>'3. GRI Pricing'!K300</f>
        <v>0</v>
      </c>
      <c r="J290" s="281">
        <f>'3. GRI Pricing'!O300</f>
        <v>0</v>
      </c>
      <c r="K290" s="281">
        <f>'3. GRI Pricing'!L300</f>
        <v>0</v>
      </c>
      <c r="L290" s="281">
        <f>'3. GRI Pricing'!P300</f>
        <v>0</v>
      </c>
      <c r="M290" s="281">
        <f>'3. GRI Pricing'!R300</f>
        <v>0</v>
      </c>
      <c r="N290" s="281">
        <f>'3. GRI Pricing'!S300</f>
        <v>0</v>
      </c>
      <c r="O290" s="281">
        <f>'3. GRI Pricing'!Q300</f>
        <v>0</v>
      </c>
      <c r="P290" s="281">
        <f>'3. GRI Pricing'!T300</f>
        <v>0</v>
      </c>
      <c r="Q290" s="281">
        <f>'3. GRI Pricing'!U300</f>
        <v>0</v>
      </c>
      <c r="R290" s="281">
        <f>'3. GRI Pricing'!V300</f>
        <v>0</v>
      </c>
      <c r="S290" s="281">
        <f>'3. GRI Pricing'!W300</f>
        <v>0</v>
      </c>
      <c r="T290" s="281">
        <f>'3. GRI Pricing'!X300</f>
        <v>0</v>
      </c>
      <c r="U290" s="282">
        <f>'3. GRI Pricing'!Y300</f>
        <v>0</v>
      </c>
    </row>
    <row r="291" spans="3:21" x14ac:dyDescent="0.2">
      <c r="C291" s="23">
        <f>'3. GRI Pricing'!C301</f>
        <v>0</v>
      </c>
      <c r="D291" s="16">
        <f>'3. GRI Pricing'!D301</f>
        <v>0</v>
      </c>
      <c r="E291" s="16">
        <f>'3. GRI Pricing'!E301</f>
        <v>0</v>
      </c>
      <c r="F291" s="16">
        <f>'3. GRI Pricing'!F301</f>
        <v>0</v>
      </c>
      <c r="G291" s="16">
        <f>'3. GRI Pricing'!G301</f>
        <v>0</v>
      </c>
      <c r="H291" s="16">
        <f>'3. GRI Pricing'!H301</f>
        <v>0</v>
      </c>
      <c r="I291" s="280">
        <f>'3. GRI Pricing'!K301</f>
        <v>0</v>
      </c>
      <c r="J291" s="281">
        <f>'3. GRI Pricing'!O301</f>
        <v>0</v>
      </c>
      <c r="K291" s="281">
        <f>'3. GRI Pricing'!L301</f>
        <v>0</v>
      </c>
      <c r="L291" s="281">
        <f>'3. GRI Pricing'!P301</f>
        <v>0</v>
      </c>
      <c r="M291" s="281">
        <f>'3. GRI Pricing'!R301</f>
        <v>0</v>
      </c>
      <c r="N291" s="281">
        <f>'3. GRI Pricing'!S301</f>
        <v>0</v>
      </c>
      <c r="O291" s="281">
        <f>'3. GRI Pricing'!Q301</f>
        <v>0</v>
      </c>
      <c r="P291" s="281">
        <f>'3. GRI Pricing'!T301</f>
        <v>0</v>
      </c>
      <c r="Q291" s="281">
        <f>'3. GRI Pricing'!U301</f>
        <v>0</v>
      </c>
      <c r="R291" s="281">
        <f>'3. GRI Pricing'!V301</f>
        <v>0</v>
      </c>
      <c r="S291" s="281">
        <f>'3. GRI Pricing'!W301</f>
        <v>0</v>
      </c>
      <c r="T291" s="281">
        <f>'3. GRI Pricing'!X301</f>
        <v>0</v>
      </c>
      <c r="U291" s="282">
        <f>'3. GRI Pricing'!Y301</f>
        <v>0</v>
      </c>
    </row>
    <row r="292" spans="3:21" x14ac:dyDescent="0.2">
      <c r="C292" s="23">
        <f>'3. GRI Pricing'!C302</f>
        <v>0</v>
      </c>
      <c r="D292" s="16">
        <f>'3. GRI Pricing'!D302</f>
        <v>0</v>
      </c>
      <c r="E292" s="16">
        <f>'3. GRI Pricing'!E302</f>
        <v>0</v>
      </c>
      <c r="F292" s="16">
        <f>'3. GRI Pricing'!F302</f>
        <v>0</v>
      </c>
      <c r="G292" s="16">
        <f>'3. GRI Pricing'!G302</f>
        <v>0</v>
      </c>
      <c r="H292" s="16">
        <f>'3. GRI Pricing'!H302</f>
        <v>0</v>
      </c>
      <c r="I292" s="280">
        <f>'3. GRI Pricing'!K302</f>
        <v>0</v>
      </c>
      <c r="J292" s="281">
        <f>'3. GRI Pricing'!O302</f>
        <v>0</v>
      </c>
      <c r="K292" s="281">
        <f>'3. GRI Pricing'!L302</f>
        <v>0</v>
      </c>
      <c r="L292" s="281">
        <f>'3. GRI Pricing'!P302</f>
        <v>0</v>
      </c>
      <c r="M292" s="281">
        <f>'3. GRI Pricing'!R302</f>
        <v>0</v>
      </c>
      <c r="N292" s="281">
        <f>'3. GRI Pricing'!S302</f>
        <v>0</v>
      </c>
      <c r="O292" s="281">
        <f>'3. GRI Pricing'!Q302</f>
        <v>0</v>
      </c>
      <c r="P292" s="281">
        <f>'3. GRI Pricing'!T302</f>
        <v>0</v>
      </c>
      <c r="Q292" s="281">
        <f>'3. GRI Pricing'!U302</f>
        <v>0</v>
      </c>
      <c r="R292" s="281">
        <f>'3. GRI Pricing'!V302</f>
        <v>0</v>
      </c>
      <c r="S292" s="281">
        <f>'3. GRI Pricing'!W302</f>
        <v>0</v>
      </c>
      <c r="T292" s="281">
        <f>'3. GRI Pricing'!X302</f>
        <v>0</v>
      </c>
      <c r="U292" s="282">
        <f>'3. GRI Pricing'!Y302</f>
        <v>0</v>
      </c>
    </row>
    <row r="293" spans="3:21" x14ac:dyDescent="0.2">
      <c r="C293" s="23">
        <f>'3. GRI Pricing'!C303</f>
        <v>0</v>
      </c>
      <c r="D293" s="16">
        <f>'3. GRI Pricing'!D303</f>
        <v>0</v>
      </c>
      <c r="E293" s="16">
        <f>'3. GRI Pricing'!E303</f>
        <v>0</v>
      </c>
      <c r="F293" s="16">
        <f>'3. GRI Pricing'!F303</f>
        <v>0</v>
      </c>
      <c r="G293" s="16">
        <f>'3. GRI Pricing'!G303</f>
        <v>0</v>
      </c>
      <c r="H293" s="16">
        <f>'3. GRI Pricing'!H303</f>
        <v>0</v>
      </c>
      <c r="I293" s="280">
        <f>'3. GRI Pricing'!K303</f>
        <v>0</v>
      </c>
      <c r="J293" s="281">
        <f>'3. GRI Pricing'!O303</f>
        <v>0</v>
      </c>
      <c r="K293" s="281">
        <f>'3. GRI Pricing'!L303</f>
        <v>0</v>
      </c>
      <c r="L293" s="281">
        <f>'3. GRI Pricing'!P303</f>
        <v>0</v>
      </c>
      <c r="M293" s="281">
        <f>'3. GRI Pricing'!R303</f>
        <v>0</v>
      </c>
      <c r="N293" s="281">
        <f>'3. GRI Pricing'!S303</f>
        <v>0</v>
      </c>
      <c r="O293" s="281">
        <f>'3. GRI Pricing'!Q303</f>
        <v>0</v>
      </c>
      <c r="P293" s="281">
        <f>'3. GRI Pricing'!T303</f>
        <v>0</v>
      </c>
      <c r="Q293" s="281">
        <f>'3. GRI Pricing'!U303</f>
        <v>0</v>
      </c>
      <c r="R293" s="281">
        <f>'3. GRI Pricing'!V303</f>
        <v>0</v>
      </c>
      <c r="S293" s="281">
        <f>'3. GRI Pricing'!W303</f>
        <v>0</v>
      </c>
      <c r="T293" s="281">
        <f>'3. GRI Pricing'!X303</f>
        <v>0</v>
      </c>
      <c r="U293" s="282">
        <f>'3. GRI Pricing'!Y303</f>
        <v>0</v>
      </c>
    </row>
    <row r="294" spans="3:21" x14ac:dyDescent="0.2">
      <c r="C294" s="23">
        <f>'3. GRI Pricing'!C304</f>
        <v>0</v>
      </c>
      <c r="D294" s="16">
        <f>'3. GRI Pricing'!D304</f>
        <v>0</v>
      </c>
      <c r="E294" s="16">
        <f>'3. GRI Pricing'!E304</f>
        <v>0</v>
      </c>
      <c r="F294" s="16">
        <f>'3. GRI Pricing'!F304</f>
        <v>0</v>
      </c>
      <c r="G294" s="16">
        <f>'3. GRI Pricing'!G304</f>
        <v>0</v>
      </c>
      <c r="H294" s="16">
        <f>'3. GRI Pricing'!H304</f>
        <v>0</v>
      </c>
      <c r="I294" s="280">
        <f>'3. GRI Pricing'!K304</f>
        <v>0</v>
      </c>
      <c r="J294" s="281">
        <f>'3. GRI Pricing'!O304</f>
        <v>0</v>
      </c>
      <c r="K294" s="281">
        <f>'3. GRI Pricing'!L304</f>
        <v>0</v>
      </c>
      <c r="L294" s="281">
        <f>'3. GRI Pricing'!P304</f>
        <v>0</v>
      </c>
      <c r="M294" s="281">
        <f>'3. GRI Pricing'!R304</f>
        <v>0</v>
      </c>
      <c r="N294" s="281">
        <f>'3. GRI Pricing'!S304</f>
        <v>0</v>
      </c>
      <c r="O294" s="281">
        <f>'3. GRI Pricing'!Q304</f>
        <v>0</v>
      </c>
      <c r="P294" s="281">
        <f>'3. GRI Pricing'!T304</f>
        <v>0</v>
      </c>
      <c r="Q294" s="281">
        <f>'3. GRI Pricing'!U304</f>
        <v>0</v>
      </c>
      <c r="R294" s="281">
        <f>'3. GRI Pricing'!V304</f>
        <v>0</v>
      </c>
      <c r="S294" s="281">
        <f>'3. GRI Pricing'!W304</f>
        <v>0</v>
      </c>
      <c r="T294" s="281">
        <f>'3. GRI Pricing'!X304</f>
        <v>0</v>
      </c>
      <c r="U294" s="282">
        <f>'3. GRI Pricing'!Y304</f>
        <v>0</v>
      </c>
    </row>
    <row r="295" spans="3:21" x14ac:dyDescent="0.2">
      <c r="C295" s="23">
        <f>'3. GRI Pricing'!C305</f>
        <v>0</v>
      </c>
      <c r="D295" s="16">
        <f>'3. GRI Pricing'!D305</f>
        <v>0</v>
      </c>
      <c r="E295" s="16">
        <f>'3. GRI Pricing'!E305</f>
        <v>0</v>
      </c>
      <c r="F295" s="16">
        <f>'3. GRI Pricing'!F305</f>
        <v>0</v>
      </c>
      <c r="G295" s="16">
        <f>'3. GRI Pricing'!G305</f>
        <v>0</v>
      </c>
      <c r="H295" s="16">
        <f>'3. GRI Pricing'!H305</f>
        <v>0</v>
      </c>
      <c r="I295" s="280">
        <f>'3. GRI Pricing'!K305</f>
        <v>0</v>
      </c>
      <c r="J295" s="281">
        <f>'3. GRI Pricing'!O305</f>
        <v>0</v>
      </c>
      <c r="K295" s="281">
        <f>'3. GRI Pricing'!L305</f>
        <v>0</v>
      </c>
      <c r="L295" s="281">
        <f>'3. GRI Pricing'!P305</f>
        <v>0</v>
      </c>
      <c r="M295" s="281">
        <f>'3. GRI Pricing'!R305</f>
        <v>0</v>
      </c>
      <c r="N295" s="281">
        <f>'3. GRI Pricing'!S305</f>
        <v>0</v>
      </c>
      <c r="O295" s="281">
        <f>'3. GRI Pricing'!Q305</f>
        <v>0</v>
      </c>
      <c r="P295" s="281">
        <f>'3. GRI Pricing'!T305</f>
        <v>0</v>
      </c>
      <c r="Q295" s="281">
        <f>'3. GRI Pricing'!U305</f>
        <v>0</v>
      </c>
      <c r="R295" s="281">
        <f>'3. GRI Pricing'!V305</f>
        <v>0</v>
      </c>
      <c r="S295" s="281">
        <f>'3. GRI Pricing'!W305</f>
        <v>0</v>
      </c>
      <c r="T295" s="281">
        <f>'3. GRI Pricing'!X305</f>
        <v>0</v>
      </c>
      <c r="U295" s="282">
        <f>'3. GRI Pricing'!Y305</f>
        <v>0</v>
      </c>
    </row>
    <row r="296" spans="3:21" x14ac:dyDescent="0.2">
      <c r="C296" s="23">
        <f>'3. GRI Pricing'!C306</f>
        <v>0</v>
      </c>
      <c r="D296" s="16">
        <f>'3. GRI Pricing'!D306</f>
        <v>0</v>
      </c>
      <c r="E296" s="16">
        <f>'3. GRI Pricing'!E306</f>
        <v>0</v>
      </c>
      <c r="F296" s="16">
        <f>'3. GRI Pricing'!F306</f>
        <v>0</v>
      </c>
      <c r="G296" s="16">
        <f>'3. GRI Pricing'!G306</f>
        <v>0</v>
      </c>
      <c r="H296" s="16">
        <f>'3. GRI Pricing'!H306</f>
        <v>0</v>
      </c>
      <c r="I296" s="280">
        <f>'3. GRI Pricing'!K306</f>
        <v>0</v>
      </c>
      <c r="J296" s="281">
        <f>'3. GRI Pricing'!O306</f>
        <v>0</v>
      </c>
      <c r="K296" s="281">
        <f>'3. GRI Pricing'!L306</f>
        <v>0</v>
      </c>
      <c r="L296" s="281">
        <f>'3. GRI Pricing'!P306</f>
        <v>0</v>
      </c>
      <c r="M296" s="281">
        <f>'3. GRI Pricing'!R306</f>
        <v>0</v>
      </c>
      <c r="N296" s="281">
        <f>'3. GRI Pricing'!S306</f>
        <v>0</v>
      </c>
      <c r="O296" s="281">
        <f>'3. GRI Pricing'!Q306</f>
        <v>0</v>
      </c>
      <c r="P296" s="281">
        <f>'3. GRI Pricing'!T306</f>
        <v>0</v>
      </c>
      <c r="Q296" s="281">
        <f>'3. GRI Pricing'!U306</f>
        <v>0</v>
      </c>
      <c r="R296" s="281">
        <f>'3. GRI Pricing'!V306</f>
        <v>0</v>
      </c>
      <c r="S296" s="281">
        <f>'3. GRI Pricing'!W306</f>
        <v>0</v>
      </c>
      <c r="T296" s="281">
        <f>'3. GRI Pricing'!X306</f>
        <v>0</v>
      </c>
      <c r="U296" s="282">
        <f>'3. GRI Pricing'!Y306</f>
        <v>0</v>
      </c>
    </row>
    <row r="297" spans="3:21" x14ac:dyDescent="0.2">
      <c r="C297" s="23">
        <f>'3. GRI Pricing'!C307</f>
        <v>0</v>
      </c>
      <c r="D297" s="16">
        <f>'3. GRI Pricing'!D307</f>
        <v>0</v>
      </c>
      <c r="E297" s="16">
        <f>'3. GRI Pricing'!E307</f>
        <v>0</v>
      </c>
      <c r="F297" s="16">
        <f>'3. GRI Pricing'!F307</f>
        <v>0</v>
      </c>
      <c r="G297" s="16">
        <f>'3. GRI Pricing'!G307</f>
        <v>0</v>
      </c>
      <c r="H297" s="16">
        <f>'3. GRI Pricing'!H307</f>
        <v>0</v>
      </c>
      <c r="I297" s="280">
        <f>'3. GRI Pricing'!K307</f>
        <v>0</v>
      </c>
      <c r="J297" s="281">
        <f>'3. GRI Pricing'!O307</f>
        <v>0</v>
      </c>
      <c r="K297" s="281">
        <f>'3. GRI Pricing'!L307</f>
        <v>0</v>
      </c>
      <c r="L297" s="281">
        <f>'3. GRI Pricing'!P307</f>
        <v>0</v>
      </c>
      <c r="M297" s="281">
        <f>'3. GRI Pricing'!R307</f>
        <v>0</v>
      </c>
      <c r="N297" s="281">
        <f>'3. GRI Pricing'!S307</f>
        <v>0</v>
      </c>
      <c r="O297" s="281">
        <f>'3. GRI Pricing'!Q307</f>
        <v>0</v>
      </c>
      <c r="P297" s="281">
        <f>'3. GRI Pricing'!T307</f>
        <v>0</v>
      </c>
      <c r="Q297" s="281">
        <f>'3. GRI Pricing'!U307</f>
        <v>0</v>
      </c>
      <c r="R297" s="281">
        <f>'3. GRI Pricing'!V307</f>
        <v>0</v>
      </c>
      <c r="S297" s="281">
        <f>'3. GRI Pricing'!W307</f>
        <v>0</v>
      </c>
      <c r="T297" s="281">
        <f>'3. GRI Pricing'!X307</f>
        <v>0</v>
      </c>
      <c r="U297" s="282">
        <f>'3. GRI Pricing'!Y307</f>
        <v>0</v>
      </c>
    </row>
    <row r="298" spans="3:21" x14ac:dyDescent="0.2">
      <c r="C298" s="23">
        <f>'3. GRI Pricing'!C308</f>
        <v>0</v>
      </c>
      <c r="D298" s="16">
        <f>'3. GRI Pricing'!D308</f>
        <v>0</v>
      </c>
      <c r="E298" s="16">
        <f>'3. GRI Pricing'!E308</f>
        <v>0</v>
      </c>
      <c r="F298" s="16">
        <f>'3. GRI Pricing'!F308</f>
        <v>0</v>
      </c>
      <c r="G298" s="16">
        <f>'3. GRI Pricing'!G308</f>
        <v>0</v>
      </c>
      <c r="H298" s="16">
        <f>'3. GRI Pricing'!H308</f>
        <v>0</v>
      </c>
      <c r="I298" s="280">
        <f>'3. GRI Pricing'!K308</f>
        <v>0</v>
      </c>
      <c r="J298" s="281">
        <f>'3. GRI Pricing'!O308</f>
        <v>0</v>
      </c>
      <c r="K298" s="281">
        <f>'3. GRI Pricing'!L308</f>
        <v>0</v>
      </c>
      <c r="L298" s="281">
        <f>'3. GRI Pricing'!P308</f>
        <v>0</v>
      </c>
      <c r="M298" s="281">
        <f>'3. GRI Pricing'!R308</f>
        <v>0</v>
      </c>
      <c r="N298" s="281">
        <f>'3. GRI Pricing'!S308</f>
        <v>0</v>
      </c>
      <c r="O298" s="281">
        <f>'3. GRI Pricing'!Q308</f>
        <v>0</v>
      </c>
      <c r="P298" s="281">
        <f>'3. GRI Pricing'!T308</f>
        <v>0</v>
      </c>
      <c r="Q298" s="281">
        <f>'3. GRI Pricing'!U308</f>
        <v>0</v>
      </c>
      <c r="R298" s="281">
        <f>'3. GRI Pricing'!V308</f>
        <v>0</v>
      </c>
      <c r="S298" s="281">
        <f>'3. GRI Pricing'!W308</f>
        <v>0</v>
      </c>
      <c r="T298" s="281">
        <f>'3. GRI Pricing'!X308</f>
        <v>0</v>
      </c>
      <c r="U298" s="282">
        <f>'3. GRI Pricing'!Y308</f>
        <v>0</v>
      </c>
    </row>
    <row r="299" spans="3:21" x14ac:dyDescent="0.2">
      <c r="C299" s="23">
        <f>'3. GRI Pricing'!C309</f>
        <v>0</v>
      </c>
      <c r="D299" s="16">
        <f>'3. GRI Pricing'!D309</f>
        <v>0</v>
      </c>
      <c r="E299" s="16">
        <f>'3. GRI Pricing'!E309</f>
        <v>0</v>
      </c>
      <c r="F299" s="16">
        <f>'3. GRI Pricing'!F309</f>
        <v>0</v>
      </c>
      <c r="G299" s="16">
        <f>'3. GRI Pricing'!G309</f>
        <v>0</v>
      </c>
      <c r="H299" s="16">
        <f>'3. GRI Pricing'!H309</f>
        <v>0</v>
      </c>
      <c r="I299" s="280">
        <f>'3. GRI Pricing'!K309</f>
        <v>0</v>
      </c>
      <c r="J299" s="281">
        <f>'3. GRI Pricing'!O309</f>
        <v>0</v>
      </c>
      <c r="K299" s="281">
        <f>'3. GRI Pricing'!L309</f>
        <v>0</v>
      </c>
      <c r="L299" s="281">
        <f>'3. GRI Pricing'!P309</f>
        <v>0</v>
      </c>
      <c r="M299" s="281">
        <f>'3. GRI Pricing'!R309</f>
        <v>0</v>
      </c>
      <c r="N299" s="281">
        <f>'3. GRI Pricing'!S309</f>
        <v>0</v>
      </c>
      <c r="O299" s="281">
        <f>'3. GRI Pricing'!Q309</f>
        <v>0</v>
      </c>
      <c r="P299" s="281">
        <f>'3. GRI Pricing'!T309</f>
        <v>0</v>
      </c>
      <c r="Q299" s="281">
        <f>'3. GRI Pricing'!U309</f>
        <v>0</v>
      </c>
      <c r="R299" s="281">
        <f>'3. GRI Pricing'!V309</f>
        <v>0</v>
      </c>
      <c r="S299" s="281">
        <f>'3. GRI Pricing'!W309</f>
        <v>0</v>
      </c>
      <c r="T299" s="281">
        <f>'3. GRI Pricing'!X309</f>
        <v>0</v>
      </c>
      <c r="U299" s="282">
        <f>'3. GRI Pricing'!Y309</f>
        <v>0</v>
      </c>
    </row>
    <row r="300" spans="3:21" x14ac:dyDescent="0.2">
      <c r="C300" s="23">
        <f>'3. GRI Pricing'!C310</f>
        <v>0</v>
      </c>
      <c r="D300" s="16">
        <f>'3. GRI Pricing'!D310</f>
        <v>0</v>
      </c>
      <c r="E300" s="16">
        <f>'3. GRI Pricing'!E310</f>
        <v>0</v>
      </c>
      <c r="F300" s="16">
        <f>'3. GRI Pricing'!F310</f>
        <v>0</v>
      </c>
      <c r="G300" s="16">
        <f>'3. GRI Pricing'!G310</f>
        <v>0</v>
      </c>
      <c r="H300" s="16">
        <f>'3. GRI Pricing'!H310</f>
        <v>0</v>
      </c>
      <c r="I300" s="280">
        <f>'3. GRI Pricing'!K310</f>
        <v>0</v>
      </c>
      <c r="J300" s="281">
        <f>'3. GRI Pricing'!O310</f>
        <v>0</v>
      </c>
      <c r="K300" s="281">
        <f>'3. GRI Pricing'!L310</f>
        <v>0</v>
      </c>
      <c r="L300" s="281">
        <f>'3. GRI Pricing'!P310</f>
        <v>0</v>
      </c>
      <c r="M300" s="281">
        <f>'3. GRI Pricing'!R310</f>
        <v>0</v>
      </c>
      <c r="N300" s="281">
        <f>'3. GRI Pricing'!S310</f>
        <v>0</v>
      </c>
      <c r="O300" s="281">
        <f>'3. GRI Pricing'!Q310</f>
        <v>0</v>
      </c>
      <c r="P300" s="281">
        <f>'3. GRI Pricing'!T310</f>
        <v>0</v>
      </c>
      <c r="Q300" s="281">
        <f>'3. GRI Pricing'!U310</f>
        <v>0</v>
      </c>
      <c r="R300" s="281">
        <f>'3. GRI Pricing'!V310</f>
        <v>0</v>
      </c>
      <c r="S300" s="281">
        <f>'3. GRI Pricing'!W310</f>
        <v>0</v>
      </c>
      <c r="T300" s="281">
        <f>'3. GRI Pricing'!X310</f>
        <v>0</v>
      </c>
      <c r="U300" s="282">
        <f>'3. GRI Pricing'!Y310</f>
        <v>0</v>
      </c>
    </row>
    <row r="301" spans="3:21" x14ac:dyDescent="0.2">
      <c r="C301" s="23">
        <f>'3. GRI Pricing'!C311</f>
        <v>0</v>
      </c>
      <c r="D301" s="16">
        <f>'3. GRI Pricing'!D311</f>
        <v>0</v>
      </c>
      <c r="E301" s="16">
        <f>'3. GRI Pricing'!E311</f>
        <v>0</v>
      </c>
      <c r="F301" s="16">
        <f>'3. GRI Pricing'!F311</f>
        <v>0</v>
      </c>
      <c r="G301" s="16">
        <f>'3. GRI Pricing'!G311</f>
        <v>0</v>
      </c>
      <c r="H301" s="16">
        <f>'3. GRI Pricing'!H311</f>
        <v>0</v>
      </c>
      <c r="I301" s="280">
        <f>'3. GRI Pricing'!K311</f>
        <v>0</v>
      </c>
      <c r="J301" s="281">
        <f>'3. GRI Pricing'!O311</f>
        <v>0</v>
      </c>
      <c r="K301" s="281">
        <f>'3. GRI Pricing'!L311</f>
        <v>0</v>
      </c>
      <c r="L301" s="281">
        <f>'3. GRI Pricing'!P311</f>
        <v>0</v>
      </c>
      <c r="M301" s="281">
        <f>'3. GRI Pricing'!R311</f>
        <v>0</v>
      </c>
      <c r="N301" s="281">
        <f>'3. GRI Pricing'!S311</f>
        <v>0</v>
      </c>
      <c r="O301" s="281">
        <f>'3. GRI Pricing'!Q311</f>
        <v>0</v>
      </c>
      <c r="P301" s="281">
        <f>'3. GRI Pricing'!T311</f>
        <v>0</v>
      </c>
      <c r="Q301" s="281">
        <f>'3. GRI Pricing'!U311</f>
        <v>0</v>
      </c>
      <c r="R301" s="281">
        <f>'3. GRI Pricing'!V311</f>
        <v>0</v>
      </c>
      <c r="S301" s="281">
        <f>'3. GRI Pricing'!W311</f>
        <v>0</v>
      </c>
      <c r="T301" s="281">
        <f>'3. GRI Pricing'!X311</f>
        <v>0</v>
      </c>
      <c r="U301" s="282">
        <f>'3. GRI Pricing'!Y311</f>
        <v>0</v>
      </c>
    </row>
    <row r="302" spans="3:21" x14ac:dyDescent="0.2">
      <c r="C302" s="23">
        <f>'3. GRI Pricing'!C312</f>
        <v>0</v>
      </c>
      <c r="D302" s="16">
        <f>'3. GRI Pricing'!D312</f>
        <v>0</v>
      </c>
      <c r="E302" s="16">
        <f>'3. GRI Pricing'!E312</f>
        <v>0</v>
      </c>
      <c r="F302" s="16">
        <f>'3. GRI Pricing'!F312</f>
        <v>0</v>
      </c>
      <c r="G302" s="16">
        <f>'3. GRI Pricing'!G312</f>
        <v>0</v>
      </c>
      <c r="H302" s="16">
        <f>'3. GRI Pricing'!H312</f>
        <v>0</v>
      </c>
      <c r="I302" s="280">
        <f>'3. GRI Pricing'!K312</f>
        <v>0</v>
      </c>
      <c r="J302" s="281">
        <f>'3. GRI Pricing'!O312</f>
        <v>0</v>
      </c>
      <c r="K302" s="281">
        <f>'3. GRI Pricing'!L312</f>
        <v>0</v>
      </c>
      <c r="L302" s="281">
        <f>'3. GRI Pricing'!P312</f>
        <v>0</v>
      </c>
      <c r="M302" s="281">
        <f>'3. GRI Pricing'!R312</f>
        <v>0</v>
      </c>
      <c r="N302" s="281">
        <f>'3. GRI Pricing'!S312</f>
        <v>0</v>
      </c>
      <c r="O302" s="281">
        <f>'3. GRI Pricing'!Q312</f>
        <v>0</v>
      </c>
      <c r="P302" s="281">
        <f>'3. GRI Pricing'!T312</f>
        <v>0</v>
      </c>
      <c r="Q302" s="281">
        <f>'3. GRI Pricing'!U312</f>
        <v>0</v>
      </c>
      <c r="R302" s="281">
        <f>'3. GRI Pricing'!V312</f>
        <v>0</v>
      </c>
      <c r="S302" s="281">
        <f>'3. GRI Pricing'!W312</f>
        <v>0</v>
      </c>
      <c r="T302" s="281">
        <f>'3. GRI Pricing'!X312</f>
        <v>0</v>
      </c>
      <c r="U302" s="282">
        <f>'3. GRI Pricing'!Y312</f>
        <v>0</v>
      </c>
    </row>
    <row r="303" spans="3:21" x14ac:dyDescent="0.2">
      <c r="C303" s="23">
        <f>'3. GRI Pricing'!C313</f>
        <v>0</v>
      </c>
      <c r="D303" s="16">
        <f>'3. GRI Pricing'!D313</f>
        <v>0</v>
      </c>
      <c r="E303" s="16">
        <f>'3. GRI Pricing'!E313</f>
        <v>0</v>
      </c>
      <c r="F303" s="16">
        <f>'3. GRI Pricing'!F313</f>
        <v>0</v>
      </c>
      <c r="G303" s="16">
        <f>'3. GRI Pricing'!G313</f>
        <v>0</v>
      </c>
      <c r="H303" s="16">
        <f>'3. GRI Pricing'!H313</f>
        <v>0</v>
      </c>
      <c r="I303" s="280">
        <f>'3. GRI Pricing'!K313</f>
        <v>0</v>
      </c>
      <c r="J303" s="281">
        <f>'3. GRI Pricing'!O313</f>
        <v>0</v>
      </c>
      <c r="K303" s="281">
        <f>'3. GRI Pricing'!L313</f>
        <v>0</v>
      </c>
      <c r="L303" s="281">
        <f>'3. GRI Pricing'!P313</f>
        <v>0</v>
      </c>
      <c r="M303" s="281">
        <f>'3. GRI Pricing'!R313</f>
        <v>0</v>
      </c>
      <c r="N303" s="281">
        <f>'3. GRI Pricing'!S313</f>
        <v>0</v>
      </c>
      <c r="O303" s="281">
        <f>'3. GRI Pricing'!Q313</f>
        <v>0</v>
      </c>
      <c r="P303" s="281">
        <f>'3. GRI Pricing'!T313</f>
        <v>0</v>
      </c>
      <c r="Q303" s="281">
        <f>'3. GRI Pricing'!U313</f>
        <v>0</v>
      </c>
      <c r="R303" s="281">
        <f>'3. GRI Pricing'!V313</f>
        <v>0</v>
      </c>
      <c r="S303" s="281">
        <f>'3. GRI Pricing'!W313</f>
        <v>0</v>
      </c>
      <c r="T303" s="281">
        <f>'3. GRI Pricing'!X313</f>
        <v>0</v>
      </c>
      <c r="U303" s="282">
        <f>'3. GRI Pricing'!Y313</f>
        <v>0</v>
      </c>
    </row>
    <row r="304" spans="3:21" x14ac:dyDescent="0.2">
      <c r="C304" s="23">
        <f>'3. GRI Pricing'!C314</f>
        <v>0</v>
      </c>
      <c r="D304" s="16">
        <f>'3. GRI Pricing'!D314</f>
        <v>0</v>
      </c>
      <c r="E304" s="16">
        <f>'3. GRI Pricing'!E314</f>
        <v>0</v>
      </c>
      <c r="F304" s="16">
        <f>'3. GRI Pricing'!F314</f>
        <v>0</v>
      </c>
      <c r="G304" s="16">
        <f>'3. GRI Pricing'!G314</f>
        <v>0</v>
      </c>
      <c r="H304" s="16">
        <f>'3. GRI Pricing'!H314</f>
        <v>0</v>
      </c>
      <c r="I304" s="280">
        <f>'3. GRI Pricing'!K314</f>
        <v>0</v>
      </c>
      <c r="J304" s="281">
        <f>'3. GRI Pricing'!O314</f>
        <v>0</v>
      </c>
      <c r="K304" s="281">
        <f>'3. GRI Pricing'!L314</f>
        <v>0</v>
      </c>
      <c r="L304" s="281">
        <f>'3. GRI Pricing'!P314</f>
        <v>0</v>
      </c>
      <c r="M304" s="281">
        <f>'3. GRI Pricing'!R314</f>
        <v>0</v>
      </c>
      <c r="N304" s="281">
        <f>'3. GRI Pricing'!S314</f>
        <v>0</v>
      </c>
      <c r="O304" s="281">
        <f>'3. GRI Pricing'!Q314</f>
        <v>0</v>
      </c>
      <c r="P304" s="281">
        <f>'3. GRI Pricing'!T314</f>
        <v>0</v>
      </c>
      <c r="Q304" s="281">
        <f>'3. GRI Pricing'!U314</f>
        <v>0</v>
      </c>
      <c r="R304" s="281">
        <f>'3. GRI Pricing'!V314</f>
        <v>0</v>
      </c>
      <c r="S304" s="281">
        <f>'3. GRI Pricing'!W314</f>
        <v>0</v>
      </c>
      <c r="T304" s="281">
        <f>'3. GRI Pricing'!X314</f>
        <v>0</v>
      </c>
      <c r="U304" s="282">
        <f>'3. GRI Pricing'!Y314</f>
        <v>0</v>
      </c>
    </row>
    <row r="305" spans="3:21" x14ac:dyDescent="0.2">
      <c r="C305" s="23">
        <f>'3. GRI Pricing'!C315</f>
        <v>0</v>
      </c>
      <c r="D305" s="16">
        <f>'3. GRI Pricing'!D315</f>
        <v>0</v>
      </c>
      <c r="E305" s="16">
        <f>'3. GRI Pricing'!E315</f>
        <v>0</v>
      </c>
      <c r="F305" s="16">
        <f>'3. GRI Pricing'!F315</f>
        <v>0</v>
      </c>
      <c r="G305" s="16">
        <f>'3. GRI Pricing'!G315</f>
        <v>0</v>
      </c>
      <c r="H305" s="16">
        <f>'3. GRI Pricing'!H315</f>
        <v>0</v>
      </c>
      <c r="I305" s="280">
        <f>'3. GRI Pricing'!K315</f>
        <v>0</v>
      </c>
      <c r="J305" s="281">
        <f>'3. GRI Pricing'!O315</f>
        <v>0</v>
      </c>
      <c r="K305" s="281">
        <f>'3. GRI Pricing'!L315</f>
        <v>0</v>
      </c>
      <c r="L305" s="281">
        <f>'3. GRI Pricing'!P315</f>
        <v>0</v>
      </c>
      <c r="M305" s="281">
        <f>'3. GRI Pricing'!R315</f>
        <v>0</v>
      </c>
      <c r="N305" s="281">
        <f>'3. GRI Pricing'!S315</f>
        <v>0</v>
      </c>
      <c r="O305" s="281">
        <f>'3. GRI Pricing'!Q315</f>
        <v>0</v>
      </c>
      <c r="P305" s="281">
        <f>'3. GRI Pricing'!T315</f>
        <v>0</v>
      </c>
      <c r="Q305" s="281">
        <f>'3. GRI Pricing'!U315</f>
        <v>0</v>
      </c>
      <c r="R305" s="281">
        <f>'3. GRI Pricing'!V315</f>
        <v>0</v>
      </c>
      <c r="S305" s="281">
        <f>'3. GRI Pricing'!W315</f>
        <v>0</v>
      </c>
      <c r="T305" s="281">
        <f>'3. GRI Pricing'!X315</f>
        <v>0</v>
      </c>
      <c r="U305" s="282">
        <f>'3. GRI Pricing'!Y315</f>
        <v>0</v>
      </c>
    </row>
    <row r="306" spans="3:21" x14ac:dyDescent="0.2">
      <c r="C306" s="23">
        <f>'3. GRI Pricing'!C316</f>
        <v>0</v>
      </c>
      <c r="D306" s="16">
        <f>'3. GRI Pricing'!D316</f>
        <v>0</v>
      </c>
      <c r="E306" s="16">
        <f>'3. GRI Pricing'!E316</f>
        <v>0</v>
      </c>
      <c r="F306" s="16">
        <f>'3. GRI Pricing'!F316</f>
        <v>0</v>
      </c>
      <c r="G306" s="16">
        <f>'3. GRI Pricing'!G316</f>
        <v>0</v>
      </c>
      <c r="H306" s="16">
        <f>'3. GRI Pricing'!H316</f>
        <v>0</v>
      </c>
      <c r="I306" s="280">
        <f>'3. GRI Pricing'!K316</f>
        <v>0</v>
      </c>
      <c r="J306" s="281">
        <f>'3. GRI Pricing'!O316</f>
        <v>0</v>
      </c>
      <c r="K306" s="281">
        <f>'3. GRI Pricing'!L316</f>
        <v>0</v>
      </c>
      <c r="L306" s="281">
        <f>'3. GRI Pricing'!P316</f>
        <v>0</v>
      </c>
      <c r="M306" s="281">
        <f>'3. GRI Pricing'!R316</f>
        <v>0</v>
      </c>
      <c r="N306" s="281">
        <f>'3. GRI Pricing'!S316</f>
        <v>0</v>
      </c>
      <c r="O306" s="281">
        <f>'3. GRI Pricing'!Q316</f>
        <v>0</v>
      </c>
      <c r="P306" s="281">
        <f>'3. GRI Pricing'!T316</f>
        <v>0</v>
      </c>
      <c r="Q306" s="281">
        <f>'3. GRI Pricing'!U316</f>
        <v>0</v>
      </c>
      <c r="R306" s="281">
        <f>'3. GRI Pricing'!V316</f>
        <v>0</v>
      </c>
      <c r="S306" s="281">
        <f>'3. GRI Pricing'!W316</f>
        <v>0</v>
      </c>
      <c r="T306" s="281">
        <f>'3. GRI Pricing'!X316</f>
        <v>0</v>
      </c>
      <c r="U306" s="282">
        <f>'3. GRI Pricing'!Y316</f>
        <v>0</v>
      </c>
    </row>
    <row r="307" spans="3:21" x14ac:dyDescent="0.2">
      <c r="C307" s="23">
        <f>'3. GRI Pricing'!C317</f>
        <v>0</v>
      </c>
      <c r="D307" s="16">
        <f>'3. GRI Pricing'!D317</f>
        <v>0</v>
      </c>
      <c r="E307" s="16">
        <f>'3. GRI Pricing'!E317</f>
        <v>0</v>
      </c>
      <c r="F307" s="16">
        <f>'3. GRI Pricing'!F317</f>
        <v>0</v>
      </c>
      <c r="G307" s="16">
        <f>'3. GRI Pricing'!G317</f>
        <v>0</v>
      </c>
      <c r="H307" s="16">
        <f>'3. GRI Pricing'!H317</f>
        <v>0</v>
      </c>
      <c r="I307" s="280">
        <f>'3. GRI Pricing'!K317</f>
        <v>0</v>
      </c>
      <c r="J307" s="281">
        <f>'3. GRI Pricing'!O317</f>
        <v>0</v>
      </c>
      <c r="K307" s="281">
        <f>'3. GRI Pricing'!L317</f>
        <v>0</v>
      </c>
      <c r="L307" s="281">
        <f>'3. GRI Pricing'!P317</f>
        <v>0</v>
      </c>
      <c r="M307" s="281">
        <f>'3. GRI Pricing'!R317</f>
        <v>0</v>
      </c>
      <c r="N307" s="281">
        <f>'3. GRI Pricing'!S317</f>
        <v>0</v>
      </c>
      <c r="O307" s="281">
        <f>'3. GRI Pricing'!Q317</f>
        <v>0</v>
      </c>
      <c r="P307" s="281">
        <f>'3. GRI Pricing'!T317</f>
        <v>0</v>
      </c>
      <c r="Q307" s="281">
        <f>'3. GRI Pricing'!U317</f>
        <v>0</v>
      </c>
      <c r="R307" s="281">
        <f>'3. GRI Pricing'!V317</f>
        <v>0</v>
      </c>
      <c r="S307" s="281">
        <f>'3. GRI Pricing'!W317</f>
        <v>0</v>
      </c>
      <c r="T307" s="281">
        <f>'3. GRI Pricing'!X317</f>
        <v>0</v>
      </c>
      <c r="U307" s="282">
        <f>'3. GRI Pricing'!Y317</f>
        <v>0</v>
      </c>
    </row>
    <row r="308" spans="3:21" x14ac:dyDescent="0.2">
      <c r="C308" s="23">
        <f>'3. GRI Pricing'!C318</f>
        <v>0</v>
      </c>
      <c r="D308" s="16">
        <f>'3. GRI Pricing'!D318</f>
        <v>0</v>
      </c>
      <c r="E308" s="16">
        <f>'3. GRI Pricing'!E318</f>
        <v>0</v>
      </c>
      <c r="F308" s="16">
        <f>'3. GRI Pricing'!F318</f>
        <v>0</v>
      </c>
      <c r="G308" s="16">
        <f>'3. GRI Pricing'!G318</f>
        <v>0</v>
      </c>
      <c r="H308" s="16">
        <f>'3. GRI Pricing'!H318</f>
        <v>0</v>
      </c>
      <c r="I308" s="280">
        <f>'3. GRI Pricing'!K318</f>
        <v>0</v>
      </c>
      <c r="J308" s="281">
        <f>'3. GRI Pricing'!O318</f>
        <v>0</v>
      </c>
      <c r="K308" s="281">
        <f>'3. GRI Pricing'!L318</f>
        <v>0</v>
      </c>
      <c r="L308" s="281">
        <f>'3. GRI Pricing'!P318</f>
        <v>0</v>
      </c>
      <c r="M308" s="281">
        <f>'3. GRI Pricing'!R318</f>
        <v>0</v>
      </c>
      <c r="N308" s="281">
        <f>'3. GRI Pricing'!S318</f>
        <v>0</v>
      </c>
      <c r="O308" s="281">
        <f>'3. GRI Pricing'!Q318</f>
        <v>0</v>
      </c>
      <c r="P308" s="281">
        <f>'3. GRI Pricing'!T318</f>
        <v>0</v>
      </c>
      <c r="Q308" s="281">
        <f>'3. GRI Pricing'!U318</f>
        <v>0</v>
      </c>
      <c r="R308" s="281">
        <f>'3. GRI Pricing'!V318</f>
        <v>0</v>
      </c>
      <c r="S308" s="281">
        <f>'3. GRI Pricing'!W318</f>
        <v>0</v>
      </c>
      <c r="T308" s="281">
        <f>'3. GRI Pricing'!X318</f>
        <v>0</v>
      </c>
      <c r="U308" s="282">
        <f>'3. GRI Pricing'!Y318</f>
        <v>0</v>
      </c>
    </row>
    <row r="309" spans="3:21" x14ac:dyDescent="0.2">
      <c r="C309" s="23">
        <f>'3. GRI Pricing'!C319</f>
        <v>0</v>
      </c>
      <c r="D309" s="16">
        <f>'3. GRI Pricing'!D319</f>
        <v>0</v>
      </c>
      <c r="E309" s="16">
        <f>'3. GRI Pricing'!E319</f>
        <v>0</v>
      </c>
      <c r="F309" s="16">
        <f>'3. GRI Pricing'!F319</f>
        <v>0</v>
      </c>
      <c r="G309" s="16">
        <f>'3. GRI Pricing'!G319</f>
        <v>0</v>
      </c>
      <c r="H309" s="16">
        <f>'3. GRI Pricing'!H319</f>
        <v>0</v>
      </c>
      <c r="I309" s="280">
        <f>'3. GRI Pricing'!K319</f>
        <v>0</v>
      </c>
      <c r="J309" s="281">
        <f>'3. GRI Pricing'!O319</f>
        <v>0</v>
      </c>
      <c r="K309" s="281">
        <f>'3. GRI Pricing'!L319</f>
        <v>0</v>
      </c>
      <c r="L309" s="281">
        <f>'3. GRI Pricing'!P319</f>
        <v>0</v>
      </c>
      <c r="M309" s="281">
        <f>'3. GRI Pricing'!R319</f>
        <v>0</v>
      </c>
      <c r="N309" s="281">
        <f>'3. GRI Pricing'!S319</f>
        <v>0</v>
      </c>
      <c r="O309" s="281">
        <f>'3. GRI Pricing'!Q319</f>
        <v>0</v>
      </c>
      <c r="P309" s="281">
        <f>'3. GRI Pricing'!T319</f>
        <v>0</v>
      </c>
      <c r="Q309" s="281">
        <f>'3. GRI Pricing'!U319</f>
        <v>0</v>
      </c>
      <c r="R309" s="281">
        <f>'3. GRI Pricing'!V319</f>
        <v>0</v>
      </c>
      <c r="S309" s="281">
        <f>'3. GRI Pricing'!W319</f>
        <v>0</v>
      </c>
      <c r="T309" s="281">
        <f>'3. GRI Pricing'!X319</f>
        <v>0</v>
      </c>
      <c r="U309" s="282">
        <f>'3. GRI Pricing'!Y319</f>
        <v>0</v>
      </c>
    </row>
    <row r="310" spans="3:21" x14ac:dyDescent="0.2">
      <c r="C310" s="23">
        <f>'3. GRI Pricing'!C320</f>
        <v>0</v>
      </c>
      <c r="D310" s="16">
        <f>'3. GRI Pricing'!D320</f>
        <v>0</v>
      </c>
      <c r="E310" s="16">
        <f>'3. GRI Pricing'!E320</f>
        <v>0</v>
      </c>
      <c r="F310" s="16">
        <f>'3. GRI Pricing'!F320</f>
        <v>0</v>
      </c>
      <c r="G310" s="16">
        <f>'3. GRI Pricing'!G320</f>
        <v>0</v>
      </c>
      <c r="H310" s="16">
        <f>'3. GRI Pricing'!H320</f>
        <v>0</v>
      </c>
      <c r="I310" s="280">
        <f>'3. GRI Pricing'!K320</f>
        <v>0</v>
      </c>
      <c r="J310" s="281">
        <f>'3. GRI Pricing'!O320</f>
        <v>0</v>
      </c>
      <c r="K310" s="281">
        <f>'3. GRI Pricing'!L320</f>
        <v>0</v>
      </c>
      <c r="L310" s="281">
        <f>'3. GRI Pricing'!P320</f>
        <v>0</v>
      </c>
      <c r="M310" s="281">
        <f>'3. GRI Pricing'!R320</f>
        <v>0</v>
      </c>
      <c r="N310" s="281">
        <f>'3. GRI Pricing'!S320</f>
        <v>0</v>
      </c>
      <c r="O310" s="281">
        <f>'3. GRI Pricing'!Q320</f>
        <v>0</v>
      </c>
      <c r="P310" s="281">
        <f>'3. GRI Pricing'!T320</f>
        <v>0</v>
      </c>
      <c r="Q310" s="281">
        <f>'3. GRI Pricing'!U320</f>
        <v>0</v>
      </c>
      <c r="R310" s="281">
        <f>'3. GRI Pricing'!V320</f>
        <v>0</v>
      </c>
      <c r="S310" s="281">
        <f>'3. GRI Pricing'!W320</f>
        <v>0</v>
      </c>
      <c r="T310" s="281">
        <f>'3. GRI Pricing'!X320</f>
        <v>0</v>
      </c>
      <c r="U310" s="282">
        <f>'3. GRI Pricing'!Y320</f>
        <v>0</v>
      </c>
    </row>
    <row r="311" spans="3:21" x14ac:dyDescent="0.2">
      <c r="C311" s="23">
        <f>'3. GRI Pricing'!C321</f>
        <v>0</v>
      </c>
      <c r="D311" s="16">
        <f>'3. GRI Pricing'!D321</f>
        <v>0</v>
      </c>
      <c r="E311" s="16">
        <f>'3. GRI Pricing'!E321</f>
        <v>0</v>
      </c>
      <c r="F311" s="16">
        <f>'3. GRI Pricing'!F321</f>
        <v>0</v>
      </c>
      <c r="G311" s="16">
        <f>'3. GRI Pricing'!G321</f>
        <v>0</v>
      </c>
      <c r="H311" s="16">
        <f>'3. GRI Pricing'!H321</f>
        <v>0</v>
      </c>
      <c r="I311" s="280">
        <f>'3. GRI Pricing'!K321</f>
        <v>0</v>
      </c>
      <c r="J311" s="281">
        <f>'3. GRI Pricing'!O321</f>
        <v>0</v>
      </c>
      <c r="K311" s="281">
        <f>'3. GRI Pricing'!L321</f>
        <v>0</v>
      </c>
      <c r="L311" s="281">
        <f>'3. GRI Pricing'!P321</f>
        <v>0</v>
      </c>
      <c r="M311" s="281">
        <f>'3. GRI Pricing'!R321</f>
        <v>0</v>
      </c>
      <c r="N311" s="281">
        <f>'3. GRI Pricing'!S321</f>
        <v>0</v>
      </c>
      <c r="O311" s="281">
        <f>'3. GRI Pricing'!Q321</f>
        <v>0</v>
      </c>
      <c r="P311" s="281">
        <f>'3. GRI Pricing'!T321</f>
        <v>0</v>
      </c>
      <c r="Q311" s="281">
        <f>'3. GRI Pricing'!U321</f>
        <v>0</v>
      </c>
      <c r="R311" s="281">
        <f>'3. GRI Pricing'!V321</f>
        <v>0</v>
      </c>
      <c r="S311" s="281">
        <f>'3. GRI Pricing'!W321</f>
        <v>0</v>
      </c>
      <c r="T311" s="281">
        <f>'3. GRI Pricing'!X321</f>
        <v>0</v>
      </c>
      <c r="U311" s="282">
        <f>'3. GRI Pricing'!Y321</f>
        <v>0</v>
      </c>
    </row>
    <row r="312" spans="3:21" x14ac:dyDescent="0.2">
      <c r="C312" s="23">
        <f>'3. GRI Pricing'!C322</f>
        <v>0</v>
      </c>
      <c r="D312" s="16">
        <f>'3. GRI Pricing'!D322</f>
        <v>0</v>
      </c>
      <c r="E312" s="16">
        <f>'3. GRI Pricing'!E322</f>
        <v>0</v>
      </c>
      <c r="F312" s="16">
        <f>'3. GRI Pricing'!F322</f>
        <v>0</v>
      </c>
      <c r="G312" s="16">
        <f>'3. GRI Pricing'!G322</f>
        <v>0</v>
      </c>
      <c r="H312" s="16">
        <f>'3. GRI Pricing'!H322</f>
        <v>0</v>
      </c>
      <c r="I312" s="280">
        <f>'3. GRI Pricing'!K322</f>
        <v>0</v>
      </c>
      <c r="J312" s="281">
        <f>'3. GRI Pricing'!O322</f>
        <v>0</v>
      </c>
      <c r="K312" s="281">
        <f>'3. GRI Pricing'!L322</f>
        <v>0</v>
      </c>
      <c r="L312" s="281">
        <f>'3. GRI Pricing'!P322</f>
        <v>0</v>
      </c>
      <c r="M312" s="281">
        <f>'3. GRI Pricing'!R322</f>
        <v>0</v>
      </c>
      <c r="N312" s="281">
        <f>'3. GRI Pricing'!S322</f>
        <v>0</v>
      </c>
      <c r="O312" s="281">
        <f>'3. GRI Pricing'!Q322</f>
        <v>0</v>
      </c>
      <c r="P312" s="281">
        <f>'3. GRI Pricing'!T322</f>
        <v>0</v>
      </c>
      <c r="Q312" s="281">
        <f>'3. GRI Pricing'!U322</f>
        <v>0</v>
      </c>
      <c r="R312" s="281">
        <f>'3. GRI Pricing'!V322</f>
        <v>0</v>
      </c>
      <c r="S312" s="281">
        <f>'3. GRI Pricing'!W322</f>
        <v>0</v>
      </c>
      <c r="T312" s="281">
        <f>'3. GRI Pricing'!X322</f>
        <v>0</v>
      </c>
      <c r="U312" s="282">
        <f>'3. GRI Pricing'!Y322</f>
        <v>0</v>
      </c>
    </row>
    <row r="313" spans="3:21" x14ac:dyDescent="0.2">
      <c r="C313" s="23">
        <f>'3. GRI Pricing'!C323</f>
        <v>0</v>
      </c>
      <c r="D313" s="16">
        <f>'3. GRI Pricing'!D323</f>
        <v>0</v>
      </c>
      <c r="E313" s="16">
        <f>'3. GRI Pricing'!E323</f>
        <v>0</v>
      </c>
      <c r="F313" s="16">
        <f>'3. GRI Pricing'!F323</f>
        <v>0</v>
      </c>
      <c r="G313" s="16">
        <f>'3. GRI Pricing'!G323</f>
        <v>0</v>
      </c>
      <c r="H313" s="16">
        <f>'3. GRI Pricing'!H323</f>
        <v>0</v>
      </c>
      <c r="I313" s="280">
        <f>'3. GRI Pricing'!K323</f>
        <v>0</v>
      </c>
      <c r="J313" s="281">
        <f>'3. GRI Pricing'!O323</f>
        <v>0</v>
      </c>
      <c r="K313" s="281">
        <f>'3. GRI Pricing'!L323</f>
        <v>0</v>
      </c>
      <c r="L313" s="281">
        <f>'3. GRI Pricing'!P323</f>
        <v>0</v>
      </c>
      <c r="M313" s="281">
        <f>'3. GRI Pricing'!R323</f>
        <v>0</v>
      </c>
      <c r="N313" s="281">
        <f>'3. GRI Pricing'!S323</f>
        <v>0</v>
      </c>
      <c r="O313" s="281">
        <f>'3. GRI Pricing'!Q323</f>
        <v>0</v>
      </c>
      <c r="P313" s="281">
        <f>'3. GRI Pricing'!T323</f>
        <v>0</v>
      </c>
      <c r="Q313" s="281">
        <f>'3. GRI Pricing'!U323</f>
        <v>0</v>
      </c>
      <c r="R313" s="281">
        <f>'3. GRI Pricing'!V323</f>
        <v>0</v>
      </c>
      <c r="S313" s="281">
        <f>'3. GRI Pricing'!W323</f>
        <v>0</v>
      </c>
      <c r="T313" s="281">
        <f>'3. GRI Pricing'!X323</f>
        <v>0</v>
      </c>
      <c r="U313" s="282">
        <f>'3. GRI Pricing'!Y323</f>
        <v>0</v>
      </c>
    </row>
    <row r="314" spans="3:21" x14ac:dyDescent="0.2">
      <c r="C314" s="23">
        <f>'3. GRI Pricing'!C324</f>
        <v>0</v>
      </c>
      <c r="D314" s="16">
        <f>'3. GRI Pricing'!D324</f>
        <v>0</v>
      </c>
      <c r="E314" s="16">
        <f>'3. GRI Pricing'!E324</f>
        <v>0</v>
      </c>
      <c r="F314" s="16">
        <f>'3. GRI Pricing'!F324</f>
        <v>0</v>
      </c>
      <c r="G314" s="16">
        <f>'3. GRI Pricing'!G324</f>
        <v>0</v>
      </c>
      <c r="H314" s="16">
        <f>'3. GRI Pricing'!H324</f>
        <v>0</v>
      </c>
      <c r="I314" s="280">
        <f>'3. GRI Pricing'!K324</f>
        <v>0</v>
      </c>
      <c r="J314" s="281">
        <f>'3. GRI Pricing'!O324</f>
        <v>0</v>
      </c>
      <c r="K314" s="281">
        <f>'3. GRI Pricing'!L324</f>
        <v>0</v>
      </c>
      <c r="L314" s="281">
        <f>'3. GRI Pricing'!P324</f>
        <v>0</v>
      </c>
      <c r="M314" s="281">
        <f>'3. GRI Pricing'!R324</f>
        <v>0</v>
      </c>
      <c r="N314" s="281">
        <f>'3. GRI Pricing'!S324</f>
        <v>0</v>
      </c>
      <c r="O314" s="281">
        <f>'3. GRI Pricing'!Q324</f>
        <v>0</v>
      </c>
      <c r="P314" s="281">
        <f>'3. GRI Pricing'!T324</f>
        <v>0</v>
      </c>
      <c r="Q314" s="281">
        <f>'3. GRI Pricing'!U324</f>
        <v>0</v>
      </c>
      <c r="R314" s="281">
        <f>'3. GRI Pricing'!V324</f>
        <v>0</v>
      </c>
      <c r="S314" s="281">
        <f>'3. GRI Pricing'!W324</f>
        <v>0</v>
      </c>
      <c r="T314" s="281">
        <f>'3. GRI Pricing'!X324</f>
        <v>0</v>
      </c>
      <c r="U314" s="282">
        <f>'3. GRI Pricing'!Y324</f>
        <v>0</v>
      </c>
    </row>
    <row r="315" spans="3:21" x14ac:dyDescent="0.2">
      <c r="C315" s="23">
        <f>'3. GRI Pricing'!C325</f>
        <v>0</v>
      </c>
      <c r="D315" s="16">
        <f>'3. GRI Pricing'!D325</f>
        <v>0</v>
      </c>
      <c r="E315" s="16">
        <f>'3. GRI Pricing'!E325</f>
        <v>0</v>
      </c>
      <c r="F315" s="16">
        <f>'3. GRI Pricing'!F325</f>
        <v>0</v>
      </c>
      <c r="G315" s="16">
        <f>'3. GRI Pricing'!G325</f>
        <v>0</v>
      </c>
      <c r="H315" s="16">
        <f>'3. GRI Pricing'!H325</f>
        <v>0</v>
      </c>
      <c r="I315" s="280">
        <f>'3. GRI Pricing'!K325</f>
        <v>0</v>
      </c>
      <c r="J315" s="281">
        <f>'3. GRI Pricing'!O325</f>
        <v>0</v>
      </c>
      <c r="K315" s="281">
        <f>'3. GRI Pricing'!L325</f>
        <v>0</v>
      </c>
      <c r="L315" s="281">
        <f>'3. GRI Pricing'!P325</f>
        <v>0</v>
      </c>
      <c r="M315" s="281">
        <f>'3. GRI Pricing'!R325</f>
        <v>0</v>
      </c>
      <c r="N315" s="281">
        <f>'3. GRI Pricing'!S325</f>
        <v>0</v>
      </c>
      <c r="O315" s="281">
        <f>'3. GRI Pricing'!Q325</f>
        <v>0</v>
      </c>
      <c r="P315" s="281">
        <f>'3. GRI Pricing'!T325</f>
        <v>0</v>
      </c>
      <c r="Q315" s="281">
        <f>'3. GRI Pricing'!U325</f>
        <v>0</v>
      </c>
      <c r="R315" s="281">
        <f>'3. GRI Pricing'!V325</f>
        <v>0</v>
      </c>
      <c r="S315" s="281">
        <f>'3. GRI Pricing'!W325</f>
        <v>0</v>
      </c>
      <c r="T315" s="281">
        <f>'3. GRI Pricing'!X325</f>
        <v>0</v>
      </c>
      <c r="U315" s="282">
        <f>'3. GRI Pricing'!Y325</f>
        <v>0</v>
      </c>
    </row>
    <row r="316" spans="3:21" x14ac:dyDescent="0.2">
      <c r="C316" s="23">
        <f>'3. GRI Pricing'!C326</f>
        <v>0</v>
      </c>
      <c r="D316" s="16">
        <f>'3. GRI Pricing'!D326</f>
        <v>0</v>
      </c>
      <c r="E316" s="16">
        <f>'3. GRI Pricing'!E326</f>
        <v>0</v>
      </c>
      <c r="F316" s="16">
        <f>'3. GRI Pricing'!F326</f>
        <v>0</v>
      </c>
      <c r="G316" s="16">
        <f>'3. GRI Pricing'!G326</f>
        <v>0</v>
      </c>
      <c r="H316" s="16">
        <f>'3. GRI Pricing'!H326</f>
        <v>0</v>
      </c>
      <c r="I316" s="280">
        <f>'3. GRI Pricing'!K326</f>
        <v>0</v>
      </c>
      <c r="J316" s="281">
        <f>'3. GRI Pricing'!O326</f>
        <v>0</v>
      </c>
      <c r="K316" s="281">
        <f>'3. GRI Pricing'!L326</f>
        <v>0</v>
      </c>
      <c r="L316" s="281">
        <f>'3. GRI Pricing'!P326</f>
        <v>0</v>
      </c>
      <c r="M316" s="281">
        <f>'3. GRI Pricing'!R326</f>
        <v>0</v>
      </c>
      <c r="N316" s="281">
        <f>'3. GRI Pricing'!S326</f>
        <v>0</v>
      </c>
      <c r="O316" s="281">
        <f>'3. GRI Pricing'!Q326</f>
        <v>0</v>
      </c>
      <c r="P316" s="281">
        <f>'3. GRI Pricing'!T326</f>
        <v>0</v>
      </c>
      <c r="Q316" s="281">
        <f>'3. GRI Pricing'!U326</f>
        <v>0</v>
      </c>
      <c r="R316" s="281">
        <f>'3. GRI Pricing'!V326</f>
        <v>0</v>
      </c>
      <c r="S316" s="281">
        <f>'3. GRI Pricing'!W326</f>
        <v>0</v>
      </c>
      <c r="T316" s="281">
        <f>'3. GRI Pricing'!X326</f>
        <v>0</v>
      </c>
      <c r="U316" s="282">
        <f>'3. GRI Pricing'!Y326</f>
        <v>0</v>
      </c>
    </row>
    <row r="317" spans="3:21" x14ac:dyDescent="0.2">
      <c r="C317" s="23">
        <f>'3. GRI Pricing'!C327</f>
        <v>0</v>
      </c>
      <c r="D317" s="16">
        <f>'3. GRI Pricing'!D327</f>
        <v>0</v>
      </c>
      <c r="E317" s="16">
        <f>'3. GRI Pricing'!E327</f>
        <v>0</v>
      </c>
      <c r="F317" s="16">
        <f>'3. GRI Pricing'!F327</f>
        <v>0</v>
      </c>
      <c r="G317" s="16">
        <f>'3. GRI Pricing'!G327</f>
        <v>0</v>
      </c>
      <c r="H317" s="16">
        <f>'3. GRI Pricing'!H327</f>
        <v>0</v>
      </c>
      <c r="I317" s="280">
        <f>'3. GRI Pricing'!K327</f>
        <v>0</v>
      </c>
      <c r="J317" s="281">
        <f>'3. GRI Pricing'!O327</f>
        <v>0</v>
      </c>
      <c r="K317" s="281">
        <f>'3. GRI Pricing'!L327</f>
        <v>0</v>
      </c>
      <c r="L317" s="281">
        <f>'3. GRI Pricing'!P327</f>
        <v>0</v>
      </c>
      <c r="M317" s="281">
        <f>'3. GRI Pricing'!R327</f>
        <v>0</v>
      </c>
      <c r="N317" s="281">
        <f>'3. GRI Pricing'!S327</f>
        <v>0</v>
      </c>
      <c r="O317" s="281">
        <f>'3. GRI Pricing'!Q327</f>
        <v>0</v>
      </c>
      <c r="P317" s="281">
        <f>'3. GRI Pricing'!T327</f>
        <v>0</v>
      </c>
      <c r="Q317" s="281">
        <f>'3. GRI Pricing'!U327</f>
        <v>0</v>
      </c>
      <c r="R317" s="281">
        <f>'3. GRI Pricing'!V327</f>
        <v>0</v>
      </c>
      <c r="S317" s="281">
        <f>'3. GRI Pricing'!W327</f>
        <v>0</v>
      </c>
      <c r="T317" s="281">
        <f>'3. GRI Pricing'!X327</f>
        <v>0</v>
      </c>
      <c r="U317" s="282">
        <f>'3. GRI Pricing'!Y327</f>
        <v>0</v>
      </c>
    </row>
    <row r="318" spans="3:21" x14ac:dyDescent="0.2">
      <c r="C318" s="23">
        <f>'3. GRI Pricing'!C328</f>
        <v>0</v>
      </c>
      <c r="D318" s="16">
        <f>'3. GRI Pricing'!D328</f>
        <v>0</v>
      </c>
      <c r="E318" s="16">
        <f>'3. GRI Pricing'!E328</f>
        <v>0</v>
      </c>
      <c r="F318" s="16">
        <f>'3. GRI Pricing'!F328</f>
        <v>0</v>
      </c>
      <c r="G318" s="16">
        <f>'3. GRI Pricing'!G328</f>
        <v>0</v>
      </c>
      <c r="H318" s="16">
        <f>'3. GRI Pricing'!H328</f>
        <v>0</v>
      </c>
      <c r="I318" s="280">
        <f>'3. GRI Pricing'!K328</f>
        <v>0</v>
      </c>
      <c r="J318" s="281">
        <f>'3. GRI Pricing'!O328</f>
        <v>0</v>
      </c>
      <c r="K318" s="281">
        <f>'3. GRI Pricing'!L328</f>
        <v>0</v>
      </c>
      <c r="L318" s="281">
        <f>'3. GRI Pricing'!P328</f>
        <v>0</v>
      </c>
      <c r="M318" s="281">
        <f>'3. GRI Pricing'!R328</f>
        <v>0</v>
      </c>
      <c r="N318" s="281">
        <f>'3. GRI Pricing'!S328</f>
        <v>0</v>
      </c>
      <c r="O318" s="281">
        <f>'3. GRI Pricing'!Q328</f>
        <v>0</v>
      </c>
      <c r="P318" s="281">
        <f>'3. GRI Pricing'!T328</f>
        <v>0</v>
      </c>
      <c r="Q318" s="281">
        <f>'3. GRI Pricing'!U328</f>
        <v>0</v>
      </c>
      <c r="R318" s="281">
        <f>'3. GRI Pricing'!V328</f>
        <v>0</v>
      </c>
      <c r="S318" s="281">
        <f>'3. GRI Pricing'!W328</f>
        <v>0</v>
      </c>
      <c r="T318" s="281">
        <f>'3. GRI Pricing'!X328</f>
        <v>0</v>
      </c>
      <c r="U318" s="282">
        <f>'3. GRI Pricing'!Y328</f>
        <v>0</v>
      </c>
    </row>
    <row r="319" spans="3:21" x14ac:dyDescent="0.2">
      <c r="C319" s="23">
        <f>'3. GRI Pricing'!C329</f>
        <v>0</v>
      </c>
      <c r="D319" s="16">
        <f>'3. GRI Pricing'!D329</f>
        <v>0</v>
      </c>
      <c r="E319" s="16">
        <f>'3. GRI Pricing'!E329</f>
        <v>0</v>
      </c>
      <c r="F319" s="16">
        <f>'3. GRI Pricing'!F329</f>
        <v>0</v>
      </c>
      <c r="G319" s="16">
        <f>'3. GRI Pricing'!G329</f>
        <v>0</v>
      </c>
      <c r="H319" s="16">
        <f>'3. GRI Pricing'!H329</f>
        <v>0</v>
      </c>
      <c r="I319" s="280">
        <f>'3. GRI Pricing'!K329</f>
        <v>0</v>
      </c>
      <c r="J319" s="281">
        <f>'3. GRI Pricing'!O329</f>
        <v>0</v>
      </c>
      <c r="K319" s="281">
        <f>'3. GRI Pricing'!L329</f>
        <v>0</v>
      </c>
      <c r="L319" s="281">
        <f>'3. GRI Pricing'!P329</f>
        <v>0</v>
      </c>
      <c r="M319" s="281">
        <f>'3. GRI Pricing'!R329</f>
        <v>0</v>
      </c>
      <c r="N319" s="281">
        <f>'3. GRI Pricing'!S329</f>
        <v>0</v>
      </c>
      <c r="O319" s="281">
        <f>'3. GRI Pricing'!Q329</f>
        <v>0</v>
      </c>
      <c r="P319" s="281">
        <f>'3. GRI Pricing'!T329</f>
        <v>0</v>
      </c>
      <c r="Q319" s="281">
        <f>'3. GRI Pricing'!U329</f>
        <v>0</v>
      </c>
      <c r="R319" s="281">
        <f>'3. GRI Pricing'!V329</f>
        <v>0</v>
      </c>
      <c r="S319" s="281">
        <f>'3. GRI Pricing'!W329</f>
        <v>0</v>
      </c>
      <c r="T319" s="281">
        <f>'3. GRI Pricing'!X329</f>
        <v>0</v>
      </c>
      <c r="U319" s="282">
        <f>'3. GRI Pricing'!Y329</f>
        <v>0</v>
      </c>
    </row>
    <row r="320" spans="3:21" x14ac:dyDescent="0.2">
      <c r="C320" s="23">
        <f>'3. GRI Pricing'!C330</f>
        <v>0</v>
      </c>
      <c r="D320" s="16">
        <f>'3. GRI Pricing'!D330</f>
        <v>0</v>
      </c>
      <c r="E320" s="16">
        <f>'3. GRI Pricing'!E330</f>
        <v>0</v>
      </c>
      <c r="F320" s="16">
        <f>'3. GRI Pricing'!F330</f>
        <v>0</v>
      </c>
      <c r="G320" s="16">
        <f>'3. GRI Pricing'!G330</f>
        <v>0</v>
      </c>
      <c r="H320" s="16">
        <f>'3. GRI Pricing'!H330</f>
        <v>0</v>
      </c>
      <c r="I320" s="280">
        <f>'3. GRI Pricing'!K330</f>
        <v>0</v>
      </c>
      <c r="J320" s="281">
        <f>'3. GRI Pricing'!O330</f>
        <v>0</v>
      </c>
      <c r="K320" s="281">
        <f>'3. GRI Pricing'!L330</f>
        <v>0</v>
      </c>
      <c r="L320" s="281">
        <f>'3. GRI Pricing'!P330</f>
        <v>0</v>
      </c>
      <c r="M320" s="281">
        <f>'3. GRI Pricing'!R330</f>
        <v>0</v>
      </c>
      <c r="N320" s="281">
        <f>'3. GRI Pricing'!S330</f>
        <v>0</v>
      </c>
      <c r="O320" s="281">
        <f>'3. GRI Pricing'!Q330</f>
        <v>0</v>
      </c>
      <c r="P320" s="281">
        <f>'3. GRI Pricing'!T330</f>
        <v>0</v>
      </c>
      <c r="Q320" s="281">
        <f>'3. GRI Pricing'!U330</f>
        <v>0</v>
      </c>
      <c r="R320" s="281">
        <f>'3. GRI Pricing'!V330</f>
        <v>0</v>
      </c>
      <c r="S320" s="281">
        <f>'3. GRI Pricing'!W330</f>
        <v>0</v>
      </c>
      <c r="T320" s="281">
        <f>'3. GRI Pricing'!X330</f>
        <v>0</v>
      </c>
      <c r="U320" s="282">
        <f>'3. GRI Pricing'!Y330</f>
        <v>0</v>
      </c>
    </row>
    <row r="321" spans="3:21" x14ac:dyDescent="0.2">
      <c r="C321" s="23">
        <f>'3. GRI Pricing'!C331</f>
        <v>0</v>
      </c>
      <c r="D321" s="16">
        <f>'3. GRI Pricing'!D331</f>
        <v>0</v>
      </c>
      <c r="E321" s="16">
        <f>'3. GRI Pricing'!E331</f>
        <v>0</v>
      </c>
      <c r="F321" s="16">
        <f>'3. GRI Pricing'!F331</f>
        <v>0</v>
      </c>
      <c r="G321" s="16">
        <f>'3. GRI Pricing'!G331</f>
        <v>0</v>
      </c>
      <c r="H321" s="16">
        <f>'3. GRI Pricing'!H331</f>
        <v>0</v>
      </c>
      <c r="I321" s="280">
        <f>'3. GRI Pricing'!K331</f>
        <v>0</v>
      </c>
      <c r="J321" s="281">
        <f>'3. GRI Pricing'!O331</f>
        <v>0</v>
      </c>
      <c r="K321" s="281">
        <f>'3. GRI Pricing'!L331</f>
        <v>0</v>
      </c>
      <c r="L321" s="281">
        <f>'3. GRI Pricing'!P331</f>
        <v>0</v>
      </c>
      <c r="M321" s="281">
        <f>'3. GRI Pricing'!R331</f>
        <v>0</v>
      </c>
      <c r="N321" s="281">
        <f>'3. GRI Pricing'!S331</f>
        <v>0</v>
      </c>
      <c r="O321" s="281">
        <f>'3. GRI Pricing'!Q331</f>
        <v>0</v>
      </c>
      <c r="P321" s="281">
        <f>'3. GRI Pricing'!T331</f>
        <v>0</v>
      </c>
      <c r="Q321" s="281">
        <f>'3. GRI Pricing'!U331</f>
        <v>0</v>
      </c>
      <c r="R321" s="281">
        <f>'3. GRI Pricing'!V331</f>
        <v>0</v>
      </c>
      <c r="S321" s="281">
        <f>'3. GRI Pricing'!W331</f>
        <v>0</v>
      </c>
      <c r="T321" s="281">
        <f>'3. GRI Pricing'!X331</f>
        <v>0</v>
      </c>
      <c r="U321" s="282">
        <f>'3. GRI Pricing'!Y331</f>
        <v>0</v>
      </c>
    </row>
    <row r="322" spans="3:21" x14ac:dyDescent="0.2">
      <c r="C322" s="23">
        <f>'3. GRI Pricing'!C332</f>
        <v>0</v>
      </c>
      <c r="D322" s="16">
        <f>'3. GRI Pricing'!D332</f>
        <v>0</v>
      </c>
      <c r="E322" s="16">
        <f>'3. GRI Pricing'!E332</f>
        <v>0</v>
      </c>
      <c r="F322" s="16">
        <f>'3. GRI Pricing'!F332</f>
        <v>0</v>
      </c>
      <c r="G322" s="16">
        <f>'3. GRI Pricing'!G332</f>
        <v>0</v>
      </c>
      <c r="H322" s="16">
        <f>'3. GRI Pricing'!H332</f>
        <v>0</v>
      </c>
      <c r="I322" s="280">
        <f>'3. GRI Pricing'!K332</f>
        <v>0</v>
      </c>
      <c r="J322" s="281">
        <f>'3. GRI Pricing'!O332</f>
        <v>0</v>
      </c>
      <c r="K322" s="281">
        <f>'3. GRI Pricing'!L332</f>
        <v>0</v>
      </c>
      <c r="L322" s="281">
        <f>'3. GRI Pricing'!P332</f>
        <v>0</v>
      </c>
      <c r="M322" s="281">
        <f>'3. GRI Pricing'!R332</f>
        <v>0</v>
      </c>
      <c r="N322" s="281">
        <f>'3. GRI Pricing'!S332</f>
        <v>0</v>
      </c>
      <c r="O322" s="281">
        <f>'3. GRI Pricing'!Q332</f>
        <v>0</v>
      </c>
      <c r="P322" s="281">
        <f>'3. GRI Pricing'!T332</f>
        <v>0</v>
      </c>
      <c r="Q322" s="281">
        <f>'3. GRI Pricing'!U332</f>
        <v>0</v>
      </c>
      <c r="R322" s="281">
        <f>'3. GRI Pricing'!V332</f>
        <v>0</v>
      </c>
      <c r="S322" s="281">
        <f>'3. GRI Pricing'!W332</f>
        <v>0</v>
      </c>
      <c r="T322" s="281">
        <f>'3. GRI Pricing'!X332</f>
        <v>0</v>
      </c>
      <c r="U322" s="282">
        <f>'3. GRI Pricing'!Y332</f>
        <v>0</v>
      </c>
    </row>
    <row r="323" spans="3:21" x14ac:dyDescent="0.2">
      <c r="C323" s="23">
        <f>'3. GRI Pricing'!C333</f>
        <v>0</v>
      </c>
      <c r="D323" s="16">
        <f>'3. GRI Pricing'!D333</f>
        <v>0</v>
      </c>
      <c r="E323" s="16">
        <f>'3. GRI Pricing'!E333</f>
        <v>0</v>
      </c>
      <c r="F323" s="16">
        <f>'3. GRI Pricing'!F333</f>
        <v>0</v>
      </c>
      <c r="G323" s="16">
        <f>'3. GRI Pricing'!G333</f>
        <v>0</v>
      </c>
      <c r="H323" s="16">
        <f>'3. GRI Pricing'!H333</f>
        <v>0</v>
      </c>
      <c r="I323" s="280">
        <f>'3. GRI Pricing'!K333</f>
        <v>0</v>
      </c>
      <c r="J323" s="281">
        <f>'3. GRI Pricing'!O333</f>
        <v>0</v>
      </c>
      <c r="K323" s="281">
        <f>'3. GRI Pricing'!L333</f>
        <v>0</v>
      </c>
      <c r="L323" s="281">
        <f>'3. GRI Pricing'!P333</f>
        <v>0</v>
      </c>
      <c r="M323" s="281">
        <f>'3. GRI Pricing'!R333</f>
        <v>0</v>
      </c>
      <c r="N323" s="281">
        <f>'3. GRI Pricing'!S333</f>
        <v>0</v>
      </c>
      <c r="O323" s="281">
        <f>'3. GRI Pricing'!Q333</f>
        <v>0</v>
      </c>
      <c r="P323" s="281">
        <f>'3. GRI Pricing'!T333</f>
        <v>0</v>
      </c>
      <c r="Q323" s="281">
        <f>'3. GRI Pricing'!U333</f>
        <v>0</v>
      </c>
      <c r="R323" s="281">
        <f>'3. GRI Pricing'!V333</f>
        <v>0</v>
      </c>
      <c r="S323" s="281">
        <f>'3. GRI Pricing'!W333</f>
        <v>0</v>
      </c>
      <c r="T323" s="281">
        <f>'3. GRI Pricing'!X333</f>
        <v>0</v>
      </c>
      <c r="U323" s="282">
        <f>'3. GRI Pricing'!Y333</f>
        <v>0</v>
      </c>
    </row>
    <row r="324" spans="3:21" x14ac:dyDescent="0.2">
      <c r="C324" s="23">
        <f>'3. GRI Pricing'!C334</f>
        <v>0</v>
      </c>
      <c r="D324" s="16">
        <f>'3. GRI Pricing'!D334</f>
        <v>0</v>
      </c>
      <c r="E324" s="16">
        <f>'3. GRI Pricing'!E334</f>
        <v>0</v>
      </c>
      <c r="F324" s="16">
        <f>'3. GRI Pricing'!F334</f>
        <v>0</v>
      </c>
      <c r="G324" s="16">
        <f>'3. GRI Pricing'!G334</f>
        <v>0</v>
      </c>
      <c r="H324" s="16">
        <f>'3. GRI Pricing'!H334</f>
        <v>0</v>
      </c>
      <c r="I324" s="280">
        <f>'3. GRI Pricing'!K334</f>
        <v>0</v>
      </c>
      <c r="J324" s="281">
        <f>'3. GRI Pricing'!O334</f>
        <v>0</v>
      </c>
      <c r="K324" s="281">
        <f>'3. GRI Pricing'!L334</f>
        <v>0</v>
      </c>
      <c r="L324" s="281">
        <f>'3. GRI Pricing'!P334</f>
        <v>0</v>
      </c>
      <c r="M324" s="281">
        <f>'3. GRI Pricing'!R334</f>
        <v>0</v>
      </c>
      <c r="N324" s="281">
        <f>'3. GRI Pricing'!S334</f>
        <v>0</v>
      </c>
      <c r="O324" s="281">
        <f>'3. GRI Pricing'!Q334</f>
        <v>0</v>
      </c>
      <c r="P324" s="281">
        <f>'3. GRI Pricing'!T334</f>
        <v>0</v>
      </c>
      <c r="Q324" s="281">
        <f>'3. GRI Pricing'!U334</f>
        <v>0</v>
      </c>
      <c r="R324" s="281">
        <f>'3. GRI Pricing'!V334</f>
        <v>0</v>
      </c>
      <c r="S324" s="281">
        <f>'3. GRI Pricing'!W334</f>
        <v>0</v>
      </c>
      <c r="T324" s="281">
        <f>'3. GRI Pricing'!X334</f>
        <v>0</v>
      </c>
      <c r="U324" s="282">
        <f>'3. GRI Pricing'!Y334</f>
        <v>0</v>
      </c>
    </row>
    <row r="325" spans="3:21" x14ac:dyDescent="0.2">
      <c r="C325" s="23">
        <f>'3. GRI Pricing'!C335</f>
        <v>0</v>
      </c>
      <c r="D325" s="16">
        <f>'3. GRI Pricing'!D335</f>
        <v>0</v>
      </c>
      <c r="E325" s="16">
        <f>'3. GRI Pricing'!E335</f>
        <v>0</v>
      </c>
      <c r="F325" s="16">
        <f>'3. GRI Pricing'!F335</f>
        <v>0</v>
      </c>
      <c r="G325" s="16">
        <f>'3. GRI Pricing'!G335</f>
        <v>0</v>
      </c>
      <c r="H325" s="16">
        <f>'3. GRI Pricing'!H335</f>
        <v>0</v>
      </c>
      <c r="I325" s="280">
        <f>'3. GRI Pricing'!K335</f>
        <v>0</v>
      </c>
      <c r="J325" s="281">
        <f>'3. GRI Pricing'!O335</f>
        <v>0</v>
      </c>
      <c r="K325" s="281">
        <f>'3. GRI Pricing'!L335</f>
        <v>0</v>
      </c>
      <c r="L325" s="281">
        <f>'3. GRI Pricing'!P335</f>
        <v>0</v>
      </c>
      <c r="M325" s="281">
        <f>'3. GRI Pricing'!R335</f>
        <v>0</v>
      </c>
      <c r="N325" s="281">
        <f>'3. GRI Pricing'!S335</f>
        <v>0</v>
      </c>
      <c r="O325" s="281">
        <f>'3. GRI Pricing'!Q335</f>
        <v>0</v>
      </c>
      <c r="P325" s="281">
        <f>'3. GRI Pricing'!T335</f>
        <v>0</v>
      </c>
      <c r="Q325" s="281">
        <f>'3. GRI Pricing'!U335</f>
        <v>0</v>
      </c>
      <c r="R325" s="281">
        <f>'3. GRI Pricing'!V335</f>
        <v>0</v>
      </c>
      <c r="S325" s="281">
        <f>'3. GRI Pricing'!W335</f>
        <v>0</v>
      </c>
      <c r="T325" s="281">
        <f>'3. GRI Pricing'!X335</f>
        <v>0</v>
      </c>
      <c r="U325" s="282">
        <f>'3. GRI Pricing'!Y335</f>
        <v>0</v>
      </c>
    </row>
    <row r="326" spans="3:21" x14ac:dyDescent="0.2">
      <c r="C326" s="23">
        <f>'3. GRI Pricing'!C336</f>
        <v>0</v>
      </c>
      <c r="D326" s="16">
        <f>'3. GRI Pricing'!D336</f>
        <v>0</v>
      </c>
      <c r="E326" s="16">
        <f>'3. GRI Pricing'!E336</f>
        <v>0</v>
      </c>
      <c r="F326" s="16">
        <f>'3. GRI Pricing'!F336</f>
        <v>0</v>
      </c>
      <c r="G326" s="16">
        <f>'3. GRI Pricing'!G336</f>
        <v>0</v>
      </c>
      <c r="H326" s="16">
        <f>'3. GRI Pricing'!H336</f>
        <v>0</v>
      </c>
      <c r="I326" s="280">
        <f>'3. GRI Pricing'!K336</f>
        <v>0</v>
      </c>
      <c r="J326" s="281">
        <f>'3. GRI Pricing'!O336</f>
        <v>0</v>
      </c>
      <c r="K326" s="281">
        <f>'3. GRI Pricing'!L336</f>
        <v>0</v>
      </c>
      <c r="L326" s="281">
        <f>'3. GRI Pricing'!P336</f>
        <v>0</v>
      </c>
      <c r="M326" s="281">
        <f>'3. GRI Pricing'!R336</f>
        <v>0</v>
      </c>
      <c r="N326" s="281">
        <f>'3. GRI Pricing'!S336</f>
        <v>0</v>
      </c>
      <c r="O326" s="281">
        <f>'3. GRI Pricing'!Q336</f>
        <v>0</v>
      </c>
      <c r="P326" s="281">
        <f>'3. GRI Pricing'!T336</f>
        <v>0</v>
      </c>
      <c r="Q326" s="281">
        <f>'3. GRI Pricing'!U336</f>
        <v>0</v>
      </c>
      <c r="R326" s="281">
        <f>'3. GRI Pricing'!V336</f>
        <v>0</v>
      </c>
      <c r="S326" s="281">
        <f>'3. GRI Pricing'!W336</f>
        <v>0</v>
      </c>
      <c r="T326" s="281">
        <f>'3. GRI Pricing'!X336</f>
        <v>0</v>
      </c>
      <c r="U326" s="282">
        <f>'3. GRI Pricing'!Y336</f>
        <v>0</v>
      </c>
    </row>
    <row r="327" spans="3:21" x14ac:dyDescent="0.2">
      <c r="C327" s="23">
        <f>'3. GRI Pricing'!C337</f>
        <v>0</v>
      </c>
      <c r="D327" s="16">
        <f>'3. GRI Pricing'!D337</f>
        <v>0</v>
      </c>
      <c r="E327" s="16">
        <f>'3. GRI Pricing'!E337</f>
        <v>0</v>
      </c>
      <c r="F327" s="16">
        <f>'3. GRI Pricing'!F337</f>
        <v>0</v>
      </c>
      <c r="G327" s="16">
        <f>'3. GRI Pricing'!G337</f>
        <v>0</v>
      </c>
      <c r="H327" s="16">
        <f>'3. GRI Pricing'!H337</f>
        <v>0</v>
      </c>
      <c r="I327" s="280">
        <f>'3. GRI Pricing'!K337</f>
        <v>0</v>
      </c>
      <c r="J327" s="281">
        <f>'3. GRI Pricing'!O337</f>
        <v>0</v>
      </c>
      <c r="K327" s="281">
        <f>'3. GRI Pricing'!L337</f>
        <v>0</v>
      </c>
      <c r="L327" s="281">
        <f>'3. GRI Pricing'!P337</f>
        <v>0</v>
      </c>
      <c r="M327" s="281">
        <f>'3. GRI Pricing'!R337</f>
        <v>0</v>
      </c>
      <c r="N327" s="281">
        <f>'3. GRI Pricing'!S337</f>
        <v>0</v>
      </c>
      <c r="O327" s="281">
        <f>'3. GRI Pricing'!Q337</f>
        <v>0</v>
      </c>
      <c r="P327" s="281">
        <f>'3. GRI Pricing'!T337</f>
        <v>0</v>
      </c>
      <c r="Q327" s="281">
        <f>'3. GRI Pricing'!U337</f>
        <v>0</v>
      </c>
      <c r="R327" s="281">
        <f>'3. GRI Pricing'!V337</f>
        <v>0</v>
      </c>
      <c r="S327" s="281">
        <f>'3. GRI Pricing'!W337</f>
        <v>0</v>
      </c>
      <c r="T327" s="281">
        <f>'3. GRI Pricing'!X337</f>
        <v>0</v>
      </c>
      <c r="U327" s="282">
        <f>'3. GRI Pricing'!Y337</f>
        <v>0</v>
      </c>
    </row>
    <row r="328" spans="3:21" x14ac:dyDescent="0.2">
      <c r="C328" s="23">
        <f>'3. GRI Pricing'!C338</f>
        <v>0</v>
      </c>
      <c r="D328" s="16">
        <f>'3. GRI Pricing'!D338</f>
        <v>0</v>
      </c>
      <c r="E328" s="16">
        <f>'3. GRI Pricing'!E338</f>
        <v>0</v>
      </c>
      <c r="F328" s="16">
        <f>'3. GRI Pricing'!F338</f>
        <v>0</v>
      </c>
      <c r="G328" s="16">
        <f>'3. GRI Pricing'!G338</f>
        <v>0</v>
      </c>
      <c r="H328" s="16">
        <f>'3. GRI Pricing'!H338</f>
        <v>0</v>
      </c>
      <c r="I328" s="280">
        <f>'3. GRI Pricing'!K338</f>
        <v>0</v>
      </c>
      <c r="J328" s="281">
        <f>'3. GRI Pricing'!O338</f>
        <v>0</v>
      </c>
      <c r="K328" s="281">
        <f>'3. GRI Pricing'!L338</f>
        <v>0</v>
      </c>
      <c r="L328" s="281">
        <f>'3. GRI Pricing'!P338</f>
        <v>0</v>
      </c>
      <c r="M328" s="281">
        <f>'3. GRI Pricing'!R338</f>
        <v>0</v>
      </c>
      <c r="N328" s="281">
        <f>'3. GRI Pricing'!S338</f>
        <v>0</v>
      </c>
      <c r="O328" s="281">
        <f>'3. GRI Pricing'!Q338</f>
        <v>0</v>
      </c>
      <c r="P328" s="281">
        <f>'3. GRI Pricing'!T338</f>
        <v>0</v>
      </c>
      <c r="Q328" s="281">
        <f>'3. GRI Pricing'!U338</f>
        <v>0</v>
      </c>
      <c r="R328" s="281">
        <f>'3. GRI Pricing'!V338</f>
        <v>0</v>
      </c>
      <c r="S328" s="281">
        <f>'3. GRI Pricing'!W338</f>
        <v>0</v>
      </c>
      <c r="T328" s="281">
        <f>'3. GRI Pricing'!X338</f>
        <v>0</v>
      </c>
      <c r="U328" s="282">
        <f>'3. GRI Pricing'!Y338</f>
        <v>0</v>
      </c>
    </row>
    <row r="329" spans="3:21" x14ac:dyDescent="0.2">
      <c r="C329" s="23">
        <f>'3. GRI Pricing'!C339</f>
        <v>0</v>
      </c>
      <c r="D329" s="16">
        <f>'3. GRI Pricing'!D339</f>
        <v>0</v>
      </c>
      <c r="E329" s="16">
        <f>'3. GRI Pricing'!E339</f>
        <v>0</v>
      </c>
      <c r="F329" s="16">
        <f>'3. GRI Pricing'!F339</f>
        <v>0</v>
      </c>
      <c r="G329" s="16">
        <f>'3. GRI Pricing'!G339</f>
        <v>0</v>
      </c>
      <c r="H329" s="16">
        <f>'3. GRI Pricing'!H339</f>
        <v>0</v>
      </c>
      <c r="I329" s="280">
        <f>'3. GRI Pricing'!K339</f>
        <v>0</v>
      </c>
      <c r="J329" s="281">
        <f>'3. GRI Pricing'!O339</f>
        <v>0</v>
      </c>
      <c r="K329" s="281">
        <f>'3. GRI Pricing'!L339</f>
        <v>0</v>
      </c>
      <c r="L329" s="281">
        <f>'3. GRI Pricing'!P339</f>
        <v>0</v>
      </c>
      <c r="M329" s="281">
        <f>'3. GRI Pricing'!R339</f>
        <v>0</v>
      </c>
      <c r="N329" s="281">
        <f>'3. GRI Pricing'!S339</f>
        <v>0</v>
      </c>
      <c r="O329" s="281">
        <f>'3. GRI Pricing'!Q339</f>
        <v>0</v>
      </c>
      <c r="P329" s="281">
        <f>'3. GRI Pricing'!T339</f>
        <v>0</v>
      </c>
      <c r="Q329" s="281">
        <f>'3. GRI Pricing'!U339</f>
        <v>0</v>
      </c>
      <c r="R329" s="281">
        <f>'3. GRI Pricing'!V339</f>
        <v>0</v>
      </c>
      <c r="S329" s="281">
        <f>'3. GRI Pricing'!W339</f>
        <v>0</v>
      </c>
      <c r="T329" s="281">
        <f>'3. GRI Pricing'!X339</f>
        <v>0</v>
      </c>
      <c r="U329" s="282">
        <f>'3. GRI Pricing'!Y339</f>
        <v>0</v>
      </c>
    </row>
    <row r="330" spans="3:21" x14ac:dyDescent="0.2">
      <c r="C330" s="23">
        <f>'3. GRI Pricing'!C340</f>
        <v>0</v>
      </c>
      <c r="D330" s="16">
        <f>'3. GRI Pricing'!D340</f>
        <v>0</v>
      </c>
      <c r="E330" s="16">
        <f>'3. GRI Pricing'!E340</f>
        <v>0</v>
      </c>
      <c r="F330" s="16">
        <f>'3. GRI Pricing'!F340</f>
        <v>0</v>
      </c>
      <c r="G330" s="16">
        <f>'3. GRI Pricing'!G340</f>
        <v>0</v>
      </c>
      <c r="H330" s="16">
        <f>'3. GRI Pricing'!H340</f>
        <v>0</v>
      </c>
      <c r="I330" s="280">
        <f>'3. GRI Pricing'!K340</f>
        <v>0</v>
      </c>
      <c r="J330" s="281">
        <f>'3. GRI Pricing'!O340</f>
        <v>0</v>
      </c>
      <c r="K330" s="281">
        <f>'3. GRI Pricing'!L340</f>
        <v>0</v>
      </c>
      <c r="L330" s="281">
        <f>'3. GRI Pricing'!P340</f>
        <v>0</v>
      </c>
      <c r="M330" s="281">
        <f>'3. GRI Pricing'!R340</f>
        <v>0</v>
      </c>
      <c r="N330" s="281">
        <f>'3. GRI Pricing'!S340</f>
        <v>0</v>
      </c>
      <c r="O330" s="281">
        <f>'3. GRI Pricing'!Q340</f>
        <v>0</v>
      </c>
      <c r="P330" s="281">
        <f>'3. GRI Pricing'!T340</f>
        <v>0</v>
      </c>
      <c r="Q330" s="281">
        <f>'3. GRI Pricing'!U340</f>
        <v>0</v>
      </c>
      <c r="R330" s="281">
        <f>'3. GRI Pricing'!V340</f>
        <v>0</v>
      </c>
      <c r="S330" s="281">
        <f>'3. GRI Pricing'!W340</f>
        <v>0</v>
      </c>
      <c r="T330" s="281">
        <f>'3. GRI Pricing'!X340</f>
        <v>0</v>
      </c>
      <c r="U330" s="282">
        <f>'3. GRI Pricing'!Y340</f>
        <v>0</v>
      </c>
    </row>
    <row r="331" spans="3:21" x14ac:dyDescent="0.2">
      <c r="C331" s="23">
        <f>'3. GRI Pricing'!C341</f>
        <v>0</v>
      </c>
      <c r="D331" s="16">
        <f>'3. GRI Pricing'!D341</f>
        <v>0</v>
      </c>
      <c r="E331" s="16">
        <f>'3. GRI Pricing'!E341</f>
        <v>0</v>
      </c>
      <c r="F331" s="16">
        <f>'3. GRI Pricing'!F341</f>
        <v>0</v>
      </c>
      <c r="G331" s="16">
        <f>'3. GRI Pricing'!G341</f>
        <v>0</v>
      </c>
      <c r="H331" s="16">
        <f>'3. GRI Pricing'!H341</f>
        <v>0</v>
      </c>
      <c r="I331" s="280">
        <f>'3. GRI Pricing'!K341</f>
        <v>0</v>
      </c>
      <c r="J331" s="281">
        <f>'3. GRI Pricing'!O341</f>
        <v>0</v>
      </c>
      <c r="K331" s="281">
        <f>'3. GRI Pricing'!L341</f>
        <v>0</v>
      </c>
      <c r="L331" s="281">
        <f>'3. GRI Pricing'!P341</f>
        <v>0</v>
      </c>
      <c r="M331" s="281">
        <f>'3. GRI Pricing'!R341</f>
        <v>0</v>
      </c>
      <c r="N331" s="281">
        <f>'3. GRI Pricing'!S341</f>
        <v>0</v>
      </c>
      <c r="O331" s="281">
        <f>'3. GRI Pricing'!Q341</f>
        <v>0</v>
      </c>
      <c r="P331" s="281">
        <f>'3. GRI Pricing'!T341</f>
        <v>0</v>
      </c>
      <c r="Q331" s="281">
        <f>'3. GRI Pricing'!U341</f>
        <v>0</v>
      </c>
      <c r="R331" s="281">
        <f>'3. GRI Pricing'!V341</f>
        <v>0</v>
      </c>
      <c r="S331" s="281">
        <f>'3. GRI Pricing'!W341</f>
        <v>0</v>
      </c>
      <c r="T331" s="281">
        <f>'3. GRI Pricing'!X341</f>
        <v>0</v>
      </c>
      <c r="U331" s="282">
        <f>'3. GRI Pricing'!Y341</f>
        <v>0</v>
      </c>
    </row>
    <row r="332" spans="3:21" x14ac:dyDescent="0.2">
      <c r="C332" s="23">
        <f>'3. GRI Pricing'!C342</f>
        <v>0</v>
      </c>
      <c r="D332" s="16">
        <f>'3. GRI Pricing'!D342</f>
        <v>0</v>
      </c>
      <c r="E332" s="16">
        <f>'3. GRI Pricing'!E342</f>
        <v>0</v>
      </c>
      <c r="F332" s="16">
        <f>'3. GRI Pricing'!F342</f>
        <v>0</v>
      </c>
      <c r="G332" s="16">
        <f>'3. GRI Pricing'!G342</f>
        <v>0</v>
      </c>
      <c r="H332" s="16">
        <f>'3. GRI Pricing'!H342</f>
        <v>0</v>
      </c>
      <c r="I332" s="280">
        <f>'3. GRI Pricing'!K342</f>
        <v>0</v>
      </c>
      <c r="J332" s="281">
        <f>'3. GRI Pricing'!O342</f>
        <v>0</v>
      </c>
      <c r="K332" s="281">
        <f>'3. GRI Pricing'!L342</f>
        <v>0</v>
      </c>
      <c r="L332" s="281">
        <f>'3. GRI Pricing'!P342</f>
        <v>0</v>
      </c>
      <c r="M332" s="281">
        <f>'3. GRI Pricing'!R342</f>
        <v>0</v>
      </c>
      <c r="N332" s="281">
        <f>'3. GRI Pricing'!S342</f>
        <v>0</v>
      </c>
      <c r="O332" s="281">
        <f>'3. GRI Pricing'!Q342</f>
        <v>0</v>
      </c>
      <c r="P332" s="281">
        <f>'3. GRI Pricing'!T342</f>
        <v>0</v>
      </c>
      <c r="Q332" s="281">
        <f>'3. GRI Pricing'!U342</f>
        <v>0</v>
      </c>
      <c r="R332" s="281">
        <f>'3. GRI Pricing'!V342</f>
        <v>0</v>
      </c>
      <c r="S332" s="281">
        <f>'3. GRI Pricing'!W342</f>
        <v>0</v>
      </c>
      <c r="T332" s="281">
        <f>'3. GRI Pricing'!X342</f>
        <v>0</v>
      </c>
      <c r="U332" s="282">
        <f>'3. GRI Pricing'!Y342</f>
        <v>0</v>
      </c>
    </row>
    <row r="333" spans="3:21" x14ac:dyDescent="0.2">
      <c r="C333" s="23">
        <f>'3. GRI Pricing'!C343</f>
        <v>0</v>
      </c>
      <c r="D333" s="16">
        <f>'3. GRI Pricing'!D343</f>
        <v>0</v>
      </c>
      <c r="E333" s="16">
        <f>'3. GRI Pricing'!E343</f>
        <v>0</v>
      </c>
      <c r="F333" s="16">
        <f>'3. GRI Pricing'!F343</f>
        <v>0</v>
      </c>
      <c r="G333" s="16">
        <f>'3. GRI Pricing'!G343</f>
        <v>0</v>
      </c>
      <c r="H333" s="16">
        <f>'3. GRI Pricing'!H343</f>
        <v>0</v>
      </c>
      <c r="I333" s="280">
        <f>'3. GRI Pricing'!K343</f>
        <v>0</v>
      </c>
      <c r="J333" s="281">
        <f>'3. GRI Pricing'!O343</f>
        <v>0</v>
      </c>
      <c r="K333" s="281">
        <f>'3. GRI Pricing'!L343</f>
        <v>0</v>
      </c>
      <c r="L333" s="281">
        <f>'3. GRI Pricing'!P343</f>
        <v>0</v>
      </c>
      <c r="M333" s="281">
        <f>'3. GRI Pricing'!R343</f>
        <v>0</v>
      </c>
      <c r="N333" s="281">
        <f>'3. GRI Pricing'!S343</f>
        <v>0</v>
      </c>
      <c r="O333" s="281">
        <f>'3. GRI Pricing'!Q343</f>
        <v>0</v>
      </c>
      <c r="P333" s="281">
        <f>'3. GRI Pricing'!T343</f>
        <v>0</v>
      </c>
      <c r="Q333" s="281">
        <f>'3. GRI Pricing'!U343</f>
        <v>0</v>
      </c>
      <c r="R333" s="281">
        <f>'3. GRI Pricing'!V343</f>
        <v>0</v>
      </c>
      <c r="S333" s="281">
        <f>'3. GRI Pricing'!W343</f>
        <v>0</v>
      </c>
      <c r="T333" s="281">
        <f>'3. GRI Pricing'!X343</f>
        <v>0</v>
      </c>
      <c r="U333" s="282">
        <f>'3. GRI Pricing'!Y343</f>
        <v>0</v>
      </c>
    </row>
    <row r="334" spans="3:21" x14ac:dyDescent="0.2">
      <c r="C334" s="23">
        <f>'3. GRI Pricing'!C344</f>
        <v>0</v>
      </c>
      <c r="D334" s="16">
        <f>'3. GRI Pricing'!D344</f>
        <v>0</v>
      </c>
      <c r="E334" s="16">
        <f>'3. GRI Pricing'!E344</f>
        <v>0</v>
      </c>
      <c r="F334" s="16">
        <f>'3. GRI Pricing'!F344</f>
        <v>0</v>
      </c>
      <c r="G334" s="16">
        <f>'3. GRI Pricing'!G344</f>
        <v>0</v>
      </c>
      <c r="H334" s="16">
        <f>'3. GRI Pricing'!H344</f>
        <v>0</v>
      </c>
      <c r="I334" s="280">
        <f>'3. GRI Pricing'!K344</f>
        <v>0</v>
      </c>
      <c r="J334" s="281">
        <f>'3. GRI Pricing'!O344</f>
        <v>0</v>
      </c>
      <c r="K334" s="281">
        <f>'3. GRI Pricing'!L344</f>
        <v>0</v>
      </c>
      <c r="L334" s="281">
        <f>'3. GRI Pricing'!P344</f>
        <v>0</v>
      </c>
      <c r="M334" s="281">
        <f>'3. GRI Pricing'!R344</f>
        <v>0</v>
      </c>
      <c r="N334" s="281">
        <f>'3. GRI Pricing'!S344</f>
        <v>0</v>
      </c>
      <c r="O334" s="281">
        <f>'3. GRI Pricing'!Q344</f>
        <v>0</v>
      </c>
      <c r="P334" s="281">
        <f>'3. GRI Pricing'!T344</f>
        <v>0</v>
      </c>
      <c r="Q334" s="281">
        <f>'3. GRI Pricing'!U344</f>
        <v>0</v>
      </c>
      <c r="R334" s="281">
        <f>'3. GRI Pricing'!V344</f>
        <v>0</v>
      </c>
      <c r="S334" s="281">
        <f>'3. GRI Pricing'!W344</f>
        <v>0</v>
      </c>
      <c r="T334" s="281">
        <f>'3. GRI Pricing'!X344</f>
        <v>0</v>
      </c>
      <c r="U334" s="282">
        <f>'3. GRI Pricing'!Y344</f>
        <v>0</v>
      </c>
    </row>
    <row r="335" spans="3:21" x14ac:dyDescent="0.2">
      <c r="C335" s="23">
        <f>'3. GRI Pricing'!C345</f>
        <v>0</v>
      </c>
      <c r="D335" s="16">
        <f>'3. GRI Pricing'!D345</f>
        <v>0</v>
      </c>
      <c r="E335" s="16">
        <f>'3. GRI Pricing'!E345</f>
        <v>0</v>
      </c>
      <c r="F335" s="16">
        <f>'3. GRI Pricing'!F345</f>
        <v>0</v>
      </c>
      <c r="G335" s="16">
        <f>'3. GRI Pricing'!G345</f>
        <v>0</v>
      </c>
      <c r="H335" s="16">
        <f>'3. GRI Pricing'!H345</f>
        <v>0</v>
      </c>
      <c r="I335" s="280">
        <f>'3. GRI Pricing'!K345</f>
        <v>0</v>
      </c>
      <c r="J335" s="281">
        <f>'3. GRI Pricing'!O345</f>
        <v>0</v>
      </c>
      <c r="K335" s="281">
        <f>'3. GRI Pricing'!L345</f>
        <v>0</v>
      </c>
      <c r="L335" s="281">
        <f>'3. GRI Pricing'!P345</f>
        <v>0</v>
      </c>
      <c r="M335" s="281">
        <f>'3. GRI Pricing'!R345</f>
        <v>0</v>
      </c>
      <c r="N335" s="281">
        <f>'3. GRI Pricing'!S345</f>
        <v>0</v>
      </c>
      <c r="O335" s="281">
        <f>'3. GRI Pricing'!Q345</f>
        <v>0</v>
      </c>
      <c r="P335" s="281">
        <f>'3. GRI Pricing'!T345</f>
        <v>0</v>
      </c>
      <c r="Q335" s="281">
        <f>'3. GRI Pricing'!U345</f>
        <v>0</v>
      </c>
      <c r="R335" s="281">
        <f>'3. GRI Pricing'!V345</f>
        <v>0</v>
      </c>
      <c r="S335" s="281">
        <f>'3. GRI Pricing'!W345</f>
        <v>0</v>
      </c>
      <c r="T335" s="281">
        <f>'3. GRI Pricing'!X345</f>
        <v>0</v>
      </c>
      <c r="U335" s="282">
        <f>'3. GRI Pricing'!Y345</f>
        <v>0</v>
      </c>
    </row>
    <row r="336" spans="3:21" x14ac:dyDescent="0.2">
      <c r="C336" s="23">
        <f>'3. GRI Pricing'!C346</f>
        <v>0</v>
      </c>
      <c r="D336" s="16">
        <f>'3. GRI Pricing'!D346</f>
        <v>0</v>
      </c>
      <c r="E336" s="16">
        <f>'3. GRI Pricing'!E346</f>
        <v>0</v>
      </c>
      <c r="F336" s="16">
        <f>'3. GRI Pricing'!F346</f>
        <v>0</v>
      </c>
      <c r="G336" s="16">
        <f>'3. GRI Pricing'!G346</f>
        <v>0</v>
      </c>
      <c r="H336" s="16">
        <f>'3. GRI Pricing'!H346</f>
        <v>0</v>
      </c>
      <c r="I336" s="280">
        <f>'3. GRI Pricing'!K346</f>
        <v>0</v>
      </c>
      <c r="J336" s="281">
        <f>'3. GRI Pricing'!O346</f>
        <v>0</v>
      </c>
      <c r="K336" s="281">
        <f>'3. GRI Pricing'!L346</f>
        <v>0</v>
      </c>
      <c r="L336" s="281">
        <f>'3. GRI Pricing'!P346</f>
        <v>0</v>
      </c>
      <c r="M336" s="281">
        <f>'3. GRI Pricing'!R346</f>
        <v>0</v>
      </c>
      <c r="N336" s="281">
        <f>'3. GRI Pricing'!S346</f>
        <v>0</v>
      </c>
      <c r="O336" s="281">
        <f>'3. GRI Pricing'!Q346</f>
        <v>0</v>
      </c>
      <c r="P336" s="281">
        <f>'3. GRI Pricing'!T346</f>
        <v>0</v>
      </c>
      <c r="Q336" s="281">
        <f>'3. GRI Pricing'!U346</f>
        <v>0</v>
      </c>
      <c r="R336" s="281">
        <f>'3. GRI Pricing'!V346</f>
        <v>0</v>
      </c>
      <c r="S336" s="281">
        <f>'3. GRI Pricing'!W346</f>
        <v>0</v>
      </c>
      <c r="T336" s="281">
        <f>'3. GRI Pricing'!X346</f>
        <v>0</v>
      </c>
      <c r="U336" s="282">
        <f>'3. GRI Pricing'!Y346</f>
        <v>0</v>
      </c>
    </row>
    <row r="337" spans="3:21" x14ac:dyDescent="0.2">
      <c r="C337" s="23">
        <f>'3. GRI Pricing'!C347</f>
        <v>0</v>
      </c>
      <c r="D337" s="16">
        <f>'3. GRI Pricing'!D347</f>
        <v>0</v>
      </c>
      <c r="E337" s="16">
        <f>'3. GRI Pricing'!E347</f>
        <v>0</v>
      </c>
      <c r="F337" s="16">
        <f>'3. GRI Pricing'!F347</f>
        <v>0</v>
      </c>
      <c r="G337" s="16">
        <f>'3. GRI Pricing'!G347</f>
        <v>0</v>
      </c>
      <c r="H337" s="16">
        <f>'3. GRI Pricing'!H347</f>
        <v>0</v>
      </c>
      <c r="I337" s="280">
        <f>'3. GRI Pricing'!K347</f>
        <v>0</v>
      </c>
      <c r="J337" s="281">
        <f>'3. GRI Pricing'!O347</f>
        <v>0</v>
      </c>
      <c r="K337" s="281">
        <f>'3. GRI Pricing'!L347</f>
        <v>0</v>
      </c>
      <c r="L337" s="281">
        <f>'3. GRI Pricing'!P347</f>
        <v>0</v>
      </c>
      <c r="M337" s="281">
        <f>'3. GRI Pricing'!R347</f>
        <v>0</v>
      </c>
      <c r="N337" s="281">
        <f>'3. GRI Pricing'!S347</f>
        <v>0</v>
      </c>
      <c r="O337" s="281">
        <f>'3. GRI Pricing'!Q347</f>
        <v>0</v>
      </c>
      <c r="P337" s="281">
        <f>'3. GRI Pricing'!T347</f>
        <v>0</v>
      </c>
      <c r="Q337" s="281">
        <f>'3. GRI Pricing'!U347</f>
        <v>0</v>
      </c>
      <c r="R337" s="281">
        <f>'3. GRI Pricing'!V347</f>
        <v>0</v>
      </c>
      <c r="S337" s="281">
        <f>'3. GRI Pricing'!W347</f>
        <v>0</v>
      </c>
      <c r="T337" s="281">
        <f>'3. GRI Pricing'!X347</f>
        <v>0</v>
      </c>
      <c r="U337" s="282">
        <f>'3. GRI Pricing'!Y347</f>
        <v>0</v>
      </c>
    </row>
    <row r="338" spans="3:21" x14ac:dyDescent="0.2">
      <c r="C338" s="23">
        <f>'3. GRI Pricing'!C348</f>
        <v>0</v>
      </c>
      <c r="D338" s="16">
        <f>'3. GRI Pricing'!D348</f>
        <v>0</v>
      </c>
      <c r="E338" s="16">
        <f>'3. GRI Pricing'!E348</f>
        <v>0</v>
      </c>
      <c r="F338" s="16">
        <f>'3. GRI Pricing'!F348</f>
        <v>0</v>
      </c>
      <c r="G338" s="16">
        <f>'3. GRI Pricing'!G348</f>
        <v>0</v>
      </c>
      <c r="H338" s="16">
        <f>'3. GRI Pricing'!H348</f>
        <v>0</v>
      </c>
      <c r="I338" s="280">
        <f>'3. GRI Pricing'!K348</f>
        <v>0</v>
      </c>
      <c r="J338" s="281">
        <f>'3. GRI Pricing'!O348</f>
        <v>0</v>
      </c>
      <c r="K338" s="281">
        <f>'3. GRI Pricing'!L348</f>
        <v>0</v>
      </c>
      <c r="L338" s="281">
        <f>'3. GRI Pricing'!P348</f>
        <v>0</v>
      </c>
      <c r="M338" s="281">
        <f>'3. GRI Pricing'!R348</f>
        <v>0</v>
      </c>
      <c r="N338" s="281">
        <f>'3. GRI Pricing'!S348</f>
        <v>0</v>
      </c>
      <c r="O338" s="281">
        <f>'3. GRI Pricing'!Q348</f>
        <v>0</v>
      </c>
      <c r="P338" s="281">
        <f>'3. GRI Pricing'!T348</f>
        <v>0</v>
      </c>
      <c r="Q338" s="281">
        <f>'3. GRI Pricing'!U348</f>
        <v>0</v>
      </c>
      <c r="R338" s="281">
        <f>'3. GRI Pricing'!V348</f>
        <v>0</v>
      </c>
      <c r="S338" s="281">
        <f>'3. GRI Pricing'!W348</f>
        <v>0</v>
      </c>
      <c r="T338" s="281">
        <f>'3. GRI Pricing'!X348</f>
        <v>0</v>
      </c>
      <c r="U338" s="282">
        <f>'3. GRI Pricing'!Y348</f>
        <v>0</v>
      </c>
    </row>
    <row r="339" spans="3:21" x14ac:dyDescent="0.2">
      <c r="C339" s="23">
        <f>'3. GRI Pricing'!C349</f>
        <v>0</v>
      </c>
      <c r="D339" s="16">
        <f>'3. GRI Pricing'!D349</f>
        <v>0</v>
      </c>
      <c r="E339" s="16">
        <f>'3. GRI Pricing'!E349</f>
        <v>0</v>
      </c>
      <c r="F339" s="16">
        <f>'3. GRI Pricing'!F349</f>
        <v>0</v>
      </c>
      <c r="G339" s="16">
        <f>'3. GRI Pricing'!G349</f>
        <v>0</v>
      </c>
      <c r="H339" s="16">
        <f>'3. GRI Pricing'!H349</f>
        <v>0</v>
      </c>
      <c r="I339" s="280">
        <f>'3. GRI Pricing'!K349</f>
        <v>0</v>
      </c>
      <c r="J339" s="281">
        <f>'3. GRI Pricing'!O349</f>
        <v>0</v>
      </c>
      <c r="K339" s="281">
        <f>'3. GRI Pricing'!L349</f>
        <v>0</v>
      </c>
      <c r="L339" s="281">
        <f>'3. GRI Pricing'!P349</f>
        <v>0</v>
      </c>
      <c r="M339" s="281">
        <f>'3. GRI Pricing'!R349</f>
        <v>0</v>
      </c>
      <c r="N339" s="281">
        <f>'3. GRI Pricing'!S349</f>
        <v>0</v>
      </c>
      <c r="O339" s="281">
        <f>'3. GRI Pricing'!Q349</f>
        <v>0</v>
      </c>
      <c r="P339" s="281">
        <f>'3. GRI Pricing'!T349</f>
        <v>0</v>
      </c>
      <c r="Q339" s="281">
        <f>'3. GRI Pricing'!U349</f>
        <v>0</v>
      </c>
      <c r="R339" s="281">
        <f>'3. GRI Pricing'!V349</f>
        <v>0</v>
      </c>
      <c r="S339" s="281">
        <f>'3. GRI Pricing'!W349</f>
        <v>0</v>
      </c>
      <c r="T339" s="281">
        <f>'3. GRI Pricing'!X349</f>
        <v>0</v>
      </c>
      <c r="U339" s="282">
        <f>'3. GRI Pricing'!Y349</f>
        <v>0</v>
      </c>
    </row>
    <row r="340" spans="3:21" x14ac:dyDescent="0.2">
      <c r="C340" s="23">
        <f>'3. GRI Pricing'!C350</f>
        <v>0</v>
      </c>
      <c r="D340" s="16">
        <f>'3. GRI Pricing'!D350</f>
        <v>0</v>
      </c>
      <c r="E340" s="16">
        <f>'3. GRI Pricing'!E350</f>
        <v>0</v>
      </c>
      <c r="F340" s="16">
        <f>'3. GRI Pricing'!F350</f>
        <v>0</v>
      </c>
      <c r="G340" s="16">
        <f>'3. GRI Pricing'!G350</f>
        <v>0</v>
      </c>
      <c r="H340" s="16">
        <f>'3. GRI Pricing'!H350</f>
        <v>0</v>
      </c>
      <c r="I340" s="280">
        <f>'3. GRI Pricing'!K350</f>
        <v>0</v>
      </c>
      <c r="J340" s="281">
        <f>'3. GRI Pricing'!O350</f>
        <v>0</v>
      </c>
      <c r="K340" s="281">
        <f>'3. GRI Pricing'!L350</f>
        <v>0</v>
      </c>
      <c r="L340" s="281">
        <f>'3. GRI Pricing'!P350</f>
        <v>0</v>
      </c>
      <c r="M340" s="281">
        <f>'3. GRI Pricing'!R350</f>
        <v>0</v>
      </c>
      <c r="N340" s="281">
        <f>'3. GRI Pricing'!S350</f>
        <v>0</v>
      </c>
      <c r="O340" s="281">
        <f>'3. GRI Pricing'!Q350</f>
        <v>0</v>
      </c>
      <c r="P340" s="281">
        <f>'3. GRI Pricing'!T350</f>
        <v>0</v>
      </c>
      <c r="Q340" s="281">
        <f>'3. GRI Pricing'!U350</f>
        <v>0</v>
      </c>
      <c r="R340" s="281">
        <f>'3. GRI Pricing'!V350</f>
        <v>0</v>
      </c>
      <c r="S340" s="281">
        <f>'3. GRI Pricing'!W350</f>
        <v>0</v>
      </c>
      <c r="T340" s="281">
        <f>'3. GRI Pricing'!X350</f>
        <v>0</v>
      </c>
      <c r="U340" s="282">
        <f>'3. GRI Pricing'!Y350</f>
        <v>0</v>
      </c>
    </row>
    <row r="341" spans="3:21" x14ac:dyDescent="0.2">
      <c r="C341" s="23">
        <f>'3. GRI Pricing'!C351</f>
        <v>0</v>
      </c>
      <c r="D341" s="16">
        <f>'3. GRI Pricing'!D351</f>
        <v>0</v>
      </c>
      <c r="E341" s="16">
        <f>'3. GRI Pricing'!E351</f>
        <v>0</v>
      </c>
      <c r="F341" s="16">
        <f>'3. GRI Pricing'!F351</f>
        <v>0</v>
      </c>
      <c r="G341" s="16">
        <f>'3. GRI Pricing'!G351</f>
        <v>0</v>
      </c>
      <c r="H341" s="16">
        <f>'3. GRI Pricing'!H351</f>
        <v>0</v>
      </c>
      <c r="I341" s="280">
        <f>'3. GRI Pricing'!K351</f>
        <v>0</v>
      </c>
      <c r="J341" s="281">
        <f>'3. GRI Pricing'!O351</f>
        <v>0</v>
      </c>
      <c r="K341" s="281">
        <f>'3. GRI Pricing'!L351</f>
        <v>0</v>
      </c>
      <c r="L341" s="281">
        <f>'3. GRI Pricing'!P351</f>
        <v>0</v>
      </c>
      <c r="M341" s="281">
        <f>'3. GRI Pricing'!R351</f>
        <v>0</v>
      </c>
      <c r="N341" s="281">
        <f>'3. GRI Pricing'!S351</f>
        <v>0</v>
      </c>
      <c r="O341" s="281">
        <f>'3. GRI Pricing'!Q351</f>
        <v>0</v>
      </c>
      <c r="P341" s="281">
        <f>'3. GRI Pricing'!T351</f>
        <v>0</v>
      </c>
      <c r="Q341" s="281">
        <f>'3. GRI Pricing'!U351</f>
        <v>0</v>
      </c>
      <c r="R341" s="281">
        <f>'3. GRI Pricing'!V351</f>
        <v>0</v>
      </c>
      <c r="S341" s="281">
        <f>'3. GRI Pricing'!W351</f>
        <v>0</v>
      </c>
      <c r="T341" s="281">
        <f>'3. GRI Pricing'!X351</f>
        <v>0</v>
      </c>
      <c r="U341" s="282">
        <f>'3. GRI Pricing'!Y351</f>
        <v>0</v>
      </c>
    </row>
    <row r="342" spans="3:21" x14ac:dyDescent="0.2">
      <c r="C342" s="23">
        <f>'3. GRI Pricing'!C352</f>
        <v>0</v>
      </c>
      <c r="D342" s="16">
        <f>'3. GRI Pricing'!D352</f>
        <v>0</v>
      </c>
      <c r="E342" s="16">
        <f>'3. GRI Pricing'!E352</f>
        <v>0</v>
      </c>
      <c r="F342" s="16">
        <f>'3. GRI Pricing'!F352</f>
        <v>0</v>
      </c>
      <c r="G342" s="16">
        <f>'3. GRI Pricing'!G352</f>
        <v>0</v>
      </c>
      <c r="H342" s="16">
        <f>'3. GRI Pricing'!H352</f>
        <v>0</v>
      </c>
      <c r="I342" s="280">
        <f>'3. GRI Pricing'!K352</f>
        <v>0</v>
      </c>
      <c r="J342" s="281">
        <f>'3. GRI Pricing'!O352</f>
        <v>0</v>
      </c>
      <c r="K342" s="281">
        <f>'3. GRI Pricing'!L352</f>
        <v>0</v>
      </c>
      <c r="L342" s="281">
        <f>'3. GRI Pricing'!P352</f>
        <v>0</v>
      </c>
      <c r="M342" s="281">
        <f>'3. GRI Pricing'!R352</f>
        <v>0</v>
      </c>
      <c r="N342" s="281">
        <f>'3. GRI Pricing'!S352</f>
        <v>0</v>
      </c>
      <c r="O342" s="281">
        <f>'3. GRI Pricing'!Q352</f>
        <v>0</v>
      </c>
      <c r="P342" s="281">
        <f>'3. GRI Pricing'!T352</f>
        <v>0</v>
      </c>
      <c r="Q342" s="281">
        <f>'3. GRI Pricing'!U352</f>
        <v>0</v>
      </c>
      <c r="R342" s="281">
        <f>'3. GRI Pricing'!V352</f>
        <v>0</v>
      </c>
      <c r="S342" s="281">
        <f>'3. GRI Pricing'!W352</f>
        <v>0</v>
      </c>
      <c r="T342" s="281">
        <f>'3. GRI Pricing'!X352</f>
        <v>0</v>
      </c>
      <c r="U342" s="282">
        <f>'3. GRI Pricing'!Y352</f>
        <v>0</v>
      </c>
    </row>
    <row r="343" spans="3:21" x14ac:dyDescent="0.2">
      <c r="C343" s="23">
        <f>'3. GRI Pricing'!C353</f>
        <v>0</v>
      </c>
      <c r="D343" s="16">
        <f>'3. GRI Pricing'!D353</f>
        <v>0</v>
      </c>
      <c r="E343" s="16">
        <f>'3. GRI Pricing'!E353</f>
        <v>0</v>
      </c>
      <c r="F343" s="16">
        <f>'3. GRI Pricing'!F353</f>
        <v>0</v>
      </c>
      <c r="G343" s="16">
        <f>'3. GRI Pricing'!G353</f>
        <v>0</v>
      </c>
      <c r="H343" s="16">
        <f>'3. GRI Pricing'!H353</f>
        <v>0</v>
      </c>
      <c r="I343" s="280">
        <f>'3. GRI Pricing'!K353</f>
        <v>0</v>
      </c>
      <c r="J343" s="281">
        <f>'3. GRI Pricing'!O353</f>
        <v>0</v>
      </c>
      <c r="K343" s="281">
        <f>'3. GRI Pricing'!L353</f>
        <v>0</v>
      </c>
      <c r="L343" s="281">
        <f>'3. GRI Pricing'!P353</f>
        <v>0</v>
      </c>
      <c r="M343" s="281">
        <f>'3. GRI Pricing'!R353</f>
        <v>0</v>
      </c>
      <c r="N343" s="281">
        <f>'3. GRI Pricing'!S353</f>
        <v>0</v>
      </c>
      <c r="O343" s="281">
        <f>'3. GRI Pricing'!Q353</f>
        <v>0</v>
      </c>
      <c r="P343" s="281">
        <f>'3. GRI Pricing'!T353</f>
        <v>0</v>
      </c>
      <c r="Q343" s="281">
        <f>'3. GRI Pricing'!U353</f>
        <v>0</v>
      </c>
      <c r="R343" s="281">
        <f>'3. GRI Pricing'!V353</f>
        <v>0</v>
      </c>
      <c r="S343" s="281">
        <f>'3. GRI Pricing'!W353</f>
        <v>0</v>
      </c>
      <c r="T343" s="281">
        <f>'3. GRI Pricing'!X353</f>
        <v>0</v>
      </c>
      <c r="U343" s="282">
        <f>'3. GRI Pricing'!Y353</f>
        <v>0</v>
      </c>
    </row>
    <row r="344" spans="3:21" x14ac:dyDescent="0.2">
      <c r="C344" s="23">
        <f>'3. GRI Pricing'!C354</f>
        <v>0</v>
      </c>
      <c r="D344" s="16">
        <f>'3. GRI Pricing'!D354</f>
        <v>0</v>
      </c>
      <c r="E344" s="16">
        <f>'3. GRI Pricing'!E354</f>
        <v>0</v>
      </c>
      <c r="F344" s="16">
        <f>'3. GRI Pricing'!F354</f>
        <v>0</v>
      </c>
      <c r="G344" s="16">
        <f>'3. GRI Pricing'!G354</f>
        <v>0</v>
      </c>
      <c r="H344" s="16">
        <f>'3. GRI Pricing'!H354</f>
        <v>0</v>
      </c>
      <c r="I344" s="280">
        <f>'3. GRI Pricing'!K354</f>
        <v>0</v>
      </c>
      <c r="J344" s="281">
        <f>'3. GRI Pricing'!O354</f>
        <v>0</v>
      </c>
      <c r="K344" s="281">
        <f>'3. GRI Pricing'!L354</f>
        <v>0</v>
      </c>
      <c r="L344" s="281">
        <f>'3. GRI Pricing'!P354</f>
        <v>0</v>
      </c>
      <c r="M344" s="281">
        <f>'3. GRI Pricing'!R354</f>
        <v>0</v>
      </c>
      <c r="N344" s="281">
        <f>'3. GRI Pricing'!S354</f>
        <v>0</v>
      </c>
      <c r="O344" s="281">
        <f>'3. GRI Pricing'!Q354</f>
        <v>0</v>
      </c>
      <c r="P344" s="281">
        <f>'3. GRI Pricing'!T354</f>
        <v>0</v>
      </c>
      <c r="Q344" s="281">
        <f>'3. GRI Pricing'!U354</f>
        <v>0</v>
      </c>
      <c r="R344" s="281">
        <f>'3. GRI Pricing'!V354</f>
        <v>0</v>
      </c>
      <c r="S344" s="281">
        <f>'3. GRI Pricing'!W354</f>
        <v>0</v>
      </c>
      <c r="T344" s="281">
        <f>'3. GRI Pricing'!X354</f>
        <v>0</v>
      </c>
      <c r="U344" s="282">
        <f>'3. GRI Pricing'!Y354</f>
        <v>0</v>
      </c>
    </row>
    <row r="345" spans="3:21" x14ac:dyDescent="0.2">
      <c r="C345" s="23">
        <f>'3. GRI Pricing'!C355</f>
        <v>0</v>
      </c>
      <c r="D345" s="16">
        <f>'3. GRI Pricing'!D355</f>
        <v>0</v>
      </c>
      <c r="E345" s="16">
        <f>'3. GRI Pricing'!E355</f>
        <v>0</v>
      </c>
      <c r="F345" s="16">
        <f>'3. GRI Pricing'!F355</f>
        <v>0</v>
      </c>
      <c r="G345" s="16">
        <f>'3. GRI Pricing'!G355</f>
        <v>0</v>
      </c>
      <c r="H345" s="16">
        <f>'3. GRI Pricing'!H355</f>
        <v>0</v>
      </c>
      <c r="I345" s="280">
        <f>'3. GRI Pricing'!K355</f>
        <v>0</v>
      </c>
      <c r="J345" s="281">
        <f>'3. GRI Pricing'!O355</f>
        <v>0</v>
      </c>
      <c r="K345" s="281">
        <f>'3. GRI Pricing'!L355</f>
        <v>0</v>
      </c>
      <c r="L345" s="281">
        <f>'3. GRI Pricing'!P355</f>
        <v>0</v>
      </c>
      <c r="M345" s="281">
        <f>'3. GRI Pricing'!R355</f>
        <v>0</v>
      </c>
      <c r="N345" s="281">
        <f>'3. GRI Pricing'!S355</f>
        <v>0</v>
      </c>
      <c r="O345" s="281">
        <f>'3. GRI Pricing'!Q355</f>
        <v>0</v>
      </c>
      <c r="P345" s="281">
        <f>'3. GRI Pricing'!T355</f>
        <v>0</v>
      </c>
      <c r="Q345" s="281">
        <f>'3. GRI Pricing'!U355</f>
        <v>0</v>
      </c>
      <c r="R345" s="281">
        <f>'3. GRI Pricing'!V355</f>
        <v>0</v>
      </c>
      <c r="S345" s="281">
        <f>'3. GRI Pricing'!W355</f>
        <v>0</v>
      </c>
      <c r="T345" s="281">
        <f>'3. GRI Pricing'!X355</f>
        <v>0</v>
      </c>
      <c r="U345" s="282">
        <f>'3. GRI Pricing'!Y355</f>
        <v>0</v>
      </c>
    </row>
    <row r="346" spans="3:21" x14ac:dyDescent="0.2">
      <c r="C346" s="23">
        <f>'3. GRI Pricing'!C356</f>
        <v>0</v>
      </c>
      <c r="D346" s="16">
        <f>'3. GRI Pricing'!D356</f>
        <v>0</v>
      </c>
      <c r="E346" s="16">
        <f>'3. GRI Pricing'!E356</f>
        <v>0</v>
      </c>
      <c r="F346" s="16">
        <f>'3. GRI Pricing'!F356</f>
        <v>0</v>
      </c>
      <c r="G346" s="16">
        <f>'3. GRI Pricing'!G356</f>
        <v>0</v>
      </c>
      <c r="H346" s="16">
        <f>'3. GRI Pricing'!H356</f>
        <v>0</v>
      </c>
      <c r="I346" s="280">
        <f>'3. GRI Pricing'!K356</f>
        <v>0</v>
      </c>
      <c r="J346" s="281">
        <f>'3. GRI Pricing'!O356</f>
        <v>0</v>
      </c>
      <c r="K346" s="281">
        <f>'3. GRI Pricing'!L356</f>
        <v>0</v>
      </c>
      <c r="L346" s="281">
        <f>'3. GRI Pricing'!P356</f>
        <v>0</v>
      </c>
      <c r="M346" s="281">
        <f>'3. GRI Pricing'!R356</f>
        <v>0</v>
      </c>
      <c r="N346" s="281">
        <f>'3. GRI Pricing'!S356</f>
        <v>0</v>
      </c>
      <c r="O346" s="281">
        <f>'3. GRI Pricing'!Q356</f>
        <v>0</v>
      </c>
      <c r="P346" s="281">
        <f>'3. GRI Pricing'!T356</f>
        <v>0</v>
      </c>
      <c r="Q346" s="281">
        <f>'3. GRI Pricing'!U356</f>
        <v>0</v>
      </c>
      <c r="R346" s="281">
        <f>'3. GRI Pricing'!V356</f>
        <v>0</v>
      </c>
      <c r="S346" s="281">
        <f>'3. GRI Pricing'!W356</f>
        <v>0</v>
      </c>
      <c r="T346" s="281">
        <f>'3. GRI Pricing'!X356</f>
        <v>0</v>
      </c>
      <c r="U346" s="282">
        <f>'3. GRI Pricing'!Y356</f>
        <v>0</v>
      </c>
    </row>
    <row r="347" spans="3:21" x14ac:dyDescent="0.2">
      <c r="C347" s="23">
        <f>'3. GRI Pricing'!C357</f>
        <v>0</v>
      </c>
      <c r="D347" s="16">
        <f>'3. GRI Pricing'!D357</f>
        <v>0</v>
      </c>
      <c r="E347" s="16">
        <f>'3. GRI Pricing'!E357</f>
        <v>0</v>
      </c>
      <c r="F347" s="16">
        <f>'3. GRI Pricing'!F357</f>
        <v>0</v>
      </c>
      <c r="G347" s="16">
        <f>'3. GRI Pricing'!G357</f>
        <v>0</v>
      </c>
      <c r="H347" s="16">
        <f>'3. GRI Pricing'!H357</f>
        <v>0</v>
      </c>
      <c r="I347" s="280">
        <f>'3. GRI Pricing'!K357</f>
        <v>0</v>
      </c>
      <c r="J347" s="281">
        <f>'3. GRI Pricing'!O357</f>
        <v>0</v>
      </c>
      <c r="K347" s="281">
        <f>'3. GRI Pricing'!L357</f>
        <v>0</v>
      </c>
      <c r="L347" s="281">
        <f>'3. GRI Pricing'!P357</f>
        <v>0</v>
      </c>
      <c r="M347" s="281">
        <f>'3. GRI Pricing'!R357</f>
        <v>0</v>
      </c>
      <c r="N347" s="281">
        <f>'3. GRI Pricing'!S357</f>
        <v>0</v>
      </c>
      <c r="O347" s="281">
        <f>'3. GRI Pricing'!Q357</f>
        <v>0</v>
      </c>
      <c r="P347" s="281">
        <f>'3. GRI Pricing'!T357</f>
        <v>0</v>
      </c>
      <c r="Q347" s="281">
        <f>'3. GRI Pricing'!U357</f>
        <v>0</v>
      </c>
      <c r="R347" s="281">
        <f>'3. GRI Pricing'!V357</f>
        <v>0</v>
      </c>
      <c r="S347" s="281">
        <f>'3. GRI Pricing'!W357</f>
        <v>0</v>
      </c>
      <c r="T347" s="281">
        <f>'3. GRI Pricing'!X357</f>
        <v>0</v>
      </c>
      <c r="U347" s="282">
        <f>'3. GRI Pricing'!Y357</f>
        <v>0</v>
      </c>
    </row>
    <row r="348" spans="3:21" x14ac:dyDescent="0.2">
      <c r="C348" s="23">
        <f>'3. GRI Pricing'!C358</f>
        <v>0</v>
      </c>
      <c r="D348" s="16">
        <f>'3. GRI Pricing'!D358</f>
        <v>0</v>
      </c>
      <c r="E348" s="16">
        <f>'3. GRI Pricing'!E358</f>
        <v>0</v>
      </c>
      <c r="F348" s="16">
        <f>'3. GRI Pricing'!F358</f>
        <v>0</v>
      </c>
      <c r="G348" s="16">
        <f>'3. GRI Pricing'!G358</f>
        <v>0</v>
      </c>
      <c r="H348" s="16">
        <f>'3. GRI Pricing'!H358</f>
        <v>0</v>
      </c>
      <c r="I348" s="280">
        <f>'3. GRI Pricing'!K358</f>
        <v>0</v>
      </c>
      <c r="J348" s="281">
        <f>'3. GRI Pricing'!O358</f>
        <v>0</v>
      </c>
      <c r="K348" s="281">
        <f>'3. GRI Pricing'!L358</f>
        <v>0</v>
      </c>
      <c r="L348" s="281">
        <f>'3. GRI Pricing'!P358</f>
        <v>0</v>
      </c>
      <c r="M348" s="281">
        <f>'3. GRI Pricing'!R358</f>
        <v>0</v>
      </c>
      <c r="N348" s="281">
        <f>'3. GRI Pricing'!S358</f>
        <v>0</v>
      </c>
      <c r="O348" s="281">
        <f>'3. GRI Pricing'!Q358</f>
        <v>0</v>
      </c>
      <c r="P348" s="281">
        <f>'3. GRI Pricing'!T358</f>
        <v>0</v>
      </c>
      <c r="Q348" s="281">
        <f>'3. GRI Pricing'!U358</f>
        <v>0</v>
      </c>
      <c r="R348" s="281">
        <f>'3. GRI Pricing'!V358</f>
        <v>0</v>
      </c>
      <c r="S348" s="281">
        <f>'3. GRI Pricing'!W358</f>
        <v>0</v>
      </c>
      <c r="T348" s="281">
        <f>'3. GRI Pricing'!X358</f>
        <v>0</v>
      </c>
      <c r="U348" s="282">
        <f>'3. GRI Pricing'!Y358</f>
        <v>0</v>
      </c>
    </row>
    <row r="349" spans="3:21" x14ac:dyDescent="0.2">
      <c r="C349" s="23">
        <f>'3. GRI Pricing'!C359</f>
        <v>0</v>
      </c>
      <c r="D349" s="16">
        <f>'3. GRI Pricing'!D359</f>
        <v>0</v>
      </c>
      <c r="E349" s="16">
        <f>'3. GRI Pricing'!E359</f>
        <v>0</v>
      </c>
      <c r="F349" s="16">
        <f>'3. GRI Pricing'!F359</f>
        <v>0</v>
      </c>
      <c r="G349" s="16">
        <f>'3. GRI Pricing'!G359</f>
        <v>0</v>
      </c>
      <c r="H349" s="16">
        <f>'3. GRI Pricing'!H359</f>
        <v>0</v>
      </c>
      <c r="I349" s="280">
        <f>'3. GRI Pricing'!K359</f>
        <v>0</v>
      </c>
      <c r="J349" s="281">
        <f>'3. GRI Pricing'!O359</f>
        <v>0</v>
      </c>
      <c r="K349" s="281">
        <f>'3. GRI Pricing'!L359</f>
        <v>0</v>
      </c>
      <c r="L349" s="281">
        <f>'3. GRI Pricing'!P359</f>
        <v>0</v>
      </c>
      <c r="M349" s="281">
        <f>'3. GRI Pricing'!R359</f>
        <v>0</v>
      </c>
      <c r="N349" s="281">
        <f>'3. GRI Pricing'!S359</f>
        <v>0</v>
      </c>
      <c r="O349" s="281">
        <f>'3. GRI Pricing'!Q359</f>
        <v>0</v>
      </c>
      <c r="P349" s="281">
        <f>'3. GRI Pricing'!T359</f>
        <v>0</v>
      </c>
      <c r="Q349" s="281">
        <f>'3. GRI Pricing'!U359</f>
        <v>0</v>
      </c>
      <c r="R349" s="281">
        <f>'3. GRI Pricing'!V359</f>
        <v>0</v>
      </c>
      <c r="S349" s="281">
        <f>'3. GRI Pricing'!W359</f>
        <v>0</v>
      </c>
      <c r="T349" s="281">
        <f>'3. GRI Pricing'!X359</f>
        <v>0</v>
      </c>
      <c r="U349" s="282">
        <f>'3. GRI Pricing'!Y359</f>
        <v>0</v>
      </c>
    </row>
    <row r="350" spans="3:21" x14ac:dyDescent="0.2">
      <c r="C350" s="23">
        <f>'3. GRI Pricing'!C360</f>
        <v>0</v>
      </c>
      <c r="D350" s="16">
        <f>'3. GRI Pricing'!D360</f>
        <v>0</v>
      </c>
      <c r="E350" s="16">
        <f>'3. GRI Pricing'!E360</f>
        <v>0</v>
      </c>
      <c r="F350" s="16">
        <f>'3. GRI Pricing'!F360</f>
        <v>0</v>
      </c>
      <c r="G350" s="16">
        <f>'3. GRI Pricing'!G360</f>
        <v>0</v>
      </c>
      <c r="H350" s="16">
        <f>'3. GRI Pricing'!H360</f>
        <v>0</v>
      </c>
      <c r="I350" s="280">
        <f>'3. GRI Pricing'!K360</f>
        <v>0</v>
      </c>
      <c r="J350" s="281">
        <f>'3. GRI Pricing'!O360</f>
        <v>0</v>
      </c>
      <c r="K350" s="281">
        <f>'3. GRI Pricing'!L360</f>
        <v>0</v>
      </c>
      <c r="L350" s="281">
        <f>'3. GRI Pricing'!P360</f>
        <v>0</v>
      </c>
      <c r="M350" s="281">
        <f>'3. GRI Pricing'!R360</f>
        <v>0</v>
      </c>
      <c r="N350" s="281">
        <f>'3. GRI Pricing'!S360</f>
        <v>0</v>
      </c>
      <c r="O350" s="281">
        <f>'3. GRI Pricing'!Q360</f>
        <v>0</v>
      </c>
      <c r="P350" s="281">
        <f>'3. GRI Pricing'!T360</f>
        <v>0</v>
      </c>
      <c r="Q350" s="281">
        <f>'3. GRI Pricing'!U360</f>
        <v>0</v>
      </c>
      <c r="R350" s="281">
        <f>'3. GRI Pricing'!V360</f>
        <v>0</v>
      </c>
      <c r="S350" s="281">
        <f>'3. GRI Pricing'!W360</f>
        <v>0</v>
      </c>
      <c r="T350" s="281">
        <f>'3. GRI Pricing'!X360</f>
        <v>0</v>
      </c>
      <c r="U350" s="282">
        <f>'3. GRI Pricing'!Y360</f>
        <v>0</v>
      </c>
    </row>
    <row r="351" spans="3:21" x14ac:dyDescent="0.2">
      <c r="C351" s="23">
        <f>'3. GRI Pricing'!C361</f>
        <v>0</v>
      </c>
      <c r="D351" s="16">
        <f>'3. GRI Pricing'!D361</f>
        <v>0</v>
      </c>
      <c r="E351" s="16">
        <f>'3. GRI Pricing'!E361</f>
        <v>0</v>
      </c>
      <c r="F351" s="16">
        <f>'3. GRI Pricing'!F361</f>
        <v>0</v>
      </c>
      <c r="G351" s="16">
        <f>'3. GRI Pricing'!G361</f>
        <v>0</v>
      </c>
      <c r="H351" s="16">
        <f>'3. GRI Pricing'!H361</f>
        <v>0</v>
      </c>
      <c r="I351" s="280">
        <f>'3. GRI Pricing'!K361</f>
        <v>0</v>
      </c>
      <c r="J351" s="281">
        <f>'3. GRI Pricing'!O361</f>
        <v>0</v>
      </c>
      <c r="K351" s="281">
        <f>'3. GRI Pricing'!L361</f>
        <v>0</v>
      </c>
      <c r="L351" s="281">
        <f>'3. GRI Pricing'!P361</f>
        <v>0</v>
      </c>
      <c r="M351" s="281">
        <f>'3. GRI Pricing'!R361</f>
        <v>0</v>
      </c>
      <c r="N351" s="281">
        <f>'3. GRI Pricing'!S361</f>
        <v>0</v>
      </c>
      <c r="O351" s="281">
        <f>'3. GRI Pricing'!Q361</f>
        <v>0</v>
      </c>
      <c r="P351" s="281">
        <f>'3. GRI Pricing'!T361</f>
        <v>0</v>
      </c>
      <c r="Q351" s="281">
        <f>'3. GRI Pricing'!U361</f>
        <v>0</v>
      </c>
      <c r="R351" s="281">
        <f>'3. GRI Pricing'!V361</f>
        <v>0</v>
      </c>
      <c r="S351" s="281">
        <f>'3. GRI Pricing'!W361</f>
        <v>0</v>
      </c>
      <c r="T351" s="281">
        <f>'3. GRI Pricing'!X361</f>
        <v>0</v>
      </c>
      <c r="U351" s="282">
        <f>'3. GRI Pricing'!Y361</f>
        <v>0</v>
      </c>
    </row>
    <row r="352" spans="3:21" x14ac:dyDescent="0.2">
      <c r="C352" s="23">
        <f>'3. GRI Pricing'!C362</f>
        <v>0</v>
      </c>
      <c r="D352" s="16">
        <f>'3. GRI Pricing'!D362</f>
        <v>0</v>
      </c>
      <c r="E352" s="16">
        <f>'3. GRI Pricing'!E362</f>
        <v>0</v>
      </c>
      <c r="F352" s="16">
        <f>'3. GRI Pricing'!F362</f>
        <v>0</v>
      </c>
      <c r="G352" s="16">
        <f>'3. GRI Pricing'!G362</f>
        <v>0</v>
      </c>
      <c r="H352" s="16">
        <f>'3. GRI Pricing'!H362</f>
        <v>0</v>
      </c>
      <c r="I352" s="280">
        <f>'3. GRI Pricing'!K362</f>
        <v>0</v>
      </c>
      <c r="J352" s="281">
        <f>'3. GRI Pricing'!O362</f>
        <v>0</v>
      </c>
      <c r="K352" s="281">
        <f>'3. GRI Pricing'!L362</f>
        <v>0</v>
      </c>
      <c r="L352" s="281">
        <f>'3. GRI Pricing'!P362</f>
        <v>0</v>
      </c>
      <c r="M352" s="281">
        <f>'3. GRI Pricing'!R362</f>
        <v>0</v>
      </c>
      <c r="N352" s="281">
        <f>'3. GRI Pricing'!S362</f>
        <v>0</v>
      </c>
      <c r="O352" s="281">
        <f>'3. GRI Pricing'!Q362</f>
        <v>0</v>
      </c>
      <c r="P352" s="281">
        <f>'3. GRI Pricing'!T362</f>
        <v>0</v>
      </c>
      <c r="Q352" s="281">
        <f>'3. GRI Pricing'!U362</f>
        <v>0</v>
      </c>
      <c r="R352" s="281">
        <f>'3. GRI Pricing'!V362</f>
        <v>0</v>
      </c>
      <c r="S352" s="281">
        <f>'3. GRI Pricing'!W362</f>
        <v>0</v>
      </c>
      <c r="T352" s="281">
        <f>'3. GRI Pricing'!X362</f>
        <v>0</v>
      </c>
      <c r="U352" s="282">
        <f>'3. GRI Pricing'!Y362</f>
        <v>0</v>
      </c>
    </row>
    <row r="353" spans="3:21" x14ac:dyDescent="0.2">
      <c r="C353" s="23">
        <f>'3. GRI Pricing'!C363</f>
        <v>0</v>
      </c>
      <c r="D353" s="16">
        <f>'3. GRI Pricing'!D363</f>
        <v>0</v>
      </c>
      <c r="E353" s="16">
        <f>'3. GRI Pricing'!E363</f>
        <v>0</v>
      </c>
      <c r="F353" s="16">
        <f>'3. GRI Pricing'!F363</f>
        <v>0</v>
      </c>
      <c r="G353" s="16">
        <f>'3. GRI Pricing'!G363</f>
        <v>0</v>
      </c>
      <c r="H353" s="16">
        <f>'3. GRI Pricing'!H363</f>
        <v>0</v>
      </c>
      <c r="I353" s="280">
        <f>'3. GRI Pricing'!K363</f>
        <v>0</v>
      </c>
      <c r="J353" s="281">
        <f>'3. GRI Pricing'!O363</f>
        <v>0</v>
      </c>
      <c r="K353" s="281">
        <f>'3. GRI Pricing'!L363</f>
        <v>0</v>
      </c>
      <c r="L353" s="281">
        <f>'3. GRI Pricing'!P363</f>
        <v>0</v>
      </c>
      <c r="M353" s="281">
        <f>'3. GRI Pricing'!R363</f>
        <v>0</v>
      </c>
      <c r="N353" s="281">
        <f>'3. GRI Pricing'!S363</f>
        <v>0</v>
      </c>
      <c r="O353" s="281">
        <f>'3. GRI Pricing'!Q363</f>
        <v>0</v>
      </c>
      <c r="P353" s="281">
        <f>'3. GRI Pricing'!T363</f>
        <v>0</v>
      </c>
      <c r="Q353" s="281">
        <f>'3. GRI Pricing'!U363</f>
        <v>0</v>
      </c>
      <c r="R353" s="281">
        <f>'3. GRI Pricing'!V363</f>
        <v>0</v>
      </c>
      <c r="S353" s="281">
        <f>'3. GRI Pricing'!W363</f>
        <v>0</v>
      </c>
      <c r="T353" s="281">
        <f>'3. GRI Pricing'!X363</f>
        <v>0</v>
      </c>
      <c r="U353" s="282">
        <f>'3. GRI Pricing'!Y363</f>
        <v>0</v>
      </c>
    </row>
    <row r="354" spans="3:21" x14ac:dyDescent="0.2">
      <c r="C354" s="23">
        <f>'3. GRI Pricing'!C364</f>
        <v>0</v>
      </c>
      <c r="D354" s="16">
        <f>'3. GRI Pricing'!D364</f>
        <v>0</v>
      </c>
      <c r="E354" s="16">
        <f>'3. GRI Pricing'!E364</f>
        <v>0</v>
      </c>
      <c r="F354" s="16">
        <f>'3. GRI Pricing'!F364</f>
        <v>0</v>
      </c>
      <c r="G354" s="16">
        <f>'3. GRI Pricing'!G364</f>
        <v>0</v>
      </c>
      <c r="H354" s="16">
        <f>'3. GRI Pricing'!H364</f>
        <v>0</v>
      </c>
      <c r="I354" s="280">
        <f>'3. GRI Pricing'!K364</f>
        <v>0</v>
      </c>
      <c r="J354" s="281">
        <f>'3. GRI Pricing'!O364</f>
        <v>0</v>
      </c>
      <c r="K354" s="281">
        <f>'3. GRI Pricing'!L364</f>
        <v>0</v>
      </c>
      <c r="L354" s="281">
        <f>'3. GRI Pricing'!P364</f>
        <v>0</v>
      </c>
      <c r="M354" s="281">
        <f>'3. GRI Pricing'!R364</f>
        <v>0</v>
      </c>
      <c r="N354" s="281">
        <f>'3. GRI Pricing'!S364</f>
        <v>0</v>
      </c>
      <c r="O354" s="281">
        <f>'3. GRI Pricing'!Q364</f>
        <v>0</v>
      </c>
      <c r="P354" s="281">
        <f>'3. GRI Pricing'!T364</f>
        <v>0</v>
      </c>
      <c r="Q354" s="281">
        <f>'3. GRI Pricing'!U364</f>
        <v>0</v>
      </c>
      <c r="R354" s="281">
        <f>'3. GRI Pricing'!V364</f>
        <v>0</v>
      </c>
      <c r="S354" s="281">
        <f>'3. GRI Pricing'!W364</f>
        <v>0</v>
      </c>
      <c r="T354" s="281">
        <f>'3. GRI Pricing'!X364</f>
        <v>0</v>
      </c>
      <c r="U354" s="282">
        <f>'3. GRI Pricing'!Y364</f>
        <v>0</v>
      </c>
    </row>
    <row r="355" spans="3:21" x14ac:dyDescent="0.2">
      <c r="C355" s="23">
        <f>'3. GRI Pricing'!C365</f>
        <v>0</v>
      </c>
      <c r="D355" s="16">
        <f>'3. GRI Pricing'!D365</f>
        <v>0</v>
      </c>
      <c r="E355" s="16">
        <f>'3. GRI Pricing'!E365</f>
        <v>0</v>
      </c>
      <c r="F355" s="16">
        <f>'3. GRI Pricing'!F365</f>
        <v>0</v>
      </c>
      <c r="G355" s="16">
        <f>'3. GRI Pricing'!G365</f>
        <v>0</v>
      </c>
      <c r="H355" s="16">
        <f>'3. GRI Pricing'!H365</f>
        <v>0</v>
      </c>
      <c r="I355" s="280">
        <f>'3. GRI Pricing'!K365</f>
        <v>0</v>
      </c>
      <c r="J355" s="281">
        <f>'3. GRI Pricing'!O365</f>
        <v>0</v>
      </c>
      <c r="K355" s="281">
        <f>'3. GRI Pricing'!L365</f>
        <v>0</v>
      </c>
      <c r="L355" s="281">
        <f>'3. GRI Pricing'!P365</f>
        <v>0</v>
      </c>
      <c r="M355" s="281">
        <f>'3. GRI Pricing'!R365</f>
        <v>0</v>
      </c>
      <c r="N355" s="281">
        <f>'3. GRI Pricing'!S365</f>
        <v>0</v>
      </c>
      <c r="O355" s="281">
        <f>'3. GRI Pricing'!Q365</f>
        <v>0</v>
      </c>
      <c r="P355" s="281">
        <f>'3. GRI Pricing'!T365</f>
        <v>0</v>
      </c>
      <c r="Q355" s="281">
        <f>'3. GRI Pricing'!U365</f>
        <v>0</v>
      </c>
      <c r="R355" s="281">
        <f>'3. GRI Pricing'!V365</f>
        <v>0</v>
      </c>
      <c r="S355" s="281">
        <f>'3. GRI Pricing'!W365</f>
        <v>0</v>
      </c>
      <c r="T355" s="281">
        <f>'3. GRI Pricing'!X365</f>
        <v>0</v>
      </c>
      <c r="U355" s="282">
        <f>'3. GRI Pricing'!Y365</f>
        <v>0</v>
      </c>
    </row>
    <row r="356" spans="3:21" x14ac:dyDescent="0.2">
      <c r="C356" s="23">
        <f>'3. GRI Pricing'!C366</f>
        <v>0</v>
      </c>
      <c r="D356" s="16">
        <f>'3. GRI Pricing'!D366</f>
        <v>0</v>
      </c>
      <c r="E356" s="16">
        <f>'3. GRI Pricing'!E366</f>
        <v>0</v>
      </c>
      <c r="F356" s="16">
        <f>'3. GRI Pricing'!F366</f>
        <v>0</v>
      </c>
      <c r="G356" s="16">
        <f>'3. GRI Pricing'!G366</f>
        <v>0</v>
      </c>
      <c r="H356" s="16">
        <f>'3. GRI Pricing'!H366</f>
        <v>0</v>
      </c>
      <c r="I356" s="280">
        <f>'3. GRI Pricing'!K366</f>
        <v>0</v>
      </c>
      <c r="J356" s="281">
        <f>'3. GRI Pricing'!O366</f>
        <v>0</v>
      </c>
      <c r="K356" s="281">
        <f>'3. GRI Pricing'!L366</f>
        <v>0</v>
      </c>
      <c r="L356" s="281">
        <f>'3. GRI Pricing'!P366</f>
        <v>0</v>
      </c>
      <c r="M356" s="281">
        <f>'3. GRI Pricing'!R366</f>
        <v>0</v>
      </c>
      <c r="N356" s="281">
        <f>'3. GRI Pricing'!S366</f>
        <v>0</v>
      </c>
      <c r="O356" s="281">
        <f>'3. GRI Pricing'!Q366</f>
        <v>0</v>
      </c>
      <c r="P356" s="281">
        <f>'3. GRI Pricing'!T366</f>
        <v>0</v>
      </c>
      <c r="Q356" s="281">
        <f>'3. GRI Pricing'!U366</f>
        <v>0</v>
      </c>
      <c r="R356" s="281">
        <f>'3. GRI Pricing'!V366</f>
        <v>0</v>
      </c>
      <c r="S356" s="281">
        <f>'3. GRI Pricing'!W366</f>
        <v>0</v>
      </c>
      <c r="T356" s="281">
        <f>'3. GRI Pricing'!X366</f>
        <v>0</v>
      </c>
      <c r="U356" s="282">
        <f>'3. GRI Pricing'!Y366</f>
        <v>0</v>
      </c>
    </row>
    <row r="357" spans="3:21" x14ac:dyDescent="0.2">
      <c r="C357" s="23">
        <f>'3. GRI Pricing'!C367</f>
        <v>0</v>
      </c>
      <c r="D357" s="16">
        <f>'3. GRI Pricing'!D367</f>
        <v>0</v>
      </c>
      <c r="E357" s="16">
        <f>'3. GRI Pricing'!E367</f>
        <v>0</v>
      </c>
      <c r="F357" s="16">
        <f>'3. GRI Pricing'!F367</f>
        <v>0</v>
      </c>
      <c r="G357" s="16">
        <f>'3. GRI Pricing'!G367</f>
        <v>0</v>
      </c>
      <c r="H357" s="16">
        <f>'3. GRI Pricing'!H367</f>
        <v>0</v>
      </c>
      <c r="I357" s="280">
        <f>'3. GRI Pricing'!K367</f>
        <v>0</v>
      </c>
      <c r="J357" s="281">
        <f>'3. GRI Pricing'!O367</f>
        <v>0</v>
      </c>
      <c r="K357" s="281">
        <f>'3. GRI Pricing'!L367</f>
        <v>0</v>
      </c>
      <c r="L357" s="281">
        <f>'3. GRI Pricing'!P367</f>
        <v>0</v>
      </c>
      <c r="M357" s="281">
        <f>'3. GRI Pricing'!R367</f>
        <v>0</v>
      </c>
      <c r="N357" s="281">
        <f>'3. GRI Pricing'!S367</f>
        <v>0</v>
      </c>
      <c r="O357" s="281">
        <f>'3. GRI Pricing'!Q367</f>
        <v>0</v>
      </c>
      <c r="P357" s="281">
        <f>'3. GRI Pricing'!T367</f>
        <v>0</v>
      </c>
      <c r="Q357" s="281">
        <f>'3. GRI Pricing'!U367</f>
        <v>0</v>
      </c>
      <c r="R357" s="281">
        <f>'3. GRI Pricing'!V367</f>
        <v>0</v>
      </c>
      <c r="S357" s="281">
        <f>'3. GRI Pricing'!W367</f>
        <v>0</v>
      </c>
      <c r="T357" s="281">
        <f>'3. GRI Pricing'!X367</f>
        <v>0</v>
      </c>
      <c r="U357" s="282">
        <f>'3. GRI Pricing'!Y367</f>
        <v>0</v>
      </c>
    </row>
    <row r="358" spans="3:21" x14ac:dyDescent="0.2">
      <c r="C358" s="23">
        <f>'3. GRI Pricing'!C368</f>
        <v>0</v>
      </c>
      <c r="D358" s="16">
        <f>'3. GRI Pricing'!D368</f>
        <v>0</v>
      </c>
      <c r="E358" s="16">
        <f>'3. GRI Pricing'!E368</f>
        <v>0</v>
      </c>
      <c r="F358" s="16">
        <f>'3. GRI Pricing'!F368</f>
        <v>0</v>
      </c>
      <c r="G358" s="16">
        <f>'3. GRI Pricing'!G368</f>
        <v>0</v>
      </c>
      <c r="H358" s="16">
        <f>'3. GRI Pricing'!H368</f>
        <v>0</v>
      </c>
      <c r="I358" s="280">
        <f>'3. GRI Pricing'!K368</f>
        <v>0</v>
      </c>
      <c r="J358" s="281">
        <f>'3. GRI Pricing'!O368</f>
        <v>0</v>
      </c>
      <c r="K358" s="281">
        <f>'3. GRI Pricing'!L368</f>
        <v>0</v>
      </c>
      <c r="L358" s="281">
        <f>'3. GRI Pricing'!P368</f>
        <v>0</v>
      </c>
      <c r="M358" s="281">
        <f>'3. GRI Pricing'!R368</f>
        <v>0</v>
      </c>
      <c r="N358" s="281">
        <f>'3. GRI Pricing'!S368</f>
        <v>0</v>
      </c>
      <c r="O358" s="281">
        <f>'3. GRI Pricing'!Q368</f>
        <v>0</v>
      </c>
      <c r="P358" s="281">
        <f>'3. GRI Pricing'!T368</f>
        <v>0</v>
      </c>
      <c r="Q358" s="281">
        <f>'3. GRI Pricing'!U368</f>
        <v>0</v>
      </c>
      <c r="R358" s="281">
        <f>'3. GRI Pricing'!V368</f>
        <v>0</v>
      </c>
      <c r="S358" s="281">
        <f>'3. GRI Pricing'!W368</f>
        <v>0</v>
      </c>
      <c r="T358" s="281">
        <f>'3. GRI Pricing'!X368</f>
        <v>0</v>
      </c>
      <c r="U358" s="282">
        <f>'3. GRI Pricing'!Y368</f>
        <v>0</v>
      </c>
    </row>
    <row r="359" spans="3:21" x14ac:dyDescent="0.2">
      <c r="C359" s="23">
        <f>'3. GRI Pricing'!C369</f>
        <v>0</v>
      </c>
      <c r="D359" s="16">
        <f>'3. GRI Pricing'!D369</f>
        <v>0</v>
      </c>
      <c r="E359" s="16">
        <f>'3. GRI Pricing'!E369</f>
        <v>0</v>
      </c>
      <c r="F359" s="16">
        <f>'3. GRI Pricing'!F369</f>
        <v>0</v>
      </c>
      <c r="G359" s="16">
        <f>'3. GRI Pricing'!G369</f>
        <v>0</v>
      </c>
      <c r="H359" s="16">
        <f>'3. GRI Pricing'!H369</f>
        <v>0</v>
      </c>
      <c r="I359" s="280">
        <f>'3. GRI Pricing'!K369</f>
        <v>0</v>
      </c>
      <c r="J359" s="281">
        <f>'3. GRI Pricing'!O369</f>
        <v>0</v>
      </c>
      <c r="K359" s="281">
        <f>'3. GRI Pricing'!L369</f>
        <v>0</v>
      </c>
      <c r="L359" s="281">
        <f>'3. GRI Pricing'!P369</f>
        <v>0</v>
      </c>
      <c r="M359" s="281">
        <f>'3. GRI Pricing'!R369</f>
        <v>0</v>
      </c>
      <c r="N359" s="281">
        <f>'3. GRI Pricing'!S369</f>
        <v>0</v>
      </c>
      <c r="O359" s="281">
        <f>'3. GRI Pricing'!Q369</f>
        <v>0</v>
      </c>
      <c r="P359" s="281">
        <f>'3. GRI Pricing'!T369</f>
        <v>0</v>
      </c>
      <c r="Q359" s="281">
        <f>'3. GRI Pricing'!U369</f>
        <v>0</v>
      </c>
      <c r="R359" s="281">
        <f>'3. GRI Pricing'!V369</f>
        <v>0</v>
      </c>
      <c r="S359" s="281">
        <f>'3. GRI Pricing'!W369</f>
        <v>0</v>
      </c>
      <c r="T359" s="281">
        <f>'3. GRI Pricing'!X369</f>
        <v>0</v>
      </c>
      <c r="U359" s="282">
        <f>'3. GRI Pricing'!Y369</f>
        <v>0</v>
      </c>
    </row>
    <row r="360" spans="3:21" x14ac:dyDescent="0.2">
      <c r="C360" s="23">
        <f>'3. GRI Pricing'!C370</f>
        <v>0</v>
      </c>
      <c r="D360" s="16">
        <f>'3. GRI Pricing'!D370</f>
        <v>0</v>
      </c>
      <c r="E360" s="16">
        <f>'3. GRI Pricing'!E370</f>
        <v>0</v>
      </c>
      <c r="F360" s="16">
        <f>'3. GRI Pricing'!F370</f>
        <v>0</v>
      </c>
      <c r="G360" s="16">
        <f>'3. GRI Pricing'!G370</f>
        <v>0</v>
      </c>
      <c r="H360" s="16">
        <f>'3. GRI Pricing'!H370</f>
        <v>0</v>
      </c>
      <c r="I360" s="280">
        <f>'3. GRI Pricing'!K370</f>
        <v>0</v>
      </c>
      <c r="J360" s="281">
        <f>'3. GRI Pricing'!O370</f>
        <v>0</v>
      </c>
      <c r="K360" s="281">
        <f>'3. GRI Pricing'!L370</f>
        <v>0</v>
      </c>
      <c r="L360" s="281">
        <f>'3. GRI Pricing'!P370</f>
        <v>0</v>
      </c>
      <c r="M360" s="281">
        <f>'3. GRI Pricing'!R370</f>
        <v>0</v>
      </c>
      <c r="N360" s="281">
        <f>'3. GRI Pricing'!S370</f>
        <v>0</v>
      </c>
      <c r="O360" s="281">
        <f>'3. GRI Pricing'!Q370</f>
        <v>0</v>
      </c>
      <c r="P360" s="281">
        <f>'3. GRI Pricing'!T370</f>
        <v>0</v>
      </c>
      <c r="Q360" s="281">
        <f>'3. GRI Pricing'!U370</f>
        <v>0</v>
      </c>
      <c r="R360" s="281">
        <f>'3. GRI Pricing'!V370</f>
        <v>0</v>
      </c>
      <c r="S360" s="281">
        <f>'3. GRI Pricing'!W370</f>
        <v>0</v>
      </c>
      <c r="T360" s="281">
        <f>'3. GRI Pricing'!X370</f>
        <v>0</v>
      </c>
      <c r="U360" s="282">
        <f>'3. GRI Pricing'!Y370</f>
        <v>0</v>
      </c>
    </row>
    <row r="361" spans="3:21" x14ac:dyDescent="0.2">
      <c r="C361" s="23">
        <f>'3. GRI Pricing'!C371</f>
        <v>0</v>
      </c>
      <c r="D361" s="16">
        <f>'3. GRI Pricing'!D371</f>
        <v>0</v>
      </c>
      <c r="E361" s="16">
        <f>'3. GRI Pricing'!E371</f>
        <v>0</v>
      </c>
      <c r="F361" s="16">
        <f>'3. GRI Pricing'!F371</f>
        <v>0</v>
      </c>
      <c r="G361" s="16">
        <f>'3. GRI Pricing'!G371</f>
        <v>0</v>
      </c>
      <c r="H361" s="16">
        <f>'3. GRI Pricing'!H371</f>
        <v>0</v>
      </c>
      <c r="I361" s="280">
        <f>'3. GRI Pricing'!K371</f>
        <v>0</v>
      </c>
      <c r="J361" s="281">
        <f>'3. GRI Pricing'!O371</f>
        <v>0</v>
      </c>
      <c r="K361" s="281">
        <f>'3. GRI Pricing'!L371</f>
        <v>0</v>
      </c>
      <c r="L361" s="281">
        <f>'3. GRI Pricing'!P371</f>
        <v>0</v>
      </c>
      <c r="M361" s="281">
        <f>'3. GRI Pricing'!R371</f>
        <v>0</v>
      </c>
      <c r="N361" s="281">
        <f>'3. GRI Pricing'!S371</f>
        <v>0</v>
      </c>
      <c r="O361" s="281">
        <f>'3. GRI Pricing'!Q371</f>
        <v>0</v>
      </c>
      <c r="P361" s="281">
        <f>'3. GRI Pricing'!T371</f>
        <v>0</v>
      </c>
      <c r="Q361" s="281">
        <f>'3. GRI Pricing'!U371</f>
        <v>0</v>
      </c>
      <c r="R361" s="281">
        <f>'3. GRI Pricing'!V371</f>
        <v>0</v>
      </c>
      <c r="S361" s="281">
        <f>'3. GRI Pricing'!W371</f>
        <v>0</v>
      </c>
      <c r="T361" s="281">
        <f>'3. GRI Pricing'!X371</f>
        <v>0</v>
      </c>
      <c r="U361" s="282">
        <f>'3. GRI Pricing'!Y371</f>
        <v>0</v>
      </c>
    </row>
    <row r="362" spans="3:21" x14ac:dyDescent="0.2">
      <c r="C362" s="23">
        <f>'3. GRI Pricing'!C372</f>
        <v>0</v>
      </c>
      <c r="D362" s="16">
        <f>'3. GRI Pricing'!D372</f>
        <v>0</v>
      </c>
      <c r="E362" s="16">
        <f>'3. GRI Pricing'!E372</f>
        <v>0</v>
      </c>
      <c r="F362" s="16">
        <f>'3. GRI Pricing'!F372</f>
        <v>0</v>
      </c>
      <c r="G362" s="16">
        <f>'3. GRI Pricing'!G372</f>
        <v>0</v>
      </c>
      <c r="H362" s="16">
        <f>'3. GRI Pricing'!H372</f>
        <v>0</v>
      </c>
      <c r="I362" s="280">
        <f>'3. GRI Pricing'!K372</f>
        <v>0</v>
      </c>
      <c r="J362" s="281">
        <f>'3. GRI Pricing'!O372</f>
        <v>0</v>
      </c>
      <c r="K362" s="281">
        <f>'3. GRI Pricing'!L372</f>
        <v>0</v>
      </c>
      <c r="L362" s="281">
        <f>'3. GRI Pricing'!P372</f>
        <v>0</v>
      </c>
      <c r="M362" s="281">
        <f>'3. GRI Pricing'!R372</f>
        <v>0</v>
      </c>
      <c r="N362" s="281">
        <f>'3. GRI Pricing'!S372</f>
        <v>0</v>
      </c>
      <c r="O362" s="281">
        <f>'3. GRI Pricing'!Q372</f>
        <v>0</v>
      </c>
      <c r="P362" s="281">
        <f>'3. GRI Pricing'!T372</f>
        <v>0</v>
      </c>
      <c r="Q362" s="281">
        <f>'3. GRI Pricing'!U372</f>
        <v>0</v>
      </c>
      <c r="R362" s="281">
        <f>'3. GRI Pricing'!V372</f>
        <v>0</v>
      </c>
      <c r="S362" s="281">
        <f>'3. GRI Pricing'!W372</f>
        <v>0</v>
      </c>
      <c r="T362" s="281">
        <f>'3. GRI Pricing'!X372</f>
        <v>0</v>
      </c>
      <c r="U362" s="282">
        <f>'3. GRI Pricing'!Y372</f>
        <v>0</v>
      </c>
    </row>
    <row r="363" spans="3:21" x14ac:dyDescent="0.2">
      <c r="C363" s="23">
        <f>'3. GRI Pricing'!C373</f>
        <v>0</v>
      </c>
      <c r="D363" s="16">
        <f>'3. GRI Pricing'!D373</f>
        <v>0</v>
      </c>
      <c r="E363" s="16">
        <f>'3. GRI Pricing'!E373</f>
        <v>0</v>
      </c>
      <c r="F363" s="16">
        <f>'3. GRI Pricing'!F373</f>
        <v>0</v>
      </c>
      <c r="G363" s="16">
        <f>'3. GRI Pricing'!G373</f>
        <v>0</v>
      </c>
      <c r="H363" s="16">
        <f>'3. GRI Pricing'!H373</f>
        <v>0</v>
      </c>
      <c r="I363" s="280">
        <f>'3. GRI Pricing'!K373</f>
        <v>0</v>
      </c>
      <c r="J363" s="281">
        <f>'3. GRI Pricing'!O373</f>
        <v>0</v>
      </c>
      <c r="K363" s="281">
        <f>'3. GRI Pricing'!L373</f>
        <v>0</v>
      </c>
      <c r="L363" s="281">
        <f>'3. GRI Pricing'!P373</f>
        <v>0</v>
      </c>
      <c r="M363" s="281">
        <f>'3. GRI Pricing'!R373</f>
        <v>0</v>
      </c>
      <c r="N363" s="281">
        <f>'3. GRI Pricing'!S373</f>
        <v>0</v>
      </c>
      <c r="O363" s="281">
        <f>'3. GRI Pricing'!Q373</f>
        <v>0</v>
      </c>
      <c r="P363" s="281">
        <f>'3. GRI Pricing'!T373</f>
        <v>0</v>
      </c>
      <c r="Q363" s="281">
        <f>'3. GRI Pricing'!U373</f>
        <v>0</v>
      </c>
      <c r="R363" s="281">
        <f>'3. GRI Pricing'!V373</f>
        <v>0</v>
      </c>
      <c r="S363" s="281">
        <f>'3. GRI Pricing'!W373</f>
        <v>0</v>
      </c>
      <c r="T363" s="281">
        <f>'3. GRI Pricing'!X373</f>
        <v>0</v>
      </c>
      <c r="U363" s="282">
        <f>'3. GRI Pricing'!Y373</f>
        <v>0</v>
      </c>
    </row>
    <row r="364" spans="3:21" x14ac:dyDescent="0.2">
      <c r="C364" s="23">
        <f>'3. GRI Pricing'!C374</f>
        <v>0</v>
      </c>
      <c r="D364" s="16">
        <f>'3. GRI Pricing'!D374</f>
        <v>0</v>
      </c>
      <c r="E364" s="16">
        <f>'3. GRI Pricing'!E374</f>
        <v>0</v>
      </c>
      <c r="F364" s="16">
        <f>'3. GRI Pricing'!F374</f>
        <v>0</v>
      </c>
      <c r="G364" s="16">
        <f>'3. GRI Pricing'!G374</f>
        <v>0</v>
      </c>
      <c r="H364" s="16">
        <f>'3. GRI Pricing'!H374</f>
        <v>0</v>
      </c>
      <c r="I364" s="280">
        <f>'3. GRI Pricing'!K374</f>
        <v>0</v>
      </c>
      <c r="J364" s="281">
        <f>'3. GRI Pricing'!O374</f>
        <v>0</v>
      </c>
      <c r="K364" s="281">
        <f>'3. GRI Pricing'!L374</f>
        <v>0</v>
      </c>
      <c r="L364" s="281">
        <f>'3. GRI Pricing'!P374</f>
        <v>0</v>
      </c>
      <c r="M364" s="281">
        <f>'3. GRI Pricing'!R374</f>
        <v>0</v>
      </c>
      <c r="N364" s="281">
        <f>'3. GRI Pricing'!S374</f>
        <v>0</v>
      </c>
      <c r="O364" s="281">
        <f>'3. GRI Pricing'!Q374</f>
        <v>0</v>
      </c>
      <c r="P364" s="281">
        <f>'3. GRI Pricing'!T374</f>
        <v>0</v>
      </c>
      <c r="Q364" s="281">
        <f>'3. GRI Pricing'!U374</f>
        <v>0</v>
      </c>
      <c r="R364" s="281">
        <f>'3. GRI Pricing'!V374</f>
        <v>0</v>
      </c>
      <c r="S364" s="281">
        <f>'3. GRI Pricing'!W374</f>
        <v>0</v>
      </c>
      <c r="T364" s="281">
        <f>'3. GRI Pricing'!X374</f>
        <v>0</v>
      </c>
      <c r="U364" s="282">
        <f>'3. GRI Pricing'!Y374</f>
        <v>0</v>
      </c>
    </row>
    <row r="365" spans="3:21" x14ac:dyDescent="0.2">
      <c r="C365" s="23">
        <f>'3. GRI Pricing'!C375</f>
        <v>0</v>
      </c>
      <c r="D365" s="16">
        <f>'3. GRI Pricing'!D375</f>
        <v>0</v>
      </c>
      <c r="E365" s="16">
        <f>'3. GRI Pricing'!E375</f>
        <v>0</v>
      </c>
      <c r="F365" s="16">
        <f>'3. GRI Pricing'!F375</f>
        <v>0</v>
      </c>
      <c r="G365" s="16">
        <f>'3. GRI Pricing'!G375</f>
        <v>0</v>
      </c>
      <c r="H365" s="16">
        <f>'3. GRI Pricing'!H375</f>
        <v>0</v>
      </c>
      <c r="I365" s="280">
        <f>'3. GRI Pricing'!K375</f>
        <v>0</v>
      </c>
      <c r="J365" s="281">
        <f>'3. GRI Pricing'!O375</f>
        <v>0</v>
      </c>
      <c r="K365" s="281">
        <f>'3. GRI Pricing'!L375</f>
        <v>0</v>
      </c>
      <c r="L365" s="281">
        <f>'3. GRI Pricing'!P375</f>
        <v>0</v>
      </c>
      <c r="M365" s="281">
        <f>'3. GRI Pricing'!R375</f>
        <v>0</v>
      </c>
      <c r="N365" s="281">
        <f>'3. GRI Pricing'!S375</f>
        <v>0</v>
      </c>
      <c r="O365" s="281">
        <f>'3. GRI Pricing'!Q375</f>
        <v>0</v>
      </c>
      <c r="P365" s="281">
        <f>'3. GRI Pricing'!T375</f>
        <v>0</v>
      </c>
      <c r="Q365" s="281">
        <f>'3. GRI Pricing'!U375</f>
        <v>0</v>
      </c>
      <c r="R365" s="281">
        <f>'3. GRI Pricing'!V375</f>
        <v>0</v>
      </c>
      <c r="S365" s="281">
        <f>'3. GRI Pricing'!W375</f>
        <v>0</v>
      </c>
      <c r="T365" s="281">
        <f>'3. GRI Pricing'!X375</f>
        <v>0</v>
      </c>
      <c r="U365" s="282">
        <f>'3. GRI Pricing'!Y375</f>
        <v>0</v>
      </c>
    </row>
    <row r="366" spans="3:21" x14ac:dyDescent="0.2">
      <c r="C366" s="23">
        <f>'3. GRI Pricing'!C376</f>
        <v>0</v>
      </c>
      <c r="D366" s="16">
        <f>'3. GRI Pricing'!D376</f>
        <v>0</v>
      </c>
      <c r="E366" s="16">
        <f>'3. GRI Pricing'!E376</f>
        <v>0</v>
      </c>
      <c r="F366" s="16">
        <f>'3. GRI Pricing'!F376</f>
        <v>0</v>
      </c>
      <c r="G366" s="16">
        <f>'3. GRI Pricing'!G376</f>
        <v>0</v>
      </c>
      <c r="H366" s="16">
        <f>'3. GRI Pricing'!H376</f>
        <v>0</v>
      </c>
      <c r="I366" s="280">
        <f>'3. GRI Pricing'!K376</f>
        <v>0</v>
      </c>
      <c r="J366" s="281">
        <f>'3. GRI Pricing'!O376</f>
        <v>0</v>
      </c>
      <c r="K366" s="281">
        <f>'3. GRI Pricing'!L376</f>
        <v>0</v>
      </c>
      <c r="L366" s="281">
        <f>'3. GRI Pricing'!P376</f>
        <v>0</v>
      </c>
      <c r="M366" s="281">
        <f>'3. GRI Pricing'!R376</f>
        <v>0</v>
      </c>
      <c r="N366" s="281">
        <f>'3. GRI Pricing'!S376</f>
        <v>0</v>
      </c>
      <c r="O366" s="281">
        <f>'3. GRI Pricing'!Q376</f>
        <v>0</v>
      </c>
      <c r="P366" s="281">
        <f>'3. GRI Pricing'!T376</f>
        <v>0</v>
      </c>
      <c r="Q366" s="281">
        <f>'3. GRI Pricing'!U376</f>
        <v>0</v>
      </c>
      <c r="R366" s="281">
        <f>'3. GRI Pricing'!V376</f>
        <v>0</v>
      </c>
      <c r="S366" s="281">
        <f>'3. GRI Pricing'!W376</f>
        <v>0</v>
      </c>
      <c r="T366" s="281">
        <f>'3. GRI Pricing'!X376</f>
        <v>0</v>
      </c>
      <c r="U366" s="282">
        <f>'3. GRI Pricing'!Y376</f>
        <v>0</v>
      </c>
    </row>
    <row r="367" spans="3:21" x14ac:dyDescent="0.2">
      <c r="C367" s="23">
        <f>'3. GRI Pricing'!C377</f>
        <v>0</v>
      </c>
      <c r="D367" s="16">
        <f>'3. GRI Pricing'!D377</f>
        <v>0</v>
      </c>
      <c r="E367" s="16">
        <f>'3. GRI Pricing'!E377</f>
        <v>0</v>
      </c>
      <c r="F367" s="16">
        <f>'3. GRI Pricing'!F377</f>
        <v>0</v>
      </c>
      <c r="G367" s="16">
        <f>'3. GRI Pricing'!G377</f>
        <v>0</v>
      </c>
      <c r="H367" s="16">
        <f>'3. GRI Pricing'!H377</f>
        <v>0</v>
      </c>
      <c r="I367" s="280">
        <f>'3. GRI Pricing'!K377</f>
        <v>0</v>
      </c>
      <c r="J367" s="281">
        <f>'3. GRI Pricing'!O377</f>
        <v>0</v>
      </c>
      <c r="K367" s="281">
        <f>'3. GRI Pricing'!L377</f>
        <v>0</v>
      </c>
      <c r="L367" s="281">
        <f>'3. GRI Pricing'!P377</f>
        <v>0</v>
      </c>
      <c r="M367" s="281">
        <f>'3. GRI Pricing'!R377</f>
        <v>0</v>
      </c>
      <c r="N367" s="281">
        <f>'3. GRI Pricing'!S377</f>
        <v>0</v>
      </c>
      <c r="O367" s="281">
        <f>'3. GRI Pricing'!Q377</f>
        <v>0</v>
      </c>
      <c r="P367" s="281">
        <f>'3. GRI Pricing'!T377</f>
        <v>0</v>
      </c>
      <c r="Q367" s="281">
        <f>'3. GRI Pricing'!U377</f>
        <v>0</v>
      </c>
      <c r="R367" s="281">
        <f>'3. GRI Pricing'!V377</f>
        <v>0</v>
      </c>
      <c r="S367" s="281">
        <f>'3. GRI Pricing'!W377</f>
        <v>0</v>
      </c>
      <c r="T367" s="281">
        <f>'3. GRI Pricing'!X377</f>
        <v>0</v>
      </c>
      <c r="U367" s="282">
        <f>'3. GRI Pricing'!Y377</f>
        <v>0</v>
      </c>
    </row>
    <row r="368" spans="3:21" x14ac:dyDescent="0.2">
      <c r="C368" s="23">
        <f>'3. GRI Pricing'!C378</f>
        <v>0</v>
      </c>
      <c r="D368" s="16">
        <f>'3. GRI Pricing'!D378</f>
        <v>0</v>
      </c>
      <c r="E368" s="16">
        <f>'3. GRI Pricing'!E378</f>
        <v>0</v>
      </c>
      <c r="F368" s="16">
        <f>'3. GRI Pricing'!F378</f>
        <v>0</v>
      </c>
      <c r="G368" s="16">
        <f>'3. GRI Pricing'!G378</f>
        <v>0</v>
      </c>
      <c r="H368" s="16">
        <f>'3. GRI Pricing'!H378</f>
        <v>0</v>
      </c>
      <c r="I368" s="280">
        <f>'3. GRI Pricing'!K378</f>
        <v>0</v>
      </c>
      <c r="J368" s="281">
        <f>'3. GRI Pricing'!O378</f>
        <v>0</v>
      </c>
      <c r="K368" s="281">
        <f>'3. GRI Pricing'!L378</f>
        <v>0</v>
      </c>
      <c r="L368" s="281">
        <f>'3. GRI Pricing'!P378</f>
        <v>0</v>
      </c>
      <c r="M368" s="281">
        <f>'3. GRI Pricing'!R378</f>
        <v>0</v>
      </c>
      <c r="N368" s="281">
        <f>'3. GRI Pricing'!S378</f>
        <v>0</v>
      </c>
      <c r="O368" s="281">
        <f>'3. GRI Pricing'!Q378</f>
        <v>0</v>
      </c>
      <c r="P368" s="281">
        <f>'3. GRI Pricing'!T378</f>
        <v>0</v>
      </c>
      <c r="Q368" s="281">
        <f>'3. GRI Pricing'!U378</f>
        <v>0</v>
      </c>
      <c r="R368" s="281">
        <f>'3. GRI Pricing'!V378</f>
        <v>0</v>
      </c>
      <c r="S368" s="281">
        <f>'3. GRI Pricing'!W378</f>
        <v>0</v>
      </c>
      <c r="T368" s="281">
        <f>'3. GRI Pricing'!X378</f>
        <v>0</v>
      </c>
      <c r="U368" s="282">
        <f>'3. GRI Pricing'!Y378</f>
        <v>0</v>
      </c>
    </row>
    <row r="369" spans="3:21" x14ac:dyDescent="0.2">
      <c r="C369" s="23">
        <f>'3. GRI Pricing'!C379</f>
        <v>0</v>
      </c>
      <c r="D369" s="16">
        <f>'3. GRI Pricing'!D379</f>
        <v>0</v>
      </c>
      <c r="E369" s="16">
        <f>'3. GRI Pricing'!E379</f>
        <v>0</v>
      </c>
      <c r="F369" s="16">
        <f>'3. GRI Pricing'!F379</f>
        <v>0</v>
      </c>
      <c r="G369" s="16">
        <f>'3. GRI Pricing'!G379</f>
        <v>0</v>
      </c>
      <c r="H369" s="16">
        <f>'3. GRI Pricing'!H379</f>
        <v>0</v>
      </c>
      <c r="I369" s="280">
        <f>'3. GRI Pricing'!K379</f>
        <v>0</v>
      </c>
      <c r="J369" s="281">
        <f>'3. GRI Pricing'!O379</f>
        <v>0</v>
      </c>
      <c r="K369" s="281">
        <f>'3. GRI Pricing'!L379</f>
        <v>0</v>
      </c>
      <c r="L369" s="281">
        <f>'3. GRI Pricing'!P379</f>
        <v>0</v>
      </c>
      <c r="M369" s="281">
        <f>'3. GRI Pricing'!R379</f>
        <v>0</v>
      </c>
      <c r="N369" s="281">
        <f>'3. GRI Pricing'!S379</f>
        <v>0</v>
      </c>
      <c r="O369" s="281">
        <f>'3. GRI Pricing'!Q379</f>
        <v>0</v>
      </c>
      <c r="P369" s="281">
        <f>'3. GRI Pricing'!T379</f>
        <v>0</v>
      </c>
      <c r="Q369" s="281">
        <f>'3. GRI Pricing'!U379</f>
        <v>0</v>
      </c>
      <c r="R369" s="281">
        <f>'3. GRI Pricing'!V379</f>
        <v>0</v>
      </c>
      <c r="S369" s="281">
        <f>'3. GRI Pricing'!W379</f>
        <v>0</v>
      </c>
      <c r="T369" s="281">
        <f>'3. GRI Pricing'!X379</f>
        <v>0</v>
      </c>
      <c r="U369" s="282">
        <f>'3. GRI Pricing'!Y379</f>
        <v>0</v>
      </c>
    </row>
    <row r="370" spans="3:21" x14ac:dyDescent="0.2">
      <c r="C370" s="23">
        <f>'3. GRI Pricing'!C380</f>
        <v>0</v>
      </c>
      <c r="D370" s="16">
        <f>'3. GRI Pricing'!D380</f>
        <v>0</v>
      </c>
      <c r="E370" s="16">
        <f>'3. GRI Pricing'!E380</f>
        <v>0</v>
      </c>
      <c r="F370" s="16">
        <f>'3. GRI Pricing'!F380</f>
        <v>0</v>
      </c>
      <c r="G370" s="16">
        <f>'3. GRI Pricing'!G380</f>
        <v>0</v>
      </c>
      <c r="H370" s="16">
        <f>'3. GRI Pricing'!H380</f>
        <v>0</v>
      </c>
      <c r="I370" s="280">
        <f>'3. GRI Pricing'!K380</f>
        <v>0</v>
      </c>
      <c r="J370" s="281">
        <f>'3. GRI Pricing'!O380</f>
        <v>0</v>
      </c>
      <c r="K370" s="281">
        <f>'3. GRI Pricing'!L380</f>
        <v>0</v>
      </c>
      <c r="L370" s="281">
        <f>'3. GRI Pricing'!P380</f>
        <v>0</v>
      </c>
      <c r="M370" s="281">
        <f>'3. GRI Pricing'!R380</f>
        <v>0</v>
      </c>
      <c r="N370" s="281">
        <f>'3. GRI Pricing'!S380</f>
        <v>0</v>
      </c>
      <c r="O370" s="281">
        <f>'3. GRI Pricing'!Q380</f>
        <v>0</v>
      </c>
      <c r="P370" s="281">
        <f>'3. GRI Pricing'!T380</f>
        <v>0</v>
      </c>
      <c r="Q370" s="281">
        <f>'3. GRI Pricing'!U380</f>
        <v>0</v>
      </c>
      <c r="R370" s="281">
        <f>'3. GRI Pricing'!V380</f>
        <v>0</v>
      </c>
      <c r="S370" s="281">
        <f>'3. GRI Pricing'!W380</f>
        <v>0</v>
      </c>
      <c r="T370" s="281">
        <f>'3. GRI Pricing'!X380</f>
        <v>0</v>
      </c>
      <c r="U370" s="282">
        <f>'3. GRI Pricing'!Y380</f>
        <v>0</v>
      </c>
    </row>
    <row r="371" spans="3:21" x14ac:dyDescent="0.2">
      <c r="C371" s="23">
        <f>'3. GRI Pricing'!C381</f>
        <v>0</v>
      </c>
      <c r="D371" s="16">
        <f>'3. GRI Pricing'!D381</f>
        <v>0</v>
      </c>
      <c r="E371" s="16">
        <f>'3. GRI Pricing'!E381</f>
        <v>0</v>
      </c>
      <c r="F371" s="16">
        <f>'3. GRI Pricing'!F381</f>
        <v>0</v>
      </c>
      <c r="G371" s="16">
        <f>'3. GRI Pricing'!G381</f>
        <v>0</v>
      </c>
      <c r="H371" s="16">
        <f>'3. GRI Pricing'!H381</f>
        <v>0</v>
      </c>
      <c r="I371" s="280">
        <f>'3. GRI Pricing'!K381</f>
        <v>0</v>
      </c>
      <c r="J371" s="281">
        <f>'3. GRI Pricing'!O381</f>
        <v>0</v>
      </c>
      <c r="K371" s="281">
        <f>'3. GRI Pricing'!L381</f>
        <v>0</v>
      </c>
      <c r="L371" s="281">
        <f>'3. GRI Pricing'!P381</f>
        <v>0</v>
      </c>
      <c r="M371" s="281">
        <f>'3. GRI Pricing'!R381</f>
        <v>0</v>
      </c>
      <c r="N371" s="281">
        <f>'3. GRI Pricing'!S381</f>
        <v>0</v>
      </c>
      <c r="O371" s="281">
        <f>'3. GRI Pricing'!Q381</f>
        <v>0</v>
      </c>
      <c r="P371" s="281">
        <f>'3. GRI Pricing'!T381</f>
        <v>0</v>
      </c>
      <c r="Q371" s="281">
        <f>'3. GRI Pricing'!U381</f>
        <v>0</v>
      </c>
      <c r="R371" s="281">
        <f>'3. GRI Pricing'!V381</f>
        <v>0</v>
      </c>
      <c r="S371" s="281">
        <f>'3. GRI Pricing'!W381</f>
        <v>0</v>
      </c>
      <c r="T371" s="281">
        <f>'3. GRI Pricing'!X381</f>
        <v>0</v>
      </c>
      <c r="U371" s="282">
        <f>'3. GRI Pricing'!Y381</f>
        <v>0</v>
      </c>
    </row>
    <row r="372" spans="3:21" x14ac:dyDescent="0.2">
      <c r="C372" s="23">
        <f>'3. GRI Pricing'!C382</f>
        <v>0</v>
      </c>
      <c r="D372" s="16">
        <f>'3. GRI Pricing'!D382</f>
        <v>0</v>
      </c>
      <c r="E372" s="16">
        <f>'3. GRI Pricing'!E382</f>
        <v>0</v>
      </c>
      <c r="F372" s="16">
        <f>'3. GRI Pricing'!F382</f>
        <v>0</v>
      </c>
      <c r="G372" s="16">
        <f>'3. GRI Pricing'!G382</f>
        <v>0</v>
      </c>
      <c r="H372" s="16">
        <f>'3. GRI Pricing'!H382</f>
        <v>0</v>
      </c>
      <c r="I372" s="280">
        <f>'3. GRI Pricing'!K382</f>
        <v>0</v>
      </c>
      <c r="J372" s="281">
        <f>'3. GRI Pricing'!O382</f>
        <v>0</v>
      </c>
      <c r="K372" s="281">
        <f>'3. GRI Pricing'!L382</f>
        <v>0</v>
      </c>
      <c r="L372" s="281">
        <f>'3. GRI Pricing'!P382</f>
        <v>0</v>
      </c>
      <c r="M372" s="281">
        <f>'3. GRI Pricing'!R382</f>
        <v>0</v>
      </c>
      <c r="N372" s="281">
        <f>'3. GRI Pricing'!S382</f>
        <v>0</v>
      </c>
      <c r="O372" s="281">
        <f>'3. GRI Pricing'!Q382</f>
        <v>0</v>
      </c>
      <c r="P372" s="281">
        <f>'3. GRI Pricing'!T382</f>
        <v>0</v>
      </c>
      <c r="Q372" s="281">
        <f>'3. GRI Pricing'!U382</f>
        <v>0</v>
      </c>
      <c r="R372" s="281">
        <f>'3. GRI Pricing'!V382</f>
        <v>0</v>
      </c>
      <c r="S372" s="281">
        <f>'3. GRI Pricing'!W382</f>
        <v>0</v>
      </c>
      <c r="T372" s="281">
        <f>'3. GRI Pricing'!X382</f>
        <v>0</v>
      </c>
      <c r="U372" s="282">
        <f>'3. GRI Pricing'!Y382</f>
        <v>0</v>
      </c>
    </row>
    <row r="373" spans="3:21" x14ac:dyDescent="0.2">
      <c r="C373" s="23">
        <f>'3. GRI Pricing'!C383</f>
        <v>0</v>
      </c>
      <c r="D373" s="16">
        <f>'3. GRI Pricing'!D383</f>
        <v>0</v>
      </c>
      <c r="E373" s="16">
        <f>'3. GRI Pricing'!E383</f>
        <v>0</v>
      </c>
      <c r="F373" s="16">
        <f>'3. GRI Pricing'!F383</f>
        <v>0</v>
      </c>
      <c r="G373" s="16">
        <f>'3. GRI Pricing'!G383</f>
        <v>0</v>
      </c>
      <c r="H373" s="16">
        <f>'3. GRI Pricing'!H383</f>
        <v>0</v>
      </c>
      <c r="I373" s="280">
        <f>'3. GRI Pricing'!K383</f>
        <v>0</v>
      </c>
      <c r="J373" s="281">
        <f>'3. GRI Pricing'!O383</f>
        <v>0</v>
      </c>
      <c r="K373" s="281">
        <f>'3. GRI Pricing'!L383</f>
        <v>0</v>
      </c>
      <c r="L373" s="281">
        <f>'3. GRI Pricing'!P383</f>
        <v>0</v>
      </c>
      <c r="M373" s="281">
        <f>'3. GRI Pricing'!R383</f>
        <v>0</v>
      </c>
      <c r="N373" s="281">
        <f>'3. GRI Pricing'!S383</f>
        <v>0</v>
      </c>
      <c r="O373" s="281">
        <f>'3. GRI Pricing'!Q383</f>
        <v>0</v>
      </c>
      <c r="P373" s="281">
        <f>'3. GRI Pricing'!T383</f>
        <v>0</v>
      </c>
      <c r="Q373" s="281">
        <f>'3. GRI Pricing'!U383</f>
        <v>0</v>
      </c>
      <c r="R373" s="281">
        <f>'3. GRI Pricing'!V383</f>
        <v>0</v>
      </c>
      <c r="S373" s="281">
        <f>'3. GRI Pricing'!W383</f>
        <v>0</v>
      </c>
      <c r="T373" s="281">
        <f>'3. GRI Pricing'!X383</f>
        <v>0</v>
      </c>
      <c r="U373" s="282">
        <f>'3. GRI Pricing'!Y383</f>
        <v>0</v>
      </c>
    </row>
    <row r="374" spans="3:21" x14ac:dyDescent="0.2">
      <c r="C374" s="23">
        <f>'3. GRI Pricing'!C384</f>
        <v>0</v>
      </c>
      <c r="D374" s="16">
        <f>'3. GRI Pricing'!D384</f>
        <v>0</v>
      </c>
      <c r="E374" s="16">
        <f>'3. GRI Pricing'!E384</f>
        <v>0</v>
      </c>
      <c r="F374" s="16">
        <f>'3. GRI Pricing'!F384</f>
        <v>0</v>
      </c>
      <c r="G374" s="16">
        <f>'3. GRI Pricing'!G384</f>
        <v>0</v>
      </c>
      <c r="H374" s="16">
        <f>'3. GRI Pricing'!H384</f>
        <v>0</v>
      </c>
      <c r="I374" s="280">
        <f>'3. GRI Pricing'!K384</f>
        <v>0</v>
      </c>
      <c r="J374" s="281">
        <f>'3. GRI Pricing'!O384</f>
        <v>0</v>
      </c>
      <c r="K374" s="281">
        <f>'3. GRI Pricing'!L384</f>
        <v>0</v>
      </c>
      <c r="L374" s="281">
        <f>'3. GRI Pricing'!P384</f>
        <v>0</v>
      </c>
      <c r="M374" s="281">
        <f>'3. GRI Pricing'!R384</f>
        <v>0</v>
      </c>
      <c r="N374" s="281">
        <f>'3. GRI Pricing'!S384</f>
        <v>0</v>
      </c>
      <c r="O374" s="281">
        <f>'3. GRI Pricing'!Q384</f>
        <v>0</v>
      </c>
      <c r="P374" s="281">
        <f>'3. GRI Pricing'!T384</f>
        <v>0</v>
      </c>
      <c r="Q374" s="281">
        <f>'3. GRI Pricing'!U384</f>
        <v>0</v>
      </c>
      <c r="R374" s="281">
        <f>'3. GRI Pricing'!V384</f>
        <v>0</v>
      </c>
      <c r="S374" s="281">
        <f>'3. GRI Pricing'!W384</f>
        <v>0</v>
      </c>
      <c r="T374" s="281">
        <f>'3. GRI Pricing'!X384</f>
        <v>0</v>
      </c>
      <c r="U374" s="282">
        <f>'3. GRI Pricing'!Y384</f>
        <v>0</v>
      </c>
    </row>
    <row r="375" spans="3:21" x14ac:dyDescent="0.2">
      <c r="C375" s="23">
        <f>'3. GRI Pricing'!C385</f>
        <v>0</v>
      </c>
      <c r="D375" s="16">
        <f>'3. GRI Pricing'!D385</f>
        <v>0</v>
      </c>
      <c r="E375" s="16">
        <f>'3. GRI Pricing'!E385</f>
        <v>0</v>
      </c>
      <c r="F375" s="16">
        <f>'3. GRI Pricing'!F385</f>
        <v>0</v>
      </c>
      <c r="G375" s="16">
        <f>'3. GRI Pricing'!G385</f>
        <v>0</v>
      </c>
      <c r="H375" s="16">
        <f>'3. GRI Pricing'!H385</f>
        <v>0</v>
      </c>
      <c r="I375" s="280">
        <f>'3. GRI Pricing'!K385</f>
        <v>0</v>
      </c>
      <c r="J375" s="281">
        <f>'3. GRI Pricing'!O385</f>
        <v>0</v>
      </c>
      <c r="K375" s="281">
        <f>'3. GRI Pricing'!L385</f>
        <v>0</v>
      </c>
      <c r="L375" s="281">
        <f>'3. GRI Pricing'!P385</f>
        <v>0</v>
      </c>
      <c r="M375" s="281">
        <f>'3. GRI Pricing'!R385</f>
        <v>0</v>
      </c>
      <c r="N375" s="281">
        <f>'3. GRI Pricing'!S385</f>
        <v>0</v>
      </c>
      <c r="O375" s="281">
        <f>'3. GRI Pricing'!Q385</f>
        <v>0</v>
      </c>
      <c r="P375" s="281">
        <f>'3. GRI Pricing'!T385</f>
        <v>0</v>
      </c>
      <c r="Q375" s="281">
        <f>'3. GRI Pricing'!U385</f>
        <v>0</v>
      </c>
      <c r="R375" s="281">
        <f>'3. GRI Pricing'!V385</f>
        <v>0</v>
      </c>
      <c r="S375" s="281">
        <f>'3. GRI Pricing'!W385</f>
        <v>0</v>
      </c>
      <c r="T375" s="281">
        <f>'3. GRI Pricing'!X385</f>
        <v>0</v>
      </c>
      <c r="U375" s="282">
        <f>'3. GRI Pricing'!Y385</f>
        <v>0</v>
      </c>
    </row>
    <row r="376" spans="3:21" x14ac:dyDescent="0.2">
      <c r="C376" s="23">
        <f>'3. GRI Pricing'!C386</f>
        <v>0</v>
      </c>
      <c r="D376" s="16">
        <f>'3. GRI Pricing'!D386</f>
        <v>0</v>
      </c>
      <c r="E376" s="16">
        <f>'3. GRI Pricing'!E386</f>
        <v>0</v>
      </c>
      <c r="F376" s="16">
        <f>'3. GRI Pricing'!F386</f>
        <v>0</v>
      </c>
      <c r="G376" s="16">
        <f>'3. GRI Pricing'!G386</f>
        <v>0</v>
      </c>
      <c r="H376" s="16">
        <f>'3. GRI Pricing'!H386</f>
        <v>0</v>
      </c>
      <c r="I376" s="280">
        <f>'3. GRI Pricing'!K386</f>
        <v>0</v>
      </c>
      <c r="J376" s="281">
        <f>'3. GRI Pricing'!O386</f>
        <v>0</v>
      </c>
      <c r="K376" s="281">
        <f>'3. GRI Pricing'!L386</f>
        <v>0</v>
      </c>
      <c r="L376" s="281">
        <f>'3. GRI Pricing'!P386</f>
        <v>0</v>
      </c>
      <c r="M376" s="281">
        <f>'3. GRI Pricing'!R386</f>
        <v>0</v>
      </c>
      <c r="N376" s="281">
        <f>'3. GRI Pricing'!S386</f>
        <v>0</v>
      </c>
      <c r="O376" s="281">
        <f>'3. GRI Pricing'!Q386</f>
        <v>0</v>
      </c>
      <c r="P376" s="281">
        <f>'3. GRI Pricing'!T386</f>
        <v>0</v>
      </c>
      <c r="Q376" s="281">
        <f>'3. GRI Pricing'!U386</f>
        <v>0</v>
      </c>
      <c r="R376" s="281">
        <f>'3. GRI Pricing'!V386</f>
        <v>0</v>
      </c>
      <c r="S376" s="281">
        <f>'3. GRI Pricing'!W386</f>
        <v>0</v>
      </c>
      <c r="T376" s="281">
        <f>'3. GRI Pricing'!X386</f>
        <v>0</v>
      </c>
      <c r="U376" s="282">
        <f>'3. GRI Pricing'!Y386</f>
        <v>0</v>
      </c>
    </row>
    <row r="377" spans="3:21" x14ac:dyDescent="0.2">
      <c r="C377" s="23">
        <f>'3. GRI Pricing'!C387</f>
        <v>0</v>
      </c>
      <c r="D377" s="16">
        <f>'3. GRI Pricing'!D387</f>
        <v>0</v>
      </c>
      <c r="E377" s="16">
        <f>'3. GRI Pricing'!E387</f>
        <v>0</v>
      </c>
      <c r="F377" s="16">
        <f>'3. GRI Pricing'!F387</f>
        <v>0</v>
      </c>
      <c r="G377" s="16">
        <f>'3. GRI Pricing'!G387</f>
        <v>0</v>
      </c>
      <c r="H377" s="16">
        <f>'3. GRI Pricing'!H387</f>
        <v>0</v>
      </c>
      <c r="I377" s="280">
        <f>'3. GRI Pricing'!K387</f>
        <v>0</v>
      </c>
      <c r="J377" s="281">
        <f>'3. GRI Pricing'!O387</f>
        <v>0</v>
      </c>
      <c r="K377" s="281">
        <f>'3. GRI Pricing'!L387</f>
        <v>0</v>
      </c>
      <c r="L377" s="281">
        <f>'3. GRI Pricing'!P387</f>
        <v>0</v>
      </c>
      <c r="M377" s="281">
        <f>'3. GRI Pricing'!R387</f>
        <v>0</v>
      </c>
      <c r="N377" s="281">
        <f>'3. GRI Pricing'!S387</f>
        <v>0</v>
      </c>
      <c r="O377" s="281">
        <f>'3. GRI Pricing'!Q387</f>
        <v>0</v>
      </c>
      <c r="P377" s="281">
        <f>'3. GRI Pricing'!T387</f>
        <v>0</v>
      </c>
      <c r="Q377" s="281">
        <f>'3. GRI Pricing'!U387</f>
        <v>0</v>
      </c>
      <c r="R377" s="281">
        <f>'3. GRI Pricing'!V387</f>
        <v>0</v>
      </c>
      <c r="S377" s="281">
        <f>'3. GRI Pricing'!W387</f>
        <v>0</v>
      </c>
      <c r="T377" s="281">
        <f>'3. GRI Pricing'!X387</f>
        <v>0</v>
      </c>
      <c r="U377" s="282">
        <f>'3. GRI Pricing'!Y387</f>
        <v>0</v>
      </c>
    </row>
    <row r="378" spans="3:21" x14ac:dyDescent="0.2">
      <c r="C378" s="23">
        <f>'3. GRI Pricing'!C388</f>
        <v>0</v>
      </c>
      <c r="D378" s="16">
        <f>'3. GRI Pricing'!D388</f>
        <v>0</v>
      </c>
      <c r="E378" s="16">
        <f>'3. GRI Pricing'!E388</f>
        <v>0</v>
      </c>
      <c r="F378" s="16">
        <f>'3. GRI Pricing'!F388</f>
        <v>0</v>
      </c>
      <c r="G378" s="16">
        <f>'3. GRI Pricing'!G388</f>
        <v>0</v>
      </c>
      <c r="H378" s="16">
        <f>'3. GRI Pricing'!H388</f>
        <v>0</v>
      </c>
      <c r="I378" s="280">
        <f>'3. GRI Pricing'!K388</f>
        <v>0</v>
      </c>
      <c r="J378" s="281">
        <f>'3. GRI Pricing'!O388</f>
        <v>0</v>
      </c>
      <c r="K378" s="281">
        <f>'3. GRI Pricing'!L388</f>
        <v>0</v>
      </c>
      <c r="L378" s="281">
        <f>'3. GRI Pricing'!P388</f>
        <v>0</v>
      </c>
      <c r="M378" s="281">
        <f>'3. GRI Pricing'!R388</f>
        <v>0</v>
      </c>
      <c r="N378" s="281">
        <f>'3. GRI Pricing'!S388</f>
        <v>0</v>
      </c>
      <c r="O378" s="281">
        <f>'3. GRI Pricing'!Q388</f>
        <v>0</v>
      </c>
      <c r="P378" s="281">
        <f>'3. GRI Pricing'!T388</f>
        <v>0</v>
      </c>
      <c r="Q378" s="281">
        <f>'3. GRI Pricing'!U388</f>
        <v>0</v>
      </c>
      <c r="R378" s="281">
        <f>'3. GRI Pricing'!V388</f>
        <v>0</v>
      </c>
      <c r="S378" s="281">
        <f>'3. GRI Pricing'!W388</f>
        <v>0</v>
      </c>
      <c r="T378" s="281">
        <f>'3. GRI Pricing'!X388</f>
        <v>0</v>
      </c>
      <c r="U378" s="282">
        <f>'3. GRI Pricing'!Y388</f>
        <v>0</v>
      </c>
    </row>
    <row r="379" spans="3:21" x14ac:dyDescent="0.2">
      <c r="C379" s="23">
        <f>'3. GRI Pricing'!C389</f>
        <v>0</v>
      </c>
      <c r="D379" s="16">
        <f>'3. GRI Pricing'!D389</f>
        <v>0</v>
      </c>
      <c r="E379" s="16">
        <f>'3. GRI Pricing'!E389</f>
        <v>0</v>
      </c>
      <c r="F379" s="16">
        <f>'3. GRI Pricing'!F389</f>
        <v>0</v>
      </c>
      <c r="G379" s="16">
        <f>'3. GRI Pricing'!G389</f>
        <v>0</v>
      </c>
      <c r="H379" s="16">
        <f>'3. GRI Pricing'!H389</f>
        <v>0</v>
      </c>
      <c r="I379" s="280">
        <f>'3. GRI Pricing'!K389</f>
        <v>0</v>
      </c>
      <c r="J379" s="281">
        <f>'3. GRI Pricing'!O389</f>
        <v>0</v>
      </c>
      <c r="K379" s="281">
        <f>'3. GRI Pricing'!L389</f>
        <v>0</v>
      </c>
      <c r="L379" s="281">
        <f>'3. GRI Pricing'!P389</f>
        <v>0</v>
      </c>
      <c r="M379" s="281">
        <f>'3. GRI Pricing'!R389</f>
        <v>0</v>
      </c>
      <c r="N379" s="281">
        <f>'3. GRI Pricing'!S389</f>
        <v>0</v>
      </c>
      <c r="O379" s="281">
        <f>'3. GRI Pricing'!Q389</f>
        <v>0</v>
      </c>
      <c r="P379" s="281">
        <f>'3. GRI Pricing'!T389</f>
        <v>0</v>
      </c>
      <c r="Q379" s="281">
        <f>'3. GRI Pricing'!U389</f>
        <v>0</v>
      </c>
      <c r="R379" s="281">
        <f>'3. GRI Pricing'!V389</f>
        <v>0</v>
      </c>
      <c r="S379" s="281">
        <f>'3. GRI Pricing'!W389</f>
        <v>0</v>
      </c>
      <c r="T379" s="281">
        <f>'3. GRI Pricing'!X389</f>
        <v>0</v>
      </c>
      <c r="U379" s="282">
        <f>'3. GRI Pricing'!Y389</f>
        <v>0</v>
      </c>
    </row>
    <row r="380" spans="3:21" x14ac:dyDescent="0.2">
      <c r="C380" s="23">
        <f>'3. GRI Pricing'!C390</f>
        <v>0</v>
      </c>
      <c r="D380" s="16">
        <f>'3. GRI Pricing'!D390</f>
        <v>0</v>
      </c>
      <c r="E380" s="16">
        <f>'3. GRI Pricing'!E390</f>
        <v>0</v>
      </c>
      <c r="F380" s="16">
        <f>'3. GRI Pricing'!F390</f>
        <v>0</v>
      </c>
      <c r="G380" s="16">
        <f>'3. GRI Pricing'!G390</f>
        <v>0</v>
      </c>
      <c r="H380" s="16">
        <f>'3. GRI Pricing'!H390</f>
        <v>0</v>
      </c>
      <c r="I380" s="280">
        <f>'3. GRI Pricing'!K390</f>
        <v>0</v>
      </c>
      <c r="J380" s="281">
        <f>'3. GRI Pricing'!O390</f>
        <v>0</v>
      </c>
      <c r="K380" s="281">
        <f>'3. GRI Pricing'!L390</f>
        <v>0</v>
      </c>
      <c r="L380" s="281">
        <f>'3. GRI Pricing'!P390</f>
        <v>0</v>
      </c>
      <c r="M380" s="281">
        <f>'3. GRI Pricing'!R390</f>
        <v>0</v>
      </c>
      <c r="N380" s="281">
        <f>'3. GRI Pricing'!S390</f>
        <v>0</v>
      </c>
      <c r="O380" s="281">
        <f>'3. GRI Pricing'!Q390</f>
        <v>0</v>
      </c>
      <c r="P380" s="281">
        <f>'3. GRI Pricing'!T390</f>
        <v>0</v>
      </c>
      <c r="Q380" s="281">
        <f>'3. GRI Pricing'!U390</f>
        <v>0</v>
      </c>
      <c r="R380" s="281">
        <f>'3. GRI Pricing'!V390</f>
        <v>0</v>
      </c>
      <c r="S380" s="281">
        <f>'3. GRI Pricing'!W390</f>
        <v>0</v>
      </c>
      <c r="T380" s="281">
        <f>'3. GRI Pricing'!X390</f>
        <v>0</v>
      </c>
      <c r="U380" s="282">
        <f>'3. GRI Pricing'!Y390</f>
        <v>0</v>
      </c>
    </row>
    <row r="381" spans="3:21" x14ac:dyDescent="0.2">
      <c r="C381" s="23">
        <f>'3. GRI Pricing'!C391</f>
        <v>0</v>
      </c>
      <c r="D381" s="16">
        <f>'3. GRI Pricing'!D391</f>
        <v>0</v>
      </c>
      <c r="E381" s="16">
        <f>'3. GRI Pricing'!E391</f>
        <v>0</v>
      </c>
      <c r="F381" s="16">
        <f>'3. GRI Pricing'!F391</f>
        <v>0</v>
      </c>
      <c r="G381" s="16">
        <f>'3. GRI Pricing'!G391</f>
        <v>0</v>
      </c>
      <c r="H381" s="16">
        <f>'3. GRI Pricing'!H391</f>
        <v>0</v>
      </c>
      <c r="I381" s="280">
        <f>'3. GRI Pricing'!K391</f>
        <v>0</v>
      </c>
      <c r="J381" s="281">
        <f>'3. GRI Pricing'!O391</f>
        <v>0</v>
      </c>
      <c r="K381" s="281">
        <f>'3. GRI Pricing'!L391</f>
        <v>0</v>
      </c>
      <c r="L381" s="281">
        <f>'3. GRI Pricing'!P391</f>
        <v>0</v>
      </c>
      <c r="M381" s="281">
        <f>'3. GRI Pricing'!R391</f>
        <v>0</v>
      </c>
      <c r="N381" s="281">
        <f>'3. GRI Pricing'!S391</f>
        <v>0</v>
      </c>
      <c r="O381" s="281">
        <f>'3. GRI Pricing'!Q391</f>
        <v>0</v>
      </c>
      <c r="P381" s="281">
        <f>'3. GRI Pricing'!T391</f>
        <v>0</v>
      </c>
      <c r="Q381" s="281">
        <f>'3. GRI Pricing'!U391</f>
        <v>0</v>
      </c>
      <c r="R381" s="281">
        <f>'3. GRI Pricing'!V391</f>
        <v>0</v>
      </c>
      <c r="S381" s="281">
        <f>'3. GRI Pricing'!W391</f>
        <v>0</v>
      </c>
      <c r="T381" s="281">
        <f>'3. GRI Pricing'!X391</f>
        <v>0</v>
      </c>
      <c r="U381" s="282">
        <f>'3. GRI Pricing'!Y391</f>
        <v>0</v>
      </c>
    </row>
    <row r="382" spans="3:21" x14ac:dyDescent="0.2">
      <c r="C382" s="23">
        <f>'3. GRI Pricing'!C392</f>
        <v>0</v>
      </c>
      <c r="D382" s="16">
        <f>'3. GRI Pricing'!D392</f>
        <v>0</v>
      </c>
      <c r="E382" s="16">
        <f>'3. GRI Pricing'!E392</f>
        <v>0</v>
      </c>
      <c r="F382" s="16">
        <f>'3. GRI Pricing'!F392</f>
        <v>0</v>
      </c>
      <c r="G382" s="16">
        <f>'3. GRI Pricing'!G392</f>
        <v>0</v>
      </c>
      <c r="H382" s="16">
        <f>'3. GRI Pricing'!H392</f>
        <v>0</v>
      </c>
      <c r="I382" s="280">
        <f>'3. GRI Pricing'!K392</f>
        <v>0</v>
      </c>
      <c r="J382" s="281">
        <f>'3. GRI Pricing'!O392</f>
        <v>0</v>
      </c>
      <c r="K382" s="281">
        <f>'3. GRI Pricing'!L392</f>
        <v>0</v>
      </c>
      <c r="L382" s="281">
        <f>'3. GRI Pricing'!P392</f>
        <v>0</v>
      </c>
      <c r="M382" s="281">
        <f>'3. GRI Pricing'!R392</f>
        <v>0</v>
      </c>
      <c r="N382" s="281">
        <f>'3. GRI Pricing'!S392</f>
        <v>0</v>
      </c>
      <c r="O382" s="281">
        <f>'3. GRI Pricing'!Q392</f>
        <v>0</v>
      </c>
      <c r="P382" s="281">
        <f>'3. GRI Pricing'!T392</f>
        <v>0</v>
      </c>
      <c r="Q382" s="281">
        <f>'3. GRI Pricing'!U392</f>
        <v>0</v>
      </c>
      <c r="R382" s="281">
        <f>'3. GRI Pricing'!V392</f>
        <v>0</v>
      </c>
      <c r="S382" s="281">
        <f>'3. GRI Pricing'!W392</f>
        <v>0</v>
      </c>
      <c r="T382" s="281">
        <f>'3. GRI Pricing'!X392</f>
        <v>0</v>
      </c>
      <c r="U382" s="282">
        <f>'3. GRI Pricing'!Y392</f>
        <v>0</v>
      </c>
    </row>
    <row r="383" spans="3:21" x14ac:dyDescent="0.2">
      <c r="C383" s="23">
        <f>'3. GRI Pricing'!C393</f>
        <v>0</v>
      </c>
      <c r="D383" s="16">
        <f>'3. GRI Pricing'!D393</f>
        <v>0</v>
      </c>
      <c r="E383" s="16">
        <f>'3. GRI Pricing'!E393</f>
        <v>0</v>
      </c>
      <c r="F383" s="16">
        <f>'3. GRI Pricing'!F393</f>
        <v>0</v>
      </c>
      <c r="G383" s="16">
        <f>'3. GRI Pricing'!G393</f>
        <v>0</v>
      </c>
      <c r="H383" s="16">
        <f>'3. GRI Pricing'!H393</f>
        <v>0</v>
      </c>
      <c r="I383" s="280">
        <f>'3. GRI Pricing'!K393</f>
        <v>0</v>
      </c>
      <c r="J383" s="281">
        <f>'3. GRI Pricing'!O393</f>
        <v>0</v>
      </c>
      <c r="K383" s="281">
        <f>'3. GRI Pricing'!L393</f>
        <v>0</v>
      </c>
      <c r="L383" s="281">
        <f>'3. GRI Pricing'!P393</f>
        <v>0</v>
      </c>
      <c r="M383" s="281">
        <f>'3. GRI Pricing'!R393</f>
        <v>0</v>
      </c>
      <c r="N383" s="281">
        <f>'3. GRI Pricing'!S393</f>
        <v>0</v>
      </c>
      <c r="O383" s="281">
        <f>'3. GRI Pricing'!Q393</f>
        <v>0</v>
      </c>
      <c r="P383" s="281">
        <f>'3. GRI Pricing'!T393</f>
        <v>0</v>
      </c>
      <c r="Q383" s="281">
        <f>'3. GRI Pricing'!U393</f>
        <v>0</v>
      </c>
      <c r="R383" s="281">
        <f>'3. GRI Pricing'!V393</f>
        <v>0</v>
      </c>
      <c r="S383" s="281">
        <f>'3. GRI Pricing'!W393</f>
        <v>0</v>
      </c>
      <c r="T383" s="281">
        <f>'3. GRI Pricing'!X393</f>
        <v>0</v>
      </c>
      <c r="U383" s="282">
        <f>'3. GRI Pricing'!Y393</f>
        <v>0</v>
      </c>
    </row>
    <row r="384" spans="3:21" x14ac:dyDescent="0.2">
      <c r="C384" s="23">
        <f>'3. GRI Pricing'!C394</f>
        <v>0</v>
      </c>
      <c r="D384" s="16">
        <f>'3. GRI Pricing'!D394</f>
        <v>0</v>
      </c>
      <c r="E384" s="16">
        <f>'3. GRI Pricing'!E394</f>
        <v>0</v>
      </c>
      <c r="F384" s="16">
        <f>'3. GRI Pricing'!F394</f>
        <v>0</v>
      </c>
      <c r="G384" s="16">
        <f>'3. GRI Pricing'!G394</f>
        <v>0</v>
      </c>
      <c r="H384" s="16">
        <f>'3. GRI Pricing'!H394</f>
        <v>0</v>
      </c>
      <c r="I384" s="280">
        <f>'3. GRI Pricing'!K394</f>
        <v>0</v>
      </c>
      <c r="J384" s="281">
        <f>'3. GRI Pricing'!O394</f>
        <v>0</v>
      </c>
      <c r="K384" s="281">
        <f>'3. GRI Pricing'!L394</f>
        <v>0</v>
      </c>
      <c r="L384" s="281">
        <f>'3. GRI Pricing'!P394</f>
        <v>0</v>
      </c>
      <c r="M384" s="281">
        <f>'3. GRI Pricing'!R394</f>
        <v>0</v>
      </c>
      <c r="N384" s="281">
        <f>'3. GRI Pricing'!S394</f>
        <v>0</v>
      </c>
      <c r="O384" s="281">
        <f>'3. GRI Pricing'!Q394</f>
        <v>0</v>
      </c>
      <c r="P384" s="281">
        <f>'3. GRI Pricing'!T394</f>
        <v>0</v>
      </c>
      <c r="Q384" s="281">
        <f>'3. GRI Pricing'!U394</f>
        <v>0</v>
      </c>
      <c r="R384" s="281">
        <f>'3. GRI Pricing'!V394</f>
        <v>0</v>
      </c>
      <c r="S384" s="281">
        <f>'3. GRI Pricing'!W394</f>
        <v>0</v>
      </c>
      <c r="T384" s="281">
        <f>'3. GRI Pricing'!X394</f>
        <v>0</v>
      </c>
      <c r="U384" s="282">
        <f>'3. GRI Pricing'!Y394</f>
        <v>0</v>
      </c>
    </row>
    <row r="385" spans="3:21" x14ac:dyDescent="0.2">
      <c r="C385" s="23">
        <f>'3. GRI Pricing'!C395</f>
        <v>0</v>
      </c>
      <c r="D385" s="16">
        <f>'3. GRI Pricing'!D395</f>
        <v>0</v>
      </c>
      <c r="E385" s="16">
        <f>'3. GRI Pricing'!E395</f>
        <v>0</v>
      </c>
      <c r="F385" s="16">
        <f>'3. GRI Pricing'!F395</f>
        <v>0</v>
      </c>
      <c r="G385" s="16">
        <f>'3. GRI Pricing'!G395</f>
        <v>0</v>
      </c>
      <c r="H385" s="16">
        <f>'3. GRI Pricing'!H395</f>
        <v>0</v>
      </c>
      <c r="I385" s="280">
        <f>'3. GRI Pricing'!K395</f>
        <v>0</v>
      </c>
      <c r="J385" s="281">
        <f>'3. GRI Pricing'!O395</f>
        <v>0</v>
      </c>
      <c r="K385" s="281">
        <f>'3. GRI Pricing'!L395</f>
        <v>0</v>
      </c>
      <c r="L385" s="281">
        <f>'3. GRI Pricing'!P395</f>
        <v>0</v>
      </c>
      <c r="M385" s="281">
        <f>'3. GRI Pricing'!R395</f>
        <v>0</v>
      </c>
      <c r="N385" s="281">
        <f>'3. GRI Pricing'!S395</f>
        <v>0</v>
      </c>
      <c r="O385" s="281">
        <f>'3. GRI Pricing'!Q395</f>
        <v>0</v>
      </c>
      <c r="P385" s="281">
        <f>'3. GRI Pricing'!T395</f>
        <v>0</v>
      </c>
      <c r="Q385" s="281">
        <f>'3. GRI Pricing'!U395</f>
        <v>0</v>
      </c>
      <c r="R385" s="281">
        <f>'3. GRI Pricing'!V395</f>
        <v>0</v>
      </c>
      <c r="S385" s="281">
        <f>'3. GRI Pricing'!W395</f>
        <v>0</v>
      </c>
      <c r="T385" s="281">
        <f>'3. GRI Pricing'!X395</f>
        <v>0</v>
      </c>
      <c r="U385" s="282">
        <f>'3. GRI Pricing'!Y395</f>
        <v>0</v>
      </c>
    </row>
    <row r="386" spans="3:21" x14ac:dyDescent="0.2">
      <c r="C386" s="23">
        <f>'3. GRI Pricing'!C396</f>
        <v>0</v>
      </c>
      <c r="D386" s="16">
        <f>'3. GRI Pricing'!D396</f>
        <v>0</v>
      </c>
      <c r="E386" s="16">
        <f>'3. GRI Pricing'!E396</f>
        <v>0</v>
      </c>
      <c r="F386" s="16">
        <f>'3. GRI Pricing'!F396</f>
        <v>0</v>
      </c>
      <c r="G386" s="16">
        <f>'3. GRI Pricing'!G396</f>
        <v>0</v>
      </c>
      <c r="H386" s="16">
        <f>'3. GRI Pricing'!H396</f>
        <v>0</v>
      </c>
      <c r="I386" s="280">
        <f>'3. GRI Pricing'!K396</f>
        <v>0</v>
      </c>
      <c r="J386" s="281">
        <f>'3. GRI Pricing'!O396</f>
        <v>0</v>
      </c>
      <c r="K386" s="281">
        <f>'3. GRI Pricing'!L396</f>
        <v>0</v>
      </c>
      <c r="L386" s="281">
        <f>'3. GRI Pricing'!P396</f>
        <v>0</v>
      </c>
      <c r="M386" s="281">
        <f>'3. GRI Pricing'!R396</f>
        <v>0</v>
      </c>
      <c r="N386" s="281">
        <f>'3. GRI Pricing'!S396</f>
        <v>0</v>
      </c>
      <c r="O386" s="281">
        <f>'3. GRI Pricing'!Q396</f>
        <v>0</v>
      </c>
      <c r="P386" s="281">
        <f>'3. GRI Pricing'!T396</f>
        <v>0</v>
      </c>
      <c r="Q386" s="281">
        <f>'3. GRI Pricing'!U396</f>
        <v>0</v>
      </c>
      <c r="R386" s="281">
        <f>'3. GRI Pricing'!V396</f>
        <v>0</v>
      </c>
      <c r="S386" s="281">
        <f>'3. GRI Pricing'!W396</f>
        <v>0</v>
      </c>
      <c r="T386" s="281">
        <f>'3. GRI Pricing'!X396</f>
        <v>0</v>
      </c>
      <c r="U386" s="282">
        <f>'3. GRI Pricing'!Y396</f>
        <v>0</v>
      </c>
    </row>
    <row r="387" spans="3:21" x14ac:dyDescent="0.2">
      <c r="C387" s="23">
        <f>'3. GRI Pricing'!C397</f>
        <v>0</v>
      </c>
      <c r="D387" s="16">
        <f>'3. GRI Pricing'!D397</f>
        <v>0</v>
      </c>
      <c r="E387" s="16">
        <f>'3. GRI Pricing'!E397</f>
        <v>0</v>
      </c>
      <c r="F387" s="16">
        <f>'3. GRI Pricing'!F397</f>
        <v>0</v>
      </c>
      <c r="G387" s="16">
        <f>'3. GRI Pricing'!G397</f>
        <v>0</v>
      </c>
      <c r="H387" s="16">
        <f>'3. GRI Pricing'!H397</f>
        <v>0</v>
      </c>
      <c r="I387" s="280">
        <f>'3. GRI Pricing'!K397</f>
        <v>0</v>
      </c>
      <c r="J387" s="281">
        <f>'3. GRI Pricing'!O397</f>
        <v>0</v>
      </c>
      <c r="K387" s="281">
        <f>'3. GRI Pricing'!L397</f>
        <v>0</v>
      </c>
      <c r="L387" s="281">
        <f>'3. GRI Pricing'!P397</f>
        <v>0</v>
      </c>
      <c r="M387" s="281">
        <f>'3. GRI Pricing'!R397</f>
        <v>0</v>
      </c>
      <c r="N387" s="281">
        <f>'3. GRI Pricing'!S397</f>
        <v>0</v>
      </c>
      <c r="O387" s="281">
        <f>'3. GRI Pricing'!Q397</f>
        <v>0</v>
      </c>
      <c r="P387" s="281">
        <f>'3. GRI Pricing'!T397</f>
        <v>0</v>
      </c>
      <c r="Q387" s="281">
        <f>'3. GRI Pricing'!U397</f>
        <v>0</v>
      </c>
      <c r="R387" s="281">
        <f>'3. GRI Pricing'!V397</f>
        <v>0</v>
      </c>
      <c r="S387" s="281">
        <f>'3. GRI Pricing'!W397</f>
        <v>0</v>
      </c>
      <c r="T387" s="281">
        <f>'3. GRI Pricing'!X397</f>
        <v>0</v>
      </c>
      <c r="U387" s="282">
        <f>'3. GRI Pricing'!Y397</f>
        <v>0</v>
      </c>
    </row>
    <row r="388" spans="3:21" x14ac:dyDescent="0.2">
      <c r="C388" s="23">
        <f>'3. GRI Pricing'!C398</f>
        <v>0</v>
      </c>
      <c r="D388" s="16">
        <f>'3. GRI Pricing'!D398</f>
        <v>0</v>
      </c>
      <c r="E388" s="16">
        <f>'3. GRI Pricing'!E398</f>
        <v>0</v>
      </c>
      <c r="F388" s="16">
        <f>'3. GRI Pricing'!F398</f>
        <v>0</v>
      </c>
      <c r="G388" s="16">
        <f>'3. GRI Pricing'!G398</f>
        <v>0</v>
      </c>
      <c r="H388" s="16">
        <f>'3. GRI Pricing'!H398</f>
        <v>0</v>
      </c>
      <c r="I388" s="280">
        <f>'3. GRI Pricing'!K398</f>
        <v>0</v>
      </c>
      <c r="J388" s="281">
        <f>'3. GRI Pricing'!O398</f>
        <v>0</v>
      </c>
      <c r="K388" s="281">
        <f>'3. GRI Pricing'!L398</f>
        <v>0</v>
      </c>
      <c r="L388" s="281">
        <f>'3. GRI Pricing'!P398</f>
        <v>0</v>
      </c>
      <c r="M388" s="281">
        <f>'3. GRI Pricing'!R398</f>
        <v>0</v>
      </c>
      <c r="N388" s="281">
        <f>'3. GRI Pricing'!S398</f>
        <v>0</v>
      </c>
      <c r="O388" s="281">
        <f>'3. GRI Pricing'!Q398</f>
        <v>0</v>
      </c>
      <c r="P388" s="281">
        <f>'3. GRI Pricing'!T398</f>
        <v>0</v>
      </c>
      <c r="Q388" s="281">
        <f>'3. GRI Pricing'!U398</f>
        <v>0</v>
      </c>
      <c r="R388" s="281">
        <f>'3. GRI Pricing'!V398</f>
        <v>0</v>
      </c>
      <c r="S388" s="281">
        <f>'3. GRI Pricing'!W398</f>
        <v>0</v>
      </c>
      <c r="T388" s="281">
        <f>'3. GRI Pricing'!X398</f>
        <v>0</v>
      </c>
      <c r="U388" s="282">
        <f>'3. GRI Pricing'!Y398</f>
        <v>0</v>
      </c>
    </row>
    <row r="389" spans="3:21" x14ac:dyDescent="0.2">
      <c r="C389" s="23">
        <f>'3. GRI Pricing'!C399</f>
        <v>0</v>
      </c>
      <c r="D389" s="16">
        <f>'3. GRI Pricing'!D399</f>
        <v>0</v>
      </c>
      <c r="E389" s="16">
        <f>'3. GRI Pricing'!E399</f>
        <v>0</v>
      </c>
      <c r="F389" s="16">
        <f>'3. GRI Pricing'!F399</f>
        <v>0</v>
      </c>
      <c r="G389" s="16">
        <f>'3. GRI Pricing'!G399</f>
        <v>0</v>
      </c>
      <c r="H389" s="16">
        <f>'3. GRI Pricing'!H399</f>
        <v>0</v>
      </c>
      <c r="I389" s="280">
        <f>'3. GRI Pricing'!K399</f>
        <v>0</v>
      </c>
      <c r="J389" s="281">
        <f>'3. GRI Pricing'!O399</f>
        <v>0</v>
      </c>
      <c r="K389" s="281">
        <f>'3. GRI Pricing'!L399</f>
        <v>0</v>
      </c>
      <c r="L389" s="281">
        <f>'3. GRI Pricing'!P399</f>
        <v>0</v>
      </c>
      <c r="M389" s="281">
        <f>'3. GRI Pricing'!R399</f>
        <v>0</v>
      </c>
      <c r="N389" s="281">
        <f>'3. GRI Pricing'!S399</f>
        <v>0</v>
      </c>
      <c r="O389" s="281">
        <f>'3. GRI Pricing'!Q399</f>
        <v>0</v>
      </c>
      <c r="P389" s="281">
        <f>'3. GRI Pricing'!T399</f>
        <v>0</v>
      </c>
      <c r="Q389" s="281">
        <f>'3. GRI Pricing'!U399</f>
        <v>0</v>
      </c>
      <c r="R389" s="281">
        <f>'3. GRI Pricing'!V399</f>
        <v>0</v>
      </c>
      <c r="S389" s="281">
        <f>'3. GRI Pricing'!W399</f>
        <v>0</v>
      </c>
      <c r="T389" s="281">
        <f>'3. GRI Pricing'!X399</f>
        <v>0</v>
      </c>
      <c r="U389" s="282">
        <f>'3. GRI Pricing'!Y399</f>
        <v>0</v>
      </c>
    </row>
    <row r="390" spans="3:21" x14ac:dyDescent="0.2">
      <c r="C390" s="23">
        <f>'3. GRI Pricing'!C400</f>
        <v>0</v>
      </c>
      <c r="D390" s="16">
        <f>'3. GRI Pricing'!D400</f>
        <v>0</v>
      </c>
      <c r="E390" s="16">
        <f>'3. GRI Pricing'!E400</f>
        <v>0</v>
      </c>
      <c r="F390" s="16">
        <f>'3. GRI Pricing'!F400</f>
        <v>0</v>
      </c>
      <c r="G390" s="16">
        <f>'3. GRI Pricing'!G400</f>
        <v>0</v>
      </c>
      <c r="H390" s="16">
        <f>'3. GRI Pricing'!H400</f>
        <v>0</v>
      </c>
      <c r="I390" s="280">
        <f>'3. GRI Pricing'!K400</f>
        <v>0</v>
      </c>
      <c r="J390" s="281">
        <f>'3. GRI Pricing'!O400</f>
        <v>0</v>
      </c>
      <c r="K390" s="281">
        <f>'3. GRI Pricing'!L400</f>
        <v>0</v>
      </c>
      <c r="L390" s="281">
        <f>'3. GRI Pricing'!P400</f>
        <v>0</v>
      </c>
      <c r="M390" s="281">
        <f>'3. GRI Pricing'!R400</f>
        <v>0</v>
      </c>
      <c r="N390" s="281">
        <f>'3. GRI Pricing'!S400</f>
        <v>0</v>
      </c>
      <c r="O390" s="281">
        <f>'3. GRI Pricing'!Q400</f>
        <v>0</v>
      </c>
      <c r="P390" s="281">
        <f>'3. GRI Pricing'!T400</f>
        <v>0</v>
      </c>
      <c r="Q390" s="281">
        <f>'3. GRI Pricing'!U400</f>
        <v>0</v>
      </c>
      <c r="R390" s="281">
        <f>'3. GRI Pricing'!V400</f>
        <v>0</v>
      </c>
      <c r="S390" s="281">
        <f>'3. GRI Pricing'!W400</f>
        <v>0</v>
      </c>
      <c r="T390" s="281">
        <f>'3. GRI Pricing'!X400</f>
        <v>0</v>
      </c>
      <c r="U390" s="282">
        <f>'3. GRI Pricing'!Y400</f>
        <v>0</v>
      </c>
    </row>
    <row r="391" spans="3:21" x14ac:dyDescent="0.2">
      <c r="C391" s="23">
        <f>'3. GRI Pricing'!C401</f>
        <v>0</v>
      </c>
      <c r="D391" s="16">
        <f>'3. GRI Pricing'!D401</f>
        <v>0</v>
      </c>
      <c r="E391" s="16">
        <f>'3. GRI Pricing'!E401</f>
        <v>0</v>
      </c>
      <c r="F391" s="16">
        <f>'3. GRI Pricing'!F401</f>
        <v>0</v>
      </c>
      <c r="G391" s="16">
        <f>'3. GRI Pricing'!G401</f>
        <v>0</v>
      </c>
      <c r="H391" s="16">
        <f>'3. GRI Pricing'!H401</f>
        <v>0</v>
      </c>
      <c r="I391" s="280">
        <f>'3. GRI Pricing'!K401</f>
        <v>0</v>
      </c>
      <c r="J391" s="281">
        <f>'3. GRI Pricing'!O401</f>
        <v>0</v>
      </c>
      <c r="K391" s="281">
        <f>'3. GRI Pricing'!L401</f>
        <v>0</v>
      </c>
      <c r="L391" s="281">
        <f>'3. GRI Pricing'!P401</f>
        <v>0</v>
      </c>
      <c r="M391" s="281">
        <f>'3. GRI Pricing'!R401</f>
        <v>0</v>
      </c>
      <c r="N391" s="281">
        <f>'3. GRI Pricing'!S401</f>
        <v>0</v>
      </c>
      <c r="O391" s="281">
        <f>'3. GRI Pricing'!Q401</f>
        <v>0</v>
      </c>
      <c r="P391" s="281">
        <f>'3. GRI Pricing'!T401</f>
        <v>0</v>
      </c>
      <c r="Q391" s="281">
        <f>'3. GRI Pricing'!U401</f>
        <v>0</v>
      </c>
      <c r="R391" s="281">
        <f>'3. GRI Pricing'!V401</f>
        <v>0</v>
      </c>
      <c r="S391" s="281">
        <f>'3. GRI Pricing'!W401</f>
        <v>0</v>
      </c>
      <c r="T391" s="281">
        <f>'3. GRI Pricing'!X401</f>
        <v>0</v>
      </c>
      <c r="U391" s="282">
        <f>'3. GRI Pricing'!Y401</f>
        <v>0</v>
      </c>
    </row>
    <row r="392" spans="3:21" x14ac:dyDescent="0.2">
      <c r="C392" s="23">
        <f>'3. GRI Pricing'!C402</f>
        <v>0</v>
      </c>
      <c r="D392" s="16">
        <f>'3. GRI Pricing'!D402</f>
        <v>0</v>
      </c>
      <c r="E392" s="16">
        <f>'3. GRI Pricing'!E402</f>
        <v>0</v>
      </c>
      <c r="F392" s="16">
        <f>'3. GRI Pricing'!F402</f>
        <v>0</v>
      </c>
      <c r="G392" s="16">
        <f>'3. GRI Pricing'!G402</f>
        <v>0</v>
      </c>
      <c r="H392" s="16">
        <f>'3. GRI Pricing'!H402</f>
        <v>0</v>
      </c>
      <c r="I392" s="280">
        <f>'3. GRI Pricing'!K402</f>
        <v>0</v>
      </c>
      <c r="J392" s="281">
        <f>'3. GRI Pricing'!O402</f>
        <v>0</v>
      </c>
      <c r="K392" s="281">
        <f>'3. GRI Pricing'!L402</f>
        <v>0</v>
      </c>
      <c r="L392" s="281">
        <f>'3. GRI Pricing'!P402</f>
        <v>0</v>
      </c>
      <c r="M392" s="281">
        <f>'3. GRI Pricing'!R402</f>
        <v>0</v>
      </c>
      <c r="N392" s="281">
        <f>'3. GRI Pricing'!S402</f>
        <v>0</v>
      </c>
      <c r="O392" s="281">
        <f>'3. GRI Pricing'!Q402</f>
        <v>0</v>
      </c>
      <c r="P392" s="281">
        <f>'3. GRI Pricing'!T402</f>
        <v>0</v>
      </c>
      <c r="Q392" s="281">
        <f>'3. GRI Pricing'!U402</f>
        <v>0</v>
      </c>
      <c r="R392" s="281">
        <f>'3. GRI Pricing'!V402</f>
        <v>0</v>
      </c>
      <c r="S392" s="281">
        <f>'3. GRI Pricing'!W402</f>
        <v>0</v>
      </c>
      <c r="T392" s="281">
        <f>'3. GRI Pricing'!X402</f>
        <v>0</v>
      </c>
      <c r="U392" s="282">
        <f>'3. GRI Pricing'!Y402</f>
        <v>0</v>
      </c>
    </row>
    <row r="393" spans="3:21" x14ac:dyDescent="0.2">
      <c r="C393" s="23">
        <f>'3. GRI Pricing'!C403</f>
        <v>0</v>
      </c>
      <c r="D393" s="16">
        <f>'3. GRI Pricing'!D403</f>
        <v>0</v>
      </c>
      <c r="E393" s="16">
        <f>'3. GRI Pricing'!E403</f>
        <v>0</v>
      </c>
      <c r="F393" s="16">
        <f>'3. GRI Pricing'!F403</f>
        <v>0</v>
      </c>
      <c r="G393" s="16">
        <f>'3. GRI Pricing'!G403</f>
        <v>0</v>
      </c>
      <c r="H393" s="16">
        <f>'3. GRI Pricing'!H403</f>
        <v>0</v>
      </c>
      <c r="I393" s="280">
        <f>'3. GRI Pricing'!K403</f>
        <v>0</v>
      </c>
      <c r="J393" s="281">
        <f>'3. GRI Pricing'!O403</f>
        <v>0</v>
      </c>
      <c r="K393" s="281">
        <f>'3. GRI Pricing'!L403</f>
        <v>0</v>
      </c>
      <c r="L393" s="281">
        <f>'3. GRI Pricing'!P403</f>
        <v>0</v>
      </c>
      <c r="M393" s="281">
        <f>'3. GRI Pricing'!R403</f>
        <v>0</v>
      </c>
      <c r="N393" s="281">
        <f>'3. GRI Pricing'!S403</f>
        <v>0</v>
      </c>
      <c r="O393" s="281">
        <f>'3. GRI Pricing'!Q403</f>
        <v>0</v>
      </c>
      <c r="P393" s="281">
        <f>'3. GRI Pricing'!T403</f>
        <v>0</v>
      </c>
      <c r="Q393" s="281">
        <f>'3. GRI Pricing'!U403</f>
        <v>0</v>
      </c>
      <c r="R393" s="281">
        <f>'3. GRI Pricing'!V403</f>
        <v>0</v>
      </c>
      <c r="S393" s="281">
        <f>'3. GRI Pricing'!W403</f>
        <v>0</v>
      </c>
      <c r="T393" s="281">
        <f>'3. GRI Pricing'!X403</f>
        <v>0</v>
      </c>
      <c r="U393" s="282">
        <f>'3. GRI Pricing'!Y403</f>
        <v>0</v>
      </c>
    </row>
    <row r="394" spans="3:21" x14ac:dyDescent="0.2">
      <c r="C394" s="23">
        <f>'3. GRI Pricing'!C404</f>
        <v>0</v>
      </c>
      <c r="D394" s="16">
        <f>'3. GRI Pricing'!D404</f>
        <v>0</v>
      </c>
      <c r="E394" s="16">
        <f>'3. GRI Pricing'!E404</f>
        <v>0</v>
      </c>
      <c r="F394" s="16">
        <f>'3. GRI Pricing'!F404</f>
        <v>0</v>
      </c>
      <c r="G394" s="16">
        <f>'3. GRI Pricing'!G404</f>
        <v>0</v>
      </c>
      <c r="H394" s="16">
        <f>'3. GRI Pricing'!H404</f>
        <v>0</v>
      </c>
      <c r="I394" s="280">
        <f>'3. GRI Pricing'!K404</f>
        <v>0</v>
      </c>
      <c r="J394" s="281">
        <f>'3. GRI Pricing'!O404</f>
        <v>0</v>
      </c>
      <c r="K394" s="281">
        <f>'3. GRI Pricing'!L404</f>
        <v>0</v>
      </c>
      <c r="L394" s="281">
        <f>'3. GRI Pricing'!P404</f>
        <v>0</v>
      </c>
      <c r="M394" s="281">
        <f>'3. GRI Pricing'!R404</f>
        <v>0</v>
      </c>
      <c r="N394" s="281">
        <f>'3. GRI Pricing'!S404</f>
        <v>0</v>
      </c>
      <c r="O394" s="281">
        <f>'3. GRI Pricing'!Q404</f>
        <v>0</v>
      </c>
      <c r="P394" s="281">
        <f>'3. GRI Pricing'!T404</f>
        <v>0</v>
      </c>
      <c r="Q394" s="281">
        <f>'3. GRI Pricing'!U404</f>
        <v>0</v>
      </c>
      <c r="R394" s="281">
        <f>'3. GRI Pricing'!V404</f>
        <v>0</v>
      </c>
      <c r="S394" s="281">
        <f>'3. GRI Pricing'!W404</f>
        <v>0</v>
      </c>
      <c r="T394" s="281">
        <f>'3. GRI Pricing'!X404</f>
        <v>0</v>
      </c>
      <c r="U394" s="282">
        <f>'3. GRI Pricing'!Y404</f>
        <v>0</v>
      </c>
    </row>
    <row r="395" spans="3:21" x14ac:dyDescent="0.2">
      <c r="C395" s="23">
        <f>'3. GRI Pricing'!C405</f>
        <v>0</v>
      </c>
      <c r="D395" s="16">
        <f>'3. GRI Pricing'!D405</f>
        <v>0</v>
      </c>
      <c r="E395" s="16">
        <f>'3. GRI Pricing'!E405</f>
        <v>0</v>
      </c>
      <c r="F395" s="16">
        <f>'3. GRI Pricing'!F405</f>
        <v>0</v>
      </c>
      <c r="G395" s="16">
        <f>'3. GRI Pricing'!G405</f>
        <v>0</v>
      </c>
      <c r="H395" s="16">
        <f>'3. GRI Pricing'!H405</f>
        <v>0</v>
      </c>
      <c r="I395" s="280">
        <f>'3. GRI Pricing'!K405</f>
        <v>0</v>
      </c>
      <c r="J395" s="281">
        <f>'3. GRI Pricing'!O405</f>
        <v>0</v>
      </c>
      <c r="K395" s="281">
        <f>'3. GRI Pricing'!L405</f>
        <v>0</v>
      </c>
      <c r="L395" s="281">
        <f>'3. GRI Pricing'!P405</f>
        <v>0</v>
      </c>
      <c r="M395" s="281">
        <f>'3. GRI Pricing'!R405</f>
        <v>0</v>
      </c>
      <c r="N395" s="281">
        <f>'3. GRI Pricing'!S405</f>
        <v>0</v>
      </c>
      <c r="O395" s="281">
        <f>'3. GRI Pricing'!Q405</f>
        <v>0</v>
      </c>
      <c r="P395" s="281">
        <f>'3. GRI Pricing'!T405</f>
        <v>0</v>
      </c>
      <c r="Q395" s="281">
        <f>'3. GRI Pricing'!U405</f>
        <v>0</v>
      </c>
      <c r="R395" s="281">
        <f>'3. GRI Pricing'!V405</f>
        <v>0</v>
      </c>
      <c r="S395" s="281">
        <f>'3. GRI Pricing'!W405</f>
        <v>0</v>
      </c>
      <c r="T395" s="281">
        <f>'3. GRI Pricing'!X405</f>
        <v>0</v>
      </c>
      <c r="U395" s="282">
        <f>'3. GRI Pricing'!Y405</f>
        <v>0</v>
      </c>
    </row>
    <row r="396" spans="3:21" x14ac:dyDescent="0.2">
      <c r="C396" s="23">
        <f>'3. GRI Pricing'!C406</f>
        <v>0</v>
      </c>
      <c r="D396" s="16">
        <f>'3. GRI Pricing'!D406</f>
        <v>0</v>
      </c>
      <c r="E396" s="16">
        <f>'3. GRI Pricing'!E406</f>
        <v>0</v>
      </c>
      <c r="F396" s="16">
        <f>'3. GRI Pricing'!F406</f>
        <v>0</v>
      </c>
      <c r="G396" s="16">
        <f>'3. GRI Pricing'!G406</f>
        <v>0</v>
      </c>
      <c r="H396" s="16">
        <f>'3. GRI Pricing'!H406</f>
        <v>0</v>
      </c>
      <c r="I396" s="280">
        <f>'3. GRI Pricing'!K406</f>
        <v>0</v>
      </c>
      <c r="J396" s="281">
        <f>'3. GRI Pricing'!O406</f>
        <v>0</v>
      </c>
      <c r="K396" s="281">
        <f>'3. GRI Pricing'!L406</f>
        <v>0</v>
      </c>
      <c r="L396" s="281">
        <f>'3. GRI Pricing'!P406</f>
        <v>0</v>
      </c>
      <c r="M396" s="281">
        <f>'3. GRI Pricing'!R406</f>
        <v>0</v>
      </c>
      <c r="N396" s="281">
        <f>'3. GRI Pricing'!S406</f>
        <v>0</v>
      </c>
      <c r="O396" s="281">
        <f>'3. GRI Pricing'!Q406</f>
        <v>0</v>
      </c>
      <c r="P396" s="281">
        <f>'3. GRI Pricing'!T406</f>
        <v>0</v>
      </c>
      <c r="Q396" s="281">
        <f>'3. GRI Pricing'!U406</f>
        <v>0</v>
      </c>
      <c r="R396" s="281">
        <f>'3. GRI Pricing'!V406</f>
        <v>0</v>
      </c>
      <c r="S396" s="281">
        <f>'3. GRI Pricing'!W406</f>
        <v>0</v>
      </c>
      <c r="T396" s="281">
        <f>'3. GRI Pricing'!X406</f>
        <v>0</v>
      </c>
      <c r="U396" s="282">
        <f>'3. GRI Pricing'!Y406</f>
        <v>0</v>
      </c>
    </row>
    <row r="397" spans="3:21" x14ac:dyDescent="0.2">
      <c r="C397" s="23">
        <f>'3. GRI Pricing'!C407</f>
        <v>0</v>
      </c>
      <c r="D397" s="16">
        <f>'3. GRI Pricing'!D407</f>
        <v>0</v>
      </c>
      <c r="E397" s="16">
        <f>'3. GRI Pricing'!E407</f>
        <v>0</v>
      </c>
      <c r="F397" s="16">
        <f>'3. GRI Pricing'!F407</f>
        <v>0</v>
      </c>
      <c r="G397" s="16">
        <f>'3. GRI Pricing'!G407</f>
        <v>0</v>
      </c>
      <c r="H397" s="16">
        <f>'3. GRI Pricing'!H407</f>
        <v>0</v>
      </c>
      <c r="I397" s="280">
        <f>'3. GRI Pricing'!K407</f>
        <v>0</v>
      </c>
      <c r="J397" s="281">
        <f>'3. GRI Pricing'!O407</f>
        <v>0</v>
      </c>
      <c r="K397" s="281">
        <f>'3. GRI Pricing'!L407</f>
        <v>0</v>
      </c>
      <c r="L397" s="281">
        <f>'3. GRI Pricing'!P407</f>
        <v>0</v>
      </c>
      <c r="M397" s="281">
        <f>'3. GRI Pricing'!R407</f>
        <v>0</v>
      </c>
      <c r="N397" s="281">
        <f>'3. GRI Pricing'!S407</f>
        <v>0</v>
      </c>
      <c r="O397" s="281">
        <f>'3. GRI Pricing'!Q407</f>
        <v>0</v>
      </c>
      <c r="P397" s="281">
        <f>'3. GRI Pricing'!T407</f>
        <v>0</v>
      </c>
      <c r="Q397" s="281">
        <f>'3. GRI Pricing'!U407</f>
        <v>0</v>
      </c>
      <c r="R397" s="281">
        <f>'3. GRI Pricing'!V407</f>
        <v>0</v>
      </c>
      <c r="S397" s="281">
        <f>'3. GRI Pricing'!W407</f>
        <v>0</v>
      </c>
      <c r="T397" s="281">
        <f>'3. GRI Pricing'!X407</f>
        <v>0</v>
      </c>
      <c r="U397" s="282">
        <f>'3. GRI Pricing'!Y407</f>
        <v>0</v>
      </c>
    </row>
    <row r="398" spans="3:21" x14ac:dyDescent="0.2">
      <c r="C398" s="23">
        <f>'3. GRI Pricing'!C408</f>
        <v>0</v>
      </c>
      <c r="D398" s="16">
        <f>'3. GRI Pricing'!D408</f>
        <v>0</v>
      </c>
      <c r="E398" s="16">
        <f>'3. GRI Pricing'!E408</f>
        <v>0</v>
      </c>
      <c r="F398" s="16">
        <f>'3. GRI Pricing'!F408</f>
        <v>0</v>
      </c>
      <c r="G398" s="16">
        <f>'3. GRI Pricing'!G408</f>
        <v>0</v>
      </c>
      <c r="H398" s="16">
        <f>'3. GRI Pricing'!H408</f>
        <v>0</v>
      </c>
      <c r="I398" s="280">
        <f>'3. GRI Pricing'!K408</f>
        <v>0</v>
      </c>
      <c r="J398" s="281">
        <f>'3. GRI Pricing'!O408</f>
        <v>0</v>
      </c>
      <c r="K398" s="281">
        <f>'3. GRI Pricing'!L408</f>
        <v>0</v>
      </c>
      <c r="L398" s="281">
        <f>'3. GRI Pricing'!P408</f>
        <v>0</v>
      </c>
      <c r="M398" s="281">
        <f>'3. GRI Pricing'!R408</f>
        <v>0</v>
      </c>
      <c r="N398" s="281">
        <f>'3. GRI Pricing'!S408</f>
        <v>0</v>
      </c>
      <c r="O398" s="281">
        <f>'3. GRI Pricing'!Q408</f>
        <v>0</v>
      </c>
      <c r="P398" s="281">
        <f>'3. GRI Pricing'!T408</f>
        <v>0</v>
      </c>
      <c r="Q398" s="281">
        <f>'3. GRI Pricing'!U408</f>
        <v>0</v>
      </c>
      <c r="R398" s="281">
        <f>'3. GRI Pricing'!V408</f>
        <v>0</v>
      </c>
      <c r="S398" s="281">
        <f>'3. GRI Pricing'!W408</f>
        <v>0</v>
      </c>
      <c r="T398" s="281">
        <f>'3. GRI Pricing'!X408</f>
        <v>0</v>
      </c>
      <c r="U398" s="282">
        <f>'3. GRI Pricing'!Y408</f>
        <v>0</v>
      </c>
    </row>
    <row r="399" spans="3:21" x14ac:dyDescent="0.2">
      <c r="C399" s="23">
        <f>'3. GRI Pricing'!C409</f>
        <v>0</v>
      </c>
      <c r="D399" s="16">
        <f>'3. GRI Pricing'!D409</f>
        <v>0</v>
      </c>
      <c r="E399" s="16">
        <f>'3. GRI Pricing'!E409</f>
        <v>0</v>
      </c>
      <c r="F399" s="16">
        <f>'3. GRI Pricing'!F409</f>
        <v>0</v>
      </c>
      <c r="G399" s="16">
        <f>'3. GRI Pricing'!G409</f>
        <v>0</v>
      </c>
      <c r="H399" s="16">
        <f>'3. GRI Pricing'!H409</f>
        <v>0</v>
      </c>
      <c r="I399" s="280">
        <f>'3. GRI Pricing'!K409</f>
        <v>0</v>
      </c>
      <c r="J399" s="281">
        <f>'3. GRI Pricing'!O409</f>
        <v>0</v>
      </c>
      <c r="K399" s="281">
        <f>'3. GRI Pricing'!L409</f>
        <v>0</v>
      </c>
      <c r="L399" s="281">
        <f>'3. GRI Pricing'!P409</f>
        <v>0</v>
      </c>
      <c r="M399" s="281">
        <f>'3. GRI Pricing'!R409</f>
        <v>0</v>
      </c>
      <c r="N399" s="281">
        <f>'3. GRI Pricing'!S409</f>
        <v>0</v>
      </c>
      <c r="O399" s="281">
        <f>'3. GRI Pricing'!Q409</f>
        <v>0</v>
      </c>
      <c r="P399" s="281">
        <f>'3. GRI Pricing'!T409</f>
        <v>0</v>
      </c>
      <c r="Q399" s="281">
        <f>'3. GRI Pricing'!U409</f>
        <v>0</v>
      </c>
      <c r="R399" s="281">
        <f>'3. GRI Pricing'!V409</f>
        <v>0</v>
      </c>
      <c r="S399" s="281">
        <f>'3. GRI Pricing'!W409</f>
        <v>0</v>
      </c>
      <c r="T399" s="281">
        <f>'3. GRI Pricing'!X409</f>
        <v>0</v>
      </c>
      <c r="U399" s="282">
        <f>'3. GRI Pricing'!Y409</f>
        <v>0</v>
      </c>
    </row>
    <row r="400" spans="3:21" x14ac:dyDescent="0.2">
      <c r="C400" s="23">
        <f>'3. GRI Pricing'!C410</f>
        <v>0</v>
      </c>
      <c r="D400" s="16">
        <f>'3. GRI Pricing'!D410</f>
        <v>0</v>
      </c>
      <c r="E400" s="16">
        <f>'3. GRI Pricing'!E410</f>
        <v>0</v>
      </c>
      <c r="F400" s="16">
        <f>'3. GRI Pricing'!F410</f>
        <v>0</v>
      </c>
      <c r="G400" s="16">
        <f>'3. GRI Pricing'!G410</f>
        <v>0</v>
      </c>
      <c r="H400" s="16">
        <f>'3. GRI Pricing'!H410</f>
        <v>0</v>
      </c>
      <c r="I400" s="280">
        <f>'3. GRI Pricing'!K410</f>
        <v>0</v>
      </c>
      <c r="J400" s="281">
        <f>'3. GRI Pricing'!O410</f>
        <v>0</v>
      </c>
      <c r="K400" s="281">
        <f>'3. GRI Pricing'!L410</f>
        <v>0</v>
      </c>
      <c r="L400" s="281">
        <f>'3. GRI Pricing'!P410</f>
        <v>0</v>
      </c>
      <c r="M400" s="281">
        <f>'3. GRI Pricing'!R410</f>
        <v>0</v>
      </c>
      <c r="N400" s="281">
        <f>'3. GRI Pricing'!S410</f>
        <v>0</v>
      </c>
      <c r="O400" s="281">
        <f>'3. GRI Pricing'!Q410</f>
        <v>0</v>
      </c>
      <c r="P400" s="281">
        <f>'3. GRI Pricing'!T410</f>
        <v>0</v>
      </c>
      <c r="Q400" s="281">
        <f>'3. GRI Pricing'!U410</f>
        <v>0</v>
      </c>
      <c r="R400" s="281">
        <f>'3. GRI Pricing'!V410</f>
        <v>0</v>
      </c>
      <c r="S400" s="281">
        <f>'3. GRI Pricing'!W410</f>
        <v>0</v>
      </c>
      <c r="T400" s="281">
        <f>'3. GRI Pricing'!X410</f>
        <v>0</v>
      </c>
      <c r="U400" s="282">
        <f>'3. GRI Pricing'!Y410</f>
        <v>0</v>
      </c>
    </row>
    <row r="401" spans="3:21" x14ac:dyDescent="0.2">
      <c r="C401" s="23">
        <f>'3. GRI Pricing'!C411</f>
        <v>0</v>
      </c>
      <c r="D401" s="16">
        <f>'3. GRI Pricing'!D411</f>
        <v>0</v>
      </c>
      <c r="E401" s="16">
        <f>'3. GRI Pricing'!E411</f>
        <v>0</v>
      </c>
      <c r="F401" s="16">
        <f>'3. GRI Pricing'!F411</f>
        <v>0</v>
      </c>
      <c r="G401" s="16">
        <f>'3. GRI Pricing'!G411</f>
        <v>0</v>
      </c>
      <c r="H401" s="16">
        <f>'3. GRI Pricing'!H411</f>
        <v>0</v>
      </c>
      <c r="I401" s="280">
        <f>'3. GRI Pricing'!K411</f>
        <v>0</v>
      </c>
      <c r="J401" s="281">
        <f>'3. GRI Pricing'!O411</f>
        <v>0</v>
      </c>
      <c r="K401" s="281">
        <f>'3. GRI Pricing'!L411</f>
        <v>0</v>
      </c>
      <c r="L401" s="281">
        <f>'3. GRI Pricing'!P411</f>
        <v>0</v>
      </c>
      <c r="M401" s="281">
        <f>'3. GRI Pricing'!R411</f>
        <v>0</v>
      </c>
      <c r="N401" s="281">
        <f>'3. GRI Pricing'!S411</f>
        <v>0</v>
      </c>
      <c r="O401" s="281">
        <f>'3. GRI Pricing'!Q411</f>
        <v>0</v>
      </c>
      <c r="P401" s="281">
        <f>'3. GRI Pricing'!T411</f>
        <v>0</v>
      </c>
      <c r="Q401" s="281">
        <f>'3. GRI Pricing'!U411</f>
        <v>0</v>
      </c>
      <c r="R401" s="281">
        <f>'3. GRI Pricing'!V411</f>
        <v>0</v>
      </c>
      <c r="S401" s="281">
        <f>'3. GRI Pricing'!W411</f>
        <v>0</v>
      </c>
      <c r="T401" s="281">
        <f>'3. GRI Pricing'!X411</f>
        <v>0</v>
      </c>
      <c r="U401" s="282">
        <f>'3. GRI Pricing'!Y411</f>
        <v>0</v>
      </c>
    </row>
    <row r="402" spans="3:21" x14ac:dyDescent="0.2">
      <c r="C402" s="23">
        <f>'3. GRI Pricing'!C412</f>
        <v>0</v>
      </c>
      <c r="D402" s="16">
        <f>'3. GRI Pricing'!D412</f>
        <v>0</v>
      </c>
      <c r="E402" s="16">
        <f>'3. GRI Pricing'!E412</f>
        <v>0</v>
      </c>
      <c r="F402" s="16">
        <f>'3. GRI Pricing'!F412</f>
        <v>0</v>
      </c>
      <c r="G402" s="16">
        <f>'3. GRI Pricing'!G412</f>
        <v>0</v>
      </c>
      <c r="H402" s="16">
        <f>'3. GRI Pricing'!H412</f>
        <v>0</v>
      </c>
      <c r="I402" s="280">
        <f>'3. GRI Pricing'!K412</f>
        <v>0</v>
      </c>
      <c r="J402" s="281">
        <f>'3. GRI Pricing'!O412</f>
        <v>0</v>
      </c>
      <c r="K402" s="281">
        <f>'3. GRI Pricing'!L412</f>
        <v>0</v>
      </c>
      <c r="L402" s="281">
        <f>'3. GRI Pricing'!P412</f>
        <v>0</v>
      </c>
      <c r="M402" s="281">
        <f>'3. GRI Pricing'!R412</f>
        <v>0</v>
      </c>
      <c r="N402" s="281">
        <f>'3. GRI Pricing'!S412</f>
        <v>0</v>
      </c>
      <c r="O402" s="281">
        <f>'3. GRI Pricing'!Q412</f>
        <v>0</v>
      </c>
      <c r="P402" s="281">
        <f>'3. GRI Pricing'!T412</f>
        <v>0</v>
      </c>
      <c r="Q402" s="281">
        <f>'3. GRI Pricing'!U412</f>
        <v>0</v>
      </c>
      <c r="R402" s="281">
        <f>'3. GRI Pricing'!V412</f>
        <v>0</v>
      </c>
      <c r="S402" s="281">
        <f>'3. GRI Pricing'!W412</f>
        <v>0</v>
      </c>
      <c r="T402" s="281">
        <f>'3. GRI Pricing'!X412</f>
        <v>0</v>
      </c>
      <c r="U402" s="282">
        <f>'3. GRI Pricing'!Y412</f>
        <v>0</v>
      </c>
    </row>
    <row r="403" spans="3:21" x14ac:dyDescent="0.2">
      <c r="C403" s="23">
        <f>'3. GRI Pricing'!C413</f>
        <v>0</v>
      </c>
      <c r="D403" s="16">
        <f>'3. GRI Pricing'!D413</f>
        <v>0</v>
      </c>
      <c r="E403" s="16">
        <f>'3. GRI Pricing'!E413</f>
        <v>0</v>
      </c>
      <c r="F403" s="16">
        <f>'3. GRI Pricing'!F413</f>
        <v>0</v>
      </c>
      <c r="G403" s="16">
        <f>'3. GRI Pricing'!G413</f>
        <v>0</v>
      </c>
      <c r="H403" s="16">
        <f>'3. GRI Pricing'!H413</f>
        <v>0</v>
      </c>
      <c r="I403" s="280">
        <f>'3. GRI Pricing'!K413</f>
        <v>0</v>
      </c>
      <c r="J403" s="281">
        <f>'3. GRI Pricing'!O413</f>
        <v>0</v>
      </c>
      <c r="K403" s="281">
        <f>'3. GRI Pricing'!L413</f>
        <v>0</v>
      </c>
      <c r="L403" s="281">
        <f>'3. GRI Pricing'!P413</f>
        <v>0</v>
      </c>
      <c r="M403" s="281">
        <f>'3. GRI Pricing'!R413</f>
        <v>0</v>
      </c>
      <c r="N403" s="281">
        <f>'3. GRI Pricing'!S413</f>
        <v>0</v>
      </c>
      <c r="O403" s="281">
        <f>'3. GRI Pricing'!Q413</f>
        <v>0</v>
      </c>
      <c r="P403" s="281">
        <f>'3. GRI Pricing'!T413</f>
        <v>0</v>
      </c>
      <c r="Q403" s="281">
        <f>'3. GRI Pricing'!U413</f>
        <v>0</v>
      </c>
      <c r="R403" s="281">
        <f>'3. GRI Pricing'!V413</f>
        <v>0</v>
      </c>
      <c r="S403" s="281">
        <f>'3. GRI Pricing'!W413</f>
        <v>0</v>
      </c>
      <c r="T403" s="281">
        <f>'3. GRI Pricing'!X413</f>
        <v>0</v>
      </c>
      <c r="U403" s="282">
        <f>'3. GRI Pricing'!Y413</f>
        <v>0</v>
      </c>
    </row>
    <row r="404" spans="3:21" x14ac:dyDescent="0.2">
      <c r="C404" s="23">
        <f>'3. GRI Pricing'!C414</f>
        <v>0</v>
      </c>
      <c r="D404" s="16">
        <f>'3. GRI Pricing'!D414</f>
        <v>0</v>
      </c>
      <c r="E404" s="16">
        <f>'3. GRI Pricing'!E414</f>
        <v>0</v>
      </c>
      <c r="F404" s="16">
        <f>'3. GRI Pricing'!F414</f>
        <v>0</v>
      </c>
      <c r="G404" s="16">
        <f>'3. GRI Pricing'!G414</f>
        <v>0</v>
      </c>
      <c r="H404" s="16">
        <f>'3. GRI Pricing'!H414</f>
        <v>0</v>
      </c>
      <c r="I404" s="280">
        <f>'3. GRI Pricing'!K414</f>
        <v>0</v>
      </c>
      <c r="J404" s="281">
        <f>'3. GRI Pricing'!O414</f>
        <v>0</v>
      </c>
      <c r="K404" s="281">
        <f>'3. GRI Pricing'!L414</f>
        <v>0</v>
      </c>
      <c r="L404" s="281">
        <f>'3. GRI Pricing'!P414</f>
        <v>0</v>
      </c>
      <c r="M404" s="281">
        <f>'3. GRI Pricing'!R414</f>
        <v>0</v>
      </c>
      <c r="N404" s="281">
        <f>'3. GRI Pricing'!S414</f>
        <v>0</v>
      </c>
      <c r="O404" s="281">
        <f>'3. GRI Pricing'!Q414</f>
        <v>0</v>
      </c>
      <c r="P404" s="281">
        <f>'3. GRI Pricing'!T414</f>
        <v>0</v>
      </c>
      <c r="Q404" s="281">
        <f>'3. GRI Pricing'!U414</f>
        <v>0</v>
      </c>
      <c r="R404" s="281">
        <f>'3. GRI Pricing'!V414</f>
        <v>0</v>
      </c>
      <c r="S404" s="281">
        <f>'3. GRI Pricing'!W414</f>
        <v>0</v>
      </c>
      <c r="T404" s="281">
        <f>'3. GRI Pricing'!X414</f>
        <v>0</v>
      </c>
      <c r="U404" s="282">
        <f>'3. GRI Pricing'!Y414</f>
        <v>0</v>
      </c>
    </row>
    <row r="405" spans="3:21" x14ac:dyDescent="0.2">
      <c r="C405" s="23">
        <f>'3. GRI Pricing'!C415</f>
        <v>0</v>
      </c>
      <c r="D405" s="16">
        <f>'3. GRI Pricing'!D415</f>
        <v>0</v>
      </c>
      <c r="E405" s="16">
        <f>'3. GRI Pricing'!E415</f>
        <v>0</v>
      </c>
      <c r="F405" s="16">
        <f>'3. GRI Pricing'!F415</f>
        <v>0</v>
      </c>
      <c r="G405" s="16">
        <f>'3. GRI Pricing'!G415</f>
        <v>0</v>
      </c>
      <c r="H405" s="16">
        <f>'3. GRI Pricing'!H415</f>
        <v>0</v>
      </c>
      <c r="I405" s="280">
        <f>'3. GRI Pricing'!K415</f>
        <v>0</v>
      </c>
      <c r="J405" s="281">
        <f>'3. GRI Pricing'!O415</f>
        <v>0</v>
      </c>
      <c r="K405" s="281">
        <f>'3. GRI Pricing'!L415</f>
        <v>0</v>
      </c>
      <c r="L405" s="281">
        <f>'3. GRI Pricing'!P415</f>
        <v>0</v>
      </c>
      <c r="M405" s="281">
        <f>'3. GRI Pricing'!R415</f>
        <v>0</v>
      </c>
      <c r="N405" s="281">
        <f>'3. GRI Pricing'!S415</f>
        <v>0</v>
      </c>
      <c r="O405" s="281">
        <f>'3. GRI Pricing'!Q415</f>
        <v>0</v>
      </c>
      <c r="P405" s="281">
        <f>'3. GRI Pricing'!T415</f>
        <v>0</v>
      </c>
      <c r="Q405" s="281">
        <f>'3. GRI Pricing'!U415</f>
        <v>0</v>
      </c>
      <c r="R405" s="281">
        <f>'3. GRI Pricing'!V415</f>
        <v>0</v>
      </c>
      <c r="S405" s="281">
        <f>'3. GRI Pricing'!W415</f>
        <v>0</v>
      </c>
      <c r="T405" s="281">
        <f>'3. GRI Pricing'!X415</f>
        <v>0</v>
      </c>
      <c r="U405" s="282">
        <f>'3. GRI Pricing'!Y415</f>
        <v>0</v>
      </c>
    </row>
    <row r="406" spans="3:21" x14ac:dyDescent="0.2">
      <c r="C406" s="23">
        <f>'3. GRI Pricing'!C416</f>
        <v>0</v>
      </c>
      <c r="D406" s="16">
        <f>'3. GRI Pricing'!D416</f>
        <v>0</v>
      </c>
      <c r="E406" s="16">
        <f>'3. GRI Pricing'!E416</f>
        <v>0</v>
      </c>
      <c r="F406" s="16">
        <f>'3. GRI Pricing'!F416</f>
        <v>0</v>
      </c>
      <c r="G406" s="16">
        <f>'3. GRI Pricing'!G416</f>
        <v>0</v>
      </c>
      <c r="H406" s="16">
        <f>'3. GRI Pricing'!H416</f>
        <v>0</v>
      </c>
      <c r="I406" s="280">
        <f>'3. GRI Pricing'!K416</f>
        <v>0</v>
      </c>
      <c r="J406" s="281">
        <f>'3. GRI Pricing'!O416</f>
        <v>0</v>
      </c>
      <c r="K406" s="281">
        <f>'3. GRI Pricing'!L416</f>
        <v>0</v>
      </c>
      <c r="L406" s="281">
        <f>'3. GRI Pricing'!P416</f>
        <v>0</v>
      </c>
      <c r="M406" s="281">
        <f>'3. GRI Pricing'!R416</f>
        <v>0</v>
      </c>
      <c r="N406" s="281">
        <f>'3. GRI Pricing'!S416</f>
        <v>0</v>
      </c>
      <c r="O406" s="281">
        <f>'3. GRI Pricing'!Q416</f>
        <v>0</v>
      </c>
      <c r="P406" s="281">
        <f>'3. GRI Pricing'!T416</f>
        <v>0</v>
      </c>
      <c r="Q406" s="281">
        <f>'3. GRI Pricing'!U416</f>
        <v>0</v>
      </c>
      <c r="R406" s="281">
        <f>'3. GRI Pricing'!V416</f>
        <v>0</v>
      </c>
      <c r="S406" s="281">
        <f>'3. GRI Pricing'!W416</f>
        <v>0</v>
      </c>
      <c r="T406" s="281">
        <f>'3. GRI Pricing'!X416</f>
        <v>0</v>
      </c>
      <c r="U406" s="282">
        <f>'3. GRI Pricing'!Y416</f>
        <v>0</v>
      </c>
    </row>
    <row r="407" spans="3:21" x14ac:dyDescent="0.2">
      <c r="C407" s="23">
        <f>'3. GRI Pricing'!C417</f>
        <v>0</v>
      </c>
      <c r="D407" s="16">
        <f>'3. GRI Pricing'!D417</f>
        <v>0</v>
      </c>
      <c r="E407" s="16">
        <f>'3. GRI Pricing'!E417</f>
        <v>0</v>
      </c>
      <c r="F407" s="16">
        <f>'3. GRI Pricing'!F417</f>
        <v>0</v>
      </c>
      <c r="G407" s="16">
        <f>'3. GRI Pricing'!G417</f>
        <v>0</v>
      </c>
      <c r="H407" s="16">
        <f>'3. GRI Pricing'!H417</f>
        <v>0</v>
      </c>
      <c r="I407" s="280">
        <f>'3. GRI Pricing'!K417</f>
        <v>0</v>
      </c>
      <c r="J407" s="281">
        <f>'3. GRI Pricing'!O417</f>
        <v>0</v>
      </c>
      <c r="K407" s="281">
        <f>'3. GRI Pricing'!L417</f>
        <v>0</v>
      </c>
      <c r="L407" s="281">
        <f>'3. GRI Pricing'!P417</f>
        <v>0</v>
      </c>
      <c r="M407" s="281">
        <f>'3. GRI Pricing'!R417</f>
        <v>0</v>
      </c>
      <c r="N407" s="281">
        <f>'3. GRI Pricing'!S417</f>
        <v>0</v>
      </c>
      <c r="O407" s="281">
        <f>'3. GRI Pricing'!Q417</f>
        <v>0</v>
      </c>
      <c r="P407" s="281">
        <f>'3. GRI Pricing'!T417</f>
        <v>0</v>
      </c>
      <c r="Q407" s="281">
        <f>'3. GRI Pricing'!U417</f>
        <v>0</v>
      </c>
      <c r="R407" s="281">
        <f>'3. GRI Pricing'!V417</f>
        <v>0</v>
      </c>
      <c r="S407" s="281">
        <f>'3. GRI Pricing'!W417</f>
        <v>0</v>
      </c>
      <c r="T407" s="281">
        <f>'3. GRI Pricing'!X417</f>
        <v>0</v>
      </c>
      <c r="U407" s="282">
        <f>'3. GRI Pricing'!Y417</f>
        <v>0</v>
      </c>
    </row>
    <row r="408" spans="3:21" x14ac:dyDescent="0.2">
      <c r="C408" s="23">
        <f>'3. GRI Pricing'!C418</f>
        <v>0</v>
      </c>
      <c r="D408" s="16">
        <f>'3. GRI Pricing'!D418</f>
        <v>0</v>
      </c>
      <c r="E408" s="16">
        <f>'3. GRI Pricing'!E418</f>
        <v>0</v>
      </c>
      <c r="F408" s="16">
        <f>'3. GRI Pricing'!F418</f>
        <v>0</v>
      </c>
      <c r="G408" s="16">
        <f>'3. GRI Pricing'!G418</f>
        <v>0</v>
      </c>
      <c r="H408" s="16">
        <f>'3. GRI Pricing'!H418</f>
        <v>0</v>
      </c>
      <c r="I408" s="280">
        <f>'3. GRI Pricing'!K418</f>
        <v>0</v>
      </c>
      <c r="J408" s="281">
        <f>'3. GRI Pricing'!O418</f>
        <v>0</v>
      </c>
      <c r="K408" s="281">
        <f>'3. GRI Pricing'!L418</f>
        <v>0</v>
      </c>
      <c r="L408" s="281">
        <f>'3. GRI Pricing'!P418</f>
        <v>0</v>
      </c>
      <c r="M408" s="281">
        <f>'3. GRI Pricing'!R418</f>
        <v>0</v>
      </c>
      <c r="N408" s="281">
        <f>'3. GRI Pricing'!S418</f>
        <v>0</v>
      </c>
      <c r="O408" s="281">
        <f>'3. GRI Pricing'!Q418</f>
        <v>0</v>
      </c>
      <c r="P408" s="281">
        <f>'3. GRI Pricing'!T418</f>
        <v>0</v>
      </c>
      <c r="Q408" s="281">
        <f>'3. GRI Pricing'!U418</f>
        <v>0</v>
      </c>
      <c r="R408" s="281">
        <f>'3. GRI Pricing'!V418</f>
        <v>0</v>
      </c>
      <c r="S408" s="281">
        <f>'3. GRI Pricing'!W418</f>
        <v>0</v>
      </c>
      <c r="T408" s="281">
        <f>'3. GRI Pricing'!X418</f>
        <v>0</v>
      </c>
      <c r="U408" s="282">
        <f>'3. GRI Pricing'!Y418</f>
        <v>0</v>
      </c>
    </row>
    <row r="409" spans="3:21" x14ac:dyDescent="0.2">
      <c r="C409" s="23">
        <f>'3. GRI Pricing'!C419</f>
        <v>0</v>
      </c>
      <c r="D409" s="16">
        <f>'3. GRI Pricing'!D419</f>
        <v>0</v>
      </c>
      <c r="E409" s="16">
        <f>'3. GRI Pricing'!E419</f>
        <v>0</v>
      </c>
      <c r="F409" s="16">
        <f>'3. GRI Pricing'!F419</f>
        <v>0</v>
      </c>
      <c r="G409" s="16">
        <f>'3. GRI Pricing'!G419</f>
        <v>0</v>
      </c>
      <c r="H409" s="16">
        <f>'3. GRI Pricing'!H419</f>
        <v>0</v>
      </c>
      <c r="I409" s="280">
        <f>'3. GRI Pricing'!K419</f>
        <v>0</v>
      </c>
      <c r="J409" s="281">
        <f>'3. GRI Pricing'!O419</f>
        <v>0</v>
      </c>
      <c r="K409" s="281">
        <f>'3. GRI Pricing'!L419</f>
        <v>0</v>
      </c>
      <c r="L409" s="281">
        <f>'3. GRI Pricing'!P419</f>
        <v>0</v>
      </c>
      <c r="M409" s="281">
        <f>'3. GRI Pricing'!R419</f>
        <v>0</v>
      </c>
      <c r="N409" s="281">
        <f>'3. GRI Pricing'!S419</f>
        <v>0</v>
      </c>
      <c r="O409" s="281">
        <f>'3. GRI Pricing'!Q419</f>
        <v>0</v>
      </c>
      <c r="P409" s="281">
        <f>'3. GRI Pricing'!T419</f>
        <v>0</v>
      </c>
      <c r="Q409" s="281">
        <f>'3. GRI Pricing'!U419</f>
        <v>0</v>
      </c>
      <c r="R409" s="281">
        <f>'3. GRI Pricing'!V419</f>
        <v>0</v>
      </c>
      <c r="S409" s="281">
        <f>'3. GRI Pricing'!W419</f>
        <v>0</v>
      </c>
      <c r="T409" s="281">
        <f>'3. GRI Pricing'!X419</f>
        <v>0</v>
      </c>
      <c r="U409" s="282">
        <f>'3. GRI Pricing'!Y419</f>
        <v>0</v>
      </c>
    </row>
    <row r="410" spans="3:21" x14ac:dyDescent="0.2">
      <c r="C410" s="23">
        <f>'3. GRI Pricing'!C420</f>
        <v>0</v>
      </c>
      <c r="D410" s="16">
        <f>'3. GRI Pricing'!D420</f>
        <v>0</v>
      </c>
      <c r="E410" s="16">
        <f>'3. GRI Pricing'!E420</f>
        <v>0</v>
      </c>
      <c r="F410" s="16">
        <f>'3. GRI Pricing'!F420</f>
        <v>0</v>
      </c>
      <c r="G410" s="16">
        <f>'3. GRI Pricing'!G420</f>
        <v>0</v>
      </c>
      <c r="H410" s="16">
        <f>'3. GRI Pricing'!H420</f>
        <v>0</v>
      </c>
      <c r="I410" s="280">
        <f>'3. GRI Pricing'!K420</f>
        <v>0</v>
      </c>
      <c r="J410" s="281">
        <f>'3. GRI Pricing'!O420</f>
        <v>0</v>
      </c>
      <c r="K410" s="281">
        <f>'3. GRI Pricing'!L420</f>
        <v>0</v>
      </c>
      <c r="L410" s="281">
        <f>'3. GRI Pricing'!P420</f>
        <v>0</v>
      </c>
      <c r="M410" s="281">
        <f>'3. GRI Pricing'!R420</f>
        <v>0</v>
      </c>
      <c r="N410" s="281">
        <f>'3. GRI Pricing'!S420</f>
        <v>0</v>
      </c>
      <c r="O410" s="281">
        <f>'3. GRI Pricing'!Q420</f>
        <v>0</v>
      </c>
      <c r="P410" s="281">
        <f>'3. GRI Pricing'!T420</f>
        <v>0</v>
      </c>
      <c r="Q410" s="281">
        <f>'3. GRI Pricing'!U420</f>
        <v>0</v>
      </c>
      <c r="R410" s="281">
        <f>'3. GRI Pricing'!V420</f>
        <v>0</v>
      </c>
      <c r="S410" s="281">
        <f>'3. GRI Pricing'!W420</f>
        <v>0</v>
      </c>
      <c r="T410" s="281">
        <f>'3. GRI Pricing'!X420</f>
        <v>0</v>
      </c>
      <c r="U410" s="282">
        <f>'3. GRI Pricing'!Y420</f>
        <v>0</v>
      </c>
    </row>
    <row r="411" spans="3:21" x14ac:dyDescent="0.2">
      <c r="C411" s="23">
        <f>'3. GRI Pricing'!C421</f>
        <v>0</v>
      </c>
      <c r="D411" s="16">
        <f>'3. GRI Pricing'!D421</f>
        <v>0</v>
      </c>
      <c r="E411" s="16">
        <f>'3. GRI Pricing'!E421</f>
        <v>0</v>
      </c>
      <c r="F411" s="16">
        <f>'3. GRI Pricing'!F421</f>
        <v>0</v>
      </c>
      <c r="G411" s="16">
        <f>'3. GRI Pricing'!G421</f>
        <v>0</v>
      </c>
      <c r="H411" s="16">
        <f>'3. GRI Pricing'!H421</f>
        <v>0</v>
      </c>
      <c r="I411" s="280">
        <f>'3. GRI Pricing'!K421</f>
        <v>0</v>
      </c>
      <c r="J411" s="281">
        <f>'3. GRI Pricing'!O421</f>
        <v>0</v>
      </c>
      <c r="K411" s="281">
        <f>'3. GRI Pricing'!L421</f>
        <v>0</v>
      </c>
      <c r="L411" s="281">
        <f>'3. GRI Pricing'!P421</f>
        <v>0</v>
      </c>
      <c r="M411" s="281">
        <f>'3. GRI Pricing'!R421</f>
        <v>0</v>
      </c>
      <c r="N411" s="281">
        <f>'3. GRI Pricing'!S421</f>
        <v>0</v>
      </c>
      <c r="O411" s="281">
        <f>'3. GRI Pricing'!Q421</f>
        <v>0</v>
      </c>
      <c r="P411" s="281">
        <f>'3. GRI Pricing'!T421</f>
        <v>0</v>
      </c>
      <c r="Q411" s="281">
        <f>'3. GRI Pricing'!U421</f>
        <v>0</v>
      </c>
      <c r="R411" s="281">
        <f>'3. GRI Pricing'!V421</f>
        <v>0</v>
      </c>
      <c r="S411" s="281">
        <f>'3. GRI Pricing'!W421</f>
        <v>0</v>
      </c>
      <c r="T411" s="281">
        <f>'3. GRI Pricing'!X421</f>
        <v>0</v>
      </c>
      <c r="U411" s="282">
        <f>'3. GRI Pricing'!Y421</f>
        <v>0</v>
      </c>
    </row>
    <row r="412" spans="3:21" x14ac:dyDescent="0.2">
      <c r="C412" s="23">
        <f>'3. GRI Pricing'!C422</f>
        <v>0</v>
      </c>
      <c r="D412" s="16">
        <f>'3. GRI Pricing'!D422</f>
        <v>0</v>
      </c>
      <c r="E412" s="16">
        <f>'3. GRI Pricing'!E422</f>
        <v>0</v>
      </c>
      <c r="F412" s="16">
        <f>'3. GRI Pricing'!F422</f>
        <v>0</v>
      </c>
      <c r="G412" s="16">
        <f>'3. GRI Pricing'!G422</f>
        <v>0</v>
      </c>
      <c r="H412" s="16">
        <f>'3. GRI Pricing'!H422</f>
        <v>0</v>
      </c>
      <c r="I412" s="280">
        <f>'3. GRI Pricing'!K422</f>
        <v>0</v>
      </c>
      <c r="J412" s="281">
        <f>'3. GRI Pricing'!O422</f>
        <v>0</v>
      </c>
      <c r="K412" s="281">
        <f>'3. GRI Pricing'!L422</f>
        <v>0</v>
      </c>
      <c r="L412" s="281">
        <f>'3. GRI Pricing'!P422</f>
        <v>0</v>
      </c>
      <c r="M412" s="281">
        <f>'3. GRI Pricing'!R422</f>
        <v>0</v>
      </c>
      <c r="N412" s="281">
        <f>'3. GRI Pricing'!S422</f>
        <v>0</v>
      </c>
      <c r="O412" s="281">
        <f>'3. GRI Pricing'!Q422</f>
        <v>0</v>
      </c>
      <c r="P412" s="281">
        <f>'3. GRI Pricing'!T422</f>
        <v>0</v>
      </c>
      <c r="Q412" s="281">
        <f>'3. GRI Pricing'!U422</f>
        <v>0</v>
      </c>
      <c r="R412" s="281">
        <f>'3. GRI Pricing'!V422</f>
        <v>0</v>
      </c>
      <c r="S412" s="281">
        <f>'3. GRI Pricing'!W422</f>
        <v>0</v>
      </c>
      <c r="T412" s="281">
        <f>'3. GRI Pricing'!X422</f>
        <v>0</v>
      </c>
      <c r="U412" s="282">
        <f>'3. GRI Pricing'!Y422</f>
        <v>0</v>
      </c>
    </row>
    <row r="413" spans="3:21" x14ac:dyDescent="0.2">
      <c r="C413" s="23">
        <f>'3. GRI Pricing'!C423</f>
        <v>0</v>
      </c>
      <c r="D413" s="16">
        <f>'3. GRI Pricing'!D423</f>
        <v>0</v>
      </c>
      <c r="E413" s="16">
        <f>'3. GRI Pricing'!E423</f>
        <v>0</v>
      </c>
      <c r="F413" s="16">
        <f>'3. GRI Pricing'!F423</f>
        <v>0</v>
      </c>
      <c r="G413" s="16">
        <f>'3. GRI Pricing'!G423</f>
        <v>0</v>
      </c>
      <c r="H413" s="16">
        <f>'3. GRI Pricing'!H423</f>
        <v>0</v>
      </c>
      <c r="I413" s="280">
        <f>'3. GRI Pricing'!K423</f>
        <v>0</v>
      </c>
      <c r="J413" s="281">
        <f>'3. GRI Pricing'!O423</f>
        <v>0</v>
      </c>
      <c r="K413" s="281">
        <f>'3. GRI Pricing'!L423</f>
        <v>0</v>
      </c>
      <c r="L413" s="281">
        <f>'3. GRI Pricing'!P423</f>
        <v>0</v>
      </c>
      <c r="M413" s="281">
        <f>'3. GRI Pricing'!R423</f>
        <v>0</v>
      </c>
      <c r="N413" s="281">
        <f>'3. GRI Pricing'!S423</f>
        <v>0</v>
      </c>
      <c r="O413" s="281">
        <f>'3. GRI Pricing'!Q423</f>
        <v>0</v>
      </c>
      <c r="P413" s="281">
        <f>'3. GRI Pricing'!T423</f>
        <v>0</v>
      </c>
      <c r="Q413" s="281">
        <f>'3. GRI Pricing'!U423</f>
        <v>0</v>
      </c>
      <c r="R413" s="281">
        <f>'3. GRI Pricing'!V423</f>
        <v>0</v>
      </c>
      <c r="S413" s="281">
        <f>'3. GRI Pricing'!W423</f>
        <v>0</v>
      </c>
      <c r="T413" s="281">
        <f>'3. GRI Pricing'!X423</f>
        <v>0</v>
      </c>
      <c r="U413" s="282">
        <f>'3. GRI Pricing'!Y423</f>
        <v>0</v>
      </c>
    </row>
    <row r="414" spans="3:21" x14ac:dyDescent="0.2">
      <c r="C414" s="23">
        <f>'3. GRI Pricing'!C424</f>
        <v>0</v>
      </c>
      <c r="D414" s="16">
        <f>'3. GRI Pricing'!D424</f>
        <v>0</v>
      </c>
      <c r="E414" s="16">
        <f>'3. GRI Pricing'!E424</f>
        <v>0</v>
      </c>
      <c r="F414" s="16">
        <f>'3. GRI Pricing'!F424</f>
        <v>0</v>
      </c>
      <c r="G414" s="16">
        <f>'3. GRI Pricing'!G424</f>
        <v>0</v>
      </c>
      <c r="H414" s="16">
        <f>'3. GRI Pricing'!H424</f>
        <v>0</v>
      </c>
      <c r="I414" s="280">
        <f>'3. GRI Pricing'!K424</f>
        <v>0</v>
      </c>
      <c r="J414" s="281">
        <f>'3. GRI Pricing'!O424</f>
        <v>0</v>
      </c>
      <c r="K414" s="281">
        <f>'3. GRI Pricing'!L424</f>
        <v>0</v>
      </c>
      <c r="L414" s="281">
        <f>'3. GRI Pricing'!P424</f>
        <v>0</v>
      </c>
      <c r="M414" s="281">
        <f>'3. GRI Pricing'!R424</f>
        <v>0</v>
      </c>
      <c r="N414" s="281">
        <f>'3. GRI Pricing'!S424</f>
        <v>0</v>
      </c>
      <c r="O414" s="281">
        <f>'3. GRI Pricing'!Q424</f>
        <v>0</v>
      </c>
      <c r="P414" s="281">
        <f>'3. GRI Pricing'!T424</f>
        <v>0</v>
      </c>
      <c r="Q414" s="281">
        <f>'3. GRI Pricing'!U424</f>
        <v>0</v>
      </c>
      <c r="R414" s="281">
        <f>'3. GRI Pricing'!V424</f>
        <v>0</v>
      </c>
      <c r="S414" s="281">
        <f>'3. GRI Pricing'!W424</f>
        <v>0</v>
      </c>
      <c r="T414" s="281">
        <f>'3. GRI Pricing'!X424</f>
        <v>0</v>
      </c>
      <c r="U414" s="282">
        <f>'3. GRI Pricing'!Y424</f>
        <v>0</v>
      </c>
    </row>
    <row r="415" spans="3:21" x14ac:dyDescent="0.2">
      <c r="C415" s="23">
        <f>'3. GRI Pricing'!C425</f>
        <v>0</v>
      </c>
      <c r="D415" s="16">
        <f>'3. GRI Pricing'!D425</f>
        <v>0</v>
      </c>
      <c r="E415" s="16">
        <f>'3. GRI Pricing'!E425</f>
        <v>0</v>
      </c>
      <c r="F415" s="16">
        <f>'3. GRI Pricing'!F425</f>
        <v>0</v>
      </c>
      <c r="G415" s="16">
        <f>'3. GRI Pricing'!G425</f>
        <v>0</v>
      </c>
      <c r="H415" s="16">
        <f>'3. GRI Pricing'!H425</f>
        <v>0</v>
      </c>
      <c r="I415" s="280">
        <f>'3. GRI Pricing'!K425</f>
        <v>0</v>
      </c>
      <c r="J415" s="281">
        <f>'3. GRI Pricing'!O425</f>
        <v>0</v>
      </c>
      <c r="K415" s="281">
        <f>'3. GRI Pricing'!L425</f>
        <v>0</v>
      </c>
      <c r="L415" s="281">
        <f>'3. GRI Pricing'!P425</f>
        <v>0</v>
      </c>
      <c r="M415" s="281">
        <f>'3. GRI Pricing'!R425</f>
        <v>0</v>
      </c>
      <c r="N415" s="281">
        <f>'3. GRI Pricing'!S425</f>
        <v>0</v>
      </c>
      <c r="O415" s="281">
        <f>'3. GRI Pricing'!Q425</f>
        <v>0</v>
      </c>
      <c r="P415" s="281">
        <f>'3. GRI Pricing'!T425</f>
        <v>0</v>
      </c>
      <c r="Q415" s="281">
        <f>'3. GRI Pricing'!U425</f>
        <v>0</v>
      </c>
      <c r="R415" s="281">
        <f>'3. GRI Pricing'!V425</f>
        <v>0</v>
      </c>
      <c r="S415" s="281">
        <f>'3. GRI Pricing'!W425</f>
        <v>0</v>
      </c>
      <c r="T415" s="281">
        <f>'3. GRI Pricing'!X425</f>
        <v>0</v>
      </c>
      <c r="U415" s="282">
        <f>'3. GRI Pricing'!Y425</f>
        <v>0</v>
      </c>
    </row>
    <row r="416" spans="3:21" x14ac:dyDescent="0.2">
      <c r="C416" s="23">
        <f>'3. GRI Pricing'!C426</f>
        <v>0</v>
      </c>
      <c r="D416" s="16">
        <f>'3. GRI Pricing'!D426</f>
        <v>0</v>
      </c>
      <c r="E416" s="16">
        <f>'3. GRI Pricing'!E426</f>
        <v>0</v>
      </c>
      <c r="F416" s="16">
        <f>'3. GRI Pricing'!F426</f>
        <v>0</v>
      </c>
      <c r="G416" s="16">
        <f>'3. GRI Pricing'!G426</f>
        <v>0</v>
      </c>
      <c r="H416" s="16">
        <f>'3. GRI Pricing'!H426</f>
        <v>0</v>
      </c>
      <c r="I416" s="280">
        <f>'3. GRI Pricing'!K426</f>
        <v>0</v>
      </c>
      <c r="J416" s="281">
        <f>'3. GRI Pricing'!O426</f>
        <v>0</v>
      </c>
      <c r="K416" s="281">
        <f>'3. GRI Pricing'!L426</f>
        <v>0</v>
      </c>
      <c r="L416" s="281">
        <f>'3. GRI Pricing'!P426</f>
        <v>0</v>
      </c>
      <c r="M416" s="281">
        <f>'3. GRI Pricing'!R426</f>
        <v>0</v>
      </c>
      <c r="N416" s="281">
        <f>'3. GRI Pricing'!S426</f>
        <v>0</v>
      </c>
      <c r="O416" s="281">
        <f>'3. GRI Pricing'!Q426</f>
        <v>0</v>
      </c>
      <c r="P416" s="281">
        <f>'3. GRI Pricing'!T426</f>
        <v>0</v>
      </c>
      <c r="Q416" s="281">
        <f>'3. GRI Pricing'!U426</f>
        <v>0</v>
      </c>
      <c r="R416" s="281">
        <f>'3. GRI Pricing'!V426</f>
        <v>0</v>
      </c>
      <c r="S416" s="281">
        <f>'3. GRI Pricing'!W426</f>
        <v>0</v>
      </c>
      <c r="T416" s="281">
        <f>'3. GRI Pricing'!X426</f>
        <v>0</v>
      </c>
      <c r="U416" s="282">
        <f>'3. GRI Pricing'!Y426</f>
        <v>0</v>
      </c>
    </row>
    <row r="417" spans="3:21" x14ac:dyDescent="0.2">
      <c r="C417" s="23">
        <f>'3. GRI Pricing'!C427</f>
        <v>0</v>
      </c>
      <c r="D417" s="16">
        <f>'3. GRI Pricing'!D427</f>
        <v>0</v>
      </c>
      <c r="E417" s="16">
        <f>'3. GRI Pricing'!E427</f>
        <v>0</v>
      </c>
      <c r="F417" s="16">
        <f>'3. GRI Pricing'!F427</f>
        <v>0</v>
      </c>
      <c r="G417" s="16">
        <f>'3. GRI Pricing'!G427</f>
        <v>0</v>
      </c>
      <c r="H417" s="16">
        <f>'3. GRI Pricing'!H427</f>
        <v>0</v>
      </c>
      <c r="I417" s="280">
        <f>'3. GRI Pricing'!K427</f>
        <v>0</v>
      </c>
      <c r="J417" s="281">
        <f>'3. GRI Pricing'!O427</f>
        <v>0</v>
      </c>
      <c r="K417" s="281">
        <f>'3. GRI Pricing'!L427</f>
        <v>0</v>
      </c>
      <c r="L417" s="281">
        <f>'3. GRI Pricing'!P427</f>
        <v>0</v>
      </c>
      <c r="M417" s="281">
        <f>'3. GRI Pricing'!R427</f>
        <v>0</v>
      </c>
      <c r="N417" s="281">
        <f>'3. GRI Pricing'!S427</f>
        <v>0</v>
      </c>
      <c r="O417" s="281">
        <f>'3. GRI Pricing'!Q427</f>
        <v>0</v>
      </c>
      <c r="P417" s="281">
        <f>'3. GRI Pricing'!T427</f>
        <v>0</v>
      </c>
      <c r="Q417" s="281">
        <f>'3. GRI Pricing'!U427</f>
        <v>0</v>
      </c>
      <c r="R417" s="281">
        <f>'3. GRI Pricing'!V427</f>
        <v>0</v>
      </c>
      <c r="S417" s="281">
        <f>'3. GRI Pricing'!W427</f>
        <v>0</v>
      </c>
      <c r="T417" s="281">
        <f>'3. GRI Pricing'!X427</f>
        <v>0</v>
      </c>
      <c r="U417" s="282">
        <f>'3. GRI Pricing'!Y427</f>
        <v>0</v>
      </c>
    </row>
    <row r="418" spans="3:21" x14ac:dyDescent="0.2">
      <c r="C418" s="23">
        <f>'3. GRI Pricing'!C428</f>
        <v>0</v>
      </c>
      <c r="D418" s="16">
        <f>'3. GRI Pricing'!D428</f>
        <v>0</v>
      </c>
      <c r="E418" s="16">
        <f>'3. GRI Pricing'!E428</f>
        <v>0</v>
      </c>
      <c r="F418" s="16">
        <f>'3. GRI Pricing'!F428</f>
        <v>0</v>
      </c>
      <c r="G418" s="16">
        <f>'3. GRI Pricing'!G428</f>
        <v>0</v>
      </c>
      <c r="H418" s="16">
        <f>'3. GRI Pricing'!H428</f>
        <v>0</v>
      </c>
      <c r="I418" s="280">
        <f>'3. GRI Pricing'!K428</f>
        <v>0</v>
      </c>
      <c r="J418" s="281">
        <f>'3. GRI Pricing'!O428</f>
        <v>0</v>
      </c>
      <c r="K418" s="281">
        <f>'3. GRI Pricing'!L428</f>
        <v>0</v>
      </c>
      <c r="L418" s="281">
        <f>'3. GRI Pricing'!P428</f>
        <v>0</v>
      </c>
      <c r="M418" s="281">
        <f>'3. GRI Pricing'!R428</f>
        <v>0</v>
      </c>
      <c r="N418" s="281">
        <f>'3. GRI Pricing'!S428</f>
        <v>0</v>
      </c>
      <c r="O418" s="281">
        <f>'3. GRI Pricing'!Q428</f>
        <v>0</v>
      </c>
      <c r="P418" s="281">
        <f>'3. GRI Pricing'!T428</f>
        <v>0</v>
      </c>
      <c r="Q418" s="281">
        <f>'3. GRI Pricing'!U428</f>
        <v>0</v>
      </c>
      <c r="R418" s="281">
        <f>'3. GRI Pricing'!V428</f>
        <v>0</v>
      </c>
      <c r="S418" s="281">
        <f>'3. GRI Pricing'!W428</f>
        <v>0</v>
      </c>
      <c r="T418" s="281">
        <f>'3. GRI Pricing'!X428</f>
        <v>0</v>
      </c>
      <c r="U418" s="282">
        <f>'3. GRI Pricing'!Y428</f>
        <v>0</v>
      </c>
    </row>
    <row r="419" spans="3:21" x14ac:dyDescent="0.2">
      <c r="C419" s="23">
        <f>'3. GRI Pricing'!C429</f>
        <v>0</v>
      </c>
      <c r="D419" s="16">
        <f>'3. GRI Pricing'!D429</f>
        <v>0</v>
      </c>
      <c r="E419" s="16">
        <f>'3. GRI Pricing'!E429</f>
        <v>0</v>
      </c>
      <c r="F419" s="16">
        <f>'3. GRI Pricing'!F429</f>
        <v>0</v>
      </c>
      <c r="G419" s="16">
        <f>'3. GRI Pricing'!G429</f>
        <v>0</v>
      </c>
      <c r="H419" s="16">
        <f>'3. GRI Pricing'!H429</f>
        <v>0</v>
      </c>
      <c r="I419" s="280">
        <f>'3. GRI Pricing'!K429</f>
        <v>0</v>
      </c>
      <c r="J419" s="281">
        <f>'3. GRI Pricing'!O429</f>
        <v>0</v>
      </c>
      <c r="K419" s="281">
        <f>'3. GRI Pricing'!L429</f>
        <v>0</v>
      </c>
      <c r="L419" s="281">
        <f>'3. GRI Pricing'!P429</f>
        <v>0</v>
      </c>
      <c r="M419" s="281">
        <f>'3. GRI Pricing'!R429</f>
        <v>0</v>
      </c>
      <c r="N419" s="281">
        <f>'3. GRI Pricing'!S429</f>
        <v>0</v>
      </c>
      <c r="O419" s="281">
        <f>'3. GRI Pricing'!Q429</f>
        <v>0</v>
      </c>
      <c r="P419" s="281">
        <f>'3. GRI Pricing'!T429</f>
        <v>0</v>
      </c>
      <c r="Q419" s="281">
        <f>'3. GRI Pricing'!U429</f>
        <v>0</v>
      </c>
      <c r="R419" s="281">
        <f>'3. GRI Pricing'!V429</f>
        <v>0</v>
      </c>
      <c r="S419" s="281">
        <f>'3. GRI Pricing'!W429</f>
        <v>0</v>
      </c>
      <c r="T419" s="281">
        <f>'3. GRI Pricing'!X429</f>
        <v>0</v>
      </c>
      <c r="U419" s="282">
        <f>'3. GRI Pricing'!Y429</f>
        <v>0</v>
      </c>
    </row>
    <row r="420" spans="3:21" x14ac:dyDescent="0.2">
      <c r="C420" s="23">
        <f>'3. GRI Pricing'!C430</f>
        <v>0</v>
      </c>
      <c r="D420" s="16">
        <f>'3. GRI Pricing'!D430</f>
        <v>0</v>
      </c>
      <c r="E420" s="16">
        <f>'3. GRI Pricing'!E430</f>
        <v>0</v>
      </c>
      <c r="F420" s="16">
        <f>'3. GRI Pricing'!F430</f>
        <v>0</v>
      </c>
      <c r="G420" s="16">
        <f>'3. GRI Pricing'!G430</f>
        <v>0</v>
      </c>
      <c r="H420" s="16">
        <f>'3. GRI Pricing'!H430</f>
        <v>0</v>
      </c>
      <c r="I420" s="280">
        <f>'3. GRI Pricing'!K430</f>
        <v>0</v>
      </c>
      <c r="J420" s="281">
        <f>'3. GRI Pricing'!O430</f>
        <v>0</v>
      </c>
      <c r="K420" s="281">
        <f>'3. GRI Pricing'!L430</f>
        <v>0</v>
      </c>
      <c r="L420" s="281">
        <f>'3. GRI Pricing'!P430</f>
        <v>0</v>
      </c>
      <c r="M420" s="281">
        <f>'3. GRI Pricing'!R430</f>
        <v>0</v>
      </c>
      <c r="N420" s="281">
        <f>'3. GRI Pricing'!S430</f>
        <v>0</v>
      </c>
      <c r="O420" s="281">
        <f>'3. GRI Pricing'!Q430</f>
        <v>0</v>
      </c>
      <c r="P420" s="281">
        <f>'3. GRI Pricing'!T430</f>
        <v>0</v>
      </c>
      <c r="Q420" s="281">
        <f>'3. GRI Pricing'!U430</f>
        <v>0</v>
      </c>
      <c r="R420" s="281">
        <f>'3. GRI Pricing'!V430</f>
        <v>0</v>
      </c>
      <c r="S420" s="281">
        <f>'3. GRI Pricing'!W430</f>
        <v>0</v>
      </c>
      <c r="T420" s="281">
        <f>'3. GRI Pricing'!X430</f>
        <v>0</v>
      </c>
      <c r="U420" s="282">
        <f>'3. GRI Pricing'!Y430</f>
        <v>0</v>
      </c>
    </row>
    <row r="421" spans="3:21" x14ac:dyDescent="0.2">
      <c r="C421" s="23">
        <f>'3. GRI Pricing'!C431</f>
        <v>0</v>
      </c>
      <c r="D421" s="16">
        <f>'3. GRI Pricing'!D431</f>
        <v>0</v>
      </c>
      <c r="E421" s="16">
        <f>'3. GRI Pricing'!E431</f>
        <v>0</v>
      </c>
      <c r="F421" s="16">
        <f>'3. GRI Pricing'!F431</f>
        <v>0</v>
      </c>
      <c r="G421" s="16">
        <f>'3. GRI Pricing'!G431</f>
        <v>0</v>
      </c>
      <c r="H421" s="16">
        <f>'3. GRI Pricing'!H431</f>
        <v>0</v>
      </c>
      <c r="I421" s="280">
        <f>'3. GRI Pricing'!K431</f>
        <v>0</v>
      </c>
      <c r="J421" s="281">
        <f>'3. GRI Pricing'!O431</f>
        <v>0</v>
      </c>
      <c r="K421" s="281">
        <f>'3. GRI Pricing'!L431</f>
        <v>0</v>
      </c>
      <c r="L421" s="281">
        <f>'3. GRI Pricing'!P431</f>
        <v>0</v>
      </c>
      <c r="M421" s="281">
        <f>'3. GRI Pricing'!R431</f>
        <v>0</v>
      </c>
      <c r="N421" s="281">
        <f>'3. GRI Pricing'!S431</f>
        <v>0</v>
      </c>
      <c r="O421" s="281">
        <f>'3. GRI Pricing'!Q431</f>
        <v>0</v>
      </c>
      <c r="P421" s="281">
        <f>'3. GRI Pricing'!T431</f>
        <v>0</v>
      </c>
      <c r="Q421" s="281">
        <f>'3. GRI Pricing'!U431</f>
        <v>0</v>
      </c>
      <c r="R421" s="281">
        <f>'3. GRI Pricing'!V431</f>
        <v>0</v>
      </c>
      <c r="S421" s="281">
        <f>'3. GRI Pricing'!W431</f>
        <v>0</v>
      </c>
      <c r="T421" s="281">
        <f>'3. GRI Pricing'!X431</f>
        <v>0</v>
      </c>
      <c r="U421" s="282">
        <f>'3. GRI Pricing'!Y431</f>
        <v>0</v>
      </c>
    </row>
    <row r="422" spans="3:21" x14ac:dyDescent="0.2">
      <c r="C422" s="23">
        <f>'3. GRI Pricing'!C432</f>
        <v>0</v>
      </c>
      <c r="D422" s="16">
        <f>'3. GRI Pricing'!D432</f>
        <v>0</v>
      </c>
      <c r="E422" s="16">
        <f>'3. GRI Pricing'!E432</f>
        <v>0</v>
      </c>
      <c r="F422" s="16">
        <f>'3. GRI Pricing'!F432</f>
        <v>0</v>
      </c>
      <c r="G422" s="16">
        <f>'3. GRI Pricing'!G432</f>
        <v>0</v>
      </c>
      <c r="H422" s="16">
        <f>'3. GRI Pricing'!H432</f>
        <v>0</v>
      </c>
      <c r="I422" s="280">
        <f>'3. GRI Pricing'!K432</f>
        <v>0</v>
      </c>
      <c r="J422" s="281">
        <f>'3. GRI Pricing'!O432</f>
        <v>0</v>
      </c>
      <c r="K422" s="281">
        <f>'3. GRI Pricing'!L432</f>
        <v>0</v>
      </c>
      <c r="L422" s="281">
        <f>'3. GRI Pricing'!P432</f>
        <v>0</v>
      </c>
      <c r="M422" s="281">
        <f>'3. GRI Pricing'!R432</f>
        <v>0</v>
      </c>
      <c r="N422" s="281">
        <f>'3. GRI Pricing'!S432</f>
        <v>0</v>
      </c>
      <c r="O422" s="281">
        <f>'3. GRI Pricing'!Q432</f>
        <v>0</v>
      </c>
      <c r="P422" s="281">
        <f>'3. GRI Pricing'!T432</f>
        <v>0</v>
      </c>
      <c r="Q422" s="281">
        <f>'3. GRI Pricing'!U432</f>
        <v>0</v>
      </c>
      <c r="R422" s="281">
        <f>'3. GRI Pricing'!V432</f>
        <v>0</v>
      </c>
      <c r="S422" s="281">
        <f>'3. GRI Pricing'!W432</f>
        <v>0</v>
      </c>
      <c r="T422" s="281">
        <f>'3. GRI Pricing'!X432</f>
        <v>0</v>
      </c>
      <c r="U422" s="282">
        <f>'3. GRI Pricing'!Y432</f>
        <v>0</v>
      </c>
    </row>
    <row r="423" spans="3:21" x14ac:dyDescent="0.2">
      <c r="C423" s="23">
        <f>'3. GRI Pricing'!C433</f>
        <v>0</v>
      </c>
      <c r="D423" s="16">
        <f>'3. GRI Pricing'!D433</f>
        <v>0</v>
      </c>
      <c r="E423" s="16">
        <f>'3. GRI Pricing'!E433</f>
        <v>0</v>
      </c>
      <c r="F423" s="16">
        <f>'3. GRI Pricing'!F433</f>
        <v>0</v>
      </c>
      <c r="G423" s="16">
        <f>'3. GRI Pricing'!G433</f>
        <v>0</v>
      </c>
      <c r="H423" s="16">
        <f>'3. GRI Pricing'!H433</f>
        <v>0</v>
      </c>
      <c r="I423" s="280">
        <f>'3. GRI Pricing'!K433</f>
        <v>0</v>
      </c>
      <c r="J423" s="281">
        <f>'3. GRI Pricing'!O433</f>
        <v>0</v>
      </c>
      <c r="K423" s="281">
        <f>'3. GRI Pricing'!L433</f>
        <v>0</v>
      </c>
      <c r="L423" s="281">
        <f>'3. GRI Pricing'!P433</f>
        <v>0</v>
      </c>
      <c r="M423" s="281">
        <f>'3. GRI Pricing'!R433</f>
        <v>0</v>
      </c>
      <c r="N423" s="281">
        <f>'3. GRI Pricing'!S433</f>
        <v>0</v>
      </c>
      <c r="O423" s="281">
        <f>'3. GRI Pricing'!Q433</f>
        <v>0</v>
      </c>
      <c r="P423" s="281">
        <f>'3. GRI Pricing'!T433</f>
        <v>0</v>
      </c>
      <c r="Q423" s="281">
        <f>'3. GRI Pricing'!U433</f>
        <v>0</v>
      </c>
      <c r="R423" s="281">
        <f>'3. GRI Pricing'!V433</f>
        <v>0</v>
      </c>
      <c r="S423" s="281">
        <f>'3. GRI Pricing'!W433</f>
        <v>0</v>
      </c>
      <c r="T423" s="281">
        <f>'3. GRI Pricing'!X433</f>
        <v>0</v>
      </c>
      <c r="U423" s="282">
        <f>'3. GRI Pricing'!Y433</f>
        <v>0</v>
      </c>
    </row>
    <row r="424" spans="3:21" x14ac:dyDescent="0.2">
      <c r="C424" s="23">
        <f>'3. GRI Pricing'!C434</f>
        <v>0</v>
      </c>
      <c r="D424" s="16">
        <f>'3. GRI Pricing'!D434</f>
        <v>0</v>
      </c>
      <c r="E424" s="16">
        <f>'3. GRI Pricing'!E434</f>
        <v>0</v>
      </c>
      <c r="F424" s="16">
        <f>'3. GRI Pricing'!F434</f>
        <v>0</v>
      </c>
      <c r="G424" s="16">
        <f>'3. GRI Pricing'!G434</f>
        <v>0</v>
      </c>
      <c r="H424" s="16">
        <f>'3. GRI Pricing'!H434</f>
        <v>0</v>
      </c>
      <c r="I424" s="280">
        <f>'3. GRI Pricing'!K434</f>
        <v>0</v>
      </c>
      <c r="J424" s="281">
        <f>'3. GRI Pricing'!O434</f>
        <v>0</v>
      </c>
      <c r="K424" s="281">
        <f>'3. GRI Pricing'!L434</f>
        <v>0</v>
      </c>
      <c r="L424" s="281">
        <f>'3. GRI Pricing'!P434</f>
        <v>0</v>
      </c>
      <c r="M424" s="281">
        <f>'3. GRI Pricing'!R434</f>
        <v>0</v>
      </c>
      <c r="N424" s="281">
        <f>'3. GRI Pricing'!S434</f>
        <v>0</v>
      </c>
      <c r="O424" s="281">
        <f>'3. GRI Pricing'!Q434</f>
        <v>0</v>
      </c>
      <c r="P424" s="281">
        <f>'3. GRI Pricing'!T434</f>
        <v>0</v>
      </c>
      <c r="Q424" s="281">
        <f>'3. GRI Pricing'!U434</f>
        <v>0</v>
      </c>
      <c r="R424" s="281">
        <f>'3. GRI Pricing'!V434</f>
        <v>0</v>
      </c>
      <c r="S424" s="281">
        <f>'3. GRI Pricing'!W434</f>
        <v>0</v>
      </c>
      <c r="T424" s="281">
        <f>'3. GRI Pricing'!X434</f>
        <v>0</v>
      </c>
      <c r="U424" s="282">
        <f>'3. GRI Pricing'!Y434</f>
        <v>0</v>
      </c>
    </row>
    <row r="425" spans="3:21" x14ac:dyDescent="0.2">
      <c r="C425" s="23">
        <f>'3. GRI Pricing'!C435</f>
        <v>0</v>
      </c>
      <c r="D425" s="16">
        <f>'3. GRI Pricing'!D435</f>
        <v>0</v>
      </c>
      <c r="E425" s="16">
        <f>'3. GRI Pricing'!E435</f>
        <v>0</v>
      </c>
      <c r="F425" s="16">
        <f>'3. GRI Pricing'!F435</f>
        <v>0</v>
      </c>
      <c r="G425" s="16">
        <f>'3. GRI Pricing'!G435</f>
        <v>0</v>
      </c>
      <c r="H425" s="16">
        <f>'3. GRI Pricing'!H435</f>
        <v>0</v>
      </c>
      <c r="I425" s="280">
        <f>'3. GRI Pricing'!K435</f>
        <v>0</v>
      </c>
      <c r="J425" s="281">
        <f>'3. GRI Pricing'!O435</f>
        <v>0</v>
      </c>
      <c r="K425" s="281">
        <f>'3. GRI Pricing'!L435</f>
        <v>0</v>
      </c>
      <c r="L425" s="281">
        <f>'3. GRI Pricing'!P435</f>
        <v>0</v>
      </c>
      <c r="M425" s="281">
        <f>'3. GRI Pricing'!R435</f>
        <v>0</v>
      </c>
      <c r="N425" s="281">
        <f>'3. GRI Pricing'!S435</f>
        <v>0</v>
      </c>
      <c r="O425" s="281">
        <f>'3. GRI Pricing'!Q435</f>
        <v>0</v>
      </c>
      <c r="P425" s="281">
        <f>'3. GRI Pricing'!T435</f>
        <v>0</v>
      </c>
      <c r="Q425" s="281">
        <f>'3. GRI Pricing'!U435</f>
        <v>0</v>
      </c>
      <c r="R425" s="281">
        <f>'3. GRI Pricing'!V435</f>
        <v>0</v>
      </c>
      <c r="S425" s="281">
        <f>'3. GRI Pricing'!W435</f>
        <v>0</v>
      </c>
      <c r="T425" s="281">
        <f>'3. GRI Pricing'!X435</f>
        <v>0</v>
      </c>
      <c r="U425" s="282">
        <f>'3. GRI Pricing'!Y435</f>
        <v>0</v>
      </c>
    </row>
    <row r="426" spans="3:21" x14ac:dyDescent="0.2">
      <c r="C426" s="23">
        <f>'3. GRI Pricing'!C436</f>
        <v>0</v>
      </c>
      <c r="D426" s="16">
        <f>'3. GRI Pricing'!D436</f>
        <v>0</v>
      </c>
      <c r="E426" s="16">
        <f>'3. GRI Pricing'!E436</f>
        <v>0</v>
      </c>
      <c r="F426" s="16">
        <f>'3. GRI Pricing'!F436</f>
        <v>0</v>
      </c>
      <c r="G426" s="16">
        <f>'3. GRI Pricing'!G436</f>
        <v>0</v>
      </c>
      <c r="H426" s="16">
        <f>'3. GRI Pricing'!H436</f>
        <v>0</v>
      </c>
      <c r="I426" s="280">
        <f>'3. GRI Pricing'!K436</f>
        <v>0</v>
      </c>
      <c r="J426" s="281">
        <f>'3. GRI Pricing'!O436</f>
        <v>0</v>
      </c>
      <c r="K426" s="281">
        <f>'3. GRI Pricing'!L436</f>
        <v>0</v>
      </c>
      <c r="L426" s="281">
        <f>'3. GRI Pricing'!P436</f>
        <v>0</v>
      </c>
      <c r="M426" s="281">
        <f>'3. GRI Pricing'!R436</f>
        <v>0</v>
      </c>
      <c r="N426" s="281">
        <f>'3. GRI Pricing'!S436</f>
        <v>0</v>
      </c>
      <c r="O426" s="281">
        <f>'3. GRI Pricing'!Q436</f>
        <v>0</v>
      </c>
      <c r="P426" s="281">
        <f>'3. GRI Pricing'!T436</f>
        <v>0</v>
      </c>
      <c r="Q426" s="281">
        <f>'3. GRI Pricing'!U436</f>
        <v>0</v>
      </c>
      <c r="R426" s="281">
        <f>'3. GRI Pricing'!V436</f>
        <v>0</v>
      </c>
      <c r="S426" s="281">
        <f>'3. GRI Pricing'!W436</f>
        <v>0</v>
      </c>
      <c r="T426" s="281">
        <f>'3. GRI Pricing'!X436</f>
        <v>0</v>
      </c>
      <c r="U426" s="282">
        <f>'3. GRI Pricing'!Y436</f>
        <v>0</v>
      </c>
    </row>
    <row r="427" spans="3:21" x14ac:dyDescent="0.2">
      <c r="C427" s="23">
        <f>'3. GRI Pricing'!C437</f>
        <v>0</v>
      </c>
      <c r="D427" s="16">
        <f>'3. GRI Pricing'!D437</f>
        <v>0</v>
      </c>
      <c r="E427" s="16">
        <f>'3. GRI Pricing'!E437</f>
        <v>0</v>
      </c>
      <c r="F427" s="16">
        <f>'3. GRI Pricing'!F437</f>
        <v>0</v>
      </c>
      <c r="G427" s="16">
        <f>'3. GRI Pricing'!G437</f>
        <v>0</v>
      </c>
      <c r="H427" s="16">
        <f>'3. GRI Pricing'!H437</f>
        <v>0</v>
      </c>
      <c r="I427" s="280">
        <f>'3. GRI Pricing'!K437</f>
        <v>0</v>
      </c>
      <c r="J427" s="281">
        <f>'3. GRI Pricing'!O437</f>
        <v>0</v>
      </c>
      <c r="K427" s="281">
        <f>'3. GRI Pricing'!L437</f>
        <v>0</v>
      </c>
      <c r="L427" s="281">
        <f>'3. GRI Pricing'!P437</f>
        <v>0</v>
      </c>
      <c r="M427" s="281">
        <f>'3. GRI Pricing'!R437</f>
        <v>0</v>
      </c>
      <c r="N427" s="281">
        <f>'3. GRI Pricing'!S437</f>
        <v>0</v>
      </c>
      <c r="O427" s="281">
        <f>'3. GRI Pricing'!Q437</f>
        <v>0</v>
      </c>
      <c r="P427" s="281">
        <f>'3. GRI Pricing'!T437</f>
        <v>0</v>
      </c>
      <c r="Q427" s="281">
        <f>'3. GRI Pricing'!U437</f>
        <v>0</v>
      </c>
      <c r="R427" s="281">
        <f>'3. GRI Pricing'!V437</f>
        <v>0</v>
      </c>
      <c r="S427" s="281">
        <f>'3. GRI Pricing'!W437</f>
        <v>0</v>
      </c>
      <c r="T427" s="281">
        <f>'3. GRI Pricing'!X437</f>
        <v>0</v>
      </c>
      <c r="U427" s="282">
        <f>'3. GRI Pricing'!Y437</f>
        <v>0</v>
      </c>
    </row>
    <row r="428" spans="3:21" x14ac:dyDescent="0.2">
      <c r="C428" s="23">
        <f>'3. GRI Pricing'!C438</f>
        <v>0</v>
      </c>
      <c r="D428" s="16">
        <f>'3. GRI Pricing'!D438</f>
        <v>0</v>
      </c>
      <c r="E428" s="16">
        <f>'3. GRI Pricing'!E438</f>
        <v>0</v>
      </c>
      <c r="F428" s="16">
        <f>'3. GRI Pricing'!F438</f>
        <v>0</v>
      </c>
      <c r="G428" s="16">
        <f>'3. GRI Pricing'!G438</f>
        <v>0</v>
      </c>
      <c r="H428" s="16">
        <f>'3. GRI Pricing'!H438</f>
        <v>0</v>
      </c>
      <c r="I428" s="280">
        <f>'3. GRI Pricing'!K438</f>
        <v>0</v>
      </c>
      <c r="J428" s="281">
        <f>'3. GRI Pricing'!O438</f>
        <v>0</v>
      </c>
      <c r="K428" s="281">
        <f>'3. GRI Pricing'!L438</f>
        <v>0</v>
      </c>
      <c r="L428" s="281">
        <f>'3. GRI Pricing'!P438</f>
        <v>0</v>
      </c>
      <c r="M428" s="281">
        <f>'3. GRI Pricing'!R438</f>
        <v>0</v>
      </c>
      <c r="N428" s="281">
        <f>'3. GRI Pricing'!S438</f>
        <v>0</v>
      </c>
      <c r="O428" s="281">
        <f>'3. GRI Pricing'!Q438</f>
        <v>0</v>
      </c>
      <c r="P428" s="281">
        <f>'3. GRI Pricing'!T438</f>
        <v>0</v>
      </c>
      <c r="Q428" s="281">
        <f>'3. GRI Pricing'!U438</f>
        <v>0</v>
      </c>
      <c r="R428" s="281">
        <f>'3. GRI Pricing'!V438</f>
        <v>0</v>
      </c>
      <c r="S428" s="281">
        <f>'3. GRI Pricing'!W438</f>
        <v>0</v>
      </c>
      <c r="T428" s="281">
        <f>'3. GRI Pricing'!X438</f>
        <v>0</v>
      </c>
      <c r="U428" s="282">
        <f>'3. GRI Pricing'!Y438</f>
        <v>0</v>
      </c>
    </row>
    <row r="429" spans="3:21" x14ac:dyDescent="0.2">
      <c r="C429" s="23">
        <f>'3. GRI Pricing'!C439</f>
        <v>0</v>
      </c>
      <c r="D429" s="16">
        <f>'3. GRI Pricing'!D439</f>
        <v>0</v>
      </c>
      <c r="E429" s="16">
        <f>'3. GRI Pricing'!E439</f>
        <v>0</v>
      </c>
      <c r="F429" s="16">
        <f>'3. GRI Pricing'!F439</f>
        <v>0</v>
      </c>
      <c r="G429" s="16">
        <f>'3. GRI Pricing'!G439</f>
        <v>0</v>
      </c>
      <c r="H429" s="16">
        <f>'3. GRI Pricing'!H439</f>
        <v>0</v>
      </c>
      <c r="I429" s="280">
        <f>'3. GRI Pricing'!K439</f>
        <v>0</v>
      </c>
      <c r="J429" s="281">
        <f>'3. GRI Pricing'!O439</f>
        <v>0</v>
      </c>
      <c r="K429" s="281">
        <f>'3. GRI Pricing'!L439</f>
        <v>0</v>
      </c>
      <c r="L429" s="281">
        <f>'3. GRI Pricing'!P439</f>
        <v>0</v>
      </c>
      <c r="M429" s="281">
        <f>'3. GRI Pricing'!R439</f>
        <v>0</v>
      </c>
      <c r="N429" s="281">
        <f>'3. GRI Pricing'!S439</f>
        <v>0</v>
      </c>
      <c r="O429" s="281">
        <f>'3. GRI Pricing'!Q439</f>
        <v>0</v>
      </c>
      <c r="P429" s="281">
        <f>'3. GRI Pricing'!T439</f>
        <v>0</v>
      </c>
      <c r="Q429" s="281">
        <f>'3. GRI Pricing'!U439</f>
        <v>0</v>
      </c>
      <c r="R429" s="281">
        <f>'3. GRI Pricing'!V439</f>
        <v>0</v>
      </c>
      <c r="S429" s="281">
        <f>'3. GRI Pricing'!W439</f>
        <v>0</v>
      </c>
      <c r="T429" s="281">
        <f>'3. GRI Pricing'!X439</f>
        <v>0</v>
      </c>
      <c r="U429" s="282">
        <f>'3. GRI Pricing'!Y439</f>
        <v>0</v>
      </c>
    </row>
    <row r="430" spans="3:21" x14ac:dyDescent="0.2">
      <c r="C430" s="23">
        <f>'3. GRI Pricing'!C440</f>
        <v>0</v>
      </c>
      <c r="D430" s="16">
        <f>'3. GRI Pricing'!D440</f>
        <v>0</v>
      </c>
      <c r="E430" s="16">
        <f>'3. GRI Pricing'!E440</f>
        <v>0</v>
      </c>
      <c r="F430" s="16">
        <f>'3. GRI Pricing'!F440</f>
        <v>0</v>
      </c>
      <c r="G430" s="16">
        <f>'3. GRI Pricing'!G440</f>
        <v>0</v>
      </c>
      <c r="H430" s="16">
        <f>'3. GRI Pricing'!H440</f>
        <v>0</v>
      </c>
      <c r="I430" s="280">
        <f>'3. GRI Pricing'!K440</f>
        <v>0</v>
      </c>
      <c r="J430" s="281">
        <f>'3. GRI Pricing'!O440</f>
        <v>0</v>
      </c>
      <c r="K430" s="281">
        <f>'3. GRI Pricing'!L440</f>
        <v>0</v>
      </c>
      <c r="L430" s="281">
        <f>'3. GRI Pricing'!P440</f>
        <v>0</v>
      </c>
      <c r="M430" s="281">
        <f>'3. GRI Pricing'!R440</f>
        <v>0</v>
      </c>
      <c r="N430" s="281">
        <f>'3. GRI Pricing'!S440</f>
        <v>0</v>
      </c>
      <c r="O430" s="281">
        <f>'3. GRI Pricing'!Q440</f>
        <v>0</v>
      </c>
      <c r="P430" s="281">
        <f>'3. GRI Pricing'!T440</f>
        <v>0</v>
      </c>
      <c r="Q430" s="281">
        <f>'3. GRI Pricing'!U440</f>
        <v>0</v>
      </c>
      <c r="R430" s="281">
        <f>'3. GRI Pricing'!V440</f>
        <v>0</v>
      </c>
      <c r="S430" s="281">
        <f>'3. GRI Pricing'!W440</f>
        <v>0</v>
      </c>
      <c r="T430" s="281">
        <f>'3. GRI Pricing'!X440</f>
        <v>0</v>
      </c>
      <c r="U430" s="282">
        <f>'3. GRI Pricing'!Y440</f>
        <v>0</v>
      </c>
    </row>
    <row r="431" spans="3:21" x14ac:dyDescent="0.2">
      <c r="C431" s="23">
        <f>'3. GRI Pricing'!C441</f>
        <v>0</v>
      </c>
      <c r="D431" s="16">
        <f>'3. GRI Pricing'!D441</f>
        <v>0</v>
      </c>
      <c r="E431" s="16">
        <f>'3. GRI Pricing'!E441</f>
        <v>0</v>
      </c>
      <c r="F431" s="16">
        <f>'3. GRI Pricing'!F441</f>
        <v>0</v>
      </c>
      <c r="G431" s="16">
        <f>'3. GRI Pricing'!G441</f>
        <v>0</v>
      </c>
      <c r="H431" s="16">
        <f>'3. GRI Pricing'!H441</f>
        <v>0</v>
      </c>
      <c r="I431" s="280">
        <f>'3. GRI Pricing'!K441</f>
        <v>0</v>
      </c>
      <c r="J431" s="281">
        <f>'3. GRI Pricing'!O441</f>
        <v>0</v>
      </c>
      <c r="K431" s="281">
        <f>'3. GRI Pricing'!L441</f>
        <v>0</v>
      </c>
      <c r="L431" s="281">
        <f>'3. GRI Pricing'!P441</f>
        <v>0</v>
      </c>
      <c r="M431" s="281">
        <f>'3. GRI Pricing'!R441</f>
        <v>0</v>
      </c>
      <c r="N431" s="281">
        <f>'3. GRI Pricing'!S441</f>
        <v>0</v>
      </c>
      <c r="O431" s="281">
        <f>'3. GRI Pricing'!Q441</f>
        <v>0</v>
      </c>
      <c r="P431" s="281">
        <f>'3. GRI Pricing'!T441</f>
        <v>0</v>
      </c>
      <c r="Q431" s="281">
        <f>'3. GRI Pricing'!U441</f>
        <v>0</v>
      </c>
      <c r="R431" s="281">
        <f>'3. GRI Pricing'!V441</f>
        <v>0</v>
      </c>
      <c r="S431" s="281">
        <f>'3. GRI Pricing'!W441</f>
        <v>0</v>
      </c>
      <c r="T431" s="281">
        <f>'3. GRI Pricing'!X441</f>
        <v>0</v>
      </c>
      <c r="U431" s="282">
        <f>'3. GRI Pricing'!Y441</f>
        <v>0</v>
      </c>
    </row>
    <row r="432" spans="3:21" x14ac:dyDescent="0.2">
      <c r="C432" s="23">
        <f>'3. GRI Pricing'!C442</f>
        <v>0</v>
      </c>
      <c r="D432" s="16">
        <f>'3. GRI Pricing'!D442</f>
        <v>0</v>
      </c>
      <c r="E432" s="16">
        <f>'3. GRI Pricing'!E442</f>
        <v>0</v>
      </c>
      <c r="F432" s="16">
        <f>'3. GRI Pricing'!F442</f>
        <v>0</v>
      </c>
      <c r="G432" s="16">
        <f>'3. GRI Pricing'!G442</f>
        <v>0</v>
      </c>
      <c r="H432" s="16">
        <f>'3. GRI Pricing'!H442</f>
        <v>0</v>
      </c>
      <c r="I432" s="280">
        <f>'3. GRI Pricing'!K442</f>
        <v>0</v>
      </c>
      <c r="J432" s="281">
        <f>'3. GRI Pricing'!O442</f>
        <v>0</v>
      </c>
      <c r="K432" s="281">
        <f>'3. GRI Pricing'!L442</f>
        <v>0</v>
      </c>
      <c r="L432" s="281">
        <f>'3. GRI Pricing'!P442</f>
        <v>0</v>
      </c>
      <c r="M432" s="281">
        <f>'3. GRI Pricing'!R442</f>
        <v>0</v>
      </c>
      <c r="N432" s="281">
        <f>'3. GRI Pricing'!S442</f>
        <v>0</v>
      </c>
      <c r="O432" s="281">
        <f>'3. GRI Pricing'!Q442</f>
        <v>0</v>
      </c>
      <c r="P432" s="281">
        <f>'3. GRI Pricing'!T442</f>
        <v>0</v>
      </c>
      <c r="Q432" s="281">
        <f>'3. GRI Pricing'!U442</f>
        <v>0</v>
      </c>
      <c r="R432" s="281">
        <f>'3. GRI Pricing'!V442</f>
        <v>0</v>
      </c>
      <c r="S432" s="281">
        <f>'3. GRI Pricing'!W442</f>
        <v>0</v>
      </c>
      <c r="T432" s="281">
        <f>'3. GRI Pricing'!X442</f>
        <v>0</v>
      </c>
      <c r="U432" s="282">
        <f>'3. GRI Pricing'!Y442</f>
        <v>0</v>
      </c>
    </row>
    <row r="433" spans="3:21" x14ac:dyDescent="0.2">
      <c r="C433" s="23">
        <f>'3. GRI Pricing'!C443</f>
        <v>0</v>
      </c>
      <c r="D433" s="16">
        <f>'3. GRI Pricing'!D443</f>
        <v>0</v>
      </c>
      <c r="E433" s="16">
        <f>'3. GRI Pricing'!E443</f>
        <v>0</v>
      </c>
      <c r="F433" s="16">
        <f>'3. GRI Pricing'!F443</f>
        <v>0</v>
      </c>
      <c r="G433" s="16">
        <f>'3. GRI Pricing'!G443</f>
        <v>0</v>
      </c>
      <c r="H433" s="16">
        <f>'3. GRI Pricing'!H443</f>
        <v>0</v>
      </c>
      <c r="I433" s="280">
        <f>'3. GRI Pricing'!K443</f>
        <v>0</v>
      </c>
      <c r="J433" s="281">
        <f>'3. GRI Pricing'!O443</f>
        <v>0</v>
      </c>
      <c r="K433" s="281">
        <f>'3. GRI Pricing'!L443</f>
        <v>0</v>
      </c>
      <c r="L433" s="281">
        <f>'3. GRI Pricing'!P443</f>
        <v>0</v>
      </c>
      <c r="M433" s="281">
        <f>'3. GRI Pricing'!R443</f>
        <v>0</v>
      </c>
      <c r="N433" s="281">
        <f>'3. GRI Pricing'!S443</f>
        <v>0</v>
      </c>
      <c r="O433" s="281">
        <f>'3. GRI Pricing'!Q443</f>
        <v>0</v>
      </c>
      <c r="P433" s="281">
        <f>'3. GRI Pricing'!T443</f>
        <v>0</v>
      </c>
      <c r="Q433" s="281">
        <f>'3. GRI Pricing'!U443</f>
        <v>0</v>
      </c>
      <c r="R433" s="281">
        <f>'3. GRI Pricing'!V443</f>
        <v>0</v>
      </c>
      <c r="S433" s="281">
        <f>'3. GRI Pricing'!W443</f>
        <v>0</v>
      </c>
      <c r="T433" s="281">
        <f>'3. GRI Pricing'!X443</f>
        <v>0</v>
      </c>
      <c r="U433" s="282">
        <f>'3. GRI Pricing'!Y443</f>
        <v>0</v>
      </c>
    </row>
    <row r="434" spans="3:21" x14ac:dyDescent="0.2">
      <c r="C434" s="23">
        <f>'3. GRI Pricing'!C444</f>
        <v>0</v>
      </c>
      <c r="D434" s="16">
        <f>'3. GRI Pricing'!D444</f>
        <v>0</v>
      </c>
      <c r="E434" s="16">
        <f>'3. GRI Pricing'!E444</f>
        <v>0</v>
      </c>
      <c r="F434" s="16">
        <f>'3. GRI Pricing'!F444</f>
        <v>0</v>
      </c>
      <c r="G434" s="16">
        <f>'3. GRI Pricing'!G444</f>
        <v>0</v>
      </c>
      <c r="H434" s="16">
        <f>'3. GRI Pricing'!H444</f>
        <v>0</v>
      </c>
      <c r="I434" s="280">
        <f>'3. GRI Pricing'!K444</f>
        <v>0</v>
      </c>
      <c r="J434" s="281">
        <f>'3. GRI Pricing'!O444</f>
        <v>0</v>
      </c>
      <c r="K434" s="281">
        <f>'3. GRI Pricing'!L444</f>
        <v>0</v>
      </c>
      <c r="L434" s="281">
        <f>'3. GRI Pricing'!P444</f>
        <v>0</v>
      </c>
      <c r="M434" s="281">
        <f>'3. GRI Pricing'!R444</f>
        <v>0</v>
      </c>
      <c r="N434" s="281">
        <f>'3. GRI Pricing'!S444</f>
        <v>0</v>
      </c>
      <c r="O434" s="281">
        <f>'3. GRI Pricing'!Q444</f>
        <v>0</v>
      </c>
      <c r="P434" s="281">
        <f>'3. GRI Pricing'!T444</f>
        <v>0</v>
      </c>
      <c r="Q434" s="281">
        <f>'3. GRI Pricing'!U444</f>
        <v>0</v>
      </c>
      <c r="R434" s="281">
        <f>'3. GRI Pricing'!V444</f>
        <v>0</v>
      </c>
      <c r="S434" s="281">
        <f>'3. GRI Pricing'!W444</f>
        <v>0</v>
      </c>
      <c r="T434" s="281">
        <f>'3. GRI Pricing'!X444</f>
        <v>0</v>
      </c>
      <c r="U434" s="282">
        <f>'3. GRI Pricing'!Y444</f>
        <v>0</v>
      </c>
    </row>
    <row r="435" spans="3:21" x14ac:dyDescent="0.2">
      <c r="C435" s="23">
        <f>'3. GRI Pricing'!C445</f>
        <v>0</v>
      </c>
      <c r="D435" s="16">
        <f>'3. GRI Pricing'!D445</f>
        <v>0</v>
      </c>
      <c r="E435" s="16">
        <f>'3. GRI Pricing'!E445</f>
        <v>0</v>
      </c>
      <c r="F435" s="16">
        <f>'3. GRI Pricing'!F445</f>
        <v>0</v>
      </c>
      <c r="G435" s="16">
        <f>'3. GRI Pricing'!G445</f>
        <v>0</v>
      </c>
      <c r="H435" s="16">
        <f>'3. GRI Pricing'!H445</f>
        <v>0</v>
      </c>
      <c r="I435" s="280">
        <f>'3. GRI Pricing'!K445</f>
        <v>0</v>
      </c>
      <c r="J435" s="281">
        <f>'3. GRI Pricing'!O445</f>
        <v>0</v>
      </c>
      <c r="K435" s="281">
        <f>'3. GRI Pricing'!L445</f>
        <v>0</v>
      </c>
      <c r="L435" s="281">
        <f>'3. GRI Pricing'!P445</f>
        <v>0</v>
      </c>
      <c r="M435" s="281">
        <f>'3. GRI Pricing'!R445</f>
        <v>0</v>
      </c>
      <c r="N435" s="281">
        <f>'3. GRI Pricing'!S445</f>
        <v>0</v>
      </c>
      <c r="O435" s="281">
        <f>'3. GRI Pricing'!Q445</f>
        <v>0</v>
      </c>
      <c r="P435" s="281">
        <f>'3. GRI Pricing'!T445</f>
        <v>0</v>
      </c>
      <c r="Q435" s="281">
        <f>'3. GRI Pricing'!U445</f>
        <v>0</v>
      </c>
      <c r="R435" s="281">
        <f>'3. GRI Pricing'!V445</f>
        <v>0</v>
      </c>
      <c r="S435" s="281">
        <f>'3. GRI Pricing'!W445</f>
        <v>0</v>
      </c>
      <c r="T435" s="281">
        <f>'3. GRI Pricing'!X445</f>
        <v>0</v>
      </c>
      <c r="U435" s="282">
        <f>'3. GRI Pricing'!Y445</f>
        <v>0</v>
      </c>
    </row>
    <row r="436" spans="3:21" x14ac:dyDescent="0.2">
      <c r="C436" s="23">
        <f>'3. GRI Pricing'!C446</f>
        <v>0</v>
      </c>
      <c r="D436" s="16">
        <f>'3. GRI Pricing'!D446</f>
        <v>0</v>
      </c>
      <c r="E436" s="16">
        <f>'3. GRI Pricing'!E446</f>
        <v>0</v>
      </c>
      <c r="F436" s="16">
        <f>'3. GRI Pricing'!F446</f>
        <v>0</v>
      </c>
      <c r="G436" s="16">
        <f>'3. GRI Pricing'!G446</f>
        <v>0</v>
      </c>
      <c r="H436" s="16">
        <f>'3. GRI Pricing'!H446</f>
        <v>0</v>
      </c>
      <c r="I436" s="280">
        <f>'3. GRI Pricing'!K446</f>
        <v>0</v>
      </c>
      <c r="J436" s="281">
        <f>'3. GRI Pricing'!O446</f>
        <v>0</v>
      </c>
      <c r="K436" s="281">
        <f>'3. GRI Pricing'!L446</f>
        <v>0</v>
      </c>
      <c r="L436" s="281">
        <f>'3. GRI Pricing'!P446</f>
        <v>0</v>
      </c>
      <c r="M436" s="281">
        <f>'3. GRI Pricing'!R446</f>
        <v>0</v>
      </c>
      <c r="N436" s="281">
        <f>'3. GRI Pricing'!S446</f>
        <v>0</v>
      </c>
      <c r="O436" s="281">
        <f>'3. GRI Pricing'!Q446</f>
        <v>0</v>
      </c>
      <c r="P436" s="281">
        <f>'3. GRI Pricing'!T446</f>
        <v>0</v>
      </c>
      <c r="Q436" s="281">
        <f>'3. GRI Pricing'!U446</f>
        <v>0</v>
      </c>
      <c r="R436" s="281">
        <f>'3. GRI Pricing'!V446</f>
        <v>0</v>
      </c>
      <c r="S436" s="281">
        <f>'3. GRI Pricing'!W446</f>
        <v>0</v>
      </c>
      <c r="T436" s="281">
        <f>'3. GRI Pricing'!X446</f>
        <v>0</v>
      </c>
      <c r="U436" s="282">
        <f>'3. GRI Pricing'!Y446</f>
        <v>0</v>
      </c>
    </row>
    <row r="437" spans="3:21" x14ac:dyDescent="0.2">
      <c r="C437" s="23">
        <f>'3. GRI Pricing'!C447</f>
        <v>0</v>
      </c>
      <c r="D437" s="16">
        <f>'3. GRI Pricing'!D447</f>
        <v>0</v>
      </c>
      <c r="E437" s="16">
        <f>'3. GRI Pricing'!E447</f>
        <v>0</v>
      </c>
      <c r="F437" s="16">
        <f>'3. GRI Pricing'!F447</f>
        <v>0</v>
      </c>
      <c r="G437" s="16">
        <f>'3. GRI Pricing'!G447</f>
        <v>0</v>
      </c>
      <c r="H437" s="16">
        <f>'3. GRI Pricing'!H447</f>
        <v>0</v>
      </c>
      <c r="I437" s="280">
        <f>'3. GRI Pricing'!K447</f>
        <v>0</v>
      </c>
      <c r="J437" s="281">
        <f>'3. GRI Pricing'!O447</f>
        <v>0</v>
      </c>
      <c r="K437" s="281">
        <f>'3. GRI Pricing'!L447</f>
        <v>0</v>
      </c>
      <c r="L437" s="281">
        <f>'3. GRI Pricing'!P447</f>
        <v>0</v>
      </c>
      <c r="M437" s="281">
        <f>'3. GRI Pricing'!R447</f>
        <v>0</v>
      </c>
      <c r="N437" s="281">
        <f>'3. GRI Pricing'!S447</f>
        <v>0</v>
      </c>
      <c r="O437" s="281">
        <f>'3. GRI Pricing'!Q447</f>
        <v>0</v>
      </c>
      <c r="P437" s="281">
        <f>'3. GRI Pricing'!T447</f>
        <v>0</v>
      </c>
      <c r="Q437" s="281">
        <f>'3. GRI Pricing'!U447</f>
        <v>0</v>
      </c>
      <c r="R437" s="281">
        <f>'3. GRI Pricing'!V447</f>
        <v>0</v>
      </c>
      <c r="S437" s="281">
        <f>'3. GRI Pricing'!W447</f>
        <v>0</v>
      </c>
      <c r="T437" s="281">
        <f>'3. GRI Pricing'!X447</f>
        <v>0</v>
      </c>
      <c r="U437" s="282">
        <f>'3. GRI Pricing'!Y447</f>
        <v>0</v>
      </c>
    </row>
    <row r="438" spans="3:21" x14ac:dyDescent="0.2">
      <c r="C438" s="23">
        <f>'3. GRI Pricing'!C448</f>
        <v>0</v>
      </c>
      <c r="D438" s="16">
        <f>'3. GRI Pricing'!D448</f>
        <v>0</v>
      </c>
      <c r="E438" s="16">
        <f>'3. GRI Pricing'!E448</f>
        <v>0</v>
      </c>
      <c r="F438" s="16">
        <f>'3. GRI Pricing'!F448</f>
        <v>0</v>
      </c>
      <c r="G438" s="16">
        <f>'3. GRI Pricing'!G448</f>
        <v>0</v>
      </c>
      <c r="H438" s="16">
        <f>'3. GRI Pricing'!H448</f>
        <v>0</v>
      </c>
      <c r="I438" s="280">
        <f>'3. GRI Pricing'!K448</f>
        <v>0</v>
      </c>
      <c r="J438" s="281">
        <f>'3. GRI Pricing'!O448</f>
        <v>0</v>
      </c>
      <c r="K438" s="281">
        <f>'3. GRI Pricing'!L448</f>
        <v>0</v>
      </c>
      <c r="L438" s="281">
        <f>'3. GRI Pricing'!P448</f>
        <v>0</v>
      </c>
      <c r="M438" s="281">
        <f>'3. GRI Pricing'!R448</f>
        <v>0</v>
      </c>
      <c r="N438" s="281">
        <f>'3. GRI Pricing'!S448</f>
        <v>0</v>
      </c>
      <c r="O438" s="281">
        <f>'3. GRI Pricing'!Q448</f>
        <v>0</v>
      </c>
      <c r="P438" s="281">
        <f>'3. GRI Pricing'!T448</f>
        <v>0</v>
      </c>
      <c r="Q438" s="281">
        <f>'3. GRI Pricing'!U448</f>
        <v>0</v>
      </c>
      <c r="R438" s="281">
        <f>'3. GRI Pricing'!V448</f>
        <v>0</v>
      </c>
      <c r="S438" s="281">
        <f>'3. GRI Pricing'!W448</f>
        <v>0</v>
      </c>
      <c r="T438" s="281">
        <f>'3. GRI Pricing'!X448</f>
        <v>0</v>
      </c>
      <c r="U438" s="282">
        <f>'3. GRI Pricing'!Y448</f>
        <v>0</v>
      </c>
    </row>
    <row r="439" spans="3:21" x14ac:dyDescent="0.2">
      <c r="C439" s="23">
        <f>'3. GRI Pricing'!C449</f>
        <v>0</v>
      </c>
      <c r="D439" s="16">
        <f>'3. GRI Pricing'!D449</f>
        <v>0</v>
      </c>
      <c r="E439" s="16">
        <f>'3. GRI Pricing'!E449</f>
        <v>0</v>
      </c>
      <c r="F439" s="16">
        <f>'3. GRI Pricing'!F449</f>
        <v>0</v>
      </c>
      <c r="G439" s="16">
        <f>'3. GRI Pricing'!G449</f>
        <v>0</v>
      </c>
      <c r="H439" s="16">
        <f>'3. GRI Pricing'!H449</f>
        <v>0</v>
      </c>
      <c r="I439" s="280">
        <f>'3. GRI Pricing'!K449</f>
        <v>0</v>
      </c>
      <c r="J439" s="281">
        <f>'3. GRI Pricing'!O449</f>
        <v>0</v>
      </c>
      <c r="K439" s="281">
        <f>'3. GRI Pricing'!L449</f>
        <v>0</v>
      </c>
      <c r="L439" s="281">
        <f>'3. GRI Pricing'!P449</f>
        <v>0</v>
      </c>
      <c r="M439" s="281">
        <f>'3. GRI Pricing'!R449</f>
        <v>0</v>
      </c>
      <c r="N439" s="281">
        <f>'3. GRI Pricing'!S449</f>
        <v>0</v>
      </c>
      <c r="O439" s="281">
        <f>'3. GRI Pricing'!Q449</f>
        <v>0</v>
      </c>
      <c r="P439" s="281">
        <f>'3. GRI Pricing'!T449</f>
        <v>0</v>
      </c>
      <c r="Q439" s="281">
        <f>'3. GRI Pricing'!U449</f>
        <v>0</v>
      </c>
      <c r="R439" s="281">
        <f>'3. GRI Pricing'!V449</f>
        <v>0</v>
      </c>
      <c r="S439" s="281">
        <f>'3. GRI Pricing'!W449</f>
        <v>0</v>
      </c>
      <c r="T439" s="281">
        <f>'3. GRI Pricing'!X449</f>
        <v>0</v>
      </c>
      <c r="U439" s="282">
        <f>'3. GRI Pricing'!Y449</f>
        <v>0</v>
      </c>
    </row>
    <row r="440" spans="3:21" x14ac:dyDescent="0.2">
      <c r="C440" s="23">
        <f>'3. GRI Pricing'!C450</f>
        <v>0</v>
      </c>
      <c r="D440" s="16">
        <f>'3. GRI Pricing'!D450</f>
        <v>0</v>
      </c>
      <c r="E440" s="16">
        <f>'3. GRI Pricing'!E450</f>
        <v>0</v>
      </c>
      <c r="F440" s="16">
        <f>'3. GRI Pricing'!F450</f>
        <v>0</v>
      </c>
      <c r="G440" s="16">
        <f>'3. GRI Pricing'!G450</f>
        <v>0</v>
      </c>
      <c r="H440" s="16">
        <f>'3. GRI Pricing'!H450</f>
        <v>0</v>
      </c>
      <c r="I440" s="280">
        <f>'3. GRI Pricing'!K450</f>
        <v>0</v>
      </c>
      <c r="J440" s="281">
        <f>'3. GRI Pricing'!O450</f>
        <v>0</v>
      </c>
      <c r="K440" s="281">
        <f>'3. GRI Pricing'!L450</f>
        <v>0</v>
      </c>
      <c r="L440" s="281">
        <f>'3. GRI Pricing'!P450</f>
        <v>0</v>
      </c>
      <c r="M440" s="281">
        <f>'3. GRI Pricing'!R450</f>
        <v>0</v>
      </c>
      <c r="N440" s="281">
        <f>'3. GRI Pricing'!S450</f>
        <v>0</v>
      </c>
      <c r="O440" s="281">
        <f>'3. GRI Pricing'!Q450</f>
        <v>0</v>
      </c>
      <c r="P440" s="281">
        <f>'3. GRI Pricing'!T450</f>
        <v>0</v>
      </c>
      <c r="Q440" s="281">
        <f>'3. GRI Pricing'!U450</f>
        <v>0</v>
      </c>
      <c r="R440" s="281">
        <f>'3. GRI Pricing'!V450</f>
        <v>0</v>
      </c>
      <c r="S440" s="281">
        <f>'3. GRI Pricing'!W450</f>
        <v>0</v>
      </c>
      <c r="T440" s="281">
        <f>'3. GRI Pricing'!X450</f>
        <v>0</v>
      </c>
      <c r="U440" s="282">
        <f>'3. GRI Pricing'!Y450</f>
        <v>0</v>
      </c>
    </row>
    <row r="441" spans="3:21" x14ac:dyDescent="0.2">
      <c r="C441" s="23">
        <f>'3. GRI Pricing'!C451</f>
        <v>0</v>
      </c>
      <c r="D441" s="16">
        <f>'3. GRI Pricing'!D451</f>
        <v>0</v>
      </c>
      <c r="E441" s="16">
        <f>'3. GRI Pricing'!E451</f>
        <v>0</v>
      </c>
      <c r="F441" s="16">
        <f>'3. GRI Pricing'!F451</f>
        <v>0</v>
      </c>
      <c r="G441" s="16">
        <f>'3. GRI Pricing'!G451</f>
        <v>0</v>
      </c>
      <c r="H441" s="16">
        <f>'3. GRI Pricing'!H451</f>
        <v>0</v>
      </c>
      <c r="I441" s="280">
        <f>'3. GRI Pricing'!K451</f>
        <v>0</v>
      </c>
      <c r="J441" s="281">
        <f>'3. GRI Pricing'!O451</f>
        <v>0</v>
      </c>
      <c r="K441" s="281">
        <f>'3. GRI Pricing'!L451</f>
        <v>0</v>
      </c>
      <c r="L441" s="281">
        <f>'3. GRI Pricing'!P451</f>
        <v>0</v>
      </c>
      <c r="M441" s="281">
        <f>'3. GRI Pricing'!R451</f>
        <v>0</v>
      </c>
      <c r="N441" s="281">
        <f>'3. GRI Pricing'!S451</f>
        <v>0</v>
      </c>
      <c r="O441" s="281">
        <f>'3. GRI Pricing'!Q451</f>
        <v>0</v>
      </c>
      <c r="P441" s="281">
        <f>'3. GRI Pricing'!T451</f>
        <v>0</v>
      </c>
      <c r="Q441" s="281">
        <f>'3. GRI Pricing'!U451</f>
        <v>0</v>
      </c>
      <c r="R441" s="281">
        <f>'3. GRI Pricing'!V451</f>
        <v>0</v>
      </c>
      <c r="S441" s="281">
        <f>'3. GRI Pricing'!W451</f>
        <v>0</v>
      </c>
      <c r="T441" s="281">
        <f>'3. GRI Pricing'!X451</f>
        <v>0</v>
      </c>
      <c r="U441" s="282">
        <f>'3. GRI Pricing'!Y451</f>
        <v>0</v>
      </c>
    </row>
    <row r="442" spans="3:21" x14ac:dyDescent="0.2">
      <c r="C442" s="23">
        <f>'3. GRI Pricing'!C452</f>
        <v>0</v>
      </c>
      <c r="D442" s="16">
        <f>'3. GRI Pricing'!D452</f>
        <v>0</v>
      </c>
      <c r="E442" s="16">
        <f>'3. GRI Pricing'!E452</f>
        <v>0</v>
      </c>
      <c r="F442" s="16">
        <f>'3. GRI Pricing'!F452</f>
        <v>0</v>
      </c>
      <c r="G442" s="16">
        <f>'3. GRI Pricing'!G452</f>
        <v>0</v>
      </c>
      <c r="H442" s="16">
        <f>'3. GRI Pricing'!H452</f>
        <v>0</v>
      </c>
      <c r="I442" s="280">
        <f>'3. GRI Pricing'!K452</f>
        <v>0</v>
      </c>
      <c r="J442" s="281">
        <f>'3. GRI Pricing'!O452</f>
        <v>0</v>
      </c>
      <c r="K442" s="281">
        <f>'3. GRI Pricing'!L452</f>
        <v>0</v>
      </c>
      <c r="L442" s="281">
        <f>'3. GRI Pricing'!P452</f>
        <v>0</v>
      </c>
      <c r="M442" s="281">
        <f>'3. GRI Pricing'!R452</f>
        <v>0</v>
      </c>
      <c r="N442" s="281">
        <f>'3. GRI Pricing'!S452</f>
        <v>0</v>
      </c>
      <c r="O442" s="281">
        <f>'3. GRI Pricing'!Q452</f>
        <v>0</v>
      </c>
      <c r="P442" s="281">
        <f>'3. GRI Pricing'!T452</f>
        <v>0</v>
      </c>
      <c r="Q442" s="281">
        <f>'3. GRI Pricing'!U452</f>
        <v>0</v>
      </c>
      <c r="R442" s="281">
        <f>'3. GRI Pricing'!V452</f>
        <v>0</v>
      </c>
      <c r="S442" s="281">
        <f>'3. GRI Pricing'!W452</f>
        <v>0</v>
      </c>
      <c r="T442" s="281">
        <f>'3. GRI Pricing'!X452</f>
        <v>0</v>
      </c>
      <c r="U442" s="282">
        <f>'3. GRI Pricing'!Y452</f>
        <v>0</v>
      </c>
    </row>
    <row r="443" spans="3:21" x14ac:dyDescent="0.2">
      <c r="C443" s="23">
        <f>'3. GRI Pricing'!C453</f>
        <v>0</v>
      </c>
      <c r="D443" s="16">
        <f>'3. GRI Pricing'!D453</f>
        <v>0</v>
      </c>
      <c r="E443" s="16">
        <f>'3. GRI Pricing'!E453</f>
        <v>0</v>
      </c>
      <c r="F443" s="16">
        <f>'3. GRI Pricing'!F453</f>
        <v>0</v>
      </c>
      <c r="G443" s="16">
        <f>'3. GRI Pricing'!G453</f>
        <v>0</v>
      </c>
      <c r="H443" s="16">
        <f>'3. GRI Pricing'!H453</f>
        <v>0</v>
      </c>
      <c r="I443" s="280">
        <f>'3. GRI Pricing'!K453</f>
        <v>0</v>
      </c>
      <c r="J443" s="281">
        <f>'3. GRI Pricing'!O453</f>
        <v>0</v>
      </c>
      <c r="K443" s="281">
        <f>'3. GRI Pricing'!L453</f>
        <v>0</v>
      </c>
      <c r="L443" s="281">
        <f>'3. GRI Pricing'!P453</f>
        <v>0</v>
      </c>
      <c r="M443" s="281">
        <f>'3. GRI Pricing'!R453</f>
        <v>0</v>
      </c>
      <c r="N443" s="281">
        <f>'3. GRI Pricing'!S453</f>
        <v>0</v>
      </c>
      <c r="O443" s="281">
        <f>'3. GRI Pricing'!Q453</f>
        <v>0</v>
      </c>
      <c r="P443" s="281">
        <f>'3. GRI Pricing'!T453</f>
        <v>0</v>
      </c>
      <c r="Q443" s="281">
        <f>'3. GRI Pricing'!U453</f>
        <v>0</v>
      </c>
      <c r="R443" s="281">
        <f>'3. GRI Pricing'!V453</f>
        <v>0</v>
      </c>
      <c r="S443" s="281">
        <f>'3. GRI Pricing'!W453</f>
        <v>0</v>
      </c>
      <c r="T443" s="281">
        <f>'3. GRI Pricing'!X453</f>
        <v>0</v>
      </c>
      <c r="U443" s="282">
        <f>'3. GRI Pricing'!Y453</f>
        <v>0</v>
      </c>
    </row>
    <row r="444" spans="3:21" x14ac:dyDescent="0.2">
      <c r="C444" s="23">
        <f>'3. GRI Pricing'!C454</f>
        <v>0</v>
      </c>
      <c r="D444" s="16">
        <f>'3. GRI Pricing'!D454</f>
        <v>0</v>
      </c>
      <c r="E444" s="16">
        <f>'3. GRI Pricing'!E454</f>
        <v>0</v>
      </c>
      <c r="F444" s="16">
        <f>'3. GRI Pricing'!F454</f>
        <v>0</v>
      </c>
      <c r="G444" s="16">
        <f>'3. GRI Pricing'!G454</f>
        <v>0</v>
      </c>
      <c r="H444" s="16">
        <f>'3. GRI Pricing'!H454</f>
        <v>0</v>
      </c>
      <c r="I444" s="280">
        <f>'3. GRI Pricing'!K454</f>
        <v>0</v>
      </c>
      <c r="J444" s="281">
        <f>'3. GRI Pricing'!O454</f>
        <v>0</v>
      </c>
      <c r="K444" s="281">
        <f>'3. GRI Pricing'!L454</f>
        <v>0</v>
      </c>
      <c r="L444" s="281">
        <f>'3. GRI Pricing'!P454</f>
        <v>0</v>
      </c>
      <c r="M444" s="281">
        <f>'3. GRI Pricing'!R454</f>
        <v>0</v>
      </c>
      <c r="N444" s="281">
        <f>'3. GRI Pricing'!S454</f>
        <v>0</v>
      </c>
      <c r="O444" s="281">
        <f>'3. GRI Pricing'!Q454</f>
        <v>0</v>
      </c>
      <c r="P444" s="281">
        <f>'3. GRI Pricing'!T454</f>
        <v>0</v>
      </c>
      <c r="Q444" s="281">
        <f>'3. GRI Pricing'!U454</f>
        <v>0</v>
      </c>
      <c r="R444" s="281">
        <f>'3. GRI Pricing'!V454</f>
        <v>0</v>
      </c>
      <c r="S444" s="281">
        <f>'3. GRI Pricing'!W454</f>
        <v>0</v>
      </c>
      <c r="T444" s="281">
        <f>'3. GRI Pricing'!X454</f>
        <v>0</v>
      </c>
      <c r="U444" s="282">
        <f>'3. GRI Pricing'!Y454</f>
        <v>0</v>
      </c>
    </row>
    <row r="445" spans="3:21" x14ac:dyDescent="0.2">
      <c r="C445" s="23">
        <f>'3. GRI Pricing'!C455</f>
        <v>0</v>
      </c>
      <c r="D445" s="16">
        <f>'3. GRI Pricing'!D455</f>
        <v>0</v>
      </c>
      <c r="E445" s="16">
        <f>'3. GRI Pricing'!E455</f>
        <v>0</v>
      </c>
      <c r="F445" s="16">
        <f>'3. GRI Pricing'!F455</f>
        <v>0</v>
      </c>
      <c r="G445" s="16">
        <f>'3. GRI Pricing'!G455</f>
        <v>0</v>
      </c>
      <c r="H445" s="16">
        <f>'3. GRI Pricing'!H455</f>
        <v>0</v>
      </c>
      <c r="I445" s="280">
        <f>'3. GRI Pricing'!K455</f>
        <v>0</v>
      </c>
      <c r="J445" s="281">
        <f>'3. GRI Pricing'!O455</f>
        <v>0</v>
      </c>
      <c r="K445" s="281">
        <f>'3. GRI Pricing'!L455</f>
        <v>0</v>
      </c>
      <c r="L445" s="281">
        <f>'3. GRI Pricing'!P455</f>
        <v>0</v>
      </c>
      <c r="M445" s="281">
        <f>'3. GRI Pricing'!R455</f>
        <v>0</v>
      </c>
      <c r="N445" s="281">
        <f>'3. GRI Pricing'!S455</f>
        <v>0</v>
      </c>
      <c r="O445" s="281">
        <f>'3. GRI Pricing'!Q455</f>
        <v>0</v>
      </c>
      <c r="P445" s="281">
        <f>'3. GRI Pricing'!T455</f>
        <v>0</v>
      </c>
      <c r="Q445" s="281">
        <f>'3. GRI Pricing'!U455</f>
        <v>0</v>
      </c>
      <c r="R445" s="281">
        <f>'3. GRI Pricing'!V455</f>
        <v>0</v>
      </c>
      <c r="S445" s="281">
        <f>'3. GRI Pricing'!W455</f>
        <v>0</v>
      </c>
      <c r="T445" s="281">
        <f>'3. GRI Pricing'!X455</f>
        <v>0</v>
      </c>
      <c r="U445" s="282">
        <f>'3. GRI Pricing'!Y455</f>
        <v>0</v>
      </c>
    </row>
    <row r="446" spans="3:21" x14ac:dyDescent="0.2">
      <c r="C446" s="23">
        <f>'3. GRI Pricing'!C456</f>
        <v>0</v>
      </c>
      <c r="D446" s="16">
        <f>'3. GRI Pricing'!D456</f>
        <v>0</v>
      </c>
      <c r="E446" s="16">
        <f>'3. GRI Pricing'!E456</f>
        <v>0</v>
      </c>
      <c r="F446" s="16">
        <f>'3. GRI Pricing'!F456</f>
        <v>0</v>
      </c>
      <c r="G446" s="16">
        <f>'3. GRI Pricing'!G456</f>
        <v>0</v>
      </c>
      <c r="H446" s="16">
        <f>'3. GRI Pricing'!H456</f>
        <v>0</v>
      </c>
      <c r="I446" s="280">
        <f>'3. GRI Pricing'!K456</f>
        <v>0</v>
      </c>
      <c r="J446" s="281">
        <f>'3. GRI Pricing'!O456</f>
        <v>0</v>
      </c>
      <c r="K446" s="281">
        <f>'3. GRI Pricing'!L456</f>
        <v>0</v>
      </c>
      <c r="L446" s="281">
        <f>'3. GRI Pricing'!P456</f>
        <v>0</v>
      </c>
      <c r="M446" s="281">
        <f>'3. GRI Pricing'!R456</f>
        <v>0</v>
      </c>
      <c r="N446" s="281">
        <f>'3. GRI Pricing'!S456</f>
        <v>0</v>
      </c>
      <c r="O446" s="281">
        <f>'3. GRI Pricing'!Q456</f>
        <v>0</v>
      </c>
      <c r="P446" s="281">
        <f>'3. GRI Pricing'!T456</f>
        <v>0</v>
      </c>
      <c r="Q446" s="281">
        <f>'3. GRI Pricing'!U456</f>
        <v>0</v>
      </c>
      <c r="R446" s="281">
        <f>'3. GRI Pricing'!V456</f>
        <v>0</v>
      </c>
      <c r="S446" s="281">
        <f>'3. GRI Pricing'!W456</f>
        <v>0</v>
      </c>
      <c r="T446" s="281">
        <f>'3. GRI Pricing'!X456</f>
        <v>0</v>
      </c>
      <c r="U446" s="282">
        <f>'3. GRI Pricing'!Y456</f>
        <v>0</v>
      </c>
    </row>
    <row r="447" spans="3:21" x14ac:dyDescent="0.2">
      <c r="C447" s="23">
        <f>'3. GRI Pricing'!C457</f>
        <v>0</v>
      </c>
      <c r="D447" s="16">
        <f>'3. GRI Pricing'!D457</f>
        <v>0</v>
      </c>
      <c r="E447" s="16">
        <f>'3. GRI Pricing'!E457</f>
        <v>0</v>
      </c>
      <c r="F447" s="16">
        <f>'3. GRI Pricing'!F457</f>
        <v>0</v>
      </c>
      <c r="G447" s="16">
        <f>'3. GRI Pricing'!G457</f>
        <v>0</v>
      </c>
      <c r="H447" s="16">
        <f>'3. GRI Pricing'!H457</f>
        <v>0</v>
      </c>
      <c r="I447" s="280">
        <f>'3. GRI Pricing'!K457</f>
        <v>0</v>
      </c>
      <c r="J447" s="281">
        <f>'3. GRI Pricing'!O457</f>
        <v>0</v>
      </c>
      <c r="K447" s="281">
        <f>'3. GRI Pricing'!L457</f>
        <v>0</v>
      </c>
      <c r="L447" s="281">
        <f>'3. GRI Pricing'!P457</f>
        <v>0</v>
      </c>
      <c r="M447" s="281">
        <f>'3. GRI Pricing'!R457</f>
        <v>0</v>
      </c>
      <c r="N447" s="281">
        <f>'3. GRI Pricing'!S457</f>
        <v>0</v>
      </c>
      <c r="O447" s="281">
        <f>'3. GRI Pricing'!Q457</f>
        <v>0</v>
      </c>
      <c r="P447" s="281">
        <f>'3. GRI Pricing'!T457</f>
        <v>0</v>
      </c>
      <c r="Q447" s="281">
        <f>'3. GRI Pricing'!U457</f>
        <v>0</v>
      </c>
      <c r="R447" s="281">
        <f>'3. GRI Pricing'!V457</f>
        <v>0</v>
      </c>
      <c r="S447" s="281">
        <f>'3. GRI Pricing'!W457</f>
        <v>0</v>
      </c>
      <c r="T447" s="281">
        <f>'3. GRI Pricing'!X457</f>
        <v>0</v>
      </c>
      <c r="U447" s="282">
        <f>'3. GRI Pricing'!Y457</f>
        <v>0</v>
      </c>
    </row>
    <row r="448" spans="3:21" x14ac:dyDescent="0.2">
      <c r="C448" s="23">
        <f>'3. GRI Pricing'!C458</f>
        <v>0</v>
      </c>
      <c r="D448" s="16">
        <f>'3. GRI Pricing'!D458</f>
        <v>0</v>
      </c>
      <c r="E448" s="16">
        <f>'3. GRI Pricing'!E458</f>
        <v>0</v>
      </c>
      <c r="F448" s="16">
        <f>'3. GRI Pricing'!F458</f>
        <v>0</v>
      </c>
      <c r="G448" s="16">
        <f>'3. GRI Pricing'!G458</f>
        <v>0</v>
      </c>
      <c r="H448" s="16">
        <f>'3. GRI Pricing'!H458</f>
        <v>0</v>
      </c>
      <c r="I448" s="280">
        <f>'3. GRI Pricing'!K458</f>
        <v>0</v>
      </c>
      <c r="J448" s="281">
        <f>'3. GRI Pricing'!O458</f>
        <v>0</v>
      </c>
      <c r="K448" s="281">
        <f>'3. GRI Pricing'!L458</f>
        <v>0</v>
      </c>
      <c r="L448" s="281">
        <f>'3. GRI Pricing'!P458</f>
        <v>0</v>
      </c>
      <c r="M448" s="281">
        <f>'3. GRI Pricing'!R458</f>
        <v>0</v>
      </c>
      <c r="N448" s="281">
        <f>'3. GRI Pricing'!S458</f>
        <v>0</v>
      </c>
      <c r="O448" s="281">
        <f>'3. GRI Pricing'!Q458</f>
        <v>0</v>
      </c>
      <c r="P448" s="281">
        <f>'3. GRI Pricing'!T458</f>
        <v>0</v>
      </c>
      <c r="Q448" s="281">
        <f>'3. GRI Pricing'!U458</f>
        <v>0</v>
      </c>
      <c r="R448" s="281">
        <f>'3. GRI Pricing'!V458</f>
        <v>0</v>
      </c>
      <c r="S448" s="281">
        <f>'3. GRI Pricing'!W458</f>
        <v>0</v>
      </c>
      <c r="T448" s="281">
        <f>'3. GRI Pricing'!X458</f>
        <v>0</v>
      </c>
      <c r="U448" s="282">
        <f>'3. GRI Pricing'!Y458</f>
        <v>0</v>
      </c>
    </row>
    <row r="449" spans="3:21" x14ac:dyDescent="0.2">
      <c r="C449" s="23">
        <f>'3. GRI Pricing'!C459</f>
        <v>0</v>
      </c>
      <c r="D449" s="16">
        <f>'3. GRI Pricing'!D459</f>
        <v>0</v>
      </c>
      <c r="E449" s="16">
        <f>'3. GRI Pricing'!E459</f>
        <v>0</v>
      </c>
      <c r="F449" s="16">
        <f>'3. GRI Pricing'!F459</f>
        <v>0</v>
      </c>
      <c r="G449" s="16">
        <f>'3. GRI Pricing'!G459</f>
        <v>0</v>
      </c>
      <c r="H449" s="16">
        <f>'3. GRI Pricing'!H459</f>
        <v>0</v>
      </c>
      <c r="I449" s="280">
        <f>'3. GRI Pricing'!K459</f>
        <v>0</v>
      </c>
      <c r="J449" s="281">
        <f>'3. GRI Pricing'!O459</f>
        <v>0</v>
      </c>
      <c r="K449" s="281">
        <f>'3. GRI Pricing'!L459</f>
        <v>0</v>
      </c>
      <c r="L449" s="281">
        <f>'3. GRI Pricing'!P459</f>
        <v>0</v>
      </c>
      <c r="M449" s="281">
        <f>'3. GRI Pricing'!R459</f>
        <v>0</v>
      </c>
      <c r="N449" s="281">
        <f>'3. GRI Pricing'!S459</f>
        <v>0</v>
      </c>
      <c r="O449" s="281">
        <f>'3. GRI Pricing'!Q459</f>
        <v>0</v>
      </c>
      <c r="P449" s="281">
        <f>'3. GRI Pricing'!T459</f>
        <v>0</v>
      </c>
      <c r="Q449" s="281">
        <f>'3. GRI Pricing'!U459</f>
        <v>0</v>
      </c>
      <c r="R449" s="281">
        <f>'3. GRI Pricing'!V459</f>
        <v>0</v>
      </c>
      <c r="S449" s="281">
        <f>'3. GRI Pricing'!W459</f>
        <v>0</v>
      </c>
      <c r="T449" s="281">
        <f>'3. GRI Pricing'!X459</f>
        <v>0</v>
      </c>
      <c r="U449" s="282">
        <f>'3. GRI Pricing'!Y459</f>
        <v>0</v>
      </c>
    </row>
    <row r="450" spans="3:21" x14ac:dyDescent="0.2">
      <c r="C450" s="23">
        <f>'3. GRI Pricing'!C460</f>
        <v>0</v>
      </c>
      <c r="D450" s="16">
        <f>'3. GRI Pricing'!D460</f>
        <v>0</v>
      </c>
      <c r="E450" s="16">
        <f>'3. GRI Pricing'!E460</f>
        <v>0</v>
      </c>
      <c r="F450" s="16">
        <f>'3. GRI Pricing'!F460</f>
        <v>0</v>
      </c>
      <c r="G450" s="16">
        <f>'3. GRI Pricing'!G460</f>
        <v>0</v>
      </c>
      <c r="H450" s="16">
        <f>'3. GRI Pricing'!H460</f>
        <v>0</v>
      </c>
      <c r="I450" s="280">
        <f>'3. GRI Pricing'!K460</f>
        <v>0</v>
      </c>
      <c r="J450" s="281">
        <f>'3. GRI Pricing'!O460</f>
        <v>0</v>
      </c>
      <c r="K450" s="281">
        <f>'3. GRI Pricing'!L460</f>
        <v>0</v>
      </c>
      <c r="L450" s="281">
        <f>'3. GRI Pricing'!P460</f>
        <v>0</v>
      </c>
      <c r="M450" s="281">
        <f>'3. GRI Pricing'!R460</f>
        <v>0</v>
      </c>
      <c r="N450" s="281">
        <f>'3. GRI Pricing'!S460</f>
        <v>0</v>
      </c>
      <c r="O450" s="281">
        <f>'3. GRI Pricing'!Q460</f>
        <v>0</v>
      </c>
      <c r="P450" s="281">
        <f>'3. GRI Pricing'!T460</f>
        <v>0</v>
      </c>
      <c r="Q450" s="281">
        <f>'3. GRI Pricing'!U460</f>
        <v>0</v>
      </c>
      <c r="R450" s="281">
        <f>'3. GRI Pricing'!V460</f>
        <v>0</v>
      </c>
      <c r="S450" s="281">
        <f>'3. GRI Pricing'!W460</f>
        <v>0</v>
      </c>
      <c r="T450" s="281">
        <f>'3. GRI Pricing'!X460</f>
        <v>0</v>
      </c>
      <c r="U450" s="282">
        <f>'3. GRI Pricing'!Y460</f>
        <v>0</v>
      </c>
    </row>
    <row r="451" spans="3:21" x14ac:dyDescent="0.2">
      <c r="C451" s="23">
        <f>'3. GRI Pricing'!C461</f>
        <v>0</v>
      </c>
      <c r="D451" s="16">
        <f>'3. GRI Pricing'!D461</f>
        <v>0</v>
      </c>
      <c r="E451" s="16">
        <f>'3. GRI Pricing'!E461</f>
        <v>0</v>
      </c>
      <c r="F451" s="16">
        <f>'3. GRI Pricing'!F461</f>
        <v>0</v>
      </c>
      <c r="G451" s="16">
        <f>'3. GRI Pricing'!G461</f>
        <v>0</v>
      </c>
      <c r="H451" s="16">
        <f>'3. GRI Pricing'!H461</f>
        <v>0</v>
      </c>
      <c r="I451" s="280">
        <f>'3. GRI Pricing'!K461</f>
        <v>0</v>
      </c>
      <c r="J451" s="281">
        <f>'3. GRI Pricing'!O461</f>
        <v>0</v>
      </c>
      <c r="K451" s="281">
        <f>'3. GRI Pricing'!L461</f>
        <v>0</v>
      </c>
      <c r="L451" s="281">
        <f>'3. GRI Pricing'!P461</f>
        <v>0</v>
      </c>
      <c r="M451" s="281">
        <f>'3. GRI Pricing'!R461</f>
        <v>0</v>
      </c>
      <c r="N451" s="281">
        <f>'3. GRI Pricing'!S461</f>
        <v>0</v>
      </c>
      <c r="O451" s="281">
        <f>'3. GRI Pricing'!Q461</f>
        <v>0</v>
      </c>
      <c r="P451" s="281">
        <f>'3. GRI Pricing'!T461</f>
        <v>0</v>
      </c>
      <c r="Q451" s="281">
        <f>'3. GRI Pricing'!U461</f>
        <v>0</v>
      </c>
      <c r="R451" s="281">
        <f>'3. GRI Pricing'!V461</f>
        <v>0</v>
      </c>
      <c r="S451" s="281">
        <f>'3. GRI Pricing'!W461</f>
        <v>0</v>
      </c>
      <c r="T451" s="281">
        <f>'3. GRI Pricing'!X461</f>
        <v>0</v>
      </c>
      <c r="U451" s="282">
        <f>'3. GRI Pricing'!Y461</f>
        <v>0</v>
      </c>
    </row>
    <row r="452" spans="3:21" x14ac:dyDescent="0.2">
      <c r="C452" s="23">
        <f>'3. GRI Pricing'!C462</f>
        <v>0</v>
      </c>
      <c r="D452" s="16">
        <f>'3. GRI Pricing'!D462</f>
        <v>0</v>
      </c>
      <c r="E452" s="16">
        <f>'3. GRI Pricing'!E462</f>
        <v>0</v>
      </c>
      <c r="F452" s="16">
        <f>'3. GRI Pricing'!F462</f>
        <v>0</v>
      </c>
      <c r="G452" s="16">
        <f>'3. GRI Pricing'!G462</f>
        <v>0</v>
      </c>
      <c r="H452" s="16">
        <f>'3. GRI Pricing'!H462</f>
        <v>0</v>
      </c>
      <c r="I452" s="280">
        <f>'3. GRI Pricing'!K462</f>
        <v>0</v>
      </c>
      <c r="J452" s="281">
        <f>'3. GRI Pricing'!O462</f>
        <v>0</v>
      </c>
      <c r="K452" s="281">
        <f>'3. GRI Pricing'!L462</f>
        <v>0</v>
      </c>
      <c r="L452" s="281">
        <f>'3. GRI Pricing'!P462</f>
        <v>0</v>
      </c>
      <c r="M452" s="281">
        <f>'3. GRI Pricing'!R462</f>
        <v>0</v>
      </c>
      <c r="N452" s="281">
        <f>'3. GRI Pricing'!S462</f>
        <v>0</v>
      </c>
      <c r="O452" s="281">
        <f>'3. GRI Pricing'!Q462</f>
        <v>0</v>
      </c>
      <c r="P452" s="281">
        <f>'3. GRI Pricing'!T462</f>
        <v>0</v>
      </c>
      <c r="Q452" s="281">
        <f>'3. GRI Pricing'!U462</f>
        <v>0</v>
      </c>
      <c r="R452" s="281">
        <f>'3. GRI Pricing'!V462</f>
        <v>0</v>
      </c>
      <c r="S452" s="281">
        <f>'3. GRI Pricing'!W462</f>
        <v>0</v>
      </c>
      <c r="T452" s="281">
        <f>'3. GRI Pricing'!X462</f>
        <v>0</v>
      </c>
      <c r="U452" s="282">
        <f>'3. GRI Pricing'!Y462</f>
        <v>0</v>
      </c>
    </row>
    <row r="453" spans="3:21" x14ac:dyDescent="0.2">
      <c r="C453" s="23">
        <f>'3. GRI Pricing'!C463</f>
        <v>0</v>
      </c>
      <c r="D453" s="16">
        <f>'3. GRI Pricing'!D463</f>
        <v>0</v>
      </c>
      <c r="E453" s="16">
        <f>'3. GRI Pricing'!E463</f>
        <v>0</v>
      </c>
      <c r="F453" s="16">
        <f>'3. GRI Pricing'!F463</f>
        <v>0</v>
      </c>
      <c r="G453" s="16">
        <f>'3. GRI Pricing'!G463</f>
        <v>0</v>
      </c>
      <c r="H453" s="16">
        <f>'3. GRI Pricing'!H463</f>
        <v>0</v>
      </c>
      <c r="I453" s="280">
        <f>'3. GRI Pricing'!K463</f>
        <v>0</v>
      </c>
      <c r="J453" s="281">
        <f>'3. GRI Pricing'!O463</f>
        <v>0</v>
      </c>
      <c r="K453" s="281">
        <f>'3. GRI Pricing'!L463</f>
        <v>0</v>
      </c>
      <c r="L453" s="281">
        <f>'3. GRI Pricing'!P463</f>
        <v>0</v>
      </c>
      <c r="M453" s="281">
        <f>'3. GRI Pricing'!R463</f>
        <v>0</v>
      </c>
      <c r="N453" s="281">
        <f>'3. GRI Pricing'!S463</f>
        <v>0</v>
      </c>
      <c r="O453" s="281">
        <f>'3. GRI Pricing'!Q463</f>
        <v>0</v>
      </c>
      <c r="P453" s="281">
        <f>'3. GRI Pricing'!T463</f>
        <v>0</v>
      </c>
      <c r="Q453" s="281">
        <f>'3. GRI Pricing'!U463</f>
        <v>0</v>
      </c>
      <c r="R453" s="281">
        <f>'3. GRI Pricing'!V463</f>
        <v>0</v>
      </c>
      <c r="S453" s="281">
        <f>'3. GRI Pricing'!W463</f>
        <v>0</v>
      </c>
      <c r="T453" s="281">
        <f>'3. GRI Pricing'!X463</f>
        <v>0</v>
      </c>
      <c r="U453" s="282">
        <f>'3. GRI Pricing'!Y463</f>
        <v>0</v>
      </c>
    </row>
    <row r="454" spans="3:21" x14ac:dyDescent="0.2">
      <c r="C454" s="23">
        <f>'3. GRI Pricing'!C464</f>
        <v>0</v>
      </c>
      <c r="D454" s="16">
        <f>'3. GRI Pricing'!D464</f>
        <v>0</v>
      </c>
      <c r="E454" s="16">
        <f>'3. GRI Pricing'!E464</f>
        <v>0</v>
      </c>
      <c r="F454" s="16">
        <f>'3. GRI Pricing'!F464</f>
        <v>0</v>
      </c>
      <c r="G454" s="16">
        <f>'3. GRI Pricing'!G464</f>
        <v>0</v>
      </c>
      <c r="H454" s="16">
        <f>'3. GRI Pricing'!H464</f>
        <v>0</v>
      </c>
      <c r="I454" s="280">
        <f>'3. GRI Pricing'!K464</f>
        <v>0</v>
      </c>
      <c r="J454" s="281">
        <f>'3. GRI Pricing'!O464</f>
        <v>0</v>
      </c>
      <c r="K454" s="281">
        <f>'3. GRI Pricing'!L464</f>
        <v>0</v>
      </c>
      <c r="L454" s="281">
        <f>'3. GRI Pricing'!P464</f>
        <v>0</v>
      </c>
      <c r="M454" s="281">
        <f>'3. GRI Pricing'!R464</f>
        <v>0</v>
      </c>
      <c r="N454" s="281">
        <f>'3. GRI Pricing'!S464</f>
        <v>0</v>
      </c>
      <c r="O454" s="281">
        <f>'3. GRI Pricing'!Q464</f>
        <v>0</v>
      </c>
      <c r="P454" s="281">
        <f>'3. GRI Pricing'!T464</f>
        <v>0</v>
      </c>
      <c r="Q454" s="281">
        <f>'3. GRI Pricing'!U464</f>
        <v>0</v>
      </c>
      <c r="R454" s="281">
        <f>'3. GRI Pricing'!V464</f>
        <v>0</v>
      </c>
      <c r="S454" s="281">
        <f>'3. GRI Pricing'!W464</f>
        <v>0</v>
      </c>
      <c r="T454" s="281">
        <f>'3. GRI Pricing'!X464</f>
        <v>0</v>
      </c>
      <c r="U454" s="282">
        <f>'3. GRI Pricing'!Y464</f>
        <v>0</v>
      </c>
    </row>
    <row r="455" spans="3:21" x14ac:dyDescent="0.2">
      <c r="C455" s="23">
        <f>'3. GRI Pricing'!C465</f>
        <v>0</v>
      </c>
      <c r="D455" s="16">
        <f>'3. GRI Pricing'!D465</f>
        <v>0</v>
      </c>
      <c r="E455" s="16">
        <f>'3. GRI Pricing'!E465</f>
        <v>0</v>
      </c>
      <c r="F455" s="16">
        <f>'3. GRI Pricing'!F465</f>
        <v>0</v>
      </c>
      <c r="G455" s="16">
        <f>'3. GRI Pricing'!G465</f>
        <v>0</v>
      </c>
      <c r="H455" s="16">
        <f>'3. GRI Pricing'!H465</f>
        <v>0</v>
      </c>
      <c r="I455" s="280">
        <f>'3. GRI Pricing'!K465</f>
        <v>0</v>
      </c>
      <c r="J455" s="281">
        <f>'3. GRI Pricing'!O465</f>
        <v>0</v>
      </c>
      <c r="K455" s="281">
        <f>'3. GRI Pricing'!L465</f>
        <v>0</v>
      </c>
      <c r="L455" s="281">
        <f>'3. GRI Pricing'!P465</f>
        <v>0</v>
      </c>
      <c r="M455" s="281">
        <f>'3. GRI Pricing'!R465</f>
        <v>0</v>
      </c>
      <c r="N455" s="281">
        <f>'3. GRI Pricing'!S465</f>
        <v>0</v>
      </c>
      <c r="O455" s="281">
        <f>'3. GRI Pricing'!Q465</f>
        <v>0</v>
      </c>
      <c r="P455" s="281">
        <f>'3. GRI Pricing'!T465</f>
        <v>0</v>
      </c>
      <c r="Q455" s="281">
        <f>'3. GRI Pricing'!U465</f>
        <v>0</v>
      </c>
      <c r="R455" s="281">
        <f>'3. GRI Pricing'!V465</f>
        <v>0</v>
      </c>
      <c r="S455" s="281">
        <f>'3. GRI Pricing'!W465</f>
        <v>0</v>
      </c>
      <c r="T455" s="281">
        <f>'3. GRI Pricing'!X465</f>
        <v>0</v>
      </c>
      <c r="U455" s="282">
        <f>'3. GRI Pricing'!Y465</f>
        <v>0</v>
      </c>
    </row>
    <row r="456" spans="3:21" x14ac:dyDescent="0.2">
      <c r="C456" s="23">
        <f>'3. GRI Pricing'!C466</f>
        <v>0</v>
      </c>
      <c r="D456" s="16">
        <f>'3. GRI Pricing'!D466</f>
        <v>0</v>
      </c>
      <c r="E456" s="16">
        <f>'3. GRI Pricing'!E466</f>
        <v>0</v>
      </c>
      <c r="F456" s="16">
        <f>'3. GRI Pricing'!F466</f>
        <v>0</v>
      </c>
      <c r="G456" s="16">
        <f>'3. GRI Pricing'!G466</f>
        <v>0</v>
      </c>
      <c r="H456" s="16">
        <f>'3. GRI Pricing'!H466</f>
        <v>0</v>
      </c>
      <c r="I456" s="280">
        <f>'3. GRI Pricing'!K466</f>
        <v>0</v>
      </c>
      <c r="J456" s="281">
        <f>'3. GRI Pricing'!O466</f>
        <v>0</v>
      </c>
      <c r="K456" s="281">
        <f>'3. GRI Pricing'!L466</f>
        <v>0</v>
      </c>
      <c r="L456" s="281">
        <f>'3. GRI Pricing'!P466</f>
        <v>0</v>
      </c>
      <c r="M456" s="281">
        <f>'3. GRI Pricing'!R466</f>
        <v>0</v>
      </c>
      <c r="N456" s="281">
        <f>'3. GRI Pricing'!S466</f>
        <v>0</v>
      </c>
      <c r="O456" s="281">
        <f>'3. GRI Pricing'!Q466</f>
        <v>0</v>
      </c>
      <c r="P456" s="281">
        <f>'3. GRI Pricing'!T466</f>
        <v>0</v>
      </c>
      <c r="Q456" s="281">
        <f>'3. GRI Pricing'!U466</f>
        <v>0</v>
      </c>
      <c r="R456" s="281">
        <f>'3. GRI Pricing'!V466</f>
        <v>0</v>
      </c>
      <c r="S456" s="281">
        <f>'3. GRI Pricing'!W466</f>
        <v>0</v>
      </c>
      <c r="T456" s="281">
        <f>'3. GRI Pricing'!X466</f>
        <v>0</v>
      </c>
      <c r="U456" s="282">
        <f>'3. GRI Pricing'!Y466</f>
        <v>0</v>
      </c>
    </row>
    <row r="457" spans="3:21" x14ac:dyDescent="0.2">
      <c r="C457" s="23">
        <f>'3. GRI Pricing'!C467</f>
        <v>0</v>
      </c>
      <c r="D457" s="16">
        <f>'3. GRI Pricing'!D467</f>
        <v>0</v>
      </c>
      <c r="E457" s="16">
        <f>'3. GRI Pricing'!E467</f>
        <v>0</v>
      </c>
      <c r="F457" s="16">
        <f>'3. GRI Pricing'!F467</f>
        <v>0</v>
      </c>
      <c r="G457" s="16">
        <f>'3. GRI Pricing'!G467</f>
        <v>0</v>
      </c>
      <c r="H457" s="16">
        <f>'3. GRI Pricing'!H467</f>
        <v>0</v>
      </c>
      <c r="I457" s="280">
        <f>'3. GRI Pricing'!K467</f>
        <v>0</v>
      </c>
      <c r="J457" s="281">
        <f>'3. GRI Pricing'!O467</f>
        <v>0</v>
      </c>
      <c r="K457" s="281">
        <f>'3. GRI Pricing'!L467</f>
        <v>0</v>
      </c>
      <c r="L457" s="281">
        <f>'3. GRI Pricing'!P467</f>
        <v>0</v>
      </c>
      <c r="M457" s="281">
        <f>'3. GRI Pricing'!R467</f>
        <v>0</v>
      </c>
      <c r="N457" s="281">
        <f>'3. GRI Pricing'!S467</f>
        <v>0</v>
      </c>
      <c r="O457" s="281">
        <f>'3. GRI Pricing'!Q467</f>
        <v>0</v>
      </c>
      <c r="P457" s="281">
        <f>'3. GRI Pricing'!T467</f>
        <v>0</v>
      </c>
      <c r="Q457" s="281">
        <f>'3. GRI Pricing'!U467</f>
        <v>0</v>
      </c>
      <c r="R457" s="281">
        <f>'3. GRI Pricing'!V467</f>
        <v>0</v>
      </c>
      <c r="S457" s="281">
        <f>'3. GRI Pricing'!W467</f>
        <v>0</v>
      </c>
      <c r="T457" s="281">
        <f>'3. GRI Pricing'!X467</f>
        <v>0</v>
      </c>
      <c r="U457" s="282">
        <f>'3. GRI Pricing'!Y467</f>
        <v>0</v>
      </c>
    </row>
    <row r="458" spans="3:21" x14ac:dyDescent="0.2">
      <c r="C458" s="23">
        <f>'3. GRI Pricing'!C468</f>
        <v>0</v>
      </c>
      <c r="D458" s="16">
        <f>'3. GRI Pricing'!D468</f>
        <v>0</v>
      </c>
      <c r="E458" s="16">
        <f>'3. GRI Pricing'!E468</f>
        <v>0</v>
      </c>
      <c r="F458" s="16">
        <f>'3. GRI Pricing'!F468</f>
        <v>0</v>
      </c>
      <c r="G458" s="16">
        <f>'3. GRI Pricing'!G468</f>
        <v>0</v>
      </c>
      <c r="H458" s="16">
        <f>'3. GRI Pricing'!H468</f>
        <v>0</v>
      </c>
      <c r="I458" s="280">
        <f>'3. GRI Pricing'!K468</f>
        <v>0</v>
      </c>
      <c r="J458" s="281">
        <f>'3. GRI Pricing'!O468</f>
        <v>0</v>
      </c>
      <c r="K458" s="281">
        <f>'3. GRI Pricing'!L468</f>
        <v>0</v>
      </c>
      <c r="L458" s="281">
        <f>'3. GRI Pricing'!P468</f>
        <v>0</v>
      </c>
      <c r="M458" s="281">
        <f>'3. GRI Pricing'!R468</f>
        <v>0</v>
      </c>
      <c r="N458" s="281">
        <f>'3. GRI Pricing'!S468</f>
        <v>0</v>
      </c>
      <c r="O458" s="281">
        <f>'3. GRI Pricing'!Q468</f>
        <v>0</v>
      </c>
      <c r="P458" s="281">
        <f>'3. GRI Pricing'!T468</f>
        <v>0</v>
      </c>
      <c r="Q458" s="281">
        <f>'3. GRI Pricing'!U468</f>
        <v>0</v>
      </c>
      <c r="R458" s="281">
        <f>'3. GRI Pricing'!V468</f>
        <v>0</v>
      </c>
      <c r="S458" s="281">
        <f>'3. GRI Pricing'!W468</f>
        <v>0</v>
      </c>
      <c r="T458" s="281">
        <f>'3. GRI Pricing'!X468</f>
        <v>0</v>
      </c>
      <c r="U458" s="282">
        <f>'3. GRI Pricing'!Y468</f>
        <v>0</v>
      </c>
    </row>
    <row r="459" spans="3:21" x14ac:dyDescent="0.2">
      <c r="C459" s="23">
        <f>'3. GRI Pricing'!C469</f>
        <v>0</v>
      </c>
      <c r="D459" s="16">
        <f>'3. GRI Pricing'!D469</f>
        <v>0</v>
      </c>
      <c r="E459" s="16">
        <f>'3. GRI Pricing'!E469</f>
        <v>0</v>
      </c>
      <c r="F459" s="16">
        <f>'3. GRI Pricing'!F469</f>
        <v>0</v>
      </c>
      <c r="G459" s="16">
        <f>'3. GRI Pricing'!G469</f>
        <v>0</v>
      </c>
      <c r="H459" s="16">
        <f>'3. GRI Pricing'!H469</f>
        <v>0</v>
      </c>
      <c r="I459" s="280">
        <f>'3. GRI Pricing'!K469</f>
        <v>0</v>
      </c>
      <c r="J459" s="281">
        <f>'3. GRI Pricing'!O469</f>
        <v>0</v>
      </c>
      <c r="K459" s="281">
        <f>'3. GRI Pricing'!L469</f>
        <v>0</v>
      </c>
      <c r="L459" s="281">
        <f>'3. GRI Pricing'!P469</f>
        <v>0</v>
      </c>
      <c r="M459" s="281">
        <f>'3. GRI Pricing'!R469</f>
        <v>0</v>
      </c>
      <c r="N459" s="281">
        <f>'3. GRI Pricing'!S469</f>
        <v>0</v>
      </c>
      <c r="O459" s="281">
        <f>'3. GRI Pricing'!Q469</f>
        <v>0</v>
      </c>
      <c r="P459" s="281">
        <f>'3. GRI Pricing'!T469</f>
        <v>0</v>
      </c>
      <c r="Q459" s="281">
        <f>'3. GRI Pricing'!U469</f>
        <v>0</v>
      </c>
      <c r="R459" s="281">
        <f>'3. GRI Pricing'!V469</f>
        <v>0</v>
      </c>
      <c r="S459" s="281">
        <f>'3. GRI Pricing'!W469</f>
        <v>0</v>
      </c>
      <c r="T459" s="281">
        <f>'3. GRI Pricing'!X469</f>
        <v>0</v>
      </c>
      <c r="U459" s="282">
        <f>'3. GRI Pricing'!Y469</f>
        <v>0</v>
      </c>
    </row>
    <row r="460" spans="3:21" x14ac:dyDescent="0.2">
      <c r="C460" s="23">
        <f>'3. GRI Pricing'!C470</f>
        <v>0</v>
      </c>
      <c r="D460" s="16">
        <f>'3. GRI Pricing'!D470</f>
        <v>0</v>
      </c>
      <c r="E460" s="16">
        <f>'3. GRI Pricing'!E470</f>
        <v>0</v>
      </c>
      <c r="F460" s="16">
        <f>'3. GRI Pricing'!F470</f>
        <v>0</v>
      </c>
      <c r="G460" s="16">
        <f>'3. GRI Pricing'!G470</f>
        <v>0</v>
      </c>
      <c r="H460" s="16">
        <f>'3. GRI Pricing'!H470</f>
        <v>0</v>
      </c>
      <c r="I460" s="280">
        <f>'3. GRI Pricing'!K470</f>
        <v>0</v>
      </c>
      <c r="J460" s="281">
        <f>'3. GRI Pricing'!O470</f>
        <v>0</v>
      </c>
      <c r="K460" s="281">
        <f>'3. GRI Pricing'!L470</f>
        <v>0</v>
      </c>
      <c r="L460" s="281">
        <f>'3. GRI Pricing'!P470</f>
        <v>0</v>
      </c>
      <c r="M460" s="281">
        <f>'3. GRI Pricing'!R470</f>
        <v>0</v>
      </c>
      <c r="N460" s="281">
        <f>'3. GRI Pricing'!S470</f>
        <v>0</v>
      </c>
      <c r="O460" s="281">
        <f>'3. GRI Pricing'!Q470</f>
        <v>0</v>
      </c>
      <c r="P460" s="281">
        <f>'3. GRI Pricing'!T470</f>
        <v>0</v>
      </c>
      <c r="Q460" s="281">
        <f>'3. GRI Pricing'!U470</f>
        <v>0</v>
      </c>
      <c r="R460" s="281">
        <f>'3. GRI Pricing'!V470</f>
        <v>0</v>
      </c>
      <c r="S460" s="281">
        <f>'3. GRI Pricing'!W470</f>
        <v>0</v>
      </c>
      <c r="T460" s="281">
        <f>'3. GRI Pricing'!X470</f>
        <v>0</v>
      </c>
      <c r="U460" s="282">
        <f>'3. GRI Pricing'!Y470</f>
        <v>0</v>
      </c>
    </row>
    <row r="461" spans="3:21" x14ac:dyDescent="0.2">
      <c r="C461" s="23">
        <f>'3. GRI Pricing'!C471</f>
        <v>0</v>
      </c>
      <c r="D461" s="16">
        <f>'3. GRI Pricing'!D471</f>
        <v>0</v>
      </c>
      <c r="E461" s="16">
        <f>'3. GRI Pricing'!E471</f>
        <v>0</v>
      </c>
      <c r="F461" s="16">
        <f>'3. GRI Pricing'!F471</f>
        <v>0</v>
      </c>
      <c r="G461" s="16">
        <f>'3. GRI Pricing'!G471</f>
        <v>0</v>
      </c>
      <c r="H461" s="16">
        <f>'3. GRI Pricing'!H471</f>
        <v>0</v>
      </c>
      <c r="I461" s="280">
        <f>'3. GRI Pricing'!K471</f>
        <v>0</v>
      </c>
      <c r="J461" s="281">
        <f>'3. GRI Pricing'!O471</f>
        <v>0</v>
      </c>
      <c r="K461" s="281">
        <f>'3. GRI Pricing'!L471</f>
        <v>0</v>
      </c>
      <c r="L461" s="281">
        <f>'3. GRI Pricing'!P471</f>
        <v>0</v>
      </c>
      <c r="M461" s="281">
        <f>'3. GRI Pricing'!R471</f>
        <v>0</v>
      </c>
      <c r="N461" s="281">
        <f>'3. GRI Pricing'!S471</f>
        <v>0</v>
      </c>
      <c r="O461" s="281">
        <f>'3. GRI Pricing'!Q471</f>
        <v>0</v>
      </c>
      <c r="P461" s="281">
        <f>'3. GRI Pricing'!T471</f>
        <v>0</v>
      </c>
      <c r="Q461" s="281">
        <f>'3. GRI Pricing'!U471</f>
        <v>0</v>
      </c>
      <c r="R461" s="281">
        <f>'3. GRI Pricing'!V471</f>
        <v>0</v>
      </c>
      <c r="S461" s="281">
        <f>'3. GRI Pricing'!W471</f>
        <v>0</v>
      </c>
      <c r="T461" s="281">
        <f>'3. GRI Pricing'!X471</f>
        <v>0</v>
      </c>
      <c r="U461" s="282">
        <f>'3. GRI Pricing'!Y471</f>
        <v>0</v>
      </c>
    </row>
    <row r="462" spans="3:21" x14ac:dyDescent="0.2">
      <c r="C462" s="23">
        <f>'3. GRI Pricing'!C472</f>
        <v>0</v>
      </c>
      <c r="D462" s="16">
        <f>'3. GRI Pricing'!D472</f>
        <v>0</v>
      </c>
      <c r="E462" s="16">
        <f>'3. GRI Pricing'!E472</f>
        <v>0</v>
      </c>
      <c r="F462" s="16">
        <f>'3. GRI Pricing'!F472</f>
        <v>0</v>
      </c>
      <c r="G462" s="16">
        <f>'3. GRI Pricing'!G472</f>
        <v>0</v>
      </c>
      <c r="H462" s="16">
        <f>'3. GRI Pricing'!H472</f>
        <v>0</v>
      </c>
      <c r="I462" s="280">
        <f>'3. GRI Pricing'!K472</f>
        <v>0</v>
      </c>
      <c r="J462" s="281">
        <f>'3. GRI Pricing'!O472</f>
        <v>0</v>
      </c>
      <c r="K462" s="281">
        <f>'3. GRI Pricing'!L472</f>
        <v>0</v>
      </c>
      <c r="L462" s="281">
        <f>'3. GRI Pricing'!P472</f>
        <v>0</v>
      </c>
      <c r="M462" s="281">
        <f>'3. GRI Pricing'!R472</f>
        <v>0</v>
      </c>
      <c r="N462" s="281">
        <f>'3. GRI Pricing'!S472</f>
        <v>0</v>
      </c>
      <c r="O462" s="281">
        <f>'3. GRI Pricing'!Q472</f>
        <v>0</v>
      </c>
      <c r="P462" s="281">
        <f>'3. GRI Pricing'!T472</f>
        <v>0</v>
      </c>
      <c r="Q462" s="281">
        <f>'3. GRI Pricing'!U472</f>
        <v>0</v>
      </c>
      <c r="R462" s="281">
        <f>'3. GRI Pricing'!V472</f>
        <v>0</v>
      </c>
      <c r="S462" s="281">
        <f>'3. GRI Pricing'!W472</f>
        <v>0</v>
      </c>
      <c r="T462" s="281">
        <f>'3. GRI Pricing'!X472</f>
        <v>0</v>
      </c>
      <c r="U462" s="282">
        <f>'3. GRI Pricing'!Y472</f>
        <v>0</v>
      </c>
    </row>
    <row r="463" spans="3:21" x14ac:dyDescent="0.2">
      <c r="C463" s="23">
        <f>'3. GRI Pricing'!C473</f>
        <v>0</v>
      </c>
      <c r="D463" s="16">
        <f>'3. GRI Pricing'!D473</f>
        <v>0</v>
      </c>
      <c r="E463" s="16">
        <f>'3. GRI Pricing'!E473</f>
        <v>0</v>
      </c>
      <c r="F463" s="16">
        <f>'3. GRI Pricing'!F473</f>
        <v>0</v>
      </c>
      <c r="G463" s="16">
        <f>'3. GRI Pricing'!G473</f>
        <v>0</v>
      </c>
      <c r="H463" s="16">
        <f>'3. GRI Pricing'!H473</f>
        <v>0</v>
      </c>
      <c r="I463" s="280">
        <f>'3. GRI Pricing'!K473</f>
        <v>0</v>
      </c>
      <c r="J463" s="281">
        <f>'3. GRI Pricing'!O473</f>
        <v>0</v>
      </c>
      <c r="K463" s="281">
        <f>'3. GRI Pricing'!L473</f>
        <v>0</v>
      </c>
      <c r="L463" s="281">
        <f>'3. GRI Pricing'!P473</f>
        <v>0</v>
      </c>
      <c r="M463" s="281">
        <f>'3. GRI Pricing'!R473</f>
        <v>0</v>
      </c>
      <c r="N463" s="281">
        <f>'3. GRI Pricing'!S473</f>
        <v>0</v>
      </c>
      <c r="O463" s="281">
        <f>'3. GRI Pricing'!Q473</f>
        <v>0</v>
      </c>
      <c r="P463" s="281">
        <f>'3. GRI Pricing'!T473</f>
        <v>0</v>
      </c>
      <c r="Q463" s="281">
        <f>'3. GRI Pricing'!U473</f>
        <v>0</v>
      </c>
      <c r="R463" s="281">
        <f>'3. GRI Pricing'!V473</f>
        <v>0</v>
      </c>
      <c r="S463" s="281">
        <f>'3. GRI Pricing'!W473</f>
        <v>0</v>
      </c>
      <c r="T463" s="281">
        <f>'3. GRI Pricing'!X473</f>
        <v>0</v>
      </c>
      <c r="U463" s="282">
        <f>'3. GRI Pricing'!Y473</f>
        <v>0</v>
      </c>
    </row>
    <row r="464" spans="3:21" x14ac:dyDescent="0.2">
      <c r="C464" s="23">
        <f>'3. GRI Pricing'!C474</f>
        <v>0</v>
      </c>
      <c r="D464" s="16">
        <f>'3. GRI Pricing'!D474</f>
        <v>0</v>
      </c>
      <c r="E464" s="16">
        <f>'3. GRI Pricing'!E474</f>
        <v>0</v>
      </c>
      <c r="F464" s="16">
        <f>'3. GRI Pricing'!F474</f>
        <v>0</v>
      </c>
      <c r="G464" s="16">
        <f>'3. GRI Pricing'!G474</f>
        <v>0</v>
      </c>
      <c r="H464" s="16">
        <f>'3. GRI Pricing'!H474</f>
        <v>0</v>
      </c>
      <c r="I464" s="280">
        <f>'3. GRI Pricing'!K474</f>
        <v>0</v>
      </c>
      <c r="J464" s="281">
        <f>'3. GRI Pricing'!O474</f>
        <v>0</v>
      </c>
      <c r="K464" s="281">
        <f>'3. GRI Pricing'!L474</f>
        <v>0</v>
      </c>
      <c r="L464" s="281">
        <f>'3. GRI Pricing'!P474</f>
        <v>0</v>
      </c>
      <c r="M464" s="281">
        <f>'3. GRI Pricing'!R474</f>
        <v>0</v>
      </c>
      <c r="N464" s="281">
        <f>'3. GRI Pricing'!S474</f>
        <v>0</v>
      </c>
      <c r="O464" s="281">
        <f>'3. GRI Pricing'!Q474</f>
        <v>0</v>
      </c>
      <c r="P464" s="281">
        <f>'3. GRI Pricing'!T474</f>
        <v>0</v>
      </c>
      <c r="Q464" s="281">
        <f>'3. GRI Pricing'!U474</f>
        <v>0</v>
      </c>
      <c r="R464" s="281">
        <f>'3. GRI Pricing'!V474</f>
        <v>0</v>
      </c>
      <c r="S464" s="281">
        <f>'3. GRI Pricing'!W474</f>
        <v>0</v>
      </c>
      <c r="T464" s="281">
        <f>'3. GRI Pricing'!X474</f>
        <v>0</v>
      </c>
      <c r="U464" s="282">
        <f>'3. GRI Pricing'!Y474</f>
        <v>0</v>
      </c>
    </row>
    <row r="465" spans="3:21" x14ac:dyDescent="0.2">
      <c r="C465" s="23">
        <f>'3. GRI Pricing'!C475</f>
        <v>0</v>
      </c>
      <c r="D465" s="16">
        <f>'3. GRI Pricing'!D475</f>
        <v>0</v>
      </c>
      <c r="E465" s="16">
        <f>'3. GRI Pricing'!E475</f>
        <v>0</v>
      </c>
      <c r="F465" s="16">
        <f>'3. GRI Pricing'!F475</f>
        <v>0</v>
      </c>
      <c r="G465" s="16">
        <f>'3. GRI Pricing'!G475</f>
        <v>0</v>
      </c>
      <c r="H465" s="16">
        <f>'3. GRI Pricing'!H475</f>
        <v>0</v>
      </c>
      <c r="I465" s="280">
        <f>'3. GRI Pricing'!K475</f>
        <v>0</v>
      </c>
      <c r="J465" s="281">
        <f>'3. GRI Pricing'!O475</f>
        <v>0</v>
      </c>
      <c r="K465" s="281">
        <f>'3. GRI Pricing'!L475</f>
        <v>0</v>
      </c>
      <c r="L465" s="281">
        <f>'3. GRI Pricing'!P475</f>
        <v>0</v>
      </c>
      <c r="M465" s="281">
        <f>'3. GRI Pricing'!R475</f>
        <v>0</v>
      </c>
      <c r="N465" s="281">
        <f>'3. GRI Pricing'!S475</f>
        <v>0</v>
      </c>
      <c r="O465" s="281">
        <f>'3. GRI Pricing'!Q475</f>
        <v>0</v>
      </c>
      <c r="P465" s="281">
        <f>'3. GRI Pricing'!T475</f>
        <v>0</v>
      </c>
      <c r="Q465" s="281">
        <f>'3. GRI Pricing'!U475</f>
        <v>0</v>
      </c>
      <c r="R465" s="281">
        <f>'3. GRI Pricing'!V475</f>
        <v>0</v>
      </c>
      <c r="S465" s="281">
        <f>'3. GRI Pricing'!W475</f>
        <v>0</v>
      </c>
      <c r="T465" s="281">
        <f>'3. GRI Pricing'!X475</f>
        <v>0</v>
      </c>
      <c r="U465" s="282">
        <f>'3. GRI Pricing'!Y475</f>
        <v>0</v>
      </c>
    </row>
    <row r="466" spans="3:21" x14ac:dyDescent="0.2">
      <c r="C466" s="23">
        <f>'3. GRI Pricing'!C476</f>
        <v>0</v>
      </c>
      <c r="D466" s="16">
        <f>'3. GRI Pricing'!D476</f>
        <v>0</v>
      </c>
      <c r="E466" s="16">
        <f>'3. GRI Pricing'!E476</f>
        <v>0</v>
      </c>
      <c r="F466" s="16">
        <f>'3. GRI Pricing'!F476</f>
        <v>0</v>
      </c>
      <c r="G466" s="16">
        <f>'3. GRI Pricing'!G476</f>
        <v>0</v>
      </c>
      <c r="H466" s="16">
        <f>'3. GRI Pricing'!H476</f>
        <v>0</v>
      </c>
      <c r="I466" s="280">
        <f>'3. GRI Pricing'!K476</f>
        <v>0</v>
      </c>
      <c r="J466" s="281">
        <f>'3. GRI Pricing'!O476</f>
        <v>0</v>
      </c>
      <c r="K466" s="281">
        <f>'3. GRI Pricing'!L476</f>
        <v>0</v>
      </c>
      <c r="L466" s="281">
        <f>'3. GRI Pricing'!P476</f>
        <v>0</v>
      </c>
      <c r="M466" s="281">
        <f>'3. GRI Pricing'!R476</f>
        <v>0</v>
      </c>
      <c r="N466" s="281">
        <f>'3. GRI Pricing'!S476</f>
        <v>0</v>
      </c>
      <c r="O466" s="281">
        <f>'3. GRI Pricing'!Q476</f>
        <v>0</v>
      </c>
      <c r="P466" s="281">
        <f>'3. GRI Pricing'!T476</f>
        <v>0</v>
      </c>
      <c r="Q466" s="281">
        <f>'3. GRI Pricing'!U476</f>
        <v>0</v>
      </c>
      <c r="R466" s="281">
        <f>'3. GRI Pricing'!V476</f>
        <v>0</v>
      </c>
      <c r="S466" s="281">
        <f>'3. GRI Pricing'!W476</f>
        <v>0</v>
      </c>
      <c r="T466" s="281">
        <f>'3. GRI Pricing'!X476</f>
        <v>0</v>
      </c>
      <c r="U466" s="282">
        <f>'3. GRI Pricing'!Y476</f>
        <v>0</v>
      </c>
    </row>
    <row r="467" spans="3:21" x14ac:dyDescent="0.2">
      <c r="C467" s="23">
        <f>'3. GRI Pricing'!C477</f>
        <v>0</v>
      </c>
      <c r="D467" s="16">
        <f>'3. GRI Pricing'!D477</f>
        <v>0</v>
      </c>
      <c r="E467" s="16">
        <f>'3. GRI Pricing'!E477</f>
        <v>0</v>
      </c>
      <c r="F467" s="16">
        <f>'3. GRI Pricing'!F477</f>
        <v>0</v>
      </c>
      <c r="G467" s="16">
        <f>'3. GRI Pricing'!G477</f>
        <v>0</v>
      </c>
      <c r="H467" s="16">
        <f>'3. GRI Pricing'!H477</f>
        <v>0</v>
      </c>
      <c r="I467" s="280">
        <f>'3. GRI Pricing'!K477</f>
        <v>0</v>
      </c>
      <c r="J467" s="281">
        <f>'3. GRI Pricing'!O477</f>
        <v>0</v>
      </c>
      <c r="K467" s="281">
        <f>'3. GRI Pricing'!L477</f>
        <v>0</v>
      </c>
      <c r="L467" s="281">
        <f>'3. GRI Pricing'!P477</f>
        <v>0</v>
      </c>
      <c r="M467" s="281">
        <f>'3. GRI Pricing'!R477</f>
        <v>0</v>
      </c>
      <c r="N467" s="281">
        <f>'3. GRI Pricing'!S477</f>
        <v>0</v>
      </c>
      <c r="O467" s="281">
        <f>'3. GRI Pricing'!Q477</f>
        <v>0</v>
      </c>
      <c r="P467" s="281">
        <f>'3. GRI Pricing'!T477</f>
        <v>0</v>
      </c>
      <c r="Q467" s="281">
        <f>'3. GRI Pricing'!U477</f>
        <v>0</v>
      </c>
      <c r="R467" s="281">
        <f>'3. GRI Pricing'!V477</f>
        <v>0</v>
      </c>
      <c r="S467" s="281">
        <f>'3. GRI Pricing'!W477</f>
        <v>0</v>
      </c>
      <c r="T467" s="281">
        <f>'3. GRI Pricing'!X477</f>
        <v>0</v>
      </c>
      <c r="U467" s="282">
        <f>'3. GRI Pricing'!Y477</f>
        <v>0</v>
      </c>
    </row>
    <row r="468" spans="3:21" x14ac:dyDescent="0.2">
      <c r="C468" s="23">
        <f>'3. GRI Pricing'!C478</f>
        <v>0</v>
      </c>
      <c r="D468" s="16">
        <f>'3. GRI Pricing'!D478</f>
        <v>0</v>
      </c>
      <c r="E468" s="16">
        <f>'3. GRI Pricing'!E478</f>
        <v>0</v>
      </c>
      <c r="F468" s="16">
        <f>'3. GRI Pricing'!F478</f>
        <v>0</v>
      </c>
      <c r="G468" s="16">
        <f>'3. GRI Pricing'!G478</f>
        <v>0</v>
      </c>
      <c r="H468" s="16">
        <f>'3. GRI Pricing'!H478</f>
        <v>0</v>
      </c>
      <c r="I468" s="280">
        <f>'3. GRI Pricing'!K478</f>
        <v>0</v>
      </c>
      <c r="J468" s="281">
        <f>'3. GRI Pricing'!O478</f>
        <v>0</v>
      </c>
      <c r="K468" s="281">
        <f>'3. GRI Pricing'!L478</f>
        <v>0</v>
      </c>
      <c r="L468" s="281">
        <f>'3. GRI Pricing'!P478</f>
        <v>0</v>
      </c>
      <c r="M468" s="281">
        <f>'3. GRI Pricing'!R478</f>
        <v>0</v>
      </c>
      <c r="N468" s="281">
        <f>'3. GRI Pricing'!S478</f>
        <v>0</v>
      </c>
      <c r="O468" s="281">
        <f>'3. GRI Pricing'!Q478</f>
        <v>0</v>
      </c>
      <c r="P468" s="281">
        <f>'3. GRI Pricing'!T478</f>
        <v>0</v>
      </c>
      <c r="Q468" s="281">
        <f>'3. GRI Pricing'!U478</f>
        <v>0</v>
      </c>
      <c r="R468" s="281">
        <f>'3. GRI Pricing'!V478</f>
        <v>0</v>
      </c>
      <c r="S468" s="281">
        <f>'3. GRI Pricing'!W478</f>
        <v>0</v>
      </c>
      <c r="T468" s="281">
        <f>'3. GRI Pricing'!X478</f>
        <v>0</v>
      </c>
      <c r="U468" s="282">
        <f>'3. GRI Pricing'!Y478</f>
        <v>0</v>
      </c>
    </row>
    <row r="469" spans="3:21" x14ac:dyDescent="0.2">
      <c r="C469" s="23">
        <f>'3. GRI Pricing'!C479</f>
        <v>0</v>
      </c>
      <c r="D469" s="16">
        <f>'3. GRI Pricing'!D479</f>
        <v>0</v>
      </c>
      <c r="E469" s="16">
        <f>'3. GRI Pricing'!E479</f>
        <v>0</v>
      </c>
      <c r="F469" s="16">
        <f>'3. GRI Pricing'!F479</f>
        <v>0</v>
      </c>
      <c r="G469" s="16">
        <f>'3. GRI Pricing'!G479</f>
        <v>0</v>
      </c>
      <c r="H469" s="16">
        <f>'3. GRI Pricing'!H479</f>
        <v>0</v>
      </c>
      <c r="I469" s="280">
        <f>'3. GRI Pricing'!K479</f>
        <v>0</v>
      </c>
      <c r="J469" s="281">
        <f>'3. GRI Pricing'!O479</f>
        <v>0</v>
      </c>
      <c r="K469" s="281">
        <f>'3. GRI Pricing'!L479</f>
        <v>0</v>
      </c>
      <c r="L469" s="281">
        <f>'3. GRI Pricing'!P479</f>
        <v>0</v>
      </c>
      <c r="M469" s="281">
        <f>'3. GRI Pricing'!R479</f>
        <v>0</v>
      </c>
      <c r="N469" s="281">
        <f>'3. GRI Pricing'!S479</f>
        <v>0</v>
      </c>
      <c r="O469" s="281">
        <f>'3. GRI Pricing'!Q479</f>
        <v>0</v>
      </c>
      <c r="P469" s="281">
        <f>'3. GRI Pricing'!T479</f>
        <v>0</v>
      </c>
      <c r="Q469" s="281">
        <f>'3. GRI Pricing'!U479</f>
        <v>0</v>
      </c>
      <c r="R469" s="281">
        <f>'3. GRI Pricing'!V479</f>
        <v>0</v>
      </c>
      <c r="S469" s="281">
        <f>'3. GRI Pricing'!W479</f>
        <v>0</v>
      </c>
      <c r="T469" s="281">
        <f>'3. GRI Pricing'!X479</f>
        <v>0</v>
      </c>
      <c r="U469" s="282">
        <f>'3. GRI Pricing'!Y479</f>
        <v>0</v>
      </c>
    </row>
    <row r="470" spans="3:21" x14ac:dyDescent="0.2">
      <c r="C470" s="23">
        <f>'3. GRI Pricing'!C480</f>
        <v>0</v>
      </c>
      <c r="D470" s="16">
        <f>'3. GRI Pricing'!D480</f>
        <v>0</v>
      </c>
      <c r="E470" s="16">
        <f>'3. GRI Pricing'!E480</f>
        <v>0</v>
      </c>
      <c r="F470" s="16">
        <f>'3. GRI Pricing'!F480</f>
        <v>0</v>
      </c>
      <c r="G470" s="16">
        <f>'3. GRI Pricing'!G480</f>
        <v>0</v>
      </c>
      <c r="H470" s="16">
        <f>'3. GRI Pricing'!H480</f>
        <v>0</v>
      </c>
      <c r="I470" s="280">
        <f>'3. GRI Pricing'!K480</f>
        <v>0</v>
      </c>
      <c r="J470" s="281">
        <f>'3. GRI Pricing'!O480</f>
        <v>0</v>
      </c>
      <c r="K470" s="281">
        <f>'3. GRI Pricing'!L480</f>
        <v>0</v>
      </c>
      <c r="L470" s="281">
        <f>'3. GRI Pricing'!P480</f>
        <v>0</v>
      </c>
      <c r="M470" s="281">
        <f>'3. GRI Pricing'!R480</f>
        <v>0</v>
      </c>
      <c r="N470" s="281">
        <f>'3. GRI Pricing'!S480</f>
        <v>0</v>
      </c>
      <c r="O470" s="281">
        <f>'3. GRI Pricing'!Q480</f>
        <v>0</v>
      </c>
      <c r="P470" s="281">
        <f>'3. GRI Pricing'!T480</f>
        <v>0</v>
      </c>
      <c r="Q470" s="281">
        <f>'3. GRI Pricing'!U480</f>
        <v>0</v>
      </c>
      <c r="R470" s="281">
        <f>'3. GRI Pricing'!V480</f>
        <v>0</v>
      </c>
      <c r="S470" s="281">
        <f>'3. GRI Pricing'!W480</f>
        <v>0</v>
      </c>
      <c r="T470" s="281">
        <f>'3. GRI Pricing'!X480</f>
        <v>0</v>
      </c>
      <c r="U470" s="282">
        <f>'3. GRI Pricing'!Y480</f>
        <v>0</v>
      </c>
    </row>
    <row r="471" spans="3:21" x14ac:dyDescent="0.2">
      <c r="C471" s="23">
        <f>'3. GRI Pricing'!C481</f>
        <v>0</v>
      </c>
      <c r="D471" s="16">
        <f>'3. GRI Pricing'!D481</f>
        <v>0</v>
      </c>
      <c r="E471" s="16">
        <f>'3. GRI Pricing'!E481</f>
        <v>0</v>
      </c>
      <c r="F471" s="16">
        <f>'3. GRI Pricing'!F481</f>
        <v>0</v>
      </c>
      <c r="G471" s="16">
        <f>'3. GRI Pricing'!G481</f>
        <v>0</v>
      </c>
      <c r="H471" s="16">
        <f>'3. GRI Pricing'!H481</f>
        <v>0</v>
      </c>
      <c r="I471" s="280">
        <f>'3. GRI Pricing'!K481</f>
        <v>0</v>
      </c>
      <c r="J471" s="281">
        <f>'3. GRI Pricing'!O481</f>
        <v>0</v>
      </c>
      <c r="K471" s="281">
        <f>'3. GRI Pricing'!L481</f>
        <v>0</v>
      </c>
      <c r="L471" s="281">
        <f>'3. GRI Pricing'!P481</f>
        <v>0</v>
      </c>
      <c r="M471" s="281">
        <f>'3. GRI Pricing'!R481</f>
        <v>0</v>
      </c>
      <c r="N471" s="281">
        <f>'3. GRI Pricing'!S481</f>
        <v>0</v>
      </c>
      <c r="O471" s="281">
        <f>'3. GRI Pricing'!Q481</f>
        <v>0</v>
      </c>
      <c r="P471" s="281">
        <f>'3. GRI Pricing'!T481</f>
        <v>0</v>
      </c>
      <c r="Q471" s="281">
        <f>'3. GRI Pricing'!U481</f>
        <v>0</v>
      </c>
      <c r="R471" s="281">
        <f>'3. GRI Pricing'!V481</f>
        <v>0</v>
      </c>
      <c r="S471" s="281">
        <f>'3. GRI Pricing'!W481</f>
        <v>0</v>
      </c>
      <c r="T471" s="281">
        <f>'3. GRI Pricing'!X481</f>
        <v>0</v>
      </c>
      <c r="U471" s="282">
        <f>'3. GRI Pricing'!Y481</f>
        <v>0</v>
      </c>
    </row>
    <row r="472" spans="3:21" x14ac:dyDescent="0.2">
      <c r="C472" s="23">
        <f>'3. GRI Pricing'!C482</f>
        <v>0</v>
      </c>
      <c r="D472" s="16">
        <f>'3. GRI Pricing'!D482</f>
        <v>0</v>
      </c>
      <c r="E472" s="16">
        <f>'3. GRI Pricing'!E482</f>
        <v>0</v>
      </c>
      <c r="F472" s="16">
        <f>'3. GRI Pricing'!F482</f>
        <v>0</v>
      </c>
      <c r="G472" s="16">
        <f>'3. GRI Pricing'!G482</f>
        <v>0</v>
      </c>
      <c r="H472" s="16">
        <f>'3. GRI Pricing'!H482</f>
        <v>0</v>
      </c>
      <c r="I472" s="280">
        <f>'3. GRI Pricing'!K482</f>
        <v>0</v>
      </c>
      <c r="J472" s="281">
        <f>'3. GRI Pricing'!O482</f>
        <v>0</v>
      </c>
      <c r="K472" s="281">
        <f>'3. GRI Pricing'!L482</f>
        <v>0</v>
      </c>
      <c r="L472" s="281">
        <f>'3. GRI Pricing'!P482</f>
        <v>0</v>
      </c>
      <c r="M472" s="281">
        <f>'3. GRI Pricing'!R482</f>
        <v>0</v>
      </c>
      <c r="N472" s="281">
        <f>'3. GRI Pricing'!S482</f>
        <v>0</v>
      </c>
      <c r="O472" s="281">
        <f>'3. GRI Pricing'!Q482</f>
        <v>0</v>
      </c>
      <c r="P472" s="281">
        <f>'3. GRI Pricing'!T482</f>
        <v>0</v>
      </c>
      <c r="Q472" s="281">
        <f>'3. GRI Pricing'!U482</f>
        <v>0</v>
      </c>
      <c r="R472" s="281">
        <f>'3. GRI Pricing'!V482</f>
        <v>0</v>
      </c>
      <c r="S472" s="281">
        <f>'3. GRI Pricing'!W482</f>
        <v>0</v>
      </c>
      <c r="T472" s="281">
        <f>'3. GRI Pricing'!X482</f>
        <v>0</v>
      </c>
      <c r="U472" s="282">
        <f>'3. GRI Pricing'!Y482</f>
        <v>0</v>
      </c>
    </row>
    <row r="473" spans="3:21" x14ac:dyDescent="0.2">
      <c r="C473" s="23">
        <f>'3. GRI Pricing'!C483</f>
        <v>0</v>
      </c>
      <c r="D473" s="16">
        <f>'3. GRI Pricing'!D483</f>
        <v>0</v>
      </c>
      <c r="E473" s="16">
        <f>'3. GRI Pricing'!E483</f>
        <v>0</v>
      </c>
      <c r="F473" s="16">
        <f>'3. GRI Pricing'!F483</f>
        <v>0</v>
      </c>
      <c r="G473" s="16">
        <f>'3. GRI Pricing'!G483</f>
        <v>0</v>
      </c>
      <c r="H473" s="16">
        <f>'3. GRI Pricing'!H483</f>
        <v>0</v>
      </c>
      <c r="I473" s="280">
        <f>'3. GRI Pricing'!K483</f>
        <v>0</v>
      </c>
      <c r="J473" s="281">
        <f>'3. GRI Pricing'!O483</f>
        <v>0</v>
      </c>
      <c r="K473" s="281">
        <f>'3. GRI Pricing'!L483</f>
        <v>0</v>
      </c>
      <c r="L473" s="281">
        <f>'3. GRI Pricing'!P483</f>
        <v>0</v>
      </c>
      <c r="M473" s="281">
        <f>'3. GRI Pricing'!R483</f>
        <v>0</v>
      </c>
      <c r="N473" s="281">
        <f>'3. GRI Pricing'!S483</f>
        <v>0</v>
      </c>
      <c r="O473" s="281">
        <f>'3. GRI Pricing'!Q483</f>
        <v>0</v>
      </c>
      <c r="P473" s="281">
        <f>'3. GRI Pricing'!T483</f>
        <v>0</v>
      </c>
      <c r="Q473" s="281">
        <f>'3. GRI Pricing'!U483</f>
        <v>0</v>
      </c>
      <c r="R473" s="281">
        <f>'3. GRI Pricing'!V483</f>
        <v>0</v>
      </c>
      <c r="S473" s="281">
        <f>'3. GRI Pricing'!W483</f>
        <v>0</v>
      </c>
      <c r="T473" s="281">
        <f>'3. GRI Pricing'!X483</f>
        <v>0</v>
      </c>
      <c r="U473" s="282">
        <f>'3. GRI Pricing'!Y483</f>
        <v>0</v>
      </c>
    </row>
    <row r="474" spans="3:21" x14ac:dyDescent="0.2">
      <c r="C474" s="23">
        <f>'3. GRI Pricing'!C484</f>
        <v>0</v>
      </c>
      <c r="D474" s="16">
        <f>'3. GRI Pricing'!D484</f>
        <v>0</v>
      </c>
      <c r="E474" s="16">
        <f>'3. GRI Pricing'!E484</f>
        <v>0</v>
      </c>
      <c r="F474" s="16">
        <f>'3. GRI Pricing'!F484</f>
        <v>0</v>
      </c>
      <c r="G474" s="16">
        <f>'3. GRI Pricing'!G484</f>
        <v>0</v>
      </c>
      <c r="H474" s="16">
        <f>'3. GRI Pricing'!H484</f>
        <v>0</v>
      </c>
      <c r="I474" s="280">
        <f>'3. GRI Pricing'!K484</f>
        <v>0</v>
      </c>
      <c r="J474" s="281">
        <f>'3. GRI Pricing'!O484</f>
        <v>0</v>
      </c>
      <c r="K474" s="281">
        <f>'3. GRI Pricing'!L484</f>
        <v>0</v>
      </c>
      <c r="L474" s="281">
        <f>'3. GRI Pricing'!P484</f>
        <v>0</v>
      </c>
      <c r="M474" s="281">
        <f>'3. GRI Pricing'!R484</f>
        <v>0</v>
      </c>
      <c r="N474" s="281">
        <f>'3. GRI Pricing'!S484</f>
        <v>0</v>
      </c>
      <c r="O474" s="281">
        <f>'3. GRI Pricing'!Q484</f>
        <v>0</v>
      </c>
      <c r="P474" s="281">
        <f>'3. GRI Pricing'!T484</f>
        <v>0</v>
      </c>
      <c r="Q474" s="281">
        <f>'3. GRI Pricing'!U484</f>
        <v>0</v>
      </c>
      <c r="R474" s="281">
        <f>'3. GRI Pricing'!V484</f>
        <v>0</v>
      </c>
      <c r="S474" s="281">
        <f>'3. GRI Pricing'!W484</f>
        <v>0</v>
      </c>
      <c r="T474" s="281">
        <f>'3. GRI Pricing'!X484</f>
        <v>0</v>
      </c>
      <c r="U474" s="282">
        <f>'3. GRI Pricing'!Y484</f>
        <v>0</v>
      </c>
    </row>
    <row r="475" spans="3:21" x14ac:dyDescent="0.2">
      <c r="C475" s="23">
        <f>'3. GRI Pricing'!C485</f>
        <v>0</v>
      </c>
      <c r="D475" s="16">
        <f>'3. GRI Pricing'!D485</f>
        <v>0</v>
      </c>
      <c r="E475" s="16">
        <f>'3. GRI Pricing'!E485</f>
        <v>0</v>
      </c>
      <c r="F475" s="16">
        <f>'3. GRI Pricing'!F485</f>
        <v>0</v>
      </c>
      <c r="G475" s="16">
        <f>'3. GRI Pricing'!G485</f>
        <v>0</v>
      </c>
      <c r="H475" s="16">
        <f>'3. GRI Pricing'!H485</f>
        <v>0</v>
      </c>
      <c r="I475" s="280">
        <f>'3. GRI Pricing'!K485</f>
        <v>0</v>
      </c>
      <c r="J475" s="281">
        <f>'3. GRI Pricing'!O485</f>
        <v>0</v>
      </c>
      <c r="K475" s="281">
        <f>'3. GRI Pricing'!L485</f>
        <v>0</v>
      </c>
      <c r="L475" s="281">
        <f>'3. GRI Pricing'!P485</f>
        <v>0</v>
      </c>
      <c r="M475" s="281">
        <f>'3. GRI Pricing'!R485</f>
        <v>0</v>
      </c>
      <c r="N475" s="281">
        <f>'3. GRI Pricing'!S485</f>
        <v>0</v>
      </c>
      <c r="O475" s="281">
        <f>'3. GRI Pricing'!Q485</f>
        <v>0</v>
      </c>
      <c r="P475" s="281">
        <f>'3. GRI Pricing'!T485</f>
        <v>0</v>
      </c>
      <c r="Q475" s="281">
        <f>'3. GRI Pricing'!U485</f>
        <v>0</v>
      </c>
      <c r="R475" s="281">
        <f>'3. GRI Pricing'!V485</f>
        <v>0</v>
      </c>
      <c r="S475" s="281">
        <f>'3. GRI Pricing'!W485</f>
        <v>0</v>
      </c>
      <c r="T475" s="281">
        <f>'3. GRI Pricing'!X485</f>
        <v>0</v>
      </c>
      <c r="U475" s="282">
        <f>'3. GRI Pricing'!Y485</f>
        <v>0</v>
      </c>
    </row>
    <row r="476" spans="3:21" x14ac:dyDescent="0.2">
      <c r="C476" s="23">
        <f>'3. GRI Pricing'!C486</f>
        <v>0</v>
      </c>
      <c r="D476" s="16">
        <f>'3. GRI Pricing'!D486</f>
        <v>0</v>
      </c>
      <c r="E476" s="16">
        <f>'3. GRI Pricing'!E486</f>
        <v>0</v>
      </c>
      <c r="F476" s="16">
        <f>'3. GRI Pricing'!F486</f>
        <v>0</v>
      </c>
      <c r="G476" s="16">
        <f>'3. GRI Pricing'!G486</f>
        <v>0</v>
      </c>
      <c r="H476" s="16">
        <f>'3. GRI Pricing'!H486</f>
        <v>0</v>
      </c>
      <c r="I476" s="280">
        <f>'3. GRI Pricing'!K486</f>
        <v>0</v>
      </c>
      <c r="J476" s="281">
        <f>'3. GRI Pricing'!O486</f>
        <v>0</v>
      </c>
      <c r="K476" s="281">
        <f>'3. GRI Pricing'!L486</f>
        <v>0</v>
      </c>
      <c r="L476" s="281">
        <f>'3. GRI Pricing'!P486</f>
        <v>0</v>
      </c>
      <c r="M476" s="281">
        <f>'3. GRI Pricing'!R486</f>
        <v>0</v>
      </c>
      <c r="N476" s="281">
        <f>'3. GRI Pricing'!S486</f>
        <v>0</v>
      </c>
      <c r="O476" s="281">
        <f>'3. GRI Pricing'!Q486</f>
        <v>0</v>
      </c>
      <c r="P476" s="281">
        <f>'3. GRI Pricing'!T486</f>
        <v>0</v>
      </c>
      <c r="Q476" s="281">
        <f>'3. GRI Pricing'!U486</f>
        <v>0</v>
      </c>
      <c r="R476" s="281">
        <f>'3. GRI Pricing'!V486</f>
        <v>0</v>
      </c>
      <c r="S476" s="281">
        <f>'3. GRI Pricing'!W486</f>
        <v>0</v>
      </c>
      <c r="T476" s="281">
        <f>'3. GRI Pricing'!X486</f>
        <v>0</v>
      </c>
      <c r="U476" s="282">
        <f>'3. GRI Pricing'!Y486</f>
        <v>0</v>
      </c>
    </row>
    <row r="477" spans="3:21" x14ac:dyDescent="0.2">
      <c r="C477" s="23">
        <f>'3. GRI Pricing'!C487</f>
        <v>0</v>
      </c>
      <c r="D477" s="16">
        <f>'3. GRI Pricing'!D487</f>
        <v>0</v>
      </c>
      <c r="E477" s="16">
        <f>'3. GRI Pricing'!E487</f>
        <v>0</v>
      </c>
      <c r="F477" s="16">
        <f>'3. GRI Pricing'!F487</f>
        <v>0</v>
      </c>
      <c r="G477" s="16">
        <f>'3. GRI Pricing'!G487</f>
        <v>0</v>
      </c>
      <c r="H477" s="16">
        <f>'3. GRI Pricing'!H487</f>
        <v>0</v>
      </c>
      <c r="I477" s="280">
        <f>'3. GRI Pricing'!K487</f>
        <v>0</v>
      </c>
      <c r="J477" s="281">
        <f>'3. GRI Pricing'!O487</f>
        <v>0</v>
      </c>
      <c r="K477" s="281">
        <f>'3. GRI Pricing'!L487</f>
        <v>0</v>
      </c>
      <c r="L477" s="281">
        <f>'3. GRI Pricing'!P487</f>
        <v>0</v>
      </c>
      <c r="M477" s="281">
        <f>'3. GRI Pricing'!R487</f>
        <v>0</v>
      </c>
      <c r="N477" s="281">
        <f>'3. GRI Pricing'!S487</f>
        <v>0</v>
      </c>
      <c r="O477" s="281">
        <f>'3. GRI Pricing'!Q487</f>
        <v>0</v>
      </c>
      <c r="P477" s="281">
        <f>'3. GRI Pricing'!T487</f>
        <v>0</v>
      </c>
      <c r="Q477" s="281">
        <f>'3. GRI Pricing'!U487</f>
        <v>0</v>
      </c>
      <c r="R477" s="281">
        <f>'3. GRI Pricing'!V487</f>
        <v>0</v>
      </c>
      <c r="S477" s="281">
        <f>'3. GRI Pricing'!W487</f>
        <v>0</v>
      </c>
      <c r="T477" s="281">
        <f>'3. GRI Pricing'!X487</f>
        <v>0</v>
      </c>
      <c r="U477" s="282">
        <f>'3. GRI Pricing'!Y487</f>
        <v>0</v>
      </c>
    </row>
    <row r="478" spans="3:21" x14ac:dyDescent="0.2">
      <c r="C478" s="23">
        <f>'3. GRI Pricing'!C488</f>
        <v>0</v>
      </c>
      <c r="D478" s="16">
        <f>'3. GRI Pricing'!D488</f>
        <v>0</v>
      </c>
      <c r="E478" s="16">
        <f>'3. GRI Pricing'!E488</f>
        <v>0</v>
      </c>
      <c r="F478" s="16">
        <f>'3. GRI Pricing'!F488</f>
        <v>0</v>
      </c>
      <c r="G478" s="16">
        <f>'3. GRI Pricing'!G488</f>
        <v>0</v>
      </c>
      <c r="H478" s="16">
        <f>'3. GRI Pricing'!H488</f>
        <v>0</v>
      </c>
      <c r="I478" s="280">
        <f>'3. GRI Pricing'!K488</f>
        <v>0</v>
      </c>
      <c r="J478" s="281">
        <f>'3. GRI Pricing'!O488</f>
        <v>0</v>
      </c>
      <c r="K478" s="281">
        <f>'3. GRI Pricing'!L488</f>
        <v>0</v>
      </c>
      <c r="L478" s="281">
        <f>'3. GRI Pricing'!P488</f>
        <v>0</v>
      </c>
      <c r="M478" s="281">
        <f>'3. GRI Pricing'!R488</f>
        <v>0</v>
      </c>
      <c r="N478" s="281">
        <f>'3. GRI Pricing'!S488</f>
        <v>0</v>
      </c>
      <c r="O478" s="281">
        <f>'3. GRI Pricing'!Q488</f>
        <v>0</v>
      </c>
      <c r="P478" s="281">
        <f>'3. GRI Pricing'!T488</f>
        <v>0</v>
      </c>
      <c r="Q478" s="281">
        <f>'3. GRI Pricing'!U488</f>
        <v>0</v>
      </c>
      <c r="R478" s="281">
        <f>'3. GRI Pricing'!V488</f>
        <v>0</v>
      </c>
      <c r="S478" s="281">
        <f>'3. GRI Pricing'!W488</f>
        <v>0</v>
      </c>
      <c r="T478" s="281">
        <f>'3. GRI Pricing'!X488</f>
        <v>0</v>
      </c>
      <c r="U478" s="282">
        <f>'3. GRI Pricing'!Y488</f>
        <v>0</v>
      </c>
    </row>
    <row r="479" spans="3:21" x14ac:dyDescent="0.2">
      <c r="C479" s="23">
        <f>'3. GRI Pricing'!C489</f>
        <v>0</v>
      </c>
      <c r="D479" s="16">
        <f>'3. GRI Pricing'!D489</f>
        <v>0</v>
      </c>
      <c r="E479" s="16">
        <f>'3. GRI Pricing'!E489</f>
        <v>0</v>
      </c>
      <c r="F479" s="16">
        <f>'3. GRI Pricing'!F489</f>
        <v>0</v>
      </c>
      <c r="G479" s="16">
        <f>'3. GRI Pricing'!G489</f>
        <v>0</v>
      </c>
      <c r="H479" s="16">
        <f>'3. GRI Pricing'!H489</f>
        <v>0</v>
      </c>
      <c r="I479" s="280">
        <f>'3. GRI Pricing'!K489</f>
        <v>0</v>
      </c>
      <c r="J479" s="281">
        <f>'3. GRI Pricing'!O489</f>
        <v>0</v>
      </c>
      <c r="K479" s="281">
        <f>'3. GRI Pricing'!L489</f>
        <v>0</v>
      </c>
      <c r="L479" s="281">
        <f>'3. GRI Pricing'!P489</f>
        <v>0</v>
      </c>
      <c r="M479" s="281">
        <f>'3. GRI Pricing'!R489</f>
        <v>0</v>
      </c>
      <c r="N479" s="281">
        <f>'3. GRI Pricing'!S489</f>
        <v>0</v>
      </c>
      <c r="O479" s="281">
        <f>'3. GRI Pricing'!Q489</f>
        <v>0</v>
      </c>
      <c r="P479" s="281">
        <f>'3. GRI Pricing'!T489</f>
        <v>0</v>
      </c>
      <c r="Q479" s="281">
        <f>'3. GRI Pricing'!U489</f>
        <v>0</v>
      </c>
      <c r="R479" s="281">
        <f>'3. GRI Pricing'!V489</f>
        <v>0</v>
      </c>
      <c r="S479" s="281">
        <f>'3. GRI Pricing'!W489</f>
        <v>0</v>
      </c>
      <c r="T479" s="281">
        <f>'3. GRI Pricing'!X489</f>
        <v>0</v>
      </c>
      <c r="U479" s="282">
        <f>'3. GRI Pricing'!Y489</f>
        <v>0</v>
      </c>
    </row>
    <row r="480" spans="3:21" x14ac:dyDescent="0.2">
      <c r="C480" s="23">
        <f>'3. GRI Pricing'!C490</f>
        <v>0</v>
      </c>
      <c r="D480" s="16">
        <f>'3. GRI Pricing'!D490</f>
        <v>0</v>
      </c>
      <c r="E480" s="16">
        <f>'3. GRI Pricing'!E490</f>
        <v>0</v>
      </c>
      <c r="F480" s="16">
        <f>'3. GRI Pricing'!F490</f>
        <v>0</v>
      </c>
      <c r="G480" s="16">
        <f>'3. GRI Pricing'!G490</f>
        <v>0</v>
      </c>
      <c r="H480" s="16">
        <f>'3. GRI Pricing'!H490</f>
        <v>0</v>
      </c>
      <c r="I480" s="280">
        <f>'3. GRI Pricing'!K490</f>
        <v>0</v>
      </c>
      <c r="J480" s="281">
        <f>'3. GRI Pricing'!O490</f>
        <v>0</v>
      </c>
      <c r="K480" s="281">
        <f>'3. GRI Pricing'!L490</f>
        <v>0</v>
      </c>
      <c r="L480" s="281">
        <f>'3. GRI Pricing'!P490</f>
        <v>0</v>
      </c>
      <c r="M480" s="281">
        <f>'3. GRI Pricing'!R490</f>
        <v>0</v>
      </c>
      <c r="N480" s="281">
        <f>'3. GRI Pricing'!S490</f>
        <v>0</v>
      </c>
      <c r="O480" s="281">
        <f>'3. GRI Pricing'!Q490</f>
        <v>0</v>
      </c>
      <c r="P480" s="281">
        <f>'3. GRI Pricing'!T490</f>
        <v>0</v>
      </c>
      <c r="Q480" s="281">
        <f>'3. GRI Pricing'!U490</f>
        <v>0</v>
      </c>
      <c r="R480" s="281">
        <f>'3. GRI Pricing'!V490</f>
        <v>0</v>
      </c>
      <c r="S480" s="281">
        <f>'3. GRI Pricing'!W490</f>
        <v>0</v>
      </c>
      <c r="T480" s="281">
        <f>'3. GRI Pricing'!X490</f>
        <v>0</v>
      </c>
      <c r="U480" s="282">
        <f>'3. GRI Pricing'!Y490</f>
        <v>0</v>
      </c>
    </row>
    <row r="481" spans="3:21" x14ac:dyDescent="0.2">
      <c r="C481" s="23">
        <f>'3. GRI Pricing'!C491</f>
        <v>0</v>
      </c>
      <c r="D481" s="16">
        <f>'3. GRI Pricing'!D491</f>
        <v>0</v>
      </c>
      <c r="E481" s="16">
        <f>'3. GRI Pricing'!E491</f>
        <v>0</v>
      </c>
      <c r="F481" s="16">
        <f>'3. GRI Pricing'!F491</f>
        <v>0</v>
      </c>
      <c r="G481" s="16">
        <f>'3. GRI Pricing'!G491</f>
        <v>0</v>
      </c>
      <c r="H481" s="16">
        <f>'3. GRI Pricing'!H491</f>
        <v>0</v>
      </c>
      <c r="I481" s="280">
        <f>'3. GRI Pricing'!K491</f>
        <v>0</v>
      </c>
      <c r="J481" s="281">
        <f>'3. GRI Pricing'!O491</f>
        <v>0</v>
      </c>
      <c r="K481" s="281">
        <f>'3. GRI Pricing'!L491</f>
        <v>0</v>
      </c>
      <c r="L481" s="281">
        <f>'3. GRI Pricing'!P491</f>
        <v>0</v>
      </c>
      <c r="M481" s="281">
        <f>'3. GRI Pricing'!R491</f>
        <v>0</v>
      </c>
      <c r="N481" s="281">
        <f>'3. GRI Pricing'!S491</f>
        <v>0</v>
      </c>
      <c r="O481" s="281">
        <f>'3. GRI Pricing'!Q491</f>
        <v>0</v>
      </c>
      <c r="P481" s="281">
        <f>'3. GRI Pricing'!T491</f>
        <v>0</v>
      </c>
      <c r="Q481" s="281">
        <f>'3. GRI Pricing'!U491</f>
        <v>0</v>
      </c>
      <c r="R481" s="281">
        <f>'3. GRI Pricing'!V491</f>
        <v>0</v>
      </c>
      <c r="S481" s="281">
        <f>'3. GRI Pricing'!W491</f>
        <v>0</v>
      </c>
      <c r="T481" s="281">
        <f>'3. GRI Pricing'!X491</f>
        <v>0</v>
      </c>
      <c r="U481" s="282">
        <f>'3. GRI Pricing'!Y491</f>
        <v>0</v>
      </c>
    </row>
    <row r="482" spans="3:21" x14ac:dyDescent="0.2">
      <c r="C482" s="23">
        <f>'3. GRI Pricing'!C492</f>
        <v>0</v>
      </c>
      <c r="D482" s="16">
        <f>'3. GRI Pricing'!D492</f>
        <v>0</v>
      </c>
      <c r="E482" s="16">
        <f>'3. GRI Pricing'!E492</f>
        <v>0</v>
      </c>
      <c r="F482" s="16">
        <f>'3. GRI Pricing'!F492</f>
        <v>0</v>
      </c>
      <c r="G482" s="16">
        <f>'3. GRI Pricing'!G492</f>
        <v>0</v>
      </c>
      <c r="H482" s="16">
        <f>'3. GRI Pricing'!H492</f>
        <v>0</v>
      </c>
      <c r="I482" s="280">
        <f>'3. GRI Pricing'!K492</f>
        <v>0</v>
      </c>
      <c r="J482" s="281">
        <f>'3. GRI Pricing'!O492</f>
        <v>0</v>
      </c>
      <c r="K482" s="281">
        <f>'3. GRI Pricing'!L492</f>
        <v>0</v>
      </c>
      <c r="L482" s="281">
        <f>'3. GRI Pricing'!P492</f>
        <v>0</v>
      </c>
      <c r="M482" s="281">
        <f>'3. GRI Pricing'!R492</f>
        <v>0</v>
      </c>
      <c r="N482" s="281">
        <f>'3. GRI Pricing'!S492</f>
        <v>0</v>
      </c>
      <c r="O482" s="281">
        <f>'3. GRI Pricing'!Q492</f>
        <v>0</v>
      </c>
      <c r="P482" s="281">
        <f>'3. GRI Pricing'!T492</f>
        <v>0</v>
      </c>
      <c r="Q482" s="281">
        <f>'3. GRI Pricing'!U492</f>
        <v>0</v>
      </c>
      <c r="R482" s="281">
        <f>'3. GRI Pricing'!V492</f>
        <v>0</v>
      </c>
      <c r="S482" s="281">
        <f>'3. GRI Pricing'!W492</f>
        <v>0</v>
      </c>
      <c r="T482" s="281">
        <f>'3. GRI Pricing'!X492</f>
        <v>0</v>
      </c>
      <c r="U482" s="282">
        <f>'3. GRI Pricing'!Y492</f>
        <v>0</v>
      </c>
    </row>
    <row r="483" spans="3:21" x14ac:dyDescent="0.2">
      <c r="C483" s="23">
        <f>'3. GRI Pricing'!C493</f>
        <v>0</v>
      </c>
      <c r="D483" s="16">
        <f>'3. GRI Pricing'!D493</f>
        <v>0</v>
      </c>
      <c r="E483" s="16">
        <f>'3. GRI Pricing'!E493</f>
        <v>0</v>
      </c>
      <c r="F483" s="16">
        <f>'3. GRI Pricing'!F493</f>
        <v>0</v>
      </c>
      <c r="G483" s="16">
        <f>'3. GRI Pricing'!G493</f>
        <v>0</v>
      </c>
      <c r="H483" s="16">
        <f>'3. GRI Pricing'!H493</f>
        <v>0</v>
      </c>
      <c r="I483" s="280">
        <f>'3. GRI Pricing'!K493</f>
        <v>0</v>
      </c>
      <c r="J483" s="281">
        <f>'3. GRI Pricing'!O493</f>
        <v>0</v>
      </c>
      <c r="K483" s="281">
        <f>'3. GRI Pricing'!L493</f>
        <v>0</v>
      </c>
      <c r="L483" s="281">
        <f>'3. GRI Pricing'!P493</f>
        <v>0</v>
      </c>
      <c r="M483" s="281">
        <f>'3. GRI Pricing'!R493</f>
        <v>0</v>
      </c>
      <c r="N483" s="281">
        <f>'3. GRI Pricing'!S493</f>
        <v>0</v>
      </c>
      <c r="O483" s="281">
        <f>'3. GRI Pricing'!Q493</f>
        <v>0</v>
      </c>
      <c r="P483" s="281">
        <f>'3. GRI Pricing'!T493</f>
        <v>0</v>
      </c>
      <c r="Q483" s="281">
        <f>'3. GRI Pricing'!U493</f>
        <v>0</v>
      </c>
      <c r="R483" s="281">
        <f>'3. GRI Pricing'!V493</f>
        <v>0</v>
      </c>
      <c r="S483" s="281">
        <f>'3. GRI Pricing'!W493</f>
        <v>0</v>
      </c>
      <c r="T483" s="281">
        <f>'3. GRI Pricing'!X493</f>
        <v>0</v>
      </c>
      <c r="U483" s="282">
        <f>'3. GRI Pricing'!Y493</f>
        <v>0</v>
      </c>
    </row>
    <row r="484" spans="3:21" x14ac:dyDescent="0.2">
      <c r="C484" s="23">
        <f>'3. GRI Pricing'!C494</f>
        <v>0</v>
      </c>
      <c r="D484" s="16">
        <f>'3. GRI Pricing'!D494</f>
        <v>0</v>
      </c>
      <c r="E484" s="16">
        <f>'3. GRI Pricing'!E494</f>
        <v>0</v>
      </c>
      <c r="F484" s="16">
        <f>'3. GRI Pricing'!F494</f>
        <v>0</v>
      </c>
      <c r="G484" s="16">
        <f>'3. GRI Pricing'!G494</f>
        <v>0</v>
      </c>
      <c r="H484" s="16">
        <f>'3. GRI Pricing'!H494</f>
        <v>0</v>
      </c>
      <c r="I484" s="280">
        <f>'3. GRI Pricing'!K494</f>
        <v>0</v>
      </c>
      <c r="J484" s="281">
        <f>'3. GRI Pricing'!O494</f>
        <v>0</v>
      </c>
      <c r="K484" s="281">
        <f>'3. GRI Pricing'!L494</f>
        <v>0</v>
      </c>
      <c r="L484" s="281">
        <f>'3. GRI Pricing'!P494</f>
        <v>0</v>
      </c>
      <c r="M484" s="281">
        <f>'3. GRI Pricing'!R494</f>
        <v>0</v>
      </c>
      <c r="N484" s="281">
        <f>'3. GRI Pricing'!S494</f>
        <v>0</v>
      </c>
      <c r="O484" s="281">
        <f>'3. GRI Pricing'!Q494</f>
        <v>0</v>
      </c>
      <c r="P484" s="281">
        <f>'3. GRI Pricing'!T494</f>
        <v>0</v>
      </c>
      <c r="Q484" s="281">
        <f>'3. GRI Pricing'!U494</f>
        <v>0</v>
      </c>
      <c r="R484" s="281">
        <f>'3. GRI Pricing'!V494</f>
        <v>0</v>
      </c>
      <c r="S484" s="281">
        <f>'3. GRI Pricing'!W494</f>
        <v>0</v>
      </c>
      <c r="T484" s="281">
        <f>'3. GRI Pricing'!X494</f>
        <v>0</v>
      </c>
      <c r="U484" s="282">
        <f>'3. GRI Pricing'!Y494</f>
        <v>0</v>
      </c>
    </row>
    <row r="485" spans="3:21" x14ac:dyDescent="0.2">
      <c r="C485" s="23">
        <f>'3. GRI Pricing'!C495</f>
        <v>0</v>
      </c>
      <c r="D485" s="16">
        <f>'3. GRI Pricing'!D495</f>
        <v>0</v>
      </c>
      <c r="E485" s="16">
        <f>'3. GRI Pricing'!E495</f>
        <v>0</v>
      </c>
      <c r="F485" s="16">
        <f>'3. GRI Pricing'!F495</f>
        <v>0</v>
      </c>
      <c r="G485" s="16">
        <f>'3. GRI Pricing'!G495</f>
        <v>0</v>
      </c>
      <c r="H485" s="16">
        <f>'3. GRI Pricing'!H495</f>
        <v>0</v>
      </c>
      <c r="I485" s="280">
        <f>'3. GRI Pricing'!K495</f>
        <v>0</v>
      </c>
      <c r="J485" s="281">
        <f>'3. GRI Pricing'!O495</f>
        <v>0</v>
      </c>
      <c r="K485" s="281">
        <f>'3. GRI Pricing'!L495</f>
        <v>0</v>
      </c>
      <c r="L485" s="281">
        <f>'3. GRI Pricing'!P495</f>
        <v>0</v>
      </c>
      <c r="M485" s="281">
        <f>'3. GRI Pricing'!R495</f>
        <v>0</v>
      </c>
      <c r="N485" s="281">
        <f>'3. GRI Pricing'!S495</f>
        <v>0</v>
      </c>
      <c r="O485" s="281">
        <f>'3. GRI Pricing'!Q495</f>
        <v>0</v>
      </c>
      <c r="P485" s="281">
        <f>'3. GRI Pricing'!T495</f>
        <v>0</v>
      </c>
      <c r="Q485" s="281">
        <f>'3. GRI Pricing'!U495</f>
        <v>0</v>
      </c>
      <c r="R485" s="281">
        <f>'3. GRI Pricing'!V495</f>
        <v>0</v>
      </c>
      <c r="S485" s="281">
        <f>'3. GRI Pricing'!W495</f>
        <v>0</v>
      </c>
      <c r="T485" s="281">
        <f>'3. GRI Pricing'!X495</f>
        <v>0</v>
      </c>
      <c r="U485" s="282">
        <f>'3. GRI Pricing'!Y495</f>
        <v>0</v>
      </c>
    </row>
    <row r="486" spans="3:21" x14ac:dyDescent="0.2">
      <c r="C486" s="23">
        <f>'3. GRI Pricing'!C496</f>
        <v>0</v>
      </c>
      <c r="D486" s="16">
        <f>'3. GRI Pricing'!D496</f>
        <v>0</v>
      </c>
      <c r="E486" s="16">
        <f>'3. GRI Pricing'!E496</f>
        <v>0</v>
      </c>
      <c r="F486" s="16">
        <f>'3. GRI Pricing'!F496</f>
        <v>0</v>
      </c>
      <c r="G486" s="16">
        <f>'3. GRI Pricing'!G496</f>
        <v>0</v>
      </c>
      <c r="H486" s="16">
        <f>'3. GRI Pricing'!H496</f>
        <v>0</v>
      </c>
      <c r="I486" s="280">
        <f>'3. GRI Pricing'!K496</f>
        <v>0</v>
      </c>
      <c r="J486" s="281">
        <f>'3. GRI Pricing'!O496</f>
        <v>0</v>
      </c>
      <c r="K486" s="281">
        <f>'3. GRI Pricing'!L496</f>
        <v>0</v>
      </c>
      <c r="L486" s="281">
        <f>'3. GRI Pricing'!P496</f>
        <v>0</v>
      </c>
      <c r="M486" s="281">
        <f>'3. GRI Pricing'!R496</f>
        <v>0</v>
      </c>
      <c r="N486" s="281">
        <f>'3. GRI Pricing'!S496</f>
        <v>0</v>
      </c>
      <c r="O486" s="281">
        <f>'3. GRI Pricing'!Q496</f>
        <v>0</v>
      </c>
      <c r="P486" s="281">
        <f>'3. GRI Pricing'!T496</f>
        <v>0</v>
      </c>
      <c r="Q486" s="281">
        <f>'3. GRI Pricing'!U496</f>
        <v>0</v>
      </c>
      <c r="R486" s="281">
        <f>'3. GRI Pricing'!V496</f>
        <v>0</v>
      </c>
      <c r="S486" s="281">
        <f>'3. GRI Pricing'!W496</f>
        <v>0</v>
      </c>
      <c r="T486" s="281">
        <f>'3. GRI Pricing'!X496</f>
        <v>0</v>
      </c>
      <c r="U486" s="282">
        <f>'3. GRI Pricing'!Y496</f>
        <v>0</v>
      </c>
    </row>
    <row r="487" spans="3:21" x14ac:dyDescent="0.2">
      <c r="C487" s="23">
        <f>'3. GRI Pricing'!C497</f>
        <v>0</v>
      </c>
      <c r="D487" s="16">
        <f>'3. GRI Pricing'!D497</f>
        <v>0</v>
      </c>
      <c r="E487" s="16">
        <f>'3. GRI Pricing'!E497</f>
        <v>0</v>
      </c>
      <c r="F487" s="16">
        <f>'3. GRI Pricing'!F497</f>
        <v>0</v>
      </c>
      <c r="G487" s="16">
        <f>'3. GRI Pricing'!G497</f>
        <v>0</v>
      </c>
      <c r="H487" s="16">
        <f>'3. GRI Pricing'!H497</f>
        <v>0</v>
      </c>
      <c r="I487" s="280">
        <f>'3. GRI Pricing'!K497</f>
        <v>0</v>
      </c>
      <c r="J487" s="281">
        <f>'3. GRI Pricing'!O497</f>
        <v>0</v>
      </c>
      <c r="K487" s="281">
        <f>'3. GRI Pricing'!L497</f>
        <v>0</v>
      </c>
      <c r="L487" s="281">
        <f>'3. GRI Pricing'!P497</f>
        <v>0</v>
      </c>
      <c r="M487" s="281">
        <f>'3. GRI Pricing'!R497</f>
        <v>0</v>
      </c>
      <c r="N487" s="281">
        <f>'3. GRI Pricing'!S497</f>
        <v>0</v>
      </c>
      <c r="O487" s="281">
        <f>'3. GRI Pricing'!Q497</f>
        <v>0</v>
      </c>
      <c r="P487" s="281">
        <f>'3. GRI Pricing'!T497</f>
        <v>0</v>
      </c>
      <c r="Q487" s="281">
        <f>'3. GRI Pricing'!U497</f>
        <v>0</v>
      </c>
      <c r="R487" s="281">
        <f>'3. GRI Pricing'!V497</f>
        <v>0</v>
      </c>
      <c r="S487" s="281">
        <f>'3. GRI Pricing'!W497</f>
        <v>0</v>
      </c>
      <c r="T487" s="281">
        <f>'3. GRI Pricing'!X497</f>
        <v>0</v>
      </c>
      <c r="U487" s="282">
        <f>'3. GRI Pricing'!Y497</f>
        <v>0</v>
      </c>
    </row>
    <row r="488" spans="3:21" x14ac:dyDescent="0.2">
      <c r="C488" s="23">
        <f>'3. GRI Pricing'!C498</f>
        <v>0</v>
      </c>
      <c r="D488" s="16">
        <f>'3. GRI Pricing'!D498</f>
        <v>0</v>
      </c>
      <c r="E488" s="16">
        <f>'3. GRI Pricing'!E498</f>
        <v>0</v>
      </c>
      <c r="F488" s="16">
        <f>'3. GRI Pricing'!F498</f>
        <v>0</v>
      </c>
      <c r="G488" s="16">
        <f>'3. GRI Pricing'!G498</f>
        <v>0</v>
      </c>
      <c r="H488" s="16">
        <f>'3. GRI Pricing'!H498</f>
        <v>0</v>
      </c>
      <c r="I488" s="280">
        <f>'3. GRI Pricing'!K498</f>
        <v>0</v>
      </c>
      <c r="J488" s="281">
        <f>'3. GRI Pricing'!O498</f>
        <v>0</v>
      </c>
      <c r="K488" s="281">
        <f>'3. GRI Pricing'!L498</f>
        <v>0</v>
      </c>
      <c r="L488" s="281">
        <f>'3. GRI Pricing'!P498</f>
        <v>0</v>
      </c>
      <c r="M488" s="281">
        <f>'3. GRI Pricing'!R498</f>
        <v>0</v>
      </c>
      <c r="N488" s="281">
        <f>'3. GRI Pricing'!S498</f>
        <v>0</v>
      </c>
      <c r="O488" s="281">
        <f>'3. GRI Pricing'!Q498</f>
        <v>0</v>
      </c>
      <c r="P488" s="281">
        <f>'3. GRI Pricing'!T498</f>
        <v>0</v>
      </c>
      <c r="Q488" s="281">
        <f>'3. GRI Pricing'!U498</f>
        <v>0</v>
      </c>
      <c r="R488" s="281">
        <f>'3. GRI Pricing'!V498</f>
        <v>0</v>
      </c>
      <c r="S488" s="281">
        <f>'3. GRI Pricing'!W498</f>
        <v>0</v>
      </c>
      <c r="T488" s="281">
        <f>'3. GRI Pricing'!X498</f>
        <v>0</v>
      </c>
      <c r="U488" s="282">
        <f>'3. GRI Pricing'!Y498</f>
        <v>0</v>
      </c>
    </row>
    <row r="489" spans="3:21" x14ac:dyDescent="0.2">
      <c r="C489" s="23">
        <f>'3. GRI Pricing'!C499</f>
        <v>0</v>
      </c>
      <c r="D489" s="16">
        <f>'3. GRI Pricing'!D499</f>
        <v>0</v>
      </c>
      <c r="E489" s="16">
        <f>'3. GRI Pricing'!E499</f>
        <v>0</v>
      </c>
      <c r="F489" s="16">
        <f>'3. GRI Pricing'!F499</f>
        <v>0</v>
      </c>
      <c r="G489" s="16">
        <f>'3. GRI Pricing'!G499</f>
        <v>0</v>
      </c>
      <c r="H489" s="16">
        <f>'3. GRI Pricing'!H499</f>
        <v>0</v>
      </c>
      <c r="I489" s="280">
        <f>'3. GRI Pricing'!K499</f>
        <v>0</v>
      </c>
      <c r="J489" s="281">
        <f>'3. GRI Pricing'!O499</f>
        <v>0</v>
      </c>
      <c r="K489" s="281">
        <f>'3. GRI Pricing'!L499</f>
        <v>0</v>
      </c>
      <c r="L489" s="281">
        <f>'3. GRI Pricing'!P499</f>
        <v>0</v>
      </c>
      <c r="M489" s="281">
        <f>'3. GRI Pricing'!R499</f>
        <v>0</v>
      </c>
      <c r="N489" s="281">
        <f>'3. GRI Pricing'!S499</f>
        <v>0</v>
      </c>
      <c r="O489" s="281">
        <f>'3. GRI Pricing'!Q499</f>
        <v>0</v>
      </c>
      <c r="P489" s="281">
        <f>'3. GRI Pricing'!T499</f>
        <v>0</v>
      </c>
      <c r="Q489" s="281">
        <f>'3. GRI Pricing'!U499</f>
        <v>0</v>
      </c>
      <c r="R489" s="281">
        <f>'3. GRI Pricing'!V499</f>
        <v>0</v>
      </c>
      <c r="S489" s="281">
        <f>'3. GRI Pricing'!W499</f>
        <v>0</v>
      </c>
      <c r="T489" s="281">
        <f>'3. GRI Pricing'!X499</f>
        <v>0</v>
      </c>
      <c r="U489" s="282">
        <f>'3. GRI Pricing'!Y499</f>
        <v>0</v>
      </c>
    </row>
    <row r="490" spans="3:21" x14ac:dyDescent="0.2">
      <c r="C490" s="23">
        <f>'3. GRI Pricing'!C500</f>
        <v>0</v>
      </c>
      <c r="D490" s="16">
        <f>'3. GRI Pricing'!D500</f>
        <v>0</v>
      </c>
      <c r="E490" s="16">
        <f>'3. GRI Pricing'!E500</f>
        <v>0</v>
      </c>
      <c r="F490" s="16">
        <f>'3. GRI Pricing'!F500</f>
        <v>0</v>
      </c>
      <c r="G490" s="16">
        <f>'3. GRI Pricing'!G500</f>
        <v>0</v>
      </c>
      <c r="H490" s="16">
        <f>'3. GRI Pricing'!H500</f>
        <v>0</v>
      </c>
      <c r="I490" s="280">
        <f>'3. GRI Pricing'!K500</f>
        <v>0</v>
      </c>
      <c r="J490" s="281">
        <f>'3. GRI Pricing'!O500</f>
        <v>0</v>
      </c>
      <c r="K490" s="281">
        <f>'3. GRI Pricing'!L500</f>
        <v>0</v>
      </c>
      <c r="L490" s="281">
        <f>'3. GRI Pricing'!P500</f>
        <v>0</v>
      </c>
      <c r="M490" s="281">
        <f>'3. GRI Pricing'!R500</f>
        <v>0</v>
      </c>
      <c r="N490" s="281">
        <f>'3. GRI Pricing'!S500</f>
        <v>0</v>
      </c>
      <c r="O490" s="281">
        <f>'3. GRI Pricing'!Q500</f>
        <v>0</v>
      </c>
      <c r="P490" s="281">
        <f>'3. GRI Pricing'!T500</f>
        <v>0</v>
      </c>
      <c r="Q490" s="281">
        <f>'3. GRI Pricing'!U500</f>
        <v>0</v>
      </c>
      <c r="R490" s="281">
        <f>'3. GRI Pricing'!V500</f>
        <v>0</v>
      </c>
      <c r="S490" s="281">
        <f>'3. GRI Pricing'!W500</f>
        <v>0</v>
      </c>
      <c r="T490" s="281">
        <f>'3. GRI Pricing'!X500</f>
        <v>0</v>
      </c>
      <c r="U490" s="282">
        <f>'3. GRI Pricing'!Y500</f>
        <v>0</v>
      </c>
    </row>
    <row r="491" spans="3:21" x14ac:dyDescent="0.2">
      <c r="C491" s="23">
        <f>'3. GRI Pricing'!C501</f>
        <v>0</v>
      </c>
      <c r="D491" s="16">
        <f>'3. GRI Pricing'!D501</f>
        <v>0</v>
      </c>
      <c r="E491" s="16">
        <f>'3. GRI Pricing'!E501</f>
        <v>0</v>
      </c>
      <c r="F491" s="16">
        <f>'3. GRI Pricing'!F501</f>
        <v>0</v>
      </c>
      <c r="G491" s="16">
        <f>'3. GRI Pricing'!G501</f>
        <v>0</v>
      </c>
      <c r="H491" s="16">
        <f>'3. GRI Pricing'!H501</f>
        <v>0</v>
      </c>
      <c r="I491" s="280">
        <f>'3. GRI Pricing'!K501</f>
        <v>0</v>
      </c>
      <c r="J491" s="281">
        <f>'3. GRI Pricing'!O501</f>
        <v>0</v>
      </c>
      <c r="K491" s="281">
        <f>'3. GRI Pricing'!L501</f>
        <v>0</v>
      </c>
      <c r="L491" s="281">
        <f>'3. GRI Pricing'!P501</f>
        <v>0</v>
      </c>
      <c r="M491" s="281">
        <f>'3. GRI Pricing'!R501</f>
        <v>0</v>
      </c>
      <c r="N491" s="281">
        <f>'3. GRI Pricing'!S501</f>
        <v>0</v>
      </c>
      <c r="O491" s="281">
        <f>'3. GRI Pricing'!Q501</f>
        <v>0</v>
      </c>
      <c r="P491" s="281">
        <f>'3. GRI Pricing'!T501</f>
        <v>0</v>
      </c>
      <c r="Q491" s="281">
        <f>'3. GRI Pricing'!U501</f>
        <v>0</v>
      </c>
      <c r="R491" s="281">
        <f>'3. GRI Pricing'!V501</f>
        <v>0</v>
      </c>
      <c r="S491" s="281">
        <f>'3. GRI Pricing'!W501</f>
        <v>0</v>
      </c>
      <c r="T491" s="281">
        <f>'3. GRI Pricing'!X501</f>
        <v>0</v>
      </c>
      <c r="U491" s="282">
        <f>'3. GRI Pricing'!Y501</f>
        <v>0</v>
      </c>
    </row>
    <row r="492" spans="3:21" x14ac:dyDescent="0.2">
      <c r="C492" s="23">
        <f>'3. GRI Pricing'!C502</f>
        <v>0</v>
      </c>
      <c r="D492" s="16">
        <f>'3. GRI Pricing'!D502</f>
        <v>0</v>
      </c>
      <c r="E492" s="16">
        <f>'3. GRI Pricing'!E502</f>
        <v>0</v>
      </c>
      <c r="F492" s="16">
        <f>'3. GRI Pricing'!F502</f>
        <v>0</v>
      </c>
      <c r="G492" s="16">
        <f>'3. GRI Pricing'!G502</f>
        <v>0</v>
      </c>
      <c r="H492" s="16">
        <f>'3. GRI Pricing'!H502</f>
        <v>0</v>
      </c>
      <c r="I492" s="280">
        <f>'3. GRI Pricing'!K502</f>
        <v>0</v>
      </c>
      <c r="J492" s="281">
        <f>'3. GRI Pricing'!O502</f>
        <v>0</v>
      </c>
      <c r="K492" s="281">
        <f>'3. GRI Pricing'!L502</f>
        <v>0</v>
      </c>
      <c r="L492" s="281">
        <f>'3. GRI Pricing'!P502</f>
        <v>0</v>
      </c>
      <c r="M492" s="281">
        <f>'3. GRI Pricing'!R502</f>
        <v>0</v>
      </c>
      <c r="N492" s="281">
        <f>'3. GRI Pricing'!S502</f>
        <v>0</v>
      </c>
      <c r="O492" s="281">
        <f>'3. GRI Pricing'!Q502</f>
        <v>0</v>
      </c>
      <c r="P492" s="281">
        <f>'3. GRI Pricing'!T502</f>
        <v>0</v>
      </c>
      <c r="Q492" s="281">
        <f>'3. GRI Pricing'!U502</f>
        <v>0</v>
      </c>
      <c r="R492" s="281">
        <f>'3. GRI Pricing'!V502</f>
        <v>0</v>
      </c>
      <c r="S492" s="281">
        <f>'3. GRI Pricing'!W502</f>
        <v>0</v>
      </c>
      <c r="T492" s="281">
        <f>'3. GRI Pricing'!X502</f>
        <v>0</v>
      </c>
      <c r="U492" s="282">
        <f>'3. GRI Pricing'!Y502</f>
        <v>0</v>
      </c>
    </row>
    <row r="493" spans="3:21" x14ac:dyDescent="0.2">
      <c r="C493" s="23">
        <f>'3. GRI Pricing'!C503</f>
        <v>0</v>
      </c>
      <c r="D493" s="16">
        <f>'3. GRI Pricing'!D503</f>
        <v>0</v>
      </c>
      <c r="E493" s="16">
        <f>'3. GRI Pricing'!E503</f>
        <v>0</v>
      </c>
      <c r="F493" s="16">
        <f>'3. GRI Pricing'!F503</f>
        <v>0</v>
      </c>
      <c r="G493" s="16">
        <f>'3. GRI Pricing'!G503</f>
        <v>0</v>
      </c>
      <c r="H493" s="16">
        <f>'3. GRI Pricing'!H503</f>
        <v>0</v>
      </c>
      <c r="I493" s="280">
        <f>'3. GRI Pricing'!K503</f>
        <v>0</v>
      </c>
      <c r="J493" s="281">
        <f>'3. GRI Pricing'!O503</f>
        <v>0</v>
      </c>
      <c r="K493" s="281">
        <f>'3. GRI Pricing'!L503</f>
        <v>0</v>
      </c>
      <c r="L493" s="281">
        <f>'3. GRI Pricing'!P503</f>
        <v>0</v>
      </c>
      <c r="M493" s="281">
        <f>'3. GRI Pricing'!R503</f>
        <v>0</v>
      </c>
      <c r="N493" s="281">
        <f>'3. GRI Pricing'!S503</f>
        <v>0</v>
      </c>
      <c r="O493" s="281">
        <f>'3. GRI Pricing'!Q503</f>
        <v>0</v>
      </c>
      <c r="P493" s="281">
        <f>'3. GRI Pricing'!T503</f>
        <v>0</v>
      </c>
      <c r="Q493" s="281">
        <f>'3. GRI Pricing'!U503</f>
        <v>0</v>
      </c>
      <c r="R493" s="281">
        <f>'3. GRI Pricing'!V503</f>
        <v>0</v>
      </c>
      <c r="S493" s="281">
        <f>'3. GRI Pricing'!W503</f>
        <v>0</v>
      </c>
      <c r="T493" s="281">
        <f>'3. GRI Pricing'!X503</f>
        <v>0</v>
      </c>
      <c r="U493" s="282">
        <f>'3. GRI Pricing'!Y503</f>
        <v>0</v>
      </c>
    </row>
    <row r="494" spans="3:21" x14ac:dyDescent="0.2">
      <c r="C494" s="23">
        <f>'3. GRI Pricing'!C504</f>
        <v>0</v>
      </c>
      <c r="D494" s="16">
        <f>'3. GRI Pricing'!D504</f>
        <v>0</v>
      </c>
      <c r="E494" s="16">
        <f>'3. GRI Pricing'!E504</f>
        <v>0</v>
      </c>
      <c r="F494" s="16">
        <f>'3. GRI Pricing'!F504</f>
        <v>0</v>
      </c>
      <c r="G494" s="16">
        <f>'3. GRI Pricing'!G504</f>
        <v>0</v>
      </c>
      <c r="H494" s="16">
        <f>'3. GRI Pricing'!H504</f>
        <v>0</v>
      </c>
      <c r="I494" s="280">
        <f>'3. GRI Pricing'!K504</f>
        <v>0</v>
      </c>
      <c r="J494" s="281">
        <f>'3. GRI Pricing'!O504</f>
        <v>0</v>
      </c>
      <c r="K494" s="281">
        <f>'3. GRI Pricing'!L504</f>
        <v>0</v>
      </c>
      <c r="L494" s="281">
        <f>'3. GRI Pricing'!P504</f>
        <v>0</v>
      </c>
      <c r="M494" s="281">
        <f>'3. GRI Pricing'!R504</f>
        <v>0</v>
      </c>
      <c r="N494" s="281">
        <f>'3. GRI Pricing'!S504</f>
        <v>0</v>
      </c>
      <c r="O494" s="281">
        <f>'3. GRI Pricing'!Q504</f>
        <v>0</v>
      </c>
      <c r="P494" s="281">
        <f>'3. GRI Pricing'!T504</f>
        <v>0</v>
      </c>
      <c r="Q494" s="281">
        <f>'3. GRI Pricing'!U504</f>
        <v>0</v>
      </c>
      <c r="R494" s="281">
        <f>'3. GRI Pricing'!V504</f>
        <v>0</v>
      </c>
      <c r="S494" s="281">
        <f>'3. GRI Pricing'!W504</f>
        <v>0</v>
      </c>
      <c r="T494" s="281">
        <f>'3. GRI Pricing'!X504</f>
        <v>0</v>
      </c>
      <c r="U494" s="282">
        <f>'3. GRI Pricing'!Y504</f>
        <v>0</v>
      </c>
    </row>
    <row r="495" spans="3:21" x14ac:dyDescent="0.2">
      <c r="C495" s="23">
        <f>'3. GRI Pricing'!C505</f>
        <v>0</v>
      </c>
      <c r="D495" s="16">
        <f>'3. GRI Pricing'!D505</f>
        <v>0</v>
      </c>
      <c r="E495" s="16">
        <f>'3. GRI Pricing'!E505</f>
        <v>0</v>
      </c>
      <c r="F495" s="16">
        <f>'3. GRI Pricing'!F505</f>
        <v>0</v>
      </c>
      <c r="G495" s="16">
        <f>'3. GRI Pricing'!G505</f>
        <v>0</v>
      </c>
      <c r="H495" s="16">
        <f>'3. GRI Pricing'!H505</f>
        <v>0</v>
      </c>
      <c r="I495" s="280">
        <f>'3. GRI Pricing'!K505</f>
        <v>0</v>
      </c>
      <c r="J495" s="281">
        <f>'3. GRI Pricing'!O505</f>
        <v>0</v>
      </c>
      <c r="K495" s="281">
        <f>'3. GRI Pricing'!L505</f>
        <v>0</v>
      </c>
      <c r="L495" s="281">
        <f>'3. GRI Pricing'!P505</f>
        <v>0</v>
      </c>
      <c r="M495" s="281">
        <f>'3. GRI Pricing'!R505</f>
        <v>0</v>
      </c>
      <c r="N495" s="281">
        <f>'3. GRI Pricing'!S505</f>
        <v>0</v>
      </c>
      <c r="O495" s="281">
        <f>'3. GRI Pricing'!Q505</f>
        <v>0</v>
      </c>
      <c r="P495" s="281">
        <f>'3. GRI Pricing'!T505</f>
        <v>0</v>
      </c>
      <c r="Q495" s="281">
        <f>'3. GRI Pricing'!U505</f>
        <v>0</v>
      </c>
      <c r="R495" s="281">
        <f>'3. GRI Pricing'!V505</f>
        <v>0</v>
      </c>
      <c r="S495" s="281">
        <f>'3. GRI Pricing'!W505</f>
        <v>0</v>
      </c>
      <c r="T495" s="281">
        <f>'3. GRI Pricing'!X505</f>
        <v>0</v>
      </c>
      <c r="U495" s="282">
        <f>'3. GRI Pricing'!Y505</f>
        <v>0</v>
      </c>
    </row>
    <row r="496" spans="3:21" x14ac:dyDescent="0.2">
      <c r="C496" s="23">
        <f>'3. GRI Pricing'!C506</f>
        <v>0</v>
      </c>
      <c r="D496" s="16">
        <f>'3. GRI Pricing'!D506</f>
        <v>0</v>
      </c>
      <c r="E496" s="16">
        <f>'3. GRI Pricing'!E506</f>
        <v>0</v>
      </c>
      <c r="F496" s="16">
        <f>'3. GRI Pricing'!F506</f>
        <v>0</v>
      </c>
      <c r="G496" s="16">
        <f>'3. GRI Pricing'!G506</f>
        <v>0</v>
      </c>
      <c r="H496" s="16">
        <f>'3. GRI Pricing'!H506</f>
        <v>0</v>
      </c>
      <c r="I496" s="280">
        <f>'3. GRI Pricing'!K506</f>
        <v>0</v>
      </c>
      <c r="J496" s="281">
        <f>'3. GRI Pricing'!O506</f>
        <v>0</v>
      </c>
      <c r="K496" s="281">
        <f>'3. GRI Pricing'!L506</f>
        <v>0</v>
      </c>
      <c r="L496" s="281">
        <f>'3. GRI Pricing'!P506</f>
        <v>0</v>
      </c>
      <c r="M496" s="281">
        <f>'3. GRI Pricing'!R506</f>
        <v>0</v>
      </c>
      <c r="N496" s="281">
        <f>'3. GRI Pricing'!S506</f>
        <v>0</v>
      </c>
      <c r="O496" s="281">
        <f>'3. GRI Pricing'!Q506</f>
        <v>0</v>
      </c>
      <c r="P496" s="281">
        <f>'3. GRI Pricing'!T506</f>
        <v>0</v>
      </c>
      <c r="Q496" s="281">
        <f>'3. GRI Pricing'!U506</f>
        <v>0</v>
      </c>
      <c r="R496" s="281">
        <f>'3. GRI Pricing'!V506</f>
        <v>0</v>
      </c>
      <c r="S496" s="281">
        <f>'3. GRI Pricing'!W506</f>
        <v>0</v>
      </c>
      <c r="T496" s="281">
        <f>'3. GRI Pricing'!X506</f>
        <v>0</v>
      </c>
      <c r="U496" s="282">
        <f>'3. GRI Pricing'!Y506</f>
        <v>0</v>
      </c>
    </row>
    <row r="497" spans="3:21" x14ac:dyDescent="0.2">
      <c r="C497" s="23">
        <f>'3. GRI Pricing'!C507</f>
        <v>0</v>
      </c>
      <c r="D497" s="16">
        <f>'3. GRI Pricing'!D507</f>
        <v>0</v>
      </c>
      <c r="E497" s="16">
        <f>'3. GRI Pricing'!E507</f>
        <v>0</v>
      </c>
      <c r="F497" s="16">
        <f>'3. GRI Pricing'!F507</f>
        <v>0</v>
      </c>
      <c r="G497" s="16">
        <f>'3. GRI Pricing'!G507</f>
        <v>0</v>
      </c>
      <c r="H497" s="16">
        <f>'3. GRI Pricing'!H507</f>
        <v>0</v>
      </c>
      <c r="I497" s="280">
        <f>'3. GRI Pricing'!K507</f>
        <v>0</v>
      </c>
      <c r="J497" s="281">
        <f>'3. GRI Pricing'!O507</f>
        <v>0</v>
      </c>
      <c r="K497" s="281">
        <f>'3. GRI Pricing'!L507</f>
        <v>0</v>
      </c>
      <c r="L497" s="281">
        <f>'3. GRI Pricing'!P507</f>
        <v>0</v>
      </c>
      <c r="M497" s="281">
        <f>'3. GRI Pricing'!R507</f>
        <v>0</v>
      </c>
      <c r="N497" s="281">
        <f>'3. GRI Pricing'!S507</f>
        <v>0</v>
      </c>
      <c r="O497" s="281">
        <f>'3. GRI Pricing'!Q507</f>
        <v>0</v>
      </c>
      <c r="P497" s="281">
        <f>'3. GRI Pricing'!T507</f>
        <v>0</v>
      </c>
      <c r="Q497" s="281">
        <f>'3. GRI Pricing'!U507</f>
        <v>0</v>
      </c>
      <c r="R497" s="281">
        <f>'3. GRI Pricing'!V507</f>
        <v>0</v>
      </c>
      <c r="S497" s="281">
        <f>'3. GRI Pricing'!W507</f>
        <v>0</v>
      </c>
      <c r="T497" s="281">
        <f>'3. GRI Pricing'!X507</f>
        <v>0</v>
      </c>
      <c r="U497" s="282">
        <f>'3. GRI Pricing'!Y507</f>
        <v>0</v>
      </c>
    </row>
    <row r="498" spans="3:21" x14ac:dyDescent="0.2">
      <c r="C498" s="23">
        <f>'3. GRI Pricing'!C508</f>
        <v>0</v>
      </c>
      <c r="D498" s="16">
        <f>'3. GRI Pricing'!D508</f>
        <v>0</v>
      </c>
      <c r="E498" s="16">
        <f>'3. GRI Pricing'!E508</f>
        <v>0</v>
      </c>
      <c r="F498" s="16">
        <f>'3. GRI Pricing'!F508</f>
        <v>0</v>
      </c>
      <c r="G498" s="16">
        <f>'3. GRI Pricing'!G508</f>
        <v>0</v>
      </c>
      <c r="H498" s="16">
        <f>'3. GRI Pricing'!H508</f>
        <v>0</v>
      </c>
      <c r="I498" s="280">
        <f>'3. GRI Pricing'!K508</f>
        <v>0</v>
      </c>
      <c r="J498" s="281">
        <f>'3. GRI Pricing'!O508</f>
        <v>0</v>
      </c>
      <c r="K498" s="281">
        <f>'3. GRI Pricing'!L508</f>
        <v>0</v>
      </c>
      <c r="L498" s="281">
        <f>'3. GRI Pricing'!P508</f>
        <v>0</v>
      </c>
      <c r="M498" s="281">
        <f>'3. GRI Pricing'!R508</f>
        <v>0</v>
      </c>
      <c r="N498" s="281">
        <f>'3. GRI Pricing'!S508</f>
        <v>0</v>
      </c>
      <c r="O498" s="281">
        <f>'3. GRI Pricing'!Q508</f>
        <v>0</v>
      </c>
      <c r="P498" s="281">
        <f>'3. GRI Pricing'!T508</f>
        <v>0</v>
      </c>
      <c r="Q498" s="281">
        <f>'3. GRI Pricing'!U508</f>
        <v>0</v>
      </c>
      <c r="R498" s="281">
        <f>'3. GRI Pricing'!V508</f>
        <v>0</v>
      </c>
      <c r="S498" s="281">
        <f>'3. GRI Pricing'!W508</f>
        <v>0</v>
      </c>
      <c r="T498" s="281">
        <f>'3. GRI Pricing'!X508</f>
        <v>0</v>
      </c>
      <c r="U498" s="282">
        <f>'3. GRI Pricing'!Y508</f>
        <v>0</v>
      </c>
    </row>
    <row r="499" spans="3:21" x14ac:dyDescent="0.2">
      <c r="C499" s="23">
        <f>'3. GRI Pricing'!C509</f>
        <v>0</v>
      </c>
      <c r="D499" s="16">
        <f>'3. GRI Pricing'!D509</f>
        <v>0</v>
      </c>
      <c r="E499" s="16">
        <f>'3. GRI Pricing'!E509</f>
        <v>0</v>
      </c>
      <c r="F499" s="16">
        <f>'3. GRI Pricing'!F509</f>
        <v>0</v>
      </c>
      <c r="G499" s="16">
        <f>'3. GRI Pricing'!G509</f>
        <v>0</v>
      </c>
      <c r="H499" s="16">
        <f>'3. GRI Pricing'!H509</f>
        <v>0</v>
      </c>
      <c r="I499" s="280">
        <f>'3. GRI Pricing'!K509</f>
        <v>0</v>
      </c>
      <c r="J499" s="281">
        <f>'3. GRI Pricing'!O509</f>
        <v>0</v>
      </c>
      <c r="K499" s="281">
        <f>'3. GRI Pricing'!L509</f>
        <v>0</v>
      </c>
      <c r="L499" s="281">
        <f>'3. GRI Pricing'!P509</f>
        <v>0</v>
      </c>
      <c r="M499" s="281">
        <f>'3. GRI Pricing'!R509</f>
        <v>0</v>
      </c>
      <c r="N499" s="281">
        <f>'3. GRI Pricing'!S509</f>
        <v>0</v>
      </c>
      <c r="O499" s="281">
        <f>'3. GRI Pricing'!Q509</f>
        <v>0</v>
      </c>
      <c r="P499" s="281">
        <f>'3. GRI Pricing'!T509</f>
        <v>0</v>
      </c>
      <c r="Q499" s="281">
        <f>'3. GRI Pricing'!U509</f>
        <v>0</v>
      </c>
      <c r="R499" s="281">
        <f>'3. GRI Pricing'!V509</f>
        <v>0</v>
      </c>
      <c r="S499" s="281">
        <f>'3. GRI Pricing'!W509</f>
        <v>0</v>
      </c>
      <c r="T499" s="281">
        <f>'3. GRI Pricing'!X509</f>
        <v>0</v>
      </c>
      <c r="U499" s="282">
        <f>'3. GRI Pricing'!Y509</f>
        <v>0</v>
      </c>
    </row>
    <row r="500" spans="3:21" x14ac:dyDescent="0.2">
      <c r="C500" s="23">
        <f>'3. GRI Pricing'!C510</f>
        <v>0</v>
      </c>
      <c r="D500" s="16">
        <f>'3. GRI Pricing'!D510</f>
        <v>0</v>
      </c>
      <c r="E500" s="16">
        <f>'3. GRI Pricing'!E510</f>
        <v>0</v>
      </c>
      <c r="F500" s="16">
        <f>'3. GRI Pricing'!F510</f>
        <v>0</v>
      </c>
      <c r="G500" s="16">
        <f>'3. GRI Pricing'!G510</f>
        <v>0</v>
      </c>
      <c r="H500" s="16">
        <f>'3. GRI Pricing'!H510</f>
        <v>0</v>
      </c>
      <c r="I500" s="280">
        <f>'3. GRI Pricing'!K510</f>
        <v>0</v>
      </c>
      <c r="J500" s="281">
        <f>'3. GRI Pricing'!O510</f>
        <v>0</v>
      </c>
      <c r="K500" s="281">
        <f>'3. GRI Pricing'!L510</f>
        <v>0</v>
      </c>
      <c r="L500" s="281">
        <f>'3. GRI Pricing'!P510</f>
        <v>0</v>
      </c>
      <c r="M500" s="281">
        <f>'3. GRI Pricing'!R510</f>
        <v>0</v>
      </c>
      <c r="N500" s="281">
        <f>'3. GRI Pricing'!S510</f>
        <v>0</v>
      </c>
      <c r="O500" s="281">
        <f>'3. GRI Pricing'!Q510</f>
        <v>0</v>
      </c>
      <c r="P500" s="281">
        <f>'3. GRI Pricing'!T510</f>
        <v>0</v>
      </c>
      <c r="Q500" s="281">
        <f>'3. GRI Pricing'!U510</f>
        <v>0</v>
      </c>
      <c r="R500" s="281">
        <f>'3. GRI Pricing'!V510</f>
        <v>0</v>
      </c>
      <c r="S500" s="281">
        <f>'3. GRI Pricing'!W510</f>
        <v>0</v>
      </c>
      <c r="T500" s="281">
        <f>'3. GRI Pricing'!X510</f>
        <v>0</v>
      </c>
      <c r="U500" s="282">
        <f>'3. GRI Pricing'!Y510</f>
        <v>0</v>
      </c>
    </row>
    <row r="501" spans="3:21" x14ac:dyDescent="0.2">
      <c r="C501" s="23">
        <f>'3. GRI Pricing'!C511</f>
        <v>0</v>
      </c>
      <c r="D501" s="16">
        <f>'3. GRI Pricing'!D511</f>
        <v>0</v>
      </c>
      <c r="E501" s="16">
        <f>'3. GRI Pricing'!E511</f>
        <v>0</v>
      </c>
      <c r="F501" s="16">
        <f>'3. GRI Pricing'!F511</f>
        <v>0</v>
      </c>
      <c r="G501" s="16">
        <f>'3. GRI Pricing'!G511</f>
        <v>0</v>
      </c>
      <c r="H501" s="16">
        <f>'3. GRI Pricing'!H511</f>
        <v>0</v>
      </c>
      <c r="I501" s="280">
        <f>'3. GRI Pricing'!K511</f>
        <v>0</v>
      </c>
      <c r="J501" s="281">
        <f>'3. GRI Pricing'!O511</f>
        <v>0</v>
      </c>
      <c r="K501" s="281">
        <f>'3. GRI Pricing'!L511</f>
        <v>0</v>
      </c>
      <c r="L501" s="281">
        <f>'3. GRI Pricing'!P511</f>
        <v>0</v>
      </c>
      <c r="M501" s="281">
        <f>'3. GRI Pricing'!R511</f>
        <v>0</v>
      </c>
      <c r="N501" s="281">
        <f>'3. GRI Pricing'!S511</f>
        <v>0</v>
      </c>
      <c r="O501" s="281">
        <f>'3. GRI Pricing'!Q511</f>
        <v>0</v>
      </c>
      <c r="P501" s="281">
        <f>'3. GRI Pricing'!T511</f>
        <v>0</v>
      </c>
      <c r="Q501" s="281">
        <f>'3. GRI Pricing'!U511</f>
        <v>0</v>
      </c>
      <c r="R501" s="281">
        <f>'3. GRI Pricing'!V511</f>
        <v>0</v>
      </c>
      <c r="S501" s="281">
        <f>'3. GRI Pricing'!W511</f>
        <v>0</v>
      </c>
      <c r="T501" s="281">
        <f>'3. GRI Pricing'!X511</f>
        <v>0</v>
      </c>
      <c r="U501" s="282">
        <f>'3. GRI Pricing'!Y511</f>
        <v>0</v>
      </c>
    </row>
    <row r="502" spans="3:21" x14ac:dyDescent="0.2">
      <c r="C502" s="23">
        <f>'3. GRI Pricing'!C512</f>
        <v>0</v>
      </c>
      <c r="D502" s="16">
        <f>'3. GRI Pricing'!D512</f>
        <v>0</v>
      </c>
      <c r="E502" s="16">
        <f>'3. GRI Pricing'!E512</f>
        <v>0</v>
      </c>
      <c r="F502" s="16">
        <f>'3. GRI Pricing'!F512</f>
        <v>0</v>
      </c>
      <c r="G502" s="16">
        <f>'3. GRI Pricing'!G512</f>
        <v>0</v>
      </c>
      <c r="H502" s="16">
        <f>'3. GRI Pricing'!H512</f>
        <v>0</v>
      </c>
      <c r="I502" s="280">
        <f>'3. GRI Pricing'!K512</f>
        <v>0</v>
      </c>
      <c r="J502" s="281">
        <f>'3. GRI Pricing'!O512</f>
        <v>0</v>
      </c>
      <c r="K502" s="281">
        <f>'3. GRI Pricing'!L512</f>
        <v>0</v>
      </c>
      <c r="L502" s="281">
        <f>'3. GRI Pricing'!P512</f>
        <v>0</v>
      </c>
      <c r="M502" s="281">
        <f>'3. GRI Pricing'!R512</f>
        <v>0</v>
      </c>
      <c r="N502" s="281">
        <f>'3. GRI Pricing'!S512</f>
        <v>0</v>
      </c>
      <c r="O502" s="281">
        <f>'3. GRI Pricing'!Q512</f>
        <v>0</v>
      </c>
      <c r="P502" s="281">
        <f>'3. GRI Pricing'!T512</f>
        <v>0</v>
      </c>
      <c r="Q502" s="281">
        <f>'3. GRI Pricing'!U512</f>
        <v>0</v>
      </c>
      <c r="R502" s="281">
        <f>'3. GRI Pricing'!V512</f>
        <v>0</v>
      </c>
      <c r="S502" s="281">
        <f>'3. GRI Pricing'!W512</f>
        <v>0</v>
      </c>
      <c r="T502" s="281">
        <f>'3. GRI Pricing'!X512</f>
        <v>0</v>
      </c>
      <c r="U502" s="282">
        <f>'3. GRI Pricing'!Y512</f>
        <v>0</v>
      </c>
    </row>
    <row r="503" spans="3:21" x14ac:dyDescent="0.2">
      <c r="C503" s="23">
        <f>'3. GRI Pricing'!C513</f>
        <v>0</v>
      </c>
      <c r="D503" s="16">
        <f>'3. GRI Pricing'!D513</f>
        <v>0</v>
      </c>
      <c r="E503" s="16">
        <f>'3. GRI Pricing'!E513</f>
        <v>0</v>
      </c>
      <c r="F503" s="16">
        <f>'3. GRI Pricing'!F513</f>
        <v>0</v>
      </c>
      <c r="G503" s="16">
        <f>'3. GRI Pricing'!G513</f>
        <v>0</v>
      </c>
      <c r="H503" s="16">
        <f>'3. GRI Pricing'!H513</f>
        <v>0</v>
      </c>
      <c r="I503" s="280">
        <f>'3. GRI Pricing'!K513</f>
        <v>0</v>
      </c>
      <c r="J503" s="281">
        <f>'3. GRI Pricing'!O513</f>
        <v>0</v>
      </c>
      <c r="K503" s="281">
        <f>'3. GRI Pricing'!L513</f>
        <v>0</v>
      </c>
      <c r="L503" s="281">
        <f>'3. GRI Pricing'!P513</f>
        <v>0</v>
      </c>
      <c r="M503" s="281">
        <f>'3. GRI Pricing'!R513</f>
        <v>0</v>
      </c>
      <c r="N503" s="281">
        <f>'3. GRI Pricing'!S513</f>
        <v>0</v>
      </c>
      <c r="O503" s="281">
        <f>'3. GRI Pricing'!Q513</f>
        <v>0</v>
      </c>
      <c r="P503" s="281">
        <f>'3. GRI Pricing'!T513</f>
        <v>0</v>
      </c>
      <c r="Q503" s="281">
        <f>'3. GRI Pricing'!U513</f>
        <v>0</v>
      </c>
      <c r="R503" s="281">
        <f>'3. GRI Pricing'!V513</f>
        <v>0</v>
      </c>
      <c r="S503" s="281">
        <f>'3. GRI Pricing'!W513</f>
        <v>0</v>
      </c>
      <c r="T503" s="281">
        <f>'3. GRI Pricing'!X513</f>
        <v>0</v>
      </c>
      <c r="U503" s="282">
        <f>'3. GRI Pricing'!Y513</f>
        <v>0</v>
      </c>
    </row>
    <row r="504" spans="3:21" x14ac:dyDescent="0.2">
      <c r="C504" s="23">
        <f>'3. GRI Pricing'!C514</f>
        <v>0</v>
      </c>
      <c r="D504" s="16">
        <f>'3. GRI Pricing'!D514</f>
        <v>0</v>
      </c>
      <c r="E504" s="16">
        <f>'3. GRI Pricing'!E514</f>
        <v>0</v>
      </c>
      <c r="F504" s="16">
        <f>'3. GRI Pricing'!F514</f>
        <v>0</v>
      </c>
      <c r="G504" s="16">
        <f>'3. GRI Pricing'!G514</f>
        <v>0</v>
      </c>
      <c r="H504" s="16">
        <f>'3. GRI Pricing'!H514</f>
        <v>0</v>
      </c>
      <c r="I504" s="280">
        <f>'3. GRI Pricing'!K514</f>
        <v>0</v>
      </c>
      <c r="J504" s="281">
        <f>'3. GRI Pricing'!O514</f>
        <v>0</v>
      </c>
      <c r="K504" s="281">
        <f>'3. GRI Pricing'!L514</f>
        <v>0</v>
      </c>
      <c r="L504" s="281">
        <f>'3. GRI Pricing'!P514</f>
        <v>0</v>
      </c>
      <c r="M504" s="281">
        <f>'3. GRI Pricing'!R514</f>
        <v>0</v>
      </c>
      <c r="N504" s="281">
        <f>'3. GRI Pricing'!S514</f>
        <v>0</v>
      </c>
      <c r="O504" s="281">
        <f>'3. GRI Pricing'!Q514</f>
        <v>0</v>
      </c>
      <c r="P504" s="281">
        <f>'3. GRI Pricing'!T514</f>
        <v>0</v>
      </c>
      <c r="Q504" s="281">
        <f>'3. GRI Pricing'!U514</f>
        <v>0</v>
      </c>
      <c r="R504" s="281">
        <f>'3. GRI Pricing'!V514</f>
        <v>0</v>
      </c>
      <c r="S504" s="281">
        <f>'3. GRI Pricing'!W514</f>
        <v>0</v>
      </c>
      <c r="T504" s="281">
        <f>'3. GRI Pricing'!X514</f>
        <v>0</v>
      </c>
      <c r="U504" s="282">
        <f>'3. GRI Pricing'!Y514</f>
        <v>0</v>
      </c>
    </row>
    <row r="505" spans="3:21" x14ac:dyDescent="0.2">
      <c r="C505" s="23">
        <f>'3. GRI Pricing'!C515</f>
        <v>0</v>
      </c>
      <c r="D505" s="16">
        <f>'3. GRI Pricing'!D515</f>
        <v>0</v>
      </c>
      <c r="E505" s="16">
        <f>'3. GRI Pricing'!E515</f>
        <v>0</v>
      </c>
      <c r="F505" s="16">
        <f>'3. GRI Pricing'!F515</f>
        <v>0</v>
      </c>
      <c r="G505" s="16">
        <f>'3. GRI Pricing'!G515</f>
        <v>0</v>
      </c>
      <c r="H505" s="16">
        <f>'3. GRI Pricing'!H515</f>
        <v>0</v>
      </c>
      <c r="I505" s="280">
        <f>'3. GRI Pricing'!K515</f>
        <v>0</v>
      </c>
      <c r="J505" s="281">
        <f>'3. GRI Pricing'!O515</f>
        <v>0</v>
      </c>
      <c r="K505" s="281">
        <f>'3. GRI Pricing'!L515</f>
        <v>0</v>
      </c>
      <c r="L505" s="281">
        <f>'3. GRI Pricing'!P515</f>
        <v>0</v>
      </c>
      <c r="M505" s="281">
        <f>'3. GRI Pricing'!R515</f>
        <v>0</v>
      </c>
      <c r="N505" s="281">
        <f>'3. GRI Pricing'!S515</f>
        <v>0</v>
      </c>
      <c r="O505" s="281">
        <f>'3. GRI Pricing'!Q515</f>
        <v>0</v>
      </c>
      <c r="P505" s="281">
        <f>'3. GRI Pricing'!T515</f>
        <v>0</v>
      </c>
      <c r="Q505" s="281">
        <f>'3. GRI Pricing'!U515</f>
        <v>0</v>
      </c>
      <c r="R505" s="281">
        <f>'3. GRI Pricing'!V515</f>
        <v>0</v>
      </c>
      <c r="S505" s="281">
        <f>'3. GRI Pricing'!W515</f>
        <v>0</v>
      </c>
      <c r="T505" s="281">
        <f>'3. GRI Pricing'!X515</f>
        <v>0</v>
      </c>
      <c r="U505" s="282">
        <f>'3. GRI Pricing'!Y515</f>
        <v>0</v>
      </c>
    </row>
    <row r="506" spans="3:21" x14ac:dyDescent="0.2">
      <c r="C506" s="23">
        <f>'3. GRI Pricing'!C516</f>
        <v>0</v>
      </c>
      <c r="D506" s="16">
        <f>'3. GRI Pricing'!D516</f>
        <v>0</v>
      </c>
      <c r="E506" s="16">
        <f>'3. GRI Pricing'!E516</f>
        <v>0</v>
      </c>
      <c r="F506" s="16">
        <f>'3. GRI Pricing'!F516</f>
        <v>0</v>
      </c>
      <c r="G506" s="16">
        <f>'3. GRI Pricing'!G516</f>
        <v>0</v>
      </c>
      <c r="H506" s="16">
        <f>'3. GRI Pricing'!H516</f>
        <v>0</v>
      </c>
      <c r="I506" s="280">
        <f>'3. GRI Pricing'!K516</f>
        <v>0</v>
      </c>
      <c r="J506" s="281">
        <f>'3. GRI Pricing'!O516</f>
        <v>0</v>
      </c>
      <c r="K506" s="281">
        <f>'3. GRI Pricing'!L516</f>
        <v>0</v>
      </c>
      <c r="L506" s="281">
        <f>'3. GRI Pricing'!P516</f>
        <v>0</v>
      </c>
      <c r="M506" s="281">
        <f>'3. GRI Pricing'!R516</f>
        <v>0</v>
      </c>
      <c r="N506" s="281">
        <f>'3. GRI Pricing'!S516</f>
        <v>0</v>
      </c>
      <c r="O506" s="281">
        <f>'3. GRI Pricing'!Q516</f>
        <v>0</v>
      </c>
      <c r="P506" s="281">
        <f>'3. GRI Pricing'!T516</f>
        <v>0</v>
      </c>
      <c r="Q506" s="281">
        <f>'3. GRI Pricing'!U516</f>
        <v>0</v>
      </c>
      <c r="R506" s="281">
        <f>'3. GRI Pricing'!V516</f>
        <v>0</v>
      </c>
      <c r="S506" s="281">
        <f>'3. GRI Pricing'!W516</f>
        <v>0</v>
      </c>
      <c r="T506" s="281">
        <f>'3. GRI Pricing'!X516</f>
        <v>0</v>
      </c>
      <c r="U506" s="282">
        <f>'3. GRI Pricing'!Y516</f>
        <v>0</v>
      </c>
    </row>
    <row r="507" spans="3:21" x14ac:dyDescent="0.2">
      <c r="C507" s="23">
        <f>'3. GRI Pricing'!C517</f>
        <v>0</v>
      </c>
      <c r="D507" s="16">
        <f>'3. GRI Pricing'!D517</f>
        <v>0</v>
      </c>
      <c r="E507" s="16">
        <f>'3. GRI Pricing'!E517</f>
        <v>0</v>
      </c>
      <c r="F507" s="16">
        <f>'3. GRI Pricing'!F517</f>
        <v>0</v>
      </c>
      <c r="G507" s="16">
        <f>'3. GRI Pricing'!G517</f>
        <v>0</v>
      </c>
      <c r="H507" s="16">
        <f>'3. GRI Pricing'!H517</f>
        <v>0</v>
      </c>
      <c r="I507" s="280">
        <f>'3. GRI Pricing'!K517</f>
        <v>0</v>
      </c>
      <c r="J507" s="281">
        <f>'3. GRI Pricing'!O517</f>
        <v>0</v>
      </c>
      <c r="K507" s="281">
        <f>'3. GRI Pricing'!L517</f>
        <v>0</v>
      </c>
      <c r="L507" s="281">
        <f>'3. GRI Pricing'!P517</f>
        <v>0</v>
      </c>
      <c r="M507" s="281">
        <f>'3. GRI Pricing'!R517</f>
        <v>0</v>
      </c>
      <c r="N507" s="281">
        <f>'3. GRI Pricing'!S517</f>
        <v>0</v>
      </c>
      <c r="O507" s="281">
        <f>'3. GRI Pricing'!Q517</f>
        <v>0</v>
      </c>
      <c r="P507" s="281">
        <f>'3. GRI Pricing'!T517</f>
        <v>0</v>
      </c>
      <c r="Q507" s="281">
        <f>'3. GRI Pricing'!U517</f>
        <v>0</v>
      </c>
      <c r="R507" s="281">
        <f>'3. GRI Pricing'!V517</f>
        <v>0</v>
      </c>
      <c r="S507" s="281">
        <f>'3. GRI Pricing'!W517</f>
        <v>0</v>
      </c>
      <c r="T507" s="281">
        <f>'3. GRI Pricing'!X517</f>
        <v>0</v>
      </c>
      <c r="U507" s="282">
        <f>'3. GRI Pricing'!Y517</f>
        <v>0</v>
      </c>
    </row>
    <row r="508" spans="3:21" x14ac:dyDescent="0.2">
      <c r="C508" s="23">
        <f>'3. GRI Pricing'!C518</f>
        <v>0</v>
      </c>
      <c r="D508" s="16">
        <f>'3. GRI Pricing'!D518</f>
        <v>0</v>
      </c>
      <c r="E508" s="16">
        <f>'3. GRI Pricing'!E518</f>
        <v>0</v>
      </c>
      <c r="F508" s="16">
        <f>'3. GRI Pricing'!F518</f>
        <v>0</v>
      </c>
      <c r="G508" s="16">
        <f>'3. GRI Pricing'!G518</f>
        <v>0</v>
      </c>
      <c r="H508" s="16">
        <f>'3. GRI Pricing'!H518</f>
        <v>0</v>
      </c>
      <c r="I508" s="280">
        <f>'3. GRI Pricing'!K518</f>
        <v>0</v>
      </c>
      <c r="J508" s="281">
        <f>'3. GRI Pricing'!O518</f>
        <v>0</v>
      </c>
      <c r="K508" s="281">
        <f>'3. GRI Pricing'!L518</f>
        <v>0</v>
      </c>
      <c r="L508" s="281">
        <f>'3. GRI Pricing'!P518</f>
        <v>0</v>
      </c>
      <c r="M508" s="281">
        <f>'3. GRI Pricing'!R518</f>
        <v>0</v>
      </c>
      <c r="N508" s="281">
        <f>'3. GRI Pricing'!S518</f>
        <v>0</v>
      </c>
      <c r="O508" s="281">
        <f>'3. GRI Pricing'!Q518</f>
        <v>0</v>
      </c>
      <c r="P508" s="281">
        <f>'3. GRI Pricing'!T518</f>
        <v>0</v>
      </c>
      <c r="Q508" s="281">
        <f>'3. GRI Pricing'!U518</f>
        <v>0</v>
      </c>
      <c r="R508" s="281">
        <f>'3. GRI Pricing'!V518</f>
        <v>0</v>
      </c>
      <c r="S508" s="281">
        <f>'3. GRI Pricing'!W518</f>
        <v>0</v>
      </c>
      <c r="T508" s="281">
        <f>'3. GRI Pricing'!X518</f>
        <v>0</v>
      </c>
      <c r="U508" s="282">
        <f>'3. GRI Pricing'!Y518</f>
        <v>0</v>
      </c>
    </row>
    <row r="509" spans="3:21" x14ac:dyDescent="0.2">
      <c r="C509" s="23">
        <f>'3. GRI Pricing'!C519</f>
        <v>0</v>
      </c>
      <c r="D509" s="16">
        <f>'3. GRI Pricing'!D519</f>
        <v>0</v>
      </c>
      <c r="E509" s="16">
        <f>'3. GRI Pricing'!E519</f>
        <v>0</v>
      </c>
      <c r="F509" s="16">
        <f>'3. GRI Pricing'!F519</f>
        <v>0</v>
      </c>
      <c r="G509" s="16">
        <f>'3. GRI Pricing'!G519</f>
        <v>0</v>
      </c>
      <c r="H509" s="16">
        <f>'3. GRI Pricing'!H519</f>
        <v>0</v>
      </c>
      <c r="I509" s="280">
        <f>'3. GRI Pricing'!K519</f>
        <v>0</v>
      </c>
      <c r="J509" s="281">
        <f>'3. GRI Pricing'!O519</f>
        <v>0</v>
      </c>
      <c r="K509" s="281">
        <f>'3. GRI Pricing'!L519</f>
        <v>0</v>
      </c>
      <c r="L509" s="281">
        <f>'3. GRI Pricing'!P519</f>
        <v>0</v>
      </c>
      <c r="M509" s="281">
        <f>'3. GRI Pricing'!R519</f>
        <v>0</v>
      </c>
      <c r="N509" s="281">
        <f>'3. GRI Pricing'!S519</f>
        <v>0</v>
      </c>
      <c r="O509" s="281">
        <f>'3. GRI Pricing'!Q519</f>
        <v>0</v>
      </c>
      <c r="P509" s="281">
        <f>'3. GRI Pricing'!T519</f>
        <v>0</v>
      </c>
      <c r="Q509" s="281">
        <f>'3. GRI Pricing'!U519</f>
        <v>0</v>
      </c>
      <c r="R509" s="281">
        <f>'3. GRI Pricing'!V519</f>
        <v>0</v>
      </c>
      <c r="S509" s="281">
        <f>'3. GRI Pricing'!W519</f>
        <v>0</v>
      </c>
      <c r="T509" s="281">
        <f>'3. GRI Pricing'!X519</f>
        <v>0</v>
      </c>
      <c r="U509" s="282">
        <f>'3. GRI Pricing'!Y519</f>
        <v>0</v>
      </c>
    </row>
    <row r="510" spans="3:21" x14ac:dyDescent="0.2">
      <c r="C510" s="23">
        <f>'3. GRI Pricing'!C520</f>
        <v>0</v>
      </c>
      <c r="D510" s="16">
        <f>'3. GRI Pricing'!D520</f>
        <v>0</v>
      </c>
      <c r="E510" s="16">
        <f>'3. GRI Pricing'!E520</f>
        <v>0</v>
      </c>
      <c r="F510" s="16">
        <f>'3. GRI Pricing'!F520</f>
        <v>0</v>
      </c>
      <c r="G510" s="16">
        <f>'3. GRI Pricing'!G520</f>
        <v>0</v>
      </c>
      <c r="H510" s="16">
        <f>'3. GRI Pricing'!H520</f>
        <v>0</v>
      </c>
      <c r="I510" s="280">
        <f>'3. GRI Pricing'!K520</f>
        <v>0</v>
      </c>
      <c r="J510" s="281">
        <f>'3. GRI Pricing'!O520</f>
        <v>0</v>
      </c>
      <c r="K510" s="281">
        <f>'3. GRI Pricing'!L520</f>
        <v>0</v>
      </c>
      <c r="L510" s="281">
        <f>'3. GRI Pricing'!P520</f>
        <v>0</v>
      </c>
      <c r="M510" s="281">
        <f>'3. GRI Pricing'!R520</f>
        <v>0</v>
      </c>
      <c r="N510" s="281">
        <f>'3. GRI Pricing'!S520</f>
        <v>0</v>
      </c>
      <c r="O510" s="281">
        <f>'3. GRI Pricing'!Q520</f>
        <v>0</v>
      </c>
      <c r="P510" s="281">
        <f>'3. GRI Pricing'!T520</f>
        <v>0</v>
      </c>
      <c r="Q510" s="281">
        <f>'3. GRI Pricing'!U520</f>
        <v>0</v>
      </c>
      <c r="R510" s="281">
        <f>'3. GRI Pricing'!V520</f>
        <v>0</v>
      </c>
      <c r="S510" s="281">
        <f>'3. GRI Pricing'!W520</f>
        <v>0</v>
      </c>
      <c r="T510" s="281">
        <f>'3. GRI Pricing'!X520</f>
        <v>0</v>
      </c>
      <c r="U510" s="282">
        <f>'3. GRI Pricing'!Y520</f>
        <v>0</v>
      </c>
    </row>
    <row r="511" spans="3:21" x14ac:dyDescent="0.2">
      <c r="C511" s="23">
        <f>'3. GRI Pricing'!C521</f>
        <v>0</v>
      </c>
      <c r="D511" s="16">
        <f>'3. GRI Pricing'!D521</f>
        <v>0</v>
      </c>
      <c r="E511" s="16">
        <f>'3. GRI Pricing'!E521</f>
        <v>0</v>
      </c>
      <c r="F511" s="16">
        <f>'3. GRI Pricing'!F521</f>
        <v>0</v>
      </c>
      <c r="G511" s="16">
        <f>'3. GRI Pricing'!G521</f>
        <v>0</v>
      </c>
      <c r="H511" s="16">
        <f>'3. GRI Pricing'!H521</f>
        <v>0</v>
      </c>
      <c r="I511" s="280">
        <f>'3. GRI Pricing'!K521</f>
        <v>0</v>
      </c>
      <c r="J511" s="281">
        <f>'3. GRI Pricing'!O521</f>
        <v>0</v>
      </c>
      <c r="K511" s="281">
        <f>'3. GRI Pricing'!L521</f>
        <v>0</v>
      </c>
      <c r="L511" s="281">
        <f>'3. GRI Pricing'!P521</f>
        <v>0</v>
      </c>
      <c r="M511" s="281">
        <f>'3. GRI Pricing'!R521</f>
        <v>0</v>
      </c>
      <c r="N511" s="281">
        <f>'3. GRI Pricing'!S521</f>
        <v>0</v>
      </c>
      <c r="O511" s="281">
        <f>'3. GRI Pricing'!Q521</f>
        <v>0</v>
      </c>
      <c r="P511" s="281">
        <f>'3. GRI Pricing'!T521</f>
        <v>0</v>
      </c>
      <c r="Q511" s="281">
        <f>'3. GRI Pricing'!U521</f>
        <v>0</v>
      </c>
      <c r="R511" s="281">
        <f>'3. GRI Pricing'!V521</f>
        <v>0</v>
      </c>
      <c r="S511" s="281">
        <f>'3. GRI Pricing'!W521</f>
        <v>0</v>
      </c>
      <c r="T511" s="281">
        <f>'3. GRI Pricing'!X521</f>
        <v>0</v>
      </c>
      <c r="U511" s="282">
        <f>'3. GRI Pricing'!Y521</f>
        <v>0</v>
      </c>
    </row>
    <row r="512" spans="3:21" x14ac:dyDescent="0.2">
      <c r="C512" s="23">
        <f>'3. GRI Pricing'!C522</f>
        <v>0</v>
      </c>
      <c r="D512" s="16">
        <f>'3. GRI Pricing'!D522</f>
        <v>0</v>
      </c>
      <c r="E512" s="16">
        <f>'3. GRI Pricing'!E522</f>
        <v>0</v>
      </c>
      <c r="F512" s="16">
        <f>'3. GRI Pricing'!F522</f>
        <v>0</v>
      </c>
      <c r="G512" s="16">
        <f>'3. GRI Pricing'!G522</f>
        <v>0</v>
      </c>
      <c r="H512" s="16">
        <f>'3. GRI Pricing'!H522</f>
        <v>0</v>
      </c>
      <c r="I512" s="280">
        <f>'3. GRI Pricing'!K522</f>
        <v>0</v>
      </c>
      <c r="J512" s="281">
        <f>'3. GRI Pricing'!O522</f>
        <v>0</v>
      </c>
      <c r="K512" s="281">
        <f>'3. GRI Pricing'!L522</f>
        <v>0</v>
      </c>
      <c r="L512" s="281">
        <f>'3. GRI Pricing'!P522</f>
        <v>0</v>
      </c>
      <c r="M512" s="281">
        <f>'3. GRI Pricing'!R522</f>
        <v>0</v>
      </c>
      <c r="N512" s="281">
        <f>'3. GRI Pricing'!S522</f>
        <v>0</v>
      </c>
      <c r="O512" s="281">
        <f>'3. GRI Pricing'!Q522</f>
        <v>0</v>
      </c>
      <c r="P512" s="281">
        <f>'3. GRI Pricing'!T522</f>
        <v>0</v>
      </c>
      <c r="Q512" s="281">
        <f>'3. GRI Pricing'!U522</f>
        <v>0</v>
      </c>
      <c r="R512" s="281">
        <f>'3. GRI Pricing'!V522</f>
        <v>0</v>
      </c>
      <c r="S512" s="281">
        <f>'3. GRI Pricing'!W522</f>
        <v>0</v>
      </c>
      <c r="T512" s="281">
        <f>'3. GRI Pricing'!X522</f>
        <v>0</v>
      </c>
      <c r="U512" s="282">
        <f>'3. GRI Pricing'!Y522</f>
        <v>0</v>
      </c>
    </row>
    <row r="513" spans="3:21" x14ac:dyDescent="0.2">
      <c r="C513" s="23">
        <f>'3. GRI Pricing'!C523</f>
        <v>0</v>
      </c>
      <c r="D513" s="16">
        <f>'3. GRI Pricing'!D523</f>
        <v>0</v>
      </c>
      <c r="E513" s="16">
        <f>'3. GRI Pricing'!E523</f>
        <v>0</v>
      </c>
      <c r="F513" s="16">
        <f>'3. GRI Pricing'!F523</f>
        <v>0</v>
      </c>
      <c r="G513" s="16">
        <f>'3. GRI Pricing'!G523</f>
        <v>0</v>
      </c>
      <c r="H513" s="16">
        <f>'3. GRI Pricing'!H523</f>
        <v>0</v>
      </c>
      <c r="I513" s="280">
        <f>'3. GRI Pricing'!K523</f>
        <v>0</v>
      </c>
      <c r="J513" s="281">
        <f>'3. GRI Pricing'!O523</f>
        <v>0</v>
      </c>
      <c r="K513" s="281">
        <f>'3. GRI Pricing'!L523</f>
        <v>0</v>
      </c>
      <c r="L513" s="281">
        <f>'3. GRI Pricing'!P523</f>
        <v>0</v>
      </c>
      <c r="M513" s="281">
        <f>'3. GRI Pricing'!R523</f>
        <v>0</v>
      </c>
      <c r="N513" s="281">
        <f>'3. GRI Pricing'!S523</f>
        <v>0</v>
      </c>
      <c r="O513" s="281">
        <f>'3. GRI Pricing'!Q523</f>
        <v>0</v>
      </c>
      <c r="P513" s="281">
        <f>'3. GRI Pricing'!T523</f>
        <v>0</v>
      </c>
      <c r="Q513" s="281">
        <f>'3. GRI Pricing'!U523</f>
        <v>0</v>
      </c>
      <c r="R513" s="281">
        <f>'3. GRI Pricing'!V523</f>
        <v>0</v>
      </c>
      <c r="S513" s="281">
        <f>'3. GRI Pricing'!W523</f>
        <v>0</v>
      </c>
      <c r="T513" s="281">
        <f>'3. GRI Pricing'!X523</f>
        <v>0</v>
      </c>
      <c r="U513" s="282">
        <f>'3. GRI Pricing'!Y523</f>
        <v>0</v>
      </c>
    </row>
    <row r="514" spans="3:21" x14ac:dyDescent="0.2">
      <c r="C514" s="23">
        <f>'3. GRI Pricing'!C524</f>
        <v>0</v>
      </c>
      <c r="D514" s="16">
        <f>'3. GRI Pricing'!D524</f>
        <v>0</v>
      </c>
      <c r="E514" s="16">
        <f>'3. GRI Pricing'!E524</f>
        <v>0</v>
      </c>
      <c r="F514" s="16">
        <f>'3. GRI Pricing'!F524</f>
        <v>0</v>
      </c>
      <c r="G514" s="16">
        <f>'3. GRI Pricing'!G524</f>
        <v>0</v>
      </c>
      <c r="H514" s="16">
        <f>'3. GRI Pricing'!H524</f>
        <v>0</v>
      </c>
      <c r="I514" s="280">
        <f>'3. GRI Pricing'!K524</f>
        <v>0</v>
      </c>
      <c r="J514" s="281">
        <f>'3. GRI Pricing'!O524</f>
        <v>0</v>
      </c>
      <c r="K514" s="281">
        <f>'3. GRI Pricing'!L524</f>
        <v>0</v>
      </c>
      <c r="L514" s="281">
        <f>'3. GRI Pricing'!P524</f>
        <v>0</v>
      </c>
      <c r="M514" s="281">
        <f>'3. GRI Pricing'!R524</f>
        <v>0</v>
      </c>
      <c r="N514" s="281">
        <f>'3. GRI Pricing'!S524</f>
        <v>0</v>
      </c>
      <c r="O514" s="281">
        <f>'3. GRI Pricing'!Q524</f>
        <v>0</v>
      </c>
      <c r="P514" s="281">
        <f>'3. GRI Pricing'!T524</f>
        <v>0</v>
      </c>
      <c r="Q514" s="281">
        <f>'3. GRI Pricing'!U524</f>
        <v>0</v>
      </c>
      <c r="R514" s="281">
        <f>'3. GRI Pricing'!V524</f>
        <v>0</v>
      </c>
      <c r="S514" s="281">
        <f>'3. GRI Pricing'!W524</f>
        <v>0</v>
      </c>
      <c r="T514" s="281">
        <f>'3. GRI Pricing'!X524</f>
        <v>0</v>
      </c>
      <c r="U514" s="282">
        <f>'3. GRI Pricing'!Y524</f>
        <v>0</v>
      </c>
    </row>
    <row r="515" spans="3:21" x14ac:dyDescent="0.2">
      <c r="C515" s="23">
        <f>'3. GRI Pricing'!C525</f>
        <v>0</v>
      </c>
      <c r="D515" s="16">
        <f>'3. GRI Pricing'!D525</f>
        <v>0</v>
      </c>
      <c r="E515" s="16">
        <f>'3. GRI Pricing'!E525</f>
        <v>0</v>
      </c>
      <c r="F515" s="16">
        <f>'3. GRI Pricing'!F525</f>
        <v>0</v>
      </c>
      <c r="G515" s="16">
        <f>'3. GRI Pricing'!G525</f>
        <v>0</v>
      </c>
      <c r="H515" s="16">
        <f>'3. GRI Pricing'!H525</f>
        <v>0</v>
      </c>
      <c r="I515" s="280">
        <f>'3. GRI Pricing'!K525</f>
        <v>0</v>
      </c>
      <c r="J515" s="281">
        <f>'3. GRI Pricing'!O525</f>
        <v>0</v>
      </c>
      <c r="K515" s="281">
        <f>'3. GRI Pricing'!L525</f>
        <v>0</v>
      </c>
      <c r="L515" s="281">
        <f>'3. GRI Pricing'!P525</f>
        <v>0</v>
      </c>
      <c r="M515" s="281">
        <f>'3. GRI Pricing'!R525</f>
        <v>0</v>
      </c>
      <c r="N515" s="281">
        <f>'3. GRI Pricing'!S525</f>
        <v>0</v>
      </c>
      <c r="O515" s="281">
        <f>'3. GRI Pricing'!Q525</f>
        <v>0</v>
      </c>
      <c r="P515" s="281">
        <f>'3. GRI Pricing'!T525</f>
        <v>0</v>
      </c>
      <c r="Q515" s="281">
        <f>'3. GRI Pricing'!U525</f>
        <v>0</v>
      </c>
      <c r="R515" s="281">
        <f>'3. GRI Pricing'!V525</f>
        <v>0</v>
      </c>
      <c r="S515" s="281">
        <f>'3. GRI Pricing'!W525</f>
        <v>0</v>
      </c>
      <c r="T515" s="281">
        <f>'3. GRI Pricing'!X525</f>
        <v>0</v>
      </c>
      <c r="U515" s="282">
        <f>'3. GRI Pricing'!Y525</f>
        <v>0</v>
      </c>
    </row>
    <row r="516" spans="3:21" x14ac:dyDescent="0.2">
      <c r="C516" s="23">
        <f>'3. GRI Pricing'!C526</f>
        <v>0</v>
      </c>
      <c r="D516" s="16">
        <f>'3. GRI Pricing'!D526</f>
        <v>0</v>
      </c>
      <c r="E516" s="16">
        <f>'3. GRI Pricing'!E526</f>
        <v>0</v>
      </c>
      <c r="F516" s="16">
        <f>'3. GRI Pricing'!F526</f>
        <v>0</v>
      </c>
      <c r="G516" s="16">
        <f>'3. GRI Pricing'!G526</f>
        <v>0</v>
      </c>
      <c r="H516" s="16">
        <f>'3. GRI Pricing'!H526</f>
        <v>0</v>
      </c>
      <c r="I516" s="280">
        <f>'3. GRI Pricing'!K526</f>
        <v>0</v>
      </c>
      <c r="J516" s="281">
        <f>'3. GRI Pricing'!O526</f>
        <v>0</v>
      </c>
      <c r="K516" s="281">
        <f>'3. GRI Pricing'!L526</f>
        <v>0</v>
      </c>
      <c r="L516" s="281">
        <f>'3. GRI Pricing'!P526</f>
        <v>0</v>
      </c>
      <c r="M516" s="281">
        <f>'3. GRI Pricing'!R526</f>
        <v>0</v>
      </c>
      <c r="N516" s="281">
        <f>'3. GRI Pricing'!S526</f>
        <v>0</v>
      </c>
      <c r="O516" s="281">
        <f>'3. GRI Pricing'!Q526</f>
        <v>0</v>
      </c>
      <c r="P516" s="281">
        <f>'3. GRI Pricing'!T526</f>
        <v>0</v>
      </c>
      <c r="Q516" s="281">
        <f>'3. GRI Pricing'!U526</f>
        <v>0</v>
      </c>
      <c r="R516" s="281">
        <f>'3. GRI Pricing'!V526</f>
        <v>0</v>
      </c>
      <c r="S516" s="281">
        <f>'3. GRI Pricing'!W526</f>
        <v>0</v>
      </c>
      <c r="T516" s="281">
        <f>'3. GRI Pricing'!X526</f>
        <v>0</v>
      </c>
      <c r="U516" s="282">
        <f>'3. GRI Pricing'!Y526</f>
        <v>0</v>
      </c>
    </row>
    <row r="517" spans="3:21" x14ac:dyDescent="0.2">
      <c r="C517" s="23">
        <f>'3. GRI Pricing'!C527</f>
        <v>0</v>
      </c>
      <c r="D517" s="16">
        <f>'3. GRI Pricing'!D527</f>
        <v>0</v>
      </c>
      <c r="E517" s="16">
        <f>'3. GRI Pricing'!E527</f>
        <v>0</v>
      </c>
      <c r="F517" s="16">
        <f>'3. GRI Pricing'!F527</f>
        <v>0</v>
      </c>
      <c r="G517" s="16">
        <f>'3. GRI Pricing'!G527</f>
        <v>0</v>
      </c>
      <c r="H517" s="16">
        <f>'3. GRI Pricing'!H527</f>
        <v>0</v>
      </c>
      <c r="I517" s="280">
        <f>'3. GRI Pricing'!K527</f>
        <v>0</v>
      </c>
      <c r="J517" s="281">
        <f>'3. GRI Pricing'!O527</f>
        <v>0</v>
      </c>
      <c r="K517" s="281">
        <f>'3. GRI Pricing'!L527</f>
        <v>0</v>
      </c>
      <c r="L517" s="281">
        <f>'3. GRI Pricing'!P527</f>
        <v>0</v>
      </c>
      <c r="M517" s="281">
        <f>'3. GRI Pricing'!R527</f>
        <v>0</v>
      </c>
      <c r="N517" s="281">
        <f>'3. GRI Pricing'!S527</f>
        <v>0</v>
      </c>
      <c r="O517" s="281">
        <f>'3. GRI Pricing'!Q527</f>
        <v>0</v>
      </c>
      <c r="P517" s="281">
        <f>'3. GRI Pricing'!T527</f>
        <v>0</v>
      </c>
      <c r="Q517" s="281">
        <f>'3. GRI Pricing'!U527</f>
        <v>0</v>
      </c>
      <c r="R517" s="281">
        <f>'3. GRI Pricing'!V527</f>
        <v>0</v>
      </c>
      <c r="S517" s="281">
        <f>'3. GRI Pricing'!W527</f>
        <v>0</v>
      </c>
      <c r="T517" s="281">
        <f>'3. GRI Pricing'!X527</f>
        <v>0</v>
      </c>
      <c r="U517" s="282">
        <f>'3. GRI Pricing'!Y527</f>
        <v>0</v>
      </c>
    </row>
    <row r="518" spans="3:21" x14ac:dyDescent="0.2">
      <c r="C518" s="23">
        <f>'3. GRI Pricing'!C528</f>
        <v>0</v>
      </c>
      <c r="D518" s="16">
        <f>'3. GRI Pricing'!D528</f>
        <v>0</v>
      </c>
      <c r="E518" s="16">
        <f>'3. GRI Pricing'!E528</f>
        <v>0</v>
      </c>
      <c r="F518" s="16">
        <f>'3. GRI Pricing'!F528</f>
        <v>0</v>
      </c>
      <c r="G518" s="16">
        <f>'3. GRI Pricing'!G528</f>
        <v>0</v>
      </c>
      <c r="H518" s="16">
        <f>'3. GRI Pricing'!H528</f>
        <v>0</v>
      </c>
      <c r="I518" s="280">
        <f>'3. GRI Pricing'!K528</f>
        <v>0</v>
      </c>
      <c r="J518" s="281">
        <f>'3. GRI Pricing'!O528</f>
        <v>0</v>
      </c>
      <c r="K518" s="281">
        <f>'3. GRI Pricing'!L528</f>
        <v>0</v>
      </c>
      <c r="L518" s="281">
        <f>'3. GRI Pricing'!P528</f>
        <v>0</v>
      </c>
      <c r="M518" s="281">
        <f>'3. GRI Pricing'!R528</f>
        <v>0</v>
      </c>
      <c r="N518" s="281">
        <f>'3. GRI Pricing'!S528</f>
        <v>0</v>
      </c>
      <c r="O518" s="281">
        <f>'3. GRI Pricing'!Q528</f>
        <v>0</v>
      </c>
      <c r="P518" s="281">
        <f>'3. GRI Pricing'!T528</f>
        <v>0</v>
      </c>
      <c r="Q518" s="281">
        <f>'3. GRI Pricing'!U528</f>
        <v>0</v>
      </c>
      <c r="R518" s="281">
        <f>'3. GRI Pricing'!V528</f>
        <v>0</v>
      </c>
      <c r="S518" s="281">
        <f>'3. GRI Pricing'!W528</f>
        <v>0</v>
      </c>
      <c r="T518" s="281">
        <f>'3. GRI Pricing'!X528</f>
        <v>0</v>
      </c>
      <c r="U518" s="282">
        <f>'3. GRI Pricing'!Y528</f>
        <v>0</v>
      </c>
    </row>
    <row r="519" spans="3:21" x14ac:dyDescent="0.2">
      <c r="C519" s="23">
        <f>'3. GRI Pricing'!C529</f>
        <v>0</v>
      </c>
      <c r="D519" s="16">
        <f>'3. GRI Pricing'!D529</f>
        <v>0</v>
      </c>
      <c r="E519" s="16">
        <f>'3. GRI Pricing'!E529</f>
        <v>0</v>
      </c>
      <c r="F519" s="16">
        <f>'3. GRI Pricing'!F529</f>
        <v>0</v>
      </c>
      <c r="G519" s="16">
        <f>'3. GRI Pricing'!G529</f>
        <v>0</v>
      </c>
      <c r="H519" s="16">
        <f>'3. GRI Pricing'!H529</f>
        <v>0</v>
      </c>
      <c r="I519" s="280">
        <f>'3. GRI Pricing'!K529</f>
        <v>0</v>
      </c>
      <c r="J519" s="281">
        <f>'3. GRI Pricing'!O529</f>
        <v>0</v>
      </c>
      <c r="K519" s="281">
        <f>'3. GRI Pricing'!L529</f>
        <v>0</v>
      </c>
      <c r="L519" s="281">
        <f>'3. GRI Pricing'!P529</f>
        <v>0</v>
      </c>
      <c r="M519" s="281">
        <f>'3. GRI Pricing'!R529</f>
        <v>0</v>
      </c>
      <c r="N519" s="281">
        <f>'3. GRI Pricing'!S529</f>
        <v>0</v>
      </c>
      <c r="O519" s="281">
        <f>'3. GRI Pricing'!Q529</f>
        <v>0</v>
      </c>
      <c r="P519" s="281">
        <f>'3. GRI Pricing'!T529</f>
        <v>0</v>
      </c>
      <c r="Q519" s="281">
        <f>'3. GRI Pricing'!U529</f>
        <v>0</v>
      </c>
      <c r="R519" s="281">
        <f>'3. GRI Pricing'!V529</f>
        <v>0</v>
      </c>
      <c r="S519" s="281">
        <f>'3. GRI Pricing'!W529</f>
        <v>0</v>
      </c>
      <c r="T519" s="281">
        <f>'3. GRI Pricing'!X529</f>
        <v>0</v>
      </c>
      <c r="U519" s="282">
        <f>'3. GRI Pricing'!Y529</f>
        <v>0</v>
      </c>
    </row>
    <row r="520" spans="3:21" x14ac:dyDescent="0.2">
      <c r="C520" s="23">
        <f>'3. GRI Pricing'!C530</f>
        <v>0</v>
      </c>
      <c r="D520" s="16">
        <f>'3. GRI Pricing'!D530</f>
        <v>0</v>
      </c>
      <c r="E520" s="16">
        <f>'3. GRI Pricing'!E530</f>
        <v>0</v>
      </c>
      <c r="F520" s="16">
        <f>'3. GRI Pricing'!F530</f>
        <v>0</v>
      </c>
      <c r="G520" s="16">
        <f>'3. GRI Pricing'!G530</f>
        <v>0</v>
      </c>
      <c r="H520" s="16">
        <f>'3. GRI Pricing'!H530</f>
        <v>0</v>
      </c>
      <c r="I520" s="280">
        <f>'3. GRI Pricing'!K530</f>
        <v>0</v>
      </c>
      <c r="J520" s="281">
        <f>'3. GRI Pricing'!O530</f>
        <v>0</v>
      </c>
      <c r="K520" s="281">
        <f>'3. GRI Pricing'!L530</f>
        <v>0</v>
      </c>
      <c r="L520" s="281">
        <f>'3. GRI Pricing'!P530</f>
        <v>0</v>
      </c>
      <c r="M520" s="281">
        <f>'3. GRI Pricing'!R530</f>
        <v>0</v>
      </c>
      <c r="N520" s="281">
        <f>'3. GRI Pricing'!S530</f>
        <v>0</v>
      </c>
      <c r="O520" s="281">
        <f>'3. GRI Pricing'!Q530</f>
        <v>0</v>
      </c>
      <c r="P520" s="281">
        <f>'3. GRI Pricing'!T530</f>
        <v>0</v>
      </c>
      <c r="Q520" s="281">
        <f>'3. GRI Pricing'!U530</f>
        <v>0</v>
      </c>
      <c r="R520" s="281">
        <f>'3. GRI Pricing'!V530</f>
        <v>0</v>
      </c>
      <c r="S520" s="281">
        <f>'3. GRI Pricing'!W530</f>
        <v>0</v>
      </c>
      <c r="T520" s="281">
        <f>'3. GRI Pricing'!X530</f>
        <v>0</v>
      </c>
      <c r="U520" s="282">
        <f>'3. GRI Pricing'!Y530</f>
        <v>0</v>
      </c>
    </row>
    <row r="521" spans="3:21" x14ac:dyDescent="0.2">
      <c r="C521" s="23">
        <f>'3. GRI Pricing'!C531</f>
        <v>0</v>
      </c>
      <c r="D521" s="16">
        <f>'3. GRI Pricing'!D531</f>
        <v>0</v>
      </c>
      <c r="E521" s="16">
        <f>'3. GRI Pricing'!E531</f>
        <v>0</v>
      </c>
      <c r="F521" s="16">
        <f>'3. GRI Pricing'!F531</f>
        <v>0</v>
      </c>
      <c r="G521" s="16">
        <f>'3. GRI Pricing'!G531</f>
        <v>0</v>
      </c>
      <c r="H521" s="16">
        <f>'3. GRI Pricing'!H531</f>
        <v>0</v>
      </c>
      <c r="I521" s="280">
        <f>'3. GRI Pricing'!K531</f>
        <v>0</v>
      </c>
      <c r="J521" s="281">
        <f>'3. GRI Pricing'!O531</f>
        <v>0</v>
      </c>
      <c r="K521" s="281">
        <f>'3. GRI Pricing'!L531</f>
        <v>0</v>
      </c>
      <c r="L521" s="281">
        <f>'3. GRI Pricing'!P531</f>
        <v>0</v>
      </c>
      <c r="M521" s="281">
        <f>'3. GRI Pricing'!R531</f>
        <v>0</v>
      </c>
      <c r="N521" s="281">
        <f>'3. GRI Pricing'!S531</f>
        <v>0</v>
      </c>
      <c r="O521" s="281">
        <f>'3. GRI Pricing'!Q531</f>
        <v>0</v>
      </c>
      <c r="P521" s="281">
        <f>'3. GRI Pricing'!T531</f>
        <v>0</v>
      </c>
      <c r="Q521" s="281">
        <f>'3. GRI Pricing'!U531</f>
        <v>0</v>
      </c>
      <c r="R521" s="281">
        <f>'3. GRI Pricing'!V531</f>
        <v>0</v>
      </c>
      <c r="S521" s="281">
        <f>'3. GRI Pricing'!W531</f>
        <v>0</v>
      </c>
      <c r="T521" s="281">
        <f>'3. GRI Pricing'!X531</f>
        <v>0</v>
      </c>
      <c r="U521" s="282">
        <f>'3. GRI Pricing'!Y531</f>
        <v>0</v>
      </c>
    </row>
    <row r="522" spans="3:21" x14ac:dyDescent="0.2">
      <c r="C522" s="23">
        <f>'3. GRI Pricing'!C532</f>
        <v>0</v>
      </c>
      <c r="D522" s="16">
        <f>'3. GRI Pricing'!D532</f>
        <v>0</v>
      </c>
      <c r="E522" s="16">
        <f>'3. GRI Pricing'!E532</f>
        <v>0</v>
      </c>
      <c r="F522" s="16">
        <f>'3. GRI Pricing'!F532</f>
        <v>0</v>
      </c>
      <c r="G522" s="16">
        <f>'3. GRI Pricing'!G532</f>
        <v>0</v>
      </c>
      <c r="H522" s="16">
        <f>'3. GRI Pricing'!H532</f>
        <v>0</v>
      </c>
      <c r="I522" s="280">
        <f>'3. GRI Pricing'!K532</f>
        <v>0</v>
      </c>
      <c r="J522" s="281">
        <f>'3. GRI Pricing'!O532</f>
        <v>0</v>
      </c>
      <c r="K522" s="281">
        <f>'3. GRI Pricing'!L532</f>
        <v>0</v>
      </c>
      <c r="L522" s="281">
        <f>'3. GRI Pricing'!P532</f>
        <v>0</v>
      </c>
      <c r="M522" s="281">
        <f>'3. GRI Pricing'!R532</f>
        <v>0</v>
      </c>
      <c r="N522" s="281">
        <f>'3. GRI Pricing'!S532</f>
        <v>0</v>
      </c>
      <c r="O522" s="281">
        <f>'3. GRI Pricing'!Q532</f>
        <v>0</v>
      </c>
      <c r="P522" s="281">
        <f>'3. GRI Pricing'!T532</f>
        <v>0</v>
      </c>
      <c r="Q522" s="281">
        <f>'3. GRI Pricing'!U532</f>
        <v>0</v>
      </c>
      <c r="R522" s="281">
        <f>'3. GRI Pricing'!V532</f>
        <v>0</v>
      </c>
      <c r="S522" s="281">
        <f>'3. GRI Pricing'!W532</f>
        <v>0</v>
      </c>
      <c r="T522" s="281">
        <f>'3. GRI Pricing'!X532</f>
        <v>0</v>
      </c>
      <c r="U522" s="282">
        <f>'3. GRI Pricing'!Y532</f>
        <v>0</v>
      </c>
    </row>
    <row r="523" spans="3:21" x14ac:dyDescent="0.2">
      <c r="C523" s="23">
        <f>'3. GRI Pricing'!C533</f>
        <v>0</v>
      </c>
      <c r="D523" s="16">
        <f>'3. GRI Pricing'!D533</f>
        <v>0</v>
      </c>
      <c r="E523" s="16">
        <f>'3. GRI Pricing'!E533</f>
        <v>0</v>
      </c>
      <c r="F523" s="16">
        <f>'3. GRI Pricing'!F533</f>
        <v>0</v>
      </c>
      <c r="G523" s="16">
        <f>'3. GRI Pricing'!G533</f>
        <v>0</v>
      </c>
      <c r="H523" s="16">
        <f>'3. GRI Pricing'!H533</f>
        <v>0</v>
      </c>
      <c r="I523" s="280">
        <f>'3. GRI Pricing'!K533</f>
        <v>0</v>
      </c>
      <c r="J523" s="281">
        <f>'3. GRI Pricing'!O533</f>
        <v>0</v>
      </c>
      <c r="K523" s="281">
        <f>'3. GRI Pricing'!L533</f>
        <v>0</v>
      </c>
      <c r="L523" s="281">
        <f>'3. GRI Pricing'!P533</f>
        <v>0</v>
      </c>
      <c r="M523" s="281">
        <f>'3. GRI Pricing'!R533</f>
        <v>0</v>
      </c>
      <c r="N523" s="281">
        <f>'3. GRI Pricing'!S533</f>
        <v>0</v>
      </c>
      <c r="O523" s="281">
        <f>'3. GRI Pricing'!Q533</f>
        <v>0</v>
      </c>
      <c r="P523" s="281">
        <f>'3. GRI Pricing'!T533</f>
        <v>0</v>
      </c>
      <c r="Q523" s="281">
        <f>'3. GRI Pricing'!U533</f>
        <v>0</v>
      </c>
      <c r="R523" s="281">
        <f>'3. GRI Pricing'!V533</f>
        <v>0</v>
      </c>
      <c r="S523" s="281">
        <f>'3. GRI Pricing'!W533</f>
        <v>0</v>
      </c>
      <c r="T523" s="281">
        <f>'3. GRI Pricing'!X533</f>
        <v>0</v>
      </c>
      <c r="U523" s="282">
        <f>'3. GRI Pricing'!Y533</f>
        <v>0</v>
      </c>
    </row>
    <row r="524" spans="3:21" x14ac:dyDescent="0.2">
      <c r="C524" s="23">
        <f>'3. GRI Pricing'!C534</f>
        <v>0</v>
      </c>
      <c r="D524" s="16">
        <f>'3. GRI Pricing'!D534</f>
        <v>0</v>
      </c>
      <c r="E524" s="16">
        <f>'3. GRI Pricing'!E534</f>
        <v>0</v>
      </c>
      <c r="F524" s="16">
        <f>'3. GRI Pricing'!F534</f>
        <v>0</v>
      </c>
      <c r="G524" s="16">
        <f>'3. GRI Pricing'!G534</f>
        <v>0</v>
      </c>
      <c r="H524" s="16">
        <f>'3. GRI Pricing'!H534</f>
        <v>0</v>
      </c>
      <c r="I524" s="280">
        <f>'3. GRI Pricing'!K534</f>
        <v>0</v>
      </c>
      <c r="J524" s="281">
        <f>'3. GRI Pricing'!O534</f>
        <v>0</v>
      </c>
      <c r="K524" s="281">
        <f>'3. GRI Pricing'!L534</f>
        <v>0</v>
      </c>
      <c r="L524" s="281">
        <f>'3. GRI Pricing'!P534</f>
        <v>0</v>
      </c>
      <c r="M524" s="281">
        <f>'3. GRI Pricing'!R534</f>
        <v>0</v>
      </c>
      <c r="N524" s="281">
        <f>'3. GRI Pricing'!S534</f>
        <v>0</v>
      </c>
      <c r="O524" s="281">
        <f>'3. GRI Pricing'!Q534</f>
        <v>0</v>
      </c>
      <c r="P524" s="281">
        <f>'3. GRI Pricing'!T534</f>
        <v>0</v>
      </c>
      <c r="Q524" s="281">
        <f>'3. GRI Pricing'!U534</f>
        <v>0</v>
      </c>
      <c r="R524" s="281">
        <f>'3. GRI Pricing'!V534</f>
        <v>0</v>
      </c>
      <c r="S524" s="281">
        <f>'3. GRI Pricing'!W534</f>
        <v>0</v>
      </c>
      <c r="T524" s="281">
        <f>'3. GRI Pricing'!X534</f>
        <v>0</v>
      </c>
      <c r="U524" s="282">
        <f>'3. GRI Pricing'!Y534</f>
        <v>0</v>
      </c>
    </row>
    <row r="525" spans="3:21" x14ac:dyDescent="0.2">
      <c r="C525" s="23">
        <f>'3. GRI Pricing'!C535</f>
        <v>0</v>
      </c>
      <c r="D525" s="16">
        <f>'3. GRI Pricing'!D535</f>
        <v>0</v>
      </c>
      <c r="E525" s="16">
        <f>'3. GRI Pricing'!E535</f>
        <v>0</v>
      </c>
      <c r="F525" s="16">
        <f>'3. GRI Pricing'!F535</f>
        <v>0</v>
      </c>
      <c r="G525" s="16">
        <f>'3. GRI Pricing'!G535</f>
        <v>0</v>
      </c>
      <c r="H525" s="16">
        <f>'3. GRI Pricing'!H535</f>
        <v>0</v>
      </c>
      <c r="I525" s="280">
        <f>'3. GRI Pricing'!K535</f>
        <v>0</v>
      </c>
      <c r="J525" s="281">
        <f>'3. GRI Pricing'!O535</f>
        <v>0</v>
      </c>
      <c r="K525" s="281">
        <f>'3. GRI Pricing'!L535</f>
        <v>0</v>
      </c>
      <c r="L525" s="281">
        <f>'3. GRI Pricing'!P535</f>
        <v>0</v>
      </c>
      <c r="M525" s="281">
        <f>'3. GRI Pricing'!R535</f>
        <v>0</v>
      </c>
      <c r="N525" s="281">
        <f>'3. GRI Pricing'!S535</f>
        <v>0</v>
      </c>
      <c r="O525" s="281">
        <f>'3. GRI Pricing'!Q535</f>
        <v>0</v>
      </c>
      <c r="P525" s="281">
        <f>'3. GRI Pricing'!T535</f>
        <v>0</v>
      </c>
      <c r="Q525" s="281">
        <f>'3. GRI Pricing'!U535</f>
        <v>0</v>
      </c>
      <c r="R525" s="281">
        <f>'3. GRI Pricing'!V535</f>
        <v>0</v>
      </c>
      <c r="S525" s="281">
        <f>'3. GRI Pricing'!W535</f>
        <v>0</v>
      </c>
      <c r="T525" s="281">
        <f>'3. GRI Pricing'!X535</f>
        <v>0</v>
      </c>
      <c r="U525" s="282">
        <f>'3. GRI Pricing'!Y535</f>
        <v>0</v>
      </c>
    </row>
    <row r="526" spans="3:21" x14ac:dyDescent="0.2">
      <c r="C526" s="23">
        <f>'3. GRI Pricing'!C536</f>
        <v>0</v>
      </c>
      <c r="D526" s="16">
        <f>'3. GRI Pricing'!D536</f>
        <v>0</v>
      </c>
      <c r="E526" s="16">
        <f>'3. GRI Pricing'!E536</f>
        <v>0</v>
      </c>
      <c r="F526" s="16">
        <f>'3. GRI Pricing'!F536</f>
        <v>0</v>
      </c>
      <c r="G526" s="16">
        <f>'3. GRI Pricing'!G536</f>
        <v>0</v>
      </c>
      <c r="H526" s="16">
        <f>'3. GRI Pricing'!H536</f>
        <v>0</v>
      </c>
      <c r="I526" s="280">
        <f>'3. GRI Pricing'!K536</f>
        <v>0</v>
      </c>
      <c r="J526" s="281">
        <f>'3. GRI Pricing'!O536</f>
        <v>0</v>
      </c>
      <c r="K526" s="281">
        <f>'3. GRI Pricing'!L536</f>
        <v>0</v>
      </c>
      <c r="L526" s="281">
        <f>'3. GRI Pricing'!P536</f>
        <v>0</v>
      </c>
      <c r="M526" s="281">
        <f>'3. GRI Pricing'!R536</f>
        <v>0</v>
      </c>
      <c r="N526" s="281">
        <f>'3. GRI Pricing'!S536</f>
        <v>0</v>
      </c>
      <c r="O526" s="281">
        <f>'3. GRI Pricing'!Q536</f>
        <v>0</v>
      </c>
      <c r="P526" s="281">
        <f>'3. GRI Pricing'!T536</f>
        <v>0</v>
      </c>
      <c r="Q526" s="281">
        <f>'3. GRI Pricing'!U536</f>
        <v>0</v>
      </c>
      <c r="R526" s="281">
        <f>'3. GRI Pricing'!V536</f>
        <v>0</v>
      </c>
      <c r="S526" s="281">
        <f>'3. GRI Pricing'!W536</f>
        <v>0</v>
      </c>
      <c r="T526" s="281">
        <f>'3. GRI Pricing'!X536</f>
        <v>0</v>
      </c>
      <c r="U526" s="282">
        <f>'3. GRI Pricing'!Y536</f>
        <v>0</v>
      </c>
    </row>
    <row r="527" spans="3:21" x14ac:dyDescent="0.2">
      <c r="C527" s="23">
        <f>'3. GRI Pricing'!C537</f>
        <v>0</v>
      </c>
      <c r="D527" s="16">
        <f>'3. GRI Pricing'!D537</f>
        <v>0</v>
      </c>
      <c r="E527" s="16">
        <f>'3. GRI Pricing'!E537</f>
        <v>0</v>
      </c>
      <c r="F527" s="16">
        <f>'3. GRI Pricing'!F537</f>
        <v>0</v>
      </c>
      <c r="G527" s="16">
        <f>'3. GRI Pricing'!G537</f>
        <v>0</v>
      </c>
      <c r="H527" s="16">
        <f>'3. GRI Pricing'!H537</f>
        <v>0</v>
      </c>
      <c r="I527" s="280">
        <f>'3. GRI Pricing'!K537</f>
        <v>0</v>
      </c>
      <c r="J527" s="281">
        <f>'3. GRI Pricing'!O537</f>
        <v>0</v>
      </c>
      <c r="K527" s="281">
        <f>'3. GRI Pricing'!L537</f>
        <v>0</v>
      </c>
      <c r="L527" s="281">
        <f>'3. GRI Pricing'!P537</f>
        <v>0</v>
      </c>
      <c r="M527" s="281">
        <f>'3. GRI Pricing'!R537</f>
        <v>0</v>
      </c>
      <c r="N527" s="281">
        <f>'3. GRI Pricing'!S537</f>
        <v>0</v>
      </c>
      <c r="O527" s="281">
        <f>'3. GRI Pricing'!Q537</f>
        <v>0</v>
      </c>
      <c r="P527" s="281">
        <f>'3. GRI Pricing'!T537</f>
        <v>0</v>
      </c>
      <c r="Q527" s="281">
        <f>'3. GRI Pricing'!U537</f>
        <v>0</v>
      </c>
      <c r="R527" s="281">
        <f>'3. GRI Pricing'!V537</f>
        <v>0</v>
      </c>
      <c r="S527" s="281">
        <f>'3. GRI Pricing'!W537</f>
        <v>0</v>
      </c>
      <c r="T527" s="281">
        <f>'3. GRI Pricing'!X537</f>
        <v>0</v>
      </c>
      <c r="U527" s="282">
        <f>'3. GRI Pricing'!Y537</f>
        <v>0</v>
      </c>
    </row>
    <row r="528" spans="3:21" x14ac:dyDescent="0.2">
      <c r="C528" s="23">
        <f>'3. GRI Pricing'!C538</f>
        <v>0</v>
      </c>
      <c r="D528" s="16">
        <f>'3. GRI Pricing'!D538</f>
        <v>0</v>
      </c>
      <c r="E528" s="16">
        <f>'3. GRI Pricing'!E538</f>
        <v>0</v>
      </c>
      <c r="F528" s="16">
        <f>'3. GRI Pricing'!F538</f>
        <v>0</v>
      </c>
      <c r="G528" s="16">
        <f>'3. GRI Pricing'!G538</f>
        <v>0</v>
      </c>
      <c r="H528" s="16">
        <f>'3. GRI Pricing'!H538</f>
        <v>0</v>
      </c>
      <c r="I528" s="280">
        <f>'3. GRI Pricing'!K538</f>
        <v>0</v>
      </c>
      <c r="J528" s="281">
        <f>'3. GRI Pricing'!O538</f>
        <v>0</v>
      </c>
      <c r="K528" s="281">
        <f>'3. GRI Pricing'!L538</f>
        <v>0</v>
      </c>
      <c r="L528" s="281">
        <f>'3. GRI Pricing'!P538</f>
        <v>0</v>
      </c>
      <c r="M528" s="281">
        <f>'3. GRI Pricing'!R538</f>
        <v>0</v>
      </c>
      <c r="N528" s="281">
        <f>'3. GRI Pricing'!S538</f>
        <v>0</v>
      </c>
      <c r="O528" s="281">
        <f>'3. GRI Pricing'!Q538</f>
        <v>0</v>
      </c>
      <c r="P528" s="281">
        <f>'3. GRI Pricing'!T538</f>
        <v>0</v>
      </c>
      <c r="Q528" s="281">
        <f>'3. GRI Pricing'!U538</f>
        <v>0</v>
      </c>
      <c r="R528" s="281">
        <f>'3. GRI Pricing'!V538</f>
        <v>0</v>
      </c>
      <c r="S528" s="281">
        <f>'3. GRI Pricing'!W538</f>
        <v>0</v>
      </c>
      <c r="T528" s="281">
        <f>'3. GRI Pricing'!X538</f>
        <v>0</v>
      </c>
      <c r="U528" s="282">
        <f>'3. GRI Pricing'!Y538</f>
        <v>0</v>
      </c>
    </row>
    <row r="529" spans="3:21" x14ac:dyDescent="0.2">
      <c r="C529" s="23">
        <f>'3. GRI Pricing'!C539</f>
        <v>0</v>
      </c>
      <c r="D529" s="16">
        <f>'3. GRI Pricing'!D539</f>
        <v>0</v>
      </c>
      <c r="E529" s="16">
        <f>'3. GRI Pricing'!E539</f>
        <v>0</v>
      </c>
      <c r="F529" s="16">
        <f>'3. GRI Pricing'!F539</f>
        <v>0</v>
      </c>
      <c r="G529" s="16">
        <f>'3. GRI Pricing'!G539</f>
        <v>0</v>
      </c>
      <c r="H529" s="16">
        <f>'3. GRI Pricing'!H539</f>
        <v>0</v>
      </c>
      <c r="I529" s="280">
        <f>'3. GRI Pricing'!K539</f>
        <v>0</v>
      </c>
      <c r="J529" s="281">
        <f>'3. GRI Pricing'!O539</f>
        <v>0</v>
      </c>
      <c r="K529" s="281">
        <f>'3. GRI Pricing'!L539</f>
        <v>0</v>
      </c>
      <c r="L529" s="281">
        <f>'3. GRI Pricing'!P539</f>
        <v>0</v>
      </c>
      <c r="M529" s="281">
        <f>'3. GRI Pricing'!R539</f>
        <v>0</v>
      </c>
      <c r="N529" s="281">
        <f>'3. GRI Pricing'!S539</f>
        <v>0</v>
      </c>
      <c r="O529" s="281">
        <f>'3. GRI Pricing'!Q539</f>
        <v>0</v>
      </c>
      <c r="P529" s="281">
        <f>'3. GRI Pricing'!T539</f>
        <v>0</v>
      </c>
      <c r="Q529" s="281">
        <f>'3. GRI Pricing'!U539</f>
        <v>0</v>
      </c>
      <c r="R529" s="281">
        <f>'3. GRI Pricing'!V539</f>
        <v>0</v>
      </c>
      <c r="S529" s="281">
        <f>'3. GRI Pricing'!W539</f>
        <v>0</v>
      </c>
      <c r="T529" s="281">
        <f>'3. GRI Pricing'!X539</f>
        <v>0</v>
      </c>
      <c r="U529" s="282">
        <f>'3. GRI Pricing'!Y539</f>
        <v>0</v>
      </c>
    </row>
    <row r="530" spans="3:21" x14ac:dyDescent="0.2">
      <c r="C530" s="23">
        <f>'3. GRI Pricing'!C540</f>
        <v>0</v>
      </c>
      <c r="D530" s="16">
        <f>'3. GRI Pricing'!D540</f>
        <v>0</v>
      </c>
      <c r="E530" s="16">
        <f>'3. GRI Pricing'!E540</f>
        <v>0</v>
      </c>
      <c r="F530" s="16">
        <f>'3. GRI Pricing'!F540</f>
        <v>0</v>
      </c>
      <c r="G530" s="16">
        <f>'3. GRI Pricing'!G540</f>
        <v>0</v>
      </c>
      <c r="H530" s="16">
        <f>'3. GRI Pricing'!H540</f>
        <v>0</v>
      </c>
      <c r="I530" s="280">
        <f>'3. GRI Pricing'!K540</f>
        <v>0</v>
      </c>
      <c r="J530" s="281">
        <f>'3. GRI Pricing'!O540</f>
        <v>0</v>
      </c>
      <c r="K530" s="281">
        <f>'3. GRI Pricing'!L540</f>
        <v>0</v>
      </c>
      <c r="L530" s="281">
        <f>'3. GRI Pricing'!P540</f>
        <v>0</v>
      </c>
      <c r="M530" s="281">
        <f>'3. GRI Pricing'!R540</f>
        <v>0</v>
      </c>
      <c r="N530" s="281">
        <f>'3. GRI Pricing'!S540</f>
        <v>0</v>
      </c>
      <c r="O530" s="281">
        <f>'3. GRI Pricing'!Q540</f>
        <v>0</v>
      </c>
      <c r="P530" s="281">
        <f>'3. GRI Pricing'!T540</f>
        <v>0</v>
      </c>
      <c r="Q530" s="281">
        <f>'3. GRI Pricing'!U540</f>
        <v>0</v>
      </c>
      <c r="R530" s="281">
        <f>'3. GRI Pricing'!V540</f>
        <v>0</v>
      </c>
      <c r="S530" s="281">
        <f>'3. GRI Pricing'!W540</f>
        <v>0</v>
      </c>
      <c r="T530" s="281">
        <f>'3. GRI Pricing'!X540</f>
        <v>0</v>
      </c>
      <c r="U530" s="282">
        <f>'3. GRI Pricing'!Y540</f>
        <v>0</v>
      </c>
    </row>
    <row r="531" spans="3:21" x14ac:dyDescent="0.2">
      <c r="C531" s="23">
        <f>'3. GRI Pricing'!C541</f>
        <v>0</v>
      </c>
      <c r="D531" s="16">
        <f>'3. GRI Pricing'!D541</f>
        <v>0</v>
      </c>
      <c r="E531" s="16">
        <f>'3. GRI Pricing'!E541</f>
        <v>0</v>
      </c>
      <c r="F531" s="16">
        <f>'3. GRI Pricing'!F541</f>
        <v>0</v>
      </c>
      <c r="G531" s="16">
        <f>'3. GRI Pricing'!G541</f>
        <v>0</v>
      </c>
      <c r="H531" s="16">
        <f>'3. GRI Pricing'!H541</f>
        <v>0</v>
      </c>
      <c r="I531" s="280">
        <f>'3. GRI Pricing'!K541</f>
        <v>0</v>
      </c>
      <c r="J531" s="281">
        <f>'3. GRI Pricing'!O541</f>
        <v>0</v>
      </c>
      <c r="K531" s="281">
        <f>'3. GRI Pricing'!L541</f>
        <v>0</v>
      </c>
      <c r="L531" s="281">
        <f>'3. GRI Pricing'!P541</f>
        <v>0</v>
      </c>
      <c r="M531" s="281">
        <f>'3. GRI Pricing'!R541</f>
        <v>0</v>
      </c>
      <c r="N531" s="281">
        <f>'3. GRI Pricing'!S541</f>
        <v>0</v>
      </c>
      <c r="O531" s="281">
        <f>'3. GRI Pricing'!Q541</f>
        <v>0</v>
      </c>
      <c r="P531" s="281">
        <f>'3. GRI Pricing'!T541</f>
        <v>0</v>
      </c>
      <c r="Q531" s="281">
        <f>'3. GRI Pricing'!U541</f>
        <v>0</v>
      </c>
      <c r="R531" s="281">
        <f>'3. GRI Pricing'!V541</f>
        <v>0</v>
      </c>
      <c r="S531" s="281">
        <f>'3. GRI Pricing'!W541</f>
        <v>0</v>
      </c>
      <c r="T531" s="281">
        <f>'3. GRI Pricing'!X541</f>
        <v>0</v>
      </c>
      <c r="U531" s="282">
        <f>'3. GRI Pricing'!Y541</f>
        <v>0</v>
      </c>
    </row>
    <row r="532" spans="3:21" x14ac:dyDescent="0.2">
      <c r="C532" s="23">
        <f>'3. GRI Pricing'!C542</f>
        <v>0</v>
      </c>
      <c r="D532" s="16">
        <f>'3. GRI Pricing'!D542</f>
        <v>0</v>
      </c>
      <c r="E532" s="16">
        <f>'3. GRI Pricing'!E542</f>
        <v>0</v>
      </c>
      <c r="F532" s="16">
        <f>'3. GRI Pricing'!F542</f>
        <v>0</v>
      </c>
      <c r="G532" s="16">
        <f>'3. GRI Pricing'!G542</f>
        <v>0</v>
      </c>
      <c r="H532" s="16">
        <f>'3. GRI Pricing'!H542</f>
        <v>0</v>
      </c>
      <c r="I532" s="280">
        <f>'3. GRI Pricing'!K542</f>
        <v>0</v>
      </c>
      <c r="J532" s="281">
        <f>'3. GRI Pricing'!O542</f>
        <v>0</v>
      </c>
      <c r="K532" s="281">
        <f>'3. GRI Pricing'!L542</f>
        <v>0</v>
      </c>
      <c r="L532" s="281">
        <f>'3. GRI Pricing'!P542</f>
        <v>0</v>
      </c>
      <c r="M532" s="281">
        <f>'3. GRI Pricing'!R542</f>
        <v>0</v>
      </c>
      <c r="N532" s="281">
        <f>'3. GRI Pricing'!S542</f>
        <v>0</v>
      </c>
      <c r="O532" s="281">
        <f>'3. GRI Pricing'!Q542</f>
        <v>0</v>
      </c>
      <c r="P532" s="281">
        <f>'3. GRI Pricing'!T542</f>
        <v>0</v>
      </c>
      <c r="Q532" s="281">
        <f>'3. GRI Pricing'!U542</f>
        <v>0</v>
      </c>
      <c r="R532" s="281">
        <f>'3. GRI Pricing'!V542</f>
        <v>0</v>
      </c>
      <c r="S532" s="281">
        <f>'3. GRI Pricing'!W542</f>
        <v>0</v>
      </c>
      <c r="T532" s="281">
        <f>'3. GRI Pricing'!X542</f>
        <v>0</v>
      </c>
      <c r="U532" s="282">
        <f>'3. GRI Pricing'!Y542</f>
        <v>0</v>
      </c>
    </row>
    <row r="533" spans="3:21" x14ac:dyDescent="0.2">
      <c r="C533" s="23">
        <f>'3. GRI Pricing'!C543</f>
        <v>0</v>
      </c>
      <c r="D533" s="16">
        <f>'3. GRI Pricing'!D543</f>
        <v>0</v>
      </c>
      <c r="E533" s="16">
        <f>'3. GRI Pricing'!E543</f>
        <v>0</v>
      </c>
      <c r="F533" s="16">
        <f>'3. GRI Pricing'!F543</f>
        <v>0</v>
      </c>
      <c r="G533" s="16">
        <f>'3. GRI Pricing'!G543</f>
        <v>0</v>
      </c>
      <c r="H533" s="16">
        <f>'3. GRI Pricing'!H543</f>
        <v>0</v>
      </c>
      <c r="I533" s="280">
        <f>'3. GRI Pricing'!K543</f>
        <v>0</v>
      </c>
      <c r="J533" s="281">
        <f>'3. GRI Pricing'!O543</f>
        <v>0</v>
      </c>
      <c r="K533" s="281">
        <f>'3. GRI Pricing'!L543</f>
        <v>0</v>
      </c>
      <c r="L533" s="281">
        <f>'3. GRI Pricing'!P543</f>
        <v>0</v>
      </c>
      <c r="M533" s="281">
        <f>'3. GRI Pricing'!R543</f>
        <v>0</v>
      </c>
      <c r="N533" s="281">
        <f>'3. GRI Pricing'!S543</f>
        <v>0</v>
      </c>
      <c r="O533" s="281">
        <f>'3. GRI Pricing'!Q543</f>
        <v>0</v>
      </c>
      <c r="P533" s="281">
        <f>'3. GRI Pricing'!T543</f>
        <v>0</v>
      </c>
      <c r="Q533" s="281">
        <f>'3. GRI Pricing'!U543</f>
        <v>0</v>
      </c>
      <c r="R533" s="281">
        <f>'3. GRI Pricing'!V543</f>
        <v>0</v>
      </c>
      <c r="S533" s="281">
        <f>'3. GRI Pricing'!W543</f>
        <v>0</v>
      </c>
      <c r="T533" s="281">
        <f>'3. GRI Pricing'!X543</f>
        <v>0</v>
      </c>
      <c r="U533" s="282">
        <f>'3. GRI Pricing'!Y543</f>
        <v>0</v>
      </c>
    </row>
    <row r="534" spans="3:21" x14ac:dyDescent="0.2">
      <c r="C534" s="23">
        <f>'3. GRI Pricing'!C544</f>
        <v>0</v>
      </c>
      <c r="D534" s="16">
        <f>'3. GRI Pricing'!D544</f>
        <v>0</v>
      </c>
      <c r="E534" s="16">
        <f>'3. GRI Pricing'!E544</f>
        <v>0</v>
      </c>
      <c r="F534" s="16">
        <f>'3. GRI Pricing'!F544</f>
        <v>0</v>
      </c>
      <c r="G534" s="16">
        <f>'3. GRI Pricing'!G544</f>
        <v>0</v>
      </c>
      <c r="H534" s="16">
        <f>'3. GRI Pricing'!H544</f>
        <v>0</v>
      </c>
      <c r="I534" s="280">
        <f>'3. GRI Pricing'!K544</f>
        <v>0</v>
      </c>
      <c r="J534" s="281">
        <f>'3. GRI Pricing'!O544</f>
        <v>0</v>
      </c>
      <c r="K534" s="281">
        <f>'3. GRI Pricing'!L544</f>
        <v>0</v>
      </c>
      <c r="L534" s="281">
        <f>'3. GRI Pricing'!P544</f>
        <v>0</v>
      </c>
      <c r="M534" s="281">
        <f>'3. GRI Pricing'!R544</f>
        <v>0</v>
      </c>
      <c r="N534" s="281">
        <f>'3. GRI Pricing'!S544</f>
        <v>0</v>
      </c>
      <c r="O534" s="281">
        <f>'3. GRI Pricing'!Q544</f>
        <v>0</v>
      </c>
      <c r="P534" s="281">
        <f>'3. GRI Pricing'!T544</f>
        <v>0</v>
      </c>
      <c r="Q534" s="281">
        <f>'3. GRI Pricing'!U544</f>
        <v>0</v>
      </c>
      <c r="R534" s="281">
        <f>'3. GRI Pricing'!V544</f>
        <v>0</v>
      </c>
      <c r="S534" s="281">
        <f>'3. GRI Pricing'!W544</f>
        <v>0</v>
      </c>
      <c r="T534" s="281">
        <f>'3. GRI Pricing'!X544</f>
        <v>0</v>
      </c>
      <c r="U534" s="282">
        <f>'3. GRI Pricing'!Y544</f>
        <v>0</v>
      </c>
    </row>
    <row r="535" spans="3:21" x14ac:dyDescent="0.2">
      <c r="C535" s="23">
        <f>'3. GRI Pricing'!C545</f>
        <v>0</v>
      </c>
      <c r="D535" s="16">
        <f>'3. GRI Pricing'!D545</f>
        <v>0</v>
      </c>
      <c r="E535" s="16">
        <f>'3. GRI Pricing'!E545</f>
        <v>0</v>
      </c>
      <c r="F535" s="16">
        <f>'3. GRI Pricing'!F545</f>
        <v>0</v>
      </c>
      <c r="G535" s="16">
        <f>'3. GRI Pricing'!G545</f>
        <v>0</v>
      </c>
      <c r="H535" s="16">
        <f>'3. GRI Pricing'!H545</f>
        <v>0</v>
      </c>
      <c r="I535" s="280">
        <f>'3. GRI Pricing'!K545</f>
        <v>0</v>
      </c>
      <c r="J535" s="281">
        <f>'3. GRI Pricing'!O545</f>
        <v>0</v>
      </c>
      <c r="K535" s="281">
        <f>'3. GRI Pricing'!L545</f>
        <v>0</v>
      </c>
      <c r="L535" s="281">
        <f>'3. GRI Pricing'!P545</f>
        <v>0</v>
      </c>
      <c r="M535" s="281">
        <f>'3. GRI Pricing'!R545</f>
        <v>0</v>
      </c>
      <c r="N535" s="281">
        <f>'3. GRI Pricing'!S545</f>
        <v>0</v>
      </c>
      <c r="O535" s="281">
        <f>'3. GRI Pricing'!Q545</f>
        <v>0</v>
      </c>
      <c r="P535" s="281">
        <f>'3. GRI Pricing'!T545</f>
        <v>0</v>
      </c>
      <c r="Q535" s="281">
        <f>'3. GRI Pricing'!U545</f>
        <v>0</v>
      </c>
      <c r="R535" s="281">
        <f>'3. GRI Pricing'!V545</f>
        <v>0</v>
      </c>
      <c r="S535" s="281">
        <f>'3. GRI Pricing'!W545</f>
        <v>0</v>
      </c>
      <c r="T535" s="281">
        <f>'3. GRI Pricing'!X545</f>
        <v>0</v>
      </c>
      <c r="U535" s="282">
        <f>'3. GRI Pricing'!Y545</f>
        <v>0</v>
      </c>
    </row>
    <row r="536" spans="3:21" x14ac:dyDescent="0.2">
      <c r="C536" s="23">
        <f>'3. GRI Pricing'!C546</f>
        <v>0</v>
      </c>
      <c r="D536" s="16">
        <f>'3. GRI Pricing'!D546</f>
        <v>0</v>
      </c>
      <c r="E536" s="16">
        <f>'3. GRI Pricing'!E546</f>
        <v>0</v>
      </c>
      <c r="F536" s="16">
        <f>'3. GRI Pricing'!F546</f>
        <v>0</v>
      </c>
      <c r="G536" s="16">
        <f>'3. GRI Pricing'!G546</f>
        <v>0</v>
      </c>
      <c r="H536" s="16">
        <f>'3. GRI Pricing'!H546</f>
        <v>0</v>
      </c>
      <c r="I536" s="280">
        <f>'3. GRI Pricing'!K546</f>
        <v>0</v>
      </c>
      <c r="J536" s="281">
        <f>'3. GRI Pricing'!O546</f>
        <v>0</v>
      </c>
      <c r="K536" s="281">
        <f>'3. GRI Pricing'!L546</f>
        <v>0</v>
      </c>
      <c r="L536" s="281">
        <f>'3. GRI Pricing'!P546</f>
        <v>0</v>
      </c>
      <c r="M536" s="281">
        <f>'3. GRI Pricing'!R546</f>
        <v>0</v>
      </c>
      <c r="N536" s="281">
        <f>'3. GRI Pricing'!S546</f>
        <v>0</v>
      </c>
      <c r="O536" s="281">
        <f>'3. GRI Pricing'!Q546</f>
        <v>0</v>
      </c>
      <c r="P536" s="281">
        <f>'3. GRI Pricing'!T546</f>
        <v>0</v>
      </c>
      <c r="Q536" s="281">
        <f>'3. GRI Pricing'!U546</f>
        <v>0</v>
      </c>
      <c r="R536" s="281">
        <f>'3. GRI Pricing'!V546</f>
        <v>0</v>
      </c>
      <c r="S536" s="281">
        <f>'3. GRI Pricing'!W546</f>
        <v>0</v>
      </c>
      <c r="T536" s="281">
        <f>'3. GRI Pricing'!X546</f>
        <v>0</v>
      </c>
      <c r="U536" s="282">
        <f>'3. GRI Pricing'!Y546</f>
        <v>0</v>
      </c>
    </row>
    <row r="537" spans="3:21" x14ac:dyDescent="0.2">
      <c r="C537" s="23">
        <f>'3. GRI Pricing'!C547</f>
        <v>0</v>
      </c>
      <c r="D537" s="16">
        <f>'3. GRI Pricing'!D547</f>
        <v>0</v>
      </c>
      <c r="E537" s="16">
        <f>'3. GRI Pricing'!E547</f>
        <v>0</v>
      </c>
      <c r="F537" s="16">
        <f>'3. GRI Pricing'!F547</f>
        <v>0</v>
      </c>
      <c r="G537" s="16">
        <f>'3. GRI Pricing'!G547</f>
        <v>0</v>
      </c>
      <c r="H537" s="16">
        <f>'3. GRI Pricing'!H547</f>
        <v>0</v>
      </c>
      <c r="I537" s="280">
        <f>'3. GRI Pricing'!K547</f>
        <v>0</v>
      </c>
      <c r="J537" s="281">
        <f>'3. GRI Pricing'!O547</f>
        <v>0</v>
      </c>
      <c r="K537" s="281">
        <f>'3. GRI Pricing'!L547</f>
        <v>0</v>
      </c>
      <c r="L537" s="281">
        <f>'3. GRI Pricing'!P547</f>
        <v>0</v>
      </c>
      <c r="M537" s="281">
        <f>'3. GRI Pricing'!R547</f>
        <v>0</v>
      </c>
      <c r="N537" s="281">
        <f>'3. GRI Pricing'!S547</f>
        <v>0</v>
      </c>
      <c r="O537" s="281">
        <f>'3. GRI Pricing'!Q547</f>
        <v>0</v>
      </c>
      <c r="P537" s="281">
        <f>'3. GRI Pricing'!T547</f>
        <v>0</v>
      </c>
      <c r="Q537" s="281">
        <f>'3. GRI Pricing'!U547</f>
        <v>0</v>
      </c>
      <c r="R537" s="281">
        <f>'3. GRI Pricing'!V547</f>
        <v>0</v>
      </c>
      <c r="S537" s="281">
        <f>'3. GRI Pricing'!W547</f>
        <v>0</v>
      </c>
      <c r="T537" s="281">
        <f>'3. GRI Pricing'!X547</f>
        <v>0</v>
      </c>
      <c r="U537" s="282">
        <f>'3. GRI Pricing'!Y547</f>
        <v>0</v>
      </c>
    </row>
    <row r="538" spans="3:21" x14ac:dyDescent="0.2">
      <c r="C538" s="23">
        <f>'3. GRI Pricing'!C548</f>
        <v>0</v>
      </c>
      <c r="D538" s="16">
        <f>'3. GRI Pricing'!D548</f>
        <v>0</v>
      </c>
      <c r="E538" s="16">
        <f>'3. GRI Pricing'!E548</f>
        <v>0</v>
      </c>
      <c r="F538" s="16">
        <f>'3. GRI Pricing'!F548</f>
        <v>0</v>
      </c>
      <c r="G538" s="16">
        <f>'3. GRI Pricing'!G548</f>
        <v>0</v>
      </c>
      <c r="H538" s="16">
        <f>'3. GRI Pricing'!H548</f>
        <v>0</v>
      </c>
      <c r="I538" s="280">
        <f>'3. GRI Pricing'!K548</f>
        <v>0</v>
      </c>
      <c r="J538" s="281">
        <f>'3. GRI Pricing'!O548</f>
        <v>0</v>
      </c>
      <c r="K538" s="281">
        <f>'3. GRI Pricing'!L548</f>
        <v>0</v>
      </c>
      <c r="L538" s="281">
        <f>'3. GRI Pricing'!P548</f>
        <v>0</v>
      </c>
      <c r="M538" s="281">
        <f>'3. GRI Pricing'!R548</f>
        <v>0</v>
      </c>
      <c r="N538" s="281">
        <f>'3. GRI Pricing'!S548</f>
        <v>0</v>
      </c>
      <c r="O538" s="281">
        <f>'3. GRI Pricing'!Q548</f>
        <v>0</v>
      </c>
      <c r="P538" s="281">
        <f>'3. GRI Pricing'!T548</f>
        <v>0</v>
      </c>
      <c r="Q538" s="281">
        <f>'3. GRI Pricing'!U548</f>
        <v>0</v>
      </c>
      <c r="R538" s="281">
        <f>'3. GRI Pricing'!V548</f>
        <v>0</v>
      </c>
      <c r="S538" s="281">
        <f>'3. GRI Pricing'!W548</f>
        <v>0</v>
      </c>
      <c r="T538" s="281">
        <f>'3. GRI Pricing'!X548</f>
        <v>0</v>
      </c>
      <c r="U538" s="282">
        <f>'3. GRI Pricing'!Y548</f>
        <v>0</v>
      </c>
    </row>
    <row r="539" spans="3:21" x14ac:dyDescent="0.2">
      <c r="C539" s="23">
        <f>'3. GRI Pricing'!C549</f>
        <v>0</v>
      </c>
      <c r="D539" s="16">
        <f>'3. GRI Pricing'!D549</f>
        <v>0</v>
      </c>
      <c r="E539" s="16">
        <f>'3. GRI Pricing'!E549</f>
        <v>0</v>
      </c>
      <c r="F539" s="16">
        <f>'3. GRI Pricing'!F549</f>
        <v>0</v>
      </c>
      <c r="G539" s="16">
        <f>'3. GRI Pricing'!G549</f>
        <v>0</v>
      </c>
      <c r="H539" s="16">
        <f>'3. GRI Pricing'!H549</f>
        <v>0</v>
      </c>
      <c r="I539" s="280">
        <f>'3. GRI Pricing'!K549</f>
        <v>0</v>
      </c>
      <c r="J539" s="281">
        <f>'3. GRI Pricing'!O549</f>
        <v>0</v>
      </c>
      <c r="K539" s="281">
        <f>'3. GRI Pricing'!L549</f>
        <v>0</v>
      </c>
      <c r="L539" s="281">
        <f>'3. GRI Pricing'!P549</f>
        <v>0</v>
      </c>
      <c r="M539" s="281">
        <f>'3. GRI Pricing'!R549</f>
        <v>0</v>
      </c>
      <c r="N539" s="281">
        <f>'3. GRI Pricing'!S549</f>
        <v>0</v>
      </c>
      <c r="O539" s="281">
        <f>'3. GRI Pricing'!Q549</f>
        <v>0</v>
      </c>
      <c r="P539" s="281">
        <f>'3. GRI Pricing'!T549</f>
        <v>0</v>
      </c>
      <c r="Q539" s="281">
        <f>'3. GRI Pricing'!U549</f>
        <v>0</v>
      </c>
      <c r="R539" s="281">
        <f>'3. GRI Pricing'!V549</f>
        <v>0</v>
      </c>
      <c r="S539" s="281">
        <f>'3. GRI Pricing'!W549</f>
        <v>0</v>
      </c>
      <c r="T539" s="281">
        <f>'3. GRI Pricing'!X549</f>
        <v>0</v>
      </c>
      <c r="U539" s="282">
        <f>'3. GRI Pricing'!Y549</f>
        <v>0</v>
      </c>
    </row>
    <row r="540" spans="3:21" x14ac:dyDescent="0.2">
      <c r="C540" s="23">
        <f>'3. GRI Pricing'!C550</f>
        <v>0</v>
      </c>
      <c r="D540" s="16">
        <f>'3. GRI Pricing'!D550</f>
        <v>0</v>
      </c>
      <c r="E540" s="16">
        <f>'3. GRI Pricing'!E550</f>
        <v>0</v>
      </c>
      <c r="F540" s="16">
        <f>'3. GRI Pricing'!F550</f>
        <v>0</v>
      </c>
      <c r="G540" s="16">
        <f>'3. GRI Pricing'!G550</f>
        <v>0</v>
      </c>
      <c r="H540" s="16">
        <f>'3. GRI Pricing'!H550</f>
        <v>0</v>
      </c>
      <c r="I540" s="280">
        <f>'3. GRI Pricing'!K550</f>
        <v>0</v>
      </c>
      <c r="J540" s="281">
        <f>'3. GRI Pricing'!O550</f>
        <v>0</v>
      </c>
      <c r="K540" s="281">
        <f>'3. GRI Pricing'!L550</f>
        <v>0</v>
      </c>
      <c r="L540" s="281">
        <f>'3. GRI Pricing'!P550</f>
        <v>0</v>
      </c>
      <c r="M540" s="281">
        <f>'3. GRI Pricing'!R550</f>
        <v>0</v>
      </c>
      <c r="N540" s="281">
        <f>'3. GRI Pricing'!S550</f>
        <v>0</v>
      </c>
      <c r="O540" s="281">
        <f>'3. GRI Pricing'!Q550</f>
        <v>0</v>
      </c>
      <c r="P540" s="281">
        <f>'3. GRI Pricing'!T550</f>
        <v>0</v>
      </c>
      <c r="Q540" s="281">
        <f>'3. GRI Pricing'!U550</f>
        <v>0</v>
      </c>
      <c r="R540" s="281">
        <f>'3. GRI Pricing'!V550</f>
        <v>0</v>
      </c>
      <c r="S540" s="281">
        <f>'3. GRI Pricing'!W550</f>
        <v>0</v>
      </c>
      <c r="T540" s="281">
        <f>'3. GRI Pricing'!X550</f>
        <v>0</v>
      </c>
      <c r="U540" s="282">
        <f>'3. GRI Pricing'!Y550</f>
        <v>0</v>
      </c>
    </row>
    <row r="541" spans="3:21" x14ac:dyDescent="0.2">
      <c r="C541" s="23">
        <f>'3. GRI Pricing'!C551</f>
        <v>0</v>
      </c>
      <c r="D541" s="16">
        <f>'3. GRI Pricing'!D551</f>
        <v>0</v>
      </c>
      <c r="E541" s="16">
        <f>'3. GRI Pricing'!E551</f>
        <v>0</v>
      </c>
      <c r="F541" s="16">
        <f>'3. GRI Pricing'!F551</f>
        <v>0</v>
      </c>
      <c r="G541" s="16">
        <f>'3. GRI Pricing'!G551</f>
        <v>0</v>
      </c>
      <c r="H541" s="16">
        <f>'3. GRI Pricing'!H551</f>
        <v>0</v>
      </c>
      <c r="I541" s="280">
        <f>'3. GRI Pricing'!K551</f>
        <v>0</v>
      </c>
      <c r="J541" s="281">
        <f>'3. GRI Pricing'!O551</f>
        <v>0</v>
      </c>
      <c r="K541" s="281">
        <f>'3. GRI Pricing'!L551</f>
        <v>0</v>
      </c>
      <c r="L541" s="281">
        <f>'3. GRI Pricing'!P551</f>
        <v>0</v>
      </c>
      <c r="M541" s="281">
        <f>'3. GRI Pricing'!R551</f>
        <v>0</v>
      </c>
      <c r="N541" s="281">
        <f>'3. GRI Pricing'!S551</f>
        <v>0</v>
      </c>
      <c r="O541" s="281">
        <f>'3. GRI Pricing'!Q551</f>
        <v>0</v>
      </c>
      <c r="P541" s="281">
        <f>'3. GRI Pricing'!T551</f>
        <v>0</v>
      </c>
      <c r="Q541" s="281">
        <f>'3. GRI Pricing'!U551</f>
        <v>0</v>
      </c>
      <c r="R541" s="281">
        <f>'3. GRI Pricing'!V551</f>
        <v>0</v>
      </c>
      <c r="S541" s="281">
        <f>'3. GRI Pricing'!W551</f>
        <v>0</v>
      </c>
      <c r="T541" s="281">
        <f>'3. GRI Pricing'!X551</f>
        <v>0</v>
      </c>
      <c r="U541" s="282">
        <f>'3. GRI Pricing'!Y551</f>
        <v>0</v>
      </c>
    </row>
    <row r="542" spans="3:21" x14ac:dyDescent="0.2">
      <c r="C542" s="23">
        <f>'3. GRI Pricing'!C552</f>
        <v>0</v>
      </c>
      <c r="D542" s="16">
        <f>'3. GRI Pricing'!D552</f>
        <v>0</v>
      </c>
      <c r="E542" s="16">
        <f>'3. GRI Pricing'!E552</f>
        <v>0</v>
      </c>
      <c r="F542" s="16">
        <f>'3. GRI Pricing'!F552</f>
        <v>0</v>
      </c>
      <c r="G542" s="16">
        <f>'3. GRI Pricing'!G552</f>
        <v>0</v>
      </c>
      <c r="H542" s="16">
        <f>'3. GRI Pricing'!H552</f>
        <v>0</v>
      </c>
      <c r="I542" s="280">
        <f>'3. GRI Pricing'!K552</f>
        <v>0</v>
      </c>
      <c r="J542" s="281">
        <f>'3. GRI Pricing'!O552</f>
        <v>0</v>
      </c>
      <c r="K542" s="281">
        <f>'3. GRI Pricing'!L552</f>
        <v>0</v>
      </c>
      <c r="L542" s="281">
        <f>'3. GRI Pricing'!P552</f>
        <v>0</v>
      </c>
      <c r="M542" s="281">
        <f>'3. GRI Pricing'!R552</f>
        <v>0</v>
      </c>
      <c r="N542" s="281">
        <f>'3. GRI Pricing'!S552</f>
        <v>0</v>
      </c>
      <c r="O542" s="281">
        <f>'3. GRI Pricing'!Q552</f>
        <v>0</v>
      </c>
      <c r="P542" s="281">
        <f>'3. GRI Pricing'!T552</f>
        <v>0</v>
      </c>
      <c r="Q542" s="281">
        <f>'3. GRI Pricing'!U552</f>
        <v>0</v>
      </c>
      <c r="R542" s="281">
        <f>'3. GRI Pricing'!V552</f>
        <v>0</v>
      </c>
      <c r="S542" s="281">
        <f>'3. GRI Pricing'!W552</f>
        <v>0</v>
      </c>
      <c r="T542" s="281">
        <f>'3. GRI Pricing'!X552</f>
        <v>0</v>
      </c>
      <c r="U542" s="282">
        <f>'3. GRI Pricing'!Y552</f>
        <v>0</v>
      </c>
    </row>
    <row r="543" spans="3:21" x14ac:dyDescent="0.2">
      <c r="C543" s="23">
        <f>'3. GRI Pricing'!C553</f>
        <v>0</v>
      </c>
      <c r="D543" s="16">
        <f>'3. GRI Pricing'!D553</f>
        <v>0</v>
      </c>
      <c r="E543" s="16">
        <f>'3. GRI Pricing'!E553</f>
        <v>0</v>
      </c>
      <c r="F543" s="16">
        <f>'3. GRI Pricing'!F553</f>
        <v>0</v>
      </c>
      <c r="G543" s="16">
        <f>'3. GRI Pricing'!G553</f>
        <v>0</v>
      </c>
      <c r="H543" s="16">
        <f>'3. GRI Pricing'!H553</f>
        <v>0</v>
      </c>
      <c r="I543" s="280">
        <f>'3. GRI Pricing'!K553</f>
        <v>0</v>
      </c>
      <c r="J543" s="281">
        <f>'3. GRI Pricing'!O553</f>
        <v>0</v>
      </c>
      <c r="K543" s="281">
        <f>'3. GRI Pricing'!L553</f>
        <v>0</v>
      </c>
      <c r="L543" s="281">
        <f>'3. GRI Pricing'!P553</f>
        <v>0</v>
      </c>
      <c r="M543" s="281">
        <f>'3. GRI Pricing'!R553</f>
        <v>0</v>
      </c>
      <c r="N543" s="281">
        <f>'3. GRI Pricing'!S553</f>
        <v>0</v>
      </c>
      <c r="O543" s="281">
        <f>'3. GRI Pricing'!Q553</f>
        <v>0</v>
      </c>
      <c r="P543" s="281">
        <f>'3. GRI Pricing'!T553</f>
        <v>0</v>
      </c>
      <c r="Q543" s="281">
        <f>'3. GRI Pricing'!U553</f>
        <v>0</v>
      </c>
      <c r="R543" s="281">
        <f>'3. GRI Pricing'!V553</f>
        <v>0</v>
      </c>
      <c r="S543" s="281">
        <f>'3. GRI Pricing'!W553</f>
        <v>0</v>
      </c>
      <c r="T543" s="281">
        <f>'3. GRI Pricing'!X553</f>
        <v>0</v>
      </c>
      <c r="U543" s="282">
        <f>'3. GRI Pricing'!Y553</f>
        <v>0</v>
      </c>
    </row>
    <row r="544" spans="3:21" x14ac:dyDescent="0.2">
      <c r="C544" s="23">
        <f>'3. GRI Pricing'!C554</f>
        <v>0</v>
      </c>
      <c r="D544" s="16">
        <f>'3. GRI Pricing'!D554</f>
        <v>0</v>
      </c>
      <c r="E544" s="16">
        <f>'3. GRI Pricing'!E554</f>
        <v>0</v>
      </c>
      <c r="F544" s="16">
        <f>'3. GRI Pricing'!F554</f>
        <v>0</v>
      </c>
      <c r="G544" s="16">
        <f>'3. GRI Pricing'!G554</f>
        <v>0</v>
      </c>
      <c r="H544" s="16">
        <f>'3. GRI Pricing'!H554</f>
        <v>0</v>
      </c>
      <c r="I544" s="280">
        <f>'3. GRI Pricing'!K554</f>
        <v>0</v>
      </c>
      <c r="J544" s="281">
        <f>'3. GRI Pricing'!O554</f>
        <v>0</v>
      </c>
      <c r="K544" s="281">
        <f>'3. GRI Pricing'!L554</f>
        <v>0</v>
      </c>
      <c r="L544" s="281">
        <f>'3. GRI Pricing'!P554</f>
        <v>0</v>
      </c>
      <c r="M544" s="281">
        <f>'3. GRI Pricing'!R554</f>
        <v>0</v>
      </c>
      <c r="N544" s="281">
        <f>'3. GRI Pricing'!S554</f>
        <v>0</v>
      </c>
      <c r="O544" s="281">
        <f>'3. GRI Pricing'!Q554</f>
        <v>0</v>
      </c>
      <c r="P544" s="281">
        <f>'3. GRI Pricing'!T554</f>
        <v>0</v>
      </c>
      <c r="Q544" s="281">
        <f>'3. GRI Pricing'!U554</f>
        <v>0</v>
      </c>
      <c r="R544" s="281">
        <f>'3. GRI Pricing'!V554</f>
        <v>0</v>
      </c>
      <c r="S544" s="281">
        <f>'3. GRI Pricing'!W554</f>
        <v>0</v>
      </c>
      <c r="T544" s="281">
        <f>'3. GRI Pricing'!X554</f>
        <v>0</v>
      </c>
      <c r="U544" s="282">
        <f>'3. GRI Pricing'!Y554</f>
        <v>0</v>
      </c>
    </row>
    <row r="545" spans="3:21" x14ac:dyDescent="0.2">
      <c r="C545" s="23">
        <f>'3. GRI Pricing'!C555</f>
        <v>0</v>
      </c>
      <c r="D545" s="16">
        <f>'3. GRI Pricing'!D555</f>
        <v>0</v>
      </c>
      <c r="E545" s="16">
        <f>'3. GRI Pricing'!E555</f>
        <v>0</v>
      </c>
      <c r="F545" s="16">
        <f>'3. GRI Pricing'!F555</f>
        <v>0</v>
      </c>
      <c r="G545" s="16">
        <f>'3. GRI Pricing'!G555</f>
        <v>0</v>
      </c>
      <c r="H545" s="16">
        <f>'3. GRI Pricing'!H555</f>
        <v>0</v>
      </c>
      <c r="I545" s="280">
        <f>'3. GRI Pricing'!K555</f>
        <v>0</v>
      </c>
      <c r="J545" s="281">
        <f>'3. GRI Pricing'!O555</f>
        <v>0</v>
      </c>
      <c r="K545" s="281">
        <f>'3. GRI Pricing'!L555</f>
        <v>0</v>
      </c>
      <c r="L545" s="281">
        <f>'3. GRI Pricing'!P555</f>
        <v>0</v>
      </c>
      <c r="M545" s="281">
        <f>'3. GRI Pricing'!R555</f>
        <v>0</v>
      </c>
      <c r="N545" s="281">
        <f>'3. GRI Pricing'!S555</f>
        <v>0</v>
      </c>
      <c r="O545" s="281">
        <f>'3. GRI Pricing'!Q555</f>
        <v>0</v>
      </c>
      <c r="P545" s="281">
        <f>'3. GRI Pricing'!T555</f>
        <v>0</v>
      </c>
      <c r="Q545" s="281">
        <f>'3. GRI Pricing'!U555</f>
        <v>0</v>
      </c>
      <c r="R545" s="281">
        <f>'3. GRI Pricing'!V555</f>
        <v>0</v>
      </c>
      <c r="S545" s="281">
        <f>'3. GRI Pricing'!W555</f>
        <v>0</v>
      </c>
      <c r="T545" s="281">
        <f>'3. GRI Pricing'!X555</f>
        <v>0</v>
      </c>
      <c r="U545" s="282">
        <f>'3. GRI Pricing'!Y555</f>
        <v>0</v>
      </c>
    </row>
    <row r="546" spans="3:21" x14ac:dyDescent="0.2">
      <c r="C546" s="23">
        <f>'3. GRI Pricing'!C556</f>
        <v>0</v>
      </c>
      <c r="D546" s="16">
        <f>'3. GRI Pricing'!D556</f>
        <v>0</v>
      </c>
      <c r="E546" s="16">
        <f>'3. GRI Pricing'!E556</f>
        <v>0</v>
      </c>
      <c r="F546" s="16">
        <f>'3. GRI Pricing'!F556</f>
        <v>0</v>
      </c>
      <c r="G546" s="16">
        <f>'3. GRI Pricing'!G556</f>
        <v>0</v>
      </c>
      <c r="H546" s="16">
        <f>'3. GRI Pricing'!H556</f>
        <v>0</v>
      </c>
      <c r="I546" s="280">
        <f>'3. GRI Pricing'!K556</f>
        <v>0</v>
      </c>
      <c r="J546" s="281">
        <f>'3. GRI Pricing'!O556</f>
        <v>0</v>
      </c>
      <c r="K546" s="281">
        <f>'3. GRI Pricing'!L556</f>
        <v>0</v>
      </c>
      <c r="L546" s="281">
        <f>'3. GRI Pricing'!P556</f>
        <v>0</v>
      </c>
      <c r="M546" s="281">
        <f>'3. GRI Pricing'!R556</f>
        <v>0</v>
      </c>
      <c r="N546" s="281">
        <f>'3. GRI Pricing'!S556</f>
        <v>0</v>
      </c>
      <c r="O546" s="281">
        <f>'3. GRI Pricing'!Q556</f>
        <v>0</v>
      </c>
      <c r="P546" s="281">
        <f>'3. GRI Pricing'!T556</f>
        <v>0</v>
      </c>
      <c r="Q546" s="281">
        <f>'3. GRI Pricing'!U556</f>
        <v>0</v>
      </c>
      <c r="R546" s="281">
        <f>'3. GRI Pricing'!V556</f>
        <v>0</v>
      </c>
      <c r="S546" s="281">
        <f>'3. GRI Pricing'!W556</f>
        <v>0</v>
      </c>
      <c r="T546" s="281">
        <f>'3. GRI Pricing'!X556</f>
        <v>0</v>
      </c>
      <c r="U546" s="282">
        <f>'3. GRI Pricing'!Y556</f>
        <v>0</v>
      </c>
    </row>
    <row r="547" spans="3:21" x14ac:dyDescent="0.2">
      <c r="C547" s="23">
        <f>'3. GRI Pricing'!C557</f>
        <v>0</v>
      </c>
      <c r="D547" s="16">
        <f>'3. GRI Pricing'!D557</f>
        <v>0</v>
      </c>
      <c r="E547" s="16">
        <f>'3. GRI Pricing'!E557</f>
        <v>0</v>
      </c>
      <c r="F547" s="16">
        <f>'3. GRI Pricing'!F557</f>
        <v>0</v>
      </c>
      <c r="G547" s="16">
        <f>'3. GRI Pricing'!G557</f>
        <v>0</v>
      </c>
      <c r="H547" s="16">
        <f>'3. GRI Pricing'!H557</f>
        <v>0</v>
      </c>
      <c r="I547" s="280">
        <f>'3. GRI Pricing'!K557</f>
        <v>0</v>
      </c>
      <c r="J547" s="281">
        <f>'3. GRI Pricing'!O557</f>
        <v>0</v>
      </c>
      <c r="K547" s="281">
        <f>'3. GRI Pricing'!L557</f>
        <v>0</v>
      </c>
      <c r="L547" s="281">
        <f>'3. GRI Pricing'!P557</f>
        <v>0</v>
      </c>
      <c r="M547" s="281">
        <f>'3. GRI Pricing'!R557</f>
        <v>0</v>
      </c>
      <c r="N547" s="281">
        <f>'3. GRI Pricing'!S557</f>
        <v>0</v>
      </c>
      <c r="O547" s="281">
        <f>'3. GRI Pricing'!Q557</f>
        <v>0</v>
      </c>
      <c r="P547" s="281">
        <f>'3. GRI Pricing'!T557</f>
        <v>0</v>
      </c>
      <c r="Q547" s="281">
        <f>'3. GRI Pricing'!U557</f>
        <v>0</v>
      </c>
      <c r="R547" s="281">
        <f>'3. GRI Pricing'!V557</f>
        <v>0</v>
      </c>
      <c r="S547" s="281">
        <f>'3. GRI Pricing'!W557</f>
        <v>0</v>
      </c>
      <c r="T547" s="281">
        <f>'3. GRI Pricing'!X557</f>
        <v>0</v>
      </c>
      <c r="U547" s="282">
        <f>'3. GRI Pricing'!Y557</f>
        <v>0</v>
      </c>
    </row>
    <row r="548" spans="3:21" x14ac:dyDescent="0.2">
      <c r="C548" s="23">
        <f>'3. GRI Pricing'!C558</f>
        <v>0</v>
      </c>
      <c r="D548" s="16">
        <f>'3. GRI Pricing'!D558</f>
        <v>0</v>
      </c>
      <c r="E548" s="16">
        <f>'3. GRI Pricing'!E558</f>
        <v>0</v>
      </c>
      <c r="F548" s="16">
        <f>'3. GRI Pricing'!F558</f>
        <v>0</v>
      </c>
      <c r="G548" s="16">
        <f>'3. GRI Pricing'!G558</f>
        <v>0</v>
      </c>
      <c r="H548" s="16">
        <f>'3. GRI Pricing'!H558</f>
        <v>0</v>
      </c>
      <c r="I548" s="280">
        <f>'3. GRI Pricing'!K558</f>
        <v>0</v>
      </c>
      <c r="J548" s="281">
        <f>'3. GRI Pricing'!O558</f>
        <v>0</v>
      </c>
      <c r="K548" s="281">
        <f>'3. GRI Pricing'!L558</f>
        <v>0</v>
      </c>
      <c r="L548" s="281">
        <f>'3. GRI Pricing'!P558</f>
        <v>0</v>
      </c>
      <c r="M548" s="281">
        <f>'3. GRI Pricing'!R558</f>
        <v>0</v>
      </c>
      <c r="N548" s="281">
        <f>'3. GRI Pricing'!S558</f>
        <v>0</v>
      </c>
      <c r="O548" s="281">
        <f>'3. GRI Pricing'!Q558</f>
        <v>0</v>
      </c>
      <c r="P548" s="281">
        <f>'3. GRI Pricing'!T558</f>
        <v>0</v>
      </c>
      <c r="Q548" s="281">
        <f>'3. GRI Pricing'!U558</f>
        <v>0</v>
      </c>
      <c r="R548" s="281">
        <f>'3. GRI Pricing'!V558</f>
        <v>0</v>
      </c>
      <c r="S548" s="281">
        <f>'3. GRI Pricing'!W558</f>
        <v>0</v>
      </c>
      <c r="T548" s="281">
        <f>'3. GRI Pricing'!X558</f>
        <v>0</v>
      </c>
      <c r="U548" s="282">
        <f>'3. GRI Pricing'!Y558</f>
        <v>0</v>
      </c>
    </row>
    <row r="549" spans="3:21" x14ac:dyDescent="0.2">
      <c r="C549" s="23">
        <f>'3. GRI Pricing'!C559</f>
        <v>0</v>
      </c>
      <c r="D549" s="16">
        <f>'3. GRI Pricing'!D559</f>
        <v>0</v>
      </c>
      <c r="E549" s="16">
        <f>'3. GRI Pricing'!E559</f>
        <v>0</v>
      </c>
      <c r="F549" s="16">
        <f>'3. GRI Pricing'!F559</f>
        <v>0</v>
      </c>
      <c r="G549" s="16">
        <f>'3. GRI Pricing'!G559</f>
        <v>0</v>
      </c>
      <c r="H549" s="16">
        <f>'3. GRI Pricing'!H559</f>
        <v>0</v>
      </c>
      <c r="I549" s="280">
        <f>'3. GRI Pricing'!K559</f>
        <v>0</v>
      </c>
      <c r="J549" s="281">
        <f>'3. GRI Pricing'!O559</f>
        <v>0</v>
      </c>
      <c r="K549" s="281">
        <f>'3. GRI Pricing'!L559</f>
        <v>0</v>
      </c>
      <c r="L549" s="281">
        <f>'3. GRI Pricing'!P559</f>
        <v>0</v>
      </c>
      <c r="M549" s="281">
        <f>'3. GRI Pricing'!R559</f>
        <v>0</v>
      </c>
      <c r="N549" s="281">
        <f>'3. GRI Pricing'!S559</f>
        <v>0</v>
      </c>
      <c r="O549" s="281">
        <f>'3. GRI Pricing'!Q559</f>
        <v>0</v>
      </c>
      <c r="P549" s="281">
        <f>'3. GRI Pricing'!T559</f>
        <v>0</v>
      </c>
      <c r="Q549" s="281">
        <f>'3. GRI Pricing'!U559</f>
        <v>0</v>
      </c>
      <c r="R549" s="281">
        <f>'3. GRI Pricing'!V559</f>
        <v>0</v>
      </c>
      <c r="S549" s="281">
        <f>'3. GRI Pricing'!W559</f>
        <v>0</v>
      </c>
      <c r="T549" s="281">
        <f>'3. GRI Pricing'!X559</f>
        <v>0</v>
      </c>
      <c r="U549" s="282">
        <f>'3. GRI Pricing'!Y559</f>
        <v>0</v>
      </c>
    </row>
    <row r="550" spans="3:21" x14ac:dyDescent="0.2">
      <c r="C550" s="23">
        <f>'3. GRI Pricing'!C560</f>
        <v>0</v>
      </c>
      <c r="D550" s="16">
        <f>'3. GRI Pricing'!D560</f>
        <v>0</v>
      </c>
      <c r="E550" s="16">
        <f>'3. GRI Pricing'!E560</f>
        <v>0</v>
      </c>
      <c r="F550" s="16">
        <f>'3. GRI Pricing'!F560</f>
        <v>0</v>
      </c>
      <c r="G550" s="16">
        <f>'3. GRI Pricing'!G560</f>
        <v>0</v>
      </c>
      <c r="H550" s="16">
        <f>'3. GRI Pricing'!H560</f>
        <v>0</v>
      </c>
      <c r="I550" s="280">
        <f>'3. GRI Pricing'!K560</f>
        <v>0</v>
      </c>
      <c r="J550" s="281">
        <f>'3. GRI Pricing'!O560</f>
        <v>0</v>
      </c>
      <c r="K550" s="281">
        <f>'3. GRI Pricing'!L560</f>
        <v>0</v>
      </c>
      <c r="L550" s="281">
        <f>'3. GRI Pricing'!P560</f>
        <v>0</v>
      </c>
      <c r="M550" s="281">
        <f>'3. GRI Pricing'!R560</f>
        <v>0</v>
      </c>
      <c r="N550" s="281">
        <f>'3. GRI Pricing'!S560</f>
        <v>0</v>
      </c>
      <c r="O550" s="281">
        <f>'3. GRI Pricing'!Q560</f>
        <v>0</v>
      </c>
      <c r="P550" s="281">
        <f>'3. GRI Pricing'!T560</f>
        <v>0</v>
      </c>
      <c r="Q550" s="281">
        <f>'3. GRI Pricing'!U560</f>
        <v>0</v>
      </c>
      <c r="R550" s="281">
        <f>'3. GRI Pricing'!V560</f>
        <v>0</v>
      </c>
      <c r="S550" s="281">
        <f>'3. GRI Pricing'!W560</f>
        <v>0</v>
      </c>
      <c r="T550" s="281">
        <f>'3. GRI Pricing'!X560</f>
        <v>0</v>
      </c>
      <c r="U550" s="282">
        <f>'3. GRI Pricing'!Y560</f>
        <v>0</v>
      </c>
    </row>
    <row r="551" spans="3:21" x14ac:dyDescent="0.2">
      <c r="C551" s="23">
        <f>'3. GRI Pricing'!C561</f>
        <v>0</v>
      </c>
      <c r="D551" s="16">
        <f>'3. GRI Pricing'!D561</f>
        <v>0</v>
      </c>
      <c r="E551" s="16">
        <f>'3. GRI Pricing'!E561</f>
        <v>0</v>
      </c>
      <c r="F551" s="16">
        <f>'3. GRI Pricing'!F561</f>
        <v>0</v>
      </c>
      <c r="G551" s="16">
        <f>'3. GRI Pricing'!G561</f>
        <v>0</v>
      </c>
      <c r="H551" s="16">
        <f>'3. GRI Pricing'!H561</f>
        <v>0</v>
      </c>
      <c r="I551" s="280">
        <f>'3. GRI Pricing'!K561</f>
        <v>0</v>
      </c>
      <c r="J551" s="281">
        <f>'3. GRI Pricing'!O561</f>
        <v>0</v>
      </c>
      <c r="K551" s="281">
        <f>'3. GRI Pricing'!L561</f>
        <v>0</v>
      </c>
      <c r="L551" s="281">
        <f>'3. GRI Pricing'!P561</f>
        <v>0</v>
      </c>
      <c r="M551" s="281">
        <f>'3. GRI Pricing'!R561</f>
        <v>0</v>
      </c>
      <c r="N551" s="281">
        <f>'3. GRI Pricing'!S561</f>
        <v>0</v>
      </c>
      <c r="O551" s="281">
        <f>'3. GRI Pricing'!Q561</f>
        <v>0</v>
      </c>
      <c r="P551" s="281">
        <f>'3. GRI Pricing'!T561</f>
        <v>0</v>
      </c>
      <c r="Q551" s="281">
        <f>'3. GRI Pricing'!U561</f>
        <v>0</v>
      </c>
      <c r="R551" s="281">
        <f>'3. GRI Pricing'!V561</f>
        <v>0</v>
      </c>
      <c r="S551" s="281">
        <f>'3. GRI Pricing'!W561</f>
        <v>0</v>
      </c>
      <c r="T551" s="281">
        <f>'3. GRI Pricing'!X561</f>
        <v>0</v>
      </c>
      <c r="U551" s="282">
        <f>'3. GRI Pricing'!Y561</f>
        <v>0</v>
      </c>
    </row>
    <row r="552" spans="3:21" x14ac:dyDescent="0.2">
      <c r="C552" s="23">
        <f>'3. GRI Pricing'!C562</f>
        <v>0</v>
      </c>
      <c r="D552" s="16">
        <f>'3. GRI Pricing'!D562</f>
        <v>0</v>
      </c>
      <c r="E552" s="16">
        <f>'3. GRI Pricing'!E562</f>
        <v>0</v>
      </c>
      <c r="F552" s="16">
        <f>'3. GRI Pricing'!F562</f>
        <v>0</v>
      </c>
      <c r="G552" s="16">
        <f>'3. GRI Pricing'!G562</f>
        <v>0</v>
      </c>
      <c r="H552" s="16">
        <f>'3. GRI Pricing'!H562</f>
        <v>0</v>
      </c>
      <c r="I552" s="280">
        <f>'3. GRI Pricing'!K562</f>
        <v>0</v>
      </c>
      <c r="J552" s="281">
        <f>'3. GRI Pricing'!O562</f>
        <v>0</v>
      </c>
      <c r="K552" s="281">
        <f>'3. GRI Pricing'!L562</f>
        <v>0</v>
      </c>
      <c r="L552" s="281">
        <f>'3. GRI Pricing'!P562</f>
        <v>0</v>
      </c>
      <c r="M552" s="281">
        <f>'3. GRI Pricing'!R562</f>
        <v>0</v>
      </c>
      <c r="N552" s="281">
        <f>'3. GRI Pricing'!S562</f>
        <v>0</v>
      </c>
      <c r="O552" s="281">
        <f>'3. GRI Pricing'!Q562</f>
        <v>0</v>
      </c>
      <c r="P552" s="281">
        <f>'3. GRI Pricing'!T562</f>
        <v>0</v>
      </c>
      <c r="Q552" s="281">
        <f>'3. GRI Pricing'!U562</f>
        <v>0</v>
      </c>
      <c r="R552" s="281">
        <f>'3. GRI Pricing'!V562</f>
        <v>0</v>
      </c>
      <c r="S552" s="281">
        <f>'3. GRI Pricing'!W562</f>
        <v>0</v>
      </c>
      <c r="T552" s="281">
        <f>'3. GRI Pricing'!X562</f>
        <v>0</v>
      </c>
      <c r="U552" s="282">
        <f>'3. GRI Pricing'!Y562</f>
        <v>0</v>
      </c>
    </row>
    <row r="553" spans="3:21" x14ac:dyDescent="0.2">
      <c r="C553" s="23">
        <f>'3. GRI Pricing'!C563</f>
        <v>0</v>
      </c>
      <c r="D553" s="16">
        <f>'3. GRI Pricing'!D563</f>
        <v>0</v>
      </c>
      <c r="E553" s="16">
        <f>'3. GRI Pricing'!E563</f>
        <v>0</v>
      </c>
      <c r="F553" s="16">
        <f>'3. GRI Pricing'!F563</f>
        <v>0</v>
      </c>
      <c r="G553" s="16">
        <f>'3. GRI Pricing'!G563</f>
        <v>0</v>
      </c>
      <c r="H553" s="16">
        <f>'3. GRI Pricing'!H563</f>
        <v>0</v>
      </c>
      <c r="I553" s="280">
        <f>'3. GRI Pricing'!K563</f>
        <v>0</v>
      </c>
      <c r="J553" s="281">
        <f>'3. GRI Pricing'!O563</f>
        <v>0</v>
      </c>
      <c r="K553" s="281">
        <f>'3. GRI Pricing'!L563</f>
        <v>0</v>
      </c>
      <c r="L553" s="281">
        <f>'3. GRI Pricing'!P563</f>
        <v>0</v>
      </c>
      <c r="M553" s="281">
        <f>'3. GRI Pricing'!R563</f>
        <v>0</v>
      </c>
      <c r="N553" s="281">
        <f>'3. GRI Pricing'!S563</f>
        <v>0</v>
      </c>
      <c r="O553" s="281">
        <f>'3. GRI Pricing'!Q563</f>
        <v>0</v>
      </c>
      <c r="P553" s="281">
        <f>'3. GRI Pricing'!T563</f>
        <v>0</v>
      </c>
      <c r="Q553" s="281">
        <f>'3. GRI Pricing'!U563</f>
        <v>0</v>
      </c>
      <c r="R553" s="281">
        <f>'3. GRI Pricing'!V563</f>
        <v>0</v>
      </c>
      <c r="S553" s="281">
        <f>'3. GRI Pricing'!W563</f>
        <v>0</v>
      </c>
      <c r="T553" s="281">
        <f>'3. GRI Pricing'!X563</f>
        <v>0</v>
      </c>
      <c r="U553" s="282">
        <f>'3. GRI Pricing'!Y563</f>
        <v>0</v>
      </c>
    </row>
    <row r="554" spans="3:21" x14ac:dyDescent="0.2">
      <c r="C554" s="23">
        <f>'3. GRI Pricing'!C564</f>
        <v>0</v>
      </c>
      <c r="D554" s="16">
        <f>'3. GRI Pricing'!D564</f>
        <v>0</v>
      </c>
      <c r="E554" s="16">
        <f>'3. GRI Pricing'!E564</f>
        <v>0</v>
      </c>
      <c r="F554" s="16">
        <f>'3. GRI Pricing'!F564</f>
        <v>0</v>
      </c>
      <c r="G554" s="16">
        <f>'3. GRI Pricing'!G564</f>
        <v>0</v>
      </c>
      <c r="H554" s="16">
        <f>'3. GRI Pricing'!H564</f>
        <v>0</v>
      </c>
      <c r="I554" s="280">
        <f>'3. GRI Pricing'!K564</f>
        <v>0</v>
      </c>
      <c r="J554" s="281">
        <f>'3. GRI Pricing'!O564</f>
        <v>0</v>
      </c>
      <c r="K554" s="281">
        <f>'3. GRI Pricing'!L564</f>
        <v>0</v>
      </c>
      <c r="L554" s="281">
        <f>'3. GRI Pricing'!P564</f>
        <v>0</v>
      </c>
      <c r="M554" s="281">
        <f>'3. GRI Pricing'!R564</f>
        <v>0</v>
      </c>
      <c r="N554" s="281">
        <f>'3. GRI Pricing'!S564</f>
        <v>0</v>
      </c>
      <c r="O554" s="281">
        <f>'3. GRI Pricing'!Q564</f>
        <v>0</v>
      </c>
      <c r="P554" s="281">
        <f>'3. GRI Pricing'!T564</f>
        <v>0</v>
      </c>
      <c r="Q554" s="281">
        <f>'3. GRI Pricing'!U564</f>
        <v>0</v>
      </c>
      <c r="R554" s="281">
        <f>'3. GRI Pricing'!V564</f>
        <v>0</v>
      </c>
      <c r="S554" s="281">
        <f>'3. GRI Pricing'!W564</f>
        <v>0</v>
      </c>
      <c r="T554" s="281">
        <f>'3. GRI Pricing'!X564</f>
        <v>0</v>
      </c>
      <c r="U554" s="282">
        <f>'3. GRI Pricing'!Y564</f>
        <v>0</v>
      </c>
    </row>
    <row r="555" spans="3:21" x14ac:dyDescent="0.2">
      <c r="C555" s="23">
        <f>'3. GRI Pricing'!C565</f>
        <v>0</v>
      </c>
      <c r="D555" s="16">
        <f>'3. GRI Pricing'!D565</f>
        <v>0</v>
      </c>
      <c r="E555" s="16">
        <f>'3. GRI Pricing'!E565</f>
        <v>0</v>
      </c>
      <c r="F555" s="16">
        <f>'3. GRI Pricing'!F565</f>
        <v>0</v>
      </c>
      <c r="G555" s="16">
        <f>'3. GRI Pricing'!G565</f>
        <v>0</v>
      </c>
      <c r="H555" s="16">
        <f>'3. GRI Pricing'!H565</f>
        <v>0</v>
      </c>
      <c r="I555" s="280">
        <f>'3. GRI Pricing'!K565</f>
        <v>0</v>
      </c>
      <c r="J555" s="281">
        <f>'3. GRI Pricing'!O565</f>
        <v>0</v>
      </c>
      <c r="K555" s="281">
        <f>'3. GRI Pricing'!L565</f>
        <v>0</v>
      </c>
      <c r="L555" s="281">
        <f>'3. GRI Pricing'!P565</f>
        <v>0</v>
      </c>
      <c r="M555" s="281">
        <f>'3. GRI Pricing'!R565</f>
        <v>0</v>
      </c>
      <c r="N555" s="281">
        <f>'3. GRI Pricing'!S565</f>
        <v>0</v>
      </c>
      <c r="O555" s="281">
        <f>'3. GRI Pricing'!Q565</f>
        <v>0</v>
      </c>
      <c r="P555" s="281">
        <f>'3. GRI Pricing'!T565</f>
        <v>0</v>
      </c>
      <c r="Q555" s="281">
        <f>'3. GRI Pricing'!U565</f>
        <v>0</v>
      </c>
      <c r="R555" s="281">
        <f>'3. GRI Pricing'!V565</f>
        <v>0</v>
      </c>
      <c r="S555" s="281">
        <f>'3. GRI Pricing'!W565</f>
        <v>0</v>
      </c>
      <c r="T555" s="281">
        <f>'3. GRI Pricing'!X565</f>
        <v>0</v>
      </c>
      <c r="U555" s="282">
        <f>'3. GRI Pricing'!Y565</f>
        <v>0</v>
      </c>
    </row>
    <row r="556" spans="3:21" x14ac:dyDescent="0.2">
      <c r="C556" s="23">
        <f>'3. GRI Pricing'!C566</f>
        <v>0</v>
      </c>
      <c r="D556" s="16">
        <f>'3. GRI Pricing'!D566</f>
        <v>0</v>
      </c>
      <c r="E556" s="16">
        <f>'3. GRI Pricing'!E566</f>
        <v>0</v>
      </c>
      <c r="F556" s="16">
        <f>'3. GRI Pricing'!F566</f>
        <v>0</v>
      </c>
      <c r="G556" s="16">
        <f>'3. GRI Pricing'!G566</f>
        <v>0</v>
      </c>
      <c r="H556" s="16">
        <f>'3. GRI Pricing'!H566</f>
        <v>0</v>
      </c>
      <c r="I556" s="280">
        <f>'3. GRI Pricing'!K566</f>
        <v>0</v>
      </c>
      <c r="J556" s="281">
        <f>'3. GRI Pricing'!O566</f>
        <v>0</v>
      </c>
      <c r="K556" s="281">
        <f>'3. GRI Pricing'!L566</f>
        <v>0</v>
      </c>
      <c r="L556" s="281">
        <f>'3. GRI Pricing'!P566</f>
        <v>0</v>
      </c>
      <c r="M556" s="281">
        <f>'3. GRI Pricing'!R566</f>
        <v>0</v>
      </c>
      <c r="N556" s="281">
        <f>'3. GRI Pricing'!S566</f>
        <v>0</v>
      </c>
      <c r="O556" s="281">
        <f>'3. GRI Pricing'!Q566</f>
        <v>0</v>
      </c>
      <c r="P556" s="281">
        <f>'3. GRI Pricing'!T566</f>
        <v>0</v>
      </c>
      <c r="Q556" s="281">
        <f>'3. GRI Pricing'!U566</f>
        <v>0</v>
      </c>
      <c r="R556" s="281">
        <f>'3. GRI Pricing'!V566</f>
        <v>0</v>
      </c>
      <c r="S556" s="281">
        <f>'3. GRI Pricing'!W566</f>
        <v>0</v>
      </c>
      <c r="T556" s="281">
        <f>'3. GRI Pricing'!X566</f>
        <v>0</v>
      </c>
      <c r="U556" s="282">
        <f>'3. GRI Pricing'!Y566</f>
        <v>0</v>
      </c>
    </row>
    <row r="557" spans="3:21" x14ac:dyDescent="0.2">
      <c r="C557" s="23">
        <f>'3. GRI Pricing'!C567</f>
        <v>0</v>
      </c>
      <c r="D557" s="16">
        <f>'3. GRI Pricing'!D567</f>
        <v>0</v>
      </c>
      <c r="E557" s="16">
        <f>'3. GRI Pricing'!E567</f>
        <v>0</v>
      </c>
      <c r="F557" s="16">
        <f>'3. GRI Pricing'!F567</f>
        <v>0</v>
      </c>
      <c r="G557" s="16">
        <f>'3. GRI Pricing'!G567</f>
        <v>0</v>
      </c>
      <c r="H557" s="16">
        <f>'3. GRI Pricing'!H567</f>
        <v>0</v>
      </c>
      <c r="I557" s="280">
        <f>'3. GRI Pricing'!K567</f>
        <v>0</v>
      </c>
      <c r="J557" s="281">
        <f>'3. GRI Pricing'!O567</f>
        <v>0</v>
      </c>
      <c r="K557" s="281">
        <f>'3. GRI Pricing'!L567</f>
        <v>0</v>
      </c>
      <c r="L557" s="281">
        <f>'3. GRI Pricing'!P567</f>
        <v>0</v>
      </c>
      <c r="M557" s="281">
        <f>'3. GRI Pricing'!R567</f>
        <v>0</v>
      </c>
      <c r="N557" s="281">
        <f>'3. GRI Pricing'!S567</f>
        <v>0</v>
      </c>
      <c r="O557" s="281">
        <f>'3. GRI Pricing'!Q567</f>
        <v>0</v>
      </c>
      <c r="P557" s="281">
        <f>'3. GRI Pricing'!T567</f>
        <v>0</v>
      </c>
      <c r="Q557" s="281">
        <f>'3. GRI Pricing'!U567</f>
        <v>0</v>
      </c>
      <c r="R557" s="281">
        <f>'3. GRI Pricing'!V567</f>
        <v>0</v>
      </c>
      <c r="S557" s="281">
        <f>'3. GRI Pricing'!W567</f>
        <v>0</v>
      </c>
      <c r="T557" s="281">
        <f>'3. GRI Pricing'!X567</f>
        <v>0</v>
      </c>
      <c r="U557" s="282">
        <f>'3. GRI Pricing'!Y567</f>
        <v>0</v>
      </c>
    </row>
    <row r="558" spans="3:21" x14ac:dyDescent="0.2">
      <c r="C558" s="23">
        <f>'3. GRI Pricing'!C568</f>
        <v>0</v>
      </c>
      <c r="D558" s="16">
        <f>'3. GRI Pricing'!D568</f>
        <v>0</v>
      </c>
      <c r="E558" s="16">
        <f>'3. GRI Pricing'!E568</f>
        <v>0</v>
      </c>
      <c r="F558" s="16">
        <f>'3. GRI Pricing'!F568</f>
        <v>0</v>
      </c>
      <c r="G558" s="16">
        <f>'3. GRI Pricing'!G568</f>
        <v>0</v>
      </c>
      <c r="H558" s="16">
        <f>'3. GRI Pricing'!H568</f>
        <v>0</v>
      </c>
      <c r="I558" s="280">
        <f>'3. GRI Pricing'!K568</f>
        <v>0</v>
      </c>
      <c r="J558" s="281">
        <f>'3. GRI Pricing'!O568</f>
        <v>0</v>
      </c>
      <c r="K558" s="281">
        <f>'3. GRI Pricing'!L568</f>
        <v>0</v>
      </c>
      <c r="L558" s="281">
        <f>'3. GRI Pricing'!P568</f>
        <v>0</v>
      </c>
      <c r="M558" s="281">
        <f>'3. GRI Pricing'!R568</f>
        <v>0</v>
      </c>
      <c r="N558" s="281">
        <f>'3. GRI Pricing'!S568</f>
        <v>0</v>
      </c>
      <c r="O558" s="281">
        <f>'3. GRI Pricing'!Q568</f>
        <v>0</v>
      </c>
      <c r="P558" s="281">
        <f>'3. GRI Pricing'!T568</f>
        <v>0</v>
      </c>
      <c r="Q558" s="281">
        <f>'3. GRI Pricing'!U568</f>
        <v>0</v>
      </c>
      <c r="R558" s="281">
        <f>'3. GRI Pricing'!V568</f>
        <v>0</v>
      </c>
      <c r="S558" s="281">
        <f>'3. GRI Pricing'!W568</f>
        <v>0</v>
      </c>
      <c r="T558" s="281">
        <f>'3. GRI Pricing'!X568</f>
        <v>0</v>
      </c>
      <c r="U558" s="282">
        <f>'3. GRI Pricing'!Y568</f>
        <v>0</v>
      </c>
    </row>
    <row r="559" spans="3:21" x14ac:dyDescent="0.2">
      <c r="C559" s="23">
        <f>'3. GRI Pricing'!C569</f>
        <v>0</v>
      </c>
      <c r="D559" s="16">
        <f>'3. GRI Pricing'!D569</f>
        <v>0</v>
      </c>
      <c r="E559" s="16">
        <f>'3. GRI Pricing'!E569</f>
        <v>0</v>
      </c>
      <c r="F559" s="16">
        <f>'3. GRI Pricing'!F569</f>
        <v>0</v>
      </c>
      <c r="G559" s="16">
        <f>'3. GRI Pricing'!G569</f>
        <v>0</v>
      </c>
      <c r="H559" s="16">
        <f>'3. GRI Pricing'!H569</f>
        <v>0</v>
      </c>
      <c r="I559" s="280">
        <f>'3. GRI Pricing'!K569</f>
        <v>0</v>
      </c>
      <c r="J559" s="281">
        <f>'3. GRI Pricing'!O569</f>
        <v>0</v>
      </c>
      <c r="K559" s="281">
        <f>'3. GRI Pricing'!L569</f>
        <v>0</v>
      </c>
      <c r="L559" s="281">
        <f>'3. GRI Pricing'!P569</f>
        <v>0</v>
      </c>
      <c r="M559" s="281">
        <f>'3. GRI Pricing'!R569</f>
        <v>0</v>
      </c>
      <c r="N559" s="281">
        <f>'3. GRI Pricing'!S569</f>
        <v>0</v>
      </c>
      <c r="O559" s="281">
        <f>'3. GRI Pricing'!Q569</f>
        <v>0</v>
      </c>
      <c r="P559" s="281">
        <f>'3. GRI Pricing'!T569</f>
        <v>0</v>
      </c>
      <c r="Q559" s="281">
        <f>'3. GRI Pricing'!U569</f>
        <v>0</v>
      </c>
      <c r="R559" s="281">
        <f>'3. GRI Pricing'!V569</f>
        <v>0</v>
      </c>
      <c r="S559" s="281">
        <f>'3. GRI Pricing'!W569</f>
        <v>0</v>
      </c>
      <c r="T559" s="281">
        <f>'3. GRI Pricing'!X569</f>
        <v>0</v>
      </c>
      <c r="U559" s="282">
        <f>'3. GRI Pricing'!Y569</f>
        <v>0</v>
      </c>
    </row>
    <row r="560" spans="3:21" x14ac:dyDescent="0.2">
      <c r="C560" s="23">
        <f>'3. GRI Pricing'!C570</f>
        <v>0</v>
      </c>
      <c r="D560" s="16">
        <f>'3. GRI Pricing'!D570</f>
        <v>0</v>
      </c>
      <c r="E560" s="16">
        <f>'3. GRI Pricing'!E570</f>
        <v>0</v>
      </c>
      <c r="F560" s="16">
        <f>'3. GRI Pricing'!F570</f>
        <v>0</v>
      </c>
      <c r="G560" s="16">
        <f>'3. GRI Pricing'!G570</f>
        <v>0</v>
      </c>
      <c r="H560" s="16">
        <f>'3. GRI Pricing'!H570</f>
        <v>0</v>
      </c>
      <c r="I560" s="280">
        <f>'3. GRI Pricing'!K570</f>
        <v>0</v>
      </c>
      <c r="J560" s="281">
        <f>'3. GRI Pricing'!O570</f>
        <v>0</v>
      </c>
      <c r="K560" s="281">
        <f>'3. GRI Pricing'!L570</f>
        <v>0</v>
      </c>
      <c r="L560" s="281">
        <f>'3. GRI Pricing'!P570</f>
        <v>0</v>
      </c>
      <c r="M560" s="281">
        <f>'3. GRI Pricing'!R570</f>
        <v>0</v>
      </c>
      <c r="N560" s="281">
        <f>'3. GRI Pricing'!S570</f>
        <v>0</v>
      </c>
      <c r="O560" s="281">
        <f>'3. GRI Pricing'!Q570</f>
        <v>0</v>
      </c>
      <c r="P560" s="281">
        <f>'3. GRI Pricing'!T570</f>
        <v>0</v>
      </c>
      <c r="Q560" s="281">
        <f>'3. GRI Pricing'!U570</f>
        <v>0</v>
      </c>
      <c r="R560" s="281">
        <f>'3. GRI Pricing'!V570</f>
        <v>0</v>
      </c>
      <c r="S560" s="281">
        <f>'3. GRI Pricing'!W570</f>
        <v>0</v>
      </c>
      <c r="T560" s="281">
        <f>'3. GRI Pricing'!X570</f>
        <v>0</v>
      </c>
      <c r="U560" s="282">
        <f>'3. GRI Pricing'!Y570</f>
        <v>0</v>
      </c>
    </row>
    <row r="561" spans="3:21" x14ac:dyDescent="0.2">
      <c r="C561" s="23">
        <f>'3. GRI Pricing'!C571</f>
        <v>0</v>
      </c>
      <c r="D561" s="16">
        <f>'3. GRI Pricing'!D571</f>
        <v>0</v>
      </c>
      <c r="E561" s="16">
        <f>'3. GRI Pricing'!E571</f>
        <v>0</v>
      </c>
      <c r="F561" s="16">
        <f>'3. GRI Pricing'!F571</f>
        <v>0</v>
      </c>
      <c r="G561" s="16">
        <f>'3. GRI Pricing'!G571</f>
        <v>0</v>
      </c>
      <c r="H561" s="16">
        <f>'3. GRI Pricing'!H571</f>
        <v>0</v>
      </c>
      <c r="I561" s="280">
        <f>'3. GRI Pricing'!K571</f>
        <v>0</v>
      </c>
      <c r="J561" s="281">
        <f>'3. GRI Pricing'!O571</f>
        <v>0</v>
      </c>
      <c r="K561" s="281">
        <f>'3. GRI Pricing'!L571</f>
        <v>0</v>
      </c>
      <c r="L561" s="281">
        <f>'3. GRI Pricing'!P571</f>
        <v>0</v>
      </c>
      <c r="M561" s="281">
        <f>'3. GRI Pricing'!R571</f>
        <v>0</v>
      </c>
      <c r="N561" s="281">
        <f>'3. GRI Pricing'!S571</f>
        <v>0</v>
      </c>
      <c r="O561" s="281">
        <f>'3. GRI Pricing'!Q571</f>
        <v>0</v>
      </c>
      <c r="P561" s="281">
        <f>'3. GRI Pricing'!T571</f>
        <v>0</v>
      </c>
      <c r="Q561" s="281">
        <f>'3. GRI Pricing'!U571</f>
        <v>0</v>
      </c>
      <c r="R561" s="281">
        <f>'3. GRI Pricing'!V571</f>
        <v>0</v>
      </c>
      <c r="S561" s="281">
        <f>'3. GRI Pricing'!W571</f>
        <v>0</v>
      </c>
      <c r="T561" s="281">
        <f>'3. GRI Pricing'!X571</f>
        <v>0</v>
      </c>
      <c r="U561" s="282">
        <f>'3. GRI Pricing'!Y571</f>
        <v>0</v>
      </c>
    </row>
    <row r="562" spans="3:21" x14ac:dyDescent="0.2">
      <c r="C562" s="23">
        <f>'3. GRI Pricing'!C572</f>
        <v>0</v>
      </c>
      <c r="D562" s="16">
        <f>'3. GRI Pricing'!D572</f>
        <v>0</v>
      </c>
      <c r="E562" s="16">
        <f>'3. GRI Pricing'!E572</f>
        <v>0</v>
      </c>
      <c r="F562" s="16">
        <f>'3. GRI Pricing'!F572</f>
        <v>0</v>
      </c>
      <c r="G562" s="16">
        <f>'3. GRI Pricing'!G572</f>
        <v>0</v>
      </c>
      <c r="H562" s="16">
        <f>'3. GRI Pricing'!H572</f>
        <v>0</v>
      </c>
      <c r="I562" s="280">
        <f>'3. GRI Pricing'!K572</f>
        <v>0</v>
      </c>
      <c r="J562" s="281">
        <f>'3. GRI Pricing'!O572</f>
        <v>0</v>
      </c>
      <c r="K562" s="281">
        <f>'3. GRI Pricing'!L572</f>
        <v>0</v>
      </c>
      <c r="L562" s="281">
        <f>'3. GRI Pricing'!P572</f>
        <v>0</v>
      </c>
      <c r="M562" s="281">
        <f>'3. GRI Pricing'!R572</f>
        <v>0</v>
      </c>
      <c r="N562" s="281">
        <f>'3. GRI Pricing'!S572</f>
        <v>0</v>
      </c>
      <c r="O562" s="281">
        <f>'3. GRI Pricing'!Q572</f>
        <v>0</v>
      </c>
      <c r="P562" s="281">
        <f>'3. GRI Pricing'!T572</f>
        <v>0</v>
      </c>
      <c r="Q562" s="281">
        <f>'3. GRI Pricing'!U572</f>
        <v>0</v>
      </c>
      <c r="R562" s="281">
        <f>'3. GRI Pricing'!V572</f>
        <v>0</v>
      </c>
      <c r="S562" s="281">
        <f>'3. GRI Pricing'!W572</f>
        <v>0</v>
      </c>
      <c r="T562" s="281">
        <f>'3. GRI Pricing'!X572</f>
        <v>0</v>
      </c>
      <c r="U562" s="282">
        <f>'3. GRI Pricing'!Y572</f>
        <v>0</v>
      </c>
    </row>
    <row r="563" spans="3:21" x14ac:dyDescent="0.2">
      <c r="C563" s="23">
        <f>'3. GRI Pricing'!C573</f>
        <v>0</v>
      </c>
      <c r="D563" s="16">
        <f>'3. GRI Pricing'!D573</f>
        <v>0</v>
      </c>
      <c r="E563" s="16">
        <f>'3. GRI Pricing'!E573</f>
        <v>0</v>
      </c>
      <c r="F563" s="16">
        <f>'3. GRI Pricing'!F573</f>
        <v>0</v>
      </c>
      <c r="G563" s="16">
        <f>'3. GRI Pricing'!G573</f>
        <v>0</v>
      </c>
      <c r="H563" s="16">
        <f>'3. GRI Pricing'!H573</f>
        <v>0</v>
      </c>
      <c r="I563" s="280">
        <f>'3. GRI Pricing'!K573</f>
        <v>0</v>
      </c>
      <c r="J563" s="281">
        <f>'3. GRI Pricing'!O573</f>
        <v>0</v>
      </c>
      <c r="K563" s="281">
        <f>'3. GRI Pricing'!L573</f>
        <v>0</v>
      </c>
      <c r="L563" s="281">
        <f>'3. GRI Pricing'!P573</f>
        <v>0</v>
      </c>
      <c r="M563" s="281">
        <f>'3. GRI Pricing'!R573</f>
        <v>0</v>
      </c>
      <c r="N563" s="281">
        <f>'3. GRI Pricing'!S573</f>
        <v>0</v>
      </c>
      <c r="O563" s="281">
        <f>'3. GRI Pricing'!Q573</f>
        <v>0</v>
      </c>
      <c r="P563" s="281">
        <f>'3. GRI Pricing'!T573</f>
        <v>0</v>
      </c>
      <c r="Q563" s="281">
        <f>'3. GRI Pricing'!U573</f>
        <v>0</v>
      </c>
      <c r="R563" s="281">
        <f>'3. GRI Pricing'!V573</f>
        <v>0</v>
      </c>
      <c r="S563" s="281">
        <f>'3. GRI Pricing'!W573</f>
        <v>0</v>
      </c>
      <c r="T563" s="281">
        <f>'3. GRI Pricing'!X573</f>
        <v>0</v>
      </c>
      <c r="U563" s="282">
        <f>'3. GRI Pricing'!Y573</f>
        <v>0</v>
      </c>
    </row>
    <row r="564" spans="3:21" x14ac:dyDescent="0.2">
      <c r="C564" s="23">
        <f>'3. GRI Pricing'!C574</f>
        <v>0</v>
      </c>
      <c r="D564" s="16">
        <f>'3. GRI Pricing'!D574</f>
        <v>0</v>
      </c>
      <c r="E564" s="16">
        <f>'3. GRI Pricing'!E574</f>
        <v>0</v>
      </c>
      <c r="F564" s="16">
        <f>'3. GRI Pricing'!F574</f>
        <v>0</v>
      </c>
      <c r="G564" s="16">
        <f>'3. GRI Pricing'!G574</f>
        <v>0</v>
      </c>
      <c r="H564" s="16">
        <f>'3. GRI Pricing'!H574</f>
        <v>0</v>
      </c>
      <c r="I564" s="280">
        <f>'3. GRI Pricing'!K574</f>
        <v>0</v>
      </c>
      <c r="J564" s="281">
        <f>'3. GRI Pricing'!O574</f>
        <v>0</v>
      </c>
      <c r="K564" s="281">
        <f>'3. GRI Pricing'!L574</f>
        <v>0</v>
      </c>
      <c r="L564" s="281">
        <f>'3. GRI Pricing'!P574</f>
        <v>0</v>
      </c>
      <c r="M564" s="281">
        <f>'3. GRI Pricing'!R574</f>
        <v>0</v>
      </c>
      <c r="N564" s="281">
        <f>'3. GRI Pricing'!S574</f>
        <v>0</v>
      </c>
      <c r="O564" s="281">
        <f>'3. GRI Pricing'!Q574</f>
        <v>0</v>
      </c>
      <c r="P564" s="281">
        <f>'3. GRI Pricing'!T574</f>
        <v>0</v>
      </c>
      <c r="Q564" s="281">
        <f>'3. GRI Pricing'!U574</f>
        <v>0</v>
      </c>
      <c r="R564" s="281">
        <f>'3. GRI Pricing'!V574</f>
        <v>0</v>
      </c>
      <c r="S564" s="281">
        <f>'3. GRI Pricing'!W574</f>
        <v>0</v>
      </c>
      <c r="T564" s="281">
        <f>'3. GRI Pricing'!X574</f>
        <v>0</v>
      </c>
      <c r="U564" s="282">
        <f>'3. GRI Pricing'!Y574</f>
        <v>0</v>
      </c>
    </row>
    <row r="565" spans="3:21" x14ac:dyDescent="0.2">
      <c r="C565" s="23">
        <f>'3. GRI Pricing'!C575</f>
        <v>0</v>
      </c>
      <c r="D565" s="16">
        <f>'3. GRI Pricing'!D575</f>
        <v>0</v>
      </c>
      <c r="E565" s="16">
        <f>'3. GRI Pricing'!E575</f>
        <v>0</v>
      </c>
      <c r="F565" s="16">
        <f>'3. GRI Pricing'!F575</f>
        <v>0</v>
      </c>
      <c r="G565" s="16">
        <f>'3. GRI Pricing'!G575</f>
        <v>0</v>
      </c>
      <c r="H565" s="16">
        <f>'3. GRI Pricing'!H575</f>
        <v>0</v>
      </c>
      <c r="I565" s="280">
        <f>'3. GRI Pricing'!K575</f>
        <v>0</v>
      </c>
      <c r="J565" s="281">
        <f>'3. GRI Pricing'!O575</f>
        <v>0</v>
      </c>
      <c r="K565" s="281">
        <f>'3. GRI Pricing'!L575</f>
        <v>0</v>
      </c>
      <c r="L565" s="281">
        <f>'3. GRI Pricing'!P575</f>
        <v>0</v>
      </c>
      <c r="M565" s="281">
        <f>'3. GRI Pricing'!R575</f>
        <v>0</v>
      </c>
      <c r="N565" s="281">
        <f>'3. GRI Pricing'!S575</f>
        <v>0</v>
      </c>
      <c r="O565" s="281">
        <f>'3. GRI Pricing'!Q575</f>
        <v>0</v>
      </c>
      <c r="P565" s="281">
        <f>'3. GRI Pricing'!T575</f>
        <v>0</v>
      </c>
      <c r="Q565" s="281">
        <f>'3. GRI Pricing'!U575</f>
        <v>0</v>
      </c>
      <c r="R565" s="281">
        <f>'3. GRI Pricing'!V575</f>
        <v>0</v>
      </c>
      <c r="S565" s="281">
        <f>'3. GRI Pricing'!W575</f>
        <v>0</v>
      </c>
      <c r="T565" s="281">
        <f>'3. GRI Pricing'!X575</f>
        <v>0</v>
      </c>
      <c r="U565" s="282">
        <f>'3. GRI Pricing'!Y575</f>
        <v>0</v>
      </c>
    </row>
    <row r="566" spans="3:21" x14ac:dyDescent="0.2">
      <c r="C566" s="23">
        <f>'3. GRI Pricing'!C576</f>
        <v>0</v>
      </c>
      <c r="D566" s="16">
        <f>'3. GRI Pricing'!D576</f>
        <v>0</v>
      </c>
      <c r="E566" s="16">
        <f>'3. GRI Pricing'!E576</f>
        <v>0</v>
      </c>
      <c r="F566" s="16">
        <f>'3. GRI Pricing'!F576</f>
        <v>0</v>
      </c>
      <c r="G566" s="16">
        <f>'3. GRI Pricing'!G576</f>
        <v>0</v>
      </c>
      <c r="H566" s="16">
        <f>'3. GRI Pricing'!H576</f>
        <v>0</v>
      </c>
      <c r="I566" s="280">
        <f>'3. GRI Pricing'!K576</f>
        <v>0</v>
      </c>
      <c r="J566" s="281">
        <f>'3. GRI Pricing'!O576</f>
        <v>0</v>
      </c>
      <c r="K566" s="281">
        <f>'3. GRI Pricing'!L576</f>
        <v>0</v>
      </c>
      <c r="L566" s="281">
        <f>'3. GRI Pricing'!P576</f>
        <v>0</v>
      </c>
      <c r="M566" s="281">
        <f>'3. GRI Pricing'!R576</f>
        <v>0</v>
      </c>
      <c r="N566" s="281">
        <f>'3. GRI Pricing'!S576</f>
        <v>0</v>
      </c>
      <c r="O566" s="281">
        <f>'3. GRI Pricing'!Q576</f>
        <v>0</v>
      </c>
      <c r="P566" s="281">
        <f>'3. GRI Pricing'!T576</f>
        <v>0</v>
      </c>
      <c r="Q566" s="281">
        <f>'3. GRI Pricing'!U576</f>
        <v>0</v>
      </c>
      <c r="R566" s="281">
        <f>'3. GRI Pricing'!V576</f>
        <v>0</v>
      </c>
      <c r="S566" s="281">
        <f>'3. GRI Pricing'!W576</f>
        <v>0</v>
      </c>
      <c r="T566" s="281">
        <f>'3. GRI Pricing'!X576</f>
        <v>0</v>
      </c>
      <c r="U566" s="282">
        <f>'3. GRI Pricing'!Y576</f>
        <v>0</v>
      </c>
    </row>
    <row r="567" spans="3:21" x14ac:dyDescent="0.2">
      <c r="C567" s="23">
        <f>'3. GRI Pricing'!C577</f>
        <v>0</v>
      </c>
      <c r="D567" s="16">
        <f>'3. GRI Pricing'!D577</f>
        <v>0</v>
      </c>
      <c r="E567" s="16">
        <f>'3. GRI Pricing'!E577</f>
        <v>0</v>
      </c>
      <c r="F567" s="16">
        <f>'3. GRI Pricing'!F577</f>
        <v>0</v>
      </c>
      <c r="G567" s="16">
        <f>'3. GRI Pricing'!G577</f>
        <v>0</v>
      </c>
      <c r="H567" s="16">
        <f>'3. GRI Pricing'!H577</f>
        <v>0</v>
      </c>
      <c r="I567" s="280">
        <f>'3. GRI Pricing'!K577</f>
        <v>0</v>
      </c>
      <c r="J567" s="281">
        <f>'3. GRI Pricing'!O577</f>
        <v>0</v>
      </c>
      <c r="K567" s="281">
        <f>'3. GRI Pricing'!L577</f>
        <v>0</v>
      </c>
      <c r="L567" s="281">
        <f>'3. GRI Pricing'!P577</f>
        <v>0</v>
      </c>
      <c r="M567" s="281">
        <f>'3. GRI Pricing'!R577</f>
        <v>0</v>
      </c>
      <c r="N567" s="281">
        <f>'3. GRI Pricing'!S577</f>
        <v>0</v>
      </c>
      <c r="O567" s="281">
        <f>'3. GRI Pricing'!Q577</f>
        <v>0</v>
      </c>
      <c r="P567" s="281">
        <f>'3. GRI Pricing'!T577</f>
        <v>0</v>
      </c>
      <c r="Q567" s="281">
        <f>'3. GRI Pricing'!U577</f>
        <v>0</v>
      </c>
      <c r="R567" s="281">
        <f>'3. GRI Pricing'!V577</f>
        <v>0</v>
      </c>
      <c r="S567" s="281">
        <f>'3. GRI Pricing'!W577</f>
        <v>0</v>
      </c>
      <c r="T567" s="281">
        <f>'3. GRI Pricing'!X577</f>
        <v>0</v>
      </c>
      <c r="U567" s="282">
        <f>'3. GRI Pricing'!Y577</f>
        <v>0</v>
      </c>
    </row>
    <row r="568" spans="3:21" x14ac:dyDescent="0.2">
      <c r="C568" s="23">
        <f>'3. GRI Pricing'!C578</f>
        <v>0</v>
      </c>
      <c r="D568" s="16">
        <f>'3. GRI Pricing'!D578</f>
        <v>0</v>
      </c>
      <c r="E568" s="16">
        <f>'3. GRI Pricing'!E578</f>
        <v>0</v>
      </c>
      <c r="F568" s="16">
        <f>'3. GRI Pricing'!F578</f>
        <v>0</v>
      </c>
      <c r="G568" s="16">
        <f>'3. GRI Pricing'!G578</f>
        <v>0</v>
      </c>
      <c r="H568" s="16">
        <f>'3. GRI Pricing'!H578</f>
        <v>0</v>
      </c>
      <c r="I568" s="280">
        <f>'3. GRI Pricing'!K578</f>
        <v>0</v>
      </c>
      <c r="J568" s="281">
        <f>'3. GRI Pricing'!O578</f>
        <v>0</v>
      </c>
      <c r="K568" s="281">
        <f>'3. GRI Pricing'!L578</f>
        <v>0</v>
      </c>
      <c r="L568" s="281">
        <f>'3. GRI Pricing'!P578</f>
        <v>0</v>
      </c>
      <c r="M568" s="281">
        <f>'3. GRI Pricing'!R578</f>
        <v>0</v>
      </c>
      <c r="N568" s="281">
        <f>'3. GRI Pricing'!S578</f>
        <v>0</v>
      </c>
      <c r="O568" s="281">
        <f>'3. GRI Pricing'!Q578</f>
        <v>0</v>
      </c>
      <c r="P568" s="281">
        <f>'3. GRI Pricing'!T578</f>
        <v>0</v>
      </c>
      <c r="Q568" s="281">
        <f>'3. GRI Pricing'!U578</f>
        <v>0</v>
      </c>
      <c r="R568" s="281">
        <f>'3. GRI Pricing'!V578</f>
        <v>0</v>
      </c>
      <c r="S568" s="281">
        <f>'3. GRI Pricing'!W578</f>
        <v>0</v>
      </c>
      <c r="T568" s="281">
        <f>'3. GRI Pricing'!X578</f>
        <v>0</v>
      </c>
      <c r="U568" s="282">
        <f>'3. GRI Pricing'!Y578</f>
        <v>0</v>
      </c>
    </row>
    <row r="569" spans="3:21" x14ac:dyDescent="0.2">
      <c r="C569" s="23">
        <f>'3. GRI Pricing'!C579</f>
        <v>0</v>
      </c>
      <c r="D569" s="16">
        <f>'3. GRI Pricing'!D579</f>
        <v>0</v>
      </c>
      <c r="E569" s="16">
        <f>'3. GRI Pricing'!E579</f>
        <v>0</v>
      </c>
      <c r="F569" s="16">
        <f>'3. GRI Pricing'!F579</f>
        <v>0</v>
      </c>
      <c r="G569" s="16">
        <f>'3. GRI Pricing'!G579</f>
        <v>0</v>
      </c>
      <c r="H569" s="16">
        <f>'3. GRI Pricing'!H579</f>
        <v>0</v>
      </c>
      <c r="I569" s="280">
        <f>'3. GRI Pricing'!K579</f>
        <v>0</v>
      </c>
      <c r="J569" s="281">
        <f>'3. GRI Pricing'!O579</f>
        <v>0</v>
      </c>
      <c r="K569" s="281">
        <f>'3. GRI Pricing'!L579</f>
        <v>0</v>
      </c>
      <c r="L569" s="281">
        <f>'3. GRI Pricing'!P579</f>
        <v>0</v>
      </c>
      <c r="M569" s="281">
        <f>'3. GRI Pricing'!R579</f>
        <v>0</v>
      </c>
      <c r="N569" s="281">
        <f>'3. GRI Pricing'!S579</f>
        <v>0</v>
      </c>
      <c r="O569" s="281">
        <f>'3. GRI Pricing'!Q579</f>
        <v>0</v>
      </c>
      <c r="P569" s="281">
        <f>'3. GRI Pricing'!T579</f>
        <v>0</v>
      </c>
      <c r="Q569" s="281">
        <f>'3. GRI Pricing'!U579</f>
        <v>0</v>
      </c>
      <c r="R569" s="281">
        <f>'3. GRI Pricing'!V579</f>
        <v>0</v>
      </c>
      <c r="S569" s="281">
        <f>'3. GRI Pricing'!W579</f>
        <v>0</v>
      </c>
      <c r="T569" s="281">
        <f>'3. GRI Pricing'!X579</f>
        <v>0</v>
      </c>
      <c r="U569" s="282">
        <f>'3. GRI Pricing'!Y579</f>
        <v>0</v>
      </c>
    </row>
    <row r="570" spans="3:21" x14ac:dyDescent="0.2">
      <c r="C570" s="23">
        <f>'3. GRI Pricing'!C580</f>
        <v>0</v>
      </c>
      <c r="D570" s="16">
        <f>'3. GRI Pricing'!D580</f>
        <v>0</v>
      </c>
      <c r="E570" s="16">
        <f>'3. GRI Pricing'!E580</f>
        <v>0</v>
      </c>
      <c r="F570" s="16">
        <f>'3. GRI Pricing'!F580</f>
        <v>0</v>
      </c>
      <c r="G570" s="16">
        <f>'3. GRI Pricing'!G580</f>
        <v>0</v>
      </c>
      <c r="H570" s="16">
        <f>'3. GRI Pricing'!H580</f>
        <v>0</v>
      </c>
      <c r="I570" s="280">
        <f>'3. GRI Pricing'!K580</f>
        <v>0</v>
      </c>
      <c r="J570" s="281">
        <f>'3. GRI Pricing'!O580</f>
        <v>0</v>
      </c>
      <c r="K570" s="281">
        <f>'3. GRI Pricing'!L580</f>
        <v>0</v>
      </c>
      <c r="L570" s="281">
        <f>'3. GRI Pricing'!P580</f>
        <v>0</v>
      </c>
      <c r="M570" s="281">
        <f>'3. GRI Pricing'!R580</f>
        <v>0</v>
      </c>
      <c r="N570" s="281">
        <f>'3. GRI Pricing'!S580</f>
        <v>0</v>
      </c>
      <c r="O570" s="281">
        <f>'3. GRI Pricing'!Q580</f>
        <v>0</v>
      </c>
      <c r="P570" s="281">
        <f>'3. GRI Pricing'!T580</f>
        <v>0</v>
      </c>
      <c r="Q570" s="281">
        <f>'3. GRI Pricing'!U580</f>
        <v>0</v>
      </c>
      <c r="R570" s="281">
        <f>'3. GRI Pricing'!V580</f>
        <v>0</v>
      </c>
      <c r="S570" s="281">
        <f>'3. GRI Pricing'!W580</f>
        <v>0</v>
      </c>
      <c r="T570" s="281">
        <f>'3. GRI Pricing'!X580</f>
        <v>0</v>
      </c>
      <c r="U570" s="282">
        <f>'3. GRI Pricing'!Y580</f>
        <v>0</v>
      </c>
    </row>
    <row r="571" spans="3:21" x14ac:dyDescent="0.2">
      <c r="C571" s="23">
        <f>'3. GRI Pricing'!C581</f>
        <v>0</v>
      </c>
      <c r="D571" s="16">
        <f>'3. GRI Pricing'!D581</f>
        <v>0</v>
      </c>
      <c r="E571" s="16">
        <f>'3. GRI Pricing'!E581</f>
        <v>0</v>
      </c>
      <c r="F571" s="16">
        <f>'3. GRI Pricing'!F581</f>
        <v>0</v>
      </c>
      <c r="G571" s="16">
        <f>'3. GRI Pricing'!G581</f>
        <v>0</v>
      </c>
      <c r="H571" s="16">
        <f>'3. GRI Pricing'!H581</f>
        <v>0</v>
      </c>
      <c r="I571" s="280">
        <f>'3. GRI Pricing'!K581</f>
        <v>0</v>
      </c>
      <c r="J571" s="281">
        <f>'3. GRI Pricing'!O581</f>
        <v>0</v>
      </c>
      <c r="K571" s="281">
        <f>'3. GRI Pricing'!L581</f>
        <v>0</v>
      </c>
      <c r="L571" s="281">
        <f>'3. GRI Pricing'!P581</f>
        <v>0</v>
      </c>
      <c r="M571" s="281">
        <f>'3. GRI Pricing'!R581</f>
        <v>0</v>
      </c>
      <c r="N571" s="281">
        <f>'3. GRI Pricing'!S581</f>
        <v>0</v>
      </c>
      <c r="O571" s="281">
        <f>'3. GRI Pricing'!Q581</f>
        <v>0</v>
      </c>
      <c r="P571" s="281">
        <f>'3. GRI Pricing'!T581</f>
        <v>0</v>
      </c>
      <c r="Q571" s="281">
        <f>'3. GRI Pricing'!U581</f>
        <v>0</v>
      </c>
      <c r="R571" s="281">
        <f>'3. GRI Pricing'!V581</f>
        <v>0</v>
      </c>
      <c r="S571" s="281">
        <f>'3. GRI Pricing'!W581</f>
        <v>0</v>
      </c>
      <c r="T571" s="281">
        <f>'3. GRI Pricing'!X581</f>
        <v>0</v>
      </c>
      <c r="U571" s="282">
        <f>'3. GRI Pricing'!Y581</f>
        <v>0</v>
      </c>
    </row>
    <row r="572" spans="3:21" x14ac:dyDescent="0.2">
      <c r="C572" s="23">
        <f>'3. GRI Pricing'!C582</f>
        <v>0</v>
      </c>
      <c r="D572" s="16">
        <f>'3. GRI Pricing'!D582</f>
        <v>0</v>
      </c>
      <c r="E572" s="16">
        <f>'3. GRI Pricing'!E582</f>
        <v>0</v>
      </c>
      <c r="F572" s="16">
        <f>'3. GRI Pricing'!F582</f>
        <v>0</v>
      </c>
      <c r="G572" s="16">
        <f>'3. GRI Pricing'!G582</f>
        <v>0</v>
      </c>
      <c r="H572" s="16">
        <f>'3. GRI Pricing'!H582</f>
        <v>0</v>
      </c>
      <c r="I572" s="280">
        <f>'3. GRI Pricing'!K582</f>
        <v>0</v>
      </c>
      <c r="J572" s="281">
        <f>'3. GRI Pricing'!O582</f>
        <v>0</v>
      </c>
      <c r="K572" s="281">
        <f>'3. GRI Pricing'!L582</f>
        <v>0</v>
      </c>
      <c r="L572" s="281">
        <f>'3. GRI Pricing'!P582</f>
        <v>0</v>
      </c>
      <c r="M572" s="281">
        <f>'3. GRI Pricing'!R582</f>
        <v>0</v>
      </c>
      <c r="N572" s="281">
        <f>'3. GRI Pricing'!S582</f>
        <v>0</v>
      </c>
      <c r="O572" s="281">
        <f>'3. GRI Pricing'!Q582</f>
        <v>0</v>
      </c>
      <c r="P572" s="281">
        <f>'3. GRI Pricing'!T582</f>
        <v>0</v>
      </c>
      <c r="Q572" s="281">
        <f>'3. GRI Pricing'!U582</f>
        <v>0</v>
      </c>
      <c r="R572" s="281">
        <f>'3. GRI Pricing'!V582</f>
        <v>0</v>
      </c>
      <c r="S572" s="281">
        <f>'3. GRI Pricing'!W582</f>
        <v>0</v>
      </c>
      <c r="T572" s="281">
        <f>'3. GRI Pricing'!X582</f>
        <v>0</v>
      </c>
      <c r="U572" s="282">
        <f>'3. GRI Pricing'!Y582</f>
        <v>0</v>
      </c>
    </row>
    <row r="573" spans="3:21" x14ac:dyDescent="0.2">
      <c r="C573" s="23">
        <f>'3. GRI Pricing'!C583</f>
        <v>0</v>
      </c>
      <c r="D573" s="16">
        <f>'3. GRI Pricing'!D583</f>
        <v>0</v>
      </c>
      <c r="E573" s="16">
        <f>'3. GRI Pricing'!E583</f>
        <v>0</v>
      </c>
      <c r="F573" s="16">
        <f>'3. GRI Pricing'!F583</f>
        <v>0</v>
      </c>
      <c r="G573" s="16">
        <f>'3. GRI Pricing'!G583</f>
        <v>0</v>
      </c>
      <c r="H573" s="16">
        <f>'3. GRI Pricing'!H583</f>
        <v>0</v>
      </c>
      <c r="I573" s="280">
        <f>'3. GRI Pricing'!K583</f>
        <v>0</v>
      </c>
      <c r="J573" s="281">
        <f>'3. GRI Pricing'!O583</f>
        <v>0</v>
      </c>
      <c r="K573" s="281">
        <f>'3. GRI Pricing'!L583</f>
        <v>0</v>
      </c>
      <c r="L573" s="281">
        <f>'3. GRI Pricing'!P583</f>
        <v>0</v>
      </c>
      <c r="M573" s="281">
        <f>'3. GRI Pricing'!R583</f>
        <v>0</v>
      </c>
      <c r="N573" s="281">
        <f>'3. GRI Pricing'!S583</f>
        <v>0</v>
      </c>
      <c r="O573" s="281">
        <f>'3. GRI Pricing'!Q583</f>
        <v>0</v>
      </c>
      <c r="P573" s="281">
        <f>'3. GRI Pricing'!T583</f>
        <v>0</v>
      </c>
      <c r="Q573" s="281">
        <f>'3. GRI Pricing'!U583</f>
        <v>0</v>
      </c>
      <c r="R573" s="281">
        <f>'3. GRI Pricing'!V583</f>
        <v>0</v>
      </c>
      <c r="S573" s="281">
        <f>'3. GRI Pricing'!W583</f>
        <v>0</v>
      </c>
      <c r="T573" s="281">
        <f>'3. GRI Pricing'!X583</f>
        <v>0</v>
      </c>
      <c r="U573" s="282">
        <f>'3. GRI Pricing'!Y583</f>
        <v>0</v>
      </c>
    </row>
    <row r="574" spans="3:21" x14ac:dyDescent="0.2">
      <c r="C574" s="23">
        <f>'3. GRI Pricing'!C584</f>
        <v>0</v>
      </c>
      <c r="D574" s="16">
        <f>'3. GRI Pricing'!D584</f>
        <v>0</v>
      </c>
      <c r="E574" s="16">
        <f>'3. GRI Pricing'!E584</f>
        <v>0</v>
      </c>
      <c r="F574" s="16">
        <f>'3. GRI Pricing'!F584</f>
        <v>0</v>
      </c>
      <c r="G574" s="16">
        <f>'3. GRI Pricing'!G584</f>
        <v>0</v>
      </c>
      <c r="H574" s="16">
        <f>'3. GRI Pricing'!H584</f>
        <v>0</v>
      </c>
      <c r="I574" s="280">
        <f>'3. GRI Pricing'!K584</f>
        <v>0</v>
      </c>
      <c r="J574" s="281">
        <f>'3. GRI Pricing'!O584</f>
        <v>0</v>
      </c>
      <c r="K574" s="281">
        <f>'3. GRI Pricing'!L584</f>
        <v>0</v>
      </c>
      <c r="L574" s="281">
        <f>'3. GRI Pricing'!P584</f>
        <v>0</v>
      </c>
      <c r="M574" s="281">
        <f>'3. GRI Pricing'!R584</f>
        <v>0</v>
      </c>
      <c r="N574" s="281">
        <f>'3. GRI Pricing'!S584</f>
        <v>0</v>
      </c>
      <c r="O574" s="281">
        <f>'3. GRI Pricing'!Q584</f>
        <v>0</v>
      </c>
      <c r="P574" s="281">
        <f>'3. GRI Pricing'!T584</f>
        <v>0</v>
      </c>
      <c r="Q574" s="281">
        <f>'3. GRI Pricing'!U584</f>
        <v>0</v>
      </c>
      <c r="R574" s="281">
        <f>'3. GRI Pricing'!V584</f>
        <v>0</v>
      </c>
      <c r="S574" s="281">
        <f>'3. GRI Pricing'!W584</f>
        <v>0</v>
      </c>
      <c r="T574" s="281">
        <f>'3. GRI Pricing'!X584</f>
        <v>0</v>
      </c>
      <c r="U574" s="282">
        <f>'3. GRI Pricing'!Y584</f>
        <v>0</v>
      </c>
    </row>
    <row r="575" spans="3:21" x14ac:dyDescent="0.2">
      <c r="C575" s="23">
        <f>'3. GRI Pricing'!C585</f>
        <v>0</v>
      </c>
      <c r="D575" s="16">
        <f>'3. GRI Pricing'!D585</f>
        <v>0</v>
      </c>
      <c r="E575" s="16">
        <f>'3. GRI Pricing'!E585</f>
        <v>0</v>
      </c>
      <c r="F575" s="16">
        <f>'3. GRI Pricing'!F585</f>
        <v>0</v>
      </c>
      <c r="G575" s="16">
        <f>'3. GRI Pricing'!G585</f>
        <v>0</v>
      </c>
      <c r="H575" s="16">
        <f>'3. GRI Pricing'!H585</f>
        <v>0</v>
      </c>
      <c r="I575" s="280">
        <f>'3. GRI Pricing'!K585</f>
        <v>0</v>
      </c>
      <c r="J575" s="281">
        <f>'3. GRI Pricing'!O585</f>
        <v>0</v>
      </c>
      <c r="K575" s="281">
        <f>'3. GRI Pricing'!L585</f>
        <v>0</v>
      </c>
      <c r="L575" s="281">
        <f>'3. GRI Pricing'!P585</f>
        <v>0</v>
      </c>
      <c r="M575" s="281">
        <f>'3. GRI Pricing'!R585</f>
        <v>0</v>
      </c>
      <c r="N575" s="281">
        <f>'3. GRI Pricing'!S585</f>
        <v>0</v>
      </c>
      <c r="O575" s="281">
        <f>'3. GRI Pricing'!Q585</f>
        <v>0</v>
      </c>
      <c r="P575" s="281">
        <f>'3. GRI Pricing'!T585</f>
        <v>0</v>
      </c>
      <c r="Q575" s="281">
        <f>'3. GRI Pricing'!U585</f>
        <v>0</v>
      </c>
      <c r="R575" s="281">
        <f>'3. GRI Pricing'!V585</f>
        <v>0</v>
      </c>
      <c r="S575" s="281">
        <f>'3. GRI Pricing'!W585</f>
        <v>0</v>
      </c>
      <c r="T575" s="281">
        <f>'3. GRI Pricing'!X585</f>
        <v>0</v>
      </c>
      <c r="U575" s="282">
        <f>'3. GRI Pricing'!Y585</f>
        <v>0</v>
      </c>
    </row>
    <row r="576" spans="3:21" x14ac:dyDescent="0.2">
      <c r="C576" s="23">
        <f>'3. GRI Pricing'!C586</f>
        <v>0</v>
      </c>
      <c r="D576" s="16">
        <f>'3. GRI Pricing'!D586</f>
        <v>0</v>
      </c>
      <c r="E576" s="16">
        <f>'3. GRI Pricing'!E586</f>
        <v>0</v>
      </c>
      <c r="F576" s="16">
        <f>'3. GRI Pricing'!F586</f>
        <v>0</v>
      </c>
      <c r="G576" s="16">
        <f>'3. GRI Pricing'!G586</f>
        <v>0</v>
      </c>
      <c r="H576" s="16">
        <f>'3. GRI Pricing'!H586</f>
        <v>0</v>
      </c>
      <c r="I576" s="280">
        <f>'3. GRI Pricing'!K586</f>
        <v>0</v>
      </c>
      <c r="J576" s="281">
        <f>'3. GRI Pricing'!O586</f>
        <v>0</v>
      </c>
      <c r="K576" s="281">
        <f>'3. GRI Pricing'!L586</f>
        <v>0</v>
      </c>
      <c r="L576" s="281">
        <f>'3. GRI Pricing'!P586</f>
        <v>0</v>
      </c>
      <c r="M576" s="281">
        <f>'3. GRI Pricing'!R586</f>
        <v>0</v>
      </c>
      <c r="N576" s="281">
        <f>'3. GRI Pricing'!S586</f>
        <v>0</v>
      </c>
      <c r="O576" s="281">
        <f>'3. GRI Pricing'!Q586</f>
        <v>0</v>
      </c>
      <c r="P576" s="281">
        <f>'3. GRI Pricing'!T586</f>
        <v>0</v>
      </c>
      <c r="Q576" s="281">
        <f>'3. GRI Pricing'!U586</f>
        <v>0</v>
      </c>
      <c r="R576" s="281">
        <f>'3. GRI Pricing'!V586</f>
        <v>0</v>
      </c>
      <c r="S576" s="281">
        <f>'3. GRI Pricing'!W586</f>
        <v>0</v>
      </c>
      <c r="T576" s="281">
        <f>'3. GRI Pricing'!X586</f>
        <v>0</v>
      </c>
      <c r="U576" s="282">
        <f>'3. GRI Pricing'!Y586</f>
        <v>0</v>
      </c>
    </row>
    <row r="577" spans="3:21" x14ac:dyDescent="0.2">
      <c r="C577" s="23">
        <f>'3. GRI Pricing'!C587</f>
        <v>0</v>
      </c>
      <c r="D577" s="16">
        <f>'3. GRI Pricing'!D587</f>
        <v>0</v>
      </c>
      <c r="E577" s="16">
        <f>'3. GRI Pricing'!E587</f>
        <v>0</v>
      </c>
      <c r="F577" s="16">
        <f>'3. GRI Pricing'!F587</f>
        <v>0</v>
      </c>
      <c r="G577" s="16">
        <f>'3. GRI Pricing'!G587</f>
        <v>0</v>
      </c>
      <c r="H577" s="16">
        <f>'3. GRI Pricing'!H587</f>
        <v>0</v>
      </c>
      <c r="I577" s="280">
        <f>'3. GRI Pricing'!K587</f>
        <v>0</v>
      </c>
      <c r="J577" s="281">
        <f>'3. GRI Pricing'!O587</f>
        <v>0</v>
      </c>
      <c r="K577" s="281">
        <f>'3. GRI Pricing'!L587</f>
        <v>0</v>
      </c>
      <c r="L577" s="281">
        <f>'3. GRI Pricing'!P587</f>
        <v>0</v>
      </c>
      <c r="M577" s="281">
        <f>'3. GRI Pricing'!R587</f>
        <v>0</v>
      </c>
      <c r="N577" s="281">
        <f>'3. GRI Pricing'!S587</f>
        <v>0</v>
      </c>
      <c r="O577" s="281">
        <f>'3. GRI Pricing'!Q587</f>
        <v>0</v>
      </c>
      <c r="P577" s="281">
        <f>'3. GRI Pricing'!T587</f>
        <v>0</v>
      </c>
      <c r="Q577" s="281">
        <f>'3. GRI Pricing'!U587</f>
        <v>0</v>
      </c>
      <c r="R577" s="281">
        <f>'3. GRI Pricing'!V587</f>
        <v>0</v>
      </c>
      <c r="S577" s="281">
        <f>'3. GRI Pricing'!W587</f>
        <v>0</v>
      </c>
      <c r="T577" s="281">
        <f>'3. GRI Pricing'!X587</f>
        <v>0</v>
      </c>
      <c r="U577" s="282">
        <f>'3. GRI Pricing'!Y587</f>
        <v>0</v>
      </c>
    </row>
    <row r="578" spans="3:21" x14ac:dyDescent="0.2">
      <c r="C578" s="23">
        <f>'3. GRI Pricing'!C588</f>
        <v>0</v>
      </c>
      <c r="D578" s="16">
        <f>'3. GRI Pricing'!D588</f>
        <v>0</v>
      </c>
      <c r="E578" s="16">
        <f>'3. GRI Pricing'!E588</f>
        <v>0</v>
      </c>
      <c r="F578" s="16">
        <f>'3. GRI Pricing'!F588</f>
        <v>0</v>
      </c>
      <c r="G578" s="16">
        <f>'3. GRI Pricing'!G588</f>
        <v>0</v>
      </c>
      <c r="H578" s="16">
        <f>'3. GRI Pricing'!H588</f>
        <v>0</v>
      </c>
      <c r="I578" s="280">
        <f>'3. GRI Pricing'!K588</f>
        <v>0</v>
      </c>
      <c r="J578" s="281">
        <f>'3. GRI Pricing'!O588</f>
        <v>0</v>
      </c>
      <c r="K578" s="281">
        <f>'3. GRI Pricing'!L588</f>
        <v>0</v>
      </c>
      <c r="L578" s="281">
        <f>'3. GRI Pricing'!P588</f>
        <v>0</v>
      </c>
      <c r="M578" s="281">
        <f>'3. GRI Pricing'!R588</f>
        <v>0</v>
      </c>
      <c r="N578" s="281">
        <f>'3. GRI Pricing'!S588</f>
        <v>0</v>
      </c>
      <c r="O578" s="281">
        <f>'3. GRI Pricing'!Q588</f>
        <v>0</v>
      </c>
      <c r="P578" s="281">
        <f>'3. GRI Pricing'!T588</f>
        <v>0</v>
      </c>
      <c r="Q578" s="281">
        <f>'3. GRI Pricing'!U588</f>
        <v>0</v>
      </c>
      <c r="R578" s="281">
        <f>'3. GRI Pricing'!V588</f>
        <v>0</v>
      </c>
      <c r="S578" s="281">
        <f>'3. GRI Pricing'!W588</f>
        <v>0</v>
      </c>
      <c r="T578" s="281">
        <f>'3. GRI Pricing'!X588</f>
        <v>0</v>
      </c>
      <c r="U578" s="282">
        <f>'3. GRI Pricing'!Y588</f>
        <v>0</v>
      </c>
    </row>
    <row r="579" spans="3:21" x14ac:dyDescent="0.2">
      <c r="C579" s="23">
        <f>'3. GRI Pricing'!C589</f>
        <v>0</v>
      </c>
      <c r="D579" s="16">
        <f>'3. GRI Pricing'!D589</f>
        <v>0</v>
      </c>
      <c r="E579" s="16">
        <f>'3. GRI Pricing'!E589</f>
        <v>0</v>
      </c>
      <c r="F579" s="16">
        <f>'3. GRI Pricing'!F589</f>
        <v>0</v>
      </c>
      <c r="G579" s="16">
        <f>'3. GRI Pricing'!G589</f>
        <v>0</v>
      </c>
      <c r="H579" s="16">
        <f>'3. GRI Pricing'!H589</f>
        <v>0</v>
      </c>
      <c r="I579" s="280">
        <f>'3. GRI Pricing'!K589</f>
        <v>0</v>
      </c>
      <c r="J579" s="281">
        <f>'3. GRI Pricing'!O589</f>
        <v>0</v>
      </c>
      <c r="K579" s="281">
        <f>'3. GRI Pricing'!L589</f>
        <v>0</v>
      </c>
      <c r="L579" s="281">
        <f>'3. GRI Pricing'!P589</f>
        <v>0</v>
      </c>
      <c r="M579" s="281">
        <f>'3. GRI Pricing'!R589</f>
        <v>0</v>
      </c>
      <c r="N579" s="281">
        <f>'3. GRI Pricing'!S589</f>
        <v>0</v>
      </c>
      <c r="O579" s="281">
        <f>'3. GRI Pricing'!Q589</f>
        <v>0</v>
      </c>
      <c r="P579" s="281">
        <f>'3. GRI Pricing'!T589</f>
        <v>0</v>
      </c>
      <c r="Q579" s="281">
        <f>'3. GRI Pricing'!U589</f>
        <v>0</v>
      </c>
      <c r="R579" s="281">
        <f>'3. GRI Pricing'!V589</f>
        <v>0</v>
      </c>
      <c r="S579" s="281">
        <f>'3. GRI Pricing'!W589</f>
        <v>0</v>
      </c>
      <c r="T579" s="281">
        <f>'3. GRI Pricing'!X589</f>
        <v>0</v>
      </c>
      <c r="U579" s="282">
        <f>'3. GRI Pricing'!Y589</f>
        <v>0</v>
      </c>
    </row>
    <row r="580" spans="3:21" x14ac:dyDescent="0.2">
      <c r="C580" s="23">
        <f>'3. GRI Pricing'!C590</f>
        <v>0</v>
      </c>
      <c r="D580" s="16">
        <f>'3. GRI Pricing'!D590</f>
        <v>0</v>
      </c>
      <c r="E580" s="16">
        <f>'3. GRI Pricing'!E590</f>
        <v>0</v>
      </c>
      <c r="F580" s="16">
        <f>'3. GRI Pricing'!F590</f>
        <v>0</v>
      </c>
      <c r="G580" s="16">
        <f>'3. GRI Pricing'!G590</f>
        <v>0</v>
      </c>
      <c r="H580" s="16">
        <f>'3. GRI Pricing'!H590</f>
        <v>0</v>
      </c>
      <c r="I580" s="280">
        <f>'3. GRI Pricing'!K590</f>
        <v>0</v>
      </c>
      <c r="J580" s="281">
        <f>'3. GRI Pricing'!O590</f>
        <v>0</v>
      </c>
      <c r="K580" s="281">
        <f>'3. GRI Pricing'!L590</f>
        <v>0</v>
      </c>
      <c r="L580" s="281">
        <f>'3. GRI Pricing'!P590</f>
        <v>0</v>
      </c>
      <c r="M580" s="281">
        <f>'3. GRI Pricing'!R590</f>
        <v>0</v>
      </c>
      <c r="N580" s="281">
        <f>'3. GRI Pricing'!S590</f>
        <v>0</v>
      </c>
      <c r="O580" s="281">
        <f>'3. GRI Pricing'!Q590</f>
        <v>0</v>
      </c>
      <c r="P580" s="281">
        <f>'3. GRI Pricing'!T590</f>
        <v>0</v>
      </c>
      <c r="Q580" s="281">
        <f>'3. GRI Pricing'!U590</f>
        <v>0</v>
      </c>
      <c r="R580" s="281">
        <f>'3. GRI Pricing'!V590</f>
        <v>0</v>
      </c>
      <c r="S580" s="281">
        <f>'3. GRI Pricing'!W590</f>
        <v>0</v>
      </c>
      <c r="T580" s="281">
        <f>'3. GRI Pricing'!X590</f>
        <v>0</v>
      </c>
      <c r="U580" s="282">
        <f>'3. GRI Pricing'!Y590</f>
        <v>0</v>
      </c>
    </row>
    <row r="581" spans="3:21" x14ac:dyDescent="0.2">
      <c r="C581" s="23">
        <f>'3. GRI Pricing'!C591</f>
        <v>0</v>
      </c>
      <c r="D581" s="16">
        <f>'3. GRI Pricing'!D591</f>
        <v>0</v>
      </c>
      <c r="E581" s="16">
        <f>'3. GRI Pricing'!E591</f>
        <v>0</v>
      </c>
      <c r="F581" s="16">
        <f>'3. GRI Pricing'!F591</f>
        <v>0</v>
      </c>
      <c r="G581" s="16">
        <f>'3. GRI Pricing'!G591</f>
        <v>0</v>
      </c>
      <c r="H581" s="16">
        <f>'3. GRI Pricing'!H591</f>
        <v>0</v>
      </c>
      <c r="I581" s="280">
        <f>'3. GRI Pricing'!K591</f>
        <v>0</v>
      </c>
      <c r="J581" s="281">
        <f>'3. GRI Pricing'!O591</f>
        <v>0</v>
      </c>
      <c r="K581" s="281">
        <f>'3. GRI Pricing'!L591</f>
        <v>0</v>
      </c>
      <c r="L581" s="281">
        <f>'3. GRI Pricing'!P591</f>
        <v>0</v>
      </c>
      <c r="M581" s="281">
        <f>'3. GRI Pricing'!R591</f>
        <v>0</v>
      </c>
      <c r="N581" s="281">
        <f>'3. GRI Pricing'!S591</f>
        <v>0</v>
      </c>
      <c r="O581" s="281">
        <f>'3. GRI Pricing'!Q591</f>
        <v>0</v>
      </c>
      <c r="P581" s="281">
        <f>'3. GRI Pricing'!T591</f>
        <v>0</v>
      </c>
      <c r="Q581" s="281">
        <f>'3. GRI Pricing'!U591</f>
        <v>0</v>
      </c>
      <c r="R581" s="281">
        <f>'3. GRI Pricing'!V591</f>
        <v>0</v>
      </c>
      <c r="S581" s="281">
        <f>'3. GRI Pricing'!W591</f>
        <v>0</v>
      </c>
      <c r="T581" s="281">
        <f>'3. GRI Pricing'!X591</f>
        <v>0</v>
      </c>
      <c r="U581" s="282">
        <f>'3. GRI Pricing'!Y591</f>
        <v>0</v>
      </c>
    </row>
    <row r="582" spans="3:21" x14ac:dyDescent="0.2">
      <c r="C582" s="23">
        <f>'3. GRI Pricing'!C592</f>
        <v>0</v>
      </c>
      <c r="D582" s="16">
        <f>'3. GRI Pricing'!D592</f>
        <v>0</v>
      </c>
      <c r="E582" s="16">
        <f>'3. GRI Pricing'!E592</f>
        <v>0</v>
      </c>
      <c r="F582" s="16">
        <f>'3. GRI Pricing'!F592</f>
        <v>0</v>
      </c>
      <c r="G582" s="16">
        <f>'3. GRI Pricing'!G592</f>
        <v>0</v>
      </c>
      <c r="H582" s="16">
        <f>'3. GRI Pricing'!H592</f>
        <v>0</v>
      </c>
      <c r="I582" s="280">
        <f>'3. GRI Pricing'!K592</f>
        <v>0</v>
      </c>
      <c r="J582" s="281">
        <f>'3. GRI Pricing'!O592</f>
        <v>0</v>
      </c>
      <c r="K582" s="281">
        <f>'3. GRI Pricing'!L592</f>
        <v>0</v>
      </c>
      <c r="L582" s="281">
        <f>'3. GRI Pricing'!P592</f>
        <v>0</v>
      </c>
      <c r="M582" s="281">
        <f>'3. GRI Pricing'!R592</f>
        <v>0</v>
      </c>
      <c r="N582" s="281">
        <f>'3. GRI Pricing'!S592</f>
        <v>0</v>
      </c>
      <c r="O582" s="281">
        <f>'3. GRI Pricing'!Q592</f>
        <v>0</v>
      </c>
      <c r="P582" s="281">
        <f>'3. GRI Pricing'!T592</f>
        <v>0</v>
      </c>
      <c r="Q582" s="281">
        <f>'3. GRI Pricing'!U592</f>
        <v>0</v>
      </c>
      <c r="R582" s="281">
        <f>'3. GRI Pricing'!V592</f>
        <v>0</v>
      </c>
      <c r="S582" s="281">
        <f>'3. GRI Pricing'!W592</f>
        <v>0</v>
      </c>
      <c r="T582" s="281">
        <f>'3. GRI Pricing'!X592</f>
        <v>0</v>
      </c>
      <c r="U582" s="282">
        <f>'3. GRI Pricing'!Y592</f>
        <v>0</v>
      </c>
    </row>
    <row r="583" spans="3:21" x14ac:dyDescent="0.2">
      <c r="C583" s="23">
        <f>'3. GRI Pricing'!C593</f>
        <v>0</v>
      </c>
      <c r="D583" s="16">
        <f>'3. GRI Pricing'!D593</f>
        <v>0</v>
      </c>
      <c r="E583" s="16">
        <f>'3. GRI Pricing'!E593</f>
        <v>0</v>
      </c>
      <c r="F583" s="16">
        <f>'3. GRI Pricing'!F593</f>
        <v>0</v>
      </c>
      <c r="G583" s="16">
        <f>'3. GRI Pricing'!G593</f>
        <v>0</v>
      </c>
      <c r="H583" s="16">
        <f>'3. GRI Pricing'!H593</f>
        <v>0</v>
      </c>
      <c r="I583" s="280">
        <f>'3. GRI Pricing'!K593</f>
        <v>0</v>
      </c>
      <c r="J583" s="281">
        <f>'3. GRI Pricing'!O593</f>
        <v>0</v>
      </c>
      <c r="K583" s="281">
        <f>'3. GRI Pricing'!L593</f>
        <v>0</v>
      </c>
      <c r="L583" s="281">
        <f>'3. GRI Pricing'!P593</f>
        <v>0</v>
      </c>
      <c r="M583" s="281">
        <f>'3. GRI Pricing'!R593</f>
        <v>0</v>
      </c>
      <c r="N583" s="281">
        <f>'3. GRI Pricing'!S593</f>
        <v>0</v>
      </c>
      <c r="O583" s="281">
        <f>'3. GRI Pricing'!Q593</f>
        <v>0</v>
      </c>
      <c r="P583" s="281">
        <f>'3. GRI Pricing'!T593</f>
        <v>0</v>
      </c>
      <c r="Q583" s="281">
        <f>'3. GRI Pricing'!U593</f>
        <v>0</v>
      </c>
      <c r="R583" s="281">
        <f>'3. GRI Pricing'!V593</f>
        <v>0</v>
      </c>
      <c r="S583" s="281">
        <f>'3. GRI Pricing'!W593</f>
        <v>0</v>
      </c>
      <c r="T583" s="281">
        <f>'3. GRI Pricing'!X593</f>
        <v>0</v>
      </c>
      <c r="U583" s="282">
        <f>'3. GRI Pricing'!Y593</f>
        <v>0</v>
      </c>
    </row>
    <row r="584" spans="3:21" x14ac:dyDescent="0.2">
      <c r="C584" s="23">
        <f>'3. GRI Pricing'!C594</f>
        <v>0</v>
      </c>
      <c r="D584" s="16">
        <f>'3. GRI Pricing'!D594</f>
        <v>0</v>
      </c>
      <c r="E584" s="16">
        <f>'3. GRI Pricing'!E594</f>
        <v>0</v>
      </c>
      <c r="F584" s="16">
        <f>'3. GRI Pricing'!F594</f>
        <v>0</v>
      </c>
      <c r="G584" s="16">
        <f>'3. GRI Pricing'!G594</f>
        <v>0</v>
      </c>
      <c r="H584" s="16">
        <f>'3. GRI Pricing'!H594</f>
        <v>0</v>
      </c>
      <c r="I584" s="280">
        <f>'3. GRI Pricing'!K594</f>
        <v>0</v>
      </c>
      <c r="J584" s="281">
        <f>'3. GRI Pricing'!O594</f>
        <v>0</v>
      </c>
      <c r="K584" s="281">
        <f>'3. GRI Pricing'!L594</f>
        <v>0</v>
      </c>
      <c r="L584" s="281">
        <f>'3. GRI Pricing'!P594</f>
        <v>0</v>
      </c>
      <c r="M584" s="281">
        <f>'3. GRI Pricing'!R594</f>
        <v>0</v>
      </c>
      <c r="N584" s="281">
        <f>'3. GRI Pricing'!S594</f>
        <v>0</v>
      </c>
      <c r="O584" s="281">
        <f>'3. GRI Pricing'!Q594</f>
        <v>0</v>
      </c>
      <c r="P584" s="281">
        <f>'3. GRI Pricing'!T594</f>
        <v>0</v>
      </c>
      <c r="Q584" s="281">
        <f>'3. GRI Pricing'!U594</f>
        <v>0</v>
      </c>
      <c r="R584" s="281">
        <f>'3. GRI Pricing'!V594</f>
        <v>0</v>
      </c>
      <c r="S584" s="281">
        <f>'3. GRI Pricing'!W594</f>
        <v>0</v>
      </c>
      <c r="T584" s="281">
        <f>'3. GRI Pricing'!X594</f>
        <v>0</v>
      </c>
      <c r="U584" s="282">
        <f>'3. GRI Pricing'!Y594</f>
        <v>0</v>
      </c>
    </row>
    <row r="585" spans="3:21" x14ac:dyDescent="0.2">
      <c r="C585" s="23">
        <f>'3. GRI Pricing'!C595</f>
        <v>0</v>
      </c>
      <c r="D585" s="16">
        <f>'3. GRI Pricing'!D595</f>
        <v>0</v>
      </c>
      <c r="E585" s="16">
        <f>'3. GRI Pricing'!E595</f>
        <v>0</v>
      </c>
      <c r="F585" s="16">
        <f>'3. GRI Pricing'!F595</f>
        <v>0</v>
      </c>
      <c r="G585" s="16">
        <f>'3. GRI Pricing'!G595</f>
        <v>0</v>
      </c>
      <c r="H585" s="16">
        <f>'3. GRI Pricing'!H595</f>
        <v>0</v>
      </c>
      <c r="I585" s="280">
        <f>'3. GRI Pricing'!K595</f>
        <v>0</v>
      </c>
      <c r="J585" s="281">
        <f>'3. GRI Pricing'!O595</f>
        <v>0</v>
      </c>
      <c r="K585" s="281">
        <f>'3. GRI Pricing'!L595</f>
        <v>0</v>
      </c>
      <c r="L585" s="281">
        <f>'3. GRI Pricing'!P595</f>
        <v>0</v>
      </c>
      <c r="M585" s="281">
        <f>'3. GRI Pricing'!R595</f>
        <v>0</v>
      </c>
      <c r="N585" s="281">
        <f>'3. GRI Pricing'!S595</f>
        <v>0</v>
      </c>
      <c r="O585" s="281">
        <f>'3. GRI Pricing'!Q595</f>
        <v>0</v>
      </c>
      <c r="P585" s="281">
        <f>'3. GRI Pricing'!T595</f>
        <v>0</v>
      </c>
      <c r="Q585" s="281">
        <f>'3. GRI Pricing'!U595</f>
        <v>0</v>
      </c>
      <c r="R585" s="281">
        <f>'3. GRI Pricing'!V595</f>
        <v>0</v>
      </c>
      <c r="S585" s="281">
        <f>'3. GRI Pricing'!W595</f>
        <v>0</v>
      </c>
      <c r="T585" s="281">
        <f>'3. GRI Pricing'!X595</f>
        <v>0</v>
      </c>
      <c r="U585" s="282">
        <f>'3. GRI Pricing'!Y595</f>
        <v>0</v>
      </c>
    </row>
    <row r="586" spans="3:21" x14ac:dyDescent="0.2">
      <c r="C586" s="23">
        <f>'3. GRI Pricing'!C596</f>
        <v>0</v>
      </c>
      <c r="D586" s="16">
        <f>'3. GRI Pricing'!D596</f>
        <v>0</v>
      </c>
      <c r="E586" s="16">
        <f>'3. GRI Pricing'!E596</f>
        <v>0</v>
      </c>
      <c r="F586" s="16">
        <f>'3. GRI Pricing'!F596</f>
        <v>0</v>
      </c>
      <c r="G586" s="16">
        <f>'3. GRI Pricing'!G596</f>
        <v>0</v>
      </c>
      <c r="H586" s="16">
        <f>'3. GRI Pricing'!H596</f>
        <v>0</v>
      </c>
      <c r="I586" s="280">
        <f>'3. GRI Pricing'!K596</f>
        <v>0</v>
      </c>
      <c r="J586" s="281">
        <f>'3. GRI Pricing'!O596</f>
        <v>0</v>
      </c>
      <c r="K586" s="281">
        <f>'3. GRI Pricing'!L596</f>
        <v>0</v>
      </c>
      <c r="L586" s="281">
        <f>'3. GRI Pricing'!P596</f>
        <v>0</v>
      </c>
      <c r="M586" s="281">
        <f>'3. GRI Pricing'!R596</f>
        <v>0</v>
      </c>
      <c r="N586" s="281">
        <f>'3. GRI Pricing'!S596</f>
        <v>0</v>
      </c>
      <c r="O586" s="281">
        <f>'3. GRI Pricing'!Q596</f>
        <v>0</v>
      </c>
      <c r="P586" s="281">
        <f>'3. GRI Pricing'!T596</f>
        <v>0</v>
      </c>
      <c r="Q586" s="281">
        <f>'3. GRI Pricing'!U596</f>
        <v>0</v>
      </c>
      <c r="R586" s="281">
        <f>'3. GRI Pricing'!V596</f>
        <v>0</v>
      </c>
      <c r="S586" s="281">
        <f>'3. GRI Pricing'!W596</f>
        <v>0</v>
      </c>
      <c r="T586" s="281">
        <f>'3. GRI Pricing'!X596</f>
        <v>0</v>
      </c>
      <c r="U586" s="282">
        <f>'3. GRI Pricing'!Y596</f>
        <v>0</v>
      </c>
    </row>
    <row r="587" spans="3:21" x14ac:dyDescent="0.2">
      <c r="C587" s="23">
        <f>'3. GRI Pricing'!C597</f>
        <v>0</v>
      </c>
      <c r="D587" s="16">
        <f>'3. GRI Pricing'!D597</f>
        <v>0</v>
      </c>
      <c r="E587" s="16">
        <f>'3. GRI Pricing'!E597</f>
        <v>0</v>
      </c>
      <c r="F587" s="16">
        <f>'3. GRI Pricing'!F597</f>
        <v>0</v>
      </c>
      <c r="G587" s="16">
        <f>'3. GRI Pricing'!G597</f>
        <v>0</v>
      </c>
      <c r="H587" s="16">
        <f>'3. GRI Pricing'!H597</f>
        <v>0</v>
      </c>
      <c r="I587" s="280">
        <f>'3. GRI Pricing'!K597</f>
        <v>0</v>
      </c>
      <c r="J587" s="281">
        <f>'3. GRI Pricing'!O597</f>
        <v>0</v>
      </c>
      <c r="K587" s="281">
        <f>'3. GRI Pricing'!L597</f>
        <v>0</v>
      </c>
      <c r="L587" s="281">
        <f>'3. GRI Pricing'!P597</f>
        <v>0</v>
      </c>
      <c r="M587" s="281">
        <f>'3. GRI Pricing'!R597</f>
        <v>0</v>
      </c>
      <c r="N587" s="281">
        <f>'3. GRI Pricing'!S597</f>
        <v>0</v>
      </c>
      <c r="O587" s="281">
        <f>'3. GRI Pricing'!Q597</f>
        <v>0</v>
      </c>
      <c r="P587" s="281">
        <f>'3. GRI Pricing'!T597</f>
        <v>0</v>
      </c>
      <c r="Q587" s="281">
        <f>'3. GRI Pricing'!U597</f>
        <v>0</v>
      </c>
      <c r="R587" s="281">
        <f>'3. GRI Pricing'!V597</f>
        <v>0</v>
      </c>
      <c r="S587" s="281">
        <f>'3. GRI Pricing'!W597</f>
        <v>0</v>
      </c>
      <c r="T587" s="281">
        <f>'3. GRI Pricing'!X597</f>
        <v>0</v>
      </c>
      <c r="U587" s="282">
        <f>'3. GRI Pricing'!Y597</f>
        <v>0</v>
      </c>
    </row>
    <row r="588" spans="3:21" x14ac:dyDescent="0.2">
      <c r="C588" s="23">
        <f>'3. GRI Pricing'!C598</f>
        <v>0</v>
      </c>
      <c r="D588" s="16">
        <f>'3. GRI Pricing'!D598</f>
        <v>0</v>
      </c>
      <c r="E588" s="16">
        <f>'3. GRI Pricing'!E598</f>
        <v>0</v>
      </c>
      <c r="F588" s="16">
        <f>'3. GRI Pricing'!F598</f>
        <v>0</v>
      </c>
      <c r="G588" s="16">
        <f>'3. GRI Pricing'!G598</f>
        <v>0</v>
      </c>
      <c r="H588" s="16">
        <f>'3. GRI Pricing'!H598</f>
        <v>0</v>
      </c>
      <c r="I588" s="280">
        <f>'3. GRI Pricing'!K598</f>
        <v>0</v>
      </c>
      <c r="J588" s="281">
        <f>'3. GRI Pricing'!O598</f>
        <v>0</v>
      </c>
      <c r="K588" s="281">
        <f>'3. GRI Pricing'!L598</f>
        <v>0</v>
      </c>
      <c r="L588" s="281">
        <f>'3. GRI Pricing'!P598</f>
        <v>0</v>
      </c>
      <c r="M588" s="281">
        <f>'3. GRI Pricing'!R598</f>
        <v>0</v>
      </c>
      <c r="N588" s="281">
        <f>'3. GRI Pricing'!S598</f>
        <v>0</v>
      </c>
      <c r="O588" s="281">
        <f>'3. GRI Pricing'!Q598</f>
        <v>0</v>
      </c>
      <c r="P588" s="281">
        <f>'3. GRI Pricing'!T598</f>
        <v>0</v>
      </c>
      <c r="Q588" s="281">
        <f>'3. GRI Pricing'!U598</f>
        <v>0</v>
      </c>
      <c r="R588" s="281">
        <f>'3. GRI Pricing'!V598</f>
        <v>0</v>
      </c>
      <c r="S588" s="281">
        <f>'3. GRI Pricing'!W598</f>
        <v>0</v>
      </c>
      <c r="T588" s="281">
        <f>'3. GRI Pricing'!X598</f>
        <v>0</v>
      </c>
      <c r="U588" s="282">
        <f>'3. GRI Pricing'!Y598</f>
        <v>0</v>
      </c>
    </row>
    <row r="589" spans="3:21" x14ac:dyDescent="0.2">
      <c r="C589" s="23">
        <f>'3. GRI Pricing'!C599</f>
        <v>0</v>
      </c>
      <c r="D589" s="16">
        <f>'3. GRI Pricing'!D599</f>
        <v>0</v>
      </c>
      <c r="E589" s="16">
        <f>'3. GRI Pricing'!E599</f>
        <v>0</v>
      </c>
      <c r="F589" s="16">
        <f>'3. GRI Pricing'!F599</f>
        <v>0</v>
      </c>
      <c r="G589" s="16">
        <f>'3. GRI Pricing'!G599</f>
        <v>0</v>
      </c>
      <c r="H589" s="16">
        <f>'3. GRI Pricing'!H599</f>
        <v>0</v>
      </c>
      <c r="I589" s="280">
        <f>'3. GRI Pricing'!K599</f>
        <v>0</v>
      </c>
      <c r="J589" s="281">
        <f>'3. GRI Pricing'!O599</f>
        <v>0</v>
      </c>
      <c r="K589" s="281">
        <f>'3. GRI Pricing'!L599</f>
        <v>0</v>
      </c>
      <c r="L589" s="281">
        <f>'3. GRI Pricing'!P599</f>
        <v>0</v>
      </c>
      <c r="M589" s="281">
        <f>'3. GRI Pricing'!R599</f>
        <v>0</v>
      </c>
      <c r="N589" s="281">
        <f>'3. GRI Pricing'!S599</f>
        <v>0</v>
      </c>
      <c r="O589" s="281">
        <f>'3. GRI Pricing'!Q599</f>
        <v>0</v>
      </c>
      <c r="P589" s="281">
        <f>'3. GRI Pricing'!T599</f>
        <v>0</v>
      </c>
      <c r="Q589" s="281">
        <f>'3. GRI Pricing'!U599</f>
        <v>0</v>
      </c>
      <c r="R589" s="281">
        <f>'3. GRI Pricing'!V599</f>
        <v>0</v>
      </c>
      <c r="S589" s="281">
        <f>'3. GRI Pricing'!W599</f>
        <v>0</v>
      </c>
      <c r="T589" s="281">
        <f>'3. GRI Pricing'!X599</f>
        <v>0</v>
      </c>
      <c r="U589" s="282">
        <f>'3. GRI Pricing'!Y599</f>
        <v>0</v>
      </c>
    </row>
    <row r="590" spans="3:21" x14ac:dyDescent="0.2">
      <c r="C590" s="23">
        <f>'3. GRI Pricing'!C600</f>
        <v>0</v>
      </c>
      <c r="D590" s="16">
        <f>'3. GRI Pricing'!D600</f>
        <v>0</v>
      </c>
      <c r="E590" s="16">
        <f>'3. GRI Pricing'!E600</f>
        <v>0</v>
      </c>
      <c r="F590" s="16">
        <f>'3. GRI Pricing'!F600</f>
        <v>0</v>
      </c>
      <c r="G590" s="16">
        <f>'3. GRI Pricing'!G600</f>
        <v>0</v>
      </c>
      <c r="H590" s="16">
        <f>'3. GRI Pricing'!H600</f>
        <v>0</v>
      </c>
      <c r="I590" s="280">
        <f>'3. GRI Pricing'!K600</f>
        <v>0</v>
      </c>
      <c r="J590" s="281">
        <f>'3. GRI Pricing'!O600</f>
        <v>0</v>
      </c>
      <c r="K590" s="281">
        <f>'3. GRI Pricing'!L600</f>
        <v>0</v>
      </c>
      <c r="L590" s="281">
        <f>'3. GRI Pricing'!P600</f>
        <v>0</v>
      </c>
      <c r="M590" s="281">
        <f>'3. GRI Pricing'!R600</f>
        <v>0</v>
      </c>
      <c r="N590" s="281">
        <f>'3. GRI Pricing'!S600</f>
        <v>0</v>
      </c>
      <c r="O590" s="281">
        <f>'3. GRI Pricing'!Q600</f>
        <v>0</v>
      </c>
      <c r="P590" s="281">
        <f>'3. GRI Pricing'!T600</f>
        <v>0</v>
      </c>
      <c r="Q590" s="281">
        <f>'3. GRI Pricing'!U600</f>
        <v>0</v>
      </c>
      <c r="R590" s="281">
        <f>'3. GRI Pricing'!V600</f>
        <v>0</v>
      </c>
      <c r="S590" s="281">
        <f>'3. GRI Pricing'!W600</f>
        <v>0</v>
      </c>
      <c r="T590" s="281">
        <f>'3. GRI Pricing'!X600</f>
        <v>0</v>
      </c>
      <c r="U590" s="282">
        <f>'3. GRI Pricing'!Y600</f>
        <v>0</v>
      </c>
    </row>
    <row r="591" spans="3:21" x14ac:dyDescent="0.2">
      <c r="C591" s="23">
        <f>'3. GRI Pricing'!C601</f>
        <v>0</v>
      </c>
      <c r="D591" s="16">
        <f>'3. GRI Pricing'!D601</f>
        <v>0</v>
      </c>
      <c r="E591" s="16">
        <f>'3. GRI Pricing'!E601</f>
        <v>0</v>
      </c>
      <c r="F591" s="16">
        <f>'3. GRI Pricing'!F601</f>
        <v>0</v>
      </c>
      <c r="G591" s="16">
        <f>'3. GRI Pricing'!G601</f>
        <v>0</v>
      </c>
      <c r="H591" s="16">
        <f>'3. GRI Pricing'!H601</f>
        <v>0</v>
      </c>
      <c r="I591" s="280">
        <f>'3. GRI Pricing'!K601</f>
        <v>0</v>
      </c>
      <c r="J591" s="281">
        <f>'3. GRI Pricing'!O601</f>
        <v>0</v>
      </c>
      <c r="K591" s="281">
        <f>'3. GRI Pricing'!L601</f>
        <v>0</v>
      </c>
      <c r="L591" s="281">
        <f>'3. GRI Pricing'!P601</f>
        <v>0</v>
      </c>
      <c r="M591" s="281">
        <f>'3. GRI Pricing'!R601</f>
        <v>0</v>
      </c>
      <c r="N591" s="281">
        <f>'3. GRI Pricing'!S601</f>
        <v>0</v>
      </c>
      <c r="O591" s="281">
        <f>'3. GRI Pricing'!Q601</f>
        <v>0</v>
      </c>
      <c r="P591" s="281">
        <f>'3. GRI Pricing'!T601</f>
        <v>0</v>
      </c>
      <c r="Q591" s="281">
        <f>'3. GRI Pricing'!U601</f>
        <v>0</v>
      </c>
      <c r="R591" s="281">
        <f>'3. GRI Pricing'!V601</f>
        <v>0</v>
      </c>
      <c r="S591" s="281">
        <f>'3. GRI Pricing'!W601</f>
        <v>0</v>
      </c>
      <c r="T591" s="281">
        <f>'3. GRI Pricing'!X601</f>
        <v>0</v>
      </c>
      <c r="U591" s="282">
        <f>'3. GRI Pricing'!Y601</f>
        <v>0</v>
      </c>
    </row>
    <row r="592" spans="3:21" x14ac:dyDescent="0.2">
      <c r="C592" s="23">
        <f>'3. GRI Pricing'!C602</f>
        <v>0</v>
      </c>
      <c r="D592" s="16">
        <f>'3. GRI Pricing'!D602</f>
        <v>0</v>
      </c>
      <c r="E592" s="16">
        <f>'3. GRI Pricing'!E602</f>
        <v>0</v>
      </c>
      <c r="F592" s="16">
        <f>'3. GRI Pricing'!F602</f>
        <v>0</v>
      </c>
      <c r="G592" s="16">
        <f>'3. GRI Pricing'!G602</f>
        <v>0</v>
      </c>
      <c r="H592" s="16">
        <f>'3. GRI Pricing'!H602</f>
        <v>0</v>
      </c>
      <c r="I592" s="280">
        <f>'3. GRI Pricing'!K602</f>
        <v>0</v>
      </c>
      <c r="J592" s="281">
        <f>'3. GRI Pricing'!O602</f>
        <v>0</v>
      </c>
      <c r="K592" s="281">
        <f>'3. GRI Pricing'!L602</f>
        <v>0</v>
      </c>
      <c r="L592" s="281">
        <f>'3. GRI Pricing'!P602</f>
        <v>0</v>
      </c>
      <c r="M592" s="281">
        <f>'3. GRI Pricing'!R602</f>
        <v>0</v>
      </c>
      <c r="N592" s="281">
        <f>'3. GRI Pricing'!S602</f>
        <v>0</v>
      </c>
      <c r="O592" s="281">
        <f>'3. GRI Pricing'!Q602</f>
        <v>0</v>
      </c>
      <c r="P592" s="281">
        <f>'3. GRI Pricing'!T602</f>
        <v>0</v>
      </c>
      <c r="Q592" s="281">
        <f>'3. GRI Pricing'!U602</f>
        <v>0</v>
      </c>
      <c r="R592" s="281">
        <f>'3. GRI Pricing'!V602</f>
        <v>0</v>
      </c>
      <c r="S592" s="281">
        <f>'3. GRI Pricing'!W602</f>
        <v>0</v>
      </c>
      <c r="T592" s="281">
        <f>'3. GRI Pricing'!X602</f>
        <v>0</v>
      </c>
      <c r="U592" s="282">
        <f>'3. GRI Pricing'!Y602</f>
        <v>0</v>
      </c>
    </row>
    <row r="593" spans="3:21" x14ac:dyDescent="0.2">
      <c r="C593" s="23">
        <f>'3. GRI Pricing'!C603</f>
        <v>0</v>
      </c>
      <c r="D593" s="16">
        <f>'3. GRI Pricing'!D603</f>
        <v>0</v>
      </c>
      <c r="E593" s="16">
        <f>'3. GRI Pricing'!E603</f>
        <v>0</v>
      </c>
      <c r="F593" s="16">
        <f>'3. GRI Pricing'!F603</f>
        <v>0</v>
      </c>
      <c r="G593" s="16">
        <f>'3. GRI Pricing'!G603</f>
        <v>0</v>
      </c>
      <c r="H593" s="16">
        <f>'3. GRI Pricing'!H603</f>
        <v>0</v>
      </c>
      <c r="I593" s="280">
        <f>'3. GRI Pricing'!K603</f>
        <v>0</v>
      </c>
      <c r="J593" s="281">
        <f>'3. GRI Pricing'!O603</f>
        <v>0</v>
      </c>
      <c r="K593" s="281">
        <f>'3. GRI Pricing'!L603</f>
        <v>0</v>
      </c>
      <c r="L593" s="281">
        <f>'3. GRI Pricing'!P603</f>
        <v>0</v>
      </c>
      <c r="M593" s="281">
        <f>'3. GRI Pricing'!R603</f>
        <v>0</v>
      </c>
      <c r="N593" s="281">
        <f>'3. GRI Pricing'!S603</f>
        <v>0</v>
      </c>
      <c r="O593" s="281">
        <f>'3. GRI Pricing'!Q603</f>
        <v>0</v>
      </c>
      <c r="P593" s="281">
        <f>'3. GRI Pricing'!T603</f>
        <v>0</v>
      </c>
      <c r="Q593" s="281">
        <f>'3. GRI Pricing'!U603</f>
        <v>0</v>
      </c>
      <c r="R593" s="281">
        <f>'3. GRI Pricing'!V603</f>
        <v>0</v>
      </c>
      <c r="S593" s="281">
        <f>'3. GRI Pricing'!W603</f>
        <v>0</v>
      </c>
      <c r="T593" s="281">
        <f>'3. GRI Pricing'!X603</f>
        <v>0</v>
      </c>
      <c r="U593" s="282">
        <f>'3. GRI Pricing'!Y603</f>
        <v>0</v>
      </c>
    </row>
    <row r="594" spans="3:21" x14ac:dyDescent="0.2">
      <c r="C594" s="23">
        <f>'3. GRI Pricing'!C604</f>
        <v>0</v>
      </c>
      <c r="D594" s="16">
        <f>'3. GRI Pricing'!D604</f>
        <v>0</v>
      </c>
      <c r="E594" s="16">
        <f>'3. GRI Pricing'!E604</f>
        <v>0</v>
      </c>
      <c r="F594" s="16">
        <f>'3. GRI Pricing'!F604</f>
        <v>0</v>
      </c>
      <c r="G594" s="16">
        <f>'3. GRI Pricing'!G604</f>
        <v>0</v>
      </c>
      <c r="H594" s="16">
        <f>'3. GRI Pricing'!H604</f>
        <v>0</v>
      </c>
      <c r="I594" s="280">
        <f>'3. GRI Pricing'!K604</f>
        <v>0</v>
      </c>
      <c r="J594" s="281">
        <f>'3. GRI Pricing'!O604</f>
        <v>0</v>
      </c>
      <c r="K594" s="281">
        <f>'3. GRI Pricing'!L604</f>
        <v>0</v>
      </c>
      <c r="L594" s="281">
        <f>'3. GRI Pricing'!P604</f>
        <v>0</v>
      </c>
      <c r="M594" s="281">
        <f>'3. GRI Pricing'!R604</f>
        <v>0</v>
      </c>
      <c r="N594" s="281">
        <f>'3. GRI Pricing'!S604</f>
        <v>0</v>
      </c>
      <c r="O594" s="281">
        <f>'3. GRI Pricing'!Q604</f>
        <v>0</v>
      </c>
      <c r="P594" s="281">
        <f>'3. GRI Pricing'!T604</f>
        <v>0</v>
      </c>
      <c r="Q594" s="281">
        <f>'3. GRI Pricing'!U604</f>
        <v>0</v>
      </c>
      <c r="R594" s="281">
        <f>'3. GRI Pricing'!V604</f>
        <v>0</v>
      </c>
      <c r="S594" s="281">
        <f>'3. GRI Pricing'!W604</f>
        <v>0</v>
      </c>
      <c r="T594" s="281">
        <f>'3. GRI Pricing'!X604</f>
        <v>0</v>
      </c>
      <c r="U594" s="282">
        <f>'3. GRI Pricing'!Y604</f>
        <v>0</v>
      </c>
    </row>
    <row r="595" spans="3:21" x14ac:dyDescent="0.2">
      <c r="C595" s="23">
        <f>'3. GRI Pricing'!C605</f>
        <v>0</v>
      </c>
      <c r="D595" s="16">
        <f>'3. GRI Pricing'!D605</f>
        <v>0</v>
      </c>
      <c r="E595" s="16">
        <f>'3. GRI Pricing'!E605</f>
        <v>0</v>
      </c>
      <c r="F595" s="16">
        <f>'3. GRI Pricing'!F605</f>
        <v>0</v>
      </c>
      <c r="G595" s="16">
        <f>'3. GRI Pricing'!G605</f>
        <v>0</v>
      </c>
      <c r="H595" s="16">
        <f>'3. GRI Pricing'!H605</f>
        <v>0</v>
      </c>
      <c r="I595" s="280">
        <f>'3. GRI Pricing'!K605</f>
        <v>0</v>
      </c>
      <c r="J595" s="281">
        <f>'3. GRI Pricing'!O605</f>
        <v>0</v>
      </c>
      <c r="K595" s="281">
        <f>'3. GRI Pricing'!L605</f>
        <v>0</v>
      </c>
      <c r="L595" s="281">
        <f>'3. GRI Pricing'!P605</f>
        <v>0</v>
      </c>
      <c r="M595" s="281">
        <f>'3. GRI Pricing'!R605</f>
        <v>0</v>
      </c>
      <c r="N595" s="281">
        <f>'3. GRI Pricing'!S605</f>
        <v>0</v>
      </c>
      <c r="O595" s="281">
        <f>'3. GRI Pricing'!Q605</f>
        <v>0</v>
      </c>
      <c r="P595" s="281">
        <f>'3. GRI Pricing'!T605</f>
        <v>0</v>
      </c>
      <c r="Q595" s="281">
        <f>'3. GRI Pricing'!U605</f>
        <v>0</v>
      </c>
      <c r="R595" s="281">
        <f>'3. GRI Pricing'!V605</f>
        <v>0</v>
      </c>
      <c r="S595" s="281">
        <f>'3. GRI Pricing'!W605</f>
        <v>0</v>
      </c>
      <c r="T595" s="281">
        <f>'3. GRI Pricing'!X605</f>
        <v>0</v>
      </c>
      <c r="U595" s="282">
        <f>'3. GRI Pricing'!Y605</f>
        <v>0</v>
      </c>
    </row>
    <row r="596" spans="3:21" x14ac:dyDescent="0.2">
      <c r="C596" s="23">
        <f>'3. GRI Pricing'!C606</f>
        <v>0</v>
      </c>
      <c r="D596" s="16">
        <f>'3. GRI Pricing'!D606</f>
        <v>0</v>
      </c>
      <c r="E596" s="16">
        <f>'3. GRI Pricing'!E606</f>
        <v>0</v>
      </c>
      <c r="F596" s="16">
        <f>'3. GRI Pricing'!F606</f>
        <v>0</v>
      </c>
      <c r="G596" s="16">
        <f>'3. GRI Pricing'!G606</f>
        <v>0</v>
      </c>
      <c r="H596" s="16">
        <f>'3. GRI Pricing'!H606</f>
        <v>0</v>
      </c>
      <c r="I596" s="280">
        <f>'3. GRI Pricing'!K606</f>
        <v>0</v>
      </c>
      <c r="J596" s="281">
        <f>'3. GRI Pricing'!O606</f>
        <v>0</v>
      </c>
      <c r="K596" s="281">
        <f>'3. GRI Pricing'!L606</f>
        <v>0</v>
      </c>
      <c r="L596" s="281">
        <f>'3. GRI Pricing'!P606</f>
        <v>0</v>
      </c>
      <c r="M596" s="281">
        <f>'3. GRI Pricing'!R606</f>
        <v>0</v>
      </c>
      <c r="N596" s="281">
        <f>'3. GRI Pricing'!S606</f>
        <v>0</v>
      </c>
      <c r="O596" s="281">
        <f>'3. GRI Pricing'!Q606</f>
        <v>0</v>
      </c>
      <c r="P596" s="281">
        <f>'3. GRI Pricing'!T606</f>
        <v>0</v>
      </c>
      <c r="Q596" s="281">
        <f>'3. GRI Pricing'!U606</f>
        <v>0</v>
      </c>
      <c r="R596" s="281">
        <f>'3. GRI Pricing'!V606</f>
        <v>0</v>
      </c>
      <c r="S596" s="281">
        <f>'3. GRI Pricing'!W606</f>
        <v>0</v>
      </c>
      <c r="T596" s="281">
        <f>'3. GRI Pricing'!X606</f>
        <v>0</v>
      </c>
      <c r="U596" s="282">
        <f>'3. GRI Pricing'!Y606</f>
        <v>0</v>
      </c>
    </row>
    <row r="597" spans="3:21" x14ac:dyDescent="0.2">
      <c r="C597" s="23">
        <f>'3. GRI Pricing'!C607</f>
        <v>0</v>
      </c>
      <c r="D597" s="16">
        <f>'3. GRI Pricing'!D607</f>
        <v>0</v>
      </c>
      <c r="E597" s="16">
        <f>'3. GRI Pricing'!E607</f>
        <v>0</v>
      </c>
      <c r="F597" s="16">
        <f>'3. GRI Pricing'!F607</f>
        <v>0</v>
      </c>
      <c r="G597" s="16">
        <f>'3. GRI Pricing'!G607</f>
        <v>0</v>
      </c>
      <c r="H597" s="16">
        <f>'3. GRI Pricing'!H607</f>
        <v>0</v>
      </c>
      <c r="I597" s="280">
        <f>'3. GRI Pricing'!K607</f>
        <v>0</v>
      </c>
      <c r="J597" s="281">
        <f>'3. GRI Pricing'!O607</f>
        <v>0</v>
      </c>
      <c r="K597" s="281">
        <f>'3. GRI Pricing'!L607</f>
        <v>0</v>
      </c>
      <c r="L597" s="281">
        <f>'3. GRI Pricing'!P607</f>
        <v>0</v>
      </c>
      <c r="M597" s="281">
        <f>'3. GRI Pricing'!R607</f>
        <v>0</v>
      </c>
      <c r="N597" s="281">
        <f>'3. GRI Pricing'!S607</f>
        <v>0</v>
      </c>
      <c r="O597" s="281">
        <f>'3. GRI Pricing'!Q607</f>
        <v>0</v>
      </c>
      <c r="P597" s="281">
        <f>'3. GRI Pricing'!T607</f>
        <v>0</v>
      </c>
      <c r="Q597" s="281">
        <f>'3. GRI Pricing'!U607</f>
        <v>0</v>
      </c>
      <c r="R597" s="281">
        <f>'3. GRI Pricing'!V607</f>
        <v>0</v>
      </c>
      <c r="S597" s="281">
        <f>'3. GRI Pricing'!W607</f>
        <v>0</v>
      </c>
      <c r="T597" s="281">
        <f>'3. GRI Pricing'!X607</f>
        <v>0</v>
      </c>
      <c r="U597" s="282">
        <f>'3. GRI Pricing'!Y607</f>
        <v>0</v>
      </c>
    </row>
    <row r="598" spans="3:21" x14ac:dyDescent="0.2">
      <c r="C598" s="23">
        <f>'3. GRI Pricing'!C608</f>
        <v>0</v>
      </c>
      <c r="D598" s="16">
        <f>'3. GRI Pricing'!D608</f>
        <v>0</v>
      </c>
      <c r="E598" s="16">
        <f>'3. GRI Pricing'!E608</f>
        <v>0</v>
      </c>
      <c r="F598" s="16">
        <f>'3. GRI Pricing'!F608</f>
        <v>0</v>
      </c>
      <c r="G598" s="16">
        <f>'3. GRI Pricing'!G608</f>
        <v>0</v>
      </c>
      <c r="H598" s="16">
        <f>'3. GRI Pricing'!H608</f>
        <v>0</v>
      </c>
      <c r="I598" s="280">
        <f>'3. GRI Pricing'!K608</f>
        <v>0</v>
      </c>
      <c r="J598" s="281">
        <f>'3. GRI Pricing'!O608</f>
        <v>0</v>
      </c>
      <c r="K598" s="281">
        <f>'3. GRI Pricing'!L608</f>
        <v>0</v>
      </c>
      <c r="L598" s="281">
        <f>'3. GRI Pricing'!P608</f>
        <v>0</v>
      </c>
      <c r="M598" s="281">
        <f>'3. GRI Pricing'!R608</f>
        <v>0</v>
      </c>
      <c r="N598" s="281">
        <f>'3. GRI Pricing'!S608</f>
        <v>0</v>
      </c>
      <c r="O598" s="281">
        <f>'3. GRI Pricing'!Q608</f>
        <v>0</v>
      </c>
      <c r="P598" s="281">
        <f>'3. GRI Pricing'!T608</f>
        <v>0</v>
      </c>
      <c r="Q598" s="281">
        <f>'3. GRI Pricing'!U608</f>
        <v>0</v>
      </c>
      <c r="R598" s="281">
        <f>'3. GRI Pricing'!V608</f>
        <v>0</v>
      </c>
      <c r="S598" s="281">
        <f>'3. GRI Pricing'!W608</f>
        <v>0</v>
      </c>
      <c r="T598" s="281">
        <f>'3. GRI Pricing'!X608</f>
        <v>0</v>
      </c>
      <c r="U598" s="282">
        <f>'3. GRI Pricing'!Y608</f>
        <v>0</v>
      </c>
    </row>
    <row r="599" spans="3:21" x14ac:dyDescent="0.2">
      <c r="C599" s="23">
        <f>'3. GRI Pricing'!C609</f>
        <v>0</v>
      </c>
      <c r="D599" s="16">
        <f>'3. GRI Pricing'!D609</f>
        <v>0</v>
      </c>
      <c r="E599" s="16">
        <f>'3. GRI Pricing'!E609</f>
        <v>0</v>
      </c>
      <c r="F599" s="16">
        <f>'3. GRI Pricing'!F609</f>
        <v>0</v>
      </c>
      <c r="G599" s="16">
        <f>'3. GRI Pricing'!G609</f>
        <v>0</v>
      </c>
      <c r="H599" s="16">
        <f>'3. GRI Pricing'!H609</f>
        <v>0</v>
      </c>
      <c r="I599" s="280">
        <f>'3. GRI Pricing'!K609</f>
        <v>0</v>
      </c>
      <c r="J599" s="281">
        <f>'3. GRI Pricing'!O609</f>
        <v>0</v>
      </c>
      <c r="K599" s="281">
        <f>'3. GRI Pricing'!L609</f>
        <v>0</v>
      </c>
      <c r="L599" s="281">
        <f>'3. GRI Pricing'!P609</f>
        <v>0</v>
      </c>
      <c r="M599" s="281">
        <f>'3. GRI Pricing'!R609</f>
        <v>0</v>
      </c>
      <c r="N599" s="281">
        <f>'3. GRI Pricing'!S609</f>
        <v>0</v>
      </c>
      <c r="O599" s="281">
        <f>'3. GRI Pricing'!Q609</f>
        <v>0</v>
      </c>
      <c r="P599" s="281">
        <f>'3. GRI Pricing'!T609</f>
        <v>0</v>
      </c>
      <c r="Q599" s="281">
        <f>'3. GRI Pricing'!U609</f>
        <v>0</v>
      </c>
      <c r="R599" s="281">
        <f>'3. GRI Pricing'!V609</f>
        <v>0</v>
      </c>
      <c r="S599" s="281">
        <f>'3. GRI Pricing'!W609</f>
        <v>0</v>
      </c>
      <c r="T599" s="281">
        <f>'3. GRI Pricing'!X609</f>
        <v>0</v>
      </c>
      <c r="U599" s="282">
        <f>'3. GRI Pricing'!Y609</f>
        <v>0</v>
      </c>
    </row>
    <row r="600" spans="3:21" x14ac:dyDescent="0.2">
      <c r="C600" s="23">
        <f>'3. GRI Pricing'!C610</f>
        <v>0</v>
      </c>
      <c r="D600" s="16">
        <f>'3. GRI Pricing'!D610</f>
        <v>0</v>
      </c>
      <c r="E600" s="16">
        <f>'3. GRI Pricing'!E610</f>
        <v>0</v>
      </c>
      <c r="F600" s="16">
        <f>'3. GRI Pricing'!F610</f>
        <v>0</v>
      </c>
      <c r="G600" s="16">
        <f>'3. GRI Pricing'!G610</f>
        <v>0</v>
      </c>
      <c r="H600" s="16">
        <f>'3. GRI Pricing'!H610</f>
        <v>0</v>
      </c>
      <c r="I600" s="280">
        <f>'3. GRI Pricing'!K610</f>
        <v>0</v>
      </c>
      <c r="J600" s="281">
        <f>'3. GRI Pricing'!O610</f>
        <v>0</v>
      </c>
      <c r="K600" s="281">
        <f>'3. GRI Pricing'!L610</f>
        <v>0</v>
      </c>
      <c r="L600" s="281">
        <f>'3. GRI Pricing'!P610</f>
        <v>0</v>
      </c>
      <c r="M600" s="281">
        <f>'3. GRI Pricing'!R610</f>
        <v>0</v>
      </c>
      <c r="N600" s="281">
        <f>'3. GRI Pricing'!S610</f>
        <v>0</v>
      </c>
      <c r="O600" s="281">
        <f>'3. GRI Pricing'!Q610</f>
        <v>0</v>
      </c>
      <c r="P600" s="281">
        <f>'3. GRI Pricing'!T610</f>
        <v>0</v>
      </c>
      <c r="Q600" s="281">
        <f>'3. GRI Pricing'!U610</f>
        <v>0</v>
      </c>
      <c r="R600" s="281">
        <f>'3. GRI Pricing'!V610</f>
        <v>0</v>
      </c>
      <c r="S600" s="281">
        <f>'3. GRI Pricing'!W610</f>
        <v>0</v>
      </c>
      <c r="T600" s="281">
        <f>'3. GRI Pricing'!X610</f>
        <v>0</v>
      </c>
      <c r="U600" s="282">
        <f>'3. GRI Pricing'!Y610</f>
        <v>0</v>
      </c>
    </row>
    <row r="601" spans="3:21" x14ac:dyDescent="0.2">
      <c r="C601" s="23">
        <f>'3. GRI Pricing'!C611</f>
        <v>0</v>
      </c>
      <c r="D601" s="16">
        <f>'3. GRI Pricing'!D611</f>
        <v>0</v>
      </c>
      <c r="E601" s="16">
        <f>'3. GRI Pricing'!E611</f>
        <v>0</v>
      </c>
      <c r="F601" s="16">
        <f>'3. GRI Pricing'!F611</f>
        <v>0</v>
      </c>
      <c r="G601" s="16">
        <f>'3. GRI Pricing'!G611</f>
        <v>0</v>
      </c>
      <c r="H601" s="16">
        <f>'3. GRI Pricing'!H611</f>
        <v>0</v>
      </c>
      <c r="I601" s="280">
        <f>'3. GRI Pricing'!K611</f>
        <v>0</v>
      </c>
      <c r="J601" s="281">
        <f>'3. GRI Pricing'!O611</f>
        <v>0</v>
      </c>
      <c r="K601" s="281">
        <f>'3. GRI Pricing'!L611</f>
        <v>0</v>
      </c>
      <c r="L601" s="281">
        <f>'3. GRI Pricing'!P611</f>
        <v>0</v>
      </c>
      <c r="M601" s="281">
        <f>'3. GRI Pricing'!R611</f>
        <v>0</v>
      </c>
      <c r="N601" s="281">
        <f>'3. GRI Pricing'!S611</f>
        <v>0</v>
      </c>
      <c r="O601" s="281">
        <f>'3. GRI Pricing'!Q611</f>
        <v>0</v>
      </c>
      <c r="P601" s="281">
        <f>'3. GRI Pricing'!T611</f>
        <v>0</v>
      </c>
      <c r="Q601" s="281">
        <f>'3. GRI Pricing'!U611</f>
        <v>0</v>
      </c>
      <c r="R601" s="281">
        <f>'3. GRI Pricing'!V611</f>
        <v>0</v>
      </c>
      <c r="S601" s="281">
        <f>'3. GRI Pricing'!W611</f>
        <v>0</v>
      </c>
      <c r="T601" s="281">
        <f>'3. GRI Pricing'!X611</f>
        <v>0</v>
      </c>
      <c r="U601" s="282">
        <f>'3. GRI Pricing'!Y611</f>
        <v>0</v>
      </c>
    </row>
    <row r="602" spans="3:21" x14ac:dyDescent="0.2">
      <c r="C602" s="23">
        <f>'3. GRI Pricing'!C612</f>
        <v>0</v>
      </c>
      <c r="D602" s="16">
        <f>'3. GRI Pricing'!D612</f>
        <v>0</v>
      </c>
      <c r="E602" s="16">
        <f>'3. GRI Pricing'!E612</f>
        <v>0</v>
      </c>
      <c r="F602" s="16">
        <f>'3. GRI Pricing'!F612</f>
        <v>0</v>
      </c>
      <c r="G602" s="16">
        <f>'3. GRI Pricing'!G612</f>
        <v>0</v>
      </c>
      <c r="H602" s="16">
        <f>'3. GRI Pricing'!H612</f>
        <v>0</v>
      </c>
      <c r="I602" s="280">
        <f>'3. GRI Pricing'!K612</f>
        <v>0</v>
      </c>
      <c r="J602" s="281">
        <f>'3. GRI Pricing'!O612</f>
        <v>0</v>
      </c>
      <c r="K602" s="281">
        <f>'3. GRI Pricing'!L612</f>
        <v>0</v>
      </c>
      <c r="L602" s="281">
        <f>'3. GRI Pricing'!P612</f>
        <v>0</v>
      </c>
      <c r="M602" s="281">
        <f>'3. GRI Pricing'!R612</f>
        <v>0</v>
      </c>
      <c r="N602" s="281">
        <f>'3. GRI Pricing'!S612</f>
        <v>0</v>
      </c>
      <c r="O602" s="281">
        <f>'3. GRI Pricing'!Q612</f>
        <v>0</v>
      </c>
      <c r="P602" s="281">
        <f>'3. GRI Pricing'!T612</f>
        <v>0</v>
      </c>
      <c r="Q602" s="281">
        <f>'3. GRI Pricing'!U612</f>
        <v>0</v>
      </c>
      <c r="R602" s="281">
        <f>'3. GRI Pricing'!V612</f>
        <v>0</v>
      </c>
      <c r="S602" s="281">
        <f>'3. GRI Pricing'!W612</f>
        <v>0</v>
      </c>
      <c r="T602" s="281">
        <f>'3. GRI Pricing'!X612</f>
        <v>0</v>
      </c>
      <c r="U602" s="282">
        <f>'3. GRI Pricing'!Y612</f>
        <v>0</v>
      </c>
    </row>
    <row r="603" spans="3:21" x14ac:dyDescent="0.2">
      <c r="C603" s="23">
        <f>'3. GRI Pricing'!C613</f>
        <v>0</v>
      </c>
      <c r="D603" s="16">
        <f>'3. GRI Pricing'!D613</f>
        <v>0</v>
      </c>
      <c r="E603" s="16">
        <f>'3. GRI Pricing'!E613</f>
        <v>0</v>
      </c>
      <c r="F603" s="16">
        <f>'3. GRI Pricing'!F613</f>
        <v>0</v>
      </c>
      <c r="G603" s="16">
        <f>'3. GRI Pricing'!G613</f>
        <v>0</v>
      </c>
      <c r="H603" s="16">
        <f>'3. GRI Pricing'!H613</f>
        <v>0</v>
      </c>
      <c r="I603" s="280">
        <f>'3. GRI Pricing'!K613</f>
        <v>0</v>
      </c>
      <c r="J603" s="281">
        <f>'3. GRI Pricing'!O613</f>
        <v>0</v>
      </c>
      <c r="K603" s="281">
        <f>'3. GRI Pricing'!L613</f>
        <v>0</v>
      </c>
      <c r="L603" s="281">
        <f>'3. GRI Pricing'!P613</f>
        <v>0</v>
      </c>
      <c r="M603" s="281">
        <f>'3. GRI Pricing'!R613</f>
        <v>0</v>
      </c>
      <c r="N603" s="281">
        <f>'3. GRI Pricing'!S613</f>
        <v>0</v>
      </c>
      <c r="O603" s="281">
        <f>'3. GRI Pricing'!Q613</f>
        <v>0</v>
      </c>
      <c r="P603" s="281">
        <f>'3. GRI Pricing'!T613</f>
        <v>0</v>
      </c>
      <c r="Q603" s="281">
        <f>'3. GRI Pricing'!U613</f>
        <v>0</v>
      </c>
      <c r="R603" s="281">
        <f>'3. GRI Pricing'!V613</f>
        <v>0</v>
      </c>
      <c r="S603" s="281">
        <f>'3. GRI Pricing'!W613</f>
        <v>0</v>
      </c>
      <c r="T603" s="281">
        <f>'3. GRI Pricing'!X613</f>
        <v>0</v>
      </c>
      <c r="U603" s="282">
        <f>'3. GRI Pricing'!Y613</f>
        <v>0</v>
      </c>
    </row>
    <row r="604" spans="3:21" x14ac:dyDescent="0.2">
      <c r="C604" s="23">
        <f>'3. GRI Pricing'!C614</f>
        <v>0</v>
      </c>
      <c r="D604" s="16">
        <f>'3. GRI Pricing'!D614</f>
        <v>0</v>
      </c>
      <c r="E604" s="16">
        <f>'3. GRI Pricing'!E614</f>
        <v>0</v>
      </c>
      <c r="F604" s="16">
        <f>'3. GRI Pricing'!F614</f>
        <v>0</v>
      </c>
      <c r="G604" s="16">
        <f>'3. GRI Pricing'!G614</f>
        <v>0</v>
      </c>
      <c r="H604" s="16">
        <f>'3. GRI Pricing'!H614</f>
        <v>0</v>
      </c>
      <c r="I604" s="280">
        <f>'3. GRI Pricing'!K614</f>
        <v>0</v>
      </c>
      <c r="J604" s="281">
        <f>'3. GRI Pricing'!O614</f>
        <v>0</v>
      </c>
      <c r="K604" s="281">
        <f>'3. GRI Pricing'!L614</f>
        <v>0</v>
      </c>
      <c r="L604" s="281">
        <f>'3. GRI Pricing'!P614</f>
        <v>0</v>
      </c>
      <c r="M604" s="281">
        <f>'3. GRI Pricing'!R614</f>
        <v>0</v>
      </c>
      <c r="N604" s="281">
        <f>'3. GRI Pricing'!S614</f>
        <v>0</v>
      </c>
      <c r="O604" s="281">
        <f>'3. GRI Pricing'!Q614</f>
        <v>0</v>
      </c>
      <c r="P604" s="281">
        <f>'3. GRI Pricing'!T614</f>
        <v>0</v>
      </c>
      <c r="Q604" s="281">
        <f>'3. GRI Pricing'!U614</f>
        <v>0</v>
      </c>
      <c r="R604" s="281">
        <f>'3. GRI Pricing'!V614</f>
        <v>0</v>
      </c>
      <c r="S604" s="281">
        <f>'3. GRI Pricing'!W614</f>
        <v>0</v>
      </c>
      <c r="T604" s="281">
        <f>'3. GRI Pricing'!X614</f>
        <v>0</v>
      </c>
      <c r="U604" s="282">
        <f>'3. GRI Pricing'!Y614</f>
        <v>0</v>
      </c>
    </row>
    <row r="605" spans="3:21" x14ac:dyDescent="0.2">
      <c r="C605" s="23">
        <f>'3. GRI Pricing'!C615</f>
        <v>0</v>
      </c>
      <c r="D605" s="16">
        <f>'3. GRI Pricing'!D615</f>
        <v>0</v>
      </c>
      <c r="E605" s="16">
        <f>'3. GRI Pricing'!E615</f>
        <v>0</v>
      </c>
      <c r="F605" s="16">
        <f>'3. GRI Pricing'!F615</f>
        <v>0</v>
      </c>
      <c r="G605" s="16">
        <f>'3. GRI Pricing'!G615</f>
        <v>0</v>
      </c>
      <c r="H605" s="16">
        <f>'3. GRI Pricing'!H615</f>
        <v>0</v>
      </c>
      <c r="I605" s="280">
        <f>'3. GRI Pricing'!K615</f>
        <v>0</v>
      </c>
      <c r="J605" s="281">
        <f>'3. GRI Pricing'!O615</f>
        <v>0</v>
      </c>
      <c r="K605" s="281">
        <f>'3. GRI Pricing'!L615</f>
        <v>0</v>
      </c>
      <c r="L605" s="281">
        <f>'3. GRI Pricing'!P615</f>
        <v>0</v>
      </c>
      <c r="M605" s="281">
        <f>'3. GRI Pricing'!R615</f>
        <v>0</v>
      </c>
      <c r="N605" s="281">
        <f>'3. GRI Pricing'!S615</f>
        <v>0</v>
      </c>
      <c r="O605" s="281">
        <f>'3. GRI Pricing'!Q615</f>
        <v>0</v>
      </c>
      <c r="P605" s="281">
        <f>'3. GRI Pricing'!T615</f>
        <v>0</v>
      </c>
      <c r="Q605" s="281">
        <f>'3. GRI Pricing'!U615</f>
        <v>0</v>
      </c>
      <c r="R605" s="281">
        <f>'3. GRI Pricing'!V615</f>
        <v>0</v>
      </c>
      <c r="S605" s="281">
        <f>'3. GRI Pricing'!W615</f>
        <v>0</v>
      </c>
      <c r="T605" s="281">
        <f>'3. GRI Pricing'!X615</f>
        <v>0</v>
      </c>
      <c r="U605" s="282">
        <f>'3. GRI Pricing'!Y615</f>
        <v>0</v>
      </c>
    </row>
    <row r="606" spans="3:21" x14ac:dyDescent="0.2">
      <c r="C606" s="23">
        <f>'3. GRI Pricing'!C616</f>
        <v>0</v>
      </c>
      <c r="D606" s="16">
        <f>'3. GRI Pricing'!D616</f>
        <v>0</v>
      </c>
      <c r="E606" s="16">
        <f>'3. GRI Pricing'!E616</f>
        <v>0</v>
      </c>
      <c r="F606" s="16">
        <f>'3. GRI Pricing'!F616</f>
        <v>0</v>
      </c>
      <c r="G606" s="16">
        <f>'3. GRI Pricing'!G616</f>
        <v>0</v>
      </c>
      <c r="H606" s="16">
        <f>'3. GRI Pricing'!H616</f>
        <v>0</v>
      </c>
      <c r="I606" s="280">
        <f>'3. GRI Pricing'!K616</f>
        <v>0</v>
      </c>
      <c r="J606" s="281">
        <f>'3. GRI Pricing'!O616</f>
        <v>0</v>
      </c>
      <c r="K606" s="281">
        <f>'3. GRI Pricing'!L616</f>
        <v>0</v>
      </c>
      <c r="L606" s="281">
        <f>'3. GRI Pricing'!P616</f>
        <v>0</v>
      </c>
      <c r="M606" s="281">
        <f>'3. GRI Pricing'!R616</f>
        <v>0</v>
      </c>
      <c r="N606" s="281">
        <f>'3. GRI Pricing'!S616</f>
        <v>0</v>
      </c>
      <c r="O606" s="281">
        <f>'3. GRI Pricing'!Q616</f>
        <v>0</v>
      </c>
      <c r="P606" s="281">
        <f>'3. GRI Pricing'!T616</f>
        <v>0</v>
      </c>
      <c r="Q606" s="281">
        <f>'3. GRI Pricing'!U616</f>
        <v>0</v>
      </c>
      <c r="R606" s="281">
        <f>'3. GRI Pricing'!V616</f>
        <v>0</v>
      </c>
      <c r="S606" s="281">
        <f>'3. GRI Pricing'!W616</f>
        <v>0</v>
      </c>
      <c r="T606" s="281">
        <f>'3. GRI Pricing'!X616</f>
        <v>0</v>
      </c>
      <c r="U606" s="282">
        <f>'3. GRI Pricing'!Y616</f>
        <v>0</v>
      </c>
    </row>
    <row r="607" spans="3:21" s="332" customFormat="1" ht="15" x14ac:dyDescent="0.25">
      <c r="C607" s="329"/>
      <c r="D607" s="330"/>
      <c r="E607" s="330"/>
      <c r="F607" s="330"/>
      <c r="G607" s="330"/>
      <c r="H607" s="330"/>
      <c r="I607" s="280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 t="str">
        <f>'3. GRI Pricing'!X617</f>
        <v>Total ERV</v>
      </c>
      <c r="U607" s="282">
        <f>'3. GRI Pricing'!Y617</f>
        <v>4244100</v>
      </c>
    </row>
  </sheetData>
  <sheetProtection algorithmName="SHA-512" hashValue="+fNxDdc7Q5VeRVZC9KuW5A0kfmBaPlmjqSV6q84IqcLXMQLELQRN35xQwhYDZOrixM+weg0DE4KEb80Ky/Prng==" saltValue="JI0L39QPyV4z6RkEGBUvzg==" spinCount="100000" sheet="1" formatRows="0" sort="0" autoFilter="0"/>
  <mergeCells count="2">
    <mergeCell ref="C5:H5"/>
    <mergeCell ref="I5:U5"/>
  </mergeCells>
  <pageMargins left="0.70866141732283472" right="0.70866141732283472" top="0.74803149606299213" bottom="0.74803149606299213" header="0.31496062992125984" footer="0.31496062992125984"/>
  <pageSetup paperSize="9" scale="47" fitToHeight="0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35C-88CF-415E-A4E1-69DA41C91B00}">
  <sheetPr>
    <tabColor theme="2" tint="-0.249977111117893"/>
  </sheetPr>
  <dimension ref="B2:P606"/>
  <sheetViews>
    <sheetView showGridLines="0" view="pageBreakPreview" zoomScale="90" zoomScaleNormal="100" zoomScaleSheetLayoutView="90" workbookViewId="0">
      <selection activeCell="K18" sqref="K18"/>
    </sheetView>
  </sheetViews>
  <sheetFormatPr defaultRowHeight="14.25" x14ac:dyDescent="0.2"/>
  <cols>
    <col min="1" max="1" width="2.125" customWidth="1"/>
    <col min="2" max="2" width="13.125" customWidth="1"/>
    <col min="4" max="4" width="6" bestFit="1" customWidth="1"/>
    <col min="5" max="5" width="11.25" bestFit="1" customWidth="1"/>
    <col min="6" max="9" width="8.625" style="258"/>
    <col min="10" max="10" width="8.625" style="258" customWidth="1"/>
    <col min="11" max="15" width="8.75" style="258"/>
  </cols>
  <sheetData>
    <row r="2" spans="2:16" ht="18" x14ac:dyDescent="0.2">
      <c r="B2" s="259" t="s">
        <v>41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</row>
    <row r="3" spans="2:16" ht="18" x14ac:dyDescent="0.2">
      <c r="B3" s="252"/>
      <c r="C3" s="252"/>
      <c r="D3" s="253"/>
      <c r="E3" s="253"/>
      <c r="F3" s="257"/>
      <c r="G3" s="257"/>
      <c r="H3" s="257"/>
      <c r="I3" s="257"/>
      <c r="J3" s="257"/>
      <c r="K3" s="257"/>
      <c r="L3" s="257"/>
      <c r="M3" s="257"/>
      <c r="N3" s="257"/>
      <c r="O3" s="257"/>
    </row>
    <row r="4" spans="2:16" x14ac:dyDescent="0.2">
      <c r="B4" s="484" t="s">
        <v>187</v>
      </c>
      <c r="C4" s="484"/>
      <c r="D4" s="484"/>
      <c r="E4" s="254" t="s">
        <v>195</v>
      </c>
      <c r="F4" s="254" t="s">
        <v>188</v>
      </c>
      <c r="G4" s="254" t="s">
        <v>189</v>
      </c>
      <c r="H4" s="254" t="s">
        <v>190</v>
      </c>
      <c r="I4" s="254" t="s">
        <v>191</v>
      </c>
      <c r="J4" s="254" t="s">
        <v>192</v>
      </c>
      <c r="K4" s="254" t="s">
        <v>193</v>
      </c>
      <c r="L4" s="254" t="s">
        <v>196</v>
      </c>
      <c r="M4" s="254" t="s">
        <v>197</v>
      </c>
      <c r="N4" s="254" t="s">
        <v>198</v>
      </c>
      <c r="O4" s="254" t="s">
        <v>199</v>
      </c>
    </row>
    <row r="5" spans="2:16" x14ac:dyDescent="0.2">
      <c r="B5" s="40"/>
      <c r="C5" s="40"/>
      <c r="D5" s="40"/>
      <c r="E5" s="40"/>
      <c r="F5" s="62"/>
      <c r="G5" s="62"/>
      <c r="H5" s="62"/>
      <c r="I5" s="62"/>
      <c r="J5" s="62"/>
      <c r="K5" s="62"/>
      <c r="L5" s="62"/>
      <c r="M5" s="62"/>
      <c r="N5" s="62"/>
      <c r="O5" s="62"/>
    </row>
    <row r="6" spans="2:16" x14ac:dyDescent="0.2">
      <c r="B6" s="209" t="str">
        <f>'3. GRI Pricing'!C16</f>
        <v>Door Number</v>
      </c>
      <c r="C6" s="209" t="str">
        <f>'3. GRI Pricing'!D16</f>
        <v>Bedroom</v>
      </c>
      <c r="D6" s="209" t="str">
        <f>'3. GRI Pricing'!E16</f>
        <v>Bath</v>
      </c>
      <c r="E6" s="254">
        <f>'4. Valuation'!D6</f>
        <v>45199</v>
      </c>
      <c r="F6" s="254">
        <v>45225</v>
      </c>
      <c r="G6" s="254" t="s">
        <v>194</v>
      </c>
      <c r="H6" s="254" t="s">
        <v>194</v>
      </c>
      <c r="I6" s="254" t="s">
        <v>194</v>
      </c>
      <c r="J6" s="254" t="s">
        <v>194</v>
      </c>
      <c r="K6" s="254" t="s">
        <v>194</v>
      </c>
      <c r="L6" s="254" t="s">
        <v>194</v>
      </c>
      <c r="M6" s="254" t="s">
        <v>194</v>
      </c>
      <c r="N6" s="254" t="s">
        <v>194</v>
      </c>
      <c r="O6" s="254" t="s">
        <v>194</v>
      </c>
    </row>
    <row r="7" spans="2:16" x14ac:dyDescent="0.2">
      <c r="B7" s="255" t="str">
        <f>'3. GRI Pricing'!C17</f>
        <v>101N</v>
      </c>
      <c r="C7" s="255" t="str">
        <f>'3. GRI Pricing'!D17</f>
        <v>1 Bed</v>
      </c>
      <c r="D7" s="255">
        <f>'3. GRI Pricing'!E17</f>
        <v>1</v>
      </c>
      <c r="E7" s="256">
        <f>'3. GRI Pricing'!Y17</f>
        <v>970</v>
      </c>
      <c r="F7" s="279">
        <v>974.81229807230795</v>
      </c>
      <c r="G7" s="279">
        <v>0</v>
      </c>
      <c r="H7" s="279">
        <v>0</v>
      </c>
      <c r="I7" s="254"/>
      <c r="J7" s="254"/>
      <c r="K7" s="254"/>
      <c r="L7" s="254"/>
      <c r="M7" s="254"/>
      <c r="N7" s="254"/>
      <c r="O7" s="254"/>
      <c r="P7" s="1"/>
    </row>
    <row r="8" spans="2:16" x14ac:dyDescent="0.2">
      <c r="B8" s="255" t="str">
        <f>'3. GRI Pricing'!C18</f>
        <v>102N</v>
      </c>
      <c r="C8" s="255" t="str">
        <f>'3. GRI Pricing'!D18</f>
        <v>2 Bed</v>
      </c>
      <c r="D8" s="255">
        <f>'3. GRI Pricing'!E18</f>
        <v>2</v>
      </c>
      <c r="E8" s="256">
        <f>'3. GRI Pricing'!Y18</f>
        <v>1265</v>
      </c>
      <c r="F8" s="279">
        <v>1301.4246659831329</v>
      </c>
      <c r="G8" s="279">
        <v>0</v>
      </c>
      <c r="H8" s="279">
        <v>0</v>
      </c>
      <c r="I8" s="254"/>
      <c r="J8" s="254"/>
      <c r="K8" s="254"/>
      <c r="L8" s="254"/>
      <c r="M8" s="254"/>
      <c r="N8" s="254"/>
      <c r="O8" s="254"/>
      <c r="P8" s="1"/>
    </row>
    <row r="9" spans="2:16" x14ac:dyDescent="0.2">
      <c r="B9" s="255" t="str">
        <f>'3. GRI Pricing'!C19</f>
        <v>103N</v>
      </c>
      <c r="C9" s="255" t="str">
        <f>'3. GRI Pricing'!D19</f>
        <v>2 Bed</v>
      </c>
      <c r="D9" s="255">
        <f>'3. GRI Pricing'!E19</f>
        <v>2</v>
      </c>
      <c r="E9" s="256">
        <f>'3. GRI Pricing'!Y19</f>
        <v>1225</v>
      </c>
      <c r="F9" s="279">
        <v>1261.2262207018005</v>
      </c>
      <c r="G9" s="279">
        <v>0</v>
      </c>
      <c r="H9" s="279">
        <v>0</v>
      </c>
      <c r="I9" s="254"/>
      <c r="J9" s="254"/>
      <c r="K9" s="254"/>
      <c r="L9" s="254"/>
      <c r="M9" s="254"/>
      <c r="N9" s="254"/>
      <c r="O9" s="254"/>
      <c r="P9" s="1"/>
    </row>
    <row r="10" spans="2:16" x14ac:dyDescent="0.2">
      <c r="B10" s="255" t="str">
        <f>'3. GRI Pricing'!C20</f>
        <v>104N</v>
      </c>
      <c r="C10" s="255" t="str">
        <f>'3. GRI Pricing'!D20</f>
        <v>3 Bed</v>
      </c>
      <c r="D10" s="255">
        <f>'3. GRI Pricing'!E20</f>
        <v>2</v>
      </c>
      <c r="E10" s="256">
        <f>'3. GRI Pricing'!Y20</f>
        <v>1645</v>
      </c>
      <c r="F10" s="279">
        <v>1653.1610621947902</v>
      </c>
      <c r="G10" s="279">
        <v>0</v>
      </c>
      <c r="H10" s="279">
        <v>0</v>
      </c>
      <c r="I10" s="254"/>
      <c r="J10" s="254"/>
      <c r="K10" s="254"/>
      <c r="L10" s="254"/>
      <c r="M10" s="254"/>
      <c r="N10" s="254"/>
      <c r="O10" s="254"/>
      <c r="P10" s="1"/>
    </row>
    <row r="11" spans="2:16" x14ac:dyDescent="0.2">
      <c r="B11" s="255" t="str">
        <f>'3. GRI Pricing'!C21</f>
        <v>105N</v>
      </c>
      <c r="C11" s="255" t="str">
        <f>'3. GRI Pricing'!D21</f>
        <v>2 Bed</v>
      </c>
      <c r="D11" s="255">
        <f>'3. GRI Pricing'!E21</f>
        <v>2</v>
      </c>
      <c r="E11" s="256">
        <f>'3. GRI Pricing'!Y21</f>
        <v>1250</v>
      </c>
      <c r="F11" s="279">
        <v>1286.3502490026331</v>
      </c>
      <c r="G11" s="279">
        <v>0</v>
      </c>
      <c r="H11" s="279">
        <v>0</v>
      </c>
      <c r="I11" s="254"/>
      <c r="J11" s="254"/>
      <c r="K11" s="254"/>
      <c r="L11" s="254"/>
      <c r="M11" s="254"/>
      <c r="N11" s="254"/>
      <c r="O11" s="254"/>
      <c r="P11" s="1"/>
    </row>
    <row r="12" spans="2:16" x14ac:dyDescent="0.2">
      <c r="B12" s="255" t="str">
        <f>'3. GRI Pricing'!C22</f>
        <v>106N</v>
      </c>
      <c r="C12" s="255" t="str">
        <f>'3. GRI Pricing'!D22</f>
        <v>1 Bed</v>
      </c>
      <c r="D12" s="255">
        <f>'3. GRI Pricing'!E22</f>
        <v>1</v>
      </c>
      <c r="E12" s="256">
        <f>'3. GRI Pricing'!Y22</f>
        <v>950</v>
      </c>
      <c r="F12" s="279">
        <v>954.71307543164176</v>
      </c>
      <c r="G12" s="279">
        <v>0</v>
      </c>
      <c r="H12" s="279">
        <v>0</v>
      </c>
      <c r="I12" s="254"/>
      <c r="J12" s="254"/>
      <c r="K12" s="254"/>
      <c r="L12" s="254"/>
      <c r="M12" s="254"/>
      <c r="N12" s="254"/>
      <c r="O12" s="254"/>
      <c r="P12" s="1"/>
    </row>
    <row r="13" spans="2:16" x14ac:dyDescent="0.2">
      <c r="B13" s="255" t="str">
        <f>'3. GRI Pricing'!C23</f>
        <v>107N</v>
      </c>
      <c r="C13" s="255" t="str">
        <f>'3. GRI Pricing'!D23</f>
        <v>2 Bed</v>
      </c>
      <c r="D13" s="255">
        <f>'3. GRI Pricing'!E23</f>
        <v>2</v>
      </c>
      <c r="E13" s="256">
        <f>'3. GRI Pricing'!Y23</f>
        <v>1225</v>
      </c>
      <c r="F13" s="279">
        <v>1261.2262207018005</v>
      </c>
      <c r="G13" s="279">
        <v>0</v>
      </c>
      <c r="H13" s="279">
        <v>0</v>
      </c>
      <c r="I13" s="254"/>
      <c r="J13" s="254"/>
      <c r="K13" s="254"/>
      <c r="L13" s="254"/>
      <c r="M13" s="254"/>
      <c r="N13" s="254"/>
      <c r="O13" s="254"/>
      <c r="P13" s="1"/>
    </row>
    <row r="14" spans="2:16" x14ac:dyDescent="0.2">
      <c r="B14" s="255" t="str">
        <f>'3. GRI Pricing'!C24</f>
        <v>108N</v>
      </c>
      <c r="C14" s="255" t="str">
        <f>'3. GRI Pricing'!D24</f>
        <v>2 Bed</v>
      </c>
      <c r="D14" s="255">
        <f>'3. GRI Pricing'!E24</f>
        <v>2</v>
      </c>
      <c r="E14" s="256">
        <f>'3. GRI Pricing'!Y24</f>
        <v>1225</v>
      </c>
      <c r="F14" s="279">
        <v>1261.2262207018005</v>
      </c>
      <c r="G14" s="279">
        <v>0</v>
      </c>
      <c r="H14" s="279">
        <v>0</v>
      </c>
      <c r="I14" s="254"/>
      <c r="J14" s="254"/>
      <c r="K14" s="254"/>
      <c r="L14" s="254"/>
      <c r="M14" s="254"/>
      <c r="N14" s="254"/>
      <c r="O14" s="254"/>
      <c r="P14" s="1"/>
    </row>
    <row r="15" spans="2:16" x14ac:dyDescent="0.2">
      <c r="B15" s="255" t="str">
        <f>'3. GRI Pricing'!C25</f>
        <v>109N</v>
      </c>
      <c r="C15" s="255" t="str">
        <f>'3. GRI Pricing'!D25</f>
        <v>2 Bed</v>
      </c>
      <c r="D15" s="255">
        <f>'3. GRI Pricing'!E25</f>
        <v>2</v>
      </c>
      <c r="E15" s="256">
        <f>'3. GRI Pricing'!Y25</f>
        <v>1275</v>
      </c>
      <c r="F15" s="279">
        <v>1311.4742773034659</v>
      </c>
      <c r="G15" s="279">
        <v>0</v>
      </c>
      <c r="H15" s="279">
        <v>0</v>
      </c>
      <c r="I15" s="254"/>
      <c r="J15" s="254"/>
      <c r="K15" s="254"/>
      <c r="L15" s="254"/>
      <c r="M15" s="254"/>
      <c r="N15" s="254"/>
      <c r="O15" s="254"/>
      <c r="P15" s="1"/>
    </row>
    <row r="16" spans="2:16" x14ac:dyDescent="0.2">
      <c r="B16" s="255" t="str">
        <f>'3. GRI Pricing'!C26</f>
        <v>110N</v>
      </c>
      <c r="C16" s="255" t="str">
        <f>'3. GRI Pricing'!D26</f>
        <v>2 Bed</v>
      </c>
      <c r="D16" s="255">
        <f>'3. GRI Pricing'!E26</f>
        <v>2</v>
      </c>
      <c r="E16" s="256">
        <f>'3. GRI Pricing'!Y26</f>
        <v>1320</v>
      </c>
      <c r="F16" s="279">
        <v>1356.6975282449646</v>
      </c>
      <c r="G16" s="279">
        <v>0</v>
      </c>
      <c r="H16" s="279">
        <v>0</v>
      </c>
      <c r="I16" s="254"/>
      <c r="J16" s="254"/>
      <c r="K16" s="254"/>
      <c r="L16" s="254"/>
      <c r="M16" s="254"/>
      <c r="N16" s="254"/>
      <c r="O16" s="254"/>
      <c r="P16" s="1"/>
    </row>
    <row r="17" spans="2:16" x14ac:dyDescent="0.2">
      <c r="B17" s="255" t="str">
        <f>'3. GRI Pricing'!C27</f>
        <v>111N</v>
      </c>
      <c r="C17" s="255" t="str">
        <f>'3. GRI Pricing'!D27</f>
        <v>2 Bed</v>
      </c>
      <c r="D17" s="255">
        <f>'3. GRI Pricing'!E27</f>
        <v>2</v>
      </c>
      <c r="E17" s="256">
        <f>'3. GRI Pricing'!Y27</f>
        <v>1370</v>
      </c>
      <c r="F17" s="279">
        <v>1406.94558484663</v>
      </c>
      <c r="G17" s="279">
        <v>0</v>
      </c>
      <c r="H17" s="279">
        <v>0</v>
      </c>
      <c r="I17" s="254"/>
      <c r="J17" s="254"/>
      <c r="K17" s="254"/>
      <c r="L17" s="254"/>
      <c r="M17" s="254"/>
      <c r="N17" s="254"/>
      <c r="O17" s="254"/>
      <c r="P17" s="1"/>
    </row>
    <row r="18" spans="2:16" x14ac:dyDescent="0.2">
      <c r="B18" s="255" t="str">
        <f>'3. GRI Pricing'!C28</f>
        <v>112N</v>
      </c>
      <c r="C18" s="255" t="str">
        <f>'3. GRI Pricing'!D28</f>
        <v>1 Bed</v>
      </c>
      <c r="D18" s="255">
        <f>'3. GRI Pricing'!E28</f>
        <v>1</v>
      </c>
      <c r="E18" s="256">
        <f>'3. GRI Pricing'!Y28</f>
        <v>975</v>
      </c>
      <c r="F18" s="279">
        <v>979.83710373247447</v>
      </c>
      <c r="G18" s="279">
        <v>0</v>
      </c>
      <c r="H18" s="279">
        <v>0</v>
      </c>
      <c r="I18" s="254"/>
      <c r="J18" s="254"/>
      <c r="K18" s="254"/>
      <c r="L18" s="254"/>
      <c r="M18" s="254"/>
      <c r="N18" s="254"/>
      <c r="O18" s="254"/>
      <c r="P18" s="1"/>
    </row>
    <row r="19" spans="2:16" x14ac:dyDescent="0.2">
      <c r="B19" s="255" t="str">
        <f>'3. GRI Pricing'!C29</f>
        <v>113N</v>
      </c>
      <c r="C19" s="255" t="str">
        <f>'3. GRI Pricing'!D29</f>
        <v>1 Bed</v>
      </c>
      <c r="D19" s="255">
        <f>'3. GRI Pricing'!E29</f>
        <v>1</v>
      </c>
      <c r="E19" s="256">
        <f>'3. GRI Pricing'!Y29</f>
        <v>985</v>
      </c>
      <c r="F19" s="279">
        <v>989.88671505280752</v>
      </c>
      <c r="G19" s="279">
        <v>0</v>
      </c>
      <c r="H19" s="279">
        <v>0</v>
      </c>
      <c r="I19" s="254"/>
      <c r="J19" s="254"/>
      <c r="K19" s="254"/>
      <c r="L19" s="254"/>
      <c r="M19" s="254"/>
      <c r="N19" s="254"/>
      <c r="O19" s="254"/>
      <c r="P19" s="1"/>
    </row>
    <row r="20" spans="2:16" x14ac:dyDescent="0.2">
      <c r="B20" s="255" t="str">
        <f>'3. GRI Pricing'!C30</f>
        <v>114N</v>
      </c>
      <c r="C20" s="255" t="str">
        <f>'3. GRI Pricing'!D30</f>
        <v>1 Bed</v>
      </c>
      <c r="D20" s="255">
        <f>'3. GRI Pricing'!E30</f>
        <v>1</v>
      </c>
      <c r="E20" s="256">
        <f>'3. GRI Pricing'!Y30</f>
        <v>970</v>
      </c>
      <c r="F20" s="279">
        <v>974.81229807230795</v>
      </c>
      <c r="G20" s="279">
        <v>0</v>
      </c>
      <c r="H20" s="279">
        <v>0</v>
      </c>
      <c r="I20" s="254"/>
      <c r="J20" s="254"/>
      <c r="K20" s="254"/>
      <c r="L20" s="254"/>
      <c r="M20" s="254"/>
      <c r="N20" s="254"/>
      <c r="O20" s="254"/>
      <c r="P20" s="1"/>
    </row>
    <row r="21" spans="2:16" x14ac:dyDescent="0.2">
      <c r="B21" s="255" t="str">
        <f>'3. GRI Pricing'!C31</f>
        <v>115N</v>
      </c>
      <c r="C21" s="255" t="str">
        <f>'3. GRI Pricing'!D31</f>
        <v>2 Bed</v>
      </c>
      <c r="D21" s="255">
        <f>'3. GRI Pricing'!E31</f>
        <v>2</v>
      </c>
      <c r="E21" s="256">
        <f>'3. GRI Pricing'!Y31</f>
        <v>1235</v>
      </c>
      <c r="F21" s="279">
        <v>1271.2758320221335</v>
      </c>
      <c r="G21" s="279">
        <v>0</v>
      </c>
      <c r="H21" s="279">
        <v>0</v>
      </c>
      <c r="I21" s="254"/>
      <c r="J21" s="254"/>
      <c r="K21" s="254"/>
      <c r="L21" s="254"/>
      <c r="M21" s="254"/>
      <c r="N21" s="254"/>
      <c r="O21" s="254"/>
      <c r="P21" s="1"/>
    </row>
    <row r="22" spans="2:16" x14ac:dyDescent="0.2">
      <c r="B22" s="255" t="str">
        <f>'3. GRI Pricing'!C32</f>
        <v>116N</v>
      </c>
      <c r="C22" s="255" t="str">
        <f>'3. GRI Pricing'!D32</f>
        <v>2 Bed</v>
      </c>
      <c r="D22" s="255">
        <f>'3. GRI Pricing'!E32</f>
        <v>2</v>
      </c>
      <c r="E22" s="256">
        <f>'3. GRI Pricing'!Y32</f>
        <v>1235</v>
      </c>
      <c r="F22" s="279">
        <v>1271.2758320221335</v>
      </c>
      <c r="G22" s="279">
        <v>0</v>
      </c>
      <c r="H22" s="279">
        <v>0</v>
      </c>
      <c r="I22" s="254"/>
      <c r="J22" s="254"/>
      <c r="K22" s="254"/>
      <c r="L22" s="254"/>
      <c r="M22" s="254"/>
      <c r="N22" s="254"/>
      <c r="O22" s="254"/>
      <c r="P22" s="1"/>
    </row>
    <row r="23" spans="2:16" x14ac:dyDescent="0.2">
      <c r="B23" s="255" t="str">
        <f>'3. GRI Pricing'!C33</f>
        <v>201N</v>
      </c>
      <c r="C23" s="255" t="str">
        <f>'3. GRI Pricing'!D33</f>
        <v>1 Bed</v>
      </c>
      <c r="D23" s="255">
        <f>'3. GRI Pricing'!E33</f>
        <v>1</v>
      </c>
      <c r="E23" s="256">
        <f>'3. GRI Pricing'!Y33</f>
        <v>990</v>
      </c>
      <c r="F23" s="279">
        <v>994.91152071297415</v>
      </c>
      <c r="G23" s="279">
        <v>0</v>
      </c>
      <c r="H23" s="279">
        <v>0</v>
      </c>
      <c r="I23" s="254"/>
      <c r="J23" s="254"/>
      <c r="K23" s="254"/>
      <c r="L23" s="254"/>
      <c r="M23" s="254"/>
      <c r="N23" s="254"/>
      <c r="O23" s="254"/>
      <c r="P23" s="1"/>
    </row>
    <row r="24" spans="2:16" x14ac:dyDescent="0.2">
      <c r="B24" s="255" t="str">
        <f>'3. GRI Pricing'!C34</f>
        <v>202N</v>
      </c>
      <c r="C24" s="255" t="str">
        <f>'3. GRI Pricing'!D34</f>
        <v>2 Bed</v>
      </c>
      <c r="D24" s="255">
        <f>'3. GRI Pricing'!E34</f>
        <v>2</v>
      </c>
      <c r="E24" s="256">
        <f>'3. GRI Pricing'!Y34</f>
        <v>1285</v>
      </c>
      <c r="F24" s="279">
        <v>1321.5238886237989</v>
      </c>
      <c r="G24" s="279">
        <v>0</v>
      </c>
      <c r="H24" s="279">
        <v>0</v>
      </c>
      <c r="I24" s="254"/>
      <c r="J24" s="254"/>
      <c r="K24" s="254"/>
      <c r="L24" s="254"/>
      <c r="M24" s="254"/>
      <c r="N24" s="254"/>
      <c r="O24" s="254"/>
      <c r="P24" s="1"/>
    </row>
    <row r="25" spans="2:16" x14ac:dyDescent="0.2">
      <c r="B25" s="255" t="str">
        <f>'3. GRI Pricing'!C35</f>
        <v>203N</v>
      </c>
      <c r="C25" s="255" t="str">
        <f>'3. GRI Pricing'!D35</f>
        <v>2 Bed</v>
      </c>
      <c r="D25" s="255">
        <f>'3. GRI Pricing'!E35</f>
        <v>2</v>
      </c>
      <c r="E25" s="256">
        <f>'3. GRI Pricing'!Y35</f>
        <v>1265</v>
      </c>
      <c r="F25" s="279">
        <v>1301.4246659831329</v>
      </c>
      <c r="G25" s="279">
        <v>0</v>
      </c>
      <c r="H25" s="279">
        <v>0</v>
      </c>
      <c r="I25" s="254"/>
      <c r="J25" s="254"/>
      <c r="K25" s="254"/>
      <c r="L25" s="254"/>
      <c r="M25" s="254"/>
      <c r="N25" s="254"/>
      <c r="O25" s="254"/>
      <c r="P25" s="1"/>
    </row>
    <row r="26" spans="2:16" x14ac:dyDescent="0.2">
      <c r="B26" s="255" t="str">
        <f>'3. GRI Pricing'!C36</f>
        <v>204N</v>
      </c>
      <c r="C26" s="255" t="str">
        <f>'3. GRI Pricing'!D36</f>
        <v>3 Bed</v>
      </c>
      <c r="D26" s="255">
        <f>'3. GRI Pricing'!E36</f>
        <v>2</v>
      </c>
      <c r="E26" s="256">
        <f>'3. GRI Pricing'!Y36</f>
        <v>1655</v>
      </c>
      <c r="F26" s="279">
        <v>1663.2106735151233</v>
      </c>
      <c r="G26" s="279">
        <v>0</v>
      </c>
      <c r="H26" s="279">
        <v>0</v>
      </c>
      <c r="I26" s="254"/>
      <c r="J26" s="254"/>
      <c r="K26" s="254"/>
      <c r="L26" s="254"/>
      <c r="M26" s="254"/>
      <c r="N26" s="254"/>
      <c r="O26" s="254"/>
      <c r="P26" s="1"/>
    </row>
    <row r="27" spans="2:16" x14ac:dyDescent="0.2">
      <c r="B27" s="255" t="str">
        <f>'3. GRI Pricing'!C37</f>
        <v>205N</v>
      </c>
      <c r="C27" s="255" t="str">
        <f>'3. GRI Pricing'!D37</f>
        <v>2 Bed</v>
      </c>
      <c r="D27" s="255">
        <f>'3. GRI Pricing'!E37</f>
        <v>2</v>
      </c>
      <c r="E27" s="256">
        <f>'3. GRI Pricing'!Y37</f>
        <v>1260</v>
      </c>
      <c r="F27" s="279">
        <v>1296.3998603229663</v>
      </c>
      <c r="G27" s="279">
        <v>0</v>
      </c>
      <c r="H27" s="279">
        <v>0</v>
      </c>
      <c r="I27" s="254"/>
      <c r="J27" s="254"/>
      <c r="K27" s="254"/>
      <c r="L27" s="254"/>
      <c r="M27" s="254"/>
      <c r="N27" s="254"/>
      <c r="O27" s="254"/>
      <c r="P27" s="1"/>
    </row>
    <row r="28" spans="2:16" x14ac:dyDescent="0.2">
      <c r="B28" s="255" t="str">
        <f>'3. GRI Pricing'!C38</f>
        <v>206N</v>
      </c>
      <c r="C28" s="255" t="str">
        <f>'3. GRI Pricing'!D38</f>
        <v>1 Bed</v>
      </c>
      <c r="D28" s="255">
        <f>'3. GRI Pricing'!E38</f>
        <v>1</v>
      </c>
      <c r="E28" s="256">
        <f>'3. GRI Pricing'!Y38</f>
        <v>960</v>
      </c>
      <c r="F28" s="279">
        <v>964.76268675197491</v>
      </c>
      <c r="G28" s="279">
        <v>0</v>
      </c>
      <c r="H28" s="279">
        <v>0</v>
      </c>
      <c r="I28" s="254"/>
      <c r="J28" s="254"/>
      <c r="K28" s="254"/>
      <c r="L28" s="254"/>
      <c r="M28" s="254"/>
      <c r="N28" s="254"/>
      <c r="O28" s="254"/>
      <c r="P28" s="1"/>
    </row>
    <row r="29" spans="2:16" x14ac:dyDescent="0.2">
      <c r="B29" s="255" t="str">
        <f>'3. GRI Pricing'!C39</f>
        <v>207N</v>
      </c>
      <c r="C29" s="255" t="str">
        <f>'3. GRI Pricing'!D39</f>
        <v>2 Bed</v>
      </c>
      <c r="D29" s="255">
        <f>'3. GRI Pricing'!E39</f>
        <v>2</v>
      </c>
      <c r="E29" s="256">
        <f>'3. GRI Pricing'!Y39</f>
        <v>1235</v>
      </c>
      <c r="F29" s="279">
        <v>1271.2758320221335</v>
      </c>
      <c r="G29" s="279">
        <v>0</v>
      </c>
      <c r="H29" s="279">
        <v>0</v>
      </c>
      <c r="I29" s="254"/>
      <c r="J29" s="254"/>
      <c r="K29" s="254"/>
      <c r="L29" s="254"/>
      <c r="M29" s="254"/>
      <c r="N29" s="254"/>
      <c r="O29" s="254"/>
      <c r="P29" s="1"/>
    </row>
    <row r="30" spans="2:16" x14ac:dyDescent="0.2">
      <c r="B30" s="255" t="str">
        <f>'3. GRI Pricing'!C40</f>
        <v>208N</v>
      </c>
      <c r="C30" s="255" t="str">
        <f>'3. GRI Pricing'!D40</f>
        <v>2 Bed</v>
      </c>
      <c r="D30" s="255">
        <f>'3. GRI Pricing'!E40</f>
        <v>2</v>
      </c>
      <c r="E30" s="256">
        <f>'3. GRI Pricing'!Y40</f>
        <v>1235</v>
      </c>
      <c r="F30" s="279">
        <v>1271.2758320221335</v>
      </c>
      <c r="G30" s="279">
        <v>0</v>
      </c>
      <c r="H30" s="279">
        <v>0</v>
      </c>
      <c r="I30" s="254"/>
      <c r="J30" s="254"/>
      <c r="K30" s="254"/>
      <c r="L30" s="254"/>
      <c r="M30" s="254"/>
      <c r="N30" s="254"/>
      <c r="O30" s="254"/>
      <c r="P30" s="1"/>
    </row>
    <row r="31" spans="2:16" x14ac:dyDescent="0.2">
      <c r="B31" s="255" t="str">
        <f>'3. GRI Pricing'!C41</f>
        <v>209N</v>
      </c>
      <c r="C31" s="255" t="str">
        <f>'3. GRI Pricing'!D41</f>
        <v>2 Bed</v>
      </c>
      <c r="D31" s="255">
        <f>'3. GRI Pricing'!E41</f>
        <v>2</v>
      </c>
      <c r="E31" s="256">
        <f>'3. GRI Pricing'!Y41</f>
        <v>1285</v>
      </c>
      <c r="F31" s="279">
        <v>1321.5238886237989</v>
      </c>
      <c r="G31" s="279">
        <v>0</v>
      </c>
      <c r="H31" s="279">
        <v>0</v>
      </c>
      <c r="I31" s="254"/>
      <c r="J31" s="254"/>
      <c r="K31" s="254"/>
      <c r="L31" s="254"/>
      <c r="M31" s="254"/>
      <c r="N31" s="254"/>
      <c r="O31" s="254"/>
      <c r="P31" s="1"/>
    </row>
    <row r="32" spans="2:16" x14ac:dyDescent="0.2">
      <c r="B32" s="255" t="str">
        <f>'3. GRI Pricing'!C42</f>
        <v>210N</v>
      </c>
      <c r="C32" s="255" t="str">
        <f>'3. GRI Pricing'!D42</f>
        <v>2 Bed</v>
      </c>
      <c r="D32" s="255">
        <f>'3. GRI Pricing'!E42</f>
        <v>2</v>
      </c>
      <c r="E32" s="256">
        <f>'3. GRI Pricing'!Y42</f>
        <v>1330</v>
      </c>
      <c r="F32" s="279">
        <v>1366.7471395652979</v>
      </c>
      <c r="G32" s="279">
        <v>0</v>
      </c>
      <c r="H32" s="279">
        <v>0</v>
      </c>
      <c r="I32" s="254"/>
      <c r="J32" s="254"/>
      <c r="K32" s="254"/>
      <c r="L32" s="254"/>
      <c r="M32" s="254"/>
      <c r="N32" s="254"/>
      <c r="O32" s="254"/>
      <c r="P32" s="1"/>
    </row>
    <row r="33" spans="2:16" x14ac:dyDescent="0.2">
      <c r="B33" s="255" t="str">
        <f>'3. GRI Pricing'!C43</f>
        <v>211N</v>
      </c>
      <c r="C33" s="255" t="str">
        <f>'3. GRI Pricing'!D43</f>
        <v>2 Bed</v>
      </c>
      <c r="D33" s="255">
        <f>'3. GRI Pricing'!E43</f>
        <v>2</v>
      </c>
      <c r="E33" s="256">
        <f>'3. GRI Pricing'!Y43</f>
        <v>1340</v>
      </c>
      <c r="F33" s="279">
        <v>1376.7967508856309</v>
      </c>
      <c r="G33" s="279">
        <v>0</v>
      </c>
      <c r="H33" s="279">
        <v>0</v>
      </c>
      <c r="I33" s="254"/>
      <c r="J33" s="254"/>
      <c r="K33" s="254"/>
      <c r="L33" s="254"/>
      <c r="M33" s="254"/>
      <c r="N33" s="254"/>
      <c r="O33" s="254"/>
      <c r="P33" s="1"/>
    </row>
    <row r="34" spans="2:16" x14ac:dyDescent="0.2">
      <c r="B34" s="255" t="str">
        <f>'3. GRI Pricing'!C44</f>
        <v>212N</v>
      </c>
      <c r="C34" s="255" t="str">
        <f>'3. GRI Pricing'!D44</f>
        <v>1 Bed</v>
      </c>
      <c r="D34" s="255">
        <f>'3. GRI Pricing'!E44</f>
        <v>1</v>
      </c>
      <c r="E34" s="256">
        <f>'3. GRI Pricing'!Y44</f>
        <v>1030</v>
      </c>
      <c r="F34" s="279">
        <v>1035.1099659943063</v>
      </c>
      <c r="G34" s="279">
        <v>0</v>
      </c>
      <c r="H34" s="279">
        <v>0</v>
      </c>
      <c r="I34" s="254"/>
      <c r="J34" s="254"/>
      <c r="K34" s="254"/>
      <c r="L34" s="254"/>
      <c r="M34" s="254"/>
      <c r="N34" s="254"/>
      <c r="O34" s="254"/>
      <c r="P34" s="1"/>
    </row>
    <row r="35" spans="2:16" x14ac:dyDescent="0.2">
      <c r="B35" s="255" t="str">
        <f>'3. GRI Pricing'!C45</f>
        <v>213N</v>
      </c>
      <c r="C35" s="255" t="str">
        <f>'3. GRI Pricing'!D45</f>
        <v>1 Bed</v>
      </c>
      <c r="D35" s="255">
        <f>'3. GRI Pricing'!E45</f>
        <v>1</v>
      </c>
      <c r="E35" s="256">
        <f>'3. GRI Pricing'!Y45</f>
        <v>1005</v>
      </c>
      <c r="F35" s="279">
        <v>1009.9859376934737</v>
      </c>
      <c r="G35" s="279">
        <v>0</v>
      </c>
      <c r="H35" s="279">
        <v>0</v>
      </c>
      <c r="I35" s="254"/>
      <c r="J35" s="254"/>
      <c r="K35" s="254"/>
      <c r="L35" s="254"/>
      <c r="M35" s="254"/>
      <c r="N35" s="254"/>
      <c r="O35" s="254"/>
      <c r="P35" s="1"/>
    </row>
    <row r="36" spans="2:16" x14ac:dyDescent="0.2">
      <c r="B36" s="255" t="str">
        <f>'3. GRI Pricing'!C46</f>
        <v>214N</v>
      </c>
      <c r="C36" s="255" t="str">
        <f>'3. GRI Pricing'!D46</f>
        <v>1 Bed</v>
      </c>
      <c r="D36" s="255">
        <f>'3. GRI Pricing'!E46</f>
        <v>1</v>
      </c>
      <c r="E36" s="256">
        <f>'3. GRI Pricing'!Y46</f>
        <v>990</v>
      </c>
      <c r="F36" s="279">
        <v>994.91152071297415</v>
      </c>
      <c r="G36" s="279">
        <v>0</v>
      </c>
      <c r="H36" s="279">
        <v>0</v>
      </c>
      <c r="I36" s="254"/>
      <c r="J36" s="254"/>
      <c r="K36" s="254"/>
      <c r="L36" s="254"/>
      <c r="M36" s="254"/>
      <c r="N36" s="254"/>
      <c r="O36" s="254"/>
      <c r="P36" s="1"/>
    </row>
    <row r="37" spans="2:16" x14ac:dyDescent="0.2">
      <c r="B37" s="255" t="str">
        <f>'3. GRI Pricing'!C47</f>
        <v>215N</v>
      </c>
      <c r="C37" s="255" t="str">
        <f>'3. GRI Pricing'!D47</f>
        <v>2 Bed</v>
      </c>
      <c r="D37" s="255">
        <f>'3. GRI Pricing'!E47</f>
        <v>2</v>
      </c>
      <c r="E37" s="256">
        <f>'3. GRI Pricing'!Y47</f>
        <v>1255</v>
      </c>
      <c r="F37" s="279">
        <v>1291.3750546627998</v>
      </c>
      <c r="G37" s="279">
        <v>0</v>
      </c>
      <c r="H37" s="279">
        <v>0</v>
      </c>
      <c r="I37" s="254"/>
      <c r="J37" s="254"/>
      <c r="K37" s="254"/>
      <c r="L37" s="254"/>
      <c r="M37" s="254"/>
      <c r="N37" s="254"/>
      <c r="O37" s="254"/>
      <c r="P37" s="1"/>
    </row>
    <row r="38" spans="2:16" x14ac:dyDescent="0.2">
      <c r="B38" s="255" t="str">
        <f>'3. GRI Pricing'!C48</f>
        <v>216N</v>
      </c>
      <c r="C38" s="255" t="str">
        <f>'3. GRI Pricing'!D48</f>
        <v>2 Bed</v>
      </c>
      <c r="D38" s="255">
        <f>'3. GRI Pricing'!E48</f>
        <v>2</v>
      </c>
      <c r="E38" s="256">
        <f>'3. GRI Pricing'!Y48</f>
        <v>1255</v>
      </c>
      <c r="F38" s="279">
        <v>1291.3750546627998</v>
      </c>
      <c r="G38" s="279">
        <v>0</v>
      </c>
      <c r="H38" s="279">
        <v>0</v>
      </c>
      <c r="I38" s="254"/>
      <c r="J38" s="254"/>
      <c r="K38" s="254"/>
      <c r="L38" s="254"/>
      <c r="M38" s="254"/>
      <c r="N38" s="254"/>
      <c r="O38" s="254"/>
      <c r="P38" s="1"/>
    </row>
    <row r="39" spans="2:16" x14ac:dyDescent="0.2">
      <c r="B39" s="255" t="str">
        <f>'3. GRI Pricing'!C49</f>
        <v>301N</v>
      </c>
      <c r="C39" s="255" t="str">
        <f>'3. GRI Pricing'!D49</f>
        <v>1 Bed</v>
      </c>
      <c r="D39" s="255">
        <f>'3. GRI Pricing'!E49</f>
        <v>1</v>
      </c>
      <c r="E39" s="256">
        <f>'3. GRI Pricing'!Y49</f>
        <v>1000</v>
      </c>
      <c r="F39" s="279">
        <v>1004.9611320333072</v>
      </c>
      <c r="G39" s="279">
        <v>0</v>
      </c>
      <c r="H39" s="279">
        <v>0</v>
      </c>
      <c r="I39" s="254"/>
      <c r="J39" s="254"/>
      <c r="K39" s="254"/>
      <c r="L39" s="254"/>
      <c r="M39" s="254"/>
      <c r="N39" s="254"/>
      <c r="O39" s="254"/>
      <c r="P39" s="1"/>
    </row>
    <row r="40" spans="2:16" x14ac:dyDescent="0.2">
      <c r="B40" s="255" t="str">
        <f>'3. GRI Pricing'!C50</f>
        <v>302N</v>
      </c>
      <c r="C40" s="255" t="str">
        <f>'3. GRI Pricing'!D50</f>
        <v>2 Bed</v>
      </c>
      <c r="D40" s="255">
        <f>'3. GRI Pricing'!E50</f>
        <v>2</v>
      </c>
      <c r="E40" s="256">
        <f>'3. GRI Pricing'!Y50</f>
        <v>1295</v>
      </c>
      <c r="F40" s="279">
        <v>1331.573499944132</v>
      </c>
      <c r="G40" s="279">
        <v>0</v>
      </c>
      <c r="H40" s="279">
        <v>0</v>
      </c>
      <c r="I40" s="254"/>
      <c r="J40" s="254"/>
      <c r="K40" s="254"/>
      <c r="L40" s="254"/>
      <c r="M40" s="254"/>
      <c r="N40" s="254"/>
      <c r="O40" s="254"/>
      <c r="P40" s="1"/>
    </row>
    <row r="41" spans="2:16" x14ac:dyDescent="0.2">
      <c r="B41" s="255" t="str">
        <f>'3. GRI Pricing'!C51</f>
        <v>303N</v>
      </c>
      <c r="C41" s="255" t="str">
        <f>'3. GRI Pricing'!D51</f>
        <v>2 Bed</v>
      </c>
      <c r="D41" s="255">
        <f>'3. GRI Pricing'!E51</f>
        <v>2</v>
      </c>
      <c r="E41" s="256">
        <f>'3. GRI Pricing'!Y51</f>
        <v>1275</v>
      </c>
      <c r="F41" s="279">
        <v>1311.4742773034659</v>
      </c>
      <c r="G41" s="279">
        <v>0</v>
      </c>
      <c r="H41" s="279">
        <v>0</v>
      </c>
      <c r="I41" s="254"/>
      <c r="J41" s="254"/>
      <c r="K41" s="254"/>
      <c r="L41" s="254"/>
      <c r="M41" s="254"/>
      <c r="N41" s="254"/>
      <c r="O41" s="254"/>
      <c r="P41" s="1"/>
    </row>
    <row r="42" spans="2:16" x14ac:dyDescent="0.2">
      <c r="B42" s="255" t="str">
        <f>'3. GRI Pricing'!C52</f>
        <v>304N</v>
      </c>
      <c r="C42" s="255" t="str">
        <f>'3. GRI Pricing'!D52</f>
        <v>3 Bed</v>
      </c>
      <c r="D42" s="255">
        <f>'3. GRI Pricing'!E52</f>
        <v>2</v>
      </c>
      <c r="E42" s="256">
        <f>'3. GRI Pricing'!Y52</f>
        <v>1665</v>
      </c>
      <c r="F42" s="279">
        <v>1673.2602848354563</v>
      </c>
      <c r="G42" s="279">
        <v>0</v>
      </c>
      <c r="H42" s="279">
        <v>0</v>
      </c>
      <c r="I42" s="254"/>
      <c r="J42" s="254"/>
      <c r="K42" s="254"/>
      <c r="L42" s="254"/>
      <c r="M42" s="254"/>
      <c r="N42" s="254"/>
      <c r="O42" s="254"/>
      <c r="P42" s="1"/>
    </row>
    <row r="43" spans="2:16" x14ac:dyDescent="0.2">
      <c r="B43" s="255" t="str">
        <f>'3. GRI Pricing'!C53</f>
        <v>305N</v>
      </c>
      <c r="C43" s="255" t="str">
        <f>'3. GRI Pricing'!D53</f>
        <v>2 Bed</v>
      </c>
      <c r="D43" s="255">
        <f>'3. GRI Pricing'!E53</f>
        <v>2</v>
      </c>
      <c r="E43" s="256">
        <f>'3. GRI Pricing'!Y53</f>
        <v>1270</v>
      </c>
      <c r="F43" s="279">
        <v>1306.4494716432994</v>
      </c>
      <c r="G43" s="279">
        <v>0</v>
      </c>
      <c r="H43" s="279">
        <v>0</v>
      </c>
      <c r="I43" s="254"/>
      <c r="J43" s="254"/>
      <c r="K43" s="254"/>
      <c r="L43" s="254"/>
      <c r="M43" s="254"/>
      <c r="N43" s="254"/>
      <c r="O43" s="254"/>
      <c r="P43" s="1"/>
    </row>
    <row r="44" spans="2:16" x14ac:dyDescent="0.2">
      <c r="B44" s="255" t="str">
        <f>'3. GRI Pricing'!C54</f>
        <v>306N</v>
      </c>
      <c r="C44" s="255" t="str">
        <f>'3. GRI Pricing'!D54</f>
        <v>1 Bed</v>
      </c>
      <c r="D44" s="255">
        <f>'3. GRI Pricing'!E54</f>
        <v>1</v>
      </c>
      <c r="E44" s="256">
        <f>'3. GRI Pricing'!Y54</f>
        <v>970</v>
      </c>
      <c r="F44" s="279">
        <v>974.81229807230795</v>
      </c>
      <c r="G44" s="279">
        <v>0</v>
      </c>
      <c r="H44" s="279">
        <v>0</v>
      </c>
      <c r="I44" s="254"/>
      <c r="J44" s="254"/>
      <c r="K44" s="254"/>
      <c r="L44" s="254"/>
      <c r="M44" s="254"/>
      <c r="N44" s="254"/>
      <c r="O44" s="254"/>
      <c r="P44" s="1"/>
    </row>
    <row r="45" spans="2:16" x14ac:dyDescent="0.2">
      <c r="B45" s="255" t="str">
        <f>'3. GRI Pricing'!C55</f>
        <v>307N</v>
      </c>
      <c r="C45" s="255" t="str">
        <f>'3. GRI Pricing'!D55</f>
        <v>2 Bed</v>
      </c>
      <c r="D45" s="255">
        <f>'3. GRI Pricing'!E55</f>
        <v>2</v>
      </c>
      <c r="E45" s="256">
        <f>'3. GRI Pricing'!Y55</f>
        <v>1245</v>
      </c>
      <c r="F45" s="279">
        <v>1281.3254433424665</v>
      </c>
      <c r="G45" s="279">
        <v>0</v>
      </c>
      <c r="H45" s="279">
        <v>0</v>
      </c>
      <c r="I45" s="254"/>
      <c r="J45" s="254"/>
      <c r="K45" s="254"/>
      <c r="L45" s="254"/>
      <c r="M45" s="254"/>
      <c r="N45" s="254"/>
      <c r="O45" s="254"/>
      <c r="P45" s="1"/>
    </row>
    <row r="46" spans="2:16" x14ac:dyDescent="0.2">
      <c r="B46" s="255" t="str">
        <f>'3. GRI Pricing'!C56</f>
        <v>308N</v>
      </c>
      <c r="C46" s="255" t="str">
        <f>'3. GRI Pricing'!D56</f>
        <v>2 Bed</v>
      </c>
      <c r="D46" s="255">
        <f>'3. GRI Pricing'!E56</f>
        <v>2</v>
      </c>
      <c r="E46" s="256">
        <f>'3. GRI Pricing'!Y56</f>
        <v>1245</v>
      </c>
      <c r="F46" s="279">
        <v>1281.3254433424665</v>
      </c>
      <c r="G46" s="279">
        <v>0</v>
      </c>
      <c r="H46" s="279">
        <v>0</v>
      </c>
      <c r="I46" s="254"/>
      <c r="J46" s="254"/>
      <c r="K46" s="254"/>
      <c r="L46" s="254"/>
      <c r="M46" s="254"/>
      <c r="N46" s="254"/>
      <c r="O46" s="254"/>
      <c r="P46" s="1"/>
    </row>
    <row r="47" spans="2:16" x14ac:dyDescent="0.2">
      <c r="B47" s="255" t="str">
        <f>'3. GRI Pricing'!C57</f>
        <v>309N</v>
      </c>
      <c r="C47" s="255" t="str">
        <f>'3. GRI Pricing'!D57</f>
        <v>2 Bed</v>
      </c>
      <c r="D47" s="255">
        <f>'3. GRI Pricing'!E57</f>
        <v>2</v>
      </c>
      <c r="E47" s="256">
        <f>'3. GRI Pricing'!Y57</f>
        <v>1295</v>
      </c>
      <c r="F47" s="279">
        <v>1331.573499944132</v>
      </c>
      <c r="G47" s="279">
        <v>0</v>
      </c>
      <c r="H47" s="279">
        <v>0</v>
      </c>
      <c r="I47" s="254"/>
      <c r="J47" s="254"/>
      <c r="K47" s="254"/>
      <c r="L47" s="254"/>
      <c r="M47" s="254"/>
      <c r="N47" s="254"/>
      <c r="O47" s="254"/>
      <c r="P47" s="1"/>
    </row>
    <row r="48" spans="2:16" x14ac:dyDescent="0.2">
      <c r="B48" s="255" t="str">
        <f>'3. GRI Pricing'!C58</f>
        <v>310N</v>
      </c>
      <c r="C48" s="255" t="str">
        <f>'3. GRI Pricing'!D58</f>
        <v>2 Bed</v>
      </c>
      <c r="D48" s="255">
        <f>'3. GRI Pricing'!E58</f>
        <v>2</v>
      </c>
      <c r="E48" s="256">
        <f>'3. GRI Pricing'!Y58</f>
        <v>1340</v>
      </c>
      <c r="F48" s="279">
        <v>1376.7967508856309</v>
      </c>
      <c r="G48" s="279">
        <v>0</v>
      </c>
      <c r="H48" s="279">
        <v>0</v>
      </c>
      <c r="I48" s="254"/>
      <c r="J48" s="254"/>
      <c r="K48" s="254"/>
      <c r="L48" s="254"/>
      <c r="M48" s="254"/>
      <c r="N48" s="254"/>
      <c r="O48" s="254"/>
      <c r="P48" s="1"/>
    </row>
    <row r="49" spans="2:16" x14ac:dyDescent="0.2">
      <c r="B49" s="255" t="str">
        <f>'3. GRI Pricing'!C59</f>
        <v>311N</v>
      </c>
      <c r="C49" s="255" t="str">
        <f>'3. GRI Pricing'!D59</f>
        <v>2 Bed</v>
      </c>
      <c r="D49" s="255">
        <f>'3. GRI Pricing'!E59</f>
        <v>2</v>
      </c>
      <c r="E49" s="256">
        <f>'3. GRI Pricing'!Y59</f>
        <v>1350</v>
      </c>
      <c r="F49" s="279">
        <v>1386.8463622059639</v>
      </c>
      <c r="G49" s="279">
        <v>0</v>
      </c>
      <c r="H49" s="279">
        <v>0</v>
      </c>
      <c r="I49" s="254"/>
      <c r="J49" s="254"/>
      <c r="K49" s="254"/>
      <c r="L49" s="254"/>
      <c r="M49" s="254"/>
      <c r="N49" s="254"/>
      <c r="O49" s="254"/>
      <c r="P49" s="1"/>
    </row>
    <row r="50" spans="2:16" x14ac:dyDescent="0.2">
      <c r="B50" s="255" t="str">
        <f>'3. GRI Pricing'!C60</f>
        <v>312N</v>
      </c>
      <c r="C50" s="255" t="str">
        <f>'3. GRI Pricing'!D60</f>
        <v>1 Bed</v>
      </c>
      <c r="D50" s="255">
        <f>'3. GRI Pricing'!E60</f>
        <v>1</v>
      </c>
      <c r="E50" s="256">
        <f>'3. GRI Pricing'!Y60</f>
        <v>1040</v>
      </c>
      <c r="F50" s="279">
        <v>1045.1595773146394</v>
      </c>
      <c r="G50" s="279">
        <v>0</v>
      </c>
      <c r="H50" s="279">
        <v>0</v>
      </c>
      <c r="I50" s="254"/>
      <c r="J50" s="254"/>
      <c r="K50" s="254"/>
      <c r="L50" s="254"/>
      <c r="M50" s="254"/>
      <c r="N50" s="254"/>
      <c r="O50" s="254"/>
      <c r="P50" s="1"/>
    </row>
    <row r="51" spans="2:16" x14ac:dyDescent="0.2">
      <c r="B51" s="255" t="str">
        <f>'3. GRI Pricing'!C61</f>
        <v>313N</v>
      </c>
      <c r="C51" s="255" t="str">
        <f>'3. GRI Pricing'!D61</f>
        <v>1 Bed</v>
      </c>
      <c r="D51" s="255">
        <f>'3. GRI Pricing'!E61</f>
        <v>1</v>
      </c>
      <c r="E51" s="256">
        <f>'3. GRI Pricing'!Y61</f>
        <v>1015</v>
      </c>
      <c r="F51" s="279">
        <v>1020.0355490138068</v>
      </c>
      <c r="G51" s="279">
        <v>0</v>
      </c>
      <c r="H51" s="279">
        <v>0</v>
      </c>
      <c r="I51" s="254"/>
      <c r="J51" s="254"/>
      <c r="K51" s="254"/>
      <c r="L51" s="254"/>
      <c r="M51" s="254"/>
      <c r="N51" s="254"/>
      <c r="O51" s="254"/>
      <c r="P51" s="1"/>
    </row>
    <row r="52" spans="2:16" x14ac:dyDescent="0.2">
      <c r="B52" s="255" t="str">
        <f>'3. GRI Pricing'!C62</f>
        <v>314N</v>
      </c>
      <c r="C52" s="255" t="str">
        <f>'3. GRI Pricing'!D62</f>
        <v>1 Bed</v>
      </c>
      <c r="D52" s="255">
        <f>'3. GRI Pricing'!E62</f>
        <v>1</v>
      </c>
      <c r="E52" s="256">
        <f>'3. GRI Pricing'!Y62</f>
        <v>1000</v>
      </c>
      <c r="F52" s="279">
        <v>1004.9611320333072</v>
      </c>
      <c r="G52" s="279">
        <v>0</v>
      </c>
      <c r="H52" s="279">
        <v>0</v>
      </c>
      <c r="I52" s="254"/>
      <c r="J52" s="254"/>
      <c r="K52" s="254"/>
      <c r="L52" s="254"/>
      <c r="M52" s="254"/>
      <c r="N52" s="254"/>
      <c r="O52" s="254"/>
      <c r="P52" s="1"/>
    </row>
    <row r="53" spans="2:16" x14ac:dyDescent="0.2">
      <c r="B53" s="255" t="str">
        <f>'3. GRI Pricing'!C63</f>
        <v>315N</v>
      </c>
      <c r="C53" s="255" t="str">
        <f>'3. GRI Pricing'!D63</f>
        <v>2 Bed</v>
      </c>
      <c r="D53" s="255">
        <f>'3. GRI Pricing'!E63</f>
        <v>2</v>
      </c>
      <c r="E53" s="256">
        <f>'3. GRI Pricing'!Y63</f>
        <v>1265</v>
      </c>
      <c r="F53" s="279">
        <v>1301.4246659831329</v>
      </c>
      <c r="G53" s="279">
        <v>0</v>
      </c>
      <c r="H53" s="279">
        <v>0</v>
      </c>
      <c r="I53" s="254"/>
      <c r="J53" s="254"/>
      <c r="K53" s="254"/>
      <c r="L53" s="254"/>
      <c r="M53" s="254"/>
      <c r="N53" s="254"/>
      <c r="O53" s="254"/>
      <c r="P53" s="1"/>
    </row>
    <row r="54" spans="2:16" x14ac:dyDescent="0.2">
      <c r="B54" s="255" t="str">
        <f>'3. GRI Pricing'!C64</f>
        <v>316N</v>
      </c>
      <c r="C54" s="255" t="str">
        <f>'3. GRI Pricing'!D64</f>
        <v>2 Bed</v>
      </c>
      <c r="D54" s="255">
        <f>'3. GRI Pricing'!E64</f>
        <v>2</v>
      </c>
      <c r="E54" s="256">
        <f>'3. GRI Pricing'!Y64</f>
        <v>1265</v>
      </c>
      <c r="F54" s="279">
        <v>1301.4246659831329</v>
      </c>
      <c r="G54" s="279">
        <v>0</v>
      </c>
      <c r="H54" s="279">
        <v>0</v>
      </c>
      <c r="I54" s="254"/>
      <c r="J54" s="254"/>
      <c r="K54" s="254"/>
      <c r="L54" s="254"/>
      <c r="M54" s="254"/>
      <c r="N54" s="254"/>
      <c r="O54" s="254"/>
      <c r="P54" s="1"/>
    </row>
    <row r="55" spans="2:16" x14ac:dyDescent="0.2">
      <c r="B55" s="255" t="str">
        <f>'3. GRI Pricing'!C65</f>
        <v>401N</v>
      </c>
      <c r="C55" s="255" t="str">
        <f>'3. GRI Pricing'!D65</f>
        <v>1 Bed</v>
      </c>
      <c r="D55" s="255">
        <f>'3. GRI Pricing'!E65</f>
        <v>1</v>
      </c>
      <c r="E55" s="256">
        <f>'3. GRI Pricing'!Y65</f>
        <v>1020</v>
      </c>
      <c r="F55" s="279">
        <v>1025.0603546739733</v>
      </c>
      <c r="G55" s="279">
        <v>0</v>
      </c>
      <c r="H55" s="279">
        <v>0</v>
      </c>
      <c r="I55" s="254"/>
      <c r="J55" s="254"/>
      <c r="K55" s="254"/>
      <c r="L55" s="254"/>
      <c r="M55" s="254"/>
      <c r="N55" s="254"/>
      <c r="O55" s="254"/>
      <c r="P55" s="1"/>
    </row>
    <row r="56" spans="2:16" x14ac:dyDescent="0.2">
      <c r="B56" s="255" t="str">
        <f>'3. GRI Pricing'!C66</f>
        <v>402N</v>
      </c>
      <c r="C56" s="255" t="str">
        <f>'3. GRI Pricing'!D66</f>
        <v>2 Bed</v>
      </c>
      <c r="D56" s="255">
        <f>'3. GRI Pricing'!E66</f>
        <v>2</v>
      </c>
      <c r="E56" s="256">
        <f>'3. GRI Pricing'!Y66</f>
        <v>1315</v>
      </c>
      <c r="F56" s="279">
        <v>1351.6727225847981</v>
      </c>
      <c r="G56" s="279">
        <v>0</v>
      </c>
      <c r="H56" s="279">
        <v>0</v>
      </c>
      <c r="I56" s="254"/>
      <c r="J56" s="254"/>
      <c r="K56" s="254"/>
      <c r="L56" s="254"/>
      <c r="M56" s="254"/>
      <c r="N56" s="254"/>
      <c r="O56" s="254"/>
      <c r="P56" s="1"/>
    </row>
    <row r="57" spans="2:16" x14ac:dyDescent="0.2">
      <c r="B57" s="255" t="str">
        <f>'3. GRI Pricing'!C67</f>
        <v>403N</v>
      </c>
      <c r="C57" s="255" t="str">
        <f>'3. GRI Pricing'!D67</f>
        <v>2 Bed</v>
      </c>
      <c r="D57" s="255">
        <f>'3. GRI Pricing'!E67</f>
        <v>2</v>
      </c>
      <c r="E57" s="256">
        <f>'3. GRI Pricing'!Y67</f>
        <v>1295</v>
      </c>
      <c r="F57" s="279">
        <v>1331.573499944132</v>
      </c>
      <c r="G57" s="279">
        <v>0</v>
      </c>
      <c r="H57" s="279">
        <v>0</v>
      </c>
      <c r="I57" s="254"/>
      <c r="J57" s="254"/>
      <c r="K57" s="254"/>
      <c r="L57" s="254"/>
      <c r="M57" s="254"/>
      <c r="N57" s="254"/>
      <c r="O57" s="254"/>
      <c r="P57" s="1"/>
    </row>
    <row r="58" spans="2:16" x14ac:dyDescent="0.2">
      <c r="B58" s="255" t="str">
        <f>'3. GRI Pricing'!C68</f>
        <v>404N</v>
      </c>
      <c r="C58" s="255" t="str">
        <f>'3. GRI Pricing'!D68</f>
        <v>3 Bed</v>
      </c>
      <c r="D58" s="255">
        <f>'3. GRI Pricing'!E68</f>
        <v>2</v>
      </c>
      <c r="E58" s="256">
        <f>'3. GRI Pricing'!Y68</f>
        <v>1685</v>
      </c>
      <c r="F58" s="279">
        <v>1693.3595074761226</v>
      </c>
      <c r="G58" s="279">
        <v>0</v>
      </c>
      <c r="H58" s="279">
        <v>0</v>
      </c>
      <c r="I58" s="254"/>
      <c r="J58" s="254"/>
      <c r="K58" s="254"/>
      <c r="L58" s="254"/>
      <c r="M58" s="254"/>
      <c r="N58" s="254"/>
      <c r="O58" s="254"/>
      <c r="P58" s="1"/>
    </row>
    <row r="59" spans="2:16" x14ac:dyDescent="0.2">
      <c r="B59" s="255" t="str">
        <f>'3. GRI Pricing'!C69</f>
        <v>405N</v>
      </c>
      <c r="C59" s="255" t="str">
        <f>'3. GRI Pricing'!D69</f>
        <v>2 Bed</v>
      </c>
      <c r="D59" s="255">
        <f>'3. GRI Pricing'!E69</f>
        <v>2</v>
      </c>
      <c r="E59" s="256">
        <f>'3. GRI Pricing'!Y69</f>
        <v>1290</v>
      </c>
      <c r="F59" s="279">
        <v>1326.5486942839655</v>
      </c>
      <c r="G59" s="279">
        <v>0</v>
      </c>
      <c r="H59" s="279">
        <v>0</v>
      </c>
      <c r="I59" s="254"/>
      <c r="J59" s="254"/>
      <c r="K59" s="254"/>
      <c r="L59" s="254"/>
      <c r="M59" s="254"/>
      <c r="N59" s="254"/>
      <c r="O59" s="254"/>
      <c r="P59" s="1"/>
    </row>
    <row r="60" spans="2:16" x14ac:dyDescent="0.2">
      <c r="B60" s="255" t="str">
        <f>'3. GRI Pricing'!C70</f>
        <v>406N</v>
      </c>
      <c r="C60" s="255" t="str">
        <f>'3. GRI Pricing'!D70</f>
        <v>1 Bed</v>
      </c>
      <c r="D60" s="255">
        <f>'3. GRI Pricing'!E70</f>
        <v>1</v>
      </c>
      <c r="E60" s="256">
        <f>'3. GRI Pricing'!Y70</f>
        <v>990</v>
      </c>
      <c r="F60" s="279">
        <v>994.91152071297415</v>
      </c>
      <c r="G60" s="279">
        <v>0</v>
      </c>
      <c r="H60" s="279">
        <v>0</v>
      </c>
      <c r="I60" s="254"/>
      <c r="J60" s="254"/>
      <c r="K60" s="254"/>
      <c r="L60" s="254"/>
      <c r="M60" s="254"/>
      <c r="N60" s="254"/>
      <c r="O60" s="254"/>
      <c r="P60" s="1"/>
    </row>
    <row r="61" spans="2:16" x14ac:dyDescent="0.2">
      <c r="B61" s="255" t="str">
        <f>'3. GRI Pricing'!C71</f>
        <v>407N</v>
      </c>
      <c r="C61" s="255" t="str">
        <f>'3. GRI Pricing'!D71</f>
        <v>2 Bed</v>
      </c>
      <c r="D61" s="255">
        <f>'3. GRI Pricing'!E71</f>
        <v>2</v>
      </c>
      <c r="E61" s="256">
        <f>'3. GRI Pricing'!Y71</f>
        <v>1265</v>
      </c>
      <c r="F61" s="279">
        <v>1301.4246659831329</v>
      </c>
      <c r="G61" s="279">
        <v>0</v>
      </c>
      <c r="H61" s="279">
        <v>0</v>
      </c>
      <c r="I61" s="254"/>
      <c r="J61" s="254"/>
      <c r="K61" s="254"/>
      <c r="L61" s="254"/>
      <c r="M61" s="254"/>
      <c r="N61" s="254"/>
      <c r="O61" s="254"/>
      <c r="P61" s="1"/>
    </row>
    <row r="62" spans="2:16" x14ac:dyDescent="0.2">
      <c r="B62" s="255" t="str">
        <f>'3. GRI Pricing'!C72</f>
        <v>408N</v>
      </c>
      <c r="C62" s="255" t="str">
        <f>'3. GRI Pricing'!D72</f>
        <v>2 Bed</v>
      </c>
      <c r="D62" s="255">
        <f>'3. GRI Pricing'!E72</f>
        <v>2</v>
      </c>
      <c r="E62" s="256">
        <f>'3. GRI Pricing'!Y72</f>
        <v>1265</v>
      </c>
      <c r="F62" s="279">
        <v>1301.4246659831329</v>
      </c>
      <c r="G62" s="279">
        <v>0</v>
      </c>
      <c r="H62" s="279">
        <v>0</v>
      </c>
      <c r="I62" s="254"/>
      <c r="J62" s="254"/>
      <c r="K62" s="254"/>
      <c r="L62" s="254"/>
      <c r="M62" s="254"/>
      <c r="N62" s="254"/>
      <c r="O62" s="254"/>
      <c r="P62" s="1"/>
    </row>
    <row r="63" spans="2:16" x14ac:dyDescent="0.2">
      <c r="B63" s="255" t="str">
        <f>'3. GRI Pricing'!C73</f>
        <v>409N</v>
      </c>
      <c r="C63" s="255" t="str">
        <f>'3. GRI Pricing'!D73</f>
        <v>2 Bed</v>
      </c>
      <c r="D63" s="255">
        <f>'3. GRI Pricing'!E73</f>
        <v>2</v>
      </c>
      <c r="E63" s="256">
        <f>'3. GRI Pricing'!Y73</f>
        <v>1315</v>
      </c>
      <c r="F63" s="279">
        <v>1351.6727225847981</v>
      </c>
      <c r="G63" s="279">
        <v>0</v>
      </c>
      <c r="H63" s="279">
        <v>0</v>
      </c>
      <c r="I63" s="254"/>
      <c r="J63" s="254"/>
      <c r="K63" s="254"/>
      <c r="L63" s="254"/>
      <c r="M63" s="254"/>
      <c r="N63" s="254"/>
      <c r="O63" s="254"/>
      <c r="P63" s="1"/>
    </row>
    <row r="64" spans="2:16" x14ac:dyDescent="0.2">
      <c r="B64" s="255" t="str">
        <f>'3. GRI Pricing'!C74</f>
        <v>410N</v>
      </c>
      <c r="C64" s="255" t="str">
        <f>'3. GRI Pricing'!D74</f>
        <v>2 Bed</v>
      </c>
      <c r="D64" s="255">
        <f>'3. GRI Pricing'!E74</f>
        <v>2</v>
      </c>
      <c r="E64" s="256">
        <f>'3. GRI Pricing'!Y74</f>
        <v>1360</v>
      </c>
      <c r="F64" s="279">
        <v>1396.895973526297</v>
      </c>
      <c r="G64" s="279">
        <v>0</v>
      </c>
      <c r="H64" s="279">
        <v>0</v>
      </c>
      <c r="I64" s="254"/>
      <c r="J64" s="254"/>
      <c r="K64" s="254"/>
      <c r="L64" s="254"/>
      <c r="M64" s="254"/>
      <c r="N64" s="254"/>
      <c r="O64" s="254"/>
      <c r="P64" s="1"/>
    </row>
    <row r="65" spans="2:16" x14ac:dyDescent="0.2">
      <c r="B65" s="255" t="str">
        <f>'3. GRI Pricing'!C75</f>
        <v>411N</v>
      </c>
      <c r="C65" s="255" t="str">
        <f>'3. GRI Pricing'!D75</f>
        <v>2 Bed</v>
      </c>
      <c r="D65" s="255">
        <f>'3. GRI Pricing'!E75</f>
        <v>2</v>
      </c>
      <c r="E65" s="256">
        <f>'3. GRI Pricing'!Y75</f>
        <v>1370</v>
      </c>
      <c r="F65" s="279">
        <v>1406.94558484663</v>
      </c>
      <c r="G65" s="279">
        <v>0</v>
      </c>
      <c r="H65" s="279">
        <v>0</v>
      </c>
      <c r="I65" s="254"/>
      <c r="J65" s="254"/>
      <c r="K65" s="254"/>
      <c r="L65" s="254"/>
      <c r="M65" s="254"/>
      <c r="N65" s="254"/>
      <c r="O65" s="254"/>
      <c r="P65" s="1"/>
    </row>
    <row r="66" spans="2:16" x14ac:dyDescent="0.2">
      <c r="B66" s="255" t="str">
        <f>'3. GRI Pricing'!C76</f>
        <v>412N</v>
      </c>
      <c r="C66" s="255" t="str">
        <f>'3. GRI Pricing'!D76</f>
        <v>1 Bed</v>
      </c>
      <c r="D66" s="255">
        <f>'3. GRI Pricing'!E76</f>
        <v>1</v>
      </c>
      <c r="E66" s="256">
        <f>'3. GRI Pricing'!Y76</f>
        <v>1060</v>
      </c>
      <c r="F66" s="279">
        <v>1065.2587999553057</v>
      </c>
      <c r="G66" s="279">
        <v>0</v>
      </c>
      <c r="H66" s="279">
        <v>0</v>
      </c>
      <c r="I66" s="254"/>
      <c r="J66" s="254"/>
      <c r="K66" s="254"/>
      <c r="L66" s="254"/>
      <c r="M66" s="254"/>
      <c r="N66" s="254"/>
      <c r="O66" s="254"/>
      <c r="P66" s="1"/>
    </row>
    <row r="67" spans="2:16" x14ac:dyDescent="0.2">
      <c r="B67" s="255" t="str">
        <f>'3. GRI Pricing'!C77</f>
        <v>413N</v>
      </c>
      <c r="C67" s="255" t="str">
        <f>'3. GRI Pricing'!D77</f>
        <v>1 Bed</v>
      </c>
      <c r="D67" s="255">
        <f>'3. GRI Pricing'!E77</f>
        <v>1</v>
      </c>
      <c r="E67" s="256">
        <f>'3. GRI Pricing'!Y77</f>
        <v>1035</v>
      </c>
      <c r="F67" s="279">
        <v>1040.1347716544728</v>
      </c>
      <c r="G67" s="279">
        <v>0</v>
      </c>
      <c r="H67" s="279">
        <v>0</v>
      </c>
      <c r="I67" s="254"/>
      <c r="J67" s="254"/>
      <c r="K67" s="254"/>
      <c r="L67" s="254"/>
      <c r="M67" s="254"/>
      <c r="N67" s="254"/>
      <c r="O67" s="254"/>
      <c r="P67" s="1"/>
    </row>
    <row r="68" spans="2:16" x14ac:dyDescent="0.2">
      <c r="B68" s="255" t="str">
        <f>'3. GRI Pricing'!C78</f>
        <v>414N</v>
      </c>
      <c r="C68" s="255" t="str">
        <f>'3. GRI Pricing'!D78</f>
        <v>1 Bed</v>
      </c>
      <c r="D68" s="255">
        <f>'3. GRI Pricing'!E78</f>
        <v>1</v>
      </c>
      <c r="E68" s="256">
        <f>'3. GRI Pricing'!Y78</f>
        <v>1020</v>
      </c>
      <c r="F68" s="279">
        <v>1025.0603546739733</v>
      </c>
      <c r="G68" s="279">
        <v>0</v>
      </c>
      <c r="H68" s="279">
        <v>0</v>
      </c>
      <c r="I68" s="254"/>
      <c r="J68" s="254"/>
      <c r="K68" s="254"/>
      <c r="L68" s="254"/>
      <c r="M68" s="254"/>
      <c r="N68" s="254"/>
      <c r="O68" s="254"/>
      <c r="P68" s="1"/>
    </row>
    <row r="69" spans="2:16" x14ac:dyDescent="0.2">
      <c r="B69" s="255" t="str">
        <f>'3. GRI Pricing'!C79</f>
        <v>415N</v>
      </c>
      <c r="C69" s="255" t="str">
        <f>'3. GRI Pricing'!D79</f>
        <v>2 Bed</v>
      </c>
      <c r="D69" s="255">
        <f>'3. GRI Pricing'!E79</f>
        <v>2</v>
      </c>
      <c r="E69" s="256">
        <f>'3. GRI Pricing'!Y79</f>
        <v>1285</v>
      </c>
      <c r="F69" s="279">
        <v>1321.5238886237989</v>
      </c>
      <c r="G69" s="279">
        <v>0</v>
      </c>
      <c r="H69" s="279">
        <v>0</v>
      </c>
      <c r="I69" s="254"/>
      <c r="J69" s="254"/>
      <c r="K69" s="254"/>
      <c r="L69" s="254"/>
      <c r="M69" s="254"/>
      <c r="N69" s="254"/>
      <c r="O69" s="254"/>
      <c r="P69" s="1"/>
    </row>
    <row r="70" spans="2:16" x14ac:dyDescent="0.2">
      <c r="B70" s="255" t="str">
        <f>'3. GRI Pricing'!C80</f>
        <v>416N</v>
      </c>
      <c r="C70" s="255" t="str">
        <f>'3. GRI Pricing'!D80</f>
        <v>2 Bed</v>
      </c>
      <c r="D70" s="255">
        <f>'3. GRI Pricing'!E80</f>
        <v>2</v>
      </c>
      <c r="E70" s="256">
        <f>'3. GRI Pricing'!Y80</f>
        <v>1285</v>
      </c>
      <c r="F70" s="279">
        <v>1321.5238886237989</v>
      </c>
      <c r="G70" s="279">
        <v>0</v>
      </c>
      <c r="H70" s="279">
        <v>0</v>
      </c>
      <c r="I70" s="254"/>
      <c r="J70" s="254"/>
      <c r="K70" s="254"/>
      <c r="L70" s="254"/>
      <c r="M70" s="254"/>
      <c r="N70" s="254"/>
      <c r="O70" s="254"/>
      <c r="P70" s="1"/>
    </row>
    <row r="71" spans="2:16" x14ac:dyDescent="0.2">
      <c r="B71" s="255" t="str">
        <f>'3. GRI Pricing'!C81</f>
        <v>501N</v>
      </c>
      <c r="C71" s="255" t="str">
        <f>'3. GRI Pricing'!D81</f>
        <v>1 Bed</v>
      </c>
      <c r="D71" s="255">
        <f>'3. GRI Pricing'!E81</f>
        <v>1</v>
      </c>
      <c r="E71" s="256">
        <f>'3. GRI Pricing'!Y81</f>
        <v>1020</v>
      </c>
      <c r="F71" s="279">
        <v>1025.0603546739733</v>
      </c>
      <c r="G71" s="279">
        <v>0</v>
      </c>
      <c r="H71" s="279">
        <v>0</v>
      </c>
      <c r="I71" s="254"/>
      <c r="J71" s="254"/>
      <c r="K71" s="254"/>
      <c r="L71" s="254"/>
      <c r="M71" s="254"/>
      <c r="N71" s="254"/>
      <c r="O71" s="254"/>
      <c r="P71" s="1"/>
    </row>
    <row r="72" spans="2:16" x14ac:dyDescent="0.2">
      <c r="B72" s="255" t="str">
        <f>'3. GRI Pricing'!C82</f>
        <v>502N</v>
      </c>
      <c r="C72" s="255" t="str">
        <f>'3. GRI Pricing'!D82</f>
        <v>2 Bed</v>
      </c>
      <c r="D72" s="255">
        <f>'3. GRI Pricing'!E82</f>
        <v>2</v>
      </c>
      <c r="E72" s="256">
        <f>'3. GRI Pricing'!Y82</f>
        <v>1315</v>
      </c>
      <c r="F72" s="279">
        <v>1351.6727225847981</v>
      </c>
      <c r="G72" s="279">
        <v>0</v>
      </c>
      <c r="H72" s="279">
        <v>0</v>
      </c>
      <c r="I72" s="254"/>
      <c r="J72" s="254"/>
      <c r="K72" s="254"/>
      <c r="L72" s="254"/>
      <c r="M72" s="254"/>
      <c r="N72" s="254"/>
      <c r="O72" s="254"/>
      <c r="P72" s="1"/>
    </row>
    <row r="73" spans="2:16" x14ac:dyDescent="0.2">
      <c r="B73" s="255" t="str">
        <f>'3. GRI Pricing'!C83</f>
        <v>503N</v>
      </c>
      <c r="C73" s="255" t="str">
        <f>'3. GRI Pricing'!D83</f>
        <v>2 Bed</v>
      </c>
      <c r="D73" s="255">
        <f>'3. GRI Pricing'!E83</f>
        <v>2</v>
      </c>
      <c r="E73" s="256">
        <f>'3. GRI Pricing'!Y83</f>
        <v>1295</v>
      </c>
      <c r="F73" s="279">
        <v>1331.573499944132</v>
      </c>
      <c r="G73" s="279">
        <v>0</v>
      </c>
      <c r="H73" s="279">
        <v>0</v>
      </c>
      <c r="I73" s="254"/>
      <c r="J73" s="254"/>
      <c r="K73" s="254"/>
      <c r="L73" s="254"/>
      <c r="M73" s="254"/>
      <c r="N73" s="254"/>
      <c r="O73" s="254"/>
      <c r="P73" s="1"/>
    </row>
    <row r="74" spans="2:16" x14ac:dyDescent="0.2">
      <c r="B74" s="255" t="str">
        <f>'3. GRI Pricing'!C84</f>
        <v>504N</v>
      </c>
      <c r="C74" s="255" t="str">
        <f>'3. GRI Pricing'!D84</f>
        <v>3 Bed</v>
      </c>
      <c r="D74" s="255">
        <f>'3. GRI Pricing'!E84</f>
        <v>2</v>
      </c>
      <c r="E74" s="256">
        <f>'3. GRI Pricing'!Y84</f>
        <v>1685</v>
      </c>
      <c r="F74" s="279">
        <v>1693.3595074761226</v>
      </c>
      <c r="G74" s="279">
        <v>0</v>
      </c>
      <c r="H74" s="279">
        <v>0</v>
      </c>
      <c r="I74" s="254"/>
      <c r="J74" s="254"/>
      <c r="K74" s="254"/>
      <c r="L74" s="254"/>
      <c r="M74" s="254"/>
      <c r="N74" s="254"/>
      <c r="O74" s="254"/>
      <c r="P74" s="1"/>
    </row>
    <row r="75" spans="2:16" x14ac:dyDescent="0.2">
      <c r="B75" s="255" t="str">
        <f>'3. GRI Pricing'!C85</f>
        <v>505N</v>
      </c>
      <c r="C75" s="255" t="str">
        <f>'3. GRI Pricing'!D85</f>
        <v>2 Bed</v>
      </c>
      <c r="D75" s="255">
        <f>'3. GRI Pricing'!E85</f>
        <v>2</v>
      </c>
      <c r="E75" s="256">
        <f>'3. GRI Pricing'!Y85</f>
        <v>1290</v>
      </c>
      <c r="F75" s="279">
        <v>1326.5486942839655</v>
      </c>
      <c r="G75" s="279">
        <v>0</v>
      </c>
      <c r="H75" s="279">
        <v>0</v>
      </c>
      <c r="I75" s="254"/>
      <c r="J75" s="254"/>
      <c r="K75" s="254"/>
      <c r="L75" s="254"/>
      <c r="M75" s="254"/>
      <c r="N75" s="254"/>
      <c r="O75" s="254"/>
      <c r="P75" s="1"/>
    </row>
    <row r="76" spans="2:16" x14ac:dyDescent="0.2">
      <c r="B76" s="255" t="str">
        <f>'3. GRI Pricing'!C86</f>
        <v>506N</v>
      </c>
      <c r="C76" s="255" t="str">
        <f>'3. GRI Pricing'!D86</f>
        <v>1 Bed</v>
      </c>
      <c r="D76" s="255">
        <f>'3. GRI Pricing'!E86</f>
        <v>1</v>
      </c>
      <c r="E76" s="256">
        <f>'3. GRI Pricing'!Y86</f>
        <v>990</v>
      </c>
      <c r="F76" s="279">
        <v>994.91152071297415</v>
      </c>
      <c r="G76" s="279">
        <v>0</v>
      </c>
      <c r="H76" s="279">
        <v>0</v>
      </c>
      <c r="I76" s="254"/>
      <c r="J76" s="254"/>
      <c r="K76" s="254"/>
      <c r="L76" s="254"/>
      <c r="M76" s="254"/>
      <c r="N76" s="254"/>
      <c r="O76" s="254"/>
      <c r="P76" s="1"/>
    </row>
    <row r="77" spans="2:16" x14ac:dyDescent="0.2">
      <c r="B77" s="255" t="str">
        <f>'3. GRI Pricing'!C87</f>
        <v>507N</v>
      </c>
      <c r="C77" s="255" t="str">
        <f>'3. GRI Pricing'!D87</f>
        <v>2 Bed</v>
      </c>
      <c r="D77" s="255">
        <f>'3. GRI Pricing'!E87</f>
        <v>2</v>
      </c>
      <c r="E77" s="256">
        <f>'3. GRI Pricing'!Y87</f>
        <v>1265</v>
      </c>
      <c r="F77" s="279">
        <v>1301.4246659831329</v>
      </c>
      <c r="G77" s="279">
        <v>0</v>
      </c>
      <c r="H77" s="279">
        <v>0</v>
      </c>
      <c r="I77" s="254"/>
      <c r="J77" s="254"/>
      <c r="K77" s="254"/>
      <c r="L77" s="254"/>
      <c r="M77" s="254"/>
      <c r="N77" s="254"/>
      <c r="O77" s="254"/>
      <c r="P77" s="1"/>
    </row>
    <row r="78" spans="2:16" x14ac:dyDescent="0.2">
      <c r="B78" s="255" t="str">
        <f>'3. GRI Pricing'!C88</f>
        <v>508N</v>
      </c>
      <c r="C78" s="255" t="str">
        <f>'3. GRI Pricing'!D88</f>
        <v>2 Bed</v>
      </c>
      <c r="D78" s="255">
        <f>'3. GRI Pricing'!E88</f>
        <v>2</v>
      </c>
      <c r="E78" s="256">
        <f>'3. GRI Pricing'!Y88</f>
        <v>1265</v>
      </c>
      <c r="F78" s="279">
        <v>1301.4246659831329</v>
      </c>
      <c r="G78" s="279">
        <v>0</v>
      </c>
      <c r="H78" s="279">
        <v>0</v>
      </c>
      <c r="I78" s="254"/>
      <c r="J78" s="254"/>
      <c r="K78" s="254"/>
      <c r="L78" s="254"/>
      <c r="M78" s="254"/>
      <c r="N78" s="254"/>
      <c r="O78" s="254"/>
      <c r="P78" s="1"/>
    </row>
    <row r="79" spans="2:16" x14ac:dyDescent="0.2">
      <c r="B79" s="255" t="str">
        <f>'3. GRI Pricing'!C89</f>
        <v>509N</v>
      </c>
      <c r="C79" s="255" t="str">
        <f>'3. GRI Pricing'!D89</f>
        <v>2 Bed</v>
      </c>
      <c r="D79" s="255">
        <f>'3. GRI Pricing'!E89</f>
        <v>2</v>
      </c>
      <c r="E79" s="256">
        <f>'3. GRI Pricing'!Y89</f>
        <v>1315</v>
      </c>
      <c r="F79" s="279">
        <v>1351.6727225847981</v>
      </c>
      <c r="G79" s="279">
        <v>0</v>
      </c>
      <c r="H79" s="279">
        <v>0</v>
      </c>
      <c r="I79" s="254"/>
      <c r="J79" s="254"/>
      <c r="K79" s="254"/>
      <c r="L79" s="254"/>
      <c r="M79" s="254"/>
      <c r="N79" s="254"/>
      <c r="O79" s="254"/>
      <c r="P79" s="1"/>
    </row>
    <row r="80" spans="2:16" x14ac:dyDescent="0.2">
      <c r="B80" s="255" t="str">
        <f>'3. GRI Pricing'!C90</f>
        <v>510N</v>
      </c>
      <c r="C80" s="255" t="str">
        <f>'3. GRI Pricing'!D90</f>
        <v>2 Bed</v>
      </c>
      <c r="D80" s="255">
        <f>'3. GRI Pricing'!E90</f>
        <v>2</v>
      </c>
      <c r="E80" s="256">
        <f>'3. GRI Pricing'!Y90</f>
        <v>1360</v>
      </c>
      <c r="F80" s="279">
        <v>1396.895973526297</v>
      </c>
      <c r="G80" s="279">
        <v>0</v>
      </c>
      <c r="H80" s="279">
        <v>0</v>
      </c>
      <c r="I80" s="254"/>
      <c r="J80" s="254"/>
      <c r="K80" s="254"/>
      <c r="L80" s="254"/>
      <c r="M80" s="254"/>
      <c r="N80" s="254"/>
      <c r="O80" s="254"/>
      <c r="P80" s="1"/>
    </row>
    <row r="81" spans="2:16" x14ac:dyDescent="0.2">
      <c r="B81" s="255" t="str">
        <f>'3. GRI Pricing'!C91</f>
        <v>511N</v>
      </c>
      <c r="C81" s="255" t="str">
        <f>'3. GRI Pricing'!D91</f>
        <v>2 Bed</v>
      </c>
      <c r="D81" s="255">
        <f>'3. GRI Pricing'!E91</f>
        <v>2</v>
      </c>
      <c r="E81" s="256">
        <f>'3. GRI Pricing'!Y91</f>
        <v>1370</v>
      </c>
      <c r="F81" s="279">
        <v>1406.94558484663</v>
      </c>
      <c r="G81" s="279">
        <v>0</v>
      </c>
      <c r="H81" s="279">
        <v>0</v>
      </c>
      <c r="I81" s="254"/>
      <c r="J81" s="254"/>
      <c r="K81" s="254"/>
      <c r="L81" s="254"/>
      <c r="M81" s="254"/>
      <c r="N81" s="254"/>
      <c r="O81" s="254"/>
      <c r="P81" s="1"/>
    </row>
    <row r="82" spans="2:16" x14ac:dyDescent="0.2">
      <c r="B82" s="255" t="str">
        <f>'3. GRI Pricing'!C92</f>
        <v>512N</v>
      </c>
      <c r="C82" s="255" t="str">
        <f>'3. GRI Pricing'!D92</f>
        <v>1 Bed</v>
      </c>
      <c r="D82" s="255">
        <f>'3. GRI Pricing'!E92</f>
        <v>1</v>
      </c>
      <c r="E82" s="256">
        <f>'3. GRI Pricing'!Y92</f>
        <v>1060</v>
      </c>
      <c r="F82" s="279">
        <v>1065.2587999553057</v>
      </c>
      <c r="G82" s="279">
        <v>0</v>
      </c>
      <c r="H82" s="279">
        <v>0</v>
      </c>
      <c r="I82" s="254"/>
      <c r="J82" s="254"/>
      <c r="K82" s="254"/>
      <c r="L82" s="254"/>
      <c r="M82" s="254"/>
      <c r="N82" s="254"/>
      <c r="O82" s="254"/>
      <c r="P82" s="1"/>
    </row>
    <row r="83" spans="2:16" x14ac:dyDescent="0.2">
      <c r="B83" s="255" t="str">
        <f>'3. GRI Pricing'!C93</f>
        <v>513N</v>
      </c>
      <c r="C83" s="255" t="str">
        <f>'3. GRI Pricing'!D93</f>
        <v>1 Bed</v>
      </c>
      <c r="D83" s="255">
        <f>'3. GRI Pricing'!E93</f>
        <v>1</v>
      </c>
      <c r="E83" s="256">
        <f>'3. GRI Pricing'!Y93</f>
        <v>1035</v>
      </c>
      <c r="F83" s="279">
        <v>1040.1347716544728</v>
      </c>
      <c r="G83" s="279">
        <v>0</v>
      </c>
      <c r="H83" s="279">
        <v>0</v>
      </c>
      <c r="I83" s="254"/>
      <c r="J83" s="254"/>
      <c r="K83" s="254"/>
      <c r="L83" s="254"/>
      <c r="M83" s="254"/>
      <c r="N83" s="254"/>
      <c r="O83" s="254"/>
      <c r="P83" s="1"/>
    </row>
    <row r="84" spans="2:16" x14ac:dyDescent="0.2">
      <c r="B84" s="255" t="str">
        <f>'3. GRI Pricing'!C94</f>
        <v>514N</v>
      </c>
      <c r="C84" s="255" t="str">
        <f>'3. GRI Pricing'!D94</f>
        <v>1 Bed</v>
      </c>
      <c r="D84" s="255">
        <f>'3. GRI Pricing'!E94</f>
        <v>1</v>
      </c>
      <c r="E84" s="256">
        <f>'3. GRI Pricing'!Y94</f>
        <v>1020</v>
      </c>
      <c r="F84" s="279">
        <v>1025.0603546739733</v>
      </c>
      <c r="G84" s="279">
        <v>0</v>
      </c>
      <c r="H84" s="279">
        <v>0</v>
      </c>
      <c r="I84" s="254"/>
      <c r="J84" s="254"/>
      <c r="K84" s="254"/>
      <c r="L84" s="254"/>
      <c r="M84" s="254"/>
      <c r="N84" s="254"/>
      <c r="O84" s="254"/>
      <c r="P84" s="1"/>
    </row>
    <row r="85" spans="2:16" x14ac:dyDescent="0.2">
      <c r="B85" s="255" t="str">
        <f>'3. GRI Pricing'!C95</f>
        <v>515N</v>
      </c>
      <c r="C85" s="255" t="str">
        <f>'3. GRI Pricing'!D95</f>
        <v>2 Bed</v>
      </c>
      <c r="D85" s="255">
        <f>'3. GRI Pricing'!E95</f>
        <v>2</v>
      </c>
      <c r="E85" s="256">
        <f>'3. GRI Pricing'!Y95</f>
        <v>1285</v>
      </c>
      <c r="F85" s="279">
        <v>1321.5238886237989</v>
      </c>
      <c r="G85" s="279">
        <v>0</v>
      </c>
      <c r="H85" s="279">
        <v>0</v>
      </c>
      <c r="I85" s="254"/>
      <c r="J85" s="254"/>
      <c r="K85" s="254"/>
      <c r="L85" s="254"/>
      <c r="M85" s="254"/>
      <c r="N85" s="254"/>
      <c r="O85" s="254"/>
      <c r="P85" s="1"/>
    </row>
    <row r="86" spans="2:16" x14ac:dyDescent="0.2">
      <c r="B86" s="255" t="str">
        <f>'3. GRI Pricing'!C96</f>
        <v>516N</v>
      </c>
      <c r="C86" s="255" t="str">
        <f>'3. GRI Pricing'!D96</f>
        <v>2 Bed</v>
      </c>
      <c r="D86" s="255">
        <f>'3. GRI Pricing'!E96</f>
        <v>2</v>
      </c>
      <c r="E86" s="256">
        <f>'3. GRI Pricing'!Y96</f>
        <v>1285</v>
      </c>
      <c r="F86" s="279">
        <v>1321.5238886237989</v>
      </c>
      <c r="G86" s="279">
        <v>0</v>
      </c>
      <c r="H86" s="279">
        <v>0</v>
      </c>
      <c r="I86" s="254"/>
      <c r="J86" s="254"/>
      <c r="K86" s="254"/>
      <c r="L86" s="254"/>
      <c r="M86" s="254"/>
      <c r="N86" s="254"/>
      <c r="O86" s="254"/>
      <c r="P86" s="1"/>
    </row>
    <row r="87" spans="2:16" x14ac:dyDescent="0.2">
      <c r="B87" s="255" t="str">
        <f>'3. GRI Pricing'!C97</f>
        <v>601N</v>
      </c>
      <c r="C87" s="255" t="str">
        <f>'3. GRI Pricing'!D97</f>
        <v>1 Bed</v>
      </c>
      <c r="D87" s="255">
        <f>'3. GRI Pricing'!E97</f>
        <v>1</v>
      </c>
      <c r="E87" s="256">
        <f>'3. GRI Pricing'!Y97</f>
        <v>985</v>
      </c>
      <c r="F87" s="279">
        <v>989.88671505280752</v>
      </c>
      <c r="G87" s="279">
        <v>0</v>
      </c>
      <c r="H87" s="279">
        <v>0</v>
      </c>
      <c r="I87" s="254"/>
      <c r="J87" s="254"/>
      <c r="K87" s="254"/>
      <c r="L87" s="254"/>
      <c r="M87" s="254"/>
      <c r="N87" s="254"/>
      <c r="O87" s="254"/>
      <c r="P87" s="1"/>
    </row>
    <row r="88" spans="2:16" x14ac:dyDescent="0.2">
      <c r="B88" s="255" t="str">
        <f>'3. GRI Pricing'!C98</f>
        <v>602N</v>
      </c>
      <c r="C88" s="255" t="str">
        <f>'3. GRI Pricing'!D98</f>
        <v>2 Bed</v>
      </c>
      <c r="D88" s="255">
        <f>'3. GRI Pricing'!E98</f>
        <v>2</v>
      </c>
      <c r="E88" s="256">
        <f>'3. GRI Pricing'!Y98</f>
        <v>1275</v>
      </c>
      <c r="F88" s="279">
        <v>1311.4742773034659</v>
      </c>
      <c r="G88" s="279">
        <v>0</v>
      </c>
      <c r="H88" s="279">
        <v>0</v>
      </c>
      <c r="I88" s="254"/>
      <c r="J88" s="254"/>
      <c r="K88" s="254"/>
      <c r="L88" s="254"/>
      <c r="M88" s="254"/>
      <c r="N88" s="254"/>
      <c r="O88" s="254"/>
      <c r="P88" s="1"/>
    </row>
    <row r="89" spans="2:16" x14ac:dyDescent="0.2">
      <c r="B89" s="255" t="str">
        <f>'3. GRI Pricing'!C99</f>
        <v>603N</v>
      </c>
      <c r="C89" s="255" t="str">
        <f>'3. GRI Pricing'!D99</f>
        <v>2 Bed</v>
      </c>
      <c r="D89" s="255">
        <f>'3. GRI Pricing'!E99</f>
        <v>2</v>
      </c>
      <c r="E89" s="256">
        <f>'3. GRI Pricing'!Y99</f>
        <v>1255</v>
      </c>
      <c r="F89" s="279">
        <v>1291.3750546627998</v>
      </c>
      <c r="G89" s="279">
        <v>0</v>
      </c>
      <c r="H89" s="279">
        <v>0</v>
      </c>
      <c r="I89" s="254"/>
      <c r="J89" s="254"/>
      <c r="K89" s="254"/>
      <c r="L89" s="254"/>
      <c r="M89" s="254"/>
      <c r="N89" s="254"/>
      <c r="O89" s="254"/>
      <c r="P89" s="1"/>
    </row>
    <row r="90" spans="2:16" x14ac:dyDescent="0.2">
      <c r="B90" s="255" t="str">
        <f>'3. GRI Pricing'!C100</f>
        <v>604N</v>
      </c>
      <c r="C90" s="255" t="str">
        <f>'3. GRI Pricing'!D100</f>
        <v>3 Bed</v>
      </c>
      <c r="D90" s="255">
        <f>'3. GRI Pricing'!E100</f>
        <v>2</v>
      </c>
      <c r="E90" s="256">
        <f>'3. GRI Pricing'!Y100</f>
        <v>1645</v>
      </c>
      <c r="F90" s="279">
        <v>1653.1610621947902</v>
      </c>
      <c r="G90" s="279">
        <v>0</v>
      </c>
      <c r="H90" s="279">
        <v>0</v>
      </c>
      <c r="I90" s="254"/>
      <c r="J90" s="254"/>
      <c r="K90" s="254"/>
      <c r="L90" s="254"/>
      <c r="M90" s="254"/>
      <c r="N90" s="254"/>
      <c r="O90" s="254"/>
      <c r="P90" s="1"/>
    </row>
    <row r="91" spans="2:16" x14ac:dyDescent="0.2">
      <c r="B91" s="255" t="str">
        <f>'3. GRI Pricing'!C101</f>
        <v>605N</v>
      </c>
      <c r="C91" s="255" t="str">
        <f>'3. GRI Pricing'!D101</f>
        <v>2 Bed</v>
      </c>
      <c r="D91" s="255">
        <f>'3. GRI Pricing'!E101</f>
        <v>2</v>
      </c>
      <c r="E91" s="256">
        <f>'3. GRI Pricing'!Y101</f>
        <v>1250</v>
      </c>
      <c r="F91" s="279">
        <v>1286.3502490026331</v>
      </c>
      <c r="G91" s="279">
        <v>0</v>
      </c>
      <c r="H91" s="279">
        <v>0</v>
      </c>
      <c r="I91" s="254"/>
      <c r="J91" s="254"/>
      <c r="K91" s="254"/>
      <c r="L91" s="254"/>
      <c r="M91" s="254"/>
      <c r="N91" s="254"/>
      <c r="O91" s="254"/>
      <c r="P91" s="1"/>
    </row>
    <row r="92" spans="2:16" x14ac:dyDescent="0.2">
      <c r="B92" s="255" t="str">
        <f>'3. GRI Pricing'!C102</f>
        <v>606N</v>
      </c>
      <c r="C92" s="255" t="str">
        <f>'3. GRI Pricing'!D102</f>
        <v>1 Bed</v>
      </c>
      <c r="D92" s="255">
        <f>'3. GRI Pricing'!E102</f>
        <v>1</v>
      </c>
      <c r="E92" s="256">
        <f>'3. GRI Pricing'!Y102</f>
        <v>950</v>
      </c>
      <c r="F92" s="279">
        <v>954.71307543164176</v>
      </c>
      <c r="G92" s="279">
        <v>0</v>
      </c>
      <c r="H92" s="279">
        <v>0</v>
      </c>
      <c r="I92" s="254"/>
      <c r="J92" s="254"/>
      <c r="K92" s="254"/>
      <c r="L92" s="254"/>
      <c r="M92" s="254"/>
      <c r="N92" s="254"/>
      <c r="O92" s="254"/>
      <c r="P92" s="1"/>
    </row>
    <row r="93" spans="2:16" x14ac:dyDescent="0.2">
      <c r="B93" s="255" t="str">
        <f>'3. GRI Pricing'!C103</f>
        <v>607N</v>
      </c>
      <c r="C93" s="255" t="str">
        <f>'3. GRI Pricing'!D103</f>
        <v>2 Bed</v>
      </c>
      <c r="D93" s="255">
        <f>'3. GRI Pricing'!E103</f>
        <v>2</v>
      </c>
      <c r="E93" s="256">
        <f>'3. GRI Pricing'!Y103</f>
        <v>1225</v>
      </c>
      <c r="F93" s="279">
        <v>1261.2262207018005</v>
      </c>
      <c r="G93" s="279">
        <v>0</v>
      </c>
      <c r="H93" s="279">
        <v>0</v>
      </c>
      <c r="I93" s="254"/>
      <c r="J93" s="254"/>
      <c r="K93" s="254"/>
      <c r="L93" s="254"/>
      <c r="M93" s="254"/>
      <c r="N93" s="254"/>
      <c r="O93" s="254"/>
      <c r="P93" s="1"/>
    </row>
    <row r="94" spans="2:16" x14ac:dyDescent="0.2">
      <c r="B94" s="255" t="str">
        <f>'3. GRI Pricing'!C104</f>
        <v>608N</v>
      </c>
      <c r="C94" s="255" t="str">
        <f>'3. GRI Pricing'!D104</f>
        <v>2 Bed</v>
      </c>
      <c r="D94" s="255">
        <f>'3. GRI Pricing'!E104</f>
        <v>2</v>
      </c>
      <c r="E94" s="256">
        <f>'3. GRI Pricing'!Y104</f>
        <v>1225</v>
      </c>
      <c r="F94" s="279">
        <v>1261.2262207018005</v>
      </c>
      <c r="G94" s="279">
        <v>0</v>
      </c>
      <c r="H94" s="279">
        <v>0</v>
      </c>
      <c r="I94" s="254"/>
      <c r="J94" s="254"/>
      <c r="K94" s="254"/>
      <c r="L94" s="254"/>
      <c r="M94" s="254"/>
      <c r="N94" s="254"/>
      <c r="O94" s="254"/>
      <c r="P94" s="1"/>
    </row>
    <row r="95" spans="2:16" x14ac:dyDescent="0.2">
      <c r="B95" s="255" t="str">
        <f>'3. GRI Pricing'!C105</f>
        <v>609N</v>
      </c>
      <c r="C95" s="255" t="str">
        <f>'3. GRI Pricing'!D105</f>
        <v>2 Bed</v>
      </c>
      <c r="D95" s="255">
        <f>'3. GRI Pricing'!E105</f>
        <v>2</v>
      </c>
      <c r="E95" s="256">
        <f>'3. GRI Pricing'!Y105</f>
        <v>1275</v>
      </c>
      <c r="F95" s="279">
        <v>1311.4742773034659</v>
      </c>
      <c r="G95" s="279">
        <v>0</v>
      </c>
      <c r="H95" s="279">
        <v>0</v>
      </c>
      <c r="I95" s="254"/>
      <c r="J95" s="254"/>
      <c r="K95" s="254"/>
      <c r="L95" s="254"/>
      <c r="M95" s="254"/>
      <c r="N95" s="254"/>
      <c r="O95" s="254"/>
      <c r="P95" s="1"/>
    </row>
    <row r="96" spans="2:16" x14ac:dyDescent="0.2">
      <c r="B96" s="255" t="str">
        <f>'3. GRI Pricing'!C106</f>
        <v>610N</v>
      </c>
      <c r="C96" s="255" t="str">
        <f>'3. GRI Pricing'!D106</f>
        <v>2 Bed</v>
      </c>
      <c r="D96" s="255">
        <f>'3. GRI Pricing'!E106</f>
        <v>2</v>
      </c>
      <c r="E96" s="256">
        <f>'3. GRI Pricing'!Y106</f>
        <v>1320</v>
      </c>
      <c r="F96" s="279">
        <v>1356.6975282449646</v>
      </c>
      <c r="G96" s="279">
        <v>0</v>
      </c>
      <c r="H96" s="279">
        <v>0</v>
      </c>
      <c r="I96" s="254"/>
      <c r="J96" s="254"/>
      <c r="K96" s="254"/>
      <c r="L96" s="254"/>
      <c r="M96" s="254"/>
      <c r="N96" s="254"/>
      <c r="O96" s="254"/>
      <c r="P96" s="1"/>
    </row>
    <row r="97" spans="2:16" x14ac:dyDescent="0.2">
      <c r="B97" s="255" t="str">
        <f>'3. GRI Pricing'!C107</f>
        <v>611N</v>
      </c>
      <c r="C97" s="255" t="str">
        <f>'3. GRI Pricing'!D107</f>
        <v>2 Bed</v>
      </c>
      <c r="D97" s="255">
        <f>'3. GRI Pricing'!E107</f>
        <v>2</v>
      </c>
      <c r="E97" s="256">
        <f>'3. GRI Pricing'!Y107</f>
        <v>1330</v>
      </c>
      <c r="F97" s="279">
        <v>1366.7471395652979</v>
      </c>
      <c r="G97" s="279">
        <v>0</v>
      </c>
      <c r="H97" s="279">
        <v>0</v>
      </c>
      <c r="I97" s="254"/>
      <c r="J97" s="254"/>
      <c r="K97" s="254"/>
      <c r="L97" s="254"/>
      <c r="M97" s="254"/>
      <c r="N97" s="254"/>
      <c r="O97" s="254"/>
      <c r="P97" s="1"/>
    </row>
    <row r="98" spans="2:16" x14ac:dyDescent="0.2">
      <c r="B98" s="255" t="str">
        <f>'3. GRI Pricing'!C108</f>
        <v>612N</v>
      </c>
      <c r="C98" s="255" t="str">
        <f>'3. GRI Pricing'!D108</f>
        <v>1 Bed</v>
      </c>
      <c r="D98" s="255">
        <f>'3. GRI Pricing'!E108</f>
        <v>1</v>
      </c>
      <c r="E98" s="256">
        <f>'3. GRI Pricing'!Y108</f>
        <v>1020</v>
      </c>
      <c r="F98" s="279">
        <v>1025.0603546739733</v>
      </c>
      <c r="G98" s="279">
        <v>0</v>
      </c>
      <c r="H98" s="279">
        <v>0</v>
      </c>
      <c r="I98" s="254"/>
      <c r="J98" s="254"/>
      <c r="K98" s="254"/>
      <c r="L98" s="254"/>
      <c r="M98" s="254"/>
      <c r="N98" s="254"/>
      <c r="O98" s="254"/>
      <c r="P98" s="1"/>
    </row>
    <row r="99" spans="2:16" x14ac:dyDescent="0.2">
      <c r="B99" s="255" t="str">
        <f>'3. GRI Pricing'!C109</f>
        <v>613N</v>
      </c>
      <c r="C99" s="255" t="str">
        <f>'3. GRI Pricing'!D109</f>
        <v>1 Bed</v>
      </c>
      <c r="D99" s="255">
        <f>'3. GRI Pricing'!E109</f>
        <v>1</v>
      </c>
      <c r="E99" s="256">
        <f>'3. GRI Pricing'!Y109</f>
        <v>995</v>
      </c>
      <c r="F99" s="279">
        <v>999.93632637314067</v>
      </c>
      <c r="G99" s="279">
        <v>0</v>
      </c>
      <c r="H99" s="279">
        <v>0</v>
      </c>
      <c r="I99" s="254"/>
      <c r="J99" s="254"/>
      <c r="K99" s="254"/>
      <c r="L99" s="254"/>
      <c r="M99" s="254"/>
      <c r="N99" s="254"/>
      <c r="O99" s="254"/>
      <c r="P99" s="1"/>
    </row>
    <row r="100" spans="2:16" x14ac:dyDescent="0.2">
      <c r="B100" s="255" t="str">
        <f>'3. GRI Pricing'!C110</f>
        <v>614N</v>
      </c>
      <c r="C100" s="255" t="str">
        <f>'3. GRI Pricing'!D110</f>
        <v>1 Bed</v>
      </c>
      <c r="D100" s="255">
        <f>'3. GRI Pricing'!E110</f>
        <v>1</v>
      </c>
      <c r="E100" s="256">
        <f>'3. GRI Pricing'!Y110</f>
        <v>980</v>
      </c>
      <c r="F100" s="279">
        <v>984.861909392641</v>
      </c>
      <c r="G100" s="279">
        <v>0</v>
      </c>
      <c r="H100" s="279">
        <v>0</v>
      </c>
      <c r="I100" s="254"/>
      <c r="J100" s="254"/>
      <c r="K100" s="254"/>
      <c r="L100" s="254"/>
      <c r="M100" s="254"/>
      <c r="N100" s="254"/>
      <c r="O100" s="254"/>
      <c r="P100" s="1"/>
    </row>
    <row r="101" spans="2:16" x14ac:dyDescent="0.2">
      <c r="B101" s="255" t="str">
        <f>'3. GRI Pricing'!C111</f>
        <v>615N</v>
      </c>
      <c r="C101" s="255" t="str">
        <f>'3. GRI Pricing'!D111</f>
        <v>2 Bed</v>
      </c>
      <c r="D101" s="255">
        <f>'3. GRI Pricing'!E111</f>
        <v>2</v>
      </c>
      <c r="E101" s="256">
        <f>'3. GRI Pricing'!Y111</f>
        <v>1245</v>
      </c>
      <c r="F101" s="279">
        <v>1281.3254433424665</v>
      </c>
      <c r="G101" s="279">
        <v>0</v>
      </c>
      <c r="H101" s="279">
        <v>0</v>
      </c>
      <c r="I101" s="254"/>
      <c r="J101" s="254"/>
      <c r="K101" s="254"/>
      <c r="L101" s="254"/>
      <c r="M101" s="254"/>
      <c r="N101" s="254"/>
      <c r="O101" s="254"/>
      <c r="P101" s="1"/>
    </row>
    <row r="102" spans="2:16" x14ac:dyDescent="0.2">
      <c r="B102" s="255" t="str">
        <f>'3. GRI Pricing'!C112</f>
        <v>616N</v>
      </c>
      <c r="C102" s="255" t="str">
        <f>'3. GRI Pricing'!D112</f>
        <v>2 Bed</v>
      </c>
      <c r="D102" s="255">
        <f>'3. GRI Pricing'!E112</f>
        <v>2</v>
      </c>
      <c r="E102" s="256">
        <f>'3. GRI Pricing'!Y112</f>
        <v>1245</v>
      </c>
      <c r="F102" s="279">
        <v>1281.3254433424665</v>
      </c>
      <c r="G102" s="279">
        <v>0</v>
      </c>
      <c r="H102" s="279">
        <v>0</v>
      </c>
      <c r="I102" s="254"/>
      <c r="J102" s="254"/>
      <c r="K102" s="254"/>
      <c r="L102" s="254"/>
      <c r="M102" s="254"/>
      <c r="N102" s="254"/>
      <c r="O102" s="254"/>
      <c r="P102" s="1"/>
    </row>
    <row r="103" spans="2:16" x14ac:dyDescent="0.2">
      <c r="B103" s="255" t="str">
        <f>'3. GRI Pricing'!C113</f>
        <v>701N</v>
      </c>
      <c r="C103" s="255" t="str">
        <f>'3. GRI Pricing'!D113</f>
        <v>1 Bed</v>
      </c>
      <c r="D103" s="255">
        <f>'3. GRI Pricing'!E113</f>
        <v>1</v>
      </c>
      <c r="E103" s="256">
        <f>'3. GRI Pricing'!Y113</f>
        <v>1045</v>
      </c>
      <c r="F103" s="279">
        <v>1050.1843829748059</v>
      </c>
      <c r="G103" s="279">
        <v>0</v>
      </c>
      <c r="H103" s="279">
        <v>0</v>
      </c>
      <c r="I103" s="254"/>
      <c r="J103" s="254"/>
      <c r="K103" s="254"/>
      <c r="L103" s="254"/>
      <c r="M103" s="254"/>
      <c r="N103" s="254"/>
      <c r="O103" s="254"/>
      <c r="P103" s="1"/>
    </row>
    <row r="104" spans="2:16" x14ac:dyDescent="0.2">
      <c r="B104" s="255" t="str">
        <f>'3. GRI Pricing'!C114</f>
        <v>702N</v>
      </c>
      <c r="C104" s="255" t="str">
        <f>'3. GRI Pricing'!D114</f>
        <v>2 Bed</v>
      </c>
      <c r="D104" s="255">
        <f>'3. GRI Pricing'!E114</f>
        <v>2</v>
      </c>
      <c r="E104" s="256">
        <f>'3. GRI Pricing'!Y114</f>
        <v>1335</v>
      </c>
      <c r="F104" s="279">
        <v>1371.7719452254644</v>
      </c>
      <c r="G104" s="279">
        <v>0</v>
      </c>
      <c r="H104" s="279">
        <v>0</v>
      </c>
      <c r="I104" s="254"/>
      <c r="J104" s="254"/>
      <c r="K104" s="254"/>
      <c r="L104" s="254"/>
      <c r="M104" s="254"/>
      <c r="N104" s="254"/>
      <c r="O104" s="254"/>
      <c r="P104" s="1"/>
    </row>
    <row r="105" spans="2:16" x14ac:dyDescent="0.2">
      <c r="B105" s="255" t="str">
        <f>'3. GRI Pricing'!C115</f>
        <v>703N</v>
      </c>
      <c r="C105" s="255" t="str">
        <f>'3. GRI Pricing'!D115</f>
        <v>2 Bed</v>
      </c>
      <c r="D105" s="255">
        <f>'3. GRI Pricing'!E115</f>
        <v>2</v>
      </c>
      <c r="E105" s="256">
        <f>'3. GRI Pricing'!Y115</f>
        <v>1315</v>
      </c>
      <c r="F105" s="279">
        <v>1351.6727225847981</v>
      </c>
      <c r="G105" s="279">
        <v>0</v>
      </c>
      <c r="H105" s="279">
        <v>0</v>
      </c>
      <c r="I105" s="254"/>
      <c r="J105" s="254"/>
      <c r="K105" s="254"/>
      <c r="L105" s="254"/>
      <c r="M105" s="254"/>
      <c r="N105" s="254"/>
      <c r="O105" s="254"/>
      <c r="P105" s="1"/>
    </row>
    <row r="106" spans="2:16" x14ac:dyDescent="0.2">
      <c r="B106" s="255" t="str">
        <f>'3. GRI Pricing'!C116</f>
        <v>704N</v>
      </c>
      <c r="C106" s="255" t="str">
        <f>'3. GRI Pricing'!D116</f>
        <v>3 Bed</v>
      </c>
      <c r="D106" s="255">
        <f>'3. GRI Pricing'!E116</f>
        <v>2</v>
      </c>
      <c r="E106" s="256">
        <f>'3. GRI Pricing'!Y116</f>
        <v>1705</v>
      </c>
      <c r="F106" s="279">
        <v>1713.4587301167887</v>
      </c>
      <c r="G106" s="279">
        <v>0</v>
      </c>
      <c r="H106" s="279">
        <v>0</v>
      </c>
      <c r="I106" s="254"/>
      <c r="J106" s="254"/>
      <c r="K106" s="254"/>
      <c r="L106" s="254"/>
      <c r="M106" s="254"/>
      <c r="N106" s="254"/>
      <c r="O106" s="254"/>
      <c r="P106" s="1"/>
    </row>
    <row r="107" spans="2:16" x14ac:dyDescent="0.2">
      <c r="B107" s="255" t="str">
        <f>'3. GRI Pricing'!C117</f>
        <v>705N</v>
      </c>
      <c r="C107" s="255" t="str">
        <f>'3. GRI Pricing'!D117</f>
        <v>2 Bed</v>
      </c>
      <c r="D107" s="255">
        <f>'3. GRI Pricing'!E117</f>
        <v>2</v>
      </c>
      <c r="E107" s="256">
        <f>'3. GRI Pricing'!Y117</f>
        <v>1295</v>
      </c>
      <c r="F107" s="279">
        <v>1331.573499944132</v>
      </c>
      <c r="G107" s="279">
        <v>0</v>
      </c>
      <c r="H107" s="279">
        <v>0</v>
      </c>
      <c r="I107" s="254"/>
      <c r="J107" s="254"/>
      <c r="K107" s="254"/>
      <c r="L107" s="254"/>
      <c r="M107" s="254"/>
      <c r="N107" s="254"/>
      <c r="O107" s="254"/>
      <c r="P107" s="1"/>
    </row>
    <row r="108" spans="2:16" x14ac:dyDescent="0.2">
      <c r="B108" s="255" t="str">
        <f>'3. GRI Pricing'!C118</f>
        <v>706N</v>
      </c>
      <c r="C108" s="255" t="str">
        <f>'3. GRI Pricing'!D118</f>
        <v>2 Bed</v>
      </c>
      <c r="D108" s="255">
        <f>'3. GRI Pricing'!E118</f>
        <v>2</v>
      </c>
      <c r="E108" s="256">
        <f>'3. GRI Pricing'!Y118</f>
        <v>1285</v>
      </c>
      <c r="F108" s="279">
        <v>1321.5238886237989</v>
      </c>
      <c r="G108" s="279">
        <v>0</v>
      </c>
      <c r="H108" s="279">
        <v>0</v>
      </c>
      <c r="I108" s="254"/>
      <c r="J108" s="254"/>
      <c r="K108" s="254"/>
      <c r="L108" s="254"/>
      <c r="M108" s="254"/>
      <c r="N108" s="254"/>
      <c r="O108" s="254"/>
      <c r="P108" s="1"/>
    </row>
    <row r="109" spans="2:16" x14ac:dyDescent="0.2">
      <c r="B109" s="255" t="str">
        <f>'3. GRI Pricing'!C119</f>
        <v>707N</v>
      </c>
      <c r="C109" s="255" t="str">
        <f>'3. GRI Pricing'!D119</f>
        <v>2 Bed</v>
      </c>
      <c r="D109" s="255">
        <f>'3. GRI Pricing'!E119</f>
        <v>2</v>
      </c>
      <c r="E109" s="256">
        <f>'3. GRI Pricing'!Y119</f>
        <v>1285</v>
      </c>
      <c r="F109" s="279">
        <v>1321.5238886237989</v>
      </c>
      <c r="G109" s="279">
        <v>0</v>
      </c>
      <c r="H109" s="279">
        <v>0</v>
      </c>
      <c r="I109" s="254"/>
      <c r="J109" s="254"/>
      <c r="K109" s="254"/>
      <c r="L109" s="254"/>
      <c r="M109" s="254"/>
      <c r="N109" s="254"/>
      <c r="O109" s="254"/>
      <c r="P109" s="1"/>
    </row>
    <row r="110" spans="2:16" x14ac:dyDescent="0.2">
      <c r="B110" s="255" t="str">
        <f>'3. GRI Pricing'!C120</f>
        <v>708N</v>
      </c>
      <c r="C110" s="255" t="str">
        <f>'3. GRI Pricing'!D120</f>
        <v>2 Bed</v>
      </c>
      <c r="D110" s="255">
        <f>'3. GRI Pricing'!E120</f>
        <v>2</v>
      </c>
      <c r="E110" s="256">
        <f>'3. GRI Pricing'!Y120</f>
        <v>1335</v>
      </c>
      <c r="F110" s="279">
        <v>1371.7719452254644</v>
      </c>
      <c r="G110" s="279">
        <v>0</v>
      </c>
      <c r="H110" s="279">
        <v>0</v>
      </c>
      <c r="I110" s="254"/>
      <c r="J110" s="254"/>
      <c r="K110" s="254"/>
      <c r="L110" s="254"/>
      <c r="M110" s="254"/>
      <c r="N110" s="254"/>
      <c r="O110" s="254"/>
      <c r="P110" s="1"/>
    </row>
    <row r="111" spans="2:16" x14ac:dyDescent="0.2">
      <c r="B111" s="255" t="str">
        <f>'3. GRI Pricing'!C121</f>
        <v>709N</v>
      </c>
      <c r="C111" s="255" t="str">
        <f>'3. GRI Pricing'!D121</f>
        <v>2 Bed</v>
      </c>
      <c r="D111" s="255">
        <f>'3. GRI Pricing'!E121</f>
        <v>2</v>
      </c>
      <c r="E111" s="256">
        <f>'3. GRI Pricing'!Y121</f>
        <v>1380</v>
      </c>
      <c r="F111" s="279">
        <v>1416.9951961669631</v>
      </c>
      <c r="G111" s="279">
        <v>0</v>
      </c>
      <c r="H111" s="279">
        <v>0</v>
      </c>
      <c r="I111" s="254"/>
      <c r="J111" s="254"/>
      <c r="K111" s="254"/>
      <c r="L111" s="254"/>
      <c r="M111" s="254"/>
      <c r="N111" s="254"/>
      <c r="O111" s="254"/>
      <c r="P111" s="1"/>
    </row>
    <row r="112" spans="2:16" x14ac:dyDescent="0.2">
      <c r="B112" s="255" t="str">
        <f>'3. GRI Pricing'!C122</f>
        <v>710N</v>
      </c>
      <c r="C112" s="255" t="str">
        <f>'3. GRI Pricing'!D122</f>
        <v>2 Bed</v>
      </c>
      <c r="D112" s="255">
        <f>'3. GRI Pricing'!E122</f>
        <v>2</v>
      </c>
      <c r="E112" s="256">
        <f>'3. GRI Pricing'!Y122</f>
        <v>1390</v>
      </c>
      <c r="F112" s="279">
        <v>1427.0448074872961</v>
      </c>
      <c r="G112" s="279">
        <v>0</v>
      </c>
      <c r="H112" s="279">
        <v>0</v>
      </c>
      <c r="I112" s="254"/>
      <c r="J112" s="254"/>
      <c r="K112" s="254"/>
      <c r="L112" s="254"/>
      <c r="M112" s="254"/>
      <c r="N112" s="254"/>
      <c r="O112" s="254"/>
      <c r="P112" s="1"/>
    </row>
    <row r="113" spans="2:16" x14ac:dyDescent="0.2">
      <c r="B113" s="255" t="str">
        <f>'3. GRI Pricing'!C123</f>
        <v>711N</v>
      </c>
      <c r="C113" s="255" t="str">
        <f>'3. GRI Pricing'!D123</f>
        <v>1 Bed</v>
      </c>
      <c r="D113" s="255">
        <f>'3. GRI Pricing'!E123</f>
        <v>1</v>
      </c>
      <c r="E113" s="256">
        <f>'3. GRI Pricing'!Y123</f>
        <v>1045</v>
      </c>
      <c r="F113" s="279">
        <v>1050.1843829748059</v>
      </c>
      <c r="G113" s="279">
        <v>0</v>
      </c>
      <c r="H113" s="279">
        <v>0</v>
      </c>
      <c r="I113" s="254"/>
      <c r="J113" s="254"/>
      <c r="K113" s="254"/>
      <c r="L113" s="254"/>
      <c r="M113" s="254"/>
      <c r="N113" s="254"/>
      <c r="O113" s="254"/>
      <c r="P113" s="1"/>
    </row>
    <row r="114" spans="2:16" x14ac:dyDescent="0.2">
      <c r="B114" s="255" t="str">
        <f>'3. GRI Pricing'!C124</f>
        <v>712N</v>
      </c>
      <c r="C114" s="255" t="str">
        <f>'3. GRI Pricing'!D124</f>
        <v>1 Bed</v>
      </c>
      <c r="D114" s="255">
        <f>'3. GRI Pricing'!E124</f>
        <v>1</v>
      </c>
      <c r="E114" s="256">
        <f>'3. GRI Pricing'!Y124</f>
        <v>1055</v>
      </c>
      <c r="F114" s="279">
        <v>1060.2339942951392</v>
      </c>
      <c r="G114" s="279">
        <v>0</v>
      </c>
      <c r="H114" s="279">
        <v>0</v>
      </c>
      <c r="I114" s="254"/>
      <c r="J114" s="254"/>
      <c r="K114" s="254"/>
      <c r="L114" s="254"/>
      <c r="M114" s="254"/>
      <c r="N114" s="254"/>
      <c r="O114" s="254"/>
      <c r="P114" s="1"/>
    </row>
    <row r="115" spans="2:16" x14ac:dyDescent="0.2">
      <c r="B115" s="255" t="str">
        <f>'3. GRI Pricing'!C125</f>
        <v>713N</v>
      </c>
      <c r="C115" s="255" t="str">
        <f>'3. GRI Pricing'!D125</f>
        <v>1 Bed</v>
      </c>
      <c r="D115" s="255">
        <f>'3. GRI Pricing'!E125</f>
        <v>1</v>
      </c>
      <c r="E115" s="256">
        <f>'3. GRI Pricing'!Y125</f>
        <v>1040</v>
      </c>
      <c r="F115" s="279">
        <v>1045.1595773146394</v>
      </c>
      <c r="G115" s="279">
        <v>0</v>
      </c>
      <c r="H115" s="279">
        <v>0</v>
      </c>
      <c r="I115" s="254"/>
      <c r="J115" s="254"/>
      <c r="K115" s="254"/>
      <c r="L115" s="254"/>
      <c r="M115" s="254"/>
      <c r="N115" s="254"/>
      <c r="O115" s="254"/>
      <c r="P115" s="1"/>
    </row>
    <row r="116" spans="2:16" x14ac:dyDescent="0.2">
      <c r="B116" s="255" t="str">
        <f>'3. GRI Pricing'!C126</f>
        <v>714N</v>
      </c>
      <c r="C116" s="255" t="str">
        <f>'3. GRI Pricing'!D126</f>
        <v>2 Bed</v>
      </c>
      <c r="D116" s="255">
        <f>'3. GRI Pricing'!E126</f>
        <v>2</v>
      </c>
      <c r="E116" s="256">
        <f>'3. GRI Pricing'!Y126</f>
        <v>1305</v>
      </c>
      <c r="F116" s="279">
        <v>1341.623111264465</v>
      </c>
      <c r="G116" s="279">
        <v>0</v>
      </c>
      <c r="H116" s="279">
        <v>0</v>
      </c>
      <c r="I116" s="254"/>
      <c r="J116" s="254"/>
      <c r="K116" s="254"/>
      <c r="L116" s="254"/>
      <c r="M116" s="254"/>
      <c r="N116" s="254"/>
      <c r="O116" s="254"/>
      <c r="P116" s="1"/>
    </row>
    <row r="117" spans="2:16" x14ac:dyDescent="0.2">
      <c r="B117" s="255" t="str">
        <f>'3. GRI Pricing'!C127</f>
        <v>715N</v>
      </c>
      <c r="C117" s="255" t="str">
        <f>'3. GRI Pricing'!D127</f>
        <v>2 Bed</v>
      </c>
      <c r="D117" s="255">
        <f>'3. GRI Pricing'!E127</f>
        <v>2</v>
      </c>
      <c r="E117" s="256">
        <f>'3. GRI Pricing'!Y127</f>
        <v>1305</v>
      </c>
      <c r="F117" s="279">
        <v>1341.623111264465</v>
      </c>
      <c r="G117" s="279">
        <v>0</v>
      </c>
      <c r="H117" s="279">
        <v>0</v>
      </c>
      <c r="I117" s="254"/>
      <c r="J117" s="254"/>
      <c r="K117" s="254"/>
      <c r="L117" s="254"/>
      <c r="M117" s="254"/>
      <c r="N117" s="254"/>
      <c r="O117" s="254"/>
      <c r="P117" s="1"/>
    </row>
    <row r="118" spans="2:16" x14ac:dyDescent="0.2">
      <c r="B118" s="255" t="str">
        <f>'3. GRI Pricing'!C128</f>
        <v>1S</v>
      </c>
      <c r="C118" s="255" t="str">
        <f>'3. GRI Pricing'!D128</f>
        <v>2 Bed</v>
      </c>
      <c r="D118" s="255">
        <f>'3. GRI Pricing'!E128</f>
        <v>2</v>
      </c>
      <c r="E118" s="256">
        <f>'3. GRI Pricing'!Y128</f>
        <v>1250</v>
      </c>
      <c r="F118" s="279">
        <v>1286.3502490026331</v>
      </c>
      <c r="G118" s="279">
        <v>0</v>
      </c>
      <c r="H118" s="279">
        <v>0</v>
      </c>
      <c r="I118" s="254"/>
      <c r="J118" s="254"/>
      <c r="K118" s="254"/>
      <c r="L118" s="254"/>
      <c r="M118" s="254"/>
      <c r="N118" s="254"/>
      <c r="O118" s="254"/>
      <c r="P118" s="1"/>
    </row>
    <row r="119" spans="2:16" x14ac:dyDescent="0.2">
      <c r="B119" s="255" t="str">
        <f>'3. GRI Pricing'!C129</f>
        <v>2S</v>
      </c>
      <c r="C119" s="255" t="str">
        <f>'3. GRI Pricing'!D129</f>
        <v>1 Bed</v>
      </c>
      <c r="D119" s="255">
        <f>'3. GRI Pricing'!E129</f>
        <v>1</v>
      </c>
      <c r="E119" s="256">
        <f>'3. GRI Pricing'!Y129</f>
        <v>910</v>
      </c>
      <c r="F119" s="279">
        <v>914.51463015030947</v>
      </c>
      <c r="G119" s="279">
        <v>0</v>
      </c>
      <c r="H119" s="279">
        <v>0</v>
      </c>
      <c r="I119" s="254"/>
      <c r="J119" s="254"/>
      <c r="K119" s="254"/>
      <c r="L119" s="254"/>
      <c r="M119" s="254"/>
      <c r="N119" s="254"/>
      <c r="O119" s="254"/>
      <c r="P119" s="1"/>
    </row>
    <row r="120" spans="2:16" x14ac:dyDescent="0.2">
      <c r="B120" s="255" t="str">
        <f>'3. GRI Pricing'!C130</f>
        <v>3S</v>
      </c>
      <c r="C120" s="255" t="str">
        <f>'3. GRI Pricing'!D130</f>
        <v>1 Bed</v>
      </c>
      <c r="D120" s="255">
        <f>'3. GRI Pricing'!E130</f>
        <v>1</v>
      </c>
      <c r="E120" s="256">
        <f>'3. GRI Pricing'!Y130</f>
        <v>900</v>
      </c>
      <c r="F120" s="279">
        <v>904.46501882997643</v>
      </c>
      <c r="G120" s="279">
        <v>0</v>
      </c>
      <c r="H120" s="279">
        <v>0</v>
      </c>
      <c r="I120" s="254"/>
      <c r="J120" s="254"/>
      <c r="K120" s="254"/>
      <c r="L120" s="254"/>
      <c r="M120" s="254"/>
      <c r="N120" s="254"/>
      <c r="O120" s="254"/>
      <c r="P120" s="1"/>
    </row>
    <row r="121" spans="2:16" x14ac:dyDescent="0.2">
      <c r="B121" s="255" t="str">
        <f>'3. GRI Pricing'!C131</f>
        <v>101S</v>
      </c>
      <c r="C121" s="255" t="str">
        <f>'3. GRI Pricing'!D131</f>
        <v>2 Bed</v>
      </c>
      <c r="D121" s="255">
        <f>'3. GRI Pricing'!E131</f>
        <v>2</v>
      </c>
      <c r="E121" s="256">
        <f>'3. GRI Pricing'!Y131</f>
        <v>1210</v>
      </c>
      <c r="F121" s="279">
        <v>1246.1518037213009</v>
      </c>
      <c r="G121" s="279">
        <v>0</v>
      </c>
      <c r="H121" s="279">
        <v>0</v>
      </c>
      <c r="I121" s="254"/>
      <c r="J121" s="254"/>
      <c r="K121" s="254"/>
      <c r="L121" s="254"/>
      <c r="M121" s="254"/>
      <c r="N121" s="254"/>
      <c r="O121" s="254"/>
      <c r="P121" s="1"/>
    </row>
    <row r="122" spans="2:16" x14ac:dyDescent="0.2">
      <c r="B122" s="255" t="str">
        <f>'3. GRI Pricing'!C132</f>
        <v>102S</v>
      </c>
      <c r="C122" s="255" t="str">
        <f>'3. GRI Pricing'!D132</f>
        <v>2 Bed</v>
      </c>
      <c r="D122" s="255">
        <f>'3. GRI Pricing'!E132</f>
        <v>2</v>
      </c>
      <c r="E122" s="256">
        <f>'3. GRI Pricing'!Y132</f>
        <v>1205</v>
      </c>
      <c r="F122" s="279">
        <v>1241.1269980611344</v>
      </c>
      <c r="G122" s="279">
        <v>0</v>
      </c>
      <c r="H122" s="279">
        <v>0</v>
      </c>
      <c r="I122" s="254"/>
      <c r="J122" s="254"/>
      <c r="K122" s="254"/>
      <c r="L122" s="254"/>
      <c r="M122" s="254"/>
      <c r="N122" s="254"/>
      <c r="O122" s="254"/>
      <c r="P122" s="1"/>
    </row>
    <row r="123" spans="2:16" x14ac:dyDescent="0.2">
      <c r="B123" s="255" t="str">
        <f>'3. GRI Pricing'!C133</f>
        <v>103S</v>
      </c>
      <c r="C123" s="255" t="str">
        <f>'3. GRI Pricing'!D133</f>
        <v>2 Bed</v>
      </c>
      <c r="D123" s="255">
        <f>'3. GRI Pricing'!E133</f>
        <v>2</v>
      </c>
      <c r="E123" s="256">
        <f>'3. GRI Pricing'!Y133</f>
        <v>1205</v>
      </c>
      <c r="F123" s="279">
        <v>1241.1269980611344</v>
      </c>
      <c r="G123" s="279">
        <v>0</v>
      </c>
      <c r="H123" s="279">
        <v>0</v>
      </c>
      <c r="I123" s="254"/>
      <c r="J123" s="254"/>
      <c r="K123" s="254"/>
      <c r="L123" s="254"/>
      <c r="M123" s="254"/>
      <c r="N123" s="254"/>
      <c r="O123" s="254"/>
      <c r="P123" s="1"/>
    </row>
    <row r="124" spans="2:16" x14ac:dyDescent="0.2">
      <c r="B124" s="255" t="str">
        <f>'3. GRI Pricing'!C134</f>
        <v>104S</v>
      </c>
      <c r="C124" s="255" t="str">
        <f>'3. GRI Pricing'!D134</f>
        <v>3 Bed</v>
      </c>
      <c r="D124" s="255">
        <f>'3. GRI Pricing'!E134</f>
        <v>3</v>
      </c>
      <c r="E124" s="256">
        <f>'3. GRI Pricing'!Y134</f>
        <v>1635</v>
      </c>
      <c r="F124" s="279">
        <v>1643.1114508744572</v>
      </c>
      <c r="G124" s="279">
        <v>0</v>
      </c>
      <c r="H124" s="279">
        <v>0</v>
      </c>
      <c r="I124" s="254"/>
      <c r="J124" s="254"/>
      <c r="K124" s="254"/>
      <c r="L124" s="254"/>
      <c r="M124" s="254"/>
      <c r="N124" s="254"/>
      <c r="O124" s="254"/>
      <c r="P124" s="1"/>
    </row>
    <row r="125" spans="2:16" x14ac:dyDescent="0.2">
      <c r="B125" s="255" t="str">
        <f>'3. GRI Pricing'!C135</f>
        <v>105S</v>
      </c>
      <c r="C125" s="255" t="str">
        <f>'3. GRI Pricing'!D135</f>
        <v>2 Bed</v>
      </c>
      <c r="D125" s="255">
        <f>'3. GRI Pricing'!E135</f>
        <v>2</v>
      </c>
      <c r="E125" s="256">
        <f>'3. GRI Pricing'!Y135</f>
        <v>1300</v>
      </c>
      <c r="F125" s="279">
        <v>1336.5983056042985</v>
      </c>
      <c r="G125" s="279">
        <v>0</v>
      </c>
      <c r="H125" s="279">
        <v>0</v>
      </c>
      <c r="I125" s="254"/>
      <c r="J125" s="254"/>
      <c r="K125" s="254"/>
      <c r="L125" s="254"/>
      <c r="M125" s="254"/>
      <c r="N125" s="254"/>
      <c r="O125" s="254"/>
      <c r="P125" s="1"/>
    </row>
    <row r="126" spans="2:16" x14ac:dyDescent="0.2">
      <c r="B126" s="255" t="str">
        <f>'3. GRI Pricing'!C136</f>
        <v>106S</v>
      </c>
      <c r="C126" s="255" t="str">
        <f>'3. GRI Pricing'!D136</f>
        <v>1 Bed</v>
      </c>
      <c r="D126" s="255">
        <f>'3. GRI Pricing'!E136</f>
        <v>1</v>
      </c>
      <c r="E126" s="256">
        <f>'3. GRI Pricing'!Y136</f>
        <v>970</v>
      </c>
      <c r="F126" s="279">
        <v>974.81229807230795</v>
      </c>
      <c r="G126" s="279">
        <v>0</v>
      </c>
      <c r="H126" s="279">
        <v>0</v>
      </c>
      <c r="I126" s="254"/>
      <c r="J126" s="254"/>
      <c r="K126" s="254"/>
      <c r="L126" s="254"/>
      <c r="M126" s="254"/>
      <c r="N126" s="254"/>
      <c r="O126" s="254"/>
      <c r="P126" s="1"/>
    </row>
    <row r="127" spans="2:16" x14ac:dyDescent="0.2">
      <c r="B127" s="255" t="str">
        <f>'3. GRI Pricing'!C137</f>
        <v>107S</v>
      </c>
      <c r="C127" s="255" t="str">
        <f>'3. GRI Pricing'!D137</f>
        <v>2 Bed</v>
      </c>
      <c r="D127" s="255">
        <f>'3. GRI Pricing'!E137</f>
        <v>2</v>
      </c>
      <c r="E127" s="256">
        <f>'3. GRI Pricing'!Y137</f>
        <v>1245</v>
      </c>
      <c r="F127" s="279">
        <v>1281.3254433424665</v>
      </c>
      <c r="G127" s="279">
        <v>0</v>
      </c>
      <c r="H127" s="279">
        <v>0</v>
      </c>
      <c r="I127" s="254"/>
      <c r="J127" s="254"/>
      <c r="K127" s="254"/>
      <c r="L127" s="254"/>
      <c r="M127" s="254"/>
      <c r="N127" s="254"/>
      <c r="O127" s="254"/>
      <c r="P127" s="1"/>
    </row>
    <row r="128" spans="2:16" x14ac:dyDescent="0.2">
      <c r="B128" s="255" t="str">
        <f>'3. GRI Pricing'!C138</f>
        <v>201S</v>
      </c>
      <c r="C128" s="255" t="str">
        <f>'3. GRI Pricing'!D138</f>
        <v>2 Bed</v>
      </c>
      <c r="D128" s="255">
        <f>'3. GRI Pricing'!E138</f>
        <v>2</v>
      </c>
      <c r="E128" s="256">
        <f>'3. GRI Pricing'!Y138</f>
        <v>1300</v>
      </c>
      <c r="F128" s="279">
        <v>1336.5983056042985</v>
      </c>
      <c r="G128" s="279">
        <v>0</v>
      </c>
      <c r="H128" s="279">
        <v>0</v>
      </c>
      <c r="I128" s="254"/>
      <c r="J128" s="254"/>
      <c r="K128" s="254"/>
      <c r="L128" s="254"/>
      <c r="M128" s="254"/>
      <c r="N128" s="254"/>
      <c r="O128" s="254"/>
      <c r="P128" s="1"/>
    </row>
    <row r="129" spans="2:16" x14ac:dyDescent="0.2">
      <c r="B129" s="255" t="str">
        <f>'3. GRI Pricing'!C139</f>
        <v>202S</v>
      </c>
      <c r="C129" s="255" t="str">
        <f>'3. GRI Pricing'!D139</f>
        <v>2 Bed</v>
      </c>
      <c r="D129" s="255">
        <f>'3. GRI Pricing'!E139</f>
        <v>2</v>
      </c>
      <c r="E129" s="256">
        <f>'3. GRI Pricing'!Y139</f>
        <v>1295</v>
      </c>
      <c r="F129" s="279">
        <v>1331.573499944132</v>
      </c>
      <c r="G129" s="279">
        <v>0</v>
      </c>
      <c r="H129" s="279">
        <v>0</v>
      </c>
      <c r="I129" s="254"/>
      <c r="J129" s="254"/>
      <c r="K129" s="254"/>
      <c r="L129" s="254"/>
      <c r="M129" s="254"/>
      <c r="N129" s="254"/>
      <c r="O129" s="254"/>
      <c r="P129" s="1"/>
    </row>
    <row r="130" spans="2:16" x14ac:dyDescent="0.2">
      <c r="B130" s="255" t="str">
        <f>'3. GRI Pricing'!C140</f>
        <v>203S</v>
      </c>
      <c r="C130" s="255" t="str">
        <f>'3. GRI Pricing'!D140</f>
        <v>2 Bed</v>
      </c>
      <c r="D130" s="255">
        <f>'3. GRI Pricing'!E140</f>
        <v>2</v>
      </c>
      <c r="E130" s="256">
        <f>'3. GRI Pricing'!Y140</f>
        <v>1295</v>
      </c>
      <c r="F130" s="279">
        <v>1331.573499944132</v>
      </c>
      <c r="G130" s="279">
        <v>0</v>
      </c>
      <c r="H130" s="279">
        <v>0</v>
      </c>
      <c r="I130" s="254"/>
      <c r="J130" s="254"/>
      <c r="K130" s="254"/>
      <c r="L130" s="254"/>
      <c r="M130" s="254"/>
      <c r="N130" s="254"/>
      <c r="O130" s="254"/>
      <c r="P130" s="1"/>
    </row>
    <row r="131" spans="2:16" x14ac:dyDescent="0.2">
      <c r="B131" s="255" t="str">
        <f>'3. GRI Pricing'!C141</f>
        <v>204S</v>
      </c>
      <c r="C131" s="255" t="str">
        <f>'3. GRI Pricing'!D141</f>
        <v>3 Bed</v>
      </c>
      <c r="D131" s="255">
        <f>'3. GRI Pricing'!E141</f>
        <v>3</v>
      </c>
      <c r="E131" s="256">
        <f>'3. GRI Pricing'!Y141</f>
        <v>1725</v>
      </c>
      <c r="F131" s="279">
        <v>1733.5579527574548</v>
      </c>
      <c r="G131" s="279">
        <v>0</v>
      </c>
      <c r="H131" s="279">
        <v>0</v>
      </c>
      <c r="I131" s="254"/>
      <c r="J131" s="254"/>
      <c r="K131" s="254"/>
      <c r="L131" s="254"/>
      <c r="M131" s="254"/>
      <c r="N131" s="254"/>
      <c r="O131" s="254"/>
      <c r="P131" s="1"/>
    </row>
    <row r="132" spans="2:16" x14ac:dyDescent="0.2">
      <c r="B132" s="255" t="str">
        <f>'3. GRI Pricing'!C142</f>
        <v>205S</v>
      </c>
      <c r="C132" s="255" t="str">
        <f>'3. GRI Pricing'!D142</f>
        <v>2 Bed</v>
      </c>
      <c r="D132" s="255">
        <f>'3. GRI Pricing'!E142</f>
        <v>2</v>
      </c>
      <c r="E132" s="256">
        <f>'3. GRI Pricing'!Y142</f>
        <v>1310</v>
      </c>
      <c r="F132" s="279">
        <v>1346.6479169246315</v>
      </c>
      <c r="G132" s="279">
        <v>0</v>
      </c>
      <c r="H132" s="279">
        <v>0</v>
      </c>
      <c r="I132" s="254"/>
      <c r="J132" s="254"/>
      <c r="K132" s="254"/>
      <c r="L132" s="254"/>
      <c r="M132" s="254"/>
      <c r="N132" s="254"/>
      <c r="O132" s="254"/>
      <c r="P132" s="1"/>
    </row>
    <row r="133" spans="2:16" x14ac:dyDescent="0.2">
      <c r="B133" s="255" t="str">
        <f>'3. GRI Pricing'!C143</f>
        <v>206S</v>
      </c>
      <c r="C133" s="255" t="str">
        <f>'3. GRI Pricing'!D143</f>
        <v>1 Bed</v>
      </c>
      <c r="D133" s="255">
        <f>'3. GRI Pricing'!E143</f>
        <v>1</v>
      </c>
      <c r="E133" s="256">
        <f>'3. GRI Pricing'!Y143</f>
        <v>980</v>
      </c>
      <c r="F133" s="279">
        <v>984.861909392641</v>
      </c>
      <c r="G133" s="279">
        <v>0</v>
      </c>
      <c r="H133" s="279">
        <v>0</v>
      </c>
      <c r="I133" s="254"/>
      <c r="J133" s="254"/>
      <c r="K133" s="254"/>
      <c r="L133" s="254"/>
      <c r="M133" s="254"/>
      <c r="N133" s="254"/>
      <c r="O133" s="254"/>
      <c r="P133" s="1"/>
    </row>
    <row r="134" spans="2:16" x14ac:dyDescent="0.2">
      <c r="B134" s="255" t="str">
        <f>'3. GRI Pricing'!C144</f>
        <v>207S</v>
      </c>
      <c r="C134" s="255" t="str">
        <f>'3. GRI Pricing'!D144</f>
        <v>2 Bed</v>
      </c>
      <c r="D134" s="255">
        <f>'3. GRI Pricing'!E144</f>
        <v>2</v>
      </c>
      <c r="E134" s="256">
        <f>'3. GRI Pricing'!Y144</f>
        <v>1255</v>
      </c>
      <c r="F134" s="279">
        <v>1291.3750546627998</v>
      </c>
      <c r="G134" s="279">
        <v>0</v>
      </c>
      <c r="H134" s="279">
        <v>0</v>
      </c>
      <c r="I134" s="254"/>
      <c r="J134" s="254"/>
      <c r="K134" s="254"/>
      <c r="L134" s="254"/>
      <c r="M134" s="254"/>
      <c r="N134" s="254"/>
      <c r="O134" s="254"/>
      <c r="P134" s="1"/>
    </row>
    <row r="135" spans="2:16" x14ac:dyDescent="0.2">
      <c r="B135" s="255" t="str">
        <f>'3. GRI Pricing'!C145</f>
        <v>301S</v>
      </c>
      <c r="C135" s="255" t="str">
        <f>'3. GRI Pricing'!D145</f>
        <v>2 Bed</v>
      </c>
      <c r="D135" s="255">
        <f>'3. GRI Pricing'!E145</f>
        <v>2</v>
      </c>
      <c r="E135" s="256">
        <f>'3. GRI Pricing'!Y145</f>
        <v>1310</v>
      </c>
      <c r="F135" s="279">
        <v>1346.6479169246315</v>
      </c>
      <c r="G135" s="279">
        <v>0</v>
      </c>
      <c r="H135" s="279">
        <v>0</v>
      </c>
      <c r="I135" s="254"/>
      <c r="J135" s="254"/>
      <c r="K135" s="254"/>
      <c r="L135" s="254"/>
      <c r="M135" s="254"/>
      <c r="N135" s="254"/>
      <c r="O135" s="254"/>
      <c r="P135" s="1"/>
    </row>
    <row r="136" spans="2:16" x14ac:dyDescent="0.2">
      <c r="B136" s="255" t="str">
        <f>'3. GRI Pricing'!C146</f>
        <v>302S</v>
      </c>
      <c r="C136" s="255" t="str">
        <f>'3. GRI Pricing'!D146</f>
        <v>2 Bed</v>
      </c>
      <c r="D136" s="255">
        <f>'3. GRI Pricing'!E146</f>
        <v>2</v>
      </c>
      <c r="E136" s="256">
        <f>'3. GRI Pricing'!Y146</f>
        <v>1305</v>
      </c>
      <c r="F136" s="279">
        <v>1341.623111264465</v>
      </c>
      <c r="G136" s="279">
        <v>0</v>
      </c>
      <c r="H136" s="279">
        <v>0</v>
      </c>
      <c r="I136" s="254"/>
      <c r="J136" s="254"/>
      <c r="K136" s="254"/>
      <c r="L136" s="254"/>
      <c r="M136" s="254"/>
      <c r="N136" s="254"/>
      <c r="O136" s="254"/>
      <c r="P136" s="1"/>
    </row>
    <row r="137" spans="2:16" x14ac:dyDescent="0.2">
      <c r="B137" s="255" t="str">
        <f>'3. GRI Pricing'!C147</f>
        <v>303S</v>
      </c>
      <c r="C137" s="255" t="str">
        <f>'3. GRI Pricing'!D147</f>
        <v>2 Bed</v>
      </c>
      <c r="D137" s="255">
        <f>'3. GRI Pricing'!E147</f>
        <v>2</v>
      </c>
      <c r="E137" s="256">
        <f>'3. GRI Pricing'!Y147</f>
        <v>1305</v>
      </c>
      <c r="F137" s="279">
        <v>1341.623111264465</v>
      </c>
      <c r="G137" s="279">
        <v>0</v>
      </c>
      <c r="H137" s="279">
        <v>0</v>
      </c>
      <c r="I137" s="254"/>
      <c r="J137" s="254"/>
      <c r="K137" s="254"/>
      <c r="L137" s="254"/>
      <c r="M137" s="254"/>
      <c r="N137" s="254"/>
      <c r="O137" s="254"/>
      <c r="P137" s="1"/>
    </row>
    <row r="138" spans="2:16" x14ac:dyDescent="0.2">
      <c r="B138" s="255" t="str">
        <f>'3. GRI Pricing'!C148</f>
        <v>304S</v>
      </c>
      <c r="C138" s="255" t="str">
        <f>'3. GRI Pricing'!D148</f>
        <v>3 Bed</v>
      </c>
      <c r="D138" s="255">
        <f>'3. GRI Pricing'!E148</f>
        <v>3</v>
      </c>
      <c r="E138" s="256">
        <f>'3. GRI Pricing'!Y148</f>
        <v>1735</v>
      </c>
      <c r="F138" s="279">
        <v>1743.6075640777879</v>
      </c>
      <c r="G138" s="279">
        <v>0</v>
      </c>
      <c r="H138" s="279">
        <v>0</v>
      </c>
      <c r="I138" s="254"/>
      <c r="J138" s="254"/>
      <c r="K138" s="254"/>
      <c r="L138" s="254"/>
      <c r="M138" s="254"/>
      <c r="N138" s="254"/>
      <c r="O138" s="254"/>
      <c r="P138" s="1"/>
    </row>
    <row r="139" spans="2:16" x14ac:dyDescent="0.2">
      <c r="B139" s="255" t="str">
        <f>'3. GRI Pricing'!C149</f>
        <v>305S</v>
      </c>
      <c r="C139" s="255" t="str">
        <f>'3. GRI Pricing'!D149</f>
        <v>2 Bed</v>
      </c>
      <c r="D139" s="255">
        <f>'3. GRI Pricing'!E149</f>
        <v>2</v>
      </c>
      <c r="E139" s="256">
        <f>'3. GRI Pricing'!Y149</f>
        <v>1320</v>
      </c>
      <c r="F139" s="279">
        <v>1356.6975282449646</v>
      </c>
      <c r="G139" s="279">
        <v>0</v>
      </c>
      <c r="H139" s="279">
        <v>0</v>
      </c>
      <c r="I139" s="254"/>
      <c r="J139" s="254"/>
      <c r="K139" s="254"/>
      <c r="L139" s="254"/>
      <c r="M139" s="254"/>
      <c r="N139" s="254"/>
      <c r="O139" s="254"/>
      <c r="P139" s="1"/>
    </row>
    <row r="140" spans="2:16" x14ac:dyDescent="0.2">
      <c r="B140" s="255" t="str">
        <f>'3. GRI Pricing'!C150</f>
        <v>306S</v>
      </c>
      <c r="C140" s="255" t="str">
        <f>'3. GRI Pricing'!D150</f>
        <v>1 Bed</v>
      </c>
      <c r="D140" s="255">
        <f>'3. GRI Pricing'!E150</f>
        <v>1</v>
      </c>
      <c r="E140" s="256">
        <f>'3. GRI Pricing'!Y150</f>
        <v>990</v>
      </c>
      <c r="F140" s="279">
        <v>994.91152071297415</v>
      </c>
      <c r="G140" s="279">
        <v>0</v>
      </c>
      <c r="H140" s="279">
        <v>0</v>
      </c>
      <c r="I140" s="254"/>
      <c r="J140" s="254"/>
      <c r="K140" s="254"/>
      <c r="L140" s="254"/>
      <c r="M140" s="254"/>
      <c r="N140" s="254"/>
      <c r="O140" s="254"/>
      <c r="P140" s="1"/>
    </row>
    <row r="141" spans="2:16" x14ac:dyDescent="0.2">
      <c r="B141" s="255" t="str">
        <f>'3. GRI Pricing'!C151</f>
        <v>307S</v>
      </c>
      <c r="C141" s="255" t="str">
        <f>'3. GRI Pricing'!D151</f>
        <v>2 Bed</v>
      </c>
      <c r="D141" s="255">
        <f>'3. GRI Pricing'!E151</f>
        <v>2</v>
      </c>
      <c r="E141" s="256">
        <f>'3. GRI Pricing'!Y151</f>
        <v>1265</v>
      </c>
      <c r="F141" s="279">
        <v>1301.4246659831329</v>
      </c>
      <c r="G141" s="279">
        <v>0</v>
      </c>
      <c r="H141" s="279">
        <v>0</v>
      </c>
      <c r="I141" s="254"/>
      <c r="J141" s="254"/>
      <c r="K141" s="254"/>
      <c r="L141" s="254"/>
      <c r="M141" s="254"/>
      <c r="N141" s="254"/>
      <c r="O141" s="254"/>
      <c r="P141" s="1"/>
    </row>
    <row r="142" spans="2:16" x14ac:dyDescent="0.2">
      <c r="B142" s="255" t="str">
        <f>'3. GRI Pricing'!C152</f>
        <v>401S</v>
      </c>
      <c r="C142" s="255" t="str">
        <f>'3. GRI Pricing'!D152</f>
        <v>2 Bed</v>
      </c>
      <c r="D142" s="255">
        <f>'3. GRI Pricing'!E152</f>
        <v>2</v>
      </c>
      <c r="E142" s="256">
        <f>'3. GRI Pricing'!Y152</f>
        <v>1360</v>
      </c>
      <c r="F142" s="279">
        <v>1396.895973526297</v>
      </c>
      <c r="G142" s="279">
        <v>0</v>
      </c>
      <c r="H142" s="279">
        <v>0</v>
      </c>
      <c r="I142" s="254"/>
      <c r="J142" s="254"/>
      <c r="K142" s="254"/>
      <c r="L142" s="254"/>
      <c r="M142" s="254"/>
      <c r="N142" s="254"/>
      <c r="O142" s="254"/>
      <c r="P142" s="1"/>
    </row>
    <row r="143" spans="2:16" x14ac:dyDescent="0.2">
      <c r="B143" s="255" t="str">
        <f>'3. GRI Pricing'!C153</f>
        <v>402S</v>
      </c>
      <c r="C143" s="255" t="str">
        <f>'3. GRI Pricing'!D153</f>
        <v>2 Bed</v>
      </c>
      <c r="D143" s="255">
        <f>'3. GRI Pricing'!E153</f>
        <v>2</v>
      </c>
      <c r="E143" s="256">
        <f>'3. GRI Pricing'!Y153</f>
        <v>1355</v>
      </c>
      <c r="F143" s="279">
        <v>1391.8711678661305</v>
      </c>
      <c r="G143" s="279">
        <v>0</v>
      </c>
      <c r="H143" s="279">
        <v>0</v>
      </c>
      <c r="I143" s="254"/>
      <c r="J143" s="254"/>
      <c r="K143" s="254"/>
      <c r="L143" s="254"/>
      <c r="M143" s="254"/>
      <c r="N143" s="254"/>
      <c r="O143" s="254"/>
      <c r="P143" s="1"/>
    </row>
    <row r="144" spans="2:16" x14ac:dyDescent="0.2">
      <c r="B144" s="255" t="str">
        <f>'3. GRI Pricing'!C154</f>
        <v>403S</v>
      </c>
      <c r="C144" s="255" t="str">
        <f>'3. GRI Pricing'!D154</f>
        <v>2 Bed</v>
      </c>
      <c r="D144" s="255">
        <f>'3. GRI Pricing'!E154</f>
        <v>2</v>
      </c>
      <c r="E144" s="256">
        <f>'3. GRI Pricing'!Y154</f>
        <v>1355</v>
      </c>
      <c r="F144" s="279">
        <v>1391.8711678661305</v>
      </c>
      <c r="G144" s="279">
        <v>0</v>
      </c>
      <c r="H144" s="279">
        <v>0</v>
      </c>
      <c r="I144" s="254"/>
      <c r="J144" s="254"/>
      <c r="K144" s="254"/>
      <c r="L144" s="254"/>
      <c r="M144" s="254"/>
      <c r="N144" s="254"/>
      <c r="O144" s="254"/>
      <c r="P144" s="1"/>
    </row>
    <row r="145" spans="2:16" x14ac:dyDescent="0.2">
      <c r="B145" s="255" t="str">
        <f>'3. GRI Pricing'!C155</f>
        <v>404S</v>
      </c>
      <c r="C145" s="255" t="str">
        <f>'3. GRI Pricing'!D155</f>
        <v>3 Bed</v>
      </c>
      <c r="D145" s="255">
        <f>'3. GRI Pricing'!E155</f>
        <v>3</v>
      </c>
      <c r="E145" s="256">
        <f>'3. GRI Pricing'!Y155</f>
        <v>1785</v>
      </c>
      <c r="F145" s="279">
        <v>1793.8556206794533</v>
      </c>
      <c r="G145" s="279">
        <v>0</v>
      </c>
      <c r="H145" s="279">
        <v>0</v>
      </c>
      <c r="I145" s="254"/>
      <c r="J145" s="254"/>
      <c r="K145" s="254"/>
      <c r="L145" s="254"/>
      <c r="M145" s="254"/>
      <c r="N145" s="254"/>
      <c r="O145" s="254"/>
      <c r="P145" s="1"/>
    </row>
    <row r="146" spans="2:16" x14ac:dyDescent="0.2">
      <c r="B146" s="255" t="str">
        <f>'3. GRI Pricing'!C156</f>
        <v>405S</v>
      </c>
      <c r="C146" s="255" t="str">
        <f>'3. GRI Pricing'!D156</f>
        <v>2 Bed</v>
      </c>
      <c r="D146" s="255">
        <f>'3. GRI Pricing'!E156</f>
        <v>2</v>
      </c>
      <c r="E146" s="256">
        <f>'3. GRI Pricing'!Y156</f>
        <v>1340</v>
      </c>
      <c r="F146" s="279">
        <v>1376.7967508856309</v>
      </c>
      <c r="G146" s="279">
        <v>0</v>
      </c>
      <c r="H146" s="279">
        <v>0</v>
      </c>
      <c r="I146" s="254"/>
      <c r="J146" s="254"/>
      <c r="K146" s="254"/>
      <c r="L146" s="254"/>
      <c r="M146" s="254"/>
      <c r="N146" s="254"/>
      <c r="O146" s="254"/>
      <c r="P146" s="1"/>
    </row>
    <row r="147" spans="2:16" x14ac:dyDescent="0.2">
      <c r="B147" s="255" t="str">
        <f>'3. GRI Pricing'!C157</f>
        <v>406S</v>
      </c>
      <c r="C147" s="255" t="str">
        <f>'3. GRI Pricing'!D157</f>
        <v>1 Bed</v>
      </c>
      <c r="D147" s="255">
        <f>'3. GRI Pricing'!E157</f>
        <v>1</v>
      </c>
      <c r="E147" s="256">
        <f>'3. GRI Pricing'!Y157</f>
        <v>1010</v>
      </c>
      <c r="F147" s="279">
        <v>1015.0107433536402</v>
      </c>
      <c r="G147" s="279">
        <v>0</v>
      </c>
      <c r="H147" s="279">
        <v>0</v>
      </c>
      <c r="I147" s="254"/>
      <c r="J147" s="254"/>
      <c r="K147" s="254"/>
      <c r="L147" s="254"/>
      <c r="M147" s="254"/>
      <c r="N147" s="254"/>
      <c r="O147" s="254"/>
      <c r="P147" s="1"/>
    </row>
    <row r="148" spans="2:16" x14ac:dyDescent="0.2">
      <c r="B148" s="255" t="str">
        <f>'3. GRI Pricing'!C158</f>
        <v>407S</v>
      </c>
      <c r="C148" s="255" t="str">
        <f>'3. GRI Pricing'!D158</f>
        <v>2 Bed</v>
      </c>
      <c r="D148" s="255">
        <f>'3. GRI Pricing'!E158</f>
        <v>2</v>
      </c>
      <c r="E148" s="256">
        <f>'3. GRI Pricing'!Y158</f>
        <v>1285</v>
      </c>
      <c r="F148" s="279">
        <v>1321.5238886237989</v>
      </c>
      <c r="G148" s="279">
        <v>0</v>
      </c>
      <c r="H148" s="279">
        <v>0</v>
      </c>
      <c r="I148" s="254"/>
      <c r="J148" s="254"/>
      <c r="K148" s="254"/>
      <c r="L148" s="254"/>
      <c r="M148" s="254"/>
      <c r="N148" s="254"/>
      <c r="O148" s="254"/>
      <c r="P148" s="1"/>
    </row>
    <row r="149" spans="2:16" x14ac:dyDescent="0.2">
      <c r="B149" s="255" t="str">
        <f>'3. GRI Pricing'!C159</f>
        <v>501S</v>
      </c>
      <c r="C149" s="255" t="str">
        <f>'3. GRI Pricing'!D159</f>
        <v>2 Bed</v>
      </c>
      <c r="D149" s="255">
        <f>'3. GRI Pricing'!E159</f>
        <v>2</v>
      </c>
      <c r="E149" s="256">
        <f>'3. GRI Pricing'!Y159</f>
        <v>1360</v>
      </c>
      <c r="F149" s="279">
        <v>1396.895973526297</v>
      </c>
      <c r="G149" s="279">
        <v>0</v>
      </c>
      <c r="H149" s="279">
        <v>0</v>
      </c>
      <c r="I149" s="254"/>
      <c r="J149" s="254"/>
      <c r="K149" s="254"/>
      <c r="L149" s="254"/>
      <c r="M149" s="254"/>
      <c r="N149" s="254"/>
      <c r="O149" s="254"/>
      <c r="P149" s="1"/>
    </row>
    <row r="150" spans="2:16" x14ac:dyDescent="0.2">
      <c r="B150" s="255" t="str">
        <f>'3. GRI Pricing'!C160</f>
        <v>502S</v>
      </c>
      <c r="C150" s="255" t="str">
        <f>'3. GRI Pricing'!D160</f>
        <v>2 Bed</v>
      </c>
      <c r="D150" s="255">
        <f>'3. GRI Pricing'!E160</f>
        <v>2</v>
      </c>
      <c r="E150" s="256">
        <f>'3. GRI Pricing'!Y160</f>
        <v>1355</v>
      </c>
      <c r="F150" s="279">
        <v>1391.8711678661305</v>
      </c>
      <c r="G150" s="279">
        <v>0</v>
      </c>
      <c r="H150" s="279">
        <v>0</v>
      </c>
      <c r="I150" s="254"/>
      <c r="J150" s="254"/>
      <c r="K150" s="254"/>
      <c r="L150" s="254"/>
      <c r="M150" s="254"/>
      <c r="N150" s="254"/>
      <c r="O150" s="254"/>
      <c r="P150" s="1"/>
    </row>
    <row r="151" spans="2:16" x14ac:dyDescent="0.2">
      <c r="B151" s="255" t="str">
        <f>'3. GRI Pricing'!C161</f>
        <v>503S</v>
      </c>
      <c r="C151" s="255" t="str">
        <f>'3. GRI Pricing'!D161</f>
        <v>2 Bed</v>
      </c>
      <c r="D151" s="255">
        <f>'3. GRI Pricing'!E161</f>
        <v>2</v>
      </c>
      <c r="E151" s="256">
        <f>'3. GRI Pricing'!Y161</f>
        <v>1355</v>
      </c>
      <c r="F151" s="279">
        <v>1391.8711678661305</v>
      </c>
      <c r="G151" s="279">
        <v>0</v>
      </c>
      <c r="H151" s="279">
        <v>0</v>
      </c>
      <c r="I151" s="254"/>
      <c r="J151" s="254"/>
      <c r="K151" s="254"/>
      <c r="L151" s="254"/>
      <c r="M151" s="254"/>
      <c r="N151" s="254"/>
      <c r="O151" s="254"/>
      <c r="P151" s="1"/>
    </row>
    <row r="152" spans="2:16" x14ac:dyDescent="0.2">
      <c r="B152" s="255" t="str">
        <f>'3. GRI Pricing'!C162</f>
        <v>504S</v>
      </c>
      <c r="C152" s="255" t="str">
        <f>'3. GRI Pricing'!D162</f>
        <v>3 Bed</v>
      </c>
      <c r="D152" s="255">
        <f>'3. GRI Pricing'!E162</f>
        <v>3</v>
      </c>
      <c r="E152" s="256">
        <f>'3. GRI Pricing'!Y162</f>
        <v>1785</v>
      </c>
      <c r="F152" s="279">
        <v>1793.8556206794533</v>
      </c>
      <c r="G152" s="279">
        <v>0</v>
      </c>
      <c r="H152" s="279">
        <v>0</v>
      </c>
      <c r="I152" s="254"/>
      <c r="J152" s="254"/>
      <c r="K152" s="254"/>
      <c r="L152" s="254"/>
      <c r="M152" s="254"/>
      <c r="N152" s="254"/>
      <c r="O152" s="254"/>
      <c r="P152" s="1"/>
    </row>
    <row r="153" spans="2:16" x14ac:dyDescent="0.2">
      <c r="B153" s="255" t="str">
        <f>'3. GRI Pricing'!C163</f>
        <v>505S</v>
      </c>
      <c r="C153" s="255" t="str">
        <f>'3. GRI Pricing'!D163</f>
        <v>2 Bed</v>
      </c>
      <c r="D153" s="255">
        <f>'3. GRI Pricing'!E163</f>
        <v>2</v>
      </c>
      <c r="E153" s="256">
        <f>'3. GRI Pricing'!Y163</f>
        <v>1340</v>
      </c>
      <c r="F153" s="279">
        <v>1376.7967508856309</v>
      </c>
      <c r="G153" s="279">
        <v>0</v>
      </c>
      <c r="H153" s="279">
        <v>0</v>
      </c>
      <c r="I153" s="254"/>
      <c r="J153" s="254"/>
      <c r="K153" s="254"/>
      <c r="L153" s="254"/>
      <c r="M153" s="254"/>
      <c r="N153" s="254"/>
      <c r="O153" s="254"/>
      <c r="P153" s="1"/>
    </row>
    <row r="154" spans="2:16" x14ac:dyDescent="0.2">
      <c r="B154" s="255" t="str">
        <f>'3. GRI Pricing'!C164</f>
        <v>506S</v>
      </c>
      <c r="C154" s="255" t="str">
        <f>'3. GRI Pricing'!D164</f>
        <v>1 Bed</v>
      </c>
      <c r="D154" s="255">
        <f>'3. GRI Pricing'!E164</f>
        <v>1</v>
      </c>
      <c r="E154" s="256">
        <f>'3. GRI Pricing'!Y164</f>
        <v>1010</v>
      </c>
      <c r="F154" s="279">
        <v>1015.0107433536402</v>
      </c>
      <c r="G154" s="279">
        <v>0</v>
      </c>
      <c r="H154" s="279">
        <v>0</v>
      </c>
      <c r="I154" s="254"/>
      <c r="J154" s="254"/>
      <c r="K154" s="254"/>
      <c r="L154" s="254"/>
      <c r="M154" s="254"/>
      <c r="N154" s="254"/>
      <c r="O154" s="254"/>
      <c r="P154" s="1"/>
    </row>
    <row r="155" spans="2:16" x14ac:dyDescent="0.2">
      <c r="B155" s="255" t="str">
        <f>'3. GRI Pricing'!C165</f>
        <v>507S</v>
      </c>
      <c r="C155" s="255" t="str">
        <f>'3. GRI Pricing'!D165</f>
        <v>2 Bed</v>
      </c>
      <c r="D155" s="255">
        <f>'3. GRI Pricing'!E165</f>
        <v>2</v>
      </c>
      <c r="E155" s="256">
        <f>'3. GRI Pricing'!Y165</f>
        <v>1285</v>
      </c>
      <c r="F155" s="279">
        <v>1321.5238886237989</v>
      </c>
      <c r="G155" s="279">
        <v>0</v>
      </c>
      <c r="H155" s="279">
        <v>0</v>
      </c>
      <c r="I155" s="254"/>
      <c r="J155" s="254"/>
      <c r="K155" s="254"/>
      <c r="L155" s="254"/>
      <c r="M155" s="254"/>
      <c r="N155" s="254"/>
      <c r="O155" s="254"/>
      <c r="P155" s="1"/>
    </row>
    <row r="156" spans="2:16" x14ac:dyDescent="0.2">
      <c r="B156" s="255" t="str">
        <f>'3. GRI Pricing'!C166</f>
        <v>601S</v>
      </c>
      <c r="C156" s="255" t="str">
        <f>'3. GRI Pricing'!D166</f>
        <v>2 Bed</v>
      </c>
      <c r="D156" s="255">
        <f>'3. GRI Pricing'!E166</f>
        <v>2</v>
      </c>
      <c r="E156" s="256">
        <f>'3. GRI Pricing'!Y166</f>
        <v>1370</v>
      </c>
      <c r="F156" s="279">
        <v>1406.94558484663</v>
      </c>
      <c r="G156" s="279">
        <v>0</v>
      </c>
      <c r="H156" s="279">
        <v>0</v>
      </c>
      <c r="I156" s="254"/>
      <c r="J156" s="254"/>
      <c r="K156" s="254"/>
      <c r="L156" s="254"/>
      <c r="M156" s="254"/>
      <c r="N156" s="254"/>
      <c r="O156" s="254"/>
      <c r="P156" s="1"/>
    </row>
    <row r="157" spans="2:16" x14ac:dyDescent="0.2">
      <c r="B157" s="255" t="str">
        <f>'3. GRI Pricing'!C167</f>
        <v>602S</v>
      </c>
      <c r="C157" s="255" t="str">
        <f>'3. GRI Pricing'!D167</f>
        <v>2 Bed</v>
      </c>
      <c r="D157" s="255">
        <f>'3. GRI Pricing'!E167</f>
        <v>2</v>
      </c>
      <c r="E157" s="256">
        <f>'3. GRI Pricing'!Y167</f>
        <v>1365</v>
      </c>
      <c r="F157" s="279">
        <v>1401.9207791864635</v>
      </c>
      <c r="G157" s="279">
        <v>0</v>
      </c>
      <c r="H157" s="279">
        <v>0</v>
      </c>
      <c r="I157" s="254"/>
      <c r="J157" s="254"/>
      <c r="K157" s="254"/>
      <c r="L157" s="254"/>
      <c r="M157" s="254"/>
      <c r="N157" s="254"/>
      <c r="O157" s="254"/>
      <c r="P157" s="1"/>
    </row>
    <row r="158" spans="2:16" x14ac:dyDescent="0.2">
      <c r="B158" s="255" t="str">
        <f>'3. GRI Pricing'!C168</f>
        <v>603S</v>
      </c>
      <c r="C158" s="255" t="str">
        <f>'3. GRI Pricing'!D168</f>
        <v>2 Bed</v>
      </c>
      <c r="D158" s="255">
        <f>'3. GRI Pricing'!E168</f>
        <v>2</v>
      </c>
      <c r="E158" s="256">
        <f>'3. GRI Pricing'!Y168</f>
        <v>1365</v>
      </c>
      <c r="F158" s="279">
        <v>1401.9207791864635</v>
      </c>
      <c r="G158" s="279">
        <v>0</v>
      </c>
      <c r="H158" s="279">
        <v>0</v>
      </c>
      <c r="I158" s="254"/>
      <c r="J158" s="254"/>
      <c r="K158" s="254"/>
      <c r="L158" s="254"/>
      <c r="M158" s="254"/>
      <c r="N158" s="254"/>
      <c r="O158" s="254"/>
      <c r="P158" s="1"/>
    </row>
    <row r="159" spans="2:16" x14ac:dyDescent="0.2">
      <c r="B159" s="255" t="str">
        <f>'3. GRI Pricing'!C169</f>
        <v>604S</v>
      </c>
      <c r="C159" s="255" t="str">
        <f>'3. GRI Pricing'!D169</f>
        <v>3 Bed</v>
      </c>
      <c r="D159" s="255">
        <f>'3. GRI Pricing'!E169</f>
        <v>3</v>
      </c>
      <c r="E159" s="256">
        <f>'3. GRI Pricing'!Y169</f>
        <v>1795</v>
      </c>
      <c r="F159" s="279">
        <v>1803.9052319997863</v>
      </c>
      <c r="G159" s="279">
        <v>0</v>
      </c>
      <c r="H159" s="279">
        <v>0</v>
      </c>
      <c r="I159" s="254"/>
      <c r="J159" s="254"/>
      <c r="K159" s="254"/>
      <c r="L159" s="254"/>
      <c r="M159" s="254"/>
      <c r="N159" s="254"/>
      <c r="O159" s="254"/>
      <c r="P159" s="1"/>
    </row>
    <row r="160" spans="2:16" x14ac:dyDescent="0.2">
      <c r="B160" s="255" t="str">
        <f>'3. GRI Pricing'!C170</f>
        <v>605S</v>
      </c>
      <c r="C160" s="255" t="str">
        <f>'3. GRI Pricing'!D170</f>
        <v>2 Bed</v>
      </c>
      <c r="D160" s="255">
        <f>'3. GRI Pricing'!E170</f>
        <v>2</v>
      </c>
      <c r="E160" s="256">
        <f>'3. GRI Pricing'!Y170</f>
        <v>1350</v>
      </c>
      <c r="F160" s="279">
        <v>1386.8463622059639</v>
      </c>
      <c r="G160" s="279">
        <v>0</v>
      </c>
      <c r="H160" s="279">
        <v>0</v>
      </c>
      <c r="I160" s="254"/>
      <c r="J160" s="254"/>
      <c r="K160" s="254"/>
      <c r="L160" s="254"/>
      <c r="M160" s="254"/>
      <c r="N160" s="254"/>
      <c r="O160" s="254"/>
      <c r="P160" s="1"/>
    </row>
    <row r="161" spans="2:16" x14ac:dyDescent="0.2">
      <c r="B161" s="255" t="str">
        <f>'3. GRI Pricing'!C171</f>
        <v>606S</v>
      </c>
      <c r="C161" s="255" t="str">
        <f>'3. GRI Pricing'!D171</f>
        <v>1 Bed</v>
      </c>
      <c r="D161" s="255">
        <f>'3. GRI Pricing'!E171</f>
        <v>1</v>
      </c>
      <c r="E161" s="256">
        <f>'3. GRI Pricing'!Y171</f>
        <v>1020</v>
      </c>
      <c r="F161" s="279">
        <v>1025.0603546739733</v>
      </c>
      <c r="G161" s="279">
        <v>0</v>
      </c>
      <c r="H161" s="279">
        <v>0</v>
      </c>
      <c r="I161" s="254"/>
      <c r="J161" s="254"/>
      <c r="K161" s="254"/>
      <c r="L161" s="254"/>
      <c r="M161" s="254"/>
      <c r="N161" s="254"/>
      <c r="O161" s="254"/>
      <c r="P161" s="1"/>
    </row>
    <row r="162" spans="2:16" x14ac:dyDescent="0.2">
      <c r="B162" s="255" t="str">
        <f>'3. GRI Pricing'!C172</f>
        <v>607S</v>
      </c>
      <c r="C162" s="255" t="str">
        <f>'3. GRI Pricing'!D172</f>
        <v>2 Bed</v>
      </c>
      <c r="D162" s="255">
        <f>'3. GRI Pricing'!E172</f>
        <v>2</v>
      </c>
      <c r="E162" s="256">
        <f>'3. GRI Pricing'!Y172</f>
        <v>1295</v>
      </c>
      <c r="F162" s="279">
        <v>1331.573499944132</v>
      </c>
      <c r="G162" s="279">
        <v>0</v>
      </c>
      <c r="H162" s="279">
        <v>0</v>
      </c>
      <c r="I162" s="254"/>
      <c r="J162" s="254"/>
      <c r="K162" s="254"/>
      <c r="L162" s="254"/>
      <c r="M162" s="254"/>
      <c r="N162" s="254"/>
      <c r="O162" s="254"/>
      <c r="P162" s="1"/>
    </row>
    <row r="163" spans="2:16" x14ac:dyDescent="0.2">
      <c r="B163" s="255" t="str">
        <f>'3. GRI Pricing'!C173</f>
        <v>701S</v>
      </c>
      <c r="C163" s="255" t="str">
        <f>'3. GRI Pricing'!D173</f>
        <v>2 Bed</v>
      </c>
      <c r="D163" s="255">
        <f>'3. GRI Pricing'!E173</f>
        <v>2</v>
      </c>
      <c r="E163" s="256">
        <f>'3. GRI Pricing'!Y173</f>
        <v>1290</v>
      </c>
      <c r="F163" s="279">
        <v>1326.5486942839655</v>
      </c>
      <c r="G163" s="279">
        <v>0</v>
      </c>
      <c r="H163" s="279">
        <v>0</v>
      </c>
      <c r="I163" s="254"/>
      <c r="J163" s="254"/>
      <c r="K163" s="254"/>
      <c r="L163" s="254"/>
      <c r="M163" s="254"/>
      <c r="N163" s="254"/>
      <c r="O163" s="254"/>
      <c r="P163" s="1"/>
    </row>
    <row r="164" spans="2:16" x14ac:dyDescent="0.2">
      <c r="B164" s="255" t="str">
        <f>'3. GRI Pricing'!C174</f>
        <v>702S</v>
      </c>
      <c r="C164" s="255" t="str">
        <f>'3. GRI Pricing'!D174</f>
        <v>2 Bed</v>
      </c>
      <c r="D164" s="255">
        <f>'3. GRI Pricing'!E174</f>
        <v>2</v>
      </c>
      <c r="E164" s="256">
        <f>'3. GRI Pricing'!Y174</f>
        <v>1290</v>
      </c>
      <c r="F164" s="279">
        <v>1326.5486942839655</v>
      </c>
      <c r="G164" s="279">
        <v>0</v>
      </c>
      <c r="H164" s="279">
        <v>0</v>
      </c>
      <c r="I164" s="254"/>
      <c r="J164" s="254"/>
      <c r="K164" s="254"/>
      <c r="L164" s="254"/>
      <c r="M164" s="254"/>
      <c r="N164" s="254"/>
      <c r="O164" s="254"/>
      <c r="P164" s="1"/>
    </row>
    <row r="165" spans="2:16" x14ac:dyDescent="0.2">
      <c r="B165" s="255" t="str">
        <f>'3. GRI Pricing'!C175</f>
        <v>703S</v>
      </c>
      <c r="C165" s="255" t="str">
        <f>'3. GRI Pricing'!D175</f>
        <v>2 Bed</v>
      </c>
      <c r="D165" s="255">
        <f>'3. GRI Pricing'!E175</f>
        <v>2</v>
      </c>
      <c r="E165" s="256">
        <f>'3. GRI Pricing'!Y175</f>
        <v>1290</v>
      </c>
      <c r="F165" s="279">
        <v>1326.5486942839655</v>
      </c>
      <c r="G165" s="279">
        <v>0</v>
      </c>
      <c r="H165" s="279">
        <v>0</v>
      </c>
      <c r="I165" s="254"/>
      <c r="J165" s="254"/>
      <c r="K165" s="254"/>
      <c r="L165" s="254"/>
      <c r="M165" s="254"/>
      <c r="N165" s="254"/>
      <c r="O165" s="254"/>
      <c r="P165" s="1"/>
    </row>
    <row r="166" spans="2:16" x14ac:dyDescent="0.2">
      <c r="B166" s="255" t="str">
        <f>'3. GRI Pricing'!C176</f>
        <v>704S</v>
      </c>
      <c r="C166" s="255" t="str">
        <f>'3. GRI Pricing'!D176</f>
        <v>3 Bed</v>
      </c>
      <c r="D166" s="255">
        <f>'3. GRI Pricing'!E176</f>
        <v>3</v>
      </c>
      <c r="E166" s="256">
        <f>'3. GRI Pricing'!Y176</f>
        <v>1665</v>
      </c>
      <c r="F166" s="279">
        <v>1673.2602848354563</v>
      </c>
      <c r="G166" s="279">
        <v>0</v>
      </c>
      <c r="H166" s="279">
        <v>0</v>
      </c>
      <c r="I166" s="254"/>
      <c r="J166" s="254"/>
      <c r="K166" s="254"/>
      <c r="L166" s="254"/>
      <c r="M166" s="254"/>
      <c r="N166" s="254"/>
      <c r="O166" s="254"/>
      <c r="P166" s="1"/>
    </row>
    <row r="167" spans="2:16" x14ac:dyDescent="0.2">
      <c r="B167" s="255" t="str">
        <f>'3. GRI Pricing'!C177</f>
        <v>705S</v>
      </c>
      <c r="C167" s="255" t="str">
        <f>'3. GRI Pricing'!D177</f>
        <v>2 Bed</v>
      </c>
      <c r="D167" s="255">
        <f>'3. GRI Pricing'!E177</f>
        <v>2</v>
      </c>
      <c r="E167" s="256">
        <f>'3. GRI Pricing'!Y177</f>
        <v>1320</v>
      </c>
      <c r="F167" s="279">
        <v>1356.6975282449646</v>
      </c>
      <c r="G167" s="279">
        <v>0</v>
      </c>
      <c r="H167" s="279">
        <v>0</v>
      </c>
      <c r="I167" s="254"/>
      <c r="J167" s="254"/>
      <c r="K167" s="254"/>
      <c r="L167" s="254"/>
      <c r="M167" s="254"/>
      <c r="N167" s="254"/>
      <c r="O167" s="254"/>
      <c r="P167" s="1"/>
    </row>
    <row r="168" spans="2:16" x14ac:dyDescent="0.2">
      <c r="B168" s="255" t="str">
        <f>'3. GRI Pricing'!C178</f>
        <v>706S</v>
      </c>
      <c r="C168" s="255" t="str">
        <f>'3. GRI Pricing'!D178</f>
        <v>1 Bed</v>
      </c>
      <c r="D168" s="255">
        <f>'3. GRI Pricing'!E178</f>
        <v>1</v>
      </c>
      <c r="E168" s="256">
        <f>'3. GRI Pricing'!Y178</f>
        <v>1000</v>
      </c>
      <c r="F168" s="279">
        <v>1004.9611320333072</v>
      </c>
      <c r="G168" s="279">
        <v>0</v>
      </c>
      <c r="H168" s="279">
        <v>0</v>
      </c>
      <c r="I168" s="254"/>
      <c r="J168" s="254"/>
      <c r="K168" s="254"/>
      <c r="L168" s="254"/>
      <c r="M168" s="254"/>
      <c r="N168" s="254"/>
      <c r="O168" s="254"/>
      <c r="P168" s="1"/>
    </row>
    <row r="169" spans="2:16" x14ac:dyDescent="0.2">
      <c r="B169" s="255" t="str">
        <f>'3. GRI Pricing'!C179</f>
        <v>707S</v>
      </c>
      <c r="C169" s="255" t="str">
        <f>'3. GRI Pricing'!D179</f>
        <v>2 Bed</v>
      </c>
      <c r="D169" s="255">
        <f>'3. GRI Pricing'!E179</f>
        <v>2</v>
      </c>
      <c r="E169" s="256">
        <f>'3. GRI Pricing'!Y179</f>
        <v>1265</v>
      </c>
      <c r="F169" s="279">
        <v>1301.4246659831329</v>
      </c>
      <c r="G169" s="279">
        <v>0</v>
      </c>
      <c r="H169" s="279">
        <v>0</v>
      </c>
      <c r="I169" s="254"/>
      <c r="J169" s="254"/>
      <c r="K169" s="254"/>
      <c r="L169" s="254"/>
      <c r="M169" s="254"/>
      <c r="N169" s="254"/>
      <c r="O169" s="254"/>
      <c r="P169" s="1"/>
    </row>
    <row r="170" spans="2:16" x14ac:dyDescent="0.2">
      <c r="B170" s="255" t="str">
        <f>'3. GRI Pricing'!C180</f>
        <v>801S</v>
      </c>
      <c r="C170" s="255" t="str">
        <f>'3. GRI Pricing'!D180</f>
        <v>2 Bed</v>
      </c>
      <c r="D170" s="255">
        <f>'3. GRI Pricing'!E180</f>
        <v>2</v>
      </c>
      <c r="E170" s="256">
        <f>'3. GRI Pricing'!Y180</f>
        <v>1360</v>
      </c>
      <c r="F170" s="279">
        <v>1396.895973526297</v>
      </c>
      <c r="G170" s="279">
        <v>0</v>
      </c>
      <c r="H170" s="279">
        <v>0</v>
      </c>
      <c r="I170" s="254"/>
      <c r="J170" s="254"/>
      <c r="K170" s="254"/>
      <c r="L170" s="254"/>
      <c r="M170" s="254"/>
      <c r="N170" s="254"/>
      <c r="O170" s="254"/>
      <c r="P170" s="1"/>
    </row>
    <row r="171" spans="2:16" x14ac:dyDescent="0.2">
      <c r="B171" s="255" t="str">
        <f>'3. GRI Pricing'!C181</f>
        <v>802S</v>
      </c>
      <c r="C171" s="255" t="str">
        <f>'3. GRI Pricing'!D181</f>
        <v>2 Bed</v>
      </c>
      <c r="D171" s="255">
        <f>'3. GRI Pricing'!E181</f>
        <v>2</v>
      </c>
      <c r="E171" s="256">
        <f>'3. GRI Pricing'!Y181</f>
        <v>1360</v>
      </c>
      <c r="F171" s="279">
        <v>1396.895973526297</v>
      </c>
      <c r="G171" s="279">
        <v>0</v>
      </c>
      <c r="H171" s="279">
        <v>0</v>
      </c>
      <c r="I171" s="254"/>
      <c r="J171" s="254"/>
      <c r="K171" s="254"/>
      <c r="L171" s="254"/>
      <c r="M171" s="254"/>
      <c r="N171" s="254"/>
      <c r="O171" s="254"/>
      <c r="P171" s="1"/>
    </row>
    <row r="172" spans="2:16" x14ac:dyDescent="0.2">
      <c r="B172" s="255" t="str">
        <f>'3. GRI Pricing'!C182</f>
        <v>803S</v>
      </c>
      <c r="C172" s="255" t="str">
        <f>'3. GRI Pricing'!D182</f>
        <v>2 Bed</v>
      </c>
      <c r="D172" s="255">
        <f>'3. GRI Pricing'!E182</f>
        <v>2</v>
      </c>
      <c r="E172" s="256">
        <f>'3. GRI Pricing'!Y182</f>
        <v>1360</v>
      </c>
      <c r="F172" s="279">
        <v>1396.895973526297</v>
      </c>
      <c r="G172" s="279">
        <v>0</v>
      </c>
      <c r="H172" s="279">
        <v>0</v>
      </c>
      <c r="I172" s="254"/>
      <c r="J172" s="254"/>
      <c r="K172" s="254"/>
      <c r="L172" s="254"/>
      <c r="M172" s="254"/>
      <c r="N172" s="254"/>
      <c r="O172" s="254"/>
      <c r="P172" s="1"/>
    </row>
    <row r="173" spans="2:16" x14ac:dyDescent="0.2">
      <c r="B173" s="255" t="str">
        <f>'3. GRI Pricing'!C183</f>
        <v>804S</v>
      </c>
      <c r="C173" s="255" t="str">
        <f>'3. GRI Pricing'!D183</f>
        <v>3 Bed</v>
      </c>
      <c r="D173" s="255">
        <f>'3. GRI Pricing'!E183</f>
        <v>3</v>
      </c>
      <c r="E173" s="256">
        <f>'3. GRI Pricing'!Y183</f>
        <v>1735</v>
      </c>
      <c r="F173" s="279">
        <v>1743.6075640777879</v>
      </c>
      <c r="G173" s="279">
        <v>0</v>
      </c>
      <c r="H173" s="279">
        <v>0</v>
      </c>
      <c r="I173" s="254"/>
      <c r="J173" s="254"/>
      <c r="K173" s="254"/>
      <c r="L173" s="254"/>
      <c r="M173" s="254"/>
      <c r="N173" s="254"/>
      <c r="O173" s="254"/>
      <c r="P173" s="1"/>
    </row>
    <row r="174" spans="2:16" x14ac:dyDescent="0.2">
      <c r="B174" s="255" t="str">
        <f>'3. GRI Pricing'!C184</f>
        <v>805S</v>
      </c>
      <c r="C174" s="255" t="str">
        <f>'3. GRI Pricing'!D184</f>
        <v>2 Bed</v>
      </c>
      <c r="D174" s="255">
        <f>'3. GRI Pricing'!E184</f>
        <v>2</v>
      </c>
      <c r="E174" s="256">
        <f>'3. GRI Pricing'!Y184</f>
        <v>1380</v>
      </c>
      <c r="F174" s="279">
        <v>1416.9951961669631</v>
      </c>
      <c r="G174" s="279">
        <v>0</v>
      </c>
      <c r="H174" s="279">
        <v>0</v>
      </c>
      <c r="I174" s="254"/>
      <c r="J174" s="254"/>
      <c r="K174" s="254"/>
      <c r="L174" s="254"/>
      <c r="M174" s="254"/>
      <c r="N174" s="254"/>
      <c r="O174" s="254"/>
      <c r="P174" s="1"/>
    </row>
    <row r="175" spans="2:16" x14ac:dyDescent="0.2">
      <c r="B175" s="255" t="str">
        <f>'3. GRI Pricing'!C185</f>
        <v>806S</v>
      </c>
      <c r="C175" s="255" t="str">
        <f>'3. GRI Pricing'!D185</f>
        <v>1 Bed</v>
      </c>
      <c r="D175" s="255">
        <f>'3. GRI Pricing'!E185</f>
        <v>1</v>
      </c>
      <c r="E175" s="256">
        <f>'3. GRI Pricing'!Y185</f>
        <v>1060</v>
      </c>
      <c r="F175" s="279">
        <v>1065.2587999553057</v>
      </c>
      <c r="G175" s="279">
        <v>0</v>
      </c>
      <c r="H175" s="279">
        <v>0</v>
      </c>
      <c r="I175" s="254"/>
      <c r="J175" s="254"/>
      <c r="K175" s="254"/>
      <c r="L175" s="254"/>
      <c r="M175" s="254"/>
      <c r="N175" s="254"/>
      <c r="O175" s="254"/>
      <c r="P175" s="1"/>
    </row>
    <row r="176" spans="2:16" x14ac:dyDescent="0.2">
      <c r="B176" s="255" t="str">
        <f>'3. GRI Pricing'!C186</f>
        <v>807S</v>
      </c>
      <c r="C176" s="255" t="str">
        <f>'3. GRI Pricing'!D186</f>
        <v>2 Bed</v>
      </c>
      <c r="D176" s="255">
        <f>'3. GRI Pricing'!E186</f>
        <v>2</v>
      </c>
      <c r="E176" s="256">
        <f>'3. GRI Pricing'!Y186</f>
        <v>1325</v>
      </c>
      <c r="F176" s="279">
        <v>1361.7223339051311</v>
      </c>
      <c r="G176" s="279">
        <v>0</v>
      </c>
      <c r="H176" s="279">
        <v>0</v>
      </c>
      <c r="I176" s="254"/>
      <c r="J176" s="254"/>
      <c r="K176" s="254"/>
      <c r="L176" s="254"/>
      <c r="M176" s="254"/>
      <c r="N176" s="254"/>
      <c r="O176" s="254"/>
      <c r="P176" s="1"/>
    </row>
    <row r="177" spans="2:16" x14ac:dyDescent="0.2">
      <c r="B177" s="255" t="str">
        <f>'3. GRI Pricing'!C187</f>
        <v>1W</v>
      </c>
      <c r="C177" s="255" t="str">
        <f>'3. GRI Pricing'!D187</f>
        <v>2 Bed</v>
      </c>
      <c r="D177" s="255">
        <f>'3. GRI Pricing'!E187</f>
        <v>2</v>
      </c>
      <c r="E177" s="256">
        <f>'3. GRI Pricing'!Y187</f>
        <v>1255</v>
      </c>
      <c r="F177" s="279">
        <v>1291.3750546627998</v>
      </c>
      <c r="G177" s="279">
        <v>0</v>
      </c>
      <c r="H177" s="279">
        <v>0</v>
      </c>
      <c r="I177" s="254"/>
      <c r="J177" s="254"/>
      <c r="K177" s="254"/>
      <c r="L177" s="254"/>
      <c r="M177" s="254"/>
      <c r="N177" s="254"/>
      <c r="O177" s="254"/>
      <c r="P177" s="1"/>
    </row>
    <row r="178" spans="2:16" x14ac:dyDescent="0.2">
      <c r="B178" s="255" t="str">
        <f>'3. GRI Pricing'!C188</f>
        <v>2W</v>
      </c>
      <c r="C178" s="255" t="str">
        <f>'3. GRI Pricing'!D188</f>
        <v>1 Bed</v>
      </c>
      <c r="D178" s="255">
        <f>'3. GRI Pricing'!E188</f>
        <v>1</v>
      </c>
      <c r="E178" s="256">
        <f>'3. GRI Pricing'!Y188</f>
        <v>915</v>
      </c>
      <c r="F178" s="279">
        <v>919.53943581047611</v>
      </c>
      <c r="G178" s="279">
        <v>0</v>
      </c>
      <c r="H178" s="279">
        <v>0</v>
      </c>
      <c r="I178" s="254"/>
      <c r="J178" s="254"/>
      <c r="K178" s="254"/>
      <c r="L178" s="254"/>
      <c r="M178" s="254"/>
      <c r="N178" s="254"/>
      <c r="O178" s="254"/>
      <c r="P178" s="1"/>
    </row>
    <row r="179" spans="2:16" x14ac:dyDescent="0.2">
      <c r="B179" s="255" t="str">
        <f>'3. GRI Pricing'!C189</f>
        <v>3W</v>
      </c>
      <c r="C179" s="255" t="str">
        <f>'3. GRI Pricing'!D189</f>
        <v>1 Bed</v>
      </c>
      <c r="D179" s="255">
        <f>'3. GRI Pricing'!E189</f>
        <v>1</v>
      </c>
      <c r="E179" s="256">
        <f>'3. GRI Pricing'!Y189</f>
        <v>940</v>
      </c>
      <c r="F179" s="279">
        <v>944.66346411130871</v>
      </c>
      <c r="G179" s="279">
        <v>0</v>
      </c>
      <c r="H179" s="279">
        <v>0</v>
      </c>
      <c r="I179" s="254"/>
      <c r="J179" s="254"/>
      <c r="K179" s="254"/>
      <c r="L179" s="254"/>
      <c r="M179" s="254"/>
      <c r="N179" s="254"/>
      <c r="O179" s="254"/>
      <c r="P179" s="1"/>
    </row>
    <row r="180" spans="2:16" x14ac:dyDescent="0.2">
      <c r="B180" s="255" t="str">
        <f>'3. GRI Pricing'!C190</f>
        <v>4W</v>
      </c>
      <c r="C180" s="255" t="str">
        <f>'3. GRI Pricing'!D190</f>
        <v>1 Bed</v>
      </c>
      <c r="D180" s="255">
        <f>'3. GRI Pricing'!E190</f>
        <v>1</v>
      </c>
      <c r="E180" s="256">
        <f>'3. GRI Pricing'!Y190</f>
        <v>925</v>
      </c>
      <c r="F180" s="279">
        <v>929.58904713080915</v>
      </c>
      <c r="G180" s="279">
        <v>0</v>
      </c>
      <c r="H180" s="279">
        <v>0</v>
      </c>
      <c r="I180" s="254"/>
      <c r="J180" s="254"/>
      <c r="K180" s="254"/>
      <c r="L180" s="254"/>
      <c r="M180" s="254"/>
      <c r="N180" s="254"/>
      <c r="O180" s="254"/>
      <c r="P180" s="1"/>
    </row>
    <row r="181" spans="2:16" x14ac:dyDescent="0.2">
      <c r="B181" s="255" t="str">
        <f>'3. GRI Pricing'!C191</f>
        <v>5W</v>
      </c>
      <c r="C181" s="255" t="str">
        <f>'3. GRI Pricing'!D191</f>
        <v>2 Bed</v>
      </c>
      <c r="D181" s="255">
        <f>'3. GRI Pricing'!E191</f>
        <v>2</v>
      </c>
      <c r="E181" s="256">
        <f>'3. GRI Pricing'!Y191</f>
        <v>1215</v>
      </c>
      <c r="F181" s="279">
        <v>1251.1766093814674</v>
      </c>
      <c r="G181" s="279">
        <v>0</v>
      </c>
      <c r="H181" s="279">
        <v>0</v>
      </c>
      <c r="I181" s="254"/>
      <c r="J181" s="254"/>
      <c r="K181" s="254"/>
      <c r="L181" s="254"/>
      <c r="M181" s="254"/>
      <c r="N181" s="254"/>
      <c r="O181" s="254"/>
      <c r="P181" s="1"/>
    </row>
    <row r="182" spans="2:16" x14ac:dyDescent="0.2">
      <c r="B182" s="255" t="str">
        <f>'3. GRI Pricing'!C192</f>
        <v>6W</v>
      </c>
      <c r="C182" s="255" t="str">
        <f>'3. GRI Pricing'!D192</f>
        <v>2 Bed</v>
      </c>
      <c r="D182" s="255">
        <f>'3. GRI Pricing'!E192</f>
        <v>2</v>
      </c>
      <c r="E182" s="256">
        <f>'3. GRI Pricing'!Y192</f>
        <v>1295</v>
      </c>
      <c r="F182" s="279">
        <v>1331.573499944132</v>
      </c>
      <c r="G182" s="279">
        <v>0</v>
      </c>
      <c r="H182" s="279">
        <v>0</v>
      </c>
      <c r="I182" s="254"/>
      <c r="J182" s="254"/>
      <c r="K182" s="254"/>
      <c r="L182" s="254"/>
      <c r="M182" s="254"/>
      <c r="N182" s="254"/>
      <c r="O182" s="254"/>
      <c r="P182" s="1"/>
    </row>
    <row r="183" spans="2:16" x14ac:dyDescent="0.2">
      <c r="B183" s="255" t="str">
        <f>'3. GRI Pricing'!C193</f>
        <v>7W</v>
      </c>
      <c r="C183" s="255" t="str">
        <f>'3. GRI Pricing'!D193</f>
        <v>2 Bed</v>
      </c>
      <c r="D183" s="255">
        <f>'3. GRI Pricing'!E193</f>
        <v>2</v>
      </c>
      <c r="E183" s="256">
        <f>'3. GRI Pricing'!Y193</f>
        <v>1305</v>
      </c>
      <c r="F183" s="279">
        <v>1341.623111264465</v>
      </c>
      <c r="G183" s="279">
        <v>0</v>
      </c>
      <c r="H183" s="279">
        <v>0</v>
      </c>
      <c r="I183" s="254"/>
      <c r="J183" s="254"/>
      <c r="K183" s="254"/>
      <c r="L183" s="254"/>
      <c r="M183" s="254"/>
      <c r="N183" s="254"/>
      <c r="O183" s="254"/>
      <c r="P183" s="1"/>
    </row>
    <row r="184" spans="2:16" x14ac:dyDescent="0.2">
      <c r="B184" s="255" t="str">
        <f>'3. GRI Pricing'!C194</f>
        <v>8W</v>
      </c>
      <c r="C184" s="255" t="str">
        <f>'3. GRI Pricing'!D194</f>
        <v>2 Bed</v>
      </c>
      <c r="D184" s="255">
        <f>'3. GRI Pricing'!E194</f>
        <v>2</v>
      </c>
      <c r="E184" s="256">
        <f>'3. GRI Pricing'!Y194</f>
        <v>1255</v>
      </c>
      <c r="F184" s="279">
        <v>1291.3750546627998</v>
      </c>
      <c r="G184" s="279">
        <v>0</v>
      </c>
      <c r="H184" s="279">
        <v>0</v>
      </c>
      <c r="I184" s="254"/>
      <c r="J184" s="254"/>
      <c r="K184" s="254"/>
      <c r="L184" s="254"/>
      <c r="M184" s="254"/>
      <c r="N184" s="254"/>
      <c r="O184" s="254"/>
      <c r="P184" s="1"/>
    </row>
    <row r="185" spans="2:16" x14ac:dyDescent="0.2">
      <c r="B185" s="255" t="str">
        <f>'3. GRI Pricing'!C195</f>
        <v>9W</v>
      </c>
      <c r="C185" s="255" t="str">
        <f>'3. GRI Pricing'!D195</f>
        <v>1 Bed</v>
      </c>
      <c r="D185" s="255">
        <f>'3. GRI Pricing'!E195</f>
        <v>1</v>
      </c>
      <c r="E185" s="256">
        <f>'3. GRI Pricing'!Y195</f>
        <v>910</v>
      </c>
      <c r="F185" s="279">
        <v>914.51463015030947</v>
      </c>
      <c r="G185" s="279">
        <v>0</v>
      </c>
      <c r="H185" s="279">
        <v>0</v>
      </c>
      <c r="I185" s="254"/>
      <c r="J185" s="254"/>
      <c r="K185" s="254"/>
      <c r="L185" s="254"/>
      <c r="M185" s="254"/>
      <c r="N185" s="254"/>
      <c r="O185" s="254"/>
      <c r="P185" s="1"/>
    </row>
    <row r="186" spans="2:16" x14ac:dyDescent="0.2">
      <c r="B186" s="255" t="str">
        <f>'3. GRI Pricing'!C196</f>
        <v>10W</v>
      </c>
      <c r="C186" s="255" t="str">
        <f>'3. GRI Pricing'!D196</f>
        <v>3 Bed</v>
      </c>
      <c r="D186" s="255">
        <f>'3. GRI Pricing'!E196</f>
        <v>2</v>
      </c>
      <c r="E186" s="256">
        <f>'3. GRI Pricing'!Y196</f>
        <v>1530</v>
      </c>
      <c r="F186" s="279">
        <v>1537.59053201096</v>
      </c>
      <c r="G186" s="279">
        <v>0</v>
      </c>
      <c r="H186" s="279">
        <v>0</v>
      </c>
      <c r="I186" s="254"/>
      <c r="J186" s="254"/>
      <c r="K186" s="254"/>
      <c r="L186" s="254"/>
      <c r="M186" s="254"/>
      <c r="N186" s="254"/>
      <c r="O186" s="254"/>
      <c r="P186" s="1"/>
    </row>
    <row r="187" spans="2:16" x14ac:dyDescent="0.2">
      <c r="B187" s="255" t="str">
        <f>'3. GRI Pricing'!C197</f>
        <v>11W</v>
      </c>
      <c r="C187" s="255" t="str">
        <f>'3. GRI Pricing'!D197</f>
        <v>2 Bed</v>
      </c>
      <c r="D187" s="255">
        <f>'3. GRI Pricing'!E197</f>
        <v>2</v>
      </c>
      <c r="E187" s="256">
        <f>'3. GRI Pricing'!Y197</f>
        <v>1190</v>
      </c>
      <c r="F187" s="279">
        <v>1226.0525810806348</v>
      </c>
      <c r="G187" s="279">
        <v>0</v>
      </c>
      <c r="H187" s="279">
        <v>0</v>
      </c>
      <c r="I187" s="254"/>
      <c r="J187" s="254"/>
      <c r="K187" s="254"/>
      <c r="L187" s="254"/>
      <c r="M187" s="254"/>
      <c r="N187" s="254"/>
      <c r="O187" s="254"/>
      <c r="P187" s="1"/>
    </row>
    <row r="188" spans="2:16" x14ac:dyDescent="0.2">
      <c r="B188" s="255" t="str">
        <f>'3. GRI Pricing'!C198</f>
        <v>101W</v>
      </c>
      <c r="C188" s="255" t="str">
        <f>'3. GRI Pricing'!D198</f>
        <v>2 Bed</v>
      </c>
      <c r="D188" s="255">
        <f>'3. GRI Pricing'!E198</f>
        <v>2</v>
      </c>
      <c r="E188" s="256">
        <f>'3. GRI Pricing'!Y198</f>
        <v>1285</v>
      </c>
      <c r="F188" s="279">
        <v>1321.5238886237989</v>
      </c>
      <c r="G188" s="279">
        <v>0</v>
      </c>
      <c r="H188" s="279">
        <v>0</v>
      </c>
      <c r="I188" s="254"/>
      <c r="J188" s="254"/>
      <c r="K188" s="254"/>
      <c r="L188" s="254"/>
      <c r="M188" s="254"/>
      <c r="N188" s="254"/>
      <c r="O188" s="254"/>
      <c r="P188" s="1"/>
    </row>
    <row r="189" spans="2:16" x14ac:dyDescent="0.2">
      <c r="B189" s="255" t="str">
        <f>'3. GRI Pricing'!C199</f>
        <v>102W</v>
      </c>
      <c r="C189" s="255" t="str">
        <f>'3. GRI Pricing'!D199</f>
        <v>1 Bed</v>
      </c>
      <c r="D189" s="255">
        <f>'3. GRI Pricing'!E199</f>
        <v>1</v>
      </c>
      <c r="E189" s="256">
        <f>'3. GRI Pricing'!Y199</f>
        <v>985</v>
      </c>
      <c r="F189" s="279">
        <v>989.88671505280752</v>
      </c>
      <c r="G189" s="279">
        <v>0</v>
      </c>
      <c r="H189" s="279">
        <v>0</v>
      </c>
      <c r="I189" s="254"/>
      <c r="J189" s="254"/>
      <c r="K189" s="254"/>
      <c r="L189" s="254"/>
      <c r="M189" s="254"/>
      <c r="N189" s="254"/>
      <c r="O189" s="254"/>
      <c r="P189" s="1"/>
    </row>
    <row r="190" spans="2:16" x14ac:dyDescent="0.2">
      <c r="B190" s="255" t="str">
        <f>'3. GRI Pricing'!C200</f>
        <v>103W</v>
      </c>
      <c r="C190" s="255" t="str">
        <f>'3. GRI Pricing'!D200</f>
        <v>2 Bed</v>
      </c>
      <c r="D190" s="255">
        <f>'3. GRI Pricing'!E200</f>
        <v>2</v>
      </c>
      <c r="E190" s="256">
        <f>'3. GRI Pricing'!Y200</f>
        <v>1255</v>
      </c>
      <c r="F190" s="279">
        <v>1291.3750546627998</v>
      </c>
      <c r="G190" s="279">
        <v>0</v>
      </c>
      <c r="H190" s="279">
        <v>0</v>
      </c>
      <c r="I190" s="254"/>
      <c r="J190" s="254"/>
      <c r="K190" s="254"/>
      <c r="L190" s="254"/>
      <c r="M190" s="254"/>
      <c r="N190" s="254"/>
      <c r="O190" s="254"/>
      <c r="P190" s="1"/>
    </row>
    <row r="191" spans="2:16" x14ac:dyDescent="0.2">
      <c r="B191" s="255" t="str">
        <f>'3. GRI Pricing'!C201</f>
        <v>104W</v>
      </c>
      <c r="C191" s="255" t="str">
        <f>'3. GRI Pricing'!D201</f>
        <v>2 Bed</v>
      </c>
      <c r="D191" s="255">
        <f>'3. GRI Pricing'!E201</f>
        <v>2</v>
      </c>
      <c r="E191" s="256">
        <f>'3. GRI Pricing'!Y201</f>
        <v>1240</v>
      </c>
      <c r="F191" s="279">
        <v>1276.3006376823</v>
      </c>
      <c r="G191" s="279">
        <v>0</v>
      </c>
      <c r="H191" s="279">
        <v>0</v>
      </c>
      <c r="I191" s="254"/>
      <c r="J191" s="254"/>
      <c r="K191" s="254"/>
      <c r="L191" s="254"/>
      <c r="M191" s="254"/>
      <c r="N191" s="254"/>
      <c r="O191" s="254"/>
      <c r="P191" s="1"/>
    </row>
    <row r="192" spans="2:16" x14ac:dyDescent="0.2">
      <c r="B192" s="255" t="str">
        <f>'3. GRI Pricing'!C202</f>
        <v>105W</v>
      </c>
      <c r="C192" s="255" t="str">
        <f>'3. GRI Pricing'!D202</f>
        <v>2 Bed</v>
      </c>
      <c r="D192" s="255">
        <f>'3. GRI Pricing'!E202</f>
        <v>2</v>
      </c>
      <c r="E192" s="256">
        <f>'3. GRI Pricing'!Y202</f>
        <v>1260</v>
      </c>
      <c r="F192" s="279">
        <v>1296.3998603229663</v>
      </c>
      <c r="G192" s="279">
        <v>0</v>
      </c>
      <c r="H192" s="279">
        <v>0</v>
      </c>
      <c r="I192" s="254"/>
      <c r="J192" s="254"/>
      <c r="K192" s="254"/>
      <c r="L192" s="254"/>
      <c r="M192" s="254"/>
      <c r="N192" s="254"/>
      <c r="O192" s="254"/>
      <c r="P192" s="1"/>
    </row>
    <row r="193" spans="2:16" x14ac:dyDescent="0.2">
      <c r="B193" s="255" t="str">
        <f>'3. GRI Pricing'!C203</f>
        <v>106W</v>
      </c>
      <c r="C193" s="255" t="str">
        <f>'3. GRI Pricing'!D203</f>
        <v>1 Bed</v>
      </c>
      <c r="D193" s="255">
        <f>'3. GRI Pricing'!E203</f>
        <v>1</v>
      </c>
      <c r="E193" s="256">
        <f>'3. GRI Pricing'!Y203</f>
        <v>970</v>
      </c>
      <c r="F193" s="279">
        <v>974.81229807230795</v>
      </c>
      <c r="G193" s="279">
        <v>0</v>
      </c>
      <c r="H193" s="279">
        <v>0</v>
      </c>
      <c r="I193" s="254"/>
      <c r="J193" s="254"/>
      <c r="K193" s="254"/>
      <c r="L193" s="254"/>
      <c r="M193" s="254"/>
      <c r="N193" s="254"/>
      <c r="O193" s="254"/>
      <c r="P193" s="1"/>
    </row>
    <row r="194" spans="2:16" x14ac:dyDescent="0.2">
      <c r="B194" s="255" t="str">
        <f>'3. GRI Pricing'!C204</f>
        <v>107W</v>
      </c>
      <c r="C194" s="255" t="str">
        <f>'3. GRI Pricing'!D204</f>
        <v>1 Bed</v>
      </c>
      <c r="D194" s="255">
        <f>'3. GRI Pricing'!E204</f>
        <v>1</v>
      </c>
      <c r="E194" s="256">
        <f>'3. GRI Pricing'!Y204</f>
        <v>955</v>
      </c>
      <c r="F194" s="279">
        <v>959.73788109180839</v>
      </c>
      <c r="G194" s="279">
        <v>0</v>
      </c>
      <c r="H194" s="279">
        <v>0</v>
      </c>
      <c r="I194" s="254"/>
      <c r="J194" s="254"/>
      <c r="K194" s="254"/>
      <c r="L194" s="254"/>
      <c r="M194" s="254"/>
      <c r="N194" s="254"/>
      <c r="O194" s="254"/>
      <c r="P194" s="1"/>
    </row>
    <row r="195" spans="2:16" x14ac:dyDescent="0.2">
      <c r="B195" s="255" t="str">
        <f>'3. GRI Pricing'!C205</f>
        <v>108W</v>
      </c>
      <c r="C195" s="255" t="str">
        <f>'3. GRI Pricing'!D205</f>
        <v>2 Bed</v>
      </c>
      <c r="D195" s="255">
        <f>'3. GRI Pricing'!E205</f>
        <v>2</v>
      </c>
      <c r="E195" s="256">
        <f>'3. GRI Pricing'!Y205</f>
        <v>1345</v>
      </c>
      <c r="F195" s="279">
        <v>1381.8215565457974</v>
      </c>
      <c r="G195" s="279">
        <v>0</v>
      </c>
      <c r="H195" s="279">
        <v>0</v>
      </c>
      <c r="I195" s="254"/>
      <c r="J195" s="254"/>
      <c r="K195" s="254"/>
      <c r="L195" s="254"/>
      <c r="M195" s="254"/>
      <c r="N195" s="254"/>
      <c r="O195" s="254"/>
      <c r="P195" s="1"/>
    </row>
    <row r="196" spans="2:16" x14ac:dyDescent="0.2">
      <c r="B196" s="255" t="str">
        <f>'3. GRI Pricing'!C206</f>
        <v>109W</v>
      </c>
      <c r="C196" s="255" t="str">
        <f>'3. GRI Pricing'!D206</f>
        <v>2 Bed</v>
      </c>
      <c r="D196" s="255">
        <f>'3. GRI Pricing'!E206</f>
        <v>2</v>
      </c>
      <c r="E196" s="256">
        <f>'3. GRI Pricing'!Y206</f>
        <v>1255</v>
      </c>
      <c r="F196" s="279">
        <v>1291.3750546627998</v>
      </c>
      <c r="G196" s="279">
        <v>0</v>
      </c>
      <c r="H196" s="279">
        <v>0</v>
      </c>
      <c r="I196" s="254"/>
      <c r="J196" s="254"/>
      <c r="K196" s="254"/>
      <c r="L196" s="254"/>
      <c r="M196" s="254"/>
      <c r="N196" s="254"/>
      <c r="O196" s="254"/>
      <c r="P196" s="1"/>
    </row>
    <row r="197" spans="2:16" x14ac:dyDescent="0.2">
      <c r="B197" s="255" t="str">
        <f>'3. GRI Pricing'!C207</f>
        <v>110W</v>
      </c>
      <c r="C197" s="255" t="str">
        <f>'3. GRI Pricing'!D207</f>
        <v>2 Bed</v>
      </c>
      <c r="D197" s="255">
        <f>'3. GRI Pricing'!E207</f>
        <v>2</v>
      </c>
      <c r="E197" s="256">
        <f>'3. GRI Pricing'!Y207</f>
        <v>1300</v>
      </c>
      <c r="F197" s="279">
        <v>1336.5983056042985</v>
      </c>
      <c r="G197" s="279">
        <v>0</v>
      </c>
      <c r="H197" s="279">
        <v>0</v>
      </c>
      <c r="I197" s="254"/>
      <c r="J197" s="254"/>
      <c r="K197" s="254"/>
      <c r="L197" s="254"/>
      <c r="M197" s="254"/>
      <c r="N197" s="254"/>
      <c r="O197" s="254"/>
      <c r="P197" s="1"/>
    </row>
    <row r="198" spans="2:16" x14ac:dyDescent="0.2">
      <c r="B198" s="255" t="str">
        <f>'3. GRI Pricing'!C208</f>
        <v>111W</v>
      </c>
      <c r="C198" s="255" t="str">
        <f>'3. GRI Pricing'!D208</f>
        <v>2 Bed</v>
      </c>
      <c r="D198" s="255">
        <f>'3. GRI Pricing'!E208</f>
        <v>2</v>
      </c>
      <c r="E198" s="256">
        <f>'3. GRI Pricing'!Y208</f>
        <v>1265</v>
      </c>
      <c r="F198" s="279">
        <v>1301.4246659831329</v>
      </c>
      <c r="G198" s="279">
        <v>0</v>
      </c>
      <c r="H198" s="279">
        <v>0</v>
      </c>
      <c r="I198" s="254"/>
      <c r="J198" s="254"/>
      <c r="K198" s="254"/>
      <c r="L198" s="254"/>
      <c r="M198" s="254"/>
      <c r="N198" s="254"/>
      <c r="O198" s="254"/>
      <c r="P198" s="1"/>
    </row>
    <row r="199" spans="2:16" x14ac:dyDescent="0.2">
      <c r="B199" s="255" t="str">
        <f>'3. GRI Pricing'!C209</f>
        <v>112W</v>
      </c>
      <c r="C199" s="255" t="str">
        <f>'3. GRI Pricing'!D209</f>
        <v>1 Bed</v>
      </c>
      <c r="D199" s="255">
        <f>'3. GRI Pricing'!E209</f>
        <v>1</v>
      </c>
      <c r="E199" s="256">
        <f>'3. GRI Pricing'!Y209</f>
        <v>975</v>
      </c>
      <c r="F199" s="279">
        <v>979.83710373247447</v>
      </c>
      <c r="G199" s="279">
        <v>0</v>
      </c>
      <c r="H199" s="279">
        <v>0</v>
      </c>
      <c r="I199" s="254"/>
      <c r="J199" s="254"/>
      <c r="K199" s="254"/>
      <c r="L199" s="254"/>
      <c r="M199" s="254"/>
      <c r="N199" s="254"/>
      <c r="O199" s="254"/>
      <c r="P199" s="1"/>
    </row>
    <row r="200" spans="2:16" x14ac:dyDescent="0.2">
      <c r="B200" s="255" t="str">
        <f>'3. GRI Pricing'!C210</f>
        <v>113W</v>
      </c>
      <c r="C200" s="255" t="str">
        <f>'3. GRI Pricing'!D210</f>
        <v>3 Bed</v>
      </c>
      <c r="D200" s="255">
        <f>'3. GRI Pricing'!E210</f>
        <v>2</v>
      </c>
      <c r="E200" s="256">
        <f>'3. GRI Pricing'!Y210</f>
        <v>1665</v>
      </c>
      <c r="F200" s="279">
        <v>1673.2602848354563</v>
      </c>
      <c r="G200" s="279">
        <v>0</v>
      </c>
      <c r="H200" s="279">
        <v>0</v>
      </c>
      <c r="I200" s="254"/>
      <c r="J200" s="254"/>
      <c r="K200" s="254"/>
      <c r="L200" s="254"/>
      <c r="M200" s="254"/>
      <c r="N200" s="254"/>
      <c r="O200" s="254"/>
      <c r="P200" s="1"/>
    </row>
    <row r="201" spans="2:16" x14ac:dyDescent="0.2">
      <c r="B201" s="255" t="str">
        <f>'3. GRI Pricing'!C211</f>
        <v>114W</v>
      </c>
      <c r="C201" s="255" t="str">
        <f>'3. GRI Pricing'!D211</f>
        <v>2 Bed</v>
      </c>
      <c r="D201" s="255">
        <f>'3. GRI Pricing'!E211</f>
        <v>2</v>
      </c>
      <c r="E201" s="256">
        <f>'3. GRI Pricing'!Y211</f>
        <v>1225</v>
      </c>
      <c r="F201" s="279">
        <v>1261.2262207018005</v>
      </c>
      <c r="G201" s="279">
        <v>0</v>
      </c>
      <c r="H201" s="279">
        <v>0</v>
      </c>
      <c r="I201" s="254"/>
      <c r="J201" s="254"/>
      <c r="K201" s="254"/>
      <c r="L201" s="254"/>
      <c r="M201" s="254"/>
      <c r="N201" s="254"/>
      <c r="O201" s="254"/>
      <c r="P201" s="1"/>
    </row>
    <row r="202" spans="2:16" x14ac:dyDescent="0.2">
      <c r="B202" s="255" t="str">
        <f>'3. GRI Pricing'!C212</f>
        <v>201W</v>
      </c>
      <c r="C202" s="255" t="str">
        <f>'3. GRI Pricing'!D212</f>
        <v>2 Bed</v>
      </c>
      <c r="D202" s="255">
        <f>'3. GRI Pricing'!E212</f>
        <v>2</v>
      </c>
      <c r="E202" s="256">
        <f>'3. GRI Pricing'!Y212</f>
        <v>1295</v>
      </c>
      <c r="F202" s="279">
        <v>1331.573499944132</v>
      </c>
      <c r="G202" s="279">
        <v>0</v>
      </c>
      <c r="H202" s="279">
        <v>0</v>
      </c>
      <c r="I202" s="254"/>
      <c r="J202" s="254"/>
      <c r="K202" s="254"/>
      <c r="L202" s="254"/>
      <c r="M202" s="254"/>
      <c r="N202" s="254"/>
      <c r="O202" s="254"/>
      <c r="P202" s="1"/>
    </row>
    <row r="203" spans="2:16" x14ac:dyDescent="0.2">
      <c r="B203" s="255" t="str">
        <f>'3. GRI Pricing'!C213</f>
        <v>202W</v>
      </c>
      <c r="C203" s="255" t="str">
        <f>'3. GRI Pricing'!D213</f>
        <v>1 Bed</v>
      </c>
      <c r="D203" s="255">
        <f>'3. GRI Pricing'!E213</f>
        <v>1</v>
      </c>
      <c r="E203" s="256">
        <f>'3. GRI Pricing'!Y213</f>
        <v>995</v>
      </c>
      <c r="F203" s="279">
        <v>999.93632637314067</v>
      </c>
      <c r="G203" s="279">
        <v>0</v>
      </c>
      <c r="H203" s="279">
        <v>0</v>
      </c>
      <c r="I203" s="254"/>
      <c r="J203" s="254"/>
      <c r="K203" s="254"/>
      <c r="L203" s="254"/>
      <c r="M203" s="254"/>
      <c r="N203" s="254"/>
      <c r="O203" s="254"/>
      <c r="P203" s="1"/>
    </row>
    <row r="204" spans="2:16" x14ac:dyDescent="0.2">
      <c r="B204" s="255" t="str">
        <f>'3. GRI Pricing'!C214</f>
        <v>203W</v>
      </c>
      <c r="C204" s="255" t="str">
        <f>'3. GRI Pricing'!D214</f>
        <v>2 Bed</v>
      </c>
      <c r="D204" s="255">
        <f>'3. GRI Pricing'!E214</f>
        <v>2</v>
      </c>
      <c r="E204" s="256">
        <f>'3. GRI Pricing'!Y214</f>
        <v>1265</v>
      </c>
      <c r="F204" s="279">
        <v>1301.4246659831329</v>
      </c>
      <c r="G204" s="279">
        <v>0</v>
      </c>
      <c r="H204" s="279">
        <v>0</v>
      </c>
      <c r="I204" s="254"/>
      <c r="J204" s="254"/>
      <c r="K204" s="254"/>
      <c r="L204" s="254"/>
      <c r="M204" s="254"/>
      <c r="N204" s="254"/>
      <c r="O204" s="254"/>
      <c r="P204" s="1"/>
    </row>
    <row r="205" spans="2:16" x14ac:dyDescent="0.2">
      <c r="B205" s="255" t="str">
        <f>'3. GRI Pricing'!C215</f>
        <v>204W</v>
      </c>
      <c r="C205" s="255" t="str">
        <f>'3. GRI Pricing'!D215</f>
        <v>2 Bed</v>
      </c>
      <c r="D205" s="255">
        <f>'3. GRI Pricing'!E215</f>
        <v>2</v>
      </c>
      <c r="E205" s="256">
        <f>'3. GRI Pricing'!Y215</f>
        <v>1250</v>
      </c>
      <c r="F205" s="279">
        <v>1286.3502490026331</v>
      </c>
      <c r="G205" s="279">
        <v>0</v>
      </c>
      <c r="H205" s="279">
        <v>0</v>
      </c>
      <c r="I205" s="254"/>
      <c r="J205" s="254"/>
      <c r="K205" s="254"/>
      <c r="L205" s="254"/>
      <c r="M205" s="254"/>
      <c r="N205" s="254"/>
      <c r="O205" s="254"/>
      <c r="P205" s="1"/>
    </row>
    <row r="206" spans="2:16" x14ac:dyDescent="0.2">
      <c r="B206" s="255" t="str">
        <f>'3. GRI Pricing'!C216</f>
        <v>205W</v>
      </c>
      <c r="C206" s="255" t="str">
        <f>'3. GRI Pricing'!D216</f>
        <v>2 Bed</v>
      </c>
      <c r="D206" s="255">
        <f>'3. GRI Pricing'!E216</f>
        <v>2</v>
      </c>
      <c r="E206" s="256">
        <f>'3. GRI Pricing'!Y216</f>
        <v>1270</v>
      </c>
      <c r="F206" s="279">
        <v>1306.4494716432994</v>
      </c>
      <c r="G206" s="279">
        <v>0</v>
      </c>
      <c r="H206" s="279">
        <v>0</v>
      </c>
      <c r="I206" s="254"/>
      <c r="J206" s="254"/>
      <c r="K206" s="254"/>
      <c r="L206" s="254"/>
      <c r="M206" s="254"/>
      <c r="N206" s="254"/>
      <c r="O206" s="254"/>
      <c r="P206" s="1"/>
    </row>
    <row r="207" spans="2:16" x14ac:dyDescent="0.2">
      <c r="B207" s="255" t="str">
        <f>'3. GRI Pricing'!C217</f>
        <v>206W</v>
      </c>
      <c r="C207" s="255" t="str">
        <f>'3. GRI Pricing'!D217</f>
        <v>1 Bed</v>
      </c>
      <c r="D207" s="255">
        <f>'3. GRI Pricing'!E217</f>
        <v>1</v>
      </c>
      <c r="E207" s="256">
        <f>'3. GRI Pricing'!Y217</f>
        <v>980</v>
      </c>
      <c r="F207" s="279">
        <v>984.861909392641</v>
      </c>
      <c r="G207" s="279">
        <v>0</v>
      </c>
      <c r="H207" s="279">
        <v>0</v>
      </c>
      <c r="I207" s="254"/>
      <c r="J207" s="254"/>
      <c r="K207" s="254"/>
      <c r="L207" s="254"/>
      <c r="M207" s="254"/>
      <c r="N207" s="254"/>
      <c r="O207" s="254"/>
      <c r="P207" s="1"/>
    </row>
    <row r="208" spans="2:16" x14ac:dyDescent="0.2">
      <c r="B208" s="255" t="str">
        <f>'3. GRI Pricing'!C218</f>
        <v>207W</v>
      </c>
      <c r="C208" s="255" t="str">
        <f>'3. GRI Pricing'!D218</f>
        <v>1 Bed</v>
      </c>
      <c r="D208" s="255">
        <f>'3. GRI Pricing'!E218</f>
        <v>1</v>
      </c>
      <c r="E208" s="256">
        <f>'3. GRI Pricing'!Y218</f>
        <v>965</v>
      </c>
      <c r="F208" s="279">
        <v>969.78749241214143</v>
      </c>
      <c r="G208" s="279">
        <v>0</v>
      </c>
      <c r="H208" s="279">
        <v>0</v>
      </c>
      <c r="I208" s="254"/>
      <c r="J208" s="254"/>
      <c r="K208" s="254"/>
      <c r="L208" s="254"/>
      <c r="M208" s="254"/>
      <c r="N208" s="254"/>
      <c r="O208" s="254"/>
      <c r="P208" s="1"/>
    </row>
    <row r="209" spans="2:16" x14ac:dyDescent="0.2">
      <c r="B209" s="255" t="str">
        <f>'3. GRI Pricing'!C219</f>
        <v>208W</v>
      </c>
      <c r="C209" s="255" t="str">
        <f>'3. GRI Pricing'!D219</f>
        <v>2 Bed</v>
      </c>
      <c r="D209" s="255">
        <f>'3. GRI Pricing'!E219</f>
        <v>2</v>
      </c>
      <c r="E209" s="256">
        <f>'3. GRI Pricing'!Y219</f>
        <v>1275</v>
      </c>
      <c r="F209" s="279">
        <v>1311.4742773034659</v>
      </c>
      <c r="G209" s="279">
        <v>0</v>
      </c>
      <c r="H209" s="279">
        <v>0</v>
      </c>
      <c r="I209" s="254"/>
      <c r="J209" s="254"/>
      <c r="K209" s="254"/>
      <c r="L209" s="254"/>
      <c r="M209" s="254"/>
      <c r="N209" s="254"/>
      <c r="O209" s="254"/>
      <c r="P209" s="1"/>
    </row>
    <row r="210" spans="2:16" x14ac:dyDescent="0.2">
      <c r="B210" s="255" t="str">
        <f>'3. GRI Pricing'!C220</f>
        <v>209W</v>
      </c>
      <c r="C210" s="255" t="str">
        <f>'3. GRI Pricing'!D220</f>
        <v>2 Bed</v>
      </c>
      <c r="D210" s="255">
        <f>'3. GRI Pricing'!E220</f>
        <v>2</v>
      </c>
      <c r="E210" s="256">
        <f>'3. GRI Pricing'!Y220</f>
        <v>1265</v>
      </c>
      <c r="F210" s="279">
        <v>1301.4246659831329</v>
      </c>
      <c r="G210" s="279">
        <v>0</v>
      </c>
      <c r="H210" s="279">
        <v>0</v>
      </c>
      <c r="I210" s="254"/>
      <c r="J210" s="254"/>
      <c r="K210" s="254"/>
      <c r="L210" s="254"/>
      <c r="M210" s="254"/>
      <c r="N210" s="254"/>
      <c r="O210" s="254"/>
      <c r="P210" s="1"/>
    </row>
    <row r="211" spans="2:16" x14ac:dyDescent="0.2">
      <c r="B211" s="255" t="str">
        <f>'3. GRI Pricing'!C221</f>
        <v>210W</v>
      </c>
      <c r="C211" s="255" t="str">
        <f>'3. GRI Pricing'!D221</f>
        <v>2 Bed</v>
      </c>
      <c r="D211" s="255">
        <f>'3. GRI Pricing'!E221</f>
        <v>2</v>
      </c>
      <c r="E211" s="256">
        <f>'3. GRI Pricing'!Y221</f>
        <v>1310</v>
      </c>
      <c r="F211" s="279">
        <v>1346.6479169246315</v>
      </c>
      <c r="G211" s="279">
        <v>0</v>
      </c>
      <c r="H211" s="279">
        <v>0</v>
      </c>
      <c r="I211" s="254"/>
      <c r="J211" s="254"/>
      <c r="K211" s="254"/>
      <c r="L211" s="254"/>
      <c r="M211" s="254"/>
      <c r="N211" s="254"/>
      <c r="O211" s="254"/>
      <c r="P211" s="1"/>
    </row>
    <row r="212" spans="2:16" x14ac:dyDescent="0.2">
      <c r="B212" s="255" t="str">
        <f>'3. GRI Pricing'!C222</f>
        <v>211W</v>
      </c>
      <c r="C212" s="255" t="str">
        <f>'3. GRI Pricing'!D222</f>
        <v>2 Bed</v>
      </c>
      <c r="D212" s="255">
        <f>'3. GRI Pricing'!E222</f>
        <v>2</v>
      </c>
      <c r="E212" s="256">
        <f>'3. GRI Pricing'!Y222</f>
        <v>1275</v>
      </c>
      <c r="F212" s="279">
        <v>1311.4742773034659</v>
      </c>
      <c r="G212" s="279">
        <v>0</v>
      </c>
      <c r="H212" s="279">
        <v>0</v>
      </c>
      <c r="I212" s="254"/>
      <c r="J212" s="254"/>
      <c r="K212" s="254"/>
      <c r="L212" s="254"/>
      <c r="M212" s="254"/>
      <c r="N212" s="254"/>
      <c r="O212" s="254"/>
      <c r="P212" s="1"/>
    </row>
    <row r="213" spans="2:16" x14ac:dyDescent="0.2">
      <c r="B213" s="255" t="str">
        <f>'3. GRI Pricing'!C223</f>
        <v>212W</v>
      </c>
      <c r="C213" s="255" t="str">
        <f>'3. GRI Pricing'!D223</f>
        <v>1 Bed</v>
      </c>
      <c r="D213" s="255">
        <f>'3. GRI Pricing'!E223</f>
        <v>1</v>
      </c>
      <c r="E213" s="256">
        <f>'3. GRI Pricing'!Y223</f>
        <v>985</v>
      </c>
      <c r="F213" s="279">
        <v>989.88671505280752</v>
      </c>
      <c r="G213" s="279">
        <v>0</v>
      </c>
      <c r="H213" s="279">
        <v>0</v>
      </c>
      <c r="I213" s="254"/>
      <c r="J213" s="254"/>
      <c r="K213" s="254"/>
      <c r="L213" s="254"/>
      <c r="M213" s="254"/>
      <c r="N213" s="254"/>
      <c r="O213" s="254"/>
      <c r="P213" s="1"/>
    </row>
    <row r="214" spans="2:16" x14ac:dyDescent="0.2">
      <c r="B214" s="255" t="str">
        <f>'3. GRI Pricing'!C224</f>
        <v>213W</v>
      </c>
      <c r="C214" s="255" t="str">
        <f>'3. GRI Pricing'!D224</f>
        <v>3 Bed</v>
      </c>
      <c r="D214" s="255">
        <f>'3. GRI Pricing'!E224</f>
        <v>2</v>
      </c>
      <c r="E214" s="256">
        <f>'3. GRI Pricing'!Y224</f>
        <v>1675</v>
      </c>
      <c r="F214" s="279">
        <v>1683.3098961557896</v>
      </c>
      <c r="G214" s="279">
        <v>0</v>
      </c>
      <c r="H214" s="279">
        <v>0</v>
      </c>
      <c r="I214" s="254"/>
      <c r="J214" s="254"/>
      <c r="K214" s="254"/>
      <c r="L214" s="254"/>
      <c r="M214" s="254"/>
      <c r="N214" s="254"/>
      <c r="O214" s="254"/>
      <c r="P214" s="1"/>
    </row>
    <row r="215" spans="2:16" x14ac:dyDescent="0.2">
      <c r="B215" s="255" t="str">
        <f>'3. GRI Pricing'!C225</f>
        <v>214W</v>
      </c>
      <c r="C215" s="255" t="str">
        <f>'3. GRI Pricing'!D225</f>
        <v>2 Bed</v>
      </c>
      <c r="D215" s="255">
        <f>'3. GRI Pricing'!E225</f>
        <v>2</v>
      </c>
      <c r="E215" s="256">
        <f>'3. GRI Pricing'!Y225</f>
        <v>1240</v>
      </c>
      <c r="F215" s="279">
        <v>1276.3006376823</v>
      </c>
      <c r="G215" s="279">
        <v>0</v>
      </c>
      <c r="H215" s="279">
        <v>0</v>
      </c>
      <c r="I215" s="254"/>
      <c r="J215" s="254"/>
      <c r="K215" s="254"/>
      <c r="L215" s="254"/>
      <c r="M215" s="254"/>
      <c r="N215" s="254"/>
      <c r="O215" s="254"/>
      <c r="P215" s="1"/>
    </row>
    <row r="216" spans="2:16" x14ac:dyDescent="0.2">
      <c r="B216" s="255" t="str">
        <f>'3. GRI Pricing'!C226</f>
        <v>301W</v>
      </c>
      <c r="C216" s="255" t="str">
        <f>'3. GRI Pricing'!D226</f>
        <v>2 Bed</v>
      </c>
      <c r="D216" s="255">
        <f>'3. GRI Pricing'!E226</f>
        <v>2</v>
      </c>
      <c r="E216" s="256">
        <f>'3. GRI Pricing'!Y226</f>
        <v>1305</v>
      </c>
      <c r="F216" s="279">
        <v>1341.623111264465</v>
      </c>
      <c r="G216" s="279">
        <v>0</v>
      </c>
      <c r="H216" s="279">
        <v>0</v>
      </c>
      <c r="I216" s="254"/>
      <c r="J216" s="254"/>
      <c r="K216" s="254"/>
      <c r="L216" s="254"/>
      <c r="M216" s="254"/>
      <c r="N216" s="254"/>
      <c r="O216" s="254"/>
      <c r="P216" s="1"/>
    </row>
    <row r="217" spans="2:16" x14ac:dyDescent="0.2">
      <c r="B217" s="255" t="str">
        <f>'3. GRI Pricing'!C227</f>
        <v>302W</v>
      </c>
      <c r="C217" s="255" t="str">
        <f>'3. GRI Pricing'!D227</f>
        <v>1 Bed</v>
      </c>
      <c r="D217" s="255">
        <f>'3. GRI Pricing'!E227</f>
        <v>1</v>
      </c>
      <c r="E217" s="256">
        <f>'3. GRI Pricing'!Y227</f>
        <v>1005</v>
      </c>
      <c r="F217" s="279">
        <v>1009.9859376934737</v>
      </c>
      <c r="G217" s="279">
        <v>0</v>
      </c>
      <c r="H217" s="279">
        <v>0</v>
      </c>
      <c r="I217" s="254"/>
      <c r="J217" s="254"/>
      <c r="K217" s="254"/>
      <c r="L217" s="254"/>
      <c r="M217" s="254"/>
      <c r="N217" s="254"/>
      <c r="O217" s="254"/>
      <c r="P217" s="1"/>
    </row>
    <row r="218" spans="2:16" x14ac:dyDescent="0.2">
      <c r="B218" s="255" t="str">
        <f>'3. GRI Pricing'!C228</f>
        <v>303W</v>
      </c>
      <c r="C218" s="255" t="str">
        <f>'3. GRI Pricing'!D228</f>
        <v>2 Bed</v>
      </c>
      <c r="D218" s="255">
        <f>'3. GRI Pricing'!E228</f>
        <v>2</v>
      </c>
      <c r="E218" s="256">
        <f>'3. GRI Pricing'!Y228</f>
        <v>1275</v>
      </c>
      <c r="F218" s="279">
        <v>1311.4742773034659</v>
      </c>
      <c r="G218" s="279">
        <v>0</v>
      </c>
      <c r="H218" s="279">
        <v>0</v>
      </c>
      <c r="I218" s="254"/>
      <c r="J218" s="254"/>
      <c r="K218" s="254"/>
      <c r="L218" s="254"/>
      <c r="M218" s="254"/>
      <c r="N218" s="254"/>
      <c r="O218" s="254"/>
      <c r="P218" s="1"/>
    </row>
    <row r="219" spans="2:16" x14ac:dyDescent="0.2">
      <c r="B219" s="255" t="str">
        <f>'3. GRI Pricing'!C229</f>
        <v>304W</v>
      </c>
      <c r="C219" s="255" t="str">
        <f>'3. GRI Pricing'!D229</f>
        <v>2 Bed</v>
      </c>
      <c r="D219" s="255">
        <f>'3. GRI Pricing'!E229</f>
        <v>2</v>
      </c>
      <c r="E219" s="256">
        <f>'3. GRI Pricing'!Y229</f>
        <v>1260</v>
      </c>
      <c r="F219" s="279">
        <v>1296.3998603229663</v>
      </c>
      <c r="G219" s="279">
        <v>0</v>
      </c>
      <c r="H219" s="279">
        <v>0</v>
      </c>
      <c r="I219" s="254"/>
      <c r="J219" s="254"/>
      <c r="K219" s="254"/>
      <c r="L219" s="254"/>
      <c r="M219" s="254"/>
      <c r="N219" s="254"/>
      <c r="O219" s="254"/>
      <c r="P219" s="1"/>
    </row>
    <row r="220" spans="2:16" x14ac:dyDescent="0.2">
      <c r="B220" s="255" t="str">
        <f>'3. GRI Pricing'!C230</f>
        <v>305W</v>
      </c>
      <c r="C220" s="255" t="str">
        <f>'3. GRI Pricing'!D230</f>
        <v>2 Bed</v>
      </c>
      <c r="D220" s="255">
        <f>'3. GRI Pricing'!E230</f>
        <v>2</v>
      </c>
      <c r="E220" s="256">
        <f>'3. GRI Pricing'!Y230</f>
        <v>1280</v>
      </c>
      <c r="F220" s="279">
        <v>1316.4990829636324</v>
      </c>
      <c r="G220" s="279">
        <v>0</v>
      </c>
      <c r="H220" s="279">
        <v>0</v>
      </c>
      <c r="I220" s="254"/>
      <c r="J220" s="254"/>
      <c r="K220" s="254"/>
      <c r="L220" s="254"/>
      <c r="M220" s="254"/>
      <c r="N220" s="254"/>
      <c r="O220" s="254"/>
      <c r="P220" s="1"/>
    </row>
    <row r="221" spans="2:16" x14ac:dyDescent="0.2">
      <c r="B221" s="255" t="str">
        <f>'3. GRI Pricing'!C231</f>
        <v>306W</v>
      </c>
      <c r="C221" s="255" t="str">
        <f>'3. GRI Pricing'!D231</f>
        <v>1 Bed</v>
      </c>
      <c r="D221" s="255">
        <f>'3. GRI Pricing'!E231</f>
        <v>1</v>
      </c>
      <c r="E221" s="256">
        <f>'3. GRI Pricing'!Y231</f>
        <v>990</v>
      </c>
      <c r="F221" s="279">
        <v>994.91152071297415</v>
      </c>
      <c r="G221" s="279">
        <v>0</v>
      </c>
      <c r="H221" s="279">
        <v>0</v>
      </c>
      <c r="I221" s="254"/>
      <c r="J221" s="254"/>
      <c r="K221" s="254"/>
      <c r="L221" s="254"/>
      <c r="M221" s="254"/>
      <c r="N221" s="254"/>
      <c r="O221" s="254"/>
      <c r="P221" s="1"/>
    </row>
    <row r="222" spans="2:16" x14ac:dyDescent="0.2">
      <c r="B222" s="255" t="str">
        <f>'3. GRI Pricing'!C232</f>
        <v>307W</v>
      </c>
      <c r="C222" s="255" t="str">
        <f>'3. GRI Pricing'!D232</f>
        <v>1 Bed</v>
      </c>
      <c r="D222" s="255">
        <f>'3. GRI Pricing'!E232</f>
        <v>1</v>
      </c>
      <c r="E222" s="256">
        <f>'3. GRI Pricing'!Y232</f>
        <v>975</v>
      </c>
      <c r="F222" s="279">
        <v>979.83710373247447</v>
      </c>
      <c r="G222" s="279">
        <v>0</v>
      </c>
      <c r="H222" s="279">
        <v>0</v>
      </c>
      <c r="I222" s="254"/>
      <c r="J222" s="254"/>
      <c r="K222" s="254"/>
      <c r="L222" s="254"/>
      <c r="M222" s="254"/>
      <c r="N222" s="254"/>
      <c r="O222" s="254"/>
      <c r="P222" s="1"/>
    </row>
    <row r="223" spans="2:16" x14ac:dyDescent="0.2">
      <c r="B223" s="255" t="str">
        <f>'3. GRI Pricing'!C233</f>
        <v>308W</v>
      </c>
      <c r="C223" s="255" t="str">
        <f>'3. GRI Pricing'!D233</f>
        <v>2 Bed</v>
      </c>
      <c r="D223" s="255">
        <f>'3. GRI Pricing'!E233</f>
        <v>2</v>
      </c>
      <c r="E223" s="256">
        <f>'3. GRI Pricing'!Y233</f>
        <v>1285</v>
      </c>
      <c r="F223" s="279">
        <v>1321.5238886237989</v>
      </c>
      <c r="G223" s="279">
        <v>0</v>
      </c>
      <c r="H223" s="279">
        <v>0</v>
      </c>
      <c r="I223" s="254"/>
      <c r="J223" s="254"/>
      <c r="K223" s="254"/>
      <c r="L223" s="254"/>
      <c r="M223" s="254"/>
      <c r="N223" s="254"/>
      <c r="O223" s="254"/>
      <c r="P223" s="1"/>
    </row>
    <row r="224" spans="2:16" x14ac:dyDescent="0.2">
      <c r="B224" s="255" t="str">
        <f>'3. GRI Pricing'!C234</f>
        <v>309W</v>
      </c>
      <c r="C224" s="255" t="str">
        <f>'3. GRI Pricing'!D234</f>
        <v>2 Bed</v>
      </c>
      <c r="D224" s="255">
        <f>'3. GRI Pricing'!E234</f>
        <v>2</v>
      </c>
      <c r="E224" s="256">
        <f>'3. GRI Pricing'!Y234</f>
        <v>1275</v>
      </c>
      <c r="F224" s="279">
        <v>1311.4742773034659</v>
      </c>
      <c r="G224" s="279">
        <v>0</v>
      </c>
      <c r="H224" s="279">
        <v>0</v>
      </c>
      <c r="I224" s="254"/>
      <c r="J224" s="254"/>
      <c r="K224" s="254"/>
      <c r="L224" s="254"/>
      <c r="M224" s="254"/>
      <c r="N224" s="254"/>
      <c r="O224" s="254"/>
      <c r="P224" s="1"/>
    </row>
    <row r="225" spans="2:16" x14ac:dyDescent="0.2">
      <c r="B225" s="255" t="str">
        <f>'3. GRI Pricing'!C235</f>
        <v>310W</v>
      </c>
      <c r="C225" s="255" t="str">
        <f>'3. GRI Pricing'!D235</f>
        <v>2 Bed</v>
      </c>
      <c r="D225" s="255">
        <f>'3. GRI Pricing'!E235</f>
        <v>2</v>
      </c>
      <c r="E225" s="256">
        <f>'3. GRI Pricing'!Y235</f>
        <v>1320</v>
      </c>
      <c r="F225" s="279">
        <v>1356.6975282449646</v>
      </c>
      <c r="G225" s="279">
        <v>0</v>
      </c>
      <c r="H225" s="279">
        <v>0</v>
      </c>
      <c r="I225" s="254"/>
      <c r="J225" s="254"/>
      <c r="K225" s="254"/>
      <c r="L225" s="254"/>
      <c r="M225" s="254"/>
      <c r="N225" s="254"/>
      <c r="O225" s="254"/>
      <c r="P225" s="1"/>
    </row>
    <row r="226" spans="2:16" x14ac:dyDescent="0.2">
      <c r="B226" s="255" t="str">
        <f>'3. GRI Pricing'!C236</f>
        <v>311W</v>
      </c>
      <c r="C226" s="255" t="str">
        <f>'3. GRI Pricing'!D236</f>
        <v>2 Bed</v>
      </c>
      <c r="D226" s="255">
        <f>'3. GRI Pricing'!E236</f>
        <v>2</v>
      </c>
      <c r="E226" s="256">
        <f>'3. GRI Pricing'!Y236</f>
        <v>1285</v>
      </c>
      <c r="F226" s="279">
        <v>1321.5238886237989</v>
      </c>
      <c r="G226" s="279">
        <v>0</v>
      </c>
      <c r="H226" s="279">
        <v>0</v>
      </c>
      <c r="I226" s="254"/>
      <c r="J226" s="254"/>
      <c r="K226" s="254"/>
      <c r="L226" s="254"/>
      <c r="M226" s="254"/>
      <c r="N226" s="254"/>
      <c r="O226" s="254"/>
      <c r="P226" s="1"/>
    </row>
    <row r="227" spans="2:16" x14ac:dyDescent="0.2">
      <c r="B227" s="255" t="str">
        <f>'3. GRI Pricing'!C237</f>
        <v>312W</v>
      </c>
      <c r="C227" s="255" t="str">
        <f>'3. GRI Pricing'!D237</f>
        <v>1 Bed</v>
      </c>
      <c r="D227" s="255">
        <f>'3. GRI Pricing'!E237</f>
        <v>1</v>
      </c>
      <c r="E227" s="256">
        <f>'3. GRI Pricing'!Y237</f>
        <v>995</v>
      </c>
      <c r="F227" s="279">
        <v>999.93632637314067</v>
      </c>
      <c r="G227" s="279">
        <v>0</v>
      </c>
      <c r="H227" s="279">
        <v>0</v>
      </c>
      <c r="I227" s="254"/>
      <c r="J227" s="254"/>
      <c r="K227" s="254"/>
      <c r="L227" s="254"/>
      <c r="M227" s="254"/>
      <c r="N227" s="254"/>
      <c r="O227" s="254"/>
      <c r="P227" s="1"/>
    </row>
    <row r="228" spans="2:16" x14ac:dyDescent="0.2">
      <c r="B228" s="255" t="str">
        <f>'3. GRI Pricing'!C238</f>
        <v>313W</v>
      </c>
      <c r="C228" s="255" t="str">
        <f>'3. GRI Pricing'!D238</f>
        <v>3 Bed</v>
      </c>
      <c r="D228" s="255">
        <f>'3. GRI Pricing'!E238</f>
        <v>2</v>
      </c>
      <c r="E228" s="256">
        <f>'3. GRI Pricing'!Y238</f>
        <v>1685</v>
      </c>
      <c r="F228" s="279">
        <v>1693.3595074761226</v>
      </c>
      <c r="G228" s="279">
        <v>0</v>
      </c>
      <c r="H228" s="279">
        <v>0</v>
      </c>
      <c r="I228" s="254"/>
      <c r="J228" s="254"/>
      <c r="K228" s="254"/>
      <c r="L228" s="254"/>
      <c r="M228" s="254"/>
      <c r="N228" s="254"/>
      <c r="O228" s="254"/>
      <c r="P228" s="1"/>
    </row>
    <row r="229" spans="2:16" x14ac:dyDescent="0.2">
      <c r="B229" s="255" t="str">
        <f>'3. GRI Pricing'!C239</f>
        <v>314W</v>
      </c>
      <c r="C229" s="255" t="str">
        <f>'3. GRI Pricing'!D239</f>
        <v>2 Bed</v>
      </c>
      <c r="D229" s="255">
        <f>'3. GRI Pricing'!E239</f>
        <v>2</v>
      </c>
      <c r="E229" s="256">
        <f>'3. GRI Pricing'!Y239</f>
        <v>1250</v>
      </c>
      <c r="F229" s="279">
        <v>1286.3502490026331</v>
      </c>
      <c r="G229" s="279">
        <v>0</v>
      </c>
      <c r="H229" s="279">
        <v>0</v>
      </c>
      <c r="I229" s="254"/>
      <c r="J229" s="254"/>
      <c r="K229" s="254"/>
      <c r="L229" s="254"/>
      <c r="M229" s="254"/>
      <c r="N229" s="254"/>
      <c r="O229" s="254"/>
      <c r="P229" s="1"/>
    </row>
    <row r="230" spans="2:16" x14ac:dyDescent="0.2">
      <c r="B230" s="255" t="str">
        <f>'3. GRI Pricing'!C240</f>
        <v>401W</v>
      </c>
      <c r="C230" s="255" t="str">
        <f>'3. GRI Pricing'!D240</f>
        <v>2 Bed</v>
      </c>
      <c r="D230" s="255">
        <f>'3. GRI Pricing'!E240</f>
        <v>2</v>
      </c>
      <c r="E230" s="256">
        <f>'3. GRI Pricing'!Y240</f>
        <v>1325</v>
      </c>
      <c r="F230" s="279">
        <v>1361.7223339051311</v>
      </c>
      <c r="G230" s="279">
        <v>0</v>
      </c>
      <c r="H230" s="279">
        <v>0</v>
      </c>
      <c r="I230" s="254"/>
      <c r="J230" s="254"/>
      <c r="K230" s="254"/>
      <c r="L230" s="254"/>
      <c r="M230" s="254"/>
      <c r="N230" s="254"/>
      <c r="O230" s="254"/>
      <c r="P230" s="1"/>
    </row>
    <row r="231" spans="2:16" x14ac:dyDescent="0.2">
      <c r="B231" s="255" t="str">
        <f>'3. GRI Pricing'!C241</f>
        <v>402W</v>
      </c>
      <c r="C231" s="255" t="str">
        <f>'3. GRI Pricing'!D241</f>
        <v>1 Bed</v>
      </c>
      <c r="D231" s="255">
        <f>'3. GRI Pricing'!E241</f>
        <v>1</v>
      </c>
      <c r="E231" s="256">
        <f>'3. GRI Pricing'!Y241</f>
        <v>1025</v>
      </c>
      <c r="F231" s="279">
        <v>1030.0851603341398</v>
      </c>
      <c r="G231" s="279">
        <v>0</v>
      </c>
      <c r="H231" s="279">
        <v>0</v>
      </c>
      <c r="I231" s="254"/>
      <c r="J231" s="254"/>
      <c r="K231" s="254"/>
      <c r="L231" s="254"/>
      <c r="M231" s="254"/>
      <c r="N231" s="254"/>
      <c r="O231" s="254"/>
      <c r="P231" s="1"/>
    </row>
    <row r="232" spans="2:16" x14ac:dyDescent="0.2">
      <c r="B232" s="255" t="str">
        <f>'3. GRI Pricing'!C242</f>
        <v>403W</v>
      </c>
      <c r="C232" s="255" t="str">
        <f>'3. GRI Pricing'!D242</f>
        <v>2 Bed</v>
      </c>
      <c r="D232" s="255">
        <f>'3. GRI Pricing'!E242</f>
        <v>2</v>
      </c>
      <c r="E232" s="256">
        <f>'3. GRI Pricing'!Y242</f>
        <v>1295</v>
      </c>
      <c r="F232" s="279">
        <v>1331.573499944132</v>
      </c>
      <c r="G232" s="279">
        <v>0</v>
      </c>
      <c r="H232" s="279">
        <v>0</v>
      </c>
      <c r="I232" s="254"/>
      <c r="J232" s="254"/>
      <c r="K232" s="254"/>
      <c r="L232" s="254"/>
      <c r="M232" s="254"/>
      <c r="N232" s="254"/>
      <c r="O232" s="254"/>
      <c r="P232" s="1"/>
    </row>
    <row r="233" spans="2:16" x14ac:dyDescent="0.2">
      <c r="B233" s="255" t="str">
        <f>'3. GRI Pricing'!C243</f>
        <v>404W</v>
      </c>
      <c r="C233" s="255" t="str">
        <f>'3. GRI Pricing'!D243</f>
        <v>2 Bed</v>
      </c>
      <c r="D233" s="255">
        <f>'3. GRI Pricing'!E243</f>
        <v>2</v>
      </c>
      <c r="E233" s="256">
        <f>'3. GRI Pricing'!Y243</f>
        <v>1290</v>
      </c>
      <c r="F233" s="279">
        <v>1326.5486942839655</v>
      </c>
      <c r="G233" s="279">
        <v>0</v>
      </c>
      <c r="H233" s="279">
        <v>0</v>
      </c>
      <c r="I233" s="254"/>
      <c r="J233" s="254"/>
      <c r="K233" s="254"/>
      <c r="L233" s="254"/>
      <c r="M233" s="254"/>
      <c r="N233" s="254"/>
      <c r="O233" s="254"/>
      <c r="P233" s="1"/>
    </row>
    <row r="234" spans="2:16" x14ac:dyDescent="0.2">
      <c r="B234" s="255" t="str">
        <f>'3. GRI Pricing'!C244</f>
        <v>405W</v>
      </c>
      <c r="C234" s="255" t="str">
        <f>'3. GRI Pricing'!D244</f>
        <v>2 Bed</v>
      </c>
      <c r="D234" s="255">
        <f>'3. GRI Pricing'!E244</f>
        <v>2</v>
      </c>
      <c r="E234" s="256">
        <f>'3. GRI Pricing'!Y244</f>
        <v>1310</v>
      </c>
      <c r="F234" s="279">
        <v>1346.6479169246315</v>
      </c>
      <c r="G234" s="279">
        <v>0</v>
      </c>
      <c r="H234" s="279">
        <v>0</v>
      </c>
      <c r="I234" s="254"/>
      <c r="J234" s="254"/>
      <c r="K234" s="254"/>
      <c r="L234" s="254"/>
      <c r="M234" s="254"/>
      <c r="N234" s="254"/>
      <c r="O234" s="254"/>
      <c r="P234" s="1"/>
    </row>
    <row r="235" spans="2:16" x14ac:dyDescent="0.2">
      <c r="B235" s="255" t="str">
        <f>'3. GRI Pricing'!C245</f>
        <v>406W</v>
      </c>
      <c r="C235" s="255" t="str">
        <f>'3. GRI Pricing'!D245</f>
        <v>1 Bed</v>
      </c>
      <c r="D235" s="255">
        <f>'3. GRI Pricing'!E245</f>
        <v>1</v>
      </c>
      <c r="E235" s="256">
        <f>'3. GRI Pricing'!Y245</f>
        <v>1020</v>
      </c>
      <c r="F235" s="279">
        <v>1025.0603546739733</v>
      </c>
      <c r="G235" s="279">
        <v>0</v>
      </c>
      <c r="H235" s="279">
        <v>0</v>
      </c>
      <c r="I235" s="254"/>
      <c r="J235" s="254"/>
      <c r="K235" s="254"/>
      <c r="L235" s="254"/>
      <c r="M235" s="254"/>
      <c r="N235" s="254"/>
      <c r="O235" s="254"/>
      <c r="P235" s="1"/>
    </row>
    <row r="236" spans="2:16" x14ac:dyDescent="0.2">
      <c r="B236" s="255" t="str">
        <f>'3. GRI Pricing'!C246</f>
        <v>407W</v>
      </c>
      <c r="C236" s="255" t="str">
        <f>'3. GRI Pricing'!D246</f>
        <v>1 Bed</v>
      </c>
      <c r="D236" s="255">
        <f>'3. GRI Pricing'!E246</f>
        <v>1</v>
      </c>
      <c r="E236" s="256">
        <f>'3. GRI Pricing'!Y246</f>
        <v>995</v>
      </c>
      <c r="F236" s="279">
        <v>999.93632637314067</v>
      </c>
      <c r="G236" s="279">
        <v>0</v>
      </c>
      <c r="H236" s="279">
        <v>0</v>
      </c>
      <c r="I236" s="254"/>
      <c r="J236" s="254"/>
      <c r="K236" s="254"/>
      <c r="L236" s="254"/>
      <c r="M236" s="254"/>
      <c r="N236" s="254"/>
      <c r="O236" s="254"/>
      <c r="P236" s="1"/>
    </row>
    <row r="237" spans="2:16" x14ac:dyDescent="0.2">
      <c r="B237" s="255" t="str">
        <f>'3. GRI Pricing'!C247</f>
        <v>408W</v>
      </c>
      <c r="C237" s="255" t="str">
        <f>'3. GRI Pricing'!D247</f>
        <v>2 Bed</v>
      </c>
      <c r="D237" s="255">
        <f>'3. GRI Pricing'!E247</f>
        <v>2</v>
      </c>
      <c r="E237" s="256">
        <f>'3. GRI Pricing'!Y247</f>
        <v>1305</v>
      </c>
      <c r="F237" s="279">
        <v>1341.623111264465</v>
      </c>
      <c r="G237" s="279">
        <v>0</v>
      </c>
      <c r="H237" s="279">
        <v>0</v>
      </c>
      <c r="I237" s="254"/>
      <c r="J237" s="254"/>
      <c r="K237" s="254"/>
      <c r="L237" s="254"/>
      <c r="M237" s="254"/>
      <c r="N237" s="254"/>
      <c r="O237" s="254"/>
      <c r="P237" s="1"/>
    </row>
    <row r="238" spans="2:16" x14ac:dyDescent="0.2">
      <c r="B238" s="255" t="str">
        <f>'3. GRI Pricing'!C248</f>
        <v>409W</v>
      </c>
      <c r="C238" s="255" t="str">
        <f>'3. GRI Pricing'!D248</f>
        <v>2 Bed</v>
      </c>
      <c r="D238" s="255">
        <f>'3. GRI Pricing'!E248</f>
        <v>2</v>
      </c>
      <c r="E238" s="256">
        <f>'3. GRI Pricing'!Y248</f>
        <v>1295</v>
      </c>
      <c r="F238" s="279">
        <v>1331.573499944132</v>
      </c>
      <c r="G238" s="279">
        <v>0</v>
      </c>
      <c r="H238" s="279">
        <v>0</v>
      </c>
      <c r="I238" s="254"/>
      <c r="J238" s="254"/>
      <c r="K238" s="254"/>
      <c r="L238" s="254"/>
      <c r="M238" s="254"/>
      <c r="N238" s="254"/>
      <c r="O238" s="254"/>
      <c r="P238" s="1"/>
    </row>
    <row r="239" spans="2:16" x14ac:dyDescent="0.2">
      <c r="B239" s="255" t="str">
        <f>'3. GRI Pricing'!C249</f>
        <v>410W</v>
      </c>
      <c r="C239" s="255" t="str">
        <f>'3. GRI Pricing'!D249</f>
        <v>2 Bed</v>
      </c>
      <c r="D239" s="255">
        <f>'3. GRI Pricing'!E249</f>
        <v>2</v>
      </c>
      <c r="E239" s="256">
        <f>'3. GRI Pricing'!Y249</f>
        <v>1315</v>
      </c>
      <c r="F239" s="279">
        <v>1351.6727225847981</v>
      </c>
      <c r="G239" s="279">
        <v>0</v>
      </c>
      <c r="H239" s="279">
        <v>0</v>
      </c>
      <c r="I239" s="254"/>
      <c r="J239" s="254"/>
      <c r="K239" s="254"/>
      <c r="L239" s="254"/>
      <c r="M239" s="254"/>
      <c r="N239" s="254"/>
      <c r="O239" s="254"/>
      <c r="P239" s="1"/>
    </row>
    <row r="240" spans="2:16" x14ac:dyDescent="0.2">
      <c r="B240" s="255" t="str">
        <f>'3. GRI Pricing'!C250</f>
        <v>411W</v>
      </c>
      <c r="C240" s="255" t="str">
        <f>'3. GRI Pricing'!D250</f>
        <v>2 Bed</v>
      </c>
      <c r="D240" s="255">
        <f>'3. GRI Pricing'!E250</f>
        <v>2</v>
      </c>
      <c r="E240" s="256">
        <f>'3. GRI Pricing'!Y250</f>
        <v>1305</v>
      </c>
      <c r="F240" s="279">
        <v>1341.623111264465</v>
      </c>
      <c r="G240" s="279">
        <v>0</v>
      </c>
      <c r="H240" s="279">
        <v>0</v>
      </c>
      <c r="I240" s="254"/>
      <c r="J240" s="254"/>
      <c r="K240" s="254"/>
      <c r="L240" s="254"/>
      <c r="M240" s="254"/>
      <c r="N240" s="254"/>
      <c r="O240" s="254"/>
      <c r="P240" s="1"/>
    </row>
    <row r="241" spans="2:16" x14ac:dyDescent="0.2">
      <c r="B241" s="255" t="str">
        <f>'3. GRI Pricing'!C251</f>
        <v>412W</v>
      </c>
      <c r="C241" s="255" t="str">
        <f>'3. GRI Pricing'!D251</f>
        <v>1 Bed</v>
      </c>
      <c r="D241" s="255">
        <f>'3. GRI Pricing'!E251</f>
        <v>1</v>
      </c>
      <c r="E241" s="256">
        <f>'3. GRI Pricing'!Y251</f>
        <v>1025</v>
      </c>
      <c r="F241" s="279">
        <v>1030.0851603341398</v>
      </c>
      <c r="G241" s="279">
        <v>0</v>
      </c>
      <c r="H241" s="279">
        <v>0</v>
      </c>
      <c r="I241" s="254"/>
      <c r="J241" s="254"/>
      <c r="K241" s="254"/>
      <c r="L241" s="254"/>
      <c r="M241" s="254"/>
      <c r="N241" s="254"/>
      <c r="O241" s="254"/>
      <c r="P241" s="1"/>
    </row>
    <row r="242" spans="2:16" x14ac:dyDescent="0.2">
      <c r="B242" s="255" t="str">
        <f>'3. GRI Pricing'!C252</f>
        <v>413W</v>
      </c>
      <c r="C242" s="255" t="str">
        <f>'3. GRI Pricing'!D252</f>
        <v>3 Bed</v>
      </c>
      <c r="D242" s="255">
        <f>'3. GRI Pricing'!E252</f>
        <v>2</v>
      </c>
      <c r="E242" s="256">
        <f>'3. GRI Pricing'!Y252</f>
        <v>1715</v>
      </c>
      <c r="F242" s="279">
        <v>1723.5083414371218</v>
      </c>
      <c r="G242" s="279">
        <v>0</v>
      </c>
      <c r="H242" s="279">
        <v>0</v>
      </c>
      <c r="I242" s="254"/>
      <c r="J242" s="254"/>
      <c r="K242" s="254"/>
      <c r="L242" s="254"/>
      <c r="M242" s="254"/>
      <c r="N242" s="254"/>
      <c r="O242" s="254"/>
      <c r="P242" s="1"/>
    </row>
    <row r="243" spans="2:16" x14ac:dyDescent="0.2">
      <c r="B243" s="255" t="str">
        <f>'3. GRI Pricing'!C253</f>
        <v>414W</v>
      </c>
      <c r="C243" s="255" t="str">
        <f>'3. GRI Pricing'!D253</f>
        <v>2 Bed</v>
      </c>
      <c r="D243" s="255">
        <f>'3. GRI Pricing'!E253</f>
        <v>2</v>
      </c>
      <c r="E243" s="256">
        <f>'3. GRI Pricing'!Y253</f>
        <v>1280</v>
      </c>
      <c r="F243" s="279">
        <v>1316.4990829636324</v>
      </c>
      <c r="G243" s="279">
        <v>0</v>
      </c>
      <c r="H243" s="279">
        <v>0</v>
      </c>
      <c r="I243" s="254"/>
      <c r="J243" s="254"/>
      <c r="K243" s="254"/>
      <c r="L243" s="254"/>
      <c r="M243" s="254"/>
      <c r="N243" s="254"/>
      <c r="O243" s="254"/>
      <c r="P243" s="1"/>
    </row>
    <row r="244" spans="2:16" x14ac:dyDescent="0.2">
      <c r="B244" s="255" t="str">
        <f>'3. GRI Pricing'!C254</f>
        <v>501W</v>
      </c>
      <c r="C244" s="255" t="str">
        <f>'3. GRI Pricing'!D254</f>
        <v>2 Bed</v>
      </c>
      <c r="D244" s="255">
        <f>'3. GRI Pricing'!E254</f>
        <v>2</v>
      </c>
      <c r="E244" s="256">
        <f>'3. GRI Pricing'!Y254</f>
        <v>1325</v>
      </c>
      <c r="F244" s="279">
        <v>1361.7223339051311</v>
      </c>
      <c r="G244" s="279">
        <v>0</v>
      </c>
      <c r="H244" s="279">
        <v>0</v>
      </c>
      <c r="I244" s="254"/>
      <c r="J244" s="254"/>
      <c r="K244" s="254"/>
      <c r="L244" s="254"/>
      <c r="M244" s="254"/>
      <c r="N244" s="254"/>
      <c r="O244" s="254"/>
      <c r="P244" s="1"/>
    </row>
    <row r="245" spans="2:16" x14ac:dyDescent="0.2">
      <c r="B245" s="255" t="str">
        <f>'3. GRI Pricing'!C255</f>
        <v>502W</v>
      </c>
      <c r="C245" s="255" t="str">
        <f>'3. GRI Pricing'!D255</f>
        <v>1 Bed</v>
      </c>
      <c r="D245" s="255">
        <f>'3. GRI Pricing'!E255</f>
        <v>1</v>
      </c>
      <c r="E245" s="256">
        <f>'3. GRI Pricing'!Y255</f>
        <v>1025</v>
      </c>
      <c r="F245" s="279">
        <v>1030.0851603341398</v>
      </c>
      <c r="G245" s="279">
        <v>0</v>
      </c>
      <c r="H245" s="279">
        <v>0</v>
      </c>
      <c r="I245" s="254"/>
      <c r="J245" s="254"/>
      <c r="K245" s="254"/>
      <c r="L245" s="254"/>
      <c r="M245" s="254"/>
      <c r="N245" s="254"/>
      <c r="O245" s="254"/>
      <c r="P245" s="1"/>
    </row>
    <row r="246" spans="2:16" x14ac:dyDescent="0.2">
      <c r="B246" s="255" t="str">
        <f>'3. GRI Pricing'!C256</f>
        <v>503W</v>
      </c>
      <c r="C246" s="255" t="str">
        <f>'3. GRI Pricing'!D256</f>
        <v>2 Bed</v>
      </c>
      <c r="D246" s="255">
        <f>'3. GRI Pricing'!E256</f>
        <v>2</v>
      </c>
      <c r="E246" s="256">
        <f>'3. GRI Pricing'!Y256</f>
        <v>1295</v>
      </c>
      <c r="F246" s="279">
        <v>1331.573499944132</v>
      </c>
      <c r="G246" s="279">
        <v>0</v>
      </c>
      <c r="H246" s="279">
        <v>0</v>
      </c>
      <c r="I246" s="254"/>
      <c r="J246" s="254"/>
      <c r="K246" s="254"/>
      <c r="L246" s="254"/>
      <c r="M246" s="254"/>
      <c r="N246" s="254"/>
      <c r="O246" s="254"/>
      <c r="P246" s="1"/>
    </row>
    <row r="247" spans="2:16" x14ac:dyDescent="0.2">
      <c r="B247" s="255" t="str">
        <f>'3. GRI Pricing'!C257</f>
        <v>504W</v>
      </c>
      <c r="C247" s="255" t="str">
        <f>'3. GRI Pricing'!D257</f>
        <v>2 Bed</v>
      </c>
      <c r="D247" s="255">
        <f>'3. GRI Pricing'!E257</f>
        <v>2</v>
      </c>
      <c r="E247" s="256">
        <f>'3. GRI Pricing'!Y257</f>
        <v>1290</v>
      </c>
      <c r="F247" s="279">
        <v>1326.5486942839655</v>
      </c>
      <c r="G247" s="279">
        <v>0</v>
      </c>
      <c r="H247" s="279">
        <v>0</v>
      </c>
      <c r="I247" s="254"/>
      <c r="J247" s="254"/>
      <c r="K247" s="254"/>
      <c r="L247" s="254"/>
      <c r="M247" s="254"/>
      <c r="N247" s="254"/>
      <c r="O247" s="254"/>
      <c r="P247" s="1"/>
    </row>
    <row r="248" spans="2:16" x14ac:dyDescent="0.2">
      <c r="B248" s="255" t="str">
        <f>'3. GRI Pricing'!C258</f>
        <v>505W</v>
      </c>
      <c r="C248" s="255" t="str">
        <f>'3. GRI Pricing'!D258</f>
        <v>2 Bed</v>
      </c>
      <c r="D248" s="255">
        <f>'3. GRI Pricing'!E258</f>
        <v>2</v>
      </c>
      <c r="E248" s="256">
        <f>'3. GRI Pricing'!Y258</f>
        <v>1310</v>
      </c>
      <c r="F248" s="279">
        <v>1346.6479169246315</v>
      </c>
      <c r="G248" s="279">
        <v>0</v>
      </c>
      <c r="H248" s="279">
        <v>0</v>
      </c>
      <c r="I248" s="254"/>
      <c r="J248" s="254"/>
      <c r="K248" s="254"/>
      <c r="L248" s="254"/>
      <c r="M248" s="254"/>
      <c r="N248" s="254"/>
      <c r="O248" s="254"/>
      <c r="P248" s="1"/>
    </row>
    <row r="249" spans="2:16" x14ac:dyDescent="0.2">
      <c r="B249" s="255" t="str">
        <f>'3. GRI Pricing'!C259</f>
        <v>506W</v>
      </c>
      <c r="C249" s="255" t="str">
        <f>'3. GRI Pricing'!D259</f>
        <v>1 Bed</v>
      </c>
      <c r="D249" s="255">
        <f>'3. GRI Pricing'!E259</f>
        <v>1</v>
      </c>
      <c r="E249" s="256">
        <f>'3. GRI Pricing'!Y259</f>
        <v>1020</v>
      </c>
      <c r="F249" s="279">
        <v>1025.0603546739733</v>
      </c>
      <c r="G249" s="279">
        <v>0</v>
      </c>
      <c r="H249" s="279">
        <v>0</v>
      </c>
      <c r="I249" s="254"/>
      <c r="J249" s="254"/>
      <c r="K249" s="254"/>
      <c r="L249" s="254"/>
      <c r="M249" s="254"/>
      <c r="N249" s="254"/>
      <c r="O249" s="254"/>
      <c r="P249" s="1"/>
    </row>
    <row r="250" spans="2:16" x14ac:dyDescent="0.2">
      <c r="B250" s="255" t="str">
        <f>'3. GRI Pricing'!C260</f>
        <v>507W</v>
      </c>
      <c r="C250" s="255" t="str">
        <f>'3. GRI Pricing'!D260</f>
        <v>1 Bed</v>
      </c>
      <c r="D250" s="255">
        <f>'3. GRI Pricing'!E260</f>
        <v>1</v>
      </c>
      <c r="E250" s="256">
        <f>'3. GRI Pricing'!Y260</f>
        <v>995</v>
      </c>
      <c r="F250" s="279">
        <v>999.93632637314067</v>
      </c>
      <c r="G250" s="279">
        <v>0</v>
      </c>
      <c r="H250" s="279">
        <v>0</v>
      </c>
      <c r="I250" s="254"/>
      <c r="J250" s="254"/>
      <c r="K250" s="254"/>
      <c r="L250" s="254"/>
      <c r="M250" s="254"/>
      <c r="N250" s="254"/>
      <c r="O250" s="254"/>
      <c r="P250" s="1"/>
    </row>
    <row r="251" spans="2:16" x14ac:dyDescent="0.2">
      <c r="B251" s="255" t="str">
        <f>'3. GRI Pricing'!C261</f>
        <v>508W</v>
      </c>
      <c r="C251" s="255" t="str">
        <f>'3. GRI Pricing'!D261</f>
        <v>2 Bed</v>
      </c>
      <c r="D251" s="255">
        <f>'3. GRI Pricing'!E261</f>
        <v>2</v>
      </c>
      <c r="E251" s="256">
        <f>'3. GRI Pricing'!Y261</f>
        <v>1305</v>
      </c>
      <c r="F251" s="279">
        <v>1341.623111264465</v>
      </c>
      <c r="G251" s="279">
        <v>0</v>
      </c>
      <c r="H251" s="279">
        <v>0</v>
      </c>
      <c r="I251" s="254"/>
      <c r="J251" s="254"/>
      <c r="K251" s="254"/>
      <c r="L251" s="254"/>
      <c r="M251" s="254"/>
      <c r="N251" s="254"/>
      <c r="O251" s="254"/>
      <c r="P251" s="1"/>
    </row>
    <row r="252" spans="2:16" x14ac:dyDescent="0.2">
      <c r="B252" s="255" t="str">
        <f>'3. GRI Pricing'!C262</f>
        <v>509W</v>
      </c>
      <c r="C252" s="255" t="str">
        <f>'3. GRI Pricing'!D262</f>
        <v>2 Bed</v>
      </c>
      <c r="D252" s="255">
        <f>'3. GRI Pricing'!E262</f>
        <v>2</v>
      </c>
      <c r="E252" s="256">
        <f>'3. GRI Pricing'!Y262</f>
        <v>1295</v>
      </c>
      <c r="F252" s="279">
        <v>1331.573499944132</v>
      </c>
      <c r="G252" s="279">
        <v>0</v>
      </c>
      <c r="H252" s="279">
        <v>0</v>
      </c>
      <c r="I252" s="254"/>
      <c r="J252" s="254"/>
      <c r="K252" s="254"/>
      <c r="L252" s="254"/>
      <c r="M252" s="254"/>
      <c r="N252" s="254"/>
      <c r="O252" s="254"/>
      <c r="P252" s="1"/>
    </row>
    <row r="253" spans="2:16" x14ac:dyDescent="0.2">
      <c r="B253" s="255" t="str">
        <f>'3. GRI Pricing'!C263</f>
        <v>510W</v>
      </c>
      <c r="C253" s="255" t="str">
        <f>'3. GRI Pricing'!D263</f>
        <v>2 Bed</v>
      </c>
      <c r="D253" s="255">
        <f>'3. GRI Pricing'!E263</f>
        <v>2</v>
      </c>
      <c r="E253" s="256">
        <f>'3. GRI Pricing'!Y263</f>
        <v>1315</v>
      </c>
      <c r="F253" s="279">
        <v>1351.6727225847981</v>
      </c>
      <c r="G253" s="279">
        <v>0</v>
      </c>
      <c r="H253" s="279">
        <v>0</v>
      </c>
      <c r="I253" s="254"/>
      <c r="J253" s="254"/>
      <c r="K253" s="254"/>
      <c r="L253" s="254"/>
      <c r="M253" s="254"/>
      <c r="N253" s="254"/>
      <c r="O253" s="254"/>
      <c r="P253" s="1"/>
    </row>
    <row r="254" spans="2:16" x14ac:dyDescent="0.2">
      <c r="B254" s="255" t="str">
        <f>'3. GRI Pricing'!C264</f>
        <v>511W</v>
      </c>
      <c r="C254" s="255" t="str">
        <f>'3. GRI Pricing'!D264</f>
        <v>2 Bed</v>
      </c>
      <c r="D254" s="255">
        <f>'3. GRI Pricing'!E264</f>
        <v>2</v>
      </c>
      <c r="E254" s="256">
        <f>'3. GRI Pricing'!Y264</f>
        <v>1305</v>
      </c>
      <c r="F254" s="279">
        <v>1341.623111264465</v>
      </c>
      <c r="G254" s="279">
        <v>0</v>
      </c>
      <c r="H254" s="279">
        <v>0</v>
      </c>
      <c r="I254" s="254"/>
      <c r="J254" s="254"/>
      <c r="K254" s="254"/>
      <c r="L254" s="254"/>
      <c r="M254" s="254"/>
      <c r="N254" s="254"/>
      <c r="O254" s="254"/>
      <c r="P254" s="1"/>
    </row>
    <row r="255" spans="2:16" x14ac:dyDescent="0.2">
      <c r="B255" s="255" t="str">
        <f>'3. GRI Pricing'!C265</f>
        <v>512W</v>
      </c>
      <c r="C255" s="255" t="str">
        <f>'3. GRI Pricing'!D265</f>
        <v>1 Bed</v>
      </c>
      <c r="D255" s="255">
        <f>'3. GRI Pricing'!E265</f>
        <v>1</v>
      </c>
      <c r="E255" s="256">
        <f>'3. GRI Pricing'!Y265</f>
        <v>1025</v>
      </c>
      <c r="F255" s="279">
        <v>1030.0851603341398</v>
      </c>
      <c r="G255" s="279">
        <v>0</v>
      </c>
      <c r="H255" s="279">
        <v>0</v>
      </c>
      <c r="I255" s="254"/>
      <c r="J255" s="254"/>
      <c r="K255" s="254"/>
      <c r="L255" s="254"/>
      <c r="M255" s="254"/>
      <c r="N255" s="254"/>
      <c r="O255" s="254"/>
      <c r="P255" s="1"/>
    </row>
    <row r="256" spans="2:16" x14ac:dyDescent="0.2">
      <c r="B256" s="255" t="str">
        <f>'3. GRI Pricing'!C266</f>
        <v>513W</v>
      </c>
      <c r="C256" s="255" t="str">
        <f>'3. GRI Pricing'!D266</f>
        <v>3 Bed</v>
      </c>
      <c r="D256" s="255">
        <f>'3. GRI Pricing'!E266</f>
        <v>2</v>
      </c>
      <c r="E256" s="256">
        <f>'3. GRI Pricing'!Y266</f>
        <v>1715</v>
      </c>
      <c r="F256" s="279">
        <v>1723.5083414371218</v>
      </c>
      <c r="G256" s="279">
        <v>0</v>
      </c>
      <c r="H256" s="279">
        <v>0</v>
      </c>
      <c r="I256" s="254"/>
      <c r="J256" s="254"/>
      <c r="K256" s="254"/>
      <c r="L256" s="254"/>
      <c r="M256" s="254"/>
      <c r="N256" s="254"/>
      <c r="O256" s="254"/>
      <c r="P256" s="1"/>
    </row>
    <row r="257" spans="2:16" x14ac:dyDescent="0.2">
      <c r="B257" s="255" t="str">
        <f>'3. GRI Pricing'!C267</f>
        <v>514W</v>
      </c>
      <c r="C257" s="255" t="str">
        <f>'3. GRI Pricing'!D267</f>
        <v>2 Bed</v>
      </c>
      <c r="D257" s="255">
        <f>'3. GRI Pricing'!E267</f>
        <v>2</v>
      </c>
      <c r="E257" s="256">
        <f>'3. GRI Pricing'!Y267</f>
        <v>1280</v>
      </c>
      <c r="F257" s="279">
        <v>1316.4990829636324</v>
      </c>
      <c r="G257" s="279">
        <v>0</v>
      </c>
      <c r="H257" s="279">
        <v>0</v>
      </c>
      <c r="I257" s="254"/>
      <c r="J257" s="254"/>
      <c r="K257" s="254"/>
      <c r="L257" s="254"/>
      <c r="M257" s="254"/>
      <c r="N257" s="254"/>
      <c r="O257" s="254"/>
      <c r="P257" s="1"/>
    </row>
    <row r="258" spans="2:16" x14ac:dyDescent="0.2">
      <c r="B258" s="255" t="str">
        <f>'3. GRI Pricing'!C268</f>
        <v>601W</v>
      </c>
      <c r="C258" s="255" t="str">
        <f>'3. GRI Pricing'!D268</f>
        <v>2 Bed</v>
      </c>
      <c r="D258" s="255">
        <f>'3. GRI Pricing'!E268</f>
        <v>2</v>
      </c>
      <c r="E258" s="256">
        <f>'3. GRI Pricing'!Y268</f>
        <v>1335</v>
      </c>
      <c r="F258" s="279">
        <v>1371.7719452254644</v>
      </c>
      <c r="G258" s="279">
        <v>0</v>
      </c>
      <c r="H258" s="279">
        <v>0</v>
      </c>
      <c r="I258" s="254"/>
      <c r="J258" s="254"/>
      <c r="K258" s="254"/>
      <c r="L258" s="254"/>
      <c r="M258" s="254"/>
      <c r="N258" s="254"/>
      <c r="O258" s="254"/>
      <c r="P258" s="1"/>
    </row>
    <row r="259" spans="2:16" x14ac:dyDescent="0.2">
      <c r="B259" s="255" t="str">
        <f>'3. GRI Pricing'!C269</f>
        <v>602W</v>
      </c>
      <c r="C259" s="255" t="str">
        <f>'3. GRI Pricing'!D269</f>
        <v>1 Bed</v>
      </c>
      <c r="D259" s="255">
        <f>'3. GRI Pricing'!E269</f>
        <v>1</v>
      </c>
      <c r="E259" s="256">
        <f>'3. GRI Pricing'!Y269</f>
        <v>1035</v>
      </c>
      <c r="F259" s="279">
        <v>1040.1347716544728</v>
      </c>
      <c r="G259" s="279">
        <v>0</v>
      </c>
      <c r="H259" s="279">
        <v>0</v>
      </c>
      <c r="I259" s="254"/>
      <c r="J259" s="254"/>
      <c r="K259" s="254"/>
      <c r="L259" s="254"/>
      <c r="M259" s="254"/>
      <c r="N259" s="254"/>
      <c r="O259" s="254"/>
      <c r="P259" s="1"/>
    </row>
    <row r="260" spans="2:16" x14ac:dyDescent="0.2">
      <c r="B260" s="255" t="str">
        <f>'3. GRI Pricing'!C270</f>
        <v>603W</v>
      </c>
      <c r="C260" s="255" t="str">
        <f>'3. GRI Pricing'!D270</f>
        <v>2 Bed</v>
      </c>
      <c r="D260" s="255">
        <f>'3. GRI Pricing'!E270</f>
        <v>2</v>
      </c>
      <c r="E260" s="256">
        <f>'3. GRI Pricing'!Y270</f>
        <v>1305</v>
      </c>
      <c r="F260" s="279">
        <v>1341.623111264465</v>
      </c>
      <c r="G260" s="279">
        <v>0</v>
      </c>
      <c r="H260" s="279">
        <v>0</v>
      </c>
      <c r="I260" s="254"/>
      <c r="J260" s="254"/>
      <c r="K260" s="254"/>
      <c r="L260" s="254"/>
      <c r="M260" s="254"/>
      <c r="N260" s="254"/>
      <c r="O260" s="254"/>
      <c r="P260" s="1"/>
    </row>
    <row r="261" spans="2:16" x14ac:dyDescent="0.2">
      <c r="B261" s="255" t="str">
        <f>'3. GRI Pricing'!C271</f>
        <v>604W</v>
      </c>
      <c r="C261" s="255" t="str">
        <f>'3. GRI Pricing'!D271</f>
        <v>2 Bed</v>
      </c>
      <c r="D261" s="255">
        <f>'3. GRI Pricing'!E271</f>
        <v>2</v>
      </c>
      <c r="E261" s="256">
        <f>'3. GRI Pricing'!Y271</f>
        <v>1310</v>
      </c>
      <c r="F261" s="279">
        <v>1346.6479169246315</v>
      </c>
      <c r="G261" s="279">
        <v>0</v>
      </c>
      <c r="H261" s="279">
        <v>0</v>
      </c>
      <c r="I261" s="254"/>
      <c r="J261" s="254"/>
      <c r="K261" s="254"/>
      <c r="L261" s="254"/>
      <c r="M261" s="254"/>
      <c r="N261" s="254"/>
      <c r="O261" s="254"/>
      <c r="P261" s="1"/>
    </row>
    <row r="262" spans="2:16" x14ac:dyDescent="0.2">
      <c r="B262" s="255" t="str">
        <f>'3. GRI Pricing'!C272</f>
        <v>605W</v>
      </c>
      <c r="C262" s="255" t="str">
        <f>'3. GRI Pricing'!D272</f>
        <v>2 Bed</v>
      </c>
      <c r="D262" s="255">
        <f>'3. GRI Pricing'!E272</f>
        <v>2</v>
      </c>
      <c r="E262" s="256">
        <f>'3. GRI Pricing'!Y272</f>
        <v>1330</v>
      </c>
      <c r="F262" s="279">
        <v>1366.7471395652979</v>
      </c>
      <c r="G262" s="279">
        <v>0</v>
      </c>
      <c r="H262" s="279">
        <v>0</v>
      </c>
      <c r="I262" s="254"/>
      <c r="J262" s="254"/>
      <c r="K262" s="254"/>
      <c r="L262" s="254"/>
      <c r="M262" s="254"/>
      <c r="N262" s="254"/>
      <c r="O262" s="254"/>
      <c r="P262" s="1"/>
    </row>
    <row r="263" spans="2:16" x14ac:dyDescent="0.2">
      <c r="B263" s="255" t="str">
        <f>'3. GRI Pricing'!C273</f>
        <v>606W</v>
      </c>
      <c r="C263" s="255" t="str">
        <f>'3. GRI Pricing'!D273</f>
        <v>1 Bed</v>
      </c>
      <c r="D263" s="255">
        <f>'3. GRI Pricing'!E273</f>
        <v>1</v>
      </c>
      <c r="E263" s="256">
        <f>'3. GRI Pricing'!Y273</f>
        <v>1040</v>
      </c>
      <c r="F263" s="279">
        <v>1045.1595773146394</v>
      </c>
      <c r="G263" s="279">
        <v>0</v>
      </c>
      <c r="H263" s="279">
        <v>0</v>
      </c>
      <c r="I263" s="254"/>
      <c r="J263" s="254"/>
      <c r="K263" s="254"/>
      <c r="L263" s="254"/>
      <c r="M263" s="254"/>
      <c r="N263" s="254"/>
      <c r="O263" s="254"/>
      <c r="P263" s="1"/>
    </row>
    <row r="264" spans="2:16" x14ac:dyDescent="0.2">
      <c r="B264" s="255" t="str">
        <f>'3. GRI Pricing'!C274</f>
        <v>607W</v>
      </c>
      <c r="C264" s="255" t="str">
        <f>'3. GRI Pricing'!D274</f>
        <v>1 Bed</v>
      </c>
      <c r="D264" s="255">
        <f>'3. GRI Pricing'!E274</f>
        <v>1</v>
      </c>
      <c r="E264" s="256">
        <f>'3. GRI Pricing'!Y274</f>
        <v>1005</v>
      </c>
      <c r="F264" s="279">
        <v>1009.9859376934737</v>
      </c>
      <c r="G264" s="279">
        <v>0</v>
      </c>
      <c r="H264" s="279">
        <v>0</v>
      </c>
      <c r="I264" s="254"/>
      <c r="J264" s="254"/>
      <c r="K264" s="254"/>
      <c r="L264" s="254"/>
      <c r="M264" s="254"/>
      <c r="N264" s="254"/>
      <c r="O264" s="254"/>
      <c r="P264" s="1"/>
    </row>
    <row r="265" spans="2:16" x14ac:dyDescent="0.2">
      <c r="B265" s="255" t="str">
        <f>'3. GRI Pricing'!C275</f>
        <v>608W</v>
      </c>
      <c r="C265" s="255" t="str">
        <f>'3. GRI Pricing'!D275</f>
        <v>2 Bed</v>
      </c>
      <c r="D265" s="255">
        <f>'3. GRI Pricing'!E275</f>
        <v>2</v>
      </c>
      <c r="E265" s="256">
        <f>'3. GRI Pricing'!Y275</f>
        <v>1315</v>
      </c>
      <c r="F265" s="279">
        <v>1351.6727225847981</v>
      </c>
      <c r="G265" s="279">
        <v>0</v>
      </c>
      <c r="H265" s="279">
        <v>0</v>
      </c>
      <c r="I265" s="254"/>
      <c r="J265" s="254"/>
      <c r="K265" s="254"/>
      <c r="L265" s="254"/>
      <c r="M265" s="254"/>
      <c r="N265" s="254"/>
      <c r="O265" s="254"/>
      <c r="P265" s="1"/>
    </row>
    <row r="266" spans="2:16" x14ac:dyDescent="0.2">
      <c r="B266" s="255" t="str">
        <f>'3. GRI Pricing'!C276</f>
        <v>609W</v>
      </c>
      <c r="C266" s="255" t="str">
        <f>'3. GRI Pricing'!D276</f>
        <v>2 Bed</v>
      </c>
      <c r="D266" s="255">
        <f>'3. GRI Pricing'!E276</f>
        <v>2</v>
      </c>
      <c r="E266" s="256">
        <f>'3. GRI Pricing'!Y276</f>
        <v>1305</v>
      </c>
      <c r="F266" s="279">
        <v>1341.623111264465</v>
      </c>
      <c r="G266" s="279">
        <v>0</v>
      </c>
      <c r="H266" s="279">
        <v>0</v>
      </c>
      <c r="I266" s="254"/>
      <c r="J266" s="254"/>
      <c r="K266" s="254"/>
      <c r="L266" s="254"/>
      <c r="M266" s="254"/>
      <c r="N266" s="254"/>
      <c r="O266" s="254"/>
      <c r="P266" s="1"/>
    </row>
    <row r="267" spans="2:16" x14ac:dyDescent="0.2">
      <c r="B267" s="255" t="str">
        <f>'3. GRI Pricing'!C277</f>
        <v>610W</v>
      </c>
      <c r="C267" s="255" t="str">
        <f>'3. GRI Pricing'!D277</f>
        <v>2 Bed</v>
      </c>
      <c r="D267" s="255">
        <f>'3. GRI Pricing'!E277</f>
        <v>2</v>
      </c>
      <c r="E267" s="256">
        <f>'3. GRI Pricing'!Y277</f>
        <v>1325</v>
      </c>
      <c r="F267" s="279">
        <v>1361.7223339051311</v>
      </c>
      <c r="G267" s="279">
        <v>0</v>
      </c>
      <c r="H267" s="279">
        <v>0</v>
      </c>
      <c r="I267" s="254"/>
      <c r="J267" s="254"/>
      <c r="K267" s="254"/>
      <c r="L267" s="254"/>
      <c r="M267" s="254"/>
      <c r="N267" s="254"/>
      <c r="O267" s="254"/>
      <c r="P267" s="1"/>
    </row>
    <row r="268" spans="2:16" x14ac:dyDescent="0.2">
      <c r="B268" s="255" t="str">
        <f>'3. GRI Pricing'!C278</f>
        <v>611W</v>
      </c>
      <c r="C268" s="255" t="str">
        <f>'3. GRI Pricing'!D278</f>
        <v>2 Bed</v>
      </c>
      <c r="D268" s="255">
        <f>'3. GRI Pricing'!E278</f>
        <v>2</v>
      </c>
      <c r="E268" s="256">
        <f>'3. GRI Pricing'!Y278</f>
        <v>1315</v>
      </c>
      <c r="F268" s="279">
        <v>1351.6727225847981</v>
      </c>
      <c r="G268" s="279">
        <v>0</v>
      </c>
      <c r="H268" s="279">
        <v>0</v>
      </c>
      <c r="I268" s="254"/>
      <c r="J268" s="254"/>
      <c r="K268" s="254"/>
      <c r="L268" s="254"/>
      <c r="M268" s="254"/>
      <c r="N268" s="254"/>
      <c r="O268" s="254"/>
      <c r="P268" s="1"/>
    </row>
    <row r="269" spans="2:16" x14ac:dyDescent="0.2">
      <c r="B269" s="255" t="str">
        <f>'3. GRI Pricing'!C279</f>
        <v>612W</v>
      </c>
      <c r="C269" s="255" t="str">
        <f>'3. GRI Pricing'!D279</f>
        <v>1 Bed</v>
      </c>
      <c r="D269" s="255">
        <f>'3. GRI Pricing'!E279</f>
        <v>1</v>
      </c>
      <c r="E269" s="256">
        <f>'3. GRI Pricing'!Y279</f>
        <v>1045</v>
      </c>
      <c r="F269" s="279">
        <v>1050.1843829748059</v>
      </c>
      <c r="G269" s="279">
        <v>0</v>
      </c>
      <c r="H269" s="279">
        <v>0</v>
      </c>
      <c r="I269" s="254"/>
      <c r="J269" s="254"/>
      <c r="K269" s="254"/>
      <c r="L269" s="254"/>
      <c r="M269" s="254"/>
      <c r="N269" s="254"/>
      <c r="O269" s="254"/>
      <c r="P269" s="1"/>
    </row>
    <row r="270" spans="2:16" x14ac:dyDescent="0.2">
      <c r="B270" s="255" t="str">
        <f>'3. GRI Pricing'!C280</f>
        <v>613W</v>
      </c>
      <c r="C270" s="255" t="str">
        <f>'3. GRI Pricing'!D280</f>
        <v>3 Bed</v>
      </c>
      <c r="D270" s="255">
        <f>'3. GRI Pricing'!E280</f>
        <v>2</v>
      </c>
      <c r="E270" s="256">
        <f>'3. GRI Pricing'!Y280</f>
        <v>1735</v>
      </c>
      <c r="F270" s="279">
        <v>1743.6075640777879</v>
      </c>
      <c r="G270" s="279">
        <v>0</v>
      </c>
      <c r="H270" s="279">
        <v>0</v>
      </c>
      <c r="I270" s="254"/>
      <c r="J270" s="254"/>
      <c r="K270" s="254"/>
      <c r="L270" s="254"/>
      <c r="M270" s="254"/>
      <c r="N270" s="254"/>
      <c r="O270" s="254"/>
      <c r="P270" s="1"/>
    </row>
    <row r="271" spans="2:16" x14ac:dyDescent="0.2">
      <c r="B271" s="255" t="str">
        <f>'3. GRI Pricing'!C281</f>
        <v>614W</v>
      </c>
      <c r="C271" s="255" t="str">
        <f>'3. GRI Pricing'!D281</f>
        <v>2 Bed</v>
      </c>
      <c r="D271" s="255">
        <f>'3. GRI Pricing'!E281</f>
        <v>2</v>
      </c>
      <c r="E271" s="256">
        <f>'3. GRI Pricing'!Y281</f>
        <v>1300</v>
      </c>
      <c r="F271" s="279">
        <v>1336.5983056042985</v>
      </c>
      <c r="G271" s="279">
        <v>0</v>
      </c>
      <c r="H271" s="279">
        <v>0</v>
      </c>
      <c r="I271" s="254"/>
      <c r="J271" s="254"/>
      <c r="K271" s="254"/>
      <c r="L271" s="254"/>
      <c r="M271" s="254"/>
      <c r="N271" s="254"/>
      <c r="O271" s="254"/>
      <c r="P271" s="1"/>
    </row>
    <row r="272" spans="2:16" x14ac:dyDescent="0.2">
      <c r="B272" s="255" t="str">
        <f>'3. GRI Pricing'!C282</f>
        <v>701W</v>
      </c>
      <c r="C272" s="255" t="str">
        <f>'3. GRI Pricing'!D282</f>
        <v>3 Bed</v>
      </c>
      <c r="D272" s="255">
        <f>'3. GRI Pricing'!E282</f>
        <v>2</v>
      </c>
      <c r="E272" s="256">
        <f>'3. GRI Pricing'!Y282</f>
        <v>1695</v>
      </c>
      <c r="F272" s="279">
        <v>1703.4091187964557</v>
      </c>
      <c r="G272" s="279">
        <v>0</v>
      </c>
      <c r="H272" s="279">
        <v>0</v>
      </c>
      <c r="I272" s="254"/>
      <c r="J272" s="254"/>
      <c r="K272" s="254"/>
      <c r="L272" s="254"/>
      <c r="M272" s="254"/>
      <c r="N272" s="254"/>
      <c r="O272" s="254"/>
      <c r="P272" s="1"/>
    </row>
    <row r="273" spans="2:16" x14ac:dyDescent="0.2">
      <c r="B273" s="255" t="str">
        <f>'3. GRI Pricing'!C283</f>
        <v>702W</v>
      </c>
      <c r="C273" s="255" t="str">
        <f>'3. GRI Pricing'!D283</f>
        <v>1 Bed</v>
      </c>
      <c r="D273" s="255">
        <f>'3. GRI Pricing'!E283</f>
        <v>1</v>
      </c>
      <c r="E273" s="256">
        <f>'3. GRI Pricing'!Y283</f>
        <v>1005</v>
      </c>
      <c r="F273" s="279">
        <v>1009.9859376934737</v>
      </c>
      <c r="G273" s="279">
        <v>0</v>
      </c>
      <c r="H273" s="279">
        <v>0</v>
      </c>
      <c r="I273" s="254"/>
      <c r="J273" s="254"/>
      <c r="K273" s="254"/>
      <c r="L273" s="254"/>
      <c r="M273" s="254"/>
      <c r="N273" s="254"/>
      <c r="O273" s="254"/>
      <c r="P273" s="1"/>
    </row>
    <row r="274" spans="2:16" x14ac:dyDescent="0.2">
      <c r="B274" s="255" t="str">
        <f>'3. GRI Pricing'!C284</f>
        <v>703W</v>
      </c>
      <c r="C274" s="255" t="str">
        <f>'3. GRI Pricing'!D284</f>
        <v>1 Bed</v>
      </c>
      <c r="D274" s="255">
        <f>'3. GRI Pricing'!E284</f>
        <v>1</v>
      </c>
      <c r="E274" s="256">
        <f>'3. GRI Pricing'!Y284</f>
        <v>1000</v>
      </c>
      <c r="F274" s="279">
        <v>1004.9611320333072</v>
      </c>
      <c r="G274" s="279">
        <v>0</v>
      </c>
      <c r="H274" s="279">
        <v>0</v>
      </c>
      <c r="I274" s="254"/>
      <c r="J274" s="254"/>
      <c r="K274" s="254"/>
      <c r="L274" s="254"/>
      <c r="M274" s="254"/>
      <c r="N274" s="254"/>
      <c r="O274" s="254"/>
      <c r="P274" s="1"/>
    </row>
    <row r="275" spans="2:16" x14ac:dyDescent="0.2">
      <c r="B275" s="255" t="str">
        <f>'3. GRI Pricing'!C285</f>
        <v>704W</v>
      </c>
      <c r="C275" s="255" t="str">
        <f>'3. GRI Pricing'!D285</f>
        <v>2 Bed</v>
      </c>
      <c r="D275" s="255">
        <f>'3. GRI Pricing'!E285</f>
        <v>2</v>
      </c>
      <c r="E275" s="256">
        <f>'3. GRI Pricing'!Y285</f>
        <v>1260</v>
      </c>
      <c r="F275" s="279">
        <v>1296.3998603229663</v>
      </c>
      <c r="G275" s="279">
        <v>0</v>
      </c>
      <c r="H275" s="279">
        <v>0</v>
      </c>
      <c r="I275" s="254"/>
      <c r="J275" s="254"/>
      <c r="K275" s="254"/>
      <c r="L275" s="254"/>
      <c r="M275" s="254"/>
      <c r="N275" s="254"/>
      <c r="O275" s="254"/>
      <c r="P275" s="1"/>
    </row>
    <row r="276" spans="2:16" x14ac:dyDescent="0.2">
      <c r="B276" s="255" t="str">
        <f>'3. GRI Pricing'!C286</f>
        <v>705W</v>
      </c>
      <c r="C276" s="255" t="str">
        <f>'3. GRI Pricing'!D286</f>
        <v>2 Bed</v>
      </c>
      <c r="D276" s="255">
        <f>'3. GRI Pricing'!E286</f>
        <v>2</v>
      </c>
      <c r="E276" s="256">
        <f>'3. GRI Pricing'!Y286</f>
        <v>1240</v>
      </c>
      <c r="F276" s="279">
        <v>1276.3006376823</v>
      </c>
      <c r="G276" s="279">
        <v>0</v>
      </c>
      <c r="H276" s="279">
        <v>0</v>
      </c>
      <c r="I276" s="254"/>
      <c r="J276" s="254"/>
      <c r="K276" s="254"/>
      <c r="L276" s="254"/>
      <c r="M276" s="254"/>
      <c r="N276" s="254"/>
      <c r="O276" s="254"/>
      <c r="P276" s="1"/>
    </row>
    <row r="277" spans="2:16" x14ac:dyDescent="0.2">
      <c r="B277" s="255" t="str">
        <f>'3. GRI Pricing'!C287</f>
        <v>706W</v>
      </c>
      <c r="C277" s="255" t="str">
        <f>'3. GRI Pricing'!D287</f>
        <v>2 Bed</v>
      </c>
      <c r="D277" s="255">
        <f>'3. GRI Pricing'!E287</f>
        <v>2</v>
      </c>
      <c r="E277" s="256">
        <f>'3. GRI Pricing'!Y287</f>
        <v>1285</v>
      </c>
      <c r="F277" s="279">
        <v>1321.5238886237989</v>
      </c>
      <c r="G277" s="279">
        <v>0</v>
      </c>
      <c r="H277" s="279">
        <v>0</v>
      </c>
      <c r="I277" s="254"/>
      <c r="J277" s="254"/>
      <c r="K277" s="254"/>
      <c r="L277" s="254"/>
      <c r="M277" s="254"/>
      <c r="N277" s="254"/>
      <c r="O277" s="254"/>
      <c r="P277" s="1"/>
    </row>
    <row r="278" spans="2:16" x14ac:dyDescent="0.2">
      <c r="B278" s="255" t="str">
        <f>'3. GRI Pricing'!C288</f>
        <v>707W</v>
      </c>
      <c r="C278" s="255" t="str">
        <f>'3. GRI Pricing'!D288</f>
        <v>2 Bed</v>
      </c>
      <c r="D278" s="255">
        <f>'3. GRI Pricing'!E288</f>
        <v>2</v>
      </c>
      <c r="E278" s="256">
        <f>'3. GRI Pricing'!Y288</f>
        <v>1290</v>
      </c>
      <c r="F278" s="279">
        <v>1326.5486942839655</v>
      </c>
      <c r="G278" s="279">
        <v>0</v>
      </c>
      <c r="H278" s="279">
        <v>0</v>
      </c>
      <c r="I278" s="254"/>
      <c r="J278" s="254"/>
      <c r="K278" s="254"/>
      <c r="L278" s="254"/>
      <c r="M278" s="254"/>
      <c r="N278" s="254"/>
      <c r="O278" s="254"/>
      <c r="P278" s="1"/>
    </row>
    <row r="279" spans="2:16" x14ac:dyDescent="0.2">
      <c r="B279" s="255" t="str">
        <f>'3. GRI Pricing'!C289</f>
        <v>708W</v>
      </c>
      <c r="C279" s="255" t="str">
        <f>'3. GRI Pricing'!D289</f>
        <v>1 Bed</v>
      </c>
      <c r="D279" s="255">
        <f>'3. GRI Pricing'!E289</f>
        <v>1</v>
      </c>
      <c r="E279" s="256">
        <f>'3. GRI Pricing'!Y289</f>
        <v>1005</v>
      </c>
      <c r="F279" s="279">
        <v>1009.9859376934737</v>
      </c>
      <c r="G279" s="279">
        <v>0</v>
      </c>
      <c r="H279" s="279">
        <v>0</v>
      </c>
      <c r="I279" s="254"/>
      <c r="J279" s="254"/>
      <c r="K279" s="254"/>
      <c r="L279" s="254"/>
      <c r="M279" s="254"/>
      <c r="N279" s="254"/>
      <c r="O279" s="254"/>
      <c r="P279" s="1"/>
    </row>
    <row r="280" spans="2:16" x14ac:dyDescent="0.2">
      <c r="B280" s="255" t="str">
        <f>'3. GRI Pricing'!C290</f>
        <v>709W</v>
      </c>
      <c r="C280" s="255" t="str">
        <f>'3. GRI Pricing'!D290</f>
        <v>3 Bed</v>
      </c>
      <c r="D280" s="255">
        <f>'3. GRI Pricing'!E290</f>
        <v>2</v>
      </c>
      <c r="E280" s="256">
        <f>'3. GRI Pricing'!Y290</f>
        <v>1695</v>
      </c>
      <c r="F280" s="279">
        <v>1703.4091187964557</v>
      </c>
      <c r="G280" s="279">
        <v>0</v>
      </c>
      <c r="H280" s="279">
        <v>0</v>
      </c>
      <c r="I280" s="254"/>
      <c r="J280" s="254"/>
      <c r="K280" s="254"/>
      <c r="L280" s="254"/>
      <c r="M280" s="254"/>
      <c r="N280" s="254"/>
      <c r="O280" s="254"/>
      <c r="P280" s="1"/>
    </row>
    <row r="281" spans="2:16" x14ac:dyDescent="0.2">
      <c r="B281" s="255" t="str">
        <f>'3. GRI Pricing'!C291</f>
        <v>801W</v>
      </c>
      <c r="C281" s="255" t="str">
        <f>'3. GRI Pricing'!D291</f>
        <v>3 Bed</v>
      </c>
      <c r="D281" s="255">
        <f>'3. GRI Pricing'!E291</f>
        <v>2</v>
      </c>
      <c r="E281" s="256">
        <f>'3. GRI Pricing'!Y291</f>
        <v>1755</v>
      </c>
      <c r="F281" s="279">
        <v>1763.7067867184542</v>
      </c>
      <c r="G281" s="279">
        <v>0</v>
      </c>
      <c r="H281" s="279">
        <v>0</v>
      </c>
      <c r="I281" s="254"/>
      <c r="J281" s="254"/>
      <c r="K281" s="254"/>
      <c r="L281" s="254"/>
      <c r="M281" s="254"/>
      <c r="N281" s="254"/>
      <c r="O281" s="254"/>
      <c r="P281" s="1"/>
    </row>
    <row r="282" spans="2:16" x14ac:dyDescent="0.2">
      <c r="B282" s="255" t="str">
        <f>'3. GRI Pricing'!C292</f>
        <v>802W</v>
      </c>
      <c r="C282" s="255" t="str">
        <f>'3. GRI Pricing'!D292</f>
        <v>1 Bed</v>
      </c>
      <c r="D282" s="255">
        <f>'3. GRI Pricing'!E292</f>
        <v>1</v>
      </c>
      <c r="E282" s="256">
        <f>'3. GRI Pricing'!Y292</f>
        <v>1065</v>
      </c>
      <c r="F282" s="279">
        <v>1070.2836056154722</v>
      </c>
      <c r="G282" s="279">
        <v>0</v>
      </c>
      <c r="H282" s="279">
        <v>0</v>
      </c>
      <c r="I282" s="254"/>
      <c r="J282" s="254"/>
      <c r="K282" s="254"/>
      <c r="L282" s="254"/>
      <c r="M282" s="254"/>
      <c r="N282" s="254"/>
      <c r="O282" s="254"/>
      <c r="P282" s="1"/>
    </row>
    <row r="283" spans="2:16" x14ac:dyDescent="0.2">
      <c r="B283" s="255" t="str">
        <f>'3. GRI Pricing'!C293</f>
        <v>803W</v>
      </c>
      <c r="C283" s="255" t="str">
        <f>'3. GRI Pricing'!D293</f>
        <v>1 Bed</v>
      </c>
      <c r="D283" s="255">
        <f>'3. GRI Pricing'!E293</f>
        <v>1</v>
      </c>
      <c r="E283" s="256">
        <f>'3. GRI Pricing'!Y293</f>
        <v>1060</v>
      </c>
      <c r="F283" s="279">
        <v>1065.2587999553057</v>
      </c>
      <c r="G283" s="279">
        <v>0</v>
      </c>
      <c r="H283" s="279">
        <v>0</v>
      </c>
      <c r="I283" s="254"/>
      <c r="J283" s="254"/>
      <c r="K283" s="254"/>
      <c r="L283" s="254"/>
      <c r="M283" s="254"/>
      <c r="N283" s="254"/>
      <c r="O283" s="254"/>
      <c r="P283" s="1"/>
    </row>
    <row r="284" spans="2:16" x14ac:dyDescent="0.2">
      <c r="B284" s="255" t="str">
        <f>'3. GRI Pricing'!C294</f>
        <v>804W</v>
      </c>
      <c r="C284" s="255" t="str">
        <f>'3. GRI Pricing'!D294</f>
        <v>2 Bed</v>
      </c>
      <c r="D284" s="255">
        <f>'3. GRI Pricing'!E294</f>
        <v>2</v>
      </c>
      <c r="E284" s="256">
        <f>'3. GRI Pricing'!Y294</f>
        <v>1320</v>
      </c>
      <c r="F284" s="279">
        <v>1356.6975282449646</v>
      </c>
      <c r="G284" s="279">
        <v>0</v>
      </c>
      <c r="H284" s="279">
        <v>0</v>
      </c>
      <c r="I284" s="254"/>
      <c r="J284" s="254"/>
      <c r="K284" s="254"/>
      <c r="L284" s="254"/>
      <c r="M284" s="254"/>
      <c r="N284" s="254"/>
      <c r="O284" s="254"/>
      <c r="P284" s="1"/>
    </row>
    <row r="285" spans="2:16" x14ac:dyDescent="0.2">
      <c r="B285" s="255" t="str">
        <f>'3. GRI Pricing'!C295</f>
        <v>805W</v>
      </c>
      <c r="C285" s="255" t="str">
        <f>'3. GRI Pricing'!D295</f>
        <v>2 Bed</v>
      </c>
      <c r="D285" s="255">
        <f>'3. GRI Pricing'!E295</f>
        <v>2</v>
      </c>
      <c r="E285" s="256">
        <f>'3. GRI Pricing'!Y295</f>
        <v>1300</v>
      </c>
      <c r="F285" s="279">
        <v>1336.5983056042985</v>
      </c>
      <c r="G285" s="279">
        <v>0</v>
      </c>
      <c r="H285" s="279">
        <v>0</v>
      </c>
      <c r="I285" s="254"/>
      <c r="J285" s="254"/>
      <c r="K285" s="254"/>
      <c r="L285" s="254"/>
      <c r="M285" s="254"/>
      <c r="N285" s="254"/>
      <c r="O285" s="254"/>
      <c r="P285" s="1"/>
    </row>
    <row r="286" spans="2:16" x14ac:dyDescent="0.2">
      <c r="B286" s="255" t="str">
        <f>'3. GRI Pricing'!C296</f>
        <v>806W</v>
      </c>
      <c r="C286" s="255" t="str">
        <f>'3. GRI Pricing'!D296</f>
        <v>2 Bed</v>
      </c>
      <c r="D286" s="255">
        <f>'3. GRI Pricing'!E296</f>
        <v>2</v>
      </c>
      <c r="E286" s="256">
        <f>'3. GRI Pricing'!Y296</f>
        <v>1345</v>
      </c>
      <c r="F286" s="279">
        <v>1381.8215565457974</v>
      </c>
      <c r="G286" s="279">
        <v>0</v>
      </c>
      <c r="H286" s="279">
        <v>0</v>
      </c>
      <c r="I286" s="254"/>
      <c r="J286" s="254"/>
      <c r="K286" s="254"/>
      <c r="L286" s="254"/>
      <c r="M286" s="254"/>
      <c r="N286" s="254"/>
      <c r="O286" s="254"/>
      <c r="P286" s="1"/>
    </row>
    <row r="287" spans="2:16" x14ac:dyDescent="0.2">
      <c r="B287" s="255" t="str">
        <f>'3. GRI Pricing'!C297</f>
        <v>807W</v>
      </c>
      <c r="C287" s="255" t="str">
        <f>'3. GRI Pricing'!D297</f>
        <v>2 Bed</v>
      </c>
      <c r="D287" s="255">
        <f>'3. GRI Pricing'!E297</f>
        <v>2</v>
      </c>
      <c r="E287" s="256">
        <f>'3. GRI Pricing'!Y297</f>
        <v>1350</v>
      </c>
      <c r="F287" s="279">
        <v>1386.8463622059639</v>
      </c>
      <c r="G287" s="279">
        <v>0</v>
      </c>
      <c r="H287" s="279">
        <v>0</v>
      </c>
      <c r="I287" s="254"/>
      <c r="J287" s="254"/>
      <c r="K287" s="254"/>
      <c r="L287" s="254"/>
      <c r="M287" s="254"/>
      <c r="N287" s="254"/>
      <c r="O287" s="254"/>
      <c r="P287" s="1"/>
    </row>
    <row r="288" spans="2:16" x14ac:dyDescent="0.2">
      <c r="B288" s="255" t="str">
        <f>'3. GRI Pricing'!C298</f>
        <v>808W</v>
      </c>
      <c r="C288" s="255" t="str">
        <f>'3. GRI Pricing'!D298</f>
        <v>1 Bed</v>
      </c>
      <c r="D288" s="255">
        <f>'3. GRI Pricing'!E298</f>
        <v>1</v>
      </c>
      <c r="E288" s="256">
        <f>'3. GRI Pricing'!Y298</f>
        <v>1065</v>
      </c>
      <c r="F288" s="279">
        <v>1070.2836056154722</v>
      </c>
      <c r="G288" s="279">
        <v>0</v>
      </c>
      <c r="H288" s="279">
        <v>0</v>
      </c>
      <c r="I288" s="254"/>
      <c r="J288" s="254"/>
      <c r="K288" s="254"/>
      <c r="L288" s="254"/>
      <c r="M288" s="254"/>
      <c r="N288" s="254"/>
      <c r="O288" s="254"/>
      <c r="P288" s="1"/>
    </row>
    <row r="289" spans="2:16" x14ac:dyDescent="0.2">
      <c r="B289" s="255" t="str">
        <f>'3. GRI Pricing'!C299</f>
        <v>809W</v>
      </c>
      <c r="C289" s="255" t="str">
        <f>'3. GRI Pricing'!D299</f>
        <v>3 Bed</v>
      </c>
      <c r="D289" s="255">
        <f>'3. GRI Pricing'!E299</f>
        <v>2</v>
      </c>
      <c r="E289" s="256">
        <f>'3. GRI Pricing'!Y299</f>
        <v>1755</v>
      </c>
      <c r="F289" s="279">
        <v>1763.7067867184542</v>
      </c>
      <c r="G289" s="279">
        <v>0</v>
      </c>
      <c r="H289" s="279">
        <v>0</v>
      </c>
      <c r="I289" s="254"/>
      <c r="J289" s="254"/>
      <c r="K289" s="254"/>
      <c r="L289" s="254"/>
      <c r="M289" s="254"/>
      <c r="N289" s="254"/>
      <c r="O289" s="254"/>
      <c r="P289" s="1"/>
    </row>
    <row r="290" spans="2:16" x14ac:dyDescent="0.2">
      <c r="B290" s="255">
        <f>'3. GRI Pricing'!C300</f>
        <v>0</v>
      </c>
      <c r="C290" s="255">
        <f>'3. GRI Pricing'!D300</f>
        <v>0</v>
      </c>
      <c r="D290" s="255">
        <f>'3. GRI Pricing'!E300</f>
        <v>0</v>
      </c>
      <c r="E290" s="256">
        <f>'3. GRI Pricing'!Y300</f>
        <v>0</v>
      </c>
      <c r="F290" s="279">
        <v>0</v>
      </c>
      <c r="G290" s="279">
        <v>0</v>
      </c>
      <c r="H290" s="279">
        <v>0</v>
      </c>
      <c r="I290" s="254"/>
      <c r="J290" s="254"/>
      <c r="K290" s="254"/>
      <c r="L290" s="254"/>
      <c r="M290" s="254"/>
      <c r="N290" s="254"/>
      <c r="O290" s="254"/>
      <c r="P290" s="1"/>
    </row>
    <row r="291" spans="2:16" x14ac:dyDescent="0.2">
      <c r="B291" s="255">
        <f>'3. GRI Pricing'!C301</f>
        <v>0</v>
      </c>
      <c r="C291" s="255">
        <f>'3. GRI Pricing'!D301</f>
        <v>0</v>
      </c>
      <c r="D291" s="255">
        <f>'3. GRI Pricing'!E301</f>
        <v>0</v>
      </c>
      <c r="E291" s="256">
        <f>'3. GRI Pricing'!Y301</f>
        <v>0</v>
      </c>
      <c r="F291" s="279">
        <v>0</v>
      </c>
      <c r="G291" s="279">
        <v>0</v>
      </c>
      <c r="H291" s="279">
        <v>0</v>
      </c>
      <c r="I291" s="254"/>
      <c r="J291" s="254"/>
      <c r="K291" s="254"/>
      <c r="L291" s="254"/>
      <c r="M291" s="254"/>
      <c r="N291" s="254"/>
      <c r="O291" s="254"/>
      <c r="P291" s="1"/>
    </row>
    <row r="292" spans="2:16" x14ac:dyDescent="0.2">
      <c r="B292" s="255">
        <f>'3. GRI Pricing'!C302</f>
        <v>0</v>
      </c>
      <c r="C292" s="255">
        <f>'3. GRI Pricing'!D302</f>
        <v>0</v>
      </c>
      <c r="D292" s="255">
        <f>'3. GRI Pricing'!E302</f>
        <v>0</v>
      </c>
      <c r="E292" s="256">
        <f>'3. GRI Pricing'!Y302</f>
        <v>0</v>
      </c>
      <c r="F292" s="279">
        <v>0</v>
      </c>
      <c r="G292" s="279">
        <v>0</v>
      </c>
      <c r="H292" s="279">
        <v>0</v>
      </c>
      <c r="I292" s="254"/>
      <c r="J292" s="254"/>
      <c r="K292" s="254"/>
      <c r="L292" s="254"/>
      <c r="M292" s="254"/>
      <c r="N292" s="254"/>
      <c r="O292" s="254"/>
      <c r="P292" s="1"/>
    </row>
    <row r="293" spans="2:16" x14ac:dyDescent="0.2">
      <c r="B293" s="255">
        <f>'3. GRI Pricing'!C303</f>
        <v>0</v>
      </c>
      <c r="C293" s="255">
        <f>'3. GRI Pricing'!D303</f>
        <v>0</v>
      </c>
      <c r="D293" s="255">
        <f>'3. GRI Pricing'!E303</f>
        <v>0</v>
      </c>
      <c r="E293" s="256">
        <f>'3. GRI Pricing'!Y303</f>
        <v>0</v>
      </c>
      <c r="F293" s="279">
        <v>0</v>
      </c>
      <c r="G293" s="279">
        <v>0</v>
      </c>
      <c r="H293" s="279">
        <v>0</v>
      </c>
      <c r="I293" s="254"/>
      <c r="J293" s="254"/>
      <c r="K293" s="254"/>
      <c r="L293" s="254"/>
      <c r="M293" s="254"/>
      <c r="N293" s="254"/>
      <c r="O293" s="254"/>
      <c r="P293" s="1"/>
    </row>
    <row r="294" spans="2:16" x14ac:dyDescent="0.2">
      <c r="B294" s="255">
        <f>'3. GRI Pricing'!C304</f>
        <v>0</v>
      </c>
      <c r="C294" s="255">
        <f>'3. GRI Pricing'!D304</f>
        <v>0</v>
      </c>
      <c r="D294" s="255">
        <f>'3. GRI Pricing'!E304</f>
        <v>0</v>
      </c>
      <c r="E294" s="256">
        <f>'3. GRI Pricing'!Y304</f>
        <v>0</v>
      </c>
      <c r="F294" s="279">
        <v>0</v>
      </c>
      <c r="G294" s="279">
        <v>0</v>
      </c>
      <c r="H294" s="279">
        <v>0</v>
      </c>
      <c r="I294" s="254"/>
      <c r="J294" s="254"/>
      <c r="K294" s="254"/>
      <c r="L294" s="254"/>
      <c r="M294" s="254"/>
      <c r="N294" s="254"/>
      <c r="O294" s="254"/>
      <c r="P294" s="1"/>
    </row>
    <row r="295" spans="2:16" x14ac:dyDescent="0.2">
      <c r="B295" s="255">
        <f>'3. GRI Pricing'!C305</f>
        <v>0</v>
      </c>
      <c r="C295" s="255">
        <f>'3. GRI Pricing'!D305</f>
        <v>0</v>
      </c>
      <c r="D295" s="255">
        <f>'3. GRI Pricing'!E305</f>
        <v>0</v>
      </c>
      <c r="E295" s="256">
        <f>'3. GRI Pricing'!Y305</f>
        <v>0</v>
      </c>
      <c r="F295" s="279">
        <v>0</v>
      </c>
      <c r="G295" s="279">
        <v>0</v>
      </c>
      <c r="H295" s="279">
        <v>0</v>
      </c>
      <c r="I295" s="254"/>
      <c r="J295" s="254"/>
      <c r="K295" s="254"/>
      <c r="L295" s="254"/>
      <c r="M295" s="254"/>
      <c r="N295" s="254"/>
      <c r="O295" s="254"/>
      <c r="P295" s="1"/>
    </row>
    <row r="296" spans="2:16" x14ac:dyDescent="0.2">
      <c r="B296" s="255">
        <f>'3. GRI Pricing'!C306</f>
        <v>0</v>
      </c>
      <c r="C296" s="255">
        <f>'3. GRI Pricing'!D306</f>
        <v>0</v>
      </c>
      <c r="D296" s="255">
        <f>'3. GRI Pricing'!E306</f>
        <v>0</v>
      </c>
      <c r="E296" s="256">
        <f>'3. GRI Pricing'!Y306</f>
        <v>0</v>
      </c>
      <c r="F296" s="279">
        <v>0</v>
      </c>
      <c r="G296" s="279">
        <v>0</v>
      </c>
      <c r="H296" s="279">
        <v>0</v>
      </c>
      <c r="I296" s="254"/>
      <c r="J296" s="254"/>
      <c r="K296" s="254"/>
      <c r="L296" s="254"/>
      <c r="M296" s="254"/>
      <c r="N296" s="254"/>
      <c r="O296" s="254"/>
      <c r="P296" s="1"/>
    </row>
    <row r="297" spans="2:16" x14ac:dyDescent="0.2">
      <c r="B297" s="255">
        <f>'3. GRI Pricing'!C307</f>
        <v>0</v>
      </c>
      <c r="C297" s="255">
        <f>'3. GRI Pricing'!D307</f>
        <v>0</v>
      </c>
      <c r="D297" s="255">
        <f>'3. GRI Pricing'!E307</f>
        <v>0</v>
      </c>
      <c r="E297" s="256">
        <f>'3. GRI Pricing'!Y307</f>
        <v>0</v>
      </c>
      <c r="F297" s="279">
        <v>0</v>
      </c>
      <c r="G297" s="279">
        <v>0</v>
      </c>
      <c r="H297" s="279">
        <v>0</v>
      </c>
      <c r="I297" s="254"/>
      <c r="J297" s="254"/>
      <c r="K297" s="254"/>
      <c r="L297" s="254"/>
      <c r="M297" s="254"/>
      <c r="N297" s="254"/>
      <c r="O297" s="254"/>
      <c r="P297" s="1"/>
    </row>
    <row r="298" spans="2:16" x14ac:dyDescent="0.2">
      <c r="B298" s="255">
        <f>'3. GRI Pricing'!C308</f>
        <v>0</v>
      </c>
      <c r="C298" s="255">
        <f>'3. GRI Pricing'!D308</f>
        <v>0</v>
      </c>
      <c r="D298" s="255">
        <f>'3. GRI Pricing'!E308</f>
        <v>0</v>
      </c>
      <c r="E298" s="256">
        <f>'3. GRI Pricing'!Y308</f>
        <v>0</v>
      </c>
      <c r="F298" s="279">
        <v>0</v>
      </c>
      <c r="G298" s="279">
        <v>0</v>
      </c>
      <c r="H298" s="279">
        <v>0</v>
      </c>
      <c r="I298" s="254"/>
      <c r="J298" s="254"/>
      <c r="K298" s="254"/>
      <c r="L298" s="254"/>
      <c r="M298" s="254"/>
      <c r="N298" s="254"/>
      <c r="O298" s="254"/>
      <c r="P298" s="1"/>
    </row>
    <row r="299" spans="2:16" x14ac:dyDescent="0.2">
      <c r="B299" s="255">
        <f>'3. GRI Pricing'!C309</f>
        <v>0</v>
      </c>
      <c r="C299" s="255">
        <f>'3. GRI Pricing'!D309</f>
        <v>0</v>
      </c>
      <c r="D299" s="255">
        <f>'3. GRI Pricing'!E309</f>
        <v>0</v>
      </c>
      <c r="E299" s="256">
        <f>'3. GRI Pricing'!Y309</f>
        <v>0</v>
      </c>
      <c r="F299" s="279">
        <v>0</v>
      </c>
      <c r="G299" s="279">
        <v>0</v>
      </c>
      <c r="H299" s="279">
        <v>0</v>
      </c>
      <c r="I299" s="254"/>
      <c r="J299" s="254"/>
      <c r="K299" s="254"/>
      <c r="L299" s="254"/>
      <c r="M299" s="254"/>
      <c r="N299" s="254"/>
      <c r="O299" s="254"/>
      <c r="P299" s="1"/>
    </row>
    <row r="300" spans="2:16" x14ac:dyDescent="0.2">
      <c r="B300" s="255">
        <f>'3. GRI Pricing'!C310</f>
        <v>0</v>
      </c>
      <c r="C300" s="255">
        <f>'3. GRI Pricing'!D310</f>
        <v>0</v>
      </c>
      <c r="D300" s="255">
        <f>'3. GRI Pricing'!E310</f>
        <v>0</v>
      </c>
      <c r="E300" s="256">
        <f>'3. GRI Pricing'!Y310</f>
        <v>0</v>
      </c>
      <c r="F300" s="279">
        <v>0</v>
      </c>
      <c r="G300" s="279">
        <v>0</v>
      </c>
      <c r="H300" s="279">
        <v>0</v>
      </c>
      <c r="I300" s="254"/>
      <c r="J300" s="254"/>
      <c r="K300" s="254"/>
      <c r="L300" s="254"/>
      <c r="M300" s="254"/>
      <c r="N300" s="254"/>
      <c r="O300" s="254"/>
      <c r="P300" s="1"/>
    </row>
    <row r="301" spans="2:16" x14ac:dyDescent="0.2">
      <c r="B301" s="255">
        <f>'3. GRI Pricing'!C311</f>
        <v>0</v>
      </c>
      <c r="C301" s="255">
        <f>'3. GRI Pricing'!D311</f>
        <v>0</v>
      </c>
      <c r="D301" s="255">
        <f>'3. GRI Pricing'!E311</f>
        <v>0</v>
      </c>
      <c r="E301" s="256">
        <f>'3. GRI Pricing'!Y311</f>
        <v>0</v>
      </c>
      <c r="F301" s="279">
        <v>0</v>
      </c>
      <c r="G301" s="279">
        <v>0</v>
      </c>
      <c r="H301" s="279">
        <v>0</v>
      </c>
      <c r="I301" s="254"/>
      <c r="J301" s="254"/>
      <c r="K301" s="254"/>
      <c r="L301" s="254"/>
      <c r="M301" s="254"/>
      <c r="N301" s="254"/>
      <c r="O301" s="254"/>
      <c r="P301" s="1"/>
    </row>
    <row r="302" spans="2:16" x14ac:dyDescent="0.2">
      <c r="B302" s="255">
        <f>'3. GRI Pricing'!C312</f>
        <v>0</v>
      </c>
      <c r="C302" s="255">
        <f>'3. GRI Pricing'!D312</f>
        <v>0</v>
      </c>
      <c r="D302" s="255">
        <f>'3. GRI Pricing'!E312</f>
        <v>0</v>
      </c>
      <c r="E302" s="256">
        <f>'3. GRI Pricing'!Y312</f>
        <v>0</v>
      </c>
      <c r="F302" s="279">
        <v>0</v>
      </c>
      <c r="G302" s="279">
        <v>0</v>
      </c>
      <c r="H302" s="279">
        <v>0</v>
      </c>
      <c r="I302" s="254"/>
      <c r="J302" s="254"/>
      <c r="K302" s="254"/>
      <c r="L302" s="254"/>
      <c r="M302" s="254"/>
      <c r="N302" s="254"/>
      <c r="O302" s="254"/>
      <c r="P302" s="1"/>
    </row>
    <row r="303" spans="2:16" x14ac:dyDescent="0.2">
      <c r="B303" s="255">
        <f>'3. GRI Pricing'!C313</f>
        <v>0</v>
      </c>
      <c r="C303" s="255">
        <f>'3. GRI Pricing'!D313</f>
        <v>0</v>
      </c>
      <c r="D303" s="255">
        <f>'3. GRI Pricing'!E313</f>
        <v>0</v>
      </c>
      <c r="E303" s="256">
        <f>'3. GRI Pricing'!Y313</f>
        <v>0</v>
      </c>
      <c r="F303" s="279">
        <v>0</v>
      </c>
      <c r="G303" s="279">
        <v>0</v>
      </c>
      <c r="H303" s="279">
        <v>0</v>
      </c>
      <c r="I303" s="254"/>
      <c r="J303" s="254"/>
      <c r="K303" s="254"/>
      <c r="L303" s="254"/>
      <c r="M303" s="254"/>
      <c r="N303" s="254"/>
      <c r="O303" s="254"/>
      <c r="P303" s="1"/>
    </row>
    <row r="304" spans="2:16" x14ac:dyDescent="0.2">
      <c r="B304" s="255">
        <f>'3. GRI Pricing'!C314</f>
        <v>0</v>
      </c>
      <c r="C304" s="255">
        <f>'3. GRI Pricing'!D314</f>
        <v>0</v>
      </c>
      <c r="D304" s="255">
        <f>'3. GRI Pricing'!E314</f>
        <v>0</v>
      </c>
      <c r="E304" s="256">
        <f>'3. GRI Pricing'!Y314</f>
        <v>0</v>
      </c>
      <c r="F304" s="279">
        <v>0</v>
      </c>
      <c r="G304" s="279">
        <v>0</v>
      </c>
      <c r="H304" s="279">
        <v>0</v>
      </c>
      <c r="I304" s="254"/>
      <c r="J304" s="254"/>
      <c r="K304" s="254"/>
      <c r="L304" s="254"/>
      <c r="M304" s="254"/>
      <c r="N304" s="254"/>
      <c r="O304" s="254"/>
      <c r="P304" s="1"/>
    </row>
    <row r="305" spans="2:16" x14ac:dyDescent="0.2">
      <c r="B305" s="255">
        <f>'3. GRI Pricing'!C315</f>
        <v>0</v>
      </c>
      <c r="C305" s="255">
        <f>'3. GRI Pricing'!D315</f>
        <v>0</v>
      </c>
      <c r="D305" s="255">
        <f>'3. GRI Pricing'!E315</f>
        <v>0</v>
      </c>
      <c r="E305" s="256">
        <f>'3. GRI Pricing'!Y315</f>
        <v>0</v>
      </c>
      <c r="F305" s="279">
        <v>0</v>
      </c>
      <c r="G305" s="279">
        <v>0</v>
      </c>
      <c r="H305" s="279">
        <v>0</v>
      </c>
      <c r="I305" s="254"/>
      <c r="J305" s="254"/>
      <c r="K305" s="254"/>
      <c r="L305" s="254"/>
      <c r="M305" s="254"/>
      <c r="N305" s="254"/>
      <c r="O305" s="254"/>
      <c r="P305" s="1"/>
    </row>
    <row r="306" spans="2:16" x14ac:dyDescent="0.2">
      <c r="B306" s="255">
        <f>'3. GRI Pricing'!C316</f>
        <v>0</v>
      </c>
      <c r="C306" s="255">
        <f>'3. GRI Pricing'!D316</f>
        <v>0</v>
      </c>
      <c r="D306" s="255">
        <f>'3. GRI Pricing'!E316</f>
        <v>0</v>
      </c>
      <c r="E306" s="256">
        <f>'3. GRI Pricing'!Y316</f>
        <v>0</v>
      </c>
      <c r="F306" s="279">
        <v>0</v>
      </c>
      <c r="G306" s="279">
        <v>0</v>
      </c>
      <c r="H306" s="279">
        <v>0</v>
      </c>
      <c r="I306" s="254"/>
      <c r="J306" s="254"/>
      <c r="K306" s="254"/>
      <c r="L306" s="254"/>
      <c r="M306" s="254"/>
      <c r="N306" s="254"/>
      <c r="O306" s="254"/>
      <c r="P306" s="1"/>
    </row>
    <row r="307" spans="2:16" x14ac:dyDescent="0.2">
      <c r="B307" s="255">
        <f>'3. GRI Pricing'!C317</f>
        <v>0</v>
      </c>
      <c r="C307" s="255">
        <f>'3. GRI Pricing'!D317</f>
        <v>0</v>
      </c>
      <c r="D307" s="255">
        <f>'3. GRI Pricing'!E317</f>
        <v>0</v>
      </c>
      <c r="E307" s="256">
        <f>'3. GRI Pricing'!Y317</f>
        <v>0</v>
      </c>
      <c r="F307" s="279">
        <v>0</v>
      </c>
      <c r="G307" s="279">
        <v>0</v>
      </c>
      <c r="H307" s="279">
        <v>0</v>
      </c>
      <c r="I307" s="254"/>
      <c r="J307" s="254"/>
      <c r="K307" s="254"/>
      <c r="L307" s="254"/>
      <c r="M307" s="254"/>
      <c r="N307" s="254"/>
      <c r="O307" s="254"/>
      <c r="P307" s="1"/>
    </row>
    <row r="308" spans="2:16" x14ac:dyDescent="0.2">
      <c r="B308" s="255">
        <f>'3. GRI Pricing'!C318</f>
        <v>0</v>
      </c>
      <c r="C308" s="255">
        <f>'3. GRI Pricing'!D318</f>
        <v>0</v>
      </c>
      <c r="D308" s="255">
        <f>'3. GRI Pricing'!E318</f>
        <v>0</v>
      </c>
      <c r="E308" s="256">
        <f>'3. GRI Pricing'!Y318</f>
        <v>0</v>
      </c>
      <c r="F308" s="279">
        <v>0</v>
      </c>
      <c r="G308" s="279">
        <v>0</v>
      </c>
      <c r="H308" s="279">
        <v>0</v>
      </c>
      <c r="I308" s="254"/>
      <c r="J308" s="254"/>
      <c r="K308" s="254"/>
      <c r="L308" s="254"/>
      <c r="M308" s="254"/>
      <c r="N308" s="254"/>
      <c r="O308" s="254"/>
      <c r="P308" s="1"/>
    </row>
    <row r="309" spans="2:16" x14ac:dyDescent="0.2">
      <c r="B309" s="255">
        <f>'3. GRI Pricing'!C319</f>
        <v>0</v>
      </c>
      <c r="C309" s="255">
        <f>'3. GRI Pricing'!D319</f>
        <v>0</v>
      </c>
      <c r="D309" s="255">
        <f>'3. GRI Pricing'!E319</f>
        <v>0</v>
      </c>
      <c r="E309" s="256">
        <f>'3. GRI Pricing'!Y319</f>
        <v>0</v>
      </c>
      <c r="F309" s="279">
        <v>0</v>
      </c>
      <c r="G309" s="279">
        <v>0</v>
      </c>
      <c r="H309" s="279">
        <v>0</v>
      </c>
      <c r="I309" s="254"/>
      <c r="J309" s="254"/>
      <c r="K309" s="254"/>
      <c r="L309" s="254"/>
      <c r="M309" s="254"/>
      <c r="N309" s="254"/>
      <c r="O309" s="254"/>
      <c r="P309" s="1"/>
    </row>
    <row r="310" spans="2:16" x14ac:dyDescent="0.2">
      <c r="B310" s="255">
        <f>'3. GRI Pricing'!C320</f>
        <v>0</v>
      </c>
      <c r="C310" s="255">
        <f>'3. GRI Pricing'!D320</f>
        <v>0</v>
      </c>
      <c r="D310" s="255">
        <f>'3. GRI Pricing'!E320</f>
        <v>0</v>
      </c>
      <c r="E310" s="256">
        <f>'3. GRI Pricing'!Y320</f>
        <v>0</v>
      </c>
      <c r="F310" s="279">
        <v>0</v>
      </c>
      <c r="G310" s="279">
        <v>0</v>
      </c>
      <c r="H310" s="279">
        <v>0</v>
      </c>
      <c r="I310" s="254"/>
      <c r="J310" s="254"/>
      <c r="K310" s="254"/>
      <c r="L310" s="254"/>
      <c r="M310" s="254"/>
      <c r="N310" s="254"/>
      <c r="O310" s="254"/>
      <c r="P310" s="1"/>
    </row>
    <row r="311" spans="2:16" x14ac:dyDescent="0.2">
      <c r="B311" s="255">
        <f>'3. GRI Pricing'!C321</f>
        <v>0</v>
      </c>
      <c r="C311" s="255">
        <f>'3. GRI Pricing'!D321</f>
        <v>0</v>
      </c>
      <c r="D311" s="255">
        <f>'3. GRI Pricing'!E321</f>
        <v>0</v>
      </c>
      <c r="E311" s="256">
        <f>'3. GRI Pricing'!Y321</f>
        <v>0</v>
      </c>
      <c r="F311" s="279">
        <v>0</v>
      </c>
      <c r="G311" s="279">
        <v>0</v>
      </c>
      <c r="H311" s="279">
        <v>0</v>
      </c>
      <c r="I311" s="254"/>
      <c r="J311" s="254"/>
      <c r="K311" s="254"/>
      <c r="L311" s="254"/>
      <c r="M311" s="254"/>
      <c r="N311" s="254"/>
      <c r="O311" s="254"/>
      <c r="P311" s="1"/>
    </row>
    <row r="312" spans="2:16" x14ac:dyDescent="0.2">
      <c r="B312" s="255">
        <f>'3. GRI Pricing'!C322</f>
        <v>0</v>
      </c>
      <c r="C312" s="255">
        <f>'3. GRI Pricing'!D322</f>
        <v>0</v>
      </c>
      <c r="D312" s="255">
        <f>'3. GRI Pricing'!E322</f>
        <v>0</v>
      </c>
      <c r="E312" s="256">
        <f>'3. GRI Pricing'!Y322</f>
        <v>0</v>
      </c>
      <c r="F312" s="279">
        <v>0</v>
      </c>
      <c r="G312" s="279">
        <v>0</v>
      </c>
      <c r="H312" s="279">
        <v>0</v>
      </c>
      <c r="I312" s="254"/>
      <c r="J312" s="254"/>
      <c r="K312" s="254"/>
      <c r="L312" s="254"/>
      <c r="M312" s="254"/>
      <c r="N312" s="254"/>
      <c r="O312" s="254"/>
      <c r="P312" s="1"/>
    </row>
    <row r="313" spans="2:16" x14ac:dyDescent="0.2">
      <c r="B313" s="255">
        <f>'3. GRI Pricing'!C323</f>
        <v>0</v>
      </c>
      <c r="C313" s="255">
        <f>'3. GRI Pricing'!D323</f>
        <v>0</v>
      </c>
      <c r="D313" s="255">
        <f>'3. GRI Pricing'!E323</f>
        <v>0</v>
      </c>
      <c r="E313" s="256">
        <f>'3. GRI Pricing'!Y323</f>
        <v>0</v>
      </c>
      <c r="F313" s="279">
        <v>0</v>
      </c>
      <c r="G313" s="279">
        <v>0</v>
      </c>
      <c r="H313" s="279">
        <v>0</v>
      </c>
      <c r="I313" s="254"/>
      <c r="J313" s="254"/>
      <c r="K313" s="254"/>
      <c r="L313" s="254"/>
      <c r="M313" s="254"/>
      <c r="N313" s="254"/>
      <c r="O313" s="254"/>
      <c r="P313" s="1"/>
    </row>
    <row r="314" spans="2:16" x14ac:dyDescent="0.2">
      <c r="B314" s="255">
        <f>'3. GRI Pricing'!C324</f>
        <v>0</v>
      </c>
      <c r="C314" s="255">
        <f>'3. GRI Pricing'!D324</f>
        <v>0</v>
      </c>
      <c r="D314" s="255">
        <f>'3. GRI Pricing'!E324</f>
        <v>0</v>
      </c>
      <c r="E314" s="256">
        <f>'3. GRI Pricing'!Y324</f>
        <v>0</v>
      </c>
      <c r="F314" s="279">
        <v>0</v>
      </c>
      <c r="G314" s="279">
        <v>0</v>
      </c>
      <c r="H314" s="279">
        <v>0</v>
      </c>
      <c r="I314" s="254"/>
      <c r="J314" s="254"/>
      <c r="K314" s="254"/>
      <c r="L314" s="254"/>
      <c r="M314" s="254"/>
      <c r="N314" s="254"/>
      <c r="O314" s="254"/>
      <c r="P314" s="1"/>
    </row>
    <row r="315" spans="2:16" x14ac:dyDescent="0.2">
      <c r="B315" s="255">
        <f>'3. GRI Pricing'!C325</f>
        <v>0</v>
      </c>
      <c r="C315" s="255">
        <f>'3. GRI Pricing'!D325</f>
        <v>0</v>
      </c>
      <c r="D315" s="255">
        <f>'3. GRI Pricing'!E325</f>
        <v>0</v>
      </c>
      <c r="E315" s="256">
        <f>'3. GRI Pricing'!Y325</f>
        <v>0</v>
      </c>
      <c r="F315" s="279">
        <v>0</v>
      </c>
      <c r="G315" s="279">
        <v>0</v>
      </c>
      <c r="H315" s="279">
        <v>0</v>
      </c>
      <c r="I315" s="254"/>
      <c r="J315" s="254"/>
      <c r="K315" s="254"/>
      <c r="L315" s="254"/>
      <c r="M315" s="254"/>
      <c r="N315" s="254"/>
      <c r="O315" s="254"/>
      <c r="P315" s="1"/>
    </row>
    <row r="316" spans="2:16" x14ac:dyDescent="0.2">
      <c r="B316" s="255">
        <f>'3. GRI Pricing'!C326</f>
        <v>0</v>
      </c>
      <c r="C316" s="255">
        <f>'3. GRI Pricing'!D326</f>
        <v>0</v>
      </c>
      <c r="D316" s="255">
        <f>'3. GRI Pricing'!E326</f>
        <v>0</v>
      </c>
      <c r="E316" s="256">
        <f>'3. GRI Pricing'!Y326</f>
        <v>0</v>
      </c>
      <c r="F316" s="279">
        <v>0</v>
      </c>
      <c r="G316" s="279">
        <v>0</v>
      </c>
      <c r="H316" s="279">
        <v>0</v>
      </c>
      <c r="I316" s="254"/>
      <c r="J316" s="254"/>
      <c r="K316" s="254"/>
      <c r="L316" s="254"/>
      <c r="M316" s="254"/>
      <c r="N316" s="254"/>
      <c r="O316" s="254"/>
      <c r="P316" s="1"/>
    </row>
    <row r="317" spans="2:16" x14ac:dyDescent="0.2">
      <c r="B317" s="255">
        <f>'3. GRI Pricing'!C327</f>
        <v>0</v>
      </c>
      <c r="C317" s="255">
        <f>'3. GRI Pricing'!D327</f>
        <v>0</v>
      </c>
      <c r="D317" s="255">
        <f>'3. GRI Pricing'!E327</f>
        <v>0</v>
      </c>
      <c r="E317" s="256">
        <f>'3. GRI Pricing'!Y327</f>
        <v>0</v>
      </c>
      <c r="F317" s="279">
        <v>0</v>
      </c>
      <c r="G317" s="279">
        <v>0</v>
      </c>
      <c r="H317" s="279">
        <v>0</v>
      </c>
      <c r="I317" s="254"/>
      <c r="J317" s="254"/>
      <c r="K317" s="254"/>
      <c r="L317" s="254"/>
      <c r="M317" s="254"/>
      <c r="N317" s="254"/>
      <c r="O317" s="254"/>
      <c r="P317" s="1"/>
    </row>
    <row r="318" spans="2:16" x14ac:dyDescent="0.2">
      <c r="B318" s="255">
        <f>'3. GRI Pricing'!C328</f>
        <v>0</v>
      </c>
      <c r="C318" s="255">
        <f>'3. GRI Pricing'!D328</f>
        <v>0</v>
      </c>
      <c r="D318" s="255">
        <f>'3. GRI Pricing'!E328</f>
        <v>0</v>
      </c>
      <c r="E318" s="256">
        <f>'3. GRI Pricing'!Y328</f>
        <v>0</v>
      </c>
      <c r="F318" s="279">
        <v>0</v>
      </c>
      <c r="G318" s="279">
        <v>0</v>
      </c>
      <c r="H318" s="279">
        <v>0</v>
      </c>
      <c r="I318" s="254"/>
      <c r="J318" s="254"/>
      <c r="K318" s="254"/>
      <c r="L318" s="254"/>
      <c r="M318" s="254"/>
      <c r="N318" s="254"/>
      <c r="O318" s="254"/>
      <c r="P318" s="1"/>
    </row>
    <row r="319" spans="2:16" x14ac:dyDescent="0.2">
      <c r="B319" s="255">
        <f>'3. GRI Pricing'!C329</f>
        <v>0</v>
      </c>
      <c r="C319" s="255">
        <f>'3. GRI Pricing'!D329</f>
        <v>0</v>
      </c>
      <c r="D319" s="255">
        <f>'3. GRI Pricing'!E329</f>
        <v>0</v>
      </c>
      <c r="E319" s="256">
        <f>'3. GRI Pricing'!Y329</f>
        <v>0</v>
      </c>
      <c r="F319" s="279">
        <v>0</v>
      </c>
      <c r="G319" s="279">
        <v>0</v>
      </c>
      <c r="H319" s="279">
        <v>0</v>
      </c>
      <c r="I319" s="254"/>
      <c r="J319" s="254"/>
      <c r="K319" s="254"/>
      <c r="L319" s="254"/>
      <c r="M319" s="254"/>
      <c r="N319" s="254"/>
      <c r="O319" s="254"/>
      <c r="P319" s="1"/>
    </row>
    <row r="320" spans="2:16" x14ac:dyDescent="0.2">
      <c r="B320" s="255">
        <f>'3. GRI Pricing'!C330</f>
        <v>0</v>
      </c>
      <c r="C320" s="255">
        <f>'3. GRI Pricing'!D330</f>
        <v>0</v>
      </c>
      <c r="D320" s="255">
        <f>'3. GRI Pricing'!E330</f>
        <v>0</v>
      </c>
      <c r="E320" s="256">
        <f>'3. GRI Pricing'!Y330</f>
        <v>0</v>
      </c>
      <c r="F320" s="279">
        <v>0</v>
      </c>
      <c r="G320" s="279">
        <v>0</v>
      </c>
      <c r="H320" s="279">
        <v>0</v>
      </c>
      <c r="I320" s="254"/>
      <c r="J320" s="254"/>
      <c r="K320" s="254"/>
      <c r="L320" s="254"/>
      <c r="M320" s="254"/>
      <c r="N320" s="254"/>
      <c r="O320" s="254"/>
      <c r="P320" s="1"/>
    </row>
    <row r="321" spans="2:16" x14ac:dyDescent="0.2">
      <c r="B321" s="255">
        <f>'3. GRI Pricing'!C331</f>
        <v>0</v>
      </c>
      <c r="C321" s="255">
        <f>'3. GRI Pricing'!D331</f>
        <v>0</v>
      </c>
      <c r="D321" s="255">
        <f>'3. GRI Pricing'!E331</f>
        <v>0</v>
      </c>
      <c r="E321" s="256">
        <f>'3. GRI Pricing'!Y331</f>
        <v>0</v>
      </c>
      <c r="F321" s="279">
        <v>0</v>
      </c>
      <c r="G321" s="279">
        <v>0</v>
      </c>
      <c r="H321" s="279">
        <v>0</v>
      </c>
      <c r="I321" s="254"/>
      <c r="J321" s="254"/>
      <c r="K321" s="254"/>
      <c r="L321" s="254"/>
      <c r="M321" s="254"/>
      <c r="N321" s="254"/>
      <c r="O321" s="254"/>
      <c r="P321" s="1"/>
    </row>
    <row r="322" spans="2:16" x14ac:dyDescent="0.2">
      <c r="B322" s="255">
        <f>'3. GRI Pricing'!C332</f>
        <v>0</v>
      </c>
      <c r="C322" s="255">
        <f>'3. GRI Pricing'!D332</f>
        <v>0</v>
      </c>
      <c r="D322" s="255">
        <f>'3. GRI Pricing'!E332</f>
        <v>0</v>
      </c>
      <c r="E322" s="256">
        <f>'3. GRI Pricing'!Y332</f>
        <v>0</v>
      </c>
      <c r="F322" s="279">
        <v>0</v>
      </c>
      <c r="G322" s="279">
        <v>0</v>
      </c>
      <c r="H322" s="279">
        <v>0</v>
      </c>
      <c r="I322" s="254"/>
      <c r="J322" s="254"/>
      <c r="K322" s="254"/>
      <c r="L322" s="254"/>
      <c r="M322" s="254"/>
      <c r="N322" s="254"/>
      <c r="O322" s="254"/>
      <c r="P322" s="1"/>
    </row>
    <row r="323" spans="2:16" x14ac:dyDescent="0.2">
      <c r="B323" s="255">
        <f>'3. GRI Pricing'!C333</f>
        <v>0</v>
      </c>
      <c r="C323" s="255">
        <f>'3. GRI Pricing'!D333</f>
        <v>0</v>
      </c>
      <c r="D323" s="255">
        <f>'3. GRI Pricing'!E333</f>
        <v>0</v>
      </c>
      <c r="E323" s="256">
        <f>'3. GRI Pricing'!Y333</f>
        <v>0</v>
      </c>
      <c r="F323" s="279">
        <v>0</v>
      </c>
      <c r="G323" s="279">
        <v>0</v>
      </c>
      <c r="H323" s="279">
        <v>0</v>
      </c>
      <c r="I323" s="254"/>
      <c r="J323" s="254"/>
      <c r="K323" s="254"/>
      <c r="L323" s="254"/>
      <c r="M323" s="254"/>
      <c r="N323" s="254"/>
      <c r="O323" s="254"/>
      <c r="P323" s="1"/>
    </row>
    <row r="324" spans="2:16" x14ac:dyDescent="0.2">
      <c r="B324" s="255">
        <f>'3. GRI Pricing'!C334</f>
        <v>0</v>
      </c>
      <c r="C324" s="255">
        <f>'3. GRI Pricing'!D334</f>
        <v>0</v>
      </c>
      <c r="D324" s="255">
        <f>'3. GRI Pricing'!E334</f>
        <v>0</v>
      </c>
      <c r="E324" s="256">
        <f>'3. GRI Pricing'!Y334</f>
        <v>0</v>
      </c>
      <c r="F324" s="279">
        <v>0</v>
      </c>
      <c r="G324" s="279">
        <v>0</v>
      </c>
      <c r="H324" s="279">
        <v>0</v>
      </c>
      <c r="I324" s="254"/>
      <c r="J324" s="254"/>
      <c r="K324" s="254"/>
      <c r="L324" s="254"/>
      <c r="M324" s="254"/>
      <c r="N324" s="254"/>
      <c r="O324" s="254"/>
      <c r="P324" s="1"/>
    </row>
    <row r="325" spans="2:16" x14ac:dyDescent="0.2">
      <c r="B325" s="255">
        <f>'3. GRI Pricing'!C335</f>
        <v>0</v>
      </c>
      <c r="C325" s="255">
        <f>'3. GRI Pricing'!D335</f>
        <v>0</v>
      </c>
      <c r="D325" s="255">
        <f>'3. GRI Pricing'!E335</f>
        <v>0</v>
      </c>
      <c r="E325" s="256">
        <f>'3. GRI Pricing'!Y335</f>
        <v>0</v>
      </c>
      <c r="F325" s="279">
        <v>0</v>
      </c>
      <c r="G325" s="279">
        <v>0</v>
      </c>
      <c r="H325" s="279">
        <v>0</v>
      </c>
      <c r="I325" s="254"/>
      <c r="J325" s="254"/>
      <c r="K325" s="254"/>
      <c r="L325" s="254"/>
      <c r="M325" s="254"/>
      <c r="N325" s="254"/>
      <c r="O325" s="254"/>
      <c r="P325" s="1"/>
    </row>
    <row r="326" spans="2:16" x14ac:dyDescent="0.2">
      <c r="B326" s="255">
        <f>'3. GRI Pricing'!C336</f>
        <v>0</v>
      </c>
      <c r="C326" s="255">
        <f>'3. GRI Pricing'!D336</f>
        <v>0</v>
      </c>
      <c r="D326" s="255">
        <f>'3. GRI Pricing'!E336</f>
        <v>0</v>
      </c>
      <c r="E326" s="256">
        <f>'3. GRI Pricing'!Y336</f>
        <v>0</v>
      </c>
      <c r="F326" s="279">
        <v>0</v>
      </c>
      <c r="G326" s="279">
        <v>0</v>
      </c>
      <c r="H326" s="279">
        <v>0</v>
      </c>
      <c r="I326" s="254"/>
      <c r="J326" s="254"/>
      <c r="K326" s="254"/>
      <c r="L326" s="254"/>
      <c r="M326" s="254"/>
      <c r="N326" s="254"/>
      <c r="O326" s="254"/>
      <c r="P326" s="1"/>
    </row>
    <row r="327" spans="2:16" x14ac:dyDescent="0.2">
      <c r="B327" s="255">
        <f>'3. GRI Pricing'!C337</f>
        <v>0</v>
      </c>
      <c r="C327" s="255">
        <f>'3. GRI Pricing'!D337</f>
        <v>0</v>
      </c>
      <c r="D327" s="255">
        <f>'3. GRI Pricing'!E337</f>
        <v>0</v>
      </c>
      <c r="E327" s="256">
        <f>'3. GRI Pricing'!Y337</f>
        <v>0</v>
      </c>
      <c r="F327" s="279">
        <v>0</v>
      </c>
      <c r="G327" s="279">
        <v>0</v>
      </c>
      <c r="H327" s="279">
        <v>0</v>
      </c>
      <c r="I327" s="254"/>
      <c r="J327" s="254"/>
      <c r="K327" s="254"/>
      <c r="L327" s="254"/>
      <c r="M327" s="254"/>
      <c r="N327" s="254"/>
      <c r="O327" s="254"/>
      <c r="P327" s="1"/>
    </row>
    <row r="328" spans="2:16" x14ac:dyDescent="0.2">
      <c r="B328" s="255">
        <f>'3. GRI Pricing'!C338</f>
        <v>0</v>
      </c>
      <c r="C328" s="255">
        <f>'3. GRI Pricing'!D338</f>
        <v>0</v>
      </c>
      <c r="D328" s="255">
        <f>'3. GRI Pricing'!E338</f>
        <v>0</v>
      </c>
      <c r="E328" s="256">
        <f>'3. GRI Pricing'!Y338</f>
        <v>0</v>
      </c>
      <c r="F328" s="279">
        <v>0</v>
      </c>
      <c r="G328" s="279">
        <v>0</v>
      </c>
      <c r="H328" s="279">
        <v>0</v>
      </c>
      <c r="I328" s="254"/>
      <c r="J328" s="254"/>
      <c r="K328" s="254"/>
      <c r="L328" s="254"/>
      <c r="M328" s="254"/>
      <c r="N328" s="254"/>
      <c r="O328" s="254"/>
      <c r="P328" s="1"/>
    </row>
    <row r="329" spans="2:16" x14ac:dyDescent="0.2">
      <c r="B329" s="255">
        <f>'3. GRI Pricing'!C339</f>
        <v>0</v>
      </c>
      <c r="C329" s="255">
        <f>'3. GRI Pricing'!D339</f>
        <v>0</v>
      </c>
      <c r="D329" s="255">
        <f>'3. GRI Pricing'!E339</f>
        <v>0</v>
      </c>
      <c r="E329" s="256">
        <f>'3. GRI Pricing'!Y339</f>
        <v>0</v>
      </c>
      <c r="F329" s="279">
        <v>0</v>
      </c>
      <c r="G329" s="279">
        <v>0</v>
      </c>
      <c r="H329" s="279">
        <v>0</v>
      </c>
      <c r="I329" s="254"/>
      <c r="J329" s="254"/>
      <c r="K329" s="254"/>
      <c r="L329" s="254"/>
      <c r="M329" s="254"/>
      <c r="N329" s="254"/>
      <c r="O329" s="254"/>
      <c r="P329" s="1"/>
    </row>
    <row r="330" spans="2:16" x14ac:dyDescent="0.2">
      <c r="B330" s="255">
        <f>'3. GRI Pricing'!C340</f>
        <v>0</v>
      </c>
      <c r="C330" s="255">
        <f>'3. GRI Pricing'!D340</f>
        <v>0</v>
      </c>
      <c r="D330" s="255">
        <f>'3. GRI Pricing'!E340</f>
        <v>0</v>
      </c>
      <c r="E330" s="256">
        <f>'3. GRI Pricing'!Y340</f>
        <v>0</v>
      </c>
      <c r="F330" s="279">
        <v>0</v>
      </c>
      <c r="G330" s="279">
        <v>0</v>
      </c>
      <c r="H330" s="279">
        <v>0</v>
      </c>
      <c r="I330" s="254"/>
      <c r="J330" s="254"/>
      <c r="K330" s="254"/>
      <c r="L330" s="254"/>
      <c r="M330" s="254"/>
      <c r="N330" s="254"/>
      <c r="O330" s="254"/>
      <c r="P330" s="1"/>
    </row>
    <row r="331" spans="2:16" x14ac:dyDescent="0.2">
      <c r="B331" s="255">
        <f>'3. GRI Pricing'!C341</f>
        <v>0</v>
      </c>
      <c r="C331" s="255">
        <f>'3. GRI Pricing'!D341</f>
        <v>0</v>
      </c>
      <c r="D331" s="255">
        <f>'3. GRI Pricing'!E341</f>
        <v>0</v>
      </c>
      <c r="E331" s="256">
        <f>'3. GRI Pricing'!Y341</f>
        <v>0</v>
      </c>
      <c r="F331" s="279">
        <v>0</v>
      </c>
      <c r="G331" s="279">
        <v>0</v>
      </c>
      <c r="H331" s="279">
        <v>0</v>
      </c>
      <c r="I331" s="254"/>
      <c r="J331" s="254"/>
      <c r="K331" s="254"/>
      <c r="L331" s="254"/>
      <c r="M331" s="254"/>
      <c r="N331" s="254"/>
      <c r="O331" s="254"/>
      <c r="P331" s="1"/>
    </row>
    <row r="332" spans="2:16" x14ac:dyDescent="0.2">
      <c r="B332" s="255">
        <f>'3. GRI Pricing'!C342</f>
        <v>0</v>
      </c>
      <c r="C332" s="255">
        <f>'3. GRI Pricing'!D342</f>
        <v>0</v>
      </c>
      <c r="D332" s="255">
        <f>'3. GRI Pricing'!E342</f>
        <v>0</v>
      </c>
      <c r="E332" s="256">
        <f>'3. GRI Pricing'!Y342</f>
        <v>0</v>
      </c>
      <c r="F332" s="279">
        <v>0</v>
      </c>
      <c r="G332" s="279">
        <v>0</v>
      </c>
      <c r="H332" s="279">
        <v>0</v>
      </c>
      <c r="I332" s="254"/>
      <c r="J332" s="254"/>
      <c r="K332" s="254"/>
      <c r="L332" s="254"/>
      <c r="M332" s="254"/>
      <c r="N332" s="254"/>
      <c r="O332" s="254"/>
      <c r="P332" s="1"/>
    </row>
    <row r="333" spans="2:16" x14ac:dyDescent="0.2">
      <c r="B333" s="255">
        <f>'3. GRI Pricing'!C343</f>
        <v>0</v>
      </c>
      <c r="C333" s="255">
        <f>'3. GRI Pricing'!D343</f>
        <v>0</v>
      </c>
      <c r="D333" s="255">
        <f>'3. GRI Pricing'!E343</f>
        <v>0</v>
      </c>
      <c r="E333" s="256">
        <f>'3. GRI Pricing'!Y343</f>
        <v>0</v>
      </c>
      <c r="F333" s="279">
        <v>0</v>
      </c>
      <c r="G333" s="279">
        <v>0</v>
      </c>
      <c r="H333" s="279">
        <v>0</v>
      </c>
      <c r="I333" s="254"/>
      <c r="J333" s="254"/>
      <c r="K333" s="254"/>
      <c r="L333" s="254"/>
      <c r="M333" s="254"/>
      <c r="N333" s="254"/>
      <c r="O333" s="254"/>
      <c r="P333" s="1"/>
    </row>
    <row r="334" spans="2:16" x14ac:dyDescent="0.2">
      <c r="B334" s="255">
        <f>'3. GRI Pricing'!C344</f>
        <v>0</v>
      </c>
      <c r="C334" s="255">
        <f>'3. GRI Pricing'!D344</f>
        <v>0</v>
      </c>
      <c r="D334" s="255">
        <f>'3. GRI Pricing'!E344</f>
        <v>0</v>
      </c>
      <c r="E334" s="256">
        <f>'3. GRI Pricing'!Y344</f>
        <v>0</v>
      </c>
      <c r="F334" s="279">
        <v>0</v>
      </c>
      <c r="G334" s="279">
        <v>0</v>
      </c>
      <c r="H334" s="279">
        <v>0</v>
      </c>
      <c r="I334" s="254"/>
      <c r="J334" s="254"/>
      <c r="K334" s="254"/>
      <c r="L334" s="254"/>
      <c r="M334" s="254"/>
      <c r="N334" s="254"/>
      <c r="O334" s="254"/>
      <c r="P334" s="1"/>
    </row>
    <row r="335" spans="2:16" x14ac:dyDescent="0.2">
      <c r="B335" s="255">
        <f>'3. GRI Pricing'!C345</f>
        <v>0</v>
      </c>
      <c r="C335" s="255">
        <f>'3. GRI Pricing'!D345</f>
        <v>0</v>
      </c>
      <c r="D335" s="255">
        <f>'3. GRI Pricing'!E345</f>
        <v>0</v>
      </c>
      <c r="E335" s="256">
        <f>'3. GRI Pricing'!Y345</f>
        <v>0</v>
      </c>
      <c r="F335" s="279">
        <v>0</v>
      </c>
      <c r="G335" s="279">
        <v>0</v>
      </c>
      <c r="H335" s="279">
        <v>0</v>
      </c>
      <c r="I335" s="254"/>
      <c r="J335" s="254"/>
      <c r="K335" s="254"/>
      <c r="L335" s="254"/>
      <c r="M335" s="254"/>
      <c r="N335" s="254"/>
      <c r="O335" s="254"/>
      <c r="P335" s="1"/>
    </row>
    <row r="336" spans="2:16" x14ac:dyDescent="0.2">
      <c r="B336" s="255">
        <f>'3. GRI Pricing'!C346</f>
        <v>0</v>
      </c>
      <c r="C336" s="255">
        <f>'3. GRI Pricing'!D346</f>
        <v>0</v>
      </c>
      <c r="D336" s="255">
        <f>'3. GRI Pricing'!E346</f>
        <v>0</v>
      </c>
      <c r="E336" s="256">
        <f>'3. GRI Pricing'!Y346</f>
        <v>0</v>
      </c>
      <c r="F336" s="279">
        <v>0</v>
      </c>
      <c r="G336" s="279">
        <v>0</v>
      </c>
      <c r="H336" s="279">
        <v>0</v>
      </c>
      <c r="I336" s="254"/>
      <c r="J336" s="254"/>
      <c r="K336" s="254"/>
      <c r="L336" s="254"/>
      <c r="M336" s="254"/>
      <c r="N336" s="254"/>
      <c r="O336" s="254"/>
      <c r="P336" s="1"/>
    </row>
    <row r="337" spans="2:16" x14ac:dyDescent="0.2">
      <c r="B337" s="255">
        <f>'3. GRI Pricing'!C347</f>
        <v>0</v>
      </c>
      <c r="C337" s="255">
        <f>'3. GRI Pricing'!D347</f>
        <v>0</v>
      </c>
      <c r="D337" s="255">
        <f>'3. GRI Pricing'!E347</f>
        <v>0</v>
      </c>
      <c r="E337" s="256">
        <f>'3. GRI Pricing'!Y347</f>
        <v>0</v>
      </c>
      <c r="F337" s="279">
        <v>0</v>
      </c>
      <c r="G337" s="279">
        <v>0</v>
      </c>
      <c r="H337" s="279">
        <v>0</v>
      </c>
      <c r="I337" s="254"/>
      <c r="J337" s="254"/>
      <c r="K337" s="254"/>
      <c r="L337" s="254"/>
      <c r="M337" s="254"/>
      <c r="N337" s="254"/>
      <c r="O337" s="254"/>
      <c r="P337" s="1"/>
    </row>
    <row r="338" spans="2:16" x14ac:dyDescent="0.2">
      <c r="B338" s="255">
        <f>'3. GRI Pricing'!C348</f>
        <v>0</v>
      </c>
      <c r="C338" s="255">
        <f>'3. GRI Pricing'!D348</f>
        <v>0</v>
      </c>
      <c r="D338" s="255">
        <f>'3. GRI Pricing'!E348</f>
        <v>0</v>
      </c>
      <c r="E338" s="256">
        <f>'3. GRI Pricing'!Y348</f>
        <v>0</v>
      </c>
      <c r="F338" s="279">
        <v>0</v>
      </c>
      <c r="G338" s="279">
        <v>0</v>
      </c>
      <c r="H338" s="279">
        <v>0</v>
      </c>
      <c r="I338" s="254"/>
      <c r="J338" s="254"/>
      <c r="K338" s="254"/>
      <c r="L338" s="254"/>
      <c r="M338" s="254"/>
      <c r="N338" s="254"/>
      <c r="O338" s="254"/>
      <c r="P338" s="1"/>
    </row>
    <row r="339" spans="2:16" x14ac:dyDescent="0.2">
      <c r="B339" s="255">
        <f>'3. GRI Pricing'!C349</f>
        <v>0</v>
      </c>
      <c r="C339" s="255">
        <f>'3. GRI Pricing'!D349</f>
        <v>0</v>
      </c>
      <c r="D339" s="255">
        <f>'3. GRI Pricing'!E349</f>
        <v>0</v>
      </c>
      <c r="E339" s="256">
        <f>'3. GRI Pricing'!Y349</f>
        <v>0</v>
      </c>
      <c r="F339" s="279">
        <v>0</v>
      </c>
      <c r="G339" s="279">
        <v>0</v>
      </c>
      <c r="H339" s="279">
        <v>0</v>
      </c>
      <c r="I339" s="254"/>
      <c r="J339" s="254"/>
      <c r="K339" s="254"/>
      <c r="L339" s="254"/>
      <c r="M339" s="254"/>
      <c r="N339" s="254"/>
      <c r="O339" s="254"/>
      <c r="P339" s="1"/>
    </row>
    <row r="340" spans="2:16" x14ac:dyDescent="0.2">
      <c r="B340" s="255">
        <f>'3. GRI Pricing'!C350</f>
        <v>0</v>
      </c>
      <c r="C340" s="255">
        <f>'3. GRI Pricing'!D350</f>
        <v>0</v>
      </c>
      <c r="D340" s="255">
        <f>'3. GRI Pricing'!E350</f>
        <v>0</v>
      </c>
      <c r="E340" s="256">
        <f>'3. GRI Pricing'!Y350</f>
        <v>0</v>
      </c>
      <c r="F340" s="279">
        <v>0</v>
      </c>
      <c r="G340" s="279">
        <v>0</v>
      </c>
      <c r="H340" s="279">
        <v>0</v>
      </c>
      <c r="I340" s="254"/>
      <c r="J340" s="254"/>
      <c r="K340" s="254"/>
      <c r="L340" s="254"/>
      <c r="M340" s="254"/>
      <c r="N340" s="254"/>
      <c r="O340" s="254"/>
      <c r="P340" s="1"/>
    </row>
    <row r="341" spans="2:16" x14ac:dyDescent="0.2">
      <c r="B341" s="255">
        <f>'3. GRI Pricing'!C351</f>
        <v>0</v>
      </c>
      <c r="C341" s="255">
        <f>'3. GRI Pricing'!D351</f>
        <v>0</v>
      </c>
      <c r="D341" s="255">
        <f>'3. GRI Pricing'!E351</f>
        <v>0</v>
      </c>
      <c r="E341" s="256">
        <f>'3. GRI Pricing'!Y351</f>
        <v>0</v>
      </c>
      <c r="F341" s="279">
        <v>0</v>
      </c>
      <c r="G341" s="279">
        <v>0</v>
      </c>
      <c r="H341" s="279">
        <v>0</v>
      </c>
      <c r="I341" s="254"/>
      <c r="J341" s="254"/>
      <c r="K341" s="254"/>
      <c r="L341" s="254"/>
      <c r="M341" s="254"/>
      <c r="N341" s="254"/>
      <c r="O341" s="254"/>
      <c r="P341" s="1"/>
    </row>
    <row r="342" spans="2:16" x14ac:dyDescent="0.2">
      <c r="B342" s="255">
        <f>'3. GRI Pricing'!C352</f>
        <v>0</v>
      </c>
      <c r="C342" s="255">
        <f>'3. GRI Pricing'!D352</f>
        <v>0</v>
      </c>
      <c r="D342" s="255">
        <f>'3. GRI Pricing'!E352</f>
        <v>0</v>
      </c>
      <c r="E342" s="256">
        <f>'3. GRI Pricing'!Y352</f>
        <v>0</v>
      </c>
      <c r="F342" s="279">
        <v>0</v>
      </c>
      <c r="G342" s="279">
        <v>0</v>
      </c>
      <c r="H342" s="279">
        <v>0</v>
      </c>
      <c r="I342" s="254"/>
      <c r="J342" s="254"/>
      <c r="K342" s="254"/>
      <c r="L342" s="254"/>
      <c r="M342" s="254"/>
      <c r="N342" s="254"/>
      <c r="O342" s="254"/>
      <c r="P342" s="1"/>
    </row>
    <row r="343" spans="2:16" x14ac:dyDescent="0.2">
      <c r="B343" s="255">
        <f>'3. GRI Pricing'!C353</f>
        <v>0</v>
      </c>
      <c r="C343" s="255">
        <f>'3. GRI Pricing'!D353</f>
        <v>0</v>
      </c>
      <c r="D343" s="255">
        <f>'3. GRI Pricing'!E353</f>
        <v>0</v>
      </c>
      <c r="E343" s="256">
        <f>'3. GRI Pricing'!Y353</f>
        <v>0</v>
      </c>
      <c r="F343" s="279">
        <v>0</v>
      </c>
      <c r="G343" s="279">
        <v>0</v>
      </c>
      <c r="H343" s="279">
        <v>0</v>
      </c>
      <c r="I343" s="254"/>
      <c r="J343" s="254"/>
      <c r="K343" s="254"/>
      <c r="L343" s="254"/>
      <c r="M343" s="254"/>
      <c r="N343" s="254"/>
      <c r="O343" s="254"/>
      <c r="P343" s="1"/>
    </row>
    <row r="344" spans="2:16" x14ac:dyDescent="0.2">
      <c r="B344" s="255">
        <f>'3. GRI Pricing'!C354</f>
        <v>0</v>
      </c>
      <c r="C344" s="255">
        <f>'3. GRI Pricing'!D354</f>
        <v>0</v>
      </c>
      <c r="D344" s="255">
        <f>'3. GRI Pricing'!E354</f>
        <v>0</v>
      </c>
      <c r="E344" s="256">
        <f>'3. GRI Pricing'!Y354</f>
        <v>0</v>
      </c>
      <c r="F344" s="279">
        <v>0</v>
      </c>
      <c r="G344" s="279">
        <v>0</v>
      </c>
      <c r="H344" s="279">
        <v>0</v>
      </c>
      <c r="I344" s="254"/>
      <c r="J344" s="254"/>
      <c r="K344" s="254"/>
      <c r="L344" s="254"/>
      <c r="M344" s="254"/>
      <c r="N344" s="254"/>
      <c r="O344" s="254"/>
      <c r="P344" s="1"/>
    </row>
    <row r="345" spans="2:16" x14ac:dyDescent="0.2">
      <c r="B345" s="255">
        <f>'3. GRI Pricing'!C355</f>
        <v>0</v>
      </c>
      <c r="C345" s="255">
        <f>'3. GRI Pricing'!D355</f>
        <v>0</v>
      </c>
      <c r="D345" s="255">
        <f>'3. GRI Pricing'!E355</f>
        <v>0</v>
      </c>
      <c r="E345" s="256">
        <f>'3. GRI Pricing'!Y355</f>
        <v>0</v>
      </c>
      <c r="F345" s="279">
        <v>0</v>
      </c>
      <c r="G345" s="279">
        <v>0</v>
      </c>
      <c r="H345" s="279">
        <v>0</v>
      </c>
      <c r="I345" s="254"/>
      <c r="J345" s="254"/>
      <c r="K345" s="254"/>
      <c r="L345" s="254"/>
      <c r="M345" s="254"/>
      <c r="N345" s="254"/>
      <c r="O345" s="254"/>
      <c r="P345" s="1"/>
    </row>
    <row r="346" spans="2:16" x14ac:dyDescent="0.2">
      <c r="B346" s="255">
        <f>'3. GRI Pricing'!C356</f>
        <v>0</v>
      </c>
      <c r="C346" s="255">
        <f>'3. GRI Pricing'!D356</f>
        <v>0</v>
      </c>
      <c r="D346" s="255">
        <f>'3. GRI Pricing'!E356</f>
        <v>0</v>
      </c>
      <c r="E346" s="256">
        <f>'3. GRI Pricing'!Y356</f>
        <v>0</v>
      </c>
      <c r="F346" s="279">
        <v>0</v>
      </c>
      <c r="G346" s="279">
        <v>0</v>
      </c>
      <c r="H346" s="279">
        <v>0</v>
      </c>
      <c r="I346" s="254"/>
      <c r="J346" s="254"/>
      <c r="K346" s="254"/>
      <c r="L346" s="254"/>
      <c r="M346" s="254"/>
      <c r="N346" s="254"/>
      <c r="O346" s="254"/>
      <c r="P346" s="1"/>
    </row>
    <row r="347" spans="2:16" x14ac:dyDescent="0.2">
      <c r="B347" s="255">
        <f>'3. GRI Pricing'!C357</f>
        <v>0</v>
      </c>
      <c r="C347" s="255">
        <f>'3. GRI Pricing'!D357</f>
        <v>0</v>
      </c>
      <c r="D347" s="255">
        <f>'3. GRI Pricing'!E357</f>
        <v>0</v>
      </c>
      <c r="E347" s="256">
        <f>'3. GRI Pricing'!Y357</f>
        <v>0</v>
      </c>
      <c r="F347" s="279">
        <v>0</v>
      </c>
      <c r="G347" s="279">
        <v>0</v>
      </c>
      <c r="H347" s="279">
        <v>0</v>
      </c>
      <c r="I347" s="254"/>
      <c r="J347" s="254"/>
      <c r="K347" s="254"/>
      <c r="L347" s="254"/>
      <c r="M347" s="254"/>
      <c r="N347" s="254"/>
      <c r="O347" s="254"/>
      <c r="P347" s="1"/>
    </row>
    <row r="348" spans="2:16" x14ac:dyDescent="0.2">
      <c r="B348" s="255">
        <f>'3. GRI Pricing'!C358</f>
        <v>0</v>
      </c>
      <c r="C348" s="255">
        <f>'3. GRI Pricing'!D358</f>
        <v>0</v>
      </c>
      <c r="D348" s="255">
        <f>'3. GRI Pricing'!E358</f>
        <v>0</v>
      </c>
      <c r="E348" s="256">
        <f>'3. GRI Pricing'!Y358</f>
        <v>0</v>
      </c>
      <c r="F348" s="279">
        <v>0</v>
      </c>
      <c r="G348" s="279">
        <v>0</v>
      </c>
      <c r="H348" s="279">
        <v>0</v>
      </c>
      <c r="I348" s="254"/>
      <c r="J348" s="254"/>
      <c r="K348" s="254"/>
      <c r="L348" s="254"/>
      <c r="M348" s="254"/>
      <c r="N348" s="254"/>
      <c r="O348" s="254"/>
      <c r="P348" s="1"/>
    </row>
    <row r="349" spans="2:16" x14ac:dyDescent="0.2">
      <c r="B349" s="255">
        <f>'3. GRI Pricing'!C359</f>
        <v>0</v>
      </c>
      <c r="C349" s="255">
        <f>'3. GRI Pricing'!D359</f>
        <v>0</v>
      </c>
      <c r="D349" s="255">
        <f>'3. GRI Pricing'!E359</f>
        <v>0</v>
      </c>
      <c r="E349" s="256">
        <f>'3. GRI Pricing'!Y359</f>
        <v>0</v>
      </c>
      <c r="F349" s="279">
        <v>0</v>
      </c>
      <c r="G349" s="279">
        <v>0</v>
      </c>
      <c r="H349" s="279">
        <v>0</v>
      </c>
      <c r="I349" s="254"/>
      <c r="J349" s="254"/>
      <c r="K349" s="254"/>
      <c r="L349" s="254"/>
      <c r="M349" s="254"/>
      <c r="N349" s="254"/>
      <c r="O349" s="254"/>
      <c r="P349" s="1"/>
    </row>
    <row r="350" spans="2:16" x14ac:dyDescent="0.2">
      <c r="B350" s="255">
        <f>'3. GRI Pricing'!C360</f>
        <v>0</v>
      </c>
      <c r="C350" s="255">
        <f>'3. GRI Pricing'!D360</f>
        <v>0</v>
      </c>
      <c r="D350" s="255">
        <f>'3. GRI Pricing'!E360</f>
        <v>0</v>
      </c>
      <c r="E350" s="256">
        <f>'3. GRI Pricing'!Y360</f>
        <v>0</v>
      </c>
      <c r="F350" s="279">
        <v>0</v>
      </c>
      <c r="G350" s="279">
        <v>0</v>
      </c>
      <c r="H350" s="279">
        <v>0</v>
      </c>
      <c r="I350" s="254"/>
      <c r="J350" s="254"/>
      <c r="K350" s="254"/>
      <c r="L350" s="254"/>
      <c r="M350" s="254"/>
      <c r="N350" s="254"/>
      <c r="O350" s="254"/>
      <c r="P350" s="1"/>
    </row>
    <row r="351" spans="2:16" x14ac:dyDescent="0.2">
      <c r="B351" s="255">
        <f>'3. GRI Pricing'!C361</f>
        <v>0</v>
      </c>
      <c r="C351" s="255">
        <f>'3. GRI Pricing'!D361</f>
        <v>0</v>
      </c>
      <c r="D351" s="255">
        <f>'3. GRI Pricing'!E361</f>
        <v>0</v>
      </c>
      <c r="E351" s="256">
        <f>'3. GRI Pricing'!Y361</f>
        <v>0</v>
      </c>
      <c r="F351" s="279">
        <v>0</v>
      </c>
      <c r="G351" s="279">
        <v>0</v>
      </c>
      <c r="H351" s="279">
        <v>0</v>
      </c>
      <c r="I351" s="254"/>
      <c r="J351" s="254"/>
      <c r="K351" s="254"/>
      <c r="L351" s="254"/>
      <c r="M351" s="254"/>
      <c r="N351" s="254"/>
      <c r="O351" s="254"/>
      <c r="P351" s="1"/>
    </row>
    <row r="352" spans="2:16" x14ac:dyDescent="0.2">
      <c r="B352" s="255">
        <f>'3. GRI Pricing'!C362</f>
        <v>0</v>
      </c>
      <c r="C352" s="255">
        <f>'3. GRI Pricing'!D362</f>
        <v>0</v>
      </c>
      <c r="D352" s="255">
        <f>'3. GRI Pricing'!E362</f>
        <v>0</v>
      </c>
      <c r="E352" s="256">
        <f>'3. GRI Pricing'!Y362</f>
        <v>0</v>
      </c>
      <c r="F352" s="279">
        <v>0</v>
      </c>
      <c r="G352" s="279">
        <v>0</v>
      </c>
      <c r="H352" s="279">
        <v>0</v>
      </c>
      <c r="I352" s="254"/>
      <c r="J352" s="254"/>
      <c r="K352" s="254"/>
      <c r="L352" s="254"/>
      <c r="M352" s="254"/>
      <c r="N352" s="254"/>
      <c r="O352" s="254"/>
      <c r="P352" s="1"/>
    </row>
    <row r="353" spans="2:16" x14ac:dyDescent="0.2">
      <c r="B353" s="255">
        <f>'3. GRI Pricing'!C363</f>
        <v>0</v>
      </c>
      <c r="C353" s="255">
        <f>'3. GRI Pricing'!D363</f>
        <v>0</v>
      </c>
      <c r="D353" s="255">
        <f>'3. GRI Pricing'!E363</f>
        <v>0</v>
      </c>
      <c r="E353" s="256">
        <f>'3. GRI Pricing'!Y363</f>
        <v>0</v>
      </c>
      <c r="F353" s="279">
        <v>0</v>
      </c>
      <c r="G353" s="279">
        <v>0</v>
      </c>
      <c r="H353" s="279">
        <v>0</v>
      </c>
      <c r="I353" s="254"/>
      <c r="J353" s="254"/>
      <c r="K353" s="254"/>
      <c r="L353" s="254"/>
      <c r="M353" s="254"/>
      <c r="N353" s="254"/>
      <c r="O353" s="254"/>
      <c r="P353" s="1"/>
    </row>
    <row r="354" spans="2:16" x14ac:dyDescent="0.2">
      <c r="B354" s="255">
        <f>'3. GRI Pricing'!C364</f>
        <v>0</v>
      </c>
      <c r="C354" s="255">
        <f>'3. GRI Pricing'!D364</f>
        <v>0</v>
      </c>
      <c r="D354" s="255">
        <f>'3. GRI Pricing'!E364</f>
        <v>0</v>
      </c>
      <c r="E354" s="256">
        <f>'3. GRI Pricing'!Y364</f>
        <v>0</v>
      </c>
      <c r="F354" s="279">
        <v>0</v>
      </c>
      <c r="G354" s="279">
        <v>0</v>
      </c>
      <c r="H354" s="279">
        <v>0</v>
      </c>
      <c r="I354" s="254"/>
      <c r="J354" s="254"/>
      <c r="K354" s="254"/>
      <c r="L354" s="254"/>
      <c r="M354" s="254"/>
      <c r="N354" s="254"/>
      <c r="O354" s="254"/>
      <c r="P354" s="1"/>
    </row>
    <row r="355" spans="2:16" x14ac:dyDescent="0.2">
      <c r="B355" s="255">
        <f>'3. GRI Pricing'!C365</f>
        <v>0</v>
      </c>
      <c r="C355" s="255">
        <f>'3. GRI Pricing'!D365</f>
        <v>0</v>
      </c>
      <c r="D355" s="255">
        <f>'3. GRI Pricing'!E365</f>
        <v>0</v>
      </c>
      <c r="E355" s="256">
        <f>'3. GRI Pricing'!Y365</f>
        <v>0</v>
      </c>
      <c r="F355" s="279">
        <v>0</v>
      </c>
      <c r="G355" s="279">
        <v>0</v>
      </c>
      <c r="H355" s="279">
        <v>0</v>
      </c>
      <c r="I355" s="254"/>
      <c r="J355" s="254"/>
      <c r="K355" s="254"/>
      <c r="L355" s="254"/>
      <c r="M355" s="254"/>
      <c r="N355" s="254"/>
      <c r="O355" s="254"/>
      <c r="P355" s="1"/>
    </row>
    <row r="356" spans="2:16" x14ac:dyDescent="0.2">
      <c r="B356" s="255">
        <f>'3. GRI Pricing'!C366</f>
        <v>0</v>
      </c>
      <c r="C356" s="255">
        <f>'3. GRI Pricing'!D366</f>
        <v>0</v>
      </c>
      <c r="D356" s="255">
        <f>'3. GRI Pricing'!E366</f>
        <v>0</v>
      </c>
      <c r="E356" s="256">
        <f>'3. GRI Pricing'!Y366</f>
        <v>0</v>
      </c>
      <c r="F356" s="279">
        <v>0</v>
      </c>
      <c r="G356" s="279">
        <v>0</v>
      </c>
      <c r="H356" s="279">
        <v>0</v>
      </c>
      <c r="I356" s="254"/>
      <c r="J356" s="254"/>
      <c r="K356" s="254"/>
      <c r="L356" s="254"/>
      <c r="M356" s="254"/>
      <c r="N356" s="254"/>
      <c r="O356" s="254"/>
      <c r="P356" s="1"/>
    </row>
    <row r="357" spans="2:16" x14ac:dyDescent="0.2">
      <c r="B357" s="255">
        <f>'3. GRI Pricing'!C367</f>
        <v>0</v>
      </c>
      <c r="C357" s="255">
        <f>'3. GRI Pricing'!D367</f>
        <v>0</v>
      </c>
      <c r="D357" s="255">
        <f>'3. GRI Pricing'!E367</f>
        <v>0</v>
      </c>
      <c r="E357" s="256">
        <f>'3. GRI Pricing'!Y367</f>
        <v>0</v>
      </c>
      <c r="F357" s="279">
        <v>0</v>
      </c>
      <c r="G357" s="279">
        <v>0</v>
      </c>
      <c r="H357" s="279">
        <v>0</v>
      </c>
      <c r="I357" s="254"/>
      <c r="J357" s="254"/>
      <c r="K357" s="254"/>
      <c r="L357" s="254"/>
      <c r="M357" s="254"/>
      <c r="N357" s="254"/>
      <c r="O357" s="254"/>
      <c r="P357" s="1"/>
    </row>
    <row r="358" spans="2:16" x14ac:dyDescent="0.2">
      <c r="B358" s="255">
        <f>'3. GRI Pricing'!C368</f>
        <v>0</v>
      </c>
      <c r="C358" s="255">
        <f>'3. GRI Pricing'!D368</f>
        <v>0</v>
      </c>
      <c r="D358" s="255">
        <f>'3. GRI Pricing'!E368</f>
        <v>0</v>
      </c>
      <c r="E358" s="256">
        <f>'3. GRI Pricing'!Y368</f>
        <v>0</v>
      </c>
      <c r="F358" s="279">
        <v>0</v>
      </c>
      <c r="G358" s="279">
        <v>0</v>
      </c>
      <c r="H358" s="279">
        <v>0</v>
      </c>
      <c r="I358" s="254"/>
      <c r="J358" s="254"/>
      <c r="K358" s="254"/>
      <c r="L358" s="254"/>
      <c r="M358" s="254"/>
      <c r="N358" s="254"/>
      <c r="O358" s="254"/>
      <c r="P358" s="1"/>
    </row>
    <row r="359" spans="2:16" x14ac:dyDescent="0.2">
      <c r="B359" s="255">
        <f>'3. GRI Pricing'!C369</f>
        <v>0</v>
      </c>
      <c r="C359" s="255">
        <f>'3. GRI Pricing'!D369</f>
        <v>0</v>
      </c>
      <c r="D359" s="255">
        <f>'3. GRI Pricing'!E369</f>
        <v>0</v>
      </c>
      <c r="E359" s="256">
        <f>'3. GRI Pricing'!Y369</f>
        <v>0</v>
      </c>
      <c r="F359" s="279">
        <v>0</v>
      </c>
      <c r="G359" s="279">
        <v>0</v>
      </c>
      <c r="H359" s="279">
        <v>0</v>
      </c>
      <c r="I359" s="254"/>
      <c r="J359" s="254"/>
      <c r="K359" s="254"/>
      <c r="L359" s="254"/>
      <c r="M359" s="254"/>
      <c r="N359" s="254"/>
      <c r="O359" s="254"/>
      <c r="P359" s="1"/>
    </row>
    <row r="360" spans="2:16" x14ac:dyDescent="0.2">
      <c r="B360" s="255">
        <f>'3. GRI Pricing'!C370</f>
        <v>0</v>
      </c>
      <c r="C360" s="255">
        <f>'3. GRI Pricing'!D370</f>
        <v>0</v>
      </c>
      <c r="D360" s="255">
        <f>'3. GRI Pricing'!E370</f>
        <v>0</v>
      </c>
      <c r="E360" s="256">
        <f>'3. GRI Pricing'!Y370</f>
        <v>0</v>
      </c>
      <c r="F360" s="279">
        <v>0</v>
      </c>
      <c r="G360" s="279">
        <v>0</v>
      </c>
      <c r="H360" s="279">
        <v>0</v>
      </c>
      <c r="I360" s="254"/>
      <c r="J360" s="254"/>
      <c r="K360" s="254"/>
      <c r="L360" s="254"/>
      <c r="M360" s="254"/>
      <c r="N360" s="254"/>
      <c r="O360" s="254"/>
      <c r="P360" s="1"/>
    </row>
    <row r="361" spans="2:16" x14ac:dyDescent="0.2">
      <c r="B361" s="255">
        <f>'3. GRI Pricing'!C371</f>
        <v>0</v>
      </c>
      <c r="C361" s="255">
        <f>'3. GRI Pricing'!D371</f>
        <v>0</v>
      </c>
      <c r="D361" s="255">
        <f>'3. GRI Pricing'!E371</f>
        <v>0</v>
      </c>
      <c r="E361" s="256">
        <f>'3. GRI Pricing'!Y371</f>
        <v>0</v>
      </c>
      <c r="F361" s="279">
        <v>0</v>
      </c>
      <c r="G361" s="279">
        <v>0</v>
      </c>
      <c r="H361" s="279">
        <v>0</v>
      </c>
      <c r="I361" s="254"/>
      <c r="J361" s="254"/>
      <c r="K361" s="254"/>
      <c r="L361" s="254"/>
      <c r="M361" s="254"/>
      <c r="N361" s="254"/>
      <c r="O361" s="254"/>
      <c r="P361" s="1"/>
    </row>
    <row r="362" spans="2:16" x14ac:dyDescent="0.2">
      <c r="B362" s="255">
        <f>'3. GRI Pricing'!C372</f>
        <v>0</v>
      </c>
      <c r="C362" s="255">
        <f>'3. GRI Pricing'!D372</f>
        <v>0</v>
      </c>
      <c r="D362" s="255">
        <f>'3. GRI Pricing'!E372</f>
        <v>0</v>
      </c>
      <c r="E362" s="256">
        <f>'3. GRI Pricing'!Y372</f>
        <v>0</v>
      </c>
      <c r="F362" s="279">
        <v>0</v>
      </c>
      <c r="G362" s="279">
        <v>0</v>
      </c>
      <c r="H362" s="279">
        <v>0</v>
      </c>
      <c r="I362" s="254"/>
      <c r="J362" s="254"/>
      <c r="K362" s="254"/>
      <c r="L362" s="254"/>
      <c r="M362" s="254"/>
      <c r="N362" s="254"/>
      <c r="O362" s="254"/>
      <c r="P362" s="1"/>
    </row>
    <row r="363" spans="2:16" x14ac:dyDescent="0.2">
      <c r="B363" s="255">
        <f>'3. GRI Pricing'!C373</f>
        <v>0</v>
      </c>
      <c r="C363" s="255">
        <f>'3. GRI Pricing'!D373</f>
        <v>0</v>
      </c>
      <c r="D363" s="255">
        <f>'3. GRI Pricing'!E373</f>
        <v>0</v>
      </c>
      <c r="E363" s="256">
        <f>'3. GRI Pricing'!Y373</f>
        <v>0</v>
      </c>
      <c r="F363" s="279">
        <v>0</v>
      </c>
      <c r="G363" s="279">
        <v>0</v>
      </c>
      <c r="H363" s="279">
        <v>0</v>
      </c>
      <c r="I363" s="254"/>
      <c r="J363" s="254"/>
      <c r="K363" s="254"/>
      <c r="L363" s="254"/>
      <c r="M363" s="254"/>
      <c r="N363" s="254"/>
      <c r="O363" s="254"/>
      <c r="P363" s="1"/>
    </row>
    <row r="364" spans="2:16" x14ac:dyDescent="0.2">
      <c r="B364" s="255">
        <f>'3. GRI Pricing'!C374</f>
        <v>0</v>
      </c>
      <c r="C364" s="255">
        <f>'3. GRI Pricing'!D374</f>
        <v>0</v>
      </c>
      <c r="D364" s="255">
        <f>'3. GRI Pricing'!E374</f>
        <v>0</v>
      </c>
      <c r="E364" s="256">
        <f>'3. GRI Pricing'!Y374</f>
        <v>0</v>
      </c>
      <c r="F364" s="279">
        <v>0</v>
      </c>
      <c r="G364" s="279">
        <v>0</v>
      </c>
      <c r="H364" s="279">
        <v>0</v>
      </c>
      <c r="I364" s="254"/>
      <c r="J364" s="254"/>
      <c r="K364" s="254"/>
      <c r="L364" s="254"/>
      <c r="M364" s="254"/>
      <c r="N364" s="254"/>
      <c r="O364" s="254"/>
      <c r="P364" s="1"/>
    </row>
    <row r="365" spans="2:16" x14ac:dyDescent="0.2">
      <c r="B365" s="255">
        <f>'3. GRI Pricing'!C375</f>
        <v>0</v>
      </c>
      <c r="C365" s="255">
        <f>'3. GRI Pricing'!D375</f>
        <v>0</v>
      </c>
      <c r="D365" s="255">
        <f>'3. GRI Pricing'!E375</f>
        <v>0</v>
      </c>
      <c r="E365" s="256">
        <f>'3. GRI Pricing'!Y375</f>
        <v>0</v>
      </c>
      <c r="F365" s="279">
        <v>0</v>
      </c>
      <c r="G365" s="279">
        <v>0</v>
      </c>
      <c r="H365" s="279">
        <v>0</v>
      </c>
      <c r="I365" s="254"/>
      <c r="J365" s="254"/>
      <c r="K365" s="254"/>
      <c r="L365" s="254"/>
      <c r="M365" s="254"/>
      <c r="N365" s="254"/>
      <c r="O365" s="254"/>
      <c r="P365" s="1"/>
    </row>
    <row r="366" spans="2:16" x14ac:dyDescent="0.2">
      <c r="B366" s="255">
        <f>'3. GRI Pricing'!C376</f>
        <v>0</v>
      </c>
      <c r="C366" s="255">
        <f>'3. GRI Pricing'!D376</f>
        <v>0</v>
      </c>
      <c r="D366" s="255">
        <f>'3. GRI Pricing'!E376</f>
        <v>0</v>
      </c>
      <c r="E366" s="256">
        <f>'3. GRI Pricing'!Y376</f>
        <v>0</v>
      </c>
      <c r="F366" s="279">
        <v>0</v>
      </c>
      <c r="G366" s="279">
        <v>0</v>
      </c>
      <c r="H366" s="279">
        <v>0</v>
      </c>
      <c r="I366" s="254"/>
      <c r="J366" s="254"/>
      <c r="K366" s="254"/>
      <c r="L366" s="254"/>
      <c r="M366" s="254"/>
      <c r="N366" s="254"/>
      <c r="O366" s="254"/>
      <c r="P366" s="1"/>
    </row>
    <row r="367" spans="2:16" x14ac:dyDescent="0.2">
      <c r="B367" s="255">
        <f>'3. GRI Pricing'!C377</f>
        <v>0</v>
      </c>
      <c r="C367" s="255">
        <f>'3. GRI Pricing'!D377</f>
        <v>0</v>
      </c>
      <c r="D367" s="255">
        <f>'3. GRI Pricing'!E377</f>
        <v>0</v>
      </c>
      <c r="E367" s="256">
        <f>'3. GRI Pricing'!Y377</f>
        <v>0</v>
      </c>
      <c r="F367" s="279">
        <v>0</v>
      </c>
      <c r="G367" s="279">
        <v>0</v>
      </c>
      <c r="H367" s="279">
        <v>0</v>
      </c>
      <c r="I367" s="254"/>
      <c r="J367" s="254"/>
      <c r="K367" s="254"/>
      <c r="L367" s="254"/>
      <c r="M367" s="254"/>
      <c r="N367" s="254"/>
      <c r="O367" s="254"/>
      <c r="P367" s="1"/>
    </row>
    <row r="368" spans="2:16" x14ac:dyDescent="0.2">
      <c r="B368" s="255">
        <f>'3. GRI Pricing'!C378</f>
        <v>0</v>
      </c>
      <c r="C368" s="255">
        <f>'3. GRI Pricing'!D378</f>
        <v>0</v>
      </c>
      <c r="D368" s="255">
        <f>'3. GRI Pricing'!E378</f>
        <v>0</v>
      </c>
      <c r="E368" s="256">
        <f>'3. GRI Pricing'!Y378</f>
        <v>0</v>
      </c>
      <c r="F368" s="279">
        <v>0</v>
      </c>
      <c r="G368" s="279">
        <v>0</v>
      </c>
      <c r="H368" s="279">
        <v>0</v>
      </c>
      <c r="I368" s="254"/>
      <c r="J368" s="254"/>
      <c r="K368" s="254"/>
      <c r="L368" s="254"/>
      <c r="M368" s="254"/>
      <c r="N368" s="254"/>
      <c r="O368" s="254"/>
      <c r="P368" s="1"/>
    </row>
    <row r="369" spans="2:16" x14ac:dyDescent="0.2">
      <c r="B369" s="255">
        <f>'3. GRI Pricing'!C379</f>
        <v>0</v>
      </c>
      <c r="C369" s="255">
        <f>'3. GRI Pricing'!D379</f>
        <v>0</v>
      </c>
      <c r="D369" s="255">
        <f>'3. GRI Pricing'!E379</f>
        <v>0</v>
      </c>
      <c r="E369" s="256">
        <f>'3. GRI Pricing'!Y379</f>
        <v>0</v>
      </c>
      <c r="F369" s="279">
        <v>0</v>
      </c>
      <c r="G369" s="279">
        <v>0</v>
      </c>
      <c r="H369" s="279">
        <v>0</v>
      </c>
      <c r="I369" s="254"/>
      <c r="J369" s="254"/>
      <c r="K369" s="254"/>
      <c r="L369" s="254"/>
      <c r="M369" s="254"/>
      <c r="N369" s="254"/>
      <c r="O369" s="254"/>
      <c r="P369" s="1"/>
    </row>
    <row r="370" spans="2:16" x14ac:dyDescent="0.2">
      <c r="B370" s="255">
        <f>'3. GRI Pricing'!C380</f>
        <v>0</v>
      </c>
      <c r="C370" s="255">
        <f>'3. GRI Pricing'!D380</f>
        <v>0</v>
      </c>
      <c r="D370" s="255">
        <f>'3. GRI Pricing'!E380</f>
        <v>0</v>
      </c>
      <c r="E370" s="256">
        <f>'3. GRI Pricing'!Y380</f>
        <v>0</v>
      </c>
      <c r="F370" s="279">
        <v>0</v>
      </c>
      <c r="G370" s="279">
        <v>0</v>
      </c>
      <c r="H370" s="279">
        <v>0</v>
      </c>
      <c r="I370" s="254"/>
      <c r="J370" s="254"/>
      <c r="K370" s="254"/>
      <c r="L370" s="254"/>
      <c r="M370" s="254"/>
      <c r="N370" s="254"/>
      <c r="O370" s="254"/>
      <c r="P370" s="1"/>
    </row>
    <row r="371" spans="2:16" x14ac:dyDescent="0.2">
      <c r="B371" s="255">
        <f>'3. GRI Pricing'!C381</f>
        <v>0</v>
      </c>
      <c r="C371" s="255">
        <f>'3. GRI Pricing'!D381</f>
        <v>0</v>
      </c>
      <c r="D371" s="255">
        <f>'3. GRI Pricing'!E381</f>
        <v>0</v>
      </c>
      <c r="E371" s="256">
        <f>'3. GRI Pricing'!Y381</f>
        <v>0</v>
      </c>
      <c r="F371" s="279">
        <v>0</v>
      </c>
      <c r="G371" s="279">
        <v>0</v>
      </c>
      <c r="H371" s="279">
        <v>0</v>
      </c>
      <c r="I371" s="254"/>
      <c r="J371" s="254"/>
      <c r="K371" s="254"/>
      <c r="L371" s="254"/>
      <c r="M371" s="254"/>
      <c r="N371" s="254"/>
      <c r="O371" s="254"/>
      <c r="P371" s="1"/>
    </row>
    <row r="372" spans="2:16" x14ac:dyDescent="0.2">
      <c r="B372" s="255">
        <f>'3. GRI Pricing'!C382</f>
        <v>0</v>
      </c>
      <c r="C372" s="255">
        <f>'3. GRI Pricing'!D382</f>
        <v>0</v>
      </c>
      <c r="D372" s="255">
        <f>'3. GRI Pricing'!E382</f>
        <v>0</v>
      </c>
      <c r="E372" s="256">
        <f>'3. GRI Pricing'!Y382</f>
        <v>0</v>
      </c>
      <c r="F372" s="279">
        <v>0</v>
      </c>
      <c r="G372" s="279">
        <v>0</v>
      </c>
      <c r="H372" s="279">
        <v>0</v>
      </c>
      <c r="I372" s="254"/>
      <c r="J372" s="254"/>
      <c r="K372" s="254"/>
      <c r="L372" s="254"/>
      <c r="M372" s="254"/>
      <c r="N372" s="254"/>
      <c r="O372" s="254"/>
      <c r="P372" s="1"/>
    </row>
    <row r="373" spans="2:16" x14ac:dyDescent="0.2">
      <c r="B373" s="255">
        <f>'3. GRI Pricing'!C383</f>
        <v>0</v>
      </c>
      <c r="C373" s="255">
        <f>'3. GRI Pricing'!D383</f>
        <v>0</v>
      </c>
      <c r="D373" s="255">
        <f>'3. GRI Pricing'!E383</f>
        <v>0</v>
      </c>
      <c r="E373" s="256">
        <f>'3. GRI Pricing'!Y383</f>
        <v>0</v>
      </c>
      <c r="F373" s="279">
        <v>0</v>
      </c>
      <c r="G373" s="279">
        <v>0</v>
      </c>
      <c r="H373" s="279">
        <v>0</v>
      </c>
      <c r="I373" s="254"/>
      <c r="J373" s="254"/>
      <c r="K373" s="254"/>
      <c r="L373" s="254"/>
      <c r="M373" s="254"/>
      <c r="N373" s="254"/>
      <c r="O373" s="254"/>
      <c r="P373" s="1"/>
    </row>
    <row r="374" spans="2:16" x14ac:dyDescent="0.2">
      <c r="B374" s="255">
        <f>'3. GRI Pricing'!C384</f>
        <v>0</v>
      </c>
      <c r="C374" s="255">
        <f>'3. GRI Pricing'!D384</f>
        <v>0</v>
      </c>
      <c r="D374" s="255">
        <f>'3. GRI Pricing'!E384</f>
        <v>0</v>
      </c>
      <c r="E374" s="256">
        <f>'3. GRI Pricing'!Y384</f>
        <v>0</v>
      </c>
      <c r="F374" s="279">
        <v>0</v>
      </c>
      <c r="G374" s="279">
        <v>0</v>
      </c>
      <c r="H374" s="279">
        <v>0</v>
      </c>
      <c r="I374" s="254"/>
      <c r="J374" s="254"/>
      <c r="K374" s="254"/>
      <c r="L374" s="254"/>
      <c r="M374" s="254"/>
      <c r="N374" s="254"/>
      <c r="O374" s="254"/>
      <c r="P374" s="1"/>
    </row>
    <row r="375" spans="2:16" x14ac:dyDescent="0.2">
      <c r="B375" s="255">
        <f>'3. GRI Pricing'!C385</f>
        <v>0</v>
      </c>
      <c r="C375" s="255">
        <f>'3. GRI Pricing'!D385</f>
        <v>0</v>
      </c>
      <c r="D375" s="255">
        <f>'3. GRI Pricing'!E385</f>
        <v>0</v>
      </c>
      <c r="E375" s="256">
        <f>'3. GRI Pricing'!Y385</f>
        <v>0</v>
      </c>
      <c r="F375" s="279">
        <v>0</v>
      </c>
      <c r="G375" s="279">
        <v>0</v>
      </c>
      <c r="H375" s="279">
        <v>0</v>
      </c>
      <c r="I375" s="254"/>
      <c r="J375" s="254"/>
      <c r="K375" s="254"/>
      <c r="L375" s="254"/>
      <c r="M375" s="254"/>
      <c r="N375" s="254"/>
      <c r="O375" s="254"/>
      <c r="P375" s="1"/>
    </row>
    <row r="376" spans="2:16" x14ac:dyDescent="0.2">
      <c r="B376" s="255">
        <f>'3. GRI Pricing'!C386</f>
        <v>0</v>
      </c>
      <c r="C376" s="255">
        <f>'3. GRI Pricing'!D386</f>
        <v>0</v>
      </c>
      <c r="D376" s="255">
        <f>'3. GRI Pricing'!E386</f>
        <v>0</v>
      </c>
      <c r="E376" s="256">
        <f>'3. GRI Pricing'!Y386</f>
        <v>0</v>
      </c>
      <c r="F376" s="279">
        <v>0</v>
      </c>
      <c r="G376" s="279">
        <v>0</v>
      </c>
      <c r="H376" s="279">
        <v>0</v>
      </c>
      <c r="I376" s="254"/>
      <c r="J376" s="254"/>
      <c r="K376" s="254"/>
      <c r="L376" s="254"/>
      <c r="M376" s="254"/>
      <c r="N376" s="254"/>
      <c r="O376" s="254"/>
      <c r="P376" s="1"/>
    </row>
    <row r="377" spans="2:16" x14ac:dyDescent="0.2">
      <c r="B377" s="255">
        <f>'3. GRI Pricing'!C387</f>
        <v>0</v>
      </c>
      <c r="C377" s="255">
        <f>'3. GRI Pricing'!D387</f>
        <v>0</v>
      </c>
      <c r="D377" s="255">
        <f>'3. GRI Pricing'!E387</f>
        <v>0</v>
      </c>
      <c r="E377" s="256">
        <f>'3. GRI Pricing'!Y387</f>
        <v>0</v>
      </c>
      <c r="F377" s="279">
        <v>0</v>
      </c>
      <c r="G377" s="279">
        <v>0</v>
      </c>
      <c r="H377" s="279">
        <v>0</v>
      </c>
      <c r="I377" s="254"/>
      <c r="J377" s="254"/>
      <c r="K377" s="254"/>
      <c r="L377" s="254"/>
      <c r="M377" s="254"/>
      <c r="N377" s="254"/>
      <c r="O377" s="254"/>
      <c r="P377" s="1"/>
    </row>
    <row r="378" spans="2:16" x14ac:dyDescent="0.2">
      <c r="B378" s="255">
        <f>'3. GRI Pricing'!C388</f>
        <v>0</v>
      </c>
      <c r="C378" s="255">
        <f>'3. GRI Pricing'!D388</f>
        <v>0</v>
      </c>
      <c r="D378" s="255">
        <f>'3. GRI Pricing'!E388</f>
        <v>0</v>
      </c>
      <c r="E378" s="256">
        <f>'3. GRI Pricing'!Y388</f>
        <v>0</v>
      </c>
      <c r="F378" s="279">
        <v>0</v>
      </c>
      <c r="G378" s="279">
        <v>0</v>
      </c>
      <c r="H378" s="279">
        <v>0</v>
      </c>
      <c r="I378" s="254"/>
      <c r="J378" s="254"/>
      <c r="K378" s="254"/>
      <c r="L378" s="254"/>
      <c r="M378" s="254"/>
      <c r="N378" s="254"/>
      <c r="O378" s="254"/>
      <c r="P378" s="1"/>
    </row>
    <row r="379" spans="2:16" x14ac:dyDescent="0.2">
      <c r="B379" s="255">
        <f>'3. GRI Pricing'!C389</f>
        <v>0</v>
      </c>
      <c r="C379" s="255">
        <f>'3. GRI Pricing'!D389</f>
        <v>0</v>
      </c>
      <c r="D379" s="255">
        <f>'3. GRI Pricing'!E389</f>
        <v>0</v>
      </c>
      <c r="E379" s="256">
        <f>'3. GRI Pricing'!Y389</f>
        <v>0</v>
      </c>
      <c r="F379" s="279">
        <v>0</v>
      </c>
      <c r="G379" s="279">
        <v>0</v>
      </c>
      <c r="H379" s="279">
        <v>0</v>
      </c>
      <c r="I379" s="254"/>
      <c r="J379" s="254"/>
      <c r="K379" s="254"/>
      <c r="L379" s="254"/>
      <c r="M379" s="254"/>
      <c r="N379" s="254"/>
      <c r="O379" s="254"/>
      <c r="P379" s="1"/>
    </row>
    <row r="380" spans="2:16" x14ac:dyDescent="0.2">
      <c r="B380" s="255">
        <f>'3. GRI Pricing'!C390</f>
        <v>0</v>
      </c>
      <c r="C380" s="255">
        <f>'3. GRI Pricing'!D390</f>
        <v>0</v>
      </c>
      <c r="D380" s="255">
        <f>'3. GRI Pricing'!E390</f>
        <v>0</v>
      </c>
      <c r="E380" s="256">
        <f>'3. GRI Pricing'!Y390</f>
        <v>0</v>
      </c>
      <c r="F380" s="279">
        <v>0</v>
      </c>
      <c r="G380" s="279">
        <v>0</v>
      </c>
      <c r="H380" s="279">
        <v>0</v>
      </c>
      <c r="I380" s="254"/>
      <c r="J380" s="254"/>
      <c r="K380" s="254"/>
      <c r="L380" s="254"/>
      <c r="M380" s="254"/>
      <c r="N380" s="254"/>
      <c r="O380" s="254"/>
      <c r="P380" s="1"/>
    </row>
    <row r="381" spans="2:16" x14ac:dyDescent="0.2">
      <c r="B381" s="255">
        <f>'3. GRI Pricing'!C391</f>
        <v>0</v>
      </c>
      <c r="C381" s="255">
        <f>'3. GRI Pricing'!D391</f>
        <v>0</v>
      </c>
      <c r="D381" s="255">
        <f>'3. GRI Pricing'!E391</f>
        <v>0</v>
      </c>
      <c r="E381" s="256">
        <f>'3. GRI Pricing'!Y391</f>
        <v>0</v>
      </c>
      <c r="F381" s="279">
        <v>0</v>
      </c>
      <c r="G381" s="279">
        <v>0</v>
      </c>
      <c r="H381" s="279">
        <v>0</v>
      </c>
      <c r="I381" s="254"/>
      <c r="J381" s="254"/>
      <c r="K381" s="254"/>
      <c r="L381" s="254"/>
      <c r="M381" s="254"/>
      <c r="N381" s="254"/>
      <c r="O381" s="254"/>
      <c r="P381" s="1"/>
    </row>
    <row r="382" spans="2:16" x14ac:dyDescent="0.2">
      <c r="B382" s="255">
        <f>'3. GRI Pricing'!C392</f>
        <v>0</v>
      </c>
      <c r="C382" s="255">
        <f>'3. GRI Pricing'!D392</f>
        <v>0</v>
      </c>
      <c r="D382" s="255">
        <f>'3. GRI Pricing'!E392</f>
        <v>0</v>
      </c>
      <c r="E382" s="256">
        <f>'3. GRI Pricing'!Y392</f>
        <v>0</v>
      </c>
      <c r="F382" s="279">
        <v>0</v>
      </c>
      <c r="G382" s="279">
        <v>0</v>
      </c>
      <c r="H382" s="279">
        <v>0</v>
      </c>
      <c r="I382" s="254"/>
      <c r="J382" s="254"/>
      <c r="K382" s="254"/>
      <c r="L382" s="254"/>
      <c r="M382" s="254"/>
      <c r="N382" s="254"/>
      <c r="O382" s="254"/>
      <c r="P382" s="1"/>
    </row>
    <row r="383" spans="2:16" x14ac:dyDescent="0.2">
      <c r="B383" s="255">
        <f>'3. GRI Pricing'!C393</f>
        <v>0</v>
      </c>
      <c r="C383" s="255">
        <f>'3. GRI Pricing'!D393</f>
        <v>0</v>
      </c>
      <c r="D383" s="255">
        <f>'3. GRI Pricing'!E393</f>
        <v>0</v>
      </c>
      <c r="E383" s="256">
        <f>'3. GRI Pricing'!Y393</f>
        <v>0</v>
      </c>
      <c r="F383" s="279">
        <v>0</v>
      </c>
      <c r="G383" s="279">
        <v>0</v>
      </c>
      <c r="H383" s="279">
        <v>0</v>
      </c>
      <c r="I383" s="254"/>
      <c r="J383" s="254"/>
      <c r="K383" s="254"/>
      <c r="L383" s="254"/>
      <c r="M383" s="254"/>
      <c r="N383" s="254"/>
      <c r="O383" s="254"/>
      <c r="P383" s="1"/>
    </row>
    <row r="384" spans="2:16" x14ac:dyDescent="0.2">
      <c r="B384" s="255">
        <f>'3. GRI Pricing'!C394</f>
        <v>0</v>
      </c>
      <c r="C384" s="255">
        <f>'3. GRI Pricing'!D394</f>
        <v>0</v>
      </c>
      <c r="D384" s="255">
        <f>'3. GRI Pricing'!E394</f>
        <v>0</v>
      </c>
      <c r="E384" s="256">
        <f>'3. GRI Pricing'!Y394</f>
        <v>0</v>
      </c>
      <c r="F384" s="279">
        <v>0</v>
      </c>
      <c r="G384" s="279">
        <v>0</v>
      </c>
      <c r="H384" s="279">
        <v>0</v>
      </c>
      <c r="I384" s="254"/>
      <c r="J384" s="254"/>
      <c r="K384" s="254"/>
      <c r="L384" s="254"/>
      <c r="M384" s="254"/>
      <c r="N384" s="254"/>
      <c r="O384" s="254"/>
      <c r="P384" s="1"/>
    </row>
    <row r="385" spans="2:16" x14ac:dyDescent="0.2">
      <c r="B385" s="255">
        <f>'3. GRI Pricing'!C395</f>
        <v>0</v>
      </c>
      <c r="C385" s="255">
        <f>'3. GRI Pricing'!D395</f>
        <v>0</v>
      </c>
      <c r="D385" s="255">
        <f>'3. GRI Pricing'!E395</f>
        <v>0</v>
      </c>
      <c r="E385" s="256">
        <f>'3. GRI Pricing'!Y395</f>
        <v>0</v>
      </c>
      <c r="F385" s="279">
        <v>0</v>
      </c>
      <c r="G385" s="279">
        <v>0</v>
      </c>
      <c r="H385" s="279">
        <v>0</v>
      </c>
      <c r="I385" s="254"/>
      <c r="J385" s="254"/>
      <c r="K385" s="254"/>
      <c r="L385" s="254"/>
      <c r="M385" s="254"/>
      <c r="N385" s="254"/>
      <c r="O385" s="254"/>
      <c r="P385" s="1"/>
    </row>
    <row r="386" spans="2:16" x14ac:dyDescent="0.2">
      <c r="B386" s="255">
        <f>'3. GRI Pricing'!C396</f>
        <v>0</v>
      </c>
      <c r="C386" s="255">
        <f>'3. GRI Pricing'!D396</f>
        <v>0</v>
      </c>
      <c r="D386" s="255">
        <f>'3. GRI Pricing'!E396</f>
        <v>0</v>
      </c>
      <c r="E386" s="256">
        <f>'3. GRI Pricing'!Y396</f>
        <v>0</v>
      </c>
      <c r="F386" s="279">
        <v>0</v>
      </c>
      <c r="G386" s="279">
        <v>0</v>
      </c>
      <c r="H386" s="279">
        <v>0</v>
      </c>
      <c r="I386" s="254"/>
      <c r="J386" s="254"/>
      <c r="K386" s="254"/>
      <c r="L386" s="254"/>
      <c r="M386" s="254"/>
      <c r="N386" s="254"/>
      <c r="O386" s="254"/>
      <c r="P386" s="1"/>
    </row>
    <row r="387" spans="2:16" x14ac:dyDescent="0.2">
      <c r="B387" s="255">
        <f>'3. GRI Pricing'!C397</f>
        <v>0</v>
      </c>
      <c r="C387" s="255">
        <f>'3. GRI Pricing'!D397</f>
        <v>0</v>
      </c>
      <c r="D387" s="255">
        <f>'3. GRI Pricing'!E397</f>
        <v>0</v>
      </c>
      <c r="E387" s="256">
        <f>'3. GRI Pricing'!Y397</f>
        <v>0</v>
      </c>
      <c r="F387" s="279">
        <v>0</v>
      </c>
      <c r="G387" s="279">
        <v>0</v>
      </c>
      <c r="H387" s="279">
        <v>0</v>
      </c>
      <c r="I387" s="254"/>
      <c r="J387" s="254"/>
      <c r="K387" s="254"/>
      <c r="L387" s="254"/>
      <c r="M387" s="254"/>
      <c r="N387" s="254"/>
      <c r="O387" s="254"/>
      <c r="P387" s="1"/>
    </row>
    <row r="388" spans="2:16" x14ac:dyDescent="0.2">
      <c r="B388" s="255">
        <f>'3. GRI Pricing'!C398</f>
        <v>0</v>
      </c>
      <c r="C388" s="255">
        <f>'3. GRI Pricing'!D398</f>
        <v>0</v>
      </c>
      <c r="D388" s="255">
        <f>'3. GRI Pricing'!E398</f>
        <v>0</v>
      </c>
      <c r="E388" s="256">
        <f>'3. GRI Pricing'!Y398</f>
        <v>0</v>
      </c>
      <c r="F388" s="279">
        <v>0</v>
      </c>
      <c r="G388" s="279">
        <v>0</v>
      </c>
      <c r="H388" s="279">
        <v>0</v>
      </c>
      <c r="I388" s="254"/>
      <c r="J388" s="254"/>
      <c r="K388" s="254"/>
      <c r="L388" s="254"/>
      <c r="M388" s="254"/>
      <c r="N388" s="254"/>
      <c r="O388" s="254"/>
      <c r="P388" s="1"/>
    </row>
    <row r="389" spans="2:16" x14ac:dyDescent="0.2">
      <c r="B389" s="255">
        <f>'3. GRI Pricing'!C399</f>
        <v>0</v>
      </c>
      <c r="C389" s="255">
        <f>'3. GRI Pricing'!D399</f>
        <v>0</v>
      </c>
      <c r="D389" s="255">
        <f>'3. GRI Pricing'!E399</f>
        <v>0</v>
      </c>
      <c r="E389" s="256">
        <f>'3. GRI Pricing'!Y399</f>
        <v>0</v>
      </c>
      <c r="F389" s="279">
        <v>0</v>
      </c>
      <c r="G389" s="279">
        <v>0</v>
      </c>
      <c r="H389" s="279">
        <v>0</v>
      </c>
      <c r="I389" s="254"/>
      <c r="J389" s="254"/>
      <c r="K389" s="254"/>
      <c r="L389" s="254"/>
      <c r="M389" s="254"/>
      <c r="N389" s="254"/>
      <c r="O389" s="254"/>
      <c r="P389" s="1"/>
    </row>
    <row r="390" spans="2:16" x14ac:dyDescent="0.2">
      <c r="B390" s="255">
        <f>'3. GRI Pricing'!C400</f>
        <v>0</v>
      </c>
      <c r="C390" s="255">
        <f>'3. GRI Pricing'!D400</f>
        <v>0</v>
      </c>
      <c r="D390" s="255">
        <f>'3. GRI Pricing'!E400</f>
        <v>0</v>
      </c>
      <c r="E390" s="256">
        <f>'3. GRI Pricing'!Y400</f>
        <v>0</v>
      </c>
      <c r="F390" s="279">
        <v>0</v>
      </c>
      <c r="G390" s="279">
        <v>0</v>
      </c>
      <c r="H390" s="279">
        <v>0</v>
      </c>
      <c r="I390" s="254"/>
      <c r="J390" s="254"/>
      <c r="K390" s="254"/>
      <c r="L390" s="254"/>
      <c r="M390" s="254"/>
      <c r="N390" s="254"/>
      <c r="O390" s="254"/>
      <c r="P390" s="1"/>
    </row>
    <row r="391" spans="2:16" x14ac:dyDescent="0.2">
      <c r="B391" s="255">
        <f>'3. GRI Pricing'!C401</f>
        <v>0</v>
      </c>
      <c r="C391" s="255">
        <f>'3. GRI Pricing'!D401</f>
        <v>0</v>
      </c>
      <c r="D391" s="255">
        <f>'3. GRI Pricing'!E401</f>
        <v>0</v>
      </c>
      <c r="E391" s="256">
        <f>'3. GRI Pricing'!Y401</f>
        <v>0</v>
      </c>
      <c r="F391" s="279">
        <v>0</v>
      </c>
      <c r="G391" s="279">
        <v>0</v>
      </c>
      <c r="H391" s="279">
        <v>0</v>
      </c>
      <c r="I391" s="254"/>
      <c r="J391" s="254"/>
      <c r="K391" s="254"/>
      <c r="L391" s="254"/>
      <c r="M391" s="254"/>
      <c r="N391" s="254"/>
      <c r="O391" s="254"/>
      <c r="P391" s="1"/>
    </row>
    <row r="392" spans="2:16" x14ac:dyDescent="0.2">
      <c r="B392" s="255">
        <f>'3. GRI Pricing'!C402</f>
        <v>0</v>
      </c>
      <c r="C392" s="255">
        <f>'3. GRI Pricing'!D402</f>
        <v>0</v>
      </c>
      <c r="D392" s="255">
        <f>'3. GRI Pricing'!E402</f>
        <v>0</v>
      </c>
      <c r="E392" s="256">
        <f>'3. GRI Pricing'!Y402</f>
        <v>0</v>
      </c>
      <c r="F392" s="279">
        <v>0</v>
      </c>
      <c r="G392" s="279">
        <v>0</v>
      </c>
      <c r="H392" s="279">
        <v>0</v>
      </c>
      <c r="I392" s="254"/>
      <c r="J392" s="254"/>
      <c r="K392" s="254"/>
      <c r="L392" s="254"/>
      <c r="M392" s="254"/>
      <c r="N392" s="254"/>
      <c r="O392" s="254"/>
      <c r="P392" s="1"/>
    </row>
    <row r="393" spans="2:16" x14ac:dyDescent="0.2">
      <c r="B393" s="255">
        <f>'3. GRI Pricing'!C403</f>
        <v>0</v>
      </c>
      <c r="C393" s="255">
        <f>'3. GRI Pricing'!D403</f>
        <v>0</v>
      </c>
      <c r="D393" s="255">
        <f>'3. GRI Pricing'!E403</f>
        <v>0</v>
      </c>
      <c r="E393" s="256">
        <f>'3. GRI Pricing'!Y403</f>
        <v>0</v>
      </c>
      <c r="F393" s="279">
        <v>0</v>
      </c>
      <c r="G393" s="279">
        <v>0</v>
      </c>
      <c r="H393" s="279">
        <v>0</v>
      </c>
      <c r="I393" s="254"/>
      <c r="J393" s="254"/>
      <c r="K393" s="254"/>
      <c r="L393" s="254"/>
      <c r="M393" s="254"/>
      <c r="N393" s="254"/>
      <c r="O393" s="254"/>
      <c r="P393" s="1"/>
    </row>
    <row r="394" spans="2:16" x14ac:dyDescent="0.2">
      <c r="B394" s="255">
        <f>'3. GRI Pricing'!C404</f>
        <v>0</v>
      </c>
      <c r="C394" s="255">
        <f>'3. GRI Pricing'!D404</f>
        <v>0</v>
      </c>
      <c r="D394" s="255">
        <f>'3. GRI Pricing'!E404</f>
        <v>0</v>
      </c>
      <c r="E394" s="256">
        <f>'3. GRI Pricing'!Y404</f>
        <v>0</v>
      </c>
      <c r="F394" s="279">
        <v>0</v>
      </c>
      <c r="G394" s="279">
        <v>0</v>
      </c>
      <c r="H394" s="279">
        <v>0</v>
      </c>
      <c r="I394" s="254"/>
      <c r="J394" s="254"/>
      <c r="K394" s="254"/>
      <c r="L394" s="254"/>
      <c r="M394" s="254"/>
      <c r="N394" s="254"/>
      <c r="O394" s="254"/>
      <c r="P394" s="1"/>
    </row>
    <row r="395" spans="2:16" x14ac:dyDescent="0.2">
      <c r="B395" s="255">
        <f>'3. GRI Pricing'!C405</f>
        <v>0</v>
      </c>
      <c r="C395" s="255">
        <f>'3. GRI Pricing'!D405</f>
        <v>0</v>
      </c>
      <c r="D395" s="255">
        <f>'3. GRI Pricing'!E405</f>
        <v>0</v>
      </c>
      <c r="E395" s="256">
        <f>'3. GRI Pricing'!Y405</f>
        <v>0</v>
      </c>
      <c r="F395" s="279">
        <v>0</v>
      </c>
      <c r="G395" s="279">
        <v>0</v>
      </c>
      <c r="H395" s="279">
        <v>0</v>
      </c>
      <c r="I395" s="254"/>
      <c r="J395" s="254"/>
      <c r="K395" s="254"/>
      <c r="L395" s="254"/>
      <c r="M395" s="254"/>
      <c r="N395" s="254"/>
      <c r="O395" s="254"/>
      <c r="P395" s="1"/>
    </row>
    <row r="396" spans="2:16" x14ac:dyDescent="0.2">
      <c r="B396" s="255">
        <f>'3. GRI Pricing'!C406</f>
        <v>0</v>
      </c>
      <c r="C396" s="255">
        <f>'3. GRI Pricing'!D406</f>
        <v>0</v>
      </c>
      <c r="D396" s="255">
        <f>'3. GRI Pricing'!E406</f>
        <v>0</v>
      </c>
      <c r="E396" s="256">
        <f>'3. GRI Pricing'!Y406</f>
        <v>0</v>
      </c>
      <c r="F396" s="279">
        <v>0</v>
      </c>
      <c r="G396" s="279">
        <v>0</v>
      </c>
      <c r="H396" s="279">
        <v>0</v>
      </c>
      <c r="I396" s="254"/>
      <c r="J396" s="254"/>
      <c r="K396" s="254"/>
      <c r="L396" s="254"/>
      <c r="M396" s="254"/>
      <c r="N396" s="254"/>
      <c r="O396" s="254"/>
      <c r="P396" s="1"/>
    </row>
    <row r="397" spans="2:16" x14ac:dyDescent="0.2">
      <c r="B397" s="255">
        <f>'3. GRI Pricing'!C407</f>
        <v>0</v>
      </c>
      <c r="C397" s="255">
        <f>'3. GRI Pricing'!D407</f>
        <v>0</v>
      </c>
      <c r="D397" s="255">
        <f>'3. GRI Pricing'!E407</f>
        <v>0</v>
      </c>
      <c r="E397" s="256">
        <f>'3. GRI Pricing'!Y407</f>
        <v>0</v>
      </c>
      <c r="F397" s="279">
        <v>0</v>
      </c>
      <c r="G397" s="279">
        <v>0</v>
      </c>
      <c r="H397" s="279">
        <v>0</v>
      </c>
      <c r="I397" s="254"/>
      <c r="J397" s="254"/>
      <c r="K397" s="254"/>
      <c r="L397" s="254"/>
      <c r="M397" s="254"/>
      <c r="N397" s="254"/>
      <c r="O397" s="254"/>
      <c r="P397" s="1"/>
    </row>
    <row r="398" spans="2:16" x14ac:dyDescent="0.2">
      <c r="B398" s="255">
        <f>'3. GRI Pricing'!C408</f>
        <v>0</v>
      </c>
      <c r="C398" s="255">
        <f>'3. GRI Pricing'!D408</f>
        <v>0</v>
      </c>
      <c r="D398" s="255">
        <f>'3. GRI Pricing'!E408</f>
        <v>0</v>
      </c>
      <c r="E398" s="256">
        <f>'3. GRI Pricing'!Y408</f>
        <v>0</v>
      </c>
      <c r="F398" s="279">
        <v>0</v>
      </c>
      <c r="G398" s="279">
        <v>0</v>
      </c>
      <c r="H398" s="279">
        <v>0</v>
      </c>
      <c r="I398" s="254"/>
      <c r="J398" s="254"/>
      <c r="K398" s="254"/>
      <c r="L398" s="254"/>
      <c r="M398" s="254"/>
      <c r="N398" s="254"/>
      <c r="O398" s="254"/>
      <c r="P398" s="1"/>
    </row>
    <row r="399" spans="2:16" x14ac:dyDescent="0.2">
      <c r="B399" s="255">
        <f>'3. GRI Pricing'!C409</f>
        <v>0</v>
      </c>
      <c r="C399" s="255">
        <f>'3. GRI Pricing'!D409</f>
        <v>0</v>
      </c>
      <c r="D399" s="255">
        <f>'3. GRI Pricing'!E409</f>
        <v>0</v>
      </c>
      <c r="E399" s="256">
        <f>'3. GRI Pricing'!Y409</f>
        <v>0</v>
      </c>
      <c r="F399" s="279">
        <v>0</v>
      </c>
      <c r="G399" s="279">
        <v>0</v>
      </c>
      <c r="H399" s="279">
        <v>0</v>
      </c>
      <c r="I399" s="254"/>
      <c r="J399" s="254"/>
      <c r="K399" s="254"/>
      <c r="L399" s="254"/>
      <c r="M399" s="254"/>
      <c r="N399" s="254"/>
      <c r="O399" s="254"/>
      <c r="P399" s="1"/>
    </row>
    <row r="400" spans="2:16" x14ac:dyDescent="0.2">
      <c r="B400" s="255">
        <f>'3. GRI Pricing'!C410</f>
        <v>0</v>
      </c>
      <c r="C400" s="255">
        <f>'3. GRI Pricing'!D410</f>
        <v>0</v>
      </c>
      <c r="D400" s="255">
        <f>'3. GRI Pricing'!E410</f>
        <v>0</v>
      </c>
      <c r="E400" s="256">
        <f>'3. GRI Pricing'!Y410</f>
        <v>0</v>
      </c>
      <c r="F400" s="279">
        <v>0</v>
      </c>
      <c r="G400" s="279">
        <v>0</v>
      </c>
      <c r="H400" s="279">
        <v>0</v>
      </c>
      <c r="I400" s="254"/>
      <c r="J400" s="254"/>
      <c r="K400" s="254"/>
      <c r="L400" s="254"/>
      <c r="M400" s="254"/>
      <c r="N400" s="254"/>
      <c r="O400" s="254"/>
      <c r="P400" s="1"/>
    </row>
    <row r="401" spans="2:16" x14ac:dyDescent="0.2">
      <c r="B401" s="255">
        <f>'3. GRI Pricing'!C411</f>
        <v>0</v>
      </c>
      <c r="C401" s="255">
        <f>'3. GRI Pricing'!D411</f>
        <v>0</v>
      </c>
      <c r="D401" s="255">
        <f>'3. GRI Pricing'!E411</f>
        <v>0</v>
      </c>
      <c r="E401" s="256">
        <f>'3. GRI Pricing'!Y411</f>
        <v>0</v>
      </c>
      <c r="F401" s="279">
        <v>0</v>
      </c>
      <c r="G401" s="279">
        <v>0</v>
      </c>
      <c r="H401" s="279">
        <v>0</v>
      </c>
      <c r="I401" s="254"/>
      <c r="J401" s="254"/>
      <c r="K401" s="254"/>
      <c r="L401" s="254"/>
      <c r="M401" s="254"/>
      <c r="N401" s="254"/>
      <c r="O401" s="254"/>
      <c r="P401" s="1"/>
    </row>
    <row r="402" spans="2:16" x14ac:dyDescent="0.2">
      <c r="B402" s="255">
        <f>'3. GRI Pricing'!C412</f>
        <v>0</v>
      </c>
      <c r="C402" s="255">
        <f>'3. GRI Pricing'!D412</f>
        <v>0</v>
      </c>
      <c r="D402" s="255">
        <f>'3. GRI Pricing'!E412</f>
        <v>0</v>
      </c>
      <c r="E402" s="256">
        <f>'3. GRI Pricing'!Y412</f>
        <v>0</v>
      </c>
      <c r="F402" s="279">
        <v>0</v>
      </c>
      <c r="G402" s="279">
        <v>0</v>
      </c>
      <c r="H402" s="279">
        <v>0</v>
      </c>
      <c r="I402" s="254"/>
      <c r="J402" s="254"/>
      <c r="K402" s="254"/>
      <c r="L402" s="254"/>
      <c r="M402" s="254"/>
      <c r="N402" s="254"/>
      <c r="O402" s="254"/>
      <c r="P402" s="1"/>
    </row>
    <row r="403" spans="2:16" x14ac:dyDescent="0.2">
      <c r="B403" s="255">
        <f>'3. GRI Pricing'!C413</f>
        <v>0</v>
      </c>
      <c r="C403" s="255">
        <f>'3. GRI Pricing'!D413</f>
        <v>0</v>
      </c>
      <c r="D403" s="255">
        <f>'3. GRI Pricing'!E413</f>
        <v>0</v>
      </c>
      <c r="E403" s="256">
        <f>'3. GRI Pricing'!Y413</f>
        <v>0</v>
      </c>
      <c r="F403" s="279">
        <v>0</v>
      </c>
      <c r="G403" s="279">
        <v>0</v>
      </c>
      <c r="H403" s="279">
        <v>0</v>
      </c>
      <c r="I403" s="254"/>
      <c r="J403" s="254"/>
      <c r="K403" s="254"/>
      <c r="L403" s="254"/>
      <c r="M403" s="254"/>
      <c r="N403" s="254"/>
      <c r="O403" s="254"/>
      <c r="P403" s="1"/>
    </row>
    <row r="404" spans="2:16" x14ac:dyDescent="0.2">
      <c r="B404" s="255">
        <f>'3. GRI Pricing'!C414</f>
        <v>0</v>
      </c>
      <c r="C404" s="255">
        <f>'3. GRI Pricing'!D414</f>
        <v>0</v>
      </c>
      <c r="D404" s="255">
        <f>'3. GRI Pricing'!E414</f>
        <v>0</v>
      </c>
      <c r="E404" s="256">
        <f>'3. GRI Pricing'!Y414</f>
        <v>0</v>
      </c>
      <c r="F404" s="279">
        <v>0</v>
      </c>
      <c r="G404" s="279">
        <v>0</v>
      </c>
      <c r="H404" s="279">
        <v>0</v>
      </c>
      <c r="I404" s="254"/>
      <c r="J404" s="254"/>
      <c r="K404" s="254"/>
      <c r="L404" s="254"/>
      <c r="M404" s="254"/>
      <c r="N404" s="254"/>
      <c r="O404" s="254"/>
      <c r="P404" s="1"/>
    </row>
    <row r="405" spans="2:16" x14ac:dyDescent="0.2">
      <c r="B405" s="255">
        <f>'3. GRI Pricing'!C415</f>
        <v>0</v>
      </c>
      <c r="C405" s="255">
        <f>'3. GRI Pricing'!D415</f>
        <v>0</v>
      </c>
      <c r="D405" s="255">
        <f>'3. GRI Pricing'!E415</f>
        <v>0</v>
      </c>
      <c r="E405" s="256">
        <f>'3. GRI Pricing'!Y415</f>
        <v>0</v>
      </c>
      <c r="F405" s="279">
        <v>0</v>
      </c>
      <c r="G405" s="279">
        <v>0</v>
      </c>
      <c r="H405" s="279">
        <v>0</v>
      </c>
      <c r="I405" s="254"/>
      <c r="J405" s="254"/>
      <c r="K405" s="254"/>
      <c r="L405" s="254"/>
      <c r="M405" s="254"/>
      <c r="N405" s="254"/>
      <c r="O405" s="254"/>
      <c r="P405" s="1"/>
    </row>
    <row r="406" spans="2:16" x14ac:dyDescent="0.2">
      <c r="B406" s="255">
        <f>'3. GRI Pricing'!C416</f>
        <v>0</v>
      </c>
      <c r="C406" s="255">
        <f>'3. GRI Pricing'!D416</f>
        <v>0</v>
      </c>
      <c r="D406" s="255">
        <f>'3. GRI Pricing'!E416</f>
        <v>0</v>
      </c>
      <c r="E406" s="256">
        <f>'3. GRI Pricing'!Y416</f>
        <v>0</v>
      </c>
      <c r="F406" s="279">
        <v>0</v>
      </c>
      <c r="G406" s="279">
        <v>0</v>
      </c>
      <c r="H406" s="279">
        <v>0</v>
      </c>
      <c r="I406" s="254"/>
      <c r="J406" s="254"/>
      <c r="K406" s="254"/>
      <c r="L406" s="254"/>
      <c r="M406" s="254"/>
      <c r="N406" s="254"/>
      <c r="O406" s="254"/>
      <c r="P406" s="1"/>
    </row>
    <row r="407" spans="2:16" x14ac:dyDescent="0.2">
      <c r="B407" s="255">
        <f>'3. GRI Pricing'!C417</f>
        <v>0</v>
      </c>
      <c r="C407" s="255">
        <f>'3. GRI Pricing'!D417</f>
        <v>0</v>
      </c>
      <c r="D407" s="255">
        <f>'3. GRI Pricing'!E417</f>
        <v>0</v>
      </c>
      <c r="E407" s="256">
        <f>'3. GRI Pricing'!Y417</f>
        <v>0</v>
      </c>
      <c r="F407" s="279">
        <v>0</v>
      </c>
      <c r="G407" s="279">
        <v>0</v>
      </c>
      <c r="H407" s="279">
        <v>0</v>
      </c>
      <c r="I407" s="254"/>
      <c r="J407" s="254"/>
      <c r="K407" s="254"/>
      <c r="L407" s="254"/>
      <c r="M407" s="254"/>
      <c r="N407" s="254"/>
      <c r="O407" s="254"/>
      <c r="P407" s="1"/>
    </row>
    <row r="408" spans="2:16" x14ac:dyDescent="0.2">
      <c r="B408" s="255">
        <f>'3. GRI Pricing'!C418</f>
        <v>0</v>
      </c>
      <c r="C408" s="255">
        <f>'3. GRI Pricing'!D418</f>
        <v>0</v>
      </c>
      <c r="D408" s="255">
        <f>'3. GRI Pricing'!E418</f>
        <v>0</v>
      </c>
      <c r="E408" s="256">
        <f>'3. GRI Pricing'!Y418</f>
        <v>0</v>
      </c>
      <c r="F408" s="279">
        <v>0</v>
      </c>
      <c r="G408" s="279">
        <v>0</v>
      </c>
      <c r="H408" s="279">
        <v>0</v>
      </c>
      <c r="I408" s="254"/>
      <c r="J408" s="254"/>
      <c r="K408" s="254"/>
      <c r="L408" s="254"/>
      <c r="M408" s="254"/>
      <c r="N408" s="254"/>
      <c r="O408" s="254"/>
      <c r="P408" s="1"/>
    </row>
    <row r="409" spans="2:16" x14ac:dyDescent="0.2">
      <c r="B409" s="255">
        <f>'3. GRI Pricing'!C419</f>
        <v>0</v>
      </c>
      <c r="C409" s="255">
        <f>'3. GRI Pricing'!D419</f>
        <v>0</v>
      </c>
      <c r="D409" s="255">
        <f>'3. GRI Pricing'!E419</f>
        <v>0</v>
      </c>
      <c r="E409" s="256">
        <f>'3. GRI Pricing'!Y419</f>
        <v>0</v>
      </c>
      <c r="F409" s="279">
        <v>0</v>
      </c>
      <c r="G409" s="279">
        <v>0</v>
      </c>
      <c r="H409" s="279">
        <v>0</v>
      </c>
      <c r="I409" s="254"/>
      <c r="J409" s="254"/>
      <c r="K409" s="254"/>
      <c r="L409" s="254"/>
      <c r="M409" s="254"/>
      <c r="N409" s="254"/>
      <c r="O409" s="254"/>
      <c r="P409" s="1"/>
    </row>
    <row r="410" spans="2:16" x14ac:dyDescent="0.2">
      <c r="B410" s="255">
        <f>'3. GRI Pricing'!C420</f>
        <v>0</v>
      </c>
      <c r="C410" s="255">
        <f>'3. GRI Pricing'!D420</f>
        <v>0</v>
      </c>
      <c r="D410" s="255">
        <f>'3. GRI Pricing'!E420</f>
        <v>0</v>
      </c>
      <c r="E410" s="256">
        <f>'3. GRI Pricing'!Y420</f>
        <v>0</v>
      </c>
      <c r="F410" s="279">
        <v>0</v>
      </c>
      <c r="G410" s="279">
        <v>0</v>
      </c>
      <c r="H410" s="279">
        <v>0</v>
      </c>
      <c r="I410" s="254"/>
      <c r="J410" s="254"/>
      <c r="K410" s="254"/>
      <c r="L410" s="254"/>
      <c r="M410" s="254"/>
      <c r="N410" s="254"/>
      <c r="O410" s="254"/>
      <c r="P410" s="1"/>
    </row>
    <row r="411" spans="2:16" x14ac:dyDescent="0.2">
      <c r="B411" s="255">
        <f>'3. GRI Pricing'!C421</f>
        <v>0</v>
      </c>
      <c r="C411" s="255">
        <f>'3. GRI Pricing'!D421</f>
        <v>0</v>
      </c>
      <c r="D411" s="255">
        <f>'3. GRI Pricing'!E421</f>
        <v>0</v>
      </c>
      <c r="E411" s="256">
        <f>'3. GRI Pricing'!Y421</f>
        <v>0</v>
      </c>
      <c r="F411" s="279">
        <v>0</v>
      </c>
      <c r="G411" s="279">
        <v>0</v>
      </c>
      <c r="H411" s="279">
        <v>0</v>
      </c>
      <c r="I411" s="254"/>
      <c r="J411" s="254"/>
      <c r="K411" s="254"/>
      <c r="L411" s="254"/>
      <c r="M411" s="254"/>
      <c r="N411" s="254"/>
      <c r="O411" s="254"/>
      <c r="P411" s="1"/>
    </row>
    <row r="412" spans="2:16" x14ac:dyDescent="0.2">
      <c r="B412" s="255">
        <f>'3. GRI Pricing'!C422</f>
        <v>0</v>
      </c>
      <c r="C412" s="255">
        <f>'3. GRI Pricing'!D422</f>
        <v>0</v>
      </c>
      <c r="D412" s="255">
        <f>'3. GRI Pricing'!E422</f>
        <v>0</v>
      </c>
      <c r="E412" s="256">
        <f>'3. GRI Pricing'!Y422</f>
        <v>0</v>
      </c>
      <c r="F412" s="279">
        <v>0</v>
      </c>
      <c r="G412" s="279">
        <v>0</v>
      </c>
      <c r="H412" s="279">
        <v>0</v>
      </c>
      <c r="I412" s="254"/>
      <c r="J412" s="254"/>
      <c r="K412" s="254"/>
      <c r="L412" s="254"/>
      <c r="M412" s="254"/>
      <c r="N412" s="254"/>
      <c r="O412" s="254"/>
      <c r="P412" s="1"/>
    </row>
    <row r="413" spans="2:16" x14ac:dyDescent="0.2">
      <c r="B413" s="255">
        <f>'3. GRI Pricing'!C423</f>
        <v>0</v>
      </c>
      <c r="C413" s="255">
        <f>'3. GRI Pricing'!D423</f>
        <v>0</v>
      </c>
      <c r="D413" s="255">
        <f>'3. GRI Pricing'!E423</f>
        <v>0</v>
      </c>
      <c r="E413" s="256">
        <f>'3. GRI Pricing'!Y423</f>
        <v>0</v>
      </c>
      <c r="F413" s="279">
        <v>0</v>
      </c>
      <c r="G413" s="279">
        <v>0</v>
      </c>
      <c r="H413" s="279">
        <v>0</v>
      </c>
      <c r="I413" s="254"/>
      <c r="J413" s="254"/>
      <c r="K413" s="254"/>
      <c r="L413" s="254"/>
      <c r="M413" s="254"/>
      <c r="N413" s="254"/>
      <c r="O413" s="254"/>
      <c r="P413" s="1"/>
    </row>
    <row r="414" spans="2:16" x14ac:dyDescent="0.2">
      <c r="B414" s="255">
        <f>'3. GRI Pricing'!C424</f>
        <v>0</v>
      </c>
      <c r="C414" s="255">
        <f>'3. GRI Pricing'!D424</f>
        <v>0</v>
      </c>
      <c r="D414" s="255">
        <f>'3. GRI Pricing'!E424</f>
        <v>0</v>
      </c>
      <c r="E414" s="256">
        <f>'3. GRI Pricing'!Y424</f>
        <v>0</v>
      </c>
      <c r="F414" s="279">
        <v>0</v>
      </c>
      <c r="G414" s="279">
        <v>0</v>
      </c>
      <c r="H414" s="279">
        <v>0</v>
      </c>
      <c r="I414" s="254"/>
      <c r="J414" s="254"/>
      <c r="K414" s="254"/>
      <c r="L414" s="254"/>
      <c r="M414" s="254"/>
      <c r="N414" s="254"/>
      <c r="O414" s="254"/>
      <c r="P414" s="1"/>
    </row>
    <row r="415" spans="2:16" x14ac:dyDescent="0.2">
      <c r="B415" s="255">
        <f>'3. GRI Pricing'!C425</f>
        <v>0</v>
      </c>
      <c r="C415" s="255">
        <f>'3. GRI Pricing'!D425</f>
        <v>0</v>
      </c>
      <c r="D415" s="255">
        <f>'3. GRI Pricing'!E425</f>
        <v>0</v>
      </c>
      <c r="E415" s="256">
        <f>'3. GRI Pricing'!Y425</f>
        <v>0</v>
      </c>
      <c r="F415" s="279">
        <v>0</v>
      </c>
      <c r="G415" s="279">
        <v>0</v>
      </c>
      <c r="H415" s="279">
        <v>0</v>
      </c>
      <c r="I415" s="254"/>
      <c r="J415" s="254"/>
      <c r="K415" s="254"/>
      <c r="L415" s="254"/>
      <c r="M415" s="254"/>
      <c r="N415" s="254"/>
      <c r="O415" s="254"/>
      <c r="P415" s="1"/>
    </row>
    <row r="416" spans="2:16" x14ac:dyDescent="0.2">
      <c r="B416" s="255">
        <f>'3. GRI Pricing'!C426</f>
        <v>0</v>
      </c>
      <c r="C416" s="255">
        <f>'3. GRI Pricing'!D426</f>
        <v>0</v>
      </c>
      <c r="D416" s="255">
        <f>'3. GRI Pricing'!E426</f>
        <v>0</v>
      </c>
      <c r="E416" s="256">
        <f>'3. GRI Pricing'!Y426</f>
        <v>0</v>
      </c>
      <c r="F416" s="279">
        <v>0</v>
      </c>
      <c r="G416" s="279">
        <v>0</v>
      </c>
      <c r="H416" s="279">
        <v>0</v>
      </c>
      <c r="I416" s="254"/>
      <c r="J416" s="254"/>
      <c r="K416" s="254"/>
      <c r="L416" s="254"/>
      <c r="M416" s="254"/>
      <c r="N416" s="254"/>
      <c r="O416" s="254"/>
      <c r="P416" s="1"/>
    </row>
    <row r="417" spans="2:16" x14ac:dyDescent="0.2">
      <c r="B417" s="255">
        <f>'3. GRI Pricing'!C427</f>
        <v>0</v>
      </c>
      <c r="C417" s="255">
        <f>'3. GRI Pricing'!D427</f>
        <v>0</v>
      </c>
      <c r="D417" s="255">
        <f>'3. GRI Pricing'!E427</f>
        <v>0</v>
      </c>
      <c r="E417" s="256">
        <f>'3. GRI Pricing'!Y427</f>
        <v>0</v>
      </c>
      <c r="F417" s="279">
        <v>0</v>
      </c>
      <c r="G417" s="279">
        <v>0</v>
      </c>
      <c r="H417" s="279">
        <v>0</v>
      </c>
      <c r="I417" s="254"/>
      <c r="J417" s="254"/>
      <c r="K417" s="254"/>
      <c r="L417" s="254"/>
      <c r="M417" s="254"/>
      <c r="N417" s="254"/>
      <c r="O417" s="254"/>
      <c r="P417" s="1"/>
    </row>
    <row r="418" spans="2:16" x14ac:dyDescent="0.2">
      <c r="B418" s="255">
        <f>'3. GRI Pricing'!C428</f>
        <v>0</v>
      </c>
      <c r="C418" s="255">
        <f>'3. GRI Pricing'!D428</f>
        <v>0</v>
      </c>
      <c r="D418" s="255">
        <f>'3. GRI Pricing'!E428</f>
        <v>0</v>
      </c>
      <c r="E418" s="256">
        <f>'3. GRI Pricing'!Y428</f>
        <v>0</v>
      </c>
      <c r="F418" s="279">
        <v>0</v>
      </c>
      <c r="G418" s="279">
        <v>0</v>
      </c>
      <c r="H418" s="279">
        <v>0</v>
      </c>
      <c r="I418" s="254"/>
      <c r="J418" s="254"/>
      <c r="K418" s="254"/>
      <c r="L418" s="254"/>
      <c r="M418" s="254"/>
      <c r="N418" s="254"/>
      <c r="O418" s="254"/>
      <c r="P418" s="1"/>
    </row>
    <row r="419" spans="2:16" x14ac:dyDescent="0.2">
      <c r="B419" s="255">
        <f>'3. GRI Pricing'!C429</f>
        <v>0</v>
      </c>
      <c r="C419" s="255">
        <f>'3. GRI Pricing'!D429</f>
        <v>0</v>
      </c>
      <c r="D419" s="255">
        <f>'3. GRI Pricing'!E429</f>
        <v>0</v>
      </c>
      <c r="E419" s="256">
        <f>'3. GRI Pricing'!Y429</f>
        <v>0</v>
      </c>
      <c r="F419" s="279">
        <v>0</v>
      </c>
      <c r="G419" s="279">
        <v>0</v>
      </c>
      <c r="H419" s="279">
        <v>0</v>
      </c>
      <c r="I419" s="254"/>
      <c r="J419" s="254"/>
      <c r="K419" s="254"/>
      <c r="L419" s="254"/>
      <c r="M419" s="254"/>
      <c r="N419" s="254"/>
      <c r="O419" s="254"/>
      <c r="P419" s="1"/>
    </row>
    <row r="420" spans="2:16" x14ac:dyDescent="0.2">
      <c r="B420" s="255">
        <f>'3. GRI Pricing'!C430</f>
        <v>0</v>
      </c>
      <c r="C420" s="255">
        <f>'3. GRI Pricing'!D430</f>
        <v>0</v>
      </c>
      <c r="D420" s="255">
        <f>'3. GRI Pricing'!E430</f>
        <v>0</v>
      </c>
      <c r="E420" s="256">
        <f>'3. GRI Pricing'!Y430</f>
        <v>0</v>
      </c>
      <c r="F420" s="279">
        <v>0</v>
      </c>
      <c r="G420" s="279">
        <v>0</v>
      </c>
      <c r="H420" s="279">
        <v>0</v>
      </c>
      <c r="I420" s="254"/>
      <c r="J420" s="254"/>
      <c r="K420" s="254"/>
      <c r="L420" s="254"/>
      <c r="M420" s="254"/>
      <c r="N420" s="254"/>
      <c r="O420" s="254"/>
      <c r="P420" s="1"/>
    </row>
    <row r="421" spans="2:16" x14ac:dyDescent="0.2">
      <c r="B421" s="255">
        <f>'3. GRI Pricing'!C431</f>
        <v>0</v>
      </c>
      <c r="C421" s="255">
        <f>'3. GRI Pricing'!D431</f>
        <v>0</v>
      </c>
      <c r="D421" s="255">
        <f>'3. GRI Pricing'!E431</f>
        <v>0</v>
      </c>
      <c r="E421" s="256">
        <f>'3. GRI Pricing'!Y431</f>
        <v>0</v>
      </c>
      <c r="F421" s="279">
        <v>0</v>
      </c>
      <c r="G421" s="279">
        <v>0</v>
      </c>
      <c r="H421" s="279">
        <v>0</v>
      </c>
      <c r="I421" s="254"/>
      <c r="J421" s="254"/>
      <c r="K421" s="254"/>
      <c r="L421" s="254"/>
      <c r="M421" s="254"/>
      <c r="N421" s="254"/>
      <c r="O421" s="254"/>
      <c r="P421" s="1"/>
    </row>
    <row r="422" spans="2:16" x14ac:dyDescent="0.2">
      <c r="B422" s="255">
        <f>'3. GRI Pricing'!C432</f>
        <v>0</v>
      </c>
      <c r="C422" s="255">
        <f>'3. GRI Pricing'!D432</f>
        <v>0</v>
      </c>
      <c r="D422" s="255">
        <f>'3. GRI Pricing'!E432</f>
        <v>0</v>
      </c>
      <c r="E422" s="256">
        <f>'3. GRI Pricing'!Y432</f>
        <v>0</v>
      </c>
      <c r="F422" s="279">
        <v>0</v>
      </c>
      <c r="G422" s="279">
        <v>0</v>
      </c>
      <c r="H422" s="279">
        <v>0</v>
      </c>
      <c r="I422" s="254"/>
      <c r="J422" s="254"/>
      <c r="K422" s="254"/>
      <c r="L422" s="254"/>
      <c r="M422" s="254"/>
      <c r="N422" s="254"/>
      <c r="O422" s="254"/>
      <c r="P422" s="1"/>
    </row>
    <row r="423" spans="2:16" x14ac:dyDescent="0.2">
      <c r="B423" s="255">
        <f>'3. GRI Pricing'!C433</f>
        <v>0</v>
      </c>
      <c r="C423" s="255">
        <f>'3. GRI Pricing'!D433</f>
        <v>0</v>
      </c>
      <c r="D423" s="255">
        <f>'3. GRI Pricing'!E433</f>
        <v>0</v>
      </c>
      <c r="E423" s="256">
        <f>'3. GRI Pricing'!Y433</f>
        <v>0</v>
      </c>
      <c r="F423" s="279">
        <v>0</v>
      </c>
      <c r="G423" s="279">
        <v>0</v>
      </c>
      <c r="H423" s="279">
        <v>0</v>
      </c>
      <c r="I423" s="254"/>
      <c r="J423" s="254"/>
      <c r="K423" s="254"/>
      <c r="L423" s="254"/>
      <c r="M423" s="254"/>
      <c r="N423" s="254"/>
      <c r="O423" s="254"/>
      <c r="P423" s="1"/>
    </row>
    <row r="424" spans="2:16" x14ac:dyDescent="0.2">
      <c r="B424" s="255">
        <f>'3. GRI Pricing'!C434</f>
        <v>0</v>
      </c>
      <c r="C424" s="255">
        <f>'3. GRI Pricing'!D434</f>
        <v>0</v>
      </c>
      <c r="D424" s="255">
        <f>'3. GRI Pricing'!E434</f>
        <v>0</v>
      </c>
      <c r="E424" s="256">
        <f>'3. GRI Pricing'!Y434</f>
        <v>0</v>
      </c>
      <c r="F424" s="279">
        <v>0</v>
      </c>
      <c r="G424" s="279">
        <v>0</v>
      </c>
      <c r="H424" s="279">
        <v>0</v>
      </c>
      <c r="I424" s="254"/>
      <c r="J424" s="254"/>
      <c r="K424" s="254"/>
      <c r="L424" s="254"/>
      <c r="M424" s="254"/>
      <c r="N424" s="254"/>
      <c r="O424" s="254"/>
      <c r="P424" s="1"/>
    </row>
    <row r="425" spans="2:16" x14ac:dyDescent="0.2">
      <c r="B425" s="255">
        <f>'3. GRI Pricing'!C435</f>
        <v>0</v>
      </c>
      <c r="C425" s="255">
        <f>'3. GRI Pricing'!D435</f>
        <v>0</v>
      </c>
      <c r="D425" s="255">
        <f>'3. GRI Pricing'!E435</f>
        <v>0</v>
      </c>
      <c r="E425" s="256">
        <f>'3. GRI Pricing'!Y435</f>
        <v>0</v>
      </c>
      <c r="F425" s="279">
        <v>0</v>
      </c>
      <c r="G425" s="279">
        <v>0</v>
      </c>
      <c r="H425" s="279">
        <v>0</v>
      </c>
      <c r="I425" s="254"/>
      <c r="J425" s="254"/>
      <c r="K425" s="254"/>
      <c r="L425" s="254"/>
      <c r="M425" s="254"/>
      <c r="N425" s="254"/>
      <c r="O425" s="254"/>
      <c r="P425" s="1"/>
    </row>
    <row r="426" spans="2:16" x14ac:dyDescent="0.2">
      <c r="B426" s="255">
        <f>'3. GRI Pricing'!C436</f>
        <v>0</v>
      </c>
      <c r="C426" s="255">
        <f>'3. GRI Pricing'!D436</f>
        <v>0</v>
      </c>
      <c r="D426" s="255">
        <f>'3. GRI Pricing'!E436</f>
        <v>0</v>
      </c>
      <c r="E426" s="256">
        <f>'3. GRI Pricing'!Y436</f>
        <v>0</v>
      </c>
      <c r="F426" s="279">
        <v>0</v>
      </c>
      <c r="G426" s="279">
        <v>0</v>
      </c>
      <c r="H426" s="279">
        <v>0</v>
      </c>
      <c r="I426" s="254"/>
      <c r="J426" s="254"/>
      <c r="K426" s="254"/>
      <c r="L426" s="254"/>
      <c r="M426" s="254"/>
      <c r="N426" s="254"/>
      <c r="O426" s="254"/>
      <c r="P426" s="1"/>
    </row>
    <row r="427" spans="2:16" x14ac:dyDescent="0.2">
      <c r="B427" s="255">
        <f>'3. GRI Pricing'!C437</f>
        <v>0</v>
      </c>
      <c r="C427" s="255">
        <f>'3. GRI Pricing'!D437</f>
        <v>0</v>
      </c>
      <c r="D427" s="255">
        <f>'3. GRI Pricing'!E437</f>
        <v>0</v>
      </c>
      <c r="E427" s="256">
        <f>'3. GRI Pricing'!Y437</f>
        <v>0</v>
      </c>
      <c r="F427" s="279">
        <v>0</v>
      </c>
      <c r="G427" s="279">
        <v>0</v>
      </c>
      <c r="H427" s="279">
        <v>0</v>
      </c>
      <c r="I427" s="254"/>
      <c r="J427" s="254"/>
      <c r="K427" s="254"/>
      <c r="L427" s="254"/>
      <c r="M427" s="254"/>
      <c r="N427" s="254"/>
      <c r="O427" s="254"/>
      <c r="P427" s="1"/>
    </row>
    <row r="428" spans="2:16" x14ac:dyDescent="0.2">
      <c r="B428" s="255">
        <f>'3. GRI Pricing'!C438</f>
        <v>0</v>
      </c>
      <c r="C428" s="255">
        <f>'3. GRI Pricing'!D438</f>
        <v>0</v>
      </c>
      <c r="D428" s="255">
        <f>'3. GRI Pricing'!E438</f>
        <v>0</v>
      </c>
      <c r="E428" s="256">
        <f>'3. GRI Pricing'!Y438</f>
        <v>0</v>
      </c>
      <c r="F428" s="279">
        <v>0</v>
      </c>
      <c r="G428" s="279">
        <v>0</v>
      </c>
      <c r="H428" s="279">
        <v>0</v>
      </c>
      <c r="I428" s="254"/>
      <c r="J428" s="254"/>
      <c r="K428" s="254"/>
      <c r="L428" s="254"/>
      <c r="M428" s="254"/>
      <c r="N428" s="254"/>
      <c r="O428" s="254"/>
      <c r="P428" s="1"/>
    </row>
    <row r="429" spans="2:16" x14ac:dyDescent="0.2">
      <c r="B429" s="255">
        <f>'3. GRI Pricing'!C439</f>
        <v>0</v>
      </c>
      <c r="C429" s="255">
        <f>'3. GRI Pricing'!D439</f>
        <v>0</v>
      </c>
      <c r="D429" s="255">
        <f>'3. GRI Pricing'!E439</f>
        <v>0</v>
      </c>
      <c r="E429" s="256">
        <f>'3. GRI Pricing'!Y439</f>
        <v>0</v>
      </c>
      <c r="F429" s="279">
        <v>0</v>
      </c>
      <c r="G429" s="279">
        <v>0</v>
      </c>
      <c r="H429" s="279">
        <v>0</v>
      </c>
      <c r="I429" s="254"/>
      <c r="J429" s="254"/>
      <c r="K429" s="254"/>
      <c r="L429" s="254"/>
      <c r="M429" s="254"/>
      <c r="N429" s="254"/>
      <c r="O429" s="254"/>
      <c r="P429" s="1"/>
    </row>
    <row r="430" spans="2:16" x14ac:dyDescent="0.2">
      <c r="B430" s="255">
        <f>'3. GRI Pricing'!C440</f>
        <v>0</v>
      </c>
      <c r="C430" s="255">
        <f>'3. GRI Pricing'!D440</f>
        <v>0</v>
      </c>
      <c r="D430" s="255">
        <f>'3. GRI Pricing'!E440</f>
        <v>0</v>
      </c>
      <c r="E430" s="256">
        <f>'3. GRI Pricing'!Y440</f>
        <v>0</v>
      </c>
      <c r="F430" s="279">
        <v>0</v>
      </c>
      <c r="G430" s="279">
        <v>0</v>
      </c>
      <c r="H430" s="279">
        <v>0</v>
      </c>
      <c r="I430" s="254"/>
      <c r="J430" s="254"/>
      <c r="K430" s="254"/>
      <c r="L430" s="254"/>
      <c r="M430" s="254"/>
      <c r="N430" s="254"/>
      <c r="O430" s="254"/>
      <c r="P430" s="1"/>
    </row>
    <row r="431" spans="2:16" x14ac:dyDescent="0.2">
      <c r="B431" s="255">
        <f>'3. GRI Pricing'!C441</f>
        <v>0</v>
      </c>
      <c r="C431" s="255">
        <f>'3. GRI Pricing'!D441</f>
        <v>0</v>
      </c>
      <c r="D431" s="255">
        <f>'3. GRI Pricing'!E441</f>
        <v>0</v>
      </c>
      <c r="E431" s="256">
        <f>'3. GRI Pricing'!Y441</f>
        <v>0</v>
      </c>
      <c r="F431" s="279">
        <v>0</v>
      </c>
      <c r="G431" s="279">
        <v>0</v>
      </c>
      <c r="H431" s="279">
        <v>0</v>
      </c>
      <c r="I431" s="254"/>
      <c r="J431" s="254"/>
      <c r="K431" s="254"/>
      <c r="L431" s="254"/>
      <c r="M431" s="254"/>
      <c r="N431" s="254"/>
      <c r="O431" s="254"/>
      <c r="P431" s="1"/>
    </row>
    <row r="432" spans="2:16" x14ac:dyDescent="0.2">
      <c r="B432" s="255">
        <f>'3. GRI Pricing'!C442</f>
        <v>0</v>
      </c>
      <c r="C432" s="255">
        <f>'3. GRI Pricing'!D442</f>
        <v>0</v>
      </c>
      <c r="D432" s="255">
        <f>'3. GRI Pricing'!E442</f>
        <v>0</v>
      </c>
      <c r="E432" s="256">
        <f>'3. GRI Pricing'!Y442</f>
        <v>0</v>
      </c>
      <c r="F432" s="279">
        <v>0</v>
      </c>
      <c r="G432" s="279">
        <v>0</v>
      </c>
      <c r="H432" s="279">
        <v>0</v>
      </c>
      <c r="I432" s="254"/>
      <c r="J432" s="254"/>
      <c r="K432" s="254"/>
      <c r="L432" s="254"/>
      <c r="M432" s="254"/>
      <c r="N432" s="254"/>
      <c r="O432" s="254"/>
      <c r="P432" s="1"/>
    </row>
    <row r="433" spans="2:16" x14ac:dyDescent="0.2">
      <c r="B433" s="255">
        <f>'3. GRI Pricing'!C443</f>
        <v>0</v>
      </c>
      <c r="C433" s="255">
        <f>'3. GRI Pricing'!D443</f>
        <v>0</v>
      </c>
      <c r="D433" s="255">
        <f>'3. GRI Pricing'!E443</f>
        <v>0</v>
      </c>
      <c r="E433" s="256">
        <f>'3. GRI Pricing'!Y443</f>
        <v>0</v>
      </c>
      <c r="F433" s="279">
        <v>0</v>
      </c>
      <c r="G433" s="279">
        <v>0</v>
      </c>
      <c r="H433" s="279">
        <v>0</v>
      </c>
      <c r="I433" s="254"/>
      <c r="J433" s="254"/>
      <c r="K433" s="254"/>
      <c r="L433" s="254"/>
      <c r="M433" s="254"/>
      <c r="N433" s="254"/>
      <c r="O433" s="254"/>
      <c r="P433" s="1"/>
    </row>
    <row r="434" spans="2:16" x14ac:dyDescent="0.2">
      <c r="B434" s="255">
        <f>'3. GRI Pricing'!C444</f>
        <v>0</v>
      </c>
      <c r="C434" s="255">
        <f>'3. GRI Pricing'!D444</f>
        <v>0</v>
      </c>
      <c r="D434" s="255">
        <f>'3. GRI Pricing'!E444</f>
        <v>0</v>
      </c>
      <c r="E434" s="256">
        <f>'3. GRI Pricing'!Y444</f>
        <v>0</v>
      </c>
      <c r="F434" s="279">
        <v>0</v>
      </c>
      <c r="G434" s="279">
        <v>0</v>
      </c>
      <c r="H434" s="279">
        <v>0</v>
      </c>
      <c r="I434" s="254"/>
      <c r="J434" s="254"/>
      <c r="K434" s="254"/>
      <c r="L434" s="254"/>
      <c r="M434" s="254"/>
      <c r="N434" s="254"/>
      <c r="O434" s="254"/>
      <c r="P434" s="1"/>
    </row>
    <row r="435" spans="2:16" x14ac:dyDescent="0.2">
      <c r="B435" s="255">
        <f>'3. GRI Pricing'!C445</f>
        <v>0</v>
      </c>
      <c r="C435" s="255">
        <f>'3. GRI Pricing'!D445</f>
        <v>0</v>
      </c>
      <c r="D435" s="255">
        <f>'3. GRI Pricing'!E445</f>
        <v>0</v>
      </c>
      <c r="E435" s="256">
        <f>'3. GRI Pricing'!Y445</f>
        <v>0</v>
      </c>
      <c r="F435" s="279">
        <v>0</v>
      </c>
      <c r="G435" s="279">
        <v>0</v>
      </c>
      <c r="H435" s="279">
        <v>0</v>
      </c>
      <c r="I435" s="254"/>
      <c r="J435" s="254"/>
      <c r="K435" s="254"/>
      <c r="L435" s="254"/>
      <c r="M435" s="254"/>
      <c r="N435" s="254"/>
      <c r="O435" s="254"/>
      <c r="P435" s="1"/>
    </row>
    <row r="436" spans="2:16" x14ac:dyDescent="0.2">
      <c r="B436" s="255">
        <f>'3. GRI Pricing'!C446</f>
        <v>0</v>
      </c>
      <c r="C436" s="255">
        <f>'3. GRI Pricing'!D446</f>
        <v>0</v>
      </c>
      <c r="D436" s="255">
        <f>'3. GRI Pricing'!E446</f>
        <v>0</v>
      </c>
      <c r="E436" s="256">
        <f>'3. GRI Pricing'!Y446</f>
        <v>0</v>
      </c>
      <c r="F436" s="279">
        <v>0</v>
      </c>
      <c r="G436" s="279">
        <v>0</v>
      </c>
      <c r="H436" s="279">
        <v>0</v>
      </c>
      <c r="I436" s="254"/>
      <c r="J436" s="254"/>
      <c r="K436" s="254"/>
      <c r="L436" s="254"/>
      <c r="M436" s="254"/>
      <c r="N436" s="254"/>
      <c r="O436" s="254"/>
      <c r="P436" s="1"/>
    </row>
    <row r="437" spans="2:16" x14ac:dyDescent="0.2">
      <c r="B437" s="255">
        <f>'3. GRI Pricing'!C447</f>
        <v>0</v>
      </c>
      <c r="C437" s="255">
        <f>'3. GRI Pricing'!D447</f>
        <v>0</v>
      </c>
      <c r="D437" s="255">
        <f>'3. GRI Pricing'!E447</f>
        <v>0</v>
      </c>
      <c r="E437" s="256">
        <f>'3. GRI Pricing'!Y447</f>
        <v>0</v>
      </c>
      <c r="F437" s="279">
        <v>0</v>
      </c>
      <c r="G437" s="279">
        <v>0</v>
      </c>
      <c r="H437" s="279">
        <v>0</v>
      </c>
      <c r="I437" s="254"/>
      <c r="J437" s="254"/>
      <c r="K437" s="254"/>
      <c r="L437" s="254"/>
      <c r="M437" s="254"/>
      <c r="N437" s="254"/>
      <c r="O437" s="254"/>
      <c r="P437" s="1"/>
    </row>
    <row r="438" spans="2:16" x14ac:dyDescent="0.2">
      <c r="B438" s="255">
        <f>'3. GRI Pricing'!C448</f>
        <v>0</v>
      </c>
      <c r="C438" s="255">
        <f>'3. GRI Pricing'!D448</f>
        <v>0</v>
      </c>
      <c r="D438" s="255">
        <f>'3. GRI Pricing'!E448</f>
        <v>0</v>
      </c>
      <c r="E438" s="256">
        <f>'3. GRI Pricing'!Y448</f>
        <v>0</v>
      </c>
      <c r="F438" s="279">
        <v>0</v>
      </c>
      <c r="G438" s="279">
        <v>0</v>
      </c>
      <c r="H438" s="279">
        <v>0</v>
      </c>
      <c r="I438" s="254"/>
      <c r="J438" s="254"/>
      <c r="K438" s="254"/>
      <c r="L438" s="254"/>
      <c r="M438" s="254"/>
      <c r="N438" s="254"/>
      <c r="O438" s="254"/>
      <c r="P438" s="1"/>
    </row>
    <row r="439" spans="2:16" x14ac:dyDescent="0.2">
      <c r="B439" s="255">
        <f>'3. GRI Pricing'!C449</f>
        <v>0</v>
      </c>
      <c r="C439" s="255">
        <f>'3. GRI Pricing'!D449</f>
        <v>0</v>
      </c>
      <c r="D439" s="255">
        <f>'3. GRI Pricing'!E449</f>
        <v>0</v>
      </c>
      <c r="E439" s="256">
        <f>'3. GRI Pricing'!Y449</f>
        <v>0</v>
      </c>
      <c r="F439" s="279">
        <v>0</v>
      </c>
      <c r="G439" s="279">
        <v>0</v>
      </c>
      <c r="H439" s="279">
        <v>0</v>
      </c>
      <c r="I439" s="254"/>
      <c r="J439" s="254"/>
      <c r="K439" s="254"/>
      <c r="L439" s="254"/>
      <c r="M439" s="254"/>
      <c r="N439" s="254"/>
      <c r="O439" s="254"/>
      <c r="P439" s="1"/>
    </row>
    <row r="440" spans="2:16" x14ac:dyDescent="0.2">
      <c r="B440" s="255">
        <f>'3. GRI Pricing'!C450</f>
        <v>0</v>
      </c>
      <c r="C440" s="255">
        <f>'3. GRI Pricing'!D450</f>
        <v>0</v>
      </c>
      <c r="D440" s="255">
        <f>'3. GRI Pricing'!E450</f>
        <v>0</v>
      </c>
      <c r="E440" s="256">
        <f>'3. GRI Pricing'!Y450</f>
        <v>0</v>
      </c>
      <c r="F440" s="279">
        <v>0</v>
      </c>
      <c r="G440" s="279">
        <v>0</v>
      </c>
      <c r="H440" s="279">
        <v>0</v>
      </c>
      <c r="I440" s="254"/>
      <c r="J440" s="254"/>
      <c r="K440" s="254"/>
      <c r="L440" s="254"/>
      <c r="M440" s="254"/>
      <c r="N440" s="254"/>
      <c r="O440" s="254"/>
      <c r="P440" s="1"/>
    </row>
    <row r="441" spans="2:16" x14ac:dyDescent="0.2">
      <c r="B441" s="255">
        <f>'3. GRI Pricing'!C451</f>
        <v>0</v>
      </c>
      <c r="C441" s="255">
        <f>'3. GRI Pricing'!D451</f>
        <v>0</v>
      </c>
      <c r="D441" s="255">
        <f>'3. GRI Pricing'!E451</f>
        <v>0</v>
      </c>
      <c r="E441" s="256">
        <f>'3. GRI Pricing'!Y451</f>
        <v>0</v>
      </c>
      <c r="F441" s="279">
        <v>0</v>
      </c>
      <c r="G441" s="279">
        <v>0</v>
      </c>
      <c r="H441" s="279">
        <v>0</v>
      </c>
      <c r="I441" s="254"/>
      <c r="J441" s="254"/>
      <c r="K441" s="254"/>
      <c r="L441" s="254"/>
      <c r="M441" s="254"/>
      <c r="N441" s="254"/>
      <c r="O441" s="254"/>
      <c r="P441" s="1"/>
    </row>
    <row r="442" spans="2:16" x14ac:dyDescent="0.2">
      <c r="B442" s="255">
        <f>'3. GRI Pricing'!C452</f>
        <v>0</v>
      </c>
      <c r="C442" s="255">
        <f>'3. GRI Pricing'!D452</f>
        <v>0</v>
      </c>
      <c r="D442" s="255">
        <f>'3. GRI Pricing'!E452</f>
        <v>0</v>
      </c>
      <c r="E442" s="256">
        <f>'3. GRI Pricing'!Y452</f>
        <v>0</v>
      </c>
      <c r="F442" s="279">
        <v>0</v>
      </c>
      <c r="G442" s="279">
        <v>0</v>
      </c>
      <c r="H442" s="279">
        <v>0</v>
      </c>
      <c r="I442" s="254"/>
      <c r="J442" s="254"/>
      <c r="K442" s="254"/>
      <c r="L442" s="254"/>
      <c r="M442" s="254"/>
      <c r="N442" s="254"/>
      <c r="O442" s="254"/>
      <c r="P442" s="1"/>
    </row>
    <row r="443" spans="2:16" x14ac:dyDescent="0.2">
      <c r="B443" s="255">
        <f>'3. GRI Pricing'!C453</f>
        <v>0</v>
      </c>
      <c r="C443" s="255">
        <f>'3. GRI Pricing'!D453</f>
        <v>0</v>
      </c>
      <c r="D443" s="255">
        <f>'3. GRI Pricing'!E453</f>
        <v>0</v>
      </c>
      <c r="E443" s="256">
        <f>'3. GRI Pricing'!Y453</f>
        <v>0</v>
      </c>
      <c r="F443" s="279">
        <v>0</v>
      </c>
      <c r="G443" s="279">
        <v>0</v>
      </c>
      <c r="H443" s="279">
        <v>0</v>
      </c>
      <c r="I443" s="254"/>
      <c r="J443" s="254"/>
      <c r="K443" s="254"/>
      <c r="L443" s="254"/>
      <c r="M443" s="254"/>
      <c r="N443" s="254"/>
      <c r="O443" s="254"/>
      <c r="P443" s="1"/>
    </row>
    <row r="444" spans="2:16" x14ac:dyDescent="0.2">
      <c r="B444" s="255">
        <f>'3. GRI Pricing'!C454</f>
        <v>0</v>
      </c>
      <c r="C444" s="255">
        <f>'3. GRI Pricing'!D454</f>
        <v>0</v>
      </c>
      <c r="D444" s="255">
        <f>'3. GRI Pricing'!E454</f>
        <v>0</v>
      </c>
      <c r="E444" s="256">
        <f>'3. GRI Pricing'!Y454</f>
        <v>0</v>
      </c>
      <c r="F444" s="279">
        <v>0</v>
      </c>
      <c r="G444" s="279">
        <v>0</v>
      </c>
      <c r="H444" s="279">
        <v>0</v>
      </c>
      <c r="I444" s="254"/>
      <c r="J444" s="254"/>
      <c r="K444" s="254"/>
      <c r="L444" s="254"/>
      <c r="M444" s="254"/>
      <c r="N444" s="254"/>
      <c r="O444" s="254"/>
      <c r="P444" s="1"/>
    </row>
    <row r="445" spans="2:16" x14ac:dyDescent="0.2">
      <c r="B445" s="255">
        <f>'3. GRI Pricing'!C455</f>
        <v>0</v>
      </c>
      <c r="C445" s="255">
        <f>'3. GRI Pricing'!D455</f>
        <v>0</v>
      </c>
      <c r="D445" s="255">
        <f>'3. GRI Pricing'!E455</f>
        <v>0</v>
      </c>
      <c r="E445" s="256">
        <f>'3. GRI Pricing'!Y455</f>
        <v>0</v>
      </c>
      <c r="F445" s="279">
        <v>0</v>
      </c>
      <c r="G445" s="279">
        <v>0</v>
      </c>
      <c r="H445" s="279">
        <v>0</v>
      </c>
      <c r="I445" s="254"/>
      <c r="J445" s="254"/>
      <c r="K445" s="254"/>
      <c r="L445" s="254"/>
      <c r="M445" s="254"/>
      <c r="N445" s="254"/>
      <c r="O445" s="254"/>
      <c r="P445" s="1"/>
    </row>
    <row r="446" spans="2:16" x14ac:dyDescent="0.2">
      <c r="B446" s="255">
        <f>'3. GRI Pricing'!C456</f>
        <v>0</v>
      </c>
      <c r="C446" s="255">
        <f>'3. GRI Pricing'!D456</f>
        <v>0</v>
      </c>
      <c r="D446" s="255">
        <f>'3. GRI Pricing'!E456</f>
        <v>0</v>
      </c>
      <c r="E446" s="256">
        <f>'3. GRI Pricing'!Y456</f>
        <v>0</v>
      </c>
      <c r="F446" s="279">
        <v>0</v>
      </c>
      <c r="G446" s="279">
        <v>0</v>
      </c>
      <c r="H446" s="279">
        <v>0</v>
      </c>
      <c r="I446" s="254"/>
      <c r="J446" s="254"/>
      <c r="K446" s="254"/>
      <c r="L446" s="254"/>
      <c r="M446" s="254"/>
      <c r="N446" s="254"/>
      <c r="O446" s="254"/>
      <c r="P446" s="1"/>
    </row>
    <row r="447" spans="2:16" x14ac:dyDescent="0.2">
      <c r="B447" s="255">
        <f>'3. GRI Pricing'!C457</f>
        <v>0</v>
      </c>
      <c r="C447" s="255">
        <f>'3. GRI Pricing'!D457</f>
        <v>0</v>
      </c>
      <c r="D447" s="255">
        <f>'3. GRI Pricing'!E457</f>
        <v>0</v>
      </c>
      <c r="E447" s="256">
        <f>'3. GRI Pricing'!Y457</f>
        <v>0</v>
      </c>
      <c r="F447" s="279">
        <v>0</v>
      </c>
      <c r="G447" s="279">
        <v>0</v>
      </c>
      <c r="H447" s="279">
        <v>0</v>
      </c>
      <c r="I447" s="254"/>
      <c r="J447" s="254"/>
      <c r="K447" s="254"/>
      <c r="L447" s="254"/>
      <c r="M447" s="254"/>
      <c r="N447" s="254"/>
      <c r="O447" s="254"/>
      <c r="P447" s="1"/>
    </row>
    <row r="448" spans="2:16" x14ac:dyDescent="0.2">
      <c r="B448" s="255">
        <f>'3. GRI Pricing'!C458</f>
        <v>0</v>
      </c>
      <c r="C448" s="255">
        <f>'3. GRI Pricing'!D458</f>
        <v>0</v>
      </c>
      <c r="D448" s="255">
        <f>'3. GRI Pricing'!E458</f>
        <v>0</v>
      </c>
      <c r="E448" s="256">
        <f>'3. GRI Pricing'!Y458</f>
        <v>0</v>
      </c>
      <c r="F448" s="279">
        <v>0</v>
      </c>
      <c r="G448" s="279">
        <v>0</v>
      </c>
      <c r="H448" s="279">
        <v>0</v>
      </c>
      <c r="I448" s="254"/>
      <c r="J448" s="254"/>
      <c r="K448" s="254"/>
      <c r="L448" s="254"/>
      <c r="M448" s="254"/>
      <c r="N448" s="254"/>
      <c r="O448" s="254"/>
      <c r="P448" s="1"/>
    </row>
    <row r="449" spans="2:16" x14ac:dyDescent="0.2">
      <c r="B449" s="255">
        <f>'3. GRI Pricing'!C459</f>
        <v>0</v>
      </c>
      <c r="C449" s="255">
        <f>'3. GRI Pricing'!D459</f>
        <v>0</v>
      </c>
      <c r="D449" s="255">
        <f>'3. GRI Pricing'!E459</f>
        <v>0</v>
      </c>
      <c r="E449" s="256">
        <f>'3. GRI Pricing'!Y459</f>
        <v>0</v>
      </c>
      <c r="F449" s="279">
        <v>0</v>
      </c>
      <c r="G449" s="279">
        <v>0</v>
      </c>
      <c r="H449" s="279">
        <v>0</v>
      </c>
      <c r="I449" s="254"/>
      <c r="J449" s="254"/>
      <c r="K449" s="254"/>
      <c r="L449" s="254"/>
      <c r="M449" s="254"/>
      <c r="N449" s="254"/>
      <c r="O449" s="254"/>
      <c r="P449" s="1"/>
    </row>
    <row r="450" spans="2:16" x14ac:dyDescent="0.2">
      <c r="B450" s="255">
        <f>'3. GRI Pricing'!C460</f>
        <v>0</v>
      </c>
      <c r="C450" s="255">
        <f>'3. GRI Pricing'!D460</f>
        <v>0</v>
      </c>
      <c r="D450" s="255">
        <f>'3. GRI Pricing'!E460</f>
        <v>0</v>
      </c>
      <c r="E450" s="256">
        <f>'3. GRI Pricing'!Y460</f>
        <v>0</v>
      </c>
      <c r="F450" s="279">
        <v>0</v>
      </c>
      <c r="G450" s="279">
        <v>0</v>
      </c>
      <c r="H450" s="279">
        <v>0</v>
      </c>
      <c r="I450" s="254"/>
      <c r="J450" s="254"/>
      <c r="K450" s="254"/>
      <c r="L450" s="254"/>
      <c r="M450" s="254"/>
      <c r="N450" s="254"/>
      <c r="O450" s="254"/>
      <c r="P450" s="1"/>
    </row>
    <row r="451" spans="2:16" x14ac:dyDescent="0.2">
      <c r="B451" s="255">
        <f>'3. GRI Pricing'!C461</f>
        <v>0</v>
      </c>
      <c r="C451" s="255">
        <f>'3. GRI Pricing'!D461</f>
        <v>0</v>
      </c>
      <c r="D451" s="255">
        <f>'3. GRI Pricing'!E461</f>
        <v>0</v>
      </c>
      <c r="E451" s="256">
        <f>'3. GRI Pricing'!Y461</f>
        <v>0</v>
      </c>
      <c r="F451" s="279">
        <v>0</v>
      </c>
      <c r="G451" s="279">
        <v>0</v>
      </c>
      <c r="H451" s="279">
        <v>0</v>
      </c>
      <c r="I451" s="254"/>
      <c r="J451" s="254"/>
      <c r="K451" s="254"/>
      <c r="L451" s="254"/>
      <c r="M451" s="254"/>
      <c r="N451" s="254"/>
      <c r="O451" s="254"/>
      <c r="P451" s="1"/>
    </row>
    <row r="452" spans="2:16" x14ac:dyDescent="0.2">
      <c r="B452" s="255">
        <f>'3. GRI Pricing'!C462</f>
        <v>0</v>
      </c>
      <c r="C452" s="255">
        <f>'3. GRI Pricing'!D462</f>
        <v>0</v>
      </c>
      <c r="D452" s="255">
        <f>'3. GRI Pricing'!E462</f>
        <v>0</v>
      </c>
      <c r="E452" s="256">
        <f>'3. GRI Pricing'!Y462</f>
        <v>0</v>
      </c>
      <c r="F452" s="279">
        <v>0</v>
      </c>
      <c r="G452" s="279">
        <v>0</v>
      </c>
      <c r="H452" s="279">
        <v>0</v>
      </c>
      <c r="I452" s="254"/>
      <c r="J452" s="254"/>
      <c r="K452" s="254"/>
      <c r="L452" s="254"/>
      <c r="M452" s="254"/>
      <c r="N452" s="254"/>
      <c r="O452" s="254"/>
      <c r="P452" s="1"/>
    </row>
    <row r="453" spans="2:16" x14ac:dyDescent="0.2">
      <c r="B453" s="255">
        <f>'3. GRI Pricing'!C463</f>
        <v>0</v>
      </c>
      <c r="C453" s="255">
        <f>'3. GRI Pricing'!D463</f>
        <v>0</v>
      </c>
      <c r="D453" s="255">
        <f>'3. GRI Pricing'!E463</f>
        <v>0</v>
      </c>
      <c r="E453" s="256">
        <f>'3. GRI Pricing'!Y463</f>
        <v>0</v>
      </c>
      <c r="F453" s="279">
        <v>0</v>
      </c>
      <c r="G453" s="279">
        <v>0</v>
      </c>
      <c r="H453" s="279">
        <v>0</v>
      </c>
      <c r="I453" s="254"/>
      <c r="J453" s="254"/>
      <c r="K453" s="254"/>
      <c r="L453" s="254"/>
      <c r="M453" s="254"/>
      <c r="N453" s="254"/>
      <c r="O453" s="254"/>
      <c r="P453" s="1"/>
    </row>
    <row r="454" spans="2:16" x14ac:dyDescent="0.2">
      <c r="B454" s="255">
        <f>'3. GRI Pricing'!C464</f>
        <v>0</v>
      </c>
      <c r="C454" s="255">
        <f>'3. GRI Pricing'!D464</f>
        <v>0</v>
      </c>
      <c r="D454" s="255">
        <f>'3. GRI Pricing'!E464</f>
        <v>0</v>
      </c>
      <c r="E454" s="256">
        <f>'3. GRI Pricing'!Y464</f>
        <v>0</v>
      </c>
      <c r="F454" s="279">
        <v>0</v>
      </c>
      <c r="G454" s="279">
        <v>0</v>
      </c>
      <c r="H454" s="279">
        <v>0</v>
      </c>
      <c r="I454" s="254"/>
      <c r="J454" s="254"/>
      <c r="K454" s="254"/>
      <c r="L454" s="254"/>
      <c r="M454" s="254"/>
      <c r="N454" s="254"/>
      <c r="O454" s="254"/>
      <c r="P454" s="1"/>
    </row>
    <row r="455" spans="2:16" x14ac:dyDescent="0.2">
      <c r="B455" s="255">
        <f>'3. GRI Pricing'!C465</f>
        <v>0</v>
      </c>
      <c r="C455" s="255">
        <f>'3. GRI Pricing'!D465</f>
        <v>0</v>
      </c>
      <c r="D455" s="255">
        <f>'3. GRI Pricing'!E465</f>
        <v>0</v>
      </c>
      <c r="E455" s="256">
        <f>'3. GRI Pricing'!Y465</f>
        <v>0</v>
      </c>
      <c r="F455" s="279">
        <v>0</v>
      </c>
      <c r="G455" s="279">
        <v>0</v>
      </c>
      <c r="H455" s="279">
        <v>0</v>
      </c>
      <c r="I455" s="254"/>
      <c r="J455" s="254"/>
      <c r="K455" s="254"/>
      <c r="L455" s="254"/>
      <c r="M455" s="254"/>
      <c r="N455" s="254"/>
      <c r="O455" s="254"/>
      <c r="P455" s="1"/>
    </row>
    <row r="456" spans="2:16" x14ac:dyDescent="0.2">
      <c r="B456" s="255">
        <f>'3. GRI Pricing'!C466</f>
        <v>0</v>
      </c>
      <c r="C456" s="255">
        <f>'3. GRI Pricing'!D466</f>
        <v>0</v>
      </c>
      <c r="D456" s="255">
        <f>'3. GRI Pricing'!E466</f>
        <v>0</v>
      </c>
      <c r="E456" s="256">
        <f>'3. GRI Pricing'!Y466</f>
        <v>0</v>
      </c>
      <c r="F456" s="279">
        <v>0</v>
      </c>
      <c r="G456" s="279">
        <v>0</v>
      </c>
      <c r="H456" s="279">
        <v>0</v>
      </c>
      <c r="I456" s="254"/>
      <c r="J456" s="254"/>
      <c r="K456" s="254"/>
      <c r="L456" s="254"/>
      <c r="M456" s="254"/>
      <c r="N456" s="254"/>
      <c r="O456" s="254"/>
      <c r="P456" s="1"/>
    </row>
    <row r="457" spans="2:16" x14ac:dyDescent="0.2">
      <c r="B457" s="255">
        <f>'3. GRI Pricing'!C467</f>
        <v>0</v>
      </c>
      <c r="C457" s="255">
        <f>'3. GRI Pricing'!D467</f>
        <v>0</v>
      </c>
      <c r="D457" s="255">
        <f>'3. GRI Pricing'!E467</f>
        <v>0</v>
      </c>
      <c r="E457" s="256">
        <f>'3. GRI Pricing'!Y467</f>
        <v>0</v>
      </c>
      <c r="F457" s="279">
        <v>0</v>
      </c>
      <c r="G457" s="279">
        <v>0</v>
      </c>
      <c r="H457" s="279">
        <v>0</v>
      </c>
      <c r="I457" s="254"/>
      <c r="J457" s="254"/>
      <c r="K457" s="254"/>
      <c r="L457" s="254"/>
      <c r="M457" s="254"/>
      <c r="N457" s="254"/>
      <c r="O457" s="254"/>
      <c r="P457" s="1"/>
    </row>
    <row r="458" spans="2:16" x14ac:dyDescent="0.2">
      <c r="B458" s="255">
        <f>'3. GRI Pricing'!C468</f>
        <v>0</v>
      </c>
      <c r="C458" s="255">
        <f>'3. GRI Pricing'!D468</f>
        <v>0</v>
      </c>
      <c r="D458" s="255">
        <f>'3. GRI Pricing'!E468</f>
        <v>0</v>
      </c>
      <c r="E458" s="256">
        <f>'3. GRI Pricing'!Y468</f>
        <v>0</v>
      </c>
      <c r="F458" s="279">
        <v>0</v>
      </c>
      <c r="G458" s="279">
        <v>0</v>
      </c>
      <c r="H458" s="279">
        <v>0</v>
      </c>
      <c r="I458" s="254"/>
      <c r="J458" s="254"/>
      <c r="K458" s="254"/>
      <c r="L458" s="254"/>
      <c r="M458" s="254"/>
      <c r="N458" s="254"/>
      <c r="O458" s="254"/>
      <c r="P458" s="1"/>
    </row>
    <row r="459" spans="2:16" x14ac:dyDescent="0.2">
      <c r="B459" s="255">
        <f>'3. GRI Pricing'!C469</f>
        <v>0</v>
      </c>
      <c r="C459" s="255">
        <f>'3. GRI Pricing'!D469</f>
        <v>0</v>
      </c>
      <c r="D459" s="255">
        <f>'3. GRI Pricing'!E469</f>
        <v>0</v>
      </c>
      <c r="E459" s="256">
        <f>'3. GRI Pricing'!Y469</f>
        <v>0</v>
      </c>
      <c r="F459" s="279">
        <v>0</v>
      </c>
      <c r="G459" s="279">
        <v>0</v>
      </c>
      <c r="H459" s="279">
        <v>0</v>
      </c>
      <c r="I459" s="254"/>
      <c r="J459" s="254"/>
      <c r="K459" s="254"/>
      <c r="L459" s="254"/>
      <c r="M459" s="254"/>
      <c r="N459" s="254"/>
      <c r="O459" s="254"/>
      <c r="P459" s="1"/>
    </row>
    <row r="460" spans="2:16" x14ac:dyDescent="0.2">
      <c r="B460" s="255">
        <f>'3. GRI Pricing'!C470</f>
        <v>0</v>
      </c>
      <c r="C460" s="255">
        <f>'3. GRI Pricing'!D470</f>
        <v>0</v>
      </c>
      <c r="D460" s="255">
        <f>'3. GRI Pricing'!E470</f>
        <v>0</v>
      </c>
      <c r="E460" s="256">
        <f>'3. GRI Pricing'!Y470</f>
        <v>0</v>
      </c>
      <c r="F460" s="279">
        <v>0</v>
      </c>
      <c r="G460" s="279">
        <v>0</v>
      </c>
      <c r="H460" s="279">
        <v>0</v>
      </c>
      <c r="I460" s="254"/>
      <c r="J460" s="254"/>
      <c r="K460" s="254"/>
      <c r="L460" s="254"/>
      <c r="M460" s="254"/>
      <c r="N460" s="254"/>
      <c r="O460" s="254"/>
      <c r="P460" s="1"/>
    </row>
    <row r="461" spans="2:16" x14ac:dyDescent="0.2">
      <c r="B461" s="255">
        <f>'3. GRI Pricing'!C471</f>
        <v>0</v>
      </c>
      <c r="C461" s="255">
        <f>'3. GRI Pricing'!D471</f>
        <v>0</v>
      </c>
      <c r="D461" s="255">
        <f>'3. GRI Pricing'!E471</f>
        <v>0</v>
      </c>
      <c r="E461" s="256">
        <f>'3. GRI Pricing'!Y471</f>
        <v>0</v>
      </c>
      <c r="F461" s="279">
        <v>0</v>
      </c>
      <c r="G461" s="279">
        <v>0</v>
      </c>
      <c r="H461" s="279">
        <v>0</v>
      </c>
      <c r="I461" s="254"/>
      <c r="J461" s="254"/>
      <c r="K461" s="254"/>
      <c r="L461" s="254"/>
      <c r="M461" s="254"/>
      <c r="N461" s="254"/>
      <c r="O461" s="254"/>
      <c r="P461" s="1"/>
    </row>
    <row r="462" spans="2:16" x14ac:dyDescent="0.2">
      <c r="B462" s="255">
        <f>'3. GRI Pricing'!C472</f>
        <v>0</v>
      </c>
      <c r="C462" s="255">
        <f>'3. GRI Pricing'!D472</f>
        <v>0</v>
      </c>
      <c r="D462" s="255">
        <f>'3. GRI Pricing'!E472</f>
        <v>0</v>
      </c>
      <c r="E462" s="256">
        <f>'3. GRI Pricing'!Y472</f>
        <v>0</v>
      </c>
      <c r="F462" s="279">
        <v>0</v>
      </c>
      <c r="G462" s="279">
        <v>0</v>
      </c>
      <c r="H462" s="279">
        <v>0</v>
      </c>
      <c r="I462" s="254"/>
      <c r="J462" s="254"/>
      <c r="K462" s="254"/>
      <c r="L462" s="254"/>
      <c r="M462" s="254"/>
      <c r="N462" s="254"/>
      <c r="O462" s="254"/>
      <c r="P462" s="1"/>
    </row>
    <row r="463" spans="2:16" x14ac:dyDescent="0.2">
      <c r="B463" s="255">
        <f>'3. GRI Pricing'!C473</f>
        <v>0</v>
      </c>
      <c r="C463" s="255">
        <f>'3. GRI Pricing'!D473</f>
        <v>0</v>
      </c>
      <c r="D463" s="255">
        <f>'3. GRI Pricing'!E473</f>
        <v>0</v>
      </c>
      <c r="E463" s="256">
        <f>'3. GRI Pricing'!Y473</f>
        <v>0</v>
      </c>
      <c r="F463" s="279">
        <v>0</v>
      </c>
      <c r="G463" s="279">
        <v>0</v>
      </c>
      <c r="H463" s="279">
        <v>0</v>
      </c>
      <c r="I463" s="254"/>
      <c r="J463" s="254"/>
      <c r="K463" s="254"/>
      <c r="L463" s="254"/>
      <c r="M463" s="254"/>
      <c r="N463" s="254"/>
      <c r="O463" s="254"/>
      <c r="P463" s="1"/>
    </row>
    <row r="464" spans="2:16" x14ac:dyDescent="0.2">
      <c r="B464" s="255">
        <f>'3. GRI Pricing'!C474</f>
        <v>0</v>
      </c>
      <c r="C464" s="255">
        <f>'3. GRI Pricing'!D474</f>
        <v>0</v>
      </c>
      <c r="D464" s="255">
        <f>'3. GRI Pricing'!E474</f>
        <v>0</v>
      </c>
      <c r="E464" s="256">
        <f>'3. GRI Pricing'!Y474</f>
        <v>0</v>
      </c>
      <c r="F464" s="279">
        <v>0</v>
      </c>
      <c r="G464" s="279">
        <v>0</v>
      </c>
      <c r="H464" s="279">
        <v>0</v>
      </c>
      <c r="I464" s="254"/>
      <c r="J464" s="254"/>
      <c r="K464" s="254"/>
      <c r="L464" s="254"/>
      <c r="M464" s="254"/>
      <c r="N464" s="254"/>
      <c r="O464" s="254"/>
      <c r="P464" s="1"/>
    </row>
    <row r="465" spans="2:16" x14ac:dyDescent="0.2">
      <c r="B465" s="255">
        <f>'3. GRI Pricing'!C475</f>
        <v>0</v>
      </c>
      <c r="C465" s="255">
        <f>'3. GRI Pricing'!D475</f>
        <v>0</v>
      </c>
      <c r="D465" s="255">
        <f>'3. GRI Pricing'!E475</f>
        <v>0</v>
      </c>
      <c r="E465" s="256">
        <f>'3. GRI Pricing'!Y475</f>
        <v>0</v>
      </c>
      <c r="F465" s="279">
        <v>0</v>
      </c>
      <c r="G465" s="279">
        <v>0</v>
      </c>
      <c r="H465" s="279">
        <v>0</v>
      </c>
      <c r="I465" s="254"/>
      <c r="J465" s="254"/>
      <c r="K465" s="254"/>
      <c r="L465" s="254"/>
      <c r="M465" s="254"/>
      <c r="N465" s="254"/>
      <c r="O465" s="254"/>
      <c r="P465" s="1"/>
    </row>
    <row r="466" spans="2:16" x14ac:dyDescent="0.2">
      <c r="B466" s="255">
        <f>'3. GRI Pricing'!C476</f>
        <v>0</v>
      </c>
      <c r="C466" s="255">
        <f>'3. GRI Pricing'!D476</f>
        <v>0</v>
      </c>
      <c r="D466" s="255">
        <f>'3. GRI Pricing'!E476</f>
        <v>0</v>
      </c>
      <c r="E466" s="256">
        <f>'3. GRI Pricing'!Y476</f>
        <v>0</v>
      </c>
      <c r="F466" s="279">
        <v>0</v>
      </c>
      <c r="G466" s="279">
        <v>0</v>
      </c>
      <c r="H466" s="279">
        <v>0</v>
      </c>
      <c r="I466" s="254"/>
      <c r="J466" s="254"/>
      <c r="K466" s="254"/>
      <c r="L466" s="254"/>
      <c r="M466" s="254"/>
      <c r="N466" s="254"/>
      <c r="O466" s="254"/>
      <c r="P466" s="1"/>
    </row>
    <row r="467" spans="2:16" x14ac:dyDescent="0.2">
      <c r="B467" s="255">
        <f>'3. GRI Pricing'!C477</f>
        <v>0</v>
      </c>
      <c r="C467" s="255">
        <f>'3. GRI Pricing'!D477</f>
        <v>0</v>
      </c>
      <c r="D467" s="255">
        <f>'3. GRI Pricing'!E477</f>
        <v>0</v>
      </c>
      <c r="E467" s="256">
        <f>'3. GRI Pricing'!Y477</f>
        <v>0</v>
      </c>
      <c r="F467" s="279">
        <v>0</v>
      </c>
      <c r="G467" s="279">
        <v>0</v>
      </c>
      <c r="H467" s="279">
        <v>0</v>
      </c>
      <c r="I467" s="254"/>
      <c r="J467" s="254"/>
      <c r="K467" s="254"/>
      <c r="L467" s="254"/>
      <c r="M467" s="254"/>
      <c r="N467" s="254"/>
      <c r="O467" s="254"/>
      <c r="P467" s="1"/>
    </row>
    <row r="468" spans="2:16" x14ac:dyDescent="0.2">
      <c r="B468" s="255">
        <f>'3. GRI Pricing'!C478</f>
        <v>0</v>
      </c>
      <c r="C468" s="255">
        <f>'3. GRI Pricing'!D478</f>
        <v>0</v>
      </c>
      <c r="D468" s="255">
        <f>'3. GRI Pricing'!E478</f>
        <v>0</v>
      </c>
      <c r="E468" s="256">
        <f>'3. GRI Pricing'!Y478</f>
        <v>0</v>
      </c>
      <c r="F468" s="279">
        <v>0</v>
      </c>
      <c r="G468" s="279">
        <v>0</v>
      </c>
      <c r="H468" s="279">
        <v>0</v>
      </c>
      <c r="I468" s="254"/>
      <c r="J468" s="254"/>
      <c r="K468" s="254"/>
      <c r="L468" s="254"/>
      <c r="M468" s="254"/>
      <c r="N468" s="254"/>
      <c r="O468" s="254"/>
      <c r="P468" s="1"/>
    </row>
    <row r="469" spans="2:16" x14ac:dyDescent="0.2">
      <c r="B469" s="255">
        <f>'3. GRI Pricing'!C479</f>
        <v>0</v>
      </c>
      <c r="C469" s="255">
        <f>'3. GRI Pricing'!D479</f>
        <v>0</v>
      </c>
      <c r="D469" s="255">
        <f>'3. GRI Pricing'!E479</f>
        <v>0</v>
      </c>
      <c r="E469" s="256">
        <f>'3. GRI Pricing'!Y479</f>
        <v>0</v>
      </c>
      <c r="F469" s="279">
        <v>0</v>
      </c>
      <c r="G469" s="279">
        <v>0</v>
      </c>
      <c r="H469" s="279">
        <v>0</v>
      </c>
      <c r="I469" s="254"/>
      <c r="J469" s="254"/>
      <c r="K469" s="254"/>
      <c r="L469" s="254"/>
      <c r="M469" s="254"/>
      <c r="N469" s="254"/>
      <c r="O469" s="254"/>
      <c r="P469" s="1"/>
    </row>
    <row r="470" spans="2:16" x14ac:dyDescent="0.2">
      <c r="B470" s="255">
        <f>'3. GRI Pricing'!C480</f>
        <v>0</v>
      </c>
      <c r="C470" s="255">
        <f>'3. GRI Pricing'!D480</f>
        <v>0</v>
      </c>
      <c r="D470" s="255">
        <f>'3. GRI Pricing'!E480</f>
        <v>0</v>
      </c>
      <c r="E470" s="256">
        <f>'3. GRI Pricing'!Y480</f>
        <v>0</v>
      </c>
      <c r="F470" s="279">
        <v>0</v>
      </c>
      <c r="G470" s="279">
        <v>0</v>
      </c>
      <c r="H470" s="279">
        <v>0</v>
      </c>
      <c r="I470" s="254"/>
      <c r="J470" s="254"/>
      <c r="K470" s="254"/>
      <c r="L470" s="254"/>
      <c r="M470" s="254"/>
      <c r="N470" s="254"/>
      <c r="O470" s="254"/>
      <c r="P470" s="1"/>
    </row>
    <row r="471" spans="2:16" x14ac:dyDescent="0.2">
      <c r="B471" s="255">
        <f>'3. GRI Pricing'!C481</f>
        <v>0</v>
      </c>
      <c r="C471" s="255">
        <f>'3. GRI Pricing'!D481</f>
        <v>0</v>
      </c>
      <c r="D471" s="255">
        <f>'3. GRI Pricing'!E481</f>
        <v>0</v>
      </c>
      <c r="E471" s="256">
        <f>'3. GRI Pricing'!Y481</f>
        <v>0</v>
      </c>
      <c r="F471" s="279">
        <v>0</v>
      </c>
      <c r="G471" s="279">
        <v>0</v>
      </c>
      <c r="H471" s="279">
        <v>0</v>
      </c>
      <c r="I471" s="254"/>
      <c r="J471" s="254"/>
      <c r="K471" s="254"/>
      <c r="L471" s="254"/>
      <c r="M471" s="254"/>
      <c r="N471" s="254"/>
      <c r="O471" s="254"/>
      <c r="P471" s="1"/>
    </row>
    <row r="472" spans="2:16" x14ac:dyDescent="0.2">
      <c r="B472" s="255">
        <f>'3. GRI Pricing'!C482</f>
        <v>0</v>
      </c>
      <c r="C472" s="255">
        <f>'3. GRI Pricing'!D482</f>
        <v>0</v>
      </c>
      <c r="D472" s="255">
        <f>'3. GRI Pricing'!E482</f>
        <v>0</v>
      </c>
      <c r="E472" s="256">
        <f>'3. GRI Pricing'!Y482</f>
        <v>0</v>
      </c>
      <c r="F472" s="279">
        <v>0</v>
      </c>
      <c r="G472" s="279">
        <v>0</v>
      </c>
      <c r="H472" s="279">
        <v>0</v>
      </c>
      <c r="I472" s="254"/>
      <c r="J472" s="254"/>
      <c r="K472" s="254"/>
      <c r="L472" s="254"/>
      <c r="M472" s="254"/>
      <c r="N472" s="254"/>
      <c r="O472" s="254"/>
      <c r="P472" s="1"/>
    </row>
    <row r="473" spans="2:16" x14ac:dyDescent="0.2">
      <c r="B473" s="255">
        <f>'3. GRI Pricing'!C483</f>
        <v>0</v>
      </c>
      <c r="C473" s="255">
        <f>'3. GRI Pricing'!D483</f>
        <v>0</v>
      </c>
      <c r="D473" s="255">
        <f>'3. GRI Pricing'!E483</f>
        <v>0</v>
      </c>
      <c r="E473" s="256">
        <f>'3. GRI Pricing'!Y483</f>
        <v>0</v>
      </c>
      <c r="F473" s="279">
        <v>0</v>
      </c>
      <c r="G473" s="279">
        <v>0</v>
      </c>
      <c r="H473" s="279">
        <v>0</v>
      </c>
      <c r="I473" s="254"/>
      <c r="J473" s="254"/>
      <c r="K473" s="254"/>
      <c r="L473" s="254"/>
      <c r="M473" s="254"/>
      <c r="N473" s="254"/>
      <c r="O473" s="254"/>
      <c r="P473" s="1"/>
    </row>
    <row r="474" spans="2:16" x14ac:dyDescent="0.2">
      <c r="B474" s="255">
        <f>'3. GRI Pricing'!C484</f>
        <v>0</v>
      </c>
      <c r="C474" s="255">
        <f>'3. GRI Pricing'!D484</f>
        <v>0</v>
      </c>
      <c r="D474" s="255">
        <f>'3. GRI Pricing'!E484</f>
        <v>0</v>
      </c>
      <c r="E474" s="256">
        <f>'3. GRI Pricing'!Y484</f>
        <v>0</v>
      </c>
      <c r="F474" s="279">
        <v>0</v>
      </c>
      <c r="G474" s="279">
        <v>0</v>
      </c>
      <c r="H474" s="279">
        <v>0</v>
      </c>
      <c r="I474" s="254"/>
      <c r="J474" s="254"/>
      <c r="K474" s="254"/>
      <c r="L474" s="254"/>
      <c r="M474" s="254"/>
      <c r="N474" s="254"/>
      <c r="O474" s="254"/>
      <c r="P474" s="1"/>
    </row>
    <row r="475" spans="2:16" x14ac:dyDescent="0.2">
      <c r="B475" s="255">
        <f>'3. GRI Pricing'!C485</f>
        <v>0</v>
      </c>
      <c r="C475" s="255">
        <f>'3. GRI Pricing'!D485</f>
        <v>0</v>
      </c>
      <c r="D475" s="255">
        <f>'3. GRI Pricing'!E485</f>
        <v>0</v>
      </c>
      <c r="E475" s="256">
        <f>'3. GRI Pricing'!Y485</f>
        <v>0</v>
      </c>
      <c r="F475" s="279">
        <v>0</v>
      </c>
      <c r="G475" s="279">
        <v>0</v>
      </c>
      <c r="H475" s="279">
        <v>0</v>
      </c>
      <c r="I475" s="254"/>
      <c r="J475" s="254"/>
      <c r="K475" s="254"/>
      <c r="L475" s="254"/>
      <c r="M475" s="254"/>
      <c r="N475" s="254"/>
      <c r="O475" s="254"/>
      <c r="P475" s="1"/>
    </row>
    <row r="476" spans="2:16" x14ac:dyDescent="0.2">
      <c r="B476" s="255">
        <f>'3. GRI Pricing'!C486</f>
        <v>0</v>
      </c>
      <c r="C476" s="255">
        <f>'3. GRI Pricing'!D486</f>
        <v>0</v>
      </c>
      <c r="D476" s="255">
        <f>'3. GRI Pricing'!E486</f>
        <v>0</v>
      </c>
      <c r="E476" s="256">
        <f>'3. GRI Pricing'!Y486</f>
        <v>0</v>
      </c>
      <c r="F476" s="279">
        <v>0</v>
      </c>
      <c r="G476" s="279">
        <v>0</v>
      </c>
      <c r="H476" s="279">
        <v>0</v>
      </c>
      <c r="I476" s="254"/>
      <c r="J476" s="254"/>
      <c r="K476" s="254"/>
      <c r="L476" s="254"/>
      <c r="M476" s="254"/>
      <c r="N476" s="254"/>
      <c r="O476" s="254"/>
      <c r="P476" s="1"/>
    </row>
    <row r="477" spans="2:16" x14ac:dyDescent="0.2">
      <c r="B477" s="255">
        <f>'3. GRI Pricing'!C487</f>
        <v>0</v>
      </c>
      <c r="C477" s="255">
        <f>'3. GRI Pricing'!D487</f>
        <v>0</v>
      </c>
      <c r="D477" s="255">
        <f>'3. GRI Pricing'!E487</f>
        <v>0</v>
      </c>
      <c r="E477" s="256">
        <f>'3. GRI Pricing'!Y487</f>
        <v>0</v>
      </c>
      <c r="F477" s="279">
        <v>0</v>
      </c>
      <c r="G477" s="279">
        <v>0</v>
      </c>
      <c r="H477" s="279">
        <v>0</v>
      </c>
      <c r="I477" s="254"/>
      <c r="J477" s="254"/>
      <c r="K477" s="254"/>
      <c r="L477" s="254"/>
      <c r="M477" s="254"/>
      <c r="N477" s="254"/>
      <c r="O477" s="254"/>
      <c r="P477" s="1"/>
    </row>
    <row r="478" spans="2:16" x14ac:dyDescent="0.2">
      <c r="B478" s="255">
        <f>'3. GRI Pricing'!C488</f>
        <v>0</v>
      </c>
      <c r="C478" s="255">
        <f>'3. GRI Pricing'!D488</f>
        <v>0</v>
      </c>
      <c r="D478" s="255">
        <f>'3. GRI Pricing'!E488</f>
        <v>0</v>
      </c>
      <c r="E478" s="256">
        <f>'3. GRI Pricing'!Y488</f>
        <v>0</v>
      </c>
      <c r="F478" s="279">
        <v>0</v>
      </c>
      <c r="G478" s="279">
        <v>0</v>
      </c>
      <c r="H478" s="279">
        <v>0</v>
      </c>
      <c r="I478" s="254"/>
      <c r="J478" s="254"/>
      <c r="K478" s="254"/>
      <c r="L478" s="254"/>
      <c r="M478" s="254"/>
      <c r="N478" s="254"/>
      <c r="O478" s="254"/>
      <c r="P478" s="1"/>
    </row>
    <row r="479" spans="2:16" x14ac:dyDescent="0.2">
      <c r="B479" s="255">
        <f>'3. GRI Pricing'!C489</f>
        <v>0</v>
      </c>
      <c r="C479" s="255">
        <f>'3. GRI Pricing'!D489</f>
        <v>0</v>
      </c>
      <c r="D479" s="255">
        <f>'3. GRI Pricing'!E489</f>
        <v>0</v>
      </c>
      <c r="E479" s="256">
        <f>'3. GRI Pricing'!Y489</f>
        <v>0</v>
      </c>
      <c r="F479" s="279">
        <v>0</v>
      </c>
      <c r="G479" s="279">
        <v>0</v>
      </c>
      <c r="H479" s="279">
        <v>0</v>
      </c>
      <c r="I479" s="254"/>
      <c r="J479" s="254"/>
      <c r="K479" s="254"/>
      <c r="L479" s="254"/>
      <c r="M479" s="254"/>
      <c r="N479" s="254"/>
      <c r="O479" s="254"/>
      <c r="P479" s="1"/>
    </row>
    <row r="480" spans="2:16" x14ac:dyDescent="0.2">
      <c r="B480" s="255">
        <f>'3. GRI Pricing'!C490</f>
        <v>0</v>
      </c>
      <c r="C480" s="255">
        <f>'3. GRI Pricing'!D490</f>
        <v>0</v>
      </c>
      <c r="D480" s="255">
        <f>'3. GRI Pricing'!E490</f>
        <v>0</v>
      </c>
      <c r="E480" s="256">
        <f>'3. GRI Pricing'!Y490</f>
        <v>0</v>
      </c>
      <c r="F480" s="279">
        <v>0</v>
      </c>
      <c r="G480" s="279">
        <v>0</v>
      </c>
      <c r="H480" s="279">
        <v>0</v>
      </c>
      <c r="I480" s="254"/>
      <c r="J480" s="254"/>
      <c r="K480" s="254"/>
      <c r="L480" s="254"/>
      <c r="M480" s="254"/>
      <c r="N480" s="254"/>
      <c r="O480" s="254"/>
      <c r="P480" s="1"/>
    </row>
    <row r="481" spans="2:16" x14ac:dyDescent="0.2">
      <c r="B481" s="255">
        <f>'3. GRI Pricing'!C491</f>
        <v>0</v>
      </c>
      <c r="C481" s="255">
        <f>'3. GRI Pricing'!D491</f>
        <v>0</v>
      </c>
      <c r="D481" s="255">
        <f>'3. GRI Pricing'!E491</f>
        <v>0</v>
      </c>
      <c r="E481" s="256">
        <f>'3. GRI Pricing'!Y491</f>
        <v>0</v>
      </c>
      <c r="F481" s="279">
        <v>0</v>
      </c>
      <c r="G481" s="279">
        <v>0</v>
      </c>
      <c r="H481" s="279">
        <v>0</v>
      </c>
      <c r="I481" s="254"/>
      <c r="J481" s="254"/>
      <c r="K481" s="254"/>
      <c r="L481" s="254"/>
      <c r="M481" s="254"/>
      <c r="N481" s="254"/>
      <c r="O481" s="254"/>
      <c r="P481" s="1"/>
    </row>
    <row r="482" spans="2:16" x14ac:dyDescent="0.2">
      <c r="B482" s="255">
        <f>'3. GRI Pricing'!C492</f>
        <v>0</v>
      </c>
      <c r="C482" s="255">
        <f>'3. GRI Pricing'!D492</f>
        <v>0</v>
      </c>
      <c r="D482" s="255">
        <f>'3. GRI Pricing'!E492</f>
        <v>0</v>
      </c>
      <c r="E482" s="256">
        <f>'3. GRI Pricing'!Y492</f>
        <v>0</v>
      </c>
      <c r="F482" s="279">
        <v>0</v>
      </c>
      <c r="G482" s="279">
        <v>0</v>
      </c>
      <c r="H482" s="279">
        <v>0</v>
      </c>
      <c r="I482" s="254"/>
      <c r="J482" s="254"/>
      <c r="K482" s="254"/>
      <c r="L482" s="254"/>
      <c r="M482" s="254"/>
      <c r="N482" s="254"/>
      <c r="O482" s="254"/>
      <c r="P482" s="1"/>
    </row>
    <row r="483" spans="2:16" x14ac:dyDescent="0.2">
      <c r="B483" s="255">
        <f>'3. GRI Pricing'!C493</f>
        <v>0</v>
      </c>
      <c r="C483" s="255">
        <f>'3. GRI Pricing'!D493</f>
        <v>0</v>
      </c>
      <c r="D483" s="255">
        <f>'3. GRI Pricing'!E493</f>
        <v>0</v>
      </c>
      <c r="E483" s="256">
        <f>'3. GRI Pricing'!Y493</f>
        <v>0</v>
      </c>
      <c r="F483" s="279">
        <v>0</v>
      </c>
      <c r="G483" s="279">
        <v>0</v>
      </c>
      <c r="H483" s="279">
        <v>0</v>
      </c>
      <c r="I483" s="254"/>
      <c r="J483" s="254"/>
      <c r="K483" s="254"/>
      <c r="L483" s="254"/>
      <c r="M483" s="254"/>
      <c r="N483" s="254"/>
      <c r="O483" s="254"/>
      <c r="P483" s="1"/>
    </row>
    <row r="484" spans="2:16" x14ac:dyDescent="0.2">
      <c r="B484" s="255">
        <f>'3. GRI Pricing'!C494</f>
        <v>0</v>
      </c>
      <c r="C484" s="255">
        <f>'3. GRI Pricing'!D494</f>
        <v>0</v>
      </c>
      <c r="D484" s="255">
        <f>'3. GRI Pricing'!E494</f>
        <v>0</v>
      </c>
      <c r="E484" s="256">
        <f>'3. GRI Pricing'!Y494</f>
        <v>0</v>
      </c>
      <c r="F484" s="279">
        <v>0</v>
      </c>
      <c r="G484" s="279">
        <v>0</v>
      </c>
      <c r="H484" s="279">
        <v>0</v>
      </c>
      <c r="I484" s="254"/>
      <c r="J484" s="254"/>
      <c r="K484" s="254"/>
      <c r="L484" s="254"/>
      <c r="M484" s="254"/>
      <c r="N484" s="254"/>
      <c r="O484" s="254"/>
      <c r="P484" s="1"/>
    </row>
    <row r="485" spans="2:16" x14ac:dyDescent="0.2">
      <c r="B485" s="255">
        <f>'3. GRI Pricing'!C495</f>
        <v>0</v>
      </c>
      <c r="C485" s="255">
        <f>'3. GRI Pricing'!D495</f>
        <v>0</v>
      </c>
      <c r="D485" s="255">
        <f>'3. GRI Pricing'!E495</f>
        <v>0</v>
      </c>
      <c r="E485" s="256">
        <f>'3. GRI Pricing'!Y495</f>
        <v>0</v>
      </c>
      <c r="F485" s="279">
        <v>0</v>
      </c>
      <c r="G485" s="279">
        <v>0</v>
      </c>
      <c r="H485" s="279">
        <v>0</v>
      </c>
      <c r="I485" s="254"/>
      <c r="J485" s="254"/>
      <c r="K485" s="254"/>
      <c r="L485" s="254"/>
      <c r="M485" s="254"/>
      <c r="N485" s="254"/>
      <c r="O485" s="254"/>
      <c r="P485" s="1"/>
    </row>
    <row r="486" spans="2:16" x14ac:dyDescent="0.2">
      <c r="B486" s="255">
        <f>'3. GRI Pricing'!C496</f>
        <v>0</v>
      </c>
      <c r="C486" s="255">
        <f>'3. GRI Pricing'!D496</f>
        <v>0</v>
      </c>
      <c r="D486" s="255">
        <f>'3. GRI Pricing'!E496</f>
        <v>0</v>
      </c>
      <c r="E486" s="256">
        <f>'3. GRI Pricing'!Y496</f>
        <v>0</v>
      </c>
      <c r="F486" s="279">
        <v>0</v>
      </c>
      <c r="G486" s="279">
        <v>0</v>
      </c>
      <c r="H486" s="279">
        <v>0</v>
      </c>
      <c r="I486" s="254"/>
      <c r="J486" s="254"/>
      <c r="K486" s="254"/>
      <c r="L486" s="254"/>
      <c r="M486" s="254"/>
      <c r="N486" s="254"/>
      <c r="O486" s="254"/>
      <c r="P486" s="1"/>
    </row>
    <row r="487" spans="2:16" x14ac:dyDescent="0.2">
      <c r="B487" s="255">
        <f>'3. GRI Pricing'!C497</f>
        <v>0</v>
      </c>
      <c r="C487" s="255">
        <f>'3. GRI Pricing'!D497</f>
        <v>0</v>
      </c>
      <c r="D487" s="255">
        <f>'3. GRI Pricing'!E497</f>
        <v>0</v>
      </c>
      <c r="E487" s="256">
        <f>'3. GRI Pricing'!Y497</f>
        <v>0</v>
      </c>
      <c r="F487" s="279">
        <v>0</v>
      </c>
      <c r="G487" s="279">
        <v>0</v>
      </c>
      <c r="H487" s="279">
        <v>0</v>
      </c>
      <c r="I487" s="254"/>
      <c r="J487" s="254"/>
      <c r="K487" s="254"/>
      <c r="L487" s="254"/>
      <c r="M487" s="254"/>
      <c r="N487" s="254"/>
      <c r="O487" s="254"/>
      <c r="P487" s="1"/>
    </row>
    <row r="488" spans="2:16" x14ac:dyDescent="0.2">
      <c r="B488" s="255">
        <f>'3. GRI Pricing'!C498</f>
        <v>0</v>
      </c>
      <c r="C488" s="255">
        <f>'3. GRI Pricing'!D498</f>
        <v>0</v>
      </c>
      <c r="D488" s="255">
        <f>'3. GRI Pricing'!E498</f>
        <v>0</v>
      </c>
      <c r="E488" s="256">
        <f>'3. GRI Pricing'!Y498</f>
        <v>0</v>
      </c>
      <c r="F488" s="279">
        <v>0</v>
      </c>
      <c r="G488" s="279">
        <v>0</v>
      </c>
      <c r="H488" s="279">
        <v>0</v>
      </c>
      <c r="I488" s="254"/>
      <c r="J488" s="254"/>
      <c r="K488" s="254"/>
      <c r="L488" s="254"/>
      <c r="M488" s="254"/>
      <c r="N488" s="254"/>
      <c r="O488" s="254"/>
      <c r="P488" s="1"/>
    </row>
    <row r="489" spans="2:16" x14ac:dyDescent="0.2">
      <c r="B489" s="255">
        <f>'3. GRI Pricing'!C499</f>
        <v>0</v>
      </c>
      <c r="C489" s="255">
        <f>'3. GRI Pricing'!D499</f>
        <v>0</v>
      </c>
      <c r="D489" s="255">
        <f>'3. GRI Pricing'!E499</f>
        <v>0</v>
      </c>
      <c r="E489" s="256">
        <f>'3. GRI Pricing'!Y499</f>
        <v>0</v>
      </c>
      <c r="F489" s="279">
        <v>0</v>
      </c>
      <c r="G489" s="279">
        <v>0</v>
      </c>
      <c r="H489" s="279">
        <v>0</v>
      </c>
      <c r="I489" s="254"/>
      <c r="J489" s="254"/>
      <c r="K489" s="254"/>
      <c r="L489" s="254"/>
      <c r="M489" s="254"/>
      <c r="N489" s="254"/>
      <c r="O489" s="254"/>
      <c r="P489" s="1"/>
    </row>
    <row r="490" spans="2:16" x14ac:dyDescent="0.2">
      <c r="B490" s="255">
        <f>'3. GRI Pricing'!C500</f>
        <v>0</v>
      </c>
      <c r="C490" s="255">
        <f>'3. GRI Pricing'!D500</f>
        <v>0</v>
      </c>
      <c r="D490" s="255">
        <f>'3. GRI Pricing'!E500</f>
        <v>0</v>
      </c>
      <c r="E490" s="256">
        <f>'3. GRI Pricing'!Y500</f>
        <v>0</v>
      </c>
      <c r="F490" s="279">
        <v>0</v>
      </c>
      <c r="G490" s="279">
        <v>0</v>
      </c>
      <c r="H490" s="279">
        <v>0</v>
      </c>
      <c r="I490" s="254"/>
      <c r="J490" s="254"/>
      <c r="K490" s="254"/>
      <c r="L490" s="254"/>
      <c r="M490" s="254"/>
      <c r="N490" s="254"/>
      <c r="O490" s="254"/>
      <c r="P490" s="1"/>
    </row>
    <row r="491" spans="2:16" x14ac:dyDescent="0.2">
      <c r="B491" s="255">
        <f>'3. GRI Pricing'!C501</f>
        <v>0</v>
      </c>
      <c r="C491" s="255">
        <f>'3. GRI Pricing'!D501</f>
        <v>0</v>
      </c>
      <c r="D491" s="255">
        <f>'3. GRI Pricing'!E501</f>
        <v>0</v>
      </c>
      <c r="E491" s="256">
        <f>'3. GRI Pricing'!Y501</f>
        <v>0</v>
      </c>
      <c r="F491" s="279">
        <v>0</v>
      </c>
      <c r="G491" s="279">
        <v>0</v>
      </c>
      <c r="H491" s="279">
        <v>0</v>
      </c>
      <c r="I491" s="254"/>
      <c r="J491" s="254"/>
      <c r="K491" s="254"/>
      <c r="L491" s="254"/>
      <c r="M491" s="254"/>
      <c r="N491" s="254"/>
      <c r="O491" s="254"/>
      <c r="P491" s="1"/>
    </row>
    <row r="492" spans="2:16" x14ac:dyDescent="0.2">
      <c r="B492" s="255">
        <f>'3. GRI Pricing'!C502</f>
        <v>0</v>
      </c>
      <c r="C492" s="255">
        <f>'3. GRI Pricing'!D502</f>
        <v>0</v>
      </c>
      <c r="D492" s="255">
        <f>'3. GRI Pricing'!E502</f>
        <v>0</v>
      </c>
      <c r="E492" s="256">
        <f>'3. GRI Pricing'!Y502</f>
        <v>0</v>
      </c>
      <c r="F492" s="279">
        <v>0</v>
      </c>
      <c r="G492" s="279">
        <v>0</v>
      </c>
      <c r="H492" s="279">
        <v>0</v>
      </c>
      <c r="I492" s="254"/>
      <c r="J492" s="254"/>
      <c r="K492" s="254"/>
      <c r="L492" s="254"/>
      <c r="M492" s="254"/>
      <c r="N492" s="254"/>
      <c r="O492" s="254"/>
      <c r="P492" s="1"/>
    </row>
    <row r="493" spans="2:16" x14ac:dyDescent="0.2">
      <c r="B493" s="255">
        <f>'3. GRI Pricing'!C503</f>
        <v>0</v>
      </c>
      <c r="C493" s="255">
        <f>'3. GRI Pricing'!D503</f>
        <v>0</v>
      </c>
      <c r="D493" s="255">
        <f>'3. GRI Pricing'!E503</f>
        <v>0</v>
      </c>
      <c r="E493" s="256">
        <f>'3. GRI Pricing'!Y503</f>
        <v>0</v>
      </c>
      <c r="F493" s="279">
        <v>0</v>
      </c>
      <c r="G493" s="279">
        <v>0</v>
      </c>
      <c r="H493" s="279">
        <v>0</v>
      </c>
      <c r="I493" s="254"/>
      <c r="J493" s="254"/>
      <c r="K493" s="254"/>
      <c r="L493" s="254"/>
      <c r="M493" s="254"/>
      <c r="N493" s="254"/>
      <c r="O493" s="254"/>
      <c r="P493" s="1"/>
    </row>
    <row r="494" spans="2:16" x14ac:dyDescent="0.2">
      <c r="B494" s="255">
        <f>'3. GRI Pricing'!C504</f>
        <v>0</v>
      </c>
      <c r="C494" s="255">
        <f>'3. GRI Pricing'!D504</f>
        <v>0</v>
      </c>
      <c r="D494" s="255">
        <f>'3. GRI Pricing'!E504</f>
        <v>0</v>
      </c>
      <c r="E494" s="256">
        <f>'3. GRI Pricing'!Y504</f>
        <v>0</v>
      </c>
      <c r="F494" s="279">
        <v>0</v>
      </c>
      <c r="G494" s="279">
        <v>0</v>
      </c>
      <c r="H494" s="279">
        <v>0</v>
      </c>
      <c r="I494" s="254"/>
      <c r="J494" s="254"/>
      <c r="K494" s="254"/>
      <c r="L494" s="254"/>
      <c r="M494" s="254"/>
      <c r="N494" s="254"/>
      <c r="O494" s="254"/>
      <c r="P494" s="1"/>
    </row>
    <row r="495" spans="2:16" x14ac:dyDescent="0.2">
      <c r="B495" s="255">
        <f>'3. GRI Pricing'!C505</f>
        <v>0</v>
      </c>
      <c r="C495" s="255">
        <f>'3. GRI Pricing'!D505</f>
        <v>0</v>
      </c>
      <c r="D495" s="255">
        <f>'3. GRI Pricing'!E505</f>
        <v>0</v>
      </c>
      <c r="E495" s="256">
        <f>'3. GRI Pricing'!Y505</f>
        <v>0</v>
      </c>
      <c r="F495" s="279">
        <v>0</v>
      </c>
      <c r="G495" s="279">
        <v>0</v>
      </c>
      <c r="H495" s="279">
        <v>0</v>
      </c>
      <c r="I495" s="254"/>
      <c r="J495" s="254"/>
      <c r="K495" s="254"/>
      <c r="L495" s="254"/>
      <c r="M495" s="254"/>
      <c r="N495" s="254"/>
      <c r="O495" s="254"/>
      <c r="P495" s="1"/>
    </row>
    <row r="496" spans="2:16" x14ac:dyDescent="0.2">
      <c r="B496" s="255">
        <f>'3. GRI Pricing'!C506</f>
        <v>0</v>
      </c>
      <c r="C496" s="255">
        <f>'3. GRI Pricing'!D506</f>
        <v>0</v>
      </c>
      <c r="D496" s="255">
        <f>'3. GRI Pricing'!E506</f>
        <v>0</v>
      </c>
      <c r="E496" s="256">
        <f>'3. GRI Pricing'!Y506</f>
        <v>0</v>
      </c>
      <c r="F496" s="279">
        <v>0</v>
      </c>
      <c r="G496" s="279">
        <v>0</v>
      </c>
      <c r="H496" s="279">
        <v>0</v>
      </c>
      <c r="I496" s="254"/>
      <c r="J496" s="254"/>
      <c r="K496" s="254"/>
      <c r="L496" s="254"/>
      <c r="M496" s="254"/>
      <c r="N496" s="254"/>
      <c r="O496" s="254"/>
      <c r="P496" s="1"/>
    </row>
    <row r="497" spans="2:16" x14ac:dyDescent="0.2">
      <c r="B497" s="255">
        <f>'3. GRI Pricing'!C507</f>
        <v>0</v>
      </c>
      <c r="C497" s="255">
        <f>'3. GRI Pricing'!D507</f>
        <v>0</v>
      </c>
      <c r="D497" s="255">
        <f>'3. GRI Pricing'!E507</f>
        <v>0</v>
      </c>
      <c r="E497" s="256">
        <f>'3. GRI Pricing'!Y507</f>
        <v>0</v>
      </c>
      <c r="F497" s="279">
        <v>0</v>
      </c>
      <c r="G497" s="279">
        <v>0</v>
      </c>
      <c r="H497" s="279">
        <v>0</v>
      </c>
      <c r="I497" s="254"/>
      <c r="J497" s="254"/>
      <c r="K497" s="254"/>
      <c r="L497" s="254"/>
      <c r="M497" s="254"/>
      <c r="N497" s="254"/>
      <c r="O497" s="254"/>
      <c r="P497" s="1"/>
    </row>
    <row r="498" spans="2:16" x14ac:dyDescent="0.2">
      <c r="B498" s="255">
        <f>'3. GRI Pricing'!C508</f>
        <v>0</v>
      </c>
      <c r="C498" s="255">
        <f>'3. GRI Pricing'!D508</f>
        <v>0</v>
      </c>
      <c r="D498" s="255">
        <f>'3. GRI Pricing'!E508</f>
        <v>0</v>
      </c>
      <c r="E498" s="256">
        <f>'3. GRI Pricing'!Y508</f>
        <v>0</v>
      </c>
      <c r="F498" s="279">
        <v>0</v>
      </c>
      <c r="G498" s="279">
        <v>0</v>
      </c>
      <c r="H498" s="279">
        <v>0</v>
      </c>
      <c r="I498" s="254"/>
      <c r="J498" s="254"/>
      <c r="K498" s="254"/>
      <c r="L498" s="254"/>
      <c r="M498" s="254"/>
      <c r="N498" s="254"/>
      <c r="O498" s="254"/>
      <c r="P498" s="1"/>
    </row>
    <row r="499" spans="2:16" x14ac:dyDescent="0.2">
      <c r="B499" s="255">
        <f>'3. GRI Pricing'!C509</f>
        <v>0</v>
      </c>
      <c r="C499" s="255">
        <f>'3. GRI Pricing'!D509</f>
        <v>0</v>
      </c>
      <c r="D499" s="255">
        <f>'3. GRI Pricing'!E509</f>
        <v>0</v>
      </c>
      <c r="E499" s="256">
        <f>'3. GRI Pricing'!Y509</f>
        <v>0</v>
      </c>
      <c r="F499" s="279">
        <v>0</v>
      </c>
      <c r="G499" s="279">
        <v>0</v>
      </c>
      <c r="H499" s="279">
        <v>0</v>
      </c>
      <c r="I499" s="254"/>
      <c r="J499" s="254"/>
      <c r="K499" s="254"/>
      <c r="L499" s="254"/>
      <c r="M499" s="254"/>
      <c r="N499" s="254"/>
      <c r="O499" s="254"/>
      <c r="P499" s="1"/>
    </row>
    <row r="500" spans="2:16" x14ac:dyDescent="0.2">
      <c r="B500" s="255">
        <f>'3. GRI Pricing'!C510</f>
        <v>0</v>
      </c>
      <c r="C500" s="255">
        <f>'3. GRI Pricing'!D510</f>
        <v>0</v>
      </c>
      <c r="D500" s="255">
        <f>'3. GRI Pricing'!E510</f>
        <v>0</v>
      </c>
      <c r="E500" s="256">
        <f>'3. GRI Pricing'!Y510</f>
        <v>0</v>
      </c>
      <c r="F500" s="279">
        <v>0</v>
      </c>
      <c r="G500" s="279">
        <v>0</v>
      </c>
      <c r="H500" s="279">
        <v>0</v>
      </c>
      <c r="I500" s="254"/>
      <c r="J500" s="254"/>
      <c r="K500" s="254"/>
      <c r="L500" s="254"/>
      <c r="M500" s="254"/>
      <c r="N500" s="254"/>
      <c r="O500" s="254"/>
      <c r="P500" s="1"/>
    </row>
    <row r="501" spans="2:16" x14ac:dyDescent="0.2">
      <c r="B501" s="255">
        <f>'3. GRI Pricing'!C511</f>
        <v>0</v>
      </c>
      <c r="C501" s="255">
        <f>'3. GRI Pricing'!D511</f>
        <v>0</v>
      </c>
      <c r="D501" s="255">
        <f>'3. GRI Pricing'!E511</f>
        <v>0</v>
      </c>
      <c r="E501" s="256">
        <f>'3. GRI Pricing'!Y511</f>
        <v>0</v>
      </c>
      <c r="F501" s="279">
        <v>0</v>
      </c>
      <c r="G501" s="279">
        <v>0</v>
      </c>
      <c r="H501" s="279">
        <v>0</v>
      </c>
      <c r="I501" s="254"/>
      <c r="J501" s="254"/>
      <c r="K501" s="254"/>
      <c r="L501" s="254"/>
      <c r="M501" s="254"/>
      <c r="N501" s="254"/>
      <c r="O501" s="254"/>
      <c r="P501" s="1"/>
    </row>
    <row r="502" spans="2:16" x14ac:dyDescent="0.2">
      <c r="B502" s="255">
        <f>'3. GRI Pricing'!C512</f>
        <v>0</v>
      </c>
      <c r="C502" s="255">
        <f>'3. GRI Pricing'!D512</f>
        <v>0</v>
      </c>
      <c r="D502" s="255">
        <f>'3. GRI Pricing'!E512</f>
        <v>0</v>
      </c>
      <c r="E502" s="256">
        <f>'3. GRI Pricing'!Y512</f>
        <v>0</v>
      </c>
      <c r="F502" s="279">
        <v>0</v>
      </c>
      <c r="G502" s="279">
        <v>0</v>
      </c>
      <c r="H502" s="279">
        <v>0</v>
      </c>
      <c r="I502" s="254"/>
      <c r="J502" s="254"/>
      <c r="K502" s="254"/>
      <c r="L502" s="254"/>
      <c r="M502" s="254"/>
      <c r="N502" s="254"/>
      <c r="O502" s="254"/>
      <c r="P502" s="1"/>
    </row>
    <row r="503" spans="2:16" x14ac:dyDescent="0.2">
      <c r="B503" s="255">
        <f>'3. GRI Pricing'!C513</f>
        <v>0</v>
      </c>
      <c r="C503" s="255">
        <f>'3. GRI Pricing'!D513</f>
        <v>0</v>
      </c>
      <c r="D503" s="255">
        <f>'3. GRI Pricing'!E513</f>
        <v>0</v>
      </c>
      <c r="E503" s="256">
        <f>'3. GRI Pricing'!Y513</f>
        <v>0</v>
      </c>
      <c r="F503" s="279">
        <v>0</v>
      </c>
      <c r="G503" s="279">
        <v>0</v>
      </c>
      <c r="H503" s="279">
        <v>0</v>
      </c>
      <c r="I503" s="254"/>
      <c r="J503" s="254"/>
      <c r="K503" s="254"/>
      <c r="L503" s="254"/>
      <c r="M503" s="254"/>
      <c r="N503" s="254"/>
      <c r="O503" s="254"/>
      <c r="P503" s="1"/>
    </row>
    <row r="504" spans="2:16" x14ac:dyDescent="0.2">
      <c r="B504" s="255">
        <f>'3. GRI Pricing'!C514</f>
        <v>0</v>
      </c>
      <c r="C504" s="255">
        <f>'3. GRI Pricing'!D514</f>
        <v>0</v>
      </c>
      <c r="D504" s="255">
        <f>'3. GRI Pricing'!E514</f>
        <v>0</v>
      </c>
      <c r="E504" s="256">
        <f>'3. GRI Pricing'!Y514</f>
        <v>0</v>
      </c>
      <c r="F504" s="279">
        <v>0</v>
      </c>
      <c r="G504" s="279">
        <v>0</v>
      </c>
      <c r="H504" s="279">
        <v>0</v>
      </c>
      <c r="I504" s="254"/>
      <c r="J504" s="254"/>
      <c r="K504" s="254"/>
      <c r="L504" s="254"/>
      <c r="M504" s="254"/>
      <c r="N504" s="254"/>
      <c r="O504" s="254"/>
      <c r="P504" s="1"/>
    </row>
    <row r="505" spans="2:16" x14ac:dyDescent="0.2">
      <c r="B505" s="255">
        <f>'3. GRI Pricing'!C515</f>
        <v>0</v>
      </c>
      <c r="C505" s="255">
        <f>'3. GRI Pricing'!D515</f>
        <v>0</v>
      </c>
      <c r="D505" s="255">
        <f>'3. GRI Pricing'!E515</f>
        <v>0</v>
      </c>
      <c r="E505" s="256">
        <f>'3. GRI Pricing'!Y515</f>
        <v>0</v>
      </c>
      <c r="F505" s="279">
        <v>0</v>
      </c>
      <c r="G505" s="279">
        <v>0</v>
      </c>
      <c r="H505" s="279">
        <v>0</v>
      </c>
      <c r="I505" s="254"/>
      <c r="J505" s="254"/>
      <c r="K505" s="254"/>
      <c r="L505" s="254"/>
      <c r="M505" s="254"/>
      <c r="N505" s="254"/>
      <c r="O505" s="254"/>
      <c r="P505" s="1"/>
    </row>
    <row r="506" spans="2:16" x14ac:dyDescent="0.2">
      <c r="B506" s="255">
        <f>'3. GRI Pricing'!C516</f>
        <v>0</v>
      </c>
      <c r="C506" s="255">
        <f>'3. GRI Pricing'!D516</f>
        <v>0</v>
      </c>
      <c r="D506" s="255">
        <f>'3. GRI Pricing'!E516</f>
        <v>0</v>
      </c>
      <c r="E506" s="256">
        <f>'3. GRI Pricing'!Y516</f>
        <v>0</v>
      </c>
      <c r="F506" s="279">
        <v>0</v>
      </c>
      <c r="G506" s="279">
        <v>0</v>
      </c>
      <c r="H506" s="279">
        <v>0</v>
      </c>
      <c r="I506" s="254"/>
      <c r="J506" s="254"/>
      <c r="K506" s="254"/>
      <c r="L506" s="254"/>
      <c r="M506" s="254"/>
      <c r="N506" s="254"/>
      <c r="O506" s="254"/>
      <c r="P506" s="1"/>
    </row>
    <row r="507" spans="2:16" x14ac:dyDescent="0.2">
      <c r="B507" s="255">
        <f>'3. GRI Pricing'!C517</f>
        <v>0</v>
      </c>
      <c r="C507" s="255">
        <f>'3. GRI Pricing'!D517</f>
        <v>0</v>
      </c>
      <c r="D507" s="255">
        <f>'3. GRI Pricing'!E517</f>
        <v>0</v>
      </c>
      <c r="E507" s="256">
        <f>'3. GRI Pricing'!Y517</f>
        <v>0</v>
      </c>
      <c r="F507" s="279">
        <v>0</v>
      </c>
      <c r="G507" s="279">
        <v>0</v>
      </c>
      <c r="H507" s="279">
        <v>0</v>
      </c>
      <c r="I507" s="254"/>
      <c r="J507" s="254"/>
      <c r="K507" s="254"/>
      <c r="L507" s="254"/>
      <c r="M507" s="254"/>
      <c r="N507" s="254"/>
      <c r="O507" s="254"/>
      <c r="P507" s="1"/>
    </row>
    <row r="508" spans="2:16" x14ac:dyDescent="0.2">
      <c r="B508" s="255">
        <f>'3. GRI Pricing'!C518</f>
        <v>0</v>
      </c>
      <c r="C508" s="255">
        <f>'3. GRI Pricing'!D518</f>
        <v>0</v>
      </c>
      <c r="D508" s="255">
        <f>'3. GRI Pricing'!E518</f>
        <v>0</v>
      </c>
      <c r="E508" s="256">
        <f>'3. GRI Pricing'!Y518</f>
        <v>0</v>
      </c>
      <c r="F508" s="279">
        <v>0</v>
      </c>
      <c r="G508" s="279">
        <v>0</v>
      </c>
      <c r="H508" s="279">
        <v>0</v>
      </c>
      <c r="I508" s="254"/>
      <c r="J508" s="254"/>
      <c r="K508" s="254"/>
      <c r="L508" s="254"/>
      <c r="M508" s="254"/>
      <c r="N508" s="254"/>
      <c r="O508" s="254"/>
      <c r="P508" s="1"/>
    </row>
    <row r="509" spans="2:16" x14ac:dyDescent="0.2">
      <c r="B509" s="255">
        <f>'3. GRI Pricing'!C519</f>
        <v>0</v>
      </c>
      <c r="C509" s="255">
        <f>'3. GRI Pricing'!D519</f>
        <v>0</v>
      </c>
      <c r="D509" s="255">
        <f>'3. GRI Pricing'!E519</f>
        <v>0</v>
      </c>
      <c r="E509" s="256">
        <f>'3. GRI Pricing'!Y519</f>
        <v>0</v>
      </c>
      <c r="F509" s="279">
        <v>0</v>
      </c>
      <c r="G509" s="279">
        <v>0</v>
      </c>
      <c r="H509" s="279">
        <v>0</v>
      </c>
      <c r="I509" s="254"/>
      <c r="J509" s="254"/>
      <c r="K509" s="254"/>
      <c r="L509" s="254"/>
      <c r="M509" s="254"/>
      <c r="N509" s="254"/>
      <c r="O509" s="254"/>
      <c r="P509" s="1"/>
    </row>
    <row r="510" spans="2:16" x14ac:dyDescent="0.2">
      <c r="B510" s="255">
        <f>'3. GRI Pricing'!C520</f>
        <v>0</v>
      </c>
      <c r="C510" s="255">
        <f>'3. GRI Pricing'!D520</f>
        <v>0</v>
      </c>
      <c r="D510" s="255">
        <f>'3. GRI Pricing'!E520</f>
        <v>0</v>
      </c>
      <c r="E510" s="256">
        <f>'3. GRI Pricing'!Y520</f>
        <v>0</v>
      </c>
      <c r="F510" s="279">
        <v>0</v>
      </c>
      <c r="G510" s="279">
        <v>0</v>
      </c>
      <c r="H510" s="279">
        <v>0</v>
      </c>
      <c r="I510" s="254"/>
      <c r="J510" s="254"/>
      <c r="K510" s="254"/>
      <c r="L510" s="254"/>
      <c r="M510" s="254"/>
      <c r="N510" s="254"/>
      <c r="O510" s="254"/>
      <c r="P510" s="1"/>
    </row>
    <row r="511" spans="2:16" x14ac:dyDescent="0.2">
      <c r="B511" s="255">
        <f>'3. GRI Pricing'!C521</f>
        <v>0</v>
      </c>
      <c r="C511" s="255">
        <f>'3. GRI Pricing'!D521</f>
        <v>0</v>
      </c>
      <c r="D511" s="255">
        <f>'3. GRI Pricing'!E521</f>
        <v>0</v>
      </c>
      <c r="E511" s="256">
        <f>'3. GRI Pricing'!Y521</f>
        <v>0</v>
      </c>
      <c r="F511" s="279">
        <v>0</v>
      </c>
      <c r="G511" s="279">
        <v>0</v>
      </c>
      <c r="H511" s="279">
        <v>0</v>
      </c>
      <c r="I511" s="254"/>
      <c r="J511" s="254"/>
      <c r="K511" s="254"/>
      <c r="L511" s="254"/>
      <c r="M511" s="254"/>
      <c r="N511" s="254"/>
      <c r="O511" s="254"/>
      <c r="P511" s="1"/>
    </row>
    <row r="512" spans="2:16" x14ac:dyDescent="0.2">
      <c r="B512" s="255">
        <f>'3. GRI Pricing'!C522</f>
        <v>0</v>
      </c>
      <c r="C512" s="255">
        <f>'3. GRI Pricing'!D522</f>
        <v>0</v>
      </c>
      <c r="D512" s="255">
        <f>'3. GRI Pricing'!E522</f>
        <v>0</v>
      </c>
      <c r="E512" s="256">
        <f>'3. GRI Pricing'!Y522</f>
        <v>0</v>
      </c>
      <c r="F512" s="279">
        <v>0</v>
      </c>
      <c r="G512" s="279">
        <v>0</v>
      </c>
      <c r="H512" s="279">
        <v>0</v>
      </c>
      <c r="I512" s="254"/>
      <c r="J512" s="254"/>
      <c r="K512" s="254"/>
      <c r="L512" s="254"/>
      <c r="M512" s="254"/>
      <c r="N512" s="254"/>
      <c r="O512" s="254"/>
      <c r="P512" s="1"/>
    </row>
    <row r="513" spans="2:16" x14ac:dyDescent="0.2">
      <c r="B513" s="255">
        <f>'3. GRI Pricing'!C523</f>
        <v>0</v>
      </c>
      <c r="C513" s="255">
        <f>'3. GRI Pricing'!D523</f>
        <v>0</v>
      </c>
      <c r="D513" s="255">
        <f>'3. GRI Pricing'!E523</f>
        <v>0</v>
      </c>
      <c r="E513" s="256">
        <f>'3. GRI Pricing'!Y523</f>
        <v>0</v>
      </c>
      <c r="F513" s="279">
        <v>0</v>
      </c>
      <c r="G513" s="279">
        <v>0</v>
      </c>
      <c r="H513" s="279">
        <v>0</v>
      </c>
      <c r="I513" s="254"/>
      <c r="J513" s="254"/>
      <c r="K513" s="254"/>
      <c r="L513" s="254"/>
      <c r="M513" s="254"/>
      <c r="N513" s="254"/>
      <c r="O513" s="254"/>
      <c r="P513" s="1"/>
    </row>
    <row r="514" spans="2:16" x14ac:dyDescent="0.2">
      <c r="B514" s="255">
        <f>'3. GRI Pricing'!C524</f>
        <v>0</v>
      </c>
      <c r="C514" s="255">
        <f>'3. GRI Pricing'!D524</f>
        <v>0</v>
      </c>
      <c r="D514" s="255">
        <f>'3. GRI Pricing'!E524</f>
        <v>0</v>
      </c>
      <c r="E514" s="256">
        <f>'3. GRI Pricing'!Y524</f>
        <v>0</v>
      </c>
      <c r="F514" s="279">
        <v>0</v>
      </c>
      <c r="G514" s="279">
        <v>0</v>
      </c>
      <c r="H514" s="279">
        <v>0</v>
      </c>
      <c r="I514" s="254"/>
      <c r="J514" s="254"/>
      <c r="K514" s="254"/>
      <c r="L514" s="254"/>
      <c r="M514" s="254"/>
      <c r="N514" s="254"/>
      <c r="O514" s="254"/>
      <c r="P514" s="1"/>
    </row>
    <row r="515" spans="2:16" x14ac:dyDescent="0.2">
      <c r="B515" s="255">
        <f>'3. GRI Pricing'!C525</f>
        <v>0</v>
      </c>
      <c r="C515" s="255">
        <f>'3. GRI Pricing'!D525</f>
        <v>0</v>
      </c>
      <c r="D515" s="255">
        <f>'3. GRI Pricing'!E525</f>
        <v>0</v>
      </c>
      <c r="E515" s="256">
        <f>'3. GRI Pricing'!Y525</f>
        <v>0</v>
      </c>
      <c r="F515" s="279">
        <v>0</v>
      </c>
      <c r="G515" s="279">
        <v>0</v>
      </c>
      <c r="H515" s="279">
        <v>0</v>
      </c>
      <c r="I515" s="254"/>
      <c r="J515" s="254"/>
      <c r="K515" s="254"/>
      <c r="L515" s="254"/>
      <c r="M515" s="254"/>
      <c r="N515" s="254"/>
      <c r="O515" s="254"/>
      <c r="P515" s="1"/>
    </row>
    <row r="516" spans="2:16" x14ac:dyDescent="0.2">
      <c r="B516" s="255">
        <f>'3. GRI Pricing'!C526</f>
        <v>0</v>
      </c>
      <c r="C516" s="255">
        <f>'3. GRI Pricing'!D526</f>
        <v>0</v>
      </c>
      <c r="D516" s="255">
        <f>'3. GRI Pricing'!E526</f>
        <v>0</v>
      </c>
      <c r="E516" s="256">
        <f>'3. GRI Pricing'!Y526</f>
        <v>0</v>
      </c>
      <c r="F516" s="279">
        <v>0</v>
      </c>
      <c r="G516" s="279">
        <v>0</v>
      </c>
      <c r="H516" s="279">
        <v>0</v>
      </c>
      <c r="I516" s="254"/>
      <c r="J516" s="254"/>
      <c r="K516" s="254"/>
      <c r="L516" s="254"/>
      <c r="M516" s="254"/>
      <c r="N516" s="254"/>
      <c r="O516" s="254"/>
      <c r="P516" s="1"/>
    </row>
    <row r="517" spans="2:16" x14ac:dyDescent="0.2">
      <c r="B517" s="255">
        <f>'3. GRI Pricing'!C527</f>
        <v>0</v>
      </c>
      <c r="C517" s="255">
        <f>'3. GRI Pricing'!D527</f>
        <v>0</v>
      </c>
      <c r="D517" s="255">
        <f>'3. GRI Pricing'!E527</f>
        <v>0</v>
      </c>
      <c r="E517" s="256">
        <f>'3. GRI Pricing'!Y527</f>
        <v>0</v>
      </c>
      <c r="F517" s="279">
        <v>0</v>
      </c>
      <c r="G517" s="279">
        <v>0</v>
      </c>
      <c r="H517" s="279">
        <v>0</v>
      </c>
      <c r="I517" s="254"/>
      <c r="J517" s="254"/>
      <c r="K517" s="254"/>
      <c r="L517" s="254"/>
      <c r="M517" s="254"/>
      <c r="N517" s="254"/>
      <c r="O517" s="254"/>
      <c r="P517" s="1"/>
    </row>
    <row r="518" spans="2:16" x14ac:dyDescent="0.2">
      <c r="B518" s="255">
        <f>'3. GRI Pricing'!C528</f>
        <v>0</v>
      </c>
      <c r="C518" s="255">
        <f>'3. GRI Pricing'!D528</f>
        <v>0</v>
      </c>
      <c r="D518" s="255">
        <f>'3. GRI Pricing'!E528</f>
        <v>0</v>
      </c>
      <c r="E518" s="256">
        <f>'3. GRI Pricing'!Y528</f>
        <v>0</v>
      </c>
      <c r="F518" s="279">
        <v>0</v>
      </c>
      <c r="G518" s="279">
        <v>0</v>
      </c>
      <c r="H518" s="279">
        <v>0</v>
      </c>
      <c r="I518" s="254"/>
      <c r="J518" s="254"/>
      <c r="K518" s="254"/>
      <c r="L518" s="254"/>
      <c r="M518" s="254"/>
      <c r="N518" s="254"/>
      <c r="O518" s="254"/>
      <c r="P518" s="1"/>
    </row>
    <row r="519" spans="2:16" x14ac:dyDescent="0.2">
      <c r="B519" s="255">
        <f>'3. GRI Pricing'!C529</f>
        <v>0</v>
      </c>
      <c r="C519" s="255">
        <f>'3. GRI Pricing'!D529</f>
        <v>0</v>
      </c>
      <c r="D519" s="255">
        <f>'3. GRI Pricing'!E529</f>
        <v>0</v>
      </c>
      <c r="E519" s="256">
        <f>'3. GRI Pricing'!Y529</f>
        <v>0</v>
      </c>
      <c r="F519" s="279">
        <v>0</v>
      </c>
      <c r="G519" s="279">
        <v>0</v>
      </c>
      <c r="H519" s="279">
        <v>0</v>
      </c>
      <c r="I519" s="254"/>
      <c r="J519" s="254"/>
      <c r="K519" s="254"/>
      <c r="L519" s="254"/>
      <c r="M519" s="254"/>
      <c r="N519" s="254"/>
      <c r="O519" s="254"/>
      <c r="P519" s="1"/>
    </row>
    <row r="520" spans="2:16" x14ac:dyDescent="0.2">
      <c r="B520" s="255">
        <f>'3. GRI Pricing'!C530</f>
        <v>0</v>
      </c>
      <c r="C520" s="255">
        <f>'3. GRI Pricing'!D530</f>
        <v>0</v>
      </c>
      <c r="D520" s="255">
        <f>'3. GRI Pricing'!E530</f>
        <v>0</v>
      </c>
      <c r="E520" s="256">
        <f>'3. GRI Pricing'!Y530</f>
        <v>0</v>
      </c>
      <c r="F520" s="279">
        <v>0</v>
      </c>
      <c r="G520" s="279">
        <v>0</v>
      </c>
      <c r="H520" s="279">
        <v>0</v>
      </c>
      <c r="I520" s="254"/>
      <c r="J520" s="254"/>
      <c r="K520" s="254"/>
      <c r="L520" s="254"/>
      <c r="M520" s="254"/>
      <c r="N520" s="254"/>
      <c r="O520" s="254"/>
      <c r="P520" s="1"/>
    </row>
    <row r="521" spans="2:16" x14ac:dyDescent="0.2">
      <c r="B521" s="255">
        <f>'3. GRI Pricing'!C531</f>
        <v>0</v>
      </c>
      <c r="C521" s="255">
        <f>'3. GRI Pricing'!D531</f>
        <v>0</v>
      </c>
      <c r="D521" s="255">
        <f>'3. GRI Pricing'!E531</f>
        <v>0</v>
      </c>
      <c r="E521" s="256">
        <f>'3. GRI Pricing'!Y531</f>
        <v>0</v>
      </c>
      <c r="F521" s="279">
        <v>0</v>
      </c>
      <c r="G521" s="279">
        <v>0</v>
      </c>
      <c r="H521" s="279">
        <v>0</v>
      </c>
      <c r="I521" s="254"/>
      <c r="J521" s="254"/>
      <c r="K521" s="254"/>
      <c r="L521" s="254"/>
      <c r="M521" s="254"/>
      <c r="N521" s="254"/>
      <c r="O521" s="254"/>
      <c r="P521" s="1"/>
    </row>
    <row r="522" spans="2:16" x14ac:dyDescent="0.2">
      <c r="B522" s="255">
        <f>'3. GRI Pricing'!C532</f>
        <v>0</v>
      </c>
      <c r="C522" s="255">
        <f>'3. GRI Pricing'!D532</f>
        <v>0</v>
      </c>
      <c r="D522" s="255">
        <f>'3. GRI Pricing'!E532</f>
        <v>0</v>
      </c>
      <c r="E522" s="256">
        <f>'3. GRI Pricing'!Y532</f>
        <v>0</v>
      </c>
      <c r="F522" s="279">
        <v>0</v>
      </c>
      <c r="G522" s="279">
        <v>0</v>
      </c>
      <c r="H522" s="279">
        <v>0</v>
      </c>
      <c r="I522" s="254"/>
      <c r="J522" s="254"/>
      <c r="K522" s="254"/>
      <c r="L522" s="254"/>
      <c r="M522" s="254"/>
      <c r="N522" s="254"/>
      <c r="O522" s="254"/>
      <c r="P522" s="1"/>
    </row>
    <row r="523" spans="2:16" x14ac:dyDescent="0.2">
      <c r="B523" s="255">
        <f>'3. GRI Pricing'!C533</f>
        <v>0</v>
      </c>
      <c r="C523" s="255">
        <f>'3. GRI Pricing'!D533</f>
        <v>0</v>
      </c>
      <c r="D523" s="255">
        <f>'3. GRI Pricing'!E533</f>
        <v>0</v>
      </c>
      <c r="E523" s="256">
        <f>'3. GRI Pricing'!Y533</f>
        <v>0</v>
      </c>
      <c r="F523" s="279">
        <v>0</v>
      </c>
      <c r="G523" s="279">
        <v>0</v>
      </c>
      <c r="H523" s="279">
        <v>0</v>
      </c>
      <c r="I523" s="254"/>
      <c r="J523" s="254"/>
      <c r="K523" s="254"/>
      <c r="L523" s="254"/>
      <c r="M523" s="254"/>
      <c r="N523" s="254"/>
      <c r="O523" s="254"/>
      <c r="P523" s="1"/>
    </row>
    <row r="524" spans="2:16" x14ac:dyDescent="0.2">
      <c r="B524" s="255">
        <f>'3. GRI Pricing'!C534</f>
        <v>0</v>
      </c>
      <c r="C524" s="255">
        <f>'3. GRI Pricing'!D534</f>
        <v>0</v>
      </c>
      <c r="D524" s="255">
        <f>'3. GRI Pricing'!E534</f>
        <v>0</v>
      </c>
      <c r="E524" s="256">
        <f>'3. GRI Pricing'!Y534</f>
        <v>0</v>
      </c>
      <c r="F524" s="279">
        <v>0</v>
      </c>
      <c r="G524" s="279">
        <v>0</v>
      </c>
      <c r="H524" s="279">
        <v>0</v>
      </c>
      <c r="I524" s="254"/>
      <c r="J524" s="254"/>
      <c r="K524" s="254"/>
      <c r="L524" s="254"/>
      <c r="M524" s="254"/>
      <c r="N524" s="254"/>
      <c r="O524" s="254"/>
      <c r="P524" s="1"/>
    </row>
    <row r="525" spans="2:16" x14ac:dyDescent="0.2">
      <c r="B525" s="255">
        <f>'3. GRI Pricing'!C535</f>
        <v>0</v>
      </c>
      <c r="C525" s="255">
        <f>'3. GRI Pricing'!D535</f>
        <v>0</v>
      </c>
      <c r="D525" s="255">
        <f>'3. GRI Pricing'!E535</f>
        <v>0</v>
      </c>
      <c r="E525" s="256">
        <f>'3. GRI Pricing'!Y535</f>
        <v>0</v>
      </c>
      <c r="F525" s="279">
        <v>0</v>
      </c>
      <c r="G525" s="279">
        <v>0</v>
      </c>
      <c r="H525" s="279">
        <v>0</v>
      </c>
      <c r="I525" s="254"/>
      <c r="J525" s="254"/>
      <c r="K525" s="254"/>
      <c r="L525" s="254"/>
      <c r="M525" s="254"/>
      <c r="N525" s="254"/>
      <c r="O525" s="254"/>
      <c r="P525" s="1"/>
    </row>
    <row r="526" spans="2:16" x14ac:dyDescent="0.2">
      <c r="B526" s="255">
        <f>'3. GRI Pricing'!C536</f>
        <v>0</v>
      </c>
      <c r="C526" s="255">
        <f>'3. GRI Pricing'!D536</f>
        <v>0</v>
      </c>
      <c r="D526" s="255">
        <f>'3. GRI Pricing'!E536</f>
        <v>0</v>
      </c>
      <c r="E526" s="256">
        <f>'3. GRI Pricing'!Y536</f>
        <v>0</v>
      </c>
      <c r="F526" s="279">
        <v>0</v>
      </c>
      <c r="G526" s="279">
        <v>0</v>
      </c>
      <c r="H526" s="279">
        <v>0</v>
      </c>
      <c r="I526" s="254"/>
      <c r="J526" s="254"/>
      <c r="K526" s="254"/>
      <c r="L526" s="254"/>
      <c r="M526" s="254"/>
      <c r="N526" s="254"/>
      <c r="O526" s="254"/>
      <c r="P526" s="1"/>
    </row>
    <row r="527" spans="2:16" x14ac:dyDescent="0.2">
      <c r="B527" s="255">
        <f>'3. GRI Pricing'!C537</f>
        <v>0</v>
      </c>
      <c r="C527" s="255">
        <f>'3. GRI Pricing'!D537</f>
        <v>0</v>
      </c>
      <c r="D527" s="255">
        <f>'3. GRI Pricing'!E537</f>
        <v>0</v>
      </c>
      <c r="E527" s="256">
        <f>'3. GRI Pricing'!Y537</f>
        <v>0</v>
      </c>
      <c r="F527" s="279">
        <v>0</v>
      </c>
      <c r="G527" s="279">
        <v>0</v>
      </c>
      <c r="H527" s="279">
        <v>0</v>
      </c>
      <c r="I527" s="254"/>
      <c r="J527" s="254"/>
      <c r="K527" s="254"/>
      <c r="L527" s="254"/>
      <c r="M527" s="254"/>
      <c r="N527" s="254"/>
      <c r="O527" s="254"/>
      <c r="P527" s="1"/>
    </row>
    <row r="528" spans="2:16" x14ac:dyDescent="0.2">
      <c r="B528" s="255">
        <f>'3. GRI Pricing'!C538</f>
        <v>0</v>
      </c>
      <c r="C528" s="255">
        <f>'3. GRI Pricing'!D538</f>
        <v>0</v>
      </c>
      <c r="D528" s="255">
        <f>'3. GRI Pricing'!E538</f>
        <v>0</v>
      </c>
      <c r="E528" s="256">
        <f>'3. GRI Pricing'!Y538</f>
        <v>0</v>
      </c>
      <c r="F528" s="279">
        <v>0</v>
      </c>
      <c r="G528" s="279">
        <v>0</v>
      </c>
      <c r="H528" s="279">
        <v>0</v>
      </c>
      <c r="I528" s="254"/>
      <c r="J528" s="254"/>
      <c r="K528" s="254"/>
      <c r="L528" s="254"/>
      <c r="M528" s="254"/>
      <c r="N528" s="254"/>
      <c r="O528" s="254"/>
      <c r="P528" s="1"/>
    </row>
    <row r="529" spans="2:16" x14ac:dyDescent="0.2">
      <c r="B529" s="255">
        <f>'3. GRI Pricing'!C539</f>
        <v>0</v>
      </c>
      <c r="C529" s="255">
        <f>'3. GRI Pricing'!D539</f>
        <v>0</v>
      </c>
      <c r="D529" s="255">
        <f>'3. GRI Pricing'!E539</f>
        <v>0</v>
      </c>
      <c r="E529" s="256">
        <f>'3. GRI Pricing'!Y539</f>
        <v>0</v>
      </c>
      <c r="F529" s="279">
        <v>0</v>
      </c>
      <c r="G529" s="279">
        <v>0</v>
      </c>
      <c r="H529" s="279">
        <v>0</v>
      </c>
      <c r="I529" s="254"/>
      <c r="J529" s="254"/>
      <c r="K529" s="254"/>
      <c r="L529" s="254"/>
      <c r="M529" s="254"/>
      <c r="N529" s="254"/>
      <c r="O529" s="254"/>
      <c r="P529" s="1"/>
    </row>
    <row r="530" spans="2:16" x14ac:dyDescent="0.2">
      <c r="B530" s="255">
        <f>'3. GRI Pricing'!C540</f>
        <v>0</v>
      </c>
      <c r="C530" s="255">
        <f>'3. GRI Pricing'!D540</f>
        <v>0</v>
      </c>
      <c r="D530" s="255">
        <f>'3. GRI Pricing'!E540</f>
        <v>0</v>
      </c>
      <c r="E530" s="256">
        <f>'3. GRI Pricing'!Y540</f>
        <v>0</v>
      </c>
      <c r="F530" s="279">
        <v>0</v>
      </c>
      <c r="G530" s="279">
        <v>0</v>
      </c>
      <c r="H530" s="279">
        <v>0</v>
      </c>
      <c r="I530" s="254"/>
      <c r="J530" s="254"/>
      <c r="K530" s="254"/>
      <c r="L530" s="254"/>
      <c r="M530" s="254"/>
      <c r="N530" s="254"/>
      <c r="O530" s="254"/>
      <c r="P530" s="1"/>
    </row>
    <row r="531" spans="2:16" x14ac:dyDescent="0.2">
      <c r="B531" s="255">
        <f>'3. GRI Pricing'!C541</f>
        <v>0</v>
      </c>
      <c r="C531" s="255">
        <f>'3. GRI Pricing'!D541</f>
        <v>0</v>
      </c>
      <c r="D531" s="255">
        <f>'3. GRI Pricing'!E541</f>
        <v>0</v>
      </c>
      <c r="E531" s="256">
        <f>'3. GRI Pricing'!Y541</f>
        <v>0</v>
      </c>
      <c r="F531" s="279">
        <v>0</v>
      </c>
      <c r="G531" s="279">
        <v>0</v>
      </c>
      <c r="H531" s="279">
        <v>0</v>
      </c>
      <c r="I531" s="254"/>
      <c r="J531" s="254"/>
      <c r="K531" s="254"/>
      <c r="L531" s="254"/>
      <c r="M531" s="254"/>
      <c r="N531" s="254"/>
      <c r="O531" s="254"/>
      <c r="P531" s="1"/>
    </row>
    <row r="532" spans="2:16" x14ac:dyDescent="0.2">
      <c r="B532" s="255">
        <f>'3. GRI Pricing'!C542</f>
        <v>0</v>
      </c>
      <c r="C532" s="255">
        <f>'3. GRI Pricing'!D542</f>
        <v>0</v>
      </c>
      <c r="D532" s="255">
        <f>'3. GRI Pricing'!E542</f>
        <v>0</v>
      </c>
      <c r="E532" s="256">
        <f>'3. GRI Pricing'!Y542</f>
        <v>0</v>
      </c>
      <c r="F532" s="279">
        <v>0</v>
      </c>
      <c r="G532" s="279">
        <v>0</v>
      </c>
      <c r="H532" s="279">
        <v>0</v>
      </c>
      <c r="I532" s="254"/>
      <c r="J532" s="254"/>
      <c r="K532" s="254"/>
      <c r="L532" s="254"/>
      <c r="M532" s="254"/>
      <c r="N532" s="254"/>
      <c r="O532" s="254"/>
      <c r="P532" s="1"/>
    </row>
    <row r="533" spans="2:16" x14ac:dyDescent="0.2">
      <c r="B533" s="255">
        <f>'3. GRI Pricing'!C543</f>
        <v>0</v>
      </c>
      <c r="C533" s="255">
        <f>'3. GRI Pricing'!D543</f>
        <v>0</v>
      </c>
      <c r="D533" s="255">
        <f>'3. GRI Pricing'!E543</f>
        <v>0</v>
      </c>
      <c r="E533" s="256">
        <f>'3. GRI Pricing'!Y543</f>
        <v>0</v>
      </c>
      <c r="F533" s="279">
        <v>0</v>
      </c>
      <c r="G533" s="279">
        <v>0</v>
      </c>
      <c r="H533" s="279">
        <v>0</v>
      </c>
      <c r="I533" s="254"/>
      <c r="J533" s="254"/>
      <c r="K533" s="254"/>
      <c r="L533" s="254"/>
      <c r="M533" s="254"/>
      <c r="N533" s="254"/>
      <c r="O533" s="254"/>
      <c r="P533" s="1"/>
    </row>
    <row r="534" spans="2:16" x14ac:dyDescent="0.2">
      <c r="B534" s="255">
        <f>'3. GRI Pricing'!C544</f>
        <v>0</v>
      </c>
      <c r="C534" s="255">
        <f>'3. GRI Pricing'!D544</f>
        <v>0</v>
      </c>
      <c r="D534" s="255">
        <f>'3. GRI Pricing'!E544</f>
        <v>0</v>
      </c>
      <c r="E534" s="256">
        <f>'3. GRI Pricing'!Y544</f>
        <v>0</v>
      </c>
      <c r="F534" s="279">
        <v>0</v>
      </c>
      <c r="G534" s="279">
        <v>0</v>
      </c>
      <c r="H534" s="279">
        <v>0</v>
      </c>
      <c r="I534" s="254"/>
      <c r="J534" s="254"/>
      <c r="K534" s="254"/>
      <c r="L534" s="254"/>
      <c r="M534" s="254"/>
      <c r="N534" s="254"/>
      <c r="O534" s="254"/>
      <c r="P534" s="1"/>
    </row>
    <row r="535" spans="2:16" x14ac:dyDescent="0.2">
      <c r="B535" s="255">
        <f>'3. GRI Pricing'!C545</f>
        <v>0</v>
      </c>
      <c r="C535" s="255">
        <f>'3. GRI Pricing'!D545</f>
        <v>0</v>
      </c>
      <c r="D535" s="255">
        <f>'3. GRI Pricing'!E545</f>
        <v>0</v>
      </c>
      <c r="E535" s="256">
        <f>'3. GRI Pricing'!Y545</f>
        <v>0</v>
      </c>
      <c r="F535" s="279">
        <v>0</v>
      </c>
      <c r="G535" s="279">
        <v>0</v>
      </c>
      <c r="H535" s="279">
        <v>0</v>
      </c>
      <c r="I535" s="254"/>
      <c r="J535" s="254"/>
      <c r="K535" s="254"/>
      <c r="L535" s="254"/>
      <c r="M535" s="254"/>
      <c r="N535" s="254"/>
      <c r="O535" s="254"/>
      <c r="P535" s="1"/>
    </row>
    <row r="536" spans="2:16" x14ac:dyDescent="0.2">
      <c r="B536" s="255">
        <f>'3. GRI Pricing'!C546</f>
        <v>0</v>
      </c>
      <c r="C536" s="255">
        <f>'3. GRI Pricing'!D546</f>
        <v>0</v>
      </c>
      <c r="D536" s="255">
        <f>'3. GRI Pricing'!E546</f>
        <v>0</v>
      </c>
      <c r="E536" s="256">
        <f>'3. GRI Pricing'!Y546</f>
        <v>0</v>
      </c>
      <c r="F536" s="279">
        <v>0</v>
      </c>
      <c r="G536" s="279">
        <v>0</v>
      </c>
      <c r="H536" s="279">
        <v>0</v>
      </c>
      <c r="I536" s="254"/>
      <c r="J536" s="254"/>
      <c r="K536" s="254"/>
      <c r="L536" s="254"/>
      <c r="M536" s="254"/>
      <c r="N536" s="254"/>
      <c r="O536" s="254"/>
      <c r="P536" s="1"/>
    </row>
    <row r="537" spans="2:16" x14ac:dyDescent="0.2">
      <c r="B537" s="255">
        <f>'3. GRI Pricing'!C547</f>
        <v>0</v>
      </c>
      <c r="C537" s="255">
        <f>'3. GRI Pricing'!D547</f>
        <v>0</v>
      </c>
      <c r="D537" s="255">
        <f>'3. GRI Pricing'!E547</f>
        <v>0</v>
      </c>
      <c r="E537" s="256">
        <f>'3. GRI Pricing'!Y547</f>
        <v>0</v>
      </c>
      <c r="F537" s="279">
        <v>0</v>
      </c>
      <c r="G537" s="279">
        <v>0</v>
      </c>
      <c r="H537" s="279">
        <v>0</v>
      </c>
      <c r="I537" s="254"/>
      <c r="J537" s="254"/>
      <c r="K537" s="254"/>
      <c r="L537" s="254"/>
      <c r="M537" s="254"/>
      <c r="N537" s="254"/>
      <c r="O537" s="254"/>
      <c r="P537" s="1"/>
    </row>
    <row r="538" spans="2:16" x14ac:dyDescent="0.2">
      <c r="B538" s="255">
        <f>'3. GRI Pricing'!C548</f>
        <v>0</v>
      </c>
      <c r="C538" s="255">
        <f>'3. GRI Pricing'!D548</f>
        <v>0</v>
      </c>
      <c r="D538" s="255">
        <f>'3. GRI Pricing'!E548</f>
        <v>0</v>
      </c>
      <c r="E538" s="256">
        <f>'3. GRI Pricing'!Y548</f>
        <v>0</v>
      </c>
      <c r="F538" s="279">
        <v>0</v>
      </c>
      <c r="G538" s="279">
        <v>0</v>
      </c>
      <c r="H538" s="279">
        <v>0</v>
      </c>
      <c r="I538" s="254"/>
      <c r="J538" s="254"/>
      <c r="K538" s="254"/>
      <c r="L538" s="254"/>
      <c r="M538" s="254"/>
      <c r="N538" s="254"/>
      <c r="O538" s="254"/>
      <c r="P538" s="1"/>
    </row>
    <row r="539" spans="2:16" x14ac:dyDescent="0.2">
      <c r="B539" s="255">
        <f>'3. GRI Pricing'!C549</f>
        <v>0</v>
      </c>
      <c r="C539" s="255">
        <f>'3. GRI Pricing'!D549</f>
        <v>0</v>
      </c>
      <c r="D539" s="255">
        <f>'3. GRI Pricing'!E549</f>
        <v>0</v>
      </c>
      <c r="E539" s="256">
        <f>'3. GRI Pricing'!Y549</f>
        <v>0</v>
      </c>
      <c r="F539" s="279">
        <v>0</v>
      </c>
      <c r="G539" s="279">
        <v>0</v>
      </c>
      <c r="H539" s="279">
        <v>0</v>
      </c>
      <c r="I539" s="254"/>
      <c r="J539" s="254"/>
      <c r="K539" s="254"/>
      <c r="L539" s="254"/>
      <c r="M539" s="254"/>
      <c r="N539" s="254"/>
      <c r="O539" s="254"/>
      <c r="P539" s="1"/>
    </row>
    <row r="540" spans="2:16" x14ac:dyDescent="0.2">
      <c r="B540" s="255">
        <f>'3. GRI Pricing'!C550</f>
        <v>0</v>
      </c>
      <c r="C540" s="255">
        <f>'3. GRI Pricing'!D550</f>
        <v>0</v>
      </c>
      <c r="D540" s="255">
        <f>'3. GRI Pricing'!E550</f>
        <v>0</v>
      </c>
      <c r="E540" s="256">
        <f>'3. GRI Pricing'!Y550</f>
        <v>0</v>
      </c>
      <c r="F540" s="279">
        <v>0</v>
      </c>
      <c r="G540" s="279">
        <v>0</v>
      </c>
      <c r="H540" s="279">
        <v>0</v>
      </c>
      <c r="I540" s="254"/>
      <c r="J540" s="254"/>
      <c r="K540" s="254"/>
      <c r="L540" s="254"/>
      <c r="M540" s="254"/>
      <c r="N540" s="254"/>
      <c r="O540" s="254"/>
      <c r="P540" s="1"/>
    </row>
    <row r="541" spans="2:16" x14ac:dyDescent="0.2">
      <c r="B541" s="255">
        <f>'3. GRI Pricing'!C551</f>
        <v>0</v>
      </c>
      <c r="C541" s="255">
        <f>'3. GRI Pricing'!D551</f>
        <v>0</v>
      </c>
      <c r="D541" s="255">
        <f>'3. GRI Pricing'!E551</f>
        <v>0</v>
      </c>
      <c r="E541" s="256">
        <f>'3. GRI Pricing'!Y551</f>
        <v>0</v>
      </c>
      <c r="F541" s="279">
        <v>0</v>
      </c>
      <c r="G541" s="279">
        <v>0</v>
      </c>
      <c r="H541" s="279">
        <v>0</v>
      </c>
      <c r="I541" s="254"/>
      <c r="J541" s="254"/>
      <c r="K541" s="254"/>
      <c r="L541" s="254"/>
      <c r="M541" s="254"/>
      <c r="N541" s="254"/>
      <c r="O541" s="254"/>
      <c r="P541" s="1"/>
    </row>
    <row r="542" spans="2:16" x14ac:dyDescent="0.2">
      <c r="B542" s="255">
        <f>'3. GRI Pricing'!C552</f>
        <v>0</v>
      </c>
      <c r="C542" s="255">
        <f>'3. GRI Pricing'!D552</f>
        <v>0</v>
      </c>
      <c r="D542" s="255">
        <f>'3. GRI Pricing'!E552</f>
        <v>0</v>
      </c>
      <c r="E542" s="256">
        <f>'3. GRI Pricing'!Y552</f>
        <v>0</v>
      </c>
      <c r="F542" s="279">
        <v>0</v>
      </c>
      <c r="G542" s="279">
        <v>0</v>
      </c>
      <c r="H542" s="279">
        <v>0</v>
      </c>
      <c r="I542" s="254"/>
      <c r="J542" s="254"/>
      <c r="K542" s="254"/>
      <c r="L542" s="254"/>
      <c r="M542" s="254"/>
      <c r="N542" s="254"/>
      <c r="O542" s="254"/>
      <c r="P542" s="1"/>
    </row>
    <row r="543" spans="2:16" x14ac:dyDescent="0.2">
      <c r="B543" s="255">
        <f>'3. GRI Pricing'!C553</f>
        <v>0</v>
      </c>
      <c r="C543" s="255">
        <f>'3. GRI Pricing'!D553</f>
        <v>0</v>
      </c>
      <c r="D543" s="255">
        <f>'3. GRI Pricing'!E553</f>
        <v>0</v>
      </c>
      <c r="E543" s="256">
        <f>'3. GRI Pricing'!Y553</f>
        <v>0</v>
      </c>
      <c r="F543" s="279">
        <v>0</v>
      </c>
      <c r="G543" s="279">
        <v>0</v>
      </c>
      <c r="H543" s="279">
        <v>0</v>
      </c>
      <c r="I543" s="254"/>
      <c r="J543" s="254"/>
      <c r="K543" s="254"/>
      <c r="L543" s="254"/>
      <c r="M543" s="254"/>
      <c r="N543" s="254"/>
      <c r="O543" s="254"/>
      <c r="P543" s="1"/>
    </row>
    <row r="544" spans="2:16" x14ac:dyDescent="0.2">
      <c r="B544" s="255">
        <f>'3. GRI Pricing'!C554</f>
        <v>0</v>
      </c>
      <c r="C544" s="255">
        <f>'3. GRI Pricing'!D554</f>
        <v>0</v>
      </c>
      <c r="D544" s="255">
        <f>'3. GRI Pricing'!E554</f>
        <v>0</v>
      </c>
      <c r="E544" s="256">
        <f>'3. GRI Pricing'!Y554</f>
        <v>0</v>
      </c>
      <c r="F544" s="279">
        <v>0</v>
      </c>
      <c r="G544" s="279">
        <v>0</v>
      </c>
      <c r="H544" s="279">
        <v>0</v>
      </c>
      <c r="I544" s="254"/>
      <c r="J544" s="254"/>
      <c r="K544" s="254"/>
      <c r="L544" s="254"/>
      <c r="M544" s="254"/>
      <c r="N544" s="254"/>
      <c r="O544" s="254"/>
      <c r="P544" s="1"/>
    </row>
    <row r="545" spans="2:16" x14ac:dyDescent="0.2">
      <c r="B545" s="255">
        <f>'3. GRI Pricing'!C555</f>
        <v>0</v>
      </c>
      <c r="C545" s="255">
        <f>'3. GRI Pricing'!D555</f>
        <v>0</v>
      </c>
      <c r="D545" s="255">
        <f>'3. GRI Pricing'!E555</f>
        <v>0</v>
      </c>
      <c r="E545" s="256">
        <f>'3. GRI Pricing'!Y555</f>
        <v>0</v>
      </c>
      <c r="F545" s="279">
        <v>0</v>
      </c>
      <c r="G545" s="279">
        <v>0</v>
      </c>
      <c r="H545" s="279">
        <v>0</v>
      </c>
      <c r="I545" s="254"/>
      <c r="J545" s="254"/>
      <c r="K545" s="254"/>
      <c r="L545" s="254"/>
      <c r="M545" s="254"/>
      <c r="N545" s="254"/>
      <c r="O545" s="254"/>
      <c r="P545" s="1"/>
    </row>
    <row r="546" spans="2:16" x14ac:dyDescent="0.2">
      <c r="B546" s="255">
        <f>'3. GRI Pricing'!C556</f>
        <v>0</v>
      </c>
      <c r="C546" s="255">
        <f>'3. GRI Pricing'!D556</f>
        <v>0</v>
      </c>
      <c r="D546" s="255">
        <f>'3. GRI Pricing'!E556</f>
        <v>0</v>
      </c>
      <c r="E546" s="256">
        <f>'3. GRI Pricing'!Y556</f>
        <v>0</v>
      </c>
      <c r="F546" s="279">
        <v>0</v>
      </c>
      <c r="G546" s="279">
        <v>0</v>
      </c>
      <c r="H546" s="279">
        <v>0</v>
      </c>
      <c r="I546" s="254"/>
      <c r="J546" s="254"/>
      <c r="K546" s="254"/>
      <c r="L546" s="254"/>
      <c r="M546" s="254"/>
      <c r="N546" s="254"/>
      <c r="O546" s="254"/>
      <c r="P546" s="1"/>
    </row>
    <row r="547" spans="2:16" x14ac:dyDescent="0.2">
      <c r="B547" s="255">
        <f>'3. GRI Pricing'!C557</f>
        <v>0</v>
      </c>
      <c r="C547" s="255">
        <f>'3. GRI Pricing'!D557</f>
        <v>0</v>
      </c>
      <c r="D547" s="255">
        <f>'3. GRI Pricing'!E557</f>
        <v>0</v>
      </c>
      <c r="E547" s="256">
        <f>'3. GRI Pricing'!Y557</f>
        <v>0</v>
      </c>
      <c r="F547" s="279">
        <v>0</v>
      </c>
      <c r="G547" s="279">
        <v>0</v>
      </c>
      <c r="H547" s="279">
        <v>0</v>
      </c>
      <c r="I547" s="254"/>
      <c r="J547" s="254"/>
      <c r="K547" s="254"/>
      <c r="L547" s="254"/>
      <c r="M547" s="254"/>
      <c r="N547" s="254"/>
      <c r="O547" s="254"/>
      <c r="P547" s="1"/>
    </row>
    <row r="548" spans="2:16" x14ac:dyDescent="0.2">
      <c r="B548" s="255">
        <f>'3. GRI Pricing'!C558</f>
        <v>0</v>
      </c>
      <c r="C548" s="255">
        <f>'3. GRI Pricing'!D558</f>
        <v>0</v>
      </c>
      <c r="D548" s="255">
        <f>'3. GRI Pricing'!E558</f>
        <v>0</v>
      </c>
      <c r="E548" s="256">
        <f>'3. GRI Pricing'!Y558</f>
        <v>0</v>
      </c>
      <c r="F548" s="279">
        <v>0</v>
      </c>
      <c r="G548" s="279">
        <v>0</v>
      </c>
      <c r="H548" s="279">
        <v>0</v>
      </c>
      <c r="I548" s="254"/>
      <c r="J548" s="254"/>
      <c r="K548" s="254"/>
      <c r="L548" s="254"/>
      <c r="M548" s="254"/>
      <c r="N548" s="254"/>
      <c r="O548" s="254"/>
      <c r="P548" s="1"/>
    </row>
    <row r="549" spans="2:16" x14ac:dyDescent="0.2">
      <c r="B549" s="255">
        <f>'3. GRI Pricing'!C559</f>
        <v>0</v>
      </c>
      <c r="C549" s="255">
        <f>'3. GRI Pricing'!D559</f>
        <v>0</v>
      </c>
      <c r="D549" s="255">
        <f>'3. GRI Pricing'!E559</f>
        <v>0</v>
      </c>
      <c r="E549" s="256">
        <f>'3. GRI Pricing'!Y559</f>
        <v>0</v>
      </c>
      <c r="F549" s="279">
        <v>0</v>
      </c>
      <c r="G549" s="279">
        <v>0</v>
      </c>
      <c r="H549" s="279">
        <v>0</v>
      </c>
      <c r="I549" s="254"/>
      <c r="J549" s="254"/>
      <c r="K549" s="254"/>
      <c r="L549" s="254"/>
      <c r="M549" s="254"/>
      <c r="N549" s="254"/>
      <c r="O549" s="254"/>
      <c r="P549" s="1"/>
    </row>
    <row r="550" spans="2:16" x14ac:dyDescent="0.2">
      <c r="B550" s="255">
        <f>'3. GRI Pricing'!C560</f>
        <v>0</v>
      </c>
      <c r="C550" s="255">
        <f>'3. GRI Pricing'!D560</f>
        <v>0</v>
      </c>
      <c r="D550" s="255">
        <f>'3. GRI Pricing'!E560</f>
        <v>0</v>
      </c>
      <c r="E550" s="256">
        <f>'3. GRI Pricing'!Y560</f>
        <v>0</v>
      </c>
      <c r="F550" s="279">
        <v>0</v>
      </c>
      <c r="G550" s="279">
        <v>0</v>
      </c>
      <c r="H550" s="279">
        <v>0</v>
      </c>
      <c r="I550" s="254"/>
      <c r="J550" s="254"/>
      <c r="K550" s="254"/>
      <c r="L550" s="254"/>
      <c r="M550" s="254"/>
      <c r="N550" s="254"/>
      <c r="O550" s="254"/>
      <c r="P550" s="1"/>
    </row>
    <row r="551" spans="2:16" x14ac:dyDescent="0.2">
      <c r="B551" s="255">
        <f>'3. GRI Pricing'!C561</f>
        <v>0</v>
      </c>
      <c r="C551" s="255">
        <f>'3. GRI Pricing'!D561</f>
        <v>0</v>
      </c>
      <c r="D551" s="255">
        <f>'3. GRI Pricing'!E561</f>
        <v>0</v>
      </c>
      <c r="E551" s="256">
        <f>'3. GRI Pricing'!Y561</f>
        <v>0</v>
      </c>
      <c r="F551" s="279">
        <v>0</v>
      </c>
      <c r="G551" s="279">
        <v>0</v>
      </c>
      <c r="H551" s="279">
        <v>0</v>
      </c>
      <c r="I551" s="254"/>
      <c r="J551" s="254"/>
      <c r="K551" s="254"/>
      <c r="L551" s="254"/>
      <c r="M551" s="254"/>
      <c r="N551" s="254"/>
      <c r="O551" s="254"/>
      <c r="P551" s="1"/>
    </row>
    <row r="552" spans="2:16" x14ac:dyDescent="0.2">
      <c r="B552" s="255">
        <f>'3. GRI Pricing'!C562</f>
        <v>0</v>
      </c>
      <c r="C552" s="255">
        <f>'3. GRI Pricing'!D562</f>
        <v>0</v>
      </c>
      <c r="D552" s="255">
        <f>'3. GRI Pricing'!E562</f>
        <v>0</v>
      </c>
      <c r="E552" s="256">
        <f>'3. GRI Pricing'!Y562</f>
        <v>0</v>
      </c>
      <c r="F552" s="279">
        <v>0</v>
      </c>
      <c r="G552" s="279">
        <v>0</v>
      </c>
      <c r="H552" s="279">
        <v>0</v>
      </c>
      <c r="I552" s="254"/>
      <c r="J552" s="254"/>
      <c r="K552" s="254"/>
      <c r="L552" s="254"/>
      <c r="M552" s="254"/>
      <c r="N552" s="254"/>
      <c r="O552" s="254"/>
      <c r="P552" s="1"/>
    </row>
    <row r="553" spans="2:16" x14ac:dyDescent="0.2">
      <c r="B553" s="255">
        <f>'3. GRI Pricing'!C563</f>
        <v>0</v>
      </c>
      <c r="C553" s="255">
        <f>'3. GRI Pricing'!D563</f>
        <v>0</v>
      </c>
      <c r="D553" s="255">
        <f>'3. GRI Pricing'!E563</f>
        <v>0</v>
      </c>
      <c r="E553" s="256">
        <f>'3. GRI Pricing'!Y563</f>
        <v>0</v>
      </c>
      <c r="F553" s="279">
        <v>0</v>
      </c>
      <c r="G553" s="279">
        <v>0</v>
      </c>
      <c r="H553" s="279">
        <v>0</v>
      </c>
      <c r="I553" s="254"/>
      <c r="J553" s="254"/>
      <c r="K553" s="254"/>
      <c r="L553" s="254"/>
      <c r="M553" s="254"/>
      <c r="N553" s="254"/>
      <c r="O553" s="254"/>
      <c r="P553" s="1"/>
    </row>
    <row r="554" spans="2:16" x14ac:dyDescent="0.2">
      <c r="B554" s="255">
        <f>'3. GRI Pricing'!C564</f>
        <v>0</v>
      </c>
      <c r="C554" s="255">
        <f>'3. GRI Pricing'!D564</f>
        <v>0</v>
      </c>
      <c r="D554" s="255">
        <f>'3. GRI Pricing'!E564</f>
        <v>0</v>
      </c>
      <c r="E554" s="256">
        <f>'3. GRI Pricing'!Y564</f>
        <v>0</v>
      </c>
      <c r="F554" s="279">
        <v>0</v>
      </c>
      <c r="G554" s="279">
        <v>0</v>
      </c>
      <c r="H554" s="279">
        <v>0</v>
      </c>
      <c r="I554" s="254"/>
      <c r="J554" s="254"/>
      <c r="K554" s="254"/>
      <c r="L554" s="254"/>
      <c r="M554" s="254"/>
      <c r="N554" s="254"/>
      <c r="O554" s="254"/>
      <c r="P554" s="1"/>
    </row>
    <row r="555" spans="2:16" x14ac:dyDescent="0.2">
      <c r="B555" s="255">
        <f>'3. GRI Pricing'!C565</f>
        <v>0</v>
      </c>
      <c r="C555" s="255">
        <f>'3. GRI Pricing'!D565</f>
        <v>0</v>
      </c>
      <c r="D555" s="255">
        <f>'3. GRI Pricing'!E565</f>
        <v>0</v>
      </c>
      <c r="E555" s="256">
        <f>'3. GRI Pricing'!Y565</f>
        <v>0</v>
      </c>
      <c r="F555" s="279">
        <v>0</v>
      </c>
      <c r="G555" s="279">
        <v>0</v>
      </c>
      <c r="H555" s="279">
        <v>0</v>
      </c>
      <c r="I555" s="254"/>
      <c r="J555" s="254"/>
      <c r="K555" s="254"/>
      <c r="L555" s="254"/>
      <c r="M555" s="254"/>
      <c r="N555" s="254"/>
      <c r="O555" s="254"/>
      <c r="P555" s="1"/>
    </row>
    <row r="556" spans="2:16" x14ac:dyDescent="0.2">
      <c r="B556" s="255">
        <f>'3. GRI Pricing'!C566</f>
        <v>0</v>
      </c>
      <c r="C556" s="255">
        <f>'3. GRI Pricing'!D566</f>
        <v>0</v>
      </c>
      <c r="D556" s="255">
        <f>'3. GRI Pricing'!E566</f>
        <v>0</v>
      </c>
      <c r="E556" s="256">
        <f>'3. GRI Pricing'!Y566</f>
        <v>0</v>
      </c>
      <c r="F556" s="279">
        <v>0</v>
      </c>
      <c r="G556" s="279">
        <v>0</v>
      </c>
      <c r="H556" s="279">
        <v>0</v>
      </c>
      <c r="I556" s="254"/>
      <c r="J556" s="254"/>
      <c r="K556" s="254"/>
      <c r="L556" s="254"/>
      <c r="M556" s="254"/>
      <c r="N556" s="254"/>
      <c r="O556" s="254"/>
      <c r="P556" s="1"/>
    </row>
    <row r="557" spans="2:16" x14ac:dyDescent="0.2">
      <c r="B557" s="255">
        <f>'3. GRI Pricing'!C567</f>
        <v>0</v>
      </c>
      <c r="C557" s="255">
        <f>'3. GRI Pricing'!D567</f>
        <v>0</v>
      </c>
      <c r="D557" s="255">
        <f>'3. GRI Pricing'!E567</f>
        <v>0</v>
      </c>
      <c r="E557" s="256">
        <f>'3. GRI Pricing'!Y567</f>
        <v>0</v>
      </c>
      <c r="F557" s="279">
        <v>0</v>
      </c>
      <c r="G557" s="279">
        <v>0</v>
      </c>
      <c r="H557" s="279">
        <v>0</v>
      </c>
      <c r="I557" s="254"/>
      <c r="J557" s="254"/>
      <c r="K557" s="254"/>
      <c r="L557" s="254"/>
      <c r="M557" s="254"/>
      <c r="N557" s="254"/>
      <c r="O557" s="254"/>
      <c r="P557" s="1"/>
    </row>
    <row r="558" spans="2:16" x14ac:dyDescent="0.2">
      <c r="B558" s="255">
        <f>'3. GRI Pricing'!C568</f>
        <v>0</v>
      </c>
      <c r="C558" s="255">
        <f>'3. GRI Pricing'!D568</f>
        <v>0</v>
      </c>
      <c r="D558" s="255">
        <f>'3. GRI Pricing'!E568</f>
        <v>0</v>
      </c>
      <c r="E558" s="256">
        <f>'3. GRI Pricing'!Y568</f>
        <v>0</v>
      </c>
      <c r="F558" s="279">
        <v>0</v>
      </c>
      <c r="G558" s="279">
        <v>0</v>
      </c>
      <c r="H558" s="279">
        <v>0</v>
      </c>
      <c r="I558" s="254"/>
      <c r="J558" s="254"/>
      <c r="K558" s="254"/>
      <c r="L558" s="254"/>
      <c r="M558" s="254"/>
      <c r="N558" s="254"/>
      <c r="O558" s="254"/>
      <c r="P558" s="1"/>
    </row>
    <row r="559" spans="2:16" x14ac:dyDescent="0.2">
      <c r="B559" s="255">
        <f>'3. GRI Pricing'!C569</f>
        <v>0</v>
      </c>
      <c r="C559" s="255">
        <f>'3. GRI Pricing'!D569</f>
        <v>0</v>
      </c>
      <c r="D559" s="255">
        <f>'3. GRI Pricing'!E569</f>
        <v>0</v>
      </c>
      <c r="E559" s="256">
        <f>'3. GRI Pricing'!Y569</f>
        <v>0</v>
      </c>
      <c r="F559" s="279">
        <v>0</v>
      </c>
      <c r="G559" s="279">
        <v>0</v>
      </c>
      <c r="H559" s="279">
        <v>0</v>
      </c>
      <c r="I559" s="254"/>
      <c r="J559" s="254"/>
      <c r="K559" s="254"/>
      <c r="L559" s="254"/>
      <c r="M559" s="254"/>
      <c r="N559" s="254"/>
      <c r="O559" s="254"/>
      <c r="P559" s="1"/>
    </row>
    <row r="560" spans="2:16" x14ac:dyDescent="0.2">
      <c r="B560" s="255">
        <f>'3. GRI Pricing'!C570</f>
        <v>0</v>
      </c>
      <c r="C560" s="255">
        <f>'3. GRI Pricing'!D570</f>
        <v>0</v>
      </c>
      <c r="D560" s="255">
        <f>'3. GRI Pricing'!E570</f>
        <v>0</v>
      </c>
      <c r="E560" s="256">
        <f>'3. GRI Pricing'!Y570</f>
        <v>0</v>
      </c>
      <c r="F560" s="279">
        <v>0</v>
      </c>
      <c r="G560" s="279">
        <v>0</v>
      </c>
      <c r="H560" s="279">
        <v>0</v>
      </c>
      <c r="I560" s="254"/>
      <c r="J560" s="254"/>
      <c r="K560" s="254"/>
      <c r="L560" s="254"/>
      <c r="M560" s="254"/>
      <c r="N560" s="254"/>
      <c r="O560" s="254"/>
      <c r="P560" s="1"/>
    </row>
    <row r="561" spans="2:16" x14ac:dyDescent="0.2">
      <c r="B561" s="255">
        <f>'3. GRI Pricing'!C571</f>
        <v>0</v>
      </c>
      <c r="C561" s="255">
        <f>'3. GRI Pricing'!D571</f>
        <v>0</v>
      </c>
      <c r="D561" s="255">
        <f>'3. GRI Pricing'!E571</f>
        <v>0</v>
      </c>
      <c r="E561" s="256">
        <f>'3. GRI Pricing'!Y571</f>
        <v>0</v>
      </c>
      <c r="F561" s="279">
        <v>0</v>
      </c>
      <c r="G561" s="279">
        <v>0</v>
      </c>
      <c r="H561" s="279">
        <v>0</v>
      </c>
      <c r="I561" s="254"/>
      <c r="J561" s="254"/>
      <c r="K561" s="254"/>
      <c r="L561" s="254"/>
      <c r="M561" s="254"/>
      <c r="N561" s="254"/>
      <c r="O561" s="254"/>
      <c r="P561" s="1"/>
    </row>
    <row r="562" spans="2:16" x14ac:dyDescent="0.2">
      <c r="B562" s="255">
        <f>'3. GRI Pricing'!C572</f>
        <v>0</v>
      </c>
      <c r="C562" s="255">
        <f>'3. GRI Pricing'!D572</f>
        <v>0</v>
      </c>
      <c r="D562" s="255">
        <f>'3. GRI Pricing'!E572</f>
        <v>0</v>
      </c>
      <c r="E562" s="256">
        <f>'3. GRI Pricing'!Y572</f>
        <v>0</v>
      </c>
      <c r="F562" s="279">
        <v>0</v>
      </c>
      <c r="G562" s="279">
        <v>0</v>
      </c>
      <c r="H562" s="279">
        <v>0</v>
      </c>
      <c r="I562" s="254"/>
      <c r="J562" s="254"/>
      <c r="K562" s="254"/>
      <c r="L562" s="254"/>
      <c r="M562" s="254"/>
      <c r="N562" s="254"/>
      <c r="O562" s="254"/>
      <c r="P562" s="1"/>
    </row>
    <row r="563" spans="2:16" x14ac:dyDescent="0.2">
      <c r="B563" s="255">
        <f>'3. GRI Pricing'!C573</f>
        <v>0</v>
      </c>
      <c r="C563" s="255">
        <f>'3. GRI Pricing'!D573</f>
        <v>0</v>
      </c>
      <c r="D563" s="255">
        <f>'3. GRI Pricing'!E573</f>
        <v>0</v>
      </c>
      <c r="E563" s="256">
        <f>'3. GRI Pricing'!Y573</f>
        <v>0</v>
      </c>
      <c r="F563" s="279">
        <v>0</v>
      </c>
      <c r="G563" s="279">
        <v>0</v>
      </c>
      <c r="H563" s="279">
        <v>0</v>
      </c>
      <c r="I563" s="254"/>
      <c r="J563" s="254"/>
      <c r="K563" s="254"/>
      <c r="L563" s="254"/>
      <c r="M563" s="254"/>
      <c r="N563" s="254"/>
      <c r="O563" s="254"/>
      <c r="P563" s="1"/>
    </row>
    <row r="564" spans="2:16" x14ac:dyDescent="0.2">
      <c r="B564" s="255">
        <f>'3. GRI Pricing'!C574</f>
        <v>0</v>
      </c>
      <c r="C564" s="255">
        <f>'3. GRI Pricing'!D574</f>
        <v>0</v>
      </c>
      <c r="D564" s="255">
        <f>'3. GRI Pricing'!E574</f>
        <v>0</v>
      </c>
      <c r="E564" s="256">
        <f>'3. GRI Pricing'!Y574</f>
        <v>0</v>
      </c>
      <c r="F564" s="279">
        <v>0</v>
      </c>
      <c r="G564" s="279">
        <v>0</v>
      </c>
      <c r="H564" s="279">
        <v>0</v>
      </c>
      <c r="I564" s="254"/>
      <c r="J564" s="254"/>
      <c r="K564" s="254"/>
      <c r="L564" s="254"/>
      <c r="M564" s="254"/>
      <c r="N564" s="254"/>
      <c r="O564" s="254"/>
      <c r="P564" s="1"/>
    </row>
    <row r="565" spans="2:16" x14ac:dyDescent="0.2">
      <c r="B565" s="255">
        <f>'3. GRI Pricing'!C575</f>
        <v>0</v>
      </c>
      <c r="C565" s="255">
        <f>'3. GRI Pricing'!D575</f>
        <v>0</v>
      </c>
      <c r="D565" s="255">
        <f>'3. GRI Pricing'!E575</f>
        <v>0</v>
      </c>
      <c r="E565" s="256">
        <f>'3. GRI Pricing'!Y575</f>
        <v>0</v>
      </c>
      <c r="F565" s="279">
        <v>0</v>
      </c>
      <c r="G565" s="279">
        <v>0</v>
      </c>
      <c r="H565" s="279">
        <v>0</v>
      </c>
      <c r="I565" s="254"/>
      <c r="J565" s="254"/>
      <c r="K565" s="254"/>
      <c r="L565" s="254"/>
      <c r="M565" s="254"/>
      <c r="N565" s="254"/>
      <c r="O565" s="254"/>
      <c r="P565" s="1"/>
    </row>
    <row r="566" spans="2:16" x14ac:dyDescent="0.2">
      <c r="B566" s="255">
        <f>'3. GRI Pricing'!C576</f>
        <v>0</v>
      </c>
      <c r="C566" s="255">
        <f>'3. GRI Pricing'!D576</f>
        <v>0</v>
      </c>
      <c r="D566" s="255">
        <f>'3. GRI Pricing'!E576</f>
        <v>0</v>
      </c>
      <c r="E566" s="256">
        <f>'3. GRI Pricing'!Y576</f>
        <v>0</v>
      </c>
      <c r="F566" s="279">
        <v>0</v>
      </c>
      <c r="G566" s="279">
        <v>0</v>
      </c>
      <c r="H566" s="279">
        <v>0</v>
      </c>
      <c r="I566" s="254"/>
      <c r="J566" s="254"/>
      <c r="K566" s="254"/>
      <c r="L566" s="254"/>
      <c r="M566" s="254"/>
      <c r="N566" s="254"/>
      <c r="O566" s="254"/>
      <c r="P566" s="1"/>
    </row>
    <row r="567" spans="2:16" x14ac:dyDescent="0.2">
      <c r="B567" s="255">
        <f>'3. GRI Pricing'!C577</f>
        <v>0</v>
      </c>
      <c r="C567" s="255">
        <f>'3. GRI Pricing'!D577</f>
        <v>0</v>
      </c>
      <c r="D567" s="255">
        <f>'3. GRI Pricing'!E577</f>
        <v>0</v>
      </c>
      <c r="E567" s="256">
        <f>'3. GRI Pricing'!Y577</f>
        <v>0</v>
      </c>
      <c r="F567" s="279">
        <v>0</v>
      </c>
      <c r="G567" s="279">
        <v>0</v>
      </c>
      <c r="H567" s="279">
        <v>0</v>
      </c>
      <c r="I567" s="254"/>
      <c r="J567" s="254"/>
      <c r="K567" s="254"/>
      <c r="L567" s="254"/>
      <c r="M567" s="254"/>
      <c r="N567" s="254"/>
      <c r="O567" s="254"/>
      <c r="P567" s="1"/>
    </row>
    <row r="568" spans="2:16" x14ac:dyDescent="0.2">
      <c r="B568" s="255">
        <f>'3. GRI Pricing'!C578</f>
        <v>0</v>
      </c>
      <c r="C568" s="255">
        <f>'3. GRI Pricing'!D578</f>
        <v>0</v>
      </c>
      <c r="D568" s="255">
        <f>'3. GRI Pricing'!E578</f>
        <v>0</v>
      </c>
      <c r="E568" s="256">
        <f>'3. GRI Pricing'!Y578</f>
        <v>0</v>
      </c>
      <c r="F568" s="279">
        <v>0</v>
      </c>
      <c r="G568" s="279">
        <v>0</v>
      </c>
      <c r="H568" s="279">
        <v>0</v>
      </c>
      <c r="I568" s="254"/>
      <c r="J568" s="254"/>
      <c r="K568" s="254"/>
      <c r="L568" s="254"/>
      <c r="M568" s="254"/>
      <c r="N568" s="254"/>
      <c r="O568" s="254"/>
      <c r="P568" s="1"/>
    </row>
    <row r="569" spans="2:16" x14ac:dyDescent="0.2">
      <c r="B569" s="255">
        <f>'3. GRI Pricing'!C579</f>
        <v>0</v>
      </c>
      <c r="C569" s="255">
        <f>'3. GRI Pricing'!D579</f>
        <v>0</v>
      </c>
      <c r="D569" s="255">
        <f>'3. GRI Pricing'!E579</f>
        <v>0</v>
      </c>
      <c r="E569" s="256">
        <f>'3. GRI Pricing'!Y579</f>
        <v>0</v>
      </c>
      <c r="F569" s="279">
        <v>0</v>
      </c>
      <c r="G569" s="279">
        <v>0</v>
      </c>
      <c r="H569" s="279">
        <v>0</v>
      </c>
      <c r="I569" s="254"/>
      <c r="J569" s="254"/>
      <c r="K569" s="254"/>
      <c r="L569" s="254"/>
      <c r="M569" s="254"/>
      <c r="N569" s="254"/>
      <c r="O569" s="254"/>
      <c r="P569" s="1"/>
    </row>
    <row r="570" spans="2:16" x14ac:dyDescent="0.2">
      <c r="B570" s="255">
        <f>'3. GRI Pricing'!C580</f>
        <v>0</v>
      </c>
      <c r="C570" s="255">
        <f>'3. GRI Pricing'!D580</f>
        <v>0</v>
      </c>
      <c r="D570" s="255">
        <f>'3. GRI Pricing'!E580</f>
        <v>0</v>
      </c>
      <c r="E570" s="256">
        <f>'3. GRI Pricing'!Y580</f>
        <v>0</v>
      </c>
      <c r="F570" s="279">
        <v>0</v>
      </c>
      <c r="G570" s="279">
        <v>0</v>
      </c>
      <c r="H570" s="279">
        <v>0</v>
      </c>
      <c r="I570" s="254"/>
      <c r="J570" s="254"/>
      <c r="K570" s="254"/>
      <c r="L570" s="254"/>
      <c r="M570" s="254"/>
      <c r="N570" s="254"/>
      <c r="O570" s="254"/>
      <c r="P570" s="1"/>
    </row>
    <row r="571" spans="2:16" x14ac:dyDescent="0.2">
      <c r="B571" s="255">
        <f>'3. GRI Pricing'!C581</f>
        <v>0</v>
      </c>
      <c r="C571" s="255">
        <f>'3. GRI Pricing'!D581</f>
        <v>0</v>
      </c>
      <c r="D571" s="255">
        <f>'3. GRI Pricing'!E581</f>
        <v>0</v>
      </c>
      <c r="E571" s="256">
        <f>'3. GRI Pricing'!Y581</f>
        <v>0</v>
      </c>
      <c r="F571" s="279">
        <v>0</v>
      </c>
      <c r="G571" s="279">
        <v>0</v>
      </c>
      <c r="H571" s="279">
        <v>0</v>
      </c>
      <c r="I571" s="254"/>
      <c r="J571" s="254"/>
      <c r="K571" s="254"/>
      <c r="L571" s="254"/>
      <c r="M571" s="254"/>
      <c r="N571" s="254"/>
      <c r="O571" s="254"/>
      <c r="P571" s="1"/>
    </row>
    <row r="572" spans="2:16" x14ac:dyDescent="0.2">
      <c r="B572" s="255">
        <f>'3. GRI Pricing'!C582</f>
        <v>0</v>
      </c>
      <c r="C572" s="255">
        <f>'3. GRI Pricing'!D582</f>
        <v>0</v>
      </c>
      <c r="D572" s="255">
        <f>'3. GRI Pricing'!E582</f>
        <v>0</v>
      </c>
      <c r="E572" s="256">
        <f>'3. GRI Pricing'!Y582</f>
        <v>0</v>
      </c>
      <c r="F572" s="279">
        <v>0</v>
      </c>
      <c r="G572" s="279">
        <v>0</v>
      </c>
      <c r="H572" s="279">
        <v>0</v>
      </c>
      <c r="I572" s="254"/>
      <c r="J572" s="254"/>
      <c r="K572" s="254"/>
      <c r="L572" s="254"/>
      <c r="M572" s="254"/>
      <c r="N572" s="254"/>
      <c r="O572" s="254"/>
      <c r="P572" s="1"/>
    </row>
    <row r="573" spans="2:16" x14ac:dyDescent="0.2">
      <c r="B573" s="255">
        <f>'3. GRI Pricing'!C583</f>
        <v>0</v>
      </c>
      <c r="C573" s="255">
        <f>'3. GRI Pricing'!D583</f>
        <v>0</v>
      </c>
      <c r="D573" s="255">
        <f>'3. GRI Pricing'!E583</f>
        <v>0</v>
      </c>
      <c r="E573" s="256">
        <f>'3. GRI Pricing'!Y583</f>
        <v>0</v>
      </c>
      <c r="F573" s="279">
        <v>0</v>
      </c>
      <c r="G573" s="279">
        <v>0</v>
      </c>
      <c r="H573" s="279">
        <v>0</v>
      </c>
      <c r="I573" s="254"/>
      <c r="J573" s="254"/>
      <c r="K573" s="254"/>
      <c r="L573" s="254"/>
      <c r="M573" s="254"/>
      <c r="N573" s="254"/>
      <c r="O573" s="254"/>
      <c r="P573" s="1"/>
    </row>
    <row r="574" spans="2:16" x14ac:dyDescent="0.2">
      <c r="B574" s="255">
        <f>'3. GRI Pricing'!C584</f>
        <v>0</v>
      </c>
      <c r="C574" s="255">
        <f>'3. GRI Pricing'!D584</f>
        <v>0</v>
      </c>
      <c r="D574" s="255">
        <f>'3. GRI Pricing'!E584</f>
        <v>0</v>
      </c>
      <c r="E574" s="256">
        <f>'3. GRI Pricing'!Y584</f>
        <v>0</v>
      </c>
      <c r="F574" s="279">
        <v>0</v>
      </c>
      <c r="G574" s="279">
        <v>0</v>
      </c>
      <c r="H574" s="279">
        <v>0</v>
      </c>
      <c r="I574" s="254"/>
      <c r="J574" s="254"/>
      <c r="K574" s="254"/>
      <c r="L574" s="254"/>
      <c r="M574" s="254"/>
      <c r="N574" s="254"/>
      <c r="O574" s="254"/>
      <c r="P574" s="1"/>
    </row>
    <row r="575" spans="2:16" x14ac:dyDescent="0.2">
      <c r="B575" s="255">
        <f>'3. GRI Pricing'!C585</f>
        <v>0</v>
      </c>
      <c r="C575" s="255">
        <f>'3. GRI Pricing'!D585</f>
        <v>0</v>
      </c>
      <c r="D575" s="255">
        <f>'3. GRI Pricing'!E585</f>
        <v>0</v>
      </c>
      <c r="E575" s="256">
        <f>'3. GRI Pricing'!Y585</f>
        <v>0</v>
      </c>
      <c r="F575" s="279">
        <v>0</v>
      </c>
      <c r="G575" s="279">
        <v>0</v>
      </c>
      <c r="H575" s="279">
        <v>0</v>
      </c>
      <c r="I575" s="254"/>
      <c r="J575" s="254"/>
      <c r="K575" s="254"/>
      <c r="L575" s="254"/>
      <c r="M575" s="254"/>
      <c r="N575" s="254"/>
      <c r="O575" s="254"/>
      <c r="P575" s="1"/>
    </row>
    <row r="576" spans="2:16" x14ac:dyDescent="0.2">
      <c r="B576" s="255">
        <f>'3. GRI Pricing'!C586</f>
        <v>0</v>
      </c>
      <c r="C576" s="255">
        <f>'3. GRI Pricing'!D586</f>
        <v>0</v>
      </c>
      <c r="D576" s="255">
        <f>'3. GRI Pricing'!E586</f>
        <v>0</v>
      </c>
      <c r="E576" s="256">
        <f>'3. GRI Pricing'!Y586</f>
        <v>0</v>
      </c>
      <c r="F576" s="279">
        <v>0</v>
      </c>
      <c r="G576" s="279">
        <v>0</v>
      </c>
      <c r="H576" s="279">
        <v>0</v>
      </c>
      <c r="I576" s="254"/>
      <c r="J576" s="254"/>
      <c r="K576" s="254"/>
      <c r="L576" s="254"/>
      <c r="M576" s="254"/>
      <c r="N576" s="254"/>
      <c r="O576" s="254"/>
      <c r="P576" s="1"/>
    </row>
    <row r="577" spans="2:16" x14ac:dyDescent="0.2">
      <c r="B577" s="255">
        <f>'3. GRI Pricing'!C587</f>
        <v>0</v>
      </c>
      <c r="C577" s="255">
        <f>'3. GRI Pricing'!D587</f>
        <v>0</v>
      </c>
      <c r="D577" s="255">
        <f>'3. GRI Pricing'!E587</f>
        <v>0</v>
      </c>
      <c r="E577" s="256">
        <f>'3. GRI Pricing'!Y587</f>
        <v>0</v>
      </c>
      <c r="F577" s="279">
        <v>0</v>
      </c>
      <c r="G577" s="279">
        <v>0</v>
      </c>
      <c r="H577" s="279">
        <v>0</v>
      </c>
      <c r="I577" s="254"/>
      <c r="J577" s="254"/>
      <c r="K577" s="254"/>
      <c r="L577" s="254"/>
      <c r="M577" s="254"/>
      <c r="N577" s="254"/>
      <c r="O577" s="254"/>
      <c r="P577" s="1"/>
    </row>
    <row r="578" spans="2:16" x14ac:dyDescent="0.2">
      <c r="B578" s="255">
        <f>'3. GRI Pricing'!C588</f>
        <v>0</v>
      </c>
      <c r="C578" s="255">
        <f>'3. GRI Pricing'!D588</f>
        <v>0</v>
      </c>
      <c r="D578" s="255">
        <f>'3. GRI Pricing'!E588</f>
        <v>0</v>
      </c>
      <c r="E578" s="256">
        <f>'3. GRI Pricing'!Y588</f>
        <v>0</v>
      </c>
      <c r="F578" s="279">
        <v>0</v>
      </c>
      <c r="G578" s="279">
        <v>0</v>
      </c>
      <c r="H578" s="279">
        <v>0</v>
      </c>
      <c r="I578" s="254"/>
      <c r="J578" s="254"/>
      <c r="K578" s="254"/>
      <c r="L578" s="254"/>
      <c r="M578" s="254"/>
      <c r="N578" s="254"/>
      <c r="O578" s="254"/>
      <c r="P578" s="1"/>
    </row>
    <row r="579" spans="2:16" x14ac:dyDescent="0.2">
      <c r="B579" s="255">
        <f>'3. GRI Pricing'!C589</f>
        <v>0</v>
      </c>
      <c r="C579" s="255">
        <f>'3. GRI Pricing'!D589</f>
        <v>0</v>
      </c>
      <c r="D579" s="255">
        <f>'3. GRI Pricing'!E589</f>
        <v>0</v>
      </c>
      <c r="E579" s="256">
        <f>'3. GRI Pricing'!Y589</f>
        <v>0</v>
      </c>
      <c r="F579" s="279">
        <v>0</v>
      </c>
      <c r="G579" s="279">
        <v>0</v>
      </c>
      <c r="H579" s="279">
        <v>0</v>
      </c>
      <c r="I579" s="254"/>
      <c r="J579" s="254"/>
      <c r="K579" s="254"/>
      <c r="L579" s="254"/>
      <c r="M579" s="254"/>
      <c r="N579" s="254"/>
      <c r="O579" s="254"/>
      <c r="P579" s="1"/>
    </row>
    <row r="580" spans="2:16" x14ac:dyDescent="0.2">
      <c r="B580" s="255">
        <f>'3. GRI Pricing'!C590</f>
        <v>0</v>
      </c>
      <c r="C580" s="255">
        <f>'3. GRI Pricing'!D590</f>
        <v>0</v>
      </c>
      <c r="D580" s="255">
        <f>'3. GRI Pricing'!E590</f>
        <v>0</v>
      </c>
      <c r="E580" s="256">
        <f>'3. GRI Pricing'!Y590</f>
        <v>0</v>
      </c>
      <c r="F580" s="279">
        <v>0</v>
      </c>
      <c r="G580" s="279">
        <v>0</v>
      </c>
      <c r="H580" s="279">
        <v>0</v>
      </c>
      <c r="I580" s="254"/>
      <c r="J580" s="254"/>
      <c r="K580" s="254"/>
      <c r="L580" s="254"/>
      <c r="M580" s="254"/>
      <c r="N580" s="254"/>
      <c r="O580" s="254"/>
      <c r="P580" s="1"/>
    </row>
    <row r="581" spans="2:16" x14ac:dyDescent="0.2">
      <c r="B581" s="255">
        <f>'3. GRI Pricing'!C591</f>
        <v>0</v>
      </c>
      <c r="C581" s="255">
        <f>'3. GRI Pricing'!D591</f>
        <v>0</v>
      </c>
      <c r="D581" s="255">
        <f>'3. GRI Pricing'!E591</f>
        <v>0</v>
      </c>
      <c r="E581" s="256">
        <f>'3. GRI Pricing'!Y591</f>
        <v>0</v>
      </c>
      <c r="F581" s="279">
        <v>0</v>
      </c>
      <c r="G581" s="279">
        <v>0</v>
      </c>
      <c r="H581" s="279">
        <v>0</v>
      </c>
      <c r="I581" s="254"/>
      <c r="J581" s="254"/>
      <c r="K581" s="254"/>
      <c r="L581" s="254"/>
      <c r="M581" s="254"/>
      <c r="N581" s="254"/>
      <c r="O581" s="254"/>
      <c r="P581" s="1"/>
    </row>
    <row r="582" spans="2:16" x14ac:dyDescent="0.2">
      <c r="B582" s="255">
        <f>'3. GRI Pricing'!C592</f>
        <v>0</v>
      </c>
      <c r="C582" s="255">
        <f>'3. GRI Pricing'!D592</f>
        <v>0</v>
      </c>
      <c r="D582" s="255">
        <f>'3. GRI Pricing'!E592</f>
        <v>0</v>
      </c>
      <c r="E582" s="256">
        <f>'3. GRI Pricing'!Y592</f>
        <v>0</v>
      </c>
      <c r="F582" s="279">
        <v>0</v>
      </c>
      <c r="G582" s="279">
        <v>0</v>
      </c>
      <c r="H582" s="279">
        <v>0</v>
      </c>
      <c r="I582" s="254"/>
      <c r="J582" s="254"/>
      <c r="K582" s="254"/>
      <c r="L582" s="254"/>
      <c r="M582" s="254"/>
      <c r="N582" s="254"/>
      <c r="O582" s="254"/>
      <c r="P582" s="1"/>
    </row>
    <row r="583" spans="2:16" x14ac:dyDescent="0.2">
      <c r="B583" s="255">
        <f>'3. GRI Pricing'!C593</f>
        <v>0</v>
      </c>
      <c r="C583" s="255">
        <f>'3. GRI Pricing'!D593</f>
        <v>0</v>
      </c>
      <c r="D583" s="255">
        <f>'3. GRI Pricing'!E593</f>
        <v>0</v>
      </c>
      <c r="E583" s="256">
        <f>'3. GRI Pricing'!Y593</f>
        <v>0</v>
      </c>
      <c r="F583" s="279">
        <v>0</v>
      </c>
      <c r="G583" s="279">
        <v>0</v>
      </c>
      <c r="H583" s="279">
        <v>0</v>
      </c>
      <c r="I583" s="254"/>
      <c r="J583" s="254"/>
      <c r="K583" s="254"/>
      <c r="L583" s="254"/>
      <c r="M583" s="254"/>
      <c r="N583" s="254"/>
      <c r="O583" s="254"/>
      <c r="P583" s="1"/>
    </row>
    <row r="584" spans="2:16" x14ac:dyDescent="0.2">
      <c r="B584" s="255">
        <f>'3. GRI Pricing'!C594</f>
        <v>0</v>
      </c>
      <c r="C584" s="255">
        <f>'3. GRI Pricing'!D594</f>
        <v>0</v>
      </c>
      <c r="D584" s="255">
        <f>'3. GRI Pricing'!E594</f>
        <v>0</v>
      </c>
      <c r="E584" s="256">
        <f>'3. GRI Pricing'!Y594</f>
        <v>0</v>
      </c>
      <c r="F584" s="279">
        <v>0</v>
      </c>
      <c r="G584" s="279">
        <v>0</v>
      </c>
      <c r="H584" s="279">
        <v>0</v>
      </c>
      <c r="I584" s="254"/>
      <c r="J584" s="254"/>
      <c r="K584" s="254"/>
      <c r="L584" s="254"/>
      <c r="M584" s="254"/>
      <c r="N584" s="254"/>
      <c r="O584" s="254"/>
      <c r="P584" s="1"/>
    </row>
    <row r="585" spans="2:16" x14ac:dyDescent="0.2">
      <c r="B585" s="255">
        <f>'3. GRI Pricing'!C595</f>
        <v>0</v>
      </c>
      <c r="C585" s="255">
        <f>'3. GRI Pricing'!D595</f>
        <v>0</v>
      </c>
      <c r="D585" s="255">
        <f>'3. GRI Pricing'!E595</f>
        <v>0</v>
      </c>
      <c r="E585" s="256">
        <f>'3. GRI Pricing'!Y595</f>
        <v>0</v>
      </c>
      <c r="F585" s="279">
        <v>0</v>
      </c>
      <c r="G585" s="279">
        <v>0</v>
      </c>
      <c r="H585" s="279">
        <v>0</v>
      </c>
      <c r="I585" s="254"/>
      <c r="J585" s="254"/>
      <c r="K585" s="254"/>
      <c r="L585" s="254"/>
      <c r="M585" s="254"/>
      <c r="N585" s="254"/>
      <c r="O585" s="254"/>
      <c r="P585" s="1"/>
    </row>
    <row r="586" spans="2:16" x14ac:dyDescent="0.2">
      <c r="B586" s="255">
        <f>'3. GRI Pricing'!C596</f>
        <v>0</v>
      </c>
      <c r="C586" s="255">
        <f>'3. GRI Pricing'!D596</f>
        <v>0</v>
      </c>
      <c r="D586" s="255">
        <f>'3. GRI Pricing'!E596</f>
        <v>0</v>
      </c>
      <c r="E586" s="256">
        <f>'3. GRI Pricing'!Y596</f>
        <v>0</v>
      </c>
      <c r="F586" s="279">
        <v>0</v>
      </c>
      <c r="G586" s="279">
        <v>0</v>
      </c>
      <c r="H586" s="279">
        <v>0</v>
      </c>
      <c r="I586" s="254"/>
      <c r="J586" s="254"/>
      <c r="K586" s="254"/>
      <c r="L586" s="254"/>
      <c r="M586" s="254"/>
      <c r="N586" s="254"/>
      <c r="O586" s="254"/>
      <c r="P586" s="1"/>
    </row>
    <row r="587" spans="2:16" x14ac:dyDescent="0.2">
      <c r="B587" s="255">
        <f>'3. GRI Pricing'!C597</f>
        <v>0</v>
      </c>
      <c r="C587" s="255">
        <f>'3. GRI Pricing'!D597</f>
        <v>0</v>
      </c>
      <c r="D587" s="255">
        <f>'3. GRI Pricing'!E597</f>
        <v>0</v>
      </c>
      <c r="E587" s="256">
        <f>'3. GRI Pricing'!Y597</f>
        <v>0</v>
      </c>
      <c r="F587" s="279">
        <v>0</v>
      </c>
      <c r="G587" s="279">
        <v>0</v>
      </c>
      <c r="H587" s="279">
        <v>0</v>
      </c>
      <c r="I587" s="254"/>
      <c r="J587" s="254"/>
      <c r="K587" s="254"/>
      <c r="L587" s="254"/>
      <c r="M587" s="254"/>
      <c r="N587" s="254"/>
      <c r="O587" s="254"/>
      <c r="P587" s="1"/>
    </row>
    <row r="588" spans="2:16" x14ac:dyDescent="0.2">
      <c r="B588" s="255">
        <f>'3. GRI Pricing'!C598</f>
        <v>0</v>
      </c>
      <c r="C588" s="255">
        <f>'3. GRI Pricing'!D598</f>
        <v>0</v>
      </c>
      <c r="D588" s="255">
        <f>'3. GRI Pricing'!E598</f>
        <v>0</v>
      </c>
      <c r="E588" s="256">
        <f>'3. GRI Pricing'!Y598</f>
        <v>0</v>
      </c>
      <c r="F588" s="279">
        <v>0</v>
      </c>
      <c r="G588" s="279">
        <v>0</v>
      </c>
      <c r="H588" s="279">
        <v>0</v>
      </c>
      <c r="I588" s="254"/>
      <c r="J588" s="254"/>
      <c r="K588" s="254"/>
      <c r="L588" s="254"/>
      <c r="M588" s="254"/>
      <c r="N588" s="254"/>
      <c r="O588" s="254"/>
      <c r="P588" s="1"/>
    </row>
    <row r="589" spans="2:16" x14ac:dyDescent="0.2">
      <c r="B589" s="255">
        <f>'3. GRI Pricing'!C599</f>
        <v>0</v>
      </c>
      <c r="C589" s="255">
        <f>'3. GRI Pricing'!D599</f>
        <v>0</v>
      </c>
      <c r="D589" s="255">
        <f>'3. GRI Pricing'!E599</f>
        <v>0</v>
      </c>
      <c r="E589" s="256">
        <f>'3. GRI Pricing'!Y599</f>
        <v>0</v>
      </c>
      <c r="F589" s="279">
        <v>0</v>
      </c>
      <c r="G589" s="279">
        <v>0</v>
      </c>
      <c r="H589" s="279">
        <v>0</v>
      </c>
      <c r="I589" s="254"/>
      <c r="J589" s="254"/>
      <c r="K589" s="254"/>
      <c r="L589" s="254"/>
      <c r="M589" s="254"/>
      <c r="N589" s="254"/>
      <c r="O589" s="254"/>
      <c r="P589" s="1"/>
    </row>
    <row r="590" spans="2:16" x14ac:dyDescent="0.2">
      <c r="B590" s="255">
        <f>'3. GRI Pricing'!C600</f>
        <v>0</v>
      </c>
      <c r="C590" s="255">
        <f>'3. GRI Pricing'!D600</f>
        <v>0</v>
      </c>
      <c r="D590" s="255">
        <f>'3. GRI Pricing'!E600</f>
        <v>0</v>
      </c>
      <c r="E590" s="256">
        <f>'3. GRI Pricing'!Y600</f>
        <v>0</v>
      </c>
      <c r="F590" s="279">
        <v>0</v>
      </c>
      <c r="G590" s="279">
        <v>0</v>
      </c>
      <c r="H590" s="279">
        <v>0</v>
      </c>
      <c r="I590" s="254"/>
      <c r="J590" s="254"/>
      <c r="K590" s="254"/>
      <c r="L590" s="254"/>
      <c r="M590" s="254"/>
      <c r="N590" s="254"/>
      <c r="O590" s="254"/>
      <c r="P590" s="1"/>
    </row>
    <row r="591" spans="2:16" x14ac:dyDescent="0.2">
      <c r="B591" s="255">
        <f>'3. GRI Pricing'!C601</f>
        <v>0</v>
      </c>
      <c r="C591" s="255">
        <f>'3. GRI Pricing'!D601</f>
        <v>0</v>
      </c>
      <c r="D591" s="255">
        <f>'3. GRI Pricing'!E601</f>
        <v>0</v>
      </c>
      <c r="E591" s="256">
        <f>'3. GRI Pricing'!Y601</f>
        <v>0</v>
      </c>
      <c r="F591" s="279">
        <v>0</v>
      </c>
      <c r="G591" s="279">
        <v>0</v>
      </c>
      <c r="H591" s="279">
        <v>0</v>
      </c>
      <c r="I591" s="254"/>
      <c r="J591" s="254"/>
      <c r="K591" s="254"/>
      <c r="L591" s="254"/>
      <c r="M591" s="254"/>
      <c r="N591" s="254"/>
      <c r="O591" s="254"/>
      <c r="P591" s="1"/>
    </row>
    <row r="592" spans="2:16" x14ac:dyDescent="0.2">
      <c r="B592" s="255">
        <f>'3. GRI Pricing'!C602</f>
        <v>0</v>
      </c>
      <c r="C592" s="255">
        <f>'3. GRI Pricing'!D602</f>
        <v>0</v>
      </c>
      <c r="D592" s="255">
        <f>'3. GRI Pricing'!E602</f>
        <v>0</v>
      </c>
      <c r="E592" s="256">
        <f>'3. GRI Pricing'!Y602</f>
        <v>0</v>
      </c>
      <c r="F592" s="279">
        <v>0</v>
      </c>
      <c r="G592" s="279">
        <v>0</v>
      </c>
      <c r="H592" s="279">
        <v>0</v>
      </c>
      <c r="I592" s="254"/>
      <c r="J592" s="254"/>
      <c r="K592" s="254"/>
      <c r="L592" s="254"/>
      <c r="M592" s="254"/>
      <c r="N592" s="254"/>
      <c r="O592" s="254"/>
      <c r="P592" s="1"/>
    </row>
    <row r="593" spans="2:16" x14ac:dyDescent="0.2">
      <c r="B593" s="255">
        <f>'3. GRI Pricing'!C603</f>
        <v>0</v>
      </c>
      <c r="C593" s="255">
        <f>'3. GRI Pricing'!D603</f>
        <v>0</v>
      </c>
      <c r="D593" s="255">
        <f>'3. GRI Pricing'!E603</f>
        <v>0</v>
      </c>
      <c r="E593" s="256">
        <f>'3. GRI Pricing'!Y603</f>
        <v>0</v>
      </c>
      <c r="F593" s="279">
        <v>0</v>
      </c>
      <c r="G593" s="279">
        <v>0</v>
      </c>
      <c r="H593" s="279">
        <v>0</v>
      </c>
      <c r="I593" s="254"/>
      <c r="J593" s="254"/>
      <c r="K593" s="254"/>
      <c r="L593" s="254"/>
      <c r="M593" s="254"/>
      <c r="N593" s="254"/>
      <c r="O593" s="254"/>
      <c r="P593" s="1"/>
    </row>
    <row r="594" spans="2:16" x14ac:dyDescent="0.2">
      <c r="B594" s="255">
        <f>'3. GRI Pricing'!C604</f>
        <v>0</v>
      </c>
      <c r="C594" s="255">
        <f>'3. GRI Pricing'!D604</f>
        <v>0</v>
      </c>
      <c r="D594" s="255">
        <f>'3. GRI Pricing'!E604</f>
        <v>0</v>
      </c>
      <c r="E594" s="256">
        <f>'3. GRI Pricing'!Y604</f>
        <v>0</v>
      </c>
      <c r="F594" s="279">
        <v>0</v>
      </c>
      <c r="G594" s="279">
        <v>0</v>
      </c>
      <c r="H594" s="279">
        <v>0</v>
      </c>
      <c r="I594" s="254"/>
      <c r="J594" s="254"/>
      <c r="K594" s="254"/>
      <c r="L594" s="254"/>
      <c r="M594" s="254"/>
      <c r="N594" s="254"/>
      <c r="O594" s="254"/>
      <c r="P594" s="1"/>
    </row>
    <row r="595" spans="2:16" x14ac:dyDescent="0.2">
      <c r="B595" s="255">
        <f>'3. GRI Pricing'!C605</f>
        <v>0</v>
      </c>
      <c r="C595" s="255">
        <f>'3. GRI Pricing'!D605</f>
        <v>0</v>
      </c>
      <c r="D595" s="255">
        <f>'3. GRI Pricing'!E605</f>
        <v>0</v>
      </c>
      <c r="E595" s="256">
        <f>'3. GRI Pricing'!Y605</f>
        <v>0</v>
      </c>
      <c r="F595" s="279">
        <v>0</v>
      </c>
      <c r="G595" s="279">
        <v>0</v>
      </c>
      <c r="H595" s="279">
        <v>0</v>
      </c>
      <c r="I595" s="254"/>
      <c r="J595" s="254"/>
      <c r="K595" s="254"/>
      <c r="L595" s="254"/>
      <c r="M595" s="254"/>
      <c r="N595" s="254"/>
      <c r="O595" s="254"/>
      <c r="P595" s="1"/>
    </row>
    <row r="596" spans="2:16" x14ac:dyDescent="0.2">
      <c r="B596" s="255">
        <f>'3. GRI Pricing'!C606</f>
        <v>0</v>
      </c>
      <c r="C596" s="255">
        <f>'3. GRI Pricing'!D606</f>
        <v>0</v>
      </c>
      <c r="D596" s="255">
        <f>'3. GRI Pricing'!E606</f>
        <v>0</v>
      </c>
      <c r="E596" s="256">
        <f>'3. GRI Pricing'!Y606</f>
        <v>0</v>
      </c>
      <c r="F596" s="279">
        <v>0</v>
      </c>
      <c r="G596" s="279">
        <v>0</v>
      </c>
      <c r="H596" s="279">
        <v>0</v>
      </c>
      <c r="I596" s="254"/>
      <c r="J596" s="254"/>
      <c r="K596" s="254"/>
      <c r="L596" s="254"/>
      <c r="M596" s="254"/>
      <c r="N596" s="254"/>
      <c r="O596" s="254"/>
      <c r="P596" s="1"/>
    </row>
    <row r="597" spans="2:16" x14ac:dyDescent="0.2">
      <c r="B597" s="255">
        <f>'3. GRI Pricing'!C607</f>
        <v>0</v>
      </c>
      <c r="C597" s="255">
        <f>'3. GRI Pricing'!D607</f>
        <v>0</v>
      </c>
      <c r="D597" s="255">
        <f>'3. GRI Pricing'!E607</f>
        <v>0</v>
      </c>
      <c r="E597" s="256">
        <f>'3. GRI Pricing'!Y607</f>
        <v>0</v>
      </c>
      <c r="F597" s="279">
        <v>0</v>
      </c>
      <c r="G597" s="279">
        <v>0</v>
      </c>
      <c r="H597" s="279">
        <v>0</v>
      </c>
      <c r="I597" s="254"/>
      <c r="J597" s="254"/>
      <c r="K597" s="254"/>
      <c r="L597" s="254"/>
      <c r="M597" s="254"/>
      <c r="N597" s="254"/>
      <c r="O597" s="254"/>
      <c r="P597" s="1"/>
    </row>
    <row r="598" spans="2:16" x14ac:dyDescent="0.2">
      <c r="B598" s="255">
        <f>'3. GRI Pricing'!C608</f>
        <v>0</v>
      </c>
      <c r="C598" s="255">
        <f>'3. GRI Pricing'!D608</f>
        <v>0</v>
      </c>
      <c r="D598" s="255">
        <f>'3. GRI Pricing'!E608</f>
        <v>0</v>
      </c>
      <c r="E598" s="256">
        <f>'3. GRI Pricing'!Y608</f>
        <v>0</v>
      </c>
      <c r="F598" s="279">
        <v>0</v>
      </c>
      <c r="G598" s="279">
        <v>0</v>
      </c>
      <c r="H598" s="279">
        <v>0</v>
      </c>
      <c r="I598" s="254"/>
      <c r="J598" s="254"/>
      <c r="K598" s="254"/>
      <c r="L598" s="254"/>
      <c r="M598" s="254"/>
      <c r="N598" s="254"/>
      <c r="O598" s="254"/>
      <c r="P598" s="1"/>
    </row>
    <row r="599" spans="2:16" x14ac:dyDescent="0.2">
      <c r="B599" s="255">
        <f>'3. GRI Pricing'!C609</f>
        <v>0</v>
      </c>
      <c r="C599" s="255">
        <f>'3. GRI Pricing'!D609</f>
        <v>0</v>
      </c>
      <c r="D599" s="255">
        <f>'3. GRI Pricing'!E609</f>
        <v>0</v>
      </c>
      <c r="E599" s="256">
        <f>'3. GRI Pricing'!Y609</f>
        <v>0</v>
      </c>
      <c r="F599" s="279">
        <v>0</v>
      </c>
      <c r="G599" s="279">
        <v>0</v>
      </c>
      <c r="H599" s="279">
        <v>0</v>
      </c>
      <c r="I599" s="254"/>
      <c r="J599" s="254"/>
      <c r="K599" s="254"/>
      <c r="L599" s="254"/>
      <c r="M599" s="254"/>
      <c r="N599" s="254"/>
      <c r="O599" s="254"/>
      <c r="P599" s="1"/>
    </row>
    <row r="600" spans="2:16" x14ac:dyDescent="0.2">
      <c r="B600" s="255">
        <f>'3. GRI Pricing'!C610</f>
        <v>0</v>
      </c>
      <c r="C600" s="255">
        <f>'3. GRI Pricing'!D610</f>
        <v>0</v>
      </c>
      <c r="D600" s="255">
        <f>'3. GRI Pricing'!E610</f>
        <v>0</v>
      </c>
      <c r="E600" s="256">
        <f>'3. GRI Pricing'!Y610</f>
        <v>0</v>
      </c>
      <c r="F600" s="279">
        <v>0</v>
      </c>
      <c r="G600" s="279">
        <v>0</v>
      </c>
      <c r="H600" s="279">
        <v>0</v>
      </c>
      <c r="I600" s="254"/>
      <c r="J600" s="254"/>
      <c r="K600" s="254"/>
      <c r="L600" s="254"/>
      <c r="M600" s="254"/>
      <c r="N600" s="254"/>
      <c r="O600" s="254"/>
      <c r="P600" s="1"/>
    </row>
    <row r="601" spans="2:16" x14ac:dyDescent="0.2">
      <c r="B601" s="255">
        <f>'3. GRI Pricing'!C611</f>
        <v>0</v>
      </c>
      <c r="C601" s="255">
        <f>'3. GRI Pricing'!D611</f>
        <v>0</v>
      </c>
      <c r="D601" s="255">
        <f>'3. GRI Pricing'!E611</f>
        <v>0</v>
      </c>
      <c r="E601" s="256">
        <f>'3. GRI Pricing'!Y611</f>
        <v>0</v>
      </c>
      <c r="F601" s="279">
        <v>0</v>
      </c>
      <c r="G601" s="279">
        <v>0</v>
      </c>
      <c r="H601" s="279">
        <v>0</v>
      </c>
      <c r="I601" s="254"/>
      <c r="J601" s="254"/>
      <c r="K601" s="254"/>
      <c r="L601" s="254"/>
      <c r="M601" s="254"/>
      <c r="N601" s="254"/>
      <c r="O601" s="254"/>
      <c r="P601" s="1"/>
    </row>
    <row r="602" spans="2:16" x14ac:dyDescent="0.2">
      <c r="B602" s="255">
        <f>'3. GRI Pricing'!C612</f>
        <v>0</v>
      </c>
      <c r="C602" s="255">
        <f>'3. GRI Pricing'!D612</f>
        <v>0</v>
      </c>
      <c r="D602" s="255">
        <f>'3. GRI Pricing'!E612</f>
        <v>0</v>
      </c>
      <c r="E602" s="256">
        <f>'3. GRI Pricing'!Y612</f>
        <v>0</v>
      </c>
      <c r="F602" s="279">
        <v>0</v>
      </c>
      <c r="G602" s="279">
        <v>0</v>
      </c>
      <c r="H602" s="279">
        <v>0</v>
      </c>
      <c r="I602" s="254"/>
      <c r="J602" s="254"/>
      <c r="K602" s="254"/>
      <c r="L602" s="254"/>
      <c r="M602" s="254"/>
      <c r="N602" s="254"/>
      <c r="O602" s="254"/>
      <c r="P602" s="1"/>
    </row>
    <row r="603" spans="2:16" x14ac:dyDescent="0.2">
      <c r="B603" s="255">
        <f>'3. GRI Pricing'!C613</f>
        <v>0</v>
      </c>
      <c r="C603" s="255">
        <f>'3. GRI Pricing'!D613</f>
        <v>0</v>
      </c>
      <c r="D603" s="255">
        <f>'3. GRI Pricing'!E613</f>
        <v>0</v>
      </c>
      <c r="E603" s="256">
        <f>'3. GRI Pricing'!Y613</f>
        <v>0</v>
      </c>
      <c r="F603" s="279">
        <v>0</v>
      </c>
      <c r="G603" s="279">
        <v>0</v>
      </c>
      <c r="H603" s="279">
        <v>0</v>
      </c>
      <c r="I603" s="254"/>
      <c r="J603" s="254"/>
      <c r="K603" s="254"/>
      <c r="L603" s="254"/>
      <c r="M603" s="254"/>
      <c r="N603" s="254"/>
      <c r="O603" s="254"/>
      <c r="P603" s="1"/>
    </row>
    <row r="604" spans="2:16" x14ac:dyDescent="0.2">
      <c r="B604" s="255">
        <f>'3. GRI Pricing'!C614</f>
        <v>0</v>
      </c>
      <c r="C604" s="255">
        <f>'3. GRI Pricing'!D614</f>
        <v>0</v>
      </c>
      <c r="D604" s="255">
        <f>'3. GRI Pricing'!E614</f>
        <v>0</v>
      </c>
      <c r="E604" s="256">
        <f>'3. GRI Pricing'!Y614</f>
        <v>0</v>
      </c>
      <c r="F604" s="279">
        <v>0</v>
      </c>
      <c r="G604" s="279">
        <v>0</v>
      </c>
      <c r="H604" s="279">
        <v>0</v>
      </c>
      <c r="I604" s="254"/>
      <c r="J604" s="254"/>
      <c r="K604" s="254"/>
      <c r="L604" s="254"/>
      <c r="M604" s="254"/>
      <c r="N604" s="254"/>
      <c r="O604" s="254"/>
      <c r="P604" s="1"/>
    </row>
    <row r="605" spans="2:16" x14ac:dyDescent="0.2">
      <c r="B605" s="255">
        <f>'3. GRI Pricing'!C615</f>
        <v>0</v>
      </c>
      <c r="C605" s="255">
        <f>'3. GRI Pricing'!D615</f>
        <v>0</v>
      </c>
      <c r="D605" s="255">
        <f>'3. GRI Pricing'!E615</f>
        <v>0</v>
      </c>
      <c r="E605" s="256">
        <f>'3. GRI Pricing'!Y615</f>
        <v>0</v>
      </c>
      <c r="F605" s="279">
        <v>0</v>
      </c>
      <c r="G605" s="279">
        <v>0</v>
      </c>
      <c r="H605" s="279">
        <v>0</v>
      </c>
      <c r="I605" s="254"/>
      <c r="J605" s="254"/>
      <c r="K605" s="254"/>
      <c r="L605" s="254"/>
      <c r="M605" s="254"/>
      <c r="N605" s="254"/>
      <c r="O605" s="254"/>
      <c r="P605" s="1"/>
    </row>
    <row r="606" spans="2:16" x14ac:dyDescent="0.2">
      <c r="B606" s="255">
        <f>'3. GRI Pricing'!C616</f>
        <v>0</v>
      </c>
      <c r="C606" s="255">
        <f>'3. GRI Pricing'!D616</f>
        <v>0</v>
      </c>
      <c r="D606" s="255">
        <f>'3. GRI Pricing'!E616</f>
        <v>0</v>
      </c>
      <c r="E606" s="256">
        <f>'3. GRI Pricing'!Y616</f>
        <v>0</v>
      </c>
      <c r="F606" s="279">
        <v>0</v>
      </c>
      <c r="G606" s="279">
        <v>0</v>
      </c>
      <c r="H606" s="279">
        <v>0</v>
      </c>
      <c r="I606" s="254"/>
      <c r="J606" s="254"/>
      <c r="K606" s="254"/>
      <c r="L606" s="254"/>
      <c r="M606" s="254"/>
      <c r="N606" s="254"/>
      <c r="O606" s="254"/>
      <c r="P606" s="1"/>
    </row>
  </sheetData>
  <sheetProtection algorithmName="SHA-512" hashValue="R90fVYZHnUiYvpo/umo6O2Oc9YTSUS66em9erI81Ukm51DzFI3mrqwdxW65Za9DTt27U/RFadLVGrC2ZE6mxnQ==" saltValue="WpwSUpzKLtGn3I5vROXeJg==" spinCount="100000" sheet="1" objects="1" scenarios="1" formatCells="0" formatColumns="0" insertColumns="0"/>
  <mergeCells count="1">
    <mergeCell ref="B4:D4"/>
  </mergeCells>
  <phoneticPr fontId="13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39E2CE2-D6CF-4BD7-9E69-389161A60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43FD5B-5B2D-4C8C-B5F3-F956E20A1C8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DBCDD57-E211-4F3C-A6F5-1663EBDB6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87DF86F-72F1-4B93-8946-015ED23D89FE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1ffbd5dc-7a64-4097-8396-87f6c90b212f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Cover</vt:lpstr>
      <vt:lpstr>1. Accomodation</vt:lpstr>
      <vt:lpstr>2. GRI Pricing Inputs</vt:lpstr>
      <vt:lpstr>3. GRI Pricing</vt:lpstr>
      <vt:lpstr>4. Valuation</vt:lpstr>
      <vt:lpstr>5a. Dashboard</vt:lpstr>
      <vt:lpstr>5b. Dashboard </vt:lpstr>
      <vt:lpstr>6. IC appendix</vt:lpstr>
      <vt:lpstr>7. Archive Pricing</vt:lpstr>
      <vt:lpstr>'1. Accomodation'!_FilterDatabase</vt:lpstr>
      <vt:lpstr>aspectpremium</vt:lpstr>
      <vt:lpstr>balcony</vt:lpstr>
      <vt:lpstr>baseprice</vt:lpstr>
      <vt:lpstr>bathpremium</vt:lpstr>
      <vt:lpstr>floorpremium</vt:lpstr>
      <vt:lpstr>other</vt:lpstr>
      <vt:lpstr>phasedrelease</vt:lpstr>
      <vt:lpstr>'1. Accomodation'!Print_Area</vt:lpstr>
      <vt:lpstr>'2. GRI Pricing Inputs'!Print_Area</vt:lpstr>
      <vt:lpstr>'3. GRI Pricing'!Print_Area</vt:lpstr>
      <vt:lpstr>'4. Valuation'!Print_Area</vt:lpstr>
      <vt:lpstr>'5a. Dashboard'!Print_Area</vt:lpstr>
      <vt:lpstr>'5b. Dashboard '!Print_Area</vt:lpstr>
      <vt:lpstr>'6. IC appendix'!Print_Area</vt:lpstr>
      <vt:lpstr>'7. Archive Pricing'!Print_Area</vt:lpstr>
      <vt:lpstr>Cover!Print_Area</vt:lpstr>
      <vt:lpstr>sizepremium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Alasdair Houstoun</dc:creator>
  <cp:keywords/>
  <dc:description/>
  <cp:lastModifiedBy>Nikki Papenfus</cp:lastModifiedBy>
  <cp:revision/>
  <dcterms:created xsi:type="dcterms:W3CDTF">2019-09-15T15:41:59Z</dcterms:created>
  <dcterms:modified xsi:type="dcterms:W3CDTF">2025-06-11T09:27:00Z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